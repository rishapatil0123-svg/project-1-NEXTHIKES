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https://d.docs.live.net/d2f17a7563e9db7f/Documents/"/>
    </mc:Choice>
  </mc:AlternateContent>
  <xr:revisionPtr revIDLastSave="2" documentId="8_{21526C77-7DF9-4A9A-8352-60554CB8B4B3}" xr6:coauthVersionLast="47" xr6:coauthVersionMax="47" xr10:uidLastSave="{C1263E8D-4455-468C-B8B9-54CE86EB13C0}"/>
  <bookViews>
    <workbookView xWindow="-110" yWindow="-110" windowWidth="19420" windowHeight="10300" tabRatio="500" xr2:uid="{00000000-000D-0000-FFFF-FFFF00000000}"/>
  </bookViews>
  <sheets>
    <sheet name="Summary" sheetId="1" r:id="rId1"/>
    <sheet name="Dashboard" sheetId="2" r:id="rId2"/>
    <sheet name="Dashboard_Data" sheetId="3" r:id="rId3"/>
    <sheet name="Pivot_weather" sheetId="18" r:id="rId4"/>
    <sheet name="Pivot_dashboard" sheetId="20" r:id="rId5"/>
    <sheet name="Clean_Data" sheetId="4" r:id="rId6"/>
    <sheet name="Pivot_Summaries" sheetId="5" r:id="rId7"/>
    <sheet name="Hourly_Analysis" sheetId="6" r:id="rId8"/>
    <sheet name="Sheet6" sheetId="21" state="hidden" r:id="rId9"/>
    <sheet name="Forecast-sheet" sheetId="22" r:id="rId10"/>
    <sheet name="Daily_Trend" sheetId="7" r:id="rId11"/>
    <sheet name="Statistics" sheetId="8" r:id="rId12"/>
    <sheet name="Data_Quality" sheetId="9" r:id="rId13"/>
    <sheet name="Lookups" sheetId="10" r:id="rId14"/>
    <sheet name="Dataset1_Raw" sheetId="11" r:id="rId15"/>
    <sheet name="Dataset2_Raw" sheetId="12" r:id="rId16"/>
    <sheet name="Merge_1_2" sheetId="13" r:id="rId17"/>
    <sheet name="Dataset3_Raw" sheetId="14" r:id="rId18"/>
    <sheet name="Anomaly_Report" sheetId="16" r:id="rId19"/>
  </sheets>
  <functionGroups builtInGroupCount="19"/>
  <definedNames>
    <definedName name="_xlnm._FilterDatabase" localSheetId="5" hidden="1">Clean_Data!$A$1:$AJ$1001</definedName>
    <definedName name="NativeTimeline_dteday">#N/A</definedName>
    <definedName name="Slicer_day_type">#N/A</definedName>
    <definedName name="Slicer_demand_level">#N/A</definedName>
    <definedName name="Slicer_time_of_day">#N/A</definedName>
    <definedName name="Slicer_weather">#N/A</definedName>
  </definedNames>
  <calcPr calcId="191029" iterateDelta="1E-4"/>
  <pivotCaches>
    <pivotCache cacheId="0" r:id="rId20"/>
  </pivotCaches>
  <extLst>
    <ext xmlns:x14="http://schemas.microsoft.com/office/spreadsheetml/2009/9/main" uri="{BBE1A952-AA13-448e-AADC-164F8A28A991}">
      <x14:slicerCaches>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5"/>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391" i="14" l="1"/>
  <c r="G390" i="14"/>
  <c r="G389" i="14"/>
  <c r="G388" i="14"/>
  <c r="G387" i="14"/>
  <c r="G386" i="14"/>
  <c r="G385" i="14"/>
  <c r="G384" i="14"/>
  <c r="G383" i="14"/>
  <c r="G382" i="14"/>
  <c r="G381" i="14"/>
  <c r="G380" i="14"/>
  <c r="G379" i="14"/>
  <c r="G378" i="14"/>
  <c r="G377" i="14"/>
  <c r="G376" i="14"/>
  <c r="G375" i="14"/>
  <c r="G374" i="14"/>
  <c r="G373" i="14"/>
  <c r="G372" i="14"/>
  <c r="G371" i="14"/>
  <c r="G370" i="14"/>
  <c r="G369" i="14"/>
  <c r="G368" i="14"/>
  <c r="G367" i="14"/>
  <c r="G366" i="14"/>
  <c r="G365" i="14"/>
  <c r="G364" i="14"/>
  <c r="G363" i="14"/>
  <c r="G362" i="14"/>
  <c r="G361" i="14"/>
  <c r="G360" i="14"/>
  <c r="G359" i="14"/>
  <c r="G358" i="14"/>
  <c r="G357" i="14"/>
  <c r="G356" i="14"/>
  <c r="G355" i="14"/>
  <c r="G354" i="14"/>
  <c r="G353" i="14"/>
  <c r="G352" i="14"/>
  <c r="G351" i="14"/>
  <c r="G350" i="14"/>
  <c r="G349" i="14"/>
  <c r="G348" i="14"/>
  <c r="G347" i="14"/>
  <c r="G346" i="14"/>
  <c r="G345" i="14"/>
  <c r="G344" i="14"/>
  <c r="G343" i="14"/>
  <c r="G342" i="14"/>
  <c r="G341" i="14"/>
  <c r="G340" i="14"/>
  <c r="G339" i="14"/>
  <c r="G338" i="14"/>
  <c r="G337" i="14"/>
  <c r="G336" i="14"/>
  <c r="G335" i="14"/>
  <c r="G334" i="14"/>
  <c r="G333" i="14"/>
  <c r="G332" i="14"/>
  <c r="G331" i="14"/>
  <c r="G330" i="14"/>
  <c r="G329" i="14"/>
  <c r="G328" i="14"/>
  <c r="G327" i="14"/>
  <c r="G326" i="14"/>
  <c r="G325" i="14"/>
  <c r="G324" i="14"/>
  <c r="G323" i="14"/>
  <c r="G322" i="14"/>
  <c r="G321" i="14"/>
  <c r="G320" i="14"/>
  <c r="G319" i="14"/>
  <c r="G318" i="14"/>
  <c r="G317" i="14"/>
  <c r="G316" i="14"/>
  <c r="G315" i="14"/>
  <c r="G314" i="14"/>
  <c r="G313" i="14"/>
  <c r="G312" i="14"/>
  <c r="G311" i="14"/>
  <c r="G310" i="14"/>
  <c r="G309" i="14"/>
  <c r="G308" i="14"/>
  <c r="G307" i="14"/>
  <c r="G306" i="14"/>
  <c r="G305" i="14"/>
  <c r="G304" i="14"/>
  <c r="G303" i="14"/>
  <c r="G302" i="14"/>
  <c r="G301" i="14"/>
  <c r="G300" i="14"/>
  <c r="G299" i="14"/>
  <c r="G298" i="14"/>
  <c r="G297" i="14"/>
  <c r="G296" i="14"/>
  <c r="G295" i="14"/>
  <c r="G294" i="14"/>
  <c r="G293" i="14"/>
  <c r="G292" i="14"/>
  <c r="G291" i="14"/>
  <c r="G290" i="14"/>
  <c r="G289" i="14"/>
  <c r="G288" i="14"/>
  <c r="G287" i="14"/>
  <c r="G286" i="14"/>
  <c r="G285" i="14"/>
  <c r="G284" i="14"/>
  <c r="G283" i="14"/>
  <c r="G282" i="14"/>
  <c r="G281" i="14"/>
  <c r="G280" i="14"/>
  <c r="G279" i="14"/>
  <c r="G278" i="14"/>
  <c r="G277" i="14"/>
  <c r="G276" i="14"/>
  <c r="G275" i="14"/>
  <c r="G274" i="14"/>
  <c r="G273" i="14"/>
  <c r="G272" i="14"/>
  <c r="G271" i="14"/>
  <c r="G270" i="14"/>
  <c r="G269" i="14"/>
  <c r="G268" i="14"/>
  <c r="G267" i="14"/>
  <c r="G266" i="14"/>
  <c r="G265" i="14"/>
  <c r="G264" i="14"/>
  <c r="G263" i="14"/>
  <c r="G262" i="14"/>
  <c r="G261" i="14"/>
  <c r="G260" i="14"/>
  <c r="G259" i="14"/>
  <c r="G258" i="14"/>
  <c r="G257" i="14"/>
  <c r="G256" i="14"/>
  <c r="G255" i="14"/>
  <c r="G254" i="14"/>
  <c r="G253" i="14"/>
  <c r="G252" i="14"/>
  <c r="G251" i="14"/>
  <c r="G250" i="14"/>
  <c r="G249" i="14"/>
  <c r="G248" i="14"/>
  <c r="G247" i="14"/>
  <c r="G246" i="14"/>
  <c r="G245" i="14"/>
  <c r="G244" i="14"/>
  <c r="G243" i="14"/>
  <c r="G242" i="14"/>
  <c r="G241" i="14"/>
  <c r="G240" i="14"/>
  <c r="G239" i="14"/>
  <c r="G238" i="14"/>
  <c r="G237" i="14"/>
  <c r="G236" i="14"/>
  <c r="G235" i="14"/>
  <c r="G234" i="14"/>
  <c r="G233" i="14"/>
  <c r="G232" i="14"/>
  <c r="G231" i="14"/>
  <c r="G230" i="14"/>
  <c r="G229" i="14"/>
  <c r="G228" i="14"/>
  <c r="G227" i="14"/>
  <c r="G226" i="14"/>
  <c r="G225" i="14"/>
  <c r="G224" i="14"/>
  <c r="G223" i="14"/>
  <c r="G222" i="14"/>
  <c r="G221" i="14"/>
  <c r="G220" i="14"/>
  <c r="G219" i="14"/>
  <c r="G218" i="14"/>
  <c r="G217" i="14"/>
  <c r="G216" i="14"/>
  <c r="G215" i="14"/>
  <c r="G214" i="14"/>
  <c r="G213" i="14"/>
  <c r="G212" i="14"/>
  <c r="G211" i="14"/>
  <c r="G210" i="14"/>
  <c r="G209" i="14"/>
  <c r="G208" i="14"/>
  <c r="G207" i="14"/>
  <c r="G206" i="14"/>
  <c r="G205" i="14"/>
  <c r="G204" i="14"/>
  <c r="G203" i="14"/>
  <c r="G202" i="14"/>
  <c r="G201" i="14"/>
  <c r="G200" i="14"/>
  <c r="G199" i="14"/>
  <c r="G198" i="14"/>
  <c r="G197" i="14"/>
  <c r="G196" i="14"/>
  <c r="G195" i="14"/>
  <c r="G194" i="14"/>
  <c r="G193" i="14"/>
  <c r="G192" i="14"/>
  <c r="G191" i="14"/>
  <c r="G190" i="14"/>
  <c r="G189" i="14"/>
  <c r="G188" i="14"/>
  <c r="G187" i="14"/>
  <c r="G186" i="14"/>
  <c r="G185" i="14"/>
  <c r="G184" i="14"/>
  <c r="G183" i="14"/>
  <c r="G182" i="14"/>
  <c r="G181" i="14"/>
  <c r="G180" i="14"/>
  <c r="G179" i="14"/>
  <c r="G178" i="14"/>
  <c r="G177" i="14"/>
  <c r="G176" i="14"/>
  <c r="G175" i="14"/>
  <c r="G174" i="14"/>
  <c r="G173" i="14"/>
  <c r="G172" i="14"/>
  <c r="G171" i="14"/>
  <c r="G170" i="14"/>
  <c r="G169" i="14"/>
  <c r="G168" i="14"/>
  <c r="G167" i="14"/>
  <c r="G166" i="14"/>
  <c r="G165" i="14"/>
  <c r="G164" i="14"/>
  <c r="G163" i="14"/>
  <c r="G162" i="14"/>
  <c r="G161" i="14"/>
  <c r="G160" i="14"/>
  <c r="G159" i="14"/>
  <c r="G158" i="14"/>
  <c r="G157" i="14"/>
  <c r="G156" i="14"/>
  <c r="G155" i="14"/>
  <c r="G154" i="14"/>
  <c r="G153" i="14"/>
  <c r="G152" i="14"/>
  <c r="G151" i="14"/>
  <c r="G150" i="14"/>
  <c r="G149" i="14"/>
  <c r="G148" i="14"/>
  <c r="G147" i="14"/>
  <c r="G146" i="14"/>
  <c r="G145" i="14"/>
  <c r="G144" i="14"/>
  <c r="G143" i="14"/>
  <c r="G142" i="14"/>
  <c r="G141" i="14"/>
  <c r="G140" i="14"/>
  <c r="G139" i="14"/>
  <c r="G138" i="14"/>
  <c r="G137" i="14"/>
  <c r="G136" i="14"/>
  <c r="G135" i="14"/>
  <c r="G134" i="14"/>
  <c r="G133" i="14"/>
  <c r="G132" i="14"/>
  <c r="G131" i="14"/>
  <c r="G130" i="14"/>
  <c r="G129" i="14"/>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G10" i="14"/>
  <c r="G9" i="14"/>
  <c r="G8" i="14"/>
  <c r="G7" i="14"/>
  <c r="G6" i="14"/>
  <c r="G5" i="14"/>
  <c r="G4" i="14"/>
  <c r="G3" i="14"/>
  <c r="G2" i="14"/>
  <c r="J611" i="13"/>
  <c r="I611" i="13"/>
  <c r="H611" i="13"/>
  <c r="F611" i="13"/>
  <c r="E611" i="13"/>
  <c r="D611" i="13"/>
  <c r="C611" i="13"/>
  <c r="B611" i="13"/>
  <c r="A611" i="13"/>
  <c r="Q611" i="13" s="1"/>
  <c r="J610" i="13"/>
  <c r="I610" i="13"/>
  <c r="H610" i="13"/>
  <c r="F610" i="13"/>
  <c r="E610" i="13"/>
  <c r="D610" i="13"/>
  <c r="C610" i="13"/>
  <c r="B610" i="13"/>
  <c r="A610" i="13"/>
  <c r="Q610" i="13" s="1"/>
  <c r="J609" i="13"/>
  <c r="I609" i="13"/>
  <c r="H609" i="13"/>
  <c r="F609" i="13"/>
  <c r="E609" i="13"/>
  <c r="D609" i="13"/>
  <c r="C609" i="13"/>
  <c r="B609" i="13"/>
  <c r="A609" i="13"/>
  <c r="Q609" i="13" s="1"/>
  <c r="J608" i="13"/>
  <c r="I608" i="13"/>
  <c r="H608" i="13"/>
  <c r="F608" i="13"/>
  <c r="E608" i="13"/>
  <c r="D608" i="13"/>
  <c r="C608" i="13"/>
  <c r="B608" i="13"/>
  <c r="A608" i="13"/>
  <c r="Q608" i="13" s="1"/>
  <c r="J607" i="13"/>
  <c r="I607" i="13"/>
  <c r="H607" i="13"/>
  <c r="F607" i="13"/>
  <c r="E607" i="13"/>
  <c r="D607" i="13"/>
  <c r="C607" i="13"/>
  <c r="B607" i="13"/>
  <c r="A607" i="13"/>
  <c r="Q607" i="13" s="1"/>
  <c r="J606" i="13"/>
  <c r="I606" i="13"/>
  <c r="H606" i="13"/>
  <c r="F606" i="13"/>
  <c r="E606" i="13"/>
  <c r="D606" i="13"/>
  <c r="C606" i="13"/>
  <c r="B606" i="13"/>
  <c r="A606" i="13"/>
  <c r="Q606" i="13" s="1"/>
  <c r="J605" i="13"/>
  <c r="I605" i="13"/>
  <c r="H605" i="13"/>
  <c r="F605" i="13"/>
  <c r="E605" i="13"/>
  <c r="D605" i="13"/>
  <c r="C605" i="13"/>
  <c r="B605" i="13"/>
  <c r="A605" i="13"/>
  <c r="Q605" i="13" s="1"/>
  <c r="J604" i="13"/>
  <c r="I604" i="13"/>
  <c r="H604" i="13"/>
  <c r="F604" i="13"/>
  <c r="E604" i="13"/>
  <c r="D604" i="13"/>
  <c r="C604" i="13"/>
  <c r="B604" i="13"/>
  <c r="A604" i="13"/>
  <c r="Q604" i="13" s="1"/>
  <c r="J603" i="13"/>
  <c r="I603" i="13"/>
  <c r="H603" i="13"/>
  <c r="F603" i="13"/>
  <c r="E603" i="13"/>
  <c r="D603" i="13"/>
  <c r="C603" i="13"/>
  <c r="B603" i="13"/>
  <c r="A603" i="13"/>
  <c r="Q603" i="13" s="1"/>
  <c r="J602" i="13"/>
  <c r="I602" i="13"/>
  <c r="H602" i="13"/>
  <c r="F602" i="13"/>
  <c r="E602" i="13"/>
  <c r="D602" i="13"/>
  <c r="C602" i="13"/>
  <c r="B602" i="13"/>
  <c r="A602" i="13"/>
  <c r="Q602" i="13" s="1"/>
  <c r="J601" i="13"/>
  <c r="I601" i="13"/>
  <c r="H601" i="13"/>
  <c r="F601" i="13"/>
  <c r="E601" i="13"/>
  <c r="D601" i="13"/>
  <c r="C601" i="13"/>
  <c r="B601" i="13"/>
  <c r="A601" i="13"/>
  <c r="Q601" i="13" s="1"/>
  <c r="J600" i="13"/>
  <c r="I600" i="13"/>
  <c r="H600" i="13"/>
  <c r="F600" i="13"/>
  <c r="E600" i="13"/>
  <c r="D600" i="13"/>
  <c r="C600" i="13"/>
  <c r="B600" i="13"/>
  <c r="A600" i="13"/>
  <c r="Q600" i="13" s="1"/>
  <c r="J599" i="13"/>
  <c r="I599" i="13"/>
  <c r="H599" i="13"/>
  <c r="F599" i="13"/>
  <c r="E599" i="13"/>
  <c r="D599" i="13"/>
  <c r="C599" i="13"/>
  <c r="B599" i="13"/>
  <c r="A599" i="13"/>
  <c r="Q599" i="13" s="1"/>
  <c r="J598" i="13"/>
  <c r="I598" i="13"/>
  <c r="H598" i="13"/>
  <c r="F598" i="13"/>
  <c r="E598" i="13"/>
  <c r="D598" i="13"/>
  <c r="C598" i="13"/>
  <c r="B598" i="13"/>
  <c r="A598" i="13"/>
  <c r="Q598" i="13" s="1"/>
  <c r="J597" i="13"/>
  <c r="I597" i="13"/>
  <c r="H597" i="13"/>
  <c r="F597" i="13"/>
  <c r="E597" i="13"/>
  <c r="D597" i="13"/>
  <c r="C597" i="13"/>
  <c r="B597" i="13"/>
  <c r="A597" i="13"/>
  <c r="Q597" i="13" s="1"/>
  <c r="J596" i="13"/>
  <c r="I596" i="13"/>
  <c r="H596" i="13"/>
  <c r="F596" i="13"/>
  <c r="E596" i="13"/>
  <c r="D596" i="13"/>
  <c r="C596" i="13"/>
  <c r="B596" i="13"/>
  <c r="A596" i="13"/>
  <c r="Q596" i="13" s="1"/>
  <c r="J595" i="13"/>
  <c r="I595" i="13"/>
  <c r="H595" i="13"/>
  <c r="F595" i="13"/>
  <c r="E595" i="13"/>
  <c r="D595" i="13"/>
  <c r="C595" i="13"/>
  <c r="B595" i="13"/>
  <c r="A595" i="13"/>
  <c r="Q595" i="13" s="1"/>
  <c r="J594" i="13"/>
  <c r="I594" i="13"/>
  <c r="H594" i="13"/>
  <c r="F594" i="13"/>
  <c r="E594" i="13"/>
  <c r="D594" i="13"/>
  <c r="C594" i="13"/>
  <c r="B594" i="13"/>
  <c r="A594" i="13"/>
  <c r="Q594" i="13" s="1"/>
  <c r="J593" i="13"/>
  <c r="I593" i="13"/>
  <c r="H593" i="13"/>
  <c r="F593" i="13"/>
  <c r="E593" i="13"/>
  <c r="D593" i="13"/>
  <c r="C593" i="13"/>
  <c r="B593" i="13"/>
  <c r="A593" i="13"/>
  <c r="Q593" i="13" s="1"/>
  <c r="J592" i="13"/>
  <c r="I592" i="13"/>
  <c r="H592" i="13"/>
  <c r="F592" i="13"/>
  <c r="E592" i="13"/>
  <c r="D592" i="13"/>
  <c r="C592" i="13"/>
  <c r="B592" i="13"/>
  <c r="A592" i="13"/>
  <c r="Q592" i="13" s="1"/>
  <c r="J591" i="13"/>
  <c r="I591" i="13"/>
  <c r="H591" i="13"/>
  <c r="F591" i="13"/>
  <c r="E591" i="13"/>
  <c r="D591" i="13"/>
  <c r="C591" i="13"/>
  <c r="B591" i="13"/>
  <c r="A591" i="13"/>
  <c r="Q591" i="13" s="1"/>
  <c r="J590" i="13"/>
  <c r="I590" i="13"/>
  <c r="H590" i="13"/>
  <c r="F590" i="13"/>
  <c r="E590" i="13"/>
  <c r="D590" i="13"/>
  <c r="C590" i="13"/>
  <c r="B590" i="13"/>
  <c r="A590" i="13"/>
  <c r="Q590" i="13" s="1"/>
  <c r="J589" i="13"/>
  <c r="I589" i="13"/>
  <c r="H589" i="13"/>
  <c r="F589" i="13"/>
  <c r="E589" i="13"/>
  <c r="D589" i="13"/>
  <c r="C589" i="13"/>
  <c r="B589" i="13"/>
  <c r="A589" i="13"/>
  <c r="Q589" i="13" s="1"/>
  <c r="J588" i="13"/>
  <c r="I588" i="13"/>
  <c r="H588" i="13"/>
  <c r="F588" i="13"/>
  <c r="E588" i="13"/>
  <c r="D588" i="13"/>
  <c r="C588" i="13"/>
  <c r="B588" i="13"/>
  <c r="A588" i="13"/>
  <c r="Q588" i="13" s="1"/>
  <c r="J587" i="13"/>
  <c r="I587" i="13"/>
  <c r="H587" i="13"/>
  <c r="F587" i="13"/>
  <c r="E587" i="13"/>
  <c r="D587" i="13"/>
  <c r="C587" i="13"/>
  <c r="B587" i="13"/>
  <c r="A587" i="13"/>
  <c r="Q587" i="13" s="1"/>
  <c r="J586" i="13"/>
  <c r="I586" i="13"/>
  <c r="H586" i="13"/>
  <c r="F586" i="13"/>
  <c r="E586" i="13"/>
  <c r="D586" i="13"/>
  <c r="C586" i="13"/>
  <c r="B586" i="13"/>
  <c r="A586" i="13"/>
  <c r="Q586" i="13" s="1"/>
  <c r="J585" i="13"/>
  <c r="I585" i="13"/>
  <c r="H585" i="13"/>
  <c r="F585" i="13"/>
  <c r="E585" i="13"/>
  <c r="D585" i="13"/>
  <c r="C585" i="13"/>
  <c r="B585" i="13"/>
  <c r="A585" i="13"/>
  <c r="Q585" i="13" s="1"/>
  <c r="J584" i="13"/>
  <c r="I584" i="13"/>
  <c r="H584" i="13"/>
  <c r="F584" i="13"/>
  <c r="E584" i="13"/>
  <c r="D584" i="13"/>
  <c r="C584" i="13"/>
  <c r="B584" i="13"/>
  <c r="A584" i="13"/>
  <c r="Q584" i="13" s="1"/>
  <c r="J583" i="13"/>
  <c r="I583" i="13"/>
  <c r="H583" i="13"/>
  <c r="F583" i="13"/>
  <c r="E583" i="13"/>
  <c r="D583" i="13"/>
  <c r="C583" i="13"/>
  <c r="B583" i="13"/>
  <c r="A583" i="13"/>
  <c r="Q583" i="13" s="1"/>
  <c r="J582" i="13"/>
  <c r="I582" i="13"/>
  <c r="H582" i="13"/>
  <c r="F582" i="13"/>
  <c r="E582" i="13"/>
  <c r="D582" i="13"/>
  <c r="C582" i="13"/>
  <c r="B582" i="13"/>
  <c r="A582" i="13"/>
  <c r="Q582" i="13" s="1"/>
  <c r="J581" i="13"/>
  <c r="I581" i="13"/>
  <c r="H581" i="13"/>
  <c r="F581" i="13"/>
  <c r="E581" i="13"/>
  <c r="D581" i="13"/>
  <c r="C581" i="13"/>
  <c r="B581" i="13"/>
  <c r="A581" i="13"/>
  <c r="Q581" i="13" s="1"/>
  <c r="J580" i="13"/>
  <c r="I580" i="13"/>
  <c r="H580" i="13"/>
  <c r="F580" i="13"/>
  <c r="E580" i="13"/>
  <c r="D580" i="13"/>
  <c r="C580" i="13"/>
  <c r="B580" i="13"/>
  <c r="A580" i="13"/>
  <c r="Q580" i="13" s="1"/>
  <c r="J579" i="13"/>
  <c r="I579" i="13"/>
  <c r="H579" i="13"/>
  <c r="F579" i="13"/>
  <c r="E579" i="13"/>
  <c r="D579" i="13"/>
  <c r="C579" i="13"/>
  <c r="B579" i="13"/>
  <c r="A579" i="13"/>
  <c r="Q579" i="13" s="1"/>
  <c r="J578" i="13"/>
  <c r="I578" i="13"/>
  <c r="H578" i="13"/>
  <c r="F578" i="13"/>
  <c r="E578" i="13"/>
  <c r="D578" i="13"/>
  <c r="C578" i="13"/>
  <c r="B578" i="13"/>
  <c r="A578" i="13"/>
  <c r="Q578" i="13" s="1"/>
  <c r="J577" i="13"/>
  <c r="I577" i="13"/>
  <c r="H577" i="13"/>
  <c r="F577" i="13"/>
  <c r="E577" i="13"/>
  <c r="D577" i="13"/>
  <c r="C577" i="13"/>
  <c r="B577" i="13"/>
  <c r="A577" i="13"/>
  <c r="Q577" i="13" s="1"/>
  <c r="J576" i="13"/>
  <c r="I576" i="13"/>
  <c r="H576" i="13"/>
  <c r="F576" i="13"/>
  <c r="E576" i="13"/>
  <c r="D576" i="13"/>
  <c r="C576" i="13"/>
  <c r="B576" i="13"/>
  <c r="A576" i="13"/>
  <c r="Q576" i="13" s="1"/>
  <c r="J575" i="13"/>
  <c r="I575" i="13"/>
  <c r="H575" i="13"/>
  <c r="F575" i="13"/>
  <c r="E575" i="13"/>
  <c r="D575" i="13"/>
  <c r="C575" i="13"/>
  <c r="B575" i="13"/>
  <c r="A575" i="13"/>
  <c r="Q575" i="13" s="1"/>
  <c r="J574" i="13"/>
  <c r="I574" i="13"/>
  <c r="H574" i="13"/>
  <c r="F574" i="13"/>
  <c r="E574" i="13"/>
  <c r="D574" i="13"/>
  <c r="C574" i="13"/>
  <c r="B574" i="13"/>
  <c r="A574" i="13"/>
  <c r="Q574" i="13" s="1"/>
  <c r="J573" i="13"/>
  <c r="I573" i="13"/>
  <c r="H573" i="13"/>
  <c r="F573" i="13"/>
  <c r="E573" i="13"/>
  <c r="D573" i="13"/>
  <c r="C573" i="13"/>
  <c r="B573" i="13"/>
  <c r="A573" i="13"/>
  <c r="Q573" i="13" s="1"/>
  <c r="J572" i="13"/>
  <c r="I572" i="13"/>
  <c r="H572" i="13"/>
  <c r="F572" i="13"/>
  <c r="E572" i="13"/>
  <c r="D572" i="13"/>
  <c r="C572" i="13"/>
  <c r="B572" i="13"/>
  <c r="A572" i="13"/>
  <c r="Q572" i="13" s="1"/>
  <c r="J571" i="13"/>
  <c r="I571" i="13"/>
  <c r="H571" i="13"/>
  <c r="F571" i="13"/>
  <c r="E571" i="13"/>
  <c r="D571" i="13"/>
  <c r="C571" i="13"/>
  <c r="B571" i="13"/>
  <c r="A571" i="13"/>
  <c r="Q571" i="13" s="1"/>
  <c r="J570" i="13"/>
  <c r="I570" i="13"/>
  <c r="H570" i="13"/>
  <c r="F570" i="13"/>
  <c r="E570" i="13"/>
  <c r="D570" i="13"/>
  <c r="C570" i="13"/>
  <c r="B570" i="13"/>
  <c r="A570" i="13"/>
  <c r="Q570" i="13" s="1"/>
  <c r="J569" i="13"/>
  <c r="I569" i="13"/>
  <c r="H569" i="13"/>
  <c r="F569" i="13"/>
  <c r="E569" i="13"/>
  <c r="D569" i="13"/>
  <c r="C569" i="13"/>
  <c r="B569" i="13"/>
  <c r="A569" i="13"/>
  <c r="Q569" i="13" s="1"/>
  <c r="J568" i="13"/>
  <c r="I568" i="13"/>
  <c r="H568" i="13"/>
  <c r="F568" i="13"/>
  <c r="E568" i="13"/>
  <c r="D568" i="13"/>
  <c r="C568" i="13"/>
  <c r="B568" i="13"/>
  <c r="A568" i="13"/>
  <c r="Q568" i="13" s="1"/>
  <c r="J567" i="13"/>
  <c r="I567" i="13"/>
  <c r="H567" i="13"/>
  <c r="F567" i="13"/>
  <c r="E567" i="13"/>
  <c r="D567" i="13"/>
  <c r="C567" i="13"/>
  <c r="B567" i="13"/>
  <c r="A567" i="13"/>
  <c r="Q567" i="13" s="1"/>
  <c r="J566" i="13"/>
  <c r="I566" i="13"/>
  <c r="H566" i="13"/>
  <c r="F566" i="13"/>
  <c r="E566" i="13"/>
  <c r="D566" i="13"/>
  <c r="C566" i="13"/>
  <c r="B566" i="13"/>
  <c r="A566" i="13"/>
  <c r="Q566" i="13" s="1"/>
  <c r="J565" i="13"/>
  <c r="I565" i="13"/>
  <c r="H565" i="13"/>
  <c r="F565" i="13"/>
  <c r="E565" i="13"/>
  <c r="D565" i="13"/>
  <c r="C565" i="13"/>
  <c r="B565" i="13"/>
  <c r="A565" i="13"/>
  <c r="Q565" i="13" s="1"/>
  <c r="J564" i="13"/>
  <c r="I564" i="13"/>
  <c r="H564" i="13"/>
  <c r="F564" i="13"/>
  <c r="E564" i="13"/>
  <c r="D564" i="13"/>
  <c r="C564" i="13"/>
  <c r="B564" i="13"/>
  <c r="A564" i="13"/>
  <c r="Q564" i="13" s="1"/>
  <c r="J563" i="13"/>
  <c r="I563" i="13"/>
  <c r="H563" i="13"/>
  <c r="F563" i="13"/>
  <c r="E563" i="13"/>
  <c r="D563" i="13"/>
  <c r="C563" i="13"/>
  <c r="B563" i="13"/>
  <c r="A563" i="13"/>
  <c r="Q563" i="13" s="1"/>
  <c r="J562" i="13"/>
  <c r="I562" i="13"/>
  <c r="H562" i="13"/>
  <c r="F562" i="13"/>
  <c r="E562" i="13"/>
  <c r="D562" i="13"/>
  <c r="C562" i="13"/>
  <c r="B562" i="13"/>
  <c r="A562" i="13"/>
  <c r="Q562" i="13" s="1"/>
  <c r="J561" i="13"/>
  <c r="I561" i="13"/>
  <c r="H561" i="13"/>
  <c r="F561" i="13"/>
  <c r="E561" i="13"/>
  <c r="D561" i="13"/>
  <c r="C561" i="13"/>
  <c r="B561" i="13"/>
  <c r="A561" i="13"/>
  <c r="Q561" i="13" s="1"/>
  <c r="J560" i="13"/>
  <c r="I560" i="13"/>
  <c r="H560" i="13"/>
  <c r="F560" i="13"/>
  <c r="E560" i="13"/>
  <c r="D560" i="13"/>
  <c r="C560" i="13"/>
  <c r="B560" i="13"/>
  <c r="A560" i="13"/>
  <c r="Q560" i="13" s="1"/>
  <c r="J559" i="13"/>
  <c r="I559" i="13"/>
  <c r="H559" i="13"/>
  <c r="F559" i="13"/>
  <c r="E559" i="13"/>
  <c r="D559" i="13"/>
  <c r="C559" i="13"/>
  <c r="B559" i="13"/>
  <c r="A559" i="13"/>
  <c r="Q559" i="13" s="1"/>
  <c r="J558" i="13"/>
  <c r="I558" i="13"/>
  <c r="H558" i="13"/>
  <c r="F558" i="13"/>
  <c r="E558" i="13"/>
  <c r="D558" i="13"/>
  <c r="C558" i="13"/>
  <c r="B558" i="13"/>
  <c r="A558" i="13"/>
  <c r="Q558" i="13" s="1"/>
  <c r="J557" i="13"/>
  <c r="I557" i="13"/>
  <c r="H557" i="13"/>
  <c r="F557" i="13"/>
  <c r="E557" i="13"/>
  <c r="D557" i="13"/>
  <c r="C557" i="13"/>
  <c r="B557" i="13"/>
  <c r="A557" i="13"/>
  <c r="Q557" i="13" s="1"/>
  <c r="J556" i="13"/>
  <c r="I556" i="13"/>
  <c r="H556" i="13"/>
  <c r="F556" i="13"/>
  <c r="E556" i="13"/>
  <c r="D556" i="13"/>
  <c r="C556" i="13"/>
  <c r="B556" i="13"/>
  <c r="A556" i="13"/>
  <c r="Q556" i="13" s="1"/>
  <c r="J555" i="13"/>
  <c r="I555" i="13"/>
  <c r="H555" i="13"/>
  <c r="F555" i="13"/>
  <c r="E555" i="13"/>
  <c r="D555" i="13"/>
  <c r="C555" i="13"/>
  <c r="B555" i="13"/>
  <c r="A555" i="13"/>
  <c r="Q555" i="13" s="1"/>
  <c r="J554" i="13"/>
  <c r="I554" i="13"/>
  <c r="H554" i="13"/>
  <c r="F554" i="13"/>
  <c r="E554" i="13"/>
  <c r="D554" i="13"/>
  <c r="C554" i="13"/>
  <c r="B554" i="13"/>
  <c r="A554" i="13"/>
  <c r="Q554" i="13" s="1"/>
  <c r="J553" i="13"/>
  <c r="I553" i="13"/>
  <c r="H553" i="13"/>
  <c r="F553" i="13"/>
  <c r="E553" i="13"/>
  <c r="D553" i="13"/>
  <c r="C553" i="13"/>
  <c r="B553" i="13"/>
  <c r="A553" i="13"/>
  <c r="Q553" i="13" s="1"/>
  <c r="J552" i="13"/>
  <c r="I552" i="13"/>
  <c r="H552" i="13"/>
  <c r="F552" i="13"/>
  <c r="E552" i="13"/>
  <c r="D552" i="13"/>
  <c r="C552" i="13"/>
  <c r="B552" i="13"/>
  <c r="A552" i="13"/>
  <c r="Q552" i="13" s="1"/>
  <c r="J551" i="13"/>
  <c r="I551" i="13"/>
  <c r="H551" i="13"/>
  <c r="F551" i="13"/>
  <c r="E551" i="13"/>
  <c r="D551" i="13"/>
  <c r="C551" i="13"/>
  <c r="B551" i="13"/>
  <c r="A551" i="13"/>
  <c r="Q551" i="13" s="1"/>
  <c r="J550" i="13"/>
  <c r="I550" i="13"/>
  <c r="H550" i="13"/>
  <c r="F550" i="13"/>
  <c r="E550" i="13"/>
  <c r="D550" i="13"/>
  <c r="C550" i="13"/>
  <c r="B550" i="13"/>
  <c r="A550" i="13"/>
  <c r="Q550" i="13" s="1"/>
  <c r="J549" i="13"/>
  <c r="I549" i="13"/>
  <c r="H549" i="13"/>
  <c r="F549" i="13"/>
  <c r="E549" i="13"/>
  <c r="D549" i="13"/>
  <c r="C549" i="13"/>
  <c r="B549" i="13"/>
  <c r="A549" i="13"/>
  <c r="Q549" i="13" s="1"/>
  <c r="J548" i="13"/>
  <c r="I548" i="13"/>
  <c r="H548" i="13"/>
  <c r="F548" i="13"/>
  <c r="E548" i="13"/>
  <c r="D548" i="13"/>
  <c r="C548" i="13"/>
  <c r="B548" i="13"/>
  <c r="A548" i="13"/>
  <c r="Q548" i="13" s="1"/>
  <c r="J547" i="13"/>
  <c r="I547" i="13"/>
  <c r="H547" i="13"/>
  <c r="F547" i="13"/>
  <c r="E547" i="13"/>
  <c r="D547" i="13"/>
  <c r="C547" i="13"/>
  <c r="B547" i="13"/>
  <c r="A547" i="13"/>
  <c r="Q547" i="13" s="1"/>
  <c r="J546" i="13"/>
  <c r="I546" i="13"/>
  <c r="H546" i="13"/>
  <c r="F546" i="13"/>
  <c r="E546" i="13"/>
  <c r="D546" i="13"/>
  <c r="C546" i="13"/>
  <c r="B546" i="13"/>
  <c r="A546" i="13"/>
  <c r="Q546" i="13" s="1"/>
  <c r="J545" i="13"/>
  <c r="I545" i="13"/>
  <c r="H545" i="13"/>
  <c r="F545" i="13"/>
  <c r="E545" i="13"/>
  <c r="D545" i="13"/>
  <c r="C545" i="13"/>
  <c r="B545" i="13"/>
  <c r="A545" i="13"/>
  <c r="Q545" i="13" s="1"/>
  <c r="J544" i="13"/>
  <c r="I544" i="13"/>
  <c r="H544" i="13"/>
  <c r="F544" i="13"/>
  <c r="E544" i="13"/>
  <c r="D544" i="13"/>
  <c r="C544" i="13"/>
  <c r="B544" i="13"/>
  <c r="A544" i="13"/>
  <c r="Q544" i="13" s="1"/>
  <c r="J543" i="13"/>
  <c r="I543" i="13"/>
  <c r="H543" i="13"/>
  <c r="F543" i="13"/>
  <c r="E543" i="13"/>
  <c r="D543" i="13"/>
  <c r="C543" i="13"/>
  <c r="B543" i="13"/>
  <c r="A543" i="13"/>
  <c r="Q543" i="13" s="1"/>
  <c r="J542" i="13"/>
  <c r="I542" i="13"/>
  <c r="H542" i="13"/>
  <c r="F542" i="13"/>
  <c r="E542" i="13"/>
  <c r="D542" i="13"/>
  <c r="C542" i="13"/>
  <c r="B542" i="13"/>
  <c r="A542" i="13"/>
  <c r="Q542" i="13" s="1"/>
  <c r="J541" i="13"/>
  <c r="I541" i="13"/>
  <c r="H541" i="13"/>
  <c r="F541" i="13"/>
  <c r="E541" i="13"/>
  <c r="D541" i="13"/>
  <c r="C541" i="13"/>
  <c r="B541" i="13"/>
  <c r="A541" i="13"/>
  <c r="Q541" i="13" s="1"/>
  <c r="J540" i="13"/>
  <c r="I540" i="13"/>
  <c r="H540" i="13"/>
  <c r="F540" i="13"/>
  <c r="E540" i="13"/>
  <c r="D540" i="13"/>
  <c r="C540" i="13"/>
  <c r="B540" i="13"/>
  <c r="A540" i="13"/>
  <c r="Q540" i="13" s="1"/>
  <c r="J539" i="13"/>
  <c r="I539" i="13"/>
  <c r="H539" i="13"/>
  <c r="F539" i="13"/>
  <c r="E539" i="13"/>
  <c r="D539" i="13"/>
  <c r="C539" i="13"/>
  <c r="B539" i="13"/>
  <c r="A539" i="13"/>
  <c r="Q539" i="13" s="1"/>
  <c r="J538" i="13"/>
  <c r="I538" i="13"/>
  <c r="H538" i="13"/>
  <c r="F538" i="13"/>
  <c r="E538" i="13"/>
  <c r="D538" i="13"/>
  <c r="C538" i="13"/>
  <c r="B538" i="13"/>
  <c r="A538" i="13"/>
  <c r="Q538" i="13" s="1"/>
  <c r="J537" i="13"/>
  <c r="I537" i="13"/>
  <c r="H537" i="13"/>
  <c r="F537" i="13"/>
  <c r="E537" i="13"/>
  <c r="D537" i="13"/>
  <c r="C537" i="13"/>
  <c r="B537" i="13"/>
  <c r="A537" i="13"/>
  <c r="Q537" i="13" s="1"/>
  <c r="J536" i="13"/>
  <c r="I536" i="13"/>
  <c r="H536" i="13"/>
  <c r="F536" i="13"/>
  <c r="E536" i="13"/>
  <c r="D536" i="13"/>
  <c r="C536" i="13"/>
  <c r="B536" i="13"/>
  <c r="A536" i="13"/>
  <c r="Q536" i="13" s="1"/>
  <c r="J535" i="13"/>
  <c r="I535" i="13"/>
  <c r="H535" i="13"/>
  <c r="F535" i="13"/>
  <c r="E535" i="13"/>
  <c r="D535" i="13"/>
  <c r="C535" i="13"/>
  <c r="B535" i="13"/>
  <c r="A535" i="13"/>
  <c r="Q535" i="13" s="1"/>
  <c r="J534" i="13"/>
  <c r="I534" i="13"/>
  <c r="H534" i="13"/>
  <c r="F534" i="13"/>
  <c r="E534" i="13"/>
  <c r="D534" i="13"/>
  <c r="C534" i="13"/>
  <c r="B534" i="13"/>
  <c r="A534" i="13"/>
  <c r="Q534" i="13" s="1"/>
  <c r="J533" i="13"/>
  <c r="I533" i="13"/>
  <c r="H533" i="13"/>
  <c r="F533" i="13"/>
  <c r="E533" i="13"/>
  <c r="D533" i="13"/>
  <c r="C533" i="13"/>
  <c r="B533" i="13"/>
  <c r="A533" i="13"/>
  <c r="Q533" i="13" s="1"/>
  <c r="J532" i="13"/>
  <c r="I532" i="13"/>
  <c r="H532" i="13"/>
  <c r="F532" i="13"/>
  <c r="E532" i="13"/>
  <c r="D532" i="13"/>
  <c r="C532" i="13"/>
  <c r="B532" i="13"/>
  <c r="A532" i="13"/>
  <c r="Q532" i="13" s="1"/>
  <c r="J531" i="13"/>
  <c r="I531" i="13"/>
  <c r="H531" i="13"/>
  <c r="F531" i="13"/>
  <c r="E531" i="13"/>
  <c r="D531" i="13"/>
  <c r="C531" i="13"/>
  <c r="B531" i="13"/>
  <c r="A531" i="13"/>
  <c r="Q531" i="13" s="1"/>
  <c r="J530" i="13"/>
  <c r="I530" i="13"/>
  <c r="H530" i="13"/>
  <c r="F530" i="13"/>
  <c r="E530" i="13"/>
  <c r="D530" i="13"/>
  <c r="C530" i="13"/>
  <c r="B530" i="13"/>
  <c r="A530" i="13"/>
  <c r="Q530" i="13" s="1"/>
  <c r="J529" i="13"/>
  <c r="I529" i="13"/>
  <c r="H529" i="13"/>
  <c r="F529" i="13"/>
  <c r="E529" i="13"/>
  <c r="D529" i="13"/>
  <c r="C529" i="13"/>
  <c r="B529" i="13"/>
  <c r="A529" i="13"/>
  <c r="Q529" i="13" s="1"/>
  <c r="J528" i="13"/>
  <c r="I528" i="13"/>
  <c r="H528" i="13"/>
  <c r="F528" i="13"/>
  <c r="E528" i="13"/>
  <c r="D528" i="13"/>
  <c r="C528" i="13"/>
  <c r="B528" i="13"/>
  <c r="A528" i="13"/>
  <c r="Q528" i="13" s="1"/>
  <c r="J527" i="13"/>
  <c r="I527" i="13"/>
  <c r="H527" i="13"/>
  <c r="F527" i="13"/>
  <c r="E527" i="13"/>
  <c r="D527" i="13"/>
  <c r="C527" i="13"/>
  <c r="B527" i="13"/>
  <c r="A527" i="13"/>
  <c r="Q527" i="13" s="1"/>
  <c r="J526" i="13"/>
  <c r="I526" i="13"/>
  <c r="H526" i="13"/>
  <c r="F526" i="13"/>
  <c r="E526" i="13"/>
  <c r="D526" i="13"/>
  <c r="C526" i="13"/>
  <c r="B526" i="13"/>
  <c r="A526" i="13"/>
  <c r="Q526" i="13" s="1"/>
  <c r="J525" i="13"/>
  <c r="I525" i="13"/>
  <c r="H525" i="13"/>
  <c r="F525" i="13"/>
  <c r="E525" i="13"/>
  <c r="D525" i="13"/>
  <c r="C525" i="13"/>
  <c r="B525" i="13"/>
  <c r="A525" i="13"/>
  <c r="Q525" i="13" s="1"/>
  <c r="J524" i="13"/>
  <c r="I524" i="13"/>
  <c r="H524" i="13"/>
  <c r="F524" i="13"/>
  <c r="E524" i="13"/>
  <c r="D524" i="13"/>
  <c r="C524" i="13"/>
  <c r="B524" i="13"/>
  <c r="A524" i="13"/>
  <c r="Q524" i="13" s="1"/>
  <c r="J523" i="13"/>
  <c r="I523" i="13"/>
  <c r="H523" i="13"/>
  <c r="F523" i="13"/>
  <c r="E523" i="13"/>
  <c r="D523" i="13"/>
  <c r="C523" i="13"/>
  <c r="B523" i="13"/>
  <c r="A523" i="13"/>
  <c r="Q523" i="13" s="1"/>
  <c r="J522" i="13"/>
  <c r="I522" i="13"/>
  <c r="H522" i="13"/>
  <c r="F522" i="13"/>
  <c r="E522" i="13"/>
  <c r="D522" i="13"/>
  <c r="C522" i="13"/>
  <c r="B522" i="13"/>
  <c r="A522" i="13"/>
  <c r="Q522" i="13" s="1"/>
  <c r="J521" i="13"/>
  <c r="I521" i="13"/>
  <c r="H521" i="13"/>
  <c r="F521" i="13"/>
  <c r="E521" i="13"/>
  <c r="D521" i="13"/>
  <c r="C521" i="13"/>
  <c r="B521" i="13"/>
  <c r="A521" i="13"/>
  <c r="Q521" i="13" s="1"/>
  <c r="J520" i="13"/>
  <c r="I520" i="13"/>
  <c r="H520" i="13"/>
  <c r="F520" i="13"/>
  <c r="E520" i="13"/>
  <c r="D520" i="13"/>
  <c r="C520" i="13"/>
  <c r="B520" i="13"/>
  <c r="A520" i="13"/>
  <c r="Q520" i="13" s="1"/>
  <c r="J519" i="13"/>
  <c r="I519" i="13"/>
  <c r="H519" i="13"/>
  <c r="F519" i="13"/>
  <c r="E519" i="13"/>
  <c r="D519" i="13"/>
  <c r="C519" i="13"/>
  <c r="B519" i="13"/>
  <c r="A519" i="13"/>
  <c r="Q519" i="13" s="1"/>
  <c r="J518" i="13"/>
  <c r="I518" i="13"/>
  <c r="H518" i="13"/>
  <c r="F518" i="13"/>
  <c r="E518" i="13"/>
  <c r="D518" i="13"/>
  <c r="C518" i="13"/>
  <c r="B518" i="13"/>
  <c r="A518" i="13"/>
  <c r="Q518" i="13" s="1"/>
  <c r="J517" i="13"/>
  <c r="I517" i="13"/>
  <c r="H517" i="13"/>
  <c r="F517" i="13"/>
  <c r="E517" i="13"/>
  <c r="D517" i="13"/>
  <c r="C517" i="13"/>
  <c r="B517" i="13"/>
  <c r="A517" i="13"/>
  <c r="Q517" i="13" s="1"/>
  <c r="J516" i="13"/>
  <c r="I516" i="13"/>
  <c r="H516" i="13"/>
  <c r="F516" i="13"/>
  <c r="E516" i="13"/>
  <c r="D516" i="13"/>
  <c r="C516" i="13"/>
  <c r="B516" i="13"/>
  <c r="A516" i="13"/>
  <c r="Q516" i="13" s="1"/>
  <c r="J515" i="13"/>
  <c r="I515" i="13"/>
  <c r="H515" i="13"/>
  <c r="F515" i="13"/>
  <c r="E515" i="13"/>
  <c r="D515" i="13"/>
  <c r="C515" i="13"/>
  <c r="B515" i="13"/>
  <c r="A515" i="13"/>
  <c r="Q515" i="13" s="1"/>
  <c r="J514" i="13"/>
  <c r="I514" i="13"/>
  <c r="H514" i="13"/>
  <c r="F514" i="13"/>
  <c r="E514" i="13"/>
  <c r="D514" i="13"/>
  <c r="C514" i="13"/>
  <c r="B514" i="13"/>
  <c r="A514" i="13"/>
  <c r="Q514" i="13" s="1"/>
  <c r="J513" i="13"/>
  <c r="I513" i="13"/>
  <c r="H513" i="13"/>
  <c r="F513" i="13"/>
  <c r="E513" i="13"/>
  <c r="D513" i="13"/>
  <c r="C513" i="13"/>
  <c r="B513" i="13"/>
  <c r="A513" i="13"/>
  <c r="Q513" i="13" s="1"/>
  <c r="J512" i="13"/>
  <c r="I512" i="13"/>
  <c r="H512" i="13"/>
  <c r="F512" i="13"/>
  <c r="E512" i="13"/>
  <c r="D512" i="13"/>
  <c r="C512" i="13"/>
  <c r="B512" i="13"/>
  <c r="A512" i="13"/>
  <c r="Q512" i="13" s="1"/>
  <c r="J511" i="13"/>
  <c r="I511" i="13"/>
  <c r="H511" i="13"/>
  <c r="F511" i="13"/>
  <c r="E511" i="13"/>
  <c r="D511" i="13"/>
  <c r="C511" i="13"/>
  <c r="B511" i="13"/>
  <c r="A511" i="13"/>
  <c r="Q511" i="13" s="1"/>
  <c r="J510" i="13"/>
  <c r="I510" i="13"/>
  <c r="H510" i="13"/>
  <c r="F510" i="13"/>
  <c r="E510" i="13"/>
  <c r="D510" i="13"/>
  <c r="C510" i="13"/>
  <c r="B510" i="13"/>
  <c r="A510" i="13"/>
  <c r="Q510" i="13" s="1"/>
  <c r="J509" i="13"/>
  <c r="I509" i="13"/>
  <c r="H509" i="13"/>
  <c r="F509" i="13"/>
  <c r="E509" i="13"/>
  <c r="D509" i="13"/>
  <c r="C509" i="13"/>
  <c r="B509" i="13"/>
  <c r="A509" i="13"/>
  <c r="Q509" i="13" s="1"/>
  <c r="J508" i="13"/>
  <c r="I508" i="13"/>
  <c r="H508" i="13"/>
  <c r="F508" i="13"/>
  <c r="E508" i="13"/>
  <c r="D508" i="13"/>
  <c r="C508" i="13"/>
  <c r="B508" i="13"/>
  <c r="A508" i="13"/>
  <c r="Q508" i="13" s="1"/>
  <c r="J507" i="13"/>
  <c r="I507" i="13"/>
  <c r="H507" i="13"/>
  <c r="F507" i="13"/>
  <c r="E507" i="13"/>
  <c r="D507" i="13"/>
  <c r="C507" i="13"/>
  <c r="B507" i="13"/>
  <c r="A507" i="13"/>
  <c r="Q507" i="13" s="1"/>
  <c r="J506" i="13"/>
  <c r="I506" i="13"/>
  <c r="H506" i="13"/>
  <c r="F506" i="13"/>
  <c r="E506" i="13"/>
  <c r="D506" i="13"/>
  <c r="C506" i="13"/>
  <c r="B506" i="13"/>
  <c r="A506" i="13"/>
  <c r="Q506" i="13" s="1"/>
  <c r="J505" i="13"/>
  <c r="I505" i="13"/>
  <c r="H505" i="13"/>
  <c r="F505" i="13"/>
  <c r="E505" i="13"/>
  <c r="D505" i="13"/>
  <c r="C505" i="13"/>
  <c r="B505" i="13"/>
  <c r="A505" i="13"/>
  <c r="Q505" i="13" s="1"/>
  <c r="J504" i="13"/>
  <c r="I504" i="13"/>
  <c r="H504" i="13"/>
  <c r="F504" i="13"/>
  <c r="E504" i="13"/>
  <c r="D504" i="13"/>
  <c r="C504" i="13"/>
  <c r="B504" i="13"/>
  <c r="A504" i="13"/>
  <c r="Q504" i="13" s="1"/>
  <c r="J503" i="13"/>
  <c r="I503" i="13"/>
  <c r="H503" i="13"/>
  <c r="F503" i="13"/>
  <c r="E503" i="13"/>
  <c r="D503" i="13"/>
  <c r="C503" i="13"/>
  <c r="B503" i="13"/>
  <c r="A503" i="13"/>
  <c r="Q503" i="13" s="1"/>
  <c r="J502" i="13"/>
  <c r="I502" i="13"/>
  <c r="H502" i="13"/>
  <c r="F502" i="13"/>
  <c r="E502" i="13"/>
  <c r="D502" i="13"/>
  <c r="C502" i="13"/>
  <c r="B502" i="13"/>
  <c r="A502" i="13"/>
  <c r="Q502" i="13" s="1"/>
  <c r="J501" i="13"/>
  <c r="I501" i="13"/>
  <c r="H501" i="13"/>
  <c r="F501" i="13"/>
  <c r="E501" i="13"/>
  <c r="D501" i="13"/>
  <c r="C501" i="13"/>
  <c r="B501" i="13"/>
  <c r="A501" i="13"/>
  <c r="Q501" i="13" s="1"/>
  <c r="J500" i="13"/>
  <c r="I500" i="13"/>
  <c r="H500" i="13"/>
  <c r="F500" i="13"/>
  <c r="E500" i="13"/>
  <c r="D500" i="13"/>
  <c r="C500" i="13"/>
  <c r="B500" i="13"/>
  <c r="A500" i="13"/>
  <c r="Q500" i="13" s="1"/>
  <c r="J499" i="13"/>
  <c r="I499" i="13"/>
  <c r="H499" i="13"/>
  <c r="F499" i="13"/>
  <c r="E499" i="13"/>
  <c r="D499" i="13"/>
  <c r="C499" i="13"/>
  <c r="B499" i="13"/>
  <c r="A499" i="13"/>
  <c r="Q499" i="13" s="1"/>
  <c r="J498" i="13"/>
  <c r="I498" i="13"/>
  <c r="H498" i="13"/>
  <c r="F498" i="13"/>
  <c r="E498" i="13"/>
  <c r="D498" i="13"/>
  <c r="C498" i="13"/>
  <c r="B498" i="13"/>
  <c r="A498" i="13"/>
  <c r="Q498" i="13" s="1"/>
  <c r="J497" i="13"/>
  <c r="I497" i="13"/>
  <c r="H497" i="13"/>
  <c r="F497" i="13"/>
  <c r="E497" i="13"/>
  <c r="D497" i="13"/>
  <c r="C497" i="13"/>
  <c r="B497" i="13"/>
  <c r="A497" i="13"/>
  <c r="Q497" i="13" s="1"/>
  <c r="J496" i="13"/>
  <c r="I496" i="13"/>
  <c r="H496" i="13"/>
  <c r="F496" i="13"/>
  <c r="E496" i="13"/>
  <c r="D496" i="13"/>
  <c r="C496" i="13"/>
  <c r="B496" i="13"/>
  <c r="A496" i="13"/>
  <c r="Q496" i="13" s="1"/>
  <c r="J495" i="13"/>
  <c r="I495" i="13"/>
  <c r="H495" i="13"/>
  <c r="F495" i="13"/>
  <c r="E495" i="13"/>
  <c r="D495" i="13"/>
  <c r="C495" i="13"/>
  <c r="B495" i="13"/>
  <c r="A495" i="13"/>
  <c r="Q495" i="13" s="1"/>
  <c r="J494" i="13"/>
  <c r="I494" i="13"/>
  <c r="H494" i="13"/>
  <c r="F494" i="13"/>
  <c r="E494" i="13"/>
  <c r="D494" i="13"/>
  <c r="C494" i="13"/>
  <c r="B494" i="13"/>
  <c r="A494" i="13"/>
  <c r="Q494" i="13" s="1"/>
  <c r="J493" i="13"/>
  <c r="I493" i="13"/>
  <c r="H493" i="13"/>
  <c r="F493" i="13"/>
  <c r="E493" i="13"/>
  <c r="D493" i="13"/>
  <c r="C493" i="13"/>
  <c r="B493" i="13"/>
  <c r="A493" i="13"/>
  <c r="Q493" i="13" s="1"/>
  <c r="J492" i="13"/>
  <c r="I492" i="13"/>
  <c r="H492" i="13"/>
  <c r="F492" i="13"/>
  <c r="E492" i="13"/>
  <c r="D492" i="13"/>
  <c r="C492" i="13"/>
  <c r="B492" i="13"/>
  <c r="A492" i="13"/>
  <c r="Q492" i="13" s="1"/>
  <c r="J491" i="13"/>
  <c r="I491" i="13"/>
  <c r="H491" i="13"/>
  <c r="F491" i="13"/>
  <c r="E491" i="13"/>
  <c r="D491" i="13"/>
  <c r="C491" i="13"/>
  <c r="B491" i="13"/>
  <c r="A491" i="13"/>
  <c r="Q491" i="13" s="1"/>
  <c r="J490" i="13"/>
  <c r="I490" i="13"/>
  <c r="H490" i="13"/>
  <c r="F490" i="13"/>
  <c r="E490" i="13"/>
  <c r="D490" i="13"/>
  <c r="C490" i="13"/>
  <c r="B490" i="13"/>
  <c r="A490" i="13"/>
  <c r="Q490" i="13" s="1"/>
  <c r="J489" i="13"/>
  <c r="I489" i="13"/>
  <c r="H489" i="13"/>
  <c r="F489" i="13"/>
  <c r="E489" i="13"/>
  <c r="D489" i="13"/>
  <c r="C489" i="13"/>
  <c r="B489" i="13"/>
  <c r="A489" i="13"/>
  <c r="Q489" i="13" s="1"/>
  <c r="J488" i="13"/>
  <c r="I488" i="13"/>
  <c r="H488" i="13"/>
  <c r="F488" i="13"/>
  <c r="E488" i="13"/>
  <c r="D488" i="13"/>
  <c r="C488" i="13"/>
  <c r="B488" i="13"/>
  <c r="A488" i="13"/>
  <c r="Q488" i="13" s="1"/>
  <c r="J487" i="13"/>
  <c r="I487" i="13"/>
  <c r="H487" i="13"/>
  <c r="F487" i="13"/>
  <c r="E487" i="13"/>
  <c r="D487" i="13"/>
  <c r="C487" i="13"/>
  <c r="B487" i="13"/>
  <c r="A487" i="13"/>
  <c r="Q487" i="13" s="1"/>
  <c r="J486" i="13"/>
  <c r="I486" i="13"/>
  <c r="H486" i="13"/>
  <c r="F486" i="13"/>
  <c r="E486" i="13"/>
  <c r="D486" i="13"/>
  <c r="C486" i="13"/>
  <c r="B486" i="13"/>
  <c r="A486" i="13"/>
  <c r="Q486" i="13" s="1"/>
  <c r="J485" i="13"/>
  <c r="I485" i="13"/>
  <c r="H485" i="13"/>
  <c r="F485" i="13"/>
  <c r="E485" i="13"/>
  <c r="D485" i="13"/>
  <c r="C485" i="13"/>
  <c r="B485" i="13"/>
  <c r="A485" i="13"/>
  <c r="Q485" i="13" s="1"/>
  <c r="J484" i="13"/>
  <c r="I484" i="13"/>
  <c r="H484" i="13"/>
  <c r="F484" i="13"/>
  <c r="E484" i="13"/>
  <c r="D484" i="13"/>
  <c r="C484" i="13"/>
  <c r="B484" i="13"/>
  <c r="A484" i="13"/>
  <c r="Q484" i="13" s="1"/>
  <c r="J483" i="13"/>
  <c r="I483" i="13"/>
  <c r="H483" i="13"/>
  <c r="F483" i="13"/>
  <c r="E483" i="13"/>
  <c r="D483" i="13"/>
  <c r="C483" i="13"/>
  <c r="B483" i="13"/>
  <c r="A483" i="13"/>
  <c r="Q483" i="13" s="1"/>
  <c r="J482" i="13"/>
  <c r="I482" i="13"/>
  <c r="H482" i="13"/>
  <c r="F482" i="13"/>
  <c r="E482" i="13"/>
  <c r="D482" i="13"/>
  <c r="C482" i="13"/>
  <c r="B482" i="13"/>
  <c r="A482" i="13"/>
  <c r="Q482" i="13" s="1"/>
  <c r="J481" i="13"/>
  <c r="I481" i="13"/>
  <c r="H481" i="13"/>
  <c r="F481" i="13"/>
  <c r="E481" i="13"/>
  <c r="D481" i="13"/>
  <c r="C481" i="13"/>
  <c r="B481" i="13"/>
  <c r="A481" i="13"/>
  <c r="Q481" i="13" s="1"/>
  <c r="J480" i="13"/>
  <c r="I480" i="13"/>
  <c r="H480" i="13"/>
  <c r="F480" i="13"/>
  <c r="E480" i="13"/>
  <c r="D480" i="13"/>
  <c r="C480" i="13"/>
  <c r="B480" i="13"/>
  <c r="A480" i="13"/>
  <c r="Q480" i="13" s="1"/>
  <c r="J479" i="13"/>
  <c r="I479" i="13"/>
  <c r="H479" i="13"/>
  <c r="F479" i="13"/>
  <c r="E479" i="13"/>
  <c r="D479" i="13"/>
  <c r="C479" i="13"/>
  <c r="B479" i="13"/>
  <c r="A479" i="13"/>
  <c r="Q479" i="13" s="1"/>
  <c r="J478" i="13"/>
  <c r="I478" i="13"/>
  <c r="H478" i="13"/>
  <c r="F478" i="13"/>
  <c r="E478" i="13"/>
  <c r="D478" i="13"/>
  <c r="C478" i="13"/>
  <c r="B478" i="13"/>
  <c r="A478" i="13"/>
  <c r="Q478" i="13" s="1"/>
  <c r="J477" i="13"/>
  <c r="I477" i="13"/>
  <c r="H477" i="13"/>
  <c r="F477" i="13"/>
  <c r="E477" i="13"/>
  <c r="D477" i="13"/>
  <c r="C477" i="13"/>
  <c r="B477" i="13"/>
  <c r="A477" i="13"/>
  <c r="Q477" i="13" s="1"/>
  <c r="J476" i="13"/>
  <c r="I476" i="13"/>
  <c r="H476" i="13"/>
  <c r="F476" i="13"/>
  <c r="E476" i="13"/>
  <c r="D476" i="13"/>
  <c r="C476" i="13"/>
  <c r="B476" i="13"/>
  <c r="A476" i="13"/>
  <c r="Q476" i="13" s="1"/>
  <c r="J475" i="13"/>
  <c r="I475" i="13"/>
  <c r="H475" i="13"/>
  <c r="F475" i="13"/>
  <c r="E475" i="13"/>
  <c r="D475" i="13"/>
  <c r="C475" i="13"/>
  <c r="B475" i="13"/>
  <c r="A475" i="13"/>
  <c r="Q475" i="13" s="1"/>
  <c r="J474" i="13"/>
  <c r="I474" i="13"/>
  <c r="H474" i="13"/>
  <c r="F474" i="13"/>
  <c r="E474" i="13"/>
  <c r="D474" i="13"/>
  <c r="C474" i="13"/>
  <c r="B474" i="13"/>
  <c r="A474" i="13"/>
  <c r="Q474" i="13" s="1"/>
  <c r="J473" i="13"/>
  <c r="I473" i="13"/>
  <c r="H473" i="13"/>
  <c r="F473" i="13"/>
  <c r="E473" i="13"/>
  <c r="D473" i="13"/>
  <c r="C473" i="13"/>
  <c r="B473" i="13"/>
  <c r="A473" i="13"/>
  <c r="Q473" i="13" s="1"/>
  <c r="J472" i="13"/>
  <c r="I472" i="13"/>
  <c r="H472" i="13"/>
  <c r="F472" i="13"/>
  <c r="E472" i="13"/>
  <c r="D472" i="13"/>
  <c r="C472" i="13"/>
  <c r="B472" i="13"/>
  <c r="A472" i="13"/>
  <c r="Q472" i="13" s="1"/>
  <c r="J471" i="13"/>
  <c r="I471" i="13"/>
  <c r="H471" i="13"/>
  <c r="F471" i="13"/>
  <c r="E471" i="13"/>
  <c r="D471" i="13"/>
  <c r="C471" i="13"/>
  <c r="B471" i="13"/>
  <c r="A471" i="13"/>
  <c r="Q471" i="13" s="1"/>
  <c r="J470" i="13"/>
  <c r="I470" i="13"/>
  <c r="H470" i="13"/>
  <c r="F470" i="13"/>
  <c r="E470" i="13"/>
  <c r="D470" i="13"/>
  <c r="C470" i="13"/>
  <c r="B470" i="13"/>
  <c r="A470" i="13"/>
  <c r="Q470" i="13" s="1"/>
  <c r="J469" i="13"/>
  <c r="I469" i="13"/>
  <c r="H469" i="13"/>
  <c r="F469" i="13"/>
  <c r="E469" i="13"/>
  <c r="D469" i="13"/>
  <c r="C469" i="13"/>
  <c r="B469" i="13"/>
  <c r="A469" i="13"/>
  <c r="Q469" i="13" s="1"/>
  <c r="J468" i="13"/>
  <c r="I468" i="13"/>
  <c r="H468" i="13"/>
  <c r="F468" i="13"/>
  <c r="E468" i="13"/>
  <c r="D468" i="13"/>
  <c r="C468" i="13"/>
  <c r="B468" i="13"/>
  <c r="A468" i="13"/>
  <c r="Q468" i="13" s="1"/>
  <c r="J467" i="13"/>
  <c r="I467" i="13"/>
  <c r="H467" i="13"/>
  <c r="F467" i="13"/>
  <c r="E467" i="13"/>
  <c r="D467" i="13"/>
  <c r="C467" i="13"/>
  <c r="B467" i="13"/>
  <c r="A467" i="13"/>
  <c r="Q467" i="13" s="1"/>
  <c r="J466" i="13"/>
  <c r="I466" i="13"/>
  <c r="H466" i="13"/>
  <c r="F466" i="13"/>
  <c r="E466" i="13"/>
  <c r="D466" i="13"/>
  <c r="C466" i="13"/>
  <c r="B466" i="13"/>
  <c r="A466" i="13"/>
  <c r="Q466" i="13" s="1"/>
  <c r="J465" i="13"/>
  <c r="I465" i="13"/>
  <c r="H465" i="13"/>
  <c r="F465" i="13"/>
  <c r="E465" i="13"/>
  <c r="D465" i="13"/>
  <c r="C465" i="13"/>
  <c r="B465" i="13"/>
  <c r="A465" i="13"/>
  <c r="Q465" i="13" s="1"/>
  <c r="J464" i="13"/>
  <c r="I464" i="13"/>
  <c r="H464" i="13"/>
  <c r="F464" i="13"/>
  <c r="E464" i="13"/>
  <c r="D464" i="13"/>
  <c r="C464" i="13"/>
  <c r="B464" i="13"/>
  <c r="A464" i="13"/>
  <c r="Q464" i="13" s="1"/>
  <c r="J463" i="13"/>
  <c r="I463" i="13"/>
  <c r="H463" i="13"/>
  <c r="F463" i="13"/>
  <c r="E463" i="13"/>
  <c r="D463" i="13"/>
  <c r="C463" i="13"/>
  <c r="B463" i="13"/>
  <c r="A463" i="13"/>
  <c r="Q463" i="13" s="1"/>
  <c r="J462" i="13"/>
  <c r="I462" i="13"/>
  <c r="H462" i="13"/>
  <c r="F462" i="13"/>
  <c r="E462" i="13"/>
  <c r="D462" i="13"/>
  <c r="C462" i="13"/>
  <c r="B462" i="13"/>
  <c r="A462" i="13"/>
  <c r="Q462" i="13" s="1"/>
  <c r="J461" i="13"/>
  <c r="I461" i="13"/>
  <c r="H461" i="13"/>
  <c r="F461" i="13"/>
  <c r="E461" i="13"/>
  <c r="D461" i="13"/>
  <c r="C461" i="13"/>
  <c r="B461" i="13"/>
  <c r="A461" i="13"/>
  <c r="Q461" i="13" s="1"/>
  <c r="J460" i="13"/>
  <c r="I460" i="13"/>
  <c r="H460" i="13"/>
  <c r="F460" i="13"/>
  <c r="E460" i="13"/>
  <c r="D460" i="13"/>
  <c r="C460" i="13"/>
  <c r="B460" i="13"/>
  <c r="A460" i="13"/>
  <c r="Q460" i="13" s="1"/>
  <c r="J459" i="13"/>
  <c r="I459" i="13"/>
  <c r="H459" i="13"/>
  <c r="F459" i="13"/>
  <c r="E459" i="13"/>
  <c r="D459" i="13"/>
  <c r="C459" i="13"/>
  <c r="B459" i="13"/>
  <c r="A459" i="13"/>
  <c r="Q459" i="13" s="1"/>
  <c r="J458" i="13"/>
  <c r="I458" i="13"/>
  <c r="H458" i="13"/>
  <c r="F458" i="13"/>
  <c r="E458" i="13"/>
  <c r="D458" i="13"/>
  <c r="C458" i="13"/>
  <c r="B458" i="13"/>
  <c r="A458" i="13"/>
  <c r="Q458" i="13" s="1"/>
  <c r="J457" i="13"/>
  <c r="I457" i="13"/>
  <c r="H457" i="13"/>
  <c r="F457" i="13"/>
  <c r="E457" i="13"/>
  <c r="D457" i="13"/>
  <c r="C457" i="13"/>
  <c r="B457" i="13"/>
  <c r="A457" i="13"/>
  <c r="Q457" i="13" s="1"/>
  <c r="J456" i="13"/>
  <c r="I456" i="13"/>
  <c r="H456" i="13"/>
  <c r="F456" i="13"/>
  <c r="E456" i="13"/>
  <c r="D456" i="13"/>
  <c r="C456" i="13"/>
  <c r="B456" i="13"/>
  <c r="A456" i="13"/>
  <c r="Q456" i="13" s="1"/>
  <c r="J455" i="13"/>
  <c r="I455" i="13"/>
  <c r="H455" i="13"/>
  <c r="F455" i="13"/>
  <c r="E455" i="13"/>
  <c r="D455" i="13"/>
  <c r="C455" i="13"/>
  <c r="B455" i="13"/>
  <c r="A455" i="13"/>
  <c r="Q455" i="13" s="1"/>
  <c r="J454" i="13"/>
  <c r="I454" i="13"/>
  <c r="H454" i="13"/>
  <c r="F454" i="13"/>
  <c r="E454" i="13"/>
  <c r="D454" i="13"/>
  <c r="C454" i="13"/>
  <c r="B454" i="13"/>
  <c r="A454" i="13"/>
  <c r="Q454" i="13" s="1"/>
  <c r="J453" i="13"/>
  <c r="I453" i="13"/>
  <c r="H453" i="13"/>
  <c r="F453" i="13"/>
  <c r="E453" i="13"/>
  <c r="D453" i="13"/>
  <c r="C453" i="13"/>
  <c r="B453" i="13"/>
  <c r="A453" i="13"/>
  <c r="Q453" i="13" s="1"/>
  <c r="J452" i="13"/>
  <c r="I452" i="13"/>
  <c r="H452" i="13"/>
  <c r="F452" i="13"/>
  <c r="E452" i="13"/>
  <c r="D452" i="13"/>
  <c r="C452" i="13"/>
  <c r="B452" i="13"/>
  <c r="A452" i="13"/>
  <c r="Q452" i="13" s="1"/>
  <c r="J451" i="13"/>
  <c r="I451" i="13"/>
  <c r="H451" i="13"/>
  <c r="F451" i="13"/>
  <c r="E451" i="13"/>
  <c r="D451" i="13"/>
  <c r="C451" i="13"/>
  <c r="B451" i="13"/>
  <c r="A451" i="13"/>
  <c r="Q451" i="13" s="1"/>
  <c r="J450" i="13"/>
  <c r="I450" i="13"/>
  <c r="H450" i="13"/>
  <c r="F450" i="13"/>
  <c r="E450" i="13"/>
  <c r="D450" i="13"/>
  <c r="C450" i="13"/>
  <c r="B450" i="13"/>
  <c r="A450" i="13"/>
  <c r="Q450" i="13" s="1"/>
  <c r="J449" i="13"/>
  <c r="I449" i="13"/>
  <c r="H449" i="13"/>
  <c r="F449" i="13"/>
  <c r="E449" i="13"/>
  <c r="D449" i="13"/>
  <c r="C449" i="13"/>
  <c r="B449" i="13"/>
  <c r="A449" i="13"/>
  <c r="Q449" i="13" s="1"/>
  <c r="J448" i="13"/>
  <c r="I448" i="13"/>
  <c r="H448" i="13"/>
  <c r="F448" i="13"/>
  <c r="E448" i="13"/>
  <c r="D448" i="13"/>
  <c r="C448" i="13"/>
  <c r="B448" i="13"/>
  <c r="A448" i="13"/>
  <c r="Q448" i="13" s="1"/>
  <c r="J447" i="13"/>
  <c r="I447" i="13"/>
  <c r="H447" i="13"/>
  <c r="F447" i="13"/>
  <c r="E447" i="13"/>
  <c r="D447" i="13"/>
  <c r="C447" i="13"/>
  <c r="B447" i="13"/>
  <c r="A447" i="13"/>
  <c r="Q447" i="13" s="1"/>
  <c r="J446" i="13"/>
  <c r="I446" i="13"/>
  <c r="H446" i="13"/>
  <c r="F446" i="13"/>
  <c r="E446" i="13"/>
  <c r="D446" i="13"/>
  <c r="C446" i="13"/>
  <c r="B446" i="13"/>
  <c r="A446" i="13"/>
  <c r="Q446" i="13" s="1"/>
  <c r="J445" i="13"/>
  <c r="I445" i="13"/>
  <c r="H445" i="13"/>
  <c r="F445" i="13"/>
  <c r="E445" i="13"/>
  <c r="D445" i="13"/>
  <c r="C445" i="13"/>
  <c r="B445" i="13"/>
  <c r="A445" i="13"/>
  <c r="Q445" i="13" s="1"/>
  <c r="J444" i="13"/>
  <c r="I444" i="13"/>
  <c r="H444" i="13"/>
  <c r="F444" i="13"/>
  <c r="E444" i="13"/>
  <c r="D444" i="13"/>
  <c r="C444" i="13"/>
  <c r="B444" i="13"/>
  <c r="A444" i="13"/>
  <c r="Q444" i="13" s="1"/>
  <c r="P444" i="13" s="1"/>
  <c r="J443" i="13"/>
  <c r="I443" i="13"/>
  <c r="H443" i="13"/>
  <c r="F443" i="13"/>
  <c r="E443" i="13"/>
  <c r="D443" i="13"/>
  <c r="C443" i="13"/>
  <c r="B443" i="13"/>
  <c r="A443" i="13"/>
  <c r="Q443" i="13" s="1"/>
  <c r="Q442" i="13"/>
  <c r="J442" i="13"/>
  <c r="I442" i="13"/>
  <c r="H442" i="13"/>
  <c r="F442" i="13"/>
  <c r="E442" i="13"/>
  <c r="D442" i="13"/>
  <c r="C442" i="13"/>
  <c r="B442" i="13"/>
  <c r="A442" i="13"/>
  <c r="J441" i="13"/>
  <c r="I441" i="13"/>
  <c r="H441" i="13"/>
  <c r="F441" i="13"/>
  <c r="E441" i="13"/>
  <c r="D441" i="13"/>
  <c r="C441" i="13"/>
  <c r="B441" i="13"/>
  <c r="A441" i="13"/>
  <c r="Q441" i="13" s="1"/>
  <c r="J440" i="13"/>
  <c r="I440" i="13"/>
  <c r="H440" i="13"/>
  <c r="F440" i="13"/>
  <c r="E440" i="13"/>
  <c r="D440" i="13"/>
  <c r="C440" i="13"/>
  <c r="B440" i="13"/>
  <c r="A440" i="13"/>
  <c r="Q440" i="13" s="1"/>
  <c r="J439" i="13"/>
  <c r="I439" i="13"/>
  <c r="H439" i="13"/>
  <c r="F439" i="13"/>
  <c r="E439" i="13"/>
  <c r="D439" i="13"/>
  <c r="C439" i="13"/>
  <c r="B439" i="13"/>
  <c r="A439" i="13"/>
  <c r="Q439" i="13" s="1"/>
  <c r="J438" i="13"/>
  <c r="I438" i="13"/>
  <c r="H438" i="13"/>
  <c r="F438" i="13"/>
  <c r="E438" i="13"/>
  <c r="D438" i="13"/>
  <c r="C438" i="13"/>
  <c r="B438" i="13"/>
  <c r="A438" i="13"/>
  <c r="Q438" i="13" s="1"/>
  <c r="J437" i="13"/>
  <c r="I437" i="13"/>
  <c r="H437" i="13"/>
  <c r="F437" i="13"/>
  <c r="E437" i="13"/>
  <c r="D437" i="13"/>
  <c r="C437" i="13"/>
  <c r="B437" i="13"/>
  <c r="A437" i="13"/>
  <c r="Q437" i="13" s="1"/>
  <c r="K437" i="13" s="1"/>
  <c r="J436" i="13"/>
  <c r="I436" i="13"/>
  <c r="H436" i="13"/>
  <c r="F436" i="13"/>
  <c r="E436" i="13"/>
  <c r="D436" i="13"/>
  <c r="C436" i="13"/>
  <c r="B436" i="13"/>
  <c r="A436" i="13"/>
  <c r="Q436" i="13" s="1"/>
  <c r="J435" i="13"/>
  <c r="I435" i="13"/>
  <c r="H435" i="13"/>
  <c r="F435" i="13"/>
  <c r="E435" i="13"/>
  <c r="D435" i="13"/>
  <c r="C435" i="13"/>
  <c r="B435" i="13"/>
  <c r="A435" i="13"/>
  <c r="Q435" i="13" s="1"/>
  <c r="M435" i="13" s="1"/>
  <c r="J434" i="13"/>
  <c r="I434" i="13"/>
  <c r="H434" i="13"/>
  <c r="F434" i="13"/>
  <c r="E434" i="13"/>
  <c r="D434" i="13"/>
  <c r="C434" i="13"/>
  <c r="B434" i="13"/>
  <c r="A434" i="13"/>
  <c r="Q434" i="13" s="1"/>
  <c r="N434" i="13" s="1"/>
  <c r="J433" i="13"/>
  <c r="I433" i="13"/>
  <c r="H433" i="13"/>
  <c r="F433" i="13"/>
  <c r="E433" i="13"/>
  <c r="D433" i="13"/>
  <c r="C433" i="13"/>
  <c r="B433" i="13"/>
  <c r="A433" i="13"/>
  <c r="Q433" i="13" s="1"/>
  <c r="P432" i="13"/>
  <c r="J432" i="13"/>
  <c r="I432" i="13"/>
  <c r="H432" i="13"/>
  <c r="F432" i="13"/>
  <c r="E432" i="13"/>
  <c r="D432" i="13"/>
  <c r="C432" i="13"/>
  <c r="B432" i="13"/>
  <c r="A432" i="13"/>
  <c r="Q432" i="13" s="1"/>
  <c r="J431" i="13"/>
  <c r="I431" i="13"/>
  <c r="H431" i="13"/>
  <c r="F431" i="13"/>
  <c r="E431" i="13"/>
  <c r="D431" i="13"/>
  <c r="C431" i="13"/>
  <c r="B431" i="13"/>
  <c r="A431" i="13"/>
  <c r="Q431" i="13" s="1"/>
  <c r="K431" i="13" s="1"/>
  <c r="J430" i="13"/>
  <c r="I430" i="13"/>
  <c r="H430" i="13"/>
  <c r="F430" i="13"/>
  <c r="E430" i="13"/>
  <c r="D430" i="13"/>
  <c r="C430" i="13"/>
  <c r="B430" i="13"/>
  <c r="A430" i="13"/>
  <c r="Q430" i="13" s="1"/>
  <c r="J429" i="13"/>
  <c r="I429" i="13"/>
  <c r="H429" i="13"/>
  <c r="F429" i="13"/>
  <c r="E429" i="13"/>
  <c r="D429" i="13"/>
  <c r="C429" i="13"/>
  <c r="B429" i="13"/>
  <c r="A429" i="13"/>
  <c r="Q429" i="13" s="1"/>
  <c r="M429" i="13" s="1"/>
  <c r="J428" i="13"/>
  <c r="I428" i="13"/>
  <c r="H428" i="13"/>
  <c r="F428" i="13"/>
  <c r="E428" i="13"/>
  <c r="D428" i="13"/>
  <c r="C428" i="13"/>
  <c r="B428" i="13"/>
  <c r="A428" i="13"/>
  <c r="Q428" i="13" s="1"/>
  <c r="J427" i="13"/>
  <c r="I427" i="13"/>
  <c r="H427" i="13"/>
  <c r="F427" i="13"/>
  <c r="E427" i="13"/>
  <c r="D427" i="13"/>
  <c r="C427" i="13"/>
  <c r="B427" i="13"/>
  <c r="A427" i="13"/>
  <c r="Q427" i="13" s="1"/>
  <c r="O427" i="13" s="1"/>
  <c r="J426" i="13"/>
  <c r="I426" i="13"/>
  <c r="H426" i="13"/>
  <c r="F426" i="13"/>
  <c r="E426" i="13"/>
  <c r="D426" i="13"/>
  <c r="C426" i="13"/>
  <c r="B426" i="13"/>
  <c r="A426" i="13"/>
  <c r="Q426" i="13" s="1"/>
  <c r="P426" i="13" s="1"/>
  <c r="J425" i="13"/>
  <c r="I425" i="13"/>
  <c r="H425" i="13"/>
  <c r="F425" i="13"/>
  <c r="E425" i="13"/>
  <c r="D425" i="13"/>
  <c r="C425" i="13"/>
  <c r="B425" i="13"/>
  <c r="A425" i="13"/>
  <c r="Q425" i="13" s="1"/>
  <c r="J424" i="13"/>
  <c r="I424" i="13"/>
  <c r="H424" i="13"/>
  <c r="F424" i="13"/>
  <c r="E424" i="13"/>
  <c r="D424" i="13"/>
  <c r="C424" i="13"/>
  <c r="B424" i="13"/>
  <c r="A424" i="13"/>
  <c r="Q424" i="13" s="1"/>
  <c r="J423" i="13"/>
  <c r="I423" i="13"/>
  <c r="H423" i="13"/>
  <c r="F423" i="13"/>
  <c r="E423" i="13"/>
  <c r="D423" i="13"/>
  <c r="C423" i="13"/>
  <c r="B423" i="13"/>
  <c r="A423" i="13"/>
  <c r="Q423" i="13" s="1"/>
  <c r="J422" i="13"/>
  <c r="I422" i="13"/>
  <c r="H422" i="13"/>
  <c r="F422" i="13"/>
  <c r="E422" i="13"/>
  <c r="D422" i="13"/>
  <c r="C422" i="13"/>
  <c r="B422" i="13"/>
  <c r="A422" i="13"/>
  <c r="Q422" i="13" s="1"/>
  <c r="J421" i="13"/>
  <c r="I421" i="13"/>
  <c r="H421" i="13"/>
  <c r="F421" i="13"/>
  <c r="E421" i="13"/>
  <c r="D421" i="13"/>
  <c r="C421" i="13"/>
  <c r="B421" i="13"/>
  <c r="A421" i="13"/>
  <c r="Q421" i="13" s="1"/>
  <c r="K421" i="13" s="1"/>
  <c r="J420" i="13"/>
  <c r="I420" i="13"/>
  <c r="H420" i="13"/>
  <c r="F420" i="13"/>
  <c r="E420" i="13"/>
  <c r="D420" i="13"/>
  <c r="C420" i="13"/>
  <c r="B420" i="13"/>
  <c r="A420" i="13"/>
  <c r="Q420" i="13" s="1"/>
  <c r="J419" i="13"/>
  <c r="I419" i="13"/>
  <c r="H419" i="13"/>
  <c r="F419" i="13"/>
  <c r="E419" i="13"/>
  <c r="D419" i="13"/>
  <c r="C419" i="13"/>
  <c r="B419" i="13"/>
  <c r="A419" i="13"/>
  <c r="Q419" i="13" s="1"/>
  <c r="M419" i="13" s="1"/>
  <c r="N418" i="13"/>
  <c r="J418" i="13"/>
  <c r="I418" i="13"/>
  <c r="H418" i="13"/>
  <c r="F418" i="13"/>
  <c r="E418" i="13"/>
  <c r="D418" i="13"/>
  <c r="C418" i="13"/>
  <c r="B418" i="13"/>
  <c r="A418" i="13"/>
  <c r="Q418" i="13" s="1"/>
  <c r="J417" i="13"/>
  <c r="I417" i="13"/>
  <c r="H417" i="13"/>
  <c r="F417" i="13"/>
  <c r="E417" i="13"/>
  <c r="D417" i="13"/>
  <c r="C417" i="13"/>
  <c r="B417" i="13"/>
  <c r="A417" i="13"/>
  <c r="Q417" i="13" s="1"/>
  <c r="P416" i="13"/>
  <c r="J416" i="13"/>
  <c r="I416" i="13"/>
  <c r="H416" i="13"/>
  <c r="F416" i="13"/>
  <c r="E416" i="13"/>
  <c r="D416" i="13"/>
  <c r="C416" i="13"/>
  <c r="B416" i="13"/>
  <c r="A416" i="13"/>
  <c r="Q416" i="13" s="1"/>
  <c r="J415" i="13"/>
  <c r="I415" i="13"/>
  <c r="H415" i="13"/>
  <c r="F415" i="13"/>
  <c r="E415" i="13"/>
  <c r="D415" i="13"/>
  <c r="C415" i="13"/>
  <c r="B415" i="13"/>
  <c r="A415" i="13"/>
  <c r="Q415" i="13" s="1"/>
  <c r="K415" i="13" s="1"/>
  <c r="J414" i="13"/>
  <c r="I414" i="13"/>
  <c r="H414" i="13"/>
  <c r="F414" i="13"/>
  <c r="E414" i="13"/>
  <c r="D414" i="13"/>
  <c r="C414" i="13"/>
  <c r="B414" i="13"/>
  <c r="A414" i="13"/>
  <c r="Q414" i="13" s="1"/>
  <c r="M413" i="13"/>
  <c r="J413" i="13"/>
  <c r="I413" i="13"/>
  <c r="H413" i="13"/>
  <c r="F413" i="13"/>
  <c r="E413" i="13"/>
  <c r="D413" i="13"/>
  <c r="C413" i="13"/>
  <c r="B413" i="13"/>
  <c r="A413" i="13"/>
  <c r="Q413" i="13" s="1"/>
  <c r="J412" i="13"/>
  <c r="I412" i="13"/>
  <c r="H412" i="13"/>
  <c r="F412" i="13"/>
  <c r="E412" i="13"/>
  <c r="D412" i="13"/>
  <c r="C412" i="13"/>
  <c r="B412" i="13"/>
  <c r="A412" i="13"/>
  <c r="Q412" i="13" s="1"/>
  <c r="J411" i="13"/>
  <c r="I411" i="13"/>
  <c r="H411" i="13"/>
  <c r="F411" i="13"/>
  <c r="E411" i="13"/>
  <c r="D411" i="13"/>
  <c r="C411" i="13"/>
  <c r="B411" i="13"/>
  <c r="A411" i="13"/>
  <c r="Q411" i="13" s="1"/>
  <c r="O411" i="13" s="1"/>
  <c r="J410" i="13"/>
  <c r="I410" i="13"/>
  <c r="H410" i="13"/>
  <c r="F410" i="13"/>
  <c r="E410" i="13"/>
  <c r="D410" i="13"/>
  <c r="C410" i="13"/>
  <c r="B410" i="13"/>
  <c r="A410" i="13"/>
  <c r="Q410" i="13" s="1"/>
  <c r="P410" i="13" s="1"/>
  <c r="J409" i="13"/>
  <c r="I409" i="13"/>
  <c r="H409" i="13"/>
  <c r="F409" i="13"/>
  <c r="E409" i="13"/>
  <c r="D409" i="13"/>
  <c r="C409" i="13"/>
  <c r="B409" i="13"/>
  <c r="A409" i="13"/>
  <c r="Q409" i="13" s="1"/>
  <c r="J408" i="13"/>
  <c r="I408" i="13"/>
  <c r="H408" i="13"/>
  <c r="F408" i="13"/>
  <c r="E408" i="13"/>
  <c r="D408" i="13"/>
  <c r="C408" i="13"/>
  <c r="B408" i="13"/>
  <c r="A408" i="13"/>
  <c r="Q408" i="13" s="1"/>
  <c r="J407" i="13"/>
  <c r="I407" i="13"/>
  <c r="H407" i="13"/>
  <c r="F407" i="13"/>
  <c r="E407" i="13"/>
  <c r="D407" i="13"/>
  <c r="C407" i="13"/>
  <c r="B407" i="13"/>
  <c r="A407" i="13"/>
  <c r="Q407" i="13" s="1"/>
  <c r="J406" i="13"/>
  <c r="I406" i="13"/>
  <c r="H406" i="13"/>
  <c r="F406" i="13"/>
  <c r="E406" i="13"/>
  <c r="D406" i="13"/>
  <c r="C406" i="13"/>
  <c r="B406" i="13"/>
  <c r="A406" i="13"/>
  <c r="Q406" i="13" s="1"/>
  <c r="J405" i="13"/>
  <c r="I405" i="13"/>
  <c r="H405" i="13"/>
  <c r="F405" i="13"/>
  <c r="E405" i="13"/>
  <c r="D405" i="13"/>
  <c r="C405" i="13"/>
  <c r="B405" i="13"/>
  <c r="A405" i="13"/>
  <c r="Q405" i="13" s="1"/>
  <c r="K405" i="13" s="1"/>
  <c r="J404" i="13"/>
  <c r="I404" i="13"/>
  <c r="H404" i="13"/>
  <c r="F404" i="13"/>
  <c r="E404" i="13"/>
  <c r="D404" i="13"/>
  <c r="C404" i="13"/>
  <c r="B404" i="13"/>
  <c r="A404" i="13"/>
  <c r="Q404" i="13" s="1"/>
  <c r="J403" i="13"/>
  <c r="I403" i="13"/>
  <c r="H403" i="13"/>
  <c r="F403" i="13"/>
  <c r="E403" i="13"/>
  <c r="D403" i="13"/>
  <c r="C403" i="13"/>
  <c r="B403" i="13"/>
  <c r="A403" i="13"/>
  <c r="Q403" i="13" s="1"/>
  <c r="M403" i="13" s="1"/>
  <c r="J402" i="13"/>
  <c r="I402" i="13"/>
  <c r="H402" i="13"/>
  <c r="F402" i="13"/>
  <c r="E402" i="13"/>
  <c r="D402" i="13"/>
  <c r="C402" i="13"/>
  <c r="B402" i="13"/>
  <c r="A402" i="13"/>
  <c r="Q402" i="13" s="1"/>
  <c r="N402" i="13" s="1"/>
  <c r="O401" i="13"/>
  <c r="J401" i="13"/>
  <c r="I401" i="13"/>
  <c r="H401" i="13"/>
  <c r="F401" i="13"/>
  <c r="E401" i="13"/>
  <c r="D401" i="13"/>
  <c r="C401" i="13"/>
  <c r="B401" i="13"/>
  <c r="A401" i="13"/>
  <c r="Q401" i="13" s="1"/>
  <c r="J400" i="13"/>
  <c r="I400" i="13"/>
  <c r="H400" i="13"/>
  <c r="F400" i="13"/>
  <c r="E400" i="13"/>
  <c r="D400" i="13"/>
  <c r="C400" i="13"/>
  <c r="B400" i="13"/>
  <c r="A400" i="13"/>
  <c r="Q400" i="13" s="1"/>
  <c r="P400" i="13" s="1"/>
  <c r="Q399" i="13"/>
  <c r="K399" i="13" s="1"/>
  <c r="J399" i="13"/>
  <c r="I399" i="13"/>
  <c r="H399" i="13"/>
  <c r="F399" i="13"/>
  <c r="E399" i="13"/>
  <c r="D399" i="13"/>
  <c r="C399" i="13"/>
  <c r="B399" i="13"/>
  <c r="A399" i="13"/>
  <c r="J398" i="13"/>
  <c r="I398" i="13"/>
  <c r="H398" i="13"/>
  <c r="F398" i="13"/>
  <c r="E398" i="13"/>
  <c r="D398" i="13"/>
  <c r="C398" i="13"/>
  <c r="B398" i="13"/>
  <c r="A398" i="13"/>
  <c r="Q398" i="13" s="1"/>
  <c r="J397" i="13"/>
  <c r="I397" i="13"/>
  <c r="H397" i="13"/>
  <c r="F397" i="13"/>
  <c r="E397" i="13"/>
  <c r="D397" i="13"/>
  <c r="C397" i="13"/>
  <c r="B397" i="13"/>
  <c r="A397" i="13"/>
  <c r="Q397" i="13" s="1"/>
  <c r="M397" i="13" s="1"/>
  <c r="J396" i="13"/>
  <c r="I396" i="13"/>
  <c r="H396" i="13"/>
  <c r="F396" i="13"/>
  <c r="E396" i="13"/>
  <c r="D396" i="13"/>
  <c r="C396" i="13"/>
  <c r="B396" i="13"/>
  <c r="A396" i="13"/>
  <c r="Q396" i="13" s="1"/>
  <c r="J395" i="13"/>
  <c r="I395" i="13"/>
  <c r="H395" i="13"/>
  <c r="F395" i="13"/>
  <c r="E395" i="13"/>
  <c r="D395" i="13"/>
  <c r="C395" i="13"/>
  <c r="B395" i="13"/>
  <c r="A395" i="13"/>
  <c r="Q395" i="13" s="1"/>
  <c r="O395" i="13" s="1"/>
  <c r="J394" i="13"/>
  <c r="I394" i="13"/>
  <c r="H394" i="13"/>
  <c r="F394" i="13"/>
  <c r="E394" i="13"/>
  <c r="D394" i="13"/>
  <c r="C394" i="13"/>
  <c r="B394" i="13"/>
  <c r="A394" i="13"/>
  <c r="Q394" i="13" s="1"/>
  <c r="P394" i="13" s="1"/>
  <c r="J393" i="13"/>
  <c r="I393" i="13"/>
  <c r="H393" i="13"/>
  <c r="F393" i="13"/>
  <c r="E393" i="13"/>
  <c r="D393" i="13"/>
  <c r="C393" i="13"/>
  <c r="B393" i="13"/>
  <c r="A393" i="13"/>
  <c r="Q393" i="13" s="1"/>
  <c r="J392" i="13"/>
  <c r="I392" i="13"/>
  <c r="H392" i="13"/>
  <c r="F392" i="13"/>
  <c r="E392" i="13"/>
  <c r="D392" i="13"/>
  <c r="C392" i="13"/>
  <c r="B392" i="13"/>
  <c r="A392" i="13"/>
  <c r="Q392" i="13" s="1"/>
  <c r="J391" i="13"/>
  <c r="I391" i="13"/>
  <c r="H391" i="13"/>
  <c r="F391" i="13"/>
  <c r="E391" i="13"/>
  <c r="D391" i="13"/>
  <c r="C391" i="13"/>
  <c r="B391" i="13"/>
  <c r="A391" i="13"/>
  <c r="Q391" i="13" s="1"/>
  <c r="J390" i="13"/>
  <c r="I390" i="13"/>
  <c r="H390" i="13"/>
  <c r="F390" i="13"/>
  <c r="E390" i="13"/>
  <c r="D390" i="13"/>
  <c r="C390" i="13"/>
  <c r="B390" i="13"/>
  <c r="A390" i="13"/>
  <c r="Q390" i="13" s="1"/>
  <c r="J389" i="13"/>
  <c r="I389" i="13"/>
  <c r="H389" i="13"/>
  <c r="F389" i="13"/>
  <c r="E389" i="13"/>
  <c r="D389" i="13"/>
  <c r="C389" i="13"/>
  <c r="B389" i="13"/>
  <c r="A389" i="13"/>
  <c r="Q389" i="13" s="1"/>
  <c r="K389" i="13" s="1"/>
  <c r="J388" i="13"/>
  <c r="I388" i="13"/>
  <c r="H388" i="13"/>
  <c r="F388" i="13"/>
  <c r="E388" i="13"/>
  <c r="D388" i="13"/>
  <c r="C388" i="13"/>
  <c r="B388" i="13"/>
  <c r="A388" i="13"/>
  <c r="Q388" i="13" s="1"/>
  <c r="J387" i="13"/>
  <c r="I387" i="13"/>
  <c r="H387" i="13"/>
  <c r="F387" i="13"/>
  <c r="E387" i="13"/>
  <c r="D387" i="13"/>
  <c r="C387" i="13"/>
  <c r="B387" i="13"/>
  <c r="A387" i="13"/>
  <c r="Q387" i="13" s="1"/>
  <c r="M387" i="13" s="1"/>
  <c r="J386" i="13"/>
  <c r="I386" i="13"/>
  <c r="H386" i="13"/>
  <c r="F386" i="13"/>
  <c r="E386" i="13"/>
  <c r="D386" i="13"/>
  <c r="C386" i="13"/>
  <c r="B386" i="13"/>
  <c r="A386" i="13"/>
  <c r="Q386" i="13" s="1"/>
  <c r="N386" i="13" s="1"/>
  <c r="J385" i="13"/>
  <c r="I385" i="13"/>
  <c r="H385" i="13"/>
  <c r="F385" i="13"/>
  <c r="E385" i="13"/>
  <c r="D385" i="13"/>
  <c r="C385" i="13"/>
  <c r="B385" i="13"/>
  <c r="A385" i="13"/>
  <c r="Q385" i="13" s="1"/>
  <c r="O385" i="13" s="1"/>
  <c r="J384" i="13"/>
  <c r="I384" i="13"/>
  <c r="H384" i="13"/>
  <c r="F384" i="13"/>
  <c r="E384" i="13"/>
  <c r="D384" i="13"/>
  <c r="C384" i="13"/>
  <c r="B384" i="13"/>
  <c r="A384" i="13"/>
  <c r="Q384" i="13" s="1"/>
  <c r="P384" i="13" s="1"/>
  <c r="J383" i="13"/>
  <c r="I383" i="13"/>
  <c r="H383" i="13"/>
  <c r="F383" i="13"/>
  <c r="E383" i="13"/>
  <c r="D383" i="13"/>
  <c r="C383" i="13"/>
  <c r="B383" i="13"/>
  <c r="A383" i="13"/>
  <c r="Q383" i="13" s="1"/>
  <c r="K383" i="13" s="1"/>
  <c r="J382" i="13"/>
  <c r="I382" i="13"/>
  <c r="H382" i="13"/>
  <c r="F382" i="13"/>
  <c r="E382" i="13"/>
  <c r="D382" i="13"/>
  <c r="C382" i="13"/>
  <c r="B382" i="13"/>
  <c r="A382" i="13"/>
  <c r="Q382" i="13" s="1"/>
  <c r="M381" i="13"/>
  <c r="J381" i="13"/>
  <c r="I381" i="13"/>
  <c r="H381" i="13"/>
  <c r="F381" i="13"/>
  <c r="E381" i="13"/>
  <c r="D381" i="13"/>
  <c r="C381" i="13"/>
  <c r="B381" i="13"/>
  <c r="A381" i="13"/>
  <c r="Q381" i="13" s="1"/>
  <c r="J380" i="13"/>
  <c r="I380" i="13"/>
  <c r="H380" i="13"/>
  <c r="F380" i="13"/>
  <c r="E380" i="13"/>
  <c r="D380" i="13"/>
  <c r="C380" i="13"/>
  <c r="B380" i="13"/>
  <c r="A380" i="13"/>
  <c r="Q380" i="13" s="1"/>
  <c r="J379" i="13"/>
  <c r="I379" i="13"/>
  <c r="H379" i="13"/>
  <c r="F379" i="13"/>
  <c r="E379" i="13"/>
  <c r="D379" i="13"/>
  <c r="C379" i="13"/>
  <c r="B379" i="13"/>
  <c r="A379" i="13"/>
  <c r="Q379" i="13" s="1"/>
  <c r="O379" i="13" s="1"/>
  <c r="J378" i="13"/>
  <c r="I378" i="13"/>
  <c r="H378" i="13"/>
  <c r="F378" i="13"/>
  <c r="E378" i="13"/>
  <c r="D378" i="13"/>
  <c r="C378" i="13"/>
  <c r="B378" i="13"/>
  <c r="A378" i="13"/>
  <c r="Q378" i="13" s="1"/>
  <c r="P378" i="13" s="1"/>
  <c r="J377" i="13"/>
  <c r="I377" i="13"/>
  <c r="H377" i="13"/>
  <c r="F377" i="13"/>
  <c r="E377" i="13"/>
  <c r="D377" i="13"/>
  <c r="C377" i="13"/>
  <c r="B377" i="13"/>
  <c r="A377" i="13"/>
  <c r="Q377" i="13" s="1"/>
  <c r="J376" i="13"/>
  <c r="I376" i="13"/>
  <c r="H376" i="13"/>
  <c r="F376" i="13"/>
  <c r="E376" i="13"/>
  <c r="D376" i="13"/>
  <c r="C376" i="13"/>
  <c r="B376" i="13"/>
  <c r="A376" i="13"/>
  <c r="Q376" i="13" s="1"/>
  <c r="J375" i="13"/>
  <c r="I375" i="13"/>
  <c r="H375" i="13"/>
  <c r="F375" i="13"/>
  <c r="E375" i="13"/>
  <c r="D375" i="13"/>
  <c r="C375" i="13"/>
  <c r="B375" i="13"/>
  <c r="A375" i="13"/>
  <c r="Q375" i="13" s="1"/>
  <c r="J374" i="13"/>
  <c r="I374" i="13"/>
  <c r="H374" i="13"/>
  <c r="F374" i="13"/>
  <c r="E374" i="13"/>
  <c r="D374" i="13"/>
  <c r="C374" i="13"/>
  <c r="B374" i="13"/>
  <c r="A374" i="13"/>
  <c r="Q374" i="13" s="1"/>
  <c r="J373" i="13"/>
  <c r="I373" i="13"/>
  <c r="H373" i="13"/>
  <c r="F373" i="13"/>
  <c r="E373" i="13"/>
  <c r="D373" i="13"/>
  <c r="C373" i="13"/>
  <c r="B373" i="13"/>
  <c r="A373" i="13"/>
  <c r="Q373" i="13" s="1"/>
  <c r="K373" i="13" s="1"/>
  <c r="J372" i="13"/>
  <c r="I372" i="13"/>
  <c r="H372" i="13"/>
  <c r="F372" i="13"/>
  <c r="E372" i="13"/>
  <c r="D372" i="13"/>
  <c r="C372" i="13"/>
  <c r="B372" i="13"/>
  <c r="A372" i="13"/>
  <c r="Q372" i="13" s="1"/>
  <c r="J371" i="13"/>
  <c r="I371" i="13"/>
  <c r="H371" i="13"/>
  <c r="F371" i="13"/>
  <c r="E371" i="13"/>
  <c r="D371" i="13"/>
  <c r="C371" i="13"/>
  <c r="B371" i="13"/>
  <c r="A371" i="13"/>
  <c r="Q371" i="13" s="1"/>
  <c r="M371" i="13" s="1"/>
  <c r="N370" i="13"/>
  <c r="J370" i="13"/>
  <c r="I370" i="13"/>
  <c r="H370" i="13"/>
  <c r="F370" i="13"/>
  <c r="E370" i="13"/>
  <c r="D370" i="13"/>
  <c r="C370" i="13"/>
  <c r="B370" i="13"/>
  <c r="A370" i="13"/>
  <c r="Q370" i="13" s="1"/>
  <c r="O369" i="13"/>
  <c r="J369" i="13"/>
  <c r="I369" i="13"/>
  <c r="H369" i="13"/>
  <c r="F369" i="13"/>
  <c r="E369" i="13"/>
  <c r="D369" i="13"/>
  <c r="C369" i="13"/>
  <c r="B369" i="13"/>
  <c r="A369" i="13"/>
  <c r="Q369" i="13" s="1"/>
  <c r="P368" i="13"/>
  <c r="J368" i="13"/>
  <c r="I368" i="13"/>
  <c r="H368" i="13"/>
  <c r="F368" i="13"/>
  <c r="E368" i="13"/>
  <c r="D368" i="13"/>
  <c r="C368" i="13"/>
  <c r="B368" i="13"/>
  <c r="A368" i="13"/>
  <c r="Q368" i="13" s="1"/>
  <c r="Q367" i="13"/>
  <c r="K367" i="13" s="1"/>
  <c r="J367" i="13"/>
  <c r="I367" i="13"/>
  <c r="H367" i="13"/>
  <c r="F367" i="13"/>
  <c r="E367" i="13"/>
  <c r="D367" i="13"/>
  <c r="C367" i="13"/>
  <c r="B367" i="13"/>
  <c r="A367" i="13"/>
  <c r="J366" i="13"/>
  <c r="I366" i="13"/>
  <c r="H366" i="13"/>
  <c r="F366" i="13"/>
  <c r="E366" i="13"/>
  <c r="D366" i="13"/>
  <c r="C366" i="13"/>
  <c r="B366" i="13"/>
  <c r="A366" i="13"/>
  <c r="Q366" i="13" s="1"/>
  <c r="J365" i="13"/>
  <c r="I365" i="13"/>
  <c r="H365" i="13"/>
  <c r="F365" i="13"/>
  <c r="E365" i="13"/>
  <c r="D365" i="13"/>
  <c r="C365" i="13"/>
  <c r="B365" i="13"/>
  <c r="A365" i="13"/>
  <c r="Q365" i="13" s="1"/>
  <c r="M365" i="13" s="1"/>
  <c r="J364" i="13"/>
  <c r="I364" i="13"/>
  <c r="H364" i="13"/>
  <c r="F364" i="13"/>
  <c r="E364" i="13"/>
  <c r="D364" i="13"/>
  <c r="C364" i="13"/>
  <c r="B364" i="13"/>
  <c r="A364" i="13"/>
  <c r="Q364" i="13" s="1"/>
  <c r="J363" i="13"/>
  <c r="I363" i="13"/>
  <c r="H363" i="13"/>
  <c r="F363" i="13"/>
  <c r="E363" i="13"/>
  <c r="D363" i="13"/>
  <c r="C363" i="13"/>
  <c r="B363" i="13"/>
  <c r="A363" i="13"/>
  <c r="Q363" i="13" s="1"/>
  <c r="O363" i="13" s="1"/>
  <c r="J362" i="13"/>
  <c r="I362" i="13"/>
  <c r="H362" i="13"/>
  <c r="F362" i="13"/>
  <c r="E362" i="13"/>
  <c r="D362" i="13"/>
  <c r="C362" i="13"/>
  <c r="B362" i="13"/>
  <c r="A362" i="13"/>
  <c r="Q362" i="13" s="1"/>
  <c r="P362" i="13" s="1"/>
  <c r="J361" i="13"/>
  <c r="I361" i="13"/>
  <c r="H361" i="13"/>
  <c r="F361" i="13"/>
  <c r="E361" i="13"/>
  <c r="D361" i="13"/>
  <c r="C361" i="13"/>
  <c r="B361" i="13"/>
  <c r="A361" i="13"/>
  <c r="Q361" i="13" s="1"/>
  <c r="J360" i="13"/>
  <c r="I360" i="13"/>
  <c r="H360" i="13"/>
  <c r="F360" i="13"/>
  <c r="E360" i="13"/>
  <c r="D360" i="13"/>
  <c r="C360" i="13"/>
  <c r="B360" i="13"/>
  <c r="A360" i="13"/>
  <c r="Q360" i="13" s="1"/>
  <c r="J359" i="13"/>
  <c r="I359" i="13"/>
  <c r="H359" i="13"/>
  <c r="F359" i="13"/>
  <c r="E359" i="13"/>
  <c r="D359" i="13"/>
  <c r="C359" i="13"/>
  <c r="B359" i="13"/>
  <c r="A359" i="13"/>
  <c r="Q359" i="13" s="1"/>
  <c r="J358" i="13"/>
  <c r="I358" i="13"/>
  <c r="H358" i="13"/>
  <c r="F358" i="13"/>
  <c r="E358" i="13"/>
  <c r="D358" i="13"/>
  <c r="C358" i="13"/>
  <c r="B358" i="13"/>
  <c r="A358" i="13"/>
  <c r="Q358" i="13" s="1"/>
  <c r="J357" i="13"/>
  <c r="I357" i="13"/>
  <c r="H357" i="13"/>
  <c r="F357" i="13"/>
  <c r="E357" i="13"/>
  <c r="D357" i="13"/>
  <c r="C357" i="13"/>
  <c r="B357" i="13"/>
  <c r="A357" i="13"/>
  <c r="Q357" i="13" s="1"/>
  <c r="K357" i="13" s="1"/>
  <c r="J356" i="13"/>
  <c r="I356" i="13"/>
  <c r="H356" i="13"/>
  <c r="F356" i="13"/>
  <c r="E356" i="13"/>
  <c r="D356" i="13"/>
  <c r="C356" i="13"/>
  <c r="B356" i="13"/>
  <c r="A356" i="13"/>
  <c r="Q356" i="13" s="1"/>
  <c r="J355" i="13"/>
  <c r="I355" i="13"/>
  <c r="H355" i="13"/>
  <c r="F355" i="13"/>
  <c r="E355" i="13"/>
  <c r="D355" i="13"/>
  <c r="C355" i="13"/>
  <c r="B355" i="13"/>
  <c r="A355" i="13"/>
  <c r="Q355" i="13" s="1"/>
  <c r="M355" i="13" s="1"/>
  <c r="J354" i="13"/>
  <c r="I354" i="13"/>
  <c r="H354" i="13"/>
  <c r="F354" i="13"/>
  <c r="E354" i="13"/>
  <c r="D354" i="13"/>
  <c r="C354" i="13"/>
  <c r="B354" i="13"/>
  <c r="A354" i="13"/>
  <c r="Q354" i="13" s="1"/>
  <c r="N354" i="13" s="1"/>
  <c r="J353" i="13"/>
  <c r="I353" i="13"/>
  <c r="H353" i="13"/>
  <c r="F353" i="13"/>
  <c r="E353" i="13"/>
  <c r="D353" i="13"/>
  <c r="C353" i="13"/>
  <c r="B353" i="13"/>
  <c r="A353" i="13"/>
  <c r="Q353" i="13" s="1"/>
  <c r="O353" i="13" s="1"/>
  <c r="J352" i="13"/>
  <c r="I352" i="13"/>
  <c r="H352" i="13"/>
  <c r="F352" i="13"/>
  <c r="E352" i="13"/>
  <c r="D352" i="13"/>
  <c r="C352" i="13"/>
  <c r="B352" i="13"/>
  <c r="A352" i="13"/>
  <c r="Q352" i="13" s="1"/>
  <c r="P352" i="13" s="1"/>
  <c r="Q351" i="13"/>
  <c r="K351" i="13" s="1"/>
  <c r="J351" i="13"/>
  <c r="I351" i="13"/>
  <c r="H351" i="13"/>
  <c r="F351" i="13"/>
  <c r="E351" i="13"/>
  <c r="D351" i="13"/>
  <c r="C351" i="13"/>
  <c r="B351" i="13"/>
  <c r="A351" i="13"/>
  <c r="J350" i="13"/>
  <c r="I350" i="13"/>
  <c r="H350" i="13"/>
  <c r="F350" i="13"/>
  <c r="E350" i="13"/>
  <c r="D350" i="13"/>
  <c r="C350" i="13"/>
  <c r="B350" i="13"/>
  <c r="A350" i="13"/>
  <c r="Q350" i="13" s="1"/>
  <c r="J349" i="13"/>
  <c r="I349" i="13"/>
  <c r="H349" i="13"/>
  <c r="F349" i="13"/>
  <c r="E349" i="13"/>
  <c r="D349" i="13"/>
  <c r="C349" i="13"/>
  <c r="B349" i="13"/>
  <c r="A349" i="13"/>
  <c r="Q349" i="13" s="1"/>
  <c r="M349" i="13" s="1"/>
  <c r="J348" i="13"/>
  <c r="I348" i="13"/>
  <c r="H348" i="13"/>
  <c r="F348" i="13"/>
  <c r="E348" i="13"/>
  <c r="D348" i="13"/>
  <c r="C348" i="13"/>
  <c r="B348" i="13"/>
  <c r="A348" i="13"/>
  <c r="Q348" i="13" s="1"/>
  <c r="N348" i="13" s="1"/>
  <c r="J347" i="13"/>
  <c r="I347" i="13"/>
  <c r="H347" i="13"/>
  <c r="F347" i="13"/>
  <c r="E347" i="13"/>
  <c r="D347" i="13"/>
  <c r="C347" i="13"/>
  <c r="B347" i="13"/>
  <c r="A347" i="13"/>
  <c r="Q347" i="13" s="1"/>
  <c r="O347" i="13" s="1"/>
  <c r="K346" i="13"/>
  <c r="J346" i="13"/>
  <c r="I346" i="13"/>
  <c r="H346" i="13"/>
  <c r="F346" i="13"/>
  <c r="E346" i="13"/>
  <c r="D346" i="13"/>
  <c r="C346" i="13"/>
  <c r="B346" i="13"/>
  <c r="A346" i="13"/>
  <c r="Q346" i="13" s="1"/>
  <c r="P346" i="13" s="1"/>
  <c r="J345" i="13"/>
  <c r="I345" i="13"/>
  <c r="H345" i="13"/>
  <c r="F345" i="13"/>
  <c r="E345" i="13"/>
  <c r="D345" i="13"/>
  <c r="C345" i="13"/>
  <c r="B345" i="13"/>
  <c r="A345" i="13"/>
  <c r="Q345" i="13" s="1"/>
  <c r="L345" i="13" s="1"/>
  <c r="M344" i="13"/>
  <c r="J344" i="13"/>
  <c r="I344" i="13"/>
  <c r="H344" i="13"/>
  <c r="F344" i="13"/>
  <c r="E344" i="13"/>
  <c r="D344" i="13"/>
  <c r="C344" i="13"/>
  <c r="B344" i="13"/>
  <c r="A344" i="13"/>
  <c r="Q344" i="13" s="1"/>
  <c r="N343" i="13"/>
  <c r="J343" i="13"/>
  <c r="I343" i="13"/>
  <c r="H343" i="13"/>
  <c r="F343" i="13"/>
  <c r="E343" i="13"/>
  <c r="D343" i="13"/>
  <c r="C343" i="13"/>
  <c r="B343" i="13"/>
  <c r="A343" i="13"/>
  <c r="Q343" i="13" s="1"/>
  <c r="J342" i="13"/>
  <c r="I342" i="13"/>
  <c r="H342" i="13"/>
  <c r="F342" i="13"/>
  <c r="E342" i="13"/>
  <c r="D342" i="13"/>
  <c r="C342" i="13"/>
  <c r="B342" i="13"/>
  <c r="A342" i="13"/>
  <c r="Q342" i="13" s="1"/>
  <c r="J341" i="13"/>
  <c r="I341" i="13"/>
  <c r="H341" i="13"/>
  <c r="F341" i="13"/>
  <c r="E341" i="13"/>
  <c r="D341" i="13"/>
  <c r="C341" i="13"/>
  <c r="B341" i="13"/>
  <c r="A341" i="13"/>
  <c r="Q341" i="13" s="1"/>
  <c r="K341" i="13" s="1"/>
  <c r="J340" i="13"/>
  <c r="I340" i="13"/>
  <c r="H340" i="13"/>
  <c r="F340" i="13"/>
  <c r="E340" i="13"/>
  <c r="D340" i="13"/>
  <c r="C340" i="13"/>
  <c r="B340" i="13"/>
  <c r="A340" i="13"/>
  <c r="Q340" i="13" s="1"/>
  <c r="L340" i="13" s="1"/>
  <c r="J339" i="13"/>
  <c r="I339" i="13"/>
  <c r="H339" i="13"/>
  <c r="F339" i="13"/>
  <c r="E339" i="13"/>
  <c r="D339" i="13"/>
  <c r="C339" i="13"/>
  <c r="B339" i="13"/>
  <c r="A339" i="13"/>
  <c r="Q339" i="13" s="1"/>
  <c r="M339" i="13" s="1"/>
  <c r="J338" i="13"/>
  <c r="I338" i="13"/>
  <c r="H338" i="13"/>
  <c r="F338" i="13"/>
  <c r="E338" i="13"/>
  <c r="D338" i="13"/>
  <c r="C338" i="13"/>
  <c r="B338" i="13"/>
  <c r="A338" i="13"/>
  <c r="Q338" i="13" s="1"/>
  <c r="K338" i="13" s="1"/>
  <c r="J337" i="13"/>
  <c r="I337" i="13"/>
  <c r="H337" i="13"/>
  <c r="F337" i="13"/>
  <c r="E337" i="13"/>
  <c r="D337" i="13"/>
  <c r="C337" i="13"/>
  <c r="B337" i="13"/>
  <c r="A337" i="13"/>
  <c r="Q337" i="13" s="1"/>
  <c r="L337" i="13" s="1"/>
  <c r="M336" i="13"/>
  <c r="J336" i="13"/>
  <c r="I336" i="13"/>
  <c r="H336" i="13"/>
  <c r="F336" i="13"/>
  <c r="E336" i="13"/>
  <c r="D336" i="13"/>
  <c r="C336" i="13"/>
  <c r="B336" i="13"/>
  <c r="A336" i="13"/>
  <c r="Q336" i="13" s="1"/>
  <c r="P336" i="13" s="1"/>
  <c r="Q335" i="13"/>
  <c r="N335" i="13" s="1"/>
  <c r="J335" i="13"/>
  <c r="I335" i="13"/>
  <c r="H335" i="13"/>
  <c r="F335" i="13"/>
  <c r="E335" i="13"/>
  <c r="D335" i="13"/>
  <c r="C335" i="13"/>
  <c r="B335" i="13"/>
  <c r="A335" i="13"/>
  <c r="O334" i="13"/>
  <c r="L334" i="13"/>
  <c r="J334" i="13"/>
  <c r="I334" i="13"/>
  <c r="H334" i="13"/>
  <c r="F334" i="13"/>
  <c r="E334" i="13"/>
  <c r="D334" i="13"/>
  <c r="C334" i="13"/>
  <c r="B334" i="13"/>
  <c r="A334" i="13"/>
  <c r="Q334" i="13" s="1"/>
  <c r="P333" i="13"/>
  <c r="M333" i="13"/>
  <c r="J333" i="13"/>
  <c r="I333" i="13"/>
  <c r="H333" i="13"/>
  <c r="F333" i="13"/>
  <c r="E333" i="13"/>
  <c r="D333" i="13"/>
  <c r="C333" i="13"/>
  <c r="B333" i="13"/>
  <c r="A333" i="13"/>
  <c r="Q333" i="13" s="1"/>
  <c r="J332" i="13"/>
  <c r="I332" i="13"/>
  <c r="H332" i="13"/>
  <c r="F332" i="13"/>
  <c r="E332" i="13"/>
  <c r="D332" i="13"/>
  <c r="C332" i="13"/>
  <c r="B332" i="13"/>
  <c r="A332" i="13"/>
  <c r="Q332" i="13" s="1"/>
  <c r="J331" i="13"/>
  <c r="I331" i="13"/>
  <c r="H331" i="13"/>
  <c r="F331" i="13"/>
  <c r="E331" i="13"/>
  <c r="D331" i="13"/>
  <c r="C331" i="13"/>
  <c r="B331" i="13"/>
  <c r="A331" i="13"/>
  <c r="Q331" i="13" s="1"/>
  <c r="J330" i="13"/>
  <c r="I330" i="13"/>
  <c r="H330" i="13"/>
  <c r="F330" i="13"/>
  <c r="E330" i="13"/>
  <c r="D330" i="13"/>
  <c r="C330" i="13"/>
  <c r="B330" i="13"/>
  <c r="A330" i="13"/>
  <c r="Q330" i="13" s="1"/>
  <c r="K330" i="13" s="1"/>
  <c r="J329" i="13"/>
  <c r="I329" i="13"/>
  <c r="H329" i="13"/>
  <c r="F329" i="13"/>
  <c r="E329" i="13"/>
  <c r="D329" i="13"/>
  <c r="C329" i="13"/>
  <c r="B329" i="13"/>
  <c r="A329" i="13"/>
  <c r="Q329" i="13" s="1"/>
  <c r="L329" i="13" s="1"/>
  <c r="J328" i="13"/>
  <c r="I328" i="13"/>
  <c r="H328" i="13"/>
  <c r="F328" i="13"/>
  <c r="E328" i="13"/>
  <c r="D328" i="13"/>
  <c r="C328" i="13"/>
  <c r="B328" i="13"/>
  <c r="A328" i="13"/>
  <c r="Q328" i="13" s="1"/>
  <c r="N327" i="13"/>
  <c r="J327" i="13"/>
  <c r="I327" i="13"/>
  <c r="H327" i="13"/>
  <c r="F327" i="13"/>
  <c r="E327" i="13"/>
  <c r="D327" i="13"/>
  <c r="C327" i="13"/>
  <c r="B327" i="13"/>
  <c r="A327" i="13"/>
  <c r="Q327" i="13" s="1"/>
  <c r="J326" i="13"/>
  <c r="I326" i="13"/>
  <c r="H326" i="13"/>
  <c r="F326" i="13"/>
  <c r="E326" i="13"/>
  <c r="D326" i="13"/>
  <c r="C326" i="13"/>
  <c r="B326" i="13"/>
  <c r="A326" i="13"/>
  <c r="Q326" i="13" s="1"/>
  <c r="J325" i="13"/>
  <c r="I325" i="13"/>
  <c r="H325" i="13"/>
  <c r="F325" i="13"/>
  <c r="E325" i="13"/>
  <c r="D325" i="13"/>
  <c r="C325" i="13"/>
  <c r="B325" i="13"/>
  <c r="A325" i="13"/>
  <c r="Q325" i="13" s="1"/>
  <c r="J324" i="13"/>
  <c r="I324" i="13"/>
  <c r="H324" i="13"/>
  <c r="F324" i="13"/>
  <c r="E324" i="13"/>
  <c r="D324" i="13"/>
  <c r="C324" i="13"/>
  <c r="B324" i="13"/>
  <c r="A324" i="13"/>
  <c r="Q324" i="13" s="1"/>
  <c r="L324" i="13" s="1"/>
  <c r="J323" i="13"/>
  <c r="I323" i="13"/>
  <c r="H323" i="13"/>
  <c r="F323" i="13"/>
  <c r="E323" i="13"/>
  <c r="D323" i="13"/>
  <c r="C323" i="13"/>
  <c r="B323" i="13"/>
  <c r="A323" i="13"/>
  <c r="Q323" i="13" s="1"/>
  <c r="M323" i="13" s="1"/>
  <c r="J322" i="13"/>
  <c r="I322" i="13"/>
  <c r="H322" i="13"/>
  <c r="F322" i="13"/>
  <c r="E322" i="13"/>
  <c r="D322" i="13"/>
  <c r="C322" i="13"/>
  <c r="B322" i="13"/>
  <c r="A322" i="13"/>
  <c r="Q322" i="13" s="1"/>
  <c r="K322" i="13" s="1"/>
  <c r="J321" i="13"/>
  <c r="I321" i="13"/>
  <c r="H321" i="13"/>
  <c r="F321" i="13"/>
  <c r="E321" i="13"/>
  <c r="D321" i="13"/>
  <c r="C321" i="13"/>
  <c r="B321" i="13"/>
  <c r="A321" i="13"/>
  <c r="Q321" i="13" s="1"/>
  <c r="L321" i="13" s="1"/>
  <c r="M320" i="13"/>
  <c r="J320" i="13"/>
  <c r="I320" i="13"/>
  <c r="H320" i="13"/>
  <c r="F320" i="13"/>
  <c r="E320" i="13"/>
  <c r="D320" i="13"/>
  <c r="C320" i="13"/>
  <c r="B320" i="13"/>
  <c r="A320" i="13"/>
  <c r="Q320" i="13" s="1"/>
  <c r="P320" i="13" s="1"/>
  <c r="Q319" i="13"/>
  <c r="N319" i="13" s="1"/>
  <c r="J319" i="13"/>
  <c r="I319" i="13"/>
  <c r="H319" i="13"/>
  <c r="F319" i="13"/>
  <c r="E319" i="13"/>
  <c r="D319" i="13"/>
  <c r="C319" i="13"/>
  <c r="B319" i="13"/>
  <c r="A319" i="13"/>
  <c r="O318" i="13"/>
  <c r="L318" i="13"/>
  <c r="J318" i="13"/>
  <c r="I318" i="13"/>
  <c r="H318" i="13"/>
  <c r="F318" i="13"/>
  <c r="E318" i="13"/>
  <c r="D318" i="13"/>
  <c r="C318" i="13"/>
  <c r="B318" i="13"/>
  <c r="A318" i="13"/>
  <c r="Q318" i="13" s="1"/>
  <c r="P317" i="13"/>
  <c r="M317" i="13"/>
  <c r="J317" i="13"/>
  <c r="I317" i="13"/>
  <c r="H317" i="13"/>
  <c r="F317" i="13"/>
  <c r="E317" i="13"/>
  <c r="D317" i="13"/>
  <c r="C317" i="13"/>
  <c r="B317" i="13"/>
  <c r="A317" i="13"/>
  <c r="Q317" i="13" s="1"/>
  <c r="J316" i="13"/>
  <c r="I316" i="13"/>
  <c r="H316" i="13"/>
  <c r="F316" i="13"/>
  <c r="E316" i="13"/>
  <c r="D316" i="13"/>
  <c r="C316" i="13"/>
  <c r="B316" i="13"/>
  <c r="A316" i="13"/>
  <c r="Q316" i="13" s="1"/>
  <c r="J315" i="13"/>
  <c r="I315" i="13"/>
  <c r="H315" i="13"/>
  <c r="F315" i="13"/>
  <c r="E315" i="13"/>
  <c r="D315" i="13"/>
  <c r="C315" i="13"/>
  <c r="B315" i="13"/>
  <c r="A315" i="13"/>
  <c r="Q315" i="13" s="1"/>
  <c r="J314" i="13"/>
  <c r="I314" i="13"/>
  <c r="H314" i="13"/>
  <c r="F314" i="13"/>
  <c r="E314" i="13"/>
  <c r="D314" i="13"/>
  <c r="C314" i="13"/>
  <c r="B314" i="13"/>
  <c r="A314" i="13"/>
  <c r="Q314" i="13" s="1"/>
  <c r="K314" i="13" s="1"/>
  <c r="J313" i="13"/>
  <c r="I313" i="13"/>
  <c r="H313" i="13"/>
  <c r="F313" i="13"/>
  <c r="E313" i="13"/>
  <c r="D313" i="13"/>
  <c r="C313" i="13"/>
  <c r="B313" i="13"/>
  <c r="A313" i="13"/>
  <c r="Q313" i="13" s="1"/>
  <c r="L313" i="13" s="1"/>
  <c r="J312" i="13"/>
  <c r="I312" i="13"/>
  <c r="H312" i="13"/>
  <c r="F312" i="13"/>
  <c r="E312" i="13"/>
  <c r="D312" i="13"/>
  <c r="C312" i="13"/>
  <c r="B312" i="13"/>
  <c r="A312" i="13"/>
  <c r="Q312" i="13" s="1"/>
  <c r="N311" i="13"/>
  <c r="J311" i="13"/>
  <c r="I311" i="13"/>
  <c r="H311" i="13"/>
  <c r="F311" i="13"/>
  <c r="E311" i="13"/>
  <c r="D311" i="13"/>
  <c r="C311" i="13"/>
  <c r="B311" i="13"/>
  <c r="A311" i="13"/>
  <c r="Q311" i="13" s="1"/>
  <c r="J310" i="13"/>
  <c r="I310" i="13"/>
  <c r="H310" i="13"/>
  <c r="F310" i="13"/>
  <c r="E310" i="13"/>
  <c r="D310" i="13"/>
  <c r="C310" i="13"/>
  <c r="B310" i="13"/>
  <c r="A310" i="13"/>
  <c r="Q310" i="13" s="1"/>
  <c r="J309" i="13"/>
  <c r="I309" i="13"/>
  <c r="H309" i="13"/>
  <c r="F309" i="13"/>
  <c r="E309" i="13"/>
  <c r="D309" i="13"/>
  <c r="C309" i="13"/>
  <c r="B309" i="13"/>
  <c r="A309" i="13"/>
  <c r="Q309" i="13" s="1"/>
  <c r="J308" i="13"/>
  <c r="I308" i="13"/>
  <c r="H308" i="13"/>
  <c r="F308" i="13"/>
  <c r="E308" i="13"/>
  <c r="D308" i="13"/>
  <c r="C308" i="13"/>
  <c r="B308" i="13"/>
  <c r="A308" i="13"/>
  <c r="Q308" i="13" s="1"/>
  <c r="L308" i="13" s="1"/>
  <c r="J307" i="13"/>
  <c r="I307" i="13"/>
  <c r="H307" i="13"/>
  <c r="F307" i="13"/>
  <c r="E307" i="13"/>
  <c r="D307" i="13"/>
  <c r="C307" i="13"/>
  <c r="B307" i="13"/>
  <c r="A307" i="13"/>
  <c r="Q307" i="13" s="1"/>
  <c r="M307" i="13" s="1"/>
  <c r="J306" i="13"/>
  <c r="I306" i="13"/>
  <c r="H306" i="13"/>
  <c r="F306" i="13"/>
  <c r="E306" i="13"/>
  <c r="D306" i="13"/>
  <c r="C306" i="13"/>
  <c r="B306" i="13"/>
  <c r="A306" i="13"/>
  <c r="Q306" i="13" s="1"/>
  <c r="K306" i="13" s="1"/>
  <c r="J305" i="13"/>
  <c r="I305" i="13"/>
  <c r="H305" i="13"/>
  <c r="F305" i="13"/>
  <c r="E305" i="13"/>
  <c r="D305" i="13"/>
  <c r="C305" i="13"/>
  <c r="B305" i="13"/>
  <c r="A305" i="13"/>
  <c r="Q305" i="13" s="1"/>
  <c r="L305" i="13" s="1"/>
  <c r="M304" i="13"/>
  <c r="J304" i="13"/>
  <c r="I304" i="13"/>
  <c r="H304" i="13"/>
  <c r="F304" i="13"/>
  <c r="E304" i="13"/>
  <c r="D304" i="13"/>
  <c r="C304" i="13"/>
  <c r="B304" i="13"/>
  <c r="A304" i="13"/>
  <c r="Q304" i="13" s="1"/>
  <c r="P304" i="13" s="1"/>
  <c r="Q303" i="13"/>
  <c r="N303" i="13" s="1"/>
  <c r="J303" i="13"/>
  <c r="I303" i="13"/>
  <c r="H303" i="13"/>
  <c r="F303" i="13"/>
  <c r="E303" i="13"/>
  <c r="D303" i="13"/>
  <c r="C303" i="13"/>
  <c r="B303" i="13"/>
  <c r="A303" i="13"/>
  <c r="O302" i="13"/>
  <c r="L302" i="13"/>
  <c r="J302" i="13"/>
  <c r="I302" i="13"/>
  <c r="H302" i="13"/>
  <c r="F302" i="13"/>
  <c r="E302" i="13"/>
  <c r="D302" i="13"/>
  <c r="C302" i="13"/>
  <c r="B302" i="13"/>
  <c r="A302" i="13"/>
  <c r="Q302" i="13" s="1"/>
  <c r="J301" i="13"/>
  <c r="I301" i="13"/>
  <c r="H301" i="13"/>
  <c r="F301" i="13"/>
  <c r="E301" i="13"/>
  <c r="D301" i="13"/>
  <c r="C301" i="13"/>
  <c r="B301" i="13"/>
  <c r="A301" i="13"/>
  <c r="Q301" i="13" s="1"/>
  <c r="P301" i="13" s="1"/>
  <c r="Q300" i="13"/>
  <c r="N300" i="13" s="1"/>
  <c r="J300" i="13"/>
  <c r="I300" i="13"/>
  <c r="H300" i="13"/>
  <c r="F300" i="13"/>
  <c r="E300" i="13"/>
  <c r="D300" i="13"/>
  <c r="C300" i="13"/>
  <c r="B300" i="13"/>
  <c r="A300" i="13"/>
  <c r="J299" i="13"/>
  <c r="I299" i="13"/>
  <c r="H299" i="13"/>
  <c r="F299" i="13"/>
  <c r="E299" i="13"/>
  <c r="D299" i="13"/>
  <c r="C299" i="13"/>
  <c r="B299" i="13"/>
  <c r="A299" i="13"/>
  <c r="Q299" i="13" s="1"/>
  <c r="J298" i="13"/>
  <c r="I298" i="13"/>
  <c r="H298" i="13"/>
  <c r="F298" i="13"/>
  <c r="E298" i="13"/>
  <c r="D298" i="13"/>
  <c r="C298" i="13"/>
  <c r="B298" i="13"/>
  <c r="A298" i="13"/>
  <c r="Q298" i="13" s="1"/>
  <c r="P298" i="13" s="1"/>
  <c r="J297" i="13"/>
  <c r="I297" i="13"/>
  <c r="H297" i="13"/>
  <c r="F297" i="13"/>
  <c r="E297" i="13"/>
  <c r="D297" i="13"/>
  <c r="C297" i="13"/>
  <c r="B297" i="13"/>
  <c r="A297" i="13"/>
  <c r="Q297" i="13" s="1"/>
  <c r="Q296" i="13"/>
  <c r="M296" i="13" s="1"/>
  <c r="J296" i="13"/>
  <c r="I296" i="13"/>
  <c r="H296" i="13"/>
  <c r="F296" i="13"/>
  <c r="E296" i="13"/>
  <c r="D296" i="13"/>
  <c r="C296" i="13"/>
  <c r="B296" i="13"/>
  <c r="A296" i="13"/>
  <c r="J295" i="13"/>
  <c r="I295" i="13"/>
  <c r="H295" i="13"/>
  <c r="F295" i="13"/>
  <c r="E295" i="13"/>
  <c r="D295" i="13"/>
  <c r="C295" i="13"/>
  <c r="B295" i="13"/>
  <c r="A295" i="13"/>
  <c r="Q295" i="13" s="1"/>
  <c r="J294" i="13"/>
  <c r="I294" i="13"/>
  <c r="H294" i="13"/>
  <c r="F294" i="13"/>
  <c r="E294" i="13"/>
  <c r="D294" i="13"/>
  <c r="C294" i="13"/>
  <c r="B294" i="13"/>
  <c r="A294" i="13"/>
  <c r="Q294" i="13" s="1"/>
  <c r="O294" i="13" s="1"/>
  <c r="J293" i="13"/>
  <c r="I293" i="13"/>
  <c r="H293" i="13"/>
  <c r="F293" i="13"/>
  <c r="E293" i="13"/>
  <c r="D293" i="13"/>
  <c r="C293" i="13"/>
  <c r="B293" i="13"/>
  <c r="A293" i="13"/>
  <c r="Q293" i="13" s="1"/>
  <c r="P293" i="13" s="1"/>
  <c r="J292" i="13"/>
  <c r="I292" i="13"/>
  <c r="H292" i="13"/>
  <c r="F292" i="13"/>
  <c r="E292" i="13"/>
  <c r="D292" i="13"/>
  <c r="C292" i="13"/>
  <c r="B292" i="13"/>
  <c r="A292" i="13"/>
  <c r="Q292" i="13" s="1"/>
  <c r="J291" i="13"/>
  <c r="I291" i="13"/>
  <c r="H291" i="13"/>
  <c r="F291" i="13"/>
  <c r="E291" i="13"/>
  <c r="D291" i="13"/>
  <c r="C291" i="13"/>
  <c r="B291" i="13"/>
  <c r="A291" i="13"/>
  <c r="Q291" i="13" s="1"/>
  <c r="M291" i="13" s="1"/>
  <c r="J290" i="13"/>
  <c r="I290" i="13"/>
  <c r="H290" i="13"/>
  <c r="F290" i="13"/>
  <c r="E290" i="13"/>
  <c r="D290" i="13"/>
  <c r="C290" i="13"/>
  <c r="B290" i="13"/>
  <c r="A290" i="13"/>
  <c r="Q290" i="13" s="1"/>
  <c r="N290" i="13" s="1"/>
  <c r="J289" i="13"/>
  <c r="I289" i="13"/>
  <c r="H289" i="13"/>
  <c r="F289" i="13"/>
  <c r="E289" i="13"/>
  <c r="D289" i="13"/>
  <c r="C289" i="13"/>
  <c r="B289" i="13"/>
  <c r="A289" i="13"/>
  <c r="Q289" i="13" s="1"/>
  <c r="L289" i="13" s="1"/>
  <c r="J288" i="13"/>
  <c r="I288" i="13"/>
  <c r="H288" i="13"/>
  <c r="F288" i="13"/>
  <c r="E288" i="13"/>
  <c r="D288" i="13"/>
  <c r="C288" i="13"/>
  <c r="B288" i="13"/>
  <c r="A288" i="13"/>
  <c r="Q288" i="13" s="1"/>
  <c r="P288" i="13" s="1"/>
  <c r="J287" i="13"/>
  <c r="I287" i="13"/>
  <c r="H287" i="13"/>
  <c r="F287" i="13"/>
  <c r="E287" i="13"/>
  <c r="D287" i="13"/>
  <c r="C287" i="13"/>
  <c r="B287" i="13"/>
  <c r="A287" i="13"/>
  <c r="Q287" i="13" s="1"/>
  <c r="L286" i="13"/>
  <c r="J286" i="13"/>
  <c r="I286" i="13"/>
  <c r="H286" i="13"/>
  <c r="F286" i="13"/>
  <c r="E286" i="13"/>
  <c r="D286" i="13"/>
  <c r="C286" i="13"/>
  <c r="B286" i="13"/>
  <c r="A286" i="13"/>
  <c r="Q286" i="13" s="1"/>
  <c r="O286" i="13" s="1"/>
  <c r="P285" i="13"/>
  <c r="L285" i="13"/>
  <c r="J285" i="13"/>
  <c r="I285" i="13"/>
  <c r="H285" i="13"/>
  <c r="F285" i="13"/>
  <c r="E285" i="13"/>
  <c r="D285" i="13"/>
  <c r="C285" i="13"/>
  <c r="B285" i="13"/>
  <c r="A285" i="13"/>
  <c r="Q285" i="13" s="1"/>
  <c r="J284" i="13"/>
  <c r="I284" i="13"/>
  <c r="H284" i="13"/>
  <c r="F284" i="13"/>
  <c r="E284" i="13"/>
  <c r="D284" i="13"/>
  <c r="C284" i="13"/>
  <c r="B284" i="13"/>
  <c r="A284" i="13"/>
  <c r="Q284" i="13" s="1"/>
  <c r="N284" i="13" s="1"/>
  <c r="J283" i="13"/>
  <c r="I283" i="13"/>
  <c r="H283" i="13"/>
  <c r="F283" i="13"/>
  <c r="E283" i="13"/>
  <c r="D283" i="13"/>
  <c r="C283" i="13"/>
  <c r="B283" i="13"/>
  <c r="A283" i="13"/>
  <c r="Q283" i="13" s="1"/>
  <c r="O283" i="13" s="1"/>
  <c r="P282" i="13"/>
  <c r="J282" i="13"/>
  <c r="I282" i="13"/>
  <c r="H282" i="13"/>
  <c r="F282" i="13"/>
  <c r="E282" i="13"/>
  <c r="D282" i="13"/>
  <c r="C282" i="13"/>
  <c r="B282" i="13"/>
  <c r="A282" i="13"/>
  <c r="Q282" i="13" s="1"/>
  <c r="K282" i="13" s="1"/>
  <c r="Q281" i="13"/>
  <c r="L281" i="13" s="1"/>
  <c r="J281" i="13"/>
  <c r="I281" i="13"/>
  <c r="H281" i="13"/>
  <c r="F281" i="13"/>
  <c r="E281" i="13"/>
  <c r="D281" i="13"/>
  <c r="C281" i="13"/>
  <c r="B281" i="13"/>
  <c r="A281" i="13"/>
  <c r="J280" i="13"/>
  <c r="I280" i="13"/>
  <c r="H280" i="13"/>
  <c r="F280" i="13"/>
  <c r="E280" i="13"/>
  <c r="D280" i="13"/>
  <c r="C280" i="13"/>
  <c r="B280" i="13"/>
  <c r="A280" i="13"/>
  <c r="Q280" i="13" s="1"/>
  <c r="J279" i="13"/>
  <c r="I279" i="13"/>
  <c r="H279" i="13"/>
  <c r="F279" i="13"/>
  <c r="E279" i="13"/>
  <c r="D279" i="13"/>
  <c r="C279" i="13"/>
  <c r="B279" i="13"/>
  <c r="A279" i="13"/>
  <c r="Q279" i="13" s="1"/>
  <c r="N279" i="13" s="1"/>
  <c r="J278" i="13"/>
  <c r="I278" i="13"/>
  <c r="H278" i="13"/>
  <c r="F278" i="13"/>
  <c r="E278" i="13"/>
  <c r="D278" i="13"/>
  <c r="C278" i="13"/>
  <c r="B278" i="13"/>
  <c r="A278" i="13"/>
  <c r="Q278" i="13" s="1"/>
  <c r="J277" i="13"/>
  <c r="I277" i="13"/>
  <c r="H277" i="13"/>
  <c r="F277" i="13"/>
  <c r="E277" i="13"/>
  <c r="D277" i="13"/>
  <c r="C277" i="13"/>
  <c r="B277" i="13"/>
  <c r="A277" i="13"/>
  <c r="Q277" i="13" s="1"/>
  <c r="P277" i="13" s="1"/>
  <c r="Q276" i="13"/>
  <c r="L276" i="13"/>
  <c r="J276" i="13"/>
  <c r="I276" i="13"/>
  <c r="H276" i="13"/>
  <c r="F276" i="13"/>
  <c r="E276" i="13"/>
  <c r="D276" i="13"/>
  <c r="C276" i="13"/>
  <c r="B276" i="13"/>
  <c r="A276" i="13"/>
  <c r="J275" i="13"/>
  <c r="I275" i="13"/>
  <c r="H275" i="13"/>
  <c r="F275" i="13"/>
  <c r="E275" i="13"/>
  <c r="D275" i="13"/>
  <c r="C275" i="13"/>
  <c r="B275" i="13"/>
  <c r="A275" i="13"/>
  <c r="Q275" i="13" s="1"/>
  <c r="M275" i="13" s="1"/>
  <c r="J274" i="13"/>
  <c r="I274" i="13"/>
  <c r="H274" i="13"/>
  <c r="F274" i="13"/>
  <c r="E274" i="13"/>
  <c r="D274" i="13"/>
  <c r="C274" i="13"/>
  <c r="B274" i="13"/>
  <c r="A274" i="13"/>
  <c r="Q274" i="13" s="1"/>
  <c r="N274" i="13" s="1"/>
  <c r="O273" i="13"/>
  <c r="L273" i="13"/>
  <c r="J273" i="13"/>
  <c r="I273" i="13"/>
  <c r="H273" i="13"/>
  <c r="F273" i="13"/>
  <c r="E273" i="13"/>
  <c r="D273" i="13"/>
  <c r="C273" i="13"/>
  <c r="B273" i="13"/>
  <c r="A273" i="13"/>
  <c r="Q273" i="13" s="1"/>
  <c r="P272" i="13"/>
  <c r="M272" i="13"/>
  <c r="J272" i="13"/>
  <c r="I272" i="13"/>
  <c r="H272" i="13"/>
  <c r="F272" i="13"/>
  <c r="E272" i="13"/>
  <c r="D272" i="13"/>
  <c r="C272" i="13"/>
  <c r="B272" i="13"/>
  <c r="A272" i="13"/>
  <c r="Q272" i="13" s="1"/>
  <c r="J271" i="13"/>
  <c r="I271" i="13"/>
  <c r="H271" i="13"/>
  <c r="F271" i="13"/>
  <c r="E271" i="13"/>
  <c r="D271" i="13"/>
  <c r="C271" i="13"/>
  <c r="B271" i="13"/>
  <c r="A271" i="13"/>
  <c r="Q271" i="13" s="1"/>
  <c r="L270" i="13"/>
  <c r="J270" i="13"/>
  <c r="I270" i="13"/>
  <c r="H270" i="13"/>
  <c r="F270" i="13"/>
  <c r="E270" i="13"/>
  <c r="D270" i="13"/>
  <c r="C270" i="13"/>
  <c r="B270" i="13"/>
  <c r="A270" i="13"/>
  <c r="Q270" i="13" s="1"/>
  <c r="O270" i="13" s="1"/>
  <c r="P269" i="13"/>
  <c r="M269" i="13"/>
  <c r="L269" i="13"/>
  <c r="J269" i="13"/>
  <c r="I269" i="13"/>
  <c r="H269" i="13"/>
  <c r="F269" i="13"/>
  <c r="E269" i="13"/>
  <c r="D269" i="13"/>
  <c r="C269" i="13"/>
  <c r="B269" i="13"/>
  <c r="A269" i="13"/>
  <c r="Q269" i="13" s="1"/>
  <c r="Q268" i="13"/>
  <c r="N268" i="13" s="1"/>
  <c r="J268" i="13"/>
  <c r="I268" i="13"/>
  <c r="H268" i="13"/>
  <c r="F268" i="13"/>
  <c r="E268" i="13"/>
  <c r="D268" i="13"/>
  <c r="C268" i="13"/>
  <c r="B268" i="13"/>
  <c r="A268" i="13"/>
  <c r="J267" i="13"/>
  <c r="I267" i="13"/>
  <c r="H267" i="13"/>
  <c r="F267" i="13"/>
  <c r="E267" i="13"/>
  <c r="D267" i="13"/>
  <c r="C267" i="13"/>
  <c r="B267" i="13"/>
  <c r="A267" i="13"/>
  <c r="Q267" i="13" s="1"/>
  <c r="O267" i="13" s="1"/>
  <c r="J266" i="13"/>
  <c r="I266" i="13"/>
  <c r="H266" i="13"/>
  <c r="F266" i="13"/>
  <c r="E266" i="13"/>
  <c r="D266" i="13"/>
  <c r="C266" i="13"/>
  <c r="B266" i="13"/>
  <c r="A266" i="13"/>
  <c r="Q266" i="13" s="1"/>
  <c r="P266" i="13" s="1"/>
  <c r="J265" i="13"/>
  <c r="I265" i="13"/>
  <c r="H265" i="13"/>
  <c r="F265" i="13"/>
  <c r="E265" i="13"/>
  <c r="D265" i="13"/>
  <c r="C265" i="13"/>
  <c r="B265" i="13"/>
  <c r="A265" i="13"/>
  <c r="Q265" i="13" s="1"/>
  <c r="J264" i="13"/>
  <c r="I264" i="13"/>
  <c r="H264" i="13"/>
  <c r="F264" i="13"/>
  <c r="E264" i="13"/>
  <c r="D264" i="13"/>
  <c r="C264" i="13"/>
  <c r="B264" i="13"/>
  <c r="A264" i="13"/>
  <c r="Q264" i="13" s="1"/>
  <c r="M264" i="13" s="1"/>
  <c r="J263" i="13"/>
  <c r="I263" i="13"/>
  <c r="H263" i="13"/>
  <c r="F263" i="13"/>
  <c r="E263" i="13"/>
  <c r="D263" i="13"/>
  <c r="C263" i="13"/>
  <c r="B263" i="13"/>
  <c r="A263" i="13"/>
  <c r="Q263" i="13" s="1"/>
  <c r="J262" i="13"/>
  <c r="I262" i="13"/>
  <c r="H262" i="13"/>
  <c r="F262" i="13"/>
  <c r="E262" i="13"/>
  <c r="D262" i="13"/>
  <c r="C262" i="13"/>
  <c r="B262" i="13"/>
  <c r="A262" i="13"/>
  <c r="Q262" i="13" s="1"/>
  <c r="O262" i="13" s="1"/>
  <c r="P261" i="13"/>
  <c r="K261" i="13"/>
  <c r="J261" i="13"/>
  <c r="I261" i="13"/>
  <c r="H261" i="13"/>
  <c r="F261" i="13"/>
  <c r="E261" i="13"/>
  <c r="D261" i="13"/>
  <c r="C261" i="13"/>
  <c r="B261" i="13"/>
  <c r="A261" i="13"/>
  <c r="Q261" i="13" s="1"/>
  <c r="J260" i="13"/>
  <c r="I260" i="13"/>
  <c r="H260" i="13"/>
  <c r="F260" i="13"/>
  <c r="E260" i="13"/>
  <c r="D260" i="13"/>
  <c r="C260" i="13"/>
  <c r="B260" i="13"/>
  <c r="A260" i="13"/>
  <c r="Q260" i="13" s="1"/>
  <c r="J259" i="13"/>
  <c r="I259" i="13"/>
  <c r="H259" i="13"/>
  <c r="F259" i="13"/>
  <c r="E259" i="13"/>
  <c r="D259" i="13"/>
  <c r="C259" i="13"/>
  <c r="B259" i="13"/>
  <c r="A259" i="13"/>
  <c r="Q259" i="13" s="1"/>
  <c r="M259" i="13" s="1"/>
  <c r="J258" i="13"/>
  <c r="I258" i="13"/>
  <c r="H258" i="13"/>
  <c r="F258" i="13"/>
  <c r="E258" i="13"/>
  <c r="D258" i="13"/>
  <c r="C258" i="13"/>
  <c r="B258" i="13"/>
  <c r="A258" i="13"/>
  <c r="Q258" i="13" s="1"/>
  <c r="N258" i="13" s="1"/>
  <c r="L257" i="13"/>
  <c r="J257" i="13"/>
  <c r="I257" i="13"/>
  <c r="H257" i="13"/>
  <c r="F257" i="13"/>
  <c r="E257" i="13"/>
  <c r="D257" i="13"/>
  <c r="C257" i="13"/>
  <c r="B257" i="13"/>
  <c r="A257" i="13"/>
  <c r="Q257" i="13" s="1"/>
  <c r="M256" i="13"/>
  <c r="J256" i="13"/>
  <c r="I256" i="13"/>
  <c r="H256" i="13"/>
  <c r="F256" i="13"/>
  <c r="E256" i="13"/>
  <c r="D256" i="13"/>
  <c r="C256" i="13"/>
  <c r="B256" i="13"/>
  <c r="A256" i="13"/>
  <c r="Q256" i="13" s="1"/>
  <c r="P256" i="13" s="1"/>
  <c r="J255" i="13"/>
  <c r="I255" i="13"/>
  <c r="H255" i="13"/>
  <c r="F255" i="13"/>
  <c r="E255" i="13"/>
  <c r="D255" i="13"/>
  <c r="C255" i="13"/>
  <c r="B255" i="13"/>
  <c r="A255" i="13"/>
  <c r="Q255" i="13" s="1"/>
  <c r="J254" i="13"/>
  <c r="I254" i="13"/>
  <c r="H254" i="13"/>
  <c r="F254" i="13"/>
  <c r="E254" i="13"/>
  <c r="D254" i="13"/>
  <c r="C254" i="13"/>
  <c r="B254" i="13"/>
  <c r="A254" i="13"/>
  <c r="Q254" i="13" s="1"/>
  <c r="O254" i="13" s="1"/>
  <c r="J253" i="13"/>
  <c r="I253" i="13"/>
  <c r="H253" i="13"/>
  <c r="F253" i="13"/>
  <c r="E253" i="13"/>
  <c r="D253" i="13"/>
  <c r="C253" i="13"/>
  <c r="B253" i="13"/>
  <c r="A253" i="13"/>
  <c r="Q253" i="13" s="1"/>
  <c r="L253" i="13" s="1"/>
  <c r="Q252" i="13"/>
  <c r="N252" i="13" s="1"/>
  <c r="J252" i="13"/>
  <c r="I252" i="13"/>
  <c r="H252" i="13"/>
  <c r="F252" i="13"/>
  <c r="E252" i="13"/>
  <c r="D252" i="13"/>
  <c r="C252" i="13"/>
  <c r="B252" i="13"/>
  <c r="A252" i="13"/>
  <c r="N251" i="13"/>
  <c r="J251" i="13"/>
  <c r="I251" i="13"/>
  <c r="H251" i="13"/>
  <c r="F251" i="13"/>
  <c r="E251" i="13"/>
  <c r="D251" i="13"/>
  <c r="C251" i="13"/>
  <c r="B251" i="13"/>
  <c r="A251" i="13"/>
  <c r="Q251" i="13" s="1"/>
  <c r="O251" i="13" s="1"/>
  <c r="P250" i="13"/>
  <c r="O250" i="13"/>
  <c r="K250" i="13"/>
  <c r="J250" i="13"/>
  <c r="I250" i="13"/>
  <c r="H250" i="13"/>
  <c r="F250" i="13"/>
  <c r="E250" i="13"/>
  <c r="D250" i="13"/>
  <c r="C250" i="13"/>
  <c r="B250" i="13"/>
  <c r="A250" i="13"/>
  <c r="Q250" i="13" s="1"/>
  <c r="J249" i="13"/>
  <c r="I249" i="13"/>
  <c r="H249" i="13"/>
  <c r="F249" i="13"/>
  <c r="E249" i="13"/>
  <c r="D249" i="13"/>
  <c r="C249" i="13"/>
  <c r="B249" i="13"/>
  <c r="A249" i="13"/>
  <c r="Q249" i="13" s="1"/>
  <c r="J248" i="13"/>
  <c r="I248" i="13"/>
  <c r="H248" i="13"/>
  <c r="F248" i="13"/>
  <c r="E248" i="13"/>
  <c r="D248" i="13"/>
  <c r="C248" i="13"/>
  <c r="B248" i="13"/>
  <c r="A248" i="13"/>
  <c r="Q248" i="13" s="1"/>
  <c r="J247" i="13"/>
  <c r="I247" i="13"/>
  <c r="H247" i="13"/>
  <c r="F247" i="13"/>
  <c r="E247" i="13"/>
  <c r="D247" i="13"/>
  <c r="C247" i="13"/>
  <c r="B247" i="13"/>
  <c r="A247" i="13"/>
  <c r="Q247" i="13" s="1"/>
  <c r="N247" i="13" s="1"/>
  <c r="J246" i="13"/>
  <c r="I246" i="13"/>
  <c r="H246" i="13"/>
  <c r="F246" i="13"/>
  <c r="E246" i="13"/>
  <c r="D246" i="13"/>
  <c r="C246" i="13"/>
  <c r="B246" i="13"/>
  <c r="A246" i="13"/>
  <c r="Q246" i="13" s="1"/>
  <c r="K245" i="13"/>
  <c r="J245" i="13"/>
  <c r="I245" i="13"/>
  <c r="H245" i="13"/>
  <c r="F245" i="13"/>
  <c r="E245" i="13"/>
  <c r="D245" i="13"/>
  <c r="C245" i="13"/>
  <c r="B245" i="13"/>
  <c r="A245" i="13"/>
  <c r="Q245" i="13" s="1"/>
  <c r="P245" i="13" s="1"/>
  <c r="J244" i="13"/>
  <c r="I244" i="13"/>
  <c r="H244" i="13"/>
  <c r="F244" i="13"/>
  <c r="E244" i="13"/>
  <c r="D244" i="13"/>
  <c r="C244" i="13"/>
  <c r="B244" i="13"/>
  <c r="A244" i="13"/>
  <c r="Q244" i="13" s="1"/>
  <c r="L244" i="13" s="1"/>
  <c r="J243" i="13"/>
  <c r="I243" i="13"/>
  <c r="H243" i="13"/>
  <c r="F243" i="13"/>
  <c r="E243" i="13"/>
  <c r="D243" i="13"/>
  <c r="C243" i="13"/>
  <c r="B243" i="13"/>
  <c r="A243" i="13"/>
  <c r="Q243" i="13" s="1"/>
  <c r="M243" i="13" s="1"/>
  <c r="J242" i="13"/>
  <c r="I242" i="13"/>
  <c r="H242" i="13"/>
  <c r="F242" i="13"/>
  <c r="E242" i="13"/>
  <c r="D242" i="13"/>
  <c r="C242" i="13"/>
  <c r="B242" i="13"/>
  <c r="A242" i="13"/>
  <c r="Q242" i="13" s="1"/>
  <c r="N242" i="13" s="1"/>
  <c r="J241" i="13"/>
  <c r="I241" i="13"/>
  <c r="H241" i="13"/>
  <c r="F241" i="13"/>
  <c r="E241" i="13"/>
  <c r="D241" i="13"/>
  <c r="C241" i="13"/>
  <c r="B241" i="13"/>
  <c r="A241" i="13"/>
  <c r="Q241" i="13" s="1"/>
  <c r="O241" i="13" s="1"/>
  <c r="P240" i="13"/>
  <c r="J240" i="13"/>
  <c r="I240" i="13"/>
  <c r="H240" i="13"/>
  <c r="F240" i="13"/>
  <c r="E240" i="13"/>
  <c r="D240" i="13"/>
  <c r="C240" i="13"/>
  <c r="B240" i="13"/>
  <c r="A240" i="13"/>
  <c r="Q240" i="13" s="1"/>
  <c r="M240" i="13" s="1"/>
  <c r="J239" i="13"/>
  <c r="I239" i="13"/>
  <c r="H239" i="13"/>
  <c r="F239" i="13"/>
  <c r="E239" i="13"/>
  <c r="D239" i="13"/>
  <c r="C239" i="13"/>
  <c r="B239" i="13"/>
  <c r="A239" i="13"/>
  <c r="Q239" i="13" s="1"/>
  <c r="L238" i="13"/>
  <c r="J238" i="13"/>
  <c r="I238" i="13"/>
  <c r="H238" i="13"/>
  <c r="F238" i="13"/>
  <c r="E238" i="13"/>
  <c r="D238" i="13"/>
  <c r="C238" i="13"/>
  <c r="B238" i="13"/>
  <c r="A238" i="13"/>
  <c r="Q238" i="13" s="1"/>
  <c r="O238" i="13" s="1"/>
  <c r="M237" i="13"/>
  <c r="J237" i="13"/>
  <c r="I237" i="13"/>
  <c r="H237" i="13"/>
  <c r="F237" i="13"/>
  <c r="E237" i="13"/>
  <c r="D237" i="13"/>
  <c r="C237" i="13"/>
  <c r="B237" i="13"/>
  <c r="A237" i="13"/>
  <c r="Q237" i="13" s="1"/>
  <c r="P237" i="13" s="1"/>
  <c r="J236" i="13"/>
  <c r="I236" i="13"/>
  <c r="H236" i="13"/>
  <c r="F236" i="13"/>
  <c r="E236" i="13"/>
  <c r="D236" i="13"/>
  <c r="C236" i="13"/>
  <c r="B236" i="13"/>
  <c r="A236" i="13"/>
  <c r="Q236" i="13" s="1"/>
  <c r="N236" i="13" s="1"/>
  <c r="J235" i="13"/>
  <c r="I235" i="13"/>
  <c r="H235" i="13"/>
  <c r="F235" i="13"/>
  <c r="E235" i="13"/>
  <c r="D235" i="13"/>
  <c r="C235" i="13"/>
  <c r="B235" i="13"/>
  <c r="A235" i="13"/>
  <c r="Q235" i="13" s="1"/>
  <c r="O235" i="13" s="1"/>
  <c r="K234" i="13"/>
  <c r="J234" i="13"/>
  <c r="I234" i="13"/>
  <c r="H234" i="13"/>
  <c r="F234" i="13"/>
  <c r="E234" i="13"/>
  <c r="D234" i="13"/>
  <c r="C234" i="13"/>
  <c r="B234" i="13"/>
  <c r="A234" i="13"/>
  <c r="Q234" i="13" s="1"/>
  <c r="P234" i="13" s="1"/>
  <c r="J233" i="13"/>
  <c r="I233" i="13"/>
  <c r="H233" i="13"/>
  <c r="F233" i="13"/>
  <c r="E233" i="13"/>
  <c r="D233" i="13"/>
  <c r="C233" i="13"/>
  <c r="B233" i="13"/>
  <c r="A233" i="13"/>
  <c r="Q233" i="13" s="1"/>
  <c r="J232" i="13"/>
  <c r="I232" i="13"/>
  <c r="H232" i="13"/>
  <c r="F232" i="13"/>
  <c r="E232" i="13"/>
  <c r="D232" i="13"/>
  <c r="C232" i="13"/>
  <c r="B232" i="13"/>
  <c r="A232" i="13"/>
  <c r="Q232" i="13" s="1"/>
  <c r="N231" i="13"/>
  <c r="J231" i="13"/>
  <c r="I231" i="13"/>
  <c r="H231" i="13"/>
  <c r="F231" i="13"/>
  <c r="E231" i="13"/>
  <c r="D231" i="13"/>
  <c r="C231" i="13"/>
  <c r="B231" i="13"/>
  <c r="A231" i="13"/>
  <c r="Q231" i="13" s="1"/>
  <c r="J230" i="13"/>
  <c r="I230" i="13"/>
  <c r="H230" i="13"/>
  <c r="F230" i="13"/>
  <c r="E230" i="13"/>
  <c r="D230" i="13"/>
  <c r="C230" i="13"/>
  <c r="B230" i="13"/>
  <c r="A230" i="13"/>
  <c r="Q230" i="13" s="1"/>
  <c r="K230" i="13" s="1"/>
  <c r="P229" i="13"/>
  <c r="K229" i="13"/>
  <c r="J229" i="13"/>
  <c r="I229" i="13"/>
  <c r="H229" i="13"/>
  <c r="F229" i="13"/>
  <c r="E229" i="13"/>
  <c r="D229" i="13"/>
  <c r="C229" i="13"/>
  <c r="B229" i="13"/>
  <c r="A229" i="13"/>
  <c r="Q229" i="13" s="1"/>
  <c r="L229" i="13" s="1"/>
  <c r="J228" i="13"/>
  <c r="I228" i="13"/>
  <c r="H228" i="13"/>
  <c r="F228" i="13"/>
  <c r="E228" i="13"/>
  <c r="D228" i="13"/>
  <c r="C228" i="13"/>
  <c r="B228" i="13"/>
  <c r="A228" i="13"/>
  <c r="Q228" i="13" s="1"/>
  <c r="J227" i="13"/>
  <c r="I227" i="13"/>
  <c r="H227" i="13"/>
  <c r="F227" i="13"/>
  <c r="E227" i="13"/>
  <c r="D227" i="13"/>
  <c r="C227" i="13"/>
  <c r="B227" i="13"/>
  <c r="A227" i="13"/>
  <c r="Q227" i="13" s="1"/>
  <c r="J226" i="13"/>
  <c r="I226" i="13"/>
  <c r="H226" i="13"/>
  <c r="F226" i="13"/>
  <c r="E226" i="13"/>
  <c r="D226" i="13"/>
  <c r="C226" i="13"/>
  <c r="B226" i="13"/>
  <c r="A226" i="13"/>
  <c r="Q226" i="13" s="1"/>
  <c r="N226" i="13" s="1"/>
  <c r="J225" i="13"/>
  <c r="I225" i="13"/>
  <c r="H225" i="13"/>
  <c r="F225" i="13"/>
  <c r="E225" i="13"/>
  <c r="D225" i="13"/>
  <c r="C225" i="13"/>
  <c r="B225" i="13"/>
  <c r="A225" i="13"/>
  <c r="Q225" i="13" s="1"/>
  <c r="P225" i="13" s="1"/>
  <c r="Q224" i="13"/>
  <c r="P224" i="13" s="1"/>
  <c r="J224" i="13"/>
  <c r="I224" i="13"/>
  <c r="H224" i="13"/>
  <c r="F224" i="13"/>
  <c r="E224" i="13"/>
  <c r="D224" i="13"/>
  <c r="C224" i="13"/>
  <c r="B224" i="13"/>
  <c r="A224" i="13"/>
  <c r="J223" i="13"/>
  <c r="I223" i="13"/>
  <c r="H223" i="13"/>
  <c r="F223" i="13"/>
  <c r="E223" i="13"/>
  <c r="D223" i="13"/>
  <c r="C223" i="13"/>
  <c r="B223" i="13"/>
  <c r="A223" i="13"/>
  <c r="Q223" i="13" s="1"/>
  <c r="J222" i="13"/>
  <c r="I222" i="13"/>
  <c r="H222" i="13"/>
  <c r="F222" i="13"/>
  <c r="E222" i="13"/>
  <c r="D222" i="13"/>
  <c r="C222" i="13"/>
  <c r="B222" i="13"/>
  <c r="A222" i="13"/>
  <c r="Q222" i="13" s="1"/>
  <c r="O222" i="13" s="1"/>
  <c r="P221" i="13"/>
  <c r="J221" i="13"/>
  <c r="I221" i="13"/>
  <c r="H221" i="13"/>
  <c r="F221" i="13"/>
  <c r="E221" i="13"/>
  <c r="D221" i="13"/>
  <c r="C221" i="13"/>
  <c r="B221" i="13"/>
  <c r="A221" i="13"/>
  <c r="Q221" i="13" s="1"/>
  <c r="M221" i="13" s="1"/>
  <c r="Q220" i="13"/>
  <c r="N220" i="13" s="1"/>
  <c r="J220" i="13"/>
  <c r="I220" i="13"/>
  <c r="H220" i="13"/>
  <c r="F220" i="13"/>
  <c r="E220" i="13"/>
  <c r="D220" i="13"/>
  <c r="C220" i="13"/>
  <c r="B220" i="13"/>
  <c r="A220" i="13"/>
  <c r="J219" i="13"/>
  <c r="I219" i="13"/>
  <c r="H219" i="13"/>
  <c r="F219" i="13"/>
  <c r="E219" i="13"/>
  <c r="D219" i="13"/>
  <c r="C219" i="13"/>
  <c r="B219" i="13"/>
  <c r="A219" i="13"/>
  <c r="Q219" i="13" s="1"/>
  <c r="O219" i="13" s="1"/>
  <c r="O218" i="13"/>
  <c r="J218" i="13"/>
  <c r="I218" i="13"/>
  <c r="H218" i="13"/>
  <c r="F218" i="13"/>
  <c r="E218" i="13"/>
  <c r="D218" i="13"/>
  <c r="C218" i="13"/>
  <c r="B218" i="13"/>
  <c r="A218" i="13"/>
  <c r="Q218" i="13" s="1"/>
  <c r="P218" i="13" s="1"/>
  <c r="J217" i="13"/>
  <c r="I217" i="13"/>
  <c r="H217" i="13"/>
  <c r="F217" i="13"/>
  <c r="E217" i="13"/>
  <c r="D217" i="13"/>
  <c r="C217" i="13"/>
  <c r="B217" i="13"/>
  <c r="A217" i="13"/>
  <c r="Q217" i="13" s="1"/>
  <c r="Q216" i="13"/>
  <c r="M216" i="13" s="1"/>
  <c r="J216" i="13"/>
  <c r="I216" i="13"/>
  <c r="H216" i="13"/>
  <c r="F216" i="13"/>
  <c r="E216" i="13"/>
  <c r="D216" i="13"/>
  <c r="C216" i="13"/>
  <c r="B216" i="13"/>
  <c r="A216" i="13"/>
  <c r="J215" i="13"/>
  <c r="I215" i="13"/>
  <c r="H215" i="13"/>
  <c r="F215" i="13"/>
  <c r="E215" i="13"/>
  <c r="D215" i="13"/>
  <c r="C215" i="13"/>
  <c r="B215" i="13"/>
  <c r="A215" i="13"/>
  <c r="Q215" i="13" s="1"/>
  <c r="N215" i="13" s="1"/>
  <c r="J214" i="13"/>
  <c r="I214" i="13"/>
  <c r="H214" i="13"/>
  <c r="F214" i="13"/>
  <c r="E214" i="13"/>
  <c r="D214" i="13"/>
  <c r="C214" i="13"/>
  <c r="B214" i="13"/>
  <c r="A214" i="13"/>
  <c r="Q214" i="13" s="1"/>
  <c r="O214" i="13" s="1"/>
  <c r="N213" i="13"/>
  <c r="J213" i="13"/>
  <c r="I213" i="13"/>
  <c r="H213" i="13"/>
  <c r="F213" i="13"/>
  <c r="E213" i="13"/>
  <c r="D213" i="13"/>
  <c r="C213" i="13"/>
  <c r="B213" i="13"/>
  <c r="A213" i="13"/>
  <c r="Q213" i="13" s="1"/>
  <c r="P213" i="13" s="1"/>
  <c r="J212" i="13"/>
  <c r="I212" i="13"/>
  <c r="H212" i="13"/>
  <c r="F212" i="13"/>
  <c r="E212" i="13"/>
  <c r="D212" i="13"/>
  <c r="C212" i="13"/>
  <c r="B212" i="13"/>
  <c r="A212" i="13"/>
  <c r="Q212" i="13" s="1"/>
  <c r="N211" i="13"/>
  <c r="J211" i="13"/>
  <c r="I211" i="13"/>
  <c r="H211" i="13"/>
  <c r="F211" i="13"/>
  <c r="E211" i="13"/>
  <c r="D211" i="13"/>
  <c r="C211" i="13"/>
  <c r="B211" i="13"/>
  <c r="A211" i="13"/>
  <c r="Q211" i="13" s="1"/>
  <c r="P211" i="13" s="1"/>
  <c r="J210" i="13"/>
  <c r="I210" i="13"/>
  <c r="H210" i="13"/>
  <c r="F210" i="13"/>
  <c r="E210" i="13"/>
  <c r="D210" i="13"/>
  <c r="C210" i="13"/>
  <c r="B210" i="13"/>
  <c r="A210" i="13"/>
  <c r="Q210" i="13" s="1"/>
  <c r="P209" i="13"/>
  <c r="J209" i="13"/>
  <c r="I209" i="13"/>
  <c r="H209" i="13"/>
  <c r="F209" i="13"/>
  <c r="E209" i="13"/>
  <c r="D209" i="13"/>
  <c r="C209" i="13"/>
  <c r="B209" i="13"/>
  <c r="A209" i="13"/>
  <c r="Q209" i="13" s="1"/>
  <c r="J208" i="13"/>
  <c r="I208" i="13"/>
  <c r="H208" i="13"/>
  <c r="F208" i="13"/>
  <c r="E208" i="13"/>
  <c r="D208" i="13"/>
  <c r="C208" i="13"/>
  <c r="B208" i="13"/>
  <c r="A208" i="13"/>
  <c r="Q208" i="13" s="1"/>
  <c r="J207" i="13"/>
  <c r="I207" i="13"/>
  <c r="H207" i="13"/>
  <c r="F207" i="13"/>
  <c r="E207" i="13"/>
  <c r="D207" i="13"/>
  <c r="C207" i="13"/>
  <c r="B207" i="13"/>
  <c r="A207" i="13"/>
  <c r="Q207" i="13" s="1"/>
  <c r="J206" i="13"/>
  <c r="I206" i="13"/>
  <c r="H206" i="13"/>
  <c r="F206" i="13"/>
  <c r="E206" i="13"/>
  <c r="D206" i="13"/>
  <c r="C206" i="13"/>
  <c r="B206" i="13"/>
  <c r="A206" i="13"/>
  <c r="Q206" i="13" s="1"/>
  <c r="J205" i="13"/>
  <c r="I205" i="13"/>
  <c r="H205" i="13"/>
  <c r="F205" i="13"/>
  <c r="E205" i="13"/>
  <c r="D205" i="13"/>
  <c r="C205" i="13"/>
  <c r="B205" i="13"/>
  <c r="A205" i="13"/>
  <c r="Q205" i="13" s="1"/>
  <c r="L205" i="13" s="1"/>
  <c r="J204" i="13"/>
  <c r="I204" i="13"/>
  <c r="H204" i="13"/>
  <c r="F204" i="13"/>
  <c r="E204" i="13"/>
  <c r="D204" i="13"/>
  <c r="C204" i="13"/>
  <c r="B204" i="13"/>
  <c r="A204" i="13"/>
  <c r="Q204" i="13" s="1"/>
  <c r="N204" i="13" s="1"/>
  <c r="N203" i="13"/>
  <c r="J203" i="13"/>
  <c r="I203" i="13"/>
  <c r="H203" i="13"/>
  <c r="F203" i="13"/>
  <c r="E203" i="13"/>
  <c r="D203" i="13"/>
  <c r="C203" i="13"/>
  <c r="B203" i="13"/>
  <c r="A203" i="13"/>
  <c r="Q203" i="13" s="1"/>
  <c r="O203" i="13" s="1"/>
  <c r="P202" i="13"/>
  <c r="O202" i="13"/>
  <c r="K202" i="13"/>
  <c r="J202" i="13"/>
  <c r="I202" i="13"/>
  <c r="H202" i="13"/>
  <c r="F202" i="13"/>
  <c r="E202" i="13"/>
  <c r="D202" i="13"/>
  <c r="C202" i="13"/>
  <c r="B202" i="13"/>
  <c r="A202" i="13"/>
  <c r="Q202" i="13" s="1"/>
  <c r="J201" i="13"/>
  <c r="I201" i="13"/>
  <c r="H201" i="13"/>
  <c r="F201" i="13"/>
  <c r="E201" i="13"/>
  <c r="D201" i="13"/>
  <c r="C201" i="13"/>
  <c r="B201" i="13"/>
  <c r="A201" i="13"/>
  <c r="Q201" i="13" s="1"/>
  <c r="J200" i="13"/>
  <c r="I200" i="13"/>
  <c r="H200" i="13"/>
  <c r="F200" i="13"/>
  <c r="E200" i="13"/>
  <c r="D200" i="13"/>
  <c r="C200" i="13"/>
  <c r="B200" i="13"/>
  <c r="A200" i="13"/>
  <c r="Q200" i="13" s="1"/>
  <c r="M200" i="13" s="1"/>
  <c r="L199" i="13"/>
  <c r="J199" i="13"/>
  <c r="I199" i="13"/>
  <c r="H199" i="13"/>
  <c r="F199" i="13"/>
  <c r="E199" i="13"/>
  <c r="D199" i="13"/>
  <c r="C199" i="13"/>
  <c r="B199" i="13"/>
  <c r="A199" i="13"/>
  <c r="Q199" i="13" s="1"/>
  <c r="N199" i="13" s="1"/>
  <c r="M198" i="13"/>
  <c r="K198" i="13"/>
  <c r="J198" i="13"/>
  <c r="I198" i="13"/>
  <c r="H198" i="13"/>
  <c r="F198" i="13"/>
  <c r="E198" i="13"/>
  <c r="D198" i="13"/>
  <c r="C198" i="13"/>
  <c r="B198" i="13"/>
  <c r="A198" i="13"/>
  <c r="Q198" i="13" s="1"/>
  <c r="O198" i="13" s="1"/>
  <c r="P197" i="13"/>
  <c r="L197" i="13"/>
  <c r="K197" i="13"/>
  <c r="J197" i="13"/>
  <c r="I197" i="13"/>
  <c r="H197" i="13"/>
  <c r="F197" i="13"/>
  <c r="E197" i="13"/>
  <c r="D197" i="13"/>
  <c r="C197" i="13"/>
  <c r="B197" i="13"/>
  <c r="A197" i="13"/>
  <c r="Q197" i="13" s="1"/>
  <c r="J196" i="13"/>
  <c r="I196" i="13"/>
  <c r="H196" i="13"/>
  <c r="F196" i="13"/>
  <c r="E196" i="13"/>
  <c r="D196" i="13"/>
  <c r="C196" i="13"/>
  <c r="B196" i="13"/>
  <c r="A196" i="13"/>
  <c r="Q196" i="13" s="1"/>
  <c r="L196" i="13" s="1"/>
  <c r="J195" i="13"/>
  <c r="I195" i="13"/>
  <c r="H195" i="13"/>
  <c r="F195" i="13"/>
  <c r="E195" i="13"/>
  <c r="D195" i="13"/>
  <c r="C195" i="13"/>
  <c r="B195" i="13"/>
  <c r="A195" i="13"/>
  <c r="Q195" i="13" s="1"/>
  <c r="N195" i="13" s="1"/>
  <c r="J194" i="13"/>
  <c r="I194" i="13"/>
  <c r="H194" i="13"/>
  <c r="F194" i="13"/>
  <c r="E194" i="13"/>
  <c r="D194" i="13"/>
  <c r="C194" i="13"/>
  <c r="B194" i="13"/>
  <c r="A194" i="13"/>
  <c r="Q194" i="13" s="1"/>
  <c r="J193" i="13"/>
  <c r="I193" i="13"/>
  <c r="H193" i="13"/>
  <c r="F193" i="13"/>
  <c r="E193" i="13"/>
  <c r="D193" i="13"/>
  <c r="C193" i="13"/>
  <c r="B193" i="13"/>
  <c r="A193" i="13"/>
  <c r="Q193" i="13" s="1"/>
  <c r="P193" i="13" s="1"/>
  <c r="J192" i="13"/>
  <c r="I192" i="13"/>
  <c r="H192" i="13"/>
  <c r="F192" i="13"/>
  <c r="E192" i="13"/>
  <c r="D192" i="13"/>
  <c r="C192" i="13"/>
  <c r="B192" i="13"/>
  <c r="A192" i="13"/>
  <c r="Q192" i="13" s="1"/>
  <c r="J191" i="13"/>
  <c r="I191" i="13"/>
  <c r="H191" i="13"/>
  <c r="F191" i="13"/>
  <c r="E191" i="13"/>
  <c r="D191" i="13"/>
  <c r="C191" i="13"/>
  <c r="B191" i="13"/>
  <c r="A191" i="13"/>
  <c r="Q191" i="13" s="1"/>
  <c r="L190" i="13"/>
  <c r="J190" i="13"/>
  <c r="I190" i="13"/>
  <c r="H190" i="13"/>
  <c r="F190" i="13"/>
  <c r="E190" i="13"/>
  <c r="D190" i="13"/>
  <c r="C190" i="13"/>
  <c r="B190" i="13"/>
  <c r="A190" i="13"/>
  <c r="Q190" i="13" s="1"/>
  <c r="O190" i="13" s="1"/>
  <c r="P189" i="13"/>
  <c r="N189" i="13"/>
  <c r="K189" i="13"/>
  <c r="J189" i="13"/>
  <c r="I189" i="13"/>
  <c r="H189" i="13"/>
  <c r="F189" i="13"/>
  <c r="E189" i="13"/>
  <c r="D189" i="13"/>
  <c r="C189" i="13"/>
  <c r="B189" i="13"/>
  <c r="A189" i="13"/>
  <c r="Q189" i="13" s="1"/>
  <c r="O189" i="13" s="1"/>
  <c r="J188" i="13"/>
  <c r="I188" i="13"/>
  <c r="H188" i="13"/>
  <c r="F188" i="13"/>
  <c r="E188" i="13"/>
  <c r="D188" i="13"/>
  <c r="C188" i="13"/>
  <c r="B188" i="13"/>
  <c r="A188" i="13"/>
  <c r="Q188" i="13" s="1"/>
  <c r="O187" i="13"/>
  <c r="N187" i="13"/>
  <c r="J187" i="13"/>
  <c r="I187" i="13"/>
  <c r="H187" i="13"/>
  <c r="F187" i="13"/>
  <c r="E187" i="13"/>
  <c r="D187" i="13"/>
  <c r="C187" i="13"/>
  <c r="B187" i="13"/>
  <c r="A187" i="13"/>
  <c r="Q187" i="13" s="1"/>
  <c r="K187" i="13" s="1"/>
  <c r="Q186" i="13"/>
  <c r="L186" i="13" s="1"/>
  <c r="O186" i="13"/>
  <c r="J186" i="13"/>
  <c r="I186" i="13"/>
  <c r="H186" i="13"/>
  <c r="F186" i="13"/>
  <c r="E186" i="13"/>
  <c r="D186" i="13"/>
  <c r="C186" i="13"/>
  <c r="B186" i="13"/>
  <c r="A186" i="13"/>
  <c r="J185" i="13"/>
  <c r="I185" i="13"/>
  <c r="H185" i="13"/>
  <c r="F185" i="13"/>
  <c r="E185" i="13"/>
  <c r="D185" i="13"/>
  <c r="C185" i="13"/>
  <c r="B185" i="13"/>
  <c r="A185" i="13"/>
  <c r="Q185" i="13" s="1"/>
  <c r="J184" i="13"/>
  <c r="I184" i="13"/>
  <c r="H184" i="13"/>
  <c r="F184" i="13"/>
  <c r="E184" i="13"/>
  <c r="D184" i="13"/>
  <c r="C184" i="13"/>
  <c r="B184" i="13"/>
  <c r="A184" i="13"/>
  <c r="Q184" i="13" s="1"/>
  <c r="J183" i="13"/>
  <c r="I183" i="13"/>
  <c r="H183" i="13"/>
  <c r="F183" i="13"/>
  <c r="E183" i="13"/>
  <c r="D183" i="13"/>
  <c r="C183" i="13"/>
  <c r="B183" i="13"/>
  <c r="A183" i="13"/>
  <c r="Q183" i="13" s="1"/>
  <c r="J182" i="13"/>
  <c r="I182" i="13"/>
  <c r="H182" i="13"/>
  <c r="F182" i="13"/>
  <c r="E182" i="13"/>
  <c r="D182" i="13"/>
  <c r="C182" i="13"/>
  <c r="B182" i="13"/>
  <c r="A182" i="13"/>
  <c r="Q182" i="13" s="1"/>
  <c r="P181" i="13"/>
  <c r="J181" i="13"/>
  <c r="I181" i="13"/>
  <c r="H181" i="13"/>
  <c r="F181" i="13"/>
  <c r="E181" i="13"/>
  <c r="D181" i="13"/>
  <c r="C181" i="13"/>
  <c r="B181" i="13"/>
  <c r="A181" i="13"/>
  <c r="Q181" i="13" s="1"/>
  <c r="O181" i="13" s="1"/>
  <c r="J180" i="13"/>
  <c r="I180" i="13"/>
  <c r="H180" i="13"/>
  <c r="F180" i="13"/>
  <c r="E180" i="13"/>
  <c r="D180" i="13"/>
  <c r="C180" i="13"/>
  <c r="B180" i="13"/>
  <c r="A180" i="13"/>
  <c r="Q180" i="13" s="1"/>
  <c r="M179" i="13"/>
  <c r="J179" i="13"/>
  <c r="I179" i="13"/>
  <c r="H179" i="13"/>
  <c r="F179" i="13"/>
  <c r="E179" i="13"/>
  <c r="D179" i="13"/>
  <c r="C179" i="13"/>
  <c r="B179" i="13"/>
  <c r="A179" i="13"/>
  <c r="Q179" i="13" s="1"/>
  <c r="P179" i="13" s="1"/>
  <c r="J178" i="13"/>
  <c r="I178" i="13"/>
  <c r="H178" i="13"/>
  <c r="F178" i="13"/>
  <c r="E178" i="13"/>
  <c r="D178" i="13"/>
  <c r="C178" i="13"/>
  <c r="B178" i="13"/>
  <c r="A178" i="13"/>
  <c r="Q178" i="13" s="1"/>
  <c r="J177" i="13"/>
  <c r="I177" i="13"/>
  <c r="H177" i="13"/>
  <c r="F177" i="13"/>
  <c r="E177" i="13"/>
  <c r="D177" i="13"/>
  <c r="C177" i="13"/>
  <c r="B177" i="13"/>
  <c r="A177" i="13"/>
  <c r="Q177" i="13" s="1"/>
  <c r="P177" i="13" s="1"/>
  <c r="J176" i="13"/>
  <c r="I176" i="13"/>
  <c r="H176" i="13"/>
  <c r="F176" i="13"/>
  <c r="E176" i="13"/>
  <c r="D176" i="13"/>
  <c r="C176" i="13"/>
  <c r="B176" i="13"/>
  <c r="A176" i="13"/>
  <c r="Q176" i="13" s="1"/>
  <c r="J175" i="13"/>
  <c r="I175" i="13"/>
  <c r="H175" i="13"/>
  <c r="F175" i="13"/>
  <c r="E175" i="13"/>
  <c r="D175" i="13"/>
  <c r="C175" i="13"/>
  <c r="B175" i="13"/>
  <c r="A175" i="13"/>
  <c r="Q175" i="13" s="1"/>
  <c r="J174" i="13"/>
  <c r="I174" i="13"/>
  <c r="H174" i="13"/>
  <c r="F174" i="13"/>
  <c r="E174" i="13"/>
  <c r="D174" i="13"/>
  <c r="C174" i="13"/>
  <c r="B174" i="13"/>
  <c r="A174" i="13"/>
  <c r="Q174" i="13" s="1"/>
  <c r="O174" i="13" s="1"/>
  <c r="N173" i="13"/>
  <c r="K173" i="13"/>
  <c r="J173" i="13"/>
  <c r="I173" i="13"/>
  <c r="H173" i="13"/>
  <c r="F173" i="13"/>
  <c r="E173" i="13"/>
  <c r="D173" i="13"/>
  <c r="C173" i="13"/>
  <c r="B173" i="13"/>
  <c r="A173" i="13"/>
  <c r="Q173" i="13" s="1"/>
  <c r="O173" i="13" s="1"/>
  <c r="J172" i="13"/>
  <c r="I172" i="13"/>
  <c r="H172" i="13"/>
  <c r="F172" i="13"/>
  <c r="E172" i="13"/>
  <c r="D172" i="13"/>
  <c r="C172" i="13"/>
  <c r="B172" i="13"/>
  <c r="A172" i="13"/>
  <c r="Q172" i="13" s="1"/>
  <c r="J171" i="13"/>
  <c r="I171" i="13"/>
  <c r="H171" i="13"/>
  <c r="F171" i="13"/>
  <c r="E171" i="13"/>
  <c r="D171" i="13"/>
  <c r="C171" i="13"/>
  <c r="B171" i="13"/>
  <c r="A171" i="13"/>
  <c r="Q171" i="13" s="1"/>
  <c r="K171" i="13" s="1"/>
  <c r="J170" i="13"/>
  <c r="I170" i="13"/>
  <c r="H170" i="13"/>
  <c r="F170" i="13"/>
  <c r="E170" i="13"/>
  <c r="D170" i="13"/>
  <c r="C170" i="13"/>
  <c r="B170" i="13"/>
  <c r="A170" i="13"/>
  <c r="Q170" i="13" s="1"/>
  <c r="J169" i="13"/>
  <c r="I169" i="13"/>
  <c r="H169" i="13"/>
  <c r="F169" i="13"/>
  <c r="E169" i="13"/>
  <c r="D169" i="13"/>
  <c r="C169" i="13"/>
  <c r="B169" i="13"/>
  <c r="A169" i="13"/>
  <c r="Q169" i="13" s="1"/>
  <c r="J168" i="13"/>
  <c r="I168" i="13"/>
  <c r="H168" i="13"/>
  <c r="F168" i="13"/>
  <c r="E168" i="13"/>
  <c r="D168" i="13"/>
  <c r="C168" i="13"/>
  <c r="B168" i="13"/>
  <c r="A168" i="13"/>
  <c r="Q168" i="13" s="1"/>
  <c r="J167" i="13"/>
  <c r="I167" i="13"/>
  <c r="H167" i="13"/>
  <c r="F167" i="13"/>
  <c r="E167" i="13"/>
  <c r="D167" i="13"/>
  <c r="C167" i="13"/>
  <c r="B167" i="13"/>
  <c r="A167" i="13"/>
  <c r="Q167" i="13" s="1"/>
  <c r="J166" i="13"/>
  <c r="I166" i="13"/>
  <c r="H166" i="13"/>
  <c r="F166" i="13"/>
  <c r="E166" i="13"/>
  <c r="D166" i="13"/>
  <c r="C166" i="13"/>
  <c r="B166" i="13"/>
  <c r="A166" i="13"/>
  <c r="Q166" i="13" s="1"/>
  <c r="P165" i="13"/>
  <c r="J165" i="13"/>
  <c r="I165" i="13"/>
  <c r="H165" i="13"/>
  <c r="F165" i="13"/>
  <c r="E165" i="13"/>
  <c r="D165" i="13"/>
  <c r="C165" i="13"/>
  <c r="B165" i="13"/>
  <c r="A165" i="13"/>
  <c r="Q165" i="13" s="1"/>
  <c r="O165" i="13" s="1"/>
  <c r="J164" i="13"/>
  <c r="I164" i="13"/>
  <c r="H164" i="13"/>
  <c r="G164" i="13"/>
  <c r="F164" i="13"/>
  <c r="E164" i="13"/>
  <c r="D164" i="13"/>
  <c r="C164" i="13"/>
  <c r="B164" i="13"/>
  <c r="A164" i="13"/>
  <c r="Q164" i="13" s="1"/>
  <c r="J163" i="13"/>
  <c r="I163" i="13"/>
  <c r="H163" i="13"/>
  <c r="F163" i="13"/>
  <c r="E163" i="13"/>
  <c r="D163" i="13"/>
  <c r="C163" i="13"/>
  <c r="B163" i="13"/>
  <c r="A163" i="13"/>
  <c r="Q163" i="13" s="1"/>
  <c r="P163" i="13" s="1"/>
  <c r="Q162" i="13"/>
  <c r="J162" i="13"/>
  <c r="I162" i="13"/>
  <c r="H162" i="13"/>
  <c r="F162" i="13"/>
  <c r="E162" i="13"/>
  <c r="D162" i="13"/>
  <c r="C162" i="13"/>
  <c r="B162" i="13"/>
  <c r="A162" i="13"/>
  <c r="J161" i="13"/>
  <c r="I161" i="13"/>
  <c r="H161" i="13"/>
  <c r="F161" i="13"/>
  <c r="E161" i="13"/>
  <c r="D161" i="13"/>
  <c r="C161" i="13"/>
  <c r="B161" i="13"/>
  <c r="A161" i="13"/>
  <c r="Q161" i="13" s="1"/>
  <c r="Q160" i="13"/>
  <c r="P160" i="13" s="1"/>
  <c r="J160" i="13"/>
  <c r="I160" i="13"/>
  <c r="H160" i="13"/>
  <c r="F160" i="13"/>
  <c r="E160" i="13"/>
  <c r="D160" i="13"/>
  <c r="C160" i="13"/>
  <c r="B160" i="13"/>
  <c r="A160" i="13"/>
  <c r="J159" i="13"/>
  <c r="I159" i="13"/>
  <c r="H159" i="13"/>
  <c r="F159" i="13"/>
  <c r="E159" i="13"/>
  <c r="D159" i="13"/>
  <c r="C159" i="13"/>
  <c r="B159" i="13"/>
  <c r="A159" i="13"/>
  <c r="Q159" i="13" s="1"/>
  <c r="L158" i="13"/>
  <c r="J158" i="13"/>
  <c r="I158" i="13"/>
  <c r="H158" i="13"/>
  <c r="F158" i="13"/>
  <c r="E158" i="13"/>
  <c r="D158" i="13"/>
  <c r="C158" i="13"/>
  <c r="B158" i="13"/>
  <c r="A158" i="13"/>
  <c r="Q158" i="13" s="1"/>
  <c r="O158" i="13" s="1"/>
  <c r="P157" i="13"/>
  <c r="N157" i="13"/>
  <c r="K157" i="13"/>
  <c r="J157" i="13"/>
  <c r="I157" i="13"/>
  <c r="H157" i="13"/>
  <c r="F157" i="13"/>
  <c r="E157" i="13"/>
  <c r="D157" i="13"/>
  <c r="C157" i="13"/>
  <c r="B157" i="13"/>
  <c r="A157" i="13"/>
  <c r="Q157" i="13" s="1"/>
  <c r="O157" i="13" s="1"/>
  <c r="J156" i="13"/>
  <c r="I156" i="13"/>
  <c r="H156" i="13"/>
  <c r="F156" i="13"/>
  <c r="E156" i="13"/>
  <c r="D156" i="13"/>
  <c r="C156" i="13"/>
  <c r="B156" i="13"/>
  <c r="A156" i="13"/>
  <c r="Q156" i="13" s="1"/>
  <c r="N155" i="13"/>
  <c r="J155" i="13"/>
  <c r="I155" i="13"/>
  <c r="H155" i="13"/>
  <c r="F155" i="13"/>
  <c r="E155" i="13"/>
  <c r="D155" i="13"/>
  <c r="C155" i="13"/>
  <c r="B155" i="13"/>
  <c r="A155" i="13"/>
  <c r="Q155" i="13" s="1"/>
  <c r="K155" i="13" s="1"/>
  <c r="J154" i="13"/>
  <c r="I154" i="13"/>
  <c r="H154" i="13"/>
  <c r="F154" i="13"/>
  <c r="E154" i="13"/>
  <c r="D154" i="13"/>
  <c r="C154" i="13"/>
  <c r="B154" i="13"/>
  <c r="A154" i="13"/>
  <c r="Q154" i="13" s="1"/>
  <c r="J153" i="13"/>
  <c r="I153" i="13"/>
  <c r="H153" i="13"/>
  <c r="F153" i="13"/>
  <c r="E153" i="13"/>
  <c r="D153" i="13"/>
  <c r="C153" i="13"/>
  <c r="B153" i="13"/>
  <c r="A153" i="13"/>
  <c r="Q153" i="13" s="1"/>
  <c r="J152" i="13"/>
  <c r="I152" i="13"/>
  <c r="H152" i="13"/>
  <c r="F152" i="13"/>
  <c r="E152" i="13"/>
  <c r="D152" i="13"/>
  <c r="C152" i="13"/>
  <c r="B152" i="13"/>
  <c r="A152" i="13"/>
  <c r="Q152" i="13" s="1"/>
  <c r="J151" i="13"/>
  <c r="I151" i="13"/>
  <c r="H151" i="13"/>
  <c r="F151" i="13"/>
  <c r="E151" i="13"/>
  <c r="D151" i="13"/>
  <c r="C151" i="13"/>
  <c r="B151" i="13"/>
  <c r="A151" i="13"/>
  <c r="Q151" i="13" s="1"/>
  <c r="J150" i="13"/>
  <c r="I150" i="13"/>
  <c r="H150" i="13"/>
  <c r="F150" i="13"/>
  <c r="E150" i="13"/>
  <c r="D150" i="13"/>
  <c r="C150" i="13"/>
  <c r="B150" i="13"/>
  <c r="A150" i="13"/>
  <c r="Q150" i="13" s="1"/>
  <c r="P149" i="13"/>
  <c r="J149" i="13"/>
  <c r="I149" i="13"/>
  <c r="H149" i="13"/>
  <c r="F149" i="13"/>
  <c r="E149" i="13"/>
  <c r="D149" i="13"/>
  <c r="C149" i="13"/>
  <c r="B149" i="13"/>
  <c r="A149" i="13"/>
  <c r="Q149" i="13" s="1"/>
  <c r="O149" i="13" s="1"/>
  <c r="J148" i="13"/>
  <c r="I148" i="13"/>
  <c r="H148" i="13"/>
  <c r="G148" i="13"/>
  <c r="F148" i="13"/>
  <c r="E148" i="13"/>
  <c r="D148" i="13"/>
  <c r="C148" i="13"/>
  <c r="B148" i="13"/>
  <c r="A148" i="13"/>
  <c r="Q148" i="13" s="1"/>
  <c r="J147" i="13"/>
  <c r="I147" i="13"/>
  <c r="H147" i="13"/>
  <c r="F147" i="13"/>
  <c r="E147" i="13"/>
  <c r="D147" i="13"/>
  <c r="C147" i="13"/>
  <c r="B147" i="13"/>
  <c r="A147" i="13"/>
  <c r="Q147" i="13" s="1"/>
  <c r="P147" i="13" s="1"/>
  <c r="J146" i="13"/>
  <c r="I146" i="13"/>
  <c r="H146" i="13"/>
  <c r="F146" i="13"/>
  <c r="E146" i="13"/>
  <c r="D146" i="13"/>
  <c r="C146" i="13"/>
  <c r="B146" i="13"/>
  <c r="A146" i="13"/>
  <c r="Q146" i="13" s="1"/>
  <c r="Q145" i="13"/>
  <c r="P145" i="13" s="1"/>
  <c r="J145" i="13"/>
  <c r="I145" i="13"/>
  <c r="H145" i="13"/>
  <c r="F145" i="13"/>
  <c r="E145" i="13"/>
  <c r="D145" i="13"/>
  <c r="C145" i="13"/>
  <c r="B145" i="13"/>
  <c r="A145" i="13"/>
  <c r="Q144" i="13"/>
  <c r="K144" i="13" s="1"/>
  <c r="M144" i="13"/>
  <c r="J144" i="13"/>
  <c r="I144" i="13"/>
  <c r="H144" i="13"/>
  <c r="F144" i="13"/>
  <c r="E144" i="13"/>
  <c r="D144" i="13"/>
  <c r="C144" i="13"/>
  <c r="B144" i="13"/>
  <c r="A144" i="13"/>
  <c r="J143" i="13"/>
  <c r="I143" i="13"/>
  <c r="H143" i="13"/>
  <c r="F143" i="13"/>
  <c r="E143" i="13"/>
  <c r="D143" i="13"/>
  <c r="C143" i="13"/>
  <c r="B143" i="13"/>
  <c r="A143" i="13"/>
  <c r="Q143" i="13" s="1"/>
  <c r="J142" i="13"/>
  <c r="I142" i="13"/>
  <c r="H142" i="13"/>
  <c r="F142" i="13"/>
  <c r="E142" i="13"/>
  <c r="D142" i="13"/>
  <c r="C142" i="13"/>
  <c r="B142" i="13"/>
  <c r="A142" i="13"/>
  <c r="Q142" i="13" s="1"/>
  <c r="O142" i="13" s="1"/>
  <c r="M141" i="13"/>
  <c r="K141" i="13"/>
  <c r="J141" i="13"/>
  <c r="I141" i="13"/>
  <c r="H141" i="13"/>
  <c r="F141" i="13"/>
  <c r="E141" i="13"/>
  <c r="D141" i="13"/>
  <c r="C141" i="13"/>
  <c r="B141" i="13"/>
  <c r="A141" i="13"/>
  <c r="Q141" i="13" s="1"/>
  <c r="O141" i="13" s="1"/>
  <c r="J140" i="13"/>
  <c r="I140" i="13"/>
  <c r="H140" i="13"/>
  <c r="F140" i="13"/>
  <c r="E140" i="13"/>
  <c r="D140" i="13"/>
  <c r="C140" i="13"/>
  <c r="B140" i="13"/>
  <c r="A140" i="13"/>
  <c r="Q140" i="13" s="1"/>
  <c r="O139" i="13"/>
  <c r="J139" i="13"/>
  <c r="I139" i="13"/>
  <c r="H139" i="13"/>
  <c r="F139" i="13"/>
  <c r="E139" i="13"/>
  <c r="D139" i="13"/>
  <c r="C139" i="13"/>
  <c r="B139" i="13"/>
  <c r="A139" i="13"/>
  <c r="Q139" i="13" s="1"/>
  <c r="K139" i="13" s="1"/>
  <c r="J138" i="13"/>
  <c r="I138" i="13"/>
  <c r="H138" i="13"/>
  <c r="F138" i="13"/>
  <c r="E138" i="13"/>
  <c r="D138" i="13"/>
  <c r="C138" i="13"/>
  <c r="B138" i="13"/>
  <c r="A138" i="13"/>
  <c r="Q138" i="13" s="1"/>
  <c r="J137" i="13"/>
  <c r="I137" i="13"/>
  <c r="H137" i="13"/>
  <c r="F137" i="13"/>
  <c r="E137" i="13"/>
  <c r="D137" i="13"/>
  <c r="C137" i="13"/>
  <c r="B137" i="13"/>
  <c r="A137" i="13"/>
  <c r="Q137" i="13" s="1"/>
  <c r="Q136" i="13"/>
  <c r="J136" i="13"/>
  <c r="I136" i="13"/>
  <c r="H136" i="13"/>
  <c r="F136" i="13"/>
  <c r="E136" i="13"/>
  <c r="D136" i="13"/>
  <c r="C136" i="13"/>
  <c r="B136" i="13"/>
  <c r="A136" i="13"/>
  <c r="J135" i="13"/>
  <c r="I135" i="13"/>
  <c r="H135" i="13"/>
  <c r="F135" i="13"/>
  <c r="E135" i="13"/>
  <c r="D135" i="13"/>
  <c r="C135" i="13"/>
  <c r="B135" i="13"/>
  <c r="A135" i="13"/>
  <c r="Q135" i="13" s="1"/>
  <c r="Q134" i="13"/>
  <c r="J134" i="13"/>
  <c r="I134" i="13"/>
  <c r="H134" i="13"/>
  <c r="F134" i="13"/>
  <c r="E134" i="13"/>
  <c r="D134" i="13"/>
  <c r="C134" i="13"/>
  <c r="B134" i="13"/>
  <c r="A134" i="13"/>
  <c r="P133" i="13"/>
  <c r="N133" i="13"/>
  <c r="M133" i="13"/>
  <c r="J133" i="13"/>
  <c r="I133" i="13"/>
  <c r="H133" i="13"/>
  <c r="F133" i="13"/>
  <c r="E133" i="13"/>
  <c r="D133" i="13"/>
  <c r="C133" i="13"/>
  <c r="B133" i="13"/>
  <c r="A133" i="13"/>
  <c r="Q133" i="13" s="1"/>
  <c r="O133" i="13" s="1"/>
  <c r="J132" i="13"/>
  <c r="I132" i="13"/>
  <c r="H132" i="13"/>
  <c r="F132" i="13"/>
  <c r="E132" i="13"/>
  <c r="D132" i="13"/>
  <c r="C132" i="13"/>
  <c r="B132" i="13"/>
  <c r="A132" i="13"/>
  <c r="Q132" i="13" s="1"/>
  <c r="M131" i="13"/>
  <c r="J131" i="13"/>
  <c r="I131" i="13"/>
  <c r="H131" i="13"/>
  <c r="F131" i="13"/>
  <c r="E131" i="13"/>
  <c r="D131" i="13"/>
  <c r="C131" i="13"/>
  <c r="B131" i="13"/>
  <c r="A131" i="13"/>
  <c r="Q131" i="13" s="1"/>
  <c r="L131" i="13" s="1"/>
  <c r="J130" i="13"/>
  <c r="I130" i="13"/>
  <c r="H130" i="13"/>
  <c r="F130" i="13"/>
  <c r="E130" i="13"/>
  <c r="D130" i="13"/>
  <c r="C130" i="13"/>
  <c r="B130" i="13"/>
  <c r="A130" i="13"/>
  <c r="Q130" i="13" s="1"/>
  <c r="J129" i="13"/>
  <c r="I129" i="13"/>
  <c r="H129" i="13"/>
  <c r="F129" i="13"/>
  <c r="E129" i="13"/>
  <c r="D129" i="13"/>
  <c r="C129" i="13"/>
  <c r="B129" i="13"/>
  <c r="A129" i="13"/>
  <c r="Q129" i="13" s="1"/>
  <c r="J128" i="13"/>
  <c r="I128" i="13"/>
  <c r="H128" i="13"/>
  <c r="G128" i="13"/>
  <c r="F128" i="13"/>
  <c r="E128" i="13"/>
  <c r="D128" i="13"/>
  <c r="C128" i="13"/>
  <c r="B128" i="13"/>
  <c r="A128" i="13"/>
  <c r="Q128" i="13" s="1"/>
  <c r="J127" i="13"/>
  <c r="I127" i="13"/>
  <c r="H127" i="13"/>
  <c r="F127" i="13"/>
  <c r="E127" i="13"/>
  <c r="D127" i="13"/>
  <c r="C127" i="13"/>
  <c r="B127" i="13"/>
  <c r="A127" i="13"/>
  <c r="Q127" i="13" s="1"/>
  <c r="J126" i="13"/>
  <c r="I126" i="13"/>
  <c r="H126" i="13"/>
  <c r="F126" i="13"/>
  <c r="E126" i="13"/>
  <c r="D126" i="13"/>
  <c r="C126" i="13"/>
  <c r="B126" i="13"/>
  <c r="A126" i="13"/>
  <c r="Q126" i="13" s="1"/>
  <c r="Q125" i="13"/>
  <c r="K125" i="13" s="1"/>
  <c r="P125" i="13"/>
  <c r="O125" i="13"/>
  <c r="L125" i="13"/>
  <c r="J125" i="13"/>
  <c r="I125" i="13"/>
  <c r="H125" i="13"/>
  <c r="F125" i="13"/>
  <c r="E125" i="13"/>
  <c r="D125" i="13"/>
  <c r="C125" i="13"/>
  <c r="B125" i="13"/>
  <c r="A125" i="13"/>
  <c r="J124" i="13"/>
  <c r="I124" i="13"/>
  <c r="H124" i="13"/>
  <c r="F124" i="13"/>
  <c r="E124" i="13"/>
  <c r="D124" i="13"/>
  <c r="C124" i="13"/>
  <c r="B124" i="13"/>
  <c r="A124" i="13"/>
  <c r="Q124" i="13" s="1"/>
  <c r="Q123" i="13"/>
  <c r="J123" i="13"/>
  <c r="I123" i="13"/>
  <c r="H123" i="13"/>
  <c r="F123" i="13"/>
  <c r="E123" i="13"/>
  <c r="D123" i="13"/>
  <c r="C123" i="13"/>
  <c r="B123" i="13"/>
  <c r="A123" i="13"/>
  <c r="J122" i="13"/>
  <c r="I122" i="13"/>
  <c r="H122" i="13"/>
  <c r="F122" i="13"/>
  <c r="E122" i="13"/>
  <c r="D122" i="13"/>
  <c r="C122" i="13"/>
  <c r="B122" i="13"/>
  <c r="A122" i="13"/>
  <c r="Q122" i="13" s="1"/>
  <c r="J121" i="13"/>
  <c r="I121" i="13"/>
  <c r="H121" i="13"/>
  <c r="F121" i="13"/>
  <c r="E121" i="13"/>
  <c r="D121" i="13"/>
  <c r="C121" i="13"/>
  <c r="B121" i="13"/>
  <c r="A121" i="13"/>
  <c r="Q121" i="13" s="1"/>
  <c r="Q120" i="13"/>
  <c r="M120" i="13" s="1"/>
  <c r="J120" i="13"/>
  <c r="I120" i="13"/>
  <c r="H120" i="13"/>
  <c r="F120" i="13"/>
  <c r="E120" i="13"/>
  <c r="D120" i="13"/>
  <c r="C120" i="13"/>
  <c r="B120" i="13"/>
  <c r="A120" i="13"/>
  <c r="J119" i="13"/>
  <c r="I119" i="13"/>
  <c r="H119" i="13"/>
  <c r="F119" i="13"/>
  <c r="E119" i="13"/>
  <c r="D119" i="13"/>
  <c r="C119" i="13"/>
  <c r="B119" i="13"/>
  <c r="A119" i="13"/>
  <c r="Q119" i="13" s="1"/>
  <c r="J118" i="13"/>
  <c r="I118" i="13"/>
  <c r="H118" i="13"/>
  <c r="F118" i="13"/>
  <c r="E118" i="13"/>
  <c r="D118" i="13"/>
  <c r="C118" i="13"/>
  <c r="B118" i="13"/>
  <c r="A118" i="13"/>
  <c r="Q118" i="13" s="1"/>
  <c r="L117" i="13"/>
  <c r="K117" i="13"/>
  <c r="J117" i="13"/>
  <c r="I117" i="13"/>
  <c r="H117" i="13"/>
  <c r="F117" i="13"/>
  <c r="E117" i="13"/>
  <c r="D117" i="13"/>
  <c r="C117" i="13"/>
  <c r="B117" i="13"/>
  <c r="A117" i="13"/>
  <c r="Q117" i="13" s="1"/>
  <c r="O117" i="13" s="1"/>
  <c r="Q116" i="13"/>
  <c r="P116" i="13" s="1"/>
  <c r="K116" i="13"/>
  <c r="J116" i="13"/>
  <c r="I116" i="13"/>
  <c r="H116" i="13"/>
  <c r="G116" i="13"/>
  <c r="F116" i="13"/>
  <c r="E116" i="13"/>
  <c r="D116" i="13"/>
  <c r="C116" i="13"/>
  <c r="B116" i="13"/>
  <c r="A116" i="13"/>
  <c r="P115" i="13"/>
  <c r="L115" i="13"/>
  <c r="K115" i="13"/>
  <c r="J115" i="13"/>
  <c r="I115" i="13"/>
  <c r="H115" i="13"/>
  <c r="F115" i="13"/>
  <c r="E115" i="13"/>
  <c r="D115" i="13"/>
  <c r="C115" i="13"/>
  <c r="B115" i="13"/>
  <c r="A115" i="13"/>
  <c r="Q115" i="13" s="1"/>
  <c r="O115" i="13" s="1"/>
  <c r="J114" i="13"/>
  <c r="I114" i="13"/>
  <c r="H114" i="13"/>
  <c r="F114" i="13"/>
  <c r="E114" i="13"/>
  <c r="D114" i="13"/>
  <c r="C114" i="13"/>
  <c r="B114" i="13"/>
  <c r="A114" i="13"/>
  <c r="Q114" i="13" s="1"/>
  <c r="J113" i="13"/>
  <c r="I113" i="13"/>
  <c r="H113" i="13"/>
  <c r="F113" i="13"/>
  <c r="E113" i="13"/>
  <c r="D113" i="13"/>
  <c r="C113" i="13"/>
  <c r="B113" i="13"/>
  <c r="A113" i="13"/>
  <c r="Q113" i="13" s="1"/>
  <c r="J112" i="13"/>
  <c r="I112" i="13"/>
  <c r="H112" i="13"/>
  <c r="F112" i="13"/>
  <c r="E112" i="13"/>
  <c r="D112" i="13"/>
  <c r="C112" i="13"/>
  <c r="B112" i="13"/>
  <c r="A112" i="13"/>
  <c r="Q112" i="13" s="1"/>
  <c r="J111" i="13"/>
  <c r="I111" i="13"/>
  <c r="H111" i="13"/>
  <c r="F111" i="13"/>
  <c r="E111" i="13"/>
  <c r="D111" i="13"/>
  <c r="C111" i="13"/>
  <c r="B111" i="13"/>
  <c r="A111" i="13"/>
  <c r="Q111" i="13" s="1"/>
  <c r="J110" i="13"/>
  <c r="I110" i="13"/>
  <c r="H110" i="13"/>
  <c r="F110" i="13"/>
  <c r="E110" i="13"/>
  <c r="D110" i="13"/>
  <c r="C110" i="13"/>
  <c r="B110" i="13"/>
  <c r="A110" i="13"/>
  <c r="Q110" i="13" s="1"/>
  <c r="Q109" i="13"/>
  <c r="K109" i="13" s="1"/>
  <c r="O109" i="13"/>
  <c r="J109" i="13"/>
  <c r="I109" i="13"/>
  <c r="H109" i="13"/>
  <c r="F109" i="13"/>
  <c r="E109" i="13"/>
  <c r="D109" i="13"/>
  <c r="C109" i="13"/>
  <c r="B109" i="13"/>
  <c r="A109" i="13"/>
  <c r="J108" i="13"/>
  <c r="I108" i="13"/>
  <c r="H108" i="13"/>
  <c r="F108" i="13"/>
  <c r="E108" i="13"/>
  <c r="D108" i="13"/>
  <c r="C108" i="13"/>
  <c r="B108" i="13"/>
  <c r="A108" i="13"/>
  <c r="Q108" i="13" s="1"/>
  <c r="Q107" i="13"/>
  <c r="K107" i="13" s="1"/>
  <c r="J107" i="13"/>
  <c r="I107" i="13"/>
  <c r="H107" i="13"/>
  <c r="F107" i="13"/>
  <c r="E107" i="13"/>
  <c r="D107" i="13"/>
  <c r="C107" i="13"/>
  <c r="B107" i="13"/>
  <c r="A107" i="13"/>
  <c r="J106" i="13"/>
  <c r="I106" i="13"/>
  <c r="H106" i="13"/>
  <c r="F106" i="13"/>
  <c r="E106" i="13"/>
  <c r="D106" i="13"/>
  <c r="C106" i="13"/>
  <c r="B106" i="13"/>
  <c r="A106" i="13"/>
  <c r="Q106" i="13" s="1"/>
  <c r="J105" i="13"/>
  <c r="I105" i="13"/>
  <c r="H105" i="13"/>
  <c r="F105" i="13"/>
  <c r="E105" i="13"/>
  <c r="D105" i="13"/>
  <c r="C105" i="13"/>
  <c r="B105" i="13"/>
  <c r="A105" i="13"/>
  <c r="Q105" i="13" s="1"/>
  <c r="J104" i="13"/>
  <c r="I104" i="13"/>
  <c r="H104" i="13"/>
  <c r="F104" i="13"/>
  <c r="E104" i="13"/>
  <c r="D104" i="13"/>
  <c r="C104" i="13"/>
  <c r="B104" i="13"/>
  <c r="A104" i="13"/>
  <c r="Q104" i="13" s="1"/>
  <c r="J103" i="13"/>
  <c r="I103" i="13"/>
  <c r="H103" i="13"/>
  <c r="F103" i="13"/>
  <c r="E103" i="13"/>
  <c r="D103" i="13"/>
  <c r="C103" i="13"/>
  <c r="B103" i="13"/>
  <c r="A103" i="13"/>
  <c r="Q103" i="13" s="1"/>
  <c r="J102" i="13"/>
  <c r="I102" i="13"/>
  <c r="H102" i="13"/>
  <c r="F102" i="13"/>
  <c r="E102" i="13"/>
  <c r="D102" i="13"/>
  <c r="C102" i="13"/>
  <c r="B102" i="13"/>
  <c r="A102" i="13"/>
  <c r="Q102" i="13" s="1"/>
  <c r="J101" i="13"/>
  <c r="I101" i="13"/>
  <c r="H101" i="13"/>
  <c r="F101" i="13"/>
  <c r="E101" i="13"/>
  <c r="D101" i="13"/>
  <c r="C101" i="13"/>
  <c r="B101" i="13"/>
  <c r="A101" i="13"/>
  <c r="Q101" i="13" s="1"/>
  <c r="J100" i="13"/>
  <c r="I100" i="13"/>
  <c r="H100" i="13"/>
  <c r="G100" i="13"/>
  <c r="F100" i="13"/>
  <c r="E100" i="13"/>
  <c r="D100" i="13"/>
  <c r="C100" i="13"/>
  <c r="B100" i="13"/>
  <c r="A100" i="13"/>
  <c r="Q100" i="13" s="1"/>
  <c r="J99" i="13"/>
  <c r="I99" i="13"/>
  <c r="H99" i="13"/>
  <c r="F99" i="13"/>
  <c r="E99" i="13"/>
  <c r="D99" i="13"/>
  <c r="C99" i="13"/>
  <c r="B99" i="13"/>
  <c r="A99" i="13"/>
  <c r="Q99" i="13" s="1"/>
  <c r="J98" i="13"/>
  <c r="I98" i="13"/>
  <c r="H98" i="13"/>
  <c r="F98" i="13"/>
  <c r="E98" i="13"/>
  <c r="D98" i="13"/>
  <c r="C98" i="13"/>
  <c r="B98" i="13"/>
  <c r="A98" i="13"/>
  <c r="Q98" i="13" s="1"/>
  <c r="J97" i="13"/>
  <c r="I97" i="13"/>
  <c r="H97" i="13"/>
  <c r="F97" i="13"/>
  <c r="E97" i="13"/>
  <c r="D97" i="13"/>
  <c r="C97" i="13"/>
  <c r="B97" i="13"/>
  <c r="A97" i="13"/>
  <c r="Q97" i="13" s="1"/>
  <c r="J96" i="13"/>
  <c r="I96" i="13"/>
  <c r="H96" i="13"/>
  <c r="G96" i="13"/>
  <c r="F96" i="13"/>
  <c r="E96" i="13"/>
  <c r="D96" i="13"/>
  <c r="C96" i="13"/>
  <c r="B96" i="13"/>
  <c r="A96" i="13"/>
  <c r="Q96" i="13" s="1"/>
  <c r="J95" i="13"/>
  <c r="I95" i="13"/>
  <c r="H95" i="13"/>
  <c r="F95" i="13"/>
  <c r="E95" i="13"/>
  <c r="D95" i="13"/>
  <c r="C95" i="13"/>
  <c r="B95" i="13"/>
  <c r="A95" i="13"/>
  <c r="Q95" i="13" s="1"/>
  <c r="J94" i="13"/>
  <c r="I94" i="13"/>
  <c r="H94" i="13"/>
  <c r="F94" i="13"/>
  <c r="E94" i="13"/>
  <c r="D94" i="13"/>
  <c r="C94" i="13"/>
  <c r="B94" i="13"/>
  <c r="A94" i="13"/>
  <c r="Q94" i="13" s="1"/>
  <c r="J93" i="13"/>
  <c r="I93" i="13"/>
  <c r="H93" i="13"/>
  <c r="F93" i="13"/>
  <c r="E93" i="13"/>
  <c r="D93" i="13"/>
  <c r="C93" i="13"/>
  <c r="B93" i="13"/>
  <c r="A93" i="13"/>
  <c r="Q93" i="13" s="1"/>
  <c r="J92" i="13"/>
  <c r="I92" i="13"/>
  <c r="H92" i="13"/>
  <c r="F92" i="13"/>
  <c r="E92" i="13"/>
  <c r="D92" i="13"/>
  <c r="C92" i="13"/>
  <c r="B92" i="13"/>
  <c r="A92" i="13"/>
  <c r="Q92" i="13" s="1"/>
  <c r="J91" i="13"/>
  <c r="I91" i="13"/>
  <c r="H91" i="13"/>
  <c r="F91" i="13"/>
  <c r="E91" i="13"/>
  <c r="D91" i="13"/>
  <c r="C91" i="13"/>
  <c r="B91" i="13"/>
  <c r="A91" i="13"/>
  <c r="Q91" i="13" s="1"/>
  <c r="J90" i="13"/>
  <c r="I90" i="13"/>
  <c r="H90" i="13"/>
  <c r="F90" i="13"/>
  <c r="E90" i="13"/>
  <c r="D90" i="13"/>
  <c r="C90" i="13"/>
  <c r="B90" i="13"/>
  <c r="A90" i="13"/>
  <c r="Q90" i="13" s="1"/>
  <c r="J89" i="13"/>
  <c r="I89" i="13"/>
  <c r="H89" i="13"/>
  <c r="F89" i="13"/>
  <c r="E89" i="13"/>
  <c r="D89" i="13"/>
  <c r="C89" i="13"/>
  <c r="B89" i="13"/>
  <c r="A89" i="13"/>
  <c r="Q89" i="13" s="1"/>
  <c r="J88" i="13"/>
  <c r="I88" i="13"/>
  <c r="H88" i="13"/>
  <c r="F88" i="13"/>
  <c r="E88" i="13"/>
  <c r="D88" i="13"/>
  <c r="C88" i="13"/>
  <c r="B88" i="13"/>
  <c r="A88" i="13"/>
  <c r="Q88" i="13" s="1"/>
  <c r="J87" i="13"/>
  <c r="I87" i="13"/>
  <c r="H87" i="13"/>
  <c r="F87" i="13"/>
  <c r="E87" i="13"/>
  <c r="D87" i="13"/>
  <c r="C87" i="13"/>
  <c r="B87" i="13"/>
  <c r="A87" i="13"/>
  <c r="Q87" i="13" s="1"/>
  <c r="J86" i="13"/>
  <c r="I86" i="13"/>
  <c r="H86" i="13"/>
  <c r="F86" i="13"/>
  <c r="E86" i="13"/>
  <c r="D86" i="13"/>
  <c r="C86" i="13"/>
  <c r="B86" i="13"/>
  <c r="A86" i="13"/>
  <c r="Q86" i="13" s="1"/>
  <c r="J85" i="13"/>
  <c r="I85" i="13"/>
  <c r="H85" i="13"/>
  <c r="F85" i="13"/>
  <c r="E85" i="13"/>
  <c r="D85" i="13"/>
  <c r="C85" i="13"/>
  <c r="B85" i="13"/>
  <c r="A85" i="13"/>
  <c r="Q85" i="13" s="1"/>
  <c r="J84" i="13"/>
  <c r="I84" i="13"/>
  <c r="H84" i="13"/>
  <c r="G84" i="13"/>
  <c r="F84" i="13"/>
  <c r="E84" i="13"/>
  <c r="D84" i="13"/>
  <c r="C84" i="13"/>
  <c r="B84" i="13"/>
  <c r="A84" i="13"/>
  <c r="Q84" i="13" s="1"/>
  <c r="J83" i="13"/>
  <c r="I83" i="13"/>
  <c r="H83" i="13"/>
  <c r="F83" i="13"/>
  <c r="E83" i="13"/>
  <c r="D83" i="13"/>
  <c r="C83" i="13"/>
  <c r="B83" i="13"/>
  <c r="A83" i="13"/>
  <c r="C957" i="4" s="1"/>
  <c r="J82" i="13"/>
  <c r="I82" i="13"/>
  <c r="H82" i="13"/>
  <c r="F82" i="13"/>
  <c r="E82" i="13"/>
  <c r="D82" i="13"/>
  <c r="C82" i="13"/>
  <c r="B82" i="13"/>
  <c r="A82" i="13"/>
  <c r="Q82" i="13" s="1"/>
  <c r="J81" i="13"/>
  <c r="I81" i="13"/>
  <c r="H81" i="13"/>
  <c r="F81" i="13"/>
  <c r="E81" i="13"/>
  <c r="D81" i="13"/>
  <c r="C81" i="13"/>
  <c r="B81" i="13"/>
  <c r="A81" i="13"/>
  <c r="Q81" i="13" s="1"/>
  <c r="J80" i="13"/>
  <c r="I80" i="13"/>
  <c r="H80" i="13"/>
  <c r="G80" i="13"/>
  <c r="F80" i="13"/>
  <c r="E80" i="13"/>
  <c r="D80" i="13"/>
  <c r="C80" i="13"/>
  <c r="B80" i="13"/>
  <c r="A80" i="13"/>
  <c r="Q80" i="13" s="1"/>
  <c r="J79" i="13"/>
  <c r="I79" i="13"/>
  <c r="H79" i="13"/>
  <c r="F79" i="13"/>
  <c r="E79" i="13"/>
  <c r="D79" i="13"/>
  <c r="C79" i="13"/>
  <c r="B79" i="13"/>
  <c r="A79" i="13"/>
  <c r="Q79" i="13" s="1"/>
  <c r="J78" i="13"/>
  <c r="I78" i="13"/>
  <c r="H78" i="13"/>
  <c r="F78" i="13"/>
  <c r="E78" i="13"/>
  <c r="D78" i="13"/>
  <c r="C78" i="13"/>
  <c r="B78" i="13"/>
  <c r="A78" i="13"/>
  <c r="Q78" i="13" s="1"/>
  <c r="J77" i="13"/>
  <c r="I77" i="13"/>
  <c r="H77" i="13"/>
  <c r="F77" i="13"/>
  <c r="E77" i="13"/>
  <c r="D77" i="13"/>
  <c r="C77" i="13"/>
  <c r="B77" i="13"/>
  <c r="A77" i="13"/>
  <c r="Q77" i="13" s="1"/>
  <c r="J76" i="13"/>
  <c r="I76" i="13"/>
  <c r="H76" i="13"/>
  <c r="F76" i="13"/>
  <c r="E76" i="13"/>
  <c r="D76" i="13"/>
  <c r="C76" i="13"/>
  <c r="B76" i="13"/>
  <c r="A76" i="13"/>
  <c r="Q76" i="13" s="1"/>
  <c r="J75" i="13"/>
  <c r="I75" i="13"/>
  <c r="H75" i="13"/>
  <c r="F75" i="13"/>
  <c r="E75" i="13"/>
  <c r="D75" i="13"/>
  <c r="C75" i="13"/>
  <c r="B75" i="13"/>
  <c r="A75" i="13"/>
  <c r="Q75" i="13" s="1"/>
  <c r="J74" i="13"/>
  <c r="I74" i="13"/>
  <c r="H74" i="13"/>
  <c r="F74" i="13"/>
  <c r="E74" i="13"/>
  <c r="D74" i="13"/>
  <c r="C74" i="13"/>
  <c r="B74" i="13"/>
  <c r="A74" i="13"/>
  <c r="Q74" i="13" s="1"/>
  <c r="J73" i="13"/>
  <c r="I73" i="13"/>
  <c r="H73" i="13"/>
  <c r="F73" i="13"/>
  <c r="E73" i="13"/>
  <c r="D73" i="13"/>
  <c r="C73" i="13"/>
  <c r="B73" i="13"/>
  <c r="A73" i="13"/>
  <c r="Q73" i="13" s="1"/>
  <c r="J72" i="13"/>
  <c r="I72" i="13"/>
  <c r="H72" i="13"/>
  <c r="F72" i="13"/>
  <c r="E72" i="13"/>
  <c r="D72" i="13"/>
  <c r="C72" i="13"/>
  <c r="B72" i="13"/>
  <c r="A72" i="13"/>
  <c r="Q72" i="13" s="1"/>
  <c r="J71" i="13"/>
  <c r="I71" i="13"/>
  <c r="H71" i="13"/>
  <c r="F71" i="13"/>
  <c r="E71" i="13"/>
  <c r="D71" i="13"/>
  <c r="C71" i="13"/>
  <c r="B71" i="13"/>
  <c r="A71" i="13"/>
  <c r="Q71" i="13" s="1"/>
  <c r="J70" i="13"/>
  <c r="I70" i="13"/>
  <c r="H70" i="13"/>
  <c r="F70" i="13"/>
  <c r="E70" i="13"/>
  <c r="D70" i="13"/>
  <c r="C70" i="13"/>
  <c r="B70" i="13"/>
  <c r="A70" i="13"/>
  <c r="Q70" i="13" s="1"/>
  <c r="J69" i="13"/>
  <c r="I69" i="13"/>
  <c r="H69" i="13"/>
  <c r="F69" i="13"/>
  <c r="E69" i="13"/>
  <c r="D69" i="13"/>
  <c r="C69" i="13"/>
  <c r="B69" i="13"/>
  <c r="A69" i="13"/>
  <c r="Q69" i="13" s="1"/>
  <c r="J68" i="13"/>
  <c r="I68" i="13"/>
  <c r="H68" i="13"/>
  <c r="F68" i="13"/>
  <c r="E68" i="13"/>
  <c r="D68" i="13"/>
  <c r="C68" i="13"/>
  <c r="B68" i="13"/>
  <c r="A68" i="13"/>
  <c r="Q68" i="13" s="1"/>
  <c r="J67" i="13"/>
  <c r="I67" i="13"/>
  <c r="H67" i="13"/>
  <c r="F67" i="13"/>
  <c r="E67" i="13"/>
  <c r="D67" i="13"/>
  <c r="C67" i="13"/>
  <c r="B67" i="13"/>
  <c r="A67" i="13"/>
  <c r="Q67" i="13" s="1"/>
  <c r="J66" i="13"/>
  <c r="I66" i="13"/>
  <c r="H66" i="13"/>
  <c r="F66" i="13"/>
  <c r="E66" i="13"/>
  <c r="D66" i="13"/>
  <c r="C66" i="13"/>
  <c r="B66" i="13"/>
  <c r="A66" i="13"/>
  <c r="Q66" i="13" s="1"/>
  <c r="J65" i="13"/>
  <c r="I65" i="13"/>
  <c r="H65" i="13"/>
  <c r="F65" i="13"/>
  <c r="E65" i="13"/>
  <c r="D65" i="13"/>
  <c r="C65" i="13"/>
  <c r="B65" i="13"/>
  <c r="A65" i="13"/>
  <c r="Q65" i="13" s="1"/>
  <c r="J64" i="13"/>
  <c r="I64" i="13"/>
  <c r="H64" i="13"/>
  <c r="G64" i="13"/>
  <c r="F64" i="13"/>
  <c r="E64" i="13"/>
  <c r="D64" i="13"/>
  <c r="C64" i="13"/>
  <c r="B64" i="13"/>
  <c r="A64" i="13"/>
  <c r="Q64" i="13" s="1"/>
  <c r="J63" i="13"/>
  <c r="I63" i="13"/>
  <c r="H63" i="13"/>
  <c r="F63" i="13"/>
  <c r="E63" i="13"/>
  <c r="D63" i="13"/>
  <c r="C63" i="13"/>
  <c r="B63" i="13"/>
  <c r="A63" i="13"/>
  <c r="Q63" i="13" s="1"/>
  <c r="J62" i="13"/>
  <c r="I62" i="13"/>
  <c r="H62" i="13"/>
  <c r="F62" i="13"/>
  <c r="E62" i="13"/>
  <c r="D62" i="13"/>
  <c r="C62" i="13"/>
  <c r="B62" i="13"/>
  <c r="A62" i="13"/>
  <c r="Q62" i="13" s="1"/>
  <c r="J61" i="13"/>
  <c r="I61" i="13"/>
  <c r="H61" i="13"/>
  <c r="F61" i="13"/>
  <c r="E61" i="13"/>
  <c r="D61" i="13"/>
  <c r="C61" i="13"/>
  <c r="B61" i="13"/>
  <c r="A61" i="13"/>
  <c r="Q61" i="13" s="1"/>
  <c r="J60" i="13"/>
  <c r="I60" i="13"/>
  <c r="H60" i="13"/>
  <c r="F60" i="13"/>
  <c r="E60" i="13"/>
  <c r="D60" i="13"/>
  <c r="C60" i="13"/>
  <c r="B60" i="13"/>
  <c r="A60" i="13"/>
  <c r="Q60" i="13" s="1"/>
  <c r="J59" i="13"/>
  <c r="I59" i="13"/>
  <c r="H59" i="13"/>
  <c r="F59" i="13"/>
  <c r="E59" i="13"/>
  <c r="D59" i="13"/>
  <c r="C59" i="13"/>
  <c r="B59" i="13"/>
  <c r="A59" i="13"/>
  <c r="Q59" i="13" s="1"/>
  <c r="J58" i="13"/>
  <c r="I58" i="13"/>
  <c r="H58" i="13"/>
  <c r="F58" i="13"/>
  <c r="E58" i="13"/>
  <c r="D58" i="13"/>
  <c r="C58" i="13"/>
  <c r="B58" i="13"/>
  <c r="A58" i="13"/>
  <c r="Q58" i="13" s="1"/>
  <c r="J57" i="13"/>
  <c r="I57" i="13"/>
  <c r="H57" i="13"/>
  <c r="F57" i="13"/>
  <c r="E57" i="13"/>
  <c r="D57" i="13"/>
  <c r="C57" i="13"/>
  <c r="B57" i="13"/>
  <c r="A57" i="13"/>
  <c r="Q57" i="13" s="1"/>
  <c r="J56" i="13"/>
  <c r="I56" i="13"/>
  <c r="H56" i="13"/>
  <c r="F56" i="13"/>
  <c r="E56" i="13"/>
  <c r="D56" i="13"/>
  <c r="C56" i="13"/>
  <c r="B56" i="13"/>
  <c r="A56" i="13"/>
  <c r="Q56" i="13" s="1"/>
  <c r="J55" i="13"/>
  <c r="I55" i="13"/>
  <c r="H55" i="13"/>
  <c r="F55" i="13"/>
  <c r="E55" i="13"/>
  <c r="D55" i="13"/>
  <c r="C55" i="13"/>
  <c r="B55" i="13"/>
  <c r="A55" i="13"/>
  <c r="Q55" i="13" s="1"/>
  <c r="J54" i="13"/>
  <c r="I54" i="13"/>
  <c r="H54" i="13"/>
  <c r="F54" i="13"/>
  <c r="E54" i="13"/>
  <c r="D54" i="13"/>
  <c r="C54" i="13"/>
  <c r="B54" i="13"/>
  <c r="A54" i="13"/>
  <c r="Q54" i="13" s="1"/>
  <c r="J53" i="13"/>
  <c r="I53" i="13"/>
  <c r="H53" i="13"/>
  <c r="F53" i="13"/>
  <c r="E53" i="13"/>
  <c r="D53" i="13"/>
  <c r="C53" i="13"/>
  <c r="B53" i="13"/>
  <c r="A53" i="13"/>
  <c r="Q53" i="13" s="1"/>
  <c r="J52" i="13"/>
  <c r="I52" i="13"/>
  <c r="H52" i="13"/>
  <c r="G52" i="13"/>
  <c r="F52" i="13"/>
  <c r="E52" i="13"/>
  <c r="D52" i="13"/>
  <c r="C52" i="13"/>
  <c r="B52" i="13"/>
  <c r="A52" i="13"/>
  <c r="Q52" i="13" s="1"/>
  <c r="J51" i="13"/>
  <c r="I51" i="13"/>
  <c r="H51" i="13"/>
  <c r="G51" i="13"/>
  <c r="F51" i="13"/>
  <c r="E51" i="13"/>
  <c r="D51" i="13"/>
  <c r="C51" i="13"/>
  <c r="B51" i="13"/>
  <c r="A51" i="13"/>
  <c r="Q51" i="13" s="1"/>
  <c r="J50" i="13"/>
  <c r="I50" i="13"/>
  <c r="H50" i="13"/>
  <c r="F50" i="13"/>
  <c r="E50" i="13"/>
  <c r="D50" i="13"/>
  <c r="C50" i="13"/>
  <c r="B50" i="13"/>
  <c r="A50" i="13"/>
  <c r="Q50" i="13" s="1"/>
  <c r="J49" i="13"/>
  <c r="I49" i="13"/>
  <c r="H49" i="13"/>
  <c r="F49" i="13"/>
  <c r="E49" i="13"/>
  <c r="D49" i="13"/>
  <c r="C49" i="13"/>
  <c r="B49" i="13"/>
  <c r="A49" i="13"/>
  <c r="Q49" i="13" s="1"/>
  <c r="J48" i="13"/>
  <c r="I48" i="13"/>
  <c r="H48" i="13"/>
  <c r="G48" i="13"/>
  <c r="F48" i="13"/>
  <c r="E48" i="13"/>
  <c r="D48" i="13"/>
  <c r="C48" i="13"/>
  <c r="B48" i="13"/>
  <c r="A48" i="13"/>
  <c r="Q48" i="13" s="1"/>
  <c r="J47" i="13"/>
  <c r="I47" i="13"/>
  <c r="H47" i="13"/>
  <c r="F47" i="13"/>
  <c r="E47" i="13"/>
  <c r="D47" i="13"/>
  <c r="C47" i="13"/>
  <c r="B47" i="13"/>
  <c r="A47" i="13"/>
  <c r="Q47" i="13" s="1"/>
  <c r="J46" i="13"/>
  <c r="I46" i="13"/>
  <c r="H46" i="13"/>
  <c r="F46" i="13"/>
  <c r="E46" i="13"/>
  <c r="D46" i="13"/>
  <c r="C46" i="13"/>
  <c r="B46" i="13"/>
  <c r="A46" i="13"/>
  <c r="Q46" i="13" s="1"/>
  <c r="J45" i="13"/>
  <c r="I45" i="13"/>
  <c r="H45" i="13"/>
  <c r="F45" i="13"/>
  <c r="E45" i="13"/>
  <c r="D45" i="13"/>
  <c r="C45" i="13"/>
  <c r="B45" i="13"/>
  <c r="A45" i="13"/>
  <c r="Q45" i="13" s="1"/>
  <c r="J44" i="13"/>
  <c r="I44" i="13"/>
  <c r="H44" i="13"/>
  <c r="F44" i="13"/>
  <c r="E44" i="13"/>
  <c r="D44" i="13"/>
  <c r="C44" i="13"/>
  <c r="B44" i="13"/>
  <c r="A44" i="13"/>
  <c r="Q44" i="13" s="1"/>
  <c r="J43" i="13"/>
  <c r="I43" i="13"/>
  <c r="H43" i="13"/>
  <c r="F43" i="13"/>
  <c r="E43" i="13"/>
  <c r="D43" i="13"/>
  <c r="C43" i="13"/>
  <c r="B43" i="13"/>
  <c r="A43" i="13"/>
  <c r="Q43" i="13" s="1"/>
  <c r="J42" i="13"/>
  <c r="I42" i="13"/>
  <c r="H42" i="13"/>
  <c r="F42" i="13"/>
  <c r="E42" i="13"/>
  <c r="D42" i="13"/>
  <c r="C42" i="13"/>
  <c r="B42" i="13"/>
  <c r="A42" i="13"/>
  <c r="Q42" i="13" s="1"/>
  <c r="J41" i="13"/>
  <c r="I41" i="13"/>
  <c r="H41" i="13"/>
  <c r="F41" i="13"/>
  <c r="E41" i="13"/>
  <c r="D41" i="13"/>
  <c r="C41" i="13"/>
  <c r="B41" i="13"/>
  <c r="A41" i="13"/>
  <c r="Q41" i="13" s="1"/>
  <c r="J40" i="13"/>
  <c r="I40" i="13"/>
  <c r="H40" i="13"/>
  <c r="F40" i="13"/>
  <c r="E40" i="13"/>
  <c r="D40" i="13"/>
  <c r="C40" i="13"/>
  <c r="B40" i="13"/>
  <c r="A40" i="13"/>
  <c r="Q40" i="13" s="1"/>
  <c r="J39" i="13"/>
  <c r="I39" i="13"/>
  <c r="H39" i="13"/>
  <c r="F39" i="13"/>
  <c r="E39" i="13"/>
  <c r="D39" i="13"/>
  <c r="C39" i="13"/>
  <c r="B39" i="13"/>
  <c r="A39" i="13"/>
  <c r="Q39" i="13" s="1"/>
  <c r="J38" i="13"/>
  <c r="I38" i="13"/>
  <c r="H38" i="13"/>
  <c r="F38" i="13"/>
  <c r="E38" i="13"/>
  <c r="D38" i="13"/>
  <c r="C38" i="13"/>
  <c r="B38" i="13"/>
  <c r="A38" i="13"/>
  <c r="Q38" i="13" s="1"/>
  <c r="J37" i="13"/>
  <c r="I37" i="13"/>
  <c r="H37" i="13"/>
  <c r="F37" i="13"/>
  <c r="E37" i="13"/>
  <c r="D37" i="13"/>
  <c r="C37" i="13"/>
  <c r="B37" i="13"/>
  <c r="A37" i="13"/>
  <c r="Q37" i="13" s="1"/>
  <c r="J36" i="13"/>
  <c r="I36" i="13"/>
  <c r="H36" i="13"/>
  <c r="G36" i="13"/>
  <c r="F36" i="13"/>
  <c r="E36" i="13"/>
  <c r="D36" i="13"/>
  <c r="C36" i="13"/>
  <c r="B36" i="13"/>
  <c r="A36" i="13"/>
  <c r="Q36" i="13" s="1"/>
  <c r="J35" i="13"/>
  <c r="I35" i="13"/>
  <c r="H35" i="13"/>
  <c r="F35" i="13"/>
  <c r="E35" i="13"/>
  <c r="D35" i="13"/>
  <c r="C35" i="13"/>
  <c r="B35" i="13"/>
  <c r="A35" i="13"/>
  <c r="Q35" i="13" s="1"/>
  <c r="J34" i="13"/>
  <c r="I34" i="13"/>
  <c r="H34" i="13"/>
  <c r="F34" i="13"/>
  <c r="E34" i="13"/>
  <c r="D34" i="13"/>
  <c r="C34" i="13"/>
  <c r="B34" i="13"/>
  <c r="A34" i="13"/>
  <c r="Q34" i="13" s="1"/>
  <c r="J33" i="13"/>
  <c r="I33" i="13"/>
  <c r="H33" i="13"/>
  <c r="F33" i="13"/>
  <c r="E33" i="13"/>
  <c r="D33" i="13"/>
  <c r="C33" i="13"/>
  <c r="B33" i="13"/>
  <c r="A33" i="13"/>
  <c r="Q33" i="13" s="1"/>
  <c r="J32" i="13"/>
  <c r="I32" i="13"/>
  <c r="H32" i="13"/>
  <c r="G32" i="13"/>
  <c r="F32" i="13"/>
  <c r="E32" i="13"/>
  <c r="D32" i="13"/>
  <c r="C32" i="13"/>
  <c r="B32" i="13"/>
  <c r="A32" i="13"/>
  <c r="Q32" i="13" s="1"/>
  <c r="J31" i="13"/>
  <c r="I31" i="13"/>
  <c r="H31" i="13"/>
  <c r="F31" i="13"/>
  <c r="E31" i="13"/>
  <c r="D31" i="13"/>
  <c r="C31" i="13"/>
  <c r="B31" i="13"/>
  <c r="A31" i="13"/>
  <c r="Q31" i="13" s="1"/>
  <c r="J30" i="13"/>
  <c r="I30" i="13"/>
  <c r="H30" i="13"/>
  <c r="F30" i="13"/>
  <c r="E30" i="13"/>
  <c r="D30" i="13"/>
  <c r="C30" i="13"/>
  <c r="B30" i="13"/>
  <c r="A30" i="13"/>
  <c r="Q30" i="13" s="1"/>
  <c r="J29" i="13"/>
  <c r="I29" i="13"/>
  <c r="H29" i="13"/>
  <c r="F29" i="13"/>
  <c r="E29" i="13"/>
  <c r="D29" i="13"/>
  <c r="C29" i="13"/>
  <c r="B29" i="13"/>
  <c r="A29" i="13"/>
  <c r="Q29" i="13" s="1"/>
  <c r="J28" i="13"/>
  <c r="I28" i="13"/>
  <c r="H28" i="13"/>
  <c r="F28" i="13"/>
  <c r="E28" i="13"/>
  <c r="D28" i="13"/>
  <c r="C28" i="13"/>
  <c r="B28" i="13"/>
  <c r="A28" i="13"/>
  <c r="Q28" i="13" s="1"/>
  <c r="J27" i="13"/>
  <c r="I27" i="13"/>
  <c r="H27" i="13"/>
  <c r="F27" i="13"/>
  <c r="E27" i="13"/>
  <c r="D27" i="13"/>
  <c r="C27" i="13"/>
  <c r="B27" i="13"/>
  <c r="A27" i="13"/>
  <c r="Q27" i="13" s="1"/>
  <c r="J26" i="13"/>
  <c r="I26" i="13"/>
  <c r="H26" i="13"/>
  <c r="F26" i="13"/>
  <c r="E26" i="13"/>
  <c r="D26" i="13"/>
  <c r="C26" i="13"/>
  <c r="B26" i="13"/>
  <c r="A26" i="13"/>
  <c r="Q26" i="13" s="1"/>
  <c r="J25" i="13"/>
  <c r="I25" i="13"/>
  <c r="H25" i="13"/>
  <c r="F25" i="13"/>
  <c r="E25" i="13"/>
  <c r="D25" i="13"/>
  <c r="C25" i="13"/>
  <c r="B25" i="13"/>
  <c r="A25" i="13"/>
  <c r="Q25" i="13" s="1"/>
  <c r="J24" i="13"/>
  <c r="I24" i="13"/>
  <c r="H24" i="13"/>
  <c r="F24" i="13"/>
  <c r="E24" i="13"/>
  <c r="D24" i="13"/>
  <c r="C24" i="13"/>
  <c r="B24" i="13"/>
  <c r="A24" i="13"/>
  <c r="Q24" i="13" s="1"/>
  <c r="J23" i="13"/>
  <c r="I23" i="13"/>
  <c r="H23" i="13"/>
  <c r="F23" i="13"/>
  <c r="E23" i="13"/>
  <c r="D23" i="13"/>
  <c r="C23" i="13"/>
  <c r="B23" i="13"/>
  <c r="A23" i="13"/>
  <c r="Q23" i="13" s="1"/>
  <c r="J22" i="13"/>
  <c r="I22" i="13"/>
  <c r="H22" i="13"/>
  <c r="F22" i="13"/>
  <c r="E22" i="13"/>
  <c r="D22" i="13"/>
  <c r="C22" i="13"/>
  <c r="B22" i="13"/>
  <c r="A22" i="13"/>
  <c r="Q22" i="13" s="1"/>
  <c r="J21" i="13"/>
  <c r="I21" i="13"/>
  <c r="H21" i="13"/>
  <c r="F21" i="13"/>
  <c r="E21" i="13"/>
  <c r="D21" i="13"/>
  <c r="C21" i="13"/>
  <c r="B21" i="13"/>
  <c r="A21" i="13"/>
  <c r="Q21" i="13" s="1"/>
  <c r="J20" i="13"/>
  <c r="I20" i="13"/>
  <c r="H20" i="13"/>
  <c r="G20" i="13"/>
  <c r="F20" i="13"/>
  <c r="E20" i="13"/>
  <c r="D20" i="13"/>
  <c r="C20" i="13"/>
  <c r="B20" i="13"/>
  <c r="A20" i="13"/>
  <c r="Q20" i="13" s="1"/>
  <c r="J19" i="13"/>
  <c r="I19" i="13"/>
  <c r="H19" i="13"/>
  <c r="F19" i="13"/>
  <c r="E19" i="13"/>
  <c r="D19" i="13"/>
  <c r="C19" i="13"/>
  <c r="B19" i="13"/>
  <c r="A19" i="13"/>
  <c r="Q19" i="13" s="1"/>
  <c r="J18" i="13"/>
  <c r="I18" i="13"/>
  <c r="H18" i="13"/>
  <c r="F18" i="13"/>
  <c r="E18" i="13"/>
  <c r="D18" i="13"/>
  <c r="C18" i="13"/>
  <c r="B18" i="13"/>
  <c r="A18" i="13"/>
  <c r="Q18" i="13" s="1"/>
  <c r="J17" i="13"/>
  <c r="I17" i="13"/>
  <c r="H17" i="13"/>
  <c r="F17" i="13"/>
  <c r="E17" i="13"/>
  <c r="D17" i="13"/>
  <c r="C17" i="13"/>
  <c r="B17" i="13"/>
  <c r="A17" i="13"/>
  <c r="Q17" i="13" s="1"/>
  <c r="J16" i="13"/>
  <c r="I16" i="13"/>
  <c r="H16" i="13"/>
  <c r="G16" i="13"/>
  <c r="F16" i="13"/>
  <c r="E16" i="13"/>
  <c r="D16" i="13"/>
  <c r="C16" i="13"/>
  <c r="B16" i="13"/>
  <c r="A16" i="13"/>
  <c r="Q16" i="13" s="1"/>
  <c r="J15" i="13"/>
  <c r="I15" i="13"/>
  <c r="H15" i="13"/>
  <c r="F15" i="13"/>
  <c r="E15" i="13"/>
  <c r="D15" i="13"/>
  <c r="C15" i="13"/>
  <c r="B15" i="13"/>
  <c r="A15" i="13"/>
  <c r="Q15" i="13" s="1"/>
  <c r="J14" i="13"/>
  <c r="I14" i="13"/>
  <c r="H14" i="13"/>
  <c r="F14" i="13"/>
  <c r="E14" i="13"/>
  <c r="D14" i="13"/>
  <c r="C14" i="13"/>
  <c r="B14" i="13"/>
  <c r="A14" i="13"/>
  <c r="Q14" i="13" s="1"/>
  <c r="J13" i="13"/>
  <c r="I13" i="13"/>
  <c r="H13" i="13"/>
  <c r="F13" i="13"/>
  <c r="E13" i="13"/>
  <c r="D13" i="13"/>
  <c r="C13" i="13"/>
  <c r="B13" i="13"/>
  <c r="A13" i="13"/>
  <c r="Q13" i="13" s="1"/>
  <c r="J12" i="13"/>
  <c r="I12" i="13"/>
  <c r="H12" i="13"/>
  <c r="F12" i="13"/>
  <c r="E12" i="13"/>
  <c r="D12" i="13"/>
  <c r="C12" i="13"/>
  <c r="B12" i="13"/>
  <c r="A12" i="13"/>
  <c r="Q12" i="13" s="1"/>
  <c r="J11" i="13"/>
  <c r="I11" i="13"/>
  <c r="H11" i="13"/>
  <c r="F11" i="13"/>
  <c r="E11" i="13"/>
  <c r="D11" i="13"/>
  <c r="C11" i="13"/>
  <c r="B11" i="13"/>
  <c r="A11" i="13"/>
  <c r="Q11" i="13" s="1"/>
  <c r="J10" i="13"/>
  <c r="I10" i="13"/>
  <c r="H10" i="13"/>
  <c r="F10" i="13"/>
  <c r="E10" i="13"/>
  <c r="D10" i="13"/>
  <c r="C10" i="13"/>
  <c r="B10" i="13"/>
  <c r="A10" i="13"/>
  <c r="Q10" i="13" s="1"/>
  <c r="J9" i="13"/>
  <c r="I9" i="13"/>
  <c r="H9" i="13"/>
  <c r="F9" i="13"/>
  <c r="E9" i="13"/>
  <c r="D9" i="13"/>
  <c r="C9" i="13"/>
  <c r="B9" i="13"/>
  <c r="A9" i="13"/>
  <c r="Q9" i="13" s="1"/>
  <c r="J8" i="13"/>
  <c r="I8" i="13"/>
  <c r="H8" i="13"/>
  <c r="F8" i="13"/>
  <c r="E8" i="13"/>
  <c r="D8" i="13"/>
  <c r="C8" i="13"/>
  <c r="B8" i="13"/>
  <c r="A8" i="13"/>
  <c r="Q8" i="13" s="1"/>
  <c r="J7" i="13"/>
  <c r="I7" i="13"/>
  <c r="H7" i="13"/>
  <c r="F7" i="13"/>
  <c r="E7" i="13"/>
  <c r="D7" i="13"/>
  <c r="C7" i="13"/>
  <c r="B7" i="13"/>
  <c r="A7" i="13"/>
  <c r="Q7" i="13" s="1"/>
  <c r="J6" i="13"/>
  <c r="I6" i="13"/>
  <c r="H6" i="13"/>
  <c r="F6" i="13"/>
  <c r="E6" i="13"/>
  <c r="D6" i="13"/>
  <c r="C6" i="13"/>
  <c r="B6" i="13"/>
  <c r="A6" i="13"/>
  <c r="Q6" i="13" s="1"/>
  <c r="J5" i="13"/>
  <c r="I5" i="13"/>
  <c r="H5" i="13"/>
  <c r="F5" i="13"/>
  <c r="E5" i="13"/>
  <c r="D5" i="13"/>
  <c r="C5" i="13"/>
  <c r="B5" i="13"/>
  <c r="A5" i="13"/>
  <c r="J4" i="13"/>
  <c r="I4" i="13"/>
  <c r="H4" i="13"/>
  <c r="G4" i="13"/>
  <c r="F4" i="13"/>
  <c r="E4" i="13"/>
  <c r="D4" i="13"/>
  <c r="C4" i="13"/>
  <c r="B4" i="13"/>
  <c r="A4" i="13"/>
  <c r="Q4" i="13" s="1"/>
  <c r="J3" i="13"/>
  <c r="I3" i="13"/>
  <c r="H3" i="13"/>
  <c r="F3" i="13"/>
  <c r="E3" i="13"/>
  <c r="D3" i="13"/>
  <c r="C3" i="13"/>
  <c r="B3" i="13"/>
  <c r="A3" i="13"/>
  <c r="J2" i="13"/>
  <c r="I2" i="13"/>
  <c r="H2" i="13"/>
  <c r="F2" i="13"/>
  <c r="E2" i="13"/>
  <c r="D2" i="13"/>
  <c r="C2" i="13"/>
  <c r="B2" i="13"/>
  <c r="A2" i="13"/>
  <c r="Q2" i="13" s="1"/>
  <c r="G611" i="11"/>
  <c r="G611" i="13" s="1"/>
  <c r="G610" i="11"/>
  <c r="G610" i="13" s="1"/>
  <c r="G609" i="11"/>
  <c r="G609" i="13" s="1"/>
  <c r="G608" i="11"/>
  <c r="G608" i="13" s="1"/>
  <c r="G607" i="11"/>
  <c r="G607" i="13" s="1"/>
  <c r="G606" i="11"/>
  <c r="G606" i="13" s="1"/>
  <c r="G605" i="11"/>
  <c r="G605" i="13" s="1"/>
  <c r="G604" i="11"/>
  <c r="G604" i="13" s="1"/>
  <c r="G603" i="11"/>
  <c r="G603" i="13" s="1"/>
  <c r="G602" i="11"/>
  <c r="G602" i="13" s="1"/>
  <c r="G601" i="11"/>
  <c r="G601" i="13" s="1"/>
  <c r="G600" i="11"/>
  <c r="G600" i="13" s="1"/>
  <c r="G599" i="11"/>
  <c r="G599" i="13" s="1"/>
  <c r="G598" i="11"/>
  <c r="G598" i="13" s="1"/>
  <c r="G597" i="11"/>
  <c r="G597" i="13" s="1"/>
  <c r="G596" i="11"/>
  <c r="G596" i="13" s="1"/>
  <c r="G595" i="11"/>
  <c r="G595" i="13" s="1"/>
  <c r="G594" i="11"/>
  <c r="G594" i="13" s="1"/>
  <c r="G593" i="11"/>
  <c r="G593" i="13" s="1"/>
  <c r="G592" i="11"/>
  <c r="G592" i="13" s="1"/>
  <c r="G591" i="11"/>
  <c r="G591" i="13" s="1"/>
  <c r="G590" i="11"/>
  <c r="G590" i="13" s="1"/>
  <c r="G589" i="11"/>
  <c r="G589" i="13" s="1"/>
  <c r="G588" i="11"/>
  <c r="G588" i="13" s="1"/>
  <c r="G587" i="11"/>
  <c r="G587" i="13" s="1"/>
  <c r="G586" i="11"/>
  <c r="G586" i="13" s="1"/>
  <c r="G585" i="11"/>
  <c r="G585" i="13" s="1"/>
  <c r="G584" i="11"/>
  <c r="G584" i="13" s="1"/>
  <c r="G583" i="11"/>
  <c r="G583" i="13" s="1"/>
  <c r="G582" i="11"/>
  <c r="G582" i="13" s="1"/>
  <c r="G581" i="11"/>
  <c r="G581" i="13" s="1"/>
  <c r="G580" i="11"/>
  <c r="G580" i="13" s="1"/>
  <c r="G579" i="11"/>
  <c r="G579" i="13" s="1"/>
  <c r="G578" i="11"/>
  <c r="G578" i="13" s="1"/>
  <c r="G577" i="11"/>
  <c r="G577" i="13" s="1"/>
  <c r="G576" i="11"/>
  <c r="G576" i="13" s="1"/>
  <c r="G575" i="11"/>
  <c r="G575" i="13" s="1"/>
  <c r="G574" i="11"/>
  <c r="G574" i="13" s="1"/>
  <c r="G573" i="11"/>
  <c r="G573" i="13" s="1"/>
  <c r="G572" i="11"/>
  <c r="G572" i="13" s="1"/>
  <c r="G571" i="11"/>
  <c r="G571" i="13" s="1"/>
  <c r="G570" i="11"/>
  <c r="G570" i="13" s="1"/>
  <c r="G569" i="11"/>
  <c r="G569" i="13" s="1"/>
  <c r="G568" i="11"/>
  <c r="G568" i="13" s="1"/>
  <c r="G567" i="11"/>
  <c r="G567" i="13" s="1"/>
  <c r="G566" i="11"/>
  <c r="G566" i="13" s="1"/>
  <c r="G565" i="11"/>
  <c r="G565" i="13" s="1"/>
  <c r="G564" i="11"/>
  <c r="G564" i="13" s="1"/>
  <c r="G563" i="11"/>
  <c r="G563" i="13" s="1"/>
  <c r="G562" i="11"/>
  <c r="G562" i="13" s="1"/>
  <c r="G561" i="11"/>
  <c r="G561" i="13" s="1"/>
  <c r="G560" i="11"/>
  <c r="G560" i="13" s="1"/>
  <c r="G559" i="11"/>
  <c r="G559" i="13" s="1"/>
  <c r="G558" i="11"/>
  <c r="G558" i="13" s="1"/>
  <c r="G557" i="11"/>
  <c r="G557" i="13" s="1"/>
  <c r="G556" i="11"/>
  <c r="G556" i="13" s="1"/>
  <c r="G555" i="11"/>
  <c r="G555" i="13" s="1"/>
  <c r="G554" i="11"/>
  <c r="G554" i="13" s="1"/>
  <c r="G553" i="11"/>
  <c r="G553" i="13" s="1"/>
  <c r="G552" i="11"/>
  <c r="G552" i="13" s="1"/>
  <c r="G551" i="11"/>
  <c r="G551" i="13" s="1"/>
  <c r="G550" i="11"/>
  <c r="G550" i="13" s="1"/>
  <c r="G549" i="11"/>
  <c r="G549" i="13" s="1"/>
  <c r="G548" i="11"/>
  <c r="G548" i="13" s="1"/>
  <c r="G547" i="11"/>
  <c r="G547" i="13" s="1"/>
  <c r="G546" i="11"/>
  <c r="G546" i="13" s="1"/>
  <c r="G545" i="11"/>
  <c r="G545" i="13" s="1"/>
  <c r="G544" i="11"/>
  <c r="G544" i="13" s="1"/>
  <c r="G543" i="11"/>
  <c r="G543" i="13" s="1"/>
  <c r="G542" i="11"/>
  <c r="G542" i="13" s="1"/>
  <c r="G541" i="11"/>
  <c r="G541" i="13" s="1"/>
  <c r="G540" i="11"/>
  <c r="G540" i="13" s="1"/>
  <c r="G539" i="11"/>
  <c r="G539" i="13" s="1"/>
  <c r="G538" i="11"/>
  <c r="G538" i="13" s="1"/>
  <c r="G537" i="11"/>
  <c r="G537" i="13" s="1"/>
  <c r="G536" i="11"/>
  <c r="G536" i="13" s="1"/>
  <c r="G535" i="11"/>
  <c r="G535" i="13" s="1"/>
  <c r="G534" i="11"/>
  <c r="G534" i="13" s="1"/>
  <c r="G533" i="11"/>
  <c r="G533" i="13" s="1"/>
  <c r="G532" i="11"/>
  <c r="G532" i="13" s="1"/>
  <c r="G531" i="11"/>
  <c r="G531" i="13" s="1"/>
  <c r="G530" i="11"/>
  <c r="G530" i="13" s="1"/>
  <c r="G529" i="11"/>
  <c r="G529" i="13" s="1"/>
  <c r="G528" i="11"/>
  <c r="G528" i="13" s="1"/>
  <c r="G527" i="11"/>
  <c r="G527" i="13" s="1"/>
  <c r="G526" i="11"/>
  <c r="G526" i="13" s="1"/>
  <c r="G525" i="11"/>
  <c r="G525" i="13" s="1"/>
  <c r="G524" i="11"/>
  <c r="G524" i="13" s="1"/>
  <c r="G523" i="11"/>
  <c r="G523" i="13" s="1"/>
  <c r="G522" i="11"/>
  <c r="G522" i="13" s="1"/>
  <c r="G521" i="11"/>
  <c r="G521" i="13" s="1"/>
  <c r="G520" i="11"/>
  <c r="G520" i="13" s="1"/>
  <c r="G519" i="11"/>
  <c r="G519" i="13" s="1"/>
  <c r="G518" i="11"/>
  <c r="G518" i="13" s="1"/>
  <c r="G517" i="11"/>
  <c r="G517" i="13" s="1"/>
  <c r="G516" i="11"/>
  <c r="G516" i="13" s="1"/>
  <c r="G515" i="11"/>
  <c r="G515" i="13" s="1"/>
  <c r="G514" i="11"/>
  <c r="G514" i="13" s="1"/>
  <c r="G513" i="11"/>
  <c r="G513" i="13" s="1"/>
  <c r="G512" i="11"/>
  <c r="G512" i="13" s="1"/>
  <c r="G511" i="11"/>
  <c r="G511" i="13" s="1"/>
  <c r="G510" i="11"/>
  <c r="G510" i="13" s="1"/>
  <c r="G509" i="11"/>
  <c r="G509" i="13" s="1"/>
  <c r="G508" i="11"/>
  <c r="G508" i="13" s="1"/>
  <c r="G507" i="11"/>
  <c r="G507" i="13" s="1"/>
  <c r="G506" i="11"/>
  <c r="G506" i="13" s="1"/>
  <c r="G505" i="11"/>
  <c r="G505" i="13" s="1"/>
  <c r="G504" i="11"/>
  <c r="G504" i="13" s="1"/>
  <c r="G503" i="11"/>
  <c r="G503" i="13" s="1"/>
  <c r="G502" i="11"/>
  <c r="G502" i="13" s="1"/>
  <c r="G501" i="11"/>
  <c r="G501" i="13" s="1"/>
  <c r="G500" i="11"/>
  <c r="G500" i="13" s="1"/>
  <c r="G499" i="11"/>
  <c r="G499" i="13" s="1"/>
  <c r="G498" i="11"/>
  <c r="G498" i="13" s="1"/>
  <c r="G497" i="11"/>
  <c r="G497" i="13" s="1"/>
  <c r="G496" i="11"/>
  <c r="G496" i="13" s="1"/>
  <c r="G495" i="11"/>
  <c r="G495" i="13" s="1"/>
  <c r="G494" i="11"/>
  <c r="G494" i="13" s="1"/>
  <c r="G493" i="11"/>
  <c r="G493" i="13" s="1"/>
  <c r="G492" i="11"/>
  <c r="G492" i="13" s="1"/>
  <c r="G491" i="11"/>
  <c r="G491" i="13" s="1"/>
  <c r="G490" i="11"/>
  <c r="G490" i="13" s="1"/>
  <c r="G489" i="11"/>
  <c r="G489" i="13" s="1"/>
  <c r="G488" i="11"/>
  <c r="G488" i="13" s="1"/>
  <c r="G487" i="11"/>
  <c r="G487" i="13" s="1"/>
  <c r="G486" i="11"/>
  <c r="G486" i="13" s="1"/>
  <c r="G485" i="11"/>
  <c r="G485" i="13" s="1"/>
  <c r="G484" i="11"/>
  <c r="G484" i="13" s="1"/>
  <c r="G483" i="11"/>
  <c r="G483" i="13" s="1"/>
  <c r="G482" i="11"/>
  <c r="G482" i="13" s="1"/>
  <c r="G481" i="11"/>
  <c r="G481" i="13" s="1"/>
  <c r="G480" i="11"/>
  <c r="G480" i="13" s="1"/>
  <c r="G479" i="11"/>
  <c r="G479" i="13" s="1"/>
  <c r="G478" i="11"/>
  <c r="G478" i="13" s="1"/>
  <c r="G477" i="11"/>
  <c r="G477" i="13" s="1"/>
  <c r="G476" i="11"/>
  <c r="G476" i="13" s="1"/>
  <c r="G475" i="11"/>
  <c r="G475" i="13" s="1"/>
  <c r="G474" i="11"/>
  <c r="G474" i="13" s="1"/>
  <c r="G473" i="11"/>
  <c r="G473" i="13" s="1"/>
  <c r="G472" i="11"/>
  <c r="G472" i="13" s="1"/>
  <c r="G471" i="11"/>
  <c r="G471" i="13" s="1"/>
  <c r="G470" i="11"/>
  <c r="G470" i="13" s="1"/>
  <c r="G469" i="11"/>
  <c r="G469" i="13" s="1"/>
  <c r="G468" i="11"/>
  <c r="G468" i="13" s="1"/>
  <c r="G467" i="11"/>
  <c r="G467" i="13" s="1"/>
  <c r="G466" i="11"/>
  <c r="G466" i="13" s="1"/>
  <c r="G465" i="11"/>
  <c r="G465" i="13" s="1"/>
  <c r="G464" i="11"/>
  <c r="G464" i="13" s="1"/>
  <c r="G463" i="11"/>
  <c r="G463" i="13" s="1"/>
  <c r="G462" i="11"/>
  <c r="G462" i="13" s="1"/>
  <c r="G461" i="11"/>
  <c r="G461" i="13" s="1"/>
  <c r="G460" i="11"/>
  <c r="G460" i="13" s="1"/>
  <c r="G459" i="11"/>
  <c r="G459" i="13" s="1"/>
  <c r="G458" i="11"/>
  <c r="G458" i="13" s="1"/>
  <c r="G457" i="11"/>
  <c r="G457" i="13" s="1"/>
  <c r="G456" i="11"/>
  <c r="G456" i="13" s="1"/>
  <c r="G455" i="11"/>
  <c r="G455" i="13" s="1"/>
  <c r="G454" i="11"/>
  <c r="G454" i="13" s="1"/>
  <c r="G453" i="11"/>
  <c r="G453" i="13" s="1"/>
  <c r="G452" i="11"/>
  <c r="G452" i="13" s="1"/>
  <c r="G451" i="11"/>
  <c r="G451" i="13" s="1"/>
  <c r="G450" i="11"/>
  <c r="G450" i="13" s="1"/>
  <c r="G449" i="11"/>
  <c r="G449" i="13" s="1"/>
  <c r="G448" i="11"/>
  <c r="G448" i="13" s="1"/>
  <c r="G447" i="11"/>
  <c r="G447" i="13" s="1"/>
  <c r="G446" i="11"/>
  <c r="G446" i="13" s="1"/>
  <c r="G445" i="11"/>
  <c r="G445" i="13" s="1"/>
  <c r="G444" i="11"/>
  <c r="G444" i="13" s="1"/>
  <c r="G443" i="11"/>
  <c r="G443" i="13" s="1"/>
  <c r="G442" i="11"/>
  <c r="G442" i="13" s="1"/>
  <c r="G441" i="11"/>
  <c r="G441" i="13" s="1"/>
  <c r="G440" i="11"/>
  <c r="G440" i="13" s="1"/>
  <c r="G439" i="11"/>
  <c r="G439" i="13" s="1"/>
  <c r="G438" i="11"/>
  <c r="G438" i="13" s="1"/>
  <c r="G437" i="11"/>
  <c r="G437" i="13" s="1"/>
  <c r="G436" i="11"/>
  <c r="G436" i="13" s="1"/>
  <c r="G435" i="11"/>
  <c r="G435" i="13" s="1"/>
  <c r="G434" i="11"/>
  <c r="G434" i="13" s="1"/>
  <c r="G433" i="11"/>
  <c r="G433" i="13" s="1"/>
  <c r="G432" i="11"/>
  <c r="G432" i="13" s="1"/>
  <c r="G431" i="11"/>
  <c r="G431" i="13" s="1"/>
  <c r="G430" i="11"/>
  <c r="G430" i="13" s="1"/>
  <c r="G429" i="11"/>
  <c r="G429" i="13" s="1"/>
  <c r="G428" i="11"/>
  <c r="G428" i="13" s="1"/>
  <c r="G427" i="11"/>
  <c r="G427" i="13" s="1"/>
  <c r="G426" i="11"/>
  <c r="G426" i="13" s="1"/>
  <c r="G425" i="11"/>
  <c r="G425" i="13" s="1"/>
  <c r="G424" i="11"/>
  <c r="G424" i="13" s="1"/>
  <c r="G423" i="11"/>
  <c r="G423" i="13" s="1"/>
  <c r="G422" i="11"/>
  <c r="G422" i="13" s="1"/>
  <c r="G421" i="11"/>
  <c r="G421" i="13" s="1"/>
  <c r="G420" i="11"/>
  <c r="G420" i="13" s="1"/>
  <c r="G419" i="11"/>
  <c r="G419" i="13" s="1"/>
  <c r="G418" i="11"/>
  <c r="G418" i="13" s="1"/>
  <c r="G417" i="11"/>
  <c r="G417" i="13" s="1"/>
  <c r="G416" i="11"/>
  <c r="G416" i="13" s="1"/>
  <c r="G415" i="11"/>
  <c r="G415" i="13" s="1"/>
  <c r="G414" i="11"/>
  <c r="G414" i="13" s="1"/>
  <c r="G413" i="11"/>
  <c r="G413" i="13" s="1"/>
  <c r="G412" i="11"/>
  <c r="G412" i="13" s="1"/>
  <c r="G411" i="11"/>
  <c r="G411" i="13" s="1"/>
  <c r="G410" i="11"/>
  <c r="G410" i="13" s="1"/>
  <c r="G409" i="11"/>
  <c r="G409" i="13" s="1"/>
  <c r="G408" i="11"/>
  <c r="G408" i="13" s="1"/>
  <c r="G407" i="11"/>
  <c r="G407" i="13" s="1"/>
  <c r="G406" i="11"/>
  <c r="G406" i="13" s="1"/>
  <c r="G405" i="11"/>
  <c r="G405" i="13" s="1"/>
  <c r="G404" i="11"/>
  <c r="G404" i="13" s="1"/>
  <c r="G403" i="11"/>
  <c r="G403" i="13" s="1"/>
  <c r="G402" i="11"/>
  <c r="G402" i="13" s="1"/>
  <c r="G401" i="11"/>
  <c r="G401" i="13" s="1"/>
  <c r="G400" i="11"/>
  <c r="G400" i="13" s="1"/>
  <c r="G399" i="11"/>
  <c r="G399" i="13" s="1"/>
  <c r="G398" i="11"/>
  <c r="G398" i="13" s="1"/>
  <c r="G397" i="11"/>
  <c r="G397" i="13" s="1"/>
  <c r="G396" i="11"/>
  <c r="G396" i="13" s="1"/>
  <c r="G395" i="11"/>
  <c r="G395" i="13" s="1"/>
  <c r="G394" i="11"/>
  <c r="G394" i="13" s="1"/>
  <c r="G393" i="11"/>
  <c r="G393" i="13" s="1"/>
  <c r="G392" i="11"/>
  <c r="G392" i="13" s="1"/>
  <c r="G391" i="11"/>
  <c r="G391" i="13" s="1"/>
  <c r="G390" i="11"/>
  <c r="G390" i="13" s="1"/>
  <c r="G389" i="11"/>
  <c r="G389" i="13" s="1"/>
  <c r="G388" i="11"/>
  <c r="G388" i="13" s="1"/>
  <c r="G387" i="11"/>
  <c r="G387" i="13" s="1"/>
  <c r="G386" i="11"/>
  <c r="G386" i="13" s="1"/>
  <c r="G385" i="11"/>
  <c r="G385" i="13" s="1"/>
  <c r="G384" i="11"/>
  <c r="G384" i="13" s="1"/>
  <c r="G383" i="11"/>
  <c r="G383" i="13" s="1"/>
  <c r="G382" i="11"/>
  <c r="G382" i="13" s="1"/>
  <c r="G381" i="11"/>
  <c r="G381" i="13" s="1"/>
  <c r="G380" i="11"/>
  <c r="G380" i="13" s="1"/>
  <c r="G379" i="11"/>
  <c r="G379" i="13" s="1"/>
  <c r="G378" i="11"/>
  <c r="G378" i="13" s="1"/>
  <c r="G377" i="11"/>
  <c r="G377" i="13" s="1"/>
  <c r="G376" i="11"/>
  <c r="G376" i="13" s="1"/>
  <c r="G375" i="11"/>
  <c r="G375" i="13" s="1"/>
  <c r="G374" i="11"/>
  <c r="G374" i="13" s="1"/>
  <c r="G373" i="11"/>
  <c r="G373" i="13" s="1"/>
  <c r="G372" i="11"/>
  <c r="G372" i="13" s="1"/>
  <c r="G371" i="11"/>
  <c r="G371" i="13" s="1"/>
  <c r="G370" i="11"/>
  <c r="G370" i="13" s="1"/>
  <c r="G369" i="11"/>
  <c r="G369" i="13" s="1"/>
  <c r="G368" i="11"/>
  <c r="G368" i="13" s="1"/>
  <c r="G367" i="11"/>
  <c r="G367" i="13" s="1"/>
  <c r="G366" i="11"/>
  <c r="G366" i="13" s="1"/>
  <c r="G365" i="11"/>
  <c r="G365" i="13" s="1"/>
  <c r="G364" i="11"/>
  <c r="G364" i="13" s="1"/>
  <c r="G363" i="11"/>
  <c r="G363" i="13" s="1"/>
  <c r="G362" i="11"/>
  <c r="G362" i="13" s="1"/>
  <c r="G361" i="11"/>
  <c r="G361" i="13" s="1"/>
  <c r="G360" i="11"/>
  <c r="G360" i="13" s="1"/>
  <c r="G359" i="11"/>
  <c r="G359" i="13" s="1"/>
  <c r="G358" i="11"/>
  <c r="G358" i="13" s="1"/>
  <c r="G357" i="11"/>
  <c r="G357" i="13" s="1"/>
  <c r="G356" i="11"/>
  <c r="G356" i="13" s="1"/>
  <c r="G355" i="11"/>
  <c r="G355" i="13" s="1"/>
  <c r="G354" i="11"/>
  <c r="G354" i="13" s="1"/>
  <c r="G353" i="11"/>
  <c r="G353" i="13" s="1"/>
  <c r="G352" i="11"/>
  <c r="G352" i="13" s="1"/>
  <c r="G351" i="11"/>
  <c r="G351" i="13" s="1"/>
  <c r="G350" i="11"/>
  <c r="G350" i="13" s="1"/>
  <c r="G349" i="11"/>
  <c r="G349" i="13" s="1"/>
  <c r="G348" i="11"/>
  <c r="G348" i="13" s="1"/>
  <c r="G347" i="11"/>
  <c r="G347" i="13" s="1"/>
  <c r="G346" i="11"/>
  <c r="G346" i="13" s="1"/>
  <c r="G345" i="11"/>
  <c r="G345" i="13" s="1"/>
  <c r="G344" i="11"/>
  <c r="G344" i="13" s="1"/>
  <c r="G343" i="11"/>
  <c r="G343" i="13" s="1"/>
  <c r="G342" i="11"/>
  <c r="G342" i="13" s="1"/>
  <c r="G341" i="11"/>
  <c r="G341" i="13" s="1"/>
  <c r="G340" i="11"/>
  <c r="G340" i="13" s="1"/>
  <c r="G339" i="11"/>
  <c r="G339" i="13" s="1"/>
  <c r="G338" i="11"/>
  <c r="G338" i="13" s="1"/>
  <c r="G337" i="11"/>
  <c r="G337" i="13" s="1"/>
  <c r="G336" i="11"/>
  <c r="G336" i="13" s="1"/>
  <c r="G335" i="11"/>
  <c r="G335" i="13" s="1"/>
  <c r="G334" i="11"/>
  <c r="G334" i="13" s="1"/>
  <c r="G333" i="11"/>
  <c r="G333" i="13" s="1"/>
  <c r="G332" i="11"/>
  <c r="G332" i="13" s="1"/>
  <c r="G331" i="11"/>
  <c r="G331" i="13" s="1"/>
  <c r="G330" i="11"/>
  <c r="G330" i="13" s="1"/>
  <c r="G329" i="11"/>
  <c r="G329" i="13" s="1"/>
  <c r="G328" i="11"/>
  <c r="G328" i="13" s="1"/>
  <c r="G327" i="11"/>
  <c r="G327" i="13" s="1"/>
  <c r="G326" i="11"/>
  <c r="G326" i="13" s="1"/>
  <c r="G325" i="11"/>
  <c r="G325" i="13" s="1"/>
  <c r="G324" i="11"/>
  <c r="G324" i="13" s="1"/>
  <c r="G323" i="11"/>
  <c r="G323" i="13" s="1"/>
  <c r="G322" i="11"/>
  <c r="G322" i="13" s="1"/>
  <c r="G321" i="11"/>
  <c r="G321" i="13" s="1"/>
  <c r="G320" i="11"/>
  <c r="G320" i="13" s="1"/>
  <c r="G319" i="11"/>
  <c r="G319" i="13" s="1"/>
  <c r="G318" i="11"/>
  <c r="G318" i="13" s="1"/>
  <c r="G317" i="11"/>
  <c r="G317" i="13" s="1"/>
  <c r="G316" i="11"/>
  <c r="G316" i="13" s="1"/>
  <c r="G315" i="11"/>
  <c r="G315" i="13" s="1"/>
  <c r="G314" i="11"/>
  <c r="G314" i="13" s="1"/>
  <c r="G313" i="11"/>
  <c r="G313" i="13" s="1"/>
  <c r="G312" i="11"/>
  <c r="G312" i="13" s="1"/>
  <c r="G311" i="11"/>
  <c r="G311" i="13" s="1"/>
  <c r="G310" i="11"/>
  <c r="G310" i="13" s="1"/>
  <c r="G309" i="11"/>
  <c r="G309" i="13" s="1"/>
  <c r="G308" i="11"/>
  <c r="G308" i="13" s="1"/>
  <c r="G307" i="11"/>
  <c r="G307" i="13" s="1"/>
  <c r="G306" i="11"/>
  <c r="G306" i="13" s="1"/>
  <c r="G305" i="11"/>
  <c r="G305" i="13" s="1"/>
  <c r="G304" i="11"/>
  <c r="G304" i="13" s="1"/>
  <c r="G303" i="11"/>
  <c r="G303" i="13" s="1"/>
  <c r="G302" i="11"/>
  <c r="G302" i="13" s="1"/>
  <c r="G301" i="11"/>
  <c r="G301" i="13" s="1"/>
  <c r="G300" i="11"/>
  <c r="G300" i="13" s="1"/>
  <c r="G299" i="11"/>
  <c r="G299" i="13" s="1"/>
  <c r="G298" i="11"/>
  <c r="G298" i="13" s="1"/>
  <c r="G297" i="11"/>
  <c r="G297" i="13" s="1"/>
  <c r="G296" i="11"/>
  <c r="G296" i="13" s="1"/>
  <c r="G295" i="11"/>
  <c r="G295" i="13" s="1"/>
  <c r="G294" i="11"/>
  <c r="G294" i="13" s="1"/>
  <c r="G293" i="11"/>
  <c r="G293" i="13" s="1"/>
  <c r="G292" i="11"/>
  <c r="G292" i="13" s="1"/>
  <c r="G291" i="11"/>
  <c r="G291" i="13" s="1"/>
  <c r="G290" i="11"/>
  <c r="G290" i="13" s="1"/>
  <c r="G289" i="11"/>
  <c r="G289" i="13" s="1"/>
  <c r="G288" i="11"/>
  <c r="G288" i="13" s="1"/>
  <c r="G287" i="11"/>
  <c r="G287" i="13" s="1"/>
  <c r="G286" i="11"/>
  <c r="G286" i="13" s="1"/>
  <c r="G285" i="11"/>
  <c r="G285" i="13" s="1"/>
  <c r="G284" i="11"/>
  <c r="G284" i="13" s="1"/>
  <c r="G283" i="11"/>
  <c r="G283" i="13" s="1"/>
  <c r="G282" i="11"/>
  <c r="G282" i="13" s="1"/>
  <c r="G281" i="11"/>
  <c r="G281" i="13" s="1"/>
  <c r="G280" i="11"/>
  <c r="G280" i="13" s="1"/>
  <c r="G279" i="11"/>
  <c r="G279" i="13" s="1"/>
  <c r="G278" i="11"/>
  <c r="G278" i="13" s="1"/>
  <c r="G277" i="11"/>
  <c r="G277" i="13" s="1"/>
  <c r="G276" i="11"/>
  <c r="G276" i="13" s="1"/>
  <c r="G275" i="11"/>
  <c r="G275" i="13" s="1"/>
  <c r="G274" i="11"/>
  <c r="G274" i="13" s="1"/>
  <c r="G273" i="11"/>
  <c r="G273" i="13" s="1"/>
  <c r="G272" i="11"/>
  <c r="G272" i="13" s="1"/>
  <c r="G271" i="11"/>
  <c r="G271" i="13" s="1"/>
  <c r="G270" i="11"/>
  <c r="G270" i="13" s="1"/>
  <c r="G269" i="11"/>
  <c r="G269" i="13" s="1"/>
  <c r="G268" i="11"/>
  <c r="G268" i="13" s="1"/>
  <c r="G267" i="11"/>
  <c r="G267" i="13" s="1"/>
  <c r="G266" i="11"/>
  <c r="G266" i="13" s="1"/>
  <c r="G265" i="11"/>
  <c r="G265" i="13" s="1"/>
  <c r="G264" i="11"/>
  <c r="G264" i="13" s="1"/>
  <c r="G263" i="11"/>
  <c r="G263" i="13" s="1"/>
  <c r="G262" i="11"/>
  <c r="G262" i="13" s="1"/>
  <c r="G261" i="11"/>
  <c r="G261" i="13" s="1"/>
  <c r="G260" i="11"/>
  <c r="G260" i="13" s="1"/>
  <c r="G259" i="11"/>
  <c r="G259" i="13" s="1"/>
  <c r="G258" i="11"/>
  <c r="G258" i="13" s="1"/>
  <c r="G257" i="11"/>
  <c r="G257" i="13" s="1"/>
  <c r="G256" i="11"/>
  <c r="G256" i="13" s="1"/>
  <c r="G255" i="11"/>
  <c r="G255" i="13" s="1"/>
  <c r="G254" i="11"/>
  <c r="G254" i="13" s="1"/>
  <c r="G253" i="11"/>
  <c r="G253" i="13" s="1"/>
  <c r="G252" i="11"/>
  <c r="G252" i="13" s="1"/>
  <c r="G251" i="11"/>
  <c r="G251" i="13" s="1"/>
  <c r="G250" i="11"/>
  <c r="G250" i="13" s="1"/>
  <c r="G249" i="11"/>
  <c r="G249" i="13" s="1"/>
  <c r="G248" i="11"/>
  <c r="G248" i="13" s="1"/>
  <c r="G247" i="11"/>
  <c r="G247" i="13" s="1"/>
  <c r="G246" i="11"/>
  <c r="G246" i="13" s="1"/>
  <c r="G245" i="11"/>
  <c r="G245" i="13" s="1"/>
  <c r="G244" i="11"/>
  <c r="G244" i="13" s="1"/>
  <c r="G243" i="11"/>
  <c r="G243" i="13" s="1"/>
  <c r="G242" i="11"/>
  <c r="G242" i="13" s="1"/>
  <c r="G241" i="11"/>
  <c r="G241" i="13" s="1"/>
  <c r="G240" i="11"/>
  <c r="G240" i="13" s="1"/>
  <c r="G239" i="11"/>
  <c r="G239" i="13" s="1"/>
  <c r="G238" i="11"/>
  <c r="G238" i="13" s="1"/>
  <c r="G237" i="11"/>
  <c r="G237" i="13" s="1"/>
  <c r="G236" i="11"/>
  <c r="G236" i="13" s="1"/>
  <c r="G235" i="11"/>
  <c r="G235" i="13" s="1"/>
  <c r="G234" i="11"/>
  <c r="G234" i="13" s="1"/>
  <c r="G233" i="11"/>
  <c r="G233" i="13" s="1"/>
  <c r="G232" i="11"/>
  <c r="G232" i="13" s="1"/>
  <c r="G231" i="11"/>
  <c r="G231" i="13" s="1"/>
  <c r="G230" i="11"/>
  <c r="G230" i="13" s="1"/>
  <c r="G229" i="11"/>
  <c r="G229" i="13" s="1"/>
  <c r="G228" i="11"/>
  <c r="G228" i="13" s="1"/>
  <c r="G227" i="11"/>
  <c r="G227" i="13" s="1"/>
  <c r="G226" i="11"/>
  <c r="G226" i="13" s="1"/>
  <c r="G225" i="11"/>
  <c r="G225" i="13" s="1"/>
  <c r="G224" i="11"/>
  <c r="G224" i="13" s="1"/>
  <c r="G223" i="11"/>
  <c r="G223" i="13" s="1"/>
  <c r="G222" i="11"/>
  <c r="G222" i="13" s="1"/>
  <c r="G221" i="11"/>
  <c r="G221" i="13" s="1"/>
  <c r="G220" i="11"/>
  <c r="G220" i="13" s="1"/>
  <c r="G219" i="11"/>
  <c r="G219" i="13" s="1"/>
  <c r="G218" i="11"/>
  <c r="G218" i="13" s="1"/>
  <c r="G217" i="11"/>
  <c r="G217" i="13" s="1"/>
  <c r="G216" i="11"/>
  <c r="G216" i="13" s="1"/>
  <c r="G215" i="11"/>
  <c r="G215" i="13" s="1"/>
  <c r="G214" i="11"/>
  <c r="G214" i="13" s="1"/>
  <c r="G213" i="11"/>
  <c r="G213" i="13" s="1"/>
  <c r="G212" i="11"/>
  <c r="G212" i="13" s="1"/>
  <c r="G211" i="11"/>
  <c r="G211" i="13" s="1"/>
  <c r="G210" i="11"/>
  <c r="G210" i="13" s="1"/>
  <c r="G209" i="11"/>
  <c r="G209" i="13" s="1"/>
  <c r="G208" i="11"/>
  <c r="G208" i="13" s="1"/>
  <c r="G207" i="11"/>
  <c r="G207" i="13" s="1"/>
  <c r="G206" i="11"/>
  <c r="G206" i="13" s="1"/>
  <c r="G205" i="11"/>
  <c r="G205" i="13" s="1"/>
  <c r="G204" i="11"/>
  <c r="G204" i="13" s="1"/>
  <c r="G203" i="11"/>
  <c r="G203" i="13" s="1"/>
  <c r="G202" i="11"/>
  <c r="G202" i="13" s="1"/>
  <c r="G201" i="11"/>
  <c r="G201" i="13" s="1"/>
  <c r="G200" i="11"/>
  <c r="G200" i="13" s="1"/>
  <c r="G199" i="11"/>
  <c r="G199" i="13" s="1"/>
  <c r="G198" i="11"/>
  <c r="G198" i="13" s="1"/>
  <c r="G197" i="11"/>
  <c r="G197" i="13" s="1"/>
  <c r="G196" i="11"/>
  <c r="G196" i="13" s="1"/>
  <c r="G195" i="11"/>
  <c r="G195" i="13" s="1"/>
  <c r="G194" i="11"/>
  <c r="G194" i="13" s="1"/>
  <c r="G193" i="11"/>
  <c r="G193" i="13" s="1"/>
  <c r="G192" i="11"/>
  <c r="G192" i="13" s="1"/>
  <c r="G191" i="11"/>
  <c r="G191" i="13" s="1"/>
  <c r="G190" i="11"/>
  <c r="G190" i="13" s="1"/>
  <c r="G189" i="11"/>
  <c r="G189" i="13" s="1"/>
  <c r="G188" i="11"/>
  <c r="G188" i="13" s="1"/>
  <c r="G187" i="11"/>
  <c r="G187" i="13" s="1"/>
  <c r="G186" i="11"/>
  <c r="G186" i="13" s="1"/>
  <c r="G185" i="11"/>
  <c r="G185" i="13" s="1"/>
  <c r="G184" i="11"/>
  <c r="G184" i="13" s="1"/>
  <c r="G183" i="11"/>
  <c r="G183" i="13" s="1"/>
  <c r="G182" i="11"/>
  <c r="G182" i="13" s="1"/>
  <c r="G181" i="11"/>
  <c r="G181" i="13" s="1"/>
  <c r="G180" i="11"/>
  <c r="G180" i="13" s="1"/>
  <c r="G179" i="11"/>
  <c r="G179" i="13" s="1"/>
  <c r="G178" i="11"/>
  <c r="G178" i="13" s="1"/>
  <c r="G177" i="11"/>
  <c r="G177" i="13" s="1"/>
  <c r="G176" i="11"/>
  <c r="G176" i="13" s="1"/>
  <c r="G175" i="11"/>
  <c r="G175" i="13" s="1"/>
  <c r="G174" i="11"/>
  <c r="G174" i="13" s="1"/>
  <c r="G173" i="11"/>
  <c r="G173" i="13" s="1"/>
  <c r="G172" i="11"/>
  <c r="G172" i="13" s="1"/>
  <c r="G171" i="11"/>
  <c r="G171" i="13" s="1"/>
  <c r="G170" i="11"/>
  <c r="G170" i="13" s="1"/>
  <c r="G169" i="11"/>
  <c r="G169" i="13" s="1"/>
  <c r="G168" i="11"/>
  <c r="G168" i="13" s="1"/>
  <c r="G167" i="11"/>
  <c r="G167" i="13" s="1"/>
  <c r="G166" i="11"/>
  <c r="G166" i="13" s="1"/>
  <c r="G165" i="11"/>
  <c r="G165" i="13" s="1"/>
  <c r="G164" i="11"/>
  <c r="G163" i="11"/>
  <c r="G163" i="13" s="1"/>
  <c r="G162" i="11"/>
  <c r="G162" i="13" s="1"/>
  <c r="G161" i="11"/>
  <c r="G161" i="13" s="1"/>
  <c r="G160" i="11"/>
  <c r="G160" i="13" s="1"/>
  <c r="G159" i="11"/>
  <c r="G159" i="13" s="1"/>
  <c r="G158" i="11"/>
  <c r="G158" i="13" s="1"/>
  <c r="G157" i="11"/>
  <c r="G157" i="13" s="1"/>
  <c r="G156" i="11"/>
  <c r="G156" i="13" s="1"/>
  <c r="G155" i="11"/>
  <c r="G155" i="13" s="1"/>
  <c r="G154" i="11"/>
  <c r="G154" i="13" s="1"/>
  <c r="G153" i="11"/>
  <c r="G153" i="13" s="1"/>
  <c r="G152" i="11"/>
  <c r="G152" i="13" s="1"/>
  <c r="G151" i="11"/>
  <c r="G151" i="13" s="1"/>
  <c r="G150" i="11"/>
  <c r="G150" i="13" s="1"/>
  <c r="G149" i="11"/>
  <c r="G149" i="13" s="1"/>
  <c r="G148" i="11"/>
  <c r="G147" i="11"/>
  <c r="G147" i="13" s="1"/>
  <c r="G146" i="11"/>
  <c r="G146" i="13" s="1"/>
  <c r="G145" i="11"/>
  <c r="G145" i="13" s="1"/>
  <c r="G144" i="11"/>
  <c r="G144" i="13" s="1"/>
  <c r="G143" i="11"/>
  <c r="G143" i="13" s="1"/>
  <c r="G142" i="11"/>
  <c r="G142" i="13" s="1"/>
  <c r="G141" i="11"/>
  <c r="G141" i="13" s="1"/>
  <c r="G140" i="11"/>
  <c r="G140" i="13" s="1"/>
  <c r="G139" i="11"/>
  <c r="G139" i="13" s="1"/>
  <c r="G138" i="11"/>
  <c r="G138" i="13" s="1"/>
  <c r="G137" i="11"/>
  <c r="G137" i="13" s="1"/>
  <c r="G136" i="11"/>
  <c r="G136" i="13" s="1"/>
  <c r="G135" i="11"/>
  <c r="G135" i="13" s="1"/>
  <c r="G134" i="11"/>
  <c r="G134" i="13" s="1"/>
  <c r="G133" i="11"/>
  <c r="G133" i="13" s="1"/>
  <c r="G132" i="11"/>
  <c r="G132" i="13" s="1"/>
  <c r="G131" i="11"/>
  <c r="G131" i="13" s="1"/>
  <c r="G130" i="11"/>
  <c r="G130" i="13" s="1"/>
  <c r="G129" i="11"/>
  <c r="G129" i="13" s="1"/>
  <c r="G128" i="11"/>
  <c r="G127" i="11"/>
  <c r="G127" i="13" s="1"/>
  <c r="G126" i="11"/>
  <c r="G126" i="13" s="1"/>
  <c r="G125" i="11"/>
  <c r="G125" i="13" s="1"/>
  <c r="G124" i="11"/>
  <c r="G124" i="13" s="1"/>
  <c r="G123" i="11"/>
  <c r="G123" i="13" s="1"/>
  <c r="G122" i="11"/>
  <c r="G122" i="13" s="1"/>
  <c r="G121" i="11"/>
  <c r="G121" i="13" s="1"/>
  <c r="G120" i="11"/>
  <c r="G120" i="13" s="1"/>
  <c r="G119" i="11"/>
  <c r="G119" i="13" s="1"/>
  <c r="G118" i="11"/>
  <c r="G118" i="13" s="1"/>
  <c r="G117" i="11"/>
  <c r="G117" i="13" s="1"/>
  <c r="G116" i="11"/>
  <c r="G115" i="11"/>
  <c r="G115" i="13" s="1"/>
  <c r="G114" i="11"/>
  <c r="G114" i="13" s="1"/>
  <c r="G113" i="11"/>
  <c r="G113" i="13" s="1"/>
  <c r="G112" i="11"/>
  <c r="G112" i="13" s="1"/>
  <c r="G111" i="11"/>
  <c r="G111" i="13" s="1"/>
  <c r="G110" i="11"/>
  <c r="G110" i="13" s="1"/>
  <c r="G109" i="11"/>
  <c r="G109" i="13" s="1"/>
  <c r="G108" i="11"/>
  <c r="G108" i="13" s="1"/>
  <c r="G107" i="11"/>
  <c r="G107" i="13" s="1"/>
  <c r="G106" i="11"/>
  <c r="G106" i="13" s="1"/>
  <c r="G105" i="11"/>
  <c r="G105" i="13" s="1"/>
  <c r="G104" i="11"/>
  <c r="G104" i="13" s="1"/>
  <c r="G103" i="11"/>
  <c r="G103" i="13" s="1"/>
  <c r="G102" i="11"/>
  <c r="G102" i="13" s="1"/>
  <c r="G101" i="11"/>
  <c r="G101" i="13" s="1"/>
  <c r="G100" i="11"/>
  <c r="G99" i="11"/>
  <c r="G99" i="13" s="1"/>
  <c r="G98" i="11"/>
  <c r="G98" i="13" s="1"/>
  <c r="G97" i="11"/>
  <c r="G97" i="13" s="1"/>
  <c r="G96" i="11"/>
  <c r="G95" i="11"/>
  <c r="G95" i="13" s="1"/>
  <c r="G94" i="11"/>
  <c r="G94" i="13" s="1"/>
  <c r="G93" i="11"/>
  <c r="G93" i="13" s="1"/>
  <c r="G92" i="11"/>
  <c r="G92" i="13" s="1"/>
  <c r="G91" i="11"/>
  <c r="G91" i="13" s="1"/>
  <c r="G90" i="11"/>
  <c r="G90" i="13" s="1"/>
  <c r="G89" i="11"/>
  <c r="G89" i="13" s="1"/>
  <c r="G88" i="11"/>
  <c r="G88" i="13" s="1"/>
  <c r="G87" i="11"/>
  <c r="G87" i="13" s="1"/>
  <c r="G86" i="11"/>
  <c r="G86" i="13" s="1"/>
  <c r="G85" i="11"/>
  <c r="G85" i="13" s="1"/>
  <c r="G84" i="11"/>
  <c r="G83" i="11"/>
  <c r="G83" i="13" s="1"/>
  <c r="G82" i="11"/>
  <c r="G82" i="13" s="1"/>
  <c r="G81" i="11"/>
  <c r="G81" i="13" s="1"/>
  <c r="G80" i="11"/>
  <c r="G79" i="11"/>
  <c r="G79" i="13" s="1"/>
  <c r="G78" i="11"/>
  <c r="G78" i="13" s="1"/>
  <c r="G77" i="11"/>
  <c r="G77" i="13" s="1"/>
  <c r="G76" i="11"/>
  <c r="G76" i="13" s="1"/>
  <c r="G75" i="11"/>
  <c r="G75" i="13" s="1"/>
  <c r="G74" i="11"/>
  <c r="G74" i="13" s="1"/>
  <c r="G73" i="11"/>
  <c r="G73" i="13" s="1"/>
  <c r="G72" i="11"/>
  <c r="G72" i="13" s="1"/>
  <c r="G71" i="11"/>
  <c r="G71" i="13" s="1"/>
  <c r="G70" i="11"/>
  <c r="G70" i="13" s="1"/>
  <c r="G69" i="11"/>
  <c r="G69" i="13" s="1"/>
  <c r="G68" i="11"/>
  <c r="G68" i="13" s="1"/>
  <c r="G67" i="11"/>
  <c r="G67" i="13" s="1"/>
  <c r="G66" i="11"/>
  <c r="G66" i="13" s="1"/>
  <c r="G65" i="11"/>
  <c r="G65" i="13" s="1"/>
  <c r="G64" i="11"/>
  <c r="G63" i="11"/>
  <c r="G63" i="13" s="1"/>
  <c r="G62" i="11"/>
  <c r="G62" i="13" s="1"/>
  <c r="G61" i="11"/>
  <c r="G61" i="13" s="1"/>
  <c r="G60" i="11"/>
  <c r="G60" i="13" s="1"/>
  <c r="G59" i="11"/>
  <c r="G59" i="13" s="1"/>
  <c r="G58" i="11"/>
  <c r="G58" i="13" s="1"/>
  <c r="G57" i="11"/>
  <c r="G57" i="13" s="1"/>
  <c r="G56" i="11"/>
  <c r="G56" i="13" s="1"/>
  <c r="G55" i="11"/>
  <c r="G55" i="13" s="1"/>
  <c r="G54" i="11"/>
  <c r="G54" i="13" s="1"/>
  <c r="G53" i="11"/>
  <c r="G53" i="13" s="1"/>
  <c r="G52" i="11"/>
  <c r="G51" i="11"/>
  <c r="G50" i="11"/>
  <c r="G50" i="13" s="1"/>
  <c r="G49" i="11"/>
  <c r="G49" i="13" s="1"/>
  <c r="G48" i="11"/>
  <c r="G47" i="11"/>
  <c r="G47" i="13" s="1"/>
  <c r="G46" i="11"/>
  <c r="G46" i="13" s="1"/>
  <c r="G45" i="11"/>
  <c r="G45" i="13" s="1"/>
  <c r="G44" i="11"/>
  <c r="G44" i="13" s="1"/>
  <c r="G43" i="11"/>
  <c r="G43" i="13" s="1"/>
  <c r="G42" i="11"/>
  <c r="G42" i="13" s="1"/>
  <c r="G41" i="11"/>
  <c r="G41" i="13" s="1"/>
  <c r="G40" i="11"/>
  <c r="G40" i="13" s="1"/>
  <c r="G39" i="11"/>
  <c r="G39" i="13" s="1"/>
  <c r="G38" i="11"/>
  <c r="G38" i="13" s="1"/>
  <c r="G37" i="11"/>
  <c r="G37" i="13" s="1"/>
  <c r="G36" i="11"/>
  <c r="G35" i="11"/>
  <c r="G35" i="13" s="1"/>
  <c r="G34" i="11"/>
  <c r="G34" i="13" s="1"/>
  <c r="G33" i="11"/>
  <c r="G33" i="13" s="1"/>
  <c r="G32" i="11"/>
  <c r="G31" i="11"/>
  <c r="G31" i="13" s="1"/>
  <c r="G30" i="11"/>
  <c r="G30" i="13" s="1"/>
  <c r="G29" i="11"/>
  <c r="G29" i="13" s="1"/>
  <c r="G28" i="11"/>
  <c r="G28" i="13" s="1"/>
  <c r="G27" i="11"/>
  <c r="G27" i="13" s="1"/>
  <c r="G26" i="11"/>
  <c r="G26" i="13" s="1"/>
  <c r="G25" i="11"/>
  <c r="G25" i="13" s="1"/>
  <c r="G24" i="11"/>
  <c r="G24" i="13" s="1"/>
  <c r="G23" i="11"/>
  <c r="G23" i="13" s="1"/>
  <c r="G22" i="11"/>
  <c r="G22" i="13" s="1"/>
  <c r="G21" i="11"/>
  <c r="G21" i="13" s="1"/>
  <c r="G20" i="11"/>
  <c r="G19" i="11"/>
  <c r="G19" i="13" s="1"/>
  <c r="G18" i="11"/>
  <c r="G18" i="13" s="1"/>
  <c r="G17" i="11"/>
  <c r="G17" i="13" s="1"/>
  <c r="G16" i="11"/>
  <c r="G15" i="11"/>
  <c r="G15" i="13" s="1"/>
  <c r="G14" i="11"/>
  <c r="G14" i="13" s="1"/>
  <c r="G13" i="11"/>
  <c r="G13" i="13" s="1"/>
  <c r="G12" i="11"/>
  <c r="G12" i="13" s="1"/>
  <c r="G11" i="11"/>
  <c r="G11" i="13" s="1"/>
  <c r="G10" i="11"/>
  <c r="G10" i="13" s="1"/>
  <c r="G9" i="11"/>
  <c r="G9" i="13" s="1"/>
  <c r="G8" i="11"/>
  <c r="G8" i="13" s="1"/>
  <c r="G7" i="11"/>
  <c r="G7" i="13" s="1"/>
  <c r="G6" i="11"/>
  <c r="G6" i="13" s="1"/>
  <c r="G5" i="11"/>
  <c r="G5" i="13" s="1"/>
  <c r="G4" i="11"/>
  <c r="G3" i="11"/>
  <c r="G3" i="13" s="1"/>
  <c r="G2" i="11"/>
  <c r="G2" i="13" s="1"/>
  <c r="B20" i="9"/>
  <c r="D20" i="9" s="1"/>
  <c r="B13" i="9"/>
  <c r="D13" i="9" s="1"/>
  <c r="B12" i="9"/>
  <c r="D12" i="9" s="1"/>
  <c r="B11" i="9"/>
  <c r="D11" i="9" s="1"/>
  <c r="B10" i="9"/>
  <c r="D10" i="9" s="1"/>
  <c r="B7" i="9"/>
  <c r="B6" i="9"/>
  <c r="B5" i="9"/>
  <c r="D5" i="9" s="1"/>
  <c r="B4" i="9"/>
  <c r="D4" i="9" s="1"/>
  <c r="B36" i="5"/>
  <c r="B35" i="5"/>
  <c r="B34" i="5"/>
  <c r="B33" i="5"/>
  <c r="B32" i="5"/>
  <c r="B31" i="5"/>
  <c r="B30" i="5"/>
  <c r="B17" i="5"/>
  <c r="B16" i="5"/>
  <c r="B15" i="5"/>
  <c r="B9" i="5"/>
  <c r="B8" i="5"/>
  <c r="B7" i="5"/>
  <c r="B6" i="5"/>
  <c r="E1001" i="4"/>
  <c r="E1000" i="4"/>
  <c r="C1000" i="4"/>
  <c r="E999" i="4"/>
  <c r="E998" i="4"/>
  <c r="E997" i="4"/>
  <c r="E996" i="4"/>
  <c r="E995" i="4"/>
  <c r="E994" i="4"/>
  <c r="E993" i="4"/>
  <c r="E992" i="4"/>
  <c r="E991" i="4"/>
  <c r="E990" i="4"/>
  <c r="E989" i="4"/>
  <c r="E988" i="4"/>
  <c r="E987" i="4"/>
  <c r="E986" i="4"/>
  <c r="E985" i="4"/>
  <c r="E984" i="4"/>
  <c r="E983" i="4"/>
  <c r="E982" i="4"/>
  <c r="E981" i="4"/>
  <c r="E980" i="4"/>
  <c r="E979" i="4"/>
  <c r="E978" i="4"/>
  <c r="E977" i="4"/>
  <c r="C977" i="4"/>
  <c r="E976" i="4"/>
  <c r="E975" i="4"/>
  <c r="E974" i="4"/>
  <c r="E973" i="4"/>
  <c r="E972" i="4"/>
  <c r="E971" i="4"/>
  <c r="E970" i="4"/>
  <c r="E969" i="4"/>
  <c r="E968" i="4"/>
  <c r="E967" i="4"/>
  <c r="E966" i="4"/>
  <c r="E965" i="4"/>
  <c r="E964" i="4"/>
  <c r="E963" i="4"/>
  <c r="E962" i="4"/>
  <c r="E961" i="4"/>
  <c r="E960" i="4"/>
  <c r="E959" i="4"/>
  <c r="E958" i="4"/>
  <c r="E957" i="4"/>
  <c r="E956" i="4"/>
  <c r="E955" i="4"/>
  <c r="E954" i="4"/>
  <c r="E953" i="4"/>
  <c r="E952" i="4"/>
  <c r="E951" i="4"/>
  <c r="E950" i="4"/>
  <c r="E949" i="4"/>
  <c r="E948" i="4"/>
  <c r="E947" i="4"/>
  <c r="E946" i="4"/>
  <c r="E945" i="4"/>
  <c r="E944" i="4"/>
  <c r="E943" i="4"/>
  <c r="E942" i="4"/>
  <c r="E941" i="4"/>
  <c r="E940" i="4"/>
  <c r="E939" i="4"/>
  <c r="E938" i="4"/>
  <c r="E937" i="4"/>
  <c r="C937" i="4"/>
  <c r="D937" i="4" s="1"/>
  <c r="E936" i="4"/>
  <c r="E935" i="4"/>
  <c r="E934" i="4"/>
  <c r="E933" i="4"/>
  <c r="E932" i="4"/>
  <c r="E931" i="4"/>
  <c r="C931" i="4"/>
  <c r="E930" i="4"/>
  <c r="E929" i="4"/>
  <c r="E928" i="4"/>
  <c r="E927" i="4"/>
  <c r="E926" i="4"/>
  <c r="E925" i="4"/>
  <c r="E924" i="4"/>
  <c r="E923" i="4"/>
  <c r="E922" i="4"/>
  <c r="E921" i="4"/>
  <c r="E920" i="4"/>
  <c r="E919" i="4"/>
  <c r="E918" i="4"/>
  <c r="E917" i="4"/>
  <c r="E916" i="4"/>
  <c r="E915" i="4"/>
  <c r="E914" i="4"/>
  <c r="E913" i="4"/>
  <c r="E912" i="4"/>
  <c r="E911" i="4"/>
  <c r="E910" i="4"/>
  <c r="E909" i="4"/>
  <c r="F908" i="4"/>
  <c r="E908" i="4"/>
  <c r="C908" i="4"/>
  <c r="E907" i="4"/>
  <c r="E906" i="4"/>
  <c r="E905" i="4"/>
  <c r="E904" i="4"/>
  <c r="E903" i="4"/>
  <c r="E902" i="4"/>
  <c r="E901" i="4"/>
  <c r="C901" i="4"/>
  <c r="E900" i="4"/>
  <c r="C900" i="4"/>
  <c r="E899" i="4"/>
  <c r="E898" i="4"/>
  <c r="E897" i="4"/>
  <c r="E896" i="4"/>
  <c r="E895" i="4"/>
  <c r="E894" i="4"/>
  <c r="E893" i="4"/>
  <c r="E892" i="4"/>
  <c r="T891" i="4"/>
  <c r="E891" i="4"/>
  <c r="D891" i="4"/>
  <c r="C891" i="4"/>
  <c r="Q891" i="4" s="1"/>
  <c r="AC891" i="4" s="1"/>
  <c r="E890" i="4"/>
  <c r="E889" i="4"/>
  <c r="E888" i="4"/>
  <c r="E887" i="4"/>
  <c r="C887" i="4"/>
  <c r="E886" i="4"/>
  <c r="E885" i="4"/>
  <c r="E884" i="4"/>
  <c r="E883" i="4"/>
  <c r="E882" i="4"/>
  <c r="E881" i="4"/>
  <c r="E880" i="4"/>
  <c r="E879" i="4"/>
  <c r="E878" i="4"/>
  <c r="C878" i="4"/>
  <c r="E877" i="4"/>
  <c r="E876" i="4"/>
  <c r="C876" i="4"/>
  <c r="T875" i="4"/>
  <c r="E875" i="4"/>
  <c r="C875" i="4"/>
  <c r="B875" i="4" s="1"/>
  <c r="E874" i="4"/>
  <c r="E873" i="4"/>
  <c r="C873" i="4"/>
  <c r="B873" i="4" s="1"/>
  <c r="E872" i="4"/>
  <c r="E871" i="4"/>
  <c r="E870" i="4"/>
  <c r="E869" i="4"/>
  <c r="C869" i="4"/>
  <c r="B869" i="4" s="1"/>
  <c r="E868" i="4"/>
  <c r="E867" i="4"/>
  <c r="C867" i="4"/>
  <c r="E866" i="4"/>
  <c r="E865" i="4"/>
  <c r="E864" i="4"/>
  <c r="E863" i="4"/>
  <c r="S863" i="4" s="1"/>
  <c r="C863" i="4"/>
  <c r="E862" i="4"/>
  <c r="E861" i="4"/>
  <c r="C861" i="4"/>
  <c r="B861" i="4" s="1"/>
  <c r="E860" i="4"/>
  <c r="E859" i="4"/>
  <c r="E858" i="4"/>
  <c r="E857" i="4"/>
  <c r="E856" i="4"/>
  <c r="E855" i="4"/>
  <c r="E854" i="4"/>
  <c r="E853" i="4"/>
  <c r="E852" i="4"/>
  <c r="E851" i="4"/>
  <c r="E850" i="4"/>
  <c r="E849" i="4"/>
  <c r="U849" i="4" s="1"/>
  <c r="C849" i="4"/>
  <c r="D849" i="4" s="1"/>
  <c r="E848" i="4"/>
  <c r="O847" i="4"/>
  <c r="L847" i="4"/>
  <c r="Y847" i="4" s="1"/>
  <c r="E847" i="4"/>
  <c r="C847" i="4"/>
  <c r="E846" i="4"/>
  <c r="C846" i="4"/>
  <c r="D846" i="4" s="1"/>
  <c r="B846" i="4"/>
  <c r="E845" i="4"/>
  <c r="E844" i="4"/>
  <c r="E843" i="4"/>
  <c r="E842" i="4"/>
  <c r="E841" i="4"/>
  <c r="D841" i="4"/>
  <c r="C841" i="4"/>
  <c r="S841" i="4" s="1"/>
  <c r="E840" i="4"/>
  <c r="E839" i="4"/>
  <c r="D839" i="4"/>
  <c r="C839" i="4"/>
  <c r="B839" i="4"/>
  <c r="E838" i="4"/>
  <c r="C838" i="4"/>
  <c r="B838" i="4" s="1"/>
  <c r="E837" i="4"/>
  <c r="E836" i="4"/>
  <c r="E835" i="4"/>
  <c r="C835" i="4"/>
  <c r="E834" i="4"/>
  <c r="F833" i="4"/>
  <c r="E833" i="4"/>
  <c r="Q833" i="4" s="1"/>
  <c r="AC833" i="4" s="1"/>
  <c r="D833" i="4"/>
  <c r="C833" i="4"/>
  <c r="E832" i="4"/>
  <c r="E831" i="4"/>
  <c r="E830" i="4"/>
  <c r="E829" i="4"/>
  <c r="E828" i="4"/>
  <c r="E827" i="4"/>
  <c r="C827" i="4"/>
  <c r="B827" i="4" s="1"/>
  <c r="E826" i="4"/>
  <c r="C826" i="4"/>
  <c r="E825" i="4"/>
  <c r="E824" i="4"/>
  <c r="E823" i="4"/>
  <c r="E822" i="4"/>
  <c r="E821" i="4"/>
  <c r="E820" i="4"/>
  <c r="C820" i="4"/>
  <c r="E819" i="4"/>
  <c r="E818" i="4"/>
  <c r="C818" i="4"/>
  <c r="B818" i="4"/>
  <c r="E817" i="4"/>
  <c r="C817" i="4"/>
  <c r="E816" i="4"/>
  <c r="E815" i="4"/>
  <c r="E814" i="4"/>
  <c r="U813" i="4"/>
  <c r="Q813" i="4"/>
  <c r="AC813" i="4" s="1"/>
  <c r="E813" i="4"/>
  <c r="D813" i="4"/>
  <c r="C813" i="4"/>
  <c r="B813" i="4" s="1"/>
  <c r="E812" i="4"/>
  <c r="E811" i="4"/>
  <c r="C811" i="4"/>
  <c r="D811" i="4" s="1"/>
  <c r="E810" i="4"/>
  <c r="E809" i="4"/>
  <c r="E808" i="4"/>
  <c r="C808" i="4"/>
  <c r="R807" i="4"/>
  <c r="AD807" i="4" s="1"/>
  <c r="E807" i="4"/>
  <c r="D807" i="4"/>
  <c r="C807" i="4"/>
  <c r="B807" i="4" s="1"/>
  <c r="E806" i="4"/>
  <c r="E805" i="4"/>
  <c r="C805" i="4"/>
  <c r="E804" i="4"/>
  <c r="C804" i="4"/>
  <c r="E803" i="4"/>
  <c r="S803" i="4" s="1"/>
  <c r="C803" i="4"/>
  <c r="E802" i="4"/>
  <c r="E801" i="4"/>
  <c r="E800" i="4"/>
  <c r="C800" i="4"/>
  <c r="E799" i="4"/>
  <c r="T798" i="4"/>
  <c r="S798" i="4"/>
  <c r="Q798" i="4"/>
  <c r="AC798" i="4" s="1"/>
  <c r="O798" i="4"/>
  <c r="P798" i="4" s="1"/>
  <c r="AB798" i="4" s="1"/>
  <c r="L798" i="4"/>
  <c r="Y798" i="4" s="1"/>
  <c r="K798" i="4"/>
  <c r="J798" i="4"/>
  <c r="Z798" i="4" s="1"/>
  <c r="E798" i="4"/>
  <c r="C798" i="4"/>
  <c r="E797" i="4"/>
  <c r="E796" i="4"/>
  <c r="D796" i="4"/>
  <c r="C796" i="4"/>
  <c r="E795" i="4"/>
  <c r="O794" i="4"/>
  <c r="N794" i="4"/>
  <c r="AA794" i="4" s="1"/>
  <c r="M794" i="4"/>
  <c r="W794" i="4" s="1"/>
  <c r="J794" i="4"/>
  <c r="Z794" i="4" s="1"/>
  <c r="E794" i="4"/>
  <c r="C794" i="4"/>
  <c r="B794" i="4"/>
  <c r="E793" i="4"/>
  <c r="E792" i="4"/>
  <c r="C792" i="4"/>
  <c r="J791" i="4"/>
  <c r="Z791" i="4" s="1"/>
  <c r="I791" i="4"/>
  <c r="G791" i="4"/>
  <c r="X791" i="4" s="1"/>
  <c r="E791" i="4"/>
  <c r="C791" i="4"/>
  <c r="T791" i="4" s="1"/>
  <c r="B791" i="4"/>
  <c r="G790" i="4"/>
  <c r="X790" i="4" s="1"/>
  <c r="E790" i="4"/>
  <c r="F790" i="4" s="1"/>
  <c r="C790" i="4"/>
  <c r="B790" i="4" s="1"/>
  <c r="F789" i="4"/>
  <c r="E789" i="4"/>
  <c r="C789" i="4"/>
  <c r="E788" i="4"/>
  <c r="E787" i="4"/>
  <c r="C787" i="4"/>
  <c r="U786" i="4"/>
  <c r="E786" i="4"/>
  <c r="C786" i="4"/>
  <c r="E785" i="4"/>
  <c r="D785" i="4"/>
  <c r="C785" i="4"/>
  <c r="L784" i="4"/>
  <c r="Y784" i="4" s="1"/>
  <c r="G784" i="4"/>
  <c r="X784" i="4" s="1"/>
  <c r="E784" i="4"/>
  <c r="C784" i="4"/>
  <c r="M784" i="4" s="1"/>
  <c r="W784" i="4" s="1"/>
  <c r="E783" i="4"/>
  <c r="C783" i="4"/>
  <c r="M782" i="4"/>
  <c r="W782" i="4" s="1"/>
  <c r="L782" i="4"/>
  <c r="Y782" i="4" s="1"/>
  <c r="E782" i="4"/>
  <c r="U782" i="4" s="1"/>
  <c r="D782" i="4"/>
  <c r="C782" i="4"/>
  <c r="B782" i="4"/>
  <c r="E781" i="4"/>
  <c r="C781" i="4"/>
  <c r="T781" i="4" s="1"/>
  <c r="B781" i="4"/>
  <c r="E780" i="4"/>
  <c r="M779" i="4"/>
  <c r="W779" i="4" s="1"/>
  <c r="L779" i="4"/>
  <c r="Y779" i="4" s="1"/>
  <c r="H779" i="4"/>
  <c r="G779" i="4"/>
  <c r="X779" i="4" s="1"/>
  <c r="E779" i="4"/>
  <c r="U779" i="4" s="1"/>
  <c r="D779" i="4"/>
  <c r="C779" i="4"/>
  <c r="R778" i="4"/>
  <c r="AD778" i="4" s="1"/>
  <c r="I778" i="4"/>
  <c r="F778" i="4"/>
  <c r="E778" i="4"/>
  <c r="S778" i="4" s="1"/>
  <c r="C778" i="4"/>
  <c r="U778" i="4" s="1"/>
  <c r="B778" i="4"/>
  <c r="T777" i="4"/>
  <c r="N777" i="4"/>
  <c r="AA777" i="4" s="1"/>
  <c r="L777" i="4"/>
  <c r="Y777" i="4" s="1"/>
  <c r="J777" i="4"/>
  <c r="Z777" i="4" s="1"/>
  <c r="I777" i="4"/>
  <c r="E777" i="4"/>
  <c r="C777" i="4"/>
  <c r="B777" i="4"/>
  <c r="E776" i="4"/>
  <c r="C776" i="4"/>
  <c r="S776" i="4" s="1"/>
  <c r="L775" i="4"/>
  <c r="Y775" i="4" s="1"/>
  <c r="I775" i="4"/>
  <c r="H775" i="4"/>
  <c r="E775" i="4"/>
  <c r="C775" i="4"/>
  <c r="T775" i="4" s="1"/>
  <c r="E774" i="4"/>
  <c r="C774" i="4"/>
  <c r="M773" i="4"/>
  <c r="W773" i="4" s="1"/>
  <c r="E773" i="4"/>
  <c r="C773" i="4"/>
  <c r="U773" i="4" s="1"/>
  <c r="E772" i="4"/>
  <c r="D772" i="4"/>
  <c r="C772" i="4"/>
  <c r="S771" i="4"/>
  <c r="M771" i="4"/>
  <c r="W771" i="4" s="1"/>
  <c r="E771" i="4"/>
  <c r="C771" i="4"/>
  <c r="U771" i="4" s="1"/>
  <c r="E770" i="4"/>
  <c r="E769" i="4"/>
  <c r="C769" i="4"/>
  <c r="E768" i="4"/>
  <c r="C768" i="4"/>
  <c r="B768" i="4"/>
  <c r="E767" i="4"/>
  <c r="C767" i="4"/>
  <c r="E766" i="4"/>
  <c r="C766" i="4"/>
  <c r="D766" i="4" s="1"/>
  <c r="F765" i="4"/>
  <c r="E765" i="4"/>
  <c r="C765" i="4"/>
  <c r="E764" i="4"/>
  <c r="E763" i="4"/>
  <c r="E762" i="4"/>
  <c r="C762" i="4"/>
  <c r="N761" i="4"/>
  <c r="AA761" i="4" s="1"/>
  <c r="M761" i="4"/>
  <c r="W761" i="4" s="1"/>
  <c r="K761" i="4"/>
  <c r="I761" i="4"/>
  <c r="E761" i="4"/>
  <c r="C761" i="4"/>
  <c r="B761" i="4"/>
  <c r="U760" i="4"/>
  <c r="R760" i="4"/>
  <c r="AD760" i="4" s="1"/>
  <c r="Q760" i="4"/>
  <c r="AC760" i="4" s="1"/>
  <c r="I760" i="4"/>
  <c r="E760" i="4"/>
  <c r="C760" i="4"/>
  <c r="D760" i="4" s="1"/>
  <c r="B760" i="4"/>
  <c r="E759" i="4"/>
  <c r="E758" i="4"/>
  <c r="E757" i="4"/>
  <c r="E756" i="4"/>
  <c r="C756" i="4"/>
  <c r="J755" i="4"/>
  <c r="Z755" i="4" s="1"/>
  <c r="I755" i="4"/>
  <c r="E755" i="4"/>
  <c r="C755" i="4"/>
  <c r="T755" i="4" s="1"/>
  <c r="E754" i="4"/>
  <c r="C754" i="4"/>
  <c r="E753" i="4"/>
  <c r="N752" i="4"/>
  <c r="AA752" i="4" s="1"/>
  <c r="M752" i="4"/>
  <c r="W752" i="4" s="1"/>
  <c r="L752" i="4"/>
  <c r="Y752" i="4" s="1"/>
  <c r="I752" i="4"/>
  <c r="E752" i="4"/>
  <c r="R752" i="4" s="1"/>
  <c r="AD752" i="4" s="1"/>
  <c r="D752" i="4"/>
  <c r="C752" i="4"/>
  <c r="S751" i="4"/>
  <c r="M751" i="4"/>
  <c r="W751" i="4" s="1"/>
  <c r="E751" i="4"/>
  <c r="D751" i="4"/>
  <c r="C751" i="4"/>
  <c r="B751" i="4" s="1"/>
  <c r="E750" i="4"/>
  <c r="E749" i="4"/>
  <c r="E748" i="4"/>
  <c r="D748" i="4"/>
  <c r="C748" i="4"/>
  <c r="O748" i="4" s="1"/>
  <c r="B748" i="4"/>
  <c r="E747" i="4"/>
  <c r="C747" i="4"/>
  <c r="B747" i="4" s="1"/>
  <c r="E746" i="4"/>
  <c r="S746" i="4" s="1"/>
  <c r="C746" i="4"/>
  <c r="E745" i="4"/>
  <c r="E744" i="4"/>
  <c r="E743" i="4"/>
  <c r="D743" i="4"/>
  <c r="C743" i="4"/>
  <c r="E742" i="4"/>
  <c r="E741" i="4"/>
  <c r="I740" i="4"/>
  <c r="H740" i="4"/>
  <c r="E740" i="4"/>
  <c r="C740" i="4"/>
  <c r="E739" i="4"/>
  <c r="C739" i="4"/>
  <c r="E738" i="4"/>
  <c r="E737" i="4"/>
  <c r="C737" i="4"/>
  <c r="N737" i="4" s="1"/>
  <c r="AA737" i="4" s="1"/>
  <c r="O736" i="4"/>
  <c r="P736" i="4" s="1"/>
  <c r="AB736" i="4" s="1"/>
  <c r="M736" i="4"/>
  <c r="W736" i="4" s="1"/>
  <c r="F736" i="4"/>
  <c r="E736" i="4"/>
  <c r="C736" i="4"/>
  <c r="B736" i="4"/>
  <c r="E735" i="4"/>
  <c r="E734" i="4"/>
  <c r="C734" i="4"/>
  <c r="B734" i="4" s="1"/>
  <c r="E733" i="4"/>
  <c r="C733" i="4"/>
  <c r="Q732" i="4"/>
  <c r="AC732" i="4" s="1"/>
  <c r="P732" i="4"/>
  <c r="AB732" i="4" s="1"/>
  <c r="O732" i="4"/>
  <c r="AJ732" i="4" s="1"/>
  <c r="N732" i="4"/>
  <c r="AA732" i="4" s="1"/>
  <c r="M732" i="4"/>
  <c r="W732" i="4" s="1"/>
  <c r="E732" i="4"/>
  <c r="D732" i="4"/>
  <c r="C732" i="4"/>
  <c r="U732" i="4" s="1"/>
  <c r="B732" i="4"/>
  <c r="E731" i="4"/>
  <c r="C731" i="4"/>
  <c r="B731" i="4" s="1"/>
  <c r="E730" i="4"/>
  <c r="C730" i="4"/>
  <c r="E729" i="4"/>
  <c r="C729" i="4"/>
  <c r="K728" i="4"/>
  <c r="J728" i="4"/>
  <c r="Z728" i="4" s="1"/>
  <c r="H728" i="4"/>
  <c r="F728" i="4"/>
  <c r="E728" i="4"/>
  <c r="C728" i="4"/>
  <c r="U728" i="4" s="1"/>
  <c r="M727" i="4"/>
  <c r="W727" i="4" s="1"/>
  <c r="E727" i="4"/>
  <c r="C727" i="4"/>
  <c r="O726" i="4"/>
  <c r="AJ726" i="4" s="1"/>
  <c r="N726" i="4"/>
  <c r="AA726" i="4" s="1"/>
  <c r="E726" i="4"/>
  <c r="C726" i="4"/>
  <c r="R725" i="4"/>
  <c r="AD725" i="4" s="1"/>
  <c r="E725" i="4"/>
  <c r="C725" i="4"/>
  <c r="D725" i="4" s="1"/>
  <c r="B725" i="4"/>
  <c r="T724" i="4"/>
  <c r="S724" i="4"/>
  <c r="E724" i="4"/>
  <c r="C724" i="4"/>
  <c r="R724" i="4" s="1"/>
  <c r="AD724" i="4" s="1"/>
  <c r="E723" i="4"/>
  <c r="C723" i="4"/>
  <c r="B723" i="4" s="1"/>
  <c r="U722" i="4"/>
  <c r="E722" i="4"/>
  <c r="C722" i="4"/>
  <c r="B722" i="4" s="1"/>
  <c r="U721" i="4"/>
  <c r="M721" i="4"/>
  <c r="W721" i="4" s="1"/>
  <c r="J721" i="4"/>
  <c r="Z721" i="4" s="1"/>
  <c r="I721" i="4"/>
  <c r="E721" i="4"/>
  <c r="C721" i="4"/>
  <c r="S721" i="4" s="1"/>
  <c r="B721" i="4"/>
  <c r="E720" i="4"/>
  <c r="D720" i="4"/>
  <c r="C720" i="4"/>
  <c r="B720" i="4"/>
  <c r="G719" i="4"/>
  <c r="X719" i="4" s="1"/>
  <c r="F719" i="4"/>
  <c r="E719" i="4"/>
  <c r="C719" i="4"/>
  <c r="U719" i="4" s="1"/>
  <c r="E718" i="4"/>
  <c r="C718" i="4"/>
  <c r="E717" i="4"/>
  <c r="D717" i="4"/>
  <c r="C717" i="4"/>
  <c r="T716" i="4"/>
  <c r="I716" i="4"/>
  <c r="H716" i="4"/>
  <c r="E716" i="4"/>
  <c r="C716" i="4"/>
  <c r="Q716" i="4" s="1"/>
  <c r="AC716" i="4" s="1"/>
  <c r="B716" i="4"/>
  <c r="Q715" i="4"/>
  <c r="AC715" i="4" s="1"/>
  <c r="I715" i="4"/>
  <c r="H715" i="4"/>
  <c r="E715" i="4"/>
  <c r="C715" i="4"/>
  <c r="U715" i="4" s="1"/>
  <c r="B715" i="4"/>
  <c r="E714" i="4"/>
  <c r="Q714" i="4" s="1"/>
  <c r="AC714" i="4" s="1"/>
  <c r="C714" i="4"/>
  <c r="N713" i="4"/>
  <c r="AA713" i="4" s="1"/>
  <c r="M713" i="4"/>
  <c r="W713" i="4" s="1"/>
  <c r="H713" i="4"/>
  <c r="F713" i="4"/>
  <c r="E713" i="4"/>
  <c r="C713" i="4"/>
  <c r="K712" i="4"/>
  <c r="E712" i="4"/>
  <c r="D712" i="4"/>
  <c r="C712" i="4"/>
  <c r="B712" i="4" s="1"/>
  <c r="E711" i="4"/>
  <c r="C711" i="4"/>
  <c r="D711" i="4" s="1"/>
  <c r="E710" i="4"/>
  <c r="C710" i="4"/>
  <c r="B710" i="4" s="1"/>
  <c r="U709" i="4"/>
  <c r="T709" i="4"/>
  <c r="R709" i="4"/>
  <c r="AD709" i="4" s="1"/>
  <c r="J709" i="4"/>
  <c r="Z709" i="4" s="1"/>
  <c r="I709" i="4"/>
  <c r="E709" i="4"/>
  <c r="C709" i="4"/>
  <c r="M709" i="4" s="1"/>
  <c r="W709" i="4" s="1"/>
  <c r="E708" i="4"/>
  <c r="C708" i="4"/>
  <c r="E707" i="4"/>
  <c r="C707" i="4"/>
  <c r="E706" i="4"/>
  <c r="C706" i="4"/>
  <c r="R705" i="4"/>
  <c r="AD705" i="4" s="1"/>
  <c r="M705" i="4"/>
  <c r="W705" i="4" s="1"/>
  <c r="H705" i="4"/>
  <c r="E705" i="4"/>
  <c r="C705" i="4"/>
  <c r="E704" i="4"/>
  <c r="C704" i="4"/>
  <c r="E703" i="4"/>
  <c r="C703" i="4"/>
  <c r="O702" i="4"/>
  <c r="AJ702" i="4" s="1"/>
  <c r="L702" i="4"/>
  <c r="Y702" i="4" s="1"/>
  <c r="E702" i="4"/>
  <c r="Q702" i="4" s="1"/>
  <c r="AC702" i="4" s="1"/>
  <c r="D702" i="4"/>
  <c r="C702" i="4"/>
  <c r="G702" i="4" s="1"/>
  <c r="X702" i="4" s="1"/>
  <c r="E701" i="4"/>
  <c r="C701" i="4"/>
  <c r="I700" i="4"/>
  <c r="H700" i="4"/>
  <c r="E700" i="4"/>
  <c r="C700" i="4"/>
  <c r="R700" i="4" s="1"/>
  <c r="AD700" i="4" s="1"/>
  <c r="B700" i="4"/>
  <c r="E699" i="4"/>
  <c r="C699" i="4"/>
  <c r="E698" i="4"/>
  <c r="C698" i="4"/>
  <c r="B698" i="4" s="1"/>
  <c r="E697" i="4"/>
  <c r="M697" i="4" s="1"/>
  <c r="W697" i="4" s="1"/>
  <c r="C697" i="4"/>
  <c r="D697" i="4" s="1"/>
  <c r="E696" i="4"/>
  <c r="C696" i="4"/>
  <c r="D696" i="4" s="1"/>
  <c r="B696" i="4"/>
  <c r="E695" i="4"/>
  <c r="C695" i="4"/>
  <c r="E694" i="4"/>
  <c r="C694" i="4"/>
  <c r="Q693" i="4"/>
  <c r="AC693" i="4" s="1"/>
  <c r="E693" i="4"/>
  <c r="C693" i="4"/>
  <c r="B693" i="4" s="1"/>
  <c r="U692" i="4"/>
  <c r="T692" i="4"/>
  <c r="E692" i="4"/>
  <c r="C692" i="4"/>
  <c r="B692" i="4" s="1"/>
  <c r="E691" i="4"/>
  <c r="M691" i="4" s="1"/>
  <c r="W691" i="4" s="1"/>
  <c r="C691" i="4"/>
  <c r="D691" i="4" s="1"/>
  <c r="T690" i="4"/>
  <c r="S690" i="4"/>
  <c r="R690" i="4"/>
  <c r="AD690" i="4" s="1"/>
  <c r="Q690" i="4"/>
  <c r="AC690" i="4" s="1"/>
  <c r="K690" i="4"/>
  <c r="I690" i="4"/>
  <c r="H690" i="4"/>
  <c r="E690" i="4"/>
  <c r="C690" i="4"/>
  <c r="B690" i="4" s="1"/>
  <c r="E689" i="4"/>
  <c r="C689" i="4"/>
  <c r="E688" i="4"/>
  <c r="C688" i="4"/>
  <c r="E687" i="4"/>
  <c r="C687" i="4"/>
  <c r="Q687" i="4" s="1"/>
  <c r="AC687" i="4" s="1"/>
  <c r="E686" i="4"/>
  <c r="C686" i="4"/>
  <c r="E685" i="4"/>
  <c r="C685" i="4"/>
  <c r="B685" i="4" s="1"/>
  <c r="E684" i="4"/>
  <c r="C684" i="4"/>
  <c r="B684" i="4" s="1"/>
  <c r="O683" i="4"/>
  <c r="AJ683" i="4" s="1"/>
  <c r="N683" i="4"/>
  <c r="AA683" i="4" s="1"/>
  <c r="E683" i="4"/>
  <c r="D683" i="4"/>
  <c r="C683" i="4"/>
  <c r="B683" i="4" s="1"/>
  <c r="O682" i="4"/>
  <c r="AJ682" i="4" s="1"/>
  <c r="I682" i="4"/>
  <c r="E682" i="4"/>
  <c r="C682" i="4"/>
  <c r="K682" i="4" s="1"/>
  <c r="U681" i="4"/>
  <c r="E681" i="4"/>
  <c r="C681" i="4"/>
  <c r="M681" i="4" s="1"/>
  <c r="W681" i="4" s="1"/>
  <c r="B681" i="4"/>
  <c r="E680" i="4"/>
  <c r="C680" i="4"/>
  <c r="H680" i="4" s="1"/>
  <c r="E679" i="4"/>
  <c r="C679" i="4"/>
  <c r="E678" i="4"/>
  <c r="D678" i="4"/>
  <c r="C678" i="4"/>
  <c r="E677" i="4"/>
  <c r="C677" i="4"/>
  <c r="E676" i="4"/>
  <c r="C676" i="4"/>
  <c r="B676" i="4" s="1"/>
  <c r="X675" i="4"/>
  <c r="U675" i="4"/>
  <c r="H675" i="4"/>
  <c r="G675" i="4"/>
  <c r="F675" i="4"/>
  <c r="E675" i="4"/>
  <c r="Q675" i="4" s="1"/>
  <c r="AC675" i="4" s="1"/>
  <c r="D675" i="4"/>
  <c r="C675" i="4"/>
  <c r="E674" i="4"/>
  <c r="C674" i="4"/>
  <c r="N673" i="4"/>
  <c r="AA673" i="4" s="1"/>
  <c r="L673" i="4"/>
  <c r="Y673" i="4" s="1"/>
  <c r="J673" i="4"/>
  <c r="Z673" i="4" s="1"/>
  <c r="E673" i="4"/>
  <c r="C673" i="4"/>
  <c r="I672" i="4"/>
  <c r="H672" i="4"/>
  <c r="E672" i="4"/>
  <c r="C672" i="4"/>
  <c r="R671" i="4"/>
  <c r="AD671" i="4" s="1"/>
  <c r="F671" i="4"/>
  <c r="E671" i="4"/>
  <c r="L671" i="4" s="1"/>
  <c r="Y671" i="4" s="1"/>
  <c r="C671" i="4"/>
  <c r="D671" i="4" s="1"/>
  <c r="B671" i="4"/>
  <c r="N670" i="4"/>
  <c r="AA670" i="4" s="1"/>
  <c r="E670" i="4"/>
  <c r="T670" i="4" s="1"/>
  <c r="C670" i="4"/>
  <c r="S669" i="4"/>
  <c r="J669" i="4"/>
  <c r="Z669" i="4" s="1"/>
  <c r="G669" i="4"/>
  <c r="X669" i="4" s="1"/>
  <c r="E669" i="4"/>
  <c r="C669" i="4"/>
  <c r="E668" i="4"/>
  <c r="C668" i="4"/>
  <c r="B668" i="4" s="1"/>
  <c r="M667" i="4"/>
  <c r="W667" i="4" s="1"/>
  <c r="I667" i="4"/>
  <c r="H667" i="4"/>
  <c r="E667" i="4"/>
  <c r="O667" i="4" s="1"/>
  <c r="D667" i="4"/>
  <c r="C667" i="4"/>
  <c r="B667" i="4"/>
  <c r="L666" i="4"/>
  <c r="Y666" i="4" s="1"/>
  <c r="H666" i="4"/>
  <c r="E666" i="4"/>
  <c r="C666" i="4"/>
  <c r="S666" i="4" s="1"/>
  <c r="B666" i="4"/>
  <c r="K665" i="4"/>
  <c r="E665" i="4"/>
  <c r="O665" i="4" s="1"/>
  <c r="C665" i="4"/>
  <c r="D665" i="4" s="1"/>
  <c r="B665" i="4"/>
  <c r="E664" i="4"/>
  <c r="D664" i="4"/>
  <c r="C664" i="4"/>
  <c r="H664" i="4" s="1"/>
  <c r="E663" i="4"/>
  <c r="C663" i="4"/>
  <c r="O662" i="4"/>
  <c r="N662" i="4"/>
  <c r="AA662" i="4" s="1"/>
  <c r="E662" i="4"/>
  <c r="C662" i="4"/>
  <c r="T662" i="4" s="1"/>
  <c r="Q661" i="4"/>
  <c r="AC661" i="4" s="1"/>
  <c r="O661" i="4"/>
  <c r="K661" i="4"/>
  <c r="I661" i="4"/>
  <c r="E661" i="4"/>
  <c r="M661" i="4" s="1"/>
  <c r="W661" i="4" s="1"/>
  <c r="C661" i="4"/>
  <c r="R661" i="4" s="1"/>
  <c r="AD661" i="4" s="1"/>
  <c r="B661" i="4"/>
  <c r="E660" i="4"/>
  <c r="C660" i="4"/>
  <c r="X659" i="4"/>
  <c r="T659" i="4"/>
  <c r="O659" i="4"/>
  <c r="P659" i="4" s="1"/>
  <c r="AB659" i="4" s="1"/>
  <c r="H659" i="4"/>
  <c r="G659" i="4"/>
  <c r="E659" i="4"/>
  <c r="C659" i="4"/>
  <c r="N659" i="4" s="1"/>
  <c r="AA659" i="4" s="1"/>
  <c r="R658" i="4"/>
  <c r="AD658" i="4" s="1"/>
  <c r="I658" i="4"/>
  <c r="H658" i="4"/>
  <c r="E658" i="4"/>
  <c r="C658" i="4"/>
  <c r="J658" i="4" s="1"/>
  <c r="Z658" i="4" s="1"/>
  <c r="E657" i="4"/>
  <c r="R657" i="4" s="1"/>
  <c r="AD657" i="4" s="1"/>
  <c r="C657" i="4"/>
  <c r="D657" i="4" s="1"/>
  <c r="B657" i="4"/>
  <c r="U656" i="4"/>
  <c r="S656" i="4"/>
  <c r="E656" i="4"/>
  <c r="C656" i="4"/>
  <c r="Q656" i="4" s="1"/>
  <c r="AC656" i="4" s="1"/>
  <c r="E655" i="4"/>
  <c r="C655" i="4"/>
  <c r="E654" i="4"/>
  <c r="C654" i="4"/>
  <c r="S653" i="4"/>
  <c r="R653" i="4"/>
  <c r="AD653" i="4" s="1"/>
  <c r="N653" i="4"/>
  <c r="AA653" i="4" s="1"/>
  <c r="L653" i="4"/>
  <c r="Y653" i="4" s="1"/>
  <c r="E653" i="4"/>
  <c r="O653" i="4" s="1"/>
  <c r="C653" i="4"/>
  <c r="B653" i="4"/>
  <c r="K652" i="4"/>
  <c r="E652" i="4"/>
  <c r="C652" i="4"/>
  <c r="L651" i="4"/>
  <c r="Y651" i="4" s="1"/>
  <c r="H651" i="4"/>
  <c r="E651" i="4"/>
  <c r="C651" i="4"/>
  <c r="F651" i="4" s="1"/>
  <c r="S650" i="4"/>
  <c r="E650" i="4"/>
  <c r="C650" i="4"/>
  <c r="Q650" i="4" s="1"/>
  <c r="AC650" i="4" s="1"/>
  <c r="B650" i="4"/>
  <c r="O649" i="4"/>
  <c r="H649" i="4"/>
  <c r="E649" i="4"/>
  <c r="K649" i="4" s="1"/>
  <c r="C649" i="4"/>
  <c r="E648" i="4"/>
  <c r="C648" i="4"/>
  <c r="D648" i="4" s="1"/>
  <c r="E647" i="4"/>
  <c r="C647" i="4"/>
  <c r="N646" i="4"/>
  <c r="AA646" i="4" s="1"/>
  <c r="M646" i="4"/>
  <c r="W646" i="4" s="1"/>
  <c r="H646" i="4"/>
  <c r="E646" i="4"/>
  <c r="K646" i="4" s="1"/>
  <c r="D646" i="4"/>
  <c r="C646" i="4"/>
  <c r="O645" i="4"/>
  <c r="K645" i="4"/>
  <c r="J645" i="4"/>
  <c r="Z645" i="4" s="1"/>
  <c r="E645" i="4"/>
  <c r="C645" i="4"/>
  <c r="L645" i="4" s="1"/>
  <c r="E644" i="4"/>
  <c r="D644" i="4"/>
  <c r="C644" i="4"/>
  <c r="B644" i="4" s="1"/>
  <c r="U643" i="4"/>
  <c r="T643" i="4"/>
  <c r="F643" i="4"/>
  <c r="E643" i="4"/>
  <c r="C643" i="4"/>
  <c r="S643" i="4" s="1"/>
  <c r="AI643" i="4" s="1"/>
  <c r="E642" i="4"/>
  <c r="C642" i="4"/>
  <c r="S641" i="4"/>
  <c r="E641" i="4"/>
  <c r="C641" i="4"/>
  <c r="T641" i="4" s="1"/>
  <c r="E640" i="4"/>
  <c r="C640" i="4"/>
  <c r="S639" i="4"/>
  <c r="M639" i="4"/>
  <c r="W639" i="4" s="1"/>
  <c r="E639" i="4"/>
  <c r="C639" i="4"/>
  <c r="T639" i="4" s="1"/>
  <c r="S638" i="4"/>
  <c r="K638" i="4"/>
  <c r="G638" i="4"/>
  <c r="X638" i="4" s="1"/>
  <c r="E638" i="4"/>
  <c r="D638" i="4"/>
  <c r="C638" i="4"/>
  <c r="B638" i="4" s="1"/>
  <c r="E637" i="4"/>
  <c r="C637" i="4"/>
  <c r="K636" i="4"/>
  <c r="E636" i="4"/>
  <c r="I636" i="4" s="1"/>
  <c r="C636" i="4"/>
  <c r="L636" i="4" s="1"/>
  <c r="Y636" i="4" s="1"/>
  <c r="E635" i="4"/>
  <c r="R635" i="4" s="1"/>
  <c r="AD635" i="4" s="1"/>
  <c r="D635" i="4"/>
  <c r="C635" i="4"/>
  <c r="B635" i="4"/>
  <c r="U634" i="4"/>
  <c r="S634" i="4"/>
  <c r="Q634" i="4"/>
  <c r="AC634" i="4" s="1"/>
  <c r="N634" i="4"/>
  <c r="AA634" i="4" s="1"/>
  <c r="H634" i="4"/>
  <c r="E634" i="4"/>
  <c r="C634" i="4"/>
  <c r="B634" i="4" s="1"/>
  <c r="E633" i="4"/>
  <c r="C633" i="4"/>
  <c r="E632" i="4"/>
  <c r="H632" i="4" s="1"/>
  <c r="C632" i="4"/>
  <c r="B632" i="4"/>
  <c r="K631" i="4"/>
  <c r="H631" i="4"/>
  <c r="E631" i="4"/>
  <c r="C631" i="4"/>
  <c r="S631" i="4" s="1"/>
  <c r="B631" i="4"/>
  <c r="AA630" i="4"/>
  <c r="X630" i="4"/>
  <c r="U630" i="4"/>
  <c r="S630" i="4"/>
  <c r="Q630" i="4"/>
  <c r="AC630" i="4" s="1"/>
  <c r="N630" i="4"/>
  <c r="G630" i="4"/>
  <c r="E630" i="4"/>
  <c r="M630" i="4" s="1"/>
  <c r="W630" i="4" s="1"/>
  <c r="D630" i="4"/>
  <c r="C630" i="4"/>
  <c r="AC629" i="4"/>
  <c r="R629" i="4"/>
  <c r="AD629" i="4" s="1"/>
  <c r="Q629" i="4"/>
  <c r="P629" i="4"/>
  <c r="AB629" i="4" s="1"/>
  <c r="O629" i="4"/>
  <c r="AJ629" i="4" s="1"/>
  <c r="N629" i="4"/>
  <c r="AA629" i="4" s="1"/>
  <c r="M629" i="4"/>
  <c r="W629" i="4" s="1"/>
  <c r="K629" i="4"/>
  <c r="G629" i="4"/>
  <c r="X629" i="4" s="1"/>
  <c r="E629" i="4"/>
  <c r="D629" i="4"/>
  <c r="C629" i="4"/>
  <c r="L629" i="4" s="1"/>
  <c r="Y629" i="4" s="1"/>
  <c r="U628" i="4"/>
  <c r="S628" i="4"/>
  <c r="R628" i="4"/>
  <c r="AD628" i="4" s="1"/>
  <c r="Q628" i="4"/>
  <c r="AC628" i="4" s="1"/>
  <c r="E628" i="4"/>
  <c r="D628" i="4"/>
  <c r="C628" i="4"/>
  <c r="N628" i="4" s="1"/>
  <c r="AA628" i="4" s="1"/>
  <c r="W627" i="4"/>
  <c r="T627" i="4"/>
  <c r="O627" i="4"/>
  <c r="P627" i="4" s="1"/>
  <c r="AB627" i="4" s="1"/>
  <c r="N627" i="4"/>
  <c r="AA627" i="4" s="1"/>
  <c r="M627" i="4"/>
  <c r="E627" i="4"/>
  <c r="J627" i="4" s="1"/>
  <c r="Z627" i="4" s="1"/>
  <c r="C627" i="4"/>
  <c r="D627" i="4" s="1"/>
  <c r="S626" i="4"/>
  <c r="I626" i="4"/>
  <c r="F626" i="4"/>
  <c r="E626" i="4"/>
  <c r="D626" i="4"/>
  <c r="C626" i="4"/>
  <c r="E625" i="4"/>
  <c r="C625" i="4"/>
  <c r="U624" i="4"/>
  <c r="E624" i="4"/>
  <c r="C624" i="4"/>
  <c r="M623" i="4"/>
  <c r="W623" i="4" s="1"/>
  <c r="E623" i="4"/>
  <c r="C623" i="4"/>
  <c r="E622" i="4"/>
  <c r="C622" i="4"/>
  <c r="U621" i="4"/>
  <c r="R621" i="4"/>
  <c r="AD621" i="4" s="1"/>
  <c r="N621" i="4"/>
  <c r="AA621" i="4" s="1"/>
  <c r="J621" i="4"/>
  <c r="Z621" i="4" s="1"/>
  <c r="E621" i="4"/>
  <c r="I621" i="4" s="1"/>
  <c r="C621" i="4"/>
  <c r="B621" i="4" s="1"/>
  <c r="F620" i="4"/>
  <c r="E620" i="4"/>
  <c r="C620" i="4"/>
  <c r="T620" i="4" s="1"/>
  <c r="B620" i="4"/>
  <c r="R619" i="4"/>
  <c r="AD619" i="4" s="1"/>
  <c r="O619" i="4"/>
  <c r="E619" i="4"/>
  <c r="D619" i="4"/>
  <c r="C619" i="4"/>
  <c r="J619" i="4" s="1"/>
  <c r="Z619" i="4" s="1"/>
  <c r="E618" i="4"/>
  <c r="C618" i="4"/>
  <c r="B618" i="4" s="1"/>
  <c r="E617" i="4"/>
  <c r="C617" i="4"/>
  <c r="B617" i="4" s="1"/>
  <c r="U616" i="4"/>
  <c r="O616" i="4"/>
  <c r="M616" i="4"/>
  <c r="W616" i="4" s="1"/>
  <c r="E616" i="4"/>
  <c r="D616" i="4"/>
  <c r="C616" i="4"/>
  <c r="S616" i="4" s="1"/>
  <c r="E615" i="4"/>
  <c r="C615" i="4"/>
  <c r="D615" i="4" s="1"/>
  <c r="B615" i="4"/>
  <c r="E614" i="4"/>
  <c r="C614" i="4"/>
  <c r="I613" i="4"/>
  <c r="E613" i="4"/>
  <c r="C613" i="4"/>
  <c r="H613" i="4" s="1"/>
  <c r="S612" i="4"/>
  <c r="E612" i="4"/>
  <c r="C612" i="4"/>
  <c r="E611" i="4"/>
  <c r="C611" i="4"/>
  <c r="N611" i="4" s="1"/>
  <c r="AA611" i="4" s="1"/>
  <c r="E610" i="4"/>
  <c r="C610" i="4"/>
  <c r="E609" i="4"/>
  <c r="C609" i="4"/>
  <c r="E608" i="4"/>
  <c r="C608" i="4"/>
  <c r="F607" i="4"/>
  <c r="E607" i="4"/>
  <c r="C607" i="4"/>
  <c r="G607" i="4" s="1"/>
  <c r="X607" i="4" s="1"/>
  <c r="B607" i="4"/>
  <c r="M606" i="4"/>
  <c r="W606" i="4" s="1"/>
  <c r="L606" i="4"/>
  <c r="Y606" i="4" s="1"/>
  <c r="H606" i="4"/>
  <c r="F606" i="4"/>
  <c r="E606" i="4"/>
  <c r="C606" i="4"/>
  <c r="D606" i="4" s="1"/>
  <c r="F605" i="4"/>
  <c r="E605" i="4"/>
  <c r="C605" i="4"/>
  <c r="M605" i="4" s="1"/>
  <c r="W605" i="4" s="1"/>
  <c r="B605" i="4"/>
  <c r="L604" i="4"/>
  <c r="Y604" i="4" s="1"/>
  <c r="E604" i="4"/>
  <c r="C604" i="4"/>
  <c r="K604" i="4" s="1"/>
  <c r="V604" i="4" s="1"/>
  <c r="E603" i="4"/>
  <c r="C603" i="4"/>
  <c r="B603" i="4"/>
  <c r="E602" i="4"/>
  <c r="C602" i="4"/>
  <c r="M602" i="4" s="1"/>
  <c r="W602" i="4" s="1"/>
  <c r="E601" i="4"/>
  <c r="C601" i="4"/>
  <c r="E600" i="4"/>
  <c r="C600" i="4"/>
  <c r="N600" i="4" s="1"/>
  <c r="AA600" i="4" s="1"/>
  <c r="E599" i="4"/>
  <c r="D599" i="4"/>
  <c r="C599" i="4"/>
  <c r="K598" i="4"/>
  <c r="I598" i="4"/>
  <c r="G598" i="4"/>
  <c r="X598" i="4" s="1"/>
  <c r="E598" i="4"/>
  <c r="C598" i="4"/>
  <c r="D598" i="4" s="1"/>
  <c r="J597" i="4"/>
  <c r="Z597" i="4" s="1"/>
  <c r="H597" i="4"/>
  <c r="E597" i="4"/>
  <c r="C597" i="4"/>
  <c r="Z596" i="4"/>
  <c r="K596" i="4"/>
  <c r="J596" i="4"/>
  <c r="I596" i="4"/>
  <c r="E596" i="4"/>
  <c r="C596" i="4"/>
  <c r="H596" i="4" s="1"/>
  <c r="M595" i="4"/>
  <c r="W595" i="4" s="1"/>
  <c r="L595" i="4"/>
  <c r="K595" i="4"/>
  <c r="J595" i="4"/>
  <c r="Z595" i="4" s="1"/>
  <c r="I595" i="4"/>
  <c r="H595" i="4"/>
  <c r="G595" i="4"/>
  <c r="X595" i="4" s="1"/>
  <c r="F595" i="4"/>
  <c r="E595" i="4"/>
  <c r="D595" i="4"/>
  <c r="C595" i="4"/>
  <c r="N595" i="4" s="1"/>
  <c r="AA595" i="4" s="1"/>
  <c r="B595" i="4"/>
  <c r="E594" i="4"/>
  <c r="C594" i="4"/>
  <c r="K593" i="4"/>
  <c r="H593" i="4"/>
  <c r="F593" i="4"/>
  <c r="E593" i="4"/>
  <c r="C593" i="4"/>
  <c r="J593" i="4" s="1"/>
  <c r="Z593" i="4" s="1"/>
  <c r="B593" i="4"/>
  <c r="H592" i="4"/>
  <c r="E592" i="4"/>
  <c r="C592" i="4"/>
  <c r="Z591" i="4"/>
  <c r="X591" i="4"/>
  <c r="N591" i="4"/>
  <c r="AA591" i="4" s="1"/>
  <c r="L591" i="4"/>
  <c r="Y591" i="4" s="1"/>
  <c r="K591" i="4"/>
  <c r="J591" i="4"/>
  <c r="E591" i="4"/>
  <c r="C591" i="4"/>
  <c r="G591" i="4" s="1"/>
  <c r="E590" i="4"/>
  <c r="C590" i="4"/>
  <c r="H590" i="4" s="1"/>
  <c r="V589" i="4"/>
  <c r="N589" i="4"/>
  <c r="AA589" i="4" s="1"/>
  <c r="L589" i="4"/>
  <c r="Y589" i="4" s="1"/>
  <c r="K589" i="4"/>
  <c r="J589" i="4"/>
  <c r="Z589" i="4" s="1"/>
  <c r="G589" i="4"/>
  <c r="X589" i="4" s="1"/>
  <c r="F589" i="4"/>
  <c r="E589" i="4"/>
  <c r="C589" i="4"/>
  <c r="M589" i="4" s="1"/>
  <c r="W589" i="4" s="1"/>
  <c r="B589" i="4"/>
  <c r="J588" i="4"/>
  <c r="Z588" i="4" s="1"/>
  <c r="G588" i="4"/>
  <c r="X588" i="4" s="1"/>
  <c r="E588" i="4"/>
  <c r="C588" i="4"/>
  <c r="N588" i="4" s="1"/>
  <c r="AA588" i="4" s="1"/>
  <c r="B588" i="4"/>
  <c r="E587" i="4"/>
  <c r="C587" i="4"/>
  <c r="W586" i="4"/>
  <c r="M586" i="4"/>
  <c r="K586" i="4"/>
  <c r="J586" i="4"/>
  <c r="Z586" i="4" s="1"/>
  <c r="I586" i="4"/>
  <c r="E586" i="4"/>
  <c r="D586" i="4"/>
  <c r="C586" i="4"/>
  <c r="F586" i="4" s="1"/>
  <c r="N585" i="4"/>
  <c r="AA585" i="4" s="1"/>
  <c r="E585" i="4"/>
  <c r="C585" i="4"/>
  <c r="K585" i="4" s="1"/>
  <c r="N584" i="4"/>
  <c r="AA584" i="4" s="1"/>
  <c r="E584" i="4"/>
  <c r="C584" i="4"/>
  <c r="E583" i="4"/>
  <c r="C583" i="4"/>
  <c r="I582" i="4"/>
  <c r="G582" i="4"/>
  <c r="X582" i="4" s="1"/>
  <c r="E582" i="4"/>
  <c r="C582" i="4"/>
  <c r="N581" i="4"/>
  <c r="AA581" i="4" s="1"/>
  <c r="G581" i="4"/>
  <c r="X581" i="4" s="1"/>
  <c r="E581" i="4"/>
  <c r="C581" i="4"/>
  <c r="E580" i="4"/>
  <c r="C580" i="4"/>
  <c r="M580" i="4" s="1"/>
  <c r="W580" i="4" s="1"/>
  <c r="N579" i="4"/>
  <c r="AA579" i="4" s="1"/>
  <c r="M579" i="4"/>
  <c r="W579" i="4" s="1"/>
  <c r="L579" i="4"/>
  <c r="Y579" i="4" s="1"/>
  <c r="I579" i="4"/>
  <c r="H579" i="4"/>
  <c r="E579" i="4"/>
  <c r="D579" i="4"/>
  <c r="C579" i="4"/>
  <c r="K579" i="4" s="1"/>
  <c r="V579" i="4" s="1"/>
  <c r="B579" i="4"/>
  <c r="I578" i="4"/>
  <c r="E578" i="4"/>
  <c r="C578" i="4"/>
  <c r="E577" i="4"/>
  <c r="C577" i="4"/>
  <c r="H576" i="4"/>
  <c r="G576" i="4"/>
  <c r="X576" i="4" s="1"/>
  <c r="E576" i="4"/>
  <c r="D576" i="4"/>
  <c r="C576" i="4"/>
  <c r="K575" i="4"/>
  <c r="E575" i="4"/>
  <c r="C575" i="4"/>
  <c r="B575" i="4"/>
  <c r="K574" i="4"/>
  <c r="E574" i="4"/>
  <c r="C574" i="4"/>
  <c r="E573" i="4"/>
  <c r="C573" i="4"/>
  <c r="G572" i="4"/>
  <c r="X572" i="4" s="1"/>
  <c r="E572" i="4"/>
  <c r="C572" i="4"/>
  <c r="B572" i="4" s="1"/>
  <c r="M571" i="4"/>
  <c r="W571" i="4" s="1"/>
  <c r="G571" i="4"/>
  <c r="X571" i="4" s="1"/>
  <c r="E571" i="4"/>
  <c r="C571" i="4"/>
  <c r="L571" i="4" s="1"/>
  <c r="Y571" i="4" s="1"/>
  <c r="K570" i="4"/>
  <c r="H570" i="4"/>
  <c r="G570" i="4"/>
  <c r="X570" i="4" s="1"/>
  <c r="E570" i="4"/>
  <c r="D570" i="4"/>
  <c r="C570" i="4"/>
  <c r="L569" i="4"/>
  <c r="Y569" i="4" s="1"/>
  <c r="K569" i="4"/>
  <c r="J569" i="4"/>
  <c r="Z569" i="4" s="1"/>
  <c r="G569" i="4"/>
  <c r="X569" i="4" s="1"/>
  <c r="E569" i="4"/>
  <c r="C569" i="4"/>
  <c r="D569" i="4" s="1"/>
  <c r="B569" i="4"/>
  <c r="E568" i="4"/>
  <c r="C568" i="4"/>
  <c r="J567" i="4"/>
  <c r="Z567" i="4" s="1"/>
  <c r="F567" i="4"/>
  <c r="E567" i="4"/>
  <c r="C567" i="4"/>
  <c r="G566" i="4"/>
  <c r="X566" i="4" s="1"/>
  <c r="E566" i="4"/>
  <c r="C566" i="4"/>
  <c r="M566" i="4" s="1"/>
  <c r="W566" i="4" s="1"/>
  <c r="J565" i="4"/>
  <c r="Z565" i="4" s="1"/>
  <c r="E565" i="4"/>
  <c r="C565" i="4"/>
  <c r="J564" i="4"/>
  <c r="Z564" i="4" s="1"/>
  <c r="F564" i="4"/>
  <c r="E564" i="4"/>
  <c r="C564" i="4"/>
  <c r="M564" i="4" s="1"/>
  <c r="W564" i="4" s="1"/>
  <c r="B564" i="4"/>
  <c r="M563" i="4"/>
  <c r="W563" i="4" s="1"/>
  <c r="I563" i="4"/>
  <c r="H563" i="4"/>
  <c r="G563" i="4"/>
  <c r="X563" i="4" s="1"/>
  <c r="F563" i="4"/>
  <c r="E563" i="4"/>
  <c r="D563" i="4"/>
  <c r="C563" i="4"/>
  <c r="L563" i="4" s="1"/>
  <c r="B563" i="4"/>
  <c r="H562" i="4"/>
  <c r="G562" i="4"/>
  <c r="X562" i="4" s="1"/>
  <c r="E562" i="4"/>
  <c r="C562" i="4"/>
  <c r="E561" i="4"/>
  <c r="C561" i="4"/>
  <c r="B561" i="4"/>
  <c r="I560" i="4"/>
  <c r="E560" i="4"/>
  <c r="C560" i="4"/>
  <c r="B560" i="4"/>
  <c r="L559" i="4"/>
  <c r="Y559" i="4" s="1"/>
  <c r="K559" i="4"/>
  <c r="V559" i="4" s="1"/>
  <c r="J559" i="4"/>
  <c r="Z559" i="4" s="1"/>
  <c r="I559" i="4"/>
  <c r="E559" i="4"/>
  <c r="D559" i="4"/>
  <c r="C559" i="4"/>
  <c r="N559" i="4" s="1"/>
  <c r="AA559" i="4" s="1"/>
  <c r="E558" i="4"/>
  <c r="C558" i="4"/>
  <c r="X557" i="4"/>
  <c r="M557" i="4"/>
  <c r="W557" i="4" s="1"/>
  <c r="L557" i="4"/>
  <c r="Y557" i="4" s="1"/>
  <c r="I557" i="4"/>
  <c r="H557" i="4"/>
  <c r="G557" i="4"/>
  <c r="E557" i="4"/>
  <c r="D557" i="4"/>
  <c r="C557" i="4"/>
  <c r="B557" i="4"/>
  <c r="N556" i="4"/>
  <c r="AA556" i="4" s="1"/>
  <c r="M556" i="4"/>
  <c r="W556" i="4" s="1"/>
  <c r="G556" i="4"/>
  <c r="X556" i="4" s="1"/>
  <c r="E556" i="4"/>
  <c r="C556" i="4"/>
  <c r="J556" i="4" s="1"/>
  <c r="Z556" i="4" s="1"/>
  <c r="B556" i="4"/>
  <c r="Z555" i="4"/>
  <c r="N555" i="4"/>
  <c r="AA555" i="4" s="1"/>
  <c r="M555" i="4"/>
  <c r="W555" i="4" s="1"/>
  <c r="L555" i="4"/>
  <c r="Y555" i="4" s="1"/>
  <c r="J555" i="4"/>
  <c r="H555" i="4"/>
  <c r="G555" i="4"/>
  <c r="X555" i="4" s="1"/>
  <c r="F555" i="4"/>
  <c r="E555" i="4"/>
  <c r="C555" i="4"/>
  <c r="D555" i="4" s="1"/>
  <c r="E554" i="4"/>
  <c r="C554" i="4"/>
  <c r="E553" i="4"/>
  <c r="C553" i="4"/>
  <c r="H552" i="4"/>
  <c r="E552" i="4"/>
  <c r="C552" i="4"/>
  <c r="L551" i="4"/>
  <c r="Y551" i="4" s="1"/>
  <c r="I551" i="4"/>
  <c r="F551" i="4"/>
  <c r="E551" i="4"/>
  <c r="C551" i="4"/>
  <c r="K551" i="4" s="1"/>
  <c r="B551" i="4"/>
  <c r="E550" i="4"/>
  <c r="C550" i="4"/>
  <c r="G550" i="4" s="1"/>
  <c r="X550" i="4" s="1"/>
  <c r="H549" i="4"/>
  <c r="E549" i="4"/>
  <c r="C549" i="4"/>
  <c r="B549" i="4" s="1"/>
  <c r="M548" i="4"/>
  <c r="W548" i="4" s="1"/>
  <c r="I548" i="4"/>
  <c r="F548" i="4"/>
  <c r="E548" i="4"/>
  <c r="D548" i="4"/>
  <c r="C548" i="4"/>
  <c r="J548" i="4" s="1"/>
  <c r="Z548" i="4" s="1"/>
  <c r="W547" i="4"/>
  <c r="N547" i="4"/>
  <c r="AA547" i="4" s="1"/>
  <c r="M547" i="4"/>
  <c r="G547" i="4"/>
  <c r="X547" i="4" s="1"/>
  <c r="E547" i="4"/>
  <c r="C547" i="4"/>
  <c r="K547" i="4" s="1"/>
  <c r="B547" i="4"/>
  <c r="E546" i="4"/>
  <c r="C546" i="4"/>
  <c r="N545" i="4"/>
  <c r="AA545" i="4" s="1"/>
  <c r="H545" i="4"/>
  <c r="E545" i="4"/>
  <c r="C545" i="4"/>
  <c r="L545" i="4" s="1"/>
  <c r="Y545" i="4" s="1"/>
  <c r="N544" i="4"/>
  <c r="AA544" i="4" s="1"/>
  <c r="M544" i="4"/>
  <c r="W544" i="4" s="1"/>
  <c r="K544" i="4"/>
  <c r="I544" i="4"/>
  <c r="H544" i="4"/>
  <c r="E544" i="4"/>
  <c r="C544" i="4"/>
  <c r="D544" i="4" s="1"/>
  <c r="B544" i="4"/>
  <c r="L543" i="4"/>
  <c r="Y543" i="4" s="1"/>
  <c r="E543" i="4"/>
  <c r="C543" i="4"/>
  <c r="H543" i="4" s="1"/>
  <c r="L542" i="4"/>
  <c r="Y542" i="4" s="1"/>
  <c r="K542" i="4"/>
  <c r="H542" i="4"/>
  <c r="G542" i="4"/>
  <c r="X542" i="4" s="1"/>
  <c r="F542" i="4"/>
  <c r="E542" i="4"/>
  <c r="C542" i="4"/>
  <c r="Z541" i="4"/>
  <c r="Y541" i="4"/>
  <c r="N541" i="4"/>
  <c r="AA541" i="4" s="1"/>
  <c r="M541" i="4"/>
  <c r="W541" i="4" s="1"/>
  <c r="L541" i="4"/>
  <c r="K541" i="4"/>
  <c r="J541" i="4"/>
  <c r="I541" i="4"/>
  <c r="H541" i="4"/>
  <c r="G541" i="4"/>
  <c r="X541" i="4" s="1"/>
  <c r="F541" i="4"/>
  <c r="E541" i="4"/>
  <c r="D541" i="4"/>
  <c r="C541" i="4"/>
  <c r="B541" i="4"/>
  <c r="E540" i="4"/>
  <c r="C540" i="4"/>
  <c r="B540" i="4" s="1"/>
  <c r="N539" i="4"/>
  <c r="AA539" i="4" s="1"/>
  <c r="M539" i="4"/>
  <c r="W539" i="4" s="1"/>
  <c r="G539" i="4"/>
  <c r="X539" i="4" s="1"/>
  <c r="E539" i="4"/>
  <c r="C539" i="4"/>
  <c r="J539" i="4" s="1"/>
  <c r="Z539" i="4" s="1"/>
  <c r="E538" i="4"/>
  <c r="C538" i="4"/>
  <c r="E537" i="4"/>
  <c r="D537" i="4"/>
  <c r="C537" i="4"/>
  <c r="B537" i="4"/>
  <c r="E536" i="4"/>
  <c r="C536" i="4"/>
  <c r="I535" i="4"/>
  <c r="E535" i="4"/>
  <c r="C535" i="4"/>
  <c r="H535" i="4" s="1"/>
  <c r="K534" i="4"/>
  <c r="I534" i="4"/>
  <c r="G534" i="4"/>
  <c r="X534" i="4" s="1"/>
  <c r="E534" i="4"/>
  <c r="D534" i="4"/>
  <c r="C534" i="4"/>
  <c r="I533" i="4"/>
  <c r="E533" i="4"/>
  <c r="C533" i="4"/>
  <c r="K532" i="4"/>
  <c r="J532" i="4"/>
  <c r="Z532" i="4" s="1"/>
  <c r="E532" i="4"/>
  <c r="C532" i="4"/>
  <c r="E531" i="4"/>
  <c r="C531" i="4"/>
  <c r="N531" i="4" s="1"/>
  <c r="AA531" i="4" s="1"/>
  <c r="E530" i="4"/>
  <c r="C530" i="4"/>
  <c r="M529" i="4"/>
  <c r="W529" i="4" s="1"/>
  <c r="E529" i="4"/>
  <c r="C529" i="4"/>
  <c r="E528" i="4"/>
  <c r="C528" i="4"/>
  <c r="I527" i="4"/>
  <c r="E527" i="4"/>
  <c r="C527" i="4"/>
  <c r="B527" i="4" s="1"/>
  <c r="M526" i="4"/>
  <c r="W526" i="4" s="1"/>
  <c r="K526" i="4"/>
  <c r="G526" i="4"/>
  <c r="X526" i="4" s="1"/>
  <c r="E526" i="4"/>
  <c r="C526" i="4"/>
  <c r="H526" i="4" s="1"/>
  <c r="X525" i="4"/>
  <c r="K525" i="4"/>
  <c r="I525" i="4"/>
  <c r="G525" i="4"/>
  <c r="F525" i="4"/>
  <c r="E525" i="4"/>
  <c r="C525" i="4"/>
  <c r="M525" i="4" s="1"/>
  <c r="W525" i="4" s="1"/>
  <c r="B525" i="4"/>
  <c r="E524" i="4"/>
  <c r="C524" i="4"/>
  <c r="B524" i="4" s="1"/>
  <c r="X523" i="4"/>
  <c r="L523" i="4"/>
  <c r="Y523" i="4" s="1"/>
  <c r="J523" i="4"/>
  <c r="Z523" i="4" s="1"/>
  <c r="H523" i="4"/>
  <c r="G523" i="4"/>
  <c r="F523" i="4"/>
  <c r="E523" i="4"/>
  <c r="D523" i="4"/>
  <c r="C523" i="4"/>
  <c r="N523" i="4" s="1"/>
  <c r="AA523" i="4" s="1"/>
  <c r="K522" i="4"/>
  <c r="J522" i="4"/>
  <c r="Z522" i="4" s="1"/>
  <c r="I522" i="4"/>
  <c r="H522" i="4"/>
  <c r="G522" i="4"/>
  <c r="X522" i="4" s="1"/>
  <c r="E522" i="4"/>
  <c r="C522" i="4"/>
  <c r="B522" i="4" s="1"/>
  <c r="Z521" i="4"/>
  <c r="L521" i="4"/>
  <c r="Y521" i="4" s="1"/>
  <c r="K521" i="4"/>
  <c r="V521" i="4" s="1"/>
  <c r="J521" i="4"/>
  <c r="E521" i="4"/>
  <c r="C521" i="4"/>
  <c r="M521" i="4" s="1"/>
  <c r="W521" i="4" s="1"/>
  <c r="B521" i="4"/>
  <c r="N520" i="4"/>
  <c r="AA520" i="4" s="1"/>
  <c r="J520" i="4"/>
  <c r="Z520" i="4" s="1"/>
  <c r="F520" i="4"/>
  <c r="E520" i="4"/>
  <c r="C520" i="4"/>
  <c r="K519" i="4"/>
  <c r="J519" i="4"/>
  <c r="Z519" i="4" s="1"/>
  <c r="I519" i="4"/>
  <c r="H519" i="4"/>
  <c r="F519" i="4"/>
  <c r="E519" i="4"/>
  <c r="D519" i="4"/>
  <c r="C519" i="4"/>
  <c r="B519" i="4" s="1"/>
  <c r="E518" i="4"/>
  <c r="C518" i="4"/>
  <c r="E517" i="4"/>
  <c r="C517" i="4"/>
  <c r="B517" i="4" s="1"/>
  <c r="I516" i="4"/>
  <c r="E516" i="4"/>
  <c r="C516" i="4"/>
  <c r="B516" i="4" s="1"/>
  <c r="Y515" i="4"/>
  <c r="N515" i="4"/>
  <c r="AA515" i="4" s="1"/>
  <c r="L515" i="4"/>
  <c r="K515" i="4"/>
  <c r="J515" i="4"/>
  <c r="Z515" i="4" s="1"/>
  <c r="I515" i="4"/>
  <c r="H515" i="4"/>
  <c r="G515" i="4"/>
  <c r="X515" i="4" s="1"/>
  <c r="E515" i="4"/>
  <c r="D515" i="4"/>
  <c r="C515" i="4"/>
  <c r="F515" i="4" s="1"/>
  <c r="B515" i="4"/>
  <c r="I514" i="4"/>
  <c r="H514" i="4"/>
  <c r="G514" i="4"/>
  <c r="X514" i="4" s="1"/>
  <c r="E514" i="4"/>
  <c r="C514" i="4"/>
  <c r="E513" i="4"/>
  <c r="C513" i="4"/>
  <c r="K512" i="4"/>
  <c r="E512" i="4"/>
  <c r="C512" i="4"/>
  <c r="N511" i="4"/>
  <c r="AA511" i="4" s="1"/>
  <c r="I511" i="4"/>
  <c r="E511" i="4"/>
  <c r="D511" i="4"/>
  <c r="C511" i="4"/>
  <c r="J511" i="4" s="1"/>
  <c r="Z511" i="4" s="1"/>
  <c r="E510" i="4"/>
  <c r="C510" i="4"/>
  <c r="M510" i="4" s="1"/>
  <c r="W510" i="4" s="1"/>
  <c r="M509" i="4"/>
  <c r="W509" i="4" s="1"/>
  <c r="J509" i="4"/>
  <c r="Z509" i="4" s="1"/>
  <c r="E509" i="4"/>
  <c r="C509" i="4"/>
  <c r="E508" i="4"/>
  <c r="C508" i="4"/>
  <c r="E507" i="4"/>
  <c r="C507" i="4"/>
  <c r="J506" i="4"/>
  <c r="Z506" i="4" s="1"/>
  <c r="H506" i="4"/>
  <c r="E506" i="4"/>
  <c r="D506" i="4"/>
  <c r="C506" i="4"/>
  <c r="B506" i="4" s="1"/>
  <c r="M505" i="4"/>
  <c r="W505" i="4" s="1"/>
  <c r="L505" i="4"/>
  <c r="Y505" i="4" s="1"/>
  <c r="K505" i="4"/>
  <c r="J505" i="4"/>
  <c r="Z505" i="4" s="1"/>
  <c r="F505" i="4"/>
  <c r="E505" i="4"/>
  <c r="C505" i="4"/>
  <c r="B505" i="4" s="1"/>
  <c r="E504" i="4"/>
  <c r="C504" i="4"/>
  <c r="J503" i="4"/>
  <c r="Z503" i="4" s="1"/>
  <c r="E503" i="4"/>
  <c r="C503" i="4"/>
  <c r="N502" i="4"/>
  <c r="AA502" i="4" s="1"/>
  <c r="E502" i="4"/>
  <c r="C502" i="4"/>
  <c r="E501" i="4"/>
  <c r="C501" i="4"/>
  <c r="L500" i="4"/>
  <c r="Y500" i="4" s="1"/>
  <c r="K500" i="4"/>
  <c r="V500" i="4" s="1"/>
  <c r="J500" i="4"/>
  <c r="Z500" i="4" s="1"/>
  <c r="I500" i="4"/>
  <c r="F500" i="4"/>
  <c r="E500" i="4"/>
  <c r="C500" i="4"/>
  <c r="B500" i="4" s="1"/>
  <c r="Y499" i="4"/>
  <c r="N499" i="4"/>
  <c r="AA499" i="4" s="1"/>
  <c r="L499" i="4"/>
  <c r="K499" i="4"/>
  <c r="V499" i="4" s="1"/>
  <c r="G499" i="4"/>
  <c r="X499" i="4" s="1"/>
  <c r="F499" i="4"/>
  <c r="E499" i="4"/>
  <c r="D499" i="4"/>
  <c r="C499" i="4"/>
  <c r="B499" i="4" s="1"/>
  <c r="I498" i="4"/>
  <c r="G498" i="4"/>
  <c r="X498" i="4" s="1"/>
  <c r="E498" i="4"/>
  <c r="C498" i="4"/>
  <c r="J498" i="4" s="1"/>
  <c r="Z498" i="4" s="1"/>
  <c r="B498" i="4"/>
  <c r="E497" i="4"/>
  <c r="C497" i="4"/>
  <c r="B497" i="4" s="1"/>
  <c r="N496" i="4"/>
  <c r="AA496" i="4" s="1"/>
  <c r="M496" i="4"/>
  <c r="W496" i="4" s="1"/>
  <c r="K496" i="4"/>
  <c r="I496" i="4"/>
  <c r="H496" i="4"/>
  <c r="G496" i="4"/>
  <c r="X496" i="4" s="1"/>
  <c r="E496" i="4"/>
  <c r="D496" i="4"/>
  <c r="C496" i="4"/>
  <c r="F496" i="4" s="1"/>
  <c r="B496" i="4"/>
  <c r="E495" i="4"/>
  <c r="C495" i="4"/>
  <c r="E494" i="4"/>
  <c r="C494" i="4"/>
  <c r="J494" i="4" s="1"/>
  <c r="Z494" i="4" s="1"/>
  <c r="N493" i="4"/>
  <c r="AA493" i="4" s="1"/>
  <c r="K493" i="4"/>
  <c r="H493" i="4"/>
  <c r="E493" i="4"/>
  <c r="D493" i="4"/>
  <c r="C493" i="4"/>
  <c r="L493" i="4" s="1"/>
  <c r="B493" i="4"/>
  <c r="G492" i="4"/>
  <c r="X492" i="4" s="1"/>
  <c r="E492" i="4"/>
  <c r="C492" i="4"/>
  <c r="D492" i="4" s="1"/>
  <c r="B492" i="4"/>
  <c r="M491" i="4"/>
  <c r="W491" i="4" s="1"/>
  <c r="L491" i="4"/>
  <c r="Y491" i="4" s="1"/>
  <c r="J491" i="4"/>
  <c r="Z491" i="4" s="1"/>
  <c r="H491" i="4"/>
  <c r="G491" i="4"/>
  <c r="X491" i="4" s="1"/>
  <c r="E491" i="4"/>
  <c r="C491" i="4"/>
  <c r="N491" i="4" s="1"/>
  <c r="AA491" i="4" s="1"/>
  <c r="E490" i="4"/>
  <c r="C490" i="4"/>
  <c r="I490" i="4" s="1"/>
  <c r="E489" i="4"/>
  <c r="C489" i="4"/>
  <c r="N488" i="4"/>
  <c r="AA488" i="4" s="1"/>
  <c r="G488" i="4"/>
  <c r="X488" i="4" s="1"/>
  <c r="E488" i="4"/>
  <c r="C488" i="4"/>
  <c r="I488" i="4" s="1"/>
  <c r="E487" i="4"/>
  <c r="C487" i="4"/>
  <c r="F487" i="4" s="1"/>
  <c r="B487" i="4"/>
  <c r="N486" i="4"/>
  <c r="AA486" i="4" s="1"/>
  <c r="E486" i="4"/>
  <c r="C486" i="4"/>
  <c r="L485" i="4"/>
  <c r="Y485" i="4" s="1"/>
  <c r="E485" i="4"/>
  <c r="C485" i="4"/>
  <c r="B485" i="4" s="1"/>
  <c r="E484" i="4"/>
  <c r="C484" i="4"/>
  <c r="K483" i="4"/>
  <c r="I483" i="4"/>
  <c r="G483" i="4"/>
  <c r="X483" i="4" s="1"/>
  <c r="F483" i="4"/>
  <c r="E483" i="4"/>
  <c r="C483" i="4"/>
  <c r="M483" i="4" s="1"/>
  <c r="W483" i="4" s="1"/>
  <c r="B483" i="4"/>
  <c r="N482" i="4"/>
  <c r="AA482" i="4" s="1"/>
  <c r="L482" i="4"/>
  <c r="Y482" i="4" s="1"/>
  <c r="H482" i="4"/>
  <c r="E482" i="4"/>
  <c r="C482" i="4"/>
  <c r="E481" i="4"/>
  <c r="C481" i="4"/>
  <c r="N480" i="4"/>
  <c r="AA480" i="4" s="1"/>
  <c r="I480" i="4"/>
  <c r="G480" i="4"/>
  <c r="X480" i="4" s="1"/>
  <c r="E480" i="4"/>
  <c r="D480" i="4"/>
  <c r="C480" i="4"/>
  <c r="K480" i="4" s="1"/>
  <c r="G479" i="4"/>
  <c r="X479" i="4" s="1"/>
  <c r="E479" i="4"/>
  <c r="D479" i="4"/>
  <c r="C479" i="4"/>
  <c r="E478" i="4"/>
  <c r="C478" i="4"/>
  <c r="N477" i="4"/>
  <c r="AA477" i="4" s="1"/>
  <c r="J477" i="4"/>
  <c r="Z477" i="4" s="1"/>
  <c r="F477" i="4"/>
  <c r="E477" i="4"/>
  <c r="C477" i="4"/>
  <c r="D477" i="4" s="1"/>
  <c r="E476" i="4"/>
  <c r="C476" i="4"/>
  <c r="N475" i="4"/>
  <c r="AA475" i="4" s="1"/>
  <c r="J475" i="4"/>
  <c r="Z475" i="4" s="1"/>
  <c r="F475" i="4"/>
  <c r="E475" i="4"/>
  <c r="D475" i="4"/>
  <c r="C475" i="4"/>
  <c r="N474" i="4"/>
  <c r="AA474" i="4" s="1"/>
  <c r="L474" i="4"/>
  <c r="I474" i="4"/>
  <c r="E474" i="4"/>
  <c r="D474" i="4"/>
  <c r="C474" i="4"/>
  <c r="B474" i="4"/>
  <c r="J473" i="4"/>
  <c r="Z473" i="4" s="1"/>
  <c r="E473" i="4"/>
  <c r="C473" i="4"/>
  <c r="B473" i="4" s="1"/>
  <c r="N472" i="4"/>
  <c r="AA472" i="4" s="1"/>
  <c r="L472" i="4"/>
  <c r="Y472" i="4" s="1"/>
  <c r="E472" i="4"/>
  <c r="D472" i="4"/>
  <c r="C472" i="4"/>
  <c r="K472" i="4" s="1"/>
  <c r="B472" i="4"/>
  <c r="E471" i="4"/>
  <c r="C471" i="4"/>
  <c r="B471" i="4" s="1"/>
  <c r="E470" i="4"/>
  <c r="D470" i="4"/>
  <c r="C470" i="4"/>
  <c r="N470" i="4" s="1"/>
  <c r="AA470" i="4" s="1"/>
  <c r="K469" i="4"/>
  <c r="I469" i="4"/>
  <c r="H469" i="4"/>
  <c r="E469" i="4"/>
  <c r="C469" i="4"/>
  <c r="M468" i="4"/>
  <c r="W468" i="4" s="1"/>
  <c r="L468" i="4"/>
  <c r="Y468" i="4" s="1"/>
  <c r="K468" i="4"/>
  <c r="V468" i="4" s="1"/>
  <c r="G468" i="4"/>
  <c r="X468" i="4" s="1"/>
  <c r="F468" i="4"/>
  <c r="E468" i="4"/>
  <c r="C468" i="4"/>
  <c r="N468" i="4" s="1"/>
  <c r="AA468" i="4" s="1"/>
  <c r="E467" i="4"/>
  <c r="C467" i="4"/>
  <c r="M466" i="4"/>
  <c r="W466" i="4" s="1"/>
  <c r="L466" i="4"/>
  <c r="Y466" i="4" s="1"/>
  <c r="J466" i="4"/>
  <c r="Z466" i="4" s="1"/>
  <c r="F466" i="4"/>
  <c r="E466" i="4"/>
  <c r="D466" i="4"/>
  <c r="C466" i="4"/>
  <c r="K466" i="4" s="1"/>
  <c r="B466" i="4"/>
  <c r="M465" i="4"/>
  <c r="W465" i="4" s="1"/>
  <c r="I465" i="4"/>
  <c r="G465" i="4"/>
  <c r="X465" i="4" s="1"/>
  <c r="E465" i="4"/>
  <c r="C465" i="4"/>
  <c r="K464" i="4"/>
  <c r="J464" i="4"/>
  <c r="Z464" i="4" s="1"/>
  <c r="H464" i="4"/>
  <c r="G464" i="4"/>
  <c r="X464" i="4" s="1"/>
  <c r="F464" i="4"/>
  <c r="E464" i="4"/>
  <c r="C464" i="4"/>
  <c r="D464" i="4" s="1"/>
  <c r="B464" i="4"/>
  <c r="M463" i="4"/>
  <c r="W463" i="4" s="1"/>
  <c r="K463" i="4"/>
  <c r="G463" i="4"/>
  <c r="X463" i="4" s="1"/>
  <c r="E463" i="4"/>
  <c r="C463" i="4"/>
  <c r="J463" i="4" s="1"/>
  <c r="Z463" i="4" s="1"/>
  <c r="L462" i="4"/>
  <c r="Y462" i="4" s="1"/>
  <c r="E462" i="4"/>
  <c r="C462" i="4"/>
  <c r="K462" i="4" s="1"/>
  <c r="B462" i="4"/>
  <c r="M461" i="4"/>
  <c r="W461" i="4" s="1"/>
  <c r="E461" i="4"/>
  <c r="C461" i="4"/>
  <c r="K461" i="4" s="1"/>
  <c r="E460" i="4"/>
  <c r="C460" i="4"/>
  <c r="B460" i="4" s="1"/>
  <c r="E459" i="4"/>
  <c r="C459" i="4"/>
  <c r="X458" i="4"/>
  <c r="N458" i="4"/>
  <c r="AA458" i="4" s="1"/>
  <c r="M458" i="4"/>
  <c r="W458" i="4" s="1"/>
  <c r="I458" i="4"/>
  <c r="H458" i="4"/>
  <c r="G458" i="4"/>
  <c r="E458" i="4"/>
  <c r="D458" i="4"/>
  <c r="C458" i="4"/>
  <c r="K458" i="4" s="1"/>
  <c r="AA457" i="4"/>
  <c r="N457" i="4"/>
  <c r="M457" i="4"/>
  <c r="W457" i="4" s="1"/>
  <c r="I457" i="4"/>
  <c r="H457" i="4"/>
  <c r="G457" i="4"/>
  <c r="X457" i="4" s="1"/>
  <c r="E457" i="4"/>
  <c r="D457" i="4"/>
  <c r="C457" i="4"/>
  <c r="L456" i="4"/>
  <c r="Y456" i="4" s="1"/>
  <c r="K456" i="4"/>
  <c r="J456" i="4"/>
  <c r="Z456" i="4" s="1"/>
  <c r="H456" i="4"/>
  <c r="E456" i="4"/>
  <c r="D456" i="4"/>
  <c r="C456" i="4"/>
  <c r="N456" i="4" s="1"/>
  <c r="AA456" i="4" s="1"/>
  <c r="B456" i="4"/>
  <c r="N455" i="4"/>
  <c r="AA455" i="4" s="1"/>
  <c r="E455" i="4"/>
  <c r="D455" i="4"/>
  <c r="C455" i="4"/>
  <c r="B455" i="4" s="1"/>
  <c r="N454" i="4"/>
  <c r="AA454" i="4" s="1"/>
  <c r="F454" i="4"/>
  <c r="E454" i="4"/>
  <c r="C454" i="4"/>
  <c r="B454" i="4"/>
  <c r="J453" i="4"/>
  <c r="Z453" i="4" s="1"/>
  <c r="E453" i="4"/>
  <c r="C453" i="4"/>
  <c r="Y452" i="4"/>
  <c r="N452" i="4"/>
  <c r="AA452" i="4" s="1"/>
  <c r="L452" i="4"/>
  <c r="K452" i="4"/>
  <c r="J452" i="4"/>
  <c r="Z452" i="4" s="1"/>
  <c r="H452" i="4"/>
  <c r="G452" i="4"/>
  <c r="X452" i="4" s="1"/>
  <c r="F452" i="4"/>
  <c r="E452" i="4"/>
  <c r="D452" i="4"/>
  <c r="C452" i="4"/>
  <c r="M452" i="4" s="1"/>
  <c r="W452" i="4" s="1"/>
  <c r="K451" i="4"/>
  <c r="E451" i="4"/>
  <c r="C451" i="4"/>
  <c r="N450" i="4"/>
  <c r="AA450" i="4" s="1"/>
  <c r="E450" i="4"/>
  <c r="C450" i="4"/>
  <c r="B450" i="4" s="1"/>
  <c r="E449" i="4"/>
  <c r="C449" i="4"/>
  <c r="F448" i="4"/>
  <c r="E448" i="4"/>
  <c r="C448" i="4"/>
  <c r="K447" i="4"/>
  <c r="E447" i="4"/>
  <c r="C447" i="4"/>
  <c r="E446" i="4"/>
  <c r="C446" i="4"/>
  <c r="N445" i="4"/>
  <c r="AA445" i="4" s="1"/>
  <c r="M445" i="4"/>
  <c r="W445" i="4" s="1"/>
  <c r="L445" i="4"/>
  <c r="Y445" i="4" s="1"/>
  <c r="K445" i="4"/>
  <c r="I445" i="4"/>
  <c r="E445" i="4"/>
  <c r="C445" i="4"/>
  <c r="D445" i="4" s="1"/>
  <c r="B445" i="4"/>
  <c r="U444" i="4"/>
  <c r="N444" i="4"/>
  <c r="AA444" i="4" s="1"/>
  <c r="E444" i="4"/>
  <c r="C444" i="4"/>
  <c r="B444" i="4" s="1"/>
  <c r="K443" i="4"/>
  <c r="G443" i="4"/>
  <c r="X443" i="4" s="1"/>
  <c r="F443" i="4"/>
  <c r="E443" i="4"/>
  <c r="C443" i="4"/>
  <c r="B443" i="4"/>
  <c r="E442" i="4"/>
  <c r="C442" i="4"/>
  <c r="N441" i="4"/>
  <c r="AA441" i="4" s="1"/>
  <c r="L441" i="4"/>
  <c r="Y441" i="4" s="1"/>
  <c r="K441" i="4"/>
  <c r="J441" i="4"/>
  <c r="Z441" i="4" s="1"/>
  <c r="H441" i="4"/>
  <c r="G441" i="4"/>
  <c r="X441" i="4" s="1"/>
  <c r="F441" i="4"/>
  <c r="E441" i="4"/>
  <c r="C441" i="4"/>
  <c r="N440" i="4"/>
  <c r="AA440" i="4" s="1"/>
  <c r="M440" i="4"/>
  <c r="W440" i="4" s="1"/>
  <c r="K440" i="4"/>
  <c r="E440" i="4"/>
  <c r="C440" i="4"/>
  <c r="N439" i="4"/>
  <c r="AA439" i="4" s="1"/>
  <c r="M439" i="4"/>
  <c r="W439" i="4" s="1"/>
  <c r="H439" i="4"/>
  <c r="G439" i="4"/>
  <c r="X439" i="4" s="1"/>
  <c r="F439" i="4"/>
  <c r="E439" i="4"/>
  <c r="C439" i="4"/>
  <c r="D439" i="4" s="1"/>
  <c r="B439" i="4"/>
  <c r="K438" i="4"/>
  <c r="I438" i="4"/>
  <c r="H438" i="4"/>
  <c r="G438" i="4"/>
  <c r="X438" i="4" s="1"/>
  <c r="E438" i="4"/>
  <c r="D438" i="4"/>
  <c r="C438" i="4"/>
  <c r="J438" i="4" s="1"/>
  <c r="Z438" i="4" s="1"/>
  <c r="B438" i="4"/>
  <c r="AA437" i="4"/>
  <c r="N437" i="4"/>
  <c r="M437" i="4"/>
  <c r="W437" i="4" s="1"/>
  <c r="K437" i="4"/>
  <c r="H437" i="4"/>
  <c r="F437" i="4"/>
  <c r="E437" i="4"/>
  <c r="D437" i="4"/>
  <c r="C437" i="4"/>
  <c r="G437" i="4" s="1"/>
  <c r="X437" i="4" s="1"/>
  <c r="N436" i="4"/>
  <c r="AA436" i="4" s="1"/>
  <c r="E436" i="4"/>
  <c r="C436" i="4"/>
  <c r="G436" i="4" s="1"/>
  <c r="X436" i="4" s="1"/>
  <c r="R435" i="4"/>
  <c r="AD435" i="4" s="1"/>
  <c r="G435" i="4"/>
  <c r="X435" i="4" s="1"/>
  <c r="E435" i="4"/>
  <c r="C435" i="4"/>
  <c r="L435" i="4" s="1"/>
  <c r="Y435" i="4" s="1"/>
  <c r="J434" i="4"/>
  <c r="Z434" i="4" s="1"/>
  <c r="E434" i="4"/>
  <c r="C434" i="4"/>
  <c r="N434" i="4" s="1"/>
  <c r="AA434" i="4" s="1"/>
  <c r="E433" i="4"/>
  <c r="C433" i="4"/>
  <c r="E432" i="4"/>
  <c r="C432" i="4"/>
  <c r="E431" i="4"/>
  <c r="C431" i="4"/>
  <c r="I431" i="4" s="1"/>
  <c r="N430" i="4"/>
  <c r="AA430" i="4" s="1"/>
  <c r="M430" i="4"/>
  <c r="W430" i="4" s="1"/>
  <c r="L430" i="4"/>
  <c r="Y430" i="4" s="1"/>
  <c r="K430" i="4"/>
  <c r="I430" i="4"/>
  <c r="H430" i="4"/>
  <c r="F430" i="4"/>
  <c r="E430" i="4"/>
  <c r="C430" i="4"/>
  <c r="J430" i="4" s="1"/>
  <c r="Z430" i="4" s="1"/>
  <c r="R429" i="4"/>
  <c r="AD429" i="4" s="1"/>
  <c r="N429" i="4"/>
  <c r="AA429" i="4" s="1"/>
  <c r="L429" i="4"/>
  <c r="Y429" i="4" s="1"/>
  <c r="F429" i="4"/>
  <c r="E429" i="4"/>
  <c r="C429" i="4"/>
  <c r="K429" i="4" s="1"/>
  <c r="B429" i="4"/>
  <c r="L428" i="4"/>
  <c r="Y428" i="4" s="1"/>
  <c r="E428" i="4"/>
  <c r="C428" i="4"/>
  <c r="W427" i="4"/>
  <c r="T427" i="4"/>
  <c r="N427" i="4"/>
  <c r="AA427" i="4" s="1"/>
  <c r="M427" i="4"/>
  <c r="L427" i="4"/>
  <c r="Y427" i="4" s="1"/>
  <c r="J427" i="4"/>
  <c r="Z427" i="4" s="1"/>
  <c r="I427" i="4"/>
  <c r="H427" i="4"/>
  <c r="G427" i="4"/>
  <c r="X427" i="4" s="1"/>
  <c r="F427" i="4"/>
  <c r="E427" i="4"/>
  <c r="C427" i="4"/>
  <c r="D427" i="4" s="1"/>
  <c r="B427" i="4"/>
  <c r="N426" i="4"/>
  <c r="AA426" i="4" s="1"/>
  <c r="M426" i="4"/>
  <c r="W426" i="4" s="1"/>
  <c r="K426" i="4"/>
  <c r="E426" i="4"/>
  <c r="C426" i="4"/>
  <c r="U426" i="4" s="1"/>
  <c r="E425" i="4"/>
  <c r="C425" i="4"/>
  <c r="H424" i="4"/>
  <c r="E424" i="4"/>
  <c r="C424" i="4"/>
  <c r="K423" i="4"/>
  <c r="E423" i="4"/>
  <c r="D423" i="4"/>
  <c r="C423" i="4"/>
  <c r="B423" i="4"/>
  <c r="E422" i="4"/>
  <c r="C422" i="4"/>
  <c r="X421" i="4"/>
  <c r="J421" i="4"/>
  <c r="Z421" i="4" s="1"/>
  <c r="I421" i="4"/>
  <c r="G421" i="4"/>
  <c r="E421" i="4"/>
  <c r="C421" i="4"/>
  <c r="H421" i="4" s="1"/>
  <c r="M420" i="4"/>
  <c r="W420" i="4" s="1"/>
  <c r="L420" i="4"/>
  <c r="Y420" i="4" s="1"/>
  <c r="F420" i="4"/>
  <c r="E420" i="4"/>
  <c r="D420" i="4"/>
  <c r="C420" i="4"/>
  <c r="R419" i="4"/>
  <c r="AD419" i="4" s="1"/>
  <c r="N419" i="4"/>
  <c r="AA419" i="4" s="1"/>
  <c r="J419" i="4"/>
  <c r="Z419" i="4" s="1"/>
  <c r="I419" i="4"/>
  <c r="G419" i="4"/>
  <c r="X419" i="4" s="1"/>
  <c r="F419" i="4"/>
  <c r="E419" i="4"/>
  <c r="D419" i="4"/>
  <c r="C419" i="4"/>
  <c r="K419" i="4" s="1"/>
  <c r="B419" i="4"/>
  <c r="E418" i="4"/>
  <c r="C418" i="4"/>
  <c r="B418" i="4" s="1"/>
  <c r="M417" i="4"/>
  <c r="W417" i="4" s="1"/>
  <c r="E417" i="4"/>
  <c r="C417" i="4"/>
  <c r="D417" i="4" s="1"/>
  <c r="X416" i="4"/>
  <c r="H416" i="4"/>
  <c r="G416" i="4"/>
  <c r="F416" i="4"/>
  <c r="E416" i="4"/>
  <c r="C416" i="4"/>
  <c r="I416" i="4" s="1"/>
  <c r="E415" i="4"/>
  <c r="C415" i="4"/>
  <c r="N414" i="4"/>
  <c r="AA414" i="4" s="1"/>
  <c r="M414" i="4"/>
  <c r="W414" i="4" s="1"/>
  <c r="L414" i="4"/>
  <c r="Y414" i="4" s="1"/>
  <c r="E414" i="4"/>
  <c r="C414" i="4"/>
  <c r="K414" i="4" s="1"/>
  <c r="E413" i="4"/>
  <c r="C413" i="4"/>
  <c r="B413" i="4"/>
  <c r="E412" i="4"/>
  <c r="C412" i="4"/>
  <c r="B412" i="4" s="1"/>
  <c r="E411" i="4"/>
  <c r="C411" i="4"/>
  <c r="B411" i="4"/>
  <c r="K410" i="4"/>
  <c r="J410" i="4"/>
  <c r="Z410" i="4" s="1"/>
  <c r="I410" i="4"/>
  <c r="H410" i="4"/>
  <c r="G410" i="4"/>
  <c r="X410" i="4" s="1"/>
  <c r="E410" i="4"/>
  <c r="C410" i="4"/>
  <c r="B410" i="4" s="1"/>
  <c r="K409" i="4"/>
  <c r="E409" i="4"/>
  <c r="C409" i="4"/>
  <c r="N408" i="4"/>
  <c r="AA408" i="4" s="1"/>
  <c r="J408" i="4"/>
  <c r="Z408" i="4" s="1"/>
  <c r="H408" i="4"/>
  <c r="G408" i="4"/>
  <c r="X408" i="4" s="1"/>
  <c r="E408" i="4"/>
  <c r="C408" i="4"/>
  <c r="N407" i="4"/>
  <c r="AA407" i="4" s="1"/>
  <c r="E407" i="4"/>
  <c r="C407" i="4"/>
  <c r="B407" i="4" s="1"/>
  <c r="N406" i="4"/>
  <c r="AA406" i="4" s="1"/>
  <c r="G406" i="4"/>
  <c r="X406" i="4" s="1"/>
  <c r="E406" i="4"/>
  <c r="C406" i="4"/>
  <c r="K406" i="4" s="1"/>
  <c r="I405" i="4"/>
  <c r="E405" i="4"/>
  <c r="C405" i="4"/>
  <c r="E404" i="4"/>
  <c r="C404" i="4"/>
  <c r="N403" i="4"/>
  <c r="AA403" i="4" s="1"/>
  <c r="M403" i="4"/>
  <c r="W403" i="4" s="1"/>
  <c r="L403" i="4"/>
  <c r="Y403" i="4" s="1"/>
  <c r="J403" i="4"/>
  <c r="Z403" i="4" s="1"/>
  <c r="I403" i="4"/>
  <c r="G403" i="4"/>
  <c r="X403" i="4" s="1"/>
  <c r="E403" i="4"/>
  <c r="C403" i="4"/>
  <c r="B403" i="4"/>
  <c r="E402" i="4"/>
  <c r="C402" i="4"/>
  <c r="B402" i="4" s="1"/>
  <c r="E401" i="4"/>
  <c r="C401" i="4"/>
  <c r="E400" i="4"/>
  <c r="C400" i="4"/>
  <c r="F400" i="4" s="1"/>
  <c r="J399" i="4"/>
  <c r="Z399" i="4" s="1"/>
  <c r="E399" i="4"/>
  <c r="C399" i="4"/>
  <c r="B399" i="4" s="1"/>
  <c r="E398" i="4"/>
  <c r="C398" i="4"/>
  <c r="AA397" i="4"/>
  <c r="X397" i="4"/>
  <c r="R397" i="4"/>
  <c r="AD397" i="4" s="1"/>
  <c r="N397" i="4"/>
  <c r="L397" i="4"/>
  <c r="Y397" i="4" s="1"/>
  <c r="K397" i="4"/>
  <c r="V397" i="4" s="1"/>
  <c r="J397" i="4"/>
  <c r="Z397" i="4" s="1"/>
  <c r="H397" i="4"/>
  <c r="G397" i="4"/>
  <c r="F397" i="4"/>
  <c r="E397" i="4"/>
  <c r="D397" i="4"/>
  <c r="C397" i="4"/>
  <c r="B397" i="4"/>
  <c r="E396" i="4"/>
  <c r="C396" i="4"/>
  <c r="W395" i="4"/>
  <c r="V395" i="4"/>
  <c r="T395" i="4"/>
  <c r="N395" i="4"/>
  <c r="AA395" i="4" s="1"/>
  <c r="M395" i="4"/>
  <c r="L395" i="4"/>
  <c r="Y395" i="4" s="1"/>
  <c r="J395" i="4"/>
  <c r="Z395" i="4" s="1"/>
  <c r="H395" i="4"/>
  <c r="G395" i="4"/>
  <c r="X395" i="4" s="1"/>
  <c r="F395" i="4"/>
  <c r="E395" i="4"/>
  <c r="D395" i="4"/>
  <c r="C395" i="4"/>
  <c r="K395" i="4" s="1"/>
  <c r="B395" i="4"/>
  <c r="U394" i="4"/>
  <c r="N394" i="4"/>
  <c r="AA394" i="4" s="1"/>
  <c r="H394" i="4"/>
  <c r="E394" i="4"/>
  <c r="C394" i="4"/>
  <c r="B394" i="4" s="1"/>
  <c r="J393" i="4"/>
  <c r="Z393" i="4" s="1"/>
  <c r="H393" i="4"/>
  <c r="E393" i="4"/>
  <c r="C393" i="4"/>
  <c r="N392" i="4"/>
  <c r="AA392" i="4" s="1"/>
  <c r="K392" i="4"/>
  <c r="V392" i="4" s="1"/>
  <c r="J392" i="4"/>
  <c r="Z392" i="4" s="1"/>
  <c r="G392" i="4"/>
  <c r="X392" i="4" s="1"/>
  <c r="E392" i="4"/>
  <c r="C392" i="4"/>
  <c r="N391" i="4"/>
  <c r="AA391" i="4" s="1"/>
  <c r="K391" i="4"/>
  <c r="V391" i="4" s="1"/>
  <c r="J391" i="4"/>
  <c r="Z391" i="4" s="1"/>
  <c r="E391" i="4"/>
  <c r="C391" i="4"/>
  <c r="M391" i="4" s="1"/>
  <c r="W391" i="4" s="1"/>
  <c r="W390" i="4"/>
  <c r="N390" i="4"/>
  <c r="AA390" i="4" s="1"/>
  <c r="K390" i="4"/>
  <c r="V390" i="4" s="1"/>
  <c r="I390" i="4"/>
  <c r="G390" i="4"/>
  <c r="X390" i="4" s="1"/>
  <c r="F390" i="4"/>
  <c r="E390" i="4"/>
  <c r="D390" i="4"/>
  <c r="C390" i="4"/>
  <c r="M390" i="4" s="1"/>
  <c r="H389" i="4"/>
  <c r="E389" i="4"/>
  <c r="D389" i="4"/>
  <c r="C389" i="4"/>
  <c r="E388" i="4"/>
  <c r="C388" i="4"/>
  <c r="L388" i="4" s="1"/>
  <c r="Y388" i="4" s="1"/>
  <c r="R387" i="4"/>
  <c r="AD387" i="4" s="1"/>
  <c r="N387" i="4"/>
  <c r="AA387" i="4" s="1"/>
  <c r="M387" i="4"/>
  <c r="W387" i="4" s="1"/>
  <c r="G387" i="4"/>
  <c r="X387" i="4" s="1"/>
  <c r="F387" i="4"/>
  <c r="E387" i="4"/>
  <c r="D387" i="4"/>
  <c r="C387" i="4"/>
  <c r="E386" i="4"/>
  <c r="C386" i="4"/>
  <c r="I386" i="4" s="1"/>
  <c r="B386" i="4"/>
  <c r="M385" i="4"/>
  <c r="W385" i="4" s="1"/>
  <c r="L385" i="4"/>
  <c r="Y385" i="4" s="1"/>
  <c r="F385" i="4"/>
  <c r="E385" i="4"/>
  <c r="D385" i="4"/>
  <c r="C385" i="4"/>
  <c r="E384" i="4"/>
  <c r="C384" i="4"/>
  <c r="F384" i="4" s="1"/>
  <c r="N383" i="4"/>
  <c r="AA383" i="4" s="1"/>
  <c r="F383" i="4"/>
  <c r="E383" i="4"/>
  <c r="C383" i="4"/>
  <c r="L383" i="4" s="1"/>
  <c r="Y383" i="4" s="1"/>
  <c r="E382" i="4"/>
  <c r="C382" i="4"/>
  <c r="AA381" i="4"/>
  <c r="R381" i="4"/>
  <c r="AD381" i="4" s="1"/>
  <c r="N381" i="4"/>
  <c r="K381" i="4"/>
  <c r="V381" i="4" s="1"/>
  <c r="J381" i="4"/>
  <c r="Z381" i="4" s="1"/>
  <c r="I381" i="4"/>
  <c r="G381" i="4"/>
  <c r="X381" i="4" s="1"/>
  <c r="F381" i="4"/>
  <c r="E381" i="4"/>
  <c r="D381" i="4"/>
  <c r="C381" i="4"/>
  <c r="B381" i="4" s="1"/>
  <c r="N380" i="4"/>
  <c r="AA380" i="4" s="1"/>
  <c r="L380" i="4"/>
  <c r="Y380" i="4" s="1"/>
  <c r="G380" i="4"/>
  <c r="X380" i="4" s="1"/>
  <c r="E380" i="4"/>
  <c r="D380" i="4"/>
  <c r="C380" i="4"/>
  <c r="K380" i="4" s="1"/>
  <c r="V380" i="4" s="1"/>
  <c r="T379" i="4"/>
  <c r="E379" i="4"/>
  <c r="C379" i="4"/>
  <c r="U378" i="4"/>
  <c r="M378" i="4"/>
  <c r="W378" i="4" s="1"/>
  <c r="J378" i="4"/>
  <c r="Z378" i="4" s="1"/>
  <c r="I378" i="4"/>
  <c r="H378" i="4"/>
  <c r="E378" i="4"/>
  <c r="C378" i="4"/>
  <c r="B378" i="4"/>
  <c r="X377" i="4"/>
  <c r="W377" i="4"/>
  <c r="N377" i="4"/>
  <c r="AA377" i="4" s="1"/>
  <c r="M377" i="4"/>
  <c r="K377" i="4"/>
  <c r="V377" i="4" s="1"/>
  <c r="J377" i="4"/>
  <c r="Z377" i="4" s="1"/>
  <c r="H377" i="4"/>
  <c r="G377" i="4"/>
  <c r="F377" i="4"/>
  <c r="E377" i="4"/>
  <c r="D377" i="4"/>
  <c r="C377" i="4"/>
  <c r="E376" i="4"/>
  <c r="C376" i="4"/>
  <c r="J375" i="4"/>
  <c r="Z375" i="4" s="1"/>
  <c r="E375" i="4"/>
  <c r="C375" i="4"/>
  <c r="M375" i="4" s="1"/>
  <c r="W375" i="4" s="1"/>
  <c r="B375" i="4"/>
  <c r="I374" i="4"/>
  <c r="G374" i="4"/>
  <c r="X374" i="4" s="1"/>
  <c r="F374" i="4"/>
  <c r="E374" i="4"/>
  <c r="D374" i="4"/>
  <c r="C374" i="4"/>
  <c r="N374" i="4" s="1"/>
  <c r="AA374" i="4" s="1"/>
  <c r="H373" i="4"/>
  <c r="E373" i="4"/>
  <c r="C373" i="4"/>
  <c r="L373" i="4" s="1"/>
  <c r="Y373" i="4" s="1"/>
  <c r="L372" i="4"/>
  <c r="Y372" i="4" s="1"/>
  <c r="K372" i="4"/>
  <c r="G372" i="4"/>
  <c r="X372" i="4" s="1"/>
  <c r="E372" i="4"/>
  <c r="C372" i="4"/>
  <c r="J372" i="4" s="1"/>
  <c r="Z372" i="4" s="1"/>
  <c r="Y371" i="4"/>
  <c r="N371" i="4"/>
  <c r="AA371" i="4" s="1"/>
  <c r="M371" i="4"/>
  <c r="W371" i="4" s="1"/>
  <c r="L371" i="4"/>
  <c r="I371" i="4"/>
  <c r="G371" i="4"/>
  <c r="X371" i="4" s="1"/>
  <c r="F371" i="4"/>
  <c r="E371" i="4"/>
  <c r="C371" i="4"/>
  <c r="K371" i="4" s="1"/>
  <c r="V371" i="4" s="1"/>
  <c r="B371" i="4"/>
  <c r="S370" i="4"/>
  <c r="J370" i="4"/>
  <c r="Z370" i="4" s="1"/>
  <c r="E370" i="4"/>
  <c r="C370" i="4"/>
  <c r="B370" i="4" s="1"/>
  <c r="T369" i="4"/>
  <c r="L369" i="4"/>
  <c r="Y369" i="4" s="1"/>
  <c r="E369" i="4"/>
  <c r="C369" i="4"/>
  <c r="M369" i="4" s="1"/>
  <c r="W369" i="4" s="1"/>
  <c r="E368" i="4"/>
  <c r="C368" i="4"/>
  <c r="E367" i="4"/>
  <c r="C367" i="4"/>
  <c r="E366" i="4"/>
  <c r="C366" i="4"/>
  <c r="W365" i="4"/>
  <c r="M365" i="4"/>
  <c r="L365" i="4"/>
  <c r="K365" i="4"/>
  <c r="J365" i="4"/>
  <c r="Z365" i="4" s="1"/>
  <c r="F365" i="4"/>
  <c r="E365" i="4"/>
  <c r="D365" i="4"/>
  <c r="C365" i="4"/>
  <c r="H365" i="4" s="1"/>
  <c r="B365" i="4"/>
  <c r="G364" i="4"/>
  <c r="X364" i="4" s="1"/>
  <c r="E364" i="4"/>
  <c r="C364" i="4"/>
  <c r="B364" i="4" s="1"/>
  <c r="T363" i="4"/>
  <c r="E363" i="4"/>
  <c r="C363" i="4"/>
  <c r="B363" i="4"/>
  <c r="N362" i="4"/>
  <c r="AA362" i="4" s="1"/>
  <c r="M362" i="4"/>
  <c r="W362" i="4" s="1"/>
  <c r="K362" i="4"/>
  <c r="G362" i="4"/>
  <c r="X362" i="4" s="1"/>
  <c r="E362" i="4"/>
  <c r="D362" i="4"/>
  <c r="C362" i="4"/>
  <c r="F362" i="4" s="1"/>
  <c r="B362" i="4"/>
  <c r="N361" i="4"/>
  <c r="AA361" i="4" s="1"/>
  <c r="M361" i="4"/>
  <c r="W361" i="4" s="1"/>
  <c r="L361" i="4"/>
  <c r="Y361" i="4" s="1"/>
  <c r="J361" i="4"/>
  <c r="Z361" i="4" s="1"/>
  <c r="H361" i="4"/>
  <c r="G361" i="4"/>
  <c r="X361" i="4" s="1"/>
  <c r="F361" i="4"/>
  <c r="E361" i="4"/>
  <c r="D361" i="4"/>
  <c r="C361" i="4"/>
  <c r="I361" i="4" s="1"/>
  <c r="B361" i="4"/>
  <c r="W360" i="4"/>
  <c r="N360" i="4"/>
  <c r="AA360" i="4" s="1"/>
  <c r="M360" i="4"/>
  <c r="J360" i="4"/>
  <c r="Z360" i="4" s="1"/>
  <c r="E360" i="4"/>
  <c r="C360" i="4"/>
  <c r="E359" i="4"/>
  <c r="C359" i="4"/>
  <c r="B359" i="4" s="1"/>
  <c r="F358" i="4"/>
  <c r="E358" i="4"/>
  <c r="D358" i="4"/>
  <c r="C358" i="4"/>
  <c r="L357" i="4"/>
  <c r="Y357" i="4" s="1"/>
  <c r="I357" i="4"/>
  <c r="E357" i="4"/>
  <c r="C357" i="4"/>
  <c r="E356" i="4"/>
  <c r="C356" i="4"/>
  <c r="E355" i="4"/>
  <c r="C355" i="4"/>
  <c r="B355" i="4" s="1"/>
  <c r="J354" i="4"/>
  <c r="Z354" i="4" s="1"/>
  <c r="G354" i="4"/>
  <c r="X354" i="4" s="1"/>
  <c r="E354" i="4"/>
  <c r="C354" i="4"/>
  <c r="B354" i="4" s="1"/>
  <c r="E353" i="4"/>
  <c r="C353" i="4"/>
  <c r="B353" i="4"/>
  <c r="U352" i="4"/>
  <c r="H352" i="4"/>
  <c r="E352" i="4"/>
  <c r="C352" i="4"/>
  <c r="J351" i="4"/>
  <c r="Z351" i="4" s="1"/>
  <c r="I351" i="4"/>
  <c r="E351" i="4"/>
  <c r="C351" i="4"/>
  <c r="F351" i="4" s="1"/>
  <c r="B351" i="4"/>
  <c r="E350" i="4"/>
  <c r="C350" i="4"/>
  <c r="AD349" i="4"/>
  <c r="W349" i="4"/>
  <c r="R349" i="4"/>
  <c r="N349" i="4"/>
  <c r="AA349" i="4" s="1"/>
  <c r="M349" i="4"/>
  <c r="L349" i="4"/>
  <c r="Y349" i="4" s="1"/>
  <c r="J349" i="4"/>
  <c r="Z349" i="4" s="1"/>
  <c r="I349" i="4"/>
  <c r="H349" i="4"/>
  <c r="G349" i="4"/>
  <c r="X349" i="4" s="1"/>
  <c r="F349" i="4"/>
  <c r="E349" i="4"/>
  <c r="D349" i="4"/>
  <c r="C349" i="4"/>
  <c r="K349" i="4" s="1"/>
  <c r="V349" i="4" s="1"/>
  <c r="B349" i="4"/>
  <c r="G348" i="4"/>
  <c r="X348" i="4" s="1"/>
  <c r="E348" i="4"/>
  <c r="C348" i="4"/>
  <c r="M347" i="4"/>
  <c r="W347" i="4" s="1"/>
  <c r="L347" i="4"/>
  <c r="K347" i="4"/>
  <c r="J347" i="4"/>
  <c r="Z347" i="4" s="1"/>
  <c r="H347" i="4"/>
  <c r="G347" i="4"/>
  <c r="X347" i="4" s="1"/>
  <c r="F347" i="4"/>
  <c r="E347" i="4"/>
  <c r="C347" i="4"/>
  <c r="T347" i="4" s="1"/>
  <c r="B347" i="4"/>
  <c r="AJ346" i="4"/>
  <c r="O346" i="4"/>
  <c r="P346" i="4" s="1"/>
  <c r="AB346" i="4" s="1"/>
  <c r="E346" i="4"/>
  <c r="C346" i="4"/>
  <c r="B346" i="4"/>
  <c r="K345" i="4"/>
  <c r="J345" i="4"/>
  <c r="Z345" i="4" s="1"/>
  <c r="E345" i="4"/>
  <c r="D345" i="4"/>
  <c r="C345" i="4"/>
  <c r="B345" i="4" s="1"/>
  <c r="E344" i="4"/>
  <c r="C344" i="4"/>
  <c r="E343" i="4"/>
  <c r="C343" i="4"/>
  <c r="E342" i="4"/>
  <c r="C342" i="4"/>
  <c r="G341" i="4"/>
  <c r="X341" i="4" s="1"/>
  <c r="E341" i="4"/>
  <c r="C341" i="4"/>
  <c r="H341" i="4" s="1"/>
  <c r="V340" i="4"/>
  <c r="Q340" i="4"/>
  <c r="AC340" i="4" s="1"/>
  <c r="M340" i="4"/>
  <c r="W340" i="4" s="1"/>
  <c r="L340" i="4"/>
  <c r="Y340" i="4" s="1"/>
  <c r="K340" i="4"/>
  <c r="J340" i="4"/>
  <c r="Z340" i="4" s="1"/>
  <c r="I340" i="4"/>
  <c r="G340" i="4"/>
  <c r="X340" i="4" s="1"/>
  <c r="F340" i="4"/>
  <c r="E340" i="4"/>
  <c r="C340" i="4"/>
  <c r="W339" i="4"/>
  <c r="R339" i="4"/>
  <c r="AD339" i="4" s="1"/>
  <c r="N339" i="4"/>
  <c r="AA339" i="4" s="1"/>
  <c r="M339" i="4"/>
  <c r="L339" i="4"/>
  <c r="Y339" i="4" s="1"/>
  <c r="G339" i="4"/>
  <c r="X339" i="4" s="1"/>
  <c r="F339" i="4"/>
  <c r="E339" i="4"/>
  <c r="D339" i="4"/>
  <c r="C339" i="4"/>
  <c r="K339" i="4" s="1"/>
  <c r="O338" i="4"/>
  <c r="L338" i="4"/>
  <c r="Y338" i="4" s="1"/>
  <c r="E338" i="4"/>
  <c r="C338" i="4"/>
  <c r="E337" i="4"/>
  <c r="C337" i="4"/>
  <c r="E336" i="4"/>
  <c r="C336" i="4"/>
  <c r="N335" i="4"/>
  <c r="AA335" i="4" s="1"/>
  <c r="F335" i="4"/>
  <c r="E335" i="4"/>
  <c r="C335" i="4"/>
  <c r="E334" i="4"/>
  <c r="C334" i="4"/>
  <c r="K333" i="4"/>
  <c r="J333" i="4"/>
  <c r="Z333" i="4" s="1"/>
  <c r="F333" i="4"/>
  <c r="E333" i="4"/>
  <c r="C333" i="4"/>
  <c r="B333" i="4" s="1"/>
  <c r="L332" i="4"/>
  <c r="Y332" i="4" s="1"/>
  <c r="E332" i="4"/>
  <c r="C332" i="4"/>
  <c r="D332" i="4" s="1"/>
  <c r="B332" i="4"/>
  <c r="Z331" i="4"/>
  <c r="M331" i="4"/>
  <c r="W331" i="4" s="1"/>
  <c r="L331" i="4"/>
  <c r="Y331" i="4" s="1"/>
  <c r="K331" i="4"/>
  <c r="V331" i="4" s="1"/>
  <c r="J331" i="4"/>
  <c r="H331" i="4"/>
  <c r="G331" i="4"/>
  <c r="X331" i="4" s="1"/>
  <c r="F331" i="4"/>
  <c r="E331" i="4"/>
  <c r="C331" i="4"/>
  <c r="N331" i="4" s="1"/>
  <c r="AA331" i="4" s="1"/>
  <c r="B331" i="4"/>
  <c r="AJ330" i="4"/>
  <c r="O330" i="4"/>
  <c r="P330" i="4" s="1"/>
  <c r="AB330" i="4" s="1"/>
  <c r="K330" i="4"/>
  <c r="J330" i="4"/>
  <c r="Z330" i="4" s="1"/>
  <c r="I330" i="4"/>
  <c r="H330" i="4"/>
  <c r="G330" i="4"/>
  <c r="X330" i="4" s="1"/>
  <c r="E330" i="4"/>
  <c r="D330" i="4"/>
  <c r="C330" i="4"/>
  <c r="F330" i="4" s="1"/>
  <c r="E329" i="4"/>
  <c r="C329" i="4"/>
  <c r="D329" i="4" s="1"/>
  <c r="E328" i="4"/>
  <c r="C328" i="4"/>
  <c r="J328" i="4" s="1"/>
  <c r="Z328" i="4" s="1"/>
  <c r="F327" i="4"/>
  <c r="E327" i="4"/>
  <c r="C327" i="4"/>
  <c r="E326" i="4"/>
  <c r="C326" i="4"/>
  <c r="N325" i="4"/>
  <c r="AA325" i="4" s="1"/>
  <c r="J325" i="4"/>
  <c r="Z325" i="4" s="1"/>
  <c r="I325" i="4"/>
  <c r="H325" i="4"/>
  <c r="E325" i="4"/>
  <c r="D325" i="4"/>
  <c r="C325" i="4"/>
  <c r="M325" i="4" s="1"/>
  <c r="W325" i="4" s="1"/>
  <c r="E324" i="4"/>
  <c r="C324" i="4"/>
  <c r="L323" i="4"/>
  <c r="Y323" i="4" s="1"/>
  <c r="J323" i="4"/>
  <c r="Z323" i="4" s="1"/>
  <c r="E323" i="4"/>
  <c r="D323" i="4"/>
  <c r="C323" i="4"/>
  <c r="E322" i="4"/>
  <c r="C322" i="4"/>
  <c r="H321" i="4"/>
  <c r="E321" i="4"/>
  <c r="C321" i="4"/>
  <c r="B321" i="4"/>
  <c r="G320" i="4"/>
  <c r="X320" i="4" s="1"/>
  <c r="F320" i="4"/>
  <c r="E320" i="4"/>
  <c r="C320" i="4"/>
  <c r="E319" i="4"/>
  <c r="C319" i="4"/>
  <c r="B319" i="4"/>
  <c r="N318" i="4"/>
  <c r="AA318" i="4" s="1"/>
  <c r="M318" i="4"/>
  <c r="W318" i="4" s="1"/>
  <c r="E318" i="4"/>
  <c r="C318" i="4"/>
  <c r="D318" i="4" s="1"/>
  <c r="R317" i="4"/>
  <c r="AD317" i="4" s="1"/>
  <c r="E317" i="4"/>
  <c r="C317" i="4"/>
  <c r="B317" i="4" s="1"/>
  <c r="N316" i="4"/>
  <c r="AA316" i="4" s="1"/>
  <c r="K316" i="4"/>
  <c r="J316" i="4"/>
  <c r="Z316" i="4" s="1"/>
  <c r="E316" i="4"/>
  <c r="C316" i="4"/>
  <c r="B316" i="4" s="1"/>
  <c r="N315" i="4"/>
  <c r="AA315" i="4" s="1"/>
  <c r="M315" i="4"/>
  <c r="W315" i="4" s="1"/>
  <c r="L315" i="4"/>
  <c r="Y315" i="4" s="1"/>
  <c r="E315" i="4"/>
  <c r="C315" i="4"/>
  <c r="B315" i="4" s="1"/>
  <c r="E314" i="4"/>
  <c r="C314" i="4"/>
  <c r="E313" i="4"/>
  <c r="C313" i="4"/>
  <c r="K312" i="4"/>
  <c r="I312" i="4"/>
  <c r="G312" i="4"/>
  <c r="X312" i="4" s="1"/>
  <c r="E312" i="4"/>
  <c r="D312" i="4"/>
  <c r="C312" i="4"/>
  <c r="F312" i="4" s="1"/>
  <c r="H311" i="4"/>
  <c r="G311" i="4"/>
  <c r="X311" i="4" s="1"/>
  <c r="F311" i="4"/>
  <c r="E311" i="4"/>
  <c r="D311" i="4"/>
  <c r="C311" i="4"/>
  <c r="N311" i="4" s="1"/>
  <c r="AA311" i="4" s="1"/>
  <c r="N310" i="4"/>
  <c r="AA310" i="4" s="1"/>
  <c r="M310" i="4"/>
  <c r="W310" i="4" s="1"/>
  <c r="L310" i="4"/>
  <c r="Y310" i="4" s="1"/>
  <c r="H310" i="4"/>
  <c r="G310" i="4"/>
  <c r="X310" i="4" s="1"/>
  <c r="F310" i="4"/>
  <c r="E310" i="4"/>
  <c r="D310" i="4"/>
  <c r="C310" i="4"/>
  <c r="B310" i="4"/>
  <c r="L309" i="4"/>
  <c r="Y309" i="4" s="1"/>
  <c r="K309" i="4"/>
  <c r="V309" i="4" s="1"/>
  <c r="J309" i="4"/>
  <c r="Z309" i="4" s="1"/>
  <c r="I309" i="4"/>
  <c r="E309" i="4"/>
  <c r="C309" i="4"/>
  <c r="B309" i="4"/>
  <c r="E308" i="4"/>
  <c r="C308" i="4"/>
  <c r="B308" i="4" s="1"/>
  <c r="Z307" i="4"/>
  <c r="X307" i="4"/>
  <c r="K307" i="4"/>
  <c r="G307" i="4"/>
  <c r="F307" i="4"/>
  <c r="E307" i="4"/>
  <c r="D307" i="4"/>
  <c r="C307" i="4"/>
  <c r="J307" i="4" s="1"/>
  <c r="N306" i="4"/>
  <c r="AA306" i="4" s="1"/>
  <c r="M306" i="4"/>
  <c r="W306" i="4" s="1"/>
  <c r="K306" i="4"/>
  <c r="G306" i="4"/>
  <c r="X306" i="4" s="1"/>
  <c r="E306" i="4"/>
  <c r="C306" i="4"/>
  <c r="F306" i="4" s="1"/>
  <c r="K305" i="4"/>
  <c r="J305" i="4"/>
  <c r="Z305" i="4" s="1"/>
  <c r="I305" i="4"/>
  <c r="H305" i="4"/>
  <c r="G305" i="4"/>
  <c r="X305" i="4" s="1"/>
  <c r="E305" i="4"/>
  <c r="C305" i="4"/>
  <c r="M305" i="4" s="1"/>
  <c r="W305" i="4" s="1"/>
  <c r="Z304" i="4"/>
  <c r="N304" i="4"/>
  <c r="AA304" i="4" s="1"/>
  <c r="J304" i="4"/>
  <c r="E304" i="4"/>
  <c r="C304" i="4"/>
  <c r="E303" i="4"/>
  <c r="C303" i="4"/>
  <c r="T302" i="4"/>
  <c r="I302" i="4"/>
  <c r="E302" i="4"/>
  <c r="C302" i="4"/>
  <c r="L301" i="4"/>
  <c r="Y301" i="4" s="1"/>
  <c r="E301" i="4"/>
  <c r="C301" i="4"/>
  <c r="N300" i="4"/>
  <c r="AA300" i="4" s="1"/>
  <c r="L300" i="4"/>
  <c r="Y300" i="4" s="1"/>
  <c r="K300" i="4"/>
  <c r="V300" i="4" s="1"/>
  <c r="G300" i="4"/>
  <c r="X300" i="4" s="1"/>
  <c r="E300" i="4"/>
  <c r="C300" i="4"/>
  <c r="B300" i="4" s="1"/>
  <c r="E299" i="4"/>
  <c r="C299" i="4"/>
  <c r="B299" i="4"/>
  <c r="U298" i="4"/>
  <c r="E298" i="4"/>
  <c r="C298" i="4"/>
  <c r="N297" i="4"/>
  <c r="AA297" i="4" s="1"/>
  <c r="I297" i="4"/>
  <c r="F297" i="4"/>
  <c r="E297" i="4"/>
  <c r="C297" i="4"/>
  <c r="L296" i="4"/>
  <c r="Y296" i="4" s="1"/>
  <c r="K296" i="4"/>
  <c r="V296" i="4" s="1"/>
  <c r="I296" i="4"/>
  <c r="H296" i="4"/>
  <c r="E296" i="4"/>
  <c r="C296" i="4"/>
  <c r="B296" i="4" s="1"/>
  <c r="E295" i="4"/>
  <c r="C295" i="4"/>
  <c r="N295" i="4" s="1"/>
  <c r="AA295" i="4" s="1"/>
  <c r="Y294" i="4"/>
  <c r="L294" i="4"/>
  <c r="I294" i="4"/>
  <c r="E294" i="4"/>
  <c r="C294" i="4"/>
  <c r="B294" i="4" s="1"/>
  <c r="N293" i="4"/>
  <c r="AA293" i="4" s="1"/>
  <c r="J293" i="4"/>
  <c r="Z293" i="4" s="1"/>
  <c r="I293" i="4"/>
  <c r="G293" i="4"/>
  <c r="X293" i="4" s="1"/>
  <c r="E293" i="4"/>
  <c r="C293" i="4"/>
  <c r="B293" i="4" s="1"/>
  <c r="E292" i="4"/>
  <c r="C292" i="4"/>
  <c r="B292" i="4"/>
  <c r="E291" i="4"/>
  <c r="C291" i="4"/>
  <c r="B291" i="4" s="1"/>
  <c r="J290" i="4"/>
  <c r="Z290" i="4" s="1"/>
  <c r="E290" i="4"/>
  <c r="C290" i="4"/>
  <c r="M290" i="4" s="1"/>
  <c r="W290" i="4" s="1"/>
  <c r="N289" i="4"/>
  <c r="AA289" i="4" s="1"/>
  <c r="L289" i="4"/>
  <c r="Y289" i="4" s="1"/>
  <c r="K289" i="4"/>
  <c r="V289" i="4" s="1"/>
  <c r="J289" i="4"/>
  <c r="Z289" i="4" s="1"/>
  <c r="F289" i="4"/>
  <c r="E289" i="4"/>
  <c r="C289" i="4"/>
  <c r="Q289" i="4" s="1"/>
  <c r="AC289" i="4" s="1"/>
  <c r="N288" i="4"/>
  <c r="AA288" i="4" s="1"/>
  <c r="M288" i="4"/>
  <c r="W288" i="4" s="1"/>
  <c r="E288" i="4"/>
  <c r="D288" i="4"/>
  <c r="C288" i="4"/>
  <c r="E287" i="4"/>
  <c r="C287" i="4"/>
  <c r="B287" i="4" s="1"/>
  <c r="T286" i="4"/>
  <c r="Q286" i="4"/>
  <c r="AC286" i="4" s="1"/>
  <c r="G286" i="4"/>
  <c r="X286" i="4" s="1"/>
  <c r="E286" i="4"/>
  <c r="C286" i="4"/>
  <c r="B286" i="4" s="1"/>
  <c r="E285" i="4"/>
  <c r="C285" i="4"/>
  <c r="J285" i="4" s="1"/>
  <c r="Z285" i="4" s="1"/>
  <c r="V284" i="4"/>
  <c r="N284" i="4"/>
  <c r="AA284" i="4" s="1"/>
  <c r="M284" i="4"/>
  <c r="W284" i="4" s="1"/>
  <c r="L284" i="4"/>
  <c r="Y284" i="4" s="1"/>
  <c r="K284" i="4"/>
  <c r="J284" i="4"/>
  <c r="Z284" i="4" s="1"/>
  <c r="I284" i="4"/>
  <c r="H284" i="4"/>
  <c r="G284" i="4"/>
  <c r="X284" i="4" s="1"/>
  <c r="F284" i="4"/>
  <c r="E284" i="4"/>
  <c r="D284" i="4"/>
  <c r="C284" i="4"/>
  <c r="S284" i="4" s="1"/>
  <c r="B284" i="4"/>
  <c r="N283" i="4"/>
  <c r="AA283" i="4" s="1"/>
  <c r="M283" i="4"/>
  <c r="W283" i="4" s="1"/>
  <c r="L283" i="4"/>
  <c r="Y283" i="4" s="1"/>
  <c r="K283" i="4"/>
  <c r="V283" i="4" s="1"/>
  <c r="E283" i="4"/>
  <c r="C283" i="4"/>
  <c r="B283" i="4"/>
  <c r="E282" i="4"/>
  <c r="C282" i="4"/>
  <c r="B282" i="4" s="1"/>
  <c r="Q281" i="4"/>
  <c r="AC281" i="4" s="1"/>
  <c r="N281" i="4"/>
  <c r="AA281" i="4" s="1"/>
  <c r="E281" i="4"/>
  <c r="C281" i="4"/>
  <c r="B281" i="4" s="1"/>
  <c r="E280" i="4"/>
  <c r="C280" i="4"/>
  <c r="B280" i="4"/>
  <c r="X279" i="4"/>
  <c r="N279" i="4"/>
  <c r="AA279" i="4" s="1"/>
  <c r="L279" i="4"/>
  <c r="Y279" i="4" s="1"/>
  <c r="H279" i="4"/>
  <c r="G279" i="4"/>
  <c r="F279" i="4"/>
  <c r="E279" i="4"/>
  <c r="C279" i="4"/>
  <c r="S279" i="4" s="1"/>
  <c r="M278" i="4"/>
  <c r="W278" i="4" s="1"/>
  <c r="K278" i="4"/>
  <c r="J278" i="4"/>
  <c r="Z278" i="4" s="1"/>
  <c r="I278" i="4"/>
  <c r="E278" i="4"/>
  <c r="C278" i="4"/>
  <c r="H278" i="4" s="1"/>
  <c r="B278" i="4"/>
  <c r="U277" i="4"/>
  <c r="M277" i="4"/>
  <c r="W277" i="4" s="1"/>
  <c r="K277" i="4"/>
  <c r="J277" i="4"/>
  <c r="Z277" i="4" s="1"/>
  <c r="I277" i="4"/>
  <c r="G277" i="4"/>
  <c r="X277" i="4" s="1"/>
  <c r="E277" i="4"/>
  <c r="D277" i="4"/>
  <c r="C277" i="4"/>
  <c r="L277" i="4" s="1"/>
  <c r="Y277" i="4" s="1"/>
  <c r="B277" i="4"/>
  <c r="Q276" i="4"/>
  <c r="AC276" i="4" s="1"/>
  <c r="N276" i="4"/>
  <c r="AA276" i="4" s="1"/>
  <c r="E276" i="4"/>
  <c r="C276" i="4"/>
  <c r="B276" i="4" s="1"/>
  <c r="E275" i="4"/>
  <c r="C275" i="4"/>
  <c r="B275" i="4"/>
  <c r="E274" i="4"/>
  <c r="C274" i="4"/>
  <c r="E273" i="4"/>
  <c r="C273" i="4"/>
  <c r="J272" i="4"/>
  <c r="Z272" i="4" s="1"/>
  <c r="I272" i="4"/>
  <c r="E272" i="4"/>
  <c r="C272" i="4"/>
  <c r="D272" i="4" s="1"/>
  <c r="W271" i="4"/>
  <c r="N271" i="4"/>
  <c r="AA271" i="4" s="1"/>
  <c r="M271" i="4"/>
  <c r="L271" i="4"/>
  <c r="Y271" i="4" s="1"/>
  <c r="F271" i="4"/>
  <c r="E271" i="4"/>
  <c r="C271" i="4"/>
  <c r="B271" i="4" s="1"/>
  <c r="T270" i="4"/>
  <c r="J270" i="4"/>
  <c r="Z270" i="4" s="1"/>
  <c r="I270" i="4"/>
  <c r="G270" i="4"/>
  <c r="X270" i="4" s="1"/>
  <c r="F270" i="4"/>
  <c r="E270" i="4"/>
  <c r="C270" i="4"/>
  <c r="B270" i="4" s="1"/>
  <c r="U269" i="4"/>
  <c r="J269" i="4"/>
  <c r="Z269" i="4" s="1"/>
  <c r="I269" i="4"/>
  <c r="G269" i="4"/>
  <c r="X269" i="4" s="1"/>
  <c r="E269" i="4"/>
  <c r="C269" i="4"/>
  <c r="B269" i="4" s="1"/>
  <c r="N268" i="4"/>
  <c r="AA268" i="4" s="1"/>
  <c r="M268" i="4"/>
  <c r="W268" i="4" s="1"/>
  <c r="I268" i="4"/>
  <c r="H268" i="4"/>
  <c r="F268" i="4"/>
  <c r="E268" i="4"/>
  <c r="C268" i="4"/>
  <c r="B268" i="4" s="1"/>
  <c r="E267" i="4"/>
  <c r="C267" i="4"/>
  <c r="B267" i="4" s="1"/>
  <c r="F266" i="4"/>
  <c r="E266" i="4"/>
  <c r="C266" i="4"/>
  <c r="B266" i="4" s="1"/>
  <c r="E265" i="4"/>
  <c r="C265" i="4"/>
  <c r="B265" i="4" s="1"/>
  <c r="L264" i="4"/>
  <c r="Y264" i="4" s="1"/>
  <c r="I264" i="4"/>
  <c r="E264" i="4"/>
  <c r="D264" i="4"/>
  <c r="C264" i="4"/>
  <c r="R264" i="4" s="1"/>
  <c r="AD264" i="4" s="1"/>
  <c r="B264" i="4"/>
  <c r="Z263" i="4"/>
  <c r="N263" i="4"/>
  <c r="AA263" i="4" s="1"/>
  <c r="I263" i="4"/>
  <c r="H263" i="4"/>
  <c r="G263" i="4"/>
  <c r="X263" i="4" s="1"/>
  <c r="F263" i="4"/>
  <c r="E263" i="4"/>
  <c r="D263" i="4"/>
  <c r="C263" i="4"/>
  <c r="J263" i="4" s="1"/>
  <c r="T262" i="4"/>
  <c r="N262" i="4"/>
  <c r="AA262" i="4" s="1"/>
  <c r="M262" i="4"/>
  <c r="W262" i="4" s="1"/>
  <c r="L262" i="4"/>
  <c r="Y262" i="4" s="1"/>
  <c r="G262" i="4"/>
  <c r="X262" i="4" s="1"/>
  <c r="F262" i="4"/>
  <c r="E262" i="4"/>
  <c r="D262" i="4"/>
  <c r="C262" i="4"/>
  <c r="I262" i="4" s="1"/>
  <c r="B262" i="4"/>
  <c r="N261" i="4"/>
  <c r="AA261" i="4" s="1"/>
  <c r="M261" i="4"/>
  <c r="W261" i="4" s="1"/>
  <c r="L261" i="4"/>
  <c r="Y261" i="4" s="1"/>
  <c r="E261" i="4"/>
  <c r="D261" i="4"/>
  <c r="C261" i="4"/>
  <c r="U261" i="4" s="1"/>
  <c r="B261" i="4"/>
  <c r="E260" i="4"/>
  <c r="C260" i="4"/>
  <c r="B260" i="4" s="1"/>
  <c r="R259" i="4"/>
  <c r="AD259" i="4" s="1"/>
  <c r="K259" i="4"/>
  <c r="H259" i="4"/>
  <c r="G259" i="4"/>
  <c r="X259" i="4" s="1"/>
  <c r="F259" i="4"/>
  <c r="E259" i="4"/>
  <c r="C259" i="4"/>
  <c r="B259" i="4" s="1"/>
  <c r="Z258" i="4"/>
  <c r="S258" i="4"/>
  <c r="J258" i="4"/>
  <c r="I258" i="4"/>
  <c r="E258" i="4"/>
  <c r="C258" i="4"/>
  <c r="N258" i="4" s="1"/>
  <c r="AA258" i="4" s="1"/>
  <c r="V257" i="4"/>
  <c r="L257" i="4"/>
  <c r="Y257" i="4" s="1"/>
  <c r="K257" i="4"/>
  <c r="J257" i="4"/>
  <c r="Z257" i="4" s="1"/>
  <c r="I257" i="4"/>
  <c r="E257" i="4"/>
  <c r="C257" i="4"/>
  <c r="Q257" i="4" s="1"/>
  <c r="AC257" i="4" s="1"/>
  <c r="E256" i="4"/>
  <c r="C256" i="4"/>
  <c r="D256" i="4" s="1"/>
  <c r="G255" i="4"/>
  <c r="X255" i="4" s="1"/>
  <c r="E255" i="4"/>
  <c r="C255" i="4"/>
  <c r="B255" i="4" s="1"/>
  <c r="T254" i="4"/>
  <c r="N254" i="4"/>
  <c r="AA254" i="4" s="1"/>
  <c r="J254" i="4"/>
  <c r="Z254" i="4" s="1"/>
  <c r="I254" i="4"/>
  <c r="G254" i="4"/>
  <c r="X254" i="4" s="1"/>
  <c r="E254" i="4"/>
  <c r="C254" i="4"/>
  <c r="B254" i="4"/>
  <c r="E253" i="4"/>
  <c r="C253" i="4"/>
  <c r="B253" i="4" s="1"/>
  <c r="E252" i="4"/>
  <c r="C252" i="4"/>
  <c r="S252" i="4" s="1"/>
  <c r="B252" i="4"/>
  <c r="N251" i="4"/>
  <c r="AA251" i="4" s="1"/>
  <c r="E251" i="4"/>
  <c r="C251" i="4"/>
  <c r="B251" i="4" s="1"/>
  <c r="J250" i="4"/>
  <c r="Z250" i="4" s="1"/>
  <c r="F250" i="4"/>
  <c r="E250" i="4"/>
  <c r="C250" i="4"/>
  <c r="M249" i="4"/>
  <c r="W249" i="4" s="1"/>
  <c r="I249" i="4"/>
  <c r="H249" i="4"/>
  <c r="F249" i="4"/>
  <c r="E249" i="4"/>
  <c r="C249" i="4"/>
  <c r="B249" i="4" s="1"/>
  <c r="K248" i="4"/>
  <c r="I248" i="4"/>
  <c r="E248" i="4"/>
  <c r="C248" i="4"/>
  <c r="B248" i="4" s="1"/>
  <c r="K247" i="4"/>
  <c r="J247" i="4"/>
  <c r="Z247" i="4" s="1"/>
  <c r="I247" i="4"/>
  <c r="E247" i="4"/>
  <c r="C247" i="4"/>
  <c r="G247" i="4" s="1"/>
  <c r="X247" i="4" s="1"/>
  <c r="I246" i="4"/>
  <c r="H246" i="4"/>
  <c r="G246" i="4"/>
  <c r="X246" i="4" s="1"/>
  <c r="E246" i="4"/>
  <c r="C246" i="4"/>
  <c r="F246" i="4" s="1"/>
  <c r="B246" i="4"/>
  <c r="L245" i="4"/>
  <c r="Y245" i="4" s="1"/>
  <c r="K245" i="4"/>
  <c r="V245" i="4" s="1"/>
  <c r="J245" i="4"/>
  <c r="Z245" i="4" s="1"/>
  <c r="E245" i="4"/>
  <c r="C245" i="4"/>
  <c r="H245" i="4" s="1"/>
  <c r="E244" i="4"/>
  <c r="C244" i="4"/>
  <c r="N244" i="4" s="1"/>
  <c r="AA244" i="4" s="1"/>
  <c r="B244" i="4"/>
  <c r="E243" i="4"/>
  <c r="C243" i="4"/>
  <c r="B243" i="4" s="1"/>
  <c r="N242" i="4"/>
  <c r="AA242" i="4" s="1"/>
  <c r="M242" i="4"/>
  <c r="W242" i="4" s="1"/>
  <c r="G242" i="4"/>
  <c r="X242" i="4" s="1"/>
  <c r="F242" i="4"/>
  <c r="E242" i="4"/>
  <c r="D242" i="4"/>
  <c r="C242" i="4"/>
  <c r="B242" i="4" s="1"/>
  <c r="N241" i="4"/>
  <c r="AA241" i="4" s="1"/>
  <c r="L241" i="4"/>
  <c r="Y241" i="4" s="1"/>
  <c r="J241" i="4"/>
  <c r="Z241" i="4" s="1"/>
  <c r="I241" i="4"/>
  <c r="H241" i="4"/>
  <c r="G241" i="4"/>
  <c r="X241" i="4" s="1"/>
  <c r="F241" i="4"/>
  <c r="E241" i="4"/>
  <c r="C241" i="4"/>
  <c r="T241" i="4" s="1"/>
  <c r="E240" i="4"/>
  <c r="C240" i="4"/>
  <c r="Y239" i="4"/>
  <c r="N239" i="4"/>
  <c r="AA239" i="4" s="1"/>
  <c r="L239" i="4"/>
  <c r="F239" i="4"/>
  <c r="E239" i="4"/>
  <c r="C239" i="4"/>
  <c r="K239" i="4" s="1"/>
  <c r="V239" i="4" s="1"/>
  <c r="E238" i="4"/>
  <c r="C238" i="4"/>
  <c r="U237" i="4"/>
  <c r="L237" i="4"/>
  <c r="Y237" i="4" s="1"/>
  <c r="E237" i="4"/>
  <c r="C237" i="4"/>
  <c r="R237" i="4" s="1"/>
  <c r="AD237" i="4" s="1"/>
  <c r="M236" i="4"/>
  <c r="W236" i="4" s="1"/>
  <c r="K236" i="4"/>
  <c r="J236" i="4"/>
  <c r="Z236" i="4" s="1"/>
  <c r="I236" i="4"/>
  <c r="E236" i="4"/>
  <c r="D236" i="4"/>
  <c r="C236" i="4"/>
  <c r="S236" i="4" s="1"/>
  <c r="G235" i="4"/>
  <c r="X235" i="4" s="1"/>
  <c r="E235" i="4"/>
  <c r="C235" i="4"/>
  <c r="B235" i="4" s="1"/>
  <c r="L234" i="4"/>
  <c r="Y234" i="4" s="1"/>
  <c r="K234" i="4"/>
  <c r="J234" i="4"/>
  <c r="Z234" i="4" s="1"/>
  <c r="E234" i="4"/>
  <c r="C234" i="4"/>
  <c r="B234" i="4" s="1"/>
  <c r="N233" i="4"/>
  <c r="AA233" i="4" s="1"/>
  <c r="E233" i="4"/>
  <c r="D233" i="4"/>
  <c r="C233" i="4"/>
  <c r="E232" i="4"/>
  <c r="C232" i="4"/>
  <c r="B232" i="4" s="1"/>
  <c r="L231" i="4"/>
  <c r="Y231" i="4" s="1"/>
  <c r="H231" i="4"/>
  <c r="G231" i="4"/>
  <c r="X231" i="4" s="1"/>
  <c r="F231" i="4"/>
  <c r="E231" i="4"/>
  <c r="C231" i="4"/>
  <c r="S231" i="4" s="1"/>
  <c r="O230" i="4"/>
  <c r="P230" i="4" s="1"/>
  <c r="AB230" i="4" s="1"/>
  <c r="N230" i="4"/>
  <c r="AA230" i="4" s="1"/>
  <c r="M230" i="4"/>
  <c r="W230" i="4" s="1"/>
  <c r="J230" i="4"/>
  <c r="Z230" i="4" s="1"/>
  <c r="I230" i="4"/>
  <c r="H230" i="4"/>
  <c r="G230" i="4"/>
  <c r="X230" i="4" s="1"/>
  <c r="F230" i="4"/>
  <c r="E230" i="4"/>
  <c r="D230" i="4"/>
  <c r="C230" i="4"/>
  <c r="L230" i="4" s="1"/>
  <c r="Y230" i="4" s="1"/>
  <c r="U229" i="4"/>
  <c r="Q229" i="4"/>
  <c r="AC229" i="4" s="1"/>
  <c r="O229" i="4"/>
  <c r="AJ229" i="4" s="1"/>
  <c r="N229" i="4"/>
  <c r="AA229" i="4" s="1"/>
  <c r="J229" i="4"/>
  <c r="Z229" i="4" s="1"/>
  <c r="I229" i="4"/>
  <c r="G229" i="4"/>
  <c r="X229" i="4" s="1"/>
  <c r="E229" i="4"/>
  <c r="D229" i="4"/>
  <c r="C229" i="4"/>
  <c r="H229" i="4" s="1"/>
  <c r="E228" i="4"/>
  <c r="C228" i="4"/>
  <c r="M227" i="4"/>
  <c r="W227" i="4" s="1"/>
  <c r="E227" i="4"/>
  <c r="C227" i="4"/>
  <c r="B227" i="4" s="1"/>
  <c r="AA226" i="4"/>
  <c r="Z226" i="4"/>
  <c r="S226" i="4"/>
  <c r="N226" i="4"/>
  <c r="M226" i="4"/>
  <c r="W226" i="4" s="1"/>
  <c r="I226" i="4"/>
  <c r="H226" i="4"/>
  <c r="G226" i="4"/>
  <c r="X226" i="4" s="1"/>
  <c r="F226" i="4"/>
  <c r="E226" i="4"/>
  <c r="C226" i="4"/>
  <c r="J226" i="4" s="1"/>
  <c r="B226" i="4"/>
  <c r="L225" i="4"/>
  <c r="Y225" i="4" s="1"/>
  <c r="F225" i="4"/>
  <c r="E225" i="4"/>
  <c r="C225" i="4"/>
  <c r="AA224" i="4"/>
  <c r="N224" i="4"/>
  <c r="K224" i="4"/>
  <c r="J224" i="4"/>
  <c r="Z224" i="4" s="1"/>
  <c r="I224" i="4"/>
  <c r="H224" i="4"/>
  <c r="F224" i="4"/>
  <c r="E224" i="4"/>
  <c r="C224" i="4"/>
  <c r="D224" i="4" s="1"/>
  <c r="N223" i="4"/>
  <c r="AA223" i="4" s="1"/>
  <c r="G223" i="4"/>
  <c r="X223" i="4" s="1"/>
  <c r="F223" i="4"/>
  <c r="E223" i="4"/>
  <c r="D223" i="4"/>
  <c r="C223" i="4"/>
  <c r="E222" i="4"/>
  <c r="C222" i="4"/>
  <c r="L221" i="4"/>
  <c r="Y221" i="4" s="1"/>
  <c r="K221" i="4"/>
  <c r="V221" i="4" s="1"/>
  <c r="E221" i="4"/>
  <c r="C221" i="4"/>
  <c r="J221" i="4" s="1"/>
  <c r="Z221" i="4" s="1"/>
  <c r="B221" i="4"/>
  <c r="AA220" i="4"/>
  <c r="W220" i="4"/>
  <c r="N220" i="4"/>
  <c r="M220" i="4"/>
  <c r="J220" i="4"/>
  <c r="Z220" i="4" s="1"/>
  <c r="I220" i="4"/>
  <c r="H220" i="4"/>
  <c r="G220" i="4"/>
  <c r="X220" i="4" s="1"/>
  <c r="F220" i="4"/>
  <c r="E220" i="4"/>
  <c r="C220" i="4"/>
  <c r="S220" i="4" s="1"/>
  <c r="B220" i="4"/>
  <c r="L219" i="4"/>
  <c r="Y219" i="4" s="1"/>
  <c r="K219" i="4"/>
  <c r="J219" i="4"/>
  <c r="Z219" i="4" s="1"/>
  <c r="I219" i="4"/>
  <c r="E219" i="4"/>
  <c r="C219" i="4"/>
  <c r="B219" i="4" s="1"/>
  <c r="AA218" i="4"/>
  <c r="Z218" i="4"/>
  <c r="T218" i="4"/>
  <c r="N218" i="4"/>
  <c r="K218" i="4"/>
  <c r="J218" i="4"/>
  <c r="H218" i="4"/>
  <c r="F218" i="4"/>
  <c r="E218" i="4"/>
  <c r="D218" i="4"/>
  <c r="C218" i="4"/>
  <c r="M218" i="4" s="1"/>
  <c r="W218" i="4" s="1"/>
  <c r="N217" i="4"/>
  <c r="AA217" i="4" s="1"/>
  <c r="M217" i="4"/>
  <c r="W217" i="4" s="1"/>
  <c r="H217" i="4"/>
  <c r="E217" i="4"/>
  <c r="C217" i="4"/>
  <c r="G217" i="4" s="1"/>
  <c r="X217" i="4" s="1"/>
  <c r="AD216" i="4"/>
  <c r="Y216" i="4"/>
  <c r="R216" i="4"/>
  <c r="N216" i="4"/>
  <c r="AA216" i="4" s="1"/>
  <c r="L216" i="4"/>
  <c r="J216" i="4"/>
  <c r="Z216" i="4" s="1"/>
  <c r="G216" i="4"/>
  <c r="X216" i="4" s="1"/>
  <c r="F216" i="4"/>
  <c r="E216" i="4"/>
  <c r="D216" i="4"/>
  <c r="C216" i="4"/>
  <c r="K216" i="4" s="1"/>
  <c r="B216" i="4"/>
  <c r="E215" i="4"/>
  <c r="C215" i="4"/>
  <c r="N214" i="4"/>
  <c r="AA214" i="4" s="1"/>
  <c r="M214" i="4"/>
  <c r="W214" i="4" s="1"/>
  <c r="L214" i="4"/>
  <c r="Y214" i="4" s="1"/>
  <c r="H214" i="4"/>
  <c r="G214" i="4"/>
  <c r="X214" i="4" s="1"/>
  <c r="F214" i="4"/>
  <c r="E214" i="4"/>
  <c r="D214" i="4"/>
  <c r="C214" i="4"/>
  <c r="K214" i="4" s="1"/>
  <c r="V214" i="4" s="1"/>
  <c r="E213" i="4"/>
  <c r="C213" i="4"/>
  <c r="X212" i="4"/>
  <c r="N212" i="4"/>
  <c r="AA212" i="4" s="1"/>
  <c r="M212" i="4"/>
  <c r="W212" i="4" s="1"/>
  <c r="L212" i="4"/>
  <c r="Y212" i="4" s="1"/>
  <c r="K212" i="4"/>
  <c r="V212" i="4" s="1"/>
  <c r="G212" i="4"/>
  <c r="F212" i="4"/>
  <c r="E212" i="4"/>
  <c r="D212" i="4"/>
  <c r="C212" i="4"/>
  <c r="I212" i="4" s="1"/>
  <c r="Y211" i="4"/>
  <c r="W211" i="4"/>
  <c r="V211" i="4"/>
  <c r="U211" i="4"/>
  <c r="M211" i="4"/>
  <c r="K211" i="4"/>
  <c r="H211" i="4"/>
  <c r="G211" i="4"/>
  <c r="X211" i="4" s="1"/>
  <c r="F211" i="4"/>
  <c r="E211" i="4"/>
  <c r="D211" i="4"/>
  <c r="C211" i="4"/>
  <c r="L211" i="4" s="1"/>
  <c r="N210" i="4"/>
  <c r="AA210" i="4" s="1"/>
  <c r="M210" i="4"/>
  <c r="W210" i="4" s="1"/>
  <c r="L210" i="4"/>
  <c r="K210" i="4"/>
  <c r="F210" i="4"/>
  <c r="E210" i="4"/>
  <c r="C210" i="4"/>
  <c r="J210" i="4" s="1"/>
  <c r="Z210" i="4" s="1"/>
  <c r="K209" i="4"/>
  <c r="E209" i="4"/>
  <c r="C209" i="4"/>
  <c r="B209" i="4" s="1"/>
  <c r="E208" i="4"/>
  <c r="C208" i="4"/>
  <c r="D208" i="4" s="1"/>
  <c r="E207" i="4"/>
  <c r="D207" i="4"/>
  <c r="C207" i="4"/>
  <c r="K206" i="4"/>
  <c r="E206" i="4"/>
  <c r="C206" i="4"/>
  <c r="B206" i="4" s="1"/>
  <c r="E205" i="4"/>
  <c r="C205" i="4"/>
  <c r="N205" i="4" s="1"/>
  <c r="AA205" i="4" s="1"/>
  <c r="N204" i="4"/>
  <c r="AA204" i="4" s="1"/>
  <c r="J204" i="4"/>
  <c r="Z204" i="4" s="1"/>
  <c r="E204" i="4"/>
  <c r="C204" i="4"/>
  <c r="I204" i="4" s="1"/>
  <c r="S203" i="4"/>
  <c r="E203" i="4"/>
  <c r="C203" i="4"/>
  <c r="M203" i="4" s="1"/>
  <c r="W203" i="4" s="1"/>
  <c r="B203" i="4"/>
  <c r="U202" i="4"/>
  <c r="T202" i="4"/>
  <c r="AE202" i="4" s="1"/>
  <c r="N202" i="4"/>
  <c r="AA202" i="4" s="1"/>
  <c r="M202" i="4"/>
  <c r="W202" i="4" s="1"/>
  <c r="I202" i="4"/>
  <c r="H202" i="4"/>
  <c r="G202" i="4"/>
  <c r="X202" i="4" s="1"/>
  <c r="F202" i="4"/>
  <c r="E202" i="4"/>
  <c r="D202" i="4"/>
  <c r="C202" i="4"/>
  <c r="K202" i="4" s="1"/>
  <c r="K201" i="4"/>
  <c r="J201" i="4"/>
  <c r="Z201" i="4" s="1"/>
  <c r="E201" i="4"/>
  <c r="C201" i="4"/>
  <c r="B201" i="4" s="1"/>
  <c r="L200" i="4"/>
  <c r="Y200" i="4" s="1"/>
  <c r="K200" i="4"/>
  <c r="V200" i="4" s="1"/>
  <c r="J200" i="4"/>
  <c r="Z200" i="4" s="1"/>
  <c r="F200" i="4"/>
  <c r="E200" i="4"/>
  <c r="C200" i="4"/>
  <c r="Q199" i="4"/>
  <c r="AC199" i="4" s="1"/>
  <c r="N199" i="4"/>
  <c r="AA199" i="4" s="1"/>
  <c r="M199" i="4"/>
  <c r="W199" i="4" s="1"/>
  <c r="L199" i="4"/>
  <c r="Y199" i="4" s="1"/>
  <c r="G199" i="4"/>
  <c r="X199" i="4" s="1"/>
  <c r="F199" i="4"/>
  <c r="E199" i="4"/>
  <c r="D199" i="4"/>
  <c r="C199" i="4"/>
  <c r="S199" i="4" s="1"/>
  <c r="E198" i="4"/>
  <c r="C198" i="4"/>
  <c r="B198" i="4" s="1"/>
  <c r="U197" i="4"/>
  <c r="O197" i="4"/>
  <c r="P197" i="4" s="1"/>
  <c r="AB197" i="4" s="1"/>
  <c r="G197" i="4"/>
  <c r="X197" i="4" s="1"/>
  <c r="E197" i="4"/>
  <c r="C197" i="4"/>
  <c r="N197" i="4" s="1"/>
  <c r="AA197" i="4" s="1"/>
  <c r="Q196" i="4"/>
  <c r="AC196" i="4" s="1"/>
  <c r="N196" i="4"/>
  <c r="AA196" i="4" s="1"/>
  <c r="M196" i="4"/>
  <c r="W196" i="4" s="1"/>
  <c r="L196" i="4"/>
  <c r="Y196" i="4" s="1"/>
  <c r="K196" i="4"/>
  <c r="V196" i="4" s="1"/>
  <c r="G196" i="4"/>
  <c r="X196" i="4" s="1"/>
  <c r="F196" i="4"/>
  <c r="E196" i="4"/>
  <c r="D196" i="4"/>
  <c r="C196" i="4"/>
  <c r="J196" i="4" s="1"/>
  <c r="Z196" i="4" s="1"/>
  <c r="E195" i="4"/>
  <c r="C195" i="4"/>
  <c r="S195" i="4" s="1"/>
  <c r="W194" i="4"/>
  <c r="N194" i="4"/>
  <c r="AA194" i="4" s="1"/>
  <c r="M194" i="4"/>
  <c r="L194" i="4"/>
  <c r="Y194" i="4" s="1"/>
  <c r="K194" i="4"/>
  <c r="V194" i="4" s="1"/>
  <c r="H194" i="4"/>
  <c r="G194" i="4"/>
  <c r="X194" i="4" s="1"/>
  <c r="F194" i="4"/>
  <c r="E194" i="4"/>
  <c r="C194" i="4"/>
  <c r="D194" i="4" s="1"/>
  <c r="H193" i="4"/>
  <c r="E193" i="4"/>
  <c r="C193" i="4"/>
  <c r="B193" i="4" s="1"/>
  <c r="E192" i="4"/>
  <c r="C192" i="4"/>
  <c r="F192" i="4" s="1"/>
  <c r="Y191" i="4"/>
  <c r="M191" i="4"/>
  <c r="W191" i="4" s="1"/>
  <c r="J191" i="4"/>
  <c r="Z191" i="4" s="1"/>
  <c r="I191" i="4"/>
  <c r="H191" i="4"/>
  <c r="G191" i="4"/>
  <c r="X191" i="4" s="1"/>
  <c r="F191" i="4"/>
  <c r="E191" i="4"/>
  <c r="C191" i="4"/>
  <c r="L191" i="4" s="1"/>
  <c r="E190" i="4"/>
  <c r="C190" i="4"/>
  <c r="N189" i="4"/>
  <c r="AA189" i="4" s="1"/>
  <c r="E189" i="4"/>
  <c r="D189" i="4"/>
  <c r="C189" i="4"/>
  <c r="X188" i="4"/>
  <c r="I188" i="4"/>
  <c r="H188" i="4"/>
  <c r="G188" i="4"/>
  <c r="F188" i="4"/>
  <c r="E188" i="4"/>
  <c r="C188" i="4"/>
  <c r="N188" i="4" s="1"/>
  <c r="AA188" i="4" s="1"/>
  <c r="E187" i="4"/>
  <c r="C187" i="4"/>
  <c r="B187" i="4"/>
  <c r="E186" i="4"/>
  <c r="C186" i="4"/>
  <c r="N186" i="4" s="1"/>
  <c r="AA186" i="4" s="1"/>
  <c r="K185" i="4"/>
  <c r="G185" i="4"/>
  <c r="X185" i="4" s="1"/>
  <c r="F185" i="4"/>
  <c r="E185" i="4"/>
  <c r="C185" i="4"/>
  <c r="B185" i="4" s="1"/>
  <c r="N184" i="4"/>
  <c r="AA184" i="4" s="1"/>
  <c r="L184" i="4"/>
  <c r="Y184" i="4" s="1"/>
  <c r="I184" i="4"/>
  <c r="F184" i="4"/>
  <c r="E184" i="4"/>
  <c r="D184" i="4"/>
  <c r="C184" i="4"/>
  <c r="L183" i="4"/>
  <c r="K183" i="4"/>
  <c r="E183" i="4"/>
  <c r="C183" i="4"/>
  <c r="B183" i="4"/>
  <c r="J182" i="4"/>
  <c r="Z182" i="4" s="1"/>
  <c r="I182" i="4"/>
  <c r="E182" i="4"/>
  <c r="C182" i="4"/>
  <c r="D182" i="4" s="1"/>
  <c r="T181" i="4"/>
  <c r="E181" i="4"/>
  <c r="D181" i="4"/>
  <c r="C181" i="4"/>
  <c r="B181" i="4" s="1"/>
  <c r="H180" i="4"/>
  <c r="E180" i="4"/>
  <c r="D180" i="4"/>
  <c r="C180" i="4"/>
  <c r="B180" i="4"/>
  <c r="U179" i="4"/>
  <c r="R179" i="4"/>
  <c r="AD179" i="4" s="1"/>
  <c r="M179" i="4"/>
  <c r="W179" i="4" s="1"/>
  <c r="K179" i="4"/>
  <c r="J179" i="4"/>
  <c r="Z179" i="4" s="1"/>
  <c r="I179" i="4"/>
  <c r="H179" i="4"/>
  <c r="E179" i="4"/>
  <c r="D179" i="4"/>
  <c r="C179" i="4"/>
  <c r="B179" i="4" s="1"/>
  <c r="N178" i="4"/>
  <c r="AA178" i="4" s="1"/>
  <c r="M178" i="4"/>
  <c r="W178" i="4" s="1"/>
  <c r="L178" i="4"/>
  <c r="Y178" i="4" s="1"/>
  <c r="E178" i="4"/>
  <c r="C178" i="4"/>
  <c r="AA177" i="4"/>
  <c r="N177" i="4"/>
  <c r="E177" i="4"/>
  <c r="C177" i="4"/>
  <c r="I177" i="4" s="1"/>
  <c r="B177" i="4"/>
  <c r="E176" i="4"/>
  <c r="C176" i="4"/>
  <c r="B176" i="4" s="1"/>
  <c r="J175" i="4"/>
  <c r="Z175" i="4" s="1"/>
  <c r="I175" i="4"/>
  <c r="H175" i="4"/>
  <c r="G175" i="4"/>
  <c r="X175" i="4" s="1"/>
  <c r="F175" i="4"/>
  <c r="E175" i="4"/>
  <c r="C175" i="4"/>
  <c r="L175" i="4" s="1"/>
  <c r="Y175" i="4" s="1"/>
  <c r="E174" i="4"/>
  <c r="C174" i="4"/>
  <c r="T174" i="4" s="1"/>
  <c r="E173" i="4"/>
  <c r="C173" i="4"/>
  <c r="M173" i="4" s="1"/>
  <c r="W173" i="4" s="1"/>
  <c r="N172" i="4"/>
  <c r="AA172" i="4" s="1"/>
  <c r="M172" i="4"/>
  <c r="W172" i="4" s="1"/>
  <c r="J172" i="4"/>
  <c r="Z172" i="4" s="1"/>
  <c r="I172" i="4"/>
  <c r="E172" i="4"/>
  <c r="C172" i="4"/>
  <c r="B172" i="4"/>
  <c r="E171" i="4"/>
  <c r="D171" i="4"/>
  <c r="C171" i="4"/>
  <c r="B171" i="4" s="1"/>
  <c r="N170" i="4"/>
  <c r="AA170" i="4" s="1"/>
  <c r="F170" i="4"/>
  <c r="E170" i="4"/>
  <c r="C170" i="4"/>
  <c r="D170" i="4" s="1"/>
  <c r="E169" i="4"/>
  <c r="C169" i="4"/>
  <c r="F168" i="4"/>
  <c r="E168" i="4"/>
  <c r="C168" i="4"/>
  <c r="F167" i="4"/>
  <c r="E167" i="4"/>
  <c r="D167" i="4"/>
  <c r="C167" i="4"/>
  <c r="B167" i="4"/>
  <c r="E166" i="4"/>
  <c r="C166" i="4"/>
  <c r="B166" i="4" s="1"/>
  <c r="E165" i="4"/>
  <c r="C165" i="4"/>
  <c r="E164" i="4"/>
  <c r="C164" i="4"/>
  <c r="K164" i="4" s="1"/>
  <c r="B164" i="4"/>
  <c r="E163" i="4"/>
  <c r="C163" i="4"/>
  <c r="B163" i="4" s="1"/>
  <c r="N162" i="4"/>
  <c r="AA162" i="4" s="1"/>
  <c r="M162" i="4"/>
  <c r="W162" i="4" s="1"/>
  <c r="E162" i="4"/>
  <c r="D162" i="4"/>
  <c r="C162" i="4"/>
  <c r="H161" i="4"/>
  <c r="E161" i="4"/>
  <c r="C161" i="4"/>
  <c r="B161" i="4"/>
  <c r="U160" i="4"/>
  <c r="F160" i="4"/>
  <c r="E160" i="4"/>
  <c r="C160" i="4"/>
  <c r="Y159" i="4"/>
  <c r="N159" i="4"/>
  <c r="AA159" i="4" s="1"/>
  <c r="J159" i="4"/>
  <c r="Z159" i="4" s="1"/>
  <c r="I159" i="4"/>
  <c r="H159" i="4"/>
  <c r="G159" i="4"/>
  <c r="X159" i="4" s="1"/>
  <c r="F159" i="4"/>
  <c r="E159" i="4"/>
  <c r="C159" i="4"/>
  <c r="L159" i="4" s="1"/>
  <c r="J158" i="4"/>
  <c r="Z158" i="4" s="1"/>
  <c r="I158" i="4"/>
  <c r="H158" i="4"/>
  <c r="G158" i="4"/>
  <c r="X158" i="4" s="1"/>
  <c r="E158" i="4"/>
  <c r="C158" i="4"/>
  <c r="B158" i="4" s="1"/>
  <c r="U157" i="4"/>
  <c r="T157" i="4"/>
  <c r="O157" i="4"/>
  <c r="P157" i="4" s="1"/>
  <c r="AB157" i="4" s="1"/>
  <c r="N157" i="4"/>
  <c r="AA157" i="4" s="1"/>
  <c r="M157" i="4"/>
  <c r="W157" i="4" s="1"/>
  <c r="G157" i="4"/>
  <c r="X157" i="4" s="1"/>
  <c r="F157" i="4"/>
  <c r="E157" i="4"/>
  <c r="D157" i="4"/>
  <c r="C157" i="4"/>
  <c r="L157" i="4" s="1"/>
  <c r="Y157" i="4" s="1"/>
  <c r="M156" i="4"/>
  <c r="W156" i="4" s="1"/>
  <c r="J156" i="4"/>
  <c r="Z156" i="4" s="1"/>
  <c r="I156" i="4"/>
  <c r="H156" i="4"/>
  <c r="G156" i="4"/>
  <c r="X156" i="4" s="1"/>
  <c r="E156" i="4"/>
  <c r="C156" i="4"/>
  <c r="F156" i="4" s="1"/>
  <c r="B156" i="4"/>
  <c r="S155" i="4"/>
  <c r="E155" i="4"/>
  <c r="D155" i="4"/>
  <c r="C155" i="4"/>
  <c r="B155" i="4" s="1"/>
  <c r="E154" i="4"/>
  <c r="C154" i="4"/>
  <c r="E153" i="4"/>
  <c r="C153" i="4"/>
  <c r="B153" i="4" s="1"/>
  <c r="N152" i="4"/>
  <c r="AA152" i="4" s="1"/>
  <c r="E152" i="4"/>
  <c r="D152" i="4"/>
  <c r="C152" i="4"/>
  <c r="W151" i="4"/>
  <c r="N151" i="4"/>
  <c r="AA151" i="4" s="1"/>
  <c r="M151" i="4"/>
  <c r="K151" i="4"/>
  <c r="I151" i="4"/>
  <c r="H151" i="4"/>
  <c r="G151" i="4"/>
  <c r="X151" i="4" s="1"/>
  <c r="F151" i="4"/>
  <c r="E151" i="4"/>
  <c r="C151" i="4"/>
  <c r="D151" i="4" s="1"/>
  <c r="B151" i="4"/>
  <c r="L150" i="4"/>
  <c r="Y150" i="4" s="1"/>
  <c r="K150" i="4"/>
  <c r="J150" i="4"/>
  <c r="Z150" i="4" s="1"/>
  <c r="I150" i="4"/>
  <c r="E150" i="4"/>
  <c r="D150" i="4"/>
  <c r="C150" i="4"/>
  <c r="B150" i="4" s="1"/>
  <c r="E149" i="4"/>
  <c r="C149" i="4"/>
  <c r="B149" i="4" s="1"/>
  <c r="Z148" i="4"/>
  <c r="N148" i="4"/>
  <c r="AA148" i="4" s="1"/>
  <c r="K148" i="4"/>
  <c r="J148" i="4"/>
  <c r="I148" i="4"/>
  <c r="H148" i="4"/>
  <c r="G148" i="4"/>
  <c r="X148" i="4" s="1"/>
  <c r="F148" i="4"/>
  <c r="E148" i="4"/>
  <c r="D148" i="4"/>
  <c r="C148" i="4"/>
  <c r="L148" i="4" s="1"/>
  <c r="Y148" i="4" s="1"/>
  <c r="B148" i="4"/>
  <c r="U147" i="4"/>
  <c r="L147" i="4"/>
  <c r="Y147" i="4" s="1"/>
  <c r="I147" i="4"/>
  <c r="H147" i="4"/>
  <c r="E147" i="4"/>
  <c r="C147" i="4"/>
  <c r="D147" i="4" s="1"/>
  <c r="M146" i="4"/>
  <c r="W146" i="4" s="1"/>
  <c r="L146" i="4"/>
  <c r="Y146" i="4" s="1"/>
  <c r="K146" i="4"/>
  <c r="V146" i="4" s="1"/>
  <c r="H146" i="4"/>
  <c r="E146" i="4"/>
  <c r="C146" i="4"/>
  <c r="N146" i="4" s="1"/>
  <c r="AA146" i="4" s="1"/>
  <c r="J145" i="4"/>
  <c r="Z145" i="4" s="1"/>
  <c r="I145" i="4"/>
  <c r="H145" i="4"/>
  <c r="E145" i="4"/>
  <c r="C145" i="4"/>
  <c r="N145" i="4" s="1"/>
  <c r="AA145" i="4" s="1"/>
  <c r="B145" i="4"/>
  <c r="R144" i="4"/>
  <c r="AD144" i="4" s="1"/>
  <c r="N144" i="4"/>
  <c r="AA144" i="4" s="1"/>
  <c r="L144" i="4"/>
  <c r="Y144" i="4" s="1"/>
  <c r="K144" i="4"/>
  <c r="V144" i="4" s="1"/>
  <c r="J144" i="4"/>
  <c r="Z144" i="4" s="1"/>
  <c r="F144" i="4"/>
  <c r="E144" i="4"/>
  <c r="D144" i="4"/>
  <c r="C144" i="4"/>
  <c r="B144" i="4" s="1"/>
  <c r="E143" i="4"/>
  <c r="C143" i="4"/>
  <c r="N143" i="4" s="1"/>
  <c r="AA143" i="4" s="1"/>
  <c r="Y142" i="4"/>
  <c r="M142" i="4"/>
  <c r="W142" i="4" s="1"/>
  <c r="L142" i="4"/>
  <c r="E142" i="4"/>
  <c r="C142" i="4"/>
  <c r="T141" i="4"/>
  <c r="L141" i="4"/>
  <c r="Y141" i="4" s="1"/>
  <c r="K141" i="4"/>
  <c r="J141" i="4"/>
  <c r="Z141" i="4" s="1"/>
  <c r="G141" i="4"/>
  <c r="X141" i="4" s="1"/>
  <c r="F141" i="4"/>
  <c r="E141" i="4"/>
  <c r="C141" i="4"/>
  <c r="D141" i="4" s="1"/>
  <c r="N140" i="4"/>
  <c r="AA140" i="4" s="1"/>
  <c r="M140" i="4"/>
  <c r="W140" i="4" s="1"/>
  <c r="J140" i="4"/>
  <c r="Z140" i="4" s="1"/>
  <c r="I140" i="4"/>
  <c r="E140" i="4"/>
  <c r="C140" i="4"/>
  <c r="B140" i="4"/>
  <c r="M139" i="4"/>
  <c r="W139" i="4" s="1"/>
  <c r="F139" i="4"/>
  <c r="E139" i="4"/>
  <c r="D139" i="4"/>
  <c r="C139" i="4"/>
  <c r="B139" i="4" s="1"/>
  <c r="M138" i="4"/>
  <c r="W138" i="4" s="1"/>
  <c r="L138" i="4"/>
  <c r="Y138" i="4" s="1"/>
  <c r="I138" i="4"/>
  <c r="H138" i="4"/>
  <c r="G138" i="4"/>
  <c r="X138" i="4" s="1"/>
  <c r="F138" i="4"/>
  <c r="E138" i="4"/>
  <c r="C138" i="4"/>
  <c r="N138" i="4" s="1"/>
  <c r="AA138" i="4" s="1"/>
  <c r="L137" i="4"/>
  <c r="Y137" i="4" s="1"/>
  <c r="K137" i="4"/>
  <c r="J137" i="4"/>
  <c r="Z137" i="4" s="1"/>
  <c r="I137" i="4"/>
  <c r="F137" i="4"/>
  <c r="E137" i="4"/>
  <c r="C137" i="4"/>
  <c r="B137" i="4"/>
  <c r="AA136" i="4"/>
  <c r="N136" i="4"/>
  <c r="M136" i="4"/>
  <c r="W136" i="4" s="1"/>
  <c r="F136" i="4"/>
  <c r="E136" i="4"/>
  <c r="D136" i="4"/>
  <c r="C136" i="4"/>
  <c r="B136" i="4" s="1"/>
  <c r="E135" i="4"/>
  <c r="C135" i="4"/>
  <c r="B135" i="4" s="1"/>
  <c r="N134" i="4"/>
  <c r="AA134" i="4" s="1"/>
  <c r="L134" i="4"/>
  <c r="Y134" i="4" s="1"/>
  <c r="K134" i="4"/>
  <c r="J134" i="4"/>
  <c r="Z134" i="4" s="1"/>
  <c r="G134" i="4"/>
  <c r="X134" i="4" s="1"/>
  <c r="E134" i="4"/>
  <c r="C134" i="4"/>
  <c r="F133" i="4"/>
  <c r="E133" i="4"/>
  <c r="C133" i="4"/>
  <c r="N132" i="4"/>
  <c r="AA132" i="4" s="1"/>
  <c r="M132" i="4"/>
  <c r="W132" i="4" s="1"/>
  <c r="K132" i="4"/>
  <c r="J132" i="4"/>
  <c r="Z132" i="4" s="1"/>
  <c r="I132" i="4"/>
  <c r="E132" i="4"/>
  <c r="D132" i="4"/>
  <c r="C132" i="4"/>
  <c r="B132" i="4" s="1"/>
  <c r="N131" i="4"/>
  <c r="AA131" i="4" s="1"/>
  <c r="E131" i="4"/>
  <c r="C131" i="4"/>
  <c r="M131" i="4" s="1"/>
  <c r="W131" i="4" s="1"/>
  <c r="M130" i="4"/>
  <c r="W130" i="4" s="1"/>
  <c r="L130" i="4"/>
  <c r="Y130" i="4" s="1"/>
  <c r="E130" i="4"/>
  <c r="C130" i="4"/>
  <c r="N130" i="4" s="1"/>
  <c r="AA130" i="4" s="1"/>
  <c r="M129" i="4"/>
  <c r="W129" i="4" s="1"/>
  <c r="I129" i="4"/>
  <c r="E129" i="4"/>
  <c r="C129" i="4"/>
  <c r="B129" i="4"/>
  <c r="E128" i="4"/>
  <c r="D128" i="4"/>
  <c r="C128" i="4"/>
  <c r="B128" i="4" s="1"/>
  <c r="N127" i="4"/>
  <c r="AA127" i="4" s="1"/>
  <c r="H127" i="4"/>
  <c r="G127" i="4"/>
  <c r="X127" i="4" s="1"/>
  <c r="E127" i="4"/>
  <c r="C127" i="4"/>
  <c r="G126" i="4"/>
  <c r="X126" i="4" s="1"/>
  <c r="E126" i="4"/>
  <c r="C126" i="4"/>
  <c r="G125" i="4"/>
  <c r="X125" i="4" s="1"/>
  <c r="F125" i="4"/>
  <c r="E125" i="4"/>
  <c r="C125" i="4"/>
  <c r="X124" i="4"/>
  <c r="W124" i="4"/>
  <c r="M124" i="4"/>
  <c r="G124" i="4"/>
  <c r="E124" i="4"/>
  <c r="C124" i="4"/>
  <c r="F124" i="4" s="1"/>
  <c r="K123" i="4"/>
  <c r="E123" i="4"/>
  <c r="D123" i="4"/>
  <c r="C123" i="4"/>
  <c r="E122" i="4"/>
  <c r="C122" i="4"/>
  <c r="L121" i="4"/>
  <c r="Y121" i="4" s="1"/>
  <c r="K121" i="4"/>
  <c r="F121" i="4"/>
  <c r="E121" i="4"/>
  <c r="C121" i="4"/>
  <c r="N120" i="4"/>
  <c r="AA120" i="4" s="1"/>
  <c r="I120" i="4"/>
  <c r="H120" i="4"/>
  <c r="G120" i="4"/>
  <c r="X120" i="4" s="1"/>
  <c r="F120" i="4"/>
  <c r="E120" i="4"/>
  <c r="C120" i="4"/>
  <c r="L119" i="4"/>
  <c r="Y119" i="4" s="1"/>
  <c r="K119" i="4"/>
  <c r="J119" i="4"/>
  <c r="Z119" i="4" s="1"/>
  <c r="I119" i="4"/>
  <c r="E119" i="4"/>
  <c r="C119" i="4"/>
  <c r="M118" i="4"/>
  <c r="W118" i="4" s="1"/>
  <c r="L118" i="4"/>
  <c r="Y118" i="4" s="1"/>
  <c r="K118" i="4"/>
  <c r="I118" i="4"/>
  <c r="F118" i="4"/>
  <c r="E118" i="4"/>
  <c r="D118" i="4"/>
  <c r="C118" i="4"/>
  <c r="B118" i="4"/>
  <c r="AA117" i="4"/>
  <c r="Q117" i="4"/>
  <c r="AC117" i="4" s="1"/>
  <c r="P117" i="4"/>
  <c r="AB117" i="4" s="1"/>
  <c r="O117" i="4"/>
  <c r="AJ117" i="4" s="1"/>
  <c r="N117" i="4"/>
  <c r="F117" i="4"/>
  <c r="E117" i="4"/>
  <c r="C117" i="4"/>
  <c r="B117" i="4" s="1"/>
  <c r="E116" i="4"/>
  <c r="C116" i="4"/>
  <c r="U116" i="4" s="1"/>
  <c r="W115" i="4"/>
  <c r="V115" i="4"/>
  <c r="U115" i="4"/>
  <c r="O115" i="4"/>
  <c r="P115" i="4" s="1"/>
  <c r="AB115" i="4" s="1"/>
  <c r="M115" i="4"/>
  <c r="L115" i="4"/>
  <c r="Y115" i="4" s="1"/>
  <c r="K115" i="4"/>
  <c r="H115" i="4"/>
  <c r="G115" i="4"/>
  <c r="X115" i="4" s="1"/>
  <c r="E115" i="4"/>
  <c r="D115" i="4"/>
  <c r="C115" i="4"/>
  <c r="B115" i="4"/>
  <c r="X114" i="4"/>
  <c r="J114" i="4"/>
  <c r="Z114" i="4" s="1"/>
  <c r="I114" i="4"/>
  <c r="H114" i="4"/>
  <c r="G114" i="4"/>
  <c r="E114" i="4"/>
  <c r="C114" i="4"/>
  <c r="E113" i="4"/>
  <c r="C113" i="4"/>
  <c r="N113" i="4" s="1"/>
  <c r="AA113" i="4" s="1"/>
  <c r="M112" i="4"/>
  <c r="W112" i="4" s="1"/>
  <c r="L112" i="4"/>
  <c r="Y112" i="4" s="1"/>
  <c r="K112" i="4"/>
  <c r="V112" i="4" s="1"/>
  <c r="J112" i="4"/>
  <c r="Z112" i="4" s="1"/>
  <c r="I112" i="4"/>
  <c r="H112" i="4"/>
  <c r="G112" i="4"/>
  <c r="X112" i="4" s="1"/>
  <c r="E112" i="4"/>
  <c r="C112" i="4"/>
  <c r="B112" i="4" s="1"/>
  <c r="K111" i="4"/>
  <c r="E111" i="4"/>
  <c r="C111" i="4"/>
  <c r="B111" i="4" s="1"/>
  <c r="N110" i="4"/>
  <c r="AA110" i="4" s="1"/>
  <c r="M110" i="4"/>
  <c r="W110" i="4" s="1"/>
  <c r="L110" i="4"/>
  <c r="Y110" i="4" s="1"/>
  <c r="J110" i="4"/>
  <c r="Z110" i="4" s="1"/>
  <c r="G110" i="4"/>
  <c r="X110" i="4" s="1"/>
  <c r="F110" i="4"/>
  <c r="E110" i="4"/>
  <c r="D110" i="4"/>
  <c r="C110" i="4"/>
  <c r="E109" i="4"/>
  <c r="C109" i="4"/>
  <c r="T109" i="4" s="1"/>
  <c r="E108" i="4"/>
  <c r="C108" i="4"/>
  <c r="L108" i="4" s="1"/>
  <c r="Y108" i="4" s="1"/>
  <c r="O107" i="4"/>
  <c r="AJ107" i="4" s="1"/>
  <c r="N107" i="4"/>
  <c r="AA107" i="4" s="1"/>
  <c r="M107" i="4"/>
  <c r="W107" i="4" s="1"/>
  <c r="J107" i="4"/>
  <c r="Z107" i="4" s="1"/>
  <c r="E107" i="4"/>
  <c r="C107" i="4"/>
  <c r="E106" i="4"/>
  <c r="C106" i="4"/>
  <c r="Y105" i="4"/>
  <c r="M105" i="4"/>
  <c r="W105" i="4" s="1"/>
  <c r="E105" i="4"/>
  <c r="C105" i="4"/>
  <c r="L105" i="4" s="1"/>
  <c r="I104" i="4"/>
  <c r="H104" i="4"/>
  <c r="G104" i="4"/>
  <c r="X104" i="4" s="1"/>
  <c r="F104" i="4"/>
  <c r="E104" i="4"/>
  <c r="C104" i="4"/>
  <c r="E103" i="4"/>
  <c r="C103" i="4"/>
  <c r="B103" i="4" s="1"/>
  <c r="N102" i="4"/>
  <c r="AA102" i="4" s="1"/>
  <c r="M102" i="4"/>
  <c r="W102" i="4" s="1"/>
  <c r="L102" i="4"/>
  <c r="Y102" i="4" s="1"/>
  <c r="I102" i="4"/>
  <c r="H102" i="4"/>
  <c r="G102" i="4"/>
  <c r="X102" i="4" s="1"/>
  <c r="F102" i="4"/>
  <c r="E102" i="4"/>
  <c r="D102" i="4"/>
  <c r="C102" i="4"/>
  <c r="J102" i="4" s="1"/>
  <c r="Z102" i="4" s="1"/>
  <c r="B102" i="4"/>
  <c r="N101" i="4"/>
  <c r="AA101" i="4" s="1"/>
  <c r="M101" i="4"/>
  <c r="W101" i="4" s="1"/>
  <c r="J101" i="4"/>
  <c r="Z101" i="4" s="1"/>
  <c r="H101" i="4"/>
  <c r="G101" i="4"/>
  <c r="X101" i="4" s="1"/>
  <c r="F101" i="4"/>
  <c r="E101" i="4"/>
  <c r="C101" i="4"/>
  <c r="I101" i="4" s="1"/>
  <c r="B101" i="4"/>
  <c r="E100" i="4"/>
  <c r="C100" i="4"/>
  <c r="N99" i="4"/>
  <c r="AA99" i="4" s="1"/>
  <c r="M99" i="4"/>
  <c r="W99" i="4" s="1"/>
  <c r="G99" i="4"/>
  <c r="X99" i="4" s="1"/>
  <c r="F99" i="4"/>
  <c r="E99" i="4"/>
  <c r="D99" i="4"/>
  <c r="C99" i="4"/>
  <c r="L99" i="4" s="1"/>
  <c r="Y99" i="4" s="1"/>
  <c r="Z98" i="4"/>
  <c r="N98" i="4"/>
  <c r="AA98" i="4" s="1"/>
  <c r="K98" i="4"/>
  <c r="J98" i="4"/>
  <c r="I98" i="4"/>
  <c r="G98" i="4"/>
  <c r="X98" i="4" s="1"/>
  <c r="E98" i="4"/>
  <c r="D98" i="4"/>
  <c r="C98" i="4"/>
  <c r="F98" i="4" s="1"/>
  <c r="B98" i="4"/>
  <c r="K97" i="4"/>
  <c r="E97" i="4"/>
  <c r="C97" i="4"/>
  <c r="N96" i="4"/>
  <c r="AA96" i="4" s="1"/>
  <c r="M96" i="4"/>
  <c r="W96" i="4" s="1"/>
  <c r="K96" i="4"/>
  <c r="I96" i="4"/>
  <c r="H96" i="4"/>
  <c r="E96" i="4"/>
  <c r="D96" i="4"/>
  <c r="C96" i="4"/>
  <c r="E95" i="4"/>
  <c r="C95" i="4"/>
  <c r="B95" i="4" s="1"/>
  <c r="E94" i="4"/>
  <c r="C94" i="4"/>
  <c r="G94" i="4" s="1"/>
  <c r="X94" i="4" s="1"/>
  <c r="I93" i="4"/>
  <c r="H93" i="4"/>
  <c r="G93" i="4"/>
  <c r="X93" i="4" s="1"/>
  <c r="E93" i="4"/>
  <c r="C93" i="4"/>
  <c r="F93" i="4" s="1"/>
  <c r="J92" i="4"/>
  <c r="Z92" i="4" s="1"/>
  <c r="F92" i="4"/>
  <c r="E92" i="4"/>
  <c r="C92" i="4"/>
  <c r="B92" i="4" s="1"/>
  <c r="L91" i="4"/>
  <c r="Y91" i="4" s="1"/>
  <c r="I91" i="4"/>
  <c r="E91" i="4"/>
  <c r="C91" i="4"/>
  <c r="M90" i="4"/>
  <c r="W90" i="4" s="1"/>
  <c r="K90" i="4"/>
  <c r="E90" i="4"/>
  <c r="C90" i="4"/>
  <c r="B90" i="4" s="1"/>
  <c r="L89" i="4"/>
  <c r="Y89" i="4" s="1"/>
  <c r="I89" i="4"/>
  <c r="E89" i="4"/>
  <c r="D89" i="4"/>
  <c r="C89" i="4"/>
  <c r="K89" i="4" s="1"/>
  <c r="N88" i="4"/>
  <c r="AA88" i="4" s="1"/>
  <c r="L88" i="4"/>
  <c r="Y88" i="4" s="1"/>
  <c r="I88" i="4"/>
  <c r="H88" i="4"/>
  <c r="E88" i="4"/>
  <c r="C88" i="4"/>
  <c r="B88" i="4"/>
  <c r="Y87" i="4"/>
  <c r="L87" i="4"/>
  <c r="E87" i="4"/>
  <c r="D87" i="4"/>
  <c r="C87" i="4"/>
  <c r="J87" i="4" s="1"/>
  <c r="Z87" i="4" s="1"/>
  <c r="B87" i="4"/>
  <c r="M86" i="4"/>
  <c r="W86" i="4" s="1"/>
  <c r="L86" i="4"/>
  <c r="Y86" i="4" s="1"/>
  <c r="K86" i="4"/>
  <c r="V86" i="4" s="1"/>
  <c r="I86" i="4"/>
  <c r="H86" i="4"/>
  <c r="G86" i="4"/>
  <c r="X86" i="4" s="1"/>
  <c r="F86" i="4"/>
  <c r="E86" i="4"/>
  <c r="C86" i="4"/>
  <c r="N86" i="4" s="1"/>
  <c r="AA86" i="4" s="1"/>
  <c r="B86" i="4"/>
  <c r="L85" i="4"/>
  <c r="Y85" i="4" s="1"/>
  <c r="H85" i="4"/>
  <c r="G85" i="4"/>
  <c r="X85" i="4" s="1"/>
  <c r="F85" i="4"/>
  <c r="E85" i="4"/>
  <c r="C85" i="4"/>
  <c r="M85" i="4" s="1"/>
  <c r="W85" i="4" s="1"/>
  <c r="M84" i="4"/>
  <c r="W84" i="4" s="1"/>
  <c r="E84" i="4"/>
  <c r="C84" i="4"/>
  <c r="B84" i="4" s="1"/>
  <c r="L83" i="4"/>
  <c r="Y83" i="4" s="1"/>
  <c r="F83" i="4"/>
  <c r="E83" i="4"/>
  <c r="C83" i="4"/>
  <c r="B83" i="4" s="1"/>
  <c r="K82" i="4"/>
  <c r="E82" i="4"/>
  <c r="C82" i="4"/>
  <c r="B82" i="4" s="1"/>
  <c r="E81" i="4"/>
  <c r="C81" i="4"/>
  <c r="N81" i="4" s="1"/>
  <c r="AA81" i="4" s="1"/>
  <c r="AA80" i="4"/>
  <c r="W80" i="4"/>
  <c r="V80" i="4"/>
  <c r="N80" i="4"/>
  <c r="M80" i="4"/>
  <c r="K80" i="4"/>
  <c r="J80" i="4"/>
  <c r="Z80" i="4" s="1"/>
  <c r="I80" i="4"/>
  <c r="H80" i="4"/>
  <c r="F80" i="4"/>
  <c r="E80" i="4"/>
  <c r="D80" i="4"/>
  <c r="C80" i="4"/>
  <c r="L80" i="4" s="1"/>
  <c r="Y80" i="4" s="1"/>
  <c r="M79" i="4"/>
  <c r="W79" i="4" s="1"/>
  <c r="G79" i="4"/>
  <c r="X79" i="4" s="1"/>
  <c r="E79" i="4"/>
  <c r="D79" i="4"/>
  <c r="C79" i="4"/>
  <c r="B79" i="4"/>
  <c r="E78" i="4"/>
  <c r="C78" i="4"/>
  <c r="M78" i="4" s="1"/>
  <c r="W78" i="4" s="1"/>
  <c r="E77" i="4"/>
  <c r="C77" i="4"/>
  <c r="B77" i="4" s="1"/>
  <c r="E76" i="4"/>
  <c r="C76" i="4"/>
  <c r="K76" i="4" s="1"/>
  <c r="N75" i="4"/>
  <c r="AA75" i="4" s="1"/>
  <c r="L75" i="4"/>
  <c r="Y75" i="4" s="1"/>
  <c r="J75" i="4"/>
  <c r="Z75" i="4" s="1"/>
  <c r="I75" i="4"/>
  <c r="H75" i="4"/>
  <c r="G75" i="4"/>
  <c r="X75" i="4" s="1"/>
  <c r="E75" i="4"/>
  <c r="C75" i="4"/>
  <c r="E74" i="4"/>
  <c r="C74" i="4"/>
  <c r="M74" i="4" s="1"/>
  <c r="W74" i="4" s="1"/>
  <c r="B74" i="4"/>
  <c r="N73" i="4"/>
  <c r="AA73" i="4" s="1"/>
  <c r="F73" i="4"/>
  <c r="E73" i="4"/>
  <c r="D73" i="4"/>
  <c r="C73" i="4"/>
  <c r="B73" i="4" s="1"/>
  <c r="I72" i="4"/>
  <c r="H72" i="4"/>
  <c r="F72" i="4"/>
  <c r="E72" i="4"/>
  <c r="C72" i="4"/>
  <c r="B72" i="4" s="1"/>
  <c r="L71" i="4"/>
  <c r="Y71" i="4" s="1"/>
  <c r="K71" i="4"/>
  <c r="V71" i="4" s="1"/>
  <c r="J71" i="4"/>
  <c r="Z71" i="4" s="1"/>
  <c r="I71" i="4"/>
  <c r="E71" i="4"/>
  <c r="C71" i="4"/>
  <c r="H71" i="4" s="1"/>
  <c r="M70" i="4"/>
  <c r="W70" i="4" s="1"/>
  <c r="H70" i="4"/>
  <c r="G70" i="4"/>
  <c r="X70" i="4" s="1"/>
  <c r="F70" i="4"/>
  <c r="E70" i="4"/>
  <c r="C70" i="4"/>
  <c r="J70" i="4" s="1"/>
  <c r="Z70" i="4" s="1"/>
  <c r="B70" i="4"/>
  <c r="E69" i="4"/>
  <c r="C69" i="4"/>
  <c r="M69" i="4" s="1"/>
  <c r="W69" i="4" s="1"/>
  <c r="E68" i="4"/>
  <c r="C68" i="4"/>
  <c r="B68" i="4" s="1"/>
  <c r="F67" i="4"/>
  <c r="E67" i="4"/>
  <c r="D67" i="4"/>
  <c r="C67" i="4"/>
  <c r="B67" i="4" s="1"/>
  <c r="K66" i="4"/>
  <c r="I66" i="4"/>
  <c r="E66" i="4"/>
  <c r="C66" i="4"/>
  <c r="B66" i="4" s="1"/>
  <c r="K65" i="4"/>
  <c r="E65" i="4"/>
  <c r="C65" i="4"/>
  <c r="M64" i="4"/>
  <c r="W64" i="4" s="1"/>
  <c r="K64" i="4"/>
  <c r="V64" i="4" s="1"/>
  <c r="J64" i="4"/>
  <c r="Z64" i="4" s="1"/>
  <c r="I64" i="4"/>
  <c r="H64" i="4"/>
  <c r="G64" i="4"/>
  <c r="X64" i="4" s="1"/>
  <c r="F64" i="4"/>
  <c r="E64" i="4"/>
  <c r="C64" i="4"/>
  <c r="L64" i="4" s="1"/>
  <c r="Y64" i="4" s="1"/>
  <c r="M63" i="4"/>
  <c r="W63" i="4" s="1"/>
  <c r="E63" i="4"/>
  <c r="D63" i="4"/>
  <c r="C63" i="4"/>
  <c r="K63" i="4" s="1"/>
  <c r="N62" i="4"/>
  <c r="AA62" i="4" s="1"/>
  <c r="J62" i="4"/>
  <c r="Z62" i="4" s="1"/>
  <c r="G62" i="4"/>
  <c r="X62" i="4" s="1"/>
  <c r="F62" i="4"/>
  <c r="E62" i="4"/>
  <c r="D62" i="4"/>
  <c r="C62" i="4"/>
  <c r="J61" i="4"/>
  <c r="Z61" i="4" s="1"/>
  <c r="I61" i="4"/>
  <c r="G61" i="4"/>
  <c r="X61" i="4" s="1"/>
  <c r="F61" i="4"/>
  <c r="E61" i="4"/>
  <c r="C61" i="4"/>
  <c r="H61" i="4" s="1"/>
  <c r="B61" i="4"/>
  <c r="M60" i="4"/>
  <c r="W60" i="4" s="1"/>
  <c r="K60" i="4"/>
  <c r="E60" i="4"/>
  <c r="C60" i="4"/>
  <c r="B60" i="4" s="1"/>
  <c r="E59" i="4"/>
  <c r="C59" i="4"/>
  <c r="N59" i="4" s="1"/>
  <c r="AA59" i="4" s="1"/>
  <c r="I58" i="4"/>
  <c r="H58" i="4"/>
  <c r="F58" i="4"/>
  <c r="E58" i="4"/>
  <c r="C58" i="4"/>
  <c r="L58" i="4" s="1"/>
  <c r="Y58" i="4" s="1"/>
  <c r="B58" i="4"/>
  <c r="N57" i="4"/>
  <c r="AA57" i="4" s="1"/>
  <c r="L57" i="4"/>
  <c r="Y57" i="4" s="1"/>
  <c r="E57" i="4"/>
  <c r="D57" i="4"/>
  <c r="C57" i="4"/>
  <c r="B57" i="4" s="1"/>
  <c r="N56" i="4"/>
  <c r="AA56" i="4" s="1"/>
  <c r="E56" i="4"/>
  <c r="C56" i="4"/>
  <c r="B56" i="4" s="1"/>
  <c r="L55" i="4"/>
  <c r="Y55" i="4" s="1"/>
  <c r="K55" i="4"/>
  <c r="V55" i="4" s="1"/>
  <c r="J55" i="4"/>
  <c r="Z55" i="4" s="1"/>
  <c r="I55" i="4"/>
  <c r="H55" i="4"/>
  <c r="F55" i="4"/>
  <c r="E55" i="4"/>
  <c r="C55" i="4"/>
  <c r="B55" i="4" s="1"/>
  <c r="I54" i="4"/>
  <c r="H54" i="4"/>
  <c r="G54" i="4"/>
  <c r="X54" i="4" s="1"/>
  <c r="F54" i="4"/>
  <c r="E54" i="4"/>
  <c r="C54" i="4"/>
  <c r="J54" i="4" s="1"/>
  <c r="Z54" i="4" s="1"/>
  <c r="K53" i="4"/>
  <c r="G53" i="4"/>
  <c r="X53" i="4" s="1"/>
  <c r="F53" i="4"/>
  <c r="E53" i="4"/>
  <c r="D53" i="4"/>
  <c r="C53" i="4"/>
  <c r="M53" i="4" s="1"/>
  <c r="W53" i="4" s="1"/>
  <c r="B53" i="4"/>
  <c r="N52" i="4"/>
  <c r="AA52" i="4" s="1"/>
  <c r="E52" i="4"/>
  <c r="C52" i="4"/>
  <c r="M52" i="4" s="1"/>
  <c r="W52" i="4" s="1"/>
  <c r="V51" i="4"/>
  <c r="N51" i="4"/>
  <c r="AA51" i="4" s="1"/>
  <c r="M51" i="4"/>
  <c r="W51" i="4" s="1"/>
  <c r="L51" i="4"/>
  <c r="Y51" i="4" s="1"/>
  <c r="K51" i="4"/>
  <c r="J51" i="4"/>
  <c r="Z51" i="4" s="1"/>
  <c r="H51" i="4"/>
  <c r="G51" i="4"/>
  <c r="X51" i="4" s="1"/>
  <c r="F51" i="4"/>
  <c r="E51" i="4"/>
  <c r="D51" i="4"/>
  <c r="C51" i="4"/>
  <c r="B51" i="4"/>
  <c r="E50" i="4"/>
  <c r="C50" i="4"/>
  <c r="B50" i="4" s="1"/>
  <c r="K49" i="4"/>
  <c r="E49" i="4"/>
  <c r="C49" i="4"/>
  <c r="H49" i="4" s="1"/>
  <c r="E48" i="4"/>
  <c r="C48" i="4"/>
  <c r="L48" i="4" s="1"/>
  <c r="Y48" i="4" s="1"/>
  <c r="X47" i="4"/>
  <c r="N47" i="4"/>
  <c r="AA47" i="4" s="1"/>
  <c r="L47" i="4"/>
  <c r="Y47" i="4" s="1"/>
  <c r="G47" i="4"/>
  <c r="E47" i="4"/>
  <c r="D47" i="4"/>
  <c r="C47" i="4"/>
  <c r="B47" i="4"/>
  <c r="E46" i="4"/>
  <c r="C46" i="4"/>
  <c r="L46" i="4" s="1"/>
  <c r="Y46" i="4" s="1"/>
  <c r="G45" i="4"/>
  <c r="X45" i="4" s="1"/>
  <c r="F45" i="4"/>
  <c r="E45" i="4"/>
  <c r="C45" i="4"/>
  <c r="B45" i="4" s="1"/>
  <c r="L44" i="4"/>
  <c r="Y44" i="4" s="1"/>
  <c r="K44" i="4"/>
  <c r="V44" i="4" s="1"/>
  <c r="J44" i="4"/>
  <c r="Z44" i="4" s="1"/>
  <c r="E44" i="4"/>
  <c r="D44" i="4"/>
  <c r="C44" i="4"/>
  <c r="B44" i="4" s="1"/>
  <c r="N43" i="4"/>
  <c r="AA43" i="4" s="1"/>
  <c r="J43" i="4"/>
  <c r="Z43" i="4" s="1"/>
  <c r="I43" i="4"/>
  <c r="H43" i="4"/>
  <c r="G43" i="4"/>
  <c r="X43" i="4" s="1"/>
  <c r="F43" i="4"/>
  <c r="E43" i="4"/>
  <c r="D43" i="4"/>
  <c r="C43" i="4"/>
  <c r="M43" i="4" s="1"/>
  <c r="W43" i="4" s="1"/>
  <c r="L42" i="4"/>
  <c r="Y42" i="4" s="1"/>
  <c r="E42" i="4"/>
  <c r="C42" i="4"/>
  <c r="B42" i="4" s="1"/>
  <c r="L41" i="4"/>
  <c r="Y41" i="4" s="1"/>
  <c r="J41" i="4"/>
  <c r="Z41" i="4" s="1"/>
  <c r="E41" i="4"/>
  <c r="C41" i="4"/>
  <c r="Y40" i="4"/>
  <c r="X40" i="4"/>
  <c r="N40" i="4"/>
  <c r="AA40" i="4" s="1"/>
  <c r="M40" i="4"/>
  <c r="W40" i="4" s="1"/>
  <c r="L40" i="4"/>
  <c r="I40" i="4"/>
  <c r="H40" i="4"/>
  <c r="G40" i="4"/>
  <c r="F40" i="4"/>
  <c r="E40" i="4"/>
  <c r="C40" i="4"/>
  <c r="B40" i="4" s="1"/>
  <c r="K39" i="4"/>
  <c r="I39" i="4"/>
  <c r="E39" i="4"/>
  <c r="C39" i="4"/>
  <c r="Y38" i="4"/>
  <c r="X38" i="4"/>
  <c r="M38" i="4"/>
  <c r="W38" i="4" s="1"/>
  <c r="L38" i="4"/>
  <c r="I38" i="4"/>
  <c r="H38" i="4"/>
  <c r="G38" i="4"/>
  <c r="F38" i="4"/>
  <c r="E38" i="4"/>
  <c r="D38" i="4"/>
  <c r="C38" i="4"/>
  <c r="W37" i="4"/>
  <c r="K37" i="4"/>
  <c r="J37" i="4"/>
  <c r="Z37" i="4" s="1"/>
  <c r="I37" i="4"/>
  <c r="H37" i="4"/>
  <c r="G37" i="4"/>
  <c r="X37" i="4" s="1"/>
  <c r="F37" i="4"/>
  <c r="E37" i="4"/>
  <c r="C37" i="4"/>
  <c r="M37" i="4" s="1"/>
  <c r="B37" i="4"/>
  <c r="J36" i="4"/>
  <c r="Z36" i="4" s="1"/>
  <c r="E36" i="4"/>
  <c r="C36" i="4"/>
  <c r="H36" i="4" s="1"/>
  <c r="V35" i="4"/>
  <c r="N35" i="4"/>
  <c r="AA35" i="4" s="1"/>
  <c r="M35" i="4"/>
  <c r="W35" i="4" s="1"/>
  <c r="L35" i="4"/>
  <c r="Y35" i="4" s="1"/>
  <c r="K35" i="4"/>
  <c r="J35" i="4"/>
  <c r="Z35" i="4" s="1"/>
  <c r="E35" i="4"/>
  <c r="C35" i="4"/>
  <c r="H35" i="4" s="1"/>
  <c r="B35" i="4"/>
  <c r="E34" i="4"/>
  <c r="C34" i="4"/>
  <c r="D34" i="4" s="1"/>
  <c r="N33" i="4"/>
  <c r="AA33" i="4" s="1"/>
  <c r="L33" i="4"/>
  <c r="Y33" i="4" s="1"/>
  <c r="K33" i="4"/>
  <c r="J33" i="4"/>
  <c r="Z33" i="4" s="1"/>
  <c r="H33" i="4"/>
  <c r="E33" i="4"/>
  <c r="C33" i="4"/>
  <c r="G33" i="4" s="1"/>
  <c r="X33" i="4" s="1"/>
  <c r="Y32" i="4"/>
  <c r="K32" i="4"/>
  <c r="V32" i="4" s="1"/>
  <c r="J32" i="4"/>
  <c r="Z32" i="4" s="1"/>
  <c r="I32" i="4"/>
  <c r="H32" i="4"/>
  <c r="G32" i="4"/>
  <c r="X32" i="4" s="1"/>
  <c r="F32" i="4"/>
  <c r="E32" i="4"/>
  <c r="C32" i="4"/>
  <c r="L32" i="4" s="1"/>
  <c r="K31" i="4"/>
  <c r="E31" i="4"/>
  <c r="C31" i="4"/>
  <c r="G30" i="4"/>
  <c r="X30" i="4" s="1"/>
  <c r="E30" i="4"/>
  <c r="D30" i="4"/>
  <c r="C30" i="4"/>
  <c r="L30" i="4" s="1"/>
  <c r="Y30" i="4" s="1"/>
  <c r="Z29" i="4"/>
  <c r="X29" i="4"/>
  <c r="N29" i="4"/>
  <c r="AA29" i="4" s="1"/>
  <c r="M29" i="4"/>
  <c r="W29" i="4" s="1"/>
  <c r="J29" i="4"/>
  <c r="I29" i="4"/>
  <c r="G29" i="4"/>
  <c r="E29" i="4"/>
  <c r="D29" i="4"/>
  <c r="C29" i="4"/>
  <c r="F29" i="4" s="1"/>
  <c r="L28" i="4"/>
  <c r="Y28" i="4" s="1"/>
  <c r="K28" i="4"/>
  <c r="V28" i="4" s="1"/>
  <c r="J28" i="4"/>
  <c r="Z28" i="4" s="1"/>
  <c r="I28" i="4"/>
  <c r="E28" i="4"/>
  <c r="C28" i="4"/>
  <c r="F28" i="4" s="1"/>
  <c r="B28" i="4"/>
  <c r="E27" i="4"/>
  <c r="C27" i="4"/>
  <c r="M27" i="4" s="1"/>
  <c r="W27" i="4" s="1"/>
  <c r="K26" i="4"/>
  <c r="E26" i="4"/>
  <c r="C26" i="4"/>
  <c r="B26" i="4" s="1"/>
  <c r="E25" i="4"/>
  <c r="C25" i="4"/>
  <c r="J25" i="4" s="1"/>
  <c r="Z25" i="4" s="1"/>
  <c r="L24" i="4"/>
  <c r="Y24" i="4" s="1"/>
  <c r="K24" i="4"/>
  <c r="V24" i="4" s="1"/>
  <c r="I24" i="4"/>
  <c r="F24" i="4"/>
  <c r="E24" i="4"/>
  <c r="C24" i="4"/>
  <c r="H24" i="4" s="1"/>
  <c r="E23" i="4"/>
  <c r="C23" i="4"/>
  <c r="J23" i="4" s="1"/>
  <c r="Z23" i="4" s="1"/>
  <c r="N22" i="4"/>
  <c r="AA22" i="4" s="1"/>
  <c r="M22" i="4"/>
  <c r="W22" i="4" s="1"/>
  <c r="K22" i="4"/>
  <c r="J22" i="4"/>
  <c r="Z22" i="4" s="1"/>
  <c r="E22" i="4"/>
  <c r="C22" i="4"/>
  <c r="I22" i="4" s="1"/>
  <c r="M21" i="4"/>
  <c r="W21" i="4" s="1"/>
  <c r="K21" i="4"/>
  <c r="J21" i="4"/>
  <c r="Z21" i="4" s="1"/>
  <c r="I21" i="4"/>
  <c r="H21" i="4"/>
  <c r="G21" i="4"/>
  <c r="X21" i="4" s="1"/>
  <c r="E21" i="4"/>
  <c r="C21" i="4"/>
  <c r="F21" i="4" s="1"/>
  <c r="B21" i="4"/>
  <c r="E20" i="4"/>
  <c r="C20" i="4"/>
  <c r="I20" i="4" s="1"/>
  <c r="G19" i="4"/>
  <c r="X19" i="4" s="1"/>
  <c r="F19" i="4"/>
  <c r="E19" i="4"/>
  <c r="C19" i="4"/>
  <c r="L19" i="4" s="1"/>
  <c r="Y19" i="4" s="1"/>
  <c r="E18" i="4"/>
  <c r="C18" i="4"/>
  <c r="I18" i="4" s="1"/>
  <c r="E17" i="4"/>
  <c r="C17" i="4"/>
  <c r="L16" i="4"/>
  <c r="Y16" i="4" s="1"/>
  <c r="K16" i="4"/>
  <c r="V16" i="4" s="1"/>
  <c r="J16" i="4"/>
  <c r="Z16" i="4" s="1"/>
  <c r="I16" i="4"/>
  <c r="H16" i="4"/>
  <c r="G16" i="4"/>
  <c r="X16" i="4" s="1"/>
  <c r="F16" i="4"/>
  <c r="E16" i="4"/>
  <c r="C16" i="4"/>
  <c r="D16" i="4" s="1"/>
  <c r="J15" i="4"/>
  <c r="Z15" i="4" s="1"/>
  <c r="I15" i="4"/>
  <c r="E15" i="4"/>
  <c r="C15" i="4"/>
  <c r="H15" i="4" s="1"/>
  <c r="B15" i="4"/>
  <c r="N14" i="4"/>
  <c r="AA14" i="4" s="1"/>
  <c r="M14" i="4"/>
  <c r="W14" i="4" s="1"/>
  <c r="L14" i="4"/>
  <c r="Y14" i="4" s="1"/>
  <c r="H14" i="4"/>
  <c r="G14" i="4"/>
  <c r="X14" i="4" s="1"/>
  <c r="F14" i="4"/>
  <c r="E14" i="4"/>
  <c r="C14" i="4"/>
  <c r="K14" i="4" s="1"/>
  <c r="H13" i="4"/>
  <c r="E13" i="4"/>
  <c r="C13" i="4"/>
  <c r="N13" i="4" s="1"/>
  <c r="AA13" i="4" s="1"/>
  <c r="E12" i="4"/>
  <c r="C12" i="4"/>
  <c r="K12" i="4" s="1"/>
  <c r="Y11" i="4"/>
  <c r="V11" i="4"/>
  <c r="N11" i="4"/>
  <c r="AA11" i="4" s="1"/>
  <c r="L11" i="4"/>
  <c r="K11" i="4"/>
  <c r="I11" i="4"/>
  <c r="F11" i="4"/>
  <c r="E11" i="4"/>
  <c r="C11" i="4"/>
  <c r="H11" i="4" s="1"/>
  <c r="K10" i="4"/>
  <c r="J10" i="4"/>
  <c r="Z10" i="4" s="1"/>
  <c r="I10" i="4"/>
  <c r="H10" i="4"/>
  <c r="E10" i="4"/>
  <c r="C10" i="4"/>
  <c r="G10" i="4" s="1"/>
  <c r="X10" i="4" s="1"/>
  <c r="B10" i="4"/>
  <c r="F9" i="4"/>
  <c r="E9" i="4"/>
  <c r="D9" i="4"/>
  <c r="C9" i="4"/>
  <c r="B9" i="4" s="1"/>
  <c r="N8" i="4"/>
  <c r="AA8" i="4" s="1"/>
  <c r="J8" i="4"/>
  <c r="Z8" i="4" s="1"/>
  <c r="E8" i="4"/>
  <c r="C8" i="4"/>
  <c r="M8" i="4" s="1"/>
  <c r="W8" i="4" s="1"/>
  <c r="B8" i="4"/>
  <c r="E7" i="4"/>
  <c r="C7" i="4"/>
  <c r="J7" i="4" s="1"/>
  <c r="Z7" i="4" s="1"/>
  <c r="B7" i="4"/>
  <c r="N6" i="4"/>
  <c r="AA6" i="4" s="1"/>
  <c r="M6" i="4"/>
  <c r="W6" i="4" s="1"/>
  <c r="K6" i="4"/>
  <c r="J6" i="4"/>
  <c r="Z6" i="4" s="1"/>
  <c r="I6" i="4"/>
  <c r="E6" i="4"/>
  <c r="C6" i="4"/>
  <c r="H6" i="4" s="1"/>
  <c r="B6" i="4"/>
  <c r="N5" i="4"/>
  <c r="AA5" i="4" s="1"/>
  <c r="M5" i="4"/>
  <c r="W5" i="4" s="1"/>
  <c r="K5" i="4"/>
  <c r="J5" i="4"/>
  <c r="Z5" i="4" s="1"/>
  <c r="I5" i="4"/>
  <c r="H5" i="4"/>
  <c r="E5" i="4"/>
  <c r="C5" i="4"/>
  <c r="F5" i="4" s="1"/>
  <c r="J4" i="4"/>
  <c r="Z4" i="4" s="1"/>
  <c r="E4" i="4"/>
  <c r="C4" i="4"/>
  <c r="I4" i="4" s="1"/>
  <c r="M3" i="4"/>
  <c r="W3" i="4" s="1"/>
  <c r="H3" i="4"/>
  <c r="G3" i="4"/>
  <c r="X3" i="4" s="1"/>
  <c r="F3" i="4"/>
  <c r="E3" i="4"/>
  <c r="C3" i="4"/>
  <c r="L3" i="4" s="1"/>
  <c r="Y3" i="4" s="1"/>
  <c r="J2" i="4"/>
  <c r="Z2" i="4" s="1"/>
  <c r="E2" i="4"/>
  <c r="C2" i="4"/>
  <c r="I2" i="4" s="1"/>
  <c r="A63" i="3"/>
  <c r="A62" i="3"/>
  <c r="A61" i="3"/>
  <c r="A56" i="3"/>
  <c r="A55" i="3"/>
  <c r="A54" i="3"/>
  <c r="A53" i="3"/>
  <c r="B8" i="3"/>
  <c r="B7" i="3"/>
  <c r="B6" i="3"/>
  <c r="B5" i="3"/>
  <c r="B4" i="3"/>
  <c r="B3" i="3"/>
  <c r="C48" i="21"/>
  <c r="C49" i="21"/>
  <c r="C50" i="21"/>
  <c r="C51" i="21"/>
  <c r="C52" i="21"/>
  <c r="C53" i="21"/>
  <c r="C47" i="21"/>
  <c r="C46" i="21"/>
  <c r="T56" i="7"/>
  <c r="S56" i="7"/>
  <c r="R56" i="7"/>
  <c r="T55" i="7"/>
  <c r="S55" i="7"/>
  <c r="R55" i="7"/>
  <c r="T54" i="7"/>
  <c r="S54" i="7"/>
  <c r="R54" i="7"/>
  <c r="T53" i="7"/>
  <c r="S53" i="7"/>
  <c r="R53" i="7"/>
  <c r="T52" i="7"/>
  <c r="S52" i="7"/>
  <c r="R52" i="7"/>
  <c r="T51" i="7"/>
  <c r="S51" i="7"/>
  <c r="R51" i="7"/>
  <c r="T50" i="7"/>
  <c r="S50" i="7"/>
  <c r="R50" i="7"/>
  <c r="T49" i="7"/>
  <c r="S49" i="7"/>
  <c r="R49" i="7"/>
  <c r="R48" i="7"/>
  <c r="R47" i="7"/>
  <c r="R46" i="7"/>
  <c r="R45" i="7"/>
  <c r="R44" i="7"/>
  <c r="R43" i="7"/>
  <c r="R42" i="7"/>
  <c r="R41" i="7"/>
  <c r="R40" i="7"/>
  <c r="R39" i="7"/>
  <c r="R38" i="7"/>
  <c r="R37" i="7"/>
  <c r="R36" i="7"/>
  <c r="R35" i="7"/>
  <c r="R34" i="7"/>
  <c r="R33" i="7"/>
  <c r="R32" i="7"/>
  <c r="R31" i="7"/>
  <c r="R30" i="7"/>
  <c r="R29" i="7"/>
  <c r="R28" i="7"/>
  <c r="R27" i="7"/>
  <c r="R26" i="7"/>
  <c r="R25" i="7"/>
  <c r="R24" i="7"/>
  <c r="R23" i="7"/>
  <c r="R22" i="7"/>
  <c r="R21" i="7"/>
  <c r="R20" i="7"/>
  <c r="R19" i="7"/>
  <c r="R18" i="7"/>
  <c r="R17" i="7"/>
  <c r="R16" i="7"/>
  <c r="R15" i="7"/>
  <c r="R14" i="7"/>
  <c r="R13" i="7"/>
  <c r="R12" i="7"/>
  <c r="R11" i="7"/>
  <c r="R10" i="7"/>
  <c r="R9" i="7"/>
  <c r="R8" i="7"/>
  <c r="R7" i="7"/>
  <c r="R6" i="7"/>
  <c r="R5" i="7"/>
  <c r="C46" i="22"/>
  <c r="C47" i="22"/>
  <c r="C48" i="22"/>
  <c r="C49" i="22"/>
  <c r="C50" i="22"/>
  <c r="C51" i="22"/>
  <c r="C52" i="22"/>
  <c r="C53" i="22"/>
  <c r="N507" i="4" l="1"/>
  <c r="AA507" i="4" s="1"/>
  <c r="M507" i="4"/>
  <c r="W507" i="4" s="1"/>
  <c r="J507" i="4"/>
  <c r="Z507" i="4" s="1"/>
  <c r="H507" i="4"/>
  <c r="G507" i="4"/>
  <c r="X507" i="4" s="1"/>
  <c r="D507" i="4"/>
  <c r="F507" i="4"/>
  <c r="L507" i="4"/>
  <c r="Y507" i="4" s="1"/>
  <c r="D109" i="4"/>
  <c r="B12" i="4"/>
  <c r="B69" i="4"/>
  <c r="K125" i="4"/>
  <c r="D125" i="4"/>
  <c r="O125" i="4"/>
  <c r="AJ125" i="4" s="1"/>
  <c r="N125" i="4"/>
  <c r="AA125" i="4" s="1"/>
  <c r="K167" i="4"/>
  <c r="V167" i="4" s="1"/>
  <c r="I167" i="4"/>
  <c r="H167" i="4"/>
  <c r="G167" i="4"/>
  <c r="X167" i="4" s="1"/>
  <c r="L180" i="4"/>
  <c r="G180" i="4"/>
  <c r="X180" i="4" s="1"/>
  <c r="F180" i="4"/>
  <c r="N180" i="4"/>
  <c r="AA180" i="4" s="1"/>
  <c r="M180" i="4"/>
  <c r="W180" i="4" s="1"/>
  <c r="N183" i="4"/>
  <c r="AA183" i="4" s="1"/>
  <c r="I183" i="4"/>
  <c r="H183" i="4"/>
  <c r="G183" i="4"/>
  <c r="X183" i="4" s="1"/>
  <c r="F183" i="4"/>
  <c r="D183" i="4"/>
  <c r="U189" i="4"/>
  <c r="AE189" i="4" s="1"/>
  <c r="M189" i="4"/>
  <c r="W189" i="4" s="1"/>
  <c r="L189" i="4"/>
  <c r="Y189" i="4" s="1"/>
  <c r="K189" i="4"/>
  <c r="J189" i="4"/>
  <c r="Z189" i="4" s="1"/>
  <c r="G189" i="4"/>
  <c r="X189" i="4" s="1"/>
  <c r="F189" i="4"/>
  <c r="V234" i="4"/>
  <c r="Q238" i="4"/>
  <c r="AC238" i="4" s="1"/>
  <c r="N238" i="4"/>
  <c r="AA238" i="4" s="1"/>
  <c r="D238" i="4"/>
  <c r="D48" i="4"/>
  <c r="F69" i="4"/>
  <c r="N3" i="4"/>
  <c r="AA3" i="4" s="1"/>
  <c r="G9" i="4"/>
  <c r="X9" i="4" s="1"/>
  <c r="B13" i="4"/>
  <c r="M16" i="4"/>
  <c r="W16" i="4" s="1"/>
  <c r="H19" i="4"/>
  <c r="B24" i="4"/>
  <c r="B29" i="4"/>
  <c r="J30" i="4"/>
  <c r="Z30" i="4" s="1"/>
  <c r="M32" i="4"/>
  <c r="W32" i="4" s="1"/>
  <c r="B36" i="4"/>
  <c r="L37" i="4"/>
  <c r="Y37" i="4" s="1"/>
  <c r="L43" i="4"/>
  <c r="Y43" i="4" s="1"/>
  <c r="N45" i="4"/>
  <c r="AA45" i="4" s="1"/>
  <c r="H53" i="4"/>
  <c r="K54" i="4"/>
  <c r="J58" i="4"/>
  <c r="Z58" i="4" s="1"/>
  <c r="B63" i="4"/>
  <c r="N64" i="4"/>
  <c r="AA64" i="4" s="1"/>
  <c r="G67" i="4"/>
  <c r="X67" i="4" s="1"/>
  <c r="G69" i="4"/>
  <c r="X69" i="4" s="1"/>
  <c r="I70" i="4"/>
  <c r="I74" i="4"/>
  <c r="F81" i="4"/>
  <c r="G83" i="4"/>
  <c r="X83" i="4" s="1"/>
  <c r="I85" i="4"/>
  <c r="B89" i="4"/>
  <c r="M95" i="4"/>
  <c r="W95" i="4" s="1"/>
  <c r="H99" i="4"/>
  <c r="K101" i="4"/>
  <c r="G109" i="4"/>
  <c r="X109" i="4" s="1"/>
  <c r="T115" i="4"/>
  <c r="Q115" i="4"/>
  <c r="AC115" i="4" s="1"/>
  <c r="F115" i="4"/>
  <c r="J118" i="4"/>
  <c r="Z118" i="4" s="1"/>
  <c r="H118" i="4"/>
  <c r="G118" i="4"/>
  <c r="X118" i="4" s="1"/>
  <c r="I125" i="4"/>
  <c r="D143" i="4"/>
  <c r="N161" i="4"/>
  <c r="AA161" i="4" s="1"/>
  <c r="K161" i="4"/>
  <c r="J161" i="4"/>
  <c r="Z161" i="4" s="1"/>
  <c r="L167" i="4"/>
  <c r="Y167" i="4" s="1"/>
  <c r="D173" i="4"/>
  <c r="I180" i="4"/>
  <c r="M183" i="4"/>
  <c r="W183" i="4" s="1"/>
  <c r="M186" i="4"/>
  <c r="W186" i="4" s="1"/>
  <c r="O189" i="4"/>
  <c r="P189" i="4" s="1"/>
  <c r="AB189" i="4" s="1"/>
  <c r="D195" i="4"/>
  <c r="B106" i="4"/>
  <c r="J106" i="4"/>
  <c r="Z106" i="4" s="1"/>
  <c r="H186" i="4"/>
  <c r="U213" i="4"/>
  <c r="G213" i="4"/>
  <c r="X213" i="4" s="1"/>
  <c r="I329" i="4"/>
  <c r="M329" i="4"/>
  <c r="W329" i="4" s="1"/>
  <c r="L329" i="4"/>
  <c r="Y329" i="4" s="1"/>
  <c r="B329" i="4"/>
  <c r="N329" i="4"/>
  <c r="AA329" i="4" s="1"/>
  <c r="Q329" i="4"/>
  <c r="AC329" i="4" s="1"/>
  <c r="K329" i="4"/>
  <c r="J329" i="4"/>
  <c r="Z329" i="4" s="1"/>
  <c r="H329" i="4"/>
  <c r="G329" i="4"/>
  <c r="X329" i="4" s="1"/>
  <c r="H9" i="4"/>
  <c r="N16" i="4"/>
  <c r="AA16" i="4" s="1"/>
  <c r="M19" i="4"/>
  <c r="W19" i="4" s="1"/>
  <c r="B22" i="4"/>
  <c r="F27" i="4"/>
  <c r="K30" i="4"/>
  <c r="V30" i="4" s="1"/>
  <c r="N32" i="4"/>
  <c r="AA32" i="4" s="1"/>
  <c r="K34" i="4"/>
  <c r="N37" i="4"/>
  <c r="AA37" i="4" s="1"/>
  <c r="F48" i="4"/>
  <c r="I50" i="4"/>
  <c r="I53" i="4"/>
  <c r="L54" i="4"/>
  <c r="Y54" i="4" s="1"/>
  <c r="K58" i="4"/>
  <c r="H67" i="4"/>
  <c r="H69" i="4"/>
  <c r="K70" i="4"/>
  <c r="J74" i="4"/>
  <c r="Z74" i="4" s="1"/>
  <c r="H77" i="4"/>
  <c r="G81" i="4"/>
  <c r="X81" i="4" s="1"/>
  <c r="H83" i="4"/>
  <c r="J85" i="4"/>
  <c r="Z85" i="4" s="1"/>
  <c r="V89" i="4"/>
  <c r="M92" i="4"/>
  <c r="W92" i="4" s="1"/>
  <c r="I92" i="4"/>
  <c r="L96" i="4"/>
  <c r="Y96" i="4" s="1"/>
  <c r="F96" i="4"/>
  <c r="L101" i="4"/>
  <c r="Y101" i="4" s="1"/>
  <c r="F106" i="4"/>
  <c r="H109" i="4"/>
  <c r="T117" i="4"/>
  <c r="K117" i="4"/>
  <c r="J117" i="4"/>
  <c r="Z117" i="4" s="1"/>
  <c r="L125" i="4"/>
  <c r="Y125" i="4" s="1"/>
  <c r="I133" i="4"/>
  <c r="K133" i="4"/>
  <c r="G133" i="4"/>
  <c r="X133" i="4" s="1"/>
  <c r="G164" i="4"/>
  <c r="X164" i="4" s="1"/>
  <c r="M167" i="4"/>
  <c r="W167" i="4" s="1"/>
  <c r="J180" i="4"/>
  <c r="Z180" i="4" s="1"/>
  <c r="T189" i="4"/>
  <c r="N334" i="4"/>
  <c r="AA334" i="4" s="1"/>
  <c r="Q334" i="4"/>
  <c r="AC334" i="4" s="1"/>
  <c r="B122" i="4"/>
  <c r="K122" i="4"/>
  <c r="I122" i="4"/>
  <c r="G48" i="4"/>
  <c r="X48" i="4" s="1"/>
  <c r="K50" i="4"/>
  <c r="B52" i="4"/>
  <c r="J53" i="4"/>
  <c r="Z53" i="4" s="1"/>
  <c r="M54" i="4"/>
  <c r="W54" i="4" s="1"/>
  <c r="M58" i="4"/>
  <c r="W58" i="4" s="1"/>
  <c r="K67" i="4"/>
  <c r="I69" i="4"/>
  <c r="L70" i="4"/>
  <c r="Y70" i="4" s="1"/>
  <c r="K74" i="4"/>
  <c r="H81" i="4"/>
  <c r="K83" i="4"/>
  <c r="V83" i="4" s="1"/>
  <c r="K85" i="4"/>
  <c r="V85" i="4" s="1"/>
  <c r="H106" i="4"/>
  <c r="I109" i="4"/>
  <c r="M125" i="4"/>
  <c r="W125" i="4" s="1"/>
  <c r="K128" i="4"/>
  <c r="J128" i="4"/>
  <c r="Z128" i="4" s="1"/>
  <c r="H143" i="4"/>
  <c r="H164" i="4"/>
  <c r="N167" i="4"/>
  <c r="AA167" i="4" s="1"/>
  <c r="L171" i="4"/>
  <c r="Y171" i="4" s="1"/>
  <c r="K171" i="4"/>
  <c r="J171" i="4"/>
  <c r="Z171" i="4" s="1"/>
  <c r="K173" i="4"/>
  <c r="K180" i="4"/>
  <c r="K195" i="4"/>
  <c r="S274" i="4"/>
  <c r="N274" i="4"/>
  <c r="AA274" i="4" s="1"/>
  <c r="M274" i="4"/>
  <c r="W274" i="4" s="1"/>
  <c r="K274" i="4"/>
  <c r="N30" i="4"/>
  <c r="AA30" i="4" s="1"/>
  <c r="H48" i="4"/>
  <c r="J81" i="4"/>
  <c r="Z81" i="4" s="1"/>
  <c r="I106" i="4"/>
  <c r="O109" i="4"/>
  <c r="AJ109" i="4" s="1"/>
  <c r="T125" i="4"/>
  <c r="G135" i="4"/>
  <c r="X135" i="4" s="1"/>
  <c r="F135" i="4"/>
  <c r="N135" i="4"/>
  <c r="AA135" i="4" s="1"/>
  <c r="I143" i="4"/>
  <c r="I164" i="4"/>
  <c r="L173" i="4"/>
  <c r="Y173" i="4" s="1"/>
  <c r="B190" i="4"/>
  <c r="Q190" i="4"/>
  <c r="AC190" i="4" s="1"/>
  <c r="L195" i="4"/>
  <c r="Y195" i="4" s="1"/>
  <c r="H228" i="4"/>
  <c r="G228" i="4"/>
  <c r="X228" i="4" s="1"/>
  <c r="L232" i="4"/>
  <c r="Y232" i="4" s="1"/>
  <c r="K232" i="4"/>
  <c r="I232" i="4"/>
  <c r="H232" i="4"/>
  <c r="V37" i="4"/>
  <c r="N54" i="4"/>
  <c r="AA54" i="4" s="1"/>
  <c r="L67" i="4"/>
  <c r="Y67" i="4" s="1"/>
  <c r="J69" i="4"/>
  <c r="Z69" i="4" s="1"/>
  <c r="L74" i="4"/>
  <c r="Y74" i="4" s="1"/>
  <c r="D6" i="4"/>
  <c r="D8" i="4"/>
  <c r="K9" i="4"/>
  <c r="G11" i="4"/>
  <c r="X11" i="4" s="1"/>
  <c r="I13" i="4"/>
  <c r="K15" i="4"/>
  <c r="I27" i="4"/>
  <c r="D35" i="4"/>
  <c r="K36" i="4"/>
  <c r="J46" i="4"/>
  <c r="Z46" i="4" s="1"/>
  <c r="I48" i="4"/>
  <c r="L53" i="4"/>
  <c r="Y53" i="4" s="1"/>
  <c r="M67" i="4"/>
  <c r="W67" i="4" s="1"/>
  <c r="K69" i="4"/>
  <c r="N70" i="4"/>
  <c r="AA70" i="4" s="1"/>
  <c r="G72" i="4"/>
  <c r="X72" i="4" s="1"/>
  <c r="F78" i="4"/>
  <c r="G80" i="4"/>
  <c r="X80" i="4" s="1"/>
  <c r="L81" i="4"/>
  <c r="Y81" i="4" s="1"/>
  <c r="M83" i="4"/>
  <c r="W83" i="4" s="1"/>
  <c r="N85" i="4"/>
  <c r="AA85" i="4" s="1"/>
  <c r="F89" i="4"/>
  <c r="G92" i="4"/>
  <c r="X92" i="4" s="1"/>
  <c r="G96" i="4"/>
  <c r="X96" i="4" s="1"/>
  <c r="H98" i="4"/>
  <c r="K103" i="4"/>
  <c r="M113" i="4"/>
  <c r="W113" i="4" s="1"/>
  <c r="G117" i="4"/>
  <c r="X117" i="4" s="1"/>
  <c r="N133" i="4"/>
  <c r="AA133" i="4" s="1"/>
  <c r="D135" i="4"/>
  <c r="V141" i="4"/>
  <c r="J143" i="4"/>
  <c r="Z143" i="4" s="1"/>
  <c r="H162" i="4"/>
  <c r="G162" i="4"/>
  <c r="X162" i="4" s="1"/>
  <c r="F162" i="4"/>
  <c r="J164" i="4"/>
  <c r="Z164" i="4" s="1"/>
  <c r="N168" i="4"/>
  <c r="AA168" i="4" s="1"/>
  <c r="M168" i="4"/>
  <c r="W168" i="4" s="1"/>
  <c r="D190" i="4"/>
  <c r="M195" i="4"/>
  <c r="W195" i="4" s="1"/>
  <c r="D228" i="4"/>
  <c r="V316" i="4"/>
  <c r="J173" i="4"/>
  <c r="Z173" i="4" s="1"/>
  <c r="G173" i="4"/>
  <c r="X173" i="4" s="1"/>
  <c r="F173" i="4"/>
  <c r="T173" i="4"/>
  <c r="G27" i="4"/>
  <c r="X27" i="4" s="1"/>
  <c r="B2" i="4"/>
  <c r="B5" i="4"/>
  <c r="L9" i="4"/>
  <c r="Y9" i="4" s="1"/>
  <c r="J13" i="4"/>
  <c r="Z13" i="4" s="1"/>
  <c r="B16" i="4"/>
  <c r="J20" i="4"/>
  <c r="Z20" i="4" s="1"/>
  <c r="F22" i="4"/>
  <c r="L27" i="4"/>
  <c r="Y27" i="4" s="1"/>
  <c r="B33" i="4"/>
  <c r="L36" i="4"/>
  <c r="Y36" i="4" s="1"/>
  <c r="J48" i="4"/>
  <c r="Z48" i="4" s="1"/>
  <c r="J52" i="4"/>
  <c r="Z52" i="4" s="1"/>
  <c r="N53" i="4"/>
  <c r="AA53" i="4" s="1"/>
  <c r="F59" i="4"/>
  <c r="N67" i="4"/>
  <c r="AA67" i="4" s="1"/>
  <c r="L69" i="4"/>
  <c r="Y69" i="4" s="1"/>
  <c r="G78" i="4"/>
  <c r="X78" i="4" s="1"/>
  <c r="M81" i="4"/>
  <c r="W81" i="4" s="1"/>
  <c r="N83" i="4"/>
  <c r="AA83" i="4" s="1"/>
  <c r="H117" i="4"/>
  <c r="I128" i="4"/>
  <c r="L132" i="4"/>
  <c r="G132" i="4"/>
  <c r="X132" i="4" s="1"/>
  <c r="F132" i="4"/>
  <c r="R133" i="4"/>
  <c r="AD133" i="4" s="1"/>
  <c r="M143" i="4"/>
  <c r="W143" i="4" s="1"/>
  <c r="N173" i="4"/>
  <c r="AA173" i="4" s="1"/>
  <c r="V210" i="4"/>
  <c r="Y210" i="4"/>
  <c r="J195" i="4"/>
  <c r="Z195" i="4" s="1"/>
  <c r="I195" i="4"/>
  <c r="B195" i="4"/>
  <c r="D22" i="4"/>
  <c r="H27" i="4"/>
  <c r="F6" i="4"/>
  <c r="G8" i="4"/>
  <c r="X8" i="4" s="1"/>
  <c r="M9" i="4"/>
  <c r="W9" i="4" s="1"/>
  <c r="B14" i="4"/>
  <c r="G22" i="4"/>
  <c r="X22" i="4" s="1"/>
  <c r="F35" i="4"/>
  <c r="K48" i="4"/>
  <c r="V48" i="4" s="1"/>
  <c r="K52" i="4"/>
  <c r="G59" i="4"/>
  <c r="X59" i="4" s="1"/>
  <c r="N69" i="4"/>
  <c r="AA69" i="4" s="1"/>
  <c r="J78" i="4"/>
  <c r="Z78" i="4" s="1"/>
  <c r="N112" i="4"/>
  <c r="AA112" i="4" s="1"/>
  <c r="F112" i="4"/>
  <c r="F114" i="4"/>
  <c r="N114" i="4"/>
  <c r="AA114" i="4" s="1"/>
  <c r="K114" i="4"/>
  <c r="B114" i="4"/>
  <c r="I117" i="4"/>
  <c r="I126" i="4"/>
  <c r="H126" i="4"/>
  <c r="L128" i="4"/>
  <c r="Y128" i="4" s="1"/>
  <c r="H135" i="4"/>
  <c r="U165" i="4"/>
  <c r="B165" i="4"/>
  <c r="O173" i="4"/>
  <c r="V183" i="4"/>
  <c r="Y183" i="4"/>
  <c r="I9" i="4"/>
  <c r="J9" i="4"/>
  <c r="Z9" i="4" s="1"/>
  <c r="G6" i="4"/>
  <c r="X6" i="4" s="1"/>
  <c r="H8" i="4"/>
  <c r="N9" i="4"/>
  <c r="AA9" i="4" s="1"/>
  <c r="V14" i="4"/>
  <c r="H22" i="4"/>
  <c r="G35" i="4"/>
  <c r="X35" i="4" s="1"/>
  <c r="M48" i="4"/>
  <c r="W48" i="4" s="1"/>
  <c r="L52" i="4"/>
  <c r="Y52" i="4" s="1"/>
  <c r="H59" i="4"/>
  <c r="D64" i="4"/>
  <c r="L78" i="4"/>
  <c r="Y78" i="4" s="1"/>
  <c r="J86" i="4"/>
  <c r="Z86" i="4" s="1"/>
  <c r="D86" i="4"/>
  <c r="J96" i="4"/>
  <c r="Z96" i="4" s="1"/>
  <c r="B100" i="4"/>
  <c r="N100" i="4"/>
  <c r="AA100" i="4" s="1"/>
  <c r="D112" i="4"/>
  <c r="D114" i="4"/>
  <c r="L117" i="4"/>
  <c r="Y117" i="4" s="1"/>
  <c r="I134" i="4"/>
  <c r="H134" i="4"/>
  <c r="I135" i="4"/>
  <c r="K162" i="4"/>
  <c r="K168" i="4"/>
  <c r="H172" i="4"/>
  <c r="G172" i="4"/>
  <c r="X172" i="4" s="1"/>
  <c r="F172" i="4"/>
  <c r="N207" i="4"/>
  <c r="AA207" i="4" s="1"/>
  <c r="M207" i="4"/>
  <c r="W207" i="4" s="1"/>
  <c r="L207" i="4"/>
  <c r="Y207" i="4" s="1"/>
  <c r="K207" i="4"/>
  <c r="V207" i="4" s="1"/>
  <c r="J207" i="4"/>
  <c r="Z207" i="4" s="1"/>
  <c r="I207" i="4"/>
  <c r="H207" i="4"/>
  <c r="G207" i="4"/>
  <c r="X207" i="4" s="1"/>
  <c r="F207" i="4"/>
  <c r="M109" i="4"/>
  <c r="W109" i="4" s="1"/>
  <c r="J109" i="4"/>
  <c r="Z109" i="4" s="1"/>
  <c r="L143" i="4"/>
  <c r="Y143" i="4" s="1"/>
  <c r="G143" i="4"/>
  <c r="X143" i="4" s="1"/>
  <c r="F143" i="4"/>
  <c r="L164" i="4"/>
  <c r="Y164" i="4" s="1"/>
  <c r="F164" i="4"/>
  <c r="D164" i="4"/>
  <c r="N164" i="4"/>
  <c r="AA164" i="4" s="1"/>
  <c r="M164" i="4"/>
  <c r="W164" i="4" s="1"/>
  <c r="B192" i="4"/>
  <c r="N192" i="4"/>
  <c r="AA192" i="4" s="1"/>
  <c r="M192" i="4"/>
  <c r="W192" i="4" s="1"/>
  <c r="L192" i="4"/>
  <c r="Y192" i="4" s="1"/>
  <c r="K192" i="4"/>
  <c r="V192" i="4" s="1"/>
  <c r="N222" i="4"/>
  <c r="AA222" i="4" s="1"/>
  <c r="L222" i="4"/>
  <c r="Y222" i="4" s="1"/>
  <c r="F222" i="4"/>
  <c r="N19" i="4"/>
  <c r="AA19" i="4" s="1"/>
  <c r="G5" i="4"/>
  <c r="X5" i="4" s="1"/>
  <c r="I8" i="4"/>
  <c r="B18" i="4"/>
  <c r="B25" i="4"/>
  <c r="D32" i="4"/>
  <c r="D37" i="4"/>
  <c r="N48" i="4"/>
  <c r="AA48" i="4" s="1"/>
  <c r="B54" i="4"/>
  <c r="I59" i="4"/>
  <c r="B71" i="4"/>
  <c r="V96" i="4"/>
  <c r="N115" i="4"/>
  <c r="AA115" i="4" s="1"/>
  <c r="M117" i="4"/>
  <c r="W117" i="4" s="1"/>
  <c r="N118" i="4"/>
  <c r="AA118" i="4" s="1"/>
  <c r="D121" i="4"/>
  <c r="N124" i="4"/>
  <c r="AA124" i="4" s="1"/>
  <c r="F126" i="4"/>
  <c r="K129" i="4"/>
  <c r="J129" i="4"/>
  <c r="Z129" i="4" s="1"/>
  <c r="H132" i="4"/>
  <c r="D134" i="4"/>
  <c r="K135" i="4"/>
  <c r="V137" i="4"/>
  <c r="L162" i="4"/>
  <c r="Y162" i="4" s="1"/>
  <c r="L168" i="4"/>
  <c r="Y168" i="4" s="1"/>
  <c r="B174" i="4"/>
  <c r="I313" i="4"/>
  <c r="H313" i="4"/>
  <c r="Q313" i="4"/>
  <c r="AC313" i="4" s="1"/>
  <c r="B313" i="4"/>
  <c r="B322" i="4"/>
  <c r="J322" i="4"/>
  <c r="Z322" i="4" s="1"/>
  <c r="I322" i="4"/>
  <c r="G446" i="4"/>
  <c r="X446" i="4" s="1"/>
  <c r="M446" i="4"/>
  <c r="W446" i="4" s="1"/>
  <c r="L446" i="4"/>
  <c r="H446" i="4"/>
  <c r="B446" i="4"/>
  <c r="N446" i="4"/>
  <c r="AA446" i="4" s="1"/>
  <c r="K446" i="4"/>
  <c r="J446" i="4"/>
  <c r="Z446" i="4" s="1"/>
  <c r="I446" i="4"/>
  <c r="F446" i="4"/>
  <c r="M59" i="4"/>
  <c r="W59" i="4" s="1"/>
  <c r="L135" i="4"/>
  <c r="Y135" i="4" s="1"/>
  <c r="G146" i="4"/>
  <c r="X146" i="4" s="1"/>
  <c r="F146" i="4"/>
  <c r="L166" i="4"/>
  <c r="Y166" i="4" s="1"/>
  <c r="I166" i="4"/>
  <c r="B343" i="4"/>
  <c r="S343" i="4"/>
  <c r="F343" i="4"/>
  <c r="T186" i="4"/>
  <c r="G186" i="4"/>
  <c r="X186" i="4" s="1"/>
  <c r="D186" i="4"/>
  <c r="D54" i="4"/>
  <c r="B85" i="4"/>
  <c r="P107" i="4"/>
  <c r="AB107" i="4" s="1"/>
  <c r="G119" i="4"/>
  <c r="X119" i="4" s="1"/>
  <c r="B119" i="4"/>
  <c r="J127" i="4"/>
  <c r="Z127" i="4" s="1"/>
  <c r="I127" i="4"/>
  <c r="M135" i="4"/>
  <c r="W135" i="4" s="1"/>
  <c r="B142" i="4"/>
  <c r="G142" i="4"/>
  <c r="X142" i="4" s="1"/>
  <c r="D142" i="4"/>
  <c r="D146" i="4"/>
  <c r="K178" i="4"/>
  <c r="V178" i="4" s="1"/>
  <c r="H178" i="4"/>
  <c r="G178" i="4"/>
  <c r="X178" i="4" s="1"/>
  <c r="F178" i="4"/>
  <c r="V33" i="4"/>
  <c r="K68" i="4"/>
  <c r="D70" i="4"/>
  <c r="B99" i="4"/>
  <c r="K99" i="4"/>
  <c r="V99" i="4" s="1"/>
  <c r="B125" i="4"/>
  <c r="D127" i="4"/>
  <c r="B152" i="4"/>
  <c r="M152" i="4"/>
  <c r="W152" i="4" s="1"/>
  <c r="F152" i="4"/>
  <c r="B160" i="4"/>
  <c r="M160" i="4"/>
  <c r="W160" i="4" s="1"/>
  <c r="L160" i="4"/>
  <c r="Y160" i="4" s="1"/>
  <c r="K160" i="4"/>
  <c r="V160" i="4" s="1"/>
  <c r="M170" i="4"/>
  <c r="W170" i="4" s="1"/>
  <c r="H170" i="4"/>
  <c r="G170" i="4"/>
  <c r="X170" i="4" s="1"/>
  <c r="D178" i="4"/>
  <c r="N208" i="4"/>
  <c r="AA208" i="4" s="1"/>
  <c r="T273" i="4"/>
  <c r="J273" i="4"/>
  <c r="Z273" i="4" s="1"/>
  <c r="D292" i="4"/>
  <c r="H292" i="4"/>
  <c r="B303" i="4"/>
  <c r="F303" i="4"/>
  <c r="J404" i="4"/>
  <c r="Z404" i="4" s="1"/>
  <c r="G404" i="4"/>
  <c r="X404" i="4" s="1"/>
  <c r="M404" i="4"/>
  <c r="W404" i="4" s="1"/>
  <c r="F404" i="4"/>
  <c r="M234" i="4"/>
  <c r="W234" i="4" s="1"/>
  <c r="L236" i="4"/>
  <c r="Y236" i="4" s="1"/>
  <c r="D244" i="4"/>
  <c r="M245" i="4"/>
  <c r="W245" i="4" s="1"/>
  <c r="J246" i="4"/>
  <c r="Z246" i="4" s="1"/>
  <c r="L247" i="4"/>
  <c r="Y247" i="4" s="1"/>
  <c r="D252" i="4"/>
  <c r="O261" i="4"/>
  <c r="P261" i="4" s="1"/>
  <c r="AB261" i="4" s="1"/>
  <c r="L278" i="4"/>
  <c r="Y278" i="4" s="1"/>
  <c r="B285" i="4"/>
  <c r="M289" i="4"/>
  <c r="W289" i="4" s="1"/>
  <c r="D295" i="4"/>
  <c r="M299" i="4"/>
  <c r="W299" i="4" s="1"/>
  <c r="H299" i="4"/>
  <c r="J299" i="4"/>
  <c r="Z299" i="4" s="1"/>
  <c r="D319" i="4"/>
  <c r="J319" i="4"/>
  <c r="Z319" i="4" s="1"/>
  <c r="F346" i="4"/>
  <c r="U346" i="4"/>
  <c r="N346" i="4"/>
  <c r="AA346" i="4" s="1"/>
  <c r="K346" i="4"/>
  <c r="G346" i="4"/>
  <c r="X346" i="4" s="1"/>
  <c r="D346" i="4"/>
  <c r="K363" i="4"/>
  <c r="J363" i="4"/>
  <c r="Z363" i="4" s="1"/>
  <c r="G363" i="4"/>
  <c r="X363" i="4" s="1"/>
  <c r="D363" i="4"/>
  <c r="L363" i="4"/>
  <c r="Y363" i="4" s="1"/>
  <c r="D404" i="4"/>
  <c r="G422" i="4"/>
  <c r="X422" i="4" s="1"/>
  <c r="F422" i="4"/>
  <c r="D422" i="4"/>
  <c r="N422" i="4"/>
  <c r="AA422" i="4" s="1"/>
  <c r="M422" i="4"/>
  <c r="W422" i="4" s="1"/>
  <c r="I422" i="4"/>
  <c r="D205" i="4"/>
  <c r="O234" i="4"/>
  <c r="AJ234" i="4" s="1"/>
  <c r="N245" i="4"/>
  <c r="AA245" i="4" s="1"/>
  <c r="K246" i="4"/>
  <c r="N247" i="4"/>
  <c r="AA247" i="4" s="1"/>
  <c r="D258" i="4"/>
  <c r="M267" i="4"/>
  <c r="W267" i="4" s="1"/>
  <c r="F273" i="4"/>
  <c r="M292" i="4"/>
  <c r="W292" i="4" s="1"/>
  <c r="N294" i="4"/>
  <c r="AA294" i="4" s="1"/>
  <c r="F294" i="4"/>
  <c r="G301" i="4"/>
  <c r="X301" i="4" s="1"/>
  <c r="F301" i="4"/>
  <c r="G303" i="4"/>
  <c r="X303" i="4" s="1"/>
  <c r="N314" i="4"/>
  <c r="AA314" i="4" s="1"/>
  <c r="M317" i="4"/>
  <c r="W317" i="4" s="1"/>
  <c r="I317" i="4"/>
  <c r="H317" i="4"/>
  <c r="U317" i="4"/>
  <c r="J317" i="4"/>
  <c r="Z317" i="4" s="1"/>
  <c r="J344" i="4"/>
  <c r="Z344" i="4" s="1"/>
  <c r="H344" i="4"/>
  <c r="N344" i="4"/>
  <c r="AA344" i="4" s="1"/>
  <c r="K355" i="4"/>
  <c r="R355" i="4"/>
  <c r="AD355" i="4" s="1"/>
  <c r="M355" i="4"/>
  <c r="W355" i="4" s="1"/>
  <c r="L355" i="4"/>
  <c r="Y355" i="4" s="1"/>
  <c r="G355" i="4"/>
  <c r="X355" i="4" s="1"/>
  <c r="F355" i="4"/>
  <c r="V365" i="4"/>
  <c r="Y365" i="4"/>
  <c r="J382" i="4"/>
  <c r="Z382" i="4" s="1"/>
  <c r="M382" i="4"/>
  <c r="W382" i="4" s="1"/>
  <c r="N382" i="4"/>
  <c r="AA382" i="4" s="1"/>
  <c r="L382" i="4"/>
  <c r="Y382" i="4" s="1"/>
  <c r="I382" i="4"/>
  <c r="H382" i="4"/>
  <c r="F382" i="4"/>
  <c r="M141" i="4"/>
  <c r="W141" i="4" s="1"/>
  <c r="N156" i="4"/>
  <c r="AA156" i="4" s="1"/>
  <c r="M175" i="4"/>
  <c r="W175" i="4" s="1"/>
  <c r="B218" i="4"/>
  <c r="K220" i="4"/>
  <c r="V220" i="4" s="1"/>
  <c r="L224" i="4"/>
  <c r="Y224" i="4" s="1"/>
  <c r="K226" i="4"/>
  <c r="B230" i="4"/>
  <c r="U234" i="4"/>
  <c r="N236" i="4"/>
  <c r="AA236" i="4" s="1"/>
  <c r="G244" i="4"/>
  <c r="X244" i="4" s="1"/>
  <c r="O245" i="4"/>
  <c r="L246" i="4"/>
  <c r="Y246" i="4" s="1"/>
  <c r="S247" i="4"/>
  <c r="N249" i="4"/>
  <c r="AA249" i="4" s="1"/>
  <c r="F252" i="4"/>
  <c r="D260" i="4"/>
  <c r="N267" i="4"/>
  <c r="AA267" i="4" s="1"/>
  <c r="G273" i="4"/>
  <c r="X273" i="4" s="1"/>
  <c r="N278" i="4"/>
  <c r="AA278" i="4" s="1"/>
  <c r="N292" i="4"/>
  <c r="AA292" i="4" s="1"/>
  <c r="D294" i="4"/>
  <c r="F295" i="4"/>
  <c r="R296" i="4"/>
  <c r="AD296" i="4" s="1"/>
  <c r="I299" i="4"/>
  <c r="D301" i="4"/>
  <c r="M303" i="4"/>
  <c r="W303" i="4" s="1"/>
  <c r="L305" i="4"/>
  <c r="Y305" i="4" s="1"/>
  <c r="J310" i="4"/>
  <c r="Z310" i="4" s="1"/>
  <c r="I310" i="4"/>
  <c r="K310" i="4"/>
  <c r="I311" i="4"/>
  <c r="O314" i="4"/>
  <c r="D317" i="4"/>
  <c r="K319" i="4"/>
  <c r="L325" i="4"/>
  <c r="Y325" i="4" s="1"/>
  <c r="H346" i="4"/>
  <c r="B352" i="4"/>
  <c r="K352" i="4"/>
  <c r="I352" i="4"/>
  <c r="G352" i="4"/>
  <c r="X352" i="4" s="1"/>
  <c r="M352" i="4"/>
  <c r="W352" i="4" s="1"/>
  <c r="D355" i="4"/>
  <c r="F363" i="4"/>
  <c r="K422" i="4"/>
  <c r="K102" i="4"/>
  <c r="D138" i="4"/>
  <c r="N141" i="4"/>
  <c r="AA141" i="4" s="1"/>
  <c r="M144" i="4"/>
  <c r="W144" i="4" s="1"/>
  <c r="L151" i="4"/>
  <c r="M159" i="4"/>
  <c r="W159" i="4" s="1"/>
  <c r="N175" i="4"/>
  <c r="AA175" i="4" s="1"/>
  <c r="L179" i="4"/>
  <c r="Y179" i="4" s="1"/>
  <c r="B188" i="4"/>
  <c r="D191" i="4"/>
  <c r="R198" i="4"/>
  <c r="AD198" i="4" s="1"/>
  <c r="K203" i="4"/>
  <c r="F205" i="4"/>
  <c r="B214" i="4"/>
  <c r="T214" i="4"/>
  <c r="V216" i="4"/>
  <c r="L220" i="4"/>
  <c r="Y220" i="4" s="1"/>
  <c r="M224" i="4"/>
  <c r="W224" i="4" s="1"/>
  <c r="B229" i="4"/>
  <c r="H244" i="4"/>
  <c r="M246" i="4"/>
  <c r="W246" i="4" s="1"/>
  <c r="G252" i="4"/>
  <c r="X252" i="4" s="1"/>
  <c r="F257" i="4"/>
  <c r="F258" i="4"/>
  <c r="F264" i="4"/>
  <c r="D271" i="4"/>
  <c r="G271" i="4"/>
  <c r="X271" i="4" s="1"/>
  <c r="H273" i="4"/>
  <c r="F285" i="4"/>
  <c r="G295" i="4"/>
  <c r="X295" i="4" s="1"/>
  <c r="K299" i="4"/>
  <c r="N303" i="4"/>
  <c r="AA303" i="4" s="1"/>
  <c r="L319" i="4"/>
  <c r="Y319" i="4" s="1"/>
  <c r="G344" i="4"/>
  <c r="X344" i="4" s="1"/>
  <c r="I346" i="4"/>
  <c r="B348" i="4"/>
  <c r="S348" i="4"/>
  <c r="H363" i="4"/>
  <c r="I409" i="4"/>
  <c r="J409" i="4"/>
  <c r="Z409" i="4" s="1"/>
  <c r="H409" i="4"/>
  <c r="D409" i="4"/>
  <c r="B409" i="4"/>
  <c r="N409" i="4"/>
  <c r="AA409" i="4" s="1"/>
  <c r="M409" i="4"/>
  <c r="W409" i="4" s="1"/>
  <c r="L409" i="4"/>
  <c r="Y409" i="4" s="1"/>
  <c r="F409" i="4"/>
  <c r="V429" i="4"/>
  <c r="F140" i="4"/>
  <c r="O141" i="4"/>
  <c r="B196" i="4"/>
  <c r="B199" i="4"/>
  <c r="L203" i="4"/>
  <c r="Y203" i="4" s="1"/>
  <c r="G205" i="4"/>
  <c r="X205" i="4" s="1"/>
  <c r="L244" i="4"/>
  <c r="Y244" i="4" s="1"/>
  <c r="U245" i="4"/>
  <c r="N246" i="4"/>
  <c r="AA246" i="4" s="1"/>
  <c r="H252" i="4"/>
  <c r="G257" i="4"/>
  <c r="X257" i="4" s="1"/>
  <c r="G258" i="4"/>
  <c r="X258" i="4" s="1"/>
  <c r="G260" i="4"/>
  <c r="X260" i="4" s="1"/>
  <c r="G264" i="4"/>
  <c r="X264" i="4" s="1"/>
  <c r="S268" i="4"/>
  <c r="G268" i="4"/>
  <c r="X268" i="4" s="1"/>
  <c r="R269" i="4"/>
  <c r="AD269" i="4" s="1"/>
  <c r="H269" i="4"/>
  <c r="I273" i="4"/>
  <c r="G285" i="4"/>
  <c r="X285" i="4" s="1"/>
  <c r="H293" i="4"/>
  <c r="U293" i="4"/>
  <c r="G294" i="4"/>
  <c r="X294" i="4" s="1"/>
  <c r="H295" i="4"/>
  <c r="B297" i="4"/>
  <c r="H297" i="4"/>
  <c r="N299" i="4"/>
  <c r="AA299" i="4" s="1"/>
  <c r="H301" i="4"/>
  <c r="S303" i="4"/>
  <c r="F317" i="4"/>
  <c r="N319" i="4"/>
  <c r="AA319" i="4" s="1"/>
  <c r="M333" i="4"/>
  <c r="W333" i="4" s="1"/>
  <c r="H333" i="4"/>
  <c r="G333" i="4"/>
  <c r="X333" i="4" s="1"/>
  <c r="U333" i="4"/>
  <c r="R333" i="4"/>
  <c r="AD333" i="4" s="1"/>
  <c r="N333" i="4"/>
  <c r="AA333" i="4" s="1"/>
  <c r="I333" i="4"/>
  <c r="J346" i="4"/>
  <c r="Z346" i="4" s="1"/>
  <c r="F352" i="4"/>
  <c r="I355" i="4"/>
  <c r="M363" i="4"/>
  <c r="W363" i="4" s="1"/>
  <c r="J376" i="4"/>
  <c r="Z376" i="4" s="1"/>
  <c r="G376" i="4"/>
  <c r="X376" i="4" s="1"/>
  <c r="I393" i="4"/>
  <c r="G393" i="4"/>
  <c r="X393" i="4" s="1"/>
  <c r="D393" i="4"/>
  <c r="B393" i="4"/>
  <c r="N393" i="4"/>
  <c r="AA393" i="4" s="1"/>
  <c r="M393" i="4"/>
  <c r="W393" i="4" s="1"/>
  <c r="L393" i="4"/>
  <c r="Y393" i="4" s="1"/>
  <c r="K393" i="4"/>
  <c r="V393" i="4" s="1"/>
  <c r="F393" i="4"/>
  <c r="H432" i="4"/>
  <c r="G432" i="4"/>
  <c r="X432" i="4" s="1"/>
  <c r="I432" i="4"/>
  <c r="F432" i="4"/>
  <c r="B495" i="4"/>
  <c r="H495" i="4"/>
  <c r="K205" i="4"/>
  <c r="B210" i="4"/>
  <c r="M244" i="4"/>
  <c r="W244" i="4" s="1"/>
  <c r="I252" i="4"/>
  <c r="H257" i="4"/>
  <c r="H258" i="4"/>
  <c r="H260" i="4"/>
  <c r="H264" i="4"/>
  <c r="D268" i="4"/>
  <c r="K273" i="4"/>
  <c r="D279" i="4"/>
  <c r="H285" i="4"/>
  <c r="D293" i="4"/>
  <c r="H294" i="4"/>
  <c r="I295" i="4"/>
  <c r="J301" i="4"/>
  <c r="Z301" i="4" s="1"/>
  <c r="L304" i="4"/>
  <c r="Y304" i="4" s="1"/>
  <c r="K304" i="4"/>
  <c r="V304" i="4" s="1"/>
  <c r="M304" i="4"/>
  <c r="W304" i="4" s="1"/>
  <c r="G317" i="4"/>
  <c r="X317" i="4" s="1"/>
  <c r="S319" i="4"/>
  <c r="D333" i="4"/>
  <c r="I345" i="4"/>
  <c r="Q345" i="4"/>
  <c r="AC345" i="4" s="1"/>
  <c r="H345" i="4"/>
  <c r="G345" i="4"/>
  <c r="X345" i="4" s="1"/>
  <c r="M346" i="4"/>
  <c r="W346" i="4" s="1"/>
  <c r="J355" i="4"/>
  <c r="Z355" i="4" s="1"/>
  <c r="N363" i="4"/>
  <c r="AA363" i="4" s="1"/>
  <c r="G409" i="4"/>
  <c r="X409" i="4" s="1"/>
  <c r="F449" i="4"/>
  <c r="G449" i="4"/>
  <c r="X449" i="4" s="1"/>
  <c r="H449" i="4"/>
  <c r="D449" i="4"/>
  <c r="B449" i="4"/>
  <c r="L205" i="4"/>
  <c r="Y205" i="4" s="1"/>
  <c r="B236" i="4"/>
  <c r="Q244" i="4"/>
  <c r="AC244" i="4" s="1"/>
  <c r="J252" i="4"/>
  <c r="Z252" i="4" s="1"/>
  <c r="L273" i="4"/>
  <c r="Y273" i="4" s="1"/>
  <c r="L285" i="4"/>
  <c r="Y285" i="4" s="1"/>
  <c r="J295" i="4"/>
  <c r="Z295" i="4" s="1"/>
  <c r="S300" i="4"/>
  <c r="M300" i="4"/>
  <c r="W300" i="4" s="1"/>
  <c r="D300" i="4"/>
  <c r="K317" i="4"/>
  <c r="N355" i="4"/>
  <c r="AA355" i="4" s="1"/>
  <c r="V409" i="4"/>
  <c r="B204" i="4"/>
  <c r="M205" i="4"/>
  <c r="W205" i="4" s="1"/>
  <c r="D210" i="4"/>
  <c r="B237" i="4"/>
  <c r="D239" i="4"/>
  <c r="B245" i="4"/>
  <c r="K252" i="4"/>
  <c r="H261" i="4"/>
  <c r="J261" i="4"/>
  <c r="Z261" i="4" s="1"/>
  <c r="K264" i="4"/>
  <c r="V264" i="4" s="1"/>
  <c r="M273" i="4"/>
  <c r="W273" i="4" s="1"/>
  <c r="M285" i="4"/>
  <c r="W285" i="4" s="1"/>
  <c r="J294" i="4"/>
  <c r="Z294" i="4" s="1"/>
  <c r="K295" i="4"/>
  <c r="M301" i="4"/>
  <c r="W301" i="4" s="1"/>
  <c r="D306" i="4"/>
  <c r="L317" i="4"/>
  <c r="Y317" i="4" s="1"/>
  <c r="I324" i="4"/>
  <c r="G324" i="4"/>
  <c r="X324" i="4" s="1"/>
  <c r="K324" i="4"/>
  <c r="L350" i="4"/>
  <c r="Y350" i="4" s="1"/>
  <c r="K350" i="4"/>
  <c r="H350" i="4"/>
  <c r="M350" i="4"/>
  <c r="W350" i="4" s="1"/>
  <c r="B367" i="4"/>
  <c r="F367" i="4"/>
  <c r="J367" i="4"/>
  <c r="Z367" i="4" s="1"/>
  <c r="L252" i="4"/>
  <c r="N273" i="4"/>
  <c r="AA273" i="4" s="1"/>
  <c r="D278" i="4"/>
  <c r="U285" i="4"/>
  <c r="I290" i="4"/>
  <c r="K294" i="4"/>
  <c r="V294" i="4" s="1"/>
  <c r="L295" i="4"/>
  <c r="Y295" i="4" s="1"/>
  <c r="F300" i="4"/>
  <c r="U301" i="4"/>
  <c r="N317" i="4"/>
  <c r="AA317" i="4" s="1"/>
  <c r="D324" i="4"/>
  <c r="D342" i="4"/>
  <c r="N342" i="4"/>
  <c r="AA342" i="4" s="1"/>
  <c r="M342" i="4"/>
  <c r="W342" i="4" s="1"/>
  <c r="F342" i="4"/>
  <c r="H353" i="4"/>
  <c r="D353" i="4"/>
  <c r="I356" i="4"/>
  <c r="G356" i="4"/>
  <c r="X356" i="4" s="1"/>
  <c r="F356" i="4"/>
  <c r="N558" i="4"/>
  <c r="AA558" i="4" s="1"/>
  <c r="L558" i="4"/>
  <c r="Y558" i="4" s="1"/>
  <c r="K558" i="4"/>
  <c r="V558" i="4" s="1"/>
  <c r="H558" i="4"/>
  <c r="D558" i="4"/>
  <c r="G558" i="4"/>
  <c r="X558" i="4" s="1"/>
  <c r="D245" i="4"/>
  <c r="D247" i="4"/>
  <c r="V248" i="4"/>
  <c r="M252" i="4"/>
  <c r="W252" i="4" s="1"/>
  <c r="Q273" i="4"/>
  <c r="AC273" i="4" s="1"/>
  <c r="B298" i="4"/>
  <c r="K298" i="4"/>
  <c r="V298" i="4" s="1"/>
  <c r="F298" i="4"/>
  <c r="F316" i="4"/>
  <c r="D316" i="4"/>
  <c r="M316" i="4"/>
  <c r="W316" i="4" s="1"/>
  <c r="L316" i="4"/>
  <c r="Y316" i="4" s="1"/>
  <c r="G316" i="4"/>
  <c r="X316" i="4" s="1"/>
  <c r="M338" i="4"/>
  <c r="W338" i="4" s="1"/>
  <c r="B338" i="4"/>
  <c r="F350" i="4"/>
  <c r="D356" i="4"/>
  <c r="N367" i="4"/>
  <c r="AA367" i="4" s="1"/>
  <c r="B442" i="4"/>
  <c r="M442" i="4"/>
  <c r="W442" i="4" s="1"/>
  <c r="I442" i="4"/>
  <c r="N442" i="4"/>
  <c r="AA442" i="4" s="1"/>
  <c r="L442" i="4"/>
  <c r="Y442" i="4" s="1"/>
  <c r="K442" i="4"/>
  <c r="J442" i="4"/>
  <c r="Z442" i="4" s="1"/>
  <c r="H442" i="4"/>
  <c r="G442" i="4"/>
  <c r="X442" i="4" s="1"/>
  <c r="F442" i="4"/>
  <c r="D442" i="4"/>
  <c r="J157" i="4"/>
  <c r="Z157" i="4" s="1"/>
  <c r="T158" i="4"/>
  <c r="J188" i="4"/>
  <c r="Z188" i="4" s="1"/>
  <c r="K193" i="4"/>
  <c r="H196" i="4"/>
  <c r="L197" i="4"/>
  <c r="Y197" i="4" s="1"/>
  <c r="H199" i="4"/>
  <c r="G204" i="4"/>
  <c r="X204" i="4" s="1"/>
  <c r="G210" i="4"/>
  <c r="X210" i="4" s="1"/>
  <c r="I214" i="4"/>
  <c r="D221" i="4"/>
  <c r="K229" i="4"/>
  <c r="N231" i="4"/>
  <c r="AA231" i="4" s="1"/>
  <c r="F236" i="4"/>
  <c r="H237" i="4"/>
  <c r="G239" i="4"/>
  <c r="X239" i="4" s="1"/>
  <c r="K241" i="4"/>
  <c r="V241" i="4" s="1"/>
  <c r="S242" i="4"/>
  <c r="D246" i="4"/>
  <c r="L248" i="4"/>
  <c r="Y248" i="4" s="1"/>
  <c r="K251" i="4"/>
  <c r="N252" i="4"/>
  <c r="AA252" i="4" s="1"/>
  <c r="D255" i="4"/>
  <c r="M257" i="4"/>
  <c r="W257" i="4" s="1"/>
  <c r="G261" i="4"/>
  <c r="X261" i="4" s="1"/>
  <c r="H262" i="4"/>
  <c r="K263" i="4"/>
  <c r="J268" i="4"/>
  <c r="Z268" i="4" s="1"/>
  <c r="F278" i="4"/>
  <c r="I279" i="4"/>
  <c r="D286" i="4"/>
  <c r="G289" i="4"/>
  <c r="X289" i="4" s="1"/>
  <c r="K290" i="4"/>
  <c r="K293" i="4"/>
  <c r="M294" i="4"/>
  <c r="W294" i="4" s="1"/>
  <c r="H300" i="4"/>
  <c r="B302" i="4"/>
  <c r="D302" i="4"/>
  <c r="F302" i="4"/>
  <c r="H306" i="4"/>
  <c r="V312" i="4"/>
  <c r="F324" i="4"/>
  <c r="L333" i="4"/>
  <c r="Y333" i="4" s="1"/>
  <c r="G342" i="4"/>
  <c r="X342" i="4" s="1"/>
  <c r="L345" i="4"/>
  <c r="Y345" i="4" s="1"/>
  <c r="I350" i="4"/>
  <c r="J353" i="4"/>
  <c r="Z353" i="4" s="1"/>
  <c r="B368" i="4"/>
  <c r="H368" i="4"/>
  <c r="G368" i="4"/>
  <c r="X368" i="4" s="1"/>
  <c r="F379" i="4"/>
  <c r="N379" i="4"/>
  <c r="AA379" i="4" s="1"/>
  <c r="M379" i="4"/>
  <c r="W379" i="4" s="1"/>
  <c r="L379" i="4"/>
  <c r="Y379" i="4" s="1"/>
  <c r="K379" i="4"/>
  <c r="V379" i="4" s="1"/>
  <c r="J379" i="4"/>
  <c r="Z379" i="4" s="1"/>
  <c r="H379" i="4"/>
  <c r="G379" i="4"/>
  <c r="X379" i="4" s="1"/>
  <c r="B379" i="4"/>
  <c r="K157" i="4"/>
  <c r="V157" i="4" s="1"/>
  <c r="D175" i="4"/>
  <c r="M188" i="4"/>
  <c r="W188" i="4" s="1"/>
  <c r="N191" i="4"/>
  <c r="AA191" i="4" s="1"/>
  <c r="I196" i="4"/>
  <c r="M197" i="4"/>
  <c r="W197" i="4" s="1"/>
  <c r="I199" i="4"/>
  <c r="O202" i="4"/>
  <c r="H204" i="4"/>
  <c r="I206" i="4"/>
  <c r="H210" i="4"/>
  <c r="N211" i="4"/>
  <c r="AA211" i="4" s="1"/>
  <c r="J214" i="4"/>
  <c r="Z214" i="4" s="1"/>
  <c r="F217" i="4"/>
  <c r="D220" i="4"/>
  <c r="J227" i="4"/>
  <c r="Z227" i="4" s="1"/>
  <c r="L229" i="4"/>
  <c r="Y229" i="4" s="1"/>
  <c r="K230" i="4"/>
  <c r="F234" i="4"/>
  <c r="G236" i="4"/>
  <c r="X236" i="4" s="1"/>
  <c r="I237" i="4"/>
  <c r="I239" i="4"/>
  <c r="G245" i="4"/>
  <c r="X245" i="4" s="1"/>
  <c r="F247" i="4"/>
  <c r="L251" i="4"/>
  <c r="Y251" i="4" s="1"/>
  <c r="N257" i="4"/>
  <c r="AA257" i="4" s="1"/>
  <c r="I261" i="4"/>
  <c r="J262" i="4"/>
  <c r="Z262" i="4" s="1"/>
  <c r="L263" i="4"/>
  <c r="Y263" i="4" s="1"/>
  <c r="K268" i="4"/>
  <c r="H277" i="4"/>
  <c r="N277" i="4"/>
  <c r="AA277" i="4" s="1"/>
  <c r="G278" i="4"/>
  <c r="X278" i="4" s="1"/>
  <c r="J279" i="4"/>
  <c r="Z279" i="4" s="1"/>
  <c r="H289" i="4"/>
  <c r="L293" i="4"/>
  <c r="Y293" i="4" s="1"/>
  <c r="T294" i="4"/>
  <c r="L298" i="4"/>
  <c r="Y298" i="4" s="1"/>
  <c r="I300" i="4"/>
  <c r="Q305" i="4"/>
  <c r="AC305" i="4" s="1"/>
  <c r="N305" i="4"/>
  <c r="AA305" i="4" s="1"/>
  <c r="F305" i="4"/>
  <c r="I306" i="4"/>
  <c r="H309" i="4"/>
  <c r="D309" i="4"/>
  <c r="N309" i="4"/>
  <c r="AA309" i="4" s="1"/>
  <c r="M309" i="4"/>
  <c r="W309" i="4" s="1"/>
  <c r="G309" i="4"/>
  <c r="X309" i="4" s="1"/>
  <c r="L312" i="4"/>
  <c r="Y312" i="4" s="1"/>
  <c r="H316" i="4"/>
  <c r="I321" i="4"/>
  <c r="M324" i="4"/>
  <c r="W324" i="4" s="1"/>
  <c r="I338" i="4"/>
  <c r="I342" i="4"/>
  <c r="M345" i="4"/>
  <c r="W345" i="4" s="1"/>
  <c r="N350" i="4"/>
  <c r="AA350" i="4" s="1"/>
  <c r="T353" i="4"/>
  <c r="L356" i="4"/>
  <c r="Y356" i="4" s="1"/>
  <c r="D379" i="4"/>
  <c r="I425" i="4"/>
  <c r="F425" i="4"/>
  <c r="N425" i="4"/>
  <c r="AA425" i="4" s="1"/>
  <c r="M425" i="4"/>
  <c r="W425" i="4" s="1"/>
  <c r="L425" i="4"/>
  <c r="Y425" i="4" s="1"/>
  <c r="K425" i="4"/>
  <c r="J425" i="4"/>
  <c r="Z425" i="4" s="1"/>
  <c r="H425" i="4"/>
  <c r="G425" i="4"/>
  <c r="X425" i="4" s="1"/>
  <c r="D425" i="4"/>
  <c r="B425" i="4"/>
  <c r="G145" i="4"/>
  <c r="X145" i="4" s="1"/>
  <c r="M148" i="4"/>
  <c r="W148" i="4" s="1"/>
  <c r="D159" i="4"/>
  <c r="K199" i="4"/>
  <c r="V199" i="4" s="1"/>
  <c r="J206" i="4"/>
  <c r="Z206" i="4" s="1"/>
  <c r="I210" i="4"/>
  <c r="D226" i="4"/>
  <c r="K227" i="4"/>
  <c r="M229" i="4"/>
  <c r="W229" i="4" s="1"/>
  <c r="H234" i="4"/>
  <c r="H236" i="4"/>
  <c r="J237" i="4"/>
  <c r="Z237" i="4" s="1"/>
  <c r="M241" i="4"/>
  <c r="W241" i="4" s="1"/>
  <c r="I245" i="4"/>
  <c r="D249" i="4"/>
  <c r="M251" i="4"/>
  <c r="W251" i="4" s="1"/>
  <c r="F255" i="4"/>
  <c r="K261" i="4"/>
  <c r="K262" i="4"/>
  <c r="V262" i="4" s="1"/>
  <c r="L268" i="4"/>
  <c r="Y268" i="4" s="1"/>
  <c r="K279" i="4"/>
  <c r="V279" i="4" s="1"/>
  <c r="F286" i="4"/>
  <c r="I289" i="4"/>
  <c r="M293" i="4"/>
  <c r="W293" i="4" s="1"/>
  <c r="G296" i="4"/>
  <c r="X296" i="4" s="1"/>
  <c r="F296" i="4"/>
  <c r="M298" i="4"/>
  <c r="W298" i="4" s="1"/>
  <c r="J300" i="4"/>
  <c r="Z300" i="4" s="1"/>
  <c r="G302" i="4"/>
  <c r="X302" i="4" s="1"/>
  <c r="J306" i="4"/>
  <c r="Z306" i="4" s="1"/>
  <c r="S311" i="4"/>
  <c r="K311" i="4"/>
  <c r="J311" i="4"/>
  <c r="Z311" i="4" s="1"/>
  <c r="L311" i="4"/>
  <c r="I316" i="4"/>
  <c r="G325" i="4"/>
  <c r="X325" i="4" s="1"/>
  <c r="F325" i="4"/>
  <c r="H328" i="4"/>
  <c r="J338" i="4"/>
  <c r="Z338" i="4" s="1"/>
  <c r="K342" i="4"/>
  <c r="N345" i="4"/>
  <c r="AA345" i="4" s="1"/>
  <c r="N357" i="4"/>
  <c r="AA357" i="4" s="1"/>
  <c r="J357" i="4"/>
  <c r="Z357" i="4" s="1"/>
  <c r="D357" i="4"/>
  <c r="V339" i="4"/>
  <c r="S354" i="4"/>
  <c r="J362" i="4"/>
  <c r="Z362" i="4" s="1"/>
  <c r="I365" i="4"/>
  <c r="N375" i="4"/>
  <c r="AA375" i="4" s="1"/>
  <c r="K387" i="4"/>
  <c r="V387" i="4" s="1"/>
  <c r="J387" i="4"/>
  <c r="Z387" i="4" s="1"/>
  <c r="M394" i="4"/>
  <c r="W394" i="4" s="1"/>
  <c r="M406" i="4"/>
  <c r="W406" i="4" s="1"/>
  <c r="I426" i="4"/>
  <c r="B440" i="4"/>
  <c r="J440" i="4"/>
  <c r="Z440" i="4" s="1"/>
  <c r="F457" i="4"/>
  <c r="K457" i="4"/>
  <c r="V457" i="4" s="1"/>
  <c r="J457" i="4"/>
  <c r="Z457" i="4" s="1"/>
  <c r="B457" i="4"/>
  <c r="L457" i="4"/>
  <c r="Y457" i="4" s="1"/>
  <c r="M474" i="4"/>
  <c r="W474" i="4" s="1"/>
  <c r="K474" i="4"/>
  <c r="J474" i="4"/>
  <c r="Z474" i="4" s="1"/>
  <c r="H474" i="4"/>
  <c r="G474" i="4"/>
  <c r="X474" i="4" s="1"/>
  <c r="F474" i="4"/>
  <c r="D487" i="4"/>
  <c r="M413" i="4"/>
  <c r="W413" i="4" s="1"/>
  <c r="R413" i="4"/>
  <c r="AD413" i="4" s="1"/>
  <c r="N413" i="4"/>
  <c r="AA413" i="4" s="1"/>
  <c r="D413" i="4"/>
  <c r="G528" i="4"/>
  <c r="X528" i="4" s="1"/>
  <c r="N528" i="4"/>
  <c r="AA528" i="4" s="1"/>
  <c r="K528" i="4"/>
  <c r="I528" i="4"/>
  <c r="F528" i="4"/>
  <c r="D528" i="4"/>
  <c r="B528" i="4"/>
  <c r="G553" i="4"/>
  <c r="X553" i="4" s="1"/>
  <c r="B553" i="4"/>
  <c r="J398" i="4"/>
  <c r="Z398" i="4" s="1"/>
  <c r="N398" i="4"/>
  <c r="AA398" i="4" s="1"/>
  <c r="T411" i="4"/>
  <c r="N411" i="4"/>
  <c r="AA411" i="4" s="1"/>
  <c r="M508" i="4"/>
  <c r="W508" i="4" s="1"/>
  <c r="B508" i="4"/>
  <c r="K610" i="4"/>
  <c r="F610" i="4"/>
  <c r="U362" i="4"/>
  <c r="F378" i="4"/>
  <c r="D378" i="4"/>
  <c r="D411" i="4"/>
  <c r="F413" i="4"/>
  <c r="L415" i="4"/>
  <c r="Y415" i="4" s="1"/>
  <c r="K415" i="4"/>
  <c r="D436" i="4"/>
  <c r="V474" i="4"/>
  <c r="Y474" i="4"/>
  <c r="M481" i="4"/>
  <c r="W481" i="4" s="1"/>
  <c r="J481" i="4"/>
  <c r="Z481" i="4" s="1"/>
  <c r="H481" i="4"/>
  <c r="N501" i="4"/>
  <c r="AA501" i="4" s="1"/>
  <c r="J501" i="4"/>
  <c r="Z501" i="4" s="1"/>
  <c r="F501" i="4"/>
  <c r="B501" i="4"/>
  <c r="H528" i="4"/>
  <c r="M554" i="4"/>
  <c r="W554" i="4" s="1"/>
  <c r="I554" i="4"/>
  <c r="K554" i="4"/>
  <c r="J554" i="4"/>
  <c r="Z554" i="4" s="1"/>
  <c r="G554" i="4"/>
  <c r="X554" i="4" s="1"/>
  <c r="D554" i="4"/>
  <c r="H594" i="4"/>
  <c r="G594" i="4"/>
  <c r="X594" i="4" s="1"/>
  <c r="L594" i="4"/>
  <c r="Y594" i="4" s="1"/>
  <c r="H307" i="4"/>
  <c r="B330" i="4"/>
  <c r="D331" i="4"/>
  <c r="I339" i="4"/>
  <c r="D347" i="4"/>
  <c r="K361" i="4"/>
  <c r="V361" i="4" s="1"/>
  <c r="N365" i="4"/>
  <c r="AA365" i="4" s="1"/>
  <c r="D371" i="4"/>
  <c r="K374" i="4"/>
  <c r="V374" i="4" s="1"/>
  <c r="I387" i="4"/>
  <c r="F398" i="4"/>
  <c r="K403" i="4"/>
  <c r="V403" i="4" s="1"/>
  <c r="F403" i="4"/>
  <c r="R403" i="4"/>
  <c r="AD403" i="4" s="1"/>
  <c r="H413" i="4"/>
  <c r="I437" i="4"/>
  <c r="B441" i="4"/>
  <c r="M441" i="4"/>
  <c r="W441" i="4" s="1"/>
  <c r="I441" i="4"/>
  <c r="N509" i="4"/>
  <c r="AA509" i="4" s="1"/>
  <c r="L509" i="4"/>
  <c r="Y509" i="4" s="1"/>
  <c r="K509" i="4"/>
  <c r="I509" i="4"/>
  <c r="H509" i="4"/>
  <c r="G509" i="4"/>
  <c r="X509" i="4" s="1"/>
  <c r="B509" i="4"/>
  <c r="N512" i="4"/>
  <c r="AA512" i="4" s="1"/>
  <c r="M512" i="4"/>
  <c r="W512" i="4" s="1"/>
  <c r="I512" i="4"/>
  <c r="H512" i="4"/>
  <c r="G512" i="4"/>
  <c r="X512" i="4" s="1"/>
  <c r="B512" i="4"/>
  <c r="M528" i="4"/>
  <c r="W528" i="4" s="1"/>
  <c r="L573" i="4"/>
  <c r="Y573" i="4" s="1"/>
  <c r="K573" i="4"/>
  <c r="V573" i="4" s="1"/>
  <c r="H573" i="4"/>
  <c r="G573" i="4"/>
  <c r="X573" i="4" s="1"/>
  <c r="F573" i="4"/>
  <c r="D573" i="4"/>
  <c r="B573" i="4"/>
  <c r="N573" i="4"/>
  <c r="AA573" i="4" s="1"/>
  <c r="M573" i="4"/>
  <c r="W573" i="4" s="1"/>
  <c r="I573" i="4"/>
  <c r="F577" i="4"/>
  <c r="B577" i="4"/>
  <c r="J577" i="4"/>
  <c r="Z577" i="4" s="1"/>
  <c r="D577" i="4"/>
  <c r="J339" i="4"/>
  <c r="Z339" i="4" s="1"/>
  <c r="R365" i="4"/>
  <c r="AD365" i="4" s="1"/>
  <c r="F372" i="4"/>
  <c r="M374" i="4"/>
  <c r="W374" i="4" s="1"/>
  <c r="I377" i="4"/>
  <c r="B377" i="4"/>
  <c r="G378" i="4"/>
  <c r="X378" i="4" s="1"/>
  <c r="M381" i="4"/>
  <c r="W381" i="4" s="1"/>
  <c r="H381" i="4"/>
  <c r="L387" i="4"/>
  <c r="Y387" i="4" s="1"/>
  <c r="L392" i="4"/>
  <c r="Y392" i="4" s="1"/>
  <c r="H392" i="4"/>
  <c r="M397" i="4"/>
  <c r="W397" i="4" s="1"/>
  <c r="I397" i="4"/>
  <c r="H398" i="4"/>
  <c r="D403" i="4"/>
  <c r="L408" i="4"/>
  <c r="Y408" i="4" s="1"/>
  <c r="K408" i="4"/>
  <c r="V408" i="4" s="1"/>
  <c r="F411" i="4"/>
  <c r="I413" i="4"/>
  <c r="J415" i="4"/>
  <c r="Z415" i="4" s="1"/>
  <c r="F436" i="4"/>
  <c r="J437" i="4"/>
  <c r="Z437" i="4" s="1"/>
  <c r="D441" i="4"/>
  <c r="M475" i="4"/>
  <c r="W475" i="4" s="1"/>
  <c r="L475" i="4"/>
  <c r="Y475" i="4" s="1"/>
  <c r="I475" i="4"/>
  <c r="H475" i="4"/>
  <c r="G475" i="4"/>
  <c r="X475" i="4" s="1"/>
  <c r="K481" i="4"/>
  <c r="D489" i="4"/>
  <c r="B489" i="4"/>
  <c r="M489" i="4"/>
  <c r="W489" i="4" s="1"/>
  <c r="G501" i="4"/>
  <c r="X501" i="4" s="1"/>
  <c r="D509" i="4"/>
  <c r="D512" i="4"/>
  <c r="K529" i="4"/>
  <c r="N529" i="4"/>
  <c r="AA529" i="4" s="1"/>
  <c r="L529" i="4"/>
  <c r="Y529" i="4" s="1"/>
  <c r="J529" i="4"/>
  <c r="Z529" i="4" s="1"/>
  <c r="H529" i="4"/>
  <c r="D529" i="4"/>
  <c r="B529" i="4"/>
  <c r="H554" i="4"/>
  <c r="G601" i="4"/>
  <c r="X601" i="4" s="1"/>
  <c r="L601" i="4"/>
  <c r="Y601" i="4" s="1"/>
  <c r="J601" i="4"/>
  <c r="Z601" i="4" s="1"/>
  <c r="B601" i="4"/>
  <c r="AJ645" i="4"/>
  <c r="P645" i="4"/>
  <c r="AB645" i="4" s="1"/>
  <c r="I398" i="4"/>
  <c r="F410" i="4"/>
  <c r="U410" i="4"/>
  <c r="N410" i="4"/>
  <c r="AA410" i="4" s="1"/>
  <c r="D410" i="4"/>
  <c r="G411" i="4"/>
  <c r="X411" i="4" s="1"/>
  <c r="J413" i="4"/>
  <c r="Z413" i="4" s="1"/>
  <c r="H436" i="4"/>
  <c r="M469" i="4"/>
  <c r="W469" i="4" s="1"/>
  <c r="G469" i="4"/>
  <c r="X469" i="4" s="1"/>
  <c r="B482" i="4"/>
  <c r="J482" i="4"/>
  <c r="Z482" i="4" s="1"/>
  <c r="I482" i="4"/>
  <c r="K482" i="4"/>
  <c r="N485" i="4"/>
  <c r="AA485" i="4" s="1"/>
  <c r="I485" i="4"/>
  <c r="G485" i="4"/>
  <c r="X485" i="4" s="1"/>
  <c r="L501" i="4"/>
  <c r="Y501" i="4" s="1"/>
  <c r="J573" i="4"/>
  <c r="Z573" i="4" s="1"/>
  <c r="H577" i="4"/>
  <c r="L398" i="4"/>
  <c r="Y398" i="4" s="1"/>
  <c r="H411" i="4"/>
  <c r="K413" i="4"/>
  <c r="I436" i="4"/>
  <c r="L437" i="4"/>
  <c r="Y437" i="4" s="1"/>
  <c r="N479" i="4"/>
  <c r="AA479" i="4" s="1"/>
  <c r="B479" i="4"/>
  <c r="F509" i="4"/>
  <c r="F512" i="4"/>
  <c r="F529" i="4"/>
  <c r="K601" i="4"/>
  <c r="F369" i="4"/>
  <c r="F394" i="4"/>
  <c r="J394" i="4"/>
  <c r="Z394" i="4" s="1"/>
  <c r="M398" i="4"/>
  <c r="W398" i="4" s="1"/>
  <c r="I411" i="4"/>
  <c r="L413" i="4"/>
  <c r="Y413" i="4" s="1"/>
  <c r="J436" i="4"/>
  <c r="Z436" i="4" s="1"/>
  <c r="L451" i="4"/>
  <c r="Y451" i="4" s="1"/>
  <c r="N451" i="4"/>
  <c r="AA451" i="4" s="1"/>
  <c r="I451" i="4"/>
  <c r="B451" i="4"/>
  <c r="H369" i="4"/>
  <c r="J371" i="4"/>
  <c r="Z371" i="4" s="1"/>
  <c r="M372" i="4"/>
  <c r="W372" i="4" s="1"/>
  <c r="K378" i="4"/>
  <c r="V378" i="4" s="1"/>
  <c r="D394" i="4"/>
  <c r="D406" i="4"/>
  <c r="J411" i="4"/>
  <c r="Z411" i="4" s="1"/>
  <c r="L424" i="4"/>
  <c r="Y424" i="4" s="1"/>
  <c r="K424" i="4"/>
  <c r="J424" i="4"/>
  <c r="Z424" i="4" s="1"/>
  <c r="M429" i="4"/>
  <c r="W429" i="4" s="1"/>
  <c r="H429" i="4"/>
  <c r="N435" i="4"/>
  <c r="AA435" i="4" s="1"/>
  <c r="M435" i="4"/>
  <c r="W435" i="4" s="1"/>
  <c r="B435" i="4"/>
  <c r="K436" i="4"/>
  <c r="V436" i="4" s="1"/>
  <c r="N473" i="4"/>
  <c r="AA473" i="4" s="1"/>
  <c r="M473" i="4"/>
  <c r="W473" i="4" s="1"/>
  <c r="K473" i="4"/>
  <c r="I473" i="4"/>
  <c r="H473" i="4"/>
  <c r="F473" i="4"/>
  <c r="D473" i="4"/>
  <c r="L486" i="4"/>
  <c r="Y486" i="4" s="1"/>
  <c r="K486" i="4"/>
  <c r="V486" i="4" s="1"/>
  <c r="B486" i="4"/>
  <c r="M486" i="4"/>
  <c r="W486" i="4" s="1"/>
  <c r="L530" i="4"/>
  <c r="Y530" i="4" s="1"/>
  <c r="H530" i="4"/>
  <c r="B383" i="4"/>
  <c r="J383" i="4"/>
  <c r="Z383" i="4" s="1"/>
  <c r="K411" i="4"/>
  <c r="V411" i="4" s="1"/>
  <c r="F426" i="4"/>
  <c r="B426" i="4"/>
  <c r="J426" i="4"/>
  <c r="Z426" i="4" s="1"/>
  <c r="D429" i="4"/>
  <c r="D435" i="4"/>
  <c r="L436" i="4"/>
  <c r="Y436" i="4" s="1"/>
  <c r="B448" i="4"/>
  <c r="I448" i="4"/>
  <c r="G451" i="4"/>
  <c r="X451" i="4" s="1"/>
  <c r="G490" i="4"/>
  <c r="X490" i="4" s="1"/>
  <c r="B503" i="4"/>
  <c r="L503" i="4"/>
  <c r="Y503" i="4" s="1"/>
  <c r="K503" i="4"/>
  <c r="I503" i="4"/>
  <c r="H503" i="4"/>
  <c r="F503" i="4"/>
  <c r="D503" i="4"/>
  <c r="F513" i="4"/>
  <c r="B513" i="4"/>
  <c r="N513" i="4"/>
  <c r="AA513" i="4" s="1"/>
  <c r="L513" i="4"/>
  <c r="Y513" i="4" s="1"/>
  <c r="H513" i="4"/>
  <c r="I354" i="4"/>
  <c r="F375" i="4"/>
  <c r="N378" i="4"/>
  <c r="AA378" i="4" s="1"/>
  <c r="G394" i="4"/>
  <c r="X394" i="4" s="1"/>
  <c r="F399" i="4"/>
  <c r="F406" i="4"/>
  <c r="L411" i="4"/>
  <c r="Y411" i="4" s="1"/>
  <c r="J414" i="4"/>
  <c r="Z414" i="4" s="1"/>
  <c r="I414" i="4"/>
  <c r="G424" i="4"/>
  <c r="X424" i="4" s="1"/>
  <c r="D426" i="4"/>
  <c r="M436" i="4"/>
  <c r="W436" i="4" s="1"/>
  <c r="J451" i="4"/>
  <c r="Z451" i="4" s="1"/>
  <c r="G462" i="4"/>
  <c r="X462" i="4" s="1"/>
  <c r="F462" i="4"/>
  <c r="N462" i="4"/>
  <c r="AA462" i="4" s="1"/>
  <c r="M462" i="4"/>
  <c r="W462" i="4" s="1"/>
  <c r="H462" i="4"/>
  <c r="J470" i="4"/>
  <c r="Z470" i="4" s="1"/>
  <c r="I470" i="4"/>
  <c r="H470" i="4"/>
  <c r="B470" i="4"/>
  <c r="G473" i="4"/>
  <c r="X473" i="4" s="1"/>
  <c r="I486" i="4"/>
  <c r="H531" i="4"/>
  <c r="M531" i="4"/>
  <c r="W531" i="4" s="1"/>
  <c r="L531" i="4"/>
  <c r="Y531" i="4" s="1"/>
  <c r="J531" i="4"/>
  <c r="Z531" i="4" s="1"/>
  <c r="I531" i="4"/>
  <c r="G531" i="4"/>
  <c r="X531" i="4" s="1"/>
  <c r="D531" i="4"/>
  <c r="B531" i="4"/>
  <c r="J513" i="4"/>
  <c r="Z513" i="4" s="1"/>
  <c r="M330" i="4"/>
  <c r="W330" i="4" s="1"/>
  <c r="N347" i="4"/>
  <c r="AA347" i="4" s="1"/>
  <c r="L354" i="4"/>
  <c r="Y354" i="4" s="1"/>
  <c r="H362" i="4"/>
  <c r="G365" i="4"/>
  <c r="X365" i="4" s="1"/>
  <c r="R371" i="4"/>
  <c r="AD371" i="4" s="1"/>
  <c r="K375" i="4"/>
  <c r="V375" i="4" s="1"/>
  <c r="L377" i="4"/>
  <c r="Y377" i="4" s="1"/>
  <c r="B380" i="4"/>
  <c r="L381" i="4"/>
  <c r="Y381" i="4" s="1"/>
  <c r="I383" i="4"/>
  <c r="S386" i="4"/>
  <c r="G388" i="4"/>
  <c r="X388" i="4" s="1"/>
  <c r="B391" i="4"/>
  <c r="I394" i="4"/>
  <c r="I406" i="4"/>
  <c r="M410" i="4"/>
  <c r="W410" i="4" s="1"/>
  <c r="F414" i="4"/>
  <c r="N424" i="4"/>
  <c r="AA424" i="4" s="1"/>
  <c r="G426" i="4"/>
  <c r="X426" i="4" s="1"/>
  <c r="I429" i="4"/>
  <c r="J435" i="4"/>
  <c r="Z435" i="4" s="1"/>
  <c r="J443" i="4"/>
  <c r="Z443" i="4" s="1"/>
  <c r="H443" i="4"/>
  <c r="G448" i="4"/>
  <c r="X448" i="4" s="1"/>
  <c r="M451" i="4"/>
  <c r="W451" i="4" s="1"/>
  <c r="I462" i="4"/>
  <c r="V464" i="4"/>
  <c r="L473" i="4"/>
  <c r="Y473" i="4" s="1"/>
  <c r="M494" i="4"/>
  <c r="W494" i="4" s="1"/>
  <c r="L494" i="4"/>
  <c r="Y494" i="4" s="1"/>
  <c r="K494" i="4"/>
  <c r="V494" i="4" s="1"/>
  <c r="H494" i="4"/>
  <c r="M503" i="4"/>
  <c r="W503" i="4" s="1"/>
  <c r="K513" i="4"/>
  <c r="F531" i="4"/>
  <c r="N330" i="4"/>
  <c r="AA330" i="4" s="1"/>
  <c r="B339" i="4"/>
  <c r="M354" i="4"/>
  <c r="W354" i="4" s="1"/>
  <c r="I362" i="4"/>
  <c r="K383" i="4"/>
  <c r="V383" i="4" s="1"/>
  <c r="B387" i="4"/>
  <c r="K394" i="4"/>
  <c r="V394" i="4" s="1"/>
  <c r="D412" i="4"/>
  <c r="H414" i="4"/>
  <c r="H420" i="4"/>
  <c r="K420" i="4"/>
  <c r="J420" i="4"/>
  <c r="Z420" i="4" s="1"/>
  <c r="H426" i="4"/>
  <c r="J429" i="4"/>
  <c r="Z429" i="4" s="1"/>
  <c r="K435" i="4"/>
  <c r="V435" i="4" s="1"/>
  <c r="D443" i="4"/>
  <c r="H448" i="4"/>
  <c r="J454" i="4"/>
  <c r="Z454" i="4" s="1"/>
  <c r="H454" i="4"/>
  <c r="G454" i="4"/>
  <c r="X454" i="4" s="1"/>
  <c r="J462" i="4"/>
  <c r="Z462" i="4" s="1"/>
  <c r="I468" i="4"/>
  <c r="H468" i="4"/>
  <c r="D468" i="4"/>
  <c r="J468" i="4"/>
  <c r="Z468" i="4" s="1"/>
  <c r="F470" i="4"/>
  <c r="L477" i="4"/>
  <c r="Y477" i="4" s="1"/>
  <c r="M477" i="4"/>
  <c r="W477" i="4" s="1"/>
  <c r="K477" i="4"/>
  <c r="I477" i="4"/>
  <c r="H477" i="4"/>
  <c r="G477" i="4"/>
  <c r="X477" i="4" s="1"/>
  <c r="B477" i="4"/>
  <c r="M513" i="4"/>
  <c r="W513" i="4" s="1"/>
  <c r="K531" i="4"/>
  <c r="M583" i="4"/>
  <c r="W583" i="4" s="1"/>
  <c r="J583" i="4"/>
  <c r="Z583" i="4" s="1"/>
  <c r="F583" i="4"/>
  <c r="B583" i="4"/>
  <c r="I583" i="4"/>
  <c r="H583" i="4"/>
  <c r="D583" i="4"/>
  <c r="N608" i="4"/>
  <c r="AA608" i="4" s="1"/>
  <c r="L608" i="4"/>
  <c r="Y608" i="4" s="1"/>
  <c r="J608" i="4"/>
  <c r="Z608" i="4" s="1"/>
  <c r="L458" i="4"/>
  <c r="Y458" i="4" s="1"/>
  <c r="J472" i="4"/>
  <c r="Z472" i="4" s="1"/>
  <c r="M480" i="4"/>
  <c r="W480" i="4" s="1"/>
  <c r="N483" i="4"/>
  <c r="AA483" i="4" s="1"/>
  <c r="L516" i="4"/>
  <c r="Y516" i="4" s="1"/>
  <c r="N525" i="4"/>
  <c r="AA525" i="4" s="1"/>
  <c r="H527" i="4"/>
  <c r="L539" i="4"/>
  <c r="Y539" i="4" s="1"/>
  <c r="F545" i="4"/>
  <c r="F571" i="4"/>
  <c r="N576" i="4"/>
  <c r="AA576" i="4" s="1"/>
  <c r="I576" i="4"/>
  <c r="L581" i="4"/>
  <c r="Y581" i="4" s="1"/>
  <c r="J581" i="4"/>
  <c r="Z581" i="4" s="1"/>
  <c r="F581" i="4"/>
  <c r="M599" i="4"/>
  <c r="W599" i="4" s="1"/>
  <c r="I599" i="4"/>
  <c r="S637" i="4"/>
  <c r="Q637" i="4"/>
  <c r="AC637" i="4" s="1"/>
  <c r="N637" i="4"/>
  <c r="AA637" i="4" s="1"/>
  <c r="L637" i="4"/>
  <c r="Y637" i="4" s="1"/>
  <c r="G637" i="4"/>
  <c r="X637" i="4" s="1"/>
  <c r="F637" i="4"/>
  <c r="R772" i="4"/>
  <c r="AD772" i="4" s="1"/>
  <c r="G772" i="4"/>
  <c r="X772" i="4" s="1"/>
  <c r="N527" i="4"/>
  <c r="AA527" i="4" s="1"/>
  <c r="B533" i="4"/>
  <c r="L533" i="4"/>
  <c r="Y533" i="4" s="1"/>
  <c r="J545" i="4"/>
  <c r="Z545" i="4" s="1"/>
  <c r="L561" i="4"/>
  <c r="Y561" i="4" s="1"/>
  <c r="K561" i="4"/>
  <c r="V561" i="4" s="1"/>
  <c r="H571" i="4"/>
  <c r="N587" i="4"/>
  <c r="AA587" i="4" s="1"/>
  <c r="M587" i="4"/>
  <c r="W587" i="4" s="1"/>
  <c r="H587" i="4"/>
  <c r="G587" i="4"/>
  <c r="X587" i="4" s="1"/>
  <c r="D587" i="4"/>
  <c r="N603" i="4"/>
  <c r="AA603" i="4" s="1"/>
  <c r="M603" i="4"/>
  <c r="W603" i="4" s="1"/>
  <c r="L603" i="4"/>
  <c r="Y603" i="4" s="1"/>
  <c r="K603" i="4"/>
  <c r="H603" i="4"/>
  <c r="D603" i="4"/>
  <c r="I637" i="4"/>
  <c r="P661" i="4"/>
  <c r="AB661" i="4" s="1"/>
  <c r="AJ661" i="4"/>
  <c r="G957" i="4"/>
  <c r="X957" i="4" s="1"/>
  <c r="J957" i="4"/>
  <c r="Z957" i="4" s="1"/>
  <c r="Q957" i="4"/>
  <c r="AC957" i="4" s="1"/>
  <c r="R957" i="4"/>
  <c r="AD957" i="4" s="1"/>
  <c r="O957" i="4"/>
  <c r="L957" i="4"/>
  <c r="Y957" i="4" s="1"/>
  <c r="D957" i="4"/>
  <c r="K957" i="4"/>
  <c r="U957" i="4"/>
  <c r="V493" i="4"/>
  <c r="V505" i="4"/>
  <c r="D561" i="4"/>
  <c r="V569" i="4"/>
  <c r="J571" i="4"/>
  <c r="Z571" i="4" s="1"/>
  <c r="F576" i="4"/>
  <c r="H581" i="4"/>
  <c r="B585" i="4"/>
  <c r="F599" i="4"/>
  <c r="O743" i="4"/>
  <c r="H743" i="4"/>
  <c r="F587" i="4"/>
  <c r="H599" i="4"/>
  <c r="F603" i="4"/>
  <c r="K615" i="4"/>
  <c r="L677" i="4"/>
  <c r="Y677" i="4" s="1"/>
  <c r="B677" i="4"/>
  <c r="T677" i="4"/>
  <c r="K677" i="4"/>
  <c r="R677" i="4"/>
  <c r="AD677" i="4" s="1"/>
  <c r="Q677" i="4"/>
  <c r="AC677" i="4" s="1"/>
  <c r="O677" i="4"/>
  <c r="N677" i="4"/>
  <c r="AA677" i="4" s="1"/>
  <c r="M677" i="4"/>
  <c r="W677" i="4" s="1"/>
  <c r="J677" i="4"/>
  <c r="Z677" i="4" s="1"/>
  <c r="I677" i="4"/>
  <c r="H677" i="4"/>
  <c r="G677" i="4"/>
  <c r="X677" i="4" s="1"/>
  <c r="F677" i="4"/>
  <c r="G743" i="4"/>
  <c r="X743" i="4" s="1"/>
  <c r="H499" i="4"/>
  <c r="V515" i="4"/>
  <c r="N533" i="4"/>
  <c r="AA533" i="4" s="1"/>
  <c r="N542" i="4"/>
  <c r="AA542" i="4" s="1"/>
  <c r="D542" i="4"/>
  <c r="F544" i="4"/>
  <c r="V551" i="4"/>
  <c r="F561" i="4"/>
  <c r="B567" i="4"/>
  <c r="M567" i="4"/>
  <c r="W567" i="4" s="1"/>
  <c r="N571" i="4"/>
  <c r="AA571" i="4" s="1"/>
  <c r="J587" i="4"/>
  <c r="Z587" i="4" s="1"/>
  <c r="K592" i="4"/>
  <c r="I592" i="4"/>
  <c r="G592" i="4"/>
  <c r="X592" i="4" s="1"/>
  <c r="F592" i="4"/>
  <c r="B592" i="4"/>
  <c r="G603" i="4"/>
  <c r="X603" i="4" s="1"/>
  <c r="B612" i="4"/>
  <c r="N612" i="4"/>
  <c r="AA612" i="4" s="1"/>
  <c r="M612" i="4"/>
  <c r="W612" i="4" s="1"/>
  <c r="S615" i="4"/>
  <c r="D677" i="4"/>
  <c r="N708" i="4"/>
  <c r="AA708" i="4" s="1"/>
  <c r="H708" i="4"/>
  <c r="G708" i="4"/>
  <c r="X708" i="4" s="1"/>
  <c r="B708" i="4"/>
  <c r="Q708" i="4"/>
  <c r="AC708" i="4" s="1"/>
  <c r="O708" i="4"/>
  <c r="F708" i="4"/>
  <c r="O874" i="4"/>
  <c r="M419" i="4"/>
  <c r="W419" i="4" s="1"/>
  <c r="K427" i="4"/>
  <c r="V427" i="4" s="1"/>
  <c r="I452" i="4"/>
  <c r="B458" i="4"/>
  <c r="L464" i="4"/>
  <c r="Y464" i="4" s="1"/>
  <c r="N466" i="4"/>
  <c r="AA466" i="4" s="1"/>
  <c r="B480" i="4"/>
  <c r="D483" i="4"/>
  <c r="F493" i="4"/>
  <c r="I499" i="4"/>
  <c r="M500" i="4"/>
  <c r="W500" i="4" s="1"/>
  <c r="B511" i="4"/>
  <c r="M515" i="4"/>
  <c r="W515" i="4" s="1"/>
  <c r="D525" i="4"/>
  <c r="G544" i="4"/>
  <c r="X544" i="4" s="1"/>
  <c r="B548" i="4"/>
  <c r="D551" i="4"/>
  <c r="H561" i="4"/>
  <c r="D567" i="4"/>
  <c r="F570" i="4"/>
  <c r="J570" i="4"/>
  <c r="Z570" i="4" s="1"/>
  <c r="I570" i="4"/>
  <c r="K576" i="4"/>
  <c r="J585" i="4"/>
  <c r="Z585" i="4" s="1"/>
  <c r="L587" i="4"/>
  <c r="Y587" i="4" s="1"/>
  <c r="D592" i="4"/>
  <c r="N597" i="4"/>
  <c r="AA597" i="4" s="1"/>
  <c r="L597" i="4"/>
  <c r="Y597" i="4" s="1"/>
  <c r="G597" i="4"/>
  <c r="X597" i="4" s="1"/>
  <c r="I603" i="4"/>
  <c r="D612" i="4"/>
  <c r="D708" i="4"/>
  <c r="G493" i="4"/>
  <c r="X493" i="4" s="1"/>
  <c r="J499" i="4"/>
  <c r="Z499" i="4" s="1"/>
  <c r="F526" i="4"/>
  <c r="J561" i="4"/>
  <c r="Z561" i="4" s="1"/>
  <c r="M576" i="4"/>
  <c r="W576" i="4" s="1"/>
  <c r="L585" i="4"/>
  <c r="Y585" i="4" s="1"/>
  <c r="J603" i="4"/>
  <c r="Z603" i="4" s="1"/>
  <c r="P662" i="4"/>
  <c r="AB662" i="4" s="1"/>
  <c r="AJ662" i="4"/>
  <c r="F612" i="4"/>
  <c r="L688" i="4"/>
  <c r="Y688" i="4" s="1"/>
  <c r="F688" i="4"/>
  <c r="Q688" i="4"/>
  <c r="AC688" i="4" s="1"/>
  <c r="O688" i="4"/>
  <c r="AJ688" i="4" s="1"/>
  <c r="N688" i="4"/>
  <c r="AA688" i="4" s="1"/>
  <c r="M688" i="4"/>
  <c r="W688" i="4" s="1"/>
  <c r="J688" i="4"/>
  <c r="Z688" i="4" s="1"/>
  <c r="I688" i="4"/>
  <c r="H688" i="4"/>
  <c r="G688" i="4"/>
  <c r="X688" i="4" s="1"/>
  <c r="I493" i="4"/>
  <c r="L547" i="4"/>
  <c r="Y547" i="4" s="1"/>
  <c r="H547" i="4"/>
  <c r="H551" i="4"/>
  <c r="M560" i="4"/>
  <c r="W560" i="4" s="1"/>
  <c r="K560" i="4"/>
  <c r="G560" i="4"/>
  <c r="X560" i="4" s="1"/>
  <c r="F560" i="4"/>
  <c r="H567" i="4"/>
  <c r="M592" i="4"/>
  <c r="W592" i="4" s="1"/>
  <c r="D604" i="4"/>
  <c r="K612" i="4"/>
  <c r="V612" i="4" s="1"/>
  <c r="U635" i="4"/>
  <c r="F458" i="4"/>
  <c r="I463" i="4"/>
  <c r="F480" i="4"/>
  <c r="H483" i="4"/>
  <c r="J493" i="4"/>
  <c r="Z493" i="4" s="1"/>
  <c r="M499" i="4"/>
  <c r="W499" i="4" s="1"/>
  <c r="G506" i="4"/>
  <c r="X506" i="4" s="1"/>
  <c r="H511" i="4"/>
  <c r="D516" i="4"/>
  <c r="H525" i="4"/>
  <c r="L526" i="4"/>
  <c r="Y526" i="4" s="1"/>
  <c r="D539" i="4"/>
  <c r="D547" i="4"/>
  <c r="D560" i="4"/>
  <c r="I567" i="4"/>
  <c r="G575" i="4"/>
  <c r="X575" i="4" s="1"/>
  <c r="N575" i="4"/>
  <c r="AA575" i="4" s="1"/>
  <c r="J575" i="4"/>
  <c r="Z575" i="4" s="1"/>
  <c r="I575" i="4"/>
  <c r="D575" i="4"/>
  <c r="N592" i="4"/>
  <c r="AA592" i="4" s="1"/>
  <c r="Q612" i="4"/>
  <c r="AC612" i="4" s="1"/>
  <c r="S652" i="4"/>
  <c r="L652" i="4"/>
  <c r="Y652" i="4" s="1"/>
  <c r="M678" i="4"/>
  <c r="W678" i="4" s="1"/>
  <c r="U678" i="4"/>
  <c r="T678" i="4"/>
  <c r="O678" i="4"/>
  <c r="P678" i="4" s="1"/>
  <c r="AB678" i="4" s="1"/>
  <c r="N678" i="4"/>
  <c r="AA678" i="4" s="1"/>
  <c r="K678" i="4"/>
  <c r="G678" i="4"/>
  <c r="X678" i="4" s="1"/>
  <c r="F678" i="4"/>
  <c r="J729" i="4"/>
  <c r="Z729" i="4" s="1"/>
  <c r="I729" i="4"/>
  <c r="S729" i="4"/>
  <c r="R729" i="4"/>
  <c r="AD729" i="4" s="1"/>
  <c r="T729" i="4"/>
  <c r="U729" i="4"/>
  <c r="K729" i="4"/>
  <c r="B729" i="4"/>
  <c r="H480" i="4"/>
  <c r="J483" i="4"/>
  <c r="Z483" i="4" s="1"/>
  <c r="M493" i="4"/>
  <c r="W493" i="4" s="1"/>
  <c r="H498" i="4"/>
  <c r="I506" i="4"/>
  <c r="F516" i="4"/>
  <c r="J525" i="4"/>
  <c r="Z525" i="4" s="1"/>
  <c r="N526" i="4"/>
  <c r="AA526" i="4" s="1"/>
  <c r="F539" i="4"/>
  <c r="M542" i="4"/>
  <c r="W542" i="4" s="1"/>
  <c r="F547" i="4"/>
  <c r="L548" i="4"/>
  <c r="Y548" i="4" s="1"/>
  <c r="M551" i="4"/>
  <c r="W551" i="4" s="1"/>
  <c r="N557" i="4"/>
  <c r="AA557" i="4" s="1"/>
  <c r="K557" i="4"/>
  <c r="V557" i="4" s="1"/>
  <c r="J557" i="4"/>
  <c r="Z557" i="4" s="1"/>
  <c r="H560" i="4"/>
  <c r="I564" i="4"/>
  <c r="G568" i="4"/>
  <c r="X568" i="4" s="1"/>
  <c r="F568" i="4"/>
  <c r="M570" i="4"/>
  <c r="W570" i="4" s="1"/>
  <c r="H575" i="4"/>
  <c r="I588" i="4"/>
  <c r="R626" i="4"/>
  <c r="AD626" i="4" s="1"/>
  <c r="M626" i="4"/>
  <c r="W626" i="4" s="1"/>
  <c r="H626" i="4"/>
  <c r="U632" i="4"/>
  <c r="U644" i="4"/>
  <c r="N644" i="4"/>
  <c r="AA644" i="4" s="1"/>
  <c r="D729" i="4"/>
  <c r="B545" i="4"/>
  <c r="K545" i="4"/>
  <c r="F602" i="4"/>
  <c r="K602" i="4"/>
  <c r="J602" i="4"/>
  <c r="Z602" i="4" s="1"/>
  <c r="I602" i="4"/>
  <c r="H602" i="4"/>
  <c r="G602" i="4"/>
  <c r="X602" i="4" s="1"/>
  <c r="B602" i="4"/>
  <c r="S680" i="4"/>
  <c r="D680" i="4"/>
  <c r="B680" i="4"/>
  <c r="R680" i="4"/>
  <c r="AD680" i="4" s="1"/>
  <c r="O680" i="4"/>
  <c r="J458" i="4"/>
  <c r="Z458" i="4" s="1"/>
  <c r="J480" i="4"/>
  <c r="Z480" i="4" s="1"/>
  <c r="L483" i="4"/>
  <c r="K506" i="4"/>
  <c r="J516" i="4"/>
  <c r="Z516" i="4" s="1"/>
  <c r="M519" i="4"/>
  <c r="W519" i="4" s="1"/>
  <c r="M523" i="4"/>
  <c r="W523" i="4" s="1"/>
  <c r="L525" i="4"/>
  <c r="Y525" i="4" s="1"/>
  <c r="D527" i="4"/>
  <c r="F535" i="4"/>
  <c r="H539" i="4"/>
  <c r="D545" i="4"/>
  <c r="I547" i="4"/>
  <c r="N560" i="4"/>
  <c r="AA560" i="4" s="1"/>
  <c r="K564" i="4"/>
  <c r="D571" i="4"/>
  <c r="L575" i="4"/>
  <c r="Y575" i="4" s="1"/>
  <c r="V595" i="4"/>
  <c r="Y595" i="4"/>
  <c r="D602" i="4"/>
  <c r="J640" i="4"/>
  <c r="Z640" i="4" s="1"/>
  <c r="H640" i="4"/>
  <c r="L672" i="4"/>
  <c r="Y672" i="4" s="1"/>
  <c r="O672" i="4"/>
  <c r="AJ672" i="4" s="1"/>
  <c r="N672" i="4"/>
  <c r="AA672" i="4" s="1"/>
  <c r="F672" i="4"/>
  <c r="Q672" i="4"/>
  <c r="AC672" i="4" s="1"/>
  <c r="M672" i="4"/>
  <c r="W672" i="4" s="1"/>
  <c r="J672" i="4"/>
  <c r="Z672" i="4" s="1"/>
  <c r="G672" i="4"/>
  <c r="X672" i="4" s="1"/>
  <c r="V466" i="4"/>
  <c r="H472" i="4"/>
  <c r="D500" i="4"/>
  <c r="M506" i="4"/>
  <c r="W506" i="4" s="1"/>
  <c r="K516" i="4"/>
  <c r="D522" i="4"/>
  <c r="V541" i="4"/>
  <c r="D543" i="4"/>
  <c r="J547" i="4"/>
  <c r="Z547" i="4" s="1"/>
  <c r="F557" i="4"/>
  <c r="G559" i="4"/>
  <c r="X559" i="4" s="1"/>
  <c r="H559" i="4"/>
  <c r="B559" i="4"/>
  <c r="N563" i="4"/>
  <c r="AA563" i="4" s="1"/>
  <c r="K563" i="4"/>
  <c r="J563" i="4"/>
  <c r="Z563" i="4" s="1"/>
  <c r="B576" i="4"/>
  <c r="I589" i="4"/>
  <c r="H589" i="4"/>
  <c r="D589" i="4"/>
  <c r="V591" i="4"/>
  <c r="B599" i="4"/>
  <c r="Q614" i="4"/>
  <c r="AC614" i="4" s="1"/>
  <c r="S614" i="4"/>
  <c r="J626" i="4"/>
  <c r="Z626" i="4" s="1"/>
  <c r="S633" i="4"/>
  <c r="O633" i="4"/>
  <c r="P633" i="4" s="1"/>
  <c r="AB633" i="4" s="1"/>
  <c r="F633" i="4"/>
  <c r="B637" i="4"/>
  <c r="F640" i="4"/>
  <c r="U668" i="4"/>
  <c r="T668" i="4"/>
  <c r="I668" i="4"/>
  <c r="S668" i="4"/>
  <c r="R668" i="4"/>
  <c r="AD668" i="4" s="1"/>
  <c r="O668" i="4"/>
  <c r="L668" i="4"/>
  <c r="Y668" i="4" s="1"/>
  <c r="J668" i="4"/>
  <c r="Z668" i="4" s="1"/>
  <c r="D668" i="4"/>
  <c r="F680" i="4"/>
  <c r="T684" i="4"/>
  <c r="I684" i="4"/>
  <c r="F684" i="4"/>
  <c r="R684" i="4"/>
  <c r="AD684" i="4" s="1"/>
  <c r="L684" i="4"/>
  <c r="Y684" i="4" s="1"/>
  <c r="J684" i="4"/>
  <c r="Z684" i="4" s="1"/>
  <c r="D684" i="4"/>
  <c r="U694" i="4"/>
  <c r="J694" i="4"/>
  <c r="Z694" i="4" s="1"/>
  <c r="H694" i="4"/>
  <c r="G694" i="4"/>
  <c r="X694" i="4" s="1"/>
  <c r="T694" i="4"/>
  <c r="Q694" i="4"/>
  <c r="AC694" i="4" s="1"/>
  <c r="O694" i="4"/>
  <c r="N694" i="4"/>
  <c r="AA694" i="4" s="1"/>
  <c r="M694" i="4"/>
  <c r="W694" i="4" s="1"/>
  <c r="L694" i="4"/>
  <c r="Y694" i="4" s="1"/>
  <c r="K694" i="4"/>
  <c r="V694" i="4" s="1"/>
  <c r="F694" i="4"/>
  <c r="D694" i="4"/>
  <c r="M596" i="4"/>
  <c r="W596" i="4" s="1"/>
  <c r="L598" i="4"/>
  <c r="Y598" i="4" s="1"/>
  <c r="L612" i="4"/>
  <c r="Y612" i="4" s="1"/>
  <c r="U619" i="4"/>
  <c r="S621" i="4"/>
  <c r="Q627" i="4"/>
  <c r="AC627" i="4" s="1"/>
  <c r="T628" i="4"/>
  <c r="D632" i="4"/>
  <c r="U636" i="4"/>
  <c r="F638" i="4"/>
  <c r="U640" i="4"/>
  <c r="N645" i="4"/>
  <c r="AA645" i="4" s="1"/>
  <c r="L646" i="4"/>
  <c r="Y646" i="4" s="1"/>
  <c r="M649" i="4"/>
  <c r="W649" i="4" s="1"/>
  <c r="Q652" i="4"/>
  <c r="AC652" i="4" s="1"/>
  <c r="Q653" i="4"/>
  <c r="AC653" i="4" s="1"/>
  <c r="Q659" i="4"/>
  <c r="AC659" i="4" s="1"/>
  <c r="N661" i="4"/>
  <c r="AA661" i="4" s="1"/>
  <c r="S670" i="4"/>
  <c r="G670" i="4"/>
  <c r="X670" i="4" s="1"/>
  <c r="J674" i="4"/>
  <c r="Z674" i="4" s="1"/>
  <c r="J678" i="4"/>
  <c r="Z678" i="4" s="1"/>
  <c r="L678" i="4"/>
  <c r="H682" i="4"/>
  <c r="R692" i="4"/>
  <c r="AD692" i="4" s="1"/>
  <c r="T693" i="4"/>
  <c r="G700" i="4"/>
  <c r="X700" i="4" s="1"/>
  <c r="R796" i="4"/>
  <c r="AD796" i="4" s="1"/>
  <c r="I796" i="4"/>
  <c r="R618" i="4"/>
  <c r="AD618" i="4" s="1"/>
  <c r="M632" i="4"/>
  <c r="W632" i="4" s="1"/>
  <c r="L638" i="4"/>
  <c r="Y638" i="4" s="1"/>
  <c r="Q645" i="4"/>
  <c r="AC645" i="4" s="1"/>
  <c r="Q646" i="4"/>
  <c r="AC646" i="4" s="1"/>
  <c r="AJ659" i="4"/>
  <c r="O670" i="4"/>
  <c r="S682" i="4"/>
  <c r="N700" i="4"/>
  <c r="AA700" i="4" s="1"/>
  <c r="M708" i="4"/>
  <c r="W708" i="4" s="1"/>
  <c r="AE709" i="4"/>
  <c r="J715" i="4"/>
  <c r="Z715" i="4" s="1"/>
  <c r="J716" i="4"/>
  <c r="Z716" i="4" s="1"/>
  <c r="K727" i="4"/>
  <c r="I727" i="4"/>
  <c r="G727" i="4"/>
  <c r="X727" i="4" s="1"/>
  <c r="N729" i="4"/>
  <c r="AA729" i="4" s="1"/>
  <c r="M783" i="4"/>
  <c r="W783" i="4" s="1"/>
  <c r="R783" i="4"/>
  <c r="AD783" i="4" s="1"/>
  <c r="Q783" i="4"/>
  <c r="AC783" i="4" s="1"/>
  <c r="N783" i="4"/>
  <c r="AA783" i="4" s="1"/>
  <c r="F783" i="4"/>
  <c r="U783" i="4"/>
  <c r="L783" i="4"/>
  <c r="Y783" i="4" s="1"/>
  <c r="K783" i="4"/>
  <c r="H783" i="4"/>
  <c r="G783" i="4"/>
  <c r="X783" i="4" s="1"/>
  <c r="D783" i="4"/>
  <c r="D605" i="4"/>
  <c r="D607" i="4"/>
  <c r="U615" i="4"/>
  <c r="B619" i="4"/>
  <c r="D620" i="4"/>
  <c r="T623" i="4"/>
  <c r="B628" i="4"/>
  <c r="B629" i="4"/>
  <c r="T629" i="4"/>
  <c r="N632" i="4"/>
  <c r="AA632" i="4" s="1"/>
  <c r="N638" i="4"/>
  <c r="AA638" i="4" s="1"/>
  <c r="L640" i="4"/>
  <c r="Y640" i="4" s="1"/>
  <c r="D643" i="4"/>
  <c r="T644" i="4"/>
  <c r="R645" i="4"/>
  <c r="AD645" i="4" s="1"/>
  <c r="T646" i="4"/>
  <c r="M652" i="4"/>
  <c r="W652" i="4" s="1"/>
  <c r="B664" i="4"/>
  <c r="M668" i="4"/>
  <c r="W668" i="4" s="1"/>
  <c r="U684" i="4"/>
  <c r="Q700" i="4"/>
  <c r="AC700" i="4" s="1"/>
  <c r="K715" i="4"/>
  <c r="M716" i="4"/>
  <c r="W716" i="4" s="1"/>
  <c r="K620" i="4"/>
  <c r="R638" i="4"/>
  <c r="AD638" i="4" s="1"/>
  <c r="N640" i="4"/>
  <c r="AA640" i="4" s="1"/>
  <c r="B645" i="4"/>
  <c r="T645" i="4"/>
  <c r="J650" i="4"/>
  <c r="Z650" i="4" s="1"/>
  <c r="K655" i="4"/>
  <c r="V655" i="4" s="1"/>
  <c r="R655" i="4"/>
  <c r="AD655" i="4" s="1"/>
  <c r="J683" i="4"/>
  <c r="Z683" i="4" s="1"/>
  <c r="F683" i="4"/>
  <c r="U683" i="4"/>
  <c r="L693" i="4"/>
  <c r="Y693" i="4" s="1"/>
  <c r="D693" i="4"/>
  <c r="M693" i="4"/>
  <c r="W693" i="4" s="1"/>
  <c r="K693" i="4"/>
  <c r="J693" i="4"/>
  <c r="Z693" i="4" s="1"/>
  <c r="O714" i="4"/>
  <c r="M714" i="4"/>
  <c r="W714" i="4" s="1"/>
  <c r="L714" i="4"/>
  <c r="B714" i="4"/>
  <c r="U720" i="4"/>
  <c r="M720" i="4"/>
  <c r="W720" i="4" s="1"/>
  <c r="L720" i="4"/>
  <c r="Y720" i="4" s="1"/>
  <c r="F720" i="4"/>
  <c r="L727" i="4"/>
  <c r="Y727" i="4" s="1"/>
  <c r="V645" i="4"/>
  <c r="D701" i="4"/>
  <c r="Q701" i="4"/>
  <c r="AC701" i="4" s="1"/>
  <c r="O701" i="4"/>
  <c r="T723" i="4"/>
  <c r="J723" i="4"/>
  <c r="Z723" i="4" s="1"/>
  <c r="K723" i="4"/>
  <c r="T730" i="4"/>
  <c r="Q730" i="4"/>
  <c r="AC730" i="4" s="1"/>
  <c r="N730" i="4"/>
  <c r="AA730" i="4" s="1"/>
  <c r="H730" i="4"/>
  <c r="F730" i="4"/>
  <c r="L754" i="4"/>
  <c r="Y754" i="4" s="1"/>
  <c r="M754" i="4"/>
  <c r="W754" i="4" s="1"/>
  <c r="R754" i="4"/>
  <c r="AD754" i="4" s="1"/>
  <c r="O754" i="4"/>
  <c r="N754" i="4"/>
  <c r="AA754" i="4" s="1"/>
  <c r="F754" i="4"/>
  <c r="D754" i="4"/>
  <c r="U768" i="4"/>
  <c r="T768" i="4"/>
  <c r="S768" i="4"/>
  <c r="F768" i="4"/>
  <c r="S900" i="4"/>
  <c r="U900" i="4"/>
  <c r="L900" i="4"/>
  <c r="Y900" i="4" s="1"/>
  <c r="D900" i="4"/>
  <c r="B900" i="4"/>
  <c r="F579" i="4"/>
  <c r="H605" i="4"/>
  <c r="H607" i="4"/>
  <c r="B616" i="4"/>
  <c r="N619" i="4"/>
  <c r="AA619" i="4" s="1"/>
  <c r="Q620" i="4"/>
  <c r="AC620" i="4" s="1"/>
  <c r="I631" i="4"/>
  <c r="K635" i="4"/>
  <c r="T638" i="4"/>
  <c r="D641" i="4"/>
  <c r="G643" i="4"/>
  <c r="X643" i="4" s="1"/>
  <c r="D645" i="4"/>
  <c r="Y645" i="4"/>
  <c r="U650" i="4"/>
  <c r="H655" i="4"/>
  <c r="K658" i="4"/>
  <c r="L661" i="4"/>
  <c r="Y661" i="4" s="1"/>
  <c r="T661" i="4"/>
  <c r="J661" i="4"/>
  <c r="Z661" i="4" s="1"/>
  <c r="R666" i="4"/>
  <c r="AD666" i="4" s="1"/>
  <c r="F693" i="4"/>
  <c r="G705" i="4"/>
  <c r="X705" i="4" s="1"/>
  <c r="F705" i="4"/>
  <c r="J714" i="4"/>
  <c r="Z714" i="4" s="1"/>
  <c r="R715" i="4"/>
  <c r="AD715" i="4" s="1"/>
  <c r="D723" i="4"/>
  <c r="U726" i="4"/>
  <c r="T726" i="4"/>
  <c r="H726" i="4"/>
  <c r="G726" i="4"/>
  <c r="X726" i="4" s="1"/>
  <c r="F726" i="4"/>
  <c r="T727" i="4"/>
  <c r="D730" i="4"/>
  <c r="S774" i="4"/>
  <c r="J774" i="4"/>
  <c r="Z774" i="4" s="1"/>
  <c r="R774" i="4"/>
  <c r="AD774" i="4" s="1"/>
  <c r="Q774" i="4"/>
  <c r="AC774" i="4" s="1"/>
  <c r="K774" i="4"/>
  <c r="G774" i="4"/>
  <c r="X774" i="4" s="1"/>
  <c r="D556" i="4"/>
  <c r="D566" i="4"/>
  <c r="G579" i="4"/>
  <c r="X579" i="4" s="1"/>
  <c r="B591" i="4"/>
  <c r="J605" i="4"/>
  <c r="Z605" i="4" s="1"/>
  <c r="I607" i="4"/>
  <c r="F619" i="4"/>
  <c r="L624" i="4"/>
  <c r="Y624" i="4" s="1"/>
  <c r="G628" i="4"/>
  <c r="X628" i="4" s="1"/>
  <c r="F629" i="4"/>
  <c r="T630" i="4"/>
  <c r="AI630" i="4" s="1"/>
  <c r="J631" i="4"/>
  <c r="Z631" i="4" s="1"/>
  <c r="N635" i="4"/>
  <c r="AA635" i="4" s="1"/>
  <c r="U638" i="4"/>
  <c r="J643" i="4"/>
  <c r="Z643" i="4" s="1"/>
  <c r="B648" i="4"/>
  <c r="B651" i="4"/>
  <c r="G653" i="4"/>
  <c r="X653" i="4" s="1"/>
  <c r="L655" i="4"/>
  <c r="Y655" i="4" s="1"/>
  <c r="M658" i="4"/>
  <c r="W658" i="4" s="1"/>
  <c r="D661" i="4"/>
  <c r="F664" i="4"/>
  <c r="U666" i="4"/>
  <c r="M675" i="4"/>
  <c r="W675" i="4" s="1"/>
  <c r="D681" i="4"/>
  <c r="G683" i="4"/>
  <c r="X683" i="4" s="1"/>
  <c r="G693" i="4"/>
  <c r="X693" i="4" s="1"/>
  <c r="F701" i="4"/>
  <c r="K714" i="4"/>
  <c r="S715" i="4"/>
  <c r="N717" i="4"/>
  <c r="AA717" i="4" s="1"/>
  <c r="M717" i="4"/>
  <c r="W717" i="4" s="1"/>
  <c r="G717" i="4"/>
  <c r="X717" i="4" s="1"/>
  <c r="B717" i="4"/>
  <c r="N720" i="4"/>
  <c r="AA720" i="4" s="1"/>
  <c r="D726" i="4"/>
  <c r="U727" i="4"/>
  <c r="B737" i="4"/>
  <c r="R769" i="4"/>
  <c r="AD769" i="4" s="1"/>
  <c r="B769" i="4"/>
  <c r="F769" i="4"/>
  <c r="K769" i="4"/>
  <c r="B596" i="4"/>
  <c r="K605" i="4"/>
  <c r="K607" i="4"/>
  <c r="V607" i="4" s="1"/>
  <c r="G619" i="4"/>
  <c r="X619" i="4" s="1"/>
  <c r="I628" i="4"/>
  <c r="I641" i="4"/>
  <c r="L643" i="4"/>
  <c r="Y643" i="4" s="1"/>
  <c r="F645" i="4"/>
  <c r="U662" i="4"/>
  <c r="L662" i="4"/>
  <c r="Y662" i="4" s="1"/>
  <c r="G664" i="4"/>
  <c r="X664" i="4" s="1"/>
  <c r="T673" i="4"/>
  <c r="G673" i="4"/>
  <c r="X673" i="4" s="1"/>
  <c r="N675" i="4"/>
  <c r="AA675" i="4" s="1"/>
  <c r="H683" i="4"/>
  <c r="H693" i="4"/>
  <c r="B699" i="4"/>
  <c r="J699" i="4"/>
  <c r="Z699" i="4" s="1"/>
  <c r="G701" i="4"/>
  <c r="X701" i="4" s="1"/>
  <c r="R714" i="4"/>
  <c r="AD714" i="4" s="1"/>
  <c r="F723" i="4"/>
  <c r="R730" i="4"/>
  <c r="AD730" i="4" s="1"/>
  <c r="O733" i="4"/>
  <c r="I733" i="4"/>
  <c r="H733" i="4"/>
  <c r="G733" i="4"/>
  <c r="X733" i="4" s="1"/>
  <c r="T733" i="4"/>
  <c r="R733" i="4"/>
  <c r="AD733" i="4" s="1"/>
  <c r="Q733" i="4"/>
  <c r="AC733" i="4" s="1"/>
  <c r="F733" i="4"/>
  <c r="O746" i="4"/>
  <c r="U785" i="4"/>
  <c r="B606" i="4"/>
  <c r="L607" i="4"/>
  <c r="Y607" i="4" s="1"/>
  <c r="H619" i="4"/>
  <c r="F621" i="4"/>
  <c r="F627" i="4"/>
  <c r="K628" i="4"/>
  <c r="V628" i="4" s="1"/>
  <c r="H629" i="4"/>
  <c r="L631" i="4"/>
  <c r="Y631" i="4" s="1"/>
  <c r="J641" i="4"/>
  <c r="Z641" i="4" s="1"/>
  <c r="N643" i="4"/>
  <c r="AA643" i="4" s="1"/>
  <c r="G645" i="4"/>
  <c r="X645" i="4" s="1"/>
  <c r="D651" i="4"/>
  <c r="F653" i="4"/>
  <c r="F661" i="4"/>
  <c r="K664" i="4"/>
  <c r="G667" i="4"/>
  <c r="X667" i="4" s="1"/>
  <c r="F667" i="4"/>
  <c r="J671" i="4"/>
  <c r="Z671" i="4" s="1"/>
  <c r="D673" i="4"/>
  <c r="O675" i="4"/>
  <c r="R681" i="4"/>
  <c r="AD681" i="4" s="1"/>
  <c r="I683" i="4"/>
  <c r="J685" i="4"/>
  <c r="Z685" i="4" s="1"/>
  <c r="I693" i="4"/>
  <c r="H701" i="4"/>
  <c r="Q709" i="4"/>
  <c r="AC709" i="4" s="1"/>
  <c r="O709" i="4"/>
  <c r="G709" i="4"/>
  <c r="X709" i="4" s="1"/>
  <c r="S714" i="4"/>
  <c r="K721" i="4"/>
  <c r="V721" i="4" s="1"/>
  <c r="L721" i="4"/>
  <c r="Y721" i="4" s="1"/>
  <c r="M723" i="4"/>
  <c r="W723" i="4" s="1"/>
  <c r="J726" i="4"/>
  <c r="Z726" i="4" s="1"/>
  <c r="S730" i="4"/>
  <c r="R746" i="4"/>
  <c r="AD746" i="4" s="1"/>
  <c r="I556" i="4"/>
  <c r="I572" i="4"/>
  <c r="J579" i="4"/>
  <c r="Z579" i="4" s="1"/>
  <c r="G586" i="4"/>
  <c r="X586" i="4" s="1"/>
  <c r="H591" i="4"/>
  <c r="M600" i="4"/>
  <c r="W600" i="4" s="1"/>
  <c r="M607" i="4"/>
  <c r="W607" i="4" s="1"/>
  <c r="F613" i="4"/>
  <c r="H616" i="4"/>
  <c r="I619" i="4"/>
  <c r="H621" i="4"/>
  <c r="G627" i="4"/>
  <c r="X627" i="4" s="1"/>
  <c r="L628" i="4"/>
  <c r="Y628" i="4" s="1"/>
  <c r="I629" i="4"/>
  <c r="R631" i="4"/>
  <c r="AD631" i="4" s="1"/>
  <c r="B636" i="4"/>
  <c r="K641" i="4"/>
  <c r="Q643" i="4"/>
  <c r="AC643" i="4" s="1"/>
  <c r="H645" i="4"/>
  <c r="U646" i="4"/>
  <c r="AE646" i="4" s="1"/>
  <c r="K648" i="4"/>
  <c r="H653" i="4"/>
  <c r="I656" i="4"/>
  <c r="D659" i="4"/>
  <c r="G661" i="4"/>
  <c r="X661" i="4" s="1"/>
  <c r="F662" i="4"/>
  <c r="N664" i="4"/>
  <c r="AA664" i="4" s="1"/>
  <c r="U673" i="4"/>
  <c r="T675" i="4"/>
  <c r="S681" i="4"/>
  <c r="L683" i="4"/>
  <c r="Y683" i="4" s="1"/>
  <c r="R685" i="4"/>
  <c r="AD685" i="4" s="1"/>
  <c r="N693" i="4"/>
  <c r="AA693" i="4" s="1"/>
  <c r="S699" i="4"/>
  <c r="M701" i="4"/>
  <c r="W701" i="4" s="1"/>
  <c r="D709" i="4"/>
  <c r="U712" i="4"/>
  <c r="J712" i="4"/>
  <c r="Z712" i="4" s="1"/>
  <c r="I712" i="4"/>
  <c r="T714" i="4"/>
  <c r="F717" i="4"/>
  <c r="Q721" i="4"/>
  <c r="AC721" i="4" s="1"/>
  <c r="U723" i="4"/>
  <c r="L726" i="4"/>
  <c r="Y726" i="4" s="1"/>
  <c r="H785" i="4"/>
  <c r="S785" i="4"/>
  <c r="F785" i="4"/>
  <c r="M977" i="4"/>
  <c r="W977" i="4" s="1"/>
  <c r="S977" i="4"/>
  <c r="Q977" i="4"/>
  <c r="AC977" i="4" s="1"/>
  <c r="O977" i="4"/>
  <c r="D977" i="4"/>
  <c r="U977" i="4"/>
  <c r="T977" i="4"/>
  <c r="AE977" i="4" s="1"/>
  <c r="R977" i="4"/>
  <c r="AD977" i="4" s="1"/>
  <c r="J977" i="4"/>
  <c r="Z977" i="4" s="1"/>
  <c r="I977" i="4"/>
  <c r="H977" i="4"/>
  <c r="N977" i="4"/>
  <c r="AA977" i="4" s="1"/>
  <c r="F977" i="4"/>
  <c r="B977" i="4"/>
  <c r="J572" i="4"/>
  <c r="Z572" i="4" s="1"/>
  <c r="H586" i="4"/>
  <c r="I591" i="4"/>
  <c r="F596" i="4"/>
  <c r="N607" i="4"/>
  <c r="AA607" i="4" s="1"/>
  <c r="J616" i="4"/>
  <c r="Z616" i="4" s="1"/>
  <c r="L619" i="4"/>
  <c r="Y619" i="4" s="1"/>
  <c r="O626" i="4"/>
  <c r="J629" i="4"/>
  <c r="Z629" i="4" s="1"/>
  <c r="U631" i="4"/>
  <c r="J639" i="4"/>
  <c r="Z639" i="4" s="1"/>
  <c r="L641" i="4"/>
  <c r="Y641" i="4" s="1"/>
  <c r="I645" i="4"/>
  <c r="I653" i="4"/>
  <c r="M659" i="4"/>
  <c r="W659" i="4" s="1"/>
  <c r="H661" i="4"/>
  <c r="M662" i="4"/>
  <c r="W662" i="4" s="1"/>
  <c r="R664" i="4"/>
  <c r="AD664" i="4" s="1"/>
  <c r="F673" i="4"/>
  <c r="AE675" i="4"/>
  <c r="M683" i="4"/>
  <c r="W683" i="4" s="1"/>
  <c r="O693" i="4"/>
  <c r="U702" i="4"/>
  <c r="B724" i="4"/>
  <c r="J724" i="4"/>
  <c r="Z724" i="4" s="1"/>
  <c r="I724" i="4"/>
  <c r="H724" i="4"/>
  <c r="G724" i="4"/>
  <c r="X724" i="4" s="1"/>
  <c r="M726" i="4"/>
  <c r="W726" i="4" s="1"/>
  <c r="Q765" i="4"/>
  <c r="AC765" i="4" s="1"/>
  <c r="O765" i="4"/>
  <c r="N765" i="4"/>
  <c r="AA765" i="4" s="1"/>
  <c r="G765" i="4"/>
  <c r="X765" i="4" s="1"/>
  <c r="S765" i="4"/>
  <c r="R765" i="4"/>
  <c r="AD765" i="4" s="1"/>
  <c r="M765" i="4"/>
  <c r="W765" i="4" s="1"/>
  <c r="K765" i="4"/>
  <c r="J765" i="4"/>
  <c r="Z765" i="4" s="1"/>
  <c r="I765" i="4"/>
  <c r="B765" i="4"/>
  <c r="O785" i="4"/>
  <c r="M619" i="4"/>
  <c r="W619" i="4" s="1"/>
  <c r="M641" i="4"/>
  <c r="W641" i="4" s="1"/>
  <c r="B682" i="4"/>
  <c r="M692" i="4"/>
  <c r="W692" i="4" s="1"/>
  <c r="J692" i="4"/>
  <c r="Z692" i="4" s="1"/>
  <c r="T731" i="4"/>
  <c r="I731" i="4"/>
  <c r="Q731" i="4"/>
  <c r="AC731" i="4" s="1"/>
  <c r="S734" i="4"/>
  <c r="Q734" i="4"/>
  <c r="AC734" i="4" s="1"/>
  <c r="F734" i="4"/>
  <c r="H734" i="4"/>
  <c r="G734" i="4"/>
  <c r="X734" i="4" s="1"/>
  <c r="O734" i="4"/>
  <c r="T739" i="4"/>
  <c r="U739" i="4"/>
  <c r="Q739" i="4"/>
  <c r="AC739" i="4" s="1"/>
  <c r="O739" i="4"/>
  <c r="P739" i="4" s="1"/>
  <c r="AB739" i="4" s="1"/>
  <c r="B739" i="4"/>
  <c r="K756" i="4"/>
  <c r="V756" i="4" s="1"/>
  <c r="M756" i="4"/>
  <c r="W756" i="4" s="1"/>
  <c r="L756" i="4"/>
  <c r="Y756" i="4" s="1"/>
  <c r="J756" i="4"/>
  <c r="Z756" i="4" s="1"/>
  <c r="D756" i="4"/>
  <c r="T756" i="4"/>
  <c r="R756" i="4"/>
  <c r="AD756" i="4" s="1"/>
  <c r="Q756" i="4"/>
  <c r="AC756" i="4" s="1"/>
  <c r="N756" i="4"/>
  <c r="AA756" i="4" s="1"/>
  <c r="I756" i="4"/>
  <c r="H756" i="4"/>
  <c r="F756" i="4"/>
  <c r="B756" i="4"/>
  <c r="F700" i="4"/>
  <c r="D700" i="4"/>
  <c r="F715" i="4"/>
  <c r="O715" i="4"/>
  <c r="N715" i="4"/>
  <c r="AA715" i="4" s="1"/>
  <c r="L715" i="4"/>
  <c r="Y715" i="4" s="1"/>
  <c r="G715" i="4"/>
  <c r="X715" i="4" s="1"/>
  <c r="S716" i="4"/>
  <c r="G716" i="4"/>
  <c r="X716" i="4" s="1"/>
  <c r="F716" i="4"/>
  <c r="B719" i="4"/>
  <c r="S719" i="4"/>
  <c r="AI719" i="4" s="1"/>
  <c r="T719" i="4"/>
  <c r="M724" i="4"/>
  <c r="W724" i="4" s="1"/>
  <c r="D734" i="4"/>
  <c r="AJ748" i="4"/>
  <c r="P748" i="4"/>
  <c r="AB748" i="4" s="1"/>
  <c r="U776" i="4"/>
  <c r="O776" i="4"/>
  <c r="T776" i="4"/>
  <c r="D817" i="4"/>
  <c r="B817" i="4"/>
  <c r="O634" i="4"/>
  <c r="M645" i="4"/>
  <c r="W645" i="4" s="1"/>
  <c r="Q662" i="4"/>
  <c r="AC662" i="4" s="1"/>
  <c r="P683" i="4"/>
  <c r="AB683" i="4" s="1"/>
  <c r="N692" i="4"/>
  <c r="AA692" i="4" s="1"/>
  <c r="R693" i="4"/>
  <c r="AD693" i="4" s="1"/>
  <c r="F702" i="4"/>
  <c r="K709" i="4"/>
  <c r="U713" i="4"/>
  <c r="Q713" i="4"/>
  <c r="AC713" i="4" s="1"/>
  <c r="D715" i="4"/>
  <c r="D716" i="4"/>
  <c r="D719" i="4"/>
  <c r="R721" i="4"/>
  <c r="AD721" i="4" s="1"/>
  <c r="Q724" i="4"/>
  <c r="AC724" i="4" s="1"/>
  <c r="Q726" i="4"/>
  <c r="AC726" i="4" s="1"/>
  <c r="U734" i="4"/>
  <c r="U756" i="4"/>
  <c r="U826" i="4"/>
  <c r="T826" i="4"/>
  <c r="I826" i="4"/>
  <c r="D826" i="4"/>
  <c r="B826" i="4"/>
  <c r="R701" i="4"/>
  <c r="AD701" i="4" s="1"/>
  <c r="M728" i="4"/>
  <c r="W728" i="4" s="1"/>
  <c r="I751" i="4"/>
  <c r="K773" i="4"/>
  <c r="T803" i="4"/>
  <c r="K807" i="4"/>
  <c r="N813" i="4"/>
  <c r="AA813" i="4" s="1"/>
  <c r="K833" i="4"/>
  <c r="T833" i="4"/>
  <c r="U833" i="4"/>
  <c r="L838" i="4"/>
  <c r="Y838" i="4" s="1"/>
  <c r="B847" i="4"/>
  <c r="K847" i="4"/>
  <c r="J847" i="4"/>
  <c r="Z847" i="4" s="1"/>
  <c r="R875" i="4"/>
  <c r="AD875" i="4" s="1"/>
  <c r="C909" i="4"/>
  <c r="K909" i="4" s="1"/>
  <c r="S732" i="4"/>
  <c r="K732" i="4"/>
  <c r="J732" i="4"/>
  <c r="Z732" i="4" s="1"/>
  <c r="Q751" i="4"/>
  <c r="AC751" i="4" s="1"/>
  <c r="U765" i="4"/>
  <c r="Q768" i="4"/>
  <c r="AC768" i="4" s="1"/>
  <c r="J768" i="4"/>
  <c r="Z768" i="4" s="1"/>
  <c r="I768" i="4"/>
  <c r="H768" i="4"/>
  <c r="N773" i="4"/>
  <c r="AA773" i="4" s="1"/>
  <c r="H778" i="4"/>
  <c r="H791" i="4"/>
  <c r="S807" i="4"/>
  <c r="R813" i="4"/>
  <c r="AD813" i="4" s="1"/>
  <c r="L819" i="4"/>
  <c r="Y819" i="4" s="1"/>
  <c r="S839" i="4"/>
  <c r="R839" i="4"/>
  <c r="AD839" i="4" s="1"/>
  <c r="Q839" i="4"/>
  <c r="AC839" i="4" s="1"/>
  <c r="K839" i="4"/>
  <c r="R900" i="4"/>
  <c r="AD900" i="4" s="1"/>
  <c r="Q83" i="13"/>
  <c r="D83" i="4" s="1"/>
  <c r="C832" i="4"/>
  <c r="C814" i="4"/>
  <c r="C810" i="4"/>
  <c r="C797" i="4"/>
  <c r="C936" i="4"/>
  <c r="C930" i="4"/>
  <c r="C913" i="4"/>
  <c r="C888" i="4"/>
  <c r="C985" i="4"/>
  <c r="C998" i="4"/>
  <c r="C993" i="4"/>
  <c r="C979" i="4"/>
  <c r="C992" i="4"/>
  <c r="C895" i="4"/>
  <c r="C862" i="4"/>
  <c r="C856" i="4"/>
  <c r="C845" i="4"/>
  <c r="C840" i="4"/>
  <c r="C837" i="4"/>
  <c r="C763" i="4"/>
  <c r="C750" i="4"/>
  <c r="C744" i="4"/>
  <c r="C742" i="4"/>
  <c r="C735" i="4"/>
  <c r="D735" i="4" s="1"/>
  <c r="C795" i="4"/>
  <c r="C788" i="4"/>
  <c r="C770" i="4"/>
  <c r="C758" i="4"/>
  <c r="C753" i="4"/>
  <c r="C741" i="4"/>
  <c r="C738" i="4"/>
  <c r="C764" i="4"/>
  <c r="C749" i="4"/>
  <c r="C986" i="4"/>
  <c r="C759" i="4"/>
  <c r="C757" i="4"/>
  <c r="C745" i="4"/>
  <c r="D745" i="4" s="1"/>
  <c r="K123" i="13"/>
  <c r="O123" i="4" s="1"/>
  <c r="M123" i="13"/>
  <c r="B804" i="4"/>
  <c r="O804" i="4"/>
  <c r="AJ804" i="4" s="1"/>
  <c r="S804" i="4"/>
  <c r="S861" i="4"/>
  <c r="Q861" i="4"/>
  <c r="AC861" i="4" s="1"/>
  <c r="I861" i="4"/>
  <c r="H861" i="4"/>
  <c r="D861" i="4"/>
  <c r="R861" i="4"/>
  <c r="AD861" i="4" s="1"/>
  <c r="M867" i="4"/>
  <c r="W867" i="4" s="1"/>
  <c r="K867" i="4"/>
  <c r="B867" i="4"/>
  <c r="U867" i="4"/>
  <c r="Q901" i="4"/>
  <c r="AC901" i="4" s="1"/>
  <c r="D901" i="4"/>
  <c r="R901" i="4"/>
  <c r="AD901" i="4" s="1"/>
  <c r="I901" i="4"/>
  <c r="B901" i="4"/>
  <c r="T901" i="4"/>
  <c r="N901" i="4"/>
  <c r="AA901" i="4" s="1"/>
  <c r="M901" i="4"/>
  <c r="W901" i="4" s="1"/>
  <c r="F901" i="4"/>
  <c r="D1000" i="4"/>
  <c r="K1000" i="4"/>
  <c r="H1000" i="4"/>
  <c r="U1000" i="4"/>
  <c r="AE1000" i="4" s="1"/>
  <c r="T1000" i="4"/>
  <c r="O1000" i="4"/>
  <c r="J1000" i="4"/>
  <c r="Z1000" i="4" s="1"/>
  <c r="N1000" i="4"/>
  <c r="AA1000" i="4" s="1"/>
  <c r="I1000" i="4"/>
  <c r="G756" i="4"/>
  <c r="X756" i="4" s="1"/>
  <c r="T800" i="4"/>
  <c r="S800" i="4"/>
  <c r="U808" i="4"/>
  <c r="K808" i="4"/>
  <c r="G808" i="4"/>
  <c r="X808" i="4" s="1"/>
  <c r="I833" i="4"/>
  <c r="D867" i="4"/>
  <c r="M876" i="4"/>
  <c r="W876" i="4" s="1"/>
  <c r="O876" i="4"/>
  <c r="I876" i="4"/>
  <c r="H876" i="4"/>
  <c r="F876" i="4"/>
  <c r="D876" i="4"/>
  <c r="J876" i="4"/>
  <c r="Z876" i="4" s="1"/>
  <c r="L876" i="4"/>
  <c r="Y876" i="4" s="1"/>
  <c r="R931" i="4"/>
  <c r="AD931" i="4" s="1"/>
  <c r="B931" i="4"/>
  <c r="M931" i="4"/>
  <c r="W931" i="4" s="1"/>
  <c r="T931" i="4"/>
  <c r="N931" i="4"/>
  <c r="AA931" i="4" s="1"/>
  <c r="H931" i="4"/>
  <c r="G931" i="4"/>
  <c r="X931" i="4" s="1"/>
  <c r="Q931" i="4"/>
  <c r="AC931" i="4" s="1"/>
  <c r="C943" i="4"/>
  <c r="C950" i="4"/>
  <c r="Q1000" i="4"/>
  <c r="AC1000" i="4" s="1"/>
  <c r="N705" i="4"/>
  <c r="AA705" i="4" s="1"/>
  <c r="O716" i="4"/>
  <c r="S728" i="4"/>
  <c r="F732" i="4"/>
  <c r="U736" i="4"/>
  <c r="N736" i="4"/>
  <c r="AA736" i="4" s="1"/>
  <c r="L748" i="4"/>
  <c r="Y748" i="4" s="1"/>
  <c r="L768" i="4"/>
  <c r="Y768" i="4" s="1"/>
  <c r="N791" i="4"/>
  <c r="AA791" i="4" s="1"/>
  <c r="L794" i="4"/>
  <c r="Y794" i="4" s="1"/>
  <c r="U794" i="4"/>
  <c r="G794" i="4"/>
  <c r="X794" i="4" s="1"/>
  <c r="T794" i="4"/>
  <c r="F794" i="4"/>
  <c r="T804" i="4"/>
  <c r="T820" i="4"/>
  <c r="R820" i="4"/>
  <c r="AD820" i="4" s="1"/>
  <c r="D827" i="4"/>
  <c r="U830" i="4"/>
  <c r="S833" i="4"/>
  <c r="AI833" i="4" s="1"/>
  <c r="L862" i="4"/>
  <c r="Y862" i="4" s="1"/>
  <c r="O901" i="4"/>
  <c r="D931" i="4"/>
  <c r="D690" i="4"/>
  <c r="U700" i="4"/>
  <c r="T728" i="4"/>
  <c r="AE728" i="4" s="1"/>
  <c r="G732" i="4"/>
  <c r="X732" i="4" s="1"/>
  <c r="D736" i="4"/>
  <c r="N768" i="4"/>
  <c r="AA768" i="4" s="1"/>
  <c r="R777" i="4"/>
  <c r="AD777" i="4" s="1"/>
  <c r="G777" i="4"/>
  <c r="X777" i="4" s="1"/>
  <c r="F777" i="4"/>
  <c r="D781" i="4"/>
  <c r="T789" i="4"/>
  <c r="L789" i="4"/>
  <c r="Y789" i="4" s="1"/>
  <c r="H789" i="4"/>
  <c r="G789" i="4"/>
  <c r="X789" i="4" s="1"/>
  <c r="O791" i="4"/>
  <c r="D794" i="4"/>
  <c r="G798" i="4"/>
  <c r="X798" i="4" s="1"/>
  <c r="B798" i="4"/>
  <c r="R798" i="4"/>
  <c r="AD798" i="4" s="1"/>
  <c r="H798" i="4"/>
  <c r="F798" i="4"/>
  <c r="I800" i="4"/>
  <c r="G805" i="4"/>
  <c r="X805" i="4" s="1"/>
  <c r="T808" i="4"/>
  <c r="C834" i="4"/>
  <c r="C853" i="4"/>
  <c r="S867" i="4"/>
  <c r="N876" i="4"/>
  <c r="AA876" i="4" s="1"/>
  <c r="Q660" i="4"/>
  <c r="AC660" i="4" s="1"/>
  <c r="D722" i="4"/>
  <c r="H732" i="4"/>
  <c r="Q736" i="4"/>
  <c r="AC736" i="4" s="1"/>
  <c r="B740" i="4"/>
  <c r="J740" i="4"/>
  <c r="Z740" i="4" s="1"/>
  <c r="S752" i="4"/>
  <c r="U752" i="4"/>
  <c r="H752" i="4"/>
  <c r="U761" i="4"/>
  <c r="J761" i="4"/>
  <c r="Z761" i="4" s="1"/>
  <c r="R768" i="4"/>
  <c r="AD768" i="4" s="1"/>
  <c r="L771" i="4"/>
  <c r="Y771" i="4" s="1"/>
  <c r="I779" i="4"/>
  <c r="K779" i="4"/>
  <c r="V779" i="4" s="1"/>
  <c r="Q791" i="4"/>
  <c r="AC791" i="4" s="1"/>
  <c r="K800" i="4"/>
  <c r="D805" i="4"/>
  <c r="G820" i="4"/>
  <c r="X820" i="4" s="1"/>
  <c r="Q876" i="4"/>
  <c r="AC876" i="4" s="1"/>
  <c r="C902" i="4"/>
  <c r="F931" i="4"/>
  <c r="I732" i="4"/>
  <c r="K786" i="4"/>
  <c r="N786" i="4"/>
  <c r="AA786" i="4" s="1"/>
  <c r="O786" i="4"/>
  <c r="R791" i="4"/>
  <c r="AD791" i="4" s="1"/>
  <c r="N800" i="4"/>
  <c r="AA800" i="4" s="1"/>
  <c r="Q820" i="4"/>
  <c r="AC820" i="4" s="1"/>
  <c r="B937" i="4"/>
  <c r="U743" i="4"/>
  <c r="F743" i="4"/>
  <c r="O775" i="4"/>
  <c r="G775" i="4"/>
  <c r="X775" i="4" s="1"/>
  <c r="D775" i="4"/>
  <c r="K782" i="4"/>
  <c r="V782" i="4" s="1"/>
  <c r="I782" i="4"/>
  <c r="H782" i="4"/>
  <c r="G782" i="4"/>
  <c r="X782" i="4" s="1"/>
  <c r="O800" i="4"/>
  <c r="G873" i="4"/>
  <c r="X873" i="4" s="1"/>
  <c r="F873" i="4"/>
  <c r="S873" i="4"/>
  <c r="U946" i="4"/>
  <c r="C953" i="4"/>
  <c r="B746" i="4"/>
  <c r="N746" i="4"/>
  <c r="AA746" i="4" s="1"/>
  <c r="J746" i="4"/>
  <c r="Z746" i="4" s="1"/>
  <c r="G746" i="4"/>
  <c r="X746" i="4" s="1"/>
  <c r="Q755" i="4"/>
  <c r="AC755" i="4" s="1"/>
  <c r="H755" i="4"/>
  <c r="G755" i="4"/>
  <c r="X755" i="4" s="1"/>
  <c r="K772" i="4"/>
  <c r="Q772" i="4"/>
  <c r="AC772" i="4" s="1"/>
  <c r="N772" i="4"/>
  <c r="AA772" i="4" s="1"/>
  <c r="I772" i="4"/>
  <c r="B772" i="4"/>
  <c r="R786" i="4"/>
  <c r="AD786" i="4" s="1"/>
  <c r="O801" i="4"/>
  <c r="T844" i="4"/>
  <c r="R873" i="4"/>
  <c r="AD873" i="4" s="1"/>
  <c r="K908" i="4"/>
  <c r="D908" i="4"/>
  <c r="L908" i="4"/>
  <c r="Y908" i="4" s="1"/>
  <c r="T908" i="4"/>
  <c r="Q908" i="4"/>
  <c r="AC908" i="4" s="1"/>
  <c r="M908" i="4"/>
  <c r="W908" i="4" s="1"/>
  <c r="J908" i="4"/>
  <c r="Z908" i="4" s="1"/>
  <c r="I908" i="4"/>
  <c r="G908" i="4"/>
  <c r="X908" i="4" s="1"/>
  <c r="O908" i="4"/>
  <c r="C947" i="4"/>
  <c r="O751" i="4"/>
  <c r="N751" i="4"/>
  <c r="AA751" i="4" s="1"/>
  <c r="F751" i="4"/>
  <c r="I807" i="4"/>
  <c r="M807" i="4"/>
  <c r="W807" i="4" s="1"/>
  <c r="N807" i="4"/>
  <c r="AA807" i="4" s="1"/>
  <c r="S813" i="4"/>
  <c r="I813" i="4"/>
  <c r="K813" i="4"/>
  <c r="H813" i="4"/>
  <c r="M837" i="4"/>
  <c r="W837" i="4" s="1"/>
  <c r="U845" i="4"/>
  <c r="Q873" i="4"/>
  <c r="AC873" i="4" s="1"/>
  <c r="B878" i="4"/>
  <c r="G878" i="4"/>
  <c r="X878" i="4" s="1"/>
  <c r="Q878" i="4"/>
  <c r="AC878" i="4" s="1"/>
  <c r="R878" i="4"/>
  <c r="AD878" i="4" s="1"/>
  <c r="N878" i="4"/>
  <c r="AA878" i="4" s="1"/>
  <c r="S878" i="4"/>
  <c r="U891" i="4"/>
  <c r="AE891" i="4" s="1"/>
  <c r="K891" i="4"/>
  <c r="V891" i="4" s="1"/>
  <c r="R891" i="4"/>
  <c r="AD891" i="4" s="1"/>
  <c r="B891" i="4"/>
  <c r="O891" i="4"/>
  <c r="N891" i="4"/>
  <c r="AA891" i="4" s="1"/>
  <c r="M891" i="4"/>
  <c r="W891" i="4" s="1"/>
  <c r="J891" i="4"/>
  <c r="Z891" i="4" s="1"/>
  <c r="F891" i="4"/>
  <c r="L891" i="4"/>
  <c r="Y891" i="4" s="1"/>
  <c r="I891" i="4"/>
  <c r="C933" i="4"/>
  <c r="S792" i="4"/>
  <c r="U792" i="4"/>
  <c r="N792" i="4"/>
  <c r="AA792" i="4" s="1"/>
  <c r="U859" i="4"/>
  <c r="F878" i="4"/>
  <c r="H908" i="4"/>
  <c r="N955" i="4"/>
  <c r="AA955" i="4" s="1"/>
  <c r="N728" i="4"/>
  <c r="AA728" i="4" s="1"/>
  <c r="B728" i="4"/>
  <c r="M731" i="4"/>
  <c r="W731" i="4" s="1"/>
  <c r="R732" i="4"/>
  <c r="AD732" i="4" s="1"/>
  <c r="J743" i="4"/>
  <c r="Z743" i="4" s="1"/>
  <c r="G751" i="4"/>
  <c r="X751" i="4" s="1"/>
  <c r="K755" i="4"/>
  <c r="N769" i="4"/>
  <c r="AA769" i="4" s="1"/>
  <c r="Q779" i="4"/>
  <c r="AC779" i="4" s="1"/>
  <c r="R782" i="4"/>
  <c r="AD782" i="4" s="1"/>
  <c r="U791" i="4"/>
  <c r="AE791" i="4" s="1"/>
  <c r="M791" i="4"/>
  <c r="W791" i="4" s="1"/>
  <c r="L791" i="4"/>
  <c r="Y791" i="4" s="1"/>
  <c r="K791" i="4"/>
  <c r="V791" i="4" s="1"/>
  <c r="F791" i="4"/>
  <c r="D792" i="4"/>
  <c r="F807" i="4"/>
  <c r="L813" i="4"/>
  <c r="Y813" i="4" s="1"/>
  <c r="J838" i="4"/>
  <c r="Z838" i="4" s="1"/>
  <c r="G838" i="4"/>
  <c r="X838" i="4" s="1"/>
  <c r="F838" i="4"/>
  <c r="D838" i="4"/>
  <c r="M838" i="4"/>
  <c r="W838" i="4" s="1"/>
  <c r="U838" i="4"/>
  <c r="G869" i="4"/>
  <c r="X869" i="4" s="1"/>
  <c r="T869" i="4"/>
  <c r="L869" i="4"/>
  <c r="Y869" i="4" s="1"/>
  <c r="K869" i="4"/>
  <c r="N875" i="4"/>
  <c r="AA875" i="4" s="1"/>
  <c r="M875" i="4"/>
  <c r="W875" i="4" s="1"/>
  <c r="O875" i="4"/>
  <c r="P875" i="4" s="1"/>
  <c r="AB875" i="4" s="1"/>
  <c r="I875" i="4"/>
  <c r="G875" i="4"/>
  <c r="X875" i="4" s="1"/>
  <c r="F875" i="4"/>
  <c r="D875" i="4"/>
  <c r="Q875" i="4"/>
  <c r="AC875" i="4" s="1"/>
  <c r="L875" i="4"/>
  <c r="Y875" i="4" s="1"/>
  <c r="K875" i="4"/>
  <c r="V875" i="4" s="1"/>
  <c r="J875" i="4"/>
  <c r="Z875" i="4" s="1"/>
  <c r="H878" i="4"/>
  <c r="G891" i="4"/>
  <c r="X891" i="4" s="1"/>
  <c r="C894" i="4"/>
  <c r="C899" i="4"/>
  <c r="C905" i="4"/>
  <c r="N908" i="4"/>
  <c r="AA908" i="4" s="1"/>
  <c r="J707" i="4"/>
  <c r="Z707" i="4" s="1"/>
  <c r="D728" i="4"/>
  <c r="T732" i="4"/>
  <c r="AE732" i="4" s="1"/>
  <c r="Q743" i="4"/>
  <c r="AC743" i="4" s="1"/>
  <c r="D747" i="4"/>
  <c r="H751" i="4"/>
  <c r="S755" i="4"/>
  <c r="H760" i="4"/>
  <c r="F760" i="4"/>
  <c r="S775" i="4"/>
  <c r="N778" i="4"/>
  <c r="AA778" i="4" s="1"/>
  <c r="M778" i="4"/>
  <c r="W778" i="4" s="1"/>
  <c r="K778" i="4"/>
  <c r="D778" i="4"/>
  <c r="R779" i="4"/>
  <c r="AD779" i="4" s="1"/>
  <c r="R785" i="4"/>
  <c r="AD785" i="4" s="1"/>
  <c r="L785" i="4"/>
  <c r="Y785" i="4" s="1"/>
  <c r="K785" i="4"/>
  <c r="J785" i="4"/>
  <c r="Z785" i="4" s="1"/>
  <c r="B785" i="4"/>
  <c r="D791" i="4"/>
  <c r="I792" i="4"/>
  <c r="AJ798" i="4"/>
  <c r="B803" i="4"/>
  <c r="J807" i="4"/>
  <c r="Z807" i="4" s="1"/>
  <c r="B811" i="4"/>
  <c r="M813" i="4"/>
  <c r="W813" i="4" s="1"/>
  <c r="S818" i="4"/>
  <c r="R818" i="4"/>
  <c r="AD818" i="4" s="1"/>
  <c r="N818" i="4"/>
  <c r="AA818" i="4" s="1"/>
  <c r="J818" i="4"/>
  <c r="Z818" i="4" s="1"/>
  <c r="I818" i="4"/>
  <c r="T838" i="4"/>
  <c r="D869" i="4"/>
  <c r="I878" i="4"/>
  <c r="H891" i="4"/>
  <c r="C934" i="4"/>
  <c r="C949" i="4"/>
  <c r="L732" i="4"/>
  <c r="Y732" i="4" s="1"/>
  <c r="T748" i="4"/>
  <c r="C801" i="4"/>
  <c r="C819" i="4"/>
  <c r="C822" i="4"/>
  <c r="C868" i="4"/>
  <c r="C897" i="4"/>
  <c r="C914" i="4"/>
  <c r="C942" i="4"/>
  <c r="C948" i="4"/>
  <c r="C970" i="4"/>
  <c r="N760" i="4"/>
  <c r="AA760" i="4" s="1"/>
  <c r="S777" i="4"/>
  <c r="C828" i="4"/>
  <c r="C836" i="4"/>
  <c r="C852" i="4"/>
  <c r="T861" i="4"/>
  <c r="C877" i="4"/>
  <c r="C910" i="4"/>
  <c r="C991" i="4"/>
  <c r="H865" i="4"/>
  <c r="C881" i="4"/>
  <c r="C898" i="4"/>
  <c r="G944" i="4"/>
  <c r="X944" i="4" s="1"/>
  <c r="O764" i="4"/>
  <c r="C780" i="4"/>
  <c r="C793" i="4"/>
  <c r="C812" i="4"/>
  <c r="C816" i="4"/>
  <c r="B816" i="4" s="1"/>
  <c r="C830" i="4"/>
  <c r="U973" i="4"/>
  <c r="Q5" i="13"/>
  <c r="C967" i="4"/>
  <c r="C918" i="4"/>
  <c r="C884" i="4"/>
  <c r="C871" i="4"/>
  <c r="C858" i="4"/>
  <c r="C844" i="4"/>
  <c r="B8" i="9"/>
  <c r="D8" i="9" s="1"/>
  <c r="C983" i="4"/>
  <c r="C981" i="4"/>
  <c r="C973" i="4"/>
  <c r="C969" i="4"/>
  <c r="C963" i="4"/>
  <c r="C960" i="4"/>
  <c r="C956" i="4"/>
  <c r="C946" i="4"/>
  <c r="C921" i="4"/>
  <c r="B921" i="4" s="1"/>
  <c r="C959" i="4"/>
  <c r="T959" i="4" s="1"/>
  <c r="C932" i="4"/>
  <c r="C916" i="4"/>
  <c r="C911" i="4"/>
  <c r="C886" i="4"/>
  <c r="C880" i="4"/>
  <c r="M880" i="4" s="1"/>
  <c r="W880" i="4" s="1"/>
  <c r="C870" i="4"/>
  <c r="C859" i="4"/>
  <c r="C857" i="4"/>
  <c r="D857" i="4" s="1"/>
  <c r="C855" i="4"/>
  <c r="B855" i="4" s="1"/>
  <c r="C824" i="4"/>
  <c r="C809" i="4"/>
  <c r="C1001" i="4"/>
  <c r="C961" i="4"/>
  <c r="C920" i="4"/>
  <c r="C906" i="4"/>
  <c r="C831" i="4"/>
  <c r="C821" i="4"/>
  <c r="C994" i="4"/>
  <c r="C988" i="4"/>
  <c r="C972" i="4"/>
  <c r="C958" i="4"/>
  <c r="U958" i="4" s="1"/>
  <c r="C941" i="4"/>
  <c r="C929" i="4"/>
  <c r="D929" i="4" s="1"/>
  <c r="C903" i="4"/>
  <c r="C882" i="4"/>
  <c r="C872" i="4"/>
  <c r="K872" i="4" s="1"/>
  <c r="C866" i="4"/>
  <c r="C851" i="4"/>
  <c r="C842" i="4"/>
  <c r="C829" i="4"/>
  <c r="C815" i="4"/>
  <c r="C799" i="4"/>
  <c r="C980" i="4"/>
  <c r="C990" i="4"/>
  <c r="C944" i="4"/>
  <c r="C928" i="4"/>
  <c r="C915" i="4"/>
  <c r="D915" i="4" s="1"/>
  <c r="C896" i="4"/>
  <c r="C885" i="4"/>
  <c r="C879" i="4"/>
  <c r="C864" i="4"/>
  <c r="C850" i="4"/>
  <c r="B850" i="4" s="1"/>
  <c r="C848" i="4"/>
  <c r="C843" i="4"/>
  <c r="C995" i="4"/>
  <c r="C987" i="4"/>
  <c r="C975" i="4"/>
  <c r="C971" i="4"/>
  <c r="C968" i="4"/>
  <c r="C951" i="4"/>
  <c r="C938" i="4"/>
  <c r="C924" i="4"/>
  <c r="C954" i="4"/>
  <c r="C935" i="4"/>
  <c r="C927" i="4"/>
  <c r="B927" i="4" s="1"/>
  <c r="C923" i="4"/>
  <c r="C919" i="4"/>
  <c r="C912" i="4"/>
  <c r="C984" i="4"/>
  <c r="C939" i="4"/>
  <c r="C892" i="4"/>
  <c r="C889" i="4"/>
  <c r="C874" i="4"/>
  <c r="B874" i="4" s="1"/>
  <c r="C860" i="4"/>
  <c r="C854" i="4"/>
  <c r="C825" i="4"/>
  <c r="C823" i="4"/>
  <c r="C806" i="4"/>
  <c r="C802" i="4"/>
  <c r="R781" i="4"/>
  <c r="AD781" i="4" s="1"/>
  <c r="R794" i="4"/>
  <c r="AD794" i="4" s="1"/>
  <c r="M826" i="4"/>
  <c r="W826" i="4" s="1"/>
  <c r="N843" i="4"/>
  <c r="AA843" i="4" s="1"/>
  <c r="C904" i="4"/>
  <c r="T904" i="4" s="1"/>
  <c r="C907" i="4"/>
  <c r="C925" i="4"/>
  <c r="O925" i="4" s="1"/>
  <c r="M810" i="4"/>
  <c r="W810" i="4" s="1"/>
  <c r="S931" i="4"/>
  <c r="U939" i="4"/>
  <c r="U970" i="4"/>
  <c r="K984" i="4"/>
  <c r="O934" i="4"/>
  <c r="N935" i="4"/>
  <c r="AA935" i="4" s="1"/>
  <c r="L154" i="13"/>
  <c r="O154" i="13"/>
  <c r="N154" i="13"/>
  <c r="M154" i="13"/>
  <c r="G923" i="4"/>
  <c r="X923" i="4" s="1"/>
  <c r="K176" i="13"/>
  <c r="P176" i="13"/>
  <c r="U176" i="4" s="1"/>
  <c r="O813" i="4"/>
  <c r="U915" i="4"/>
  <c r="P121" i="13"/>
  <c r="U121" i="4" s="1"/>
  <c r="L121" i="13"/>
  <c r="Q121" i="4" s="1"/>
  <c r="AC121" i="4" s="1"/>
  <c r="L201" i="13"/>
  <c r="Q201" i="4" s="1"/>
  <c r="AC201" i="4" s="1"/>
  <c r="P201" i="13"/>
  <c r="U913" i="4"/>
  <c r="M842" i="4"/>
  <c r="W842" i="4" s="1"/>
  <c r="N906" i="4"/>
  <c r="AA906" i="4" s="1"/>
  <c r="P161" i="13"/>
  <c r="O161" i="13"/>
  <c r="M166" i="13"/>
  <c r="O166" i="13"/>
  <c r="T166" i="4" s="1"/>
  <c r="C7" i="9"/>
  <c r="D6" i="9"/>
  <c r="M208" i="13"/>
  <c r="R208" i="4" s="1"/>
  <c r="AD208" i="4" s="1"/>
  <c r="P208" i="13"/>
  <c r="U208" i="4" s="1"/>
  <c r="O162" i="13"/>
  <c r="T162" i="4" s="1"/>
  <c r="P162" i="13"/>
  <c r="U162" i="4" s="1"/>
  <c r="AE162" i="4" s="1"/>
  <c r="L249" i="13"/>
  <c r="P249" i="13"/>
  <c r="U249" i="4" s="1"/>
  <c r="Q978" i="4"/>
  <c r="AC978" i="4" s="1"/>
  <c r="T991" i="4"/>
  <c r="M856" i="4"/>
  <c r="W856" i="4" s="1"/>
  <c r="M887" i="4"/>
  <c r="W887" i="4" s="1"/>
  <c r="Q3" i="13"/>
  <c r="C976" i="4"/>
  <c r="D976" i="4" s="1"/>
  <c r="C996" i="4"/>
  <c r="C982" i="4"/>
  <c r="C952" i="4"/>
  <c r="C940" i="4"/>
  <c r="C893" i="4"/>
  <c r="C890" i="4"/>
  <c r="C883" i="4"/>
  <c r="C865" i="4"/>
  <c r="C974" i="4"/>
  <c r="C965" i="4"/>
  <c r="C962" i="4"/>
  <c r="C997" i="4"/>
  <c r="C978" i="4"/>
  <c r="C964" i="4"/>
  <c r="C955" i="4"/>
  <c r="B955" i="4" s="1"/>
  <c r="C945" i="4"/>
  <c r="C926" i="4"/>
  <c r="C922" i="4"/>
  <c r="C917" i="4"/>
  <c r="C999" i="4"/>
  <c r="C989" i="4"/>
  <c r="C966" i="4"/>
  <c r="M176" i="13"/>
  <c r="O440" i="13"/>
  <c r="T440" i="4" s="1"/>
  <c r="P440" i="13"/>
  <c r="O134" i="13"/>
  <c r="T134" i="4" s="1"/>
  <c r="K134" i="13"/>
  <c r="O134" i="4" s="1"/>
  <c r="P140" i="13"/>
  <c r="O140" i="13"/>
  <c r="M140" i="13"/>
  <c r="R140" i="4" s="1"/>
  <c r="AD140" i="4" s="1"/>
  <c r="L140" i="13"/>
  <c r="Q140" i="4" s="1"/>
  <c r="AC140" i="4" s="1"/>
  <c r="K140" i="13"/>
  <c r="P172" i="13"/>
  <c r="U172" i="4" s="1"/>
  <c r="O172" i="13"/>
  <c r="T172" i="4" s="1"/>
  <c r="AE172" i="4" s="1"/>
  <c r="M172" i="13"/>
  <c r="R172" i="4" s="1"/>
  <c r="AD172" i="4" s="1"/>
  <c r="L172" i="13"/>
  <c r="Q172" i="4" s="1"/>
  <c r="AC172" i="4" s="1"/>
  <c r="K172" i="13"/>
  <c r="O172" i="4" s="1"/>
  <c r="L122" i="13"/>
  <c r="Q122" i="4" s="1"/>
  <c r="AC122" i="4" s="1"/>
  <c r="M122" i="13"/>
  <c r="M212" i="13"/>
  <c r="O212" i="13"/>
  <c r="L212" i="13"/>
  <c r="Q212" i="4" s="1"/>
  <c r="AC212" i="4" s="1"/>
  <c r="P120" i="13"/>
  <c r="K131" i="13"/>
  <c r="N165" i="13"/>
  <c r="M187" i="13"/>
  <c r="P195" i="13"/>
  <c r="U195" i="4" s="1"/>
  <c r="L213" i="13"/>
  <c r="L222" i="13"/>
  <c r="O225" i="13"/>
  <c r="T225" i="4" s="1"/>
  <c r="P253" i="13"/>
  <c r="U253" i="4" s="1"/>
  <c r="O282" i="13"/>
  <c r="P314" i="13"/>
  <c r="U314" i="4" s="1"/>
  <c r="P330" i="13"/>
  <c r="U330" i="4" s="1"/>
  <c r="N117" i="13"/>
  <c r="L173" i="13"/>
  <c r="M186" i="13"/>
  <c r="L221" i="13"/>
  <c r="M224" i="13"/>
  <c r="O230" i="13"/>
  <c r="T230" i="4" s="1"/>
  <c r="L241" i="13"/>
  <c r="Q241" i="4" s="1"/>
  <c r="AC241" i="4" s="1"/>
  <c r="M173" i="13"/>
  <c r="R173" i="4" s="1"/>
  <c r="AD173" i="4" s="1"/>
  <c r="N186" i="13"/>
  <c r="K218" i="13"/>
  <c r="O218" i="4" s="1"/>
  <c r="K238" i="13"/>
  <c r="O238" i="4" s="1"/>
  <c r="P281" i="13"/>
  <c r="U281" i="4" s="1"/>
  <c r="O305" i="13"/>
  <c r="T305" i="4" s="1"/>
  <c r="O321" i="13"/>
  <c r="T321" i="4" s="1"/>
  <c r="O337" i="13"/>
  <c r="M107" i="13"/>
  <c r="M147" i="13"/>
  <c r="R147" i="4" s="1"/>
  <c r="AD147" i="4" s="1"/>
  <c r="M155" i="13"/>
  <c r="R155" i="4" s="1"/>
  <c r="AD155" i="4" s="1"/>
  <c r="M211" i="13"/>
  <c r="R211" i="4" s="1"/>
  <c r="AD211" i="4" s="1"/>
  <c r="L237" i="13"/>
  <c r="K270" i="13"/>
  <c r="O270" i="4" s="1"/>
  <c r="P270" i="4" s="1"/>
  <c r="AB270" i="4" s="1"/>
  <c r="K986" i="4"/>
  <c r="N115" i="13"/>
  <c r="S115" i="4" s="1"/>
  <c r="AI115" i="4" s="1"/>
  <c r="L141" i="13"/>
  <c r="P144" i="13"/>
  <c r="U144" i="4" s="1"/>
  <c r="O155" i="13"/>
  <c r="T155" i="4" s="1"/>
  <c r="O171" i="13"/>
  <c r="T171" i="4" s="1"/>
  <c r="O234" i="13"/>
  <c r="T234" i="4" s="1"/>
  <c r="AE234" i="4" s="1"/>
  <c r="L254" i="13"/>
  <c r="Q254" i="4" s="1"/>
  <c r="AC254" i="4" s="1"/>
  <c r="K214" i="13"/>
  <c r="O214" i="4" s="1"/>
  <c r="O226" i="13"/>
  <c r="T226" i="4" s="1"/>
  <c r="N283" i="13"/>
  <c r="S283" i="4" s="1"/>
  <c r="L301" i="13"/>
  <c r="L109" i="13"/>
  <c r="Q109" i="4" s="1"/>
  <c r="AC109" i="4" s="1"/>
  <c r="N141" i="13"/>
  <c r="S141" i="4" s="1"/>
  <c r="M214" i="13"/>
  <c r="R214" i="4" s="1"/>
  <c r="AD214" i="4" s="1"/>
  <c r="M301" i="13"/>
  <c r="P109" i="13"/>
  <c r="U109" i="4" s="1"/>
  <c r="AE109" i="4" s="1"/>
  <c r="K266" i="13"/>
  <c r="K293" i="13"/>
  <c r="O293" i="4" s="1"/>
  <c r="O120" i="13"/>
  <c r="T120" i="4" s="1"/>
  <c r="M165" i="13"/>
  <c r="R165" i="4" s="1"/>
  <c r="AD165" i="4" s="1"/>
  <c r="K222" i="13"/>
  <c r="O222" i="4" s="1"/>
  <c r="L225" i="13"/>
  <c r="V49" i="4"/>
  <c r="V58" i="4"/>
  <c r="V65" i="4"/>
  <c r="B17" i="4"/>
  <c r="N17" i="4"/>
  <c r="AA17" i="4" s="1"/>
  <c r="M17" i="4"/>
  <c r="W17" i="4" s="1"/>
  <c r="L17" i="4"/>
  <c r="Y17" i="4" s="1"/>
  <c r="K17" i="4"/>
  <c r="G17" i="4"/>
  <c r="X17" i="4" s="1"/>
  <c r="J17" i="4"/>
  <c r="Z17" i="4" s="1"/>
  <c r="I17" i="4"/>
  <c r="F17" i="4"/>
  <c r="H17" i="4"/>
  <c r="D17" i="4"/>
  <c r="N169" i="4"/>
  <c r="AA169" i="4" s="1"/>
  <c r="M169" i="4"/>
  <c r="W169" i="4" s="1"/>
  <c r="L169" i="4"/>
  <c r="Y169" i="4" s="1"/>
  <c r="D169" i="4"/>
  <c r="K169" i="4"/>
  <c r="J169" i="4"/>
  <c r="Z169" i="4" s="1"/>
  <c r="I169" i="4"/>
  <c r="H169" i="4"/>
  <c r="G169" i="4"/>
  <c r="X169" i="4" s="1"/>
  <c r="F169" i="4"/>
  <c r="B169" i="4"/>
  <c r="K20" i="4"/>
  <c r="B23" i="4"/>
  <c r="B31" i="4"/>
  <c r="N34" i="4"/>
  <c r="AA34" i="4" s="1"/>
  <c r="J39" i="4"/>
  <c r="Z39" i="4" s="1"/>
  <c r="N42" i="4"/>
  <c r="AA42" i="4" s="1"/>
  <c r="D42" i="4"/>
  <c r="F47" i="4"/>
  <c r="L49" i="4"/>
  <c r="Y49" i="4" s="1"/>
  <c r="V52" i="4"/>
  <c r="L65" i="4"/>
  <c r="Y65" i="4" s="1"/>
  <c r="L68" i="4"/>
  <c r="Y68" i="4" s="1"/>
  <c r="J73" i="4"/>
  <c r="Z73" i="4" s="1"/>
  <c r="H73" i="4"/>
  <c r="G73" i="4"/>
  <c r="X73" i="4" s="1"/>
  <c r="D76" i="4"/>
  <c r="I77" i="4"/>
  <c r="H79" i="4"/>
  <c r="F79" i="4"/>
  <c r="N84" i="4"/>
  <c r="AA84" i="4" s="1"/>
  <c r="K87" i="4"/>
  <c r="V87" i="4" s="1"/>
  <c r="L90" i="4"/>
  <c r="Y90" i="4" s="1"/>
  <c r="D94" i="4"/>
  <c r="N95" i="4"/>
  <c r="AA95" i="4" s="1"/>
  <c r="L97" i="4"/>
  <c r="Y97" i="4" s="1"/>
  <c r="V102" i="4"/>
  <c r="L103" i="4"/>
  <c r="Y103" i="4" s="1"/>
  <c r="D108" i="4"/>
  <c r="G123" i="4"/>
  <c r="X123" i="4" s="1"/>
  <c r="N123" i="4"/>
  <c r="AA123" i="4" s="1"/>
  <c r="R123" i="4"/>
  <c r="AD123" i="4" s="1"/>
  <c r="M123" i="4"/>
  <c r="W123" i="4" s="1"/>
  <c r="J123" i="4"/>
  <c r="Z123" i="4" s="1"/>
  <c r="I123" i="4"/>
  <c r="H123" i="4"/>
  <c r="F123" i="4"/>
  <c r="B123" i="4"/>
  <c r="L20" i="4"/>
  <c r="Y20" i="4" s="1"/>
  <c r="N26" i="4"/>
  <c r="AA26" i="4" s="1"/>
  <c r="D26" i="4"/>
  <c r="F31" i="4"/>
  <c r="M49" i="4"/>
  <c r="W49" i="4" s="1"/>
  <c r="V54" i="4"/>
  <c r="H60" i="4"/>
  <c r="N60" i="4"/>
  <c r="AA60" i="4" s="1"/>
  <c r="M65" i="4"/>
  <c r="W65" i="4" s="1"/>
  <c r="M68" i="4"/>
  <c r="W68" i="4" s="1"/>
  <c r="J77" i="4"/>
  <c r="Z77" i="4" s="1"/>
  <c r="F82" i="4"/>
  <c r="M82" i="4"/>
  <c r="W82" i="4" s="1"/>
  <c r="L82" i="4"/>
  <c r="Y82" i="4" s="1"/>
  <c r="M97" i="4"/>
  <c r="W97" i="4" s="1"/>
  <c r="M100" i="4"/>
  <c r="W100" i="4" s="1"/>
  <c r="I100" i="4"/>
  <c r="G100" i="4"/>
  <c r="X100" i="4" s="1"/>
  <c r="F100" i="4"/>
  <c r="V162" i="4"/>
  <c r="M20" i="4"/>
  <c r="W20" i="4" s="1"/>
  <c r="G25" i="4"/>
  <c r="X25" i="4" s="1"/>
  <c r="D31" i="4"/>
  <c r="L39" i="4"/>
  <c r="Y39" i="4" s="1"/>
  <c r="B41" i="4"/>
  <c r="F42" i="4"/>
  <c r="M44" i="4"/>
  <c r="W44" i="4" s="1"/>
  <c r="N49" i="4"/>
  <c r="AA49" i="4" s="1"/>
  <c r="J57" i="4"/>
  <c r="Z57" i="4" s="1"/>
  <c r="H57" i="4"/>
  <c r="G57" i="4"/>
  <c r="X57" i="4" s="1"/>
  <c r="D60" i="4"/>
  <c r="H63" i="4"/>
  <c r="F63" i="4"/>
  <c r="N65" i="4"/>
  <c r="AA65" i="4" s="1"/>
  <c r="N68" i="4"/>
  <c r="AA68" i="4" s="1"/>
  <c r="F76" i="4"/>
  <c r="M77" i="4"/>
  <c r="W77" i="4" s="1"/>
  <c r="D82" i="4"/>
  <c r="F94" i="4"/>
  <c r="N97" i="4"/>
  <c r="AA97" i="4" s="1"/>
  <c r="D100" i="4"/>
  <c r="N105" i="4"/>
  <c r="AA105" i="4" s="1"/>
  <c r="J105" i="4"/>
  <c r="Z105" i="4" s="1"/>
  <c r="H105" i="4"/>
  <c r="G105" i="4"/>
  <c r="X105" i="4" s="1"/>
  <c r="B105" i="4"/>
  <c r="G108" i="4"/>
  <c r="X108" i="4" s="1"/>
  <c r="V121" i="4"/>
  <c r="V150" i="4"/>
  <c r="F12" i="4"/>
  <c r="B46" i="4"/>
  <c r="I46" i="4"/>
  <c r="H46" i="4"/>
  <c r="F66" i="4"/>
  <c r="M66" i="4"/>
  <c r="W66" i="4" s="1"/>
  <c r="L66" i="4"/>
  <c r="Y66" i="4" s="1"/>
  <c r="G76" i="4"/>
  <c r="X76" i="4" s="1"/>
  <c r="K91" i="4"/>
  <c r="V91" i="4" s="1"/>
  <c r="D91" i="4"/>
  <c r="B91" i="4"/>
  <c r="D105" i="4"/>
  <c r="J108" i="4"/>
  <c r="Z108" i="4" s="1"/>
  <c r="I113" i="4"/>
  <c r="H113" i="4"/>
  <c r="G113" i="4"/>
  <c r="X113" i="4" s="1"/>
  <c r="F113" i="4"/>
  <c r="B113" i="4"/>
  <c r="J113" i="4"/>
  <c r="Z113" i="4" s="1"/>
  <c r="B94" i="4"/>
  <c r="K94" i="4"/>
  <c r="I94" i="4"/>
  <c r="H94" i="4"/>
  <c r="K4" i="4"/>
  <c r="D23" i="4"/>
  <c r="N4" i="4"/>
  <c r="AA4" i="4" s="1"/>
  <c r="L10" i="4"/>
  <c r="Y10" i="4" s="1"/>
  <c r="N20" i="4"/>
  <c r="AA20" i="4" s="1"/>
  <c r="F26" i="4"/>
  <c r="H41" i="4"/>
  <c r="G41" i="4"/>
  <c r="X41" i="4" s="1"/>
  <c r="F50" i="4"/>
  <c r="M50" i="4"/>
  <c r="W50" i="4" s="1"/>
  <c r="L50" i="4"/>
  <c r="Y50" i="4" s="1"/>
  <c r="B3" i="4"/>
  <c r="L5" i="4"/>
  <c r="Y5" i="4" s="1"/>
  <c r="F7" i="4"/>
  <c r="M10" i="4"/>
  <c r="W10" i="4" s="1"/>
  <c r="J11" i="4"/>
  <c r="Z11" i="4" s="1"/>
  <c r="G12" i="4"/>
  <c r="X12" i="4" s="1"/>
  <c r="D13" i="4"/>
  <c r="N15" i="4"/>
  <c r="AA15" i="4" s="1"/>
  <c r="B19" i="4"/>
  <c r="L21" i="4"/>
  <c r="Y21" i="4" s="1"/>
  <c r="F23" i="4"/>
  <c r="D24" i="4"/>
  <c r="J24" i="4"/>
  <c r="Z24" i="4" s="1"/>
  <c r="G26" i="4"/>
  <c r="X26" i="4" s="1"/>
  <c r="J27" i="4"/>
  <c r="Z27" i="4" s="1"/>
  <c r="B30" i="4"/>
  <c r="I30" i="4"/>
  <c r="H30" i="4"/>
  <c r="G31" i="4"/>
  <c r="X31" i="4" s="1"/>
  <c r="M33" i="4"/>
  <c r="W33" i="4" s="1"/>
  <c r="D36" i="4"/>
  <c r="K38" i="4"/>
  <c r="V38" i="4" s="1"/>
  <c r="D41" i="4"/>
  <c r="H42" i="4"/>
  <c r="D46" i="4"/>
  <c r="H47" i="4"/>
  <c r="D50" i="4"/>
  <c r="F60" i="4"/>
  <c r="M61" i="4"/>
  <c r="W61" i="4" s="1"/>
  <c r="D66" i="4"/>
  <c r="I73" i="4"/>
  <c r="I76" i="4"/>
  <c r="I79" i="4"/>
  <c r="G82" i="4"/>
  <c r="X82" i="4" s="1"/>
  <c r="D88" i="4"/>
  <c r="M88" i="4"/>
  <c r="W88" i="4" s="1"/>
  <c r="K88" i="4"/>
  <c r="V88" i="4" s="1"/>
  <c r="J88" i="4"/>
  <c r="Z88" i="4" s="1"/>
  <c r="K92" i="4"/>
  <c r="V92" i="4" s="1"/>
  <c r="J94" i="4"/>
  <c r="Z94" i="4" s="1"/>
  <c r="H100" i="4"/>
  <c r="L104" i="4"/>
  <c r="Y104" i="4" s="1"/>
  <c r="K108" i="4"/>
  <c r="V108" i="4" s="1"/>
  <c r="D113" i="4"/>
  <c r="V119" i="4"/>
  <c r="L123" i="4"/>
  <c r="Y123" i="4" s="1"/>
  <c r="V128" i="4"/>
  <c r="L4" i="4"/>
  <c r="Y4" i="4" s="1"/>
  <c r="D7" i="4"/>
  <c r="L15" i="4"/>
  <c r="Y15" i="4" s="1"/>
  <c r="M15" i="4"/>
  <c r="W15" i="4" s="1"/>
  <c r="D25" i="4"/>
  <c r="M28" i="4"/>
  <c r="W28" i="4" s="1"/>
  <c r="N10" i="4"/>
  <c r="AA10" i="4" s="1"/>
  <c r="H12" i="4"/>
  <c r="F18" i="4"/>
  <c r="G23" i="4"/>
  <c r="X23" i="4" s="1"/>
  <c r="F25" i="4"/>
  <c r="H26" i="4"/>
  <c r="H31" i="4"/>
  <c r="I42" i="4"/>
  <c r="I47" i="4"/>
  <c r="F57" i="4"/>
  <c r="G60" i="4"/>
  <c r="X60" i="4" s="1"/>
  <c r="G63" i="4"/>
  <c r="X63" i="4" s="1"/>
  <c r="K73" i="4"/>
  <c r="K75" i="4"/>
  <c r="V75" i="4" s="1"/>
  <c r="D75" i="4"/>
  <c r="B75" i="4"/>
  <c r="J76" i="4"/>
  <c r="Z76" i="4" s="1"/>
  <c r="B78" i="4"/>
  <c r="K78" i="4"/>
  <c r="V78" i="4" s="1"/>
  <c r="I78" i="4"/>
  <c r="H78" i="4"/>
  <c r="J79" i="4"/>
  <c r="Z79" i="4" s="1"/>
  <c r="H82" i="4"/>
  <c r="M89" i="4"/>
  <c r="W89" i="4" s="1"/>
  <c r="F91" i="4"/>
  <c r="L92" i="4"/>
  <c r="Y92" i="4" s="1"/>
  <c r="L94" i="4"/>
  <c r="Y94" i="4" s="1"/>
  <c r="J100" i="4"/>
  <c r="Z100" i="4" s="1"/>
  <c r="N104" i="4"/>
  <c r="AA104" i="4" s="1"/>
  <c r="F105" i="4"/>
  <c r="V68" i="4"/>
  <c r="H108" i="4"/>
  <c r="F108" i="4"/>
  <c r="N108" i="4"/>
  <c r="AA108" i="4" s="1"/>
  <c r="I108" i="4"/>
  <c r="D12" i="4"/>
  <c r="F2" i="4"/>
  <c r="H7" i="4"/>
  <c r="I12" i="4"/>
  <c r="F13" i="4"/>
  <c r="G18" i="4"/>
  <c r="X18" i="4" s="1"/>
  <c r="D19" i="4"/>
  <c r="N21" i="4"/>
  <c r="AA21" i="4" s="1"/>
  <c r="H23" i="4"/>
  <c r="H25" i="4"/>
  <c r="I26" i="4"/>
  <c r="I31" i="4"/>
  <c r="F41" i="4"/>
  <c r="J42" i="4"/>
  <c r="Z42" i="4" s="1"/>
  <c r="L45" i="4"/>
  <c r="Y45" i="4" s="1"/>
  <c r="K45" i="4"/>
  <c r="V45" i="4" s="1"/>
  <c r="F46" i="4"/>
  <c r="J47" i="4"/>
  <c r="Z47" i="4" s="1"/>
  <c r="G50" i="4"/>
  <c r="X50" i="4" s="1"/>
  <c r="I57" i="4"/>
  <c r="I60" i="4"/>
  <c r="I63" i="4"/>
  <c r="G66" i="4"/>
  <c r="X66" i="4" s="1"/>
  <c r="D72" i="4"/>
  <c r="M72" i="4"/>
  <c r="W72" i="4" s="1"/>
  <c r="K72" i="4"/>
  <c r="J72" i="4"/>
  <c r="Z72" i="4" s="1"/>
  <c r="L73" i="4"/>
  <c r="Y73" i="4" s="1"/>
  <c r="D78" i="4"/>
  <c r="K79" i="4"/>
  <c r="I81" i="4"/>
  <c r="B81" i="4"/>
  <c r="I82" i="4"/>
  <c r="F88" i="4"/>
  <c r="N89" i="4"/>
  <c r="AA89" i="4" s="1"/>
  <c r="G91" i="4"/>
  <c r="X91" i="4" s="1"/>
  <c r="B93" i="4"/>
  <c r="N93" i="4"/>
  <c r="AA93" i="4" s="1"/>
  <c r="L93" i="4"/>
  <c r="Y93" i="4" s="1"/>
  <c r="K93" i="4"/>
  <c r="M94" i="4"/>
  <c r="W94" i="4" s="1"/>
  <c r="K100" i="4"/>
  <c r="I105" i="4"/>
  <c r="M108" i="4"/>
  <c r="W108" i="4" s="1"/>
  <c r="K113" i="4"/>
  <c r="J122" i="4"/>
  <c r="Z122" i="4" s="1"/>
  <c r="N122" i="4"/>
  <c r="AA122" i="4" s="1"/>
  <c r="M122" i="4"/>
  <c r="W122" i="4" s="1"/>
  <c r="L122" i="4"/>
  <c r="Y122" i="4" s="1"/>
  <c r="H122" i="4"/>
  <c r="G122" i="4"/>
  <c r="X122" i="4" s="1"/>
  <c r="F122" i="4"/>
  <c r="R122" i="4"/>
  <c r="AD122" i="4" s="1"/>
  <c r="K154" i="4"/>
  <c r="J154" i="4"/>
  <c r="Z154" i="4" s="1"/>
  <c r="I154" i="4"/>
  <c r="R154" i="4"/>
  <c r="AD154" i="4" s="1"/>
  <c r="B154" i="4"/>
  <c r="Q154" i="4"/>
  <c r="AC154" i="4" s="1"/>
  <c r="L154" i="4"/>
  <c r="Y154" i="4" s="1"/>
  <c r="T154" i="4"/>
  <c r="S154" i="4"/>
  <c r="N154" i="4"/>
  <c r="AA154" i="4" s="1"/>
  <c r="M154" i="4"/>
  <c r="W154" i="4" s="1"/>
  <c r="H154" i="4"/>
  <c r="G154" i="4"/>
  <c r="X154" i="4" s="1"/>
  <c r="F154" i="4"/>
  <c r="H76" i="4"/>
  <c r="N76" i="4"/>
  <c r="AA76" i="4" s="1"/>
  <c r="M4" i="4"/>
  <c r="W4" i="4" s="1"/>
  <c r="D2" i="4"/>
  <c r="D18" i="4"/>
  <c r="G36" i="4"/>
  <c r="X36" i="4" s="1"/>
  <c r="F36" i="4"/>
  <c r="G42" i="4"/>
  <c r="X42" i="4" s="1"/>
  <c r="G7" i="4"/>
  <c r="X7" i="4" s="1"/>
  <c r="G2" i="4"/>
  <c r="D3" i="4"/>
  <c r="H2" i="4"/>
  <c r="B4" i="4"/>
  <c r="L6" i="4"/>
  <c r="I7" i="4"/>
  <c r="F8" i="4"/>
  <c r="M11" i="4"/>
  <c r="W11" i="4" s="1"/>
  <c r="J12" i="4"/>
  <c r="Z12" i="4" s="1"/>
  <c r="G13" i="4"/>
  <c r="X13" i="4" s="1"/>
  <c r="D14" i="4"/>
  <c r="H18" i="4"/>
  <c r="B20" i="4"/>
  <c r="L22" i="4"/>
  <c r="I23" i="4"/>
  <c r="G24" i="4"/>
  <c r="X24" i="4" s="1"/>
  <c r="I25" i="4"/>
  <c r="J26" i="4"/>
  <c r="Z26" i="4" s="1"/>
  <c r="N27" i="4"/>
  <c r="AA27" i="4" s="1"/>
  <c r="L29" i="4"/>
  <c r="Y29" i="4" s="1"/>
  <c r="K29" i="4"/>
  <c r="F30" i="4"/>
  <c r="J31" i="4"/>
  <c r="Z31" i="4" s="1"/>
  <c r="B34" i="4"/>
  <c r="I36" i="4"/>
  <c r="N38" i="4"/>
  <c r="AA38" i="4" s="1"/>
  <c r="D40" i="4"/>
  <c r="K40" i="4"/>
  <c r="V40" i="4" s="1"/>
  <c r="J40" i="4"/>
  <c r="Z40" i="4" s="1"/>
  <c r="I41" i="4"/>
  <c r="K42" i="4"/>
  <c r="V42" i="4" s="1"/>
  <c r="D45" i="4"/>
  <c r="G46" i="4"/>
  <c r="X46" i="4" s="1"/>
  <c r="K47" i="4"/>
  <c r="V47" i="4" s="1"/>
  <c r="H50" i="4"/>
  <c r="K57" i="4"/>
  <c r="V57" i="4" s="1"/>
  <c r="K59" i="4"/>
  <c r="D59" i="4"/>
  <c r="B59" i="4"/>
  <c r="J60" i="4"/>
  <c r="Z60" i="4" s="1"/>
  <c r="B62" i="4"/>
  <c r="K62" i="4"/>
  <c r="I62" i="4"/>
  <c r="H62" i="4"/>
  <c r="J63" i="4"/>
  <c r="Z63" i="4" s="1"/>
  <c r="H66" i="4"/>
  <c r="M73" i="4"/>
  <c r="W73" i="4" s="1"/>
  <c r="F75" i="4"/>
  <c r="L76" i="4"/>
  <c r="Y76" i="4" s="1"/>
  <c r="L79" i="4"/>
  <c r="Y79" i="4" s="1"/>
  <c r="D81" i="4"/>
  <c r="J82" i="4"/>
  <c r="Z82" i="4" s="1"/>
  <c r="G88" i="4"/>
  <c r="X88" i="4" s="1"/>
  <c r="H91" i="4"/>
  <c r="D93" i="4"/>
  <c r="N94" i="4"/>
  <c r="AA94" i="4" s="1"/>
  <c r="L100" i="4"/>
  <c r="Y100" i="4" s="1"/>
  <c r="K105" i="4"/>
  <c r="V105" i="4" s="1"/>
  <c r="N106" i="4"/>
  <c r="AA106" i="4" s="1"/>
  <c r="L106" i="4"/>
  <c r="Y106" i="4" s="1"/>
  <c r="K106" i="4"/>
  <c r="V106" i="4" s="1"/>
  <c r="G106" i="4"/>
  <c r="X106" i="4" s="1"/>
  <c r="D106" i="4"/>
  <c r="L113" i="4"/>
  <c r="Y113" i="4" s="1"/>
  <c r="D122" i="4"/>
  <c r="D154" i="4"/>
  <c r="D56" i="4"/>
  <c r="M56" i="4"/>
  <c r="W56" i="4" s="1"/>
  <c r="K56" i="4"/>
  <c r="J56" i="4"/>
  <c r="Z56" i="4" s="1"/>
  <c r="I65" i="4"/>
  <c r="B65" i="4"/>
  <c r="M76" i="4"/>
  <c r="W76" i="4" s="1"/>
  <c r="I84" i="4"/>
  <c r="G84" i="4"/>
  <c r="X84" i="4" s="1"/>
  <c r="F84" i="4"/>
  <c r="L95" i="4"/>
  <c r="Y95" i="4" s="1"/>
  <c r="H95" i="4"/>
  <c r="F95" i="4"/>
  <c r="O116" i="4"/>
  <c r="N116" i="4"/>
  <c r="AA116" i="4" s="1"/>
  <c r="M116" i="4"/>
  <c r="W116" i="4" s="1"/>
  <c r="L116" i="4"/>
  <c r="Y116" i="4" s="1"/>
  <c r="I116" i="4"/>
  <c r="H116" i="4"/>
  <c r="G116" i="4"/>
  <c r="X116" i="4" s="1"/>
  <c r="F116" i="4"/>
  <c r="B116" i="4"/>
  <c r="J149" i="4"/>
  <c r="Z149" i="4" s="1"/>
  <c r="I149" i="4"/>
  <c r="H149" i="4"/>
  <c r="N149" i="4"/>
  <c r="AA149" i="4" s="1"/>
  <c r="M149" i="4"/>
  <c r="W149" i="4" s="1"/>
  <c r="L149" i="4"/>
  <c r="Y149" i="4" s="1"/>
  <c r="K149" i="4"/>
  <c r="G149" i="4"/>
  <c r="X149" i="4" s="1"/>
  <c r="F149" i="4"/>
  <c r="D149" i="4"/>
  <c r="U149" i="4"/>
  <c r="T149" i="4"/>
  <c r="J18" i="4"/>
  <c r="Z18" i="4" s="1"/>
  <c r="D20" i="4"/>
  <c r="K23" i="4"/>
  <c r="K25" i="4"/>
  <c r="L26" i="4"/>
  <c r="Y26" i="4" s="1"/>
  <c r="L31" i="4"/>
  <c r="Y31" i="4" s="1"/>
  <c r="V36" i="4"/>
  <c r="B39" i="4"/>
  <c r="K41" i="4"/>
  <c r="V41" i="4" s="1"/>
  <c r="M42" i="4"/>
  <c r="W42" i="4" s="1"/>
  <c r="H44" i="4"/>
  <c r="N44" i="4"/>
  <c r="AA44" i="4" s="1"/>
  <c r="K46" i="4"/>
  <c r="V46" i="4" s="1"/>
  <c r="M47" i="4"/>
  <c r="W47" i="4" s="1"/>
  <c r="D49" i="4"/>
  <c r="J50" i="4"/>
  <c r="Z50" i="4" s="1"/>
  <c r="M57" i="4"/>
  <c r="W57" i="4" s="1"/>
  <c r="L60" i="4"/>
  <c r="Y60" i="4" s="1"/>
  <c r="L63" i="4"/>
  <c r="Y63" i="4" s="1"/>
  <c r="D65" i="4"/>
  <c r="J66" i="4"/>
  <c r="Z66" i="4" s="1"/>
  <c r="N79" i="4"/>
  <c r="AA79" i="4" s="1"/>
  <c r="N82" i="4"/>
  <c r="AA82" i="4" s="1"/>
  <c r="D84" i="4"/>
  <c r="G87" i="4"/>
  <c r="X87" i="4" s="1"/>
  <c r="N87" i="4"/>
  <c r="AA87" i="4" s="1"/>
  <c r="M87" i="4"/>
  <c r="W87" i="4" s="1"/>
  <c r="N90" i="4"/>
  <c r="AA90" i="4" s="1"/>
  <c r="G90" i="4"/>
  <c r="X90" i="4" s="1"/>
  <c r="D90" i="4"/>
  <c r="J91" i="4"/>
  <c r="Z91" i="4" s="1"/>
  <c r="D95" i="4"/>
  <c r="D116" i="4"/>
  <c r="F34" i="4"/>
  <c r="M34" i="4"/>
  <c r="W34" i="4" s="1"/>
  <c r="L34" i="4"/>
  <c r="Y34" i="4" s="1"/>
  <c r="L23" i="4"/>
  <c r="Y23" i="4" s="1"/>
  <c r="M26" i="4"/>
  <c r="W26" i="4" s="1"/>
  <c r="F56" i="4"/>
  <c r="N77" i="4"/>
  <c r="AA77" i="4" s="1"/>
  <c r="L77" i="4"/>
  <c r="Y77" i="4" s="1"/>
  <c r="K77" i="4"/>
  <c r="I97" i="4"/>
  <c r="F97" i="4"/>
  <c r="B97" i="4"/>
  <c r="J97" i="4"/>
  <c r="Z97" i="4" s="1"/>
  <c r="G103" i="4"/>
  <c r="X103" i="4" s="1"/>
  <c r="D103" i="4"/>
  <c r="N103" i="4"/>
  <c r="AA103" i="4" s="1"/>
  <c r="M103" i="4"/>
  <c r="W103" i="4" s="1"/>
  <c r="H103" i="4"/>
  <c r="N111" i="4"/>
  <c r="AA111" i="4" s="1"/>
  <c r="M111" i="4"/>
  <c r="W111" i="4" s="1"/>
  <c r="L111" i="4"/>
  <c r="Y111" i="4" s="1"/>
  <c r="H111" i="4"/>
  <c r="G111" i="4"/>
  <c r="X111" i="4" s="1"/>
  <c r="F111" i="4"/>
  <c r="N163" i="4"/>
  <c r="AA163" i="4" s="1"/>
  <c r="G163" i="4"/>
  <c r="X163" i="4" s="1"/>
  <c r="F163" i="4"/>
  <c r="U163" i="4"/>
  <c r="M163" i="4"/>
  <c r="W163" i="4" s="1"/>
  <c r="L163" i="4"/>
  <c r="Y163" i="4" s="1"/>
  <c r="K163" i="4"/>
  <c r="J163" i="4"/>
  <c r="Z163" i="4" s="1"/>
  <c r="I163" i="4"/>
  <c r="H163" i="4"/>
  <c r="D163" i="4"/>
  <c r="V31" i="4"/>
  <c r="L12" i="4"/>
  <c r="Y12" i="4" s="1"/>
  <c r="M12" i="4"/>
  <c r="W12" i="4" s="1"/>
  <c r="D15" i="4"/>
  <c r="K18" i="4"/>
  <c r="G39" i="4"/>
  <c r="X39" i="4" s="1"/>
  <c r="N39" i="4"/>
  <c r="AA39" i="4" s="1"/>
  <c r="M39" i="4"/>
  <c r="W39" i="4" s="1"/>
  <c r="I68" i="4"/>
  <c r="G68" i="4"/>
  <c r="X68" i="4" s="1"/>
  <c r="F68" i="4"/>
  <c r="M7" i="4"/>
  <c r="W7" i="4" s="1"/>
  <c r="D10" i="4"/>
  <c r="N12" i="4"/>
  <c r="AA12" i="4" s="1"/>
  <c r="K13" i="4"/>
  <c r="L18" i="4"/>
  <c r="Y18" i="4" s="1"/>
  <c r="I19" i="4"/>
  <c r="F20" i="4"/>
  <c r="M23" i="4"/>
  <c r="W23" i="4" s="1"/>
  <c r="M25" i="4"/>
  <c r="W25" i="4" s="1"/>
  <c r="D28" i="4"/>
  <c r="N31" i="4"/>
  <c r="AA31" i="4" s="1"/>
  <c r="I33" i="4"/>
  <c r="G34" i="4"/>
  <c r="X34" i="4" s="1"/>
  <c r="M36" i="4"/>
  <c r="W36" i="4" s="1"/>
  <c r="D39" i="4"/>
  <c r="M41" i="4"/>
  <c r="W41" i="4" s="1"/>
  <c r="H45" i="4"/>
  <c r="M46" i="4"/>
  <c r="W46" i="4" s="1"/>
  <c r="F49" i="4"/>
  <c r="N50" i="4"/>
  <c r="AA50" i="4" s="1"/>
  <c r="I52" i="4"/>
  <c r="G52" i="4"/>
  <c r="X52" i="4" s="1"/>
  <c r="F52" i="4"/>
  <c r="G56" i="4"/>
  <c r="X56" i="4" s="1"/>
  <c r="N63" i="4"/>
  <c r="AA63" i="4" s="1"/>
  <c r="F65" i="4"/>
  <c r="N66" i="4"/>
  <c r="AA66" i="4" s="1"/>
  <c r="D68" i="4"/>
  <c r="G71" i="4"/>
  <c r="X71" i="4" s="1"/>
  <c r="N71" i="4"/>
  <c r="AA71" i="4" s="1"/>
  <c r="M71" i="4"/>
  <c r="W71" i="4" s="1"/>
  <c r="N74" i="4"/>
  <c r="AA74" i="4" s="1"/>
  <c r="G74" i="4"/>
  <c r="X74" i="4" s="1"/>
  <c r="D74" i="4"/>
  <c r="D77" i="4"/>
  <c r="H84" i="4"/>
  <c r="F90" i="4"/>
  <c r="M91" i="4"/>
  <c r="W91" i="4" s="1"/>
  <c r="G95" i="4"/>
  <c r="X95" i="4" s="1"/>
  <c r="D97" i="4"/>
  <c r="K107" i="4"/>
  <c r="I107" i="4"/>
  <c r="H107" i="4"/>
  <c r="D107" i="4"/>
  <c r="R107" i="4"/>
  <c r="AD107" i="4" s="1"/>
  <c r="B107" i="4"/>
  <c r="L107" i="4"/>
  <c r="Y107" i="4" s="1"/>
  <c r="D111" i="4"/>
  <c r="J116" i="4"/>
  <c r="Z116" i="4" s="1"/>
  <c r="K2" i="4"/>
  <c r="L7" i="4"/>
  <c r="Y7" i="4" s="1"/>
  <c r="L25" i="4"/>
  <c r="Y25" i="4" s="1"/>
  <c r="M31" i="4"/>
  <c r="W31" i="4" s="1"/>
  <c r="V50" i="4"/>
  <c r="L2" i="4"/>
  <c r="I3" i="4"/>
  <c r="F4" i="4"/>
  <c r="M2" i="4"/>
  <c r="J3" i="4"/>
  <c r="Z3" i="4" s="1"/>
  <c r="G4" i="4"/>
  <c r="X4" i="4" s="1"/>
  <c r="D5" i="4"/>
  <c r="N7" i="4"/>
  <c r="AA7" i="4" s="1"/>
  <c r="K8" i="4"/>
  <c r="B11" i="4"/>
  <c r="L13" i="4"/>
  <c r="Y13" i="4" s="1"/>
  <c r="I14" i="4"/>
  <c r="F15" i="4"/>
  <c r="M18" i="4"/>
  <c r="W18" i="4" s="1"/>
  <c r="J19" i="4"/>
  <c r="Z19" i="4" s="1"/>
  <c r="G20" i="4"/>
  <c r="X20" i="4" s="1"/>
  <c r="D21" i="4"/>
  <c r="N23" i="4"/>
  <c r="AA23" i="4" s="1"/>
  <c r="M24" i="4"/>
  <c r="W24" i="4" s="1"/>
  <c r="N25" i="4"/>
  <c r="AA25" i="4" s="1"/>
  <c r="H29" i="4"/>
  <c r="M30" i="4"/>
  <c r="W30" i="4" s="1"/>
  <c r="D33" i="4"/>
  <c r="H34" i="4"/>
  <c r="N36" i="4"/>
  <c r="AA36" i="4" s="1"/>
  <c r="B38" i="4"/>
  <c r="N41" i="4"/>
  <c r="AA41" i="4" s="1"/>
  <c r="K43" i="4"/>
  <c r="V43" i="4" s="1"/>
  <c r="B43" i="4"/>
  <c r="F44" i="4"/>
  <c r="I45" i="4"/>
  <c r="N46" i="4"/>
  <c r="AA46" i="4" s="1"/>
  <c r="G49" i="4"/>
  <c r="X49" i="4" s="1"/>
  <c r="D52" i="4"/>
  <c r="H56" i="4"/>
  <c r="N61" i="4"/>
  <c r="AA61" i="4" s="1"/>
  <c r="L61" i="4"/>
  <c r="Y61" i="4" s="1"/>
  <c r="K61" i="4"/>
  <c r="G65" i="4"/>
  <c r="X65" i="4" s="1"/>
  <c r="V69" i="4"/>
  <c r="D71" i="4"/>
  <c r="L72" i="4"/>
  <c r="Y72" i="4" s="1"/>
  <c r="J84" i="4"/>
  <c r="Z84" i="4" s="1"/>
  <c r="F87" i="4"/>
  <c r="H90" i="4"/>
  <c r="N91" i="4"/>
  <c r="AA91" i="4" s="1"/>
  <c r="I95" i="4"/>
  <c r="F103" i="4"/>
  <c r="K116" i="4"/>
  <c r="V34" i="4"/>
  <c r="D4" i="4"/>
  <c r="K7" i="4"/>
  <c r="V66" i="4"/>
  <c r="N2" i="4"/>
  <c r="K3" i="4"/>
  <c r="V3" i="4" s="1"/>
  <c r="H4" i="4"/>
  <c r="L8" i="4"/>
  <c r="Y8" i="4" s="1"/>
  <c r="F10" i="4"/>
  <c r="M13" i="4"/>
  <c r="W13" i="4" s="1"/>
  <c r="J14" i="4"/>
  <c r="Z14" i="4" s="1"/>
  <c r="G15" i="4"/>
  <c r="X15" i="4" s="1"/>
  <c r="N18" i="4"/>
  <c r="AA18" i="4" s="1"/>
  <c r="K19" i="4"/>
  <c r="V19" i="4" s="1"/>
  <c r="H20" i="4"/>
  <c r="N24" i="4"/>
  <c r="AA24" i="4" s="1"/>
  <c r="K27" i="4"/>
  <c r="V27" i="4" s="1"/>
  <c r="B27" i="4"/>
  <c r="I34" i="4"/>
  <c r="J38" i="4"/>
  <c r="Z38" i="4" s="1"/>
  <c r="F39" i="4"/>
  <c r="G44" i="4"/>
  <c r="X44" i="4" s="1"/>
  <c r="J45" i="4"/>
  <c r="Z45" i="4" s="1"/>
  <c r="G55" i="4"/>
  <c r="X55" i="4" s="1"/>
  <c r="N55" i="4"/>
  <c r="AA55" i="4" s="1"/>
  <c r="M55" i="4"/>
  <c r="W55" i="4" s="1"/>
  <c r="I56" i="4"/>
  <c r="N58" i="4"/>
  <c r="AA58" i="4" s="1"/>
  <c r="G58" i="4"/>
  <c r="X58" i="4" s="1"/>
  <c r="D58" i="4"/>
  <c r="J59" i="4"/>
  <c r="Z59" i="4" s="1"/>
  <c r="D61" i="4"/>
  <c r="L62" i="4"/>
  <c r="Y62" i="4" s="1"/>
  <c r="H65" i="4"/>
  <c r="H68" i="4"/>
  <c r="N72" i="4"/>
  <c r="AA72" i="4" s="1"/>
  <c r="F74" i="4"/>
  <c r="M75" i="4"/>
  <c r="W75" i="4" s="1"/>
  <c r="F77" i="4"/>
  <c r="N78" i="4"/>
  <c r="AA78" i="4" s="1"/>
  <c r="K81" i="4"/>
  <c r="V81" i="4" s="1"/>
  <c r="K84" i="4"/>
  <c r="V84" i="4" s="1"/>
  <c r="H87" i="4"/>
  <c r="I90" i="4"/>
  <c r="H92" i="4"/>
  <c r="N92" i="4"/>
  <c r="AA92" i="4" s="1"/>
  <c r="J93" i="4"/>
  <c r="Z93" i="4" s="1"/>
  <c r="J95" i="4"/>
  <c r="Z95" i="4" s="1"/>
  <c r="G97" i="4"/>
  <c r="X97" i="4" s="1"/>
  <c r="I103" i="4"/>
  <c r="M106" i="4"/>
  <c r="W106" i="4" s="1"/>
  <c r="F107" i="4"/>
  <c r="P109" i="4"/>
  <c r="AB109" i="4" s="1"/>
  <c r="I111" i="4"/>
  <c r="AE157" i="4"/>
  <c r="I49" i="4"/>
  <c r="B49" i="4"/>
  <c r="H28" i="4"/>
  <c r="N28" i="4"/>
  <c r="AA28" i="4" s="1"/>
  <c r="D11" i="4"/>
  <c r="D27" i="4"/>
  <c r="G28" i="4"/>
  <c r="X28" i="4" s="1"/>
  <c r="F33" i="4"/>
  <c r="J34" i="4"/>
  <c r="Z34" i="4" s="1"/>
  <c r="H39" i="4"/>
  <c r="I44" i="4"/>
  <c r="M45" i="4"/>
  <c r="W45" i="4" s="1"/>
  <c r="J49" i="4"/>
  <c r="Z49" i="4" s="1"/>
  <c r="H52" i="4"/>
  <c r="V53" i="4"/>
  <c r="D55" i="4"/>
  <c r="L56" i="4"/>
  <c r="Y56" i="4" s="1"/>
  <c r="L59" i="4"/>
  <c r="Y59" i="4" s="1"/>
  <c r="M62" i="4"/>
  <c r="W62" i="4" s="1"/>
  <c r="J65" i="4"/>
  <c r="Z65" i="4" s="1"/>
  <c r="J68" i="4"/>
  <c r="Z68" i="4" s="1"/>
  <c r="F71" i="4"/>
  <c r="H74" i="4"/>
  <c r="B76" i="4"/>
  <c r="G77" i="4"/>
  <c r="X77" i="4" s="1"/>
  <c r="L84" i="4"/>
  <c r="Y84" i="4" s="1"/>
  <c r="I87" i="4"/>
  <c r="J89" i="4"/>
  <c r="Z89" i="4" s="1"/>
  <c r="H89" i="4"/>
  <c r="G89" i="4"/>
  <c r="X89" i="4" s="1"/>
  <c r="J90" i="4"/>
  <c r="Z90" i="4" s="1"/>
  <c r="D92" i="4"/>
  <c r="M93" i="4"/>
  <c r="W93" i="4" s="1"/>
  <c r="K95" i="4"/>
  <c r="V95" i="4" s="1"/>
  <c r="H97" i="4"/>
  <c r="V101" i="4"/>
  <c r="J103" i="4"/>
  <c r="Z103" i="4" s="1"/>
  <c r="D104" i="4"/>
  <c r="B104" i="4"/>
  <c r="M104" i="4"/>
  <c r="W104" i="4" s="1"/>
  <c r="K104" i="4"/>
  <c r="J104" i="4"/>
  <c r="Z104" i="4" s="1"/>
  <c r="G107" i="4"/>
  <c r="X107" i="4" s="1"/>
  <c r="B108" i="4"/>
  <c r="J111" i="4"/>
  <c r="Z111" i="4" s="1"/>
  <c r="V129" i="4"/>
  <c r="F109" i="4"/>
  <c r="AJ115" i="4"/>
  <c r="H119" i="4"/>
  <c r="U120" i="4"/>
  <c r="B121" i="4"/>
  <c r="B124" i="4"/>
  <c r="F127" i="4"/>
  <c r="G128" i="4"/>
  <c r="X128" i="4" s="1"/>
  <c r="H129" i="4"/>
  <c r="J130" i="4"/>
  <c r="Z130" i="4" s="1"/>
  <c r="K131" i="4"/>
  <c r="M133" i="4"/>
  <c r="W133" i="4" s="1"/>
  <c r="H137" i="4"/>
  <c r="H140" i="4"/>
  <c r="N147" i="4"/>
  <c r="AA147" i="4" s="1"/>
  <c r="G147" i="4"/>
  <c r="X147" i="4" s="1"/>
  <c r="F147" i="4"/>
  <c r="H150" i="4"/>
  <c r="J153" i="4"/>
  <c r="Z153" i="4" s="1"/>
  <c r="K166" i="4"/>
  <c r="V166" i="4" s="1"/>
  <c r="J168" i="4"/>
  <c r="Z168" i="4" s="1"/>
  <c r="K177" i="4"/>
  <c r="N181" i="4"/>
  <c r="AA181" i="4" s="1"/>
  <c r="G182" i="4"/>
  <c r="X182" i="4" s="1"/>
  <c r="F182" i="4"/>
  <c r="N182" i="4"/>
  <c r="AA182" i="4" s="1"/>
  <c r="M182" i="4"/>
  <c r="W182" i="4" s="1"/>
  <c r="H182" i="4"/>
  <c r="H184" i="4"/>
  <c r="G184" i="4"/>
  <c r="X184" i="4" s="1"/>
  <c r="B184" i="4"/>
  <c r="F186" i="4"/>
  <c r="K190" i="4"/>
  <c r="J193" i="4"/>
  <c r="Z193" i="4" s="1"/>
  <c r="L198" i="4"/>
  <c r="Y198" i="4" s="1"/>
  <c r="I201" i="4"/>
  <c r="D206" i="4"/>
  <c r="J209" i="4"/>
  <c r="Z209" i="4" s="1"/>
  <c r="M215" i="4"/>
  <c r="W215" i="4" s="1"/>
  <c r="N221" i="4"/>
  <c r="AA221" i="4" s="1"/>
  <c r="H221" i="4"/>
  <c r="G221" i="4"/>
  <c r="X221" i="4" s="1"/>
  <c r="F221" i="4"/>
  <c r="R221" i="4"/>
  <c r="AD221" i="4" s="1"/>
  <c r="Q221" i="4"/>
  <c r="AC221" i="4" s="1"/>
  <c r="I221" i="4"/>
  <c r="D222" i="4"/>
  <c r="V232" i="4"/>
  <c r="D253" i="4"/>
  <c r="D124" i="4"/>
  <c r="K124" i="4"/>
  <c r="V124" i="4" s="1"/>
  <c r="K130" i="4"/>
  <c r="V130" i="4" s="1"/>
  <c r="L131" i="4"/>
  <c r="Y131" i="4" s="1"/>
  <c r="H136" i="4"/>
  <c r="G136" i="4"/>
  <c r="X136" i="4" s="1"/>
  <c r="H139" i="4"/>
  <c r="G139" i="4"/>
  <c r="X139" i="4" s="1"/>
  <c r="O139" i="4"/>
  <c r="N139" i="4"/>
  <c r="AA139" i="4" s="1"/>
  <c r="N142" i="4"/>
  <c r="AA142" i="4" s="1"/>
  <c r="F142" i="4"/>
  <c r="H152" i="4"/>
  <c r="G152" i="4"/>
  <c r="X152" i="4" s="1"/>
  <c r="K153" i="4"/>
  <c r="V153" i="4" s="1"/>
  <c r="L190" i="4"/>
  <c r="Y190" i="4" s="1"/>
  <c r="V193" i="4"/>
  <c r="F213" i="4"/>
  <c r="Q213" i="4"/>
  <c r="AC213" i="4" s="1"/>
  <c r="K213" i="4"/>
  <c r="J213" i="4"/>
  <c r="Z213" i="4" s="1"/>
  <c r="I213" i="4"/>
  <c r="H213" i="4"/>
  <c r="S213" i="4"/>
  <c r="B213" i="4"/>
  <c r="N215" i="4"/>
  <c r="AA215" i="4" s="1"/>
  <c r="D225" i="4"/>
  <c r="B225" i="4"/>
  <c r="Q225" i="4"/>
  <c r="AC225" i="4" s="1"/>
  <c r="N225" i="4"/>
  <c r="AA225" i="4" s="1"/>
  <c r="K225" i="4"/>
  <c r="V225" i="4" s="1"/>
  <c r="J225" i="4"/>
  <c r="Z225" i="4" s="1"/>
  <c r="I225" i="4"/>
  <c r="H225" i="4"/>
  <c r="G225" i="4"/>
  <c r="X225" i="4" s="1"/>
  <c r="U225" i="4"/>
  <c r="V201" i="4"/>
  <c r="D213" i="4"/>
  <c r="F235" i="4"/>
  <c r="T235" i="4"/>
  <c r="D235" i="4"/>
  <c r="M235" i="4"/>
  <c r="W235" i="4" s="1"/>
  <c r="L235" i="4"/>
  <c r="Y235" i="4" s="1"/>
  <c r="K235" i="4"/>
  <c r="J235" i="4"/>
  <c r="Z235" i="4" s="1"/>
  <c r="I235" i="4"/>
  <c r="H235" i="4"/>
  <c r="V251" i="4"/>
  <c r="J165" i="4"/>
  <c r="Z165" i="4" s="1"/>
  <c r="I165" i="4"/>
  <c r="H165" i="4"/>
  <c r="K165" i="4"/>
  <c r="N174" i="4"/>
  <c r="AA174" i="4" s="1"/>
  <c r="M174" i="4"/>
  <c r="W174" i="4" s="1"/>
  <c r="F174" i="4"/>
  <c r="I176" i="4"/>
  <c r="H176" i="4"/>
  <c r="G176" i="4"/>
  <c r="X176" i="4" s="1"/>
  <c r="O176" i="4"/>
  <c r="J176" i="4"/>
  <c r="Z176" i="4" s="1"/>
  <c r="H187" i="4"/>
  <c r="G187" i="4"/>
  <c r="X187" i="4" s="1"/>
  <c r="F187" i="4"/>
  <c r="O187" i="4"/>
  <c r="N187" i="4"/>
  <c r="AA187" i="4" s="1"/>
  <c r="I187" i="4"/>
  <c r="G240" i="4"/>
  <c r="X240" i="4" s="1"/>
  <c r="F240" i="4"/>
  <c r="U240" i="4"/>
  <c r="R240" i="4"/>
  <c r="AD240" i="4" s="1"/>
  <c r="B240" i="4"/>
  <c r="N240" i="4"/>
  <c r="AA240" i="4" s="1"/>
  <c r="M240" i="4"/>
  <c r="W240" i="4" s="1"/>
  <c r="L240" i="4"/>
  <c r="Y240" i="4" s="1"/>
  <c r="K240" i="4"/>
  <c r="J240" i="4"/>
  <c r="Z240" i="4" s="1"/>
  <c r="I240" i="4"/>
  <c r="H240" i="4"/>
  <c r="B32" i="4"/>
  <c r="I35" i="4"/>
  <c r="B48" i="4"/>
  <c r="I51" i="4"/>
  <c r="B64" i="4"/>
  <c r="I67" i="4"/>
  <c r="B80" i="4"/>
  <c r="I83" i="4"/>
  <c r="B96" i="4"/>
  <c r="L98" i="4"/>
  <c r="Y98" i="4" s="1"/>
  <c r="I99" i="4"/>
  <c r="K109" i="4"/>
  <c r="H110" i="4"/>
  <c r="L114" i="4"/>
  <c r="Y114" i="4" s="1"/>
  <c r="I115" i="4"/>
  <c r="S117" i="4"/>
  <c r="M119" i="4"/>
  <c r="W119" i="4" s="1"/>
  <c r="J120" i="4"/>
  <c r="Z120" i="4" s="1"/>
  <c r="G121" i="4"/>
  <c r="X121" i="4" s="1"/>
  <c r="H124" i="4"/>
  <c r="J125" i="4"/>
  <c r="Z125" i="4" s="1"/>
  <c r="J126" i="4"/>
  <c r="Z126" i="4" s="1"/>
  <c r="L127" i="4"/>
  <c r="Y127" i="4" s="1"/>
  <c r="M128" i="4"/>
  <c r="W128" i="4" s="1"/>
  <c r="N129" i="4"/>
  <c r="AA129" i="4" s="1"/>
  <c r="Q131" i="4"/>
  <c r="AC131" i="4" s="1"/>
  <c r="S133" i="4"/>
  <c r="B134" i="4"/>
  <c r="V135" i="4"/>
  <c r="I136" i="4"/>
  <c r="I139" i="4"/>
  <c r="O140" i="4"/>
  <c r="H142" i="4"/>
  <c r="K145" i="4"/>
  <c r="V145" i="4" s="1"/>
  <c r="J147" i="4"/>
  <c r="Z147" i="4" s="1"/>
  <c r="I152" i="4"/>
  <c r="K158" i="4"/>
  <c r="N160" i="4"/>
  <c r="AA160" i="4" s="1"/>
  <c r="F161" i="4"/>
  <c r="U161" i="4"/>
  <c r="T161" i="4"/>
  <c r="D161" i="4"/>
  <c r="M161" i="4"/>
  <c r="W161" i="4" s="1"/>
  <c r="L161" i="4"/>
  <c r="Y161" i="4" s="1"/>
  <c r="G161" i="4"/>
  <c r="X161" i="4" s="1"/>
  <c r="D165" i="4"/>
  <c r="R166" i="4"/>
  <c r="AD166" i="4" s="1"/>
  <c r="M171" i="4"/>
  <c r="W171" i="4" s="1"/>
  <c r="D174" i="4"/>
  <c r="D176" i="4"/>
  <c r="U181" i="4"/>
  <c r="K182" i="4"/>
  <c r="J184" i="4"/>
  <c r="Z184" i="4" s="1"/>
  <c r="D187" i="4"/>
  <c r="T190" i="4"/>
  <c r="J197" i="4"/>
  <c r="Z197" i="4" s="1"/>
  <c r="I197" i="4"/>
  <c r="H197" i="4"/>
  <c r="B197" i="4"/>
  <c r="Q197" i="4"/>
  <c r="AC197" i="4" s="1"/>
  <c r="K197" i="4"/>
  <c r="V197" i="4" s="1"/>
  <c r="T198" i="4"/>
  <c r="H203" i="4"/>
  <c r="G203" i="4"/>
  <c r="X203" i="4" s="1"/>
  <c r="F203" i="4"/>
  <c r="N203" i="4"/>
  <c r="AA203" i="4" s="1"/>
  <c r="I203" i="4"/>
  <c r="L206" i="4"/>
  <c r="Y206" i="4" s="1"/>
  <c r="L213" i="4"/>
  <c r="Y213" i="4" s="1"/>
  <c r="M225" i="4"/>
  <c r="W225" i="4" s="1"/>
  <c r="N235" i="4"/>
  <c r="AA235" i="4" s="1"/>
  <c r="D240" i="4"/>
  <c r="J67" i="4"/>
  <c r="D69" i="4"/>
  <c r="J83" i="4"/>
  <c r="Z83" i="4" s="1"/>
  <c r="D85" i="4"/>
  <c r="M98" i="4"/>
  <c r="W98" i="4" s="1"/>
  <c r="J99" i="4"/>
  <c r="Z99" i="4" s="1"/>
  <c r="D101" i="4"/>
  <c r="L109" i="4"/>
  <c r="Y109" i="4" s="1"/>
  <c r="I110" i="4"/>
  <c r="M114" i="4"/>
  <c r="W114" i="4" s="1"/>
  <c r="J115" i="4"/>
  <c r="Z115" i="4" s="1"/>
  <c r="D117" i="4"/>
  <c r="N119" i="4"/>
  <c r="AA119" i="4" s="1"/>
  <c r="K120" i="4"/>
  <c r="H121" i="4"/>
  <c r="I124" i="4"/>
  <c r="K126" i="4"/>
  <c r="M127" i="4"/>
  <c r="W127" i="4" s="1"/>
  <c r="N128" i="4"/>
  <c r="AA128" i="4" s="1"/>
  <c r="R131" i="4"/>
  <c r="AD131" i="4" s="1"/>
  <c r="B133" i="4"/>
  <c r="T133" i="4"/>
  <c r="F134" i="4"/>
  <c r="M134" i="4"/>
  <c r="W134" i="4" s="1"/>
  <c r="J136" i="4"/>
  <c r="Z136" i="4" s="1"/>
  <c r="K138" i="4"/>
  <c r="V138" i="4" s="1"/>
  <c r="J138" i="4"/>
  <c r="Z138" i="4" s="1"/>
  <c r="B138" i="4"/>
  <c r="J139" i="4"/>
  <c r="Z139" i="4" s="1"/>
  <c r="R141" i="4"/>
  <c r="AD141" i="4" s="1"/>
  <c r="B141" i="4"/>
  <c r="Q141" i="4"/>
  <c r="AC141" i="4" s="1"/>
  <c r="I141" i="4"/>
  <c r="H141" i="4"/>
  <c r="I142" i="4"/>
  <c r="I144" i="4"/>
  <c r="H144" i="4"/>
  <c r="G144" i="4"/>
  <c r="X144" i="4" s="1"/>
  <c r="O144" i="4"/>
  <c r="K147" i="4"/>
  <c r="V147" i="4" s="1"/>
  <c r="J152" i="4"/>
  <c r="Z152" i="4" s="1"/>
  <c r="L158" i="4"/>
  <c r="Y158" i="4" s="1"/>
  <c r="L182" i="4"/>
  <c r="Y182" i="4" s="1"/>
  <c r="K184" i="4"/>
  <c r="V184" i="4" s="1"/>
  <c r="N195" i="4"/>
  <c r="AA195" i="4" s="1"/>
  <c r="H195" i="4"/>
  <c r="G195" i="4"/>
  <c r="X195" i="4" s="1"/>
  <c r="F195" i="4"/>
  <c r="D197" i="4"/>
  <c r="D203" i="4"/>
  <c r="M213" i="4"/>
  <c r="W213" i="4" s="1"/>
  <c r="M221" i="4"/>
  <c r="W221" i="4" s="1"/>
  <c r="L120" i="4"/>
  <c r="Y120" i="4" s="1"/>
  <c r="I121" i="4"/>
  <c r="J124" i="4"/>
  <c r="Z124" i="4" s="1"/>
  <c r="L126" i="4"/>
  <c r="Y126" i="4" s="1"/>
  <c r="U133" i="4"/>
  <c r="K136" i="4"/>
  <c r="K139" i="4"/>
  <c r="J142" i="4"/>
  <c r="Z142" i="4" s="1"/>
  <c r="K152" i="4"/>
  <c r="Q158" i="4"/>
  <c r="AC158" i="4" s="1"/>
  <c r="F165" i="4"/>
  <c r="G174" i="4"/>
  <c r="X174" i="4" s="1"/>
  <c r="F176" i="4"/>
  <c r="N185" i="4"/>
  <c r="AA185" i="4" s="1"/>
  <c r="M185" i="4"/>
  <c r="W185" i="4" s="1"/>
  <c r="L185" i="4"/>
  <c r="D185" i="4"/>
  <c r="S186" i="4"/>
  <c r="J187" i="4"/>
  <c r="Z187" i="4" s="1"/>
  <c r="AJ189" i="4"/>
  <c r="I192" i="4"/>
  <c r="H192" i="4"/>
  <c r="G192" i="4"/>
  <c r="X192" i="4" s="1"/>
  <c r="J192" i="4"/>
  <c r="Z192" i="4" s="1"/>
  <c r="I200" i="4"/>
  <c r="H200" i="4"/>
  <c r="G200" i="4"/>
  <c r="X200" i="4" s="1"/>
  <c r="R200" i="4"/>
  <c r="AD200" i="4" s="1"/>
  <c r="B200" i="4"/>
  <c r="V205" i="4"/>
  <c r="N213" i="4"/>
  <c r="AA213" i="4" s="1"/>
  <c r="N109" i="4"/>
  <c r="AA109" i="4" s="1"/>
  <c r="K110" i="4"/>
  <c r="V110" i="4" s="1"/>
  <c r="M120" i="4"/>
  <c r="W120" i="4" s="1"/>
  <c r="J121" i="4"/>
  <c r="Z121" i="4" s="1"/>
  <c r="L124" i="4"/>
  <c r="Y124" i="4" s="1"/>
  <c r="M126" i="4"/>
  <c r="W126" i="4" s="1"/>
  <c r="B131" i="4"/>
  <c r="D133" i="4"/>
  <c r="L136" i="4"/>
  <c r="Y136" i="4" s="1"/>
  <c r="L139" i="4"/>
  <c r="Y139" i="4" s="1"/>
  <c r="K142" i="4"/>
  <c r="V142" i="4" s="1"/>
  <c r="M147" i="4"/>
  <c r="W147" i="4" s="1"/>
  <c r="L152" i="4"/>
  <c r="Y152" i="4" s="1"/>
  <c r="I161" i="4"/>
  <c r="G165" i="4"/>
  <c r="X165" i="4" s="1"/>
  <c r="K170" i="4"/>
  <c r="J170" i="4"/>
  <c r="Z170" i="4" s="1"/>
  <c r="I170" i="4"/>
  <c r="B170" i="4"/>
  <c r="L170" i="4"/>
  <c r="Y170" i="4" s="1"/>
  <c r="H174" i="4"/>
  <c r="K176" i="4"/>
  <c r="V176" i="4" s="1"/>
  <c r="N179" i="4"/>
  <c r="AA179" i="4" s="1"/>
  <c r="G179" i="4"/>
  <c r="X179" i="4" s="1"/>
  <c r="F179" i="4"/>
  <c r="M184" i="4"/>
  <c r="W184" i="4" s="1"/>
  <c r="K187" i="4"/>
  <c r="D192" i="4"/>
  <c r="F197" i="4"/>
  <c r="AJ197" i="4"/>
  <c r="D200" i="4"/>
  <c r="J203" i="4"/>
  <c r="Z203" i="4" s="1"/>
  <c r="U221" i="4"/>
  <c r="I250" i="4"/>
  <c r="H250" i="4"/>
  <c r="G250" i="4"/>
  <c r="X250" i="4" s="1"/>
  <c r="T250" i="4"/>
  <c r="D250" i="4"/>
  <c r="U250" i="4"/>
  <c r="O250" i="4"/>
  <c r="N250" i="4"/>
  <c r="AA250" i="4" s="1"/>
  <c r="M250" i="4"/>
  <c r="W250" i="4" s="1"/>
  <c r="L250" i="4"/>
  <c r="Y250" i="4" s="1"/>
  <c r="K250" i="4"/>
  <c r="B250" i="4"/>
  <c r="J266" i="4"/>
  <c r="Z266" i="4" s="1"/>
  <c r="I266" i="4"/>
  <c r="H266" i="4"/>
  <c r="G266" i="4"/>
  <c r="X266" i="4" s="1"/>
  <c r="D266" i="4"/>
  <c r="U266" i="4"/>
  <c r="O266" i="4"/>
  <c r="N266" i="4"/>
  <c r="AA266" i="4" s="1"/>
  <c r="M266" i="4"/>
  <c r="W266" i="4" s="1"/>
  <c r="L266" i="4"/>
  <c r="Y266" i="4" s="1"/>
  <c r="K266" i="4"/>
  <c r="O131" i="4"/>
  <c r="F131" i="4"/>
  <c r="V148" i="4"/>
  <c r="H155" i="4"/>
  <c r="G155" i="4"/>
  <c r="X155" i="4" s="1"/>
  <c r="F155" i="4"/>
  <c r="O155" i="4"/>
  <c r="N155" i="4"/>
  <c r="AA155" i="4" s="1"/>
  <c r="I155" i="4"/>
  <c r="L165" i="4"/>
  <c r="Y165" i="4" s="1"/>
  <c r="I174" i="4"/>
  <c r="L176" i="4"/>
  <c r="Y176" i="4" s="1"/>
  <c r="J181" i="4"/>
  <c r="Z181" i="4" s="1"/>
  <c r="I181" i="4"/>
  <c r="H181" i="4"/>
  <c r="K181" i="4"/>
  <c r="L187" i="4"/>
  <c r="Y187" i="4" s="1"/>
  <c r="N190" i="4"/>
  <c r="AA190" i="4" s="1"/>
  <c r="M190" i="4"/>
  <c r="W190" i="4" s="1"/>
  <c r="F190" i="4"/>
  <c r="V203" i="4"/>
  <c r="I208" i="4"/>
  <c r="H208" i="4"/>
  <c r="G208" i="4"/>
  <c r="X208" i="4" s="1"/>
  <c r="B208" i="4"/>
  <c r="J208" i="4"/>
  <c r="Z208" i="4" s="1"/>
  <c r="V230" i="4"/>
  <c r="N243" i="4"/>
  <c r="AA243" i="4" s="1"/>
  <c r="M243" i="4"/>
  <c r="W243" i="4" s="1"/>
  <c r="L243" i="4"/>
  <c r="Y243" i="4" s="1"/>
  <c r="I243" i="4"/>
  <c r="R243" i="4"/>
  <c r="AD243" i="4" s="1"/>
  <c r="K243" i="4"/>
  <c r="J243" i="4"/>
  <c r="Z243" i="4" s="1"/>
  <c r="H243" i="4"/>
  <c r="G243" i="4"/>
  <c r="X243" i="4" s="1"/>
  <c r="F243" i="4"/>
  <c r="B130" i="4"/>
  <c r="I130" i="4"/>
  <c r="D131" i="4"/>
  <c r="N153" i="4"/>
  <c r="AA153" i="4" s="1"/>
  <c r="M153" i="4"/>
  <c r="W153" i="4" s="1"/>
  <c r="L153" i="4"/>
  <c r="Y153" i="4" s="1"/>
  <c r="D153" i="4"/>
  <c r="V164" i="4"/>
  <c r="M165" i="4"/>
  <c r="W165" i="4" s="1"/>
  <c r="J174" i="4"/>
  <c r="Z174" i="4" s="1"/>
  <c r="M176" i="4"/>
  <c r="W176" i="4" s="1"/>
  <c r="M187" i="4"/>
  <c r="W187" i="4" s="1"/>
  <c r="G198" i="4"/>
  <c r="X198" i="4" s="1"/>
  <c r="F198" i="4"/>
  <c r="O198" i="4"/>
  <c r="N198" i="4"/>
  <c r="AA198" i="4" s="1"/>
  <c r="M198" i="4"/>
  <c r="W198" i="4" s="1"/>
  <c r="H198" i="4"/>
  <c r="B215" i="4"/>
  <c r="S215" i="4"/>
  <c r="J215" i="4"/>
  <c r="Z215" i="4" s="1"/>
  <c r="I215" i="4"/>
  <c r="H215" i="4"/>
  <c r="G215" i="4"/>
  <c r="X215" i="4" s="1"/>
  <c r="D243" i="4"/>
  <c r="AE115" i="4"/>
  <c r="V118" i="4"/>
  <c r="M121" i="4"/>
  <c r="W121" i="4" s="1"/>
  <c r="P125" i="4"/>
  <c r="AB125" i="4" s="1"/>
  <c r="L129" i="4"/>
  <c r="Y129" i="4" s="1"/>
  <c r="D130" i="4"/>
  <c r="N165" i="4"/>
  <c r="AA165" i="4" s="1"/>
  <c r="G166" i="4"/>
  <c r="X166" i="4" s="1"/>
  <c r="F166" i="4"/>
  <c r="N166" i="4"/>
  <c r="AA166" i="4" s="1"/>
  <c r="M166" i="4"/>
  <c r="W166" i="4" s="1"/>
  <c r="H166" i="4"/>
  <c r="H168" i="4"/>
  <c r="G168" i="4"/>
  <c r="X168" i="4" s="1"/>
  <c r="B168" i="4"/>
  <c r="K174" i="4"/>
  <c r="N176" i="4"/>
  <c r="AA176" i="4" s="1"/>
  <c r="F177" i="4"/>
  <c r="U177" i="4"/>
  <c r="D177" i="4"/>
  <c r="M177" i="4"/>
  <c r="W177" i="4" s="1"/>
  <c r="L177" i="4"/>
  <c r="Y177" i="4" s="1"/>
  <c r="G177" i="4"/>
  <c r="X177" i="4" s="1"/>
  <c r="H185" i="4"/>
  <c r="V195" i="4"/>
  <c r="D198" i="4"/>
  <c r="D215" i="4"/>
  <c r="B109" i="4"/>
  <c r="D119" i="4"/>
  <c r="N121" i="4"/>
  <c r="AA121" i="4" s="1"/>
  <c r="H128" i="4"/>
  <c r="D129" i="4"/>
  <c r="G131" i="4"/>
  <c r="X131" i="4" s="1"/>
  <c r="H133" i="4"/>
  <c r="N137" i="4"/>
  <c r="AA137" i="4" s="1"/>
  <c r="M137" i="4"/>
  <c r="W137" i="4" s="1"/>
  <c r="D137" i="4"/>
  <c r="U140" i="4"/>
  <c r="T140" i="4"/>
  <c r="D140" i="4"/>
  <c r="L140" i="4"/>
  <c r="Y140" i="4" s="1"/>
  <c r="K140" i="4"/>
  <c r="F153" i="4"/>
  <c r="J155" i="4"/>
  <c r="Z155" i="4" s="1"/>
  <c r="AJ157" i="4"/>
  <c r="D166" i="4"/>
  <c r="D168" i="4"/>
  <c r="L174" i="4"/>
  <c r="Y174" i="4" s="1"/>
  <c r="F181" i="4"/>
  <c r="I185" i="4"/>
  <c r="G190" i="4"/>
  <c r="X190" i="4" s="1"/>
  <c r="F193" i="4"/>
  <c r="U193" i="4"/>
  <c r="D193" i="4"/>
  <c r="N193" i="4"/>
  <c r="AA193" i="4" s="1"/>
  <c r="M193" i="4"/>
  <c r="W193" i="4" s="1"/>
  <c r="L193" i="4"/>
  <c r="Y193" i="4" s="1"/>
  <c r="G193" i="4"/>
  <c r="X193" i="4" s="1"/>
  <c r="N201" i="4"/>
  <c r="AA201" i="4" s="1"/>
  <c r="M201" i="4"/>
  <c r="W201" i="4" s="1"/>
  <c r="L201" i="4"/>
  <c r="Y201" i="4" s="1"/>
  <c r="F201" i="4"/>
  <c r="U201" i="4"/>
  <c r="D201" i="4"/>
  <c r="F208" i="4"/>
  <c r="F209" i="4"/>
  <c r="U209" i="4"/>
  <c r="D209" i="4"/>
  <c r="N209" i="4"/>
  <c r="AA209" i="4" s="1"/>
  <c r="M209" i="4"/>
  <c r="W209" i="4" s="1"/>
  <c r="L209" i="4"/>
  <c r="G209" i="4"/>
  <c r="X209" i="4" s="1"/>
  <c r="B120" i="4"/>
  <c r="R120" i="4"/>
  <c r="AD120" i="4" s="1"/>
  <c r="B126" i="4"/>
  <c r="K127" i="4"/>
  <c r="V127" i="4" s="1"/>
  <c r="B127" i="4"/>
  <c r="F130" i="4"/>
  <c r="H131" i="4"/>
  <c r="J133" i="4"/>
  <c r="Z133" i="4" s="1"/>
  <c r="V134" i="4"/>
  <c r="G150" i="4"/>
  <c r="X150" i="4" s="1"/>
  <c r="F150" i="4"/>
  <c r="N150" i="4"/>
  <c r="AA150" i="4" s="1"/>
  <c r="M150" i="4"/>
  <c r="W150" i="4" s="1"/>
  <c r="G153" i="4"/>
  <c r="X153" i="4" s="1"/>
  <c r="K155" i="4"/>
  <c r="R176" i="4"/>
  <c r="AD176" i="4" s="1"/>
  <c r="H177" i="4"/>
  <c r="G181" i="4"/>
  <c r="X181" i="4" s="1"/>
  <c r="J185" i="4"/>
  <c r="Z185" i="4" s="1"/>
  <c r="K186" i="4"/>
  <c r="J186" i="4"/>
  <c r="Z186" i="4" s="1"/>
  <c r="I186" i="4"/>
  <c r="R186" i="4"/>
  <c r="AD186" i="4" s="1"/>
  <c r="B186" i="4"/>
  <c r="Q186" i="4"/>
  <c r="AC186" i="4" s="1"/>
  <c r="L186" i="4"/>
  <c r="Y186" i="4" s="1"/>
  <c r="R187" i="4"/>
  <c r="AD187" i="4" s="1"/>
  <c r="H190" i="4"/>
  <c r="I198" i="4"/>
  <c r="K208" i="4"/>
  <c r="F215" i="4"/>
  <c r="F119" i="4"/>
  <c r="N126" i="4"/>
  <c r="AA126" i="4" s="1"/>
  <c r="F129" i="4"/>
  <c r="G130" i="4"/>
  <c r="X130" i="4" s="1"/>
  <c r="I131" i="4"/>
  <c r="T139" i="4"/>
  <c r="H153" i="4"/>
  <c r="L155" i="4"/>
  <c r="Y155" i="4" s="1"/>
  <c r="N158" i="4"/>
  <c r="AA158" i="4" s="1"/>
  <c r="M158" i="4"/>
  <c r="W158" i="4" s="1"/>
  <c r="F158" i="4"/>
  <c r="I160" i="4"/>
  <c r="H160" i="4"/>
  <c r="G160" i="4"/>
  <c r="X160" i="4" s="1"/>
  <c r="J160" i="4"/>
  <c r="Z160" i="4" s="1"/>
  <c r="S165" i="4"/>
  <c r="L181" i="4"/>
  <c r="Y181" i="4" s="1"/>
  <c r="S187" i="4"/>
  <c r="I190" i="4"/>
  <c r="J198" i="4"/>
  <c r="Z198" i="4" s="1"/>
  <c r="M200" i="4"/>
  <c r="W200" i="4" s="1"/>
  <c r="G201" i="4"/>
  <c r="X201" i="4" s="1"/>
  <c r="T203" i="4"/>
  <c r="L208" i="4"/>
  <c r="Y208" i="4" s="1"/>
  <c r="H209" i="4"/>
  <c r="K215" i="4"/>
  <c r="V219" i="4"/>
  <c r="B110" i="4"/>
  <c r="D120" i="4"/>
  <c r="Q125" i="4"/>
  <c r="AC125" i="4" s="1"/>
  <c r="H125" i="4"/>
  <c r="U125" i="4"/>
  <c r="D126" i="4"/>
  <c r="F128" i="4"/>
  <c r="G129" i="4"/>
  <c r="X129" i="4" s="1"/>
  <c r="H130" i="4"/>
  <c r="J131" i="4"/>
  <c r="Z131" i="4" s="1"/>
  <c r="L133" i="4"/>
  <c r="Y133" i="4" s="1"/>
  <c r="G137" i="4"/>
  <c r="X137" i="4" s="1"/>
  <c r="G140" i="4"/>
  <c r="X140" i="4" s="1"/>
  <c r="T142" i="4"/>
  <c r="F145" i="4"/>
  <c r="U145" i="4"/>
  <c r="D145" i="4"/>
  <c r="M145" i="4"/>
  <c r="W145" i="4" s="1"/>
  <c r="L145" i="4"/>
  <c r="Y145" i="4" s="1"/>
  <c r="B147" i="4"/>
  <c r="I153" i="4"/>
  <c r="M155" i="4"/>
  <c r="W155" i="4" s="1"/>
  <c r="D158" i="4"/>
  <c r="D160" i="4"/>
  <c r="T165" i="4"/>
  <c r="AE165" i="4" s="1"/>
  <c r="J166" i="4"/>
  <c r="Z166" i="4" s="1"/>
  <c r="I168" i="4"/>
  <c r="H171" i="4"/>
  <c r="G171" i="4"/>
  <c r="X171" i="4" s="1"/>
  <c r="F171" i="4"/>
  <c r="O171" i="4"/>
  <c r="N171" i="4"/>
  <c r="AA171" i="4" s="1"/>
  <c r="I171" i="4"/>
  <c r="J177" i="4"/>
  <c r="Z177" i="4" s="1"/>
  <c r="M181" i="4"/>
  <c r="W181" i="4" s="1"/>
  <c r="B182" i="4"/>
  <c r="T187" i="4"/>
  <c r="V189" i="4"/>
  <c r="J190" i="4"/>
  <c r="Z190" i="4" s="1"/>
  <c r="I193" i="4"/>
  <c r="K198" i="4"/>
  <c r="N200" i="4"/>
  <c r="AA200" i="4" s="1"/>
  <c r="H201" i="4"/>
  <c r="N206" i="4"/>
  <c r="AA206" i="4" s="1"/>
  <c r="M206" i="4"/>
  <c r="W206" i="4" s="1"/>
  <c r="H206" i="4"/>
  <c r="G206" i="4"/>
  <c r="X206" i="4" s="1"/>
  <c r="F206" i="4"/>
  <c r="M208" i="4"/>
  <c r="W208" i="4" s="1"/>
  <c r="I209" i="4"/>
  <c r="L215" i="4"/>
  <c r="Y215" i="4" s="1"/>
  <c r="M222" i="4"/>
  <c r="W222" i="4" s="1"/>
  <c r="K222" i="4"/>
  <c r="V222" i="4" s="1"/>
  <c r="I222" i="4"/>
  <c r="H222" i="4"/>
  <c r="G222" i="4"/>
  <c r="X222" i="4" s="1"/>
  <c r="T222" i="4"/>
  <c r="B222" i="4"/>
  <c r="Q222" i="4"/>
  <c r="AC222" i="4" s="1"/>
  <c r="J222" i="4"/>
  <c r="Z222" i="4" s="1"/>
  <c r="N227" i="4"/>
  <c r="AA227" i="4" s="1"/>
  <c r="L227" i="4"/>
  <c r="Y227" i="4" s="1"/>
  <c r="I227" i="4"/>
  <c r="G227" i="4"/>
  <c r="X227" i="4" s="1"/>
  <c r="F227" i="4"/>
  <c r="D227" i="4"/>
  <c r="H227" i="4"/>
  <c r="N253" i="4"/>
  <c r="AA253" i="4" s="1"/>
  <c r="K253" i="4"/>
  <c r="Q253" i="4"/>
  <c r="AC253" i="4" s="1"/>
  <c r="M253" i="4"/>
  <c r="W253" i="4" s="1"/>
  <c r="L253" i="4"/>
  <c r="Y253" i="4" s="1"/>
  <c r="J253" i="4"/>
  <c r="Z253" i="4" s="1"/>
  <c r="I253" i="4"/>
  <c r="H253" i="4"/>
  <c r="G253" i="4"/>
  <c r="X253" i="4" s="1"/>
  <c r="F253" i="4"/>
  <c r="S157" i="4"/>
  <c r="AI157" i="4" s="1"/>
  <c r="S173" i="4"/>
  <c r="S189" i="4"/>
  <c r="AI189" i="4" s="1"/>
  <c r="L202" i="4"/>
  <c r="F204" i="4"/>
  <c r="T212" i="4"/>
  <c r="M216" i="4"/>
  <c r="W216" i="4" s="1"/>
  <c r="D217" i="4"/>
  <c r="H219" i="4"/>
  <c r="M223" i="4"/>
  <c r="W223" i="4" s="1"/>
  <c r="N228" i="4"/>
  <c r="AA228" i="4" s="1"/>
  <c r="P229" i="4"/>
  <c r="AB229" i="4" s="1"/>
  <c r="D231" i="4"/>
  <c r="G232" i="4"/>
  <c r="X232" i="4" s="1"/>
  <c r="M233" i="4"/>
  <c r="W233" i="4" s="1"/>
  <c r="P234" i="4"/>
  <c r="AB234" i="4" s="1"/>
  <c r="G237" i="4"/>
  <c r="X237" i="4" s="1"/>
  <c r="L238" i="4"/>
  <c r="Y238" i="4" s="1"/>
  <c r="K242" i="4"/>
  <c r="B247" i="4"/>
  <c r="M247" i="4"/>
  <c r="W247" i="4" s="1"/>
  <c r="H248" i="4"/>
  <c r="Q249" i="4"/>
  <c r="AC249" i="4" s="1"/>
  <c r="J251" i="4"/>
  <c r="Z251" i="4" s="1"/>
  <c r="F254" i="4"/>
  <c r="N255" i="4"/>
  <c r="AA255" i="4" s="1"/>
  <c r="D259" i="4"/>
  <c r="N264" i="4"/>
  <c r="AA264" i="4" s="1"/>
  <c r="M264" i="4"/>
  <c r="W264" i="4" s="1"/>
  <c r="J264" i="4"/>
  <c r="L267" i="4"/>
  <c r="Y267" i="4" s="1"/>
  <c r="F269" i="4"/>
  <c r="N272" i="4"/>
  <c r="AA272" i="4" s="1"/>
  <c r="J274" i="4"/>
  <c r="Z274" i="4" s="1"/>
  <c r="M276" i="4"/>
  <c r="W276" i="4" s="1"/>
  <c r="I281" i="4"/>
  <c r="U282" i="4"/>
  <c r="J283" i="4"/>
  <c r="Z283" i="4" s="1"/>
  <c r="D285" i="4"/>
  <c r="L288" i="4"/>
  <c r="Y288" i="4" s="1"/>
  <c r="H290" i="4"/>
  <c r="G292" i="4"/>
  <c r="X292" i="4" s="1"/>
  <c r="R301" i="4"/>
  <c r="AD301" i="4" s="1"/>
  <c r="B301" i="4"/>
  <c r="Q301" i="4"/>
  <c r="AC301" i="4" s="1"/>
  <c r="N301" i="4"/>
  <c r="AA301" i="4" s="1"/>
  <c r="K301" i="4"/>
  <c r="V301" i="4" s="1"/>
  <c r="F313" i="4"/>
  <c r="F314" i="4"/>
  <c r="K315" i="4"/>
  <c r="V315" i="4" s="1"/>
  <c r="J334" i="4"/>
  <c r="Z334" i="4" s="1"/>
  <c r="G334" i="4"/>
  <c r="X334" i="4" s="1"/>
  <c r="T334" i="4"/>
  <c r="D334" i="4"/>
  <c r="B334" i="4"/>
  <c r="M334" i="4"/>
  <c r="W334" i="4" s="1"/>
  <c r="L334" i="4"/>
  <c r="Y334" i="4" s="1"/>
  <c r="K334" i="4"/>
  <c r="I334" i="4"/>
  <c r="H334" i="4"/>
  <c r="F334" i="4"/>
  <c r="K287" i="4"/>
  <c r="V287" i="4" s="1"/>
  <c r="J287" i="4"/>
  <c r="Z287" i="4" s="1"/>
  <c r="I287" i="4"/>
  <c r="H287" i="4"/>
  <c r="B326" i="4"/>
  <c r="H326" i="4"/>
  <c r="K326" i="4"/>
  <c r="V326" i="4" s="1"/>
  <c r="J326" i="4"/>
  <c r="Z326" i="4" s="1"/>
  <c r="I326" i="4"/>
  <c r="G326" i="4"/>
  <c r="X326" i="4" s="1"/>
  <c r="F326" i="4"/>
  <c r="D326" i="4"/>
  <c r="Q337" i="4"/>
  <c r="AC337" i="4" s="1"/>
  <c r="N337" i="4"/>
  <c r="AA337" i="4" s="1"/>
  <c r="K337" i="4"/>
  <c r="V337" i="4" s="1"/>
  <c r="I337" i="4"/>
  <c r="G337" i="4"/>
  <c r="X337" i="4" s="1"/>
  <c r="B337" i="4"/>
  <c r="T337" i="4"/>
  <c r="M337" i="4"/>
  <c r="W337" i="4" s="1"/>
  <c r="L337" i="4"/>
  <c r="Y337" i="4" s="1"/>
  <c r="J337" i="4"/>
  <c r="Z337" i="4" s="1"/>
  <c r="H337" i="4"/>
  <c r="F337" i="4"/>
  <c r="D337" i="4"/>
  <c r="N275" i="4"/>
  <c r="AA275" i="4" s="1"/>
  <c r="M275" i="4"/>
  <c r="W275" i="4" s="1"/>
  <c r="L275" i="4"/>
  <c r="Y275" i="4" s="1"/>
  <c r="I275" i="4"/>
  <c r="N280" i="4"/>
  <c r="AA280" i="4" s="1"/>
  <c r="M280" i="4"/>
  <c r="W280" i="4" s="1"/>
  <c r="J280" i="4"/>
  <c r="Z280" i="4" s="1"/>
  <c r="D287" i="4"/>
  <c r="G256" i="4"/>
  <c r="X256" i="4" s="1"/>
  <c r="F256" i="4"/>
  <c r="U256" i="4"/>
  <c r="R256" i="4"/>
  <c r="AD256" i="4" s="1"/>
  <c r="B256" i="4"/>
  <c r="D275" i="4"/>
  <c r="D280" i="4"/>
  <c r="V305" i="4"/>
  <c r="L326" i="4"/>
  <c r="Y326" i="4" s="1"/>
  <c r="J282" i="4"/>
  <c r="Z282" i="4" s="1"/>
  <c r="I282" i="4"/>
  <c r="H282" i="4"/>
  <c r="G282" i="4"/>
  <c r="X282" i="4" s="1"/>
  <c r="T282" i="4"/>
  <c r="D282" i="4"/>
  <c r="F287" i="4"/>
  <c r="N291" i="4"/>
  <c r="AA291" i="4" s="1"/>
  <c r="M291" i="4"/>
  <c r="W291" i="4" s="1"/>
  <c r="L291" i="4"/>
  <c r="Y291" i="4" s="1"/>
  <c r="I291" i="4"/>
  <c r="M326" i="4"/>
  <c r="W326" i="4" s="1"/>
  <c r="J135" i="4"/>
  <c r="Z135" i="4" s="1"/>
  <c r="B143" i="4"/>
  <c r="I146" i="4"/>
  <c r="J151" i="4"/>
  <c r="Z151" i="4" s="1"/>
  <c r="K156" i="4"/>
  <c r="V156" i="4" s="1"/>
  <c r="H157" i="4"/>
  <c r="B159" i="4"/>
  <c r="I162" i="4"/>
  <c r="J167" i="4"/>
  <c r="K172" i="4"/>
  <c r="V172" i="4" s="1"/>
  <c r="H173" i="4"/>
  <c r="B175" i="4"/>
  <c r="I178" i="4"/>
  <c r="J183" i="4"/>
  <c r="Z183" i="4" s="1"/>
  <c r="K188" i="4"/>
  <c r="H189" i="4"/>
  <c r="B191" i="4"/>
  <c r="I194" i="4"/>
  <c r="J199" i="4"/>
  <c r="Z199" i="4" s="1"/>
  <c r="K204" i="4"/>
  <c r="H205" i="4"/>
  <c r="B207" i="4"/>
  <c r="I211" i="4"/>
  <c r="H212" i="4"/>
  <c r="H216" i="4"/>
  <c r="I217" i="4"/>
  <c r="L218" i="4"/>
  <c r="Y218" i="4" s="1"/>
  <c r="M219" i="4"/>
  <c r="W219" i="4" s="1"/>
  <c r="G224" i="4"/>
  <c r="X224" i="4" s="1"/>
  <c r="U224" i="4"/>
  <c r="R224" i="4"/>
  <c r="AD224" i="4" s="1"/>
  <c r="B224" i="4"/>
  <c r="I231" i="4"/>
  <c r="N232" i="4"/>
  <c r="AA232" i="4" s="1"/>
  <c r="M237" i="4"/>
  <c r="W237" i="4" s="1"/>
  <c r="B239" i="4"/>
  <c r="H247" i="4"/>
  <c r="J259" i="4"/>
  <c r="Z259" i="4" s="1"/>
  <c r="L269" i="4"/>
  <c r="Y269" i="4" s="1"/>
  <c r="F275" i="4"/>
  <c r="F280" i="4"/>
  <c r="I285" i="4"/>
  <c r="G287" i="4"/>
  <c r="X287" i="4" s="1"/>
  <c r="N290" i="4"/>
  <c r="AA290" i="4" s="1"/>
  <c r="D291" i="4"/>
  <c r="N296" i="4"/>
  <c r="AA296" i="4" s="1"/>
  <c r="M296" i="4"/>
  <c r="W296" i="4" s="1"/>
  <c r="J296" i="4"/>
  <c r="Z296" i="4" s="1"/>
  <c r="L299" i="4"/>
  <c r="Y299" i="4" s="1"/>
  <c r="I304" i="4"/>
  <c r="H304" i="4"/>
  <c r="G304" i="4"/>
  <c r="X304" i="4" s="1"/>
  <c r="F304" i="4"/>
  <c r="U304" i="4"/>
  <c r="R304" i="4"/>
  <c r="AD304" i="4" s="1"/>
  <c r="B304" i="4"/>
  <c r="N326" i="4"/>
  <c r="AA326" i="4" s="1"/>
  <c r="L328" i="4"/>
  <c r="Y328" i="4" s="1"/>
  <c r="I328" i="4"/>
  <c r="B328" i="4"/>
  <c r="N328" i="4"/>
  <c r="AA328" i="4" s="1"/>
  <c r="M328" i="4"/>
  <c r="W328" i="4" s="1"/>
  <c r="K328" i="4"/>
  <c r="G328" i="4"/>
  <c r="X328" i="4" s="1"/>
  <c r="F328" i="4"/>
  <c r="D328" i="4"/>
  <c r="M332" i="4"/>
  <c r="W332" i="4" s="1"/>
  <c r="J332" i="4"/>
  <c r="Z332" i="4" s="1"/>
  <c r="F332" i="4"/>
  <c r="N332" i="4"/>
  <c r="AA332" i="4" s="1"/>
  <c r="K332" i="4"/>
  <c r="V332" i="4" s="1"/>
  <c r="I332" i="4"/>
  <c r="H332" i="4"/>
  <c r="G332" i="4"/>
  <c r="X332" i="4" s="1"/>
  <c r="J146" i="4"/>
  <c r="Z146" i="4" s="1"/>
  <c r="L156" i="4"/>
  <c r="Y156" i="4" s="1"/>
  <c r="I157" i="4"/>
  <c r="J162" i="4"/>
  <c r="Z162" i="4" s="1"/>
  <c r="L172" i="4"/>
  <c r="Y172" i="4" s="1"/>
  <c r="I173" i="4"/>
  <c r="J178" i="4"/>
  <c r="Z178" i="4" s="1"/>
  <c r="L188" i="4"/>
  <c r="Y188" i="4" s="1"/>
  <c r="I189" i="4"/>
  <c r="J194" i="4"/>
  <c r="B202" i="4"/>
  <c r="L204" i="4"/>
  <c r="Y204" i="4" s="1"/>
  <c r="I205" i="4"/>
  <c r="J211" i="4"/>
  <c r="Z211" i="4" s="1"/>
  <c r="J212" i="4"/>
  <c r="Z212" i="4" s="1"/>
  <c r="I216" i="4"/>
  <c r="K217" i="4"/>
  <c r="N219" i="4"/>
  <c r="AA219" i="4" s="1"/>
  <c r="J231" i="4"/>
  <c r="Z231" i="4" s="1"/>
  <c r="I234" i="4"/>
  <c r="G234" i="4"/>
  <c r="X234" i="4" s="1"/>
  <c r="D234" i="4"/>
  <c r="J239" i="4"/>
  <c r="Z239" i="4" s="1"/>
  <c r="H239" i="4"/>
  <c r="L249" i="4"/>
  <c r="Y249" i="4" s="1"/>
  <c r="K249" i="4"/>
  <c r="V249" i="4" s="1"/>
  <c r="J249" i="4"/>
  <c r="Z249" i="4" s="1"/>
  <c r="G249" i="4"/>
  <c r="X249" i="4" s="1"/>
  <c r="H256" i="4"/>
  <c r="B258" i="4"/>
  <c r="L258" i="4"/>
  <c r="Y258" i="4" s="1"/>
  <c r="M269" i="4"/>
  <c r="W269" i="4" s="1"/>
  <c r="N270" i="4"/>
  <c r="AA270" i="4" s="1"/>
  <c r="M270" i="4"/>
  <c r="W270" i="4" s="1"/>
  <c r="L270" i="4"/>
  <c r="Y270" i="4" s="1"/>
  <c r="K270" i="4"/>
  <c r="H270" i="4"/>
  <c r="G275" i="4"/>
  <c r="X275" i="4" s="1"/>
  <c r="G280" i="4"/>
  <c r="X280" i="4" s="1"/>
  <c r="F282" i="4"/>
  <c r="L287" i="4"/>
  <c r="Y287" i="4" s="1"/>
  <c r="S290" i="4"/>
  <c r="D296" i="4"/>
  <c r="I301" i="4"/>
  <c r="D304" i="4"/>
  <c r="R307" i="4"/>
  <c r="AD307" i="4" s="1"/>
  <c r="B307" i="4"/>
  <c r="N307" i="4"/>
  <c r="AA307" i="4" s="1"/>
  <c r="M307" i="4"/>
  <c r="W307" i="4" s="1"/>
  <c r="L307" i="4"/>
  <c r="I307" i="4"/>
  <c r="G335" i="4"/>
  <c r="X335" i="4" s="1"/>
  <c r="D335" i="4"/>
  <c r="M335" i="4"/>
  <c r="W335" i="4" s="1"/>
  <c r="B335" i="4"/>
  <c r="S335" i="4"/>
  <c r="L335" i="4"/>
  <c r="Y335" i="4" s="1"/>
  <c r="K335" i="4"/>
  <c r="J335" i="4"/>
  <c r="Z335" i="4" s="1"/>
  <c r="I335" i="4"/>
  <c r="H335" i="4"/>
  <c r="M204" i="4"/>
  <c r="W204" i="4" s="1"/>
  <c r="J205" i="4"/>
  <c r="Z205" i="4" s="1"/>
  <c r="B223" i="4"/>
  <c r="B228" i="4"/>
  <c r="K231" i="4"/>
  <c r="V231" i="4" s="1"/>
  <c r="Q237" i="4"/>
  <c r="AC237" i="4" s="1"/>
  <c r="T238" i="4"/>
  <c r="I256" i="4"/>
  <c r="V261" i="4"/>
  <c r="D270" i="4"/>
  <c r="H275" i="4"/>
  <c r="V278" i="4"/>
  <c r="H280" i="4"/>
  <c r="K282" i="4"/>
  <c r="M287" i="4"/>
  <c r="W287" i="4" s="1"/>
  <c r="F291" i="4"/>
  <c r="J298" i="4"/>
  <c r="Z298" i="4" s="1"/>
  <c r="I298" i="4"/>
  <c r="H298" i="4"/>
  <c r="G298" i="4"/>
  <c r="X298" i="4" s="1"/>
  <c r="D298" i="4"/>
  <c r="N302" i="4"/>
  <c r="AA302" i="4" s="1"/>
  <c r="M302" i="4"/>
  <c r="W302" i="4" s="1"/>
  <c r="L302" i="4"/>
  <c r="Y302" i="4" s="1"/>
  <c r="K302" i="4"/>
  <c r="H302" i="4"/>
  <c r="Y311" i="4"/>
  <c r="J318" i="4"/>
  <c r="Z318" i="4" s="1"/>
  <c r="L318" i="4"/>
  <c r="Y318" i="4" s="1"/>
  <c r="K318" i="4"/>
  <c r="I318" i="4"/>
  <c r="H318" i="4"/>
  <c r="G318" i="4"/>
  <c r="X318" i="4" s="1"/>
  <c r="F318" i="4"/>
  <c r="T318" i="4"/>
  <c r="B318" i="4"/>
  <c r="D320" i="4"/>
  <c r="J320" i="4"/>
  <c r="Z320" i="4" s="1"/>
  <c r="N320" i="4"/>
  <c r="AA320" i="4" s="1"/>
  <c r="M320" i="4"/>
  <c r="W320" i="4" s="1"/>
  <c r="L320" i="4"/>
  <c r="Y320" i="4" s="1"/>
  <c r="K320" i="4"/>
  <c r="I320" i="4"/>
  <c r="H320" i="4"/>
  <c r="U320" i="4"/>
  <c r="B320" i="4"/>
  <c r="J223" i="4"/>
  <c r="Z223" i="4" s="1"/>
  <c r="H223" i="4"/>
  <c r="K228" i="4"/>
  <c r="V228" i="4" s="1"/>
  <c r="I228" i="4"/>
  <c r="F228" i="4"/>
  <c r="B233" i="4"/>
  <c r="B238" i="4"/>
  <c r="L242" i="4"/>
  <c r="Y242" i="4" s="1"/>
  <c r="S251" i="4"/>
  <c r="J255" i="4"/>
  <c r="Z255" i="4" s="1"/>
  <c r="I255" i="4"/>
  <c r="H255" i="4"/>
  <c r="J256" i="4"/>
  <c r="Z256" i="4" s="1"/>
  <c r="L260" i="4"/>
  <c r="Y260" i="4" s="1"/>
  <c r="K260" i="4"/>
  <c r="J260" i="4"/>
  <c r="Z260" i="4" s="1"/>
  <c r="I260" i="4"/>
  <c r="F260" i="4"/>
  <c r="H272" i="4"/>
  <c r="G272" i="4"/>
  <c r="X272" i="4" s="1"/>
  <c r="F272" i="4"/>
  <c r="U272" i="4"/>
  <c r="R272" i="4"/>
  <c r="AD272" i="4" s="1"/>
  <c r="B272" i="4"/>
  <c r="J275" i="4"/>
  <c r="Z275" i="4" s="1"/>
  <c r="I280" i="4"/>
  <c r="L282" i="4"/>
  <c r="Y282" i="4" s="1"/>
  <c r="N286" i="4"/>
  <c r="AA286" i="4" s="1"/>
  <c r="M286" i="4"/>
  <c r="W286" i="4" s="1"/>
  <c r="L286" i="4"/>
  <c r="Y286" i="4" s="1"/>
  <c r="K286" i="4"/>
  <c r="H286" i="4"/>
  <c r="N287" i="4"/>
  <c r="AA287" i="4" s="1"/>
  <c r="G291" i="4"/>
  <c r="X291" i="4" s="1"/>
  <c r="K323" i="4"/>
  <c r="V323" i="4" s="1"/>
  <c r="B323" i="4"/>
  <c r="R323" i="4"/>
  <c r="AD323" i="4" s="1"/>
  <c r="N323" i="4"/>
  <c r="AA323" i="4" s="1"/>
  <c r="M323" i="4"/>
  <c r="W323" i="4" s="1"/>
  <c r="I323" i="4"/>
  <c r="H323" i="4"/>
  <c r="G323" i="4"/>
  <c r="X323" i="4" s="1"/>
  <c r="F323" i="4"/>
  <c r="L233" i="4"/>
  <c r="Y233" i="4" s="1"/>
  <c r="J233" i="4"/>
  <c r="Z233" i="4" s="1"/>
  <c r="G233" i="4"/>
  <c r="X233" i="4" s="1"/>
  <c r="M238" i="4"/>
  <c r="W238" i="4" s="1"/>
  <c r="K238" i="4"/>
  <c r="V238" i="4" s="1"/>
  <c r="H238" i="4"/>
  <c r="K256" i="4"/>
  <c r="V256" i="4" s="1"/>
  <c r="M265" i="4"/>
  <c r="W265" i="4" s="1"/>
  <c r="L265" i="4"/>
  <c r="Y265" i="4" s="1"/>
  <c r="K265" i="4"/>
  <c r="V265" i="4" s="1"/>
  <c r="J265" i="4"/>
  <c r="Z265" i="4" s="1"/>
  <c r="G265" i="4"/>
  <c r="X265" i="4" s="1"/>
  <c r="B274" i="4"/>
  <c r="L274" i="4"/>
  <c r="Y274" i="4" s="1"/>
  <c r="K275" i="4"/>
  <c r="K280" i="4"/>
  <c r="M282" i="4"/>
  <c r="W282" i="4" s="1"/>
  <c r="H291" i="4"/>
  <c r="N308" i="4"/>
  <c r="AA308" i="4" s="1"/>
  <c r="M308" i="4"/>
  <c r="W308" i="4" s="1"/>
  <c r="L308" i="4"/>
  <c r="Y308" i="4" s="1"/>
  <c r="K308" i="4"/>
  <c r="J308" i="4"/>
  <c r="Z308" i="4" s="1"/>
  <c r="I308" i="4"/>
  <c r="F308" i="4"/>
  <c r="L256" i="4"/>
  <c r="Y256" i="4" s="1"/>
  <c r="AJ261" i="4"/>
  <c r="D265" i="4"/>
  <c r="G267" i="4"/>
  <c r="X267" i="4" s="1"/>
  <c r="F267" i="4"/>
  <c r="T267" i="4"/>
  <c r="D267" i="4"/>
  <c r="D274" i="4"/>
  <c r="V277" i="4"/>
  <c r="L280" i="4"/>
  <c r="Y280" i="4" s="1"/>
  <c r="N282" i="4"/>
  <c r="AA282" i="4" s="1"/>
  <c r="H288" i="4"/>
  <c r="G288" i="4"/>
  <c r="X288" i="4" s="1"/>
  <c r="F288" i="4"/>
  <c r="U288" i="4"/>
  <c r="B288" i="4"/>
  <c r="J291" i="4"/>
  <c r="Z291" i="4" s="1"/>
  <c r="D308" i="4"/>
  <c r="V310" i="4"/>
  <c r="N248" i="4"/>
  <c r="AA248" i="4" s="1"/>
  <c r="M248" i="4"/>
  <c r="W248" i="4" s="1"/>
  <c r="J248" i="4"/>
  <c r="Z248" i="4" s="1"/>
  <c r="F251" i="4"/>
  <c r="T251" i="4"/>
  <c r="D251" i="4"/>
  <c r="M256" i="4"/>
  <c r="W256" i="4" s="1"/>
  <c r="L276" i="4"/>
  <c r="Y276" i="4" s="1"/>
  <c r="K276" i="4"/>
  <c r="J276" i="4"/>
  <c r="Z276" i="4" s="1"/>
  <c r="I276" i="4"/>
  <c r="F276" i="4"/>
  <c r="M281" i="4"/>
  <c r="W281" i="4" s="1"/>
  <c r="L281" i="4"/>
  <c r="Y281" i="4" s="1"/>
  <c r="K281" i="4"/>
  <c r="J281" i="4"/>
  <c r="Z281" i="4" s="1"/>
  <c r="G281" i="4"/>
  <c r="X281" i="4" s="1"/>
  <c r="O282" i="4"/>
  <c r="B290" i="4"/>
  <c r="L290" i="4"/>
  <c r="Y290" i="4" s="1"/>
  <c r="K291" i="4"/>
  <c r="M232" i="4"/>
  <c r="W232" i="4" s="1"/>
  <c r="J232" i="4"/>
  <c r="Z232" i="4" s="1"/>
  <c r="F233" i="4"/>
  <c r="N237" i="4"/>
  <c r="AA237" i="4" s="1"/>
  <c r="K237" i="4"/>
  <c r="V237" i="4" s="1"/>
  <c r="F238" i="4"/>
  <c r="D248" i="4"/>
  <c r="N256" i="4"/>
  <c r="AA256" i="4" s="1"/>
  <c r="F265" i="4"/>
  <c r="H267" i="4"/>
  <c r="F274" i="4"/>
  <c r="R275" i="4"/>
  <c r="AD275" i="4" s="1"/>
  <c r="D276" i="4"/>
  <c r="D281" i="4"/>
  <c r="G283" i="4"/>
  <c r="X283" i="4" s="1"/>
  <c r="F283" i="4"/>
  <c r="T283" i="4"/>
  <c r="D283" i="4"/>
  <c r="D290" i="4"/>
  <c r="G308" i="4"/>
  <c r="X308" i="4" s="1"/>
  <c r="D336" i="4"/>
  <c r="N336" i="4"/>
  <c r="AA336" i="4" s="1"/>
  <c r="L336" i="4"/>
  <c r="Y336" i="4" s="1"/>
  <c r="J336" i="4"/>
  <c r="Z336" i="4" s="1"/>
  <c r="M336" i="4"/>
  <c r="W336" i="4" s="1"/>
  <c r="K336" i="4"/>
  <c r="I336" i="4"/>
  <c r="H336" i="4"/>
  <c r="G336" i="4"/>
  <c r="X336" i="4" s="1"/>
  <c r="F336" i="4"/>
  <c r="B336" i="4"/>
  <c r="U336" i="4"/>
  <c r="S204" i="4"/>
  <c r="F219" i="4"/>
  <c r="T219" i="4"/>
  <c r="D219" i="4"/>
  <c r="I223" i="4"/>
  <c r="J228" i="4"/>
  <c r="Z228" i="4" s="1"/>
  <c r="D232" i="4"/>
  <c r="H233" i="4"/>
  <c r="D237" i="4"/>
  <c r="G238" i="4"/>
  <c r="X238" i="4" s="1"/>
  <c r="H242" i="4"/>
  <c r="G251" i="4"/>
  <c r="X251" i="4" s="1"/>
  <c r="M254" i="4"/>
  <c r="W254" i="4" s="1"/>
  <c r="L254" i="4"/>
  <c r="Y254" i="4" s="1"/>
  <c r="K254" i="4"/>
  <c r="H254" i="4"/>
  <c r="K255" i="4"/>
  <c r="M260" i="4"/>
  <c r="W260" i="4" s="1"/>
  <c r="H265" i="4"/>
  <c r="I267" i="4"/>
  <c r="Q269" i="4"/>
  <c r="AC269" i="4" s="1"/>
  <c r="N269" i="4"/>
  <c r="AA269" i="4" s="1"/>
  <c r="K269" i="4"/>
  <c r="V269" i="4" s="1"/>
  <c r="AJ270" i="4"/>
  <c r="K272" i="4"/>
  <c r="V272" i="4" s="1"/>
  <c r="G274" i="4"/>
  <c r="X274" i="4" s="1"/>
  <c r="I286" i="4"/>
  <c r="I288" i="4"/>
  <c r="L292" i="4"/>
  <c r="Y292" i="4" s="1"/>
  <c r="K292" i="4"/>
  <c r="J292" i="4"/>
  <c r="Z292" i="4" s="1"/>
  <c r="I292" i="4"/>
  <c r="F292" i="4"/>
  <c r="N298" i="4"/>
  <c r="AA298" i="4" s="1"/>
  <c r="J302" i="4"/>
  <c r="Z302" i="4" s="1"/>
  <c r="H308" i="4"/>
  <c r="N313" i="4"/>
  <c r="AA313" i="4" s="1"/>
  <c r="M313" i="4"/>
  <c r="W313" i="4" s="1"/>
  <c r="L313" i="4"/>
  <c r="Y313" i="4" s="1"/>
  <c r="K313" i="4"/>
  <c r="J313" i="4"/>
  <c r="Z313" i="4" s="1"/>
  <c r="G313" i="4"/>
  <c r="X313" i="4" s="1"/>
  <c r="Q318" i="4"/>
  <c r="AC318" i="4" s="1"/>
  <c r="R320" i="4"/>
  <c r="AD320" i="4" s="1"/>
  <c r="AJ338" i="4"/>
  <c r="P338" i="4"/>
  <c r="AB338" i="4" s="1"/>
  <c r="K143" i="4"/>
  <c r="V143" i="4" s="1"/>
  <c r="B146" i="4"/>
  <c r="D156" i="4"/>
  <c r="K159" i="4"/>
  <c r="V159" i="4" s="1"/>
  <c r="B162" i="4"/>
  <c r="D172" i="4"/>
  <c r="Q173" i="4"/>
  <c r="AC173" i="4" s="1"/>
  <c r="K175" i="4"/>
  <c r="V175" i="4" s="1"/>
  <c r="B178" i="4"/>
  <c r="D188" i="4"/>
  <c r="K191" i="4"/>
  <c r="V191" i="4" s="1"/>
  <c r="B194" i="4"/>
  <c r="J202" i="4"/>
  <c r="Z202" i="4" s="1"/>
  <c r="D204" i="4"/>
  <c r="Q205" i="4"/>
  <c r="AC205" i="4" s="1"/>
  <c r="B211" i="4"/>
  <c r="S211" i="4"/>
  <c r="R212" i="4"/>
  <c r="AD212" i="4" s="1"/>
  <c r="B217" i="4"/>
  <c r="I218" i="4"/>
  <c r="G218" i="4"/>
  <c r="X218" i="4" s="1"/>
  <c r="U218" i="4"/>
  <c r="K223" i="4"/>
  <c r="L226" i="4"/>
  <c r="Y226" i="4" s="1"/>
  <c r="L228" i="4"/>
  <c r="Y228" i="4" s="1"/>
  <c r="AJ230" i="4"/>
  <c r="I233" i="4"/>
  <c r="N234" i="4"/>
  <c r="AA234" i="4" s="1"/>
  <c r="I238" i="4"/>
  <c r="M239" i="4"/>
  <c r="W239" i="4" s="1"/>
  <c r="I242" i="4"/>
  <c r="K244" i="4"/>
  <c r="V244" i="4" s="1"/>
  <c r="J244" i="4"/>
  <c r="Z244" i="4" s="1"/>
  <c r="I244" i="4"/>
  <c r="F244" i="4"/>
  <c r="F248" i="4"/>
  <c r="H251" i="4"/>
  <c r="D254" i="4"/>
  <c r="L255" i="4"/>
  <c r="Y255" i="4" s="1"/>
  <c r="K258" i="4"/>
  <c r="N260" i="4"/>
  <c r="AA260" i="4" s="1"/>
  <c r="I265" i="4"/>
  <c r="J267" i="4"/>
  <c r="Z267" i="4" s="1"/>
  <c r="D269" i="4"/>
  <c r="L272" i="4"/>
  <c r="Y272" i="4" s="1"/>
  <c r="H274" i="4"/>
  <c r="G276" i="4"/>
  <c r="X276" i="4" s="1"/>
  <c r="F281" i="4"/>
  <c r="H283" i="4"/>
  <c r="J286" i="4"/>
  <c r="Z286" i="4" s="1"/>
  <c r="J288" i="4"/>
  <c r="Z288" i="4" s="1"/>
  <c r="F290" i="4"/>
  <c r="R291" i="4"/>
  <c r="AD291" i="4" s="1"/>
  <c r="M297" i="4"/>
  <c r="W297" i="4" s="1"/>
  <c r="L297" i="4"/>
  <c r="Y297" i="4" s="1"/>
  <c r="K297" i="4"/>
  <c r="V297" i="4" s="1"/>
  <c r="J297" i="4"/>
  <c r="Z297" i="4" s="1"/>
  <c r="G297" i="4"/>
  <c r="X297" i="4" s="1"/>
  <c r="L303" i="4"/>
  <c r="Y303" i="4" s="1"/>
  <c r="K303" i="4"/>
  <c r="J303" i="4"/>
  <c r="Z303" i="4" s="1"/>
  <c r="I303" i="4"/>
  <c r="H303" i="4"/>
  <c r="D313" i="4"/>
  <c r="M314" i="4"/>
  <c r="W314" i="4" s="1"/>
  <c r="L314" i="4"/>
  <c r="Y314" i="4" s="1"/>
  <c r="K314" i="4"/>
  <c r="J314" i="4"/>
  <c r="Z314" i="4" s="1"/>
  <c r="I314" i="4"/>
  <c r="H314" i="4"/>
  <c r="G314" i="4"/>
  <c r="X314" i="4" s="1"/>
  <c r="D314" i="4"/>
  <c r="B314" i="4"/>
  <c r="J315" i="4"/>
  <c r="Z315" i="4" s="1"/>
  <c r="I315" i="4"/>
  <c r="H315" i="4"/>
  <c r="G315" i="4"/>
  <c r="X315" i="4" s="1"/>
  <c r="F315" i="4"/>
  <c r="D315" i="4"/>
  <c r="Y347" i="4"/>
  <c r="V347" i="4"/>
  <c r="M396" i="4"/>
  <c r="W396" i="4" s="1"/>
  <c r="J396" i="4"/>
  <c r="Z396" i="4" s="1"/>
  <c r="I396" i="4"/>
  <c r="H396" i="4"/>
  <c r="G396" i="4"/>
  <c r="X396" i="4" s="1"/>
  <c r="F396" i="4"/>
  <c r="N396" i="4"/>
  <c r="AA396" i="4" s="1"/>
  <c r="L396" i="4"/>
  <c r="Y396" i="4" s="1"/>
  <c r="K396" i="4"/>
  <c r="V396" i="4" s="1"/>
  <c r="D396" i="4"/>
  <c r="B396" i="4"/>
  <c r="B157" i="4"/>
  <c r="B173" i="4"/>
  <c r="B189" i="4"/>
  <c r="B205" i="4"/>
  <c r="B212" i="4"/>
  <c r="L217" i="4"/>
  <c r="Y217" i="4" s="1"/>
  <c r="J217" i="4"/>
  <c r="Z217" i="4" s="1"/>
  <c r="G219" i="4"/>
  <c r="X219" i="4" s="1"/>
  <c r="L223" i="4"/>
  <c r="Y223" i="4" s="1"/>
  <c r="M228" i="4"/>
  <c r="W228" i="4" s="1"/>
  <c r="B231" i="4"/>
  <c r="M231" i="4"/>
  <c r="W231" i="4" s="1"/>
  <c r="F232" i="4"/>
  <c r="K233" i="4"/>
  <c r="F237" i="4"/>
  <c r="J238" i="4"/>
  <c r="Z238" i="4" s="1"/>
  <c r="J242" i="4"/>
  <c r="Z242" i="4" s="1"/>
  <c r="G248" i="4"/>
  <c r="X248" i="4" s="1"/>
  <c r="I251" i="4"/>
  <c r="M255" i="4"/>
  <c r="W255" i="4" s="1"/>
  <c r="M258" i="4"/>
  <c r="W258" i="4" s="1"/>
  <c r="N259" i="4"/>
  <c r="AA259" i="4" s="1"/>
  <c r="M259" i="4"/>
  <c r="W259" i="4" s="1"/>
  <c r="L259" i="4"/>
  <c r="I259" i="4"/>
  <c r="N265" i="4"/>
  <c r="AA265" i="4" s="1"/>
  <c r="K267" i="4"/>
  <c r="V267" i="4" s="1"/>
  <c r="Q270" i="4"/>
  <c r="AC270" i="4" s="1"/>
  <c r="K271" i="4"/>
  <c r="V271" i="4" s="1"/>
  <c r="J271" i="4"/>
  <c r="Z271" i="4" s="1"/>
  <c r="I271" i="4"/>
  <c r="H271" i="4"/>
  <c r="M272" i="4"/>
  <c r="W272" i="4" s="1"/>
  <c r="I274" i="4"/>
  <c r="H276" i="4"/>
  <c r="H281" i="4"/>
  <c r="I283" i="4"/>
  <c r="Q285" i="4"/>
  <c r="AC285" i="4" s="1"/>
  <c r="N285" i="4"/>
  <c r="AA285" i="4" s="1"/>
  <c r="K285" i="4"/>
  <c r="V285" i="4" s="1"/>
  <c r="K288" i="4"/>
  <c r="V288" i="4" s="1"/>
  <c r="G290" i="4"/>
  <c r="X290" i="4" s="1"/>
  <c r="D297" i="4"/>
  <c r="G299" i="4"/>
  <c r="X299" i="4" s="1"/>
  <c r="F299" i="4"/>
  <c r="D299" i="4"/>
  <c r="Q302" i="4"/>
  <c r="AC302" i="4" s="1"/>
  <c r="D303" i="4"/>
  <c r="Q308" i="4"/>
  <c r="AC308" i="4" s="1"/>
  <c r="N322" i="4"/>
  <c r="AA322" i="4" s="1"/>
  <c r="D322" i="4"/>
  <c r="O322" i="4"/>
  <c r="M322" i="4"/>
  <c r="W322" i="4" s="1"/>
  <c r="L322" i="4"/>
  <c r="Y322" i="4" s="1"/>
  <c r="K322" i="4"/>
  <c r="H322" i="4"/>
  <c r="G322" i="4"/>
  <c r="X322" i="4" s="1"/>
  <c r="F322" i="4"/>
  <c r="R336" i="4"/>
  <c r="AD336" i="4" s="1"/>
  <c r="N359" i="4"/>
  <c r="AA359" i="4" s="1"/>
  <c r="D384" i="4"/>
  <c r="N384" i="4"/>
  <c r="AA384" i="4" s="1"/>
  <c r="M384" i="4"/>
  <c r="W384" i="4" s="1"/>
  <c r="L384" i="4"/>
  <c r="Y384" i="4" s="1"/>
  <c r="J384" i="4"/>
  <c r="Z384" i="4" s="1"/>
  <c r="U384" i="4"/>
  <c r="D400" i="4"/>
  <c r="N400" i="4"/>
  <c r="AA400" i="4" s="1"/>
  <c r="M400" i="4"/>
  <c r="W400" i="4" s="1"/>
  <c r="L400" i="4"/>
  <c r="Y400" i="4" s="1"/>
  <c r="K400" i="4"/>
  <c r="V400" i="4" s="1"/>
  <c r="J400" i="4"/>
  <c r="Z400" i="4" s="1"/>
  <c r="U400" i="4"/>
  <c r="B405" i="4"/>
  <c r="O405" i="4"/>
  <c r="N405" i="4"/>
  <c r="AA405" i="4" s="1"/>
  <c r="M405" i="4"/>
  <c r="W405" i="4" s="1"/>
  <c r="L405" i="4"/>
  <c r="Y405" i="4" s="1"/>
  <c r="K405" i="4"/>
  <c r="F405" i="4"/>
  <c r="J418" i="4"/>
  <c r="Z418" i="4" s="1"/>
  <c r="N428" i="4"/>
  <c r="AA428" i="4" s="1"/>
  <c r="M428" i="4"/>
  <c r="W428" i="4" s="1"/>
  <c r="K428" i="4"/>
  <c r="V428" i="4" s="1"/>
  <c r="J428" i="4"/>
  <c r="Z428" i="4" s="1"/>
  <c r="I428" i="4"/>
  <c r="H428" i="4"/>
  <c r="G428" i="4"/>
  <c r="X428" i="4" s="1"/>
  <c r="F428" i="4"/>
  <c r="D428" i="4"/>
  <c r="L360" i="4"/>
  <c r="Y360" i="4" s="1"/>
  <c r="I360" i="4"/>
  <c r="F360" i="4"/>
  <c r="D360" i="4"/>
  <c r="B360" i="4"/>
  <c r="I367" i="4"/>
  <c r="I370" i="4"/>
  <c r="G373" i="4"/>
  <c r="X373" i="4" s="1"/>
  <c r="H376" i="4"/>
  <c r="F388" i="4"/>
  <c r="B389" i="4"/>
  <c r="O389" i="4"/>
  <c r="N389" i="4"/>
  <c r="AA389" i="4" s="1"/>
  <c r="M389" i="4"/>
  <c r="W389" i="4" s="1"/>
  <c r="L389" i="4"/>
  <c r="Y389" i="4" s="1"/>
  <c r="K389" i="4"/>
  <c r="V389" i="4" s="1"/>
  <c r="F389" i="4"/>
  <c r="I399" i="4"/>
  <c r="D405" i="4"/>
  <c r="M412" i="4"/>
  <c r="W412" i="4" s="1"/>
  <c r="J412" i="4"/>
  <c r="Z412" i="4" s="1"/>
  <c r="I412" i="4"/>
  <c r="H412" i="4"/>
  <c r="G412" i="4"/>
  <c r="X412" i="4" s="1"/>
  <c r="F412" i="4"/>
  <c r="N417" i="4"/>
  <c r="AA417" i="4" s="1"/>
  <c r="L417" i="4"/>
  <c r="Y417" i="4" s="1"/>
  <c r="K417" i="4"/>
  <c r="J417" i="4"/>
  <c r="Z417" i="4" s="1"/>
  <c r="I417" i="4"/>
  <c r="H417" i="4"/>
  <c r="G417" i="4"/>
  <c r="X417" i="4" s="1"/>
  <c r="B417" i="4"/>
  <c r="V420" i="4"/>
  <c r="N401" i="4"/>
  <c r="AA401" i="4" s="1"/>
  <c r="K401" i="4"/>
  <c r="J401" i="4"/>
  <c r="Z401" i="4" s="1"/>
  <c r="I401" i="4"/>
  <c r="H401" i="4"/>
  <c r="G401" i="4"/>
  <c r="X401" i="4" s="1"/>
  <c r="B401" i="4"/>
  <c r="Q321" i="4"/>
  <c r="AC321" i="4" s="1"/>
  <c r="G321" i="4"/>
  <c r="X321" i="4" s="1"/>
  <c r="S327" i="4"/>
  <c r="B341" i="4"/>
  <c r="O341" i="4"/>
  <c r="M341" i="4"/>
  <c r="W341" i="4" s="1"/>
  <c r="K341" i="4"/>
  <c r="K344" i="4"/>
  <c r="G351" i="4"/>
  <c r="X351" i="4" s="1"/>
  <c r="D351" i="4"/>
  <c r="O351" i="4"/>
  <c r="M351" i="4"/>
  <c r="W351" i="4" s="1"/>
  <c r="N353" i="4"/>
  <c r="AA353" i="4" s="1"/>
  <c r="K353" i="4"/>
  <c r="V353" i="4" s="1"/>
  <c r="I353" i="4"/>
  <c r="G353" i="4"/>
  <c r="X353" i="4" s="1"/>
  <c r="J356" i="4"/>
  <c r="Z356" i="4" s="1"/>
  <c r="G358" i="4"/>
  <c r="X358" i="4" s="1"/>
  <c r="G360" i="4"/>
  <c r="X360" i="4" s="1"/>
  <c r="K367" i="4"/>
  <c r="V367" i="4" s="1"/>
  <c r="L370" i="4"/>
  <c r="Y370" i="4" s="1"/>
  <c r="I373" i="4"/>
  <c r="K376" i="4"/>
  <c r="V376" i="4" s="1"/>
  <c r="G384" i="4"/>
  <c r="X384" i="4" s="1"/>
  <c r="N385" i="4"/>
  <c r="AA385" i="4" s="1"/>
  <c r="K385" i="4"/>
  <c r="V385" i="4" s="1"/>
  <c r="J385" i="4"/>
  <c r="Z385" i="4" s="1"/>
  <c r="I385" i="4"/>
  <c r="H385" i="4"/>
  <c r="G385" i="4"/>
  <c r="X385" i="4" s="1"/>
  <c r="B385" i="4"/>
  <c r="J388" i="4"/>
  <c r="Z388" i="4" s="1"/>
  <c r="K399" i="4"/>
  <c r="G400" i="4"/>
  <c r="X400" i="4" s="1"/>
  <c r="D401" i="4"/>
  <c r="K404" i="4"/>
  <c r="G405" i="4"/>
  <c r="X405" i="4" s="1"/>
  <c r="V414" i="4"/>
  <c r="V424" i="4"/>
  <c r="V425" i="4"/>
  <c r="V430" i="4"/>
  <c r="H312" i="4"/>
  <c r="D321" i="4"/>
  <c r="J324" i="4"/>
  <c r="Z324" i="4" s="1"/>
  <c r="B327" i="4"/>
  <c r="D341" i="4"/>
  <c r="M344" i="4"/>
  <c r="W344" i="4" s="1"/>
  <c r="K356" i="4"/>
  <c r="V356" i="4" s="1"/>
  <c r="I358" i="4"/>
  <c r="H360" i="4"/>
  <c r="L367" i="4"/>
  <c r="Y367" i="4" s="1"/>
  <c r="D368" i="4"/>
  <c r="N368" i="4"/>
  <c r="AA368" i="4" s="1"/>
  <c r="L368" i="4"/>
  <c r="Y368" i="4" s="1"/>
  <c r="J368" i="4"/>
  <c r="Z368" i="4" s="1"/>
  <c r="U368" i="4"/>
  <c r="M370" i="4"/>
  <c r="W370" i="4" s="1"/>
  <c r="J373" i="4"/>
  <c r="Z373" i="4" s="1"/>
  <c r="N376" i="4"/>
  <c r="AA376" i="4" s="1"/>
  <c r="H384" i="4"/>
  <c r="K388" i="4"/>
  <c r="V388" i="4" s="1"/>
  <c r="G389" i="4"/>
  <c r="X389" i="4" s="1"/>
  <c r="L399" i="4"/>
  <c r="Y399" i="4" s="1"/>
  <c r="H400" i="4"/>
  <c r="L404" i="4"/>
  <c r="Y404" i="4" s="1"/>
  <c r="H405" i="4"/>
  <c r="K412" i="4"/>
  <c r="F417" i="4"/>
  <c r="S418" i="4"/>
  <c r="B459" i="4"/>
  <c r="N459" i="4"/>
  <c r="AA459" i="4" s="1"/>
  <c r="M459" i="4"/>
  <c r="W459" i="4" s="1"/>
  <c r="L459" i="4"/>
  <c r="Y459" i="4" s="1"/>
  <c r="H459" i="4"/>
  <c r="D459" i="4"/>
  <c r="K459" i="4"/>
  <c r="J459" i="4"/>
  <c r="Z459" i="4" s="1"/>
  <c r="I459" i="4"/>
  <c r="G459" i="4"/>
  <c r="X459" i="4" s="1"/>
  <c r="F459" i="4"/>
  <c r="L327" i="4"/>
  <c r="Y327" i="4" s="1"/>
  <c r="L343" i="4"/>
  <c r="Y343" i="4" s="1"/>
  <c r="I343" i="4"/>
  <c r="G343" i="4"/>
  <c r="X343" i="4" s="1"/>
  <c r="M348" i="4"/>
  <c r="W348" i="4" s="1"/>
  <c r="J348" i="4"/>
  <c r="Z348" i="4" s="1"/>
  <c r="H348" i="4"/>
  <c r="F348" i="4"/>
  <c r="K358" i="4"/>
  <c r="M364" i="4"/>
  <c r="W364" i="4" s="1"/>
  <c r="J364" i="4"/>
  <c r="Z364" i="4" s="1"/>
  <c r="H364" i="4"/>
  <c r="F364" i="4"/>
  <c r="V372" i="4"/>
  <c r="I384" i="4"/>
  <c r="I400" i="4"/>
  <c r="F401" i="4"/>
  <c r="N402" i="4"/>
  <c r="AA402" i="4" s="1"/>
  <c r="K402" i="4"/>
  <c r="H402" i="4"/>
  <c r="G402" i="4"/>
  <c r="X402" i="4" s="1"/>
  <c r="F402" i="4"/>
  <c r="D402" i="4"/>
  <c r="L412" i="4"/>
  <c r="Y412" i="4" s="1"/>
  <c r="M263" i="4"/>
  <c r="W263" i="4" s="1"/>
  <c r="M279" i="4"/>
  <c r="W279" i="4" s="1"/>
  <c r="M295" i="4"/>
  <c r="W295" i="4" s="1"/>
  <c r="L306" i="4"/>
  <c r="M311" i="4"/>
  <c r="W311" i="4" s="1"/>
  <c r="J312" i="4"/>
  <c r="Z312" i="4" s="1"/>
  <c r="G319" i="4"/>
  <c r="X319" i="4" s="1"/>
  <c r="M319" i="4"/>
  <c r="W319" i="4" s="1"/>
  <c r="F321" i="4"/>
  <c r="L324" i="4"/>
  <c r="D327" i="4"/>
  <c r="F341" i="4"/>
  <c r="D343" i="4"/>
  <c r="D348" i="4"/>
  <c r="H351" i="4"/>
  <c r="F353" i="4"/>
  <c r="M356" i="4"/>
  <c r="W356" i="4" s="1"/>
  <c r="B357" i="4"/>
  <c r="O357" i="4"/>
  <c r="M357" i="4"/>
  <c r="W357" i="4" s="1"/>
  <c r="K357" i="4"/>
  <c r="V357" i="4" s="1"/>
  <c r="M358" i="4"/>
  <c r="W358" i="4" s="1"/>
  <c r="K360" i="4"/>
  <c r="D364" i="4"/>
  <c r="F368" i="4"/>
  <c r="K384" i="4"/>
  <c r="V384" i="4" s="1"/>
  <c r="N386" i="4"/>
  <c r="AA386" i="4" s="1"/>
  <c r="K386" i="4"/>
  <c r="V386" i="4" s="1"/>
  <c r="H386" i="4"/>
  <c r="G386" i="4"/>
  <c r="X386" i="4" s="1"/>
  <c r="F386" i="4"/>
  <c r="D386" i="4"/>
  <c r="M388" i="4"/>
  <c r="W388" i="4" s="1"/>
  <c r="I389" i="4"/>
  <c r="L401" i="4"/>
  <c r="Y401" i="4" s="1"/>
  <c r="J405" i="4"/>
  <c r="Z405" i="4" s="1"/>
  <c r="N412" i="4"/>
  <c r="AA412" i="4" s="1"/>
  <c r="G431" i="4"/>
  <c r="X431" i="4" s="1"/>
  <c r="F431" i="4"/>
  <c r="D431" i="4"/>
  <c r="B431" i="4"/>
  <c r="O431" i="4"/>
  <c r="N431" i="4"/>
  <c r="AA431" i="4" s="1"/>
  <c r="M431" i="4"/>
  <c r="W431" i="4" s="1"/>
  <c r="L431" i="4"/>
  <c r="Y431" i="4" s="1"/>
  <c r="K431" i="4"/>
  <c r="H431" i="4"/>
  <c r="H476" i="4"/>
  <c r="F476" i="4"/>
  <c r="G476" i="4"/>
  <c r="X476" i="4" s="1"/>
  <c r="D476" i="4"/>
  <c r="B476" i="4"/>
  <c r="N476" i="4"/>
  <c r="AA476" i="4" s="1"/>
  <c r="J476" i="4"/>
  <c r="Z476" i="4" s="1"/>
  <c r="M476" i="4"/>
  <c r="W476" i="4" s="1"/>
  <c r="L476" i="4"/>
  <c r="Y476" i="4" s="1"/>
  <c r="K476" i="4"/>
  <c r="I476" i="4"/>
  <c r="N358" i="4"/>
  <c r="AA358" i="4" s="1"/>
  <c r="J389" i="4"/>
  <c r="Z389" i="4" s="1"/>
  <c r="M401" i="4"/>
  <c r="W401" i="4" s="1"/>
  <c r="I402" i="4"/>
  <c r="I478" i="4"/>
  <c r="B478" i="4"/>
  <c r="M478" i="4"/>
  <c r="W478" i="4" s="1"/>
  <c r="L478" i="4"/>
  <c r="Y478" i="4" s="1"/>
  <c r="K478" i="4"/>
  <c r="H478" i="4"/>
  <c r="G478" i="4"/>
  <c r="X478" i="4" s="1"/>
  <c r="F478" i="4"/>
  <c r="D478" i="4"/>
  <c r="N478" i="4"/>
  <c r="AA478" i="4" s="1"/>
  <c r="J478" i="4"/>
  <c r="Z478" i="4" s="1"/>
  <c r="L359" i="4"/>
  <c r="Y359" i="4" s="1"/>
  <c r="I359" i="4"/>
  <c r="G359" i="4"/>
  <c r="X359" i="4" s="1"/>
  <c r="J366" i="4"/>
  <c r="Z366" i="4" s="1"/>
  <c r="G366" i="4"/>
  <c r="X366" i="4" s="1"/>
  <c r="D366" i="4"/>
  <c r="B366" i="4"/>
  <c r="K366" i="4"/>
  <c r="J402" i="4"/>
  <c r="Z402" i="4" s="1"/>
  <c r="L407" i="4"/>
  <c r="Y407" i="4" s="1"/>
  <c r="I407" i="4"/>
  <c r="H407" i="4"/>
  <c r="G407" i="4"/>
  <c r="X407" i="4" s="1"/>
  <c r="F407" i="4"/>
  <c r="N433" i="4"/>
  <c r="AA433" i="4" s="1"/>
  <c r="L433" i="4"/>
  <c r="Y433" i="4" s="1"/>
  <c r="K433" i="4"/>
  <c r="J433" i="4"/>
  <c r="Z433" i="4" s="1"/>
  <c r="I433" i="4"/>
  <c r="H433" i="4"/>
  <c r="G433" i="4"/>
  <c r="X433" i="4" s="1"/>
  <c r="F433" i="4"/>
  <c r="B433" i="4"/>
  <c r="F229" i="4"/>
  <c r="B241" i="4"/>
  <c r="F245" i="4"/>
  <c r="B257" i="4"/>
  <c r="F261" i="4"/>
  <c r="B273" i="4"/>
  <c r="F277" i="4"/>
  <c r="B289" i="4"/>
  <c r="F293" i="4"/>
  <c r="B305" i="4"/>
  <c r="O306" i="4"/>
  <c r="F309" i="4"/>
  <c r="M312" i="4"/>
  <c r="W312" i="4" s="1"/>
  <c r="F319" i="4"/>
  <c r="J321" i="4"/>
  <c r="Z321" i="4" s="1"/>
  <c r="G327" i="4"/>
  <c r="X327" i="4" s="1"/>
  <c r="N338" i="4"/>
  <c r="AA338" i="4" s="1"/>
  <c r="K338" i="4"/>
  <c r="V338" i="4" s="1"/>
  <c r="H338" i="4"/>
  <c r="F338" i="4"/>
  <c r="D338" i="4"/>
  <c r="I341" i="4"/>
  <c r="H343" i="4"/>
  <c r="I348" i="4"/>
  <c r="K351" i="4"/>
  <c r="L353" i="4"/>
  <c r="Y353" i="4" s="1"/>
  <c r="F357" i="4"/>
  <c r="D359" i="4"/>
  <c r="I364" i="4"/>
  <c r="I368" i="4"/>
  <c r="H372" i="4"/>
  <c r="B372" i="4"/>
  <c r="N372" i="4"/>
  <c r="AA372" i="4" s="1"/>
  <c r="I372" i="4"/>
  <c r="L375" i="4"/>
  <c r="Y375" i="4" s="1"/>
  <c r="I375" i="4"/>
  <c r="H375" i="4"/>
  <c r="G375" i="4"/>
  <c r="X375" i="4" s="1"/>
  <c r="J386" i="4"/>
  <c r="Z386" i="4" s="1"/>
  <c r="L391" i="4"/>
  <c r="Y391" i="4" s="1"/>
  <c r="I391" i="4"/>
  <c r="H391" i="4"/>
  <c r="G391" i="4"/>
  <c r="X391" i="4" s="1"/>
  <c r="F391" i="4"/>
  <c r="L402" i="4"/>
  <c r="Y402" i="4" s="1"/>
  <c r="D407" i="4"/>
  <c r="G415" i="4"/>
  <c r="X415" i="4" s="1"/>
  <c r="F415" i="4"/>
  <c r="D415" i="4"/>
  <c r="B415" i="4"/>
  <c r="O415" i="4"/>
  <c r="N415" i="4"/>
  <c r="AA415" i="4" s="1"/>
  <c r="M415" i="4"/>
  <c r="W415" i="4" s="1"/>
  <c r="H415" i="4"/>
  <c r="J431" i="4"/>
  <c r="Z431" i="4" s="1"/>
  <c r="D433" i="4"/>
  <c r="V452" i="4"/>
  <c r="N312" i="4"/>
  <c r="AA312" i="4" s="1"/>
  <c r="H319" i="4"/>
  <c r="K321" i="4"/>
  <c r="Q324" i="4"/>
  <c r="AC324" i="4" s="1"/>
  <c r="H327" i="4"/>
  <c r="H340" i="4"/>
  <c r="B340" i="4"/>
  <c r="N340" i="4"/>
  <c r="AA340" i="4" s="1"/>
  <c r="J341" i="4"/>
  <c r="Z341" i="4" s="1"/>
  <c r="J343" i="4"/>
  <c r="Z343" i="4" s="1"/>
  <c r="K348" i="4"/>
  <c r="L351" i="4"/>
  <c r="Y351" i="4" s="1"/>
  <c r="M353" i="4"/>
  <c r="W353" i="4" s="1"/>
  <c r="G357" i="4"/>
  <c r="X357" i="4" s="1"/>
  <c r="K364" i="4"/>
  <c r="V364" i="4" s="1"/>
  <c r="F366" i="4"/>
  <c r="K368" i="4"/>
  <c r="N369" i="4"/>
  <c r="AA369" i="4" s="1"/>
  <c r="K369" i="4"/>
  <c r="V369" i="4" s="1"/>
  <c r="J369" i="4"/>
  <c r="Z369" i="4" s="1"/>
  <c r="I369" i="4"/>
  <c r="G369" i="4"/>
  <c r="X369" i="4" s="1"/>
  <c r="B369" i="4"/>
  <c r="D372" i="4"/>
  <c r="D375" i="4"/>
  <c r="M380" i="4"/>
  <c r="W380" i="4" s="1"/>
  <c r="J380" i="4"/>
  <c r="I380" i="4"/>
  <c r="H380" i="4"/>
  <c r="F380" i="4"/>
  <c r="L386" i="4"/>
  <c r="Y386" i="4" s="1"/>
  <c r="D391" i="4"/>
  <c r="M402" i="4"/>
  <c r="W402" i="4" s="1"/>
  <c r="D241" i="4"/>
  <c r="D257" i="4"/>
  <c r="B263" i="4"/>
  <c r="D273" i="4"/>
  <c r="B279" i="4"/>
  <c r="D289" i="4"/>
  <c r="B295" i="4"/>
  <c r="D305" i="4"/>
  <c r="B311" i="4"/>
  <c r="I319" i="4"/>
  <c r="L321" i="4"/>
  <c r="Y321" i="4" s="1"/>
  <c r="B325" i="4"/>
  <c r="K325" i="4"/>
  <c r="V325" i="4" s="1"/>
  <c r="I327" i="4"/>
  <c r="G338" i="4"/>
  <c r="X338" i="4" s="1"/>
  <c r="D340" i="4"/>
  <c r="L341" i="4"/>
  <c r="Y341" i="4" s="1"/>
  <c r="K343" i="4"/>
  <c r="L348" i="4"/>
  <c r="Y348" i="4" s="1"/>
  <c r="J350" i="4"/>
  <c r="Z350" i="4" s="1"/>
  <c r="G350" i="4"/>
  <c r="X350" i="4" s="1"/>
  <c r="D350" i="4"/>
  <c r="B350" i="4"/>
  <c r="N351" i="4"/>
  <c r="AA351" i="4" s="1"/>
  <c r="D352" i="4"/>
  <c r="N352" i="4"/>
  <c r="AA352" i="4" s="1"/>
  <c r="L352" i="4"/>
  <c r="J352" i="4"/>
  <c r="Z352" i="4" s="1"/>
  <c r="H357" i="4"/>
  <c r="F359" i="4"/>
  <c r="V363" i="4"/>
  <c r="L364" i="4"/>
  <c r="Y364" i="4" s="1"/>
  <c r="H366" i="4"/>
  <c r="M368" i="4"/>
  <c r="W368" i="4" s="1"/>
  <c r="D369" i="4"/>
  <c r="M386" i="4"/>
  <c r="W386" i="4" s="1"/>
  <c r="T401" i="4"/>
  <c r="J407" i="4"/>
  <c r="Z407" i="4" s="1"/>
  <c r="I415" i="4"/>
  <c r="M433" i="4"/>
  <c r="W433" i="4" s="1"/>
  <c r="B306" i="4"/>
  <c r="M321" i="4"/>
  <c r="W321" i="4" s="1"/>
  <c r="J327" i="4"/>
  <c r="Z327" i="4" s="1"/>
  <c r="N341" i="4"/>
  <c r="AA341" i="4" s="1"/>
  <c r="B342" i="4"/>
  <c r="L342" i="4"/>
  <c r="Y342" i="4" s="1"/>
  <c r="J342" i="4"/>
  <c r="Z342" i="4" s="1"/>
  <c r="H342" i="4"/>
  <c r="M343" i="4"/>
  <c r="W343" i="4" s="1"/>
  <c r="V345" i="4"/>
  <c r="N348" i="4"/>
  <c r="AA348" i="4" s="1"/>
  <c r="N354" i="4"/>
  <c r="AA354" i="4" s="1"/>
  <c r="K354" i="4"/>
  <c r="V354" i="4" s="1"/>
  <c r="H354" i="4"/>
  <c r="F354" i="4"/>
  <c r="D354" i="4"/>
  <c r="H359" i="4"/>
  <c r="N364" i="4"/>
  <c r="AA364" i="4" s="1"/>
  <c r="I366" i="4"/>
  <c r="G383" i="4"/>
  <c r="X383" i="4" s="1"/>
  <c r="D383" i="4"/>
  <c r="O383" i="4"/>
  <c r="M383" i="4"/>
  <c r="W383" i="4" s="1"/>
  <c r="H383" i="4"/>
  <c r="T385" i="4"/>
  <c r="K407" i="4"/>
  <c r="V443" i="4"/>
  <c r="Y446" i="4"/>
  <c r="V446" i="4"/>
  <c r="N321" i="4"/>
  <c r="AA321" i="4" s="1"/>
  <c r="B324" i="4"/>
  <c r="K327" i="4"/>
  <c r="V327" i="4" s="1"/>
  <c r="V333" i="4"/>
  <c r="N343" i="4"/>
  <c r="AA343" i="4" s="1"/>
  <c r="H356" i="4"/>
  <c r="B356" i="4"/>
  <c r="N356" i="4"/>
  <c r="AA356" i="4" s="1"/>
  <c r="J359" i="4"/>
  <c r="Z359" i="4" s="1"/>
  <c r="L366" i="4"/>
  <c r="Y366" i="4" s="1"/>
  <c r="H404" i="4"/>
  <c r="B404" i="4"/>
  <c r="N404" i="4"/>
  <c r="AA404" i="4" s="1"/>
  <c r="I404" i="4"/>
  <c r="M407" i="4"/>
  <c r="W407" i="4" s="1"/>
  <c r="V415" i="4"/>
  <c r="B312" i="4"/>
  <c r="H324" i="4"/>
  <c r="N324" i="4"/>
  <c r="AA324" i="4" s="1"/>
  <c r="M327" i="4"/>
  <c r="W327" i="4" s="1"/>
  <c r="L344" i="4"/>
  <c r="Y344" i="4" s="1"/>
  <c r="I344" i="4"/>
  <c r="F344" i="4"/>
  <c r="D344" i="4"/>
  <c r="R344" i="4"/>
  <c r="AD344" i="4" s="1"/>
  <c r="B344" i="4"/>
  <c r="K359" i="4"/>
  <c r="M366" i="4"/>
  <c r="W366" i="4" s="1"/>
  <c r="G367" i="4"/>
  <c r="X367" i="4" s="1"/>
  <c r="D367" i="4"/>
  <c r="O367" i="4"/>
  <c r="M367" i="4"/>
  <c r="W367" i="4" s="1"/>
  <c r="H367" i="4"/>
  <c r="B373" i="4"/>
  <c r="O373" i="4"/>
  <c r="N373" i="4"/>
  <c r="AA373" i="4" s="1"/>
  <c r="M373" i="4"/>
  <c r="W373" i="4" s="1"/>
  <c r="K373" i="4"/>
  <c r="V373" i="4" s="1"/>
  <c r="F373" i="4"/>
  <c r="L376" i="4"/>
  <c r="Y376" i="4" s="1"/>
  <c r="I376" i="4"/>
  <c r="F376" i="4"/>
  <c r="D376" i="4"/>
  <c r="B376" i="4"/>
  <c r="M376" i="4"/>
  <c r="W376" i="4" s="1"/>
  <c r="H388" i="4"/>
  <c r="B388" i="4"/>
  <c r="N388" i="4"/>
  <c r="AA388" i="4" s="1"/>
  <c r="I388" i="4"/>
  <c r="G399" i="4"/>
  <c r="X399" i="4" s="1"/>
  <c r="D399" i="4"/>
  <c r="O399" i="4"/>
  <c r="N399" i="4"/>
  <c r="AA399" i="4" s="1"/>
  <c r="M399" i="4"/>
  <c r="W399" i="4" s="1"/>
  <c r="H399" i="4"/>
  <c r="S402" i="4"/>
  <c r="N418" i="4"/>
  <c r="AA418" i="4" s="1"/>
  <c r="M418" i="4"/>
  <c r="W418" i="4" s="1"/>
  <c r="L418" i="4"/>
  <c r="Y418" i="4" s="1"/>
  <c r="K418" i="4"/>
  <c r="I418" i="4"/>
  <c r="H418" i="4"/>
  <c r="G418" i="4"/>
  <c r="X418" i="4" s="1"/>
  <c r="F418" i="4"/>
  <c r="D418" i="4"/>
  <c r="N327" i="4"/>
  <c r="AA327" i="4" s="1"/>
  <c r="B358" i="4"/>
  <c r="L358" i="4"/>
  <c r="Y358" i="4" s="1"/>
  <c r="J358" i="4"/>
  <c r="Z358" i="4" s="1"/>
  <c r="H358" i="4"/>
  <c r="M359" i="4"/>
  <c r="W359" i="4" s="1"/>
  <c r="N366" i="4"/>
  <c r="AA366" i="4" s="1"/>
  <c r="N370" i="4"/>
  <c r="AA370" i="4" s="1"/>
  <c r="K370" i="4"/>
  <c r="H370" i="4"/>
  <c r="G370" i="4"/>
  <c r="X370" i="4" s="1"/>
  <c r="F370" i="4"/>
  <c r="D370" i="4"/>
  <c r="D373" i="4"/>
  <c r="B384" i="4"/>
  <c r="D388" i="4"/>
  <c r="B400" i="4"/>
  <c r="B428" i="4"/>
  <c r="K382" i="4"/>
  <c r="V382" i="4" s="1"/>
  <c r="M392" i="4"/>
  <c r="W392" i="4" s="1"/>
  <c r="K398" i="4"/>
  <c r="V398" i="4" s="1"/>
  <c r="M408" i="4"/>
  <c r="W408" i="4" s="1"/>
  <c r="U416" i="4"/>
  <c r="L419" i="4"/>
  <c r="I420" i="4"/>
  <c r="F421" i="4"/>
  <c r="M424" i="4"/>
  <c r="W424" i="4" s="1"/>
  <c r="U432" i="4"/>
  <c r="M449" i="4"/>
  <c r="W449" i="4" s="1"/>
  <c r="D454" i="4"/>
  <c r="M455" i="4"/>
  <c r="W455" i="4" s="1"/>
  <c r="D465" i="4"/>
  <c r="B434" i="4"/>
  <c r="V445" i="4"/>
  <c r="J467" i="4"/>
  <c r="Z467" i="4" s="1"/>
  <c r="I467" i="4"/>
  <c r="H467" i="4"/>
  <c r="F467" i="4"/>
  <c r="D467" i="4"/>
  <c r="B467" i="4"/>
  <c r="L467" i="4"/>
  <c r="Y467" i="4" s="1"/>
  <c r="S434" i="4"/>
  <c r="M444" i="4"/>
  <c r="W444" i="4" s="1"/>
  <c r="K444" i="4"/>
  <c r="V444" i="4" s="1"/>
  <c r="J444" i="4"/>
  <c r="Z444" i="4" s="1"/>
  <c r="I444" i="4"/>
  <c r="D447" i="4"/>
  <c r="B447" i="4"/>
  <c r="K450" i="4"/>
  <c r="I450" i="4"/>
  <c r="H450" i="4"/>
  <c r="G450" i="4"/>
  <c r="X450" i="4" s="1"/>
  <c r="V451" i="4"/>
  <c r="B453" i="4"/>
  <c r="N453" i="4"/>
  <c r="AA453" i="4" s="1"/>
  <c r="M460" i="4"/>
  <c r="W460" i="4" s="1"/>
  <c r="K460" i="4"/>
  <c r="J460" i="4"/>
  <c r="Z460" i="4" s="1"/>
  <c r="I460" i="4"/>
  <c r="G460" i="4"/>
  <c r="X460" i="4" s="1"/>
  <c r="L330" i="4"/>
  <c r="I331" i="4"/>
  <c r="L346" i="4"/>
  <c r="Y346" i="4" s="1"/>
  <c r="I347" i="4"/>
  <c r="L362" i="4"/>
  <c r="Y362" i="4" s="1"/>
  <c r="I363" i="4"/>
  <c r="H374" i="4"/>
  <c r="L378" i="4"/>
  <c r="Y378" i="4" s="1"/>
  <c r="I379" i="4"/>
  <c r="H390" i="4"/>
  <c r="B392" i="4"/>
  <c r="L394" i="4"/>
  <c r="Y394" i="4" s="1"/>
  <c r="I395" i="4"/>
  <c r="H406" i="4"/>
  <c r="B408" i="4"/>
  <c r="L410" i="4"/>
  <c r="Y410" i="4" s="1"/>
  <c r="J416" i="4"/>
  <c r="Z416" i="4" s="1"/>
  <c r="N420" i="4"/>
  <c r="AA420" i="4" s="1"/>
  <c r="K421" i="4"/>
  <c r="H422" i="4"/>
  <c r="B424" i="4"/>
  <c r="L426" i="4"/>
  <c r="Y426" i="4" s="1"/>
  <c r="J432" i="4"/>
  <c r="Z432" i="4" s="1"/>
  <c r="D434" i="4"/>
  <c r="H435" i="4"/>
  <c r="F435" i="4"/>
  <c r="N438" i="4"/>
  <c r="AA438" i="4" s="1"/>
  <c r="D444" i="4"/>
  <c r="J448" i="4"/>
  <c r="Z448" i="4" s="1"/>
  <c r="D450" i="4"/>
  <c r="D453" i="4"/>
  <c r="I454" i="4"/>
  <c r="I456" i="4"/>
  <c r="G456" i="4"/>
  <c r="X456" i="4" s="1"/>
  <c r="F456" i="4"/>
  <c r="D460" i="4"/>
  <c r="V462" i="4"/>
  <c r="G467" i="4"/>
  <c r="X467" i="4" s="1"/>
  <c r="K416" i="4"/>
  <c r="L421" i="4"/>
  <c r="Y421" i="4" s="1"/>
  <c r="F423" i="4"/>
  <c r="K432" i="4"/>
  <c r="I440" i="4"/>
  <c r="G440" i="4"/>
  <c r="X440" i="4" s="1"/>
  <c r="F440" i="4"/>
  <c r="U440" i="4"/>
  <c r="F447" i="4"/>
  <c r="K448" i="4"/>
  <c r="V448" i="4" s="1"/>
  <c r="K467" i="4"/>
  <c r="V467" i="4" s="1"/>
  <c r="J374" i="4"/>
  <c r="Z374" i="4" s="1"/>
  <c r="B382" i="4"/>
  <c r="J390" i="4"/>
  <c r="Z390" i="4" s="1"/>
  <c r="D392" i="4"/>
  <c r="B398" i="4"/>
  <c r="J406" i="4"/>
  <c r="Z406" i="4" s="1"/>
  <c r="D408" i="4"/>
  <c r="B414" i="4"/>
  <c r="L416" i="4"/>
  <c r="Y416" i="4" s="1"/>
  <c r="M421" i="4"/>
  <c r="W421" i="4" s="1"/>
  <c r="J422" i="4"/>
  <c r="Z422" i="4" s="1"/>
  <c r="G423" i="4"/>
  <c r="X423" i="4" s="1"/>
  <c r="D424" i="4"/>
  <c r="B430" i="4"/>
  <c r="L432" i="4"/>
  <c r="Y432" i="4" s="1"/>
  <c r="F434" i="4"/>
  <c r="D440" i="4"/>
  <c r="F444" i="4"/>
  <c r="G447" i="4"/>
  <c r="X447" i="4" s="1"/>
  <c r="L448" i="4"/>
  <c r="Y448" i="4" s="1"/>
  <c r="F450" i="4"/>
  <c r="F453" i="4"/>
  <c r="F460" i="4"/>
  <c r="L461" i="4"/>
  <c r="Y461" i="4" s="1"/>
  <c r="J461" i="4"/>
  <c r="Z461" i="4" s="1"/>
  <c r="H461" i="4"/>
  <c r="G461" i="4"/>
  <c r="X461" i="4" s="1"/>
  <c r="F461" i="4"/>
  <c r="D461" i="4"/>
  <c r="B461" i="4"/>
  <c r="N461" i="4"/>
  <c r="AA461" i="4" s="1"/>
  <c r="M467" i="4"/>
  <c r="W467" i="4" s="1"/>
  <c r="Y483" i="4"/>
  <c r="V483" i="4"/>
  <c r="M416" i="4"/>
  <c r="W416" i="4" s="1"/>
  <c r="N421" i="4"/>
  <c r="AA421" i="4" s="1"/>
  <c r="H423" i="4"/>
  <c r="M432" i="4"/>
  <c r="W432" i="4" s="1"/>
  <c r="G434" i="4"/>
  <c r="X434" i="4" s="1"/>
  <c r="G444" i="4"/>
  <c r="X444" i="4" s="1"/>
  <c r="H447" i="4"/>
  <c r="J450" i="4"/>
  <c r="Z450" i="4" s="1"/>
  <c r="G453" i="4"/>
  <c r="X453" i="4" s="1"/>
  <c r="V458" i="4"/>
  <c r="H460" i="4"/>
  <c r="N467" i="4"/>
  <c r="AA467" i="4" s="1"/>
  <c r="V472" i="4"/>
  <c r="L374" i="4"/>
  <c r="Y374" i="4" s="1"/>
  <c r="D382" i="4"/>
  <c r="L390" i="4"/>
  <c r="Y390" i="4" s="1"/>
  <c r="F392" i="4"/>
  <c r="D398" i="4"/>
  <c r="L406" i="4"/>
  <c r="F408" i="4"/>
  <c r="M411" i="4"/>
  <c r="W411" i="4" s="1"/>
  <c r="G413" i="4"/>
  <c r="X413" i="4" s="1"/>
  <c r="D414" i="4"/>
  <c r="N416" i="4"/>
  <c r="AA416" i="4" s="1"/>
  <c r="B420" i="4"/>
  <c r="O421" i="4"/>
  <c r="L422" i="4"/>
  <c r="I423" i="4"/>
  <c r="F424" i="4"/>
  <c r="G429" i="4"/>
  <c r="X429" i="4" s="1"/>
  <c r="D430" i="4"/>
  <c r="N432" i="4"/>
  <c r="AA432" i="4" s="1"/>
  <c r="H434" i="4"/>
  <c r="I435" i="4"/>
  <c r="L439" i="4"/>
  <c r="Y439" i="4" s="1"/>
  <c r="J439" i="4"/>
  <c r="Z439" i="4" s="1"/>
  <c r="I439" i="4"/>
  <c r="H440" i="4"/>
  <c r="N443" i="4"/>
  <c r="AA443" i="4" s="1"/>
  <c r="M443" i="4"/>
  <c r="W443" i="4" s="1"/>
  <c r="L443" i="4"/>
  <c r="Y443" i="4" s="1"/>
  <c r="H444" i="4"/>
  <c r="I447" i="4"/>
  <c r="N449" i="4"/>
  <c r="AA449" i="4" s="1"/>
  <c r="L449" i="4"/>
  <c r="Y449" i="4" s="1"/>
  <c r="K449" i="4"/>
  <c r="V449" i="4" s="1"/>
  <c r="J449" i="4"/>
  <c r="Z449" i="4" s="1"/>
  <c r="L450" i="4"/>
  <c r="Y450" i="4" s="1"/>
  <c r="H453" i="4"/>
  <c r="L460" i="4"/>
  <c r="Y460" i="4" s="1"/>
  <c r="I461" i="4"/>
  <c r="J423" i="4"/>
  <c r="Z423" i="4" s="1"/>
  <c r="I434" i="4"/>
  <c r="V441" i="4"/>
  <c r="L444" i="4"/>
  <c r="Y444" i="4" s="1"/>
  <c r="J447" i="4"/>
  <c r="Z447" i="4" s="1"/>
  <c r="M450" i="4"/>
  <c r="W450" i="4" s="1"/>
  <c r="I453" i="4"/>
  <c r="L455" i="4"/>
  <c r="Y455" i="4" s="1"/>
  <c r="J455" i="4"/>
  <c r="Z455" i="4" s="1"/>
  <c r="I455" i="4"/>
  <c r="H455" i="4"/>
  <c r="V456" i="4"/>
  <c r="N460" i="4"/>
  <c r="AA460" i="4" s="1"/>
  <c r="N471" i="4"/>
  <c r="AA471" i="4" s="1"/>
  <c r="M471" i="4"/>
  <c r="W471" i="4" s="1"/>
  <c r="L471" i="4"/>
  <c r="Y471" i="4" s="1"/>
  <c r="J471" i="4"/>
  <c r="Z471" i="4" s="1"/>
  <c r="I471" i="4"/>
  <c r="H471" i="4"/>
  <c r="G471" i="4"/>
  <c r="X471" i="4" s="1"/>
  <c r="F471" i="4"/>
  <c r="D471" i="4"/>
  <c r="V481" i="4"/>
  <c r="F329" i="4"/>
  <c r="H339" i="4"/>
  <c r="F345" i="4"/>
  <c r="H355" i="4"/>
  <c r="H371" i="4"/>
  <c r="G382" i="4"/>
  <c r="X382" i="4" s="1"/>
  <c r="H387" i="4"/>
  <c r="I392" i="4"/>
  <c r="G398" i="4"/>
  <c r="X398" i="4" s="1"/>
  <c r="H403" i="4"/>
  <c r="I408" i="4"/>
  <c r="G414" i="4"/>
  <c r="X414" i="4" s="1"/>
  <c r="H419" i="4"/>
  <c r="B421" i="4"/>
  <c r="L423" i="4"/>
  <c r="I424" i="4"/>
  <c r="G430" i="4"/>
  <c r="X430" i="4" s="1"/>
  <c r="K434" i="4"/>
  <c r="M438" i="4"/>
  <c r="W438" i="4" s="1"/>
  <c r="L438" i="4"/>
  <c r="L440" i="4"/>
  <c r="Y440" i="4" s="1"/>
  <c r="L447" i="4"/>
  <c r="Y447" i="4" s="1"/>
  <c r="K453" i="4"/>
  <c r="M456" i="4"/>
  <c r="W456" i="4" s="1"/>
  <c r="F463" i="4"/>
  <c r="D463" i="4"/>
  <c r="B463" i="4"/>
  <c r="N463" i="4"/>
  <c r="AA463" i="4" s="1"/>
  <c r="L463" i="4"/>
  <c r="Y463" i="4" s="1"/>
  <c r="H463" i="4"/>
  <c r="K471" i="4"/>
  <c r="V471" i="4" s="1"/>
  <c r="B416" i="4"/>
  <c r="M423" i="4"/>
  <c r="W423" i="4" s="1"/>
  <c r="B432" i="4"/>
  <c r="L434" i="4"/>
  <c r="Y434" i="4" s="1"/>
  <c r="M447" i="4"/>
  <c r="W447" i="4" s="1"/>
  <c r="L453" i="4"/>
  <c r="Y453" i="4" s="1"/>
  <c r="F455" i="4"/>
  <c r="G484" i="4"/>
  <c r="X484" i="4" s="1"/>
  <c r="N484" i="4"/>
  <c r="AA484" i="4" s="1"/>
  <c r="M484" i="4"/>
  <c r="W484" i="4" s="1"/>
  <c r="L484" i="4"/>
  <c r="Y484" i="4" s="1"/>
  <c r="K484" i="4"/>
  <c r="J484" i="4"/>
  <c r="Z484" i="4" s="1"/>
  <c r="I484" i="4"/>
  <c r="H484" i="4"/>
  <c r="F484" i="4"/>
  <c r="D484" i="4"/>
  <c r="B484" i="4"/>
  <c r="G420" i="4"/>
  <c r="X420" i="4" s="1"/>
  <c r="D421" i="4"/>
  <c r="N423" i="4"/>
  <c r="AA423" i="4" s="1"/>
  <c r="M434" i="4"/>
  <c r="W434" i="4" s="1"/>
  <c r="N447" i="4"/>
  <c r="AA447" i="4" s="1"/>
  <c r="N448" i="4"/>
  <c r="AA448" i="4" s="1"/>
  <c r="M448" i="4"/>
  <c r="W448" i="4" s="1"/>
  <c r="M453" i="4"/>
  <c r="W453" i="4" s="1"/>
  <c r="G455" i="4"/>
  <c r="X455" i="4" s="1"/>
  <c r="B374" i="4"/>
  <c r="B390" i="4"/>
  <c r="B406" i="4"/>
  <c r="D416" i="4"/>
  <c r="B422" i="4"/>
  <c r="D432" i="4"/>
  <c r="B437" i="4"/>
  <c r="O437" i="4"/>
  <c r="F438" i="4"/>
  <c r="K439" i="4"/>
  <c r="V439" i="4" s="1"/>
  <c r="I443" i="4"/>
  <c r="J445" i="4"/>
  <c r="Z445" i="4" s="1"/>
  <c r="H445" i="4"/>
  <c r="G445" i="4"/>
  <c r="X445" i="4" s="1"/>
  <c r="F445" i="4"/>
  <c r="D448" i="4"/>
  <c r="I449" i="4"/>
  <c r="H451" i="4"/>
  <c r="F451" i="4"/>
  <c r="D451" i="4"/>
  <c r="M454" i="4"/>
  <c r="W454" i="4" s="1"/>
  <c r="L454" i="4"/>
  <c r="Y454" i="4" s="1"/>
  <c r="K454" i="4"/>
  <c r="K455" i="4"/>
  <c r="V455" i="4" s="1"/>
  <c r="N465" i="4"/>
  <c r="AA465" i="4" s="1"/>
  <c r="L465" i="4"/>
  <c r="Y465" i="4" s="1"/>
  <c r="K465" i="4"/>
  <c r="J465" i="4"/>
  <c r="Z465" i="4" s="1"/>
  <c r="H465" i="4"/>
  <c r="F465" i="4"/>
  <c r="B465" i="4"/>
  <c r="N490" i="4"/>
  <c r="AA490" i="4" s="1"/>
  <c r="L490" i="4"/>
  <c r="Y490" i="4" s="1"/>
  <c r="B490" i="4"/>
  <c r="H508" i="4"/>
  <c r="F508" i="4"/>
  <c r="N508" i="4"/>
  <c r="AA508" i="4" s="1"/>
  <c r="G508" i="4"/>
  <c r="X508" i="4" s="1"/>
  <c r="J510" i="4"/>
  <c r="Z510" i="4" s="1"/>
  <c r="I510" i="4"/>
  <c r="B510" i="4"/>
  <c r="D510" i="4"/>
  <c r="G540" i="4"/>
  <c r="X540" i="4" s="1"/>
  <c r="F469" i="4"/>
  <c r="M472" i="4"/>
  <c r="W472" i="4" s="1"/>
  <c r="F481" i="4"/>
  <c r="V482" i="4"/>
  <c r="F485" i="4"/>
  <c r="F488" i="4"/>
  <c r="N489" i="4"/>
  <c r="AA489" i="4" s="1"/>
  <c r="D490" i="4"/>
  <c r="Y493" i="4"/>
  <c r="D508" i="4"/>
  <c r="H532" i="4"/>
  <c r="G532" i="4"/>
  <c r="X532" i="4" s="1"/>
  <c r="N532" i="4"/>
  <c r="AA532" i="4" s="1"/>
  <c r="D532" i="4"/>
  <c r="B532" i="4"/>
  <c r="M532" i="4"/>
  <c r="W532" i="4" s="1"/>
  <c r="L532" i="4"/>
  <c r="Y532" i="4" s="1"/>
  <c r="I540" i="4"/>
  <c r="F495" i="4"/>
  <c r="M495" i="4"/>
  <c r="W495" i="4" s="1"/>
  <c r="F510" i="4"/>
  <c r="V513" i="4"/>
  <c r="J540" i="4"/>
  <c r="Z540" i="4" s="1"/>
  <c r="F479" i="4"/>
  <c r="M479" i="4"/>
  <c r="W479" i="4" s="1"/>
  <c r="H485" i="4"/>
  <c r="H488" i="4"/>
  <c r="F490" i="4"/>
  <c r="D495" i="4"/>
  <c r="D501" i="4"/>
  <c r="M501" i="4"/>
  <c r="W501" i="4" s="1"/>
  <c r="K501" i="4"/>
  <c r="V501" i="4" s="1"/>
  <c r="I501" i="4"/>
  <c r="H501" i="4"/>
  <c r="N505" i="4"/>
  <c r="AA505" i="4" s="1"/>
  <c r="I508" i="4"/>
  <c r="G510" i="4"/>
  <c r="X510" i="4" s="1"/>
  <c r="F532" i="4"/>
  <c r="D533" i="4"/>
  <c r="M533" i="4"/>
  <c r="W533" i="4" s="1"/>
  <c r="K533" i="4"/>
  <c r="V533" i="4" s="1"/>
  <c r="J533" i="4"/>
  <c r="Z533" i="4" s="1"/>
  <c r="H533" i="4"/>
  <c r="G533" i="4"/>
  <c r="X533" i="4" s="1"/>
  <c r="F533" i="4"/>
  <c r="B534" i="4"/>
  <c r="J534" i="4"/>
  <c r="Z534" i="4" s="1"/>
  <c r="H534" i="4"/>
  <c r="N534" i="4"/>
  <c r="AA534" i="4" s="1"/>
  <c r="M534" i="4"/>
  <c r="W534" i="4" s="1"/>
  <c r="F534" i="4"/>
  <c r="K540" i="4"/>
  <c r="G543" i="4"/>
  <c r="X543" i="4" s="1"/>
  <c r="F543" i="4"/>
  <c r="M543" i="4"/>
  <c r="W543" i="4" s="1"/>
  <c r="N543" i="4"/>
  <c r="AA543" i="4" s="1"/>
  <c r="K543" i="4"/>
  <c r="V543" i="4" s="1"/>
  <c r="J543" i="4"/>
  <c r="Z543" i="4" s="1"/>
  <c r="I543" i="4"/>
  <c r="B543" i="4"/>
  <c r="J508" i="4"/>
  <c r="Z508" i="4" s="1"/>
  <c r="H510" i="4"/>
  <c r="I532" i="4"/>
  <c r="N535" i="4"/>
  <c r="AA535" i="4" s="1"/>
  <c r="G535" i="4"/>
  <c r="X535" i="4" s="1"/>
  <c r="D535" i="4"/>
  <c r="B535" i="4"/>
  <c r="L535" i="4"/>
  <c r="Y535" i="4" s="1"/>
  <c r="K535" i="4"/>
  <c r="V545" i="4"/>
  <c r="I464" i="4"/>
  <c r="J469" i="4"/>
  <c r="Z469" i="4" s="1"/>
  <c r="G470" i="4"/>
  <c r="X470" i="4" s="1"/>
  <c r="L481" i="4"/>
  <c r="Y481" i="4" s="1"/>
  <c r="J485" i="4"/>
  <c r="Z485" i="4" s="1"/>
  <c r="N487" i="4"/>
  <c r="AA487" i="4" s="1"/>
  <c r="G487" i="4"/>
  <c r="X487" i="4" s="1"/>
  <c r="H487" i="4"/>
  <c r="J488" i="4"/>
  <c r="Z488" i="4" s="1"/>
  <c r="H490" i="4"/>
  <c r="H492" i="4"/>
  <c r="F492" i="4"/>
  <c r="J492" i="4"/>
  <c r="Z492" i="4" s="1"/>
  <c r="I492" i="4"/>
  <c r="G495" i="4"/>
  <c r="X495" i="4" s="1"/>
  <c r="V503" i="4"/>
  <c r="K508" i="4"/>
  <c r="K510" i="4"/>
  <c r="V510" i="4" s="1"/>
  <c r="H524" i="4"/>
  <c r="F524" i="4"/>
  <c r="N524" i="4"/>
  <c r="AA524" i="4" s="1"/>
  <c r="M524" i="4"/>
  <c r="W524" i="4" s="1"/>
  <c r="G524" i="4"/>
  <c r="X524" i="4" s="1"/>
  <c r="I497" i="4"/>
  <c r="G497" i="4"/>
  <c r="X497" i="4" s="1"/>
  <c r="H497" i="4"/>
  <c r="F497" i="4"/>
  <c r="L504" i="4"/>
  <c r="Y504" i="4" s="1"/>
  <c r="K504" i="4"/>
  <c r="D504" i="4"/>
  <c r="B504" i="4"/>
  <c r="I504" i="4"/>
  <c r="H504" i="4"/>
  <c r="L508" i="4"/>
  <c r="Y508" i="4" s="1"/>
  <c r="L510" i="4"/>
  <c r="Y510" i="4" s="1"/>
  <c r="D524" i="4"/>
  <c r="L536" i="4"/>
  <c r="Y536" i="4" s="1"/>
  <c r="K536" i="4"/>
  <c r="V536" i="4" s="1"/>
  <c r="D536" i="4"/>
  <c r="B536" i="4"/>
  <c r="J536" i="4"/>
  <c r="Z536" i="4" s="1"/>
  <c r="H536" i="4"/>
  <c r="G536" i="4"/>
  <c r="X536" i="4" s="1"/>
  <c r="F536" i="4"/>
  <c r="I537" i="4"/>
  <c r="H537" i="4"/>
  <c r="N537" i="4"/>
  <c r="AA537" i="4" s="1"/>
  <c r="M537" i="4"/>
  <c r="W537" i="4" s="1"/>
  <c r="F537" i="4"/>
  <c r="L469" i="4"/>
  <c r="Y469" i="4" s="1"/>
  <c r="H479" i="4"/>
  <c r="N481" i="4"/>
  <c r="AA481" i="4" s="1"/>
  <c r="H489" i="4"/>
  <c r="J490" i="4"/>
  <c r="Z490" i="4" s="1"/>
  <c r="I495" i="4"/>
  <c r="D497" i="4"/>
  <c r="D517" i="4"/>
  <c r="M517" i="4"/>
  <c r="W517" i="4" s="1"/>
  <c r="K517" i="4"/>
  <c r="V517" i="4" s="1"/>
  <c r="L517" i="4"/>
  <c r="Y517" i="4" s="1"/>
  <c r="I517" i="4"/>
  <c r="H517" i="4"/>
  <c r="G517" i="4"/>
  <c r="X517" i="4" s="1"/>
  <c r="B518" i="4"/>
  <c r="J518" i="4"/>
  <c r="Z518" i="4" s="1"/>
  <c r="H518" i="4"/>
  <c r="N518" i="4"/>
  <c r="AA518" i="4" s="1"/>
  <c r="G518" i="4"/>
  <c r="X518" i="4" s="1"/>
  <c r="F518" i="4"/>
  <c r="F538" i="4"/>
  <c r="N538" i="4"/>
  <c r="AA538" i="4" s="1"/>
  <c r="L538" i="4"/>
  <c r="Y538" i="4" s="1"/>
  <c r="D538" i="4"/>
  <c r="B538" i="4"/>
  <c r="M538" i="4"/>
  <c r="W538" i="4" s="1"/>
  <c r="K538" i="4"/>
  <c r="I479" i="4"/>
  <c r="K490" i="4"/>
  <c r="V490" i="4" s="1"/>
  <c r="J495" i="4"/>
  <c r="Z495" i="4" s="1"/>
  <c r="B502" i="4"/>
  <c r="J502" i="4"/>
  <c r="Z502" i="4" s="1"/>
  <c r="H502" i="4"/>
  <c r="G502" i="4"/>
  <c r="X502" i="4" s="1"/>
  <c r="F504" i="4"/>
  <c r="N510" i="4"/>
  <c r="AA510" i="4" s="1"/>
  <c r="D518" i="4"/>
  <c r="I524" i="4"/>
  <c r="I536" i="4"/>
  <c r="M464" i="4"/>
  <c r="W464" i="4" s="1"/>
  <c r="G466" i="4"/>
  <c r="X466" i="4" s="1"/>
  <c r="N469" i="4"/>
  <c r="AA469" i="4" s="1"/>
  <c r="K470" i="4"/>
  <c r="J479" i="4"/>
  <c r="Z479" i="4" s="1"/>
  <c r="I487" i="4"/>
  <c r="M490" i="4"/>
  <c r="W490" i="4" s="1"/>
  <c r="K492" i="4"/>
  <c r="I494" i="4"/>
  <c r="B494" i="4"/>
  <c r="N494" i="4"/>
  <c r="AA494" i="4" s="1"/>
  <c r="K495" i="4"/>
  <c r="J497" i="4"/>
  <c r="Z497" i="4" s="1"/>
  <c r="D502" i="4"/>
  <c r="G504" i="4"/>
  <c r="X504" i="4" s="1"/>
  <c r="F517" i="4"/>
  <c r="J524" i="4"/>
  <c r="Z524" i="4" s="1"/>
  <c r="L534" i="4"/>
  <c r="J535" i="4"/>
  <c r="Z535" i="4" s="1"/>
  <c r="M536" i="4"/>
  <c r="W536" i="4" s="1"/>
  <c r="G537" i="4"/>
  <c r="X537" i="4" s="1"/>
  <c r="G538" i="4"/>
  <c r="X538" i="4" s="1"/>
  <c r="V542" i="4"/>
  <c r="P665" i="4"/>
  <c r="AB665" i="4" s="1"/>
  <c r="AJ665" i="4"/>
  <c r="B436" i="4"/>
  <c r="D446" i="4"/>
  <c r="B452" i="4"/>
  <c r="D462" i="4"/>
  <c r="N464" i="4"/>
  <c r="AA464" i="4" s="1"/>
  <c r="H466" i="4"/>
  <c r="B468" i="4"/>
  <c r="L470" i="4"/>
  <c r="Y470" i="4" s="1"/>
  <c r="F472" i="4"/>
  <c r="K479" i="4"/>
  <c r="J486" i="4"/>
  <c r="H486" i="4"/>
  <c r="D486" i="4"/>
  <c r="J487" i="4"/>
  <c r="Z487" i="4" s="1"/>
  <c r="F489" i="4"/>
  <c r="L492" i="4"/>
  <c r="Y492" i="4" s="1"/>
  <c r="D494" i="4"/>
  <c r="L495" i="4"/>
  <c r="Y495" i="4" s="1"/>
  <c r="K497" i="4"/>
  <c r="J504" i="4"/>
  <c r="Z504" i="4" s="1"/>
  <c r="N514" i="4"/>
  <c r="AA514" i="4" s="1"/>
  <c r="M514" i="4"/>
  <c r="W514" i="4" s="1"/>
  <c r="F514" i="4"/>
  <c r="D514" i="4"/>
  <c r="L514" i="4"/>
  <c r="Y514" i="4" s="1"/>
  <c r="K514" i="4"/>
  <c r="J514" i="4"/>
  <c r="Z514" i="4" s="1"/>
  <c r="B514" i="4"/>
  <c r="V516" i="4"/>
  <c r="J517" i="4"/>
  <c r="Z517" i="4" s="1"/>
  <c r="I518" i="4"/>
  <c r="K524" i="4"/>
  <c r="V531" i="4"/>
  <c r="M535" i="4"/>
  <c r="W535" i="4" s="1"/>
  <c r="N536" i="4"/>
  <c r="AA536" i="4" s="1"/>
  <c r="J537" i="4"/>
  <c r="Z537" i="4" s="1"/>
  <c r="H538" i="4"/>
  <c r="AE615" i="4"/>
  <c r="I466" i="4"/>
  <c r="M470" i="4"/>
  <c r="W470" i="4" s="1"/>
  <c r="G472" i="4"/>
  <c r="X472" i="4" s="1"/>
  <c r="L479" i="4"/>
  <c r="Y479" i="4" s="1"/>
  <c r="M482" i="4"/>
  <c r="W482" i="4" s="1"/>
  <c r="F482" i="4"/>
  <c r="D482" i="4"/>
  <c r="K487" i="4"/>
  <c r="G489" i="4"/>
  <c r="X489" i="4" s="1"/>
  <c r="B491" i="4"/>
  <c r="K491" i="4"/>
  <c r="V491" i="4" s="1"/>
  <c r="I491" i="4"/>
  <c r="D491" i="4"/>
  <c r="M492" i="4"/>
  <c r="W492" i="4" s="1"/>
  <c r="N495" i="4"/>
  <c r="AA495" i="4" s="1"/>
  <c r="L497" i="4"/>
  <c r="Y497" i="4" s="1"/>
  <c r="F502" i="4"/>
  <c r="M504" i="4"/>
  <c r="W504" i="4" s="1"/>
  <c r="I505" i="4"/>
  <c r="H505" i="4"/>
  <c r="G505" i="4"/>
  <c r="X505" i="4" s="1"/>
  <c r="N517" i="4"/>
  <c r="AA517" i="4" s="1"/>
  <c r="K518" i="4"/>
  <c r="L524" i="4"/>
  <c r="Y524" i="4" s="1"/>
  <c r="N530" i="4"/>
  <c r="AA530" i="4" s="1"/>
  <c r="M530" i="4"/>
  <c r="W530" i="4" s="1"/>
  <c r="F530" i="4"/>
  <c r="D530" i="4"/>
  <c r="K530" i="4"/>
  <c r="V530" i="4" s="1"/>
  <c r="J530" i="4"/>
  <c r="Z530" i="4" s="1"/>
  <c r="I530" i="4"/>
  <c r="B530" i="4"/>
  <c r="K537" i="4"/>
  <c r="V537" i="4" s="1"/>
  <c r="I538" i="4"/>
  <c r="N546" i="4"/>
  <c r="AA546" i="4" s="1"/>
  <c r="M546" i="4"/>
  <c r="W546" i="4" s="1"/>
  <c r="F546" i="4"/>
  <c r="D546" i="4"/>
  <c r="L546" i="4"/>
  <c r="Y546" i="4" s="1"/>
  <c r="J546" i="4"/>
  <c r="Z546" i="4" s="1"/>
  <c r="I546" i="4"/>
  <c r="H546" i="4"/>
  <c r="G546" i="4"/>
  <c r="X546" i="4" s="1"/>
  <c r="B546" i="4"/>
  <c r="F486" i="4"/>
  <c r="L487" i="4"/>
  <c r="Y487" i="4" s="1"/>
  <c r="I489" i="4"/>
  <c r="N492" i="4"/>
  <c r="AA492" i="4" s="1"/>
  <c r="F494" i="4"/>
  <c r="M497" i="4"/>
  <c r="W497" i="4" s="1"/>
  <c r="I502" i="4"/>
  <c r="N504" i="4"/>
  <c r="AA504" i="4" s="1"/>
  <c r="D505" i="4"/>
  <c r="L518" i="4"/>
  <c r="Y518" i="4" s="1"/>
  <c r="L520" i="4"/>
  <c r="Y520" i="4" s="1"/>
  <c r="K520" i="4"/>
  <c r="D520" i="4"/>
  <c r="B520" i="4"/>
  <c r="M520" i="4"/>
  <c r="W520" i="4" s="1"/>
  <c r="I520" i="4"/>
  <c r="H520" i="4"/>
  <c r="G520" i="4"/>
  <c r="X520" i="4" s="1"/>
  <c r="I521" i="4"/>
  <c r="H521" i="4"/>
  <c r="N521" i="4"/>
  <c r="AA521" i="4" s="1"/>
  <c r="G521" i="4"/>
  <c r="X521" i="4" s="1"/>
  <c r="F521" i="4"/>
  <c r="L537" i="4"/>
  <c r="Y537" i="4" s="1"/>
  <c r="J538" i="4"/>
  <c r="Z538" i="4" s="1"/>
  <c r="H580" i="4"/>
  <c r="G580" i="4"/>
  <c r="X580" i="4" s="1"/>
  <c r="D580" i="4"/>
  <c r="N580" i="4"/>
  <c r="AA580" i="4" s="1"/>
  <c r="L580" i="4"/>
  <c r="Y580" i="4" s="1"/>
  <c r="K580" i="4"/>
  <c r="J580" i="4"/>
  <c r="Z580" i="4" s="1"/>
  <c r="I580" i="4"/>
  <c r="F580" i="4"/>
  <c r="B580" i="4"/>
  <c r="B469" i="4"/>
  <c r="I472" i="4"/>
  <c r="B475" i="4"/>
  <c r="K475" i="4"/>
  <c r="V475" i="4" s="1"/>
  <c r="B481" i="4"/>
  <c r="G482" i="4"/>
  <c r="X482" i="4" s="1"/>
  <c r="G486" i="4"/>
  <c r="X486" i="4" s="1"/>
  <c r="M487" i="4"/>
  <c r="W487" i="4" s="1"/>
  <c r="J489" i="4"/>
  <c r="Z489" i="4" s="1"/>
  <c r="F491" i="4"/>
  <c r="G494" i="4"/>
  <c r="X494" i="4" s="1"/>
  <c r="N497" i="4"/>
  <c r="AA497" i="4" s="1"/>
  <c r="K502" i="4"/>
  <c r="V502" i="4" s="1"/>
  <c r="M518" i="4"/>
  <c r="W518" i="4" s="1"/>
  <c r="D521" i="4"/>
  <c r="V529" i="4"/>
  <c r="G530" i="4"/>
  <c r="X530" i="4" s="1"/>
  <c r="K546" i="4"/>
  <c r="I481" i="4"/>
  <c r="G481" i="4"/>
  <c r="X481" i="4" s="1"/>
  <c r="K489" i="4"/>
  <c r="V489" i="4" s="1"/>
  <c r="L502" i="4"/>
  <c r="Y502" i="4" s="1"/>
  <c r="H540" i="4"/>
  <c r="F540" i="4"/>
  <c r="N540" i="4"/>
  <c r="AA540" i="4" s="1"/>
  <c r="M540" i="4"/>
  <c r="W540" i="4" s="1"/>
  <c r="L540" i="4"/>
  <c r="Y540" i="4" s="1"/>
  <c r="D540" i="4"/>
  <c r="Y563" i="4"/>
  <c r="V563" i="4"/>
  <c r="D469" i="4"/>
  <c r="D481" i="4"/>
  <c r="D485" i="4"/>
  <c r="M485" i="4"/>
  <c r="W485" i="4" s="1"/>
  <c r="K485" i="4"/>
  <c r="V485" i="4" s="1"/>
  <c r="K488" i="4"/>
  <c r="V488" i="4" s="1"/>
  <c r="D488" i="4"/>
  <c r="B488" i="4"/>
  <c r="M488" i="4"/>
  <c r="W488" i="4" s="1"/>
  <c r="L488" i="4"/>
  <c r="Y488" i="4" s="1"/>
  <c r="L489" i="4"/>
  <c r="Y489" i="4" s="1"/>
  <c r="M502" i="4"/>
  <c r="W502" i="4" s="1"/>
  <c r="N549" i="4"/>
  <c r="AA549" i="4" s="1"/>
  <c r="N552" i="4"/>
  <c r="AA552" i="4" s="1"/>
  <c r="D590" i="4"/>
  <c r="V598" i="4"/>
  <c r="B604" i="4"/>
  <c r="N604" i="4"/>
  <c r="AA604" i="4" s="1"/>
  <c r="M604" i="4"/>
  <c r="W604" i="4" s="1"/>
  <c r="J604" i="4"/>
  <c r="Z604" i="4" s="1"/>
  <c r="H604" i="4"/>
  <c r="F604" i="4"/>
  <c r="H609" i="4"/>
  <c r="B609" i="4"/>
  <c r="J609" i="4"/>
  <c r="Z609" i="4" s="1"/>
  <c r="I609" i="4"/>
  <c r="F609" i="4"/>
  <c r="D609" i="4"/>
  <c r="N609" i="4"/>
  <c r="AA609" i="4" s="1"/>
  <c r="L609" i="4"/>
  <c r="Y609" i="4" s="1"/>
  <c r="V610" i="4"/>
  <c r="Q615" i="4"/>
  <c r="AC615" i="4" s="1"/>
  <c r="F623" i="4"/>
  <c r="H625" i="4"/>
  <c r="Q625" i="4"/>
  <c r="AC625" i="4" s="1"/>
  <c r="O625" i="4"/>
  <c r="D625" i="4"/>
  <c r="U625" i="4"/>
  <c r="B625" i="4"/>
  <c r="R625" i="4"/>
  <c r="AD625" i="4" s="1"/>
  <c r="M625" i="4"/>
  <c r="W625" i="4" s="1"/>
  <c r="L625" i="4"/>
  <c r="Y625" i="4" s="1"/>
  <c r="K625" i="4"/>
  <c r="I625" i="4"/>
  <c r="G625" i="4"/>
  <c r="X625" i="4" s="1"/>
  <c r="F625" i="4"/>
  <c r="T625" i="4"/>
  <c r="S625" i="4"/>
  <c r="AE644" i="4"/>
  <c r="H648" i="4"/>
  <c r="AE662" i="4"/>
  <c r="R686" i="4"/>
  <c r="AD686" i="4" s="1"/>
  <c r="B686" i="4"/>
  <c r="Q686" i="4"/>
  <c r="AC686" i="4" s="1"/>
  <c r="K686" i="4"/>
  <c r="J686" i="4"/>
  <c r="Z686" i="4" s="1"/>
  <c r="I686" i="4"/>
  <c r="H686" i="4"/>
  <c r="F686" i="4"/>
  <c r="D686" i="4"/>
  <c r="U686" i="4"/>
  <c r="T686" i="4"/>
  <c r="S686" i="4"/>
  <c r="M686" i="4"/>
  <c r="W686" i="4" s="1"/>
  <c r="L686" i="4"/>
  <c r="Y686" i="4" s="1"/>
  <c r="O686" i="4"/>
  <c r="N686" i="4"/>
  <c r="AA686" i="4" s="1"/>
  <c r="G686" i="4"/>
  <c r="X686" i="4" s="1"/>
  <c r="D565" i="4"/>
  <c r="B565" i="4"/>
  <c r="M565" i="4"/>
  <c r="W565" i="4" s="1"/>
  <c r="K565" i="4"/>
  <c r="I565" i="4"/>
  <c r="L600" i="4"/>
  <c r="Y600" i="4" s="1"/>
  <c r="K600" i="4"/>
  <c r="I600" i="4"/>
  <c r="H600" i="4"/>
  <c r="G600" i="4"/>
  <c r="X600" i="4" s="1"/>
  <c r="D600" i="4"/>
  <c r="B600" i="4"/>
  <c r="F614" i="4"/>
  <c r="B550" i="4"/>
  <c r="J550" i="4"/>
  <c r="Z550" i="4" s="1"/>
  <c r="H550" i="4"/>
  <c r="I553" i="4"/>
  <c r="H553" i="4"/>
  <c r="J574" i="4"/>
  <c r="Z574" i="4" s="1"/>
  <c r="I574" i="4"/>
  <c r="G574" i="4"/>
  <c r="X574" i="4" s="1"/>
  <c r="F574" i="4"/>
  <c r="B574" i="4"/>
  <c r="N574" i="4"/>
  <c r="AA574" i="4" s="1"/>
  <c r="D608" i="4"/>
  <c r="I608" i="4"/>
  <c r="B608" i="4"/>
  <c r="F608" i="4"/>
  <c r="M608" i="4"/>
  <c r="W608" i="4" s="1"/>
  <c r="K608" i="4"/>
  <c r="V608" i="4" s="1"/>
  <c r="H608" i="4"/>
  <c r="G609" i="4"/>
  <c r="X609" i="4" s="1"/>
  <c r="H614" i="4"/>
  <c r="H618" i="4"/>
  <c r="Q623" i="4"/>
  <c r="AC623" i="4" s="1"/>
  <c r="J625" i="4"/>
  <c r="Z625" i="4" s="1"/>
  <c r="N498" i="4"/>
  <c r="AA498" i="4" s="1"/>
  <c r="M498" i="4"/>
  <c r="W498" i="4" s="1"/>
  <c r="F498" i="4"/>
  <c r="D498" i="4"/>
  <c r="G511" i="4"/>
  <c r="X511" i="4" s="1"/>
  <c r="F511" i="4"/>
  <c r="M511" i="4"/>
  <c r="W511" i="4" s="1"/>
  <c r="M516" i="4"/>
  <c r="W516" i="4" s="1"/>
  <c r="L519" i="4"/>
  <c r="Y519" i="4" s="1"/>
  <c r="M522" i="4"/>
  <c r="W522" i="4" s="1"/>
  <c r="M545" i="4"/>
  <c r="W545" i="4" s="1"/>
  <c r="K548" i="4"/>
  <c r="V548" i="4" s="1"/>
  <c r="D550" i="4"/>
  <c r="J551" i="4"/>
  <c r="D553" i="4"/>
  <c r="K556" i="4"/>
  <c r="J558" i="4"/>
  <c r="I558" i="4"/>
  <c r="F558" i="4"/>
  <c r="B558" i="4"/>
  <c r="I562" i="4"/>
  <c r="F565" i="4"/>
  <c r="J568" i="4"/>
  <c r="Z568" i="4" s="1"/>
  <c r="I569" i="4"/>
  <c r="H569" i="4"/>
  <c r="F569" i="4"/>
  <c r="M569" i="4"/>
  <c r="W569" i="4" s="1"/>
  <c r="D574" i="4"/>
  <c r="N577" i="4"/>
  <c r="AA577" i="4" s="1"/>
  <c r="M577" i="4"/>
  <c r="W577" i="4" s="1"/>
  <c r="I577" i="4"/>
  <c r="G577" i="4"/>
  <c r="X577" i="4" s="1"/>
  <c r="K582" i="4"/>
  <c r="K590" i="4"/>
  <c r="F600" i="4"/>
  <c r="I601" i="4"/>
  <c r="H601" i="4"/>
  <c r="F601" i="4"/>
  <c r="D601" i="4"/>
  <c r="M601" i="4"/>
  <c r="W601" i="4" s="1"/>
  <c r="G604" i="4"/>
  <c r="X604" i="4" s="1"/>
  <c r="K609" i="4"/>
  <c r="L613" i="4"/>
  <c r="Y613" i="4" s="1"/>
  <c r="U613" i="4"/>
  <c r="M613" i="4"/>
  <c r="W613" i="4" s="1"/>
  <c r="J613" i="4"/>
  <c r="Z613" i="4" s="1"/>
  <c r="D613" i="4"/>
  <c r="R613" i="4"/>
  <c r="AD613" i="4" s="1"/>
  <c r="Q613" i="4"/>
  <c r="AC613" i="4" s="1"/>
  <c r="O613" i="4"/>
  <c r="N613" i="4"/>
  <c r="AA613" i="4" s="1"/>
  <c r="K613" i="4"/>
  <c r="V613" i="4" s="1"/>
  <c r="G613" i="4"/>
  <c r="X613" i="4" s="1"/>
  <c r="B613" i="4"/>
  <c r="T613" i="4"/>
  <c r="K614" i="4"/>
  <c r="V614" i="4" s="1"/>
  <c r="K618" i="4"/>
  <c r="S623" i="4"/>
  <c r="N625" i="4"/>
  <c r="AA625" i="4" s="1"/>
  <c r="AI638" i="4"/>
  <c r="F674" i="4"/>
  <c r="U674" i="4"/>
  <c r="O674" i="4"/>
  <c r="N674" i="4"/>
  <c r="AA674" i="4" s="1"/>
  <c r="M674" i="4"/>
  <c r="W674" i="4" s="1"/>
  <c r="L674" i="4"/>
  <c r="Y674" i="4" s="1"/>
  <c r="Q674" i="4"/>
  <c r="AC674" i="4" s="1"/>
  <c r="K674" i="4"/>
  <c r="V674" i="4" s="1"/>
  <c r="I674" i="4"/>
  <c r="H674" i="4"/>
  <c r="G674" i="4"/>
  <c r="X674" i="4" s="1"/>
  <c r="D674" i="4"/>
  <c r="B674" i="4"/>
  <c r="T674" i="4"/>
  <c r="S674" i="4"/>
  <c r="R674" i="4"/>
  <c r="AD674" i="4" s="1"/>
  <c r="G527" i="4"/>
  <c r="X527" i="4" s="1"/>
  <c r="F527" i="4"/>
  <c r="M527" i="4"/>
  <c r="W527" i="4" s="1"/>
  <c r="L562" i="4"/>
  <c r="Y562" i="4" s="1"/>
  <c r="G565" i="4"/>
  <c r="X565" i="4" s="1"/>
  <c r="M568" i="4"/>
  <c r="W568" i="4" s="1"/>
  <c r="M572" i="4"/>
  <c r="W572" i="4" s="1"/>
  <c r="L572" i="4"/>
  <c r="Y572" i="4" s="1"/>
  <c r="H572" i="4"/>
  <c r="F572" i="4"/>
  <c r="D572" i="4"/>
  <c r="L582" i="4"/>
  <c r="Y582" i="4" s="1"/>
  <c r="M588" i="4"/>
  <c r="W588" i="4" s="1"/>
  <c r="L588" i="4"/>
  <c r="Y588" i="4" s="1"/>
  <c r="K588" i="4"/>
  <c r="H588" i="4"/>
  <c r="F588" i="4"/>
  <c r="D588" i="4"/>
  <c r="L590" i="4"/>
  <c r="Y590" i="4" s="1"/>
  <c r="J600" i="4"/>
  <c r="Z600" i="4" s="1"/>
  <c r="I604" i="4"/>
  <c r="G608" i="4"/>
  <c r="X608" i="4" s="1"/>
  <c r="M609" i="4"/>
  <c r="W609" i="4" s="1"/>
  <c r="O614" i="4"/>
  <c r="L618" i="4"/>
  <c r="Y618" i="4" s="1"/>
  <c r="R633" i="4"/>
  <c r="AD633" i="4" s="1"/>
  <c r="M633" i="4"/>
  <c r="W633" i="4" s="1"/>
  <c r="K633" i="4"/>
  <c r="V633" i="4" s="1"/>
  <c r="J633" i="4"/>
  <c r="Z633" i="4" s="1"/>
  <c r="T633" i="4"/>
  <c r="I689" i="4"/>
  <c r="H689" i="4"/>
  <c r="R689" i="4"/>
  <c r="AD689" i="4" s="1"/>
  <c r="B689" i="4"/>
  <c r="Q689" i="4"/>
  <c r="AC689" i="4" s="1"/>
  <c r="O689" i="4"/>
  <c r="T689" i="4"/>
  <c r="S689" i="4"/>
  <c r="N689" i="4"/>
  <c r="AA689" i="4" s="1"/>
  <c r="M689" i="4"/>
  <c r="W689" i="4" s="1"/>
  <c r="L689" i="4"/>
  <c r="Y689" i="4" s="1"/>
  <c r="K689" i="4"/>
  <c r="J689" i="4"/>
  <c r="Z689" i="4" s="1"/>
  <c r="D689" i="4"/>
  <c r="U689" i="4"/>
  <c r="G689" i="4"/>
  <c r="X689" i="4" s="1"/>
  <c r="F689" i="4"/>
  <c r="F550" i="4"/>
  <c r="F553" i="4"/>
  <c r="H565" i="4"/>
  <c r="B566" i="4"/>
  <c r="N566" i="4"/>
  <c r="AA566" i="4" s="1"/>
  <c r="J566" i="4"/>
  <c r="Z566" i="4" s="1"/>
  <c r="H566" i="4"/>
  <c r="F566" i="4"/>
  <c r="N568" i="4"/>
  <c r="AA568" i="4" s="1"/>
  <c r="H574" i="4"/>
  <c r="M582" i="4"/>
  <c r="W582" i="4" s="1"/>
  <c r="M590" i="4"/>
  <c r="W590" i="4" s="1"/>
  <c r="I617" i="4"/>
  <c r="R617" i="4"/>
  <c r="AD617" i="4" s="1"/>
  <c r="O617" i="4"/>
  <c r="H617" i="4"/>
  <c r="K617" i="4"/>
  <c r="J617" i="4"/>
  <c r="Z617" i="4" s="1"/>
  <c r="F617" i="4"/>
  <c r="D617" i="4"/>
  <c r="T617" i="4"/>
  <c r="Q617" i="4"/>
  <c r="AC617" i="4" s="1"/>
  <c r="M617" i="4"/>
  <c r="W617" i="4" s="1"/>
  <c r="AJ619" i="4"/>
  <c r="P619" i="4"/>
  <c r="AB619" i="4" s="1"/>
  <c r="Q622" i="4"/>
  <c r="AC622" i="4" s="1"/>
  <c r="J622" i="4"/>
  <c r="Z622" i="4" s="1"/>
  <c r="H622" i="4"/>
  <c r="L622" i="4"/>
  <c r="Y622" i="4" s="1"/>
  <c r="I622" i="4"/>
  <c r="U622" i="4"/>
  <c r="B622" i="4"/>
  <c r="O622" i="4"/>
  <c r="M622" i="4"/>
  <c r="W622" i="4" s="1"/>
  <c r="K622" i="4"/>
  <c r="G622" i="4"/>
  <c r="X622" i="4" s="1"/>
  <c r="D622" i="4"/>
  <c r="T622" i="4"/>
  <c r="S622" i="4"/>
  <c r="V636" i="4"/>
  <c r="R654" i="4"/>
  <c r="AD654" i="4" s="1"/>
  <c r="B654" i="4"/>
  <c r="Q654" i="4"/>
  <c r="AC654" i="4" s="1"/>
  <c r="J654" i="4"/>
  <c r="Z654" i="4" s="1"/>
  <c r="H654" i="4"/>
  <c r="U654" i="4"/>
  <c r="T654" i="4"/>
  <c r="S654" i="4"/>
  <c r="O654" i="4"/>
  <c r="N654" i="4"/>
  <c r="AA654" i="4" s="1"/>
  <c r="M654" i="4"/>
  <c r="W654" i="4" s="1"/>
  <c r="K654" i="4"/>
  <c r="V654" i="4" s="1"/>
  <c r="G654" i="4"/>
  <c r="X654" i="4" s="1"/>
  <c r="D654" i="4"/>
  <c r="L654" i="4"/>
  <c r="Y654" i="4" s="1"/>
  <c r="I654" i="4"/>
  <c r="F654" i="4"/>
  <c r="O660" i="4"/>
  <c r="H660" i="4"/>
  <c r="F660" i="4"/>
  <c r="T660" i="4"/>
  <c r="S660" i="4"/>
  <c r="R660" i="4"/>
  <c r="AD660" i="4" s="1"/>
  <c r="N660" i="4"/>
  <c r="AA660" i="4" s="1"/>
  <c r="M660" i="4"/>
  <c r="W660" i="4" s="1"/>
  <c r="L660" i="4"/>
  <c r="Y660" i="4" s="1"/>
  <c r="J660" i="4"/>
  <c r="Z660" i="4" s="1"/>
  <c r="G660" i="4"/>
  <c r="X660" i="4" s="1"/>
  <c r="U660" i="4"/>
  <c r="I660" i="4"/>
  <c r="D660" i="4"/>
  <c r="B660" i="4"/>
  <c r="AE684" i="4"/>
  <c r="U642" i="4"/>
  <c r="N642" i="4"/>
  <c r="AA642" i="4" s="1"/>
  <c r="L642" i="4"/>
  <c r="Y642" i="4" s="1"/>
  <c r="J642" i="4"/>
  <c r="Z642" i="4" s="1"/>
  <c r="I642" i="4"/>
  <c r="H642" i="4"/>
  <c r="T642" i="4"/>
  <c r="B642" i="4"/>
  <c r="R642" i="4"/>
  <c r="AD642" i="4" s="1"/>
  <c r="O642" i="4"/>
  <c r="M642" i="4"/>
  <c r="W642" i="4" s="1"/>
  <c r="G642" i="4"/>
  <c r="X642" i="4" s="1"/>
  <c r="F642" i="4"/>
  <c r="S642" i="4"/>
  <c r="Q642" i="4"/>
  <c r="AC642" i="4" s="1"/>
  <c r="I550" i="4"/>
  <c r="J553" i="4"/>
  <c r="Z553" i="4" s="1"/>
  <c r="L565" i="4"/>
  <c r="Y565" i="4" s="1"/>
  <c r="L574" i="4"/>
  <c r="Y574" i="4" s="1"/>
  <c r="L584" i="4"/>
  <c r="Y584" i="4" s="1"/>
  <c r="K584" i="4"/>
  <c r="I584" i="4"/>
  <c r="H584" i="4"/>
  <c r="G584" i="4"/>
  <c r="X584" i="4" s="1"/>
  <c r="D584" i="4"/>
  <c r="B584" i="4"/>
  <c r="V601" i="4"/>
  <c r="G617" i="4"/>
  <c r="X617" i="4" s="1"/>
  <c r="F622" i="4"/>
  <c r="AJ627" i="4"/>
  <c r="AE630" i="4"/>
  <c r="D642" i="4"/>
  <c r="K660" i="4"/>
  <c r="D549" i="4"/>
  <c r="M549" i="4"/>
  <c r="W549" i="4" s="1"/>
  <c r="K549" i="4"/>
  <c r="V549" i="4" s="1"/>
  <c r="K550" i="4"/>
  <c r="L552" i="4"/>
  <c r="Y552" i="4" s="1"/>
  <c r="K552" i="4"/>
  <c r="D552" i="4"/>
  <c r="B552" i="4"/>
  <c r="K553" i="4"/>
  <c r="N565" i="4"/>
  <c r="AA565" i="4" s="1"/>
  <c r="M574" i="4"/>
  <c r="W574" i="4" s="1"/>
  <c r="N578" i="4"/>
  <c r="AA578" i="4" s="1"/>
  <c r="M578" i="4"/>
  <c r="W578" i="4" s="1"/>
  <c r="K578" i="4"/>
  <c r="J578" i="4"/>
  <c r="Z578" i="4" s="1"/>
  <c r="F578" i="4"/>
  <c r="D578" i="4"/>
  <c r="B578" i="4"/>
  <c r="B611" i="4"/>
  <c r="K611" i="4"/>
  <c r="J611" i="4"/>
  <c r="Z611" i="4" s="1"/>
  <c r="H611" i="4"/>
  <c r="M611" i="4"/>
  <c r="W611" i="4" s="1"/>
  <c r="I611" i="4"/>
  <c r="F611" i="4"/>
  <c r="D611" i="4"/>
  <c r="AI616" i="4"/>
  <c r="L617" i="4"/>
  <c r="Y617" i="4" s="1"/>
  <c r="N622" i="4"/>
  <c r="AA622" i="4" s="1"/>
  <c r="AE638" i="4"/>
  <c r="P649" i="4"/>
  <c r="AB649" i="4" s="1"/>
  <c r="AJ649" i="4"/>
  <c r="K498" i="4"/>
  <c r="K511" i="4"/>
  <c r="I513" i="4"/>
  <c r="G513" i="4"/>
  <c r="X513" i="4" s="1"/>
  <c r="J526" i="4"/>
  <c r="I526" i="4"/>
  <c r="B526" i="4"/>
  <c r="J527" i="4"/>
  <c r="Z527" i="4" s="1"/>
  <c r="L550" i="4"/>
  <c r="Y550" i="4" s="1"/>
  <c r="L553" i="4"/>
  <c r="Y553" i="4" s="1"/>
  <c r="I566" i="4"/>
  <c r="K572" i="4"/>
  <c r="K577" i="4"/>
  <c r="F584" i="4"/>
  <c r="I585" i="4"/>
  <c r="H585" i="4"/>
  <c r="F585" i="4"/>
  <c r="D585" i="4"/>
  <c r="M585" i="4"/>
  <c r="W585" i="4" s="1"/>
  <c r="D597" i="4"/>
  <c r="B597" i="4"/>
  <c r="M597" i="4"/>
  <c r="W597" i="4" s="1"/>
  <c r="K597" i="4"/>
  <c r="V597" i="4" s="1"/>
  <c r="I597" i="4"/>
  <c r="N601" i="4"/>
  <c r="AA601" i="4" s="1"/>
  <c r="S613" i="4"/>
  <c r="N617" i="4"/>
  <c r="AA617" i="4" s="1"/>
  <c r="R622" i="4"/>
  <c r="AD622" i="4" s="1"/>
  <c r="G624" i="4"/>
  <c r="X624" i="4" s="1"/>
  <c r="K642" i="4"/>
  <c r="G647" i="4"/>
  <c r="X647" i="4" s="1"/>
  <c r="F647" i="4"/>
  <c r="O647" i="4"/>
  <c r="M647" i="4"/>
  <c r="W647" i="4" s="1"/>
  <c r="N647" i="4"/>
  <c r="AA647" i="4" s="1"/>
  <c r="L647" i="4"/>
  <c r="Y647" i="4" s="1"/>
  <c r="J647" i="4"/>
  <c r="Z647" i="4" s="1"/>
  <c r="I647" i="4"/>
  <c r="H647" i="4"/>
  <c r="D647" i="4"/>
  <c r="B647" i="4"/>
  <c r="U647" i="4"/>
  <c r="T647" i="4"/>
  <c r="R647" i="4"/>
  <c r="AD647" i="4" s="1"/>
  <c r="Q647" i="4"/>
  <c r="AC647" i="4" s="1"/>
  <c r="K647" i="4"/>
  <c r="V647" i="4" s="1"/>
  <c r="L498" i="4"/>
  <c r="Y498" i="4" s="1"/>
  <c r="H500" i="4"/>
  <c r="G500" i="4"/>
  <c r="X500" i="4" s="1"/>
  <c r="N500" i="4"/>
  <c r="AA500" i="4" s="1"/>
  <c r="N503" i="4"/>
  <c r="AA503" i="4" s="1"/>
  <c r="G503" i="4"/>
  <c r="X503" i="4" s="1"/>
  <c r="F506" i="4"/>
  <c r="N506" i="4"/>
  <c r="AA506" i="4" s="1"/>
  <c r="L506" i="4"/>
  <c r="L511" i="4"/>
  <c r="Y511" i="4" s="1"/>
  <c r="D513" i="4"/>
  <c r="D526" i="4"/>
  <c r="K527" i="4"/>
  <c r="I529" i="4"/>
  <c r="G529" i="4"/>
  <c r="X529" i="4" s="1"/>
  <c r="J542" i="4"/>
  <c r="Z542" i="4" s="1"/>
  <c r="I542" i="4"/>
  <c r="B542" i="4"/>
  <c r="F549" i="4"/>
  <c r="M550" i="4"/>
  <c r="W550" i="4" s="1"/>
  <c r="F552" i="4"/>
  <c r="M553" i="4"/>
  <c r="W553" i="4" s="1"/>
  <c r="M558" i="4"/>
  <c r="W558" i="4" s="1"/>
  <c r="N561" i="4"/>
  <c r="AA561" i="4" s="1"/>
  <c r="M561" i="4"/>
  <c r="W561" i="4" s="1"/>
  <c r="I561" i="4"/>
  <c r="G561" i="4"/>
  <c r="X561" i="4" s="1"/>
  <c r="K566" i="4"/>
  <c r="N569" i="4"/>
  <c r="AA569" i="4" s="1"/>
  <c r="N572" i="4"/>
  <c r="AA572" i="4" s="1"/>
  <c r="L577" i="4"/>
  <c r="Y577" i="4" s="1"/>
  <c r="G578" i="4"/>
  <c r="X578" i="4" s="1"/>
  <c r="D581" i="4"/>
  <c r="B581" i="4"/>
  <c r="M581" i="4"/>
  <c r="W581" i="4" s="1"/>
  <c r="K581" i="4"/>
  <c r="V581" i="4" s="1"/>
  <c r="I581" i="4"/>
  <c r="J584" i="4"/>
  <c r="Z584" i="4" s="1"/>
  <c r="N593" i="4"/>
  <c r="AA593" i="4" s="1"/>
  <c r="M593" i="4"/>
  <c r="W593" i="4" s="1"/>
  <c r="L593" i="4"/>
  <c r="I593" i="4"/>
  <c r="G593" i="4"/>
  <c r="X593" i="4" s="1"/>
  <c r="G611" i="4"/>
  <c r="X611" i="4" s="1"/>
  <c r="N616" i="4"/>
  <c r="AA616" i="4" s="1"/>
  <c r="G616" i="4"/>
  <c r="X616" i="4" s="1"/>
  <c r="T616" i="4"/>
  <c r="R616" i="4"/>
  <c r="AD616" i="4" s="1"/>
  <c r="Q616" i="4"/>
  <c r="AC616" i="4" s="1"/>
  <c r="K616" i="4"/>
  <c r="I616" i="4"/>
  <c r="F616" i="4"/>
  <c r="S617" i="4"/>
  <c r="J624" i="4"/>
  <c r="Z624" i="4" s="1"/>
  <c r="V629" i="4"/>
  <c r="Q635" i="4"/>
  <c r="AC635" i="4" s="1"/>
  <c r="T635" i="4"/>
  <c r="O635" i="4"/>
  <c r="L635" i="4"/>
  <c r="Y635" i="4" s="1"/>
  <c r="I635" i="4"/>
  <c r="M635" i="4"/>
  <c r="W635" i="4" s="1"/>
  <c r="H635" i="4"/>
  <c r="G635" i="4"/>
  <c r="X635" i="4" s="1"/>
  <c r="F635" i="4"/>
  <c r="AE643" i="4"/>
  <c r="H516" i="4"/>
  <c r="G516" i="4"/>
  <c r="X516" i="4" s="1"/>
  <c r="N516" i="4"/>
  <c r="AA516" i="4" s="1"/>
  <c r="N519" i="4"/>
  <c r="AA519" i="4" s="1"/>
  <c r="G519" i="4"/>
  <c r="X519" i="4" s="1"/>
  <c r="F522" i="4"/>
  <c r="N522" i="4"/>
  <c r="AA522" i="4" s="1"/>
  <c r="L522" i="4"/>
  <c r="Y522" i="4" s="1"/>
  <c r="L527" i="4"/>
  <c r="Y527" i="4" s="1"/>
  <c r="I545" i="4"/>
  <c r="G545" i="4"/>
  <c r="X545" i="4" s="1"/>
  <c r="G549" i="4"/>
  <c r="X549" i="4" s="1"/>
  <c r="N550" i="4"/>
  <c r="AA550" i="4" s="1"/>
  <c r="G552" i="4"/>
  <c r="X552" i="4" s="1"/>
  <c r="N553" i="4"/>
  <c r="AA553" i="4" s="1"/>
  <c r="F554" i="4"/>
  <c r="B554" i="4"/>
  <c r="N554" i="4"/>
  <c r="AA554" i="4" s="1"/>
  <c r="L554" i="4"/>
  <c r="L566" i="4"/>
  <c r="Y566" i="4" s="1"/>
  <c r="H578" i="4"/>
  <c r="M584" i="4"/>
  <c r="W584" i="4" s="1"/>
  <c r="G585" i="4"/>
  <c r="X585" i="4" s="1"/>
  <c r="D593" i="4"/>
  <c r="F597" i="4"/>
  <c r="B598" i="4"/>
  <c r="N598" i="4"/>
  <c r="AA598" i="4" s="1"/>
  <c r="M598" i="4"/>
  <c r="W598" i="4" s="1"/>
  <c r="J598" i="4"/>
  <c r="Z598" i="4" s="1"/>
  <c r="H598" i="4"/>
  <c r="F598" i="4"/>
  <c r="L611" i="4"/>
  <c r="Y611" i="4" s="1"/>
  <c r="U617" i="4"/>
  <c r="J632" i="4"/>
  <c r="Z632" i="4" s="1"/>
  <c r="I632" i="4"/>
  <c r="G632" i="4"/>
  <c r="X632" i="4" s="1"/>
  <c r="T632" i="4"/>
  <c r="Q632" i="4"/>
  <c r="AC632" i="4" s="1"/>
  <c r="R632" i="4"/>
  <c r="AD632" i="4" s="1"/>
  <c r="O632" i="4"/>
  <c r="K632" i="4"/>
  <c r="F632" i="4"/>
  <c r="AJ633" i="4"/>
  <c r="S647" i="4"/>
  <c r="G663" i="4"/>
  <c r="X663" i="4" s="1"/>
  <c r="F663" i="4"/>
  <c r="O663" i="4"/>
  <c r="M663" i="4"/>
  <c r="W663" i="4" s="1"/>
  <c r="R663" i="4"/>
  <c r="AD663" i="4" s="1"/>
  <c r="Q663" i="4"/>
  <c r="AC663" i="4" s="1"/>
  <c r="L663" i="4"/>
  <c r="Y663" i="4" s="1"/>
  <c r="K663" i="4"/>
  <c r="J663" i="4"/>
  <c r="Z663" i="4" s="1"/>
  <c r="H663" i="4"/>
  <c r="D663" i="4"/>
  <c r="U663" i="4"/>
  <c r="S663" i="4"/>
  <c r="N663" i="4"/>
  <c r="AA663" i="4" s="1"/>
  <c r="I663" i="4"/>
  <c r="B663" i="4"/>
  <c r="T665" i="4"/>
  <c r="H548" i="4"/>
  <c r="G548" i="4"/>
  <c r="X548" i="4" s="1"/>
  <c r="N548" i="4"/>
  <c r="AA548" i="4" s="1"/>
  <c r="I549" i="4"/>
  <c r="N551" i="4"/>
  <c r="AA551" i="4" s="1"/>
  <c r="G551" i="4"/>
  <c r="X551" i="4" s="1"/>
  <c r="I552" i="4"/>
  <c r="L556" i="4"/>
  <c r="Y556" i="4" s="1"/>
  <c r="H556" i="4"/>
  <c r="F556" i="4"/>
  <c r="H564" i="4"/>
  <c r="G564" i="4"/>
  <c r="X564" i="4" s="1"/>
  <c r="D564" i="4"/>
  <c r="N564" i="4"/>
  <c r="AA564" i="4" s="1"/>
  <c r="L564" i="4"/>
  <c r="Y564" i="4" s="1"/>
  <c r="V575" i="4"/>
  <c r="L578" i="4"/>
  <c r="Y578" i="4" s="1"/>
  <c r="V585" i="4"/>
  <c r="N594" i="4"/>
  <c r="AA594" i="4" s="1"/>
  <c r="M594" i="4"/>
  <c r="W594" i="4" s="1"/>
  <c r="K594" i="4"/>
  <c r="V594" i="4" s="1"/>
  <c r="J594" i="4"/>
  <c r="Z594" i="4" s="1"/>
  <c r="I594" i="4"/>
  <c r="F594" i="4"/>
  <c r="D594" i="4"/>
  <c r="B594" i="4"/>
  <c r="N610" i="4"/>
  <c r="AA610" i="4" s="1"/>
  <c r="G610" i="4"/>
  <c r="X610" i="4" s="1"/>
  <c r="M610" i="4"/>
  <c r="W610" i="4" s="1"/>
  <c r="L610" i="4"/>
  <c r="Y610" i="4" s="1"/>
  <c r="J610" i="4"/>
  <c r="Z610" i="4" s="1"/>
  <c r="I610" i="4"/>
  <c r="H610" i="4"/>
  <c r="D610" i="4"/>
  <c r="B610" i="4"/>
  <c r="AI639" i="4"/>
  <c r="S648" i="4"/>
  <c r="AI648" i="4" s="1"/>
  <c r="P668" i="4"/>
  <c r="AB668" i="4" s="1"/>
  <c r="AJ668" i="4"/>
  <c r="J549" i="4"/>
  <c r="Z549" i="4" s="1"/>
  <c r="J552" i="4"/>
  <c r="Z552" i="4" s="1"/>
  <c r="B582" i="4"/>
  <c r="N582" i="4"/>
  <c r="AA582" i="4" s="1"/>
  <c r="J582" i="4"/>
  <c r="Z582" i="4" s="1"/>
  <c r="H582" i="4"/>
  <c r="F582" i="4"/>
  <c r="N615" i="4"/>
  <c r="AA615" i="4" s="1"/>
  <c r="J615" i="4"/>
  <c r="Z615" i="4" s="1"/>
  <c r="I615" i="4"/>
  <c r="H615" i="4"/>
  <c r="T615" i="4"/>
  <c r="AI615" i="4" s="1"/>
  <c r="R615" i="4"/>
  <c r="AD615" i="4" s="1"/>
  <c r="P616" i="4"/>
  <c r="AB616" i="4" s="1"/>
  <c r="AJ616" i="4"/>
  <c r="O620" i="4"/>
  <c r="M620" i="4"/>
  <c r="W620" i="4" s="1"/>
  <c r="J620" i="4"/>
  <c r="Z620" i="4" s="1"/>
  <c r="I620" i="4"/>
  <c r="H620" i="4"/>
  <c r="U620" i="4"/>
  <c r="S620" i="4"/>
  <c r="AI620" i="4" s="1"/>
  <c r="R620" i="4"/>
  <c r="AD620" i="4" s="1"/>
  <c r="N623" i="4"/>
  <c r="AA623" i="4" s="1"/>
  <c r="G623" i="4"/>
  <c r="X623" i="4" s="1"/>
  <c r="U623" i="4"/>
  <c r="O623" i="4"/>
  <c r="L623" i="4"/>
  <c r="Y623" i="4" s="1"/>
  <c r="I623" i="4"/>
  <c r="D623" i="4"/>
  <c r="B623" i="4"/>
  <c r="R623" i="4"/>
  <c r="AD623" i="4" s="1"/>
  <c r="K623" i="4"/>
  <c r="V623" i="4" s="1"/>
  <c r="J623" i="4"/>
  <c r="Z623" i="4" s="1"/>
  <c r="H623" i="4"/>
  <c r="AE635" i="4"/>
  <c r="L657" i="4"/>
  <c r="Y657" i="4" s="1"/>
  <c r="J657" i="4"/>
  <c r="Z657" i="4" s="1"/>
  <c r="F657" i="4"/>
  <c r="T663" i="4"/>
  <c r="J665" i="4"/>
  <c r="Z665" i="4" s="1"/>
  <c r="H665" i="4"/>
  <c r="R665" i="4"/>
  <c r="AD665" i="4" s="1"/>
  <c r="U665" i="4"/>
  <c r="S665" i="4"/>
  <c r="AI665" i="4" s="1"/>
  <c r="N665" i="4"/>
  <c r="AA665" i="4" s="1"/>
  <c r="M665" i="4"/>
  <c r="W665" i="4" s="1"/>
  <c r="L665" i="4"/>
  <c r="L549" i="4"/>
  <c r="Y549" i="4" s="1"/>
  <c r="M552" i="4"/>
  <c r="W552" i="4" s="1"/>
  <c r="N562" i="4"/>
  <c r="AA562" i="4" s="1"/>
  <c r="M562" i="4"/>
  <c r="W562" i="4" s="1"/>
  <c r="K562" i="4"/>
  <c r="J562" i="4"/>
  <c r="Z562" i="4" s="1"/>
  <c r="F562" i="4"/>
  <c r="D562" i="4"/>
  <c r="B562" i="4"/>
  <c r="L568" i="4"/>
  <c r="Y568" i="4" s="1"/>
  <c r="K568" i="4"/>
  <c r="I568" i="4"/>
  <c r="H568" i="4"/>
  <c r="D568" i="4"/>
  <c r="B568" i="4"/>
  <c r="D582" i="4"/>
  <c r="J590" i="4"/>
  <c r="Z590" i="4" s="1"/>
  <c r="I590" i="4"/>
  <c r="G590" i="4"/>
  <c r="X590" i="4" s="1"/>
  <c r="F590" i="4"/>
  <c r="B590" i="4"/>
  <c r="N590" i="4"/>
  <c r="AA590" i="4" s="1"/>
  <c r="I614" i="4"/>
  <c r="R614" i="4"/>
  <c r="AD614" i="4" s="1"/>
  <c r="B614" i="4"/>
  <c r="N614" i="4"/>
  <c r="AA614" i="4" s="1"/>
  <c r="L614" i="4"/>
  <c r="Y614" i="4" s="1"/>
  <c r="D614" i="4"/>
  <c r="U614" i="4"/>
  <c r="T614" i="4"/>
  <c r="M614" i="4"/>
  <c r="W614" i="4" s="1"/>
  <c r="J614" i="4"/>
  <c r="Z614" i="4" s="1"/>
  <c r="G614" i="4"/>
  <c r="X614" i="4" s="1"/>
  <c r="AE616" i="4"/>
  <c r="AE632" i="4"/>
  <c r="T648" i="4"/>
  <c r="J648" i="4"/>
  <c r="Z648" i="4" s="1"/>
  <c r="U648" i="4"/>
  <c r="R648" i="4"/>
  <c r="AD648" i="4" s="1"/>
  <c r="Q648" i="4"/>
  <c r="AC648" i="4" s="1"/>
  <c r="O648" i="4"/>
  <c r="N648" i="4"/>
  <c r="AA648" i="4" s="1"/>
  <c r="M648" i="4"/>
  <c r="W648" i="4" s="1"/>
  <c r="I648" i="4"/>
  <c r="G648" i="4"/>
  <c r="X648" i="4" s="1"/>
  <c r="F648" i="4"/>
  <c r="AJ653" i="4"/>
  <c r="P653" i="4"/>
  <c r="AB653" i="4" s="1"/>
  <c r="N639" i="4"/>
  <c r="AA639" i="4" s="1"/>
  <c r="G639" i="4"/>
  <c r="X639" i="4" s="1"/>
  <c r="U639" i="4"/>
  <c r="R639" i="4"/>
  <c r="AD639" i="4" s="1"/>
  <c r="Q639" i="4"/>
  <c r="AC639" i="4" s="1"/>
  <c r="L639" i="4"/>
  <c r="Y639" i="4" s="1"/>
  <c r="I639" i="4"/>
  <c r="F639" i="4"/>
  <c r="V641" i="4"/>
  <c r="K651" i="4"/>
  <c r="V651" i="4" s="1"/>
  <c r="Q651" i="4"/>
  <c r="AC651" i="4" s="1"/>
  <c r="U651" i="4"/>
  <c r="T651" i="4"/>
  <c r="R651" i="4"/>
  <c r="AD651" i="4" s="1"/>
  <c r="O651" i="4"/>
  <c r="N651" i="4"/>
  <c r="AA651" i="4" s="1"/>
  <c r="M651" i="4"/>
  <c r="W651" i="4" s="1"/>
  <c r="I651" i="4"/>
  <c r="G651" i="4"/>
  <c r="X651" i="4" s="1"/>
  <c r="V652" i="4"/>
  <c r="Q676" i="4"/>
  <c r="AC676" i="4" s="1"/>
  <c r="Y678" i="4"/>
  <c r="V678" i="4"/>
  <c r="L681" i="4"/>
  <c r="Y681" i="4" s="1"/>
  <c r="K681" i="4"/>
  <c r="F681" i="4"/>
  <c r="T681" i="4"/>
  <c r="AE681" i="4" s="1"/>
  <c r="O681" i="4"/>
  <c r="N681" i="4"/>
  <c r="AA681" i="4" s="1"/>
  <c r="J606" i="4"/>
  <c r="Z606" i="4" s="1"/>
  <c r="K606" i="4"/>
  <c r="V606" i="4" s="1"/>
  <c r="AJ634" i="4"/>
  <c r="P634" i="4"/>
  <c r="AB634" i="4" s="1"/>
  <c r="D639" i="4"/>
  <c r="U669" i="4"/>
  <c r="T669" i="4"/>
  <c r="D669" i="4"/>
  <c r="N669" i="4"/>
  <c r="AA669" i="4" s="1"/>
  <c r="M669" i="4"/>
  <c r="W669" i="4" s="1"/>
  <c r="K669" i="4"/>
  <c r="B669" i="4"/>
  <c r="R669" i="4"/>
  <c r="AD669" i="4" s="1"/>
  <c r="Q669" i="4"/>
  <c r="AC669" i="4" s="1"/>
  <c r="L669" i="4"/>
  <c r="Y669" i="4" s="1"/>
  <c r="I669" i="4"/>
  <c r="U676" i="4"/>
  <c r="AJ677" i="4"/>
  <c r="P677" i="4"/>
  <c r="AB677" i="4" s="1"/>
  <c r="M618" i="4"/>
  <c r="W618" i="4" s="1"/>
  <c r="F618" i="4"/>
  <c r="S618" i="4"/>
  <c r="Q618" i="4"/>
  <c r="AC618" i="4" s="1"/>
  <c r="J618" i="4"/>
  <c r="Z618" i="4" s="1"/>
  <c r="S632" i="4"/>
  <c r="I644" i="4"/>
  <c r="Q649" i="4"/>
  <c r="AC649" i="4" s="1"/>
  <c r="I649" i="4"/>
  <c r="G649" i="4"/>
  <c r="X649" i="4" s="1"/>
  <c r="F649" i="4"/>
  <c r="D649" i="4"/>
  <c r="B649" i="4"/>
  <c r="U649" i="4"/>
  <c r="T649" i="4"/>
  <c r="R649" i="4"/>
  <c r="AD649" i="4" s="1"/>
  <c r="N649" i="4"/>
  <c r="AA649" i="4" s="1"/>
  <c r="P672" i="4"/>
  <c r="AB672" i="4" s="1"/>
  <c r="L596" i="4"/>
  <c r="D618" i="4"/>
  <c r="K624" i="4"/>
  <c r="V624" i="4" s="1"/>
  <c r="T624" i="4"/>
  <c r="AE624" i="4" s="1"/>
  <c r="D624" i="4"/>
  <c r="R624" i="4"/>
  <c r="AD624" i="4" s="1"/>
  <c r="B624" i="4"/>
  <c r="S624" i="4"/>
  <c r="AI624" i="4" s="1"/>
  <c r="M624" i="4"/>
  <c r="W624" i="4" s="1"/>
  <c r="I624" i="4"/>
  <c r="V631" i="4"/>
  <c r="AI634" i="4"/>
  <c r="G636" i="4"/>
  <c r="X636" i="4" s="1"/>
  <c r="N636" i="4"/>
  <c r="AA636" i="4" s="1"/>
  <c r="F636" i="4"/>
  <c r="D636" i="4"/>
  <c r="T636" i="4"/>
  <c r="AE636" i="4" s="1"/>
  <c r="Q636" i="4"/>
  <c r="AC636" i="4" s="1"/>
  <c r="M636" i="4"/>
  <c r="W636" i="4" s="1"/>
  <c r="H639" i="4"/>
  <c r="K644" i="4"/>
  <c r="O650" i="4"/>
  <c r="L650" i="4"/>
  <c r="Y650" i="4" s="1"/>
  <c r="I650" i="4"/>
  <c r="H650" i="4"/>
  <c r="G650" i="4"/>
  <c r="X650" i="4" s="1"/>
  <c r="F669" i="4"/>
  <c r="AI681" i="4"/>
  <c r="G695" i="4"/>
  <c r="X695" i="4" s="1"/>
  <c r="M695" i="4"/>
  <c r="W695" i="4" s="1"/>
  <c r="L695" i="4"/>
  <c r="Y695" i="4" s="1"/>
  <c r="H697" i="4"/>
  <c r="J703" i="4"/>
  <c r="Z703" i="4" s="1"/>
  <c r="R703" i="4"/>
  <c r="AD703" i="4" s="1"/>
  <c r="Q703" i="4"/>
  <c r="AC703" i="4" s="1"/>
  <c r="M703" i="4"/>
  <c r="W703" i="4" s="1"/>
  <c r="K703" i="4"/>
  <c r="I703" i="4"/>
  <c r="H703" i="4"/>
  <c r="G703" i="4"/>
  <c r="X703" i="4" s="1"/>
  <c r="S703" i="4"/>
  <c r="B703" i="4"/>
  <c r="U703" i="4"/>
  <c r="T703" i="4"/>
  <c r="O703" i="4"/>
  <c r="N703" i="4"/>
  <c r="AA703" i="4" s="1"/>
  <c r="D703" i="4"/>
  <c r="O711" i="4"/>
  <c r="N711" i="4"/>
  <c r="AA711" i="4" s="1"/>
  <c r="K711" i="4"/>
  <c r="T711" i="4"/>
  <c r="S711" i="4"/>
  <c r="Q711" i="4"/>
  <c r="AC711" i="4" s="1"/>
  <c r="H711" i="4"/>
  <c r="G711" i="4"/>
  <c r="X711" i="4" s="1"/>
  <c r="J496" i="4"/>
  <c r="Z496" i="4" s="1"/>
  <c r="I507" i="4"/>
  <c r="J512" i="4"/>
  <c r="Z512" i="4" s="1"/>
  <c r="I523" i="4"/>
  <c r="J528" i="4"/>
  <c r="Z528" i="4" s="1"/>
  <c r="I539" i="4"/>
  <c r="J544" i="4"/>
  <c r="Z544" i="4" s="1"/>
  <c r="I555" i="4"/>
  <c r="M559" i="4"/>
  <c r="W559" i="4" s="1"/>
  <c r="J560" i="4"/>
  <c r="Z560" i="4" s="1"/>
  <c r="L570" i="4"/>
  <c r="I571" i="4"/>
  <c r="M575" i="4"/>
  <c r="W575" i="4" s="1"/>
  <c r="J576" i="4"/>
  <c r="Z576" i="4" s="1"/>
  <c r="L586" i="4"/>
  <c r="Y586" i="4" s="1"/>
  <c r="I587" i="4"/>
  <c r="M591" i="4"/>
  <c r="W591" i="4" s="1"/>
  <c r="J592" i="4"/>
  <c r="Z592" i="4" s="1"/>
  <c r="N596" i="4"/>
  <c r="AA596" i="4" s="1"/>
  <c r="L602" i="4"/>
  <c r="Y602" i="4" s="1"/>
  <c r="G605" i="4"/>
  <c r="X605" i="4" s="1"/>
  <c r="G606" i="4"/>
  <c r="X606" i="4" s="1"/>
  <c r="R612" i="4"/>
  <c r="AD612" i="4" s="1"/>
  <c r="G618" i="4"/>
  <c r="X618" i="4" s="1"/>
  <c r="L621" i="4"/>
  <c r="Y621" i="4" s="1"/>
  <c r="F624" i="4"/>
  <c r="K626" i="4"/>
  <c r="R627" i="4"/>
  <c r="AD627" i="4" s="1"/>
  <c r="B627" i="4"/>
  <c r="K627" i="4"/>
  <c r="I627" i="4"/>
  <c r="L627" i="4"/>
  <c r="Y627" i="4" s="1"/>
  <c r="H627" i="4"/>
  <c r="U627" i="4"/>
  <c r="S627" i="4"/>
  <c r="AI627" i="4" s="1"/>
  <c r="AI628" i="4"/>
  <c r="H636" i="4"/>
  <c r="K639" i="4"/>
  <c r="V639" i="4" s="1"/>
  <c r="G640" i="4"/>
  <c r="X640" i="4" s="1"/>
  <c r="H641" i="4"/>
  <c r="Q641" i="4"/>
  <c r="AC641" i="4" s="1"/>
  <c r="O641" i="4"/>
  <c r="G641" i="4"/>
  <c r="X641" i="4" s="1"/>
  <c r="F641" i="4"/>
  <c r="U641" i="4"/>
  <c r="B641" i="4"/>
  <c r="R641" i="4"/>
  <c r="AD641" i="4" s="1"/>
  <c r="N641" i="4"/>
  <c r="AA641" i="4" s="1"/>
  <c r="J649" i="4"/>
  <c r="Z649" i="4" s="1"/>
  <c r="F658" i="4"/>
  <c r="U658" i="4"/>
  <c r="N658" i="4"/>
  <c r="AA658" i="4" s="1"/>
  <c r="L658" i="4"/>
  <c r="Y658" i="4" s="1"/>
  <c r="G658" i="4"/>
  <c r="X658" i="4" s="1"/>
  <c r="D658" i="4"/>
  <c r="B658" i="4"/>
  <c r="T658" i="4"/>
  <c r="S658" i="4"/>
  <c r="Q658" i="4"/>
  <c r="AC658" i="4" s="1"/>
  <c r="O658" i="4"/>
  <c r="K667" i="4"/>
  <c r="T667" i="4"/>
  <c r="Q667" i="4"/>
  <c r="AC667" i="4" s="1"/>
  <c r="U667" i="4"/>
  <c r="R667" i="4"/>
  <c r="AD667" i="4" s="1"/>
  <c r="N667" i="4"/>
  <c r="AA667" i="4" s="1"/>
  <c r="L667" i="4"/>
  <c r="Y667" i="4" s="1"/>
  <c r="H669" i="4"/>
  <c r="K695" i="4"/>
  <c r="F711" i="4"/>
  <c r="N695" i="4"/>
  <c r="AA695" i="4" s="1"/>
  <c r="F703" i="4"/>
  <c r="Q706" i="4"/>
  <c r="AC706" i="4" s="1"/>
  <c r="N706" i="4"/>
  <c r="AA706" i="4" s="1"/>
  <c r="D706" i="4"/>
  <c r="R706" i="4"/>
  <c r="AD706" i="4" s="1"/>
  <c r="O706" i="4"/>
  <c r="M706" i="4"/>
  <c r="W706" i="4" s="1"/>
  <c r="L706" i="4"/>
  <c r="Y706" i="4" s="1"/>
  <c r="K706" i="4"/>
  <c r="F706" i="4"/>
  <c r="B706" i="4"/>
  <c r="U706" i="4"/>
  <c r="T706" i="4"/>
  <c r="S706" i="4"/>
  <c r="J706" i="4"/>
  <c r="Z706" i="4" s="1"/>
  <c r="G706" i="4"/>
  <c r="X706" i="4" s="1"/>
  <c r="AE722" i="4"/>
  <c r="L480" i="4"/>
  <c r="L496" i="4"/>
  <c r="K507" i="4"/>
  <c r="V507" i="4" s="1"/>
  <c r="L512" i="4"/>
  <c r="K523" i="4"/>
  <c r="V523" i="4" s="1"/>
  <c r="L528" i="4"/>
  <c r="Y528" i="4" s="1"/>
  <c r="K539" i="4"/>
  <c r="V539" i="4" s="1"/>
  <c r="L544" i="4"/>
  <c r="K555" i="4"/>
  <c r="V555" i="4" s="1"/>
  <c r="L560" i="4"/>
  <c r="G567" i="4"/>
  <c r="X567" i="4" s="1"/>
  <c r="N570" i="4"/>
  <c r="AA570" i="4" s="1"/>
  <c r="K571" i="4"/>
  <c r="V571" i="4" s="1"/>
  <c r="L576" i="4"/>
  <c r="G583" i="4"/>
  <c r="X583" i="4" s="1"/>
  <c r="N586" i="4"/>
  <c r="AA586" i="4" s="1"/>
  <c r="K587" i="4"/>
  <c r="V587" i="4" s="1"/>
  <c r="L592" i="4"/>
  <c r="G599" i="4"/>
  <c r="X599" i="4" s="1"/>
  <c r="N602" i="4"/>
  <c r="AA602" i="4" s="1"/>
  <c r="I605" i="4"/>
  <c r="I606" i="4"/>
  <c r="T612" i="4"/>
  <c r="F615" i="4"/>
  <c r="O615" i="4"/>
  <c r="M615" i="4"/>
  <c r="W615" i="4" s="1"/>
  <c r="G615" i="4"/>
  <c r="X615" i="4" s="1"/>
  <c r="I618" i="4"/>
  <c r="O621" i="4"/>
  <c r="H624" i="4"/>
  <c r="AE628" i="4"/>
  <c r="I633" i="4"/>
  <c r="G633" i="4"/>
  <c r="X633" i="4" s="1"/>
  <c r="N633" i="4"/>
  <c r="AA633" i="4" s="1"/>
  <c r="L633" i="4"/>
  <c r="Y633" i="4" s="1"/>
  <c r="H633" i="4"/>
  <c r="D633" i="4"/>
  <c r="U633" i="4"/>
  <c r="B633" i="4"/>
  <c r="J636" i="4"/>
  <c r="Z636" i="4" s="1"/>
  <c r="T637" i="4"/>
  <c r="AI637" i="4" s="1"/>
  <c r="D637" i="4"/>
  <c r="M637" i="4"/>
  <c r="W637" i="4" s="1"/>
  <c r="K637" i="4"/>
  <c r="V637" i="4" s="1"/>
  <c r="J637" i="4"/>
  <c r="Z637" i="4" s="1"/>
  <c r="H637" i="4"/>
  <c r="U637" i="4"/>
  <c r="R637" i="4"/>
  <c r="AD637" i="4" s="1"/>
  <c r="O639" i="4"/>
  <c r="I640" i="4"/>
  <c r="L649" i="4"/>
  <c r="Y649" i="4" s="1"/>
  <c r="R650" i="4"/>
  <c r="AD650" i="4" s="1"/>
  <c r="I657" i="4"/>
  <c r="H657" i="4"/>
  <c r="Q657" i="4"/>
  <c r="AC657" i="4" s="1"/>
  <c r="O657" i="4"/>
  <c r="U657" i="4"/>
  <c r="T657" i="4"/>
  <c r="S657" i="4"/>
  <c r="N657" i="4"/>
  <c r="AA657" i="4" s="1"/>
  <c r="M657" i="4"/>
  <c r="W657" i="4" s="1"/>
  <c r="K657" i="4"/>
  <c r="G657" i="4"/>
  <c r="X657" i="4" s="1"/>
  <c r="T664" i="4"/>
  <c r="J664" i="4"/>
  <c r="Z664" i="4" s="1"/>
  <c r="U664" i="4"/>
  <c r="Q664" i="4"/>
  <c r="AC664" i="4" s="1"/>
  <c r="O664" i="4"/>
  <c r="M664" i="4"/>
  <c r="W664" i="4" s="1"/>
  <c r="I664" i="4"/>
  <c r="K666" i="4"/>
  <c r="V666" i="4" s="1"/>
  <c r="I666" i="4"/>
  <c r="O669" i="4"/>
  <c r="T695" i="4"/>
  <c r="P701" i="4"/>
  <c r="AB701" i="4" s="1"/>
  <c r="AJ701" i="4"/>
  <c r="L703" i="4"/>
  <c r="Y703" i="4" s="1"/>
  <c r="G679" i="4"/>
  <c r="X679" i="4" s="1"/>
  <c r="F679" i="4"/>
  <c r="O679" i="4"/>
  <c r="N679" i="4"/>
  <c r="AA679" i="4" s="1"/>
  <c r="M679" i="4"/>
  <c r="W679" i="4" s="1"/>
  <c r="H679" i="4"/>
  <c r="D679" i="4"/>
  <c r="B679" i="4"/>
  <c r="U679" i="4"/>
  <c r="T679" i="4"/>
  <c r="R679" i="4"/>
  <c r="AD679" i="4" s="1"/>
  <c r="K679" i="4"/>
  <c r="V679" i="4" s="1"/>
  <c r="J679" i="4"/>
  <c r="Z679" i="4" s="1"/>
  <c r="I698" i="4"/>
  <c r="F698" i="4"/>
  <c r="R698" i="4"/>
  <c r="AD698" i="4" s="1"/>
  <c r="O698" i="4"/>
  <c r="N698" i="4"/>
  <c r="AA698" i="4" s="1"/>
  <c r="M698" i="4"/>
  <c r="W698" i="4" s="1"/>
  <c r="U698" i="4"/>
  <c r="T698" i="4"/>
  <c r="S698" i="4"/>
  <c r="L698" i="4"/>
  <c r="Y698" i="4" s="1"/>
  <c r="K698" i="4"/>
  <c r="V698" i="4" s="1"/>
  <c r="J698" i="4"/>
  <c r="Z698" i="4" s="1"/>
  <c r="H698" i="4"/>
  <c r="G698" i="4"/>
  <c r="X698" i="4" s="1"/>
  <c r="D698" i="4"/>
  <c r="H706" i="4"/>
  <c r="G704" i="4"/>
  <c r="X704" i="4" s="1"/>
  <c r="S704" i="4"/>
  <c r="R704" i="4"/>
  <c r="AD704" i="4" s="1"/>
  <c r="M704" i="4"/>
  <c r="W704" i="4" s="1"/>
  <c r="K704" i="4"/>
  <c r="J704" i="4"/>
  <c r="Z704" i="4" s="1"/>
  <c r="I704" i="4"/>
  <c r="H704" i="4"/>
  <c r="T704" i="4"/>
  <c r="B704" i="4"/>
  <c r="U704" i="4"/>
  <c r="Q704" i="4"/>
  <c r="AC704" i="4" s="1"/>
  <c r="O704" i="4"/>
  <c r="N704" i="4"/>
  <c r="AA704" i="4" s="1"/>
  <c r="D704" i="4"/>
  <c r="I706" i="4"/>
  <c r="J599" i="4"/>
  <c r="Z599" i="4" s="1"/>
  <c r="L605" i="4"/>
  <c r="Y605" i="4" s="1"/>
  <c r="N606" i="4"/>
  <c r="AA606" i="4" s="1"/>
  <c r="N618" i="4"/>
  <c r="AA618" i="4" s="1"/>
  <c r="N624" i="4"/>
  <c r="AA624" i="4" s="1"/>
  <c r="O636" i="4"/>
  <c r="O640" i="4"/>
  <c r="S649" i="4"/>
  <c r="AE673" i="4"/>
  <c r="I679" i="4"/>
  <c r="U691" i="4"/>
  <c r="T691" i="4"/>
  <c r="Q691" i="4"/>
  <c r="AC691" i="4" s="1"/>
  <c r="O691" i="4"/>
  <c r="N691" i="4"/>
  <c r="AA691" i="4" s="1"/>
  <c r="G691" i="4"/>
  <c r="X691" i="4" s="1"/>
  <c r="F691" i="4"/>
  <c r="Q698" i="4"/>
  <c r="AC698" i="4" s="1"/>
  <c r="K567" i="4"/>
  <c r="B570" i="4"/>
  <c r="K583" i="4"/>
  <c r="V583" i="4" s="1"/>
  <c r="B586" i="4"/>
  <c r="D596" i="4"/>
  <c r="K599" i="4"/>
  <c r="N605" i="4"/>
  <c r="AA605" i="4" s="1"/>
  <c r="O618" i="4"/>
  <c r="O624" i="4"/>
  <c r="O630" i="4"/>
  <c r="J630" i="4"/>
  <c r="Z630" i="4" s="1"/>
  <c r="M634" i="4"/>
  <c r="W634" i="4" s="1"/>
  <c r="F634" i="4"/>
  <c r="T634" i="4"/>
  <c r="AE634" i="4" s="1"/>
  <c r="D634" i="4"/>
  <c r="R634" i="4"/>
  <c r="AD634" i="4" s="1"/>
  <c r="L634" i="4"/>
  <c r="Y634" i="4" s="1"/>
  <c r="I634" i="4"/>
  <c r="G634" i="4"/>
  <c r="X634" i="4" s="1"/>
  <c r="R636" i="4"/>
  <c r="AD636" i="4" s="1"/>
  <c r="Q640" i="4"/>
  <c r="AC640" i="4" s="1"/>
  <c r="O655" i="4"/>
  <c r="N655" i="4"/>
  <c r="AA655" i="4" s="1"/>
  <c r="G655" i="4"/>
  <c r="X655" i="4" s="1"/>
  <c r="U655" i="4"/>
  <c r="F655" i="4"/>
  <c r="D655" i="4"/>
  <c r="B655" i="4"/>
  <c r="T655" i="4"/>
  <c r="S655" i="4"/>
  <c r="Q655" i="4"/>
  <c r="AC655" i="4" s="1"/>
  <c r="M655" i="4"/>
  <c r="W655" i="4" s="1"/>
  <c r="AJ667" i="4"/>
  <c r="P667" i="4"/>
  <c r="AB667" i="4" s="1"/>
  <c r="AI668" i="4"/>
  <c r="L679" i="4"/>
  <c r="Y679" i="4" s="1"/>
  <c r="H691" i="4"/>
  <c r="F704" i="4"/>
  <c r="T707" i="4"/>
  <c r="L567" i="4"/>
  <c r="Y567" i="4" s="1"/>
  <c r="L583" i="4"/>
  <c r="Y583" i="4" s="1"/>
  <c r="D591" i="4"/>
  <c r="L599" i="4"/>
  <c r="Y599" i="4" s="1"/>
  <c r="Q624" i="4"/>
  <c r="AC624" i="4" s="1"/>
  <c r="F630" i="4"/>
  <c r="S636" i="4"/>
  <c r="S640" i="4"/>
  <c r="V646" i="4"/>
  <c r="H652" i="4"/>
  <c r="G652" i="4"/>
  <c r="X652" i="4" s="1"/>
  <c r="N652" i="4"/>
  <c r="AA652" i="4" s="1"/>
  <c r="F652" i="4"/>
  <c r="D652" i="4"/>
  <c r="B652" i="4"/>
  <c r="U652" i="4"/>
  <c r="T652" i="4"/>
  <c r="AI652" i="4" s="1"/>
  <c r="R652" i="4"/>
  <c r="AD652" i="4" s="1"/>
  <c r="O652" i="4"/>
  <c r="N656" i="4"/>
  <c r="AA656" i="4" s="1"/>
  <c r="M656" i="4"/>
  <c r="W656" i="4" s="1"/>
  <c r="H656" i="4"/>
  <c r="G656" i="4"/>
  <c r="X656" i="4" s="1"/>
  <c r="F656" i="4"/>
  <c r="Q679" i="4"/>
  <c r="AC679" i="4" s="1"/>
  <c r="AJ694" i="4"/>
  <c r="P694" i="4"/>
  <c r="AB694" i="4" s="1"/>
  <c r="U696" i="4"/>
  <c r="S696" i="4"/>
  <c r="M696" i="4"/>
  <c r="W696" i="4" s="1"/>
  <c r="L696" i="4"/>
  <c r="Y696" i="4" s="1"/>
  <c r="I696" i="4"/>
  <c r="F696" i="4"/>
  <c r="L704" i="4"/>
  <c r="Y704" i="4" s="1"/>
  <c r="Y714" i="4"/>
  <c r="V714" i="4"/>
  <c r="AE668" i="4"/>
  <c r="O676" i="4"/>
  <c r="I676" i="4"/>
  <c r="H676" i="4"/>
  <c r="G676" i="4"/>
  <c r="X676" i="4" s="1"/>
  <c r="F676" i="4"/>
  <c r="T676" i="4"/>
  <c r="S676" i="4"/>
  <c r="R676" i="4"/>
  <c r="AD676" i="4" s="1"/>
  <c r="N676" i="4"/>
  <c r="AA676" i="4" s="1"/>
  <c r="M676" i="4"/>
  <c r="W676" i="4" s="1"/>
  <c r="L676" i="4"/>
  <c r="Y676" i="4" s="1"/>
  <c r="J676" i="4"/>
  <c r="Z676" i="4" s="1"/>
  <c r="D676" i="4"/>
  <c r="S679" i="4"/>
  <c r="O687" i="4"/>
  <c r="N687" i="4"/>
  <c r="AA687" i="4" s="1"/>
  <c r="H687" i="4"/>
  <c r="G687" i="4"/>
  <c r="X687" i="4" s="1"/>
  <c r="F687" i="4"/>
  <c r="U687" i="4"/>
  <c r="T687" i="4"/>
  <c r="S687" i="4"/>
  <c r="R687" i="4"/>
  <c r="AD687" i="4" s="1"/>
  <c r="M687" i="4"/>
  <c r="W687" i="4" s="1"/>
  <c r="L687" i="4"/>
  <c r="Y687" i="4" s="1"/>
  <c r="K687" i="4"/>
  <c r="J687" i="4"/>
  <c r="Z687" i="4" s="1"/>
  <c r="I687" i="4"/>
  <c r="B687" i="4"/>
  <c r="J696" i="4"/>
  <c r="Z696" i="4" s="1"/>
  <c r="K707" i="4"/>
  <c r="B507" i="4"/>
  <c r="B523" i="4"/>
  <c r="B539" i="4"/>
  <c r="B555" i="4"/>
  <c r="F559" i="4"/>
  <c r="N567" i="4"/>
  <c r="AA567" i="4" s="1"/>
  <c r="B571" i="4"/>
  <c r="F575" i="4"/>
  <c r="N583" i="4"/>
  <c r="AA583" i="4" s="1"/>
  <c r="B587" i="4"/>
  <c r="F591" i="4"/>
  <c r="G596" i="4"/>
  <c r="X596" i="4" s="1"/>
  <c r="N599" i="4"/>
  <c r="AA599" i="4" s="1"/>
  <c r="G612" i="4"/>
  <c r="X612" i="4" s="1"/>
  <c r="L615" i="4"/>
  <c r="Y615" i="4" s="1"/>
  <c r="T618" i="4"/>
  <c r="T619" i="4"/>
  <c r="AE619" i="4" s="1"/>
  <c r="Q619" i="4"/>
  <c r="AC619" i="4" s="1"/>
  <c r="K619" i="4"/>
  <c r="V619" i="4" s="1"/>
  <c r="U626" i="4"/>
  <c r="N626" i="4"/>
  <c r="AA626" i="4" s="1"/>
  <c r="L626" i="4"/>
  <c r="Y626" i="4" s="1"/>
  <c r="G626" i="4"/>
  <c r="X626" i="4" s="1"/>
  <c r="T626" i="4"/>
  <c r="B626" i="4"/>
  <c r="Q626" i="4"/>
  <c r="AC626" i="4" s="1"/>
  <c r="H630" i="4"/>
  <c r="F631" i="4"/>
  <c r="O631" i="4"/>
  <c r="M631" i="4"/>
  <c r="W631" i="4" s="1"/>
  <c r="G631" i="4"/>
  <c r="X631" i="4" s="1"/>
  <c r="D631" i="4"/>
  <c r="T631" i="4"/>
  <c r="AI631" i="4" s="1"/>
  <c r="Q631" i="4"/>
  <c r="AC631" i="4" s="1"/>
  <c r="N631" i="4"/>
  <c r="AA631" i="4" s="1"/>
  <c r="Q633" i="4"/>
  <c r="AC633" i="4" s="1"/>
  <c r="J634" i="4"/>
  <c r="Z634" i="4" s="1"/>
  <c r="O637" i="4"/>
  <c r="AI641" i="4"/>
  <c r="J651" i="4"/>
  <c r="Z651" i="4" s="1"/>
  <c r="I652" i="4"/>
  <c r="I655" i="4"/>
  <c r="O656" i="4"/>
  <c r="D687" i="4"/>
  <c r="P688" i="4"/>
  <c r="AB688" i="4" s="1"/>
  <c r="K696" i="4"/>
  <c r="L707" i="4"/>
  <c r="Y707" i="4" s="1"/>
  <c r="U710" i="4"/>
  <c r="Q710" i="4"/>
  <c r="AC710" i="4" s="1"/>
  <c r="J710" i="4"/>
  <c r="Z710" i="4" s="1"/>
  <c r="R710" i="4"/>
  <c r="AD710" i="4" s="1"/>
  <c r="L710" i="4"/>
  <c r="Y710" i="4" s="1"/>
  <c r="K710" i="4"/>
  <c r="I710" i="4"/>
  <c r="H710" i="4"/>
  <c r="G710" i="4"/>
  <c r="X710" i="4" s="1"/>
  <c r="F710" i="4"/>
  <c r="S710" i="4"/>
  <c r="T710" i="4"/>
  <c r="O710" i="4"/>
  <c r="N710" i="4"/>
  <c r="AA710" i="4" s="1"/>
  <c r="M710" i="4"/>
  <c r="W710" i="4" s="1"/>
  <c r="D710" i="4"/>
  <c r="I762" i="4"/>
  <c r="Q762" i="4"/>
  <c r="AC762" i="4" s="1"/>
  <c r="M762" i="4"/>
  <c r="W762" i="4" s="1"/>
  <c r="U762" i="4"/>
  <c r="B762" i="4"/>
  <c r="T762" i="4"/>
  <c r="L762" i="4"/>
  <c r="Y762" i="4" s="1"/>
  <c r="K762" i="4"/>
  <c r="H762" i="4"/>
  <c r="S762" i="4"/>
  <c r="R762" i="4"/>
  <c r="AD762" i="4" s="1"/>
  <c r="O762" i="4"/>
  <c r="N762" i="4"/>
  <c r="AA762" i="4" s="1"/>
  <c r="J762" i="4"/>
  <c r="Z762" i="4" s="1"/>
  <c r="G762" i="4"/>
  <c r="X762" i="4" s="1"/>
  <c r="F762" i="4"/>
  <c r="D762" i="4"/>
  <c r="I612" i="4"/>
  <c r="U618" i="4"/>
  <c r="T621" i="4"/>
  <c r="D621" i="4"/>
  <c r="M621" i="4"/>
  <c r="W621" i="4" s="1"/>
  <c r="K621" i="4"/>
  <c r="V621" i="4" s="1"/>
  <c r="G621" i="4"/>
  <c r="X621" i="4" s="1"/>
  <c r="Q621" i="4"/>
  <c r="AC621" i="4" s="1"/>
  <c r="K630" i="4"/>
  <c r="K634" i="4"/>
  <c r="B639" i="4"/>
  <c r="O644" i="4"/>
  <c r="H644" i="4"/>
  <c r="F644" i="4"/>
  <c r="S644" i="4"/>
  <c r="AI644" i="4" s="1"/>
  <c r="R644" i="4"/>
  <c r="AD644" i="4" s="1"/>
  <c r="Q644" i="4"/>
  <c r="AC644" i="4" s="1"/>
  <c r="M644" i="4"/>
  <c r="W644" i="4" s="1"/>
  <c r="L644" i="4"/>
  <c r="Y644" i="4" s="1"/>
  <c r="J644" i="4"/>
  <c r="Z644" i="4" s="1"/>
  <c r="G644" i="4"/>
  <c r="X644" i="4" s="1"/>
  <c r="J652" i="4"/>
  <c r="Z652" i="4" s="1"/>
  <c r="J655" i="4"/>
  <c r="Z655" i="4" s="1"/>
  <c r="R670" i="4"/>
  <c r="AD670" i="4" s="1"/>
  <c r="B670" i="4"/>
  <c r="Q670" i="4"/>
  <c r="AC670" i="4" s="1"/>
  <c r="K670" i="4"/>
  <c r="V670" i="4" s="1"/>
  <c r="J670" i="4"/>
  <c r="Z670" i="4" s="1"/>
  <c r="H670" i="4"/>
  <c r="M670" i="4"/>
  <c r="W670" i="4" s="1"/>
  <c r="L670" i="4"/>
  <c r="Y670" i="4" s="1"/>
  <c r="I670" i="4"/>
  <c r="F670" i="4"/>
  <c r="D670" i="4"/>
  <c r="U670" i="4"/>
  <c r="AI670" i="4" s="1"/>
  <c r="K676" i="4"/>
  <c r="O671" i="4"/>
  <c r="N671" i="4"/>
  <c r="AA671" i="4" s="1"/>
  <c r="H671" i="4"/>
  <c r="G671" i="4"/>
  <c r="X671" i="4" s="1"/>
  <c r="U671" i="4"/>
  <c r="N682" i="4"/>
  <c r="AA682" i="4" s="1"/>
  <c r="M682" i="4"/>
  <c r="W682" i="4" s="1"/>
  <c r="G682" i="4"/>
  <c r="X682" i="4" s="1"/>
  <c r="F682" i="4"/>
  <c r="U682" i="4"/>
  <c r="T682" i="4"/>
  <c r="D682" i="4"/>
  <c r="S685" i="4"/>
  <c r="AE692" i="4"/>
  <c r="L697" i="4"/>
  <c r="Y697" i="4" s="1"/>
  <c r="G697" i="4"/>
  <c r="X697" i="4" s="1"/>
  <c r="F697" i="4"/>
  <c r="S697" i="4"/>
  <c r="B697" i="4"/>
  <c r="Q697" i="4"/>
  <c r="AC697" i="4" s="1"/>
  <c r="O697" i="4"/>
  <c r="N697" i="4"/>
  <c r="AA697" i="4" s="1"/>
  <c r="T699" i="4"/>
  <c r="F707" i="4"/>
  <c r="U711" i="4"/>
  <c r="Q719" i="4"/>
  <c r="AC719" i="4" s="1"/>
  <c r="O719" i="4"/>
  <c r="L719" i="4"/>
  <c r="Y719" i="4" s="1"/>
  <c r="I719" i="4"/>
  <c r="AE727" i="4"/>
  <c r="P874" i="4"/>
  <c r="AB874" i="4" s="1"/>
  <c r="AJ874" i="4"/>
  <c r="AJ714" i="4"/>
  <c r="P714" i="4"/>
  <c r="AB714" i="4" s="1"/>
  <c r="F747" i="4"/>
  <c r="O747" i="4"/>
  <c r="I747" i="4"/>
  <c r="H747" i="4"/>
  <c r="U747" i="4"/>
  <c r="T747" i="4"/>
  <c r="S747" i="4"/>
  <c r="AI747" i="4" s="1"/>
  <c r="R747" i="4"/>
  <c r="AD747" i="4" s="1"/>
  <c r="Q747" i="4"/>
  <c r="AC747" i="4" s="1"/>
  <c r="N747" i="4"/>
  <c r="AA747" i="4" s="1"/>
  <c r="M747" i="4"/>
  <c r="W747" i="4" s="1"/>
  <c r="L747" i="4"/>
  <c r="Y747" i="4" s="1"/>
  <c r="K747" i="4"/>
  <c r="J747" i="4"/>
  <c r="Z747" i="4" s="1"/>
  <c r="G747" i="4"/>
  <c r="X747" i="4" s="1"/>
  <c r="AE756" i="4"/>
  <c r="M718" i="4"/>
  <c r="W718" i="4" s="1"/>
  <c r="I718" i="4"/>
  <c r="S718" i="4"/>
  <c r="B718" i="4"/>
  <c r="Q718" i="4"/>
  <c r="AC718" i="4" s="1"/>
  <c r="O718" i="4"/>
  <c r="J718" i="4"/>
  <c r="Z718" i="4" s="1"/>
  <c r="H718" i="4"/>
  <c r="G718" i="4"/>
  <c r="X718" i="4" s="1"/>
  <c r="F718" i="4"/>
  <c r="D718" i="4"/>
  <c r="R718" i="4"/>
  <c r="AD718" i="4" s="1"/>
  <c r="J767" i="4"/>
  <c r="Z767" i="4" s="1"/>
  <c r="R767" i="4"/>
  <c r="AD767" i="4" s="1"/>
  <c r="B767" i="4"/>
  <c r="N767" i="4"/>
  <c r="AA767" i="4" s="1"/>
  <c r="U767" i="4"/>
  <c r="T767" i="4"/>
  <c r="S767" i="4"/>
  <c r="L767" i="4"/>
  <c r="Y767" i="4" s="1"/>
  <c r="K767" i="4"/>
  <c r="V767" i="4" s="1"/>
  <c r="H767" i="4"/>
  <c r="Q767" i="4"/>
  <c r="AC767" i="4" s="1"/>
  <c r="O767" i="4"/>
  <c r="M767" i="4"/>
  <c r="W767" i="4" s="1"/>
  <c r="I767" i="4"/>
  <c r="G767" i="4"/>
  <c r="X767" i="4" s="1"/>
  <c r="F767" i="4"/>
  <c r="D767" i="4"/>
  <c r="Q787" i="4"/>
  <c r="AC787" i="4" s="1"/>
  <c r="G787" i="4"/>
  <c r="X787" i="4" s="1"/>
  <c r="F787" i="4"/>
  <c r="U787" i="4"/>
  <c r="D787" i="4"/>
  <c r="S787" i="4"/>
  <c r="B787" i="4"/>
  <c r="O787" i="4"/>
  <c r="L787" i="4"/>
  <c r="Y787" i="4" s="1"/>
  <c r="K787" i="4"/>
  <c r="I787" i="4"/>
  <c r="H787" i="4"/>
  <c r="J787" i="4"/>
  <c r="Z787" i="4" s="1"/>
  <c r="T787" i="4"/>
  <c r="R787" i="4"/>
  <c r="AD787" i="4" s="1"/>
  <c r="N787" i="4"/>
  <c r="AA787" i="4" s="1"/>
  <c r="M787" i="4"/>
  <c r="W787" i="4" s="1"/>
  <c r="O628" i="4"/>
  <c r="H628" i="4"/>
  <c r="F628" i="4"/>
  <c r="Q638" i="4"/>
  <c r="AC638" i="4" s="1"/>
  <c r="J638" i="4"/>
  <c r="Z638" i="4" s="1"/>
  <c r="H638" i="4"/>
  <c r="R643" i="4"/>
  <c r="AD643" i="4" s="1"/>
  <c r="B643" i="4"/>
  <c r="K643" i="4"/>
  <c r="V643" i="4" s="1"/>
  <c r="I643" i="4"/>
  <c r="O646" i="4"/>
  <c r="U659" i="4"/>
  <c r="S662" i="4"/>
  <c r="AI662" i="4" s="1"/>
  <c r="N666" i="4"/>
  <c r="AA666" i="4" s="1"/>
  <c r="M666" i="4"/>
  <c r="W666" i="4" s="1"/>
  <c r="F666" i="4"/>
  <c r="T666" i="4"/>
  <c r="D666" i="4"/>
  <c r="I671" i="4"/>
  <c r="K673" i="4"/>
  <c r="V673" i="4" s="1"/>
  <c r="T680" i="4"/>
  <c r="M680" i="4"/>
  <c r="W680" i="4" s="1"/>
  <c r="K680" i="4"/>
  <c r="J680" i="4"/>
  <c r="Z680" i="4" s="1"/>
  <c r="J682" i="4"/>
  <c r="Z682" i="4" s="1"/>
  <c r="K684" i="4"/>
  <c r="V684" i="4" s="1"/>
  <c r="O692" i="4"/>
  <c r="I692" i="4"/>
  <c r="H692" i="4"/>
  <c r="G692" i="4"/>
  <c r="X692" i="4" s="1"/>
  <c r="F692" i="4"/>
  <c r="I697" i="4"/>
  <c r="O707" i="4"/>
  <c r="L712" i="4"/>
  <c r="Y712" i="4" s="1"/>
  <c r="AJ716" i="4"/>
  <c r="P716" i="4"/>
  <c r="AB716" i="4" s="1"/>
  <c r="U745" i="4"/>
  <c r="T745" i="4"/>
  <c r="S745" i="4"/>
  <c r="O745" i="4"/>
  <c r="H745" i="4"/>
  <c r="AE768" i="4"/>
  <c r="U685" i="4"/>
  <c r="T685" i="4"/>
  <c r="D685" i="4"/>
  <c r="N685" i="4"/>
  <c r="AA685" i="4" s="1"/>
  <c r="M685" i="4"/>
  <c r="W685" i="4" s="1"/>
  <c r="L685" i="4"/>
  <c r="Y685" i="4" s="1"/>
  <c r="K685" i="4"/>
  <c r="V685" i="4" s="1"/>
  <c r="D692" i="4"/>
  <c r="J697" i="4"/>
  <c r="Z697" i="4" s="1"/>
  <c r="P702" i="4"/>
  <c r="AB702" i="4" s="1"/>
  <c r="K718" i="4"/>
  <c r="AE719" i="4"/>
  <c r="F745" i="4"/>
  <c r="AJ754" i="4"/>
  <c r="P754" i="4"/>
  <c r="AB754" i="4" s="1"/>
  <c r="O612" i="4"/>
  <c r="H612" i="4"/>
  <c r="U612" i="4"/>
  <c r="L620" i="4"/>
  <c r="Y620" i="4" s="1"/>
  <c r="L630" i="4"/>
  <c r="Y630" i="4" s="1"/>
  <c r="M640" i="4"/>
  <c r="W640" i="4" s="1"/>
  <c r="S646" i="4"/>
  <c r="AI646" i="4" s="1"/>
  <c r="N650" i="4"/>
  <c r="AA650" i="4" s="1"/>
  <c r="M650" i="4"/>
  <c r="W650" i="4" s="1"/>
  <c r="F650" i="4"/>
  <c r="T650" i="4"/>
  <c r="AE650" i="4" s="1"/>
  <c r="D650" i="4"/>
  <c r="U653" i="4"/>
  <c r="T653" i="4"/>
  <c r="AI653" i="4" s="1"/>
  <c r="D653" i="4"/>
  <c r="M653" i="4"/>
  <c r="W653" i="4" s="1"/>
  <c r="K653" i="4"/>
  <c r="V653" i="4" s="1"/>
  <c r="L656" i="4"/>
  <c r="Y656" i="4" s="1"/>
  <c r="K656" i="4"/>
  <c r="V656" i="4" s="1"/>
  <c r="T656" i="4"/>
  <c r="D656" i="4"/>
  <c r="R656" i="4"/>
  <c r="AD656" i="4" s="1"/>
  <c r="B656" i="4"/>
  <c r="S659" i="4"/>
  <c r="G666" i="4"/>
  <c r="X666" i="4" s="1"/>
  <c r="H668" i="4"/>
  <c r="G668" i="4"/>
  <c r="X668" i="4" s="1"/>
  <c r="Q668" i="4"/>
  <c r="AC668" i="4" s="1"/>
  <c r="N668" i="4"/>
  <c r="AA668" i="4" s="1"/>
  <c r="K671" i="4"/>
  <c r="V671" i="4" s="1"/>
  <c r="M673" i="4"/>
  <c r="W673" i="4" s="1"/>
  <c r="G680" i="4"/>
  <c r="X680" i="4" s="1"/>
  <c r="L682" i="4"/>
  <c r="Y682" i="4" s="1"/>
  <c r="M684" i="4"/>
  <c r="W684" i="4" s="1"/>
  <c r="F690" i="4"/>
  <c r="U690" i="4"/>
  <c r="O690" i="4"/>
  <c r="N690" i="4"/>
  <c r="AA690" i="4" s="1"/>
  <c r="M690" i="4"/>
  <c r="W690" i="4" s="1"/>
  <c r="L690" i="4"/>
  <c r="Y690" i="4" s="1"/>
  <c r="K697" i="4"/>
  <c r="Q705" i="4"/>
  <c r="AC705" i="4" s="1"/>
  <c r="J717" i="4"/>
  <c r="Z717" i="4" s="1"/>
  <c r="R717" i="4"/>
  <c r="AD717" i="4" s="1"/>
  <c r="I717" i="4"/>
  <c r="H717" i="4"/>
  <c r="U717" i="4"/>
  <c r="S717" i="4"/>
  <c r="Q717" i="4"/>
  <c r="AC717" i="4" s="1"/>
  <c r="K717" i="4"/>
  <c r="V717" i="4" s="1"/>
  <c r="L718" i="4"/>
  <c r="Y718" i="4" s="1"/>
  <c r="J735" i="4"/>
  <c r="Z735" i="4" s="1"/>
  <c r="K735" i="4"/>
  <c r="I735" i="4"/>
  <c r="S735" i="4"/>
  <c r="AI735" i="4" s="1"/>
  <c r="B735" i="4"/>
  <c r="Q735" i="4"/>
  <c r="AC735" i="4" s="1"/>
  <c r="U735" i="4"/>
  <c r="T735" i="4"/>
  <c r="R735" i="4"/>
  <c r="AD735" i="4" s="1"/>
  <c r="O735" i="4"/>
  <c r="N735" i="4"/>
  <c r="AA735" i="4" s="1"/>
  <c r="M735" i="4"/>
  <c r="W735" i="4" s="1"/>
  <c r="L735" i="4"/>
  <c r="Y735" i="4" s="1"/>
  <c r="H735" i="4"/>
  <c r="G735" i="4"/>
  <c r="X735" i="4" s="1"/>
  <c r="F735" i="4"/>
  <c r="AJ736" i="4"/>
  <c r="F685" i="4"/>
  <c r="F699" i="4"/>
  <c r="U699" i="4"/>
  <c r="D699" i="4"/>
  <c r="Q699" i="4"/>
  <c r="AC699" i="4" s="1"/>
  <c r="O699" i="4"/>
  <c r="N699" i="4"/>
  <c r="AA699" i="4" s="1"/>
  <c r="M699" i="4"/>
  <c r="W699" i="4" s="1"/>
  <c r="L699" i="4"/>
  <c r="Y699" i="4" s="1"/>
  <c r="G699" i="4"/>
  <c r="X699" i="4" s="1"/>
  <c r="AE702" i="4"/>
  <c r="N718" i="4"/>
  <c r="AA718" i="4" s="1"/>
  <c r="T722" i="4"/>
  <c r="R722" i="4"/>
  <c r="AD722" i="4" s="1"/>
  <c r="K722" i="4"/>
  <c r="I722" i="4"/>
  <c r="AI730" i="4"/>
  <c r="R759" i="4"/>
  <c r="AD759" i="4" s="1"/>
  <c r="B759" i="4"/>
  <c r="J759" i="4"/>
  <c r="Z759" i="4" s="1"/>
  <c r="F759" i="4"/>
  <c r="I759" i="4"/>
  <c r="H759" i="4"/>
  <c r="T759" i="4"/>
  <c r="S759" i="4"/>
  <c r="U759" i="4"/>
  <c r="Q759" i="4"/>
  <c r="AC759" i="4" s="1"/>
  <c r="O759" i="4"/>
  <c r="N759" i="4"/>
  <c r="AA759" i="4" s="1"/>
  <c r="M759" i="4"/>
  <c r="W759" i="4" s="1"/>
  <c r="L759" i="4"/>
  <c r="Y759" i="4" s="1"/>
  <c r="K759" i="4"/>
  <c r="G759" i="4"/>
  <c r="X759" i="4" s="1"/>
  <c r="D759" i="4"/>
  <c r="J662" i="4"/>
  <c r="Z662" i="4" s="1"/>
  <c r="I662" i="4"/>
  <c r="R662" i="4"/>
  <c r="AD662" i="4" s="1"/>
  <c r="B662" i="4"/>
  <c r="M671" i="4"/>
  <c r="W671" i="4" s="1"/>
  <c r="S673" i="4"/>
  <c r="AI673" i="4" s="1"/>
  <c r="AE678" i="4"/>
  <c r="I680" i="4"/>
  <c r="P682" i="4"/>
  <c r="AB682" i="4" s="1"/>
  <c r="S684" i="4"/>
  <c r="AI684" i="4" s="1"/>
  <c r="G685" i="4"/>
  <c r="X685" i="4" s="1"/>
  <c r="K692" i="4"/>
  <c r="R697" i="4"/>
  <c r="AD697" i="4" s="1"/>
  <c r="T718" i="4"/>
  <c r="G722" i="4"/>
  <c r="X722" i="4" s="1"/>
  <c r="T737" i="4"/>
  <c r="D737" i="4"/>
  <c r="I737" i="4"/>
  <c r="H737" i="4"/>
  <c r="Q737" i="4"/>
  <c r="AC737" i="4" s="1"/>
  <c r="O737" i="4"/>
  <c r="U737" i="4"/>
  <c r="S737" i="4"/>
  <c r="R737" i="4"/>
  <c r="AD737" i="4" s="1"/>
  <c r="M737" i="4"/>
  <c r="W737" i="4" s="1"/>
  <c r="L737" i="4"/>
  <c r="Y737" i="4" s="1"/>
  <c r="K737" i="4"/>
  <c r="V737" i="4" s="1"/>
  <c r="J737" i="4"/>
  <c r="Z737" i="4" s="1"/>
  <c r="G737" i="4"/>
  <c r="X737" i="4" s="1"/>
  <c r="F737" i="4"/>
  <c r="AJ764" i="4"/>
  <c r="P764" i="4"/>
  <c r="AB764" i="4" s="1"/>
  <c r="J628" i="4"/>
  <c r="Z628" i="4" s="1"/>
  <c r="I638" i="4"/>
  <c r="H643" i="4"/>
  <c r="F659" i="4"/>
  <c r="D662" i="4"/>
  <c r="Q665" i="4"/>
  <c r="AC665" i="4" s="1"/>
  <c r="I665" i="4"/>
  <c r="G665" i="4"/>
  <c r="X665" i="4" s="1"/>
  <c r="J666" i="4"/>
  <c r="Z666" i="4" s="1"/>
  <c r="F668" i="4"/>
  <c r="H678" i="4"/>
  <c r="AJ678" i="4"/>
  <c r="N680" i="4"/>
  <c r="AA680" i="4" s="1"/>
  <c r="Q681" i="4"/>
  <c r="AC681" i="4" s="1"/>
  <c r="J681" i="4"/>
  <c r="Z681" i="4" s="1"/>
  <c r="I681" i="4"/>
  <c r="H681" i="4"/>
  <c r="G681" i="4"/>
  <c r="X681" i="4" s="1"/>
  <c r="Q682" i="4"/>
  <c r="AC682" i="4" s="1"/>
  <c r="K683" i="4"/>
  <c r="V683" i="4" s="1"/>
  <c r="T683" i="4"/>
  <c r="AE683" i="4" s="1"/>
  <c r="R683" i="4"/>
  <c r="AD683" i="4" s="1"/>
  <c r="Q683" i="4"/>
  <c r="AC683" i="4" s="1"/>
  <c r="H685" i="4"/>
  <c r="G690" i="4"/>
  <c r="X690" i="4" s="1"/>
  <c r="L692" i="4"/>
  <c r="Y692" i="4" s="1"/>
  <c r="T697" i="4"/>
  <c r="H699" i="4"/>
  <c r="L717" i="4"/>
  <c r="Y717" i="4" s="1"/>
  <c r="U718" i="4"/>
  <c r="H722" i="4"/>
  <c r="AI771" i="4"/>
  <c r="AE776" i="4"/>
  <c r="J646" i="4"/>
  <c r="Z646" i="4" s="1"/>
  <c r="I646" i="4"/>
  <c r="R646" i="4"/>
  <c r="AD646" i="4" s="1"/>
  <c r="B646" i="4"/>
  <c r="Q671" i="4"/>
  <c r="AC671" i="4" s="1"/>
  <c r="R682" i="4"/>
  <c r="AD682" i="4" s="1"/>
  <c r="I685" i="4"/>
  <c r="R695" i="4"/>
  <c r="AD695" i="4" s="1"/>
  <c r="B695" i="4"/>
  <c r="I695" i="4"/>
  <c r="H695" i="4"/>
  <c r="U695" i="4"/>
  <c r="D695" i="4"/>
  <c r="S695" i="4"/>
  <c r="Q695" i="4"/>
  <c r="AC695" i="4" s="1"/>
  <c r="O695" i="4"/>
  <c r="U697" i="4"/>
  <c r="I699" i="4"/>
  <c r="S722" i="4"/>
  <c r="AE739" i="4"/>
  <c r="P776" i="4"/>
  <c r="AB776" i="4" s="1"/>
  <c r="AJ776" i="4"/>
  <c r="J607" i="4"/>
  <c r="J612" i="4"/>
  <c r="Z612" i="4" s="1"/>
  <c r="M628" i="4"/>
  <c r="W628" i="4" s="1"/>
  <c r="M638" i="4"/>
  <c r="W638" i="4" s="1"/>
  <c r="M643" i="4"/>
  <c r="W643" i="4" s="1"/>
  <c r="K650" i="4"/>
  <c r="J653" i="4"/>
  <c r="Z653" i="4" s="1"/>
  <c r="J656" i="4"/>
  <c r="Z656" i="4" s="1"/>
  <c r="J659" i="4"/>
  <c r="Z659" i="4" s="1"/>
  <c r="G662" i="4"/>
  <c r="X662" i="4" s="1"/>
  <c r="F665" i="4"/>
  <c r="O666" i="4"/>
  <c r="K668" i="4"/>
  <c r="V668" i="4" s="1"/>
  <c r="S671" i="4"/>
  <c r="S675" i="4"/>
  <c r="AI675" i="4" s="1"/>
  <c r="Q680" i="4"/>
  <c r="AC680" i="4" s="1"/>
  <c r="O685" i="4"/>
  <c r="J690" i="4"/>
  <c r="Z690" i="4" s="1"/>
  <c r="Q692" i="4"/>
  <c r="AC692" i="4" s="1"/>
  <c r="F695" i="4"/>
  <c r="K699" i="4"/>
  <c r="T701" i="4"/>
  <c r="AE713" i="4"/>
  <c r="O717" i="4"/>
  <c r="AI776" i="4"/>
  <c r="F646" i="4"/>
  <c r="L659" i="4"/>
  <c r="Y659" i="4" s="1"/>
  <c r="H662" i="4"/>
  <c r="J667" i="4"/>
  <c r="Z667" i="4" s="1"/>
  <c r="T671" i="4"/>
  <c r="S691" i="4"/>
  <c r="AI691" i="4" s="1"/>
  <c r="R696" i="4"/>
  <c r="AD696" i="4" s="1"/>
  <c r="M725" i="4"/>
  <c r="W725" i="4" s="1"/>
  <c r="K725" i="4"/>
  <c r="V725" i="4" s="1"/>
  <c r="U725" i="4"/>
  <c r="S725" i="4"/>
  <c r="Q725" i="4"/>
  <c r="AC725" i="4" s="1"/>
  <c r="O725" i="4"/>
  <c r="N725" i="4"/>
  <c r="AA725" i="4" s="1"/>
  <c r="L725" i="4"/>
  <c r="Y725" i="4" s="1"/>
  <c r="J725" i="4"/>
  <c r="Z725" i="4" s="1"/>
  <c r="I725" i="4"/>
  <c r="G725" i="4"/>
  <c r="X725" i="4" s="1"/>
  <c r="F725" i="4"/>
  <c r="P733" i="4"/>
  <c r="AB733" i="4" s="1"/>
  <c r="AJ733" i="4"/>
  <c r="G620" i="4"/>
  <c r="X620" i="4" s="1"/>
  <c r="N620" i="4"/>
  <c r="AA620" i="4" s="1"/>
  <c r="I630" i="4"/>
  <c r="R630" i="4"/>
  <c r="AD630" i="4" s="1"/>
  <c r="B630" i="4"/>
  <c r="J635" i="4"/>
  <c r="Z635" i="4" s="1"/>
  <c r="O638" i="4"/>
  <c r="K640" i="4"/>
  <c r="V640" i="4" s="1"/>
  <c r="T640" i="4"/>
  <c r="AE640" i="4" s="1"/>
  <c r="D640" i="4"/>
  <c r="R640" i="4"/>
  <c r="AD640" i="4" s="1"/>
  <c r="B640" i="4"/>
  <c r="O643" i="4"/>
  <c r="G646" i="4"/>
  <c r="X646" i="4" s="1"/>
  <c r="K662" i="4"/>
  <c r="V662" i="4" s="1"/>
  <c r="S664" i="4"/>
  <c r="Q666" i="4"/>
  <c r="AC666" i="4" s="1"/>
  <c r="I673" i="4"/>
  <c r="H673" i="4"/>
  <c r="R673" i="4"/>
  <c r="AD673" i="4" s="1"/>
  <c r="B673" i="4"/>
  <c r="Q673" i="4"/>
  <c r="AC673" i="4" s="1"/>
  <c r="O673" i="4"/>
  <c r="L675" i="4"/>
  <c r="Y675" i="4" s="1"/>
  <c r="J675" i="4"/>
  <c r="Z675" i="4" s="1"/>
  <c r="U680" i="4"/>
  <c r="H684" i="4"/>
  <c r="G684" i="4"/>
  <c r="X684" i="4" s="1"/>
  <c r="Q684" i="4"/>
  <c r="AC684" i="4" s="1"/>
  <c r="O684" i="4"/>
  <c r="N684" i="4"/>
  <c r="AA684" i="4" s="1"/>
  <c r="Q685" i="4"/>
  <c r="AC685" i="4" s="1"/>
  <c r="S692" i="4"/>
  <c r="AI692" i="4" s="1"/>
  <c r="J695" i="4"/>
  <c r="Z695" i="4" s="1"/>
  <c r="R699" i="4"/>
  <c r="AD699" i="4" s="1"/>
  <c r="N701" i="4"/>
  <c r="AA701" i="4" s="1"/>
  <c r="J701" i="4"/>
  <c r="Z701" i="4" s="1"/>
  <c r="U701" i="4"/>
  <c r="N707" i="4"/>
  <c r="AA707" i="4" s="1"/>
  <c r="U707" i="4"/>
  <c r="D707" i="4"/>
  <c r="M707" i="4"/>
  <c r="W707" i="4" s="1"/>
  <c r="H707" i="4"/>
  <c r="G707" i="4"/>
  <c r="X707" i="4" s="1"/>
  <c r="B707" i="4"/>
  <c r="S707" i="4"/>
  <c r="AI707" i="4" s="1"/>
  <c r="R707" i="4"/>
  <c r="AD707" i="4" s="1"/>
  <c r="Q707" i="4"/>
  <c r="AC707" i="4" s="1"/>
  <c r="I707" i="4"/>
  <c r="O712" i="4"/>
  <c r="H712" i="4"/>
  <c r="F712" i="4"/>
  <c r="T712" i="4"/>
  <c r="AE712" i="4" s="1"/>
  <c r="S712" i="4"/>
  <c r="R712" i="4"/>
  <c r="AD712" i="4" s="1"/>
  <c r="Q712" i="4"/>
  <c r="AC712" i="4" s="1"/>
  <c r="N712" i="4"/>
  <c r="AA712" i="4" s="1"/>
  <c r="M712" i="4"/>
  <c r="W712" i="4" s="1"/>
  <c r="G712" i="4"/>
  <c r="X712" i="4" s="1"/>
  <c r="H731" i="4"/>
  <c r="R731" i="4"/>
  <c r="AD731" i="4" s="1"/>
  <c r="AE736" i="4"/>
  <c r="AJ743" i="4"/>
  <c r="P743" i="4"/>
  <c r="AB743" i="4" s="1"/>
  <c r="P746" i="4"/>
  <c r="AB746" i="4" s="1"/>
  <c r="AJ746" i="4"/>
  <c r="M766" i="4"/>
  <c r="W766" i="4" s="1"/>
  <c r="U766" i="4"/>
  <c r="Q766" i="4"/>
  <c r="AC766" i="4" s="1"/>
  <c r="O766" i="4"/>
  <c r="N766" i="4"/>
  <c r="AA766" i="4" s="1"/>
  <c r="H766" i="4"/>
  <c r="G766" i="4"/>
  <c r="X766" i="4" s="1"/>
  <c r="T766" i="4"/>
  <c r="S766" i="4"/>
  <c r="R766" i="4"/>
  <c r="AD766" i="4" s="1"/>
  <c r="L766" i="4"/>
  <c r="Y766" i="4" s="1"/>
  <c r="K766" i="4"/>
  <c r="V766" i="4" s="1"/>
  <c r="J766" i="4"/>
  <c r="Z766" i="4" s="1"/>
  <c r="I766" i="4"/>
  <c r="F766" i="4"/>
  <c r="B766" i="4"/>
  <c r="M702" i="4"/>
  <c r="W702" i="4" s="1"/>
  <c r="T702" i="4"/>
  <c r="T705" i="4"/>
  <c r="D705" i="4"/>
  <c r="O705" i="4"/>
  <c r="L708" i="4"/>
  <c r="Y708" i="4" s="1"/>
  <c r="K713" i="4"/>
  <c r="K720" i="4"/>
  <c r="V720" i="4" s="1"/>
  <c r="I723" i="4"/>
  <c r="O729" i="4"/>
  <c r="I730" i="4"/>
  <c r="O730" i="4"/>
  <c r="G730" i="4"/>
  <c r="X730" i="4" s="1"/>
  <c r="L731" i="4"/>
  <c r="Y731" i="4" s="1"/>
  <c r="N734" i="4"/>
  <c r="AA734" i="4" s="1"/>
  <c r="L736" i="4"/>
  <c r="Y736" i="4" s="1"/>
  <c r="J738" i="4"/>
  <c r="Z738" i="4" s="1"/>
  <c r="G740" i="4"/>
  <c r="X740" i="4" s="1"/>
  <c r="N744" i="4"/>
  <c r="AA744" i="4" s="1"/>
  <c r="L745" i="4"/>
  <c r="Y745" i="4" s="1"/>
  <c r="R745" i="4"/>
  <c r="AD745" i="4" s="1"/>
  <c r="Q745" i="4"/>
  <c r="AC745" i="4" s="1"/>
  <c r="I745" i="4"/>
  <c r="G745" i="4"/>
  <c r="X745" i="4" s="1"/>
  <c r="M746" i="4"/>
  <c r="W746" i="4" s="1"/>
  <c r="K748" i="4"/>
  <c r="V748" i="4" s="1"/>
  <c r="G750" i="4"/>
  <c r="X750" i="4" s="1"/>
  <c r="F752" i="4"/>
  <c r="F761" i="4"/>
  <c r="AI768" i="4"/>
  <c r="O769" i="4"/>
  <c r="N770" i="4"/>
  <c r="AA770" i="4" s="1"/>
  <c r="J771" i="4"/>
  <c r="Z771" i="4" s="1"/>
  <c r="F772" i="4"/>
  <c r="J773" i="4"/>
  <c r="Z773" i="4" s="1"/>
  <c r="J776" i="4"/>
  <c r="Z776" i="4" s="1"/>
  <c r="R835" i="4"/>
  <c r="AD835" i="4" s="1"/>
  <c r="B835" i="4"/>
  <c r="Q835" i="4"/>
  <c r="AC835" i="4" s="1"/>
  <c r="L835" i="4"/>
  <c r="Y835" i="4" s="1"/>
  <c r="J835" i="4"/>
  <c r="Z835" i="4" s="1"/>
  <c r="I835" i="4"/>
  <c r="H835" i="4"/>
  <c r="T835" i="4"/>
  <c r="D835" i="4"/>
  <c r="U835" i="4"/>
  <c r="S835" i="4"/>
  <c r="O835" i="4"/>
  <c r="N835" i="4"/>
  <c r="AA835" i="4" s="1"/>
  <c r="M835" i="4"/>
  <c r="W835" i="4" s="1"/>
  <c r="K835" i="4"/>
  <c r="V835" i="4" s="1"/>
  <c r="G835" i="4"/>
  <c r="X835" i="4" s="1"/>
  <c r="F835" i="4"/>
  <c r="O738" i="4"/>
  <c r="N739" i="4"/>
  <c r="AA739" i="4" s="1"/>
  <c r="G739" i="4"/>
  <c r="X739" i="4" s="1"/>
  <c r="F739" i="4"/>
  <c r="M739" i="4"/>
  <c r="W739" i="4" s="1"/>
  <c r="L740" i="4"/>
  <c r="Y740" i="4" s="1"/>
  <c r="Q748" i="4"/>
  <c r="AC748" i="4" s="1"/>
  <c r="N750" i="4"/>
  <c r="AA750" i="4" s="1"/>
  <c r="T753" i="4"/>
  <c r="D753" i="4"/>
  <c r="J753" i="4"/>
  <c r="Z753" i="4" s="1"/>
  <c r="I753" i="4"/>
  <c r="S753" i="4"/>
  <c r="B753" i="4"/>
  <c r="R753" i="4"/>
  <c r="AD753" i="4" s="1"/>
  <c r="S757" i="4"/>
  <c r="T771" i="4"/>
  <c r="AE771" i="4" s="1"/>
  <c r="O773" i="4"/>
  <c r="T802" i="4"/>
  <c r="D802" i="4"/>
  <c r="K802" i="4"/>
  <c r="L802" i="4"/>
  <c r="Y802" i="4" s="1"/>
  <c r="J802" i="4"/>
  <c r="Z802" i="4" s="1"/>
  <c r="I802" i="4"/>
  <c r="H802" i="4"/>
  <c r="G802" i="4"/>
  <c r="X802" i="4" s="1"/>
  <c r="F802" i="4"/>
  <c r="U802" i="4"/>
  <c r="B802" i="4"/>
  <c r="S802" i="4"/>
  <c r="O802" i="4"/>
  <c r="R802" i="4"/>
  <c r="AD802" i="4" s="1"/>
  <c r="Q802" i="4"/>
  <c r="AC802" i="4" s="1"/>
  <c r="N802" i="4"/>
  <c r="AA802" i="4" s="1"/>
  <c r="S629" i="4"/>
  <c r="S645" i="4"/>
  <c r="I659" i="4"/>
  <c r="S661" i="4"/>
  <c r="AI661" i="4" s="1"/>
  <c r="B672" i="4"/>
  <c r="R672" i="4"/>
  <c r="AD672" i="4" s="1"/>
  <c r="I675" i="4"/>
  <c r="S677" i="4"/>
  <c r="AI677" i="4" s="1"/>
  <c r="B688" i="4"/>
  <c r="R688" i="4"/>
  <c r="AD688" i="4" s="1"/>
  <c r="I691" i="4"/>
  <c r="S693" i="4"/>
  <c r="N696" i="4"/>
  <c r="AA696" i="4" s="1"/>
  <c r="J700" i="4"/>
  <c r="Z700" i="4" s="1"/>
  <c r="I701" i="4"/>
  <c r="H702" i="4"/>
  <c r="I705" i="4"/>
  <c r="R708" i="4"/>
  <c r="AD708" i="4" s="1"/>
  <c r="H709" i="4"/>
  <c r="S709" i="4"/>
  <c r="AI709" i="4" s="1"/>
  <c r="B709" i="4"/>
  <c r="L709" i="4"/>
  <c r="Y709" i="4" s="1"/>
  <c r="J711" i="4"/>
  <c r="Z711" i="4" s="1"/>
  <c r="R713" i="4"/>
  <c r="AD713" i="4" s="1"/>
  <c r="I714" i="4"/>
  <c r="N714" i="4"/>
  <c r="AA714" i="4" s="1"/>
  <c r="F714" i="4"/>
  <c r="U714" i="4"/>
  <c r="AI714" i="4" s="1"/>
  <c r="D714" i="4"/>
  <c r="L716" i="4"/>
  <c r="Y716" i="4" s="1"/>
  <c r="K719" i="4"/>
  <c r="R720" i="4"/>
  <c r="AD720" i="4" s="1"/>
  <c r="T721" i="4"/>
  <c r="AE721" i="4" s="1"/>
  <c r="D721" i="4"/>
  <c r="G721" i="4"/>
  <c r="X721" i="4" s="1"/>
  <c r="N721" i="4"/>
  <c r="AA721" i="4" s="1"/>
  <c r="J722" i="4"/>
  <c r="Z722" i="4" s="1"/>
  <c r="Q723" i="4"/>
  <c r="AC723" i="4" s="1"/>
  <c r="R727" i="4"/>
  <c r="AD727" i="4" s="1"/>
  <c r="B727" i="4"/>
  <c r="S727" i="4"/>
  <c r="AI727" i="4" s="1"/>
  <c r="Q727" i="4"/>
  <c r="AC727" i="4" s="1"/>
  <c r="J727" i="4"/>
  <c r="Z727" i="4" s="1"/>
  <c r="H727" i="4"/>
  <c r="L728" i="4"/>
  <c r="Y728" i="4" s="1"/>
  <c r="J730" i="4"/>
  <c r="Z730" i="4" s="1"/>
  <c r="S731" i="4"/>
  <c r="J733" i="4"/>
  <c r="Z733" i="4" s="1"/>
  <c r="S736" i="4"/>
  <c r="AI736" i="4" s="1"/>
  <c r="R738" i="4"/>
  <c r="AD738" i="4" s="1"/>
  <c r="D739" i="4"/>
  <c r="N740" i="4"/>
  <c r="AA740" i="4" s="1"/>
  <c r="L743" i="4"/>
  <c r="Y743" i="4" s="1"/>
  <c r="J745" i="4"/>
  <c r="Z745" i="4" s="1"/>
  <c r="T746" i="4"/>
  <c r="AI746" i="4" s="1"/>
  <c r="R748" i="4"/>
  <c r="AD748" i="4" s="1"/>
  <c r="O750" i="4"/>
  <c r="P765" i="4"/>
  <c r="AB765" i="4" s="1"/>
  <c r="AJ765" i="4"/>
  <c r="R773" i="4"/>
  <c r="AD773" i="4" s="1"/>
  <c r="S672" i="4"/>
  <c r="Q678" i="4"/>
  <c r="AC678" i="4" s="1"/>
  <c r="S688" i="4"/>
  <c r="J691" i="4"/>
  <c r="Z691" i="4" s="1"/>
  <c r="K700" i="4"/>
  <c r="I702" i="4"/>
  <c r="J705" i="4"/>
  <c r="Z705" i="4" s="1"/>
  <c r="S708" i="4"/>
  <c r="S713" i="4"/>
  <c r="AI713" i="4" s="1"/>
  <c r="S720" i="4"/>
  <c r="R723" i="4"/>
  <c r="AD723" i="4" s="1"/>
  <c r="K724" i="4"/>
  <c r="U724" i="4"/>
  <c r="AI724" i="4" s="1"/>
  <c r="D724" i="4"/>
  <c r="N724" i="4"/>
  <c r="AA724" i="4" s="1"/>
  <c r="L724" i="4"/>
  <c r="Y724" i="4" s="1"/>
  <c r="D727" i="4"/>
  <c r="K730" i="4"/>
  <c r="M733" i="4"/>
  <c r="W733" i="4" s="1"/>
  <c r="T736" i="4"/>
  <c r="S738" i="4"/>
  <c r="M743" i="4"/>
  <c r="W743" i="4" s="1"/>
  <c r="K745" i="4"/>
  <c r="U746" i="4"/>
  <c r="O752" i="4"/>
  <c r="F753" i="4"/>
  <c r="O755" i="4"/>
  <c r="N758" i="4"/>
  <c r="AA758" i="4" s="1"/>
  <c r="R761" i="4"/>
  <c r="AD761" i="4" s="1"/>
  <c r="M802" i="4"/>
  <c r="W802" i="4" s="1"/>
  <c r="L616" i="4"/>
  <c r="Y616" i="4" s="1"/>
  <c r="S619" i="4"/>
  <c r="U629" i="4"/>
  <c r="L632" i="4"/>
  <c r="Y632" i="4" s="1"/>
  <c r="S635" i="4"/>
  <c r="AI635" i="4" s="1"/>
  <c r="U645" i="4"/>
  <c r="L648" i="4"/>
  <c r="S651" i="4"/>
  <c r="AI651" i="4" s="1"/>
  <c r="K659" i="4"/>
  <c r="U661" i="4"/>
  <c r="L664" i="4"/>
  <c r="Y664" i="4" s="1"/>
  <c r="S667" i="4"/>
  <c r="AI667" i="4" s="1"/>
  <c r="D672" i="4"/>
  <c r="T672" i="4"/>
  <c r="K675" i="4"/>
  <c r="U677" i="4"/>
  <c r="B678" i="4"/>
  <c r="R678" i="4"/>
  <c r="AD678" i="4" s="1"/>
  <c r="L680" i="4"/>
  <c r="Y680" i="4" s="1"/>
  <c r="S683" i="4"/>
  <c r="AI683" i="4" s="1"/>
  <c r="D688" i="4"/>
  <c r="T688" i="4"/>
  <c r="K691" i="4"/>
  <c r="U693" i="4"/>
  <c r="B694" i="4"/>
  <c r="R694" i="4"/>
  <c r="AD694" i="4" s="1"/>
  <c r="Q696" i="4"/>
  <c r="AC696" i="4" s="1"/>
  <c r="L700" i="4"/>
  <c r="Y700" i="4" s="1"/>
  <c r="K701" i="4"/>
  <c r="J702" i="4"/>
  <c r="Z702" i="4" s="1"/>
  <c r="K705" i="4"/>
  <c r="V705" i="4" s="1"/>
  <c r="U708" i="4"/>
  <c r="L711" i="4"/>
  <c r="Y711" i="4" s="1"/>
  <c r="T713" i="4"/>
  <c r="G714" i="4"/>
  <c r="X714" i="4" s="1"/>
  <c r="V715" i="4"/>
  <c r="N716" i="4"/>
  <c r="AA716" i="4" s="1"/>
  <c r="M719" i="4"/>
  <c r="W719" i="4" s="1"/>
  <c r="T720" i="4"/>
  <c r="AE720" i="4" s="1"/>
  <c r="F721" i="4"/>
  <c r="L722" i="4"/>
  <c r="Y722" i="4" s="1"/>
  <c r="S723" i="4"/>
  <c r="AI723" i="4" s="1"/>
  <c r="P726" i="4"/>
  <c r="AB726" i="4" s="1"/>
  <c r="L729" i="4"/>
  <c r="Y729" i="4" s="1"/>
  <c r="Q729" i="4"/>
  <c r="AC729" i="4" s="1"/>
  <c r="H729" i="4"/>
  <c r="F729" i="4"/>
  <c r="L730" i="4"/>
  <c r="Y730" i="4" s="1"/>
  <c r="N733" i="4"/>
  <c r="AA733" i="4" s="1"/>
  <c r="T738" i="4"/>
  <c r="H739" i="4"/>
  <c r="Q740" i="4"/>
  <c r="AC740" i="4" s="1"/>
  <c r="H741" i="4"/>
  <c r="U741" i="4"/>
  <c r="D741" i="4"/>
  <c r="N741" i="4"/>
  <c r="AA741" i="4" s="1"/>
  <c r="L741" i="4"/>
  <c r="Y741" i="4" s="1"/>
  <c r="N743" i="4"/>
  <c r="AA743" i="4" s="1"/>
  <c r="O744" i="4"/>
  <c r="S744" i="4"/>
  <c r="B744" i="4"/>
  <c r="R744" i="4"/>
  <c r="AD744" i="4" s="1"/>
  <c r="J744" i="4"/>
  <c r="Z744" i="4" s="1"/>
  <c r="H744" i="4"/>
  <c r="M745" i="4"/>
  <c r="W745" i="4" s="1"/>
  <c r="Q750" i="4"/>
  <c r="AC750" i="4" s="1"/>
  <c r="L751" i="4"/>
  <c r="Y751" i="4" s="1"/>
  <c r="U751" i="4"/>
  <c r="R751" i="4"/>
  <c r="AD751" i="4" s="1"/>
  <c r="G753" i="4"/>
  <c r="X753" i="4" s="1"/>
  <c r="Q758" i="4"/>
  <c r="AC758" i="4" s="1"/>
  <c r="S761" i="4"/>
  <c r="U672" i="4"/>
  <c r="S678" i="4"/>
  <c r="AI678" i="4" s="1"/>
  <c r="U688" i="4"/>
  <c r="L691" i="4"/>
  <c r="Y691" i="4" s="1"/>
  <c r="S694" i="4"/>
  <c r="AI694" i="4" s="1"/>
  <c r="M700" i="4"/>
  <c r="W700" i="4" s="1"/>
  <c r="L701" i="4"/>
  <c r="Y701" i="4" s="1"/>
  <c r="K702" i="4"/>
  <c r="V702" i="4" s="1"/>
  <c r="L705" i="4"/>
  <c r="Y705" i="4" s="1"/>
  <c r="F709" i="4"/>
  <c r="M711" i="4"/>
  <c r="W711" i="4" s="1"/>
  <c r="B713" i="4"/>
  <c r="H714" i="4"/>
  <c r="N719" i="4"/>
  <c r="AA719" i="4" s="1"/>
  <c r="H721" i="4"/>
  <c r="N722" i="4"/>
  <c r="AA722" i="4" s="1"/>
  <c r="F724" i="4"/>
  <c r="F727" i="4"/>
  <c r="M730" i="4"/>
  <c r="W730" i="4" s="1"/>
  <c r="U738" i="4"/>
  <c r="I739" i="4"/>
  <c r="R740" i="4"/>
  <c r="AD740" i="4" s="1"/>
  <c r="N745" i="4"/>
  <c r="AA745" i="4" s="1"/>
  <c r="R750" i="4"/>
  <c r="AD750" i="4" s="1"/>
  <c r="H753" i="4"/>
  <c r="R758" i="4"/>
  <c r="AD758" i="4" s="1"/>
  <c r="L713" i="4"/>
  <c r="Y713" i="4" s="1"/>
  <c r="O713" i="4"/>
  <c r="G713" i="4"/>
  <c r="X713" i="4" s="1"/>
  <c r="T717" i="4"/>
  <c r="AI728" i="4"/>
  <c r="J739" i="4"/>
  <c r="Z739" i="4" s="1"/>
  <c r="S740" i="4"/>
  <c r="I746" i="4"/>
  <c r="Q746" i="4"/>
  <c r="AC746" i="4" s="1"/>
  <c r="H746" i="4"/>
  <c r="F746" i="4"/>
  <c r="K753" i="4"/>
  <c r="S764" i="4"/>
  <c r="O696" i="4"/>
  <c r="T696" i="4"/>
  <c r="O700" i="4"/>
  <c r="N702" i="4"/>
  <c r="AA702" i="4" s="1"/>
  <c r="D713" i="4"/>
  <c r="G720" i="4"/>
  <c r="X720" i="4" s="1"/>
  <c r="H720" i="4"/>
  <c r="Q720" i="4"/>
  <c r="AC720" i="4" s="1"/>
  <c r="O720" i="4"/>
  <c r="N723" i="4"/>
  <c r="AA723" i="4" s="1"/>
  <c r="O723" i="4"/>
  <c r="L723" i="4"/>
  <c r="Y723" i="4" s="1"/>
  <c r="G729" i="4"/>
  <c r="X729" i="4" s="1"/>
  <c r="F731" i="4"/>
  <c r="O731" i="4"/>
  <c r="N731" i="4"/>
  <c r="AA731" i="4" s="1"/>
  <c r="G731" i="4"/>
  <c r="X731" i="4" s="1"/>
  <c r="U731" i="4"/>
  <c r="D731" i="4"/>
  <c r="K734" i="4"/>
  <c r="R734" i="4"/>
  <c r="AD734" i="4" s="1"/>
  <c r="G736" i="4"/>
  <c r="X736" i="4" s="1"/>
  <c r="J736" i="4"/>
  <c r="Z736" i="4" s="1"/>
  <c r="I736" i="4"/>
  <c r="R736" i="4"/>
  <c r="AD736" i="4" s="1"/>
  <c r="K739" i="4"/>
  <c r="T740" i="4"/>
  <c r="F744" i="4"/>
  <c r="D746" i="4"/>
  <c r="S748" i="4"/>
  <c r="L753" i="4"/>
  <c r="Y753" i="4" s="1"/>
  <c r="Q754" i="4"/>
  <c r="AC754" i="4" s="1"/>
  <c r="I754" i="4"/>
  <c r="U754" i="4"/>
  <c r="J754" i="4"/>
  <c r="Z754" i="4" s="1"/>
  <c r="H754" i="4"/>
  <c r="T754" i="4"/>
  <c r="B754" i="4"/>
  <c r="S754" i="4"/>
  <c r="AI754" i="4" s="1"/>
  <c r="H757" i="4"/>
  <c r="L757" i="4"/>
  <c r="Y757" i="4" s="1"/>
  <c r="U757" i="4"/>
  <c r="B757" i="4"/>
  <c r="T757" i="4"/>
  <c r="M757" i="4"/>
  <c r="W757" i="4" s="1"/>
  <c r="K757" i="4"/>
  <c r="V757" i="4" s="1"/>
  <c r="I757" i="4"/>
  <c r="L760" i="4"/>
  <c r="Y760" i="4" s="1"/>
  <c r="K760" i="4"/>
  <c r="T760" i="4"/>
  <c r="AE760" i="4" s="1"/>
  <c r="U769" i="4"/>
  <c r="Q738" i="4"/>
  <c r="AC738" i="4" s="1"/>
  <c r="H738" i="4"/>
  <c r="G738" i="4"/>
  <c r="X738" i="4" s="1"/>
  <c r="N738" i="4"/>
  <c r="AA738" i="4" s="1"/>
  <c r="L739" i="4"/>
  <c r="Y739" i="4" s="1"/>
  <c r="AJ739" i="4"/>
  <c r="U740" i="4"/>
  <c r="K764" i="4"/>
  <c r="G764" i="4"/>
  <c r="X764" i="4" s="1"/>
  <c r="I764" i="4"/>
  <c r="H764" i="4"/>
  <c r="F764" i="4"/>
  <c r="T764" i="4"/>
  <c r="R764" i="4"/>
  <c r="AD764" i="4" s="1"/>
  <c r="Q770" i="4"/>
  <c r="AC770" i="4" s="1"/>
  <c r="I770" i="4"/>
  <c r="U770" i="4"/>
  <c r="M770" i="4"/>
  <c r="W770" i="4" s="1"/>
  <c r="L770" i="4"/>
  <c r="Y770" i="4" s="1"/>
  <c r="K770" i="4"/>
  <c r="V770" i="4" s="1"/>
  <c r="G770" i="4"/>
  <c r="X770" i="4" s="1"/>
  <c r="D770" i="4"/>
  <c r="T770" i="4"/>
  <c r="B770" i="4"/>
  <c r="D738" i="4"/>
  <c r="N748" i="4"/>
  <c r="AA748" i="4" s="1"/>
  <c r="M748" i="4"/>
  <c r="W748" i="4" s="1"/>
  <c r="G748" i="4"/>
  <c r="X748" i="4" s="1"/>
  <c r="F748" i="4"/>
  <c r="U748" i="4"/>
  <c r="N771" i="4"/>
  <c r="AA771" i="4" s="1"/>
  <c r="F771" i="4"/>
  <c r="R771" i="4"/>
  <c r="AD771" i="4" s="1"/>
  <c r="B771" i="4"/>
  <c r="Q771" i="4"/>
  <c r="AC771" i="4" s="1"/>
  <c r="O771" i="4"/>
  <c r="K771" i="4"/>
  <c r="V771" i="4" s="1"/>
  <c r="I771" i="4"/>
  <c r="H771" i="4"/>
  <c r="R776" i="4"/>
  <c r="AD776" i="4" s="1"/>
  <c r="B776" i="4"/>
  <c r="Q776" i="4"/>
  <c r="AC776" i="4" s="1"/>
  <c r="L776" i="4"/>
  <c r="Y776" i="4" s="1"/>
  <c r="I776" i="4"/>
  <c r="N776" i="4"/>
  <c r="AA776" i="4" s="1"/>
  <c r="M776" i="4"/>
  <c r="W776" i="4" s="1"/>
  <c r="K776" i="4"/>
  <c r="G776" i="4"/>
  <c r="X776" i="4" s="1"/>
  <c r="D776" i="4"/>
  <c r="F780" i="4"/>
  <c r="N780" i="4"/>
  <c r="AA780" i="4" s="1"/>
  <c r="M780" i="4"/>
  <c r="W780" i="4" s="1"/>
  <c r="I780" i="4"/>
  <c r="S780" i="4"/>
  <c r="B780" i="4"/>
  <c r="R780" i="4"/>
  <c r="AD780" i="4" s="1"/>
  <c r="U780" i="4"/>
  <c r="L780" i="4"/>
  <c r="Y780" i="4" s="1"/>
  <c r="K780" i="4"/>
  <c r="H780" i="4"/>
  <c r="L781" i="4"/>
  <c r="Y781" i="4" s="1"/>
  <c r="K781" i="4"/>
  <c r="G781" i="4"/>
  <c r="X781" i="4" s="1"/>
  <c r="U781" i="4"/>
  <c r="Q781" i="4"/>
  <c r="AC781" i="4" s="1"/>
  <c r="N781" i="4"/>
  <c r="AA781" i="4" s="1"/>
  <c r="M781" i="4"/>
  <c r="W781" i="4" s="1"/>
  <c r="J781" i="4"/>
  <c r="Z781" i="4" s="1"/>
  <c r="F781" i="4"/>
  <c r="V786" i="4"/>
  <c r="K740" i="4"/>
  <c r="V740" i="4" s="1"/>
  <c r="F740" i="4"/>
  <c r="O740" i="4"/>
  <c r="M740" i="4"/>
  <c r="W740" i="4" s="1"/>
  <c r="H748" i="4"/>
  <c r="M750" i="4"/>
  <c r="W750" i="4" s="1"/>
  <c r="L750" i="4"/>
  <c r="Y750" i="4" s="1"/>
  <c r="K750" i="4"/>
  <c r="V750" i="4" s="1"/>
  <c r="U750" i="4"/>
  <c r="D750" i="4"/>
  <c r="S750" i="4"/>
  <c r="B750" i="4"/>
  <c r="D771" i="4"/>
  <c r="V772" i="4"/>
  <c r="H773" i="4"/>
  <c r="G773" i="4"/>
  <c r="X773" i="4" s="1"/>
  <c r="L773" i="4"/>
  <c r="Y773" i="4" s="1"/>
  <c r="I773" i="4"/>
  <c r="F773" i="4"/>
  <c r="B773" i="4"/>
  <c r="T773" i="4"/>
  <c r="AE773" i="4" s="1"/>
  <c r="S773" i="4"/>
  <c r="Q773" i="4"/>
  <c r="AC773" i="4" s="1"/>
  <c r="D780" i="4"/>
  <c r="H781" i="4"/>
  <c r="B659" i="4"/>
  <c r="R659" i="4"/>
  <c r="AD659" i="4" s="1"/>
  <c r="K672" i="4"/>
  <c r="V672" i="4" s="1"/>
  <c r="B675" i="4"/>
  <c r="R675" i="4"/>
  <c r="AD675" i="4" s="1"/>
  <c r="I678" i="4"/>
  <c r="K688" i="4"/>
  <c r="V688" i="4" s="1"/>
  <c r="B691" i="4"/>
  <c r="R691" i="4"/>
  <c r="AD691" i="4" s="1"/>
  <c r="I694" i="4"/>
  <c r="G696" i="4"/>
  <c r="X696" i="4" s="1"/>
  <c r="S700" i="4"/>
  <c r="T700" i="4"/>
  <c r="AE700" i="4" s="1"/>
  <c r="B701" i="4"/>
  <c r="S701" i="4"/>
  <c r="AI701" i="4" s="1"/>
  <c r="R702" i="4"/>
  <c r="AD702" i="4" s="1"/>
  <c r="S705" i="4"/>
  <c r="I708" i="4"/>
  <c r="N709" i="4"/>
  <c r="AA709" i="4" s="1"/>
  <c r="I713" i="4"/>
  <c r="I720" i="4"/>
  <c r="O721" i="4"/>
  <c r="G723" i="4"/>
  <c r="X723" i="4" s="1"/>
  <c r="O724" i="4"/>
  <c r="N727" i="4"/>
  <c r="AA727" i="4" s="1"/>
  <c r="O728" i="4"/>
  <c r="R728" i="4"/>
  <c r="AD728" i="4" s="1"/>
  <c r="Q728" i="4"/>
  <c r="AC728" i="4" s="1"/>
  <c r="I728" i="4"/>
  <c r="G728" i="4"/>
  <c r="X728" i="4" s="1"/>
  <c r="M729" i="4"/>
  <c r="W729" i="4" s="1"/>
  <c r="U730" i="4"/>
  <c r="J731" i="4"/>
  <c r="Z731" i="4" s="1"/>
  <c r="I734" i="4"/>
  <c r="H736" i="4"/>
  <c r="F738" i="4"/>
  <c r="R739" i="4"/>
  <c r="AD739" i="4" s="1"/>
  <c r="D740" i="4"/>
  <c r="S743" i="4"/>
  <c r="L744" i="4"/>
  <c r="Y744" i="4" s="1"/>
  <c r="K746" i="4"/>
  <c r="V746" i="4" s="1"/>
  <c r="I748" i="4"/>
  <c r="Q753" i="4"/>
  <c r="AC753" i="4" s="1"/>
  <c r="G754" i="4"/>
  <c r="X754" i="4" s="1"/>
  <c r="G757" i="4"/>
  <c r="X757" i="4" s="1"/>
  <c r="J760" i="4"/>
  <c r="Z760" i="4" s="1"/>
  <c r="L761" i="4"/>
  <c r="Y761" i="4" s="1"/>
  <c r="T761" i="4"/>
  <c r="AE761" i="4" s="1"/>
  <c r="D761" i="4"/>
  <c r="Q761" i="4"/>
  <c r="AC761" i="4" s="1"/>
  <c r="O761" i="4"/>
  <c r="H761" i="4"/>
  <c r="G761" i="4"/>
  <c r="X761" i="4" s="1"/>
  <c r="M764" i="4"/>
  <c r="W764" i="4" s="1"/>
  <c r="M769" i="4"/>
  <c r="W769" i="4" s="1"/>
  <c r="H770" i="4"/>
  <c r="D773" i="4"/>
  <c r="U774" i="4"/>
  <c r="T774" i="4"/>
  <c r="D774" i="4"/>
  <c r="M774" i="4"/>
  <c r="W774" i="4" s="1"/>
  <c r="I774" i="4"/>
  <c r="O774" i="4"/>
  <c r="N774" i="4"/>
  <c r="AA774" i="4" s="1"/>
  <c r="L774" i="4"/>
  <c r="Y774" i="4" s="1"/>
  <c r="H774" i="4"/>
  <c r="F774" i="4"/>
  <c r="B774" i="4"/>
  <c r="F776" i="4"/>
  <c r="I781" i="4"/>
  <c r="R790" i="4"/>
  <c r="AD790" i="4" s="1"/>
  <c r="H696" i="4"/>
  <c r="B702" i="4"/>
  <c r="S702" i="4"/>
  <c r="B705" i="4"/>
  <c r="U705" i="4"/>
  <c r="J708" i="4"/>
  <c r="Z708" i="4" s="1"/>
  <c r="R711" i="4"/>
  <c r="AD711" i="4" s="1"/>
  <c r="B711" i="4"/>
  <c r="I711" i="4"/>
  <c r="J713" i="4"/>
  <c r="Z713" i="4" s="1"/>
  <c r="K716" i="4"/>
  <c r="U716" i="4"/>
  <c r="AI716" i="4" s="1"/>
  <c r="R716" i="4"/>
  <c r="AD716" i="4" s="1"/>
  <c r="J719" i="4"/>
  <c r="Z719" i="4" s="1"/>
  <c r="H719" i="4"/>
  <c r="R719" i="4"/>
  <c r="AD719" i="4" s="1"/>
  <c r="J720" i="4"/>
  <c r="Z720" i="4" s="1"/>
  <c r="Q722" i="4"/>
  <c r="AC722" i="4" s="1"/>
  <c r="F722" i="4"/>
  <c r="O722" i="4"/>
  <c r="M722" i="4"/>
  <c r="W722" i="4" s="1"/>
  <c r="H723" i="4"/>
  <c r="O727" i="4"/>
  <c r="B730" i="4"/>
  <c r="K731" i="4"/>
  <c r="L733" i="4"/>
  <c r="Y733" i="4" s="1"/>
  <c r="K733" i="4"/>
  <c r="V733" i="4" s="1"/>
  <c r="U733" i="4"/>
  <c r="D733" i="4"/>
  <c r="S733" i="4"/>
  <c r="B733" i="4"/>
  <c r="L734" i="4"/>
  <c r="Y734" i="4" s="1"/>
  <c r="K736" i="4"/>
  <c r="I738" i="4"/>
  <c r="S739" i="4"/>
  <c r="AI739" i="4" s="1"/>
  <c r="B745" i="4"/>
  <c r="L746" i="4"/>
  <c r="Y746" i="4" s="1"/>
  <c r="J748" i="4"/>
  <c r="Z748" i="4" s="1"/>
  <c r="F750" i="4"/>
  <c r="U753" i="4"/>
  <c r="K754" i="4"/>
  <c r="V754" i="4" s="1"/>
  <c r="N755" i="4"/>
  <c r="AA755" i="4" s="1"/>
  <c r="F755" i="4"/>
  <c r="R755" i="4"/>
  <c r="AD755" i="4" s="1"/>
  <c r="B755" i="4"/>
  <c r="M755" i="4"/>
  <c r="W755" i="4" s="1"/>
  <c r="L755" i="4"/>
  <c r="Y755" i="4" s="1"/>
  <c r="D755" i="4"/>
  <c r="U755" i="4"/>
  <c r="J757" i="4"/>
  <c r="Z757" i="4" s="1"/>
  <c r="U758" i="4"/>
  <c r="M758" i="4"/>
  <c r="W758" i="4" s="1"/>
  <c r="I758" i="4"/>
  <c r="D758" i="4"/>
  <c r="O758" i="4"/>
  <c r="L758" i="4"/>
  <c r="M760" i="4"/>
  <c r="W760" i="4" s="1"/>
  <c r="N764" i="4"/>
  <c r="AA764" i="4" s="1"/>
  <c r="J770" i="4"/>
  <c r="Z770" i="4" s="1"/>
  <c r="G771" i="4"/>
  <c r="X771" i="4" s="1"/>
  <c r="J772" i="4"/>
  <c r="Z772" i="4" s="1"/>
  <c r="O772" i="4"/>
  <c r="U772" i="4"/>
  <c r="T772" i="4"/>
  <c r="M772" i="4"/>
  <c r="W772" i="4" s="1"/>
  <c r="L772" i="4"/>
  <c r="Y772" i="4" s="1"/>
  <c r="H772" i="4"/>
  <c r="H776" i="4"/>
  <c r="G780" i="4"/>
  <c r="X780" i="4" s="1"/>
  <c r="O781" i="4"/>
  <c r="AJ786" i="4"/>
  <c r="P786" i="4"/>
  <c r="AB786" i="4" s="1"/>
  <c r="J790" i="4"/>
  <c r="Z790" i="4" s="1"/>
  <c r="S790" i="4"/>
  <c r="Q790" i="4"/>
  <c r="AC790" i="4" s="1"/>
  <c r="O790" i="4"/>
  <c r="L790" i="4"/>
  <c r="Y790" i="4" s="1"/>
  <c r="K790" i="4"/>
  <c r="V790" i="4" s="1"/>
  <c r="AJ794" i="4"/>
  <c r="P794" i="4"/>
  <c r="AB794" i="4" s="1"/>
  <c r="L792" i="4"/>
  <c r="Y792" i="4" s="1"/>
  <c r="K805" i="4"/>
  <c r="R805" i="4"/>
  <c r="AD805" i="4" s="1"/>
  <c r="B805" i="4"/>
  <c r="O805" i="4"/>
  <c r="N805" i="4"/>
  <c r="AA805" i="4" s="1"/>
  <c r="M805" i="4"/>
  <c r="W805" i="4" s="1"/>
  <c r="L805" i="4"/>
  <c r="Y805" i="4" s="1"/>
  <c r="J805" i="4"/>
  <c r="Z805" i="4" s="1"/>
  <c r="I805" i="4"/>
  <c r="H805" i="4"/>
  <c r="F805" i="4"/>
  <c r="T805" i="4"/>
  <c r="S805" i="4"/>
  <c r="AI805" i="4" s="1"/>
  <c r="D809" i="4"/>
  <c r="L846" i="4"/>
  <c r="Y846" i="4" s="1"/>
  <c r="K846" i="4"/>
  <c r="J846" i="4"/>
  <c r="Z846" i="4" s="1"/>
  <c r="I846" i="4"/>
  <c r="H846" i="4"/>
  <c r="U846" i="4"/>
  <c r="T846" i="4"/>
  <c r="R846" i="4"/>
  <c r="AD846" i="4" s="1"/>
  <c r="O846" i="4"/>
  <c r="N846" i="4"/>
  <c r="AA846" i="4" s="1"/>
  <c r="M846" i="4"/>
  <c r="W846" i="4" s="1"/>
  <c r="F846" i="4"/>
  <c r="K816" i="4"/>
  <c r="V816" i="4" s="1"/>
  <c r="J816" i="4"/>
  <c r="Z816" i="4" s="1"/>
  <c r="Q816" i="4"/>
  <c r="AC816" i="4" s="1"/>
  <c r="T816" i="4"/>
  <c r="S816" i="4"/>
  <c r="R816" i="4"/>
  <c r="AD816" i="4" s="1"/>
  <c r="O816" i="4"/>
  <c r="N816" i="4"/>
  <c r="AA816" i="4" s="1"/>
  <c r="M816" i="4"/>
  <c r="W816" i="4" s="1"/>
  <c r="I816" i="4"/>
  <c r="H816" i="4"/>
  <c r="G816" i="4"/>
  <c r="X816" i="4" s="1"/>
  <c r="F816" i="4"/>
  <c r="D816" i="4"/>
  <c r="T715" i="4"/>
  <c r="I726" i="4"/>
  <c r="AI732" i="4"/>
  <c r="I743" i="4"/>
  <c r="T749" i="4"/>
  <c r="Q752" i="4"/>
  <c r="AC752" i="4" s="1"/>
  <c r="M763" i="4"/>
  <c r="W763" i="4" s="1"/>
  <c r="M768" i="4"/>
  <c r="W768" i="4" s="1"/>
  <c r="Q769" i="4"/>
  <c r="AC769" i="4" s="1"/>
  <c r="K775" i="4"/>
  <c r="V775" i="4" s="1"/>
  <c r="M777" i="4"/>
  <c r="W777" i="4" s="1"/>
  <c r="N782" i="4"/>
  <c r="AA782" i="4" s="1"/>
  <c r="M789" i="4"/>
  <c r="W789" i="4" s="1"/>
  <c r="Q805" i="4"/>
  <c r="AC805" i="4" s="1"/>
  <c r="R808" i="4"/>
  <c r="AD808" i="4" s="1"/>
  <c r="B808" i="4"/>
  <c r="I808" i="4"/>
  <c r="S808" i="4"/>
  <c r="AI808" i="4" s="1"/>
  <c r="Q808" i="4"/>
  <c r="AC808" i="4" s="1"/>
  <c r="O808" i="4"/>
  <c r="N808" i="4"/>
  <c r="AA808" i="4" s="1"/>
  <c r="M808" i="4"/>
  <c r="W808" i="4" s="1"/>
  <c r="L808" i="4"/>
  <c r="Y808" i="4" s="1"/>
  <c r="J808" i="4"/>
  <c r="Z808" i="4" s="1"/>
  <c r="H808" i="4"/>
  <c r="D808" i="4"/>
  <c r="Q814" i="4"/>
  <c r="AC814" i="4" s="1"/>
  <c r="G814" i="4"/>
  <c r="X814" i="4" s="1"/>
  <c r="K814" i="4"/>
  <c r="J814" i="4"/>
  <c r="Z814" i="4" s="1"/>
  <c r="I814" i="4"/>
  <c r="H814" i="4"/>
  <c r="F814" i="4"/>
  <c r="D814" i="4"/>
  <c r="U814" i="4"/>
  <c r="B814" i="4"/>
  <c r="T814" i="4"/>
  <c r="R814" i="4"/>
  <c r="AD814" i="4" s="1"/>
  <c r="O814" i="4"/>
  <c r="N814" i="4"/>
  <c r="AA814" i="4" s="1"/>
  <c r="U822" i="4"/>
  <c r="T822" i="4"/>
  <c r="S822" i="4"/>
  <c r="R822" i="4"/>
  <c r="AD822" i="4" s="1"/>
  <c r="Q822" i="4"/>
  <c r="AC822" i="4" s="1"/>
  <c r="M822" i="4"/>
  <c r="W822" i="4" s="1"/>
  <c r="L822" i="4"/>
  <c r="Y822" i="4" s="1"/>
  <c r="K822" i="4"/>
  <c r="V822" i="4" s="1"/>
  <c r="J822" i="4"/>
  <c r="Z822" i="4" s="1"/>
  <c r="G822" i="4"/>
  <c r="X822" i="4" s="1"/>
  <c r="F822" i="4"/>
  <c r="U841" i="4"/>
  <c r="Q841" i="4"/>
  <c r="AC841" i="4" s="1"/>
  <c r="M841" i="4"/>
  <c r="W841" i="4" s="1"/>
  <c r="L841" i="4"/>
  <c r="Y841" i="4" s="1"/>
  <c r="K841" i="4"/>
  <c r="V841" i="4" s="1"/>
  <c r="I841" i="4"/>
  <c r="T857" i="4"/>
  <c r="Q857" i="4"/>
  <c r="AC857" i="4" s="1"/>
  <c r="U857" i="4"/>
  <c r="N857" i="4"/>
  <c r="AA857" i="4" s="1"/>
  <c r="M857" i="4"/>
  <c r="W857" i="4" s="1"/>
  <c r="L857" i="4"/>
  <c r="Y857" i="4" s="1"/>
  <c r="J784" i="4"/>
  <c r="Z784" i="4" s="1"/>
  <c r="I784" i="4"/>
  <c r="H784" i="4"/>
  <c r="U784" i="4"/>
  <c r="D784" i="4"/>
  <c r="S784" i="4"/>
  <c r="B784" i="4"/>
  <c r="R784" i="4"/>
  <c r="AD784" i="4" s="1"/>
  <c r="O784" i="4"/>
  <c r="N784" i="4"/>
  <c r="AA784" i="4" s="1"/>
  <c r="N804" i="4"/>
  <c r="AA804" i="4" s="1"/>
  <c r="U804" i="4"/>
  <c r="M804" i="4"/>
  <c r="W804" i="4" s="1"/>
  <c r="L804" i="4"/>
  <c r="Y804" i="4" s="1"/>
  <c r="K804" i="4"/>
  <c r="V804" i="4" s="1"/>
  <c r="J804" i="4"/>
  <c r="Z804" i="4" s="1"/>
  <c r="I804" i="4"/>
  <c r="H804" i="4"/>
  <c r="G804" i="4"/>
  <c r="X804" i="4" s="1"/>
  <c r="D804" i="4"/>
  <c r="R804" i="4"/>
  <c r="AD804" i="4" s="1"/>
  <c r="Q804" i="4"/>
  <c r="AC804" i="4" s="1"/>
  <c r="U805" i="4"/>
  <c r="L816" i="4"/>
  <c r="Y816" i="4" s="1"/>
  <c r="T841" i="4"/>
  <c r="K726" i="4"/>
  <c r="V726" i="4" s="1"/>
  <c r="M734" i="4"/>
  <c r="W734" i="4" s="1"/>
  <c r="T734" i="4"/>
  <c r="AI734" i="4" s="1"/>
  <c r="K743" i="4"/>
  <c r="V743" i="4" s="1"/>
  <c r="J751" i="4"/>
  <c r="Z751" i="4" s="1"/>
  <c r="T751" i="4"/>
  <c r="AI751" i="4" s="1"/>
  <c r="B752" i="4"/>
  <c r="O760" i="4"/>
  <c r="H765" i="4"/>
  <c r="T765" i="4"/>
  <c r="AI765" i="4" s="1"/>
  <c r="D765" i="4"/>
  <c r="S769" i="4"/>
  <c r="AI769" i="4" s="1"/>
  <c r="N775" i="4"/>
  <c r="AA775" i="4" s="1"/>
  <c r="O778" i="4"/>
  <c r="J778" i="4"/>
  <c r="Z778" i="4" s="1"/>
  <c r="S781" i="4"/>
  <c r="AI781" i="4" s="1"/>
  <c r="S782" i="4"/>
  <c r="R789" i="4"/>
  <c r="AD789" i="4" s="1"/>
  <c r="F808" i="4"/>
  <c r="AJ813" i="4"/>
  <c r="P813" i="4"/>
  <c r="AB813" i="4" s="1"/>
  <c r="L814" i="4"/>
  <c r="Y814" i="4" s="1"/>
  <c r="U816" i="4"/>
  <c r="O827" i="4"/>
  <c r="G752" i="4"/>
  <c r="X752" i="4" s="1"/>
  <c r="T752" i="4"/>
  <c r="AI752" i="4" s="1"/>
  <c r="V783" i="4"/>
  <c r="F784" i="4"/>
  <c r="AE794" i="4"/>
  <c r="F804" i="4"/>
  <c r="T796" i="4"/>
  <c r="V808" i="4"/>
  <c r="T811" i="4"/>
  <c r="S811" i="4"/>
  <c r="R811" i="4"/>
  <c r="AD811" i="4" s="1"/>
  <c r="Q811" i="4"/>
  <c r="AC811" i="4" s="1"/>
  <c r="O811" i="4"/>
  <c r="M811" i="4"/>
  <c r="W811" i="4" s="1"/>
  <c r="L811" i="4"/>
  <c r="Y811" i="4" s="1"/>
  <c r="H811" i="4"/>
  <c r="G811" i="4"/>
  <c r="X811" i="4" s="1"/>
  <c r="U827" i="4"/>
  <c r="T827" i="4"/>
  <c r="S827" i="4"/>
  <c r="R827" i="4"/>
  <c r="AD827" i="4" s="1"/>
  <c r="N827" i="4"/>
  <c r="AA827" i="4" s="1"/>
  <c r="K827" i="4"/>
  <c r="H827" i="4"/>
  <c r="G827" i="4"/>
  <c r="X827" i="4" s="1"/>
  <c r="F827" i="4"/>
  <c r="AE838" i="4"/>
  <c r="T769" i="4"/>
  <c r="D769" i="4"/>
  <c r="L769" i="4"/>
  <c r="H769" i="4"/>
  <c r="K784" i="4"/>
  <c r="V784" i="4" s="1"/>
  <c r="O793" i="4"/>
  <c r="S793" i="4"/>
  <c r="B793" i="4"/>
  <c r="R793" i="4"/>
  <c r="AD793" i="4" s="1"/>
  <c r="Q793" i="4"/>
  <c r="AC793" i="4" s="1"/>
  <c r="N793" i="4"/>
  <c r="AA793" i="4" s="1"/>
  <c r="L793" i="4"/>
  <c r="Y793" i="4" s="1"/>
  <c r="J793" i="4"/>
  <c r="Z793" i="4" s="1"/>
  <c r="I793" i="4"/>
  <c r="F793" i="4"/>
  <c r="I795" i="4"/>
  <c r="T795" i="4"/>
  <c r="B795" i="4"/>
  <c r="S795" i="4"/>
  <c r="R795" i="4"/>
  <c r="AD795" i="4" s="1"/>
  <c r="O795" i="4"/>
  <c r="M795" i="4"/>
  <c r="W795" i="4" s="1"/>
  <c r="K795" i="4"/>
  <c r="J795" i="4"/>
  <c r="Z795" i="4" s="1"/>
  <c r="F795" i="4"/>
  <c r="P804" i="4"/>
  <c r="AB804" i="4" s="1"/>
  <c r="F811" i="4"/>
  <c r="Q827" i="4"/>
  <c r="AC827" i="4" s="1"/>
  <c r="T786" i="4"/>
  <c r="AE786" i="4" s="1"/>
  <c r="D786" i="4"/>
  <c r="H786" i="4"/>
  <c r="G786" i="4"/>
  <c r="X786" i="4" s="1"/>
  <c r="S786" i="4"/>
  <c r="B786" i="4"/>
  <c r="Q786" i="4"/>
  <c r="AC786" i="4" s="1"/>
  <c r="M786" i="4"/>
  <c r="W786" i="4" s="1"/>
  <c r="L786" i="4"/>
  <c r="Y786" i="4" s="1"/>
  <c r="S796" i="4"/>
  <c r="Q796" i="4"/>
  <c r="AC796" i="4" s="1"/>
  <c r="O796" i="4"/>
  <c r="H796" i="4"/>
  <c r="G796" i="4"/>
  <c r="X796" i="4" s="1"/>
  <c r="J797" i="4"/>
  <c r="Z797" i="4" s="1"/>
  <c r="U797" i="4"/>
  <c r="T797" i="4"/>
  <c r="Q797" i="4"/>
  <c r="AC797" i="4" s="1"/>
  <c r="O797" i="4"/>
  <c r="M797" i="4"/>
  <c r="W797" i="4" s="1"/>
  <c r="L797" i="4"/>
  <c r="Y797" i="4" s="1"/>
  <c r="H797" i="4"/>
  <c r="G797" i="4"/>
  <c r="X797" i="4" s="1"/>
  <c r="AE808" i="4"/>
  <c r="J811" i="4"/>
  <c r="Z811" i="4" s="1"/>
  <c r="K811" i="4"/>
  <c r="F763" i="4"/>
  <c r="N763" i="4"/>
  <c r="AA763" i="4" s="1"/>
  <c r="J763" i="4"/>
  <c r="Z763" i="4" s="1"/>
  <c r="G768" i="4"/>
  <c r="X768" i="4" s="1"/>
  <c r="O768" i="4"/>
  <c r="K768" i="4"/>
  <c r="V768" i="4" s="1"/>
  <c r="G769" i="4"/>
  <c r="X769" i="4" s="1"/>
  <c r="F786" i="4"/>
  <c r="G793" i="4"/>
  <c r="X793" i="4" s="1"/>
  <c r="G795" i="4"/>
  <c r="X795" i="4" s="1"/>
  <c r="J796" i="4"/>
  <c r="Z796" i="4" s="1"/>
  <c r="I797" i="4"/>
  <c r="AJ800" i="4"/>
  <c r="P800" i="4"/>
  <c r="AB800" i="4" s="1"/>
  <c r="K803" i="4"/>
  <c r="V803" i="4" s="1"/>
  <c r="J803" i="4"/>
  <c r="Z803" i="4" s="1"/>
  <c r="I803" i="4"/>
  <c r="G803" i="4"/>
  <c r="X803" i="4" s="1"/>
  <c r="F803" i="4"/>
  <c r="R803" i="4"/>
  <c r="AD803" i="4" s="1"/>
  <c r="M806" i="4"/>
  <c r="W806" i="4" s="1"/>
  <c r="L806" i="4"/>
  <c r="Y806" i="4" s="1"/>
  <c r="K806" i="4"/>
  <c r="V806" i="4" s="1"/>
  <c r="U810" i="4"/>
  <c r="T810" i="4"/>
  <c r="R810" i="4"/>
  <c r="AD810" i="4" s="1"/>
  <c r="Q810" i="4"/>
  <c r="AC810" i="4" s="1"/>
  <c r="O810" i="4"/>
  <c r="N810" i="4"/>
  <c r="AA810" i="4" s="1"/>
  <c r="K810" i="4"/>
  <c r="J810" i="4"/>
  <c r="Z810" i="4" s="1"/>
  <c r="G810" i="4"/>
  <c r="X810" i="4" s="1"/>
  <c r="F810" i="4"/>
  <c r="N811" i="4"/>
  <c r="AA811" i="4" s="1"/>
  <c r="U817" i="4"/>
  <c r="T817" i="4"/>
  <c r="S817" i="4"/>
  <c r="R817" i="4"/>
  <c r="AD817" i="4" s="1"/>
  <c r="Q817" i="4"/>
  <c r="AC817" i="4" s="1"/>
  <c r="O817" i="4"/>
  <c r="M817" i="4"/>
  <c r="W817" i="4" s="1"/>
  <c r="L817" i="4"/>
  <c r="Y817" i="4" s="1"/>
  <c r="K817" i="4"/>
  <c r="J817" i="4"/>
  <c r="Z817" i="4" s="1"/>
  <c r="I817" i="4"/>
  <c r="K708" i="4"/>
  <c r="V708" i="4" s="1"/>
  <c r="T708" i="4"/>
  <c r="M715" i="4"/>
  <c r="W715" i="4" s="1"/>
  <c r="H725" i="4"/>
  <c r="T725" i="4"/>
  <c r="B726" i="4"/>
  <c r="R726" i="4"/>
  <c r="AD726" i="4" s="1"/>
  <c r="J734" i="4"/>
  <c r="Z734" i="4" s="1"/>
  <c r="S742" i="4"/>
  <c r="K751" i="4"/>
  <c r="J752" i="4"/>
  <c r="Z752" i="4" s="1"/>
  <c r="D763" i="4"/>
  <c r="L765" i="4"/>
  <c r="D768" i="4"/>
  <c r="I769" i="4"/>
  <c r="O777" i="4"/>
  <c r="Q777" i="4"/>
  <c r="AC777" i="4" s="1"/>
  <c r="K777" i="4"/>
  <c r="V777" i="4" s="1"/>
  <c r="H777" i="4"/>
  <c r="U777" i="4"/>
  <c r="AI777" i="4" s="1"/>
  <c r="D777" i="4"/>
  <c r="Q778" i="4"/>
  <c r="AC778" i="4" s="1"/>
  <c r="Q784" i="4"/>
  <c r="AC784" i="4" s="1"/>
  <c r="V785" i="4"/>
  <c r="I786" i="4"/>
  <c r="H792" i="4"/>
  <c r="H793" i="4"/>
  <c r="H795" i="4"/>
  <c r="N796" i="4"/>
  <c r="AA796" i="4" s="1"/>
  <c r="K797" i="4"/>
  <c r="V797" i="4" s="1"/>
  <c r="V798" i="4"/>
  <c r="N803" i="4"/>
  <c r="AA803" i="4" s="1"/>
  <c r="I806" i="4"/>
  <c r="H810" i="4"/>
  <c r="F817" i="4"/>
  <c r="S726" i="4"/>
  <c r="AI726" i="4" s="1"/>
  <c r="R743" i="4"/>
  <c r="AD743" i="4" s="1"/>
  <c r="B743" i="4"/>
  <c r="T743" i="4"/>
  <c r="AE743" i="4" s="1"/>
  <c r="K752" i="4"/>
  <c r="V752" i="4" s="1"/>
  <c r="J769" i="4"/>
  <c r="Z769" i="4" s="1"/>
  <c r="U775" i="4"/>
  <c r="AI775" i="4" s="1"/>
  <c r="R775" i="4"/>
  <c r="AD775" i="4" s="1"/>
  <c r="B775" i="4"/>
  <c r="Q775" i="4"/>
  <c r="AC775" i="4" s="1"/>
  <c r="M775" i="4"/>
  <c r="W775" i="4" s="1"/>
  <c r="J775" i="4"/>
  <c r="Z775" i="4" s="1"/>
  <c r="F775" i="4"/>
  <c r="J782" i="4"/>
  <c r="Z782" i="4" s="1"/>
  <c r="F782" i="4"/>
  <c r="Q782" i="4"/>
  <c r="AC782" i="4" s="1"/>
  <c r="O782" i="4"/>
  <c r="T784" i="4"/>
  <c r="J786" i="4"/>
  <c r="Z786" i="4" s="1"/>
  <c r="K789" i="4"/>
  <c r="V789" i="4" s="1"/>
  <c r="U789" i="4"/>
  <c r="D789" i="4"/>
  <c r="S789" i="4"/>
  <c r="B789" i="4"/>
  <c r="Q789" i="4"/>
  <c r="AC789" i="4" s="1"/>
  <c r="O789" i="4"/>
  <c r="N789" i="4"/>
  <c r="AA789" i="4" s="1"/>
  <c r="J789" i="4"/>
  <c r="Z789" i="4" s="1"/>
  <c r="I789" i="4"/>
  <c r="AJ791" i="4"/>
  <c r="P791" i="4"/>
  <c r="AB791" i="4" s="1"/>
  <c r="K793" i="4"/>
  <c r="L795" i="4"/>
  <c r="Y795" i="4" s="1"/>
  <c r="N797" i="4"/>
  <c r="AA797" i="4" s="1"/>
  <c r="O803" i="4"/>
  <c r="R806" i="4"/>
  <c r="AD806" i="4" s="1"/>
  <c r="O809" i="4"/>
  <c r="F809" i="4"/>
  <c r="T809" i="4"/>
  <c r="B809" i="4"/>
  <c r="S809" i="4"/>
  <c r="R809" i="4"/>
  <c r="AD809" i="4" s="1"/>
  <c r="Q809" i="4"/>
  <c r="AC809" i="4" s="1"/>
  <c r="N809" i="4"/>
  <c r="AA809" i="4" s="1"/>
  <c r="M809" i="4"/>
  <c r="W809" i="4" s="1"/>
  <c r="K809" i="4"/>
  <c r="J809" i="4"/>
  <c r="Z809" i="4" s="1"/>
  <c r="G809" i="4"/>
  <c r="X809" i="4" s="1"/>
  <c r="I810" i="4"/>
  <c r="L821" i="4"/>
  <c r="Y821" i="4" s="1"/>
  <c r="K821" i="4"/>
  <c r="R821" i="4"/>
  <c r="AD821" i="4" s="1"/>
  <c r="B821" i="4"/>
  <c r="AE826" i="4"/>
  <c r="F855" i="4"/>
  <c r="U855" i="4"/>
  <c r="Q855" i="4"/>
  <c r="AC855" i="4" s="1"/>
  <c r="O855" i="4"/>
  <c r="N855" i="4"/>
  <c r="AA855" i="4" s="1"/>
  <c r="M855" i="4"/>
  <c r="W855" i="4" s="1"/>
  <c r="L855" i="4"/>
  <c r="Y855" i="4" s="1"/>
  <c r="J855" i="4"/>
  <c r="Z855" i="4" s="1"/>
  <c r="I855" i="4"/>
  <c r="H855" i="4"/>
  <c r="G855" i="4"/>
  <c r="X855" i="4" s="1"/>
  <c r="O756" i="4"/>
  <c r="S760" i="4"/>
  <c r="AI760" i="4" s="1"/>
  <c r="L778" i="4"/>
  <c r="T778" i="4"/>
  <c r="AE778" i="4" s="1"/>
  <c r="B779" i="4"/>
  <c r="S779" i="4"/>
  <c r="O783" i="4"/>
  <c r="M785" i="4"/>
  <c r="W785" i="4" s="1"/>
  <c r="J788" i="4"/>
  <c r="Z788" i="4" s="1"/>
  <c r="I790" i="4"/>
  <c r="F792" i="4"/>
  <c r="I798" i="4"/>
  <c r="J799" i="4"/>
  <c r="Z799" i="4" s="1"/>
  <c r="L800" i="4"/>
  <c r="Y800" i="4" s="1"/>
  <c r="M801" i="4"/>
  <c r="W801" i="4" s="1"/>
  <c r="B806" i="4"/>
  <c r="U807" i="4"/>
  <c r="L807" i="4"/>
  <c r="Y807" i="4" s="1"/>
  <c r="T807" i="4"/>
  <c r="I812" i="4"/>
  <c r="S815" i="4"/>
  <c r="L818" i="4"/>
  <c r="Y818" i="4" s="1"/>
  <c r="O819" i="4"/>
  <c r="S820" i="4"/>
  <c r="D821" i="4"/>
  <c r="K823" i="4"/>
  <c r="N824" i="4"/>
  <c r="AA824" i="4" s="1"/>
  <c r="L826" i="4"/>
  <c r="Y826" i="4" s="1"/>
  <c r="F830" i="4"/>
  <c r="L831" i="4"/>
  <c r="Y831" i="4" s="1"/>
  <c r="AE833" i="4"/>
  <c r="N834" i="4"/>
  <c r="AA834" i="4" s="1"/>
  <c r="Q837" i="4"/>
  <c r="AC837" i="4" s="1"/>
  <c r="F839" i="4"/>
  <c r="U839" i="4"/>
  <c r="N839" i="4"/>
  <c r="AA839" i="4" s="1"/>
  <c r="M839" i="4"/>
  <c r="W839" i="4" s="1"/>
  <c r="L839" i="4"/>
  <c r="Y839" i="4" s="1"/>
  <c r="H839" i="4"/>
  <c r="S844" i="4"/>
  <c r="I845" i="4"/>
  <c r="V847" i="4"/>
  <c r="H849" i="4"/>
  <c r="D855" i="4"/>
  <c r="G872" i="4"/>
  <c r="X872" i="4" s="1"/>
  <c r="Q872" i="4"/>
  <c r="AC872" i="4" s="1"/>
  <c r="N872" i="4"/>
  <c r="AA872" i="4" s="1"/>
  <c r="O872" i="4"/>
  <c r="L872" i="4"/>
  <c r="Y872" i="4" s="1"/>
  <c r="J872" i="4"/>
  <c r="Z872" i="4" s="1"/>
  <c r="I872" i="4"/>
  <c r="H872" i="4"/>
  <c r="F872" i="4"/>
  <c r="D872" i="4"/>
  <c r="U872" i="4"/>
  <c r="B872" i="4"/>
  <c r="T872" i="4"/>
  <c r="S872" i="4"/>
  <c r="R872" i="4"/>
  <c r="AD872" i="4" s="1"/>
  <c r="O880" i="4"/>
  <c r="I880" i="4"/>
  <c r="F880" i="4"/>
  <c r="T880" i="4"/>
  <c r="D880" i="4"/>
  <c r="G880" i="4"/>
  <c r="X880" i="4" s="1"/>
  <c r="B880" i="4"/>
  <c r="U880" i="4"/>
  <c r="S880" i="4"/>
  <c r="R880" i="4"/>
  <c r="AD880" i="4" s="1"/>
  <c r="Q880" i="4"/>
  <c r="AC880" i="4" s="1"/>
  <c r="N880" i="4"/>
  <c r="AA880" i="4" s="1"/>
  <c r="L880" i="4"/>
  <c r="Y880" i="4" s="1"/>
  <c r="K880" i="4"/>
  <c r="J880" i="4"/>
  <c r="Z880" i="4" s="1"/>
  <c r="H880" i="4"/>
  <c r="T779" i="4"/>
  <c r="AE779" i="4" s="1"/>
  <c r="N785" i="4"/>
  <c r="AA785" i="4" s="1"/>
  <c r="K788" i="4"/>
  <c r="G792" i="4"/>
  <c r="X792" i="4" s="1"/>
  <c r="K799" i="4"/>
  <c r="M800" i="4"/>
  <c r="W800" i="4" s="1"/>
  <c r="H806" i="4"/>
  <c r="O806" i="4"/>
  <c r="U806" i="4"/>
  <c r="U815" i="4"/>
  <c r="M818" i="4"/>
  <c r="W818" i="4" s="1"/>
  <c r="B820" i="4"/>
  <c r="M823" i="4"/>
  <c r="W823" i="4" s="1"/>
  <c r="O824" i="4"/>
  <c r="H830" i="4"/>
  <c r="O831" i="4"/>
  <c r="U837" i="4"/>
  <c r="U850" i="4"/>
  <c r="T850" i="4"/>
  <c r="D850" i="4"/>
  <c r="O850" i="4"/>
  <c r="N850" i="4"/>
  <c r="AA850" i="4" s="1"/>
  <c r="M850" i="4"/>
  <c r="W850" i="4" s="1"/>
  <c r="L850" i="4"/>
  <c r="Y850" i="4" s="1"/>
  <c r="K850" i="4"/>
  <c r="G850" i="4"/>
  <c r="X850" i="4" s="1"/>
  <c r="G866" i="4"/>
  <c r="X866" i="4" s="1"/>
  <c r="F866" i="4"/>
  <c r="U866" i="4"/>
  <c r="D866" i="4"/>
  <c r="S866" i="4"/>
  <c r="B866" i="4"/>
  <c r="R866" i="4"/>
  <c r="AD866" i="4" s="1"/>
  <c r="Q866" i="4"/>
  <c r="AC866" i="4" s="1"/>
  <c r="O866" i="4"/>
  <c r="N866" i="4"/>
  <c r="AA866" i="4" s="1"/>
  <c r="M866" i="4"/>
  <c r="W866" i="4" s="1"/>
  <c r="K866" i="4"/>
  <c r="J866" i="4"/>
  <c r="Z866" i="4" s="1"/>
  <c r="I866" i="4"/>
  <c r="H866" i="4"/>
  <c r="O820" i="4"/>
  <c r="N820" i="4"/>
  <c r="AA820" i="4" s="1"/>
  <c r="U820" i="4"/>
  <c r="F821" i="4"/>
  <c r="I830" i="4"/>
  <c r="O836" i="4"/>
  <c r="N836" i="4"/>
  <c r="AA836" i="4" s="1"/>
  <c r="I836" i="4"/>
  <c r="G836" i="4"/>
  <c r="X836" i="4" s="1"/>
  <c r="F836" i="4"/>
  <c r="U836" i="4"/>
  <c r="Q836" i="4"/>
  <c r="AC836" i="4" s="1"/>
  <c r="AJ847" i="4"/>
  <c r="P847" i="4"/>
  <c r="AB847" i="4" s="1"/>
  <c r="K855" i="4"/>
  <c r="V855" i="4" s="1"/>
  <c r="G860" i="4"/>
  <c r="X860" i="4" s="1"/>
  <c r="F860" i="4"/>
  <c r="R860" i="4"/>
  <c r="AD860" i="4" s="1"/>
  <c r="B860" i="4"/>
  <c r="Q860" i="4"/>
  <c r="AC860" i="4" s="1"/>
  <c r="O860" i="4"/>
  <c r="N860" i="4"/>
  <c r="AA860" i="4" s="1"/>
  <c r="M860" i="4"/>
  <c r="W860" i="4" s="1"/>
  <c r="K860" i="4"/>
  <c r="V860" i="4" s="1"/>
  <c r="J860" i="4"/>
  <c r="Z860" i="4" s="1"/>
  <c r="I860" i="4"/>
  <c r="H860" i="4"/>
  <c r="N815" i="4"/>
  <c r="AA815" i="4" s="1"/>
  <c r="M815" i="4"/>
  <c r="W815" i="4" s="1"/>
  <c r="T815" i="4"/>
  <c r="D815" i="4"/>
  <c r="O818" i="4"/>
  <c r="T819" i="4"/>
  <c r="D820" i="4"/>
  <c r="G821" i="4"/>
  <c r="X821" i="4" s="1"/>
  <c r="O823" i="4"/>
  <c r="Q824" i="4"/>
  <c r="AC824" i="4" s="1"/>
  <c r="O825" i="4"/>
  <c r="F825" i="4"/>
  <c r="F826" i="4"/>
  <c r="M827" i="4"/>
  <c r="W827" i="4" s="1"/>
  <c r="S828" i="4"/>
  <c r="J830" i="4"/>
  <c r="Z830" i="4" s="1"/>
  <c r="R831" i="4"/>
  <c r="AD831" i="4" s="1"/>
  <c r="R834" i="4"/>
  <c r="AD834" i="4" s="1"/>
  <c r="D836" i="4"/>
  <c r="N838" i="4"/>
  <c r="AA838" i="4" s="1"/>
  <c r="G839" i="4"/>
  <c r="X839" i="4" s="1"/>
  <c r="N841" i="4"/>
  <c r="AA841" i="4" s="1"/>
  <c r="R845" i="4"/>
  <c r="AD845" i="4" s="1"/>
  <c r="Q847" i="4"/>
  <c r="AC847" i="4" s="1"/>
  <c r="F849" i="4"/>
  <c r="F850" i="4"/>
  <c r="R855" i="4"/>
  <c r="AD855" i="4" s="1"/>
  <c r="D860" i="4"/>
  <c r="N863" i="4"/>
  <c r="AA863" i="4" s="1"/>
  <c r="M863" i="4"/>
  <c r="W863" i="4" s="1"/>
  <c r="K863" i="4"/>
  <c r="V863" i="4" s="1"/>
  <c r="I863" i="4"/>
  <c r="H863" i="4"/>
  <c r="G863" i="4"/>
  <c r="X863" i="4" s="1"/>
  <c r="F863" i="4"/>
  <c r="U863" i="4"/>
  <c r="T863" i="4"/>
  <c r="AI863" i="4" s="1"/>
  <c r="D863" i="4"/>
  <c r="R863" i="4"/>
  <c r="AD863" i="4" s="1"/>
  <c r="B863" i="4"/>
  <c r="Q863" i="4"/>
  <c r="AC863" i="4" s="1"/>
  <c r="O863" i="4"/>
  <c r="L866" i="4"/>
  <c r="Y866" i="4" s="1"/>
  <c r="M872" i="4"/>
  <c r="W872" i="4" s="1"/>
  <c r="S756" i="4"/>
  <c r="AI756" i="4" s="1"/>
  <c r="G760" i="4"/>
  <c r="X760" i="4" s="1"/>
  <c r="S772" i="4"/>
  <c r="AI772" i="4" s="1"/>
  <c r="G778" i="4"/>
  <c r="X778" i="4" s="1"/>
  <c r="F779" i="4"/>
  <c r="T782" i="4"/>
  <c r="AE782" i="4" s="1"/>
  <c r="B783" i="4"/>
  <c r="S783" i="4"/>
  <c r="Q785" i="4"/>
  <c r="AC785" i="4" s="1"/>
  <c r="O788" i="4"/>
  <c r="M790" i="4"/>
  <c r="W790" i="4" s="1"/>
  <c r="J792" i="4"/>
  <c r="Z792" i="4" s="1"/>
  <c r="H794" i="4"/>
  <c r="K796" i="4"/>
  <c r="M798" i="4"/>
  <c r="W798" i="4" s="1"/>
  <c r="O799" i="4"/>
  <c r="R801" i="4"/>
  <c r="AD801" i="4" s="1"/>
  <c r="Q803" i="4"/>
  <c r="AC803" i="4" s="1"/>
  <c r="H803" i="4"/>
  <c r="U803" i="4"/>
  <c r="AI803" i="4" s="1"/>
  <c r="F806" i="4"/>
  <c r="G807" i="4"/>
  <c r="X807" i="4" s="1"/>
  <c r="N812" i="4"/>
  <c r="AA812" i="4" s="1"/>
  <c r="U819" i="4"/>
  <c r="H821" i="4"/>
  <c r="T824" i="4"/>
  <c r="G826" i="4"/>
  <c r="X826" i="4" s="1"/>
  <c r="T828" i="4"/>
  <c r="T829" i="4"/>
  <c r="F829" i="4"/>
  <c r="K830" i="4"/>
  <c r="V830" i="4" s="1"/>
  <c r="S831" i="4"/>
  <c r="S834" i="4"/>
  <c r="R838" i="4"/>
  <c r="AD838" i="4" s="1"/>
  <c r="I839" i="4"/>
  <c r="R847" i="4"/>
  <c r="AD847" i="4" s="1"/>
  <c r="I849" i="4"/>
  <c r="H850" i="4"/>
  <c r="S855" i="4"/>
  <c r="T866" i="4"/>
  <c r="T882" i="4"/>
  <c r="R882" i="4"/>
  <c r="AD882" i="4" s="1"/>
  <c r="O882" i="4"/>
  <c r="M882" i="4"/>
  <c r="W882" i="4" s="1"/>
  <c r="L882" i="4"/>
  <c r="Y882" i="4" s="1"/>
  <c r="K882" i="4"/>
  <c r="V882" i="4" s="1"/>
  <c r="J882" i="4"/>
  <c r="Z882" i="4" s="1"/>
  <c r="H882" i="4"/>
  <c r="G882" i="4"/>
  <c r="X882" i="4" s="1"/>
  <c r="F882" i="4"/>
  <c r="U882" i="4"/>
  <c r="T783" i="4"/>
  <c r="AE783" i="4" s="1"/>
  <c r="N790" i="4"/>
  <c r="AA790" i="4" s="1"/>
  <c r="K792" i="4"/>
  <c r="V792" i="4" s="1"/>
  <c r="I794" i="4"/>
  <c r="L796" i="4"/>
  <c r="Y796" i="4" s="1"/>
  <c r="N798" i="4"/>
  <c r="AA798" i="4" s="1"/>
  <c r="R800" i="4"/>
  <c r="AD800" i="4" s="1"/>
  <c r="D803" i="4"/>
  <c r="G806" i="4"/>
  <c r="X806" i="4" s="1"/>
  <c r="H807" i="4"/>
  <c r="F815" i="4"/>
  <c r="Q818" i="4"/>
  <c r="AC818" i="4" s="1"/>
  <c r="R819" i="4"/>
  <c r="AD819" i="4" s="1"/>
  <c r="B819" i="4"/>
  <c r="Q819" i="4"/>
  <c r="AC819" i="4" s="1"/>
  <c r="H819" i="4"/>
  <c r="F820" i="4"/>
  <c r="I821" i="4"/>
  <c r="Q823" i="4"/>
  <c r="AC823" i="4" s="1"/>
  <c r="U824" i="4"/>
  <c r="H826" i="4"/>
  <c r="G829" i="4"/>
  <c r="X829" i="4" s="1"/>
  <c r="L830" i="4"/>
  <c r="Y830" i="4" s="1"/>
  <c r="H833" i="4"/>
  <c r="G833" i="4"/>
  <c r="X833" i="4" s="1"/>
  <c r="R833" i="4"/>
  <c r="AD833" i="4" s="1"/>
  <c r="B833" i="4"/>
  <c r="O833" i="4"/>
  <c r="N833" i="4"/>
  <c r="AA833" i="4" s="1"/>
  <c r="J833" i="4"/>
  <c r="Z833" i="4" s="1"/>
  <c r="H836" i="4"/>
  <c r="J839" i="4"/>
  <c r="Z839" i="4" s="1"/>
  <c r="S847" i="4"/>
  <c r="K849" i="4"/>
  <c r="I850" i="4"/>
  <c r="T855" i="4"/>
  <c r="L860" i="4"/>
  <c r="Y860" i="4" s="1"/>
  <c r="J863" i="4"/>
  <c r="Z863" i="4" s="1"/>
  <c r="Q882" i="4"/>
  <c r="AC882" i="4" s="1"/>
  <c r="L849" i="4"/>
  <c r="Y849" i="4" s="1"/>
  <c r="J850" i="4"/>
  <c r="Z850" i="4" s="1"/>
  <c r="T854" i="4"/>
  <c r="R854" i="4"/>
  <c r="AD854" i="4" s="1"/>
  <c r="M854" i="4"/>
  <c r="W854" i="4" s="1"/>
  <c r="L854" i="4"/>
  <c r="Y854" i="4" s="1"/>
  <c r="J854" i="4"/>
  <c r="Z854" i="4" s="1"/>
  <c r="S860" i="4"/>
  <c r="L863" i="4"/>
  <c r="Y863" i="4" s="1"/>
  <c r="J779" i="4"/>
  <c r="Z779" i="4" s="1"/>
  <c r="G785" i="4"/>
  <c r="X785" i="4" s="1"/>
  <c r="T785" i="4"/>
  <c r="AI785" i="4" s="1"/>
  <c r="R788" i="4"/>
  <c r="AD788" i="4" s="1"/>
  <c r="M792" i="4"/>
  <c r="W792" i="4" s="1"/>
  <c r="K794" i="4"/>
  <c r="V794" i="4" s="1"/>
  <c r="R799" i="4"/>
  <c r="AD799" i="4" s="1"/>
  <c r="B800" i="4"/>
  <c r="G801" i="4"/>
  <c r="X801" i="4" s="1"/>
  <c r="N801" i="4"/>
  <c r="AA801" i="4" s="1"/>
  <c r="U801" i="4"/>
  <c r="J806" i="4"/>
  <c r="Z806" i="4" s="1"/>
  <c r="H815" i="4"/>
  <c r="H820" i="4"/>
  <c r="M821" i="4"/>
  <c r="W821" i="4" s="1"/>
  <c r="J826" i="4"/>
  <c r="Z826" i="4" s="1"/>
  <c r="G828" i="4"/>
  <c r="X828" i="4" s="1"/>
  <c r="F828" i="4"/>
  <c r="M828" i="4"/>
  <c r="W828" i="4" s="1"/>
  <c r="I828" i="4"/>
  <c r="N830" i="4"/>
  <c r="AA830" i="4" s="1"/>
  <c r="K836" i="4"/>
  <c r="L837" i="4"/>
  <c r="Y837" i="4" s="1"/>
  <c r="O839" i="4"/>
  <c r="M849" i="4"/>
  <c r="W849" i="4" s="1"/>
  <c r="Q850" i="4"/>
  <c r="AC850" i="4" s="1"/>
  <c r="T860" i="4"/>
  <c r="J800" i="4"/>
  <c r="Z800" i="4" s="1"/>
  <c r="Q800" i="4"/>
  <c r="AC800" i="4" s="1"/>
  <c r="U800" i="4"/>
  <c r="AI800" i="4" s="1"/>
  <c r="I815" i="4"/>
  <c r="I820" i="4"/>
  <c r="N821" i="4"/>
  <c r="AA821" i="4" s="1"/>
  <c r="K826" i="4"/>
  <c r="V826" i="4" s="1"/>
  <c r="O830" i="4"/>
  <c r="N831" i="4"/>
  <c r="AA831" i="4" s="1"/>
  <c r="M831" i="4"/>
  <c r="W831" i="4" s="1"/>
  <c r="U831" i="4"/>
  <c r="T831" i="4"/>
  <c r="D831" i="4"/>
  <c r="L836" i="4"/>
  <c r="Y836" i="4" s="1"/>
  <c r="G844" i="4"/>
  <c r="X844" i="4" s="1"/>
  <c r="F844" i="4"/>
  <c r="Q844" i="4"/>
  <c r="AC844" i="4" s="1"/>
  <c r="O844" i="4"/>
  <c r="N844" i="4"/>
  <c r="AA844" i="4" s="1"/>
  <c r="M844" i="4"/>
  <c r="W844" i="4" s="1"/>
  <c r="I844" i="4"/>
  <c r="T849" i="4"/>
  <c r="AE849" i="4" s="1"/>
  <c r="R850" i="4"/>
  <c r="AD850" i="4" s="1"/>
  <c r="U860" i="4"/>
  <c r="T788" i="4"/>
  <c r="O792" i="4"/>
  <c r="B799" i="4"/>
  <c r="D800" i="4"/>
  <c r="J815" i="4"/>
  <c r="Z815" i="4" s="1"/>
  <c r="U818" i="4"/>
  <c r="T818" i="4"/>
  <c r="D818" i="4"/>
  <c r="K818" i="4"/>
  <c r="V818" i="4" s="1"/>
  <c r="J820" i="4"/>
  <c r="Z820" i="4" s="1"/>
  <c r="O821" i="4"/>
  <c r="F823" i="4"/>
  <c r="U823" i="4"/>
  <c r="L823" i="4"/>
  <c r="Y823" i="4" s="1"/>
  <c r="F824" i="4"/>
  <c r="N826" i="4"/>
  <c r="AA826" i="4" s="1"/>
  <c r="R830" i="4"/>
  <c r="AD830" i="4" s="1"/>
  <c r="M836" i="4"/>
  <c r="W836" i="4" s="1"/>
  <c r="G837" i="4"/>
  <c r="X837" i="4" s="1"/>
  <c r="S850" i="4"/>
  <c r="AI850" i="4" s="1"/>
  <c r="M799" i="4"/>
  <c r="W799" i="4" s="1"/>
  <c r="T799" i="4"/>
  <c r="D799" i="4"/>
  <c r="K815" i="4"/>
  <c r="K820" i="4"/>
  <c r="O826" i="4"/>
  <c r="T830" i="4"/>
  <c r="AE830" i="4" s="1"/>
  <c r="U834" i="4"/>
  <c r="T834" i="4"/>
  <c r="D834" i="4"/>
  <c r="O834" i="4"/>
  <c r="M834" i="4"/>
  <c r="W834" i="4" s="1"/>
  <c r="L834" i="4"/>
  <c r="Y834" i="4" s="1"/>
  <c r="K834" i="4"/>
  <c r="V834" i="4" s="1"/>
  <c r="G834" i="4"/>
  <c r="X834" i="4" s="1"/>
  <c r="N779" i="4"/>
  <c r="AA779" i="4" s="1"/>
  <c r="I783" i="4"/>
  <c r="H790" i="4"/>
  <c r="T790" i="4"/>
  <c r="Q792" i="4"/>
  <c r="AC792" i="4" s="1"/>
  <c r="U798" i="4"/>
  <c r="AI798" i="4" s="1"/>
  <c r="F800" i="4"/>
  <c r="H801" i="4"/>
  <c r="N806" i="4"/>
  <c r="AA806" i="4" s="1"/>
  <c r="O807" i="4"/>
  <c r="F812" i="4"/>
  <c r="M812" i="4"/>
  <c r="W812" i="4" s="1"/>
  <c r="U812" i="4"/>
  <c r="T813" i="4"/>
  <c r="AE813" i="4" s="1"/>
  <c r="J813" i="4"/>
  <c r="L815" i="4"/>
  <c r="Y815" i="4" s="1"/>
  <c r="F818" i="4"/>
  <c r="J819" i="4"/>
  <c r="Z819" i="4" s="1"/>
  <c r="L820" i="4"/>
  <c r="Y820" i="4" s="1"/>
  <c r="Q821" i="4"/>
  <c r="AC821" i="4" s="1"/>
  <c r="H824" i="4"/>
  <c r="J828" i="4"/>
  <c r="Z828" i="4" s="1"/>
  <c r="G831" i="4"/>
  <c r="X831" i="4" s="1"/>
  <c r="L833" i="4"/>
  <c r="Y833" i="4" s="1"/>
  <c r="R836" i="4"/>
  <c r="AD836" i="4" s="1"/>
  <c r="I837" i="4"/>
  <c r="I838" i="4"/>
  <c r="T839" i="4"/>
  <c r="K843" i="4"/>
  <c r="V843" i="4" s="1"/>
  <c r="H844" i="4"/>
  <c r="S845" i="4"/>
  <c r="V869" i="4"/>
  <c r="O779" i="4"/>
  <c r="J783" i="4"/>
  <c r="Z783" i="4" s="1"/>
  <c r="I785" i="4"/>
  <c r="F788" i="4"/>
  <c r="D790" i="4"/>
  <c r="U790" i="4"/>
  <c r="S791" i="4"/>
  <c r="AI791" i="4" s="1"/>
  <c r="Q794" i="4"/>
  <c r="AC794" i="4" s="1"/>
  <c r="B796" i="4"/>
  <c r="S797" i="4"/>
  <c r="D798" i="4"/>
  <c r="F799" i="4"/>
  <c r="G800" i="4"/>
  <c r="X800" i="4" s="1"/>
  <c r="I801" i="4"/>
  <c r="L803" i="4"/>
  <c r="Y803" i="4" s="1"/>
  <c r="I811" i="4"/>
  <c r="U811" i="4"/>
  <c r="D812" i="4"/>
  <c r="F813" i="4"/>
  <c r="O815" i="4"/>
  <c r="H817" i="4"/>
  <c r="G817" i="4"/>
  <c r="X817" i="4" s="1"/>
  <c r="N817" i="4"/>
  <c r="AA817" i="4" s="1"/>
  <c r="G818" i="4"/>
  <c r="X818" i="4" s="1"/>
  <c r="K819" i="4"/>
  <c r="V819" i="4" s="1"/>
  <c r="M820" i="4"/>
  <c r="W820" i="4" s="1"/>
  <c r="S821" i="4"/>
  <c r="I822" i="4"/>
  <c r="H822" i="4"/>
  <c r="O822" i="4"/>
  <c r="G823" i="4"/>
  <c r="X823" i="4" s="1"/>
  <c r="J824" i="4"/>
  <c r="Z824" i="4" s="1"/>
  <c r="M825" i="4"/>
  <c r="W825" i="4" s="1"/>
  <c r="Q826" i="4"/>
  <c r="AC826" i="4" s="1"/>
  <c r="J827" i="4"/>
  <c r="Z827" i="4" s="1"/>
  <c r="I827" i="4"/>
  <c r="L827" i="4"/>
  <c r="Y827" i="4" s="1"/>
  <c r="K828" i="4"/>
  <c r="O829" i="4"/>
  <c r="H831" i="4"/>
  <c r="M833" i="4"/>
  <c r="W833" i="4" s="1"/>
  <c r="F834" i="4"/>
  <c r="S836" i="4"/>
  <c r="J837" i="4"/>
  <c r="Z837" i="4" s="1"/>
  <c r="O841" i="4"/>
  <c r="J841" i="4"/>
  <c r="Z841" i="4" s="1"/>
  <c r="H841" i="4"/>
  <c r="G841" i="4"/>
  <c r="X841" i="4" s="1"/>
  <c r="F841" i="4"/>
  <c r="R841" i="4"/>
  <c r="AD841" i="4" s="1"/>
  <c r="B841" i="4"/>
  <c r="M843" i="4"/>
  <c r="W843" i="4" s="1"/>
  <c r="J844" i="4"/>
  <c r="Z844" i="4" s="1"/>
  <c r="Q846" i="4"/>
  <c r="AC846" i="4" s="1"/>
  <c r="O857" i="4"/>
  <c r="R792" i="4"/>
  <c r="AD792" i="4" s="1"/>
  <c r="B792" i="4"/>
  <c r="T792" i="4"/>
  <c r="AI792" i="4" s="1"/>
  <c r="F796" i="4"/>
  <c r="M796" i="4"/>
  <c r="W796" i="4" s="1"/>
  <c r="U796" i="4"/>
  <c r="G799" i="4"/>
  <c r="X799" i="4" s="1"/>
  <c r="H800" i="4"/>
  <c r="J801" i="4"/>
  <c r="Z801" i="4" s="1"/>
  <c r="M803" i="4"/>
  <c r="W803" i="4" s="1"/>
  <c r="Q806" i="4"/>
  <c r="AC806" i="4" s="1"/>
  <c r="Q807" i="4"/>
  <c r="AC807" i="4" s="1"/>
  <c r="L810" i="4"/>
  <c r="Y810" i="4" s="1"/>
  <c r="G813" i="4"/>
  <c r="X813" i="4" s="1"/>
  <c r="H818" i="4"/>
  <c r="T821" i="4"/>
  <c r="H823" i="4"/>
  <c r="R826" i="4"/>
  <c r="AD826" i="4" s="1"/>
  <c r="L828" i="4"/>
  <c r="Y828" i="4" s="1"/>
  <c r="Q830" i="4"/>
  <c r="AC830" i="4" s="1"/>
  <c r="I831" i="4"/>
  <c r="H834" i="4"/>
  <c r="T836" i="4"/>
  <c r="K844" i="4"/>
  <c r="T845" i="4"/>
  <c r="AE845" i="4" s="1"/>
  <c r="O845" i="4"/>
  <c r="N845" i="4"/>
  <c r="AA845" i="4" s="1"/>
  <c r="M845" i="4"/>
  <c r="W845" i="4" s="1"/>
  <c r="L845" i="4"/>
  <c r="Y845" i="4" s="1"/>
  <c r="K845" i="4"/>
  <c r="F845" i="4"/>
  <c r="N847" i="4"/>
  <c r="AA847" i="4" s="1"/>
  <c r="M847" i="4"/>
  <c r="W847" i="4" s="1"/>
  <c r="I847" i="4"/>
  <c r="H847" i="4"/>
  <c r="G847" i="4"/>
  <c r="X847" i="4" s="1"/>
  <c r="F847" i="4"/>
  <c r="U847" i="4"/>
  <c r="T847" i="4"/>
  <c r="D847" i="4"/>
  <c r="AE867" i="4"/>
  <c r="M870" i="4"/>
  <c r="W870" i="4" s="1"/>
  <c r="T870" i="4"/>
  <c r="D870" i="4"/>
  <c r="H870" i="4"/>
  <c r="G870" i="4"/>
  <c r="X870" i="4" s="1"/>
  <c r="U870" i="4"/>
  <c r="B870" i="4"/>
  <c r="S870" i="4"/>
  <c r="R870" i="4"/>
  <c r="AD870" i="4" s="1"/>
  <c r="Q870" i="4"/>
  <c r="AC870" i="4" s="1"/>
  <c r="O870" i="4"/>
  <c r="L870" i="4"/>
  <c r="Y870" i="4" s="1"/>
  <c r="K870" i="4"/>
  <c r="J870" i="4"/>
  <c r="Z870" i="4" s="1"/>
  <c r="I870" i="4"/>
  <c r="O879" i="4"/>
  <c r="U879" i="4"/>
  <c r="S851" i="4"/>
  <c r="U861" i="4"/>
  <c r="AI861" i="4" s="1"/>
  <c r="R862" i="4"/>
  <c r="AD862" i="4" s="1"/>
  <c r="I865" i="4"/>
  <c r="G867" i="4"/>
  <c r="X867" i="4" s="1"/>
  <c r="H869" i="4"/>
  <c r="J874" i="4"/>
  <c r="Z874" i="4" s="1"/>
  <c r="AJ875" i="4"/>
  <c r="G883" i="4"/>
  <c r="X883" i="4" s="1"/>
  <c r="J886" i="4"/>
  <c r="Z886" i="4" s="1"/>
  <c r="J888" i="4"/>
  <c r="Z888" i="4" s="1"/>
  <c r="K910" i="4"/>
  <c r="I928" i="4"/>
  <c r="T928" i="4"/>
  <c r="D928" i="4"/>
  <c r="G928" i="4"/>
  <c r="X928" i="4" s="1"/>
  <c r="F928" i="4"/>
  <c r="S928" i="4"/>
  <c r="AI928" i="4" s="1"/>
  <c r="R928" i="4"/>
  <c r="AD928" i="4" s="1"/>
  <c r="Q928" i="4"/>
  <c r="AC928" i="4" s="1"/>
  <c r="O928" i="4"/>
  <c r="N928" i="4"/>
  <c r="AA928" i="4" s="1"/>
  <c r="M928" i="4"/>
  <c r="W928" i="4" s="1"/>
  <c r="L928" i="4"/>
  <c r="Y928" i="4" s="1"/>
  <c r="K928" i="4"/>
  <c r="J928" i="4"/>
  <c r="Z928" i="4" s="1"/>
  <c r="H928" i="4"/>
  <c r="S830" i="4"/>
  <c r="AI830" i="4" s="1"/>
  <c r="M832" i="4"/>
  <c r="W832" i="4" s="1"/>
  <c r="N837" i="4"/>
  <c r="AA837" i="4" s="1"/>
  <c r="K838" i="4"/>
  <c r="V838" i="4" s="1"/>
  <c r="U840" i="4"/>
  <c r="O842" i="4"/>
  <c r="L843" i="4"/>
  <c r="Y843" i="4" s="1"/>
  <c r="S846" i="4"/>
  <c r="M848" i="4"/>
  <c r="W848" i="4" s="1"/>
  <c r="J849" i="4"/>
  <c r="Z849" i="4" s="1"/>
  <c r="D851" i="4"/>
  <c r="T851" i="4"/>
  <c r="Q852" i="4"/>
  <c r="AC852" i="4" s="1"/>
  <c r="N853" i="4"/>
  <c r="AA853" i="4" s="1"/>
  <c r="K854" i="4"/>
  <c r="V854" i="4" s="1"/>
  <c r="U856" i="4"/>
  <c r="B857" i="4"/>
  <c r="R857" i="4"/>
  <c r="AD857" i="4" s="1"/>
  <c r="O858" i="4"/>
  <c r="L859" i="4"/>
  <c r="F861" i="4"/>
  <c r="S862" i="4"/>
  <c r="M864" i="4"/>
  <c r="W864" i="4" s="1"/>
  <c r="J865" i="4"/>
  <c r="Z865" i="4" s="1"/>
  <c r="H867" i="4"/>
  <c r="I869" i="4"/>
  <c r="N871" i="4"/>
  <c r="AA871" i="4" s="1"/>
  <c r="T873" i="4"/>
  <c r="D873" i="4"/>
  <c r="N873" i="4"/>
  <c r="AA873" i="4" s="1"/>
  <c r="K873" i="4"/>
  <c r="I873" i="4"/>
  <c r="L874" i="4"/>
  <c r="Y874" i="4" s="1"/>
  <c r="K876" i="4"/>
  <c r="V876" i="4" s="1"/>
  <c r="U876" i="4"/>
  <c r="R876" i="4"/>
  <c r="AD876" i="4" s="1"/>
  <c r="B876" i="4"/>
  <c r="I877" i="4"/>
  <c r="O881" i="4"/>
  <c r="H883" i="4"/>
  <c r="O884" i="4"/>
  <c r="K886" i="4"/>
  <c r="K888" i="4"/>
  <c r="I893" i="4"/>
  <c r="S899" i="4"/>
  <c r="K902" i="4"/>
  <c r="I903" i="4"/>
  <c r="I904" i="4"/>
  <c r="N909" i="4"/>
  <c r="AA909" i="4" s="1"/>
  <c r="N910" i="4"/>
  <c r="AA910" i="4" s="1"/>
  <c r="N912" i="4"/>
  <c r="AA912" i="4" s="1"/>
  <c r="R913" i="4"/>
  <c r="AD913" i="4" s="1"/>
  <c r="P934" i="4"/>
  <c r="AB934" i="4" s="1"/>
  <c r="AJ934" i="4"/>
  <c r="U851" i="4"/>
  <c r="B852" i="4"/>
  <c r="R852" i="4"/>
  <c r="AD852" i="4" s="1"/>
  <c r="S857" i="4"/>
  <c r="M859" i="4"/>
  <c r="W859" i="4" s="1"/>
  <c r="G861" i="4"/>
  <c r="X861" i="4" s="1"/>
  <c r="T862" i="4"/>
  <c r="K865" i="4"/>
  <c r="I867" i="4"/>
  <c r="J869" i="4"/>
  <c r="Z869" i="4" s="1"/>
  <c r="M874" i="4"/>
  <c r="W874" i="4" s="1"/>
  <c r="R879" i="4"/>
  <c r="AD879" i="4" s="1"/>
  <c r="B879" i="4"/>
  <c r="L879" i="4"/>
  <c r="Y879" i="4" s="1"/>
  <c r="I879" i="4"/>
  <c r="G879" i="4"/>
  <c r="X879" i="4" s="1"/>
  <c r="I882" i="4"/>
  <c r="I883" i="4"/>
  <c r="J885" i="4"/>
  <c r="Z885" i="4" s="1"/>
  <c r="H885" i="4"/>
  <c r="G885" i="4"/>
  <c r="X885" i="4" s="1"/>
  <c r="U885" i="4"/>
  <c r="L886" i="4"/>
  <c r="Y886" i="4" s="1"/>
  <c r="M888" i="4"/>
  <c r="W888" i="4" s="1"/>
  <c r="U889" i="4"/>
  <c r="T889" i="4"/>
  <c r="D889" i="4"/>
  <c r="N889" i="4"/>
  <c r="AA889" i="4" s="1"/>
  <c r="L889" i="4"/>
  <c r="Y889" i="4" s="1"/>
  <c r="K889" i="4"/>
  <c r="I889" i="4"/>
  <c r="T899" i="4"/>
  <c r="Q900" i="4"/>
  <c r="AC900" i="4" s="1"/>
  <c r="L902" i="4"/>
  <c r="Y902" i="4" s="1"/>
  <c r="L903" i="4"/>
  <c r="Y903" i="4" s="1"/>
  <c r="K904" i="4"/>
  <c r="Q909" i="4"/>
  <c r="AC909" i="4" s="1"/>
  <c r="R910" i="4"/>
  <c r="AD910" i="4" s="1"/>
  <c r="S912" i="4"/>
  <c r="U928" i="4"/>
  <c r="S852" i="4"/>
  <c r="U862" i="4"/>
  <c r="L865" i="4"/>
  <c r="Y865" i="4" s="1"/>
  <c r="J867" i="4"/>
  <c r="Z867" i="4" s="1"/>
  <c r="N874" i="4"/>
  <c r="AA874" i="4" s="1"/>
  <c r="J883" i="4"/>
  <c r="Z883" i="4" s="1"/>
  <c r="N886" i="4"/>
  <c r="AA886" i="4" s="1"/>
  <c r="J887" i="4"/>
  <c r="Z887" i="4" s="1"/>
  <c r="T887" i="4"/>
  <c r="D887" i="4"/>
  <c r="R887" i="4"/>
  <c r="AD887" i="4" s="1"/>
  <c r="B887" i="4"/>
  <c r="Q887" i="4"/>
  <c r="AC887" i="4" s="1"/>
  <c r="O887" i="4"/>
  <c r="F894" i="4"/>
  <c r="U894" i="4"/>
  <c r="Q894" i="4"/>
  <c r="AC894" i="4" s="1"/>
  <c r="O894" i="4"/>
  <c r="M894" i="4"/>
  <c r="W894" i="4" s="1"/>
  <c r="L894" i="4"/>
  <c r="Y894" i="4" s="1"/>
  <c r="J894" i="4"/>
  <c r="Z894" i="4" s="1"/>
  <c r="O902" i="4"/>
  <c r="U909" i="4"/>
  <c r="S910" i="4"/>
  <c r="U921" i="4"/>
  <c r="T921" i="4"/>
  <c r="D921" i="4"/>
  <c r="O921" i="4"/>
  <c r="N921" i="4"/>
  <c r="AA921" i="4" s="1"/>
  <c r="M921" i="4"/>
  <c r="W921" i="4" s="1"/>
  <c r="L921" i="4"/>
  <c r="Y921" i="4" s="1"/>
  <c r="K921" i="4"/>
  <c r="J921" i="4"/>
  <c r="Z921" i="4" s="1"/>
  <c r="I921" i="4"/>
  <c r="G921" i="4"/>
  <c r="X921" i="4" s="1"/>
  <c r="F921" i="4"/>
  <c r="K937" i="4"/>
  <c r="J937" i="4"/>
  <c r="Z937" i="4" s="1"/>
  <c r="H937" i="4"/>
  <c r="F937" i="4"/>
  <c r="U937" i="4"/>
  <c r="T937" i="4"/>
  <c r="R937" i="4"/>
  <c r="AD937" i="4" s="1"/>
  <c r="Q937" i="4"/>
  <c r="AC937" i="4" s="1"/>
  <c r="O937" i="4"/>
  <c r="M937" i="4"/>
  <c r="W937" i="4" s="1"/>
  <c r="L937" i="4"/>
  <c r="Y937" i="4" s="1"/>
  <c r="S794" i="4"/>
  <c r="AI794" i="4" s="1"/>
  <c r="S810" i="4"/>
  <c r="I824" i="4"/>
  <c r="S826" i="4"/>
  <c r="AI826" i="4" s="1"/>
  <c r="J829" i="4"/>
  <c r="G830" i="4"/>
  <c r="X830" i="4" s="1"/>
  <c r="Q832" i="4"/>
  <c r="AC832" i="4" s="1"/>
  <c r="B837" i="4"/>
  <c r="R837" i="4"/>
  <c r="AD837" i="4" s="1"/>
  <c r="O838" i="4"/>
  <c r="I840" i="4"/>
  <c r="S842" i="4"/>
  <c r="J845" i="4"/>
  <c r="Z845" i="4" s="1"/>
  <c r="G846" i="4"/>
  <c r="X846" i="4" s="1"/>
  <c r="Q848" i="4"/>
  <c r="AC848" i="4" s="1"/>
  <c r="N849" i="4"/>
  <c r="AA849" i="4" s="1"/>
  <c r="H851" i="4"/>
  <c r="U852" i="4"/>
  <c r="B853" i="4"/>
  <c r="R853" i="4"/>
  <c r="AD853" i="4" s="1"/>
  <c r="O854" i="4"/>
  <c r="I856" i="4"/>
  <c r="F857" i="4"/>
  <c r="J861" i="4"/>
  <c r="Z861" i="4" s="1"/>
  <c r="G862" i="4"/>
  <c r="X862" i="4" s="1"/>
  <c r="Q864" i="4"/>
  <c r="AC864" i="4" s="1"/>
  <c r="N865" i="4"/>
  <c r="AA865" i="4" s="1"/>
  <c r="L867" i="4"/>
  <c r="Y867" i="4" s="1"/>
  <c r="M869" i="4"/>
  <c r="W869" i="4" s="1"/>
  <c r="S871" i="4"/>
  <c r="H873" i="4"/>
  <c r="G876" i="4"/>
  <c r="X876" i="4" s="1"/>
  <c r="N877" i="4"/>
  <c r="AA877" i="4" s="1"/>
  <c r="T878" i="4"/>
  <c r="AI878" i="4" s="1"/>
  <c r="F879" i="4"/>
  <c r="N883" i="4"/>
  <c r="AA883" i="4" s="1"/>
  <c r="T884" i="4"/>
  <c r="F885" i="4"/>
  <c r="F887" i="4"/>
  <c r="S888" i="4"/>
  <c r="G889" i="4"/>
  <c r="X889" i="4" s="1"/>
  <c r="H921" i="4"/>
  <c r="T929" i="4"/>
  <c r="B832" i="4"/>
  <c r="R832" i="4"/>
  <c r="AD832" i="4" s="1"/>
  <c r="S837" i="4"/>
  <c r="T842" i="4"/>
  <c r="Q843" i="4"/>
  <c r="AC843" i="4" s="1"/>
  <c r="B848" i="4"/>
  <c r="R848" i="4"/>
  <c r="AD848" i="4" s="1"/>
  <c r="O849" i="4"/>
  <c r="I851" i="4"/>
  <c r="F852" i="4"/>
  <c r="S853" i="4"/>
  <c r="J856" i="4"/>
  <c r="G857" i="4"/>
  <c r="X857" i="4" s="1"/>
  <c r="T858" i="4"/>
  <c r="Q859" i="4"/>
  <c r="AC859" i="4" s="1"/>
  <c r="K861" i="4"/>
  <c r="H862" i="4"/>
  <c r="B864" i="4"/>
  <c r="R864" i="4"/>
  <c r="AD864" i="4" s="1"/>
  <c r="O865" i="4"/>
  <c r="N867" i="4"/>
  <c r="AA867" i="4" s="1"/>
  <c r="N869" i="4"/>
  <c r="AA869" i="4" s="1"/>
  <c r="U871" i="4"/>
  <c r="J873" i="4"/>
  <c r="Z873" i="4" s="1"/>
  <c r="R874" i="4"/>
  <c r="AD874" i="4" s="1"/>
  <c r="H879" i="4"/>
  <c r="O883" i="4"/>
  <c r="U884" i="4"/>
  <c r="I885" i="4"/>
  <c r="Q886" i="4"/>
  <c r="AC886" i="4" s="1"/>
  <c r="G887" i="4"/>
  <c r="X887" i="4" s="1"/>
  <c r="T888" i="4"/>
  <c r="H889" i="4"/>
  <c r="G894" i="4"/>
  <c r="X894" i="4" s="1"/>
  <c r="Q921" i="4"/>
  <c r="AC921" i="4" s="1"/>
  <c r="S832" i="4"/>
  <c r="D837" i="4"/>
  <c r="T837" i="4"/>
  <c r="Q838" i="4"/>
  <c r="AC838" i="4" s="1"/>
  <c r="U842" i="4"/>
  <c r="B843" i="4"/>
  <c r="R843" i="4"/>
  <c r="AD843" i="4" s="1"/>
  <c r="S848" i="4"/>
  <c r="J851" i="4"/>
  <c r="Z851" i="4" s="1"/>
  <c r="G852" i="4"/>
  <c r="X852" i="4" s="1"/>
  <c r="D853" i="4"/>
  <c r="T853" i="4"/>
  <c r="Q854" i="4"/>
  <c r="AC854" i="4" s="1"/>
  <c r="H857" i="4"/>
  <c r="U858" i="4"/>
  <c r="B859" i="4"/>
  <c r="R859" i="4"/>
  <c r="AD859" i="4" s="1"/>
  <c r="L861" i="4"/>
  <c r="Y861" i="4" s="1"/>
  <c r="I862" i="4"/>
  <c r="S864" i="4"/>
  <c r="AI864" i="4" s="1"/>
  <c r="O867" i="4"/>
  <c r="O869" i="4"/>
  <c r="L873" i="4"/>
  <c r="Y873" i="4" s="1"/>
  <c r="S874" i="4"/>
  <c r="Q877" i="4"/>
  <c r="AC877" i="4" s="1"/>
  <c r="U878" i="4"/>
  <c r="O878" i="4"/>
  <c r="L878" i="4"/>
  <c r="Y878" i="4" s="1"/>
  <c r="J878" i="4"/>
  <c r="Z878" i="4" s="1"/>
  <c r="J879" i="4"/>
  <c r="Z879" i="4" s="1"/>
  <c r="S881" i="4"/>
  <c r="Q883" i="4"/>
  <c r="AC883" i="4" s="1"/>
  <c r="K885" i="4"/>
  <c r="H887" i="4"/>
  <c r="U888" i="4"/>
  <c r="J889" i="4"/>
  <c r="Z889" i="4" s="1"/>
  <c r="H894" i="4"/>
  <c r="O896" i="4"/>
  <c r="K896" i="4"/>
  <c r="J896" i="4"/>
  <c r="Z896" i="4" s="1"/>
  <c r="I896" i="4"/>
  <c r="G896" i="4"/>
  <c r="X896" i="4" s="1"/>
  <c r="F896" i="4"/>
  <c r="T896" i="4"/>
  <c r="D896" i="4"/>
  <c r="R896" i="4"/>
  <c r="AD896" i="4" s="1"/>
  <c r="B896" i="4"/>
  <c r="S897" i="4"/>
  <c r="R921" i="4"/>
  <c r="AD921" i="4" s="1"/>
  <c r="R929" i="4"/>
  <c r="AD929" i="4" s="1"/>
  <c r="N929" i="4"/>
  <c r="AA929" i="4" s="1"/>
  <c r="L929" i="4"/>
  <c r="Y929" i="4" s="1"/>
  <c r="S843" i="4"/>
  <c r="Q849" i="4"/>
  <c r="AC849" i="4" s="1"/>
  <c r="K851" i="4"/>
  <c r="V851" i="4" s="1"/>
  <c r="H852" i="4"/>
  <c r="U853" i="4"/>
  <c r="I857" i="4"/>
  <c r="S859" i="4"/>
  <c r="M861" i="4"/>
  <c r="W861" i="4" s="1"/>
  <c r="J862" i="4"/>
  <c r="Z862" i="4" s="1"/>
  <c r="D864" i="4"/>
  <c r="T864" i="4"/>
  <c r="Q865" i="4"/>
  <c r="AC865" i="4" s="1"/>
  <c r="Q869" i="4"/>
  <c r="AC869" i="4" s="1"/>
  <c r="J871" i="4"/>
  <c r="Z871" i="4" s="1"/>
  <c r="T871" i="4"/>
  <c r="D871" i="4"/>
  <c r="Q871" i="4"/>
  <c r="AC871" i="4" s="1"/>
  <c r="M873" i="4"/>
  <c r="W873" i="4" s="1"/>
  <c r="T874" i="4"/>
  <c r="S877" i="4"/>
  <c r="D878" i="4"/>
  <c r="K879" i="4"/>
  <c r="R883" i="4"/>
  <c r="AD883" i="4" s="1"/>
  <c r="S884" i="4"/>
  <c r="L885" i="4"/>
  <c r="Y885" i="4" s="1"/>
  <c r="I887" i="4"/>
  <c r="R890" i="4"/>
  <c r="AD890" i="4" s="1"/>
  <c r="B890" i="4"/>
  <c r="Q890" i="4"/>
  <c r="AC890" i="4" s="1"/>
  <c r="K890" i="4"/>
  <c r="I890" i="4"/>
  <c r="H890" i="4"/>
  <c r="F890" i="4"/>
  <c r="I894" i="4"/>
  <c r="N895" i="4"/>
  <c r="AA895" i="4" s="1"/>
  <c r="M895" i="4"/>
  <c r="W895" i="4" s="1"/>
  <c r="U895" i="4"/>
  <c r="H920" i="4"/>
  <c r="S921" i="4"/>
  <c r="G929" i="4"/>
  <c r="X929" i="4" s="1"/>
  <c r="U832" i="4"/>
  <c r="F837" i="4"/>
  <c r="S838" i="4"/>
  <c r="AI838" i="4" s="1"/>
  <c r="G842" i="4"/>
  <c r="X842" i="4" s="1"/>
  <c r="D843" i="4"/>
  <c r="T843" i="4"/>
  <c r="U848" i="4"/>
  <c r="B849" i="4"/>
  <c r="R849" i="4"/>
  <c r="AD849" i="4" s="1"/>
  <c r="L851" i="4"/>
  <c r="Y851" i="4" s="1"/>
  <c r="I852" i="4"/>
  <c r="F853" i="4"/>
  <c r="S854" i="4"/>
  <c r="J857" i="4"/>
  <c r="Z857" i="4" s="1"/>
  <c r="G858" i="4"/>
  <c r="X858" i="4" s="1"/>
  <c r="D859" i="4"/>
  <c r="T859" i="4"/>
  <c r="AE859" i="4" s="1"/>
  <c r="N861" i="4"/>
  <c r="AA861" i="4" s="1"/>
  <c r="K862" i="4"/>
  <c r="V862" i="4" s="1"/>
  <c r="U864" i="4"/>
  <c r="R865" i="4"/>
  <c r="AD865" i="4" s="1"/>
  <c r="Q867" i="4"/>
  <c r="AC867" i="4" s="1"/>
  <c r="R869" i="4"/>
  <c r="AD869" i="4" s="1"/>
  <c r="O873" i="4"/>
  <c r="U874" i="4"/>
  <c r="T877" i="4"/>
  <c r="M879" i="4"/>
  <c r="W879" i="4" s="1"/>
  <c r="L881" i="4"/>
  <c r="Y881" i="4" s="1"/>
  <c r="F881" i="4"/>
  <c r="Q881" i="4"/>
  <c r="AC881" i="4" s="1"/>
  <c r="S883" i="4"/>
  <c r="M885" i="4"/>
  <c r="W885" i="4" s="1"/>
  <c r="K887" i="4"/>
  <c r="O889" i="4"/>
  <c r="D890" i="4"/>
  <c r="K894" i="4"/>
  <c r="V894" i="4" s="1"/>
  <c r="F895" i="4"/>
  <c r="H896" i="4"/>
  <c r="M897" i="4"/>
  <c r="W897" i="4" s="1"/>
  <c r="L897" i="4"/>
  <c r="Y897" i="4" s="1"/>
  <c r="H897" i="4"/>
  <c r="G897" i="4"/>
  <c r="X897" i="4" s="1"/>
  <c r="F897" i="4"/>
  <c r="T897" i="4"/>
  <c r="O897" i="4"/>
  <c r="G915" i="4"/>
  <c r="X915" i="4" s="1"/>
  <c r="F915" i="4"/>
  <c r="R915" i="4"/>
  <c r="AD915" i="4" s="1"/>
  <c r="B915" i="4"/>
  <c r="Q915" i="4"/>
  <c r="AC915" i="4" s="1"/>
  <c r="O915" i="4"/>
  <c r="N915" i="4"/>
  <c r="AA915" i="4" s="1"/>
  <c r="M915" i="4"/>
  <c r="W915" i="4" s="1"/>
  <c r="K915" i="4"/>
  <c r="I915" i="4"/>
  <c r="H915" i="4"/>
  <c r="S849" i="4"/>
  <c r="AI849" i="4" s="1"/>
  <c r="M851" i="4"/>
  <c r="W851" i="4" s="1"/>
  <c r="J852" i="4"/>
  <c r="Z852" i="4" s="1"/>
  <c r="K857" i="4"/>
  <c r="O861" i="4"/>
  <c r="S865" i="4"/>
  <c r="T865" i="4"/>
  <c r="R867" i="4"/>
  <c r="AD867" i="4" s="1"/>
  <c r="S869" i="4"/>
  <c r="AI869" i="4" s="1"/>
  <c r="N879" i="4"/>
  <c r="AA879" i="4" s="1"/>
  <c r="T883" i="4"/>
  <c r="N885" i="4"/>
  <c r="AA885" i="4" s="1"/>
  <c r="L887" i="4"/>
  <c r="Y887" i="4" s="1"/>
  <c r="N894" i="4"/>
  <c r="AA894" i="4" s="1"/>
  <c r="G899" i="4"/>
  <c r="X899" i="4" s="1"/>
  <c r="F899" i="4"/>
  <c r="R899" i="4"/>
  <c r="AD899" i="4" s="1"/>
  <c r="B899" i="4"/>
  <c r="Q899" i="4"/>
  <c r="AC899" i="4" s="1"/>
  <c r="N899" i="4"/>
  <c r="AA899" i="4" s="1"/>
  <c r="M899" i="4"/>
  <c r="W899" i="4" s="1"/>
  <c r="K899" i="4"/>
  <c r="I899" i="4"/>
  <c r="M920" i="4"/>
  <c r="W920" i="4" s="1"/>
  <c r="I920" i="4"/>
  <c r="L927" i="4"/>
  <c r="Y927" i="4" s="1"/>
  <c r="G927" i="4"/>
  <c r="X927" i="4" s="1"/>
  <c r="D927" i="4"/>
  <c r="R927" i="4"/>
  <c r="AD927" i="4" s="1"/>
  <c r="Q927" i="4"/>
  <c r="AC927" i="4" s="1"/>
  <c r="O927" i="4"/>
  <c r="N927" i="4"/>
  <c r="AA927" i="4" s="1"/>
  <c r="M927" i="4"/>
  <c r="W927" i="4" s="1"/>
  <c r="K927" i="4"/>
  <c r="J927" i="4"/>
  <c r="Z927" i="4" s="1"/>
  <c r="I927" i="4"/>
  <c r="H927" i="4"/>
  <c r="F927" i="4"/>
  <c r="Q874" i="4"/>
  <c r="AC874" i="4" s="1"/>
  <c r="K874" i="4"/>
  <c r="V874" i="4" s="1"/>
  <c r="H874" i="4"/>
  <c r="F874" i="4"/>
  <c r="U883" i="4"/>
  <c r="M886" i="4"/>
  <c r="W886" i="4" s="1"/>
  <c r="G886" i="4"/>
  <c r="X886" i="4" s="1"/>
  <c r="U886" i="4"/>
  <c r="T886" i="4"/>
  <c r="D886" i="4"/>
  <c r="R886" i="4"/>
  <c r="AD886" i="4" s="1"/>
  <c r="B886" i="4"/>
  <c r="H888" i="4"/>
  <c r="G888" i="4"/>
  <c r="X888" i="4" s="1"/>
  <c r="Q888" i="4"/>
  <c r="AC888" i="4" s="1"/>
  <c r="O888" i="4"/>
  <c r="N888" i="4"/>
  <c r="AA888" i="4" s="1"/>
  <c r="L888" i="4"/>
  <c r="Y888" i="4" s="1"/>
  <c r="F910" i="4"/>
  <c r="U910" i="4"/>
  <c r="Q910" i="4"/>
  <c r="AC910" i="4" s="1"/>
  <c r="O910" i="4"/>
  <c r="M910" i="4"/>
  <c r="W910" i="4" s="1"/>
  <c r="L910" i="4"/>
  <c r="Y910" i="4" s="1"/>
  <c r="J910" i="4"/>
  <c r="Z910" i="4" s="1"/>
  <c r="H910" i="4"/>
  <c r="T867" i="4"/>
  <c r="AI867" i="4" s="1"/>
  <c r="U869" i="4"/>
  <c r="D874" i="4"/>
  <c r="H877" i="4"/>
  <c r="R877" i="4"/>
  <c r="AD877" i="4" s="1"/>
  <c r="B877" i="4"/>
  <c r="O877" i="4"/>
  <c r="M877" i="4"/>
  <c r="W877" i="4" s="1"/>
  <c r="G884" i="4"/>
  <c r="X884" i="4" s="1"/>
  <c r="Q885" i="4"/>
  <c r="AC885" i="4" s="1"/>
  <c r="N887" i="4"/>
  <c r="AA887" i="4" s="1"/>
  <c r="D888" i="4"/>
  <c r="S894" i="4"/>
  <c r="D910" i="4"/>
  <c r="O912" i="4"/>
  <c r="K912" i="4"/>
  <c r="J912" i="4"/>
  <c r="Z912" i="4" s="1"/>
  <c r="I912" i="4"/>
  <c r="G912" i="4"/>
  <c r="X912" i="4" s="1"/>
  <c r="F912" i="4"/>
  <c r="T912" i="4"/>
  <c r="D912" i="4"/>
  <c r="R912" i="4"/>
  <c r="AD912" i="4" s="1"/>
  <c r="B912" i="4"/>
  <c r="Q912" i="4"/>
  <c r="AC912" i="4" s="1"/>
  <c r="M913" i="4"/>
  <c r="W913" i="4" s="1"/>
  <c r="L913" i="4"/>
  <c r="Y913" i="4" s="1"/>
  <c r="H913" i="4"/>
  <c r="G913" i="4"/>
  <c r="X913" i="4" s="1"/>
  <c r="F913" i="4"/>
  <c r="T913" i="4"/>
  <c r="AE913" i="4" s="1"/>
  <c r="O913" i="4"/>
  <c r="N913" i="4"/>
  <c r="AA913" i="4" s="1"/>
  <c r="J915" i="4"/>
  <c r="Z915" i="4" s="1"/>
  <c r="K920" i="4"/>
  <c r="S927" i="4"/>
  <c r="F883" i="4"/>
  <c r="M883" i="4"/>
  <c r="W883" i="4" s="1"/>
  <c r="K883" i="4"/>
  <c r="F886" i="4"/>
  <c r="T900" i="4"/>
  <c r="AE900" i="4" s="1"/>
  <c r="O900" i="4"/>
  <c r="N900" i="4"/>
  <c r="AA900" i="4" s="1"/>
  <c r="K900" i="4"/>
  <c r="V900" i="4" s="1"/>
  <c r="F900" i="4"/>
  <c r="N902" i="4"/>
  <c r="AA902" i="4" s="1"/>
  <c r="M902" i="4"/>
  <c r="W902" i="4" s="1"/>
  <c r="I902" i="4"/>
  <c r="H902" i="4"/>
  <c r="G902" i="4"/>
  <c r="X902" i="4" s="1"/>
  <c r="U902" i="4"/>
  <c r="T902" i="4"/>
  <c r="D902" i="4"/>
  <c r="R902" i="4"/>
  <c r="AD902" i="4" s="1"/>
  <c r="B902" i="4"/>
  <c r="K903" i="4"/>
  <c r="J903" i="4"/>
  <c r="Z903" i="4" s="1"/>
  <c r="F903" i="4"/>
  <c r="U903" i="4"/>
  <c r="T903" i="4"/>
  <c r="D903" i="4"/>
  <c r="R903" i="4"/>
  <c r="AD903" i="4" s="1"/>
  <c r="B903" i="4"/>
  <c r="Q903" i="4"/>
  <c r="AC903" i="4" s="1"/>
  <c r="O903" i="4"/>
  <c r="M903" i="4"/>
  <c r="W903" i="4" s="1"/>
  <c r="H904" i="4"/>
  <c r="F909" i="4"/>
  <c r="I913" i="4"/>
  <c r="L915" i="4"/>
  <c r="Y915" i="4" s="1"/>
  <c r="T920" i="4"/>
  <c r="T927" i="4"/>
  <c r="B824" i="4"/>
  <c r="R824" i="4"/>
  <c r="AD824" i="4" s="1"/>
  <c r="J832" i="4"/>
  <c r="Z832" i="4" s="1"/>
  <c r="K837" i="4"/>
  <c r="H838" i="4"/>
  <c r="B840" i="4"/>
  <c r="R840" i="4"/>
  <c r="AD840" i="4" s="1"/>
  <c r="I843" i="4"/>
  <c r="J848" i="4"/>
  <c r="Z848" i="4" s="1"/>
  <c r="G849" i="4"/>
  <c r="X849" i="4" s="1"/>
  <c r="Q851" i="4"/>
  <c r="AC851" i="4" s="1"/>
  <c r="N852" i="4"/>
  <c r="AA852" i="4" s="1"/>
  <c r="K853" i="4"/>
  <c r="H854" i="4"/>
  <c r="B856" i="4"/>
  <c r="R856" i="4"/>
  <c r="AD856" i="4" s="1"/>
  <c r="L858" i="4"/>
  <c r="Y858" i="4" s="1"/>
  <c r="I859" i="4"/>
  <c r="J864" i="4"/>
  <c r="Z864" i="4" s="1"/>
  <c r="G865" i="4"/>
  <c r="X865" i="4" s="1"/>
  <c r="K871" i="4"/>
  <c r="U873" i="4"/>
  <c r="AI873" i="4" s="1"/>
  <c r="G874" i="4"/>
  <c r="X874" i="4" s="1"/>
  <c r="S876" i="4"/>
  <c r="K878" i="4"/>
  <c r="V878" i="4" s="1"/>
  <c r="S879" i="4"/>
  <c r="K881" i="4"/>
  <c r="D883" i="4"/>
  <c r="K884" i="4"/>
  <c r="S885" i="4"/>
  <c r="H886" i="4"/>
  <c r="S887" i="4"/>
  <c r="F888" i="4"/>
  <c r="M890" i="4"/>
  <c r="W890" i="4" s="1"/>
  <c r="Q895" i="4"/>
  <c r="AC895" i="4" s="1"/>
  <c r="S896" i="4"/>
  <c r="J899" i="4"/>
  <c r="Z899" i="4" s="1"/>
  <c r="G900" i="4"/>
  <c r="X900" i="4" s="1"/>
  <c r="U905" i="4"/>
  <c r="T905" i="4"/>
  <c r="D905" i="4"/>
  <c r="O905" i="4"/>
  <c r="N905" i="4"/>
  <c r="AA905" i="4" s="1"/>
  <c r="L905" i="4"/>
  <c r="Y905" i="4" s="1"/>
  <c r="K905" i="4"/>
  <c r="V905" i="4" s="1"/>
  <c r="I905" i="4"/>
  <c r="G905" i="4"/>
  <c r="X905" i="4" s="1"/>
  <c r="R906" i="4"/>
  <c r="AD906" i="4" s="1"/>
  <c r="B906" i="4"/>
  <c r="Q906" i="4"/>
  <c r="AC906" i="4" s="1"/>
  <c r="M906" i="4"/>
  <c r="W906" i="4" s="1"/>
  <c r="L906" i="4"/>
  <c r="Y906" i="4" s="1"/>
  <c r="K906" i="4"/>
  <c r="I906" i="4"/>
  <c r="H906" i="4"/>
  <c r="F906" i="4"/>
  <c r="T906" i="4"/>
  <c r="D906" i="4"/>
  <c r="G909" i="4"/>
  <c r="X909" i="4" s="1"/>
  <c r="G910" i="4"/>
  <c r="X910" i="4" s="1"/>
  <c r="H912" i="4"/>
  <c r="J913" i="4"/>
  <c r="Z913" i="4" s="1"/>
  <c r="S915" i="4"/>
  <c r="U920" i="4"/>
  <c r="U927" i="4"/>
  <c r="B851" i="4"/>
  <c r="F867" i="4"/>
  <c r="F869" i="4"/>
  <c r="L871" i="4"/>
  <c r="Y871" i="4" s="1"/>
  <c r="I874" i="4"/>
  <c r="T876" i="4"/>
  <c r="F877" i="4"/>
  <c r="M878" i="4"/>
  <c r="W878" i="4" s="1"/>
  <c r="T879" i="4"/>
  <c r="M881" i="4"/>
  <c r="W881" i="4" s="1"/>
  <c r="T885" i="4"/>
  <c r="I886" i="4"/>
  <c r="U887" i="4"/>
  <c r="I888" i="4"/>
  <c r="N890" i="4"/>
  <c r="AA890" i="4" s="1"/>
  <c r="T895" i="4"/>
  <c r="U896" i="4"/>
  <c r="R897" i="4"/>
  <c r="AD897" i="4" s="1"/>
  <c r="L899" i="4"/>
  <c r="Y899" i="4" s="1"/>
  <c r="I900" i="4"/>
  <c r="F902" i="4"/>
  <c r="G903" i="4"/>
  <c r="X903" i="4" s="1"/>
  <c r="J909" i="4"/>
  <c r="Z909" i="4" s="1"/>
  <c r="I910" i="4"/>
  <c r="L912" i="4"/>
  <c r="Y912" i="4" s="1"/>
  <c r="K913" i="4"/>
  <c r="T915" i="4"/>
  <c r="AE915" i="4" s="1"/>
  <c r="B928" i="4"/>
  <c r="I930" i="4"/>
  <c r="H930" i="4"/>
  <c r="F930" i="4"/>
  <c r="U930" i="4"/>
  <c r="T930" i="4"/>
  <c r="R930" i="4"/>
  <c r="AD930" i="4" s="1"/>
  <c r="Q930" i="4"/>
  <c r="AC930" i="4" s="1"/>
  <c r="O930" i="4"/>
  <c r="M930" i="4"/>
  <c r="W930" i="4" s="1"/>
  <c r="L930" i="4"/>
  <c r="Y930" i="4" s="1"/>
  <c r="K930" i="4"/>
  <c r="V930" i="4" s="1"/>
  <c r="J930" i="4"/>
  <c r="Z930" i="4" s="1"/>
  <c r="H941" i="4"/>
  <c r="F941" i="4"/>
  <c r="T941" i="4"/>
  <c r="Q941" i="4"/>
  <c r="AC941" i="4" s="1"/>
  <c r="U916" i="4"/>
  <c r="O918" i="4"/>
  <c r="L919" i="4"/>
  <c r="Y919" i="4" s="1"/>
  <c r="K922" i="4"/>
  <c r="T922" i="4"/>
  <c r="T924" i="4"/>
  <c r="D925" i="4"/>
  <c r="J929" i="4"/>
  <c r="Z929" i="4" s="1"/>
  <c r="L931" i="4"/>
  <c r="Y931" i="4" s="1"/>
  <c r="N932" i="4"/>
  <c r="AA932" i="4" s="1"/>
  <c r="M935" i="4"/>
  <c r="W935" i="4" s="1"/>
  <c r="T935" i="4"/>
  <c r="D935" i="4"/>
  <c r="O935" i="4"/>
  <c r="G936" i="4"/>
  <c r="X936" i="4" s="1"/>
  <c r="I939" i="4"/>
  <c r="O941" i="4"/>
  <c r="I942" i="4"/>
  <c r="H942" i="4"/>
  <c r="G942" i="4"/>
  <c r="X942" i="4" s="1"/>
  <c r="T942" i="4"/>
  <c r="D942" i="4"/>
  <c r="O942" i="4"/>
  <c r="J942" i="4"/>
  <c r="Z942" i="4" s="1"/>
  <c r="R943" i="4"/>
  <c r="AD943" i="4" s="1"/>
  <c r="H944" i="4"/>
  <c r="O946" i="4"/>
  <c r="J947" i="4"/>
  <c r="Z947" i="4" s="1"/>
  <c r="I947" i="4"/>
  <c r="H947" i="4"/>
  <c r="U947" i="4"/>
  <c r="K947" i="4"/>
  <c r="J950" i="4"/>
  <c r="Z950" i="4" s="1"/>
  <c r="Q955" i="4"/>
  <c r="AC955" i="4" s="1"/>
  <c r="M956" i="4"/>
  <c r="W956" i="4" s="1"/>
  <c r="V957" i="4"/>
  <c r="K958" i="4"/>
  <c r="M959" i="4"/>
  <c r="W959" i="4" s="1"/>
  <c r="D971" i="4"/>
  <c r="O980" i="4"/>
  <c r="M980" i="4"/>
  <c r="W980" i="4" s="1"/>
  <c r="L980" i="4"/>
  <c r="Y980" i="4" s="1"/>
  <c r="J980" i="4"/>
  <c r="Z980" i="4" s="1"/>
  <c r="I980" i="4"/>
  <c r="F980" i="4"/>
  <c r="U980" i="4"/>
  <c r="S901" i="4"/>
  <c r="J904" i="4"/>
  <c r="Z904" i="4" s="1"/>
  <c r="U911" i="4"/>
  <c r="F916" i="4"/>
  <c r="S917" i="4"/>
  <c r="M919" i="4"/>
  <c r="W919" i="4" s="1"/>
  <c r="J920" i="4"/>
  <c r="Z920" i="4" s="1"/>
  <c r="D922" i="4"/>
  <c r="U922" i="4"/>
  <c r="K929" i="4"/>
  <c r="V929" i="4" s="1"/>
  <c r="O932" i="4"/>
  <c r="H936" i="4"/>
  <c r="J939" i="4"/>
  <c r="Z939" i="4" s="1"/>
  <c r="J944" i="4"/>
  <c r="Z944" i="4" s="1"/>
  <c r="Q948" i="4"/>
  <c r="AC948" i="4" s="1"/>
  <c r="K950" i="4"/>
  <c r="N951" i="4"/>
  <c r="AA951" i="4" s="1"/>
  <c r="S955" i="4"/>
  <c r="N958" i="4"/>
  <c r="AA958" i="4" s="1"/>
  <c r="O959" i="4"/>
  <c r="I936" i="4"/>
  <c r="K939" i="4"/>
  <c r="O940" i="4"/>
  <c r="N940" i="4"/>
  <c r="AA940" i="4" s="1"/>
  <c r="M940" i="4"/>
  <c r="W940" i="4" s="1"/>
  <c r="J940" i="4"/>
  <c r="Z940" i="4" s="1"/>
  <c r="U940" i="4"/>
  <c r="K944" i="4"/>
  <c r="V944" i="4" s="1"/>
  <c r="O945" i="4"/>
  <c r="N945" i="4"/>
  <c r="AA945" i="4" s="1"/>
  <c r="K945" i="4"/>
  <c r="F945" i="4"/>
  <c r="Q945" i="4"/>
  <c r="AC945" i="4" s="1"/>
  <c r="Q946" i="4"/>
  <c r="AC946" i="4" s="1"/>
  <c r="M950" i="4"/>
  <c r="W950" i="4" s="1"/>
  <c r="T955" i="4"/>
  <c r="R956" i="4"/>
  <c r="AD956" i="4" s="1"/>
  <c r="AJ957" i="4"/>
  <c r="P957" i="4"/>
  <c r="AB957" i="4" s="1"/>
  <c r="S875" i="4"/>
  <c r="N882" i="4"/>
  <c r="AA882" i="4" s="1"/>
  <c r="H884" i="4"/>
  <c r="S891" i="4"/>
  <c r="AI891" i="4" s="1"/>
  <c r="M893" i="4"/>
  <c r="W893" i="4" s="1"/>
  <c r="G895" i="4"/>
  <c r="X895" i="4" s="1"/>
  <c r="Q897" i="4"/>
  <c r="AC897" i="4" s="1"/>
  <c r="N898" i="4"/>
  <c r="AA898" i="4" s="1"/>
  <c r="H900" i="4"/>
  <c r="U901" i="4"/>
  <c r="L904" i="4"/>
  <c r="Y904" i="4" s="1"/>
  <c r="S907" i="4"/>
  <c r="M909" i="4"/>
  <c r="W909" i="4" s="1"/>
  <c r="G911" i="4"/>
  <c r="X911" i="4" s="1"/>
  <c r="Q913" i="4"/>
  <c r="AC913" i="4" s="1"/>
  <c r="N914" i="4"/>
  <c r="AA914" i="4" s="1"/>
  <c r="H916" i="4"/>
  <c r="U917" i="4"/>
  <c r="B918" i="4"/>
  <c r="R918" i="4"/>
  <c r="AD918" i="4" s="1"/>
  <c r="O919" i="4"/>
  <c r="L920" i="4"/>
  <c r="Y920" i="4" s="1"/>
  <c r="F922" i="4"/>
  <c r="F924" i="4"/>
  <c r="G925" i="4"/>
  <c r="X925" i="4" s="1"/>
  <c r="H926" i="4"/>
  <c r="M929" i="4"/>
  <c r="W929" i="4" s="1"/>
  <c r="O931" i="4"/>
  <c r="Q932" i="4"/>
  <c r="AC932" i="4" s="1"/>
  <c r="G934" i="4"/>
  <c r="X934" i="4" s="1"/>
  <c r="R934" i="4"/>
  <c r="AD934" i="4" s="1"/>
  <c r="B934" i="4"/>
  <c r="G935" i="4"/>
  <c r="X935" i="4" s="1"/>
  <c r="K936" i="4"/>
  <c r="L939" i="4"/>
  <c r="Y939" i="4" s="1"/>
  <c r="D940" i="4"/>
  <c r="S941" i="4"/>
  <c r="K942" i="4"/>
  <c r="L944" i="4"/>
  <c r="Y944" i="4" s="1"/>
  <c r="D945" i="4"/>
  <c r="R946" i="4"/>
  <c r="AD946" i="4" s="1"/>
  <c r="F947" i="4"/>
  <c r="N950" i="4"/>
  <c r="AA950" i="4" s="1"/>
  <c r="F951" i="4"/>
  <c r="S956" i="4"/>
  <c r="Q958" i="4"/>
  <c r="AC958" i="4" s="1"/>
  <c r="N971" i="4"/>
  <c r="AA971" i="4" s="1"/>
  <c r="O976" i="4"/>
  <c r="N976" i="4"/>
  <c r="AA976" i="4" s="1"/>
  <c r="J976" i="4"/>
  <c r="Z976" i="4" s="1"/>
  <c r="T976" i="4"/>
  <c r="S976" i="4"/>
  <c r="R976" i="4"/>
  <c r="AD976" i="4" s="1"/>
  <c r="M976" i="4"/>
  <c r="W976" i="4" s="1"/>
  <c r="I976" i="4"/>
  <c r="G976" i="4"/>
  <c r="X976" i="4" s="1"/>
  <c r="F976" i="4"/>
  <c r="U976" i="4"/>
  <c r="B976" i="4"/>
  <c r="AI977" i="4"/>
  <c r="K980" i="4"/>
  <c r="S918" i="4"/>
  <c r="R932" i="4"/>
  <c r="AD932" i="4" s="1"/>
  <c r="M936" i="4"/>
  <c r="W936" i="4" s="1"/>
  <c r="N939" i="4"/>
  <c r="AA939" i="4" s="1"/>
  <c r="M944" i="4"/>
  <c r="W944" i="4" s="1"/>
  <c r="T946" i="4"/>
  <c r="AE946" i="4" s="1"/>
  <c r="S950" i="4"/>
  <c r="G951" i="4"/>
  <c r="X951" i="4" s="1"/>
  <c r="F952" i="4"/>
  <c r="M952" i="4"/>
  <c r="W952" i="4" s="1"/>
  <c r="L952" i="4"/>
  <c r="Y952" i="4" s="1"/>
  <c r="K952" i="4"/>
  <c r="H952" i="4"/>
  <c r="S952" i="4"/>
  <c r="B952" i="4"/>
  <c r="R952" i="4"/>
  <c r="AD952" i="4" s="1"/>
  <c r="N952" i="4"/>
  <c r="AA952" i="4" s="1"/>
  <c r="O971" i="4"/>
  <c r="Q980" i="4"/>
  <c r="AC980" i="4" s="1"/>
  <c r="J868" i="4"/>
  <c r="Z868" i="4" s="1"/>
  <c r="U875" i="4"/>
  <c r="J884" i="4"/>
  <c r="Z884" i="4" s="1"/>
  <c r="B892" i="4"/>
  <c r="R892" i="4"/>
  <c r="AD892" i="4" s="1"/>
  <c r="O893" i="4"/>
  <c r="I895" i="4"/>
  <c r="J900" i="4"/>
  <c r="Z900" i="4" s="1"/>
  <c r="G901" i="4"/>
  <c r="X901" i="4" s="1"/>
  <c r="N904" i="4"/>
  <c r="AA904" i="4" s="1"/>
  <c r="B908" i="4"/>
  <c r="R908" i="4"/>
  <c r="AD908" i="4" s="1"/>
  <c r="O909" i="4"/>
  <c r="I911" i="4"/>
  <c r="J916" i="4"/>
  <c r="Z916" i="4" s="1"/>
  <c r="G917" i="4"/>
  <c r="X917" i="4" s="1"/>
  <c r="D918" i="4"/>
  <c r="T918" i="4"/>
  <c r="Q919" i="4"/>
  <c r="AC919" i="4" s="1"/>
  <c r="N920" i="4"/>
  <c r="AA920" i="4" s="1"/>
  <c r="H922" i="4"/>
  <c r="H924" i="4"/>
  <c r="I925" i="4"/>
  <c r="O929" i="4"/>
  <c r="S932" i="4"/>
  <c r="I935" i="4"/>
  <c r="N936" i="4"/>
  <c r="AA936" i="4" s="1"/>
  <c r="O939" i="4"/>
  <c r="F940" i="4"/>
  <c r="M942" i="4"/>
  <c r="W942" i="4" s="1"/>
  <c r="O944" i="4"/>
  <c r="G945" i="4"/>
  <c r="X945" i="4" s="1"/>
  <c r="L947" i="4"/>
  <c r="Y947" i="4" s="1"/>
  <c r="T950" i="4"/>
  <c r="H951" i="4"/>
  <c r="D952" i="4"/>
  <c r="L962" i="4"/>
  <c r="Y962" i="4" s="1"/>
  <c r="I962" i="4"/>
  <c r="H970" i="4"/>
  <c r="S971" i="4"/>
  <c r="S892" i="4"/>
  <c r="J895" i="4"/>
  <c r="Z895" i="4" s="1"/>
  <c r="Q898" i="4"/>
  <c r="AC898" i="4" s="1"/>
  <c r="H901" i="4"/>
  <c r="O904" i="4"/>
  <c r="S908" i="4"/>
  <c r="J911" i="4"/>
  <c r="Z911" i="4" s="1"/>
  <c r="Q914" i="4"/>
  <c r="AC914" i="4" s="1"/>
  <c r="K916" i="4"/>
  <c r="H917" i="4"/>
  <c r="U918" i="4"/>
  <c r="B919" i="4"/>
  <c r="R919" i="4"/>
  <c r="AD919" i="4" s="1"/>
  <c r="O920" i="4"/>
  <c r="I922" i="4"/>
  <c r="I924" i="4"/>
  <c r="J925" i="4"/>
  <c r="Z925" i="4" s="1"/>
  <c r="B932" i="4"/>
  <c r="J935" i="4"/>
  <c r="Z935" i="4" s="1"/>
  <c r="O936" i="4"/>
  <c r="T939" i="4"/>
  <c r="AE939" i="4" s="1"/>
  <c r="G940" i="4"/>
  <c r="X940" i="4" s="1"/>
  <c r="N942" i="4"/>
  <c r="AA942" i="4" s="1"/>
  <c r="F943" i="4"/>
  <c r="U943" i="4"/>
  <c r="T943" i="4"/>
  <c r="D943" i="4"/>
  <c r="Q943" i="4"/>
  <c r="AC943" i="4" s="1"/>
  <c r="L943" i="4"/>
  <c r="Y943" i="4" s="1"/>
  <c r="G943" i="4"/>
  <c r="X943" i="4" s="1"/>
  <c r="H945" i="4"/>
  <c r="J951" i="4"/>
  <c r="Z951" i="4" s="1"/>
  <c r="F962" i="4"/>
  <c r="L969" i="4"/>
  <c r="Y969" i="4" s="1"/>
  <c r="K969" i="4"/>
  <c r="J969" i="4"/>
  <c r="Z969" i="4" s="1"/>
  <c r="H969" i="4"/>
  <c r="G969" i="4"/>
  <c r="X969" i="4" s="1"/>
  <c r="U969" i="4"/>
  <c r="R969" i="4"/>
  <c r="AD969" i="4" s="1"/>
  <c r="Q969" i="4"/>
  <c r="AC969" i="4" s="1"/>
  <c r="M969" i="4"/>
  <c r="W969" i="4" s="1"/>
  <c r="M970" i="4"/>
  <c r="W970" i="4" s="1"/>
  <c r="H976" i="4"/>
  <c r="T1001" i="4"/>
  <c r="O1001" i="4"/>
  <c r="N1001" i="4"/>
  <c r="AA1001" i="4" s="1"/>
  <c r="K1001" i="4"/>
  <c r="J1001" i="4"/>
  <c r="Z1001" i="4" s="1"/>
  <c r="I1001" i="4"/>
  <c r="H1001" i="4"/>
  <c r="G1001" i="4"/>
  <c r="X1001" i="4" s="1"/>
  <c r="F1001" i="4"/>
  <c r="U1001" i="4"/>
  <c r="R1001" i="4"/>
  <c r="AD1001" i="4" s="1"/>
  <c r="Q1001" i="4"/>
  <c r="AC1001" i="4" s="1"/>
  <c r="M1001" i="4"/>
  <c r="W1001" i="4" s="1"/>
  <c r="L1001" i="4"/>
  <c r="Y1001" i="4" s="1"/>
  <c r="F918" i="4"/>
  <c r="S919" i="4"/>
  <c r="J922" i="4"/>
  <c r="Z922" i="4" s="1"/>
  <c r="M932" i="4"/>
  <c r="W932" i="4" s="1"/>
  <c r="H932" i="4"/>
  <c r="U932" i="4"/>
  <c r="H940" i="4"/>
  <c r="U944" i="4"/>
  <c r="I945" i="4"/>
  <c r="G948" i="4"/>
  <c r="X948" i="4" s="1"/>
  <c r="F948" i="4"/>
  <c r="U948" i="4"/>
  <c r="R948" i="4"/>
  <c r="AD948" i="4" s="1"/>
  <c r="B948" i="4"/>
  <c r="M948" i="4"/>
  <c r="W948" i="4" s="1"/>
  <c r="H948" i="4"/>
  <c r="K951" i="4"/>
  <c r="O965" i="4"/>
  <c r="Q965" i="4"/>
  <c r="AC965" i="4" s="1"/>
  <c r="N965" i="4"/>
  <c r="AA965" i="4" s="1"/>
  <c r="L965" i="4"/>
  <c r="Y965" i="4" s="1"/>
  <c r="K965" i="4"/>
  <c r="V965" i="4" s="1"/>
  <c r="H965" i="4"/>
  <c r="F965" i="4"/>
  <c r="U965" i="4"/>
  <c r="D965" i="4"/>
  <c r="R965" i="4"/>
  <c r="AD965" i="4" s="1"/>
  <c r="K976" i="4"/>
  <c r="L978" i="4"/>
  <c r="Y978" i="4" s="1"/>
  <c r="H875" i="4"/>
  <c r="S882" i="4"/>
  <c r="AI882" i="4" s="1"/>
  <c r="M884" i="4"/>
  <c r="W884" i="4" s="1"/>
  <c r="U892" i="4"/>
  <c r="B893" i="4"/>
  <c r="R893" i="4"/>
  <c r="AD893" i="4" s="1"/>
  <c r="L895" i="4"/>
  <c r="Y895" i="4" s="1"/>
  <c r="S898" i="4"/>
  <c r="AI898" i="4" s="1"/>
  <c r="M900" i="4"/>
  <c r="W900" i="4" s="1"/>
  <c r="J901" i="4"/>
  <c r="Z901" i="4" s="1"/>
  <c r="Q904" i="4"/>
  <c r="AC904" i="4" s="1"/>
  <c r="U908" i="4"/>
  <c r="B909" i="4"/>
  <c r="R909" i="4"/>
  <c r="AD909" i="4" s="1"/>
  <c r="L911" i="4"/>
  <c r="S914" i="4"/>
  <c r="M916" i="4"/>
  <c r="W916" i="4" s="1"/>
  <c r="J917" i="4"/>
  <c r="Z917" i="4" s="1"/>
  <c r="G918" i="4"/>
  <c r="X918" i="4" s="1"/>
  <c r="D919" i="4"/>
  <c r="T919" i="4"/>
  <c r="Q920" i="4"/>
  <c r="AC920" i="4" s="1"/>
  <c r="L922" i="4"/>
  <c r="Y922" i="4" s="1"/>
  <c r="K924" i="4"/>
  <c r="L925" i="4"/>
  <c r="Y925" i="4" s="1"/>
  <c r="S929" i="4"/>
  <c r="K931" i="4"/>
  <c r="U931" i="4"/>
  <c r="D932" i="4"/>
  <c r="L935" i="4"/>
  <c r="Y935" i="4" s="1"/>
  <c r="R936" i="4"/>
  <c r="AD936" i="4" s="1"/>
  <c r="I940" i="4"/>
  <c r="Q942" i="4"/>
  <c r="AC942" i="4" s="1"/>
  <c r="H943" i="4"/>
  <c r="J945" i="4"/>
  <c r="Z945" i="4" s="1"/>
  <c r="D948" i="4"/>
  <c r="I952" i="4"/>
  <c r="J954" i="4"/>
  <c r="Z954" i="4" s="1"/>
  <c r="I954" i="4"/>
  <c r="H954" i="4"/>
  <c r="S954" i="4"/>
  <c r="B954" i="4"/>
  <c r="Q954" i="4"/>
  <c r="AC954" i="4" s="1"/>
  <c r="O954" i="4"/>
  <c r="K954" i="4"/>
  <c r="K962" i="4"/>
  <c r="I969" i="4"/>
  <c r="S970" i="4"/>
  <c r="N974" i="4"/>
  <c r="AA974" i="4" s="1"/>
  <c r="M974" i="4"/>
  <c r="W974" i="4" s="1"/>
  <c r="L974" i="4"/>
  <c r="Y974" i="4" s="1"/>
  <c r="J974" i="4"/>
  <c r="Z974" i="4" s="1"/>
  <c r="I974" i="4"/>
  <c r="F974" i="4"/>
  <c r="U974" i="4"/>
  <c r="S974" i="4"/>
  <c r="AI974" i="4" s="1"/>
  <c r="O974" i="4"/>
  <c r="L976" i="4"/>
  <c r="Y976" i="4" s="1"/>
  <c r="M978" i="4"/>
  <c r="W978" i="4" s="1"/>
  <c r="S893" i="4"/>
  <c r="T898" i="4"/>
  <c r="K901" i="4"/>
  <c r="B904" i="4"/>
  <c r="R904" i="4"/>
  <c r="AD904" i="4" s="1"/>
  <c r="S909" i="4"/>
  <c r="M911" i="4"/>
  <c r="W911" i="4" s="1"/>
  <c r="T914" i="4"/>
  <c r="N916" i="4"/>
  <c r="AA916" i="4" s="1"/>
  <c r="K917" i="4"/>
  <c r="H918" i="4"/>
  <c r="U919" i="4"/>
  <c r="B920" i="4"/>
  <c r="R920" i="4"/>
  <c r="AD920" i="4" s="1"/>
  <c r="M922" i="4"/>
  <c r="W922" i="4" s="1"/>
  <c r="N925" i="4"/>
  <c r="AA925" i="4" s="1"/>
  <c r="B929" i="4"/>
  <c r="S930" i="4"/>
  <c r="AI930" i="4" s="1"/>
  <c r="S936" i="4"/>
  <c r="G937" i="4"/>
  <c r="X937" i="4" s="1"/>
  <c r="K940" i="4"/>
  <c r="L941" i="4"/>
  <c r="Y941" i="4" s="1"/>
  <c r="K941" i="4"/>
  <c r="V941" i="4" s="1"/>
  <c r="J941" i="4"/>
  <c r="Z941" i="4" s="1"/>
  <c r="G941" i="4"/>
  <c r="X941" i="4" s="1"/>
  <c r="R941" i="4"/>
  <c r="AD941" i="4" s="1"/>
  <c r="B941" i="4"/>
  <c r="M941" i="4"/>
  <c r="W941" i="4" s="1"/>
  <c r="R942" i="4"/>
  <c r="AD942" i="4" s="1"/>
  <c r="I943" i="4"/>
  <c r="L945" i="4"/>
  <c r="Y945" i="4" s="1"/>
  <c r="L946" i="4"/>
  <c r="Y946" i="4" s="1"/>
  <c r="Q951" i="4"/>
  <c r="AC951" i="4" s="1"/>
  <c r="J952" i="4"/>
  <c r="Z952" i="4" s="1"/>
  <c r="K953" i="4"/>
  <c r="V953" i="4" s="1"/>
  <c r="J953" i="4"/>
  <c r="Z953" i="4" s="1"/>
  <c r="I953" i="4"/>
  <c r="F953" i="4"/>
  <c r="T953" i="4"/>
  <c r="Q953" i="4"/>
  <c r="AC953" i="4" s="1"/>
  <c r="L953" i="4"/>
  <c r="Y953" i="4" s="1"/>
  <c r="D954" i="4"/>
  <c r="R964" i="4"/>
  <c r="AD964" i="4" s="1"/>
  <c r="B964" i="4"/>
  <c r="Q964" i="4"/>
  <c r="AC964" i="4" s="1"/>
  <c r="O964" i="4"/>
  <c r="M964" i="4"/>
  <c r="W964" i="4" s="1"/>
  <c r="L964" i="4"/>
  <c r="Y964" i="4" s="1"/>
  <c r="I964" i="4"/>
  <c r="G964" i="4"/>
  <c r="X964" i="4" s="1"/>
  <c r="F964" i="4"/>
  <c r="S964" i="4"/>
  <c r="G965" i="4"/>
  <c r="X965" i="4" s="1"/>
  <c r="N969" i="4"/>
  <c r="AA969" i="4" s="1"/>
  <c r="G973" i="4"/>
  <c r="X973" i="4" s="1"/>
  <c r="Q976" i="4"/>
  <c r="AC976" i="4" s="1"/>
  <c r="D893" i="4"/>
  <c r="T893" i="4"/>
  <c r="U898" i="4"/>
  <c r="L901" i="4"/>
  <c r="Y901" i="4" s="1"/>
  <c r="S904" i="4"/>
  <c r="D909" i="4"/>
  <c r="T909" i="4"/>
  <c r="U914" i="4"/>
  <c r="O916" i="4"/>
  <c r="L917" i="4"/>
  <c r="Y917" i="4" s="1"/>
  <c r="I918" i="4"/>
  <c r="F919" i="4"/>
  <c r="S920" i="4"/>
  <c r="N922" i="4"/>
  <c r="AA922" i="4" s="1"/>
  <c r="F929" i="4"/>
  <c r="Q929" i="4"/>
  <c r="AC929" i="4" s="1"/>
  <c r="U929" i="4"/>
  <c r="F932" i="4"/>
  <c r="L940" i="4"/>
  <c r="Y940" i="4" s="1"/>
  <c r="M945" i="4"/>
  <c r="W945" i="4" s="1"/>
  <c r="I948" i="4"/>
  <c r="Q950" i="4"/>
  <c r="AC950" i="4" s="1"/>
  <c r="O950" i="4"/>
  <c r="L950" i="4"/>
  <c r="Y950" i="4" s="1"/>
  <c r="G950" i="4"/>
  <c r="X950" i="4" s="1"/>
  <c r="R950" i="4"/>
  <c r="AD950" i="4" s="1"/>
  <c r="B950" i="4"/>
  <c r="O952" i="4"/>
  <c r="M955" i="4"/>
  <c r="W955" i="4" s="1"/>
  <c r="I955" i="4"/>
  <c r="H955" i="4"/>
  <c r="G955" i="4"/>
  <c r="X955" i="4" s="1"/>
  <c r="U955" i="4"/>
  <c r="D955" i="4"/>
  <c r="R955" i="4"/>
  <c r="AD955" i="4" s="1"/>
  <c r="O955" i="4"/>
  <c r="J955" i="4"/>
  <c r="Z955" i="4" s="1"/>
  <c r="I965" i="4"/>
  <c r="O981" i="4"/>
  <c r="K981" i="4"/>
  <c r="T981" i="4"/>
  <c r="S981" i="4"/>
  <c r="R981" i="4"/>
  <c r="AD981" i="4" s="1"/>
  <c r="N981" i="4"/>
  <c r="AA981" i="4" s="1"/>
  <c r="M981" i="4"/>
  <c r="W981" i="4" s="1"/>
  <c r="I981" i="4"/>
  <c r="G981" i="4"/>
  <c r="X981" i="4" s="1"/>
  <c r="F981" i="4"/>
  <c r="U981" i="4"/>
  <c r="B981" i="4"/>
  <c r="M946" i="4"/>
  <c r="W946" i="4" s="1"/>
  <c r="K946" i="4"/>
  <c r="V946" i="4" s="1"/>
  <c r="H946" i="4"/>
  <c r="Q959" i="4"/>
  <c r="AC959" i="4" s="1"/>
  <c r="F959" i="4"/>
  <c r="U959" i="4"/>
  <c r="D959" i="4"/>
  <c r="S959" i="4"/>
  <c r="AI959" i="4" s="1"/>
  <c r="B959" i="4"/>
  <c r="R959" i="4"/>
  <c r="AD959" i="4" s="1"/>
  <c r="N959" i="4"/>
  <c r="AA959" i="4" s="1"/>
  <c r="L959" i="4"/>
  <c r="Y959" i="4" s="1"/>
  <c r="K959" i="4"/>
  <c r="G959" i="4"/>
  <c r="X959" i="4" s="1"/>
  <c r="M973" i="4"/>
  <c r="W973" i="4" s="1"/>
  <c r="L973" i="4"/>
  <c r="Y973" i="4" s="1"/>
  <c r="K973" i="4"/>
  <c r="I973" i="4"/>
  <c r="H973" i="4"/>
  <c r="T973" i="4"/>
  <c r="AE973" i="4" s="1"/>
  <c r="R973" i="4"/>
  <c r="AD973" i="4" s="1"/>
  <c r="Q973" i="4"/>
  <c r="AC973" i="4" s="1"/>
  <c r="N973" i="4"/>
  <c r="AA973" i="4" s="1"/>
  <c r="J936" i="4"/>
  <c r="Z936" i="4" s="1"/>
  <c r="Q936" i="4"/>
  <c r="AC936" i="4" s="1"/>
  <c r="L936" i="4"/>
  <c r="Y936" i="4" s="1"/>
  <c r="R940" i="4"/>
  <c r="AD940" i="4" s="1"/>
  <c r="S944" i="4"/>
  <c r="F946" i="4"/>
  <c r="F955" i="4"/>
  <c r="T958" i="4"/>
  <c r="AE958" i="4" s="1"/>
  <c r="D958" i="4"/>
  <c r="G958" i="4"/>
  <c r="X958" i="4" s="1"/>
  <c r="F958" i="4"/>
  <c r="S958" i="4"/>
  <c r="B958" i="4"/>
  <c r="R958" i="4"/>
  <c r="AD958" i="4" s="1"/>
  <c r="O958" i="4"/>
  <c r="M958" i="4"/>
  <c r="W958" i="4" s="1"/>
  <c r="L958" i="4"/>
  <c r="Y958" i="4" s="1"/>
  <c r="H958" i="4"/>
  <c r="F973" i="4"/>
  <c r="R939" i="4"/>
  <c r="AD939" i="4" s="1"/>
  <c r="M939" i="4"/>
  <c r="W939" i="4" s="1"/>
  <c r="G946" i="4"/>
  <c r="X946" i="4" s="1"/>
  <c r="K955" i="4"/>
  <c r="H956" i="4"/>
  <c r="F956" i="4"/>
  <c r="Q956" i="4"/>
  <c r="AC956" i="4" s="1"/>
  <c r="N956" i="4"/>
  <c r="AA956" i="4" s="1"/>
  <c r="H959" i="4"/>
  <c r="J973" i="4"/>
  <c r="Z973" i="4" s="1"/>
  <c r="H893" i="4"/>
  <c r="B895" i="4"/>
  <c r="R895" i="4"/>
  <c r="AD895" i="4" s="1"/>
  <c r="G904" i="4"/>
  <c r="X904" i="4" s="1"/>
  <c r="H909" i="4"/>
  <c r="B911" i="4"/>
  <c r="R911" i="4"/>
  <c r="AD911" i="4" s="1"/>
  <c r="M918" i="4"/>
  <c r="W918" i="4" s="1"/>
  <c r="J919" i="4"/>
  <c r="Z919" i="4" s="1"/>
  <c r="G920" i="4"/>
  <c r="X920" i="4" s="1"/>
  <c r="R922" i="4"/>
  <c r="AD922" i="4" s="1"/>
  <c r="R924" i="4"/>
  <c r="AD924" i="4" s="1"/>
  <c r="O926" i="4"/>
  <c r="J926" i="4"/>
  <c r="Z926" i="4" s="1"/>
  <c r="U926" i="4"/>
  <c r="H929" i="4"/>
  <c r="I931" i="4"/>
  <c r="K932" i="4"/>
  <c r="V932" i="4" s="1"/>
  <c r="U935" i="4"/>
  <c r="F939" i="4"/>
  <c r="T940" i="4"/>
  <c r="I941" i="4"/>
  <c r="O943" i="4"/>
  <c r="F944" i="4"/>
  <c r="U945" i="4"/>
  <c r="I946" i="4"/>
  <c r="N948" i="4"/>
  <c r="AA948" i="4" s="1"/>
  <c r="H950" i="4"/>
  <c r="U952" i="4"/>
  <c r="O953" i="4"/>
  <c r="M954" i="4"/>
  <c r="W954" i="4" s="1"/>
  <c r="L955" i="4"/>
  <c r="Y955" i="4" s="1"/>
  <c r="K956" i="4"/>
  <c r="I958" i="4"/>
  <c r="I959" i="4"/>
  <c r="K964" i="4"/>
  <c r="T965" i="4"/>
  <c r="H972" i="4"/>
  <c r="R972" i="4"/>
  <c r="AD972" i="4" s="1"/>
  <c r="O973" i="4"/>
  <c r="J981" i="4"/>
  <c r="Z981" i="4" s="1"/>
  <c r="N987" i="4"/>
  <c r="AA987" i="4" s="1"/>
  <c r="M987" i="4"/>
  <c r="W987" i="4" s="1"/>
  <c r="J987" i="4"/>
  <c r="Z987" i="4" s="1"/>
  <c r="I987" i="4"/>
  <c r="K987" i="4"/>
  <c r="H987" i="4"/>
  <c r="G987" i="4"/>
  <c r="X987" i="4" s="1"/>
  <c r="D987" i="4"/>
  <c r="B987" i="4"/>
  <c r="U987" i="4"/>
  <c r="T987" i="4"/>
  <c r="S987" i="4"/>
  <c r="R987" i="4"/>
  <c r="AD987" i="4" s="1"/>
  <c r="Q987" i="4"/>
  <c r="AC987" i="4" s="1"/>
  <c r="L987" i="4"/>
  <c r="Y987" i="4" s="1"/>
  <c r="B922" i="4"/>
  <c r="S922" i="4"/>
  <c r="R925" i="4"/>
  <c r="AD925" i="4" s="1"/>
  <c r="B925" i="4"/>
  <c r="M925" i="4"/>
  <c r="W925" i="4" s="1"/>
  <c r="U925" i="4"/>
  <c r="I929" i="4"/>
  <c r="J931" i="4"/>
  <c r="Z931" i="4" s="1"/>
  <c r="L932" i="4"/>
  <c r="Y932" i="4" s="1"/>
  <c r="F936" i="4"/>
  <c r="G939" i="4"/>
  <c r="X939" i="4" s="1"/>
  <c r="N941" i="4"/>
  <c r="AA941" i="4" s="1"/>
  <c r="J946" i="4"/>
  <c r="Z946" i="4" s="1"/>
  <c r="O948" i="4"/>
  <c r="I950" i="4"/>
  <c r="L956" i="4"/>
  <c r="Y956" i="4" s="1"/>
  <c r="J958" i="4"/>
  <c r="Z958" i="4" s="1"/>
  <c r="J959" i="4"/>
  <c r="Z959" i="4" s="1"/>
  <c r="M971" i="4"/>
  <c r="W971" i="4" s="1"/>
  <c r="I971" i="4"/>
  <c r="K971" i="4"/>
  <c r="J971" i="4"/>
  <c r="Z971" i="4" s="1"/>
  <c r="H971" i="4"/>
  <c r="F971" i="4"/>
  <c r="T971" i="4"/>
  <c r="B971" i="4"/>
  <c r="R971" i="4"/>
  <c r="AD971" i="4" s="1"/>
  <c r="Q971" i="4"/>
  <c r="AC971" i="4" s="1"/>
  <c r="L971" i="4"/>
  <c r="Y971" i="4" s="1"/>
  <c r="I972" i="4"/>
  <c r="L981" i="4"/>
  <c r="Y981" i="4" s="1"/>
  <c r="S923" i="4"/>
  <c r="N930" i="4"/>
  <c r="AA930" i="4" s="1"/>
  <c r="U933" i="4"/>
  <c r="I937" i="4"/>
  <c r="F938" i="4"/>
  <c r="S939" i="4"/>
  <c r="D944" i="4"/>
  <c r="T944" i="4"/>
  <c r="N946" i="4"/>
  <c r="AA946" i="4" s="1"/>
  <c r="U949" i="4"/>
  <c r="O951" i="4"/>
  <c r="I956" i="4"/>
  <c r="I957" i="4"/>
  <c r="F960" i="4"/>
  <c r="D962" i="4"/>
  <c r="U962" i="4"/>
  <c r="S963" i="4"/>
  <c r="Q966" i="4"/>
  <c r="AC966" i="4" s="1"/>
  <c r="L970" i="4"/>
  <c r="Y970" i="4" s="1"/>
  <c r="N972" i="4"/>
  <c r="AA972" i="4" s="1"/>
  <c r="K978" i="4"/>
  <c r="V978" i="4" s="1"/>
  <c r="M979" i="4"/>
  <c r="W979" i="4" s="1"/>
  <c r="H983" i="4"/>
  <c r="M984" i="4"/>
  <c r="W984" i="4" s="1"/>
  <c r="S988" i="4"/>
  <c r="H989" i="4"/>
  <c r="T989" i="4"/>
  <c r="R989" i="4"/>
  <c r="AD989" i="4" s="1"/>
  <c r="M990" i="4"/>
  <c r="W990" i="4" s="1"/>
  <c r="D991" i="4"/>
  <c r="H996" i="4"/>
  <c r="T997" i="4"/>
  <c r="F998" i="4"/>
  <c r="Q992" i="4"/>
  <c r="AC992" i="4" s="1"/>
  <c r="L993" i="4"/>
  <c r="Y993" i="4" s="1"/>
  <c r="K993" i="4"/>
  <c r="H993" i="4"/>
  <c r="G993" i="4"/>
  <c r="X993" i="4" s="1"/>
  <c r="F993" i="4"/>
  <c r="U997" i="4"/>
  <c r="R992" i="4"/>
  <c r="AD992" i="4" s="1"/>
  <c r="F995" i="4"/>
  <c r="U995" i="4"/>
  <c r="R995" i="4"/>
  <c r="AD995" i="4" s="1"/>
  <c r="B995" i="4"/>
  <c r="Q995" i="4"/>
  <c r="AC995" i="4" s="1"/>
  <c r="P6" i="13"/>
  <c r="U6" i="4" s="1"/>
  <c r="O6" i="13"/>
  <c r="T6" i="4" s="1"/>
  <c r="N6" i="13"/>
  <c r="S6" i="4" s="1"/>
  <c r="M6" i="13"/>
  <c r="R6" i="4" s="1"/>
  <c r="AD6" i="4" s="1"/>
  <c r="L6" i="13"/>
  <c r="Q6" i="4" s="1"/>
  <c r="AC6" i="4" s="1"/>
  <c r="K6" i="13"/>
  <c r="O6" i="4" s="1"/>
  <c r="P18" i="13"/>
  <c r="U18" i="4" s="1"/>
  <c r="O18" i="13"/>
  <c r="T18" i="4" s="1"/>
  <c r="N18" i="13"/>
  <c r="S18" i="4" s="1"/>
  <c r="M18" i="13"/>
  <c r="R18" i="4" s="1"/>
  <c r="AD18" i="4" s="1"/>
  <c r="L18" i="13"/>
  <c r="Q18" i="4" s="1"/>
  <c r="AC18" i="4" s="1"/>
  <c r="K18" i="13"/>
  <c r="O18" i="4" s="1"/>
  <c r="P47" i="13"/>
  <c r="U47" i="4" s="1"/>
  <c r="O47" i="13"/>
  <c r="T47" i="4" s="1"/>
  <c r="N47" i="13"/>
  <c r="S47" i="4" s="1"/>
  <c r="M47" i="13"/>
  <c r="R47" i="4" s="1"/>
  <c r="AD47" i="4" s="1"/>
  <c r="L47" i="13"/>
  <c r="Q47" i="4" s="1"/>
  <c r="AC47" i="4" s="1"/>
  <c r="K47" i="13"/>
  <c r="O47" i="4" s="1"/>
  <c r="K59" i="13"/>
  <c r="O59" i="4" s="1"/>
  <c r="P59" i="13"/>
  <c r="U59" i="4" s="1"/>
  <c r="O59" i="13"/>
  <c r="T59" i="4" s="1"/>
  <c r="N59" i="13"/>
  <c r="S59" i="4" s="1"/>
  <c r="M59" i="13"/>
  <c r="R59" i="4" s="1"/>
  <c r="AD59" i="4" s="1"/>
  <c r="L59" i="13"/>
  <c r="Q59" i="4" s="1"/>
  <c r="AC59" i="4" s="1"/>
  <c r="O71" i="13"/>
  <c r="T71" i="4" s="1"/>
  <c r="N71" i="13"/>
  <c r="S71" i="4" s="1"/>
  <c r="M71" i="13"/>
  <c r="R71" i="4" s="1"/>
  <c r="AD71" i="4" s="1"/>
  <c r="L71" i="13"/>
  <c r="Q71" i="4" s="1"/>
  <c r="AC71" i="4" s="1"/>
  <c r="K71" i="13"/>
  <c r="O71" i="4" s="1"/>
  <c r="P71" i="13"/>
  <c r="U71" i="4" s="1"/>
  <c r="L90" i="13"/>
  <c r="Q90" i="4" s="1"/>
  <c r="AC90" i="4" s="1"/>
  <c r="K90" i="13"/>
  <c r="O90" i="4" s="1"/>
  <c r="P90" i="13"/>
  <c r="U90" i="4" s="1"/>
  <c r="O90" i="13"/>
  <c r="T90" i="4" s="1"/>
  <c r="N90" i="13"/>
  <c r="S90" i="4" s="1"/>
  <c r="M90" i="13"/>
  <c r="R90" i="4" s="1"/>
  <c r="AD90" i="4" s="1"/>
  <c r="P102" i="13"/>
  <c r="U102" i="4" s="1"/>
  <c r="O102" i="13"/>
  <c r="T102" i="4" s="1"/>
  <c r="N102" i="13"/>
  <c r="S102" i="4" s="1"/>
  <c r="AI102" i="4" s="1"/>
  <c r="M102" i="13"/>
  <c r="R102" i="4" s="1"/>
  <c r="AD102" i="4" s="1"/>
  <c r="L102" i="13"/>
  <c r="Q102" i="4" s="1"/>
  <c r="AC102" i="4" s="1"/>
  <c r="K102" i="13"/>
  <c r="O102" i="4" s="1"/>
  <c r="P112" i="13"/>
  <c r="U112" i="4" s="1"/>
  <c r="O112" i="13"/>
  <c r="T112" i="4" s="1"/>
  <c r="N112" i="13"/>
  <c r="S112" i="4" s="1"/>
  <c r="M112" i="13"/>
  <c r="R112" i="4" s="1"/>
  <c r="AD112" i="4" s="1"/>
  <c r="L112" i="13"/>
  <c r="Q112" i="4" s="1"/>
  <c r="AC112" i="4" s="1"/>
  <c r="K112" i="13"/>
  <c r="O112" i="4" s="1"/>
  <c r="P127" i="13"/>
  <c r="U127" i="4" s="1"/>
  <c r="O127" i="13"/>
  <c r="T127" i="4" s="1"/>
  <c r="N127" i="13"/>
  <c r="S127" i="4" s="1"/>
  <c r="M127" i="13"/>
  <c r="R127" i="4" s="1"/>
  <c r="AD127" i="4" s="1"/>
  <c r="L127" i="13"/>
  <c r="Q127" i="4" s="1"/>
  <c r="AC127" i="4" s="1"/>
  <c r="K127" i="13"/>
  <c r="O127" i="4" s="1"/>
  <c r="P132" i="13"/>
  <c r="U132" i="4" s="1"/>
  <c r="K132" i="13"/>
  <c r="O132" i="4" s="1"/>
  <c r="O132" i="13"/>
  <c r="T132" i="4" s="1"/>
  <c r="N132" i="13"/>
  <c r="S132" i="4" s="1"/>
  <c r="M132" i="13"/>
  <c r="R132" i="4" s="1"/>
  <c r="AD132" i="4" s="1"/>
  <c r="L132" i="13"/>
  <c r="Q132" i="4" s="1"/>
  <c r="AC132" i="4" s="1"/>
  <c r="P180" i="13"/>
  <c r="U180" i="4" s="1"/>
  <c r="K180" i="13"/>
  <c r="O180" i="4" s="1"/>
  <c r="O180" i="13"/>
  <c r="T180" i="4" s="1"/>
  <c r="N180" i="13"/>
  <c r="S180" i="4" s="1"/>
  <c r="M180" i="13"/>
  <c r="R180" i="4" s="1"/>
  <c r="AD180" i="4" s="1"/>
  <c r="L180" i="13"/>
  <c r="Q180" i="4" s="1"/>
  <c r="AC180" i="4" s="1"/>
  <c r="P191" i="13"/>
  <c r="U191" i="4" s="1"/>
  <c r="O191" i="13"/>
  <c r="T191" i="4" s="1"/>
  <c r="M191" i="13"/>
  <c r="R191" i="4" s="1"/>
  <c r="AD191" i="4" s="1"/>
  <c r="N191" i="13"/>
  <c r="S191" i="4" s="1"/>
  <c r="L191" i="13"/>
  <c r="Q191" i="4" s="1"/>
  <c r="AC191" i="4" s="1"/>
  <c r="K191" i="13"/>
  <c r="O191" i="4" s="1"/>
  <c r="O217" i="13"/>
  <c r="T217" i="4" s="1"/>
  <c r="N217" i="13"/>
  <c r="S217" i="4" s="1"/>
  <c r="AI217" i="4" s="1"/>
  <c r="M217" i="13"/>
  <c r="R217" i="4" s="1"/>
  <c r="AD217" i="4" s="1"/>
  <c r="K217" i="13"/>
  <c r="O217" i="4" s="1"/>
  <c r="P217" i="13"/>
  <c r="U217" i="4" s="1"/>
  <c r="L217" i="13"/>
  <c r="Q217" i="4" s="1"/>
  <c r="AC217" i="4" s="1"/>
  <c r="P280" i="13"/>
  <c r="U280" i="4" s="1"/>
  <c r="O280" i="13"/>
  <c r="T280" i="4" s="1"/>
  <c r="N280" i="13"/>
  <c r="S280" i="4" s="1"/>
  <c r="AI280" i="4" s="1"/>
  <c r="L280" i="13"/>
  <c r="Q280" i="4" s="1"/>
  <c r="AC280" i="4" s="1"/>
  <c r="K280" i="13"/>
  <c r="O280" i="4" s="1"/>
  <c r="M280" i="13"/>
  <c r="R280" i="4" s="1"/>
  <c r="AD280" i="4" s="1"/>
  <c r="P393" i="13"/>
  <c r="U393" i="4" s="1"/>
  <c r="O393" i="13"/>
  <c r="T393" i="4" s="1"/>
  <c r="N393" i="13"/>
  <c r="S393" i="4" s="1"/>
  <c r="AI393" i="4" s="1"/>
  <c r="M393" i="13"/>
  <c r="R393" i="4" s="1"/>
  <c r="AD393" i="4" s="1"/>
  <c r="L393" i="13"/>
  <c r="Q393" i="4" s="1"/>
  <c r="AC393" i="4" s="1"/>
  <c r="K393" i="13"/>
  <c r="O393" i="4" s="1"/>
  <c r="T966" i="4"/>
  <c r="B967" i="4"/>
  <c r="R968" i="4"/>
  <c r="AD968" i="4" s="1"/>
  <c r="O970" i="4"/>
  <c r="Q972" i="4"/>
  <c r="AC972" i="4" s="1"/>
  <c r="Q975" i="4"/>
  <c r="AC975" i="4" s="1"/>
  <c r="M975" i="4"/>
  <c r="W975" i="4" s="1"/>
  <c r="U975" i="4"/>
  <c r="N978" i="4"/>
  <c r="AA978" i="4" s="1"/>
  <c r="M983" i="4"/>
  <c r="W983" i="4" s="1"/>
  <c r="S990" i="4"/>
  <c r="G991" i="4"/>
  <c r="X991" i="4" s="1"/>
  <c r="S992" i="4"/>
  <c r="D995" i="4"/>
  <c r="K996" i="4"/>
  <c r="N998" i="4"/>
  <c r="AA998" i="4" s="1"/>
  <c r="S951" i="4"/>
  <c r="M957" i="4"/>
  <c r="W957" i="4" s="1"/>
  <c r="I967" i="4"/>
  <c r="T967" i="4"/>
  <c r="S968" i="4"/>
  <c r="Q970" i="4"/>
  <c r="AC970" i="4" s="1"/>
  <c r="O978" i="4"/>
  <c r="S980" i="4"/>
  <c r="K988" i="4"/>
  <c r="J988" i="4"/>
  <c r="Z988" i="4" s="1"/>
  <c r="G988" i="4"/>
  <c r="X988" i="4" s="1"/>
  <c r="F988" i="4"/>
  <c r="U988" i="4"/>
  <c r="H991" i="4"/>
  <c r="T992" i="4"/>
  <c r="I993" i="4"/>
  <c r="O997" i="4"/>
  <c r="L997" i="4"/>
  <c r="Y997" i="4" s="1"/>
  <c r="K997" i="4"/>
  <c r="J997" i="4"/>
  <c r="Z997" i="4" s="1"/>
  <c r="J933" i="4"/>
  <c r="Z933" i="4" s="1"/>
  <c r="N937" i="4"/>
  <c r="AA937" i="4" s="1"/>
  <c r="K938" i="4"/>
  <c r="H939" i="4"/>
  <c r="I944" i="4"/>
  <c r="S946" i="4"/>
  <c r="J949" i="4"/>
  <c r="Z949" i="4" s="1"/>
  <c r="D951" i="4"/>
  <c r="T951" i="4"/>
  <c r="N957" i="4"/>
  <c r="AA957" i="4" s="1"/>
  <c r="K960" i="4"/>
  <c r="J961" i="4"/>
  <c r="Z961" i="4" s="1"/>
  <c r="J962" i="4"/>
  <c r="Z962" i="4" s="1"/>
  <c r="H963" i="4"/>
  <c r="D967" i="4"/>
  <c r="U967" i="4"/>
  <c r="F968" i="4"/>
  <c r="T968" i="4"/>
  <c r="R970" i="4"/>
  <c r="AD970" i="4" s="1"/>
  <c r="T974" i="4"/>
  <c r="D974" i="4"/>
  <c r="O983" i="4"/>
  <c r="T984" i="4"/>
  <c r="T985" i="4"/>
  <c r="O985" i="4"/>
  <c r="D988" i="4"/>
  <c r="L989" i="4"/>
  <c r="I991" i="4"/>
  <c r="U992" i="4"/>
  <c r="J993" i="4"/>
  <c r="Z993" i="4" s="1"/>
  <c r="G995" i="4"/>
  <c r="X995" i="4" s="1"/>
  <c r="D997" i="4"/>
  <c r="L1000" i="4"/>
  <c r="Y1000" i="4" s="1"/>
  <c r="M989" i="4"/>
  <c r="W989" i="4" s="1"/>
  <c r="J991" i="4"/>
  <c r="Z991" i="4" s="1"/>
  <c r="M993" i="4"/>
  <c r="W993" i="4" s="1"/>
  <c r="H995" i="4"/>
  <c r="Q996" i="4"/>
  <c r="AC996" i="4" s="1"/>
  <c r="Q998" i="4"/>
  <c r="AC998" i="4" s="1"/>
  <c r="J999" i="4"/>
  <c r="Z999" i="4" s="1"/>
  <c r="I999" i="4"/>
  <c r="F999" i="4"/>
  <c r="U999" i="4"/>
  <c r="T999" i="4"/>
  <c r="D999" i="4"/>
  <c r="M1000" i="4"/>
  <c r="W1000" i="4" s="1"/>
  <c r="T970" i="4"/>
  <c r="AE970" i="4" s="1"/>
  <c r="J972" i="4"/>
  <c r="Z972" i="4" s="1"/>
  <c r="F972" i="4"/>
  <c r="U972" i="4"/>
  <c r="R978" i="4"/>
  <c r="AD978" i="4" s="1"/>
  <c r="F979" i="4"/>
  <c r="U979" i="4"/>
  <c r="Q979" i="4"/>
  <c r="AC979" i="4" s="1"/>
  <c r="Q983" i="4"/>
  <c r="AC983" i="4" s="1"/>
  <c r="H988" i="4"/>
  <c r="U990" i="4"/>
  <c r="T990" i="4"/>
  <c r="D990" i="4"/>
  <c r="Q990" i="4"/>
  <c r="AC990" i="4" s="1"/>
  <c r="O990" i="4"/>
  <c r="K991" i="4"/>
  <c r="N993" i="4"/>
  <c r="AA993" i="4" s="1"/>
  <c r="I995" i="4"/>
  <c r="F997" i="4"/>
  <c r="S1001" i="4"/>
  <c r="O992" i="4"/>
  <c r="N992" i="4"/>
  <c r="AA992" i="4" s="1"/>
  <c r="K992" i="4"/>
  <c r="J992" i="4"/>
  <c r="Z992" i="4" s="1"/>
  <c r="I992" i="4"/>
  <c r="S937" i="4"/>
  <c r="AI937" i="4" s="1"/>
  <c r="N944" i="4"/>
  <c r="AA944" i="4" s="1"/>
  <c r="I951" i="4"/>
  <c r="J956" i="4"/>
  <c r="Z956" i="4" s="1"/>
  <c r="T956" i="4"/>
  <c r="B957" i="4"/>
  <c r="S957" i="4"/>
  <c r="O962" i="4"/>
  <c r="J966" i="4"/>
  <c r="Z966" i="4" s="1"/>
  <c r="J967" i="4"/>
  <c r="Z967" i="4" s="1"/>
  <c r="I968" i="4"/>
  <c r="F970" i="4"/>
  <c r="G972" i="4"/>
  <c r="X972" i="4" s="1"/>
  <c r="J975" i="4"/>
  <c r="Z975" i="4" s="1"/>
  <c r="G979" i="4"/>
  <c r="X979" i="4" s="1"/>
  <c r="B983" i="4"/>
  <c r="M988" i="4"/>
  <c r="W988" i="4" s="1"/>
  <c r="G990" i="4"/>
  <c r="X990" i="4" s="1"/>
  <c r="Q993" i="4"/>
  <c r="AC993" i="4" s="1"/>
  <c r="L995" i="4"/>
  <c r="Y995" i="4" s="1"/>
  <c r="I997" i="4"/>
  <c r="T957" i="4"/>
  <c r="AE957" i="4" s="1"/>
  <c r="K967" i="4"/>
  <c r="J968" i="4"/>
  <c r="Z968" i="4" s="1"/>
  <c r="G970" i="4"/>
  <c r="X970" i="4" s="1"/>
  <c r="I978" i="4"/>
  <c r="H978" i="4"/>
  <c r="T978" i="4"/>
  <c r="D978" i="4"/>
  <c r="J983" i="4"/>
  <c r="Z983" i="4" s="1"/>
  <c r="I983" i="4"/>
  <c r="U983" i="4"/>
  <c r="N988" i="4"/>
  <c r="AA988" i="4" s="1"/>
  <c r="H990" i="4"/>
  <c r="F992" i="4"/>
  <c r="R993" i="4"/>
  <c r="AD993" i="4" s="1"/>
  <c r="M995" i="4"/>
  <c r="W995" i="4" s="1"/>
  <c r="M997" i="4"/>
  <c r="W997" i="4" s="1"/>
  <c r="N995" i="4"/>
  <c r="AA995" i="4" s="1"/>
  <c r="N997" i="4"/>
  <c r="AA997" i="4" s="1"/>
  <c r="S938" i="4"/>
  <c r="Q944" i="4"/>
  <c r="AC944" i="4" s="1"/>
  <c r="L951" i="4"/>
  <c r="Y951" i="4" s="1"/>
  <c r="N960" i="4"/>
  <c r="AA960" i="4" s="1"/>
  <c r="T960" i="4"/>
  <c r="R962" i="4"/>
  <c r="AD962" i="4" s="1"/>
  <c r="N966" i="4"/>
  <c r="AA966" i="4" s="1"/>
  <c r="M967" i="4"/>
  <c r="W967" i="4" s="1"/>
  <c r="L968" i="4"/>
  <c r="Y968" i="4" s="1"/>
  <c r="I970" i="4"/>
  <c r="K972" i="4"/>
  <c r="N975" i="4"/>
  <c r="AA975" i="4" s="1"/>
  <c r="F978" i="4"/>
  <c r="J979" i="4"/>
  <c r="Z979" i="4" s="1"/>
  <c r="J990" i="4"/>
  <c r="Z990" i="4" s="1"/>
  <c r="H992" i="4"/>
  <c r="T993" i="4"/>
  <c r="O995" i="4"/>
  <c r="O996" i="4"/>
  <c r="M996" i="4"/>
  <c r="W996" i="4" s="1"/>
  <c r="Q997" i="4"/>
  <c r="AC997" i="4" s="1"/>
  <c r="M998" i="4"/>
  <c r="W998" i="4" s="1"/>
  <c r="L998" i="4"/>
  <c r="Y998" i="4" s="1"/>
  <c r="I998" i="4"/>
  <c r="H998" i="4"/>
  <c r="G998" i="4"/>
  <c r="X998" i="4" s="1"/>
  <c r="D938" i="4"/>
  <c r="T938" i="4"/>
  <c r="B944" i="4"/>
  <c r="R944" i="4"/>
  <c r="AD944" i="4" s="1"/>
  <c r="M951" i="4"/>
  <c r="W951" i="4" s="1"/>
  <c r="G956" i="4"/>
  <c r="X956" i="4" s="1"/>
  <c r="F957" i="4"/>
  <c r="D960" i="4"/>
  <c r="U960" i="4"/>
  <c r="K961" i="4"/>
  <c r="T961" i="4"/>
  <c r="B962" i="4"/>
  <c r="Q963" i="4"/>
  <c r="AC963" i="4" s="1"/>
  <c r="O966" i="4"/>
  <c r="N967" i="4"/>
  <c r="AA967" i="4" s="1"/>
  <c r="M968" i="4"/>
  <c r="W968" i="4" s="1"/>
  <c r="J970" i="4"/>
  <c r="Z970" i="4" s="1"/>
  <c r="L972" i="4"/>
  <c r="Y972" i="4" s="1"/>
  <c r="O975" i="4"/>
  <c r="L977" i="4"/>
  <c r="Y977" i="4" s="1"/>
  <c r="K977" i="4"/>
  <c r="G977" i="4"/>
  <c r="X977" i="4" s="1"/>
  <c r="G978" i="4"/>
  <c r="X978" i="4" s="1"/>
  <c r="K979" i="4"/>
  <c r="M982" i="4"/>
  <c r="W982" i="4" s="1"/>
  <c r="L982" i="4"/>
  <c r="Y982" i="4" s="1"/>
  <c r="H982" i="4"/>
  <c r="F983" i="4"/>
  <c r="Q986" i="4"/>
  <c r="AC986" i="4" s="1"/>
  <c r="M986" i="4"/>
  <c r="W986" i="4" s="1"/>
  <c r="L986" i="4"/>
  <c r="Y986" i="4" s="1"/>
  <c r="Q988" i="4"/>
  <c r="AC988" i="4" s="1"/>
  <c r="G989" i="4"/>
  <c r="X989" i="4" s="1"/>
  <c r="K990" i="4"/>
  <c r="L992" i="4"/>
  <c r="Y992" i="4" s="1"/>
  <c r="U993" i="4"/>
  <c r="S995" i="4"/>
  <c r="F996" i="4"/>
  <c r="R997" i="4"/>
  <c r="AD997" i="4" s="1"/>
  <c r="D998" i="4"/>
  <c r="O999" i="4"/>
  <c r="G1000" i="4"/>
  <c r="X1000" i="4" s="1"/>
  <c r="H957" i="4"/>
  <c r="H962" i="4"/>
  <c r="T962" i="4"/>
  <c r="O967" i="4"/>
  <c r="M972" i="4"/>
  <c r="W972" i="4" s="1"/>
  <c r="J978" i="4"/>
  <c r="Z978" i="4" s="1"/>
  <c r="L979" i="4"/>
  <c r="Y979" i="4" s="1"/>
  <c r="G983" i="4"/>
  <c r="X983" i="4" s="1"/>
  <c r="R988" i="4"/>
  <c r="AD988" i="4" s="1"/>
  <c r="L990" i="4"/>
  <c r="Y990" i="4" s="1"/>
  <c r="R991" i="4"/>
  <c r="AD991" i="4" s="1"/>
  <c r="B991" i="4"/>
  <c r="Q991" i="4"/>
  <c r="AC991" i="4" s="1"/>
  <c r="N991" i="4"/>
  <c r="AA991" i="4" s="1"/>
  <c r="M991" i="4"/>
  <c r="W991" i="4" s="1"/>
  <c r="L991" i="4"/>
  <c r="Y991" i="4" s="1"/>
  <c r="M992" i="4"/>
  <c r="W992" i="4" s="1"/>
  <c r="T995" i="4"/>
  <c r="G996" i="4"/>
  <c r="X996" i="4" s="1"/>
  <c r="S997" i="4"/>
  <c r="AI997" i="4" s="1"/>
  <c r="P28" i="13"/>
  <c r="U28" i="4" s="1"/>
  <c r="O28" i="13"/>
  <c r="T28" i="4" s="1"/>
  <c r="N28" i="13"/>
  <c r="S28" i="4" s="1"/>
  <c r="M28" i="13"/>
  <c r="R28" i="4" s="1"/>
  <c r="AD28" i="4" s="1"/>
  <c r="L28" i="13"/>
  <c r="Q28" i="4" s="1"/>
  <c r="AC28" i="4" s="1"/>
  <c r="K28" i="13"/>
  <c r="O28" i="4" s="1"/>
  <c r="N40" i="13"/>
  <c r="S40" i="4" s="1"/>
  <c r="M40" i="13"/>
  <c r="R40" i="4" s="1"/>
  <c r="AD40" i="4" s="1"/>
  <c r="L40" i="13"/>
  <c r="Q40" i="4" s="1"/>
  <c r="AC40" i="4" s="1"/>
  <c r="K40" i="13"/>
  <c r="O40" i="4" s="1"/>
  <c r="P40" i="13"/>
  <c r="U40" i="4" s="1"/>
  <c r="O40" i="13"/>
  <c r="T40" i="4" s="1"/>
  <c r="P64" i="13"/>
  <c r="U64" i="4" s="1"/>
  <c r="O64" i="13"/>
  <c r="T64" i="4" s="1"/>
  <c r="N64" i="13"/>
  <c r="S64" i="4" s="1"/>
  <c r="M64" i="13"/>
  <c r="R64" i="4" s="1"/>
  <c r="AD64" i="4" s="1"/>
  <c r="L64" i="13"/>
  <c r="Q64" i="4" s="1"/>
  <c r="AC64" i="4" s="1"/>
  <c r="K64" i="13"/>
  <c r="O64" i="4" s="1"/>
  <c r="P69" i="13"/>
  <c r="U69" i="4" s="1"/>
  <c r="O69" i="13"/>
  <c r="T69" i="4" s="1"/>
  <c r="N69" i="13"/>
  <c r="S69" i="4" s="1"/>
  <c r="M69" i="13"/>
  <c r="R69" i="4" s="1"/>
  <c r="AD69" i="4" s="1"/>
  <c r="L69" i="13"/>
  <c r="Q69" i="4" s="1"/>
  <c r="AC69" i="4" s="1"/>
  <c r="K69" i="13"/>
  <c r="O69" i="4" s="1"/>
  <c r="P76" i="13"/>
  <c r="U76" i="4" s="1"/>
  <c r="O76" i="13"/>
  <c r="T76" i="4" s="1"/>
  <c r="N76" i="13"/>
  <c r="S76" i="4" s="1"/>
  <c r="M76" i="13"/>
  <c r="R76" i="4" s="1"/>
  <c r="AD76" i="4" s="1"/>
  <c r="L76" i="13"/>
  <c r="Q76" i="4" s="1"/>
  <c r="AC76" i="4" s="1"/>
  <c r="K76" i="13"/>
  <c r="O76" i="4" s="1"/>
  <c r="N88" i="13"/>
  <c r="S88" i="4" s="1"/>
  <c r="M88" i="13"/>
  <c r="R88" i="4" s="1"/>
  <c r="AD88" i="4" s="1"/>
  <c r="L88" i="13"/>
  <c r="Q88" i="4" s="1"/>
  <c r="AC88" i="4" s="1"/>
  <c r="K88" i="13"/>
  <c r="O88" i="4" s="1"/>
  <c r="P88" i="13"/>
  <c r="U88" i="4" s="1"/>
  <c r="O88" i="13"/>
  <c r="T88" i="4" s="1"/>
  <c r="P95" i="13"/>
  <c r="U95" i="4" s="1"/>
  <c r="O95" i="13"/>
  <c r="T95" i="4" s="1"/>
  <c r="N95" i="13"/>
  <c r="S95" i="4" s="1"/>
  <c r="M95" i="13"/>
  <c r="R95" i="4" s="1"/>
  <c r="AD95" i="4" s="1"/>
  <c r="L95" i="13"/>
  <c r="Q95" i="4" s="1"/>
  <c r="AC95" i="4" s="1"/>
  <c r="K95" i="13"/>
  <c r="O95" i="4" s="1"/>
  <c r="P110" i="13"/>
  <c r="U110" i="4" s="1"/>
  <c r="O110" i="13"/>
  <c r="T110" i="4" s="1"/>
  <c r="N110" i="13"/>
  <c r="S110" i="4" s="1"/>
  <c r="AI110" i="4" s="1"/>
  <c r="M110" i="13"/>
  <c r="R110" i="4" s="1"/>
  <c r="AD110" i="4" s="1"/>
  <c r="L110" i="13"/>
  <c r="Q110" i="4" s="1"/>
  <c r="AC110" i="4" s="1"/>
  <c r="K110" i="13"/>
  <c r="O110" i="4" s="1"/>
  <c r="N152" i="13"/>
  <c r="S152" i="4" s="1"/>
  <c r="AI152" i="4" s="1"/>
  <c r="L152" i="13"/>
  <c r="Q152" i="4" s="1"/>
  <c r="AC152" i="4" s="1"/>
  <c r="P152" i="13"/>
  <c r="U152" i="4" s="1"/>
  <c r="O152" i="13"/>
  <c r="T152" i="4" s="1"/>
  <c r="M152" i="13"/>
  <c r="R152" i="4" s="1"/>
  <c r="AD152" i="4" s="1"/>
  <c r="K152" i="13"/>
  <c r="O152" i="4" s="1"/>
  <c r="P175" i="13"/>
  <c r="U175" i="4" s="1"/>
  <c r="O175" i="13"/>
  <c r="T175" i="4" s="1"/>
  <c r="M175" i="13"/>
  <c r="R175" i="4" s="1"/>
  <c r="AD175" i="4" s="1"/>
  <c r="N175" i="13"/>
  <c r="S175" i="4" s="1"/>
  <c r="L175" i="13"/>
  <c r="Q175" i="4" s="1"/>
  <c r="AC175" i="4" s="1"/>
  <c r="K175" i="13"/>
  <c r="O175" i="4" s="1"/>
  <c r="P248" i="13"/>
  <c r="U248" i="4" s="1"/>
  <c r="O248" i="13"/>
  <c r="T248" i="4" s="1"/>
  <c r="N248" i="13"/>
  <c r="S248" i="4" s="1"/>
  <c r="L248" i="13"/>
  <c r="Q248" i="4" s="1"/>
  <c r="AC248" i="4" s="1"/>
  <c r="K248" i="13"/>
  <c r="O248" i="4" s="1"/>
  <c r="M248" i="13"/>
  <c r="R248" i="4" s="1"/>
  <c r="AD248" i="4" s="1"/>
  <c r="K11" i="13"/>
  <c r="O11" i="4" s="1"/>
  <c r="P11" i="13"/>
  <c r="U11" i="4" s="1"/>
  <c r="O11" i="13"/>
  <c r="T11" i="4" s="1"/>
  <c r="N11" i="13"/>
  <c r="S11" i="4" s="1"/>
  <c r="M11" i="13"/>
  <c r="R11" i="4" s="1"/>
  <c r="AD11" i="4" s="1"/>
  <c r="L11" i="13"/>
  <c r="Q11" i="4" s="1"/>
  <c r="AC11" i="4" s="1"/>
  <c r="O23" i="13"/>
  <c r="T23" i="4" s="1"/>
  <c r="N23" i="13"/>
  <c r="S23" i="4" s="1"/>
  <c r="M23" i="13"/>
  <c r="R23" i="4" s="1"/>
  <c r="AD23" i="4" s="1"/>
  <c r="L23" i="13"/>
  <c r="Q23" i="4" s="1"/>
  <c r="AC23" i="4" s="1"/>
  <c r="K23" i="13"/>
  <c r="O23" i="4" s="1"/>
  <c r="P23" i="13"/>
  <c r="U23" i="4" s="1"/>
  <c r="P35" i="13"/>
  <c r="U35" i="4" s="1"/>
  <c r="O35" i="13"/>
  <c r="T35" i="4" s="1"/>
  <c r="N35" i="13"/>
  <c r="S35" i="4" s="1"/>
  <c r="AI35" i="4" s="1"/>
  <c r="M35" i="13"/>
  <c r="R35" i="4" s="1"/>
  <c r="AD35" i="4" s="1"/>
  <c r="L35" i="13"/>
  <c r="Q35" i="4" s="1"/>
  <c r="AC35" i="4" s="1"/>
  <c r="K35" i="13"/>
  <c r="O35" i="4" s="1"/>
  <c r="P52" i="13"/>
  <c r="U52" i="4" s="1"/>
  <c r="O52" i="13"/>
  <c r="T52" i="4" s="1"/>
  <c r="N52" i="13"/>
  <c r="S52" i="4" s="1"/>
  <c r="M52" i="13"/>
  <c r="R52" i="4" s="1"/>
  <c r="AD52" i="4" s="1"/>
  <c r="L52" i="13"/>
  <c r="Q52" i="4" s="1"/>
  <c r="AC52" i="4" s="1"/>
  <c r="K52" i="13"/>
  <c r="O52" i="4" s="1"/>
  <c r="P83" i="13"/>
  <c r="U83" i="4" s="1"/>
  <c r="O83" i="13"/>
  <c r="T83" i="4" s="1"/>
  <c r="N83" i="13"/>
  <c r="S83" i="4" s="1"/>
  <c r="AI83" i="4" s="1"/>
  <c r="M83" i="13"/>
  <c r="R83" i="4" s="1"/>
  <c r="AD83" i="4" s="1"/>
  <c r="L83" i="13"/>
  <c r="Q83" i="4" s="1"/>
  <c r="AC83" i="4" s="1"/>
  <c r="K83" i="13"/>
  <c r="O83" i="4" s="1"/>
  <c r="M185" i="13"/>
  <c r="R185" i="4" s="1"/>
  <c r="AD185" i="4" s="1"/>
  <c r="K185" i="13"/>
  <c r="O185" i="4" s="1"/>
  <c r="P185" i="13"/>
  <c r="U185" i="4" s="1"/>
  <c r="O185" i="13"/>
  <c r="T185" i="4" s="1"/>
  <c r="N185" i="13"/>
  <c r="S185" i="4" s="1"/>
  <c r="L185" i="13"/>
  <c r="Q185" i="4" s="1"/>
  <c r="AC185" i="4" s="1"/>
  <c r="P223" i="13"/>
  <c r="U223" i="4" s="1"/>
  <c r="O223" i="13"/>
  <c r="T223" i="4" s="1"/>
  <c r="M223" i="13"/>
  <c r="R223" i="4" s="1"/>
  <c r="AD223" i="4" s="1"/>
  <c r="L223" i="13"/>
  <c r="Q223" i="4" s="1"/>
  <c r="AC223" i="4" s="1"/>
  <c r="N223" i="13"/>
  <c r="S223" i="4" s="1"/>
  <c r="K223" i="13"/>
  <c r="O223" i="4" s="1"/>
  <c r="P13" i="13"/>
  <c r="U13" i="4" s="1"/>
  <c r="O13" i="13"/>
  <c r="T13" i="4" s="1"/>
  <c r="N13" i="13"/>
  <c r="S13" i="4" s="1"/>
  <c r="M13" i="13"/>
  <c r="R13" i="4" s="1"/>
  <c r="AD13" i="4" s="1"/>
  <c r="L13" i="13"/>
  <c r="Q13" i="4" s="1"/>
  <c r="AC13" i="4" s="1"/>
  <c r="K13" i="13"/>
  <c r="O13" i="4" s="1"/>
  <c r="M25" i="13"/>
  <c r="R25" i="4" s="1"/>
  <c r="AD25" i="4" s="1"/>
  <c r="L25" i="13"/>
  <c r="Q25" i="4" s="1"/>
  <c r="AC25" i="4" s="1"/>
  <c r="K25" i="13"/>
  <c r="O25" i="4" s="1"/>
  <c r="P25" i="13"/>
  <c r="U25" i="4" s="1"/>
  <c r="O25" i="13"/>
  <c r="T25" i="4" s="1"/>
  <c r="N25" i="13"/>
  <c r="S25" i="4" s="1"/>
  <c r="P30" i="13"/>
  <c r="U30" i="4" s="1"/>
  <c r="O30" i="13"/>
  <c r="T30" i="4" s="1"/>
  <c r="N30" i="13"/>
  <c r="S30" i="4" s="1"/>
  <c r="M30" i="13"/>
  <c r="R30" i="4" s="1"/>
  <c r="AD30" i="4" s="1"/>
  <c r="L30" i="13"/>
  <c r="Q30" i="4" s="1"/>
  <c r="AC30" i="4" s="1"/>
  <c r="K30" i="13"/>
  <c r="O30" i="4" s="1"/>
  <c r="L42" i="13"/>
  <c r="Q42" i="4" s="1"/>
  <c r="AC42" i="4" s="1"/>
  <c r="K42" i="13"/>
  <c r="O42" i="4" s="1"/>
  <c r="P42" i="13"/>
  <c r="U42" i="4" s="1"/>
  <c r="O42" i="13"/>
  <c r="T42" i="4" s="1"/>
  <c r="N42" i="13"/>
  <c r="S42" i="4" s="1"/>
  <c r="M42" i="13"/>
  <c r="R42" i="4" s="1"/>
  <c r="AD42" i="4" s="1"/>
  <c r="P66" i="13"/>
  <c r="U66" i="4" s="1"/>
  <c r="O66" i="13"/>
  <c r="T66" i="4" s="1"/>
  <c r="N66" i="13"/>
  <c r="S66" i="4" s="1"/>
  <c r="M66" i="13"/>
  <c r="R66" i="4" s="1"/>
  <c r="AD66" i="4" s="1"/>
  <c r="L66" i="13"/>
  <c r="Q66" i="4" s="1"/>
  <c r="AC66" i="4" s="1"/>
  <c r="K66" i="13"/>
  <c r="O66" i="4" s="1"/>
  <c r="P78" i="13"/>
  <c r="U78" i="4" s="1"/>
  <c r="O78" i="13"/>
  <c r="T78" i="4" s="1"/>
  <c r="N78" i="13"/>
  <c r="S78" i="4" s="1"/>
  <c r="AI78" i="4" s="1"/>
  <c r="M78" i="13"/>
  <c r="R78" i="4" s="1"/>
  <c r="AD78" i="4" s="1"/>
  <c r="L78" i="13"/>
  <c r="Q78" i="4" s="1"/>
  <c r="AC78" i="4" s="1"/>
  <c r="K78" i="13"/>
  <c r="O78" i="4" s="1"/>
  <c r="P97" i="13"/>
  <c r="U97" i="4" s="1"/>
  <c r="O97" i="13"/>
  <c r="T97" i="4" s="1"/>
  <c r="N97" i="13"/>
  <c r="S97" i="4" s="1"/>
  <c r="M97" i="13"/>
  <c r="R97" i="4" s="1"/>
  <c r="AD97" i="4" s="1"/>
  <c r="L97" i="13"/>
  <c r="Q97" i="4" s="1"/>
  <c r="AC97" i="4" s="1"/>
  <c r="K97" i="13"/>
  <c r="O97" i="4" s="1"/>
  <c r="K124" i="13"/>
  <c r="O124" i="4" s="1"/>
  <c r="P124" i="13"/>
  <c r="U124" i="4" s="1"/>
  <c r="O124" i="13"/>
  <c r="T124" i="4" s="1"/>
  <c r="N124" i="13"/>
  <c r="S124" i="4" s="1"/>
  <c r="M124" i="13"/>
  <c r="R124" i="4" s="1"/>
  <c r="AD124" i="4" s="1"/>
  <c r="L124" i="13"/>
  <c r="Q124" i="4" s="1"/>
  <c r="AC124" i="4" s="1"/>
  <c r="O135" i="13"/>
  <c r="T135" i="4" s="1"/>
  <c r="M135" i="13"/>
  <c r="R135" i="4" s="1"/>
  <c r="AD135" i="4" s="1"/>
  <c r="L135" i="13"/>
  <c r="Q135" i="4" s="1"/>
  <c r="AC135" i="4" s="1"/>
  <c r="K135" i="13"/>
  <c r="O135" i="4" s="1"/>
  <c r="P135" i="13"/>
  <c r="U135" i="4" s="1"/>
  <c r="N135" i="13"/>
  <c r="S135" i="4" s="1"/>
  <c r="P188" i="13"/>
  <c r="U188" i="4" s="1"/>
  <c r="O188" i="13"/>
  <c r="T188" i="4" s="1"/>
  <c r="N188" i="13"/>
  <c r="S188" i="4" s="1"/>
  <c r="AI188" i="4" s="1"/>
  <c r="M188" i="13"/>
  <c r="R188" i="4" s="1"/>
  <c r="AD188" i="4" s="1"/>
  <c r="L188" i="13"/>
  <c r="Q188" i="4" s="1"/>
  <c r="AC188" i="4" s="1"/>
  <c r="K188" i="13"/>
  <c r="O188" i="4" s="1"/>
  <c r="N8" i="13"/>
  <c r="S8" i="4" s="1"/>
  <c r="M8" i="13"/>
  <c r="R8" i="4" s="1"/>
  <c r="AD8" i="4" s="1"/>
  <c r="L8" i="13"/>
  <c r="Q8" i="4" s="1"/>
  <c r="AC8" i="4" s="1"/>
  <c r="K8" i="13"/>
  <c r="O8" i="4" s="1"/>
  <c r="P8" i="13"/>
  <c r="U8" i="4" s="1"/>
  <c r="O8" i="13"/>
  <c r="T8" i="4" s="1"/>
  <c r="P54" i="13"/>
  <c r="U54" i="4" s="1"/>
  <c r="O54" i="13"/>
  <c r="T54" i="4" s="1"/>
  <c r="N54" i="13"/>
  <c r="S54" i="4" s="1"/>
  <c r="AI54" i="4" s="1"/>
  <c r="M54" i="13"/>
  <c r="R54" i="4" s="1"/>
  <c r="AD54" i="4" s="1"/>
  <c r="L54" i="13"/>
  <c r="Q54" i="4" s="1"/>
  <c r="AC54" i="4" s="1"/>
  <c r="K54" i="13"/>
  <c r="O54" i="4" s="1"/>
  <c r="P61" i="13"/>
  <c r="U61" i="4" s="1"/>
  <c r="O61" i="13"/>
  <c r="T61" i="4" s="1"/>
  <c r="N61" i="13"/>
  <c r="S61" i="4" s="1"/>
  <c r="M61" i="13"/>
  <c r="R61" i="4" s="1"/>
  <c r="AD61" i="4" s="1"/>
  <c r="L61" i="13"/>
  <c r="Q61" i="4" s="1"/>
  <c r="AC61" i="4" s="1"/>
  <c r="K61" i="13"/>
  <c r="O61" i="4" s="1"/>
  <c r="M73" i="13"/>
  <c r="R73" i="4" s="1"/>
  <c r="AD73" i="4" s="1"/>
  <c r="L73" i="13"/>
  <c r="Q73" i="4" s="1"/>
  <c r="AC73" i="4" s="1"/>
  <c r="K73" i="13"/>
  <c r="O73" i="4" s="1"/>
  <c r="P73" i="13"/>
  <c r="U73" i="4" s="1"/>
  <c r="O73" i="13"/>
  <c r="T73" i="4" s="1"/>
  <c r="N73" i="13"/>
  <c r="S73" i="4" s="1"/>
  <c r="P92" i="13"/>
  <c r="U92" i="4" s="1"/>
  <c r="O92" i="13"/>
  <c r="T92" i="4" s="1"/>
  <c r="N92" i="13"/>
  <c r="S92" i="4" s="1"/>
  <c r="M92" i="13"/>
  <c r="R92" i="4" s="1"/>
  <c r="AD92" i="4" s="1"/>
  <c r="L92" i="13"/>
  <c r="Q92" i="4" s="1"/>
  <c r="AC92" i="4" s="1"/>
  <c r="K92" i="13"/>
  <c r="O92" i="4" s="1"/>
  <c r="N104" i="13"/>
  <c r="S104" i="4" s="1"/>
  <c r="M104" i="13"/>
  <c r="R104" i="4" s="1"/>
  <c r="AD104" i="4" s="1"/>
  <c r="L104" i="13"/>
  <c r="Q104" i="4" s="1"/>
  <c r="AC104" i="4" s="1"/>
  <c r="K104" i="13"/>
  <c r="O104" i="4" s="1"/>
  <c r="P104" i="13"/>
  <c r="U104" i="4" s="1"/>
  <c r="O104" i="13"/>
  <c r="T104" i="4" s="1"/>
  <c r="P118" i="13"/>
  <c r="U118" i="4" s="1"/>
  <c r="N118" i="13"/>
  <c r="S118" i="4" s="1"/>
  <c r="O118" i="13"/>
  <c r="T118" i="4" s="1"/>
  <c r="M118" i="13"/>
  <c r="R118" i="4" s="1"/>
  <c r="AD118" i="4" s="1"/>
  <c r="L118" i="13"/>
  <c r="Q118" i="4" s="1"/>
  <c r="AC118" i="4" s="1"/>
  <c r="K118" i="13"/>
  <c r="O118" i="4" s="1"/>
  <c r="P3" i="13"/>
  <c r="U3" i="4" s="1"/>
  <c r="O3" i="13"/>
  <c r="T3" i="4" s="1"/>
  <c r="N3" i="13"/>
  <c r="S3" i="4" s="1"/>
  <c r="M3" i="13"/>
  <c r="R3" i="4" s="1"/>
  <c r="AD3" i="4" s="1"/>
  <c r="L3" i="13"/>
  <c r="Q3" i="4" s="1"/>
  <c r="AC3" i="4" s="1"/>
  <c r="K3" i="13"/>
  <c r="O3" i="4" s="1"/>
  <c r="P20" i="13"/>
  <c r="U20" i="4" s="1"/>
  <c r="O20" i="13"/>
  <c r="T20" i="4" s="1"/>
  <c r="N20" i="13"/>
  <c r="S20" i="4" s="1"/>
  <c r="M20" i="13"/>
  <c r="R20" i="4" s="1"/>
  <c r="AD20" i="4" s="1"/>
  <c r="L20" i="13"/>
  <c r="Q20" i="4" s="1"/>
  <c r="AC20" i="4" s="1"/>
  <c r="K20" i="13"/>
  <c r="O20" i="4" s="1"/>
  <c r="P32" i="13"/>
  <c r="U32" i="4" s="1"/>
  <c r="O32" i="13"/>
  <c r="T32" i="4" s="1"/>
  <c r="N32" i="13"/>
  <c r="S32" i="4" s="1"/>
  <c r="AI32" i="4" s="1"/>
  <c r="M32" i="13"/>
  <c r="R32" i="4" s="1"/>
  <c r="AD32" i="4" s="1"/>
  <c r="L32" i="13"/>
  <c r="Q32" i="4" s="1"/>
  <c r="AC32" i="4" s="1"/>
  <c r="K32" i="13"/>
  <c r="O32" i="4" s="1"/>
  <c r="P37" i="13"/>
  <c r="U37" i="4" s="1"/>
  <c r="O37" i="13"/>
  <c r="T37" i="4" s="1"/>
  <c r="N37" i="13"/>
  <c r="S37" i="4" s="1"/>
  <c r="M37" i="13"/>
  <c r="R37" i="4" s="1"/>
  <c r="AD37" i="4" s="1"/>
  <c r="L37" i="13"/>
  <c r="Q37" i="4" s="1"/>
  <c r="AC37" i="4" s="1"/>
  <c r="K37" i="13"/>
  <c r="O37" i="4" s="1"/>
  <c r="P49" i="13"/>
  <c r="U49" i="4" s="1"/>
  <c r="O49" i="13"/>
  <c r="T49" i="4" s="1"/>
  <c r="N49" i="13"/>
  <c r="S49" i="4" s="1"/>
  <c r="AI49" i="4" s="1"/>
  <c r="M49" i="13"/>
  <c r="R49" i="4" s="1"/>
  <c r="AD49" i="4" s="1"/>
  <c r="L49" i="13"/>
  <c r="Q49" i="4" s="1"/>
  <c r="AC49" i="4" s="1"/>
  <c r="K49" i="13"/>
  <c r="O49" i="4" s="1"/>
  <c r="P80" i="13"/>
  <c r="U80" i="4" s="1"/>
  <c r="O80" i="13"/>
  <c r="T80" i="4" s="1"/>
  <c r="N80" i="13"/>
  <c r="S80" i="4" s="1"/>
  <c r="M80" i="13"/>
  <c r="R80" i="4" s="1"/>
  <c r="AD80" i="4" s="1"/>
  <c r="L80" i="13"/>
  <c r="Q80" i="4" s="1"/>
  <c r="AC80" i="4" s="1"/>
  <c r="K80" i="13"/>
  <c r="O80" i="4" s="1"/>
  <c r="P85" i="13"/>
  <c r="U85" i="4" s="1"/>
  <c r="O85" i="13"/>
  <c r="T85" i="4" s="1"/>
  <c r="N85" i="13"/>
  <c r="S85" i="4" s="1"/>
  <c r="M85" i="13"/>
  <c r="R85" i="4" s="1"/>
  <c r="AD85" i="4" s="1"/>
  <c r="L85" i="13"/>
  <c r="Q85" i="4" s="1"/>
  <c r="AC85" i="4" s="1"/>
  <c r="K85" i="13"/>
  <c r="O85" i="4" s="1"/>
  <c r="P99" i="13"/>
  <c r="U99" i="4" s="1"/>
  <c r="O99" i="13"/>
  <c r="T99" i="4" s="1"/>
  <c r="N99" i="13"/>
  <c r="S99" i="4" s="1"/>
  <c r="M99" i="13"/>
  <c r="R99" i="4" s="1"/>
  <c r="AD99" i="4" s="1"/>
  <c r="L99" i="13"/>
  <c r="Q99" i="4" s="1"/>
  <c r="AC99" i="4" s="1"/>
  <c r="K99" i="13"/>
  <c r="O99" i="4" s="1"/>
  <c r="P114" i="13"/>
  <c r="U114" i="4" s="1"/>
  <c r="O114" i="13"/>
  <c r="T114" i="4" s="1"/>
  <c r="N114" i="13"/>
  <c r="S114" i="4" s="1"/>
  <c r="M114" i="13"/>
  <c r="R114" i="4" s="1"/>
  <c r="AD114" i="4" s="1"/>
  <c r="L114" i="13"/>
  <c r="Q114" i="4" s="1"/>
  <c r="AC114" i="4" s="1"/>
  <c r="K114" i="13"/>
  <c r="O114" i="4" s="1"/>
  <c r="P129" i="13"/>
  <c r="U129" i="4" s="1"/>
  <c r="O129" i="13"/>
  <c r="T129" i="4" s="1"/>
  <c r="N129" i="13"/>
  <c r="S129" i="4" s="1"/>
  <c r="M129" i="13"/>
  <c r="R129" i="4" s="1"/>
  <c r="AD129" i="4" s="1"/>
  <c r="L129" i="13"/>
  <c r="Q129" i="4" s="1"/>
  <c r="AC129" i="4" s="1"/>
  <c r="K129" i="13"/>
  <c r="O129" i="4" s="1"/>
  <c r="P228" i="13"/>
  <c r="U228" i="4" s="1"/>
  <c r="O228" i="13"/>
  <c r="T228" i="4" s="1"/>
  <c r="N228" i="13"/>
  <c r="S228" i="4" s="1"/>
  <c r="AI228" i="4" s="1"/>
  <c r="K228" i="13"/>
  <c r="O228" i="4" s="1"/>
  <c r="M228" i="13"/>
  <c r="R228" i="4" s="1"/>
  <c r="AD228" i="4" s="1"/>
  <c r="L228" i="13"/>
  <c r="Q228" i="4" s="1"/>
  <c r="AC228" i="4" s="1"/>
  <c r="P15" i="13"/>
  <c r="U15" i="4" s="1"/>
  <c r="O15" i="13"/>
  <c r="T15" i="4" s="1"/>
  <c r="N15" i="13"/>
  <c r="S15" i="4" s="1"/>
  <c r="M15" i="13"/>
  <c r="R15" i="4" s="1"/>
  <c r="AD15" i="4" s="1"/>
  <c r="L15" i="13"/>
  <c r="Q15" i="4" s="1"/>
  <c r="AC15" i="4" s="1"/>
  <c r="K15" i="13"/>
  <c r="O15" i="4" s="1"/>
  <c r="P44" i="13"/>
  <c r="U44" i="4" s="1"/>
  <c r="O44" i="13"/>
  <c r="T44" i="4" s="1"/>
  <c r="N44" i="13"/>
  <c r="S44" i="4" s="1"/>
  <c r="AI44" i="4" s="1"/>
  <c r="M44" i="13"/>
  <c r="R44" i="4" s="1"/>
  <c r="AD44" i="4" s="1"/>
  <c r="L44" i="13"/>
  <c r="Q44" i="4" s="1"/>
  <c r="AC44" i="4" s="1"/>
  <c r="K44" i="13"/>
  <c r="O44" i="4" s="1"/>
  <c r="N56" i="13"/>
  <c r="S56" i="4" s="1"/>
  <c r="M56" i="13"/>
  <c r="R56" i="4" s="1"/>
  <c r="AD56" i="4" s="1"/>
  <c r="L56" i="13"/>
  <c r="Q56" i="4" s="1"/>
  <c r="AC56" i="4" s="1"/>
  <c r="K56" i="13"/>
  <c r="O56" i="4" s="1"/>
  <c r="P56" i="13"/>
  <c r="U56" i="4" s="1"/>
  <c r="O56" i="13"/>
  <c r="T56" i="4" s="1"/>
  <c r="P68" i="13"/>
  <c r="U68" i="4" s="1"/>
  <c r="O68" i="13"/>
  <c r="T68" i="4" s="1"/>
  <c r="N68" i="13"/>
  <c r="S68" i="4" s="1"/>
  <c r="M68" i="13"/>
  <c r="R68" i="4" s="1"/>
  <c r="AD68" i="4" s="1"/>
  <c r="L68" i="13"/>
  <c r="Q68" i="4" s="1"/>
  <c r="AC68" i="4" s="1"/>
  <c r="K68" i="13"/>
  <c r="O68" i="4" s="1"/>
  <c r="L106" i="13"/>
  <c r="Q106" i="4" s="1"/>
  <c r="AC106" i="4" s="1"/>
  <c r="K106" i="13"/>
  <c r="O106" i="4" s="1"/>
  <c r="P106" i="13"/>
  <c r="U106" i="4" s="1"/>
  <c r="O106" i="13"/>
  <c r="T106" i="4" s="1"/>
  <c r="N106" i="13"/>
  <c r="S106" i="4" s="1"/>
  <c r="AI106" i="4" s="1"/>
  <c r="M106" i="13"/>
  <c r="R106" i="4" s="1"/>
  <c r="AD106" i="4" s="1"/>
  <c r="M137" i="13"/>
  <c r="R137" i="4" s="1"/>
  <c r="AD137" i="4" s="1"/>
  <c r="K137" i="13"/>
  <c r="O137" i="4" s="1"/>
  <c r="P137" i="13"/>
  <c r="U137" i="4" s="1"/>
  <c r="O137" i="13"/>
  <c r="T137" i="4" s="1"/>
  <c r="N137" i="13"/>
  <c r="S137" i="4" s="1"/>
  <c r="L137" i="13"/>
  <c r="Q137" i="4" s="1"/>
  <c r="AC137" i="4" s="1"/>
  <c r="M146" i="13"/>
  <c r="R146" i="4" s="1"/>
  <c r="AD146" i="4" s="1"/>
  <c r="L146" i="13"/>
  <c r="Q146" i="4" s="1"/>
  <c r="AC146" i="4" s="1"/>
  <c r="N146" i="13"/>
  <c r="S146" i="4" s="1"/>
  <c r="K146" i="13"/>
  <c r="O146" i="4" s="1"/>
  <c r="P146" i="13"/>
  <c r="U146" i="4" s="1"/>
  <c r="O146" i="13"/>
  <c r="T146" i="4" s="1"/>
  <c r="N168" i="13"/>
  <c r="S168" i="4" s="1"/>
  <c r="L168" i="13"/>
  <c r="Q168" i="4" s="1"/>
  <c r="AC168" i="4" s="1"/>
  <c r="P168" i="13"/>
  <c r="U168" i="4" s="1"/>
  <c r="O168" i="13"/>
  <c r="T168" i="4" s="1"/>
  <c r="M168" i="13"/>
  <c r="R168" i="4" s="1"/>
  <c r="AD168" i="4" s="1"/>
  <c r="K168" i="13"/>
  <c r="O168" i="4" s="1"/>
  <c r="P182" i="13"/>
  <c r="U182" i="4" s="1"/>
  <c r="N182" i="13"/>
  <c r="S182" i="4" s="1"/>
  <c r="AI182" i="4" s="1"/>
  <c r="O182" i="13"/>
  <c r="T182" i="4" s="1"/>
  <c r="M182" i="13"/>
  <c r="R182" i="4" s="1"/>
  <c r="AD182" i="4" s="1"/>
  <c r="L182" i="13"/>
  <c r="Q182" i="4" s="1"/>
  <c r="AC182" i="4" s="1"/>
  <c r="K182" i="13"/>
  <c r="O182" i="4" s="1"/>
  <c r="P210" i="13"/>
  <c r="U210" i="4" s="1"/>
  <c r="M210" i="13"/>
  <c r="R210" i="4" s="1"/>
  <c r="AD210" i="4" s="1"/>
  <c r="L210" i="13"/>
  <c r="Q210" i="4" s="1"/>
  <c r="AC210" i="4" s="1"/>
  <c r="O210" i="13"/>
  <c r="T210" i="4" s="1"/>
  <c r="N210" i="13"/>
  <c r="S210" i="4" s="1"/>
  <c r="K210" i="13"/>
  <c r="O210" i="4" s="1"/>
  <c r="P239" i="13"/>
  <c r="U239" i="4" s="1"/>
  <c r="O239" i="13"/>
  <c r="T239" i="4" s="1"/>
  <c r="M239" i="13"/>
  <c r="R239" i="4" s="1"/>
  <c r="AD239" i="4" s="1"/>
  <c r="L239" i="13"/>
  <c r="Q239" i="4" s="1"/>
  <c r="AC239" i="4" s="1"/>
  <c r="N239" i="13"/>
  <c r="S239" i="4" s="1"/>
  <c r="K239" i="13"/>
  <c r="O239" i="4" s="1"/>
  <c r="L10" i="13"/>
  <c r="Q10" i="4" s="1"/>
  <c r="AC10" i="4" s="1"/>
  <c r="K10" i="13"/>
  <c r="O10" i="4" s="1"/>
  <c r="P10" i="13"/>
  <c r="U10" i="4" s="1"/>
  <c r="O10" i="13"/>
  <c r="T10" i="4" s="1"/>
  <c r="N10" i="13"/>
  <c r="S10" i="4" s="1"/>
  <c r="M10" i="13"/>
  <c r="R10" i="4" s="1"/>
  <c r="AD10" i="4" s="1"/>
  <c r="K27" i="13"/>
  <c r="O27" i="4" s="1"/>
  <c r="P27" i="13"/>
  <c r="U27" i="4" s="1"/>
  <c r="O27" i="13"/>
  <c r="T27" i="4" s="1"/>
  <c r="N27" i="13"/>
  <c r="S27" i="4" s="1"/>
  <c r="M27" i="13"/>
  <c r="R27" i="4" s="1"/>
  <c r="AD27" i="4" s="1"/>
  <c r="L27" i="13"/>
  <c r="Q27" i="4" s="1"/>
  <c r="AC27" i="4" s="1"/>
  <c r="O39" i="13"/>
  <c r="T39" i="4" s="1"/>
  <c r="N39" i="13"/>
  <c r="S39" i="4" s="1"/>
  <c r="M39" i="13"/>
  <c r="R39" i="4" s="1"/>
  <c r="AD39" i="4" s="1"/>
  <c r="L39" i="13"/>
  <c r="Q39" i="4" s="1"/>
  <c r="AC39" i="4" s="1"/>
  <c r="K39" i="13"/>
  <c r="O39" i="4" s="1"/>
  <c r="P39" i="13"/>
  <c r="U39" i="4" s="1"/>
  <c r="P51" i="13"/>
  <c r="U51" i="4" s="1"/>
  <c r="O51" i="13"/>
  <c r="T51" i="4" s="1"/>
  <c r="N51" i="13"/>
  <c r="S51" i="4" s="1"/>
  <c r="M51" i="13"/>
  <c r="R51" i="4" s="1"/>
  <c r="AD51" i="4" s="1"/>
  <c r="L51" i="13"/>
  <c r="Q51" i="4" s="1"/>
  <c r="AC51" i="4" s="1"/>
  <c r="K51" i="13"/>
  <c r="O51" i="4" s="1"/>
  <c r="P63" i="13"/>
  <c r="U63" i="4" s="1"/>
  <c r="O63" i="13"/>
  <c r="T63" i="4" s="1"/>
  <c r="N63" i="13"/>
  <c r="S63" i="4" s="1"/>
  <c r="AI63" i="4" s="1"/>
  <c r="M63" i="13"/>
  <c r="R63" i="4" s="1"/>
  <c r="AD63" i="4" s="1"/>
  <c r="L63" i="13"/>
  <c r="Q63" i="4" s="1"/>
  <c r="AC63" i="4" s="1"/>
  <c r="K63" i="13"/>
  <c r="O63" i="4" s="1"/>
  <c r="K75" i="13"/>
  <c r="O75" i="4" s="1"/>
  <c r="P75" i="13"/>
  <c r="U75" i="4" s="1"/>
  <c r="O75" i="13"/>
  <c r="T75" i="4" s="1"/>
  <c r="N75" i="13"/>
  <c r="S75" i="4" s="1"/>
  <c r="M75" i="13"/>
  <c r="R75" i="4" s="1"/>
  <c r="AD75" i="4" s="1"/>
  <c r="L75" i="13"/>
  <c r="Q75" i="4" s="1"/>
  <c r="AC75" i="4" s="1"/>
  <c r="O87" i="13"/>
  <c r="T87" i="4" s="1"/>
  <c r="N87" i="13"/>
  <c r="S87" i="4" s="1"/>
  <c r="M87" i="13"/>
  <c r="R87" i="4" s="1"/>
  <c r="AD87" i="4" s="1"/>
  <c r="L87" i="13"/>
  <c r="Q87" i="4" s="1"/>
  <c r="AC87" i="4" s="1"/>
  <c r="K87" i="13"/>
  <c r="O87" i="4" s="1"/>
  <c r="P87" i="13"/>
  <c r="U87" i="4" s="1"/>
  <c r="P94" i="13"/>
  <c r="U94" i="4" s="1"/>
  <c r="O94" i="13"/>
  <c r="T94" i="4" s="1"/>
  <c r="N94" i="13"/>
  <c r="S94" i="4" s="1"/>
  <c r="M94" i="13"/>
  <c r="R94" i="4" s="1"/>
  <c r="AD94" i="4" s="1"/>
  <c r="L94" i="13"/>
  <c r="Q94" i="4" s="1"/>
  <c r="AC94" i="4" s="1"/>
  <c r="K94" i="13"/>
  <c r="O94" i="4" s="1"/>
  <c r="P143" i="13"/>
  <c r="U143" i="4" s="1"/>
  <c r="O143" i="13"/>
  <c r="T143" i="4" s="1"/>
  <c r="M143" i="13"/>
  <c r="R143" i="4" s="1"/>
  <c r="AD143" i="4" s="1"/>
  <c r="N143" i="13"/>
  <c r="S143" i="4" s="1"/>
  <c r="L143" i="13"/>
  <c r="Q143" i="4" s="1"/>
  <c r="AC143" i="4" s="1"/>
  <c r="K143" i="13"/>
  <c r="O143" i="4" s="1"/>
  <c r="O151" i="13"/>
  <c r="T151" i="4" s="1"/>
  <c r="M151" i="13"/>
  <c r="R151" i="4" s="1"/>
  <c r="AD151" i="4" s="1"/>
  <c r="P151" i="13"/>
  <c r="U151" i="4" s="1"/>
  <c r="N151" i="13"/>
  <c r="S151" i="4" s="1"/>
  <c r="L151" i="13"/>
  <c r="Q151" i="4" s="1"/>
  <c r="AC151" i="4" s="1"/>
  <c r="K151" i="13"/>
  <c r="O151" i="4" s="1"/>
  <c r="O233" i="13"/>
  <c r="T233" i="4" s="1"/>
  <c r="N233" i="13"/>
  <c r="S233" i="4" s="1"/>
  <c r="M233" i="13"/>
  <c r="R233" i="4" s="1"/>
  <c r="AD233" i="4" s="1"/>
  <c r="K233" i="13"/>
  <c r="O233" i="4" s="1"/>
  <c r="P233" i="13"/>
  <c r="U233" i="4" s="1"/>
  <c r="L233" i="13"/>
  <c r="Q233" i="4" s="1"/>
  <c r="AC233" i="4" s="1"/>
  <c r="P361" i="13"/>
  <c r="U361" i="4" s="1"/>
  <c r="O361" i="13"/>
  <c r="T361" i="4" s="1"/>
  <c r="N361" i="13"/>
  <c r="S361" i="4" s="1"/>
  <c r="M361" i="13"/>
  <c r="R361" i="4" s="1"/>
  <c r="AD361" i="4" s="1"/>
  <c r="L361" i="13"/>
  <c r="Q361" i="4" s="1"/>
  <c r="AC361" i="4" s="1"/>
  <c r="K361" i="13"/>
  <c r="O361" i="4" s="1"/>
  <c r="P22" i="13"/>
  <c r="U22" i="4" s="1"/>
  <c r="O22" i="13"/>
  <c r="T22" i="4" s="1"/>
  <c r="N22" i="13"/>
  <c r="S22" i="4" s="1"/>
  <c r="M22" i="13"/>
  <c r="R22" i="4" s="1"/>
  <c r="AD22" i="4" s="1"/>
  <c r="L22" i="13"/>
  <c r="Q22" i="4" s="1"/>
  <c r="AC22" i="4" s="1"/>
  <c r="K22" i="13"/>
  <c r="O22" i="4" s="1"/>
  <c r="P34" i="13"/>
  <c r="U34" i="4" s="1"/>
  <c r="O34" i="13"/>
  <c r="T34" i="4" s="1"/>
  <c r="N34" i="13"/>
  <c r="S34" i="4" s="1"/>
  <c r="M34" i="13"/>
  <c r="R34" i="4" s="1"/>
  <c r="AD34" i="4" s="1"/>
  <c r="L34" i="13"/>
  <c r="Q34" i="4" s="1"/>
  <c r="AC34" i="4" s="1"/>
  <c r="K34" i="13"/>
  <c r="O34" i="4" s="1"/>
  <c r="P82" i="13"/>
  <c r="U82" i="4" s="1"/>
  <c r="O82" i="13"/>
  <c r="T82" i="4" s="1"/>
  <c r="N82" i="13"/>
  <c r="S82" i="4" s="1"/>
  <c r="AI82" i="4" s="1"/>
  <c r="M82" i="13"/>
  <c r="R82" i="4" s="1"/>
  <c r="AD82" i="4" s="1"/>
  <c r="L82" i="13"/>
  <c r="Q82" i="4" s="1"/>
  <c r="AC82" i="4" s="1"/>
  <c r="K82" i="13"/>
  <c r="O82" i="4" s="1"/>
  <c r="L170" i="13"/>
  <c r="Q170" i="4" s="1"/>
  <c r="AC170" i="4" s="1"/>
  <c r="P170" i="13"/>
  <c r="U170" i="4" s="1"/>
  <c r="O170" i="13"/>
  <c r="T170" i="4" s="1"/>
  <c r="N170" i="13"/>
  <c r="S170" i="4" s="1"/>
  <c r="M170" i="13"/>
  <c r="R170" i="4" s="1"/>
  <c r="AD170" i="4" s="1"/>
  <c r="K170" i="13"/>
  <c r="O170" i="4" s="1"/>
  <c r="N184" i="13"/>
  <c r="S184" i="4" s="1"/>
  <c r="L184" i="13"/>
  <c r="Q184" i="4" s="1"/>
  <c r="AC184" i="4" s="1"/>
  <c r="P184" i="13"/>
  <c r="U184" i="4" s="1"/>
  <c r="O184" i="13"/>
  <c r="T184" i="4" s="1"/>
  <c r="M184" i="13"/>
  <c r="R184" i="4" s="1"/>
  <c r="AD184" i="4" s="1"/>
  <c r="K184" i="13"/>
  <c r="O184" i="4" s="1"/>
  <c r="P207" i="13"/>
  <c r="U207" i="4" s="1"/>
  <c r="O207" i="13"/>
  <c r="T207" i="4" s="1"/>
  <c r="M207" i="13"/>
  <c r="R207" i="4" s="1"/>
  <c r="AD207" i="4" s="1"/>
  <c r="L207" i="13"/>
  <c r="Q207" i="4" s="1"/>
  <c r="AC207" i="4" s="1"/>
  <c r="N207" i="13"/>
  <c r="S207" i="4" s="1"/>
  <c r="AI207" i="4" s="1"/>
  <c r="K207" i="13"/>
  <c r="O207" i="4" s="1"/>
  <c r="P409" i="13"/>
  <c r="U409" i="4" s="1"/>
  <c r="O409" i="13"/>
  <c r="T409" i="4" s="1"/>
  <c r="N409" i="13"/>
  <c r="S409" i="4" s="1"/>
  <c r="M409" i="13"/>
  <c r="R409" i="4" s="1"/>
  <c r="AD409" i="4" s="1"/>
  <c r="L409" i="13"/>
  <c r="Q409" i="4" s="1"/>
  <c r="AC409" i="4" s="1"/>
  <c r="K409" i="13"/>
  <c r="O409" i="4" s="1"/>
  <c r="S994" i="4"/>
  <c r="P5" i="13"/>
  <c r="U5" i="4" s="1"/>
  <c r="O5" i="13"/>
  <c r="T5" i="4" s="1"/>
  <c r="N5" i="13"/>
  <c r="S5" i="4" s="1"/>
  <c r="M5" i="13"/>
  <c r="R5" i="4" s="1"/>
  <c r="AD5" i="4" s="1"/>
  <c r="L5" i="13"/>
  <c r="Q5" i="4" s="1"/>
  <c r="AC5" i="4" s="1"/>
  <c r="K5" i="13"/>
  <c r="O5" i="4" s="1"/>
  <c r="P17" i="13"/>
  <c r="U17" i="4" s="1"/>
  <c r="O17" i="13"/>
  <c r="T17" i="4" s="1"/>
  <c r="N17" i="13"/>
  <c r="S17" i="4" s="1"/>
  <c r="M17" i="13"/>
  <c r="R17" i="4" s="1"/>
  <c r="AD17" i="4" s="1"/>
  <c r="L17" i="13"/>
  <c r="Q17" i="4" s="1"/>
  <c r="AC17" i="4" s="1"/>
  <c r="K17" i="13"/>
  <c r="O17" i="4" s="1"/>
  <c r="P29" i="13"/>
  <c r="U29" i="4" s="1"/>
  <c r="O29" i="13"/>
  <c r="T29" i="4" s="1"/>
  <c r="N29" i="13"/>
  <c r="S29" i="4" s="1"/>
  <c r="M29" i="13"/>
  <c r="R29" i="4" s="1"/>
  <c r="AD29" i="4" s="1"/>
  <c r="L29" i="13"/>
  <c r="Q29" i="4" s="1"/>
  <c r="AC29" i="4" s="1"/>
  <c r="K29" i="13"/>
  <c r="O29" i="4" s="1"/>
  <c r="M41" i="13"/>
  <c r="R41" i="4" s="1"/>
  <c r="AD41" i="4" s="1"/>
  <c r="L41" i="13"/>
  <c r="Q41" i="4" s="1"/>
  <c r="AC41" i="4" s="1"/>
  <c r="K41" i="13"/>
  <c r="O41" i="4" s="1"/>
  <c r="P41" i="13"/>
  <c r="U41" i="4" s="1"/>
  <c r="O41" i="13"/>
  <c r="T41" i="4" s="1"/>
  <c r="N41" i="13"/>
  <c r="S41" i="4" s="1"/>
  <c r="AI41" i="4" s="1"/>
  <c r="P46" i="13"/>
  <c r="U46" i="4" s="1"/>
  <c r="O46" i="13"/>
  <c r="T46" i="4" s="1"/>
  <c r="N46" i="13"/>
  <c r="S46" i="4" s="1"/>
  <c r="M46" i="13"/>
  <c r="R46" i="4" s="1"/>
  <c r="AD46" i="4" s="1"/>
  <c r="L46" i="13"/>
  <c r="Q46" i="4" s="1"/>
  <c r="AC46" i="4" s="1"/>
  <c r="K46" i="13"/>
  <c r="O46" i="4" s="1"/>
  <c r="L58" i="13"/>
  <c r="Q58" i="4" s="1"/>
  <c r="AC58" i="4" s="1"/>
  <c r="K58" i="13"/>
  <c r="O58" i="4" s="1"/>
  <c r="P58" i="13"/>
  <c r="U58" i="4" s="1"/>
  <c r="O58" i="13"/>
  <c r="T58" i="4" s="1"/>
  <c r="N58" i="13"/>
  <c r="S58" i="4" s="1"/>
  <c r="M58" i="13"/>
  <c r="R58" i="4" s="1"/>
  <c r="AD58" i="4" s="1"/>
  <c r="P70" i="13"/>
  <c r="U70" i="4" s="1"/>
  <c r="O70" i="13"/>
  <c r="T70" i="4" s="1"/>
  <c r="N70" i="13"/>
  <c r="S70" i="4" s="1"/>
  <c r="M70" i="13"/>
  <c r="R70" i="4" s="1"/>
  <c r="AD70" i="4" s="1"/>
  <c r="L70" i="13"/>
  <c r="Q70" i="4" s="1"/>
  <c r="AC70" i="4" s="1"/>
  <c r="K70" i="13"/>
  <c r="O70" i="4" s="1"/>
  <c r="P77" i="13"/>
  <c r="U77" i="4" s="1"/>
  <c r="O77" i="13"/>
  <c r="T77" i="4" s="1"/>
  <c r="N77" i="13"/>
  <c r="S77" i="4" s="1"/>
  <c r="AI77" i="4" s="1"/>
  <c r="M77" i="13"/>
  <c r="R77" i="4" s="1"/>
  <c r="AD77" i="4" s="1"/>
  <c r="L77" i="13"/>
  <c r="Q77" i="4" s="1"/>
  <c r="AC77" i="4" s="1"/>
  <c r="K77" i="13"/>
  <c r="O77" i="4" s="1"/>
  <c r="M89" i="13"/>
  <c r="R89" i="4" s="1"/>
  <c r="AD89" i="4" s="1"/>
  <c r="L89" i="13"/>
  <c r="Q89" i="4" s="1"/>
  <c r="AC89" i="4" s="1"/>
  <c r="K89" i="13"/>
  <c r="O89" i="4" s="1"/>
  <c r="P89" i="13"/>
  <c r="U89" i="4" s="1"/>
  <c r="O89" i="13"/>
  <c r="T89" i="4" s="1"/>
  <c r="N89" i="13"/>
  <c r="S89" i="4" s="1"/>
  <c r="P96" i="13"/>
  <c r="U96" i="4" s="1"/>
  <c r="O96" i="13"/>
  <c r="T96" i="4" s="1"/>
  <c r="N96" i="13"/>
  <c r="S96" i="4" s="1"/>
  <c r="M96" i="13"/>
  <c r="R96" i="4" s="1"/>
  <c r="AD96" i="4" s="1"/>
  <c r="L96" i="13"/>
  <c r="Q96" i="4" s="1"/>
  <c r="AC96" i="4" s="1"/>
  <c r="K96" i="13"/>
  <c r="O96" i="4" s="1"/>
  <c r="P101" i="13"/>
  <c r="U101" i="4" s="1"/>
  <c r="O101" i="13"/>
  <c r="T101" i="4" s="1"/>
  <c r="N101" i="13"/>
  <c r="S101" i="4" s="1"/>
  <c r="M101" i="13"/>
  <c r="R101" i="4" s="1"/>
  <c r="AD101" i="4" s="1"/>
  <c r="L101" i="13"/>
  <c r="Q101" i="4" s="1"/>
  <c r="AC101" i="4" s="1"/>
  <c r="K101" i="13"/>
  <c r="O101" i="4" s="1"/>
  <c r="P111" i="13"/>
  <c r="U111" i="4" s="1"/>
  <c r="O111" i="13"/>
  <c r="T111" i="4" s="1"/>
  <c r="N111" i="13"/>
  <c r="S111" i="4" s="1"/>
  <c r="M111" i="13"/>
  <c r="R111" i="4" s="1"/>
  <c r="AD111" i="4" s="1"/>
  <c r="L111" i="13"/>
  <c r="Q111" i="4" s="1"/>
  <c r="AC111" i="4" s="1"/>
  <c r="K111" i="13"/>
  <c r="O111" i="4" s="1"/>
  <c r="P126" i="13"/>
  <c r="U126" i="4" s="1"/>
  <c r="O126" i="13"/>
  <c r="T126" i="4" s="1"/>
  <c r="N126" i="13"/>
  <c r="S126" i="4" s="1"/>
  <c r="M126" i="13"/>
  <c r="R126" i="4" s="1"/>
  <c r="AD126" i="4" s="1"/>
  <c r="L126" i="13"/>
  <c r="Q126" i="4" s="1"/>
  <c r="AC126" i="4" s="1"/>
  <c r="K126" i="13"/>
  <c r="O126" i="4" s="1"/>
  <c r="P148" i="13"/>
  <c r="U148" i="4" s="1"/>
  <c r="K148" i="13"/>
  <c r="O148" i="4" s="1"/>
  <c r="O148" i="13"/>
  <c r="T148" i="4" s="1"/>
  <c r="N148" i="13"/>
  <c r="S148" i="4" s="1"/>
  <c r="M148" i="13"/>
  <c r="R148" i="4" s="1"/>
  <c r="AD148" i="4" s="1"/>
  <c r="L148" i="13"/>
  <c r="Q148" i="4" s="1"/>
  <c r="AC148" i="4" s="1"/>
  <c r="M153" i="13"/>
  <c r="R153" i="4" s="1"/>
  <c r="AD153" i="4" s="1"/>
  <c r="K153" i="13"/>
  <c r="O153" i="4" s="1"/>
  <c r="P153" i="13"/>
  <c r="U153" i="4" s="1"/>
  <c r="O153" i="13"/>
  <c r="T153" i="4" s="1"/>
  <c r="N153" i="13"/>
  <c r="S153" i="4" s="1"/>
  <c r="L153" i="13"/>
  <c r="Q153" i="4" s="1"/>
  <c r="AC153" i="4" s="1"/>
  <c r="S973" i="4"/>
  <c r="AI973" i="4" s="1"/>
  <c r="N980" i="4"/>
  <c r="AA980" i="4" s="1"/>
  <c r="B984" i="4"/>
  <c r="R984" i="4"/>
  <c r="AD984" i="4" s="1"/>
  <c r="S989" i="4"/>
  <c r="D994" i="4"/>
  <c r="T994" i="4"/>
  <c r="N996" i="4"/>
  <c r="AA996" i="4" s="1"/>
  <c r="B1000" i="4"/>
  <c r="R1000" i="4"/>
  <c r="AD1000" i="4" s="1"/>
  <c r="P12" i="13"/>
  <c r="U12" i="4" s="1"/>
  <c r="O12" i="13"/>
  <c r="T12" i="4" s="1"/>
  <c r="N12" i="13"/>
  <c r="S12" i="4" s="1"/>
  <c r="M12" i="13"/>
  <c r="R12" i="4" s="1"/>
  <c r="AD12" i="4" s="1"/>
  <c r="L12" i="13"/>
  <c r="Q12" i="4" s="1"/>
  <c r="AC12" i="4" s="1"/>
  <c r="K12" i="13"/>
  <c r="O12" i="4" s="1"/>
  <c r="N24" i="13"/>
  <c r="S24" i="4" s="1"/>
  <c r="AI24" i="4" s="1"/>
  <c r="M24" i="13"/>
  <c r="R24" i="4" s="1"/>
  <c r="AD24" i="4" s="1"/>
  <c r="L24" i="13"/>
  <c r="Q24" i="4" s="1"/>
  <c r="AC24" i="4" s="1"/>
  <c r="K24" i="13"/>
  <c r="O24" i="4" s="1"/>
  <c r="P24" i="13"/>
  <c r="U24" i="4" s="1"/>
  <c r="O24" i="13"/>
  <c r="T24" i="4" s="1"/>
  <c r="P65" i="13"/>
  <c r="U65" i="4" s="1"/>
  <c r="O65" i="13"/>
  <c r="T65" i="4" s="1"/>
  <c r="N65" i="13"/>
  <c r="S65" i="4" s="1"/>
  <c r="M65" i="13"/>
  <c r="R65" i="4" s="1"/>
  <c r="AD65" i="4" s="1"/>
  <c r="L65" i="13"/>
  <c r="Q65" i="4" s="1"/>
  <c r="AC65" i="4" s="1"/>
  <c r="K65" i="13"/>
  <c r="O65" i="4" s="1"/>
  <c r="K108" i="13"/>
  <c r="O108" i="4" s="1"/>
  <c r="P108" i="13"/>
  <c r="U108" i="4" s="1"/>
  <c r="O108" i="13"/>
  <c r="T108" i="4" s="1"/>
  <c r="N108" i="13"/>
  <c r="S108" i="4" s="1"/>
  <c r="M108" i="13"/>
  <c r="R108" i="4" s="1"/>
  <c r="AD108" i="4" s="1"/>
  <c r="L108" i="13"/>
  <c r="Q108" i="4" s="1"/>
  <c r="AC108" i="4" s="1"/>
  <c r="P159" i="13"/>
  <c r="U159" i="4" s="1"/>
  <c r="O159" i="13"/>
  <c r="T159" i="4" s="1"/>
  <c r="M159" i="13"/>
  <c r="R159" i="4" s="1"/>
  <c r="AD159" i="4" s="1"/>
  <c r="N159" i="13"/>
  <c r="S159" i="4" s="1"/>
  <c r="L159" i="13"/>
  <c r="Q159" i="4" s="1"/>
  <c r="AC159" i="4" s="1"/>
  <c r="K159" i="13"/>
  <c r="O159" i="4" s="1"/>
  <c r="P271" i="13"/>
  <c r="U271" i="4" s="1"/>
  <c r="O271" i="13"/>
  <c r="T271" i="4" s="1"/>
  <c r="M271" i="13"/>
  <c r="R271" i="4" s="1"/>
  <c r="AD271" i="4" s="1"/>
  <c r="L271" i="13"/>
  <c r="Q271" i="4" s="1"/>
  <c r="AC271" i="4" s="1"/>
  <c r="N271" i="13"/>
  <c r="S271" i="4" s="1"/>
  <c r="K271" i="13"/>
  <c r="O271" i="4" s="1"/>
  <c r="M316" i="13"/>
  <c r="R316" i="4" s="1"/>
  <c r="AD316" i="4" s="1"/>
  <c r="L316" i="13"/>
  <c r="Q316" i="4" s="1"/>
  <c r="AC316" i="4" s="1"/>
  <c r="K316" i="13"/>
  <c r="O316" i="4" s="1"/>
  <c r="P316" i="13"/>
  <c r="U316" i="4" s="1"/>
  <c r="O316" i="13"/>
  <c r="T316" i="4" s="1"/>
  <c r="N316" i="13"/>
  <c r="S316" i="4" s="1"/>
  <c r="M332" i="13"/>
  <c r="R332" i="4" s="1"/>
  <c r="AD332" i="4" s="1"/>
  <c r="L332" i="13"/>
  <c r="Q332" i="4" s="1"/>
  <c r="AC332" i="4" s="1"/>
  <c r="K332" i="13"/>
  <c r="O332" i="4" s="1"/>
  <c r="P332" i="13"/>
  <c r="U332" i="4" s="1"/>
  <c r="O332" i="13"/>
  <c r="T332" i="4" s="1"/>
  <c r="N332" i="13"/>
  <c r="S332" i="4" s="1"/>
  <c r="S984" i="4"/>
  <c r="U994" i="4"/>
  <c r="S1000" i="4"/>
  <c r="AI1000" i="4" s="1"/>
  <c r="O7" i="13"/>
  <c r="T7" i="4" s="1"/>
  <c r="N7" i="13"/>
  <c r="S7" i="4" s="1"/>
  <c r="M7" i="13"/>
  <c r="R7" i="4" s="1"/>
  <c r="AD7" i="4" s="1"/>
  <c r="L7" i="13"/>
  <c r="Q7" i="4" s="1"/>
  <c r="AC7" i="4" s="1"/>
  <c r="K7" i="13"/>
  <c r="O7" i="4" s="1"/>
  <c r="P7" i="13"/>
  <c r="U7" i="4" s="1"/>
  <c r="P19" i="13"/>
  <c r="U19" i="4" s="1"/>
  <c r="O19" i="13"/>
  <c r="T19" i="4" s="1"/>
  <c r="N19" i="13"/>
  <c r="S19" i="4" s="1"/>
  <c r="M19" i="13"/>
  <c r="R19" i="4" s="1"/>
  <c r="AD19" i="4" s="1"/>
  <c r="L19" i="13"/>
  <c r="Q19" i="4" s="1"/>
  <c r="AC19" i="4" s="1"/>
  <c r="K19" i="13"/>
  <c r="O19" i="4" s="1"/>
  <c r="P36" i="13"/>
  <c r="U36" i="4" s="1"/>
  <c r="O36" i="13"/>
  <c r="T36" i="4" s="1"/>
  <c r="N36" i="13"/>
  <c r="S36" i="4" s="1"/>
  <c r="M36" i="13"/>
  <c r="R36" i="4" s="1"/>
  <c r="AD36" i="4" s="1"/>
  <c r="L36" i="13"/>
  <c r="Q36" i="4" s="1"/>
  <c r="AC36" i="4" s="1"/>
  <c r="K36" i="13"/>
  <c r="O36" i="4" s="1"/>
  <c r="P48" i="13"/>
  <c r="U48" i="4" s="1"/>
  <c r="O48" i="13"/>
  <c r="T48" i="4" s="1"/>
  <c r="N48" i="13"/>
  <c r="S48" i="4" s="1"/>
  <c r="M48" i="13"/>
  <c r="R48" i="4" s="1"/>
  <c r="AD48" i="4" s="1"/>
  <c r="L48" i="13"/>
  <c r="Q48" i="4" s="1"/>
  <c r="AC48" i="4" s="1"/>
  <c r="K48" i="13"/>
  <c r="O48" i="4" s="1"/>
  <c r="P53" i="13"/>
  <c r="U53" i="4" s="1"/>
  <c r="O53" i="13"/>
  <c r="T53" i="4" s="1"/>
  <c r="N53" i="13"/>
  <c r="S53" i="4" s="1"/>
  <c r="M53" i="13"/>
  <c r="R53" i="4" s="1"/>
  <c r="AD53" i="4" s="1"/>
  <c r="L53" i="13"/>
  <c r="Q53" i="4" s="1"/>
  <c r="AC53" i="4" s="1"/>
  <c r="K53" i="13"/>
  <c r="O53" i="4" s="1"/>
  <c r="P60" i="13"/>
  <c r="U60" i="4" s="1"/>
  <c r="O60" i="13"/>
  <c r="T60" i="4" s="1"/>
  <c r="N60" i="13"/>
  <c r="S60" i="4" s="1"/>
  <c r="AI60" i="4" s="1"/>
  <c r="M60" i="13"/>
  <c r="R60" i="4" s="1"/>
  <c r="AD60" i="4" s="1"/>
  <c r="L60" i="13"/>
  <c r="Q60" i="4" s="1"/>
  <c r="AC60" i="4" s="1"/>
  <c r="K60" i="13"/>
  <c r="O60" i="4" s="1"/>
  <c r="N72" i="13"/>
  <c r="S72" i="4" s="1"/>
  <c r="M72" i="13"/>
  <c r="R72" i="4" s="1"/>
  <c r="AD72" i="4" s="1"/>
  <c r="L72" i="13"/>
  <c r="Q72" i="4" s="1"/>
  <c r="AC72" i="4" s="1"/>
  <c r="K72" i="13"/>
  <c r="O72" i="4" s="1"/>
  <c r="P72" i="13"/>
  <c r="U72" i="4" s="1"/>
  <c r="O72" i="13"/>
  <c r="T72" i="4" s="1"/>
  <c r="P84" i="13"/>
  <c r="U84" i="4" s="1"/>
  <c r="O84" i="13"/>
  <c r="T84" i="4" s="1"/>
  <c r="N84" i="13"/>
  <c r="S84" i="4" s="1"/>
  <c r="AI84" i="4" s="1"/>
  <c r="M84" i="13"/>
  <c r="R84" i="4" s="1"/>
  <c r="AD84" i="4" s="1"/>
  <c r="L84" i="13"/>
  <c r="Q84" i="4" s="1"/>
  <c r="AC84" i="4" s="1"/>
  <c r="K84" i="13"/>
  <c r="O84" i="4" s="1"/>
  <c r="K91" i="13"/>
  <c r="O91" i="4" s="1"/>
  <c r="P91" i="13"/>
  <c r="U91" i="4" s="1"/>
  <c r="O91" i="13"/>
  <c r="T91" i="4" s="1"/>
  <c r="N91" i="13"/>
  <c r="S91" i="4" s="1"/>
  <c r="M91" i="13"/>
  <c r="R91" i="4" s="1"/>
  <c r="AD91" i="4" s="1"/>
  <c r="L91" i="13"/>
  <c r="Q91" i="4" s="1"/>
  <c r="AC91" i="4" s="1"/>
  <c r="O103" i="13"/>
  <c r="T103" i="4" s="1"/>
  <c r="N103" i="13"/>
  <c r="S103" i="4" s="1"/>
  <c r="M103" i="13"/>
  <c r="R103" i="4" s="1"/>
  <c r="AD103" i="4" s="1"/>
  <c r="L103" i="13"/>
  <c r="Q103" i="4" s="1"/>
  <c r="AC103" i="4" s="1"/>
  <c r="K103" i="13"/>
  <c r="O103" i="4" s="1"/>
  <c r="P103" i="13"/>
  <c r="U103" i="4" s="1"/>
  <c r="P128" i="13"/>
  <c r="U128" i="4" s="1"/>
  <c r="O128" i="13"/>
  <c r="T128" i="4" s="1"/>
  <c r="N128" i="13"/>
  <c r="S128" i="4" s="1"/>
  <c r="M128" i="13"/>
  <c r="R128" i="4" s="1"/>
  <c r="AD128" i="4" s="1"/>
  <c r="L128" i="13"/>
  <c r="Q128" i="4" s="1"/>
  <c r="AC128" i="4" s="1"/>
  <c r="K128" i="13"/>
  <c r="O128" i="4" s="1"/>
  <c r="P156" i="13"/>
  <c r="U156" i="4" s="1"/>
  <c r="O156" i="13"/>
  <c r="T156" i="4" s="1"/>
  <c r="N156" i="13"/>
  <c r="S156" i="4" s="1"/>
  <c r="AI156" i="4" s="1"/>
  <c r="M156" i="13"/>
  <c r="R156" i="4" s="1"/>
  <c r="AD156" i="4" s="1"/>
  <c r="L156" i="13"/>
  <c r="Q156" i="4" s="1"/>
  <c r="AC156" i="4" s="1"/>
  <c r="K156" i="13"/>
  <c r="O156" i="4" s="1"/>
  <c r="O192" i="13"/>
  <c r="T192" i="4" s="1"/>
  <c r="N192" i="13"/>
  <c r="S192" i="4" s="1"/>
  <c r="L192" i="13"/>
  <c r="Q192" i="4" s="1"/>
  <c r="AC192" i="4" s="1"/>
  <c r="K192" i="13"/>
  <c r="O192" i="4" s="1"/>
  <c r="P192" i="13"/>
  <c r="U192" i="4" s="1"/>
  <c r="M192" i="13"/>
  <c r="R192" i="4" s="1"/>
  <c r="AD192" i="4" s="1"/>
  <c r="P255" i="13"/>
  <c r="U255" i="4" s="1"/>
  <c r="O255" i="13"/>
  <c r="T255" i="4" s="1"/>
  <c r="M255" i="13"/>
  <c r="R255" i="4" s="1"/>
  <c r="AD255" i="4" s="1"/>
  <c r="L255" i="13"/>
  <c r="Q255" i="4" s="1"/>
  <c r="AC255" i="4" s="1"/>
  <c r="N255" i="13"/>
  <c r="S255" i="4" s="1"/>
  <c r="K255" i="13"/>
  <c r="O255" i="4" s="1"/>
  <c r="P260" i="13"/>
  <c r="U260" i="4" s="1"/>
  <c r="O260" i="13"/>
  <c r="T260" i="4" s="1"/>
  <c r="N260" i="13"/>
  <c r="S260" i="4" s="1"/>
  <c r="M260" i="13"/>
  <c r="R260" i="4" s="1"/>
  <c r="AD260" i="4" s="1"/>
  <c r="K260" i="13"/>
  <c r="O260" i="4" s="1"/>
  <c r="L260" i="13"/>
  <c r="Q260" i="4" s="1"/>
  <c r="AC260" i="4" s="1"/>
  <c r="P2" i="13"/>
  <c r="U2" i="4" s="1"/>
  <c r="O2" i="13"/>
  <c r="T2" i="4" s="1"/>
  <c r="N2" i="13"/>
  <c r="S2" i="4" s="1"/>
  <c r="M2" i="13"/>
  <c r="R2" i="4" s="1"/>
  <c r="AD2" i="4" s="1"/>
  <c r="L2" i="13"/>
  <c r="Q2" i="4" s="1"/>
  <c r="AC2" i="4" s="1"/>
  <c r="K2" i="13"/>
  <c r="O2" i="4" s="1"/>
  <c r="B9" i="9"/>
  <c r="D9" i="9" s="1"/>
  <c r="P31" i="13"/>
  <c r="U31" i="4" s="1"/>
  <c r="O31" i="13"/>
  <c r="T31" i="4" s="1"/>
  <c r="N31" i="13"/>
  <c r="S31" i="4" s="1"/>
  <c r="M31" i="13"/>
  <c r="R31" i="4" s="1"/>
  <c r="AD31" i="4" s="1"/>
  <c r="L31" i="13"/>
  <c r="Q31" i="4" s="1"/>
  <c r="AC31" i="4" s="1"/>
  <c r="K31" i="13"/>
  <c r="O31" i="4" s="1"/>
  <c r="P67" i="13"/>
  <c r="U67" i="4" s="1"/>
  <c r="O67" i="13"/>
  <c r="T67" i="4" s="1"/>
  <c r="N67" i="13"/>
  <c r="S67" i="4" s="1"/>
  <c r="M67" i="13"/>
  <c r="R67" i="4" s="1"/>
  <c r="AD67" i="4" s="1"/>
  <c r="L67" i="13"/>
  <c r="Q67" i="4" s="1"/>
  <c r="AC67" i="4" s="1"/>
  <c r="K67" i="13"/>
  <c r="O67" i="4" s="1"/>
  <c r="P79" i="13"/>
  <c r="U79" i="4" s="1"/>
  <c r="O79" i="13"/>
  <c r="T79" i="4" s="1"/>
  <c r="N79" i="13"/>
  <c r="S79" i="4" s="1"/>
  <c r="M79" i="13"/>
  <c r="R79" i="4" s="1"/>
  <c r="AD79" i="4" s="1"/>
  <c r="L79" i="13"/>
  <c r="Q79" i="4" s="1"/>
  <c r="AC79" i="4" s="1"/>
  <c r="K79" i="13"/>
  <c r="O79" i="4" s="1"/>
  <c r="P98" i="13"/>
  <c r="U98" i="4" s="1"/>
  <c r="O98" i="13"/>
  <c r="T98" i="4" s="1"/>
  <c r="N98" i="13"/>
  <c r="S98" i="4" s="1"/>
  <c r="AI98" i="4" s="1"/>
  <c r="M98" i="13"/>
  <c r="R98" i="4" s="1"/>
  <c r="AD98" i="4" s="1"/>
  <c r="L98" i="13"/>
  <c r="Q98" i="4" s="1"/>
  <c r="AC98" i="4" s="1"/>
  <c r="K98" i="13"/>
  <c r="O98" i="4" s="1"/>
  <c r="P113" i="13"/>
  <c r="U113" i="4" s="1"/>
  <c r="O113" i="13"/>
  <c r="T113" i="4" s="1"/>
  <c r="N113" i="13"/>
  <c r="S113" i="4" s="1"/>
  <c r="M113" i="13"/>
  <c r="R113" i="4" s="1"/>
  <c r="AD113" i="4" s="1"/>
  <c r="L113" i="13"/>
  <c r="Q113" i="4" s="1"/>
  <c r="AC113" i="4" s="1"/>
  <c r="K113" i="13"/>
  <c r="O113" i="4" s="1"/>
  <c r="P164" i="13"/>
  <c r="U164" i="4" s="1"/>
  <c r="K164" i="13"/>
  <c r="O164" i="4" s="1"/>
  <c r="O164" i="13"/>
  <c r="T164" i="4" s="1"/>
  <c r="N164" i="13"/>
  <c r="S164" i="4" s="1"/>
  <c r="M164" i="13"/>
  <c r="R164" i="4" s="1"/>
  <c r="AD164" i="4" s="1"/>
  <c r="L164" i="13"/>
  <c r="Q164" i="4" s="1"/>
  <c r="AC164" i="4" s="1"/>
  <c r="O265" i="13"/>
  <c r="T265" i="4" s="1"/>
  <c r="N265" i="13"/>
  <c r="S265" i="4" s="1"/>
  <c r="M265" i="13"/>
  <c r="R265" i="4" s="1"/>
  <c r="AD265" i="4" s="1"/>
  <c r="K265" i="13"/>
  <c r="O265" i="4" s="1"/>
  <c r="P265" i="13"/>
  <c r="U265" i="4" s="1"/>
  <c r="L265" i="13"/>
  <c r="Q265" i="4" s="1"/>
  <c r="AC265" i="4" s="1"/>
  <c r="P292" i="13"/>
  <c r="U292" i="4" s="1"/>
  <c r="O292" i="13"/>
  <c r="T292" i="4" s="1"/>
  <c r="N292" i="13"/>
  <c r="S292" i="4" s="1"/>
  <c r="M292" i="13"/>
  <c r="R292" i="4" s="1"/>
  <c r="AD292" i="4" s="1"/>
  <c r="K292" i="13"/>
  <c r="O292" i="4" s="1"/>
  <c r="L292" i="13"/>
  <c r="Q292" i="4" s="1"/>
  <c r="AC292" i="4" s="1"/>
  <c r="P377" i="13"/>
  <c r="U377" i="4" s="1"/>
  <c r="O377" i="13"/>
  <c r="T377" i="4" s="1"/>
  <c r="N377" i="13"/>
  <c r="S377" i="4" s="1"/>
  <c r="M377" i="13"/>
  <c r="R377" i="4" s="1"/>
  <c r="AD377" i="4" s="1"/>
  <c r="L377" i="13"/>
  <c r="Q377" i="4" s="1"/>
  <c r="AC377" i="4" s="1"/>
  <c r="K377" i="13"/>
  <c r="O377" i="4" s="1"/>
  <c r="M9" i="13"/>
  <c r="R9" i="4" s="1"/>
  <c r="AD9" i="4" s="1"/>
  <c r="L9" i="13"/>
  <c r="Q9" i="4" s="1"/>
  <c r="AC9" i="4" s="1"/>
  <c r="K9" i="13"/>
  <c r="O9" i="4" s="1"/>
  <c r="P9" i="13"/>
  <c r="U9" i="4" s="1"/>
  <c r="O9" i="13"/>
  <c r="T9" i="4" s="1"/>
  <c r="N9" i="13"/>
  <c r="S9" i="4" s="1"/>
  <c r="P14" i="13"/>
  <c r="U14" i="4" s="1"/>
  <c r="O14" i="13"/>
  <c r="T14" i="4" s="1"/>
  <c r="N14" i="13"/>
  <c r="S14" i="4" s="1"/>
  <c r="M14" i="13"/>
  <c r="R14" i="4" s="1"/>
  <c r="AD14" i="4" s="1"/>
  <c r="L14" i="13"/>
  <c r="Q14" i="4" s="1"/>
  <c r="AC14" i="4" s="1"/>
  <c r="K14" i="13"/>
  <c r="O14" i="4" s="1"/>
  <c r="L26" i="13"/>
  <c r="Q26" i="4" s="1"/>
  <c r="AC26" i="4" s="1"/>
  <c r="K26" i="13"/>
  <c r="O26" i="4" s="1"/>
  <c r="P26" i="13"/>
  <c r="U26" i="4" s="1"/>
  <c r="O26" i="13"/>
  <c r="T26" i="4" s="1"/>
  <c r="N26" i="13"/>
  <c r="S26" i="4" s="1"/>
  <c r="M26" i="13"/>
  <c r="R26" i="4" s="1"/>
  <c r="AD26" i="4" s="1"/>
  <c r="K43" i="13"/>
  <c r="O43" i="4" s="1"/>
  <c r="P43" i="13"/>
  <c r="U43" i="4" s="1"/>
  <c r="O43" i="13"/>
  <c r="T43" i="4" s="1"/>
  <c r="N43" i="13"/>
  <c r="S43" i="4" s="1"/>
  <c r="AI43" i="4" s="1"/>
  <c r="M43" i="13"/>
  <c r="R43" i="4" s="1"/>
  <c r="AD43" i="4" s="1"/>
  <c r="L43" i="13"/>
  <c r="Q43" i="4" s="1"/>
  <c r="AC43" i="4" s="1"/>
  <c r="O55" i="13"/>
  <c r="T55" i="4" s="1"/>
  <c r="N55" i="13"/>
  <c r="S55" i="4" s="1"/>
  <c r="AI55" i="4" s="1"/>
  <c r="M55" i="13"/>
  <c r="R55" i="4" s="1"/>
  <c r="AD55" i="4" s="1"/>
  <c r="L55" i="13"/>
  <c r="Q55" i="4" s="1"/>
  <c r="AC55" i="4" s="1"/>
  <c r="K55" i="13"/>
  <c r="O55" i="4" s="1"/>
  <c r="P55" i="13"/>
  <c r="U55" i="4" s="1"/>
  <c r="P93" i="13"/>
  <c r="U93" i="4" s="1"/>
  <c r="O93" i="13"/>
  <c r="T93" i="4" s="1"/>
  <c r="N93" i="13"/>
  <c r="S93" i="4" s="1"/>
  <c r="M93" i="13"/>
  <c r="R93" i="4" s="1"/>
  <c r="AD93" i="4" s="1"/>
  <c r="L93" i="13"/>
  <c r="Q93" i="4" s="1"/>
  <c r="AC93" i="4" s="1"/>
  <c r="K93" i="13"/>
  <c r="O93" i="4" s="1"/>
  <c r="M105" i="13"/>
  <c r="R105" i="4" s="1"/>
  <c r="AD105" i="4" s="1"/>
  <c r="L105" i="13"/>
  <c r="Q105" i="4" s="1"/>
  <c r="AC105" i="4" s="1"/>
  <c r="K105" i="13"/>
  <c r="O105" i="4" s="1"/>
  <c r="P105" i="13"/>
  <c r="U105" i="4" s="1"/>
  <c r="O105" i="13"/>
  <c r="T105" i="4" s="1"/>
  <c r="N105" i="13"/>
  <c r="S105" i="4" s="1"/>
  <c r="AI105" i="4" s="1"/>
  <c r="O119" i="13"/>
  <c r="T119" i="4" s="1"/>
  <c r="M119" i="13"/>
  <c r="R119" i="4" s="1"/>
  <c r="AD119" i="4" s="1"/>
  <c r="P119" i="13"/>
  <c r="U119" i="4" s="1"/>
  <c r="N119" i="13"/>
  <c r="S119" i="4" s="1"/>
  <c r="AI119" i="4" s="1"/>
  <c r="L119" i="13"/>
  <c r="Q119" i="4" s="1"/>
  <c r="AC119" i="4" s="1"/>
  <c r="K119" i="13"/>
  <c r="O119" i="4" s="1"/>
  <c r="P150" i="13"/>
  <c r="U150" i="4" s="1"/>
  <c r="N150" i="13"/>
  <c r="S150" i="4" s="1"/>
  <c r="O150" i="13"/>
  <c r="T150" i="4" s="1"/>
  <c r="M150" i="13"/>
  <c r="R150" i="4" s="1"/>
  <c r="AD150" i="4" s="1"/>
  <c r="L150" i="13"/>
  <c r="Q150" i="4" s="1"/>
  <c r="AC150" i="4" s="1"/>
  <c r="K150" i="13"/>
  <c r="O150" i="4" s="1"/>
  <c r="O167" i="13"/>
  <c r="T167" i="4" s="1"/>
  <c r="M167" i="13"/>
  <c r="R167" i="4" s="1"/>
  <c r="AD167" i="4" s="1"/>
  <c r="L167" i="13"/>
  <c r="Q167" i="4" s="1"/>
  <c r="AC167" i="4" s="1"/>
  <c r="K167" i="13"/>
  <c r="O167" i="4" s="1"/>
  <c r="P167" i="13"/>
  <c r="U167" i="4" s="1"/>
  <c r="N167" i="13"/>
  <c r="S167" i="4" s="1"/>
  <c r="P194" i="13"/>
  <c r="U194" i="4" s="1"/>
  <c r="M194" i="13"/>
  <c r="R194" i="4" s="1"/>
  <c r="AD194" i="4" s="1"/>
  <c r="L194" i="13"/>
  <c r="Q194" i="4" s="1"/>
  <c r="AC194" i="4" s="1"/>
  <c r="O194" i="13"/>
  <c r="T194" i="4" s="1"/>
  <c r="N194" i="13"/>
  <c r="S194" i="4" s="1"/>
  <c r="K194" i="13"/>
  <c r="O194" i="4" s="1"/>
  <c r="P287" i="13"/>
  <c r="U287" i="4" s="1"/>
  <c r="O287" i="13"/>
  <c r="T287" i="4" s="1"/>
  <c r="M287" i="13"/>
  <c r="R287" i="4" s="1"/>
  <c r="AD287" i="4" s="1"/>
  <c r="L287" i="13"/>
  <c r="Q287" i="4" s="1"/>
  <c r="AC287" i="4" s="1"/>
  <c r="N287" i="13"/>
  <c r="S287" i="4" s="1"/>
  <c r="K287" i="13"/>
  <c r="O287" i="4" s="1"/>
  <c r="O297" i="13"/>
  <c r="T297" i="4" s="1"/>
  <c r="N297" i="13"/>
  <c r="S297" i="4" s="1"/>
  <c r="AI297" i="4" s="1"/>
  <c r="M297" i="13"/>
  <c r="R297" i="4" s="1"/>
  <c r="AD297" i="4" s="1"/>
  <c r="K297" i="13"/>
  <c r="O297" i="4" s="1"/>
  <c r="P297" i="13"/>
  <c r="U297" i="4" s="1"/>
  <c r="L297" i="13"/>
  <c r="Q297" i="4" s="1"/>
  <c r="AC297" i="4" s="1"/>
  <c r="P425" i="13"/>
  <c r="U425" i="4" s="1"/>
  <c r="O425" i="13"/>
  <c r="T425" i="4" s="1"/>
  <c r="N425" i="13"/>
  <c r="S425" i="4" s="1"/>
  <c r="M425" i="13"/>
  <c r="R425" i="4" s="1"/>
  <c r="AD425" i="4" s="1"/>
  <c r="L425" i="13"/>
  <c r="Q425" i="4" s="1"/>
  <c r="AC425" i="4" s="1"/>
  <c r="K425" i="13"/>
  <c r="O425" i="4" s="1"/>
  <c r="B980" i="4"/>
  <c r="R980" i="4"/>
  <c r="AD980" i="4" s="1"/>
  <c r="F984" i="4"/>
  <c r="H994" i="4"/>
  <c r="B996" i="4"/>
  <c r="R996" i="4"/>
  <c r="AD996" i="4" s="1"/>
  <c r="F1000" i="4"/>
  <c r="P38" i="13"/>
  <c r="U38" i="4" s="1"/>
  <c r="O38" i="13"/>
  <c r="T38" i="4" s="1"/>
  <c r="N38" i="13"/>
  <c r="S38" i="4" s="1"/>
  <c r="AI38" i="4" s="1"/>
  <c r="M38" i="13"/>
  <c r="R38" i="4" s="1"/>
  <c r="AD38" i="4" s="1"/>
  <c r="L38" i="13"/>
  <c r="Q38" i="4" s="1"/>
  <c r="AC38" i="4" s="1"/>
  <c r="K38" i="13"/>
  <c r="O38" i="4" s="1"/>
  <c r="P50" i="13"/>
  <c r="U50" i="4" s="1"/>
  <c r="O50" i="13"/>
  <c r="T50" i="4" s="1"/>
  <c r="N50" i="13"/>
  <c r="S50" i="4" s="1"/>
  <c r="M50" i="13"/>
  <c r="R50" i="4" s="1"/>
  <c r="AD50" i="4" s="1"/>
  <c r="L50" i="13"/>
  <c r="Q50" i="4" s="1"/>
  <c r="AC50" i="4" s="1"/>
  <c r="K50" i="13"/>
  <c r="O50" i="4" s="1"/>
  <c r="P62" i="13"/>
  <c r="U62" i="4" s="1"/>
  <c r="O62" i="13"/>
  <c r="T62" i="4" s="1"/>
  <c r="N62" i="13"/>
  <c r="S62" i="4" s="1"/>
  <c r="M62" i="13"/>
  <c r="R62" i="4" s="1"/>
  <c r="AD62" i="4" s="1"/>
  <c r="L62" i="13"/>
  <c r="Q62" i="4" s="1"/>
  <c r="AC62" i="4" s="1"/>
  <c r="K62" i="13"/>
  <c r="O62" i="4" s="1"/>
  <c r="L74" i="13"/>
  <c r="Q74" i="4" s="1"/>
  <c r="AC74" i="4" s="1"/>
  <c r="K74" i="13"/>
  <c r="O74" i="4" s="1"/>
  <c r="P74" i="13"/>
  <c r="U74" i="4" s="1"/>
  <c r="O74" i="13"/>
  <c r="T74" i="4" s="1"/>
  <c r="N74" i="13"/>
  <c r="S74" i="4" s="1"/>
  <c r="AI74" i="4" s="1"/>
  <c r="M74" i="13"/>
  <c r="R74" i="4" s="1"/>
  <c r="AD74" i="4" s="1"/>
  <c r="P86" i="13"/>
  <c r="U86" i="4" s="1"/>
  <c r="O86" i="13"/>
  <c r="T86" i="4" s="1"/>
  <c r="N86" i="13"/>
  <c r="S86" i="4" s="1"/>
  <c r="AI86" i="4" s="1"/>
  <c r="M86" i="13"/>
  <c r="R86" i="4" s="1"/>
  <c r="AD86" i="4" s="1"/>
  <c r="L86" i="13"/>
  <c r="Q86" i="4" s="1"/>
  <c r="AC86" i="4" s="1"/>
  <c r="K86" i="13"/>
  <c r="O86" i="4" s="1"/>
  <c r="M130" i="13"/>
  <c r="R130" i="4" s="1"/>
  <c r="AD130" i="4" s="1"/>
  <c r="P130" i="13"/>
  <c r="U130" i="4" s="1"/>
  <c r="O130" i="13"/>
  <c r="T130" i="4" s="1"/>
  <c r="N130" i="13"/>
  <c r="S130" i="4" s="1"/>
  <c r="L130" i="13"/>
  <c r="Q130" i="4" s="1"/>
  <c r="AC130" i="4" s="1"/>
  <c r="K130" i="13"/>
  <c r="O130" i="4" s="1"/>
  <c r="P232" i="13"/>
  <c r="U232" i="4" s="1"/>
  <c r="O232" i="13"/>
  <c r="T232" i="4" s="1"/>
  <c r="N232" i="13"/>
  <c r="S232" i="4" s="1"/>
  <c r="AI232" i="4" s="1"/>
  <c r="L232" i="13"/>
  <c r="Q232" i="4" s="1"/>
  <c r="AC232" i="4" s="1"/>
  <c r="K232" i="13"/>
  <c r="O232" i="4" s="1"/>
  <c r="M232" i="13"/>
  <c r="R232" i="4" s="1"/>
  <c r="AD232" i="4" s="1"/>
  <c r="P4" i="13"/>
  <c r="U4" i="4" s="1"/>
  <c r="O4" i="13"/>
  <c r="T4" i="4" s="1"/>
  <c r="N4" i="13"/>
  <c r="S4" i="4" s="1"/>
  <c r="M4" i="13"/>
  <c r="R4" i="4" s="1"/>
  <c r="AD4" i="4" s="1"/>
  <c r="L4" i="13"/>
  <c r="Q4" i="4" s="1"/>
  <c r="AC4" i="4" s="1"/>
  <c r="K4" i="13"/>
  <c r="O4" i="4" s="1"/>
  <c r="P16" i="13"/>
  <c r="U16" i="4" s="1"/>
  <c r="O16" i="13"/>
  <c r="T16" i="4" s="1"/>
  <c r="N16" i="13"/>
  <c r="S16" i="4" s="1"/>
  <c r="M16" i="13"/>
  <c r="R16" i="4" s="1"/>
  <c r="AD16" i="4" s="1"/>
  <c r="L16" i="13"/>
  <c r="Q16" i="4" s="1"/>
  <c r="AC16" i="4" s="1"/>
  <c r="K16" i="13"/>
  <c r="O16" i="4" s="1"/>
  <c r="P21" i="13"/>
  <c r="U21" i="4" s="1"/>
  <c r="O21" i="13"/>
  <c r="T21" i="4" s="1"/>
  <c r="N21" i="13"/>
  <c r="S21" i="4" s="1"/>
  <c r="M21" i="13"/>
  <c r="R21" i="4" s="1"/>
  <c r="AD21" i="4" s="1"/>
  <c r="L21" i="13"/>
  <c r="Q21" i="4" s="1"/>
  <c r="AC21" i="4" s="1"/>
  <c r="K21" i="13"/>
  <c r="O21" i="4" s="1"/>
  <c r="P33" i="13"/>
  <c r="U33" i="4" s="1"/>
  <c r="O33" i="13"/>
  <c r="T33" i="4" s="1"/>
  <c r="N33" i="13"/>
  <c r="S33" i="4" s="1"/>
  <c r="M33" i="13"/>
  <c r="R33" i="4" s="1"/>
  <c r="AD33" i="4" s="1"/>
  <c r="L33" i="13"/>
  <c r="Q33" i="4" s="1"/>
  <c r="AC33" i="4" s="1"/>
  <c r="K33" i="13"/>
  <c r="O33" i="4" s="1"/>
  <c r="P45" i="13"/>
  <c r="U45" i="4" s="1"/>
  <c r="O45" i="13"/>
  <c r="T45" i="4" s="1"/>
  <c r="N45" i="13"/>
  <c r="S45" i="4" s="1"/>
  <c r="M45" i="13"/>
  <c r="R45" i="4" s="1"/>
  <c r="AD45" i="4" s="1"/>
  <c r="L45" i="13"/>
  <c r="Q45" i="4" s="1"/>
  <c r="AC45" i="4" s="1"/>
  <c r="K45" i="13"/>
  <c r="O45" i="4" s="1"/>
  <c r="M57" i="13"/>
  <c r="R57" i="4" s="1"/>
  <c r="AD57" i="4" s="1"/>
  <c r="L57" i="13"/>
  <c r="Q57" i="4" s="1"/>
  <c r="AC57" i="4" s="1"/>
  <c r="K57" i="13"/>
  <c r="O57" i="4" s="1"/>
  <c r="P57" i="13"/>
  <c r="U57" i="4" s="1"/>
  <c r="O57" i="13"/>
  <c r="T57" i="4" s="1"/>
  <c r="N57" i="13"/>
  <c r="S57" i="4" s="1"/>
  <c r="AI57" i="4" s="1"/>
  <c r="P81" i="13"/>
  <c r="U81" i="4" s="1"/>
  <c r="O81" i="13"/>
  <c r="T81" i="4" s="1"/>
  <c r="N81" i="13"/>
  <c r="S81" i="4" s="1"/>
  <c r="M81" i="13"/>
  <c r="R81" i="4" s="1"/>
  <c r="AD81" i="4" s="1"/>
  <c r="L81" i="13"/>
  <c r="Q81" i="4" s="1"/>
  <c r="AC81" i="4" s="1"/>
  <c r="K81" i="13"/>
  <c r="O81" i="4" s="1"/>
  <c r="P100" i="13"/>
  <c r="U100" i="4" s="1"/>
  <c r="O100" i="13"/>
  <c r="T100" i="4" s="1"/>
  <c r="N100" i="13"/>
  <c r="S100" i="4" s="1"/>
  <c r="AI100" i="4" s="1"/>
  <c r="M100" i="13"/>
  <c r="R100" i="4" s="1"/>
  <c r="AD100" i="4" s="1"/>
  <c r="L100" i="13"/>
  <c r="Q100" i="4" s="1"/>
  <c r="AC100" i="4" s="1"/>
  <c r="K100" i="13"/>
  <c r="O100" i="4" s="1"/>
  <c r="L138" i="13"/>
  <c r="Q138" i="4" s="1"/>
  <c r="AC138" i="4" s="1"/>
  <c r="P138" i="13"/>
  <c r="U138" i="4" s="1"/>
  <c r="O138" i="13"/>
  <c r="T138" i="4" s="1"/>
  <c r="N138" i="13"/>
  <c r="S138" i="4" s="1"/>
  <c r="AI138" i="4" s="1"/>
  <c r="M138" i="13"/>
  <c r="R138" i="4" s="1"/>
  <c r="AD138" i="4" s="1"/>
  <c r="K138" i="13"/>
  <c r="O138" i="4" s="1"/>
  <c r="M169" i="13"/>
  <c r="R169" i="4" s="1"/>
  <c r="AD169" i="4" s="1"/>
  <c r="K169" i="13"/>
  <c r="O169" i="4" s="1"/>
  <c r="P169" i="13"/>
  <c r="U169" i="4" s="1"/>
  <c r="O169" i="13"/>
  <c r="T169" i="4" s="1"/>
  <c r="N169" i="13"/>
  <c r="S169" i="4" s="1"/>
  <c r="L169" i="13"/>
  <c r="Q169" i="4" s="1"/>
  <c r="AC169" i="4" s="1"/>
  <c r="M178" i="13"/>
  <c r="R178" i="4" s="1"/>
  <c r="AD178" i="4" s="1"/>
  <c r="L178" i="13"/>
  <c r="Q178" i="4" s="1"/>
  <c r="AC178" i="4" s="1"/>
  <c r="N178" i="13"/>
  <c r="S178" i="4" s="1"/>
  <c r="K178" i="13"/>
  <c r="O178" i="4" s="1"/>
  <c r="P178" i="13"/>
  <c r="U178" i="4" s="1"/>
  <c r="O178" i="13"/>
  <c r="T178" i="4" s="1"/>
  <c r="O183" i="13"/>
  <c r="T183" i="4" s="1"/>
  <c r="M183" i="13"/>
  <c r="R183" i="4" s="1"/>
  <c r="AD183" i="4" s="1"/>
  <c r="P183" i="13"/>
  <c r="U183" i="4" s="1"/>
  <c r="N183" i="13"/>
  <c r="S183" i="4" s="1"/>
  <c r="L183" i="13"/>
  <c r="Q183" i="4" s="1"/>
  <c r="AC183" i="4" s="1"/>
  <c r="K183" i="13"/>
  <c r="O183" i="4" s="1"/>
  <c r="D7" i="9"/>
  <c r="N136" i="13"/>
  <c r="S136" i="4" s="1"/>
  <c r="L136" i="13"/>
  <c r="Q136" i="4" s="1"/>
  <c r="AC136" i="4" s="1"/>
  <c r="L145" i="13"/>
  <c r="Q145" i="4" s="1"/>
  <c r="AC145" i="4" s="1"/>
  <c r="K166" i="13"/>
  <c r="O166" i="4" s="1"/>
  <c r="L177" i="13"/>
  <c r="Q177" i="4" s="1"/>
  <c r="AC177" i="4" s="1"/>
  <c r="P196" i="13"/>
  <c r="U196" i="4" s="1"/>
  <c r="N196" i="13"/>
  <c r="S196" i="4" s="1"/>
  <c r="K196" i="13"/>
  <c r="O196" i="4" s="1"/>
  <c r="P206" i="13"/>
  <c r="U206" i="4" s="1"/>
  <c r="N206" i="13"/>
  <c r="S206" i="4" s="1"/>
  <c r="M206" i="13"/>
  <c r="R206" i="4" s="1"/>
  <c r="AD206" i="4" s="1"/>
  <c r="K277" i="13"/>
  <c r="O277" i="4" s="1"/>
  <c r="M288" i="13"/>
  <c r="R288" i="4" s="1"/>
  <c r="AD288" i="4" s="1"/>
  <c r="K298" i="13"/>
  <c r="O298" i="4" s="1"/>
  <c r="P310" i="13"/>
  <c r="U310" i="4" s="1"/>
  <c r="N310" i="13"/>
  <c r="S310" i="4" s="1"/>
  <c r="M310" i="13"/>
  <c r="R310" i="4" s="1"/>
  <c r="AD310" i="4" s="1"/>
  <c r="L310" i="13"/>
  <c r="Q310" i="4" s="1"/>
  <c r="AC310" i="4" s="1"/>
  <c r="K310" i="13"/>
  <c r="O310" i="4" s="1"/>
  <c r="P326" i="13"/>
  <c r="U326" i="4" s="1"/>
  <c r="N326" i="13"/>
  <c r="S326" i="4" s="1"/>
  <c r="M326" i="13"/>
  <c r="R326" i="4" s="1"/>
  <c r="AD326" i="4" s="1"/>
  <c r="L326" i="13"/>
  <c r="Q326" i="4" s="1"/>
  <c r="AC326" i="4" s="1"/>
  <c r="K326" i="13"/>
  <c r="O326" i="4" s="1"/>
  <c r="P342" i="13"/>
  <c r="U342" i="4" s="1"/>
  <c r="N342" i="13"/>
  <c r="S342" i="4" s="1"/>
  <c r="M342" i="13"/>
  <c r="R342" i="4" s="1"/>
  <c r="AD342" i="4" s="1"/>
  <c r="L342" i="13"/>
  <c r="Q342" i="4" s="1"/>
  <c r="AC342" i="4" s="1"/>
  <c r="K342" i="13"/>
  <c r="O342" i="4" s="1"/>
  <c r="M348" i="13"/>
  <c r="R348" i="4" s="1"/>
  <c r="AD348" i="4" s="1"/>
  <c r="L348" i="13"/>
  <c r="Q348" i="4" s="1"/>
  <c r="AC348" i="4" s="1"/>
  <c r="K348" i="13"/>
  <c r="O348" i="4" s="1"/>
  <c r="P348" i="13"/>
  <c r="U348" i="4" s="1"/>
  <c r="O348" i="13"/>
  <c r="T348" i="4" s="1"/>
  <c r="P359" i="13"/>
  <c r="U359" i="4" s="1"/>
  <c r="O359" i="13"/>
  <c r="T359" i="4" s="1"/>
  <c r="N359" i="13"/>
  <c r="S359" i="4" s="1"/>
  <c r="M359" i="13"/>
  <c r="R359" i="4" s="1"/>
  <c r="AD359" i="4" s="1"/>
  <c r="L359" i="13"/>
  <c r="Q359" i="4" s="1"/>
  <c r="AC359" i="4" s="1"/>
  <c r="K359" i="13"/>
  <c r="O359" i="4" s="1"/>
  <c r="P375" i="13"/>
  <c r="U375" i="4" s="1"/>
  <c r="O375" i="13"/>
  <c r="T375" i="4" s="1"/>
  <c r="N375" i="13"/>
  <c r="S375" i="4" s="1"/>
  <c r="AI375" i="4" s="1"/>
  <c r="M375" i="13"/>
  <c r="R375" i="4" s="1"/>
  <c r="AD375" i="4" s="1"/>
  <c r="L375" i="13"/>
  <c r="Q375" i="4" s="1"/>
  <c r="AC375" i="4" s="1"/>
  <c r="K375" i="13"/>
  <c r="O375" i="4" s="1"/>
  <c r="P391" i="13"/>
  <c r="U391" i="4" s="1"/>
  <c r="O391" i="13"/>
  <c r="T391" i="4" s="1"/>
  <c r="N391" i="13"/>
  <c r="S391" i="4" s="1"/>
  <c r="M391" i="13"/>
  <c r="R391" i="4" s="1"/>
  <c r="AD391" i="4" s="1"/>
  <c r="L391" i="13"/>
  <c r="Q391" i="4" s="1"/>
  <c r="AC391" i="4" s="1"/>
  <c r="K391" i="13"/>
  <c r="O391" i="4" s="1"/>
  <c r="P407" i="13"/>
  <c r="U407" i="4" s="1"/>
  <c r="O407" i="13"/>
  <c r="T407" i="4" s="1"/>
  <c r="N407" i="13"/>
  <c r="S407" i="4" s="1"/>
  <c r="AI407" i="4" s="1"/>
  <c r="M407" i="13"/>
  <c r="R407" i="4" s="1"/>
  <c r="AD407" i="4" s="1"/>
  <c r="L407" i="13"/>
  <c r="Q407" i="4" s="1"/>
  <c r="AC407" i="4" s="1"/>
  <c r="K407" i="13"/>
  <c r="O407" i="4" s="1"/>
  <c r="P423" i="13"/>
  <c r="U423" i="4" s="1"/>
  <c r="O423" i="13"/>
  <c r="T423" i="4" s="1"/>
  <c r="N423" i="13"/>
  <c r="S423" i="4" s="1"/>
  <c r="M423" i="13"/>
  <c r="R423" i="4" s="1"/>
  <c r="AD423" i="4" s="1"/>
  <c r="L423" i="13"/>
  <c r="Q423" i="4" s="1"/>
  <c r="AC423" i="4" s="1"/>
  <c r="K423" i="13"/>
  <c r="O423" i="4" s="1"/>
  <c r="N439" i="13"/>
  <c r="S439" i="4" s="1"/>
  <c r="AI439" i="4" s="1"/>
  <c r="M439" i="13"/>
  <c r="R439" i="4" s="1"/>
  <c r="AD439" i="4" s="1"/>
  <c r="L439" i="13"/>
  <c r="Q439" i="4" s="1"/>
  <c r="AC439" i="4" s="1"/>
  <c r="K439" i="13"/>
  <c r="O439" i="4" s="1"/>
  <c r="P439" i="13"/>
  <c r="U439" i="4" s="1"/>
  <c r="O439" i="13"/>
  <c r="T439" i="4" s="1"/>
  <c r="N107" i="13"/>
  <c r="S107" i="4" s="1"/>
  <c r="M109" i="13"/>
  <c r="R109" i="4" s="1"/>
  <c r="AD109" i="4" s="1"/>
  <c r="K120" i="13"/>
  <c r="O120" i="4" s="1"/>
  <c r="N121" i="13"/>
  <c r="S121" i="4" s="1"/>
  <c r="N122" i="13"/>
  <c r="S122" i="4" s="1"/>
  <c r="N123" i="13"/>
  <c r="S123" i="4" s="1"/>
  <c r="AI123" i="4" s="1"/>
  <c r="M125" i="13"/>
  <c r="R125" i="4" s="1"/>
  <c r="AD125" i="4" s="1"/>
  <c r="K133" i="13"/>
  <c r="O133" i="4" s="1"/>
  <c r="L134" i="13"/>
  <c r="Q134" i="4" s="1"/>
  <c r="AC134" i="4" s="1"/>
  <c r="O145" i="13"/>
  <c r="T145" i="4" s="1"/>
  <c r="L157" i="13"/>
  <c r="Q157" i="4" s="1"/>
  <c r="AC157" i="4" s="1"/>
  <c r="M158" i="13"/>
  <c r="R158" i="4" s="1"/>
  <c r="AD158" i="4" s="1"/>
  <c r="K165" i="13"/>
  <c r="O165" i="4" s="1"/>
  <c r="L166" i="13"/>
  <c r="Q166" i="4" s="1"/>
  <c r="AC166" i="4" s="1"/>
  <c r="O177" i="13"/>
  <c r="T177" i="4" s="1"/>
  <c r="L189" i="13"/>
  <c r="Q189" i="4" s="1"/>
  <c r="AC189" i="4" s="1"/>
  <c r="M190" i="13"/>
  <c r="R190" i="4" s="1"/>
  <c r="AD190" i="4" s="1"/>
  <c r="M195" i="13"/>
  <c r="R195" i="4" s="1"/>
  <c r="AD195" i="4" s="1"/>
  <c r="O197" i="13"/>
  <c r="T197" i="4" s="1"/>
  <c r="AE197" i="4" s="1"/>
  <c r="M197" i="13"/>
  <c r="R197" i="4" s="1"/>
  <c r="AD197" i="4" s="1"/>
  <c r="P200" i="13"/>
  <c r="U200" i="4" s="1"/>
  <c r="O200" i="13"/>
  <c r="T200" i="4" s="1"/>
  <c r="N200" i="13"/>
  <c r="S200" i="4" s="1"/>
  <c r="L200" i="13"/>
  <c r="Q200" i="4" s="1"/>
  <c r="AC200" i="4" s="1"/>
  <c r="M204" i="13"/>
  <c r="R204" i="4" s="1"/>
  <c r="AD204" i="4" s="1"/>
  <c r="K226" i="13"/>
  <c r="O226" i="4" s="1"/>
  <c r="P243" i="13"/>
  <c r="U243" i="4" s="1"/>
  <c r="O243" i="13"/>
  <c r="T243" i="4" s="1"/>
  <c r="N243" i="13"/>
  <c r="S243" i="4" s="1"/>
  <c r="L243" i="13"/>
  <c r="Q243" i="4" s="1"/>
  <c r="AC243" i="4" s="1"/>
  <c r="K243" i="13"/>
  <c r="O243" i="4" s="1"/>
  <c r="L252" i="13"/>
  <c r="Q252" i="4" s="1"/>
  <c r="AC252" i="4" s="1"/>
  <c r="K252" i="13"/>
  <c r="O252" i="4" s="1"/>
  <c r="P252" i="13"/>
  <c r="U252" i="4" s="1"/>
  <c r="O252" i="13"/>
  <c r="T252" i="4" s="1"/>
  <c r="O266" i="13"/>
  <c r="T266" i="4" s="1"/>
  <c r="P275" i="13"/>
  <c r="U275" i="4" s="1"/>
  <c r="O275" i="13"/>
  <c r="T275" i="4" s="1"/>
  <c r="N275" i="13"/>
  <c r="S275" i="4" s="1"/>
  <c r="L275" i="13"/>
  <c r="Q275" i="4" s="1"/>
  <c r="AC275" i="4" s="1"/>
  <c r="K275" i="13"/>
  <c r="O275" i="4" s="1"/>
  <c r="L284" i="13"/>
  <c r="Q284" i="4" s="1"/>
  <c r="AC284" i="4" s="1"/>
  <c r="K284" i="13"/>
  <c r="O284" i="4" s="1"/>
  <c r="P284" i="13"/>
  <c r="U284" i="4" s="1"/>
  <c r="O284" i="13"/>
  <c r="T284" i="4" s="1"/>
  <c r="O298" i="13"/>
  <c r="T298" i="4" s="1"/>
  <c r="AE298" i="4" s="1"/>
  <c r="M364" i="13"/>
  <c r="R364" i="4" s="1"/>
  <c r="AD364" i="4" s="1"/>
  <c r="L364" i="13"/>
  <c r="Q364" i="4" s="1"/>
  <c r="AC364" i="4" s="1"/>
  <c r="K364" i="13"/>
  <c r="O364" i="4" s="1"/>
  <c r="P364" i="13"/>
  <c r="U364" i="4" s="1"/>
  <c r="O364" i="13"/>
  <c r="T364" i="4" s="1"/>
  <c r="M380" i="13"/>
  <c r="R380" i="4" s="1"/>
  <c r="AD380" i="4" s="1"/>
  <c r="L380" i="13"/>
  <c r="Q380" i="4" s="1"/>
  <c r="AC380" i="4" s="1"/>
  <c r="K380" i="13"/>
  <c r="O380" i="4" s="1"/>
  <c r="P380" i="13"/>
  <c r="U380" i="4" s="1"/>
  <c r="O380" i="13"/>
  <c r="T380" i="4" s="1"/>
  <c r="M396" i="13"/>
  <c r="R396" i="4" s="1"/>
  <c r="AD396" i="4" s="1"/>
  <c r="L396" i="13"/>
  <c r="Q396" i="4" s="1"/>
  <c r="AC396" i="4" s="1"/>
  <c r="K396" i="13"/>
  <c r="O396" i="4" s="1"/>
  <c r="P396" i="13"/>
  <c r="U396" i="4" s="1"/>
  <c r="O396" i="13"/>
  <c r="T396" i="4" s="1"/>
  <c r="M412" i="13"/>
  <c r="R412" i="4" s="1"/>
  <c r="AD412" i="4" s="1"/>
  <c r="L412" i="13"/>
  <c r="Q412" i="4" s="1"/>
  <c r="AC412" i="4" s="1"/>
  <c r="K412" i="13"/>
  <c r="O412" i="4" s="1"/>
  <c r="P412" i="13"/>
  <c r="U412" i="4" s="1"/>
  <c r="O412" i="13"/>
  <c r="T412" i="4" s="1"/>
  <c r="M428" i="13"/>
  <c r="R428" i="4" s="1"/>
  <c r="AD428" i="4" s="1"/>
  <c r="L428" i="13"/>
  <c r="Q428" i="4" s="1"/>
  <c r="AC428" i="4" s="1"/>
  <c r="K428" i="13"/>
  <c r="O428" i="4" s="1"/>
  <c r="P428" i="13"/>
  <c r="U428" i="4" s="1"/>
  <c r="O428" i="13"/>
  <c r="T428" i="4" s="1"/>
  <c r="O107" i="13"/>
  <c r="T107" i="4" s="1"/>
  <c r="N109" i="13"/>
  <c r="S109" i="4" s="1"/>
  <c r="O121" i="13"/>
  <c r="T121" i="4" s="1"/>
  <c r="AE121" i="4" s="1"/>
  <c r="O122" i="13"/>
  <c r="T122" i="4" s="1"/>
  <c r="O123" i="13"/>
  <c r="T123" i="4" s="1"/>
  <c r="N125" i="13"/>
  <c r="S125" i="4" s="1"/>
  <c r="AI125" i="4" s="1"/>
  <c r="L133" i="13"/>
  <c r="Q133" i="4" s="1"/>
  <c r="AC133" i="4" s="1"/>
  <c r="M134" i="13"/>
  <c r="R134" i="4" s="1"/>
  <c r="AD134" i="4" s="1"/>
  <c r="K154" i="13"/>
  <c r="O154" i="4" s="1"/>
  <c r="L155" i="13"/>
  <c r="Q155" i="4" s="1"/>
  <c r="AC155" i="4" s="1"/>
  <c r="M157" i="13"/>
  <c r="R157" i="4" s="1"/>
  <c r="AD157" i="4" s="1"/>
  <c r="L165" i="13"/>
  <c r="Q165" i="4" s="1"/>
  <c r="AC165" i="4" s="1"/>
  <c r="K186" i="13"/>
  <c r="O186" i="4" s="1"/>
  <c r="L187" i="13"/>
  <c r="Q187" i="4" s="1"/>
  <c r="AC187" i="4" s="1"/>
  <c r="M189" i="13"/>
  <c r="R189" i="4" s="1"/>
  <c r="AD189" i="4" s="1"/>
  <c r="K213" i="13"/>
  <c r="O213" i="4" s="1"/>
  <c r="P246" i="13"/>
  <c r="U246" i="4" s="1"/>
  <c r="N246" i="13"/>
  <c r="S246" i="4" s="1"/>
  <c r="M246" i="13"/>
  <c r="R246" i="4" s="1"/>
  <c r="AD246" i="4" s="1"/>
  <c r="L246" i="13"/>
  <c r="Q246" i="4" s="1"/>
  <c r="AC246" i="4" s="1"/>
  <c r="K246" i="13"/>
  <c r="O246" i="4" s="1"/>
  <c r="K253" i="13"/>
  <c r="O253" i="4" s="1"/>
  <c r="O253" i="13"/>
  <c r="T253" i="4" s="1"/>
  <c r="N253" i="13"/>
  <c r="S253" i="4" s="1"/>
  <c r="P257" i="13"/>
  <c r="U257" i="4" s="1"/>
  <c r="N257" i="13"/>
  <c r="S257" i="4" s="1"/>
  <c r="M257" i="13"/>
  <c r="R257" i="4" s="1"/>
  <c r="AD257" i="4" s="1"/>
  <c r="K257" i="13"/>
  <c r="O257" i="4" s="1"/>
  <c r="P278" i="13"/>
  <c r="U278" i="4" s="1"/>
  <c r="N278" i="13"/>
  <c r="S278" i="4" s="1"/>
  <c r="M278" i="13"/>
  <c r="R278" i="4" s="1"/>
  <c r="AD278" i="4" s="1"/>
  <c r="L278" i="13"/>
  <c r="Q278" i="4" s="1"/>
  <c r="AC278" i="4" s="1"/>
  <c r="K278" i="13"/>
  <c r="O278" i="4" s="1"/>
  <c r="K285" i="13"/>
  <c r="O285" i="4" s="1"/>
  <c r="O285" i="13"/>
  <c r="T285" i="4" s="1"/>
  <c r="AE285" i="4" s="1"/>
  <c r="N285" i="13"/>
  <c r="S285" i="4" s="1"/>
  <c r="P289" i="13"/>
  <c r="U289" i="4" s="1"/>
  <c r="N289" i="13"/>
  <c r="S289" i="4" s="1"/>
  <c r="M289" i="13"/>
  <c r="R289" i="4" s="1"/>
  <c r="AD289" i="4" s="1"/>
  <c r="K289" i="13"/>
  <c r="O289" i="4" s="1"/>
  <c r="P107" i="13"/>
  <c r="U107" i="4" s="1"/>
  <c r="P122" i="13"/>
  <c r="U122" i="4" s="1"/>
  <c r="P123" i="13"/>
  <c r="U123" i="4" s="1"/>
  <c r="N145" i="13"/>
  <c r="S145" i="4" s="1"/>
  <c r="M145" i="13"/>
  <c r="R145" i="4" s="1"/>
  <c r="AD145" i="4" s="1"/>
  <c r="K145" i="13"/>
  <c r="O145" i="4" s="1"/>
  <c r="L147" i="13"/>
  <c r="Q147" i="4" s="1"/>
  <c r="AC147" i="4" s="1"/>
  <c r="K147" i="13"/>
  <c r="O147" i="4" s="1"/>
  <c r="N177" i="13"/>
  <c r="S177" i="4" s="1"/>
  <c r="AI177" i="4" s="1"/>
  <c r="M177" i="13"/>
  <c r="R177" i="4" s="1"/>
  <c r="AD177" i="4" s="1"/>
  <c r="K177" i="13"/>
  <c r="O177" i="4" s="1"/>
  <c r="L179" i="13"/>
  <c r="Q179" i="4" s="1"/>
  <c r="AC179" i="4" s="1"/>
  <c r="K179" i="13"/>
  <c r="O179" i="4" s="1"/>
  <c r="L204" i="13"/>
  <c r="Q204" i="4" s="1"/>
  <c r="AC204" i="4" s="1"/>
  <c r="K204" i="13"/>
  <c r="O204" i="4" s="1"/>
  <c r="P204" i="13"/>
  <c r="U204" i="4" s="1"/>
  <c r="O204" i="13"/>
  <c r="T204" i="4" s="1"/>
  <c r="P215" i="13"/>
  <c r="U215" i="4" s="1"/>
  <c r="O215" i="13"/>
  <c r="T215" i="4" s="1"/>
  <c r="M215" i="13"/>
  <c r="R215" i="4" s="1"/>
  <c r="AD215" i="4" s="1"/>
  <c r="K215" i="13"/>
  <c r="O215" i="4" s="1"/>
  <c r="M219" i="13"/>
  <c r="R219" i="4" s="1"/>
  <c r="AD219" i="4" s="1"/>
  <c r="L219" i="13"/>
  <c r="Q219" i="4" s="1"/>
  <c r="AC219" i="4" s="1"/>
  <c r="K219" i="13"/>
  <c r="O219" i="4" s="1"/>
  <c r="P219" i="13"/>
  <c r="U219" i="4" s="1"/>
  <c r="M235" i="13"/>
  <c r="R235" i="4" s="1"/>
  <c r="AD235" i="4" s="1"/>
  <c r="L235" i="13"/>
  <c r="Q235" i="4" s="1"/>
  <c r="AC235" i="4" s="1"/>
  <c r="K235" i="13"/>
  <c r="O235" i="4" s="1"/>
  <c r="P235" i="13"/>
  <c r="U235" i="4" s="1"/>
  <c r="M267" i="13"/>
  <c r="R267" i="4" s="1"/>
  <c r="AD267" i="4" s="1"/>
  <c r="L267" i="13"/>
  <c r="Q267" i="4" s="1"/>
  <c r="AC267" i="4" s="1"/>
  <c r="K267" i="13"/>
  <c r="O267" i="4" s="1"/>
  <c r="P267" i="13"/>
  <c r="U267" i="4" s="1"/>
  <c r="M299" i="13"/>
  <c r="R299" i="4" s="1"/>
  <c r="AD299" i="4" s="1"/>
  <c r="L299" i="13"/>
  <c r="Q299" i="4" s="1"/>
  <c r="AC299" i="4" s="1"/>
  <c r="K299" i="13"/>
  <c r="O299" i="4" s="1"/>
  <c r="P299" i="13"/>
  <c r="U299" i="4" s="1"/>
  <c r="P356" i="13"/>
  <c r="U356" i="4" s="1"/>
  <c r="O356" i="13"/>
  <c r="T356" i="4" s="1"/>
  <c r="N356" i="13"/>
  <c r="S356" i="4" s="1"/>
  <c r="M356" i="13"/>
  <c r="R356" i="4" s="1"/>
  <c r="AD356" i="4" s="1"/>
  <c r="K356" i="13"/>
  <c r="O356" i="4" s="1"/>
  <c r="P372" i="13"/>
  <c r="U372" i="4" s="1"/>
  <c r="O372" i="13"/>
  <c r="T372" i="4" s="1"/>
  <c r="N372" i="13"/>
  <c r="S372" i="4" s="1"/>
  <c r="M372" i="13"/>
  <c r="R372" i="4" s="1"/>
  <c r="AD372" i="4" s="1"/>
  <c r="K372" i="13"/>
  <c r="O372" i="4" s="1"/>
  <c r="P388" i="13"/>
  <c r="U388" i="4" s="1"/>
  <c r="O388" i="13"/>
  <c r="T388" i="4" s="1"/>
  <c r="N388" i="13"/>
  <c r="S388" i="4" s="1"/>
  <c r="AI388" i="4" s="1"/>
  <c r="M388" i="13"/>
  <c r="R388" i="4" s="1"/>
  <c r="AD388" i="4" s="1"/>
  <c r="K388" i="13"/>
  <c r="O388" i="4" s="1"/>
  <c r="P404" i="13"/>
  <c r="U404" i="4" s="1"/>
  <c r="O404" i="13"/>
  <c r="T404" i="4" s="1"/>
  <c r="N404" i="13"/>
  <c r="S404" i="4" s="1"/>
  <c r="M404" i="13"/>
  <c r="R404" i="4" s="1"/>
  <c r="AD404" i="4" s="1"/>
  <c r="K404" i="13"/>
  <c r="O404" i="4" s="1"/>
  <c r="P420" i="13"/>
  <c r="U420" i="4" s="1"/>
  <c r="O420" i="13"/>
  <c r="T420" i="4" s="1"/>
  <c r="N420" i="13"/>
  <c r="S420" i="4" s="1"/>
  <c r="M420" i="13"/>
  <c r="R420" i="4" s="1"/>
  <c r="AD420" i="4" s="1"/>
  <c r="K420" i="13"/>
  <c r="O420" i="4" s="1"/>
  <c r="P436" i="13"/>
  <c r="U436" i="4" s="1"/>
  <c r="O436" i="13"/>
  <c r="T436" i="4" s="1"/>
  <c r="N436" i="13"/>
  <c r="S436" i="4" s="1"/>
  <c r="M436" i="13"/>
  <c r="R436" i="4" s="1"/>
  <c r="AD436" i="4" s="1"/>
  <c r="K436" i="13"/>
  <c r="O436" i="4" s="1"/>
  <c r="M121" i="13"/>
  <c r="R121" i="4" s="1"/>
  <c r="AD121" i="4" s="1"/>
  <c r="K121" i="13"/>
  <c r="O121" i="4" s="1"/>
  <c r="P134" i="13"/>
  <c r="U134" i="4" s="1"/>
  <c r="N134" i="13"/>
  <c r="S134" i="4" s="1"/>
  <c r="P166" i="13"/>
  <c r="U166" i="4" s="1"/>
  <c r="N166" i="13"/>
  <c r="S166" i="4" s="1"/>
  <c r="K205" i="13"/>
  <c r="O205" i="4" s="1"/>
  <c r="O205" i="13"/>
  <c r="T205" i="4" s="1"/>
  <c r="N205" i="13"/>
  <c r="S205" i="4" s="1"/>
  <c r="O208" i="13"/>
  <c r="T208" i="4" s="1"/>
  <c r="N208" i="13"/>
  <c r="S208" i="4" s="1"/>
  <c r="L208" i="13"/>
  <c r="Q208" i="4" s="1"/>
  <c r="AC208" i="4" s="1"/>
  <c r="K208" i="13"/>
  <c r="O208" i="4" s="1"/>
  <c r="P227" i="13"/>
  <c r="U227" i="4" s="1"/>
  <c r="O227" i="13"/>
  <c r="T227" i="4" s="1"/>
  <c r="L227" i="13"/>
  <c r="Q227" i="4" s="1"/>
  <c r="AC227" i="4" s="1"/>
  <c r="K227" i="13"/>
  <c r="O227" i="4" s="1"/>
  <c r="P231" i="13"/>
  <c r="U231" i="4" s="1"/>
  <c r="O231" i="13"/>
  <c r="T231" i="4" s="1"/>
  <c r="AI231" i="4" s="1"/>
  <c r="M231" i="13"/>
  <c r="R231" i="4" s="1"/>
  <c r="AD231" i="4" s="1"/>
  <c r="L231" i="13"/>
  <c r="Q231" i="4" s="1"/>
  <c r="AC231" i="4" s="1"/>
  <c r="K231" i="13"/>
  <c r="O231" i="4" s="1"/>
  <c r="P306" i="13"/>
  <c r="U306" i="4" s="1"/>
  <c r="O306" i="13"/>
  <c r="T306" i="4" s="1"/>
  <c r="M306" i="13"/>
  <c r="R306" i="4" s="1"/>
  <c r="AD306" i="4" s="1"/>
  <c r="L306" i="13"/>
  <c r="Q306" i="4" s="1"/>
  <c r="AC306" i="4" s="1"/>
  <c r="P308" i="13"/>
  <c r="U308" i="4" s="1"/>
  <c r="O308" i="13"/>
  <c r="T308" i="4" s="1"/>
  <c r="N308" i="13"/>
  <c r="S308" i="4" s="1"/>
  <c r="M308" i="13"/>
  <c r="R308" i="4" s="1"/>
  <c r="AD308" i="4" s="1"/>
  <c r="K308" i="13"/>
  <c r="O308" i="4" s="1"/>
  <c r="P322" i="13"/>
  <c r="U322" i="4" s="1"/>
  <c r="O322" i="13"/>
  <c r="T322" i="4" s="1"/>
  <c r="M322" i="13"/>
  <c r="R322" i="4" s="1"/>
  <c r="AD322" i="4" s="1"/>
  <c r="L322" i="13"/>
  <c r="Q322" i="4" s="1"/>
  <c r="AC322" i="4" s="1"/>
  <c r="P324" i="13"/>
  <c r="U324" i="4" s="1"/>
  <c r="O324" i="13"/>
  <c r="T324" i="4" s="1"/>
  <c r="N324" i="13"/>
  <c r="S324" i="4" s="1"/>
  <c r="M324" i="13"/>
  <c r="R324" i="4" s="1"/>
  <c r="AD324" i="4" s="1"/>
  <c r="K324" i="13"/>
  <c r="O324" i="4" s="1"/>
  <c r="P338" i="13"/>
  <c r="U338" i="4" s="1"/>
  <c r="O338" i="13"/>
  <c r="T338" i="4" s="1"/>
  <c r="M338" i="13"/>
  <c r="R338" i="4" s="1"/>
  <c r="AD338" i="4" s="1"/>
  <c r="L338" i="13"/>
  <c r="Q338" i="4" s="1"/>
  <c r="AC338" i="4" s="1"/>
  <c r="P340" i="13"/>
  <c r="U340" i="4" s="1"/>
  <c r="O340" i="13"/>
  <c r="T340" i="4" s="1"/>
  <c r="N340" i="13"/>
  <c r="S340" i="4" s="1"/>
  <c r="AI340" i="4" s="1"/>
  <c r="M340" i="13"/>
  <c r="R340" i="4" s="1"/>
  <c r="AD340" i="4" s="1"/>
  <c r="K340" i="13"/>
  <c r="O340" i="4" s="1"/>
  <c r="K350" i="13"/>
  <c r="O350" i="4" s="1"/>
  <c r="P350" i="13"/>
  <c r="U350" i="4" s="1"/>
  <c r="O350" i="13"/>
  <c r="T350" i="4" s="1"/>
  <c r="N350" i="13"/>
  <c r="S350" i="4" s="1"/>
  <c r="M350" i="13"/>
  <c r="R350" i="4" s="1"/>
  <c r="AD350" i="4" s="1"/>
  <c r="P353" i="13"/>
  <c r="U353" i="4" s="1"/>
  <c r="N353" i="13"/>
  <c r="S353" i="4" s="1"/>
  <c r="AI353" i="4" s="1"/>
  <c r="M353" i="13"/>
  <c r="R353" i="4" s="1"/>
  <c r="AD353" i="4" s="1"/>
  <c r="L353" i="13"/>
  <c r="Q353" i="4" s="1"/>
  <c r="AC353" i="4" s="1"/>
  <c r="K353" i="13"/>
  <c r="O353" i="4" s="1"/>
  <c r="P369" i="13"/>
  <c r="U369" i="4" s="1"/>
  <c r="N369" i="13"/>
  <c r="S369" i="4" s="1"/>
  <c r="M369" i="13"/>
  <c r="R369" i="4" s="1"/>
  <c r="AD369" i="4" s="1"/>
  <c r="L369" i="13"/>
  <c r="Q369" i="4" s="1"/>
  <c r="AC369" i="4" s="1"/>
  <c r="K369" i="13"/>
  <c r="O369" i="4" s="1"/>
  <c r="P385" i="13"/>
  <c r="U385" i="4" s="1"/>
  <c r="N385" i="13"/>
  <c r="S385" i="4" s="1"/>
  <c r="AI385" i="4" s="1"/>
  <c r="M385" i="13"/>
  <c r="R385" i="4" s="1"/>
  <c r="AD385" i="4" s="1"/>
  <c r="L385" i="13"/>
  <c r="Q385" i="4" s="1"/>
  <c r="AC385" i="4" s="1"/>
  <c r="K385" i="13"/>
  <c r="O385" i="4" s="1"/>
  <c r="P401" i="13"/>
  <c r="U401" i="4" s="1"/>
  <c r="N401" i="13"/>
  <c r="S401" i="4" s="1"/>
  <c r="M401" i="13"/>
  <c r="R401" i="4" s="1"/>
  <c r="AD401" i="4" s="1"/>
  <c r="L401" i="13"/>
  <c r="Q401" i="4" s="1"/>
  <c r="AC401" i="4" s="1"/>
  <c r="K401" i="13"/>
  <c r="O401" i="4" s="1"/>
  <c r="P417" i="13"/>
  <c r="U417" i="4" s="1"/>
  <c r="N417" i="13"/>
  <c r="S417" i="4" s="1"/>
  <c r="M417" i="13"/>
  <c r="R417" i="4" s="1"/>
  <c r="AD417" i="4" s="1"/>
  <c r="L417" i="13"/>
  <c r="Q417" i="4" s="1"/>
  <c r="AC417" i="4" s="1"/>
  <c r="K417" i="13"/>
  <c r="O417" i="4" s="1"/>
  <c r="P433" i="13"/>
  <c r="U433" i="4" s="1"/>
  <c r="N433" i="13"/>
  <c r="S433" i="4" s="1"/>
  <c r="M433" i="13"/>
  <c r="R433" i="4" s="1"/>
  <c r="AD433" i="4" s="1"/>
  <c r="L433" i="13"/>
  <c r="Q433" i="4" s="1"/>
  <c r="AC433" i="4" s="1"/>
  <c r="K433" i="13"/>
  <c r="O433" i="4" s="1"/>
  <c r="N441" i="13"/>
  <c r="S441" i="4" s="1"/>
  <c r="M441" i="13"/>
  <c r="R441" i="4" s="1"/>
  <c r="AD441" i="4" s="1"/>
  <c r="L441" i="13"/>
  <c r="Q441" i="4" s="1"/>
  <c r="AC441" i="4" s="1"/>
  <c r="K441" i="13"/>
  <c r="O441" i="4" s="1"/>
  <c r="P441" i="13"/>
  <c r="U441" i="4" s="1"/>
  <c r="O441" i="13"/>
  <c r="T441" i="4" s="1"/>
  <c r="L446" i="13"/>
  <c r="Q446" i="4" s="1"/>
  <c r="AC446" i="4" s="1"/>
  <c r="K446" i="13"/>
  <c r="O446" i="4" s="1"/>
  <c r="O446" i="13"/>
  <c r="T446" i="4" s="1"/>
  <c r="N446" i="13"/>
  <c r="S446" i="4" s="1"/>
  <c r="M446" i="13"/>
  <c r="R446" i="4" s="1"/>
  <c r="AD446" i="4" s="1"/>
  <c r="P446" i="13"/>
  <c r="U446" i="4" s="1"/>
  <c r="L116" i="13"/>
  <c r="Q116" i="4" s="1"/>
  <c r="AC116" i="4" s="1"/>
  <c r="N120" i="13"/>
  <c r="S120" i="4" s="1"/>
  <c r="L120" i="13"/>
  <c r="Q120" i="4" s="1"/>
  <c r="AC120" i="4" s="1"/>
  <c r="N131" i="13"/>
  <c r="S131" i="4" s="1"/>
  <c r="O144" i="13"/>
  <c r="T144" i="4" s="1"/>
  <c r="AE144" i="4" s="1"/>
  <c r="N144" i="13"/>
  <c r="S144" i="4" s="1"/>
  <c r="AI144" i="4" s="1"/>
  <c r="L144" i="13"/>
  <c r="Q144" i="4" s="1"/>
  <c r="AC144" i="4" s="1"/>
  <c r="P158" i="13"/>
  <c r="U158" i="4" s="1"/>
  <c r="N158" i="13"/>
  <c r="S158" i="4" s="1"/>
  <c r="M163" i="13"/>
  <c r="R163" i="4" s="1"/>
  <c r="AD163" i="4" s="1"/>
  <c r="O176" i="13"/>
  <c r="T176" i="4" s="1"/>
  <c r="N176" i="13"/>
  <c r="S176" i="4" s="1"/>
  <c r="L176" i="13"/>
  <c r="Q176" i="4" s="1"/>
  <c r="AC176" i="4" s="1"/>
  <c r="P190" i="13"/>
  <c r="U190" i="4" s="1"/>
  <c r="N190" i="13"/>
  <c r="S190" i="4" s="1"/>
  <c r="AI190" i="4" s="1"/>
  <c r="N209" i="13"/>
  <c r="S209" i="4" s="1"/>
  <c r="M209" i="13"/>
  <c r="R209" i="4" s="1"/>
  <c r="AD209" i="4" s="1"/>
  <c r="K209" i="13"/>
  <c r="O209" i="4" s="1"/>
  <c r="P242" i="13"/>
  <c r="U242" i="4" s="1"/>
  <c r="O242" i="13"/>
  <c r="T242" i="4" s="1"/>
  <c r="M242" i="13"/>
  <c r="R242" i="4" s="1"/>
  <c r="AD242" i="4" s="1"/>
  <c r="L242" i="13"/>
  <c r="Q242" i="4" s="1"/>
  <c r="AC242" i="4" s="1"/>
  <c r="P263" i="13"/>
  <c r="U263" i="4" s="1"/>
  <c r="O263" i="13"/>
  <c r="T263" i="4" s="1"/>
  <c r="M263" i="13"/>
  <c r="R263" i="4" s="1"/>
  <c r="AD263" i="4" s="1"/>
  <c r="L263" i="13"/>
  <c r="Q263" i="4" s="1"/>
  <c r="AC263" i="4" s="1"/>
  <c r="K263" i="13"/>
  <c r="O263" i="4" s="1"/>
  <c r="P274" i="13"/>
  <c r="U274" i="4" s="1"/>
  <c r="O274" i="13"/>
  <c r="T274" i="4" s="1"/>
  <c r="M274" i="13"/>
  <c r="R274" i="4" s="1"/>
  <c r="AD274" i="4" s="1"/>
  <c r="L274" i="13"/>
  <c r="Q274" i="4" s="1"/>
  <c r="AC274" i="4" s="1"/>
  <c r="P295" i="13"/>
  <c r="U295" i="4" s="1"/>
  <c r="O295" i="13"/>
  <c r="T295" i="4" s="1"/>
  <c r="M295" i="13"/>
  <c r="R295" i="4" s="1"/>
  <c r="AD295" i="4" s="1"/>
  <c r="L295" i="13"/>
  <c r="Q295" i="4" s="1"/>
  <c r="AC295" i="4" s="1"/>
  <c r="K295" i="13"/>
  <c r="O295" i="4" s="1"/>
  <c r="O309" i="13"/>
  <c r="T309" i="4" s="1"/>
  <c r="N309" i="13"/>
  <c r="S309" i="4" s="1"/>
  <c r="M309" i="13"/>
  <c r="R309" i="4" s="1"/>
  <c r="AD309" i="4" s="1"/>
  <c r="L309" i="13"/>
  <c r="Q309" i="4" s="1"/>
  <c r="AC309" i="4" s="1"/>
  <c r="P312" i="13"/>
  <c r="U312" i="4" s="1"/>
  <c r="O312" i="13"/>
  <c r="T312" i="4" s="1"/>
  <c r="N312" i="13"/>
  <c r="S312" i="4" s="1"/>
  <c r="L312" i="13"/>
  <c r="Q312" i="4" s="1"/>
  <c r="AC312" i="4" s="1"/>
  <c r="K312" i="13"/>
  <c r="O312" i="4" s="1"/>
  <c r="O325" i="13"/>
  <c r="T325" i="4" s="1"/>
  <c r="N325" i="13"/>
  <c r="S325" i="4" s="1"/>
  <c r="M325" i="13"/>
  <c r="R325" i="4" s="1"/>
  <c r="AD325" i="4" s="1"/>
  <c r="L325" i="13"/>
  <c r="Q325" i="4" s="1"/>
  <c r="AC325" i="4" s="1"/>
  <c r="P328" i="13"/>
  <c r="U328" i="4" s="1"/>
  <c r="O328" i="13"/>
  <c r="T328" i="4" s="1"/>
  <c r="N328" i="13"/>
  <c r="S328" i="4" s="1"/>
  <c r="L328" i="13"/>
  <c r="Q328" i="4" s="1"/>
  <c r="AC328" i="4" s="1"/>
  <c r="K328" i="13"/>
  <c r="O328" i="4" s="1"/>
  <c r="O341" i="13"/>
  <c r="T341" i="4" s="1"/>
  <c r="N341" i="13"/>
  <c r="S341" i="4" s="1"/>
  <c r="M341" i="13"/>
  <c r="R341" i="4" s="1"/>
  <c r="AD341" i="4" s="1"/>
  <c r="L341" i="13"/>
  <c r="Q341" i="4" s="1"/>
  <c r="AC341" i="4" s="1"/>
  <c r="P344" i="13"/>
  <c r="U344" i="4" s="1"/>
  <c r="O344" i="13"/>
  <c r="T344" i="4" s="1"/>
  <c r="N344" i="13"/>
  <c r="S344" i="4" s="1"/>
  <c r="L344" i="13"/>
  <c r="Q344" i="4" s="1"/>
  <c r="AC344" i="4" s="1"/>
  <c r="K344" i="13"/>
  <c r="O344" i="4" s="1"/>
  <c r="K366" i="13"/>
  <c r="O366" i="4" s="1"/>
  <c r="P366" i="13"/>
  <c r="U366" i="4" s="1"/>
  <c r="O366" i="13"/>
  <c r="T366" i="4" s="1"/>
  <c r="N366" i="13"/>
  <c r="S366" i="4" s="1"/>
  <c r="AI366" i="4" s="1"/>
  <c r="M366" i="13"/>
  <c r="R366" i="4" s="1"/>
  <c r="AD366" i="4" s="1"/>
  <c r="K382" i="13"/>
  <c r="O382" i="4" s="1"/>
  <c r="P382" i="13"/>
  <c r="U382" i="4" s="1"/>
  <c r="O382" i="13"/>
  <c r="T382" i="4" s="1"/>
  <c r="N382" i="13"/>
  <c r="S382" i="4" s="1"/>
  <c r="AI382" i="4" s="1"/>
  <c r="M382" i="13"/>
  <c r="R382" i="4" s="1"/>
  <c r="AD382" i="4" s="1"/>
  <c r="K398" i="13"/>
  <c r="O398" i="4" s="1"/>
  <c r="P398" i="13"/>
  <c r="U398" i="4" s="1"/>
  <c r="O398" i="13"/>
  <c r="T398" i="4" s="1"/>
  <c r="N398" i="13"/>
  <c r="S398" i="4" s="1"/>
  <c r="M398" i="13"/>
  <c r="R398" i="4" s="1"/>
  <c r="AD398" i="4" s="1"/>
  <c r="K414" i="13"/>
  <c r="O414" i="4" s="1"/>
  <c r="P414" i="13"/>
  <c r="U414" i="4" s="1"/>
  <c r="O414" i="13"/>
  <c r="T414" i="4" s="1"/>
  <c r="N414" i="13"/>
  <c r="S414" i="4" s="1"/>
  <c r="M414" i="13"/>
  <c r="R414" i="4" s="1"/>
  <c r="AD414" i="4" s="1"/>
  <c r="K430" i="13"/>
  <c r="O430" i="4" s="1"/>
  <c r="P430" i="13"/>
  <c r="U430" i="4" s="1"/>
  <c r="O430" i="13"/>
  <c r="T430" i="4" s="1"/>
  <c r="N430" i="13"/>
  <c r="S430" i="4" s="1"/>
  <c r="M430" i="13"/>
  <c r="R430" i="4" s="1"/>
  <c r="AD430" i="4" s="1"/>
  <c r="P455" i="13"/>
  <c r="U455" i="4" s="1"/>
  <c r="O455" i="13"/>
  <c r="T455" i="4" s="1"/>
  <c r="N455" i="13"/>
  <c r="S455" i="4" s="1"/>
  <c r="M455" i="13"/>
  <c r="R455" i="4" s="1"/>
  <c r="AD455" i="4" s="1"/>
  <c r="L455" i="13"/>
  <c r="Q455" i="4" s="1"/>
  <c r="AC455" i="4" s="1"/>
  <c r="K455" i="13"/>
  <c r="O455" i="4" s="1"/>
  <c r="P471" i="13"/>
  <c r="U471" i="4" s="1"/>
  <c r="O471" i="13"/>
  <c r="T471" i="4" s="1"/>
  <c r="N471" i="13"/>
  <c r="S471" i="4" s="1"/>
  <c r="M471" i="13"/>
  <c r="R471" i="4" s="1"/>
  <c r="AD471" i="4" s="1"/>
  <c r="L471" i="13"/>
  <c r="Q471" i="4" s="1"/>
  <c r="AC471" i="4" s="1"/>
  <c r="K471" i="13"/>
  <c r="O471" i="4" s="1"/>
  <c r="P487" i="13"/>
  <c r="U487" i="4" s="1"/>
  <c r="O487" i="13"/>
  <c r="T487" i="4" s="1"/>
  <c r="N487" i="13"/>
  <c r="S487" i="4" s="1"/>
  <c r="M487" i="13"/>
  <c r="R487" i="4" s="1"/>
  <c r="AD487" i="4" s="1"/>
  <c r="L487" i="13"/>
  <c r="Q487" i="4" s="1"/>
  <c r="AC487" i="4" s="1"/>
  <c r="K487" i="13"/>
  <c r="O487" i="4" s="1"/>
  <c r="P503" i="13"/>
  <c r="U503" i="4" s="1"/>
  <c r="O503" i="13"/>
  <c r="T503" i="4" s="1"/>
  <c r="N503" i="13"/>
  <c r="S503" i="4" s="1"/>
  <c r="M503" i="13"/>
  <c r="R503" i="4" s="1"/>
  <c r="AD503" i="4" s="1"/>
  <c r="L503" i="13"/>
  <c r="Q503" i="4" s="1"/>
  <c r="AC503" i="4" s="1"/>
  <c r="K503" i="13"/>
  <c r="O503" i="4" s="1"/>
  <c r="P519" i="13"/>
  <c r="U519" i="4" s="1"/>
  <c r="O519" i="13"/>
  <c r="T519" i="4" s="1"/>
  <c r="N519" i="13"/>
  <c r="S519" i="4" s="1"/>
  <c r="M519" i="13"/>
  <c r="R519" i="4" s="1"/>
  <c r="AD519" i="4" s="1"/>
  <c r="L519" i="13"/>
  <c r="Q519" i="4" s="1"/>
  <c r="AC519" i="4" s="1"/>
  <c r="K519" i="13"/>
  <c r="O519" i="4" s="1"/>
  <c r="P535" i="13"/>
  <c r="U535" i="4" s="1"/>
  <c r="O535" i="13"/>
  <c r="T535" i="4" s="1"/>
  <c r="N535" i="13"/>
  <c r="S535" i="4" s="1"/>
  <c r="AI535" i="4" s="1"/>
  <c r="M535" i="13"/>
  <c r="R535" i="4" s="1"/>
  <c r="AD535" i="4" s="1"/>
  <c r="L535" i="13"/>
  <c r="Q535" i="4" s="1"/>
  <c r="AC535" i="4" s="1"/>
  <c r="K535" i="13"/>
  <c r="O535" i="4" s="1"/>
  <c r="P551" i="13"/>
  <c r="U551" i="4" s="1"/>
  <c r="O551" i="13"/>
  <c r="T551" i="4" s="1"/>
  <c r="N551" i="13"/>
  <c r="S551" i="4" s="1"/>
  <c r="M551" i="13"/>
  <c r="R551" i="4" s="1"/>
  <c r="AD551" i="4" s="1"/>
  <c r="L551" i="13"/>
  <c r="Q551" i="4" s="1"/>
  <c r="AC551" i="4" s="1"/>
  <c r="K551" i="13"/>
  <c r="O551" i="4" s="1"/>
  <c r="P567" i="13"/>
  <c r="U567" i="4" s="1"/>
  <c r="O567" i="13"/>
  <c r="T567" i="4" s="1"/>
  <c r="N567" i="13"/>
  <c r="S567" i="4" s="1"/>
  <c r="M567" i="13"/>
  <c r="R567" i="4" s="1"/>
  <c r="AD567" i="4" s="1"/>
  <c r="L567" i="13"/>
  <c r="Q567" i="4" s="1"/>
  <c r="AC567" i="4" s="1"/>
  <c r="K567" i="13"/>
  <c r="O567" i="4" s="1"/>
  <c r="P583" i="13"/>
  <c r="U583" i="4" s="1"/>
  <c r="O583" i="13"/>
  <c r="T583" i="4" s="1"/>
  <c r="N583" i="13"/>
  <c r="S583" i="4" s="1"/>
  <c r="M583" i="13"/>
  <c r="R583" i="4" s="1"/>
  <c r="AD583" i="4" s="1"/>
  <c r="L583" i="13"/>
  <c r="Q583" i="4" s="1"/>
  <c r="AC583" i="4" s="1"/>
  <c r="K583" i="13"/>
  <c r="O583" i="4" s="1"/>
  <c r="M115" i="13"/>
  <c r="R115" i="4" s="1"/>
  <c r="AD115" i="4" s="1"/>
  <c r="M116" i="13"/>
  <c r="R116" i="4" s="1"/>
  <c r="AD116" i="4" s="1"/>
  <c r="M117" i="13"/>
  <c r="R117" i="4" s="1"/>
  <c r="AD117" i="4" s="1"/>
  <c r="O131" i="13"/>
  <c r="T131" i="4" s="1"/>
  <c r="P154" i="13"/>
  <c r="U154" i="4" s="1"/>
  <c r="P155" i="13"/>
  <c r="U155" i="4" s="1"/>
  <c r="K162" i="13"/>
  <c r="O162" i="4" s="1"/>
  <c r="N163" i="13"/>
  <c r="S163" i="4" s="1"/>
  <c r="AI163" i="4" s="1"/>
  <c r="P186" i="13"/>
  <c r="U186" i="4" s="1"/>
  <c r="P187" i="13"/>
  <c r="U187" i="4" s="1"/>
  <c r="L193" i="13"/>
  <c r="Q193" i="4" s="1"/>
  <c r="AC193" i="4" s="1"/>
  <c r="P214" i="13"/>
  <c r="U214" i="4" s="1"/>
  <c r="N214" i="13"/>
  <c r="S214" i="4" s="1"/>
  <c r="L214" i="13"/>
  <c r="Q214" i="4" s="1"/>
  <c r="AC214" i="4" s="1"/>
  <c r="N218" i="13"/>
  <c r="S218" i="4" s="1"/>
  <c r="AI218" i="4" s="1"/>
  <c r="M218" i="13"/>
  <c r="R218" i="4" s="1"/>
  <c r="AD218" i="4" s="1"/>
  <c r="L218" i="13"/>
  <c r="Q218" i="4" s="1"/>
  <c r="AC218" i="4" s="1"/>
  <c r="P222" i="13"/>
  <c r="U222" i="4" s="1"/>
  <c r="N222" i="13"/>
  <c r="S222" i="4" s="1"/>
  <c r="M222" i="13"/>
  <c r="R222" i="4" s="1"/>
  <c r="AD222" i="4" s="1"/>
  <c r="N234" i="13"/>
  <c r="S234" i="4" s="1"/>
  <c r="M234" i="13"/>
  <c r="R234" i="4" s="1"/>
  <c r="AD234" i="4" s="1"/>
  <c r="L234" i="13"/>
  <c r="Q234" i="4" s="1"/>
  <c r="AC234" i="4" s="1"/>
  <c r="P238" i="13"/>
  <c r="U238" i="4" s="1"/>
  <c r="N238" i="13"/>
  <c r="S238" i="4" s="1"/>
  <c r="M238" i="13"/>
  <c r="R238" i="4" s="1"/>
  <c r="AD238" i="4" s="1"/>
  <c r="P244" i="13"/>
  <c r="U244" i="4" s="1"/>
  <c r="O244" i="13"/>
  <c r="T244" i="4" s="1"/>
  <c r="N244" i="13"/>
  <c r="S244" i="4" s="1"/>
  <c r="M244" i="13"/>
  <c r="R244" i="4" s="1"/>
  <c r="AD244" i="4" s="1"/>
  <c r="K244" i="13"/>
  <c r="O244" i="4" s="1"/>
  <c r="P270" i="13"/>
  <c r="U270" i="4" s="1"/>
  <c r="N270" i="13"/>
  <c r="S270" i="4" s="1"/>
  <c r="AI270" i="4" s="1"/>
  <c r="M270" i="13"/>
  <c r="R270" i="4" s="1"/>
  <c r="AD270" i="4" s="1"/>
  <c r="P276" i="13"/>
  <c r="U276" i="4" s="1"/>
  <c r="O276" i="13"/>
  <c r="T276" i="4" s="1"/>
  <c r="N276" i="13"/>
  <c r="S276" i="4" s="1"/>
  <c r="AI276" i="4" s="1"/>
  <c r="M276" i="13"/>
  <c r="R276" i="4" s="1"/>
  <c r="AD276" i="4" s="1"/>
  <c r="K276" i="13"/>
  <c r="O276" i="4" s="1"/>
  <c r="K302" i="13"/>
  <c r="O302" i="4" s="1"/>
  <c r="P302" i="13"/>
  <c r="U302" i="4" s="1"/>
  <c r="N302" i="13"/>
  <c r="S302" i="4" s="1"/>
  <c r="AI302" i="4" s="1"/>
  <c r="M302" i="13"/>
  <c r="R302" i="4" s="1"/>
  <c r="AD302" i="4" s="1"/>
  <c r="N315" i="13"/>
  <c r="S315" i="4" s="1"/>
  <c r="M315" i="13"/>
  <c r="R315" i="4" s="1"/>
  <c r="AD315" i="4" s="1"/>
  <c r="L315" i="13"/>
  <c r="Q315" i="4" s="1"/>
  <c r="AC315" i="4" s="1"/>
  <c r="K315" i="13"/>
  <c r="O315" i="4" s="1"/>
  <c r="P315" i="13"/>
  <c r="U315" i="4" s="1"/>
  <c r="K318" i="13"/>
  <c r="O318" i="4" s="1"/>
  <c r="P318" i="13"/>
  <c r="U318" i="4" s="1"/>
  <c r="N318" i="13"/>
  <c r="S318" i="4" s="1"/>
  <c r="M318" i="13"/>
  <c r="R318" i="4" s="1"/>
  <c r="AD318" i="4" s="1"/>
  <c r="N331" i="13"/>
  <c r="S331" i="4" s="1"/>
  <c r="M331" i="13"/>
  <c r="R331" i="4" s="1"/>
  <c r="AD331" i="4" s="1"/>
  <c r="L331" i="13"/>
  <c r="Q331" i="4" s="1"/>
  <c r="AC331" i="4" s="1"/>
  <c r="K331" i="13"/>
  <c r="O331" i="4" s="1"/>
  <c r="P331" i="13"/>
  <c r="U331" i="4" s="1"/>
  <c r="K334" i="13"/>
  <c r="O334" i="4" s="1"/>
  <c r="P334" i="13"/>
  <c r="U334" i="4" s="1"/>
  <c r="N334" i="13"/>
  <c r="S334" i="4" s="1"/>
  <c r="M334" i="13"/>
  <c r="R334" i="4" s="1"/>
  <c r="AD334" i="4" s="1"/>
  <c r="N347" i="13"/>
  <c r="S347" i="4" s="1"/>
  <c r="M347" i="13"/>
  <c r="R347" i="4" s="1"/>
  <c r="AD347" i="4" s="1"/>
  <c r="L347" i="13"/>
  <c r="Q347" i="4" s="1"/>
  <c r="AC347" i="4" s="1"/>
  <c r="K347" i="13"/>
  <c r="O347" i="4" s="1"/>
  <c r="P347" i="13"/>
  <c r="U347" i="4" s="1"/>
  <c r="N442" i="13"/>
  <c r="S442" i="4" s="1"/>
  <c r="M442" i="13"/>
  <c r="R442" i="4" s="1"/>
  <c r="AD442" i="4" s="1"/>
  <c r="L442" i="13"/>
  <c r="Q442" i="4" s="1"/>
  <c r="AC442" i="4" s="1"/>
  <c r="K442" i="13"/>
  <c r="O442" i="4" s="1"/>
  <c r="P442" i="13"/>
  <c r="U442" i="4" s="1"/>
  <c r="O442" i="13"/>
  <c r="T442" i="4" s="1"/>
  <c r="N116" i="13"/>
  <c r="S116" i="4" s="1"/>
  <c r="P131" i="13"/>
  <c r="U131" i="4" s="1"/>
  <c r="K142" i="13"/>
  <c r="O142" i="4" s="1"/>
  <c r="N162" i="13"/>
  <c r="S162" i="4" s="1"/>
  <c r="O163" i="13"/>
  <c r="T163" i="4" s="1"/>
  <c r="K174" i="13"/>
  <c r="O174" i="4" s="1"/>
  <c r="O193" i="13"/>
  <c r="T193" i="4" s="1"/>
  <c r="O195" i="13"/>
  <c r="T195" i="4" s="1"/>
  <c r="L195" i="13"/>
  <c r="Q195" i="4" s="1"/>
  <c r="AC195" i="4" s="1"/>
  <c r="K195" i="13"/>
  <c r="O195" i="4" s="1"/>
  <c r="M220" i="13"/>
  <c r="R220" i="4" s="1"/>
  <c r="AD220" i="4" s="1"/>
  <c r="P226" i="13"/>
  <c r="U226" i="4" s="1"/>
  <c r="M226" i="13"/>
  <c r="R226" i="4" s="1"/>
  <c r="AD226" i="4" s="1"/>
  <c r="L226" i="13"/>
  <c r="Q226" i="4" s="1"/>
  <c r="AC226" i="4" s="1"/>
  <c r="M236" i="13"/>
  <c r="R236" i="4" s="1"/>
  <c r="AD236" i="4" s="1"/>
  <c r="O245" i="13"/>
  <c r="T245" i="4" s="1"/>
  <c r="AE245" i="4" s="1"/>
  <c r="N245" i="13"/>
  <c r="S245" i="4" s="1"/>
  <c r="M245" i="13"/>
  <c r="R245" i="4" s="1"/>
  <c r="AD245" i="4" s="1"/>
  <c r="L245" i="13"/>
  <c r="Q245" i="4" s="1"/>
  <c r="AC245" i="4" s="1"/>
  <c r="O256" i="13"/>
  <c r="T256" i="4" s="1"/>
  <c r="N256" i="13"/>
  <c r="S256" i="4" s="1"/>
  <c r="L256" i="13"/>
  <c r="Q256" i="4" s="1"/>
  <c r="AC256" i="4" s="1"/>
  <c r="K256" i="13"/>
  <c r="O256" i="4" s="1"/>
  <c r="K258" i="13"/>
  <c r="O258" i="4" s="1"/>
  <c r="N266" i="13"/>
  <c r="S266" i="4" s="1"/>
  <c r="AI266" i="4" s="1"/>
  <c r="M266" i="13"/>
  <c r="R266" i="4" s="1"/>
  <c r="AD266" i="4" s="1"/>
  <c r="L266" i="13"/>
  <c r="Q266" i="4" s="1"/>
  <c r="AC266" i="4" s="1"/>
  <c r="M268" i="13"/>
  <c r="R268" i="4" s="1"/>
  <c r="AD268" i="4" s="1"/>
  <c r="O277" i="13"/>
  <c r="T277" i="4" s="1"/>
  <c r="AE277" i="4" s="1"/>
  <c r="N277" i="13"/>
  <c r="S277" i="4" s="1"/>
  <c r="M277" i="13"/>
  <c r="R277" i="4" s="1"/>
  <c r="AD277" i="4" s="1"/>
  <c r="L277" i="13"/>
  <c r="Q277" i="4" s="1"/>
  <c r="AC277" i="4" s="1"/>
  <c r="O288" i="13"/>
  <c r="T288" i="4" s="1"/>
  <c r="N288" i="13"/>
  <c r="S288" i="4" s="1"/>
  <c r="AI288" i="4" s="1"/>
  <c r="L288" i="13"/>
  <c r="Q288" i="4" s="1"/>
  <c r="AC288" i="4" s="1"/>
  <c r="K288" i="13"/>
  <c r="O288" i="4" s="1"/>
  <c r="K290" i="13"/>
  <c r="O290" i="4" s="1"/>
  <c r="N298" i="13"/>
  <c r="S298" i="4" s="1"/>
  <c r="M298" i="13"/>
  <c r="R298" i="4" s="1"/>
  <c r="AD298" i="4" s="1"/>
  <c r="L298" i="13"/>
  <c r="Q298" i="4" s="1"/>
  <c r="AC298" i="4" s="1"/>
  <c r="M300" i="13"/>
  <c r="R300" i="4" s="1"/>
  <c r="AD300" i="4" s="1"/>
  <c r="P358" i="13"/>
  <c r="U358" i="4" s="1"/>
  <c r="O358" i="13"/>
  <c r="T358" i="4" s="1"/>
  <c r="N358" i="13"/>
  <c r="S358" i="4" s="1"/>
  <c r="M358" i="13"/>
  <c r="R358" i="4" s="1"/>
  <c r="AD358" i="4" s="1"/>
  <c r="L358" i="13"/>
  <c r="Q358" i="4" s="1"/>
  <c r="AC358" i="4" s="1"/>
  <c r="K358" i="13"/>
  <c r="O358" i="4" s="1"/>
  <c r="N363" i="13"/>
  <c r="S363" i="4" s="1"/>
  <c r="AI363" i="4" s="1"/>
  <c r="M363" i="13"/>
  <c r="R363" i="4" s="1"/>
  <c r="AD363" i="4" s="1"/>
  <c r="L363" i="13"/>
  <c r="Q363" i="4" s="1"/>
  <c r="AC363" i="4" s="1"/>
  <c r="K363" i="13"/>
  <c r="O363" i="4" s="1"/>
  <c r="P363" i="13"/>
  <c r="U363" i="4" s="1"/>
  <c r="P374" i="13"/>
  <c r="U374" i="4" s="1"/>
  <c r="O374" i="13"/>
  <c r="T374" i="4" s="1"/>
  <c r="N374" i="13"/>
  <c r="S374" i="4" s="1"/>
  <c r="M374" i="13"/>
  <c r="R374" i="4" s="1"/>
  <c r="AD374" i="4" s="1"/>
  <c r="L374" i="13"/>
  <c r="Q374" i="4" s="1"/>
  <c r="AC374" i="4" s="1"/>
  <c r="K374" i="13"/>
  <c r="O374" i="4" s="1"/>
  <c r="N379" i="13"/>
  <c r="S379" i="4" s="1"/>
  <c r="AI379" i="4" s="1"/>
  <c r="M379" i="13"/>
  <c r="R379" i="4" s="1"/>
  <c r="AD379" i="4" s="1"/>
  <c r="L379" i="13"/>
  <c r="Q379" i="4" s="1"/>
  <c r="AC379" i="4" s="1"/>
  <c r="K379" i="13"/>
  <c r="O379" i="4" s="1"/>
  <c r="P379" i="13"/>
  <c r="U379" i="4" s="1"/>
  <c r="P390" i="13"/>
  <c r="U390" i="4" s="1"/>
  <c r="O390" i="13"/>
  <c r="T390" i="4" s="1"/>
  <c r="N390" i="13"/>
  <c r="S390" i="4" s="1"/>
  <c r="M390" i="13"/>
  <c r="R390" i="4" s="1"/>
  <c r="AD390" i="4" s="1"/>
  <c r="L390" i="13"/>
  <c r="Q390" i="4" s="1"/>
  <c r="AC390" i="4" s="1"/>
  <c r="K390" i="13"/>
  <c r="O390" i="4" s="1"/>
  <c r="N395" i="13"/>
  <c r="S395" i="4" s="1"/>
  <c r="M395" i="13"/>
  <c r="R395" i="4" s="1"/>
  <c r="AD395" i="4" s="1"/>
  <c r="L395" i="13"/>
  <c r="Q395" i="4" s="1"/>
  <c r="AC395" i="4" s="1"/>
  <c r="K395" i="13"/>
  <c r="O395" i="4" s="1"/>
  <c r="P395" i="13"/>
  <c r="U395" i="4" s="1"/>
  <c r="P406" i="13"/>
  <c r="U406" i="4" s="1"/>
  <c r="O406" i="13"/>
  <c r="T406" i="4" s="1"/>
  <c r="N406" i="13"/>
  <c r="S406" i="4" s="1"/>
  <c r="AI406" i="4" s="1"/>
  <c r="M406" i="13"/>
  <c r="R406" i="4" s="1"/>
  <c r="AD406" i="4" s="1"/>
  <c r="L406" i="13"/>
  <c r="Q406" i="4" s="1"/>
  <c r="AC406" i="4" s="1"/>
  <c r="K406" i="13"/>
  <c r="O406" i="4" s="1"/>
  <c r="N411" i="13"/>
  <c r="S411" i="4" s="1"/>
  <c r="AI411" i="4" s="1"/>
  <c r="M411" i="13"/>
  <c r="R411" i="4" s="1"/>
  <c r="AD411" i="4" s="1"/>
  <c r="L411" i="13"/>
  <c r="Q411" i="4" s="1"/>
  <c r="AC411" i="4" s="1"/>
  <c r="K411" i="13"/>
  <c r="O411" i="4" s="1"/>
  <c r="P411" i="13"/>
  <c r="U411" i="4" s="1"/>
  <c r="P422" i="13"/>
  <c r="U422" i="4" s="1"/>
  <c r="O422" i="13"/>
  <c r="T422" i="4" s="1"/>
  <c r="N422" i="13"/>
  <c r="S422" i="4" s="1"/>
  <c r="M422" i="13"/>
  <c r="R422" i="4" s="1"/>
  <c r="AD422" i="4" s="1"/>
  <c r="L422" i="13"/>
  <c r="Q422" i="4" s="1"/>
  <c r="AC422" i="4" s="1"/>
  <c r="K422" i="13"/>
  <c r="O422" i="4" s="1"/>
  <c r="N427" i="13"/>
  <c r="S427" i="4" s="1"/>
  <c r="M427" i="13"/>
  <c r="R427" i="4" s="1"/>
  <c r="AD427" i="4" s="1"/>
  <c r="L427" i="13"/>
  <c r="Q427" i="4" s="1"/>
  <c r="AC427" i="4" s="1"/>
  <c r="K427" i="13"/>
  <c r="O427" i="4" s="1"/>
  <c r="P427" i="13"/>
  <c r="U427" i="4" s="1"/>
  <c r="P438" i="13"/>
  <c r="U438" i="4" s="1"/>
  <c r="O438" i="13"/>
  <c r="T438" i="4" s="1"/>
  <c r="N438" i="13"/>
  <c r="S438" i="4" s="1"/>
  <c r="AI438" i="4" s="1"/>
  <c r="M438" i="13"/>
  <c r="R438" i="4" s="1"/>
  <c r="AD438" i="4" s="1"/>
  <c r="L438" i="13"/>
  <c r="Q438" i="4" s="1"/>
  <c r="AC438" i="4" s="1"/>
  <c r="K438" i="13"/>
  <c r="O438" i="4" s="1"/>
  <c r="N443" i="13"/>
  <c r="S443" i="4" s="1"/>
  <c r="M443" i="13"/>
  <c r="R443" i="4" s="1"/>
  <c r="AD443" i="4" s="1"/>
  <c r="L443" i="13"/>
  <c r="Q443" i="4" s="1"/>
  <c r="AC443" i="4" s="1"/>
  <c r="K443" i="13"/>
  <c r="O443" i="4" s="1"/>
  <c r="P443" i="13"/>
  <c r="U443" i="4" s="1"/>
  <c r="O443" i="13"/>
  <c r="T443" i="4" s="1"/>
  <c r="O116" i="13"/>
  <c r="T116" i="4" s="1"/>
  <c r="AE116" i="4" s="1"/>
  <c r="P117" i="13"/>
  <c r="U117" i="4" s="1"/>
  <c r="L142" i="13"/>
  <c r="Q142" i="4" s="1"/>
  <c r="AC142" i="4" s="1"/>
  <c r="L161" i="13"/>
  <c r="Q161" i="4" s="1"/>
  <c r="AC161" i="4" s="1"/>
  <c r="L174" i="13"/>
  <c r="Q174" i="4" s="1"/>
  <c r="AC174" i="4" s="1"/>
  <c r="P212" i="13"/>
  <c r="U212" i="4" s="1"/>
  <c r="N212" i="13"/>
  <c r="S212" i="4" s="1"/>
  <c r="K212" i="13"/>
  <c r="O212" i="4" s="1"/>
  <c r="P216" i="13"/>
  <c r="U216" i="4" s="1"/>
  <c r="O216" i="13"/>
  <c r="T216" i="4" s="1"/>
  <c r="N216" i="13"/>
  <c r="S216" i="4" s="1"/>
  <c r="L216" i="13"/>
  <c r="Q216" i="4" s="1"/>
  <c r="AC216" i="4" s="1"/>
  <c r="K216" i="13"/>
  <c r="O216" i="4" s="1"/>
  <c r="P230" i="13"/>
  <c r="U230" i="4" s="1"/>
  <c r="N230" i="13"/>
  <c r="S230" i="4" s="1"/>
  <c r="M230" i="13"/>
  <c r="R230" i="4" s="1"/>
  <c r="AD230" i="4" s="1"/>
  <c r="L230" i="13"/>
  <c r="Q230" i="4" s="1"/>
  <c r="AC230" i="4" s="1"/>
  <c r="K254" i="13"/>
  <c r="O254" i="4" s="1"/>
  <c r="K286" i="13"/>
  <c r="O286" i="4" s="1"/>
  <c r="P355" i="13"/>
  <c r="U355" i="4" s="1"/>
  <c r="O355" i="13"/>
  <c r="T355" i="4" s="1"/>
  <c r="N355" i="13"/>
  <c r="S355" i="4" s="1"/>
  <c r="L355" i="13"/>
  <c r="Q355" i="4" s="1"/>
  <c r="AC355" i="4" s="1"/>
  <c r="K355" i="13"/>
  <c r="O355" i="4" s="1"/>
  <c r="P371" i="13"/>
  <c r="U371" i="4" s="1"/>
  <c r="O371" i="13"/>
  <c r="T371" i="4" s="1"/>
  <c r="N371" i="13"/>
  <c r="S371" i="4" s="1"/>
  <c r="L371" i="13"/>
  <c r="Q371" i="4" s="1"/>
  <c r="AC371" i="4" s="1"/>
  <c r="K371" i="13"/>
  <c r="O371" i="4" s="1"/>
  <c r="P387" i="13"/>
  <c r="U387" i="4" s="1"/>
  <c r="O387" i="13"/>
  <c r="T387" i="4" s="1"/>
  <c r="N387" i="13"/>
  <c r="S387" i="4" s="1"/>
  <c r="L387" i="13"/>
  <c r="Q387" i="4" s="1"/>
  <c r="AC387" i="4" s="1"/>
  <c r="K387" i="13"/>
  <c r="O387" i="4" s="1"/>
  <c r="P403" i="13"/>
  <c r="U403" i="4" s="1"/>
  <c r="O403" i="13"/>
  <c r="T403" i="4" s="1"/>
  <c r="N403" i="13"/>
  <c r="S403" i="4" s="1"/>
  <c r="L403" i="13"/>
  <c r="Q403" i="4" s="1"/>
  <c r="AC403" i="4" s="1"/>
  <c r="K403" i="13"/>
  <c r="O403" i="4" s="1"/>
  <c r="P419" i="13"/>
  <c r="U419" i="4" s="1"/>
  <c r="O419" i="13"/>
  <c r="T419" i="4" s="1"/>
  <c r="N419" i="13"/>
  <c r="S419" i="4" s="1"/>
  <c r="AI419" i="4" s="1"/>
  <c r="L419" i="13"/>
  <c r="Q419" i="4" s="1"/>
  <c r="AC419" i="4" s="1"/>
  <c r="K419" i="13"/>
  <c r="O419" i="4" s="1"/>
  <c r="P435" i="13"/>
  <c r="U435" i="4" s="1"/>
  <c r="O435" i="13"/>
  <c r="T435" i="4" s="1"/>
  <c r="N435" i="13"/>
  <c r="S435" i="4" s="1"/>
  <c r="L435" i="13"/>
  <c r="Q435" i="4" s="1"/>
  <c r="AC435" i="4" s="1"/>
  <c r="K435" i="13"/>
  <c r="O435" i="4" s="1"/>
  <c r="M142" i="13"/>
  <c r="R142" i="4" s="1"/>
  <c r="AD142" i="4" s="1"/>
  <c r="K149" i="13"/>
  <c r="O149" i="4" s="1"/>
  <c r="M174" i="13"/>
  <c r="R174" i="4" s="1"/>
  <c r="AD174" i="4" s="1"/>
  <c r="K181" i="13"/>
  <c r="O181" i="4" s="1"/>
  <c r="O213" i="13"/>
  <c r="T213" i="4" s="1"/>
  <c r="AE213" i="4" s="1"/>
  <c r="M213" i="13"/>
  <c r="R213" i="4" s="1"/>
  <c r="AD213" i="4" s="1"/>
  <c r="L220" i="13"/>
  <c r="Q220" i="4" s="1"/>
  <c r="AC220" i="4" s="1"/>
  <c r="K220" i="13"/>
  <c r="O220" i="4" s="1"/>
  <c r="P220" i="13"/>
  <c r="U220" i="4" s="1"/>
  <c r="O220" i="13"/>
  <c r="T220" i="4" s="1"/>
  <c r="L236" i="13"/>
  <c r="Q236" i="4" s="1"/>
  <c r="AC236" i="4" s="1"/>
  <c r="K236" i="13"/>
  <c r="O236" i="4" s="1"/>
  <c r="P236" i="13"/>
  <c r="U236" i="4" s="1"/>
  <c r="O236" i="13"/>
  <c r="T236" i="4" s="1"/>
  <c r="P259" i="13"/>
  <c r="U259" i="4" s="1"/>
  <c r="O259" i="13"/>
  <c r="T259" i="4" s="1"/>
  <c r="N259" i="13"/>
  <c r="S259" i="4" s="1"/>
  <c r="L259" i="13"/>
  <c r="Q259" i="4" s="1"/>
  <c r="AC259" i="4" s="1"/>
  <c r="K259" i="13"/>
  <c r="O259" i="4" s="1"/>
  <c r="P264" i="13"/>
  <c r="U264" i="4" s="1"/>
  <c r="O264" i="13"/>
  <c r="T264" i="4" s="1"/>
  <c r="N264" i="13"/>
  <c r="S264" i="4" s="1"/>
  <c r="L264" i="13"/>
  <c r="Q264" i="4" s="1"/>
  <c r="AC264" i="4" s="1"/>
  <c r="K264" i="13"/>
  <c r="O264" i="4" s="1"/>
  <c r="L268" i="13"/>
  <c r="Q268" i="4" s="1"/>
  <c r="AC268" i="4" s="1"/>
  <c r="K268" i="13"/>
  <c r="O268" i="4" s="1"/>
  <c r="P268" i="13"/>
  <c r="U268" i="4" s="1"/>
  <c r="O268" i="13"/>
  <c r="T268" i="4" s="1"/>
  <c r="AI268" i="4" s="1"/>
  <c r="P291" i="13"/>
  <c r="U291" i="4" s="1"/>
  <c r="O291" i="13"/>
  <c r="T291" i="4" s="1"/>
  <c r="N291" i="13"/>
  <c r="S291" i="4" s="1"/>
  <c r="L291" i="13"/>
  <c r="Q291" i="4" s="1"/>
  <c r="AC291" i="4" s="1"/>
  <c r="K291" i="13"/>
  <c r="O291" i="4" s="1"/>
  <c r="P296" i="13"/>
  <c r="U296" i="4" s="1"/>
  <c r="O296" i="13"/>
  <c r="T296" i="4" s="1"/>
  <c r="N296" i="13"/>
  <c r="S296" i="4" s="1"/>
  <c r="L296" i="13"/>
  <c r="Q296" i="4" s="1"/>
  <c r="AC296" i="4" s="1"/>
  <c r="K296" i="13"/>
  <c r="O296" i="4" s="1"/>
  <c r="L300" i="13"/>
  <c r="Q300" i="4" s="1"/>
  <c r="AC300" i="4" s="1"/>
  <c r="K300" i="13"/>
  <c r="O300" i="4" s="1"/>
  <c r="P300" i="13"/>
  <c r="U300" i="4" s="1"/>
  <c r="O300" i="13"/>
  <c r="T300" i="4" s="1"/>
  <c r="P305" i="13"/>
  <c r="U305" i="4" s="1"/>
  <c r="N305" i="13"/>
  <c r="S305" i="4" s="1"/>
  <c r="M305" i="13"/>
  <c r="R305" i="4" s="1"/>
  <c r="AD305" i="4" s="1"/>
  <c r="K305" i="13"/>
  <c r="O305" i="4" s="1"/>
  <c r="P321" i="13"/>
  <c r="U321" i="4" s="1"/>
  <c r="N321" i="13"/>
  <c r="S321" i="4" s="1"/>
  <c r="M321" i="13"/>
  <c r="R321" i="4" s="1"/>
  <c r="AD321" i="4" s="1"/>
  <c r="K321" i="13"/>
  <c r="O321" i="4" s="1"/>
  <c r="P337" i="13"/>
  <c r="U337" i="4" s="1"/>
  <c r="N337" i="13"/>
  <c r="S337" i="4" s="1"/>
  <c r="M337" i="13"/>
  <c r="R337" i="4" s="1"/>
  <c r="AD337" i="4" s="1"/>
  <c r="K337" i="13"/>
  <c r="O337" i="4" s="1"/>
  <c r="P351" i="13"/>
  <c r="U351" i="4" s="1"/>
  <c r="O351" i="13"/>
  <c r="T351" i="4" s="1"/>
  <c r="N351" i="13"/>
  <c r="S351" i="4" s="1"/>
  <c r="AI351" i="4" s="1"/>
  <c r="M351" i="13"/>
  <c r="R351" i="4" s="1"/>
  <c r="AD351" i="4" s="1"/>
  <c r="L351" i="13"/>
  <c r="Q351" i="4" s="1"/>
  <c r="AC351" i="4" s="1"/>
  <c r="P360" i="13"/>
  <c r="U360" i="4" s="1"/>
  <c r="O360" i="13"/>
  <c r="T360" i="4" s="1"/>
  <c r="N360" i="13"/>
  <c r="S360" i="4" s="1"/>
  <c r="M360" i="13"/>
  <c r="R360" i="4" s="1"/>
  <c r="AD360" i="4" s="1"/>
  <c r="L360" i="13"/>
  <c r="Q360" i="4" s="1"/>
  <c r="AC360" i="4" s="1"/>
  <c r="K360" i="13"/>
  <c r="O360" i="4" s="1"/>
  <c r="P367" i="13"/>
  <c r="U367" i="4" s="1"/>
  <c r="O367" i="13"/>
  <c r="T367" i="4" s="1"/>
  <c r="N367" i="13"/>
  <c r="S367" i="4" s="1"/>
  <c r="M367" i="13"/>
  <c r="R367" i="4" s="1"/>
  <c r="AD367" i="4" s="1"/>
  <c r="L367" i="13"/>
  <c r="Q367" i="4" s="1"/>
  <c r="AC367" i="4" s="1"/>
  <c r="P376" i="13"/>
  <c r="U376" i="4" s="1"/>
  <c r="O376" i="13"/>
  <c r="T376" i="4" s="1"/>
  <c r="N376" i="13"/>
  <c r="S376" i="4" s="1"/>
  <c r="AI376" i="4" s="1"/>
  <c r="M376" i="13"/>
  <c r="R376" i="4" s="1"/>
  <c r="AD376" i="4" s="1"/>
  <c r="L376" i="13"/>
  <c r="Q376" i="4" s="1"/>
  <c r="AC376" i="4" s="1"/>
  <c r="K376" i="13"/>
  <c r="O376" i="4" s="1"/>
  <c r="P383" i="13"/>
  <c r="U383" i="4" s="1"/>
  <c r="O383" i="13"/>
  <c r="T383" i="4" s="1"/>
  <c r="N383" i="13"/>
  <c r="S383" i="4" s="1"/>
  <c r="M383" i="13"/>
  <c r="R383" i="4" s="1"/>
  <c r="AD383" i="4" s="1"/>
  <c r="L383" i="13"/>
  <c r="Q383" i="4" s="1"/>
  <c r="AC383" i="4" s="1"/>
  <c r="P392" i="13"/>
  <c r="U392" i="4" s="1"/>
  <c r="O392" i="13"/>
  <c r="T392" i="4" s="1"/>
  <c r="N392" i="13"/>
  <c r="S392" i="4" s="1"/>
  <c r="M392" i="13"/>
  <c r="R392" i="4" s="1"/>
  <c r="AD392" i="4" s="1"/>
  <c r="L392" i="13"/>
  <c r="Q392" i="4" s="1"/>
  <c r="AC392" i="4" s="1"/>
  <c r="K392" i="13"/>
  <c r="O392" i="4" s="1"/>
  <c r="P399" i="13"/>
  <c r="U399" i="4" s="1"/>
  <c r="O399" i="13"/>
  <c r="T399" i="4" s="1"/>
  <c r="N399" i="13"/>
  <c r="S399" i="4" s="1"/>
  <c r="M399" i="13"/>
  <c r="R399" i="4" s="1"/>
  <c r="AD399" i="4" s="1"/>
  <c r="L399" i="13"/>
  <c r="Q399" i="4" s="1"/>
  <c r="AC399" i="4" s="1"/>
  <c r="P408" i="13"/>
  <c r="U408" i="4" s="1"/>
  <c r="O408" i="13"/>
  <c r="T408" i="4" s="1"/>
  <c r="N408" i="13"/>
  <c r="S408" i="4" s="1"/>
  <c r="M408" i="13"/>
  <c r="R408" i="4" s="1"/>
  <c r="AD408" i="4" s="1"/>
  <c r="L408" i="13"/>
  <c r="Q408" i="4" s="1"/>
  <c r="AC408" i="4" s="1"/>
  <c r="K408" i="13"/>
  <c r="O408" i="4" s="1"/>
  <c r="P415" i="13"/>
  <c r="U415" i="4" s="1"/>
  <c r="O415" i="13"/>
  <c r="T415" i="4" s="1"/>
  <c r="N415" i="13"/>
  <c r="S415" i="4" s="1"/>
  <c r="M415" i="13"/>
  <c r="R415" i="4" s="1"/>
  <c r="AD415" i="4" s="1"/>
  <c r="L415" i="13"/>
  <c r="Q415" i="4" s="1"/>
  <c r="AC415" i="4" s="1"/>
  <c r="P424" i="13"/>
  <c r="U424" i="4" s="1"/>
  <c r="O424" i="13"/>
  <c r="T424" i="4" s="1"/>
  <c r="N424" i="13"/>
  <c r="S424" i="4" s="1"/>
  <c r="M424" i="13"/>
  <c r="R424" i="4" s="1"/>
  <c r="AD424" i="4" s="1"/>
  <c r="L424" i="13"/>
  <c r="Q424" i="4" s="1"/>
  <c r="AC424" i="4" s="1"/>
  <c r="K424" i="13"/>
  <c r="O424" i="4" s="1"/>
  <c r="P431" i="13"/>
  <c r="U431" i="4" s="1"/>
  <c r="O431" i="13"/>
  <c r="T431" i="4" s="1"/>
  <c r="N431" i="13"/>
  <c r="S431" i="4" s="1"/>
  <c r="M431" i="13"/>
  <c r="R431" i="4" s="1"/>
  <c r="AD431" i="4" s="1"/>
  <c r="L431" i="13"/>
  <c r="Q431" i="4" s="1"/>
  <c r="AC431" i="4" s="1"/>
  <c r="L139" i="13"/>
  <c r="Q139" i="4" s="1"/>
  <c r="AC139" i="4" s="1"/>
  <c r="L149" i="13"/>
  <c r="Q149" i="4" s="1"/>
  <c r="AC149" i="4" s="1"/>
  <c r="K160" i="13"/>
  <c r="O160" i="4" s="1"/>
  <c r="M162" i="13"/>
  <c r="R162" i="4" s="1"/>
  <c r="AD162" i="4" s="1"/>
  <c r="L162" i="13"/>
  <c r="Q162" i="4" s="1"/>
  <c r="AC162" i="4" s="1"/>
  <c r="L171" i="13"/>
  <c r="Q171" i="4" s="1"/>
  <c r="AC171" i="4" s="1"/>
  <c r="L181" i="13"/>
  <c r="Q181" i="4" s="1"/>
  <c r="AC181" i="4" s="1"/>
  <c r="K206" i="13"/>
  <c r="O206" i="4" s="1"/>
  <c r="K221" i="13"/>
  <c r="O221" i="4" s="1"/>
  <c r="O221" i="13"/>
  <c r="T221" i="4" s="1"/>
  <c r="N221" i="13"/>
  <c r="S221" i="4" s="1"/>
  <c r="AI221" i="4" s="1"/>
  <c r="O224" i="13"/>
  <c r="T224" i="4" s="1"/>
  <c r="N224" i="13"/>
  <c r="S224" i="4" s="1"/>
  <c r="AI224" i="4" s="1"/>
  <c r="L224" i="13"/>
  <c r="Q224" i="4" s="1"/>
  <c r="AC224" i="4" s="1"/>
  <c r="K224" i="13"/>
  <c r="O224" i="4" s="1"/>
  <c r="K237" i="13"/>
  <c r="O237" i="4" s="1"/>
  <c r="O237" i="13"/>
  <c r="T237" i="4" s="1"/>
  <c r="AE237" i="4" s="1"/>
  <c r="N237" i="13"/>
  <c r="S237" i="4" s="1"/>
  <c r="P241" i="13"/>
  <c r="U241" i="4" s="1"/>
  <c r="N241" i="13"/>
  <c r="S241" i="4" s="1"/>
  <c r="M241" i="13"/>
  <c r="R241" i="4" s="1"/>
  <c r="AD241" i="4" s="1"/>
  <c r="K241" i="13"/>
  <c r="O241" i="4" s="1"/>
  <c r="P262" i="13"/>
  <c r="U262" i="4" s="1"/>
  <c r="N262" i="13"/>
  <c r="S262" i="4" s="1"/>
  <c r="M262" i="13"/>
  <c r="R262" i="4" s="1"/>
  <c r="AD262" i="4" s="1"/>
  <c r="L262" i="13"/>
  <c r="Q262" i="4" s="1"/>
  <c r="AC262" i="4" s="1"/>
  <c r="K262" i="13"/>
  <c r="O262" i="4" s="1"/>
  <c r="K269" i="13"/>
  <c r="O269" i="4" s="1"/>
  <c r="O269" i="13"/>
  <c r="T269" i="4" s="1"/>
  <c r="AE269" i="4" s="1"/>
  <c r="N269" i="13"/>
  <c r="S269" i="4" s="1"/>
  <c r="AI269" i="4" s="1"/>
  <c r="P273" i="13"/>
  <c r="U273" i="4" s="1"/>
  <c r="N273" i="13"/>
  <c r="S273" i="4" s="1"/>
  <c r="M273" i="13"/>
  <c r="R273" i="4" s="1"/>
  <c r="AD273" i="4" s="1"/>
  <c r="K273" i="13"/>
  <c r="O273" i="4" s="1"/>
  <c r="P294" i="13"/>
  <c r="U294" i="4" s="1"/>
  <c r="N294" i="13"/>
  <c r="S294" i="4" s="1"/>
  <c r="AI294" i="4" s="1"/>
  <c r="M294" i="13"/>
  <c r="R294" i="4" s="1"/>
  <c r="AD294" i="4" s="1"/>
  <c r="L294" i="13"/>
  <c r="Q294" i="4" s="1"/>
  <c r="AC294" i="4" s="1"/>
  <c r="K294" i="13"/>
  <c r="O294" i="4" s="1"/>
  <c r="K301" i="13"/>
  <c r="O301" i="4" s="1"/>
  <c r="O301" i="13"/>
  <c r="T301" i="4" s="1"/>
  <c r="AE301" i="4" s="1"/>
  <c r="N301" i="13"/>
  <c r="S301" i="4" s="1"/>
  <c r="AI301" i="4" s="1"/>
  <c r="O310" i="13"/>
  <c r="T310" i="4" s="1"/>
  <c r="P313" i="13"/>
  <c r="U313" i="4" s="1"/>
  <c r="O313" i="13"/>
  <c r="T313" i="4" s="1"/>
  <c r="N313" i="13"/>
  <c r="S313" i="4" s="1"/>
  <c r="M313" i="13"/>
  <c r="R313" i="4" s="1"/>
  <c r="AD313" i="4" s="1"/>
  <c r="K313" i="13"/>
  <c r="O313" i="4" s="1"/>
  <c r="O326" i="13"/>
  <c r="T326" i="4" s="1"/>
  <c r="P329" i="13"/>
  <c r="U329" i="4" s="1"/>
  <c r="O329" i="13"/>
  <c r="T329" i="4" s="1"/>
  <c r="N329" i="13"/>
  <c r="S329" i="4" s="1"/>
  <c r="M329" i="13"/>
  <c r="R329" i="4" s="1"/>
  <c r="AD329" i="4" s="1"/>
  <c r="K329" i="13"/>
  <c r="O329" i="4" s="1"/>
  <c r="O342" i="13"/>
  <c r="T342" i="4" s="1"/>
  <c r="P345" i="13"/>
  <c r="U345" i="4" s="1"/>
  <c r="O345" i="13"/>
  <c r="T345" i="4" s="1"/>
  <c r="N345" i="13"/>
  <c r="S345" i="4" s="1"/>
  <c r="AI345" i="4" s="1"/>
  <c r="M345" i="13"/>
  <c r="R345" i="4" s="1"/>
  <c r="AD345" i="4" s="1"/>
  <c r="K345" i="13"/>
  <c r="O345" i="4" s="1"/>
  <c r="L349" i="13"/>
  <c r="Q349" i="4" s="1"/>
  <c r="AC349" i="4" s="1"/>
  <c r="K349" i="13"/>
  <c r="O349" i="4" s="1"/>
  <c r="P349" i="13"/>
  <c r="U349" i="4" s="1"/>
  <c r="O349" i="13"/>
  <c r="T349" i="4" s="1"/>
  <c r="N349" i="13"/>
  <c r="S349" i="4" s="1"/>
  <c r="O352" i="13"/>
  <c r="T352" i="4" s="1"/>
  <c r="AE352" i="4" s="1"/>
  <c r="N352" i="13"/>
  <c r="S352" i="4" s="1"/>
  <c r="M352" i="13"/>
  <c r="R352" i="4" s="1"/>
  <c r="AD352" i="4" s="1"/>
  <c r="L352" i="13"/>
  <c r="Q352" i="4" s="1"/>
  <c r="AC352" i="4" s="1"/>
  <c r="K352" i="13"/>
  <c r="O352" i="4" s="1"/>
  <c r="N364" i="13"/>
  <c r="S364" i="4" s="1"/>
  <c r="O368" i="13"/>
  <c r="T368" i="4" s="1"/>
  <c r="N368" i="13"/>
  <c r="S368" i="4" s="1"/>
  <c r="M368" i="13"/>
  <c r="R368" i="4" s="1"/>
  <c r="AD368" i="4" s="1"/>
  <c r="L368" i="13"/>
  <c r="Q368" i="4" s="1"/>
  <c r="AC368" i="4" s="1"/>
  <c r="K368" i="13"/>
  <c r="O368" i="4" s="1"/>
  <c r="N380" i="13"/>
  <c r="S380" i="4" s="1"/>
  <c r="AI380" i="4" s="1"/>
  <c r="O384" i="13"/>
  <c r="T384" i="4" s="1"/>
  <c r="N384" i="13"/>
  <c r="S384" i="4" s="1"/>
  <c r="M384" i="13"/>
  <c r="R384" i="4" s="1"/>
  <c r="AD384" i="4" s="1"/>
  <c r="L384" i="13"/>
  <c r="Q384" i="4" s="1"/>
  <c r="AC384" i="4" s="1"/>
  <c r="K384" i="13"/>
  <c r="O384" i="4" s="1"/>
  <c r="N396" i="13"/>
  <c r="S396" i="4" s="1"/>
  <c r="AI396" i="4" s="1"/>
  <c r="O400" i="13"/>
  <c r="T400" i="4" s="1"/>
  <c r="N400" i="13"/>
  <c r="S400" i="4" s="1"/>
  <c r="M400" i="13"/>
  <c r="R400" i="4" s="1"/>
  <c r="AD400" i="4" s="1"/>
  <c r="L400" i="13"/>
  <c r="Q400" i="4" s="1"/>
  <c r="AC400" i="4" s="1"/>
  <c r="K400" i="13"/>
  <c r="O400" i="4" s="1"/>
  <c r="N412" i="13"/>
  <c r="S412" i="4" s="1"/>
  <c r="O416" i="13"/>
  <c r="T416" i="4" s="1"/>
  <c r="N416" i="13"/>
  <c r="S416" i="4" s="1"/>
  <c r="AI416" i="4" s="1"/>
  <c r="M416" i="13"/>
  <c r="R416" i="4" s="1"/>
  <c r="AD416" i="4" s="1"/>
  <c r="L416" i="13"/>
  <c r="Q416" i="4" s="1"/>
  <c r="AC416" i="4" s="1"/>
  <c r="K416" i="13"/>
  <c r="O416" i="4" s="1"/>
  <c r="N428" i="13"/>
  <c r="S428" i="4" s="1"/>
  <c r="AI428" i="4" s="1"/>
  <c r="O432" i="13"/>
  <c r="T432" i="4" s="1"/>
  <c r="N432" i="13"/>
  <c r="S432" i="4" s="1"/>
  <c r="AI432" i="4" s="1"/>
  <c r="M432" i="13"/>
  <c r="R432" i="4" s="1"/>
  <c r="AD432" i="4" s="1"/>
  <c r="L432" i="13"/>
  <c r="Q432" i="4" s="1"/>
  <c r="AC432" i="4" s="1"/>
  <c r="K432" i="13"/>
  <c r="O432" i="4" s="1"/>
  <c r="M139" i="13"/>
  <c r="R139" i="4" s="1"/>
  <c r="AD139" i="4" s="1"/>
  <c r="M149" i="13"/>
  <c r="R149" i="4" s="1"/>
  <c r="AD149" i="4" s="1"/>
  <c r="M160" i="13"/>
  <c r="R160" i="4" s="1"/>
  <c r="AD160" i="4" s="1"/>
  <c r="N161" i="13"/>
  <c r="S161" i="4" s="1"/>
  <c r="AI161" i="4" s="1"/>
  <c r="M161" i="13"/>
  <c r="R161" i="4" s="1"/>
  <c r="AD161" i="4" s="1"/>
  <c r="K161" i="13"/>
  <c r="O161" i="4" s="1"/>
  <c r="L163" i="13"/>
  <c r="Q163" i="4" s="1"/>
  <c r="AC163" i="4" s="1"/>
  <c r="K163" i="13"/>
  <c r="O163" i="4" s="1"/>
  <c r="M171" i="13"/>
  <c r="R171" i="4" s="1"/>
  <c r="AD171" i="4" s="1"/>
  <c r="M181" i="13"/>
  <c r="R181" i="4" s="1"/>
  <c r="AD181" i="4" s="1"/>
  <c r="P199" i="13"/>
  <c r="U199" i="4" s="1"/>
  <c r="O199" i="13"/>
  <c r="T199" i="4" s="1"/>
  <c r="M199" i="13"/>
  <c r="R199" i="4" s="1"/>
  <c r="AD199" i="4" s="1"/>
  <c r="K199" i="13"/>
  <c r="O199" i="4" s="1"/>
  <c r="L206" i="13"/>
  <c r="Q206" i="4" s="1"/>
  <c r="AC206" i="4" s="1"/>
  <c r="N225" i="13"/>
  <c r="S225" i="4" s="1"/>
  <c r="M225" i="13"/>
  <c r="R225" i="4" s="1"/>
  <c r="AD225" i="4" s="1"/>
  <c r="K225" i="13"/>
  <c r="O225" i="4" s="1"/>
  <c r="M251" i="13"/>
  <c r="R251" i="4" s="1"/>
  <c r="AD251" i="4" s="1"/>
  <c r="L251" i="13"/>
  <c r="Q251" i="4" s="1"/>
  <c r="AC251" i="4" s="1"/>
  <c r="K251" i="13"/>
  <c r="O251" i="4" s="1"/>
  <c r="P251" i="13"/>
  <c r="U251" i="4" s="1"/>
  <c r="M283" i="13"/>
  <c r="R283" i="4" s="1"/>
  <c r="AD283" i="4" s="1"/>
  <c r="L283" i="13"/>
  <c r="Q283" i="4" s="1"/>
  <c r="AC283" i="4" s="1"/>
  <c r="K283" i="13"/>
  <c r="O283" i="4" s="1"/>
  <c r="P283" i="13"/>
  <c r="U283" i="4" s="1"/>
  <c r="K303" i="13"/>
  <c r="O303" i="4" s="1"/>
  <c r="P311" i="13"/>
  <c r="U311" i="4" s="1"/>
  <c r="O311" i="13"/>
  <c r="T311" i="4" s="1"/>
  <c r="AI311" i="4" s="1"/>
  <c r="M311" i="13"/>
  <c r="R311" i="4" s="1"/>
  <c r="AD311" i="4" s="1"/>
  <c r="L311" i="13"/>
  <c r="Q311" i="4" s="1"/>
  <c r="AC311" i="4" s="1"/>
  <c r="K311" i="13"/>
  <c r="O311" i="4" s="1"/>
  <c r="O314" i="13"/>
  <c r="T314" i="4" s="1"/>
  <c r="N314" i="13"/>
  <c r="S314" i="4" s="1"/>
  <c r="M314" i="13"/>
  <c r="R314" i="4" s="1"/>
  <c r="AD314" i="4" s="1"/>
  <c r="L314" i="13"/>
  <c r="Q314" i="4" s="1"/>
  <c r="AC314" i="4" s="1"/>
  <c r="L317" i="13"/>
  <c r="Q317" i="4" s="1"/>
  <c r="AC317" i="4" s="1"/>
  <c r="K317" i="13"/>
  <c r="O317" i="4" s="1"/>
  <c r="O317" i="13"/>
  <c r="T317" i="4" s="1"/>
  <c r="AE317" i="4" s="1"/>
  <c r="N317" i="13"/>
  <c r="S317" i="4" s="1"/>
  <c r="K319" i="13"/>
  <c r="O319" i="4" s="1"/>
  <c r="P327" i="13"/>
  <c r="U327" i="4" s="1"/>
  <c r="O327" i="13"/>
  <c r="T327" i="4" s="1"/>
  <c r="M327" i="13"/>
  <c r="R327" i="4" s="1"/>
  <c r="AD327" i="4" s="1"/>
  <c r="L327" i="13"/>
  <c r="Q327" i="4" s="1"/>
  <c r="AC327" i="4" s="1"/>
  <c r="K327" i="13"/>
  <c r="O327" i="4" s="1"/>
  <c r="O330" i="13"/>
  <c r="T330" i="4" s="1"/>
  <c r="AE330" i="4" s="1"/>
  <c r="N330" i="13"/>
  <c r="S330" i="4" s="1"/>
  <c r="M330" i="13"/>
  <c r="R330" i="4" s="1"/>
  <c r="AD330" i="4" s="1"/>
  <c r="L330" i="13"/>
  <c r="Q330" i="4" s="1"/>
  <c r="AC330" i="4" s="1"/>
  <c r="L333" i="13"/>
  <c r="Q333" i="4" s="1"/>
  <c r="AC333" i="4" s="1"/>
  <c r="K333" i="13"/>
  <c r="O333" i="4" s="1"/>
  <c r="O333" i="13"/>
  <c r="T333" i="4" s="1"/>
  <c r="AE333" i="4" s="1"/>
  <c r="N333" i="13"/>
  <c r="S333" i="4" s="1"/>
  <c r="AI333" i="4" s="1"/>
  <c r="K335" i="13"/>
  <c r="O335" i="4" s="1"/>
  <c r="P343" i="13"/>
  <c r="U343" i="4" s="1"/>
  <c r="O343" i="13"/>
  <c r="T343" i="4" s="1"/>
  <c r="AI343" i="4" s="1"/>
  <c r="M343" i="13"/>
  <c r="R343" i="4" s="1"/>
  <c r="AD343" i="4" s="1"/>
  <c r="L343" i="13"/>
  <c r="Q343" i="4" s="1"/>
  <c r="AC343" i="4" s="1"/>
  <c r="K343" i="13"/>
  <c r="O343" i="4" s="1"/>
  <c r="O346" i="13"/>
  <c r="T346" i="4" s="1"/>
  <c r="AE346" i="4" s="1"/>
  <c r="N346" i="13"/>
  <c r="S346" i="4" s="1"/>
  <c r="M346" i="13"/>
  <c r="R346" i="4" s="1"/>
  <c r="AD346" i="4" s="1"/>
  <c r="L346" i="13"/>
  <c r="Q346" i="4" s="1"/>
  <c r="AC346" i="4" s="1"/>
  <c r="L365" i="13"/>
  <c r="Q365" i="4" s="1"/>
  <c r="AC365" i="4" s="1"/>
  <c r="K365" i="13"/>
  <c r="O365" i="4" s="1"/>
  <c r="P365" i="13"/>
  <c r="U365" i="4" s="1"/>
  <c r="O365" i="13"/>
  <c r="T365" i="4" s="1"/>
  <c r="N365" i="13"/>
  <c r="S365" i="4" s="1"/>
  <c r="L381" i="13"/>
  <c r="Q381" i="4" s="1"/>
  <c r="AC381" i="4" s="1"/>
  <c r="K381" i="13"/>
  <c r="O381" i="4" s="1"/>
  <c r="P381" i="13"/>
  <c r="U381" i="4" s="1"/>
  <c r="O381" i="13"/>
  <c r="T381" i="4" s="1"/>
  <c r="N381" i="13"/>
  <c r="S381" i="4" s="1"/>
  <c r="AI381" i="4" s="1"/>
  <c r="L397" i="13"/>
  <c r="Q397" i="4" s="1"/>
  <c r="AC397" i="4" s="1"/>
  <c r="K397" i="13"/>
  <c r="O397" i="4" s="1"/>
  <c r="P397" i="13"/>
  <c r="U397" i="4" s="1"/>
  <c r="O397" i="13"/>
  <c r="T397" i="4" s="1"/>
  <c r="N397" i="13"/>
  <c r="S397" i="4" s="1"/>
  <c r="AI397" i="4" s="1"/>
  <c r="L413" i="13"/>
  <c r="Q413" i="4" s="1"/>
  <c r="AC413" i="4" s="1"/>
  <c r="K413" i="13"/>
  <c r="O413" i="4" s="1"/>
  <c r="P413" i="13"/>
  <c r="U413" i="4" s="1"/>
  <c r="O413" i="13"/>
  <c r="T413" i="4" s="1"/>
  <c r="N413" i="13"/>
  <c r="S413" i="4" s="1"/>
  <c r="L429" i="13"/>
  <c r="Q429" i="4" s="1"/>
  <c r="AC429" i="4" s="1"/>
  <c r="K429" i="13"/>
  <c r="O429" i="4" s="1"/>
  <c r="P429" i="13"/>
  <c r="U429" i="4" s="1"/>
  <c r="O429" i="13"/>
  <c r="T429" i="4" s="1"/>
  <c r="N429" i="13"/>
  <c r="S429" i="4" s="1"/>
  <c r="M445" i="13"/>
  <c r="R445" i="4" s="1"/>
  <c r="AD445" i="4" s="1"/>
  <c r="L445" i="13"/>
  <c r="Q445" i="4" s="1"/>
  <c r="AC445" i="4" s="1"/>
  <c r="K445" i="13"/>
  <c r="O445" i="4" s="1"/>
  <c r="O445" i="13"/>
  <c r="T445" i="4" s="1"/>
  <c r="N445" i="13"/>
  <c r="S445" i="4" s="1"/>
  <c r="P445" i="13"/>
  <c r="U445" i="4" s="1"/>
  <c r="K136" i="13"/>
  <c r="O136" i="4" s="1"/>
  <c r="N139" i="13"/>
  <c r="S139" i="4" s="1"/>
  <c r="N140" i="13"/>
  <c r="S140" i="4" s="1"/>
  <c r="AI140" i="4" s="1"/>
  <c r="P141" i="13"/>
  <c r="U141" i="4" s="1"/>
  <c r="N149" i="13"/>
  <c r="S149" i="4" s="1"/>
  <c r="AI149" i="4" s="1"/>
  <c r="N171" i="13"/>
  <c r="S171" i="4" s="1"/>
  <c r="N172" i="13"/>
  <c r="S172" i="4" s="1"/>
  <c r="P173" i="13"/>
  <c r="U173" i="4" s="1"/>
  <c r="N181" i="13"/>
  <c r="S181" i="4" s="1"/>
  <c r="AI181" i="4" s="1"/>
  <c r="N197" i="13"/>
  <c r="S197" i="4" s="1"/>
  <c r="AI197" i="4" s="1"/>
  <c r="M203" i="13"/>
  <c r="R203" i="4" s="1"/>
  <c r="AD203" i="4" s="1"/>
  <c r="L203" i="13"/>
  <c r="Q203" i="4" s="1"/>
  <c r="AC203" i="4" s="1"/>
  <c r="K203" i="13"/>
  <c r="O203" i="4" s="1"/>
  <c r="P203" i="13"/>
  <c r="U203" i="4" s="1"/>
  <c r="O206" i="13"/>
  <c r="T206" i="4" s="1"/>
  <c r="L215" i="13"/>
  <c r="Q215" i="4" s="1"/>
  <c r="AC215" i="4" s="1"/>
  <c r="N219" i="13"/>
  <c r="S219" i="4" s="1"/>
  <c r="AI219" i="4" s="1"/>
  <c r="O229" i="13"/>
  <c r="T229" i="4" s="1"/>
  <c r="AE229" i="4" s="1"/>
  <c r="N229" i="13"/>
  <c r="S229" i="4" s="1"/>
  <c r="M229" i="13"/>
  <c r="R229" i="4" s="1"/>
  <c r="AD229" i="4" s="1"/>
  <c r="N235" i="13"/>
  <c r="S235" i="4" s="1"/>
  <c r="AI235" i="4" s="1"/>
  <c r="O246" i="13"/>
  <c r="T246" i="4" s="1"/>
  <c r="M253" i="13"/>
  <c r="R253" i="4" s="1"/>
  <c r="AD253" i="4" s="1"/>
  <c r="O257" i="13"/>
  <c r="T257" i="4" s="1"/>
  <c r="N267" i="13"/>
  <c r="S267" i="4" s="1"/>
  <c r="AI267" i="4" s="1"/>
  <c r="O278" i="13"/>
  <c r="T278" i="4" s="1"/>
  <c r="M285" i="13"/>
  <c r="R285" i="4" s="1"/>
  <c r="AD285" i="4" s="1"/>
  <c r="O289" i="13"/>
  <c r="T289" i="4" s="1"/>
  <c r="N299" i="13"/>
  <c r="S299" i="4" s="1"/>
  <c r="L356" i="13"/>
  <c r="Q356" i="4" s="1"/>
  <c r="AC356" i="4" s="1"/>
  <c r="L372" i="13"/>
  <c r="Q372" i="4" s="1"/>
  <c r="AC372" i="4" s="1"/>
  <c r="L388" i="13"/>
  <c r="Q388" i="4" s="1"/>
  <c r="AC388" i="4" s="1"/>
  <c r="L404" i="13"/>
  <c r="Q404" i="4" s="1"/>
  <c r="AC404" i="4" s="1"/>
  <c r="L420" i="13"/>
  <c r="Q420" i="4" s="1"/>
  <c r="AC420" i="4" s="1"/>
  <c r="L436" i="13"/>
  <c r="Q436" i="4" s="1"/>
  <c r="AC436" i="4" s="1"/>
  <c r="M136" i="13"/>
  <c r="R136" i="4" s="1"/>
  <c r="AD136" i="4" s="1"/>
  <c r="P142" i="13"/>
  <c r="U142" i="4" s="1"/>
  <c r="N142" i="13"/>
  <c r="S142" i="4" s="1"/>
  <c r="O160" i="13"/>
  <c r="T160" i="4" s="1"/>
  <c r="AE160" i="4" s="1"/>
  <c r="N160" i="13"/>
  <c r="S160" i="4" s="1"/>
  <c r="AI160" i="4" s="1"/>
  <c r="L160" i="13"/>
  <c r="Q160" i="4" s="1"/>
  <c r="AC160" i="4" s="1"/>
  <c r="P174" i="13"/>
  <c r="U174" i="4" s="1"/>
  <c r="N174" i="13"/>
  <c r="S174" i="4" s="1"/>
  <c r="AI174" i="4" s="1"/>
  <c r="N193" i="13"/>
  <c r="S193" i="4" s="1"/>
  <c r="AI193" i="4" s="1"/>
  <c r="M193" i="13"/>
  <c r="R193" i="4" s="1"/>
  <c r="AD193" i="4" s="1"/>
  <c r="K193" i="13"/>
  <c r="O193" i="4" s="1"/>
  <c r="P247" i="13"/>
  <c r="U247" i="4" s="1"/>
  <c r="O247" i="13"/>
  <c r="T247" i="4" s="1"/>
  <c r="M247" i="13"/>
  <c r="R247" i="4" s="1"/>
  <c r="AD247" i="4" s="1"/>
  <c r="L247" i="13"/>
  <c r="Q247" i="4" s="1"/>
  <c r="AC247" i="4" s="1"/>
  <c r="K247" i="13"/>
  <c r="O247" i="4" s="1"/>
  <c r="P258" i="13"/>
  <c r="U258" i="4" s="1"/>
  <c r="O258" i="13"/>
  <c r="T258" i="4" s="1"/>
  <c r="M258" i="13"/>
  <c r="R258" i="4" s="1"/>
  <c r="AD258" i="4" s="1"/>
  <c r="L258" i="13"/>
  <c r="Q258" i="4" s="1"/>
  <c r="AC258" i="4" s="1"/>
  <c r="P279" i="13"/>
  <c r="U279" i="4" s="1"/>
  <c r="O279" i="13"/>
  <c r="T279" i="4" s="1"/>
  <c r="M279" i="13"/>
  <c r="R279" i="4" s="1"/>
  <c r="AD279" i="4" s="1"/>
  <c r="L279" i="13"/>
  <c r="Q279" i="4" s="1"/>
  <c r="AC279" i="4" s="1"/>
  <c r="K279" i="13"/>
  <c r="O279" i="4" s="1"/>
  <c r="P290" i="13"/>
  <c r="U290" i="4" s="1"/>
  <c r="O290" i="13"/>
  <c r="T290" i="4" s="1"/>
  <c r="M290" i="13"/>
  <c r="R290" i="4" s="1"/>
  <c r="AD290" i="4" s="1"/>
  <c r="L290" i="13"/>
  <c r="Q290" i="4" s="1"/>
  <c r="AC290" i="4" s="1"/>
  <c r="O299" i="13"/>
  <c r="T299" i="4" s="1"/>
  <c r="P303" i="13"/>
  <c r="U303" i="4" s="1"/>
  <c r="O303" i="13"/>
  <c r="T303" i="4" s="1"/>
  <c r="M303" i="13"/>
  <c r="R303" i="4" s="1"/>
  <c r="AD303" i="4" s="1"/>
  <c r="L303" i="13"/>
  <c r="Q303" i="4" s="1"/>
  <c r="AC303" i="4" s="1"/>
  <c r="P319" i="13"/>
  <c r="U319" i="4" s="1"/>
  <c r="O319" i="13"/>
  <c r="T319" i="4" s="1"/>
  <c r="AI319" i="4" s="1"/>
  <c r="M319" i="13"/>
  <c r="R319" i="4" s="1"/>
  <c r="AD319" i="4" s="1"/>
  <c r="L319" i="13"/>
  <c r="Q319" i="4" s="1"/>
  <c r="AC319" i="4" s="1"/>
  <c r="P335" i="13"/>
  <c r="U335" i="4" s="1"/>
  <c r="O335" i="13"/>
  <c r="T335" i="4" s="1"/>
  <c r="M335" i="13"/>
  <c r="R335" i="4" s="1"/>
  <c r="AD335" i="4" s="1"/>
  <c r="L335" i="13"/>
  <c r="Q335" i="4" s="1"/>
  <c r="AC335" i="4" s="1"/>
  <c r="P357" i="13"/>
  <c r="U357" i="4" s="1"/>
  <c r="O357" i="13"/>
  <c r="T357" i="4" s="1"/>
  <c r="N357" i="13"/>
  <c r="S357" i="4" s="1"/>
  <c r="M357" i="13"/>
  <c r="R357" i="4" s="1"/>
  <c r="AD357" i="4" s="1"/>
  <c r="L357" i="13"/>
  <c r="Q357" i="4" s="1"/>
  <c r="AC357" i="4" s="1"/>
  <c r="O362" i="13"/>
  <c r="T362" i="4" s="1"/>
  <c r="AE362" i="4" s="1"/>
  <c r="N362" i="13"/>
  <c r="S362" i="4" s="1"/>
  <c r="AI362" i="4" s="1"/>
  <c r="M362" i="13"/>
  <c r="R362" i="4" s="1"/>
  <c r="AD362" i="4" s="1"/>
  <c r="L362" i="13"/>
  <c r="Q362" i="4" s="1"/>
  <c r="AC362" i="4" s="1"/>
  <c r="K362" i="13"/>
  <c r="O362" i="4" s="1"/>
  <c r="P373" i="13"/>
  <c r="U373" i="4" s="1"/>
  <c r="O373" i="13"/>
  <c r="T373" i="4" s="1"/>
  <c r="N373" i="13"/>
  <c r="S373" i="4" s="1"/>
  <c r="M373" i="13"/>
  <c r="R373" i="4" s="1"/>
  <c r="AD373" i="4" s="1"/>
  <c r="L373" i="13"/>
  <c r="Q373" i="4" s="1"/>
  <c r="AC373" i="4" s="1"/>
  <c r="O378" i="13"/>
  <c r="T378" i="4" s="1"/>
  <c r="AE378" i="4" s="1"/>
  <c r="N378" i="13"/>
  <c r="S378" i="4" s="1"/>
  <c r="AI378" i="4" s="1"/>
  <c r="M378" i="13"/>
  <c r="R378" i="4" s="1"/>
  <c r="AD378" i="4" s="1"/>
  <c r="L378" i="13"/>
  <c r="Q378" i="4" s="1"/>
  <c r="AC378" i="4" s="1"/>
  <c r="K378" i="13"/>
  <c r="O378" i="4" s="1"/>
  <c r="P389" i="13"/>
  <c r="U389" i="4" s="1"/>
  <c r="O389" i="13"/>
  <c r="T389" i="4" s="1"/>
  <c r="N389" i="13"/>
  <c r="S389" i="4" s="1"/>
  <c r="M389" i="13"/>
  <c r="R389" i="4" s="1"/>
  <c r="AD389" i="4" s="1"/>
  <c r="L389" i="13"/>
  <c r="Q389" i="4" s="1"/>
  <c r="AC389" i="4" s="1"/>
  <c r="O394" i="13"/>
  <c r="T394" i="4" s="1"/>
  <c r="AE394" i="4" s="1"/>
  <c r="N394" i="13"/>
  <c r="S394" i="4" s="1"/>
  <c r="AI394" i="4" s="1"/>
  <c r="M394" i="13"/>
  <c r="R394" i="4" s="1"/>
  <c r="AD394" i="4" s="1"/>
  <c r="L394" i="13"/>
  <c r="Q394" i="4" s="1"/>
  <c r="AC394" i="4" s="1"/>
  <c r="K394" i="13"/>
  <c r="O394" i="4" s="1"/>
  <c r="P405" i="13"/>
  <c r="U405" i="4" s="1"/>
  <c r="O405" i="13"/>
  <c r="T405" i="4" s="1"/>
  <c r="N405" i="13"/>
  <c r="S405" i="4" s="1"/>
  <c r="M405" i="13"/>
  <c r="R405" i="4" s="1"/>
  <c r="AD405" i="4" s="1"/>
  <c r="L405" i="13"/>
  <c r="Q405" i="4" s="1"/>
  <c r="AC405" i="4" s="1"/>
  <c r="O410" i="13"/>
  <c r="T410" i="4" s="1"/>
  <c r="AE410" i="4" s="1"/>
  <c r="N410" i="13"/>
  <c r="S410" i="4" s="1"/>
  <c r="M410" i="13"/>
  <c r="R410" i="4" s="1"/>
  <c r="AD410" i="4" s="1"/>
  <c r="L410" i="13"/>
  <c r="Q410" i="4" s="1"/>
  <c r="AC410" i="4" s="1"/>
  <c r="K410" i="13"/>
  <c r="O410" i="4" s="1"/>
  <c r="O417" i="13"/>
  <c r="T417" i="4" s="1"/>
  <c r="P421" i="13"/>
  <c r="U421" i="4" s="1"/>
  <c r="O421" i="13"/>
  <c r="T421" i="4" s="1"/>
  <c r="N421" i="13"/>
  <c r="S421" i="4" s="1"/>
  <c r="M421" i="13"/>
  <c r="R421" i="4" s="1"/>
  <c r="AD421" i="4" s="1"/>
  <c r="L421" i="13"/>
  <c r="Q421" i="4" s="1"/>
  <c r="AC421" i="4" s="1"/>
  <c r="O426" i="13"/>
  <c r="T426" i="4" s="1"/>
  <c r="AE426" i="4" s="1"/>
  <c r="N426" i="13"/>
  <c r="S426" i="4" s="1"/>
  <c r="M426" i="13"/>
  <c r="R426" i="4" s="1"/>
  <c r="AD426" i="4" s="1"/>
  <c r="L426" i="13"/>
  <c r="Q426" i="4" s="1"/>
  <c r="AC426" i="4" s="1"/>
  <c r="K426" i="13"/>
  <c r="O426" i="4" s="1"/>
  <c r="O433" i="13"/>
  <c r="T433" i="4" s="1"/>
  <c r="P437" i="13"/>
  <c r="U437" i="4" s="1"/>
  <c r="O437" i="13"/>
  <c r="T437" i="4" s="1"/>
  <c r="N437" i="13"/>
  <c r="S437" i="4" s="1"/>
  <c r="AI437" i="4" s="1"/>
  <c r="M437" i="13"/>
  <c r="R437" i="4" s="1"/>
  <c r="AD437" i="4" s="1"/>
  <c r="L437" i="13"/>
  <c r="Q437" i="4" s="1"/>
  <c r="AC437" i="4" s="1"/>
  <c r="O136" i="13"/>
  <c r="T136" i="4" s="1"/>
  <c r="P139" i="13"/>
  <c r="U139" i="4" s="1"/>
  <c r="N147" i="13"/>
  <c r="S147" i="4" s="1"/>
  <c r="AI147" i="4" s="1"/>
  <c r="P171" i="13"/>
  <c r="U171" i="4" s="1"/>
  <c r="N179" i="13"/>
  <c r="S179" i="4" s="1"/>
  <c r="AI179" i="4" s="1"/>
  <c r="M196" i="13"/>
  <c r="R196" i="4" s="1"/>
  <c r="AD196" i="4" s="1"/>
  <c r="P198" i="13"/>
  <c r="U198" i="4" s="1"/>
  <c r="N198" i="13"/>
  <c r="S198" i="4" s="1"/>
  <c r="AI198" i="4" s="1"/>
  <c r="L198" i="13"/>
  <c r="Q198" i="4" s="1"/>
  <c r="AC198" i="4" s="1"/>
  <c r="O201" i="13"/>
  <c r="T201" i="4" s="1"/>
  <c r="N201" i="13"/>
  <c r="S201" i="4" s="1"/>
  <c r="M201" i="13"/>
  <c r="R201" i="4" s="1"/>
  <c r="AD201" i="4" s="1"/>
  <c r="K201" i="13"/>
  <c r="O201" i="4" s="1"/>
  <c r="M205" i="13"/>
  <c r="R205" i="4" s="1"/>
  <c r="AD205" i="4" s="1"/>
  <c r="L209" i="13"/>
  <c r="Q209" i="4" s="1"/>
  <c r="AC209" i="4" s="1"/>
  <c r="M227" i="13"/>
  <c r="R227" i="4" s="1"/>
  <c r="AD227" i="4" s="1"/>
  <c r="O249" i="13"/>
  <c r="T249" i="4" s="1"/>
  <c r="AE249" i="4" s="1"/>
  <c r="N249" i="13"/>
  <c r="S249" i="4" s="1"/>
  <c r="AI249" i="4" s="1"/>
  <c r="M249" i="13"/>
  <c r="R249" i="4" s="1"/>
  <c r="AD249" i="4" s="1"/>
  <c r="K249" i="13"/>
  <c r="O249" i="4" s="1"/>
  <c r="P254" i="13"/>
  <c r="U254" i="4" s="1"/>
  <c r="N254" i="13"/>
  <c r="S254" i="4" s="1"/>
  <c r="M254" i="13"/>
  <c r="R254" i="4" s="1"/>
  <c r="AD254" i="4" s="1"/>
  <c r="N263" i="13"/>
  <c r="S263" i="4" s="1"/>
  <c r="O281" i="13"/>
  <c r="T281" i="4" s="1"/>
  <c r="N281" i="13"/>
  <c r="S281" i="4" s="1"/>
  <c r="M281" i="13"/>
  <c r="R281" i="4" s="1"/>
  <c r="AD281" i="4" s="1"/>
  <c r="K281" i="13"/>
  <c r="O281" i="4" s="1"/>
  <c r="P286" i="13"/>
  <c r="U286" i="4" s="1"/>
  <c r="N286" i="13"/>
  <c r="S286" i="4" s="1"/>
  <c r="AI286" i="4" s="1"/>
  <c r="M286" i="13"/>
  <c r="R286" i="4" s="1"/>
  <c r="AD286" i="4" s="1"/>
  <c r="N295" i="13"/>
  <c r="S295" i="4" s="1"/>
  <c r="O304" i="13"/>
  <c r="T304" i="4" s="1"/>
  <c r="N304" i="13"/>
  <c r="S304" i="4" s="1"/>
  <c r="AI304" i="4" s="1"/>
  <c r="L304" i="13"/>
  <c r="Q304" i="4" s="1"/>
  <c r="AC304" i="4" s="1"/>
  <c r="K304" i="13"/>
  <c r="O304" i="4" s="1"/>
  <c r="N306" i="13"/>
  <c r="S306" i="4" s="1"/>
  <c r="AI306" i="4" s="1"/>
  <c r="K309" i="13"/>
  <c r="O309" i="4" s="1"/>
  <c r="M312" i="13"/>
  <c r="R312" i="4" s="1"/>
  <c r="AD312" i="4" s="1"/>
  <c r="O320" i="13"/>
  <c r="T320" i="4" s="1"/>
  <c r="N320" i="13"/>
  <c r="S320" i="4" s="1"/>
  <c r="L320" i="13"/>
  <c r="Q320" i="4" s="1"/>
  <c r="AC320" i="4" s="1"/>
  <c r="K320" i="13"/>
  <c r="O320" i="4" s="1"/>
  <c r="N322" i="13"/>
  <c r="S322" i="4" s="1"/>
  <c r="K325" i="13"/>
  <c r="O325" i="4" s="1"/>
  <c r="M328" i="13"/>
  <c r="R328" i="4" s="1"/>
  <c r="AD328" i="4" s="1"/>
  <c r="O336" i="13"/>
  <c r="T336" i="4" s="1"/>
  <c r="N336" i="13"/>
  <c r="S336" i="4" s="1"/>
  <c r="L336" i="13"/>
  <c r="Q336" i="4" s="1"/>
  <c r="AC336" i="4" s="1"/>
  <c r="K336" i="13"/>
  <c r="O336" i="4" s="1"/>
  <c r="N338" i="13"/>
  <c r="S338" i="4" s="1"/>
  <c r="L350" i="13"/>
  <c r="Q350" i="4" s="1"/>
  <c r="AC350" i="4" s="1"/>
  <c r="P354" i="13"/>
  <c r="U354" i="4" s="1"/>
  <c r="O354" i="13"/>
  <c r="T354" i="4" s="1"/>
  <c r="M354" i="13"/>
  <c r="R354" i="4" s="1"/>
  <c r="AD354" i="4" s="1"/>
  <c r="L354" i="13"/>
  <c r="Q354" i="4" s="1"/>
  <c r="AC354" i="4" s="1"/>
  <c r="K354" i="13"/>
  <c r="O354" i="4" s="1"/>
  <c r="L366" i="13"/>
  <c r="Q366" i="4" s="1"/>
  <c r="AC366" i="4" s="1"/>
  <c r="P370" i="13"/>
  <c r="U370" i="4" s="1"/>
  <c r="O370" i="13"/>
  <c r="T370" i="4" s="1"/>
  <c r="M370" i="13"/>
  <c r="R370" i="4" s="1"/>
  <c r="AD370" i="4" s="1"/>
  <c r="L370" i="13"/>
  <c r="Q370" i="4" s="1"/>
  <c r="AC370" i="4" s="1"/>
  <c r="K370" i="13"/>
  <c r="O370" i="4" s="1"/>
  <c r="L382" i="13"/>
  <c r="Q382" i="4" s="1"/>
  <c r="AC382" i="4" s="1"/>
  <c r="P386" i="13"/>
  <c r="U386" i="4" s="1"/>
  <c r="O386" i="13"/>
  <c r="T386" i="4" s="1"/>
  <c r="AI386" i="4" s="1"/>
  <c r="M386" i="13"/>
  <c r="R386" i="4" s="1"/>
  <c r="AD386" i="4" s="1"/>
  <c r="L386" i="13"/>
  <c r="Q386" i="4" s="1"/>
  <c r="AC386" i="4" s="1"/>
  <c r="K386" i="13"/>
  <c r="O386" i="4" s="1"/>
  <c r="L398" i="13"/>
  <c r="Q398" i="4" s="1"/>
  <c r="AC398" i="4" s="1"/>
  <c r="P402" i="13"/>
  <c r="U402" i="4" s="1"/>
  <c r="O402" i="13"/>
  <c r="T402" i="4" s="1"/>
  <c r="M402" i="13"/>
  <c r="R402" i="4" s="1"/>
  <c r="AD402" i="4" s="1"/>
  <c r="L402" i="13"/>
  <c r="Q402" i="4" s="1"/>
  <c r="AC402" i="4" s="1"/>
  <c r="K402" i="13"/>
  <c r="O402" i="4" s="1"/>
  <c r="L414" i="13"/>
  <c r="Q414" i="4" s="1"/>
  <c r="AC414" i="4" s="1"/>
  <c r="P418" i="13"/>
  <c r="U418" i="4" s="1"/>
  <c r="O418" i="13"/>
  <c r="T418" i="4" s="1"/>
  <c r="M418" i="13"/>
  <c r="R418" i="4" s="1"/>
  <c r="AD418" i="4" s="1"/>
  <c r="L418" i="13"/>
  <c r="Q418" i="4" s="1"/>
  <c r="AC418" i="4" s="1"/>
  <c r="K418" i="13"/>
  <c r="O418" i="4" s="1"/>
  <c r="L430" i="13"/>
  <c r="Q430" i="4" s="1"/>
  <c r="AC430" i="4" s="1"/>
  <c r="P434" i="13"/>
  <c r="U434" i="4" s="1"/>
  <c r="O434" i="13"/>
  <c r="T434" i="4" s="1"/>
  <c r="M434" i="13"/>
  <c r="R434" i="4" s="1"/>
  <c r="AD434" i="4" s="1"/>
  <c r="L434" i="13"/>
  <c r="Q434" i="4" s="1"/>
  <c r="AC434" i="4" s="1"/>
  <c r="K434" i="13"/>
  <c r="O434" i="4" s="1"/>
  <c r="L107" i="13"/>
  <c r="Q107" i="4" s="1"/>
  <c r="AC107" i="4" s="1"/>
  <c r="K122" i="13"/>
  <c r="O122" i="4" s="1"/>
  <c r="L123" i="13"/>
  <c r="Q123" i="4" s="1"/>
  <c r="AC123" i="4" s="1"/>
  <c r="P136" i="13"/>
  <c r="U136" i="4" s="1"/>
  <c r="O147" i="13"/>
  <c r="T147" i="4" s="1"/>
  <c r="AE147" i="4" s="1"/>
  <c r="K158" i="13"/>
  <c r="O158" i="4" s="1"/>
  <c r="O179" i="13"/>
  <c r="T179" i="4" s="1"/>
  <c r="AE179" i="4" s="1"/>
  <c r="K190" i="13"/>
  <c r="O190" i="4" s="1"/>
  <c r="O196" i="13"/>
  <c r="T196" i="4" s="1"/>
  <c r="K200" i="13"/>
  <c r="O200" i="4" s="1"/>
  <c r="N202" i="13"/>
  <c r="S202" i="4" s="1"/>
  <c r="AI202" i="4" s="1"/>
  <c r="M202" i="13"/>
  <c r="R202" i="4" s="1"/>
  <c r="AD202" i="4" s="1"/>
  <c r="L202" i="13"/>
  <c r="Q202" i="4" s="1"/>
  <c r="AC202" i="4" s="1"/>
  <c r="P205" i="13"/>
  <c r="U205" i="4" s="1"/>
  <c r="O209" i="13"/>
  <c r="T209" i="4" s="1"/>
  <c r="O211" i="13"/>
  <c r="T211" i="4" s="1"/>
  <c r="AE211" i="4" s="1"/>
  <c r="L211" i="13"/>
  <c r="Q211" i="4" s="1"/>
  <c r="AC211" i="4" s="1"/>
  <c r="K211" i="13"/>
  <c r="O211" i="4" s="1"/>
  <c r="N227" i="13"/>
  <c r="S227" i="4" s="1"/>
  <c r="AI227" i="4" s="1"/>
  <c r="O240" i="13"/>
  <c r="T240" i="4" s="1"/>
  <c r="N240" i="13"/>
  <c r="S240" i="4" s="1"/>
  <c r="L240" i="13"/>
  <c r="Q240" i="4" s="1"/>
  <c r="AC240" i="4" s="1"/>
  <c r="K240" i="13"/>
  <c r="O240" i="4" s="1"/>
  <c r="K242" i="13"/>
  <c r="O242" i="4" s="1"/>
  <c r="N250" i="13"/>
  <c r="S250" i="4" s="1"/>
  <c r="AI250" i="4" s="1"/>
  <c r="M250" i="13"/>
  <c r="R250" i="4" s="1"/>
  <c r="AD250" i="4" s="1"/>
  <c r="L250" i="13"/>
  <c r="Q250" i="4" s="1"/>
  <c r="AC250" i="4" s="1"/>
  <c r="M252" i="13"/>
  <c r="R252" i="4" s="1"/>
  <c r="AD252" i="4" s="1"/>
  <c r="O261" i="13"/>
  <c r="T261" i="4" s="1"/>
  <c r="AE261" i="4" s="1"/>
  <c r="N261" i="13"/>
  <c r="S261" i="4" s="1"/>
  <c r="AI261" i="4" s="1"/>
  <c r="M261" i="13"/>
  <c r="R261" i="4" s="1"/>
  <c r="AD261" i="4" s="1"/>
  <c r="L261" i="13"/>
  <c r="Q261" i="4" s="1"/>
  <c r="AC261" i="4" s="1"/>
  <c r="O272" i="13"/>
  <c r="T272" i="4" s="1"/>
  <c r="N272" i="13"/>
  <c r="S272" i="4" s="1"/>
  <c r="L272" i="13"/>
  <c r="Q272" i="4" s="1"/>
  <c r="AC272" i="4" s="1"/>
  <c r="K272" i="13"/>
  <c r="O272" i="4" s="1"/>
  <c r="K274" i="13"/>
  <c r="O274" i="4" s="1"/>
  <c r="N282" i="13"/>
  <c r="S282" i="4" s="1"/>
  <c r="AI282" i="4" s="1"/>
  <c r="M282" i="13"/>
  <c r="R282" i="4" s="1"/>
  <c r="AD282" i="4" s="1"/>
  <c r="L282" i="13"/>
  <c r="Q282" i="4" s="1"/>
  <c r="AC282" i="4" s="1"/>
  <c r="M284" i="13"/>
  <c r="R284" i="4" s="1"/>
  <c r="AD284" i="4" s="1"/>
  <c r="O293" i="13"/>
  <c r="T293" i="4" s="1"/>
  <c r="AE293" i="4" s="1"/>
  <c r="N293" i="13"/>
  <c r="S293" i="4" s="1"/>
  <c r="AI293" i="4" s="1"/>
  <c r="M293" i="13"/>
  <c r="R293" i="4" s="1"/>
  <c r="AD293" i="4" s="1"/>
  <c r="L293" i="13"/>
  <c r="Q293" i="4" s="1"/>
  <c r="AC293" i="4" s="1"/>
  <c r="P307" i="13"/>
  <c r="U307" i="4" s="1"/>
  <c r="O307" i="13"/>
  <c r="T307" i="4" s="1"/>
  <c r="N307" i="13"/>
  <c r="S307" i="4" s="1"/>
  <c r="L307" i="13"/>
  <c r="Q307" i="4" s="1"/>
  <c r="AC307" i="4" s="1"/>
  <c r="K307" i="13"/>
  <c r="O307" i="4" s="1"/>
  <c r="P309" i="13"/>
  <c r="U309" i="4" s="1"/>
  <c r="O315" i="13"/>
  <c r="T315" i="4" s="1"/>
  <c r="P323" i="13"/>
  <c r="U323" i="4" s="1"/>
  <c r="O323" i="13"/>
  <c r="T323" i="4" s="1"/>
  <c r="N323" i="13"/>
  <c r="S323" i="4" s="1"/>
  <c r="L323" i="13"/>
  <c r="Q323" i="4" s="1"/>
  <c r="AC323" i="4" s="1"/>
  <c r="K323" i="13"/>
  <c r="O323" i="4" s="1"/>
  <c r="P325" i="13"/>
  <c r="U325" i="4" s="1"/>
  <c r="O331" i="13"/>
  <c r="T331" i="4" s="1"/>
  <c r="P339" i="13"/>
  <c r="U339" i="4" s="1"/>
  <c r="O339" i="13"/>
  <c r="T339" i="4" s="1"/>
  <c r="N339" i="13"/>
  <c r="S339" i="4" s="1"/>
  <c r="AI339" i="4" s="1"/>
  <c r="L339" i="13"/>
  <c r="Q339" i="4" s="1"/>
  <c r="AC339" i="4" s="1"/>
  <c r="K339" i="13"/>
  <c r="O339" i="4" s="1"/>
  <c r="P341" i="13"/>
  <c r="U341" i="4" s="1"/>
  <c r="P449" i="13"/>
  <c r="U449" i="4" s="1"/>
  <c r="O449" i="13"/>
  <c r="T449" i="4" s="1"/>
  <c r="N449" i="13"/>
  <c r="S449" i="4" s="1"/>
  <c r="M449" i="13"/>
  <c r="R449" i="4" s="1"/>
  <c r="AD449" i="4" s="1"/>
  <c r="L449" i="13"/>
  <c r="Q449" i="4" s="1"/>
  <c r="AC449" i="4" s="1"/>
  <c r="K449" i="13"/>
  <c r="O449" i="4" s="1"/>
  <c r="P465" i="13"/>
  <c r="U465" i="4" s="1"/>
  <c r="O465" i="13"/>
  <c r="T465" i="4" s="1"/>
  <c r="N465" i="13"/>
  <c r="S465" i="4" s="1"/>
  <c r="AI465" i="4" s="1"/>
  <c r="M465" i="13"/>
  <c r="R465" i="4" s="1"/>
  <c r="AD465" i="4" s="1"/>
  <c r="L465" i="13"/>
  <c r="Q465" i="4" s="1"/>
  <c r="AC465" i="4" s="1"/>
  <c r="K465" i="13"/>
  <c r="O465" i="4" s="1"/>
  <c r="P481" i="13"/>
  <c r="U481" i="4" s="1"/>
  <c r="O481" i="13"/>
  <c r="T481" i="4" s="1"/>
  <c r="N481" i="13"/>
  <c r="S481" i="4" s="1"/>
  <c r="M481" i="13"/>
  <c r="R481" i="4" s="1"/>
  <c r="AD481" i="4" s="1"/>
  <c r="L481" i="13"/>
  <c r="Q481" i="4" s="1"/>
  <c r="AC481" i="4" s="1"/>
  <c r="K481" i="13"/>
  <c r="O481" i="4" s="1"/>
  <c r="P497" i="13"/>
  <c r="U497" i="4" s="1"/>
  <c r="O497" i="13"/>
  <c r="T497" i="4" s="1"/>
  <c r="N497" i="13"/>
  <c r="S497" i="4" s="1"/>
  <c r="M497" i="13"/>
  <c r="R497" i="4" s="1"/>
  <c r="AD497" i="4" s="1"/>
  <c r="L497" i="13"/>
  <c r="Q497" i="4" s="1"/>
  <c r="AC497" i="4" s="1"/>
  <c r="K497" i="13"/>
  <c r="O497" i="4" s="1"/>
  <c r="P513" i="13"/>
  <c r="U513" i="4" s="1"/>
  <c r="O513" i="13"/>
  <c r="T513" i="4" s="1"/>
  <c r="N513" i="13"/>
  <c r="S513" i="4" s="1"/>
  <c r="M513" i="13"/>
  <c r="R513" i="4" s="1"/>
  <c r="AD513" i="4" s="1"/>
  <c r="L513" i="13"/>
  <c r="Q513" i="4" s="1"/>
  <c r="AC513" i="4" s="1"/>
  <c r="K513" i="13"/>
  <c r="O513" i="4" s="1"/>
  <c r="P529" i="13"/>
  <c r="U529" i="4" s="1"/>
  <c r="O529" i="13"/>
  <c r="T529" i="4" s="1"/>
  <c r="N529" i="13"/>
  <c r="S529" i="4" s="1"/>
  <c r="M529" i="13"/>
  <c r="R529" i="4" s="1"/>
  <c r="AD529" i="4" s="1"/>
  <c r="L529" i="13"/>
  <c r="Q529" i="4" s="1"/>
  <c r="AC529" i="4" s="1"/>
  <c r="K529" i="13"/>
  <c r="O529" i="4" s="1"/>
  <c r="P545" i="13"/>
  <c r="U545" i="4" s="1"/>
  <c r="O545" i="13"/>
  <c r="T545" i="4" s="1"/>
  <c r="N545" i="13"/>
  <c r="S545" i="4" s="1"/>
  <c r="M545" i="13"/>
  <c r="R545" i="4" s="1"/>
  <c r="AD545" i="4" s="1"/>
  <c r="L545" i="13"/>
  <c r="Q545" i="4" s="1"/>
  <c r="AC545" i="4" s="1"/>
  <c r="K545" i="13"/>
  <c r="O545" i="4" s="1"/>
  <c r="P561" i="13"/>
  <c r="U561" i="4" s="1"/>
  <c r="O561" i="13"/>
  <c r="T561" i="4" s="1"/>
  <c r="N561" i="13"/>
  <c r="S561" i="4" s="1"/>
  <c r="M561" i="13"/>
  <c r="R561" i="4" s="1"/>
  <c r="AD561" i="4" s="1"/>
  <c r="L561" i="13"/>
  <c r="Q561" i="4" s="1"/>
  <c r="AC561" i="4" s="1"/>
  <c r="K561" i="13"/>
  <c r="O561" i="4" s="1"/>
  <c r="P577" i="13"/>
  <c r="U577" i="4" s="1"/>
  <c r="O577" i="13"/>
  <c r="T577" i="4" s="1"/>
  <c r="N577" i="13"/>
  <c r="S577" i="4" s="1"/>
  <c r="M577" i="13"/>
  <c r="R577" i="4" s="1"/>
  <c r="AD577" i="4" s="1"/>
  <c r="L577" i="13"/>
  <c r="Q577" i="4" s="1"/>
  <c r="AC577" i="4" s="1"/>
  <c r="K577" i="13"/>
  <c r="O577" i="4" s="1"/>
  <c r="P458" i="13"/>
  <c r="U458" i="4" s="1"/>
  <c r="O458" i="13"/>
  <c r="T458" i="4" s="1"/>
  <c r="N458" i="13"/>
  <c r="S458" i="4" s="1"/>
  <c r="AI458" i="4" s="1"/>
  <c r="M458" i="13"/>
  <c r="R458" i="4" s="1"/>
  <c r="AD458" i="4" s="1"/>
  <c r="L458" i="13"/>
  <c r="Q458" i="4" s="1"/>
  <c r="AC458" i="4" s="1"/>
  <c r="K458" i="13"/>
  <c r="O458" i="4" s="1"/>
  <c r="P474" i="13"/>
  <c r="U474" i="4" s="1"/>
  <c r="O474" i="13"/>
  <c r="T474" i="4" s="1"/>
  <c r="N474" i="13"/>
  <c r="S474" i="4" s="1"/>
  <c r="M474" i="13"/>
  <c r="R474" i="4" s="1"/>
  <c r="AD474" i="4" s="1"/>
  <c r="L474" i="13"/>
  <c r="Q474" i="4" s="1"/>
  <c r="AC474" i="4" s="1"/>
  <c r="K474" i="13"/>
  <c r="O474" i="4" s="1"/>
  <c r="P490" i="13"/>
  <c r="U490" i="4" s="1"/>
  <c r="O490" i="13"/>
  <c r="T490" i="4" s="1"/>
  <c r="N490" i="13"/>
  <c r="S490" i="4" s="1"/>
  <c r="M490" i="13"/>
  <c r="R490" i="4" s="1"/>
  <c r="AD490" i="4" s="1"/>
  <c r="L490" i="13"/>
  <c r="Q490" i="4" s="1"/>
  <c r="AC490" i="4" s="1"/>
  <c r="K490" i="13"/>
  <c r="O490" i="4" s="1"/>
  <c r="P506" i="13"/>
  <c r="U506" i="4" s="1"/>
  <c r="O506" i="13"/>
  <c r="T506" i="4" s="1"/>
  <c r="N506" i="13"/>
  <c r="S506" i="4" s="1"/>
  <c r="M506" i="13"/>
  <c r="R506" i="4" s="1"/>
  <c r="AD506" i="4" s="1"/>
  <c r="L506" i="13"/>
  <c r="Q506" i="4" s="1"/>
  <c r="AC506" i="4" s="1"/>
  <c r="K506" i="13"/>
  <c r="O506" i="4" s="1"/>
  <c r="P522" i="13"/>
  <c r="U522" i="4" s="1"/>
  <c r="O522" i="13"/>
  <c r="T522" i="4" s="1"/>
  <c r="N522" i="13"/>
  <c r="S522" i="4" s="1"/>
  <c r="M522" i="13"/>
  <c r="R522" i="4" s="1"/>
  <c r="AD522" i="4" s="1"/>
  <c r="L522" i="13"/>
  <c r="Q522" i="4" s="1"/>
  <c r="AC522" i="4" s="1"/>
  <c r="K522" i="13"/>
  <c r="O522" i="4" s="1"/>
  <c r="P538" i="13"/>
  <c r="U538" i="4" s="1"/>
  <c r="O538" i="13"/>
  <c r="T538" i="4" s="1"/>
  <c r="N538" i="13"/>
  <c r="S538" i="4" s="1"/>
  <c r="M538" i="13"/>
  <c r="R538" i="4" s="1"/>
  <c r="AD538" i="4" s="1"/>
  <c r="L538" i="13"/>
  <c r="Q538" i="4" s="1"/>
  <c r="AC538" i="4" s="1"/>
  <c r="K538" i="13"/>
  <c r="O538" i="4" s="1"/>
  <c r="P554" i="13"/>
  <c r="U554" i="4" s="1"/>
  <c r="O554" i="13"/>
  <c r="T554" i="4" s="1"/>
  <c r="N554" i="13"/>
  <c r="S554" i="4" s="1"/>
  <c r="M554" i="13"/>
  <c r="R554" i="4" s="1"/>
  <c r="AD554" i="4" s="1"/>
  <c r="L554" i="13"/>
  <c r="Q554" i="4" s="1"/>
  <c r="AC554" i="4" s="1"/>
  <c r="K554" i="13"/>
  <c r="O554" i="4" s="1"/>
  <c r="P570" i="13"/>
  <c r="U570" i="4" s="1"/>
  <c r="O570" i="13"/>
  <c r="T570" i="4" s="1"/>
  <c r="N570" i="13"/>
  <c r="S570" i="4" s="1"/>
  <c r="AI570" i="4" s="1"/>
  <c r="M570" i="13"/>
  <c r="R570" i="4" s="1"/>
  <c r="AD570" i="4" s="1"/>
  <c r="L570" i="13"/>
  <c r="Q570" i="4" s="1"/>
  <c r="AC570" i="4" s="1"/>
  <c r="K570" i="13"/>
  <c r="O570" i="4" s="1"/>
  <c r="P586" i="13"/>
  <c r="U586" i="4" s="1"/>
  <c r="O586" i="13"/>
  <c r="T586" i="4" s="1"/>
  <c r="N586" i="13"/>
  <c r="S586" i="4" s="1"/>
  <c r="AI586" i="4" s="1"/>
  <c r="M586" i="13"/>
  <c r="R586" i="4" s="1"/>
  <c r="AD586" i="4" s="1"/>
  <c r="L586" i="13"/>
  <c r="Q586" i="4" s="1"/>
  <c r="AC586" i="4" s="1"/>
  <c r="K586" i="13"/>
  <c r="O586" i="4" s="1"/>
  <c r="P602" i="13"/>
  <c r="U602" i="4" s="1"/>
  <c r="O602" i="13"/>
  <c r="T602" i="4" s="1"/>
  <c r="N602" i="13"/>
  <c r="S602" i="4" s="1"/>
  <c r="M602" i="13"/>
  <c r="R602" i="4" s="1"/>
  <c r="AD602" i="4" s="1"/>
  <c r="L602" i="13"/>
  <c r="Q602" i="4" s="1"/>
  <c r="AC602" i="4" s="1"/>
  <c r="K602" i="13"/>
  <c r="O602" i="4" s="1"/>
  <c r="P451" i="13"/>
  <c r="U451" i="4" s="1"/>
  <c r="O451" i="13"/>
  <c r="T451" i="4" s="1"/>
  <c r="N451" i="13"/>
  <c r="S451" i="4" s="1"/>
  <c r="M451" i="13"/>
  <c r="R451" i="4" s="1"/>
  <c r="AD451" i="4" s="1"/>
  <c r="L451" i="13"/>
  <c r="Q451" i="4" s="1"/>
  <c r="AC451" i="4" s="1"/>
  <c r="K451" i="13"/>
  <c r="O451" i="4" s="1"/>
  <c r="P467" i="13"/>
  <c r="U467" i="4" s="1"/>
  <c r="O467" i="13"/>
  <c r="T467" i="4" s="1"/>
  <c r="N467" i="13"/>
  <c r="S467" i="4" s="1"/>
  <c r="M467" i="13"/>
  <c r="R467" i="4" s="1"/>
  <c r="AD467" i="4" s="1"/>
  <c r="L467" i="13"/>
  <c r="Q467" i="4" s="1"/>
  <c r="AC467" i="4" s="1"/>
  <c r="K467" i="13"/>
  <c r="O467" i="4" s="1"/>
  <c r="P483" i="13"/>
  <c r="U483" i="4" s="1"/>
  <c r="O483" i="13"/>
  <c r="T483" i="4" s="1"/>
  <c r="N483" i="13"/>
  <c r="S483" i="4" s="1"/>
  <c r="M483" i="13"/>
  <c r="R483" i="4" s="1"/>
  <c r="AD483" i="4" s="1"/>
  <c r="L483" i="13"/>
  <c r="Q483" i="4" s="1"/>
  <c r="AC483" i="4" s="1"/>
  <c r="K483" i="13"/>
  <c r="O483" i="4" s="1"/>
  <c r="P499" i="13"/>
  <c r="U499" i="4" s="1"/>
  <c r="O499" i="13"/>
  <c r="T499" i="4" s="1"/>
  <c r="N499" i="13"/>
  <c r="S499" i="4" s="1"/>
  <c r="M499" i="13"/>
  <c r="R499" i="4" s="1"/>
  <c r="AD499" i="4" s="1"/>
  <c r="L499" i="13"/>
  <c r="Q499" i="4" s="1"/>
  <c r="AC499" i="4" s="1"/>
  <c r="K499" i="13"/>
  <c r="O499" i="4" s="1"/>
  <c r="P515" i="13"/>
  <c r="U515" i="4" s="1"/>
  <c r="O515" i="13"/>
  <c r="T515" i="4" s="1"/>
  <c r="N515" i="13"/>
  <c r="S515" i="4" s="1"/>
  <c r="AI515" i="4" s="1"/>
  <c r="M515" i="13"/>
  <c r="R515" i="4" s="1"/>
  <c r="AD515" i="4" s="1"/>
  <c r="L515" i="13"/>
  <c r="Q515" i="4" s="1"/>
  <c r="AC515" i="4" s="1"/>
  <c r="K515" i="13"/>
  <c r="O515" i="4" s="1"/>
  <c r="P531" i="13"/>
  <c r="U531" i="4" s="1"/>
  <c r="O531" i="13"/>
  <c r="T531" i="4" s="1"/>
  <c r="N531" i="13"/>
  <c r="S531" i="4" s="1"/>
  <c r="M531" i="13"/>
  <c r="R531" i="4" s="1"/>
  <c r="AD531" i="4" s="1"/>
  <c r="L531" i="13"/>
  <c r="Q531" i="4" s="1"/>
  <c r="AC531" i="4" s="1"/>
  <c r="K531" i="13"/>
  <c r="O531" i="4" s="1"/>
  <c r="P547" i="13"/>
  <c r="U547" i="4" s="1"/>
  <c r="O547" i="13"/>
  <c r="T547" i="4" s="1"/>
  <c r="N547" i="13"/>
  <c r="S547" i="4" s="1"/>
  <c r="AI547" i="4" s="1"/>
  <c r="M547" i="13"/>
  <c r="R547" i="4" s="1"/>
  <c r="AD547" i="4" s="1"/>
  <c r="L547" i="13"/>
  <c r="Q547" i="4" s="1"/>
  <c r="AC547" i="4" s="1"/>
  <c r="K547" i="13"/>
  <c r="O547" i="4" s="1"/>
  <c r="P563" i="13"/>
  <c r="U563" i="4" s="1"/>
  <c r="O563" i="13"/>
  <c r="T563" i="4" s="1"/>
  <c r="N563" i="13"/>
  <c r="S563" i="4" s="1"/>
  <c r="M563" i="13"/>
  <c r="R563" i="4" s="1"/>
  <c r="AD563" i="4" s="1"/>
  <c r="L563" i="13"/>
  <c r="Q563" i="4" s="1"/>
  <c r="AC563" i="4" s="1"/>
  <c r="K563" i="13"/>
  <c r="O563" i="4" s="1"/>
  <c r="P579" i="13"/>
  <c r="U579" i="4" s="1"/>
  <c r="O579" i="13"/>
  <c r="T579" i="4" s="1"/>
  <c r="N579" i="13"/>
  <c r="S579" i="4" s="1"/>
  <c r="M579" i="13"/>
  <c r="R579" i="4" s="1"/>
  <c r="AD579" i="4" s="1"/>
  <c r="L579" i="13"/>
  <c r="Q579" i="4" s="1"/>
  <c r="AC579" i="4" s="1"/>
  <c r="K579" i="13"/>
  <c r="O579" i="4" s="1"/>
  <c r="P595" i="13"/>
  <c r="U595" i="4" s="1"/>
  <c r="O595" i="13"/>
  <c r="T595" i="4" s="1"/>
  <c r="N595" i="13"/>
  <c r="S595" i="4" s="1"/>
  <c r="M595" i="13"/>
  <c r="R595" i="4" s="1"/>
  <c r="AD595" i="4" s="1"/>
  <c r="L595" i="13"/>
  <c r="Q595" i="4" s="1"/>
  <c r="AC595" i="4" s="1"/>
  <c r="K595" i="13"/>
  <c r="O595" i="4" s="1"/>
  <c r="P611" i="13"/>
  <c r="U611" i="4" s="1"/>
  <c r="O611" i="13"/>
  <c r="T611" i="4" s="1"/>
  <c r="N611" i="13"/>
  <c r="S611" i="4" s="1"/>
  <c r="M611" i="13"/>
  <c r="R611" i="4" s="1"/>
  <c r="AD611" i="4" s="1"/>
  <c r="L611" i="13"/>
  <c r="Q611" i="4" s="1"/>
  <c r="AC611" i="4" s="1"/>
  <c r="K611" i="13"/>
  <c r="O611" i="4" s="1"/>
  <c r="N460" i="13"/>
  <c r="S460" i="4" s="1"/>
  <c r="M460" i="13"/>
  <c r="R460" i="4" s="1"/>
  <c r="AD460" i="4" s="1"/>
  <c r="L460" i="13"/>
  <c r="Q460" i="4" s="1"/>
  <c r="AC460" i="4" s="1"/>
  <c r="K460" i="13"/>
  <c r="O460" i="4" s="1"/>
  <c r="P460" i="13"/>
  <c r="U460" i="4" s="1"/>
  <c r="O460" i="13"/>
  <c r="T460" i="4" s="1"/>
  <c r="N476" i="13"/>
  <c r="S476" i="4" s="1"/>
  <c r="M476" i="13"/>
  <c r="R476" i="4" s="1"/>
  <c r="AD476" i="4" s="1"/>
  <c r="L476" i="13"/>
  <c r="Q476" i="4" s="1"/>
  <c r="AC476" i="4" s="1"/>
  <c r="K476" i="13"/>
  <c r="O476" i="4" s="1"/>
  <c r="P476" i="13"/>
  <c r="U476" i="4" s="1"/>
  <c r="O476" i="13"/>
  <c r="T476" i="4" s="1"/>
  <c r="N492" i="13"/>
  <c r="S492" i="4" s="1"/>
  <c r="AI492" i="4" s="1"/>
  <c r="M492" i="13"/>
  <c r="R492" i="4" s="1"/>
  <c r="AD492" i="4" s="1"/>
  <c r="L492" i="13"/>
  <c r="Q492" i="4" s="1"/>
  <c r="AC492" i="4" s="1"/>
  <c r="K492" i="13"/>
  <c r="O492" i="4" s="1"/>
  <c r="P492" i="13"/>
  <c r="U492" i="4" s="1"/>
  <c r="O492" i="13"/>
  <c r="T492" i="4" s="1"/>
  <c r="N508" i="13"/>
  <c r="S508" i="4" s="1"/>
  <c r="M508" i="13"/>
  <c r="R508" i="4" s="1"/>
  <c r="AD508" i="4" s="1"/>
  <c r="L508" i="13"/>
  <c r="Q508" i="4" s="1"/>
  <c r="AC508" i="4" s="1"/>
  <c r="K508" i="13"/>
  <c r="O508" i="4" s="1"/>
  <c r="P508" i="13"/>
  <c r="U508" i="4" s="1"/>
  <c r="O508" i="13"/>
  <c r="T508" i="4" s="1"/>
  <c r="N524" i="13"/>
  <c r="S524" i="4" s="1"/>
  <c r="AI524" i="4" s="1"/>
  <c r="M524" i="13"/>
  <c r="R524" i="4" s="1"/>
  <c r="AD524" i="4" s="1"/>
  <c r="L524" i="13"/>
  <c r="Q524" i="4" s="1"/>
  <c r="AC524" i="4" s="1"/>
  <c r="K524" i="13"/>
  <c r="O524" i="4" s="1"/>
  <c r="P524" i="13"/>
  <c r="U524" i="4" s="1"/>
  <c r="O524" i="13"/>
  <c r="T524" i="4" s="1"/>
  <c r="N540" i="13"/>
  <c r="S540" i="4" s="1"/>
  <c r="AI540" i="4" s="1"/>
  <c r="M540" i="13"/>
  <c r="R540" i="4" s="1"/>
  <c r="AD540" i="4" s="1"/>
  <c r="L540" i="13"/>
  <c r="Q540" i="4" s="1"/>
  <c r="AC540" i="4" s="1"/>
  <c r="K540" i="13"/>
  <c r="O540" i="4" s="1"/>
  <c r="P540" i="13"/>
  <c r="U540" i="4" s="1"/>
  <c r="O540" i="13"/>
  <c r="T540" i="4" s="1"/>
  <c r="N556" i="13"/>
  <c r="S556" i="4" s="1"/>
  <c r="M556" i="13"/>
  <c r="R556" i="4" s="1"/>
  <c r="AD556" i="4" s="1"/>
  <c r="L556" i="13"/>
  <c r="Q556" i="4" s="1"/>
  <c r="AC556" i="4" s="1"/>
  <c r="K556" i="13"/>
  <c r="O556" i="4" s="1"/>
  <c r="P556" i="13"/>
  <c r="U556" i="4" s="1"/>
  <c r="O556" i="13"/>
  <c r="T556" i="4" s="1"/>
  <c r="N572" i="13"/>
  <c r="S572" i="4" s="1"/>
  <c r="M572" i="13"/>
  <c r="R572" i="4" s="1"/>
  <c r="AD572" i="4" s="1"/>
  <c r="L572" i="13"/>
  <c r="Q572" i="4" s="1"/>
  <c r="AC572" i="4" s="1"/>
  <c r="K572" i="13"/>
  <c r="O572" i="4" s="1"/>
  <c r="P572" i="13"/>
  <c r="U572" i="4" s="1"/>
  <c r="O572" i="13"/>
  <c r="T572" i="4" s="1"/>
  <c r="N588" i="13"/>
  <c r="S588" i="4" s="1"/>
  <c r="M588" i="13"/>
  <c r="R588" i="4" s="1"/>
  <c r="AD588" i="4" s="1"/>
  <c r="L588" i="13"/>
  <c r="Q588" i="4" s="1"/>
  <c r="AC588" i="4" s="1"/>
  <c r="K588" i="13"/>
  <c r="O588" i="4" s="1"/>
  <c r="P588" i="13"/>
  <c r="U588" i="4" s="1"/>
  <c r="O588" i="13"/>
  <c r="T588" i="4" s="1"/>
  <c r="N604" i="13"/>
  <c r="S604" i="4" s="1"/>
  <c r="M604" i="13"/>
  <c r="R604" i="4" s="1"/>
  <c r="AD604" i="4" s="1"/>
  <c r="L604" i="13"/>
  <c r="Q604" i="4" s="1"/>
  <c r="AC604" i="4" s="1"/>
  <c r="K604" i="13"/>
  <c r="O604" i="4" s="1"/>
  <c r="P604" i="13"/>
  <c r="U604" i="4" s="1"/>
  <c r="O604" i="13"/>
  <c r="T604" i="4" s="1"/>
  <c r="P453" i="13"/>
  <c r="U453" i="4" s="1"/>
  <c r="O453" i="13"/>
  <c r="T453" i="4" s="1"/>
  <c r="N453" i="13"/>
  <c r="S453" i="4" s="1"/>
  <c r="M453" i="13"/>
  <c r="R453" i="4" s="1"/>
  <c r="AD453" i="4" s="1"/>
  <c r="L453" i="13"/>
  <c r="Q453" i="4" s="1"/>
  <c r="AC453" i="4" s="1"/>
  <c r="K453" i="13"/>
  <c r="O453" i="4" s="1"/>
  <c r="P469" i="13"/>
  <c r="U469" i="4" s="1"/>
  <c r="O469" i="13"/>
  <c r="T469" i="4" s="1"/>
  <c r="N469" i="13"/>
  <c r="S469" i="4" s="1"/>
  <c r="AI469" i="4" s="1"/>
  <c r="M469" i="13"/>
  <c r="R469" i="4" s="1"/>
  <c r="AD469" i="4" s="1"/>
  <c r="L469" i="13"/>
  <c r="Q469" i="4" s="1"/>
  <c r="AC469" i="4" s="1"/>
  <c r="K469" i="13"/>
  <c r="O469" i="4" s="1"/>
  <c r="P485" i="13"/>
  <c r="U485" i="4" s="1"/>
  <c r="O485" i="13"/>
  <c r="T485" i="4" s="1"/>
  <c r="N485" i="13"/>
  <c r="S485" i="4" s="1"/>
  <c r="M485" i="13"/>
  <c r="R485" i="4" s="1"/>
  <c r="AD485" i="4" s="1"/>
  <c r="L485" i="13"/>
  <c r="Q485" i="4" s="1"/>
  <c r="AC485" i="4" s="1"/>
  <c r="K485" i="13"/>
  <c r="O485" i="4" s="1"/>
  <c r="P501" i="13"/>
  <c r="U501" i="4" s="1"/>
  <c r="O501" i="13"/>
  <c r="T501" i="4" s="1"/>
  <c r="N501" i="13"/>
  <c r="S501" i="4" s="1"/>
  <c r="M501" i="13"/>
  <c r="R501" i="4" s="1"/>
  <c r="AD501" i="4" s="1"/>
  <c r="L501" i="13"/>
  <c r="Q501" i="4" s="1"/>
  <c r="AC501" i="4" s="1"/>
  <c r="K501" i="13"/>
  <c r="O501" i="4" s="1"/>
  <c r="P517" i="13"/>
  <c r="U517" i="4" s="1"/>
  <c r="O517" i="13"/>
  <c r="T517" i="4" s="1"/>
  <c r="N517" i="13"/>
  <c r="S517" i="4" s="1"/>
  <c r="M517" i="13"/>
  <c r="R517" i="4" s="1"/>
  <c r="AD517" i="4" s="1"/>
  <c r="L517" i="13"/>
  <c r="Q517" i="4" s="1"/>
  <c r="AC517" i="4" s="1"/>
  <c r="K517" i="13"/>
  <c r="O517" i="4" s="1"/>
  <c r="P533" i="13"/>
  <c r="U533" i="4" s="1"/>
  <c r="O533" i="13"/>
  <c r="T533" i="4" s="1"/>
  <c r="N533" i="13"/>
  <c r="S533" i="4" s="1"/>
  <c r="M533" i="13"/>
  <c r="R533" i="4" s="1"/>
  <c r="AD533" i="4" s="1"/>
  <c r="L533" i="13"/>
  <c r="Q533" i="4" s="1"/>
  <c r="AC533" i="4" s="1"/>
  <c r="K533" i="13"/>
  <c r="O533" i="4" s="1"/>
  <c r="P549" i="13"/>
  <c r="U549" i="4" s="1"/>
  <c r="O549" i="13"/>
  <c r="T549" i="4" s="1"/>
  <c r="N549" i="13"/>
  <c r="S549" i="4" s="1"/>
  <c r="M549" i="13"/>
  <c r="R549" i="4" s="1"/>
  <c r="AD549" i="4" s="1"/>
  <c r="L549" i="13"/>
  <c r="Q549" i="4" s="1"/>
  <c r="AC549" i="4" s="1"/>
  <c r="K549" i="13"/>
  <c r="O549" i="4" s="1"/>
  <c r="P565" i="13"/>
  <c r="U565" i="4" s="1"/>
  <c r="O565" i="13"/>
  <c r="T565" i="4" s="1"/>
  <c r="N565" i="13"/>
  <c r="S565" i="4" s="1"/>
  <c r="AI565" i="4" s="1"/>
  <c r="M565" i="13"/>
  <c r="R565" i="4" s="1"/>
  <c r="AD565" i="4" s="1"/>
  <c r="L565" i="13"/>
  <c r="Q565" i="4" s="1"/>
  <c r="AC565" i="4" s="1"/>
  <c r="K565" i="13"/>
  <c r="O565" i="4" s="1"/>
  <c r="P581" i="13"/>
  <c r="U581" i="4" s="1"/>
  <c r="O581" i="13"/>
  <c r="T581" i="4" s="1"/>
  <c r="N581" i="13"/>
  <c r="S581" i="4" s="1"/>
  <c r="M581" i="13"/>
  <c r="R581" i="4" s="1"/>
  <c r="AD581" i="4" s="1"/>
  <c r="L581" i="13"/>
  <c r="Q581" i="4" s="1"/>
  <c r="AC581" i="4" s="1"/>
  <c r="K581" i="13"/>
  <c r="O581" i="4" s="1"/>
  <c r="P597" i="13"/>
  <c r="U597" i="4" s="1"/>
  <c r="O597" i="13"/>
  <c r="T597" i="4" s="1"/>
  <c r="N597" i="13"/>
  <c r="S597" i="4" s="1"/>
  <c r="AI597" i="4" s="1"/>
  <c r="M597" i="13"/>
  <c r="R597" i="4" s="1"/>
  <c r="AD597" i="4" s="1"/>
  <c r="L597" i="13"/>
  <c r="Q597" i="4" s="1"/>
  <c r="AC597" i="4" s="1"/>
  <c r="K597" i="13"/>
  <c r="O597" i="4" s="1"/>
  <c r="L462" i="13"/>
  <c r="Q462" i="4" s="1"/>
  <c r="AC462" i="4" s="1"/>
  <c r="K462" i="13"/>
  <c r="O462" i="4" s="1"/>
  <c r="P462" i="13"/>
  <c r="U462" i="4" s="1"/>
  <c r="O462" i="13"/>
  <c r="T462" i="4" s="1"/>
  <c r="N462" i="13"/>
  <c r="S462" i="4" s="1"/>
  <c r="M462" i="13"/>
  <c r="R462" i="4" s="1"/>
  <c r="AD462" i="4" s="1"/>
  <c r="L478" i="13"/>
  <c r="Q478" i="4" s="1"/>
  <c r="AC478" i="4" s="1"/>
  <c r="K478" i="13"/>
  <c r="O478" i="4" s="1"/>
  <c r="P478" i="13"/>
  <c r="U478" i="4" s="1"/>
  <c r="O478" i="13"/>
  <c r="T478" i="4" s="1"/>
  <c r="N478" i="13"/>
  <c r="S478" i="4" s="1"/>
  <c r="M478" i="13"/>
  <c r="R478" i="4" s="1"/>
  <c r="AD478" i="4" s="1"/>
  <c r="L494" i="13"/>
  <c r="Q494" i="4" s="1"/>
  <c r="AC494" i="4" s="1"/>
  <c r="K494" i="13"/>
  <c r="O494" i="4" s="1"/>
  <c r="P494" i="13"/>
  <c r="U494" i="4" s="1"/>
  <c r="O494" i="13"/>
  <c r="T494" i="4" s="1"/>
  <c r="N494" i="13"/>
  <c r="S494" i="4" s="1"/>
  <c r="AI494" i="4" s="1"/>
  <c r="M494" i="13"/>
  <c r="R494" i="4" s="1"/>
  <c r="AD494" i="4" s="1"/>
  <c r="L510" i="13"/>
  <c r="Q510" i="4" s="1"/>
  <c r="AC510" i="4" s="1"/>
  <c r="K510" i="13"/>
  <c r="O510" i="4" s="1"/>
  <c r="P510" i="13"/>
  <c r="U510" i="4" s="1"/>
  <c r="O510" i="13"/>
  <c r="T510" i="4" s="1"/>
  <c r="N510" i="13"/>
  <c r="S510" i="4" s="1"/>
  <c r="M510" i="13"/>
  <c r="R510" i="4" s="1"/>
  <c r="AD510" i="4" s="1"/>
  <c r="L526" i="13"/>
  <c r="Q526" i="4" s="1"/>
  <c r="AC526" i="4" s="1"/>
  <c r="K526" i="13"/>
  <c r="O526" i="4" s="1"/>
  <c r="P526" i="13"/>
  <c r="U526" i="4" s="1"/>
  <c r="O526" i="13"/>
  <c r="T526" i="4" s="1"/>
  <c r="N526" i="13"/>
  <c r="S526" i="4" s="1"/>
  <c r="AI526" i="4" s="1"/>
  <c r="M526" i="13"/>
  <c r="R526" i="4" s="1"/>
  <c r="AD526" i="4" s="1"/>
  <c r="L542" i="13"/>
  <c r="Q542" i="4" s="1"/>
  <c r="AC542" i="4" s="1"/>
  <c r="K542" i="13"/>
  <c r="O542" i="4" s="1"/>
  <c r="P542" i="13"/>
  <c r="U542" i="4" s="1"/>
  <c r="O542" i="13"/>
  <c r="T542" i="4" s="1"/>
  <c r="N542" i="13"/>
  <c r="S542" i="4" s="1"/>
  <c r="M542" i="13"/>
  <c r="R542" i="4" s="1"/>
  <c r="AD542" i="4" s="1"/>
  <c r="L558" i="13"/>
  <c r="Q558" i="4" s="1"/>
  <c r="AC558" i="4" s="1"/>
  <c r="K558" i="13"/>
  <c r="O558" i="4" s="1"/>
  <c r="P558" i="13"/>
  <c r="U558" i="4" s="1"/>
  <c r="O558" i="13"/>
  <c r="T558" i="4" s="1"/>
  <c r="N558" i="13"/>
  <c r="S558" i="4" s="1"/>
  <c r="M558" i="13"/>
  <c r="R558" i="4" s="1"/>
  <c r="AD558" i="4" s="1"/>
  <c r="L574" i="13"/>
  <c r="Q574" i="4" s="1"/>
  <c r="AC574" i="4" s="1"/>
  <c r="K574" i="13"/>
  <c r="O574" i="4" s="1"/>
  <c r="P574" i="13"/>
  <c r="U574" i="4" s="1"/>
  <c r="O574" i="13"/>
  <c r="T574" i="4" s="1"/>
  <c r="N574" i="13"/>
  <c r="S574" i="4" s="1"/>
  <c r="M574" i="13"/>
  <c r="R574" i="4" s="1"/>
  <c r="AD574" i="4" s="1"/>
  <c r="L590" i="13"/>
  <c r="Q590" i="4" s="1"/>
  <c r="AC590" i="4" s="1"/>
  <c r="K590" i="13"/>
  <c r="O590" i="4" s="1"/>
  <c r="P590" i="13"/>
  <c r="U590" i="4" s="1"/>
  <c r="O590" i="13"/>
  <c r="T590" i="4" s="1"/>
  <c r="N590" i="13"/>
  <c r="S590" i="4" s="1"/>
  <c r="M590" i="13"/>
  <c r="R590" i="4" s="1"/>
  <c r="AD590" i="4" s="1"/>
  <c r="L606" i="13"/>
  <c r="Q606" i="4" s="1"/>
  <c r="AC606" i="4" s="1"/>
  <c r="K606" i="13"/>
  <c r="O606" i="4" s="1"/>
  <c r="P606" i="13"/>
  <c r="U606" i="4" s="1"/>
  <c r="O606" i="13"/>
  <c r="T606" i="4" s="1"/>
  <c r="N606" i="13"/>
  <c r="S606" i="4" s="1"/>
  <c r="M606" i="13"/>
  <c r="R606" i="4" s="1"/>
  <c r="AD606" i="4" s="1"/>
  <c r="P599" i="13"/>
  <c r="U599" i="4" s="1"/>
  <c r="O599" i="13"/>
  <c r="T599" i="4" s="1"/>
  <c r="N599" i="13"/>
  <c r="S599" i="4" s="1"/>
  <c r="M599" i="13"/>
  <c r="R599" i="4" s="1"/>
  <c r="AD599" i="4" s="1"/>
  <c r="L599" i="13"/>
  <c r="Q599" i="4" s="1"/>
  <c r="AC599" i="4" s="1"/>
  <c r="K599" i="13"/>
  <c r="O599" i="4" s="1"/>
  <c r="N440" i="13"/>
  <c r="S440" i="4" s="1"/>
  <c r="M440" i="13"/>
  <c r="R440" i="4" s="1"/>
  <c r="AD440" i="4" s="1"/>
  <c r="L440" i="13"/>
  <c r="Q440" i="4" s="1"/>
  <c r="AC440" i="4" s="1"/>
  <c r="K440" i="13"/>
  <c r="O440" i="4" s="1"/>
  <c r="N444" i="13"/>
  <c r="S444" i="4" s="1"/>
  <c r="AI444" i="4" s="1"/>
  <c r="M444" i="13"/>
  <c r="R444" i="4" s="1"/>
  <c r="AD444" i="4" s="1"/>
  <c r="L444" i="13"/>
  <c r="Q444" i="4" s="1"/>
  <c r="AC444" i="4" s="1"/>
  <c r="K444" i="13"/>
  <c r="O444" i="4" s="1"/>
  <c r="O444" i="13"/>
  <c r="T444" i="4" s="1"/>
  <c r="AE444" i="4" s="1"/>
  <c r="P448" i="13"/>
  <c r="U448" i="4" s="1"/>
  <c r="O448" i="13"/>
  <c r="T448" i="4" s="1"/>
  <c r="N448" i="13"/>
  <c r="S448" i="4" s="1"/>
  <c r="AI448" i="4" s="1"/>
  <c r="M448" i="13"/>
  <c r="R448" i="4" s="1"/>
  <c r="AD448" i="4" s="1"/>
  <c r="L448" i="13"/>
  <c r="Q448" i="4" s="1"/>
  <c r="AC448" i="4" s="1"/>
  <c r="K448" i="13"/>
  <c r="O448" i="4" s="1"/>
  <c r="P464" i="13"/>
  <c r="U464" i="4" s="1"/>
  <c r="O464" i="13"/>
  <c r="T464" i="4" s="1"/>
  <c r="N464" i="13"/>
  <c r="S464" i="4" s="1"/>
  <c r="M464" i="13"/>
  <c r="R464" i="4" s="1"/>
  <c r="AD464" i="4" s="1"/>
  <c r="L464" i="13"/>
  <c r="Q464" i="4" s="1"/>
  <c r="AC464" i="4" s="1"/>
  <c r="K464" i="13"/>
  <c r="O464" i="4" s="1"/>
  <c r="P480" i="13"/>
  <c r="U480" i="4" s="1"/>
  <c r="O480" i="13"/>
  <c r="T480" i="4" s="1"/>
  <c r="N480" i="13"/>
  <c r="S480" i="4" s="1"/>
  <c r="M480" i="13"/>
  <c r="R480" i="4" s="1"/>
  <c r="AD480" i="4" s="1"/>
  <c r="L480" i="13"/>
  <c r="Q480" i="4" s="1"/>
  <c r="AC480" i="4" s="1"/>
  <c r="K480" i="13"/>
  <c r="O480" i="4" s="1"/>
  <c r="P496" i="13"/>
  <c r="U496" i="4" s="1"/>
  <c r="O496" i="13"/>
  <c r="T496" i="4" s="1"/>
  <c r="N496" i="13"/>
  <c r="S496" i="4" s="1"/>
  <c r="M496" i="13"/>
  <c r="R496" i="4" s="1"/>
  <c r="AD496" i="4" s="1"/>
  <c r="L496" i="13"/>
  <c r="Q496" i="4" s="1"/>
  <c r="AC496" i="4" s="1"/>
  <c r="K496" i="13"/>
  <c r="O496" i="4" s="1"/>
  <c r="P512" i="13"/>
  <c r="U512" i="4" s="1"/>
  <c r="O512" i="13"/>
  <c r="T512" i="4" s="1"/>
  <c r="N512" i="13"/>
  <c r="S512" i="4" s="1"/>
  <c r="AI512" i="4" s="1"/>
  <c r="M512" i="13"/>
  <c r="R512" i="4" s="1"/>
  <c r="AD512" i="4" s="1"/>
  <c r="L512" i="13"/>
  <c r="Q512" i="4" s="1"/>
  <c r="AC512" i="4" s="1"/>
  <c r="K512" i="13"/>
  <c r="O512" i="4" s="1"/>
  <c r="P528" i="13"/>
  <c r="U528" i="4" s="1"/>
  <c r="O528" i="13"/>
  <c r="T528" i="4" s="1"/>
  <c r="N528" i="13"/>
  <c r="S528" i="4" s="1"/>
  <c r="M528" i="13"/>
  <c r="R528" i="4" s="1"/>
  <c r="AD528" i="4" s="1"/>
  <c r="L528" i="13"/>
  <c r="Q528" i="4" s="1"/>
  <c r="AC528" i="4" s="1"/>
  <c r="K528" i="13"/>
  <c r="O528" i="4" s="1"/>
  <c r="P544" i="13"/>
  <c r="U544" i="4" s="1"/>
  <c r="O544" i="13"/>
  <c r="T544" i="4" s="1"/>
  <c r="N544" i="13"/>
  <c r="S544" i="4" s="1"/>
  <c r="AI544" i="4" s="1"/>
  <c r="M544" i="13"/>
  <c r="R544" i="4" s="1"/>
  <c r="AD544" i="4" s="1"/>
  <c r="L544" i="13"/>
  <c r="Q544" i="4" s="1"/>
  <c r="AC544" i="4" s="1"/>
  <c r="K544" i="13"/>
  <c r="O544" i="4" s="1"/>
  <c r="P560" i="13"/>
  <c r="U560" i="4" s="1"/>
  <c r="O560" i="13"/>
  <c r="T560" i="4" s="1"/>
  <c r="N560" i="13"/>
  <c r="S560" i="4" s="1"/>
  <c r="M560" i="13"/>
  <c r="R560" i="4" s="1"/>
  <c r="AD560" i="4" s="1"/>
  <c r="L560" i="13"/>
  <c r="Q560" i="4" s="1"/>
  <c r="AC560" i="4" s="1"/>
  <c r="K560" i="13"/>
  <c r="O560" i="4" s="1"/>
  <c r="P576" i="13"/>
  <c r="U576" i="4" s="1"/>
  <c r="O576" i="13"/>
  <c r="T576" i="4" s="1"/>
  <c r="N576" i="13"/>
  <c r="S576" i="4" s="1"/>
  <c r="AI576" i="4" s="1"/>
  <c r="M576" i="13"/>
  <c r="R576" i="4" s="1"/>
  <c r="AD576" i="4" s="1"/>
  <c r="L576" i="13"/>
  <c r="Q576" i="4" s="1"/>
  <c r="AC576" i="4" s="1"/>
  <c r="K576" i="13"/>
  <c r="O576" i="4" s="1"/>
  <c r="P592" i="13"/>
  <c r="U592" i="4" s="1"/>
  <c r="O592" i="13"/>
  <c r="T592" i="4" s="1"/>
  <c r="N592" i="13"/>
  <c r="S592" i="4" s="1"/>
  <c r="M592" i="13"/>
  <c r="R592" i="4" s="1"/>
  <c r="AD592" i="4" s="1"/>
  <c r="L592" i="13"/>
  <c r="Q592" i="4" s="1"/>
  <c r="AC592" i="4" s="1"/>
  <c r="K592" i="13"/>
  <c r="O592" i="4" s="1"/>
  <c r="P608" i="13"/>
  <c r="U608" i="4" s="1"/>
  <c r="O608" i="13"/>
  <c r="T608" i="4" s="1"/>
  <c r="N608" i="13"/>
  <c r="S608" i="4" s="1"/>
  <c r="M608" i="13"/>
  <c r="R608" i="4" s="1"/>
  <c r="AD608" i="4" s="1"/>
  <c r="L608" i="13"/>
  <c r="Q608" i="4" s="1"/>
  <c r="AC608" i="4" s="1"/>
  <c r="K608" i="13"/>
  <c r="O608" i="4" s="1"/>
  <c r="P457" i="13"/>
  <c r="U457" i="4" s="1"/>
  <c r="O457" i="13"/>
  <c r="T457" i="4" s="1"/>
  <c r="N457" i="13"/>
  <c r="S457" i="4" s="1"/>
  <c r="M457" i="13"/>
  <c r="R457" i="4" s="1"/>
  <c r="AD457" i="4" s="1"/>
  <c r="L457" i="13"/>
  <c r="Q457" i="4" s="1"/>
  <c r="AC457" i="4" s="1"/>
  <c r="K457" i="13"/>
  <c r="O457" i="4" s="1"/>
  <c r="P473" i="13"/>
  <c r="U473" i="4" s="1"/>
  <c r="O473" i="13"/>
  <c r="T473" i="4" s="1"/>
  <c r="N473" i="13"/>
  <c r="S473" i="4" s="1"/>
  <c r="AI473" i="4" s="1"/>
  <c r="M473" i="13"/>
  <c r="R473" i="4" s="1"/>
  <c r="AD473" i="4" s="1"/>
  <c r="L473" i="13"/>
  <c r="Q473" i="4" s="1"/>
  <c r="AC473" i="4" s="1"/>
  <c r="K473" i="13"/>
  <c r="O473" i="4" s="1"/>
  <c r="P489" i="13"/>
  <c r="U489" i="4" s="1"/>
  <c r="O489" i="13"/>
  <c r="T489" i="4" s="1"/>
  <c r="N489" i="13"/>
  <c r="S489" i="4" s="1"/>
  <c r="M489" i="13"/>
  <c r="R489" i="4" s="1"/>
  <c r="AD489" i="4" s="1"/>
  <c r="L489" i="13"/>
  <c r="Q489" i="4" s="1"/>
  <c r="AC489" i="4" s="1"/>
  <c r="K489" i="13"/>
  <c r="O489" i="4" s="1"/>
  <c r="P505" i="13"/>
  <c r="U505" i="4" s="1"/>
  <c r="O505" i="13"/>
  <c r="T505" i="4" s="1"/>
  <c r="N505" i="13"/>
  <c r="S505" i="4" s="1"/>
  <c r="M505" i="13"/>
  <c r="R505" i="4" s="1"/>
  <c r="AD505" i="4" s="1"/>
  <c r="L505" i="13"/>
  <c r="Q505" i="4" s="1"/>
  <c r="AC505" i="4" s="1"/>
  <c r="K505" i="13"/>
  <c r="O505" i="4" s="1"/>
  <c r="P521" i="13"/>
  <c r="U521" i="4" s="1"/>
  <c r="O521" i="13"/>
  <c r="T521" i="4" s="1"/>
  <c r="N521" i="13"/>
  <c r="S521" i="4" s="1"/>
  <c r="M521" i="13"/>
  <c r="R521" i="4" s="1"/>
  <c r="AD521" i="4" s="1"/>
  <c r="L521" i="13"/>
  <c r="Q521" i="4" s="1"/>
  <c r="AC521" i="4" s="1"/>
  <c r="K521" i="13"/>
  <c r="O521" i="4" s="1"/>
  <c r="P537" i="13"/>
  <c r="U537" i="4" s="1"/>
  <c r="O537" i="13"/>
  <c r="T537" i="4" s="1"/>
  <c r="N537" i="13"/>
  <c r="S537" i="4" s="1"/>
  <c r="AI537" i="4" s="1"/>
  <c r="M537" i="13"/>
  <c r="R537" i="4" s="1"/>
  <c r="AD537" i="4" s="1"/>
  <c r="L537" i="13"/>
  <c r="Q537" i="4" s="1"/>
  <c r="AC537" i="4" s="1"/>
  <c r="K537" i="13"/>
  <c r="O537" i="4" s="1"/>
  <c r="P553" i="13"/>
  <c r="U553" i="4" s="1"/>
  <c r="O553" i="13"/>
  <c r="T553" i="4" s="1"/>
  <c r="N553" i="13"/>
  <c r="S553" i="4" s="1"/>
  <c r="M553" i="13"/>
  <c r="R553" i="4" s="1"/>
  <c r="AD553" i="4" s="1"/>
  <c r="L553" i="13"/>
  <c r="Q553" i="4" s="1"/>
  <c r="AC553" i="4" s="1"/>
  <c r="K553" i="13"/>
  <c r="O553" i="4" s="1"/>
  <c r="P569" i="13"/>
  <c r="U569" i="4" s="1"/>
  <c r="O569" i="13"/>
  <c r="T569" i="4" s="1"/>
  <c r="N569" i="13"/>
  <c r="S569" i="4" s="1"/>
  <c r="M569" i="13"/>
  <c r="R569" i="4" s="1"/>
  <c r="AD569" i="4" s="1"/>
  <c r="L569" i="13"/>
  <c r="Q569" i="4" s="1"/>
  <c r="AC569" i="4" s="1"/>
  <c r="K569" i="13"/>
  <c r="O569" i="4" s="1"/>
  <c r="P585" i="13"/>
  <c r="U585" i="4" s="1"/>
  <c r="O585" i="13"/>
  <c r="T585" i="4" s="1"/>
  <c r="N585" i="13"/>
  <c r="S585" i="4" s="1"/>
  <c r="M585" i="13"/>
  <c r="R585" i="4" s="1"/>
  <c r="AD585" i="4" s="1"/>
  <c r="L585" i="13"/>
  <c r="Q585" i="4" s="1"/>
  <c r="AC585" i="4" s="1"/>
  <c r="K585" i="13"/>
  <c r="O585" i="4" s="1"/>
  <c r="P601" i="13"/>
  <c r="U601" i="4" s="1"/>
  <c r="O601" i="13"/>
  <c r="T601" i="4" s="1"/>
  <c r="N601" i="13"/>
  <c r="S601" i="4" s="1"/>
  <c r="M601" i="13"/>
  <c r="R601" i="4" s="1"/>
  <c r="AD601" i="4" s="1"/>
  <c r="L601" i="13"/>
  <c r="Q601" i="4" s="1"/>
  <c r="AC601" i="4" s="1"/>
  <c r="K601" i="13"/>
  <c r="O601" i="4" s="1"/>
  <c r="P450" i="13"/>
  <c r="U450" i="4" s="1"/>
  <c r="O450" i="13"/>
  <c r="T450" i="4" s="1"/>
  <c r="N450" i="13"/>
  <c r="S450" i="4" s="1"/>
  <c r="M450" i="13"/>
  <c r="R450" i="4" s="1"/>
  <c r="AD450" i="4" s="1"/>
  <c r="L450" i="13"/>
  <c r="Q450" i="4" s="1"/>
  <c r="AC450" i="4" s="1"/>
  <c r="K450" i="13"/>
  <c r="O450" i="4" s="1"/>
  <c r="P466" i="13"/>
  <c r="U466" i="4" s="1"/>
  <c r="O466" i="13"/>
  <c r="T466" i="4" s="1"/>
  <c r="N466" i="13"/>
  <c r="S466" i="4" s="1"/>
  <c r="M466" i="13"/>
  <c r="R466" i="4" s="1"/>
  <c r="AD466" i="4" s="1"/>
  <c r="L466" i="13"/>
  <c r="Q466" i="4" s="1"/>
  <c r="AC466" i="4" s="1"/>
  <c r="K466" i="13"/>
  <c r="O466" i="4" s="1"/>
  <c r="P482" i="13"/>
  <c r="U482" i="4" s="1"/>
  <c r="O482" i="13"/>
  <c r="T482" i="4" s="1"/>
  <c r="N482" i="13"/>
  <c r="S482" i="4" s="1"/>
  <c r="M482" i="13"/>
  <c r="R482" i="4" s="1"/>
  <c r="AD482" i="4" s="1"/>
  <c r="L482" i="13"/>
  <c r="Q482" i="4" s="1"/>
  <c r="AC482" i="4" s="1"/>
  <c r="K482" i="13"/>
  <c r="O482" i="4" s="1"/>
  <c r="P498" i="13"/>
  <c r="U498" i="4" s="1"/>
  <c r="O498" i="13"/>
  <c r="T498" i="4" s="1"/>
  <c r="N498" i="13"/>
  <c r="S498" i="4" s="1"/>
  <c r="AI498" i="4" s="1"/>
  <c r="M498" i="13"/>
  <c r="R498" i="4" s="1"/>
  <c r="AD498" i="4" s="1"/>
  <c r="L498" i="13"/>
  <c r="Q498" i="4" s="1"/>
  <c r="AC498" i="4" s="1"/>
  <c r="K498" i="13"/>
  <c r="O498" i="4" s="1"/>
  <c r="P514" i="13"/>
  <c r="U514" i="4" s="1"/>
  <c r="O514" i="13"/>
  <c r="T514" i="4" s="1"/>
  <c r="N514" i="13"/>
  <c r="S514" i="4" s="1"/>
  <c r="M514" i="13"/>
  <c r="R514" i="4" s="1"/>
  <c r="AD514" i="4" s="1"/>
  <c r="L514" i="13"/>
  <c r="Q514" i="4" s="1"/>
  <c r="AC514" i="4" s="1"/>
  <c r="K514" i="13"/>
  <c r="O514" i="4" s="1"/>
  <c r="P530" i="13"/>
  <c r="U530" i="4" s="1"/>
  <c r="O530" i="13"/>
  <c r="T530" i="4" s="1"/>
  <c r="N530" i="13"/>
  <c r="S530" i="4" s="1"/>
  <c r="M530" i="13"/>
  <c r="R530" i="4" s="1"/>
  <c r="AD530" i="4" s="1"/>
  <c r="L530" i="13"/>
  <c r="Q530" i="4" s="1"/>
  <c r="AC530" i="4" s="1"/>
  <c r="K530" i="13"/>
  <c r="O530" i="4" s="1"/>
  <c r="P546" i="13"/>
  <c r="U546" i="4" s="1"/>
  <c r="O546" i="13"/>
  <c r="T546" i="4" s="1"/>
  <c r="N546" i="13"/>
  <c r="S546" i="4" s="1"/>
  <c r="M546" i="13"/>
  <c r="R546" i="4" s="1"/>
  <c r="AD546" i="4" s="1"/>
  <c r="L546" i="13"/>
  <c r="Q546" i="4" s="1"/>
  <c r="AC546" i="4" s="1"/>
  <c r="K546" i="13"/>
  <c r="O546" i="4" s="1"/>
  <c r="P562" i="13"/>
  <c r="U562" i="4" s="1"/>
  <c r="O562" i="13"/>
  <c r="T562" i="4" s="1"/>
  <c r="N562" i="13"/>
  <c r="S562" i="4" s="1"/>
  <c r="AI562" i="4" s="1"/>
  <c r="M562" i="13"/>
  <c r="R562" i="4" s="1"/>
  <c r="AD562" i="4" s="1"/>
  <c r="L562" i="13"/>
  <c r="Q562" i="4" s="1"/>
  <c r="AC562" i="4" s="1"/>
  <c r="K562" i="13"/>
  <c r="O562" i="4" s="1"/>
  <c r="P578" i="13"/>
  <c r="U578" i="4" s="1"/>
  <c r="O578" i="13"/>
  <c r="T578" i="4" s="1"/>
  <c r="N578" i="13"/>
  <c r="S578" i="4" s="1"/>
  <c r="M578" i="13"/>
  <c r="R578" i="4" s="1"/>
  <c r="AD578" i="4" s="1"/>
  <c r="L578" i="13"/>
  <c r="Q578" i="4" s="1"/>
  <c r="AC578" i="4" s="1"/>
  <c r="K578" i="13"/>
  <c r="O578" i="4" s="1"/>
  <c r="P594" i="13"/>
  <c r="U594" i="4" s="1"/>
  <c r="O594" i="13"/>
  <c r="T594" i="4" s="1"/>
  <c r="N594" i="13"/>
  <c r="S594" i="4" s="1"/>
  <c r="M594" i="13"/>
  <c r="R594" i="4" s="1"/>
  <c r="AD594" i="4" s="1"/>
  <c r="L594" i="13"/>
  <c r="Q594" i="4" s="1"/>
  <c r="AC594" i="4" s="1"/>
  <c r="K594" i="13"/>
  <c r="O594" i="4" s="1"/>
  <c r="P610" i="13"/>
  <c r="U610" i="4" s="1"/>
  <c r="O610" i="13"/>
  <c r="T610" i="4" s="1"/>
  <c r="N610" i="13"/>
  <c r="S610" i="4" s="1"/>
  <c r="M610" i="13"/>
  <c r="R610" i="4" s="1"/>
  <c r="AD610" i="4" s="1"/>
  <c r="L610" i="13"/>
  <c r="Q610" i="4" s="1"/>
  <c r="AC610" i="4" s="1"/>
  <c r="K610" i="13"/>
  <c r="O610" i="4" s="1"/>
  <c r="O459" i="13"/>
  <c r="T459" i="4" s="1"/>
  <c r="N459" i="13"/>
  <c r="S459" i="4" s="1"/>
  <c r="M459" i="13"/>
  <c r="R459" i="4" s="1"/>
  <c r="AD459" i="4" s="1"/>
  <c r="L459" i="13"/>
  <c r="Q459" i="4" s="1"/>
  <c r="AC459" i="4" s="1"/>
  <c r="K459" i="13"/>
  <c r="O459" i="4" s="1"/>
  <c r="P459" i="13"/>
  <c r="U459" i="4" s="1"/>
  <c r="O475" i="13"/>
  <c r="T475" i="4" s="1"/>
  <c r="N475" i="13"/>
  <c r="S475" i="4" s="1"/>
  <c r="M475" i="13"/>
  <c r="R475" i="4" s="1"/>
  <c r="AD475" i="4" s="1"/>
  <c r="L475" i="13"/>
  <c r="Q475" i="4" s="1"/>
  <c r="AC475" i="4" s="1"/>
  <c r="K475" i="13"/>
  <c r="O475" i="4" s="1"/>
  <c r="P475" i="13"/>
  <c r="U475" i="4" s="1"/>
  <c r="O491" i="13"/>
  <c r="T491" i="4" s="1"/>
  <c r="N491" i="13"/>
  <c r="S491" i="4" s="1"/>
  <c r="M491" i="13"/>
  <c r="R491" i="4" s="1"/>
  <c r="AD491" i="4" s="1"/>
  <c r="L491" i="13"/>
  <c r="Q491" i="4" s="1"/>
  <c r="AC491" i="4" s="1"/>
  <c r="K491" i="13"/>
  <c r="O491" i="4" s="1"/>
  <c r="P491" i="13"/>
  <c r="U491" i="4" s="1"/>
  <c r="O507" i="13"/>
  <c r="T507" i="4" s="1"/>
  <c r="N507" i="13"/>
  <c r="S507" i="4" s="1"/>
  <c r="M507" i="13"/>
  <c r="R507" i="4" s="1"/>
  <c r="AD507" i="4" s="1"/>
  <c r="L507" i="13"/>
  <c r="Q507" i="4" s="1"/>
  <c r="AC507" i="4" s="1"/>
  <c r="K507" i="13"/>
  <c r="O507" i="4" s="1"/>
  <c r="P507" i="13"/>
  <c r="U507" i="4" s="1"/>
  <c r="O523" i="13"/>
  <c r="T523" i="4" s="1"/>
  <c r="N523" i="13"/>
  <c r="S523" i="4" s="1"/>
  <c r="M523" i="13"/>
  <c r="R523" i="4" s="1"/>
  <c r="AD523" i="4" s="1"/>
  <c r="L523" i="13"/>
  <c r="Q523" i="4" s="1"/>
  <c r="AC523" i="4" s="1"/>
  <c r="K523" i="13"/>
  <c r="O523" i="4" s="1"/>
  <c r="P523" i="13"/>
  <c r="U523" i="4" s="1"/>
  <c r="O539" i="13"/>
  <c r="T539" i="4" s="1"/>
  <c r="N539" i="13"/>
  <c r="S539" i="4" s="1"/>
  <c r="M539" i="13"/>
  <c r="R539" i="4" s="1"/>
  <c r="AD539" i="4" s="1"/>
  <c r="L539" i="13"/>
  <c r="Q539" i="4" s="1"/>
  <c r="AC539" i="4" s="1"/>
  <c r="K539" i="13"/>
  <c r="O539" i="4" s="1"/>
  <c r="P539" i="13"/>
  <c r="U539" i="4" s="1"/>
  <c r="O555" i="13"/>
  <c r="T555" i="4" s="1"/>
  <c r="N555" i="13"/>
  <c r="S555" i="4" s="1"/>
  <c r="M555" i="13"/>
  <c r="R555" i="4" s="1"/>
  <c r="AD555" i="4" s="1"/>
  <c r="L555" i="13"/>
  <c r="Q555" i="4" s="1"/>
  <c r="AC555" i="4" s="1"/>
  <c r="K555" i="13"/>
  <c r="O555" i="4" s="1"/>
  <c r="P555" i="13"/>
  <c r="U555" i="4" s="1"/>
  <c r="O571" i="13"/>
  <c r="T571" i="4" s="1"/>
  <c r="N571" i="13"/>
  <c r="S571" i="4" s="1"/>
  <c r="M571" i="13"/>
  <c r="R571" i="4" s="1"/>
  <c r="AD571" i="4" s="1"/>
  <c r="L571" i="13"/>
  <c r="Q571" i="4" s="1"/>
  <c r="AC571" i="4" s="1"/>
  <c r="K571" i="13"/>
  <c r="O571" i="4" s="1"/>
  <c r="P571" i="13"/>
  <c r="U571" i="4" s="1"/>
  <c r="O587" i="13"/>
  <c r="T587" i="4" s="1"/>
  <c r="N587" i="13"/>
  <c r="S587" i="4" s="1"/>
  <c r="M587" i="13"/>
  <c r="R587" i="4" s="1"/>
  <c r="AD587" i="4" s="1"/>
  <c r="L587" i="13"/>
  <c r="Q587" i="4" s="1"/>
  <c r="AC587" i="4" s="1"/>
  <c r="K587" i="13"/>
  <c r="O587" i="4" s="1"/>
  <c r="P587" i="13"/>
  <c r="U587" i="4" s="1"/>
  <c r="O603" i="13"/>
  <c r="T603" i="4" s="1"/>
  <c r="N603" i="13"/>
  <c r="S603" i="4" s="1"/>
  <c r="M603" i="13"/>
  <c r="R603" i="4" s="1"/>
  <c r="AD603" i="4" s="1"/>
  <c r="L603" i="13"/>
  <c r="Q603" i="4" s="1"/>
  <c r="AC603" i="4" s="1"/>
  <c r="K603" i="13"/>
  <c r="O603" i="4" s="1"/>
  <c r="P603" i="13"/>
  <c r="U603" i="4" s="1"/>
  <c r="P452" i="13"/>
  <c r="U452" i="4" s="1"/>
  <c r="O452" i="13"/>
  <c r="T452" i="4" s="1"/>
  <c r="N452" i="13"/>
  <c r="S452" i="4" s="1"/>
  <c r="M452" i="13"/>
  <c r="R452" i="4" s="1"/>
  <c r="AD452" i="4" s="1"/>
  <c r="L452" i="13"/>
  <c r="Q452" i="4" s="1"/>
  <c r="AC452" i="4" s="1"/>
  <c r="K452" i="13"/>
  <c r="O452" i="4" s="1"/>
  <c r="P468" i="13"/>
  <c r="U468" i="4" s="1"/>
  <c r="O468" i="13"/>
  <c r="T468" i="4" s="1"/>
  <c r="N468" i="13"/>
  <c r="S468" i="4" s="1"/>
  <c r="M468" i="13"/>
  <c r="R468" i="4" s="1"/>
  <c r="AD468" i="4" s="1"/>
  <c r="L468" i="13"/>
  <c r="Q468" i="4" s="1"/>
  <c r="AC468" i="4" s="1"/>
  <c r="K468" i="13"/>
  <c r="O468" i="4" s="1"/>
  <c r="P484" i="13"/>
  <c r="U484" i="4" s="1"/>
  <c r="O484" i="13"/>
  <c r="T484" i="4" s="1"/>
  <c r="N484" i="13"/>
  <c r="S484" i="4" s="1"/>
  <c r="AI484" i="4" s="1"/>
  <c r="M484" i="13"/>
  <c r="R484" i="4" s="1"/>
  <c r="AD484" i="4" s="1"/>
  <c r="L484" i="13"/>
  <c r="Q484" i="4" s="1"/>
  <c r="AC484" i="4" s="1"/>
  <c r="K484" i="13"/>
  <c r="O484" i="4" s="1"/>
  <c r="P500" i="13"/>
  <c r="U500" i="4" s="1"/>
  <c r="O500" i="13"/>
  <c r="T500" i="4" s="1"/>
  <c r="N500" i="13"/>
  <c r="S500" i="4" s="1"/>
  <c r="M500" i="13"/>
  <c r="R500" i="4" s="1"/>
  <c r="AD500" i="4" s="1"/>
  <c r="L500" i="13"/>
  <c r="Q500" i="4" s="1"/>
  <c r="AC500" i="4" s="1"/>
  <c r="K500" i="13"/>
  <c r="O500" i="4" s="1"/>
  <c r="P516" i="13"/>
  <c r="U516" i="4" s="1"/>
  <c r="O516" i="13"/>
  <c r="T516" i="4" s="1"/>
  <c r="N516" i="13"/>
  <c r="S516" i="4" s="1"/>
  <c r="M516" i="13"/>
  <c r="R516" i="4" s="1"/>
  <c r="AD516" i="4" s="1"/>
  <c r="L516" i="13"/>
  <c r="Q516" i="4" s="1"/>
  <c r="AC516" i="4" s="1"/>
  <c r="K516" i="13"/>
  <c r="O516" i="4" s="1"/>
  <c r="P532" i="13"/>
  <c r="U532" i="4" s="1"/>
  <c r="O532" i="13"/>
  <c r="T532" i="4" s="1"/>
  <c r="N532" i="13"/>
  <c r="S532" i="4" s="1"/>
  <c r="M532" i="13"/>
  <c r="R532" i="4" s="1"/>
  <c r="AD532" i="4" s="1"/>
  <c r="L532" i="13"/>
  <c r="Q532" i="4" s="1"/>
  <c r="AC532" i="4" s="1"/>
  <c r="K532" i="13"/>
  <c r="O532" i="4" s="1"/>
  <c r="P548" i="13"/>
  <c r="U548" i="4" s="1"/>
  <c r="O548" i="13"/>
  <c r="T548" i="4" s="1"/>
  <c r="N548" i="13"/>
  <c r="S548" i="4" s="1"/>
  <c r="M548" i="13"/>
  <c r="R548" i="4" s="1"/>
  <c r="AD548" i="4" s="1"/>
  <c r="L548" i="13"/>
  <c r="Q548" i="4" s="1"/>
  <c r="AC548" i="4" s="1"/>
  <c r="K548" i="13"/>
  <c r="O548" i="4" s="1"/>
  <c r="P564" i="13"/>
  <c r="U564" i="4" s="1"/>
  <c r="O564" i="13"/>
  <c r="T564" i="4" s="1"/>
  <c r="N564" i="13"/>
  <c r="S564" i="4" s="1"/>
  <c r="M564" i="13"/>
  <c r="R564" i="4" s="1"/>
  <c r="AD564" i="4" s="1"/>
  <c r="L564" i="13"/>
  <c r="Q564" i="4" s="1"/>
  <c r="AC564" i="4" s="1"/>
  <c r="K564" i="13"/>
  <c r="O564" i="4" s="1"/>
  <c r="P580" i="13"/>
  <c r="U580" i="4" s="1"/>
  <c r="O580" i="13"/>
  <c r="T580" i="4" s="1"/>
  <c r="N580" i="13"/>
  <c r="S580" i="4" s="1"/>
  <c r="M580" i="13"/>
  <c r="R580" i="4" s="1"/>
  <c r="AD580" i="4" s="1"/>
  <c r="L580" i="13"/>
  <c r="Q580" i="4" s="1"/>
  <c r="AC580" i="4" s="1"/>
  <c r="K580" i="13"/>
  <c r="O580" i="4" s="1"/>
  <c r="P596" i="13"/>
  <c r="U596" i="4" s="1"/>
  <c r="O596" i="13"/>
  <c r="T596" i="4" s="1"/>
  <c r="N596" i="13"/>
  <c r="S596" i="4" s="1"/>
  <c r="M596" i="13"/>
  <c r="R596" i="4" s="1"/>
  <c r="AD596" i="4" s="1"/>
  <c r="L596" i="13"/>
  <c r="Q596" i="4" s="1"/>
  <c r="AC596" i="4" s="1"/>
  <c r="K596" i="13"/>
  <c r="O596" i="4" s="1"/>
  <c r="M461" i="13"/>
  <c r="R461" i="4" s="1"/>
  <c r="AD461" i="4" s="1"/>
  <c r="L461" i="13"/>
  <c r="Q461" i="4" s="1"/>
  <c r="AC461" i="4" s="1"/>
  <c r="K461" i="13"/>
  <c r="O461" i="4" s="1"/>
  <c r="P461" i="13"/>
  <c r="U461" i="4" s="1"/>
  <c r="O461" i="13"/>
  <c r="T461" i="4" s="1"/>
  <c r="N461" i="13"/>
  <c r="S461" i="4" s="1"/>
  <c r="M477" i="13"/>
  <c r="R477" i="4" s="1"/>
  <c r="AD477" i="4" s="1"/>
  <c r="L477" i="13"/>
  <c r="Q477" i="4" s="1"/>
  <c r="AC477" i="4" s="1"/>
  <c r="K477" i="13"/>
  <c r="O477" i="4" s="1"/>
  <c r="P477" i="13"/>
  <c r="U477" i="4" s="1"/>
  <c r="O477" i="13"/>
  <c r="T477" i="4" s="1"/>
  <c r="N477" i="13"/>
  <c r="S477" i="4" s="1"/>
  <c r="M493" i="13"/>
  <c r="R493" i="4" s="1"/>
  <c r="AD493" i="4" s="1"/>
  <c r="L493" i="13"/>
  <c r="Q493" i="4" s="1"/>
  <c r="AC493" i="4" s="1"/>
  <c r="K493" i="13"/>
  <c r="O493" i="4" s="1"/>
  <c r="P493" i="13"/>
  <c r="U493" i="4" s="1"/>
  <c r="O493" i="13"/>
  <c r="T493" i="4" s="1"/>
  <c r="N493" i="13"/>
  <c r="S493" i="4" s="1"/>
  <c r="M509" i="13"/>
  <c r="R509" i="4" s="1"/>
  <c r="AD509" i="4" s="1"/>
  <c r="L509" i="13"/>
  <c r="Q509" i="4" s="1"/>
  <c r="AC509" i="4" s="1"/>
  <c r="K509" i="13"/>
  <c r="O509" i="4" s="1"/>
  <c r="P509" i="13"/>
  <c r="U509" i="4" s="1"/>
  <c r="O509" i="13"/>
  <c r="T509" i="4" s="1"/>
  <c r="N509" i="13"/>
  <c r="S509" i="4" s="1"/>
  <c r="M525" i="13"/>
  <c r="R525" i="4" s="1"/>
  <c r="AD525" i="4" s="1"/>
  <c r="L525" i="13"/>
  <c r="Q525" i="4" s="1"/>
  <c r="AC525" i="4" s="1"/>
  <c r="K525" i="13"/>
  <c r="O525" i="4" s="1"/>
  <c r="P525" i="13"/>
  <c r="U525" i="4" s="1"/>
  <c r="O525" i="13"/>
  <c r="T525" i="4" s="1"/>
  <c r="N525" i="13"/>
  <c r="S525" i="4" s="1"/>
  <c r="AI525" i="4" s="1"/>
  <c r="M541" i="13"/>
  <c r="R541" i="4" s="1"/>
  <c r="AD541" i="4" s="1"/>
  <c r="L541" i="13"/>
  <c r="Q541" i="4" s="1"/>
  <c r="AC541" i="4" s="1"/>
  <c r="K541" i="13"/>
  <c r="O541" i="4" s="1"/>
  <c r="P541" i="13"/>
  <c r="U541" i="4" s="1"/>
  <c r="O541" i="13"/>
  <c r="T541" i="4" s="1"/>
  <c r="N541" i="13"/>
  <c r="S541" i="4" s="1"/>
  <c r="AI541" i="4" s="1"/>
  <c r="M557" i="13"/>
  <c r="R557" i="4" s="1"/>
  <c r="AD557" i="4" s="1"/>
  <c r="L557" i="13"/>
  <c r="Q557" i="4" s="1"/>
  <c r="AC557" i="4" s="1"/>
  <c r="K557" i="13"/>
  <c r="O557" i="4" s="1"/>
  <c r="P557" i="13"/>
  <c r="U557" i="4" s="1"/>
  <c r="O557" i="13"/>
  <c r="T557" i="4" s="1"/>
  <c r="N557" i="13"/>
  <c r="S557" i="4" s="1"/>
  <c r="AI557" i="4" s="1"/>
  <c r="M573" i="13"/>
  <c r="R573" i="4" s="1"/>
  <c r="AD573" i="4" s="1"/>
  <c r="L573" i="13"/>
  <c r="Q573" i="4" s="1"/>
  <c r="AC573" i="4" s="1"/>
  <c r="K573" i="13"/>
  <c r="O573" i="4" s="1"/>
  <c r="P573" i="13"/>
  <c r="U573" i="4" s="1"/>
  <c r="O573" i="13"/>
  <c r="T573" i="4" s="1"/>
  <c r="N573" i="13"/>
  <c r="S573" i="4" s="1"/>
  <c r="M589" i="13"/>
  <c r="R589" i="4" s="1"/>
  <c r="AD589" i="4" s="1"/>
  <c r="L589" i="13"/>
  <c r="Q589" i="4" s="1"/>
  <c r="AC589" i="4" s="1"/>
  <c r="K589" i="13"/>
  <c r="O589" i="4" s="1"/>
  <c r="P589" i="13"/>
  <c r="U589" i="4" s="1"/>
  <c r="O589" i="13"/>
  <c r="T589" i="4" s="1"/>
  <c r="N589" i="13"/>
  <c r="S589" i="4" s="1"/>
  <c r="M605" i="13"/>
  <c r="R605" i="4" s="1"/>
  <c r="AD605" i="4" s="1"/>
  <c r="L605" i="13"/>
  <c r="Q605" i="4" s="1"/>
  <c r="AC605" i="4" s="1"/>
  <c r="K605" i="13"/>
  <c r="O605" i="4" s="1"/>
  <c r="P605" i="13"/>
  <c r="U605" i="4" s="1"/>
  <c r="O605" i="13"/>
  <c r="T605" i="4" s="1"/>
  <c r="N605" i="13"/>
  <c r="S605" i="4" s="1"/>
  <c r="P454" i="13"/>
  <c r="U454" i="4" s="1"/>
  <c r="O454" i="13"/>
  <c r="T454" i="4" s="1"/>
  <c r="N454" i="13"/>
  <c r="S454" i="4" s="1"/>
  <c r="AI454" i="4" s="1"/>
  <c r="M454" i="13"/>
  <c r="R454" i="4" s="1"/>
  <c r="AD454" i="4" s="1"/>
  <c r="L454" i="13"/>
  <c r="Q454" i="4" s="1"/>
  <c r="AC454" i="4" s="1"/>
  <c r="K454" i="13"/>
  <c r="O454" i="4" s="1"/>
  <c r="P470" i="13"/>
  <c r="U470" i="4" s="1"/>
  <c r="O470" i="13"/>
  <c r="T470" i="4" s="1"/>
  <c r="N470" i="13"/>
  <c r="S470" i="4" s="1"/>
  <c r="M470" i="13"/>
  <c r="R470" i="4" s="1"/>
  <c r="AD470" i="4" s="1"/>
  <c r="L470" i="13"/>
  <c r="Q470" i="4" s="1"/>
  <c r="AC470" i="4" s="1"/>
  <c r="K470" i="13"/>
  <c r="O470" i="4" s="1"/>
  <c r="P486" i="13"/>
  <c r="U486" i="4" s="1"/>
  <c r="O486" i="13"/>
  <c r="T486" i="4" s="1"/>
  <c r="N486" i="13"/>
  <c r="S486" i="4" s="1"/>
  <c r="AI486" i="4" s="1"/>
  <c r="M486" i="13"/>
  <c r="R486" i="4" s="1"/>
  <c r="AD486" i="4" s="1"/>
  <c r="L486" i="13"/>
  <c r="Q486" i="4" s="1"/>
  <c r="AC486" i="4" s="1"/>
  <c r="K486" i="13"/>
  <c r="O486" i="4" s="1"/>
  <c r="P502" i="13"/>
  <c r="U502" i="4" s="1"/>
  <c r="O502" i="13"/>
  <c r="T502" i="4" s="1"/>
  <c r="N502" i="13"/>
  <c r="S502" i="4" s="1"/>
  <c r="M502" i="13"/>
  <c r="R502" i="4" s="1"/>
  <c r="AD502" i="4" s="1"/>
  <c r="L502" i="13"/>
  <c r="Q502" i="4" s="1"/>
  <c r="AC502" i="4" s="1"/>
  <c r="K502" i="13"/>
  <c r="O502" i="4" s="1"/>
  <c r="P518" i="13"/>
  <c r="U518" i="4" s="1"/>
  <c r="O518" i="13"/>
  <c r="T518" i="4" s="1"/>
  <c r="N518" i="13"/>
  <c r="S518" i="4" s="1"/>
  <c r="M518" i="13"/>
  <c r="R518" i="4" s="1"/>
  <c r="AD518" i="4" s="1"/>
  <c r="L518" i="13"/>
  <c r="Q518" i="4" s="1"/>
  <c r="AC518" i="4" s="1"/>
  <c r="K518" i="13"/>
  <c r="O518" i="4" s="1"/>
  <c r="P534" i="13"/>
  <c r="U534" i="4" s="1"/>
  <c r="O534" i="13"/>
  <c r="T534" i="4" s="1"/>
  <c r="N534" i="13"/>
  <c r="S534" i="4" s="1"/>
  <c r="M534" i="13"/>
  <c r="R534" i="4" s="1"/>
  <c r="AD534" i="4" s="1"/>
  <c r="L534" i="13"/>
  <c r="Q534" i="4" s="1"/>
  <c r="AC534" i="4" s="1"/>
  <c r="K534" i="13"/>
  <c r="O534" i="4" s="1"/>
  <c r="P550" i="13"/>
  <c r="U550" i="4" s="1"/>
  <c r="O550" i="13"/>
  <c r="T550" i="4" s="1"/>
  <c r="N550" i="13"/>
  <c r="S550" i="4" s="1"/>
  <c r="AI550" i="4" s="1"/>
  <c r="M550" i="13"/>
  <c r="R550" i="4" s="1"/>
  <c r="AD550" i="4" s="1"/>
  <c r="L550" i="13"/>
  <c r="Q550" i="4" s="1"/>
  <c r="AC550" i="4" s="1"/>
  <c r="K550" i="13"/>
  <c r="O550" i="4" s="1"/>
  <c r="P566" i="13"/>
  <c r="U566" i="4" s="1"/>
  <c r="O566" i="13"/>
  <c r="T566" i="4" s="1"/>
  <c r="N566" i="13"/>
  <c r="S566" i="4" s="1"/>
  <c r="M566" i="13"/>
  <c r="R566" i="4" s="1"/>
  <c r="AD566" i="4" s="1"/>
  <c r="L566" i="13"/>
  <c r="Q566" i="4" s="1"/>
  <c r="AC566" i="4" s="1"/>
  <c r="K566" i="13"/>
  <c r="O566" i="4" s="1"/>
  <c r="P582" i="13"/>
  <c r="U582" i="4" s="1"/>
  <c r="O582" i="13"/>
  <c r="T582" i="4" s="1"/>
  <c r="N582" i="13"/>
  <c r="S582" i="4" s="1"/>
  <c r="AI582" i="4" s="1"/>
  <c r="M582" i="13"/>
  <c r="R582" i="4" s="1"/>
  <c r="AD582" i="4" s="1"/>
  <c r="L582" i="13"/>
  <c r="Q582" i="4" s="1"/>
  <c r="AC582" i="4" s="1"/>
  <c r="K582" i="13"/>
  <c r="O582" i="4" s="1"/>
  <c r="P598" i="13"/>
  <c r="U598" i="4" s="1"/>
  <c r="O598" i="13"/>
  <c r="T598" i="4" s="1"/>
  <c r="N598" i="13"/>
  <c r="S598" i="4" s="1"/>
  <c r="M598" i="13"/>
  <c r="R598" i="4" s="1"/>
  <c r="AD598" i="4" s="1"/>
  <c r="L598" i="13"/>
  <c r="Q598" i="4" s="1"/>
  <c r="AC598" i="4" s="1"/>
  <c r="K598" i="13"/>
  <c r="O598" i="4" s="1"/>
  <c r="K447" i="13"/>
  <c r="O447" i="4" s="1"/>
  <c r="P447" i="13"/>
  <c r="U447" i="4" s="1"/>
  <c r="O447" i="13"/>
  <c r="T447" i="4" s="1"/>
  <c r="N447" i="13"/>
  <c r="S447" i="4" s="1"/>
  <c r="M447" i="13"/>
  <c r="R447" i="4" s="1"/>
  <c r="AD447" i="4" s="1"/>
  <c r="L447" i="13"/>
  <c r="Q447" i="4" s="1"/>
  <c r="AC447" i="4" s="1"/>
  <c r="K463" i="13"/>
  <c r="O463" i="4" s="1"/>
  <c r="P463" i="13"/>
  <c r="U463" i="4" s="1"/>
  <c r="O463" i="13"/>
  <c r="T463" i="4" s="1"/>
  <c r="N463" i="13"/>
  <c r="S463" i="4" s="1"/>
  <c r="M463" i="13"/>
  <c r="R463" i="4" s="1"/>
  <c r="AD463" i="4" s="1"/>
  <c r="L463" i="13"/>
  <c r="Q463" i="4" s="1"/>
  <c r="AC463" i="4" s="1"/>
  <c r="K479" i="13"/>
  <c r="O479" i="4" s="1"/>
  <c r="P479" i="13"/>
  <c r="U479" i="4" s="1"/>
  <c r="O479" i="13"/>
  <c r="T479" i="4" s="1"/>
  <c r="N479" i="13"/>
  <c r="S479" i="4" s="1"/>
  <c r="M479" i="13"/>
  <c r="R479" i="4" s="1"/>
  <c r="AD479" i="4" s="1"/>
  <c r="L479" i="13"/>
  <c r="Q479" i="4" s="1"/>
  <c r="AC479" i="4" s="1"/>
  <c r="K495" i="13"/>
  <c r="O495" i="4" s="1"/>
  <c r="P495" i="13"/>
  <c r="U495" i="4" s="1"/>
  <c r="O495" i="13"/>
  <c r="T495" i="4" s="1"/>
  <c r="N495" i="13"/>
  <c r="S495" i="4" s="1"/>
  <c r="M495" i="13"/>
  <c r="R495" i="4" s="1"/>
  <c r="AD495" i="4" s="1"/>
  <c r="L495" i="13"/>
  <c r="Q495" i="4" s="1"/>
  <c r="AC495" i="4" s="1"/>
  <c r="K511" i="13"/>
  <c r="O511" i="4" s="1"/>
  <c r="P511" i="13"/>
  <c r="U511" i="4" s="1"/>
  <c r="O511" i="13"/>
  <c r="T511" i="4" s="1"/>
  <c r="N511" i="13"/>
  <c r="S511" i="4" s="1"/>
  <c r="AI511" i="4" s="1"/>
  <c r="M511" i="13"/>
  <c r="R511" i="4" s="1"/>
  <c r="AD511" i="4" s="1"/>
  <c r="L511" i="13"/>
  <c r="Q511" i="4" s="1"/>
  <c r="AC511" i="4" s="1"/>
  <c r="K527" i="13"/>
  <c r="O527" i="4" s="1"/>
  <c r="P527" i="13"/>
  <c r="U527" i="4" s="1"/>
  <c r="O527" i="13"/>
  <c r="T527" i="4" s="1"/>
  <c r="N527" i="13"/>
  <c r="S527" i="4" s="1"/>
  <c r="AI527" i="4" s="1"/>
  <c r="M527" i="13"/>
  <c r="R527" i="4" s="1"/>
  <c r="AD527" i="4" s="1"/>
  <c r="L527" i="13"/>
  <c r="Q527" i="4" s="1"/>
  <c r="AC527" i="4" s="1"/>
  <c r="K543" i="13"/>
  <c r="O543" i="4" s="1"/>
  <c r="P543" i="13"/>
  <c r="U543" i="4" s="1"/>
  <c r="O543" i="13"/>
  <c r="T543" i="4" s="1"/>
  <c r="N543" i="13"/>
  <c r="S543" i="4" s="1"/>
  <c r="M543" i="13"/>
  <c r="R543" i="4" s="1"/>
  <c r="AD543" i="4" s="1"/>
  <c r="L543" i="13"/>
  <c r="Q543" i="4" s="1"/>
  <c r="AC543" i="4" s="1"/>
  <c r="K559" i="13"/>
  <c r="O559" i="4" s="1"/>
  <c r="P559" i="13"/>
  <c r="U559" i="4" s="1"/>
  <c r="O559" i="13"/>
  <c r="T559" i="4" s="1"/>
  <c r="N559" i="13"/>
  <c r="S559" i="4" s="1"/>
  <c r="M559" i="13"/>
  <c r="R559" i="4" s="1"/>
  <c r="AD559" i="4" s="1"/>
  <c r="L559" i="13"/>
  <c r="Q559" i="4" s="1"/>
  <c r="AC559" i="4" s="1"/>
  <c r="K575" i="13"/>
  <c r="O575" i="4" s="1"/>
  <c r="P575" i="13"/>
  <c r="U575" i="4" s="1"/>
  <c r="O575" i="13"/>
  <c r="T575" i="4" s="1"/>
  <c r="N575" i="13"/>
  <c r="S575" i="4" s="1"/>
  <c r="M575" i="13"/>
  <c r="R575" i="4" s="1"/>
  <c r="AD575" i="4" s="1"/>
  <c r="L575" i="13"/>
  <c r="Q575" i="4" s="1"/>
  <c r="AC575" i="4" s="1"/>
  <c r="K591" i="13"/>
  <c r="O591" i="4" s="1"/>
  <c r="P591" i="13"/>
  <c r="U591" i="4" s="1"/>
  <c r="O591" i="13"/>
  <c r="T591" i="4" s="1"/>
  <c r="N591" i="13"/>
  <c r="S591" i="4" s="1"/>
  <c r="M591" i="13"/>
  <c r="R591" i="4" s="1"/>
  <c r="AD591" i="4" s="1"/>
  <c r="L591" i="13"/>
  <c r="Q591" i="4" s="1"/>
  <c r="AC591" i="4" s="1"/>
  <c r="K607" i="13"/>
  <c r="O607" i="4" s="1"/>
  <c r="P607" i="13"/>
  <c r="U607" i="4" s="1"/>
  <c r="O607" i="13"/>
  <c r="T607" i="4" s="1"/>
  <c r="N607" i="13"/>
  <c r="S607" i="4" s="1"/>
  <c r="M607" i="13"/>
  <c r="R607" i="4" s="1"/>
  <c r="AD607" i="4" s="1"/>
  <c r="L607" i="13"/>
  <c r="Q607" i="4" s="1"/>
  <c r="AC607" i="4" s="1"/>
  <c r="P456" i="13"/>
  <c r="U456" i="4" s="1"/>
  <c r="O456" i="13"/>
  <c r="T456" i="4" s="1"/>
  <c r="N456" i="13"/>
  <c r="S456" i="4" s="1"/>
  <c r="AI456" i="4" s="1"/>
  <c r="M456" i="13"/>
  <c r="R456" i="4" s="1"/>
  <c r="AD456" i="4" s="1"/>
  <c r="L456" i="13"/>
  <c r="Q456" i="4" s="1"/>
  <c r="AC456" i="4" s="1"/>
  <c r="K456" i="13"/>
  <c r="O456" i="4" s="1"/>
  <c r="P472" i="13"/>
  <c r="U472" i="4" s="1"/>
  <c r="O472" i="13"/>
  <c r="T472" i="4" s="1"/>
  <c r="N472" i="13"/>
  <c r="S472" i="4" s="1"/>
  <c r="AI472" i="4" s="1"/>
  <c r="M472" i="13"/>
  <c r="R472" i="4" s="1"/>
  <c r="AD472" i="4" s="1"/>
  <c r="L472" i="13"/>
  <c r="Q472" i="4" s="1"/>
  <c r="AC472" i="4" s="1"/>
  <c r="K472" i="13"/>
  <c r="O472" i="4" s="1"/>
  <c r="P488" i="13"/>
  <c r="U488" i="4" s="1"/>
  <c r="O488" i="13"/>
  <c r="T488" i="4" s="1"/>
  <c r="N488" i="13"/>
  <c r="S488" i="4" s="1"/>
  <c r="M488" i="13"/>
  <c r="R488" i="4" s="1"/>
  <c r="AD488" i="4" s="1"/>
  <c r="L488" i="13"/>
  <c r="Q488" i="4" s="1"/>
  <c r="AC488" i="4" s="1"/>
  <c r="K488" i="13"/>
  <c r="O488" i="4" s="1"/>
  <c r="P504" i="13"/>
  <c r="U504" i="4" s="1"/>
  <c r="O504" i="13"/>
  <c r="T504" i="4" s="1"/>
  <c r="N504" i="13"/>
  <c r="S504" i="4" s="1"/>
  <c r="M504" i="13"/>
  <c r="R504" i="4" s="1"/>
  <c r="AD504" i="4" s="1"/>
  <c r="L504" i="13"/>
  <c r="Q504" i="4" s="1"/>
  <c r="AC504" i="4" s="1"/>
  <c r="K504" i="13"/>
  <c r="O504" i="4" s="1"/>
  <c r="P520" i="13"/>
  <c r="U520" i="4" s="1"/>
  <c r="O520" i="13"/>
  <c r="T520" i="4" s="1"/>
  <c r="N520" i="13"/>
  <c r="S520" i="4" s="1"/>
  <c r="M520" i="13"/>
  <c r="R520" i="4" s="1"/>
  <c r="AD520" i="4" s="1"/>
  <c r="L520" i="13"/>
  <c r="Q520" i="4" s="1"/>
  <c r="AC520" i="4" s="1"/>
  <c r="K520" i="13"/>
  <c r="O520" i="4" s="1"/>
  <c r="P536" i="13"/>
  <c r="U536" i="4" s="1"/>
  <c r="O536" i="13"/>
  <c r="T536" i="4" s="1"/>
  <c r="N536" i="13"/>
  <c r="S536" i="4" s="1"/>
  <c r="AI536" i="4" s="1"/>
  <c r="M536" i="13"/>
  <c r="R536" i="4" s="1"/>
  <c r="AD536" i="4" s="1"/>
  <c r="L536" i="13"/>
  <c r="Q536" i="4" s="1"/>
  <c r="AC536" i="4" s="1"/>
  <c r="K536" i="13"/>
  <c r="O536" i="4" s="1"/>
  <c r="P552" i="13"/>
  <c r="U552" i="4" s="1"/>
  <c r="O552" i="13"/>
  <c r="T552" i="4" s="1"/>
  <c r="N552" i="13"/>
  <c r="S552" i="4" s="1"/>
  <c r="M552" i="13"/>
  <c r="R552" i="4" s="1"/>
  <c r="AD552" i="4" s="1"/>
  <c r="L552" i="13"/>
  <c r="Q552" i="4" s="1"/>
  <c r="AC552" i="4" s="1"/>
  <c r="K552" i="13"/>
  <c r="O552" i="4" s="1"/>
  <c r="P568" i="13"/>
  <c r="U568" i="4" s="1"/>
  <c r="O568" i="13"/>
  <c r="T568" i="4" s="1"/>
  <c r="N568" i="13"/>
  <c r="S568" i="4" s="1"/>
  <c r="M568" i="13"/>
  <c r="R568" i="4" s="1"/>
  <c r="AD568" i="4" s="1"/>
  <c r="L568" i="13"/>
  <c r="Q568" i="4" s="1"/>
  <c r="AC568" i="4" s="1"/>
  <c r="K568" i="13"/>
  <c r="O568" i="4" s="1"/>
  <c r="P584" i="13"/>
  <c r="U584" i="4" s="1"/>
  <c r="O584" i="13"/>
  <c r="T584" i="4" s="1"/>
  <c r="N584" i="13"/>
  <c r="S584" i="4" s="1"/>
  <c r="M584" i="13"/>
  <c r="R584" i="4" s="1"/>
  <c r="AD584" i="4" s="1"/>
  <c r="L584" i="13"/>
  <c r="Q584" i="4" s="1"/>
  <c r="AC584" i="4" s="1"/>
  <c r="K584" i="13"/>
  <c r="O584" i="4" s="1"/>
  <c r="P600" i="13"/>
  <c r="U600" i="4" s="1"/>
  <c r="O600" i="13"/>
  <c r="T600" i="4" s="1"/>
  <c r="N600" i="13"/>
  <c r="S600" i="4" s="1"/>
  <c r="M600" i="13"/>
  <c r="R600" i="4" s="1"/>
  <c r="AD600" i="4" s="1"/>
  <c r="L600" i="13"/>
  <c r="Q600" i="4" s="1"/>
  <c r="AC600" i="4" s="1"/>
  <c r="K600" i="13"/>
  <c r="O600" i="4" s="1"/>
  <c r="P593" i="13"/>
  <c r="U593" i="4" s="1"/>
  <c r="O593" i="13"/>
  <c r="T593" i="4" s="1"/>
  <c r="N593" i="13"/>
  <c r="S593" i="4" s="1"/>
  <c r="M593" i="13"/>
  <c r="R593" i="4" s="1"/>
  <c r="AD593" i="4" s="1"/>
  <c r="L593" i="13"/>
  <c r="Q593" i="4" s="1"/>
  <c r="AC593" i="4" s="1"/>
  <c r="K593" i="13"/>
  <c r="O593" i="4" s="1"/>
  <c r="P609" i="13"/>
  <c r="U609" i="4" s="1"/>
  <c r="O609" i="13"/>
  <c r="T609" i="4" s="1"/>
  <c r="N609" i="13"/>
  <c r="S609" i="4" s="1"/>
  <c r="AI609" i="4" s="1"/>
  <c r="M609" i="13"/>
  <c r="R609" i="4" s="1"/>
  <c r="AD609" i="4" s="1"/>
  <c r="L609" i="13"/>
  <c r="Q609" i="4" s="1"/>
  <c r="AC609" i="4" s="1"/>
  <c r="K609" i="13"/>
  <c r="O609" i="4" s="1"/>
  <c r="D46" i="21"/>
  <c r="D51" i="21"/>
  <c r="E50" i="21"/>
  <c r="D50" i="21"/>
  <c r="E46" i="21"/>
  <c r="D47" i="21"/>
  <c r="E47" i="21"/>
  <c r="D52" i="21"/>
  <c r="E53" i="21"/>
  <c r="D53" i="21"/>
  <c r="E52" i="21"/>
  <c r="E51" i="21"/>
  <c r="E49" i="21"/>
  <c r="D49" i="21"/>
  <c r="E48" i="21"/>
  <c r="D48" i="21"/>
  <c r="E53" i="22"/>
  <c r="E47" i="22"/>
  <c r="D47" i="22"/>
  <c r="E46" i="22"/>
  <c r="D46" i="22"/>
  <c r="D53" i="22"/>
  <c r="D52" i="22"/>
  <c r="E50" i="22"/>
  <c r="E48" i="22"/>
  <c r="D48" i="22"/>
  <c r="E52" i="22"/>
  <c r="E51" i="22"/>
  <c r="D49" i="22"/>
  <c r="D51" i="22"/>
  <c r="D50" i="22"/>
  <c r="E49" i="22"/>
  <c r="AJ925" i="4" l="1"/>
  <c r="P925" i="4"/>
  <c r="AB925" i="4" s="1"/>
  <c r="P238" i="4"/>
  <c r="AB238" i="4" s="1"/>
  <c r="AJ238" i="4"/>
  <c r="AJ293" i="4"/>
  <c r="P293" i="4"/>
  <c r="AB293" i="4" s="1"/>
  <c r="AI591" i="4"/>
  <c r="AI463" i="4"/>
  <c r="AI523" i="4"/>
  <c r="AI483" i="4"/>
  <c r="AI529" i="4"/>
  <c r="AI272" i="4"/>
  <c r="AI320" i="4"/>
  <c r="AI445" i="4"/>
  <c r="AI346" i="4"/>
  <c r="AI237" i="4"/>
  <c r="AI392" i="4"/>
  <c r="AI367" i="4"/>
  <c r="AI337" i="4"/>
  <c r="AI296" i="4"/>
  <c r="AI403" i="4"/>
  <c r="AI245" i="4"/>
  <c r="AI238" i="4"/>
  <c r="AI430" i="4"/>
  <c r="AI401" i="4"/>
  <c r="AI246" i="4"/>
  <c r="AI109" i="4"/>
  <c r="AI130" i="4"/>
  <c r="AI377" i="4"/>
  <c r="AI31" i="4"/>
  <c r="AI91" i="4"/>
  <c r="AI46" i="4"/>
  <c r="AI170" i="4"/>
  <c r="AI39" i="4"/>
  <c r="AI885" i="4"/>
  <c r="V928" i="4"/>
  <c r="AI818" i="4"/>
  <c r="AI860" i="4"/>
  <c r="AI712" i="4"/>
  <c r="V552" i="4"/>
  <c r="AI654" i="4"/>
  <c r="V588" i="4"/>
  <c r="V478" i="4"/>
  <c r="V336" i="4"/>
  <c r="V281" i="4"/>
  <c r="V243" i="4"/>
  <c r="L966" i="4"/>
  <c r="Y966" i="4" s="1"/>
  <c r="S966" i="4"/>
  <c r="F966" i="4"/>
  <c r="M966" i="4"/>
  <c r="W966" i="4" s="1"/>
  <c r="K966" i="4"/>
  <c r="V966" i="4" s="1"/>
  <c r="I966" i="4"/>
  <c r="G966" i="4"/>
  <c r="X966" i="4" s="1"/>
  <c r="D966" i="4"/>
  <c r="U966" i="4"/>
  <c r="AE966" i="4" s="1"/>
  <c r="R966" i="4"/>
  <c r="AD966" i="4" s="1"/>
  <c r="B966" i="4"/>
  <c r="H966" i="4"/>
  <c r="S890" i="4"/>
  <c r="AI890" i="4" s="1"/>
  <c r="U890" i="4"/>
  <c r="G890" i="4"/>
  <c r="X890" i="4" s="1"/>
  <c r="T890" i="4"/>
  <c r="O890" i="4"/>
  <c r="L890" i="4"/>
  <c r="Y890" i="4" s="1"/>
  <c r="R954" i="4"/>
  <c r="AD954" i="4" s="1"/>
  <c r="N954" i="4"/>
  <c r="AA954" i="4" s="1"/>
  <c r="U954" i="4"/>
  <c r="T954" i="4"/>
  <c r="L954" i="4"/>
  <c r="Y954" i="4" s="1"/>
  <c r="F954" i="4"/>
  <c r="G954" i="4"/>
  <c r="X954" i="4" s="1"/>
  <c r="B844" i="4"/>
  <c r="R844" i="4"/>
  <c r="AD844" i="4" s="1"/>
  <c r="U844" i="4"/>
  <c r="AE844" i="4" s="1"/>
  <c r="L844" i="4"/>
  <c r="Y844" i="4" s="1"/>
  <c r="D844" i="4"/>
  <c r="K970" i="4"/>
  <c r="N970" i="4"/>
  <c r="AA970" i="4" s="1"/>
  <c r="D970" i="4"/>
  <c r="B970" i="4"/>
  <c r="AJ891" i="4"/>
  <c r="P891" i="4"/>
  <c r="AB891" i="4" s="1"/>
  <c r="N795" i="4"/>
  <c r="AA795" i="4" s="1"/>
  <c r="D795" i="4"/>
  <c r="U795" i="4"/>
  <c r="Q795" i="4"/>
  <c r="AC795" i="4" s="1"/>
  <c r="S985" i="4"/>
  <c r="M985" i="4"/>
  <c r="W985" i="4" s="1"/>
  <c r="K985" i="4"/>
  <c r="V985" i="4" s="1"/>
  <c r="I985" i="4"/>
  <c r="B985" i="4"/>
  <c r="Q985" i="4"/>
  <c r="AC985" i="4" s="1"/>
  <c r="D985" i="4"/>
  <c r="U985" i="4"/>
  <c r="R985" i="4"/>
  <c r="AD985" i="4" s="1"/>
  <c r="N985" i="4"/>
  <c r="AA985" i="4" s="1"/>
  <c r="J985" i="4"/>
  <c r="Z985" i="4" s="1"/>
  <c r="F985" i="4"/>
  <c r="G985" i="4"/>
  <c r="X985" i="4" s="1"/>
  <c r="L985" i="4"/>
  <c r="Y985" i="4" s="1"/>
  <c r="H985" i="4"/>
  <c r="AJ693" i="4"/>
  <c r="P693" i="4"/>
  <c r="AB693" i="4" s="1"/>
  <c r="P977" i="4"/>
  <c r="AB977" i="4" s="1"/>
  <c r="AJ977" i="4"/>
  <c r="V268" i="4"/>
  <c r="V252" i="4"/>
  <c r="Y252" i="4"/>
  <c r="AI349" i="4"/>
  <c r="AI324" i="4"/>
  <c r="AI81" i="4"/>
  <c r="V753" i="4"/>
  <c r="AI687" i="4"/>
  <c r="V165" i="4"/>
  <c r="AJ214" i="4"/>
  <c r="P214" i="4"/>
  <c r="AB214" i="4" s="1"/>
  <c r="AJ172" i="4"/>
  <c r="P172" i="4"/>
  <c r="AB172" i="4" s="1"/>
  <c r="Q989" i="4"/>
  <c r="AC989" i="4" s="1"/>
  <c r="F989" i="4"/>
  <c r="D989" i="4"/>
  <c r="U989" i="4"/>
  <c r="AE989" i="4" s="1"/>
  <c r="N989" i="4"/>
  <c r="AA989" i="4" s="1"/>
  <c r="I989" i="4"/>
  <c r="B989" i="4"/>
  <c r="J989" i="4"/>
  <c r="Z989" i="4" s="1"/>
  <c r="O989" i="4"/>
  <c r="K989" i="4"/>
  <c r="Q893" i="4"/>
  <c r="AC893" i="4" s="1"/>
  <c r="U893" i="4"/>
  <c r="N893" i="4"/>
  <c r="AA893" i="4" s="1"/>
  <c r="K893" i="4"/>
  <c r="V893" i="4" s="1"/>
  <c r="L893" i="4"/>
  <c r="Y893" i="4" s="1"/>
  <c r="G893" i="4"/>
  <c r="X893" i="4" s="1"/>
  <c r="F893" i="4"/>
  <c r="T806" i="4"/>
  <c r="D806" i="4"/>
  <c r="U924" i="4"/>
  <c r="B924" i="4"/>
  <c r="M924" i="4"/>
  <c r="W924" i="4" s="1"/>
  <c r="S924" i="4"/>
  <c r="Q924" i="4"/>
  <c r="AC924" i="4" s="1"/>
  <c r="L924" i="4"/>
  <c r="Y924" i="4" s="1"/>
  <c r="J924" i="4"/>
  <c r="Z924" i="4" s="1"/>
  <c r="G924" i="4"/>
  <c r="X924" i="4" s="1"/>
  <c r="D924" i="4"/>
  <c r="O924" i="4"/>
  <c r="N924" i="4"/>
  <c r="AA924" i="4" s="1"/>
  <c r="S972" i="4"/>
  <c r="B972" i="4"/>
  <c r="D972" i="4"/>
  <c r="T972" i="4"/>
  <c r="S886" i="4"/>
  <c r="O886" i="4"/>
  <c r="S858" i="4"/>
  <c r="AI858" i="4" s="1"/>
  <c r="R858" i="4"/>
  <c r="AD858" i="4" s="1"/>
  <c r="N858" i="4"/>
  <c r="AA858" i="4" s="1"/>
  <c r="H858" i="4"/>
  <c r="I858" i="4"/>
  <c r="F858" i="4"/>
  <c r="D858" i="4"/>
  <c r="K858" i="4"/>
  <c r="J858" i="4"/>
  <c r="Z858" i="4" s="1"/>
  <c r="B858" i="4"/>
  <c r="Q858" i="4"/>
  <c r="AC858" i="4" s="1"/>
  <c r="T948" i="4"/>
  <c r="J948" i="4"/>
  <c r="Z948" i="4" s="1"/>
  <c r="L948" i="4"/>
  <c r="Y948" i="4" s="1"/>
  <c r="K948" i="4"/>
  <c r="S948" i="4"/>
  <c r="P901" i="4"/>
  <c r="AB901" i="4" s="1"/>
  <c r="AJ901" i="4"/>
  <c r="B888" i="4"/>
  <c r="R888" i="4"/>
  <c r="AD888" i="4" s="1"/>
  <c r="AI225" i="4"/>
  <c r="AI603" i="4"/>
  <c r="AI440" i="4"/>
  <c r="AI572" i="4"/>
  <c r="AI563" i="4"/>
  <c r="AI481" i="4"/>
  <c r="V997" i="4"/>
  <c r="AI112" i="4"/>
  <c r="AI987" i="4"/>
  <c r="V976" i="4"/>
  <c r="V913" i="4"/>
  <c r="V866" i="4"/>
  <c r="AI807" i="4"/>
  <c r="AI748" i="4"/>
  <c r="V759" i="4"/>
  <c r="V663" i="4"/>
  <c r="V609" i="4"/>
  <c r="V574" i="4"/>
  <c r="V522" i="4"/>
  <c r="V217" i="4"/>
  <c r="V266" i="4"/>
  <c r="V139" i="4"/>
  <c r="V226" i="4"/>
  <c r="V213" i="4"/>
  <c r="V163" i="4"/>
  <c r="V29" i="4"/>
  <c r="B999" i="4"/>
  <c r="S999" i="4"/>
  <c r="H999" i="4"/>
  <c r="R999" i="4"/>
  <c r="AD999" i="4" s="1"/>
  <c r="M999" i="4"/>
  <c r="W999" i="4" s="1"/>
  <c r="L999" i="4"/>
  <c r="Y999" i="4" s="1"/>
  <c r="K999" i="4"/>
  <c r="V999" i="4" s="1"/>
  <c r="G999" i="4"/>
  <c r="X999" i="4" s="1"/>
  <c r="N999" i="4"/>
  <c r="AA999" i="4" s="1"/>
  <c r="Q999" i="4"/>
  <c r="AC999" i="4" s="1"/>
  <c r="B940" i="4"/>
  <c r="Q940" i="4"/>
  <c r="AC940" i="4" s="1"/>
  <c r="S940" i="4"/>
  <c r="AI940" i="4" s="1"/>
  <c r="S823" i="4"/>
  <c r="T823" i="4"/>
  <c r="R823" i="4"/>
  <c r="AD823" i="4" s="1"/>
  <c r="J823" i="4"/>
  <c r="Z823" i="4" s="1"/>
  <c r="I823" i="4"/>
  <c r="D823" i="4"/>
  <c r="B823" i="4"/>
  <c r="N823" i="4"/>
  <c r="AA823" i="4" s="1"/>
  <c r="U938" i="4"/>
  <c r="AE938" i="4" s="1"/>
  <c r="G938" i="4"/>
  <c r="X938" i="4" s="1"/>
  <c r="O938" i="4"/>
  <c r="R938" i="4"/>
  <c r="AD938" i="4" s="1"/>
  <c r="Q938" i="4"/>
  <c r="AC938" i="4" s="1"/>
  <c r="L938" i="4"/>
  <c r="Y938" i="4" s="1"/>
  <c r="J938" i="4"/>
  <c r="Z938" i="4" s="1"/>
  <c r="I938" i="4"/>
  <c r="B938" i="4"/>
  <c r="N938" i="4"/>
  <c r="AA938" i="4" s="1"/>
  <c r="M938" i="4"/>
  <c r="W938" i="4" s="1"/>
  <c r="H938" i="4"/>
  <c r="B988" i="4"/>
  <c r="T988" i="4"/>
  <c r="L988" i="4"/>
  <c r="Y988" i="4" s="1"/>
  <c r="I988" i="4"/>
  <c r="O988" i="4"/>
  <c r="S911" i="4"/>
  <c r="AI911" i="4" s="1"/>
  <c r="H911" i="4"/>
  <c r="F911" i="4"/>
  <c r="T911" i="4"/>
  <c r="D911" i="4"/>
  <c r="Q911" i="4"/>
  <c r="AC911" i="4" s="1"/>
  <c r="O911" i="4"/>
  <c r="K911" i="4"/>
  <c r="B871" i="4"/>
  <c r="H871" i="4"/>
  <c r="O871" i="4"/>
  <c r="M871" i="4"/>
  <c r="W871" i="4" s="1"/>
  <c r="I871" i="4"/>
  <c r="G871" i="4"/>
  <c r="X871" i="4" s="1"/>
  <c r="R871" i="4"/>
  <c r="AD871" i="4" s="1"/>
  <c r="F871" i="4"/>
  <c r="I898" i="4"/>
  <c r="R898" i="4"/>
  <c r="AD898" i="4" s="1"/>
  <c r="D898" i="4"/>
  <c r="K898" i="4"/>
  <c r="H898" i="4"/>
  <c r="G898" i="4"/>
  <c r="X898" i="4" s="1"/>
  <c r="F898" i="4"/>
  <c r="B898" i="4"/>
  <c r="O898" i="4"/>
  <c r="M898" i="4"/>
  <c r="W898" i="4" s="1"/>
  <c r="L898" i="4"/>
  <c r="Y898" i="4" s="1"/>
  <c r="B942" i="4"/>
  <c r="L942" i="4"/>
  <c r="Y942" i="4" s="1"/>
  <c r="F942" i="4"/>
  <c r="U942" i="4"/>
  <c r="V908" i="4"/>
  <c r="U742" i="4"/>
  <c r="AE742" i="4" s="1"/>
  <c r="T742" i="4"/>
  <c r="B742" i="4"/>
  <c r="R742" i="4"/>
  <c r="AD742" i="4" s="1"/>
  <c r="L742" i="4"/>
  <c r="Y742" i="4" s="1"/>
  <c r="K742" i="4"/>
  <c r="J742" i="4"/>
  <c r="Z742" i="4" s="1"/>
  <c r="D742" i="4"/>
  <c r="O742" i="4"/>
  <c r="M742" i="4"/>
  <c r="W742" i="4" s="1"/>
  <c r="Q742" i="4"/>
  <c r="AC742" i="4" s="1"/>
  <c r="N742" i="4"/>
  <c r="AA742" i="4" s="1"/>
  <c r="I742" i="4"/>
  <c r="H742" i="4"/>
  <c r="G742" i="4"/>
  <c r="X742" i="4" s="1"/>
  <c r="F742" i="4"/>
  <c r="S913" i="4"/>
  <c r="AI913" i="4" s="1"/>
  <c r="B913" i="4"/>
  <c r="D913" i="4"/>
  <c r="V311" i="4"/>
  <c r="V273" i="4"/>
  <c r="V319" i="4"/>
  <c r="V174" i="4"/>
  <c r="Q917" i="4"/>
  <c r="AC917" i="4" s="1"/>
  <c r="T917" i="4"/>
  <c r="R917" i="4"/>
  <c r="AD917" i="4" s="1"/>
  <c r="O917" i="4"/>
  <c r="N917" i="4"/>
  <c r="AA917" i="4" s="1"/>
  <c r="I917" i="4"/>
  <c r="B917" i="4"/>
  <c r="D917" i="4"/>
  <c r="M917" i="4"/>
  <c r="W917" i="4" s="1"/>
  <c r="F917" i="4"/>
  <c r="T952" i="4"/>
  <c r="Q952" i="4"/>
  <c r="AC952" i="4" s="1"/>
  <c r="G952" i="4"/>
  <c r="X952" i="4" s="1"/>
  <c r="L825" i="4"/>
  <c r="Y825" i="4" s="1"/>
  <c r="K825" i="4"/>
  <c r="J825" i="4"/>
  <c r="Z825" i="4" s="1"/>
  <c r="B825" i="4"/>
  <c r="R825" i="4"/>
  <c r="AD825" i="4" s="1"/>
  <c r="Q825" i="4"/>
  <c r="AC825" i="4" s="1"/>
  <c r="N825" i="4"/>
  <c r="AA825" i="4" s="1"/>
  <c r="D825" i="4"/>
  <c r="U825" i="4"/>
  <c r="T825" i="4"/>
  <c r="I825" i="4"/>
  <c r="H825" i="4"/>
  <c r="G825" i="4"/>
  <c r="X825" i="4" s="1"/>
  <c r="S825" i="4"/>
  <c r="B951" i="4"/>
  <c r="U951" i="4"/>
  <c r="B990" i="4"/>
  <c r="I990" i="4"/>
  <c r="R990" i="4"/>
  <c r="AD990" i="4" s="1"/>
  <c r="N990" i="4"/>
  <c r="AA990" i="4" s="1"/>
  <c r="F990" i="4"/>
  <c r="I994" i="4"/>
  <c r="N994" i="4"/>
  <c r="AA994" i="4" s="1"/>
  <c r="L994" i="4"/>
  <c r="Y994" i="4" s="1"/>
  <c r="J994" i="4"/>
  <c r="Z994" i="4" s="1"/>
  <c r="O994" i="4"/>
  <c r="M994" i="4"/>
  <c r="W994" i="4" s="1"/>
  <c r="F994" i="4"/>
  <c r="B994" i="4"/>
  <c r="K994" i="4"/>
  <c r="G994" i="4"/>
  <c r="X994" i="4" s="1"/>
  <c r="Q994" i="4"/>
  <c r="AC994" i="4" s="1"/>
  <c r="R994" i="4"/>
  <c r="AD994" i="4" s="1"/>
  <c r="S916" i="4"/>
  <c r="G916" i="4"/>
  <c r="X916" i="4" s="1"/>
  <c r="L916" i="4"/>
  <c r="Y916" i="4" s="1"/>
  <c r="I916" i="4"/>
  <c r="B916" i="4"/>
  <c r="R916" i="4"/>
  <c r="AD916" i="4" s="1"/>
  <c r="Q916" i="4"/>
  <c r="AC916" i="4" s="1"/>
  <c r="D916" i="4"/>
  <c r="I884" i="4"/>
  <c r="R884" i="4"/>
  <c r="AD884" i="4" s="1"/>
  <c r="Q884" i="4"/>
  <c r="AC884" i="4" s="1"/>
  <c r="N884" i="4"/>
  <c r="AA884" i="4" s="1"/>
  <c r="F884" i="4"/>
  <c r="D884" i="4"/>
  <c r="B884" i="4"/>
  <c r="D881" i="4"/>
  <c r="T881" i="4"/>
  <c r="I881" i="4"/>
  <c r="G881" i="4"/>
  <c r="X881" i="4" s="1"/>
  <c r="B881" i="4"/>
  <c r="R881" i="4"/>
  <c r="AD881" i="4" s="1"/>
  <c r="N881" i="4"/>
  <c r="AA881" i="4" s="1"/>
  <c r="J881" i="4"/>
  <c r="Z881" i="4" s="1"/>
  <c r="H881" i="4"/>
  <c r="I914" i="4"/>
  <c r="G914" i="4"/>
  <c r="X914" i="4" s="1"/>
  <c r="F914" i="4"/>
  <c r="B914" i="4"/>
  <c r="R914" i="4"/>
  <c r="AD914" i="4" s="1"/>
  <c r="M914" i="4"/>
  <c r="W914" i="4" s="1"/>
  <c r="O914" i="4"/>
  <c r="L914" i="4"/>
  <c r="Y914" i="4" s="1"/>
  <c r="K914" i="4"/>
  <c r="H914" i="4"/>
  <c r="D914" i="4"/>
  <c r="S953" i="4"/>
  <c r="D953" i="4"/>
  <c r="G953" i="4"/>
  <c r="X953" i="4" s="1"/>
  <c r="R953" i="4"/>
  <c r="AD953" i="4" s="1"/>
  <c r="N953" i="4"/>
  <c r="AA953" i="4" s="1"/>
  <c r="M953" i="4"/>
  <c r="W953" i="4" s="1"/>
  <c r="H953" i="4"/>
  <c r="B953" i="4"/>
  <c r="U744" i="4"/>
  <c r="AE744" i="4" s="1"/>
  <c r="T744" i="4"/>
  <c r="Q744" i="4"/>
  <c r="AC744" i="4" s="1"/>
  <c r="K744" i="4"/>
  <c r="G744" i="4"/>
  <c r="X744" i="4" s="1"/>
  <c r="D744" i="4"/>
  <c r="I744" i="4"/>
  <c r="D930" i="4"/>
  <c r="G930" i="4"/>
  <c r="X930" i="4" s="1"/>
  <c r="B930" i="4"/>
  <c r="T916" i="4"/>
  <c r="V437" i="4"/>
  <c r="V151" i="4"/>
  <c r="Y151" i="4"/>
  <c r="V70" i="4"/>
  <c r="AI321" i="4"/>
  <c r="AI331" i="4"/>
  <c r="AI234" i="4"/>
  <c r="AI278" i="4"/>
  <c r="AI122" i="4"/>
  <c r="AI999" i="4"/>
  <c r="V916" i="4"/>
  <c r="V8" i="4"/>
  <c r="Q922" i="4"/>
  <c r="AC922" i="4" s="1"/>
  <c r="O922" i="4"/>
  <c r="K982" i="4"/>
  <c r="V982" i="4" s="1"/>
  <c r="U982" i="4"/>
  <c r="N982" i="4"/>
  <c r="AA982" i="4" s="1"/>
  <c r="G982" i="4"/>
  <c r="X982" i="4" s="1"/>
  <c r="S982" i="4"/>
  <c r="R982" i="4"/>
  <c r="AD982" i="4" s="1"/>
  <c r="Q982" i="4"/>
  <c r="AC982" i="4" s="1"/>
  <c r="O982" i="4"/>
  <c r="J982" i="4"/>
  <c r="Z982" i="4" s="1"/>
  <c r="I982" i="4"/>
  <c r="T982" i="4"/>
  <c r="F982" i="4"/>
  <c r="B982" i="4"/>
  <c r="D982" i="4"/>
  <c r="I854" i="4"/>
  <c r="U854" i="4"/>
  <c r="AE854" i="4" s="1"/>
  <c r="G854" i="4"/>
  <c r="X854" i="4" s="1"/>
  <c r="N854" i="4"/>
  <c r="AA854" i="4" s="1"/>
  <c r="F854" i="4"/>
  <c r="B854" i="4"/>
  <c r="D854" i="4"/>
  <c r="O968" i="4"/>
  <c r="K968" i="4"/>
  <c r="G968" i="4"/>
  <c r="X968" i="4" s="1"/>
  <c r="Q968" i="4"/>
  <c r="AC968" i="4" s="1"/>
  <c r="H968" i="4"/>
  <c r="D968" i="4"/>
  <c r="B968" i="4"/>
  <c r="U968" i="4"/>
  <c r="G980" i="4"/>
  <c r="X980" i="4" s="1"/>
  <c r="D980" i="4"/>
  <c r="T980" i="4"/>
  <c r="H980" i="4"/>
  <c r="U821" i="4"/>
  <c r="AE821" i="4" s="1"/>
  <c r="J821" i="4"/>
  <c r="Z821" i="4" s="1"/>
  <c r="T932" i="4"/>
  <c r="J932" i="4"/>
  <c r="Z932" i="4" s="1"/>
  <c r="I932" i="4"/>
  <c r="G932" i="4"/>
  <c r="X932" i="4" s="1"/>
  <c r="N918" i="4"/>
  <c r="AA918" i="4" s="1"/>
  <c r="K918" i="4"/>
  <c r="V918" i="4" s="1"/>
  <c r="Q918" i="4"/>
  <c r="AC918" i="4" s="1"/>
  <c r="L918" i="4"/>
  <c r="Y918" i="4" s="1"/>
  <c r="J918" i="4"/>
  <c r="Z918" i="4" s="1"/>
  <c r="I897" i="4"/>
  <c r="D897" i="4"/>
  <c r="N897" i="4"/>
  <c r="AA897" i="4" s="1"/>
  <c r="B897" i="4"/>
  <c r="U897" i="4"/>
  <c r="K897" i="4"/>
  <c r="J897" i="4"/>
  <c r="Z897" i="4" s="1"/>
  <c r="R905" i="4"/>
  <c r="AD905" i="4" s="1"/>
  <c r="S905" i="4"/>
  <c r="M905" i="4"/>
  <c r="W905" i="4" s="1"/>
  <c r="J905" i="4"/>
  <c r="Z905" i="4" s="1"/>
  <c r="H905" i="4"/>
  <c r="F905" i="4"/>
  <c r="B905" i="4"/>
  <c r="Q905" i="4"/>
  <c r="AC905" i="4" s="1"/>
  <c r="L853" i="4"/>
  <c r="Y853" i="4" s="1"/>
  <c r="Q853" i="4"/>
  <c r="AC853" i="4" s="1"/>
  <c r="I853" i="4"/>
  <c r="H853" i="4"/>
  <c r="O853" i="4"/>
  <c r="M853" i="4"/>
  <c r="W853" i="4" s="1"/>
  <c r="J853" i="4"/>
  <c r="Z853" i="4" s="1"/>
  <c r="T750" i="4"/>
  <c r="J750" i="4"/>
  <c r="Z750" i="4" s="1"/>
  <c r="I750" i="4"/>
  <c r="H750" i="4"/>
  <c r="T936" i="4"/>
  <c r="D936" i="4"/>
  <c r="U936" i="4"/>
  <c r="AE936" i="4" s="1"/>
  <c r="B936" i="4"/>
  <c r="P675" i="4"/>
  <c r="AB675" i="4" s="1"/>
  <c r="AJ675" i="4"/>
  <c r="V413" i="4"/>
  <c r="AJ314" i="4"/>
  <c r="P314" i="4"/>
  <c r="AB314" i="4" s="1"/>
  <c r="V179" i="4"/>
  <c r="Y132" i="4"/>
  <c r="V132" i="4"/>
  <c r="V117" i="4"/>
  <c r="V125" i="4"/>
  <c r="AI596" i="4"/>
  <c r="AI496" i="4"/>
  <c r="AI408" i="4"/>
  <c r="AI358" i="4"/>
  <c r="AI120" i="4"/>
  <c r="V931" i="4"/>
  <c r="AI839" i="4"/>
  <c r="AI705" i="4"/>
  <c r="AI835" i="4"/>
  <c r="AI636" i="4"/>
  <c r="V498" i="4"/>
  <c r="V495" i="4"/>
  <c r="V434" i="4"/>
  <c r="P218" i="4"/>
  <c r="AB218" i="4" s="1"/>
  <c r="AJ218" i="4"/>
  <c r="K926" i="4"/>
  <c r="V926" i="4" s="1"/>
  <c r="R926" i="4"/>
  <c r="AD926" i="4" s="1"/>
  <c r="L926" i="4"/>
  <c r="Y926" i="4" s="1"/>
  <c r="I926" i="4"/>
  <c r="D926" i="4"/>
  <c r="B926" i="4"/>
  <c r="T926" i="4"/>
  <c r="S926" i="4"/>
  <c r="Q926" i="4"/>
  <c r="AC926" i="4" s="1"/>
  <c r="M926" i="4"/>
  <c r="W926" i="4" s="1"/>
  <c r="G926" i="4"/>
  <c r="X926" i="4" s="1"/>
  <c r="F926" i="4"/>
  <c r="S996" i="4"/>
  <c r="J996" i="4"/>
  <c r="Z996" i="4" s="1"/>
  <c r="I996" i="4"/>
  <c r="D996" i="4"/>
  <c r="U996" i="4"/>
  <c r="L996" i="4"/>
  <c r="Y996" i="4" s="1"/>
  <c r="G853" i="4"/>
  <c r="X853" i="4" s="1"/>
  <c r="U971" i="4"/>
  <c r="AE971" i="4" s="1"/>
  <c r="G971" i="4"/>
  <c r="X971" i="4" s="1"/>
  <c r="U799" i="4"/>
  <c r="AE799" i="4" s="1"/>
  <c r="H799" i="4"/>
  <c r="S799" i="4"/>
  <c r="Q799" i="4"/>
  <c r="AC799" i="4" s="1"/>
  <c r="N799" i="4"/>
  <c r="AA799" i="4" s="1"/>
  <c r="L799" i="4"/>
  <c r="Y799" i="4" s="1"/>
  <c r="I799" i="4"/>
  <c r="B831" i="4"/>
  <c r="Q831" i="4"/>
  <c r="AC831" i="4" s="1"/>
  <c r="K831" i="4"/>
  <c r="J831" i="4"/>
  <c r="Z831" i="4" s="1"/>
  <c r="F831" i="4"/>
  <c r="S967" i="4"/>
  <c r="AI967" i="4" s="1"/>
  <c r="Q967" i="4"/>
  <c r="AC967" i="4" s="1"/>
  <c r="G967" i="4"/>
  <c r="X967" i="4" s="1"/>
  <c r="R967" i="4"/>
  <c r="AD967" i="4" s="1"/>
  <c r="L967" i="4"/>
  <c r="Y967" i="4" s="1"/>
  <c r="H967" i="4"/>
  <c r="M858" i="4"/>
  <c r="W858" i="4" s="1"/>
  <c r="J893" i="4"/>
  <c r="Z893" i="4" s="1"/>
  <c r="U899" i="4"/>
  <c r="AE899" i="4" s="1"/>
  <c r="O899" i="4"/>
  <c r="D899" i="4"/>
  <c r="H899" i="4"/>
  <c r="AJ801" i="4"/>
  <c r="P801" i="4"/>
  <c r="AB801" i="4" s="1"/>
  <c r="B834" i="4"/>
  <c r="Q834" i="4"/>
  <c r="AC834" i="4" s="1"/>
  <c r="J834" i="4"/>
  <c r="Z834" i="4" s="1"/>
  <c r="I834" i="4"/>
  <c r="AJ1000" i="4"/>
  <c r="P1000" i="4"/>
  <c r="AB1000" i="4" s="1"/>
  <c r="N757" i="4"/>
  <c r="AA757" i="4" s="1"/>
  <c r="R757" i="4"/>
  <c r="AD757" i="4" s="1"/>
  <c r="O757" i="4"/>
  <c r="D757" i="4"/>
  <c r="Q757" i="4"/>
  <c r="AC757" i="4" s="1"/>
  <c r="Q763" i="4"/>
  <c r="AC763" i="4" s="1"/>
  <c r="B763" i="4"/>
  <c r="S763" i="4"/>
  <c r="U763" i="4"/>
  <c r="AE763" i="4" s="1"/>
  <c r="T763" i="4"/>
  <c r="R763" i="4"/>
  <c r="AD763" i="4" s="1"/>
  <c r="O763" i="4"/>
  <c r="L763" i="4"/>
  <c r="Y763" i="4" s="1"/>
  <c r="I763" i="4"/>
  <c r="G763" i="4"/>
  <c r="X763" i="4" s="1"/>
  <c r="K763" i="4"/>
  <c r="H763" i="4"/>
  <c r="B797" i="4"/>
  <c r="D797" i="4"/>
  <c r="R797" i="4"/>
  <c r="AD797" i="4" s="1"/>
  <c r="F797" i="4"/>
  <c r="V727" i="4"/>
  <c r="P708" i="4"/>
  <c r="AB708" i="4" s="1"/>
  <c r="AJ708" i="4"/>
  <c r="V890" i="4"/>
  <c r="AI813" i="4"/>
  <c r="AI534" i="4"/>
  <c r="AI468" i="4"/>
  <c r="AI546" i="4"/>
  <c r="AI457" i="4"/>
  <c r="AI477" i="4"/>
  <c r="AI599" i="4"/>
  <c r="AI574" i="4"/>
  <c r="AI517" i="4"/>
  <c r="AI595" i="4"/>
  <c r="AI421" i="4"/>
  <c r="AI360" i="4"/>
  <c r="AI230" i="4"/>
  <c r="AI433" i="4"/>
  <c r="AI292" i="4"/>
  <c r="AI111" i="4"/>
  <c r="AI118" i="4"/>
  <c r="V996" i="4"/>
  <c r="AE893" i="4"/>
  <c r="AI905" i="4"/>
  <c r="AI876" i="4"/>
  <c r="AI810" i="4"/>
  <c r="AI846" i="4"/>
  <c r="AI836" i="4"/>
  <c r="AI821" i="4"/>
  <c r="V821" i="4"/>
  <c r="AI742" i="4"/>
  <c r="AE795" i="4"/>
  <c r="V745" i="4"/>
  <c r="AI664" i="4"/>
  <c r="V690" i="4"/>
  <c r="AI717" i="4"/>
  <c r="AI703" i="4"/>
  <c r="V568" i="4"/>
  <c r="V660" i="4"/>
  <c r="V440" i="4"/>
  <c r="V321" i="4"/>
  <c r="V362" i="4"/>
  <c r="V198" i="4"/>
  <c r="B945" i="4"/>
  <c r="S945" i="4"/>
  <c r="R945" i="4"/>
  <c r="AD945" i="4" s="1"/>
  <c r="T945" i="4"/>
  <c r="R975" i="4"/>
  <c r="AD975" i="4" s="1"/>
  <c r="T975" i="4"/>
  <c r="L975" i="4"/>
  <c r="Y975" i="4" s="1"/>
  <c r="D975" i="4"/>
  <c r="I975" i="4"/>
  <c r="H975" i="4"/>
  <c r="G975" i="4"/>
  <c r="X975" i="4" s="1"/>
  <c r="B975" i="4"/>
  <c r="S975" i="4"/>
  <c r="K975" i="4"/>
  <c r="V975" i="4" s="1"/>
  <c r="F975" i="4"/>
  <c r="B815" i="4"/>
  <c r="G815" i="4"/>
  <c r="X815" i="4" s="1"/>
  <c r="R815" i="4"/>
  <c r="AD815" i="4" s="1"/>
  <c r="Q815" i="4"/>
  <c r="AC815" i="4" s="1"/>
  <c r="S906" i="4"/>
  <c r="U906" i="4"/>
  <c r="AE906" i="4" s="1"/>
  <c r="O906" i="4"/>
  <c r="J906" i="4"/>
  <c r="Z906" i="4" s="1"/>
  <c r="G906" i="4"/>
  <c r="X906" i="4" s="1"/>
  <c r="S991" i="4"/>
  <c r="AI991" i="4" s="1"/>
  <c r="U991" i="4"/>
  <c r="AE991" i="4" s="1"/>
  <c r="F991" i="4"/>
  <c r="O991" i="4"/>
  <c r="S868" i="4"/>
  <c r="B868" i="4"/>
  <c r="T868" i="4"/>
  <c r="N868" i="4"/>
  <c r="AA868" i="4" s="1"/>
  <c r="M868" i="4"/>
  <c r="W868" i="4" s="1"/>
  <c r="K868" i="4"/>
  <c r="H868" i="4"/>
  <c r="D868" i="4"/>
  <c r="U868" i="4"/>
  <c r="R868" i="4"/>
  <c r="AD868" i="4" s="1"/>
  <c r="Q868" i="4"/>
  <c r="AC868" i="4" s="1"/>
  <c r="O868" i="4"/>
  <c r="I868" i="4"/>
  <c r="G868" i="4"/>
  <c r="X868" i="4" s="1"/>
  <c r="F868" i="4"/>
  <c r="B894" i="4"/>
  <c r="R894" i="4"/>
  <c r="AD894" i="4" s="1"/>
  <c r="T894" i="4"/>
  <c r="D894" i="4"/>
  <c r="H837" i="4"/>
  <c r="O837" i="4"/>
  <c r="D810" i="4"/>
  <c r="B810" i="4"/>
  <c r="AJ202" i="4"/>
  <c r="P202" i="4"/>
  <c r="AB202" i="4" s="1"/>
  <c r="V350" i="4"/>
  <c r="AJ141" i="4"/>
  <c r="P141" i="4"/>
  <c r="AB141" i="4" s="1"/>
  <c r="V954" i="4"/>
  <c r="AE951" i="4"/>
  <c r="AI954" i="4"/>
  <c r="AE829" i="4"/>
  <c r="AI671" i="4"/>
  <c r="V774" i="4"/>
  <c r="V410" i="4"/>
  <c r="V286" i="4"/>
  <c r="V334" i="4"/>
  <c r="V149" i="4"/>
  <c r="B889" i="4"/>
  <c r="S889" i="4"/>
  <c r="AI889" i="4" s="1"/>
  <c r="Q889" i="4"/>
  <c r="AC889" i="4" s="1"/>
  <c r="R889" i="4"/>
  <c r="AD889" i="4" s="1"/>
  <c r="M889" i="4"/>
  <c r="W889" i="4" s="1"/>
  <c r="F889" i="4"/>
  <c r="F987" i="4"/>
  <c r="O987" i="4"/>
  <c r="S829" i="4"/>
  <c r="D829" i="4"/>
  <c r="R829" i="4"/>
  <c r="AD829" i="4" s="1"/>
  <c r="I829" i="4"/>
  <c r="U829" i="4"/>
  <c r="K829" i="4"/>
  <c r="V829" i="4" s="1"/>
  <c r="H829" i="4"/>
  <c r="B829" i="4"/>
  <c r="Q829" i="4"/>
  <c r="AC829" i="4" s="1"/>
  <c r="N829" i="4"/>
  <c r="AA829" i="4" s="1"/>
  <c r="L829" i="4"/>
  <c r="Y829" i="4" s="1"/>
  <c r="M829" i="4"/>
  <c r="W829" i="4" s="1"/>
  <c r="D920" i="4"/>
  <c r="F920" i="4"/>
  <c r="D946" i="4"/>
  <c r="B946" i="4"/>
  <c r="N911" i="4"/>
  <c r="AA911" i="4" s="1"/>
  <c r="F967" i="4"/>
  <c r="N822" i="4"/>
  <c r="AA822" i="4" s="1"/>
  <c r="B822" i="4"/>
  <c r="D822" i="4"/>
  <c r="P751" i="4"/>
  <c r="AB751" i="4" s="1"/>
  <c r="AJ751" i="4"/>
  <c r="J986" i="4"/>
  <c r="Z986" i="4" s="1"/>
  <c r="I986" i="4"/>
  <c r="G986" i="4"/>
  <c r="X986" i="4" s="1"/>
  <c r="T986" i="4"/>
  <c r="O986" i="4"/>
  <c r="F986" i="4"/>
  <c r="B986" i="4"/>
  <c r="S986" i="4"/>
  <c r="AI986" i="4" s="1"/>
  <c r="U986" i="4"/>
  <c r="R986" i="4"/>
  <c r="AD986" i="4" s="1"/>
  <c r="N986" i="4"/>
  <c r="AA986" i="4" s="1"/>
  <c r="H986" i="4"/>
  <c r="D986" i="4"/>
  <c r="S840" i="4"/>
  <c r="K840" i="4"/>
  <c r="V840" i="4" s="1"/>
  <c r="F840" i="4"/>
  <c r="D840" i="4"/>
  <c r="Q840" i="4"/>
  <c r="AC840" i="4" s="1"/>
  <c r="O840" i="4"/>
  <c r="T840" i="4"/>
  <c r="N840" i="4"/>
  <c r="AA840" i="4" s="1"/>
  <c r="L840" i="4"/>
  <c r="Y840" i="4" s="1"/>
  <c r="J840" i="4"/>
  <c r="Z840" i="4" s="1"/>
  <c r="H840" i="4"/>
  <c r="G840" i="4"/>
  <c r="X840" i="4" s="1"/>
  <c r="S814" i="4"/>
  <c r="M814" i="4"/>
  <c r="W814" i="4" s="1"/>
  <c r="V355" i="4"/>
  <c r="V329" i="4"/>
  <c r="AI587" i="4"/>
  <c r="AI172" i="4"/>
  <c r="AI305" i="4"/>
  <c r="AI960" i="4"/>
  <c r="AE985" i="4"/>
  <c r="V924" i="4"/>
  <c r="AI862" i="4"/>
  <c r="V836" i="4"/>
  <c r="AI750" i="4"/>
  <c r="V691" i="4"/>
  <c r="AI738" i="4"/>
  <c r="V700" i="4"/>
  <c r="V642" i="4"/>
  <c r="B15" i="9"/>
  <c r="D15" i="9" s="1"/>
  <c r="T964" i="4"/>
  <c r="N964" i="4"/>
  <c r="AA964" i="4" s="1"/>
  <c r="J964" i="4"/>
  <c r="Z964" i="4" s="1"/>
  <c r="D964" i="4"/>
  <c r="H964" i="4"/>
  <c r="U964" i="4"/>
  <c r="T925" i="4"/>
  <c r="F925" i="4"/>
  <c r="Q925" i="4"/>
  <c r="AC925" i="4" s="1"/>
  <c r="K925" i="4"/>
  <c r="S925" i="4"/>
  <c r="H925" i="4"/>
  <c r="K892" i="4"/>
  <c r="V892" i="4" s="1"/>
  <c r="F892" i="4"/>
  <c r="N892" i="4"/>
  <c r="AA892" i="4" s="1"/>
  <c r="M892" i="4"/>
  <c r="W892" i="4" s="1"/>
  <c r="L892" i="4"/>
  <c r="Y892" i="4" s="1"/>
  <c r="J892" i="4"/>
  <c r="Z892" i="4" s="1"/>
  <c r="H892" i="4"/>
  <c r="G892" i="4"/>
  <c r="X892" i="4" s="1"/>
  <c r="D892" i="4"/>
  <c r="T892" i="4"/>
  <c r="Q892" i="4"/>
  <c r="AC892" i="4" s="1"/>
  <c r="O892" i="4"/>
  <c r="I892" i="4"/>
  <c r="J995" i="4"/>
  <c r="Z995" i="4" s="1"/>
  <c r="K995" i="4"/>
  <c r="L842" i="4"/>
  <c r="Y842" i="4" s="1"/>
  <c r="J842" i="4"/>
  <c r="Z842" i="4" s="1"/>
  <c r="D842" i="4"/>
  <c r="R842" i="4"/>
  <c r="AD842" i="4" s="1"/>
  <c r="I842" i="4"/>
  <c r="H842" i="4"/>
  <c r="F842" i="4"/>
  <c r="B842" i="4"/>
  <c r="Q842" i="4"/>
  <c r="AC842" i="4" s="1"/>
  <c r="K842" i="4"/>
  <c r="V842" i="4" s="1"/>
  <c r="N842" i="4"/>
  <c r="AA842" i="4" s="1"/>
  <c r="G961" i="4"/>
  <c r="X961" i="4" s="1"/>
  <c r="Q961" i="4"/>
  <c r="AC961" i="4" s="1"/>
  <c r="M961" i="4"/>
  <c r="W961" i="4" s="1"/>
  <c r="I961" i="4"/>
  <c r="H961" i="4"/>
  <c r="D961" i="4"/>
  <c r="B961" i="4"/>
  <c r="R961" i="4"/>
  <c r="AD961" i="4" s="1"/>
  <c r="O961" i="4"/>
  <c r="N961" i="4"/>
  <c r="AA961" i="4" s="1"/>
  <c r="U961" i="4"/>
  <c r="AE961" i="4" s="1"/>
  <c r="L961" i="4"/>
  <c r="Y961" i="4" s="1"/>
  <c r="F961" i="4"/>
  <c r="O956" i="4"/>
  <c r="D956" i="4"/>
  <c r="B956" i="4"/>
  <c r="B910" i="4"/>
  <c r="T910" i="4"/>
  <c r="AI910" i="4" s="1"/>
  <c r="N819" i="4"/>
  <c r="AA819" i="4" s="1"/>
  <c r="S819" i="4"/>
  <c r="M819" i="4"/>
  <c r="W819" i="4" s="1"/>
  <c r="I819" i="4"/>
  <c r="G819" i="4"/>
  <c r="X819" i="4" s="1"/>
  <c r="F819" i="4"/>
  <c r="D819" i="4"/>
  <c r="L884" i="4"/>
  <c r="Y884" i="4" s="1"/>
  <c r="S933" i="4"/>
  <c r="R933" i="4"/>
  <c r="AD933" i="4" s="1"/>
  <c r="H933" i="4"/>
  <c r="B933" i="4"/>
  <c r="O933" i="4"/>
  <c r="N933" i="4"/>
  <c r="AA933" i="4" s="1"/>
  <c r="L933" i="4"/>
  <c r="Y933" i="4" s="1"/>
  <c r="K933" i="4"/>
  <c r="V933" i="4" s="1"/>
  <c r="I933" i="4"/>
  <c r="F933" i="4"/>
  <c r="T933" i="4"/>
  <c r="Q933" i="4"/>
  <c r="AC933" i="4" s="1"/>
  <c r="M933" i="4"/>
  <c r="W933" i="4" s="1"/>
  <c r="G933" i="4"/>
  <c r="X933" i="4" s="1"/>
  <c r="D933" i="4"/>
  <c r="B947" i="4"/>
  <c r="O947" i="4"/>
  <c r="G947" i="4"/>
  <c r="X947" i="4" s="1"/>
  <c r="T947" i="4"/>
  <c r="R947" i="4"/>
  <c r="AD947" i="4" s="1"/>
  <c r="Q947" i="4"/>
  <c r="AC947" i="4" s="1"/>
  <c r="N947" i="4"/>
  <c r="AA947" i="4" s="1"/>
  <c r="S947" i="4"/>
  <c r="M947" i="4"/>
  <c r="W947" i="4" s="1"/>
  <c r="D947" i="4"/>
  <c r="U950" i="4"/>
  <c r="AE950" i="4" s="1"/>
  <c r="D950" i="4"/>
  <c r="P876" i="4"/>
  <c r="AB876" i="4" s="1"/>
  <c r="AJ876" i="4"/>
  <c r="L749" i="4"/>
  <c r="Y749" i="4" s="1"/>
  <c r="D749" i="4"/>
  <c r="O749" i="4"/>
  <c r="K749" i="4"/>
  <c r="J749" i="4"/>
  <c r="Z749" i="4" s="1"/>
  <c r="F749" i="4"/>
  <c r="B749" i="4"/>
  <c r="U749" i="4"/>
  <c r="S749" i="4"/>
  <c r="Q749" i="4"/>
  <c r="AC749" i="4" s="1"/>
  <c r="M749" i="4"/>
  <c r="W749" i="4" s="1"/>
  <c r="R749" i="4"/>
  <c r="AD749" i="4" s="1"/>
  <c r="N749" i="4"/>
  <c r="AA749" i="4" s="1"/>
  <c r="I749" i="4"/>
  <c r="H749" i="4"/>
  <c r="G749" i="4"/>
  <c r="X749" i="4" s="1"/>
  <c r="Q845" i="4"/>
  <c r="AC845" i="4" s="1"/>
  <c r="H845" i="4"/>
  <c r="G845" i="4"/>
  <c r="X845" i="4" s="1"/>
  <c r="D845" i="4"/>
  <c r="B845" i="4"/>
  <c r="K832" i="4"/>
  <c r="T832" i="4"/>
  <c r="AI832" i="4" s="1"/>
  <c r="O832" i="4"/>
  <c r="F832" i="4"/>
  <c r="N832" i="4"/>
  <c r="AA832" i="4" s="1"/>
  <c r="L832" i="4"/>
  <c r="Y832" i="4" s="1"/>
  <c r="D832" i="4"/>
  <c r="I832" i="4"/>
  <c r="H832" i="4"/>
  <c r="G832" i="4"/>
  <c r="X832" i="4" s="1"/>
  <c r="AJ715" i="4"/>
  <c r="P715" i="4"/>
  <c r="AB715" i="4" s="1"/>
  <c r="AE723" i="4"/>
  <c r="F757" i="4"/>
  <c r="V477" i="4"/>
  <c r="V509" i="4"/>
  <c r="V293" i="4"/>
  <c r="AI336" i="4"/>
  <c r="AI295" i="4"/>
  <c r="AI412" i="4"/>
  <c r="AI436" i="4"/>
  <c r="AI361" i="4"/>
  <c r="V993" i="4"/>
  <c r="V987" i="4"/>
  <c r="V1001" i="4"/>
  <c r="V969" i="4"/>
  <c r="V906" i="4"/>
  <c r="AI837" i="4"/>
  <c r="V921" i="4"/>
  <c r="V845" i="4"/>
  <c r="AI866" i="4"/>
  <c r="V728" i="4"/>
  <c r="AI737" i="4"/>
  <c r="AI759" i="4"/>
  <c r="AI682" i="4"/>
  <c r="V625" i="4"/>
  <c r="V520" i="4"/>
  <c r="V487" i="4"/>
  <c r="V564" i="4"/>
  <c r="V417" i="4"/>
  <c r="V140" i="4"/>
  <c r="V7" i="4"/>
  <c r="V4" i="4"/>
  <c r="T996" i="4"/>
  <c r="B978" i="4"/>
  <c r="S978" i="4"/>
  <c r="U978" i="4"/>
  <c r="R951" i="4"/>
  <c r="AD951" i="4" s="1"/>
  <c r="U907" i="4"/>
  <c r="H907" i="4"/>
  <c r="O907" i="4"/>
  <c r="R907" i="4"/>
  <c r="AD907" i="4" s="1"/>
  <c r="Q907" i="4"/>
  <c r="AC907" i="4" s="1"/>
  <c r="M907" i="4"/>
  <c r="W907" i="4" s="1"/>
  <c r="L907" i="4"/>
  <c r="Y907" i="4" s="1"/>
  <c r="K907" i="4"/>
  <c r="V907" i="4" s="1"/>
  <c r="I907" i="4"/>
  <c r="D907" i="4"/>
  <c r="B907" i="4"/>
  <c r="T907" i="4"/>
  <c r="N907" i="4"/>
  <c r="AA907" i="4" s="1"/>
  <c r="J907" i="4"/>
  <c r="Z907" i="4" s="1"/>
  <c r="G907" i="4"/>
  <c r="X907" i="4" s="1"/>
  <c r="F907" i="4"/>
  <c r="Q939" i="4"/>
  <c r="AC939" i="4" s="1"/>
  <c r="D939" i="4"/>
  <c r="B939" i="4"/>
  <c r="J843" i="4"/>
  <c r="Z843" i="4" s="1"/>
  <c r="H843" i="4"/>
  <c r="G843" i="4"/>
  <c r="X843" i="4" s="1"/>
  <c r="F843" i="4"/>
  <c r="O843" i="4"/>
  <c r="U843" i="4"/>
  <c r="AE843" i="4" s="1"/>
  <c r="R851" i="4"/>
  <c r="AD851" i="4" s="1"/>
  <c r="F851" i="4"/>
  <c r="G851" i="4"/>
  <c r="X851" i="4" s="1"/>
  <c r="N851" i="4"/>
  <c r="AA851" i="4" s="1"/>
  <c r="O851" i="4"/>
  <c r="D1001" i="4"/>
  <c r="B1001" i="4"/>
  <c r="Q960" i="4"/>
  <c r="AC960" i="4" s="1"/>
  <c r="H960" i="4"/>
  <c r="R960" i="4"/>
  <c r="AD960" i="4" s="1"/>
  <c r="M960" i="4"/>
  <c r="W960" i="4" s="1"/>
  <c r="S960" i="4"/>
  <c r="L960" i="4"/>
  <c r="Y960" i="4" s="1"/>
  <c r="J960" i="4"/>
  <c r="Z960" i="4" s="1"/>
  <c r="I960" i="4"/>
  <c r="G960" i="4"/>
  <c r="X960" i="4" s="1"/>
  <c r="B960" i="4"/>
  <c r="O960" i="4"/>
  <c r="U881" i="4"/>
  <c r="AE881" i="4" s="1"/>
  <c r="U877" i="4"/>
  <c r="AE877" i="4" s="1"/>
  <c r="L877" i="4"/>
  <c r="K877" i="4"/>
  <c r="G877" i="4"/>
  <c r="X877" i="4" s="1"/>
  <c r="J877" i="4"/>
  <c r="Z877" i="4" s="1"/>
  <c r="D877" i="4"/>
  <c r="S801" i="4"/>
  <c r="D801" i="4"/>
  <c r="B801" i="4"/>
  <c r="T801" i="4"/>
  <c r="Q801" i="4"/>
  <c r="AC801" i="4" s="1"/>
  <c r="L801" i="4"/>
  <c r="Y801" i="4" s="1"/>
  <c r="F801" i="4"/>
  <c r="K801" i="4"/>
  <c r="P908" i="4"/>
  <c r="AB908" i="4" s="1"/>
  <c r="AJ908" i="4"/>
  <c r="B943" i="4"/>
  <c r="K943" i="4"/>
  <c r="V943" i="4" s="1"/>
  <c r="S943" i="4"/>
  <c r="AI943" i="4" s="1"/>
  <c r="N943" i="4"/>
  <c r="AA943" i="4" s="1"/>
  <c r="J943" i="4"/>
  <c r="Z943" i="4" s="1"/>
  <c r="M943" i="4"/>
  <c r="W943" i="4" s="1"/>
  <c r="D764" i="4"/>
  <c r="U764" i="4"/>
  <c r="AI764" i="4" s="1"/>
  <c r="Q764" i="4"/>
  <c r="AC764" i="4" s="1"/>
  <c r="B764" i="4"/>
  <c r="L764" i="4"/>
  <c r="Y764" i="4" s="1"/>
  <c r="J764" i="4"/>
  <c r="Z764" i="4" s="1"/>
  <c r="S856" i="4"/>
  <c r="AI856" i="4" s="1"/>
  <c r="Q856" i="4"/>
  <c r="AC856" i="4" s="1"/>
  <c r="K856" i="4"/>
  <c r="V856" i="4" s="1"/>
  <c r="N856" i="4"/>
  <c r="AA856" i="4" s="1"/>
  <c r="O856" i="4"/>
  <c r="D856" i="4"/>
  <c r="T856" i="4"/>
  <c r="L856" i="4"/>
  <c r="Y856" i="4" s="1"/>
  <c r="H856" i="4"/>
  <c r="G856" i="4"/>
  <c r="X856" i="4" s="1"/>
  <c r="F856" i="4"/>
  <c r="AE694" i="4"/>
  <c r="V9" i="4"/>
  <c r="V888" i="4"/>
  <c r="AI509" i="4"/>
  <c r="AI539" i="4"/>
  <c r="AI413" i="4"/>
  <c r="AI262" i="4"/>
  <c r="AI374" i="4"/>
  <c r="AI67" i="4"/>
  <c r="AI192" i="4"/>
  <c r="AI143" i="4"/>
  <c r="AI124" i="4"/>
  <c r="AI175" i="4"/>
  <c r="V979" i="4"/>
  <c r="AI978" i="4"/>
  <c r="V992" i="4"/>
  <c r="AI946" i="4"/>
  <c r="AI990" i="4"/>
  <c r="V939" i="4"/>
  <c r="AI896" i="4"/>
  <c r="V837" i="4"/>
  <c r="V805" i="4"/>
  <c r="AI688" i="4"/>
  <c r="AI722" i="4"/>
  <c r="V696" i="4"/>
  <c r="V572" i="4"/>
  <c r="V476" i="4"/>
  <c r="V291" i="4"/>
  <c r="V253" i="4"/>
  <c r="V109" i="4"/>
  <c r="B997" i="4"/>
  <c r="G997" i="4"/>
  <c r="X997" i="4" s="1"/>
  <c r="H997" i="4"/>
  <c r="N926" i="4"/>
  <c r="AA926" i="4" s="1"/>
  <c r="U904" i="4"/>
  <c r="AE904" i="4" s="1"/>
  <c r="F904" i="4"/>
  <c r="D904" i="4"/>
  <c r="M904" i="4"/>
  <c r="W904" i="4" s="1"/>
  <c r="G984" i="4"/>
  <c r="X984" i="4" s="1"/>
  <c r="Q984" i="4"/>
  <c r="AC984" i="4" s="1"/>
  <c r="N984" i="4"/>
  <c r="AA984" i="4" s="1"/>
  <c r="J984" i="4"/>
  <c r="Z984" i="4" s="1"/>
  <c r="U984" i="4"/>
  <c r="AE984" i="4" s="1"/>
  <c r="O984" i="4"/>
  <c r="L984" i="4"/>
  <c r="Y984" i="4" s="1"/>
  <c r="I984" i="4"/>
  <c r="H984" i="4"/>
  <c r="D984" i="4"/>
  <c r="K848" i="4"/>
  <c r="V848" i="4" s="1"/>
  <c r="N848" i="4"/>
  <c r="AA848" i="4" s="1"/>
  <c r="G848" i="4"/>
  <c r="X848" i="4" s="1"/>
  <c r="F848" i="4"/>
  <c r="L848" i="4"/>
  <c r="Y848" i="4" s="1"/>
  <c r="I848" i="4"/>
  <c r="H848" i="4"/>
  <c r="T848" i="4"/>
  <c r="O848" i="4"/>
  <c r="D848" i="4"/>
  <c r="U809" i="4"/>
  <c r="AE809" i="4" s="1"/>
  <c r="L809" i="4"/>
  <c r="Y809" i="4" s="1"/>
  <c r="I809" i="4"/>
  <c r="H809" i="4"/>
  <c r="U963" i="4"/>
  <c r="N963" i="4"/>
  <c r="AA963" i="4" s="1"/>
  <c r="L963" i="4"/>
  <c r="Y963" i="4" s="1"/>
  <c r="D963" i="4"/>
  <c r="R963" i="4"/>
  <c r="AD963" i="4" s="1"/>
  <c r="O963" i="4"/>
  <c r="M963" i="4"/>
  <c r="W963" i="4" s="1"/>
  <c r="J963" i="4"/>
  <c r="Z963" i="4" s="1"/>
  <c r="T963" i="4"/>
  <c r="AE963" i="4" s="1"/>
  <c r="I963" i="4"/>
  <c r="G963" i="4"/>
  <c r="X963" i="4" s="1"/>
  <c r="F963" i="4"/>
  <c r="B963" i="4"/>
  <c r="K963" i="4"/>
  <c r="M830" i="4"/>
  <c r="W830" i="4" s="1"/>
  <c r="B830" i="4"/>
  <c r="D830" i="4"/>
  <c r="S961" i="4"/>
  <c r="B738" i="4"/>
  <c r="K738" i="4"/>
  <c r="L738" i="4"/>
  <c r="Y738" i="4" s="1"/>
  <c r="M738" i="4"/>
  <c r="W738" i="4" s="1"/>
  <c r="Q862" i="4"/>
  <c r="AC862" i="4" s="1"/>
  <c r="O862" i="4"/>
  <c r="D862" i="4"/>
  <c r="N862" i="4"/>
  <c r="AA862" i="4" s="1"/>
  <c r="B862" i="4"/>
  <c r="M862" i="4"/>
  <c r="W862" i="4" s="1"/>
  <c r="F862" i="4"/>
  <c r="S942" i="4"/>
  <c r="AE729" i="4"/>
  <c r="V525" i="4"/>
  <c r="AJ245" i="4"/>
  <c r="P245" i="4"/>
  <c r="AB245" i="4" s="1"/>
  <c r="AI452" i="4"/>
  <c r="AI608" i="4"/>
  <c r="AI480" i="4"/>
  <c r="AI323" i="4"/>
  <c r="AI364" i="4"/>
  <c r="AI395" i="4"/>
  <c r="AI347" i="4"/>
  <c r="AI176" i="4"/>
  <c r="AI920" i="4"/>
  <c r="AI953" i="4"/>
  <c r="AI942" i="4"/>
  <c r="V879" i="4"/>
  <c r="V828" i="4"/>
  <c r="AI844" i="4"/>
  <c r="V809" i="4"/>
  <c r="AI841" i="4"/>
  <c r="V776" i="4"/>
  <c r="AI766" i="4"/>
  <c r="V667" i="4"/>
  <c r="V635" i="4"/>
  <c r="V527" i="4"/>
  <c r="V535" i="4"/>
  <c r="V463" i="4"/>
  <c r="V399" i="4"/>
  <c r="P134" i="4"/>
  <c r="AB134" i="4" s="1"/>
  <c r="AJ134" i="4"/>
  <c r="S962" i="4"/>
  <c r="AI962" i="4" s="1"/>
  <c r="G962" i="4"/>
  <c r="X962" i="4" s="1"/>
  <c r="N962" i="4"/>
  <c r="AA962" i="4" s="1"/>
  <c r="M962" i="4"/>
  <c r="W962" i="4" s="1"/>
  <c r="Q962" i="4"/>
  <c r="AC962" i="4" s="1"/>
  <c r="J898" i="4"/>
  <c r="Z898" i="4" s="1"/>
  <c r="U912" i="4"/>
  <c r="AE912" i="4" s="1"/>
  <c r="M912" i="4"/>
  <c r="W912" i="4" s="1"/>
  <c r="S824" i="4"/>
  <c r="AI824" i="4" s="1"/>
  <c r="M824" i="4"/>
  <c r="W824" i="4" s="1"/>
  <c r="L824" i="4"/>
  <c r="Y824" i="4" s="1"/>
  <c r="G824" i="4"/>
  <c r="X824" i="4" s="1"/>
  <c r="D824" i="4"/>
  <c r="S969" i="4"/>
  <c r="D969" i="4"/>
  <c r="T969" i="4"/>
  <c r="O969" i="4"/>
  <c r="B969" i="4"/>
  <c r="F969" i="4"/>
  <c r="O852" i="4"/>
  <c r="T852" i="4"/>
  <c r="K852" i="4"/>
  <c r="V852" i="4" s="1"/>
  <c r="D852" i="4"/>
  <c r="M852" i="4"/>
  <c r="W852" i="4" s="1"/>
  <c r="L852" i="4"/>
  <c r="Y852" i="4" s="1"/>
  <c r="B741" i="4"/>
  <c r="Q741" i="4"/>
  <c r="AC741" i="4" s="1"/>
  <c r="J741" i="4"/>
  <c r="Z741" i="4" s="1"/>
  <c r="I741" i="4"/>
  <c r="T741" i="4"/>
  <c r="S741" i="4"/>
  <c r="AI741" i="4" s="1"/>
  <c r="R741" i="4"/>
  <c r="AD741" i="4" s="1"/>
  <c r="O741" i="4"/>
  <c r="K741" i="4"/>
  <c r="V741" i="4" s="1"/>
  <c r="M741" i="4"/>
  <c r="W741" i="4" s="1"/>
  <c r="G741" i="4"/>
  <c r="X741" i="4" s="1"/>
  <c r="F741" i="4"/>
  <c r="S895" i="4"/>
  <c r="D895" i="4"/>
  <c r="H895" i="4"/>
  <c r="O895" i="4"/>
  <c r="K895" i="4"/>
  <c r="AJ680" i="4"/>
  <c r="P680" i="4"/>
  <c r="AB680" i="4" s="1"/>
  <c r="V526" i="4"/>
  <c r="V638" i="4"/>
  <c r="V246" i="4"/>
  <c r="AI559" i="4"/>
  <c r="AI589" i="4"/>
  <c r="AI303" i="4"/>
  <c r="AI229" i="4"/>
  <c r="AI314" i="4"/>
  <c r="AI256" i="4"/>
  <c r="AI214" i="4"/>
  <c r="AI583" i="4"/>
  <c r="AI312" i="4"/>
  <c r="AE176" i="4"/>
  <c r="AI208" i="4"/>
  <c r="AI284" i="4"/>
  <c r="AI989" i="4"/>
  <c r="V988" i="4"/>
  <c r="AI127" i="4"/>
  <c r="AI90" i="4"/>
  <c r="AI963" i="4"/>
  <c r="AI964" i="4"/>
  <c r="AI909" i="4"/>
  <c r="AI952" i="4"/>
  <c r="AI907" i="4"/>
  <c r="AI895" i="4"/>
  <c r="AI886" i="4"/>
  <c r="V857" i="4"/>
  <c r="AI854" i="4"/>
  <c r="V861" i="4"/>
  <c r="AI842" i="4"/>
  <c r="V781" i="4"/>
  <c r="V734" i="4"/>
  <c r="AI731" i="4"/>
  <c r="V719" i="4"/>
  <c r="V566" i="4"/>
  <c r="AI613" i="4"/>
  <c r="V484" i="4"/>
  <c r="V292" i="4"/>
  <c r="V208" i="4"/>
  <c r="V155" i="4"/>
  <c r="V126" i="4"/>
  <c r="V104" i="4"/>
  <c r="B965" i="4"/>
  <c r="J965" i="4"/>
  <c r="Z965" i="4" s="1"/>
  <c r="S965" i="4"/>
  <c r="AI965" i="4" s="1"/>
  <c r="M965" i="4"/>
  <c r="W965" i="4" s="1"/>
  <c r="U953" i="4"/>
  <c r="K919" i="4"/>
  <c r="N919" i="4"/>
  <c r="AA919" i="4" s="1"/>
  <c r="I919" i="4"/>
  <c r="G919" i="4"/>
  <c r="X919" i="4" s="1"/>
  <c r="H919" i="4"/>
  <c r="K864" i="4"/>
  <c r="O864" i="4"/>
  <c r="H864" i="4"/>
  <c r="G864" i="4"/>
  <c r="X864" i="4" s="1"/>
  <c r="F864" i="4"/>
  <c r="I864" i="4"/>
  <c r="N864" i="4"/>
  <c r="AA864" i="4" s="1"/>
  <c r="L864" i="4"/>
  <c r="Y864" i="4" s="1"/>
  <c r="D882" i="4"/>
  <c r="B882" i="4"/>
  <c r="D973" i="4"/>
  <c r="B973" i="4"/>
  <c r="O812" i="4"/>
  <c r="B812" i="4"/>
  <c r="S812" i="4"/>
  <c r="R812" i="4"/>
  <c r="AD812" i="4" s="1"/>
  <c r="T812" i="4"/>
  <c r="Q812" i="4"/>
  <c r="AC812" i="4" s="1"/>
  <c r="L812" i="4"/>
  <c r="Y812" i="4" s="1"/>
  <c r="K812" i="4"/>
  <c r="V812" i="4" s="1"/>
  <c r="J812" i="4"/>
  <c r="Z812" i="4" s="1"/>
  <c r="H812" i="4"/>
  <c r="G812" i="4"/>
  <c r="X812" i="4" s="1"/>
  <c r="B836" i="4"/>
  <c r="J836" i="4"/>
  <c r="Z836" i="4" s="1"/>
  <c r="U956" i="4"/>
  <c r="AE956" i="4" s="1"/>
  <c r="S902" i="4"/>
  <c r="AI902" i="4" s="1"/>
  <c r="J902" i="4"/>
  <c r="Z902" i="4" s="1"/>
  <c r="Q902" i="4"/>
  <c r="AC902" i="4" s="1"/>
  <c r="M753" i="4"/>
  <c r="W753" i="4" s="1"/>
  <c r="N753" i="4"/>
  <c r="AA753" i="4" s="1"/>
  <c r="O753" i="4"/>
  <c r="B992" i="4"/>
  <c r="G992" i="4"/>
  <c r="X992" i="4" s="1"/>
  <c r="D992" i="4"/>
  <c r="AJ670" i="4"/>
  <c r="P670" i="4"/>
  <c r="AB670" i="4" s="1"/>
  <c r="AI729" i="4"/>
  <c r="V547" i="4"/>
  <c r="V236" i="4"/>
  <c r="V74" i="4"/>
  <c r="V180" i="4"/>
  <c r="Y180" i="4"/>
  <c r="AI610" i="4"/>
  <c r="AI322" i="4"/>
  <c r="AI410" i="4"/>
  <c r="AE314" i="4"/>
  <c r="AI400" i="4"/>
  <c r="AI162" i="4"/>
  <c r="AE208" i="4"/>
  <c r="AI104" i="4"/>
  <c r="AI40" i="4"/>
  <c r="AI995" i="4"/>
  <c r="AI1001" i="4"/>
  <c r="V938" i="4"/>
  <c r="AI980" i="4"/>
  <c r="AI894" i="4"/>
  <c r="AE897" i="4"/>
  <c r="V820" i="4"/>
  <c r="AI820" i="4"/>
  <c r="V736" i="4"/>
  <c r="AI619" i="4"/>
  <c r="V697" i="4"/>
  <c r="AI767" i="4"/>
  <c r="V687" i="4"/>
  <c r="V658" i="4"/>
  <c r="AI669" i="4"/>
  <c r="V479" i="4"/>
  <c r="V82" i="4"/>
  <c r="V111" i="4"/>
  <c r="K974" i="4"/>
  <c r="V974" i="4" s="1"/>
  <c r="G974" i="4"/>
  <c r="X974" i="4" s="1"/>
  <c r="R974" i="4"/>
  <c r="AD974" i="4" s="1"/>
  <c r="H974" i="4"/>
  <c r="Q974" i="4"/>
  <c r="AC974" i="4" s="1"/>
  <c r="B974" i="4"/>
  <c r="J914" i="4"/>
  <c r="Z914" i="4" s="1"/>
  <c r="H923" i="4"/>
  <c r="F923" i="4"/>
  <c r="O923" i="4"/>
  <c r="R923" i="4"/>
  <c r="AD923" i="4" s="1"/>
  <c r="Q923" i="4"/>
  <c r="AC923" i="4" s="1"/>
  <c r="L923" i="4"/>
  <c r="Y923" i="4" s="1"/>
  <c r="K923" i="4"/>
  <c r="V923" i="4" s="1"/>
  <c r="J923" i="4"/>
  <c r="Z923" i="4" s="1"/>
  <c r="D923" i="4"/>
  <c r="U923" i="4"/>
  <c r="AE923" i="4" s="1"/>
  <c r="T923" i="4"/>
  <c r="AI923" i="4" s="1"/>
  <c r="N923" i="4"/>
  <c r="AA923" i="4" s="1"/>
  <c r="M923" i="4"/>
  <c r="W923" i="4" s="1"/>
  <c r="I923" i="4"/>
  <c r="B923" i="4"/>
  <c r="Q879" i="4"/>
  <c r="AC879" i="4" s="1"/>
  <c r="D879" i="4"/>
  <c r="S903" i="4"/>
  <c r="AI903" i="4" s="1"/>
  <c r="H903" i="4"/>
  <c r="N903" i="4"/>
  <c r="AA903" i="4" s="1"/>
  <c r="Q981" i="4"/>
  <c r="AC981" i="4" s="1"/>
  <c r="H981" i="4"/>
  <c r="D981" i="4"/>
  <c r="S806" i="4"/>
  <c r="U828" i="4"/>
  <c r="AE828" i="4" s="1"/>
  <c r="H828" i="4"/>
  <c r="D828" i="4"/>
  <c r="Q828" i="4"/>
  <c r="AC828" i="4" s="1"/>
  <c r="O828" i="4"/>
  <c r="N828" i="4"/>
  <c r="AA828" i="4" s="1"/>
  <c r="B828" i="4"/>
  <c r="R828" i="4"/>
  <c r="AD828" i="4" s="1"/>
  <c r="S949" i="4"/>
  <c r="O949" i="4"/>
  <c r="T949" i="4"/>
  <c r="B949" i="4"/>
  <c r="R949" i="4"/>
  <c r="AD949" i="4" s="1"/>
  <c r="N949" i="4"/>
  <c r="AA949" i="4" s="1"/>
  <c r="M949" i="4"/>
  <c r="W949" i="4" s="1"/>
  <c r="L949" i="4"/>
  <c r="I949" i="4"/>
  <c r="H949" i="4"/>
  <c r="G949" i="4"/>
  <c r="X949" i="4" s="1"/>
  <c r="K949" i="4"/>
  <c r="F949" i="4"/>
  <c r="D949" i="4"/>
  <c r="Q949" i="4"/>
  <c r="AC949" i="4" s="1"/>
  <c r="B758" i="4"/>
  <c r="T758" i="4"/>
  <c r="S758" i="4"/>
  <c r="K758" i="4"/>
  <c r="J758" i="4"/>
  <c r="Z758" i="4" s="1"/>
  <c r="H758" i="4"/>
  <c r="G758" i="4"/>
  <c r="X758" i="4" s="1"/>
  <c r="F758" i="4"/>
  <c r="S979" i="4"/>
  <c r="O979" i="4"/>
  <c r="I979" i="4"/>
  <c r="T979" i="4"/>
  <c r="R979" i="4"/>
  <c r="AD979" i="4" s="1"/>
  <c r="N979" i="4"/>
  <c r="AA979" i="4" s="1"/>
  <c r="H979" i="4"/>
  <c r="D979" i="4"/>
  <c r="B979" i="4"/>
  <c r="V732" i="4"/>
  <c r="AJ785" i="4"/>
  <c r="P785" i="4"/>
  <c r="AB785" i="4" s="1"/>
  <c r="AJ709" i="4"/>
  <c r="P709" i="4"/>
  <c r="AB709" i="4" s="1"/>
  <c r="V677" i="4"/>
  <c r="V473" i="4"/>
  <c r="P173" i="4"/>
  <c r="AB173" i="4" s="1"/>
  <c r="AJ173" i="4"/>
  <c r="V173" i="4"/>
  <c r="AI801" i="4"/>
  <c r="V799" i="4"/>
  <c r="AI744" i="4"/>
  <c r="AE968" i="4"/>
  <c r="AI945" i="4"/>
  <c r="V981" i="4"/>
  <c r="AI932" i="4"/>
  <c r="AI899" i="4"/>
  <c r="V849" i="4"/>
  <c r="AI784" i="4"/>
  <c r="AI814" i="4"/>
  <c r="AI749" i="4"/>
  <c r="AE764" i="4"/>
  <c r="AI778" i="4"/>
  <c r="AI710" i="4"/>
  <c r="AI618" i="4"/>
  <c r="V602" i="4"/>
  <c r="V328" i="4"/>
  <c r="V299" i="4"/>
  <c r="V250" i="4"/>
  <c r="V97" i="4"/>
  <c r="U865" i="4"/>
  <c r="AI865" i="4" s="1"/>
  <c r="D865" i="4"/>
  <c r="M865" i="4"/>
  <c r="W865" i="4" s="1"/>
  <c r="F865" i="4"/>
  <c r="B865" i="4"/>
  <c r="J890" i="4"/>
  <c r="Z890" i="4" s="1"/>
  <c r="B885" i="4"/>
  <c r="R885" i="4"/>
  <c r="AD885" i="4" s="1"/>
  <c r="O885" i="4"/>
  <c r="D885" i="4"/>
  <c r="J859" i="4"/>
  <c r="Z859" i="4" s="1"/>
  <c r="H859" i="4"/>
  <c r="K859" i="4"/>
  <c r="N859" i="4"/>
  <c r="AA859" i="4" s="1"/>
  <c r="G859" i="4"/>
  <c r="X859" i="4" s="1"/>
  <c r="F859" i="4"/>
  <c r="O859" i="4"/>
  <c r="T983" i="4"/>
  <c r="D983" i="4"/>
  <c r="R983" i="4"/>
  <c r="AD983" i="4" s="1"/>
  <c r="K983" i="4"/>
  <c r="S983" i="4"/>
  <c r="AI983" i="4" s="1"/>
  <c r="N983" i="4"/>
  <c r="AA983" i="4" s="1"/>
  <c r="L983" i="4"/>
  <c r="Y983" i="4" s="1"/>
  <c r="M793" i="4"/>
  <c r="W793" i="4" s="1"/>
  <c r="T793" i="4"/>
  <c r="D7" i="8" s="1"/>
  <c r="D793" i="4"/>
  <c r="U793" i="4"/>
  <c r="K934" i="4"/>
  <c r="V934" i="4" s="1"/>
  <c r="U934" i="4"/>
  <c r="AE934" i="4" s="1"/>
  <c r="S934" i="4"/>
  <c r="AI934" i="4" s="1"/>
  <c r="Q934" i="4"/>
  <c r="AC934" i="4" s="1"/>
  <c r="L934" i="4"/>
  <c r="Y934" i="4" s="1"/>
  <c r="J934" i="4"/>
  <c r="Z934" i="4" s="1"/>
  <c r="I934" i="4"/>
  <c r="F934" i="4"/>
  <c r="D934" i="4"/>
  <c r="T934" i="4"/>
  <c r="N934" i="4"/>
  <c r="AA934" i="4" s="1"/>
  <c r="M934" i="4"/>
  <c r="W934" i="4" s="1"/>
  <c r="H934" i="4"/>
  <c r="L868" i="4"/>
  <c r="Y868" i="4" s="1"/>
  <c r="N968" i="4"/>
  <c r="AA968" i="4" s="1"/>
  <c r="K824" i="4"/>
  <c r="S770" i="4"/>
  <c r="B25" i="9" s="1"/>
  <c r="D25" i="9" s="1"/>
  <c r="R770" i="4"/>
  <c r="AD770" i="4" s="1"/>
  <c r="F770" i="4"/>
  <c r="O770" i="4"/>
  <c r="B993" i="4"/>
  <c r="D993" i="4"/>
  <c r="S993" i="4"/>
  <c r="AI993" i="4" s="1"/>
  <c r="O993" i="4"/>
  <c r="AJ734" i="4"/>
  <c r="P734" i="4"/>
  <c r="AB734" i="4" s="1"/>
  <c r="AJ626" i="4"/>
  <c r="P626" i="4"/>
  <c r="AB626" i="4" s="1"/>
  <c r="AE726" i="4"/>
  <c r="M744" i="4"/>
  <c r="W744" i="4" s="1"/>
  <c r="V661" i="4"/>
  <c r="V229" i="4"/>
  <c r="V295" i="4"/>
  <c r="V317" i="4"/>
  <c r="V224" i="4"/>
  <c r="V247" i="4"/>
  <c r="AI281" i="4"/>
  <c r="AI310" i="4"/>
  <c r="AI185" i="4"/>
  <c r="AI69" i="4"/>
  <c r="V967" i="4"/>
  <c r="V955" i="4"/>
  <c r="AI936" i="4"/>
  <c r="V901" i="4"/>
  <c r="AI915" i="4"/>
  <c r="AI848" i="4"/>
  <c r="V873" i="4"/>
  <c r="V844" i="4"/>
  <c r="AI806" i="4"/>
  <c r="AI880" i="4"/>
  <c r="AI779" i="4"/>
  <c r="V811" i="4"/>
  <c r="V780" i="4"/>
  <c r="V650" i="4"/>
  <c r="AI695" i="4"/>
  <c r="V617" i="4"/>
  <c r="V450" i="4"/>
  <c r="V274" i="4"/>
  <c r="V187" i="4"/>
  <c r="V23" i="4"/>
  <c r="V169" i="4"/>
  <c r="O972" i="4"/>
  <c r="B883" i="4"/>
  <c r="L883" i="4"/>
  <c r="Y883" i="4" s="1"/>
  <c r="M840" i="4"/>
  <c r="W840" i="4" s="1"/>
  <c r="G922" i="4"/>
  <c r="X922" i="4" s="1"/>
  <c r="K935" i="4"/>
  <c r="S935" i="4"/>
  <c r="AI935" i="4" s="1"/>
  <c r="R935" i="4"/>
  <c r="AD935" i="4" s="1"/>
  <c r="Q935" i="4"/>
  <c r="AC935" i="4" s="1"/>
  <c r="F935" i="4"/>
  <c r="H935" i="4"/>
  <c r="B935" i="4"/>
  <c r="N896" i="4"/>
  <c r="AA896" i="4" s="1"/>
  <c r="M896" i="4"/>
  <c r="W896" i="4" s="1"/>
  <c r="L896" i="4"/>
  <c r="Y896" i="4" s="1"/>
  <c r="Q896" i="4"/>
  <c r="AC896" i="4" s="1"/>
  <c r="U941" i="4"/>
  <c r="AE941" i="4" s="1"/>
  <c r="D941" i="4"/>
  <c r="N870" i="4"/>
  <c r="AA870" i="4" s="1"/>
  <c r="F870" i="4"/>
  <c r="J780" i="4"/>
  <c r="Z780" i="4" s="1"/>
  <c r="Q780" i="4"/>
  <c r="AC780" i="4" s="1"/>
  <c r="T780" i="4"/>
  <c r="AI780" i="4" s="1"/>
  <c r="O780" i="4"/>
  <c r="V813" i="4"/>
  <c r="AJ775" i="4"/>
  <c r="P775" i="4"/>
  <c r="AB775" i="4" s="1"/>
  <c r="F950" i="4"/>
  <c r="N788" i="4"/>
  <c r="AA788" i="4" s="1"/>
  <c r="S788" i="4"/>
  <c r="D788" i="4"/>
  <c r="B788" i="4"/>
  <c r="U788" i="4"/>
  <c r="B22" i="10" s="1"/>
  <c r="G788" i="4"/>
  <c r="X788" i="4" s="1"/>
  <c r="Q788" i="4"/>
  <c r="AC788" i="4" s="1"/>
  <c r="L788" i="4"/>
  <c r="Y788" i="4" s="1"/>
  <c r="H788" i="4"/>
  <c r="M788" i="4"/>
  <c r="W788" i="4" s="1"/>
  <c r="I788" i="4"/>
  <c r="U998" i="4"/>
  <c r="AE998" i="4" s="1"/>
  <c r="S998" i="4"/>
  <c r="O998" i="4"/>
  <c r="J998" i="4"/>
  <c r="Z998" i="4" s="1"/>
  <c r="T998" i="4"/>
  <c r="R998" i="4"/>
  <c r="AD998" i="4" s="1"/>
  <c r="K998" i="4"/>
  <c r="B998" i="4"/>
  <c r="I909" i="4"/>
  <c r="L909" i="4"/>
  <c r="Y909" i="4" s="1"/>
  <c r="V693" i="4"/>
  <c r="V603" i="4"/>
  <c r="V263" i="4"/>
  <c r="V442" i="4"/>
  <c r="V168" i="4"/>
  <c r="V171" i="4"/>
  <c r="V67" i="4"/>
  <c r="P470" i="4"/>
  <c r="AB470" i="4" s="1"/>
  <c r="AJ470" i="4"/>
  <c r="AE580" i="4"/>
  <c r="AE475" i="4"/>
  <c r="AI573" i="4"/>
  <c r="AE493" i="4"/>
  <c r="AJ546" i="4"/>
  <c r="P546" i="4"/>
  <c r="AB546" i="4" s="1"/>
  <c r="AJ585" i="4"/>
  <c r="P585" i="4"/>
  <c r="AB585" i="4" s="1"/>
  <c r="AE590" i="4"/>
  <c r="AE462" i="4"/>
  <c r="AE533" i="4"/>
  <c r="AE604" i="4"/>
  <c r="AE611" i="4"/>
  <c r="AI602" i="4"/>
  <c r="AE522" i="4"/>
  <c r="AI474" i="4"/>
  <c r="AE487" i="4"/>
  <c r="AE166" i="4"/>
  <c r="AE564" i="4"/>
  <c r="P599" i="4"/>
  <c r="AB599" i="4" s="1"/>
  <c r="AJ599" i="4"/>
  <c r="AJ517" i="4"/>
  <c r="P517" i="4"/>
  <c r="AB517" i="4" s="1"/>
  <c r="AJ254" i="4"/>
  <c r="P254" i="4"/>
  <c r="AB254" i="4" s="1"/>
  <c r="AJ248" i="4"/>
  <c r="P248" i="4"/>
  <c r="AB248" i="4" s="1"/>
  <c r="AJ543" i="4"/>
  <c r="P543" i="4"/>
  <c r="AB543" i="4" s="1"/>
  <c r="AJ591" i="4"/>
  <c r="P591" i="4"/>
  <c r="AB591" i="4" s="1"/>
  <c r="AE543" i="4"/>
  <c r="AI495" i="4"/>
  <c r="AE573" i="4"/>
  <c r="AE485" i="4"/>
  <c r="AE556" i="4"/>
  <c r="AE602" i="4"/>
  <c r="AE474" i="4"/>
  <c r="AJ386" i="4"/>
  <c r="P386" i="4"/>
  <c r="AB386" i="4" s="1"/>
  <c r="AE327" i="4"/>
  <c r="AE567" i="4"/>
  <c r="AE275" i="4"/>
  <c r="AJ210" i="4"/>
  <c r="P210" i="4"/>
  <c r="AB210" i="4" s="1"/>
  <c r="P110" i="4"/>
  <c r="AB110" i="4" s="1"/>
  <c r="AJ110" i="4"/>
  <c r="AE313" i="4"/>
  <c r="AJ305" i="4"/>
  <c r="P305" i="4"/>
  <c r="AB305" i="4" s="1"/>
  <c r="P422" i="4"/>
  <c r="AB422" i="4" s="1"/>
  <c r="AJ422" i="4"/>
  <c r="AE519" i="4"/>
  <c r="AE206" i="4"/>
  <c r="P361" i="4"/>
  <c r="AB361" i="4" s="1"/>
  <c r="AJ361" i="4"/>
  <c r="AE565" i="4"/>
  <c r="AE561" i="4"/>
  <c r="AE584" i="4"/>
  <c r="AE534" i="4"/>
  <c r="AE596" i="4"/>
  <c r="AI548" i="4"/>
  <c r="AE468" i="4"/>
  <c r="AE585" i="4"/>
  <c r="P494" i="4"/>
  <c r="AB494" i="4" s="1"/>
  <c r="AJ494" i="4"/>
  <c r="AE358" i="4"/>
  <c r="AE495" i="4"/>
  <c r="AE554" i="4"/>
  <c r="P518" i="4"/>
  <c r="AB518" i="4" s="1"/>
  <c r="AJ518" i="4"/>
  <c r="AE477" i="4"/>
  <c r="AJ580" i="4"/>
  <c r="P580" i="4"/>
  <c r="AB580" i="4" s="1"/>
  <c r="AJ608" i="4"/>
  <c r="P608" i="4"/>
  <c r="AB608" i="4" s="1"/>
  <c r="AE574" i="4"/>
  <c r="AE517" i="4"/>
  <c r="AE506" i="4"/>
  <c r="AE360" i="4"/>
  <c r="AE435" i="4"/>
  <c r="AI551" i="4"/>
  <c r="AI257" i="4"/>
  <c r="AJ575" i="4"/>
  <c r="P575" i="4"/>
  <c r="AB575" i="4" s="1"/>
  <c r="AJ605" i="4"/>
  <c r="P605" i="4"/>
  <c r="AB605" i="4" s="1"/>
  <c r="AE548" i="4"/>
  <c r="AE315" i="4"/>
  <c r="P583" i="4"/>
  <c r="AB583" i="4" s="1"/>
  <c r="AJ583" i="4"/>
  <c r="AI446" i="4"/>
  <c r="AE516" i="4"/>
  <c r="AE335" i="4"/>
  <c r="P521" i="4"/>
  <c r="AB521" i="4" s="1"/>
  <c r="AJ521" i="4"/>
  <c r="AI606" i="4"/>
  <c r="AJ370" i="4"/>
  <c r="P370" i="4"/>
  <c r="AB370" i="4" s="1"/>
  <c r="AE551" i="4"/>
  <c r="P312" i="4"/>
  <c r="AB312" i="4" s="1"/>
  <c r="AJ312" i="4"/>
  <c r="P540" i="4"/>
  <c r="AB540" i="4" s="1"/>
  <c r="AJ540" i="4"/>
  <c r="AI389" i="4"/>
  <c r="AE326" i="4"/>
  <c r="AE606" i="4"/>
  <c r="AE478" i="4"/>
  <c r="AE549" i="4"/>
  <c r="AE538" i="4"/>
  <c r="P329" i="4"/>
  <c r="AB329" i="4" s="1"/>
  <c r="AJ329" i="4"/>
  <c r="AE417" i="4"/>
  <c r="P598" i="4"/>
  <c r="AB598" i="4" s="1"/>
  <c r="AJ598" i="4"/>
  <c r="AE569" i="4"/>
  <c r="P611" i="4"/>
  <c r="AB611" i="4" s="1"/>
  <c r="AJ611" i="4"/>
  <c r="P274" i="4"/>
  <c r="AB274" i="4" s="1"/>
  <c r="AJ274" i="4"/>
  <c r="AE389" i="4"/>
  <c r="AJ600" i="4"/>
  <c r="P600" i="4"/>
  <c r="AB600" i="4" s="1"/>
  <c r="AJ553" i="4"/>
  <c r="P553" i="4"/>
  <c r="AB553" i="4" s="1"/>
  <c r="AE583" i="4"/>
  <c r="P572" i="4"/>
  <c r="AB572" i="4" s="1"/>
  <c r="AJ572" i="4"/>
  <c r="AE137" i="4"/>
  <c r="AJ559" i="4"/>
  <c r="P559" i="4"/>
  <c r="AB559" i="4" s="1"/>
  <c r="AJ504" i="4"/>
  <c r="P504" i="4"/>
  <c r="AB504" i="4" s="1"/>
  <c r="AJ582" i="4"/>
  <c r="P582" i="4"/>
  <c r="AB582" i="4" s="1"/>
  <c r="AE541" i="4"/>
  <c r="AI493" i="4"/>
  <c r="AJ594" i="4"/>
  <c r="P594" i="4"/>
  <c r="AB594" i="4" s="1"/>
  <c r="P466" i="4"/>
  <c r="AB466" i="4" s="1"/>
  <c r="AJ466" i="4"/>
  <c r="AE581" i="4"/>
  <c r="AE570" i="4"/>
  <c r="AE577" i="4"/>
  <c r="P285" i="4"/>
  <c r="AB285" i="4" s="1"/>
  <c r="AJ285" i="4"/>
  <c r="AE593" i="4"/>
  <c r="AE518" i="4"/>
  <c r="AE610" i="4"/>
  <c r="AJ440" i="4"/>
  <c r="P440" i="4"/>
  <c r="AB440" i="4" s="1"/>
  <c r="AE600" i="4"/>
  <c r="AI552" i="4"/>
  <c r="AE415" i="4"/>
  <c r="P259" i="4"/>
  <c r="AB259" i="4" s="1"/>
  <c r="AJ259" i="4"/>
  <c r="AJ519" i="4"/>
  <c r="P519" i="4"/>
  <c r="AB519" i="4" s="1"/>
  <c r="AI600" i="4"/>
  <c r="AJ589" i="4"/>
  <c r="P589" i="4"/>
  <c r="AB589" i="4" s="1"/>
  <c r="AE482" i="4"/>
  <c r="AJ485" i="4"/>
  <c r="P485" i="4"/>
  <c r="AB485" i="4" s="1"/>
  <c r="AE511" i="4"/>
  <c r="AE453" i="4"/>
  <c r="AE552" i="4"/>
  <c r="AI555" i="4"/>
  <c r="AE542" i="4"/>
  <c r="AI554" i="4"/>
  <c r="AE254" i="4"/>
  <c r="P349" i="4"/>
  <c r="AB349" i="4" s="1"/>
  <c r="AJ349" i="4"/>
  <c r="AE582" i="4"/>
  <c r="AE456" i="4"/>
  <c r="AE575" i="4"/>
  <c r="AE447" i="4"/>
  <c r="AE605" i="4"/>
  <c r="P452" i="4"/>
  <c r="AB452" i="4" s="1"/>
  <c r="AJ452" i="4"/>
  <c r="AE491" i="4"/>
  <c r="AI459" i="4"/>
  <c r="AJ530" i="4"/>
  <c r="P530" i="4"/>
  <c r="AB530" i="4" s="1"/>
  <c r="P569" i="4"/>
  <c r="AB569" i="4" s="1"/>
  <c r="AJ569" i="4"/>
  <c r="P480" i="4"/>
  <c r="AB480" i="4" s="1"/>
  <c r="AJ480" i="4"/>
  <c r="AE599" i="4"/>
  <c r="AE588" i="4"/>
  <c r="AI556" i="4"/>
  <c r="AE460" i="4"/>
  <c r="AE595" i="4"/>
  <c r="AE467" i="4"/>
  <c r="AE513" i="4"/>
  <c r="AE325" i="4"/>
  <c r="P200" i="4"/>
  <c r="AB200" i="4" s="1"/>
  <c r="AJ200" i="4"/>
  <c r="AJ418" i="4"/>
  <c r="P418" i="4"/>
  <c r="AB418" i="4" s="1"/>
  <c r="AE386" i="4"/>
  <c r="AE421" i="4"/>
  <c r="P362" i="4"/>
  <c r="AB362" i="4" s="1"/>
  <c r="AJ362" i="4"/>
  <c r="AJ429" i="4"/>
  <c r="P429" i="4"/>
  <c r="AB429" i="4" s="1"/>
  <c r="P317" i="4"/>
  <c r="AB317" i="4" s="1"/>
  <c r="AJ317" i="4"/>
  <c r="AE251" i="4"/>
  <c r="AJ161" i="4"/>
  <c r="P161" i="4"/>
  <c r="AB161" i="4" s="1"/>
  <c r="AJ376" i="4"/>
  <c r="P376" i="4"/>
  <c r="AB376" i="4" s="1"/>
  <c r="P236" i="4"/>
  <c r="AB236" i="4" s="1"/>
  <c r="AJ236" i="4"/>
  <c r="AJ371" i="4"/>
  <c r="P371" i="4"/>
  <c r="AB371" i="4" s="1"/>
  <c r="AJ216" i="4"/>
  <c r="P216" i="4"/>
  <c r="AB216" i="4" s="1"/>
  <c r="P395" i="4"/>
  <c r="AB395" i="4" s="1"/>
  <c r="AJ395" i="4"/>
  <c r="P347" i="4"/>
  <c r="AB347" i="4" s="1"/>
  <c r="AJ347" i="4"/>
  <c r="P318" i="4"/>
  <c r="AB318" i="4" s="1"/>
  <c r="AJ318" i="4"/>
  <c r="AE471" i="4"/>
  <c r="AJ414" i="4"/>
  <c r="P414" i="4"/>
  <c r="AB414" i="4" s="1"/>
  <c r="AJ344" i="4"/>
  <c r="P344" i="4"/>
  <c r="AB344" i="4" s="1"/>
  <c r="AI325" i="4"/>
  <c r="P417" i="4"/>
  <c r="AB417" i="4" s="1"/>
  <c r="AJ417" i="4"/>
  <c r="P308" i="4"/>
  <c r="AB308" i="4" s="1"/>
  <c r="AJ308" i="4"/>
  <c r="AE215" i="4"/>
  <c r="AE122" i="4"/>
  <c r="AE412" i="4"/>
  <c r="P364" i="4"/>
  <c r="AB364" i="4" s="1"/>
  <c r="AJ364" i="4"/>
  <c r="AJ252" i="4"/>
  <c r="P252" i="4"/>
  <c r="AB252" i="4" s="1"/>
  <c r="AI107" i="4"/>
  <c r="AI196" i="4"/>
  <c r="AJ178" i="4"/>
  <c r="P178" i="4"/>
  <c r="AB178" i="4" s="1"/>
  <c r="P100" i="4"/>
  <c r="AB100" i="4" s="1"/>
  <c r="AJ100" i="4"/>
  <c r="P150" i="4"/>
  <c r="AB150" i="4" s="1"/>
  <c r="AJ150" i="4"/>
  <c r="AI9" i="4"/>
  <c r="AJ67" i="4"/>
  <c r="D6" i="8"/>
  <c r="AI2" i="4"/>
  <c r="AE192" i="4"/>
  <c r="AE128" i="4"/>
  <c r="AE36" i="4"/>
  <c r="AI332" i="4"/>
  <c r="AE89" i="4"/>
  <c r="AE207" i="4"/>
  <c r="AJ27" i="4"/>
  <c r="P27" i="4"/>
  <c r="AB27" i="4" s="1"/>
  <c r="AE146" i="4"/>
  <c r="AE99" i="4"/>
  <c r="AE118" i="4"/>
  <c r="P73" i="4"/>
  <c r="AB73" i="4" s="1"/>
  <c r="AJ73" i="4"/>
  <c r="AE8" i="4"/>
  <c r="AE13" i="4"/>
  <c r="P23" i="4"/>
  <c r="AB23" i="4" s="1"/>
  <c r="AJ23" i="4"/>
  <c r="AE248" i="4"/>
  <c r="AE64" i="4"/>
  <c r="AJ985" i="4"/>
  <c r="P985" i="4"/>
  <c r="AB985" i="4" s="1"/>
  <c r="P393" i="4"/>
  <c r="AB393" i="4" s="1"/>
  <c r="AJ393" i="4"/>
  <c r="AI132" i="4"/>
  <c r="P102" i="4"/>
  <c r="AB102" i="4" s="1"/>
  <c r="AJ102" i="4"/>
  <c r="AI71" i="4"/>
  <c r="AE997" i="4"/>
  <c r="P955" i="4"/>
  <c r="AB955" i="4" s="1"/>
  <c r="AJ955" i="4"/>
  <c r="Y911" i="4"/>
  <c r="V911" i="4"/>
  <c r="V951" i="4"/>
  <c r="P939" i="4"/>
  <c r="AB939" i="4" s="1"/>
  <c r="AJ939" i="4"/>
  <c r="V936" i="4"/>
  <c r="AE917" i="4"/>
  <c r="V950" i="4"/>
  <c r="AE930" i="4"/>
  <c r="V871" i="4"/>
  <c r="AI900" i="4"/>
  <c r="AI883" i="4"/>
  <c r="AE852" i="4"/>
  <c r="AJ921" i="4"/>
  <c r="P921" i="4"/>
  <c r="AB921" i="4" s="1"/>
  <c r="AE889" i="4"/>
  <c r="V895" i="4"/>
  <c r="AJ822" i="4"/>
  <c r="P822" i="4"/>
  <c r="AB822" i="4" s="1"/>
  <c r="AJ821" i="4"/>
  <c r="P821" i="4"/>
  <c r="AB821" i="4" s="1"/>
  <c r="AE860" i="4"/>
  <c r="P830" i="4"/>
  <c r="AB830" i="4" s="1"/>
  <c r="AJ830" i="4"/>
  <c r="AE817" i="4"/>
  <c r="P795" i="4"/>
  <c r="AB795" i="4" s="1"/>
  <c r="AJ795" i="4"/>
  <c r="AE827" i="4"/>
  <c r="AE804" i="4"/>
  <c r="AE857" i="4"/>
  <c r="Y758" i="4"/>
  <c r="V758" i="4"/>
  <c r="AE753" i="4"/>
  <c r="P696" i="4"/>
  <c r="AB696" i="4" s="1"/>
  <c r="AJ696" i="4"/>
  <c r="Y648" i="4"/>
  <c r="V648" i="4"/>
  <c r="AJ752" i="4"/>
  <c r="P752" i="4"/>
  <c r="AB752" i="4" s="1"/>
  <c r="V755" i="4"/>
  <c r="AE802" i="4"/>
  <c r="AJ705" i="4"/>
  <c r="P705" i="4"/>
  <c r="AB705" i="4" s="1"/>
  <c r="AE680" i="4"/>
  <c r="P690" i="4"/>
  <c r="AB690" i="4" s="1"/>
  <c r="AJ690" i="4"/>
  <c r="AI745" i="4"/>
  <c r="AI699" i="4"/>
  <c r="AE710" i="4"/>
  <c r="V567" i="4"/>
  <c r="P636" i="4"/>
  <c r="AB636" i="4" s="1"/>
  <c r="AJ636" i="4"/>
  <c r="AI698" i="4"/>
  <c r="AE633" i="4"/>
  <c r="AE706" i="4"/>
  <c r="AE658" i="4"/>
  <c r="Y554" i="4"/>
  <c r="V554" i="4"/>
  <c r="AI633" i="4"/>
  <c r="AE520" i="4"/>
  <c r="AI601" i="4"/>
  <c r="AJ609" i="4"/>
  <c r="P609" i="4"/>
  <c r="AB609" i="4" s="1"/>
  <c r="P122" i="4"/>
  <c r="AB122" i="4" s="1"/>
  <c r="AJ122" i="4"/>
  <c r="AE329" i="4"/>
  <c r="AE438" i="4"/>
  <c r="AJ463" i="4"/>
  <c r="P463" i="4"/>
  <c r="AB463" i="4" s="1"/>
  <c r="AJ486" i="4"/>
  <c r="P486" i="4"/>
  <c r="AB486" i="4" s="1"/>
  <c r="P548" i="4"/>
  <c r="AB548" i="4" s="1"/>
  <c r="AJ548" i="4"/>
  <c r="AE459" i="4"/>
  <c r="P537" i="4"/>
  <c r="AB537" i="4" s="1"/>
  <c r="AJ537" i="4"/>
  <c r="P448" i="4"/>
  <c r="AB448" i="4" s="1"/>
  <c r="AJ448" i="4"/>
  <c r="AI561" i="4"/>
  <c r="AE307" i="4"/>
  <c r="AI313" i="4"/>
  <c r="AE154" i="4"/>
  <c r="AE350" i="4"/>
  <c r="AJ164" i="4"/>
  <c r="P164" i="4"/>
  <c r="AB164" i="4" s="1"/>
  <c r="P573" i="4"/>
  <c r="AB573" i="4" s="1"/>
  <c r="AJ573" i="4"/>
  <c r="P587" i="4"/>
  <c r="AB587" i="4" s="1"/>
  <c r="AJ587" i="4"/>
  <c r="P459" i="4"/>
  <c r="AB459" i="4" s="1"/>
  <c r="AJ459" i="4"/>
  <c r="P495" i="4"/>
  <c r="AB495" i="4" s="1"/>
  <c r="AJ495" i="4"/>
  <c r="AJ568" i="4"/>
  <c r="P568" i="4"/>
  <c r="AB568" i="4" s="1"/>
  <c r="AI593" i="4"/>
  <c r="AE536" i="4"/>
  <c r="AI488" i="4"/>
  <c r="AJ447" i="4"/>
  <c r="P447" i="4"/>
  <c r="AB447" i="4" s="1"/>
  <c r="AI566" i="4"/>
  <c r="AE486" i="4"/>
  <c r="AJ477" i="4"/>
  <c r="P477" i="4"/>
  <c r="AB477" i="4" s="1"/>
  <c r="AI500" i="4"/>
  <c r="P491" i="4"/>
  <c r="AB491" i="4" s="1"/>
  <c r="AJ491" i="4"/>
  <c r="AI578" i="4"/>
  <c r="AE498" i="4"/>
  <c r="AI450" i="4"/>
  <c r="AE537" i="4"/>
  <c r="AI489" i="4"/>
  <c r="AE576" i="4"/>
  <c r="AI528" i="4"/>
  <c r="AE448" i="4"/>
  <c r="P574" i="4"/>
  <c r="AB574" i="4" s="1"/>
  <c r="AJ574" i="4"/>
  <c r="AJ501" i="4"/>
  <c r="P501" i="4"/>
  <c r="AB501" i="4" s="1"/>
  <c r="P588" i="4"/>
  <c r="AB588" i="4" s="1"/>
  <c r="AJ588" i="4"/>
  <c r="AJ460" i="4"/>
  <c r="P460" i="4"/>
  <c r="AB460" i="4" s="1"/>
  <c r="P579" i="4"/>
  <c r="AB579" i="4" s="1"/>
  <c r="AJ579" i="4"/>
  <c r="AJ451" i="4"/>
  <c r="P451" i="4"/>
  <c r="AB451" i="4" s="1"/>
  <c r="P490" i="4"/>
  <c r="AB490" i="4" s="1"/>
  <c r="AJ490" i="4"/>
  <c r="P497" i="4"/>
  <c r="AB497" i="4" s="1"/>
  <c r="AJ497" i="4"/>
  <c r="AJ323" i="4"/>
  <c r="P323" i="4"/>
  <c r="AB323" i="4" s="1"/>
  <c r="AE319" i="4"/>
  <c r="AI142" i="4"/>
  <c r="AI171" i="4"/>
  <c r="AI365" i="4"/>
  <c r="AJ251" i="4"/>
  <c r="P251" i="4"/>
  <c r="AB251" i="4" s="1"/>
  <c r="AI368" i="4"/>
  <c r="P221" i="4"/>
  <c r="AB221" i="4" s="1"/>
  <c r="AJ221" i="4"/>
  <c r="AE305" i="4"/>
  <c r="AE268" i="4"/>
  <c r="AJ419" i="4"/>
  <c r="P419" i="4"/>
  <c r="AB419" i="4" s="1"/>
  <c r="AI422" i="4"/>
  <c r="P258" i="4"/>
  <c r="AB258" i="4" s="1"/>
  <c r="AJ258" i="4"/>
  <c r="AI195" i="4"/>
  <c r="AE195" i="4"/>
  <c r="AE270" i="4"/>
  <c r="AJ455" i="4"/>
  <c r="P455" i="4"/>
  <c r="AB455" i="4" s="1"/>
  <c r="AE190" i="4"/>
  <c r="AE227" i="4"/>
  <c r="AE267" i="4"/>
  <c r="AE107" i="4"/>
  <c r="AE257" i="4"/>
  <c r="P154" i="4"/>
  <c r="AB154" i="4" s="1"/>
  <c r="AJ154" i="4"/>
  <c r="P412" i="4"/>
  <c r="AB412" i="4" s="1"/>
  <c r="AJ412" i="4"/>
  <c r="AE196" i="4"/>
  <c r="AI178" i="4"/>
  <c r="AI21" i="4"/>
  <c r="AJ232" i="4"/>
  <c r="P232" i="4"/>
  <c r="AB232" i="4" s="1"/>
  <c r="AE86" i="4"/>
  <c r="AI50" i="4"/>
  <c r="AE292" i="4"/>
  <c r="AI113" i="4"/>
  <c r="C7" i="8"/>
  <c r="F7" i="8"/>
  <c r="E7" i="8"/>
  <c r="B7" i="8"/>
  <c r="P192" i="4"/>
  <c r="AB192" i="4" s="1"/>
  <c r="AJ192" i="4"/>
  <c r="AE103" i="4"/>
  <c r="AJ19" i="4"/>
  <c r="AE271" i="4"/>
  <c r="AI65" i="4"/>
  <c r="AE111" i="4"/>
  <c r="P89" i="4"/>
  <c r="AB89" i="4" s="1"/>
  <c r="AJ89" i="4"/>
  <c r="AI58" i="4"/>
  <c r="AI5" i="4"/>
  <c r="P184" i="4"/>
  <c r="AB184" i="4" s="1"/>
  <c r="AJ184" i="4"/>
  <c r="P143" i="4"/>
  <c r="AB143" i="4" s="1"/>
  <c r="AJ143" i="4"/>
  <c r="AI87" i="4"/>
  <c r="AJ146" i="4"/>
  <c r="P146" i="4"/>
  <c r="AB146" i="4" s="1"/>
  <c r="P68" i="4"/>
  <c r="AB68" i="4" s="1"/>
  <c r="AJ68" i="4"/>
  <c r="AJ85" i="4"/>
  <c r="P85" i="4"/>
  <c r="AB85" i="4" s="1"/>
  <c r="AJ8" i="4"/>
  <c r="P8" i="4"/>
  <c r="AB8" i="4" s="1"/>
  <c r="AJ223" i="4"/>
  <c r="P223" i="4"/>
  <c r="AB223" i="4" s="1"/>
  <c r="P175" i="4"/>
  <c r="AB175" i="4" s="1"/>
  <c r="AJ175" i="4"/>
  <c r="AI18" i="4"/>
  <c r="V964" i="4"/>
  <c r="AE898" i="4"/>
  <c r="V962" i="4"/>
  <c r="AI892" i="4"/>
  <c r="AI918" i="4"/>
  <c r="AI875" i="4"/>
  <c r="AE940" i="4"/>
  <c r="AJ941" i="4"/>
  <c r="P941" i="4"/>
  <c r="AB941" i="4" s="1"/>
  <c r="AJ918" i="4"/>
  <c r="P918" i="4"/>
  <c r="AB918" i="4" s="1"/>
  <c r="AJ913" i="4"/>
  <c r="P913" i="4"/>
  <c r="AB913" i="4" s="1"/>
  <c r="V912" i="4"/>
  <c r="AE869" i="4"/>
  <c r="AE888" i="4"/>
  <c r="V865" i="4"/>
  <c r="V902" i="4"/>
  <c r="V910" i="4"/>
  <c r="AE879" i="4"/>
  <c r="AI906" i="4"/>
  <c r="P841" i="4"/>
  <c r="AB841" i="4" s="1"/>
  <c r="AJ841" i="4"/>
  <c r="AI845" i="4"/>
  <c r="Z813" i="4"/>
  <c r="V815" i="4"/>
  <c r="AE820" i="4"/>
  <c r="P824" i="4"/>
  <c r="AB824" i="4" s="1"/>
  <c r="AJ824" i="4"/>
  <c r="AI872" i="4"/>
  <c r="AJ789" i="4"/>
  <c r="P789" i="4"/>
  <c r="AB789" i="4" s="1"/>
  <c r="AI822" i="4"/>
  <c r="P846" i="4"/>
  <c r="AB846" i="4" s="1"/>
  <c r="AJ846" i="4"/>
  <c r="P758" i="4"/>
  <c r="AB758" i="4" s="1"/>
  <c r="AJ758" i="4"/>
  <c r="AJ727" i="4"/>
  <c r="P727" i="4"/>
  <c r="AB727" i="4" s="1"/>
  <c r="AJ774" i="4"/>
  <c r="P774" i="4"/>
  <c r="AB774" i="4" s="1"/>
  <c r="AE730" i="4"/>
  <c r="AJ713" i="4"/>
  <c r="P713" i="4"/>
  <c r="AB713" i="4" s="1"/>
  <c r="AE741" i="4"/>
  <c r="AE645" i="4"/>
  <c r="AE746" i="4"/>
  <c r="AI708" i="4"/>
  <c r="AJ750" i="4"/>
  <c r="P750" i="4"/>
  <c r="AB750" i="4" s="1"/>
  <c r="AI753" i="4"/>
  <c r="AJ766" i="4"/>
  <c r="P766" i="4"/>
  <c r="AB766" i="4" s="1"/>
  <c r="AE697" i="4"/>
  <c r="AJ759" i="4"/>
  <c r="P759" i="4"/>
  <c r="AB759" i="4" s="1"/>
  <c r="AE690" i="4"/>
  <c r="AI690" i="4"/>
  <c r="AE656" i="4"/>
  <c r="AI656" i="4"/>
  <c r="V680" i="4"/>
  <c r="AJ787" i="4"/>
  <c r="P787" i="4"/>
  <c r="AB787" i="4" s="1"/>
  <c r="AI696" i="4"/>
  <c r="V544" i="4"/>
  <c r="Y544" i="4"/>
  <c r="V703" i="4"/>
  <c r="AJ650" i="4"/>
  <c r="P650" i="4"/>
  <c r="AB650" i="4" s="1"/>
  <c r="AE639" i="4"/>
  <c r="Y665" i="4"/>
  <c r="V665" i="4"/>
  <c r="V582" i="4"/>
  <c r="V519" i="4"/>
  <c r="V546" i="4"/>
  <c r="Y423" i="4"/>
  <c r="V423" i="4"/>
  <c r="Y330" i="4"/>
  <c r="V330" i="4"/>
  <c r="AI590" i="4"/>
  <c r="P307" i="4"/>
  <c r="AB307" i="4" s="1"/>
  <c r="AJ307" i="4"/>
  <c r="AJ354" i="4"/>
  <c r="P354" i="4"/>
  <c r="AB354" i="4" s="1"/>
  <c r="AE247" i="4"/>
  <c r="AJ273" i="4"/>
  <c r="P273" i="4"/>
  <c r="AB273" i="4" s="1"/>
  <c r="AE264" i="4"/>
  <c r="AE472" i="4"/>
  <c r="P394" i="4"/>
  <c r="AB394" i="4" s="1"/>
  <c r="AJ394" i="4"/>
  <c r="AI519" i="4"/>
  <c r="AE242" i="4"/>
  <c r="AJ145" i="4"/>
  <c r="P145" i="4"/>
  <c r="AB145" i="4" s="1"/>
  <c r="AE423" i="4"/>
  <c r="AE466" i="4"/>
  <c r="AJ488" i="4"/>
  <c r="P488" i="4"/>
  <c r="AB488" i="4" s="1"/>
  <c r="AJ520" i="4"/>
  <c r="P520" i="4"/>
  <c r="AB520" i="4" s="1"/>
  <c r="AI607" i="4"/>
  <c r="AE527" i="4"/>
  <c r="AI479" i="4"/>
  <c r="AE557" i="4"/>
  <c r="P532" i="4"/>
  <c r="AB532" i="4" s="1"/>
  <c r="AJ532" i="4"/>
  <c r="AE571" i="4"/>
  <c r="AJ610" i="4"/>
  <c r="P610" i="4"/>
  <c r="AB610" i="4" s="1"/>
  <c r="AJ482" i="4"/>
  <c r="P482" i="4"/>
  <c r="AB482" i="4" s="1"/>
  <c r="AJ560" i="4"/>
  <c r="P560" i="4"/>
  <c r="AB560" i="4" s="1"/>
  <c r="AE526" i="4"/>
  <c r="AI478" i="4"/>
  <c r="AE597" i="4"/>
  <c r="AI549" i="4"/>
  <c r="AE469" i="4"/>
  <c r="AE540" i="4"/>
  <c r="AI508" i="4"/>
  <c r="AE547" i="4"/>
  <c r="AI499" i="4"/>
  <c r="AE586" i="4"/>
  <c r="AI538" i="4"/>
  <c r="AE458" i="4"/>
  <c r="AI545" i="4"/>
  <c r="AE465" i="4"/>
  <c r="P242" i="4"/>
  <c r="AB242" i="4" s="1"/>
  <c r="AJ242" i="4"/>
  <c r="P190" i="4"/>
  <c r="AB190" i="4" s="1"/>
  <c r="AJ190" i="4"/>
  <c r="P410" i="4"/>
  <c r="AB410" i="4" s="1"/>
  <c r="AJ410" i="4"/>
  <c r="AI258" i="4"/>
  <c r="AE142" i="4"/>
  <c r="AJ333" i="4"/>
  <c r="P333" i="4"/>
  <c r="AB333" i="4" s="1"/>
  <c r="AJ400" i="4"/>
  <c r="P400" i="4"/>
  <c r="AB400" i="4" s="1"/>
  <c r="AE345" i="4"/>
  <c r="P301" i="4"/>
  <c r="AB301" i="4" s="1"/>
  <c r="AJ301" i="4"/>
  <c r="P206" i="4"/>
  <c r="AB206" i="4" s="1"/>
  <c r="AJ206" i="4"/>
  <c r="AI424" i="4"/>
  <c r="AI399" i="4"/>
  <c r="AI300" i="4"/>
  <c r="AJ268" i="4"/>
  <c r="P268" i="4"/>
  <c r="AB268" i="4" s="1"/>
  <c r="AI220" i="4"/>
  <c r="AI371" i="4"/>
  <c r="AI216" i="4"/>
  <c r="AI443" i="4"/>
  <c r="P256" i="4"/>
  <c r="AB256" i="4" s="1"/>
  <c r="AJ256" i="4"/>
  <c r="AJ315" i="4"/>
  <c r="P315" i="4"/>
  <c r="AB315" i="4" s="1"/>
  <c r="AJ244" i="4"/>
  <c r="P244" i="4"/>
  <c r="AB244" i="4" s="1"/>
  <c r="AI503" i="4"/>
  <c r="AI398" i="4"/>
  <c r="AI344" i="4"/>
  <c r="AI274" i="4"/>
  <c r="AI369" i="4"/>
  <c r="AE340" i="4"/>
  <c r="AI308" i="4"/>
  <c r="P208" i="4"/>
  <c r="AB208" i="4" s="1"/>
  <c r="AJ208" i="4"/>
  <c r="AE388" i="4"/>
  <c r="AJ267" i="4"/>
  <c r="P267" i="4"/>
  <c r="AB267" i="4" s="1"/>
  <c r="AE204" i="4"/>
  <c r="AJ289" i="4"/>
  <c r="P289" i="4"/>
  <c r="AB289" i="4" s="1"/>
  <c r="AI253" i="4"/>
  <c r="AJ243" i="4"/>
  <c r="P243" i="4"/>
  <c r="AB243" i="4" s="1"/>
  <c r="AE439" i="4"/>
  <c r="AE407" i="4"/>
  <c r="AI359" i="4"/>
  <c r="AI326" i="4"/>
  <c r="AJ45" i="4"/>
  <c r="AJ425" i="4"/>
  <c r="P425" i="4"/>
  <c r="AB425" i="4" s="1"/>
  <c r="AJ93" i="4"/>
  <c r="P93" i="4"/>
  <c r="AB93" i="4" s="1"/>
  <c r="AE43" i="4"/>
  <c r="AE9" i="4"/>
  <c r="AE2" i="4"/>
  <c r="AJ103" i="4"/>
  <c r="P103" i="4"/>
  <c r="AB103" i="4" s="1"/>
  <c r="AE84" i="4"/>
  <c r="AI53" i="4"/>
  <c r="AE332" i="4"/>
  <c r="AJ159" i="4"/>
  <c r="P159" i="4"/>
  <c r="AB159" i="4" s="1"/>
  <c r="AI148" i="4"/>
  <c r="AJ101" i="4"/>
  <c r="P101" i="4"/>
  <c r="AB101" i="4" s="1"/>
  <c r="AJ29" i="4"/>
  <c r="P29" i="4"/>
  <c r="AB29" i="4" s="1"/>
  <c r="AE82" i="4"/>
  <c r="AI51" i="4"/>
  <c r="AI10" i="4"/>
  <c r="AE210" i="4"/>
  <c r="AI146" i="4"/>
  <c r="AE44" i="4"/>
  <c r="AI129" i="4"/>
  <c r="AE49" i="4"/>
  <c r="AI20" i="4"/>
  <c r="AE104" i="4"/>
  <c r="AE78" i="4"/>
  <c r="AI30" i="4"/>
  <c r="AI223" i="4"/>
  <c r="AE83" i="4"/>
  <c r="AE110" i="4"/>
  <c r="AI76" i="4"/>
  <c r="AE40" i="4"/>
  <c r="AJ999" i="4"/>
  <c r="P999" i="4"/>
  <c r="AB999" i="4" s="1"/>
  <c r="AE960" i="4"/>
  <c r="P996" i="4"/>
  <c r="AB996" i="4" s="1"/>
  <c r="AJ996" i="4"/>
  <c r="AE988" i="4"/>
  <c r="AI992" i="4"/>
  <c r="AJ191" i="4"/>
  <c r="P191" i="4"/>
  <c r="AB191" i="4" s="1"/>
  <c r="AJ132" i="4"/>
  <c r="P132" i="4"/>
  <c r="AB132" i="4" s="1"/>
  <c r="AI939" i="4"/>
  <c r="AE987" i="4"/>
  <c r="AE935" i="4"/>
  <c r="AI958" i="4"/>
  <c r="AI971" i="4"/>
  <c r="V998" i="4"/>
  <c r="P976" i="4"/>
  <c r="AB976" i="4" s="1"/>
  <c r="AJ976" i="4"/>
  <c r="V995" i="4"/>
  <c r="V947" i="4"/>
  <c r="AE916" i="4"/>
  <c r="P912" i="4"/>
  <c r="AB912" i="4" s="1"/>
  <c r="AJ912" i="4"/>
  <c r="V970" i="4"/>
  <c r="AJ897" i="4"/>
  <c r="P897" i="4"/>
  <c r="AB897" i="4" s="1"/>
  <c r="AE937" i="4"/>
  <c r="AI912" i="4"/>
  <c r="AE856" i="4"/>
  <c r="P879" i="4"/>
  <c r="AB879" i="4" s="1"/>
  <c r="AJ879" i="4"/>
  <c r="AE882" i="4"/>
  <c r="AE803" i="4"/>
  <c r="AE866" i="4"/>
  <c r="V880" i="4"/>
  <c r="AI809" i="4"/>
  <c r="P777" i="4"/>
  <c r="AB777" i="4" s="1"/>
  <c r="AJ777" i="4"/>
  <c r="AI795" i="4"/>
  <c r="AI782" i="4"/>
  <c r="AI788" i="4"/>
  <c r="AJ731" i="4"/>
  <c r="P731" i="4"/>
  <c r="AB731" i="4" s="1"/>
  <c r="AE707" i="4"/>
  <c r="AJ695" i="4"/>
  <c r="P695" i="4"/>
  <c r="AB695" i="4" s="1"/>
  <c r="AE612" i="4"/>
  <c r="AE745" i="4"/>
  <c r="AJ718" i="4"/>
  <c r="P718" i="4"/>
  <c r="AB718" i="4" s="1"/>
  <c r="AJ697" i="4"/>
  <c r="P697" i="4"/>
  <c r="AB697" i="4" s="1"/>
  <c r="AJ644" i="4"/>
  <c r="P644" i="4"/>
  <c r="AB644" i="4" s="1"/>
  <c r="AE696" i="4"/>
  <c r="AI711" i="4"/>
  <c r="V644" i="4"/>
  <c r="P620" i="4"/>
  <c r="AB620" i="4" s="1"/>
  <c r="AJ620" i="4"/>
  <c r="AE642" i="4"/>
  <c r="V540" i="4"/>
  <c r="V426" i="4"/>
  <c r="AJ603" i="4"/>
  <c r="P603" i="4"/>
  <c r="AB603" i="4" s="1"/>
  <c r="P327" i="4"/>
  <c r="AB327" i="4" s="1"/>
  <c r="AJ327" i="4"/>
  <c r="AI568" i="4"/>
  <c r="AI530" i="4"/>
  <c r="AE450" i="4"/>
  <c r="AE489" i="4"/>
  <c r="AE528" i="4"/>
  <c r="AJ581" i="4"/>
  <c r="P581" i="4"/>
  <c r="AB581" i="4" s="1"/>
  <c r="P453" i="4"/>
  <c r="AB453" i="4" s="1"/>
  <c r="AJ453" i="4"/>
  <c r="AE258" i="4"/>
  <c r="AE365" i="4"/>
  <c r="AE220" i="4"/>
  <c r="AE422" i="4"/>
  <c r="AI298" i="4"/>
  <c r="P535" i="4"/>
  <c r="AB535" i="4" s="1"/>
  <c r="AJ535" i="4"/>
  <c r="AE274" i="4"/>
  <c r="AJ446" i="4"/>
  <c r="P446" i="4"/>
  <c r="AB446" i="4" s="1"/>
  <c r="AI417" i="4"/>
  <c r="AE369" i="4"/>
  <c r="AE436" i="4"/>
  <c r="P372" i="4"/>
  <c r="AB372" i="4" s="1"/>
  <c r="AJ372" i="4"/>
  <c r="AJ204" i="4"/>
  <c r="P204" i="4"/>
  <c r="AB204" i="4" s="1"/>
  <c r="AJ439" i="4"/>
  <c r="P439" i="4"/>
  <c r="AB439" i="4" s="1"/>
  <c r="P391" i="4"/>
  <c r="AB391" i="4" s="1"/>
  <c r="AJ391" i="4"/>
  <c r="AJ166" i="4"/>
  <c r="P166" i="4"/>
  <c r="AB166" i="4" s="1"/>
  <c r="AE21" i="4"/>
  <c r="AE50" i="4"/>
  <c r="AE287" i="4"/>
  <c r="P43" i="4"/>
  <c r="AB43" i="4" s="1"/>
  <c r="AJ43" i="4"/>
  <c r="AJ9" i="4"/>
  <c r="P9" i="4"/>
  <c r="AB9" i="4" s="1"/>
  <c r="AE265" i="4"/>
  <c r="AE113" i="4"/>
  <c r="P332" i="4"/>
  <c r="AB332" i="4" s="1"/>
  <c r="AJ332" i="4"/>
  <c r="AE65" i="4"/>
  <c r="AE58" i="4"/>
  <c r="AE5" i="4"/>
  <c r="AJ34" i="4"/>
  <c r="P182" i="4"/>
  <c r="AB182" i="4" s="1"/>
  <c r="AJ182" i="4"/>
  <c r="AJ15" i="4"/>
  <c r="P15" i="4"/>
  <c r="AB15" i="4" s="1"/>
  <c r="AJ37" i="4"/>
  <c r="P37" i="4"/>
  <c r="AB37" i="4" s="1"/>
  <c r="AJ104" i="4"/>
  <c r="P104" i="4"/>
  <c r="AB104" i="4" s="1"/>
  <c r="AJ61" i="4"/>
  <c r="P61" i="4"/>
  <c r="AB61" i="4" s="1"/>
  <c r="AJ66" i="4"/>
  <c r="P66" i="4"/>
  <c r="AB66" i="4" s="1"/>
  <c r="P52" i="4"/>
  <c r="AB52" i="4" s="1"/>
  <c r="AJ52" i="4"/>
  <c r="AI23" i="4"/>
  <c r="P95" i="4"/>
  <c r="AB95" i="4" s="1"/>
  <c r="AJ95" i="4"/>
  <c r="AJ40" i="4"/>
  <c r="P40" i="4"/>
  <c r="AB40" i="4" s="1"/>
  <c r="P995" i="4"/>
  <c r="AB995" i="4" s="1"/>
  <c r="AJ995" i="4"/>
  <c r="AJ983" i="4"/>
  <c r="P983" i="4"/>
  <c r="AB983" i="4" s="1"/>
  <c r="AE132" i="4"/>
  <c r="AE18" i="4"/>
  <c r="AE955" i="4"/>
  <c r="AE929" i="4"/>
  <c r="AE919" i="4"/>
  <c r="P954" i="4"/>
  <c r="AB954" i="4" s="1"/>
  <c r="AJ954" i="4"/>
  <c r="AE931" i="4"/>
  <c r="AE908" i="4"/>
  <c r="AE980" i="4"/>
  <c r="AE947" i="4"/>
  <c r="AE887" i="4"/>
  <c r="AE927" i="4"/>
  <c r="P888" i="4"/>
  <c r="AB888" i="4" s="1"/>
  <c r="AJ888" i="4"/>
  <c r="V885" i="4"/>
  <c r="AE921" i="4"/>
  <c r="AE885" i="4"/>
  <c r="AE812" i="4"/>
  <c r="AI812" i="4"/>
  <c r="P833" i="4"/>
  <c r="AB833" i="4" s="1"/>
  <c r="AJ833" i="4"/>
  <c r="P820" i="4"/>
  <c r="AB820" i="4" s="1"/>
  <c r="AJ820" i="4"/>
  <c r="AI786" i="4"/>
  <c r="Y769" i="4"/>
  <c r="V769" i="4"/>
  <c r="AE822" i="4"/>
  <c r="AE705" i="4"/>
  <c r="AE785" i="4"/>
  <c r="AE751" i="4"/>
  <c r="AE766" i="4"/>
  <c r="P673" i="4"/>
  <c r="AB673" i="4" s="1"/>
  <c r="AJ673" i="4"/>
  <c r="AJ638" i="4"/>
  <c r="P638" i="4"/>
  <c r="AB638" i="4" s="1"/>
  <c r="AJ685" i="4"/>
  <c r="P685" i="4"/>
  <c r="AB685" i="4" s="1"/>
  <c r="Z607" i="4"/>
  <c r="AE737" i="4"/>
  <c r="AE759" i="4"/>
  <c r="AI680" i="4"/>
  <c r="AI787" i="4"/>
  <c r="V747" i="4"/>
  <c r="AJ631" i="4"/>
  <c r="P631" i="4"/>
  <c r="AB631" i="4" s="1"/>
  <c r="AE687" i="4"/>
  <c r="V706" i="4"/>
  <c r="AE667" i="4"/>
  <c r="AE663" i="4"/>
  <c r="V632" i="4"/>
  <c r="AJ635" i="4"/>
  <c r="P635" i="4"/>
  <c r="AB635" i="4" s="1"/>
  <c r="V605" i="4"/>
  <c r="AJ527" i="4"/>
  <c r="P527" i="4"/>
  <c r="AB527" i="4" s="1"/>
  <c r="AE566" i="4"/>
  <c r="AE500" i="4"/>
  <c r="P571" i="4"/>
  <c r="AB571" i="4" s="1"/>
  <c r="AJ571" i="4"/>
  <c r="AJ444" i="4"/>
  <c r="P444" i="4"/>
  <c r="AB444" i="4" s="1"/>
  <c r="P526" i="4"/>
  <c r="AB526" i="4" s="1"/>
  <c r="AJ526" i="4"/>
  <c r="AJ531" i="4"/>
  <c r="P531" i="4"/>
  <c r="AB531" i="4" s="1"/>
  <c r="AJ570" i="4"/>
  <c r="P570" i="4"/>
  <c r="AB570" i="4" s="1"/>
  <c r="P577" i="4"/>
  <c r="AB577" i="4" s="1"/>
  <c r="AJ577" i="4"/>
  <c r="AJ449" i="4"/>
  <c r="P449" i="4"/>
  <c r="AB449" i="4" s="1"/>
  <c r="P240" i="4"/>
  <c r="AB240" i="4" s="1"/>
  <c r="AJ240" i="4"/>
  <c r="AE141" i="4"/>
  <c r="AI141" i="4"/>
  <c r="AE262" i="4"/>
  <c r="AE300" i="4"/>
  <c r="AJ438" i="4"/>
  <c r="P438" i="4"/>
  <c r="AB438" i="4" s="1"/>
  <c r="AJ472" i="4"/>
  <c r="P472" i="4"/>
  <c r="AB472" i="4" s="1"/>
  <c r="AE607" i="4"/>
  <c r="AE479" i="4"/>
  <c r="P550" i="4"/>
  <c r="AB550" i="4" s="1"/>
  <c r="AJ550" i="4"/>
  <c r="AE509" i="4"/>
  <c r="AI461" i="4"/>
  <c r="P484" i="4"/>
  <c r="AB484" i="4" s="1"/>
  <c r="AJ484" i="4"/>
  <c r="AE523" i="4"/>
  <c r="AI491" i="4"/>
  <c r="AJ562" i="4"/>
  <c r="P562" i="4"/>
  <c r="AB562" i="4" s="1"/>
  <c r="AJ601" i="4"/>
  <c r="P601" i="4"/>
  <c r="AB601" i="4" s="1"/>
  <c r="AJ473" i="4"/>
  <c r="P473" i="4"/>
  <c r="AB473" i="4" s="1"/>
  <c r="AJ512" i="4"/>
  <c r="P512" i="4"/>
  <c r="AB512" i="4" s="1"/>
  <c r="AI558" i="4"/>
  <c r="AI501" i="4"/>
  <c r="AI588" i="4"/>
  <c r="AE492" i="4"/>
  <c r="AI460" i="4"/>
  <c r="AI579" i="4"/>
  <c r="AE499" i="4"/>
  <c r="AI451" i="4"/>
  <c r="AI490" i="4"/>
  <c r="AE545" i="4"/>
  <c r="AI497" i="4"/>
  <c r="P158" i="4"/>
  <c r="AB158" i="4" s="1"/>
  <c r="AJ158" i="4"/>
  <c r="AE418" i="4"/>
  <c r="P325" i="4"/>
  <c r="AB325" i="4" s="1"/>
  <c r="AJ325" i="4"/>
  <c r="AE286" i="4"/>
  <c r="AJ201" i="4"/>
  <c r="P201" i="4"/>
  <c r="AB201" i="4" s="1"/>
  <c r="P247" i="4"/>
  <c r="AB247" i="4" s="1"/>
  <c r="AJ247" i="4"/>
  <c r="AE413" i="4"/>
  <c r="P365" i="4"/>
  <c r="AB365" i="4" s="1"/>
  <c r="AJ365" i="4"/>
  <c r="AJ225" i="4"/>
  <c r="P225" i="4"/>
  <c r="AB225" i="4" s="1"/>
  <c r="AJ352" i="4"/>
  <c r="P352" i="4"/>
  <c r="AB352" i="4" s="1"/>
  <c r="AJ241" i="4"/>
  <c r="P241" i="4"/>
  <c r="AB241" i="4" s="1"/>
  <c r="AE424" i="4"/>
  <c r="AE399" i="4"/>
  <c r="AJ300" i="4"/>
  <c r="P300" i="4"/>
  <c r="AB300" i="4" s="1"/>
  <c r="P264" i="4"/>
  <c r="AB264" i="4" s="1"/>
  <c r="AJ264" i="4"/>
  <c r="AJ220" i="4"/>
  <c r="P220" i="4"/>
  <c r="AB220" i="4" s="1"/>
  <c r="AE371" i="4"/>
  <c r="AE216" i="4"/>
  <c r="AE411" i="4"/>
  <c r="P390" i="4"/>
  <c r="AB390" i="4" s="1"/>
  <c r="AJ390" i="4"/>
  <c r="AE374" i="4"/>
  <c r="P290" i="4"/>
  <c r="AB290" i="4" s="1"/>
  <c r="AJ290" i="4"/>
  <c r="AI244" i="4"/>
  <c r="AE503" i="4"/>
  <c r="AI455" i="4"/>
  <c r="AE398" i="4"/>
  <c r="AE344" i="4"/>
  <c r="P263" i="4"/>
  <c r="AB263" i="4" s="1"/>
  <c r="AJ263" i="4"/>
  <c r="P353" i="4"/>
  <c r="AB353" i="4" s="1"/>
  <c r="AJ353" i="4"/>
  <c r="AE308" i="4"/>
  <c r="P420" i="4"/>
  <c r="AB420" i="4" s="1"/>
  <c r="AJ420" i="4"/>
  <c r="AI289" i="4"/>
  <c r="P253" i="4"/>
  <c r="AB253" i="4" s="1"/>
  <c r="AJ253" i="4"/>
  <c r="AI243" i="4"/>
  <c r="P165" i="4"/>
  <c r="AB165" i="4" s="1"/>
  <c r="AJ165" i="4"/>
  <c r="AE359" i="4"/>
  <c r="AJ310" i="4"/>
  <c r="P310" i="4"/>
  <c r="AB310" i="4" s="1"/>
  <c r="AJ16" i="4"/>
  <c r="P16" i="4"/>
  <c r="AB16" i="4" s="1"/>
  <c r="P38" i="4"/>
  <c r="AB38" i="4" s="1"/>
  <c r="AJ38" i="4"/>
  <c r="AJ194" i="4"/>
  <c r="P194" i="4"/>
  <c r="AB194" i="4" s="1"/>
  <c r="AI150" i="4"/>
  <c r="AJ265" i="4"/>
  <c r="P265" i="4"/>
  <c r="AB265" i="4" s="1"/>
  <c r="P98" i="4"/>
  <c r="AB98" i="4" s="1"/>
  <c r="AJ98" i="4"/>
  <c r="AJ260" i="4"/>
  <c r="P260" i="4"/>
  <c r="AB260" i="4" s="1"/>
  <c r="AE72" i="4"/>
  <c r="AE53" i="4"/>
  <c r="AI19" i="4"/>
  <c r="AI159" i="4"/>
  <c r="AJ148" i="4"/>
  <c r="P148" i="4"/>
  <c r="AB148" i="4" s="1"/>
  <c r="AJ77" i="4"/>
  <c r="P77" i="4"/>
  <c r="AB77" i="4" s="1"/>
  <c r="AJ58" i="4"/>
  <c r="P58" i="4"/>
  <c r="AB58" i="4" s="1"/>
  <c r="AI994" i="4"/>
  <c r="AE184" i="4"/>
  <c r="AE361" i="4"/>
  <c r="AE51" i="4"/>
  <c r="AE10" i="4"/>
  <c r="AI68" i="4"/>
  <c r="AE129" i="4"/>
  <c r="AI85" i="4"/>
  <c r="AE20" i="4"/>
  <c r="AI8" i="4"/>
  <c r="AE30" i="4"/>
  <c r="AE76" i="4"/>
  <c r="AE979" i="4"/>
  <c r="AI979" i="4"/>
  <c r="AI191" i="4"/>
  <c r="AJ127" i="4"/>
  <c r="P127" i="4"/>
  <c r="AB127" i="4" s="1"/>
  <c r="AI59" i="4"/>
  <c r="P6" i="4"/>
  <c r="AB6" i="4" s="1"/>
  <c r="AJ6" i="4"/>
  <c r="V956" i="4"/>
  <c r="P920" i="4"/>
  <c r="AB920" i="4" s="1"/>
  <c r="AJ920" i="4"/>
  <c r="AJ929" i="4"/>
  <c r="P929" i="4"/>
  <c r="AB929" i="4" s="1"/>
  <c r="AJ935" i="4"/>
  <c r="P935" i="4"/>
  <c r="AB935" i="4" s="1"/>
  <c r="AE920" i="4"/>
  <c r="AI961" i="4"/>
  <c r="AI921" i="4"/>
  <c r="AI884" i="4"/>
  <c r="AI897" i="4"/>
  <c r="AI871" i="4"/>
  <c r="AI797" i="4"/>
  <c r="AE872" i="4"/>
  <c r="V823" i="4"/>
  <c r="AI789" i="4"/>
  <c r="AE775" i="4"/>
  <c r="AJ797" i="4"/>
  <c r="P797" i="4"/>
  <c r="AB797" i="4" s="1"/>
  <c r="AJ784" i="4"/>
  <c r="P784" i="4"/>
  <c r="AB784" i="4" s="1"/>
  <c r="AE846" i="4"/>
  <c r="P722" i="4"/>
  <c r="AB722" i="4" s="1"/>
  <c r="AJ722" i="4"/>
  <c r="AJ771" i="4"/>
  <c r="P771" i="4"/>
  <c r="AB771" i="4" s="1"/>
  <c r="AE740" i="4"/>
  <c r="AE629" i="4"/>
  <c r="AE701" i="4"/>
  <c r="AJ737" i="4"/>
  <c r="P737" i="4"/>
  <c r="AB737" i="4" s="1"/>
  <c r="P612" i="4"/>
  <c r="AB612" i="4" s="1"/>
  <c r="AJ612" i="4"/>
  <c r="AE671" i="4"/>
  <c r="V634" i="4"/>
  <c r="P630" i="4"/>
  <c r="AB630" i="4" s="1"/>
  <c r="AJ630" i="4"/>
  <c r="P679" i="4"/>
  <c r="AB679" i="4" s="1"/>
  <c r="AJ679" i="4"/>
  <c r="AE664" i="4"/>
  <c r="Y592" i="4"/>
  <c r="V592" i="4"/>
  <c r="V711" i="4"/>
  <c r="P632" i="4"/>
  <c r="AB632" i="4" s="1"/>
  <c r="AJ632" i="4"/>
  <c r="AE613" i="4"/>
  <c r="Z558" i="4"/>
  <c r="V586" i="4"/>
  <c r="AE555" i="4"/>
  <c r="AI462" i="4"/>
  <c r="AE488" i="4"/>
  <c r="AI518" i="4"/>
  <c r="P557" i="4"/>
  <c r="AB557" i="4" s="1"/>
  <c r="AJ557" i="4"/>
  <c r="AI580" i="4"/>
  <c r="AE578" i="4"/>
  <c r="AI569" i="4"/>
  <c r="AJ294" i="4"/>
  <c r="P294" i="4"/>
  <c r="AB294" i="4" s="1"/>
  <c r="P174" i="4"/>
  <c r="AB174" i="4" s="1"/>
  <c r="AJ174" i="4"/>
  <c r="AE568" i="4"/>
  <c r="AI520" i="4"/>
  <c r="AJ607" i="4"/>
  <c r="P607" i="4"/>
  <c r="AB607" i="4" s="1"/>
  <c r="AJ479" i="4"/>
  <c r="P479" i="4"/>
  <c r="AB479" i="4" s="1"/>
  <c r="AI598" i="4"/>
  <c r="AI470" i="4"/>
  <c r="AJ509" i="4"/>
  <c r="P509" i="4"/>
  <c r="AB509" i="4" s="1"/>
  <c r="AI532" i="4"/>
  <c r="AE452" i="4"/>
  <c r="P523" i="4"/>
  <c r="AB523" i="4" s="1"/>
  <c r="AJ523" i="4"/>
  <c r="AE530" i="4"/>
  <c r="AI482" i="4"/>
  <c r="AI521" i="4"/>
  <c r="AE608" i="4"/>
  <c r="AI560" i="4"/>
  <c r="AE480" i="4"/>
  <c r="AJ606" i="4"/>
  <c r="P606" i="4"/>
  <c r="AB606" i="4" s="1"/>
  <c r="P478" i="4"/>
  <c r="AB478" i="4" s="1"/>
  <c r="AJ478" i="4"/>
  <c r="AJ533" i="4"/>
  <c r="P533" i="4"/>
  <c r="AB533" i="4" s="1"/>
  <c r="P492" i="4"/>
  <c r="AB492" i="4" s="1"/>
  <c r="AJ492" i="4"/>
  <c r="AJ483" i="4"/>
  <c r="P483" i="4"/>
  <c r="AB483" i="4" s="1"/>
  <c r="AJ522" i="4"/>
  <c r="P522" i="4"/>
  <c r="AB522" i="4" s="1"/>
  <c r="P529" i="4"/>
  <c r="AB529" i="4" s="1"/>
  <c r="AJ529" i="4"/>
  <c r="AE323" i="4"/>
  <c r="AI240" i="4"/>
  <c r="AI370" i="4"/>
  <c r="P281" i="4"/>
  <c r="AB281" i="4" s="1"/>
  <c r="AJ281" i="4"/>
  <c r="AE437" i="4"/>
  <c r="AE303" i="4"/>
  <c r="AI139" i="4"/>
  <c r="AJ413" i="4"/>
  <c r="P413" i="4"/>
  <c r="AB413" i="4" s="1"/>
  <c r="AJ392" i="4"/>
  <c r="P392" i="4"/>
  <c r="AB392" i="4" s="1"/>
  <c r="AE376" i="4"/>
  <c r="AE351" i="4"/>
  <c r="AE419" i="4"/>
  <c r="P355" i="4"/>
  <c r="AB355" i="4" s="1"/>
  <c r="AJ355" i="4"/>
  <c r="AJ212" i="4"/>
  <c r="P212" i="4"/>
  <c r="AB212" i="4" s="1"/>
  <c r="P411" i="4"/>
  <c r="AB411" i="4" s="1"/>
  <c r="AJ411" i="4"/>
  <c r="AE363" i="4"/>
  <c r="P288" i="4"/>
  <c r="AB288" i="4" s="1"/>
  <c r="AJ288" i="4"/>
  <c r="AI334" i="4"/>
  <c r="AI315" i="4"/>
  <c r="AE214" i="4"/>
  <c r="P487" i="4"/>
  <c r="AB487" i="4" s="1"/>
  <c r="AJ487" i="4"/>
  <c r="AJ398" i="4"/>
  <c r="P398" i="4"/>
  <c r="AB398" i="4" s="1"/>
  <c r="P401" i="4"/>
  <c r="AB401" i="4" s="1"/>
  <c r="AJ401" i="4"/>
  <c r="AI372" i="4"/>
  <c r="AE235" i="4"/>
  <c r="P179" i="4"/>
  <c r="AB179" i="4" s="1"/>
  <c r="AJ179" i="4"/>
  <c r="AE289" i="4"/>
  <c r="AJ246" i="4"/>
  <c r="P246" i="4"/>
  <c r="AB246" i="4" s="1"/>
  <c r="AE396" i="4"/>
  <c r="AE284" i="4"/>
  <c r="AI348" i="4"/>
  <c r="AI169" i="4"/>
  <c r="AE100" i="4"/>
  <c r="AI45" i="4"/>
  <c r="AE232" i="4"/>
  <c r="AE74" i="4"/>
  <c r="AI425" i="4"/>
  <c r="AI194" i="4"/>
  <c r="AE150" i="4"/>
  <c r="AI93" i="4"/>
  <c r="AI26" i="4"/>
  <c r="AE67" i="4"/>
  <c r="AJ156" i="4"/>
  <c r="P156" i="4"/>
  <c r="AB156" i="4" s="1"/>
  <c r="AI103" i="4"/>
  <c r="AJ72" i="4"/>
  <c r="P72" i="4"/>
  <c r="AB72" i="4" s="1"/>
  <c r="P48" i="4"/>
  <c r="AB48" i="4" s="1"/>
  <c r="AJ48" i="4"/>
  <c r="AE24" i="4"/>
  <c r="AE148" i="4"/>
  <c r="AI101" i="4"/>
  <c r="AI29" i="4"/>
  <c r="P409" i="4"/>
  <c r="AB409" i="4" s="1"/>
  <c r="AJ409" i="4"/>
  <c r="AI75" i="4"/>
  <c r="AE39" i="4"/>
  <c r="AJ10" i="4"/>
  <c r="AJ114" i="4"/>
  <c r="P114" i="4"/>
  <c r="AB114" i="4" s="1"/>
  <c r="AJ3" i="4"/>
  <c r="P3" i="4"/>
  <c r="AB3" i="4" s="1"/>
  <c r="AJ188" i="4"/>
  <c r="P188" i="4"/>
  <c r="AB188" i="4" s="1"/>
  <c r="AE124" i="4"/>
  <c r="AI25" i="4"/>
  <c r="AJ69" i="4"/>
  <c r="P69" i="4"/>
  <c r="AB69" i="4" s="1"/>
  <c r="AI938" i="4"/>
  <c r="AJ992" i="4"/>
  <c r="P992" i="4"/>
  <c r="AB992" i="4" s="1"/>
  <c r="AI985" i="4"/>
  <c r="AE393" i="4"/>
  <c r="AE102" i="4"/>
  <c r="AE933" i="4"/>
  <c r="V971" i="4"/>
  <c r="AE959" i="4"/>
  <c r="V917" i="4"/>
  <c r="AI929" i="4"/>
  <c r="AE948" i="4"/>
  <c r="AE1001" i="4"/>
  <c r="V952" i="4"/>
  <c r="V980" i="4"/>
  <c r="AI956" i="4"/>
  <c r="P940" i="4"/>
  <c r="AB940" i="4" s="1"/>
  <c r="AJ940" i="4"/>
  <c r="AJ932" i="4"/>
  <c r="P932" i="4"/>
  <c r="AB932" i="4" s="1"/>
  <c r="V919" i="4"/>
  <c r="AI887" i="4"/>
  <c r="AE903" i="4"/>
  <c r="V897" i="4"/>
  <c r="AI948" i="4"/>
  <c r="AI859" i="4"/>
  <c r="AE858" i="4"/>
  <c r="AI947" i="4"/>
  <c r="AE953" i="4"/>
  <c r="AE909" i="4"/>
  <c r="V904" i="4"/>
  <c r="AI857" i="4"/>
  <c r="AE818" i="4"/>
  <c r="AE800" i="4"/>
  <c r="AI834" i="4"/>
  <c r="AI828" i="4"/>
  <c r="AE815" i="4"/>
  <c r="Y765" i="4"/>
  <c r="V765" i="4"/>
  <c r="V810" i="4"/>
  <c r="P778" i="4"/>
  <c r="AB778" i="4" s="1"/>
  <c r="AJ778" i="4"/>
  <c r="AE805" i="4"/>
  <c r="P814" i="4"/>
  <c r="AB814" i="4" s="1"/>
  <c r="AJ814" i="4"/>
  <c r="AE792" i="4"/>
  <c r="AE758" i="4"/>
  <c r="AI702" i="4"/>
  <c r="AI700" i="4"/>
  <c r="AI773" i="4"/>
  <c r="AI758" i="4"/>
  <c r="AJ835" i="4"/>
  <c r="P835" i="4"/>
  <c r="AB835" i="4" s="1"/>
  <c r="AE749" i="4"/>
  <c r="P725" i="4"/>
  <c r="AB725" i="4" s="1"/>
  <c r="AJ725" i="4"/>
  <c r="AE717" i="4"/>
  <c r="AE787" i="4"/>
  <c r="AI718" i="4"/>
  <c r="P762" i="4"/>
  <c r="AB762" i="4" s="1"/>
  <c r="AJ762" i="4"/>
  <c r="AJ656" i="4"/>
  <c r="P656" i="4"/>
  <c r="AB656" i="4" s="1"/>
  <c r="AE655" i="4"/>
  <c r="AJ624" i="4"/>
  <c r="P624" i="4"/>
  <c r="AB624" i="4" s="1"/>
  <c r="P698" i="4"/>
  <c r="AB698" i="4" s="1"/>
  <c r="AJ698" i="4"/>
  <c r="AJ639" i="4"/>
  <c r="P639" i="4"/>
  <c r="AB639" i="4" s="1"/>
  <c r="Y512" i="4"/>
  <c r="V512" i="4"/>
  <c r="V627" i="4"/>
  <c r="AI721" i="4"/>
  <c r="AJ651" i="4"/>
  <c r="P651" i="4"/>
  <c r="AB651" i="4" s="1"/>
  <c r="V615" i="4"/>
  <c r="AE665" i="4"/>
  <c r="V578" i="4"/>
  <c r="AE631" i="4"/>
  <c r="P625" i="4"/>
  <c r="AB625" i="4" s="1"/>
  <c r="AJ625" i="4"/>
  <c r="Z486" i="4"/>
  <c r="AJ421" i="4"/>
  <c r="P421" i="4"/>
  <c r="AB421" i="4" s="1"/>
  <c r="P502" i="4"/>
  <c r="AB502" i="4" s="1"/>
  <c r="AJ502" i="4"/>
  <c r="AE589" i="4"/>
  <c r="AE461" i="4"/>
  <c r="AJ564" i="4"/>
  <c r="P564" i="4"/>
  <c r="AB564" i="4" s="1"/>
  <c r="AE603" i="4"/>
  <c r="AI571" i="4"/>
  <c r="AJ514" i="4"/>
  <c r="P514" i="4"/>
  <c r="AB514" i="4" s="1"/>
  <c r="AJ592" i="4"/>
  <c r="P592" i="4"/>
  <c r="AB592" i="4" s="1"/>
  <c r="AJ464" i="4"/>
  <c r="P464" i="4"/>
  <c r="AB464" i="4" s="1"/>
  <c r="AE558" i="4"/>
  <c r="AI510" i="4"/>
  <c r="AI581" i="4"/>
  <c r="AE501" i="4"/>
  <c r="AI453" i="4"/>
  <c r="AE572" i="4"/>
  <c r="AE579" i="4"/>
  <c r="AI531" i="4"/>
  <c r="AE451" i="4"/>
  <c r="AE490" i="4"/>
  <c r="AI577" i="4"/>
  <c r="AE497" i="4"/>
  <c r="AI449" i="4"/>
  <c r="P272" i="4"/>
  <c r="AB272" i="4" s="1"/>
  <c r="AJ272" i="4"/>
  <c r="AE136" i="4"/>
  <c r="AJ402" i="4"/>
  <c r="P402" i="4"/>
  <c r="AB402" i="4" s="1"/>
  <c r="AE370" i="4"/>
  <c r="AJ320" i="4"/>
  <c r="P320" i="4"/>
  <c r="AB320" i="4" s="1"/>
  <c r="AI201" i="4"/>
  <c r="P378" i="4"/>
  <c r="AB378" i="4" s="1"/>
  <c r="AJ378" i="4"/>
  <c r="P136" i="4"/>
  <c r="AB136" i="4" s="1"/>
  <c r="AJ136" i="4"/>
  <c r="AI330" i="4"/>
  <c r="AJ311" i="4"/>
  <c r="P311" i="4"/>
  <c r="AB311" i="4" s="1"/>
  <c r="AJ432" i="4"/>
  <c r="P432" i="4"/>
  <c r="AB432" i="4" s="1"/>
  <c r="AI329" i="4"/>
  <c r="AI241" i="4"/>
  <c r="P337" i="4"/>
  <c r="AB337" i="4" s="1"/>
  <c r="AJ337" i="4"/>
  <c r="P296" i="4"/>
  <c r="AB296" i="4" s="1"/>
  <c r="AJ296" i="4"/>
  <c r="AI264" i="4"/>
  <c r="AJ403" i="4"/>
  <c r="P403" i="4"/>
  <c r="AB403" i="4" s="1"/>
  <c r="AI212" i="4"/>
  <c r="P363" i="4"/>
  <c r="AB363" i="4" s="1"/>
  <c r="AJ363" i="4"/>
  <c r="AJ142" i="4"/>
  <c r="P142" i="4"/>
  <c r="AB142" i="4" s="1"/>
  <c r="AE334" i="4"/>
  <c r="AE244" i="4"/>
  <c r="AE455" i="4"/>
  <c r="AE312" i="4"/>
  <c r="AI158" i="4"/>
  <c r="AE441" i="4"/>
  <c r="AE338" i="4"/>
  <c r="AI205" i="4"/>
  <c r="AI420" i="4"/>
  <c r="AJ235" i="4"/>
  <c r="P235" i="4"/>
  <c r="AB235" i="4" s="1"/>
  <c r="AI285" i="4"/>
  <c r="P396" i="4"/>
  <c r="AB396" i="4" s="1"/>
  <c r="AJ396" i="4"/>
  <c r="AJ284" i="4"/>
  <c r="P284" i="4"/>
  <c r="AB284" i="4" s="1"/>
  <c r="AE243" i="4"/>
  <c r="AI391" i="4"/>
  <c r="AE348" i="4"/>
  <c r="AI136" i="4"/>
  <c r="P81" i="4"/>
  <c r="AB81" i="4" s="1"/>
  <c r="AJ81" i="4"/>
  <c r="AJ130" i="4"/>
  <c r="P130" i="4"/>
  <c r="AB130" i="4" s="1"/>
  <c r="AJ74" i="4"/>
  <c r="P74" i="4"/>
  <c r="AB74" i="4" s="1"/>
  <c r="AJ119" i="4"/>
  <c r="P119" i="4"/>
  <c r="AB119" i="4" s="1"/>
  <c r="P377" i="4"/>
  <c r="AB377" i="4" s="1"/>
  <c r="AJ377" i="4"/>
  <c r="AI265" i="4"/>
  <c r="AJ31" i="4"/>
  <c r="P31" i="4"/>
  <c r="AB31" i="4" s="1"/>
  <c r="AI260" i="4"/>
  <c r="AE19" i="4"/>
  <c r="AI316" i="4"/>
  <c r="AJ24" i="4"/>
  <c r="P24" i="4"/>
  <c r="AB24" i="4" s="1"/>
  <c r="AJ126" i="4"/>
  <c r="P126" i="4"/>
  <c r="AB126" i="4" s="1"/>
  <c r="AJ46" i="4"/>
  <c r="P46" i="4"/>
  <c r="AB46" i="4" s="1"/>
  <c r="AI184" i="4"/>
  <c r="AI34" i="4"/>
  <c r="AE233" i="4"/>
  <c r="AE143" i="4"/>
  <c r="AJ39" i="4"/>
  <c r="AI137" i="4"/>
  <c r="AE68" i="4"/>
  <c r="AI15" i="4"/>
  <c r="AE85" i="4"/>
  <c r="AI37" i="4"/>
  <c r="AI61" i="4"/>
  <c r="AJ124" i="4"/>
  <c r="P124" i="4"/>
  <c r="AB124" i="4" s="1"/>
  <c r="AI66" i="4"/>
  <c r="AE223" i="4"/>
  <c r="AI52" i="4"/>
  <c r="AE175" i="4"/>
  <c r="AI95" i="4"/>
  <c r="V977" i="4"/>
  <c r="AE59" i="4"/>
  <c r="AE926" i="4"/>
  <c r="AI981" i="4"/>
  <c r="AJ974" i="4"/>
  <c r="P974" i="4"/>
  <c r="AB974" i="4" s="1"/>
  <c r="AE965" i="4"/>
  <c r="AJ893" i="4"/>
  <c r="P893" i="4"/>
  <c r="AB893" i="4" s="1"/>
  <c r="P931" i="4"/>
  <c r="AB931" i="4" s="1"/>
  <c r="AJ931" i="4"/>
  <c r="AJ900" i="4"/>
  <c r="P900" i="4"/>
  <c r="AB900" i="4" s="1"/>
  <c r="AE874" i="4"/>
  <c r="AI926" i="4"/>
  <c r="V937" i="4"/>
  <c r="AJ902" i="4"/>
  <c r="P902" i="4"/>
  <c r="AB902" i="4" s="1"/>
  <c r="V870" i="4"/>
  <c r="P807" i="4"/>
  <c r="AB807" i="4" s="1"/>
  <c r="AJ807" i="4"/>
  <c r="P844" i="4"/>
  <c r="AB844" i="4" s="1"/>
  <c r="AJ844" i="4"/>
  <c r="AI831" i="4"/>
  <c r="AJ799" i="4"/>
  <c r="P799" i="4"/>
  <c r="AB799" i="4" s="1"/>
  <c r="AE836" i="4"/>
  <c r="V850" i="4"/>
  <c r="AE806" i="4"/>
  <c r="AJ809" i="4"/>
  <c r="P809" i="4"/>
  <c r="AB809" i="4" s="1"/>
  <c r="AE789" i="4"/>
  <c r="AJ816" i="4"/>
  <c r="P816" i="4"/>
  <c r="AB816" i="4" s="1"/>
  <c r="AE774" i="4"/>
  <c r="AE757" i="4"/>
  <c r="AJ723" i="4"/>
  <c r="P723" i="4"/>
  <c r="AB723" i="4" s="1"/>
  <c r="AJ769" i="4"/>
  <c r="P769" i="4"/>
  <c r="AB769" i="4" s="1"/>
  <c r="AE695" i="4"/>
  <c r="AE718" i="4"/>
  <c r="AJ735" i="4"/>
  <c r="P735" i="4"/>
  <c r="AB735" i="4" s="1"/>
  <c r="P676" i="4"/>
  <c r="AB676" i="4" s="1"/>
  <c r="AJ676" i="4"/>
  <c r="P618" i="4"/>
  <c r="AB618" i="4" s="1"/>
  <c r="AJ618" i="4"/>
  <c r="AJ706" i="4"/>
  <c r="P706" i="4"/>
  <c r="AB706" i="4" s="1"/>
  <c r="AE641" i="4"/>
  <c r="P711" i="4"/>
  <c r="AB711" i="4" s="1"/>
  <c r="AJ711" i="4"/>
  <c r="AI650" i="4"/>
  <c r="Y593" i="4"/>
  <c r="V593" i="4"/>
  <c r="AI623" i="4"/>
  <c r="Y324" i="4"/>
  <c r="V324" i="4"/>
  <c r="AJ351" i="4"/>
  <c r="P351" i="4"/>
  <c r="AB351" i="4" s="1"/>
  <c r="Y209" i="4"/>
  <c r="V209" i="4"/>
  <c r="AJ461" i="4"/>
  <c r="P461" i="4"/>
  <c r="AB461" i="4" s="1"/>
  <c r="P563" i="4"/>
  <c r="AB563" i="4" s="1"/>
  <c r="AJ563" i="4"/>
  <c r="AJ602" i="4"/>
  <c r="P602" i="4"/>
  <c r="AB602" i="4" s="1"/>
  <c r="P474" i="4"/>
  <c r="AB474" i="4" s="1"/>
  <c r="AJ474" i="4"/>
  <c r="P481" i="4"/>
  <c r="AB481" i="4" s="1"/>
  <c r="AJ481" i="4"/>
  <c r="AE309" i="4"/>
  <c r="AJ426" i="4"/>
  <c r="P426" i="4"/>
  <c r="AB426" i="4" s="1"/>
  <c r="AI357" i="4"/>
  <c r="AI247" i="4"/>
  <c r="AE445" i="4"/>
  <c r="AI352" i="4"/>
  <c r="AE294" i="4"/>
  <c r="AE241" i="4"/>
  <c r="P160" i="4"/>
  <c r="AB160" i="4" s="1"/>
  <c r="AJ160" i="4"/>
  <c r="AI415" i="4"/>
  <c r="AI355" i="4"/>
  <c r="AE212" i="4"/>
  <c r="AI390" i="4"/>
  <c r="AE131" i="4"/>
  <c r="AJ334" i="4"/>
  <c r="P334" i="4"/>
  <c r="AB334" i="4" s="1"/>
  <c r="AE187" i="4"/>
  <c r="AJ567" i="4"/>
  <c r="P567" i="4"/>
  <c r="AB567" i="4" s="1"/>
  <c r="AI341" i="4"/>
  <c r="AE158" i="4"/>
  <c r="AJ441" i="4"/>
  <c r="P441" i="4"/>
  <c r="AB441" i="4" s="1"/>
  <c r="AJ324" i="4"/>
  <c r="P324" i="4"/>
  <c r="AB324" i="4" s="1"/>
  <c r="AE372" i="4"/>
  <c r="AJ177" i="4"/>
  <c r="P177" i="4"/>
  <c r="AB177" i="4" s="1"/>
  <c r="AJ226" i="4"/>
  <c r="P226" i="4"/>
  <c r="AB226" i="4" s="1"/>
  <c r="P423" i="4"/>
  <c r="AB423" i="4" s="1"/>
  <c r="AJ423" i="4"/>
  <c r="P348" i="4"/>
  <c r="AB348" i="4" s="1"/>
  <c r="AJ348" i="4"/>
  <c r="AE169" i="4"/>
  <c r="AE45" i="4"/>
  <c r="AI16" i="4"/>
  <c r="AE425" i="4"/>
  <c r="AE93" i="4"/>
  <c r="AE26" i="4"/>
  <c r="AE7" i="4"/>
  <c r="AE159" i="4"/>
  <c r="AE101" i="4"/>
  <c r="AE29" i="4"/>
  <c r="AJ170" i="4"/>
  <c r="P170" i="4"/>
  <c r="AB170" i="4" s="1"/>
  <c r="P233" i="4"/>
  <c r="AB233" i="4" s="1"/>
  <c r="AJ233" i="4"/>
  <c r="P94" i="4"/>
  <c r="AB94" i="4" s="1"/>
  <c r="AJ94" i="4"/>
  <c r="AE75" i="4"/>
  <c r="P239" i="4"/>
  <c r="AB239" i="4" s="1"/>
  <c r="AJ239" i="4"/>
  <c r="P80" i="4"/>
  <c r="AB80" i="4" s="1"/>
  <c r="AJ80" i="4"/>
  <c r="P92" i="4"/>
  <c r="AB92" i="4" s="1"/>
  <c r="AJ92" i="4"/>
  <c r="P97" i="4"/>
  <c r="AB97" i="4" s="1"/>
  <c r="AJ97" i="4"/>
  <c r="AE25" i="4"/>
  <c r="AI11" i="4"/>
  <c r="P152" i="4"/>
  <c r="AB152" i="4" s="1"/>
  <c r="AJ152" i="4"/>
  <c r="AJ28" i="4"/>
  <c r="P28" i="4"/>
  <c r="AB28" i="4" s="1"/>
  <c r="AE993" i="4"/>
  <c r="AE972" i="4"/>
  <c r="P280" i="4"/>
  <c r="AB280" i="4" s="1"/>
  <c r="AJ280" i="4"/>
  <c r="AE191" i="4"/>
  <c r="AJ59" i="4"/>
  <c r="P59" i="4"/>
  <c r="AB59" i="4" s="1"/>
  <c r="AI6" i="4"/>
  <c r="AE925" i="4"/>
  <c r="P953" i="4"/>
  <c r="AB953" i="4" s="1"/>
  <c r="AJ953" i="4"/>
  <c r="AE978" i="4"/>
  <c r="AE918" i="4"/>
  <c r="AE922" i="4"/>
  <c r="AJ946" i="4"/>
  <c r="P946" i="4"/>
  <c r="AB946" i="4" s="1"/>
  <c r="AJ873" i="4"/>
  <c r="P873" i="4"/>
  <c r="AB873" i="4" s="1"/>
  <c r="AE895" i="4"/>
  <c r="AE853" i="4"/>
  <c r="AE884" i="4"/>
  <c r="Z856" i="4"/>
  <c r="V925" i="4"/>
  <c r="AJ845" i="4"/>
  <c r="P845" i="4"/>
  <c r="AB845" i="4" s="1"/>
  <c r="P857" i="4"/>
  <c r="AB857" i="4" s="1"/>
  <c r="AJ857" i="4"/>
  <c r="AJ829" i="4"/>
  <c r="P829" i="4"/>
  <c r="AB829" i="4" s="1"/>
  <c r="P806" i="4"/>
  <c r="AB806" i="4" s="1"/>
  <c r="AJ806" i="4"/>
  <c r="P819" i="4"/>
  <c r="AB819" i="4" s="1"/>
  <c r="AJ819" i="4"/>
  <c r="AJ783" i="4"/>
  <c r="P783" i="4"/>
  <c r="AB783" i="4" s="1"/>
  <c r="AJ810" i="4"/>
  <c r="P810" i="4"/>
  <c r="AB810" i="4" s="1"/>
  <c r="V807" i="4"/>
  <c r="AE797" i="4"/>
  <c r="AE755" i="4"/>
  <c r="AI755" i="4"/>
  <c r="P728" i="4"/>
  <c r="AB728" i="4" s="1"/>
  <c r="AJ728" i="4"/>
  <c r="V739" i="4"/>
  <c r="AE708" i="4"/>
  <c r="AE677" i="4"/>
  <c r="V730" i="4"/>
  <c r="V802" i="4"/>
  <c r="AE835" i="4"/>
  <c r="AI725" i="4"/>
  <c r="P699" i="4"/>
  <c r="AB699" i="4" s="1"/>
  <c r="AJ699" i="4"/>
  <c r="AJ707" i="4"/>
  <c r="P707" i="4"/>
  <c r="AB707" i="4" s="1"/>
  <c r="AI666" i="4"/>
  <c r="AE666" i="4"/>
  <c r="P628" i="4"/>
  <c r="AB628" i="4" s="1"/>
  <c r="AJ628" i="4"/>
  <c r="AI762" i="4"/>
  <c r="AE637" i="4"/>
  <c r="Y496" i="4"/>
  <c r="V496" i="4"/>
  <c r="P658" i="4"/>
  <c r="AB658" i="4" s="1"/>
  <c r="AJ658" i="4"/>
  <c r="Y596" i="4"/>
  <c r="V596" i="4"/>
  <c r="AE532" i="4"/>
  <c r="AE521" i="4"/>
  <c r="P516" i="4"/>
  <c r="AB516" i="4" s="1"/>
  <c r="AJ516" i="4"/>
  <c r="AI533" i="4"/>
  <c r="AI116" i="4"/>
  <c r="AE331" i="4"/>
  <c r="AE302" i="4"/>
  <c r="AE186" i="4"/>
  <c r="AE535" i="4"/>
  <c r="AI487" i="4"/>
  <c r="AE263" i="4"/>
  <c r="AE353" i="4"/>
  <c r="AE306" i="4"/>
  <c r="P205" i="4"/>
  <c r="AB205" i="4" s="1"/>
  <c r="AJ205" i="4"/>
  <c r="AE420" i="4"/>
  <c r="P356" i="4"/>
  <c r="AB356" i="4" s="1"/>
  <c r="AJ356" i="4"/>
  <c r="P275" i="4"/>
  <c r="AB275" i="4" s="1"/>
  <c r="AJ275" i="4"/>
  <c r="AE391" i="4"/>
  <c r="AE310" i="4"/>
  <c r="AJ183" i="4"/>
  <c r="P183" i="4"/>
  <c r="AB183" i="4" s="1"/>
  <c r="AJ169" i="4"/>
  <c r="P169" i="4"/>
  <c r="AB169" i="4" s="1"/>
  <c r="P33" i="4"/>
  <c r="AB33" i="4" s="1"/>
  <c r="AJ33" i="4"/>
  <c r="P62" i="4"/>
  <c r="AB62" i="4" s="1"/>
  <c r="AJ62" i="4"/>
  <c r="AE55" i="4"/>
  <c r="AJ26" i="4"/>
  <c r="P26" i="4"/>
  <c r="AB26" i="4" s="1"/>
  <c r="AE260" i="4"/>
  <c r="AI72" i="4"/>
  <c r="AI48" i="4"/>
  <c r="P7" i="4"/>
  <c r="AB7" i="4" s="1"/>
  <c r="AJ7" i="4"/>
  <c r="AE316" i="4"/>
  <c r="P96" i="4"/>
  <c r="AB96" i="4" s="1"/>
  <c r="AJ96" i="4"/>
  <c r="P17" i="4"/>
  <c r="AB17" i="4" s="1"/>
  <c r="AJ17" i="4"/>
  <c r="AI409" i="4"/>
  <c r="AE34" i="4"/>
  <c r="AJ75" i="4"/>
  <c r="P75" i="4"/>
  <c r="AB75" i="4" s="1"/>
  <c r="AI239" i="4"/>
  <c r="AE182" i="4"/>
  <c r="AE56" i="4"/>
  <c r="AE15" i="4"/>
  <c r="AI114" i="4"/>
  <c r="AE37" i="4"/>
  <c r="AI3" i="4"/>
  <c r="AE61" i="4"/>
  <c r="AE66" i="4"/>
  <c r="AJ25" i="4"/>
  <c r="AE52" i="4"/>
  <c r="AE95" i="4"/>
  <c r="AJ975" i="4"/>
  <c r="P975" i="4"/>
  <c r="AB975" i="4" s="1"/>
  <c r="AJ962" i="4"/>
  <c r="P962" i="4"/>
  <c r="AB962" i="4" s="1"/>
  <c r="AJ978" i="4"/>
  <c r="P978" i="4"/>
  <c r="AB978" i="4" s="1"/>
  <c r="AE975" i="4"/>
  <c r="AJ47" i="4"/>
  <c r="P47" i="4"/>
  <c r="AB47" i="4" s="1"/>
  <c r="AE962" i="4"/>
  <c r="AE952" i="4"/>
  <c r="P926" i="4"/>
  <c r="AB926" i="4" s="1"/>
  <c r="AJ926" i="4"/>
  <c r="AI975" i="4"/>
  <c r="AJ952" i="4"/>
  <c r="P952" i="4"/>
  <c r="AB952" i="4" s="1"/>
  <c r="AE974" i="4"/>
  <c r="AE969" i="4"/>
  <c r="AE943" i="4"/>
  <c r="AE976" i="4"/>
  <c r="AE901" i="4"/>
  <c r="V903" i="4"/>
  <c r="V899" i="4"/>
  <c r="V915" i="4"/>
  <c r="AE848" i="4"/>
  <c r="AE942" i="4"/>
  <c r="P883" i="4"/>
  <c r="AB883" i="4" s="1"/>
  <c r="AJ883" i="4"/>
  <c r="AI853" i="4"/>
  <c r="P838" i="4"/>
  <c r="AB838" i="4" s="1"/>
  <c r="AJ838" i="4"/>
  <c r="AE851" i="4"/>
  <c r="V886" i="4"/>
  <c r="AJ928" i="4"/>
  <c r="P928" i="4"/>
  <c r="AB928" i="4" s="1"/>
  <c r="AJ870" i="4"/>
  <c r="P870" i="4"/>
  <c r="AB870" i="4" s="1"/>
  <c r="AE790" i="4"/>
  <c r="V796" i="4"/>
  <c r="AE880" i="4"/>
  <c r="AJ803" i="4"/>
  <c r="P803" i="4"/>
  <c r="AB803" i="4" s="1"/>
  <c r="V751" i="4"/>
  <c r="V817" i="4"/>
  <c r="P811" i="4"/>
  <c r="AB811" i="4" s="1"/>
  <c r="AJ811" i="4"/>
  <c r="V872" i="4"/>
  <c r="AE841" i="4"/>
  <c r="AJ808" i="4"/>
  <c r="P808" i="4"/>
  <c r="AB808" i="4" s="1"/>
  <c r="AI816" i="4"/>
  <c r="V846" i="4"/>
  <c r="AE772" i="4"/>
  <c r="AI799" i="4"/>
  <c r="AE750" i="4"/>
  <c r="AE781" i="4"/>
  <c r="P720" i="4"/>
  <c r="AB720" i="4" s="1"/>
  <c r="AJ720" i="4"/>
  <c r="V675" i="4"/>
  <c r="AI672" i="4"/>
  <c r="AI645" i="4"/>
  <c r="P712" i="4"/>
  <c r="AB712" i="4" s="1"/>
  <c r="AJ712" i="4"/>
  <c r="AE725" i="4"/>
  <c r="V761" i="4"/>
  <c r="AJ666" i="4"/>
  <c r="P666" i="4"/>
  <c r="AB666" i="4" s="1"/>
  <c r="AE653" i="4"/>
  <c r="AE685" i="4"/>
  <c r="P671" i="4"/>
  <c r="AB671" i="4" s="1"/>
  <c r="AJ671" i="4"/>
  <c r="AI626" i="4"/>
  <c r="V707" i="4"/>
  <c r="P687" i="4"/>
  <c r="AB687" i="4" s="1"/>
  <c r="AJ687" i="4"/>
  <c r="V682" i="4"/>
  <c r="AJ655" i="4"/>
  <c r="P655" i="4"/>
  <c r="AB655" i="4" s="1"/>
  <c r="V599" i="4"/>
  <c r="V657" i="4"/>
  <c r="V626" i="4"/>
  <c r="P681" i="4"/>
  <c r="AB681" i="4" s="1"/>
  <c r="AJ681" i="4"/>
  <c r="AE651" i="4"/>
  <c r="AE623" i="4"/>
  <c r="AI617" i="4"/>
  <c r="AE660" i="4"/>
  <c r="Z551" i="4"/>
  <c r="V620" i="4"/>
  <c r="Z380" i="4"/>
  <c r="P558" i="4"/>
  <c r="AB558" i="4" s="1"/>
  <c r="AJ558" i="4"/>
  <c r="AE510" i="4"/>
  <c r="P541" i="4"/>
  <c r="AB541" i="4" s="1"/>
  <c r="AJ541" i="4"/>
  <c r="AI564" i="4"/>
  <c r="AE484" i="4"/>
  <c r="P555" i="4"/>
  <c r="AB555" i="4" s="1"/>
  <c r="AJ555" i="4"/>
  <c r="AE562" i="4"/>
  <c r="AI514" i="4"/>
  <c r="AE601" i="4"/>
  <c r="AI553" i="4"/>
  <c r="AE473" i="4"/>
  <c r="AI592" i="4"/>
  <c r="AE512" i="4"/>
  <c r="AI464" i="4"/>
  <c r="P510" i="4"/>
  <c r="AB510" i="4" s="1"/>
  <c r="AJ510" i="4"/>
  <c r="AJ565" i="4"/>
  <c r="P565" i="4"/>
  <c r="AB565" i="4" s="1"/>
  <c r="P524" i="4"/>
  <c r="AB524" i="4" s="1"/>
  <c r="AJ524" i="4"/>
  <c r="P515" i="4"/>
  <c r="AB515" i="4" s="1"/>
  <c r="AJ515" i="4"/>
  <c r="P554" i="4"/>
  <c r="AB554" i="4" s="1"/>
  <c r="AJ554" i="4"/>
  <c r="P561" i="4"/>
  <c r="AB561" i="4" s="1"/>
  <c r="AJ561" i="4"/>
  <c r="AE341" i="4"/>
  <c r="AI263" i="4"/>
  <c r="AI405" i="4"/>
  <c r="AE357" i="4"/>
  <c r="AJ193" i="4"/>
  <c r="P193" i="4"/>
  <c r="AB193" i="4" s="1"/>
  <c r="AE203" i="4"/>
  <c r="AE397" i="4"/>
  <c r="AE337" i="4"/>
  <c r="AE355" i="4"/>
  <c r="AE427" i="4"/>
  <c r="P406" i="4"/>
  <c r="AB406" i="4" s="1"/>
  <c r="AJ406" i="4"/>
  <c r="AE390" i="4"/>
  <c r="P331" i="4"/>
  <c r="AB331" i="4" s="1"/>
  <c r="AJ331" i="4"/>
  <c r="P302" i="4"/>
  <c r="AB302" i="4" s="1"/>
  <c r="AJ302" i="4"/>
  <c r="AE238" i="4"/>
  <c r="AE382" i="4"/>
  <c r="AJ328" i="4"/>
  <c r="P328" i="4"/>
  <c r="AB328" i="4" s="1"/>
  <c r="AI309" i="4"/>
  <c r="AE401" i="4"/>
  <c r="P231" i="4"/>
  <c r="AB231" i="4" s="1"/>
  <c r="AJ231" i="4"/>
  <c r="AI166" i="4"/>
  <c r="P404" i="4"/>
  <c r="AB404" i="4" s="1"/>
  <c r="AJ404" i="4"/>
  <c r="AE219" i="4"/>
  <c r="AJ278" i="4"/>
  <c r="P278" i="4"/>
  <c r="AB278" i="4" s="1"/>
  <c r="AE246" i="4"/>
  <c r="P133" i="4"/>
  <c r="AB133" i="4" s="1"/>
  <c r="AJ133" i="4"/>
  <c r="P375" i="4"/>
  <c r="AB375" i="4" s="1"/>
  <c r="AJ375" i="4"/>
  <c r="AJ298" i="4"/>
  <c r="P298" i="4"/>
  <c r="AB298" i="4" s="1"/>
  <c r="AE16" i="4"/>
  <c r="AE38" i="4"/>
  <c r="AE297" i="4"/>
  <c r="AE194" i="4"/>
  <c r="AE119" i="4"/>
  <c r="P55" i="4"/>
  <c r="AB55" i="4" s="1"/>
  <c r="AJ55" i="4"/>
  <c r="AE98" i="4"/>
  <c r="AJ255" i="4"/>
  <c r="P255" i="4"/>
  <c r="AB255" i="4" s="1"/>
  <c r="AJ60" i="4"/>
  <c r="P316" i="4"/>
  <c r="AB316" i="4" s="1"/>
  <c r="AJ316" i="4"/>
  <c r="AI126" i="4"/>
  <c r="AE77" i="4"/>
  <c r="P22" i="4"/>
  <c r="AB22" i="4" s="1"/>
  <c r="AJ22" i="4"/>
  <c r="AI233" i="4"/>
  <c r="AJ63" i="4"/>
  <c r="P63" i="4"/>
  <c r="AB63" i="4" s="1"/>
  <c r="P168" i="4"/>
  <c r="AB168" i="4" s="1"/>
  <c r="AJ168" i="4"/>
  <c r="AJ137" i="4"/>
  <c r="P137" i="4"/>
  <c r="AB137" i="4" s="1"/>
  <c r="AJ56" i="4"/>
  <c r="P56" i="4"/>
  <c r="AB56" i="4" s="1"/>
  <c r="P32" i="4"/>
  <c r="AB32" i="4" s="1"/>
  <c r="AJ32" i="4"/>
  <c r="P54" i="4"/>
  <c r="AB54" i="4" s="1"/>
  <c r="AJ54" i="4"/>
  <c r="AJ35" i="4"/>
  <c r="P35" i="4"/>
  <c r="AB35" i="4" s="1"/>
  <c r="AE11" i="4"/>
  <c r="V990" i="4"/>
  <c r="AI957" i="4"/>
  <c r="AE967" i="4"/>
  <c r="V1000" i="4"/>
  <c r="AE127" i="4"/>
  <c r="AE90" i="4"/>
  <c r="AE6" i="4"/>
  <c r="P981" i="4"/>
  <c r="AB981" i="4" s="1"/>
  <c r="AJ981" i="4"/>
  <c r="AE944" i="4"/>
  <c r="V986" i="4"/>
  <c r="AJ980" i="4"/>
  <c r="P980" i="4"/>
  <c r="AB980" i="4" s="1"/>
  <c r="AJ878" i="4"/>
  <c r="P878" i="4"/>
  <c r="AB878" i="4" s="1"/>
  <c r="V935" i="4"/>
  <c r="P884" i="4"/>
  <c r="AB884" i="4" s="1"/>
  <c r="AJ884" i="4"/>
  <c r="AJ863" i="4"/>
  <c r="P863" i="4"/>
  <c r="AB863" i="4" s="1"/>
  <c r="P825" i="4"/>
  <c r="AB825" i="4" s="1"/>
  <c r="AJ825" i="4"/>
  <c r="AE839" i="4"/>
  <c r="AI815" i="4"/>
  <c r="V833" i="4"/>
  <c r="AE784" i="4"/>
  <c r="AE814" i="4"/>
  <c r="P790" i="4"/>
  <c r="AB790" i="4" s="1"/>
  <c r="AJ790" i="4"/>
  <c r="P772" i="4"/>
  <c r="AB772" i="4" s="1"/>
  <c r="AJ772" i="4"/>
  <c r="AI743" i="4"/>
  <c r="AJ724" i="4"/>
  <c r="P724" i="4"/>
  <c r="AB724" i="4" s="1"/>
  <c r="AE770" i="4"/>
  <c r="AI629" i="4"/>
  <c r="P730" i="4"/>
  <c r="AB730" i="4" s="1"/>
  <c r="AJ730" i="4"/>
  <c r="AE735" i="4"/>
  <c r="V762" i="4"/>
  <c r="AI679" i="4"/>
  <c r="AJ621" i="4"/>
  <c r="P621" i="4"/>
  <c r="AB621" i="4" s="1"/>
  <c r="Y576" i="4"/>
  <c r="V576" i="4"/>
  <c r="Y480" i="4"/>
  <c r="V480" i="4"/>
  <c r="AI658" i="4"/>
  <c r="AJ641" i="4"/>
  <c r="P641" i="4"/>
  <c r="AB641" i="4" s="1"/>
  <c r="AI614" i="4"/>
  <c r="Z526" i="4"/>
  <c r="AI418" i="4"/>
  <c r="AE470" i="4"/>
  <c r="AE560" i="4"/>
  <c r="AJ454" i="4"/>
  <c r="P454" i="4"/>
  <c r="AB454" i="4" s="1"/>
  <c r="AI522" i="4"/>
  <c r="AJ211" i="4"/>
  <c r="P211" i="4"/>
  <c r="AB211" i="4" s="1"/>
  <c r="P511" i="4"/>
  <c r="AB511" i="4" s="1"/>
  <c r="AJ511" i="4"/>
  <c r="AE550" i="4"/>
  <c r="AI502" i="4"/>
  <c r="AJ584" i="4"/>
  <c r="P584" i="4"/>
  <c r="AB584" i="4" s="1"/>
  <c r="AJ456" i="4"/>
  <c r="P456" i="4"/>
  <c r="AB456" i="4" s="1"/>
  <c r="AE591" i="4"/>
  <c r="AI543" i="4"/>
  <c r="AE463" i="4"/>
  <c r="AJ534" i="4"/>
  <c r="P534" i="4"/>
  <c r="AB534" i="4" s="1"/>
  <c r="AJ596" i="4"/>
  <c r="P596" i="4"/>
  <c r="AB596" i="4" s="1"/>
  <c r="P468" i="4"/>
  <c r="AB468" i="4" s="1"/>
  <c r="AJ468" i="4"/>
  <c r="AE507" i="4"/>
  <c r="AI475" i="4"/>
  <c r="AJ457" i="4"/>
  <c r="P457" i="4"/>
  <c r="AB457" i="4" s="1"/>
  <c r="P496" i="4"/>
  <c r="AB496" i="4" s="1"/>
  <c r="AJ496" i="4"/>
  <c r="AI542" i="4"/>
  <c r="AI485" i="4"/>
  <c r="AE476" i="4"/>
  <c r="AE483" i="4"/>
  <c r="AE529" i="4"/>
  <c r="P339" i="4"/>
  <c r="AB339" i="4" s="1"/>
  <c r="AJ339" i="4"/>
  <c r="AI307" i="4"/>
  <c r="AJ434" i="4"/>
  <c r="P434" i="4"/>
  <c r="AB434" i="4" s="1"/>
  <c r="AE402" i="4"/>
  <c r="AE198" i="4"/>
  <c r="AI426" i="4"/>
  <c r="AE290" i="4"/>
  <c r="AI299" i="4"/>
  <c r="P203" i="4"/>
  <c r="AB203" i="4" s="1"/>
  <c r="AJ203" i="4"/>
  <c r="AJ445" i="4"/>
  <c r="P445" i="4"/>
  <c r="AB445" i="4" s="1"/>
  <c r="AJ397" i="4"/>
  <c r="P397" i="4"/>
  <c r="AB397" i="4" s="1"/>
  <c r="P343" i="4"/>
  <c r="AB343" i="4" s="1"/>
  <c r="AJ343" i="4"/>
  <c r="AE311" i="4"/>
  <c r="AI199" i="4"/>
  <c r="P313" i="4"/>
  <c r="AB313" i="4" s="1"/>
  <c r="AJ313" i="4"/>
  <c r="AI273" i="4"/>
  <c r="P237" i="4"/>
  <c r="AB237" i="4" s="1"/>
  <c r="AJ237" i="4"/>
  <c r="AJ408" i="4"/>
  <c r="P408" i="4"/>
  <c r="AB408" i="4" s="1"/>
  <c r="AE392" i="4"/>
  <c r="AE367" i="4"/>
  <c r="P321" i="4"/>
  <c r="AB321" i="4" s="1"/>
  <c r="AJ321" i="4"/>
  <c r="AE296" i="4"/>
  <c r="P149" i="4"/>
  <c r="AB149" i="4" s="1"/>
  <c r="AJ149" i="4"/>
  <c r="AE403" i="4"/>
  <c r="AJ286" i="4"/>
  <c r="P286" i="4"/>
  <c r="AB286" i="4" s="1"/>
  <c r="P427" i="4"/>
  <c r="AB427" i="4" s="1"/>
  <c r="AJ427" i="4"/>
  <c r="AE379" i="4"/>
  <c r="P358" i="4"/>
  <c r="AB358" i="4" s="1"/>
  <c r="AJ358" i="4"/>
  <c r="AE442" i="4"/>
  <c r="P276" i="4"/>
  <c r="AB276" i="4" s="1"/>
  <c r="AJ276" i="4"/>
  <c r="AJ162" i="4"/>
  <c r="P162" i="4"/>
  <c r="AB162" i="4" s="1"/>
  <c r="AI567" i="4"/>
  <c r="AE430" i="4"/>
  <c r="AJ382" i="4"/>
  <c r="P382" i="4"/>
  <c r="AB382" i="4" s="1"/>
  <c r="AI441" i="4"/>
  <c r="P385" i="4"/>
  <c r="AB385" i="4" s="1"/>
  <c r="AJ385" i="4"/>
  <c r="AI350" i="4"/>
  <c r="AI356" i="4"/>
  <c r="AJ219" i="4"/>
  <c r="P219" i="4"/>
  <c r="AB219" i="4" s="1"/>
  <c r="P147" i="4"/>
  <c r="AB147" i="4" s="1"/>
  <c r="AJ147" i="4"/>
  <c r="P213" i="4"/>
  <c r="AB213" i="4" s="1"/>
  <c r="AJ213" i="4"/>
  <c r="AE380" i="4"/>
  <c r="AI275" i="4"/>
  <c r="AI200" i="4"/>
  <c r="AI423" i="4"/>
  <c r="P342" i="4"/>
  <c r="AB342" i="4" s="1"/>
  <c r="AJ342" i="4"/>
  <c r="AI183" i="4"/>
  <c r="AJ138" i="4"/>
  <c r="P138" i="4"/>
  <c r="AB138" i="4" s="1"/>
  <c r="AJ4" i="4"/>
  <c r="P4" i="4"/>
  <c r="AB4" i="4" s="1"/>
  <c r="AE130" i="4"/>
  <c r="P297" i="4"/>
  <c r="AB297" i="4" s="1"/>
  <c r="AJ297" i="4"/>
  <c r="AI167" i="4"/>
  <c r="AJ14" i="4"/>
  <c r="P14" i="4"/>
  <c r="AB14" i="4" s="1"/>
  <c r="AI164" i="4"/>
  <c r="AJ79" i="4"/>
  <c r="P79" i="4"/>
  <c r="AB79" i="4" s="1"/>
  <c r="AI255" i="4"/>
  <c r="AE156" i="4"/>
  <c r="AE48" i="4"/>
  <c r="AI108" i="4"/>
  <c r="P12" i="4"/>
  <c r="AB12" i="4" s="1"/>
  <c r="AJ12" i="4"/>
  <c r="P70" i="4"/>
  <c r="AB70" i="4" s="1"/>
  <c r="AJ70" i="4"/>
  <c r="AE409" i="4"/>
  <c r="AI94" i="4"/>
  <c r="AE114" i="4"/>
  <c r="AI80" i="4"/>
  <c r="AE3" i="4"/>
  <c r="AI92" i="4"/>
  <c r="AE188" i="4"/>
  <c r="AI97" i="4"/>
  <c r="AI42" i="4"/>
  <c r="AE185" i="4"/>
  <c r="AJ11" i="4"/>
  <c r="P11" i="4"/>
  <c r="AB11" i="4" s="1"/>
  <c r="AE152" i="4"/>
  <c r="AE88" i="4"/>
  <c r="AE69" i="4"/>
  <c r="AI28" i="4"/>
  <c r="V972" i="4"/>
  <c r="V991" i="4"/>
  <c r="AI968" i="4"/>
  <c r="AI180" i="4"/>
  <c r="AJ112" i="4"/>
  <c r="P112" i="4"/>
  <c r="AB112" i="4" s="1"/>
  <c r="AJ90" i="4"/>
  <c r="P90" i="4"/>
  <c r="AB90" i="4" s="1"/>
  <c r="AI972" i="4"/>
  <c r="AI944" i="4"/>
  <c r="V973" i="4"/>
  <c r="V940" i="4"/>
  <c r="AE875" i="4"/>
  <c r="AI950" i="4"/>
  <c r="V881" i="4"/>
  <c r="AE878" i="4"/>
  <c r="AI888" i="4"/>
  <c r="AJ815" i="4"/>
  <c r="P815" i="4"/>
  <c r="AB815" i="4" s="1"/>
  <c r="AE798" i="4"/>
  <c r="AJ834" i="4"/>
  <c r="P834" i="4"/>
  <c r="AB834" i="4" s="1"/>
  <c r="AJ792" i="4"/>
  <c r="P792" i="4"/>
  <c r="AB792" i="4" s="1"/>
  <c r="P882" i="4"/>
  <c r="AB882" i="4" s="1"/>
  <c r="AJ882" i="4"/>
  <c r="P860" i="4"/>
  <c r="AB860" i="4" s="1"/>
  <c r="AJ860" i="4"/>
  <c r="AJ850" i="4"/>
  <c r="P850" i="4"/>
  <c r="AB850" i="4" s="1"/>
  <c r="P782" i="4"/>
  <c r="AB782" i="4" s="1"/>
  <c r="AJ782" i="4"/>
  <c r="P827" i="4"/>
  <c r="AB827" i="4" s="1"/>
  <c r="AJ827" i="4"/>
  <c r="AI733" i="4"/>
  <c r="AE738" i="4"/>
  <c r="V701" i="4"/>
  <c r="P773" i="4"/>
  <c r="AB773" i="4" s="1"/>
  <c r="AJ773" i="4"/>
  <c r="V744" i="4"/>
  <c r="P717" i="4"/>
  <c r="AB717" i="4" s="1"/>
  <c r="AJ717" i="4"/>
  <c r="V729" i="4"/>
  <c r="AI774" i="4"/>
  <c r="AE699" i="4"/>
  <c r="V709" i="4"/>
  <c r="V676" i="4"/>
  <c r="AJ637" i="4"/>
  <c r="P637" i="4"/>
  <c r="AB637" i="4" s="1"/>
  <c r="AE691" i="4"/>
  <c r="AE614" i="4"/>
  <c r="P689" i="4"/>
  <c r="AB689" i="4" s="1"/>
  <c r="AJ689" i="4"/>
  <c r="AE686" i="4"/>
  <c r="AI283" i="4"/>
  <c r="B14" i="9"/>
  <c r="D14" i="9" s="1"/>
  <c r="AJ475" i="4"/>
  <c r="P475" i="4"/>
  <c r="AB475" i="4" s="1"/>
  <c r="AI504" i="4"/>
  <c r="P493" i="4"/>
  <c r="AB493" i="4" s="1"/>
  <c r="AJ493" i="4"/>
  <c r="AI516" i="4"/>
  <c r="AJ507" i="4"/>
  <c r="P507" i="4"/>
  <c r="AB507" i="4" s="1"/>
  <c r="AI594" i="4"/>
  <c r="AE514" i="4"/>
  <c r="AI466" i="4"/>
  <c r="AE553" i="4"/>
  <c r="AI505" i="4"/>
  <c r="AE592" i="4"/>
  <c r="AE464" i="4"/>
  <c r="P590" i="4"/>
  <c r="AB590" i="4" s="1"/>
  <c r="AJ590" i="4"/>
  <c r="AJ462" i="4"/>
  <c r="P462" i="4"/>
  <c r="AB462" i="4" s="1"/>
  <c r="P604" i="4"/>
  <c r="AB604" i="4" s="1"/>
  <c r="AJ604" i="4"/>
  <c r="AJ476" i="4"/>
  <c r="P476" i="4"/>
  <c r="AB476" i="4" s="1"/>
  <c r="P595" i="4"/>
  <c r="AB595" i="4" s="1"/>
  <c r="AJ595" i="4"/>
  <c r="AJ467" i="4"/>
  <c r="P467" i="4"/>
  <c r="AB467" i="4" s="1"/>
  <c r="P506" i="4"/>
  <c r="AB506" i="4" s="1"/>
  <c r="AJ506" i="4"/>
  <c r="P513" i="4"/>
  <c r="AB513" i="4" s="1"/>
  <c r="AJ513" i="4"/>
  <c r="AI354" i="4"/>
  <c r="P309" i="4"/>
  <c r="AB309" i="4" s="1"/>
  <c r="AJ309" i="4"/>
  <c r="AI254" i="4"/>
  <c r="AE405" i="4"/>
  <c r="P279" i="4"/>
  <c r="AB279" i="4" s="1"/>
  <c r="AJ279" i="4"/>
  <c r="P303" i="4"/>
  <c r="AB303" i="4" s="1"/>
  <c r="AJ303" i="4"/>
  <c r="AE199" i="4"/>
  <c r="AI384" i="4"/>
  <c r="AE349" i="4"/>
  <c r="AE273" i="4"/>
  <c r="P224" i="4"/>
  <c r="AB224" i="4" s="1"/>
  <c r="AJ224" i="4"/>
  <c r="AJ360" i="4"/>
  <c r="P360" i="4"/>
  <c r="AB360" i="4" s="1"/>
  <c r="P291" i="4"/>
  <c r="AB291" i="4" s="1"/>
  <c r="AJ291" i="4"/>
  <c r="AI259" i="4"/>
  <c r="AJ387" i="4"/>
  <c r="P387" i="4"/>
  <c r="AB387" i="4" s="1"/>
  <c r="AE117" i="4"/>
  <c r="P379" i="4"/>
  <c r="AB379" i="4" s="1"/>
  <c r="AJ379" i="4"/>
  <c r="AI277" i="4"/>
  <c r="P442" i="4"/>
  <c r="AB442" i="4" s="1"/>
  <c r="AJ442" i="4"/>
  <c r="AE155" i="4"/>
  <c r="AI155" i="4"/>
  <c r="AJ471" i="4"/>
  <c r="P471" i="4"/>
  <c r="AB471" i="4" s="1"/>
  <c r="AJ430" i="4"/>
  <c r="P430" i="4"/>
  <c r="AB430" i="4" s="1"/>
  <c r="AI328" i="4"/>
  <c r="P295" i="4"/>
  <c r="AB295" i="4" s="1"/>
  <c r="AJ295" i="4"/>
  <c r="AI242" i="4"/>
  <c r="AI131" i="4"/>
  <c r="P433" i="4"/>
  <c r="AB433" i="4" s="1"/>
  <c r="AJ433" i="4"/>
  <c r="AE324" i="4"/>
  <c r="AI134" i="4"/>
  <c r="AI404" i="4"/>
  <c r="AE428" i="4"/>
  <c r="P380" i="4"/>
  <c r="AB380" i="4" s="1"/>
  <c r="AJ380" i="4"/>
  <c r="P277" i="4"/>
  <c r="AB277" i="4" s="1"/>
  <c r="AJ277" i="4"/>
  <c r="AE183" i="4"/>
  <c r="AE81" i="4"/>
  <c r="AI33" i="4"/>
  <c r="AI62" i="4"/>
  <c r="AE167" i="4"/>
  <c r="AE377" i="4"/>
  <c r="AE31" i="4"/>
  <c r="AJ128" i="4"/>
  <c r="P128" i="4"/>
  <c r="AB128" i="4" s="1"/>
  <c r="AE91" i="4"/>
  <c r="P36" i="4"/>
  <c r="AB36" i="4" s="1"/>
  <c r="AJ36" i="4"/>
  <c r="AI7" i="4"/>
  <c r="AI153" i="4"/>
  <c r="AE126" i="4"/>
  <c r="AI96" i="4"/>
  <c r="AE46" i="4"/>
  <c r="AI17" i="4"/>
  <c r="AJ207" i="4"/>
  <c r="P207" i="4"/>
  <c r="AB207" i="4" s="1"/>
  <c r="AE170" i="4"/>
  <c r="AJ151" i="4"/>
  <c r="P151" i="4"/>
  <c r="AB151" i="4" s="1"/>
  <c r="AJ228" i="4"/>
  <c r="P228" i="4"/>
  <c r="AB228" i="4" s="1"/>
  <c r="P99" i="4"/>
  <c r="AB99" i="4" s="1"/>
  <c r="AJ99" i="4"/>
  <c r="P118" i="4"/>
  <c r="AB118" i="4" s="1"/>
  <c r="AJ118" i="4"/>
  <c r="AI135" i="4"/>
  <c r="AJ13" i="4"/>
  <c r="P13" i="4"/>
  <c r="AB13" i="4" s="1"/>
  <c r="AJ185" i="4"/>
  <c r="P185" i="4"/>
  <c r="AB185" i="4" s="1"/>
  <c r="AJ88" i="4"/>
  <c r="P88" i="4"/>
  <c r="AB88" i="4" s="1"/>
  <c r="P64" i="4"/>
  <c r="AB64" i="4" s="1"/>
  <c r="AJ64" i="4"/>
  <c r="AJ990" i="4"/>
  <c r="P990" i="4"/>
  <c r="AB990" i="4" s="1"/>
  <c r="AE280" i="4"/>
  <c r="AI47" i="4"/>
  <c r="AI922" i="4"/>
  <c r="AJ916" i="4"/>
  <c r="P916" i="4"/>
  <c r="AB916" i="4" s="1"/>
  <c r="AE892" i="4"/>
  <c r="AE932" i="4"/>
  <c r="AJ959" i="4"/>
  <c r="P959" i="4"/>
  <c r="AB959" i="4" s="1"/>
  <c r="AI917" i="4"/>
  <c r="AJ942" i="4"/>
  <c r="P942" i="4"/>
  <c r="AB942" i="4" s="1"/>
  <c r="AJ905" i="4"/>
  <c r="P905" i="4"/>
  <c r="AB905" i="4" s="1"/>
  <c r="AI879" i="4"/>
  <c r="AE886" i="4"/>
  <c r="V927" i="4"/>
  <c r="P915" i="4"/>
  <c r="AB915" i="4" s="1"/>
  <c r="AJ915" i="4"/>
  <c r="AE864" i="4"/>
  <c r="AI843" i="4"/>
  <c r="AI931" i="4"/>
  <c r="P849" i="4"/>
  <c r="AB849" i="4" s="1"/>
  <c r="AJ849" i="4"/>
  <c r="P894" i="4"/>
  <c r="AB894" i="4" s="1"/>
  <c r="AJ894" i="4"/>
  <c r="AE862" i="4"/>
  <c r="V889" i="4"/>
  <c r="P881" i="4"/>
  <c r="AB881" i="4" s="1"/>
  <c r="AJ881" i="4"/>
  <c r="AI870" i="4"/>
  <c r="AE847" i="4"/>
  <c r="AE796" i="4"/>
  <c r="AE824" i="4"/>
  <c r="AJ823" i="4"/>
  <c r="P823" i="4"/>
  <c r="AB823" i="4" s="1"/>
  <c r="P836" i="4"/>
  <c r="AB836" i="4" s="1"/>
  <c r="AJ836" i="4"/>
  <c r="AJ872" i="4"/>
  <c r="P872" i="4"/>
  <c r="AB872" i="4" s="1"/>
  <c r="Y778" i="4"/>
  <c r="V778" i="4"/>
  <c r="P855" i="4"/>
  <c r="AB855" i="4" s="1"/>
  <c r="AJ855" i="4"/>
  <c r="V793" i="4"/>
  <c r="V858" i="4"/>
  <c r="AJ817" i="4"/>
  <c r="P817" i="4"/>
  <c r="AB817" i="4" s="1"/>
  <c r="AE810" i="4"/>
  <c r="P796" i="4"/>
  <c r="AB796" i="4" s="1"/>
  <c r="AJ796" i="4"/>
  <c r="V827" i="4"/>
  <c r="AI811" i="4"/>
  <c r="AE816" i="4"/>
  <c r="AJ760" i="4"/>
  <c r="P760" i="4"/>
  <c r="AB760" i="4" s="1"/>
  <c r="AI790" i="4"/>
  <c r="AJ721" i="4"/>
  <c r="P721" i="4"/>
  <c r="AB721" i="4" s="1"/>
  <c r="AE748" i="4"/>
  <c r="AI740" i="4"/>
  <c r="AE688" i="4"/>
  <c r="P729" i="4"/>
  <c r="AB729" i="4" s="1"/>
  <c r="AJ729" i="4"/>
  <c r="AE734" i="4"/>
  <c r="V723" i="4"/>
  <c r="V773" i="4"/>
  <c r="AE752" i="4"/>
  <c r="AE747" i="4"/>
  <c r="AI685" i="4"/>
  <c r="AE670" i="4"/>
  <c r="AE621" i="4"/>
  <c r="AI621" i="4"/>
  <c r="P704" i="4"/>
  <c r="AB704" i="4" s="1"/>
  <c r="AJ704" i="4"/>
  <c r="AI657" i="4"/>
  <c r="AE703" i="4"/>
  <c r="AE669" i="4"/>
  <c r="AE617" i="4"/>
  <c r="V616" i="4"/>
  <c r="AJ552" i="4"/>
  <c r="P552" i="4"/>
  <c r="AB552" i="4" s="1"/>
  <c r="AE598" i="4"/>
  <c r="P505" i="4"/>
  <c r="AB505" i="4" s="1"/>
  <c r="AJ505" i="4"/>
  <c r="AE524" i="4"/>
  <c r="AE449" i="4"/>
  <c r="AJ384" i="4"/>
  <c r="P384" i="4"/>
  <c r="AB384" i="4" s="1"/>
  <c r="AE502" i="4"/>
  <c r="AJ498" i="4"/>
  <c r="P498" i="4"/>
  <c r="AB498" i="4" s="1"/>
  <c r="AJ576" i="4"/>
  <c r="P576" i="4"/>
  <c r="AB576" i="4" s="1"/>
  <c r="AE205" i="4"/>
  <c r="P435" i="4"/>
  <c r="AB435" i="4" s="1"/>
  <c r="AJ435" i="4"/>
  <c r="AE134" i="4"/>
  <c r="P428" i="4"/>
  <c r="AB428" i="4" s="1"/>
  <c r="AJ428" i="4"/>
  <c r="P86" i="4"/>
  <c r="AB86" i="4" s="1"/>
  <c r="AJ86" i="4"/>
  <c r="AJ91" i="4"/>
  <c r="P91" i="4"/>
  <c r="AB91" i="4" s="1"/>
  <c r="P271" i="4"/>
  <c r="AB271" i="4" s="1"/>
  <c r="AJ271" i="4"/>
  <c r="AE108" i="4"/>
  <c r="P111" i="4"/>
  <c r="AB111" i="4" s="1"/>
  <c r="AJ111" i="4"/>
  <c r="AI22" i="4"/>
  <c r="AE94" i="4"/>
  <c r="AE239" i="4"/>
  <c r="AE168" i="4"/>
  <c r="AI56" i="4"/>
  <c r="AE80" i="4"/>
  <c r="AE92" i="4"/>
  <c r="AE135" i="4"/>
  <c r="AE97" i="4"/>
  <c r="AE42" i="4"/>
  <c r="AE28" i="4"/>
  <c r="AE992" i="4"/>
  <c r="P970" i="4"/>
  <c r="AB970" i="4" s="1"/>
  <c r="AJ970" i="4"/>
  <c r="AJ180" i="4"/>
  <c r="P180" i="4"/>
  <c r="AB180" i="4" s="1"/>
  <c r="AE71" i="4"/>
  <c r="AE945" i="4"/>
  <c r="AE914" i="4"/>
  <c r="AI908" i="4"/>
  <c r="AE924" i="4"/>
  <c r="AI924" i="4"/>
  <c r="AJ930" i="4"/>
  <c r="P930" i="4"/>
  <c r="AB930" i="4" s="1"/>
  <c r="P877" i="4"/>
  <c r="AB877" i="4" s="1"/>
  <c r="AJ877" i="4"/>
  <c r="P910" i="4"/>
  <c r="AB910" i="4" s="1"/>
  <c r="AJ910" i="4"/>
  <c r="AI874" i="4"/>
  <c r="AE871" i="4"/>
  <c r="AJ842" i="4"/>
  <c r="P842" i="4"/>
  <c r="AB842" i="4" s="1"/>
  <c r="AE861" i="4"/>
  <c r="P788" i="4"/>
  <c r="AB788" i="4" s="1"/>
  <c r="AJ788" i="4"/>
  <c r="P866" i="4"/>
  <c r="AB866" i="4" s="1"/>
  <c r="AJ866" i="4"/>
  <c r="AI715" i="4"/>
  <c r="AE715" i="4"/>
  <c r="AE733" i="4"/>
  <c r="AE716" i="4"/>
  <c r="AJ744" i="4"/>
  <c r="P744" i="4"/>
  <c r="AB744" i="4" s="1"/>
  <c r="AE724" i="4"/>
  <c r="P684" i="4"/>
  <c r="AB684" i="4" s="1"/>
  <c r="AJ684" i="4"/>
  <c r="AE659" i="4"/>
  <c r="AE626" i="4"/>
  <c r="P652" i="4"/>
  <c r="AB652" i="4" s="1"/>
  <c r="AJ652" i="4"/>
  <c r="AJ648" i="4"/>
  <c r="P648" i="4"/>
  <c r="AB648" i="4" s="1"/>
  <c r="AJ663" i="4"/>
  <c r="P663" i="4"/>
  <c r="AB663" i="4" s="1"/>
  <c r="AE647" i="4"/>
  <c r="AJ654" i="4"/>
  <c r="P654" i="4"/>
  <c r="AB654" i="4" s="1"/>
  <c r="Y438" i="4"/>
  <c r="V438" i="4"/>
  <c r="Y419" i="4"/>
  <c r="V419" i="4"/>
  <c r="AJ367" i="4"/>
  <c r="P367" i="4"/>
  <c r="AB367" i="4" s="1"/>
  <c r="Y306" i="4"/>
  <c r="V306" i="4"/>
  <c r="Z194" i="4"/>
  <c r="AI203" i="4"/>
  <c r="AE587" i="4"/>
  <c r="AE481" i="4"/>
  <c r="AJ167" i="4"/>
  <c r="P167" i="4"/>
  <c r="AB167" i="4" s="1"/>
  <c r="AE609" i="4"/>
  <c r="AI585" i="4"/>
  <c r="AE505" i="4"/>
  <c r="AE544" i="4"/>
  <c r="P542" i="4"/>
  <c r="AB542" i="4" s="1"/>
  <c r="AJ542" i="4"/>
  <c r="AJ597" i="4"/>
  <c r="P597" i="4"/>
  <c r="AB597" i="4" s="1"/>
  <c r="AJ469" i="4"/>
  <c r="P469" i="4"/>
  <c r="AB469" i="4" s="1"/>
  <c r="P556" i="4"/>
  <c r="AB556" i="4" s="1"/>
  <c r="AJ556" i="4"/>
  <c r="P547" i="4"/>
  <c r="AB547" i="4" s="1"/>
  <c r="AJ547" i="4"/>
  <c r="AJ586" i="4"/>
  <c r="P586" i="4"/>
  <c r="AB586" i="4" s="1"/>
  <c r="P458" i="4"/>
  <c r="AB458" i="4" s="1"/>
  <c r="AJ458" i="4"/>
  <c r="P465" i="4"/>
  <c r="AB465" i="4" s="1"/>
  <c r="AJ465" i="4"/>
  <c r="P304" i="4"/>
  <c r="AB304" i="4" s="1"/>
  <c r="AJ304" i="4"/>
  <c r="AJ249" i="4"/>
  <c r="P249" i="4"/>
  <c r="AB249" i="4" s="1"/>
  <c r="AE171" i="4"/>
  <c r="AI373" i="4"/>
  <c r="AE174" i="4"/>
  <c r="AI429" i="4"/>
  <c r="AJ319" i="4"/>
  <c r="P319" i="4"/>
  <c r="AB319" i="4" s="1"/>
  <c r="AJ283" i="4"/>
  <c r="P283" i="4"/>
  <c r="AB283" i="4" s="1"/>
  <c r="AI383" i="4"/>
  <c r="AE321" i="4"/>
  <c r="AI291" i="4"/>
  <c r="AE259" i="4"/>
  <c r="AI387" i="4"/>
  <c r="AI427" i="4"/>
  <c r="AE226" i="4"/>
  <c r="AI226" i="4"/>
  <c r="AJ551" i="4"/>
  <c r="P551" i="4"/>
  <c r="AB551" i="4" s="1"/>
  <c r="AI414" i="4"/>
  <c r="AE328" i="4"/>
  <c r="AJ209" i="4"/>
  <c r="P209" i="4"/>
  <c r="AB209" i="4" s="1"/>
  <c r="AJ350" i="4"/>
  <c r="P350" i="4"/>
  <c r="AB350" i="4" s="1"/>
  <c r="AE231" i="4"/>
  <c r="AJ121" i="4"/>
  <c r="P121" i="4"/>
  <c r="AB121" i="4" s="1"/>
  <c r="AE404" i="4"/>
  <c r="AE299" i="4"/>
  <c r="P215" i="4"/>
  <c r="AB215" i="4" s="1"/>
  <c r="AJ215" i="4"/>
  <c r="AE278" i="4"/>
  <c r="P186" i="4"/>
  <c r="AB186" i="4" s="1"/>
  <c r="AJ186" i="4"/>
  <c r="AI121" i="4"/>
  <c r="P407" i="4"/>
  <c r="AB407" i="4" s="1"/>
  <c r="AJ407" i="4"/>
  <c r="AI342" i="4"/>
  <c r="AI206" i="4"/>
  <c r="AE33" i="4"/>
  <c r="AI4" i="4"/>
  <c r="AE62" i="4"/>
  <c r="AI14" i="4"/>
  <c r="P292" i="4"/>
  <c r="AB292" i="4" s="1"/>
  <c r="AJ292" i="4"/>
  <c r="AE164" i="4"/>
  <c r="AI79" i="4"/>
  <c r="B16" i="9"/>
  <c r="AJ2" i="4"/>
  <c r="P2" i="4"/>
  <c r="P84" i="4"/>
  <c r="AB84" i="4" s="1"/>
  <c r="AJ84" i="4"/>
  <c r="AI271" i="4"/>
  <c r="P108" i="4"/>
  <c r="AB108" i="4" s="1"/>
  <c r="AJ108" i="4"/>
  <c r="AI12" i="4"/>
  <c r="AE153" i="4"/>
  <c r="AE96" i="4"/>
  <c r="AI70" i="4"/>
  <c r="AE17" i="4"/>
  <c r="AJ82" i="4"/>
  <c r="P82" i="4"/>
  <c r="AB82" i="4" s="1"/>
  <c r="AI151" i="4"/>
  <c r="AE87" i="4"/>
  <c r="AI27" i="4"/>
  <c r="AJ44" i="4"/>
  <c r="P44" i="4"/>
  <c r="AB44" i="4" s="1"/>
  <c r="P49" i="4"/>
  <c r="AB49" i="4" s="1"/>
  <c r="AJ49" i="4"/>
  <c r="AI73" i="4"/>
  <c r="AJ135" i="4"/>
  <c r="P135" i="4"/>
  <c r="AB135" i="4" s="1"/>
  <c r="AJ78" i="4"/>
  <c r="P78" i="4"/>
  <c r="AB78" i="4" s="1"/>
  <c r="AJ42" i="4"/>
  <c r="P42" i="4"/>
  <c r="AB42" i="4" s="1"/>
  <c r="P83" i="4"/>
  <c r="AB83" i="4" s="1"/>
  <c r="AJ83" i="4"/>
  <c r="AJ967" i="4"/>
  <c r="P967" i="4"/>
  <c r="AB967" i="4" s="1"/>
  <c r="P966" i="4"/>
  <c r="AB966" i="4" s="1"/>
  <c r="AJ966" i="4"/>
  <c r="AE217" i="4"/>
  <c r="AE180" i="4"/>
  <c r="AJ71" i="4"/>
  <c r="AE47" i="4"/>
  <c r="AE995" i="4"/>
  <c r="AJ951" i="4"/>
  <c r="P951" i="4"/>
  <c r="AB951" i="4" s="1"/>
  <c r="AJ973" i="4"/>
  <c r="P973" i="4"/>
  <c r="AB973" i="4" s="1"/>
  <c r="V968" i="4"/>
  <c r="P950" i="4"/>
  <c r="AB950" i="4" s="1"/>
  <c r="AJ950" i="4"/>
  <c r="P965" i="4"/>
  <c r="AB965" i="4" s="1"/>
  <c r="AJ965" i="4"/>
  <c r="AJ1001" i="4"/>
  <c r="P1001" i="4"/>
  <c r="AB1001" i="4" s="1"/>
  <c r="AJ936" i="4"/>
  <c r="P936" i="4"/>
  <c r="AB936" i="4" s="1"/>
  <c r="AJ904" i="4"/>
  <c r="P904" i="4"/>
  <c r="AB904" i="4" s="1"/>
  <c r="AJ944" i="4"/>
  <c r="P944" i="4"/>
  <c r="AB944" i="4" s="1"/>
  <c r="AJ971" i="4"/>
  <c r="P971" i="4"/>
  <c r="AB971" i="4" s="1"/>
  <c r="AJ919" i="4"/>
  <c r="P919" i="4"/>
  <c r="AB919" i="4" s="1"/>
  <c r="V945" i="4"/>
  <c r="AE911" i="4"/>
  <c r="V958" i="4"/>
  <c r="AE902" i="4"/>
  <c r="AI927" i="4"/>
  <c r="AJ861" i="4"/>
  <c r="P861" i="4"/>
  <c r="AB861" i="4" s="1"/>
  <c r="AJ889" i="4"/>
  <c r="P889" i="4"/>
  <c r="AB889" i="4" s="1"/>
  <c r="AI916" i="4"/>
  <c r="AJ854" i="4"/>
  <c r="P854" i="4"/>
  <c r="AB854" i="4" s="1"/>
  <c r="Z829" i="4"/>
  <c r="AE894" i="4"/>
  <c r="AI852" i="4"/>
  <c r="AE840" i="4"/>
  <c r="AI851" i="4"/>
  <c r="AE870" i="4"/>
  <c r="AE811" i="4"/>
  <c r="AJ779" i="4"/>
  <c r="P779" i="4"/>
  <c r="AB779" i="4" s="1"/>
  <c r="AE834" i="4"/>
  <c r="AE831" i="4"/>
  <c r="AE801" i="4"/>
  <c r="AI847" i="4"/>
  <c r="AI829" i="4"/>
  <c r="AE850" i="4"/>
  <c r="AE807" i="4"/>
  <c r="AJ756" i="4"/>
  <c r="P756" i="4"/>
  <c r="AB756" i="4" s="1"/>
  <c r="AE855" i="4"/>
  <c r="AI796" i="4"/>
  <c r="AJ805" i="4"/>
  <c r="P805" i="4"/>
  <c r="AB805" i="4" s="1"/>
  <c r="V716" i="4"/>
  <c r="AJ761" i="4"/>
  <c r="P761" i="4"/>
  <c r="AB761" i="4" s="1"/>
  <c r="AE769" i="4"/>
  <c r="AE672" i="4"/>
  <c r="AE661" i="4"/>
  <c r="V724" i="4"/>
  <c r="AJ802" i="4"/>
  <c r="P802" i="4"/>
  <c r="AB802" i="4" s="1"/>
  <c r="P643" i="4"/>
  <c r="AB643" i="4" s="1"/>
  <c r="AJ643" i="4"/>
  <c r="AI659" i="4"/>
  <c r="P692" i="4"/>
  <c r="AB692" i="4" s="1"/>
  <c r="AJ692" i="4"/>
  <c r="P646" i="4"/>
  <c r="AB646" i="4" s="1"/>
  <c r="AJ646" i="4"/>
  <c r="AE762" i="4"/>
  <c r="V664" i="4"/>
  <c r="AE704" i="4"/>
  <c r="AJ669" i="4"/>
  <c r="P669" i="4"/>
  <c r="AB669" i="4" s="1"/>
  <c r="AE657" i="4"/>
  <c r="P615" i="4"/>
  <c r="AB615" i="4" s="1"/>
  <c r="AJ615" i="4"/>
  <c r="Y570" i="4"/>
  <c r="V570" i="4"/>
  <c r="AE620" i="4"/>
  <c r="Y506" i="4"/>
  <c r="V506" i="4"/>
  <c r="V511" i="4"/>
  <c r="V611" i="4"/>
  <c r="P622" i="4"/>
  <c r="AB622" i="4" s="1"/>
  <c r="AJ622" i="4"/>
  <c r="Y534" i="4"/>
  <c r="V534" i="4"/>
  <c r="AE416" i="4"/>
  <c r="AE559" i="4"/>
  <c r="AJ544" i="4"/>
  <c r="P544" i="4"/>
  <c r="AB544" i="4" s="1"/>
  <c r="AI611" i="4"/>
  <c r="P181" i="4"/>
  <c r="AB181" i="4" s="1"/>
  <c r="AJ181" i="4"/>
  <c r="AJ536" i="4"/>
  <c r="P536" i="4"/>
  <c r="AB536" i="4" s="1"/>
  <c r="AE563" i="4"/>
  <c r="AJ416" i="4"/>
  <c r="P416" i="4"/>
  <c r="AB416" i="4" s="1"/>
  <c r="AI431" i="4"/>
  <c r="AE356" i="4"/>
  <c r="AE504" i="4"/>
  <c r="AE454" i="4"/>
  <c r="AE594" i="4"/>
  <c r="AI575" i="4"/>
  <c r="AI447" i="4"/>
  <c r="P566" i="4"/>
  <c r="AB566" i="4" s="1"/>
  <c r="AJ566" i="4"/>
  <c r="AI605" i="4"/>
  <c r="AE525" i="4"/>
  <c r="P500" i="4"/>
  <c r="AB500" i="4" s="1"/>
  <c r="AJ500" i="4"/>
  <c r="AE539" i="4"/>
  <c r="AI507" i="4"/>
  <c r="AJ578" i="4"/>
  <c r="P578" i="4"/>
  <c r="AB578" i="4" s="1"/>
  <c r="AJ450" i="4"/>
  <c r="P450" i="4"/>
  <c r="AB450" i="4" s="1"/>
  <c r="AJ489" i="4"/>
  <c r="P489" i="4"/>
  <c r="AB489" i="4" s="1"/>
  <c r="AJ528" i="4"/>
  <c r="P528" i="4"/>
  <c r="AB528" i="4" s="1"/>
  <c r="AE494" i="4"/>
  <c r="AI604" i="4"/>
  <c r="AE508" i="4"/>
  <c r="AI476" i="4"/>
  <c r="AE515" i="4"/>
  <c r="AI467" i="4"/>
  <c r="AI506" i="4"/>
  <c r="AI513" i="4"/>
  <c r="AE339" i="4"/>
  <c r="AE434" i="4"/>
  <c r="AI338" i="4"/>
  <c r="AI279" i="4"/>
  <c r="AE381" i="4"/>
  <c r="AE343" i="4"/>
  <c r="AI317" i="4"/>
  <c r="P163" i="4"/>
  <c r="AB163" i="4" s="1"/>
  <c r="AJ163" i="4"/>
  <c r="AJ368" i="4"/>
  <c r="P368" i="4"/>
  <c r="AB368" i="4" s="1"/>
  <c r="AJ345" i="4"/>
  <c r="P345" i="4"/>
  <c r="AB345" i="4" s="1"/>
  <c r="P269" i="4"/>
  <c r="AB269" i="4" s="1"/>
  <c r="AJ269" i="4"/>
  <c r="AE431" i="4"/>
  <c r="AI236" i="4"/>
  <c r="AI435" i="4"/>
  <c r="AE443" i="4"/>
  <c r="AE406" i="4"/>
  <c r="AI442" i="4"/>
  <c r="AI318" i="4"/>
  <c r="AE276" i="4"/>
  <c r="AI222" i="4"/>
  <c r="AI471" i="4"/>
  <c r="AE366" i="4"/>
  <c r="AE385" i="4"/>
  <c r="P340" i="4"/>
  <c r="AB340" i="4" s="1"/>
  <c r="AJ340" i="4"/>
  <c r="AJ227" i="4"/>
  <c r="P227" i="4"/>
  <c r="AB227" i="4" s="1"/>
  <c r="P388" i="4"/>
  <c r="AB388" i="4" s="1"/>
  <c r="AJ388" i="4"/>
  <c r="AJ299" i="4"/>
  <c r="P299" i="4"/>
  <c r="AB299" i="4" s="1"/>
  <c r="AI145" i="4"/>
  <c r="AJ257" i="4"/>
  <c r="P257" i="4"/>
  <c r="AB257" i="4" s="1"/>
  <c r="AI252" i="4"/>
  <c r="AJ120" i="4"/>
  <c r="P120" i="4"/>
  <c r="AB120" i="4" s="1"/>
  <c r="AE375" i="4"/>
  <c r="AE342" i="4"/>
  <c r="AE138" i="4"/>
  <c r="AE57" i="4"/>
  <c r="AJ21" i="4"/>
  <c r="P21" i="4"/>
  <c r="AB21" i="4" s="1"/>
  <c r="J7" i="6"/>
  <c r="AJ50" i="4"/>
  <c r="P287" i="4"/>
  <c r="AB287" i="4" s="1"/>
  <c r="AJ287" i="4"/>
  <c r="AE105" i="4"/>
  <c r="P113" i="4"/>
  <c r="AB113" i="4" s="1"/>
  <c r="AJ113" i="4"/>
  <c r="F10" i="8"/>
  <c r="D52" i="5"/>
  <c r="G10" i="8"/>
  <c r="C52" i="5"/>
  <c r="D18" i="8"/>
  <c r="E10" i="8"/>
  <c r="B18" i="8"/>
  <c r="B10" i="8"/>
  <c r="D51" i="5"/>
  <c r="C51" i="5"/>
  <c r="C50" i="5"/>
  <c r="C18" i="8"/>
  <c r="D10" i="8"/>
  <c r="C10" i="8"/>
  <c r="AE255" i="4"/>
  <c r="AI128" i="4"/>
  <c r="AE60" i="4"/>
  <c r="AI36" i="4"/>
  <c r="AE994" i="4"/>
  <c r="P65" i="4"/>
  <c r="AB65" i="4" s="1"/>
  <c r="AJ65" i="4"/>
  <c r="AJ153" i="4"/>
  <c r="P153" i="4"/>
  <c r="AB153" i="4" s="1"/>
  <c r="AI89" i="4"/>
  <c r="AE41" i="4"/>
  <c r="P5" i="4"/>
  <c r="AB5" i="4" s="1"/>
  <c r="AJ5" i="4"/>
  <c r="AE22" i="4"/>
  <c r="AE151" i="4"/>
  <c r="P87" i="4"/>
  <c r="AB87" i="4" s="1"/>
  <c r="AJ87" i="4"/>
  <c r="AE63" i="4"/>
  <c r="AI210" i="4"/>
  <c r="AI168" i="4"/>
  <c r="AE106" i="4"/>
  <c r="AE228" i="4"/>
  <c r="AI99" i="4"/>
  <c r="AE32" i="4"/>
  <c r="AE54" i="4"/>
  <c r="AI13" i="4"/>
  <c r="AE35" i="4"/>
  <c r="AI248" i="4"/>
  <c r="AI88" i="4"/>
  <c r="AI64" i="4"/>
  <c r="AE999" i="4"/>
  <c r="Y989" i="4"/>
  <c r="V989" i="4"/>
  <c r="P997" i="4"/>
  <c r="AB997" i="4" s="1"/>
  <c r="AJ997" i="4"/>
  <c r="AI951" i="4"/>
  <c r="P217" i="4"/>
  <c r="AB217" i="4" s="1"/>
  <c r="AJ217" i="4"/>
  <c r="AJ18" i="4"/>
  <c r="P18" i="4"/>
  <c r="AB18" i="4" s="1"/>
  <c r="AE949" i="4"/>
  <c r="AI949" i="4"/>
  <c r="AJ943" i="4"/>
  <c r="P943" i="4"/>
  <c r="AB943" i="4" s="1"/>
  <c r="V959" i="4"/>
  <c r="AI893" i="4"/>
  <c r="AI969" i="4"/>
  <c r="AI976" i="4"/>
  <c r="AI955" i="4"/>
  <c r="AE905" i="4"/>
  <c r="V920" i="4"/>
  <c r="AE910" i="4"/>
  <c r="AE883" i="4"/>
  <c r="AJ927" i="4"/>
  <c r="P927" i="4"/>
  <c r="AB927" i="4" s="1"/>
  <c r="V887" i="4"/>
  <c r="AE832" i="4"/>
  <c r="P896" i="4"/>
  <c r="AB896" i="4" s="1"/>
  <c r="AJ896" i="4"/>
  <c r="P869" i="4"/>
  <c r="AB869" i="4" s="1"/>
  <c r="AJ869" i="4"/>
  <c r="P937" i="4"/>
  <c r="AB937" i="4" s="1"/>
  <c r="AJ937" i="4"/>
  <c r="AE928" i="4"/>
  <c r="Y859" i="4"/>
  <c r="V859" i="4"/>
  <c r="AE823" i="4"/>
  <c r="AI840" i="4"/>
  <c r="AE819" i="4"/>
  <c r="AI783" i="4"/>
  <c r="AI819" i="4"/>
  <c r="AE837" i="4"/>
  <c r="AI925" i="4"/>
  <c r="AE777" i="4"/>
  <c r="AI817" i="4"/>
  <c r="AI804" i="4"/>
  <c r="V795" i="4"/>
  <c r="AI827" i="4"/>
  <c r="V839" i="4"/>
  <c r="AE754" i="4"/>
  <c r="P700" i="4"/>
  <c r="AB700" i="4" s="1"/>
  <c r="AJ700" i="4"/>
  <c r="V659" i="4"/>
  <c r="P755" i="4"/>
  <c r="AB755" i="4" s="1"/>
  <c r="AJ755" i="4"/>
  <c r="AE714" i="4"/>
  <c r="AI693" i="4"/>
  <c r="AI802" i="4"/>
  <c r="AI757" i="4"/>
  <c r="P738" i="4"/>
  <c r="AB738" i="4" s="1"/>
  <c r="AJ738" i="4"/>
  <c r="V713" i="4"/>
  <c r="V692" i="4"/>
  <c r="V722" i="4"/>
  <c r="V735" i="4"/>
  <c r="V718" i="4"/>
  <c r="P747" i="4"/>
  <c r="AB747" i="4" s="1"/>
  <c r="AJ747" i="4"/>
  <c r="AE711" i="4"/>
  <c r="AE682" i="4"/>
  <c r="AI649" i="4"/>
  <c r="AE679" i="4"/>
  <c r="P657" i="4"/>
  <c r="AB657" i="4" s="1"/>
  <c r="AJ657" i="4"/>
  <c r="Y560" i="4"/>
  <c r="V560" i="4"/>
  <c r="AI706" i="4"/>
  <c r="V695" i="4"/>
  <c r="AE531" i="4"/>
  <c r="AJ199" i="4"/>
  <c r="P199" i="4"/>
  <c r="AB199" i="4" s="1"/>
  <c r="AE354" i="4"/>
  <c r="AE283" i="4"/>
  <c r="AE200" i="4"/>
  <c r="AI584" i="4"/>
  <c r="P593" i="4"/>
  <c r="AB593" i="4" s="1"/>
  <c r="AJ593" i="4"/>
  <c r="P525" i="4"/>
  <c r="AB525" i="4" s="1"/>
  <c r="AJ525" i="4"/>
  <c r="AJ539" i="4"/>
  <c r="P539" i="4"/>
  <c r="AB539" i="4" s="1"/>
  <c r="AE546" i="4"/>
  <c r="AE457" i="4"/>
  <c r="AE496" i="4"/>
  <c r="AJ549" i="4"/>
  <c r="P549" i="4"/>
  <c r="AB549" i="4" s="1"/>
  <c r="P508" i="4"/>
  <c r="AB508" i="4" s="1"/>
  <c r="AJ508" i="4"/>
  <c r="P499" i="4"/>
  <c r="AB499" i="4" s="1"/>
  <c r="AJ499" i="4"/>
  <c r="P538" i="4"/>
  <c r="AB538" i="4" s="1"/>
  <c r="AJ538" i="4"/>
  <c r="P545" i="4"/>
  <c r="AB545" i="4" s="1"/>
  <c r="AJ545" i="4"/>
  <c r="AJ336" i="4"/>
  <c r="P336" i="4"/>
  <c r="AB336" i="4" s="1"/>
  <c r="AE139" i="4"/>
  <c r="AE373" i="4"/>
  <c r="AE279" i="4"/>
  <c r="AE173" i="4"/>
  <c r="AE429" i="4"/>
  <c r="P381" i="4"/>
  <c r="AB381" i="4" s="1"/>
  <c r="AJ381" i="4"/>
  <c r="AJ335" i="4"/>
  <c r="P335" i="4"/>
  <c r="AB335" i="4" s="1"/>
  <c r="AJ262" i="4"/>
  <c r="P262" i="4"/>
  <c r="AB262" i="4" s="1"/>
  <c r="AJ424" i="4"/>
  <c r="P424" i="4"/>
  <c r="AB424" i="4" s="1"/>
  <c r="AE408" i="4"/>
  <c r="AE383" i="4"/>
  <c r="AE291" i="4"/>
  <c r="AE236" i="4"/>
  <c r="AE387" i="4"/>
  <c r="AE230" i="4"/>
  <c r="P443" i="4"/>
  <c r="AB443" i="4" s="1"/>
  <c r="AJ443" i="4"/>
  <c r="AE395" i="4"/>
  <c r="P374" i="4"/>
  <c r="AB374" i="4" s="1"/>
  <c r="AJ374" i="4"/>
  <c r="P195" i="4"/>
  <c r="AB195" i="4" s="1"/>
  <c r="AJ195" i="4"/>
  <c r="AE347" i="4"/>
  <c r="AE318" i="4"/>
  <c r="AE222" i="4"/>
  <c r="P503" i="4"/>
  <c r="AB503" i="4" s="1"/>
  <c r="AJ503" i="4"/>
  <c r="AE414" i="4"/>
  <c r="AJ366" i="4"/>
  <c r="P366" i="4"/>
  <c r="AB366" i="4" s="1"/>
  <c r="AE295" i="4"/>
  <c r="AI209" i="4"/>
  <c r="AE446" i="4"/>
  <c r="AE433" i="4"/>
  <c r="AJ369" i="4"/>
  <c r="P369" i="4"/>
  <c r="AB369" i="4" s="1"/>
  <c r="AE322" i="4"/>
  <c r="P436" i="4"/>
  <c r="AB436" i="4" s="1"/>
  <c r="AJ436" i="4"/>
  <c r="AE123" i="4"/>
  <c r="AE364" i="4"/>
  <c r="AE252" i="4"/>
  <c r="P359" i="4"/>
  <c r="AB359" i="4" s="1"/>
  <c r="AJ359" i="4"/>
  <c r="AJ326" i="4"/>
  <c r="P326" i="4"/>
  <c r="AB326" i="4" s="1"/>
  <c r="AJ196" i="4"/>
  <c r="P196" i="4"/>
  <c r="AB196" i="4" s="1"/>
  <c r="AE178" i="4"/>
  <c r="P57" i="4"/>
  <c r="AB57" i="4" s="1"/>
  <c r="AJ57" i="4"/>
  <c r="AE4" i="4"/>
  <c r="AI287" i="4"/>
  <c r="P105" i="4"/>
  <c r="AB105" i="4" s="1"/>
  <c r="AJ105" i="4"/>
  <c r="AE14" i="4"/>
  <c r="AE79" i="4"/>
  <c r="D19" i="8"/>
  <c r="F11" i="8"/>
  <c r="G11" i="8"/>
  <c r="E11" i="8"/>
  <c r="D11" i="8"/>
  <c r="C19" i="8"/>
  <c r="B11" i="8"/>
  <c r="C11" i="8"/>
  <c r="AJ53" i="4"/>
  <c r="P53" i="4"/>
  <c r="AB53" i="4" s="1"/>
  <c r="AE12" i="4"/>
  <c r="AE70" i="4"/>
  <c r="AJ41" i="4"/>
  <c r="P41" i="4"/>
  <c r="AB41" i="4" s="1"/>
  <c r="P51" i="4"/>
  <c r="AB51" i="4" s="1"/>
  <c r="AJ51" i="4"/>
  <c r="AE27" i="4"/>
  <c r="AJ106" i="4"/>
  <c r="P106" i="4"/>
  <c r="AB106" i="4" s="1"/>
  <c r="AJ129" i="4"/>
  <c r="P129" i="4"/>
  <c r="AB129" i="4" s="1"/>
  <c r="AJ20" i="4"/>
  <c r="P20" i="4"/>
  <c r="AB20" i="4" s="1"/>
  <c r="AE73" i="4"/>
  <c r="AJ30" i="4"/>
  <c r="AE23" i="4"/>
  <c r="P76" i="4"/>
  <c r="AB76" i="4" s="1"/>
  <c r="AJ76" i="4"/>
  <c r="AE983" i="4"/>
  <c r="AE990" i="4"/>
  <c r="AE112" i="4"/>
  <c r="AI988" i="4"/>
  <c r="AJ948" i="4"/>
  <c r="P948" i="4"/>
  <c r="AB948" i="4" s="1"/>
  <c r="AJ958" i="4"/>
  <c r="P958" i="4"/>
  <c r="AB958" i="4" s="1"/>
  <c r="AE981" i="4"/>
  <c r="P964" i="4"/>
  <c r="AB964" i="4" s="1"/>
  <c r="AJ964" i="4"/>
  <c r="AI970" i="4"/>
  <c r="AI914" i="4"/>
  <c r="AI919" i="4"/>
  <c r="AI933" i="4"/>
  <c r="AJ909" i="4"/>
  <c r="P909" i="4"/>
  <c r="AB909" i="4" s="1"/>
  <c r="P945" i="4"/>
  <c r="AB945" i="4" s="1"/>
  <c r="AJ945" i="4"/>
  <c r="AI901" i="4"/>
  <c r="V922" i="4"/>
  <c r="AE896" i="4"/>
  <c r="AE873" i="4"/>
  <c r="AJ903" i="4"/>
  <c r="P903" i="4"/>
  <c r="AB903" i="4" s="1"/>
  <c r="P867" i="4"/>
  <c r="AB867" i="4" s="1"/>
  <c r="AJ867" i="4"/>
  <c r="AE842" i="4"/>
  <c r="AJ865" i="4"/>
  <c r="P865" i="4"/>
  <c r="AB865" i="4" s="1"/>
  <c r="AJ887" i="4"/>
  <c r="P887" i="4"/>
  <c r="AB887" i="4" s="1"/>
  <c r="AE876" i="4"/>
  <c r="AJ858" i="4"/>
  <c r="P858" i="4"/>
  <c r="AB858" i="4" s="1"/>
  <c r="V867" i="4"/>
  <c r="P826" i="4"/>
  <c r="AB826" i="4" s="1"/>
  <c r="AJ826" i="4"/>
  <c r="P839" i="4"/>
  <c r="AB839" i="4" s="1"/>
  <c r="AJ839" i="4"/>
  <c r="AI855" i="4"/>
  <c r="AE863" i="4"/>
  <c r="AJ818" i="4"/>
  <c r="P818" i="4"/>
  <c r="AB818" i="4" s="1"/>
  <c r="AJ831" i="4"/>
  <c r="P831" i="4"/>
  <c r="AB831" i="4" s="1"/>
  <c r="AJ880" i="4"/>
  <c r="P880" i="4"/>
  <c r="AB880" i="4" s="1"/>
  <c r="AJ768" i="4"/>
  <c r="P768" i="4"/>
  <c r="AB768" i="4" s="1"/>
  <c r="V800" i="4"/>
  <c r="AJ793" i="4"/>
  <c r="P793" i="4"/>
  <c r="AB793" i="4" s="1"/>
  <c r="V814" i="4"/>
  <c r="V831" i="4"/>
  <c r="P781" i="4"/>
  <c r="AB781" i="4" s="1"/>
  <c r="AJ781" i="4"/>
  <c r="V731" i="4"/>
  <c r="AE765" i="4"/>
  <c r="P740" i="4"/>
  <c r="AB740" i="4" s="1"/>
  <c r="AJ740" i="4"/>
  <c r="AE780" i="4"/>
  <c r="V760" i="4"/>
  <c r="AE731" i="4"/>
  <c r="AI761" i="4"/>
  <c r="AE693" i="4"/>
  <c r="AI720" i="4"/>
  <c r="V699" i="4"/>
  <c r="P745" i="4"/>
  <c r="AB745" i="4" s="1"/>
  <c r="AJ745" i="4"/>
  <c r="V787" i="4"/>
  <c r="P767" i="4"/>
  <c r="AB767" i="4" s="1"/>
  <c r="AJ767" i="4"/>
  <c r="AE652" i="4"/>
  <c r="AJ640" i="4"/>
  <c r="P640" i="4"/>
  <c r="AB640" i="4" s="1"/>
  <c r="AI612" i="4"/>
  <c r="AE648" i="4"/>
  <c r="AI660" i="4"/>
  <c r="AE654" i="4"/>
  <c r="AE622" i="4"/>
  <c r="P617" i="4"/>
  <c r="AB617" i="4" s="1"/>
  <c r="AJ617" i="4"/>
  <c r="V565" i="4"/>
  <c r="AI625" i="4"/>
  <c r="AJ383" i="4"/>
  <c r="P383" i="4"/>
  <c r="AB383" i="4" s="1"/>
  <c r="V346" i="4"/>
  <c r="V459" i="4"/>
  <c r="P341" i="4"/>
  <c r="AB341" i="4" s="1"/>
  <c r="AJ341" i="4"/>
  <c r="AJ322" i="4"/>
  <c r="P322" i="4"/>
  <c r="AB322" i="4" s="1"/>
  <c r="AE336" i="4"/>
  <c r="AI251" i="4"/>
  <c r="AE304" i="4"/>
  <c r="V154" i="4"/>
  <c r="V227" i="4"/>
  <c r="V73" i="4"/>
  <c r="V432" i="4"/>
  <c r="V460" i="4"/>
  <c r="AJ415" i="4"/>
  <c r="P415" i="4"/>
  <c r="AB415" i="4" s="1"/>
  <c r="AJ357" i="4"/>
  <c r="P357" i="4"/>
  <c r="AB357" i="4" s="1"/>
  <c r="V402" i="4"/>
  <c r="V412" i="4"/>
  <c r="V308" i="4"/>
  <c r="AE320" i="4"/>
  <c r="Y307" i="4"/>
  <c r="V307" i="4"/>
  <c r="V188" i="4"/>
  <c r="AE282" i="4"/>
  <c r="AE221" i="4"/>
  <c r="V136" i="4"/>
  <c r="V13" i="4"/>
  <c r="AE149" i="4"/>
  <c r="V62" i="4"/>
  <c r="V100" i="4"/>
  <c r="Y406" i="4"/>
  <c r="V406" i="4"/>
  <c r="AE432" i="4"/>
  <c r="V351" i="4"/>
  <c r="AE400" i="4"/>
  <c r="AE272" i="4"/>
  <c r="AE125" i="4"/>
  <c r="AE177" i="4"/>
  <c r="Y185" i="4"/>
  <c r="V185" i="4"/>
  <c r="AE133" i="4"/>
  <c r="V120" i="4"/>
  <c r="V2" i="4"/>
  <c r="AE767" i="4"/>
  <c r="AI697" i="4"/>
  <c r="V630" i="4"/>
  <c r="AJ710" i="4"/>
  <c r="P710" i="4"/>
  <c r="AB710" i="4" s="1"/>
  <c r="AI676" i="4"/>
  <c r="AI655" i="4"/>
  <c r="AJ703" i="4"/>
  <c r="P703" i="4"/>
  <c r="AB703" i="4" s="1"/>
  <c r="AI632" i="4"/>
  <c r="V669" i="4"/>
  <c r="V553" i="4"/>
  <c r="V649" i="4"/>
  <c r="V618" i="4"/>
  <c r="V514" i="4"/>
  <c r="V454" i="4"/>
  <c r="V461" i="4"/>
  <c r="V343" i="4"/>
  <c r="V348" i="4"/>
  <c r="V433" i="4"/>
  <c r="V276" i="4"/>
  <c r="V342" i="4"/>
  <c r="V318" i="4"/>
  <c r="V335" i="4"/>
  <c r="AE253" i="4"/>
  <c r="P176" i="4"/>
  <c r="AB176" i="4" s="1"/>
  <c r="AJ176" i="4"/>
  <c r="V235" i="4"/>
  <c r="V131" i="4"/>
  <c r="V93" i="4"/>
  <c r="V79" i="4"/>
  <c r="V122" i="4"/>
  <c r="V421" i="4"/>
  <c r="AJ306" i="4"/>
  <c r="P306" i="4"/>
  <c r="AB306" i="4" s="1"/>
  <c r="AI327" i="4"/>
  <c r="AI211" i="4"/>
  <c r="V320" i="4"/>
  <c r="V270" i="4"/>
  <c r="AJ198" i="4"/>
  <c r="P198" i="4"/>
  <c r="AB198" i="4" s="1"/>
  <c r="AJ266" i="4"/>
  <c r="P266" i="4"/>
  <c r="AB266" i="4" s="1"/>
  <c r="AJ250" i="4"/>
  <c r="P250" i="4"/>
  <c r="AB250" i="4" s="1"/>
  <c r="AJ222" i="4"/>
  <c r="P222" i="4"/>
  <c r="AB222" i="4" s="1"/>
  <c r="AE225" i="4"/>
  <c r="AI213" i="4"/>
  <c r="V6" i="4"/>
  <c r="Y6" i="4"/>
  <c r="AI642" i="4"/>
  <c r="V686" i="4"/>
  <c r="V528" i="4"/>
  <c r="V366" i="4"/>
  <c r="P389" i="4"/>
  <c r="AB389" i="4" s="1"/>
  <c r="AJ389" i="4"/>
  <c r="AE256" i="4"/>
  <c r="P171" i="4"/>
  <c r="AB171" i="4" s="1"/>
  <c r="AJ171" i="4"/>
  <c r="AE145" i="4"/>
  <c r="AI187" i="4"/>
  <c r="V186" i="4"/>
  <c r="AE209" i="4"/>
  <c r="P144" i="4"/>
  <c r="AB144" i="4" s="1"/>
  <c r="AJ144" i="4"/>
  <c r="AE240" i="4"/>
  <c r="P660" i="4"/>
  <c r="AB660" i="4" s="1"/>
  <c r="AJ660" i="4"/>
  <c r="AE689" i="4"/>
  <c r="V492" i="4"/>
  <c r="V469" i="4"/>
  <c r="Y422" i="4"/>
  <c r="V422" i="4"/>
  <c r="V416" i="4"/>
  <c r="AI434" i="4"/>
  <c r="V418" i="4"/>
  <c r="V359" i="4"/>
  <c r="Y352" i="4"/>
  <c r="V352" i="4"/>
  <c r="V431" i="4"/>
  <c r="V401" i="4"/>
  <c r="V314" i="4"/>
  <c r="V258" i="4"/>
  <c r="AI335" i="4"/>
  <c r="AE193" i="4"/>
  <c r="V218" i="4"/>
  <c r="AJ140" i="4"/>
  <c r="P140" i="4"/>
  <c r="AB140" i="4" s="1"/>
  <c r="V190" i="4"/>
  <c r="V177" i="4"/>
  <c r="V25" i="4"/>
  <c r="Y22" i="4"/>
  <c r="V22" i="4"/>
  <c r="B21" i="9"/>
  <c r="D21" i="9" s="1"/>
  <c r="A5" i="7"/>
  <c r="A76" i="3"/>
  <c r="Z67" i="4"/>
  <c r="V114" i="4"/>
  <c r="AI154" i="4"/>
  <c r="AJ155" i="4"/>
  <c r="P155" i="4"/>
  <c r="AB155" i="4" s="1"/>
  <c r="AE266" i="4"/>
  <c r="AE250" i="4"/>
  <c r="X2" i="4"/>
  <c r="V21" i="4"/>
  <c r="AE698" i="4"/>
  <c r="AJ664" i="4"/>
  <c r="P664" i="4"/>
  <c r="AB664" i="4" s="1"/>
  <c r="AE649" i="4"/>
  <c r="AJ647" i="4"/>
  <c r="P647" i="4"/>
  <c r="AB647" i="4" s="1"/>
  <c r="V577" i="4"/>
  <c r="AJ642" i="4"/>
  <c r="P642" i="4"/>
  <c r="AB642" i="4" s="1"/>
  <c r="V689" i="4"/>
  <c r="P674" i="4"/>
  <c r="AB674" i="4" s="1"/>
  <c r="AJ674" i="4"/>
  <c r="V556" i="4"/>
  <c r="V504" i="4"/>
  <c r="V453" i="4"/>
  <c r="P373" i="4"/>
  <c r="AB373" i="4" s="1"/>
  <c r="AJ373" i="4"/>
  <c r="V404" i="4"/>
  <c r="V233" i="4"/>
  <c r="V255" i="4"/>
  <c r="AJ282" i="4"/>
  <c r="P282" i="4"/>
  <c r="AB282" i="4" s="1"/>
  <c r="AE288" i="4"/>
  <c r="V260" i="4"/>
  <c r="V302" i="4"/>
  <c r="V282" i="4"/>
  <c r="Z167" i="4"/>
  <c r="V242" i="4"/>
  <c r="AI117" i="4"/>
  <c r="V206" i="4"/>
  <c r="V72" i="4"/>
  <c r="V15" i="4"/>
  <c r="P719" i="4"/>
  <c r="AB719" i="4" s="1"/>
  <c r="AJ719" i="4"/>
  <c r="AE618" i="4"/>
  <c r="V710" i="4"/>
  <c r="V712" i="4"/>
  <c r="AI640" i="4"/>
  <c r="V704" i="4"/>
  <c r="AE627" i="4"/>
  <c r="V681" i="4"/>
  <c r="P623" i="4"/>
  <c r="AB623" i="4" s="1"/>
  <c r="AJ623" i="4"/>
  <c r="AI647" i="4"/>
  <c r="V550" i="4"/>
  <c r="V584" i="4"/>
  <c r="AI622" i="4"/>
  <c r="AE674" i="4"/>
  <c r="AJ613" i="4"/>
  <c r="P613" i="4"/>
  <c r="AB613" i="4" s="1"/>
  <c r="P686" i="4"/>
  <c r="AB686" i="4" s="1"/>
  <c r="AJ686" i="4"/>
  <c r="AE625" i="4"/>
  <c r="V580" i="4"/>
  <c r="V538" i="4"/>
  <c r="P437" i="4"/>
  <c r="AB437" i="4" s="1"/>
  <c r="AJ437" i="4"/>
  <c r="AI402" i="4"/>
  <c r="V407" i="4"/>
  <c r="AJ431" i="4"/>
  <c r="P431" i="4"/>
  <c r="AB431" i="4" s="1"/>
  <c r="V405" i="4"/>
  <c r="V313" i="4"/>
  <c r="AI204" i="4"/>
  <c r="V280" i="4"/>
  <c r="V204" i="4"/>
  <c r="Z264" i="4"/>
  <c r="V170" i="4"/>
  <c r="P116" i="4"/>
  <c r="AB116" i="4" s="1"/>
  <c r="AJ116" i="4"/>
  <c r="V59" i="4"/>
  <c r="V20" i="4"/>
  <c r="V39" i="4"/>
  <c r="AE384" i="4"/>
  <c r="V447" i="4"/>
  <c r="V254" i="4"/>
  <c r="AI290" i="4"/>
  <c r="V215" i="4"/>
  <c r="AI165" i="4"/>
  <c r="AE201" i="4"/>
  <c r="AE140" i="4"/>
  <c r="V152" i="4"/>
  <c r="AE161" i="4"/>
  <c r="V290" i="4"/>
  <c r="AE120" i="4"/>
  <c r="V116" i="4"/>
  <c r="V12" i="4"/>
  <c r="V5" i="4"/>
  <c r="AE440" i="4"/>
  <c r="V368" i="4"/>
  <c r="Y259" i="4"/>
  <c r="V259" i="4"/>
  <c r="AE281" i="4"/>
  <c r="Y202" i="4"/>
  <c r="V202" i="4"/>
  <c r="P187" i="4"/>
  <c r="AB187" i="4" s="1"/>
  <c r="AJ187" i="4"/>
  <c r="V133" i="4"/>
  <c r="V63" i="4"/>
  <c r="V94" i="4"/>
  <c r="AJ123" i="4"/>
  <c r="P123" i="4"/>
  <c r="AB123" i="4" s="1"/>
  <c r="V10" i="4"/>
  <c r="P691" i="4"/>
  <c r="AB691" i="4" s="1"/>
  <c r="AJ691" i="4"/>
  <c r="AI704" i="4"/>
  <c r="AE676" i="4"/>
  <c r="V562" i="4"/>
  <c r="AI663" i="4"/>
  <c r="AI689" i="4"/>
  <c r="P614" i="4"/>
  <c r="AB614" i="4" s="1"/>
  <c r="AJ614" i="4"/>
  <c r="AI674" i="4"/>
  <c r="V600" i="4"/>
  <c r="AI686" i="4"/>
  <c r="V518" i="4"/>
  <c r="V524" i="4"/>
  <c r="V497" i="4"/>
  <c r="V470" i="4"/>
  <c r="V508" i="4"/>
  <c r="V465" i="4"/>
  <c r="V370" i="4"/>
  <c r="V360" i="4"/>
  <c r="V358" i="4"/>
  <c r="AE368" i="4"/>
  <c r="V344" i="4"/>
  <c r="V322" i="4"/>
  <c r="V223" i="4"/>
  <c r="V275" i="4"/>
  <c r="V161" i="4"/>
  <c r="AI186" i="4"/>
  <c r="V182" i="4"/>
  <c r="AI133" i="4"/>
  <c r="V240" i="4"/>
  <c r="J22" i="6"/>
  <c r="V18" i="4"/>
  <c r="V98" i="4"/>
  <c r="V123" i="4"/>
  <c r="V90" i="4"/>
  <c r="V622" i="4"/>
  <c r="V590" i="4"/>
  <c r="V532" i="4"/>
  <c r="AJ399" i="4"/>
  <c r="P399" i="4"/>
  <c r="AB399" i="4" s="1"/>
  <c r="V341" i="4"/>
  <c r="P405" i="4"/>
  <c r="AB405" i="4" s="1"/>
  <c r="AJ405" i="4"/>
  <c r="V303" i="4"/>
  <c r="AE218" i="4"/>
  <c r="AE224" i="4"/>
  <c r="AI173" i="4"/>
  <c r="AI215" i="4"/>
  <c r="V181" i="4"/>
  <c r="AE181" i="4"/>
  <c r="V158" i="4"/>
  <c r="AJ139" i="4"/>
  <c r="P139" i="4"/>
  <c r="AB139" i="4" s="1"/>
  <c r="B23" i="9"/>
  <c r="D23" i="9" s="1"/>
  <c r="B26" i="8"/>
  <c r="D9" i="5"/>
  <c r="D7" i="5"/>
  <c r="C9" i="5"/>
  <c r="C7" i="5"/>
  <c r="D21" i="8"/>
  <c r="C21" i="8"/>
  <c r="D8" i="5"/>
  <c r="C8" i="5"/>
  <c r="C6" i="5"/>
  <c r="W2" i="4"/>
  <c r="C35" i="5"/>
  <c r="C31" i="5"/>
  <c r="C32" i="5"/>
  <c r="Y2" i="4"/>
  <c r="V107" i="4"/>
  <c r="AE163" i="4"/>
  <c r="V56" i="4"/>
  <c r="V113" i="4"/>
  <c r="V26" i="4"/>
  <c r="V76" i="4"/>
  <c r="AJ131" i="4"/>
  <c r="P131" i="4"/>
  <c r="AB131" i="4" s="1"/>
  <c r="AA2" i="4"/>
  <c r="V61" i="4"/>
  <c r="V77" i="4"/>
  <c r="E12" i="6" s="1"/>
  <c r="V17" i="4"/>
  <c r="V103" i="4"/>
  <c r="V60" i="4"/>
  <c r="B22" i="6" l="1"/>
  <c r="B19" i="8"/>
  <c r="K7" i="6"/>
  <c r="J25" i="6"/>
  <c r="I26" i="6"/>
  <c r="J8" i="6"/>
  <c r="B20" i="8"/>
  <c r="H16" i="6"/>
  <c r="P862" i="4"/>
  <c r="AB862" i="4" s="1"/>
  <c r="AJ862" i="4"/>
  <c r="P960" i="4"/>
  <c r="AB960" i="4" s="1"/>
  <c r="AJ960" i="4"/>
  <c r="P749" i="4"/>
  <c r="AB749" i="4" s="1"/>
  <c r="AJ749" i="4"/>
  <c r="AI904" i="4"/>
  <c r="V868" i="4"/>
  <c r="D23" i="5"/>
  <c r="B22" i="9"/>
  <c r="D22" i="9" s="1"/>
  <c r="C33" i="5"/>
  <c r="B21" i="8"/>
  <c r="J24" i="6"/>
  <c r="I9" i="6"/>
  <c r="K28" i="6"/>
  <c r="J13" i="6"/>
  <c r="B18" i="3"/>
  <c r="K16" i="6"/>
  <c r="V824" i="4"/>
  <c r="AE793" i="4"/>
  <c r="V801" i="4"/>
  <c r="AE865" i="4"/>
  <c r="AJ961" i="4"/>
  <c r="P961" i="4"/>
  <c r="AB961" i="4" s="1"/>
  <c r="AJ837" i="4"/>
  <c r="P837" i="4"/>
  <c r="AB837" i="4" s="1"/>
  <c r="P988" i="4"/>
  <c r="AB988" i="4" s="1"/>
  <c r="AJ988" i="4"/>
  <c r="P924" i="4"/>
  <c r="AB924" i="4" s="1"/>
  <c r="AJ924" i="4"/>
  <c r="AJ895" i="4"/>
  <c r="P895" i="4"/>
  <c r="AB895" i="4" s="1"/>
  <c r="P963" i="4"/>
  <c r="AB963" i="4" s="1"/>
  <c r="AJ963" i="4"/>
  <c r="P757" i="4"/>
  <c r="AB757" i="4" s="1"/>
  <c r="AJ757" i="4"/>
  <c r="V788" i="4"/>
  <c r="AJ853" i="4"/>
  <c r="P853" i="4"/>
  <c r="AB853" i="4" s="1"/>
  <c r="AJ922" i="4"/>
  <c r="P922" i="4"/>
  <c r="AB922" i="4" s="1"/>
  <c r="K24" i="6"/>
  <c r="H11" i="6"/>
  <c r="I5" i="6"/>
  <c r="AJ972" i="4"/>
  <c r="P972" i="4"/>
  <c r="AB972" i="4" s="1"/>
  <c r="AJ979" i="4"/>
  <c r="P979" i="4"/>
  <c r="AB979" i="4" s="1"/>
  <c r="P843" i="4"/>
  <c r="AB843" i="4" s="1"/>
  <c r="AJ843" i="4"/>
  <c r="AJ994" i="4"/>
  <c r="P994" i="4"/>
  <c r="AB994" i="4" s="1"/>
  <c r="J26" i="6"/>
  <c r="K20" i="6"/>
  <c r="K21" i="6"/>
  <c r="H26" i="6"/>
  <c r="B25" i="10"/>
  <c r="P34" i="4" s="1"/>
  <c r="AB34" i="4" s="1"/>
  <c r="J10" i="6"/>
  <c r="I11" i="6"/>
  <c r="K8" i="6"/>
  <c r="H24" i="6"/>
  <c r="E5" i="8"/>
  <c r="K11" i="6"/>
  <c r="C20" i="8"/>
  <c r="P885" i="4"/>
  <c r="AB885" i="4" s="1"/>
  <c r="AJ885" i="4"/>
  <c r="V949" i="4"/>
  <c r="Y949" i="4"/>
  <c r="V738" i="4"/>
  <c r="B28" i="8" s="1"/>
  <c r="AE788" i="4"/>
  <c r="AE825" i="4"/>
  <c r="B24" i="10"/>
  <c r="D33" i="5"/>
  <c r="H33" i="5" s="1"/>
  <c r="D35" i="5"/>
  <c r="J14" i="6"/>
  <c r="I28" i="6"/>
  <c r="H21" i="6"/>
  <c r="I23" i="6"/>
  <c r="F5" i="8"/>
  <c r="J12" i="6"/>
  <c r="AE986" i="4"/>
  <c r="AJ987" i="4"/>
  <c r="P987" i="4"/>
  <c r="AB987" i="4" s="1"/>
  <c r="AI868" i="4"/>
  <c r="V763" i="4"/>
  <c r="E8" i="6" s="1"/>
  <c r="AI770" i="4"/>
  <c r="AJ989" i="4"/>
  <c r="P989" i="4"/>
  <c r="AB989" i="4" s="1"/>
  <c r="AI793" i="4"/>
  <c r="J28" i="6"/>
  <c r="G5" i="8"/>
  <c r="C23" i="5"/>
  <c r="J16" i="6"/>
  <c r="K6" i="6"/>
  <c r="H10" i="6"/>
  <c r="H27" i="6"/>
  <c r="H23" i="6"/>
  <c r="B5" i="8"/>
  <c r="E6" i="8"/>
  <c r="AJ991" i="4"/>
  <c r="P991" i="4"/>
  <c r="AB991" i="4" s="1"/>
  <c r="P917" i="4"/>
  <c r="AB917" i="4" s="1"/>
  <c r="AJ917" i="4"/>
  <c r="AJ871" i="4"/>
  <c r="P871" i="4"/>
  <c r="AB871" i="4" s="1"/>
  <c r="V883" i="4"/>
  <c r="B14" i="6"/>
  <c r="D14" i="6" s="1"/>
  <c r="H28" i="6"/>
  <c r="H6" i="6"/>
  <c r="K14" i="6"/>
  <c r="K10" i="6"/>
  <c r="K27" i="6"/>
  <c r="K23" i="6"/>
  <c r="C5" i="8"/>
  <c r="G6" i="8"/>
  <c r="P852" i="4"/>
  <c r="AB852" i="4" s="1"/>
  <c r="AJ852" i="4"/>
  <c r="V960" i="4"/>
  <c r="AE982" i="4"/>
  <c r="V853" i="4"/>
  <c r="E27" i="6" s="1"/>
  <c r="AE954" i="4"/>
  <c r="D34" i="5"/>
  <c r="D6" i="5"/>
  <c r="D10" i="5" s="1"/>
  <c r="E10" i="5" s="1"/>
  <c r="J19" i="6"/>
  <c r="I16" i="6"/>
  <c r="K25" i="6"/>
  <c r="D50" i="5"/>
  <c r="H14" i="6"/>
  <c r="D5" i="8"/>
  <c r="B6" i="8"/>
  <c r="V983" i="4"/>
  <c r="AJ864" i="4"/>
  <c r="P864" i="4"/>
  <c r="AB864" i="4" s="1"/>
  <c r="AJ907" i="4"/>
  <c r="P907" i="4"/>
  <c r="AB907" i="4" s="1"/>
  <c r="P892" i="4"/>
  <c r="AB892" i="4" s="1"/>
  <c r="AJ892" i="4"/>
  <c r="AI881" i="4"/>
  <c r="AJ742" i="4"/>
  <c r="P742" i="4"/>
  <c r="AB742" i="4" s="1"/>
  <c r="P898" i="4"/>
  <c r="AB898" i="4" s="1"/>
  <c r="AJ898" i="4"/>
  <c r="V884" i="4"/>
  <c r="J11" i="6"/>
  <c r="H15" i="6"/>
  <c r="H17" i="6"/>
  <c r="H25" i="6"/>
  <c r="I15" i="6"/>
  <c r="I17" i="6"/>
  <c r="I20" i="6"/>
  <c r="J18" i="6"/>
  <c r="I18" i="6"/>
  <c r="C6" i="8"/>
  <c r="AJ993" i="4"/>
  <c r="P993" i="4"/>
  <c r="AB993" i="4" s="1"/>
  <c r="AJ923" i="4"/>
  <c r="P923" i="4"/>
  <c r="AB923" i="4" s="1"/>
  <c r="V864" i="4"/>
  <c r="E14" i="6" s="1"/>
  <c r="F14" i="6" s="1"/>
  <c r="G14" i="6" s="1"/>
  <c r="P986" i="4"/>
  <c r="AB986" i="4" s="1"/>
  <c r="AJ986" i="4"/>
  <c r="P763" i="4"/>
  <c r="AB763" i="4" s="1"/>
  <c r="AJ763" i="4"/>
  <c r="B36" i="8" s="1"/>
  <c r="AE996" i="4"/>
  <c r="AI823" i="4"/>
  <c r="V942" i="4"/>
  <c r="D31" i="5"/>
  <c r="E20" i="6"/>
  <c r="F20" i="6" s="1"/>
  <c r="K15" i="6"/>
  <c r="K17" i="6"/>
  <c r="J9" i="6"/>
  <c r="I6" i="6"/>
  <c r="K22" i="6"/>
  <c r="J27" i="6"/>
  <c r="J23" i="6"/>
  <c r="B23" i="10"/>
  <c r="D20" i="8"/>
  <c r="I24" i="6"/>
  <c r="F6" i="8"/>
  <c r="P998" i="4"/>
  <c r="AB998" i="4" s="1"/>
  <c r="AJ998" i="4"/>
  <c r="P949" i="4"/>
  <c r="AB949" i="4" s="1"/>
  <c r="AJ949" i="4"/>
  <c r="AJ753" i="4"/>
  <c r="P753" i="4"/>
  <c r="AB753" i="4" s="1"/>
  <c r="AJ741" i="4"/>
  <c r="P741" i="4"/>
  <c r="AB741" i="4" s="1"/>
  <c r="AJ969" i="4"/>
  <c r="P969" i="4"/>
  <c r="AB969" i="4" s="1"/>
  <c r="V963" i="4"/>
  <c r="P984" i="4"/>
  <c r="AB984" i="4" s="1"/>
  <c r="AJ984" i="4"/>
  <c r="AE907" i="4"/>
  <c r="AE964" i="4"/>
  <c r="P868" i="4"/>
  <c r="AB868" i="4" s="1"/>
  <c r="AJ868" i="4"/>
  <c r="AJ982" i="4"/>
  <c r="P982" i="4"/>
  <c r="AB982" i="4" s="1"/>
  <c r="AJ911" i="4"/>
  <c r="P911" i="4"/>
  <c r="AB911" i="4" s="1"/>
  <c r="V984" i="4"/>
  <c r="AJ886" i="4"/>
  <c r="P886" i="4"/>
  <c r="AB886" i="4" s="1"/>
  <c r="AI966" i="4"/>
  <c r="V896" i="4"/>
  <c r="J15" i="6"/>
  <c r="K26" i="6"/>
  <c r="H8" i="6"/>
  <c r="C30" i="5"/>
  <c r="H20" i="6"/>
  <c r="D30" i="5"/>
  <c r="D37" i="5" s="1"/>
  <c r="I27" i="6"/>
  <c r="C36" i="5"/>
  <c r="H22" i="6"/>
  <c r="H12" i="6"/>
  <c r="I21" i="6"/>
  <c r="J5" i="6"/>
  <c r="AI998" i="4"/>
  <c r="AJ832" i="4"/>
  <c r="P832" i="4"/>
  <c r="AB832" i="4" s="1"/>
  <c r="P933" i="4"/>
  <c r="AB933" i="4" s="1"/>
  <c r="AJ933" i="4"/>
  <c r="AJ840" i="4"/>
  <c r="P840" i="4"/>
  <c r="AB840" i="4" s="1"/>
  <c r="V914" i="4"/>
  <c r="V825" i="4"/>
  <c r="V742" i="4"/>
  <c r="C15" i="5" s="1"/>
  <c r="V948" i="4"/>
  <c r="AJ890" i="4"/>
  <c r="P890" i="4"/>
  <c r="AB890" i="4" s="1"/>
  <c r="V909" i="4"/>
  <c r="J17" i="6"/>
  <c r="I7" i="6"/>
  <c r="H19" i="6"/>
  <c r="I19" i="6"/>
  <c r="H13" i="6"/>
  <c r="I22" i="6"/>
  <c r="I13" i="6"/>
  <c r="K12" i="6"/>
  <c r="AJ780" i="4"/>
  <c r="P780" i="4"/>
  <c r="AB780" i="4" s="1"/>
  <c r="AJ859" i="4"/>
  <c r="P859" i="4"/>
  <c r="AB859" i="4" s="1"/>
  <c r="AI941" i="4"/>
  <c r="AJ956" i="4"/>
  <c r="P956" i="4"/>
  <c r="AB956" i="4" s="1"/>
  <c r="V961" i="4"/>
  <c r="E19" i="6" s="1"/>
  <c r="AJ906" i="4"/>
  <c r="P906" i="4"/>
  <c r="AB906" i="4" s="1"/>
  <c r="AI984" i="4"/>
  <c r="AJ968" i="4"/>
  <c r="P968" i="4"/>
  <c r="AB968" i="4" s="1"/>
  <c r="D36" i="5"/>
  <c r="I25" i="6"/>
  <c r="C34" i="5"/>
  <c r="K9" i="6"/>
  <c r="K19" i="6"/>
  <c r="K13" i="6"/>
  <c r="G7" i="8"/>
  <c r="AJ770" i="4"/>
  <c r="P770" i="4"/>
  <c r="AB770" i="4" s="1"/>
  <c r="AJ812" i="4"/>
  <c r="P812" i="4"/>
  <c r="AB812" i="4" s="1"/>
  <c r="AJ848" i="4"/>
  <c r="P848" i="4"/>
  <c r="AB848" i="4" s="1"/>
  <c r="V877" i="4"/>
  <c r="Y877" i="4"/>
  <c r="AJ851" i="4"/>
  <c r="P851" i="4"/>
  <c r="AB851" i="4" s="1"/>
  <c r="V832" i="4"/>
  <c r="AE868" i="4"/>
  <c r="AI763" i="4"/>
  <c r="AI996" i="4"/>
  <c r="AI982" i="4"/>
  <c r="AJ914" i="4"/>
  <c r="P914" i="4"/>
  <c r="AB914" i="4" s="1"/>
  <c r="V898" i="4"/>
  <c r="V764" i="4"/>
  <c r="E10" i="6" s="1"/>
  <c r="J20" i="6"/>
  <c r="H9" i="6"/>
  <c r="J6" i="6"/>
  <c r="K18" i="6"/>
  <c r="H5" i="6"/>
  <c r="I8" i="6"/>
  <c r="B37" i="8"/>
  <c r="I12" i="6"/>
  <c r="AJ856" i="4"/>
  <c r="P856" i="4"/>
  <c r="AB856" i="4" s="1"/>
  <c r="AE890" i="4"/>
  <c r="B18" i="9"/>
  <c r="D18" i="9" s="1"/>
  <c r="D32" i="5"/>
  <c r="E32" i="5" s="1"/>
  <c r="B27" i="8"/>
  <c r="H7" i="6"/>
  <c r="I10" i="6"/>
  <c r="H18" i="6"/>
  <c r="I14" i="6"/>
  <c r="J21" i="6"/>
  <c r="K5" i="6"/>
  <c r="AJ828" i="4"/>
  <c r="P828" i="4"/>
  <c r="AB828" i="4" s="1"/>
  <c r="AI877" i="4"/>
  <c r="V749" i="4"/>
  <c r="P947" i="4"/>
  <c r="AB947" i="4" s="1"/>
  <c r="AJ947" i="4"/>
  <c r="P899" i="4"/>
  <c r="AB899" i="4" s="1"/>
  <c r="AJ899" i="4"/>
  <c r="V994" i="4"/>
  <c r="D16" i="5" s="1"/>
  <c r="AI825" i="4"/>
  <c r="P938" i="4"/>
  <c r="AB938" i="4" s="1"/>
  <c r="AJ938" i="4"/>
  <c r="I23" i="5"/>
  <c r="H23" i="5"/>
  <c r="C14" i="6"/>
  <c r="G23" i="5"/>
  <c r="F23" i="5"/>
  <c r="E23" i="5"/>
  <c r="F12" i="6"/>
  <c r="I33" i="5"/>
  <c r="E15" i="6"/>
  <c r="B15" i="6"/>
  <c r="C10" i="5"/>
  <c r="G6" i="5"/>
  <c r="F6" i="5"/>
  <c r="AF281" i="4"/>
  <c r="AF266" i="4"/>
  <c r="AF209" i="4"/>
  <c r="AF225" i="4"/>
  <c r="AF546" i="4"/>
  <c r="AF531" i="4"/>
  <c r="AF832" i="4"/>
  <c r="AF255" i="4"/>
  <c r="AF342" i="4"/>
  <c r="AF381" i="4"/>
  <c r="D69" i="2" s="1"/>
  <c r="AF62" i="4"/>
  <c r="AF28" i="4"/>
  <c r="AF514" i="4"/>
  <c r="AF152" i="4"/>
  <c r="AF297" i="4"/>
  <c r="AF397" i="4"/>
  <c r="AF169" i="4"/>
  <c r="AF158" i="4"/>
  <c r="H81" i="2" s="1"/>
  <c r="AF396" i="4"/>
  <c r="AF578" i="4"/>
  <c r="AF479" i="4"/>
  <c r="AF500" i="4"/>
  <c r="AF885" i="4"/>
  <c r="AF265" i="4"/>
  <c r="AF104" i="4"/>
  <c r="D22" i="5"/>
  <c r="AF340" i="4"/>
  <c r="AF804" i="4"/>
  <c r="AF421" i="4"/>
  <c r="AF593" i="4"/>
  <c r="AF206" i="4"/>
  <c r="AF567" i="4"/>
  <c r="AF564" i="4"/>
  <c r="D25" i="5"/>
  <c r="B28" i="6"/>
  <c r="E28" i="6"/>
  <c r="I34" i="5"/>
  <c r="H34" i="5"/>
  <c r="H6" i="5"/>
  <c r="B21" i="6"/>
  <c r="E21" i="6"/>
  <c r="E17" i="6"/>
  <c r="AF823" i="4"/>
  <c r="AF106" i="4"/>
  <c r="F75" i="2" s="1"/>
  <c r="AF494" i="4"/>
  <c r="AF563" i="4"/>
  <c r="AF657" i="4"/>
  <c r="AF769" i="4"/>
  <c r="AF855" i="4"/>
  <c r="AF299" i="4"/>
  <c r="AF174" i="4"/>
  <c r="AF626" i="4"/>
  <c r="AF617" i="4"/>
  <c r="AF847" i="4"/>
  <c r="AF405" i="4"/>
  <c r="AF476" i="4"/>
  <c r="AF781" i="4"/>
  <c r="AF851" i="4"/>
  <c r="AF901" i="4"/>
  <c r="AF420" i="4"/>
  <c r="AF884" i="4"/>
  <c r="AF993" i="4"/>
  <c r="AF159" i="4"/>
  <c r="AF836" i="4"/>
  <c r="AF874" i="4"/>
  <c r="AF926" i="4"/>
  <c r="AF451" i="4"/>
  <c r="AF717" i="4"/>
  <c r="AF805" i="4"/>
  <c r="AF933" i="4"/>
  <c r="AF150" i="4"/>
  <c r="AF214" i="4"/>
  <c r="AF775" i="4"/>
  <c r="AF503" i="4"/>
  <c r="AF566" i="4"/>
  <c r="AF908" i="4"/>
  <c r="AF18" i="4"/>
  <c r="AF489" i="4"/>
  <c r="AF960" i="4"/>
  <c r="AF536" i="4"/>
  <c r="AF930" i="4"/>
  <c r="AF386" i="4"/>
  <c r="AF542" i="4"/>
  <c r="AF549" i="4"/>
  <c r="AF468" i="4"/>
  <c r="AF543" i="4"/>
  <c r="AF320" i="4"/>
  <c r="AF304" i="4"/>
  <c r="AF622" i="4"/>
  <c r="AF876" i="4"/>
  <c r="AF230" i="4"/>
  <c r="AF682" i="4"/>
  <c r="AF375" i="4"/>
  <c r="AF385" i="4"/>
  <c r="AF226" i="4"/>
  <c r="AF449" i="4"/>
  <c r="AF747" i="4"/>
  <c r="AF892" i="4"/>
  <c r="AF31" i="4"/>
  <c r="AF798" i="4"/>
  <c r="AF430" i="4"/>
  <c r="AF290" i="4"/>
  <c r="AF770" i="4"/>
  <c r="AF127" i="4"/>
  <c r="AF38" i="4"/>
  <c r="AF219" i="4"/>
  <c r="AF653" i="4"/>
  <c r="AF750" i="4"/>
  <c r="AF976" i="4"/>
  <c r="AF952" i="4"/>
  <c r="AF95" i="4"/>
  <c r="AF331" i="4"/>
  <c r="AF241" i="4"/>
  <c r="AF757" i="4"/>
  <c r="AF370" i="4"/>
  <c r="AF323" i="4"/>
  <c r="AF480" i="4"/>
  <c r="AF671" i="4"/>
  <c r="AF740" i="4"/>
  <c r="AF545" i="4"/>
  <c r="AF607" i="4"/>
  <c r="AF921" i="4"/>
  <c r="AF866" i="4"/>
  <c r="AF935" i="4"/>
  <c r="K29" i="6"/>
  <c r="AF547" i="4"/>
  <c r="AF466" i="4"/>
  <c r="AF271" i="4"/>
  <c r="AF498" i="4"/>
  <c r="AF154" i="4"/>
  <c r="AF827" i="4"/>
  <c r="AF13" i="4"/>
  <c r="B36" i="3" s="1"/>
  <c r="AF207" i="4"/>
  <c r="AF327" i="4"/>
  <c r="AF166" i="4"/>
  <c r="AF590" i="4"/>
  <c r="G8" i="5"/>
  <c r="F8" i="5"/>
  <c r="E8" i="5"/>
  <c r="E13" i="6"/>
  <c r="B13" i="6"/>
  <c r="I8" i="5"/>
  <c r="H8" i="5"/>
  <c r="AF811" i="4"/>
  <c r="AF995" i="4"/>
  <c r="AB2" i="4"/>
  <c r="AF659" i="4"/>
  <c r="AF42" i="4"/>
  <c r="AF686" i="4"/>
  <c r="AF699" i="4"/>
  <c r="AF185" i="4"/>
  <c r="AF409" i="4"/>
  <c r="AF380" i="4"/>
  <c r="AF403" i="4"/>
  <c r="AF463" i="4"/>
  <c r="AF839" i="4"/>
  <c r="AF853" i="4"/>
  <c r="AF102" i="4"/>
  <c r="AF289" i="4"/>
  <c r="AF376" i="4"/>
  <c r="AF979" i="4"/>
  <c r="AF413" i="4"/>
  <c r="AF931" i="4"/>
  <c r="AF132" i="4"/>
  <c r="AF642" i="4"/>
  <c r="AF803" i="4"/>
  <c r="F20" i="8"/>
  <c r="E20" i="8"/>
  <c r="AF869" i="4"/>
  <c r="AF898" i="4"/>
  <c r="P19" i="4"/>
  <c r="AB19" i="4" s="1"/>
  <c r="AF710" i="4"/>
  <c r="AF588" i="4"/>
  <c r="AF478" i="4"/>
  <c r="AF477" i="4"/>
  <c r="B27" i="6"/>
  <c r="F50" i="5"/>
  <c r="E50" i="5"/>
  <c r="G50" i="5"/>
  <c r="C53" i="5"/>
  <c r="AF434" i="4"/>
  <c r="AF47" i="4"/>
  <c r="AF33" i="4"/>
  <c r="AF171" i="4"/>
  <c r="AF134" i="4"/>
  <c r="AF524" i="4"/>
  <c r="AF669" i="4"/>
  <c r="AF886" i="4"/>
  <c r="AF46" i="4"/>
  <c r="AF377" i="4"/>
  <c r="AF155" i="4"/>
  <c r="AF198" i="4"/>
  <c r="AF880" i="4"/>
  <c r="AF755" i="4"/>
  <c r="AF59" i="4"/>
  <c r="AF909" i="4"/>
  <c r="AF24" i="4"/>
  <c r="AF766" i="4"/>
  <c r="AF2" i="4"/>
  <c r="AF43" i="4"/>
  <c r="AF423" i="4"/>
  <c r="AF247" i="4"/>
  <c r="AF257" i="4"/>
  <c r="AF89" i="4"/>
  <c r="E81" i="2" s="1"/>
  <c r="AF599" i="4"/>
  <c r="AF447" i="4"/>
  <c r="AF552" i="4"/>
  <c r="AF577" i="4"/>
  <c r="AF335" i="4"/>
  <c r="AF487" i="4"/>
  <c r="C22" i="6"/>
  <c r="D22" i="6" s="1"/>
  <c r="AF145" i="4"/>
  <c r="AF711" i="4"/>
  <c r="AF714" i="4"/>
  <c r="AF777" i="4"/>
  <c r="AF949" i="4"/>
  <c r="AF63" i="4"/>
  <c r="G51" i="5"/>
  <c r="F51" i="5"/>
  <c r="E51" i="5"/>
  <c r="AF366" i="4"/>
  <c r="AF704" i="4"/>
  <c r="AF807" i="4"/>
  <c r="AF870" i="4"/>
  <c r="AF97" i="4"/>
  <c r="AF591" i="4"/>
  <c r="AF390" i="4"/>
  <c r="AF357" i="4"/>
  <c r="C69" i="2" s="1"/>
  <c r="AF772" i="4"/>
  <c r="AF943" i="4"/>
  <c r="AF962" i="4"/>
  <c r="AF15" i="4"/>
  <c r="AF316" i="4"/>
  <c r="AF306" i="4"/>
  <c r="AF637" i="4"/>
  <c r="AF895" i="4"/>
  <c r="AF925" i="4"/>
  <c r="AF75" i="4"/>
  <c r="E67" i="2" s="1"/>
  <c r="AF7" i="4"/>
  <c r="AF774" i="4"/>
  <c r="AF85" i="4"/>
  <c r="AF244" i="4"/>
  <c r="E73" i="2" s="1"/>
  <c r="AF393" i="4"/>
  <c r="AF74" i="4"/>
  <c r="E66" i="2" s="1"/>
  <c r="AF608" i="4"/>
  <c r="AF76" i="4"/>
  <c r="E68" i="2" s="1"/>
  <c r="AF745" i="4"/>
  <c r="AF916" i="4"/>
  <c r="AF987" i="4"/>
  <c r="AF49" i="4"/>
  <c r="AF540" i="4"/>
  <c r="AF571" i="4"/>
  <c r="AF746" i="4"/>
  <c r="AF917" i="4"/>
  <c r="AF575" i="4"/>
  <c r="AF415" i="4"/>
  <c r="AF606" i="4"/>
  <c r="AF596" i="4"/>
  <c r="C37" i="5"/>
  <c r="G30" i="5"/>
  <c r="F30" i="5"/>
  <c r="G36" i="5"/>
  <c r="F36" i="5"/>
  <c r="E36" i="5"/>
  <c r="H36" i="5"/>
  <c r="I36" i="5"/>
  <c r="B8" i="8"/>
  <c r="D16" i="8"/>
  <c r="E8" i="8"/>
  <c r="D8" i="8"/>
  <c r="C8" i="8"/>
  <c r="D41" i="5"/>
  <c r="D43" i="5"/>
  <c r="C43" i="5"/>
  <c r="C16" i="8"/>
  <c r="G8" i="8"/>
  <c r="B16" i="8"/>
  <c r="C9" i="1" s="1"/>
  <c r="F8" i="8"/>
  <c r="C42" i="5"/>
  <c r="C41" i="5"/>
  <c r="D44" i="5"/>
  <c r="C44" i="5"/>
  <c r="D42" i="5"/>
  <c r="G34" i="5"/>
  <c r="F34" i="5"/>
  <c r="E34" i="5"/>
  <c r="E7" i="5"/>
  <c r="F7" i="5"/>
  <c r="G7" i="5"/>
  <c r="B10" i="6"/>
  <c r="A77" i="3"/>
  <c r="D76" i="3"/>
  <c r="AF336" i="4"/>
  <c r="AF318" i="4"/>
  <c r="AF236" i="4"/>
  <c r="E63" i="2" s="1"/>
  <c r="AF429" i="4"/>
  <c r="AF883" i="4"/>
  <c r="I51" i="5"/>
  <c r="H51" i="5"/>
  <c r="AF339" i="4"/>
  <c r="AF17" i="4"/>
  <c r="AF259" i="4"/>
  <c r="AF587" i="4"/>
  <c r="B56" i="3" s="1"/>
  <c r="AF945" i="4"/>
  <c r="AF703" i="4"/>
  <c r="AF273" i="4"/>
  <c r="AF402" i="4"/>
  <c r="AF560" i="4"/>
  <c r="AF944" i="4"/>
  <c r="AF484" i="4"/>
  <c r="AF969" i="4"/>
  <c r="AF52" i="4"/>
  <c r="AF835" i="4"/>
  <c r="AF797" i="4"/>
  <c r="AF26" i="4"/>
  <c r="AF572" i="4"/>
  <c r="AF603" i="4"/>
  <c r="P10" i="4"/>
  <c r="AF232" i="4"/>
  <c r="AF488" i="4"/>
  <c r="AF872" i="4"/>
  <c r="AF308" i="4"/>
  <c r="AF374" i="4"/>
  <c r="AF499" i="4"/>
  <c r="AF5" i="4"/>
  <c r="AF287" i="4"/>
  <c r="AF220" i="4"/>
  <c r="AF882" i="4"/>
  <c r="F65" i="2" s="1"/>
  <c r="AF40" i="4"/>
  <c r="AF103" i="4"/>
  <c r="AF319" i="4"/>
  <c r="AF8" i="4"/>
  <c r="AF471" i="4"/>
  <c r="AF453" i="4"/>
  <c r="AF570" i="4"/>
  <c r="AF137" i="4"/>
  <c r="AF569" i="4"/>
  <c r="AF326" i="4"/>
  <c r="AF435" i="4"/>
  <c r="E18" i="6"/>
  <c r="B18" i="6"/>
  <c r="G32" i="5"/>
  <c r="F32" i="5"/>
  <c r="E9" i="5"/>
  <c r="G9" i="5"/>
  <c r="F9" i="5"/>
  <c r="C24" i="5"/>
  <c r="F5" i="7"/>
  <c r="G5" i="7"/>
  <c r="E5" i="7"/>
  <c r="D5" i="7"/>
  <c r="A6" i="7"/>
  <c r="B5" i="7"/>
  <c r="C5" i="7"/>
  <c r="B9" i="6"/>
  <c r="E9" i="6"/>
  <c r="B29" i="8"/>
  <c r="B30" i="8"/>
  <c r="D15" i="5"/>
  <c r="D17" i="5"/>
  <c r="AF648" i="4"/>
  <c r="AF863" i="4"/>
  <c r="AF842" i="4"/>
  <c r="AF990" i="4"/>
  <c r="AF12" i="4"/>
  <c r="AF14" i="4"/>
  <c r="AF433" i="4"/>
  <c r="G62" i="2" s="1"/>
  <c r="AF291" i="4"/>
  <c r="AF928" i="4"/>
  <c r="AF35" i="4"/>
  <c r="C72" i="2" s="1"/>
  <c r="AF594" i="4"/>
  <c r="AF850" i="4"/>
  <c r="AF231" i="4"/>
  <c r="AF647" i="4"/>
  <c r="AF135" i="4"/>
  <c r="AF598" i="4"/>
  <c r="AF816" i="4"/>
  <c r="AF862" i="4"/>
  <c r="AF167" i="4"/>
  <c r="I66" i="2" s="1"/>
  <c r="AF324" i="4"/>
  <c r="H84" i="2" s="1"/>
  <c r="AF464" i="4"/>
  <c r="AF878" i="4"/>
  <c r="AF130" i="4"/>
  <c r="AF296" i="4"/>
  <c r="AF311" i="4"/>
  <c r="AF98" i="4"/>
  <c r="AF725" i="4"/>
  <c r="AF790" i="4"/>
  <c r="AF56" i="4"/>
  <c r="AF353" i="4"/>
  <c r="AF521" i="4"/>
  <c r="AF718" i="4"/>
  <c r="AF334" i="4"/>
  <c r="AF136" i="4"/>
  <c r="AF655" i="4"/>
  <c r="AF363" i="4"/>
  <c r="AF10" i="4"/>
  <c r="AF399" i="4"/>
  <c r="AF751" i="4"/>
  <c r="AF50" i="4"/>
  <c r="D63" i="2" s="1"/>
  <c r="AF612" i="4"/>
  <c r="AF44" i="4"/>
  <c r="C81" i="2" s="1"/>
  <c r="AF204" i="4"/>
  <c r="AF469" i="4"/>
  <c r="AF645" i="4"/>
  <c r="AF107" i="4"/>
  <c r="F76" i="2" s="1"/>
  <c r="AF817" i="4"/>
  <c r="AF889" i="4"/>
  <c r="AF36" i="4"/>
  <c r="P67" i="4"/>
  <c r="AB67" i="4" s="1"/>
  <c r="AF412" i="4"/>
  <c r="AF456" i="4"/>
  <c r="AF511" i="4"/>
  <c r="AF581" i="4"/>
  <c r="AF516" i="4"/>
  <c r="AF554" i="4"/>
  <c r="AF534" i="4"/>
  <c r="AF474" i="4"/>
  <c r="AF522" i="4"/>
  <c r="AF493" i="4"/>
  <c r="I7" i="5"/>
  <c r="H7" i="5"/>
  <c r="AF693" i="4"/>
  <c r="E65" i="2" s="1"/>
  <c r="AF446" i="4"/>
  <c r="AF347" i="4"/>
  <c r="AF173" i="4"/>
  <c r="AF910" i="4"/>
  <c r="F18" i="8"/>
  <c r="E18" i="8"/>
  <c r="AF454" i="4"/>
  <c r="AF840" i="4"/>
  <c r="AF902" i="4"/>
  <c r="AF724" i="4"/>
  <c r="AF71" i="4"/>
  <c r="E62" i="2" s="1"/>
  <c r="AF92" i="4"/>
  <c r="AF108" i="4"/>
  <c r="AF205" i="4"/>
  <c r="AF126" i="4"/>
  <c r="G72" i="2" s="1"/>
  <c r="AF188" i="4"/>
  <c r="C63" i="2" s="1"/>
  <c r="AF470" i="4"/>
  <c r="AF660" i="4"/>
  <c r="P25" i="4"/>
  <c r="AB25" i="4" s="1"/>
  <c r="AF182" i="4"/>
  <c r="AF93" i="4"/>
  <c r="AF445" i="4"/>
  <c r="AF501" i="4"/>
  <c r="AF858" i="4"/>
  <c r="AF1001" i="4"/>
  <c r="AF235" i="4"/>
  <c r="AF555" i="4"/>
  <c r="AF846" i="4"/>
  <c r="AF523" i="4"/>
  <c r="AF759" i="4"/>
  <c r="AF812" i="4"/>
  <c r="AF927" i="4"/>
  <c r="AF919" i="4"/>
  <c r="AF58" i="4"/>
  <c r="AF436" i="4"/>
  <c r="G65" i="2" s="1"/>
  <c r="AF365" i="4"/>
  <c r="AF690" i="4"/>
  <c r="AF741" i="4"/>
  <c r="AF86" i="4"/>
  <c r="AF128" i="4"/>
  <c r="AF251" i="4"/>
  <c r="E80" i="2" s="1"/>
  <c r="AF325" i="4"/>
  <c r="AF600" i="4"/>
  <c r="AF360" i="4"/>
  <c r="B11" i="6"/>
  <c r="B20" i="6"/>
  <c r="E31" i="5"/>
  <c r="G31" i="5"/>
  <c r="F31" i="5"/>
  <c r="I9" i="5"/>
  <c r="H9" i="5"/>
  <c r="B19" i="6"/>
  <c r="E22" i="6"/>
  <c r="B24" i="6"/>
  <c r="E24" i="6"/>
  <c r="B12" i="6"/>
  <c r="AF432" i="4"/>
  <c r="AF221" i="4"/>
  <c r="AF200" i="4"/>
  <c r="AF837" i="4"/>
  <c r="AF276" i="4"/>
  <c r="AF620" i="4"/>
  <c r="AF180" i="4"/>
  <c r="I79" i="2" s="1"/>
  <c r="AF96" i="4"/>
  <c r="AF164" i="4"/>
  <c r="AF349" i="4"/>
  <c r="AF442" i="4"/>
  <c r="G71" i="2" s="1"/>
  <c r="AF401" i="4"/>
  <c r="AF341" i="4"/>
  <c r="AF512" i="4"/>
  <c r="AF848" i="4"/>
  <c r="AF974" i="4"/>
  <c r="AF66" i="4"/>
  <c r="D81" i="2" s="1"/>
  <c r="AF310" i="4"/>
  <c r="AF263" i="4"/>
  <c r="AF131" i="4"/>
  <c r="D24" i="5"/>
  <c r="AF175" i="4"/>
  <c r="AF68" i="4"/>
  <c r="AF665" i="4"/>
  <c r="AF815" i="4"/>
  <c r="AF39" i="4"/>
  <c r="AF303" i="4"/>
  <c r="H62" i="2" s="1"/>
  <c r="AF530" i="4"/>
  <c r="AF568" i="4"/>
  <c r="AF30" i="4"/>
  <c r="AF51" i="4"/>
  <c r="AF424" i="4"/>
  <c r="AF286" i="4"/>
  <c r="AF492" i="4"/>
  <c r="AF300" i="4"/>
  <c r="AF887" i="4"/>
  <c r="AF110" i="4"/>
  <c r="F79" i="2" s="1"/>
  <c r="P45" i="4"/>
  <c r="AB45" i="4" s="1"/>
  <c r="AF345" i="4"/>
  <c r="AF465" i="4"/>
  <c r="AF557" i="4"/>
  <c r="AF242" i="4"/>
  <c r="E71" i="2" s="1"/>
  <c r="AF267" i="4"/>
  <c r="AF448" i="4"/>
  <c r="AF658" i="4"/>
  <c r="AF753" i="4"/>
  <c r="AF122" i="4"/>
  <c r="AF582" i="4"/>
  <c r="AF495" i="4"/>
  <c r="AF584" i="4"/>
  <c r="AF313" i="4"/>
  <c r="AF602" i="4"/>
  <c r="C25" i="5"/>
  <c r="B26" i="6"/>
  <c r="AF504" i="4"/>
  <c r="C62" i="2" s="1"/>
  <c r="AF559" i="4"/>
  <c r="AF321" i="4"/>
  <c r="AF280" i="4"/>
  <c r="AF592" i="4"/>
  <c r="AF614" i="4"/>
  <c r="AF48" i="4"/>
  <c r="AF367" i="4"/>
  <c r="AF11" i="4"/>
  <c r="AF427" i="4"/>
  <c r="AF975" i="4"/>
  <c r="AF391" i="4"/>
  <c r="AF532" i="4"/>
  <c r="AF677" i="4"/>
  <c r="AF25" i="4"/>
  <c r="I85" i="2" s="1"/>
  <c r="AF695" i="4"/>
  <c r="AF461" i="4"/>
  <c r="H66" i="2" s="1"/>
  <c r="AF948" i="4"/>
  <c r="AF100" i="4"/>
  <c r="F69" i="2" s="1"/>
  <c r="AF361" i="4"/>
  <c r="AF53" i="4"/>
  <c r="AF663" i="4"/>
  <c r="AF737" i="4"/>
  <c r="AF929" i="4"/>
  <c r="AF65" i="4"/>
  <c r="AF369" i="4"/>
  <c r="AF258" i="4"/>
  <c r="AF696" i="4"/>
  <c r="AF210" i="4"/>
  <c r="AF332" i="4"/>
  <c r="AF597" i="4"/>
  <c r="AF639" i="4"/>
  <c r="AF268" i="4"/>
  <c r="AF486" i="4"/>
  <c r="AF706" i="4"/>
  <c r="AF680" i="4"/>
  <c r="AF852" i="4"/>
  <c r="AF64" i="4"/>
  <c r="AF118" i="4"/>
  <c r="G63" i="2" s="1"/>
  <c r="AF513" i="4"/>
  <c r="AF583" i="4"/>
  <c r="AF506" i="4"/>
  <c r="AF611" i="4"/>
  <c r="B23" i="6"/>
  <c r="I80" i="2"/>
  <c r="E23" i="6"/>
  <c r="B25" i="6"/>
  <c r="E25" i="6"/>
  <c r="E26" i="6"/>
  <c r="G52" i="5"/>
  <c r="F52" i="5"/>
  <c r="E52" i="5"/>
  <c r="AF875" i="4"/>
  <c r="AF507" i="4"/>
  <c r="AF735" i="4"/>
  <c r="AF510" i="4"/>
  <c r="AF260" i="4"/>
  <c r="AF535" i="4"/>
  <c r="AF708" i="4"/>
  <c r="AF922" i="4"/>
  <c r="AF191" i="4"/>
  <c r="AF425" i="4"/>
  <c r="AF372" i="4"/>
  <c r="AF641" i="4"/>
  <c r="AF789" i="4"/>
  <c r="AF589" i="4"/>
  <c r="AF664" i="4"/>
  <c r="AF411" i="4"/>
  <c r="AF262" i="4"/>
  <c r="E11" i="6"/>
  <c r="AF83" i="4"/>
  <c r="E75" i="2" s="1"/>
  <c r="AF388" i="4"/>
  <c r="AF527" i="4"/>
  <c r="AF879" i="4"/>
  <c r="AF227" i="4"/>
  <c r="AF305" i="4"/>
  <c r="AF248" i="4"/>
  <c r="AF192" i="4"/>
  <c r="AF215" i="4"/>
  <c r="AF417" i="4"/>
  <c r="AF517" i="4"/>
  <c r="AF358" i="4"/>
  <c r="AF561" i="4"/>
  <c r="AF556" i="4"/>
  <c r="AF475" i="4"/>
  <c r="I32" i="5"/>
  <c r="H32" i="5"/>
  <c r="B16" i="6"/>
  <c r="E16" i="6"/>
  <c r="I31" i="5"/>
  <c r="H31" i="5"/>
  <c r="B7" i="6"/>
  <c r="AF253" i="4"/>
  <c r="F19" i="8"/>
  <c r="E19" i="8"/>
  <c r="AF295" i="4"/>
  <c r="AF408" i="4"/>
  <c r="AF496" i="4"/>
  <c r="AF60" i="4"/>
  <c r="AF406" i="4"/>
  <c r="AF661" i="4"/>
  <c r="AF505" i="4"/>
  <c r="AF861" i="4"/>
  <c r="AF199" i="4"/>
  <c r="AF553" i="4"/>
  <c r="AF738" i="4"/>
  <c r="AF69" i="4"/>
  <c r="AF3" i="4"/>
  <c r="B76" i="3" s="1"/>
  <c r="AF156" i="4"/>
  <c r="AF119" i="4"/>
  <c r="G64" i="2" s="1"/>
  <c r="AF355" i="4"/>
  <c r="AF473" i="4"/>
  <c r="AF841" i="4"/>
  <c r="AF61" i="4"/>
  <c r="AF29" i="4"/>
  <c r="AF965" i="4"/>
  <c r="AF223" i="4"/>
  <c r="AF338" i="4"/>
  <c r="AF497" i="4"/>
  <c r="AF758" i="4"/>
  <c r="AF800" i="4"/>
  <c r="AF903" i="4"/>
  <c r="AF437" i="4"/>
  <c r="G66" i="2" s="1"/>
  <c r="AF72" i="4"/>
  <c r="AF359" i="4"/>
  <c r="AF344" i="4"/>
  <c r="AF216" i="4"/>
  <c r="AF418" i="4"/>
  <c r="AF509" i="4"/>
  <c r="AF705" i="4"/>
  <c r="AF947" i="4"/>
  <c r="AF955" i="4"/>
  <c r="AF21" i="4"/>
  <c r="AF856" i="4"/>
  <c r="AF458" i="4"/>
  <c r="AF940" i="4"/>
  <c r="AF190" i="4"/>
  <c r="AF459" i="4"/>
  <c r="AF520" i="4"/>
  <c r="AF99" i="4"/>
  <c r="AF467" i="4"/>
  <c r="AF482" i="4"/>
  <c r="AF610" i="4"/>
  <c r="AF315" i="4"/>
  <c r="H75" i="2" s="1"/>
  <c r="AF604" i="4"/>
  <c r="F21" i="8"/>
  <c r="E21" i="8"/>
  <c r="I70" i="2"/>
  <c r="H52" i="5"/>
  <c r="I52" i="5"/>
  <c r="AF407" i="4"/>
  <c r="AF526" i="4"/>
  <c r="AF576" i="4"/>
  <c r="AF860" i="4"/>
  <c r="AF595" i="4"/>
  <c r="AF491" i="4"/>
  <c r="I73" i="2" s="1"/>
  <c r="AF551" i="4"/>
  <c r="AF565" i="4"/>
  <c r="AF485" i="4"/>
  <c r="E33" i="5"/>
  <c r="G33" i="5"/>
  <c r="F33" i="5"/>
  <c r="B17" i="6"/>
  <c r="AF309" i="4"/>
  <c r="AF806" i="4"/>
  <c r="AF348" i="4"/>
  <c r="AF490" i="4"/>
  <c r="I72" i="2" s="1"/>
  <c r="AF284" i="4"/>
  <c r="AF141" i="4"/>
  <c r="AF1000" i="4"/>
  <c r="AF989" i="4"/>
  <c r="AF957" i="4"/>
  <c r="AF963" i="4"/>
  <c r="AF961" i="4"/>
  <c r="AF923" i="4"/>
  <c r="AF906" i="4"/>
  <c r="AF904" i="4"/>
  <c r="AF891" i="4"/>
  <c r="AF907" i="4"/>
  <c r="AF941" i="4"/>
  <c r="AF829" i="4"/>
  <c r="AF813" i="4"/>
  <c r="AF791" i="4"/>
  <c r="AF744" i="4"/>
  <c r="AF742" i="4"/>
  <c r="AF694" i="4"/>
  <c r="AF726" i="4"/>
  <c r="AF752" i="4"/>
  <c r="AF721" i="4"/>
  <c r="AF728" i="4"/>
  <c r="AF709" i="4"/>
  <c r="AF712" i="4"/>
  <c r="AF727" i="4"/>
  <c r="AF628" i="4"/>
  <c r="AF675" i="4"/>
  <c r="AF621" i="4"/>
  <c r="AF352" i="4"/>
  <c r="AF333" i="4"/>
  <c r="AF293" i="4"/>
  <c r="AF261" i="4"/>
  <c r="AF172" i="4"/>
  <c r="AF211" i="4"/>
  <c r="AF202" i="4"/>
  <c r="AF162" i="4"/>
  <c r="AF109" i="4"/>
  <c r="AF176" i="4"/>
  <c r="AF121" i="4"/>
  <c r="AF195" i="4"/>
  <c r="AF330" i="4"/>
  <c r="AF644" i="4"/>
  <c r="AF314" i="4"/>
  <c r="H74" i="2" s="1"/>
  <c r="AF624" i="4"/>
  <c r="AF635" i="4"/>
  <c r="AF213" i="4"/>
  <c r="AF277" i="4"/>
  <c r="AF144" i="4"/>
  <c r="H67" i="2" s="1"/>
  <c r="AF116" i="4"/>
  <c r="F85" i="2" s="1"/>
  <c r="AF157" i="4"/>
  <c r="AF229" i="4"/>
  <c r="AF378" i="4"/>
  <c r="AF662" i="4"/>
  <c r="AF631" i="4"/>
  <c r="AF165" i="4"/>
  <c r="AF346" i="4"/>
  <c r="AF245" i="4"/>
  <c r="AF115" i="4"/>
  <c r="AF208" i="4"/>
  <c r="AF249" i="4"/>
  <c r="AF636" i="4"/>
  <c r="AF147" i="4"/>
  <c r="AF317" i="4"/>
  <c r="AF189" i="4"/>
  <c r="AF362" i="4"/>
  <c r="AF444" i="4"/>
  <c r="AF234" i="4"/>
  <c r="AF426" i="4"/>
  <c r="AF615" i="4"/>
  <c r="AF632" i="4"/>
  <c r="AF722" i="4"/>
  <c r="AF673" i="4"/>
  <c r="AF771" i="4"/>
  <c r="AF197" i="4"/>
  <c r="AF298" i="4"/>
  <c r="AF269" i="4"/>
  <c r="AF301" i="4"/>
  <c r="AF179" i="4"/>
  <c r="AF237" i="4"/>
  <c r="AF756" i="4"/>
  <c r="AF720" i="4"/>
  <c r="AF890" i="4"/>
  <c r="AF825" i="4"/>
  <c r="AF913" i="4"/>
  <c r="AF899" i="4"/>
  <c r="AF973" i="4"/>
  <c r="AF996" i="4"/>
  <c r="AF763" i="4"/>
  <c r="AF799" i="4"/>
  <c r="AF723" i="4"/>
  <c r="AF833" i="4"/>
  <c r="AF938" i="4"/>
  <c r="AF410" i="4"/>
  <c r="AF630" i="4"/>
  <c r="AF719" i="4"/>
  <c r="AF702" i="4"/>
  <c r="AF794" i="4"/>
  <c r="AF808" i="4"/>
  <c r="AF881" i="4"/>
  <c r="AF939" i="4"/>
  <c r="AF924" i="4"/>
  <c r="AF394" i="4"/>
  <c r="AF643" i="4"/>
  <c r="AF646" i="4"/>
  <c r="AF768" i="4"/>
  <c r="AF713" i="4"/>
  <c r="AF734" i="4"/>
  <c r="AF736" i="4"/>
  <c r="AF760" i="4"/>
  <c r="AF782" i="4"/>
  <c r="AF783" i="4"/>
  <c r="AF700" i="4"/>
  <c r="AF773" i="4"/>
  <c r="AF778" i="4"/>
  <c r="AF966" i="4"/>
  <c r="AF977" i="4"/>
  <c r="AF681" i="4"/>
  <c r="AF656" i="4"/>
  <c r="AF715" i="4"/>
  <c r="AF692" i="4"/>
  <c r="AF739" i="4"/>
  <c r="AF859" i="4"/>
  <c r="AF964" i="4"/>
  <c r="AF968" i="4"/>
  <c r="AF683" i="4"/>
  <c r="AF786" i="4"/>
  <c r="AF729" i="4"/>
  <c r="AF793" i="4"/>
  <c r="AF795" i="4"/>
  <c r="AF865" i="4"/>
  <c r="AF877" i="4"/>
  <c r="AF285" i="4"/>
  <c r="AF668" i="4"/>
  <c r="AF761" i="4"/>
  <c r="AF732" i="4"/>
  <c r="AF845" i="4"/>
  <c r="AF897" i="4"/>
  <c r="AF934" i="4"/>
  <c r="AF954" i="4"/>
  <c r="AF951" i="4"/>
  <c r="AF640" i="4"/>
  <c r="AF764" i="4"/>
  <c r="AF838" i="4"/>
  <c r="AF912" i="4"/>
  <c r="AF826" i="4"/>
  <c r="AF942" i="4"/>
  <c r="AF666" i="4"/>
  <c r="AF749" i="4"/>
  <c r="AF792" i="4"/>
  <c r="AF915" i="4"/>
  <c r="AF953" i="4"/>
  <c r="AF900" i="4"/>
  <c r="AF946" i="4"/>
  <c r="AF991" i="4"/>
  <c r="AF650" i="4"/>
  <c r="AF638" i="4"/>
  <c r="AF849" i="4"/>
  <c r="AF828" i="4"/>
  <c r="AF854" i="4"/>
  <c r="AF971" i="4"/>
  <c r="AF634" i="4"/>
  <c r="AF684" i="4"/>
  <c r="AF616" i="4"/>
  <c r="AF844" i="4"/>
  <c r="AF867" i="4"/>
  <c r="AF958" i="4"/>
  <c r="AF950" i="4"/>
  <c r="AF978" i="4"/>
  <c r="AF970" i="4"/>
  <c r="AF984" i="4"/>
  <c r="AF678" i="4"/>
  <c r="AF743" i="4"/>
  <c r="AF809" i="4"/>
  <c r="AF160" i="4"/>
  <c r="H83" i="2" s="1"/>
  <c r="AF776" i="4"/>
  <c r="AF785" i="4"/>
  <c r="AF779" i="4"/>
  <c r="AF956" i="4"/>
  <c r="AF893" i="4"/>
  <c r="AF936" i="4"/>
  <c r="AF619" i="4"/>
  <c r="AF788" i="4"/>
  <c r="AF868" i="4"/>
  <c r="AF765" i="4"/>
  <c r="AF821" i="4"/>
  <c r="AF830" i="4"/>
  <c r="AF843" i="4"/>
  <c r="AF998" i="4"/>
  <c r="AF982" i="4"/>
  <c r="AF985" i="4"/>
  <c r="AF986" i="4"/>
  <c r="AF472" i="4"/>
  <c r="AF730" i="4"/>
  <c r="AF111" i="4"/>
  <c r="F82" i="2"/>
  <c r="AF633" i="4"/>
  <c r="AF857" i="4"/>
  <c r="AF146" i="4"/>
  <c r="H69" i="2" s="1"/>
  <c r="B19" i="9"/>
  <c r="D19" i="9" s="1"/>
  <c r="AF254" i="4"/>
  <c r="AF518" i="4"/>
  <c r="AF541" i="4"/>
  <c r="AF548" i="4"/>
  <c r="AF574" i="4"/>
  <c r="AF275" i="4"/>
  <c r="AF533" i="4"/>
  <c r="E35" i="5"/>
  <c r="G35" i="5"/>
  <c r="F35" i="5"/>
  <c r="I35" i="5"/>
  <c r="H35" i="5"/>
  <c r="D53" i="5"/>
  <c r="E53" i="5" s="1"/>
  <c r="I50" i="5"/>
  <c r="H50" i="5"/>
  <c r="F72" i="2"/>
  <c r="B53" i="3"/>
  <c r="G79" i="2"/>
  <c r="C22" i="5"/>
  <c r="E7" i="6"/>
  <c r="AF23" i="4"/>
  <c r="AF4" i="4"/>
  <c r="AF123" i="4"/>
  <c r="G69" i="2" s="1"/>
  <c r="AF679" i="4"/>
  <c r="AF138" i="4"/>
  <c r="AF443" i="4"/>
  <c r="AF525" i="4"/>
  <c r="AF87" i="4"/>
  <c r="E79" i="2" s="1"/>
  <c r="AF609" i="4"/>
  <c r="AF733" i="4"/>
  <c r="AF670" i="4"/>
  <c r="AF748" i="4"/>
  <c r="AF932" i="4"/>
  <c r="AF170" i="4"/>
  <c r="AF91" i="4"/>
  <c r="AF114" i="4"/>
  <c r="AF483" i="4"/>
  <c r="AF784" i="4"/>
  <c r="AF90" i="4"/>
  <c r="AF77" i="4"/>
  <c r="E69" i="2" s="1"/>
  <c r="AF238" i="4"/>
  <c r="AF55" i="4"/>
  <c r="AF302" i="4"/>
  <c r="AF101" i="4"/>
  <c r="AF45" i="4"/>
  <c r="AF233" i="4"/>
  <c r="AF787" i="4"/>
  <c r="AF818" i="4"/>
  <c r="AF124" i="4"/>
  <c r="AF148" i="4"/>
  <c r="H71" i="2" s="1"/>
  <c r="AF419" i="4"/>
  <c r="AF613" i="4"/>
  <c r="AF629" i="4"/>
  <c r="AF20" i="4"/>
  <c r="AF398" i="4"/>
  <c r="AF371" i="4"/>
  <c r="AF687" i="4"/>
  <c r="AF274" i="4"/>
  <c r="AF937" i="4"/>
  <c r="AF82" i="4"/>
  <c r="AF439" i="4"/>
  <c r="AF142" i="4"/>
  <c r="AF586" i="4"/>
  <c r="AF820" i="4"/>
  <c r="AF888" i="4"/>
  <c r="AF196" i="4"/>
  <c r="C71" i="2" s="1"/>
  <c r="AF537" i="4"/>
  <c r="AF802" i="4"/>
  <c r="AF997" i="4"/>
  <c r="AF460" i="4"/>
  <c r="AF538" i="4"/>
  <c r="AF585" i="4"/>
  <c r="AF573" i="4"/>
  <c r="AF462" i="4"/>
  <c r="F27" i="6" l="1"/>
  <c r="G27" i="6"/>
  <c r="F10" i="6"/>
  <c r="G10" i="6"/>
  <c r="AG648" i="4" s="1"/>
  <c r="AH648" i="4" s="1"/>
  <c r="G19" i="6"/>
  <c r="F19" i="6"/>
  <c r="AG79" i="4"/>
  <c r="AH79" i="4" s="1"/>
  <c r="AG242" i="4"/>
  <c r="AH242" i="4" s="1"/>
  <c r="AG580" i="4"/>
  <c r="AH580" i="4" s="1"/>
  <c r="AG910" i="4"/>
  <c r="AH910" i="4" s="1"/>
  <c r="AG722" i="4"/>
  <c r="AH722" i="4" s="1"/>
  <c r="AG418" i="4"/>
  <c r="AH418" i="4" s="1"/>
  <c r="AG675" i="4"/>
  <c r="AH675" i="4" s="1"/>
  <c r="D73" i="2"/>
  <c r="D67" i="2"/>
  <c r="D71" i="2"/>
  <c r="D74" i="2"/>
  <c r="H30" i="5"/>
  <c r="AF580" i="4"/>
  <c r="AF824" i="4"/>
  <c r="AF810" i="4"/>
  <c r="AF354" i="4"/>
  <c r="AF279" i="4"/>
  <c r="AF364" i="4"/>
  <c r="AF780" i="4"/>
  <c r="AF201" i="4"/>
  <c r="AF387" i="4"/>
  <c r="AF452" i="4"/>
  <c r="AF558" i="4"/>
  <c r="AF143" i="4"/>
  <c r="AF651" i="4"/>
  <c r="AF183" i="4"/>
  <c r="AF864" i="4"/>
  <c r="AF992" i="4"/>
  <c r="AF544" i="4"/>
  <c r="AF911" i="4"/>
  <c r="AF980" i="4"/>
  <c r="AF19" i="4"/>
  <c r="AF623" i="4"/>
  <c r="AF392" i="4"/>
  <c r="AF88" i="4"/>
  <c r="AF343" i="4"/>
  <c r="AF32" i="4"/>
  <c r="AF283" i="4"/>
  <c r="AF252" i="4"/>
  <c r="AF731" i="4"/>
  <c r="AF767" i="4"/>
  <c r="AF625" i="4"/>
  <c r="AF140" i="4"/>
  <c r="AF368" i="4"/>
  <c r="AF81" i="4"/>
  <c r="AF674" i="4"/>
  <c r="AF707" i="4"/>
  <c r="AF918" i="4"/>
  <c r="AF186" i="4"/>
  <c r="AF404" i="4"/>
  <c r="AF400" i="4"/>
  <c r="AF627" i="4"/>
  <c r="AF84" i="4"/>
  <c r="AF113" i="4"/>
  <c r="AF701" i="4"/>
  <c r="AF217" i="4"/>
  <c r="AF508" i="4"/>
  <c r="AF22" i="4"/>
  <c r="AF54" i="4"/>
  <c r="AF819" i="4"/>
  <c r="AF698" i="4"/>
  <c r="AF161" i="4"/>
  <c r="AF181" i="4"/>
  <c r="AF654" i="4"/>
  <c r="AF240" i="4"/>
  <c r="AF441" i="4"/>
  <c r="AF601" i="4"/>
  <c r="AF529" i="4"/>
  <c r="AF117" i="4"/>
  <c r="AF272" i="4"/>
  <c r="AF440" i="4"/>
  <c r="AF457" i="4"/>
  <c r="AF383" i="4"/>
  <c r="AF652" i="4"/>
  <c r="AF822" i="4"/>
  <c r="AF959" i="4"/>
  <c r="AF194" i="4"/>
  <c r="AF814" i="4"/>
  <c r="AF168" i="4"/>
  <c r="AF395" i="4"/>
  <c r="AF282" i="4"/>
  <c r="AF972" i="4"/>
  <c r="AF691" i="4"/>
  <c r="AF153" i="4"/>
  <c r="AF515" i="4"/>
  <c r="AF70" i="4"/>
  <c r="AF873" i="4"/>
  <c r="AF120" i="4"/>
  <c r="AF78" i="4"/>
  <c r="AF184" i="4"/>
  <c r="AF212" i="4"/>
  <c r="AF278" i="4"/>
  <c r="AF834" i="4"/>
  <c r="AF762" i="4"/>
  <c r="AF539" i="4"/>
  <c r="AF151" i="4"/>
  <c r="AF79" i="4"/>
  <c r="AF981" i="4"/>
  <c r="AF125" i="4"/>
  <c r="AF649" i="4"/>
  <c r="AF256" i="4"/>
  <c r="AF288" i="4"/>
  <c r="AF988" i="4"/>
  <c r="AF34" i="4"/>
  <c r="AF246" i="4"/>
  <c r="AF80" i="4"/>
  <c r="AF831" i="4"/>
  <c r="AF57" i="4"/>
  <c r="AF994" i="4"/>
  <c r="AF177" i="4"/>
  <c r="AF384" i="4"/>
  <c r="AF163" i="4"/>
  <c r="AF801" i="4"/>
  <c r="AF672" i="4"/>
  <c r="AF697" i="4"/>
  <c r="AF328" i="4"/>
  <c r="AF356" i="4"/>
  <c r="AF178" i="4"/>
  <c r="AF689" i="4"/>
  <c r="AF322" i="4"/>
  <c r="AF149" i="4"/>
  <c r="AF667" i="4"/>
  <c r="AF382" i="4"/>
  <c r="B54" i="3" s="1"/>
  <c r="AF550" i="4"/>
  <c r="AF428" i="4"/>
  <c r="AF502" i="4"/>
  <c r="AF193" i="4"/>
  <c r="AF416" i="4"/>
  <c r="AF139" i="4"/>
  <c r="AF27" i="4"/>
  <c r="AF133" i="4"/>
  <c r="AF218" i="4"/>
  <c r="AF67" i="4"/>
  <c r="AF688" i="4"/>
  <c r="AF716" i="4"/>
  <c r="AF894" i="4"/>
  <c r="AF222" i="4"/>
  <c r="AF983" i="4"/>
  <c r="AF250" i="4"/>
  <c r="AF676" i="4"/>
  <c r="AF224" i="4"/>
  <c r="AF337" i="4"/>
  <c r="AF6" i="4"/>
  <c r="AF379" i="4"/>
  <c r="AF796" i="4"/>
  <c r="AF905" i="4"/>
  <c r="AF754" i="4"/>
  <c r="AF373" i="4"/>
  <c r="E5" i="6"/>
  <c r="I30" i="5"/>
  <c r="AF528" i="4"/>
  <c r="AF239" i="4"/>
  <c r="E6" i="5"/>
  <c r="C7" i="1" s="1"/>
  <c r="B5" i="6"/>
  <c r="B28" i="3"/>
  <c r="C28" i="3" s="1"/>
  <c r="E30" i="5"/>
  <c r="B8" i="6"/>
  <c r="C17" i="5"/>
  <c r="G17" i="5" s="1"/>
  <c r="E6" i="6"/>
  <c r="B38" i="3"/>
  <c r="D38" i="3" s="1"/>
  <c r="B43" i="3"/>
  <c r="D43" i="3" s="1"/>
  <c r="D72" i="2"/>
  <c r="B6" i="6"/>
  <c r="D80" i="2"/>
  <c r="D70" i="3"/>
  <c r="E70" i="3" s="1"/>
  <c r="C16" i="5"/>
  <c r="AF389" i="4"/>
  <c r="AF351" i="4"/>
  <c r="AF228" i="4"/>
  <c r="G12" i="6"/>
  <c r="AG9" i="4" s="1"/>
  <c r="AH9" i="4" s="1"/>
  <c r="P39" i="4"/>
  <c r="AB39" i="4" s="1"/>
  <c r="P71" i="4"/>
  <c r="AB71" i="4" s="1"/>
  <c r="P30" i="4"/>
  <c r="AB30" i="4" s="1"/>
  <c r="P60" i="4"/>
  <c r="AB60" i="4" s="1"/>
  <c r="P50" i="4"/>
  <c r="AB50" i="4" s="1"/>
  <c r="B31" i="8"/>
  <c r="D76" i="2"/>
  <c r="B32" i="8"/>
  <c r="AF329" i="4"/>
  <c r="AF294" i="4"/>
  <c r="AF16" i="4"/>
  <c r="AF73" i="4"/>
  <c r="AF450" i="4"/>
  <c r="AF914" i="4"/>
  <c r="AF438" i="4"/>
  <c r="AF579" i="4"/>
  <c r="AF431" i="4"/>
  <c r="AF519" i="4"/>
  <c r="AF129" i="4"/>
  <c r="AF562" i="4"/>
  <c r="AF41" i="4"/>
  <c r="AF270" i="4"/>
  <c r="AF312" i="4"/>
  <c r="H72" i="2" s="1"/>
  <c r="AF94" i="4"/>
  <c r="I6" i="5"/>
  <c r="AF350" i="4"/>
  <c r="AF37" i="4"/>
  <c r="AF414" i="4"/>
  <c r="G20" i="6"/>
  <c r="AG822" i="4" s="1"/>
  <c r="AH822" i="4" s="1"/>
  <c r="D75" i="2"/>
  <c r="AF307" i="4"/>
  <c r="AF187" i="4"/>
  <c r="B62" i="3" s="1"/>
  <c r="AF967" i="4"/>
  <c r="AF112" i="4"/>
  <c r="AF422" i="4"/>
  <c r="AF481" i="4"/>
  <c r="AF292" i="4"/>
  <c r="AF455" i="4"/>
  <c r="AF105" i="4"/>
  <c r="AF605" i="4"/>
  <c r="AF920" i="4"/>
  <c r="AF203" i="4"/>
  <c r="AF999" i="4"/>
  <c r="AF9" i="4"/>
  <c r="AF243" i="4"/>
  <c r="B33" i="8" s="1"/>
  <c r="AF871" i="4"/>
  <c r="AF264" i="4"/>
  <c r="AF685" i="4"/>
  <c r="AF896" i="4"/>
  <c r="AF618" i="4"/>
  <c r="AG383" i="4"/>
  <c r="AH383" i="4" s="1"/>
  <c r="AG196" i="4"/>
  <c r="AH196" i="4" s="1"/>
  <c r="AG979" i="4"/>
  <c r="AH979" i="4" s="1"/>
  <c r="AG792" i="4"/>
  <c r="AH792" i="4" s="1"/>
  <c r="AG628" i="4"/>
  <c r="AH628" i="4" s="1"/>
  <c r="AG34" i="4"/>
  <c r="AH34" i="4" s="1"/>
  <c r="AG172" i="4"/>
  <c r="AH172" i="4" s="1"/>
  <c r="AG489" i="4"/>
  <c r="AH489" i="4" s="1"/>
  <c r="AG11" i="4"/>
  <c r="AH11" i="4" s="1"/>
  <c r="AG816" i="4"/>
  <c r="AH816" i="4" s="1"/>
  <c r="AG651" i="4"/>
  <c r="AH651" i="4" s="1"/>
  <c r="AG359" i="4"/>
  <c r="AH359" i="4" s="1"/>
  <c r="AG512" i="4"/>
  <c r="AH512" i="4" s="1"/>
  <c r="AG956" i="4"/>
  <c r="AH956" i="4" s="1"/>
  <c r="AG335" i="4"/>
  <c r="AH335" i="4" s="1"/>
  <c r="AG319" i="4"/>
  <c r="AH319" i="4" s="1"/>
  <c r="AG403" i="4"/>
  <c r="AH403" i="4" s="1"/>
  <c r="AG64" i="4"/>
  <c r="AH64" i="4" s="1"/>
  <c r="AG474" i="4"/>
  <c r="AH474" i="4" s="1"/>
  <c r="AG918" i="4"/>
  <c r="AH918" i="4" s="1"/>
  <c r="AG753" i="4"/>
  <c r="AH753" i="4" s="1"/>
  <c r="AG566" i="4"/>
  <c r="AH566" i="4" s="1"/>
  <c r="AG156" i="4"/>
  <c r="AH156" i="4" s="1"/>
  <c r="AG110" i="4"/>
  <c r="AH110" i="4" s="1"/>
  <c r="AG848" i="4"/>
  <c r="AH848" i="4" s="1"/>
  <c r="AG683" i="4"/>
  <c r="AH683" i="4" s="1"/>
  <c r="AG296" i="4"/>
  <c r="AH296" i="4" s="1"/>
  <c r="AG543" i="4"/>
  <c r="AH543" i="4" s="1"/>
  <c r="AG228" i="4"/>
  <c r="AH228" i="4" s="1"/>
  <c r="AG87" i="4"/>
  <c r="AH87" i="4" s="1"/>
  <c r="AG613" i="4"/>
  <c r="AH613" i="4" s="1"/>
  <c r="AG776" i="4"/>
  <c r="AH776" i="4" s="1"/>
  <c r="AG588" i="4"/>
  <c r="AH588" i="4" s="1"/>
  <c r="AG450" i="4"/>
  <c r="AH450" i="4" s="1"/>
  <c r="AG250" i="4"/>
  <c r="AH250" i="4" s="1"/>
  <c r="AG272" i="4"/>
  <c r="AH272" i="4" s="1"/>
  <c r="AG730" i="4"/>
  <c r="AH730" i="4" s="1"/>
  <c r="AG133" i="4"/>
  <c r="AH133" i="4" s="1"/>
  <c r="AG590" i="4"/>
  <c r="AH590" i="4" s="1"/>
  <c r="AG426" i="4"/>
  <c r="AH426" i="4" s="1"/>
  <c r="AG895" i="4"/>
  <c r="AH895" i="4" s="1"/>
  <c r="AG872" i="4"/>
  <c r="AH872" i="4" s="1"/>
  <c r="AG706" i="4"/>
  <c r="AH706" i="4" s="1"/>
  <c r="AG940" i="4"/>
  <c r="AH940" i="4" s="1"/>
  <c r="D36" i="3"/>
  <c r="C36" i="3"/>
  <c r="C56" i="3"/>
  <c r="D56" i="3"/>
  <c r="I83" i="2"/>
  <c r="B46" i="3"/>
  <c r="F78" i="2"/>
  <c r="F25" i="6"/>
  <c r="G25" i="6"/>
  <c r="D66" i="2"/>
  <c r="E64" i="2"/>
  <c r="F70" i="2"/>
  <c r="H85" i="2"/>
  <c r="G11" i="6"/>
  <c r="F11" i="6"/>
  <c r="C25" i="6"/>
  <c r="D25" i="6" s="1"/>
  <c r="C66" i="2"/>
  <c r="B29" i="3"/>
  <c r="C11" i="6"/>
  <c r="D11" i="6" s="1"/>
  <c r="D9" i="6"/>
  <c r="C9" i="6"/>
  <c r="H43" i="5"/>
  <c r="I43" i="5"/>
  <c r="F81" i="2"/>
  <c r="C84" i="2"/>
  <c r="AG887" i="4"/>
  <c r="AH887" i="4" s="1"/>
  <c r="F21" i="6"/>
  <c r="G21" i="6" s="1"/>
  <c r="C64" i="2"/>
  <c r="F15" i="6"/>
  <c r="G15" i="6" s="1"/>
  <c r="D53" i="3"/>
  <c r="C53" i="3"/>
  <c r="D26" i="6"/>
  <c r="C26" i="6"/>
  <c r="F22" i="6"/>
  <c r="G22" i="6" s="1"/>
  <c r="C77" i="2"/>
  <c r="I77" i="2"/>
  <c r="B40" i="3"/>
  <c r="F66" i="2"/>
  <c r="C80" i="2"/>
  <c r="E70" i="2"/>
  <c r="I69" i="2"/>
  <c r="B32" i="3"/>
  <c r="C21" i="6"/>
  <c r="D21" i="6" s="1"/>
  <c r="F18" i="6"/>
  <c r="G18" i="6" s="1"/>
  <c r="AG952" i="4"/>
  <c r="AH952" i="4" s="1"/>
  <c r="C82" i="2"/>
  <c r="F68" i="2"/>
  <c r="G7" i="6"/>
  <c r="F7" i="6"/>
  <c r="D85" i="2"/>
  <c r="F17" i="5"/>
  <c r="E17" i="5"/>
  <c r="C76" i="3"/>
  <c r="D45" i="5"/>
  <c r="I41" i="5"/>
  <c r="H41" i="5"/>
  <c r="G85" i="2"/>
  <c r="B55" i="3"/>
  <c r="H80" i="2"/>
  <c r="D68" i="2"/>
  <c r="D19" i="6"/>
  <c r="C19" i="6"/>
  <c r="G81" i="2"/>
  <c r="I17" i="5"/>
  <c r="H17" i="5"/>
  <c r="D69" i="3"/>
  <c r="H65" i="2"/>
  <c r="B34" i="8"/>
  <c r="I62" i="2"/>
  <c r="H78" i="2"/>
  <c r="F71" i="2"/>
  <c r="E72" i="2"/>
  <c r="D77" i="2"/>
  <c r="G15" i="5"/>
  <c r="F15" i="5"/>
  <c r="E15" i="5"/>
  <c r="C18" i="5"/>
  <c r="A78" i="3"/>
  <c r="C77" i="3"/>
  <c r="D77" i="3"/>
  <c r="B77" i="3"/>
  <c r="D68" i="3"/>
  <c r="H76" i="2"/>
  <c r="C79" i="2"/>
  <c r="F63" i="2"/>
  <c r="C68" i="2"/>
  <c r="G6" i="6"/>
  <c r="F6" i="6"/>
  <c r="I65" i="2"/>
  <c r="AG466" i="4"/>
  <c r="AH466" i="4" s="1"/>
  <c r="AG220" i="4"/>
  <c r="AH220" i="4" s="1"/>
  <c r="AG311" i="4"/>
  <c r="AH311" i="4" s="1"/>
  <c r="AG442" i="4"/>
  <c r="AH442" i="4" s="1"/>
  <c r="AG932" i="4"/>
  <c r="AH932" i="4" s="1"/>
  <c r="AG558" i="4"/>
  <c r="AH558" i="4" s="1"/>
  <c r="AG840" i="4"/>
  <c r="AH840" i="4" s="1"/>
  <c r="AG102" i="4"/>
  <c r="AH102" i="4" s="1"/>
  <c r="AG148" i="4"/>
  <c r="AH148" i="4" s="1"/>
  <c r="AG535" i="4"/>
  <c r="AH535" i="4" s="1"/>
  <c r="AG768" i="4"/>
  <c r="AH768" i="4" s="1"/>
  <c r="AG264" i="4"/>
  <c r="AH264" i="4" s="1"/>
  <c r="AG864" i="4"/>
  <c r="AH864" i="4" s="1"/>
  <c r="AG745" i="4"/>
  <c r="AH745" i="4" s="1"/>
  <c r="AG125" i="4"/>
  <c r="AH125" i="4" s="1"/>
  <c r="AG288" i="4"/>
  <c r="AH288" i="4" s="1"/>
  <c r="AG698" i="4"/>
  <c r="AH698" i="4" s="1"/>
  <c r="AG379" i="4"/>
  <c r="AH379" i="4" s="1"/>
  <c r="AG355" i="4"/>
  <c r="AH355" i="4" s="1"/>
  <c r="AG7" i="4"/>
  <c r="AH7" i="4" s="1"/>
  <c r="AG192" i="4"/>
  <c r="AH192" i="4" s="1"/>
  <c r="AG788" i="4"/>
  <c r="AH788" i="4" s="1"/>
  <c r="AG168" i="4"/>
  <c r="AH168" i="4" s="1"/>
  <c r="I75" i="2"/>
  <c r="H68" i="2"/>
  <c r="C83" i="2"/>
  <c r="F62" i="2"/>
  <c r="I10" i="5"/>
  <c r="C8" i="6"/>
  <c r="D8" i="6" s="1"/>
  <c r="B41" i="3"/>
  <c r="F8" i="6"/>
  <c r="G8" i="6" s="1"/>
  <c r="C74" i="2"/>
  <c r="AG381" i="4"/>
  <c r="AH381" i="4" s="1"/>
  <c r="AG357" i="4"/>
  <c r="AH357" i="4" s="1"/>
  <c r="AG510" i="4"/>
  <c r="AH510" i="4" s="1"/>
  <c r="AG194" i="4"/>
  <c r="AH194" i="4" s="1"/>
  <c r="AG790" i="4"/>
  <c r="AH790" i="4" s="1"/>
  <c r="AG487" i="4"/>
  <c r="AH487" i="4" s="1"/>
  <c r="B34" i="3"/>
  <c r="I71" i="2"/>
  <c r="D82" i="2"/>
  <c r="C10" i="6"/>
  <c r="D10" i="6" s="1"/>
  <c r="D71" i="3"/>
  <c r="I53" i="5"/>
  <c r="H70" i="2"/>
  <c r="D64" i="2"/>
  <c r="H79" i="2"/>
  <c r="C23" i="6"/>
  <c r="D23" i="6" s="1"/>
  <c r="C85" i="2"/>
  <c r="G74" i="2"/>
  <c r="F77" i="2"/>
  <c r="C73" i="2"/>
  <c r="B25" i="3"/>
  <c r="I16" i="5"/>
  <c r="H16" i="5"/>
  <c r="AG605" i="4"/>
  <c r="AH605" i="4" s="1"/>
  <c r="I42" i="5"/>
  <c r="H42" i="5"/>
  <c r="H82" i="2"/>
  <c r="I78" i="2"/>
  <c r="I22" i="5"/>
  <c r="D26" i="5"/>
  <c r="H22" i="5"/>
  <c r="C26" i="5"/>
  <c r="G22" i="5"/>
  <c r="F22" i="5"/>
  <c r="E22" i="5"/>
  <c r="E16" i="5"/>
  <c r="G16" i="5"/>
  <c r="F16" i="5"/>
  <c r="AG341" i="4"/>
  <c r="AH341" i="4" s="1"/>
  <c r="B26" i="3"/>
  <c r="I63" i="2"/>
  <c r="C67" i="2"/>
  <c r="E78" i="2"/>
  <c r="E84" i="2"/>
  <c r="A7" i="7"/>
  <c r="G6" i="7"/>
  <c r="D6" i="7"/>
  <c r="B6" i="7"/>
  <c r="F6" i="7"/>
  <c r="E6" i="7"/>
  <c r="C6" i="7"/>
  <c r="G44" i="5"/>
  <c r="F44" i="5"/>
  <c r="E44" i="5"/>
  <c r="AG508" i="4"/>
  <c r="AH508" i="4" s="1"/>
  <c r="F73" i="2"/>
  <c r="F23" i="6"/>
  <c r="G23" i="6" s="1"/>
  <c r="I15" i="5"/>
  <c r="H15" i="5"/>
  <c r="D18" i="5"/>
  <c r="AG389" i="4"/>
  <c r="AH389" i="4" s="1"/>
  <c r="AG798" i="4"/>
  <c r="AH798" i="4" s="1"/>
  <c r="AG40" i="4"/>
  <c r="AH40" i="4" s="1"/>
  <c r="AG340" i="4"/>
  <c r="AH340" i="4" s="1"/>
  <c r="AG494" i="4"/>
  <c r="AH494" i="4" s="1"/>
  <c r="AG16" i="4"/>
  <c r="AH16" i="4" s="1"/>
  <c r="AG984" i="4"/>
  <c r="AH984" i="4" s="1"/>
  <c r="AG797" i="4"/>
  <c r="AH797" i="4" s="1"/>
  <c r="AG201" i="4"/>
  <c r="AH201" i="4" s="1"/>
  <c r="AG517" i="4"/>
  <c r="AH517" i="4" s="1"/>
  <c r="AG364" i="4"/>
  <c r="AH364" i="4" s="1"/>
  <c r="AG388" i="4"/>
  <c r="AH388" i="4" s="1"/>
  <c r="AG656" i="4"/>
  <c r="AH656" i="4" s="1"/>
  <c r="AG961" i="4"/>
  <c r="AH961" i="4" s="1"/>
  <c r="AG821" i="4"/>
  <c r="AH821" i="4" s="1"/>
  <c r="AG633" i="4"/>
  <c r="AH633" i="4" s="1"/>
  <c r="G82" i="2"/>
  <c r="G76" i="2"/>
  <c r="F5" i="6"/>
  <c r="G5" i="6" s="1"/>
  <c r="E29" i="6"/>
  <c r="AG56" i="4"/>
  <c r="AH56" i="4" s="1"/>
  <c r="G83" i="2"/>
  <c r="F41" i="5"/>
  <c r="E41" i="5"/>
  <c r="C45" i="5"/>
  <c r="G41" i="5"/>
  <c r="B47" i="3"/>
  <c r="I84" i="2"/>
  <c r="AG348" i="4"/>
  <c r="AH348" i="4" s="1"/>
  <c r="E37" i="5"/>
  <c r="G28" i="6"/>
  <c r="F28" i="6"/>
  <c r="E82" i="2"/>
  <c r="F84" i="2"/>
  <c r="I24" i="5"/>
  <c r="H24" i="5"/>
  <c r="B14" i="3"/>
  <c r="G42" i="5"/>
  <c r="F42" i="5"/>
  <c r="E42" i="5"/>
  <c r="D78" i="2"/>
  <c r="G80" i="2"/>
  <c r="C27" i="6"/>
  <c r="D27" i="6" s="1"/>
  <c r="F74" i="2"/>
  <c r="C78" i="2"/>
  <c r="AG634" i="4"/>
  <c r="AH634" i="4" s="1"/>
  <c r="C28" i="6"/>
  <c r="D28" i="6" s="1"/>
  <c r="H63" i="2"/>
  <c r="G25" i="5"/>
  <c r="F25" i="5"/>
  <c r="E25" i="5"/>
  <c r="C76" i="2"/>
  <c r="G84" i="2"/>
  <c r="G75" i="2"/>
  <c r="E74" i="2"/>
  <c r="E83" i="2"/>
  <c r="F16" i="6"/>
  <c r="G16" i="6" s="1"/>
  <c r="AG209" i="4"/>
  <c r="AH209" i="4" s="1"/>
  <c r="G77" i="2"/>
  <c r="F64" i="2"/>
  <c r="C12" i="6"/>
  <c r="D12" i="6" s="1"/>
  <c r="E85" i="2"/>
  <c r="AG977" i="4"/>
  <c r="AH977" i="4" s="1"/>
  <c r="B11" i="3"/>
  <c r="I76" i="2"/>
  <c r="B39" i="3"/>
  <c r="C13" i="6"/>
  <c r="D13" i="6"/>
  <c r="H77" i="2"/>
  <c r="D65" i="2"/>
  <c r="B42" i="3"/>
  <c r="G70" i="2"/>
  <c r="D84" i="2"/>
  <c r="B15" i="3"/>
  <c r="I44" i="5"/>
  <c r="H44" i="5"/>
  <c r="E77" i="2"/>
  <c r="I37" i="5"/>
  <c r="H64" i="2"/>
  <c r="F83" i="2"/>
  <c r="I82" i="2"/>
  <c r="D17" i="6"/>
  <c r="C17" i="6"/>
  <c r="C16" i="6"/>
  <c r="D16" i="6" s="1"/>
  <c r="B48" i="3"/>
  <c r="F24" i="6"/>
  <c r="G24" i="6" s="1"/>
  <c r="B37" i="3"/>
  <c r="I74" i="2"/>
  <c r="B61" i="3"/>
  <c r="G24" i="5"/>
  <c r="F24" i="5"/>
  <c r="E24" i="5"/>
  <c r="E16" i="8"/>
  <c r="F16" i="8"/>
  <c r="G78" i="2"/>
  <c r="G13" i="6"/>
  <c r="F13" i="6"/>
  <c r="C75" i="2"/>
  <c r="H73" i="2"/>
  <c r="F67" i="2"/>
  <c r="D83" i="2"/>
  <c r="B44" i="3"/>
  <c r="I81" i="2"/>
  <c r="B27" i="3"/>
  <c r="I64" i="2"/>
  <c r="G67" i="2"/>
  <c r="C65" i="2"/>
  <c r="F26" i="6"/>
  <c r="G26" i="6"/>
  <c r="G68" i="2"/>
  <c r="C24" i="6"/>
  <c r="D24" i="6"/>
  <c r="C20" i="6"/>
  <c r="D20" i="6" s="1"/>
  <c r="B29" i="6"/>
  <c r="D5" i="6"/>
  <c r="C5" i="6"/>
  <c r="C18" i="6"/>
  <c r="D18" i="6" s="1"/>
  <c r="B31" i="3"/>
  <c r="I68" i="2"/>
  <c r="AB10" i="4"/>
  <c r="B9" i="8" s="1"/>
  <c r="B24" i="9"/>
  <c r="D24" i="9" s="1"/>
  <c r="D62" i="2"/>
  <c r="B30" i="3"/>
  <c r="I67" i="2"/>
  <c r="G73" i="2"/>
  <c r="F17" i="6"/>
  <c r="G17" i="6"/>
  <c r="B45" i="3"/>
  <c r="I25" i="5"/>
  <c r="H25" i="5"/>
  <c r="B35" i="3"/>
  <c r="AG525" i="4"/>
  <c r="AH525" i="4" s="1"/>
  <c r="AG47" i="4"/>
  <c r="AH47" i="4" s="1"/>
  <c r="AG805" i="4"/>
  <c r="AH805" i="4" s="1"/>
  <c r="AG829" i="4"/>
  <c r="AH829" i="4" s="1"/>
  <c r="AG992" i="4"/>
  <c r="AH992" i="4" s="1"/>
  <c r="AG396" i="4"/>
  <c r="AH396" i="4" s="1"/>
  <c r="AG372" i="4"/>
  <c r="AH372" i="4" s="1"/>
  <c r="AG641" i="4"/>
  <c r="AH641" i="4" s="1"/>
  <c r="AG502" i="4"/>
  <c r="AH502" i="4" s="1"/>
  <c r="AG969" i="4"/>
  <c r="AH969" i="4" s="1"/>
  <c r="AG24" i="4"/>
  <c r="AH24" i="4" s="1"/>
  <c r="C70" i="2"/>
  <c r="F80" i="2"/>
  <c r="D7" i="6"/>
  <c r="C7" i="6"/>
  <c r="D79" i="2"/>
  <c r="G9" i="6"/>
  <c r="F9" i="6"/>
  <c r="G43" i="5"/>
  <c r="F43" i="5"/>
  <c r="E43" i="5"/>
  <c r="E76" i="2"/>
  <c r="AG518" i="4"/>
  <c r="AH518" i="4" s="1"/>
  <c r="D15" i="6"/>
  <c r="C15" i="6"/>
  <c r="C43" i="3" l="1"/>
  <c r="C38" i="3"/>
  <c r="E38" i="3" s="1"/>
  <c r="F70" i="3"/>
  <c r="AG495" i="4"/>
  <c r="AH495" i="4" s="1"/>
  <c r="AG202" i="4"/>
  <c r="AH202" i="4" s="1"/>
  <c r="D70" i="2"/>
  <c r="AG985" i="4"/>
  <c r="AH985" i="4" s="1"/>
  <c r="AG365" i="4"/>
  <c r="AH365" i="4" s="1"/>
  <c r="AG178" i="4"/>
  <c r="AH178" i="4" s="1"/>
  <c r="E26" i="5"/>
  <c r="AG954" i="4"/>
  <c r="AH954" i="4" s="1"/>
  <c r="E18" i="5"/>
  <c r="AG32" i="4"/>
  <c r="AH32" i="4" s="1"/>
  <c r="AG962" i="4"/>
  <c r="AH962" i="4" s="1"/>
  <c r="B33" i="3"/>
  <c r="D6" i="6"/>
  <c r="C6" i="6"/>
  <c r="AG812" i="4"/>
  <c r="AH812" i="4" s="1"/>
  <c r="B12" i="3"/>
  <c r="B16" i="3" s="1"/>
  <c r="N9" i="2" s="1"/>
  <c r="D28" i="3"/>
  <c r="E28" i="3" s="1"/>
  <c r="AG331" i="4"/>
  <c r="AH331" i="4" s="1"/>
  <c r="B63" i="3"/>
  <c r="E36" i="3"/>
  <c r="AG177" i="4"/>
  <c r="AH177" i="4" s="1"/>
  <c r="AG39" i="4"/>
  <c r="AH39" i="4" s="1"/>
  <c r="AG170" i="4"/>
  <c r="AH170" i="4" s="1"/>
  <c r="AG626" i="4"/>
  <c r="AH626" i="4" s="1"/>
  <c r="AG649" i="4"/>
  <c r="AH649" i="4" s="1"/>
  <c r="AG814" i="4"/>
  <c r="AH814" i="4" s="1"/>
  <c r="C6" i="1"/>
  <c r="AG333" i="4"/>
  <c r="AH333" i="4" s="1"/>
  <c r="B17" i="9"/>
  <c r="D17" i="9" s="1"/>
  <c r="AG657" i="4"/>
  <c r="AH657" i="4" s="1"/>
  <c r="AG17" i="4"/>
  <c r="AH17" i="4" s="1"/>
  <c r="AG185" i="4"/>
  <c r="AH185" i="4" s="1"/>
  <c r="AG664" i="4"/>
  <c r="AH664" i="4" s="1"/>
  <c r="AG391" i="4"/>
  <c r="AH391" i="4" s="1"/>
  <c r="AG180" i="4"/>
  <c r="AH180" i="4" s="1"/>
  <c r="AG824" i="4"/>
  <c r="AH824" i="4" s="1"/>
  <c r="AG636" i="4"/>
  <c r="AH636" i="4" s="1"/>
  <c r="AG367" i="4"/>
  <c r="AH367" i="4" s="1"/>
  <c r="AG987" i="4"/>
  <c r="AH987" i="4" s="1"/>
  <c r="AG520" i="4"/>
  <c r="AH520" i="4" s="1"/>
  <c r="AG19" i="4"/>
  <c r="AH19" i="4" s="1"/>
  <c r="AG42" i="4"/>
  <c r="AH42" i="4" s="1"/>
  <c r="AG964" i="4"/>
  <c r="AH964" i="4" s="1"/>
  <c r="AG204" i="4"/>
  <c r="AH204" i="4" s="1"/>
  <c r="AG800" i="4"/>
  <c r="AH800" i="4" s="1"/>
  <c r="AG497" i="4"/>
  <c r="AH497" i="4" s="1"/>
  <c r="AG659" i="4"/>
  <c r="AH659" i="4" s="1"/>
  <c r="AG343" i="4"/>
  <c r="AH343" i="4" s="1"/>
  <c r="AG309" i="4"/>
  <c r="AH309" i="4" s="1"/>
  <c r="AG262" i="4"/>
  <c r="AH262" i="4" s="1"/>
  <c r="AG603" i="4"/>
  <c r="AH603" i="4" s="1"/>
  <c r="AG464" i="4"/>
  <c r="AH464" i="4" s="1"/>
  <c r="AG908" i="4"/>
  <c r="AH908" i="4" s="1"/>
  <c r="AG146" i="4"/>
  <c r="AH146" i="4" s="1"/>
  <c r="AG440" i="4"/>
  <c r="AH440" i="4" s="1"/>
  <c r="AG1001" i="4"/>
  <c r="AH1001" i="4" s="1"/>
  <c r="AG766" i="4"/>
  <c r="AH766" i="4" s="1"/>
  <c r="AG696" i="4"/>
  <c r="AH696" i="4" s="1"/>
  <c r="AG286" i="4"/>
  <c r="AH286" i="4" s="1"/>
  <c r="AG533" i="4"/>
  <c r="AH533" i="4" s="1"/>
  <c r="AG743" i="4"/>
  <c r="AH743" i="4" s="1"/>
  <c r="AG720" i="4"/>
  <c r="AH720" i="4" s="1"/>
  <c r="AG673" i="4"/>
  <c r="AH673" i="4" s="1"/>
  <c r="AG862" i="4"/>
  <c r="AH862" i="4" s="1"/>
  <c r="AG838" i="4"/>
  <c r="AH838" i="4" s="1"/>
  <c r="AG54" i="4"/>
  <c r="AH54" i="4" s="1"/>
  <c r="AG930" i="4"/>
  <c r="AH930" i="4" s="1"/>
  <c r="AG100" i="4"/>
  <c r="AH100" i="4" s="1"/>
  <c r="AG123" i="4"/>
  <c r="AH123" i="4" s="1"/>
  <c r="AG578" i="4"/>
  <c r="AH578" i="4" s="1"/>
  <c r="AG556" i="4"/>
  <c r="AH556" i="4" s="1"/>
  <c r="AG240" i="4"/>
  <c r="AH240" i="4" s="1"/>
  <c r="AG416" i="4"/>
  <c r="AH416" i="4" s="1"/>
  <c r="AG885" i="4"/>
  <c r="AH885" i="4" s="1"/>
  <c r="AG77" i="4"/>
  <c r="AH77" i="4" s="1"/>
  <c r="AG218" i="4"/>
  <c r="AH218" i="4" s="1"/>
  <c r="AG216" i="4"/>
  <c r="AH216" i="4" s="1"/>
  <c r="AG144" i="4"/>
  <c r="AH144" i="4" s="1"/>
  <c r="AG284" i="4"/>
  <c r="AH284" i="4" s="1"/>
  <c r="AG694" i="4"/>
  <c r="AH694" i="4" s="1"/>
  <c r="AG906" i="4"/>
  <c r="AH906" i="4" s="1"/>
  <c r="AG671" i="4"/>
  <c r="AH671" i="4" s="1"/>
  <c r="AG531" i="4"/>
  <c r="AH531" i="4" s="1"/>
  <c r="AG238" i="4"/>
  <c r="AH238" i="4" s="1"/>
  <c r="AG928" i="4"/>
  <c r="AH928" i="4" s="1"/>
  <c r="AG999" i="4"/>
  <c r="AH999" i="4" s="1"/>
  <c r="AG764" i="4"/>
  <c r="AH764" i="4" s="1"/>
  <c r="AG52" i="4"/>
  <c r="AH52" i="4" s="1"/>
  <c r="AG414" i="4"/>
  <c r="AH414" i="4" s="1"/>
  <c r="AG462" i="4"/>
  <c r="AH462" i="4" s="1"/>
  <c r="AG741" i="4"/>
  <c r="AH741" i="4" s="1"/>
  <c r="AG860" i="4"/>
  <c r="AH860" i="4" s="1"/>
  <c r="AG836" i="4"/>
  <c r="AH836" i="4" s="1"/>
  <c r="AG601" i="4"/>
  <c r="AH601" i="4" s="1"/>
  <c r="AG75" i="4"/>
  <c r="AH75" i="4" s="1"/>
  <c r="AG883" i="4"/>
  <c r="AH883" i="4" s="1"/>
  <c r="AG121" i="4"/>
  <c r="AH121" i="4" s="1"/>
  <c r="AG307" i="4"/>
  <c r="AH307" i="4" s="1"/>
  <c r="AG718" i="4"/>
  <c r="AH718" i="4" s="1"/>
  <c r="AG554" i="4"/>
  <c r="AH554" i="4" s="1"/>
  <c r="AG98" i="4"/>
  <c r="AH98" i="4" s="1"/>
  <c r="AG260" i="4"/>
  <c r="AH260" i="4" s="1"/>
  <c r="AG438" i="4"/>
  <c r="AH438" i="4" s="1"/>
  <c r="AG576" i="4"/>
  <c r="AH576" i="4" s="1"/>
  <c r="AG132" i="4"/>
  <c r="AH132" i="4" s="1"/>
  <c r="AG86" i="4"/>
  <c r="AH86" i="4" s="1"/>
  <c r="AG295" i="4"/>
  <c r="AH295" i="4" s="1"/>
  <c r="AG589" i="4"/>
  <c r="AH589" i="4" s="1"/>
  <c r="AG473" i="4"/>
  <c r="AH473" i="4" s="1"/>
  <c r="AG775" i="4"/>
  <c r="AH775" i="4" s="1"/>
  <c r="AG705" i="4"/>
  <c r="AH705" i="4" s="1"/>
  <c r="AG109" i="4"/>
  <c r="AH109" i="4" s="1"/>
  <c r="AG847" i="4"/>
  <c r="AH847" i="4" s="1"/>
  <c r="AG249" i="4"/>
  <c r="AH249" i="4" s="1"/>
  <c r="AG752" i="4"/>
  <c r="AH752" i="4" s="1"/>
  <c r="AG155" i="4"/>
  <c r="AH155" i="4" s="1"/>
  <c r="AG939" i="4"/>
  <c r="AH939" i="4" s="1"/>
  <c r="AG425" i="4"/>
  <c r="AH425" i="4" s="1"/>
  <c r="AG449" i="4"/>
  <c r="AH449" i="4" s="1"/>
  <c r="AG271" i="4"/>
  <c r="AH271" i="4" s="1"/>
  <c r="AG612" i="4"/>
  <c r="AH612" i="4" s="1"/>
  <c r="AG542" i="4"/>
  <c r="AH542" i="4" s="1"/>
  <c r="AG587" i="4"/>
  <c r="AH587" i="4" s="1"/>
  <c r="AG894" i="4"/>
  <c r="AH894" i="4" s="1"/>
  <c r="AG682" i="4"/>
  <c r="AH682" i="4" s="1"/>
  <c r="AG318" i="4"/>
  <c r="AH318" i="4" s="1"/>
  <c r="AG871" i="4"/>
  <c r="AH871" i="4" s="1"/>
  <c r="AG917" i="4"/>
  <c r="AH917" i="4" s="1"/>
  <c r="AG565" i="4"/>
  <c r="AH565" i="4" s="1"/>
  <c r="AG402" i="4"/>
  <c r="AH402" i="4" s="1"/>
  <c r="AG227" i="4"/>
  <c r="AH227" i="4" s="1"/>
  <c r="AG63" i="4"/>
  <c r="AH63" i="4" s="1"/>
  <c r="AG729" i="4"/>
  <c r="AH729" i="4" s="1"/>
  <c r="AG742" i="4"/>
  <c r="AH742" i="4" s="1"/>
  <c r="AG907" i="4"/>
  <c r="AH907" i="4" s="1"/>
  <c r="AG217" i="4"/>
  <c r="AH217" i="4" s="1"/>
  <c r="AG285" i="4"/>
  <c r="AH285" i="4" s="1"/>
  <c r="AG884" i="4"/>
  <c r="AH884" i="4" s="1"/>
  <c r="AG672" i="4"/>
  <c r="AH672" i="4" s="1"/>
  <c r="AG555" i="4"/>
  <c r="AH555" i="4" s="1"/>
  <c r="AG719" i="4"/>
  <c r="AH719" i="4" s="1"/>
  <c r="AG439" i="4"/>
  <c r="AH439" i="4" s="1"/>
  <c r="AG99" i="4"/>
  <c r="AH99" i="4" s="1"/>
  <c r="AG602" i="4"/>
  <c r="AH602" i="4" s="1"/>
  <c r="AG837" i="4"/>
  <c r="AH837" i="4" s="1"/>
  <c r="AG929" i="4"/>
  <c r="AH929" i="4" s="1"/>
  <c r="AG239" i="4"/>
  <c r="AH239" i="4" s="1"/>
  <c r="AG861" i="4"/>
  <c r="AH861" i="4" s="1"/>
  <c r="AG53" i="4"/>
  <c r="AH53" i="4" s="1"/>
  <c r="AG145" i="4"/>
  <c r="AH145" i="4" s="1"/>
  <c r="AG261" i="4"/>
  <c r="AH261" i="4" s="1"/>
  <c r="AG415" i="4"/>
  <c r="AH415" i="4" s="1"/>
  <c r="AG463" i="4"/>
  <c r="AH463" i="4" s="1"/>
  <c r="AG765" i="4"/>
  <c r="AH765" i="4" s="1"/>
  <c r="AG76" i="4"/>
  <c r="AH76" i="4" s="1"/>
  <c r="AG308" i="4"/>
  <c r="AH308" i="4" s="1"/>
  <c r="AG1000" i="4"/>
  <c r="AH1000" i="4" s="1"/>
  <c r="AG532" i="4"/>
  <c r="AH532" i="4" s="1"/>
  <c r="AG577" i="4"/>
  <c r="AH577" i="4" s="1"/>
  <c r="AG122" i="4"/>
  <c r="AH122" i="4" s="1"/>
  <c r="AG695" i="4"/>
  <c r="AH695" i="4" s="1"/>
  <c r="AG361" i="4"/>
  <c r="AH361" i="4" s="1"/>
  <c r="AG174" i="4"/>
  <c r="AH174" i="4" s="1"/>
  <c r="AG981" i="4"/>
  <c r="AH981" i="4" s="1"/>
  <c r="AG337" i="4"/>
  <c r="AH337" i="4" s="1"/>
  <c r="AG818" i="4"/>
  <c r="AH818" i="4" s="1"/>
  <c r="AG794" i="4"/>
  <c r="AH794" i="4" s="1"/>
  <c r="AG653" i="4"/>
  <c r="AH653" i="4" s="1"/>
  <c r="AG491" i="4"/>
  <c r="AH491" i="4" s="1"/>
  <c r="AG385" i="4"/>
  <c r="AH385" i="4" s="1"/>
  <c r="AG198" i="4"/>
  <c r="AH198" i="4" s="1"/>
  <c r="AG36" i="4"/>
  <c r="AH36" i="4" s="1"/>
  <c r="AG958" i="4"/>
  <c r="AH958" i="4" s="1"/>
  <c r="AG13" i="4"/>
  <c r="AH13" i="4" s="1"/>
  <c r="AG630" i="4"/>
  <c r="AH630" i="4" s="1"/>
  <c r="AG514" i="4"/>
  <c r="AH514" i="4" s="1"/>
  <c r="AG246" i="4"/>
  <c r="AH246" i="4" s="1"/>
  <c r="AG268" i="4"/>
  <c r="AH268" i="4" s="1"/>
  <c r="AG224" i="4"/>
  <c r="AH224" i="4" s="1"/>
  <c r="AG914" i="4"/>
  <c r="AH914" i="4" s="1"/>
  <c r="AG891" i="4"/>
  <c r="AH891" i="4" s="1"/>
  <c r="AG83" i="4"/>
  <c r="AH83" i="4" s="1"/>
  <c r="AG702" i="4"/>
  <c r="AH702" i="4" s="1"/>
  <c r="AG292" i="4"/>
  <c r="AH292" i="4" s="1"/>
  <c r="AG315" i="4"/>
  <c r="AH315" i="4" s="1"/>
  <c r="AG868" i="4"/>
  <c r="AH868" i="4" s="1"/>
  <c r="AG106" i="4"/>
  <c r="AH106" i="4" s="1"/>
  <c r="AG726" i="4"/>
  <c r="AH726" i="4" s="1"/>
  <c r="AG844" i="4"/>
  <c r="AH844" i="4" s="1"/>
  <c r="AG679" i="4"/>
  <c r="AH679" i="4" s="1"/>
  <c r="AG399" i="4"/>
  <c r="AH399" i="4" s="1"/>
  <c r="AG749" i="4"/>
  <c r="AH749" i="4" s="1"/>
  <c r="AG772" i="4"/>
  <c r="AH772" i="4" s="1"/>
  <c r="AG609" i="4"/>
  <c r="AH609" i="4" s="1"/>
  <c r="AG539" i="4"/>
  <c r="AH539" i="4" s="1"/>
  <c r="AG446" i="4"/>
  <c r="AH446" i="4" s="1"/>
  <c r="AG129" i="4"/>
  <c r="AH129" i="4" s="1"/>
  <c r="AG152" i="4"/>
  <c r="AH152" i="4" s="1"/>
  <c r="AG470" i="4"/>
  <c r="AH470" i="4" s="1"/>
  <c r="AG584" i="4"/>
  <c r="AH584" i="4" s="1"/>
  <c r="AG422" i="4"/>
  <c r="AH422" i="4" s="1"/>
  <c r="AG562" i="4"/>
  <c r="AH562" i="4" s="1"/>
  <c r="AG60" i="4"/>
  <c r="AH60" i="4" s="1"/>
  <c r="AG936" i="4"/>
  <c r="AH936" i="4" s="1"/>
  <c r="AG408" i="4"/>
  <c r="AH408" i="4" s="1"/>
  <c r="AG595" i="4"/>
  <c r="AH595" i="4" s="1"/>
  <c r="AG923" i="4"/>
  <c r="AH923" i="4" s="1"/>
  <c r="AG877" i="4"/>
  <c r="AH877" i="4" s="1"/>
  <c r="AG277" i="4"/>
  <c r="AH277" i="4" s="1"/>
  <c r="AG688" i="4"/>
  <c r="AH688" i="4" s="1"/>
  <c r="AG781" i="4"/>
  <c r="AH781" i="4" s="1"/>
  <c r="AG853" i="4"/>
  <c r="AH853" i="4" s="1"/>
  <c r="AG301" i="4"/>
  <c r="AH301" i="4" s="1"/>
  <c r="AG455" i="4"/>
  <c r="AH455" i="4" s="1"/>
  <c r="AG479" i="4"/>
  <c r="AH479" i="4" s="1"/>
  <c r="AG571" i="4"/>
  <c r="AH571" i="4" s="1"/>
  <c r="AG69" i="4"/>
  <c r="AH69" i="4" s="1"/>
  <c r="AG92" i="4"/>
  <c r="AH92" i="4" s="1"/>
  <c r="AG138" i="4"/>
  <c r="AH138" i="4" s="1"/>
  <c r="AG548" i="4"/>
  <c r="AH548" i="4" s="1"/>
  <c r="AG115" i="4"/>
  <c r="AH115" i="4" s="1"/>
  <c r="AG900" i="4"/>
  <c r="AH900" i="4" s="1"/>
  <c r="AG233" i="4"/>
  <c r="AH233" i="4" s="1"/>
  <c r="AG618" i="4"/>
  <c r="AH618" i="4" s="1"/>
  <c r="AG945" i="4"/>
  <c r="AH945" i="4" s="1"/>
  <c r="AG711" i="4"/>
  <c r="AH711" i="4" s="1"/>
  <c r="AG324" i="4"/>
  <c r="AH324" i="4" s="1"/>
  <c r="AG161" i="4"/>
  <c r="AH161" i="4" s="1"/>
  <c r="AG758" i="4"/>
  <c r="AH758" i="4" s="1"/>
  <c r="AG255" i="4"/>
  <c r="AH255" i="4" s="1"/>
  <c r="AG431" i="4"/>
  <c r="AH431" i="4" s="1"/>
  <c r="AG735" i="4"/>
  <c r="AH735" i="4" s="1"/>
  <c r="AG521" i="4"/>
  <c r="AH521" i="4" s="1"/>
  <c r="AG825" i="4"/>
  <c r="AH825" i="4" s="1"/>
  <c r="AG392" i="4"/>
  <c r="AH392" i="4" s="1"/>
  <c r="AG43" i="4"/>
  <c r="AH43" i="4" s="1"/>
  <c r="AG801" i="4"/>
  <c r="AH801" i="4" s="1"/>
  <c r="AG637" i="4"/>
  <c r="AH637" i="4" s="1"/>
  <c r="AG965" i="4"/>
  <c r="AH965" i="4" s="1"/>
  <c r="AG660" i="4"/>
  <c r="AH660" i="4" s="1"/>
  <c r="AG498" i="4"/>
  <c r="AH498" i="4" s="1"/>
  <c r="AG988" i="4"/>
  <c r="AH988" i="4" s="1"/>
  <c r="AG205" i="4"/>
  <c r="AH205" i="4" s="1"/>
  <c r="AG181" i="4"/>
  <c r="AH181" i="4" s="1"/>
  <c r="AG344" i="4"/>
  <c r="AH344" i="4" s="1"/>
  <c r="AG20" i="4"/>
  <c r="AH20" i="4" s="1"/>
  <c r="AG368" i="4"/>
  <c r="AH368" i="4" s="1"/>
  <c r="AG329" i="4"/>
  <c r="AH329" i="4" s="1"/>
  <c r="AG377" i="4"/>
  <c r="AH377" i="4" s="1"/>
  <c r="AG974" i="4"/>
  <c r="AH974" i="4" s="1"/>
  <c r="AG507" i="4"/>
  <c r="AH507" i="4" s="1"/>
  <c r="AG484" i="4"/>
  <c r="AH484" i="4" s="1"/>
  <c r="AG166" i="4"/>
  <c r="AH166" i="4" s="1"/>
  <c r="AG786" i="4"/>
  <c r="AH786" i="4" s="1"/>
  <c r="AG623" i="4"/>
  <c r="AH623" i="4" s="1"/>
  <c r="AG353" i="4"/>
  <c r="AH353" i="4" s="1"/>
  <c r="AG646" i="4"/>
  <c r="AH646" i="4" s="1"/>
  <c r="AG29" i="4"/>
  <c r="AH29" i="4" s="1"/>
  <c r="AG950" i="4"/>
  <c r="AH950" i="4" s="1"/>
  <c r="AG5" i="4"/>
  <c r="AH5" i="4" s="1"/>
  <c r="AG810" i="4"/>
  <c r="AH810" i="4" s="1"/>
  <c r="AG190" i="4"/>
  <c r="AH190" i="4" s="1"/>
  <c r="C44" i="3"/>
  <c r="D44" i="3"/>
  <c r="D37" i="3"/>
  <c r="C37" i="3"/>
  <c r="AG505" i="4"/>
  <c r="AH505" i="4" s="1"/>
  <c r="AG375" i="4"/>
  <c r="AH375" i="4" s="1"/>
  <c r="AG3" i="4"/>
  <c r="AH3" i="4" s="1"/>
  <c r="AG948" i="4"/>
  <c r="AH948" i="4" s="1"/>
  <c r="AG808" i="4"/>
  <c r="AH808" i="4" s="1"/>
  <c r="AG621" i="4"/>
  <c r="AH621" i="4" s="1"/>
  <c r="AG482" i="4"/>
  <c r="AH482" i="4" s="1"/>
  <c r="AG164" i="4"/>
  <c r="AH164" i="4" s="1"/>
  <c r="AG27" i="4"/>
  <c r="AH27" i="4" s="1"/>
  <c r="AG784" i="4"/>
  <c r="AH784" i="4" s="1"/>
  <c r="AG327" i="4"/>
  <c r="AH327" i="4" s="1"/>
  <c r="AG351" i="4"/>
  <c r="AH351" i="4" s="1"/>
  <c r="AG644" i="4"/>
  <c r="AH644" i="4" s="1"/>
  <c r="AG188" i="4"/>
  <c r="AH188" i="4" s="1"/>
  <c r="AG972" i="4"/>
  <c r="AH972" i="4" s="1"/>
  <c r="AG413" i="4"/>
  <c r="AH413" i="4" s="1"/>
  <c r="AG74" i="4"/>
  <c r="AH74" i="4" s="1"/>
  <c r="AG437" i="4"/>
  <c r="AH437" i="4" s="1"/>
  <c r="AG51" i="4"/>
  <c r="AH51" i="4" s="1"/>
  <c r="AG905" i="4"/>
  <c r="AH905" i="4" s="1"/>
  <c r="AG717" i="4"/>
  <c r="AH717" i="4" s="1"/>
  <c r="AG143" i="4"/>
  <c r="AH143" i="4" s="1"/>
  <c r="AG97" i="4"/>
  <c r="AH97" i="4" s="1"/>
  <c r="AG530" i="4"/>
  <c r="AH530" i="4" s="1"/>
  <c r="AG670" i="4"/>
  <c r="AH670" i="4" s="1"/>
  <c r="AG283" i="4"/>
  <c r="AH283" i="4" s="1"/>
  <c r="AG835" i="4"/>
  <c r="AH835" i="4" s="1"/>
  <c r="AG461" i="4"/>
  <c r="AH461" i="4" s="1"/>
  <c r="AG553" i="4"/>
  <c r="AH553" i="4" s="1"/>
  <c r="AG215" i="4"/>
  <c r="AH215" i="4" s="1"/>
  <c r="AG859" i="4"/>
  <c r="AH859" i="4" s="1"/>
  <c r="AG120" i="4"/>
  <c r="AH120" i="4" s="1"/>
  <c r="AG998" i="4"/>
  <c r="AH998" i="4" s="1"/>
  <c r="D61" i="3"/>
  <c r="C61" i="3"/>
  <c r="C35" i="3"/>
  <c r="D35" i="3"/>
  <c r="D26" i="3"/>
  <c r="C26" i="3"/>
  <c r="I45" i="5"/>
  <c r="D46" i="3"/>
  <c r="C46" i="3"/>
  <c r="AG547" i="4"/>
  <c r="AH547" i="4" s="1"/>
  <c r="AG137" i="4"/>
  <c r="AH137" i="4" s="1"/>
  <c r="AG300" i="4"/>
  <c r="AH300" i="4" s="1"/>
  <c r="AG734" i="4"/>
  <c r="AH734" i="4" s="1"/>
  <c r="AG323" i="4"/>
  <c r="AH323" i="4" s="1"/>
  <c r="AG594" i="4"/>
  <c r="AH594" i="4" s="1"/>
  <c r="AG430" i="4"/>
  <c r="AH430" i="4" s="1"/>
  <c r="AG68" i="4"/>
  <c r="AH68" i="4" s="1"/>
  <c r="AG160" i="4"/>
  <c r="AH160" i="4" s="1"/>
  <c r="AG687" i="4"/>
  <c r="AH687" i="4" s="1"/>
  <c r="AG232" i="4"/>
  <c r="AH232" i="4" s="1"/>
  <c r="AG478" i="4"/>
  <c r="AH478" i="4" s="1"/>
  <c r="AG91" i="4"/>
  <c r="AH91" i="4" s="1"/>
  <c r="AG876" i="4"/>
  <c r="AH876" i="4" s="1"/>
  <c r="AG757" i="4"/>
  <c r="AH757" i="4" s="1"/>
  <c r="AG944" i="4"/>
  <c r="AH944" i="4" s="1"/>
  <c r="AG780" i="4"/>
  <c r="AH780" i="4" s="1"/>
  <c r="AG617" i="4"/>
  <c r="AH617" i="4" s="1"/>
  <c r="AG852" i="4"/>
  <c r="AH852" i="4" s="1"/>
  <c r="AG276" i="4"/>
  <c r="AH276" i="4" s="1"/>
  <c r="AG454" i="4"/>
  <c r="AH454" i="4" s="1"/>
  <c r="AG407" i="4"/>
  <c r="AH407" i="4" s="1"/>
  <c r="AG254" i="4"/>
  <c r="AH254" i="4" s="1"/>
  <c r="AG114" i="4"/>
  <c r="AH114" i="4" s="1"/>
  <c r="AG922" i="4"/>
  <c r="AH922" i="4" s="1"/>
  <c r="AG710" i="4"/>
  <c r="AH710" i="4" s="1"/>
  <c r="AG570" i="4"/>
  <c r="AH570" i="4" s="1"/>
  <c r="AG899" i="4"/>
  <c r="AH899" i="4" s="1"/>
  <c r="AG350" i="4"/>
  <c r="AH350" i="4" s="1"/>
  <c r="AG481" i="4"/>
  <c r="AH481" i="4" s="1"/>
  <c r="AG187" i="4"/>
  <c r="AH187" i="4" s="1"/>
  <c r="AG326" i="4"/>
  <c r="AH326" i="4" s="1"/>
  <c r="AG783" i="4"/>
  <c r="AH783" i="4" s="1"/>
  <c r="AG163" i="4"/>
  <c r="AH163" i="4" s="1"/>
  <c r="AG643" i="4"/>
  <c r="AH643" i="4" s="1"/>
  <c r="AG374" i="4"/>
  <c r="AH374" i="4" s="1"/>
  <c r="AG26" i="4"/>
  <c r="AH26" i="4" s="1"/>
  <c r="AG620" i="4"/>
  <c r="AH620" i="4" s="1"/>
  <c r="AG971" i="4"/>
  <c r="AH971" i="4" s="1"/>
  <c r="AG807" i="4"/>
  <c r="AH807" i="4" s="1"/>
  <c r="AG504" i="4"/>
  <c r="AH504" i="4" s="1"/>
  <c r="AG2" i="4"/>
  <c r="AH2" i="4" s="1"/>
  <c r="AG947" i="4"/>
  <c r="AH947" i="4" s="1"/>
  <c r="E45" i="5"/>
  <c r="D29" i="3"/>
  <c r="C29" i="3"/>
  <c r="AG117" i="4"/>
  <c r="AH117" i="4" s="1"/>
  <c r="AG279" i="4"/>
  <c r="AH279" i="4" s="1"/>
  <c r="AG457" i="4"/>
  <c r="AH457" i="4" s="1"/>
  <c r="AG71" i="4"/>
  <c r="AH71" i="4" s="1"/>
  <c r="AG257" i="4"/>
  <c r="AH257" i="4" s="1"/>
  <c r="AG573" i="4"/>
  <c r="AH573" i="4" s="1"/>
  <c r="AG994" i="4"/>
  <c r="AH994" i="4" s="1"/>
  <c r="AG879" i="4"/>
  <c r="AH879" i="4" s="1"/>
  <c r="AG527" i="4"/>
  <c r="AH527" i="4" s="1"/>
  <c r="AG737" i="4"/>
  <c r="AH737" i="4" s="1"/>
  <c r="AG140" i="4"/>
  <c r="AH140" i="4" s="1"/>
  <c r="AG666" i="4"/>
  <c r="AH666" i="4" s="1"/>
  <c r="AG855" i="4"/>
  <c r="AH855" i="4" s="1"/>
  <c r="AG410" i="4"/>
  <c r="AH410" i="4" s="1"/>
  <c r="AG49" i="4"/>
  <c r="AH49" i="4" s="1"/>
  <c r="AG597" i="4"/>
  <c r="AH597" i="4" s="1"/>
  <c r="AG690" i="4"/>
  <c r="AH690" i="4" s="1"/>
  <c r="AG211" i="4"/>
  <c r="AH211" i="4" s="1"/>
  <c r="AG760" i="4"/>
  <c r="AH760" i="4" s="1"/>
  <c r="AG433" i="4"/>
  <c r="AH433" i="4" s="1"/>
  <c r="AG925" i="4"/>
  <c r="AH925" i="4" s="1"/>
  <c r="AG713" i="4"/>
  <c r="AH713" i="4" s="1"/>
  <c r="AG303" i="4"/>
  <c r="AH303" i="4" s="1"/>
  <c r="AG902" i="4"/>
  <c r="AH902" i="4" s="1"/>
  <c r="AG831" i="4"/>
  <c r="AH831" i="4" s="1"/>
  <c r="AG550" i="4"/>
  <c r="AH550" i="4" s="1"/>
  <c r="AG94" i="4"/>
  <c r="AH94" i="4" s="1"/>
  <c r="AG235" i="4"/>
  <c r="AH235" i="4" s="1"/>
  <c r="D45" i="3"/>
  <c r="C45" i="3"/>
  <c r="AG677" i="4"/>
  <c r="AH677" i="4" s="1"/>
  <c r="AG468" i="4"/>
  <c r="AH468" i="4" s="1"/>
  <c r="AG842" i="4"/>
  <c r="AH842" i="4" s="1"/>
  <c r="AG266" i="4"/>
  <c r="AH266" i="4" s="1"/>
  <c r="AG58" i="4"/>
  <c r="AH58" i="4" s="1"/>
  <c r="AG420" i="4"/>
  <c r="AH420" i="4" s="1"/>
  <c r="AG150" i="4"/>
  <c r="AH150" i="4" s="1"/>
  <c r="AG700" i="4"/>
  <c r="AH700" i="4" s="1"/>
  <c r="AG81" i="4"/>
  <c r="AH81" i="4" s="1"/>
  <c r="AG607" i="4"/>
  <c r="AH607" i="4" s="1"/>
  <c r="AG104" i="4"/>
  <c r="AH104" i="4" s="1"/>
  <c r="AG444" i="4"/>
  <c r="AH444" i="4" s="1"/>
  <c r="AG222" i="4"/>
  <c r="AH222" i="4" s="1"/>
  <c r="AG934" i="4"/>
  <c r="AH934" i="4" s="1"/>
  <c r="AG244" i="4"/>
  <c r="AH244" i="4" s="1"/>
  <c r="AG866" i="4"/>
  <c r="AH866" i="4" s="1"/>
  <c r="AG770" i="4"/>
  <c r="AH770" i="4" s="1"/>
  <c r="AG537" i="4"/>
  <c r="AH537" i="4" s="1"/>
  <c r="AG127" i="4"/>
  <c r="AH127" i="4" s="1"/>
  <c r="AG889" i="4"/>
  <c r="AH889" i="4" s="1"/>
  <c r="AG912" i="4"/>
  <c r="AH912" i="4" s="1"/>
  <c r="AG290" i="4"/>
  <c r="AH290" i="4" s="1"/>
  <c r="AG724" i="4"/>
  <c r="AH724" i="4" s="1"/>
  <c r="AG747" i="4"/>
  <c r="AH747" i="4" s="1"/>
  <c r="AG582" i="4"/>
  <c r="AH582" i="4" s="1"/>
  <c r="AG313" i="4"/>
  <c r="AH313" i="4" s="1"/>
  <c r="AG560" i="4"/>
  <c r="AH560" i="4" s="1"/>
  <c r="D41" i="3"/>
  <c r="C41" i="3"/>
  <c r="AG85" i="4"/>
  <c r="AH85" i="4" s="1"/>
  <c r="AG317" i="4"/>
  <c r="AH317" i="4" s="1"/>
  <c r="AG541" i="4"/>
  <c r="AH541" i="4" s="1"/>
  <c r="AG294" i="4"/>
  <c r="AH294" i="4" s="1"/>
  <c r="AG893" i="4"/>
  <c r="AH893" i="4" s="1"/>
  <c r="AG248" i="4"/>
  <c r="AH248" i="4" s="1"/>
  <c r="AG226" i="4"/>
  <c r="AH226" i="4" s="1"/>
  <c r="AG564" i="4"/>
  <c r="AH564" i="4" s="1"/>
  <c r="AG448" i="4"/>
  <c r="AH448" i="4" s="1"/>
  <c r="AG108" i="4"/>
  <c r="AH108" i="4" s="1"/>
  <c r="AG938" i="4"/>
  <c r="AH938" i="4" s="1"/>
  <c r="AG916" i="4"/>
  <c r="AH916" i="4" s="1"/>
  <c r="AG728" i="4"/>
  <c r="AH728" i="4" s="1"/>
  <c r="AG774" i="4"/>
  <c r="AH774" i="4" s="1"/>
  <c r="AG424" i="4"/>
  <c r="AH424" i="4" s="1"/>
  <c r="AG472" i="4"/>
  <c r="AH472" i="4" s="1"/>
  <c r="AG401" i="4"/>
  <c r="AH401" i="4" s="1"/>
  <c r="AG681" i="4"/>
  <c r="AH681" i="4" s="1"/>
  <c r="AG751" i="4"/>
  <c r="AH751" i="4" s="1"/>
  <c r="AG154" i="4"/>
  <c r="AH154" i="4" s="1"/>
  <c r="AG270" i="4"/>
  <c r="AH270" i="4" s="1"/>
  <c r="AG870" i="4"/>
  <c r="AH870" i="4" s="1"/>
  <c r="AG62" i="4"/>
  <c r="AH62" i="4" s="1"/>
  <c r="AG704" i="4"/>
  <c r="AH704" i="4" s="1"/>
  <c r="AG586" i="4"/>
  <c r="AH586" i="4" s="1"/>
  <c r="AG846" i="4"/>
  <c r="AH846" i="4" s="1"/>
  <c r="AG611" i="4"/>
  <c r="AH611" i="4" s="1"/>
  <c r="AG131" i="4"/>
  <c r="AH131" i="4" s="1"/>
  <c r="AG349" i="4"/>
  <c r="AH349" i="4" s="1"/>
  <c r="AG210" i="4"/>
  <c r="AH210" i="4" s="1"/>
  <c r="AG48" i="4"/>
  <c r="AH48" i="4" s="1"/>
  <c r="AG397" i="4"/>
  <c r="AH397" i="4" s="1"/>
  <c r="AG373" i="4"/>
  <c r="AH373" i="4" s="1"/>
  <c r="AG993" i="4"/>
  <c r="AH993" i="4" s="1"/>
  <c r="AG526" i="4"/>
  <c r="AH526" i="4" s="1"/>
  <c r="AG642" i="4"/>
  <c r="AH642" i="4" s="1"/>
  <c r="AG806" i="4"/>
  <c r="AH806" i="4" s="1"/>
  <c r="AG830" i="4"/>
  <c r="AH830" i="4" s="1"/>
  <c r="AG503" i="4"/>
  <c r="AH503" i="4" s="1"/>
  <c r="AG25" i="4"/>
  <c r="AH25" i="4" s="1"/>
  <c r="AG665" i="4"/>
  <c r="AH665" i="4" s="1"/>
  <c r="AG186" i="4"/>
  <c r="AH186" i="4" s="1"/>
  <c r="AG970" i="4"/>
  <c r="AH970" i="4" s="1"/>
  <c r="D25" i="3"/>
  <c r="C25" i="3"/>
  <c r="C9" i="8"/>
  <c r="F68" i="3"/>
  <c r="E68" i="3"/>
  <c r="AG35" i="4"/>
  <c r="AH35" i="4" s="1"/>
  <c r="AG173" i="4"/>
  <c r="AH173" i="4" s="1"/>
  <c r="AG957" i="4"/>
  <c r="AH957" i="4" s="1"/>
  <c r="AG652" i="4"/>
  <c r="AH652" i="4" s="1"/>
  <c r="AG629" i="4"/>
  <c r="AH629" i="4" s="1"/>
  <c r="AG197" i="4"/>
  <c r="AH197" i="4" s="1"/>
  <c r="AG513" i="4"/>
  <c r="AH513" i="4" s="1"/>
  <c r="AG490" i="4"/>
  <c r="AH490" i="4" s="1"/>
  <c r="AG384" i="4"/>
  <c r="AH384" i="4" s="1"/>
  <c r="AG336" i="4"/>
  <c r="AH336" i="4" s="1"/>
  <c r="AG360" i="4"/>
  <c r="AH360" i="4" s="1"/>
  <c r="AG817" i="4"/>
  <c r="AH817" i="4" s="1"/>
  <c r="AG980" i="4"/>
  <c r="AH980" i="4" s="1"/>
  <c r="AG793" i="4"/>
  <c r="AH793" i="4" s="1"/>
  <c r="AG12" i="4"/>
  <c r="AH12" i="4" s="1"/>
  <c r="AG112" i="4"/>
  <c r="AH112" i="4" s="1"/>
  <c r="AG252" i="4"/>
  <c r="AH252" i="4" s="1"/>
  <c r="AG732" i="4"/>
  <c r="AH732" i="4" s="1"/>
  <c r="AG89" i="4"/>
  <c r="AH89" i="4" s="1"/>
  <c r="AG230" i="4"/>
  <c r="AH230" i="4" s="1"/>
  <c r="AG942" i="4"/>
  <c r="AH942" i="4" s="1"/>
  <c r="AG135" i="4"/>
  <c r="AH135" i="4" s="1"/>
  <c r="AG321" i="4"/>
  <c r="AH321" i="4" s="1"/>
  <c r="AG545" i="4"/>
  <c r="AH545" i="4" s="1"/>
  <c r="AG708" i="4"/>
  <c r="AH708" i="4" s="1"/>
  <c r="AG568" i="4"/>
  <c r="AH568" i="4" s="1"/>
  <c r="AG685" i="4"/>
  <c r="AH685" i="4" s="1"/>
  <c r="AG476" i="4"/>
  <c r="AH476" i="4" s="1"/>
  <c r="AG428" i="4"/>
  <c r="AH428" i="4" s="1"/>
  <c r="AG274" i="4"/>
  <c r="AH274" i="4" s="1"/>
  <c r="AG66" i="4"/>
  <c r="AH66" i="4" s="1"/>
  <c r="AG874" i="4"/>
  <c r="AH874" i="4" s="1"/>
  <c r="AG298" i="4"/>
  <c r="AH298" i="4" s="1"/>
  <c r="AG452" i="4"/>
  <c r="AH452" i="4" s="1"/>
  <c r="AG897" i="4"/>
  <c r="AH897" i="4" s="1"/>
  <c r="AG158" i="4"/>
  <c r="AH158" i="4" s="1"/>
  <c r="AG615" i="4"/>
  <c r="AH615" i="4" s="1"/>
  <c r="AG778" i="4"/>
  <c r="AH778" i="4" s="1"/>
  <c r="AG405" i="4"/>
  <c r="AH405" i="4" s="1"/>
  <c r="AG850" i="4"/>
  <c r="AH850" i="4" s="1"/>
  <c r="AG920" i="4"/>
  <c r="AH920" i="4" s="1"/>
  <c r="AG592" i="4"/>
  <c r="AH592" i="4" s="1"/>
  <c r="AG755" i="4"/>
  <c r="AH755" i="4" s="1"/>
  <c r="C34" i="3"/>
  <c r="D34" i="3"/>
  <c r="F9" i="8"/>
  <c r="F69" i="3"/>
  <c r="E69" i="3"/>
  <c r="C32" i="3"/>
  <c r="D32" i="3"/>
  <c r="AG477" i="4"/>
  <c r="AH477" i="4" s="1"/>
  <c r="AG756" i="4"/>
  <c r="AH756" i="4" s="1"/>
  <c r="AG569" i="4"/>
  <c r="AH569" i="4" s="1"/>
  <c r="AG898" i="4"/>
  <c r="AH898" i="4" s="1"/>
  <c r="AG875" i="4"/>
  <c r="AH875" i="4" s="1"/>
  <c r="AG429" i="4"/>
  <c r="AH429" i="4" s="1"/>
  <c r="AG851" i="4"/>
  <c r="AH851" i="4" s="1"/>
  <c r="AG779" i="4"/>
  <c r="AH779" i="4" s="1"/>
  <c r="AG253" i="4"/>
  <c r="AH253" i="4" s="1"/>
  <c r="AG159" i="4"/>
  <c r="AH159" i="4" s="1"/>
  <c r="AG733" i="4"/>
  <c r="AH733" i="4" s="1"/>
  <c r="AG67" i="4"/>
  <c r="AH67" i="4" s="1"/>
  <c r="AG231" i="4"/>
  <c r="AH231" i="4" s="1"/>
  <c r="AG943" i="4"/>
  <c r="AH943" i="4" s="1"/>
  <c r="AG299" i="4"/>
  <c r="AH299" i="4" s="1"/>
  <c r="AG921" i="4"/>
  <c r="AH921" i="4" s="1"/>
  <c r="AG709" i="4"/>
  <c r="AH709" i="4" s="1"/>
  <c r="AG453" i="4"/>
  <c r="AH453" i="4" s="1"/>
  <c r="AG406" i="4"/>
  <c r="AH406" i="4" s="1"/>
  <c r="AG113" i="4"/>
  <c r="AH113" i="4" s="1"/>
  <c r="AG322" i="4"/>
  <c r="AH322" i="4" s="1"/>
  <c r="AG593" i="4"/>
  <c r="AH593" i="4" s="1"/>
  <c r="AG136" i="4"/>
  <c r="AH136" i="4" s="1"/>
  <c r="AG546" i="4"/>
  <c r="AH546" i="4" s="1"/>
  <c r="AG275" i="4"/>
  <c r="AH275" i="4" s="1"/>
  <c r="AG90" i="4"/>
  <c r="AH90" i="4" s="1"/>
  <c r="AG616" i="4"/>
  <c r="AH616" i="4" s="1"/>
  <c r="AG686" i="4"/>
  <c r="AH686" i="4" s="1"/>
  <c r="AG515" i="4"/>
  <c r="AH515" i="4" s="1"/>
  <c r="AG37" i="4"/>
  <c r="AH37" i="4" s="1"/>
  <c r="AG631" i="4"/>
  <c r="AH631" i="4" s="1"/>
  <c r="AG654" i="4"/>
  <c r="AH654" i="4" s="1"/>
  <c r="AG14" i="4"/>
  <c r="AH14" i="4" s="1"/>
  <c r="AG386" i="4"/>
  <c r="AH386" i="4" s="1"/>
  <c r="AG362" i="4"/>
  <c r="AH362" i="4" s="1"/>
  <c r="AG982" i="4"/>
  <c r="AH982" i="4" s="1"/>
  <c r="AG175" i="4"/>
  <c r="AH175" i="4" s="1"/>
  <c r="AG338" i="4"/>
  <c r="AH338" i="4" s="1"/>
  <c r="AG199" i="4"/>
  <c r="AH199" i="4" s="1"/>
  <c r="AG819" i="4"/>
  <c r="AH819" i="4" s="1"/>
  <c r="AG959" i="4"/>
  <c r="AH959" i="4" s="1"/>
  <c r="AG492" i="4"/>
  <c r="AH492" i="4" s="1"/>
  <c r="AG795" i="4"/>
  <c r="AH795" i="4" s="1"/>
  <c r="AG245" i="4"/>
  <c r="AH245" i="4" s="1"/>
  <c r="AG561" i="4"/>
  <c r="AH561" i="4" s="1"/>
  <c r="AG267" i="4"/>
  <c r="AH267" i="4" s="1"/>
  <c r="AG82" i="4"/>
  <c r="AH82" i="4" s="1"/>
  <c r="AG890" i="4"/>
  <c r="AH890" i="4" s="1"/>
  <c r="AG725" i="4"/>
  <c r="AH725" i="4" s="1"/>
  <c r="AG843" i="4"/>
  <c r="AH843" i="4" s="1"/>
  <c r="AG445" i="4"/>
  <c r="AH445" i="4" s="1"/>
  <c r="AG128" i="4"/>
  <c r="AH128" i="4" s="1"/>
  <c r="AG771" i="4"/>
  <c r="AH771" i="4" s="1"/>
  <c r="AG748" i="4"/>
  <c r="AH748" i="4" s="1"/>
  <c r="AG678" i="4"/>
  <c r="AH678" i="4" s="1"/>
  <c r="AG583" i="4"/>
  <c r="AH583" i="4" s="1"/>
  <c r="AG608" i="4"/>
  <c r="AH608" i="4" s="1"/>
  <c r="AG105" i="4"/>
  <c r="AH105" i="4" s="1"/>
  <c r="AG913" i="4"/>
  <c r="AH913" i="4" s="1"/>
  <c r="AG398" i="4"/>
  <c r="AH398" i="4" s="1"/>
  <c r="AG151" i="4"/>
  <c r="AH151" i="4" s="1"/>
  <c r="AG291" i="4"/>
  <c r="AH291" i="4" s="1"/>
  <c r="AG59" i="4"/>
  <c r="AH59" i="4" s="1"/>
  <c r="AG469" i="4"/>
  <c r="AH469" i="4" s="1"/>
  <c r="AG935" i="4"/>
  <c r="AH935" i="4" s="1"/>
  <c r="AG867" i="4"/>
  <c r="AH867" i="4" s="1"/>
  <c r="AG538" i="4"/>
  <c r="AH538" i="4" s="1"/>
  <c r="AG314" i="4"/>
  <c r="AH314" i="4" s="1"/>
  <c r="AG701" i="4"/>
  <c r="AH701" i="4" s="1"/>
  <c r="AG421" i="4"/>
  <c r="AH421" i="4" s="1"/>
  <c r="AG223" i="4"/>
  <c r="AH223" i="4" s="1"/>
  <c r="C39" i="3"/>
  <c r="D39" i="3"/>
  <c r="D17" i="8"/>
  <c r="F71" i="3"/>
  <c r="E71" i="3"/>
  <c r="C54" i="3"/>
  <c r="D54" i="3"/>
  <c r="AG289" i="4"/>
  <c r="AH289" i="4" s="1"/>
  <c r="AG559" i="4"/>
  <c r="AH559" i="4" s="1"/>
  <c r="AG80" i="4"/>
  <c r="AH80" i="4" s="1"/>
  <c r="AG221" i="4"/>
  <c r="AH221" i="4" s="1"/>
  <c r="AG933" i="4"/>
  <c r="AH933" i="4" s="1"/>
  <c r="AG581" i="4"/>
  <c r="AH581" i="4" s="1"/>
  <c r="AG467" i="4"/>
  <c r="AH467" i="4" s="1"/>
  <c r="AG443" i="4"/>
  <c r="AH443" i="4" s="1"/>
  <c r="AG888" i="4"/>
  <c r="AH888" i="4" s="1"/>
  <c r="AG265" i="4"/>
  <c r="AH265" i="4" s="1"/>
  <c r="AG536" i="4"/>
  <c r="AH536" i="4" s="1"/>
  <c r="AG126" i="4"/>
  <c r="AH126" i="4" s="1"/>
  <c r="AG606" i="4"/>
  <c r="AH606" i="4" s="1"/>
  <c r="AG243" i="4"/>
  <c r="AH243" i="4" s="1"/>
  <c r="AG841" i="4"/>
  <c r="AH841" i="4" s="1"/>
  <c r="AG57" i="4"/>
  <c r="AH57" i="4" s="1"/>
  <c r="AG312" i="4"/>
  <c r="AH312" i="4" s="1"/>
  <c r="AG149" i="4"/>
  <c r="AH149" i="4" s="1"/>
  <c r="AG746" i="4"/>
  <c r="AH746" i="4" s="1"/>
  <c r="AG676" i="4"/>
  <c r="AH676" i="4" s="1"/>
  <c r="AG769" i="4"/>
  <c r="AH769" i="4" s="1"/>
  <c r="AG103" i="4"/>
  <c r="AH103" i="4" s="1"/>
  <c r="AG419" i="4"/>
  <c r="AH419" i="4" s="1"/>
  <c r="AG699" i="4"/>
  <c r="AH699" i="4" s="1"/>
  <c r="AG723" i="4"/>
  <c r="AH723" i="4" s="1"/>
  <c r="AG911" i="4"/>
  <c r="AH911" i="4" s="1"/>
  <c r="AG865" i="4"/>
  <c r="AH865" i="4" s="1"/>
  <c r="D9" i="8"/>
  <c r="AG179" i="4"/>
  <c r="AH179" i="4" s="1"/>
  <c r="AG963" i="4"/>
  <c r="AH963" i="4" s="1"/>
  <c r="AG203" i="4"/>
  <c r="AH203" i="4" s="1"/>
  <c r="AG658" i="4"/>
  <c r="AH658" i="4" s="1"/>
  <c r="AG390" i="4"/>
  <c r="AH390" i="4" s="1"/>
  <c r="AG635" i="4"/>
  <c r="AH635" i="4" s="1"/>
  <c r="AG799" i="4"/>
  <c r="AH799" i="4" s="1"/>
  <c r="AG41" i="4"/>
  <c r="AH41" i="4" s="1"/>
  <c r="AG986" i="4"/>
  <c r="AH986" i="4" s="1"/>
  <c r="AG519" i="4"/>
  <c r="AH519" i="4" s="1"/>
  <c r="AG823" i="4"/>
  <c r="AH823" i="4" s="1"/>
  <c r="AG366" i="4"/>
  <c r="AH366" i="4" s="1"/>
  <c r="AG496" i="4"/>
  <c r="AH496" i="4" s="1"/>
  <c r="AG342" i="4"/>
  <c r="AH342" i="4" s="1"/>
  <c r="AG18" i="4"/>
  <c r="AH18" i="4" s="1"/>
  <c r="AG509" i="4"/>
  <c r="AH509" i="4" s="1"/>
  <c r="AG976" i="4"/>
  <c r="AH976" i="4" s="1"/>
  <c r="AG169" i="4"/>
  <c r="AH169" i="4" s="1"/>
  <c r="AG789" i="4"/>
  <c r="AH789" i="4" s="1"/>
  <c r="AG193" i="4"/>
  <c r="AH193" i="4" s="1"/>
  <c r="AG625" i="4"/>
  <c r="AH625" i="4" s="1"/>
  <c r="AG31" i="4"/>
  <c r="AH31" i="4" s="1"/>
  <c r="AG8" i="4"/>
  <c r="AH8" i="4" s="1"/>
  <c r="AG813" i="4"/>
  <c r="AH813" i="4" s="1"/>
  <c r="AG356" i="4"/>
  <c r="AH356" i="4" s="1"/>
  <c r="AG486" i="4"/>
  <c r="AH486" i="4" s="1"/>
  <c r="AG953" i="4"/>
  <c r="AH953" i="4" s="1"/>
  <c r="AG380" i="4"/>
  <c r="AH380" i="4" s="1"/>
  <c r="AG332" i="4"/>
  <c r="AH332" i="4" s="1"/>
  <c r="AG30" i="4"/>
  <c r="AH30" i="4" s="1"/>
  <c r="AG378" i="4"/>
  <c r="AH378" i="4" s="1"/>
  <c r="AG975" i="4"/>
  <c r="AH975" i="4" s="1"/>
  <c r="AG647" i="4"/>
  <c r="AH647" i="4" s="1"/>
  <c r="AG811" i="4"/>
  <c r="AH811" i="4" s="1"/>
  <c r="AG624" i="4"/>
  <c r="AH624" i="4" s="1"/>
  <c r="AG485" i="4"/>
  <c r="AH485" i="4" s="1"/>
  <c r="AG191" i="4"/>
  <c r="AH191" i="4" s="1"/>
  <c r="AG167" i="4"/>
  <c r="AH167" i="4" s="1"/>
  <c r="AG354" i="4"/>
  <c r="AH354" i="4" s="1"/>
  <c r="AG330" i="4"/>
  <c r="AH330" i="4" s="1"/>
  <c r="AG951" i="4"/>
  <c r="AH951" i="4" s="1"/>
  <c r="AG787" i="4"/>
  <c r="AH787" i="4" s="1"/>
  <c r="AG6" i="4"/>
  <c r="AH6" i="4" s="1"/>
  <c r="AG33" i="4"/>
  <c r="AH33" i="4" s="1"/>
  <c r="AG171" i="4"/>
  <c r="AH171" i="4" s="1"/>
  <c r="AG791" i="4"/>
  <c r="AH791" i="4" s="1"/>
  <c r="AG978" i="4"/>
  <c r="AH978" i="4" s="1"/>
  <c r="AG195" i="4"/>
  <c r="AH195" i="4" s="1"/>
  <c r="AG650" i="4"/>
  <c r="AH650" i="4" s="1"/>
  <c r="AG488" i="4"/>
  <c r="AH488" i="4" s="1"/>
  <c r="AG334" i="4"/>
  <c r="AH334" i="4" s="1"/>
  <c r="AG955" i="4"/>
  <c r="AH955" i="4" s="1"/>
  <c r="AG382" i="4"/>
  <c r="AH382" i="4" s="1"/>
  <c r="AG10" i="4"/>
  <c r="AH10" i="4" s="1"/>
  <c r="AG358" i="4"/>
  <c r="AH358" i="4" s="1"/>
  <c r="AG627" i="4"/>
  <c r="AH627" i="4" s="1"/>
  <c r="AG815" i="4"/>
  <c r="AH815" i="4" s="1"/>
  <c r="AG511" i="4"/>
  <c r="AH511" i="4" s="1"/>
  <c r="AG395" i="4"/>
  <c r="AH395" i="4" s="1"/>
  <c r="AG371" i="4"/>
  <c r="AH371" i="4" s="1"/>
  <c r="AG640" i="4"/>
  <c r="AH640" i="4" s="1"/>
  <c r="AG663" i="4"/>
  <c r="AH663" i="4" s="1"/>
  <c r="AG804" i="4"/>
  <c r="AH804" i="4" s="1"/>
  <c r="AG828" i="4"/>
  <c r="AH828" i="4" s="1"/>
  <c r="AG46" i="4"/>
  <c r="AH46" i="4" s="1"/>
  <c r="AG347" i="4"/>
  <c r="AH347" i="4" s="1"/>
  <c r="AG184" i="4"/>
  <c r="AH184" i="4" s="1"/>
  <c r="AG501" i="4"/>
  <c r="AH501" i="4" s="1"/>
  <c r="AG23" i="4"/>
  <c r="AH23" i="4" s="1"/>
  <c r="AG208" i="4"/>
  <c r="AH208" i="4" s="1"/>
  <c r="AG991" i="4"/>
  <c r="AH991" i="4" s="1"/>
  <c r="AG524" i="4"/>
  <c r="AH524" i="4" s="1"/>
  <c r="AG968" i="4"/>
  <c r="AH968" i="4" s="1"/>
  <c r="R9" i="2"/>
  <c r="B2" i="2"/>
  <c r="B17" i="8"/>
  <c r="A79" i="3"/>
  <c r="D78" i="3"/>
  <c r="C78" i="3"/>
  <c r="B78" i="3"/>
  <c r="C31" i="3"/>
  <c r="D31" i="3"/>
  <c r="AG55" i="4"/>
  <c r="AH55" i="4" s="1"/>
  <c r="AG241" i="4"/>
  <c r="AH241" i="4" s="1"/>
  <c r="AG263" i="4"/>
  <c r="AH263" i="4" s="1"/>
  <c r="AG557" i="4"/>
  <c r="AH557" i="4" s="1"/>
  <c r="AG721" i="4"/>
  <c r="AH721" i="4" s="1"/>
  <c r="AG579" i="4"/>
  <c r="AH579" i="4" s="1"/>
  <c r="AG909" i="4"/>
  <c r="AH909" i="4" s="1"/>
  <c r="AG287" i="4"/>
  <c r="AH287" i="4" s="1"/>
  <c r="AG417" i="4"/>
  <c r="AH417" i="4" s="1"/>
  <c r="AG441" i="4"/>
  <c r="AH441" i="4" s="1"/>
  <c r="AG931" i="4"/>
  <c r="AH931" i="4" s="1"/>
  <c r="AG124" i="4"/>
  <c r="AH124" i="4" s="1"/>
  <c r="AG863" i="4"/>
  <c r="AH863" i="4" s="1"/>
  <c r="AG147" i="4"/>
  <c r="AH147" i="4" s="1"/>
  <c r="AG604" i="4"/>
  <c r="AH604" i="4" s="1"/>
  <c r="AG697" i="4"/>
  <c r="AH697" i="4" s="1"/>
  <c r="AG101" i="4"/>
  <c r="AH101" i="4" s="1"/>
  <c r="AG767" i="4"/>
  <c r="AH767" i="4" s="1"/>
  <c r="AG219" i="4"/>
  <c r="AH219" i="4" s="1"/>
  <c r="AG310" i="4"/>
  <c r="AH310" i="4" s="1"/>
  <c r="AG78" i="4"/>
  <c r="AH78" i="4" s="1"/>
  <c r="AG674" i="4"/>
  <c r="AH674" i="4" s="1"/>
  <c r="AG839" i="4"/>
  <c r="AH839" i="4" s="1"/>
  <c r="AG534" i="4"/>
  <c r="AH534" i="4" s="1"/>
  <c r="AG465" i="4"/>
  <c r="AH465" i="4" s="1"/>
  <c r="AG886" i="4"/>
  <c r="AH886" i="4" s="1"/>
  <c r="AG744" i="4"/>
  <c r="AH744" i="4" s="1"/>
  <c r="C30" i="3"/>
  <c r="D30" i="3"/>
  <c r="C47" i="3"/>
  <c r="D47" i="3"/>
  <c r="E9" i="8"/>
  <c r="AG28" i="4"/>
  <c r="AH28" i="4" s="1"/>
  <c r="AG645" i="4"/>
  <c r="AH645" i="4" s="1"/>
  <c r="AG809" i="4"/>
  <c r="AH809" i="4" s="1"/>
  <c r="AG949" i="4"/>
  <c r="AH949" i="4" s="1"/>
  <c r="AG376" i="4"/>
  <c r="AH376" i="4" s="1"/>
  <c r="AG189" i="4"/>
  <c r="AH189" i="4" s="1"/>
  <c r="AG785" i="4"/>
  <c r="AH785" i="4" s="1"/>
  <c r="AG328" i="4"/>
  <c r="AH328" i="4" s="1"/>
  <c r="AG4" i="4"/>
  <c r="AH4" i="4" s="1"/>
  <c r="AG483" i="4"/>
  <c r="AH483" i="4" s="1"/>
  <c r="AG165" i="4"/>
  <c r="AH165" i="4" s="1"/>
  <c r="AG973" i="4"/>
  <c r="AH973" i="4" s="1"/>
  <c r="AG622" i="4"/>
  <c r="AH622" i="4" s="1"/>
  <c r="AG352" i="4"/>
  <c r="AH352" i="4" s="1"/>
  <c r="AG506" i="4"/>
  <c r="AH506" i="4" s="1"/>
  <c r="AG96" i="4"/>
  <c r="AH96" i="4" s="1"/>
  <c r="AG435" i="4"/>
  <c r="AH435" i="4" s="1"/>
  <c r="AG575" i="4"/>
  <c r="AH575" i="4" s="1"/>
  <c r="AG213" i="4"/>
  <c r="AH213" i="4" s="1"/>
  <c r="AG237" i="4"/>
  <c r="AH237" i="4" s="1"/>
  <c r="AG996" i="4"/>
  <c r="AH996" i="4" s="1"/>
  <c r="AG142" i="4"/>
  <c r="AH142" i="4" s="1"/>
  <c r="AG715" i="4"/>
  <c r="AH715" i="4" s="1"/>
  <c r="AG552" i="4"/>
  <c r="AH552" i="4" s="1"/>
  <c r="AG668" i="4"/>
  <c r="AH668" i="4" s="1"/>
  <c r="AG857" i="4"/>
  <c r="AH857" i="4" s="1"/>
  <c r="AG281" i="4"/>
  <c r="AH281" i="4" s="1"/>
  <c r="AG305" i="4"/>
  <c r="AH305" i="4" s="1"/>
  <c r="AG119" i="4"/>
  <c r="AH119" i="4" s="1"/>
  <c r="AG599" i="4"/>
  <c r="AH599" i="4" s="1"/>
  <c r="AG739" i="4"/>
  <c r="AH739" i="4" s="1"/>
  <c r="AG762" i="4"/>
  <c r="AH762" i="4" s="1"/>
  <c r="AG833" i="4"/>
  <c r="AH833" i="4" s="1"/>
  <c r="AG881" i="4"/>
  <c r="AH881" i="4" s="1"/>
  <c r="AG73" i="4"/>
  <c r="AH73" i="4" s="1"/>
  <c r="AG412" i="4"/>
  <c r="AH412" i="4" s="1"/>
  <c r="AG692" i="4"/>
  <c r="AH692" i="4" s="1"/>
  <c r="AG927" i="4"/>
  <c r="AH927" i="4" s="1"/>
  <c r="AG259" i="4"/>
  <c r="AH259" i="4" s="1"/>
  <c r="AG459" i="4"/>
  <c r="AH459" i="4" s="1"/>
  <c r="AG904" i="4"/>
  <c r="AH904" i="4" s="1"/>
  <c r="C42" i="3"/>
  <c r="D42" i="3"/>
  <c r="C48" i="3"/>
  <c r="D48" i="3"/>
  <c r="A8" i="7"/>
  <c r="F7" i="7"/>
  <c r="E7" i="7"/>
  <c r="C7" i="7"/>
  <c r="B7" i="7"/>
  <c r="G7" i="7"/>
  <c r="D7" i="7"/>
  <c r="C17" i="8"/>
  <c r="C8" i="1"/>
  <c r="AG293" i="4"/>
  <c r="AH293" i="4" s="1"/>
  <c r="AG316" i="4"/>
  <c r="AH316" i="4" s="1"/>
  <c r="AG247" i="4"/>
  <c r="AH247" i="4" s="1"/>
  <c r="AG892" i="4"/>
  <c r="AH892" i="4" s="1"/>
  <c r="AG727" i="4"/>
  <c r="AH727" i="4" s="1"/>
  <c r="AG153" i="4"/>
  <c r="AH153" i="4" s="1"/>
  <c r="AG845" i="4"/>
  <c r="AH845" i="4" s="1"/>
  <c r="AG225" i="4"/>
  <c r="AH225" i="4" s="1"/>
  <c r="AG130" i="4"/>
  <c r="AH130" i="4" s="1"/>
  <c r="AG84" i="4"/>
  <c r="AH84" i="4" s="1"/>
  <c r="AG269" i="4"/>
  <c r="AH269" i="4" s="1"/>
  <c r="AG585" i="4"/>
  <c r="AH585" i="4" s="1"/>
  <c r="AG471" i="4"/>
  <c r="AH471" i="4" s="1"/>
  <c r="AG750" i="4"/>
  <c r="AH750" i="4" s="1"/>
  <c r="AG400" i="4"/>
  <c r="AH400" i="4" s="1"/>
  <c r="AG869" i="4"/>
  <c r="AH869" i="4" s="1"/>
  <c r="AG563" i="4"/>
  <c r="AH563" i="4" s="1"/>
  <c r="AG610" i="4"/>
  <c r="AH610" i="4" s="1"/>
  <c r="AG680" i="4"/>
  <c r="AH680" i="4" s="1"/>
  <c r="AG540" i="4"/>
  <c r="AH540" i="4" s="1"/>
  <c r="AG61" i="4"/>
  <c r="AH61" i="4" s="1"/>
  <c r="AG937" i="4"/>
  <c r="AH937" i="4" s="1"/>
  <c r="AG107" i="4"/>
  <c r="AH107" i="4" s="1"/>
  <c r="AG773" i="4"/>
  <c r="AH773" i="4" s="1"/>
  <c r="AG423" i="4"/>
  <c r="AH423" i="4" s="1"/>
  <c r="AG447" i="4"/>
  <c r="AH447" i="4" s="1"/>
  <c r="AG703" i="4"/>
  <c r="AH703" i="4" s="1"/>
  <c r="AG915" i="4"/>
  <c r="AH915" i="4" s="1"/>
  <c r="D40" i="3"/>
  <c r="C40" i="3"/>
  <c r="AG393" i="4"/>
  <c r="AH393" i="4" s="1"/>
  <c r="AG44" i="4"/>
  <c r="AH44" i="4" s="1"/>
  <c r="AG499" i="4"/>
  <c r="AH499" i="4" s="1"/>
  <c r="AG661" i="4"/>
  <c r="AH661" i="4" s="1"/>
  <c r="AG638" i="4"/>
  <c r="AH638" i="4" s="1"/>
  <c r="AG966" i="4"/>
  <c r="AH966" i="4" s="1"/>
  <c r="AG522" i="4"/>
  <c r="AH522" i="4" s="1"/>
  <c r="AG826" i="4"/>
  <c r="AH826" i="4" s="1"/>
  <c r="AG369" i="4"/>
  <c r="AH369" i="4" s="1"/>
  <c r="AG345" i="4"/>
  <c r="AH345" i="4" s="1"/>
  <c r="AG802" i="4"/>
  <c r="AH802" i="4" s="1"/>
  <c r="AG182" i="4"/>
  <c r="AH182" i="4" s="1"/>
  <c r="AG21" i="4"/>
  <c r="AH21" i="4" s="1"/>
  <c r="AG989" i="4"/>
  <c r="AH989" i="4" s="1"/>
  <c r="AG206" i="4"/>
  <c r="AH206" i="4" s="1"/>
  <c r="AG273" i="4"/>
  <c r="AH273" i="4" s="1"/>
  <c r="AG229" i="4"/>
  <c r="AH229" i="4" s="1"/>
  <c r="AG157" i="4"/>
  <c r="AH157" i="4" s="1"/>
  <c r="AG427" i="4"/>
  <c r="AH427" i="4" s="1"/>
  <c r="AG591" i="4"/>
  <c r="AH591" i="4" s="1"/>
  <c r="AG134" i="4"/>
  <c r="AH134" i="4" s="1"/>
  <c r="AG614" i="4"/>
  <c r="AH614" i="4" s="1"/>
  <c r="AG873" i="4"/>
  <c r="AH873" i="4" s="1"/>
  <c r="AG451" i="4"/>
  <c r="AH451" i="4" s="1"/>
  <c r="AG849" i="4"/>
  <c r="AH849" i="4" s="1"/>
  <c r="AG65" i="4"/>
  <c r="AH65" i="4" s="1"/>
  <c r="AG941" i="4"/>
  <c r="AH941" i="4" s="1"/>
  <c r="AG777" i="4"/>
  <c r="AH777" i="4" s="1"/>
  <c r="AG684" i="4"/>
  <c r="AH684" i="4" s="1"/>
  <c r="AG251" i="4"/>
  <c r="AH251" i="4" s="1"/>
  <c r="AG88" i="4"/>
  <c r="AH88" i="4" s="1"/>
  <c r="AG754" i="4"/>
  <c r="AH754" i="4" s="1"/>
  <c r="AG475" i="4"/>
  <c r="AH475" i="4" s="1"/>
  <c r="AG896" i="4"/>
  <c r="AH896" i="4" s="1"/>
  <c r="AG297" i="4"/>
  <c r="AH297" i="4" s="1"/>
  <c r="AG111" i="4"/>
  <c r="AH111" i="4" s="1"/>
  <c r="AG731" i="4"/>
  <c r="AH731" i="4" s="1"/>
  <c r="AG919" i="4"/>
  <c r="AH919" i="4" s="1"/>
  <c r="AG404" i="4"/>
  <c r="AH404" i="4" s="1"/>
  <c r="AG567" i="4"/>
  <c r="AH567" i="4" s="1"/>
  <c r="AG320" i="4"/>
  <c r="AH320" i="4" s="1"/>
  <c r="AG544" i="4"/>
  <c r="AH544" i="4" s="1"/>
  <c r="AG707" i="4"/>
  <c r="AH707" i="4" s="1"/>
  <c r="G9" i="8"/>
  <c r="B9" i="2"/>
  <c r="B17" i="3"/>
  <c r="AG234" i="4"/>
  <c r="AH234" i="4" s="1"/>
  <c r="AG70" i="4"/>
  <c r="AH70" i="4" s="1"/>
  <c r="AG409" i="4"/>
  <c r="AH409" i="4" s="1"/>
  <c r="AG924" i="4"/>
  <c r="AH924" i="4" s="1"/>
  <c r="AG854" i="4"/>
  <c r="AH854" i="4" s="1"/>
  <c r="AG619" i="4"/>
  <c r="AH619" i="4" s="1"/>
  <c r="AG782" i="4"/>
  <c r="AH782" i="4" s="1"/>
  <c r="AG878" i="4"/>
  <c r="AH878" i="4" s="1"/>
  <c r="AG256" i="4"/>
  <c r="AH256" i="4" s="1"/>
  <c r="AG162" i="4"/>
  <c r="AH162" i="4" s="1"/>
  <c r="AG946" i="4"/>
  <c r="AH946" i="4" s="1"/>
  <c r="AG572" i="4"/>
  <c r="AH572" i="4" s="1"/>
  <c r="AG759" i="4"/>
  <c r="AH759" i="4" s="1"/>
  <c r="AG456" i="4"/>
  <c r="AH456" i="4" s="1"/>
  <c r="AG549" i="4"/>
  <c r="AH549" i="4" s="1"/>
  <c r="AG736" i="4"/>
  <c r="AH736" i="4" s="1"/>
  <c r="AG901" i="4"/>
  <c r="AH901" i="4" s="1"/>
  <c r="AG325" i="4"/>
  <c r="AH325" i="4" s="1"/>
  <c r="AG278" i="4"/>
  <c r="AH278" i="4" s="1"/>
  <c r="AG139" i="4"/>
  <c r="AH139" i="4" s="1"/>
  <c r="AG480" i="4"/>
  <c r="AH480" i="4" s="1"/>
  <c r="AG432" i="4"/>
  <c r="AH432" i="4" s="1"/>
  <c r="AG93" i="4"/>
  <c r="AH93" i="4" s="1"/>
  <c r="AG689" i="4"/>
  <c r="AH689" i="4" s="1"/>
  <c r="AG116" i="4"/>
  <c r="AH116" i="4" s="1"/>
  <c r="AG712" i="4"/>
  <c r="AH712" i="4" s="1"/>
  <c r="AG302" i="4"/>
  <c r="AH302" i="4" s="1"/>
  <c r="AG596" i="4"/>
  <c r="AH596" i="4" s="1"/>
  <c r="I18" i="5"/>
  <c r="D62" i="3"/>
  <c r="C62" i="3"/>
  <c r="I26" i="5"/>
  <c r="E43" i="3"/>
  <c r="C27" i="3"/>
  <c r="D27" i="3"/>
  <c r="AG436" i="4"/>
  <c r="AH436" i="4" s="1"/>
  <c r="AG214" i="4"/>
  <c r="AH214" i="4" s="1"/>
  <c r="AG693" i="4"/>
  <c r="AH693" i="4" s="1"/>
  <c r="AG997" i="4"/>
  <c r="AH997" i="4" s="1"/>
  <c r="AG740" i="4"/>
  <c r="AH740" i="4" s="1"/>
  <c r="AG763" i="4"/>
  <c r="AH763" i="4" s="1"/>
  <c r="AG529" i="4"/>
  <c r="AH529" i="4" s="1"/>
  <c r="AG834" i="4"/>
  <c r="AH834" i="4" s="1"/>
  <c r="AG882" i="4"/>
  <c r="AH882" i="4" s="1"/>
  <c r="AG858" i="4"/>
  <c r="AH858" i="4" s="1"/>
  <c r="AG282" i="4"/>
  <c r="AH282" i="4" s="1"/>
  <c r="AG306" i="4"/>
  <c r="AH306" i="4" s="1"/>
  <c r="AG716" i="4"/>
  <c r="AH716" i="4" s="1"/>
  <c r="AG669" i="4"/>
  <c r="AH669" i="4" s="1"/>
  <c r="AG600" i="4"/>
  <c r="AH600" i="4" s="1"/>
  <c r="AG460" i="4"/>
  <c r="AH460" i="4" s="1"/>
  <c r="AG387" i="4"/>
  <c r="AH387" i="4" s="1"/>
  <c r="AG493" i="4"/>
  <c r="AH493" i="4" s="1"/>
  <c r="AG339" i="4"/>
  <c r="AH339" i="4" s="1"/>
  <c r="AG200" i="4"/>
  <c r="AH200" i="4" s="1"/>
  <c r="AG983" i="4"/>
  <c r="AH983" i="4" s="1"/>
  <c r="AG655" i="4"/>
  <c r="AH655" i="4" s="1"/>
  <c r="AG363" i="4"/>
  <c r="AH363" i="4" s="1"/>
  <c r="AG960" i="4"/>
  <c r="AH960" i="4" s="1"/>
  <c r="AG516" i="4"/>
  <c r="AH516" i="4" s="1"/>
  <c r="AG176" i="4"/>
  <c r="AH176" i="4" s="1"/>
  <c r="AG38" i="4"/>
  <c r="AH38" i="4" s="1"/>
  <c r="AG820" i="4"/>
  <c r="AH820" i="4" s="1"/>
  <c r="AG632" i="4"/>
  <c r="AH632" i="4" s="1"/>
  <c r="AG796" i="4"/>
  <c r="AH796" i="4" s="1"/>
  <c r="AG15" i="4"/>
  <c r="AH15" i="4" s="1"/>
  <c r="AG500" i="4"/>
  <c r="AH500" i="4" s="1"/>
  <c r="AG394" i="4"/>
  <c r="AH394" i="4" s="1"/>
  <c r="AG207" i="4"/>
  <c r="AH207" i="4" s="1"/>
  <c r="AG967" i="4"/>
  <c r="AH967" i="4" s="1"/>
  <c r="AG45" i="4"/>
  <c r="AH45" i="4" s="1"/>
  <c r="AG639" i="4"/>
  <c r="AH639" i="4" s="1"/>
  <c r="AG803" i="4"/>
  <c r="AH803" i="4" s="1"/>
  <c r="AG183" i="4"/>
  <c r="AH183" i="4" s="1"/>
  <c r="AG523" i="4"/>
  <c r="AH523" i="4" s="1"/>
  <c r="AG662" i="4"/>
  <c r="AH662" i="4" s="1"/>
  <c r="AG346" i="4"/>
  <c r="AH346" i="4" s="1"/>
  <c r="AG827" i="4"/>
  <c r="AH827" i="4" s="1"/>
  <c r="AG370" i="4"/>
  <c r="AH370" i="4" s="1"/>
  <c r="AG990" i="4"/>
  <c r="AH990" i="4" s="1"/>
  <c r="AG22" i="4"/>
  <c r="AH22" i="4" s="1"/>
  <c r="D55" i="3"/>
  <c r="C55" i="3"/>
  <c r="B13" i="3" l="1"/>
  <c r="E27" i="3"/>
  <c r="AG903" i="4"/>
  <c r="AH903" i="4" s="1"/>
  <c r="AG280" i="4"/>
  <c r="AH280" i="4" s="1"/>
  <c r="AG761" i="4"/>
  <c r="AH761" i="4" s="1"/>
  <c r="AG880" i="4"/>
  <c r="AH880" i="4" s="1"/>
  <c r="AG411" i="4"/>
  <c r="AH411" i="4" s="1"/>
  <c r="AG458" i="4"/>
  <c r="AH458" i="4" s="1"/>
  <c r="AG258" i="4"/>
  <c r="AH258" i="4" s="1"/>
  <c r="AG304" i="4"/>
  <c r="AH304" i="4" s="1"/>
  <c r="AG118" i="4"/>
  <c r="AH118" i="4" s="1"/>
  <c r="AG236" i="4"/>
  <c r="AH236" i="4" s="1"/>
  <c r="AG714" i="4"/>
  <c r="AH714" i="4" s="1"/>
  <c r="AG528" i="4"/>
  <c r="AH528" i="4" s="1"/>
  <c r="AG141" i="4"/>
  <c r="AH141" i="4" s="1"/>
  <c r="AG598" i="4"/>
  <c r="AH598" i="4" s="1"/>
  <c r="AG212" i="4"/>
  <c r="AH212" i="4" s="1"/>
  <c r="AG856" i="4"/>
  <c r="AH856" i="4" s="1"/>
  <c r="AG434" i="4"/>
  <c r="AH434" i="4" s="1"/>
  <c r="AG72" i="4"/>
  <c r="AH72" i="4" s="1"/>
  <c r="AG667" i="4"/>
  <c r="AH667" i="4" s="1"/>
  <c r="AG995" i="4"/>
  <c r="AH995" i="4" s="1"/>
  <c r="AG832" i="4"/>
  <c r="AH832" i="4" s="1"/>
  <c r="AG50" i="4"/>
  <c r="AH50" i="4" s="1"/>
  <c r="AG926" i="4"/>
  <c r="AH926" i="4" s="1"/>
  <c r="AG738" i="4"/>
  <c r="AH738" i="4" s="1"/>
  <c r="AG574" i="4"/>
  <c r="AH574" i="4" s="1"/>
  <c r="AG691" i="4"/>
  <c r="AH691" i="4" s="1"/>
  <c r="AG551" i="4"/>
  <c r="AH551" i="4" s="1"/>
  <c r="AG95" i="4"/>
  <c r="AH95" i="4" s="1"/>
  <c r="B35" i="8" s="1"/>
  <c r="D33" i="3"/>
  <c r="C33" i="3"/>
  <c r="D63" i="3"/>
  <c r="C63" i="3"/>
  <c r="E44" i="3"/>
  <c r="E34" i="3"/>
  <c r="E39" i="3"/>
  <c r="E40" i="3"/>
  <c r="E32" i="3"/>
  <c r="E41" i="3"/>
  <c r="E31" i="3"/>
  <c r="E47" i="3"/>
  <c r="E26" i="3"/>
  <c r="E45" i="3"/>
  <c r="G8" i="7"/>
  <c r="E8" i="7"/>
  <c r="D8" i="7"/>
  <c r="C8" i="7"/>
  <c r="F8" i="7"/>
  <c r="A9" i="7"/>
  <c r="B8" i="7"/>
  <c r="E35" i="3"/>
  <c r="E48" i="3"/>
  <c r="E42" i="3"/>
  <c r="E17" i="8"/>
  <c r="F17" i="8"/>
  <c r="E25" i="3"/>
  <c r="E37" i="3"/>
  <c r="E30" i="3"/>
  <c r="A80" i="3"/>
  <c r="D79" i="3"/>
  <c r="C79" i="3"/>
  <c r="B79" i="3"/>
  <c r="F9" i="2"/>
  <c r="B19" i="3"/>
  <c r="B12" i="2"/>
  <c r="E46" i="3"/>
  <c r="E29" i="3"/>
  <c r="E33" i="3" l="1"/>
  <c r="V9" i="2"/>
  <c r="B13" i="2"/>
  <c r="C9" i="7"/>
  <c r="F9" i="7"/>
  <c r="E9" i="7"/>
  <c r="D9" i="7"/>
  <c r="B9" i="7"/>
  <c r="A10" i="7"/>
  <c r="G9" i="7"/>
  <c r="B80" i="3"/>
  <c r="A81" i="3"/>
  <c r="D80" i="3"/>
  <c r="C80" i="3"/>
  <c r="M63" i="2"/>
  <c r="L63" i="2" s="1"/>
  <c r="M66" i="2"/>
  <c r="L66" i="2" s="1"/>
  <c r="M64" i="2"/>
  <c r="L64" i="2" s="1"/>
  <c r="B20" i="3"/>
  <c r="B21" i="3"/>
  <c r="M62" i="2"/>
  <c r="L62" i="2" s="1"/>
  <c r="M65" i="2"/>
  <c r="L65" i="2" s="1"/>
  <c r="A82" i="3" l="1"/>
  <c r="B81" i="3"/>
  <c r="D81" i="3"/>
  <c r="C81" i="3"/>
  <c r="E10" i="7"/>
  <c r="A11" i="7"/>
  <c r="F10" i="7"/>
  <c r="C10" i="7"/>
  <c r="B10" i="7"/>
  <c r="G10" i="7"/>
  <c r="D10" i="7"/>
  <c r="J9" i="2"/>
  <c r="B11" i="2"/>
  <c r="G11" i="7" l="1"/>
  <c r="B11" i="7"/>
  <c r="C11" i="7"/>
  <c r="E11" i="7"/>
  <c r="D11" i="7"/>
  <c r="F11" i="7"/>
  <c r="A12" i="7"/>
  <c r="A83" i="3"/>
  <c r="D82" i="3"/>
  <c r="C82" i="3"/>
  <c r="B82" i="3"/>
  <c r="A84" i="3" l="1"/>
  <c r="D83" i="3"/>
  <c r="C83" i="3"/>
  <c r="B83" i="3"/>
  <c r="E12" i="7"/>
  <c r="G12" i="7"/>
  <c r="D12" i="7"/>
  <c r="C12" i="7"/>
  <c r="B12" i="7"/>
  <c r="A13" i="7"/>
  <c r="F12" i="7"/>
  <c r="C13" i="7" l="1"/>
  <c r="A14" i="7"/>
  <c r="E13" i="7"/>
  <c r="B13" i="7"/>
  <c r="G13" i="7"/>
  <c r="F13" i="7"/>
  <c r="D13" i="7"/>
  <c r="B84" i="3"/>
  <c r="D84" i="3"/>
  <c r="A85" i="3"/>
  <c r="C84" i="3"/>
  <c r="F14" i="7" l="1"/>
  <c r="C14" i="7"/>
  <c r="B14" i="7"/>
  <c r="E14" i="7"/>
  <c r="D14" i="7"/>
  <c r="A15" i="7"/>
  <c r="G14" i="7"/>
  <c r="C85" i="3"/>
  <c r="B85" i="3"/>
  <c r="A86" i="3"/>
  <c r="D85" i="3"/>
  <c r="D86" i="3" l="1"/>
  <c r="A87" i="3"/>
  <c r="C86" i="3"/>
  <c r="B86" i="3"/>
  <c r="C15" i="7"/>
  <c r="A16" i="7"/>
  <c r="G15" i="7"/>
  <c r="E15" i="7"/>
  <c r="D15" i="7"/>
  <c r="B15" i="7"/>
  <c r="F15" i="7"/>
  <c r="F16" i="7" l="1"/>
  <c r="A17" i="7"/>
  <c r="E16" i="7"/>
  <c r="C16" i="7"/>
  <c r="B16" i="7"/>
  <c r="G16" i="7"/>
  <c r="D16" i="7"/>
  <c r="B87" i="3"/>
  <c r="A88" i="3"/>
  <c r="D87" i="3"/>
  <c r="C87" i="3"/>
  <c r="D17" i="7" l="1"/>
  <c r="C17" i="7"/>
  <c r="B17" i="7"/>
  <c r="F17" i="7"/>
  <c r="E17" i="7"/>
  <c r="A18" i="7"/>
  <c r="G17" i="7"/>
  <c r="B88" i="3"/>
  <c r="A89" i="3"/>
  <c r="D88" i="3"/>
  <c r="C88" i="3"/>
  <c r="A90" i="3" l="1"/>
  <c r="C89" i="3"/>
  <c r="B89" i="3"/>
  <c r="D89" i="3"/>
  <c r="B18" i="7"/>
  <c r="G18" i="7"/>
  <c r="E18" i="7"/>
  <c r="D18" i="7"/>
  <c r="C18" i="7"/>
  <c r="A19" i="7"/>
  <c r="F18" i="7"/>
  <c r="E19" i="7" l="1"/>
  <c r="A20" i="7"/>
  <c r="F19" i="7"/>
  <c r="C19" i="7"/>
  <c r="B19" i="7"/>
  <c r="G19" i="7"/>
  <c r="D19" i="7"/>
  <c r="A91" i="3"/>
  <c r="D90" i="3"/>
  <c r="C90" i="3"/>
  <c r="B90" i="3"/>
  <c r="B20" i="7" l="1"/>
  <c r="D20" i="7"/>
  <c r="C20" i="7"/>
  <c r="F20" i="7"/>
  <c r="E20" i="7"/>
  <c r="A21" i="7"/>
  <c r="G20" i="7"/>
  <c r="A92" i="3"/>
  <c r="D91" i="3"/>
  <c r="C91" i="3"/>
  <c r="B91" i="3"/>
  <c r="E21" i="7" l="1"/>
  <c r="F21" i="7"/>
  <c r="D21" i="7"/>
  <c r="C21" i="7"/>
  <c r="G21" i="7"/>
  <c r="B21" i="7"/>
  <c r="A22" i="7"/>
  <c r="B92" i="3"/>
  <c r="D92" i="3"/>
  <c r="A93" i="3"/>
  <c r="C92" i="3"/>
  <c r="A23" i="7" l="1"/>
  <c r="C22" i="7"/>
  <c r="F22" i="7"/>
  <c r="D22" i="7"/>
  <c r="B22" i="7"/>
  <c r="G22" i="7"/>
  <c r="E22" i="7"/>
  <c r="B93" i="3"/>
  <c r="A94" i="3"/>
  <c r="D93" i="3"/>
  <c r="C93" i="3"/>
  <c r="A95" i="3" l="1"/>
  <c r="D94" i="3"/>
  <c r="C94" i="3"/>
  <c r="B94" i="3"/>
  <c r="F23" i="7"/>
  <c r="D23" i="7"/>
  <c r="C23" i="7"/>
  <c r="B23" i="7"/>
  <c r="G23" i="7"/>
  <c r="E23" i="7"/>
  <c r="A24" i="7"/>
  <c r="D24" i="7" l="1"/>
  <c r="A25" i="7"/>
  <c r="F24" i="7"/>
  <c r="E24" i="7"/>
  <c r="C24" i="7"/>
  <c r="G24" i="7"/>
  <c r="B24" i="7"/>
  <c r="A96" i="3"/>
  <c r="D95" i="3"/>
  <c r="C95" i="3"/>
  <c r="B95" i="3"/>
  <c r="B96" i="3" l="1"/>
  <c r="A97" i="3"/>
  <c r="D96" i="3"/>
  <c r="C96" i="3"/>
  <c r="G25" i="7"/>
  <c r="F25" i="7"/>
  <c r="D25" i="7"/>
  <c r="C25" i="7"/>
  <c r="A26" i="7"/>
  <c r="E25" i="7"/>
  <c r="B25" i="7"/>
  <c r="D26" i="7" l="1"/>
  <c r="E26" i="7"/>
  <c r="C26" i="7"/>
  <c r="B26" i="7"/>
  <c r="G26" i="7"/>
  <c r="F26" i="7"/>
  <c r="A27" i="7"/>
  <c r="C97" i="3"/>
  <c r="A98" i="3"/>
  <c r="D97" i="3"/>
  <c r="B97" i="3"/>
  <c r="G27" i="7" l="1"/>
  <c r="B27" i="7"/>
  <c r="F27" i="7"/>
  <c r="E27" i="7"/>
  <c r="D27" i="7"/>
  <c r="A28" i="7"/>
  <c r="C27" i="7"/>
  <c r="A99" i="3"/>
  <c r="D98" i="3"/>
  <c r="C98" i="3"/>
  <c r="B98" i="3"/>
  <c r="A100" i="3" l="1"/>
  <c r="D99" i="3"/>
  <c r="C99" i="3"/>
  <c r="B99" i="3"/>
  <c r="E28" i="7"/>
  <c r="G28" i="7"/>
  <c r="D28" i="7"/>
  <c r="C28" i="7"/>
  <c r="F28" i="7"/>
  <c r="B28" i="7"/>
  <c r="A29" i="7"/>
  <c r="C29" i="7" l="1"/>
  <c r="E29" i="7"/>
  <c r="D29" i="7"/>
  <c r="B29" i="7"/>
  <c r="A30" i="7"/>
  <c r="G29" i="7"/>
  <c r="F29" i="7"/>
  <c r="B100" i="3"/>
  <c r="A101" i="3"/>
  <c r="D100" i="3"/>
  <c r="C100" i="3"/>
  <c r="A102" i="3" l="1"/>
  <c r="C101" i="3"/>
  <c r="B101" i="3"/>
  <c r="D101" i="3"/>
  <c r="F30" i="7"/>
  <c r="G30" i="7"/>
  <c r="E30" i="7"/>
  <c r="D30" i="7"/>
  <c r="A31" i="7"/>
  <c r="C30" i="7"/>
  <c r="B30" i="7"/>
  <c r="C31" i="7" l="1"/>
  <c r="A32" i="7"/>
  <c r="G31" i="7"/>
  <c r="E31" i="7"/>
  <c r="D31" i="7"/>
  <c r="F31" i="7"/>
  <c r="B31" i="7"/>
  <c r="D102" i="3"/>
  <c r="A103" i="3"/>
  <c r="C102" i="3"/>
  <c r="B102" i="3"/>
  <c r="A104" i="3" l="1"/>
  <c r="D103" i="3"/>
  <c r="C103" i="3"/>
  <c r="B103" i="3"/>
  <c r="F32" i="7"/>
  <c r="E32" i="7"/>
  <c r="D32" i="7"/>
  <c r="C32" i="7"/>
  <c r="A33" i="7"/>
  <c r="G32" i="7"/>
  <c r="B32" i="7"/>
  <c r="D33" i="7" l="1"/>
  <c r="G33" i="7"/>
  <c r="F33" i="7"/>
  <c r="E33" i="7"/>
  <c r="A34" i="7"/>
  <c r="C33" i="7"/>
  <c r="B33" i="7"/>
  <c r="B104" i="3"/>
  <c r="A105" i="3"/>
  <c r="D104" i="3"/>
  <c r="C104" i="3"/>
  <c r="B105" i="3" l="1"/>
  <c r="A106" i="3"/>
  <c r="C105" i="3"/>
  <c r="D105" i="3"/>
  <c r="B34" i="7"/>
  <c r="G34" i="7"/>
  <c r="A35" i="7"/>
  <c r="E34" i="7"/>
  <c r="D34" i="7"/>
  <c r="F34" i="7"/>
  <c r="C34" i="7"/>
  <c r="D106" i="3" l="1"/>
  <c r="A107" i="3"/>
  <c r="C106" i="3"/>
  <c r="B106" i="3"/>
  <c r="E35" i="7"/>
  <c r="F35" i="7"/>
  <c r="D35" i="7"/>
  <c r="C35" i="7"/>
  <c r="A36" i="7"/>
  <c r="G35" i="7"/>
  <c r="B35" i="7"/>
  <c r="B36" i="7" l="1"/>
  <c r="G36" i="7"/>
  <c r="F36" i="7"/>
  <c r="E36" i="7"/>
  <c r="A37" i="7"/>
  <c r="C36" i="7"/>
  <c r="D36" i="7"/>
  <c r="B107" i="3"/>
  <c r="A108" i="3"/>
  <c r="D107" i="3"/>
  <c r="C107" i="3"/>
  <c r="E37" i="7" l="1"/>
  <c r="A38" i="7"/>
  <c r="F37" i="7"/>
  <c r="D37" i="7"/>
  <c r="B37" i="7"/>
  <c r="G37" i="7"/>
  <c r="C37" i="7"/>
  <c r="B108" i="3"/>
  <c r="D108" i="3"/>
  <c r="A109" i="3"/>
  <c r="C108" i="3"/>
  <c r="A110" i="3" l="1"/>
  <c r="D109" i="3"/>
  <c r="C109" i="3"/>
  <c r="B109" i="3"/>
  <c r="A39" i="7"/>
  <c r="C38" i="7"/>
  <c r="F38" i="7"/>
  <c r="E38" i="7"/>
  <c r="D38" i="7"/>
  <c r="G38" i="7"/>
  <c r="B38" i="7"/>
  <c r="F39" i="7" l="1"/>
  <c r="G39" i="7"/>
  <c r="E39" i="7"/>
  <c r="B39" i="7"/>
  <c r="A40" i="7"/>
  <c r="D39" i="7"/>
  <c r="C39" i="7"/>
  <c r="A111" i="3"/>
  <c r="D110" i="3"/>
  <c r="C110" i="3"/>
  <c r="B110" i="3"/>
  <c r="A112" i="3" l="1"/>
  <c r="D111" i="3"/>
  <c r="C111" i="3"/>
  <c r="B111" i="3"/>
  <c r="D40" i="7"/>
  <c r="A41" i="7"/>
  <c r="F40" i="7"/>
  <c r="E40" i="7"/>
  <c r="B40" i="7"/>
  <c r="G40" i="7"/>
  <c r="C40" i="7"/>
  <c r="G41" i="7" l="1"/>
  <c r="F41" i="7"/>
  <c r="E41" i="7"/>
  <c r="D41" i="7"/>
  <c r="B41" i="7"/>
  <c r="A42" i="7"/>
  <c r="C41" i="7"/>
  <c r="B112" i="3"/>
  <c r="A113" i="3"/>
  <c r="D112" i="3"/>
  <c r="C112" i="3"/>
  <c r="C113" i="3" l="1"/>
  <c r="A114" i="3"/>
  <c r="B113" i="3"/>
  <c r="D113" i="3"/>
  <c r="D42" i="7"/>
  <c r="G42" i="7"/>
  <c r="F42" i="7"/>
  <c r="B42" i="7"/>
  <c r="A43" i="7"/>
  <c r="E42" i="7"/>
  <c r="C42" i="7"/>
  <c r="G43" i="7" l="1"/>
  <c r="B43" i="7"/>
  <c r="A44" i="7"/>
  <c r="F43" i="7"/>
  <c r="E43" i="7"/>
  <c r="C43" i="7"/>
  <c r="D43" i="7"/>
  <c r="A115" i="3"/>
  <c r="D114" i="3"/>
  <c r="C114" i="3"/>
  <c r="B114" i="3"/>
  <c r="A116" i="3" l="1"/>
  <c r="B115" i="3"/>
  <c r="D115" i="3"/>
  <c r="C115" i="3"/>
  <c r="E44" i="7"/>
  <c r="G44" i="7"/>
  <c r="F44" i="7"/>
  <c r="D44" i="7"/>
  <c r="B44" i="7"/>
  <c r="A45" i="7"/>
  <c r="C44" i="7"/>
  <c r="C45" i="7" l="1"/>
  <c r="A46" i="7"/>
  <c r="G45" i="7"/>
  <c r="F45" i="7"/>
  <c r="B45" i="7"/>
  <c r="E45" i="7"/>
  <c r="D45" i="7"/>
  <c r="B116" i="3"/>
  <c r="D116" i="3"/>
  <c r="A117" i="3"/>
  <c r="C116" i="3"/>
  <c r="B117" i="3" l="1"/>
  <c r="A118" i="3"/>
  <c r="D117" i="3"/>
  <c r="C117" i="3"/>
  <c r="F46" i="7"/>
  <c r="A47" i="7"/>
  <c r="G46" i="7"/>
  <c r="E46" i="7"/>
  <c r="C46" i="7"/>
  <c r="B46" i="7"/>
  <c r="D46" i="7"/>
  <c r="C47" i="7" l="1"/>
  <c r="A48" i="7"/>
  <c r="G47" i="7"/>
  <c r="F47" i="7"/>
  <c r="E47" i="7"/>
  <c r="B47" i="7"/>
  <c r="D47" i="7"/>
  <c r="D118" i="3"/>
  <c r="A119" i="3"/>
  <c r="C118" i="3"/>
  <c r="B118" i="3"/>
  <c r="A120" i="3" l="1"/>
  <c r="D119" i="3"/>
  <c r="C119" i="3"/>
  <c r="B119" i="3"/>
  <c r="F48" i="7"/>
  <c r="A49" i="7"/>
  <c r="G48" i="7"/>
  <c r="C48" i="7"/>
  <c r="H45" i="7" s="1"/>
  <c r="B48" i="7"/>
  <c r="E48" i="7"/>
  <c r="D48" i="7"/>
  <c r="I45" i="7" l="1"/>
  <c r="J45" i="7"/>
  <c r="K45" i="7"/>
  <c r="H5" i="7"/>
  <c r="H8" i="7"/>
  <c r="P8" i="7"/>
  <c r="H6" i="7"/>
  <c r="P6" i="7"/>
  <c r="P5" i="7"/>
  <c r="P7" i="7"/>
  <c r="H9" i="7"/>
  <c r="H7" i="7"/>
  <c r="H10" i="7"/>
  <c r="H13" i="7"/>
  <c r="H12" i="7"/>
  <c r="H11" i="7"/>
  <c r="H14" i="7"/>
  <c r="H15" i="7"/>
  <c r="H16" i="7"/>
  <c r="H17" i="7"/>
  <c r="H19" i="7"/>
  <c r="H18" i="7"/>
  <c r="H20" i="7"/>
  <c r="H22" i="7"/>
  <c r="H23" i="7"/>
  <c r="H21" i="7"/>
  <c r="H24" i="7"/>
  <c r="H25" i="7"/>
  <c r="H28" i="7"/>
  <c r="H29" i="7"/>
  <c r="H26" i="7"/>
  <c r="H27" i="7"/>
  <c r="H30" i="7"/>
  <c r="H31" i="7"/>
  <c r="H32" i="7"/>
  <c r="H33" i="7"/>
  <c r="H34" i="7"/>
  <c r="H35" i="7"/>
  <c r="H37" i="7"/>
  <c r="H36" i="7"/>
  <c r="H38" i="7"/>
  <c r="H40" i="7"/>
  <c r="H39" i="7"/>
  <c r="H42" i="7"/>
  <c r="H41" i="7"/>
  <c r="H43" i="7"/>
  <c r="H44" i="7"/>
  <c r="H48" i="7"/>
  <c r="K48" i="7" s="1"/>
  <c r="D49" i="7"/>
  <c r="G49" i="7"/>
  <c r="F49" i="7"/>
  <c r="C49" i="7"/>
  <c r="B26" i="9" s="1"/>
  <c r="B27" i="9" s="1"/>
  <c r="B49" i="7"/>
  <c r="A50" i="7"/>
  <c r="H49" i="7"/>
  <c r="E49" i="7"/>
  <c r="B120" i="3"/>
  <c r="D120" i="3"/>
  <c r="C120" i="3"/>
  <c r="H46" i="7"/>
  <c r="H47" i="7"/>
  <c r="J12" i="7" l="1"/>
  <c r="I12" i="7"/>
  <c r="K12" i="7"/>
  <c r="J10" i="7"/>
  <c r="I10" i="7"/>
  <c r="K10" i="7"/>
  <c r="J7" i="7"/>
  <c r="I7" i="7"/>
  <c r="K7" i="7"/>
  <c r="J29" i="7"/>
  <c r="I29" i="7"/>
  <c r="K29" i="7"/>
  <c r="I9" i="7"/>
  <c r="J9" i="7"/>
  <c r="K9" i="7"/>
  <c r="J44" i="7"/>
  <c r="I44" i="7"/>
  <c r="K44" i="7"/>
  <c r="I46" i="7"/>
  <c r="J46" i="7"/>
  <c r="K46" i="7"/>
  <c r="I40" i="7"/>
  <c r="J40" i="7"/>
  <c r="K40" i="7"/>
  <c r="I47" i="7"/>
  <c r="J47" i="7"/>
  <c r="K47" i="7"/>
  <c r="J39" i="7"/>
  <c r="I39" i="7"/>
  <c r="K39" i="7"/>
  <c r="J23" i="7"/>
  <c r="I23" i="7"/>
  <c r="K23" i="7"/>
  <c r="C10" i="1"/>
  <c r="J22" i="7"/>
  <c r="I22" i="7"/>
  <c r="K22" i="7"/>
  <c r="I38" i="7"/>
  <c r="J38" i="7"/>
  <c r="K38" i="7"/>
  <c r="J20" i="7"/>
  <c r="I20" i="7"/>
  <c r="K20" i="7"/>
  <c r="J6" i="7"/>
  <c r="I6" i="7"/>
  <c r="K6" i="7"/>
  <c r="J26" i="7"/>
  <c r="I26" i="7"/>
  <c r="K26" i="7"/>
  <c r="J42" i="7"/>
  <c r="I42" i="7"/>
  <c r="K42" i="7"/>
  <c r="J21" i="7"/>
  <c r="I21" i="7"/>
  <c r="K21" i="7"/>
  <c r="I49" i="7"/>
  <c r="J49" i="7"/>
  <c r="A51" i="7"/>
  <c r="H50" i="7"/>
  <c r="J18" i="7"/>
  <c r="I18" i="7"/>
  <c r="K18" i="7"/>
  <c r="J28" i="7"/>
  <c r="I28" i="7"/>
  <c r="K28" i="7"/>
  <c r="J19" i="7"/>
  <c r="I19" i="7"/>
  <c r="K19" i="7"/>
  <c r="J8" i="7"/>
  <c r="I8" i="7"/>
  <c r="K8" i="7"/>
  <c r="J25" i="7"/>
  <c r="I25" i="7"/>
  <c r="K25" i="7"/>
  <c r="I33" i="7"/>
  <c r="J33" i="7"/>
  <c r="K33" i="7"/>
  <c r="I17" i="7"/>
  <c r="J17" i="7"/>
  <c r="K17" i="7"/>
  <c r="J5" i="7"/>
  <c r="I5" i="7"/>
  <c r="K5" i="7"/>
  <c r="J37" i="7"/>
  <c r="I37" i="7"/>
  <c r="K37" i="7"/>
  <c r="J32" i="7"/>
  <c r="I32" i="7"/>
  <c r="K32" i="7"/>
  <c r="J16" i="7"/>
  <c r="I16" i="7"/>
  <c r="K16" i="7"/>
  <c r="J13" i="7"/>
  <c r="I13" i="7"/>
  <c r="K13" i="7"/>
  <c r="I15" i="7"/>
  <c r="J15" i="7"/>
  <c r="K15" i="7"/>
  <c r="I43" i="7"/>
  <c r="J43" i="7"/>
  <c r="K43" i="7"/>
  <c r="J30" i="7"/>
  <c r="I30" i="7"/>
  <c r="K30" i="7"/>
  <c r="I14" i="7"/>
  <c r="J14" i="7"/>
  <c r="K14" i="7"/>
  <c r="I41" i="7"/>
  <c r="J41" i="7"/>
  <c r="K41" i="7"/>
  <c r="I24" i="7"/>
  <c r="J24" i="7"/>
  <c r="K24" i="7"/>
  <c r="J36" i="7"/>
  <c r="I36" i="7"/>
  <c r="K36" i="7"/>
  <c r="J35" i="7"/>
  <c r="I35" i="7"/>
  <c r="K35" i="7"/>
  <c r="J34" i="7"/>
  <c r="I34" i="7"/>
  <c r="K34" i="7"/>
  <c r="I31" i="7"/>
  <c r="J31" i="7"/>
  <c r="K31" i="7"/>
  <c r="I48" i="7"/>
  <c r="J48" i="7"/>
  <c r="J27" i="7"/>
  <c r="I27" i="7"/>
  <c r="K27" i="7"/>
  <c r="I11" i="7"/>
  <c r="J11" i="7"/>
  <c r="K11" i="7"/>
  <c r="L18" i="7" l="1"/>
  <c r="M18" i="7" s="1"/>
  <c r="L13" i="7"/>
  <c r="M13" i="7" s="1"/>
  <c r="L31" i="7"/>
  <c r="M31" i="7" s="1"/>
  <c r="L41" i="7"/>
  <c r="M41" i="7" s="1"/>
  <c r="L9" i="7"/>
  <c r="M9" i="7" s="1"/>
  <c r="L29" i="7"/>
  <c r="M29" i="7" s="1"/>
  <c r="J50" i="7"/>
  <c r="I50" i="7"/>
  <c r="L20" i="7"/>
  <c r="M20" i="7" s="1"/>
  <c r="L47" i="7"/>
  <c r="M47" i="7" s="1"/>
  <c r="L39" i="7"/>
  <c r="M39" i="7" s="1"/>
  <c r="L25" i="7"/>
  <c r="M25" i="7" s="1"/>
  <c r="A52" i="7"/>
  <c r="H51" i="7"/>
  <c r="L30" i="7"/>
  <c r="M30" i="7" s="1"/>
  <c r="L32" i="7"/>
  <c r="M32" i="7" s="1"/>
  <c r="L7" i="7"/>
  <c r="M7" i="7" s="1"/>
  <c r="L6" i="7"/>
  <c r="M6" i="7" s="1"/>
  <c r="L38" i="7"/>
  <c r="M38" i="7" s="1"/>
  <c r="L40" i="7"/>
  <c r="M40" i="7" s="1"/>
  <c r="L16" i="7"/>
  <c r="M16" i="7" s="1"/>
  <c r="L34" i="7"/>
  <c r="M34" i="7" s="1"/>
  <c r="L8" i="7"/>
  <c r="M8" i="7" s="1"/>
  <c r="L21" i="7"/>
  <c r="M21" i="7" s="1"/>
  <c r="L11" i="7"/>
  <c r="M11" i="7" s="1"/>
  <c r="L43" i="7"/>
  <c r="M43" i="7" s="1"/>
  <c r="L37" i="7"/>
  <c r="M37" i="7" s="1"/>
  <c r="L10" i="7"/>
  <c r="M10" i="7" s="1"/>
  <c r="L35" i="7"/>
  <c r="M35" i="7" s="1"/>
  <c r="L36" i="7"/>
  <c r="M36" i="7" s="1"/>
  <c r="L22" i="7"/>
  <c r="M22" i="7" s="1"/>
  <c r="L46" i="7"/>
  <c r="M46" i="7" s="1"/>
  <c r="L33" i="7"/>
  <c r="M33" i="7" s="1"/>
  <c r="L19" i="7"/>
  <c r="M19" i="7" s="1"/>
  <c r="L42" i="7"/>
  <c r="M42" i="7" s="1"/>
  <c r="L12" i="7"/>
  <c r="M12" i="7" s="1"/>
  <c r="L5" i="7"/>
  <c r="M5" i="7" s="1"/>
  <c r="L44" i="7"/>
  <c r="M44" i="7" s="1"/>
  <c r="L14" i="7"/>
  <c r="M14" i="7" s="1"/>
  <c r="L27" i="7"/>
  <c r="M27" i="7" s="1"/>
  <c r="L45" i="7"/>
  <c r="M45" i="7" s="1"/>
  <c r="L28" i="7"/>
  <c r="M28" i="7" s="1"/>
  <c r="L26" i="7"/>
  <c r="M26" i="7" s="1"/>
  <c r="L23" i="7"/>
  <c r="M23" i="7" s="1"/>
  <c r="L24" i="7"/>
  <c r="M24" i="7" s="1"/>
  <c r="L15" i="7"/>
  <c r="M15" i="7" s="1"/>
  <c r="L17" i="7"/>
  <c r="M17" i="7" s="1"/>
  <c r="L48" i="7"/>
  <c r="M48" i="7" s="1"/>
  <c r="H52" i="7" l="1"/>
  <c r="A53" i="7"/>
  <c r="P9" i="7"/>
  <c r="C5" i="1" s="1"/>
  <c r="J51" i="7"/>
  <c r="I51" i="7"/>
  <c r="A54" i="7" l="1"/>
  <c r="H53" i="7"/>
  <c r="I52" i="7"/>
  <c r="J52" i="7"/>
  <c r="I53" i="7" l="1"/>
  <c r="J53" i="7"/>
  <c r="A55" i="7"/>
  <c r="H54" i="7"/>
  <c r="I54" i="7" l="1"/>
  <c r="J54" i="7"/>
  <c r="A56" i="7"/>
  <c r="H56" i="7" s="1"/>
  <c r="H55" i="7"/>
  <c r="J55" i="7" l="1"/>
  <c r="I55" i="7"/>
  <c r="J56" i="7"/>
  <c r="I56" i="7"/>
  <c r="P10" i="7"/>
</calcChain>
</file>

<file path=xl/sharedStrings.xml><?xml version="1.0" encoding="utf-8"?>
<sst xmlns="http://schemas.openxmlformats.org/spreadsheetml/2006/main" count="971" uniqueCount="382">
  <si>
    <t>NextHikes IT Solutions – Bike Sharing Demand Analysis</t>
  </si>
  <si>
    <t>Excel workbook: Datasets 1+2 merged, then merged with Dataset 3; cleaned, analysed and visualised</t>
  </si>
  <si>
    <t>Headline findings (live formulas)</t>
  </si>
  <si>
    <t>Volume</t>
  </si>
  <si>
    <t>Time of day</t>
  </si>
  <si>
    <t>Weather</t>
  </si>
  <si>
    <t>Day type</t>
  </si>
  <si>
    <t>Drivers</t>
  </si>
  <si>
    <t>Trend</t>
  </si>
  <si>
    <t>Sheet guide</t>
  </si>
  <si>
    <t>Dashboard</t>
  </si>
  <si>
    <t>INTERACTIVE: six dropdown filters (day type, weather, time of day, demand level, start/end date) drive the KPIs, 5 charts, heatmap and top-5 hours</t>
  </si>
  <si>
    <t>Dashboard_Data</t>
  </si>
  <si>
    <t>Calculation blocks behind the Dashboard (all formulas)</t>
  </si>
  <si>
    <t>Clean_Data</t>
  </si>
  <si>
    <t>Stage 2 merge: Merge_1_2 + Dataset 3 = 1,000 rows, with filters on. Derived features V–AJ.</t>
  </si>
  <si>
    <t>Pivot_Summaries</t>
  </si>
  <si>
    <t>Formula-based pivot-style tables by weather, day type, time of day, weekday, temperature and humidity band</t>
  </si>
  <si>
    <t>Hourly_Analysis</t>
  </si>
  <si>
    <t>Hour-of-day profile and the baselines behind anomaly detection</t>
  </si>
  <si>
    <t>Daily_Trend</t>
  </si>
  <si>
    <t>Daily totals, linear trend, 7-day forecast with range, daily anomaly flags</t>
  </si>
  <si>
    <t>Statistics</t>
  </si>
  <si>
    <t>Descriptive statistics, CORREL, COUNTIF/SUMIF metrics</t>
  </si>
  <si>
    <t>Data_Quality</t>
  </si>
  <si>
    <t>Live PASS/REVIEW checks and a log of cleaning actions</t>
  </si>
  <si>
    <t>Lookups</t>
  </si>
  <si>
    <t>Label tables, dashboard filter lists, all adjustable parameters</t>
  </si>
  <si>
    <t>Dataset1_Raw</t>
  </si>
  <si>
    <t>Source dataset 1 as supplied</t>
  </si>
  <si>
    <t>Dataset2_Raw</t>
  </si>
  <si>
    <t>Source dataset 2 (converted from PDF)</t>
  </si>
  <si>
    <t>Merge_1_2</t>
  </si>
  <si>
    <t>Stage 1 merge: Dataset 1 + Dataset 2 on instant (INDEX/MATCH), 610 rows</t>
  </si>
  <si>
    <t>Dataset3_Raw</t>
  </si>
  <si>
    <t>Source dataset 3 (converted from PDF)</t>
  </si>
  <si>
    <t>Manual_Steps</t>
  </si>
  <si>
    <t>Click-by-click steps for native PivotTables, slicers, timeline, Forecast Sheet, Analyze Data, VBA import</t>
  </si>
  <si>
    <t>Assumptions &amp; limitations</t>
  </si>
  <si>
    <t>•</t>
  </si>
  <si>
    <t>Data covers only 1 Jan – 14 Feb 2011 (winter, one season). Seasonal conclusions cannot be drawn; temperatures span about -7°C to 14°C.</t>
  </si>
  <si>
    <t>The last day (14 Feb) is partial and excluded from the trend/forecast model. Hours with zero rentals are absent from the source, so hourly averages (especially at night) are slightly overstated.</t>
  </si>
  <si>
    <t>temp/atemp/hum/windspeed are normalized in the source; conversions to °C, % and km/h use the UCI documented scales (Lookups B15:B19).</t>
  </si>
  <si>
    <t>11 missing atemp values were imputed by regression on temp and are highlighted yellow in Clean_Data and Merge_1_2.</t>
  </si>
  <si>
    <t>The Dashboard is interactive through dropdown filters and formulas. Native PivotTables/slicers/timelines and Excel's Forecast Sheet must be added in the Excel UI (Manual_Steps).</t>
  </si>
  <si>
    <t>Project task coverage</t>
  </si>
  <si>
    <t>Task</t>
  </si>
  <si>
    <t>Where it is covered</t>
  </si>
  <si>
    <t>1 Excel foundations</t>
  </si>
  <si>
    <t>Formatting, filters, conditional formatting (Clean_Data); SUM/AVERAGE/COUNT (Statistics); LEFT/MID/RIGHT/LEN (date parsing, Data_Quality)</t>
  </si>
  <si>
    <t>2 Load, merge, clean</t>
  </si>
  <si>
    <t>Raw sheets; stage 1: Dataset 1 + 2 (Merge_1_2); stage 2: that result + Dataset 3 (Clean_Data); duplicate/missing/type checks (Data_Quality)</t>
  </si>
  <si>
    <t>3 Conditional logic &amp; lookups</t>
  </si>
  <si>
    <t>IF (day_type, time_of_day, demand_level, anomaly flag); VLOOKUP (weather, season, weekday names); INDEX/MATCH</t>
  </si>
  <si>
    <t>4 Advanced analysis</t>
  </si>
  <si>
    <t>Pivot_Summaries with calculated fields; COUNTIF, SUMIF, STDEV, CORREL (Statistics)</t>
  </si>
  <si>
    <t>5 Visualisation &amp; BI</t>
  </si>
  <si>
    <t>Interactive Dashboard (filters, KPIs, 5 charts, heatmap); forecast and anomalies (Daily_Trend); native slicers/timeline via Manual_Steps</t>
  </si>
  <si>
    <t>6 VBA &amp; AI macros</t>
  </si>
  <si>
    <t>BikeSharing_Automation.bas (separate file)</t>
  </si>
  <si>
    <t>7 Final automated report</t>
  </si>
  <si>
    <t>RunFullPipeline macro + this workbook + summary document</t>
  </si>
  <si>
    <t>Bike Sharing Demand Dashboard</t>
  </si>
  <si>
    <t>▼ Day type</t>
  </si>
  <si>
    <t>▼ Weather</t>
  </si>
  <si>
    <t>▼ Time of day</t>
  </si>
  <si>
    <t>▼ Demand level</t>
  </si>
  <si>
    <t>▼ Start date</t>
  </si>
  <si>
    <t>▼ End date</t>
  </si>
  <si>
    <t>All</t>
  </si>
  <si>
    <t>Click a yellow box and choose from the dropdown. Every KPI, chart and the heatmap updates. To reset: set all four lists to All and the dates to 01-Jan-2011 / 14-Feb-2011.</t>
  </si>
  <si>
    <t>Total rentals</t>
  </si>
  <si>
    <t>Avg rentals / hour</t>
  </si>
  <si>
    <t>Peak hour</t>
  </si>
  <si>
    <t>Registered share</t>
  </si>
  <si>
    <t>Hours matched</t>
  </si>
  <si>
    <t>vs overall average</t>
  </si>
  <si>
    <t>Heatmap: avg rentals/hour by hour and weekday</t>
  </si>
  <si>
    <t>Top 5 busiest hours (current filters)</t>
  </si>
  <si>
    <t>Hour</t>
  </si>
  <si>
    <t>Sun</t>
  </si>
  <si>
    <t>Mon</t>
  </si>
  <si>
    <t>Tue</t>
  </si>
  <si>
    <t>Wed</t>
  </si>
  <si>
    <t>Thu</t>
  </si>
  <si>
    <t>Fri</t>
  </si>
  <si>
    <t>Sat</t>
  </si>
  <si>
    <t>Rank</t>
  </si>
  <si>
    <t>Avg / hr</t>
  </si>
  <si>
    <t>Dashboard_Data – calculations behind the Dashboard</t>
  </si>
  <si>
    <t>Everything here is formula-driven from Clean_Data and the filter boxes on the Dashboard. Do not type over it.</t>
  </si>
  <si>
    <t>1) Active filter criteria ('*' means All)</t>
  </si>
  <si>
    <t>Demand level</t>
  </si>
  <si>
    <t>Start date</t>
  </si>
  <si>
    <t>End date</t>
  </si>
  <si>
    <t>2) Selection KPIs</t>
  </si>
  <si>
    <t>Casual rentals</t>
  </si>
  <si>
    <t>Registered rentals</t>
  </si>
  <si>
    <t>Share of all rentals</t>
  </si>
  <si>
    <t>Overall avg / hour (all data)</t>
  </si>
  <si>
    <t>Selection vs overall avg</t>
  </si>
  <si>
    <t>Peak hour (selection)</t>
  </si>
  <si>
    <t>Peak hour avg rentals</t>
  </si>
  <si>
    <t>3) Hour of day (all filters applied)</t>
  </si>
  <si>
    <t>Avg casual</t>
  </si>
  <si>
    <t>Avg registered</t>
  </si>
  <si>
    <t>Avg total</t>
  </si>
  <si>
    <t>4) Weather (all filters except weather)</t>
  </si>
  <si>
    <t>Chart label</t>
  </si>
  <si>
    <t>5) Day type (all filters except day type)</t>
  </si>
  <si>
    <t>6) Temperature band °C (all filters; band limits editable, blue)</t>
  </si>
  <si>
    <t>Band</t>
  </si>
  <si>
    <t>Lower °C</t>
  </si>
  <si>
    <t>Upper °C</t>
  </si>
  <si>
    <t>Below 0°C</t>
  </si>
  <si>
    <t>0 to &lt;5°C</t>
  </si>
  <si>
    <t>5 to &lt;10°C</t>
  </si>
  <si>
    <t>10°C and above</t>
  </si>
  <si>
    <t>7) Daily totals (all filters; days outside the filters show 0)</t>
  </si>
  <si>
    <t>Date</t>
  </si>
  <si>
    <t>Status</t>
  </si>
  <si>
    <t>instant</t>
  </si>
  <si>
    <t>source</t>
  </si>
  <si>
    <t>m12_row</t>
  </si>
  <si>
    <t>d2_row</t>
  </si>
  <si>
    <t>d3_row</t>
  </si>
  <si>
    <t>dteday</t>
  </si>
  <si>
    <t>season</t>
  </si>
  <si>
    <t>yr</t>
  </si>
  <si>
    <t>mnth</t>
  </si>
  <si>
    <t>hr</t>
  </si>
  <si>
    <t>holiday</t>
  </si>
  <si>
    <t>weekday</t>
  </si>
  <si>
    <t>weathersit</t>
  </si>
  <si>
    <t>temp</t>
  </si>
  <si>
    <t>atemp_raw</t>
  </si>
  <si>
    <t>atemp</t>
  </si>
  <si>
    <t>hum</t>
  </si>
  <si>
    <t>windspeed</t>
  </si>
  <si>
    <t>casual</t>
  </si>
  <si>
    <t>registered</t>
  </si>
  <si>
    <t>cnt</t>
  </si>
  <si>
    <t>day_type</t>
  </si>
  <si>
    <t>weather</t>
  </si>
  <si>
    <t>season_name</t>
  </si>
  <si>
    <t>weekday_name</t>
  </si>
  <si>
    <t>time_of_day</t>
  </si>
  <si>
    <t>temp_C</t>
  </si>
  <si>
    <t>feels_like_C</t>
  </si>
  <si>
    <t>hum_pct</t>
  </si>
  <si>
    <t>wind_kmh</t>
  </si>
  <si>
    <t>registered_share</t>
  </si>
  <si>
    <t>demand_level</t>
  </si>
  <si>
    <t>anomaly_z</t>
  </si>
  <si>
    <t>anomaly_flag</t>
  </si>
  <si>
    <t>cnt_check</t>
  </si>
  <si>
    <t>atemp_imputed</t>
  </si>
  <si>
    <t>Summary Tables (formula-driven pivot equivalents)</t>
  </si>
  <si>
    <t>Blue cells are editable inputs. Calculated fields: Registered share, Share of all rentals. Native PivotTables: see Manual_Steps.</t>
  </si>
  <si>
    <t>Band bounds (°C / %)</t>
  </si>
  <si>
    <t>1) Demand by weather condition</t>
  </si>
  <si>
    <t>Key</t>
  </si>
  <si>
    <t>Label</t>
  </si>
  <si>
    <t>Hours recorded</t>
  </si>
  <si>
    <t>Avg per hour</t>
  </si>
  <si>
    <t>% of all rentals</t>
  </si>
  <si>
    <t>Total</t>
  </si>
  <si>
    <t>2) Demand by day type</t>
  </si>
  <si>
    <t>Weekday</t>
  </si>
  <si>
    <t>Weekend</t>
  </si>
  <si>
    <t>Holiday</t>
  </si>
  <si>
    <t>3) Demand by time of day</t>
  </si>
  <si>
    <t>Night</t>
  </si>
  <si>
    <t>Night (0-5)</t>
  </si>
  <si>
    <t>Morning</t>
  </si>
  <si>
    <t>Morning (6-11)</t>
  </si>
  <si>
    <t>Afternoon</t>
  </si>
  <si>
    <t>Afternoon (12-17)</t>
  </si>
  <si>
    <t>Evening</t>
  </si>
  <si>
    <t>Evening (18-23)</t>
  </si>
  <si>
    <t>4) Demand by weekday</t>
  </si>
  <si>
    <t>5) Demand by temperature band (°C)</t>
  </si>
  <si>
    <t>Lower</t>
  </si>
  <si>
    <t>Upper</t>
  </si>
  <si>
    <t>6) Demand by humidity band (%)</t>
  </si>
  <si>
    <t>Low humidity (&lt;40%)</t>
  </si>
  <si>
    <t>Medium (40-70%)</t>
  </si>
  <si>
    <t>High (70%+)</t>
  </si>
  <si>
    <t>Hourly Analysis &amp; Anomaly Baselines</t>
  </si>
  <si>
    <t>Average rentals by hour of day. Baselines (mean/StDev) by day type feed the anomaly z-score in Clean_Data. Non-working = Weekend + Holiday.</t>
  </si>
  <si>
    <t>Hours (Weekday)</t>
  </si>
  <si>
    <t>Avg cnt (Weekday)</t>
  </si>
  <si>
    <t>StDev (Weekday)</t>
  </si>
  <si>
    <t>Hours (Non-working)</t>
  </si>
  <si>
    <t>Avg cnt (Non-working)</t>
  </si>
  <si>
    <t>StDev (Non-working)</t>
  </si>
  <si>
    <t>Avg cnt (All)</t>
  </si>
  <si>
    <t>Total cnt</t>
  </si>
  <si>
    <t>Note: the source data omits hours with zero rentals, so night-hour averages are slightly overstated (see Summary).</t>
  </si>
  <si>
    <t>Daily Trend, Forecast &amp; Anomaly Detection</t>
  </si>
  <si>
    <t>Forecast = linear trend (FORECAST) on full days only; the last day in the data is partial and excluded from the model. Band = ±1.96 × STEYX (approximate 95% range).</t>
  </si>
  <si>
    <t>Casual</t>
  </si>
  <si>
    <t>Registered</t>
  </si>
  <si>
    <t>Day status</t>
  </si>
  <si>
    <t>Trend / Forecast</t>
  </si>
  <si>
    <t>Lower (95%)</t>
  </si>
  <si>
    <t>Upper (95%)</t>
  </si>
  <si>
    <t>Residual</t>
  </si>
  <si>
    <t>Residual z</t>
  </si>
  <si>
    <t>Anomaly?</t>
  </si>
  <si>
    <t>Trend model</t>
  </si>
  <si>
    <t>Slope (rentals/day)</t>
  </si>
  <si>
    <t>Intercept</t>
  </si>
  <si>
    <t>R²</t>
  </si>
  <si>
    <t>Std error (STEYX)</t>
  </si>
  <si>
    <t>Anomalous days</t>
  </si>
  <si>
    <t>7-day forecast total</t>
  </si>
  <si>
    <t>n/a (partial day)</t>
  </si>
  <si>
    <t>Forecast</t>
  </si>
  <si>
    <t>1) Descriptive statistics</t>
  </si>
  <si>
    <t>Variable</t>
  </si>
  <si>
    <t>Count</t>
  </si>
  <si>
    <t>Mean</t>
  </si>
  <si>
    <t>Median</t>
  </si>
  <si>
    <t>StDev</t>
  </si>
  <si>
    <t>Min</t>
  </si>
  <si>
    <t>Max</t>
  </si>
  <si>
    <t>cnt (total rentals)</t>
  </si>
  <si>
    <t>temp (°C)</t>
  </si>
  <si>
    <t>feels-like (°C)</t>
  </si>
  <si>
    <t>humidity (%)</t>
  </si>
  <si>
    <t>wind speed (km/h)</t>
  </si>
  <si>
    <t>2) Correlation (CORREL) with rental counts</t>
  </si>
  <si>
    <t>Driver</t>
  </si>
  <si>
    <t>vs cnt</t>
  </si>
  <si>
    <t>vs casual</t>
  </si>
  <si>
    <t>vs registered</t>
  </si>
  <si>
    <t>Strength (cnt)</t>
  </si>
  <si>
    <t>Direction (cnt)</t>
  </si>
  <si>
    <t>hour of day</t>
  </si>
  <si>
    <t>weather code (1=clear..4=heavy)</t>
  </si>
  <si>
    <t>3) Conditional counts and sums (COUNTIF / SUMIF)</t>
  </si>
  <si>
    <t>Metric</t>
  </si>
  <si>
    <t>Value</t>
  </si>
  <si>
    <t>Hours with light/heavy rain or snow (weather ≥ 3)</t>
  </si>
  <si>
    <t>Holiday hours</t>
  </si>
  <si>
    <t>Total rentals – weekdays</t>
  </si>
  <si>
    <t>Total rentals – weekends</t>
  </si>
  <si>
    <t>Total rentals – holidays</t>
  </si>
  <si>
    <t>Casual rentals – weekends</t>
  </si>
  <si>
    <t>Casual rentals – weekdays</t>
  </si>
  <si>
    <t>High-demand hours (≥ Q3)</t>
  </si>
  <si>
    <t>Low-demand hours (&lt; Q1)</t>
  </si>
  <si>
    <t>Anomalous hours flagged</t>
  </si>
  <si>
    <t>Missing atemp values imputed</t>
  </si>
  <si>
    <t>Registered share of all rentals</t>
  </si>
  <si>
    <t>Data Quality Checks</t>
  </si>
  <si>
    <t>Check</t>
  </si>
  <si>
    <t>Result</t>
  </si>
  <si>
    <t>Expected</t>
  </si>
  <si>
    <t>Rows – Dataset 1</t>
  </si>
  <si>
    <t>Rows – Dataset 2</t>
  </si>
  <si>
    <t>Rows – Dataset 3</t>
  </si>
  <si>
    <t>Rows in Clean_Data</t>
  </si>
  <si>
    <t>Rows in Merge_1_2 (Dataset 1 + 2, stage 1)</t>
  </si>
  <si>
    <t>Merge_1_2 rows with no Dataset 2 match</t>
  </si>
  <si>
    <t>Duplicate instants – Dataset 1</t>
  </si>
  <si>
    <t>Duplicate instants – Dataset 2</t>
  </si>
  <si>
    <t>Duplicate instants – Dataset 3</t>
  </si>
  <si>
    <t>Duplicate instants in Clean_Data</t>
  </si>
  <si>
    <t>Dataset 1 rows without a match in Dataset 2</t>
  </si>
  <si>
    <t>Instants not found in any dataset</t>
  </si>
  <si>
    <t>Missing atemp before cleaning</t>
  </si>
  <si>
    <t>(informational)</t>
  </si>
  <si>
    <t>INFO</t>
  </si>
  <si>
    <t>Missing atemp after cleaning</t>
  </si>
  <si>
    <t>Missing values – other columns (holiday TRUE/FALSE excluded)</t>
  </si>
  <si>
    <t>cnt ≠ casual + registered</t>
  </si>
  <si>
    <t>Dataset 3 dates with wrong text length (LEN ≠ 10)</t>
  </si>
  <si>
    <t>Date vs weekday mismatches</t>
  </si>
  <si>
    <t>hr outside 0-23</t>
  </si>
  <si>
    <t>weathersit outside 1-4</t>
  </si>
  <si>
    <t>temp/atemp/hum/windspeed outside 0-1</t>
  </si>
  <si>
    <t>Negative rental counts</t>
  </si>
  <si>
    <t>Distinct days covered</t>
  </si>
  <si>
    <t>Hourly records present vs. 24 h × days</t>
  </si>
  <si>
    <t>Cleaning actions taken</t>
  </si>
  <si>
    <t>1. Datasets 2 and 3 were supplied as PDFs; values were extracted programmatically and stored as numbers (type correction). Dataset 3 dates (text dd-mm-yyyy) are converted to real dates in Clean_Data with LEFT/MID/RIGHT/DATE.</t>
  </si>
  <si>
    <t>2. Two-stage merge on key 'instant': (a) Dataset 1 + Dataset 2 matched with INDEX/MATCH into sheet Merge_1_2 (610 rows); (b) Merge_1_2 combined with Dataset 3 (instants 611-1000, all columns already present) into Clean_Data (1,000 rows).</t>
  </si>
  <si>
    <t>3. Duplicates: none found (see checks above), so no rows were removed.</t>
  </si>
  <si>
    <t>4. Missing atemp (11 rows, all in Dataset 2): imputed by regression on temp (Lookups B24:B25). Rows highlighted yellow and flagged in column atemp_imputed.</t>
  </si>
  <si>
    <t>5. Hours with no recorded rentals are absent from the source data (instants are consecutive, hours skip). They were left as-is, not invented.</t>
  </si>
  <si>
    <t>6. Derived features added: day_type, weather, season_name, weekday_name, time_of_day, temp_C, feels_like_C, hum_pct, wind_kmh, registered_share, demand_level, anomaly_z / anomaly_flag.</t>
  </si>
  <si>
    <t>Lookups &amp; Assumptions</t>
  </si>
  <si>
    <t>Weather situation</t>
  </si>
  <si>
    <t>Season</t>
  </si>
  <si>
    <t>Dashboard filter lists</t>
  </si>
  <si>
    <t>Code</t>
  </si>
  <si>
    <t>Clear / Partly cloudy</t>
  </si>
  <si>
    <t>Winter</t>
  </si>
  <si>
    <t>Sunday</t>
  </si>
  <si>
    <t>Mist / Cloudy</t>
  </si>
  <si>
    <t>Spring</t>
  </si>
  <si>
    <t>Monday</t>
  </si>
  <si>
    <t>High</t>
  </si>
  <si>
    <t>Light snow / Light rain</t>
  </si>
  <si>
    <t>Summer</t>
  </si>
  <si>
    <t>Tuesday</t>
  </si>
  <si>
    <t>Medium</t>
  </si>
  <si>
    <t>Heavy rain / Snow / Fog</t>
  </si>
  <si>
    <t>Fall</t>
  </si>
  <si>
    <t>Wednesday</t>
  </si>
  <si>
    <t>Low</t>
  </si>
  <si>
    <t>Source: UCI Bike Sharing dataset documentation (code meanings).</t>
  </si>
  <si>
    <t>Thursday</t>
  </si>
  <si>
    <t>Friday</t>
  </si>
  <si>
    <t>Saturday</t>
  </si>
  <si>
    <t>Parameters</t>
  </si>
  <si>
    <t>Parameter</t>
  </si>
  <si>
    <t>Note</t>
  </si>
  <si>
    <t>Temp min (°C)</t>
  </si>
  <si>
    <t>UCI documentation: temp is normalized, (t - tmin)/(tmax - tmin), tmin=-8, tmax=39</t>
  </si>
  <si>
    <t>Temp max (°C)</t>
  </si>
  <si>
    <t>UCI documentation</t>
  </si>
  <si>
    <t>Feels-like min (°C)</t>
  </si>
  <si>
    <t>UCI documentation: atemp normalized with tmin=-16, tmax=50</t>
  </si>
  <si>
    <t>Feels-like max (°C)</t>
  </si>
  <si>
    <t>Wind speed max (km/h)</t>
  </si>
  <si>
    <t>UCI documentation: windspeed normalized by dividing by 67</t>
  </si>
  <si>
    <t>Hourly anomaly z-threshold</t>
  </si>
  <si>
    <t>Hour flagged if |z| above this vs. same-hour, same-day-type baseline (editable)</t>
  </si>
  <si>
    <t>Daily anomaly z-threshold</t>
  </si>
  <si>
    <t>Day flagged if |z| of residual vs. linear trend is above this (editable)</t>
  </si>
  <si>
    <t>Demand Q1 (cnt)</t>
  </si>
  <si>
    <t>Low demand = below Q1</t>
  </si>
  <si>
    <t>Demand Q3 (cnt)</t>
  </si>
  <si>
    <t>High demand = at/above Q3</t>
  </si>
  <si>
    <t>atemp slope vs temp</t>
  </si>
  <si>
    <t>Regression on complete rows, used to impute missing atemp</t>
  </si>
  <si>
    <t>atemp intercept vs temp</t>
  </si>
  <si>
    <t>As above</t>
  </si>
  <si>
    <t>Night ends before hour</t>
  </si>
  <si>
    <t>Time-of-day bands: Night 0-5, Morning 6-11, Afternoon 12-17, Evening 18-23</t>
  </si>
  <si>
    <t>Morning ends before hour</t>
  </si>
  <si>
    <t>Afternoon ends before hour</t>
  </si>
  <si>
    <t>d2_match_row</t>
  </si>
  <si>
    <t>Stage 1 merge: columns A-J come from Dataset1_Raw; columns K-P are pulled from Dataset2_Raw with INDEX/MATCH on instant (column Q = matching row, 0 = no match). A blank atemp means Dataset 2 had no value.</t>
  </si>
  <si>
    <t>28-01-2011</t>
  </si>
  <si>
    <t>29-01-2011</t>
  </si>
  <si>
    <t>30-01-2011</t>
  </si>
  <si>
    <t>31-01-2011</t>
  </si>
  <si>
    <t>01-02-2011</t>
  </si>
  <si>
    <t>02-02-2011</t>
  </si>
  <si>
    <t>03-02-2011</t>
  </si>
  <si>
    <t>04-02-2011</t>
  </si>
  <si>
    <t>05-02-2011</t>
  </si>
  <si>
    <t>06-02-2011</t>
  </si>
  <si>
    <t>07-02-2011</t>
  </si>
  <si>
    <t>08-02-2011</t>
  </si>
  <si>
    <t>09-02-2011</t>
  </si>
  <si>
    <t>10-02-2011</t>
  </si>
  <si>
    <t>11-02-2011</t>
  </si>
  <si>
    <t>12-02-2011</t>
  </si>
  <si>
    <t>13-02-2011</t>
  </si>
  <si>
    <t>14-02-2011</t>
  </si>
  <si>
    <t>Type</t>
  </si>
  <si>
    <t>Rentals</t>
  </si>
  <si>
    <t>z-score</t>
  </si>
  <si>
    <t>Flag</t>
  </si>
  <si>
    <t>Hourly</t>
  </si>
  <si>
    <t>Low anomaly</t>
  </si>
  <si>
    <t>High anomaly</t>
  </si>
  <si>
    <t>Daily</t>
  </si>
  <si>
    <t>ETS forecast</t>
  </si>
  <si>
    <t>ETS lower (95%)</t>
  </si>
  <si>
    <t>ETS upper (95%)</t>
  </si>
  <si>
    <t>Row Labels</t>
  </si>
  <si>
    <t>Grand Total</t>
  </si>
  <si>
    <t>Average of cnt</t>
  </si>
  <si>
    <t>Forecast(Total rentals)</t>
  </si>
  <si>
    <t>Lower Confidence Bound(Total rentals)</t>
  </si>
  <si>
    <t>Upper Confidence Bound(Total rentals)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</si>
</sst>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dd\-mmm\-yyyy"/>
    <numFmt numFmtId="165" formatCode="0.0"/>
    <numFmt numFmtId="166" formatCode="0.0%"/>
    <numFmt numFmtId="167" formatCode="\+0.0%;\-0.0%;0.0%"/>
    <numFmt numFmtId="168" formatCode="dd\-mmm"/>
    <numFmt numFmtId="169" formatCode="0.0000"/>
    <numFmt numFmtId="170" formatCode="0.000"/>
  </numFmts>
  <fonts count="17" x14ac:knownFonts="1">
    <font>
      <sz val="11"/>
      <color theme="1"/>
      <name val="Calibri"/>
      <family val="2"/>
      <charset val="1"/>
    </font>
    <font>
      <b/>
      <sz val="18"/>
      <color rgb="FF1F3864"/>
      <name val="Arial"/>
      <charset val="1"/>
    </font>
    <font>
      <i/>
      <sz val="10"/>
      <color rgb="FF595959"/>
      <name val="Arial"/>
      <charset val="1"/>
    </font>
    <font>
      <b/>
      <sz val="11"/>
      <color rgb="FF1F3864"/>
      <name val="Arial"/>
      <charset val="1"/>
    </font>
    <font>
      <b/>
      <sz val="10"/>
      <name val="Arial"/>
      <charset val="1"/>
    </font>
    <font>
      <sz val="10"/>
      <name val="Arial"/>
      <charset val="1"/>
    </font>
    <font>
      <b/>
      <u/>
      <sz val="10"/>
      <color rgb="FF0563C1"/>
      <name val="Arial"/>
      <charset val="1"/>
    </font>
    <font>
      <b/>
      <sz val="10"/>
      <color rgb="FFFFFFFF"/>
      <name val="Arial"/>
      <charset val="1"/>
    </font>
    <font>
      <b/>
      <sz val="9"/>
      <color rgb="FF1F3864"/>
      <name val="Arial"/>
      <charset val="1"/>
    </font>
    <font>
      <b/>
      <sz val="10"/>
      <color rgb="FF0000FF"/>
      <name val="Arial"/>
      <charset val="1"/>
    </font>
    <font>
      <i/>
      <sz val="9"/>
      <color rgb="FF595959"/>
      <name val="Arial"/>
      <charset val="1"/>
    </font>
    <font>
      <sz val="9"/>
      <color rgb="FF595959"/>
      <name val="Arial"/>
      <charset val="1"/>
    </font>
    <font>
      <b/>
      <sz val="16"/>
      <color rgb="FF1F3864"/>
      <name val="Arial"/>
      <charset val="1"/>
    </font>
    <font>
      <sz val="9"/>
      <name val="Arial"/>
      <charset val="1"/>
    </font>
    <font>
      <i/>
      <sz val="9"/>
      <name val="Arial"/>
      <charset val="1"/>
    </font>
    <font>
      <sz val="10"/>
      <color rgb="FF0000FF"/>
      <name val="Arial"/>
      <charset val="1"/>
    </font>
    <font>
      <b/>
      <sz val="11"/>
      <color theme="1"/>
      <name val="Calibri"/>
      <family val="2"/>
    </font>
  </fonts>
  <fills count="5">
    <fill>
      <patternFill patternType="none"/>
    </fill>
    <fill>
      <patternFill patternType="gray125"/>
    </fill>
    <fill>
      <patternFill patternType="solid">
        <fgColor rgb="FF1F3864"/>
        <bgColor rgb="FF333333"/>
      </patternFill>
    </fill>
    <fill>
      <patternFill patternType="solid">
        <fgColor rgb="FFFFF2CC"/>
        <bgColor rgb="FFEDEDED"/>
      </patternFill>
    </fill>
    <fill>
      <patternFill patternType="solid">
        <fgColor rgb="FFEAF1FB"/>
        <bgColor rgb="FFEDEDED"/>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62">
    <xf numFmtId="0" fontId="0" fillId="0" borderId="0" xfId="0"/>
    <xf numFmtId="0" fontId="3" fillId="0" borderId="0" xfId="0" applyFont="1"/>
    <xf numFmtId="0" fontId="2" fillId="0" borderId="0" xfId="0" applyFont="1"/>
    <xf numFmtId="0" fontId="1" fillId="0" borderId="0" xfId="0" applyFont="1"/>
    <xf numFmtId="0" fontId="4" fillId="0" borderId="0" xfId="0" applyFont="1"/>
    <xf numFmtId="0" fontId="5" fillId="0" borderId="0" xfId="0" applyFont="1" applyAlignment="1">
      <alignment vertical="top" wrapText="1"/>
    </xf>
    <xf numFmtId="0" fontId="6" fillId="0" borderId="0" xfId="0" applyFont="1"/>
    <xf numFmtId="0" fontId="0" fillId="0" borderId="0" xfId="0" applyAlignment="1">
      <alignment horizontal="right"/>
    </xf>
    <xf numFmtId="0" fontId="7" fillId="2" borderId="0" xfId="0" applyFont="1" applyFill="1"/>
    <xf numFmtId="0" fontId="7" fillId="2" borderId="1" xfId="0" applyFont="1" applyFill="1" applyBorder="1" applyAlignment="1">
      <alignment horizontal="center" vertical="center" wrapText="1"/>
    </xf>
    <xf numFmtId="0" fontId="4" fillId="0" borderId="1" xfId="0" applyFont="1" applyBorder="1" applyAlignment="1">
      <alignment horizontal="center"/>
    </xf>
    <xf numFmtId="1" fontId="13" fillId="0" borderId="1" xfId="0" applyNumberFormat="1" applyFont="1" applyBorder="1" applyAlignment="1">
      <alignment horizontal="center"/>
    </xf>
    <xf numFmtId="0" fontId="5" fillId="0" borderId="1" xfId="0" applyFont="1" applyBorder="1" applyAlignment="1">
      <alignment horizontal="center"/>
    </xf>
    <xf numFmtId="165" fontId="5" fillId="0" borderId="1" xfId="0" applyNumberFormat="1" applyFont="1" applyBorder="1" applyAlignment="1">
      <alignment horizontal="center"/>
    </xf>
    <xf numFmtId="0" fontId="14" fillId="0" borderId="0" xfId="0" applyFont="1"/>
    <xf numFmtId="0" fontId="5" fillId="0" borderId="1" xfId="0" applyFont="1" applyBorder="1"/>
    <xf numFmtId="164" fontId="5" fillId="0" borderId="1" xfId="0" applyNumberFormat="1" applyFont="1" applyBorder="1"/>
    <xf numFmtId="3" fontId="5" fillId="0" borderId="1" xfId="0" applyNumberFormat="1" applyFont="1" applyBorder="1"/>
    <xf numFmtId="165" fontId="5" fillId="0" borderId="1" xfId="0" applyNumberFormat="1" applyFont="1" applyBorder="1"/>
    <xf numFmtId="166" fontId="5" fillId="0" borderId="1" xfId="0" applyNumberFormat="1" applyFont="1" applyBorder="1"/>
    <xf numFmtId="49" fontId="5" fillId="0" borderId="1" xfId="0" applyNumberFormat="1" applyFont="1" applyBorder="1"/>
    <xf numFmtId="0" fontId="15" fillId="0" borderId="1" xfId="0" applyFont="1" applyBorder="1"/>
    <xf numFmtId="168" fontId="5" fillId="0" borderId="1" xfId="0" applyNumberFormat="1" applyFont="1" applyBorder="1"/>
    <xf numFmtId="0" fontId="5" fillId="0" borderId="0" xfId="0" applyFont="1"/>
    <xf numFmtId="164" fontId="5" fillId="0" borderId="0" xfId="0" applyNumberFormat="1" applyFont="1"/>
    <xf numFmtId="169" fontId="5" fillId="0" borderId="0" xfId="0" applyNumberFormat="1" applyFont="1"/>
    <xf numFmtId="165" fontId="5" fillId="0" borderId="0" xfId="0" applyNumberFormat="1" applyFont="1"/>
    <xf numFmtId="166" fontId="5" fillId="0" borderId="0" xfId="0" applyNumberFormat="1" applyFont="1"/>
    <xf numFmtId="0" fontId="12" fillId="0" borderId="0" xfId="0" applyFont="1"/>
    <xf numFmtId="0" fontId="4" fillId="0" borderId="1" xfId="0" applyFont="1" applyBorder="1"/>
    <xf numFmtId="3" fontId="4" fillId="0" borderId="1" xfId="0" applyNumberFormat="1" applyFont="1" applyBorder="1"/>
    <xf numFmtId="165" fontId="4" fillId="0" borderId="1" xfId="0" applyNumberFormat="1" applyFont="1" applyBorder="1"/>
    <xf numFmtId="166" fontId="4" fillId="0" borderId="1" xfId="0" applyNumberFormat="1" applyFont="1" applyBorder="1"/>
    <xf numFmtId="2" fontId="5" fillId="0" borderId="1" xfId="0" applyNumberFormat="1" applyFont="1" applyBorder="1"/>
    <xf numFmtId="170" fontId="5" fillId="0" borderId="1" xfId="0" applyNumberFormat="1" applyFont="1" applyBorder="1"/>
    <xf numFmtId="0" fontId="7" fillId="2" borderId="1" xfId="0" applyFont="1" applyFill="1" applyBorder="1"/>
    <xf numFmtId="169" fontId="5" fillId="0" borderId="1" xfId="0" applyNumberFormat="1" applyFont="1" applyBorder="1"/>
    <xf numFmtId="0" fontId="14" fillId="0" borderId="0" xfId="0" applyFont="1" applyAlignment="1">
      <alignment vertical="top" wrapText="1"/>
    </xf>
    <xf numFmtId="0" fontId="16" fillId="0" borderId="0" xfId="0" applyFont="1"/>
    <xf numFmtId="164" fontId="16" fillId="0" borderId="0" xfId="0" applyNumberFormat="1" applyFont="1"/>
    <xf numFmtId="164" fontId="0" fillId="0" borderId="0" xfId="0" applyNumberFormat="1"/>
    <xf numFmtId="3" fontId="0" fillId="0" borderId="0" xfId="0" applyNumberFormat="1"/>
    <xf numFmtId="0" fontId="0" fillId="0" borderId="0" xfId="0" pivotButton="1"/>
    <xf numFmtId="0" fontId="0" fillId="0" borderId="0" xfId="0" applyAlignment="1">
      <alignment horizontal="left"/>
    </xf>
    <xf numFmtId="165" fontId="0" fillId="0" borderId="0" xfId="0" applyNumberFormat="1"/>
    <xf numFmtId="165" fontId="16" fillId="0" borderId="0" xfId="0" applyNumberFormat="1" applyFont="1"/>
    <xf numFmtId="0" fontId="10" fillId="0" borderId="0" xfId="0" applyFont="1" applyAlignment="1">
      <alignment vertical="top" wrapText="1"/>
    </xf>
    <xf numFmtId="167" fontId="12" fillId="4" borderId="0" xfId="0" applyNumberFormat="1" applyFont="1" applyFill="1" applyAlignment="1">
      <alignment horizontal="center" vertical="center"/>
    </xf>
    <xf numFmtId="0" fontId="5" fillId="0" borderId="0" xfId="0" applyFont="1" applyAlignment="1">
      <alignment vertical="center"/>
    </xf>
    <xf numFmtId="0" fontId="3" fillId="0" borderId="0" xfId="0" applyFont="1"/>
    <xf numFmtId="3" fontId="12" fillId="4" borderId="0" xfId="0" applyNumberFormat="1" applyFont="1" applyFill="1" applyAlignment="1">
      <alignment horizontal="center" vertical="center"/>
    </xf>
    <xf numFmtId="165" fontId="12" fillId="4" borderId="0" xfId="0" applyNumberFormat="1" applyFont="1" applyFill="1" applyAlignment="1">
      <alignment horizontal="center" vertical="center"/>
    </xf>
    <xf numFmtId="49" fontId="12" fillId="4" borderId="0" xfId="0" applyNumberFormat="1" applyFont="1" applyFill="1" applyAlignment="1">
      <alignment horizontal="center" vertical="center"/>
    </xf>
    <xf numFmtId="166" fontId="12" fillId="4" borderId="0" xfId="0" applyNumberFormat="1" applyFont="1" applyFill="1" applyAlignment="1">
      <alignment horizontal="center" vertical="center"/>
    </xf>
    <xf numFmtId="164" fontId="9" fillId="3" borderId="1" xfId="0" applyNumberFormat="1" applyFont="1" applyFill="1" applyBorder="1" applyAlignment="1">
      <alignment horizontal="center" vertical="center" shrinkToFit="1"/>
    </xf>
    <xf numFmtId="0" fontId="10" fillId="0" borderId="0" xfId="0" applyFont="1"/>
    <xf numFmtId="0" fontId="11" fillId="4" borderId="0" xfId="0" applyFont="1" applyFill="1" applyAlignment="1">
      <alignment horizontal="center"/>
    </xf>
    <xf numFmtId="0" fontId="9" fillId="3" borderId="1" xfId="0" applyFont="1" applyFill="1" applyBorder="1" applyAlignment="1">
      <alignment horizontal="center" vertical="center" shrinkToFit="1"/>
    </xf>
    <xf numFmtId="0" fontId="1" fillId="0" borderId="0" xfId="0" applyFont="1"/>
    <xf numFmtId="0" fontId="2" fillId="0" borderId="0" xfId="0" applyFont="1"/>
    <xf numFmtId="0" fontId="8" fillId="0" borderId="0" xfId="0" applyFont="1" applyAlignment="1">
      <alignment horizontal="center"/>
    </xf>
    <xf numFmtId="0" fontId="5" fillId="0" borderId="0" xfId="0" applyFont="1" applyAlignment="1">
      <alignment vertical="top" wrapText="1"/>
    </xf>
  </cellXfs>
  <cellStyles count="1">
    <cellStyle name="Normal" xfId="0" builtinId="0"/>
  </cellStyles>
  <dxfs count="17">
    <dxf>
      <fill>
        <patternFill>
          <bgColor rgb="FFFFFF00"/>
        </patternFill>
      </fill>
    </dxf>
    <dxf>
      <fill>
        <patternFill>
          <bgColor rgb="FFFFC7CE"/>
        </patternFill>
      </fill>
    </dxf>
    <dxf>
      <fill>
        <patternFill>
          <bgColor rgb="FFC6EFCE"/>
        </patternFill>
      </fill>
    </dxf>
    <dxf>
      <fill>
        <patternFill>
          <bgColor rgb="FFEDEDED"/>
        </patternFill>
      </fill>
    </dxf>
    <dxf>
      <fill>
        <patternFill>
          <bgColor rgb="FFF8CBAD"/>
        </patternFill>
      </fill>
    </dxf>
    <dxf>
      <numFmt numFmtId="3" formatCode="#,##0"/>
    </dxf>
    <dxf>
      <numFmt numFmtId="3" formatCode="#,##0"/>
    </dxf>
    <dxf>
      <numFmt numFmtId="3" formatCode="#,##0"/>
    </dxf>
    <dxf>
      <numFmt numFmtId="164" formatCode="dd\-mmm\-yyyy"/>
    </dxf>
    <dxf>
      <numFmt numFmtId="3" formatCode="#,##0"/>
    </dxf>
    <dxf>
      <numFmt numFmtId="3" formatCode="#,##0"/>
    </dxf>
    <dxf>
      <numFmt numFmtId="3" formatCode="#,##0"/>
    </dxf>
    <dxf>
      <numFmt numFmtId="164" formatCode="dd\-mmm\-yyyy"/>
    </dxf>
    <dxf>
      <font>
        <sz val="10"/>
        <color rgb="FF006100"/>
        <name val="Arial"/>
        <charset val="1"/>
      </font>
      <fill>
        <patternFill>
          <bgColor rgb="FFC6EFCE"/>
        </patternFill>
      </fill>
    </dxf>
    <dxf>
      <fill>
        <patternFill>
          <bgColor rgb="FFFF0000"/>
        </patternFill>
      </fill>
    </dxf>
    <dxf>
      <fill>
        <patternFill>
          <bgColor rgb="FFFFFF00"/>
        </patternFill>
      </fill>
    </dxf>
    <dxf>
      <fill>
        <patternFill>
          <bgColor rgb="FFF8CBA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548235"/>
      <rgbColor rgb="FF800080"/>
      <rgbColor rgb="FF008080"/>
      <rgbColor rgb="FFBFBFBF"/>
      <rgbColor rgb="FF878787"/>
      <rgbColor rgb="FF9999FF"/>
      <rgbColor rgb="FF993366"/>
      <rgbColor rgb="FFFFF2CC"/>
      <rgbColor rgb="FFEAF1FB"/>
      <rgbColor rgb="FF660066"/>
      <rgbColor rgb="FFFF8080"/>
      <rgbColor rgb="FF0563C1"/>
      <rgbColor rgb="FFD9D9D9"/>
      <rgbColor rgb="FF000080"/>
      <rgbColor rgb="FFFF00FF"/>
      <rgbColor rgb="FFFFFF00"/>
      <rgbColor rgb="FF00FFFF"/>
      <rgbColor rgb="FF800080"/>
      <rgbColor rgb="FF800000"/>
      <rgbColor rgb="FF008080"/>
      <rgbColor rgb="FF0000FF"/>
      <rgbColor rgb="FF00CCFF"/>
      <rgbColor rgb="FFEDEDED"/>
      <rgbColor rgb="FFC6EFCE"/>
      <rgbColor rgb="FFFFFF99"/>
      <rgbColor rgb="FF99CCFF"/>
      <rgbColor rgb="FFFFC7CE"/>
      <rgbColor rgb="FFCC99FF"/>
      <rgbColor rgb="FFF8CBAD"/>
      <rgbColor rgb="FF2F75B5"/>
      <rgbColor rgb="FF33CCCC"/>
      <rgbColor rgb="FF99CC00"/>
      <rgbColor rgb="FFFFCC00"/>
      <rgbColor rgb="FFFF9900"/>
      <rgbColor rgb="FFED7D31"/>
      <rgbColor rgb="FF595959"/>
      <rgbColor rgb="FF969696"/>
      <rgbColor rgb="FF1F3864"/>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1/relationships/timelineCache" Target="timelineCaches/timeline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styles" Target="styles.xml"/><Relationship Id="rId30" Type="http://schemas.microsoft.com/office/2006/relationships/vbaProject" Target="vbaProject.bin"/></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IN" sz="1800" b="1" strike="noStrike" spc="-1">
                <a:solidFill>
                  <a:srgbClr val="000000"/>
                </a:solidFill>
                <a:latin typeface="Calibri"/>
              </a:rPr>
              <a:t>Average rentals per hour of day</a:t>
            </a:r>
          </a:p>
        </c:rich>
      </c:tx>
      <c:overlay val="0"/>
      <c:spPr>
        <a:noFill/>
        <a:ln w="0">
          <a:noFill/>
        </a:ln>
      </c:spPr>
    </c:title>
    <c:autoTitleDeleted val="0"/>
    <c:plotArea>
      <c:layout/>
      <c:barChart>
        <c:barDir val="col"/>
        <c:grouping val="stacked"/>
        <c:varyColors val="0"/>
        <c:ser>
          <c:idx val="0"/>
          <c:order val="0"/>
          <c:tx>
            <c:v>Registered</c:v>
          </c:tx>
          <c:spPr>
            <a:solidFill>
              <a:srgbClr val="1F3864"/>
            </a:solidFill>
            <a:ln w="0">
              <a:solidFill>
                <a:srgbClr val="1F3864"/>
              </a:solidFill>
            </a:ln>
          </c:spPr>
          <c:invertIfNegative val="0"/>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Dashboard_Data!$A$25:$A$48</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Dashboard_Data!$D$25:$D$48</c:f>
              <c:numCache>
                <c:formatCode>0.0</c:formatCode>
                <c:ptCount val="24"/>
                <c:pt idx="0">
                  <c:v>14.627906976744185</c:v>
                </c:pt>
                <c:pt idx="1">
                  <c:v>9.5813953488372086</c:v>
                </c:pt>
                <c:pt idx="2">
                  <c:v>6.3658536585365857</c:v>
                </c:pt>
                <c:pt idx="3">
                  <c:v>3.774193548387097</c:v>
                </c:pt>
                <c:pt idx="4">
                  <c:v>1.9375</c:v>
                </c:pt>
                <c:pt idx="5">
                  <c:v>4.1282051282051286</c:v>
                </c:pt>
                <c:pt idx="6">
                  <c:v>19.071428571428573</c:v>
                </c:pt>
                <c:pt idx="7">
                  <c:v>52.906976744186046</c:v>
                </c:pt>
                <c:pt idx="8">
                  <c:v>125.26190476190476</c:v>
                </c:pt>
                <c:pt idx="9">
                  <c:v>83.333333333333329</c:v>
                </c:pt>
                <c:pt idx="10">
                  <c:v>48.5</c:v>
                </c:pt>
                <c:pt idx="11">
                  <c:v>50.642857142857146</c:v>
                </c:pt>
                <c:pt idx="12">
                  <c:v>65.139534883720927</c:v>
                </c:pt>
                <c:pt idx="13">
                  <c:v>66.581395348837205</c:v>
                </c:pt>
                <c:pt idx="14">
                  <c:v>63.581395348837212</c:v>
                </c:pt>
                <c:pt idx="15">
                  <c:v>65.488372093023258</c:v>
                </c:pt>
                <c:pt idx="16">
                  <c:v>78.068181818181813</c:v>
                </c:pt>
                <c:pt idx="17">
                  <c:v>131.22727272727272</c:v>
                </c:pt>
                <c:pt idx="18">
                  <c:v>117.69767441860465</c:v>
                </c:pt>
                <c:pt idx="19">
                  <c:v>80.79069767441861</c:v>
                </c:pt>
                <c:pt idx="20">
                  <c:v>58.511627906976742</c:v>
                </c:pt>
                <c:pt idx="21">
                  <c:v>43.697674418604649</c:v>
                </c:pt>
                <c:pt idx="22">
                  <c:v>32.674418604651166</c:v>
                </c:pt>
                <c:pt idx="23">
                  <c:v>22.837209302325583</c:v>
                </c:pt>
              </c:numCache>
            </c:numRef>
          </c:val>
          <c:extLst>
            <c:ext xmlns:c16="http://schemas.microsoft.com/office/drawing/2014/chart" uri="{C3380CC4-5D6E-409C-BE32-E72D297353CC}">
              <c16:uniqueId val="{00000000-5418-4DED-AF84-63EEF9A98C3E}"/>
            </c:ext>
          </c:extLst>
        </c:ser>
        <c:ser>
          <c:idx val="1"/>
          <c:order val="1"/>
          <c:tx>
            <c:v>Casual</c:v>
          </c:tx>
          <c:spPr>
            <a:solidFill>
              <a:srgbClr val="ED7D31"/>
            </a:solidFill>
            <a:ln w="0">
              <a:solidFill>
                <a:srgbClr val="ED7D31"/>
              </a:solidFill>
            </a:ln>
          </c:spPr>
          <c:invertIfNegative val="0"/>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Dashboard_Data!$A$25:$A$48</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Dashboard_Data!$C$25:$C$48</c:f>
              <c:numCache>
                <c:formatCode>0.0</c:formatCode>
                <c:ptCount val="24"/>
                <c:pt idx="0">
                  <c:v>1.7209302325581395</c:v>
                </c:pt>
                <c:pt idx="1">
                  <c:v>1.1162790697674418</c:v>
                </c:pt>
                <c:pt idx="2">
                  <c:v>0.80487804878048785</c:v>
                </c:pt>
                <c:pt idx="3">
                  <c:v>1.096774193548387</c:v>
                </c:pt>
                <c:pt idx="4">
                  <c:v>0.21875</c:v>
                </c:pt>
                <c:pt idx="5">
                  <c:v>7.6923076923076927E-2</c:v>
                </c:pt>
                <c:pt idx="6">
                  <c:v>0.5</c:v>
                </c:pt>
                <c:pt idx="7">
                  <c:v>1.4883720930232558</c:v>
                </c:pt>
                <c:pt idx="8">
                  <c:v>3.0238095238095237</c:v>
                </c:pt>
                <c:pt idx="9">
                  <c:v>4.0952380952380949</c:v>
                </c:pt>
                <c:pt idx="10">
                  <c:v>5.1428571428571432</c:v>
                </c:pt>
                <c:pt idx="11">
                  <c:v>8.7380952380952372</c:v>
                </c:pt>
                <c:pt idx="12">
                  <c:v>11.209302325581396</c:v>
                </c:pt>
                <c:pt idx="13">
                  <c:v>11.930232558139535</c:v>
                </c:pt>
                <c:pt idx="14">
                  <c:v>10.837209302325581</c:v>
                </c:pt>
                <c:pt idx="15">
                  <c:v>12.465116279069768</c:v>
                </c:pt>
                <c:pt idx="16">
                  <c:v>11.204545454545455</c:v>
                </c:pt>
                <c:pt idx="17">
                  <c:v>8.9772727272727266</c:v>
                </c:pt>
                <c:pt idx="18">
                  <c:v>5.1627906976744189</c:v>
                </c:pt>
                <c:pt idx="19">
                  <c:v>4.3488372093023253</c:v>
                </c:pt>
                <c:pt idx="20">
                  <c:v>3.2558139534883721</c:v>
                </c:pt>
                <c:pt idx="21">
                  <c:v>2.7209302325581395</c:v>
                </c:pt>
                <c:pt idx="22">
                  <c:v>2.3953488372093021</c:v>
                </c:pt>
                <c:pt idx="23">
                  <c:v>2.3488372093023258</c:v>
                </c:pt>
              </c:numCache>
            </c:numRef>
          </c:val>
          <c:extLst>
            <c:ext xmlns:c16="http://schemas.microsoft.com/office/drawing/2014/chart" uri="{C3380CC4-5D6E-409C-BE32-E72D297353CC}">
              <c16:uniqueId val="{00000001-5418-4DED-AF84-63EEF9A98C3E}"/>
            </c:ext>
          </c:extLst>
        </c:ser>
        <c:dLbls>
          <c:showLegendKey val="0"/>
          <c:showVal val="0"/>
          <c:showCatName val="0"/>
          <c:showSerName val="0"/>
          <c:showPercent val="0"/>
          <c:showBubbleSize val="0"/>
        </c:dLbls>
        <c:gapWidth val="60"/>
        <c:overlap val="100"/>
        <c:axId val="29801524"/>
        <c:axId val="16604872"/>
      </c:barChart>
      <c:catAx>
        <c:axId val="29801524"/>
        <c:scaling>
          <c:orientation val="minMax"/>
        </c:scaling>
        <c:delete val="0"/>
        <c:axPos val="b"/>
        <c:title>
          <c:tx>
            <c:rich>
              <a:bodyPr rot="0"/>
              <a:lstStyle/>
              <a:p>
                <a:pPr>
                  <a:defRPr sz="1000" b="1" strike="noStrike" spc="-1">
                    <a:solidFill>
                      <a:srgbClr val="000000"/>
                    </a:solidFill>
                    <a:latin typeface="Calibri"/>
                  </a:defRPr>
                </a:pPr>
                <a:r>
                  <a:rPr lang="en-IN" sz="1000" b="1" strike="noStrike" spc="-1">
                    <a:solidFill>
                      <a:srgbClr val="000000"/>
                    </a:solidFill>
                    <a:latin typeface="Calibri"/>
                  </a:rPr>
                  <a:t>Hour</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16604872"/>
        <c:crosses val="autoZero"/>
        <c:auto val="1"/>
        <c:lblAlgn val="ctr"/>
        <c:lblOffset val="100"/>
        <c:noMultiLvlLbl val="0"/>
      </c:catAx>
      <c:valAx>
        <c:axId val="16604872"/>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defRPr>
                </a:pPr>
                <a:r>
                  <a:rPr lang="en-IN" sz="1000" b="1" strike="noStrike" spc="-1">
                    <a:solidFill>
                      <a:srgbClr val="000000"/>
                    </a:solidFill>
                    <a:latin typeface="Calibri"/>
                  </a:rPr>
                  <a:t>Rentals / hour</a:t>
                </a:r>
              </a:p>
            </c:rich>
          </c:tx>
          <c:overlay val="0"/>
          <c:spPr>
            <a:noFill/>
            <a:ln w="0">
              <a:noFill/>
            </a:ln>
          </c:spPr>
        </c:title>
        <c:numFmt formatCode="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9801524"/>
        <c:crosses val="autoZero"/>
        <c:crossBetween val="between"/>
      </c:valAx>
      <c:spPr>
        <a:noFill/>
        <a:ln w="0">
          <a:noFill/>
        </a:ln>
      </c:spPr>
    </c:plotArea>
    <c:legend>
      <c:legendPos val="b"/>
      <c:overlay val="0"/>
      <c:spPr>
        <a:noFill/>
        <a:ln w="0">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IN" sz="1800" b="1" strike="noStrike" spc="-1">
                <a:solidFill>
                  <a:srgbClr val="000000"/>
                </a:solidFill>
                <a:latin typeface="Calibri"/>
              </a:rPr>
              <a:t>Casual vs registered per hour, by day type</a:t>
            </a:r>
          </a:p>
        </c:rich>
      </c:tx>
      <c:overlay val="0"/>
      <c:spPr>
        <a:noFill/>
        <a:ln w="0">
          <a:noFill/>
        </a:ln>
      </c:spPr>
    </c:title>
    <c:autoTitleDeleted val="0"/>
    <c:plotArea>
      <c:layout/>
      <c:barChart>
        <c:barDir val="col"/>
        <c:grouping val="clustered"/>
        <c:varyColors val="0"/>
        <c:ser>
          <c:idx val="0"/>
          <c:order val="0"/>
          <c:tx>
            <c:v>Registered</c:v>
          </c:tx>
          <c:spPr>
            <a:solidFill>
              <a:srgbClr val="1F3864"/>
            </a:solidFill>
            <a:ln w="0">
              <a:solidFill>
                <a:srgbClr val="1F3864"/>
              </a:solidFill>
            </a:ln>
          </c:spPr>
          <c:invertIfNegative val="0"/>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Dashboard_Data!$A$61:$A$63</c:f>
              <c:strCache>
                <c:ptCount val="3"/>
                <c:pt idx="0">
                  <c:v>Weekday</c:v>
                </c:pt>
                <c:pt idx="1">
                  <c:v>Weekend</c:v>
                </c:pt>
                <c:pt idx="2">
                  <c:v>Holiday</c:v>
                </c:pt>
              </c:strCache>
            </c:strRef>
          </c:cat>
          <c:val>
            <c:numRef>
              <c:f>Dashboard_Data!$D$61:$D$63</c:f>
              <c:numCache>
                <c:formatCode>0.0</c:formatCode>
                <c:ptCount val="3"/>
                <c:pt idx="0">
                  <c:v>60.88699690402477</c:v>
                </c:pt>
                <c:pt idx="1">
                  <c:v>39.9</c:v>
                </c:pt>
                <c:pt idx="2">
                  <c:v>36.791666666666664</c:v>
                </c:pt>
              </c:numCache>
            </c:numRef>
          </c:val>
          <c:extLst>
            <c:ext xmlns:c16="http://schemas.microsoft.com/office/drawing/2014/chart" uri="{C3380CC4-5D6E-409C-BE32-E72D297353CC}">
              <c16:uniqueId val="{00000000-A1D6-4A42-B517-73CE6FCCC270}"/>
            </c:ext>
          </c:extLst>
        </c:ser>
        <c:ser>
          <c:idx val="1"/>
          <c:order val="1"/>
          <c:tx>
            <c:v>Casual</c:v>
          </c:tx>
          <c:spPr>
            <a:solidFill>
              <a:srgbClr val="ED7D31"/>
            </a:solidFill>
            <a:ln w="0">
              <a:solidFill>
                <a:srgbClr val="ED7D31"/>
              </a:solidFill>
            </a:ln>
          </c:spPr>
          <c:invertIfNegative val="0"/>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Dashboard_Data!$A$61:$A$63</c:f>
              <c:strCache>
                <c:ptCount val="3"/>
                <c:pt idx="0">
                  <c:v>Weekday</c:v>
                </c:pt>
                <c:pt idx="1">
                  <c:v>Weekend</c:v>
                </c:pt>
                <c:pt idx="2">
                  <c:v>Holiday</c:v>
                </c:pt>
              </c:strCache>
            </c:strRef>
          </c:cat>
          <c:val>
            <c:numRef>
              <c:f>Dashboard_Data!$C$61:$C$63</c:f>
              <c:numCache>
                <c:formatCode>0.0</c:formatCode>
                <c:ptCount val="3"/>
                <c:pt idx="0">
                  <c:v>3.2538699690402475</c:v>
                </c:pt>
                <c:pt idx="1">
                  <c:v>8.1878787878787875</c:v>
                </c:pt>
                <c:pt idx="2">
                  <c:v>4.875</c:v>
                </c:pt>
              </c:numCache>
            </c:numRef>
          </c:val>
          <c:extLst>
            <c:ext xmlns:c16="http://schemas.microsoft.com/office/drawing/2014/chart" uri="{C3380CC4-5D6E-409C-BE32-E72D297353CC}">
              <c16:uniqueId val="{00000001-A1D6-4A42-B517-73CE6FCCC270}"/>
            </c:ext>
          </c:extLst>
        </c:ser>
        <c:dLbls>
          <c:showLegendKey val="0"/>
          <c:showVal val="0"/>
          <c:showCatName val="0"/>
          <c:showSerName val="0"/>
          <c:showPercent val="0"/>
          <c:showBubbleSize val="0"/>
        </c:dLbls>
        <c:gapWidth val="60"/>
        <c:axId val="34754453"/>
        <c:axId val="62381771"/>
      </c:barChart>
      <c:catAx>
        <c:axId val="34754453"/>
        <c:scaling>
          <c:orientation val="minMax"/>
        </c:scaling>
        <c:delete val="0"/>
        <c:axPos val="b"/>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62381771"/>
        <c:crosses val="autoZero"/>
        <c:auto val="1"/>
        <c:lblAlgn val="ctr"/>
        <c:lblOffset val="100"/>
        <c:noMultiLvlLbl val="0"/>
      </c:catAx>
      <c:valAx>
        <c:axId val="62381771"/>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defRPr>
                </a:pPr>
                <a:r>
                  <a:rPr lang="en-IN" sz="1000" b="1" strike="noStrike" spc="-1">
                    <a:solidFill>
                      <a:srgbClr val="000000"/>
                    </a:solidFill>
                    <a:latin typeface="Calibri"/>
                  </a:rPr>
                  <a:t>Rentals / hour</a:t>
                </a:r>
              </a:p>
            </c:rich>
          </c:tx>
          <c:overlay val="0"/>
          <c:spPr>
            <a:noFill/>
            <a:ln w="0">
              <a:noFill/>
            </a:ln>
          </c:spPr>
        </c:title>
        <c:numFmt formatCode="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34754453"/>
        <c:crosses val="autoZero"/>
        <c:crossBetween val="between"/>
      </c:valAx>
      <c:spPr>
        <a:noFill/>
        <a:ln w="0">
          <a:noFill/>
        </a:ln>
      </c:spPr>
    </c:plotArea>
    <c:legend>
      <c:legendPos val="b"/>
      <c:overlay val="0"/>
      <c:spPr>
        <a:noFill/>
        <a:ln w="0">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IN" sz="1800" b="1" strike="noStrike" spc="-1">
                <a:solidFill>
                  <a:srgbClr val="000000"/>
                </a:solidFill>
                <a:latin typeface="Calibri"/>
              </a:rPr>
              <a:t>Avg rentals/hour by weather (n = hours)</a:t>
            </a:r>
          </a:p>
        </c:rich>
      </c:tx>
      <c:overlay val="0"/>
      <c:spPr>
        <a:noFill/>
        <a:ln w="0">
          <a:noFill/>
        </a:ln>
      </c:spPr>
    </c:title>
    <c:autoTitleDeleted val="0"/>
    <c:plotArea>
      <c:layout/>
      <c:barChart>
        <c:barDir val="col"/>
        <c:grouping val="clustered"/>
        <c:varyColors val="0"/>
        <c:ser>
          <c:idx val="0"/>
          <c:order val="0"/>
          <c:tx>
            <c:v>Avg rentals / hour</c:v>
          </c:tx>
          <c:spPr>
            <a:solidFill>
              <a:srgbClr val="2F75B5"/>
            </a:solidFill>
            <a:ln w="0">
              <a:solidFill>
                <a:srgbClr val="2F75B5"/>
              </a:solidFill>
            </a:ln>
          </c:spPr>
          <c:invertIfNegative val="0"/>
          <c:dLbls>
            <c:spPr>
              <a:noFill/>
              <a:ln>
                <a:noFill/>
              </a:ln>
              <a:effectLst/>
            </c:spPr>
            <c:txPr>
              <a:bodyPr wrap="square"/>
              <a:lstStyle/>
              <a:p>
                <a:pPr>
                  <a:defRPr sz="1000" b="0" strike="noStrike" spc="-1">
                    <a:solidFill>
                      <a:srgbClr val="000000"/>
                    </a:solidFill>
                    <a:latin typeface="Calibri"/>
                  </a:defRPr>
                </a:pPr>
                <a:endParaRPr lang="en-US"/>
              </a:p>
            </c:txPr>
            <c:dLblPos val="outEnd"/>
            <c:showLegendKey val="0"/>
            <c:showVal val="1"/>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Dashboard_Data!$D$53:$D$56</c:f>
              <c:strCache>
                <c:ptCount val="4"/>
                <c:pt idx="0">
                  <c:v>Clear / Partly cloudy (n=606)</c:v>
                </c:pt>
                <c:pt idx="1">
                  <c:v>Mist / Cloudy (n=309)</c:v>
                </c:pt>
                <c:pt idx="2">
                  <c:v>Light snow / Light rain (n=84)</c:v>
                </c:pt>
                <c:pt idx="3">
                  <c:v>Heavy rain / Snow / Fog (n=1)</c:v>
                </c:pt>
              </c:strCache>
            </c:strRef>
          </c:cat>
          <c:val>
            <c:numRef>
              <c:f>Dashboard_Data!$C$53:$C$56</c:f>
              <c:numCache>
                <c:formatCode>0.0</c:formatCode>
                <c:ptCount val="4"/>
                <c:pt idx="0">
                  <c:v>61.671617161716171</c:v>
                </c:pt>
                <c:pt idx="1">
                  <c:v>58.595469255663431</c:v>
                </c:pt>
                <c:pt idx="2">
                  <c:v>33.202380952380949</c:v>
                </c:pt>
                <c:pt idx="3">
                  <c:v>36</c:v>
                </c:pt>
              </c:numCache>
            </c:numRef>
          </c:val>
          <c:extLst>
            <c:ext xmlns:c16="http://schemas.microsoft.com/office/drawing/2014/chart" uri="{C3380CC4-5D6E-409C-BE32-E72D297353CC}">
              <c16:uniqueId val="{00000000-3B32-4CD2-A2AC-8872C98C0A63}"/>
            </c:ext>
          </c:extLst>
        </c:ser>
        <c:dLbls>
          <c:showLegendKey val="0"/>
          <c:showVal val="0"/>
          <c:showCatName val="0"/>
          <c:showSerName val="0"/>
          <c:showPercent val="0"/>
          <c:showBubbleSize val="0"/>
        </c:dLbls>
        <c:gapWidth val="60"/>
        <c:axId val="70049468"/>
        <c:axId val="20163968"/>
      </c:barChart>
      <c:catAx>
        <c:axId val="70049468"/>
        <c:scaling>
          <c:orientation val="minMax"/>
        </c:scaling>
        <c:delete val="0"/>
        <c:axPos val="b"/>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0163968"/>
        <c:crosses val="autoZero"/>
        <c:auto val="1"/>
        <c:lblAlgn val="ctr"/>
        <c:lblOffset val="100"/>
        <c:noMultiLvlLbl val="0"/>
      </c:catAx>
      <c:valAx>
        <c:axId val="20163968"/>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defRPr>
                </a:pPr>
                <a:r>
                  <a:rPr lang="en-IN" sz="1000" b="1" strike="noStrike" spc="-1">
                    <a:solidFill>
                      <a:srgbClr val="000000"/>
                    </a:solidFill>
                    <a:latin typeface="Calibri"/>
                  </a:rPr>
                  <a:t>Rentals / hour</a:t>
                </a:r>
              </a:p>
            </c:rich>
          </c:tx>
          <c:overlay val="0"/>
          <c:spPr>
            <a:noFill/>
            <a:ln w="0">
              <a:noFill/>
            </a:ln>
          </c:spPr>
        </c:title>
        <c:numFmt formatCode="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70049468"/>
        <c:crosses val="autoZero"/>
        <c:crossBetween val="between"/>
      </c:valAx>
      <c:spPr>
        <a:noFill/>
        <a:ln w="0">
          <a:noFill/>
        </a:ln>
      </c:spPr>
    </c:plotArea>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IN" sz="1800" b="1" strike="noStrike" spc="-1">
                <a:solidFill>
                  <a:srgbClr val="000000"/>
                </a:solidFill>
                <a:latin typeface="Calibri"/>
              </a:rPr>
              <a:t>Avg rentals/hour by temperature (n = hours)</a:t>
            </a:r>
          </a:p>
        </c:rich>
      </c:tx>
      <c:overlay val="0"/>
      <c:spPr>
        <a:noFill/>
        <a:ln w="0">
          <a:noFill/>
        </a:ln>
      </c:spPr>
    </c:title>
    <c:autoTitleDeleted val="0"/>
    <c:plotArea>
      <c:layout/>
      <c:barChart>
        <c:barDir val="col"/>
        <c:grouping val="clustered"/>
        <c:varyColors val="0"/>
        <c:ser>
          <c:idx val="0"/>
          <c:order val="0"/>
          <c:tx>
            <c:v>Avg rentals / hour</c:v>
          </c:tx>
          <c:spPr>
            <a:solidFill>
              <a:srgbClr val="548235"/>
            </a:solidFill>
            <a:ln w="0">
              <a:solidFill>
                <a:srgbClr val="548235"/>
              </a:solidFill>
            </a:ln>
          </c:spPr>
          <c:invertIfNegative val="0"/>
          <c:dLbls>
            <c:spPr>
              <a:noFill/>
              <a:ln>
                <a:noFill/>
              </a:ln>
              <a:effectLst/>
            </c:spPr>
            <c:txPr>
              <a:bodyPr wrap="square"/>
              <a:lstStyle/>
              <a:p>
                <a:pPr>
                  <a:defRPr sz="1000" b="0" strike="noStrike" spc="-1">
                    <a:solidFill>
                      <a:srgbClr val="000000"/>
                    </a:solidFill>
                    <a:latin typeface="Calibri"/>
                  </a:defRPr>
                </a:pPr>
                <a:endParaRPr lang="en-US"/>
              </a:p>
            </c:txPr>
            <c:dLblPos val="outEnd"/>
            <c:showLegendKey val="0"/>
            <c:showVal val="1"/>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Dashboard_Data!$F$68:$F$71</c:f>
              <c:strCache>
                <c:ptCount val="4"/>
                <c:pt idx="0">
                  <c:v>Below 0°C (n=346)</c:v>
                </c:pt>
                <c:pt idx="1">
                  <c:v>0 to &lt;5°C (n=489)</c:v>
                </c:pt>
                <c:pt idx="2">
                  <c:v>5 to &lt;10°C (n=132)</c:v>
                </c:pt>
                <c:pt idx="3">
                  <c:v>10°C and above (n=33)</c:v>
                </c:pt>
              </c:strCache>
            </c:strRef>
          </c:cat>
          <c:val>
            <c:numRef>
              <c:f>Dashboard_Data!$E$68:$E$71</c:f>
              <c:numCache>
                <c:formatCode>0.0</c:formatCode>
                <c:ptCount val="4"/>
                <c:pt idx="0">
                  <c:v>46.881502890173408</c:v>
                </c:pt>
                <c:pt idx="1">
                  <c:v>57.883435582822088</c:v>
                </c:pt>
                <c:pt idx="2">
                  <c:v>89.507575757575751</c:v>
                </c:pt>
                <c:pt idx="3">
                  <c:v>59.484848484848484</c:v>
                </c:pt>
              </c:numCache>
            </c:numRef>
          </c:val>
          <c:extLst>
            <c:ext xmlns:c16="http://schemas.microsoft.com/office/drawing/2014/chart" uri="{C3380CC4-5D6E-409C-BE32-E72D297353CC}">
              <c16:uniqueId val="{00000000-C839-42D9-8CF7-70F34E621D5E}"/>
            </c:ext>
          </c:extLst>
        </c:ser>
        <c:dLbls>
          <c:showLegendKey val="0"/>
          <c:showVal val="0"/>
          <c:showCatName val="0"/>
          <c:showSerName val="0"/>
          <c:showPercent val="0"/>
          <c:showBubbleSize val="0"/>
        </c:dLbls>
        <c:gapWidth val="60"/>
        <c:axId val="37879168"/>
        <c:axId val="3789903"/>
      </c:barChart>
      <c:catAx>
        <c:axId val="37879168"/>
        <c:scaling>
          <c:orientation val="minMax"/>
        </c:scaling>
        <c:delete val="0"/>
        <c:axPos val="b"/>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3789903"/>
        <c:crosses val="autoZero"/>
        <c:auto val="1"/>
        <c:lblAlgn val="ctr"/>
        <c:lblOffset val="100"/>
        <c:noMultiLvlLbl val="0"/>
      </c:catAx>
      <c:valAx>
        <c:axId val="3789903"/>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defRPr>
                </a:pPr>
                <a:r>
                  <a:rPr lang="en-IN" sz="1000" b="1" strike="noStrike" spc="-1">
                    <a:solidFill>
                      <a:srgbClr val="000000"/>
                    </a:solidFill>
                    <a:latin typeface="Calibri"/>
                  </a:rPr>
                  <a:t>Rentals / hour</a:t>
                </a:r>
              </a:p>
            </c:rich>
          </c:tx>
          <c:overlay val="0"/>
          <c:spPr>
            <a:noFill/>
            <a:ln w="0">
              <a:noFill/>
            </a:ln>
          </c:spPr>
        </c:title>
        <c:numFmt formatCode="0.0"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37879168"/>
        <c:crosses val="autoZero"/>
        <c:crossBetween val="between"/>
      </c:valAx>
      <c:spPr>
        <a:noFill/>
        <a:ln w="0">
          <a:noFill/>
        </a:ln>
      </c:spPr>
    </c:plotArea>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IN" sz="1800" b="1" strike="noStrike" spc="-1">
                <a:solidFill>
                  <a:srgbClr val="000000"/>
                </a:solidFill>
                <a:latin typeface="Calibri"/>
              </a:rPr>
              <a:t>Daily rentals under the current filters (last day is partial)</a:t>
            </a:r>
          </a:p>
        </c:rich>
      </c:tx>
      <c:overlay val="0"/>
      <c:spPr>
        <a:noFill/>
        <a:ln w="0">
          <a:noFill/>
        </a:ln>
      </c:spPr>
    </c:title>
    <c:autoTitleDeleted val="0"/>
    <c:plotArea>
      <c:layout/>
      <c:barChart>
        <c:barDir val="col"/>
        <c:grouping val="clustered"/>
        <c:varyColors val="0"/>
        <c:ser>
          <c:idx val="0"/>
          <c:order val="0"/>
          <c:tx>
            <c:v>Total rentals</c:v>
          </c:tx>
          <c:spPr>
            <a:solidFill>
              <a:srgbClr val="1F3864"/>
            </a:solidFill>
            <a:ln w="0">
              <a:solidFill>
                <a:srgbClr val="1F3864"/>
              </a:solidFill>
            </a:ln>
          </c:spPr>
          <c:invertIfNegative val="0"/>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numRef>
              <c:f>Dashboard_Data!$A$76:$A$120</c:f>
              <c:numCache>
                <c:formatCode>dd\-mmm</c:formatCode>
                <c:ptCount val="45"/>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numCache>
            </c:numRef>
          </c:cat>
          <c:val>
            <c:numRef>
              <c:f>Dashboard_Data!$C$76:$C$120</c:f>
              <c:numCache>
                <c:formatCode>General</c:formatCode>
                <c:ptCount val="45"/>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151</c:v>
                </c:pt>
              </c:numCache>
            </c:numRef>
          </c:val>
          <c:extLst>
            <c:ext xmlns:c16="http://schemas.microsoft.com/office/drawing/2014/chart" uri="{C3380CC4-5D6E-409C-BE32-E72D297353CC}">
              <c16:uniqueId val="{00000000-8903-4298-A2C4-5060738ED828}"/>
            </c:ext>
          </c:extLst>
        </c:ser>
        <c:dLbls>
          <c:showLegendKey val="0"/>
          <c:showVal val="0"/>
          <c:showCatName val="0"/>
          <c:showSerName val="0"/>
          <c:showPercent val="0"/>
          <c:showBubbleSize val="0"/>
        </c:dLbls>
        <c:gapWidth val="60"/>
        <c:axId val="91425006"/>
        <c:axId val="25006760"/>
      </c:barChart>
      <c:dateAx>
        <c:axId val="91425006"/>
        <c:scaling>
          <c:orientation val="minMax"/>
        </c:scaling>
        <c:delete val="0"/>
        <c:axPos val="b"/>
        <c:numFmt formatCode="dd\-mmm" sourceLinked="0"/>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25006760"/>
        <c:crosses val="autoZero"/>
        <c:auto val="1"/>
        <c:lblOffset val="100"/>
        <c:baseTimeUnit val="days"/>
      </c:dateAx>
      <c:valAx>
        <c:axId val="25006760"/>
        <c:scaling>
          <c:orientation val="minMax"/>
        </c:scaling>
        <c:delete val="0"/>
        <c:axPos val="l"/>
        <c:majorGridlines>
          <c:spPr>
            <a:ln w="9360">
              <a:solidFill>
                <a:srgbClr val="878787"/>
              </a:solidFill>
              <a:round/>
            </a:ln>
          </c:spPr>
        </c:majorGridlines>
        <c:title>
          <c:tx>
            <c:rich>
              <a:bodyPr rot="-5400000"/>
              <a:lstStyle/>
              <a:p>
                <a:pPr>
                  <a:defRPr sz="1000" b="1" strike="noStrike" spc="-1">
                    <a:solidFill>
                      <a:srgbClr val="000000"/>
                    </a:solidFill>
                    <a:latin typeface="Calibri"/>
                  </a:defRPr>
                </a:pPr>
                <a:r>
                  <a:rPr lang="en-IN" sz="1000" b="1" strike="noStrike" spc="-1">
                    <a:solidFill>
                      <a:srgbClr val="000000"/>
                    </a:solidFill>
                    <a:latin typeface="Calibri"/>
                  </a:rPr>
                  <a:t>Rentals / day</a:t>
                </a:r>
              </a:p>
            </c:rich>
          </c:tx>
          <c:overlay val="0"/>
          <c:spPr>
            <a:noFill/>
            <a:ln w="0">
              <a:noFill/>
            </a:ln>
          </c:spPr>
        </c:title>
        <c:numFmt formatCode="General" sourceLinked="1"/>
        <c:majorTickMark val="none"/>
        <c:minorTickMark val="none"/>
        <c:tickLblPos val="nextTo"/>
        <c:spPr>
          <a:ln w="9360">
            <a:solidFill>
              <a:srgbClr val="878787"/>
            </a:solidFill>
            <a:round/>
          </a:ln>
        </c:spPr>
        <c:txPr>
          <a:bodyPr/>
          <a:lstStyle/>
          <a:p>
            <a:pPr>
              <a:defRPr sz="1000" b="0" strike="noStrike" spc="-1">
                <a:solidFill>
                  <a:srgbClr val="000000"/>
                </a:solidFill>
                <a:latin typeface="Calibri"/>
              </a:defRPr>
            </a:pPr>
            <a:endParaRPr lang="en-US"/>
          </a:p>
        </c:txPr>
        <c:crossAx val="91425006"/>
        <c:crosses val="autoZero"/>
        <c:crossBetween val="between"/>
      </c:valAx>
      <c:spPr>
        <a:noFill/>
        <a:ln w="0">
          <a:noFill/>
        </a:ln>
      </c:spPr>
    </c:plotArea>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Holiday</c:v>
          </c:tx>
          <c:spPr>
            <a:ln w="28575" cap="rnd">
              <a:solidFill>
                <a:schemeClr val="accent1"/>
              </a:solidFill>
              <a:round/>
            </a:ln>
            <a:effectLst/>
          </c:spPr>
          <c:marker>
            <c:symbol val="none"/>
          </c:marker>
          <c:cat>
            <c:strLit>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Lit>
          </c:cat>
          <c:val>
            <c:numLit>
              <c:formatCode>General</c:formatCode>
              <c:ptCount val="24"/>
              <c:pt idx="0">
                <c:v>17</c:v>
              </c:pt>
              <c:pt idx="1">
                <c:v>16</c:v>
              </c:pt>
              <c:pt idx="2">
                <c:v>8</c:v>
              </c:pt>
              <c:pt idx="3">
                <c:v>2</c:v>
              </c:pt>
              <c:pt idx="4">
                <c:v>3</c:v>
              </c:pt>
              <c:pt idx="5">
                <c:v>1</c:v>
              </c:pt>
              <c:pt idx="6">
                <c:v>5</c:v>
              </c:pt>
              <c:pt idx="7">
                <c:v>13</c:v>
              </c:pt>
              <c:pt idx="8">
                <c:v>33</c:v>
              </c:pt>
              <c:pt idx="9">
                <c:v>47</c:v>
              </c:pt>
              <c:pt idx="10">
                <c:v>57</c:v>
              </c:pt>
              <c:pt idx="11">
                <c:v>64</c:v>
              </c:pt>
              <c:pt idx="12">
                <c:v>80</c:v>
              </c:pt>
              <c:pt idx="13">
                <c:v>93</c:v>
              </c:pt>
              <c:pt idx="14">
                <c:v>86</c:v>
              </c:pt>
              <c:pt idx="15">
                <c:v>93</c:v>
              </c:pt>
              <c:pt idx="16">
                <c:v>82</c:v>
              </c:pt>
              <c:pt idx="17">
                <c:v>71</c:v>
              </c:pt>
              <c:pt idx="18">
                <c:v>92</c:v>
              </c:pt>
              <c:pt idx="19">
                <c:v>60</c:v>
              </c:pt>
              <c:pt idx="20">
                <c:v>33</c:v>
              </c:pt>
              <c:pt idx="21">
                <c:v>27</c:v>
              </c:pt>
              <c:pt idx="22">
                <c:v>13</c:v>
              </c:pt>
              <c:pt idx="23">
                <c:v>4</c:v>
              </c:pt>
            </c:numLit>
          </c:val>
          <c:smooth val="0"/>
          <c:extLst>
            <c:ext xmlns:c16="http://schemas.microsoft.com/office/drawing/2014/chart" uri="{C3380CC4-5D6E-409C-BE32-E72D297353CC}">
              <c16:uniqueId val="{00000000-8E5F-4EB5-AAEB-22DCC04E83AF}"/>
            </c:ext>
          </c:extLst>
        </c:ser>
        <c:ser>
          <c:idx val="1"/>
          <c:order val="1"/>
          <c:tx>
            <c:v>Weekday</c:v>
          </c:tx>
          <c:spPr>
            <a:ln w="28575" cap="rnd">
              <a:solidFill>
                <a:schemeClr val="accent2"/>
              </a:solidFill>
              <a:round/>
            </a:ln>
            <a:effectLst/>
          </c:spPr>
          <c:marker>
            <c:symbol val="none"/>
          </c:marker>
          <c:cat>
            <c:strLit>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Lit>
          </c:cat>
          <c:val>
            <c:numLit>
              <c:formatCode>General</c:formatCode>
              <c:ptCount val="24"/>
              <c:pt idx="0">
                <c:v>10.464285714285714</c:v>
              </c:pt>
              <c:pt idx="1">
                <c:v>4.7142857142857144</c:v>
              </c:pt>
              <c:pt idx="2">
                <c:v>2.4230769230769229</c:v>
              </c:pt>
              <c:pt idx="3">
                <c:v>1.375</c:v>
              </c:pt>
              <c:pt idx="4">
                <c:v>1.7222222222222223</c:v>
              </c:pt>
              <c:pt idx="5">
                <c:v>4.8571428571428568</c:v>
              </c:pt>
              <c:pt idx="6">
                <c:v>28.178571428571427</c:v>
              </c:pt>
              <c:pt idx="7">
                <c:v>80.357142857142861</c:v>
              </c:pt>
              <c:pt idx="8">
                <c:v>189.11111111111111</c:v>
              </c:pt>
              <c:pt idx="9">
                <c:v>118.22222222222223</c:v>
              </c:pt>
              <c:pt idx="10">
                <c:v>48.777777777777779</c:v>
              </c:pt>
              <c:pt idx="11">
                <c:v>50.111111111111114</c:v>
              </c:pt>
              <c:pt idx="12">
                <c:v>64.035714285714292</c:v>
              </c:pt>
              <c:pt idx="13">
                <c:v>66.25</c:v>
              </c:pt>
              <c:pt idx="14">
                <c:v>59.642857142857146</c:v>
              </c:pt>
              <c:pt idx="15">
                <c:v>60.357142857142854</c:v>
              </c:pt>
              <c:pt idx="16">
                <c:v>82.65517241379311</c:v>
              </c:pt>
              <c:pt idx="17">
                <c:v>168.82758620689654</c:v>
              </c:pt>
              <c:pt idx="18">
                <c:v>153.32142857142858</c:v>
              </c:pt>
              <c:pt idx="19">
                <c:v>103.53571428571429</c:v>
              </c:pt>
              <c:pt idx="20">
                <c:v>73.678571428571431</c:v>
              </c:pt>
              <c:pt idx="21">
                <c:v>51.75</c:v>
              </c:pt>
              <c:pt idx="22">
                <c:v>37.964285714285715</c:v>
              </c:pt>
              <c:pt idx="23">
                <c:v>24.392857142857142</c:v>
              </c:pt>
            </c:numLit>
          </c:val>
          <c:smooth val="0"/>
          <c:extLst>
            <c:ext xmlns:c16="http://schemas.microsoft.com/office/drawing/2014/chart" uri="{C3380CC4-5D6E-409C-BE32-E72D297353CC}">
              <c16:uniqueId val="{00000008-8E5F-4EB5-AAEB-22DCC04E83AF}"/>
            </c:ext>
          </c:extLst>
        </c:ser>
        <c:ser>
          <c:idx val="2"/>
          <c:order val="2"/>
          <c:tx>
            <c:v>Weekend</c:v>
          </c:tx>
          <c:spPr>
            <a:ln w="28575" cap="rnd">
              <a:solidFill>
                <a:schemeClr val="accent3"/>
              </a:solidFill>
              <a:round/>
            </a:ln>
            <a:effectLst/>
          </c:spPr>
          <c:marker>
            <c:symbol val="none"/>
          </c:marker>
          <c:cat>
            <c:strLit>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Lit>
          </c:cat>
          <c:val>
            <c:numLit>
              <c:formatCode>General</c:formatCode>
              <c:ptCount val="24"/>
              <c:pt idx="0">
                <c:v>28.071428571428573</c:v>
              </c:pt>
              <c:pt idx="1">
                <c:v>22.285714285714285</c:v>
              </c:pt>
              <c:pt idx="2">
                <c:v>15.928571428571429</c:v>
              </c:pt>
              <c:pt idx="3">
                <c:v>9.0714285714285712</c:v>
              </c:pt>
              <c:pt idx="4">
                <c:v>2.6923076923076925</c:v>
              </c:pt>
              <c:pt idx="5">
                <c:v>2.7</c:v>
              </c:pt>
              <c:pt idx="6">
                <c:v>2.1538461538461537</c:v>
              </c:pt>
              <c:pt idx="7">
                <c:v>5.4285714285714288</c:v>
              </c:pt>
              <c:pt idx="8">
                <c:v>17.785714285714285</c:v>
              </c:pt>
              <c:pt idx="9">
                <c:v>30.928571428571427</c:v>
              </c:pt>
              <c:pt idx="10">
                <c:v>62.785714285714285</c:v>
              </c:pt>
              <c:pt idx="11">
                <c:v>76.928571428571431</c:v>
              </c:pt>
              <c:pt idx="12">
                <c:v>100.71428571428571</c:v>
              </c:pt>
              <c:pt idx="13">
                <c:v>102</c:v>
              </c:pt>
              <c:pt idx="14">
                <c:v>103.14285714285714</c:v>
              </c:pt>
              <c:pt idx="15">
                <c:v>112.07142857142857</c:v>
              </c:pt>
              <c:pt idx="16">
                <c:v>103.5</c:v>
              </c:pt>
              <c:pt idx="17">
                <c:v>85.857142857142861</c:v>
              </c:pt>
              <c:pt idx="18">
                <c:v>64.142857142857139</c:v>
              </c:pt>
              <c:pt idx="19">
                <c:v>50.142857142857146</c:v>
              </c:pt>
              <c:pt idx="20">
                <c:v>40</c:v>
              </c:pt>
              <c:pt idx="21">
                <c:v>37.142857142857146</c:v>
              </c:pt>
              <c:pt idx="22">
                <c:v>30.857142857142858</c:v>
              </c:pt>
              <c:pt idx="23">
                <c:v>28.285714285714285</c:v>
              </c:pt>
            </c:numLit>
          </c:val>
          <c:smooth val="0"/>
          <c:extLst>
            <c:ext xmlns:c16="http://schemas.microsoft.com/office/drawing/2014/chart" uri="{C3380CC4-5D6E-409C-BE32-E72D297353CC}">
              <c16:uniqueId val="{0000000A-8E5F-4EB5-AAEB-22DCC04E83AF}"/>
            </c:ext>
          </c:extLst>
        </c:ser>
        <c:dLbls>
          <c:showLegendKey val="0"/>
          <c:showVal val="0"/>
          <c:showCatName val="0"/>
          <c:showSerName val="0"/>
          <c:showPercent val="0"/>
          <c:showBubbleSize val="0"/>
        </c:dLbls>
        <c:smooth val="0"/>
        <c:axId val="1927060671"/>
        <c:axId val="1693237871"/>
      </c:lineChart>
      <c:catAx>
        <c:axId val="1927060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237871"/>
        <c:crosses val="autoZero"/>
        <c:auto val="1"/>
        <c:lblAlgn val="ctr"/>
        <c:lblOffset val="100"/>
        <c:noMultiLvlLbl val="0"/>
      </c:catAx>
      <c:valAx>
        <c:axId val="16932378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7060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COMPLET.xlsm]Pivot_weather!PivotTable2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Pivot_weather!$B$3</c:f>
              <c:strCache>
                <c:ptCount val="1"/>
                <c:pt idx="0">
                  <c:v>Total</c:v>
                </c:pt>
              </c:strCache>
            </c:strRef>
          </c:tx>
          <c:spPr>
            <a:solidFill>
              <a:schemeClr val="accent1"/>
            </a:solidFill>
            <a:ln>
              <a:noFill/>
            </a:ln>
            <a:effectLst/>
          </c:spPr>
          <c:invertIfNegative val="0"/>
          <c:cat>
            <c:strRef>
              <c:f>Pivot_weather!$A$4:$A$8</c:f>
              <c:strCache>
                <c:ptCount val="4"/>
                <c:pt idx="0">
                  <c:v>Clear / Partly cloudy</c:v>
                </c:pt>
                <c:pt idx="1">
                  <c:v>Heavy rain / Snow / Fog</c:v>
                </c:pt>
                <c:pt idx="2">
                  <c:v>Light snow / Light rain</c:v>
                </c:pt>
                <c:pt idx="3">
                  <c:v>Mist / Cloudy</c:v>
                </c:pt>
              </c:strCache>
            </c:strRef>
          </c:cat>
          <c:val>
            <c:numRef>
              <c:f>Pivot_weather!$B$4:$B$8</c:f>
              <c:numCache>
                <c:formatCode>0.0</c:formatCode>
                <c:ptCount val="4"/>
                <c:pt idx="0">
                  <c:v>61.671617161716171</c:v>
                </c:pt>
                <c:pt idx="1">
                  <c:v>36</c:v>
                </c:pt>
                <c:pt idx="2">
                  <c:v>33.202380952380949</c:v>
                </c:pt>
                <c:pt idx="3">
                  <c:v>58.595469255663431</c:v>
                </c:pt>
              </c:numCache>
            </c:numRef>
          </c:val>
          <c:extLst>
            <c:ext xmlns:c16="http://schemas.microsoft.com/office/drawing/2014/chart" uri="{C3380CC4-5D6E-409C-BE32-E72D297353CC}">
              <c16:uniqueId val="{00000000-955D-4EBF-B626-AC1AF16E0D10}"/>
            </c:ext>
          </c:extLst>
        </c:ser>
        <c:dLbls>
          <c:showLegendKey val="0"/>
          <c:showVal val="0"/>
          <c:showCatName val="0"/>
          <c:showSerName val="0"/>
          <c:showPercent val="0"/>
          <c:showBubbleSize val="0"/>
        </c:dLbls>
        <c:gapWidth val="219"/>
        <c:overlap val="-27"/>
        <c:axId val="1927053247"/>
        <c:axId val="1693239311"/>
      </c:barChart>
      <c:catAx>
        <c:axId val="1927053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239311"/>
        <c:crosses val="autoZero"/>
        <c:auto val="1"/>
        <c:lblAlgn val="ctr"/>
        <c:lblOffset val="100"/>
        <c:noMultiLvlLbl val="0"/>
      </c:catAx>
      <c:valAx>
        <c:axId val="169323931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7053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105207128829178E-2"/>
          <c:y val="0.16462525517643628"/>
          <c:w val="0.62331938402804543"/>
          <c:h val="0.65853091280256637"/>
        </c:manualLayout>
      </c:layout>
      <c:barChart>
        <c:barDir val="col"/>
        <c:grouping val="stacked"/>
        <c:varyColors val="0"/>
        <c:ser>
          <c:idx val="0"/>
          <c:order val="0"/>
          <c:tx>
            <c:v>Sum of casual</c:v>
          </c:tx>
          <c:spPr>
            <a:solidFill>
              <a:schemeClr val="accent1"/>
            </a:solidFill>
            <a:ln>
              <a:noFill/>
            </a:ln>
            <a:effectLst/>
          </c:spPr>
          <c:invertIfNegative val="0"/>
          <c:cat>
            <c:strLit>
              <c:ptCount val="4"/>
              <c:pt idx="0">
                <c:v>Afternoon</c:v>
              </c:pt>
              <c:pt idx="1">
                <c:v>Evening</c:v>
              </c:pt>
              <c:pt idx="2">
                <c:v>Morning</c:v>
              </c:pt>
              <c:pt idx="3">
                <c:v>Night</c:v>
              </c:pt>
            </c:strLit>
          </c:cat>
          <c:val>
            <c:numLit>
              <c:formatCode>General</c:formatCode>
              <c:ptCount val="4"/>
              <c:pt idx="0">
                <c:v>2885</c:v>
              </c:pt>
              <c:pt idx="1">
                <c:v>870</c:v>
              </c:pt>
              <c:pt idx="2">
                <c:v>967</c:v>
              </c:pt>
              <c:pt idx="3">
                <c:v>199</c:v>
              </c:pt>
            </c:numLit>
          </c:val>
          <c:extLst>
            <c:ext xmlns:c16="http://schemas.microsoft.com/office/drawing/2014/chart" uri="{C3380CC4-5D6E-409C-BE32-E72D297353CC}">
              <c16:uniqueId val="{00000000-A63B-42CD-9F50-7F4B7F303C49}"/>
            </c:ext>
          </c:extLst>
        </c:ser>
        <c:ser>
          <c:idx val="1"/>
          <c:order val="1"/>
          <c:tx>
            <c:v>Sum of registered</c:v>
          </c:tx>
          <c:spPr>
            <a:solidFill>
              <a:schemeClr val="accent2"/>
            </a:solidFill>
            <a:ln>
              <a:noFill/>
            </a:ln>
            <a:effectLst/>
          </c:spPr>
          <c:invertIfNegative val="0"/>
          <c:cat>
            <c:strLit>
              <c:ptCount val="4"/>
              <c:pt idx="0">
                <c:v>Afternoon</c:v>
              </c:pt>
              <c:pt idx="1">
                <c:v>Evening</c:v>
              </c:pt>
              <c:pt idx="2">
                <c:v>Morning</c:v>
              </c:pt>
              <c:pt idx="3">
                <c:v>Night</c:v>
              </c:pt>
            </c:strLit>
          </c:cat>
          <c:val>
            <c:numLit>
              <c:formatCode>General</c:formatCode>
              <c:ptCount val="4"/>
              <c:pt idx="0">
                <c:v>20423</c:v>
              </c:pt>
              <c:pt idx="1">
                <c:v>15317</c:v>
              </c:pt>
              <c:pt idx="2">
                <c:v>16001</c:v>
              </c:pt>
              <c:pt idx="3">
                <c:v>1642</c:v>
              </c:pt>
            </c:numLit>
          </c:val>
          <c:extLst>
            <c:ext xmlns:c16="http://schemas.microsoft.com/office/drawing/2014/chart" uri="{C3380CC4-5D6E-409C-BE32-E72D297353CC}">
              <c16:uniqueId val="{00000001-A63B-42CD-9F50-7F4B7F303C49}"/>
            </c:ext>
          </c:extLst>
        </c:ser>
        <c:ser>
          <c:idx val="2"/>
          <c:order val="2"/>
          <c:tx>
            <c:v>Sum of share_registered</c:v>
          </c:tx>
          <c:spPr>
            <a:solidFill>
              <a:schemeClr val="accent3"/>
            </a:solidFill>
            <a:ln>
              <a:noFill/>
            </a:ln>
            <a:effectLst/>
          </c:spPr>
          <c:invertIfNegative val="0"/>
          <c:cat>
            <c:strLit>
              <c:ptCount val="4"/>
              <c:pt idx="0">
                <c:v>Afternoon</c:v>
              </c:pt>
              <c:pt idx="1">
                <c:v>Evening</c:v>
              </c:pt>
              <c:pt idx="2">
                <c:v>Morning</c:v>
              </c:pt>
              <c:pt idx="3">
                <c:v>Night</c:v>
              </c:pt>
            </c:strLit>
          </c:cat>
          <c:val>
            <c:numLit>
              <c:formatCode>General</c:formatCode>
              <c:ptCount val="4"/>
              <c:pt idx="0">
                <c:v>0.87622275613523248</c:v>
              </c:pt>
              <c:pt idx="1">
                <c:v>0.94625316612096122</c:v>
              </c:pt>
              <c:pt idx="2">
                <c:v>0.94301037246581798</c:v>
              </c:pt>
              <c:pt idx="3">
                <c:v>0.89190657251493755</c:v>
              </c:pt>
            </c:numLit>
          </c:val>
          <c:extLst>
            <c:ext xmlns:c16="http://schemas.microsoft.com/office/drawing/2014/chart" uri="{C3380CC4-5D6E-409C-BE32-E72D297353CC}">
              <c16:uniqueId val="{00000002-A63B-42CD-9F50-7F4B7F303C49}"/>
            </c:ext>
          </c:extLst>
        </c:ser>
        <c:dLbls>
          <c:showLegendKey val="0"/>
          <c:showVal val="0"/>
          <c:showCatName val="0"/>
          <c:showSerName val="0"/>
          <c:showPercent val="0"/>
          <c:showBubbleSize val="0"/>
        </c:dLbls>
        <c:gapWidth val="150"/>
        <c:overlap val="100"/>
        <c:axId val="1256683519"/>
        <c:axId val="1693254191"/>
      </c:barChart>
      <c:catAx>
        <c:axId val="125668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254191"/>
        <c:crosses val="autoZero"/>
        <c:auto val="1"/>
        <c:lblAlgn val="ctr"/>
        <c:lblOffset val="100"/>
        <c:noMultiLvlLbl val="0"/>
      </c:catAx>
      <c:valAx>
        <c:axId val="16932541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68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Sheet6!$B$1</c:f>
              <c:strCache>
                <c:ptCount val="1"/>
                <c:pt idx="0">
                  <c:v>Total rentals</c:v>
                </c:pt>
              </c:strCache>
            </c:strRef>
          </c:tx>
          <c:spPr>
            <a:ln w="28575" cap="rnd">
              <a:solidFill>
                <a:schemeClr val="accent1"/>
              </a:solidFill>
              <a:round/>
            </a:ln>
            <a:effectLst/>
          </c:spPr>
          <c:marker>
            <c:symbol val="none"/>
          </c:marker>
          <c:val>
            <c:numRef>
              <c:f>Sheet6!$B$2:$B$53</c:f>
              <c:numCache>
                <c:formatCode>#,##0</c:formatCode>
                <c:ptCount val="52"/>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numCache>
            </c:numRef>
          </c:val>
          <c:smooth val="0"/>
          <c:extLst>
            <c:ext xmlns:c16="http://schemas.microsoft.com/office/drawing/2014/chart" uri="{C3380CC4-5D6E-409C-BE32-E72D297353CC}">
              <c16:uniqueId val="{00000000-E8B6-47F7-A4BD-F49D28AF354C}"/>
            </c:ext>
          </c:extLst>
        </c:ser>
        <c:ser>
          <c:idx val="1"/>
          <c:order val="1"/>
          <c:tx>
            <c:strRef>
              <c:f>Sheet6!$C$1</c:f>
              <c:strCache>
                <c:ptCount val="1"/>
                <c:pt idx="0">
                  <c:v>Forecast(Total rentals)</c:v>
                </c:pt>
              </c:strCache>
            </c:strRef>
          </c:tx>
          <c:spPr>
            <a:ln w="25400" cap="rnd">
              <a:solidFill>
                <a:schemeClr val="accent2"/>
              </a:solidFill>
              <a:round/>
            </a:ln>
            <a:effectLst/>
          </c:spPr>
          <c:marker>
            <c:symbol val="none"/>
          </c:marker>
          <c:cat>
            <c:numRef>
              <c:f>Sheet6!$A$2:$A$53</c:f>
              <c:numCache>
                <c:formatCode>dd\-mmm\-yyyy</c:formatCode>
                <c:ptCount val="5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numCache>
            </c:numRef>
          </c:cat>
          <c:val>
            <c:numRef>
              <c:f>Sheet6!$C$2:$C$53</c:f>
              <c:numCache>
                <c:formatCode>General</c:formatCode>
                <c:ptCount val="52"/>
                <c:pt idx="43" formatCode="#,##0">
                  <c:v>1589</c:v>
                </c:pt>
                <c:pt idx="44" formatCode="#,##0">
                  <c:v>1548.0583182611713</c:v>
                </c:pt>
                <c:pt idx="45" formatCode="#,##0">
                  <c:v>1557.4748788500351</c:v>
                </c:pt>
                <c:pt idx="46" formatCode="#,##0">
                  <c:v>1566.8914394388999</c:v>
                </c:pt>
                <c:pt idx="47" formatCode="#,##0">
                  <c:v>1576.3080000277637</c:v>
                </c:pt>
                <c:pt idx="48" formatCode="#,##0">
                  <c:v>1585.7245606166284</c:v>
                </c:pt>
                <c:pt idx="49" formatCode="#,##0">
                  <c:v>1595.1411212054923</c:v>
                </c:pt>
                <c:pt idx="50" formatCode="#,##0">
                  <c:v>1604.557681794357</c:v>
                </c:pt>
                <c:pt idx="51" formatCode="#,##0">
                  <c:v>1613.9742423832208</c:v>
                </c:pt>
              </c:numCache>
            </c:numRef>
          </c:val>
          <c:smooth val="0"/>
          <c:extLst>
            <c:ext xmlns:c16="http://schemas.microsoft.com/office/drawing/2014/chart" uri="{C3380CC4-5D6E-409C-BE32-E72D297353CC}">
              <c16:uniqueId val="{00000001-E8B6-47F7-A4BD-F49D28AF354C}"/>
            </c:ext>
          </c:extLst>
        </c:ser>
        <c:ser>
          <c:idx val="2"/>
          <c:order val="2"/>
          <c:tx>
            <c:strRef>
              <c:f>Sheet6!$D$1</c:f>
              <c:strCache>
                <c:ptCount val="1"/>
                <c:pt idx="0">
                  <c:v>Lower Confidence Bound(Total rentals)</c:v>
                </c:pt>
              </c:strCache>
            </c:strRef>
          </c:tx>
          <c:spPr>
            <a:ln w="12700" cap="rnd">
              <a:solidFill>
                <a:srgbClr val="C0504D"/>
              </a:solidFill>
              <a:prstDash val="solid"/>
              <a:round/>
            </a:ln>
            <a:effectLst/>
          </c:spPr>
          <c:marker>
            <c:symbol val="none"/>
          </c:marker>
          <c:cat>
            <c:numRef>
              <c:f>Sheet6!$A$2:$A$53</c:f>
              <c:numCache>
                <c:formatCode>dd\-mmm\-yyyy</c:formatCode>
                <c:ptCount val="5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numCache>
            </c:numRef>
          </c:cat>
          <c:val>
            <c:numRef>
              <c:f>Sheet6!$D$2:$D$53</c:f>
              <c:numCache>
                <c:formatCode>General</c:formatCode>
                <c:ptCount val="52"/>
                <c:pt idx="43" formatCode="#,##0">
                  <c:v>1589</c:v>
                </c:pt>
                <c:pt idx="44" formatCode="#,##0">
                  <c:v>850.34796960480503</c:v>
                </c:pt>
                <c:pt idx="45" formatCode="#,##0">
                  <c:v>856.21488806611399</c:v>
                </c:pt>
                <c:pt idx="46" formatCode="#,##0">
                  <c:v>862.02958129103672</c:v>
                </c:pt>
                <c:pt idx="47" formatCode="#,##0">
                  <c:v>867.7921586989836</c:v>
                </c:pt>
                <c:pt idx="48" formatCode="#,##0">
                  <c:v>873.5027389204389</c:v>
                </c:pt>
                <c:pt idx="49" formatCode="#,##0">
                  <c:v>879.16144947566704</c:v>
                </c:pt>
                <c:pt idx="50" formatCode="#,##0">
                  <c:v>884.76842645386546</c:v>
                </c:pt>
                <c:pt idx="51" formatCode="#,##0">
                  <c:v>890.32381419326066</c:v>
                </c:pt>
              </c:numCache>
            </c:numRef>
          </c:val>
          <c:smooth val="0"/>
          <c:extLst>
            <c:ext xmlns:c16="http://schemas.microsoft.com/office/drawing/2014/chart" uri="{C3380CC4-5D6E-409C-BE32-E72D297353CC}">
              <c16:uniqueId val="{00000002-E8B6-47F7-A4BD-F49D28AF354C}"/>
            </c:ext>
          </c:extLst>
        </c:ser>
        <c:ser>
          <c:idx val="3"/>
          <c:order val="3"/>
          <c:tx>
            <c:strRef>
              <c:f>Sheet6!$E$1</c:f>
              <c:strCache>
                <c:ptCount val="1"/>
                <c:pt idx="0">
                  <c:v>Upper Confidence Bound(Total rentals)</c:v>
                </c:pt>
              </c:strCache>
            </c:strRef>
          </c:tx>
          <c:spPr>
            <a:ln w="12700" cap="rnd">
              <a:solidFill>
                <a:srgbClr val="C0504D"/>
              </a:solidFill>
              <a:prstDash val="solid"/>
              <a:round/>
            </a:ln>
            <a:effectLst/>
          </c:spPr>
          <c:marker>
            <c:symbol val="none"/>
          </c:marker>
          <c:cat>
            <c:numRef>
              <c:f>Sheet6!$A$2:$A$53</c:f>
              <c:numCache>
                <c:formatCode>dd\-mmm\-yyyy</c:formatCode>
                <c:ptCount val="5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numCache>
            </c:numRef>
          </c:cat>
          <c:val>
            <c:numRef>
              <c:f>Sheet6!$E$2:$E$53</c:f>
              <c:numCache>
                <c:formatCode>General</c:formatCode>
                <c:ptCount val="52"/>
                <c:pt idx="43" formatCode="#,##0">
                  <c:v>1589</c:v>
                </c:pt>
                <c:pt idx="44" formatCode="#,##0">
                  <c:v>2245.7686669175373</c:v>
                </c:pt>
                <c:pt idx="45" formatCode="#,##0">
                  <c:v>2258.7348696339564</c:v>
                </c:pt>
                <c:pt idx="46" formatCode="#,##0">
                  <c:v>2271.753297586763</c:v>
                </c:pt>
                <c:pt idx="47" formatCode="#,##0">
                  <c:v>2284.8238413565437</c:v>
                </c:pt>
                <c:pt idx="48" formatCode="#,##0">
                  <c:v>2297.9463823128181</c:v>
                </c:pt>
                <c:pt idx="49" formatCode="#,##0">
                  <c:v>2311.1207929353177</c:v>
                </c:pt>
                <c:pt idx="50" formatCode="#,##0">
                  <c:v>2324.3469371348483</c:v>
                </c:pt>
                <c:pt idx="51" formatCode="#,##0">
                  <c:v>2337.624670573181</c:v>
                </c:pt>
              </c:numCache>
            </c:numRef>
          </c:val>
          <c:smooth val="0"/>
          <c:extLst>
            <c:ext xmlns:c16="http://schemas.microsoft.com/office/drawing/2014/chart" uri="{C3380CC4-5D6E-409C-BE32-E72D297353CC}">
              <c16:uniqueId val="{00000003-E8B6-47F7-A4BD-F49D28AF354C}"/>
            </c:ext>
          </c:extLst>
        </c:ser>
        <c:dLbls>
          <c:showLegendKey val="0"/>
          <c:showVal val="0"/>
          <c:showCatName val="0"/>
          <c:showSerName val="0"/>
          <c:showPercent val="0"/>
          <c:showBubbleSize val="0"/>
        </c:dLbls>
        <c:smooth val="0"/>
        <c:axId val="2021001119"/>
        <c:axId val="1693286351"/>
      </c:lineChart>
      <c:catAx>
        <c:axId val="2021001119"/>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3286351"/>
        <c:crosses val="autoZero"/>
        <c:auto val="1"/>
        <c:lblAlgn val="ctr"/>
        <c:lblOffset val="100"/>
        <c:noMultiLvlLbl val="0"/>
      </c:catAx>
      <c:valAx>
        <c:axId val="16932863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001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853523744314568E-2"/>
          <c:y val="1.9021713194941541E-2"/>
          <c:w val="0.91716183303174059"/>
          <c:h val="0.70031182465828135"/>
        </c:manualLayout>
      </c:layout>
      <c:lineChart>
        <c:grouping val="standard"/>
        <c:varyColors val="0"/>
        <c:ser>
          <c:idx val="0"/>
          <c:order val="0"/>
          <c:tx>
            <c:strRef>
              <c:f>'Forecast-sheet'!$B$1</c:f>
              <c:strCache>
                <c:ptCount val="1"/>
                <c:pt idx="0">
                  <c:v>Total rentals</c:v>
                </c:pt>
              </c:strCache>
            </c:strRef>
          </c:tx>
          <c:spPr>
            <a:ln w="28575" cap="rnd">
              <a:solidFill>
                <a:schemeClr val="accent1"/>
              </a:solidFill>
              <a:round/>
            </a:ln>
            <a:effectLst/>
          </c:spPr>
          <c:marker>
            <c:symbol val="none"/>
          </c:marker>
          <c:val>
            <c:numRef>
              <c:f>'Forecast-sheet'!$B$2:$B$53</c:f>
              <c:numCache>
                <c:formatCode>#,##0</c:formatCode>
                <c:ptCount val="52"/>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numCache>
            </c:numRef>
          </c:val>
          <c:smooth val="0"/>
          <c:extLst>
            <c:ext xmlns:c16="http://schemas.microsoft.com/office/drawing/2014/chart" uri="{C3380CC4-5D6E-409C-BE32-E72D297353CC}">
              <c16:uniqueId val="{00000000-B875-49A2-8946-377DBF7976CC}"/>
            </c:ext>
          </c:extLst>
        </c:ser>
        <c:ser>
          <c:idx val="1"/>
          <c:order val="1"/>
          <c:tx>
            <c:strRef>
              <c:f>'Forecast-sheet'!$C$1</c:f>
              <c:strCache>
                <c:ptCount val="1"/>
                <c:pt idx="0">
                  <c:v>Forecast(Total rentals)</c:v>
                </c:pt>
              </c:strCache>
            </c:strRef>
          </c:tx>
          <c:spPr>
            <a:ln w="25400" cap="rnd">
              <a:solidFill>
                <a:schemeClr val="accent2"/>
              </a:solidFill>
              <a:round/>
            </a:ln>
            <a:effectLst/>
          </c:spPr>
          <c:marker>
            <c:symbol val="none"/>
          </c:marker>
          <c:cat>
            <c:numRef>
              <c:f>'Forecast-sheet'!$A$2:$A$53</c:f>
              <c:numCache>
                <c:formatCode>dd\-mmm\-yyyy</c:formatCode>
                <c:ptCount val="5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numCache>
            </c:numRef>
          </c:cat>
          <c:val>
            <c:numRef>
              <c:f>'Forecast-sheet'!$C$2:$C$53</c:f>
              <c:numCache>
                <c:formatCode>General</c:formatCode>
                <c:ptCount val="52"/>
                <c:pt idx="43" formatCode="#,##0">
                  <c:v>1589</c:v>
                </c:pt>
                <c:pt idx="44" formatCode="#,##0">
                  <c:v>1548.0583182611713</c:v>
                </c:pt>
                <c:pt idx="45" formatCode="#,##0">
                  <c:v>1557.4748788500351</c:v>
                </c:pt>
                <c:pt idx="46" formatCode="#,##0">
                  <c:v>1566.8914394388999</c:v>
                </c:pt>
                <c:pt idx="47" formatCode="#,##0">
                  <c:v>1576.3080000277637</c:v>
                </c:pt>
                <c:pt idx="48" formatCode="#,##0">
                  <c:v>1585.7245606166284</c:v>
                </c:pt>
                <c:pt idx="49" formatCode="#,##0">
                  <c:v>1595.1411212054923</c:v>
                </c:pt>
                <c:pt idx="50" formatCode="#,##0">
                  <c:v>1604.557681794357</c:v>
                </c:pt>
                <c:pt idx="51" formatCode="#,##0">
                  <c:v>1613.9742423832208</c:v>
                </c:pt>
              </c:numCache>
            </c:numRef>
          </c:val>
          <c:smooth val="0"/>
          <c:extLst>
            <c:ext xmlns:c16="http://schemas.microsoft.com/office/drawing/2014/chart" uri="{C3380CC4-5D6E-409C-BE32-E72D297353CC}">
              <c16:uniqueId val="{00000001-B875-49A2-8946-377DBF7976CC}"/>
            </c:ext>
          </c:extLst>
        </c:ser>
        <c:ser>
          <c:idx val="2"/>
          <c:order val="2"/>
          <c:tx>
            <c:strRef>
              <c:f>'Forecast-sheet'!$D$1</c:f>
              <c:strCache>
                <c:ptCount val="1"/>
                <c:pt idx="0">
                  <c:v>Lower Confidence Bound(Total rentals)</c:v>
                </c:pt>
              </c:strCache>
            </c:strRef>
          </c:tx>
          <c:spPr>
            <a:ln w="12700" cap="rnd">
              <a:solidFill>
                <a:srgbClr val="C0504D"/>
              </a:solidFill>
              <a:prstDash val="solid"/>
              <a:round/>
            </a:ln>
            <a:effectLst/>
          </c:spPr>
          <c:marker>
            <c:symbol val="none"/>
          </c:marker>
          <c:cat>
            <c:numRef>
              <c:f>'Forecast-sheet'!$A$2:$A$53</c:f>
              <c:numCache>
                <c:formatCode>dd\-mmm\-yyyy</c:formatCode>
                <c:ptCount val="5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numCache>
            </c:numRef>
          </c:cat>
          <c:val>
            <c:numRef>
              <c:f>'Forecast-sheet'!$D$2:$D$53</c:f>
              <c:numCache>
                <c:formatCode>General</c:formatCode>
                <c:ptCount val="52"/>
                <c:pt idx="43" formatCode="#,##0">
                  <c:v>1589</c:v>
                </c:pt>
                <c:pt idx="44" formatCode="#,##0">
                  <c:v>850.34796960480503</c:v>
                </c:pt>
                <c:pt idx="45" formatCode="#,##0">
                  <c:v>856.21488806611399</c:v>
                </c:pt>
                <c:pt idx="46" formatCode="#,##0">
                  <c:v>862.02958129103672</c:v>
                </c:pt>
                <c:pt idx="47" formatCode="#,##0">
                  <c:v>867.7921586989836</c:v>
                </c:pt>
                <c:pt idx="48" formatCode="#,##0">
                  <c:v>873.5027389204389</c:v>
                </c:pt>
                <c:pt idx="49" formatCode="#,##0">
                  <c:v>879.16144947566704</c:v>
                </c:pt>
                <c:pt idx="50" formatCode="#,##0">
                  <c:v>884.76842645386546</c:v>
                </c:pt>
                <c:pt idx="51" formatCode="#,##0">
                  <c:v>890.32381419326066</c:v>
                </c:pt>
              </c:numCache>
            </c:numRef>
          </c:val>
          <c:smooth val="0"/>
          <c:extLst>
            <c:ext xmlns:c16="http://schemas.microsoft.com/office/drawing/2014/chart" uri="{C3380CC4-5D6E-409C-BE32-E72D297353CC}">
              <c16:uniqueId val="{00000002-B875-49A2-8946-377DBF7976CC}"/>
            </c:ext>
          </c:extLst>
        </c:ser>
        <c:ser>
          <c:idx val="3"/>
          <c:order val="3"/>
          <c:tx>
            <c:strRef>
              <c:f>'Forecast-sheet'!$E$1</c:f>
              <c:strCache>
                <c:ptCount val="1"/>
                <c:pt idx="0">
                  <c:v>Upper Confidence Bound(Total rentals)</c:v>
                </c:pt>
              </c:strCache>
            </c:strRef>
          </c:tx>
          <c:spPr>
            <a:ln w="12700" cap="rnd">
              <a:solidFill>
                <a:srgbClr val="C0504D"/>
              </a:solidFill>
              <a:prstDash val="solid"/>
              <a:round/>
            </a:ln>
            <a:effectLst/>
          </c:spPr>
          <c:marker>
            <c:symbol val="none"/>
          </c:marker>
          <c:cat>
            <c:numRef>
              <c:f>'Forecast-sheet'!$A$2:$A$53</c:f>
              <c:numCache>
                <c:formatCode>dd\-mmm\-yyyy</c:formatCode>
                <c:ptCount val="5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numCache>
            </c:numRef>
          </c:cat>
          <c:val>
            <c:numRef>
              <c:f>'Forecast-sheet'!$E$2:$E$53</c:f>
              <c:numCache>
                <c:formatCode>General</c:formatCode>
                <c:ptCount val="52"/>
                <c:pt idx="43" formatCode="#,##0">
                  <c:v>1589</c:v>
                </c:pt>
                <c:pt idx="44" formatCode="#,##0">
                  <c:v>2245.7686669175373</c:v>
                </c:pt>
                <c:pt idx="45" formatCode="#,##0">
                  <c:v>2258.7348696339564</c:v>
                </c:pt>
                <c:pt idx="46" formatCode="#,##0">
                  <c:v>2271.753297586763</c:v>
                </c:pt>
                <c:pt idx="47" formatCode="#,##0">
                  <c:v>2284.8238413565437</c:v>
                </c:pt>
                <c:pt idx="48" formatCode="#,##0">
                  <c:v>2297.9463823128181</c:v>
                </c:pt>
                <c:pt idx="49" formatCode="#,##0">
                  <c:v>2311.1207929353177</c:v>
                </c:pt>
                <c:pt idx="50" formatCode="#,##0">
                  <c:v>2324.3469371348483</c:v>
                </c:pt>
                <c:pt idx="51" formatCode="#,##0">
                  <c:v>2337.624670573181</c:v>
                </c:pt>
              </c:numCache>
            </c:numRef>
          </c:val>
          <c:smooth val="0"/>
          <c:extLst>
            <c:ext xmlns:c16="http://schemas.microsoft.com/office/drawing/2014/chart" uri="{C3380CC4-5D6E-409C-BE32-E72D297353CC}">
              <c16:uniqueId val="{00000003-B875-49A2-8946-377DBF7976CC}"/>
            </c:ext>
          </c:extLst>
        </c:ser>
        <c:dLbls>
          <c:showLegendKey val="0"/>
          <c:showVal val="0"/>
          <c:showCatName val="0"/>
          <c:showSerName val="0"/>
          <c:showPercent val="0"/>
          <c:showBubbleSize val="0"/>
        </c:dLbls>
        <c:smooth val="0"/>
        <c:axId val="714561056"/>
        <c:axId val="620110512"/>
      </c:lineChart>
      <c:catAx>
        <c:axId val="714561056"/>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110512"/>
        <c:crosses val="autoZero"/>
        <c:auto val="1"/>
        <c:lblAlgn val="ctr"/>
        <c:lblOffset val="100"/>
        <c:noMultiLvlLbl val="0"/>
      </c:catAx>
      <c:valAx>
        <c:axId val="6201105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56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13</xdr:row>
      <xdr:rowOff>100800</xdr:rowOff>
    </xdr:from>
    <xdr:to>
      <xdr:col>13</xdr:col>
      <xdr:colOff>133560</xdr:colOff>
      <xdr:row>27</xdr:row>
      <xdr:rowOff>25560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0</xdr:colOff>
      <xdr:row>13</xdr:row>
      <xdr:rowOff>100800</xdr:rowOff>
    </xdr:from>
    <xdr:to>
      <xdr:col>25</xdr:col>
      <xdr:colOff>133560</xdr:colOff>
      <xdr:row>27</xdr:row>
      <xdr:rowOff>25560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28</xdr:row>
      <xdr:rowOff>101160</xdr:rowOff>
    </xdr:from>
    <xdr:to>
      <xdr:col>13</xdr:col>
      <xdr:colOff>133560</xdr:colOff>
      <xdr:row>42</xdr:row>
      <xdr:rowOff>25920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0</xdr:colOff>
      <xdr:row>28</xdr:row>
      <xdr:rowOff>101160</xdr:rowOff>
    </xdr:from>
    <xdr:to>
      <xdr:col>25</xdr:col>
      <xdr:colOff>133560</xdr:colOff>
      <xdr:row>42</xdr:row>
      <xdr:rowOff>25920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43</xdr:row>
      <xdr:rowOff>100800</xdr:rowOff>
    </xdr:from>
    <xdr:to>
      <xdr:col>25</xdr:col>
      <xdr:colOff>483480</xdr:colOff>
      <xdr:row>57</xdr:row>
      <xdr:rowOff>25560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53340</xdr:colOff>
      <xdr:row>0</xdr:row>
      <xdr:rowOff>0</xdr:rowOff>
    </xdr:from>
    <xdr:to>
      <xdr:col>8</xdr:col>
      <xdr:colOff>358140</xdr:colOff>
      <xdr:row>15</xdr:row>
      <xdr:rowOff>0</xdr:rowOff>
    </xdr:to>
    <xdr:graphicFrame macro="">
      <xdr:nvGraphicFramePr>
        <xdr:cNvPr id="2" name="Chart 1">
          <a:extLst>
            <a:ext uri="{FF2B5EF4-FFF2-40B4-BE49-F238E27FC236}">
              <a16:creationId xmlns:a16="http://schemas.microsoft.com/office/drawing/2014/main" id="{9AC589A9-0072-69AE-218F-04FC3893FD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0</xdr:row>
      <xdr:rowOff>0</xdr:rowOff>
    </xdr:from>
    <xdr:to>
      <xdr:col>16</xdr:col>
      <xdr:colOff>304800</xdr:colOff>
      <xdr:row>15</xdr:row>
      <xdr:rowOff>0</xdr:rowOff>
    </xdr:to>
    <xdr:graphicFrame macro="">
      <xdr:nvGraphicFramePr>
        <xdr:cNvPr id="3" name="Chart 1">
          <a:extLst>
            <a:ext uri="{FF2B5EF4-FFF2-40B4-BE49-F238E27FC236}">
              <a16:creationId xmlns:a16="http://schemas.microsoft.com/office/drawing/2014/main" id="{6B129D72-D120-CC9C-BAE8-2339D60DEC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60960</xdr:colOff>
      <xdr:row>15</xdr:row>
      <xdr:rowOff>144780</xdr:rowOff>
    </xdr:from>
    <xdr:to>
      <xdr:col>8</xdr:col>
      <xdr:colOff>342900</xdr:colOff>
      <xdr:row>29</xdr:row>
      <xdr:rowOff>72390</xdr:rowOff>
    </xdr:to>
    <xdr:graphicFrame macro="">
      <xdr:nvGraphicFramePr>
        <xdr:cNvPr id="4" name="Chart 1">
          <a:extLst>
            <a:ext uri="{FF2B5EF4-FFF2-40B4-BE49-F238E27FC236}">
              <a16:creationId xmlns:a16="http://schemas.microsoft.com/office/drawing/2014/main" id="{20084E4D-F63E-4366-2FFB-2008538B57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22860</xdr:colOff>
      <xdr:row>1</xdr:row>
      <xdr:rowOff>0</xdr:rowOff>
    </xdr:from>
    <xdr:to>
      <xdr:col>20</xdr:col>
      <xdr:colOff>22860</xdr:colOff>
      <xdr:row>14</xdr:row>
      <xdr:rowOff>89535</xdr:rowOff>
    </xdr:to>
    <mc:AlternateContent xmlns:mc="http://schemas.openxmlformats.org/markup-compatibility/2006" xmlns:a14="http://schemas.microsoft.com/office/drawing/2010/main">
      <mc:Choice Requires="a14">
        <xdr:graphicFrame macro="">
          <xdr:nvGraphicFramePr>
            <xdr:cNvPr id="5" name="day_type">
              <a:extLst>
                <a:ext uri="{FF2B5EF4-FFF2-40B4-BE49-F238E27FC236}">
                  <a16:creationId xmlns:a16="http://schemas.microsoft.com/office/drawing/2014/main" id="{C1961403-0AFC-4F24-A63E-0ED129DEAC9F}"/>
                </a:ext>
              </a:extLst>
            </xdr:cNvPr>
            <xdr:cNvGraphicFramePr/>
          </xdr:nvGraphicFramePr>
          <xdr:xfrm>
            <a:off x="0" y="0"/>
            <a:ext cx="0" cy="0"/>
          </xdr:xfrm>
          <a:graphic>
            <a:graphicData uri="http://schemas.microsoft.com/office/drawing/2010/slicer">
              <sle:slicer xmlns:sle="http://schemas.microsoft.com/office/drawing/2010/slicer" name="day_type"/>
            </a:graphicData>
          </a:graphic>
        </xdr:graphicFrame>
      </mc:Choice>
      <mc:Fallback xmlns="">
        <xdr:sp macro="" textlink="">
          <xdr:nvSpPr>
            <xdr:cNvPr id="0" name=""/>
            <xdr:cNvSpPr>
              <a:spLocks noTextEdit="1"/>
            </xdr:cNvSpPr>
          </xdr:nvSpPr>
          <xdr:spPr>
            <a:xfrm>
              <a:off x="10386060" y="1828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30480</xdr:colOff>
      <xdr:row>15</xdr:row>
      <xdr:rowOff>175260</xdr:rowOff>
    </xdr:from>
    <xdr:to>
      <xdr:col>20</xdr:col>
      <xdr:colOff>30480</xdr:colOff>
      <xdr:row>29</xdr:row>
      <xdr:rowOff>81915</xdr:rowOff>
    </xdr:to>
    <mc:AlternateContent xmlns:mc="http://schemas.openxmlformats.org/markup-compatibility/2006" xmlns:a14="http://schemas.microsoft.com/office/drawing/2010/main">
      <mc:Choice Requires="a14">
        <xdr:graphicFrame macro="">
          <xdr:nvGraphicFramePr>
            <xdr:cNvPr id="6" name="weather">
              <a:extLst>
                <a:ext uri="{FF2B5EF4-FFF2-40B4-BE49-F238E27FC236}">
                  <a16:creationId xmlns:a16="http://schemas.microsoft.com/office/drawing/2014/main" id="{30890273-45C3-42C3-93C4-3FD1E950CAE9}"/>
                </a:ext>
              </a:extLst>
            </xdr:cNvPr>
            <xdr:cNvGraphicFramePr/>
          </xdr:nvGraphicFramePr>
          <xdr:xfrm>
            <a:off x="0" y="0"/>
            <a:ext cx="0" cy="0"/>
          </xdr:xfrm>
          <a:graphic>
            <a:graphicData uri="http://schemas.microsoft.com/office/drawing/2010/slicer">
              <sle:slicer xmlns:sle="http://schemas.microsoft.com/office/drawing/2010/slicer" name="weather"/>
            </a:graphicData>
          </a:graphic>
        </xdr:graphicFrame>
      </mc:Choice>
      <mc:Fallback xmlns="">
        <xdr:sp macro="" textlink="">
          <xdr:nvSpPr>
            <xdr:cNvPr id="0" name=""/>
            <xdr:cNvSpPr>
              <a:spLocks noTextEdit="1"/>
            </xdr:cNvSpPr>
          </xdr:nvSpPr>
          <xdr:spPr>
            <a:xfrm>
              <a:off x="10393680" y="29184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388620</xdr:colOff>
      <xdr:row>1</xdr:row>
      <xdr:rowOff>7620</xdr:rowOff>
    </xdr:from>
    <xdr:to>
      <xdr:col>23</xdr:col>
      <xdr:colOff>388620</xdr:colOff>
      <xdr:row>14</xdr:row>
      <xdr:rowOff>97155</xdr:rowOff>
    </xdr:to>
    <mc:AlternateContent xmlns:mc="http://schemas.openxmlformats.org/markup-compatibility/2006" xmlns:a14="http://schemas.microsoft.com/office/drawing/2010/main">
      <mc:Choice Requires="a14">
        <xdr:graphicFrame macro="">
          <xdr:nvGraphicFramePr>
            <xdr:cNvPr id="7" name="time_of_day">
              <a:extLst>
                <a:ext uri="{FF2B5EF4-FFF2-40B4-BE49-F238E27FC236}">
                  <a16:creationId xmlns:a16="http://schemas.microsoft.com/office/drawing/2014/main" id="{0CE9AD63-5946-49AD-A2E9-A598AE3D2886}"/>
                </a:ext>
              </a:extLst>
            </xdr:cNvPr>
            <xdr:cNvGraphicFramePr/>
          </xdr:nvGraphicFramePr>
          <xdr:xfrm>
            <a:off x="0" y="0"/>
            <a:ext cx="0" cy="0"/>
          </xdr:xfrm>
          <a:graphic>
            <a:graphicData uri="http://schemas.microsoft.com/office/drawing/2010/slicer">
              <sle:slicer xmlns:sle="http://schemas.microsoft.com/office/drawing/2010/slicer" name="time_of_day"/>
            </a:graphicData>
          </a:graphic>
        </xdr:graphicFrame>
      </mc:Choice>
      <mc:Fallback xmlns="">
        <xdr:sp macro="" textlink="">
          <xdr:nvSpPr>
            <xdr:cNvPr id="0" name=""/>
            <xdr:cNvSpPr>
              <a:spLocks noTextEdit="1"/>
            </xdr:cNvSpPr>
          </xdr:nvSpPr>
          <xdr:spPr>
            <a:xfrm>
              <a:off x="12580620" y="1905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381000</xdr:colOff>
      <xdr:row>15</xdr:row>
      <xdr:rowOff>160020</xdr:rowOff>
    </xdr:from>
    <xdr:to>
      <xdr:col>23</xdr:col>
      <xdr:colOff>381000</xdr:colOff>
      <xdr:row>29</xdr:row>
      <xdr:rowOff>66675</xdr:rowOff>
    </xdr:to>
    <mc:AlternateContent xmlns:mc="http://schemas.openxmlformats.org/markup-compatibility/2006" xmlns:a14="http://schemas.microsoft.com/office/drawing/2010/main">
      <mc:Choice Requires="a14">
        <xdr:graphicFrame macro="">
          <xdr:nvGraphicFramePr>
            <xdr:cNvPr id="8" name="demand_level">
              <a:extLst>
                <a:ext uri="{FF2B5EF4-FFF2-40B4-BE49-F238E27FC236}">
                  <a16:creationId xmlns:a16="http://schemas.microsoft.com/office/drawing/2014/main" id="{C2A71FA5-13DE-4173-92E3-DC638C45314A}"/>
                </a:ext>
              </a:extLst>
            </xdr:cNvPr>
            <xdr:cNvGraphicFramePr/>
          </xdr:nvGraphicFramePr>
          <xdr:xfrm>
            <a:off x="0" y="0"/>
            <a:ext cx="0" cy="0"/>
          </xdr:xfrm>
          <a:graphic>
            <a:graphicData uri="http://schemas.microsoft.com/office/drawing/2010/slicer">
              <sle:slicer xmlns:sle="http://schemas.microsoft.com/office/drawing/2010/slicer" name="demand_level"/>
            </a:graphicData>
          </a:graphic>
        </xdr:graphicFrame>
      </mc:Choice>
      <mc:Fallback xmlns="">
        <xdr:sp macro="" textlink="">
          <xdr:nvSpPr>
            <xdr:cNvPr id="0" name=""/>
            <xdr:cNvSpPr>
              <a:spLocks noTextEdit="1"/>
            </xdr:cNvSpPr>
          </xdr:nvSpPr>
          <xdr:spPr>
            <a:xfrm>
              <a:off x="12573000" y="29032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22860</xdr:colOff>
      <xdr:row>15</xdr:row>
      <xdr:rowOff>160020</xdr:rowOff>
    </xdr:from>
    <xdr:to>
      <xdr:col>14</xdr:col>
      <xdr:colOff>312420</xdr:colOff>
      <xdr:row>23</xdr:row>
      <xdr:rowOff>68580</xdr:rowOff>
    </xdr:to>
    <mc:AlternateContent xmlns:mc="http://schemas.openxmlformats.org/markup-compatibility/2006" xmlns:tsle="http://schemas.microsoft.com/office/drawing/2012/timeslicer">
      <mc:Choice Requires="tsle">
        <xdr:graphicFrame macro="">
          <xdr:nvGraphicFramePr>
            <xdr:cNvPr id="9" name="dteday">
              <a:extLst>
                <a:ext uri="{FF2B5EF4-FFF2-40B4-BE49-F238E27FC236}">
                  <a16:creationId xmlns:a16="http://schemas.microsoft.com/office/drawing/2014/main" id="{1C3EF834-004F-4BC3-9B41-0F93EE018787}"/>
                </a:ext>
              </a:extLst>
            </xdr:cNvPr>
            <xdr:cNvGraphicFramePr/>
          </xdr:nvGraphicFramePr>
          <xdr:xfrm>
            <a:off x="0" y="0"/>
            <a:ext cx="0" cy="0"/>
          </xdr:xfrm>
          <a:graphic>
            <a:graphicData uri="http://schemas.microsoft.com/office/drawing/2012/timeslicer">
              <tsle:timeslicer name="dteday"/>
            </a:graphicData>
          </a:graphic>
        </xdr:graphicFrame>
      </mc:Choice>
      <mc:Fallback xmlns="">
        <xdr:sp macro="" textlink="">
          <xdr:nvSpPr>
            <xdr:cNvPr id="0" name=""/>
            <xdr:cNvSpPr>
              <a:spLocks noTextEdit="1"/>
            </xdr:cNvSpPr>
          </xdr:nvSpPr>
          <xdr:spPr>
            <a:xfrm>
              <a:off x="5509260" y="290322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1645920</xdr:colOff>
      <xdr:row>6</xdr:row>
      <xdr:rowOff>41910</xdr:rowOff>
    </xdr:from>
    <xdr:to>
      <xdr:col>12</xdr:col>
      <xdr:colOff>146685</xdr:colOff>
      <xdr:row>26</xdr:row>
      <xdr:rowOff>51435</xdr:rowOff>
    </xdr:to>
    <xdr:graphicFrame macro="">
      <xdr:nvGraphicFramePr>
        <xdr:cNvPr id="2" name="Chart 1">
          <a:extLst>
            <a:ext uri="{FF2B5EF4-FFF2-40B4-BE49-F238E27FC236}">
              <a16:creationId xmlns:a16="http://schemas.microsoft.com/office/drawing/2014/main" id="{2B0BB4E2-B06E-49D2-5546-1ED2DB7590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2346961</xdr:colOff>
      <xdr:row>3</xdr:row>
      <xdr:rowOff>41911</xdr:rowOff>
    </xdr:from>
    <xdr:to>
      <xdr:col>14</xdr:col>
      <xdr:colOff>563881</xdr:colOff>
      <xdr:row>20</xdr:row>
      <xdr:rowOff>38101</xdr:rowOff>
    </xdr:to>
    <xdr:graphicFrame macro="">
      <xdr:nvGraphicFramePr>
        <xdr:cNvPr id="2" name="Chart 1">
          <a:extLst>
            <a:ext uri="{FF2B5EF4-FFF2-40B4-BE49-F238E27FC236}">
              <a16:creationId xmlns:a16="http://schemas.microsoft.com/office/drawing/2014/main" id="{852EC458-9451-CDD5-ADC2-45894DCB74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lash" refreshedDate="46300.083172453706" createdVersion="8" refreshedVersion="8" minRefreshableVersion="3" recordCount="1000" xr:uid="{15CD001D-1E4A-4515-9415-8516D4E3EEEA}">
  <cacheSource type="worksheet">
    <worksheetSource ref="A1:AJ1001" sheet="Clean_Data"/>
  </cacheSource>
  <cacheFields count="37">
    <cacheField name="instant" numFmtId="0">
      <sharedItems containsSemiMixedTypes="0" containsString="0" containsNumber="1" containsInteger="1" minValue="1" maxValue="1000"/>
    </cacheField>
    <cacheField name="source" numFmtId="0">
      <sharedItems/>
    </cacheField>
    <cacheField name="m12_row" numFmtId="0">
      <sharedItems containsSemiMixedTypes="0" containsString="0" containsNumber="1" containsInteger="1" minValue="0" maxValue="610"/>
    </cacheField>
    <cacheField name="d2_row" numFmtId="0">
      <sharedItems containsSemiMixedTypes="0" containsString="0" containsNumber="1" containsInteger="1" minValue="0" maxValue="610"/>
    </cacheField>
    <cacheField name="d3_row" numFmtId="0">
      <sharedItems containsSemiMixedTypes="0" containsString="0" containsNumber="1" containsInteger="1" minValue="0" maxValue="390"/>
    </cacheField>
    <cacheField name="dteday" numFmtId="16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cacheField>
    <cacheField name="season" numFmtId="0">
      <sharedItems containsSemiMixedTypes="0" containsString="0" containsNumber="1" containsInteger="1" minValue="1" maxValue="1"/>
    </cacheField>
    <cacheField name="yr" numFmtId="0">
      <sharedItems containsSemiMixedTypes="0" containsString="0" containsNumber="1" containsInteger="1" minValue="0" maxValue="0"/>
    </cacheField>
    <cacheField name="mnth" numFmtId="0">
      <sharedItems containsSemiMixedTypes="0" containsString="0" containsNumber="1" containsInteger="1" minValue="1" maxValue="2"/>
    </cacheField>
    <cacheField name="h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acheField>
    <cacheField name="weekday" numFmtId="0">
      <sharedItems containsSemiMixedTypes="0" containsString="0" containsNumber="1" containsInteger="1" minValue="0" maxValue="6"/>
    </cacheField>
    <cacheField name="weathersit" numFmtId="0">
      <sharedItems containsSemiMixedTypes="0" containsString="0" containsNumber="1" containsInteger="1" minValue="1" maxValue="4"/>
    </cacheField>
    <cacheField name="temp" numFmtId="169">
      <sharedItems containsSemiMixedTypes="0" containsString="0" containsNumber="1" minValue="0.02" maxValue="0.46"/>
    </cacheField>
    <cacheField name="atemp_raw" numFmtId="169">
      <sharedItems containsMixedTypes="1" containsNumber="1" minValue="0" maxValue="0.45450000000000002"/>
    </cacheField>
    <cacheField name="atemp" numFmtId="169">
      <sharedItems containsSemiMixedTypes="0" containsString="0" containsNumber="1" minValue="0" maxValue="0.45450000000000002"/>
    </cacheField>
    <cacheField name="hum" numFmtId="169">
      <sharedItems containsSemiMixedTypes="0" containsString="0" containsNumber="1" minValue="0.21" maxValue="1"/>
    </cacheField>
    <cacheField name="windspeed" numFmtId="169">
      <sharedItems containsSemiMixedTypes="0" containsString="0" containsNumber="1" minValue="0" maxValue="0.58209999999999995"/>
    </cacheField>
    <cacheField name="casual" numFmtId="0">
      <sharedItems containsSemiMixedTypes="0" containsString="0" containsNumber="1" containsInteger="1" minValue="0" maxValue="62"/>
    </cacheField>
    <cacheField name="registered" numFmtId="0">
      <sharedItems containsSemiMixedTypes="0" containsString="0" containsNumber="1" containsInteger="1" minValue="0" maxValue="247"/>
    </cacheField>
    <cacheField name="cnt" numFmtId="0">
      <sharedItems containsSemiMixedTypes="0" containsString="0" containsNumber="1" containsInteger="1" minValue="1" maxValue="249"/>
    </cacheField>
    <cacheField name="day_type" numFmtId="0">
      <sharedItems count="3">
        <s v="Weekend"/>
        <s v="Weekday"/>
        <s v="Holiday"/>
      </sharedItems>
    </cacheField>
    <cacheField name="weather" numFmtId="0">
      <sharedItems count="4">
        <s v="Clear / Partly cloudy"/>
        <s v="Mist / Cloudy"/>
        <s v="Light snow / Light rain"/>
        <s v="Heavy rain / Snow / Fog"/>
      </sharedItems>
    </cacheField>
    <cacheField name="season_name" numFmtId="0">
      <sharedItems/>
    </cacheField>
    <cacheField name="weekday_name" numFmtId="0">
      <sharedItems/>
    </cacheField>
    <cacheField name="time_of_day" numFmtId="0">
      <sharedItems count="4">
        <s v="Night"/>
        <s v="Morning"/>
        <s v="Afternoon"/>
        <s v="Evening"/>
      </sharedItems>
    </cacheField>
    <cacheField name="temp_C" numFmtId="165">
      <sharedItems containsSemiMixedTypes="0" containsString="0" containsNumber="1" minValue="-7.1" maxValue="13.6"/>
    </cacheField>
    <cacheField name="feels_like_C" numFmtId="165">
      <sharedItems containsSemiMixedTypes="0" containsString="0" containsNumber="1" minValue="-16" maxValue="14"/>
    </cacheField>
    <cacheField name="hum_pct" numFmtId="0">
      <sharedItems containsSemiMixedTypes="0" containsString="0" containsNumber="1" containsInteger="1" minValue="21" maxValue="100"/>
    </cacheField>
    <cacheField name="wind_kmh" numFmtId="0">
      <sharedItems containsSemiMixedTypes="0" containsString="0" containsNumber="1" containsInteger="1" minValue="0" maxValue="39"/>
    </cacheField>
    <cacheField name="registered_share" numFmtId="166">
      <sharedItems containsSemiMixedTypes="0" containsString="0" containsNumber="1" minValue="0" maxValue="1"/>
    </cacheField>
    <cacheField name="demand_level" numFmtId="0">
      <sharedItems count="3">
        <s v="Medium"/>
        <s v="Low"/>
        <s v="High"/>
      </sharedItems>
    </cacheField>
    <cacheField name="anomaly_z" numFmtId="0">
      <sharedItems containsSemiMixedTypes="0" containsString="0" containsNumber="1" minValue="-3.49" maxValue="4.34"/>
    </cacheField>
    <cacheField name="anomaly_flag" numFmtId="0">
      <sharedItems/>
    </cacheField>
    <cacheField name="cnt_check" numFmtId="0">
      <sharedItems/>
    </cacheField>
    <cacheField name="atemp_imputed" numFmtId="0">
      <sharedItems/>
    </cacheField>
    <cacheField name="share_registered" numFmtId="0" formula="registered/cnt" databaseField="0"/>
  </cacheFields>
  <extLst>
    <ext xmlns:x14="http://schemas.microsoft.com/office/spreadsheetml/2009/9/main" uri="{725AE2AE-9491-48be-B2B4-4EB974FC3084}">
      <x14:pivotCacheDefinition pivotCacheId="6615957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s v="Merge 1+2"/>
    <n v="1"/>
    <n v="1"/>
    <n v="0"/>
    <x v="0"/>
    <n v="1"/>
    <n v="0"/>
    <n v="1"/>
    <x v="0"/>
    <b v="0"/>
    <n v="6"/>
    <n v="1"/>
    <n v="0.24"/>
    <n v="0.28789999999999999"/>
    <n v="0.28789999999999999"/>
    <n v="0.81"/>
    <n v="0"/>
    <n v="3"/>
    <n v="13"/>
    <n v="16"/>
    <x v="0"/>
    <x v="0"/>
    <s v="Winter"/>
    <s v="Saturday"/>
    <x v="0"/>
    <n v="3.3"/>
    <n v="3"/>
    <n v="81"/>
    <n v="0"/>
    <n v="0.8125"/>
    <x v="0"/>
    <n v="-1.24"/>
    <s v=""/>
    <s v="OK"/>
    <s v="No"/>
  </r>
  <r>
    <n v="2"/>
    <s v="Merge 1+2"/>
    <n v="2"/>
    <n v="2"/>
    <n v="0"/>
    <x v="0"/>
    <n v="1"/>
    <n v="0"/>
    <n v="1"/>
    <x v="1"/>
    <b v="0"/>
    <n v="6"/>
    <n v="1"/>
    <n v="0.22"/>
    <n v="0.2727"/>
    <n v="0.2727"/>
    <n v="0.8"/>
    <n v="0"/>
    <n v="8"/>
    <n v="32"/>
    <n v="40"/>
    <x v="0"/>
    <x v="0"/>
    <s v="Winter"/>
    <s v="Saturday"/>
    <x v="0"/>
    <n v="2.2999999999999998"/>
    <n v="2"/>
    <n v="80"/>
    <n v="0"/>
    <n v="0.8"/>
    <x v="0"/>
    <n v="1.91"/>
    <s v=""/>
    <s v="OK"/>
    <s v="No"/>
  </r>
  <r>
    <n v="3"/>
    <s v="Merge 1+2"/>
    <n v="3"/>
    <n v="3"/>
    <n v="0"/>
    <x v="0"/>
    <n v="1"/>
    <n v="0"/>
    <n v="1"/>
    <x v="2"/>
    <b v="0"/>
    <n v="6"/>
    <n v="1"/>
    <n v="0.22"/>
    <n v="0.2727"/>
    <n v="0.2727"/>
    <n v="0.8"/>
    <n v="0"/>
    <n v="5"/>
    <n v="27"/>
    <n v="32"/>
    <x v="0"/>
    <x v="0"/>
    <s v="Winter"/>
    <s v="Saturday"/>
    <x v="0"/>
    <n v="2.2999999999999998"/>
    <n v="2"/>
    <n v="80"/>
    <n v="0"/>
    <n v="0.84375"/>
    <x v="0"/>
    <n v="2.8"/>
    <s v=""/>
    <s v="OK"/>
    <s v="No"/>
  </r>
  <r>
    <n v="4"/>
    <s v="Merge 1+2"/>
    <n v="4"/>
    <n v="4"/>
    <n v="0"/>
    <x v="0"/>
    <n v="1"/>
    <n v="0"/>
    <n v="1"/>
    <x v="3"/>
    <b v="0"/>
    <n v="6"/>
    <n v="1"/>
    <n v="0.24"/>
    <n v="0.28789999999999999"/>
    <n v="0.28789999999999999"/>
    <n v="0.75"/>
    <n v="0"/>
    <n v="3"/>
    <n v="10"/>
    <n v="13"/>
    <x v="0"/>
    <x v="0"/>
    <s v="Winter"/>
    <s v="Saturday"/>
    <x v="0"/>
    <n v="3.3"/>
    <n v="3"/>
    <n v="75"/>
    <n v="0"/>
    <n v="0.76923076923076927"/>
    <x v="1"/>
    <n v="1.2"/>
    <s v=""/>
    <s v="OK"/>
    <s v="No"/>
  </r>
  <r>
    <n v="5"/>
    <s v="Merge 1+2"/>
    <n v="5"/>
    <n v="5"/>
    <n v="0"/>
    <x v="0"/>
    <n v="1"/>
    <n v="0"/>
    <n v="1"/>
    <x v="4"/>
    <b v="0"/>
    <n v="6"/>
    <n v="1"/>
    <n v="0.24"/>
    <n v="0.28789999999999999"/>
    <n v="0.28789999999999999"/>
    <n v="0.75"/>
    <n v="0"/>
    <n v="0"/>
    <n v="1"/>
    <n v="1"/>
    <x v="0"/>
    <x v="0"/>
    <s v="Winter"/>
    <s v="Saturday"/>
    <x v="0"/>
    <n v="3.3"/>
    <n v="3"/>
    <n v="75"/>
    <n v="0"/>
    <n v="1"/>
    <x v="1"/>
    <n v="-0.87"/>
    <s v=""/>
    <s v="OK"/>
    <s v="No"/>
  </r>
  <r>
    <n v="6"/>
    <s v="Merge 1+2"/>
    <n v="6"/>
    <n v="6"/>
    <n v="0"/>
    <x v="0"/>
    <n v="1"/>
    <n v="0"/>
    <n v="1"/>
    <x v="5"/>
    <b v="0"/>
    <n v="6"/>
    <n v="2"/>
    <n v="0.24"/>
    <n v="0.2576"/>
    <n v="0.2576"/>
    <n v="0.75"/>
    <n v="8.9599999999999999E-2"/>
    <n v="0"/>
    <n v="1"/>
    <n v="1"/>
    <x v="0"/>
    <x v="1"/>
    <s v="Winter"/>
    <s v="Saturday"/>
    <x v="0"/>
    <n v="3.3"/>
    <n v="1"/>
    <n v="75"/>
    <n v="6"/>
    <n v="1"/>
    <x v="1"/>
    <n v="-0.62"/>
    <s v=""/>
    <s v="OK"/>
    <s v="No"/>
  </r>
  <r>
    <n v="7"/>
    <s v="Merge 1+2"/>
    <n v="7"/>
    <n v="7"/>
    <n v="0"/>
    <x v="0"/>
    <n v="1"/>
    <n v="0"/>
    <n v="1"/>
    <x v="6"/>
    <b v="0"/>
    <n v="6"/>
    <n v="1"/>
    <n v="0.22"/>
    <n v="0.2727"/>
    <n v="0.2727"/>
    <n v="0.8"/>
    <n v="0"/>
    <n v="2"/>
    <n v="0"/>
    <n v="2"/>
    <x v="0"/>
    <x v="0"/>
    <s v="Winter"/>
    <s v="Saturday"/>
    <x v="1"/>
    <n v="2.2999999999999998"/>
    <n v="2"/>
    <n v="80"/>
    <n v="0"/>
    <n v="0"/>
    <x v="1"/>
    <n v="-0.26"/>
    <s v=""/>
    <s v="OK"/>
    <s v="No"/>
  </r>
  <r>
    <n v="8"/>
    <s v="Merge 1+2"/>
    <n v="8"/>
    <n v="8"/>
    <n v="0"/>
    <x v="0"/>
    <n v="1"/>
    <n v="0"/>
    <n v="1"/>
    <x v="7"/>
    <b v="0"/>
    <n v="6"/>
    <n v="1"/>
    <n v="0.2"/>
    <n v="0.2576"/>
    <n v="0.2576"/>
    <n v="0.86"/>
    <n v="0"/>
    <n v="1"/>
    <n v="2"/>
    <n v="3"/>
    <x v="0"/>
    <x v="0"/>
    <s v="Winter"/>
    <s v="Saturday"/>
    <x v="1"/>
    <n v="1.4"/>
    <n v="1"/>
    <n v="86"/>
    <n v="0"/>
    <n v="0.66666666666666663"/>
    <x v="1"/>
    <n v="-0.8"/>
    <s v=""/>
    <s v="OK"/>
    <s v="No"/>
  </r>
  <r>
    <n v="9"/>
    <s v="Merge 1+2"/>
    <n v="9"/>
    <n v="9"/>
    <n v="0"/>
    <x v="0"/>
    <n v="1"/>
    <n v="0"/>
    <n v="1"/>
    <x v="8"/>
    <b v="0"/>
    <n v="6"/>
    <n v="1"/>
    <n v="0.24"/>
    <s v=""/>
    <n v="0.24440000000000001"/>
    <n v="0.75"/>
    <n v="0"/>
    <n v="1"/>
    <n v="7"/>
    <n v="8"/>
    <x v="0"/>
    <x v="0"/>
    <s v="Winter"/>
    <s v="Saturday"/>
    <x v="1"/>
    <n v="3.3"/>
    <n v="0.1"/>
    <n v="75"/>
    <n v="0"/>
    <n v="0.875"/>
    <x v="1"/>
    <n v="-1.19"/>
    <s v=""/>
    <s v="OK"/>
    <s v="Yes"/>
  </r>
  <r>
    <n v="10"/>
    <s v="Merge 1+2"/>
    <n v="10"/>
    <n v="10"/>
    <n v="0"/>
    <x v="0"/>
    <n v="1"/>
    <n v="0"/>
    <n v="1"/>
    <x v="9"/>
    <b v="0"/>
    <n v="6"/>
    <n v="1"/>
    <n v="0.32"/>
    <n v="0.34849999999999998"/>
    <n v="0.34849999999999998"/>
    <n v="0.76"/>
    <n v="0"/>
    <n v="8"/>
    <n v="6"/>
    <n v="14"/>
    <x v="0"/>
    <x v="0"/>
    <s v="Winter"/>
    <s v="Saturday"/>
    <x v="1"/>
    <n v="7"/>
    <n v="7"/>
    <n v="76"/>
    <n v="0"/>
    <n v="0.42857142857142855"/>
    <x v="1"/>
    <n v="-1.59"/>
    <s v=""/>
    <s v="OK"/>
    <s v="No"/>
  </r>
  <r>
    <n v="11"/>
    <s v="Merge 1+2"/>
    <n v="11"/>
    <n v="11"/>
    <n v="0"/>
    <x v="0"/>
    <n v="1"/>
    <n v="0"/>
    <n v="1"/>
    <x v="10"/>
    <b v="0"/>
    <n v="6"/>
    <n v="1"/>
    <n v="0.38"/>
    <n v="0.39389999999999997"/>
    <n v="0.39389999999999997"/>
    <n v="0.76"/>
    <n v="0.25369999999999998"/>
    <n v="12"/>
    <n v="24"/>
    <n v="36"/>
    <x v="0"/>
    <x v="0"/>
    <s v="Winter"/>
    <s v="Saturday"/>
    <x v="1"/>
    <n v="9.9"/>
    <n v="10"/>
    <n v="76"/>
    <n v="17"/>
    <n v="0.66666666666666663"/>
    <x v="0"/>
    <n v="-1.36"/>
    <s v=""/>
    <s v="OK"/>
    <s v="No"/>
  </r>
  <r>
    <n v="12"/>
    <s v="Merge 1+2"/>
    <n v="12"/>
    <n v="12"/>
    <n v="0"/>
    <x v="0"/>
    <n v="1"/>
    <n v="0"/>
    <n v="1"/>
    <x v="11"/>
    <b v="0"/>
    <n v="6"/>
    <n v="1"/>
    <n v="0.36"/>
    <n v="0.33329999999999999"/>
    <n v="0.33329999999999999"/>
    <n v="0.81"/>
    <n v="0.28360000000000002"/>
    <n v="26"/>
    <n v="30"/>
    <n v="56"/>
    <x v="0"/>
    <x v="0"/>
    <s v="Winter"/>
    <s v="Saturday"/>
    <x v="1"/>
    <n v="8.9"/>
    <n v="6"/>
    <n v="81"/>
    <n v="19"/>
    <n v="0.5357142857142857"/>
    <x v="0"/>
    <n v="-0.83"/>
    <s v=""/>
    <s v="OK"/>
    <s v="No"/>
  </r>
  <r>
    <n v="13"/>
    <s v="Merge 1+2"/>
    <n v="13"/>
    <n v="13"/>
    <n v="0"/>
    <x v="0"/>
    <n v="1"/>
    <n v="0"/>
    <n v="1"/>
    <x v="12"/>
    <b v="0"/>
    <n v="6"/>
    <n v="1"/>
    <n v="0.42"/>
    <n v="0.42420000000000002"/>
    <n v="0.42420000000000002"/>
    <n v="0.77"/>
    <n v="0.28360000000000002"/>
    <n v="29"/>
    <n v="55"/>
    <n v="84"/>
    <x v="0"/>
    <x v="0"/>
    <s v="Winter"/>
    <s v="Saturday"/>
    <x v="2"/>
    <n v="11.7"/>
    <n v="12"/>
    <n v="77"/>
    <n v="19"/>
    <n v="0.65476190476190477"/>
    <x v="2"/>
    <n v="-0.49"/>
    <s v=""/>
    <s v="OK"/>
    <s v="No"/>
  </r>
  <r>
    <n v="14"/>
    <s v="Merge 1+2"/>
    <n v="14"/>
    <n v="14"/>
    <n v="0"/>
    <x v="0"/>
    <n v="1"/>
    <n v="0"/>
    <n v="1"/>
    <x v="13"/>
    <b v="0"/>
    <n v="6"/>
    <n v="2"/>
    <n v="0.46"/>
    <n v="0.45450000000000002"/>
    <n v="0.45450000000000002"/>
    <n v="0.72"/>
    <n v="0.29849999999999999"/>
    <n v="47"/>
    <n v="47"/>
    <n v="94"/>
    <x v="0"/>
    <x v="1"/>
    <s v="Winter"/>
    <s v="Saturday"/>
    <x v="2"/>
    <n v="13.6"/>
    <n v="14"/>
    <n v="72"/>
    <n v="20"/>
    <n v="0.5"/>
    <x v="2"/>
    <n v="-0.22"/>
    <s v=""/>
    <s v="OK"/>
    <s v="No"/>
  </r>
  <r>
    <n v="15"/>
    <s v="Merge 1+2"/>
    <n v="15"/>
    <n v="15"/>
    <n v="0"/>
    <x v="0"/>
    <n v="1"/>
    <n v="0"/>
    <n v="1"/>
    <x v="14"/>
    <b v="0"/>
    <n v="6"/>
    <n v="2"/>
    <n v="0.46"/>
    <n v="0.45450000000000002"/>
    <n v="0.45450000000000002"/>
    <n v="0.72"/>
    <n v="0.28360000000000002"/>
    <n v="35"/>
    <n v="71"/>
    <n v="106"/>
    <x v="0"/>
    <x v="1"/>
    <s v="Winter"/>
    <s v="Saturday"/>
    <x v="2"/>
    <n v="13.6"/>
    <n v="14"/>
    <n v="72"/>
    <n v="19"/>
    <n v="0.66981132075471694"/>
    <x v="2"/>
    <n v="0.13"/>
    <s v=""/>
    <s v="OK"/>
    <s v="No"/>
  </r>
  <r>
    <n v="16"/>
    <s v="Merge 1+2"/>
    <n v="16"/>
    <n v="16"/>
    <n v="0"/>
    <x v="0"/>
    <n v="1"/>
    <n v="0"/>
    <n v="1"/>
    <x v="15"/>
    <b v="0"/>
    <n v="6"/>
    <n v="2"/>
    <n v="0.44"/>
    <n v="0.43940000000000001"/>
    <n v="0.43940000000000001"/>
    <n v="0.77"/>
    <n v="0.29849999999999999"/>
    <n v="40"/>
    <n v="70"/>
    <n v="110"/>
    <x v="0"/>
    <x v="1"/>
    <s v="Winter"/>
    <s v="Saturday"/>
    <x v="2"/>
    <n v="12.7"/>
    <n v="13"/>
    <n v="77"/>
    <n v="20"/>
    <n v="0.63636363636363635"/>
    <x v="2"/>
    <n v="-0.02"/>
    <s v=""/>
    <s v="OK"/>
    <s v="No"/>
  </r>
  <r>
    <n v="17"/>
    <s v="Merge 1+2"/>
    <n v="17"/>
    <n v="17"/>
    <n v="0"/>
    <x v="0"/>
    <n v="1"/>
    <n v="0"/>
    <n v="1"/>
    <x v="16"/>
    <b v="0"/>
    <n v="6"/>
    <n v="2"/>
    <n v="0.42"/>
    <n v="0.42420000000000002"/>
    <n v="0.42420000000000002"/>
    <n v="0.82"/>
    <n v="0.29849999999999999"/>
    <n v="41"/>
    <n v="52"/>
    <n v="93"/>
    <x v="0"/>
    <x v="1"/>
    <s v="Winter"/>
    <s v="Saturday"/>
    <x v="2"/>
    <n v="11.7"/>
    <n v="12"/>
    <n v="82"/>
    <n v="20"/>
    <n v="0.55913978494623651"/>
    <x v="2"/>
    <n v="-0.31"/>
    <s v=""/>
    <s v="OK"/>
    <s v="No"/>
  </r>
  <r>
    <n v="18"/>
    <s v="Merge 1+2"/>
    <n v="18"/>
    <n v="18"/>
    <n v="0"/>
    <x v="0"/>
    <n v="1"/>
    <n v="0"/>
    <n v="1"/>
    <x v="17"/>
    <b v="0"/>
    <n v="6"/>
    <n v="2"/>
    <n v="0.44"/>
    <s v=""/>
    <n v="0.42809999999999998"/>
    <n v="0.82"/>
    <n v="0.28360000000000002"/>
    <n v="15"/>
    <n v="52"/>
    <n v="67"/>
    <x v="0"/>
    <x v="1"/>
    <s v="Winter"/>
    <s v="Saturday"/>
    <x v="2"/>
    <n v="12.7"/>
    <n v="12.3"/>
    <n v="82"/>
    <n v="19"/>
    <n v="0.77611940298507465"/>
    <x v="0"/>
    <n v="-0.7"/>
    <s v=""/>
    <s v="OK"/>
    <s v="Yes"/>
  </r>
  <r>
    <n v="19"/>
    <s v="Merge 1+2"/>
    <n v="19"/>
    <n v="19"/>
    <n v="0"/>
    <x v="0"/>
    <n v="1"/>
    <n v="0"/>
    <n v="1"/>
    <x v="18"/>
    <b v="0"/>
    <n v="6"/>
    <n v="3"/>
    <n v="0.42"/>
    <n v="0.42420000000000002"/>
    <n v="0.42420000000000002"/>
    <n v="0.88"/>
    <n v="0.25369999999999998"/>
    <n v="9"/>
    <n v="26"/>
    <n v="35"/>
    <x v="0"/>
    <x v="2"/>
    <s v="Winter"/>
    <s v="Saturday"/>
    <x v="3"/>
    <n v="11.7"/>
    <n v="12"/>
    <n v="88"/>
    <n v="17"/>
    <n v="0.74285714285714288"/>
    <x v="0"/>
    <n v="-1.77"/>
    <s v=""/>
    <s v="OK"/>
    <s v="No"/>
  </r>
  <r>
    <n v="20"/>
    <s v="Merge 1+2"/>
    <n v="20"/>
    <n v="20"/>
    <n v="0"/>
    <x v="0"/>
    <n v="1"/>
    <n v="0"/>
    <n v="1"/>
    <x v="19"/>
    <b v="0"/>
    <n v="6"/>
    <n v="3"/>
    <n v="0.42"/>
    <n v="0.42420000000000002"/>
    <n v="0.42420000000000002"/>
    <n v="0.88"/>
    <n v="0.25369999999999998"/>
    <n v="6"/>
    <n v="31"/>
    <n v="37"/>
    <x v="0"/>
    <x v="2"/>
    <s v="Winter"/>
    <s v="Saturday"/>
    <x v="3"/>
    <n v="11.7"/>
    <n v="12"/>
    <n v="88"/>
    <n v="17"/>
    <n v="0.83783783783783783"/>
    <x v="0"/>
    <n v="-0.8"/>
    <s v=""/>
    <s v="OK"/>
    <s v="No"/>
  </r>
  <r>
    <n v="21"/>
    <s v="Merge 1+2"/>
    <n v="21"/>
    <n v="21"/>
    <n v="0"/>
    <x v="0"/>
    <n v="1"/>
    <n v="0"/>
    <n v="1"/>
    <x v="20"/>
    <b v="0"/>
    <n v="6"/>
    <n v="2"/>
    <n v="0.4"/>
    <n v="0.40910000000000002"/>
    <n v="0.40910000000000002"/>
    <n v="0.87"/>
    <n v="0.25369999999999998"/>
    <n v="11"/>
    <n v="25"/>
    <n v="36"/>
    <x v="0"/>
    <x v="1"/>
    <s v="Winter"/>
    <s v="Saturday"/>
    <x v="3"/>
    <n v="10.8"/>
    <n v="11"/>
    <n v="87"/>
    <n v="17"/>
    <n v="0.69444444444444442"/>
    <x v="0"/>
    <n v="-0.28999999999999998"/>
    <s v=""/>
    <s v="OK"/>
    <s v="No"/>
  </r>
  <r>
    <n v="22"/>
    <s v="Merge 1+2"/>
    <n v="22"/>
    <n v="22"/>
    <n v="0"/>
    <x v="0"/>
    <n v="1"/>
    <n v="0"/>
    <n v="1"/>
    <x v="21"/>
    <b v="0"/>
    <n v="6"/>
    <n v="2"/>
    <n v="0.4"/>
    <n v="0.40910000000000002"/>
    <n v="0.40910000000000002"/>
    <n v="0.87"/>
    <n v="0.19400000000000001"/>
    <n v="3"/>
    <n v="31"/>
    <n v="34"/>
    <x v="0"/>
    <x v="1"/>
    <s v="Winter"/>
    <s v="Saturday"/>
    <x v="3"/>
    <n v="10.8"/>
    <n v="11"/>
    <n v="87"/>
    <n v="13"/>
    <n v="0.91176470588235292"/>
    <x v="0"/>
    <n v="-0.21"/>
    <s v=""/>
    <s v="OK"/>
    <s v="No"/>
  </r>
  <r>
    <n v="23"/>
    <s v="Merge 1+2"/>
    <n v="23"/>
    <n v="23"/>
    <n v="0"/>
    <x v="0"/>
    <n v="1"/>
    <n v="0"/>
    <n v="1"/>
    <x v="22"/>
    <b v="0"/>
    <n v="6"/>
    <n v="2"/>
    <n v="0.4"/>
    <n v="0.40910000000000002"/>
    <n v="0.40910000000000002"/>
    <n v="0.94"/>
    <n v="0.22389999999999999"/>
    <n v="11"/>
    <n v="17"/>
    <n v="28"/>
    <x v="0"/>
    <x v="1"/>
    <s v="Winter"/>
    <s v="Saturday"/>
    <x v="3"/>
    <n v="10.8"/>
    <n v="11"/>
    <n v="94"/>
    <n v="15"/>
    <n v="0.6071428571428571"/>
    <x v="0"/>
    <n v="-0.12"/>
    <s v=""/>
    <s v="OK"/>
    <s v="No"/>
  </r>
  <r>
    <n v="24"/>
    <s v="Merge 1+2"/>
    <n v="24"/>
    <n v="24"/>
    <n v="0"/>
    <x v="0"/>
    <n v="1"/>
    <n v="0"/>
    <n v="1"/>
    <x v="23"/>
    <b v="0"/>
    <n v="6"/>
    <n v="2"/>
    <n v="0.46"/>
    <s v=""/>
    <n v="0.44640000000000002"/>
    <n v="0.88"/>
    <n v="0.29849999999999999"/>
    <n v="15"/>
    <n v="24"/>
    <n v="39"/>
    <x v="0"/>
    <x v="1"/>
    <s v="Winter"/>
    <s v="Saturday"/>
    <x v="3"/>
    <n v="13.6"/>
    <n v="13.5"/>
    <n v="88"/>
    <n v="20"/>
    <n v="0.61538461538461542"/>
    <x v="0"/>
    <n v="0.83"/>
    <s v=""/>
    <s v="OK"/>
    <s v="Yes"/>
  </r>
  <r>
    <n v="25"/>
    <s v="Merge 1+2"/>
    <n v="25"/>
    <n v="25"/>
    <n v="0"/>
    <x v="1"/>
    <n v="1"/>
    <n v="0"/>
    <n v="1"/>
    <x v="0"/>
    <b v="0"/>
    <n v="0"/>
    <n v="2"/>
    <n v="0.46"/>
    <n v="0.45450000000000002"/>
    <n v="0.45450000000000002"/>
    <n v="0.88"/>
    <n v="0.29849999999999999"/>
    <n v="4"/>
    <n v="13"/>
    <n v="17"/>
    <x v="0"/>
    <x v="1"/>
    <s v="Winter"/>
    <s v="Sunday"/>
    <x v="0"/>
    <n v="13.6"/>
    <n v="14"/>
    <n v="88"/>
    <n v="20"/>
    <n v="0.76470588235294112"/>
    <x v="0"/>
    <n v="-1.1299999999999999"/>
    <s v=""/>
    <s v="OK"/>
    <s v="No"/>
  </r>
  <r>
    <n v="26"/>
    <s v="Merge 1+2"/>
    <n v="26"/>
    <n v="26"/>
    <n v="0"/>
    <x v="1"/>
    <n v="1"/>
    <n v="0"/>
    <n v="1"/>
    <x v="1"/>
    <b v="0"/>
    <n v="0"/>
    <n v="2"/>
    <n v="0.44"/>
    <n v="0.43940000000000001"/>
    <n v="0.43940000000000001"/>
    <n v="0.94"/>
    <n v="0.25369999999999998"/>
    <n v="1"/>
    <n v="16"/>
    <n v="17"/>
    <x v="0"/>
    <x v="1"/>
    <s v="Winter"/>
    <s v="Sunday"/>
    <x v="0"/>
    <n v="12.7"/>
    <n v="13"/>
    <n v="94"/>
    <n v="17"/>
    <n v="0.94117647058823528"/>
    <x v="0"/>
    <n v="-0.51"/>
    <s v=""/>
    <s v="OK"/>
    <s v="No"/>
  </r>
  <r>
    <n v="27"/>
    <s v="Merge 1+2"/>
    <n v="27"/>
    <n v="27"/>
    <n v="0"/>
    <x v="1"/>
    <n v="1"/>
    <n v="0"/>
    <n v="1"/>
    <x v="2"/>
    <b v="0"/>
    <n v="0"/>
    <n v="2"/>
    <n v="0.42"/>
    <n v="0.42420000000000002"/>
    <n v="0.42420000000000002"/>
    <n v="1"/>
    <n v="0.28360000000000002"/>
    <n v="1"/>
    <n v="8"/>
    <n v="9"/>
    <x v="0"/>
    <x v="1"/>
    <s v="Winter"/>
    <s v="Sunday"/>
    <x v="0"/>
    <n v="11.7"/>
    <n v="12"/>
    <n v="100"/>
    <n v="19"/>
    <n v="0.88888888888888884"/>
    <x v="1"/>
    <n v="-1.08"/>
    <s v=""/>
    <s v="OK"/>
    <s v="No"/>
  </r>
  <r>
    <n v="28"/>
    <s v="Merge 1+2"/>
    <n v="28"/>
    <n v="28"/>
    <n v="0"/>
    <x v="1"/>
    <n v="1"/>
    <n v="0"/>
    <n v="1"/>
    <x v="3"/>
    <b v="0"/>
    <n v="0"/>
    <n v="2"/>
    <n v="0.46"/>
    <n v="0.45450000000000002"/>
    <n v="0.45450000000000002"/>
    <n v="0.94"/>
    <n v="0.19400000000000001"/>
    <n v="2"/>
    <n v="4"/>
    <n v="6"/>
    <x v="0"/>
    <x v="1"/>
    <s v="Winter"/>
    <s v="Sunday"/>
    <x v="0"/>
    <n v="13.6"/>
    <n v="14"/>
    <n v="94"/>
    <n v="13"/>
    <n v="0.66666666666666663"/>
    <x v="1"/>
    <n v="-0.71"/>
    <s v=""/>
    <s v="OK"/>
    <s v="No"/>
  </r>
  <r>
    <n v="29"/>
    <s v="Merge 1+2"/>
    <n v="29"/>
    <n v="29"/>
    <n v="0"/>
    <x v="1"/>
    <n v="1"/>
    <n v="0"/>
    <n v="1"/>
    <x v="4"/>
    <b v="0"/>
    <n v="0"/>
    <n v="2"/>
    <n v="0.46"/>
    <s v=""/>
    <n v="0.44640000000000002"/>
    <n v="0.94"/>
    <n v="0.19400000000000001"/>
    <n v="2"/>
    <n v="1"/>
    <n v="3"/>
    <x v="0"/>
    <x v="1"/>
    <s v="Winter"/>
    <s v="Sunday"/>
    <x v="0"/>
    <n v="13.6"/>
    <n v="13.5"/>
    <n v="94"/>
    <n v="13"/>
    <n v="0.33333333333333331"/>
    <x v="1"/>
    <n v="0.14000000000000001"/>
    <s v=""/>
    <s v="OK"/>
    <s v="Yes"/>
  </r>
  <r>
    <n v="30"/>
    <s v="Merge 1+2"/>
    <n v="30"/>
    <n v="30"/>
    <n v="0"/>
    <x v="1"/>
    <n v="1"/>
    <n v="0"/>
    <n v="1"/>
    <x v="6"/>
    <b v="0"/>
    <n v="0"/>
    <n v="3"/>
    <n v="0.42"/>
    <n v="0.42420000000000002"/>
    <n v="0.42420000000000002"/>
    <n v="0.77"/>
    <n v="0.29849999999999999"/>
    <n v="0"/>
    <n v="2"/>
    <n v="2"/>
    <x v="0"/>
    <x v="2"/>
    <s v="Winter"/>
    <s v="Sunday"/>
    <x v="1"/>
    <n v="11.7"/>
    <n v="12"/>
    <n v="77"/>
    <n v="20"/>
    <n v="1"/>
    <x v="1"/>
    <n v="-0.26"/>
    <s v=""/>
    <s v="OK"/>
    <s v="No"/>
  </r>
  <r>
    <n v="31"/>
    <s v="Merge 1+2"/>
    <n v="31"/>
    <n v="31"/>
    <n v="0"/>
    <x v="1"/>
    <n v="1"/>
    <n v="0"/>
    <n v="1"/>
    <x v="7"/>
    <b v="0"/>
    <n v="0"/>
    <n v="2"/>
    <n v="0.4"/>
    <n v="0.40910000000000002"/>
    <n v="0.40910000000000002"/>
    <n v="0.76"/>
    <n v="0.19400000000000001"/>
    <n v="0"/>
    <n v="1"/>
    <n v="1"/>
    <x v="0"/>
    <x v="1"/>
    <s v="Winter"/>
    <s v="Sunday"/>
    <x v="1"/>
    <n v="10.8"/>
    <n v="11"/>
    <n v="76"/>
    <n v="13"/>
    <n v="1"/>
    <x v="1"/>
    <n v="-1.34"/>
    <s v=""/>
    <s v="OK"/>
    <s v="No"/>
  </r>
  <r>
    <n v="32"/>
    <s v="Merge 1+2"/>
    <n v="32"/>
    <n v="32"/>
    <n v="0"/>
    <x v="1"/>
    <n v="1"/>
    <n v="0"/>
    <n v="1"/>
    <x v="8"/>
    <b v="0"/>
    <n v="0"/>
    <n v="3"/>
    <n v="0.4"/>
    <n v="0.40910000000000002"/>
    <n v="0.40910000000000002"/>
    <n v="0.71"/>
    <n v="0.22389999999999999"/>
    <n v="0"/>
    <n v="8"/>
    <n v="8"/>
    <x v="0"/>
    <x v="2"/>
    <s v="Winter"/>
    <s v="Sunday"/>
    <x v="1"/>
    <n v="10.8"/>
    <n v="11"/>
    <n v="71"/>
    <n v="15"/>
    <n v="1"/>
    <x v="1"/>
    <n v="-1.19"/>
    <s v=""/>
    <s v="OK"/>
    <s v="No"/>
  </r>
  <r>
    <n v="33"/>
    <s v="Merge 1+2"/>
    <n v="33"/>
    <n v="33"/>
    <n v="0"/>
    <x v="1"/>
    <n v="1"/>
    <n v="0"/>
    <n v="1"/>
    <x v="9"/>
    <b v="0"/>
    <n v="0"/>
    <n v="2"/>
    <n v="0.38"/>
    <s v=""/>
    <n v="0.373"/>
    <n v="0.76"/>
    <n v="0.22389999999999999"/>
    <n v="1"/>
    <n v="19"/>
    <n v="20"/>
    <x v="0"/>
    <x v="1"/>
    <s v="Winter"/>
    <s v="Sunday"/>
    <x v="1"/>
    <n v="9.9"/>
    <n v="8.6"/>
    <n v="76"/>
    <n v="15"/>
    <n v="0.95"/>
    <x v="0"/>
    <n v="-1.06"/>
    <s v=""/>
    <s v="OK"/>
    <s v="Yes"/>
  </r>
  <r>
    <n v="34"/>
    <s v="Merge 1+2"/>
    <n v="34"/>
    <n v="34"/>
    <n v="0"/>
    <x v="1"/>
    <n v="1"/>
    <n v="0"/>
    <n v="1"/>
    <x v="10"/>
    <b v="0"/>
    <n v="0"/>
    <n v="2"/>
    <n v="0.36"/>
    <n v="0.34849999999999998"/>
    <n v="0.34849999999999998"/>
    <n v="0.81"/>
    <n v="0.22389999999999999"/>
    <n v="7"/>
    <n v="46"/>
    <n v="53"/>
    <x v="0"/>
    <x v="1"/>
    <s v="Winter"/>
    <s v="Sunday"/>
    <x v="1"/>
    <n v="8.9"/>
    <n v="7"/>
    <n v="81"/>
    <n v="15"/>
    <n v="0.86792452830188682"/>
    <x v="0"/>
    <n v="-0.49"/>
    <s v=""/>
    <s v="OK"/>
    <s v="No"/>
  </r>
  <r>
    <n v="35"/>
    <s v="Merge 1+2"/>
    <n v="35"/>
    <n v="35"/>
    <n v="0"/>
    <x v="1"/>
    <n v="1"/>
    <n v="0"/>
    <n v="1"/>
    <x v="11"/>
    <b v="0"/>
    <n v="0"/>
    <n v="2"/>
    <n v="0.36"/>
    <n v="0.33329999999999999"/>
    <n v="0.33329999999999999"/>
    <n v="0.71"/>
    <n v="0.25369999999999998"/>
    <n v="16"/>
    <n v="54"/>
    <n v="70"/>
    <x v="0"/>
    <x v="1"/>
    <s v="Winter"/>
    <s v="Sunday"/>
    <x v="1"/>
    <n v="8.9"/>
    <n v="6"/>
    <n v="71"/>
    <n v="17"/>
    <n v="0.77142857142857146"/>
    <x v="0"/>
    <n v="-0.25"/>
    <s v=""/>
    <s v="OK"/>
    <s v="No"/>
  </r>
  <r>
    <n v="36"/>
    <s v="Merge 1+2"/>
    <n v="36"/>
    <n v="36"/>
    <n v="0"/>
    <x v="1"/>
    <n v="1"/>
    <n v="0"/>
    <n v="1"/>
    <x v="12"/>
    <b v="0"/>
    <n v="0"/>
    <n v="2"/>
    <n v="0.36"/>
    <n v="0.33329999999999999"/>
    <n v="0.33329999999999999"/>
    <n v="0.66"/>
    <n v="0.29849999999999999"/>
    <n v="20"/>
    <n v="73"/>
    <n v="93"/>
    <x v="0"/>
    <x v="1"/>
    <s v="Winter"/>
    <s v="Sunday"/>
    <x v="2"/>
    <n v="8.9"/>
    <n v="6"/>
    <n v="66"/>
    <n v="20"/>
    <n v="0.78494623655913975"/>
    <x v="2"/>
    <n v="-0.2"/>
    <s v=""/>
    <s v="OK"/>
    <s v="No"/>
  </r>
  <r>
    <n v="37"/>
    <s v="Merge 1+2"/>
    <n v="37"/>
    <n v="37"/>
    <n v="0"/>
    <x v="1"/>
    <n v="1"/>
    <n v="0"/>
    <n v="1"/>
    <x v="13"/>
    <b v="0"/>
    <n v="0"/>
    <n v="2"/>
    <n v="0.36"/>
    <n v="0.34849999999999998"/>
    <n v="0.34849999999999998"/>
    <n v="0.66"/>
    <n v="0.1343"/>
    <n v="11"/>
    <n v="64"/>
    <n v="75"/>
    <x v="0"/>
    <x v="1"/>
    <s v="Winter"/>
    <s v="Sunday"/>
    <x v="2"/>
    <n v="8.9"/>
    <n v="7"/>
    <n v="66"/>
    <n v="9"/>
    <n v="0.85333333333333339"/>
    <x v="0"/>
    <n v="-0.8"/>
    <s v=""/>
    <s v="OK"/>
    <s v="No"/>
  </r>
  <r>
    <n v="38"/>
    <s v="Merge 1+2"/>
    <n v="38"/>
    <n v="38"/>
    <n v="0"/>
    <x v="1"/>
    <n v="1"/>
    <n v="0"/>
    <n v="1"/>
    <x v="14"/>
    <b v="0"/>
    <n v="0"/>
    <n v="3"/>
    <n v="0.36"/>
    <s v=""/>
    <n v="0.35460000000000003"/>
    <n v="0.76"/>
    <n v="0.19400000000000001"/>
    <n v="4"/>
    <n v="55"/>
    <n v="59"/>
    <x v="0"/>
    <x v="2"/>
    <s v="Winter"/>
    <s v="Sunday"/>
    <x v="2"/>
    <n v="8.9"/>
    <n v="7.4"/>
    <n v="76"/>
    <n v="13"/>
    <n v="0.93220338983050843"/>
    <x v="0"/>
    <n v="-1.35"/>
    <s v=""/>
    <s v="OK"/>
    <s v="Yes"/>
  </r>
  <r>
    <n v="39"/>
    <s v="Merge 1+2"/>
    <n v="39"/>
    <n v="39"/>
    <n v="0"/>
    <x v="1"/>
    <n v="1"/>
    <n v="0"/>
    <n v="1"/>
    <x v="15"/>
    <b v="0"/>
    <n v="0"/>
    <n v="3"/>
    <n v="0.34"/>
    <n v="0.33329999999999999"/>
    <n v="0.33329999999999999"/>
    <n v="0.81"/>
    <n v="0.16420000000000001"/>
    <n v="19"/>
    <n v="55"/>
    <n v="74"/>
    <x v="0"/>
    <x v="2"/>
    <s v="Winter"/>
    <s v="Sunday"/>
    <x v="2"/>
    <n v="8"/>
    <n v="6"/>
    <n v="81"/>
    <n v="11"/>
    <n v="0.7432432432432432"/>
    <x v="0"/>
    <n v="-0.98"/>
    <s v=""/>
    <s v="OK"/>
    <s v="No"/>
  </r>
  <r>
    <n v="40"/>
    <s v="Merge 1+2"/>
    <n v="40"/>
    <n v="40"/>
    <n v="0"/>
    <x v="1"/>
    <n v="1"/>
    <n v="0"/>
    <n v="1"/>
    <x v="16"/>
    <b v="0"/>
    <n v="0"/>
    <n v="3"/>
    <n v="0.34"/>
    <n v="0.33329999999999999"/>
    <n v="0.33329999999999999"/>
    <n v="0.71"/>
    <n v="0.16420000000000001"/>
    <n v="9"/>
    <n v="67"/>
    <n v="76"/>
    <x v="0"/>
    <x v="2"/>
    <s v="Winter"/>
    <s v="Sunday"/>
    <x v="2"/>
    <n v="8"/>
    <n v="6"/>
    <n v="71"/>
    <n v="11"/>
    <n v="0.88157894736842102"/>
    <x v="0"/>
    <n v="-0.9"/>
    <s v=""/>
    <s v="OK"/>
    <s v="No"/>
  </r>
  <r>
    <n v="41"/>
    <s v="Merge 1+2"/>
    <n v="41"/>
    <n v="41"/>
    <n v="0"/>
    <x v="1"/>
    <n v="1"/>
    <n v="0"/>
    <n v="1"/>
    <x v="17"/>
    <b v="0"/>
    <n v="0"/>
    <n v="1"/>
    <n v="0.34"/>
    <n v="0.33329999999999999"/>
    <n v="0.33329999999999999"/>
    <n v="0.56999999999999995"/>
    <n v="0.19400000000000001"/>
    <n v="7"/>
    <n v="58"/>
    <n v="65"/>
    <x v="0"/>
    <x v="0"/>
    <s v="Winter"/>
    <s v="Sunday"/>
    <x v="2"/>
    <n v="8"/>
    <n v="6"/>
    <n v="57"/>
    <n v="13"/>
    <n v="0.89230769230769236"/>
    <x v="0"/>
    <n v="-0.78"/>
    <s v=""/>
    <s v="OK"/>
    <s v="No"/>
  </r>
  <r>
    <n v="42"/>
    <s v="Merge 1+2"/>
    <n v="42"/>
    <n v="42"/>
    <n v="0"/>
    <x v="1"/>
    <n v="1"/>
    <n v="0"/>
    <n v="1"/>
    <x v="18"/>
    <b v="0"/>
    <n v="0"/>
    <n v="2"/>
    <n v="0.36"/>
    <n v="0.33329999999999999"/>
    <n v="0.33329999999999999"/>
    <n v="0.46"/>
    <n v="0.32840000000000003"/>
    <n v="10"/>
    <n v="43"/>
    <n v="53"/>
    <x v="0"/>
    <x v="1"/>
    <s v="Winter"/>
    <s v="Sunday"/>
    <x v="3"/>
    <n v="8.9"/>
    <n v="6"/>
    <n v="46"/>
    <n v="22"/>
    <n v="0.81132075471698117"/>
    <x v="0"/>
    <n v="-0.74"/>
    <s v=""/>
    <s v="OK"/>
    <s v="No"/>
  </r>
  <r>
    <n v="43"/>
    <s v="Merge 1+2"/>
    <n v="43"/>
    <n v="43"/>
    <n v="0"/>
    <x v="1"/>
    <n v="1"/>
    <n v="0"/>
    <n v="1"/>
    <x v="19"/>
    <b v="0"/>
    <n v="0"/>
    <n v="1"/>
    <n v="0.32"/>
    <n v="0.28789999999999999"/>
    <n v="0.28789999999999999"/>
    <n v="0.42"/>
    <n v="0.44779999999999998"/>
    <n v="1"/>
    <n v="29"/>
    <n v="30"/>
    <x v="0"/>
    <x v="0"/>
    <s v="Winter"/>
    <s v="Sunday"/>
    <x v="3"/>
    <n v="7"/>
    <n v="3"/>
    <n v="42"/>
    <n v="30"/>
    <n v="0.96666666666666667"/>
    <x v="0"/>
    <n v="-1.2"/>
    <s v=""/>
    <s v="OK"/>
    <s v="No"/>
  </r>
  <r>
    <n v="44"/>
    <s v="Merge 1+2"/>
    <n v="44"/>
    <n v="44"/>
    <n v="0"/>
    <x v="1"/>
    <n v="1"/>
    <n v="0"/>
    <n v="1"/>
    <x v="20"/>
    <b v="0"/>
    <n v="0"/>
    <n v="1"/>
    <n v="0.3"/>
    <s v=""/>
    <n v="0.29949999999999999"/>
    <n v="0.39"/>
    <n v="0.35820000000000002"/>
    <n v="5"/>
    <n v="17"/>
    <n v="22"/>
    <x v="0"/>
    <x v="0"/>
    <s v="Winter"/>
    <s v="Sunday"/>
    <x v="3"/>
    <n v="6.1"/>
    <n v="3.8"/>
    <n v="39"/>
    <n v="24"/>
    <n v="0.77272727272727271"/>
    <x v="0"/>
    <n v="-1.46"/>
    <s v=""/>
    <s v="OK"/>
    <s v="Yes"/>
  </r>
  <r>
    <n v="45"/>
    <s v="Merge 1+2"/>
    <n v="45"/>
    <n v="45"/>
    <n v="0"/>
    <x v="1"/>
    <n v="1"/>
    <n v="0"/>
    <n v="1"/>
    <x v="21"/>
    <b v="0"/>
    <n v="0"/>
    <n v="1"/>
    <n v="0.26"/>
    <n v="0.2273"/>
    <n v="0.2273"/>
    <n v="0.44"/>
    <n v="0.32840000000000003"/>
    <n v="11"/>
    <n v="20"/>
    <n v="31"/>
    <x v="0"/>
    <x v="0"/>
    <s v="Winter"/>
    <s v="Sunday"/>
    <x v="3"/>
    <n v="4.2"/>
    <n v="-1"/>
    <n v="44"/>
    <n v="22"/>
    <n v="0.64516129032258063"/>
    <x v="0"/>
    <n v="-0.46"/>
    <s v=""/>
    <s v="OK"/>
    <s v="No"/>
  </r>
  <r>
    <n v="46"/>
    <s v="Merge 1+2"/>
    <n v="46"/>
    <n v="46"/>
    <n v="0"/>
    <x v="1"/>
    <n v="1"/>
    <n v="0"/>
    <n v="1"/>
    <x v="22"/>
    <b v="0"/>
    <n v="0"/>
    <n v="1"/>
    <n v="0.24"/>
    <n v="0.21210000000000001"/>
    <n v="0.21210000000000001"/>
    <n v="0.44"/>
    <n v="0.29849999999999999"/>
    <n v="0"/>
    <n v="9"/>
    <n v="9"/>
    <x v="0"/>
    <x v="0"/>
    <s v="Winter"/>
    <s v="Sunday"/>
    <x v="3"/>
    <n v="3.3"/>
    <n v="-2"/>
    <n v="44"/>
    <n v="20"/>
    <n v="1"/>
    <x v="1"/>
    <n v="-1.5"/>
    <s v=""/>
    <s v="OK"/>
    <s v="No"/>
  </r>
  <r>
    <n v="47"/>
    <s v="Merge 1+2"/>
    <n v="47"/>
    <n v="47"/>
    <n v="0"/>
    <x v="1"/>
    <n v="1"/>
    <n v="0"/>
    <n v="1"/>
    <x v="23"/>
    <b v="0"/>
    <n v="0"/>
    <n v="1"/>
    <n v="0.22"/>
    <n v="0.2273"/>
    <n v="0.2273"/>
    <n v="0.47"/>
    <n v="0.16420000000000001"/>
    <n v="0"/>
    <n v="8"/>
    <n v="8"/>
    <x v="0"/>
    <x v="0"/>
    <s v="Winter"/>
    <s v="Sunday"/>
    <x v="3"/>
    <n v="2.2999999999999998"/>
    <n v="-1"/>
    <n v="47"/>
    <n v="11"/>
    <n v="1"/>
    <x v="1"/>
    <n v="-1.26"/>
    <s v=""/>
    <s v="OK"/>
    <s v="No"/>
  </r>
  <r>
    <n v="48"/>
    <s v="Merge 1+2"/>
    <n v="48"/>
    <n v="48"/>
    <n v="0"/>
    <x v="2"/>
    <n v="1"/>
    <n v="0"/>
    <n v="1"/>
    <x v="0"/>
    <b v="0"/>
    <n v="1"/>
    <n v="1"/>
    <n v="0.22"/>
    <n v="0.19700000000000001"/>
    <n v="0.19700000000000001"/>
    <n v="0.44"/>
    <n v="0.35820000000000002"/>
    <n v="0"/>
    <n v="5"/>
    <n v="5"/>
    <x v="1"/>
    <x v="0"/>
    <s v="Winter"/>
    <s v="Monday"/>
    <x v="0"/>
    <n v="2.2999999999999998"/>
    <n v="-3"/>
    <n v="44"/>
    <n v="24"/>
    <n v="1"/>
    <x v="1"/>
    <n v="-1.1299999999999999"/>
    <s v=""/>
    <s v="OK"/>
    <s v="No"/>
  </r>
  <r>
    <n v="49"/>
    <s v="Merge 1+2"/>
    <n v="49"/>
    <n v="49"/>
    <n v="0"/>
    <x v="2"/>
    <n v="1"/>
    <n v="0"/>
    <n v="1"/>
    <x v="1"/>
    <b v="0"/>
    <n v="1"/>
    <n v="1"/>
    <n v="0.2"/>
    <s v=""/>
    <n v="0.20760000000000001"/>
    <n v="0.44"/>
    <n v="0.41789999999999999"/>
    <n v="0"/>
    <n v="2"/>
    <n v="2"/>
    <x v="1"/>
    <x v="0"/>
    <s v="Winter"/>
    <s v="Monday"/>
    <x v="0"/>
    <n v="1.4"/>
    <n v="-2.2999999999999998"/>
    <n v="44"/>
    <n v="28"/>
    <n v="1"/>
    <x v="1"/>
    <n v="-1.35"/>
    <s v=""/>
    <s v="OK"/>
    <s v="Yes"/>
  </r>
  <r>
    <n v="50"/>
    <s v="Merge 1+2"/>
    <n v="50"/>
    <n v="50"/>
    <n v="0"/>
    <x v="2"/>
    <n v="1"/>
    <n v="0"/>
    <n v="1"/>
    <x v="4"/>
    <b v="0"/>
    <n v="1"/>
    <n v="1"/>
    <n v="0.16"/>
    <n v="0.13639999999999999"/>
    <n v="0.13639999999999999"/>
    <n v="0.47"/>
    <n v="0.3881"/>
    <n v="0"/>
    <n v="1"/>
    <n v="1"/>
    <x v="1"/>
    <x v="0"/>
    <s v="Winter"/>
    <s v="Monday"/>
    <x v="0"/>
    <n v="-0.5"/>
    <n v="-7"/>
    <n v="47"/>
    <n v="26"/>
    <n v="1"/>
    <x v="1"/>
    <n v="-0.81"/>
    <s v=""/>
    <s v="OK"/>
    <s v="No"/>
  </r>
  <r>
    <n v="51"/>
    <s v="Merge 1+2"/>
    <n v="51"/>
    <n v="51"/>
    <n v="0"/>
    <x v="2"/>
    <n v="1"/>
    <n v="0"/>
    <n v="1"/>
    <x v="5"/>
    <b v="0"/>
    <n v="1"/>
    <n v="1"/>
    <n v="0.16"/>
    <n v="0.13639999999999999"/>
    <n v="0.13639999999999999"/>
    <n v="0.47"/>
    <n v="0.28360000000000002"/>
    <n v="0"/>
    <n v="3"/>
    <n v="3"/>
    <x v="1"/>
    <x v="0"/>
    <s v="Winter"/>
    <s v="Monday"/>
    <x v="0"/>
    <n v="-0.5"/>
    <n v="-7"/>
    <n v="47"/>
    <n v="19"/>
    <n v="1"/>
    <x v="1"/>
    <n v="-0.82"/>
    <s v=""/>
    <s v="OK"/>
    <s v="No"/>
  </r>
  <r>
    <n v="52"/>
    <s v="Merge 1+2"/>
    <n v="52"/>
    <n v="52"/>
    <n v="0"/>
    <x v="2"/>
    <n v="1"/>
    <n v="0"/>
    <n v="1"/>
    <x v="6"/>
    <b v="0"/>
    <n v="1"/>
    <n v="1"/>
    <n v="0.14000000000000001"/>
    <n v="0.1061"/>
    <n v="0.1061"/>
    <n v="0.5"/>
    <n v="0.3881"/>
    <n v="0"/>
    <n v="30"/>
    <n v="30"/>
    <x v="1"/>
    <x v="0"/>
    <s v="Winter"/>
    <s v="Monday"/>
    <x v="1"/>
    <n v="-1.4"/>
    <n v="-9"/>
    <n v="50"/>
    <n v="26"/>
    <n v="1"/>
    <x v="0"/>
    <n v="0.21"/>
    <s v=""/>
    <s v="OK"/>
    <s v="No"/>
  </r>
  <r>
    <n v="53"/>
    <s v="Merge 1+2"/>
    <n v="53"/>
    <n v="53"/>
    <n v="0"/>
    <x v="2"/>
    <n v="1"/>
    <n v="0"/>
    <n v="1"/>
    <x v="7"/>
    <b v="0"/>
    <n v="1"/>
    <n v="1"/>
    <n v="0.14000000000000001"/>
    <n v="0.13639999999999999"/>
    <n v="0.13639999999999999"/>
    <n v="0.5"/>
    <n v="0.19400000000000001"/>
    <n v="1"/>
    <n v="63"/>
    <n v="64"/>
    <x v="1"/>
    <x v="0"/>
    <s v="Winter"/>
    <s v="Monday"/>
    <x v="1"/>
    <n v="-1.4"/>
    <n v="-7"/>
    <n v="50"/>
    <n v="13"/>
    <n v="0.984375"/>
    <x v="0"/>
    <n v="-0.85"/>
    <s v=""/>
    <s v="OK"/>
    <s v="No"/>
  </r>
  <r>
    <n v="54"/>
    <s v="Merge 1+2"/>
    <n v="54"/>
    <n v="54"/>
    <n v="0"/>
    <x v="2"/>
    <n v="1"/>
    <n v="0"/>
    <n v="1"/>
    <x v="8"/>
    <b v="0"/>
    <n v="1"/>
    <n v="1"/>
    <n v="0.14000000000000001"/>
    <n v="0.1212"/>
    <n v="0.1212"/>
    <n v="0.5"/>
    <n v="0.28360000000000002"/>
    <n v="1"/>
    <n v="153"/>
    <n v="154"/>
    <x v="1"/>
    <x v="0"/>
    <s v="Winter"/>
    <s v="Monday"/>
    <x v="1"/>
    <n v="-1.4"/>
    <n v="-8"/>
    <n v="50"/>
    <n v="19"/>
    <n v="0.99350649350649356"/>
    <x v="2"/>
    <n v="-0.89"/>
    <s v=""/>
    <s v="OK"/>
    <s v="No"/>
  </r>
  <r>
    <n v="55"/>
    <s v="Merge 1+2"/>
    <n v="55"/>
    <n v="55"/>
    <n v="0"/>
    <x v="2"/>
    <n v="1"/>
    <n v="0"/>
    <n v="1"/>
    <x v="9"/>
    <b v="0"/>
    <n v="1"/>
    <n v="1"/>
    <n v="0.16"/>
    <n v="0.13639999999999999"/>
    <n v="0.13639999999999999"/>
    <n v="0.43"/>
    <n v="0.3881"/>
    <n v="7"/>
    <n v="81"/>
    <n v="88"/>
    <x v="1"/>
    <x v="0"/>
    <s v="Winter"/>
    <s v="Monday"/>
    <x v="1"/>
    <n v="-0.5"/>
    <n v="-7"/>
    <n v="43"/>
    <n v="26"/>
    <n v="0.92045454545454541"/>
    <x v="2"/>
    <n v="-1.35"/>
    <s v=""/>
    <s v="OK"/>
    <s v="No"/>
  </r>
  <r>
    <n v="56"/>
    <s v="Merge 1+2"/>
    <n v="56"/>
    <n v="56"/>
    <n v="0"/>
    <x v="2"/>
    <n v="1"/>
    <n v="0"/>
    <n v="1"/>
    <x v="10"/>
    <b v="0"/>
    <n v="1"/>
    <n v="1"/>
    <n v="0.18"/>
    <n v="0.16669999999999999"/>
    <n v="0.16669999999999999"/>
    <n v="0.43"/>
    <n v="0.25369999999999998"/>
    <n v="11"/>
    <n v="33"/>
    <n v="44"/>
    <x v="1"/>
    <x v="0"/>
    <s v="Winter"/>
    <s v="Monday"/>
    <x v="1"/>
    <n v="0.5"/>
    <n v="-5"/>
    <n v="43"/>
    <n v="17"/>
    <n v="0.75"/>
    <x v="0"/>
    <n v="-0.47"/>
    <s v=""/>
    <s v="OK"/>
    <s v="No"/>
  </r>
  <r>
    <n v="57"/>
    <s v="Merge 1+2"/>
    <n v="57"/>
    <n v="57"/>
    <n v="0"/>
    <x v="2"/>
    <n v="1"/>
    <n v="0"/>
    <n v="1"/>
    <x v="11"/>
    <b v="0"/>
    <n v="1"/>
    <n v="1"/>
    <n v="0.2"/>
    <n v="0.18179999999999999"/>
    <n v="0.18179999999999999"/>
    <n v="0.4"/>
    <n v="0.32840000000000003"/>
    <n v="10"/>
    <n v="41"/>
    <n v="51"/>
    <x v="1"/>
    <x v="0"/>
    <s v="Winter"/>
    <s v="Monday"/>
    <x v="1"/>
    <n v="1.4"/>
    <n v="-4"/>
    <n v="40"/>
    <n v="22"/>
    <n v="0.80392156862745101"/>
    <x v="0"/>
    <n v="0.08"/>
    <s v=""/>
    <s v="OK"/>
    <s v="No"/>
  </r>
  <r>
    <n v="58"/>
    <s v="Merge 1+2"/>
    <n v="58"/>
    <n v="58"/>
    <n v="0"/>
    <x v="2"/>
    <n v="1"/>
    <n v="0"/>
    <n v="1"/>
    <x v="12"/>
    <b v="0"/>
    <n v="1"/>
    <n v="1"/>
    <n v="0.22"/>
    <n v="0.21210000000000001"/>
    <n v="0.21210000000000001"/>
    <n v="0.35"/>
    <n v="0.29849999999999999"/>
    <n v="13"/>
    <n v="48"/>
    <n v="61"/>
    <x v="1"/>
    <x v="0"/>
    <s v="Winter"/>
    <s v="Monday"/>
    <x v="2"/>
    <n v="2.2999999999999998"/>
    <n v="-2"/>
    <n v="35"/>
    <n v="20"/>
    <n v="0.78688524590163933"/>
    <x v="0"/>
    <n v="-0.16"/>
    <s v=""/>
    <s v="OK"/>
    <s v="No"/>
  </r>
  <r>
    <n v="59"/>
    <s v="Merge 1+2"/>
    <n v="59"/>
    <n v="59"/>
    <n v="0"/>
    <x v="2"/>
    <n v="1"/>
    <n v="0"/>
    <n v="1"/>
    <x v="13"/>
    <b v="0"/>
    <n v="1"/>
    <n v="1"/>
    <n v="0.24"/>
    <s v=""/>
    <n v="0.24440000000000001"/>
    <n v="0.35"/>
    <n v="0.28360000000000002"/>
    <n v="8"/>
    <n v="53"/>
    <n v="61"/>
    <x v="1"/>
    <x v="0"/>
    <s v="Winter"/>
    <s v="Monday"/>
    <x v="2"/>
    <n v="3.3"/>
    <n v="0.1"/>
    <n v="35"/>
    <n v="19"/>
    <n v="0.86885245901639341"/>
    <x v="0"/>
    <n v="-0.26"/>
    <s v=""/>
    <s v="OK"/>
    <s v="Yes"/>
  </r>
  <r>
    <n v="60"/>
    <s v="Merge 1+2"/>
    <n v="60"/>
    <n v="60"/>
    <n v="0"/>
    <x v="2"/>
    <n v="1"/>
    <n v="0"/>
    <n v="1"/>
    <x v="14"/>
    <b v="0"/>
    <n v="1"/>
    <n v="1"/>
    <n v="0.26"/>
    <n v="0.2424"/>
    <n v="0.2424"/>
    <n v="0.3"/>
    <n v="0.28360000000000002"/>
    <n v="11"/>
    <n v="66"/>
    <n v="77"/>
    <x v="1"/>
    <x v="0"/>
    <s v="Winter"/>
    <s v="Monday"/>
    <x v="2"/>
    <n v="4.2"/>
    <n v="0"/>
    <n v="30"/>
    <n v="19"/>
    <n v="0.8571428571428571"/>
    <x v="0"/>
    <n v="1.0900000000000001"/>
    <s v=""/>
    <s v="OK"/>
    <s v="No"/>
  </r>
  <r>
    <n v="61"/>
    <s v="Merge 1+2"/>
    <n v="61"/>
    <n v="61"/>
    <n v="0"/>
    <x v="2"/>
    <n v="1"/>
    <n v="0"/>
    <n v="1"/>
    <x v="15"/>
    <b v="0"/>
    <n v="1"/>
    <n v="1"/>
    <n v="0.26"/>
    <n v="0.2424"/>
    <n v="0.2424"/>
    <n v="0.3"/>
    <n v="0.25369999999999998"/>
    <n v="14"/>
    <n v="58"/>
    <n v="72"/>
    <x v="1"/>
    <x v="0"/>
    <s v="Winter"/>
    <s v="Monday"/>
    <x v="2"/>
    <n v="4.2"/>
    <n v="0"/>
    <n v="30"/>
    <n v="17"/>
    <n v="0.80555555555555558"/>
    <x v="0"/>
    <n v="0.83"/>
    <s v=""/>
    <s v="OK"/>
    <s v="No"/>
  </r>
  <r>
    <n v="62"/>
    <s v="Merge 1+2"/>
    <n v="62"/>
    <n v="62"/>
    <n v="0"/>
    <x v="2"/>
    <n v="1"/>
    <n v="0"/>
    <n v="1"/>
    <x v="16"/>
    <b v="0"/>
    <n v="1"/>
    <n v="1"/>
    <n v="0.26"/>
    <n v="0.2424"/>
    <n v="0.2424"/>
    <n v="0.3"/>
    <n v="0.25369999999999998"/>
    <n v="9"/>
    <n v="67"/>
    <n v="76"/>
    <x v="1"/>
    <x v="0"/>
    <s v="Winter"/>
    <s v="Monday"/>
    <x v="2"/>
    <n v="4.2"/>
    <n v="0"/>
    <n v="30"/>
    <n v="17"/>
    <n v="0.88157894736842102"/>
    <x v="0"/>
    <n v="-0.32"/>
    <s v=""/>
    <s v="OK"/>
    <s v="No"/>
  </r>
  <r>
    <n v="63"/>
    <s v="Merge 1+2"/>
    <n v="63"/>
    <n v="63"/>
    <n v="0"/>
    <x v="2"/>
    <n v="1"/>
    <n v="0"/>
    <n v="1"/>
    <x v="17"/>
    <b v="0"/>
    <n v="1"/>
    <n v="1"/>
    <n v="0.24"/>
    <n v="0.2273"/>
    <n v="0.2273"/>
    <n v="0.3"/>
    <n v="0.22389999999999999"/>
    <n v="11"/>
    <n v="146"/>
    <n v="157"/>
    <x v="1"/>
    <x v="0"/>
    <s v="Winter"/>
    <s v="Monday"/>
    <x v="2"/>
    <n v="3.3"/>
    <n v="-1"/>
    <n v="30"/>
    <n v="15"/>
    <n v="0.92993630573248409"/>
    <x v="2"/>
    <n v="-0.28999999999999998"/>
    <s v=""/>
    <s v="OK"/>
    <s v="No"/>
  </r>
  <r>
    <n v="64"/>
    <s v="Merge 1+2"/>
    <n v="64"/>
    <n v="64"/>
    <n v="0"/>
    <x v="2"/>
    <n v="1"/>
    <n v="0"/>
    <n v="1"/>
    <x v="18"/>
    <b v="0"/>
    <n v="1"/>
    <n v="1"/>
    <n v="0.24"/>
    <n v="0.2576"/>
    <n v="0.2576"/>
    <n v="0.32"/>
    <n v="0.1045"/>
    <n v="9"/>
    <n v="148"/>
    <n v="157"/>
    <x v="1"/>
    <x v="0"/>
    <s v="Winter"/>
    <s v="Monday"/>
    <x v="3"/>
    <n v="3.3"/>
    <n v="1"/>
    <n v="32"/>
    <n v="7"/>
    <n v="0.9426751592356688"/>
    <x v="2"/>
    <n v="0.13"/>
    <s v=""/>
    <s v="OK"/>
    <s v="No"/>
  </r>
  <r>
    <n v="65"/>
    <s v="Merge 1+2"/>
    <n v="65"/>
    <n v="65"/>
    <n v="0"/>
    <x v="2"/>
    <n v="1"/>
    <n v="0"/>
    <n v="1"/>
    <x v="19"/>
    <b v="0"/>
    <n v="1"/>
    <n v="1"/>
    <n v="0.2"/>
    <n v="0.2576"/>
    <n v="0.2576"/>
    <n v="0.47"/>
    <n v="0"/>
    <n v="8"/>
    <n v="102"/>
    <n v="110"/>
    <x v="1"/>
    <x v="0"/>
    <s v="Winter"/>
    <s v="Monday"/>
    <x v="3"/>
    <n v="1.4"/>
    <n v="1"/>
    <n v="47"/>
    <n v="0"/>
    <n v="0.92727272727272725"/>
    <x v="2"/>
    <n v="0.32"/>
    <s v=""/>
    <s v="OK"/>
    <s v="No"/>
  </r>
  <r>
    <n v="66"/>
    <s v="Merge 1+2"/>
    <n v="66"/>
    <n v="66"/>
    <n v="0"/>
    <x v="2"/>
    <n v="1"/>
    <n v="0"/>
    <n v="1"/>
    <x v="20"/>
    <b v="0"/>
    <n v="1"/>
    <n v="1"/>
    <n v="0.2"/>
    <s v=""/>
    <n v="0.20760000000000001"/>
    <n v="0.47"/>
    <n v="0.1045"/>
    <n v="3"/>
    <n v="49"/>
    <n v="52"/>
    <x v="1"/>
    <x v="0"/>
    <s v="Winter"/>
    <s v="Monday"/>
    <x v="3"/>
    <n v="1.4"/>
    <n v="-2.2999999999999998"/>
    <n v="47"/>
    <n v="7"/>
    <n v="0.94230769230769229"/>
    <x v="0"/>
    <n v="-1.02"/>
    <s v=""/>
    <s v="OK"/>
    <s v="Yes"/>
  </r>
  <r>
    <n v="67"/>
    <s v="Merge 1+2"/>
    <n v="67"/>
    <n v="67"/>
    <n v="0"/>
    <x v="2"/>
    <n v="1"/>
    <n v="0"/>
    <n v="1"/>
    <x v="21"/>
    <b v="0"/>
    <n v="1"/>
    <n v="1"/>
    <n v="0.18"/>
    <n v="0.19700000000000001"/>
    <n v="0.19700000000000001"/>
    <n v="0.64"/>
    <n v="0.1343"/>
    <n v="3"/>
    <n v="49"/>
    <n v="52"/>
    <x v="1"/>
    <x v="0"/>
    <s v="Winter"/>
    <s v="Monday"/>
    <x v="3"/>
    <n v="0.5"/>
    <n v="-3"/>
    <n v="64"/>
    <n v="9"/>
    <n v="0.94230769230769229"/>
    <x v="0"/>
    <n v="0.02"/>
    <s v=""/>
    <s v="OK"/>
    <s v="No"/>
  </r>
  <r>
    <n v="68"/>
    <s v="Merge 1+2"/>
    <n v="68"/>
    <n v="68"/>
    <n v="0"/>
    <x v="2"/>
    <n v="1"/>
    <n v="0"/>
    <n v="1"/>
    <x v="22"/>
    <b v="0"/>
    <n v="1"/>
    <n v="1"/>
    <n v="0.14000000000000001"/>
    <n v="0.1515"/>
    <n v="0.1515"/>
    <n v="0.69"/>
    <n v="0.1343"/>
    <n v="0"/>
    <n v="20"/>
    <n v="20"/>
    <x v="1"/>
    <x v="0"/>
    <s v="Winter"/>
    <s v="Monday"/>
    <x v="3"/>
    <n v="-1.4"/>
    <n v="-6"/>
    <n v="69"/>
    <n v="9"/>
    <n v="1"/>
    <x v="0"/>
    <n v="-1.81"/>
    <s v=""/>
    <s v="OK"/>
    <s v="No"/>
  </r>
  <r>
    <n v="69"/>
    <s v="Merge 1+2"/>
    <n v="69"/>
    <n v="69"/>
    <n v="0"/>
    <x v="2"/>
    <n v="1"/>
    <n v="0"/>
    <n v="1"/>
    <x v="23"/>
    <b v="0"/>
    <n v="1"/>
    <n v="1"/>
    <n v="0.18"/>
    <n v="0.21210000000000001"/>
    <n v="0.21210000000000001"/>
    <n v="0.55000000000000004"/>
    <n v="0.1045"/>
    <n v="1"/>
    <n v="11"/>
    <n v="12"/>
    <x v="1"/>
    <x v="0"/>
    <s v="Winter"/>
    <s v="Monday"/>
    <x v="3"/>
    <n v="0.5"/>
    <n v="-2"/>
    <n v="55"/>
    <n v="7"/>
    <n v="0.91666666666666663"/>
    <x v="1"/>
    <n v="-1.25"/>
    <s v=""/>
    <s v="OK"/>
    <s v="No"/>
  </r>
  <r>
    <n v="70"/>
    <s v="Merge 1+2"/>
    <n v="70"/>
    <n v="70"/>
    <n v="0"/>
    <x v="3"/>
    <n v="1"/>
    <n v="0"/>
    <n v="1"/>
    <x v="0"/>
    <b v="0"/>
    <n v="2"/>
    <n v="1"/>
    <n v="0.16"/>
    <s v=""/>
    <n v="0.1709"/>
    <n v="0.55000000000000004"/>
    <n v="0.1045"/>
    <n v="0"/>
    <n v="5"/>
    <n v="5"/>
    <x v="1"/>
    <x v="0"/>
    <s v="Winter"/>
    <s v="Tuesday"/>
    <x v="0"/>
    <n v="-0.5"/>
    <n v="-4.7"/>
    <n v="55"/>
    <n v="7"/>
    <n v="1"/>
    <x v="1"/>
    <n v="-1.1299999999999999"/>
    <s v=""/>
    <s v="OK"/>
    <s v="Yes"/>
  </r>
  <r>
    <n v="71"/>
    <s v="Merge 1+2"/>
    <n v="71"/>
    <n v="71"/>
    <n v="0"/>
    <x v="3"/>
    <n v="1"/>
    <n v="0"/>
    <n v="1"/>
    <x v="1"/>
    <b v="0"/>
    <n v="2"/>
    <n v="1"/>
    <n v="0.16"/>
    <n v="0.18179999999999999"/>
    <n v="0.18179999999999999"/>
    <n v="0.59"/>
    <n v="0.1045"/>
    <n v="0"/>
    <n v="2"/>
    <n v="2"/>
    <x v="1"/>
    <x v="0"/>
    <s v="Winter"/>
    <s v="Tuesday"/>
    <x v="0"/>
    <n v="-0.5"/>
    <n v="-4"/>
    <n v="59"/>
    <n v="7"/>
    <n v="1"/>
    <x v="1"/>
    <n v="-1.35"/>
    <s v=""/>
    <s v="OK"/>
    <s v="No"/>
  </r>
  <r>
    <n v="72"/>
    <s v="Merge 1+2"/>
    <n v="72"/>
    <n v="72"/>
    <n v="0"/>
    <x v="3"/>
    <n v="1"/>
    <n v="0"/>
    <n v="1"/>
    <x v="2"/>
    <b v="0"/>
    <n v="2"/>
    <n v="1"/>
    <n v="0.14000000000000001"/>
    <n v="0.1515"/>
    <n v="0.1515"/>
    <n v="0.63"/>
    <n v="0.1343"/>
    <n v="0"/>
    <n v="1"/>
    <n v="1"/>
    <x v="1"/>
    <x v="0"/>
    <s v="Winter"/>
    <s v="Tuesday"/>
    <x v="0"/>
    <n v="-1.4"/>
    <n v="-6"/>
    <n v="63"/>
    <n v="9"/>
    <n v="1"/>
    <x v="1"/>
    <n v="-0.81"/>
    <s v=""/>
    <s v="OK"/>
    <s v="No"/>
  </r>
  <r>
    <n v="73"/>
    <s v="Merge 1+2"/>
    <n v="73"/>
    <n v="73"/>
    <n v="0"/>
    <x v="3"/>
    <n v="1"/>
    <n v="0"/>
    <n v="1"/>
    <x v="4"/>
    <b v="0"/>
    <n v="2"/>
    <n v="1"/>
    <n v="0.14000000000000001"/>
    <n v="0.18179999999999999"/>
    <n v="0.18179999999999999"/>
    <n v="0.63"/>
    <n v="8.9599999999999999E-2"/>
    <n v="0"/>
    <n v="2"/>
    <n v="2"/>
    <x v="1"/>
    <x v="0"/>
    <s v="Winter"/>
    <s v="Tuesday"/>
    <x v="0"/>
    <n v="-1.4"/>
    <n v="-4"/>
    <n v="63"/>
    <n v="6"/>
    <n v="1"/>
    <x v="1"/>
    <n v="0.31"/>
    <s v=""/>
    <s v="OK"/>
    <s v="No"/>
  </r>
  <r>
    <n v="74"/>
    <s v="Merge 1+2"/>
    <n v="74"/>
    <n v="74"/>
    <n v="0"/>
    <x v="3"/>
    <n v="1"/>
    <n v="0"/>
    <n v="1"/>
    <x v="5"/>
    <b v="0"/>
    <n v="2"/>
    <n v="1"/>
    <n v="0.12"/>
    <n v="0.1515"/>
    <n v="0.1515"/>
    <n v="0.68"/>
    <n v="0.1045"/>
    <n v="0"/>
    <n v="4"/>
    <n v="4"/>
    <x v="1"/>
    <x v="0"/>
    <s v="Winter"/>
    <s v="Tuesday"/>
    <x v="0"/>
    <n v="-2.4"/>
    <n v="-6"/>
    <n v="68"/>
    <n v="7"/>
    <n v="1"/>
    <x v="1"/>
    <n v="-0.38"/>
    <s v=""/>
    <s v="OK"/>
    <s v="No"/>
  </r>
  <r>
    <n v="75"/>
    <s v="Merge 1+2"/>
    <n v="75"/>
    <n v="75"/>
    <n v="0"/>
    <x v="3"/>
    <n v="1"/>
    <n v="0"/>
    <n v="1"/>
    <x v="6"/>
    <b v="0"/>
    <n v="2"/>
    <n v="1"/>
    <n v="0.12"/>
    <n v="0.1515"/>
    <n v="0.1515"/>
    <n v="0.74"/>
    <n v="0.1045"/>
    <n v="0"/>
    <n v="36"/>
    <n v="36"/>
    <x v="1"/>
    <x v="0"/>
    <s v="Winter"/>
    <s v="Tuesday"/>
    <x v="1"/>
    <n v="-2.4"/>
    <n v="-6"/>
    <n v="74"/>
    <n v="7"/>
    <n v="1"/>
    <x v="0"/>
    <n v="0.9"/>
    <s v=""/>
    <s v="OK"/>
    <s v="No"/>
  </r>
  <r>
    <n v="76"/>
    <s v="Merge 1+2"/>
    <n v="76"/>
    <n v="76"/>
    <n v="0"/>
    <x v="3"/>
    <n v="1"/>
    <n v="0"/>
    <n v="1"/>
    <x v="7"/>
    <b v="0"/>
    <n v="2"/>
    <n v="1"/>
    <n v="0.12"/>
    <n v="0.1515"/>
    <n v="0.1515"/>
    <n v="0.74"/>
    <n v="0.1343"/>
    <n v="2"/>
    <n v="92"/>
    <n v="94"/>
    <x v="1"/>
    <x v="0"/>
    <s v="Winter"/>
    <s v="Tuesday"/>
    <x v="1"/>
    <n v="-2.4"/>
    <n v="-6"/>
    <n v="74"/>
    <n v="9"/>
    <n v="0.97872340425531912"/>
    <x v="2"/>
    <n v="0.71"/>
    <s v=""/>
    <s v="OK"/>
    <s v="No"/>
  </r>
  <r>
    <n v="77"/>
    <s v="Merge 1+2"/>
    <n v="77"/>
    <n v="77"/>
    <n v="0"/>
    <x v="3"/>
    <n v="1"/>
    <n v="0"/>
    <n v="1"/>
    <x v="8"/>
    <b v="0"/>
    <n v="2"/>
    <n v="1"/>
    <n v="0.14000000000000001"/>
    <n v="0.1515"/>
    <n v="0.1515"/>
    <n v="0.69"/>
    <n v="0.16420000000000001"/>
    <n v="2"/>
    <n v="177"/>
    <n v="179"/>
    <x v="1"/>
    <x v="0"/>
    <s v="Winter"/>
    <s v="Tuesday"/>
    <x v="1"/>
    <n v="-1.4"/>
    <n v="-6"/>
    <n v="69"/>
    <n v="11"/>
    <n v="0.98882681564245811"/>
    <x v="2"/>
    <n v="-0.26"/>
    <s v=""/>
    <s v="OK"/>
    <s v="No"/>
  </r>
  <r>
    <n v="78"/>
    <s v="Merge 1+2"/>
    <n v="78"/>
    <n v="78"/>
    <n v="0"/>
    <x v="3"/>
    <n v="1"/>
    <n v="0"/>
    <n v="1"/>
    <x v="9"/>
    <b v="0"/>
    <n v="2"/>
    <n v="1"/>
    <n v="0.16"/>
    <n v="0.1515"/>
    <n v="0.1515"/>
    <n v="0.64"/>
    <n v="0.22389999999999999"/>
    <n v="2"/>
    <n v="98"/>
    <n v="100"/>
    <x v="1"/>
    <x v="0"/>
    <s v="Winter"/>
    <s v="Tuesday"/>
    <x v="1"/>
    <n v="-0.5"/>
    <n v="-6"/>
    <n v="64"/>
    <n v="15"/>
    <n v="0.98"/>
    <x v="2"/>
    <n v="-0.81"/>
    <s v=""/>
    <s v="OK"/>
    <s v="No"/>
  </r>
  <r>
    <n v="79"/>
    <s v="Merge 1+2"/>
    <n v="79"/>
    <n v="79"/>
    <n v="0"/>
    <x v="3"/>
    <n v="1"/>
    <n v="0"/>
    <n v="1"/>
    <x v="10"/>
    <b v="0"/>
    <n v="2"/>
    <n v="2"/>
    <n v="0.16"/>
    <n v="0.13639999999999999"/>
    <n v="0.13639999999999999"/>
    <n v="0.69"/>
    <n v="0.32840000000000003"/>
    <n v="5"/>
    <n v="37"/>
    <n v="42"/>
    <x v="1"/>
    <x v="1"/>
    <s v="Winter"/>
    <s v="Tuesday"/>
    <x v="1"/>
    <n v="-0.5"/>
    <n v="-7"/>
    <n v="69"/>
    <n v="22"/>
    <n v="0.88095238095238093"/>
    <x v="0"/>
    <n v="-0.67"/>
    <s v=""/>
    <s v="OK"/>
    <s v="No"/>
  </r>
  <r>
    <n v="80"/>
    <s v="Merge 1+2"/>
    <n v="80"/>
    <n v="80"/>
    <n v="0"/>
    <x v="3"/>
    <n v="1"/>
    <n v="0"/>
    <n v="1"/>
    <x v="11"/>
    <b v="0"/>
    <n v="2"/>
    <n v="1"/>
    <n v="0.22"/>
    <n v="0.21210000000000001"/>
    <n v="0.21210000000000001"/>
    <n v="0.51"/>
    <n v="0.29849999999999999"/>
    <n v="7"/>
    <n v="50"/>
    <n v="57"/>
    <x v="1"/>
    <x v="0"/>
    <s v="Winter"/>
    <s v="Tuesday"/>
    <x v="1"/>
    <n v="2.2999999999999998"/>
    <n v="-2"/>
    <n v="51"/>
    <n v="20"/>
    <n v="0.8771929824561403"/>
    <x v="0"/>
    <n v="0.62"/>
    <s v=""/>
    <s v="OK"/>
    <s v="No"/>
  </r>
  <r>
    <n v="81"/>
    <s v="Merge 1+2"/>
    <n v="81"/>
    <n v="81"/>
    <n v="0"/>
    <x v="3"/>
    <n v="1"/>
    <n v="0"/>
    <n v="1"/>
    <x v="12"/>
    <b v="0"/>
    <n v="2"/>
    <n v="1"/>
    <n v="0.22"/>
    <n v="0.2273"/>
    <n v="0.2273"/>
    <n v="0.51"/>
    <n v="0.16420000000000001"/>
    <n v="12"/>
    <n v="66"/>
    <n v="78"/>
    <x v="1"/>
    <x v="0"/>
    <s v="Winter"/>
    <s v="Tuesday"/>
    <x v="2"/>
    <n v="2.2999999999999998"/>
    <n v="-1"/>
    <n v="51"/>
    <n v="11"/>
    <n v="0.84615384615384615"/>
    <x v="0"/>
    <n v="0.74"/>
    <s v=""/>
    <s v="OK"/>
    <s v="No"/>
  </r>
  <r>
    <n v="82"/>
    <s v="Merge 1+2"/>
    <n v="82"/>
    <n v="82"/>
    <n v="0"/>
    <x v="3"/>
    <n v="1"/>
    <n v="0"/>
    <n v="1"/>
    <x v="13"/>
    <b v="0"/>
    <n v="2"/>
    <n v="1"/>
    <n v="0.24"/>
    <n v="0.2273"/>
    <n v="0.2273"/>
    <n v="0.56000000000000005"/>
    <n v="0.19400000000000001"/>
    <n v="18"/>
    <n v="79"/>
    <n v="97"/>
    <x v="1"/>
    <x v="0"/>
    <s v="Winter"/>
    <s v="Tuesday"/>
    <x v="2"/>
    <n v="3.3"/>
    <n v="-1"/>
    <n v="56"/>
    <n v="13"/>
    <n v="0.81443298969072164"/>
    <x v="2"/>
    <n v="1.54"/>
    <s v=""/>
    <s v="OK"/>
    <s v="No"/>
  </r>
  <r>
    <n v="83"/>
    <s v="Merge 1+2"/>
    <n v="83"/>
    <n v="83"/>
    <n v="0"/>
    <x v="3"/>
    <n v="1"/>
    <n v="0"/>
    <n v="1"/>
    <x v="14"/>
    <b v="0"/>
    <n v="2"/>
    <n v="1"/>
    <n v="0.26"/>
    <n v="0.2576"/>
    <n v="0.2576"/>
    <n v="0.52"/>
    <n v="0.22389999999999999"/>
    <n v="9"/>
    <n v="54"/>
    <n v="63"/>
    <x v="1"/>
    <x v="0"/>
    <s v="Winter"/>
    <s v="Tuesday"/>
    <x v="2"/>
    <n v="4.2"/>
    <n v="1"/>
    <n v="52"/>
    <n v="15"/>
    <n v="0.8571428571428571"/>
    <x v="0"/>
    <n v="0.21"/>
    <s v=""/>
    <s v="OK"/>
    <s v="No"/>
  </r>
  <r>
    <n v="84"/>
    <s v="Merge 1+2"/>
    <n v="84"/>
    <n v="84"/>
    <n v="0"/>
    <x v="3"/>
    <n v="1"/>
    <n v="0"/>
    <n v="1"/>
    <x v="15"/>
    <b v="0"/>
    <n v="2"/>
    <n v="1"/>
    <n v="0.28000000000000003"/>
    <n v="0.2727"/>
    <n v="0.2727"/>
    <n v="0.52"/>
    <n v="0.25369999999999998"/>
    <n v="17"/>
    <n v="48"/>
    <n v="65"/>
    <x v="1"/>
    <x v="0"/>
    <s v="Winter"/>
    <s v="Tuesday"/>
    <x v="2"/>
    <n v="5.2"/>
    <n v="2"/>
    <n v="52"/>
    <n v="17"/>
    <n v="0.7384615384615385"/>
    <x v="0"/>
    <n v="0.33"/>
    <s v=""/>
    <s v="OK"/>
    <s v="No"/>
  </r>
  <r>
    <n v="85"/>
    <s v="Merge 1+2"/>
    <n v="85"/>
    <n v="85"/>
    <n v="0"/>
    <x v="3"/>
    <n v="1"/>
    <n v="0"/>
    <n v="1"/>
    <x v="16"/>
    <b v="0"/>
    <n v="2"/>
    <n v="1"/>
    <n v="0.3"/>
    <n v="0.28789999999999999"/>
    <n v="0.28789999999999999"/>
    <n v="0.49"/>
    <n v="0.25369999999999998"/>
    <n v="15"/>
    <n v="68"/>
    <n v="83"/>
    <x v="1"/>
    <x v="0"/>
    <s v="Winter"/>
    <s v="Tuesday"/>
    <x v="2"/>
    <n v="6.1"/>
    <n v="3"/>
    <n v="49"/>
    <n v="17"/>
    <n v="0.81927710843373491"/>
    <x v="2"/>
    <n v="0.02"/>
    <s v=""/>
    <s v="OK"/>
    <s v="No"/>
  </r>
  <r>
    <n v="86"/>
    <s v="Merge 1+2"/>
    <n v="86"/>
    <n v="86"/>
    <n v="0"/>
    <x v="3"/>
    <n v="1"/>
    <n v="0"/>
    <n v="1"/>
    <x v="17"/>
    <b v="0"/>
    <n v="2"/>
    <n v="1"/>
    <n v="0.28000000000000003"/>
    <n v="0.2727"/>
    <n v="0.2727"/>
    <n v="0.48"/>
    <n v="0.22389999999999999"/>
    <n v="10"/>
    <n v="202"/>
    <n v="212"/>
    <x v="1"/>
    <x v="0"/>
    <s v="Winter"/>
    <s v="Tuesday"/>
    <x v="2"/>
    <n v="5.2"/>
    <n v="2"/>
    <n v="48"/>
    <n v="15"/>
    <n v="0.95283018867924529"/>
    <x v="2"/>
    <n v="1.05"/>
    <s v=""/>
    <s v="OK"/>
    <s v="No"/>
  </r>
  <r>
    <n v="87"/>
    <s v="Merge 1+2"/>
    <n v="87"/>
    <n v="87"/>
    <n v="0"/>
    <x v="3"/>
    <n v="1"/>
    <n v="0"/>
    <n v="1"/>
    <x v="18"/>
    <b v="0"/>
    <n v="2"/>
    <n v="1"/>
    <n v="0.26"/>
    <n v="0.2576"/>
    <n v="0.2576"/>
    <n v="0.48"/>
    <n v="0.19400000000000001"/>
    <n v="3"/>
    <n v="179"/>
    <n v="182"/>
    <x v="1"/>
    <x v="0"/>
    <s v="Winter"/>
    <s v="Tuesday"/>
    <x v="3"/>
    <n v="4.2"/>
    <n v="1"/>
    <n v="48"/>
    <n v="13"/>
    <n v="0.98351648351648346"/>
    <x v="2"/>
    <n v="1.04"/>
    <s v=""/>
    <s v="OK"/>
    <s v="No"/>
  </r>
  <r>
    <n v="88"/>
    <s v="Merge 1+2"/>
    <n v="88"/>
    <n v="88"/>
    <n v="0"/>
    <x v="3"/>
    <n v="1"/>
    <n v="0"/>
    <n v="1"/>
    <x v="19"/>
    <b v="0"/>
    <n v="2"/>
    <n v="1"/>
    <n v="0.24"/>
    <n v="0.2576"/>
    <n v="0.2576"/>
    <n v="0.48"/>
    <n v="0.1045"/>
    <n v="2"/>
    <n v="110"/>
    <n v="112"/>
    <x v="1"/>
    <x v="0"/>
    <s v="Winter"/>
    <s v="Tuesday"/>
    <x v="3"/>
    <n v="3.3"/>
    <n v="1"/>
    <n v="48"/>
    <n v="7"/>
    <n v="0.9821428571428571"/>
    <x v="2"/>
    <n v="0.42"/>
    <s v=""/>
    <s v="OK"/>
    <s v="No"/>
  </r>
  <r>
    <n v="89"/>
    <s v="Merge 1+2"/>
    <n v="89"/>
    <n v="89"/>
    <n v="0"/>
    <x v="3"/>
    <n v="1"/>
    <n v="0"/>
    <n v="1"/>
    <x v="20"/>
    <b v="0"/>
    <n v="2"/>
    <n v="1"/>
    <n v="0.24"/>
    <n v="0.2576"/>
    <n v="0.2576"/>
    <n v="0.48"/>
    <n v="0.1045"/>
    <n v="1"/>
    <n v="53"/>
    <n v="54"/>
    <x v="1"/>
    <x v="0"/>
    <s v="Winter"/>
    <s v="Tuesday"/>
    <x v="3"/>
    <n v="3.3"/>
    <n v="1"/>
    <n v="48"/>
    <n v="7"/>
    <n v="0.98148148148148151"/>
    <x v="0"/>
    <n v="-0.93"/>
    <s v=""/>
    <s v="OK"/>
    <s v="No"/>
  </r>
  <r>
    <n v="90"/>
    <s v="Merge 1+2"/>
    <n v="90"/>
    <n v="90"/>
    <n v="0"/>
    <x v="3"/>
    <n v="1"/>
    <n v="0"/>
    <n v="1"/>
    <x v="21"/>
    <b v="0"/>
    <n v="2"/>
    <n v="1"/>
    <n v="0.22"/>
    <n v="0.2727"/>
    <n v="0.2727"/>
    <n v="0.64"/>
    <n v="0"/>
    <n v="0"/>
    <n v="48"/>
    <n v="48"/>
    <x v="1"/>
    <x v="0"/>
    <s v="Winter"/>
    <s v="Tuesday"/>
    <x v="3"/>
    <n v="2.2999999999999998"/>
    <n v="2"/>
    <n v="64"/>
    <n v="0"/>
    <n v="1"/>
    <x v="0"/>
    <n v="-0.28000000000000003"/>
    <s v=""/>
    <s v="OK"/>
    <s v="No"/>
  </r>
  <r>
    <n v="91"/>
    <s v="Merge 1+2"/>
    <n v="91"/>
    <n v="91"/>
    <n v="0"/>
    <x v="3"/>
    <n v="1"/>
    <n v="0"/>
    <n v="1"/>
    <x v="22"/>
    <b v="0"/>
    <n v="2"/>
    <n v="1"/>
    <n v="0.22"/>
    <n v="0.2576"/>
    <n v="0.2576"/>
    <n v="0.64"/>
    <n v="8.9599999999999999E-2"/>
    <n v="1"/>
    <n v="34"/>
    <n v="35"/>
    <x v="1"/>
    <x v="0"/>
    <s v="Winter"/>
    <s v="Tuesday"/>
    <x v="3"/>
    <n v="2.2999999999999998"/>
    <n v="1"/>
    <n v="64"/>
    <n v="6"/>
    <n v="0.97142857142857142"/>
    <x v="0"/>
    <n v="-0.3"/>
    <s v=""/>
    <s v="OK"/>
    <s v="No"/>
  </r>
  <r>
    <n v="92"/>
    <s v="Merge 1+2"/>
    <n v="92"/>
    <n v="92"/>
    <n v="0"/>
    <x v="3"/>
    <n v="1"/>
    <n v="0"/>
    <n v="1"/>
    <x v="23"/>
    <b v="0"/>
    <n v="2"/>
    <n v="1"/>
    <n v="0.2"/>
    <n v="0.2273"/>
    <n v="0.2273"/>
    <n v="0.69"/>
    <n v="8.9599999999999999E-2"/>
    <n v="2"/>
    <n v="9"/>
    <n v="11"/>
    <x v="1"/>
    <x v="0"/>
    <s v="Winter"/>
    <s v="Tuesday"/>
    <x v="3"/>
    <n v="1.4"/>
    <n v="-1"/>
    <n v="69"/>
    <n v="6"/>
    <n v="0.81818181818181823"/>
    <x v="1"/>
    <n v="-1.35"/>
    <s v=""/>
    <s v="OK"/>
    <s v="No"/>
  </r>
  <r>
    <n v="93"/>
    <s v="Merge 1+2"/>
    <n v="93"/>
    <n v="93"/>
    <n v="0"/>
    <x v="4"/>
    <n v="1"/>
    <n v="0"/>
    <n v="1"/>
    <x v="0"/>
    <b v="0"/>
    <n v="3"/>
    <n v="1"/>
    <n v="0.2"/>
    <n v="0.2576"/>
    <n v="0.2576"/>
    <n v="0.64"/>
    <n v="0"/>
    <n v="0"/>
    <n v="6"/>
    <n v="6"/>
    <x v="1"/>
    <x v="0"/>
    <s v="Winter"/>
    <s v="Wednesday"/>
    <x v="0"/>
    <n v="1.4"/>
    <n v="1"/>
    <n v="64"/>
    <n v="0"/>
    <n v="1"/>
    <x v="1"/>
    <n v="-0.92"/>
    <s v=""/>
    <s v="OK"/>
    <s v="No"/>
  </r>
  <r>
    <n v="94"/>
    <s v="Merge 1+2"/>
    <n v="94"/>
    <n v="94"/>
    <n v="0"/>
    <x v="4"/>
    <n v="1"/>
    <n v="0"/>
    <n v="1"/>
    <x v="1"/>
    <b v="0"/>
    <n v="3"/>
    <n v="1"/>
    <n v="0.16"/>
    <n v="0.19700000000000001"/>
    <n v="0.19700000000000001"/>
    <n v="0.74"/>
    <n v="8.9599999999999999E-2"/>
    <n v="0"/>
    <n v="6"/>
    <n v="6"/>
    <x v="1"/>
    <x v="0"/>
    <s v="Winter"/>
    <s v="Wednesday"/>
    <x v="0"/>
    <n v="-0.5"/>
    <n v="-3"/>
    <n v="74"/>
    <n v="6"/>
    <n v="1"/>
    <x v="1"/>
    <n v="0.64"/>
    <s v=""/>
    <s v="OK"/>
    <s v="No"/>
  </r>
  <r>
    <n v="95"/>
    <s v="Merge 1+2"/>
    <n v="95"/>
    <n v="95"/>
    <n v="0"/>
    <x v="4"/>
    <n v="1"/>
    <n v="0"/>
    <n v="1"/>
    <x v="2"/>
    <b v="0"/>
    <n v="3"/>
    <n v="1"/>
    <n v="0.16"/>
    <n v="0.19700000000000001"/>
    <n v="0.19700000000000001"/>
    <n v="0.74"/>
    <n v="8.9599999999999999E-2"/>
    <n v="0"/>
    <n v="2"/>
    <n v="2"/>
    <x v="1"/>
    <x v="0"/>
    <s v="Winter"/>
    <s v="Wednesday"/>
    <x v="0"/>
    <n v="-0.5"/>
    <n v="-3"/>
    <n v="74"/>
    <n v="6"/>
    <n v="1"/>
    <x v="1"/>
    <n v="-0.24"/>
    <s v=""/>
    <s v="OK"/>
    <s v="No"/>
  </r>
  <r>
    <n v="96"/>
    <s v="Merge 1+2"/>
    <n v="96"/>
    <n v="96"/>
    <n v="0"/>
    <x v="4"/>
    <n v="1"/>
    <n v="0"/>
    <n v="1"/>
    <x v="4"/>
    <b v="0"/>
    <n v="3"/>
    <n v="1"/>
    <n v="0.24"/>
    <n v="0.2273"/>
    <n v="0.2273"/>
    <n v="0.48"/>
    <n v="0.22389999999999999"/>
    <n v="0"/>
    <n v="2"/>
    <n v="2"/>
    <x v="1"/>
    <x v="0"/>
    <s v="Winter"/>
    <s v="Wednesday"/>
    <x v="0"/>
    <n v="3.3"/>
    <n v="-1"/>
    <n v="48"/>
    <n v="15"/>
    <n v="1"/>
    <x v="1"/>
    <n v="0.31"/>
    <s v=""/>
    <s v="OK"/>
    <s v="No"/>
  </r>
  <r>
    <n v="97"/>
    <s v="Merge 1+2"/>
    <n v="97"/>
    <n v="97"/>
    <n v="0"/>
    <x v="4"/>
    <n v="1"/>
    <n v="0"/>
    <n v="1"/>
    <x v="5"/>
    <b v="0"/>
    <n v="3"/>
    <n v="1"/>
    <n v="0.22"/>
    <n v="0.2273"/>
    <n v="0.2273"/>
    <n v="0.47"/>
    <n v="0.16420000000000001"/>
    <n v="0"/>
    <n v="3"/>
    <n v="3"/>
    <x v="1"/>
    <x v="0"/>
    <s v="Winter"/>
    <s v="Wednesday"/>
    <x v="0"/>
    <n v="2.2999999999999998"/>
    <n v="-1"/>
    <n v="47"/>
    <n v="11"/>
    <n v="1"/>
    <x v="1"/>
    <n v="-0.82"/>
    <s v=""/>
    <s v="OK"/>
    <s v="No"/>
  </r>
  <r>
    <n v="98"/>
    <s v="Merge 1+2"/>
    <n v="98"/>
    <n v="98"/>
    <n v="0"/>
    <x v="4"/>
    <n v="1"/>
    <n v="0"/>
    <n v="1"/>
    <x v="6"/>
    <b v="0"/>
    <n v="3"/>
    <n v="1"/>
    <n v="0.2"/>
    <n v="0.19700000000000001"/>
    <n v="0.19700000000000001"/>
    <n v="0.47"/>
    <n v="0.22389999999999999"/>
    <n v="0"/>
    <n v="33"/>
    <n v="33"/>
    <x v="1"/>
    <x v="0"/>
    <s v="Winter"/>
    <s v="Wednesday"/>
    <x v="1"/>
    <n v="1.4"/>
    <n v="-3"/>
    <n v="47"/>
    <n v="15"/>
    <n v="1"/>
    <x v="0"/>
    <n v="0.56000000000000005"/>
    <s v=""/>
    <s v="OK"/>
    <s v="No"/>
  </r>
  <r>
    <n v="99"/>
    <s v="Merge 1+2"/>
    <n v="99"/>
    <n v="99"/>
    <n v="0"/>
    <x v="4"/>
    <n v="1"/>
    <n v="0"/>
    <n v="1"/>
    <x v="7"/>
    <b v="0"/>
    <n v="3"/>
    <n v="1"/>
    <n v="0.18"/>
    <n v="0.18179999999999999"/>
    <n v="0.18179999999999999"/>
    <n v="0.43"/>
    <n v="0.19400000000000001"/>
    <n v="1"/>
    <n v="87"/>
    <n v="88"/>
    <x v="1"/>
    <x v="0"/>
    <s v="Winter"/>
    <s v="Wednesday"/>
    <x v="1"/>
    <n v="0.5"/>
    <n v="-4"/>
    <n v="43"/>
    <n v="13"/>
    <n v="0.98863636363636365"/>
    <x v="2"/>
    <n v="0.4"/>
    <s v=""/>
    <s v="OK"/>
    <s v="No"/>
  </r>
  <r>
    <n v="100"/>
    <s v="Merge 1+2"/>
    <n v="100"/>
    <n v="100"/>
    <n v="0"/>
    <x v="4"/>
    <n v="1"/>
    <n v="0"/>
    <n v="1"/>
    <x v="8"/>
    <b v="0"/>
    <n v="3"/>
    <n v="1"/>
    <n v="0.2"/>
    <n v="0.18179999999999999"/>
    <n v="0.18179999999999999"/>
    <n v="0.4"/>
    <n v="0.29849999999999999"/>
    <n v="3"/>
    <n v="192"/>
    <n v="195"/>
    <x v="1"/>
    <x v="0"/>
    <s v="Winter"/>
    <s v="Wednesday"/>
    <x v="1"/>
    <n v="1.4"/>
    <n v="-4"/>
    <n v="40"/>
    <n v="20"/>
    <n v="0.98461538461538467"/>
    <x v="2"/>
    <n v="0.15"/>
    <s v=""/>
    <s v="OK"/>
    <s v="No"/>
  </r>
  <r>
    <n v="101"/>
    <s v="Merge 1+2"/>
    <n v="101"/>
    <n v="101"/>
    <n v="0"/>
    <x v="4"/>
    <n v="1"/>
    <n v="0"/>
    <n v="1"/>
    <x v="9"/>
    <b v="0"/>
    <n v="3"/>
    <n v="1"/>
    <n v="0.22"/>
    <n v="0.19700000000000001"/>
    <n v="0.19700000000000001"/>
    <n v="0.37"/>
    <n v="0.32840000000000003"/>
    <n v="6"/>
    <n v="109"/>
    <n v="115"/>
    <x v="1"/>
    <x v="0"/>
    <s v="Winter"/>
    <s v="Wednesday"/>
    <x v="1"/>
    <n v="2.2999999999999998"/>
    <n v="-3"/>
    <n v="37"/>
    <n v="22"/>
    <n v="0.94782608695652171"/>
    <x v="2"/>
    <n v="-0.14000000000000001"/>
    <s v=""/>
    <s v="OK"/>
    <s v="No"/>
  </r>
  <r>
    <n v="102"/>
    <s v="Merge 1+2"/>
    <n v="102"/>
    <n v="102"/>
    <n v="0"/>
    <x v="4"/>
    <n v="1"/>
    <n v="0"/>
    <n v="1"/>
    <x v="10"/>
    <b v="0"/>
    <n v="3"/>
    <n v="1"/>
    <n v="0.22"/>
    <n v="0.19700000000000001"/>
    <n v="0.19700000000000001"/>
    <n v="0.37"/>
    <n v="0.32840000000000003"/>
    <n v="4"/>
    <n v="53"/>
    <n v="57"/>
    <x v="1"/>
    <x v="0"/>
    <s v="Winter"/>
    <s v="Wednesday"/>
    <x v="1"/>
    <n v="2.2999999999999998"/>
    <n v="-3"/>
    <n v="37"/>
    <n v="22"/>
    <n v="0.92982456140350878"/>
    <x v="0"/>
    <n v="0.81"/>
    <s v=""/>
    <s v="OK"/>
    <s v="No"/>
  </r>
  <r>
    <n v="103"/>
    <s v="Merge 1+2"/>
    <n v="103"/>
    <n v="103"/>
    <n v="0"/>
    <x v="4"/>
    <n v="1"/>
    <n v="0"/>
    <n v="1"/>
    <x v="11"/>
    <b v="0"/>
    <n v="3"/>
    <n v="1"/>
    <n v="0.26"/>
    <n v="0.2273"/>
    <n v="0.2273"/>
    <n v="0.33"/>
    <n v="0.32840000000000003"/>
    <n v="12"/>
    <n v="34"/>
    <n v="46"/>
    <x v="1"/>
    <x v="0"/>
    <s v="Winter"/>
    <s v="Wednesday"/>
    <x v="1"/>
    <n v="4.2"/>
    <n v="-1"/>
    <n v="33"/>
    <n v="22"/>
    <n v="0.73913043478260865"/>
    <x v="0"/>
    <n v="-0.37"/>
    <s v=""/>
    <s v="OK"/>
    <s v="No"/>
  </r>
  <r>
    <n v="104"/>
    <s v="Merge 1+2"/>
    <n v="104"/>
    <n v="104"/>
    <n v="0"/>
    <x v="4"/>
    <n v="1"/>
    <n v="0"/>
    <n v="1"/>
    <x v="12"/>
    <b v="0"/>
    <n v="3"/>
    <n v="1"/>
    <n v="0.26"/>
    <n v="0.2273"/>
    <n v="0.2273"/>
    <n v="0.33"/>
    <n v="0.32840000000000003"/>
    <n v="5"/>
    <n v="74"/>
    <n v="79"/>
    <x v="1"/>
    <x v="0"/>
    <s v="Winter"/>
    <s v="Wednesday"/>
    <x v="2"/>
    <n v="4.2"/>
    <n v="-1"/>
    <n v="33"/>
    <n v="22"/>
    <n v="0.93670886075949367"/>
    <x v="0"/>
    <n v="0.79"/>
    <s v=""/>
    <s v="OK"/>
    <s v="No"/>
  </r>
  <r>
    <n v="105"/>
    <s v="Merge 1+2"/>
    <n v="105"/>
    <n v="105"/>
    <n v="0"/>
    <x v="4"/>
    <n v="1"/>
    <n v="0"/>
    <n v="1"/>
    <x v="13"/>
    <b v="0"/>
    <n v="3"/>
    <n v="1"/>
    <n v="0.28000000000000003"/>
    <n v="0.2576"/>
    <n v="0.2576"/>
    <n v="0.3"/>
    <n v="0.29849999999999999"/>
    <n v="6"/>
    <n v="65"/>
    <n v="71"/>
    <x v="1"/>
    <x v="0"/>
    <s v="Winter"/>
    <s v="Wednesday"/>
    <x v="2"/>
    <n v="5.2"/>
    <n v="1"/>
    <n v="30"/>
    <n v="20"/>
    <n v="0.91549295774647887"/>
    <x v="0"/>
    <n v="0.24"/>
    <s v=""/>
    <s v="OK"/>
    <s v="No"/>
  </r>
  <r>
    <n v="106"/>
    <s v="Merge 1+2"/>
    <n v="106"/>
    <n v="106"/>
    <n v="0"/>
    <x v="4"/>
    <n v="1"/>
    <n v="0"/>
    <n v="1"/>
    <x v="14"/>
    <b v="0"/>
    <n v="3"/>
    <n v="1"/>
    <n v="0.3"/>
    <n v="0.28789999999999999"/>
    <n v="0.28789999999999999"/>
    <n v="0.28000000000000003"/>
    <n v="0.19400000000000001"/>
    <n v="10"/>
    <n v="52"/>
    <n v="62"/>
    <x v="1"/>
    <x v="0"/>
    <s v="Winter"/>
    <s v="Wednesday"/>
    <x v="2"/>
    <n v="6.1"/>
    <n v="3"/>
    <n v="28"/>
    <n v="13"/>
    <n v="0.83870967741935487"/>
    <x v="0"/>
    <n v="0.15"/>
    <s v=""/>
    <s v="OK"/>
    <s v="No"/>
  </r>
  <r>
    <n v="107"/>
    <s v="Merge 1+2"/>
    <n v="107"/>
    <n v="107"/>
    <n v="0"/>
    <x v="4"/>
    <n v="1"/>
    <n v="0"/>
    <n v="1"/>
    <x v="15"/>
    <b v="0"/>
    <n v="3"/>
    <n v="1"/>
    <n v="0.3"/>
    <n v="0.28789999999999999"/>
    <n v="0.28789999999999999"/>
    <n v="0.28000000000000003"/>
    <n v="0.19400000000000001"/>
    <n v="7"/>
    <n v="55"/>
    <n v="62"/>
    <x v="1"/>
    <x v="0"/>
    <s v="Winter"/>
    <s v="Wednesday"/>
    <x v="2"/>
    <n v="6.1"/>
    <n v="3"/>
    <n v="28"/>
    <n v="13"/>
    <n v="0.88709677419354838"/>
    <x v="0"/>
    <n v="0.12"/>
    <s v=""/>
    <s v="OK"/>
    <s v="No"/>
  </r>
  <r>
    <n v="108"/>
    <s v="Merge 1+2"/>
    <n v="108"/>
    <n v="108"/>
    <n v="0"/>
    <x v="4"/>
    <n v="1"/>
    <n v="0"/>
    <n v="1"/>
    <x v="16"/>
    <b v="0"/>
    <n v="3"/>
    <n v="1"/>
    <n v="0.3"/>
    <n v="0.31819999999999998"/>
    <n v="0.31819999999999998"/>
    <n v="0.28000000000000003"/>
    <n v="8.9599999999999999E-2"/>
    <n v="4"/>
    <n v="85"/>
    <n v="89"/>
    <x v="1"/>
    <x v="0"/>
    <s v="Winter"/>
    <s v="Wednesday"/>
    <x v="2"/>
    <n v="6.1"/>
    <n v="5"/>
    <n v="28"/>
    <n v="6"/>
    <n v="0.9550561797752809"/>
    <x v="2"/>
    <n v="0.3"/>
    <s v=""/>
    <s v="OK"/>
    <s v="No"/>
  </r>
  <r>
    <n v="109"/>
    <s v="Merge 1+2"/>
    <n v="109"/>
    <n v="109"/>
    <n v="0"/>
    <x v="4"/>
    <n v="1"/>
    <n v="0"/>
    <n v="1"/>
    <x v="17"/>
    <b v="0"/>
    <n v="3"/>
    <n v="1"/>
    <n v="0.24"/>
    <n v="0.2273"/>
    <n v="0.2273"/>
    <n v="0.38"/>
    <n v="0.19400000000000001"/>
    <n v="4"/>
    <n v="186"/>
    <n v="190"/>
    <x v="1"/>
    <x v="0"/>
    <s v="Winter"/>
    <s v="Wednesday"/>
    <x v="2"/>
    <n v="3.3"/>
    <n v="-1"/>
    <n v="38"/>
    <n v="13"/>
    <n v="0.97894736842105268"/>
    <x v="2"/>
    <n v="0.52"/>
    <s v=""/>
    <s v="OK"/>
    <s v="No"/>
  </r>
  <r>
    <n v="110"/>
    <s v="Merge 1+2"/>
    <n v="110"/>
    <n v="110"/>
    <n v="0"/>
    <x v="4"/>
    <n v="1"/>
    <n v="0"/>
    <n v="1"/>
    <x v="18"/>
    <b v="0"/>
    <n v="3"/>
    <n v="1"/>
    <n v="0.24"/>
    <n v="0.2424"/>
    <n v="0.2424"/>
    <n v="0.38"/>
    <n v="0.1343"/>
    <n v="3"/>
    <n v="166"/>
    <n v="169"/>
    <x v="1"/>
    <x v="0"/>
    <s v="Winter"/>
    <s v="Wednesday"/>
    <x v="3"/>
    <n v="3.3"/>
    <n v="0"/>
    <n v="38"/>
    <n v="9"/>
    <n v="0.98224852071005919"/>
    <x v="2"/>
    <n v="0.56999999999999995"/>
    <s v=""/>
    <s v="OK"/>
    <s v="No"/>
  </r>
  <r>
    <n v="111"/>
    <s v="Merge 1+2"/>
    <n v="111"/>
    <n v="111"/>
    <n v="0"/>
    <x v="4"/>
    <n v="1"/>
    <n v="0"/>
    <n v="1"/>
    <x v="19"/>
    <b v="0"/>
    <n v="3"/>
    <n v="1"/>
    <n v="0.24"/>
    <n v="0.2576"/>
    <n v="0.2576"/>
    <n v="0.38"/>
    <n v="0.1045"/>
    <n v="5"/>
    <n v="127"/>
    <n v="132"/>
    <x v="1"/>
    <x v="0"/>
    <s v="Winter"/>
    <s v="Wednesday"/>
    <x v="3"/>
    <n v="3.3"/>
    <n v="1"/>
    <n v="38"/>
    <n v="7"/>
    <n v="0.96212121212121215"/>
    <x v="2"/>
    <n v="1.42"/>
    <s v=""/>
    <s v="OK"/>
    <s v="No"/>
  </r>
  <r>
    <n v="112"/>
    <s v="Merge 1+2"/>
    <n v="112"/>
    <n v="112"/>
    <n v="0"/>
    <x v="4"/>
    <n v="1"/>
    <n v="0"/>
    <n v="1"/>
    <x v="20"/>
    <b v="0"/>
    <n v="3"/>
    <n v="1"/>
    <n v="0.22"/>
    <n v="0.2273"/>
    <n v="0.2273"/>
    <n v="0.47"/>
    <n v="0.16420000000000001"/>
    <n v="7"/>
    <n v="82"/>
    <n v="89"/>
    <x v="1"/>
    <x v="0"/>
    <s v="Winter"/>
    <s v="Wednesday"/>
    <x v="3"/>
    <n v="2.2999999999999998"/>
    <n v="-1"/>
    <n v="47"/>
    <n v="11"/>
    <n v="0.9213483146067416"/>
    <x v="2"/>
    <n v="0.72"/>
    <s v=""/>
    <s v="OK"/>
    <s v="No"/>
  </r>
  <r>
    <n v="113"/>
    <s v="Merge 1+2"/>
    <n v="113"/>
    <n v="113"/>
    <n v="0"/>
    <x v="4"/>
    <n v="1"/>
    <n v="0"/>
    <n v="1"/>
    <x v="21"/>
    <b v="0"/>
    <n v="3"/>
    <n v="1"/>
    <n v="0.2"/>
    <n v="0.19700000000000001"/>
    <n v="0.19700000000000001"/>
    <n v="0.51"/>
    <n v="0.19400000000000001"/>
    <n v="3"/>
    <n v="40"/>
    <n v="43"/>
    <x v="1"/>
    <x v="0"/>
    <s v="Winter"/>
    <s v="Wednesday"/>
    <x v="3"/>
    <n v="1.4"/>
    <n v="-3"/>
    <n v="51"/>
    <n v="13"/>
    <n v="0.93023255813953487"/>
    <x v="0"/>
    <n v="-0.66"/>
    <s v=""/>
    <s v="OK"/>
    <s v="No"/>
  </r>
  <r>
    <n v="114"/>
    <s v="Merge 1+2"/>
    <n v="114"/>
    <n v="114"/>
    <n v="0"/>
    <x v="4"/>
    <n v="1"/>
    <n v="0"/>
    <n v="1"/>
    <x v="22"/>
    <b v="0"/>
    <n v="3"/>
    <n v="1"/>
    <n v="0.18"/>
    <n v="0.19700000000000001"/>
    <n v="0.19700000000000001"/>
    <n v="0.55000000000000004"/>
    <n v="0.1343"/>
    <n v="1"/>
    <n v="41"/>
    <n v="42"/>
    <x v="1"/>
    <x v="0"/>
    <s v="Winter"/>
    <s v="Wednesday"/>
    <x v="3"/>
    <n v="0.5"/>
    <n v="-3"/>
    <n v="55"/>
    <n v="9"/>
    <n v="0.97619047619047616"/>
    <x v="0"/>
    <n v="0.41"/>
    <s v=""/>
    <s v="OK"/>
    <s v="No"/>
  </r>
  <r>
    <n v="115"/>
    <s v="Merge 1+2"/>
    <n v="115"/>
    <n v="115"/>
    <n v="0"/>
    <x v="4"/>
    <n v="1"/>
    <n v="0"/>
    <n v="1"/>
    <x v="23"/>
    <b v="0"/>
    <n v="3"/>
    <n v="1"/>
    <n v="0.2"/>
    <n v="0.2576"/>
    <n v="0.2576"/>
    <n v="0.47"/>
    <n v="0"/>
    <n v="1"/>
    <n v="18"/>
    <n v="19"/>
    <x v="1"/>
    <x v="0"/>
    <s v="Winter"/>
    <s v="Wednesday"/>
    <x v="3"/>
    <n v="1.4"/>
    <n v="1"/>
    <n v="47"/>
    <n v="0"/>
    <n v="0.94736842105263153"/>
    <x v="0"/>
    <n v="-0.54"/>
    <s v=""/>
    <s v="OK"/>
    <s v="No"/>
  </r>
  <r>
    <n v="116"/>
    <s v="Merge 1+2"/>
    <n v="116"/>
    <n v="116"/>
    <n v="0"/>
    <x v="5"/>
    <n v="1"/>
    <n v="0"/>
    <n v="1"/>
    <x v="0"/>
    <b v="0"/>
    <n v="4"/>
    <n v="1"/>
    <n v="0.18"/>
    <n v="0.2424"/>
    <n v="0.2424"/>
    <n v="0.55000000000000004"/>
    <n v="0"/>
    <n v="0"/>
    <n v="11"/>
    <n v="11"/>
    <x v="1"/>
    <x v="0"/>
    <s v="Winter"/>
    <s v="Thursday"/>
    <x v="0"/>
    <n v="0.5"/>
    <n v="0"/>
    <n v="55"/>
    <n v="0"/>
    <n v="1"/>
    <x v="1"/>
    <n v="0.11"/>
    <s v=""/>
    <s v="OK"/>
    <s v="No"/>
  </r>
  <r>
    <n v="117"/>
    <s v="Merge 1+2"/>
    <n v="117"/>
    <n v="117"/>
    <n v="0"/>
    <x v="5"/>
    <n v="1"/>
    <n v="0"/>
    <n v="1"/>
    <x v="1"/>
    <b v="0"/>
    <n v="4"/>
    <n v="1"/>
    <n v="0.16"/>
    <n v="0.2273"/>
    <n v="0.2273"/>
    <n v="0.64"/>
    <n v="0"/>
    <n v="0"/>
    <n v="4"/>
    <n v="4"/>
    <x v="1"/>
    <x v="0"/>
    <s v="Winter"/>
    <s v="Thursday"/>
    <x v="0"/>
    <n v="-0.5"/>
    <n v="-1"/>
    <n v="64"/>
    <n v="0"/>
    <n v="1"/>
    <x v="1"/>
    <n v="-0.35"/>
    <s v=""/>
    <s v="OK"/>
    <s v="No"/>
  </r>
  <r>
    <n v="118"/>
    <s v="Merge 1+2"/>
    <n v="118"/>
    <n v="118"/>
    <n v="0"/>
    <x v="5"/>
    <n v="1"/>
    <n v="0"/>
    <n v="1"/>
    <x v="2"/>
    <b v="0"/>
    <n v="4"/>
    <n v="1"/>
    <n v="0.16"/>
    <n v="0.2273"/>
    <n v="0.2273"/>
    <n v="0.64"/>
    <n v="0"/>
    <n v="0"/>
    <n v="2"/>
    <n v="2"/>
    <x v="1"/>
    <x v="0"/>
    <s v="Winter"/>
    <s v="Thursday"/>
    <x v="0"/>
    <n v="-0.5"/>
    <n v="-1"/>
    <n v="64"/>
    <n v="0"/>
    <n v="1"/>
    <x v="1"/>
    <n v="-0.24"/>
    <s v=""/>
    <s v="OK"/>
    <s v="No"/>
  </r>
  <r>
    <n v="119"/>
    <s v="Merge 1+2"/>
    <n v="119"/>
    <n v="119"/>
    <n v="0"/>
    <x v="5"/>
    <n v="1"/>
    <n v="0"/>
    <n v="1"/>
    <x v="4"/>
    <b v="0"/>
    <n v="4"/>
    <n v="2"/>
    <n v="0.16"/>
    <n v="0.19700000000000001"/>
    <n v="0.19700000000000001"/>
    <n v="0.64"/>
    <n v="8.9599999999999999E-2"/>
    <n v="0"/>
    <n v="1"/>
    <n v="1"/>
    <x v="1"/>
    <x v="1"/>
    <s v="Winter"/>
    <s v="Thursday"/>
    <x v="0"/>
    <n v="-0.5"/>
    <n v="-3"/>
    <n v="64"/>
    <n v="6"/>
    <n v="1"/>
    <x v="1"/>
    <n v="-0.81"/>
    <s v=""/>
    <s v="OK"/>
    <s v="No"/>
  </r>
  <r>
    <n v="120"/>
    <s v="Merge 1+2"/>
    <n v="120"/>
    <n v="120"/>
    <n v="0"/>
    <x v="5"/>
    <n v="1"/>
    <n v="0"/>
    <n v="1"/>
    <x v="5"/>
    <b v="0"/>
    <n v="4"/>
    <n v="2"/>
    <n v="0.14000000000000001"/>
    <n v="0.18179999999999999"/>
    <n v="0.18179999999999999"/>
    <n v="0.69"/>
    <n v="8.9599999999999999E-2"/>
    <n v="0"/>
    <n v="4"/>
    <n v="4"/>
    <x v="1"/>
    <x v="1"/>
    <s v="Winter"/>
    <s v="Thursday"/>
    <x v="0"/>
    <n v="-1.4"/>
    <n v="-4"/>
    <n v="69"/>
    <n v="6"/>
    <n v="1"/>
    <x v="1"/>
    <n v="-0.38"/>
    <s v=""/>
    <s v="OK"/>
    <s v="No"/>
  </r>
  <r>
    <n v="121"/>
    <s v="Merge 1+2"/>
    <n v="121"/>
    <n v="121"/>
    <n v="0"/>
    <x v="5"/>
    <n v="1"/>
    <n v="0"/>
    <n v="1"/>
    <x v="6"/>
    <b v="0"/>
    <n v="4"/>
    <n v="2"/>
    <n v="0.14000000000000001"/>
    <n v="0.16669999999999999"/>
    <n v="0.16669999999999999"/>
    <n v="0.63"/>
    <n v="0.1045"/>
    <n v="0"/>
    <n v="36"/>
    <n v="36"/>
    <x v="1"/>
    <x v="1"/>
    <s v="Winter"/>
    <s v="Thursday"/>
    <x v="1"/>
    <n v="-1.4"/>
    <n v="-5"/>
    <n v="63"/>
    <n v="7"/>
    <n v="1"/>
    <x v="0"/>
    <n v="0.9"/>
    <s v=""/>
    <s v="OK"/>
    <s v="No"/>
  </r>
  <r>
    <n v="122"/>
    <s v="Merge 1+2"/>
    <n v="122"/>
    <n v="122"/>
    <n v="0"/>
    <x v="5"/>
    <n v="1"/>
    <n v="0"/>
    <n v="1"/>
    <x v="7"/>
    <b v="0"/>
    <n v="4"/>
    <n v="2"/>
    <n v="0.16"/>
    <n v="0.2273"/>
    <n v="0.2273"/>
    <n v="0.59"/>
    <n v="0"/>
    <n v="0"/>
    <n v="95"/>
    <n v="95"/>
    <x v="1"/>
    <x v="1"/>
    <s v="Winter"/>
    <s v="Thursday"/>
    <x v="1"/>
    <n v="-0.5"/>
    <n v="-1"/>
    <n v="59"/>
    <n v="0"/>
    <n v="1"/>
    <x v="2"/>
    <n v="0.76"/>
    <s v=""/>
    <s v="OK"/>
    <s v="No"/>
  </r>
  <r>
    <n v="123"/>
    <s v="Merge 1+2"/>
    <n v="123"/>
    <n v="123"/>
    <n v="0"/>
    <x v="5"/>
    <n v="1"/>
    <n v="0"/>
    <n v="1"/>
    <x v="8"/>
    <b v="0"/>
    <n v="4"/>
    <n v="1"/>
    <n v="0.16"/>
    <n v="0.2273"/>
    <n v="0.2273"/>
    <n v="0.59"/>
    <n v="0"/>
    <n v="3"/>
    <n v="216"/>
    <n v="219"/>
    <x v="1"/>
    <x v="0"/>
    <s v="Winter"/>
    <s v="Thursday"/>
    <x v="1"/>
    <n v="-0.5"/>
    <n v="-1"/>
    <n v="59"/>
    <n v="0"/>
    <n v="0.98630136986301364"/>
    <x v="2"/>
    <n v="0.76"/>
    <s v=""/>
    <s v="OK"/>
    <s v="No"/>
  </r>
  <r>
    <n v="124"/>
    <s v="Merge 1+2"/>
    <n v="124"/>
    <n v="124"/>
    <n v="0"/>
    <x v="5"/>
    <n v="1"/>
    <n v="0"/>
    <n v="1"/>
    <x v="9"/>
    <b v="0"/>
    <n v="4"/>
    <n v="2"/>
    <n v="0.18"/>
    <n v="0.2424"/>
    <n v="0.2424"/>
    <n v="0.51"/>
    <n v="0"/>
    <n v="6"/>
    <n v="116"/>
    <n v="122"/>
    <x v="1"/>
    <x v="1"/>
    <s v="Winter"/>
    <s v="Thursday"/>
    <x v="1"/>
    <n v="0.5"/>
    <n v="0"/>
    <n v="51"/>
    <n v="0"/>
    <n v="0.95081967213114749"/>
    <x v="2"/>
    <n v="0.17"/>
    <s v=""/>
    <s v="OK"/>
    <s v="No"/>
  </r>
  <r>
    <n v="125"/>
    <s v="Merge 1+2"/>
    <n v="125"/>
    <n v="125"/>
    <n v="0"/>
    <x v="5"/>
    <n v="1"/>
    <n v="0"/>
    <n v="1"/>
    <x v="10"/>
    <b v="0"/>
    <n v="4"/>
    <n v="1"/>
    <n v="0.2"/>
    <n v="0.2576"/>
    <n v="0.2576"/>
    <n v="0.47"/>
    <n v="0"/>
    <n v="3"/>
    <n v="42"/>
    <n v="45"/>
    <x v="1"/>
    <x v="0"/>
    <s v="Winter"/>
    <s v="Thursday"/>
    <x v="1"/>
    <n v="1.4"/>
    <n v="1"/>
    <n v="47"/>
    <n v="0"/>
    <n v="0.93333333333333335"/>
    <x v="0"/>
    <n v="-0.37"/>
    <s v=""/>
    <s v="OK"/>
    <s v="No"/>
  </r>
  <r>
    <n v="126"/>
    <s v="Merge 1+2"/>
    <n v="126"/>
    <n v="126"/>
    <n v="0"/>
    <x v="5"/>
    <n v="1"/>
    <n v="0"/>
    <n v="1"/>
    <x v="11"/>
    <b v="0"/>
    <n v="4"/>
    <n v="1"/>
    <n v="0.22"/>
    <n v="0.2576"/>
    <n v="0.2576"/>
    <n v="0.44"/>
    <n v="8.9599999999999999E-2"/>
    <n v="2"/>
    <n v="57"/>
    <n v="59"/>
    <x v="1"/>
    <x v="0"/>
    <s v="Winter"/>
    <s v="Thursday"/>
    <x v="1"/>
    <n v="2.2999999999999998"/>
    <n v="1"/>
    <n v="44"/>
    <n v="6"/>
    <n v="0.96610169491525422"/>
    <x v="0"/>
    <n v="0.8"/>
    <s v=""/>
    <s v="OK"/>
    <s v="No"/>
  </r>
  <r>
    <n v="127"/>
    <s v="Merge 1+2"/>
    <n v="127"/>
    <n v="127"/>
    <n v="0"/>
    <x v="5"/>
    <n v="1"/>
    <n v="0"/>
    <n v="1"/>
    <x v="12"/>
    <b v="0"/>
    <n v="4"/>
    <n v="1"/>
    <n v="0.26"/>
    <n v="0.28789999999999999"/>
    <n v="0.28789999999999999"/>
    <n v="0.35"/>
    <n v="0"/>
    <n v="6"/>
    <n v="78"/>
    <n v="84"/>
    <x v="1"/>
    <x v="0"/>
    <s v="Winter"/>
    <s v="Thursday"/>
    <x v="2"/>
    <n v="4.2"/>
    <n v="3"/>
    <n v="35"/>
    <n v="0"/>
    <n v="0.9285714285714286"/>
    <x v="2"/>
    <n v="1.06"/>
    <s v=""/>
    <s v="OK"/>
    <s v="No"/>
  </r>
  <r>
    <n v="128"/>
    <s v="Merge 1+2"/>
    <n v="128"/>
    <n v="128"/>
    <n v="0"/>
    <x v="5"/>
    <n v="1"/>
    <n v="0"/>
    <n v="1"/>
    <x v="13"/>
    <b v="0"/>
    <n v="4"/>
    <n v="1"/>
    <n v="0.26"/>
    <n v="0.2727"/>
    <n v="0.2727"/>
    <n v="0.35"/>
    <n v="0.1045"/>
    <n v="12"/>
    <n v="55"/>
    <n v="67"/>
    <x v="1"/>
    <x v="0"/>
    <s v="Winter"/>
    <s v="Thursday"/>
    <x v="2"/>
    <n v="4.2"/>
    <n v="2"/>
    <n v="35"/>
    <n v="7"/>
    <n v="0.82089552238805974"/>
    <x v="0"/>
    <n v="0.04"/>
    <s v=""/>
    <s v="OK"/>
    <s v="No"/>
  </r>
  <r>
    <n v="129"/>
    <s v="Merge 1+2"/>
    <n v="129"/>
    <n v="129"/>
    <n v="0"/>
    <x v="5"/>
    <n v="1"/>
    <n v="0"/>
    <n v="1"/>
    <x v="14"/>
    <b v="0"/>
    <n v="4"/>
    <n v="1"/>
    <n v="0.28000000000000003"/>
    <n v="0.2727"/>
    <n v="0.2727"/>
    <n v="0.36"/>
    <n v="0.16420000000000001"/>
    <n v="11"/>
    <n v="59"/>
    <n v="70"/>
    <x v="1"/>
    <x v="0"/>
    <s v="Winter"/>
    <s v="Thursday"/>
    <x v="2"/>
    <n v="5.2"/>
    <n v="2"/>
    <n v="36"/>
    <n v="11"/>
    <n v="0.84285714285714286"/>
    <x v="0"/>
    <n v="0.65"/>
    <s v=""/>
    <s v="OK"/>
    <s v="No"/>
  </r>
  <r>
    <n v="130"/>
    <s v="Merge 1+2"/>
    <n v="130"/>
    <n v="130"/>
    <n v="0"/>
    <x v="5"/>
    <n v="1"/>
    <n v="0"/>
    <n v="1"/>
    <x v="15"/>
    <b v="0"/>
    <n v="4"/>
    <n v="1"/>
    <n v="0.28000000000000003"/>
    <n v="0.2727"/>
    <n v="0.2727"/>
    <n v="0.36"/>
    <n v="0"/>
    <n v="8"/>
    <n v="54"/>
    <n v="62"/>
    <x v="1"/>
    <x v="0"/>
    <s v="Winter"/>
    <s v="Thursday"/>
    <x v="2"/>
    <n v="5.2"/>
    <n v="2"/>
    <n v="36"/>
    <n v="0"/>
    <n v="0.87096774193548387"/>
    <x v="0"/>
    <n v="0.12"/>
    <s v=""/>
    <s v="OK"/>
    <s v="No"/>
  </r>
  <r>
    <n v="131"/>
    <s v="Merge 1+2"/>
    <n v="131"/>
    <n v="131"/>
    <n v="0"/>
    <x v="5"/>
    <n v="1"/>
    <n v="0"/>
    <n v="1"/>
    <x v="16"/>
    <b v="0"/>
    <n v="4"/>
    <n v="1"/>
    <n v="0.26"/>
    <n v="0.2576"/>
    <n v="0.2576"/>
    <n v="0.38"/>
    <n v="0.16420000000000001"/>
    <n v="12"/>
    <n v="74"/>
    <n v="86"/>
    <x v="1"/>
    <x v="0"/>
    <s v="Winter"/>
    <s v="Thursday"/>
    <x v="2"/>
    <n v="4.2"/>
    <n v="1"/>
    <n v="38"/>
    <n v="11"/>
    <n v="0.86046511627906974"/>
    <x v="2"/>
    <n v="0.16"/>
    <s v=""/>
    <s v="OK"/>
    <s v="No"/>
  </r>
  <r>
    <n v="132"/>
    <s v="Merge 1+2"/>
    <n v="132"/>
    <n v="132"/>
    <n v="0"/>
    <x v="5"/>
    <n v="1"/>
    <n v="0"/>
    <n v="1"/>
    <x v="17"/>
    <b v="0"/>
    <n v="4"/>
    <n v="1"/>
    <n v="0.22"/>
    <n v="0.2273"/>
    <n v="0.2273"/>
    <n v="0.51"/>
    <n v="0.16420000000000001"/>
    <n v="9"/>
    <n v="163"/>
    <n v="172"/>
    <x v="1"/>
    <x v="0"/>
    <s v="Winter"/>
    <s v="Thursday"/>
    <x v="2"/>
    <n v="2.2999999999999998"/>
    <n v="-1"/>
    <n v="51"/>
    <n v="11"/>
    <n v="0.94767441860465118"/>
    <x v="2"/>
    <n v="0.08"/>
    <s v=""/>
    <s v="OK"/>
    <s v="No"/>
  </r>
  <r>
    <n v="133"/>
    <s v="Merge 1+2"/>
    <n v="133"/>
    <n v="133"/>
    <n v="0"/>
    <x v="5"/>
    <n v="1"/>
    <n v="0"/>
    <n v="1"/>
    <x v="18"/>
    <b v="0"/>
    <n v="4"/>
    <n v="1"/>
    <n v="0.22"/>
    <n v="0.2273"/>
    <n v="0.2273"/>
    <n v="0.51"/>
    <n v="0.1343"/>
    <n v="5"/>
    <n v="158"/>
    <n v="163"/>
    <x v="1"/>
    <x v="0"/>
    <s v="Winter"/>
    <s v="Thursday"/>
    <x v="3"/>
    <n v="2.2999999999999998"/>
    <n v="-1"/>
    <n v="51"/>
    <n v="9"/>
    <n v="0.96932515337423308"/>
    <x v="2"/>
    <n v="0.35"/>
    <s v=""/>
    <s v="OK"/>
    <s v="No"/>
  </r>
  <r>
    <n v="134"/>
    <s v="Merge 1+2"/>
    <n v="134"/>
    <n v="134"/>
    <n v="0"/>
    <x v="5"/>
    <n v="1"/>
    <n v="0"/>
    <n v="1"/>
    <x v="19"/>
    <b v="0"/>
    <n v="4"/>
    <n v="1"/>
    <n v="0.22"/>
    <n v="0.2576"/>
    <n v="0.2576"/>
    <n v="0.55000000000000004"/>
    <n v="8.9599999999999999E-2"/>
    <n v="3"/>
    <n v="109"/>
    <n v="112"/>
    <x v="1"/>
    <x v="0"/>
    <s v="Winter"/>
    <s v="Thursday"/>
    <x v="3"/>
    <n v="2.2999999999999998"/>
    <n v="1"/>
    <n v="55"/>
    <n v="6"/>
    <n v="0.9732142857142857"/>
    <x v="2"/>
    <n v="0.42"/>
    <s v=""/>
    <s v="OK"/>
    <s v="No"/>
  </r>
  <r>
    <n v="135"/>
    <s v="Merge 1+2"/>
    <n v="135"/>
    <n v="135"/>
    <n v="0"/>
    <x v="5"/>
    <n v="1"/>
    <n v="0"/>
    <n v="1"/>
    <x v="20"/>
    <b v="0"/>
    <n v="4"/>
    <n v="1"/>
    <n v="0.2"/>
    <n v="0.21210000000000001"/>
    <n v="0.21210000000000001"/>
    <n v="0.51"/>
    <n v="0.16420000000000001"/>
    <n v="3"/>
    <n v="66"/>
    <n v="69"/>
    <x v="1"/>
    <x v="0"/>
    <s v="Winter"/>
    <s v="Thursday"/>
    <x v="3"/>
    <n v="1.4"/>
    <n v="-2"/>
    <n v="51"/>
    <n v="11"/>
    <n v="0.95652173913043481"/>
    <x v="0"/>
    <n v="-0.22"/>
    <s v=""/>
    <s v="OK"/>
    <s v="No"/>
  </r>
  <r>
    <n v="136"/>
    <s v="Merge 1+2"/>
    <n v="136"/>
    <n v="136"/>
    <n v="0"/>
    <x v="5"/>
    <n v="1"/>
    <n v="0"/>
    <n v="1"/>
    <x v="21"/>
    <b v="0"/>
    <n v="4"/>
    <n v="2"/>
    <n v="0.22"/>
    <n v="0.21210000000000001"/>
    <n v="0.21210000000000001"/>
    <n v="0.55000000000000004"/>
    <n v="0.22389999999999999"/>
    <n v="0"/>
    <n v="48"/>
    <n v="48"/>
    <x v="1"/>
    <x v="1"/>
    <s v="Winter"/>
    <s v="Thursday"/>
    <x v="3"/>
    <n v="2.2999999999999998"/>
    <n v="-2"/>
    <n v="55"/>
    <n v="15"/>
    <n v="1"/>
    <x v="0"/>
    <n v="-0.28000000000000003"/>
    <s v=""/>
    <s v="OK"/>
    <s v="No"/>
  </r>
  <r>
    <n v="137"/>
    <s v="Merge 1+2"/>
    <n v="137"/>
    <n v="137"/>
    <n v="0"/>
    <x v="5"/>
    <n v="1"/>
    <n v="0"/>
    <n v="1"/>
    <x v="22"/>
    <b v="0"/>
    <n v="4"/>
    <n v="2"/>
    <n v="0.22"/>
    <n v="0.21210000000000001"/>
    <n v="0.21210000000000001"/>
    <n v="0.51"/>
    <n v="0.28360000000000002"/>
    <n v="1"/>
    <n v="51"/>
    <n v="52"/>
    <x v="1"/>
    <x v="1"/>
    <s v="Winter"/>
    <s v="Thursday"/>
    <x v="3"/>
    <n v="2.2999999999999998"/>
    <n v="-2"/>
    <n v="51"/>
    <n v="19"/>
    <n v="0.98076923076923073"/>
    <x v="0"/>
    <n v="1.41"/>
    <s v=""/>
    <s v="OK"/>
    <s v="No"/>
  </r>
  <r>
    <n v="138"/>
    <s v="Merge 1+2"/>
    <n v="138"/>
    <n v="138"/>
    <n v="0"/>
    <x v="5"/>
    <n v="1"/>
    <n v="0"/>
    <n v="1"/>
    <x v="23"/>
    <b v="0"/>
    <n v="4"/>
    <n v="2"/>
    <n v="0.2"/>
    <n v="0.19700000000000001"/>
    <n v="0.19700000000000001"/>
    <n v="0.59"/>
    <n v="0.19400000000000001"/>
    <n v="4"/>
    <n v="19"/>
    <n v="23"/>
    <x v="1"/>
    <x v="1"/>
    <s v="Winter"/>
    <s v="Thursday"/>
    <x v="3"/>
    <n v="1.4"/>
    <n v="-3"/>
    <n v="59"/>
    <n v="13"/>
    <n v="0.82608695652173914"/>
    <x v="0"/>
    <n v="-0.14000000000000001"/>
    <s v=""/>
    <s v="OK"/>
    <s v="No"/>
  </r>
  <r>
    <n v="139"/>
    <s v="Merge 1+2"/>
    <n v="139"/>
    <n v="139"/>
    <n v="0"/>
    <x v="6"/>
    <n v="1"/>
    <n v="0"/>
    <n v="1"/>
    <x v="0"/>
    <b v="0"/>
    <n v="5"/>
    <n v="2"/>
    <n v="0.2"/>
    <n v="0.19700000000000001"/>
    <n v="0.19700000000000001"/>
    <n v="0.64"/>
    <n v="0.19400000000000001"/>
    <n v="4"/>
    <n v="13"/>
    <n v="17"/>
    <x v="1"/>
    <x v="1"/>
    <s v="Winter"/>
    <s v="Friday"/>
    <x v="0"/>
    <n v="1.4"/>
    <n v="-3"/>
    <n v="64"/>
    <n v="13"/>
    <n v="0.76470588235294112"/>
    <x v="0"/>
    <n v="1.35"/>
    <s v=""/>
    <s v="OK"/>
    <s v="No"/>
  </r>
  <r>
    <n v="140"/>
    <s v="Merge 1+2"/>
    <n v="140"/>
    <n v="140"/>
    <n v="0"/>
    <x v="6"/>
    <n v="1"/>
    <n v="0"/>
    <n v="1"/>
    <x v="1"/>
    <b v="0"/>
    <n v="5"/>
    <n v="2"/>
    <n v="0.2"/>
    <n v="0.19700000000000001"/>
    <n v="0.19700000000000001"/>
    <n v="0.69"/>
    <n v="0.22389999999999999"/>
    <n v="2"/>
    <n v="5"/>
    <n v="7"/>
    <x v="1"/>
    <x v="1"/>
    <s v="Winter"/>
    <s v="Friday"/>
    <x v="0"/>
    <n v="1.4"/>
    <n v="-3"/>
    <n v="69"/>
    <n v="15"/>
    <n v="0.7142857142857143"/>
    <x v="1"/>
    <n v="1.1299999999999999"/>
    <s v=""/>
    <s v="OK"/>
    <s v="No"/>
  </r>
  <r>
    <n v="141"/>
    <s v="Merge 1+2"/>
    <n v="141"/>
    <n v="141"/>
    <n v="0"/>
    <x v="6"/>
    <n v="1"/>
    <n v="0"/>
    <n v="1"/>
    <x v="2"/>
    <b v="0"/>
    <n v="5"/>
    <n v="2"/>
    <n v="0.2"/>
    <n v="0.19700000000000001"/>
    <n v="0.19700000000000001"/>
    <n v="0.69"/>
    <n v="0.22389999999999999"/>
    <n v="0"/>
    <n v="1"/>
    <n v="1"/>
    <x v="1"/>
    <x v="1"/>
    <s v="Winter"/>
    <s v="Friday"/>
    <x v="0"/>
    <n v="1.4"/>
    <n v="-3"/>
    <n v="69"/>
    <n v="15"/>
    <n v="1"/>
    <x v="1"/>
    <n v="-0.81"/>
    <s v=""/>
    <s v="OK"/>
    <s v="No"/>
  </r>
  <r>
    <n v="142"/>
    <s v="Merge 1+2"/>
    <n v="142"/>
    <n v="142"/>
    <n v="0"/>
    <x v="6"/>
    <n v="1"/>
    <n v="0"/>
    <n v="1"/>
    <x v="4"/>
    <b v="0"/>
    <n v="5"/>
    <n v="2"/>
    <n v="0.2"/>
    <n v="0.21210000000000001"/>
    <n v="0.21210000000000001"/>
    <n v="0.69"/>
    <n v="0.1343"/>
    <n v="0"/>
    <n v="1"/>
    <n v="1"/>
    <x v="1"/>
    <x v="1"/>
    <s v="Winter"/>
    <s v="Friday"/>
    <x v="0"/>
    <n v="1.4"/>
    <n v="-2"/>
    <n v="69"/>
    <n v="9"/>
    <n v="1"/>
    <x v="1"/>
    <n v="-0.81"/>
    <s v=""/>
    <s v="OK"/>
    <s v="No"/>
  </r>
  <r>
    <n v="143"/>
    <s v="Merge 1+2"/>
    <n v="143"/>
    <n v="143"/>
    <n v="0"/>
    <x v="6"/>
    <n v="1"/>
    <n v="0"/>
    <n v="1"/>
    <x v="5"/>
    <b v="0"/>
    <n v="5"/>
    <n v="3"/>
    <n v="0.22"/>
    <n v="0.2727"/>
    <n v="0.2727"/>
    <n v="0.55000000000000004"/>
    <n v="0"/>
    <n v="0"/>
    <n v="5"/>
    <n v="5"/>
    <x v="1"/>
    <x v="2"/>
    <s v="Winter"/>
    <s v="Friday"/>
    <x v="0"/>
    <n v="2.2999999999999998"/>
    <n v="2"/>
    <n v="55"/>
    <n v="0"/>
    <n v="1"/>
    <x v="1"/>
    <n v="0.06"/>
    <s v=""/>
    <s v="OK"/>
    <s v="No"/>
  </r>
  <r>
    <n v="144"/>
    <s v="Merge 1+2"/>
    <n v="144"/>
    <n v="144"/>
    <n v="0"/>
    <x v="6"/>
    <n v="1"/>
    <n v="0"/>
    <n v="1"/>
    <x v="6"/>
    <b v="0"/>
    <n v="5"/>
    <n v="2"/>
    <n v="0.2"/>
    <n v="0.2576"/>
    <n v="0.2576"/>
    <n v="0.69"/>
    <n v="0"/>
    <n v="8"/>
    <n v="26"/>
    <n v="34"/>
    <x v="1"/>
    <x v="1"/>
    <s v="Winter"/>
    <s v="Friday"/>
    <x v="1"/>
    <n v="1.4"/>
    <n v="1"/>
    <n v="69"/>
    <n v="0"/>
    <n v="0.76470588235294112"/>
    <x v="0"/>
    <n v="0.67"/>
    <s v=""/>
    <s v="OK"/>
    <s v="No"/>
  </r>
  <r>
    <n v="145"/>
    <s v="Merge 1+2"/>
    <n v="145"/>
    <n v="145"/>
    <n v="0"/>
    <x v="6"/>
    <n v="1"/>
    <n v="0"/>
    <n v="1"/>
    <x v="7"/>
    <b v="0"/>
    <n v="5"/>
    <n v="1"/>
    <n v="0.2"/>
    <n v="0.21210000000000001"/>
    <n v="0.21210000000000001"/>
    <n v="0.69"/>
    <n v="0.1343"/>
    <n v="8"/>
    <n v="76"/>
    <n v="84"/>
    <x v="1"/>
    <x v="0"/>
    <s v="Winter"/>
    <s v="Friday"/>
    <x v="1"/>
    <n v="1.4"/>
    <n v="-2"/>
    <n v="69"/>
    <n v="9"/>
    <n v="0.90476190476190477"/>
    <x v="2"/>
    <n v="0.19"/>
    <s v=""/>
    <s v="OK"/>
    <s v="No"/>
  </r>
  <r>
    <n v="146"/>
    <s v="Merge 1+2"/>
    <n v="146"/>
    <n v="146"/>
    <n v="0"/>
    <x v="6"/>
    <n v="1"/>
    <n v="0"/>
    <n v="1"/>
    <x v="8"/>
    <b v="0"/>
    <n v="5"/>
    <n v="1"/>
    <n v="0.2"/>
    <n v="0.19700000000000001"/>
    <n v="0.19700000000000001"/>
    <n v="0.51"/>
    <n v="0.25369999999999998"/>
    <n v="20"/>
    <n v="190"/>
    <n v="210"/>
    <x v="1"/>
    <x v="0"/>
    <s v="Winter"/>
    <s v="Friday"/>
    <x v="1"/>
    <n v="1.4"/>
    <n v="-3"/>
    <n v="51"/>
    <n v="17"/>
    <n v="0.90476190476190477"/>
    <x v="2"/>
    <n v="0.53"/>
    <s v=""/>
    <s v="OK"/>
    <s v="No"/>
  </r>
  <r>
    <n v="147"/>
    <s v="Merge 1+2"/>
    <n v="147"/>
    <n v="147"/>
    <n v="0"/>
    <x v="6"/>
    <n v="1"/>
    <n v="0"/>
    <n v="1"/>
    <x v="9"/>
    <b v="0"/>
    <n v="5"/>
    <n v="1"/>
    <n v="0.2"/>
    <n v="0.18179999999999999"/>
    <n v="0.18179999999999999"/>
    <n v="0.47"/>
    <n v="0.29849999999999999"/>
    <n v="9"/>
    <n v="125"/>
    <n v="134"/>
    <x v="1"/>
    <x v="0"/>
    <s v="Winter"/>
    <s v="Friday"/>
    <x v="1"/>
    <n v="1.4"/>
    <n v="-4"/>
    <n v="47"/>
    <n v="20"/>
    <n v="0.93283582089552242"/>
    <x v="2"/>
    <n v="0.7"/>
    <s v=""/>
    <s v="OK"/>
    <s v="No"/>
  </r>
  <r>
    <n v="148"/>
    <s v="Merge 1+2"/>
    <n v="148"/>
    <n v="148"/>
    <n v="0"/>
    <x v="6"/>
    <n v="1"/>
    <n v="0"/>
    <n v="1"/>
    <x v="10"/>
    <b v="0"/>
    <n v="5"/>
    <n v="1"/>
    <n v="0.22"/>
    <n v="0.19700000000000001"/>
    <n v="0.19700000000000001"/>
    <n v="0.37"/>
    <n v="0.32840000000000003"/>
    <n v="16"/>
    <n v="47"/>
    <n v="63"/>
    <x v="1"/>
    <x v="0"/>
    <s v="Winter"/>
    <s v="Friday"/>
    <x v="1"/>
    <n v="2.2999999999999998"/>
    <n v="-3"/>
    <n v="37"/>
    <n v="22"/>
    <n v="0.74603174603174605"/>
    <x v="0"/>
    <n v="1.4"/>
    <s v=""/>
    <s v="OK"/>
    <s v="No"/>
  </r>
  <r>
    <n v="149"/>
    <s v="Merge 1+2"/>
    <n v="149"/>
    <n v="149"/>
    <n v="0"/>
    <x v="6"/>
    <n v="1"/>
    <n v="0"/>
    <n v="1"/>
    <x v="11"/>
    <b v="0"/>
    <n v="5"/>
    <n v="2"/>
    <n v="0.2"/>
    <n v="0.19700000000000001"/>
    <n v="0.19700000000000001"/>
    <n v="0.4"/>
    <n v="0.22389999999999999"/>
    <n v="19"/>
    <n v="48"/>
    <n v="67"/>
    <x v="1"/>
    <x v="1"/>
    <s v="Winter"/>
    <s v="Friday"/>
    <x v="1"/>
    <n v="1.4"/>
    <n v="-3"/>
    <n v="40"/>
    <n v="15"/>
    <n v="0.71641791044776115"/>
    <x v="0"/>
    <n v="1.52"/>
    <s v=""/>
    <s v="OK"/>
    <s v="No"/>
  </r>
  <r>
    <n v="150"/>
    <s v="Merge 1+2"/>
    <n v="150"/>
    <n v="150"/>
    <n v="0"/>
    <x v="6"/>
    <n v="1"/>
    <n v="0"/>
    <n v="1"/>
    <x v="12"/>
    <b v="0"/>
    <n v="5"/>
    <n v="2"/>
    <n v="0.2"/>
    <n v="0.19700000000000001"/>
    <n v="0.19700000000000001"/>
    <n v="0.37"/>
    <n v="0.25369999999999998"/>
    <n v="9"/>
    <n v="50"/>
    <n v="59"/>
    <x v="1"/>
    <x v="1"/>
    <s v="Winter"/>
    <s v="Friday"/>
    <x v="2"/>
    <n v="1.4"/>
    <n v="-3"/>
    <n v="37"/>
    <n v="17"/>
    <n v="0.84745762711864403"/>
    <x v="0"/>
    <n v="-0.27"/>
    <s v=""/>
    <s v="OK"/>
    <s v="No"/>
  </r>
  <r>
    <n v="151"/>
    <s v="Merge 1+2"/>
    <n v="151"/>
    <n v="151"/>
    <n v="0"/>
    <x v="6"/>
    <n v="1"/>
    <n v="0"/>
    <n v="1"/>
    <x v="13"/>
    <b v="0"/>
    <n v="5"/>
    <n v="2"/>
    <n v="0.2"/>
    <n v="0.18179999999999999"/>
    <n v="0.18179999999999999"/>
    <n v="0.37"/>
    <n v="0.28360000000000002"/>
    <n v="9"/>
    <n v="64"/>
    <n v="73"/>
    <x v="1"/>
    <x v="1"/>
    <s v="Winter"/>
    <s v="Friday"/>
    <x v="2"/>
    <n v="1.4"/>
    <n v="-4"/>
    <n v="37"/>
    <n v="19"/>
    <n v="0.87671232876712324"/>
    <x v="0"/>
    <n v="0.34"/>
    <s v=""/>
    <s v="OK"/>
    <s v="No"/>
  </r>
  <r>
    <n v="152"/>
    <s v="Merge 1+2"/>
    <n v="152"/>
    <n v="152"/>
    <n v="0"/>
    <x v="6"/>
    <n v="1"/>
    <n v="0"/>
    <n v="1"/>
    <x v="14"/>
    <b v="0"/>
    <n v="5"/>
    <n v="2"/>
    <n v="0.2"/>
    <n v="0.19700000000000001"/>
    <n v="0.19700000000000001"/>
    <n v="0.4"/>
    <n v="0.25369999999999998"/>
    <n v="7"/>
    <n v="43"/>
    <n v="50"/>
    <x v="1"/>
    <x v="1"/>
    <s v="Winter"/>
    <s v="Friday"/>
    <x v="2"/>
    <n v="1.4"/>
    <n v="-3"/>
    <n v="40"/>
    <n v="17"/>
    <n v="0.86"/>
    <x v="0"/>
    <n v="-0.6"/>
    <s v=""/>
    <s v="OK"/>
    <s v="No"/>
  </r>
  <r>
    <n v="153"/>
    <s v="Merge 1+2"/>
    <n v="153"/>
    <n v="153"/>
    <n v="0"/>
    <x v="6"/>
    <n v="1"/>
    <n v="0"/>
    <n v="1"/>
    <x v="15"/>
    <b v="0"/>
    <n v="5"/>
    <n v="2"/>
    <n v="0.2"/>
    <n v="0.21210000000000001"/>
    <n v="0.21210000000000001"/>
    <n v="0.37"/>
    <n v="0.16420000000000001"/>
    <n v="9"/>
    <n v="63"/>
    <n v="72"/>
    <x v="1"/>
    <x v="1"/>
    <s v="Winter"/>
    <s v="Friday"/>
    <x v="2"/>
    <n v="1.4"/>
    <n v="-2"/>
    <n v="37"/>
    <n v="11"/>
    <n v="0.875"/>
    <x v="0"/>
    <n v="0.83"/>
    <s v=""/>
    <s v="OK"/>
    <s v="No"/>
  </r>
  <r>
    <n v="154"/>
    <s v="Merge 1+2"/>
    <n v="154"/>
    <n v="154"/>
    <n v="0"/>
    <x v="6"/>
    <n v="1"/>
    <n v="0"/>
    <n v="1"/>
    <x v="16"/>
    <b v="0"/>
    <n v="5"/>
    <n v="2"/>
    <n v="0.2"/>
    <n v="0.21210000000000001"/>
    <n v="0.21210000000000001"/>
    <n v="0.37"/>
    <n v="0.16420000000000001"/>
    <n v="5"/>
    <n v="82"/>
    <n v="87"/>
    <x v="1"/>
    <x v="1"/>
    <s v="Winter"/>
    <s v="Friday"/>
    <x v="2"/>
    <n v="1.4"/>
    <n v="-2"/>
    <n v="37"/>
    <n v="11"/>
    <n v="0.94252873563218387"/>
    <x v="2"/>
    <n v="0.21"/>
    <s v=""/>
    <s v="OK"/>
    <s v="No"/>
  </r>
  <r>
    <n v="155"/>
    <s v="Merge 1+2"/>
    <n v="155"/>
    <n v="155"/>
    <n v="0"/>
    <x v="6"/>
    <n v="1"/>
    <n v="0"/>
    <n v="1"/>
    <x v="17"/>
    <b v="0"/>
    <n v="5"/>
    <n v="2"/>
    <n v="0.2"/>
    <n v="0.2576"/>
    <n v="0.2576"/>
    <n v="0.37"/>
    <n v="0"/>
    <n v="9"/>
    <n v="178"/>
    <n v="187"/>
    <x v="1"/>
    <x v="1"/>
    <s v="Winter"/>
    <s v="Friday"/>
    <x v="2"/>
    <n v="1.4"/>
    <n v="1"/>
    <n v="37"/>
    <n v="0"/>
    <n v="0.95187165775401072"/>
    <x v="2"/>
    <n v="0.44"/>
    <s v=""/>
    <s v="OK"/>
    <s v="No"/>
  </r>
  <r>
    <n v="156"/>
    <s v="Merge 1+2"/>
    <n v="156"/>
    <n v="156"/>
    <n v="0"/>
    <x v="6"/>
    <n v="1"/>
    <n v="0"/>
    <n v="1"/>
    <x v="18"/>
    <b v="0"/>
    <n v="5"/>
    <n v="1"/>
    <n v="0.2"/>
    <n v="0.2273"/>
    <n v="0.2273"/>
    <n v="0.4"/>
    <n v="8.9599999999999999E-2"/>
    <n v="7"/>
    <n v="116"/>
    <n v="123"/>
    <x v="1"/>
    <x v="0"/>
    <s v="Winter"/>
    <s v="Friday"/>
    <x v="3"/>
    <n v="1.4"/>
    <n v="-1"/>
    <n v="40"/>
    <n v="6"/>
    <n v="0.94308943089430897"/>
    <x v="2"/>
    <n v="-1.1000000000000001"/>
    <s v=""/>
    <s v="OK"/>
    <s v="No"/>
  </r>
  <r>
    <n v="157"/>
    <s v="Merge 1+2"/>
    <n v="157"/>
    <n v="157"/>
    <n v="0"/>
    <x v="6"/>
    <n v="1"/>
    <n v="0"/>
    <n v="1"/>
    <x v="19"/>
    <b v="0"/>
    <n v="5"/>
    <n v="1"/>
    <n v="0.16"/>
    <n v="0.19700000000000001"/>
    <n v="0.19700000000000001"/>
    <n v="0.55000000000000004"/>
    <n v="8.9599999999999999E-2"/>
    <n v="3"/>
    <n v="92"/>
    <n v="95"/>
    <x v="1"/>
    <x v="0"/>
    <s v="Winter"/>
    <s v="Friday"/>
    <x v="3"/>
    <n v="-0.5"/>
    <n v="-3"/>
    <n v="55"/>
    <n v="6"/>
    <n v="0.96842105263157896"/>
    <x v="2"/>
    <n v="-0.43"/>
    <s v=""/>
    <s v="OK"/>
    <s v="No"/>
  </r>
  <r>
    <n v="158"/>
    <s v="Merge 1+2"/>
    <n v="158"/>
    <n v="158"/>
    <n v="0"/>
    <x v="6"/>
    <n v="1"/>
    <n v="0"/>
    <n v="1"/>
    <x v="20"/>
    <b v="0"/>
    <n v="5"/>
    <n v="1"/>
    <n v="0.18"/>
    <n v="0.21210000000000001"/>
    <n v="0.21210000000000001"/>
    <n v="0.47"/>
    <n v="0.1045"/>
    <n v="1"/>
    <n v="50"/>
    <n v="51"/>
    <x v="1"/>
    <x v="0"/>
    <s v="Winter"/>
    <s v="Friday"/>
    <x v="3"/>
    <n v="0.5"/>
    <n v="-2"/>
    <n v="47"/>
    <n v="7"/>
    <n v="0.98039215686274506"/>
    <x v="0"/>
    <n v="-1.07"/>
    <s v=""/>
    <s v="OK"/>
    <s v="No"/>
  </r>
  <r>
    <n v="159"/>
    <s v="Merge 1+2"/>
    <n v="159"/>
    <n v="159"/>
    <n v="0"/>
    <x v="6"/>
    <n v="1"/>
    <n v="0"/>
    <n v="1"/>
    <x v="21"/>
    <b v="0"/>
    <n v="5"/>
    <n v="1"/>
    <n v="0.18"/>
    <n v="0.19700000000000001"/>
    <n v="0.19700000000000001"/>
    <n v="0.47"/>
    <n v="0.1343"/>
    <n v="0"/>
    <n v="39"/>
    <n v="39"/>
    <x v="1"/>
    <x v="0"/>
    <s v="Winter"/>
    <s v="Friday"/>
    <x v="3"/>
    <n v="0.5"/>
    <n v="-3"/>
    <n v="47"/>
    <n v="9"/>
    <n v="1"/>
    <x v="0"/>
    <n v="-0.96"/>
    <s v=""/>
    <s v="OK"/>
    <s v="No"/>
  </r>
  <r>
    <n v="160"/>
    <s v="Merge 1+2"/>
    <n v="160"/>
    <n v="160"/>
    <n v="0"/>
    <x v="6"/>
    <n v="1"/>
    <n v="0"/>
    <n v="1"/>
    <x v="22"/>
    <b v="0"/>
    <n v="5"/>
    <n v="2"/>
    <n v="0.18"/>
    <n v="0.19700000000000001"/>
    <n v="0.19700000000000001"/>
    <n v="0.43"/>
    <n v="0.16420000000000001"/>
    <n v="2"/>
    <n v="34"/>
    <n v="36"/>
    <x v="1"/>
    <x v="1"/>
    <s v="Winter"/>
    <s v="Friday"/>
    <x v="3"/>
    <n v="0.5"/>
    <n v="-3"/>
    <n v="43"/>
    <n v="11"/>
    <n v="0.94444444444444442"/>
    <x v="0"/>
    <n v="-0.2"/>
    <s v=""/>
    <s v="OK"/>
    <s v="No"/>
  </r>
  <r>
    <n v="161"/>
    <s v="Merge 1+2"/>
    <n v="161"/>
    <n v="161"/>
    <n v="0"/>
    <x v="6"/>
    <n v="1"/>
    <n v="0"/>
    <n v="1"/>
    <x v="23"/>
    <b v="0"/>
    <n v="5"/>
    <n v="2"/>
    <n v="0.18"/>
    <n v="0.19700000000000001"/>
    <n v="0.19700000000000001"/>
    <n v="0.51"/>
    <n v="0.16420000000000001"/>
    <n v="1"/>
    <n v="14"/>
    <n v="15"/>
    <x v="1"/>
    <x v="1"/>
    <s v="Winter"/>
    <s v="Friday"/>
    <x v="3"/>
    <n v="0.5"/>
    <n v="-3"/>
    <n v="51"/>
    <n v="11"/>
    <n v="0.93333333333333335"/>
    <x v="1"/>
    <n v="-0.94"/>
    <s v=""/>
    <s v="OK"/>
    <s v="No"/>
  </r>
  <r>
    <n v="162"/>
    <s v="Merge 1+2"/>
    <n v="162"/>
    <n v="162"/>
    <n v="0"/>
    <x v="7"/>
    <n v="1"/>
    <n v="0"/>
    <n v="1"/>
    <x v="0"/>
    <b v="0"/>
    <n v="6"/>
    <n v="2"/>
    <n v="0.18"/>
    <n v="0.19700000000000001"/>
    <n v="0.19700000000000001"/>
    <n v="0.51"/>
    <n v="0.16420000000000001"/>
    <n v="1"/>
    <n v="24"/>
    <n v="25"/>
    <x v="0"/>
    <x v="1"/>
    <s v="Winter"/>
    <s v="Saturday"/>
    <x v="0"/>
    <n v="0.5"/>
    <n v="-3"/>
    <n v="51"/>
    <n v="11"/>
    <n v="0.96"/>
    <x v="0"/>
    <n v="-0.26"/>
    <s v=""/>
    <s v="OK"/>
    <s v="No"/>
  </r>
  <r>
    <n v="163"/>
    <s v="Merge 1+2"/>
    <n v="163"/>
    <n v="163"/>
    <n v="0"/>
    <x v="7"/>
    <n v="1"/>
    <n v="0"/>
    <n v="1"/>
    <x v="1"/>
    <b v="0"/>
    <n v="6"/>
    <n v="2"/>
    <n v="0.18"/>
    <n v="0.21210000000000001"/>
    <n v="0.21210000000000001"/>
    <n v="0.55000000000000004"/>
    <n v="8.9599999999999999E-2"/>
    <n v="1"/>
    <n v="15"/>
    <n v="16"/>
    <x v="0"/>
    <x v="1"/>
    <s v="Winter"/>
    <s v="Saturday"/>
    <x v="0"/>
    <n v="0.5"/>
    <n v="-2"/>
    <n v="55"/>
    <n v="6"/>
    <n v="0.9375"/>
    <x v="0"/>
    <n v="-0.62"/>
    <s v=""/>
    <s v="OK"/>
    <s v="No"/>
  </r>
  <r>
    <n v="164"/>
    <s v="Merge 1+2"/>
    <n v="164"/>
    <n v="164"/>
    <n v="0"/>
    <x v="7"/>
    <n v="1"/>
    <n v="0"/>
    <n v="1"/>
    <x v="2"/>
    <b v="0"/>
    <n v="6"/>
    <n v="2"/>
    <n v="0.18"/>
    <n v="0.2424"/>
    <n v="0.2424"/>
    <n v="0.55000000000000004"/>
    <n v="0"/>
    <n v="3"/>
    <n v="13"/>
    <n v="16"/>
    <x v="0"/>
    <x v="1"/>
    <s v="Winter"/>
    <s v="Saturday"/>
    <x v="0"/>
    <n v="0.5"/>
    <n v="0"/>
    <n v="55"/>
    <n v="0"/>
    <n v="0.8125"/>
    <x v="0"/>
    <n v="0.1"/>
    <s v=""/>
    <s v="OK"/>
    <s v="No"/>
  </r>
  <r>
    <n v="165"/>
    <s v="Merge 1+2"/>
    <n v="165"/>
    <n v="165"/>
    <n v="0"/>
    <x v="7"/>
    <n v="1"/>
    <n v="0"/>
    <n v="1"/>
    <x v="3"/>
    <b v="0"/>
    <n v="6"/>
    <n v="3"/>
    <n v="0.18"/>
    <n v="0.19700000000000001"/>
    <n v="0.19700000000000001"/>
    <n v="0.55000000000000004"/>
    <n v="0.16420000000000001"/>
    <n v="0"/>
    <n v="7"/>
    <n v="7"/>
    <x v="0"/>
    <x v="2"/>
    <s v="Winter"/>
    <s v="Saturday"/>
    <x v="0"/>
    <n v="0.5"/>
    <n v="-3"/>
    <n v="55"/>
    <n v="11"/>
    <n v="1"/>
    <x v="1"/>
    <n v="-0.43"/>
    <s v=""/>
    <s v="OK"/>
    <s v="No"/>
  </r>
  <r>
    <n v="166"/>
    <s v="Merge 1+2"/>
    <n v="166"/>
    <n v="166"/>
    <n v="0"/>
    <x v="7"/>
    <n v="1"/>
    <n v="0"/>
    <n v="1"/>
    <x v="4"/>
    <b v="0"/>
    <n v="6"/>
    <n v="3"/>
    <n v="0.18"/>
    <n v="0.19700000000000001"/>
    <n v="0.19700000000000001"/>
    <n v="0.55000000000000004"/>
    <n v="0.16420000000000001"/>
    <n v="0"/>
    <n v="1"/>
    <n v="1"/>
    <x v="0"/>
    <x v="2"/>
    <s v="Winter"/>
    <s v="Saturday"/>
    <x v="0"/>
    <n v="0.5"/>
    <n v="-3"/>
    <n v="55"/>
    <n v="11"/>
    <n v="1"/>
    <x v="1"/>
    <n v="-0.87"/>
    <s v=""/>
    <s v="OK"/>
    <s v="No"/>
  </r>
  <r>
    <n v="167"/>
    <s v="Merge 1+2"/>
    <n v="167"/>
    <n v="167"/>
    <n v="0"/>
    <x v="7"/>
    <n v="1"/>
    <n v="0"/>
    <n v="1"/>
    <x v="5"/>
    <b v="0"/>
    <n v="6"/>
    <n v="2"/>
    <n v="0.16"/>
    <n v="0.16669999999999999"/>
    <n v="0.16669999999999999"/>
    <n v="0.74"/>
    <n v="0.16420000000000001"/>
    <n v="0"/>
    <n v="5"/>
    <n v="5"/>
    <x v="0"/>
    <x v="1"/>
    <s v="Winter"/>
    <s v="Saturday"/>
    <x v="0"/>
    <n v="-0.5"/>
    <n v="-5"/>
    <n v="74"/>
    <n v="11"/>
    <n v="1"/>
    <x v="1"/>
    <n v="0.98"/>
    <s v=""/>
    <s v="OK"/>
    <s v="No"/>
  </r>
  <r>
    <n v="168"/>
    <s v="Merge 1+2"/>
    <n v="168"/>
    <n v="168"/>
    <n v="0"/>
    <x v="7"/>
    <n v="1"/>
    <n v="0"/>
    <n v="1"/>
    <x v="6"/>
    <b v="0"/>
    <n v="6"/>
    <n v="2"/>
    <n v="0.16"/>
    <n v="0.16669999999999999"/>
    <n v="0.16669999999999999"/>
    <n v="0.74"/>
    <n v="0.16420000000000001"/>
    <n v="0"/>
    <n v="2"/>
    <n v="2"/>
    <x v="0"/>
    <x v="1"/>
    <s v="Winter"/>
    <s v="Saturday"/>
    <x v="1"/>
    <n v="-0.5"/>
    <n v="-5"/>
    <n v="74"/>
    <n v="11"/>
    <n v="1"/>
    <x v="1"/>
    <n v="-0.26"/>
    <s v=""/>
    <s v="OK"/>
    <s v="No"/>
  </r>
  <r>
    <n v="169"/>
    <s v="Merge 1+2"/>
    <n v="169"/>
    <n v="169"/>
    <n v="0"/>
    <x v="7"/>
    <n v="1"/>
    <n v="0"/>
    <n v="1"/>
    <x v="7"/>
    <b v="0"/>
    <n v="6"/>
    <n v="2"/>
    <n v="0.16"/>
    <n v="0.18179999999999999"/>
    <n v="0.18179999999999999"/>
    <n v="0.74"/>
    <n v="0.1045"/>
    <n v="1"/>
    <n v="8"/>
    <n v="9"/>
    <x v="0"/>
    <x v="1"/>
    <s v="Winter"/>
    <s v="Saturday"/>
    <x v="1"/>
    <n v="-0.5"/>
    <n v="-4"/>
    <n v="74"/>
    <n v="7"/>
    <n v="0.88888888888888884"/>
    <x v="1"/>
    <n v="0.83"/>
    <s v=""/>
    <s v="OK"/>
    <s v="No"/>
  </r>
  <r>
    <n v="170"/>
    <s v="Merge 1+2"/>
    <n v="170"/>
    <n v="170"/>
    <n v="0"/>
    <x v="7"/>
    <n v="1"/>
    <n v="0"/>
    <n v="1"/>
    <x v="8"/>
    <b v="0"/>
    <n v="6"/>
    <n v="3"/>
    <n v="0.16"/>
    <n v="0.18179999999999999"/>
    <n v="0.18179999999999999"/>
    <n v="0.93"/>
    <n v="0.1045"/>
    <n v="0"/>
    <n v="15"/>
    <n v="15"/>
    <x v="0"/>
    <x v="2"/>
    <s v="Winter"/>
    <s v="Saturday"/>
    <x v="1"/>
    <n v="-0.5"/>
    <n v="-4"/>
    <n v="93"/>
    <n v="7"/>
    <n v="1"/>
    <x v="1"/>
    <n v="-0.42"/>
    <s v=""/>
    <s v="OK"/>
    <s v="No"/>
  </r>
  <r>
    <n v="171"/>
    <s v="Merge 1+2"/>
    <n v="171"/>
    <n v="171"/>
    <n v="0"/>
    <x v="7"/>
    <n v="1"/>
    <n v="0"/>
    <n v="1"/>
    <x v="9"/>
    <b v="0"/>
    <n v="6"/>
    <n v="3"/>
    <n v="0.16"/>
    <n v="0.18179999999999999"/>
    <n v="0.18179999999999999"/>
    <n v="0.93"/>
    <n v="0.1045"/>
    <n v="0"/>
    <n v="20"/>
    <n v="20"/>
    <x v="0"/>
    <x v="2"/>
    <s v="Winter"/>
    <s v="Saturday"/>
    <x v="1"/>
    <n v="-0.5"/>
    <n v="-4"/>
    <n v="93"/>
    <n v="7"/>
    <n v="1"/>
    <x v="0"/>
    <n v="-1.06"/>
    <s v=""/>
    <s v="OK"/>
    <s v="No"/>
  </r>
  <r>
    <n v="172"/>
    <s v="Merge 1+2"/>
    <n v="172"/>
    <n v="172"/>
    <n v="0"/>
    <x v="7"/>
    <n v="1"/>
    <n v="0"/>
    <n v="1"/>
    <x v="10"/>
    <b v="0"/>
    <n v="6"/>
    <n v="2"/>
    <n v="0.18"/>
    <n v="0.19700000000000001"/>
    <n v="0.19700000000000001"/>
    <n v="0.8"/>
    <n v="0.16420000000000001"/>
    <n v="5"/>
    <n v="56"/>
    <n v="61"/>
    <x v="0"/>
    <x v="1"/>
    <s v="Winter"/>
    <s v="Saturday"/>
    <x v="1"/>
    <n v="0.5"/>
    <n v="-3"/>
    <n v="80"/>
    <n v="11"/>
    <n v="0.91803278688524592"/>
    <x v="0"/>
    <n v="-7.0000000000000007E-2"/>
    <s v=""/>
    <s v="OK"/>
    <s v="No"/>
  </r>
  <r>
    <n v="173"/>
    <s v="Merge 1+2"/>
    <n v="173"/>
    <n v="173"/>
    <n v="0"/>
    <x v="7"/>
    <n v="1"/>
    <n v="0"/>
    <n v="1"/>
    <x v="11"/>
    <b v="0"/>
    <n v="6"/>
    <n v="2"/>
    <n v="0.2"/>
    <n v="0.18179999999999999"/>
    <n v="0.18179999999999999"/>
    <n v="0.69"/>
    <n v="0.3881"/>
    <n v="2"/>
    <n v="60"/>
    <n v="62"/>
    <x v="0"/>
    <x v="1"/>
    <s v="Winter"/>
    <s v="Saturday"/>
    <x v="1"/>
    <n v="1.4"/>
    <n v="-4"/>
    <n v="69"/>
    <n v="26"/>
    <n v="0.967741935483871"/>
    <x v="0"/>
    <n v="-0.57999999999999996"/>
    <s v=""/>
    <s v="OK"/>
    <s v="No"/>
  </r>
  <r>
    <n v="174"/>
    <s v="Merge 1+2"/>
    <n v="174"/>
    <n v="174"/>
    <n v="0"/>
    <x v="7"/>
    <n v="1"/>
    <n v="0"/>
    <n v="1"/>
    <x v="12"/>
    <b v="0"/>
    <n v="6"/>
    <n v="2"/>
    <n v="0.2"/>
    <n v="0.18179999999999999"/>
    <n v="0.18179999999999999"/>
    <n v="0.59"/>
    <n v="0.35820000000000002"/>
    <n v="8"/>
    <n v="90"/>
    <n v="98"/>
    <x v="0"/>
    <x v="1"/>
    <s v="Winter"/>
    <s v="Saturday"/>
    <x v="2"/>
    <n v="1.4"/>
    <n v="-4"/>
    <n v="59"/>
    <n v="24"/>
    <n v="0.91836734693877553"/>
    <x v="2"/>
    <n v="-0.04"/>
    <s v=""/>
    <s v="OK"/>
    <s v="No"/>
  </r>
  <r>
    <n v="175"/>
    <s v="Merge 1+2"/>
    <n v="175"/>
    <n v="175"/>
    <n v="0"/>
    <x v="7"/>
    <n v="1"/>
    <n v="0"/>
    <n v="1"/>
    <x v="13"/>
    <b v="0"/>
    <n v="6"/>
    <n v="1"/>
    <n v="0.2"/>
    <n v="0.18179999999999999"/>
    <n v="0.18179999999999999"/>
    <n v="0.44"/>
    <n v="0.32840000000000003"/>
    <n v="7"/>
    <n v="95"/>
    <n v="102"/>
    <x v="0"/>
    <x v="0"/>
    <s v="Winter"/>
    <s v="Saturday"/>
    <x v="2"/>
    <n v="1.4"/>
    <n v="-4"/>
    <n v="44"/>
    <n v="22"/>
    <n v="0.93137254901960786"/>
    <x v="2"/>
    <n v="0.02"/>
    <s v=""/>
    <s v="OK"/>
    <s v="No"/>
  </r>
  <r>
    <n v="176"/>
    <s v="Merge 1+2"/>
    <n v="176"/>
    <n v="176"/>
    <n v="0"/>
    <x v="7"/>
    <n v="1"/>
    <n v="0"/>
    <n v="1"/>
    <x v="14"/>
    <b v="0"/>
    <n v="6"/>
    <n v="1"/>
    <n v="0.2"/>
    <n v="0.16669999999999999"/>
    <n v="0.16669999999999999"/>
    <n v="0.32"/>
    <n v="0.49249999999999999"/>
    <n v="12"/>
    <n v="83"/>
    <n v="95"/>
    <x v="0"/>
    <x v="0"/>
    <s v="Winter"/>
    <s v="Saturday"/>
    <x v="2"/>
    <n v="1.4"/>
    <n v="-5"/>
    <n v="32"/>
    <n v="33"/>
    <n v="0.87368421052631584"/>
    <x v="2"/>
    <n v="-0.22"/>
    <s v=""/>
    <s v="OK"/>
    <s v="No"/>
  </r>
  <r>
    <n v="177"/>
    <s v="Merge 1+2"/>
    <n v="177"/>
    <n v="177"/>
    <n v="0"/>
    <x v="7"/>
    <n v="1"/>
    <n v="0"/>
    <n v="1"/>
    <x v="15"/>
    <b v="0"/>
    <n v="6"/>
    <n v="1"/>
    <n v="0.2"/>
    <n v="0.16669999999999999"/>
    <n v="0.16669999999999999"/>
    <n v="0.32"/>
    <n v="0.44779999999999998"/>
    <n v="5"/>
    <n v="69"/>
    <n v="74"/>
    <x v="0"/>
    <x v="0"/>
    <s v="Winter"/>
    <s v="Saturday"/>
    <x v="2"/>
    <n v="1.4"/>
    <n v="-5"/>
    <n v="32"/>
    <n v="30"/>
    <n v="0.93243243243243246"/>
    <x v="0"/>
    <n v="-0.98"/>
    <s v=""/>
    <s v="OK"/>
    <s v="No"/>
  </r>
  <r>
    <n v="178"/>
    <s v="Merge 1+2"/>
    <n v="178"/>
    <n v="178"/>
    <n v="0"/>
    <x v="7"/>
    <n v="1"/>
    <n v="0"/>
    <n v="1"/>
    <x v="16"/>
    <b v="0"/>
    <n v="6"/>
    <n v="1"/>
    <n v="0.18"/>
    <n v="0.13639999999999999"/>
    <n v="0.13639999999999999"/>
    <n v="0.28999999999999998"/>
    <n v="0.44779999999999998"/>
    <n v="8"/>
    <n v="68"/>
    <n v="76"/>
    <x v="0"/>
    <x v="0"/>
    <s v="Winter"/>
    <s v="Saturday"/>
    <x v="2"/>
    <n v="0.5"/>
    <n v="-7"/>
    <n v="29"/>
    <n v="30"/>
    <n v="0.89473684210526316"/>
    <x v="0"/>
    <n v="-0.9"/>
    <s v=""/>
    <s v="OK"/>
    <s v="No"/>
  </r>
  <r>
    <n v="179"/>
    <s v="Merge 1+2"/>
    <n v="179"/>
    <n v="179"/>
    <n v="0"/>
    <x v="7"/>
    <n v="1"/>
    <n v="0"/>
    <n v="1"/>
    <x v="17"/>
    <b v="0"/>
    <n v="6"/>
    <n v="1"/>
    <n v="0.16"/>
    <n v="0.1212"/>
    <n v="0.1212"/>
    <n v="0.37"/>
    <n v="0.55220000000000002"/>
    <n v="5"/>
    <n v="64"/>
    <n v="69"/>
    <x v="0"/>
    <x v="0"/>
    <s v="Winter"/>
    <s v="Saturday"/>
    <x v="2"/>
    <n v="-0.5"/>
    <n v="-8"/>
    <n v="37"/>
    <n v="37"/>
    <n v="0.92753623188405798"/>
    <x v="0"/>
    <n v="-0.62"/>
    <s v=""/>
    <s v="OK"/>
    <s v="No"/>
  </r>
  <r>
    <n v="180"/>
    <s v="Merge 1+2"/>
    <n v="180"/>
    <n v="180"/>
    <n v="0"/>
    <x v="7"/>
    <n v="1"/>
    <n v="0"/>
    <n v="1"/>
    <x v="18"/>
    <b v="0"/>
    <n v="6"/>
    <n v="1"/>
    <n v="0.14000000000000001"/>
    <n v="0.1212"/>
    <n v="0.1212"/>
    <n v="0.39"/>
    <n v="0.29849999999999999"/>
    <n v="3"/>
    <n v="52"/>
    <n v="55"/>
    <x v="0"/>
    <x v="0"/>
    <s v="Winter"/>
    <s v="Saturday"/>
    <x v="3"/>
    <n v="-1.4"/>
    <n v="-8"/>
    <n v="39"/>
    <n v="20"/>
    <n v="0.94545454545454544"/>
    <x v="0"/>
    <n v="-0.63"/>
    <s v=""/>
    <s v="OK"/>
    <s v="No"/>
  </r>
  <r>
    <n v="181"/>
    <s v="Merge 1+2"/>
    <n v="181"/>
    <n v="181"/>
    <n v="0"/>
    <x v="7"/>
    <n v="1"/>
    <n v="0"/>
    <n v="1"/>
    <x v="19"/>
    <b v="0"/>
    <n v="6"/>
    <n v="1"/>
    <n v="0.14000000000000001"/>
    <n v="0.1212"/>
    <n v="0.1212"/>
    <n v="0.36"/>
    <n v="0.25369999999999998"/>
    <n v="4"/>
    <n v="26"/>
    <n v="30"/>
    <x v="0"/>
    <x v="0"/>
    <s v="Winter"/>
    <s v="Saturday"/>
    <x v="3"/>
    <n v="-1.4"/>
    <n v="-8"/>
    <n v="36"/>
    <n v="17"/>
    <n v="0.8666666666666667"/>
    <x v="0"/>
    <n v="-1.2"/>
    <s v=""/>
    <s v="OK"/>
    <s v="No"/>
  </r>
  <r>
    <n v="182"/>
    <s v="Merge 1+2"/>
    <n v="182"/>
    <n v="182"/>
    <n v="0"/>
    <x v="7"/>
    <n v="1"/>
    <n v="0"/>
    <n v="1"/>
    <x v="20"/>
    <b v="0"/>
    <n v="6"/>
    <n v="1"/>
    <n v="0.12"/>
    <n v="0.1212"/>
    <n v="0.1212"/>
    <n v="0.36"/>
    <n v="0.25369999999999998"/>
    <n v="0"/>
    <n v="28"/>
    <n v="28"/>
    <x v="0"/>
    <x v="0"/>
    <s v="Winter"/>
    <s v="Saturday"/>
    <x v="3"/>
    <n v="-2.4"/>
    <n v="-8"/>
    <n v="36"/>
    <n v="17"/>
    <n v="1"/>
    <x v="0"/>
    <n v="-0.96"/>
    <s v=""/>
    <s v="OK"/>
    <s v="No"/>
  </r>
  <r>
    <n v="183"/>
    <s v="Merge 1+2"/>
    <n v="183"/>
    <n v="183"/>
    <n v="0"/>
    <x v="7"/>
    <n v="1"/>
    <n v="0"/>
    <n v="1"/>
    <x v="21"/>
    <b v="0"/>
    <n v="6"/>
    <n v="1"/>
    <n v="0.12"/>
    <n v="0.1061"/>
    <n v="0.1061"/>
    <n v="0.39"/>
    <n v="0.35820000000000002"/>
    <n v="2"/>
    <n v="35"/>
    <n v="37"/>
    <x v="0"/>
    <x v="0"/>
    <s v="Winter"/>
    <s v="Saturday"/>
    <x v="3"/>
    <n v="-2.4"/>
    <n v="-9"/>
    <n v="39"/>
    <n v="24"/>
    <n v="0.94594594594594594"/>
    <x v="0"/>
    <n v="0.04"/>
    <s v=""/>
    <s v="OK"/>
    <s v="No"/>
  </r>
  <r>
    <n v="184"/>
    <s v="Merge 1+2"/>
    <n v="184"/>
    <n v="184"/>
    <n v="0"/>
    <x v="7"/>
    <n v="1"/>
    <n v="0"/>
    <n v="1"/>
    <x v="22"/>
    <b v="0"/>
    <n v="6"/>
    <n v="1"/>
    <n v="0.12"/>
    <n v="0.1061"/>
    <n v="0.1061"/>
    <n v="0.36"/>
    <n v="0.3881"/>
    <n v="1"/>
    <n v="33"/>
    <n v="34"/>
    <x v="0"/>
    <x v="0"/>
    <s v="Winter"/>
    <s v="Saturday"/>
    <x v="3"/>
    <n v="-2.4"/>
    <n v="-9"/>
    <n v="36"/>
    <n v="26"/>
    <n v="0.97058823529411764"/>
    <x v="0"/>
    <n v="0.31"/>
    <s v=""/>
    <s v="OK"/>
    <s v="No"/>
  </r>
  <r>
    <n v="185"/>
    <s v="Merge 1+2"/>
    <n v="185"/>
    <n v="185"/>
    <n v="0"/>
    <x v="7"/>
    <n v="1"/>
    <n v="0"/>
    <n v="1"/>
    <x v="23"/>
    <b v="0"/>
    <n v="6"/>
    <n v="1"/>
    <n v="0.1"/>
    <n v="6.0600000000000001E-2"/>
    <n v="6.0600000000000001E-2"/>
    <n v="0.39"/>
    <n v="0.44779999999999998"/>
    <n v="0"/>
    <n v="22"/>
    <n v="22"/>
    <x v="0"/>
    <x v="0"/>
    <s v="Winter"/>
    <s v="Saturday"/>
    <x v="3"/>
    <n v="-3.3"/>
    <n v="-12"/>
    <n v="39"/>
    <n v="30"/>
    <n v="1"/>
    <x v="0"/>
    <n v="-0.31"/>
    <s v=""/>
    <s v="OK"/>
    <s v="No"/>
  </r>
  <r>
    <n v="186"/>
    <s v="Merge 1+2"/>
    <n v="186"/>
    <n v="186"/>
    <n v="0"/>
    <x v="8"/>
    <n v="1"/>
    <n v="0"/>
    <n v="1"/>
    <x v="0"/>
    <b v="0"/>
    <n v="0"/>
    <n v="1"/>
    <n v="0.1"/>
    <n v="7.5800000000000006E-2"/>
    <n v="7.5800000000000006E-2"/>
    <n v="0.42"/>
    <n v="0.3881"/>
    <n v="1"/>
    <n v="24"/>
    <n v="25"/>
    <x v="0"/>
    <x v="0"/>
    <s v="Winter"/>
    <s v="Sunday"/>
    <x v="0"/>
    <n v="-3.3"/>
    <n v="-11"/>
    <n v="42"/>
    <n v="26"/>
    <n v="0.96"/>
    <x v="0"/>
    <n v="-0.26"/>
    <s v=""/>
    <s v="OK"/>
    <s v="No"/>
  </r>
  <r>
    <n v="187"/>
    <s v="Merge 1+2"/>
    <n v="187"/>
    <n v="187"/>
    <n v="0"/>
    <x v="8"/>
    <n v="1"/>
    <n v="0"/>
    <n v="1"/>
    <x v="1"/>
    <b v="0"/>
    <n v="0"/>
    <n v="1"/>
    <n v="0.1"/>
    <n v="6.0600000000000001E-2"/>
    <n v="6.0600000000000001E-2"/>
    <n v="0.42"/>
    <n v="0.4627"/>
    <n v="0"/>
    <n v="12"/>
    <n v="12"/>
    <x v="0"/>
    <x v="0"/>
    <s v="Winter"/>
    <s v="Sunday"/>
    <x v="0"/>
    <n v="-3.3"/>
    <n v="-12"/>
    <n v="42"/>
    <n v="31"/>
    <n v="1"/>
    <x v="1"/>
    <n v="-1.04"/>
    <s v=""/>
    <s v="OK"/>
    <s v="No"/>
  </r>
  <r>
    <n v="188"/>
    <s v="Merge 1+2"/>
    <n v="188"/>
    <n v="188"/>
    <n v="0"/>
    <x v="8"/>
    <n v="1"/>
    <n v="0"/>
    <n v="1"/>
    <x v="2"/>
    <b v="0"/>
    <n v="0"/>
    <n v="1"/>
    <n v="0.1"/>
    <n v="6.0600000000000001E-2"/>
    <n v="6.0600000000000001E-2"/>
    <n v="0.46"/>
    <n v="0.4627"/>
    <n v="0"/>
    <n v="11"/>
    <n v="11"/>
    <x v="0"/>
    <x v="0"/>
    <s v="Winter"/>
    <s v="Sunday"/>
    <x v="0"/>
    <n v="-3.3"/>
    <n v="-12"/>
    <n v="46"/>
    <n v="31"/>
    <n v="1"/>
    <x v="1"/>
    <n v="-0.74"/>
    <s v=""/>
    <s v="OK"/>
    <s v="No"/>
  </r>
  <r>
    <n v="189"/>
    <s v="Merge 1+2"/>
    <n v="189"/>
    <n v="189"/>
    <n v="0"/>
    <x v="8"/>
    <n v="1"/>
    <n v="0"/>
    <n v="1"/>
    <x v="3"/>
    <b v="0"/>
    <n v="0"/>
    <n v="1"/>
    <n v="0.1"/>
    <n v="7.5800000000000006E-2"/>
    <n v="7.5800000000000006E-2"/>
    <n v="0.46"/>
    <n v="0.41789999999999999"/>
    <n v="0"/>
    <n v="4"/>
    <n v="4"/>
    <x v="0"/>
    <x v="0"/>
    <s v="Winter"/>
    <s v="Sunday"/>
    <x v="0"/>
    <n v="-3.3"/>
    <n v="-11"/>
    <n v="46"/>
    <n v="28"/>
    <n v="1"/>
    <x v="1"/>
    <n v="-1.25"/>
    <s v=""/>
    <s v="OK"/>
    <s v="No"/>
  </r>
  <r>
    <n v="190"/>
    <s v="Merge 1+2"/>
    <n v="190"/>
    <n v="190"/>
    <n v="0"/>
    <x v="8"/>
    <n v="1"/>
    <n v="0"/>
    <n v="1"/>
    <x v="4"/>
    <b v="0"/>
    <n v="0"/>
    <n v="1"/>
    <n v="0.08"/>
    <n v="9.0899999999999995E-2"/>
    <n v="9.0899999999999995E-2"/>
    <n v="0.53"/>
    <n v="0.19400000000000001"/>
    <n v="0"/>
    <n v="1"/>
    <n v="1"/>
    <x v="0"/>
    <x v="0"/>
    <s v="Winter"/>
    <s v="Sunday"/>
    <x v="0"/>
    <n v="-4.2"/>
    <n v="-10"/>
    <n v="53"/>
    <n v="13"/>
    <n v="1"/>
    <x v="1"/>
    <n v="-0.87"/>
    <s v=""/>
    <s v="OK"/>
    <s v="No"/>
  </r>
  <r>
    <n v="191"/>
    <s v="Merge 1+2"/>
    <n v="191"/>
    <n v="191"/>
    <n v="0"/>
    <x v="8"/>
    <n v="1"/>
    <n v="0"/>
    <n v="1"/>
    <x v="5"/>
    <b v="0"/>
    <n v="0"/>
    <n v="1"/>
    <n v="0.08"/>
    <n v="9.0899999999999995E-2"/>
    <n v="9.0899999999999995E-2"/>
    <n v="0.53"/>
    <n v="0.19400000000000001"/>
    <n v="0"/>
    <n v="1"/>
    <n v="1"/>
    <x v="0"/>
    <x v="0"/>
    <s v="Winter"/>
    <s v="Sunday"/>
    <x v="0"/>
    <n v="-4.2"/>
    <n v="-10"/>
    <n v="53"/>
    <n v="13"/>
    <n v="1"/>
    <x v="1"/>
    <n v="-0.62"/>
    <s v=""/>
    <s v="OK"/>
    <s v="No"/>
  </r>
  <r>
    <n v="192"/>
    <s v="Merge 1+2"/>
    <n v="192"/>
    <n v="192"/>
    <n v="0"/>
    <x v="8"/>
    <n v="1"/>
    <n v="0"/>
    <n v="1"/>
    <x v="6"/>
    <b v="0"/>
    <n v="0"/>
    <n v="1"/>
    <n v="0.1"/>
    <n v="9.0899999999999995E-2"/>
    <n v="9.0899999999999995E-2"/>
    <n v="0.49"/>
    <n v="0.28360000000000002"/>
    <n v="0"/>
    <n v="1"/>
    <n v="1"/>
    <x v="0"/>
    <x v="0"/>
    <s v="Winter"/>
    <s v="Sunday"/>
    <x v="1"/>
    <n v="-3.3"/>
    <n v="-10"/>
    <n v="49"/>
    <n v="19"/>
    <n v="1"/>
    <x v="1"/>
    <n v="-0.97"/>
    <s v=""/>
    <s v="OK"/>
    <s v="No"/>
  </r>
  <r>
    <n v="193"/>
    <s v="Merge 1+2"/>
    <n v="193"/>
    <n v="193"/>
    <n v="0"/>
    <x v="8"/>
    <n v="1"/>
    <n v="0"/>
    <n v="1"/>
    <x v="7"/>
    <b v="0"/>
    <n v="0"/>
    <n v="1"/>
    <n v="0.08"/>
    <n v="9.0899999999999995E-2"/>
    <n v="9.0899999999999995E-2"/>
    <n v="0.53"/>
    <n v="0.19400000000000001"/>
    <n v="1"/>
    <n v="5"/>
    <n v="6"/>
    <x v="0"/>
    <x v="0"/>
    <s v="Winter"/>
    <s v="Sunday"/>
    <x v="1"/>
    <n v="-4.2"/>
    <n v="-10"/>
    <n v="53"/>
    <n v="13"/>
    <n v="0.83333333333333337"/>
    <x v="1"/>
    <n v="0.02"/>
    <s v=""/>
    <s v="OK"/>
    <s v="No"/>
  </r>
  <r>
    <n v="194"/>
    <s v="Merge 1+2"/>
    <n v="194"/>
    <n v="194"/>
    <n v="0"/>
    <x v="8"/>
    <n v="1"/>
    <n v="0"/>
    <n v="1"/>
    <x v="8"/>
    <b v="0"/>
    <n v="0"/>
    <n v="1"/>
    <n v="0.1"/>
    <n v="9.0899999999999995E-2"/>
    <n v="9.0899999999999995E-2"/>
    <n v="0.49"/>
    <n v="0.28360000000000002"/>
    <n v="0"/>
    <n v="10"/>
    <n v="10"/>
    <x v="0"/>
    <x v="0"/>
    <s v="Winter"/>
    <s v="Sunday"/>
    <x v="1"/>
    <n v="-3.3"/>
    <n v="-10"/>
    <n v="49"/>
    <n v="19"/>
    <n v="1"/>
    <x v="1"/>
    <n v="-0.97"/>
    <s v=""/>
    <s v="OK"/>
    <s v="No"/>
  </r>
  <r>
    <n v="195"/>
    <s v="Merge 1+2"/>
    <n v="195"/>
    <n v="195"/>
    <n v="0"/>
    <x v="8"/>
    <n v="1"/>
    <n v="0"/>
    <n v="1"/>
    <x v="9"/>
    <b v="0"/>
    <n v="0"/>
    <n v="1"/>
    <n v="0.12"/>
    <n v="7.5800000000000006E-2"/>
    <n v="7.5800000000000006E-2"/>
    <n v="0.46"/>
    <n v="0.52239999999999998"/>
    <n v="0"/>
    <n v="19"/>
    <n v="19"/>
    <x v="0"/>
    <x v="0"/>
    <s v="Winter"/>
    <s v="Sunday"/>
    <x v="1"/>
    <n v="-2.4"/>
    <n v="-11"/>
    <n v="46"/>
    <n v="35"/>
    <n v="1"/>
    <x v="0"/>
    <n v="-1.1499999999999999"/>
    <s v=""/>
    <s v="OK"/>
    <s v="No"/>
  </r>
  <r>
    <n v="196"/>
    <s v="Merge 1+2"/>
    <n v="196"/>
    <n v="196"/>
    <n v="0"/>
    <x v="8"/>
    <n v="1"/>
    <n v="0"/>
    <n v="1"/>
    <x v="10"/>
    <b v="0"/>
    <n v="0"/>
    <n v="1"/>
    <n v="0.14000000000000001"/>
    <n v="0.1061"/>
    <n v="0.1061"/>
    <n v="0.43"/>
    <n v="0.3881"/>
    <n v="0"/>
    <n v="49"/>
    <n v="49"/>
    <x v="0"/>
    <x v="0"/>
    <s v="Winter"/>
    <s v="Sunday"/>
    <x v="1"/>
    <n v="-1.4"/>
    <n v="-9"/>
    <n v="43"/>
    <n v="26"/>
    <n v="1"/>
    <x v="0"/>
    <n v="-0.69"/>
    <s v=""/>
    <s v="OK"/>
    <s v="No"/>
  </r>
  <r>
    <n v="197"/>
    <s v="Merge 1+2"/>
    <n v="197"/>
    <n v="197"/>
    <n v="0"/>
    <x v="8"/>
    <n v="1"/>
    <n v="0"/>
    <n v="1"/>
    <x v="11"/>
    <b v="0"/>
    <n v="0"/>
    <n v="1"/>
    <n v="0.16"/>
    <n v="0.1212"/>
    <n v="0.1212"/>
    <n v="0.4"/>
    <n v="0.52239999999999998"/>
    <n v="2"/>
    <n v="47"/>
    <n v="49"/>
    <x v="0"/>
    <x v="0"/>
    <s v="Winter"/>
    <s v="Sunday"/>
    <x v="1"/>
    <n v="-0.5"/>
    <n v="-8"/>
    <n v="40"/>
    <n v="35"/>
    <n v="0.95918367346938771"/>
    <x v="0"/>
    <n v="-1.1200000000000001"/>
    <s v=""/>
    <s v="OK"/>
    <s v="No"/>
  </r>
  <r>
    <n v="198"/>
    <s v="Merge 1+2"/>
    <n v="198"/>
    <n v="198"/>
    <n v="0"/>
    <x v="8"/>
    <n v="1"/>
    <n v="0"/>
    <n v="1"/>
    <x v="12"/>
    <b v="0"/>
    <n v="0"/>
    <n v="1"/>
    <n v="0.18"/>
    <n v="0.13639999999999999"/>
    <n v="0.13639999999999999"/>
    <n v="0.37"/>
    <n v="0.44779999999999998"/>
    <n v="4"/>
    <n v="79"/>
    <n v="83"/>
    <x v="0"/>
    <x v="0"/>
    <s v="Winter"/>
    <s v="Sunday"/>
    <x v="2"/>
    <n v="0.5"/>
    <n v="-7"/>
    <n v="37"/>
    <n v="30"/>
    <n v="0.95180722891566261"/>
    <x v="2"/>
    <n v="-0.52"/>
    <s v=""/>
    <s v="OK"/>
    <s v="No"/>
  </r>
  <r>
    <n v="199"/>
    <s v="Merge 1+2"/>
    <n v="199"/>
    <n v="199"/>
    <n v="0"/>
    <x v="8"/>
    <n v="1"/>
    <n v="0"/>
    <n v="1"/>
    <x v="13"/>
    <b v="0"/>
    <n v="0"/>
    <n v="1"/>
    <n v="0.2"/>
    <n v="0.16669999999999999"/>
    <n v="0.16669999999999999"/>
    <n v="0.34"/>
    <n v="0.44779999999999998"/>
    <n v="6"/>
    <n v="69"/>
    <n v="75"/>
    <x v="0"/>
    <x v="0"/>
    <s v="Winter"/>
    <s v="Sunday"/>
    <x v="2"/>
    <n v="1.4"/>
    <n v="-5"/>
    <n v="34"/>
    <n v="30"/>
    <n v="0.92"/>
    <x v="0"/>
    <n v="-0.8"/>
    <s v=""/>
    <s v="OK"/>
    <s v="No"/>
  </r>
  <r>
    <n v="200"/>
    <s v="Merge 1+2"/>
    <n v="200"/>
    <n v="200"/>
    <n v="0"/>
    <x v="8"/>
    <n v="1"/>
    <n v="0"/>
    <n v="1"/>
    <x v="14"/>
    <b v="0"/>
    <n v="0"/>
    <n v="1"/>
    <n v="0.22"/>
    <n v="0.18179999999999999"/>
    <n v="0.18179999999999999"/>
    <n v="0.32"/>
    <n v="0.4627"/>
    <n v="8"/>
    <n v="64"/>
    <n v="72"/>
    <x v="0"/>
    <x v="0"/>
    <s v="Winter"/>
    <s v="Sunday"/>
    <x v="2"/>
    <n v="2.2999999999999998"/>
    <n v="-4"/>
    <n v="32"/>
    <n v="31"/>
    <n v="0.88888888888888884"/>
    <x v="0"/>
    <n v="-0.94"/>
    <s v=""/>
    <s v="OK"/>
    <s v="No"/>
  </r>
  <r>
    <n v="201"/>
    <s v="Merge 1+2"/>
    <n v="201"/>
    <n v="201"/>
    <n v="0"/>
    <x v="8"/>
    <n v="1"/>
    <n v="0"/>
    <n v="1"/>
    <x v="15"/>
    <b v="0"/>
    <n v="0"/>
    <n v="1"/>
    <n v="0.22"/>
    <n v="0.19700000000000001"/>
    <n v="0.19700000000000001"/>
    <n v="0.35"/>
    <n v="0.35820000000000002"/>
    <n v="5"/>
    <n v="77"/>
    <n v="82"/>
    <x v="0"/>
    <x v="0"/>
    <s v="Winter"/>
    <s v="Sunday"/>
    <x v="2"/>
    <n v="2.2999999999999998"/>
    <n v="-3"/>
    <n v="35"/>
    <n v="24"/>
    <n v="0.93902439024390238"/>
    <x v="0"/>
    <n v="-0.77"/>
    <s v=""/>
    <s v="OK"/>
    <s v="No"/>
  </r>
  <r>
    <n v="202"/>
    <s v="Merge 1+2"/>
    <n v="202"/>
    <n v="202"/>
    <n v="0"/>
    <x v="8"/>
    <n v="1"/>
    <n v="0"/>
    <n v="1"/>
    <x v="16"/>
    <b v="0"/>
    <n v="0"/>
    <n v="1"/>
    <n v="0.2"/>
    <n v="0.16669999999999999"/>
    <n v="0.16669999999999999"/>
    <n v="0.34"/>
    <n v="0.44779999999999998"/>
    <n v="13"/>
    <n v="79"/>
    <n v="92"/>
    <x v="0"/>
    <x v="0"/>
    <s v="Winter"/>
    <s v="Sunday"/>
    <x v="2"/>
    <n v="1.4"/>
    <n v="-5"/>
    <n v="34"/>
    <n v="30"/>
    <n v="0.85869565217391308"/>
    <x v="2"/>
    <n v="-0.35"/>
    <s v=""/>
    <s v="OK"/>
    <s v="No"/>
  </r>
  <r>
    <n v="203"/>
    <s v="Merge 1+2"/>
    <n v="203"/>
    <n v="203"/>
    <n v="0"/>
    <x v="8"/>
    <n v="1"/>
    <n v="0"/>
    <n v="1"/>
    <x v="17"/>
    <b v="0"/>
    <n v="0"/>
    <n v="1"/>
    <n v="0.18"/>
    <n v="0.1515"/>
    <n v="0.1515"/>
    <n v="0.37"/>
    <n v="0.3881"/>
    <n v="3"/>
    <n v="59"/>
    <n v="62"/>
    <x v="0"/>
    <x v="0"/>
    <s v="Winter"/>
    <s v="Sunday"/>
    <x v="2"/>
    <n v="0.5"/>
    <n v="-6"/>
    <n v="37"/>
    <n v="26"/>
    <n v="0.95161290322580649"/>
    <x v="0"/>
    <n v="-0.9"/>
    <s v=""/>
    <s v="OK"/>
    <s v="No"/>
  </r>
  <r>
    <n v="204"/>
    <s v="Merge 1+2"/>
    <n v="204"/>
    <n v="204"/>
    <n v="0"/>
    <x v="8"/>
    <n v="1"/>
    <n v="0"/>
    <n v="1"/>
    <x v="18"/>
    <b v="0"/>
    <n v="0"/>
    <n v="1"/>
    <n v="0.16"/>
    <n v="0.13639999999999999"/>
    <n v="0.13639999999999999"/>
    <n v="0.4"/>
    <n v="0.32840000000000003"/>
    <n v="4"/>
    <n v="44"/>
    <n v="48"/>
    <x v="0"/>
    <x v="0"/>
    <s v="Winter"/>
    <s v="Sunday"/>
    <x v="3"/>
    <n v="-0.5"/>
    <n v="-7"/>
    <n v="40"/>
    <n v="22"/>
    <n v="0.91666666666666663"/>
    <x v="0"/>
    <n v="-1.03"/>
    <s v=""/>
    <s v="OK"/>
    <s v="No"/>
  </r>
  <r>
    <n v="205"/>
    <s v="Merge 1+2"/>
    <n v="205"/>
    <n v="205"/>
    <n v="0"/>
    <x v="8"/>
    <n v="1"/>
    <n v="0"/>
    <n v="1"/>
    <x v="19"/>
    <b v="0"/>
    <n v="0"/>
    <n v="1"/>
    <n v="0.16"/>
    <n v="0.13639999999999999"/>
    <n v="0.13639999999999999"/>
    <n v="0.43"/>
    <n v="0.32840000000000003"/>
    <n v="1"/>
    <n v="40"/>
    <n v="41"/>
    <x v="0"/>
    <x v="0"/>
    <s v="Winter"/>
    <s v="Sunday"/>
    <x v="3"/>
    <n v="-0.5"/>
    <n v="-7"/>
    <n v="43"/>
    <n v="22"/>
    <n v="0.97560975609756095"/>
    <x v="0"/>
    <n v="-0.56999999999999995"/>
    <s v=""/>
    <s v="OK"/>
    <s v="No"/>
  </r>
  <r>
    <n v="206"/>
    <s v="Merge 1+2"/>
    <n v="206"/>
    <n v="206"/>
    <n v="0"/>
    <x v="8"/>
    <n v="1"/>
    <n v="0"/>
    <n v="1"/>
    <x v="20"/>
    <b v="0"/>
    <n v="0"/>
    <n v="1"/>
    <n v="0.14000000000000001"/>
    <n v="0.1212"/>
    <n v="0.1212"/>
    <n v="0.46"/>
    <n v="0.25369999999999998"/>
    <n v="0"/>
    <n v="38"/>
    <n v="38"/>
    <x v="0"/>
    <x v="0"/>
    <s v="Winter"/>
    <s v="Sunday"/>
    <x v="3"/>
    <n v="-1.4"/>
    <n v="-8"/>
    <n v="46"/>
    <n v="17"/>
    <n v="1"/>
    <x v="0"/>
    <n v="-0.13"/>
    <s v=""/>
    <s v="OK"/>
    <s v="No"/>
  </r>
  <r>
    <n v="207"/>
    <s v="Merge 1+2"/>
    <n v="207"/>
    <n v="207"/>
    <n v="0"/>
    <x v="8"/>
    <n v="1"/>
    <n v="0"/>
    <n v="1"/>
    <x v="21"/>
    <b v="0"/>
    <n v="0"/>
    <n v="1"/>
    <n v="0.14000000000000001"/>
    <n v="0.1061"/>
    <n v="0.1061"/>
    <n v="0.46"/>
    <n v="0.41789999999999999"/>
    <n v="1"/>
    <n v="19"/>
    <n v="20"/>
    <x v="0"/>
    <x v="0"/>
    <s v="Winter"/>
    <s v="Sunday"/>
    <x v="3"/>
    <n v="-1.4"/>
    <n v="-9"/>
    <n v="46"/>
    <n v="28"/>
    <n v="0.95"/>
    <x v="0"/>
    <n v="-1.38"/>
    <s v=""/>
    <s v="OK"/>
    <s v="No"/>
  </r>
  <r>
    <n v="208"/>
    <s v="Merge 1+2"/>
    <n v="208"/>
    <n v="208"/>
    <n v="0"/>
    <x v="8"/>
    <n v="1"/>
    <n v="0"/>
    <n v="1"/>
    <x v="22"/>
    <b v="0"/>
    <n v="0"/>
    <n v="1"/>
    <n v="0.14000000000000001"/>
    <n v="0.1212"/>
    <n v="0.1212"/>
    <n v="0.46"/>
    <n v="0.29849999999999999"/>
    <n v="5"/>
    <n v="10"/>
    <n v="15"/>
    <x v="0"/>
    <x v="0"/>
    <s v="Winter"/>
    <s v="Sunday"/>
    <x v="3"/>
    <n v="-1.4"/>
    <n v="-8"/>
    <n v="46"/>
    <n v="20"/>
    <n v="0.66666666666666663"/>
    <x v="1"/>
    <n v="-1.06"/>
    <s v=""/>
    <s v="OK"/>
    <s v="No"/>
  </r>
  <r>
    <n v="209"/>
    <s v="Merge 1+2"/>
    <n v="209"/>
    <n v="209"/>
    <n v="0"/>
    <x v="8"/>
    <n v="1"/>
    <n v="0"/>
    <n v="1"/>
    <x v="23"/>
    <b v="0"/>
    <n v="0"/>
    <n v="1"/>
    <n v="0.12"/>
    <n v="0.13639999999999999"/>
    <n v="0.13639999999999999"/>
    <n v="0.5"/>
    <n v="0.19400000000000001"/>
    <n v="0"/>
    <n v="6"/>
    <n v="6"/>
    <x v="0"/>
    <x v="0"/>
    <s v="Winter"/>
    <s v="Sunday"/>
    <x v="3"/>
    <n v="-2.4"/>
    <n v="-7"/>
    <n v="50"/>
    <n v="13"/>
    <n v="1"/>
    <x v="1"/>
    <n v="-1.39"/>
    <s v=""/>
    <s v="OK"/>
    <s v="No"/>
  </r>
  <r>
    <n v="210"/>
    <s v="Merge 1+2"/>
    <n v="210"/>
    <n v="210"/>
    <n v="0"/>
    <x v="9"/>
    <n v="1"/>
    <n v="0"/>
    <n v="1"/>
    <x v="0"/>
    <b v="0"/>
    <n v="1"/>
    <n v="1"/>
    <n v="0.12"/>
    <n v="0.1212"/>
    <n v="0.1212"/>
    <n v="0.5"/>
    <n v="0.28360000000000002"/>
    <n v="2"/>
    <n v="3"/>
    <n v="5"/>
    <x v="1"/>
    <x v="0"/>
    <s v="Winter"/>
    <s v="Monday"/>
    <x v="0"/>
    <n v="-2.4"/>
    <n v="-8"/>
    <n v="50"/>
    <n v="19"/>
    <n v="0.6"/>
    <x v="1"/>
    <n v="-1.1299999999999999"/>
    <s v=""/>
    <s v="OK"/>
    <s v="No"/>
  </r>
  <r>
    <n v="211"/>
    <s v="Merge 1+2"/>
    <n v="211"/>
    <n v="211"/>
    <n v="0"/>
    <x v="9"/>
    <n v="1"/>
    <n v="0"/>
    <n v="1"/>
    <x v="1"/>
    <b v="0"/>
    <n v="1"/>
    <n v="1"/>
    <n v="0.12"/>
    <n v="0.1212"/>
    <n v="0.1212"/>
    <n v="0.5"/>
    <n v="0.28360000000000002"/>
    <n v="1"/>
    <n v="0"/>
    <n v="1"/>
    <x v="1"/>
    <x v="0"/>
    <s v="Winter"/>
    <s v="Monday"/>
    <x v="0"/>
    <n v="-2.4"/>
    <n v="-8"/>
    <n v="50"/>
    <n v="19"/>
    <n v="0"/>
    <x v="1"/>
    <n v="-1.84"/>
    <s v=""/>
    <s v="OK"/>
    <s v="No"/>
  </r>
  <r>
    <n v="212"/>
    <s v="Merge 1+2"/>
    <n v="212"/>
    <n v="212"/>
    <n v="0"/>
    <x v="9"/>
    <n v="1"/>
    <n v="0"/>
    <n v="1"/>
    <x v="2"/>
    <b v="0"/>
    <n v="1"/>
    <n v="1"/>
    <n v="0.12"/>
    <n v="0.1212"/>
    <n v="0.1212"/>
    <n v="0.5"/>
    <n v="0.22389999999999999"/>
    <n v="0"/>
    <n v="3"/>
    <n v="3"/>
    <x v="1"/>
    <x v="0"/>
    <s v="Winter"/>
    <s v="Monday"/>
    <x v="0"/>
    <n v="-2.4"/>
    <n v="-8"/>
    <n v="50"/>
    <n v="15"/>
    <n v="1"/>
    <x v="1"/>
    <n v="0.33"/>
    <s v=""/>
    <s v="OK"/>
    <s v="No"/>
  </r>
  <r>
    <n v="213"/>
    <s v="Merge 1+2"/>
    <n v="213"/>
    <n v="213"/>
    <n v="0"/>
    <x v="9"/>
    <n v="1"/>
    <n v="0"/>
    <n v="1"/>
    <x v="3"/>
    <b v="0"/>
    <n v="1"/>
    <n v="1"/>
    <n v="0.12"/>
    <n v="0.1212"/>
    <n v="0.1212"/>
    <n v="0.5"/>
    <n v="0.22389999999999999"/>
    <n v="0"/>
    <n v="1"/>
    <n v="1"/>
    <x v="1"/>
    <x v="0"/>
    <s v="Winter"/>
    <s v="Monday"/>
    <x v="0"/>
    <n v="-2.4"/>
    <n v="-8"/>
    <n v="50"/>
    <n v="15"/>
    <n v="1"/>
    <x v="1"/>
    <n v="-0.61"/>
    <s v=""/>
    <s v="OK"/>
    <s v="No"/>
  </r>
  <r>
    <n v="214"/>
    <s v="Merge 1+2"/>
    <n v="214"/>
    <n v="214"/>
    <n v="0"/>
    <x v="9"/>
    <n v="1"/>
    <n v="0"/>
    <n v="1"/>
    <x v="4"/>
    <b v="0"/>
    <n v="1"/>
    <n v="1"/>
    <n v="0.1"/>
    <n v="0.1212"/>
    <n v="0.1212"/>
    <n v="0.54"/>
    <n v="0.1343"/>
    <n v="1"/>
    <n v="2"/>
    <n v="3"/>
    <x v="1"/>
    <x v="0"/>
    <s v="Winter"/>
    <s v="Monday"/>
    <x v="0"/>
    <n v="-3.3"/>
    <n v="-8"/>
    <n v="54"/>
    <n v="9"/>
    <n v="0.66666666666666663"/>
    <x v="1"/>
    <n v="1.43"/>
    <s v=""/>
    <s v="OK"/>
    <s v="No"/>
  </r>
  <r>
    <n v="215"/>
    <s v="Merge 1+2"/>
    <n v="215"/>
    <n v="215"/>
    <n v="0"/>
    <x v="9"/>
    <n v="1"/>
    <n v="0"/>
    <n v="1"/>
    <x v="5"/>
    <b v="0"/>
    <n v="1"/>
    <n v="1"/>
    <n v="0.1"/>
    <n v="0.1061"/>
    <n v="0.1061"/>
    <n v="0.54"/>
    <n v="0.25369999999999998"/>
    <n v="0"/>
    <n v="3"/>
    <n v="3"/>
    <x v="1"/>
    <x v="0"/>
    <s v="Winter"/>
    <s v="Monday"/>
    <x v="0"/>
    <n v="-3.3"/>
    <n v="-9"/>
    <n v="54"/>
    <n v="17"/>
    <n v="1"/>
    <x v="1"/>
    <n v="-0.82"/>
    <s v=""/>
    <s v="OK"/>
    <s v="No"/>
  </r>
  <r>
    <n v="216"/>
    <s v="Merge 1+2"/>
    <n v="216"/>
    <n v="216"/>
    <n v="0"/>
    <x v="9"/>
    <n v="1"/>
    <n v="0"/>
    <n v="1"/>
    <x v="6"/>
    <b v="0"/>
    <n v="1"/>
    <n v="1"/>
    <n v="0.12"/>
    <n v="0.1212"/>
    <n v="0.1212"/>
    <n v="0.5"/>
    <n v="0.28360000000000002"/>
    <n v="0"/>
    <n v="31"/>
    <n v="31"/>
    <x v="1"/>
    <x v="0"/>
    <s v="Winter"/>
    <s v="Monday"/>
    <x v="1"/>
    <n v="-2.4"/>
    <n v="-8"/>
    <n v="50"/>
    <n v="19"/>
    <n v="1"/>
    <x v="0"/>
    <n v="0.33"/>
    <s v=""/>
    <s v="OK"/>
    <s v="No"/>
  </r>
  <r>
    <n v="217"/>
    <s v="Merge 1+2"/>
    <n v="217"/>
    <n v="217"/>
    <n v="0"/>
    <x v="9"/>
    <n v="1"/>
    <n v="0"/>
    <n v="1"/>
    <x v="7"/>
    <b v="0"/>
    <n v="1"/>
    <n v="1"/>
    <n v="0.12"/>
    <n v="0.1212"/>
    <n v="0.1212"/>
    <n v="0.5"/>
    <n v="0.22389999999999999"/>
    <n v="2"/>
    <n v="75"/>
    <n v="77"/>
    <x v="1"/>
    <x v="0"/>
    <s v="Winter"/>
    <s v="Monday"/>
    <x v="1"/>
    <n v="-2.4"/>
    <n v="-8"/>
    <n v="50"/>
    <n v="15"/>
    <n v="0.97402597402597402"/>
    <x v="0"/>
    <n v="-0.17"/>
    <s v=""/>
    <s v="OK"/>
    <s v="No"/>
  </r>
  <r>
    <n v="218"/>
    <s v="Merge 1+2"/>
    <n v="218"/>
    <n v="218"/>
    <n v="0"/>
    <x v="9"/>
    <n v="1"/>
    <n v="0"/>
    <n v="1"/>
    <x v="8"/>
    <b v="0"/>
    <n v="1"/>
    <n v="2"/>
    <n v="0.12"/>
    <n v="0.1212"/>
    <n v="0.1212"/>
    <n v="0.5"/>
    <n v="0.28360000000000002"/>
    <n v="4"/>
    <n v="184"/>
    <n v="188"/>
    <x v="1"/>
    <x v="1"/>
    <s v="Winter"/>
    <s v="Monday"/>
    <x v="1"/>
    <n v="-2.4"/>
    <n v="-8"/>
    <n v="50"/>
    <n v="19"/>
    <n v="0.97872340425531912"/>
    <x v="2"/>
    <n v="-0.03"/>
    <s v=""/>
    <s v="OK"/>
    <s v="No"/>
  </r>
  <r>
    <n v="219"/>
    <s v="Merge 1+2"/>
    <n v="219"/>
    <n v="219"/>
    <n v="0"/>
    <x v="9"/>
    <n v="1"/>
    <n v="0"/>
    <n v="1"/>
    <x v="9"/>
    <b v="0"/>
    <n v="1"/>
    <n v="2"/>
    <n v="0.14000000000000001"/>
    <n v="0.1212"/>
    <n v="0.1212"/>
    <n v="0.5"/>
    <n v="0.25369999999999998"/>
    <n v="2"/>
    <n v="92"/>
    <n v="94"/>
    <x v="1"/>
    <x v="1"/>
    <s v="Winter"/>
    <s v="Monday"/>
    <x v="1"/>
    <n v="-1.4"/>
    <n v="-8"/>
    <n v="50"/>
    <n v="17"/>
    <n v="0.97872340425531912"/>
    <x v="2"/>
    <n v="-1.08"/>
    <s v=""/>
    <s v="OK"/>
    <s v="No"/>
  </r>
  <r>
    <n v="220"/>
    <s v="Merge 1+2"/>
    <n v="220"/>
    <n v="220"/>
    <n v="0"/>
    <x v="9"/>
    <n v="1"/>
    <n v="0"/>
    <n v="1"/>
    <x v="10"/>
    <b v="0"/>
    <n v="1"/>
    <n v="2"/>
    <n v="0.14000000000000001"/>
    <n v="0.1212"/>
    <n v="0.1212"/>
    <n v="0.5"/>
    <n v="0.29849999999999999"/>
    <n v="0"/>
    <n v="31"/>
    <n v="31"/>
    <x v="1"/>
    <x v="1"/>
    <s v="Winter"/>
    <s v="Monday"/>
    <x v="1"/>
    <n v="-1.4"/>
    <n v="-8"/>
    <n v="50"/>
    <n v="20"/>
    <n v="1"/>
    <x v="0"/>
    <n v="-1.75"/>
    <s v=""/>
    <s v="OK"/>
    <s v="No"/>
  </r>
  <r>
    <n v="221"/>
    <s v="Merge 1+2"/>
    <n v="221"/>
    <n v="221"/>
    <n v="0"/>
    <x v="9"/>
    <n v="1"/>
    <n v="0"/>
    <n v="1"/>
    <x v="11"/>
    <b v="0"/>
    <n v="1"/>
    <n v="2"/>
    <n v="0.16"/>
    <n v="0.13639999999999999"/>
    <n v="0.13639999999999999"/>
    <n v="0.47"/>
    <n v="0.28360000000000002"/>
    <n v="2"/>
    <n v="28"/>
    <n v="30"/>
    <x v="1"/>
    <x v="1"/>
    <s v="Winter"/>
    <s v="Monday"/>
    <x v="1"/>
    <n v="-0.5"/>
    <n v="-7"/>
    <n v="47"/>
    <n v="19"/>
    <n v="0.93333333333333335"/>
    <x v="0"/>
    <n v="-1.81"/>
    <s v=""/>
    <s v="OK"/>
    <s v="No"/>
  </r>
  <r>
    <n v="222"/>
    <s v="Merge 1+2"/>
    <n v="222"/>
    <n v="222"/>
    <n v="0"/>
    <x v="9"/>
    <n v="1"/>
    <n v="0"/>
    <n v="1"/>
    <x v="12"/>
    <b v="0"/>
    <n v="1"/>
    <n v="2"/>
    <n v="0.2"/>
    <n v="0.18179999999999999"/>
    <n v="0.18179999999999999"/>
    <n v="0.4"/>
    <n v="0.28360000000000002"/>
    <n v="5"/>
    <n v="47"/>
    <n v="52"/>
    <x v="1"/>
    <x v="1"/>
    <s v="Winter"/>
    <s v="Monday"/>
    <x v="2"/>
    <n v="1.4"/>
    <n v="-4"/>
    <n v="40"/>
    <n v="19"/>
    <n v="0.90384615384615385"/>
    <x v="0"/>
    <n v="-0.64"/>
    <s v=""/>
    <s v="OK"/>
    <s v="No"/>
  </r>
  <r>
    <n v="223"/>
    <s v="Merge 1+2"/>
    <n v="223"/>
    <n v="223"/>
    <n v="0"/>
    <x v="9"/>
    <n v="1"/>
    <n v="0"/>
    <n v="1"/>
    <x v="13"/>
    <b v="0"/>
    <n v="1"/>
    <n v="2"/>
    <n v="0.2"/>
    <n v="0.18179999999999999"/>
    <n v="0.18179999999999999"/>
    <n v="0.4"/>
    <n v="0.28360000000000002"/>
    <n v="4"/>
    <n v="50"/>
    <n v="54"/>
    <x v="1"/>
    <x v="1"/>
    <s v="Winter"/>
    <s v="Monday"/>
    <x v="2"/>
    <n v="1.4"/>
    <n v="-4"/>
    <n v="40"/>
    <n v="19"/>
    <n v="0.92592592592592593"/>
    <x v="0"/>
    <n v="-0.61"/>
    <s v=""/>
    <s v="OK"/>
    <s v="No"/>
  </r>
  <r>
    <n v="224"/>
    <s v="Merge 1+2"/>
    <n v="224"/>
    <n v="224"/>
    <n v="0"/>
    <x v="9"/>
    <n v="1"/>
    <n v="0"/>
    <n v="1"/>
    <x v="14"/>
    <b v="0"/>
    <n v="1"/>
    <n v="2"/>
    <n v="0.2"/>
    <n v="0.19700000000000001"/>
    <n v="0.19700000000000001"/>
    <n v="0.4"/>
    <n v="0.22389999999999999"/>
    <n v="0"/>
    <n v="47"/>
    <n v="47"/>
    <x v="1"/>
    <x v="1"/>
    <s v="Winter"/>
    <s v="Monday"/>
    <x v="2"/>
    <n v="1.4"/>
    <n v="-3"/>
    <n v="40"/>
    <n v="15"/>
    <n v="1"/>
    <x v="0"/>
    <n v="-0.79"/>
    <s v=""/>
    <s v="OK"/>
    <s v="No"/>
  </r>
  <r>
    <n v="225"/>
    <s v="Merge 1+2"/>
    <n v="225"/>
    <n v="225"/>
    <n v="0"/>
    <x v="9"/>
    <n v="1"/>
    <n v="0"/>
    <n v="1"/>
    <x v="15"/>
    <b v="0"/>
    <n v="1"/>
    <n v="2"/>
    <n v="0.2"/>
    <n v="0.19700000000000001"/>
    <n v="0.19700000000000001"/>
    <n v="0.4"/>
    <n v="0.22389999999999999"/>
    <n v="2"/>
    <n v="43"/>
    <n v="45"/>
    <x v="1"/>
    <x v="1"/>
    <s v="Winter"/>
    <s v="Monday"/>
    <x v="2"/>
    <n v="1.4"/>
    <n v="-3"/>
    <n v="40"/>
    <n v="15"/>
    <n v="0.9555555555555556"/>
    <x v="0"/>
    <n v="-1.0900000000000001"/>
    <s v=""/>
    <s v="OK"/>
    <s v="No"/>
  </r>
  <r>
    <n v="226"/>
    <s v="Merge 1+2"/>
    <n v="226"/>
    <n v="226"/>
    <n v="0"/>
    <x v="9"/>
    <n v="1"/>
    <n v="0"/>
    <n v="1"/>
    <x v="16"/>
    <b v="0"/>
    <n v="1"/>
    <n v="1"/>
    <n v="0.2"/>
    <n v="0.21210000000000001"/>
    <n v="0.21210000000000001"/>
    <n v="0.4"/>
    <n v="0.1343"/>
    <n v="4"/>
    <n v="70"/>
    <n v="74"/>
    <x v="1"/>
    <x v="0"/>
    <s v="Winter"/>
    <s v="Monday"/>
    <x v="2"/>
    <n v="1.4"/>
    <n v="-2"/>
    <n v="40"/>
    <n v="9"/>
    <n v="0.94594594594594594"/>
    <x v="0"/>
    <n v="-0.41"/>
    <s v=""/>
    <s v="OK"/>
    <s v="No"/>
  </r>
  <r>
    <n v="227"/>
    <s v="Merge 1+2"/>
    <n v="227"/>
    <n v="227"/>
    <n v="0"/>
    <x v="9"/>
    <n v="1"/>
    <n v="0"/>
    <n v="1"/>
    <x v="17"/>
    <b v="0"/>
    <n v="1"/>
    <n v="1"/>
    <n v="0.2"/>
    <n v="0.2273"/>
    <n v="0.2273"/>
    <n v="0.4"/>
    <n v="0.1045"/>
    <n v="4"/>
    <n v="174"/>
    <n v="178"/>
    <x v="1"/>
    <x v="0"/>
    <s v="Winter"/>
    <s v="Monday"/>
    <x v="2"/>
    <n v="1.4"/>
    <n v="-1"/>
    <n v="40"/>
    <n v="7"/>
    <n v="0.97752808988764039"/>
    <x v="2"/>
    <n v="0.22"/>
    <s v=""/>
    <s v="OK"/>
    <s v="No"/>
  </r>
  <r>
    <n v="228"/>
    <s v="Merge 1+2"/>
    <n v="228"/>
    <n v="228"/>
    <n v="0"/>
    <x v="9"/>
    <n v="1"/>
    <n v="0"/>
    <n v="1"/>
    <x v="18"/>
    <b v="0"/>
    <n v="1"/>
    <n v="1"/>
    <n v="0.2"/>
    <n v="0.19700000000000001"/>
    <n v="0.19700000000000001"/>
    <n v="0.4"/>
    <n v="0.22389999999999999"/>
    <n v="1"/>
    <n v="154"/>
    <n v="155"/>
    <x v="1"/>
    <x v="0"/>
    <s v="Winter"/>
    <s v="Monday"/>
    <x v="3"/>
    <n v="1.4"/>
    <n v="-3"/>
    <n v="40"/>
    <n v="15"/>
    <n v="0.99354838709677418"/>
    <x v="2"/>
    <n v="0.06"/>
    <s v=""/>
    <s v="OK"/>
    <s v="No"/>
  </r>
  <r>
    <n v="229"/>
    <s v="Merge 1+2"/>
    <n v="229"/>
    <n v="229"/>
    <n v="0"/>
    <x v="9"/>
    <n v="1"/>
    <n v="0"/>
    <n v="1"/>
    <x v="19"/>
    <b v="0"/>
    <n v="1"/>
    <n v="1"/>
    <n v="0.16"/>
    <n v="0.16669999999999999"/>
    <n v="0.16669999999999999"/>
    <n v="0.47"/>
    <n v="0.16420000000000001"/>
    <n v="3"/>
    <n v="92"/>
    <n v="95"/>
    <x v="1"/>
    <x v="0"/>
    <s v="Winter"/>
    <s v="Monday"/>
    <x v="3"/>
    <n v="-0.5"/>
    <n v="-5"/>
    <n v="47"/>
    <n v="11"/>
    <n v="0.96842105263157896"/>
    <x v="2"/>
    <n v="-0.43"/>
    <s v=""/>
    <s v="OK"/>
    <s v="No"/>
  </r>
  <r>
    <n v="230"/>
    <s v="Merge 1+2"/>
    <n v="230"/>
    <n v="230"/>
    <n v="0"/>
    <x v="9"/>
    <n v="1"/>
    <n v="0"/>
    <n v="1"/>
    <x v="20"/>
    <b v="0"/>
    <n v="1"/>
    <n v="1"/>
    <n v="0.16"/>
    <n v="0.16669999999999999"/>
    <n v="0.16669999999999999"/>
    <n v="0.5"/>
    <n v="0.16420000000000001"/>
    <n v="1"/>
    <n v="73"/>
    <n v="74"/>
    <x v="1"/>
    <x v="0"/>
    <s v="Winter"/>
    <s v="Monday"/>
    <x v="3"/>
    <n v="-0.5"/>
    <n v="-5"/>
    <n v="50"/>
    <n v="11"/>
    <n v="0.98648648648648651"/>
    <x v="0"/>
    <n v="0.02"/>
    <s v=""/>
    <s v="OK"/>
    <s v="No"/>
  </r>
  <r>
    <n v="231"/>
    <s v="Merge 1+2"/>
    <n v="231"/>
    <n v="231"/>
    <n v="0"/>
    <x v="9"/>
    <n v="1"/>
    <n v="0"/>
    <n v="1"/>
    <x v="21"/>
    <b v="0"/>
    <n v="1"/>
    <n v="1"/>
    <n v="0.14000000000000001"/>
    <n v="0.13639999999999999"/>
    <n v="0.13639999999999999"/>
    <n v="0.59"/>
    <n v="0.19400000000000001"/>
    <n v="1"/>
    <n v="37"/>
    <n v="38"/>
    <x v="1"/>
    <x v="0"/>
    <s v="Winter"/>
    <s v="Monday"/>
    <x v="3"/>
    <n v="-1.4"/>
    <n v="-7"/>
    <n v="59"/>
    <n v="13"/>
    <n v="0.97368421052631582"/>
    <x v="0"/>
    <n v="-1.04"/>
    <s v=""/>
    <s v="OK"/>
    <s v="No"/>
  </r>
  <r>
    <n v="232"/>
    <s v="Merge 1+2"/>
    <n v="232"/>
    <n v="232"/>
    <n v="0"/>
    <x v="9"/>
    <n v="1"/>
    <n v="0"/>
    <n v="1"/>
    <x v="22"/>
    <b v="0"/>
    <n v="1"/>
    <n v="1"/>
    <n v="0.14000000000000001"/>
    <n v="0.1515"/>
    <n v="0.1515"/>
    <n v="0.59"/>
    <n v="0.16420000000000001"/>
    <n v="2"/>
    <n v="22"/>
    <n v="24"/>
    <x v="1"/>
    <x v="0"/>
    <s v="Winter"/>
    <s v="Monday"/>
    <x v="3"/>
    <n v="-1.4"/>
    <n v="-6"/>
    <n v="59"/>
    <n v="11"/>
    <n v="0.91666666666666663"/>
    <x v="0"/>
    <n v="-1.41"/>
    <s v=""/>
    <s v="OK"/>
    <s v="No"/>
  </r>
  <r>
    <n v="233"/>
    <s v="Merge 1+2"/>
    <n v="233"/>
    <n v="233"/>
    <n v="0"/>
    <x v="9"/>
    <n v="1"/>
    <n v="0"/>
    <n v="1"/>
    <x v="23"/>
    <b v="0"/>
    <n v="1"/>
    <n v="1"/>
    <n v="0.14000000000000001"/>
    <n v="0.1515"/>
    <n v="0.1515"/>
    <n v="0.59"/>
    <n v="0.16420000000000001"/>
    <n v="0"/>
    <n v="18"/>
    <n v="18"/>
    <x v="1"/>
    <x v="0"/>
    <s v="Winter"/>
    <s v="Monday"/>
    <x v="3"/>
    <n v="-1.4"/>
    <n v="-6"/>
    <n v="59"/>
    <n v="11"/>
    <n v="1"/>
    <x v="0"/>
    <n v="-0.64"/>
    <s v=""/>
    <s v="OK"/>
    <s v="No"/>
  </r>
  <r>
    <n v="234"/>
    <s v="Merge 1+2"/>
    <n v="234"/>
    <n v="234"/>
    <n v="0"/>
    <x v="10"/>
    <n v="1"/>
    <n v="0"/>
    <n v="1"/>
    <x v="0"/>
    <b v="0"/>
    <n v="2"/>
    <n v="1"/>
    <n v="0.14000000000000001"/>
    <n v="0.16669999999999999"/>
    <n v="0.16669999999999999"/>
    <n v="0.59"/>
    <n v="0.1045"/>
    <n v="2"/>
    <n v="10"/>
    <n v="12"/>
    <x v="1"/>
    <x v="0"/>
    <s v="Winter"/>
    <s v="Tuesday"/>
    <x v="0"/>
    <n v="-1.4"/>
    <n v="-5"/>
    <n v="59"/>
    <n v="7"/>
    <n v="0.83333333333333337"/>
    <x v="1"/>
    <n v="0.32"/>
    <s v=""/>
    <s v="OK"/>
    <s v="No"/>
  </r>
  <r>
    <n v="235"/>
    <s v="Merge 1+2"/>
    <n v="235"/>
    <n v="235"/>
    <n v="0"/>
    <x v="10"/>
    <n v="1"/>
    <n v="0"/>
    <n v="1"/>
    <x v="1"/>
    <b v="0"/>
    <n v="2"/>
    <n v="1"/>
    <n v="0.14000000000000001"/>
    <n v="0.1515"/>
    <n v="0.1515"/>
    <n v="0.59"/>
    <n v="0.16420000000000001"/>
    <n v="0"/>
    <n v="3"/>
    <n v="3"/>
    <x v="1"/>
    <x v="0"/>
    <s v="Winter"/>
    <s v="Tuesday"/>
    <x v="0"/>
    <n v="-1.4"/>
    <n v="-6"/>
    <n v="59"/>
    <n v="11"/>
    <n v="1"/>
    <x v="1"/>
    <n v="-0.85"/>
    <s v=""/>
    <s v="OK"/>
    <s v="No"/>
  </r>
  <r>
    <n v="236"/>
    <s v="Merge 1+2"/>
    <n v="236"/>
    <n v="236"/>
    <n v="0"/>
    <x v="10"/>
    <n v="1"/>
    <n v="0"/>
    <n v="1"/>
    <x v="2"/>
    <b v="0"/>
    <n v="2"/>
    <n v="2"/>
    <n v="0.16"/>
    <n v="0.1515"/>
    <n v="0.1515"/>
    <n v="0.55000000000000004"/>
    <n v="0.19400000000000001"/>
    <n v="0"/>
    <n v="3"/>
    <n v="3"/>
    <x v="1"/>
    <x v="1"/>
    <s v="Winter"/>
    <s v="Tuesday"/>
    <x v="0"/>
    <n v="-0.5"/>
    <n v="-6"/>
    <n v="55"/>
    <n v="13"/>
    <n v="1"/>
    <x v="1"/>
    <n v="0.33"/>
    <s v=""/>
    <s v="OK"/>
    <s v="No"/>
  </r>
  <r>
    <n v="237"/>
    <s v="Merge 1+2"/>
    <n v="237"/>
    <n v="237"/>
    <n v="0"/>
    <x v="10"/>
    <n v="1"/>
    <n v="0"/>
    <n v="1"/>
    <x v="5"/>
    <b v="0"/>
    <n v="2"/>
    <n v="2"/>
    <n v="0.16"/>
    <n v="0.18179999999999999"/>
    <n v="0.18179999999999999"/>
    <n v="0.55000000000000004"/>
    <n v="0.1343"/>
    <n v="0"/>
    <n v="6"/>
    <n v="6"/>
    <x v="1"/>
    <x v="1"/>
    <s v="Winter"/>
    <s v="Tuesday"/>
    <x v="0"/>
    <n v="-0.5"/>
    <n v="-4"/>
    <n v="55"/>
    <n v="9"/>
    <n v="1"/>
    <x v="1"/>
    <n v="0.5"/>
    <s v=""/>
    <s v="OK"/>
    <s v="No"/>
  </r>
  <r>
    <n v="238"/>
    <s v="Merge 1+2"/>
    <n v="238"/>
    <n v="238"/>
    <n v="0"/>
    <x v="10"/>
    <n v="1"/>
    <n v="0"/>
    <n v="1"/>
    <x v="6"/>
    <b v="0"/>
    <n v="2"/>
    <n v="2"/>
    <n v="0.16"/>
    <n v="0.18179999999999999"/>
    <n v="0.18179999999999999"/>
    <n v="0.55000000000000004"/>
    <n v="0.1343"/>
    <n v="0"/>
    <n v="27"/>
    <n v="27"/>
    <x v="1"/>
    <x v="1"/>
    <s v="Winter"/>
    <s v="Tuesday"/>
    <x v="1"/>
    <n v="-0.5"/>
    <n v="-4"/>
    <n v="55"/>
    <n v="9"/>
    <n v="1"/>
    <x v="0"/>
    <n v="-0.14000000000000001"/>
    <s v=""/>
    <s v="OK"/>
    <s v="No"/>
  </r>
  <r>
    <n v="239"/>
    <s v="Merge 1+2"/>
    <n v="239"/>
    <n v="239"/>
    <n v="0"/>
    <x v="10"/>
    <n v="1"/>
    <n v="0"/>
    <n v="1"/>
    <x v="7"/>
    <b v="0"/>
    <n v="2"/>
    <n v="2"/>
    <n v="0.16"/>
    <n v="0.2273"/>
    <n v="0.2273"/>
    <n v="0.55000000000000004"/>
    <n v="0"/>
    <n v="2"/>
    <n v="97"/>
    <n v="99"/>
    <x v="1"/>
    <x v="1"/>
    <s v="Winter"/>
    <s v="Tuesday"/>
    <x v="1"/>
    <n v="-0.5"/>
    <n v="-1"/>
    <n v="55"/>
    <n v="0"/>
    <n v="0.97979797979797978"/>
    <x v="2"/>
    <n v="0.97"/>
    <s v=""/>
    <s v="OK"/>
    <s v="No"/>
  </r>
  <r>
    <n v="240"/>
    <s v="Merge 1+2"/>
    <n v="240"/>
    <n v="240"/>
    <n v="0"/>
    <x v="10"/>
    <n v="1"/>
    <n v="0"/>
    <n v="1"/>
    <x v="8"/>
    <b v="0"/>
    <n v="2"/>
    <n v="2"/>
    <n v="0.18"/>
    <n v="0.21210000000000001"/>
    <n v="0.21210000000000001"/>
    <n v="0.51"/>
    <n v="8.9599999999999999E-2"/>
    <n v="3"/>
    <n v="214"/>
    <n v="217"/>
    <x v="1"/>
    <x v="1"/>
    <s v="Winter"/>
    <s v="Tuesday"/>
    <x v="1"/>
    <n v="0.5"/>
    <n v="-2"/>
    <n v="51"/>
    <n v="6"/>
    <n v="0.98617511520737322"/>
    <x v="2"/>
    <n v="0.71"/>
    <s v=""/>
    <s v="OK"/>
    <s v="No"/>
  </r>
  <r>
    <n v="241"/>
    <s v="Merge 1+2"/>
    <n v="241"/>
    <n v="241"/>
    <n v="0"/>
    <x v="10"/>
    <n v="1"/>
    <n v="0"/>
    <n v="1"/>
    <x v="9"/>
    <b v="0"/>
    <n v="2"/>
    <n v="2"/>
    <n v="0.18"/>
    <n v="0.19700000000000001"/>
    <n v="0.19700000000000001"/>
    <n v="0.51"/>
    <n v="0.16420000000000001"/>
    <n v="3"/>
    <n v="127"/>
    <n v="130"/>
    <x v="1"/>
    <x v="1"/>
    <s v="Winter"/>
    <s v="Tuesday"/>
    <x v="1"/>
    <n v="0.5"/>
    <n v="-3"/>
    <n v="51"/>
    <n v="11"/>
    <n v="0.97692307692307689"/>
    <x v="2"/>
    <n v="0.53"/>
    <s v=""/>
    <s v="OK"/>
    <s v="No"/>
  </r>
  <r>
    <n v="242"/>
    <s v="Merge 1+2"/>
    <n v="242"/>
    <n v="242"/>
    <n v="0"/>
    <x v="10"/>
    <n v="1"/>
    <n v="0"/>
    <n v="1"/>
    <x v="10"/>
    <b v="0"/>
    <n v="2"/>
    <n v="2"/>
    <n v="0.2"/>
    <n v="0.21210000000000001"/>
    <n v="0.21210000000000001"/>
    <n v="0.51"/>
    <n v="0.16420000000000001"/>
    <n v="3"/>
    <n v="51"/>
    <n v="54"/>
    <x v="1"/>
    <x v="1"/>
    <s v="Winter"/>
    <s v="Tuesday"/>
    <x v="1"/>
    <n v="1.4"/>
    <n v="-2"/>
    <n v="51"/>
    <n v="11"/>
    <n v="0.94444444444444442"/>
    <x v="0"/>
    <n v="0.51"/>
    <s v=""/>
    <s v="OK"/>
    <s v="No"/>
  </r>
  <r>
    <n v="243"/>
    <s v="Merge 1+2"/>
    <n v="243"/>
    <n v="243"/>
    <n v="0"/>
    <x v="10"/>
    <n v="1"/>
    <n v="0"/>
    <n v="1"/>
    <x v="11"/>
    <b v="0"/>
    <n v="2"/>
    <n v="2"/>
    <n v="0.2"/>
    <n v="0.21210000000000001"/>
    <n v="0.21210000000000001"/>
    <n v="0.47"/>
    <n v="0.1343"/>
    <n v="4"/>
    <n v="31"/>
    <n v="35"/>
    <x v="1"/>
    <x v="1"/>
    <s v="Winter"/>
    <s v="Tuesday"/>
    <x v="1"/>
    <n v="1.4"/>
    <n v="-2"/>
    <n v="47"/>
    <n v="9"/>
    <n v="0.88571428571428568"/>
    <x v="0"/>
    <n v="-1.36"/>
    <s v=""/>
    <s v="OK"/>
    <s v="No"/>
  </r>
  <r>
    <n v="244"/>
    <s v="Merge 1+2"/>
    <n v="244"/>
    <n v="244"/>
    <n v="0"/>
    <x v="10"/>
    <n v="1"/>
    <n v="0"/>
    <n v="1"/>
    <x v="12"/>
    <b v="0"/>
    <n v="2"/>
    <n v="2"/>
    <n v="0.2"/>
    <n v="0.2273"/>
    <n v="0.2273"/>
    <n v="0.51"/>
    <n v="0.1045"/>
    <n v="2"/>
    <n v="55"/>
    <n v="57"/>
    <x v="1"/>
    <x v="1"/>
    <s v="Winter"/>
    <s v="Tuesday"/>
    <x v="2"/>
    <n v="1.4"/>
    <n v="-1"/>
    <n v="51"/>
    <n v="7"/>
    <n v="0.96491228070175439"/>
    <x v="0"/>
    <n v="-0.37"/>
    <s v=""/>
    <s v="OK"/>
    <s v="No"/>
  </r>
  <r>
    <n v="245"/>
    <s v="Merge 1+2"/>
    <n v="245"/>
    <n v="245"/>
    <n v="0"/>
    <x v="10"/>
    <n v="1"/>
    <n v="0"/>
    <n v="1"/>
    <x v="13"/>
    <b v="0"/>
    <n v="2"/>
    <n v="2"/>
    <n v="0.2"/>
    <n v="0.2273"/>
    <n v="0.2273"/>
    <n v="0.59"/>
    <n v="8.9599999999999999E-2"/>
    <n v="6"/>
    <n v="46"/>
    <n v="52"/>
    <x v="1"/>
    <x v="1"/>
    <s v="Winter"/>
    <s v="Tuesday"/>
    <x v="2"/>
    <n v="1.4"/>
    <n v="-1"/>
    <n v="59"/>
    <n v="6"/>
    <n v="0.88461538461538458"/>
    <x v="0"/>
    <n v="-0.71"/>
    <s v=""/>
    <s v="OK"/>
    <s v="No"/>
  </r>
  <r>
    <n v="246"/>
    <s v="Merge 1+2"/>
    <n v="246"/>
    <n v="246"/>
    <n v="0"/>
    <x v="10"/>
    <n v="1"/>
    <n v="0"/>
    <n v="1"/>
    <x v="14"/>
    <b v="0"/>
    <n v="2"/>
    <n v="2"/>
    <n v="0.2"/>
    <n v="0.2273"/>
    <n v="0.2273"/>
    <n v="0.59"/>
    <n v="8.9599999999999999E-2"/>
    <n v="3"/>
    <n v="60"/>
    <n v="63"/>
    <x v="1"/>
    <x v="1"/>
    <s v="Winter"/>
    <s v="Tuesday"/>
    <x v="2"/>
    <n v="1.4"/>
    <n v="-1"/>
    <n v="59"/>
    <n v="6"/>
    <n v="0.95238095238095233"/>
    <x v="0"/>
    <n v="0.21"/>
    <s v=""/>
    <s v="OK"/>
    <s v="No"/>
  </r>
  <r>
    <n v="247"/>
    <s v="Merge 1+2"/>
    <n v="247"/>
    <n v="247"/>
    <n v="0"/>
    <x v="10"/>
    <n v="1"/>
    <n v="0"/>
    <n v="1"/>
    <x v="15"/>
    <b v="0"/>
    <n v="2"/>
    <n v="2"/>
    <n v="0.16"/>
    <n v="0.19700000000000001"/>
    <n v="0.19700000000000001"/>
    <n v="0.8"/>
    <n v="8.9599999999999999E-2"/>
    <n v="2"/>
    <n v="45"/>
    <n v="47"/>
    <x v="1"/>
    <x v="1"/>
    <s v="Winter"/>
    <s v="Tuesday"/>
    <x v="2"/>
    <n v="-0.5"/>
    <n v="-3"/>
    <n v="80"/>
    <n v="6"/>
    <n v="0.95744680851063835"/>
    <x v="0"/>
    <n v="-0.95"/>
    <s v=""/>
    <s v="OK"/>
    <s v="No"/>
  </r>
  <r>
    <n v="248"/>
    <s v="Merge 1+2"/>
    <n v="248"/>
    <n v="248"/>
    <n v="0"/>
    <x v="10"/>
    <n v="1"/>
    <n v="0"/>
    <n v="1"/>
    <x v="16"/>
    <b v="0"/>
    <n v="2"/>
    <n v="2"/>
    <n v="0.16"/>
    <n v="0.1515"/>
    <n v="0.1515"/>
    <n v="0.86"/>
    <n v="0.22389999999999999"/>
    <n v="4"/>
    <n v="72"/>
    <n v="76"/>
    <x v="1"/>
    <x v="1"/>
    <s v="Winter"/>
    <s v="Tuesday"/>
    <x v="2"/>
    <n v="-0.5"/>
    <n v="-6"/>
    <n v="86"/>
    <n v="15"/>
    <n v="0.94736842105263153"/>
    <x v="0"/>
    <n v="-0.32"/>
    <s v=""/>
    <s v="OK"/>
    <s v="No"/>
  </r>
  <r>
    <n v="249"/>
    <s v="Merge 1+2"/>
    <n v="249"/>
    <n v="249"/>
    <n v="0"/>
    <x v="10"/>
    <n v="1"/>
    <n v="0"/>
    <n v="1"/>
    <x v="17"/>
    <b v="0"/>
    <n v="2"/>
    <n v="2"/>
    <n v="0.16"/>
    <n v="0.1515"/>
    <n v="0.1515"/>
    <n v="0.86"/>
    <n v="0.22389999999999999"/>
    <n v="6"/>
    <n v="130"/>
    <n v="136"/>
    <x v="1"/>
    <x v="1"/>
    <s v="Winter"/>
    <s v="Tuesday"/>
    <x v="2"/>
    <n v="-0.5"/>
    <n v="-6"/>
    <n v="86"/>
    <n v="15"/>
    <n v="0.95588235294117652"/>
    <x v="2"/>
    <n v="-0.8"/>
    <s v=""/>
    <s v="OK"/>
    <s v="No"/>
  </r>
  <r>
    <n v="250"/>
    <s v="Merge 1+2"/>
    <n v="250"/>
    <n v="250"/>
    <n v="0"/>
    <x v="10"/>
    <n v="1"/>
    <n v="0"/>
    <n v="1"/>
    <x v="18"/>
    <b v="0"/>
    <n v="2"/>
    <n v="3"/>
    <n v="0.16"/>
    <n v="0.18179999999999999"/>
    <n v="0.18179999999999999"/>
    <n v="0.93"/>
    <n v="0.1045"/>
    <n v="1"/>
    <n v="94"/>
    <n v="95"/>
    <x v="1"/>
    <x v="2"/>
    <s v="Winter"/>
    <s v="Tuesday"/>
    <x v="3"/>
    <n v="-0.5"/>
    <n v="-4"/>
    <n v="93"/>
    <n v="7"/>
    <n v="0.98947368421052628"/>
    <x v="2"/>
    <n v="-2.12"/>
    <s v=""/>
    <s v="OK"/>
    <s v="No"/>
  </r>
  <r>
    <n v="251"/>
    <s v="Merge 1+2"/>
    <n v="251"/>
    <n v="251"/>
    <n v="0"/>
    <x v="10"/>
    <n v="1"/>
    <n v="0"/>
    <n v="1"/>
    <x v="19"/>
    <b v="0"/>
    <n v="2"/>
    <n v="3"/>
    <n v="0.16"/>
    <n v="0.2273"/>
    <n v="0.2273"/>
    <n v="0.93"/>
    <n v="0"/>
    <n v="0"/>
    <n v="51"/>
    <n v="51"/>
    <x v="1"/>
    <x v="2"/>
    <s v="Winter"/>
    <s v="Tuesday"/>
    <x v="3"/>
    <n v="-0.5"/>
    <n v="-1"/>
    <n v="93"/>
    <n v="0"/>
    <n v="1"/>
    <x v="0"/>
    <n v="-2.63"/>
    <s v=""/>
    <s v="OK"/>
    <s v="No"/>
  </r>
  <r>
    <n v="252"/>
    <s v="Merge 1+2"/>
    <n v="252"/>
    <n v="252"/>
    <n v="0"/>
    <x v="10"/>
    <n v="1"/>
    <n v="0"/>
    <n v="1"/>
    <x v="20"/>
    <b v="0"/>
    <n v="2"/>
    <n v="3"/>
    <n v="0.16"/>
    <n v="0.1515"/>
    <n v="0.1515"/>
    <n v="0.93"/>
    <n v="0.19400000000000001"/>
    <n v="0"/>
    <n v="32"/>
    <n v="32"/>
    <x v="1"/>
    <x v="2"/>
    <s v="Winter"/>
    <s v="Tuesday"/>
    <x v="3"/>
    <n v="-0.5"/>
    <n v="-6"/>
    <n v="93"/>
    <n v="13"/>
    <n v="1"/>
    <x v="0"/>
    <n v="-1.97"/>
    <s v=""/>
    <s v="OK"/>
    <s v="No"/>
  </r>
  <r>
    <n v="253"/>
    <s v="Merge 1+2"/>
    <n v="253"/>
    <n v="253"/>
    <n v="0"/>
    <x v="10"/>
    <n v="1"/>
    <n v="0"/>
    <n v="1"/>
    <x v="21"/>
    <b v="0"/>
    <n v="2"/>
    <n v="3"/>
    <n v="0.16"/>
    <n v="0.19700000000000001"/>
    <n v="0.19700000000000001"/>
    <n v="0.86"/>
    <n v="8.9599999999999999E-2"/>
    <n v="0"/>
    <n v="20"/>
    <n v="20"/>
    <x v="1"/>
    <x v="2"/>
    <s v="Winter"/>
    <s v="Tuesday"/>
    <x v="3"/>
    <n v="-0.5"/>
    <n v="-3"/>
    <n v="86"/>
    <n v="6"/>
    <n v="1"/>
    <x v="0"/>
    <n v="-2.39"/>
    <s v=""/>
    <s v="OK"/>
    <s v="No"/>
  </r>
  <r>
    <n v="254"/>
    <s v="Merge 1+2"/>
    <n v="254"/>
    <n v="254"/>
    <n v="0"/>
    <x v="10"/>
    <n v="1"/>
    <n v="0"/>
    <n v="1"/>
    <x v="22"/>
    <b v="0"/>
    <n v="2"/>
    <n v="3"/>
    <n v="0.16"/>
    <n v="0.18179999999999999"/>
    <n v="0.18179999999999999"/>
    <n v="0.93"/>
    <n v="0.1045"/>
    <n v="1"/>
    <n v="28"/>
    <n v="29"/>
    <x v="1"/>
    <x v="2"/>
    <s v="Winter"/>
    <s v="Tuesday"/>
    <x v="3"/>
    <n v="-0.5"/>
    <n v="-4"/>
    <n v="93"/>
    <n v="7"/>
    <n v="0.96551724137931039"/>
    <x v="0"/>
    <n v="-0.9"/>
    <s v=""/>
    <s v="OK"/>
    <s v="No"/>
  </r>
  <r>
    <n v="255"/>
    <s v="Merge 1+2"/>
    <n v="255"/>
    <n v="255"/>
    <n v="0"/>
    <x v="10"/>
    <n v="1"/>
    <n v="0"/>
    <n v="1"/>
    <x v="23"/>
    <b v="0"/>
    <n v="2"/>
    <n v="3"/>
    <n v="0.16"/>
    <n v="0.19700000000000001"/>
    <n v="0.19700000000000001"/>
    <n v="0.93"/>
    <n v="8.9599999999999999E-2"/>
    <n v="1"/>
    <n v="18"/>
    <n v="19"/>
    <x v="1"/>
    <x v="2"/>
    <s v="Winter"/>
    <s v="Tuesday"/>
    <x v="3"/>
    <n v="-0.5"/>
    <n v="-3"/>
    <n v="93"/>
    <n v="6"/>
    <n v="0.94736842105263153"/>
    <x v="0"/>
    <n v="-0.54"/>
    <s v=""/>
    <s v="OK"/>
    <s v="No"/>
  </r>
  <r>
    <n v="256"/>
    <s v="Merge 1+2"/>
    <n v="256"/>
    <n v="256"/>
    <n v="0"/>
    <x v="11"/>
    <n v="1"/>
    <n v="0"/>
    <n v="1"/>
    <x v="0"/>
    <b v="0"/>
    <n v="3"/>
    <n v="2"/>
    <n v="0.16"/>
    <n v="0.19700000000000001"/>
    <n v="0.19700000000000001"/>
    <n v="0.86"/>
    <n v="8.9599999999999999E-2"/>
    <n v="0"/>
    <n v="7"/>
    <n v="7"/>
    <x v="1"/>
    <x v="1"/>
    <s v="Winter"/>
    <s v="Wednesday"/>
    <x v="0"/>
    <n v="-0.5"/>
    <n v="-3"/>
    <n v="86"/>
    <n v="6"/>
    <n v="1"/>
    <x v="1"/>
    <n v="-0.72"/>
    <s v=""/>
    <s v="OK"/>
    <s v="No"/>
  </r>
  <r>
    <n v="257"/>
    <s v="Merge 1+2"/>
    <n v="257"/>
    <n v="257"/>
    <n v="0"/>
    <x v="11"/>
    <n v="1"/>
    <n v="0"/>
    <n v="1"/>
    <x v="1"/>
    <b v="0"/>
    <n v="3"/>
    <n v="2"/>
    <n v="0.16"/>
    <n v="0.18179999999999999"/>
    <n v="0.18179999999999999"/>
    <n v="0.86"/>
    <n v="0.1045"/>
    <n v="0"/>
    <n v="6"/>
    <n v="6"/>
    <x v="1"/>
    <x v="1"/>
    <s v="Winter"/>
    <s v="Wednesday"/>
    <x v="0"/>
    <n v="-0.5"/>
    <n v="-4"/>
    <n v="86"/>
    <n v="7"/>
    <n v="1"/>
    <x v="1"/>
    <n v="0.64"/>
    <s v=""/>
    <s v="OK"/>
    <s v="No"/>
  </r>
  <r>
    <n v="258"/>
    <s v="Merge 1+2"/>
    <n v="258"/>
    <n v="258"/>
    <n v="0"/>
    <x v="11"/>
    <n v="1"/>
    <n v="0"/>
    <n v="1"/>
    <x v="2"/>
    <b v="0"/>
    <n v="3"/>
    <n v="1"/>
    <n v="0.14000000000000001"/>
    <n v="0.1515"/>
    <n v="0.1515"/>
    <n v="0.86"/>
    <n v="0.1343"/>
    <n v="0"/>
    <n v="1"/>
    <n v="1"/>
    <x v="1"/>
    <x v="0"/>
    <s v="Winter"/>
    <s v="Wednesday"/>
    <x v="0"/>
    <n v="-1.4"/>
    <n v="-6"/>
    <n v="86"/>
    <n v="9"/>
    <n v="1"/>
    <x v="1"/>
    <n v="-0.81"/>
    <s v=""/>
    <s v="OK"/>
    <s v="No"/>
  </r>
  <r>
    <n v="259"/>
    <s v="Merge 1+2"/>
    <n v="259"/>
    <n v="259"/>
    <n v="0"/>
    <x v="11"/>
    <n v="1"/>
    <n v="0"/>
    <n v="1"/>
    <x v="5"/>
    <b v="0"/>
    <n v="3"/>
    <n v="1"/>
    <n v="0.14000000000000001"/>
    <n v="0.1515"/>
    <n v="0.1515"/>
    <n v="0.86"/>
    <n v="0.16420000000000001"/>
    <n v="0"/>
    <n v="5"/>
    <n v="5"/>
    <x v="1"/>
    <x v="0"/>
    <s v="Winter"/>
    <s v="Wednesday"/>
    <x v="0"/>
    <n v="-1.4"/>
    <n v="-6"/>
    <n v="86"/>
    <n v="11"/>
    <n v="1"/>
    <x v="1"/>
    <n v="0.06"/>
    <s v=""/>
    <s v="OK"/>
    <s v="No"/>
  </r>
  <r>
    <n v="260"/>
    <s v="Merge 1+2"/>
    <n v="260"/>
    <n v="260"/>
    <n v="0"/>
    <x v="11"/>
    <n v="1"/>
    <n v="0"/>
    <n v="1"/>
    <x v="6"/>
    <b v="0"/>
    <n v="3"/>
    <n v="1"/>
    <n v="0.12"/>
    <n v="0.1515"/>
    <n v="0.1515"/>
    <n v="0.93"/>
    <n v="0.1343"/>
    <n v="0"/>
    <n v="16"/>
    <n v="16"/>
    <x v="1"/>
    <x v="0"/>
    <s v="Winter"/>
    <s v="Wednesday"/>
    <x v="1"/>
    <n v="-2.4"/>
    <n v="-6"/>
    <n v="93"/>
    <n v="9"/>
    <n v="1"/>
    <x v="0"/>
    <n v="-1.41"/>
    <s v=""/>
    <s v="OK"/>
    <s v="No"/>
  </r>
  <r>
    <n v="261"/>
    <s v="Merge 1+2"/>
    <n v="261"/>
    <n v="261"/>
    <n v="0"/>
    <x v="11"/>
    <n v="1"/>
    <n v="0"/>
    <n v="1"/>
    <x v="7"/>
    <b v="0"/>
    <n v="3"/>
    <n v="1"/>
    <n v="0.14000000000000001"/>
    <n v="0.1515"/>
    <n v="0.1515"/>
    <n v="0.69"/>
    <n v="0.1343"/>
    <n v="0"/>
    <n v="54"/>
    <n v="54"/>
    <x v="1"/>
    <x v="0"/>
    <s v="Winter"/>
    <s v="Wednesday"/>
    <x v="1"/>
    <n v="-1.4"/>
    <n v="-6"/>
    <n v="69"/>
    <n v="9"/>
    <n v="1"/>
    <x v="0"/>
    <n v="-1.37"/>
    <s v=""/>
    <s v="OK"/>
    <s v="No"/>
  </r>
  <r>
    <n v="262"/>
    <s v="Merge 1+2"/>
    <n v="262"/>
    <n v="262"/>
    <n v="0"/>
    <x v="11"/>
    <n v="1"/>
    <n v="0"/>
    <n v="1"/>
    <x v="8"/>
    <b v="0"/>
    <n v="3"/>
    <n v="1"/>
    <n v="0.16"/>
    <n v="0.16669999999999999"/>
    <n v="0.16669999999999999"/>
    <n v="0.59"/>
    <n v="0.16420000000000001"/>
    <n v="3"/>
    <n v="125"/>
    <n v="128"/>
    <x v="1"/>
    <x v="0"/>
    <s v="Winter"/>
    <s v="Wednesday"/>
    <x v="1"/>
    <n v="-0.5"/>
    <n v="-5"/>
    <n v="59"/>
    <n v="11"/>
    <n v="0.9765625"/>
    <x v="2"/>
    <n v="-1.55"/>
    <s v=""/>
    <s v="OK"/>
    <s v="No"/>
  </r>
  <r>
    <n v="263"/>
    <s v="Merge 1+2"/>
    <n v="263"/>
    <n v="263"/>
    <n v="0"/>
    <x v="11"/>
    <n v="1"/>
    <n v="0"/>
    <n v="1"/>
    <x v="9"/>
    <b v="0"/>
    <n v="3"/>
    <n v="1"/>
    <n v="0.16"/>
    <n v="0.13639999999999999"/>
    <n v="0.13639999999999999"/>
    <n v="0.59"/>
    <n v="0.32840000000000003"/>
    <n v="3"/>
    <n v="78"/>
    <n v="81"/>
    <x v="1"/>
    <x v="0"/>
    <s v="Winter"/>
    <s v="Wednesday"/>
    <x v="1"/>
    <n v="-0.5"/>
    <n v="-7"/>
    <n v="59"/>
    <n v="22"/>
    <n v="0.96296296296296291"/>
    <x v="0"/>
    <n v="-1.66"/>
    <s v=""/>
    <s v="OK"/>
    <s v="No"/>
  </r>
  <r>
    <n v="264"/>
    <s v="Merge 1+2"/>
    <n v="264"/>
    <n v="264"/>
    <n v="0"/>
    <x v="11"/>
    <n v="1"/>
    <n v="0"/>
    <n v="1"/>
    <x v="10"/>
    <b v="0"/>
    <n v="3"/>
    <n v="1"/>
    <n v="0.18"/>
    <n v="0.18179999999999999"/>
    <n v="0.18179999999999999"/>
    <n v="0.55000000000000004"/>
    <n v="0.22389999999999999"/>
    <n v="0"/>
    <n v="39"/>
    <n v="39"/>
    <x v="1"/>
    <x v="0"/>
    <s v="Winter"/>
    <s v="Wednesday"/>
    <x v="1"/>
    <n v="0.5"/>
    <n v="-4"/>
    <n v="55"/>
    <n v="15"/>
    <n v="1"/>
    <x v="0"/>
    <n v="-0.96"/>
    <s v=""/>
    <s v="OK"/>
    <s v="No"/>
  </r>
  <r>
    <n v="265"/>
    <s v="Merge 1+2"/>
    <n v="265"/>
    <n v="265"/>
    <n v="0"/>
    <x v="11"/>
    <n v="1"/>
    <n v="0"/>
    <n v="1"/>
    <x v="11"/>
    <b v="0"/>
    <n v="3"/>
    <n v="1"/>
    <n v="0.2"/>
    <n v="0.18179999999999999"/>
    <n v="0.18179999999999999"/>
    <n v="0.51"/>
    <n v="0.3881"/>
    <n v="3"/>
    <n v="32"/>
    <n v="35"/>
    <x v="1"/>
    <x v="0"/>
    <s v="Winter"/>
    <s v="Wednesday"/>
    <x v="1"/>
    <n v="1.4"/>
    <n v="-4"/>
    <n v="51"/>
    <n v="26"/>
    <n v="0.91428571428571426"/>
    <x v="0"/>
    <n v="-1.36"/>
    <s v=""/>
    <s v="OK"/>
    <s v="No"/>
  </r>
  <r>
    <n v="266"/>
    <s v="Merge 1+2"/>
    <n v="266"/>
    <n v="266"/>
    <n v="0"/>
    <x v="11"/>
    <n v="1"/>
    <n v="0"/>
    <n v="1"/>
    <x v="12"/>
    <b v="0"/>
    <n v="3"/>
    <n v="1"/>
    <n v="0.2"/>
    <n v="0.1515"/>
    <n v="0.1515"/>
    <n v="0.47"/>
    <n v="0.58209999999999995"/>
    <n v="3"/>
    <n v="52"/>
    <n v="55"/>
    <x v="1"/>
    <x v="0"/>
    <s v="Winter"/>
    <s v="Wednesday"/>
    <x v="2"/>
    <n v="1.4"/>
    <n v="-6"/>
    <n v="47"/>
    <n v="39"/>
    <n v="0.94545454545454544"/>
    <x v="0"/>
    <n v="-0.48"/>
    <s v=""/>
    <s v="OK"/>
    <s v="No"/>
  </r>
  <r>
    <n v="267"/>
    <s v="Merge 1+2"/>
    <n v="267"/>
    <n v="267"/>
    <n v="0"/>
    <x v="11"/>
    <n v="1"/>
    <n v="0"/>
    <n v="1"/>
    <x v="13"/>
    <b v="0"/>
    <n v="3"/>
    <n v="1"/>
    <n v="0.22"/>
    <n v="0.19700000000000001"/>
    <n v="0.19700000000000001"/>
    <n v="0.44"/>
    <n v="0.35820000000000002"/>
    <n v="0"/>
    <n v="49"/>
    <n v="49"/>
    <x v="1"/>
    <x v="0"/>
    <s v="Winter"/>
    <s v="Wednesday"/>
    <x v="2"/>
    <n v="2.2999999999999998"/>
    <n v="-3"/>
    <n v="44"/>
    <n v="24"/>
    <n v="1"/>
    <x v="0"/>
    <n v="-0.87"/>
    <s v=""/>
    <s v="OK"/>
    <s v="No"/>
  </r>
  <r>
    <n v="268"/>
    <s v="Merge 1+2"/>
    <n v="268"/>
    <n v="268"/>
    <n v="0"/>
    <x v="11"/>
    <n v="1"/>
    <n v="0"/>
    <n v="1"/>
    <x v="14"/>
    <b v="0"/>
    <n v="3"/>
    <n v="1"/>
    <n v="0.2"/>
    <n v="0.18179999999999999"/>
    <n v="0.18179999999999999"/>
    <n v="0.47"/>
    <n v="0.32840000000000003"/>
    <n v="0"/>
    <n v="44"/>
    <n v="44"/>
    <x v="1"/>
    <x v="0"/>
    <s v="Winter"/>
    <s v="Wednesday"/>
    <x v="2"/>
    <n v="1.4"/>
    <n v="-4"/>
    <n v="47"/>
    <n v="22"/>
    <n v="1"/>
    <x v="0"/>
    <n v="-0.98"/>
    <s v=""/>
    <s v="OK"/>
    <s v="No"/>
  </r>
  <r>
    <n v="269"/>
    <s v="Merge 1+2"/>
    <n v="269"/>
    <n v="269"/>
    <n v="0"/>
    <x v="11"/>
    <n v="1"/>
    <n v="0"/>
    <n v="1"/>
    <x v="15"/>
    <b v="0"/>
    <n v="3"/>
    <n v="1"/>
    <n v="0.2"/>
    <n v="0.16669999999999999"/>
    <n v="0.16669999999999999"/>
    <n v="0.47"/>
    <n v="0.41789999999999999"/>
    <n v="1"/>
    <n v="48"/>
    <n v="49"/>
    <x v="1"/>
    <x v="0"/>
    <s v="Winter"/>
    <s v="Wednesday"/>
    <x v="2"/>
    <n v="1.4"/>
    <n v="-5"/>
    <n v="47"/>
    <n v="28"/>
    <n v="0.97959183673469385"/>
    <x v="0"/>
    <n v="-0.81"/>
    <s v=""/>
    <s v="OK"/>
    <s v="No"/>
  </r>
  <r>
    <n v="270"/>
    <s v="Merge 1+2"/>
    <n v="270"/>
    <n v="270"/>
    <n v="0"/>
    <x v="11"/>
    <n v="1"/>
    <n v="0"/>
    <n v="1"/>
    <x v="16"/>
    <b v="0"/>
    <n v="3"/>
    <n v="1"/>
    <n v="0.22"/>
    <n v="0.19700000000000001"/>
    <n v="0.19700000000000001"/>
    <n v="0.44"/>
    <n v="0.32840000000000003"/>
    <n v="5"/>
    <n v="63"/>
    <n v="68"/>
    <x v="1"/>
    <x v="0"/>
    <s v="Winter"/>
    <s v="Wednesday"/>
    <x v="2"/>
    <n v="2.2999999999999998"/>
    <n v="-3"/>
    <n v="44"/>
    <n v="22"/>
    <n v="0.92647058823529416"/>
    <x v="0"/>
    <n v="-0.69"/>
    <s v=""/>
    <s v="OK"/>
    <s v="No"/>
  </r>
  <r>
    <n v="271"/>
    <s v="Merge 1+2"/>
    <n v="271"/>
    <n v="271"/>
    <n v="0"/>
    <x v="11"/>
    <n v="1"/>
    <n v="0"/>
    <n v="1"/>
    <x v="17"/>
    <b v="0"/>
    <n v="3"/>
    <n v="1"/>
    <n v="0.2"/>
    <n v="0.18179999999999999"/>
    <n v="0.18179999999999999"/>
    <n v="0.47"/>
    <n v="0.35820000000000002"/>
    <n v="0"/>
    <n v="139"/>
    <n v="139"/>
    <x v="1"/>
    <x v="0"/>
    <s v="Winter"/>
    <s v="Wednesday"/>
    <x v="2"/>
    <n v="1.4"/>
    <n v="-4"/>
    <n v="47"/>
    <n v="24"/>
    <n v="1"/>
    <x v="2"/>
    <n v="-0.73"/>
    <s v=""/>
    <s v="OK"/>
    <s v="No"/>
  </r>
  <r>
    <n v="272"/>
    <s v="Merge 1+2"/>
    <n v="272"/>
    <n v="272"/>
    <n v="0"/>
    <x v="11"/>
    <n v="1"/>
    <n v="0"/>
    <n v="1"/>
    <x v="18"/>
    <b v="0"/>
    <n v="3"/>
    <n v="1"/>
    <n v="0.2"/>
    <n v="0.1515"/>
    <n v="0.1515"/>
    <n v="0.47"/>
    <n v="0.52239999999999998"/>
    <n v="2"/>
    <n v="135"/>
    <n v="137"/>
    <x v="1"/>
    <x v="0"/>
    <s v="Winter"/>
    <s v="Wednesday"/>
    <x v="3"/>
    <n v="1.4"/>
    <n v="-6"/>
    <n v="47"/>
    <n v="35"/>
    <n v="0.98540145985401462"/>
    <x v="2"/>
    <n v="-0.59"/>
    <s v=""/>
    <s v="OK"/>
    <s v="No"/>
  </r>
  <r>
    <n v="273"/>
    <s v="Merge 1+2"/>
    <n v="273"/>
    <n v="273"/>
    <n v="0"/>
    <x v="11"/>
    <n v="1"/>
    <n v="0"/>
    <n v="1"/>
    <x v="19"/>
    <b v="0"/>
    <n v="3"/>
    <n v="1"/>
    <n v="0.18"/>
    <n v="0.1515"/>
    <n v="0.1515"/>
    <n v="0.47"/>
    <n v="0.41789999999999999"/>
    <n v="1"/>
    <n v="82"/>
    <n v="83"/>
    <x v="1"/>
    <x v="0"/>
    <s v="Winter"/>
    <s v="Wednesday"/>
    <x v="3"/>
    <n v="0.5"/>
    <n v="-6"/>
    <n v="47"/>
    <n v="28"/>
    <n v="0.98795180722891562"/>
    <x v="2"/>
    <n v="-1.03"/>
    <s v=""/>
    <s v="OK"/>
    <s v="No"/>
  </r>
  <r>
    <n v="274"/>
    <s v="Merge 1+2"/>
    <n v="274"/>
    <n v="274"/>
    <n v="0"/>
    <x v="11"/>
    <n v="1"/>
    <n v="0"/>
    <n v="1"/>
    <x v="20"/>
    <b v="0"/>
    <n v="3"/>
    <n v="1"/>
    <n v="0.16"/>
    <n v="0.13639999999999999"/>
    <n v="0.13639999999999999"/>
    <n v="0.5"/>
    <n v="0.32840000000000003"/>
    <n v="2"/>
    <n v="54"/>
    <n v="56"/>
    <x v="1"/>
    <x v="0"/>
    <s v="Winter"/>
    <s v="Wednesday"/>
    <x v="3"/>
    <n v="-0.5"/>
    <n v="-7"/>
    <n v="50"/>
    <n v="22"/>
    <n v="0.9642857142857143"/>
    <x v="0"/>
    <n v="-0.84"/>
    <s v=""/>
    <s v="OK"/>
    <s v="No"/>
  </r>
  <r>
    <n v="275"/>
    <s v="Merge 1+2"/>
    <n v="275"/>
    <n v="275"/>
    <n v="0"/>
    <x v="11"/>
    <n v="1"/>
    <n v="0"/>
    <n v="1"/>
    <x v="21"/>
    <b v="0"/>
    <n v="3"/>
    <n v="1"/>
    <n v="0.16"/>
    <n v="0.13639999999999999"/>
    <n v="0.13639999999999999"/>
    <n v="0.55000000000000004"/>
    <n v="0.32840000000000003"/>
    <n v="0"/>
    <n v="57"/>
    <n v="57"/>
    <x v="1"/>
    <x v="0"/>
    <s v="Winter"/>
    <s v="Wednesday"/>
    <x v="3"/>
    <n v="-0.5"/>
    <n v="-7"/>
    <n v="55"/>
    <n v="22"/>
    <n v="1"/>
    <x v="0"/>
    <n v="0.4"/>
    <s v=""/>
    <s v="OK"/>
    <s v="No"/>
  </r>
  <r>
    <n v="276"/>
    <s v="Merge 1+2"/>
    <n v="276"/>
    <n v="276"/>
    <n v="0"/>
    <x v="11"/>
    <n v="1"/>
    <n v="0"/>
    <n v="1"/>
    <x v="22"/>
    <b v="0"/>
    <n v="3"/>
    <n v="1"/>
    <n v="0.16"/>
    <n v="0.1212"/>
    <n v="0.1212"/>
    <n v="0.55000000000000004"/>
    <n v="0.44779999999999998"/>
    <n v="1"/>
    <n v="32"/>
    <n v="33"/>
    <x v="1"/>
    <x v="0"/>
    <s v="Winter"/>
    <s v="Wednesday"/>
    <x v="3"/>
    <n v="-0.5"/>
    <n v="-8"/>
    <n v="55"/>
    <n v="30"/>
    <n v="0.96969696969696972"/>
    <x v="0"/>
    <n v="-0.5"/>
    <s v=""/>
    <s v="OK"/>
    <s v="No"/>
  </r>
  <r>
    <n v="277"/>
    <s v="Merge 1+2"/>
    <n v="277"/>
    <n v="277"/>
    <n v="0"/>
    <x v="11"/>
    <n v="1"/>
    <n v="0"/>
    <n v="1"/>
    <x v="23"/>
    <b v="0"/>
    <n v="3"/>
    <n v="1"/>
    <n v="0.14000000000000001"/>
    <n v="0.1061"/>
    <n v="0.1061"/>
    <n v="0.59"/>
    <n v="0.41789999999999999"/>
    <n v="1"/>
    <n v="19"/>
    <n v="20"/>
    <x v="1"/>
    <x v="0"/>
    <s v="Winter"/>
    <s v="Wednesday"/>
    <x v="3"/>
    <n v="-1.4"/>
    <n v="-9"/>
    <n v="59"/>
    <n v="28"/>
    <n v="0.95"/>
    <x v="0"/>
    <n v="-0.44"/>
    <s v=""/>
    <s v="OK"/>
    <s v="No"/>
  </r>
  <r>
    <n v="278"/>
    <s v="Merge 1+2"/>
    <n v="278"/>
    <n v="278"/>
    <n v="0"/>
    <x v="12"/>
    <n v="1"/>
    <n v="0"/>
    <n v="1"/>
    <x v="0"/>
    <b v="0"/>
    <n v="4"/>
    <n v="1"/>
    <n v="0.14000000000000001"/>
    <n v="0.1212"/>
    <n v="0.1212"/>
    <n v="0.59"/>
    <n v="0.28360000000000002"/>
    <n v="1"/>
    <n v="6"/>
    <n v="7"/>
    <x v="1"/>
    <x v="0"/>
    <s v="Winter"/>
    <s v="Thursday"/>
    <x v="0"/>
    <n v="-1.4"/>
    <n v="-8"/>
    <n v="59"/>
    <n v="19"/>
    <n v="0.8571428571428571"/>
    <x v="1"/>
    <n v="-0.72"/>
    <s v=""/>
    <s v="OK"/>
    <s v="No"/>
  </r>
  <r>
    <n v="279"/>
    <s v="Merge 1+2"/>
    <n v="279"/>
    <n v="279"/>
    <n v="0"/>
    <x v="12"/>
    <n v="1"/>
    <n v="0"/>
    <n v="1"/>
    <x v="1"/>
    <b v="0"/>
    <n v="4"/>
    <n v="1"/>
    <n v="0.14000000000000001"/>
    <n v="0.1212"/>
    <n v="0.1212"/>
    <n v="0.5"/>
    <n v="0.28360000000000002"/>
    <n v="0"/>
    <n v="2"/>
    <n v="2"/>
    <x v="1"/>
    <x v="0"/>
    <s v="Winter"/>
    <s v="Thursday"/>
    <x v="0"/>
    <n v="-1.4"/>
    <n v="-8"/>
    <n v="50"/>
    <n v="19"/>
    <n v="1"/>
    <x v="1"/>
    <n v="-1.35"/>
    <s v=""/>
    <s v="OK"/>
    <s v="No"/>
  </r>
  <r>
    <n v="280"/>
    <s v="Merge 1+2"/>
    <n v="280"/>
    <n v="280"/>
    <n v="0"/>
    <x v="12"/>
    <n v="1"/>
    <n v="0"/>
    <n v="1"/>
    <x v="2"/>
    <b v="0"/>
    <n v="4"/>
    <n v="1"/>
    <n v="0.14000000000000001"/>
    <n v="0.1212"/>
    <n v="0.1212"/>
    <n v="0.5"/>
    <n v="0.35820000000000002"/>
    <n v="0"/>
    <n v="2"/>
    <n v="2"/>
    <x v="1"/>
    <x v="0"/>
    <s v="Winter"/>
    <s v="Thursday"/>
    <x v="0"/>
    <n v="-1.4"/>
    <n v="-8"/>
    <n v="50"/>
    <n v="24"/>
    <n v="1"/>
    <x v="1"/>
    <n v="-0.24"/>
    <s v=""/>
    <s v="OK"/>
    <s v="No"/>
  </r>
  <r>
    <n v="281"/>
    <s v="Merge 1+2"/>
    <n v="281"/>
    <n v="281"/>
    <n v="0"/>
    <x v="12"/>
    <n v="1"/>
    <n v="0"/>
    <n v="1"/>
    <x v="3"/>
    <b v="0"/>
    <n v="4"/>
    <n v="1"/>
    <n v="0.14000000000000001"/>
    <n v="0.1212"/>
    <n v="0.1212"/>
    <n v="0.5"/>
    <n v="0.32840000000000003"/>
    <n v="0"/>
    <n v="3"/>
    <n v="3"/>
    <x v="1"/>
    <x v="0"/>
    <s v="Winter"/>
    <s v="Thursday"/>
    <x v="0"/>
    <n v="-1.4"/>
    <n v="-8"/>
    <n v="50"/>
    <n v="22"/>
    <n v="1"/>
    <x v="1"/>
    <n v="2.62"/>
    <s v=""/>
    <s v="OK"/>
    <s v="No"/>
  </r>
  <r>
    <n v="282"/>
    <s v="Merge 1+2"/>
    <n v="282"/>
    <n v="282"/>
    <n v="0"/>
    <x v="12"/>
    <n v="1"/>
    <n v="0"/>
    <n v="1"/>
    <x v="4"/>
    <b v="0"/>
    <n v="4"/>
    <n v="1"/>
    <n v="0.14000000000000001"/>
    <n v="0.1212"/>
    <n v="0.1212"/>
    <n v="0.5"/>
    <n v="0.25369999999999998"/>
    <n v="0"/>
    <n v="4"/>
    <n v="4"/>
    <x v="1"/>
    <x v="0"/>
    <s v="Winter"/>
    <s v="Thursday"/>
    <x v="0"/>
    <n v="-1.4"/>
    <n v="-8"/>
    <n v="50"/>
    <n v="17"/>
    <n v="1"/>
    <x v="1"/>
    <n v="2.5499999999999998"/>
    <s v=""/>
    <s v="OK"/>
    <s v="No"/>
  </r>
  <r>
    <n v="283"/>
    <s v="Merge 1+2"/>
    <n v="283"/>
    <n v="283"/>
    <n v="0"/>
    <x v="12"/>
    <n v="1"/>
    <n v="0"/>
    <n v="1"/>
    <x v="5"/>
    <b v="0"/>
    <n v="4"/>
    <n v="1"/>
    <n v="0.14000000000000001"/>
    <n v="0.1212"/>
    <n v="0.1212"/>
    <n v="0.5"/>
    <n v="0.29849999999999999"/>
    <n v="0"/>
    <n v="3"/>
    <n v="3"/>
    <x v="1"/>
    <x v="0"/>
    <s v="Winter"/>
    <s v="Thursday"/>
    <x v="0"/>
    <n v="-1.4"/>
    <n v="-8"/>
    <n v="50"/>
    <n v="20"/>
    <n v="1"/>
    <x v="1"/>
    <n v="-0.82"/>
    <s v=""/>
    <s v="OK"/>
    <s v="No"/>
  </r>
  <r>
    <n v="284"/>
    <s v="Merge 1+2"/>
    <n v="284"/>
    <n v="284"/>
    <n v="0"/>
    <x v="12"/>
    <n v="1"/>
    <n v="0"/>
    <n v="1"/>
    <x v="6"/>
    <b v="0"/>
    <n v="4"/>
    <n v="1"/>
    <n v="0.12"/>
    <n v="0.1515"/>
    <n v="0.1515"/>
    <n v="0.54"/>
    <n v="0.1343"/>
    <n v="0"/>
    <n v="28"/>
    <n v="28"/>
    <x v="1"/>
    <x v="0"/>
    <s v="Winter"/>
    <s v="Thursday"/>
    <x v="1"/>
    <n v="-2.4"/>
    <n v="-6"/>
    <n v="54"/>
    <n v="9"/>
    <n v="1"/>
    <x v="0"/>
    <n v="-0.02"/>
    <s v=""/>
    <s v="OK"/>
    <s v="No"/>
  </r>
  <r>
    <n v="285"/>
    <s v="Merge 1+2"/>
    <n v="285"/>
    <n v="285"/>
    <n v="0"/>
    <x v="12"/>
    <n v="1"/>
    <n v="0"/>
    <n v="1"/>
    <x v="7"/>
    <b v="0"/>
    <n v="4"/>
    <n v="1"/>
    <n v="0.12"/>
    <n v="0.1515"/>
    <n v="0.1515"/>
    <n v="0.54"/>
    <n v="0.1343"/>
    <n v="0"/>
    <n v="72"/>
    <n v="72"/>
    <x v="1"/>
    <x v="0"/>
    <s v="Winter"/>
    <s v="Thursday"/>
    <x v="1"/>
    <n v="-2.4"/>
    <n v="-6"/>
    <n v="54"/>
    <n v="9"/>
    <n v="1"/>
    <x v="0"/>
    <n v="-0.44"/>
    <s v=""/>
    <s v="OK"/>
    <s v="No"/>
  </r>
  <r>
    <n v="286"/>
    <s v="Merge 1+2"/>
    <n v="286"/>
    <n v="286"/>
    <n v="0"/>
    <x v="12"/>
    <n v="1"/>
    <n v="0"/>
    <n v="1"/>
    <x v="8"/>
    <b v="0"/>
    <n v="4"/>
    <n v="1"/>
    <n v="0.14000000000000001"/>
    <n v="0.13639999999999999"/>
    <n v="0.13639999999999999"/>
    <n v="0.5"/>
    <n v="0.19400000000000001"/>
    <n v="5"/>
    <n v="197"/>
    <n v="202"/>
    <x v="1"/>
    <x v="0"/>
    <s v="Winter"/>
    <s v="Thursday"/>
    <x v="1"/>
    <n v="-1.4"/>
    <n v="-7"/>
    <n v="50"/>
    <n v="13"/>
    <n v="0.97524752475247523"/>
    <x v="2"/>
    <n v="0.33"/>
    <s v=""/>
    <s v="OK"/>
    <s v="No"/>
  </r>
  <r>
    <n v="287"/>
    <s v="Merge 1+2"/>
    <n v="287"/>
    <n v="287"/>
    <n v="0"/>
    <x v="12"/>
    <n v="1"/>
    <n v="0"/>
    <n v="1"/>
    <x v="9"/>
    <b v="0"/>
    <n v="4"/>
    <n v="1"/>
    <n v="0.14000000000000001"/>
    <n v="0.1212"/>
    <n v="0.1212"/>
    <n v="0.5"/>
    <n v="0.32840000000000003"/>
    <n v="2"/>
    <n v="137"/>
    <n v="139"/>
    <x v="1"/>
    <x v="0"/>
    <s v="Winter"/>
    <s v="Thursday"/>
    <x v="1"/>
    <n v="-1.4"/>
    <n v="-8"/>
    <n v="50"/>
    <n v="22"/>
    <n v="0.98561151079136688"/>
    <x v="2"/>
    <n v="0.93"/>
    <s v=""/>
    <s v="OK"/>
    <s v="No"/>
  </r>
  <r>
    <n v="288"/>
    <s v="Merge 1+2"/>
    <n v="288"/>
    <n v="288"/>
    <n v="0"/>
    <x v="12"/>
    <n v="1"/>
    <n v="0"/>
    <n v="1"/>
    <x v="10"/>
    <b v="0"/>
    <n v="4"/>
    <n v="2"/>
    <n v="0.16"/>
    <n v="0.13639999999999999"/>
    <n v="0.13639999999999999"/>
    <n v="0.5"/>
    <n v="0.35820000000000002"/>
    <n v="2"/>
    <n v="36"/>
    <n v="38"/>
    <x v="1"/>
    <x v="1"/>
    <s v="Winter"/>
    <s v="Thursday"/>
    <x v="1"/>
    <n v="-0.5"/>
    <n v="-7"/>
    <n v="50"/>
    <n v="24"/>
    <n v="0.94736842105263153"/>
    <x v="0"/>
    <n v="-1.06"/>
    <s v=""/>
    <s v="OK"/>
    <s v="No"/>
  </r>
  <r>
    <n v="289"/>
    <s v="Merge 1+2"/>
    <n v="289"/>
    <n v="289"/>
    <n v="0"/>
    <x v="12"/>
    <n v="1"/>
    <n v="0"/>
    <n v="1"/>
    <x v="11"/>
    <b v="0"/>
    <n v="4"/>
    <n v="2"/>
    <n v="0.2"/>
    <n v="0.16669999999999999"/>
    <n v="0.16669999999999999"/>
    <n v="0.44"/>
    <n v="0.44779999999999998"/>
    <n v="4"/>
    <n v="33"/>
    <n v="37"/>
    <x v="1"/>
    <x v="1"/>
    <s v="Winter"/>
    <s v="Thursday"/>
    <x v="1"/>
    <n v="1.4"/>
    <n v="-5"/>
    <n v="44"/>
    <n v="30"/>
    <n v="0.89189189189189189"/>
    <x v="0"/>
    <n v="-1.18"/>
    <s v=""/>
    <s v="OK"/>
    <s v="No"/>
  </r>
  <r>
    <n v="290"/>
    <s v="Merge 1+2"/>
    <n v="290"/>
    <n v="290"/>
    <n v="0"/>
    <x v="12"/>
    <n v="1"/>
    <n v="0"/>
    <n v="1"/>
    <x v="12"/>
    <b v="0"/>
    <n v="4"/>
    <n v="1"/>
    <n v="0.2"/>
    <n v="0.16669999999999999"/>
    <n v="0.16669999999999999"/>
    <n v="0.44"/>
    <n v="0.41789999999999999"/>
    <n v="3"/>
    <n v="49"/>
    <n v="52"/>
    <x v="1"/>
    <x v="0"/>
    <s v="Winter"/>
    <s v="Thursday"/>
    <x v="2"/>
    <n v="1.4"/>
    <n v="-5"/>
    <n v="44"/>
    <n v="28"/>
    <n v="0.94230769230769229"/>
    <x v="0"/>
    <n v="-0.64"/>
    <s v=""/>
    <s v="OK"/>
    <s v="No"/>
  </r>
  <r>
    <n v="291"/>
    <s v="Merge 1+2"/>
    <n v="291"/>
    <n v="291"/>
    <n v="0"/>
    <x v="12"/>
    <n v="1"/>
    <n v="0"/>
    <n v="1"/>
    <x v="13"/>
    <b v="0"/>
    <n v="4"/>
    <n v="1"/>
    <n v="0.22"/>
    <n v="0.19700000000000001"/>
    <n v="0.19700000000000001"/>
    <n v="0.41"/>
    <n v="0.44779999999999998"/>
    <n v="2"/>
    <n v="81"/>
    <n v="83"/>
    <x v="1"/>
    <x v="0"/>
    <s v="Winter"/>
    <s v="Thursday"/>
    <x v="2"/>
    <n v="2.2999999999999998"/>
    <n v="-3"/>
    <n v="41"/>
    <n v="30"/>
    <n v="0.97590361445783136"/>
    <x v="2"/>
    <n v="0.84"/>
    <s v=""/>
    <s v="OK"/>
    <s v="No"/>
  </r>
  <r>
    <n v="292"/>
    <s v="Merge 1+2"/>
    <n v="292"/>
    <n v="292"/>
    <n v="0"/>
    <x v="12"/>
    <n v="1"/>
    <n v="0"/>
    <n v="1"/>
    <x v="14"/>
    <b v="0"/>
    <n v="4"/>
    <n v="1"/>
    <n v="0.22"/>
    <n v="0.19700000000000001"/>
    <n v="0.19700000000000001"/>
    <n v="0.41"/>
    <n v="0.3881"/>
    <n v="3"/>
    <n v="39"/>
    <n v="42"/>
    <x v="1"/>
    <x v="0"/>
    <s v="Winter"/>
    <s v="Thursday"/>
    <x v="2"/>
    <n v="2.2999999999999998"/>
    <n v="-3"/>
    <n v="41"/>
    <n v="26"/>
    <n v="0.9285714285714286"/>
    <x v="0"/>
    <n v="-1.1000000000000001"/>
    <s v=""/>
    <s v="OK"/>
    <s v="No"/>
  </r>
  <r>
    <n v="293"/>
    <s v="Merge 1+2"/>
    <n v="293"/>
    <n v="293"/>
    <n v="0"/>
    <x v="12"/>
    <n v="1"/>
    <n v="0"/>
    <n v="1"/>
    <x v="15"/>
    <b v="0"/>
    <n v="4"/>
    <n v="1"/>
    <n v="0.24"/>
    <n v="0.21210000000000001"/>
    <n v="0.21210000000000001"/>
    <n v="0.38"/>
    <n v="0.29849999999999999"/>
    <n v="5"/>
    <n v="55"/>
    <n v="60"/>
    <x v="1"/>
    <x v="0"/>
    <s v="Winter"/>
    <s v="Thursday"/>
    <x v="2"/>
    <n v="3.3"/>
    <n v="-2"/>
    <n v="38"/>
    <n v="20"/>
    <n v="0.91666666666666663"/>
    <x v="0"/>
    <n v="-0.03"/>
    <s v=""/>
    <s v="OK"/>
    <s v="No"/>
  </r>
  <r>
    <n v="294"/>
    <s v="Merge 1+2"/>
    <n v="294"/>
    <n v="294"/>
    <n v="0"/>
    <x v="12"/>
    <n v="1"/>
    <n v="0"/>
    <n v="1"/>
    <x v="16"/>
    <b v="0"/>
    <n v="4"/>
    <n v="1"/>
    <n v="0.24"/>
    <n v="0.21210000000000001"/>
    <n v="0.21210000000000001"/>
    <n v="0.38"/>
    <n v="0.35820000000000002"/>
    <n v="2"/>
    <n v="76"/>
    <n v="78"/>
    <x v="1"/>
    <x v="0"/>
    <s v="Winter"/>
    <s v="Thursday"/>
    <x v="2"/>
    <n v="3.3"/>
    <n v="-2"/>
    <n v="38"/>
    <n v="24"/>
    <n v="0.97435897435897434"/>
    <x v="0"/>
    <n v="-0.22"/>
    <s v=""/>
    <s v="OK"/>
    <s v="No"/>
  </r>
  <r>
    <n v="295"/>
    <s v="Merge 1+2"/>
    <n v="295"/>
    <n v="295"/>
    <n v="0"/>
    <x v="12"/>
    <n v="1"/>
    <n v="0"/>
    <n v="1"/>
    <x v="17"/>
    <b v="0"/>
    <n v="4"/>
    <n v="1"/>
    <n v="0.2"/>
    <n v="0.18179999999999999"/>
    <n v="0.18179999999999999"/>
    <n v="0.4"/>
    <n v="0.28360000000000002"/>
    <n v="4"/>
    <n v="158"/>
    <n v="162"/>
    <x v="1"/>
    <x v="0"/>
    <s v="Winter"/>
    <s v="Thursday"/>
    <x v="2"/>
    <n v="1.4"/>
    <n v="-4"/>
    <n v="40"/>
    <n v="19"/>
    <n v="0.97530864197530864"/>
    <x v="2"/>
    <n v="-0.17"/>
    <s v=""/>
    <s v="OK"/>
    <s v="No"/>
  </r>
  <r>
    <n v="296"/>
    <s v="Merge 1+2"/>
    <n v="296"/>
    <n v="296"/>
    <n v="0"/>
    <x v="12"/>
    <n v="1"/>
    <n v="0"/>
    <n v="1"/>
    <x v="18"/>
    <b v="0"/>
    <n v="4"/>
    <n v="1"/>
    <n v="0.2"/>
    <n v="0.18179999999999999"/>
    <n v="0.18179999999999999"/>
    <n v="0.4"/>
    <n v="0.32840000000000003"/>
    <n v="3"/>
    <n v="141"/>
    <n v="144"/>
    <x v="1"/>
    <x v="0"/>
    <s v="Winter"/>
    <s v="Thursday"/>
    <x v="3"/>
    <n v="1.4"/>
    <n v="-4"/>
    <n v="40"/>
    <n v="22"/>
    <n v="0.97916666666666663"/>
    <x v="2"/>
    <n v="-0.34"/>
    <s v=""/>
    <s v="OK"/>
    <s v="No"/>
  </r>
  <r>
    <n v="297"/>
    <s v="Merge 1+2"/>
    <n v="297"/>
    <n v="297"/>
    <n v="0"/>
    <x v="12"/>
    <n v="1"/>
    <n v="0"/>
    <n v="1"/>
    <x v="19"/>
    <b v="0"/>
    <n v="4"/>
    <n v="1"/>
    <n v="0.16"/>
    <n v="0.1515"/>
    <n v="0.1515"/>
    <n v="0.47"/>
    <n v="0.25369999999999998"/>
    <n v="1"/>
    <n v="98"/>
    <n v="99"/>
    <x v="1"/>
    <x v="0"/>
    <s v="Winter"/>
    <s v="Thursday"/>
    <x v="3"/>
    <n v="-0.5"/>
    <n v="-6"/>
    <n v="47"/>
    <n v="17"/>
    <n v="0.98989898989898994"/>
    <x v="2"/>
    <n v="-0.23"/>
    <s v=""/>
    <s v="OK"/>
    <s v="No"/>
  </r>
  <r>
    <n v="298"/>
    <s v="Merge 1+2"/>
    <n v="298"/>
    <n v="298"/>
    <n v="0"/>
    <x v="12"/>
    <n v="1"/>
    <n v="0"/>
    <n v="1"/>
    <x v="20"/>
    <b v="0"/>
    <n v="4"/>
    <n v="1"/>
    <n v="0.16"/>
    <n v="0.1515"/>
    <n v="0.1515"/>
    <n v="0.47"/>
    <n v="0.22389999999999999"/>
    <n v="0"/>
    <n v="64"/>
    <n v="64"/>
    <x v="1"/>
    <x v="0"/>
    <s v="Winter"/>
    <s v="Thursday"/>
    <x v="3"/>
    <n v="-0.5"/>
    <n v="-6"/>
    <n v="47"/>
    <n v="15"/>
    <n v="1"/>
    <x v="0"/>
    <n v="-0.46"/>
    <s v=""/>
    <s v="OK"/>
    <s v="No"/>
  </r>
  <r>
    <n v="299"/>
    <s v="Merge 1+2"/>
    <n v="299"/>
    <n v="299"/>
    <n v="0"/>
    <x v="12"/>
    <n v="1"/>
    <n v="0"/>
    <n v="1"/>
    <x v="21"/>
    <b v="0"/>
    <n v="4"/>
    <n v="1"/>
    <n v="0.14000000000000001"/>
    <n v="0.1212"/>
    <n v="0.1212"/>
    <n v="0.46"/>
    <n v="0.29849999999999999"/>
    <n v="0"/>
    <n v="40"/>
    <n v="40"/>
    <x v="1"/>
    <x v="0"/>
    <s v="Winter"/>
    <s v="Thursday"/>
    <x v="3"/>
    <n v="-1.4"/>
    <n v="-8"/>
    <n v="46"/>
    <n v="20"/>
    <n v="1"/>
    <x v="0"/>
    <n v="-0.89"/>
    <s v=""/>
    <s v="OK"/>
    <s v="No"/>
  </r>
  <r>
    <n v="300"/>
    <s v="Merge 1+2"/>
    <n v="300"/>
    <n v="300"/>
    <n v="0"/>
    <x v="12"/>
    <n v="1"/>
    <n v="0"/>
    <n v="1"/>
    <x v="22"/>
    <b v="0"/>
    <n v="4"/>
    <n v="1"/>
    <n v="0.14000000000000001"/>
    <n v="0.1212"/>
    <n v="0.1212"/>
    <n v="0.46"/>
    <n v="0.32840000000000003"/>
    <n v="0"/>
    <n v="30"/>
    <n v="30"/>
    <x v="1"/>
    <x v="0"/>
    <s v="Winter"/>
    <s v="Thursday"/>
    <x v="3"/>
    <n v="-1.4"/>
    <n v="-8"/>
    <n v="46"/>
    <n v="22"/>
    <n v="1"/>
    <x v="0"/>
    <n v="-0.8"/>
    <s v=""/>
    <s v="OK"/>
    <s v="No"/>
  </r>
  <r>
    <n v="301"/>
    <s v="Merge 1+2"/>
    <n v="301"/>
    <n v="301"/>
    <n v="0"/>
    <x v="12"/>
    <n v="1"/>
    <n v="0"/>
    <n v="1"/>
    <x v="23"/>
    <b v="0"/>
    <n v="4"/>
    <n v="1"/>
    <n v="0.12"/>
    <n v="0.13639999999999999"/>
    <n v="0.13639999999999999"/>
    <n v="0.5"/>
    <n v="0.19400000000000001"/>
    <n v="1"/>
    <n v="14"/>
    <n v="15"/>
    <x v="1"/>
    <x v="0"/>
    <s v="Winter"/>
    <s v="Thursday"/>
    <x v="3"/>
    <n v="-2.4"/>
    <n v="-7"/>
    <n v="50"/>
    <n v="13"/>
    <n v="0.93333333333333335"/>
    <x v="1"/>
    <n v="-0.94"/>
    <s v=""/>
    <s v="OK"/>
    <s v="No"/>
  </r>
  <r>
    <n v="302"/>
    <s v="Merge 1+2"/>
    <n v="302"/>
    <n v="302"/>
    <n v="0"/>
    <x v="13"/>
    <n v="1"/>
    <n v="0"/>
    <n v="1"/>
    <x v="0"/>
    <b v="0"/>
    <n v="5"/>
    <n v="1"/>
    <n v="0.12"/>
    <n v="0.13639999999999999"/>
    <n v="0.13639999999999999"/>
    <n v="0.5"/>
    <n v="0.19400000000000001"/>
    <n v="0"/>
    <n v="14"/>
    <n v="14"/>
    <x v="1"/>
    <x v="0"/>
    <s v="Winter"/>
    <s v="Friday"/>
    <x v="0"/>
    <n v="-2.4"/>
    <n v="-7"/>
    <n v="50"/>
    <n v="13"/>
    <n v="1"/>
    <x v="1"/>
    <n v="0.73"/>
    <s v=""/>
    <s v="OK"/>
    <s v="No"/>
  </r>
  <r>
    <n v="303"/>
    <s v="Merge 1+2"/>
    <n v="303"/>
    <n v="303"/>
    <n v="0"/>
    <x v="13"/>
    <n v="1"/>
    <n v="0"/>
    <n v="1"/>
    <x v="1"/>
    <b v="0"/>
    <n v="5"/>
    <n v="1"/>
    <n v="0.1"/>
    <n v="0.1212"/>
    <n v="0.1212"/>
    <n v="0.54"/>
    <n v="0.16420000000000001"/>
    <n v="0"/>
    <n v="5"/>
    <n v="5"/>
    <x v="1"/>
    <x v="0"/>
    <s v="Winter"/>
    <s v="Friday"/>
    <x v="0"/>
    <n v="-3.3"/>
    <n v="-8"/>
    <n v="54"/>
    <n v="11"/>
    <n v="1"/>
    <x v="1"/>
    <n v="0.14000000000000001"/>
    <s v=""/>
    <s v="OK"/>
    <s v="No"/>
  </r>
  <r>
    <n v="304"/>
    <s v="Merge 1+2"/>
    <n v="304"/>
    <n v="304"/>
    <n v="0"/>
    <x v="13"/>
    <n v="1"/>
    <n v="0"/>
    <n v="1"/>
    <x v="2"/>
    <b v="0"/>
    <n v="5"/>
    <n v="1"/>
    <n v="0.1"/>
    <n v="0.1212"/>
    <n v="0.1212"/>
    <n v="0.54"/>
    <n v="0.1343"/>
    <n v="0"/>
    <n v="1"/>
    <n v="1"/>
    <x v="1"/>
    <x v="0"/>
    <s v="Winter"/>
    <s v="Friday"/>
    <x v="0"/>
    <n v="-3.3"/>
    <n v="-8"/>
    <n v="54"/>
    <n v="9"/>
    <n v="1"/>
    <x v="1"/>
    <n v="-0.81"/>
    <s v=""/>
    <s v="OK"/>
    <s v="No"/>
  </r>
  <r>
    <n v="305"/>
    <s v="Merge 1+2"/>
    <n v="305"/>
    <n v="305"/>
    <n v="0"/>
    <x v="13"/>
    <n v="1"/>
    <n v="0"/>
    <n v="1"/>
    <x v="3"/>
    <b v="0"/>
    <n v="5"/>
    <n v="1"/>
    <n v="0.1"/>
    <n v="0.13639999999999999"/>
    <n v="0.13639999999999999"/>
    <n v="0.54"/>
    <n v="0.1045"/>
    <n v="0"/>
    <n v="1"/>
    <n v="1"/>
    <x v="1"/>
    <x v="0"/>
    <s v="Winter"/>
    <s v="Friday"/>
    <x v="0"/>
    <n v="-3.3"/>
    <n v="-7"/>
    <n v="54"/>
    <n v="7"/>
    <n v="1"/>
    <x v="1"/>
    <n v="-0.61"/>
    <s v=""/>
    <s v="OK"/>
    <s v="No"/>
  </r>
  <r>
    <n v="306"/>
    <s v="Merge 1+2"/>
    <n v="306"/>
    <n v="306"/>
    <n v="0"/>
    <x v="13"/>
    <n v="1"/>
    <n v="0"/>
    <n v="1"/>
    <x v="5"/>
    <b v="0"/>
    <n v="5"/>
    <n v="1"/>
    <n v="0.1"/>
    <n v="0.13639999999999999"/>
    <n v="0.13639999999999999"/>
    <n v="0.54"/>
    <n v="8.9599999999999999E-2"/>
    <n v="0"/>
    <n v="8"/>
    <n v="8"/>
    <x v="1"/>
    <x v="0"/>
    <s v="Winter"/>
    <s v="Friday"/>
    <x v="0"/>
    <n v="-3.3"/>
    <n v="-7"/>
    <n v="54"/>
    <n v="6"/>
    <n v="1"/>
    <x v="1"/>
    <n v="1.38"/>
    <s v=""/>
    <s v="OK"/>
    <s v="No"/>
  </r>
  <r>
    <n v="307"/>
    <s v="Merge 1+2"/>
    <n v="307"/>
    <n v="307"/>
    <n v="0"/>
    <x v="13"/>
    <n v="1"/>
    <n v="0"/>
    <n v="1"/>
    <x v="6"/>
    <b v="0"/>
    <n v="5"/>
    <n v="1"/>
    <n v="0.1"/>
    <n v="0.18179999999999999"/>
    <n v="0.18179999999999999"/>
    <n v="0.54"/>
    <n v="0"/>
    <n v="0"/>
    <n v="17"/>
    <n v="17"/>
    <x v="1"/>
    <x v="0"/>
    <s v="Winter"/>
    <s v="Friday"/>
    <x v="1"/>
    <n v="-3.3"/>
    <n v="-4"/>
    <n v="54"/>
    <n v="0"/>
    <n v="1"/>
    <x v="0"/>
    <n v="-1.29"/>
    <s v=""/>
    <s v="OK"/>
    <s v="No"/>
  </r>
  <r>
    <n v="308"/>
    <s v="Merge 1+2"/>
    <n v="308"/>
    <n v="308"/>
    <n v="0"/>
    <x v="13"/>
    <n v="1"/>
    <n v="0"/>
    <n v="1"/>
    <x v="7"/>
    <b v="0"/>
    <n v="5"/>
    <n v="1"/>
    <n v="0.1"/>
    <n v="0.1212"/>
    <n v="0.1212"/>
    <n v="0.74"/>
    <n v="0.16420000000000001"/>
    <n v="0"/>
    <n v="70"/>
    <n v="70"/>
    <x v="1"/>
    <x v="0"/>
    <s v="Winter"/>
    <s v="Friday"/>
    <x v="1"/>
    <n v="-3.3"/>
    <n v="-8"/>
    <n v="74"/>
    <n v="11"/>
    <n v="1"/>
    <x v="0"/>
    <n v="-0.54"/>
    <s v=""/>
    <s v="OK"/>
    <s v="No"/>
  </r>
  <r>
    <n v="309"/>
    <s v="Merge 1+2"/>
    <n v="309"/>
    <n v="309"/>
    <n v="0"/>
    <x v="13"/>
    <n v="1"/>
    <n v="0"/>
    <n v="1"/>
    <x v="8"/>
    <b v="0"/>
    <n v="5"/>
    <n v="1"/>
    <n v="0.12"/>
    <n v="0.16669999999999999"/>
    <n v="0.16669999999999999"/>
    <n v="0.68"/>
    <n v="0"/>
    <n v="2"/>
    <n v="156"/>
    <n v="158"/>
    <x v="1"/>
    <x v="0"/>
    <s v="Winter"/>
    <s v="Friday"/>
    <x v="1"/>
    <n v="-2.4"/>
    <n v="-5"/>
    <n v="68"/>
    <n v="0"/>
    <n v="0.98734177215189878"/>
    <x v="2"/>
    <n v="-0.79"/>
    <s v=""/>
    <s v="OK"/>
    <s v="No"/>
  </r>
  <r>
    <n v="310"/>
    <s v="Merge 1+2"/>
    <n v="310"/>
    <n v="310"/>
    <n v="0"/>
    <x v="13"/>
    <n v="1"/>
    <n v="0"/>
    <n v="1"/>
    <x v="9"/>
    <b v="0"/>
    <n v="5"/>
    <n v="1"/>
    <n v="0.14000000000000001"/>
    <n v="0.1515"/>
    <n v="0.1515"/>
    <n v="0.69"/>
    <n v="0.1343"/>
    <n v="0"/>
    <n v="117"/>
    <n v="117"/>
    <x v="1"/>
    <x v="0"/>
    <s v="Winter"/>
    <s v="Friday"/>
    <x v="1"/>
    <n v="-1.4"/>
    <n v="-6"/>
    <n v="69"/>
    <n v="9"/>
    <n v="1"/>
    <x v="2"/>
    <n v="-0.05"/>
    <s v=""/>
    <s v="OK"/>
    <s v="No"/>
  </r>
  <r>
    <n v="311"/>
    <s v="Merge 1+2"/>
    <n v="311"/>
    <n v="311"/>
    <n v="0"/>
    <x v="13"/>
    <n v="1"/>
    <n v="0"/>
    <n v="1"/>
    <x v="10"/>
    <b v="0"/>
    <n v="5"/>
    <n v="1"/>
    <n v="0.18"/>
    <n v="0.18179999999999999"/>
    <n v="0.18179999999999999"/>
    <n v="0.55000000000000004"/>
    <n v="0.19400000000000001"/>
    <n v="4"/>
    <n v="40"/>
    <n v="44"/>
    <x v="1"/>
    <x v="0"/>
    <s v="Winter"/>
    <s v="Friday"/>
    <x v="1"/>
    <n v="0.5"/>
    <n v="-4"/>
    <n v="55"/>
    <n v="13"/>
    <n v="0.90909090909090906"/>
    <x v="0"/>
    <n v="-0.47"/>
    <s v=""/>
    <s v="OK"/>
    <s v="No"/>
  </r>
  <r>
    <n v="312"/>
    <s v="Merge 1+2"/>
    <n v="312"/>
    <n v="312"/>
    <n v="0"/>
    <x v="13"/>
    <n v="1"/>
    <n v="0"/>
    <n v="1"/>
    <x v="11"/>
    <b v="0"/>
    <n v="5"/>
    <n v="1"/>
    <n v="0.18"/>
    <n v="0.16669999999999999"/>
    <n v="0.16669999999999999"/>
    <n v="0.51"/>
    <n v="0.28360000000000002"/>
    <n v="6"/>
    <n v="47"/>
    <n v="53"/>
    <x v="1"/>
    <x v="0"/>
    <s v="Winter"/>
    <s v="Friday"/>
    <x v="1"/>
    <n v="0.5"/>
    <n v="-5"/>
    <n v="51"/>
    <n v="19"/>
    <n v="0.8867924528301887"/>
    <x v="0"/>
    <n v="0.26"/>
    <s v=""/>
    <s v="OK"/>
    <s v="No"/>
  </r>
  <r>
    <n v="313"/>
    <s v="Merge 1+2"/>
    <n v="313"/>
    <n v="313"/>
    <n v="0"/>
    <x v="13"/>
    <n v="1"/>
    <n v="0"/>
    <n v="1"/>
    <x v="12"/>
    <b v="0"/>
    <n v="5"/>
    <n v="1"/>
    <n v="0.2"/>
    <n v="0.19700000000000001"/>
    <n v="0.19700000000000001"/>
    <n v="0.44"/>
    <n v="0.25369999999999998"/>
    <n v="2"/>
    <n v="59"/>
    <n v="61"/>
    <x v="1"/>
    <x v="0"/>
    <s v="Winter"/>
    <s v="Friday"/>
    <x v="2"/>
    <n v="1.4"/>
    <n v="-3"/>
    <n v="44"/>
    <n v="17"/>
    <n v="0.96721311475409832"/>
    <x v="0"/>
    <n v="-0.16"/>
    <s v=""/>
    <s v="OK"/>
    <s v="No"/>
  </r>
  <r>
    <n v="314"/>
    <s v="Merge 1+2"/>
    <n v="314"/>
    <n v="314"/>
    <n v="0"/>
    <x v="13"/>
    <n v="1"/>
    <n v="0"/>
    <n v="1"/>
    <x v="13"/>
    <b v="0"/>
    <n v="5"/>
    <n v="1"/>
    <n v="0.22"/>
    <n v="0.19700000000000001"/>
    <n v="0.19700000000000001"/>
    <n v="0.37"/>
    <n v="0.3881"/>
    <n v="4"/>
    <n v="73"/>
    <n v="77"/>
    <x v="1"/>
    <x v="0"/>
    <s v="Winter"/>
    <s v="Friday"/>
    <x v="2"/>
    <n v="2.2999999999999998"/>
    <n v="-3"/>
    <n v="37"/>
    <n v="26"/>
    <n v="0.94805194805194803"/>
    <x v="0"/>
    <n v="0.54"/>
    <s v=""/>
    <s v="OK"/>
    <s v="No"/>
  </r>
  <r>
    <n v="315"/>
    <s v="Merge 1+2"/>
    <n v="315"/>
    <n v="315"/>
    <n v="0"/>
    <x v="13"/>
    <n v="1"/>
    <n v="0"/>
    <n v="1"/>
    <x v="14"/>
    <b v="0"/>
    <n v="5"/>
    <n v="1"/>
    <n v="0.22"/>
    <n v="0.21210000000000001"/>
    <n v="0.21210000000000001"/>
    <n v="0.41"/>
    <n v="0.28360000000000002"/>
    <n v="5"/>
    <n v="59"/>
    <n v="64"/>
    <x v="1"/>
    <x v="0"/>
    <s v="Winter"/>
    <s v="Friday"/>
    <x v="2"/>
    <n v="2.2999999999999998"/>
    <n v="-2"/>
    <n v="41"/>
    <n v="19"/>
    <n v="0.921875"/>
    <x v="0"/>
    <n v="0.27"/>
    <s v=""/>
    <s v="OK"/>
    <s v="No"/>
  </r>
  <r>
    <n v="316"/>
    <s v="Merge 1+2"/>
    <n v="316"/>
    <n v="316"/>
    <n v="0"/>
    <x v="13"/>
    <n v="1"/>
    <n v="0"/>
    <n v="1"/>
    <x v="15"/>
    <b v="0"/>
    <n v="5"/>
    <n v="1"/>
    <n v="0.24"/>
    <n v="0.2424"/>
    <n v="0.2424"/>
    <n v="0.38"/>
    <n v="0.16420000000000001"/>
    <n v="9"/>
    <n v="59"/>
    <n v="68"/>
    <x v="1"/>
    <x v="0"/>
    <s v="Winter"/>
    <s v="Friday"/>
    <x v="2"/>
    <n v="3.3"/>
    <n v="0"/>
    <n v="38"/>
    <n v="11"/>
    <n v="0.86764705882352944"/>
    <x v="0"/>
    <n v="0.54"/>
    <s v=""/>
    <s v="OK"/>
    <s v="No"/>
  </r>
  <r>
    <n v="317"/>
    <s v="Merge 1+2"/>
    <n v="317"/>
    <n v="317"/>
    <n v="0"/>
    <x v="13"/>
    <n v="1"/>
    <n v="0"/>
    <n v="1"/>
    <x v="16"/>
    <b v="0"/>
    <n v="5"/>
    <n v="1"/>
    <n v="0.22"/>
    <n v="0.2424"/>
    <n v="0.2424"/>
    <n v="0.41"/>
    <n v="0.1045"/>
    <n v="3"/>
    <n v="87"/>
    <n v="90"/>
    <x v="1"/>
    <x v="0"/>
    <s v="Winter"/>
    <s v="Friday"/>
    <x v="2"/>
    <n v="2.2999999999999998"/>
    <n v="0"/>
    <n v="41"/>
    <n v="7"/>
    <n v="0.96666666666666667"/>
    <x v="2"/>
    <n v="0.35"/>
    <s v=""/>
    <s v="OK"/>
    <s v="No"/>
  </r>
  <r>
    <n v="318"/>
    <s v="Merge 1+2"/>
    <n v="318"/>
    <n v="318"/>
    <n v="0"/>
    <x v="13"/>
    <n v="1"/>
    <n v="0"/>
    <n v="1"/>
    <x v="17"/>
    <b v="0"/>
    <n v="5"/>
    <n v="1"/>
    <n v="0.22"/>
    <n v="0.2273"/>
    <n v="0.2273"/>
    <n v="0.41"/>
    <n v="0.16420000000000001"/>
    <n v="4"/>
    <n v="155"/>
    <n v="159"/>
    <x v="1"/>
    <x v="0"/>
    <s v="Winter"/>
    <s v="Friday"/>
    <x v="2"/>
    <n v="2.2999999999999998"/>
    <n v="-1"/>
    <n v="41"/>
    <n v="11"/>
    <n v="0.97484276729559749"/>
    <x v="2"/>
    <n v="-0.24"/>
    <s v=""/>
    <s v="OK"/>
    <s v="No"/>
  </r>
  <r>
    <n v="319"/>
    <s v="Merge 1+2"/>
    <n v="319"/>
    <n v="319"/>
    <n v="0"/>
    <x v="13"/>
    <n v="1"/>
    <n v="0"/>
    <n v="1"/>
    <x v="18"/>
    <b v="0"/>
    <n v="5"/>
    <n v="1"/>
    <n v="0.2"/>
    <n v="0.2576"/>
    <n v="0.2576"/>
    <n v="0.47"/>
    <n v="0"/>
    <n v="5"/>
    <n v="134"/>
    <n v="139"/>
    <x v="1"/>
    <x v="0"/>
    <s v="Winter"/>
    <s v="Friday"/>
    <x v="3"/>
    <n v="1.4"/>
    <n v="1"/>
    <n v="47"/>
    <n v="0"/>
    <n v="0.96402877697841727"/>
    <x v="2"/>
    <n v="-0.52"/>
    <s v=""/>
    <s v="OK"/>
    <s v="No"/>
  </r>
  <r>
    <n v="320"/>
    <s v="Merge 1+2"/>
    <n v="320"/>
    <n v="320"/>
    <n v="0"/>
    <x v="13"/>
    <n v="1"/>
    <n v="0"/>
    <n v="1"/>
    <x v="19"/>
    <b v="0"/>
    <n v="5"/>
    <n v="1"/>
    <n v="0.16"/>
    <n v="0.19700000000000001"/>
    <n v="0.19700000000000001"/>
    <n v="0.59"/>
    <n v="8.9599999999999999E-2"/>
    <n v="3"/>
    <n v="89"/>
    <n v="92"/>
    <x v="1"/>
    <x v="0"/>
    <s v="Winter"/>
    <s v="Friday"/>
    <x v="3"/>
    <n v="-0.5"/>
    <n v="-3"/>
    <n v="59"/>
    <n v="6"/>
    <n v="0.96739130434782605"/>
    <x v="2"/>
    <n v="-0.57999999999999996"/>
    <s v=""/>
    <s v="OK"/>
    <s v="No"/>
  </r>
  <r>
    <n v="321"/>
    <s v="Merge 1+2"/>
    <n v="321"/>
    <n v="321"/>
    <n v="0"/>
    <x v="13"/>
    <n v="1"/>
    <n v="0"/>
    <n v="1"/>
    <x v="20"/>
    <b v="0"/>
    <n v="5"/>
    <n v="1"/>
    <n v="0.18"/>
    <n v="0.2424"/>
    <n v="0.2424"/>
    <n v="0.59"/>
    <n v="0"/>
    <n v="0"/>
    <n v="68"/>
    <n v="68"/>
    <x v="1"/>
    <x v="0"/>
    <s v="Winter"/>
    <s v="Friday"/>
    <x v="3"/>
    <n v="0.5"/>
    <n v="0"/>
    <n v="59"/>
    <n v="0"/>
    <n v="1"/>
    <x v="0"/>
    <n v="-0.27"/>
    <s v=""/>
    <s v="OK"/>
    <s v="No"/>
  </r>
  <r>
    <n v="322"/>
    <s v="Merge 1+2"/>
    <n v="322"/>
    <n v="322"/>
    <n v="0"/>
    <x v="13"/>
    <n v="1"/>
    <n v="0"/>
    <n v="1"/>
    <x v="21"/>
    <b v="0"/>
    <n v="5"/>
    <n v="1"/>
    <n v="0.16"/>
    <n v="0.2273"/>
    <n v="0.2273"/>
    <n v="0.69"/>
    <n v="0"/>
    <n v="4"/>
    <n v="48"/>
    <n v="52"/>
    <x v="1"/>
    <x v="0"/>
    <s v="Winter"/>
    <s v="Friday"/>
    <x v="3"/>
    <n v="-0.5"/>
    <n v="-1"/>
    <n v="69"/>
    <n v="0"/>
    <n v="0.92307692307692313"/>
    <x v="0"/>
    <n v="0.02"/>
    <s v=""/>
    <s v="OK"/>
    <s v="No"/>
  </r>
  <r>
    <n v="323"/>
    <s v="Merge 1+2"/>
    <n v="323"/>
    <n v="323"/>
    <n v="0"/>
    <x v="13"/>
    <n v="1"/>
    <n v="0"/>
    <n v="1"/>
    <x v="22"/>
    <b v="0"/>
    <n v="5"/>
    <n v="2"/>
    <n v="0.16"/>
    <n v="0.2273"/>
    <n v="0.2273"/>
    <n v="0.69"/>
    <n v="0"/>
    <n v="2"/>
    <n v="34"/>
    <n v="36"/>
    <x v="1"/>
    <x v="1"/>
    <s v="Winter"/>
    <s v="Friday"/>
    <x v="3"/>
    <n v="-0.5"/>
    <n v="-1"/>
    <n v="69"/>
    <n v="0"/>
    <n v="0.94444444444444442"/>
    <x v="0"/>
    <n v="-0.2"/>
    <s v=""/>
    <s v="OK"/>
    <s v="No"/>
  </r>
  <r>
    <n v="324"/>
    <s v="Merge 1+2"/>
    <n v="324"/>
    <n v="324"/>
    <n v="0"/>
    <x v="13"/>
    <n v="1"/>
    <n v="0"/>
    <n v="1"/>
    <x v="23"/>
    <b v="0"/>
    <n v="5"/>
    <n v="2"/>
    <n v="0.18"/>
    <n v="0.2424"/>
    <n v="0.2424"/>
    <n v="0.55000000000000004"/>
    <n v="0"/>
    <n v="1"/>
    <n v="26"/>
    <n v="27"/>
    <x v="1"/>
    <x v="1"/>
    <s v="Winter"/>
    <s v="Friday"/>
    <x v="3"/>
    <n v="0.5"/>
    <n v="0"/>
    <n v="55"/>
    <n v="0"/>
    <n v="0.96296296296296291"/>
    <x v="0"/>
    <n v="0.26"/>
    <s v=""/>
    <s v="OK"/>
    <s v="No"/>
  </r>
  <r>
    <n v="325"/>
    <s v="Merge 1+2"/>
    <n v="325"/>
    <n v="325"/>
    <n v="0"/>
    <x v="14"/>
    <n v="1"/>
    <n v="0"/>
    <n v="1"/>
    <x v="0"/>
    <b v="0"/>
    <n v="6"/>
    <n v="1"/>
    <n v="0.18"/>
    <n v="0.2424"/>
    <n v="0.2424"/>
    <n v="0.55000000000000004"/>
    <n v="0"/>
    <n v="3"/>
    <n v="25"/>
    <n v="28"/>
    <x v="0"/>
    <x v="0"/>
    <s v="Winter"/>
    <s v="Saturday"/>
    <x v="0"/>
    <n v="0.5"/>
    <n v="0"/>
    <n v="55"/>
    <n v="0"/>
    <n v="0.8928571428571429"/>
    <x v="0"/>
    <n v="7.0000000000000007E-2"/>
    <s v=""/>
    <s v="OK"/>
    <s v="No"/>
  </r>
  <r>
    <n v="326"/>
    <s v="Merge 1+2"/>
    <n v="326"/>
    <n v="326"/>
    <n v="0"/>
    <x v="14"/>
    <n v="1"/>
    <n v="0"/>
    <n v="1"/>
    <x v="1"/>
    <b v="0"/>
    <n v="6"/>
    <n v="2"/>
    <n v="0.16"/>
    <n v="0.19700000000000001"/>
    <n v="0.19700000000000001"/>
    <n v="0.59"/>
    <n v="8.9599999999999999E-2"/>
    <n v="2"/>
    <n v="18"/>
    <n v="20"/>
    <x v="0"/>
    <x v="1"/>
    <s v="Winter"/>
    <s v="Saturday"/>
    <x v="0"/>
    <n v="-0.5"/>
    <n v="-3"/>
    <n v="59"/>
    <n v="6"/>
    <n v="0.9"/>
    <x v="0"/>
    <n v="-0.2"/>
    <s v=""/>
    <s v="OK"/>
    <s v="No"/>
  </r>
  <r>
    <n v="327"/>
    <s v="Merge 1+2"/>
    <n v="327"/>
    <n v="327"/>
    <n v="0"/>
    <x v="14"/>
    <n v="1"/>
    <n v="0"/>
    <n v="1"/>
    <x v="2"/>
    <b v="0"/>
    <n v="6"/>
    <n v="2"/>
    <n v="0.16"/>
    <n v="0.19700000000000001"/>
    <n v="0.19700000000000001"/>
    <n v="0.59"/>
    <n v="8.9599999999999999E-2"/>
    <n v="0"/>
    <n v="12"/>
    <n v="12"/>
    <x v="0"/>
    <x v="1"/>
    <s v="Winter"/>
    <s v="Saturday"/>
    <x v="0"/>
    <n v="-0.5"/>
    <n v="-3"/>
    <n v="59"/>
    <n v="6"/>
    <n v="1"/>
    <x v="1"/>
    <n v="-0.56999999999999995"/>
    <s v=""/>
    <s v="OK"/>
    <s v="No"/>
  </r>
  <r>
    <n v="328"/>
    <s v="Merge 1+2"/>
    <n v="328"/>
    <n v="328"/>
    <n v="0"/>
    <x v="14"/>
    <n v="1"/>
    <n v="0"/>
    <n v="1"/>
    <x v="3"/>
    <b v="0"/>
    <n v="6"/>
    <n v="2"/>
    <n v="0.16"/>
    <n v="0.2273"/>
    <n v="0.2273"/>
    <n v="0.59"/>
    <n v="0"/>
    <n v="1"/>
    <n v="7"/>
    <n v="8"/>
    <x v="0"/>
    <x v="1"/>
    <s v="Winter"/>
    <s v="Saturday"/>
    <x v="0"/>
    <n v="-0.5"/>
    <n v="-1"/>
    <n v="59"/>
    <n v="0"/>
    <n v="0.875"/>
    <x v="1"/>
    <n v="-0.16"/>
    <s v=""/>
    <s v="OK"/>
    <s v="No"/>
  </r>
  <r>
    <n v="329"/>
    <s v="Merge 1+2"/>
    <n v="329"/>
    <n v="329"/>
    <n v="0"/>
    <x v="14"/>
    <n v="1"/>
    <n v="0"/>
    <n v="1"/>
    <x v="4"/>
    <b v="0"/>
    <n v="6"/>
    <n v="2"/>
    <n v="0.16"/>
    <n v="0.2273"/>
    <n v="0.2273"/>
    <n v="0.59"/>
    <n v="0"/>
    <n v="0"/>
    <n v="5"/>
    <n v="5"/>
    <x v="0"/>
    <x v="1"/>
    <s v="Winter"/>
    <s v="Saturday"/>
    <x v="0"/>
    <n v="-0.5"/>
    <n v="-1"/>
    <n v="59"/>
    <n v="0"/>
    <n v="1"/>
    <x v="1"/>
    <n v="1.1599999999999999"/>
    <s v=""/>
    <s v="OK"/>
    <s v="No"/>
  </r>
  <r>
    <n v="330"/>
    <s v="Merge 1+2"/>
    <n v="330"/>
    <n v="330"/>
    <n v="0"/>
    <x v="14"/>
    <n v="1"/>
    <n v="0"/>
    <n v="1"/>
    <x v="5"/>
    <b v="0"/>
    <n v="6"/>
    <n v="1"/>
    <n v="0.16"/>
    <n v="0.2273"/>
    <n v="0.2273"/>
    <n v="0.59"/>
    <n v="0"/>
    <n v="0"/>
    <n v="1"/>
    <n v="1"/>
    <x v="0"/>
    <x v="0"/>
    <s v="Winter"/>
    <s v="Saturday"/>
    <x v="0"/>
    <n v="-0.5"/>
    <n v="-1"/>
    <n v="59"/>
    <n v="0"/>
    <n v="1"/>
    <x v="1"/>
    <n v="-0.62"/>
    <s v=""/>
    <s v="OK"/>
    <s v="No"/>
  </r>
  <r>
    <n v="331"/>
    <s v="Merge 1+2"/>
    <n v="331"/>
    <n v="331"/>
    <n v="0"/>
    <x v="14"/>
    <n v="1"/>
    <n v="0"/>
    <n v="1"/>
    <x v="6"/>
    <b v="0"/>
    <n v="6"/>
    <n v="1"/>
    <n v="0.14000000000000001"/>
    <n v="0.16669999999999999"/>
    <n v="0.16669999999999999"/>
    <n v="0.63"/>
    <n v="0.1045"/>
    <n v="1"/>
    <n v="2"/>
    <n v="3"/>
    <x v="0"/>
    <x v="0"/>
    <s v="Winter"/>
    <s v="Saturday"/>
    <x v="1"/>
    <n v="-1.4"/>
    <n v="-5"/>
    <n v="63"/>
    <n v="7"/>
    <n v="0.66666666666666663"/>
    <x v="1"/>
    <n v="0.46"/>
    <s v=""/>
    <s v="OK"/>
    <s v="No"/>
  </r>
  <r>
    <n v="332"/>
    <s v="Merge 1+2"/>
    <n v="332"/>
    <n v="332"/>
    <n v="0"/>
    <x v="14"/>
    <n v="1"/>
    <n v="0"/>
    <n v="1"/>
    <x v="7"/>
    <b v="0"/>
    <n v="6"/>
    <n v="1"/>
    <n v="0.14000000000000001"/>
    <n v="0.21210000000000001"/>
    <n v="0.21210000000000001"/>
    <n v="0.63"/>
    <n v="0"/>
    <n v="1"/>
    <n v="9"/>
    <n v="10"/>
    <x v="0"/>
    <x v="0"/>
    <s v="Winter"/>
    <s v="Saturday"/>
    <x v="1"/>
    <n v="-1.4"/>
    <n v="-2"/>
    <n v="63"/>
    <n v="0"/>
    <n v="0.9"/>
    <x v="1"/>
    <n v="1.1100000000000001"/>
    <s v=""/>
    <s v="OK"/>
    <s v="No"/>
  </r>
  <r>
    <n v="333"/>
    <s v="Merge 1+2"/>
    <n v="333"/>
    <n v="333"/>
    <n v="0"/>
    <x v="14"/>
    <n v="1"/>
    <n v="0"/>
    <n v="1"/>
    <x v="8"/>
    <b v="0"/>
    <n v="6"/>
    <n v="1"/>
    <n v="0.14000000000000001"/>
    <n v="0.1515"/>
    <n v="0.1515"/>
    <n v="0.63"/>
    <n v="0.1343"/>
    <n v="1"/>
    <n v="22"/>
    <n v="23"/>
    <x v="0"/>
    <x v="0"/>
    <s v="Winter"/>
    <s v="Saturday"/>
    <x v="1"/>
    <n v="-1.4"/>
    <n v="-6"/>
    <n v="63"/>
    <n v="9"/>
    <n v="0.95652173913043481"/>
    <x v="0"/>
    <n v="0.46"/>
    <s v=""/>
    <s v="OK"/>
    <s v="No"/>
  </r>
  <r>
    <n v="334"/>
    <s v="Merge 1+2"/>
    <n v="334"/>
    <n v="334"/>
    <n v="0"/>
    <x v="14"/>
    <n v="1"/>
    <n v="0"/>
    <n v="1"/>
    <x v="9"/>
    <b v="0"/>
    <n v="6"/>
    <n v="1"/>
    <n v="0.16"/>
    <n v="0.18179999999999999"/>
    <n v="0.18179999999999999"/>
    <n v="0.64"/>
    <n v="0.1343"/>
    <n v="2"/>
    <n v="31"/>
    <n v="33"/>
    <x v="0"/>
    <x v="0"/>
    <s v="Winter"/>
    <s v="Saturday"/>
    <x v="1"/>
    <n v="-0.5"/>
    <n v="-4"/>
    <n v="64"/>
    <n v="9"/>
    <n v="0.93939393939393945"/>
    <x v="0"/>
    <n v="0.09"/>
    <s v=""/>
    <s v="OK"/>
    <s v="No"/>
  </r>
  <r>
    <n v="335"/>
    <s v="Merge 1+2"/>
    <n v="335"/>
    <n v="335"/>
    <n v="0"/>
    <x v="14"/>
    <n v="1"/>
    <n v="0"/>
    <n v="1"/>
    <x v="10"/>
    <b v="0"/>
    <n v="6"/>
    <n v="1"/>
    <n v="0.18"/>
    <n v="0.19700000000000001"/>
    <n v="0.19700000000000001"/>
    <n v="0.59"/>
    <n v="0.16420000000000001"/>
    <n v="2"/>
    <n v="57"/>
    <n v="59"/>
    <x v="0"/>
    <x v="0"/>
    <s v="Winter"/>
    <s v="Saturday"/>
    <x v="1"/>
    <n v="0.5"/>
    <n v="-3"/>
    <n v="59"/>
    <n v="11"/>
    <n v="0.96610169491525422"/>
    <x v="0"/>
    <n v="-0.18"/>
    <s v=""/>
    <s v="OK"/>
    <s v="No"/>
  </r>
  <r>
    <n v="336"/>
    <s v="Merge 1+2"/>
    <n v="336"/>
    <n v="336"/>
    <n v="0"/>
    <x v="14"/>
    <n v="1"/>
    <n v="0"/>
    <n v="1"/>
    <x v="11"/>
    <b v="0"/>
    <n v="6"/>
    <n v="1"/>
    <n v="0.2"/>
    <n v="0.19700000000000001"/>
    <n v="0.19700000000000001"/>
    <n v="0.55000000000000004"/>
    <n v="0.22389999999999999"/>
    <n v="18"/>
    <n v="54"/>
    <n v="72"/>
    <x v="0"/>
    <x v="0"/>
    <s v="Winter"/>
    <s v="Saturday"/>
    <x v="1"/>
    <n v="1.4"/>
    <n v="-3"/>
    <n v="55"/>
    <n v="15"/>
    <n v="0.75"/>
    <x v="0"/>
    <n v="-0.17"/>
    <s v=""/>
    <s v="OK"/>
    <s v="No"/>
  </r>
  <r>
    <n v="337"/>
    <s v="Merge 1+2"/>
    <n v="337"/>
    <n v="337"/>
    <n v="0"/>
    <x v="14"/>
    <n v="1"/>
    <n v="0"/>
    <n v="1"/>
    <x v="12"/>
    <b v="0"/>
    <n v="6"/>
    <n v="1"/>
    <n v="0.24"/>
    <n v="0.2273"/>
    <n v="0.2273"/>
    <n v="0.48"/>
    <n v="0.22389999999999999"/>
    <n v="15"/>
    <n v="74"/>
    <n v="89"/>
    <x v="0"/>
    <x v="0"/>
    <s v="Winter"/>
    <s v="Saturday"/>
    <x v="2"/>
    <n v="3.3"/>
    <n v="-1"/>
    <n v="48"/>
    <n v="15"/>
    <n v="0.8314606741573034"/>
    <x v="2"/>
    <n v="-0.33"/>
    <s v=""/>
    <s v="OK"/>
    <s v="No"/>
  </r>
  <r>
    <n v="338"/>
    <s v="Merge 1+2"/>
    <n v="338"/>
    <n v="338"/>
    <n v="0"/>
    <x v="14"/>
    <n v="1"/>
    <n v="0"/>
    <n v="1"/>
    <x v="13"/>
    <b v="0"/>
    <n v="6"/>
    <n v="1"/>
    <n v="0.28000000000000003"/>
    <n v="0.2576"/>
    <n v="0.2576"/>
    <n v="0.38"/>
    <n v="0.29849999999999999"/>
    <n v="21"/>
    <n v="80"/>
    <n v="101"/>
    <x v="0"/>
    <x v="0"/>
    <s v="Winter"/>
    <s v="Saturday"/>
    <x v="2"/>
    <n v="5.2"/>
    <n v="1"/>
    <n v="38"/>
    <n v="20"/>
    <n v="0.79207920792079212"/>
    <x v="2"/>
    <n v="-0.01"/>
    <s v=""/>
    <s v="OK"/>
    <s v="No"/>
  </r>
  <r>
    <n v="339"/>
    <s v="Merge 1+2"/>
    <n v="339"/>
    <n v="339"/>
    <n v="0"/>
    <x v="14"/>
    <n v="1"/>
    <n v="0"/>
    <n v="1"/>
    <x v="14"/>
    <b v="0"/>
    <n v="6"/>
    <n v="1"/>
    <n v="0.3"/>
    <n v="0.28789999999999999"/>
    <n v="0.28789999999999999"/>
    <n v="0.39"/>
    <n v="0.28360000000000002"/>
    <n v="26"/>
    <n v="92"/>
    <n v="118"/>
    <x v="0"/>
    <x v="0"/>
    <s v="Winter"/>
    <s v="Saturday"/>
    <x v="2"/>
    <n v="6.1"/>
    <n v="3"/>
    <n v="39"/>
    <n v="19"/>
    <n v="0.77966101694915257"/>
    <x v="2"/>
    <n v="0.5"/>
    <s v=""/>
    <s v="OK"/>
    <s v="No"/>
  </r>
  <r>
    <n v="340"/>
    <s v="Merge 1+2"/>
    <n v="340"/>
    <n v="340"/>
    <n v="0"/>
    <x v="14"/>
    <n v="1"/>
    <n v="0"/>
    <n v="1"/>
    <x v="15"/>
    <b v="0"/>
    <n v="6"/>
    <n v="2"/>
    <n v="0.32"/>
    <n v="0.31819999999999998"/>
    <n v="0.31819999999999998"/>
    <n v="0.36"/>
    <n v="0.19400000000000001"/>
    <n v="21"/>
    <n v="108"/>
    <n v="129"/>
    <x v="0"/>
    <x v="1"/>
    <s v="Winter"/>
    <s v="Saturday"/>
    <x v="2"/>
    <n v="7"/>
    <n v="5"/>
    <n v="36"/>
    <n v="13"/>
    <n v="0.83720930232558144"/>
    <x v="2"/>
    <n v="0.48"/>
    <s v=""/>
    <s v="OK"/>
    <s v="No"/>
  </r>
  <r>
    <n v="341"/>
    <s v="Merge 1+2"/>
    <n v="341"/>
    <n v="341"/>
    <n v="0"/>
    <x v="14"/>
    <n v="1"/>
    <n v="0"/>
    <n v="1"/>
    <x v="16"/>
    <b v="0"/>
    <n v="6"/>
    <n v="2"/>
    <n v="0.34"/>
    <n v="0.33329999999999999"/>
    <n v="0.33329999999999999"/>
    <n v="0.34"/>
    <n v="0.19400000000000001"/>
    <n v="33"/>
    <n v="95"/>
    <n v="128"/>
    <x v="0"/>
    <x v="1"/>
    <s v="Winter"/>
    <s v="Saturday"/>
    <x v="2"/>
    <n v="8"/>
    <n v="6"/>
    <n v="34"/>
    <n v="13"/>
    <n v="0.7421875"/>
    <x v="2"/>
    <n v="0.9"/>
    <s v=""/>
    <s v="OK"/>
    <s v="No"/>
  </r>
  <r>
    <n v="342"/>
    <s v="Merge 1+2"/>
    <n v="342"/>
    <n v="342"/>
    <n v="0"/>
    <x v="14"/>
    <n v="1"/>
    <n v="0"/>
    <n v="1"/>
    <x v="17"/>
    <b v="0"/>
    <n v="6"/>
    <n v="2"/>
    <n v="0.32"/>
    <n v="0.30299999999999999"/>
    <n v="0.30299999999999999"/>
    <n v="0.36"/>
    <n v="0.28360000000000002"/>
    <n v="29"/>
    <n v="54"/>
    <n v="83"/>
    <x v="0"/>
    <x v="1"/>
    <s v="Winter"/>
    <s v="Saturday"/>
    <x v="2"/>
    <n v="7"/>
    <n v="4"/>
    <n v="36"/>
    <n v="19"/>
    <n v="0.6506024096385542"/>
    <x v="2"/>
    <n v="-7.0000000000000007E-2"/>
    <s v=""/>
    <s v="OK"/>
    <s v="No"/>
  </r>
  <r>
    <n v="343"/>
    <s v="Merge 1+2"/>
    <n v="343"/>
    <n v="343"/>
    <n v="0"/>
    <x v="14"/>
    <n v="1"/>
    <n v="0"/>
    <n v="1"/>
    <x v="18"/>
    <b v="0"/>
    <n v="6"/>
    <n v="2"/>
    <n v="0.3"/>
    <n v="0.28789999999999999"/>
    <n v="0.28789999999999999"/>
    <n v="0.45"/>
    <n v="0.25369999999999998"/>
    <n v="15"/>
    <n v="69"/>
    <n v="84"/>
    <x v="0"/>
    <x v="1"/>
    <s v="Winter"/>
    <s v="Saturday"/>
    <x v="3"/>
    <n v="6.1"/>
    <n v="3"/>
    <n v="45"/>
    <n v="17"/>
    <n v="0.8214285714285714"/>
    <x v="2"/>
    <n v="1.03"/>
    <s v=""/>
    <s v="OK"/>
    <s v="No"/>
  </r>
  <r>
    <n v="344"/>
    <s v="Merge 1+2"/>
    <n v="344"/>
    <n v="344"/>
    <n v="0"/>
    <x v="14"/>
    <n v="1"/>
    <n v="0"/>
    <n v="1"/>
    <x v="19"/>
    <b v="0"/>
    <n v="6"/>
    <n v="2"/>
    <n v="0.32"/>
    <n v="0.30299999999999999"/>
    <n v="0.30299999999999999"/>
    <n v="0.39"/>
    <n v="0.25369999999999998"/>
    <n v="14"/>
    <n v="60"/>
    <n v="74"/>
    <x v="0"/>
    <x v="1"/>
    <s v="Winter"/>
    <s v="Saturday"/>
    <x v="3"/>
    <n v="7"/>
    <n v="4"/>
    <n v="39"/>
    <n v="17"/>
    <n v="0.81081081081081086"/>
    <x v="0"/>
    <n v="1.34"/>
    <s v=""/>
    <s v="OK"/>
    <s v="No"/>
  </r>
  <r>
    <n v="345"/>
    <s v="Merge 1+2"/>
    <n v="345"/>
    <n v="345"/>
    <n v="0"/>
    <x v="14"/>
    <n v="1"/>
    <n v="0"/>
    <n v="1"/>
    <x v="20"/>
    <b v="0"/>
    <n v="6"/>
    <n v="2"/>
    <n v="0.32"/>
    <n v="0.30299999999999999"/>
    <n v="0.30299999999999999"/>
    <n v="0.39"/>
    <n v="0.25369999999999998"/>
    <n v="6"/>
    <n v="35"/>
    <n v="41"/>
    <x v="0"/>
    <x v="1"/>
    <s v="Winter"/>
    <s v="Saturday"/>
    <x v="3"/>
    <n v="7"/>
    <n v="4"/>
    <n v="39"/>
    <n v="17"/>
    <n v="0.85365853658536583"/>
    <x v="0"/>
    <n v="0.12"/>
    <s v=""/>
    <s v="OK"/>
    <s v="No"/>
  </r>
  <r>
    <n v="346"/>
    <s v="Merge 1+2"/>
    <n v="346"/>
    <n v="346"/>
    <n v="0"/>
    <x v="14"/>
    <n v="1"/>
    <n v="0"/>
    <n v="1"/>
    <x v="21"/>
    <b v="0"/>
    <n v="6"/>
    <n v="2"/>
    <n v="0.32"/>
    <n v="0.30299999999999999"/>
    <n v="0.30299999999999999"/>
    <n v="0.39"/>
    <n v="0.22389999999999999"/>
    <n v="6"/>
    <n v="51"/>
    <n v="57"/>
    <x v="0"/>
    <x v="1"/>
    <s v="Winter"/>
    <s v="Saturday"/>
    <x v="3"/>
    <n v="7"/>
    <n v="4"/>
    <n v="39"/>
    <n v="15"/>
    <n v="0.89473684210526316"/>
    <x v="0"/>
    <n v="1.72"/>
    <s v=""/>
    <s v="OK"/>
    <s v="No"/>
  </r>
  <r>
    <n v="347"/>
    <s v="Merge 1+2"/>
    <n v="347"/>
    <n v="347"/>
    <n v="0"/>
    <x v="14"/>
    <n v="1"/>
    <n v="0"/>
    <n v="1"/>
    <x v="22"/>
    <b v="0"/>
    <n v="6"/>
    <n v="2"/>
    <n v="0.3"/>
    <n v="0.31819999999999998"/>
    <n v="0.31819999999999998"/>
    <n v="0.42"/>
    <n v="0.1045"/>
    <n v="0"/>
    <n v="26"/>
    <n v="26"/>
    <x v="0"/>
    <x v="1"/>
    <s v="Winter"/>
    <s v="Saturday"/>
    <x v="3"/>
    <n v="6.1"/>
    <n v="5"/>
    <n v="42"/>
    <n v="7"/>
    <n v="1"/>
    <x v="0"/>
    <n v="-0.27"/>
    <s v=""/>
    <s v="OK"/>
    <s v="No"/>
  </r>
  <r>
    <n v="348"/>
    <s v="Merge 1+2"/>
    <n v="348"/>
    <n v="348"/>
    <n v="0"/>
    <x v="14"/>
    <n v="1"/>
    <n v="0"/>
    <n v="1"/>
    <x v="23"/>
    <b v="0"/>
    <n v="6"/>
    <n v="1"/>
    <n v="0.3"/>
    <n v="0.28789999999999999"/>
    <n v="0.28789999999999999"/>
    <n v="0.45"/>
    <n v="0.28360000000000002"/>
    <n v="5"/>
    <n v="39"/>
    <n v="44"/>
    <x v="0"/>
    <x v="0"/>
    <s v="Winter"/>
    <s v="Saturday"/>
    <x v="3"/>
    <n v="6.1"/>
    <n v="3"/>
    <n v="45"/>
    <n v="19"/>
    <n v="0.88636363636363635"/>
    <x v="0"/>
    <n v="1.17"/>
    <s v=""/>
    <s v="OK"/>
    <s v="No"/>
  </r>
  <r>
    <n v="349"/>
    <s v="Merge 1+2"/>
    <n v="349"/>
    <n v="349"/>
    <n v="0"/>
    <x v="15"/>
    <n v="1"/>
    <n v="0"/>
    <n v="1"/>
    <x v="0"/>
    <b v="0"/>
    <n v="0"/>
    <n v="1"/>
    <n v="0.26"/>
    <n v="0.30299999999999999"/>
    <n v="0.30299999999999999"/>
    <n v="0.56000000000000005"/>
    <n v="0"/>
    <n v="6"/>
    <n v="33"/>
    <n v="39"/>
    <x v="0"/>
    <x v="0"/>
    <s v="Winter"/>
    <s v="Sunday"/>
    <x v="0"/>
    <n v="4.2"/>
    <n v="4"/>
    <n v="56"/>
    <n v="0"/>
    <n v="0.84615384615384615"/>
    <x v="0"/>
    <n v="1.28"/>
    <s v=""/>
    <s v="OK"/>
    <s v="No"/>
  </r>
  <r>
    <n v="350"/>
    <s v="Merge 1+2"/>
    <n v="350"/>
    <n v="350"/>
    <n v="0"/>
    <x v="15"/>
    <n v="1"/>
    <n v="0"/>
    <n v="1"/>
    <x v="1"/>
    <b v="0"/>
    <n v="0"/>
    <n v="1"/>
    <n v="0.26"/>
    <n v="0.2727"/>
    <n v="0.2727"/>
    <n v="0.56000000000000005"/>
    <n v="0.1343"/>
    <n v="4"/>
    <n v="19"/>
    <n v="23"/>
    <x v="0"/>
    <x v="0"/>
    <s v="Winter"/>
    <s v="Sunday"/>
    <x v="0"/>
    <n v="4.2"/>
    <n v="2"/>
    <n v="56"/>
    <n v="9"/>
    <n v="0.82608695652173914"/>
    <x v="0"/>
    <n v="0.12"/>
    <s v=""/>
    <s v="OK"/>
    <s v="No"/>
  </r>
  <r>
    <n v="351"/>
    <s v="Merge 1+2"/>
    <n v="351"/>
    <n v="351"/>
    <n v="0"/>
    <x v="15"/>
    <n v="1"/>
    <n v="0"/>
    <n v="1"/>
    <x v="2"/>
    <b v="0"/>
    <n v="0"/>
    <n v="1"/>
    <n v="0.26"/>
    <n v="0.28789999999999999"/>
    <n v="0.28789999999999999"/>
    <n v="0.56000000000000005"/>
    <n v="8.9599999999999999E-2"/>
    <n v="3"/>
    <n v="13"/>
    <n v="16"/>
    <x v="0"/>
    <x v="0"/>
    <s v="Winter"/>
    <s v="Sunday"/>
    <x v="0"/>
    <n v="4.2"/>
    <n v="3"/>
    <n v="56"/>
    <n v="6"/>
    <n v="0.8125"/>
    <x v="0"/>
    <n v="0.1"/>
    <s v=""/>
    <s v="OK"/>
    <s v="No"/>
  </r>
  <r>
    <n v="352"/>
    <s v="Merge 1+2"/>
    <n v="352"/>
    <n v="352"/>
    <n v="0"/>
    <x v="15"/>
    <n v="1"/>
    <n v="0"/>
    <n v="1"/>
    <x v="3"/>
    <b v="0"/>
    <n v="0"/>
    <n v="1"/>
    <n v="0.22"/>
    <n v="0.2727"/>
    <n v="0.2727"/>
    <n v="0.69"/>
    <n v="0"/>
    <n v="9"/>
    <n v="6"/>
    <n v="15"/>
    <x v="0"/>
    <x v="0"/>
    <s v="Winter"/>
    <s v="Sunday"/>
    <x v="0"/>
    <n v="2.2999999999999998"/>
    <n v="2"/>
    <n v="69"/>
    <n v="0"/>
    <n v="0.4"/>
    <x v="1"/>
    <n v="1.74"/>
    <s v=""/>
    <s v="OK"/>
    <s v="No"/>
  </r>
  <r>
    <n v="353"/>
    <s v="Merge 1+2"/>
    <n v="353"/>
    <n v="353"/>
    <n v="0"/>
    <x v="15"/>
    <n v="1"/>
    <n v="0"/>
    <n v="1"/>
    <x v="4"/>
    <b v="0"/>
    <n v="0"/>
    <n v="1"/>
    <n v="0.26"/>
    <n v="0.2576"/>
    <n v="0.2576"/>
    <n v="0.56000000000000005"/>
    <n v="0.16420000000000001"/>
    <n v="0"/>
    <n v="1"/>
    <n v="1"/>
    <x v="0"/>
    <x v="0"/>
    <s v="Winter"/>
    <s v="Sunday"/>
    <x v="0"/>
    <n v="4.2"/>
    <n v="1"/>
    <n v="56"/>
    <n v="11"/>
    <n v="1"/>
    <x v="1"/>
    <n v="-0.87"/>
    <s v=""/>
    <s v="OK"/>
    <s v="No"/>
  </r>
  <r>
    <n v="354"/>
    <s v="Merge 1+2"/>
    <n v="354"/>
    <n v="354"/>
    <n v="0"/>
    <x v="15"/>
    <n v="1"/>
    <n v="0"/>
    <n v="1"/>
    <x v="5"/>
    <b v="0"/>
    <n v="0"/>
    <n v="2"/>
    <n v="0.26"/>
    <n v="0.2576"/>
    <n v="0.2576"/>
    <n v="0.56000000000000005"/>
    <n v="0.16420000000000001"/>
    <n v="1"/>
    <n v="1"/>
    <n v="2"/>
    <x v="0"/>
    <x v="1"/>
    <s v="Winter"/>
    <s v="Sunday"/>
    <x v="0"/>
    <n v="4.2"/>
    <n v="1"/>
    <n v="56"/>
    <n v="11"/>
    <n v="0.5"/>
    <x v="1"/>
    <n v="-0.22"/>
    <s v=""/>
    <s v="OK"/>
    <s v="No"/>
  </r>
  <r>
    <n v="355"/>
    <s v="Merge 1+2"/>
    <n v="355"/>
    <n v="355"/>
    <n v="0"/>
    <x v="15"/>
    <n v="1"/>
    <n v="0"/>
    <n v="1"/>
    <x v="6"/>
    <b v="0"/>
    <n v="0"/>
    <n v="2"/>
    <n v="0.26"/>
    <n v="0.2576"/>
    <n v="0.2576"/>
    <n v="0.56000000000000005"/>
    <n v="0.16420000000000001"/>
    <n v="0"/>
    <n v="1"/>
    <n v="1"/>
    <x v="0"/>
    <x v="1"/>
    <s v="Winter"/>
    <s v="Sunday"/>
    <x v="1"/>
    <n v="4.2"/>
    <n v="1"/>
    <n v="56"/>
    <n v="11"/>
    <n v="1"/>
    <x v="1"/>
    <n v="-0.97"/>
    <s v=""/>
    <s v="OK"/>
    <s v="No"/>
  </r>
  <r>
    <n v="356"/>
    <s v="Merge 1+2"/>
    <n v="356"/>
    <n v="356"/>
    <n v="0"/>
    <x v="15"/>
    <n v="1"/>
    <n v="0"/>
    <n v="1"/>
    <x v="7"/>
    <b v="0"/>
    <n v="0"/>
    <n v="2"/>
    <n v="0.24"/>
    <n v="0.21210000000000001"/>
    <n v="0.21210000000000001"/>
    <n v="0.56000000000000005"/>
    <n v="0.29849999999999999"/>
    <n v="0"/>
    <n v="3"/>
    <n v="3"/>
    <x v="0"/>
    <x v="1"/>
    <s v="Winter"/>
    <s v="Sunday"/>
    <x v="1"/>
    <n v="3.3"/>
    <n v="-2"/>
    <n v="56"/>
    <n v="20"/>
    <n v="1"/>
    <x v="1"/>
    <n v="-0.8"/>
    <s v=""/>
    <s v="OK"/>
    <s v="No"/>
  </r>
  <r>
    <n v="357"/>
    <s v="Merge 1+2"/>
    <n v="357"/>
    <n v="357"/>
    <n v="0"/>
    <x v="15"/>
    <n v="1"/>
    <n v="0"/>
    <n v="1"/>
    <x v="8"/>
    <b v="0"/>
    <n v="0"/>
    <n v="1"/>
    <n v="0.22"/>
    <n v="0.21210000000000001"/>
    <n v="0.21210000000000001"/>
    <n v="0.55000000000000004"/>
    <n v="0.28360000000000002"/>
    <n v="0"/>
    <n v="18"/>
    <n v="18"/>
    <x v="0"/>
    <x v="0"/>
    <s v="Winter"/>
    <s v="Sunday"/>
    <x v="1"/>
    <n v="2.2999999999999998"/>
    <n v="-2"/>
    <n v="55"/>
    <n v="19"/>
    <n v="1"/>
    <x v="0"/>
    <n v="-0.09"/>
    <s v=""/>
    <s v="OK"/>
    <s v="No"/>
  </r>
  <r>
    <n v="358"/>
    <s v="Merge 1+2"/>
    <n v="358"/>
    <n v="358"/>
    <n v="0"/>
    <x v="15"/>
    <n v="1"/>
    <n v="0"/>
    <n v="1"/>
    <x v="9"/>
    <b v="0"/>
    <n v="0"/>
    <n v="1"/>
    <n v="0.22"/>
    <n v="0.21210000000000001"/>
    <n v="0.21210000000000001"/>
    <n v="0.51"/>
    <n v="0.25369999999999998"/>
    <n v="3"/>
    <n v="29"/>
    <n v="32"/>
    <x v="0"/>
    <x v="0"/>
    <s v="Winter"/>
    <s v="Sunday"/>
    <x v="1"/>
    <n v="2.2999999999999998"/>
    <n v="-2"/>
    <n v="51"/>
    <n v="17"/>
    <n v="0.90625"/>
    <x v="0"/>
    <n v="0"/>
    <s v=""/>
    <s v="OK"/>
    <s v="No"/>
  </r>
  <r>
    <n v="359"/>
    <s v="Merge 1+2"/>
    <n v="359"/>
    <n v="359"/>
    <n v="0"/>
    <x v="15"/>
    <n v="1"/>
    <n v="0"/>
    <n v="1"/>
    <x v="10"/>
    <b v="0"/>
    <n v="0"/>
    <n v="1"/>
    <n v="0.22"/>
    <n v="0.21210000000000001"/>
    <n v="0.21210000000000001"/>
    <n v="0.51"/>
    <n v="0.28360000000000002"/>
    <n v="8"/>
    <n v="71"/>
    <n v="79"/>
    <x v="0"/>
    <x v="0"/>
    <s v="Winter"/>
    <s v="Sunday"/>
    <x v="1"/>
    <n v="2.2999999999999998"/>
    <n v="-2"/>
    <n v="51"/>
    <n v="19"/>
    <n v="0.89873417721518989"/>
    <x v="0"/>
    <n v="0.86"/>
    <s v=""/>
    <s v="OK"/>
    <s v="No"/>
  </r>
  <r>
    <n v="360"/>
    <s v="Merge 1+2"/>
    <n v="360"/>
    <n v="360"/>
    <n v="0"/>
    <x v="15"/>
    <n v="1"/>
    <n v="0"/>
    <n v="1"/>
    <x v="11"/>
    <b v="0"/>
    <n v="0"/>
    <n v="1"/>
    <n v="0.24"/>
    <n v="0.2273"/>
    <n v="0.2273"/>
    <n v="0.44"/>
    <n v="0.25369999999999998"/>
    <n v="23"/>
    <n v="70"/>
    <n v="93"/>
    <x v="0"/>
    <x v="0"/>
    <s v="Winter"/>
    <s v="Sunday"/>
    <x v="1"/>
    <n v="3.3"/>
    <n v="-1"/>
    <n v="44"/>
    <n v="17"/>
    <n v="0.75268817204301075"/>
    <x v="2"/>
    <n v="0.7"/>
    <s v=""/>
    <s v="OK"/>
    <s v="No"/>
  </r>
  <r>
    <n v="361"/>
    <s v="Merge 1+2"/>
    <n v="361"/>
    <n v="361"/>
    <n v="0"/>
    <x v="15"/>
    <n v="1"/>
    <n v="0"/>
    <n v="1"/>
    <x v="12"/>
    <b v="0"/>
    <n v="0"/>
    <n v="1"/>
    <n v="0.24"/>
    <n v="0.21210000000000001"/>
    <n v="0.21210000000000001"/>
    <n v="0.41"/>
    <n v="0.28360000000000002"/>
    <n v="29"/>
    <n v="75"/>
    <n v="104"/>
    <x v="0"/>
    <x v="0"/>
    <s v="Winter"/>
    <s v="Sunday"/>
    <x v="2"/>
    <n v="3.3"/>
    <n v="-2"/>
    <n v="41"/>
    <n v="19"/>
    <n v="0.72115384615384615"/>
    <x v="2"/>
    <n v="0.15"/>
    <s v=""/>
    <s v="OK"/>
    <s v="No"/>
  </r>
  <r>
    <n v="362"/>
    <s v="Merge 1+2"/>
    <n v="362"/>
    <n v="362"/>
    <n v="0"/>
    <x v="15"/>
    <n v="1"/>
    <n v="0"/>
    <n v="1"/>
    <x v="13"/>
    <b v="0"/>
    <n v="0"/>
    <n v="1"/>
    <n v="0.26"/>
    <n v="0.2273"/>
    <n v="0.2273"/>
    <n v="0.35"/>
    <n v="0.29849999999999999"/>
    <n v="23"/>
    <n v="95"/>
    <n v="118"/>
    <x v="0"/>
    <x v="0"/>
    <s v="Winter"/>
    <s v="Sunday"/>
    <x v="2"/>
    <n v="4.2"/>
    <n v="-1"/>
    <n v="35"/>
    <n v="20"/>
    <n v="0.80508474576271183"/>
    <x v="2"/>
    <n v="0.5"/>
    <s v=""/>
    <s v="OK"/>
    <s v="No"/>
  </r>
  <r>
    <n v="363"/>
    <s v="Merge 1+2"/>
    <n v="363"/>
    <n v="363"/>
    <n v="0"/>
    <x v="15"/>
    <n v="1"/>
    <n v="0"/>
    <n v="1"/>
    <x v="14"/>
    <b v="0"/>
    <n v="0"/>
    <n v="1"/>
    <n v="0.28000000000000003"/>
    <n v="0.2727"/>
    <n v="0.2727"/>
    <n v="0.36"/>
    <n v="0.25369999999999998"/>
    <n v="22"/>
    <n v="69"/>
    <n v="91"/>
    <x v="0"/>
    <x v="0"/>
    <s v="Winter"/>
    <s v="Sunday"/>
    <x v="2"/>
    <n v="5.2"/>
    <n v="2"/>
    <n v="36"/>
    <n v="17"/>
    <n v="0.75824175824175821"/>
    <x v="2"/>
    <n v="-0.35"/>
    <s v=""/>
    <s v="OK"/>
    <s v="No"/>
  </r>
  <r>
    <n v="364"/>
    <s v="Merge 1+2"/>
    <n v="364"/>
    <n v="364"/>
    <n v="0"/>
    <x v="15"/>
    <n v="1"/>
    <n v="0"/>
    <n v="1"/>
    <x v="15"/>
    <b v="0"/>
    <n v="0"/>
    <n v="1"/>
    <n v="0.26"/>
    <n v="0.2424"/>
    <n v="0.2424"/>
    <n v="0.38"/>
    <n v="0.25369999999999998"/>
    <n v="35"/>
    <n v="78"/>
    <n v="113"/>
    <x v="0"/>
    <x v="0"/>
    <s v="Winter"/>
    <s v="Sunday"/>
    <x v="2"/>
    <n v="4.2"/>
    <n v="0"/>
    <n v="38"/>
    <n v="17"/>
    <n v="0.69026548672566368"/>
    <x v="2"/>
    <n v="0.06"/>
    <s v=""/>
    <s v="OK"/>
    <s v="No"/>
  </r>
  <r>
    <n v="365"/>
    <s v="Merge 1+2"/>
    <n v="365"/>
    <n v="365"/>
    <n v="0"/>
    <x v="15"/>
    <n v="1"/>
    <n v="0"/>
    <n v="1"/>
    <x v="16"/>
    <b v="0"/>
    <n v="0"/>
    <n v="1"/>
    <n v="0.24"/>
    <n v="0.2273"/>
    <n v="0.2273"/>
    <n v="0.38"/>
    <n v="0.22389999999999999"/>
    <n v="22"/>
    <n v="77"/>
    <n v="99"/>
    <x v="0"/>
    <x v="0"/>
    <s v="Winter"/>
    <s v="Sunday"/>
    <x v="2"/>
    <n v="3.3"/>
    <n v="-1"/>
    <n v="38"/>
    <n v="15"/>
    <n v="0.77777777777777779"/>
    <x v="2"/>
    <n v="-0.11"/>
    <s v=""/>
    <s v="OK"/>
    <s v="No"/>
  </r>
  <r>
    <n v="366"/>
    <s v="Merge 1+2"/>
    <n v="366"/>
    <n v="366"/>
    <n v="0"/>
    <x v="15"/>
    <n v="1"/>
    <n v="0"/>
    <n v="1"/>
    <x v="17"/>
    <b v="0"/>
    <n v="0"/>
    <n v="1"/>
    <n v="0.22"/>
    <n v="0.21210000000000001"/>
    <n v="0.21210000000000001"/>
    <n v="0.37"/>
    <n v="0.25369999999999998"/>
    <n v="23"/>
    <n v="82"/>
    <n v="105"/>
    <x v="0"/>
    <x v="0"/>
    <s v="Winter"/>
    <s v="Sunday"/>
    <x v="2"/>
    <n v="2.2999999999999998"/>
    <n v="-2"/>
    <n v="37"/>
    <n v="17"/>
    <n v="0.78095238095238095"/>
    <x v="2"/>
    <n v="0.79"/>
    <s v=""/>
    <s v="OK"/>
    <s v="No"/>
  </r>
  <r>
    <n v="367"/>
    <s v="Merge 1+2"/>
    <n v="367"/>
    <n v="367"/>
    <n v="0"/>
    <x v="15"/>
    <n v="1"/>
    <n v="0"/>
    <n v="1"/>
    <x v="18"/>
    <b v="0"/>
    <n v="0"/>
    <n v="1"/>
    <n v="0.2"/>
    <n v="0.21210000000000001"/>
    <n v="0.21210000000000001"/>
    <n v="0.4"/>
    <n v="0.16420000000000001"/>
    <n v="11"/>
    <n v="56"/>
    <n v="67"/>
    <x v="0"/>
    <x v="0"/>
    <s v="Winter"/>
    <s v="Sunday"/>
    <x v="3"/>
    <n v="1.4"/>
    <n v="-2"/>
    <n v="40"/>
    <n v="11"/>
    <n v="0.83582089552238803"/>
    <x v="0"/>
    <n v="0.06"/>
    <s v=""/>
    <s v="OK"/>
    <s v="No"/>
  </r>
  <r>
    <n v="368"/>
    <s v="Merge 1+2"/>
    <n v="368"/>
    <n v="368"/>
    <n v="0"/>
    <x v="15"/>
    <n v="1"/>
    <n v="0"/>
    <n v="1"/>
    <x v="19"/>
    <b v="0"/>
    <n v="0"/>
    <n v="1"/>
    <n v="0.18"/>
    <n v="0.19700000000000001"/>
    <n v="0.19700000000000001"/>
    <n v="0.47"/>
    <n v="0.1343"/>
    <n v="14"/>
    <n v="47"/>
    <n v="61"/>
    <x v="0"/>
    <x v="0"/>
    <s v="Winter"/>
    <s v="Sunday"/>
    <x v="3"/>
    <n v="0.5"/>
    <n v="-3"/>
    <n v="47"/>
    <n v="9"/>
    <n v="0.77049180327868849"/>
    <x v="0"/>
    <n v="0.59"/>
    <s v=""/>
    <s v="OK"/>
    <s v="No"/>
  </r>
  <r>
    <n v="369"/>
    <s v="Merge 1+2"/>
    <n v="369"/>
    <n v="369"/>
    <n v="0"/>
    <x v="15"/>
    <n v="1"/>
    <n v="0"/>
    <n v="1"/>
    <x v="20"/>
    <b v="0"/>
    <n v="0"/>
    <n v="1"/>
    <n v="0.18"/>
    <n v="0.19700000000000001"/>
    <n v="0.19700000000000001"/>
    <n v="0.47"/>
    <n v="0.16420000000000001"/>
    <n v="7"/>
    <n v="50"/>
    <n v="57"/>
    <x v="0"/>
    <x v="0"/>
    <s v="Winter"/>
    <s v="Sunday"/>
    <x v="3"/>
    <n v="0.5"/>
    <n v="-3"/>
    <n v="47"/>
    <n v="11"/>
    <n v="0.8771929824561403"/>
    <x v="0"/>
    <n v="1.45"/>
    <s v=""/>
    <s v="OK"/>
    <s v="No"/>
  </r>
  <r>
    <n v="370"/>
    <s v="Merge 1+2"/>
    <n v="370"/>
    <n v="370"/>
    <n v="0"/>
    <x v="15"/>
    <n v="1"/>
    <n v="0"/>
    <n v="1"/>
    <x v="21"/>
    <b v="0"/>
    <n v="0"/>
    <n v="1"/>
    <n v="0.18"/>
    <n v="0.19700000000000001"/>
    <n v="0.19700000000000001"/>
    <n v="0.51"/>
    <n v="0.16420000000000001"/>
    <n v="6"/>
    <n v="22"/>
    <n v="28"/>
    <x v="0"/>
    <x v="0"/>
    <s v="Winter"/>
    <s v="Sunday"/>
    <x v="3"/>
    <n v="0.5"/>
    <n v="-3"/>
    <n v="51"/>
    <n v="11"/>
    <n v="0.7857142857142857"/>
    <x v="0"/>
    <n v="-0.71"/>
    <s v=""/>
    <s v="OK"/>
    <s v="No"/>
  </r>
  <r>
    <n v="371"/>
    <s v="Merge 1+2"/>
    <n v="371"/>
    <n v="371"/>
    <n v="0"/>
    <x v="15"/>
    <n v="1"/>
    <n v="0"/>
    <n v="1"/>
    <x v="22"/>
    <b v="0"/>
    <n v="0"/>
    <n v="2"/>
    <n v="0.2"/>
    <n v="0.21210000000000001"/>
    <n v="0.21210000000000001"/>
    <n v="0.49"/>
    <n v="0.1343"/>
    <n v="2"/>
    <n v="19"/>
    <n v="21"/>
    <x v="0"/>
    <x v="1"/>
    <s v="Winter"/>
    <s v="Sunday"/>
    <x v="3"/>
    <n v="1.4"/>
    <n v="-2"/>
    <n v="49"/>
    <n v="9"/>
    <n v="0.90476190476190477"/>
    <x v="0"/>
    <n v="-0.63"/>
    <s v=""/>
    <s v="OK"/>
    <s v="No"/>
  </r>
  <r>
    <n v="372"/>
    <s v="Merge 1+2"/>
    <n v="372"/>
    <n v="372"/>
    <n v="0"/>
    <x v="15"/>
    <n v="1"/>
    <n v="0"/>
    <n v="1"/>
    <x v="23"/>
    <b v="0"/>
    <n v="0"/>
    <n v="2"/>
    <n v="0.2"/>
    <n v="0.2273"/>
    <n v="0.2273"/>
    <n v="0.4"/>
    <n v="0.1045"/>
    <n v="0"/>
    <n v="18"/>
    <n v="18"/>
    <x v="0"/>
    <x v="1"/>
    <s v="Winter"/>
    <s v="Sunday"/>
    <x v="3"/>
    <n v="1.4"/>
    <n v="-1"/>
    <n v="40"/>
    <n v="7"/>
    <n v="1"/>
    <x v="0"/>
    <n v="-0.57999999999999996"/>
    <s v=""/>
    <s v="OK"/>
    <s v="No"/>
  </r>
  <r>
    <n v="373"/>
    <s v="Merge 1+2"/>
    <n v="373"/>
    <n v="373"/>
    <n v="0"/>
    <x v="16"/>
    <n v="1"/>
    <n v="0"/>
    <n v="1"/>
    <x v="0"/>
    <b v="1"/>
    <n v="1"/>
    <n v="2"/>
    <n v="0.2"/>
    <n v="0.19700000000000001"/>
    <n v="0.19700000000000001"/>
    <n v="0.47"/>
    <n v="0.22389999999999999"/>
    <n v="1"/>
    <n v="16"/>
    <n v="17"/>
    <x v="2"/>
    <x v="1"/>
    <s v="Winter"/>
    <s v="Monday"/>
    <x v="0"/>
    <n v="1.4"/>
    <n v="-3"/>
    <n v="47"/>
    <n v="15"/>
    <n v="0.94117647058823528"/>
    <x v="0"/>
    <n v="-1.1299999999999999"/>
    <s v=""/>
    <s v="OK"/>
    <s v="No"/>
  </r>
  <r>
    <n v="374"/>
    <s v="Merge 1+2"/>
    <n v="374"/>
    <n v="374"/>
    <n v="0"/>
    <x v="16"/>
    <n v="1"/>
    <n v="0"/>
    <n v="1"/>
    <x v="1"/>
    <b v="1"/>
    <n v="1"/>
    <n v="2"/>
    <n v="0.2"/>
    <n v="0.19700000000000001"/>
    <n v="0.19700000000000001"/>
    <n v="0.44"/>
    <n v="0.19400000000000001"/>
    <n v="1"/>
    <n v="15"/>
    <n v="16"/>
    <x v="2"/>
    <x v="1"/>
    <s v="Winter"/>
    <s v="Monday"/>
    <x v="0"/>
    <n v="1.4"/>
    <n v="-3"/>
    <n v="44"/>
    <n v="13"/>
    <n v="0.9375"/>
    <x v="0"/>
    <n v="-0.62"/>
    <s v=""/>
    <s v="OK"/>
    <s v="No"/>
  </r>
  <r>
    <n v="375"/>
    <s v="Merge 1+2"/>
    <n v="375"/>
    <n v="375"/>
    <n v="0"/>
    <x v="16"/>
    <n v="1"/>
    <n v="0"/>
    <n v="1"/>
    <x v="2"/>
    <b v="1"/>
    <n v="1"/>
    <n v="2"/>
    <n v="0.18"/>
    <n v="0.16669999999999999"/>
    <n v="0.16669999999999999"/>
    <n v="0.43"/>
    <n v="0.25369999999999998"/>
    <n v="0"/>
    <n v="8"/>
    <n v="8"/>
    <x v="2"/>
    <x v="1"/>
    <s v="Winter"/>
    <s v="Monday"/>
    <x v="0"/>
    <n v="0.5"/>
    <n v="-5"/>
    <n v="43"/>
    <n v="17"/>
    <n v="1"/>
    <x v="1"/>
    <n v="-1.25"/>
    <s v=""/>
    <s v="OK"/>
    <s v="No"/>
  </r>
  <r>
    <n v="376"/>
    <s v="Merge 1+2"/>
    <n v="376"/>
    <n v="376"/>
    <n v="0"/>
    <x v="16"/>
    <n v="1"/>
    <n v="0"/>
    <n v="1"/>
    <x v="3"/>
    <b v="1"/>
    <n v="1"/>
    <n v="2"/>
    <n v="0.18"/>
    <n v="0.18179999999999999"/>
    <n v="0.18179999999999999"/>
    <n v="0.43"/>
    <n v="0.19400000000000001"/>
    <n v="0"/>
    <n v="2"/>
    <n v="2"/>
    <x v="2"/>
    <x v="1"/>
    <s v="Winter"/>
    <s v="Monday"/>
    <x v="0"/>
    <n v="0.5"/>
    <n v="-4"/>
    <n v="43"/>
    <n v="13"/>
    <n v="1"/>
    <x v="1"/>
    <n v="-1.79"/>
    <s v=""/>
    <s v="OK"/>
    <s v="No"/>
  </r>
  <r>
    <n v="377"/>
    <s v="Merge 1+2"/>
    <n v="377"/>
    <n v="377"/>
    <n v="0"/>
    <x v="16"/>
    <n v="1"/>
    <n v="0"/>
    <n v="1"/>
    <x v="4"/>
    <b v="1"/>
    <n v="1"/>
    <n v="2"/>
    <n v="0.18"/>
    <n v="0.19700000000000001"/>
    <n v="0.19700000000000001"/>
    <n v="0.43"/>
    <n v="0.1343"/>
    <n v="1"/>
    <n v="2"/>
    <n v="3"/>
    <x v="2"/>
    <x v="1"/>
    <s v="Winter"/>
    <s v="Monday"/>
    <x v="0"/>
    <n v="0.5"/>
    <n v="-3"/>
    <n v="43"/>
    <n v="9"/>
    <n v="0.66666666666666663"/>
    <x v="1"/>
    <n v="0.14000000000000001"/>
    <s v=""/>
    <s v="OK"/>
    <s v="No"/>
  </r>
  <r>
    <n v="378"/>
    <s v="Merge 1+2"/>
    <n v="378"/>
    <n v="378"/>
    <n v="0"/>
    <x v="16"/>
    <n v="1"/>
    <n v="0"/>
    <n v="1"/>
    <x v="5"/>
    <b v="1"/>
    <n v="1"/>
    <n v="2"/>
    <n v="0.18"/>
    <n v="0.19700000000000001"/>
    <n v="0.19700000000000001"/>
    <n v="0.43"/>
    <n v="0.16420000000000001"/>
    <n v="0"/>
    <n v="1"/>
    <n v="1"/>
    <x v="2"/>
    <x v="1"/>
    <s v="Winter"/>
    <s v="Monday"/>
    <x v="0"/>
    <n v="0.5"/>
    <n v="-3"/>
    <n v="43"/>
    <n v="11"/>
    <n v="1"/>
    <x v="1"/>
    <n v="-0.62"/>
    <s v=""/>
    <s v="OK"/>
    <s v="No"/>
  </r>
  <r>
    <n v="379"/>
    <s v="Merge 1+2"/>
    <n v="379"/>
    <n v="379"/>
    <n v="0"/>
    <x v="16"/>
    <n v="1"/>
    <n v="0"/>
    <n v="1"/>
    <x v="6"/>
    <b v="1"/>
    <n v="1"/>
    <n v="2"/>
    <n v="0.18"/>
    <n v="0.18179999999999999"/>
    <n v="0.18179999999999999"/>
    <n v="0.43"/>
    <n v="0.19400000000000001"/>
    <n v="0"/>
    <n v="5"/>
    <n v="5"/>
    <x v="2"/>
    <x v="1"/>
    <s v="Winter"/>
    <s v="Monday"/>
    <x v="1"/>
    <n v="0.5"/>
    <n v="-4"/>
    <n v="43"/>
    <n v="13"/>
    <n v="1"/>
    <x v="1"/>
    <n v="1.9"/>
    <s v=""/>
    <s v="OK"/>
    <s v="No"/>
  </r>
  <r>
    <n v="380"/>
    <s v="Merge 1+2"/>
    <n v="380"/>
    <n v="380"/>
    <n v="0"/>
    <x v="16"/>
    <n v="1"/>
    <n v="0"/>
    <n v="1"/>
    <x v="7"/>
    <b v="1"/>
    <n v="1"/>
    <n v="2"/>
    <n v="0.16"/>
    <n v="0.18179999999999999"/>
    <n v="0.18179999999999999"/>
    <n v="0.5"/>
    <n v="0.1343"/>
    <n v="4"/>
    <n v="9"/>
    <n v="13"/>
    <x v="2"/>
    <x v="1"/>
    <s v="Winter"/>
    <s v="Monday"/>
    <x v="1"/>
    <n v="-0.5"/>
    <n v="-4"/>
    <n v="50"/>
    <n v="9"/>
    <n v="0.69230769230769229"/>
    <x v="1"/>
    <n v="1.92"/>
    <s v=""/>
    <s v="OK"/>
    <s v="No"/>
  </r>
  <r>
    <n v="381"/>
    <s v="Merge 1+2"/>
    <n v="381"/>
    <n v="381"/>
    <n v="0"/>
    <x v="16"/>
    <n v="1"/>
    <n v="0"/>
    <n v="1"/>
    <x v="8"/>
    <b v="1"/>
    <n v="1"/>
    <n v="2"/>
    <n v="0.16"/>
    <n v="0.1515"/>
    <n v="0.1515"/>
    <n v="0.47"/>
    <n v="0.22389999999999999"/>
    <n v="3"/>
    <n v="30"/>
    <n v="33"/>
    <x v="2"/>
    <x v="1"/>
    <s v="Winter"/>
    <s v="Monday"/>
    <x v="1"/>
    <n v="-0.5"/>
    <n v="-6"/>
    <n v="47"/>
    <n v="15"/>
    <n v="0.90909090909090906"/>
    <x v="0"/>
    <n v="1.56"/>
    <s v=""/>
    <s v="OK"/>
    <s v="No"/>
  </r>
  <r>
    <n v="382"/>
    <s v="Merge 1+2"/>
    <n v="382"/>
    <n v="382"/>
    <n v="0"/>
    <x v="16"/>
    <n v="1"/>
    <n v="0"/>
    <n v="1"/>
    <x v="9"/>
    <b v="1"/>
    <n v="1"/>
    <n v="2"/>
    <n v="0.16"/>
    <n v="0.1515"/>
    <n v="0.1515"/>
    <n v="0.47"/>
    <n v="0.22389999999999999"/>
    <n v="8"/>
    <n v="39"/>
    <n v="47"/>
    <x v="2"/>
    <x v="1"/>
    <s v="Winter"/>
    <s v="Monday"/>
    <x v="1"/>
    <n v="-0.5"/>
    <n v="-6"/>
    <n v="47"/>
    <n v="15"/>
    <n v="0.82978723404255317"/>
    <x v="0"/>
    <n v="1.33"/>
    <s v=""/>
    <s v="OK"/>
    <s v="No"/>
  </r>
  <r>
    <n v="383"/>
    <s v="Merge 1+2"/>
    <n v="383"/>
    <n v="383"/>
    <n v="0"/>
    <x v="16"/>
    <n v="1"/>
    <n v="0"/>
    <n v="1"/>
    <x v="10"/>
    <b v="1"/>
    <n v="1"/>
    <n v="2"/>
    <n v="0.16"/>
    <n v="0.1515"/>
    <n v="0.1515"/>
    <n v="0.5"/>
    <n v="0.25369999999999998"/>
    <n v="7"/>
    <n v="50"/>
    <n v="57"/>
    <x v="2"/>
    <x v="1"/>
    <s v="Winter"/>
    <s v="Monday"/>
    <x v="1"/>
    <n v="-0.5"/>
    <n v="-6"/>
    <n v="50"/>
    <n v="17"/>
    <n v="0.8771929824561403"/>
    <x v="0"/>
    <n v="-0.28000000000000003"/>
    <s v=""/>
    <s v="OK"/>
    <s v="No"/>
  </r>
  <r>
    <n v="384"/>
    <s v="Merge 1+2"/>
    <n v="384"/>
    <n v="384"/>
    <n v="0"/>
    <x v="16"/>
    <n v="1"/>
    <n v="0"/>
    <n v="1"/>
    <x v="11"/>
    <b v="1"/>
    <n v="1"/>
    <n v="2"/>
    <n v="0.16"/>
    <n v="0.1515"/>
    <n v="0.1515"/>
    <n v="0.55000000000000004"/>
    <n v="0.19400000000000001"/>
    <n v="9"/>
    <n v="55"/>
    <n v="64"/>
    <x v="2"/>
    <x v="1"/>
    <s v="Winter"/>
    <s v="Monday"/>
    <x v="1"/>
    <n v="-0.5"/>
    <n v="-6"/>
    <n v="55"/>
    <n v="13"/>
    <n v="0.859375"/>
    <x v="0"/>
    <n v="-0.5"/>
    <s v=""/>
    <s v="OK"/>
    <s v="No"/>
  </r>
  <r>
    <n v="385"/>
    <s v="Merge 1+2"/>
    <n v="385"/>
    <n v="385"/>
    <n v="0"/>
    <x v="16"/>
    <n v="1"/>
    <n v="0"/>
    <n v="1"/>
    <x v="12"/>
    <b v="1"/>
    <n v="1"/>
    <n v="2"/>
    <n v="0.18"/>
    <n v="0.19700000000000001"/>
    <n v="0.19700000000000001"/>
    <n v="0.47"/>
    <n v="0.1343"/>
    <n v="10"/>
    <n v="70"/>
    <n v="80"/>
    <x v="2"/>
    <x v="1"/>
    <s v="Winter"/>
    <s v="Monday"/>
    <x v="2"/>
    <n v="0.5"/>
    <n v="-3"/>
    <n v="47"/>
    <n v="9"/>
    <n v="0.875"/>
    <x v="0"/>
    <n v="-0.62"/>
    <s v=""/>
    <s v="OK"/>
    <s v="No"/>
  </r>
  <r>
    <n v="386"/>
    <s v="Merge 1+2"/>
    <n v="386"/>
    <n v="386"/>
    <n v="0"/>
    <x v="16"/>
    <n v="1"/>
    <n v="0"/>
    <n v="1"/>
    <x v="13"/>
    <b v="1"/>
    <n v="1"/>
    <n v="2"/>
    <n v="0.18"/>
    <n v="0.19700000000000001"/>
    <n v="0.19700000000000001"/>
    <n v="0.47"/>
    <n v="0.1343"/>
    <n v="13"/>
    <n v="80"/>
    <n v="93"/>
    <x v="2"/>
    <x v="1"/>
    <s v="Winter"/>
    <s v="Monday"/>
    <x v="2"/>
    <n v="0.5"/>
    <n v="-3"/>
    <n v="47"/>
    <n v="9"/>
    <n v="0.86021505376344087"/>
    <x v="2"/>
    <n v="-0.26"/>
    <s v=""/>
    <s v="OK"/>
    <s v="No"/>
  </r>
  <r>
    <n v="387"/>
    <s v="Merge 1+2"/>
    <n v="387"/>
    <n v="387"/>
    <n v="0"/>
    <x v="16"/>
    <n v="1"/>
    <n v="0"/>
    <n v="1"/>
    <x v="14"/>
    <b v="1"/>
    <n v="1"/>
    <n v="2"/>
    <n v="0.18"/>
    <n v="0.21210000000000001"/>
    <n v="0.21210000000000001"/>
    <n v="0.43"/>
    <n v="0.1045"/>
    <n v="12"/>
    <n v="74"/>
    <n v="86"/>
    <x v="2"/>
    <x v="1"/>
    <s v="Winter"/>
    <s v="Monday"/>
    <x v="2"/>
    <n v="0.5"/>
    <n v="-2"/>
    <n v="43"/>
    <n v="7"/>
    <n v="0.86046511627906974"/>
    <x v="2"/>
    <n v="-0.5"/>
    <s v=""/>
    <s v="OK"/>
    <s v="No"/>
  </r>
  <r>
    <n v="388"/>
    <s v="Merge 1+2"/>
    <n v="388"/>
    <n v="388"/>
    <n v="0"/>
    <x v="16"/>
    <n v="1"/>
    <n v="0"/>
    <n v="1"/>
    <x v="15"/>
    <b v="1"/>
    <n v="1"/>
    <n v="2"/>
    <n v="0.2"/>
    <n v="0.21210000000000001"/>
    <n v="0.21210000000000001"/>
    <n v="0.47"/>
    <n v="0.16420000000000001"/>
    <n v="21"/>
    <n v="72"/>
    <n v="93"/>
    <x v="2"/>
    <x v="1"/>
    <s v="Winter"/>
    <s v="Monday"/>
    <x v="2"/>
    <n v="1.4"/>
    <n v="-2"/>
    <n v="47"/>
    <n v="11"/>
    <n v="0.77419354838709675"/>
    <x v="2"/>
    <n v="-0.47"/>
    <s v=""/>
    <s v="OK"/>
    <s v="No"/>
  </r>
  <r>
    <n v="389"/>
    <s v="Merge 1+2"/>
    <n v="389"/>
    <n v="389"/>
    <n v="0"/>
    <x v="16"/>
    <n v="1"/>
    <n v="0"/>
    <n v="1"/>
    <x v="16"/>
    <b v="1"/>
    <n v="1"/>
    <n v="2"/>
    <n v="0.2"/>
    <n v="0.21210000000000001"/>
    <n v="0.21210000000000001"/>
    <n v="0.47"/>
    <n v="0.16420000000000001"/>
    <n v="6"/>
    <n v="76"/>
    <n v="82"/>
    <x v="2"/>
    <x v="1"/>
    <s v="Winter"/>
    <s v="Monday"/>
    <x v="2"/>
    <n v="1.4"/>
    <n v="-2"/>
    <n v="47"/>
    <n v="11"/>
    <n v="0.92682926829268297"/>
    <x v="0"/>
    <n v="-0.69"/>
    <s v=""/>
    <s v="OK"/>
    <s v="No"/>
  </r>
  <r>
    <n v="390"/>
    <s v="Merge 1+2"/>
    <n v="390"/>
    <n v="390"/>
    <n v="0"/>
    <x v="16"/>
    <n v="1"/>
    <n v="0"/>
    <n v="1"/>
    <x v="17"/>
    <b v="1"/>
    <n v="1"/>
    <n v="1"/>
    <n v="0.2"/>
    <n v="0.19700000000000001"/>
    <n v="0.19700000000000001"/>
    <n v="0.51"/>
    <n v="0.19400000000000001"/>
    <n v="4"/>
    <n v="67"/>
    <n v="71"/>
    <x v="2"/>
    <x v="0"/>
    <s v="Winter"/>
    <s v="Monday"/>
    <x v="2"/>
    <n v="1.4"/>
    <n v="-3"/>
    <n v="51"/>
    <n v="13"/>
    <n v="0.94366197183098588"/>
    <x v="0"/>
    <n v="-0.54"/>
    <s v=""/>
    <s v="OK"/>
    <s v="No"/>
  </r>
  <r>
    <n v="391"/>
    <s v="Merge 1+2"/>
    <n v="391"/>
    <n v="391"/>
    <n v="0"/>
    <x v="16"/>
    <n v="1"/>
    <n v="0"/>
    <n v="1"/>
    <x v="18"/>
    <b v="1"/>
    <n v="1"/>
    <n v="2"/>
    <n v="0.18"/>
    <n v="0.16669999999999999"/>
    <n v="0.16669999999999999"/>
    <n v="0.55000000000000004"/>
    <n v="0.25369999999999998"/>
    <n v="7"/>
    <n v="85"/>
    <n v="92"/>
    <x v="2"/>
    <x v="1"/>
    <s v="Winter"/>
    <s v="Monday"/>
    <x v="3"/>
    <n v="0.5"/>
    <n v="-5"/>
    <n v="55"/>
    <n v="17"/>
    <n v="0.92391304347826086"/>
    <x v="2"/>
    <n v="1.48"/>
    <s v=""/>
    <s v="OK"/>
    <s v="No"/>
  </r>
  <r>
    <n v="392"/>
    <s v="Merge 1+2"/>
    <n v="392"/>
    <n v="392"/>
    <n v="0"/>
    <x v="16"/>
    <n v="1"/>
    <n v="0"/>
    <n v="1"/>
    <x v="19"/>
    <b v="1"/>
    <n v="1"/>
    <n v="3"/>
    <n v="0.18"/>
    <n v="0.18179999999999999"/>
    <n v="0.18179999999999999"/>
    <n v="0.59"/>
    <n v="0.19400000000000001"/>
    <n v="2"/>
    <n v="58"/>
    <n v="60"/>
    <x v="2"/>
    <x v="2"/>
    <s v="Winter"/>
    <s v="Monday"/>
    <x v="3"/>
    <n v="0.5"/>
    <n v="-4"/>
    <n v="59"/>
    <n v="13"/>
    <n v="0.96666666666666667"/>
    <x v="0"/>
    <n v="0.53"/>
    <s v=""/>
    <s v="OK"/>
    <s v="No"/>
  </r>
  <r>
    <n v="393"/>
    <s v="Merge 1+2"/>
    <n v="393"/>
    <n v="393"/>
    <n v="0"/>
    <x v="16"/>
    <n v="1"/>
    <n v="0"/>
    <n v="1"/>
    <x v="20"/>
    <b v="1"/>
    <n v="1"/>
    <n v="3"/>
    <n v="0.16"/>
    <n v="0.1515"/>
    <n v="0.1515"/>
    <n v="0.8"/>
    <n v="0.19400000000000001"/>
    <n v="4"/>
    <n v="29"/>
    <n v="33"/>
    <x v="2"/>
    <x v="2"/>
    <s v="Winter"/>
    <s v="Monday"/>
    <x v="3"/>
    <n v="-0.5"/>
    <n v="-6"/>
    <n v="80"/>
    <n v="13"/>
    <n v="0.87878787878787878"/>
    <x v="0"/>
    <n v="-0.54"/>
    <s v=""/>
    <s v="OK"/>
    <s v="No"/>
  </r>
  <r>
    <n v="394"/>
    <s v="Merge 1+2"/>
    <n v="394"/>
    <n v="394"/>
    <n v="0"/>
    <x v="16"/>
    <n v="1"/>
    <n v="0"/>
    <n v="1"/>
    <x v="21"/>
    <b v="1"/>
    <n v="1"/>
    <n v="3"/>
    <n v="0.16"/>
    <n v="0.1515"/>
    <n v="0.1515"/>
    <n v="0.8"/>
    <n v="0.19400000000000001"/>
    <n v="3"/>
    <n v="24"/>
    <n v="27"/>
    <x v="2"/>
    <x v="2"/>
    <s v="Winter"/>
    <s v="Monday"/>
    <x v="3"/>
    <n v="-0.5"/>
    <n v="-6"/>
    <n v="80"/>
    <n v="13"/>
    <n v="0.88888888888888884"/>
    <x v="0"/>
    <n v="-0.79"/>
    <s v=""/>
    <s v="OK"/>
    <s v="No"/>
  </r>
  <r>
    <n v="395"/>
    <s v="Merge 1+2"/>
    <n v="395"/>
    <n v="395"/>
    <n v="0"/>
    <x v="16"/>
    <n v="1"/>
    <n v="0"/>
    <n v="1"/>
    <x v="22"/>
    <b v="1"/>
    <n v="1"/>
    <n v="3"/>
    <n v="0.14000000000000001"/>
    <n v="0.1212"/>
    <n v="0.1212"/>
    <n v="0.93"/>
    <n v="0.25369999999999998"/>
    <n v="0"/>
    <n v="13"/>
    <n v="13"/>
    <x v="2"/>
    <x v="2"/>
    <s v="Winter"/>
    <s v="Monday"/>
    <x v="3"/>
    <n v="-1.4"/>
    <n v="-8"/>
    <n v="93"/>
    <n v="17"/>
    <n v="1"/>
    <x v="1"/>
    <n v="-1.21"/>
    <s v=""/>
    <s v="OK"/>
    <s v="No"/>
  </r>
  <r>
    <n v="396"/>
    <s v="Merge 1+2"/>
    <n v="396"/>
    <n v="396"/>
    <n v="0"/>
    <x v="16"/>
    <n v="1"/>
    <n v="0"/>
    <n v="1"/>
    <x v="23"/>
    <b v="1"/>
    <n v="1"/>
    <n v="3"/>
    <n v="0.16"/>
    <n v="0.13639999999999999"/>
    <n v="0.13639999999999999"/>
    <n v="0.86"/>
    <n v="0.28360000000000002"/>
    <n v="1"/>
    <n v="3"/>
    <n v="4"/>
    <x v="2"/>
    <x v="2"/>
    <s v="Winter"/>
    <s v="Monday"/>
    <x v="3"/>
    <n v="-0.5"/>
    <n v="-7"/>
    <n v="86"/>
    <n v="19"/>
    <n v="0.75"/>
    <x v="1"/>
    <n v="-1.53"/>
    <s v=""/>
    <s v="OK"/>
    <s v="No"/>
  </r>
  <r>
    <n v="397"/>
    <s v="Merge 1+2"/>
    <n v="397"/>
    <n v="397"/>
    <n v="0"/>
    <x v="17"/>
    <n v="1"/>
    <n v="0"/>
    <n v="1"/>
    <x v="12"/>
    <b v="0"/>
    <n v="2"/>
    <n v="2"/>
    <n v="0.2"/>
    <n v="0.18179999999999999"/>
    <n v="0.18179999999999999"/>
    <n v="0.86"/>
    <n v="0.32840000000000003"/>
    <n v="0"/>
    <n v="3"/>
    <n v="3"/>
    <x v="1"/>
    <x v="1"/>
    <s v="Winter"/>
    <s v="Tuesday"/>
    <x v="2"/>
    <n v="1.4"/>
    <n v="-4"/>
    <n v="86"/>
    <n v="22"/>
    <n v="1"/>
    <x v="1"/>
    <n v="-3.24"/>
    <s v="Low anomaly"/>
    <s v="OK"/>
    <s v="No"/>
  </r>
  <r>
    <n v="398"/>
    <s v="Merge 1+2"/>
    <n v="398"/>
    <n v="398"/>
    <n v="0"/>
    <x v="17"/>
    <n v="1"/>
    <n v="0"/>
    <n v="1"/>
    <x v="13"/>
    <b v="0"/>
    <n v="2"/>
    <n v="2"/>
    <n v="0.2"/>
    <n v="0.19700000000000001"/>
    <n v="0.19700000000000001"/>
    <n v="0.86"/>
    <n v="0.22389999999999999"/>
    <n v="0"/>
    <n v="22"/>
    <n v="22"/>
    <x v="1"/>
    <x v="1"/>
    <s v="Winter"/>
    <s v="Tuesday"/>
    <x v="2"/>
    <n v="1.4"/>
    <n v="-3"/>
    <n v="86"/>
    <n v="15"/>
    <n v="1"/>
    <x v="0"/>
    <n v="-2.2200000000000002"/>
    <s v=""/>
    <s v="OK"/>
    <s v="No"/>
  </r>
  <r>
    <n v="399"/>
    <s v="Merge 1+2"/>
    <n v="399"/>
    <n v="399"/>
    <n v="0"/>
    <x v="17"/>
    <n v="1"/>
    <n v="0"/>
    <n v="1"/>
    <x v="14"/>
    <b v="0"/>
    <n v="2"/>
    <n v="2"/>
    <n v="0.22"/>
    <n v="0.2273"/>
    <n v="0.2273"/>
    <n v="0.8"/>
    <n v="0.16420000000000001"/>
    <n v="2"/>
    <n v="26"/>
    <n v="28"/>
    <x v="1"/>
    <x v="1"/>
    <s v="Winter"/>
    <s v="Tuesday"/>
    <x v="2"/>
    <n v="2.2999999999999998"/>
    <n v="-1"/>
    <n v="80"/>
    <n v="11"/>
    <n v="0.9285714285714286"/>
    <x v="0"/>
    <n v="-1.98"/>
    <s v=""/>
    <s v="OK"/>
    <s v="No"/>
  </r>
  <r>
    <n v="400"/>
    <s v="Merge 1+2"/>
    <n v="400"/>
    <n v="400"/>
    <n v="0"/>
    <x v="17"/>
    <n v="1"/>
    <n v="0"/>
    <n v="1"/>
    <x v="15"/>
    <b v="0"/>
    <n v="2"/>
    <n v="2"/>
    <n v="0.22"/>
    <n v="0.2273"/>
    <n v="0.2273"/>
    <n v="0.87"/>
    <n v="0.16420000000000001"/>
    <n v="3"/>
    <n v="32"/>
    <n v="35"/>
    <x v="1"/>
    <x v="1"/>
    <s v="Winter"/>
    <s v="Tuesday"/>
    <x v="2"/>
    <n v="2.2999999999999998"/>
    <n v="-1"/>
    <n v="87"/>
    <n v="11"/>
    <n v="0.91428571428571426"/>
    <x v="0"/>
    <n v="-1.8"/>
    <s v=""/>
    <s v="OK"/>
    <s v="No"/>
  </r>
  <r>
    <n v="401"/>
    <s v="Merge 1+2"/>
    <n v="401"/>
    <n v="401"/>
    <n v="0"/>
    <x v="17"/>
    <n v="1"/>
    <n v="0"/>
    <n v="1"/>
    <x v="16"/>
    <b v="0"/>
    <n v="2"/>
    <n v="2"/>
    <n v="0.22"/>
    <n v="0.2273"/>
    <n v="0.2273"/>
    <n v="0.87"/>
    <n v="0.19400000000000001"/>
    <n v="0"/>
    <n v="61"/>
    <n v="61"/>
    <x v="1"/>
    <x v="1"/>
    <s v="Winter"/>
    <s v="Tuesday"/>
    <x v="2"/>
    <n v="2.2999999999999998"/>
    <n v="-1"/>
    <n v="87"/>
    <n v="13"/>
    <n v="1"/>
    <x v="0"/>
    <n v="-1.03"/>
    <s v=""/>
    <s v="OK"/>
    <s v="No"/>
  </r>
  <r>
    <n v="402"/>
    <s v="Merge 1+2"/>
    <n v="402"/>
    <n v="402"/>
    <n v="0"/>
    <x v="17"/>
    <n v="1"/>
    <n v="0"/>
    <n v="1"/>
    <x v="17"/>
    <b v="0"/>
    <n v="2"/>
    <n v="2"/>
    <n v="0.22"/>
    <n v="0.2273"/>
    <n v="0.2273"/>
    <n v="0.82"/>
    <n v="0.19400000000000001"/>
    <n v="1"/>
    <n v="124"/>
    <n v="125"/>
    <x v="1"/>
    <x v="1"/>
    <s v="Winter"/>
    <s v="Tuesday"/>
    <x v="2"/>
    <n v="2.2999999999999998"/>
    <n v="-1"/>
    <n v="82"/>
    <n v="13"/>
    <n v="0.99199999999999999"/>
    <x v="2"/>
    <n v="-1.07"/>
    <s v=""/>
    <s v="OK"/>
    <s v="No"/>
  </r>
  <r>
    <n v="403"/>
    <s v="Merge 1+2"/>
    <n v="403"/>
    <n v="403"/>
    <n v="0"/>
    <x v="17"/>
    <n v="1"/>
    <n v="0"/>
    <n v="1"/>
    <x v="18"/>
    <b v="0"/>
    <n v="2"/>
    <n v="2"/>
    <n v="0.22"/>
    <n v="0.2273"/>
    <n v="0.2273"/>
    <n v="0.8"/>
    <n v="0.16420000000000001"/>
    <n v="1"/>
    <n v="132"/>
    <n v="133"/>
    <x v="1"/>
    <x v="1"/>
    <s v="Winter"/>
    <s v="Tuesday"/>
    <x v="3"/>
    <n v="2.2999999999999998"/>
    <n v="-1"/>
    <n v="80"/>
    <n v="11"/>
    <n v="0.99248120300751874"/>
    <x v="2"/>
    <n v="-0.74"/>
    <s v=""/>
    <s v="OK"/>
    <s v="No"/>
  </r>
  <r>
    <n v="404"/>
    <s v="Merge 1+2"/>
    <n v="404"/>
    <n v="404"/>
    <n v="0"/>
    <x v="17"/>
    <n v="1"/>
    <n v="0"/>
    <n v="1"/>
    <x v="19"/>
    <b v="0"/>
    <n v="2"/>
    <n v="2"/>
    <n v="0.22"/>
    <n v="0.2273"/>
    <n v="0.2273"/>
    <n v="0.8"/>
    <n v="0.1343"/>
    <n v="1"/>
    <n v="98"/>
    <n v="99"/>
    <x v="1"/>
    <x v="1"/>
    <s v="Winter"/>
    <s v="Tuesday"/>
    <x v="3"/>
    <n v="2.2999999999999998"/>
    <n v="-1"/>
    <n v="80"/>
    <n v="9"/>
    <n v="0.98989898989898994"/>
    <x v="2"/>
    <n v="-0.23"/>
    <s v=""/>
    <s v="OK"/>
    <s v="No"/>
  </r>
  <r>
    <n v="405"/>
    <s v="Merge 1+2"/>
    <n v="405"/>
    <n v="405"/>
    <n v="0"/>
    <x v="17"/>
    <n v="1"/>
    <n v="0"/>
    <n v="1"/>
    <x v="20"/>
    <b v="0"/>
    <n v="2"/>
    <n v="2"/>
    <n v="0.22"/>
    <n v="0.2727"/>
    <n v="0.2727"/>
    <n v="0.87"/>
    <n v="0"/>
    <n v="0"/>
    <n v="83"/>
    <n v="83"/>
    <x v="1"/>
    <x v="1"/>
    <s v="Winter"/>
    <s v="Tuesday"/>
    <x v="3"/>
    <n v="2.2999999999999998"/>
    <n v="2"/>
    <n v="87"/>
    <n v="0"/>
    <n v="1"/>
    <x v="2"/>
    <n v="0.44"/>
    <s v=""/>
    <s v="OK"/>
    <s v="No"/>
  </r>
  <r>
    <n v="406"/>
    <s v="Merge 1+2"/>
    <n v="406"/>
    <n v="406"/>
    <n v="0"/>
    <x v="17"/>
    <n v="1"/>
    <n v="0"/>
    <n v="1"/>
    <x v="21"/>
    <b v="0"/>
    <n v="2"/>
    <n v="2"/>
    <n v="0.22"/>
    <n v="0.2424"/>
    <n v="0.2424"/>
    <n v="0.93"/>
    <n v="0.1045"/>
    <n v="0"/>
    <n v="41"/>
    <n v="41"/>
    <x v="1"/>
    <x v="1"/>
    <s v="Winter"/>
    <s v="Tuesday"/>
    <x v="3"/>
    <n v="2.2999999999999998"/>
    <n v="0"/>
    <n v="93"/>
    <n v="7"/>
    <n v="1"/>
    <x v="0"/>
    <n v="-0.81"/>
    <s v=""/>
    <s v="OK"/>
    <s v="No"/>
  </r>
  <r>
    <n v="407"/>
    <s v="Merge 1+2"/>
    <n v="407"/>
    <n v="407"/>
    <n v="0"/>
    <x v="17"/>
    <n v="1"/>
    <n v="0"/>
    <n v="1"/>
    <x v="22"/>
    <b v="0"/>
    <n v="2"/>
    <n v="2"/>
    <n v="0.22"/>
    <n v="0.2576"/>
    <n v="0.2576"/>
    <n v="0.93"/>
    <n v="8.9599999999999999E-2"/>
    <n v="0"/>
    <n v="33"/>
    <n v="33"/>
    <x v="1"/>
    <x v="1"/>
    <s v="Winter"/>
    <s v="Tuesday"/>
    <x v="3"/>
    <n v="2.2999999999999998"/>
    <n v="1"/>
    <n v="93"/>
    <n v="6"/>
    <n v="1"/>
    <x v="0"/>
    <n v="-0.5"/>
    <s v=""/>
    <s v="OK"/>
    <s v="No"/>
  </r>
  <r>
    <n v="408"/>
    <s v="Merge 1+2"/>
    <n v="408"/>
    <n v="408"/>
    <n v="0"/>
    <x v="17"/>
    <n v="1"/>
    <n v="0"/>
    <n v="1"/>
    <x v="23"/>
    <b v="0"/>
    <n v="2"/>
    <n v="2"/>
    <n v="0.22"/>
    <n v="0.2727"/>
    <n v="0.2727"/>
    <n v="0.93"/>
    <n v="0"/>
    <n v="1"/>
    <n v="19"/>
    <n v="20"/>
    <x v="1"/>
    <x v="1"/>
    <s v="Winter"/>
    <s v="Tuesday"/>
    <x v="3"/>
    <n v="2.2999999999999998"/>
    <n v="2"/>
    <n v="93"/>
    <n v="0"/>
    <n v="0.95"/>
    <x v="0"/>
    <n v="-0.44"/>
    <s v=""/>
    <s v="OK"/>
    <s v="No"/>
  </r>
  <r>
    <n v="409"/>
    <s v="Merge 1+2"/>
    <n v="409"/>
    <n v="409"/>
    <n v="0"/>
    <x v="18"/>
    <n v="1"/>
    <n v="0"/>
    <n v="1"/>
    <x v="0"/>
    <b v="0"/>
    <n v="3"/>
    <n v="2"/>
    <n v="0.22"/>
    <n v="0.2727"/>
    <n v="0.2727"/>
    <n v="0.93"/>
    <n v="0"/>
    <n v="0"/>
    <n v="3"/>
    <n v="3"/>
    <x v="1"/>
    <x v="1"/>
    <s v="Winter"/>
    <s v="Wednesday"/>
    <x v="0"/>
    <n v="2.2999999999999998"/>
    <n v="2"/>
    <n v="93"/>
    <n v="0"/>
    <n v="1"/>
    <x v="1"/>
    <n v="-1.55"/>
    <s v=""/>
    <s v="OK"/>
    <s v="No"/>
  </r>
  <r>
    <n v="410"/>
    <s v="Merge 1+2"/>
    <n v="410"/>
    <n v="410"/>
    <n v="0"/>
    <x v="18"/>
    <n v="1"/>
    <n v="0"/>
    <n v="1"/>
    <x v="1"/>
    <b v="0"/>
    <n v="3"/>
    <n v="3"/>
    <n v="0.22"/>
    <n v="0.2273"/>
    <n v="0.2273"/>
    <n v="0.93"/>
    <n v="0.1343"/>
    <n v="1"/>
    <n v="6"/>
    <n v="7"/>
    <x v="1"/>
    <x v="2"/>
    <s v="Winter"/>
    <s v="Wednesday"/>
    <x v="0"/>
    <n v="2.2999999999999998"/>
    <n v="-1"/>
    <n v="93"/>
    <n v="9"/>
    <n v="0.8571428571428571"/>
    <x v="1"/>
    <n v="1.1299999999999999"/>
    <s v=""/>
    <s v="OK"/>
    <s v="No"/>
  </r>
  <r>
    <n v="411"/>
    <s v="Merge 1+2"/>
    <n v="411"/>
    <n v="411"/>
    <n v="0"/>
    <x v="18"/>
    <n v="1"/>
    <n v="0"/>
    <n v="1"/>
    <x v="2"/>
    <b v="0"/>
    <n v="3"/>
    <n v="3"/>
    <n v="0.22"/>
    <n v="0.2273"/>
    <n v="0.2273"/>
    <n v="0.93"/>
    <n v="0.1343"/>
    <n v="0"/>
    <n v="3"/>
    <n v="3"/>
    <x v="1"/>
    <x v="2"/>
    <s v="Winter"/>
    <s v="Wednesday"/>
    <x v="0"/>
    <n v="2.2999999999999998"/>
    <n v="-1"/>
    <n v="93"/>
    <n v="9"/>
    <n v="1"/>
    <x v="1"/>
    <n v="0.33"/>
    <s v=""/>
    <s v="OK"/>
    <s v="No"/>
  </r>
  <r>
    <n v="412"/>
    <s v="Merge 1+2"/>
    <n v="412"/>
    <n v="412"/>
    <n v="0"/>
    <x v="18"/>
    <n v="1"/>
    <n v="0"/>
    <n v="1"/>
    <x v="4"/>
    <b v="0"/>
    <n v="3"/>
    <n v="3"/>
    <n v="0.22"/>
    <n v="0.2273"/>
    <n v="0.2273"/>
    <n v="0.93"/>
    <n v="0.1343"/>
    <n v="1"/>
    <n v="1"/>
    <n v="2"/>
    <x v="1"/>
    <x v="2"/>
    <s v="Winter"/>
    <s v="Wednesday"/>
    <x v="0"/>
    <n v="2.2999999999999998"/>
    <n v="-1"/>
    <n v="93"/>
    <n v="9"/>
    <n v="0.5"/>
    <x v="1"/>
    <n v="0.31"/>
    <s v=""/>
    <s v="OK"/>
    <s v="No"/>
  </r>
  <r>
    <n v="413"/>
    <s v="Merge 1+2"/>
    <n v="413"/>
    <n v="413"/>
    <n v="0"/>
    <x v="18"/>
    <n v="1"/>
    <n v="0"/>
    <n v="1"/>
    <x v="5"/>
    <b v="0"/>
    <n v="3"/>
    <n v="2"/>
    <n v="0.22"/>
    <n v="0.2576"/>
    <n v="0.2576"/>
    <n v="0.93"/>
    <n v="8.9599999999999999E-2"/>
    <n v="0"/>
    <n v="7"/>
    <n v="7"/>
    <x v="1"/>
    <x v="1"/>
    <s v="Winter"/>
    <s v="Wednesday"/>
    <x v="0"/>
    <n v="2.2999999999999998"/>
    <n v="1"/>
    <n v="93"/>
    <n v="6"/>
    <n v="1"/>
    <x v="1"/>
    <n v="0.94"/>
    <s v=""/>
    <s v="OK"/>
    <s v="No"/>
  </r>
  <r>
    <n v="414"/>
    <s v="Merge 1+2"/>
    <n v="414"/>
    <n v="414"/>
    <n v="0"/>
    <x v="18"/>
    <n v="1"/>
    <n v="0"/>
    <n v="1"/>
    <x v="6"/>
    <b v="0"/>
    <n v="3"/>
    <n v="2"/>
    <n v="0.22"/>
    <n v="0.2576"/>
    <n v="0.2576"/>
    <n v="0.93"/>
    <n v="8.9599999999999999E-2"/>
    <n v="0"/>
    <n v="32"/>
    <n v="32"/>
    <x v="1"/>
    <x v="1"/>
    <s v="Winter"/>
    <s v="Wednesday"/>
    <x v="1"/>
    <n v="2.2999999999999998"/>
    <n v="1"/>
    <n v="93"/>
    <n v="6"/>
    <n v="1"/>
    <x v="0"/>
    <n v="0.44"/>
    <s v=""/>
    <s v="OK"/>
    <s v="No"/>
  </r>
  <r>
    <n v="415"/>
    <s v="Merge 1+2"/>
    <n v="415"/>
    <n v="415"/>
    <n v="0"/>
    <x v="18"/>
    <n v="1"/>
    <n v="0"/>
    <n v="1"/>
    <x v="7"/>
    <b v="0"/>
    <n v="3"/>
    <n v="2"/>
    <n v="0.24"/>
    <n v="0.2576"/>
    <n v="0.2576"/>
    <n v="0.92"/>
    <n v="0.1045"/>
    <n v="1"/>
    <n v="89"/>
    <n v="90"/>
    <x v="1"/>
    <x v="1"/>
    <s v="Winter"/>
    <s v="Wednesday"/>
    <x v="1"/>
    <n v="3.3"/>
    <n v="1"/>
    <n v="92"/>
    <n v="7"/>
    <n v="0.98888888888888893"/>
    <x v="2"/>
    <n v="0.5"/>
    <s v=""/>
    <s v="OK"/>
    <s v="No"/>
  </r>
  <r>
    <n v="416"/>
    <s v="Merge 1+2"/>
    <n v="416"/>
    <n v="416"/>
    <n v="0"/>
    <x v="18"/>
    <n v="1"/>
    <n v="0"/>
    <n v="1"/>
    <x v="8"/>
    <b v="0"/>
    <n v="3"/>
    <n v="2"/>
    <n v="0.24"/>
    <n v="0.2576"/>
    <n v="0.2576"/>
    <n v="0.93"/>
    <n v="0.1045"/>
    <n v="1"/>
    <n v="196"/>
    <n v="197"/>
    <x v="1"/>
    <x v="1"/>
    <s v="Winter"/>
    <s v="Wednesday"/>
    <x v="1"/>
    <n v="3.3"/>
    <n v="1"/>
    <n v="93"/>
    <n v="7"/>
    <n v="0.99492385786802029"/>
    <x v="2"/>
    <n v="0.2"/>
    <s v=""/>
    <s v="OK"/>
    <s v="No"/>
  </r>
  <r>
    <n v="417"/>
    <s v="Merge 1+2"/>
    <n v="417"/>
    <n v="417"/>
    <n v="0"/>
    <x v="18"/>
    <n v="1"/>
    <n v="0"/>
    <n v="1"/>
    <x v="9"/>
    <b v="0"/>
    <n v="3"/>
    <n v="2"/>
    <n v="0.24"/>
    <n v="0.2576"/>
    <n v="0.2576"/>
    <n v="0.93"/>
    <n v="0.1045"/>
    <n v="2"/>
    <n v="107"/>
    <n v="109"/>
    <x v="1"/>
    <x v="1"/>
    <s v="Winter"/>
    <s v="Wednesday"/>
    <x v="1"/>
    <n v="3.3"/>
    <n v="1"/>
    <n v="93"/>
    <n v="7"/>
    <n v="0.98165137614678899"/>
    <x v="2"/>
    <n v="-0.41"/>
    <s v=""/>
    <s v="OK"/>
    <s v="No"/>
  </r>
  <r>
    <n v="418"/>
    <s v="Merge 1+2"/>
    <n v="418"/>
    <n v="418"/>
    <n v="0"/>
    <x v="18"/>
    <n v="1"/>
    <n v="0"/>
    <n v="1"/>
    <x v="10"/>
    <b v="0"/>
    <n v="3"/>
    <n v="2"/>
    <n v="0.26"/>
    <n v="0.2727"/>
    <n v="0.2727"/>
    <n v="0.93"/>
    <n v="0.1343"/>
    <n v="1"/>
    <n v="46"/>
    <n v="47"/>
    <x v="1"/>
    <x v="1"/>
    <s v="Winter"/>
    <s v="Wednesday"/>
    <x v="1"/>
    <n v="4.2"/>
    <n v="2"/>
    <n v="93"/>
    <n v="9"/>
    <n v="0.97872340425531912"/>
    <x v="0"/>
    <n v="-0.17"/>
    <s v=""/>
    <s v="OK"/>
    <s v="No"/>
  </r>
  <r>
    <n v="419"/>
    <s v="Merge 1+2"/>
    <n v="419"/>
    <n v="419"/>
    <n v="0"/>
    <x v="18"/>
    <n v="1"/>
    <n v="0"/>
    <n v="1"/>
    <x v="11"/>
    <b v="0"/>
    <n v="3"/>
    <n v="2"/>
    <n v="0.28000000000000003"/>
    <n v="0.30299999999999999"/>
    <n v="0.30299999999999999"/>
    <n v="0.87"/>
    <n v="8.9599999999999999E-2"/>
    <n v="5"/>
    <n v="47"/>
    <n v="52"/>
    <x v="1"/>
    <x v="1"/>
    <s v="Winter"/>
    <s v="Wednesday"/>
    <x v="1"/>
    <n v="5.2"/>
    <n v="4"/>
    <n v="87"/>
    <n v="6"/>
    <n v="0.90384615384615385"/>
    <x v="0"/>
    <n v="0.17"/>
    <s v=""/>
    <s v="OK"/>
    <s v="No"/>
  </r>
  <r>
    <n v="420"/>
    <s v="Merge 1+2"/>
    <n v="420"/>
    <n v="420"/>
    <n v="0"/>
    <x v="18"/>
    <n v="1"/>
    <n v="0"/>
    <n v="1"/>
    <x v="12"/>
    <b v="0"/>
    <n v="3"/>
    <n v="2"/>
    <n v="0.3"/>
    <n v="0.31819999999999998"/>
    <n v="0.31819999999999998"/>
    <n v="0.81"/>
    <n v="8.9599999999999999E-2"/>
    <n v="5"/>
    <n v="65"/>
    <n v="70"/>
    <x v="1"/>
    <x v="1"/>
    <s v="Winter"/>
    <s v="Wednesday"/>
    <x v="2"/>
    <n v="6.1"/>
    <n v="5"/>
    <n v="81"/>
    <n v="6"/>
    <n v="0.9285714285714286"/>
    <x v="0"/>
    <n v="0.32"/>
    <s v=""/>
    <s v="OK"/>
    <s v="No"/>
  </r>
  <r>
    <n v="421"/>
    <s v="Merge 1+2"/>
    <n v="421"/>
    <n v="421"/>
    <n v="0"/>
    <x v="18"/>
    <n v="1"/>
    <n v="0"/>
    <n v="1"/>
    <x v="13"/>
    <b v="0"/>
    <n v="3"/>
    <n v="1"/>
    <n v="0.4"/>
    <n v="0.40910000000000002"/>
    <n v="0.40910000000000002"/>
    <n v="0.62"/>
    <n v="0.28360000000000002"/>
    <n v="11"/>
    <n v="67"/>
    <n v="78"/>
    <x v="1"/>
    <x v="0"/>
    <s v="Winter"/>
    <s v="Wednesday"/>
    <x v="2"/>
    <n v="10.8"/>
    <n v="11"/>
    <n v="62"/>
    <n v="19"/>
    <n v="0.85897435897435892"/>
    <x v="0"/>
    <n v="0.59"/>
    <s v=""/>
    <s v="OK"/>
    <s v="No"/>
  </r>
  <r>
    <n v="422"/>
    <s v="Merge 1+2"/>
    <n v="422"/>
    <n v="422"/>
    <n v="0"/>
    <x v="18"/>
    <n v="1"/>
    <n v="0"/>
    <n v="1"/>
    <x v="14"/>
    <b v="0"/>
    <n v="3"/>
    <n v="1"/>
    <n v="0.4"/>
    <n v="0.40910000000000002"/>
    <n v="0.40910000000000002"/>
    <n v="0.57999999999999996"/>
    <n v="0.25369999999999998"/>
    <n v="7"/>
    <n v="68"/>
    <n v="75"/>
    <x v="1"/>
    <x v="0"/>
    <s v="Winter"/>
    <s v="Wednesday"/>
    <x v="2"/>
    <n v="10.8"/>
    <n v="11"/>
    <n v="58"/>
    <n v="17"/>
    <n v="0.90666666666666662"/>
    <x v="0"/>
    <n v="0.96"/>
    <s v=""/>
    <s v="OK"/>
    <s v="No"/>
  </r>
  <r>
    <n v="423"/>
    <s v="Merge 1+2"/>
    <n v="423"/>
    <n v="423"/>
    <n v="0"/>
    <x v="18"/>
    <n v="1"/>
    <n v="0"/>
    <n v="1"/>
    <x v="15"/>
    <b v="0"/>
    <n v="3"/>
    <n v="1"/>
    <n v="0.4"/>
    <n v="0.40910000000000002"/>
    <n v="0.40910000000000002"/>
    <n v="0.54"/>
    <n v="0.28360000000000002"/>
    <n v="4"/>
    <n v="78"/>
    <n v="82"/>
    <x v="1"/>
    <x v="0"/>
    <s v="Winter"/>
    <s v="Wednesday"/>
    <x v="2"/>
    <n v="10.8"/>
    <n v="11"/>
    <n v="54"/>
    <n v="19"/>
    <n v="0.95121951219512191"/>
    <x v="0"/>
    <n v="1.54"/>
    <s v=""/>
    <s v="OK"/>
    <s v="No"/>
  </r>
  <r>
    <n v="424"/>
    <s v="Merge 1+2"/>
    <n v="424"/>
    <n v="424"/>
    <n v="0"/>
    <x v="18"/>
    <n v="1"/>
    <n v="0"/>
    <n v="1"/>
    <x v="16"/>
    <b v="0"/>
    <n v="3"/>
    <n v="1"/>
    <n v="0.38"/>
    <n v="0.39389999999999997"/>
    <n v="0.39389999999999997"/>
    <n v="0.57999999999999996"/>
    <n v="0.3881"/>
    <n v="10"/>
    <n v="94"/>
    <n v="104"/>
    <x v="1"/>
    <x v="0"/>
    <s v="Winter"/>
    <s v="Wednesday"/>
    <x v="2"/>
    <n v="9.9"/>
    <n v="10"/>
    <n v="58"/>
    <n v="26"/>
    <n v="0.90384615384615385"/>
    <x v="2"/>
    <n v="1.01"/>
    <s v=""/>
    <s v="OK"/>
    <s v="No"/>
  </r>
  <r>
    <n v="425"/>
    <s v="Merge 1+2"/>
    <n v="425"/>
    <n v="425"/>
    <n v="0"/>
    <x v="18"/>
    <n v="1"/>
    <n v="0"/>
    <n v="1"/>
    <x v="17"/>
    <b v="0"/>
    <n v="3"/>
    <n v="1"/>
    <n v="0.36"/>
    <n v="0.33329999999999999"/>
    <n v="0.33329999999999999"/>
    <n v="0.56999999999999995"/>
    <n v="0.32840000000000003"/>
    <n v="7"/>
    <n v="190"/>
    <n v="197"/>
    <x v="1"/>
    <x v="0"/>
    <s v="Winter"/>
    <s v="Wednesday"/>
    <x v="2"/>
    <n v="8.9"/>
    <n v="6"/>
    <n v="57"/>
    <n v="22"/>
    <n v="0.96446700507614214"/>
    <x v="2"/>
    <n v="0.69"/>
    <s v=""/>
    <s v="OK"/>
    <s v="No"/>
  </r>
  <r>
    <n v="426"/>
    <s v="Merge 1+2"/>
    <n v="426"/>
    <n v="426"/>
    <n v="0"/>
    <x v="18"/>
    <n v="1"/>
    <n v="0"/>
    <n v="1"/>
    <x v="18"/>
    <b v="0"/>
    <n v="3"/>
    <n v="1"/>
    <n v="0.34"/>
    <n v="0.31819999999999998"/>
    <n v="0.31819999999999998"/>
    <n v="0.61"/>
    <n v="0.28360000000000002"/>
    <n v="5"/>
    <n v="156"/>
    <n v="161"/>
    <x v="1"/>
    <x v="0"/>
    <s v="Winter"/>
    <s v="Wednesday"/>
    <x v="3"/>
    <n v="8"/>
    <n v="5"/>
    <n v="61"/>
    <n v="19"/>
    <n v="0.96894409937888204"/>
    <x v="2"/>
    <n v="0.28000000000000003"/>
    <s v=""/>
    <s v="OK"/>
    <s v="No"/>
  </r>
  <r>
    <n v="427"/>
    <s v="Merge 1+2"/>
    <n v="427"/>
    <n v="427"/>
    <n v="0"/>
    <x v="18"/>
    <n v="1"/>
    <n v="0"/>
    <n v="1"/>
    <x v="19"/>
    <b v="0"/>
    <n v="3"/>
    <n v="1"/>
    <n v="0.32"/>
    <n v="0.28789999999999999"/>
    <n v="0.28789999999999999"/>
    <n v="0.56999999999999995"/>
    <n v="0.41789999999999999"/>
    <n v="4"/>
    <n v="108"/>
    <n v="112"/>
    <x v="1"/>
    <x v="0"/>
    <s v="Winter"/>
    <s v="Wednesday"/>
    <x v="3"/>
    <n v="7"/>
    <n v="3"/>
    <n v="57"/>
    <n v="28"/>
    <n v="0.9642857142857143"/>
    <x v="2"/>
    <n v="0.42"/>
    <s v=""/>
    <s v="OK"/>
    <s v="No"/>
  </r>
  <r>
    <n v="428"/>
    <s v="Merge 1+2"/>
    <n v="428"/>
    <n v="428"/>
    <n v="0"/>
    <x v="18"/>
    <n v="1"/>
    <n v="0"/>
    <n v="1"/>
    <x v="20"/>
    <b v="0"/>
    <n v="3"/>
    <n v="1"/>
    <n v="0.32"/>
    <n v="0.30299999999999999"/>
    <n v="0.30299999999999999"/>
    <n v="0.49"/>
    <n v="0.29849999999999999"/>
    <n v="2"/>
    <n v="74"/>
    <n v="76"/>
    <x v="1"/>
    <x v="0"/>
    <s v="Winter"/>
    <s v="Wednesday"/>
    <x v="3"/>
    <n v="7"/>
    <n v="4"/>
    <n v="49"/>
    <n v="20"/>
    <n v="0.97368421052631582"/>
    <x v="0"/>
    <n v="0.11"/>
    <s v=""/>
    <s v="OK"/>
    <s v="No"/>
  </r>
  <r>
    <n v="429"/>
    <s v="Merge 1+2"/>
    <n v="429"/>
    <n v="429"/>
    <n v="0"/>
    <x v="18"/>
    <n v="1"/>
    <n v="0"/>
    <n v="1"/>
    <x v="21"/>
    <b v="0"/>
    <n v="3"/>
    <n v="1"/>
    <n v="0.32"/>
    <n v="0.28789999999999999"/>
    <n v="0.28789999999999999"/>
    <n v="0.49"/>
    <n v="0.41789999999999999"/>
    <n v="4"/>
    <n v="55"/>
    <n v="59"/>
    <x v="1"/>
    <x v="0"/>
    <s v="Winter"/>
    <s v="Wednesday"/>
    <x v="3"/>
    <n v="7"/>
    <n v="3"/>
    <n v="49"/>
    <n v="28"/>
    <n v="0.93220338983050843"/>
    <x v="0"/>
    <n v="0.55000000000000004"/>
    <s v=""/>
    <s v="OK"/>
    <s v="No"/>
  </r>
  <r>
    <n v="430"/>
    <s v="Merge 1+2"/>
    <n v="430"/>
    <n v="430"/>
    <n v="0"/>
    <x v="18"/>
    <n v="1"/>
    <n v="0"/>
    <n v="1"/>
    <x v="22"/>
    <b v="0"/>
    <n v="3"/>
    <n v="1"/>
    <n v="0.3"/>
    <n v="0.30299999999999999"/>
    <n v="0.30299999999999999"/>
    <n v="0.52"/>
    <n v="0.16420000000000001"/>
    <n v="6"/>
    <n v="53"/>
    <n v="59"/>
    <x v="1"/>
    <x v="0"/>
    <s v="Winter"/>
    <s v="Wednesday"/>
    <x v="3"/>
    <n v="6.1"/>
    <n v="4"/>
    <n v="52"/>
    <n v="11"/>
    <n v="0.89830508474576276"/>
    <x v="0"/>
    <n v="2.12"/>
    <s v=""/>
    <s v="OK"/>
    <s v="No"/>
  </r>
  <r>
    <n v="431"/>
    <s v="Merge 1+2"/>
    <n v="431"/>
    <n v="431"/>
    <n v="0"/>
    <x v="18"/>
    <n v="1"/>
    <n v="0"/>
    <n v="1"/>
    <x v="23"/>
    <b v="0"/>
    <n v="3"/>
    <n v="1"/>
    <n v="0.3"/>
    <n v="0.2727"/>
    <n v="0.2727"/>
    <n v="0.52"/>
    <n v="0.4627"/>
    <n v="1"/>
    <n v="27"/>
    <n v="28"/>
    <x v="1"/>
    <x v="0"/>
    <s v="Winter"/>
    <s v="Wednesday"/>
    <x v="3"/>
    <n v="6.1"/>
    <n v="2"/>
    <n v="52"/>
    <n v="31"/>
    <n v="0.9642857142857143"/>
    <x v="0"/>
    <n v="0.36"/>
    <s v=""/>
    <s v="OK"/>
    <s v="No"/>
  </r>
  <r>
    <n v="432"/>
    <s v="Merge 1+2"/>
    <n v="432"/>
    <n v="432"/>
    <n v="0"/>
    <x v="19"/>
    <n v="1"/>
    <n v="0"/>
    <n v="1"/>
    <x v="0"/>
    <b v="0"/>
    <n v="4"/>
    <n v="1"/>
    <n v="0.26"/>
    <n v="0.2273"/>
    <n v="0.2273"/>
    <n v="0.56000000000000005"/>
    <n v="0.3881"/>
    <n v="5"/>
    <n v="8"/>
    <n v="13"/>
    <x v="1"/>
    <x v="0"/>
    <s v="Winter"/>
    <s v="Thursday"/>
    <x v="0"/>
    <n v="4.2"/>
    <n v="-1"/>
    <n v="56"/>
    <n v="26"/>
    <n v="0.61538461538461542"/>
    <x v="1"/>
    <n v="0.53"/>
    <s v=""/>
    <s v="OK"/>
    <s v="No"/>
  </r>
  <r>
    <n v="433"/>
    <s v="Merge 1+2"/>
    <n v="433"/>
    <n v="433"/>
    <n v="0"/>
    <x v="19"/>
    <n v="1"/>
    <n v="0"/>
    <n v="1"/>
    <x v="1"/>
    <b v="0"/>
    <n v="4"/>
    <n v="1"/>
    <n v="0.26"/>
    <n v="0.2727"/>
    <n v="0.2727"/>
    <n v="0.56000000000000005"/>
    <n v="0"/>
    <n v="2"/>
    <n v="3"/>
    <n v="5"/>
    <x v="1"/>
    <x v="0"/>
    <s v="Winter"/>
    <s v="Thursday"/>
    <x v="0"/>
    <n v="4.2"/>
    <n v="2"/>
    <n v="56"/>
    <n v="0"/>
    <n v="0.6"/>
    <x v="1"/>
    <n v="0.14000000000000001"/>
    <s v=""/>
    <s v="OK"/>
    <s v="No"/>
  </r>
  <r>
    <n v="434"/>
    <s v="Merge 1+2"/>
    <n v="434"/>
    <n v="434"/>
    <n v="0"/>
    <x v="19"/>
    <n v="1"/>
    <n v="0"/>
    <n v="1"/>
    <x v="2"/>
    <b v="0"/>
    <n v="4"/>
    <n v="1"/>
    <n v="0.26"/>
    <n v="0.2727"/>
    <n v="0.2727"/>
    <n v="0.56000000000000005"/>
    <n v="0"/>
    <n v="0"/>
    <n v="2"/>
    <n v="2"/>
    <x v="1"/>
    <x v="0"/>
    <s v="Winter"/>
    <s v="Thursday"/>
    <x v="0"/>
    <n v="4.2"/>
    <n v="2"/>
    <n v="56"/>
    <n v="0"/>
    <n v="1"/>
    <x v="1"/>
    <n v="-0.24"/>
    <s v=""/>
    <s v="OK"/>
    <s v="No"/>
  </r>
  <r>
    <n v="435"/>
    <s v="Merge 1+2"/>
    <n v="435"/>
    <n v="435"/>
    <n v="0"/>
    <x v="19"/>
    <n v="1"/>
    <n v="0"/>
    <n v="1"/>
    <x v="3"/>
    <b v="0"/>
    <n v="4"/>
    <n v="1"/>
    <n v="0.26"/>
    <n v="0.2576"/>
    <n v="0.2576"/>
    <n v="0.56000000000000005"/>
    <n v="0.16420000000000001"/>
    <n v="0"/>
    <n v="1"/>
    <n v="1"/>
    <x v="1"/>
    <x v="0"/>
    <s v="Winter"/>
    <s v="Thursday"/>
    <x v="0"/>
    <n v="4.2"/>
    <n v="1"/>
    <n v="56"/>
    <n v="11"/>
    <n v="1"/>
    <x v="1"/>
    <n v="-0.61"/>
    <s v=""/>
    <s v="OK"/>
    <s v="No"/>
  </r>
  <r>
    <n v="436"/>
    <s v="Merge 1+2"/>
    <n v="436"/>
    <n v="436"/>
    <n v="0"/>
    <x v="19"/>
    <n v="1"/>
    <n v="0"/>
    <n v="1"/>
    <x v="4"/>
    <b v="0"/>
    <n v="4"/>
    <n v="1"/>
    <n v="0.26"/>
    <n v="0.2576"/>
    <n v="0.2576"/>
    <n v="0.56000000000000005"/>
    <n v="0.16420000000000001"/>
    <n v="0"/>
    <n v="1"/>
    <n v="1"/>
    <x v="1"/>
    <x v="0"/>
    <s v="Winter"/>
    <s v="Thursday"/>
    <x v="0"/>
    <n v="4.2"/>
    <n v="1"/>
    <n v="56"/>
    <n v="11"/>
    <n v="1"/>
    <x v="1"/>
    <n v="-0.81"/>
    <s v=""/>
    <s v="OK"/>
    <s v="No"/>
  </r>
  <r>
    <n v="437"/>
    <s v="Merge 1+2"/>
    <n v="437"/>
    <n v="437"/>
    <n v="0"/>
    <x v="19"/>
    <n v="1"/>
    <n v="0"/>
    <n v="1"/>
    <x v="5"/>
    <b v="0"/>
    <n v="4"/>
    <n v="1"/>
    <n v="0.24"/>
    <n v="0.2273"/>
    <n v="0.2273"/>
    <n v="0.6"/>
    <n v="0.22389999999999999"/>
    <n v="0"/>
    <n v="6"/>
    <n v="6"/>
    <x v="1"/>
    <x v="0"/>
    <s v="Winter"/>
    <s v="Thursday"/>
    <x v="0"/>
    <n v="3.3"/>
    <n v="-1"/>
    <n v="60"/>
    <n v="15"/>
    <n v="1"/>
    <x v="1"/>
    <n v="0.5"/>
    <s v=""/>
    <s v="OK"/>
    <s v="No"/>
  </r>
  <r>
    <n v="438"/>
    <s v="Merge 1+2"/>
    <n v="438"/>
    <n v="438"/>
    <n v="0"/>
    <x v="19"/>
    <n v="1"/>
    <n v="0"/>
    <n v="1"/>
    <x v="6"/>
    <b v="0"/>
    <n v="4"/>
    <n v="1"/>
    <n v="0.22"/>
    <n v="0.21210000000000001"/>
    <n v="0.21210000000000001"/>
    <n v="0.6"/>
    <n v="0.22389999999999999"/>
    <n v="0"/>
    <n v="35"/>
    <n v="35"/>
    <x v="1"/>
    <x v="0"/>
    <s v="Winter"/>
    <s v="Thursday"/>
    <x v="1"/>
    <n v="2.2999999999999998"/>
    <n v="-2"/>
    <n v="60"/>
    <n v="15"/>
    <n v="1"/>
    <x v="0"/>
    <n v="0.79"/>
    <s v=""/>
    <s v="OK"/>
    <s v="No"/>
  </r>
  <r>
    <n v="439"/>
    <s v="Merge 1+2"/>
    <n v="439"/>
    <n v="439"/>
    <n v="0"/>
    <x v="19"/>
    <n v="1"/>
    <n v="0"/>
    <n v="1"/>
    <x v="7"/>
    <b v="0"/>
    <n v="4"/>
    <n v="1"/>
    <n v="0.22"/>
    <n v="0.21210000000000001"/>
    <n v="0.21210000000000001"/>
    <n v="0.55000000000000004"/>
    <n v="0.22389999999999999"/>
    <n v="1"/>
    <n v="100"/>
    <n v="101"/>
    <x v="1"/>
    <x v="0"/>
    <s v="Winter"/>
    <s v="Thursday"/>
    <x v="1"/>
    <n v="2.2999999999999998"/>
    <n v="-2"/>
    <n v="55"/>
    <n v="15"/>
    <n v="0.99009900990099009"/>
    <x v="2"/>
    <n v="1.07"/>
    <s v=""/>
    <s v="OK"/>
    <s v="No"/>
  </r>
  <r>
    <n v="440"/>
    <s v="Merge 1+2"/>
    <n v="440"/>
    <n v="440"/>
    <n v="0"/>
    <x v="19"/>
    <n v="1"/>
    <n v="0"/>
    <n v="1"/>
    <x v="8"/>
    <b v="0"/>
    <n v="4"/>
    <n v="1"/>
    <n v="0.22"/>
    <n v="0.21210000000000001"/>
    <n v="0.21210000000000001"/>
    <n v="0.55000000000000004"/>
    <n v="0.28360000000000002"/>
    <n v="2"/>
    <n v="247"/>
    <n v="249"/>
    <x v="1"/>
    <x v="0"/>
    <s v="Winter"/>
    <s v="Thursday"/>
    <x v="1"/>
    <n v="2.2999999999999998"/>
    <n v="-2"/>
    <n v="55"/>
    <n v="19"/>
    <n v="0.99196787148594379"/>
    <x v="2"/>
    <n v="1.51"/>
    <s v=""/>
    <s v="OK"/>
    <s v="No"/>
  </r>
  <r>
    <n v="441"/>
    <s v="Merge 1+2"/>
    <n v="441"/>
    <n v="441"/>
    <n v="0"/>
    <x v="19"/>
    <n v="1"/>
    <n v="0"/>
    <n v="1"/>
    <x v="9"/>
    <b v="0"/>
    <n v="4"/>
    <n v="2"/>
    <n v="0.24"/>
    <n v="0.2273"/>
    <n v="0.2273"/>
    <n v="0.52"/>
    <n v="0.22389999999999999"/>
    <n v="3"/>
    <n v="140"/>
    <n v="143"/>
    <x v="1"/>
    <x v="1"/>
    <s v="Winter"/>
    <s v="Thursday"/>
    <x v="1"/>
    <n v="3.3"/>
    <n v="-1"/>
    <n v="52"/>
    <n v="15"/>
    <n v="0.97902097902097907"/>
    <x v="2"/>
    <n v="1.1100000000000001"/>
    <s v=""/>
    <s v="OK"/>
    <s v="No"/>
  </r>
  <r>
    <n v="442"/>
    <s v="Merge 1+2"/>
    <n v="442"/>
    <n v="442"/>
    <n v="0"/>
    <x v="19"/>
    <n v="1"/>
    <n v="0"/>
    <n v="1"/>
    <x v="10"/>
    <b v="0"/>
    <n v="4"/>
    <n v="1"/>
    <n v="0.26"/>
    <n v="0.2273"/>
    <n v="0.2273"/>
    <n v="0.48"/>
    <n v="0.29849999999999999"/>
    <n v="1"/>
    <n v="56"/>
    <n v="57"/>
    <x v="1"/>
    <x v="0"/>
    <s v="Winter"/>
    <s v="Thursday"/>
    <x v="1"/>
    <n v="4.2"/>
    <n v="-1"/>
    <n v="48"/>
    <n v="20"/>
    <n v="0.98245614035087714"/>
    <x v="0"/>
    <n v="0.81"/>
    <s v=""/>
    <s v="OK"/>
    <s v="No"/>
  </r>
  <r>
    <n v="443"/>
    <s v="Merge 1+2"/>
    <n v="443"/>
    <n v="443"/>
    <n v="0"/>
    <x v="19"/>
    <n v="1"/>
    <n v="0"/>
    <n v="1"/>
    <x v="11"/>
    <b v="0"/>
    <n v="4"/>
    <n v="2"/>
    <n v="0.28000000000000003"/>
    <n v="0.2727"/>
    <n v="0.2727"/>
    <n v="0.45"/>
    <n v="0.16420000000000001"/>
    <n v="5"/>
    <n v="63"/>
    <n v="68"/>
    <x v="1"/>
    <x v="1"/>
    <s v="Winter"/>
    <s v="Thursday"/>
    <x v="1"/>
    <n v="5.2"/>
    <n v="2"/>
    <n v="45"/>
    <n v="11"/>
    <n v="0.92647058823529416"/>
    <x v="0"/>
    <n v="1.61"/>
    <s v=""/>
    <s v="OK"/>
    <s v="No"/>
  </r>
  <r>
    <n v="444"/>
    <s v="Merge 1+2"/>
    <n v="444"/>
    <n v="444"/>
    <n v="0"/>
    <x v="19"/>
    <n v="1"/>
    <n v="0"/>
    <n v="1"/>
    <x v="12"/>
    <b v="0"/>
    <n v="4"/>
    <n v="2"/>
    <n v="0.3"/>
    <n v="0.33329999999999999"/>
    <n v="0.33329999999999999"/>
    <n v="0.42"/>
    <n v="0"/>
    <n v="7"/>
    <n v="77"/>
    <n v="84"/>
    <x v="1"/>
    <x v="1"/>
    <s v="Winter"/>
    <s v="Thursday"/>
    <x v="2"/>
    <n v="6.1"/>
    <n v="6"/>
    <n v="42"/>
    <n v="0"/>
    <n v="0.91666666666666663"/>
    <x v="2"/>
    <n v="1.06"/>
    <s v=""/>
    <s v="OK"/>
    <s v="No"/>
  </r>
  <r>
    <n v="445"/>
    <s v="Merge 1+2"/>
    <n v="445"/>
    <n v="445"/>
    <n v="0"/>
    <x v="19"/>
    <n v="1"/>
    <n v="0"/>
    <n v="1"/>
    <x v="13"/>
    <b v="0"/>
    <n v="4"/>
    <n v="2"/>
    <n v="0.28000000000000003"/>
    <n v="0.28789999999999999"/>
    <n v="0.28789999999999999"/>
    <n v="0.45"/>
    <n v="0.1045"/>
    <n v="12"/>
    <n v="86"/>
    <n v="98"/>
    <x v="1"/>
    <x v="1"/>
    <s v="Winter"/>
    <s v="Thursday"/>
    <x v="2"/>
    <n v="5.2"/>
    <n v="3"/>
    <n v="45"/>
    <n v="7"/>
    <n v="0.87755102040816324"/>
    <x v="2"/>
    <n v="1.59"/>
    <s v=""/>
    <s v="OK"/>
    <s v="No"/>
  </r>
  <r>
    <n v="446"/>
    <s v="Merge 1+2"/>
    <n v="446"/>
    <n v="446"/>
    <n v="0"/>
    <x v="19"/>
    <n v="1"/>
    <n v="0"/>
    <n v="1"/>
    <x v="14"/>
    <b v="0"/>
    <n v="4"/>
    <n v="2"/>
    <n v="0.3"/>
    <n v="0.30299999999999999"/>
    <n v="0.30299999999999999"/>
    <n v="0.45"/>
    <n v="0.1343"/>
    <n v="6"/>
    <n v="75"/>
    <n v="81"/>
    <x v="1"/>
    <x v="1"/>
    <s v="Winter"/>
    <s v="Thursday"/>
    <x v="2"/>
    <n v="6.1"/>
    <n v="4"/>
    <n v="45"/>
    <n v="9"/>
    <n v="0.92592592592592593"/>
    <x v="0"/>
    <n v="1.34"/>
    <s v=""/>
    <s v="OK"/>
    <s v="No"/>
  </r>
  <r>
    <n v="447"/>
    <s v="Merge 1+2"/>
    <n v="447"/>
    <n v="447"/>
    <n v="0"/>
    <x v="19"/>
    <n v="1"/>
    <n v="0"/>
    <n v="1"/>
    <x v="15"/>
    <b v="0"/>
    <n v="4"/>
    <n v="2"/>
    <n v="0.32"/>
    <n v="0.31819999999999998"/>
    <n v="0.31819999999999998"/>
    <n v="0.45"/>
    <n v="0.19400000000000001"/>
    <n v="8"/>
    <n v="62"/>
    <n v="70"/>
    <x v="1"/>
    <x v="1"/>
    <s v="Winter"/>
    <s v="Thursday"/>
    <x v="2"/>
    <n v="7"/>
    <n v="5"/>
    <n v="45"/>
    <n v="13"/>
    <n v="0.88571428571428568"/>
    <x v="0"/>
    <n v="0.69"/>
    <s v=""/>
    <s v="OK"/>
    <s v="No"/>
  </r>
  <r>
    <n v="448"/>
    <s v="Merge 1+2"/>
    <n v="448"/>
    <n v="448"/>
    <n v="0"/>
    <x v="19"/>
    <n v="1"/>
    <n v="0"/>
    <n v="1"/>
    <x v="16"/>
    <b v="0"/>
    <n v="4"/>
    <n v="2"/>
    <n v="0.3"/>
    <n v="0.30299999999999999"/>
    <n v="0.30299999999999999"/>
    <n v="0.49"/>
    <n v="0.1343"/>
    <n v="8"/>
    <n v="83"/>
    <n v="91"/>
    <x v="1"/>
    <x v="1"/>
    <s v="Winter"/>
    <s v="Thursday"/>
    <x v="2"/>
    <n v="6.1"/>
    <n v="4"/>
    <n v="49"/>
    <n v="9"/>
    <n v="0.91208791208791207"/>
    <x v="2"/>
    <n v="0.4"/>
    <s v=""/>
    <s v="OK"/>
    <s v="No"/>
  </r>
  <r>
    <n v="449"/>
    <s v="Merge 1+2"/>
    <n v="449"/>
    <n v="449"/>
    <n v="0"/>
    <x v="19"/>
    <n v="1"/>
    <n v="0"/>
    <n v="1"/>
    <x v="17"/>
    <b v="0"/>
    <n v="4"/>
    <n v="2"/>
    <n v="0.3"/>
    <n v="0.31819999999999998"/>
    <n v="0.31819999999999998"/>
    <n v="0.49"/>
    <n v="0.1045"/>
    <n v="8"/>
    <n v="207"/>
    <n v="215"/>
    <x v="1"/>
    <x v="1"/>
    <s v="Winter"/>
    <s v="Thursday"/>
    <x v="2"/>
    <n v="6.1"/>
    <n v="5"/>
    <n v="49"/>
    <n v="7"/>
    <n v="0.96279069767441861"/>
    <x v="2"/>
    <n v="1.1299999999999999"/>
    <s v=""/>
    <s v="OK"/>
    <s v="No"/>
  </r>
  <r>
    <n v="450"/>
    <s v="Merge 1+2"/>
    <n v="450"/>
    <n v="450"/>
    <n v="0"/>
    <x v="19"/>
    <n v="1"/>
    <n v="0"/>
    <n v="1"/>
    <x v="18"/>
    <b v="0"/>
    <n v="4"/>
    <n v="2"/>
    <n v="0.26"/>
    <n v="0.2576"/>
    <n v="0.2576"/>
    <n v="0.56000000000000005"/>
    <n v="0.19400000000000001"/>
    <n v="1"/>
    <n v="184"/>
    <n v="185"/>
    <x v="1"/>
    <x v="1"/>
    <s v="Winter"/>
    <s v="Thursday"/>
    <x v="3"/>
    <n v="4.2"/>
    <n v="1"/>
    <n v="56"/>
    <n v="13"/>
    <n v="0.99459459459459465"/>
    <x v="2"/>
    <n v="1.1499999999999999"/>
    <s v=""/>
    <s v="OK"/>
    <s v="No"/>
  </r>
  <r>
    <n v="451"/>
    <s v="Merge 1+2"/>
    <n v="451"/>
    <n v="451"/>
    <n v="0"/>
    <x v="19"/>
    <n v="1"/>
    <n v="0"/>
    <n v="1"/>
    <x v="19"/>
    <b v="0"/>
    <n v="4"/>
    <n v="1"/>
    <n v="0.26"/>
    <n v="0.2273"/>
    <n v="0.2273"/>
    <n v="0.56000000000000005"/>
    <n v="0.32840000000000003"/>
    <n v="6"/>
    <n v="146"/>
    <n v="152"/>
    <x v="1"/>
    <x v="0"/>
    <s v="Winter"/>
    <s v="Thursday"/>
    <x v="3"/>
    <n v="4.2"/>
    <n v="-1"/>
    <n v="56"/>
    <n v="22"/>
    <n v="0.96052631578947367"/>
    <x v="2"/>
    <n v="2.42"/>
    <s v=""/>
    <s v="OK"/>
    <s v="No"/>
  </r>
  <r>
    <n v="452"/>
    <s v="Merge 1+2"/>
    <n v="452"/>
    <n v="452"/>
    <n v="0"/>
    <x v="19"/>
    <n v="1"/>
    <n v="0"/>
    <n v="1"/>
    <x v="20"/>
    <b v="0"/>
    <n v="4"/>
    <n v="2"/>
    <n v="0.26"/>
    <n v="0.2424"/>
    <n v="0.2424"/>
    <n v="0.6"/>
    <n v="0.28360000000000002"/>
    <n v="2"/>
    <n v="124"/>
    <n v="126"/>
    <x v="1"/>
    <x v="1"/>
    <s v="Winter"/>
    <s v="Thursday"/>
    <x v="3"/>
    <n v="4.2"/>
    <n v="0"/>
    <n v="60"/>
    <n v="19"/>
    <n v="0.98412698412698407"/>
    <x v="2"/>
    <n v="2.4700000000000002"/>
    <s v=""/>
    <s v="OK"/>
    <s v="No"/>
  </r>
  <r>
    <n v="453"/>
    <s v="Merge 1+2"/>
    <n v="453"/>
    <n v="453"/>
    <n v="0"/>
    <x v="19"/>
    <n v="1"/>
    <n v="0"/>
    <n v="1"/>
    <x v="21"/>
    <b v="0"/>
    <n v="4"/>
    <n v="2"/>
    <n v="0.24"/>
    <n v="0.2273"/>
    <n v="0.2273"/>
    <n v="0.6"/>
    <n v="0.25369999999999998"/>
    <n v="3"/>
    <n v="54"/>
    <n v="57"/>
    <x v="1"/>
    <x v="1"/>
    <s v="Winter"/>
    <s v="Thursday"/>
    <x v="3"/>
    <n v="3.3"/>
    <n v="-1"/>
    <n v="60"/>
    <n v="17"/>
    <n v="0.94736842105263153"/>
    <x v="0"/>
    <n v="0.4"/>
    <s v=""/>
    <s v="OK"/>
    <s v="No"/>
  </r>
  <r>
    <n v="454"/>
    <s v="Merge 1+2"/>
    <n v="454"/>
    <n v="454"/>
    <n v="0"/>
    <x v="19"/>
    <n v="1"/>
    <n v="0"/>
    <n v="1"/>
    <x v="22"/>
    <b v="0"/>
    <n v="4"/>
    <n v="2"/>
    <n v="0.24"/>
    <n v="0.21210000000000001"/>
    <n v="0.21210000000000001"/>
    <n v="0.65"/>
    <n v="0.28360000000000002"/>
    <n v="0"/>
    <n v="56"/>
    <n v="56"/>
    <x v="1"/>
    <x v="1"/>
    <s v="Winter"/>
    <s v="Thursday"/>
    <x v="3"/>
    <n v="3.3"/>
    <n v="-2"/>
    <n v="65"/>
    <n v="19"/>
    <n v="1"/>
    <x v="0"/>
    <n v="1.82"/>
    <s v=""/>
    <s v="OK"/>
    <s v="No"/>
  </r>
  <r>
    <n v="455"/>
    <s v="Merge 1+2"/>
    <n v="455"/>
    <n v="455"/>
    <n v="0"/>
    <x v="19"/>
    <n v="1"/>
    <n v="0"/>
    <n v="1"/>
    <x v="23"/>
    <b v="0"/>
    <n v="4"/>
    <n v="2"/>
    <n v="0.24"/>
    <n v="0.21210000000000001"/>
    <n v="0.21210000000000001"/>
    <n v="0.65"/>
    <n v="0.32840000000000003"/>
    <n v="3"/>
    <n v="28"/>
    <n v="31"/>
    <x v="1"/>
    <x v="1"/>
    <s v="Winter"/>
    <s v="Thursday"/>
    <x v="3"/>
    <n v="3.3"/>
    <n v="-2"/>
    <n v="65"/>
    <n v="22"/>
    <n v="0.90322580645161288"/>
    <x v="0"/>
    <n v="0.66"/>
    <s v=""/>
    <s v="OK"/>
    <s v="No"/>
  </r>
  <r>
    <n v="456"/>
    <s v="Merge 1+2"/>
    <n v="456"/>
    <n v="456"/>
    <n v="0"/>
    <x v="20"/>
    <n v="1"/>
    <n v="0"/>
    <n v="1"/>
    <x v="0"/>
    <b v="0"/>
    <n v="5"/>
    <n v="2"/>
    <n v="0.24"/>
    <n v="0.2273"/>
    <n v="0.2273"/>
    <n v="0.7"/>
    <n v="0.25369999999999998"/>
    <n v="1"/>
    <n v="20"/>
    <n v="21"/>
    <x v="1"/>
    <x v="1"/>
    <s v="Winter"/>
    <s v="Friday"/>
    <x v="0"/>
    <n v="3.3"/>
    <n v="-1"/>
    <n v="70"/>
    <n v="17"/>
    <n v="0.95238095238095233"/>
    <x v="0"/>
    <n v="2.1800000000000002"/>
    <s v=""/>
    <s v="OK"/>
    <s v="No"/>
  </r>
  <r>
    <n v="457"/>
    <s v="Merge 1+2"/>
    <n v="457"/>
    <n v="457"/>
    <n v="0"/>
    <x v="20"/>
    <n v="1"/>
    <n v="0"/>
    <n v="1"/>
    <x v="1"/>
    <b v="0"/>
    <n v="5"/>
    <n v="2"/>
    <n v="0.24"/>
    <n v="0.2273"/>
    <n v="0.2273"/>
    <n v="0.7"/>
    <n v="0.25369999999999998"/>
    <n v="0"/>
    <n v="6"/>
    <n v="6"/>
    <x v="1"/>
    <x v="1"/>
    <s v="Winter"/>
    <s v="Friday"/>
    <x v="0"/>
    <n v="3.3"/>
    <n v="-1"/>
    <n v="70"/>
    <n v="17"/>
    <n v="1"/>
    <x v="1"/>
    <n v="0.64"/>
    <s v=""/>
    <s v="OK"/>
    <s v="No"/>
  </r>
  <r>
    <n v="458"/>
    <s v="Merge 1+2"/>
    <n v="458"/>
    <n v="458"/>
    <n v="0"/>
    <x v="20"/>
    <n v="1"/>
    <n v="0"/>
    <n v="1"/>
    <x v="2"/>
    <b v="0"/>
    <n v="5"/>
    <n v="3"/>
    <n v="0.24"/>
    <n v="0.2424"/>
    <n v="0.2424"/>
    <n v="0.75"/>
    <n v="0.16420000000000001"/>
    <n v="0"/>
    <n v="2"/>
    <n v="2"/>
    <x v="1"/>
    <x v="2"/>
    <s v="Winter"/>
    <s v="Friday"/>
    <x v="0"/>
    <n v="3.3"/>
    <n v="0"/>
    <n v="75"/>
    <n v="11"/>
    <n v="1"/>
    <x v="1"/>
    <n v="-0.24"/>
    <s v=""/>
    <s v="OK"/>
    <s v="No"/>
  </r>
  <r>
    <n v="459"/>
    <s v="Merge 1+2"/>
    <n v="459"/>
    <n v="459"/>
    <n v="0"/>
    <x v="20"/>
    <n v="1"/>
    <n v="0"/>
    <n v="1"/>
    <x v="3"/>
    <b v="0"/>
    <n v="5"/>
    <n v="3"/>
    <n v="0.22"/>
    <n v="0.21210000000000001"/>
    <n v="0.21210000000000001"/>
    <n v="0.8"/>
    <n v="0.29849999999999999"/>
    <n v="0"/>
    <n v="1"/>
    <n v="1"/>
    <x v="1"/>
    <x v="2"/>
    <s v="Winter"/>
    <s v="Friday"/>
    <x v="0"/>
    <n v="2.2999999999999998"/>
    <n v="-2"/>
    <n v="80"/>
    <n v="20"/>
    <n v="1"/>
    <x v="1"/>
    <n v="-0.61"/>
    <s v=""/>
    <s v="OK"/>
    <s v="No"/>
  </r>
  <r>
    <n v="460"/>
    <s v="Merge 1+2"/>
    <n v="460"/>
    <n v="460"/>
    <n v="0"/>
    <x v="20"/>
    <n v="1"/>
    <n v="0"/>
    <n v="1"/>
    <x v="4"/>
    <b v="0"/>
    <n v="5"/>
    <n v="2"/>
    <n v="0.22"/>
    <n v="0.2576"/>
    <n v="0.2576"/>
    <n v="0.87"/>
    <n v="8.9599999999999999E-2"/>
    <n v="0"/>
    <n v="1"/>
    <n v="1"/>
    <x v="1"/>
    <x v="1"/>
    <s v="Winter"/>
    <s v="Friday"/>
    <x v="0"/>
    <n v="2.2999999999999998"/>
    <n v="1"/>
    <n v="87"/>
    <n v="6"/>
    <n v="1"/>
    <x v="1"/>
    <n v="-0.81"/>
    <s v=""/>
    <s v="OK"/>
    <s v="No"/>
  </r>
  <r>
    <n v="461"/>
    <s v="Merge 1+2"/>
    <n v="461"/>
    <n v="461"/>
    <n v="0"/>
    <x v="20"/>
    <n v="1"/>
    <n v="0"/>
    <n v="1"/>
    <x v="5"/>
    <b v="0"/>
    <n v="5"/>
    <n v="1"/>
    <n v="0.24"/>
    <n v="0.19700000000000001"/>
    <n v="0.19700000000000001"/>
    <n v="0.6"/>
    <n v="0.41789999999999999"/>
    <n v="1"/>
    <n v="4"/>
    <n v="5"/>
    <x v="1"/>
    <x v="0"/>
    <s v="Winter"/>
    <s v="Friday"/>
    <x v="0"/>
    <n v="3.3"/>
    <n v="-3"/>
    <n v="60"/>
    <n v="28"/>
    <n v="0.8"/>
    <x v="1"/>
    <n v="0.06"/>
    <s v=""/>
    <s v="OK"/>
    <s v="No"/>
  </r>
  <r>
    <n v="462"/>
    <s v="Merge 1+2"/>
    <n v="462"/>
    <n v="462"/>
    <n v="0"/>
    <x v="20"/>
    <n v="1"/>
    <n v="0"/>
    <n v="1"/>
    <x v="6"/>
    <b v="0"/>
    <n v="5"/>
    <n v="1"/>
    <n v="0.22"/>
    <n v="0.21210000000000001"/>
    <n v="0.21210000000000001"/>
    <n v="0.55000000000000004"/>
    <n v="0.25369999999999998"/>
    <n v="0"/>
    <n v="27"/>
    <n v="27"/>
    <x v="1"/>
    <x v="0"/>
    <s v="Winter"/>
    <s v="Friday"/>
    <x v="1"/>
    <n v="2.2999999999999998"/>
    <n v="-2"/>
    <n v="55"/>
    <n v="17"/>
    <n v="1"/>
    <x v="0"/>
    <n v="-0.14000000000000001"/>
    <s v=""/>
    <s v="OK"/>
    <s v="No"/>
  </r>
  <r>
    <n v="463"/>
    <s v="Merge 1+2"/>
    <n v="463"/>
    <n v="463"/>
    <n v="0"/>
    <x v="20"/>
    <n v="1"/>
    <n v="0"/>
    <n v="1"/>
    <x v="7"/>
    <b v="0"/>
    <n v="5"/>
    <n v="1"/>
    <n v="0.2"/>
    <n v="0.18179999999999999"/>
    <n v="0.18179999999999999"/>
    <n v="0.51"/>
    <n v="0.28360000000000002"/>
    <n v="2"/>
    <n v="66"/>
    <n v="68"/>
    <x v="1"/>
    <x v="0"/>
    <s v="Winter"/>
    <s v="Friday"/>
    <x v="1"/>
    <n v="1.4"/>
    <n v="-4"/>
    <n v="51"/>
    <n v="19"/>
    <n v="0.97058823529411764"/>
    <x v="0"/>
    <n v="-0.64"/>
    <s v=""/>
    <s v="OK"/>
    <s v="No"/>
  </r>
  <r>
    <n v="464"/>
    <s v="Merge 1+2"/>
    <n v="464"/>
    <n v="464"/>
    <n v="0"/>
    <x v="20"/>
    <n v="1"/>
    <n v="0"/>
    <n v="1"/>
    <x v="8"/>
    <b v="0"/>
    <n v="5"/>
    <n v="1"/>
    <n v="0.2"/>
    <n v="0.18179999999999999"/>
    <n v="0.18179999999999999"/>
    <n v="0.47"/>
    <n v="0.32840000000000003"/>
    <n v="7"/>
    <n v="210"/>
    <n v="217"/>
    <x v="1"/>
    <x v="0"/>
    <s v="Winter"/>
    <s v="Friday"/>
    <x v="1"/>
    <n v="1.4"/>
    <n v="-4"/>
    <n v="47"/>
    <n v="22"/>
    <n v="0.967741935483871"/>
    <x v="2"/>
    <n v="0.71"/>
    <s v=""/>
    <s v="OK"/>
    <s v="No"/>
  </r>
  <r>
    <n v="465"/>
    <s v="Merge 1+2"/>
    <n v="465"/>
    <n v="465"/>
    <n v="0"/>
    <x v="20"/>
    <n v="1"/>
    <n v="0"/>
    <n v="1"/>
    <x v="9"/>
    <b v="0"/>
    <n v="5"/>
    <n v="1"/>
    <n v="0.2"/>
    <n v="0.18179999999999999"/>
    <n v="0.18179999999999999"/>
    <n v="0.51"/>
    <n v="0.35820000000000002"/>
    <n v="7"/>
    <n v="159"/>
    <n v="166"/>
    <x v="1"/>
    <x v="0"/>
    <s v="Winter"/>
    <s v="Friday"/>
    <x v="1"/>
    <n v="1.4"/>
    <n v="-4"/>
    <n v="51"/>
    <n v="24"/>
    <n v="0.95783132530120485"/>
    <x v="2"/>
    <n v="2.13"/>
    <s v=""/>
    <s v="OK"/>
    <s v="No"/>
  </r>
  <r>
    <n v="466"/>
    <s v="Merge 1+2"/>
    <n v="466"/>
    <n v="466"/>
    <n v="0"/>
    <x v="20"/>
    <n v="1"/>
    <n v="0"/>
    <n v="1"/>
    <x v="10"/>
    <b v="0"/>
    <n v="5"/>
    <n v="1"/>
    <n v="0.2"/>
    <n v="0.16669999999999999"/>
    <n v="0.16669999999999999"/>
    <n v="0.47"/>
    <n v="0.4627"/>
    <n v="6"/>
    <n v="57"/>
    <n v="63"/>
    <x v="1"/>
    <x v="0"/>
    <s v="Winter"/>
    <s v="Friday"/>
    <x v="1"/>
    <n v="1.4"/>
    <n v="-5"/>
    <n v="47"/>
    <n v="31"/>
    <n v="0.90476190476190477"/>
    <x v="0"/>
    <n v="1.4"/>
    <s v=""/>
    <s v="OK"/>
    <s v="No"/>
  </r>
  <r>
    <n v="467"/>
    <s v="Merge 1+2"/>
    <n v="467"/>
    <n v="467"/>
    <n v="0"/>
    <x v="20"/>
    <n v="1"/>
    <n v="0"/>
    <n v="1"/>
    <x v="11"/>
    <b v="0"/>
    <n v="5"/>
    <n v="1"/>
    <n v="0.22"/>
    <n v="0.18179999999999999"/>
    <n v="0.18179999999999999"/>
    <n v="0.41"/>
    <n v="0.4627"/>
    <n v="6"/>
    <n v="53"/>
    <n v="59"/>
    <x v="1"/>
    <x v="0"/>
    <s v="Winter"/>
    <s v="Friday"/>
    <x v="1"/>
    <n v="2.2999999999999998"/>
    <n v="-4"/>
    <n v="41"/>
    <n v="31"/>
    <n v="0.89830508474576276"/>
    <x v="0"/>
    <n v="0.8"/>
    <s v=""/>
    <s v="OK"/>
    <s v="No"/>
  </r>
  <r>
    <n v="468"/>
    <s v="Merge 1+2"/>
    <n v="468"/>
    <n v="468"/>
    <n v="0"/>
    <x v="20"/>
    <n v="1"/>
    <n v="0"/>
    <n v="1"/>
    <x v="12"/>
    <b v="0"/>
    <n v="5"/>
    <n v="1"/>
    <n v="0.22"/>
    <n v="0.18179999999999999"/>
    <n v="0.18179999999999999"/>
    <n v="0.27"/>
    <n v="0.58209999999999995"/>
    <n v="11"/>
    <n v="67"/>
    <n v="78"/>
    <x v="1"/>
    <x v="0"/>
    <s v="Winter"/>
    <s v="Friday"/>
    <x v="2"/>
    <n v="2.2999999999999998"/>
    <n v="-4"/>
    <n v="27"/>
    <n v="39"/>
    <n v="0.85897435897435892"/>
    <x v="0"/>
    <n v="0.74"/>
    <s v=""/>
    <s v="OK"/>
    <s v="No"/>
  </r>
  <r>
    <n v="469"/>
    <s v="Merge 1+2"/>
    <n v="469"/>
    <n v="469"/>
    <n v="0"/>
    <x v="20"/>
    <n v="1"/>
    <n v="0"/>
    <n v="1"/>
    <x v="13"/>
    <b v="0"/>
    <n v="5"/>
    <n v="1"/>
    <n v="0.2"/>
    <n v="0.1515"/>
    <n v="0.1515"/>
    <n v="0.21"/>
    <n v="0.58209999999999995"/>
    <n v="8"/>
    <n v="65"/>
    <n v="73"/>
    <x v="1"/>
    <x v="0"/>
    <s v="Winter"/>
    <s v="Friday"/>
    <x v="2"/>
    <n v="1.4"/>
    <n v="-6"/>
    <n v="21"/>
    <n v="39"/>
    <n v="0.8904109589041096"/>
    <x v="0"/>
    <n v="0.34"/>
    <s v=""/>
    <s v="OK"/>
    <s v="No"/>
  </r>
  <r>
    <n v="470"/>
    <s v="Merge 1+2"/>
    <n v="470"/>
    <n v="470"/>
    <n v="0"/>
    <x v="20"/>
    <n v="1"/>
    <n v="0"/>
    <n v="1"/>
    <x v="14"/>
    <b v="0"/>
    <n v="5"/>
    <n v="1"/>
    <n v="0.2"/>
    <n v="0.1515"/>
    <n v="0.1515"/>
    <n v="0.25"/>
    <n v="0.52239999999999998"/>
    <n v="6"/>
    <n v="56"/>
    <n v="62"/>
    <x v="1"/>
    <x v="0"/>
    <s v="Winter"/>
    <s v="Friday"/>
    <x v="2"/>
    <n v="1.4"/>
    <n v="-6"/>
    <n v="25"/>
    <n v="35"/>
    <n v="0.90322580645161288"/>
    <x v="0"/>
    <n v="0.15"/>
    <s v=""/>
    <s v="OK"/>
    <s v="No"/>
  </r>
  <r>
    <n v="471"/>
    <s v="Merge 1+2"/>
    <n v="471"/>
    <n v="471"/>
    <n v="0"/>
    <x v="20"/>
    <n v="1"/>
    <n v="0"/>
    <n v="1"/>
    <x v="15"/>
    <b v="0"/>
    <n v="5"/>
    <n v="1"/>
    <n v="0.16"/>
    <n v="0.1212"/>
    <n v="0.1212"/>
    <n v="0.26"/>
    <n v="0.44779999999999998"/>
    <n v="4"/>
    <n v="61"/>
    <n v="65"/>
    <x v="1"/>
    <x v="0"/>
    <s v="Winter"/>
    <s v="Friday"/>
    <x v="2"/>
    <n v="-0.5"/>
    <n v="-8"/>
    <n v="26"/>
    <n v="30"/>
    <n v="0.93846153846153846"/>
    <x v="0"/>
    <n v="0.33"/>
    <s v=""/>
    <s v="OK"/>
    <s v="No"/>
  </r>
  <r>
    <n v="472"/>
    <s v="Merge 1+2"/>
    <n v="472"/>
    <n v="472"/>
    <n v="0"/>
    <x v="20"/>
    <n v="1"/>
    <n v="0"/>
    <n v="1"/>
    <x v="16"/>
    <b v="0"/>
    <n v="5"/>
    <n v="1"/>
    <n v="0.16"/>
    <n v="0.13639999999999999"/>
    <n v="0.13639999999999999"/>
    <n v="0.26"/>
    <n v="0.35820000000000002"/>
    <n v="0"/>
    <n v="97"/>
    <n v="97"/>
    <x v="1"/>
    <x v="0"/>
    <s v="Winter"/>
    <s v="Friday"/>
    <x v="2"/>
    <n v="-0.5"/>
    <n v="-7"/>
    <n v="26"/>
    <n v="24"/>
    <n v="1"/>
    <x v="2"/>
    <n v="0.68"/>
    <s v=""/>
    <s v="OK"/>
    <s v="No"/>
  </r>
  <r>
    <n v="473"/>
    <s v="Merge 1+2"/>
    <n v="473"/>
    <n v="473"/>
    <n v="0"/>
    <x v="20"/>
    <n v="1"/>
    <n v="0"/>
    <n v="1"/>
    <x v="17"/>
    <b v="0"/>
    <n v="5"/>
    <n v="1"/>
    <n v="0.14000000000000001"/>
    <n v="0.1212"/>
    <n v="0.1212"/>
    <n v="0.28000000000000003"/>
    <n v="0.35820000000000002"/>
    <n v="10"/>
    <n v="151"/>
    <n v="161"/>
    <x v="1"/>
    <x v="0"/>
    <s v="Winter"/>
    <s v="Friday"/>
    <x v="2"/>
    <n v="-1.4"/>
    <n v="-8"/>
    <n v="28"/>
    <n v="24"/>
    <n v="0.93788819875776397"/>
    <x v="2"/>
    <n v="-0.19"/>
    <s v=""/>
    <s v="OK"/>
    <s v="No"/>
  </r>
  <r>
    <n v="474"/>
    <s v="Merge 1+2"/>
    <n v="474"/>
    <n v="474"/>
    <n v="0"/>
    <x v="20"/>
    <n v="1"/>
    <n v="0"/>
    <n v="1"/>
    <x v="18"/>
    <b v="0"/>
    <n v="5"/>
    <n v="1"/>
    <n v="0.12"/>
    <n v="0.1212"/>
    <n v="0.1212"/>
    <n v="0.3"/>
    <n v="0.25369999999999998"/>
    <n v="1"/>
    <n v="119"/>
    <n v="120"/>
    <x v="1"/>
    <x v="0"/>
    <s v="Winter"/>
    <s v="Friday"/>
    <x v="3"/>
    <n v="-2.4"/>
    <n v="-8"/>
    <n v="30"/>
    <n v="17"/>
    <n v="0.9916666666666667"/>
    <x v="2"/>
    <n v="-1.21"/>
    <s v=""/>
    <s v="OK"/>
    <s v="No"/>
  </r>
  <r>
    <n v="475"/>
    <s v="Merge 1+2"/>
    <n v="475"/>
    <n v="475"/>
    <n v="0"/>
    <x v="20"/>
    <n v="1"/>
    <n v="0"/>
    <n v="1"/>
    <x v="19"/>
    <b v="0"/>
    <n v="5"/>
    <n v="1"/>
    <n v="0.12"/>
    <n v="0.1061"/>
    <n v="0.1061"/>
    <n v="0.3"/>
    <n v="0.32840000000000003"/>
    <n v="3"/>
    <n v="93"/>
    <n v="96"/>
    <x v="1"/>
    <x v="0"/>
    <s v="Winter"/>
    <s v="Friday"/>
    <x v="3"/>
    <n v="-2.4"/>
    <n v="-9"/>
    <n v="30"/>
    <n v="22"/>
    <n v="0.96875"/>
    <x v="2"/>
    <n v="-0.38"/>
    <s v=""/>
    <s v="OK"/>
    <s v="No"/>
  </r>
  <r>
    <n v="476"/>
    <s v="Merge 1+2"/>
    <n v="476"/>
    <n v="476"/>
    <n v="0"/>
    <x v="20"/>
    <n v="1"/>
    <n v="0"/>
    <n v="1"/>
    <x v="20"/>
    <b v="0"/>
    <n v="5"/>
    <n v="1"/>
    <n v="0.1"/>
    <n v="7.5800000000000006E-2"/>
    <n v="7.5800000000000006E-2"/>
    <n v="0.33"/>
    <n v="0.41789999999999999"/>
    <n v="1"/>
    <n v="52"/>
    <n v="53"/>
    <x v="1"/>
    <x v="0"/>
    <s v="Winter"/>
    <s v="Friday"/>
    <x v="3"/>
    <n v="-3.3"/>
    <n v="-11"/>
    <n v="33"/>
    <n v="28"/>
    <n v="0.98113207547169812"/>
    <x v="0"/>
    <n v="-0.98"/>
    <s v=""/>
    <s v="OK"/>
    <s v="No"/>
  </r>
  <r>
    <n v="477"/>
    <s v="Merge 1+2"/>
    <n v="477"/>
    <n v="477"/>
    <n v="0"/>
    <x v="20"/>
    <n v="1"/>
    <n v="0"/>
    <n v="1"/>
    <x v="21"/>
    <b v="0"/>
    <n v="5"/>
    <n v="1"/>
    <n v="0.08"/>
    <n v="7.5800000000000006E-2"/>
    <n v="7.5800000000000006E-2"/>
    <n v="0.38"/>
    <n v="0.28360000000000002"/>
    <n v="0"/>
    <n v="41"/>
    <n v="41"/>
    <x v="1"/>
    <x v="0"/>
    <s v="Winter"/>
    <s v="Friday"/>
    <x v="3"/>
    <n v="-4.2"/>
    <n v="-11"/>
    <n v="38"/>
    <n v="19"/>
    <n v="1"/>
    <x v="0"/>
    <n v="-0.81"/>
    <s v=""/>
    <s v="OK"/>
    <s v="No"/>
  </r>
  <r>
    <n v="478"/>
    <s v="Merge 1+2"/>
    <n v="478"/>
    <n v="478"/>
    <n v="0"/>
    <x v="20"/>
    <n v="1"/>
    <n v="0"/>
    <n v="1"/>
    <x v="22"/>
    <b v="0"/>
    <n v="5"/>
    <n v="1"/>
    <n v="0.06"/>
    <n v="3.0300000000000001E-2"/>
    <n v="3.0300000000000001E-2"/>
    <n v="0.41"/>
    <n v="0.3881"/>
    <n v="1"/>
    <n v="33"/>
    <n v="34"/>
    <x v="1"/>
    <x v="0"/>
    <s v="Winter"/>
    <s v="Friday"/>
    <x v="3"/>
    <n v="-5.2"/>
    <n v="-14"/>
    <n v="41"/>
    <n v="26"/>
    <n v="0.97058823529411764"/>
    <x v="0"/>
    <n v="-0.4"/>
    <s v=""/>
    <s v="OK"/>
    <s v="No"/>
  </r>
  <r>
    <n v="479"/>
    <s v="Merge 1+2"/>
    <n v="479"/>
    <n v="479"/>
    <n v="0"/>
    <x v="20"/>
    <n v="1"/>
    <n v="0"/>
    <n v="1"/>
    <x v="23"/>
    <b v="0"/>
    <n v="5"/>
    <n v="1"/>
    <n v="0.06"/>
    <n v="4.5499999999999999E-2"/>
    <n v="4.5499999999999999E-2"/>
    <n v="0.38"/>
    <n v="0.32840000000000003"/>
    <n v="0"/>
    <n v="27"/>
    <n v="27"/>
    <x v="1"/>
    <x v="0"/>
    <s v="Winter"/>
    <s v="Friday"/>
    <x v="3"/>
    <n v="-5.2"/>
    <n v="-13"/>
    <n v="38"/>
    <n v="22"/>
    <n v="1"/>
    <x v="0"/>
    <n v="0.26"/>
    <s v=""/>
    <s v="OK"/>
    <s v="No"/>
  </r>
  <r>
    <n v="480"/>
    <s v="Merge 1+2"/>
    <n v="480"/>
    <n v="480"/>
    <n v="0"/>
    <x v="21"/>
    <n v="1"/>
    <n v="0"/>
    <n v="1"/>
    <x v="0"/>
    <b v="0"/>
    <n v="6"/>
    <n v="1"/>
    <n v="0.04"/>
    <n v="3.0300000000000001E-2"/>
    <n v="3.0300000000000001E-2"/>
    <n v="0.45"/>
    <n v="0.25369999999999998"/>
    <n v="0"/>
    <n v="13"/>
    <n v="13"/>
    <x v="0"/>
    <x v="0"/>
    <s v="Winter"/>
    <s v="Saturday"/>
    <x v="0"/>
    <n v="-6.1"/>
    <n v="-14"/>
    <n v="45"/>
    <n v="17"/>
    <n v="1"/>
    <x v="1"/>
    <n v="-1.57"/>
    <s v=""/>
    <s v="OK"/>
    <s v="No"/>
  </r>
  <r>
    <n v="481"/>
    <s v="Merge 1+2"/>
    <n v="481"/>
    <n v="481"/>
    <n v="0"/>
    <x v="21"/>
    <n v="1"/>
    <n v="0"/>
    <n v="1"/>
    <x v="1"/>
    <b v="0"/>
    <n v="6"/>
    <n v="2"/>
    <n v="0.04"/>
    <n v="0"/>
    <n v="0"/>
    <n v="0.41"/>
    <n v="0.3881"/>
    <n v="3"/>
    <n v="9"/>
    <n v="12"/>
    <x v="0"/>
    <x v="1"/>
    <s v="Winter"/>
    <s v="Saturday"/>
    <x v="0"/>
    <n v="-6.1"/>
    <n v="-16"/>
    <n v="41"/>
    <n v="26"/>
    <n v="0.75"/>
    <x v="1"/>
    <n v="-1.04"/>
    <s v=""/>
    <s v="OK"/>
    <s v="No"/>
  </r>
  <r>
    <n v="482"/>
    <s v="Merge 1+2"/>
    <n v="482"/>
    <n v="482"/>
    <n v="0"/>
    <x v="21"/>
    <n v="1"/>
    <n v="0"/>
    <n v="1"/>
    <x v="2"/>
    <b v="0"/>
    <n v="6"/>
    <n v="2"/>
    <n v="0.04"/>
    <n v="3.0300000000000001E-2"/>
    <n v="3.0300000000000001E-2"/>
    <n v="0.41"/>
    <n v="0.25369999999999998"/>
    <n v="0"/>
    <n v="11"/>
    <n v="11"/>
    <x v="0"/>
    <x v="1"/>
    <s v="Winter"/>
    <s v="Saturday"/>
    <x v="0"/>
    <n v="-6.1"/>
    <n v="-14"/>
    <n v="41"/>
    <n v="17"/>
    <n v="1"/>
    <x v="1"/>
    <n v="-0.74"/>
    <s v=""/>
    <s v="OK"/>
    <s v="No"/>
  </r>
  <r>
    <n v="483"/>
    <s v="Merge 1+2"/>
    <n v="483"/>
    <n v="483"/>
    <n v="0"/>
    <x v="21"/>
    <n v="1"/>
    <n v="0"/>
    <n v="1"/>
    <x v="3"/>
    <b v="0"/>
    <n v="6"/>
    <n v="2"/>
    <n v="0.04"/>
    <n v="3.0300000000000001E-2"/>
    <n v="3.0300000000000001E-2"/>
    <n v="0.41"/>
    <n v="0.28360000000000002"/>
    <n v="1"/>
    <n v="6"/>
    <n v="7"/>
    <x v="0"/>
    <x v="1"/>
    <s v="Winter"/>
    <s v="Saturday"/>
    <x v="0"/>
    <n v="-6.1"/>
    <n v="-14"/>
    <n v="41"/>
    <n v="19"/>
    <n v="0.8571428571428571"/>
    <x v="1"/>
    <n v="-0.43"/>
    <s v=""/>
    <s v="OK"/>
    <s v="No"/>
  </r>
  <r>
    <n v="484"/>
    <s v="Merge 1+2"/>
    <n v="484"/>
    <n v="484"/>
    <n v="0"/>
    <x v="21"/>
    <n v="1"/>
    <n v="0"/>
    <n v="1"/>
    <x v="4"/>
    <b v="0"/>
    <n v="6"/>
    <n v="2"/>
    <n v="0.02"/>
    <n v="1.52E-2"/>
    <n v="1.52E-2"/>
    <n v="0.48"/>
    <n v="0.29849999999999999"/>
    <n v="0"/>
    <n v="3"/>
    <n v="3"/>
    <x v="0"/>
    <x v="1"/>
    <s v="Winter"/>
    <s v="Saturday"/>
    <x v="0"/>
    <n v="-7.1"/>
    <n v="-15"/>
    <n v="48"/>
    <n v="20"/>
    <n v="1"/>
    <x v="1"/>
    <n v="0.14000000000000001"/>
    <s v=""/>
    <s v="OK"/>
    <s v="No"/>
  </r>
  <r>
    <n v="485"/>
    <s v="Merge 1+2"/>
    <n v="485"/>
    <n v="485"/>
    <n v="0"/>
    <x v="21"/>
    <n v="1"/>
    <n v="0"/>
    <n v="1"/>
    <x v="6"/>
    <b v="0"/>
    <n v="6"/>
    <n v="2"/>
    <n v="0.02"/>
    <n v="3.0300000000000001E-2"/>
    <n v="3.0300000000000001E-2"/>
    <n v="0.44"/>
    <n v="0.22389999999999999"/>
    <n v="0"/>
    <n v="2"/>
    <n v="2"/>
    <x v="0"/>
    <x v="1"/>
    <s v="Winter"/>
    <s v="Saturday"/>
    <x v="1"/>
    <n v="-7.1"/>
    <n v="-14"/>
    <n v="44"/>
    <n v="15"/>
    <n v="1"/>
    <x v="1"/>
    <n v="-0.26"/>
    <s v=""/>
    <s v="OK"/>
    <s v="No"/>
  </r>
  <r>
    <n v="486"/>
    <s v="Merge 1+2"/>
    <n v="486"/>
    <n v="486"/>
    <n v="0"/>
    <x v="21"/>
    <n v="1"/>
    <n v="0"/>
    <n v="1"/>
    <x v="7"/>
    <b v="0"/>
    <n v="6"/>
    <n v="1"/>
    <n v="0.02"/>
    <n v="1.52E-2"/>
    <n v="1.52E-2"/>
    <n v="0.44"/>
    <n v="0.28360000000000002"/>
    <n v="0"/>
    <n v="8"/>
    <n v="8"/>
    <x v="0"/>
    <x v="0"/>
    <s v="Winter"/>
    <s v="Saturday"/>
    <x v="1"/>
    <n v="-7.1"/>
    <n v="-15"/>
    <n v="44"/>
    <n v="19"/>
    <n v="1"/>
    <x v="1"/>
    <n v="0.56000000000000005"/>
    <s v=""/>
    <s v="OK"/>
    <s v="No"/>
  </r>
  <r>
    <n v="487"/>
    <s v="Merge 1+2"/>
    <n v="487"/>
    <n v="487"/>
    <n v="0"/>
    <x v="21"/>
    <n v="1"/>
    <n v="0"/>
    <n v="1"/>
    <x v="8"/>
    <b v="0"/>
    <n v="6"/>
    <n v="1"/>
    <n v="0.02"/>
    <n v="0"/>
    <n v="0"/>
    <n v="0.44"/>
    <n v="0.32840000000000003"/>
    <n v="1"/>
    <n v="26"/>
    <n v="27"/>
    <x v="0"/>
    <x v="0"/>
    <s v="Winter"/>
    <s v="Saturday"/>
    <x v="1"/>
    <n v="-7.1"/>
    <n v="-16"/>
    <n v="44"/>
    <n v="22"/>
    <n v="0.96296296296296291"/>
    <x v="0"/>
    <n v="0.9"/>
    <s v=""/>
    <s v="OK"/>
    <s v="No"/>
  </r>
  <r>
    <n v="488"/>
    <s v="Merge 1+2"/>
    <n v="488"/>
    <n v="488"/>
    <n v="0"/>
    <x v="21"/>
    <n v="1"/>
    <n v="0"/>
    <n v="1"/>
    <x v="9"/>
    <b v="0"/>
    <n v="6"/>
    <n v="1"/>
    <n v="0.04"/>
    <n v="3.0300000000000001E-2"/>
    <n v="3.0300000000000001E-2"/>
    <n v="0.41"/>
    <n v="0.25369999999999998"/>
    <n v="3"/>
    <n v="37"/>
    <n v="40"/>
    <x v="0"/>
    <x v="0"/>
    <s v="Winter"/>
    <s v="Saturday"/>
    <x v="1"/>
    <n v="-6.1"/>
    <n v="-14"/>
    <n v="41"/>
    <n v="17"/>
    <n v="0.92500000000000004"/>
    <x v="0"/>
    <n v="0.71"/>
    <s v=""/>
    <s v="OK"/>
    <s v="No"/>
  </r>
  <r>
    <n v="489"/>
    <s v="Merge 1+2"/>
    <n v="489"/>
    <n v="489"/>
    <n v="0"/>
    <x v="21"/>
    <n v="1"/>
    <n v="0"/>
    <n v="1"/>
    <x v="10"/>
    <b v="0"/>
    <n v="6"/>
    <n v="2"/>
    <n v="0.04"/>
    <n v="6.0600000000000001E-2"/>
    <n v="6.0600000000000001E-2"/>
    <n v="0.41"/>
    <n v="0.16420000000000001"/>
    <n v="3"/>
    <n v="50"/>
    <n v="53"/>
    <x v="0"/>
    <x v="1"/>
    <s v="Winter"/>
    <s v="Saturday"/>
    <x v="1"/>
    <n v="-6.1"/>
    <n v="-12"/>
    <n v="41"/>
    <n v="11"/>
    <n v="0.94339622641509435"/>
    <x v="0"/>
    <n v="-0.49"/>
    <s v=""/>
    <s v="OK"/>
    <s v="No"/>
  </r>
  <r>
    <n v="490"/>
    <s v="Merge 1+2"/>
    <n v="490"/>
    <n v="490"/>
    <n v="0"/>
    <x v="21"/>
    <n v="1"/>
    <n v="0"/>
    <n v="1"/>
    <x v="11"/>
    <b v="0"/>
    <n v="6"/>
    <n v="2"/>
    <n v="0.06"/>
    <n v="7.5800000000000006E-2"/>
    <n v="7.5800000000000006E-2"/>
    <n v="0.38"/>
    <n v="0.1343"/>
    <n v="4"/>
    <n v="59"/>
    <n v="63"/>
    <x v="0"/>
    <x v="1"/>
    <s v="Winter"/>
    <s v="Saturday"/>
    <x v="1"/>
    <n v="-5.2"/>
    <n v="-11"/>
    <n v="38"/>
    <n v="9"/>
    <n v="0.93650793650793651"/>
    <x v="0"/>
    <n v="-0.54"/>
    <s v=""/>
    <s v="OK"/>
    <s v="No"/>
  </r>
  <r>
    <n v="491"/>
    <s v="Merge 1+2"/>
    <n v="491"/>
    <n v="491"/>
    <n v="0"/>
    <x v="21"/>
    <n v="1"/>
    <n v="0"/>
    <n v="1"/>
    <x v="12"/>
    <b v="0"/>
    <n v="6"/>
    <n v="2"/>
    <n v="0.06"/>
    <n v="0.1061"/>
    <n v="0.1061"/>
    <n v="0.38"/>
    <n v="0.1045"/>
    <n v="10"/>
    <n v="60"/>
    <n v="70"/>
    <x v="0"/>
    <x v="1"/>
    <s v="Winter"/>
    <s v="Saturday"/>
    <x v="2"/>
    <n v="-5.2"/>
    <n v="-9"/>
    <n v="38"/>
    <n v="7"/>
    <n v="0.8571428571428571"/>
    <x v="0"/>
    <n v="-0.94"/>
    <s v=""/>
    <s v="OK"/>
    <s v="No"/>
  </r>
  <r>
    <n v="492"/>
    <s v="Merge 1+2"/>
    <n v="492"/>
    <n v="492"/>
    <n v="0"/>
    <x v="21"/>
    <n v="1"/>
    <n v="0"/>
    <n v="1"/>
    <x v="13"/>
    <b v="0"/>
    <n v="6"/>
    <n v="1"/>
    <n v="0.08"/>
    <n v="0.16669999999999999"/>
    <n v="0.16669999999999999"/>
    <n v="0.35"/>
    <n v="0"/>
    <n v="12"/>
    <n v="72"/>
    <n v="84"/>
    <x v="0"/>
    <x v="0"/>
    <s v="Winter"/>
    <s v="Saturday"/>
    <x v="2"/>
    <n v="-4.2"/>
    <n v="-5"/>
    <n v="35"/>
    <n v="0"/>
    <n v="0.8571428571428571"/>
    <x v="2"/>
    <n v="-0.53"/>
    <s v=""/>
    <s v="OK"/>
    <s v="No"/>
  </r>
  <r>
    <n v="493"/>
    <s v="Merge 1+2"/>
    <n v="493"/>
    <n v="493"/>
    <n v="0"/>
    <x v="21"/>
    <n v="1"/>
    <n v="0"/>
    <n v="1"/>
    <x v="14"/>
    <b v="0"/>
    <n v="6"/>
    <n v="1"/>
    <n v="0.1"/>
    <n v="0.13639999999999999"/>
    <n v="0.13639999999999999"/>
    <n v="0.33"/>
    <n v="0.1045"/>
    <n v="11"/>
    <n v="64"/>
    <n v="75"/>
    <x v="0"/>
    <x v="0"/>
    <s v="Winter"/>
    <s v="Saturday"/>
    <x v="2"/>
    <n v="-3.3"/>
    <n v="-7"/>
    <n v="33"/>
    <n v="7"/>
    <n v="0.85333333333333339"/>
    <x v="0"/>
    <n v="-0.85"/>
    <s v=""/>
    <s v="OK"/>
    <s v="No"/>
  </r>
  <r>
    <n v="494"/>
    <s v="Merge 1+2"/>
    <n v="494"/>
    <n v="494"/>
    <n v="0"/>
    <x v="21"/>
    <n v="1"/>
    <n v="0"/>
    <n v="1"/>
    <x v="15"/>
    <b v="0"/>
    <n v="6"/>
    <n v="1"/>
    <n v="0.12"/>
    <n v="0.1515"/>
    <n v="0.1515"/>
    <n v="0.28000000000000003"/>
    <n v="0"/>
    <n v="10"/>
    <n v="93"/>
    <n v="103"/>
    <x v="0"/>
    <x v="0"/>
    <s v="Winter"/>
    <s v="Saturday"/>
    <x v="2"/>
    <n v="-2.4"/>
    <n v="-6"/>
    <n v="28"/>
    <n v="0"/>
    <n v="0.90291262135922334"/>
    <x v="2"/>
    <n v="-0.21"/>
    <s v=""/>
    <s v="OK"/>
    <s v="No"/>
  </r>
  <r>
    <n v="495"/>
    <s v="Merge 1+2"/>
    <n v="495"/>
    <n v="495"/>
    <n v="0"/>
    <x v="21"/>
    <n v="1"/>
    <n v="0"/>
    <n v="1"/>
    <x v="16"/>
    <b v="0"/>
    <n v="6"/>
    <n v="1"/>
    <n v="0.12"/>
    <n v="0.13639999999999999"/>
    <n v="0.13639999999999999"/>
    <n v="0.28000000000000003"/>
    <n v="0.19400000000000001"/>
    <n v="11"/>
    <n v="72"/>
    <n v="83"/>
    <x v="0"/>
    <x v="0"/>
    <s v="Winter"/>
    <s v="Saturday"/>
    <x v="2"/>
    <n v="-2.4"/>
    <n v="-7"/>
    <n v="28"/>
    <n v="13"/>
    <n v="0.86746987951807231"/>
    <x v="2"/>
    <n v="-0.66"/>
    <s v=""/>
    <s v="OK"/>
    <s v="No"/>
  </r>
  <r>
    <n v="496"/>
    <s v="Merge 1+2"/>
    <n v="496"/>
    <n v="496"/>
    <n v="0"/>
    <x v="21"/>
    <n v="1"/>
    <n v="0"/>
    <n v="1"/>
    <x v="17"/>
    <b v="0"/>
    <n v="6"/>
    <n v="1"/>
    <n v="0.12"/>
    <n v="0.19700000000000001"/>
    <n v="0.19700000000000001"/>
    <n v="0.28000000000000003"/>
    <n v="0"/>
    <n v="8"/>
    <n v="59"/>
    <n v="67"/>
    <x v="0"/>
    <x v="0"/>
    <s v="Winter"/>
    <s v="Saturday"/>
    <x v="2"/>
    <n v="-2.4"/>
    <n v="-3"/>
    <n v="28"/>
    <n v="0"/>
    <n v="0.88059701492537312"/>
    <x v="0"/>
    <n v="-0.7"/>
    <s v=""/>
    <s v="OK"/>
    <s v="No"/>
  </r>
  <r>
    <n v="497"/>
    <s v="Merge 1+2"/>
    <n v="497"/>
    <n v="497"/>
    <n v="0"/>
    <x v="21"/>
    <n v="1"/>
    <n v="0"/>
    <n v="1"/>
    <x v="18"/>
    <b v="0"/>
    <n v="6"/>
    <n v="1"/>
    <n v="0.08"/>
    <n v="9.0899999999999995E-2"/>
    <n v="9.0899999999999995E-2"/>
    <n v="0.35"/>
    <n v="0.19400000000000001"/>
    <n v="0"/>
    <n v="54"/>
    <n v="54"/>
    <x v="0"/>
    <x v="0"/>
    <s v="Winter"/>
    <s v="Saturday"/>
    <x v="3"/>
    <n v="-4.2"/>
    <n v="-10"/>
    <n v="35"/>
    <n v="13"/>
    <n v="1"/>
    <x v="0"/>
    <n v="-0.69"/>
    <s v=""/>
    <s v="OK"/>
    <s v="No"/>
  </r>
  <r>
    <n v="498"/>
    <s v="Merge 1+2"/>
    <n v="498"/>
    <n v="498"/>
    <n v="0"/>
    <x v="21"/>
    <n v="1"/>
    <n v="0"/>
    <n v="1"/>
    <x v="19"/>
    <b v="0"/>
    <n v="6"/>
    <n v="1"/>
    <n v="0.08"/>
    <n v="0.1061"/>
    <n v="0.1061"/>
    <n v="0.35"/>
    <n v="0.1343"/>
    <n v="6"/>
    <n v="53"/>
    <n v="59"/>
    <x v="0"/>
    <x v="0"/>
    <s v="Winter"/>
    <s v="Saturday"/>
    <x v="3"/>
    <n v="-4.2"/>
    <n v="-9"/>
    <n v="35"/>
    <n v="9"/>
    <n v="0.89830508474576276"/>
    <x v="0"/>
    <n v="0.47"/>
    <s v=""/>
    <s v="OK"/>
    <s v="No"/>
  </r>
  <r>
    <n v="499"/>
    <s v="Merge 1+2"/>
    <n v="499"/>
    <n v="499"/>
    <n v="0"/>
    <x v="21"/>
    <n v="1"/>
    <n v="0"/>
    <n v="1"/>
    <x v="20"/>
    <b v="0"/>
    <n v="6"/>
    <n v="1"/>
    <n v="0.06"/>
    <n v="7.5800000000000006E-2"/>
    <n v="7.5800000000000006E-2"/>
    <n v="0.45"/>
    <n v="0.16420000000000001"/>
    <n v="1"/>
    <n v="44"/>
    <n v="45"/>
    <x v="0"/>
    <x v="0"/>
    <s v="Winter"/>
    <s v="Saturday"/>
    <x v="3"/>
    <n v="-5.2"/>
    <n v="-11"/>
    <n v="45"/>
    <n v="11"/>
    <n v="0.97777777777777775"/>
    <x v="0"/>
    <n v="0.46"/>
    <s v=""/>
    <s v="OK"/>
    <s v="No"/>
  </r>
  <r>
    <n v="500"/>
    <s v="Merge 1+2"/>
    <n v="500"/>
    <n v="500"/>
    <n v="0"/>
    <x v="21"/>
    <n v="1"/>
    <n v="0"/>
    <n v="1"/>
    <x v="21"/>
    <b v="0"/>
    <n v="6"/>
    <n v="1"/>
    <n v="0.06"/>
    <n v="0.1061"/>
    <n v="0.1061"/>
    <n v="0.41"/>
    <n v="8.9599999999999999E-2"/>
    <n v="0"/>
    <n v="39"/>
    <n v="39"/>
    <x v="0"/>
    <x v="0"/>
    <s v="Winter"/>
    <s v="Saturday"/>
    <x v="3"/>
    <n v="-5.2"/>
    <n v="-9"/>
    <n v="41"/>
    <n v="6"/>
    <n v="1"/>
    <x v="0"/>
    <n v="0.21"/>
    <s v=""/>
    <s v="OK"/>
    <s v="No"/>
  </r>
  <r>
    <n v="501"/>
    <s v="Merge 1+2"/>
    <n v="501"/>
    <n v="501"/>
    <n v="0"/>
    <x v="21"/>
    <n v="1"/>
    <n v="0"/>
    <n v="1"/>
    <x v="22"/>
    <b v="0"/>
    <n v="6"/>
    <n v="1"/>
    <n v="0.06"/>
    <n v="0.1515"/>
    <n v="0.1515"/>
    <n v="0.49"/>
    <n v="0"/>
    <n v="7"/>
    <n v="23"/>
    <n v="30"/>
    <x v="0"/>
    <x v="0"/>
    <s v="Winter"/>
    <s v="Saturday"/>
    <x v="3"/>
    <n v="-5.2"/>
    <n v="-6"/>
    <n v="49"/>
    <n v="0"/>
    <n v="0.76666666666666672"/>
    <x v="0"/>
    <n v="0.02"/>
    <s v=""/>
    <s v="OK"/>
    <s v="No"/>
  </r>
  <r>
    <n v="502"/>
    <s v="Merge 1+2"/>
    <n v="502"/>
    <n v="502"/>
    <n v="0"/>
    <x v="21"/>
    <n v="1"/>
    <n v="0"/>
    <n v="1"/>
    <x v="23"/>
    <b v="0"/>
    <n v="6"/>
    <n v="1"/>
    <n v="0.04"/>
    <n v="7.5800000000000006E-2"/>
    <n v="7.5800000000000006E-2"/>
    <n v="0.56999999999999995"/>
    <n v="0.1045"/>
    <n v="2"/>
    <n v="31"/>
    <n v="33"/>
    <x v="0"/>
    <x v="0"/>
    <s v="Winter"/>
    <s v="Saturday"/>
    <x v="3"/>
    <n v="-6.1"/>
    <n v="-11"/>
    <n v="57"/>
    <n v="7"/>
    <n v="0.93939393939393945"/>
    <x v="0"/>
    <n v="0.43"/>
    <s v=""/>
    <s v="OK"/>
    <s v="No"/>
  </r>
  <r>
    <n v="503"/>
    <s v="Merge 1+2"/>
    <n v="503"/>
    <n v="503"/>
    <n v="0"/>
    <x v="22"/>
    <n v="1"/>
    <n v="0"/>
    <n v="1"/>
    <x v="0"/>
    <b v="0"/>
    <n v="0"/>
    <n v="1"/>
    <n v="0.04"/>
    <n v="7.5800000000000006E-2"/>
    <n v="7.5800000000000006E-2"/>
    <n v="0.56999999999999995"/>
    <n v="0.1045"/>
    <n v="2"/>
    <n v="20"/>
    <n v="22"/>
    <x v="0"/>
    <x v="0"/>
    <s v="Winter"/>
    <s v="Sunday"/>
    <x v="0"/>
    <n v="-6.1"/>
    <n v="-11"/>
    <n v="57"/>
    <n v="7"/>
    <n v="0.90909090909090906"/>
    <x v="0"/>
    <n v="-0.57999999999999996"/>
    <s v=""/>
    <s v="OK"/>
    <s v="No"/>
  </r>
  <r>
    <n v="504"/>
    <s v="Merge 1+2"/>
    <n v="504"/>
    <n v="504"/>
    <n v="0"/>
    <x v="22"/>
    <n v="1"/>
    <n v="0"/>
    <n v="1"/>
    <x v="1"/>
    <b v="0"/>
    <n v="0"/>
    <n v="1"/>
    <n v="0.04"/>
    <n v="7.5800000000000006E-2"/>
    <n v="7.5800000000000006E-2"/>
    <n v="0.56999999999999995"/>
    <n v="0.1045"/>
    <n v="1"/>
    <n v="12"/>
    <n v="13"/>
    <x v="0"/>
    <x v="0"/>
    <s v="Winter"/>
    <s v="Sunday"/>
    <x v="0"/>
    <n v="-6.1"/>
    <n v="-11"/>
    <n v="57"/>
    <n v="7"/>
    <n v="0.92307692307692313"/>
    <x v="1"/>
    <n v="-0.93"/>
    <s v=""/>
    <s v="OK"/>
    <s v="No"/>
  </r>
  <r>
    <n v="505"/>
    <s v="Merge 1+2"/>
    <n v="505"/>
    <n v="505"/>
    <n v="0"/>
    <x v="22"/>
    <n v="1"/>
    <n v="0"/>
    <n v="1"/>
    <x v="2"/>
    <b v="0"/>
    <n v="0"/>
    <n v="1"/>
    <n v="0.02"/>
    <n v="6.0600000000000001E-2"/>
    <n v="6.0600000000000001E-2"/>
    <n v="0.62"/>
    <n v="0.1343"/>
    <n v="3"/>
    <n v="15"/>
    <n v="18"/>
    <x v="0"/>
    <x v="0"/>
    <s v="Winter"/>
    <s v="Sunday"/>
    <x v="0"/>
    <n v="-7.1"/>
    <n v="-12"/>
    <n v="62"/>
    <n v="9"/>
    <n v="0.83333333333333337"/>
    <x v="0"/>
    <n v="0.44"/>
    <s v=""/>
    <s v="OK"/>
    <s v="No"/>
  </r>
  <r>
    <n v="506"/>
    <s v="Merge 1+2"/>
    <n v="506"/>
    <n v="506"/>
    <n v="0"/>
    <x v="22"/>
    <n v="1"/>
    <n v="0"/>
    <n v="1"/>
    <x v="3"/>
    <b v="0"/>
    <n v="0"/>
    <n v="1"/>
    <n v="0.02"/>
    <n v="6.0600000000000001E-2"/>
    <n v="6.0600000000000001E-2"/>
    <n v="0.62"/>
    <n v="0.1343"/>
    <n v="1"/>
    <n v="4"/>
    <n v="5"/>
    <x v="0"/>
    <x v="0"/>
    <s v="Winter"/>
    <s v="Sunday"/>
    <x v="0"/>
    <n v="-7.1"/>
    <n v="-12"/>
    <n v="62"/>
    <n v="9"/>
    <n v="0.8"/>
    <x v="1"/>
    <n v="-0.98"/>
    <s v=""/>
    <s v="OK"/>
    <s v="No"/>
  </r>
  <r>
    <n v="507"/>
    <s v="Merge 1+2"/>
    <n v="507"/>
    <n v="507"/>
    <n v="0"/>
    <x v="22"/>
    <n v="1"/>
    <n v="0"/>
    <n v="1"/>
    <x v="5"/>
    <b v="0"/>
    <n v="0"/>
    <n v="2"/>
    <n v="0.04"/>
    <n v="7.5800000000000006E-2"/>
    <n v="7.5800000000000006E-2"/>
    <n v="0.56999999999999995"/>
    <n v="0.1045"/>
    <n v="0"/>
    <n v="3"/>
    <n v="3"/>
    <x v="0"/>
    <x v="1"/>
    <s v="Winter"/>
    <s v="Sunday"/>
    <x v="0"/>
    <n v="-6.1"/>
    <n v="-11"/>
    <n v="57"/>
    <n v="7"/>
    <n v="1"/>
    <x v="1"/>
    <n v="0.18"/>
    <s v=""/>
    <s v="OK"/>
    <s v="No"/>
  </r>
  <r>
    <n v="508"/>
    <s v="Merge 1+2"/>
    <n v="508"/>
    <n v="508"/>
    <n v="0"/>
    <x v="22"/>
    <n v="1"/>
    <n v="0"/>
    <n v="1"/>
    <x v="6"/>
    <b v="0"/>
    <n v="0"/>
    <n v="2"/>
    <n v="0.04"/>
    <n v="7.5800000000000006E-2"/>
    <n v="7.5800000000000006E-2"/>
    <n v="0.56999999999999995"/>
    <n v="0.1045"/>
    <n v="0"/>
    <n v="1"/>
    <n v="1"/>
    <x v="0"/>
    <x v="1"/>
    <s v="Winter"/>
    <s v="Sunday"/>
    <x v="1"/>
    <n v="-6.1"/>
    <n v="-11"/>
    <n v="57"/>
    <n v="7"/>
    <n v="1"/>
    <x v="1"/>
    <n v="-0.97"/>
    <s v=""/>
    <s v="OK"/>
    <s v="No"/>
  </r>
  <r>
    <n v="509"/>
    <s v="Merge 1+2"/>
    <n v="509"/>
    <n v="509"/>
    <n v="0"/>
    <x v="22"/>
    <n v="1"/>
    <n v="0"/>
    <n v="1"/>
    <x v="7"/>
    <b v="0"/>
    <n v="0"/>
    <n v="1"/>
    <n v="0.08"/>
    <n v="0.1061"/>
    <n v="0.1061"/>
    <n v="0.57999999999999996"/>
    <n v="0.16420000000000001"/>
    <n v="1"/>
    <n v="1"/>
    <n v="2"/>
    <x v="0"/>
    <x v="0"/>
    <s v="Winter"/>
    <s v="Sunday"/>
    <x v="1"/>
    <n v="-4.2"/>
    <n v="-9"/>
    <n v="58"/>
    <n v="11"/>
    <n v="0.5"/>
    <x v="1"/>
    <n v="-1.07"/>
    <s v=""/>
    <s v="OK"/>
    <s v="No"/>
  </r>
  <r>
    <n v="510"/>
    <s v="Merge 1+2"/>
    <n v="510"/>
    <n v="510"/>
    <n v="0"/>
    <x v="22"/>
    <n v="1"/>
    <n v="0"/>
    <n v="1"/>
    <x v="8"/>
    <b v="0"/>
    <n v="0"/>
    <n v="1"/>
    <n v="0.06"/>
    <n v="7.5800000000000006E-2"/>
    <n v="7.5800000000000006E-2"/>
    <n v="0.62"/>
    <n v="0.16420000000000001"/>
    <n v="2"/>
    <n v="17"/>
    <n v="19"/>
    <x v="0"/>
    <x v="0"/>
    <s v="Winter"/>
    <s v="Sunday"/>
    <x v="1"/>
    <n v="-5.2"/>
    <n v="-11"/>
    <n v="62"/>
    <n v="11"/>
    <n v="0.89473684210526316"/>
    <x v="0"/>
    <n v="0.02"/>
    <s v=""/>
    <s v="OK"/>
    <s v="No"/>
  </r>
  <r>
    <n v="511"/>
    <s v="Merge 1+2"/>
    <n v="511"/>
    <n v="511"/>
    <n v="0"/>
    <x v="22"/>
    <n v="1"/>
    <n v="0"/>
    <n v="1"/>
    <x v="9"/>
    <b v="0"/>
    <n v="0"/>
    <n v="1"/>
    <n v="0.1"/>
    <n v="7.5800000000000006E-2"/>
    <n v="7.5800000000000006E-2"/>
    <n v="0.54"/>
    <n v="0.35820000000000002"/>
    <n v="3"/>
    <n v="25"/>
    <n v="28"/>
    <x v="0"/>
    <x v="0"/>
    <s v="Winter"/>
    <s v="Sunday"/>
    <x v="1"/>
    <n v="-3.3"/>
    <n v="-11"/>
    <n v="54"/>
    <n v="24"/>
    <n v="0.8928571428571429"/>
    <x v="0"/>
    <n v="-0.35"/>
    <s v=""/>
    <s v="OK"/>
    <s v="No"/>
  </r>
  <r>
    <n v="512"/>
    <s v="Merge 1+2"/>
    <n v="512"/>
    <n v="512"/>
    <n v="0"/>
    <x v="22"/>
    <n v="1"/>
    <n v="0"/>
    <n v="1"/>
    <x v="10"/>
    <b v="0"/>
    <n v="0"/>
    <n v="1"/>
    <n v="0.14000000000000001"/>
    <n v="0.1061"/>
    <n v="0.1061"/>
    <n v="0.46"/>
    <n v="0.3881"/>
    <n v="7"/>
    <n v="51"/>
    <n v="58"/>
    <x v="0"/>
    <x v="0"/>
    <s v="Winter"/>
    <s v="Sunday"/>
    <x v="1"/>
    <n v="-1.4"/>
    <n v="-9"/>
    <n v="46"/>
    <n v="26"/>
    <n v="0.87931034482758619"/>
    <x v="0"/>
    <n v="-0.23"/>
    <s v=""/>
    <s v="OK"/>
    <s v="No"/>
  </r>
  <r>
    <n v="513"/>
    <s v="Merge 1+2"/>
    <n v="513"/>
    <n v="513"/>
    <n v="0"/>
    <x v="22"/>
    <n v="1"/>
    <n v="0"/>
    <n v="1"/>
    <x v="11"/>
    <b v="0"/>
    <n v="0"/>
    <n v="1"/>
    <n v="0.14000000000000001"/>
    <n v="0.13639999999999999"/>
    <n v="0.13639999999999999"/>
    <n v="0.43"/>
    <n v="0.22389999999999999"/>
    <n v="22"/>
    <n v="77"/>
    <n v="99"/>
    <x v="0"/>
    <x v="0"/>
    <s v="Winter"/>
    <s v="Sunday"/>
    <x v="1"/>
    <n v="-1.4"/>
    <n v="-7"/>
    <n v="43"/>
    <n v="15"/>
    <n v="0.77777777777777779"/>
    <x v="2"/>
    <n v="0.95"/>
    <s v=""/>
    <s v="OK"/>
    <s v="No"/>
  </r>
  <r>
    <n v="514"/>
    <s v="Merge 1+2"/>
    <n v="514"/>
    <n v="514"/>
    <n v="0"/>
    <x v="22"/>
    <n v="1"/>
    <n v="0"/>
    <n v="1"/>
    <x v="12"/>
    <b v="0"/>
    <n v="0"/>
    <n v="1"/>
    <n v="0.16"/>
    <n v="0.1212"/>
    <n v="0.1212"/>
    <n v="0.37"/>
    <n v="0.4627"/>
    <n v="24"/>
    <n v="92"/>
    <n v="116"/>
    <x v="0"/>
    <x v="0"/>
    <s v="Winter"/>
    <s v="Sunday"/>
    <x v="2"/>
    <n v="-0.5"/>
    <n v="-8"/>
    <n v="37"/>
    <n v="31"/>
    <n v="0.7931034482758621"/>
    <x v="2"/>
    <n v="0.53"/>
    <s v=""/>
    <s v="OK"/>
    <s v="No"/>
  </r>
  <r>
    <n v="515"/>
    <s v="Merge 1+2"/>
    <n v="515"/>
    <n v="515"/>
    <n v="0"/>
    <x v="22"/>
    <n v="1"/>
    <n v="0"/>
    <n v="1"/>
    <x v="13"/>
    <b v="0"/>
    <n v="0"/>
    <n v="1"/>
    <n v="0.14000000000000001"/>
    <n v="0.1061"/>
    <n v="0.1061"/>
    <n v="0.33"/>
    <n v="0.3881"/>
    <n v="12"/>
    <n v="75"/>
    <n v="87"/>
    <x v="0"/>
    <x v="0"/>
    <s v="Winter"/>
    <s v="Sunday"/>
    <x v="2"/>
    <n v="-1.4"/>
    <n v="-9"/>
    <n v="33"/>
    <n v="26"/>
    <n v="0.86206896551724133"/>
    <x v="2"/>
    <n v="-0.44"/>
    <s v=""/>
    <s v="OK"/>
    <s v="No"/>
  </r>
  <r>
    <n v="516"/>
    <s v="Merge 1+2"/>
    <n v="516"/>
    <n v="516"/>
    <n v="0"/>
    <x v="22"/>
    <n v="1"/>
    <n v="0"/>
    <n v="1"/>
    <x v="14"/>
    <b v="0"/>
    <n v="0"/>
    <n v="1"/>
    <n v="0.16"/>
    <n v="0.13639999999999999"/>
    <n v="0.13639999999999999"/>
    <n v="0.28000000000000003"/>
    <n v="0.35820000000000002"/>
    <n v="17"/>
    <n v="93"/>
    <n v="110"/>
    <x v="0"/>
    <x v="0"/>
    <s v="Winter"/>
    <s v="Sunday"/>
    <x v="2"/>
    <n v="-0.5"/>
    <n v="-7"/>
    <n v="28"/>
    <n v="24"/>
    <n v="0.84545454545454546"/>
    <x v="2"/>
    <n v="0.25"/>
    <s v=""/>
    <s v="OK"/>
    <s v="No"/>
  </r>
  <r>
    <n v="517"/>
    <s v="Merge 1+2"/>
    <n v="517"/>
    <n v="517"/>
    <n v="0"/>
    <x v="22"/>
    <n v="1"/>
    <n v="0"/>
    <n v="1"/>
    <x v="15"/>
    <b v="0"/>
    <n v="0"/>
    <n v="1"/>
    <n v="0.16"/>
    <n v="0.13639999999999999"/>
    <n v="0.13639999999999999"/>
    <n v="0.28000000000000003"/>
    <n v="0.35820000000000002"/>
    <n v="13"/>
    <n v="64"/>
    <n v="77"/>
    <x v="0"/>
    <x v="0"/>
    <s v="Winter"/>
    <s v="Sunday"/>
    <x v="2"/>
    <n v="-0.5"/>
    <n v="-7"/>
    <n v="28"/>
    <n v="24"/>
    <n v="0.83116883116883122"/>
    <x v="0"/>
    <n v="-0.9"/>
    <s v=""/>
    <s v="OK"/>
    <s v="No"/>
  </r>
  <r>
    <n v="518"/>
    <s v="Merge 1+2"/>
    <n v="518"/>
    <n v="518"/>
    <n v="0"/>
    <x v="22"/>
    <n v="1"/>
    <n v="0"/>
    <n v="1"/>
    <x v="16"/>
    <b v="0"/>
    <n v="0"/>
    <n v="1"/>
    <n v="0.16"/>
    <n v="0.13639999999999999"/>
    <n v="0.13639999999999999"/>
    <n v="0.26"/>
    <n v="0.32840000000000003"/>
    <n v="9"/>
    <n v="56"/>
    <n v="65"/>
    <x v="0"/>
    <x v="0"/>
    <s v="Winter"/>
    <s v="Sunday"/>
    <x v="2"/>
    <n v="-0.5"/>
    <n v="-7"/>
    <n v="26"/>
    <n v="22"/>
    <n v="0.86153846153846159"/>
    <x v="0"/>
    <n v="-1.28"/>
    <s v=""/>
    <s v="OK"/>
    <s v="No"/>
  </r>
  <r>
    <n v="519"/>
    <s v="Merge 1+2"/>
    <n v="519"/>
    <n v="519"/>
    <n v="0"/>
    <x v="22"/>
    <n v="1"/>
    <n v="0"/>
    <n v="1"/>
    <x v="17"/>
    <b v="0"/>
    <n v="0"/>
    <n v="1"/>
    <n v="0.14000000000000001"/>
    <n v="0.1061"/>
    <n v="0.1061"/>
    <n v="0.26"/>
    <n v="0.3881"/>
    <n v="5"/>
    <n v="50"/>
    <n v="55"/>
    <x v="0"/>
    <x v="0"/>
    <s v="Winter"/>
    <s v="Sunday"/>
    <x v="2"/>
    <n v="-1.4"/>
    <n v="-9"/>
    <n v="26"/>
    <n v="26"/>
    <n v="0.90909090909090906"/>
    <x v="0"/>
    <n v="-1.17"/>
    <s v=""/>
    <s v="OK"/>
    <s v="No"/>
  </r>
  <r>
    <n v="520"/>
    <s v="Merge 1+2"/>
    <n v="520"/>
    <n v="520"/>
    <n v="0"/>
    <x v="22"/>
    <n v="1"/>
    <n v="0"/>
    <n v="1"/>
    <x v="18"/>
    <b v="0"/>
    <n v="0"/>
    <n v="1"/>
    <n v="0.12"/>
    <n v="0.1212"/>
    <n v="0.1212"/>
    <n v="0.3"/>
    <n v="0.25369999999999998"/>
    <n v="5"/>
    <n v="44"/>
    <n v="49"/>
    <x v="0"/>
    <x v="0"/>
    <s v="Winter"/>
    <s v="Sunday"/>
    <x v="3"/>
    <n v="-2.4"/>
    <n v="-8"/>
    <n v="30"/>
    <n v="17"/>
    <n v="0.89795918367346939"/>
    <x v="0"/>
    <n v="-0.97"/>
    <s v=""/>
    <s v="OK"/>
    <s v="No"/>
  </r>
  <r>
    <n v="521"/>
    <s v="Merge 1+2"/>
    <n v="521"/>
    <n v="521"/>
    <n v="0"/>
    <x v="22"/>
    <n v="1"/>
    <n v="0"/>
    <n v="1"/>
    <x v="19"/>
    <b v="0"/>
    <n v="0"/>
    <n v="1"/>
    <n v="0.12"/>
    <n v="0.1212"/>
    <n v="0.1212"/>
    <n v="0.3"/>
    <n v="0.28360000000000002"/>
    <n v="5"/>
    <n v="45"/>
    <n v="50"/>
    <x v="0"/>
    <x v="0"/>
    <s v="Winter"/>
    <s v="Sunday"/>
    <x v="3"/>
    <n v="-2.4"/>
    <n v="-8"/>
    <n v="30"/>
    <n v="19"/>
    <n v="0.9"/>
    <x v="0"/>
    <n v="-0.05"/>
    <s v=""/>
    <s v="OK"/>
    <s v="No"/>
  </r>
  <r>
    <n v="522"/>
    <s v="Merge 1+2"/>
    <n v="522"/>
    <n v="522"/>
    <n v="0"/>
    <x v="22"/>
    <n v="1"/>
    <n v="0"/>
    <n v="1"/>
    <x v="20"/>
    <b v="0"/>
    <n v="0"/>
    <n v="1"/>
    <n v="0.1"/>
    <n v="0.1061"/>
    <n v="0.1061"/>
    <n v="0.36"/>
    <n v="0.25369999999999998"/>
    <n v="4"/>
    <n v="31"/>
    <n v="35"/>
    <x v="0"/>
    <x v="0"/>
    <s v="Winter"/>
    <s v="Sunday"/>
    <x v="3"/>
    <n v="-3.3"/>
    <n v="-9"/>
    <n v="36"/>
    <n v="17"/>
    <n v="0.88571428571428568"/>
    <x v="0"/>
    <n v="-0.38"/>
    <s v=""/>
    <s v="OK"/>
    <s v="No"/>
  </r>
  <r>
    <n v="523"/>
    <s v="Merge 1+2"/>
    <n v="523"/>
    <n v="523"/>
    <n v="0"/>
    <x v="22"/>
    <n v="1"/>
    <n v="0"/>
    <n v="1"/>
    <x v="21"/>
    <b v="0"/>
    <n v="0"/>
    <n v="1"/>
    <n v="0.1"/>
    <n v="0.1061"/>
    <n v="0.1061"/>
    <n v="0.36"/>
    <n v="0.19400000000000001"/>
    <n v="5"/>
    <n v="20"/>
    <n v="25"/>
    <x v="0"/>
    <x v="0"/>
    <s v="Winter"/>
    <s v="Sunday"/>
    <x v="3"/>
    <n v="-3.3"/>
    <n v="-9"/>
    <n v="36"/>
    <n v="13"/>
    <n v="0.8"/>
    <x v="0"/>
    <n v="-0.96"/>
    <s v=""/>
    <s v="OK"/>
    <s v="No"/>
  </r>
  <r>
    <n v="524"/>
    <s v="Merge 1+2"/>
    <n v="524"/>
    <n v="524"/>
    <n v="0"/>
    <x v="22"/>
    <n v="1"/>
    <n v="0"/>
    <n v="1"/>
    <x v="22"/>
    <b v="0"/>
    <n v="0"/>
    <n v="1"/>
    <n v="0.08"/>
    <n v="9.0899999999999995E-2"/>
    <n v="9.0899999999999995E-2"/>
    <n v="0.38"/>
    <n v="0.19400000000000001"/>
    <n v="5"/>
    <n v="23"/>
    <n v="28"/>
    <x v="0"/>
    <x v="0"/>
    <s v="Winter"/>
    <s v="Sunday"/>
    <x v="3"/>
    <n v="-4.2"/>
    <n v="-10"/>
    <n v="38"/>
    <n v="13"/>
    <n v="0.8214285714285714"/>
    <x v="0"/>
    <n v="-0.12"/>
    <s v=""/>
    <s v="OK"/>
    <s v="No"/>
  </r>
  <r>
    <n v="525"/>
    <s v="Merge 1+2"/>
    <n v="525"/>
    <n v="525"/>
    <n v="0"/>
    <x v="22"/>
    <n v="1"/>
    <n v="0"/>
    <n v="1"/>
    <x v="23"/>
    <b v="0"/>
    <n v="0"/>
    <n v="1"/>
    <n v="0.06"/>
    <n v="6.0600000000000001E-2"/>
    <n v="6.0600000000000001E-2"/>
    <n v="0.41"/>
    <n v="0.22389999999999999"/>
    <n v="4"/>
    <n v="17"/>
    <n v="21"/>
    <x v="0"/>
    <x v="0"/>
    <s v="Winter"/>
    <s v="Sunday"/>
    <x v="3"/>
    <n v="-5.2"/>
    <n v="-12"/>
    <n v="41"/>
    <n v="15"/>
    <n v="0.80952380952380953"/>
    <x v="0"/>
    <n v="-0.38"/>
    <s v=""/>
    <s v="OK"/>
    <s v="No"/>
  </r>
  <r>
    <n v="526"/>
    <s v="Merge 1+2"/>
    <n v="526"/>
    <n v="526"/>
    <n v="0"/>
    <x v="23"/>
    <n v="1"/>
    <n v="0"/>
    <n v="1"/>
    <x v="0"/>
    <b v="0"/>
    <n v="1"/>
    <n v="1"/>
    <n v="0.06"/>
    <n v="6.0600000000000001E-2"/>
    <n v="6.0600000000000001E-2"/>
    <n v="0.41"/>
    <n v="0.19400000000000001"/>
    <n v="0"/>
    <n v="7"/>
    <n v="7"/>
    <x v="1"/>
    <x v="0"/>
    <s v="Winter"/>
    <s v="Monday"/>
    <x v="0"/>
    <n v="-5.2"/>
    <n v="-12"/>
    <n v="41"/>
    <n v="13"/>
    <n v="1"/>
    <x v="1"/>
    <n v="-0.72"/>
    <s v=""/>
    <s v="OK"/>
    <s v="No"/>
  </r>
  <r>
    <n v="527"/>
    <s v="Merge 1+2"/>
    <n v="527"/>
    <n v="527"/>
    <n v="0"/>
    <x v="23"/>
    <n v="1"/>
    <n v="0"/>
    <n v="1"/>
    <x v="1"/>
    <b v="0"/>
    <n v="1"/>
    <n v="1"/>
    <n v="0.04"/>
    <n v="4.5499999999999999E-2"/>
    <n v="4.5499999999999999E-2"/>
    <n v="0.45"/>
    <n v="0.19400000000000001"/>
    <n v="0"/>
    <n v="1"/>
    <n v="1"/>
    <x v="1"/>
    <x v="0"/>
    <s v="Winter"/>
    <s v="Monday"/>
    <x v="0"/>
    <n v="-6.1"/>
    <n v="-13"/>
    <n v="45"/>
    <n v="13"/>
    <n v="1"/>
    <x v="1"/>
    <n v="-1.84"/>
    <s v=""/>
    <s v="OK"/>
    <s v="No"/>
  </r>
  <r>
    <n v="528"/>
    <s v="Merge 1+2"/>
    <n v="528"/>
    <n v="528"/>
    <n v="0"/>
    <x v="23"/>
    <n v="1"/>
    <n v="0"/>
    <n v="1"/>
    <x v="3"/>
    <b v="0"/>
    <n v="1"/>
    <n v="1"/>
    <n v="0.04"/>
    <n v="3.0300000000000001E-2"/>
    <n v="3.0300000000000001E-2"/>
    <n v="0.45"/>
    <n v="0.25369999999999998"/>
    <n v="0"/>
    <n v="1"/>
    <n v="1"/>
    <x v="1"/>
    <x v="0"/>
    <s v="Winter"/>
    <s v="Monday"/>
    <x v="0"/>
    <n v="-6.1"/>
    <n v="-14"/>
    <n v="45"/>
    <n v="17"/>
    <n v="1"/>
    <x v="1"/>
    <n v="-0.61"/>
    <s v=""/>
    <s v="OK"/>
    <s v="No"/>
  </r>
  <r>
    <n v="529"/>
    <s v="Merge 1+2"/>
    <n v="529"/>
    <n v="529"/>
    <n v="0"/>
    <x v="23"/>
    <n v="1"/>
    <n v="0"/>
    <n v="1"/>
    <x v="4"/>
    <b v="0"/>
    <n v="1"/>
    <n v="1"/>
    <n v="0.02"/>
    <n v="6.0600000000000001E-2"/>
    <n v="6.0600000000000001E-2"/>
    <n v="0.48"/>
    <n v="0.1343"/>
    <n v="0"/>
    <n v="1"/>
    <n v="1"/>
    <x v="1"/>
    <x v="0"/>
    <s v="Winter"/>
    <s v="Monday"/>
    <x v="0"/>
    <n v="-7.1"/>
    <n v="-12"/>
    <n v="48"/>
    <n v="9"/>
    <n v="1"/>
    <x v="1"/>
    <n v="-0.81"/>
    <s v=""/>
    <s v="OK"/>
    <s v="No"/>
  </r>
  <r>
    <n v="530"/>
    <s v="Merge 1+2"/>
    <n v="530"/>
    <n v="530"/>
    <n v="0"/>
    <x v="23"/>
    <n v="1"/>
    <n v="0"/>
    <n v="1"/>
    <x v="5"/>
    <b v="0"/>
    <n v="1"/>
    <n v="1"/>
    <n v="0.02"/>
    <n v="6.0600000000000001E-2"/>
    <n v="6.0600000000000001E-2"/>
    <n v="0.48"/>
    <n v="0.1343"/>
    <n v="0"/>
    <n v="5"/>
    <n v="5"/>
    <x v="1"/>
    <x v="0"/>
    <s v="Winter"/>
    <s v="Monday"/>
    <x v="0"/>
    <n v="-7.1"/>
    <n v="-12"/>
    <n v="48"/>
    <n v="9"/>
    <n v="1"/>
    <x v="1"/>
    <n v="0.06"/>
    <s v=""/>
    <s v="OK"/>
    <s v="No"/>
  </r>
  <r>
    <n v="531"/>
    <s v="Merge 1+2"/>
    <n v="531"/>
    <n v="531"/>
    <n v="0"/>
    <x v="23"/>
    <n v="1"/>
    <n v="0"/>
    <n v="1"/>
    <x v="6"/>
    <b v="0"/>
    <n v="1"/>
    <n v="1"/>
    <n v="0.02"/>
    <n v="7.5800000000000006E-2"/>
    <n v="7.5800000000000006E-2"/>
    <n v="0.48"/>
    <n v="8.9599999999999999E-2"/>
    <n v="0"/>
    <n v="15"/>
    <n v="15"/>
    <x v="1"/>
    <x v="0"/>
    <s v="Winter"/>
    <s v="Monday"/>
    <x v="1"/>
    <n v="-7.1"/>
    <n v="-11"/>
    <n v="48"/>
    <n v="6"/>
    <n v="1"/>
    <x v="1"/>
    <n v="-1.52"/>
    <s v=""/>
    <s v="OK"/>
    <s v="No"/>
  </r>
  <r>
    <n v="532"/>
    <s v="Merge 1+2"/>
    <n v="532"/>
    <n v="532"/>
    <n v="0"/>
    <x v="23"/>
    <n v="1"/>
    <n v="0"/>
    <n v="1"/>
    <x v="7"/>
    <b v="0"/>
    <n v="1"/>
    <n v="1"/>
    <n v="0.02"/>
    <n v="0.1212"/>
    <n v="0.1212"/>
    <n v="0.48"/>
    <n v="0"/>
    <n v="5"/>
    <n v="79"/>
    <n v="84"/>
    <x v="1"/>
    <x v="0"/>
    <s v="Winter"/>
    <s v="Monday"/>
    <x v="1"/>
    <n v="-7.1"/>
    <n v="-8"/>
    <n v="48"/>
    <n v="0"/>
    <n v="0.94047619047619047"/>
    <x v="2"/>
    <n v="0.19"/>
    <s v=""/>
    <s v="OK"/>
    <s v="No"/>
  </r>
  <r>
    <n v="533"/>
    <s v="Merge 1+2"/>
    <n v="533"/>
    <n v="533"/>
    <n v="0"/>
    <x v="23"/>
    <n v="1"/>
    <n v="0"/>
    <n v="1"/>
    <x v="8"/>
    <b v="0"/>
    <n v="1"/>
    <n v="1"/>
    <n v="0.04"/>
    <n v="0.13639999999999999"/>
    <n v="0.13639999999999999"/>
    <n v="0.49"/>
    <n v="0"/>
    <n v="6"/>
    <n v="171"/>
    <n v="177"/>
    <x v="1"/>
    <x v="0"/>
    <s v="Winter"/>
    <s v="Monday"/>
    <x v="1"/>
    <n v="-6.1"/>
    <n v="-7"/>
    <n v="49"/>
    <n v="0"/>
    <n v="0.96610169491525422"/>
    <x v="2"/>
    <n v="-0.31"/>
    <s v=""/>
    <s v="OK"/>
    <s v="No"/>
  </r>
  <r>
    <n v="534"/>
    <s v="Merge 1+2"/>
    <n v="534"/>
    <n v="534"/>
    <n v="0"/>
    <x v="23"/>
    <n v="1"/>
    <n v="0"/>
    <n v="1"/>
    <x v="9"/>
    <b v="0"/>
    <n v="1"/>
    <n v="1"/>
    <n v="0.06"/>
    <n v="0.1515"/>
    <n v="0.1515"/>
    <n v="0.41"/>
    <n v="0"/>
    <n v="4"/>
    <n v="98"/>
    <n v="102"/>
    <x v="1"/>
    <x v="0"/>
    <s v="Winter"/>
    <s v="Monday"/>
    <x v="1"/>
    <n v="-5.2"/>
    <n v="-6"/>
    <n v="41"/>
    <n v="0"/>
    <n v="0.96078431372549022"/>
    <x v="2"/>
    <n v="-0.72"/>
    <s v=""/>
    <s v="OK"/>
    <s v="No"/>
  </r>
  <r>
    <n v="535"/>
    <s v="Merge 1+2"/>
    <n v="535"/>
    <n v="535"/>
    <n v="0"/>
    <x v="23"/>
    <n v="1"/>
    <n v="0"/>
    <n v="1"/>
    <x v="10"/>
    <b v="0"/>
    <n v="1"/>
    <n v="1"/>
    <n v="0.1"/>
    <n v="0.13639999999999999"/>
    <n v="0.13639999999999999"/>
    <n v="0.42"/>
    <n v="0"/>
    <n v="6"/>
    <n v="34"/>
    <n v="40"/>
    <x v="1"/>
    <x v="0"/>
    <s v="Winter"/>
    <s v="Monday"/>
    <x v="1"/>
    <n v="-3.3"/>
    <n v="-7"/>
    <n v="42"/>
    <n v="0"/>
    <n v="0.85"/>
    <x v="0"/>
    <n v="-0.86"/>
    <s v=""/>
    <s v="OK"/>
    <s v="No"/>
  </r>
  <r>
    <n v="536"/>
    <s v="Merge 1+2"/>
    <n v="536"/>
    <n v="536"/>
    <n v="0"/>
    <x v="23"/>
    <n v="1"/>
    <n v="0"/>
    <n v="1"/>
    <x v="11"/>
    <b v="0"/>
    <n v="1"/>
    <n v="1"/>
    <n v="0.1"/>
    <n v="0.1212"/>
    <n v="0.1212"/>
    <n v="0.46"/>
    <n v="0.1343"/>
    <n v="3"/>
    <n v="43"/>
    <n v="46"/>
    <x v="1"/>
    <x v="0"/>
    <s v="Winter"/>
    <s v="Monday"/>
    <x v="1"/>
    <n v="-3.3"/>
    <n v="-8"/>
    <n v="46"/>
    <n v="9"/>
    <n v="0.93478260869565222"/>
    <x v="0"/>
    <n v="-0.37"/>
    <s v=""/>
    <s v="OK"/>
    <s v="No"/>
  </r>
  <r>
    <n v="537"/>
    <s v="Merge 1+2"/>
    <n v="537"/>
    <n v="537"/>
    <n v="0"/>
    <x v="23"/>
    <n v="1"/>
    <n v="0"/>
    <n v="1"/>
    <x v="12"/>
    <b v="0"/>
    <n v="1"/>
    <n v="2"/>
    <n v="0.12"/>
    <n v="0.13639999999999999"/>
    <n v="0.13639999999999999"/>
    <n v="0.42"/>
    <n v="0.19400000000000001"/>
    <n v="11"/>
    <n v="52"/>
    <n v="63"/>
    <x v="1"/>
    <x v="1"/>
    <s v="Winter"/>
    <s v="Monday"/>
    <x v="2"/>
    <n v="-2.4"/>
    <n v="-7"/>
    <n v="42"/>
    <n v="13"/>
    <n v="0.82539682539682535"/>
    <x v="0"/>
    <n v="-0.05"/>
    <s v=""/>
    <s v="OK"/>
    <s v="No"/>
  </r>
  <r>
    <n v="538"/>
    <s v="Merge 1+2"/>
    <n v="538"/>
    <n v="538"/>
    <n v="0"/>
    <x v="23"/>
    <n v="1"/>
    <n v="0"/>
    <n v="1"/>
    <x v="13"/>
    <b v="0"/>
    <n v="1"/>
    <n v="2"/>
    <n v="0.14000000000000001"/>
    <n v="0.13639999999999999"/>
    <n v="0.13639999999999999"/>
    <n v="0.43"/>
    <n v="0.22389999999999999"/>
    <n v="6"/>
    <n v="54"/>
    <n v="60"/>
    <x v="1"/>
    <x v="1"/>
    <s v="Winter"/>
    <s v="Monday"/>
    <x v="2"/>
    <n v="-1.4"/>
    <n v="-7"/>
    <n v="43"/>
    <n v="15"/>
    <n v="0.9"/>
    <x v="0"/>
    <n v="-0.31"/>
    <s v=""/>
    <s v="OK"/>
    <s v="No"/>
  </r>
  <r>
    <n v="539"/>
    <s v="Merge 1+2"/>
    <n v="539"/>
    <n v="539"/>
    <n v="0"/>
    <x v="23"/>
    <n v="1"/>
    <n v="0"/>
    <n v="1"/>
    <x v="14"/>
    <b v="0"/>
    <n v="1"/>
    <n v="2"/>
    <n v="0.14000000000000001"/>
    <n v="0.13639999999999999"/>
    <n v="0.13639999999999999"/>
    <n v="0.46"/>
    <n v="0.22389999999999999"/>
    <n v="2"/>
    <n v="43"/>
    <n v="45"/>
    <x v="1"/>
    <x v="1"/>
    <s v="Winter"/>
    <s v="Monday"/>
    <x v="2"/>
    <n v="-1.4"/>
    <n v="-7"/>
    <n v="46"/>
    <n v="15"/>
    <n v="0.9555555555555556"/>
    <x v="0"/>
    <n v="-0.92"/>
    <s v=""/>
    <s v="OK"/>
    <s v="No"/>
  </r>
  <r>
    <n v="540"/>
    <s v="Merge 1+2"/>
    <n v="540"/>
    <n v="540"/>
    <n v="0"/>
    <x v="23"/>
    <n v="1"/>
    <n v="0"/>
    <n v="1"/>
    <x v="15"/>
    <b v="0"/>
    <n v="1"/>
    <n v="1"/>
    <n v="0.16"/>
    <n v="0.16669999999999999"/>
    <n v="0.16669999999999999"/>
    <n v="0.4"/>
    <n v="0.16420000000000001"/>
    <n v="7"/>
    <n v="50"/>
    <n v="57"/>
    <x v="1"/>
    <x v="0"/>
    <s v="Winter"/>
    <s v="Monday"/>
    <x v="2"/>
    <n v="-0.5"/>
    <n v="-5"/>
    <n v="40"/>
    <n v="11"/>
    <n v="0.8771929824561403"/>
    <x v="0"/>
    <n v="-0.24"/>
    <s v=""/>
    <s v="OK"/>
    <s v="No"/>
  </r>
  <r>
    <n v="541"/>
    <s v="Merge 1+2"/>
    <n v="541"/>
    <n v="541"/>
    <n v="0"/>
    <x v="23"/>
    <n v="1"/>
    <n v="0"/>
    <n v="1"/>
    <x v="16"/>
    <b v="0"/>
    <n v="1"/>
    <n v="1"/>
    <n v="0.16"/>
    <n v="0.1515"/>
    <n v="0.1515"/>
    <n v="0.47"/>
    <n v="0.25369999999999998"/>
    <n v="4"/>
    <n v="66"/>
    <n v="70"/>
    <x v="1"/>
    <x v="0"/>
    <s v="Winter"/>
    <s v="Monday"/>
    <x v="2"/>
    <n v="-0.5"/>
    <n v="-6"/>
    <n v="47"/>
    <n v="17"/>
    <n v="0.94285714285714284"/>
    <x v="0"/>
    <n v="-0.6"/>
    <s v=""/>
    <s v="OK"/>
    <s v="No"/>
  </r>
  <r>
    <n v="542"/>
    <s v="Merge 1+2"/>
    <n v="542"/>
    <n v="542"/>
    <n v="0"/>
    <x v="23"/>
    <n v="1"/>
    <n v="0"/>
    <n v="1"/>
    <x v="17"/>
    <b v="0"/>
    <n v="1"/>
    <n v="1"/>
    <n v="0.14000000000000001"/>
    <n v="0.1212"/>
    <n v="0.1212"/>
    <n v="0.5"/>
    <n v="0.25369999999999998"/>
    <n v="6"/>
    <n v="178"/>
    <n v="184"/>
    <x v="1"/>
    <x v="0"/>
    <s v="Winter"/>
    <s v="Monday"/>
    <x v="2"/>
    <n v="-1.4"/>
    <n v="-8"/>
    <n v="50"/>
    <n v="17"/>
    <n v="0.96739130434782605"/>
    <x v="2"/>
    <n v="0.37"/>
    <s v=""/>
    <s v="OK"/>
    <s v="No"/>
  </r>
  <r>
    <n v="543"/>
    <s v="Merge 1+2"/>
    <n v="543"/>
    <n v="543"/>
    <n v="0"/>
    <x v="23"/>
    <n v="1"/>
    <n v="0"/>
    <n v="1"/>
    <x v="18"/>
    <b v="0"/>
    <n v="1"/>
    <n v="1"/>
    <n v="0.14000000000000001"/>
    <n v="0.13639999999999999"/>
    <n v="0.13639999999999999"/>
    <n v="0.59"/>
    <n v="0.19400000000000001"/>
    <n v="8"/>
    <n v="145"/>
    <n v="153"/>
    <x v="1"/>
    <x v="0"/>
    <s v="Winter"/>
    <s v="Monday"/>
    <x v="3"/>
    <n v="-1.4"/>
    <n v="-7"/>
    <n v="59"/>
    <n v="13"/>
    <n v="0.94771241830065356"/>
    <x v="2"/>
    <n v="-0.01"/>
    <s v=""/>
    <s v="OK"/>
    <s v="No"/>
  </r>
  <r>
    <n v="544"/>
    <s v="Merge 1+2"/>
    <n v="544"/>
    <n v="544"/>
    <n v="0"/>
    <x v="23"/>
    <n v="1"/>
    <n v="0"/>
    <n v="1"/>
    <x v="19"/>
    <b v="0"/>
    <n v="1"/>
    <n v="1"/>
    <n v="0.14000000000000001"/>
    <n v="0.1515"/>
    <n v="0.1515"/>
    <n v="0.54"/>
    <n v="0.16420000000000001"/>
    <n v="5"/>
    <n v="101"/>
    <n v="106"/>
    <x v="1"/>
    <x v="0"/>
    <s v="Winter"/>
    <s v="Monday"/>
    <x v="3"/>
    <n v="-1.4"/>
    <n v="-6"/>
    <n v="54"/>
    <n v="11"/>
    <n v="0.95283018867924529"/>
    <x v="2"/>
    <n v="0.12"/>
    <s v=""/>
    <s v="OK"/>
    <s v="No"/>
  </r>
  <r>
    <n v="545"/>
    <s v="Merge 1+2"/>
    <n v="545"/>
    <n v="545"/>
    <n v="0"/>
    <x v="23"/>
    <n v="1"/>
    <n v="0"/>
    <n v="1"/>
    <x v="20"/>
    <b v="0"/>
    <n v="1"/>
    <n v="1"/>
    <n v="0.14000000000000001"/>
    <n v="0.13639999999999999"/>
    <n v="0.13639999999999999"/>
    <n v="0.59"/>
    <n v="0.19400000000000001"/>
    <n v="1"/>
    <n v="80"/>
    <n v="81"/>
    <x v="1"/>
    <x v="0"/>
    <s v="Winter"/>
    <s v="Monday"/>
    <x v="3"/>
    <n v="-1.4"/>
    <n v="-7"/>
    <n v="59"/>
    <n v="13"/>
    <n v="0.98765432098765427"/>
    <x v="0"/>
    <n v="0.35"/>
    <s v=""/>
    <s v="OK"/>
    <s v="No"/>
  </r>
  <r>
    <n v="546"/>
    <s v="Merge 1+2"/>
    <n v="546"/>
    <n v="546"/>
    <n v="0"/>
    <x v="23"/>
    <n v="1"/>
    <n v="0"/>
    <n v="1"/>
    <x v="21"/>
    <b v="0"/>
    <n v="1"/>
    <n v="1"/>
    <n v="0.14000000000000001"/>
    <n v="0.1515"/>
    <n v="0.1515"/>
    <n v="0.63"/>
    <n v="0.16420000000000001"/>
    <n v="6"/>
    <n v="53"/>
    <n v="59"/>
    <x v="1"/>
    <x v="0"/>
    <s v="Winter"/>
    <s v="Monday"/>
    <x v="3"/>
    <n v="-1.4"/>
    <n v="-6"/>
    <n v="63"/>
    <n v="11"/>
    <n v="0.89830508474576276"/>
    <x v="0"/>
    <n v="0.55000000000000004"/>
    <s v=""/>
    <s v="OK"/>
    <s v="No"/>
  </r>
  <r>
    <n v="547"/>
    <s v="Merge 1+2"/>
    <n v="547"/>
    <n v="547"/>
    <n v="0"/>
    <x v="23"/>
    <n v="1"/>
    <n v="0"/>
    <n v="1"/>
    <x v="22"/>
    <b v="0"/>
    <n v="1"/>
    <n v="2"/>
    <n v="0.14000000000000001"/>
    <n v="0.13639999999999999"/>
    <n v="0.13639999999999999"/>
    <n v="0.63"/>
    <n v="0.22389999999999999"/>
    <n v="3"/>
    <n v="32"/>
    <n v="35"/>
    <x v="1"/>
    <x v="1"/>
    <s v="Winter"/>
    <s v="Monday"/>
    <x v="3"/>
    <n v="-1.4"/>
    <n v="-7"/>
    <n v="63"/>
    <n v="15"/>
    <n v="0.91428571428571426"/>
    <x v="0"/>
    <n v="-0.3"/>
    <s v=""/>
    <s v="OK"/>
    <s v="No"/>
  </r>
  <r>
    <n v="548"/>
    <s v="Merge 1+2"/>
    <n v="548"/>
    <n v="548"/>
    <n v="0"/>
    <x v="23"/>
    <n v="1"/>
    <n v="0"/>
    <n v="1"/>
    <x v="23"/>
    <b v="0"/>
    <n v="1"/>
    <n v="2"/>
    <n v="0.16"/>
    <n v="0.1515"/>
    <n v="0.1515"/>
    <n v="0.64"/>
    <n v="0.25369999999999998"/>
    <n v="3"/>
    <n v="21"/>
    <n v="24"/>
    <x v="1"/>
    <x v="1"/>
    <s v="Winter"/>
    <s v="Monday"/>
    <x v="3"/>
    <n v="-0.5"/>
    <n v="-6"/>
    <n v="64"/>
    <n v="17"/>
    <n v="0.875"/>
    <x v="0"/>
    <n v="-0.04"/>
    <s v=""/>
    <s v="OK"/>
    <s v="No"/>
  </r>
  <r>
    <n v="549"/>
    <s v="Merge 1+2"/>
    <n v="549"/>
    <n v="549"/>
    <n v="0"/>
    <x v="24"/>
    <n v="1"/>
    <n v="0"/>
    <n v="1"/>
    <x v="0"/>
    <b v="0"/>
    <n v="2"/>
    <n v="2"/>
    <n v="0.16"/>
    <n v="0.13639999999999999"/>
    <n v="0.13639999999999999"/>
    <n v="0.69"/>
    <n v="0.28360000000000002"/>
    <n v="3"/>
    <n v="6"/>
    <n v="9"/>
    <x v="1"/>
    <x v="1"/>
    <s v="Winter"/>
    <s v="Tuesday"/>
    <x v="0"/>
    <n v="-0.5"/>
    <n v="-7"/>
    <n v="69"/>
    <n v="19"/>
    <n v="0.66666666666666663"/>
    <x v="1"/>
    <n v="-0.3"/>
    <s v=""/>
    <s v="OK"/>
    <s v="No"/>
  </r>
  <r>
    <n v="550"/>
    <s v="Merge 1+2"/>
    <n v="550"/>
    <n v="550"/>
    <n v="0"/>
    <x v="24"/>
    <n v="1"/>
    <n v="0"/>
    <n v="1"/>
    <x v="1"/>
    <b v="0"/>
    <n v="2"/>
    <n v="2"/>
    <n v="0.16"/>
    <n v="0.16669999999999999"/>
    <n v="0.16669999999999999"/>
    <n v="0.69"/>
    <n v="0.16420000000000001"/>
    <n v="0"/>
    <n v="5"/>
    <n v="5"/>
    <x v="1"/>
    <x v="1"/>
    <s v="Winter"/>
    <s v="Tuesday"/>
    <x v="0"/>
    <n v="-0.5"/>
    <n v="-5"/>
    <n v="69"/>
    <n v="11"/>
    <n v="1"/>
    <x v="1"/>
    <n v="0.14000000000000001"/>
    <s v=""/>
    <s v="OK"/>
    <s v="No"/>
  </r>
  <r>
    <n v="551"/>
    <s v="Merge 1+2"/>
    <n v="551"/>
    <n v="551"/>
    <n v="0"/>
    <x v="24"/>
    <n v="1"/>
    <n v="0"/>
    <n v="1"/>
    <x v="2"/>
    <b v="0"/>
    <n v="2"/>
    <n v="1"/>
    <n v="0.16"/>
    <n v="0.1515"/>
    <n v="0.1515"/>
    <n v="0.69"/>
    <n v="0.22389999999999999"/>
    <n v="0"/>
    <n v="2"/>
    <n v="2"/>
    <x v="1"/>
    <x v="0"/>
    <s v="Winter"/>
    <s v="Tuesday"/>
    <x v="0"/>
    <n v="-0.5"/>
    <n v="-6"/>
    <n v="69"/>
    <n v="15"/>
    <n v="1"/>
    <x v="1"/>
    <n v="-0.24"/>
    <s v=""/>
    <s v="OK"/>
    <s v="No"/>
  </r>
  <r>
    <n v="552"/>
    <s v="Merge 1+2"/>
    <n v="552"/>
    <n v="552"/>
    <n v="0"/>
    <x v="24"/>
    <n v="1"/>
    <n v="0"/>
    <n v="1"/>
    <x v="4"/>
    <b v="0"/>
    <n v="2"/>
    <n v="1"/>
    <n v="0.14000000000000001"/>
    <n v="0.16669999999999999"/>
    <n v="0.16669999999999999"/>
    <n v="0.74"/>
    <n v="0.1045"/>
    <n v="0"/>
    <n v="1"/>
    <n v="1"/>
    <x v="1"/>
    <x v="0"/>
    <s v="Winter"/>
    <s v="Tuesday"/>
    <x v="0"/>
    <n v="-1.4"/>
    <n v="-5"/>
    <n v="74"/>
    <n v="7"/>
    <n v="1"/>
    <x v="1"/>
    <n v="-0.81"/>
    <s v=""/>
    <s v="OK"/>
    <s v="No"/>
  </r>
  <r>
    <n v="553"/>
    <s v="Merge 1+2"/>
    <n v="553"/>
    <n v="553"/>
    <n v="0"/>
    <x v="24"/>
    <n v="1"/>
    <n v="0"/>
    <n v="1"/>
    <x v="5"/>
    <b v="0"/>
    <n v="2"/>
    <n v="1"/>
    <n v="0.14000000000000001"/>
    <n v="0.13639999999999999"/>
    <n v="0.13639999999999999"/>
    <n v="0.74"/>
    <n v="0.22389999999999999"/>
    <n v="0"/>
    <n v="9"/>
    <n v="9"/>
    <x v="1"/>
    <x v="0"/>
    <s v="Winter"/>
    <s v="Tuesday"/>
    <x v="0"/>
    <n v="-1.4"/>
    <n v="-7"/>
    <n v="74"/>
    <n v="15"/>
    <n v="1"/>
    <x v="1"/>
    <n v="1.82"/>
    <s v=""/>
    <s v="OK"/>
    <s v="No"/>
  </r>
  <r>
    <n v="554"/>
    <s v="Merge 1+2"/>
    <n v="554"/>
    <n v="554"/>
    <n v="0"/>
    <x v="24"/>
    <n v="1"/>
    <n v="0"/>
    <n v="1"/>
    <x v="6"/>
    <b v="0"/>
    <n v="2"/>
    <n v="1"/>
    <n v="0.16"/>
    <n v="0.18179999999999999"/>
    <n v="0.18179999999999999"/>
    <n v="0.74"/>
    <n v="0.1045"/>
    <n v="1"/>
    <n v="35"/>
    <n v="36"/>
    <x v="1"/>
    <x v="0"/>
    <s v="Winter"/>
    <s v="Tuesday"/>
    <x v="1"/>
    <n v="-0.5"/>
    <n v="-4"/>
    <n v="74"/>
    <n v="7"/>
    <n v="0.97222222222222221"/>
    <x v="0"/>
    <n v="0.9"/>
    <s v=""/>
    <s v="OK"/>
    <s v="No"/>
  </r>
  <r>
    <n v="555"/>
    <s v="Merge 1+2"/>
    <n v="555"/>
    <n v="555"/>
    <n v="0"/>
    <x v="24"/>
    <n v="1"/>
    <n v="0"/>
    <n v="1"/>
    <x v="7"/>
    <b v="0"/>
    <n v="2"/>
    <n v="1"/>
    <n v="0.16"/>
    <n v="0.1515"/>
    <n v="0.1515"/>
    <n v="0.74"/>
    <n v="0.22389999999999999"/>
    <n v="5"/>
    <n v="103"/>
    <n v="108"/>
    <x v="1"/>
    <x v="0"/>
    <s v="Winter"/>
    <s v="Tuesday"/>
    <x v="1"/>
    <n v="-0.5"/>
    <n v="-6"/>
    <n v="74"/>
    <n v="15"/>
    <n v="0.95370370370370372"/>
    <x v="2"/>
    <n v="1.44"/>
    <s v=""/>
    <s v="OK"/>
    <s v="No"/>
  </r>
  <r>
    <n v="556"/>
    <s v="Merge 1+2"/>
    <n v="556"/>
    <n v="556"/>
    <n v="0"/>
    <x v="24"/>
    <n v="1"/>
    <n v="0"/>
    <n v="1"/>
    <x v="8"/>
    <b v="0"/>
    <n v="2"/>
    <n v="2"/>
    <n v="0.16"/>
    <n v="0.18179999999999999"/>
    <n v="0.18179999999999999"/>
    <n v="0.74"/>
    <n v="0.1343"/>
    <n v="5"/>
    <n v="233"/>
    <n v="238"/>
    <x v="1"/>
    <x v="1"/>
    <s v="Winter"/>
    <s v="Tuesday"/>
    <x v="1"/>
    <n v="-0.5"/>
    <n v="-4"/>
    <n v="74"/>
    <n v="9"/>
    <n v="0.97899159663865543"/>
    <x v="2"/>
    <n v="1.24"/>
    <s v=""/>
    <s v="OK"/>
    <s v="No"/>
  </r>
  <r>
    <n v="557"/>
    <s v="Merge 1+2"/>
    <n v="557"/>
    <n v="557"/>
    <n v="0"/>
    <x v="24"/>
    <n v="1"/>
    <n v="0"/>
    <n v="1"/>
    <x v="9"/>
    <b v="0"/>
    <n v="2"/>
    <n v="2"/>
    <n v="0.2"/>
    <n v="0.2273"/>
    <n v="0.2273"/>
    <n v="0.64"/>
    <n v="8.9599999999999999E-2"/>
    <n v="10"/>
    <n v="134"/>
    <n v="144"/>
    <x v="1"/>
    <x v="1"/>
    <s v="Winter"/>
    <s v="Tuesday"/>
    <x v="1"/>
    <n v="1.4"/>
    <n v="-1"/>
    <n v="64"/>
    <n v="6"/>
    <n v="0.93055555555555558"/>
    <x v="2"/>
    <n v="1.1499999999999999"/>
    <s v=""/>
    <s v="OK"/>
    <s v="No"/>
  </r>
  <r>
    <n v="558"/>
    <s v="Merge 1+2"/>
    <n v="558"/>
    <n v="558"/>
    <n v="0"/>
    <x v="24"/>
    <n v="1"/>
    <n v="0"/>
    <n v="1"/>
    <x v="10"/>
    <b v="0"/>
    <n v="2"/>
    <n v="2"/>
    <n v="0.22"/>
    <n v="0.2424"/>
    <n v="0.2424"/>
    <n v="0.6"/>
    <n v="0.1045"/>
    <n v="6"/>
    <n v="49"/>
    <n v="55"/>
    <x v="1"/>
    <x v="1"/>
    <s v="Winter"/>
    <s v="Tuesday"/>
    <x v="1"/>
    <n v="2.2999999999999998"/>
    <n v="0"/>
    <n v="60"/>
    <n v="7"/>
    <n v="0.89090909090909087"/>
    <x v="0"/>
    <n v="0.61"/>
    <s v=""/>
    <s v="OK"/>
    <s v="No"/>
  </r>
  <r>
    <n v="559"/>
    <s v="Merge 1+2"/>
    <n v="559"/>
    <n v="559"/>
    <n v="0"/>
    <x v="24"/>
    <n v="1"/>
    <n v="0"/>
    <n v="1"/>
    <x v="11"/>
    <b v="0"/>
    <n v="2"/>
    <n v="2"/>
    <n v="0.24"/>
    <n v="0.2424"/>
    <n v="0.2424"/>
    <n v="0.6"/>
    <n v="0.1343"/>
    <n v="6"/>
    <n v="55"/>
    <n v="61"/>
    <x v="1"/>
    <x v="1"/>
    <s v="Winter"/>
    <s v="Tuesday"/>
    <x v="1"/>
    <n v="3.3"/>
    <n v="0"/>
    <n v="60"/>
    <n v="9"/>
    <n v="0.90163934426229508"/>
    <x v="0"/>
    <n v="0.98"/>
    <s v=""/>
    <s v="OK"/>
    <s v="No"/>
  </r>
  <r>
    <n v="560"/>
    <s v="Merge 1+2"/>
    <n v="560"/>
    <n v="560"/>
    <n v="0"/>
    <x v="24"/>
    <n v="1"/>
    <n v="0"/>
    <n v="1"/>
    <x v="12"/>
    <b v="0"/>
    <n v="2"/>
    <n v="2"/>
    <n v="0.26"/>
    <n v="0.28789999999999999"/>
    <n v="0.28789999999999999"/>
    <n v="0.56000000000000005"/>
    <n v="8.9599999999999999E-2"/>
    <n v="21"/>
    <n v="85"/>
    <n v="106"/>
    <x v="1"/>
    <x v="1"/>
    <s v="Winter"/>
    <s v="Tuesday"/>
    <x v="2"/>
    <n v="4.2"/>
    <n v="3"/>
    <n v="56"/>
    <n v="6"/>
    <n v="0.80188679245283023"/>
    <x v="2"/>
    <n v="2.23"/>
    <s v=""/>
    <s v="OK"/>
    <s v="No"/>
  </r>
  <r>
    <n v="561"/>
    <s v="Merge 1+2"/>
    <n v="561"/>
    <n v="561"/>
    <n v="0"/>
    <x v="24"/>
    <n v="1"/>
    <n v="0"/>
    <n v="1"/>
    <x v="13"/>
    <b v="0"/>
    <n v="2"/>
    <n v="2"/>
    <n v="0.26"/>
    <n v="0.2727"/>
    <n v="0.2727"/>
    <n v="0.56000000000000005"/>
    <n v="0.1343"/>
    <n v="21"/>
    <n v="72"/>
    <n v="93"/>
    <x v="1"/>
    <x v="1"/>
    <s v="Winter"/>
    <s v="Tuesday"/>
    <x v="2"/>
    <n v="4.2"/>
    <n v="2"/>
    <n v="56"/>
    <n v="9"/>
    <n v="0.77419354838709675"/>
    <x v="2"/>
    <n v="1.34"/>
    <s v=""/>
    <s v="OK"/>
    <s v="No"/>
  </r>
  <r>
    <n v="562"/>
    <s v="Merge 1+2"/>
    <n v="562"/>
    <n v="562"/>
    <n v="0"/>
    <x v="24"/>
    <n v="1"/>
    <n v="0"/>
    <n v="1"/>
    <x v="14"/>
    <b v="0"/>
    <n v="2"/>
    <n v="2"/>
    <n v="0.3"/>
    <n v="0.33329999999999999"/>
    <n v="0.33329999999999999"/>
    <n v="0.45"/>
    <n v="0"/>
    <n v="11"/>
    <n v="57"/>
    <n v="68"/>
    <x v="1"/>
    <x v="1"/>
    <s v="Winter"/>
    <s v="Tuesday"/>
    <x v="2"/>
    <n v="6.1"/>
    <n v="6"/>
    <n v="45"/>
    <n v="0"/>
    <n v="0.83823529411764708"/>
    <x v="0"/>
    <n v="0.52"/>
    <s v=""/>
    <s v="OK"/>
    <s v="No"/>
  </r>
  <r>
    <n v="563"/>
    <s v="Merge 1+2"/>
    <n v="563"/>
    <n v="563"/>
    <n v="0"/>
    <x v="24"/>
    <n v="1"/>
    <n v="0"/>
    <n v="1"/>
    <x v="15"/>
    <b v="0"/>
    <n v="2"/>
    <n v="2"/>
    <n v="0.32"/>
    <n v="0.34849999999999998"/>
    <n v="0.34849999999999998"/>
    <n v="0.42"/>
    <n v="0"/>
    <n v="21"/>
    <n v="63"/>
    <n v="84"/>
    <x v="1"/>
    <x v="1"/>
    <s v="Winter"/>
    <s v="Tuesday"/>
    <x v="2"/>
    <n v="7"/>
    <n v="7"/>
    <n v="42"/>
    <n v="0"/>
    <n v="0.75"/>
    <x v="2"/>
    <n v="1.68"/>
    <s v=""/>
    <s v="OK"/>
    <s v="No"/>
  </r>
  <r>
    <n v="564"/>
    <s v="Merge 1+2"/>
    <n v="564"/>
    <n v="564"/>
    <n v="0"/>
    <x v="24"/>
    <n v="1"/>
    <n v="0"/>
    <n v="1"/>
    <x v="16"/>
    <b v="0"/>
    <n v="2"/>
    <n v="2"/>
    <n v="0.32"/>
    <n v="0.34849999999999998"/>
    <n v="0.34849999999999998"/>
    <n v="0.42"/>
    <n v="0"/>
    <n v="14"/>
    <n v="102"/>
    <n v="116"/>
    <x v="1"/>
    <x v="1"/>
    <s v="Winter"/>
    <s v="Tuesday"/>
    <x v="2"/>
    <n v="7"/>
    <n v="7"/>
    <n v="42"/>
    <n v="0"/>
    <n v="0.87931034482758619"/>
    <x v="2"/>
    <n v="1.58"/>
    <s v=""/>
    <s v="OK"/>
    <s v="No"/>
  </r>
  <r>
    <n v="565"/>
    <s v="Merge 1+2"/>
    <n v="565"/>
    <n v="565"/>
    <n v="0"/>
    <x v="24"/>
    <n v="1"/>
    <n v="0"/>
    <n v="1"/>
    <x v="17"/>
    <b v="0"/>
    <n v="2"/>
    <n v="1"/>
    <n v="0.3"/>
    <n v="0.33329999999999999"/>
    <n v="0.33329999999999999"/>
    <n v="0.45"/>
    <n v="0"/>
    <n v="14"/>
    <n v="208"/>
    <n v="222"/>
    <x v="1"/>
    <x v="0"/>
    <s v="Winter"/>
    <s v="Tuesday"/>
    <x v="2"/>
    <n v="6.1"/>
    <n v="6"/>
    <n v="45"/>
    <n v="0"/>
    <n v="0.93693693693693691"/>
    <x v="2"/>
    <n v="1.3"/>
    <s v=""/>
    <s v="OK"/>
    <s v="No"/>
  </r>
  <r>
    <n v="566"/>
    <s v="Merge 1+2"/>
    <n v="566"/>
    <n v="566"/>
    <n v="0"/>
    <x v="24"/>
    <n v="1"/>
    <n v="0"/>
    <n v="1"/>
    <x v="18"/>
    <b v="0"/>
    <n v="2"/>
    <n v="2"/>
    <n v="0.3"/>
    <n v="0.31819999999999998"/>
    <n v="0.31819999999999998"/>
    <n v="0.49"/>
    <n v="8.9599999999999999E-2"/>
    <n v="7"/>
    <n v="218"/>
    <n v="225"/>
    <x v="1"/>
    <x v="1"/>
    <s v="Winter"/>
    <s v="Tuesday"/>
    <x v="3"/>
    <n v="6.1"/>
    <n v="5"/>
    <n v="49"/>
    <n v="6"/>
    <n v="0.96888888888888891"/>
    <x v="2"/>
    <n v="2.6"/>
    <s v=""/>
    <s v="OK"/>
    <s v="No"/>
  </r>
  <r>
    <n v="567"/>
    <s v="Merge 1+2"/>
    <n v="567"/>
    <n v="567"/>
    <n v="0"/>
    <x v="24"/>
    <n v="1"/>
    <n v="0"/>
    <n v="1"/>
    <x v="19"/>
    <b v="0"/>
    <n v="2"/>
    <n v="2"/>
    <n v="0.26"/>
    <n v="0.2576"/>
    <n v="0.2576"/>
    <n v="0.65"/>
    <n v="0.16420000000000001"/>
    <n v="13"/>
    <n v="133"/>
    <n v="146"/>
    <x v="1"/>
    <x v="1"/>
    <s v="Winter"/>
    <s v="Tuesday"/>
    <x v="3"/>
    <n v="4.2"/>
    <n v="1"/>
    <n v="65"/>
    <n v="11"/>
    <n v="0.91095890410958902"/>
    <x v="2"/>
    <n v="2.12"/>
    <s v=""/>
    <s v="OK"/>
    <s v="No"/>
  </r>
  <r>
    <n v="568"/>
    <s v="Merge 1+2"/>
    <n v="568"/>
    <n v="568"/>
    <n v="0"/>
    <x v="24"/>
    <n v="1"/>
    <n v="0"/>
    <n v="1"/>
    <x v="20"/>
    <b v="0"/>
    <n v="2"/>
    <n v="1"/>
    <n v="0.24"/>
    <n v="0.2273"/>
    <n v="0.2273"/>
    <n v="0.65"/>
    <n v="0.19400000000000001"/>
    <n v="16"/>
    <n v="103"/>
    <n v="119"/>
    <x v="1"/>
    <x v="0"/>
    <s v="Winter"/>
    <s v="Tuesday"/>
    <x v="3"/>
    <n v="3.3"/>
    <n v="-1"/>
    <n v="65"/>
    <n v="13"/>
    <n v="0.86554621848739499"/>
    <x v="2"/>
    <n v="2.14"/>
    <s v=""/>
    <s v="OK"/>
    <s v="No"/>
  </r>
  <r>
    <n v="569"/>
    <s v="Merge 1+2"/>
    <n v="569"/>
    <n v="569"/>
    <n v="0"/>
    <x v="24"/>
    <n v="1"/>
    <n v="0"/>
    <n v="1"/>
    <x v="21"/>
    <b v="0"/>
    <n v="2"/>
    <n v="1"/>
    <n v="0.24"/>
    <n v="0.2273"/>
    <n v="0.2273"/>
    <n v="0.65"/>
    <n v="0.19400000000000001"/>
    <n v="5"/>
    <n v="40"/>
    <n v="45"/>
    <x v="1"/>
    <x v="0"/>
    <s v="Winter"/>
    <s v="Tuesday"/>
    <x v="3"/>
    <n v="3.3"/>
    <n v="-1"/>
    <n v="65"/>
    <n v="13"/>
    <n v="0.88888888888888884"/>
    <x v="0"/>
    <n v="-0.51"/>
    <s v=""/>
    <s v="OK"/>
    <s v="No"/>
  </r>
  <r>
    <n v="570"/>
    <s v="Merge 1+2"/>
    <n v="570"/>
    <n v="570"/>
    <n v="0"/>
    <x v="24"/>
    <n v="1"/>
    <n v="0"/>
    <n v="1"/>
    <x v="22"/>
    <b v="0"/>
    <n v="2"/>
    <n v="1"/>
    <n v="0.22"/>
    <n v="0.2273"/>
    <n v="0.2273"/>
    <n v="0.64"/>
    <n v="0.16420000000000001"/>
    <n v="4"/>
    <n v="49"/>
    <n v="53"/>
    <x v="1"/>
    <x v="0"/>
    <s v="Winter"/>
    <s v="Tuesday"/>
    <x v="3"/>
    <n v="2.2999999999999998"/>
    <n v="-1"/>
    <n v="64"/>
    <n v="11"/>
    <n v="0.92452830188679247"/>
    <x v="0"/>
    <n v="1.51"/>
    <s v=""/>
    <s v="OK"/>
    <s v="No"/>
  </r>
  <r>
    <n v="571"/>
    <s v="Merge 1+2"/>
    <n v="571"/>
    <n v="571"/>
    <n v="0"/>
    <x v="24"/>
    <n v="1"/>
    <n v="0"/>
    <n v="1"/>
    <x v="23"/>
    <b v="0"/>
    <n v="2"/>
    <n v="2"/>
    <n v="0.22"/>
    <n v="0.2273"/>
    <n v="0.2273"/>
    <n v="0.64"/>
    <n v="0.16420000000000001"/>
    <n v="3"/>
    <n v="37"/>
    <n v="40"/>
    <x v="1"/>
    <x v="1"/>
    <s v="Winter"/>
    <s v="Tuesday"/>
    <x v="3"/>
    <n v="2.2999999999999998"/>
    <n v="-1"/>
    <n v="64"/>
    <n v="11"/>
    <n v="0.92500000000000004"/>
    <x v="0"/>
    <n v="1.57"/>
    <s v=""/>
    <s v="OK"/>
    <s v="No"/>
  </r>
  <r>
    <n v="572"/>
    <s v="Merge 1+2"/>
    <n v="572"/>
    <n v="572"/>
    <n v="0"/>
    <x v="25"/>
    <n v="1"/>
    <n v="0"/>
    <n v="1"/>
    <x v="0"/>
    <b v="0"/>
    <n v="3"/>
    <n v="2"/>
    <n v="0.22"/>
    <n v="0.2273"/>
    <n v="0.2273"/>
    <n v="0.69"/>
    <n v="0.1343"/>
    <n v="3"/>
    <n v="14"/>
    <n v="17"/>
    <x v="1"/>
    <x v="1"/>
    <s v="Winter"/>
    <s v="Wednesday"/>
    <x v="0"/>
    <n v="2.2999999999999998"/>
    <n v="-1"/>
    <n v="69"/>
    <n v="9"/>
    <n v="0.82352941176470584"/>
    <x v="0"/>
    <n v="1.35"/>
    <s v=""/>
    <s v="OK"/>
    <s v="No"/>
  </r>
  <r>
    <n v="573"/>
    <s v="Merge 1+2"/>
    <n v="573"/>
    <n v="573"/>
    <n v="0"/>
    <x v="25"/>
    <n v="1"/>
    <n v="0"/>
    <n v="1"/>
    <x v="1"/>
    <b v="0"/>
    <n v="3"/>
    <n v="2"/>
    <n v="0.24"/>
    <n v="0.2424"/>
    <n v="0.2424"/>
    <n v="0.65"/>
    <n v="0.1343"/>
    <n v="0"/>
    <n v="5"/>
    <n v="5"/>
    <x v="1"/>
    <x v="1"/>
    <s v="Winter"/>
    <s v="Wednesday"/>
    <x v="0"/>
    <n v="3.3"/>
    <n v="0"/>
    <n v="65"/>
    <n v="9"/>
    <n v="1"/>
    <x v="1"/>
    <n v="0.14000000000000001"/>
    <s v=""/>
    <s v="OK"/>
    <s v="No"/>
  </r>
  <r>
    <n v="574"/>
    <s v="Merge 1+2"/>
    <n v="574"/>
    <n v="574"/>
    <n v="0"/>
    <x v="25"/>
    <n v="1"/>
    <n v="0"/>
    <n v="1"/>
    <x v="2"/>
    <b v="0"/>
    <n v="3"/>
    <n v="3"/>
    <n v="0.22"/>
    <n v="0.2273"/>
    <n v="0.2273"/>
    <n v="0.69"/>
    <n v="0.19400000000000001"/>
    <n v="3"/>
    <n v="7"/>
    <n v="10"/>
    <x v="1"/>
    <x v="2"/>
    <s v="Winter"/>
    <s v="Wednesday"/>
    <x v="0"/>
    <n v="2.2999999999999998"/>
    <n v="-1"/>
    <n v="69"/>
    <n v="13"/>
    <n v="0.7"/>
    <x v="1"/>
    <n v="4.34"/>
    <s v="High anomaly"/>
    <s v="OK"/>
    <s v="No"/>
  </r>
  <r>
    <n v="575"/>
    <s v="Merge 1+2"/>
    <n v="575"/>
    <n v="575"/>
    <n v="0"/>
    <x v="25"/>
    <n v="1"/>
    <n v="0"/>
    <n v="1"/>
    <x v="5"/>
    <b v="0"/>
    <n v="3"/>
    <n v="3"/>
    <n v="0.2"/>
    <n v="0.18179999999999999"/>
    <n v="0.18179999999999999"/>
    <n v="0.86"/>
    <n v="0.28360000000000002"/>
    <n v="0"/>
    <n v="1"/>
    <n v="1"/>
    <x v="1"/>
    <x v="2"/>
    <s v="Winter"/>
    <s v="Wednesday"/>
    <x v="0"/>
    <n v="1.4"/>
    <n v="-4"/>
    <n v="86"/>
    <n v="19"/>
    <n v="1"/>
    <x v="1"/>
    <n v="-1.7"/>
    <s v=""/>
    <s v="OK"/>
    <s v="No"/>
  </r>
  <r>
    <n v="576"/>
    <s v="Merge 1+2"/>
    <n v="576"/>
    <n v="576"/>
    <n v="0"/>
    <x v="25"/>
    <n v="1"/>
    <n v="0"/>
    <n v="1"/>
    <x v="6"/>
    <b v="0"/>
    <n v="3"/>
    <n v="3"/>
    <n v="0.2"/>
    <n v="0.18179999999999999"/>
    <n v="0.18179999999999999"/>
    <n v="0.86"/>
    <n v="0.28360000000000002"/>
    <n v="0"/>
    <n v="8"/>
    <n v="8"/>
    <x v="1"/>
    <x v="2"/>
    <s v="Winter"/>
    <s v="Wednesday"/>
    <x v="1"/>
    <n v="1.4"/>
    <n v="-4"/>
    <n v="86"/>
    <n v="19"/>
    <n v="1"/>
    <x v="1"/>
    <n v="-2.33"/>
    <s v=""/>
    <s v="OK"/>
    <s v="No"/>
  </r>
  <r>
    <n v="577"/>
    <s v="Merge 1+2"/>
    <n v="577"/>
    <n v="577"/>
    <n v="0"/>
    <x v="25"/>
    <n v="1"/>
    <n v="0"/>
    <n v="1"/>
    <x v="7"/>
    <b v="0"/>
    <n v="3"/>
    <n v="3"/>
    <n v="0.22"/>
    <n v="0.21210000000000001"/>
    <n v="0.21210000000000001"/>
    <n v="0.87"/>
    <n v="0.29849999999999999"/>
    <n v="1"/>
    <n v="29"/>
    <n v="30"/>
    <x v="1"/>
    <x v="2"/>
    <s v="Winter"/>
    <s v="Wednesday"/>
    <x v="1"/>
    <n v="2.2999999999999998"/>
    <n v="-2"/>
    <n v="87"/>
    <n v="20"/>
    <n v="0.96666666666666667"/>
    <x v="0"/>
    <n v="-2.62"/>
    <s v=""/>
    <s v="OK"/>
    <s v="No"/>
  </r>
  <r>
    <n v="578"/>
    <s v="Merge 1+2"/>
    <n v="578"/>
    <n v="578"/>
    <n v="0"/>
    <x v="25"/>
    <n v="1"/>
    <n v="0"/>
    <n v="1"/>
    <x v="8"/>
    <b v="0"/>
    <n v="3"/>
    <n v="3"/>
    <n v="0.22"/>
    <n v="0.21210000000000001"/>
    <n v="0.21210000000000001"/>
    <n v="0.87"/>
    <n v="0.29849999999999999"/>
    <n v="3"/>
    <n v="69"/>
    <n v="72"/>
    <x v="1"/>
    <x v="2"/>
    <s v="Winter"/>
    <s v="Wednesday"/>
    <x v="1"/>
    <n v="2.2999999999999998"/>
    <n v="-2"/>
    <n v="87"/>
    <n v="20"/>
    <n v="0.95833333333333337"/>
    <x v="0"/>
    <n v="-2.96"/>
    <s v=""/>
    <s v="OK"/>
    <s v="No"/>
  </r>
  <r>
    <n v="579"/>
    <s v="Merge 1+2"/>
    <n v="579"/>
    <n v="579"/>
    <n v="0"/>
    <x v="25"/>
    <n v="1"/>
    <n v="0"/>
    <n v="1"/>
    <x v="9"/>
    <b v="0"/>
    <n v="3"/>
    <n v="3"/>
    <n v="0.22"/>
    <n v="0.21210000000000001"/>
    <n v="0.21210000000000001"/>
    <n v="0.87"/>
    <n v="0.29849999999999999"/>
    <n v="3"/>
    <n v="55"/>
    <n v="58"/>
    <x v="1"/>
    <x v="2"/>
    <s v="Winter"/>
    <s v="Wednesday"/>
    <x v="1"/>
    <n v="2.2999999999999998"/>
    <n v="-2"/>
    <n v="87"/>
    <n v="20"/>
    <n v="0.94827586206896552"/>
    <x v="0"/>
    <n v="-2.69"/>
    <s v=""/>
    <s v="OK"/>
    <s v="No"/>
  </r>
  <r>
    <n v="580"/>
    <s v="Merge 1+2"/>
    <n v="580"/>
    <n v="580"/>
    <n v="0"/>
    <x v="25"/>
    <n v="1"/>
    <n v="0"/>
    <n v="1"/>
    <x v="10"/>
    <b v="0"/>
    <n v="3"/>
    <n v="3"/>
    <n v="0.22"/>
    <n v="0.21210000000000001"/>
    <n v="0.21210000000000001"/>
    <n v="0.93"/>
    <n v="0.28360000000000002"/>
    <n v="2"/>
    <n v="26"/>
    <n v="28"/>
    <x v="1"/>
    <x v="2"/>
    <s v="Winter"/>
    <s v="Wednesday"/>
    <x v="1"/>
    <n v="2.2999999999999998"/>
    <n v="-2"/>
    <n v="93"/>
    <n v="19"/>
    <n v="0.9285714285714286"/>
    <x v="0"/>
    <n v="-2.04"/>
    <s v=""/>
    <s v="OK"/>
    <s v="No"/>
  </r>
  <r>
    <n v="581"/>
    <s v="Merge 1+2"/>
    <n v="581"/>
    <n v="581"/>
    <n v="0"/>
    <x v="25"/>
    <n v="1"/>
    <n v="0"/>
    <n v="1"/>
    <x v="11"/>
    <b v="0"/>
    <n v="3"/>
    <n v="3"/>
    <n v="0.22"/>
    <n v="0.19700000000000001"/>
    <n v="0.19700000000000001"/>
    <n v="0.93"/>
    <n v="0.32840000000000003"/>
    <n v="6"/>
    <n v="35"/>
    <n v="41"/>
    <x v="1"/>
    <x v="2"/>
    <s v="Winter"/>
    <s v="Wednesday"/>
    <x v="1"/>
    <n v="2.2999999999999998"/>
    <n v="-3"/>
    <n v="93"/>
    <n v="22"/>
    <n v="0.85365853658536583"/>
    <x v="0"/>
    <n v="-0.82"/>
    <s v=""/>
    <s v="OK"/>
    <s v="No"/>
  </r>
  <r>
    <n v="582"/>
    <s v="Merge 1+2"/>
    <n v="582"/>
    <n v="582"/>
    <n v="0"/>
    <x v="25"/>
    <n v="1"/>
    <n v="0"/>
    <n v="1"/>
    <x v="12"/>
    <b v="0"/>
    <n v="3"/>
    <n v="3"/>
    <n v="0.22"/>
    <n v="0.19700000000000001"/>
    <n v="0.19700000000000001"/>
    <n v="0.93"/>
    <n v="0.32840000000000003"/>
    <n v="7"/>
    <n v="41"/>
    <n v="48"/>
    <x v="1"/>
    <x v="2"/>
    <s v="Winter"/>
    <s v="Wednesday"/>
    <x v="2"/>
    <n v="2.2999999999999998"/>
    <n v="-3"/>
    <n v="93"/>
    <n v="22"/>
    <n v="0.85416666666666663"/>
    <x v="0"/>
    <n v="-0.85"/>
    <s v=""/>
    <s v="OK"/>
    <s v="No"/>
  </r>
  <r>
    <n v="583"/>
    <s v="Merge 1+2"/>
    <n v="583"/>
    <n v="583"/>
    <n v="0"/>
    <x v="25"/>
    <n v="1"/>
    <n v="0"/>
    <n v="1"/>
    <x v="13"/>
    <b v="0"/>
    <n v="3"/>
    <n v="3"/>
    <n v="0.22"/>
    <n v="0.19700000000000001"/>
    <n v="0.19700000000000001"/>
    <n v="0.93"/>
    <n v="0.32840000000000003"/>
    <n v="4"/>
    <n v="43"/>
    <n v="47"/>
    <x v="1"/>
    <x v="2"/>
    <s v="Winter"/>
    <s v="Wednesday"/>
    <x v="2"/>
    <n v="2.2999999999999998"/>
    <n v="-3"/>
    <n v="93"/>
    <n v="22"/>
    <n v="0.91489361702127658"/>
    <x v="0"/>
    <n v="-0.97"/>
    <s v=""/>
    <s v="OK"/>
    <s v="No"/>
  </r>
  <r>
    <n v="584"/>
    <s v="Merge 1+2"/>
    <n v="584"/>
    <n v="584"/>
    <n v="0"/>
    <x v="25"/>
    <n v="1"/>
    <n v="0"/>
    <n v="1"/>
    <x v="14"/>
    <b v="0"/>
    <n v="3"/>
    <n v="3"/>
    <n v="0.22"/>
    <n v="0.19700000000000001"/>
    <n v="0.19700000000000001"/>
    <n v="0.93"/>
    <n v="0.35820000000000002"/>
    <n v="0"/>
    <n v="36"/>
    <n v="36"/>
    <x v="1"/>
    <x v="2"/>
    <s v="Winter"/>
    <s v="Wednesday"/>
    <x v="2"/>
    <n v="2.2999999999999998"/>
    <n v="-3"/>
    <n v="93"/>
    <n v="24"/>
    <n v="1"/>
    <x v="0"/>
    <n v="-1.48"/>
    <s v=""/>
    <s v="OK"/>
    <s v="No"/>
  </r>
  <r>
    <n v="585"/>
    <s v="Merge 1+2"/>
    <n v="585"/>
    <n v="585"/>
    <n v="0"/>
    <x v="25"/>
    <n v="1"/>
    <n v="0"/>
    <n v="1"/>
    <x v="15"/>
    <b v="0"/>
    <n v="3"/>
    <n v="3"/>
    <n v="0.22"/>
    <n v="0.18179999999999999"/>
    <n v="0.18179999999999999"/>
    <n v="0.93"/>
    <n v="0.4627"/>
    <n v="1"/>
    <n v="42"/>
    <n v="43"/>
    <x v="1"/>
    <x v="2"/>
    <s v="Winter"/>
    <s v="Wednesday"/>
    <x v="2"/>
    <n v="2.2999999999999998"/>
    <n v="-4"/>
    <n v="93"/>
    <n v="31"/>
    <n v="0.97674418604651159"/>
    <x v="0"/>
    <n v="-1.23"/>
    <s v=""/>
    <s v="OK"/>
    <s v="No"/>
  </r>
  <r>
    <n v="586"/>
    <s v="Merge 1+2"/>
    <n v="586"/>
    <n v="586"/>
    <n v="0"/>
    <x v="25"/>
    <n v="1"/>
    <n v="0"/>
    <n v="1"/>
    <x v="16"/>
    <b v="0"/>
    <n v="3"/>
    <n v="4"/>
    <n v="0.22"/>
    <n v="0.19700000000000001"/>
    <n v="0.19700000000000001"/>
    <n v="0.93"/>
    <n v="0.32840000000000003"/>
    <n v="1"/>
    <n v="35"/>
    <n v="36"/>
    <x v="1"/>
    <x v="3"/>
    <s v="Winter"/>
    <s v="Wednesday"/>
    <x v="2"/>
    <n v="2.2999999999999998"/>
    <n v="-3"/>
    <n v="93"/>
    <n v="22"/>
    <n v="0.97222222222222221"/>
    <x v="0"/>
    <n v="-2.21"/>
    <s v=""/>
    <s v="OK"/>
    <s v="No"/>
  </r>
  <r>
    <n v="587"/>
    <s v="Merge 1+2"/>
    <n v="587"/>
    <n v="587"/>
    <n v="0"/>
    <x v="25"/>
    <n v="1"/>
    <n v="0"/>
    <n v="1"/>
    <x v="17"/>
    <b v="0"/>
    <n v="3"/>
    <n v="3"/>
    <n v="0.2"/>
    <n v="0.18179999999999999"/>
    <n v="0.18179999999999999"/>
    <n v="0.93"/>
    <n v="0.35820000000000002"/>
    <n v="0"/>
    <n v="26"/>
    <n v="26"/>
    <x v="1"/>
    <x v="2"/>
    <s v="Winter"/>
    <s v="Wednesday"/>
    <x v="2"/>
    <n v="1.4"/>
    <n v="-4"/>
    <n v="93"/>
    <n v="24"/>
    <n v="1"/>
    <x v="0"/>
    <n v="-3.49"/>
    <s v="Low anomaly"/>
    <s v="OK"/>
    <s v="No"/>
  </r>
  <r>
    <n v="588"/>
    <s v="Merge 1+2"/>
    <n v="588"/>
    <n v="588"/>
    <n v="0"/>
    <x v="26"/>
    <n v="1"/>
    <n v="0"/>
    <n v="1"/>
    <x v="16"/>
    <b v="0"/>
    <n v="4"/>
    <n v="1"/>
    <n v="0.22"/>
    <n v="0.2273"/>
    <n v="0.2273"/>
    <n v="0.55000000000000004"/>
    <n v="0.19400000000000001"/>
    <n v="1"/>
    <n v="23"/>
    <n v="24"/>
    <x v="1"/>
    <x v="0"/>
    <s v="Winter"/>
    <s v="Thursday"/>
    <x v="2"/>
    <n v="2.2999999999999998"/>
    <n v="-1"/>
    <n v="55"/>
    <n v="13"/>
    <n v="0.95833333333333337"/>
    <x v="0"/>
    <n v="-2.78"/>
    <s v=""/>
    <s v="OK"/>
    <s v="No"/>
  </r>
  <r>
    <n v="589"/>
    <s v="Merge 1+2"/>
    <n v="589"/>
    <n v="589"/>
    <n v="0"/>
    <x v="26"/>
    <n v="1"/>
    <n v="0"/>
    <n v="1"/>
    <x v="17"/>
    <b v="0"/>
    <n v="4"/>
    <n v="1"/>
    <n v="0.22"/>
    <n v="0.2424"/>
    <n v="0.2424"/>
    <n v="0.55000000000000004"/>
    <n v="0.1045"/>
    <n v="2"/>
    <n v="82"/>
    <n v="84"/>
    <x v="1"/>
    <x v="0"/>
    <s v="Winter"/>
    <s v="Thursday"/>
    <x v="2"/>
    <n v="2.2999999999999998"/>
    <n v="0"/>
    <n v="55"/>
    <n v="7"/>
    <n v="0.97619047619047616"/>
    <x v="2"/>
    <n v="-2.0699999999999998"/>
    <s v=""/>
    <s v="OK"/>
    <s v="No"/>
  </r>
  <r>
    <n v="590"/>
    <s v="Merge 1+2"/>
    <n v="590"/>
    <n v="590"/>
    <n v="0"/>
    <x v="26"/>
    <n v="1"/>
    <n v="0"/>
    <n v="1"/>
    <x v="18"/>
    <b v="0"/>
    <n v="4"/>
    <n v="1"/>
    <n v="0.2"/>
    <n v="0.2273"/>
    <n v="0.2273"/>
    <n v="0.69"/>
    <n v="8.9599999999999999E-2"/>
    <n v="3"/>
    <n v="101"/>
    <n v="104"/>
    <x v="1"/>
    <x v="0"/>
    <s v="Winter"/>
    <s v="Thursday"/>
    <x v="3"/>
    <n v="1.4"/>
    <n v="-1"/>
    <n v="69"/>
    <n v="6"/>
    <n v="0.97115384615384615"/>
    <x v="2"/>
    <n v="-1.79"/>
    <s v=""/>
    <s v="OK"/>
    <s v="No"/>
  </r>
  <r>
    <n v="591"/>
    <s v="Merge 1+2"/>
    <n v="591"/>
    <n v="591"/>
    <n v="0"/>
    <x v="26"/>
    <n v="1"/>
    <n v="0"/>
    <n v="1"/>
    <x v="19"/>
    <b v="0"/>
    <n v="4"/>
    <n v="1"/>
    <n v="0.2"/>
    <n v="0.2273"/>
    <n v="0.2273"/>
    <n v="0.69"/>
    <n v="8.9599999999999999E-2"/>
    <n v="3"/>
    <n v="76"/>
    <n v="79"/>
    <x v="1"/>
    <x v="0"/>
    <s v="Winter"/>
    <s v="Thursday"/>
    <x v="3"/>
    <n v="1.4"/>
    <n v="-1"/>
    <n v="69"/>
    <n v="6"/>
    <n v="0.96202531645569622"/>
    <x v="0"/>
    <n v="-1.23"/>
    <s v=""/>
    <s v="OK"/>
    <s v="No"/>
  </r>
  <r>
    <n v="592"/>
    <s v="Merge 1+2"/>
    <n v="592"/>
    <n v="592"/>
    <n v="0"/>
    <x v="26"/>
    <n v="1"/>
    <n v="0"/>
    <n v="1"/>
    <x v="20"/>
    <b v="0"/>
    <n v="4"/>
    <n v="1"/>
    <n v="0.18"/>
    <n v="0.21210000000000001"/>
    <n v="0.21210000000000001"/>
    <n v="0.74"/>
    <n v="8.9599999999999999E-2"/>
    <n v="4"/>
    <n v="55"/>
    <n v="59"/>
    <x v="1"/>
    <x v="0"/>
    <s v="Winter"/>
    <s v="Thursday"/>
    <x v="3"/>
    <n v="0.5"/>
    <n v="-2"/>
    <n v="74"/>
    <n v="6"/>
    <n v="0.93220338983050843"/>
    <x v="0"/>
    <n v="-0.69"/>
    <s v=""/>
    <s v="OK"/>
    <s v="No"/>
  </r>
  <r>
    <n v="593"/>
    <s v="Merge 1+2"/>
    <n v="593"/>
    <n v="593"/>
    <n v="0"/>
    <x v="26"/>
    <n v="1"/>
    <n v="0"/>
    <n v="1"/>
    <x v="21"/>
    <b v="0"/>
    <n v="4"/>
    <n v="1"/>
    <n v="0.18"/>
    <n v="0.21210000000000001"/>
    <n v="0.21210000000000001"/>
    <n v="0.74"/>
    <n v="8.9599999999999999E-2"/>
    <n v="2"/>
    <n v="36"/>
    <n v="38"/>
    <x v="1"/>
    <x v="0"/>
    <s v="Winter"/>
    <s v="Thursday"/>
    <x v="3"/>
    <n v="0.5"/>
    <n v="-2"/>
    <n v="74"/>
    <n v="6"/>
    <n v="0.94736842105263153"/>
    <x v="0"/>
    <n v="-1.04"/>
    <s v=""/>
    <s v="OK"/>
    <s v="No"/>
  </r>
  <r>
    <n v="594"/>
    <s v="Merge 1+2"/>
    <n v="594"/>
    <n v="594"/>
    <n v="0"/>
    <x v="26"/>
    <n v="1"/>
    <n v="0"/>
    <n v="1"/>
    <x v="22"/>
    <b v="0"/>
    <n v="4"/>
    <n v="1"/>
    <n v="0.18"/>
    <n v="0.21210000000000001"/>
    <n v="0.21210000000000001"/>
    <n v="0.74"/>
    <n v="8.9599999999999999E-2"/>
    <n v="0"/>
    <n v="27"/>
    <n v="27"/>
    <x v="1"/>
    <x v="0"/>
    <s v="Winter"/>
    <s v="Thursday"/>
    <x v="3"/>
    <n v="0.5"/>
    <n v="-2"/>
    <n v="74"/>
    <n v="6"/>
    <n v="1"/>
    <x v="0"/>
    <n v="-1.1000000000000001"/>
    <s v=""/>
    <s v="OK"/>
    <s v="No"/>
  </r>
  <r>
    <n v="595"/>
    <s v="Merge 1+2"/>
    <n v="595"/>
    <n v="595"/>
    <n v="0"/>
    <x v="26"/>
    <n v="1"/>
    <n v="0"/>
    <n v="1"/>
    <x v="23"/>
    <b v="0"/>
    <n v="4"/>
    <n v="1"/>
    <n v="0.18"/>
    <n v="0.19700000000000001"/>
    <n v="0.19700000000000001"/>
    <n v="0.8"/>
    <n v="0.16420000000000001"/>
    <n v="0"/>
    <n v="16"/>
    <n v="16"/>
    <x v="1"/>
    <x v="0"/>
    <s v="Winter"/>
    <s v="Thursday"/>
    <x v="3"/>
    <n v="0.5"/>
    <n v="-3"/>
    <n v="80"/>
    <n v="11"/>
    <n v="1"/>
    <x v="0"/>
    <n v="-0.84"/>
    <s v=""/>
    <s v="OK"/>
    <s v="No"/>
  </r>
  <r>
    <n v="596"/>
    <s v="Merge 1+2"/>
    <n v="596"/>
    <n v="596"/>
    <n v="0"/>
    <x v="27"/>
    <n v="1"/>
    <n v="0"/>
    <n v="1"/>
    <x v="0"/>
    <b v="0"/>
    <n v="5"/>
    <n v="2"/>
    <n v="0.2"/>
    <n v="0.21210000000000001"/>
    <n v="0.21210000000000001"/>
    <n v="0.75"/>
    <n v="0.1343"/>
    <n v="0"/>
    <n v="9"/>
    <n v="9"/>
    <x v="1"/>
    <x v="1"/>
    <s v="Winter"/>
    <s v="Friday"/>
    <x v="0"/>
    <n v="1.4"/>
    <n v="-2"/>
    <n v="75"/>
    <n v="9"/>
    <n v="1"/>
    <x v="1"/>
    <n v="-0.3"/>
    <s v=""/>
    <s v="OK"/>
    <s v="No"/>
  </r>
  <r>
    <n v="597"/>
    <s v="Merge 1+2"/>
    <n v="597"/>
    <n v="597"/>
    <n v="0"/>
    <x v="27"/>
    <n v="1"/>
    <n v="0"/>
    <n v="1"/>
    <x v="1"/>
    <b v="0"/>
    <n v="5"/>
    <n v="2"/>
    <n v="0.2"/>
    <n v="0.21210000000000001"/>
    <n v="0.21210000000000001"/>
    <n v="0.75"/>
    <n v="0.1343"/>
    <n v="1"/>
    <n v="2"/>
    <n v="3"/>
    <x v="1"/>
    <x v="1"/>
    <s v="Winter"/>
    <s v="Friday"/>
    <x v="0"/>
    <n v="1.4"/>
    <n v="-2"/>
    <n v="75"/>
    <n v="9"/>
    <n v="0.66666666666666663"/>
    <x v="1"/>
    <n v="-0.85"/>
    <s v=""/>
    <s v="OK"/>
    <s v="No"/>
  </r>
  <r>
    <n v="598"/>
    <s v="Merge 1+2"/>
    <n v="598"/>
    <n v="598"/>
    <n v="0"/>
    <x v="27"/>
    <n v="1"/>
    <n v="0"/>
    <n v="1"/>
    <x v="2"/>
    <b v="0"/>
    <n v="5"/>
    <n v="2"/>
    <n v="0.2"/>
    <n v="0.21210000000000001"/>
    <n v="0.21210000000000001"/>
    <n v="0.75"/>
    <n v="0.16420000000000001"/>
    <n v="0"/>
    <n v="2"/>
    <n v="2"/>
    <x v="1"/>
    <x v="1"/>
    <s v="Winter"/>
    <s v="Friday"/>
    <x v="0"/>
    <n v="1.4"/>
    <n v="-2"/>
    <n v="75"/>
    <n v="11"/>
    <n v="1"/>
    <x v="1"/>
    <n v="-0.24"/>
    <s v=""/>
    <s v="OK"/>
    <s v="No"/>
  </r>
  <r>
    <n v="599"/>
    <s v="Merge 1+2"/>
    <n v="599"/>
    <n v="599"/>
    <n v="0"/>
    <x v="27"/>
    <n v="1"/>
    <n v="0"/>
    <n v="1"/>
    <x v="3"/>
    <b v="0"/>
    <n v="5"/>
    <n v="2"/>
    <n v="0.2"/>
    <n v="0.2273"/>
    <n v="0.2273"/>
    <n v="0.75"/>
    <n v="0.1045"/>
    <n v="1"/>
    <n v="0"/>
    <n v="1"/>
    <x v="1"/>
    <x v="1"/>
    <s v="Winter"/>
    <s v="Friday"/>
    <x v="0"/>
    <n v="1.4"/>
    <n v="-1"/>
    <n v="75"/>
    <n v="7"/>
    <n v="0"/>
    <x v="1"/>
    <n v="-0.61"/>
    <s v=""/>
    <s v="OK"/>
    <s v="No"/>
  </r>
  <r>
    <n v="600"/>
    <s v="Merge 1+2"/>
    <n v="600"/>
    <n v="600"/>
    <n v="0"/>
    <x v="27"/>
    <n v="1"/>
    <n v="0"/>
    <n v="1"/>
    <x v="5"/>
    <b v="0"/>
    <n v="5"/>
    <n v="2"/>
    <n v="0.18"/>
    <n v="0.21210000000000001"/>
    <n v="0.21210000000000001"/>
    <n v="0.8"/>
    <n v="0.1045"/>
    <n v="0"/>
    <n v="4"/>
    <n v="4"/>
    <x v="1"/>
    <x v="1"/>
    <s v="Winter"/>
    <s v="Friday"/>
    <x v="0"/>
    <n v="0.5"/>
    <n v="-2"/>
    <n v="80"/>
    <n v="7"/>
    <n v="1"/>
    <x v="1"/>
    <n v="-0.38"/>
    <s v=""/>
    <s v="OK"/>
    <s v="No"/>
  </r>
  <r>
    <n v="601"/>
    <s v="Merge 1+2"/>
    <n v="601"/>
    <n v="601"/>
    <n v="0"/>
    <x v="27"/>
    <n v="1"/>
    <n v="0"/>
    <n v="1"/>
    <x v="6"/>
    <b v="0"/>
    <n v="5"/>
    <n v="2"/>
    <n v="0.18"/>
    <n v="0.19700000000000001"/>
    <n v="0.19700000000000001"/>
    <n v="0.8"/>
    <n v="0.1343"/>
    <n v="0"/>
    <n v="16"/>
    <n v="16"/>
    <x v="1"/>
    <x v="1"/>
    <s v="Winter"/>
    <s v="Friday"/>
    <x v="1"/>
    <n v="0.5"/>
    <n v="-3"/>
    <n v="80"/>
    <n v="9"/>
    <n v="1"/>
    <x v="0"/>
    <n v="-1.41"/>
    <s v=""/>
    <s v="OK"/>
    <s v="No"/>
  </r>
  <r>
    <n v="602"/>
    <s v="Merge 1+2"/>
    <n v="602"/>
    <n v="602"/>
    <n v="0"/>
    <x v="27"/>
    <n v="1"/>
    <n v="0"/>
    <n v="1"/>
    <x v="7"/>
    <b v="0"/>
    <n v="5"/>
    <n v="2"/>
    <n v="0.16"/>
    <n v="0.19700000000000001"/>
    <n v="0.19700000000000001"/>
    <n v="0.86"/>
    <n v="8.9599999999999999E-2"/>
    <n v="2"/>
    <n v="58"/>
    <n v="60"/>
    <x v="1"/>
    <x v="1"/>
    <s v="Winter"/>
    <s v="Friday"/>
    <x v="1"/>
    <n v="-0.5"/>
    <n v="-3"/>
    <n v="86"/>
    <n v="6"/>
    <n v="0.96666666666666667"/>
    <x v="0"/>
    <n v="-1.06"/>
    <s v=""/>
    <s v="OK"/>
    <s v="No"/>
  </r>
  <r>
    <n v="603"/>
    <s v="Merge 1+2"/>
    <n v="603"/>
    <n v="603"/>
    <n v="0"/>
    <x v="27"/>
    <n v="1"/>
    <n v="0"/>
    <n v="1"/>
    <x v="8"/>
    <b v="0"/>
    <n v="5"/>
    <n v="2"/>
    <n v="0.16"/>
    <n v="0.19700000000000001"/>
    <n v="0.19700000000000001"/>
    <n v="0.86"/>
    <n v="8.9599999999999999E-2"/>
    <n v="2"/>
    <n v="155"/>
    <n v="157"/>
    <x v="1"/>
    <x v="1"/>
    <s v="Winter"/>
    <s v="Friday"/>
    <x v="1"/>
    <n v="-0.5"/>
    <n v="-3"/>
    <n v="86"/>
    <n v="6"/>
    <n v="0.98726114649681529"/>
    <x v="2"/>
    <n v="-0.81"/>
    <s v=""/>
    <s v="OK"/>
    <s v="No"/>
  </r>
  <r>
    <n v="604"/>
    <s v="Merge 1+2"/>
    <n v="604"/>
    <n v="604"/>
    <n v="0"/>
    <x v="27"/>
    <n v="1"/>
    <n v="0"/>
    <n v="1"/>
    <x v="9"/>
    <b v="0"/>
    <n v="5"/>
    <n v="3"/>
    <n v="0.18"/>
    <n v="0.21210000000000001"/>
    <n v="0.21210000000000001"/>
    <n v="0.86"/>
    <n v="8.9599999999999999E-2"/>
    <n v="6"/>
    <n v="95"/>
    <n v="101"/>
    <x v="1"/>
    <x v="2"/>
    <s v="Winter"/>
    <s v="Friday"/>
    <x v="1"/>
    <n v="0.5"/>
    <n v="-2"/>
    <n v="86"/>
    <n v="6"/>
    <n v="0.94059405940594054"/>
    <x v="2"/>
    <n v="-0.77"/>
    <s v=""/>
    <s v="OK"/>
    <s v="No"/>
  </r>
  <r>
    <n v="605"/>
    <s v="Merge 1+2"/>
    <n v="605"/>
    <n v="605"/>
    <n v="0"/>
    <x v="27"/>
    <n v="1"/>
    <n v="0"/>
    <n v="1"/>
    <x v="10"/>
    <b v="0"/>
    <n v="5"/>
    <n v="3"/>
    <n v="0.18"/>
    <n v="0.21210000000000001"/>
    <n v="0.21210000000000001"/>
    <n v="0.86"/>
    <n v="0.1045"/>
    <n v="0"/>
    <n v="49"/>
    <n v="49"/>
    <x v="1"/>
    <x v="2"/>
    <s v="Winter"/>
    <s v="Friday"/>
    <x v="1"/>
    <n v="0.5"/>
    <n v="-2"/>
    <n v="86"/>
    <n v="7"/>
    <n v="1"/>
    <x v="0"/>
    <n v="0.02"/>
    <s v=""/>
    <s v="OK"/>
    <s v="No"/>
  </r>
  <r>
    <n v="606"/>
    <s v="Merge 1+2"/>
    <n v="606"/>
    <n v="606"/>
    <n v="0"/>
    <x v="27"/>
    <n v="1"/>
    <n v="0"/>
    <n v="1"/>
    <x v="11"/>
    <b v="0"/>
    <n v="5"/>
    <n v="3"/>
    <n v="0.18"/>
    <n v="0.21210000000000001"/>
    <n v="0.21210000000000001"/>
    <n v="0.93"/>
    <n v="0.1045"/>
    <n v="0"/>
    <n v="30"/>
    <n v="30"/>
    <x v="1"/>
    <x v="2"/>
    <s v="Winter"/>
    <s v="Friday"/>
    <x v="1"/>
    <n v="0.5"/>
    <n v="-2"/>
    <n v="93"/>
    <n v="7"/>
    <n v="1"/>
    <x v="0"/>
    <n v="-1.81"/>
    <s v=""/>
    <s v="OK"/>
    <s v="No"/>
  </r>
  <r>
    <n v="607"/>
    <s v="Merge 1+2"/>
    <n v="607"/>
    <n v="607"/>
    <n v="0"/>
    <x v="27"/>
    <n v="1"/>
    <n v="0"/>
    <n v="1"/>
    <x v="12"/>
    <b v="0"/>
    <n v="5"/>
    <n v="3"/>
    <n v="0.18"/>
    <n v="0.21210000000000001"/>
    <n v="0.21210000000000001"/>
    <n v="0.93"/>
    <n v="0.1045"/>
    <n v="1"/>
    <n v="28"/>
    <n v="29"/>
    <x v="1"/>
    <x v="2"/>
    <s v="Winter"/>
    <s v="Friday"/>
    <x v="2"/>
    <n v="0.5"/>
    <n v="-2"/>
    <n v="93"/>
    <n v="7"/>
    <n v="0.96551724137931039"/>
    <x v="0"/>
    <n v="-1.86"/>
    <s v=""/>
    <s v="OK"/>
    <s v="No"/>
  </r>
  <r>
    <n v="608"/>
    <s v="Merge 1+2"/>
    <n v="608"/>
    <n v="608"/>
    <n v="0"/>
    <x v="27"/>
    <n v="1"/>
    <n v="0"/>
    <n v="1"/>
    <x v="13"/>
    <b v="0"/>
    <n v="5"/>
    <n v="3"/>
    <n v="0.18"/>
    <n v="0.21210000000000001"/>
    <n v="0.21210000000000001"/>
    <n v="0.93"/>
    <n v="0.1045"/>
    <n v="0"/>
    <n v="31"/>
    <n v="31"/>
    <x v="1"/>
    <x v="2"/>
    <s v="Winter"/>
    <s v="Friday"/>
    <x v="2"/>
    <n v="0.5"/>
    <n v="-2"/>
    <n v="93"/>
    <n v="7"/>
    <n v="1"/>
    <x v="0"/>
    <n v="-1.77"/>
    <s v=""/>
    <s v="OK"/>
    <s v="No"/>
  </r>
  <r>
    <n v="609"/>
    <s v="Merge 1+2"/>
    <n v="609"/>
    <n v="609"/>
    <n v="0"/>
    <x v="27"/>
    <n v="1"/>
    <n v="0"/>
    <n v="1"/>
    <x v="14"/>
    <b v="0"/>
    <n v="5"/>
    <n v="3"/>
    <n v="0.22"/>
    <n v="0.2727"/>
    <n v="0.2727"/>
    <n v="0.8"/>
    <n v="0"/>
    <n v="2"/>
    <n v="36"/>
    <n v="38"/>
    <x v="1"/>
    <x v="2"/>
    <s v="Winter"/>
    <s v="Friday"/>
    <x v="2"/>
    <n v="2.2999999999999998"/>
    <n v="2"/>
    <n v="80"/>
    <n v="0"/>
    <n v="0.94736842105263153"/>
    <x v="0"/>
    <n v="-1.35"/>
    <s v=""/>
    <s v="OK"/>
    <s v="No"/>
  </r>
  <r>
    <n v="610"/>
    <s v="Merge 1+2"/>
    <n v="610"/>
    <n v="610"/>
    <n v="0"/>
    <x v="27"/>
    <n v="1"/>
    <n v="0"/>
    <n v="1"/>
    <x v="15"/>
    <b v="0"/>
    <n v="5"/>
    <n v="2"/>
    <n v="0.2"/>
    <n v="0.2576"/>
    <n v="0.2576"/>
    <n v="0.86"/>
    <n v="0"/>
    <n v="1"/>
    <n v="40"/>
    <n v="41"/>
    <x v="1"/>
    <x v="1"/>
    <s v="Winter"/>
    <s v="Friday"/>
    <x v="2"/>
    <n v="1.4"/>
    <n v="1"/>
    <n v="86"/>
    <n v="0"/>
    <n v="0.97560975609756095"/>
    <x v="0"/>
    <n v="-1.38"/>
    <s v=""/>
    <s v="OK"/>
    <s v="No"/>
  </r>
  <r>
    <n v="611"/>
    <s v="Dataset 3"/>
    <n v="0"/>
    <n v="0"/>
    <n v="1"/>
    <x v="27"/>
    <n v="1"/>
    <n v="0"/>
    <n v="1"/>
    <x v="16"/>
    <b v="0"/>
    <n v="5"/>
    <n v="1"/>
    <n v="0.22"/>
    <n v="0.2727"/>
    <n v="0.2727"/>
    <n v="0.8"/>
    <n v="0"/>
    <n v="10"/>
    <n v="70"/>
    <n v="80"/>
    <x v="1"/>
    <x v="0"/>
    <s v="Winter"/>
    <s v="Friday"/>
    <x v="2"/>
    <n v="2.2999999999999998"/>
    <n v="2"/>
    <n v="80"/>
    <n v="0"/>
    <n v="0.875"/>
    <x v="0"/>
    <n v="-0.13"/>
    <s v=""/>
    <s v="OK"/>
    <s v="No"/>
  </r>
  <r>
    <n v="612"/>
    <s v="Dataset 3"/>
    <n v="0"/>
    <n v="0"/>
    <n v="2"/>
    <x v="27"/>
    <n v="1"/>
    <n v="0"/>
    <n v="1"/>
    <x v="17"/>
    <b v="0"/>
    <n v="5"/>
    <n v="1"/>
    <n v="0.24"/>
    <n v="0.2424"/>
    <n v="0.2424"/>
    <n v="0.75"/>
    <n v="0.1343"/>
    <n v="2"/>
    <n v="147"/>
    <n v="149"/>
    <x v="1"/>
    <x v="0"/>
    <s v="Winter"/>
    <s v="Friday"/>
    <x v="2"/>
    <n v="3.3"/>
    <n v="0"/>
    <n v="75"/>
    <n v="9"/>
    <n v="0.98657718120805371"/>
    <x v="2"/>
    <n v="-0.48"/>
    <s v=""/>
    <s v="OK"/>
    <s v="No"/>
  </r>
  <r>
    <n v="613"/>
    <s v="Dataset 3"/>
    <n v="0"/>
    <n v="0"/>
    <n v="3"/>
    <x v="27"/>
    <n v="1"/>
    <n v="0"/>
    <n v="1"/>
    <x v="18"/>
    <b v="0"/>
    <n v="5"/>
    <n v="1"/>
    <n v="0.24"/>
    <n v="0.2273"/>
    <n v="0.2273"/>
    <n v="0.75"/>
    <n v="0.19400000000000001"/>
    <n v="2"/>
    <n v="107"/>
    <n v="109"/>
    <x v="1"/>
    <x v="0"/>
    <s v="Winter"/>
    <s v="Friday"/>
    <x v="3"/>
    <n v="3.3"/>
    <n v="-1"/>
    <n v="75"/>
    <n v="13"/>
    <n v="0.98165137614678899"/>
    <x v="2"/>
    <n v="-1.61"/>
    <s v=""/>
    <s v="OK"/>
    <s v="No"/>
  </r>
  <r>
    <n v="614"/>
    <s v="Dataset 3"/>
    <n v="0"/>
    <n v="0"/>
    <n v="4"/>
    <x v="27"/>
    <n v="1"/>
    <n v="0"/>
    <n v="1"/>
    <x v="19"/>
    <b v="0"/>
    <n v="5"/>
    <n v="2"/>
    <n v="0.24"/>
    <n v="0.2424"/>
    <n v="0.2424"/>
    <n v="0.75"/>
    <n v="0.1343"/>
    <n v="5"/>
    <n v="84"/>
    <n v="89"/>
    <x v="1"/>
    <x v="1"/>
    <s v="Winter"/>
    <s v="Friday"/>
    <x v="3"/>
    <n v="3.3"/>
    <n v="0"/>
    <n v="75"/>
    <n v="9"/>
    <n v="0.9438202247191011"/>
    <x v="2"/>
    <n v="-0.73"/>
    <s v=""/>
    <s v="OK"/>
    <s v="No"/>
  </r>
  <r>
    <n v="615"/>
    <s v="Dataset 3"/>
    <n v="0"/>
    <n v="0"/>
    <n v="5"/>
    <x v="27"/>
    <n v="1"/>
    <n v="0"/>
    <n v="1"/>
    <x v="20"/>
    <b v="0"/>
    <n v="5"/>
    <n v="2"/>
    <n v="0.24"/>
    <n v="0.2273"/>
    <n v="0.2273"/>
    <n v="0.7"/>
    <n v="0.19400000000000001"/>
    <n v="1"/>
    <n v="61"/>
    <n v="62"/>
    <x v="1"/>
    <x v="1"/>
    <s v="Winter"/>
    <s v="Friday"/>
    <x v="3"/>
    <n v="3.3"/>
    <n v="-1"/>
    <n v="70"/>
    <n v="13"/>
    <n v="0.9838709677419355"/>
    <x v="0"/>
    <n v="-0.55000000000000004"/>
    <s v=""/>
    <s v="OK"/>
    <s v="No"/>
  </r>
  <r>
    <n v="616"/>
    <s v="Dataset 3"/>
    <n v="0"/>
    <n v="0"/>
    <n v="6"/>
    <x v="27"/>
    <n v="1"/>
    <n v="0"/>
    <n v="1"/>
    <x v="21"/>
    <b v="0"/>
    <n v="5"/>
    <n v="2"/>
    <n v="0.22"/>
    <n v="0.2273"/>
    <n v="0.2273"/>
    <n v="0.75"/>
    <n v="0.1343"/>
    <n v="1"/>
    <n v="57"/>
    <n v="58"/>
    <x v="1"/>
    <x v="1"/>
    <s v="Winter"/>
    <s v="Friday"/>
    <x v="3"/>
    <n v="2.2999999999999998"/>
    <n v="-1"/>
    <n v="75"/>
    <n v="9"/>
    <n v="0.98275862068965514"/>
    <x v="0"/>
    <n v="0.47"/>
    <s v=""/>
    <s v="OK"/>
    <s v="No"/>
  </r>
  <r>
    <n v="617"/>
    <s v="Dataset 3"/>
    <n v="0"/>
    <n v="0"/>
    <n v="7"/>
    <x v="27"/>
    <n v="1"/>
    <n v="0"/>
    <n v="1"/>
    <x v="22"/>
    <b v="0"/>
    <n v="5"/>
    <n v="1"/>
    <n v="0.24"/>
    <n v="0.21210000000000001"/>
    <n v="0.21210000000000001"/>
    <n v="0.65"/>
    <n v="0.35820000000000002"/>
    <n v="0"/>
    <n v="26"/>
    <n v="26"/>
    <x v="1"/>
    <x v="0"/>
    <s v="Winter"/>
    <s v="Friday"/>
    <x v="3"/>
    <n v="3.3"/>
    <n v="-2"/>
    <n v="65"/>
    <n v="24"/>
    <n v="1"/>
    <x v="0"/>
    <n v="-1.21"/>
    <s v=""/>
    <s v="OK"/>
    <s v="No"/>
  </r>
  <r>
    <n v="618"/>
    <s v="Dataset 3"/>
    <n v="0"/>
    <n v="0"/>
    <n v="8"/>
    <x v="27"/>
    <n v="1"/>
    <n v="0"/>
    <n v="1"/>
    <x v="23"/>
    <b v="0"/>
    <n v="5"/>
    <n v="1"/>
    <n v="0.24"/>
    <n v="0.2273"/>
    <n v="0.2273"/>
    <n v="0.6"/>
    <n v="0.22389999999999999"/>
    <n v="1"/>
    <n v="22"/>
    <n v="23"/>
    <x v="1"/>
    <x v="0"/>
    <s v="Winter"/>
    <s v="Friday"/>
    <x v="3"/>
    <n v="3.3"/>
    <n v="-1"/>
    <n v="60"/>
    <n v="15"/>
    <n v="0.95652173913043481"/>
    <x v="0"/>
    <n v="-0.14000000000000001"/>
    <s v=""/>
    <s v="OK"/>
    <s v="No"/>
  </r>
  <r>
    <n v="619"/>
    <s v="Dataset 3"/>
    <n v="0"/>
    <n v="0"/>
    <n v="9"/>
    <x v="28"/>
    <n v="1"/>
    <n v="0"/>
    <n v="1"/>
    <x v="0"/>
    <b v="0"/>
    <n v="6"/>
    <n v="1"/>
    <n v="0.22"/>
    <n v="0.19700000000000001"/>
    <n v="0.19700000000000001"/>
    <n v="0.64"/>
    <n v="0.35820000000000002"/>
    <n v="2"/>
    <n v="26"/>
    <n v="28"/>
    <x v="0"/>
    <x v="0"/>
    <s v="Winter"/>
    <s v="Saturday"/>
    <x v="0"/>
    <n v="2.2999999999999998"/>
    <n v="-3"/>
    <n v="64"/>
    <n v="24"/>
    <n v="0.9285714285714286"/>
    <x v="0"/>
    <n v="7.0000000000000007E-2"/>
    <s v=""/>
    <s v="OK"/>
    <s v="No"/>
  </r>
  <r>
    <n v="620"/>
    <s v="Dataset 3"/>
    <n v="0"/>
    <n v="0"/>
    <n v="10"/>
    <x v="28"/>
    <n v="1"/>
    <n v="0"/>
    <n v="1"/>
    <x v="1"/>
    <b v="0"/>
    <n v="6"/>
    <n v="1"/>
    <n v="0.22"/>
    <n v="0.2273"/>
    <n v="0.2273"/>
    <n v="0.64"/>
    <n v="0.19400000000000001"/>
    <n v="0"/>
    <n v="20"/>
    <n v="20"/>
    <x v="0"/>
    <x v="0"/>
    <s v="Winter"/>
    <s v="Saturday"/>
    <x v="0"/>
    <n v="2.2999999999999998"/>
    <n v="-1"/>
    <n v="64"/>
    <n v="13"/>
    <n v="1"/>
    <x v="0"/>
    <n v="-0.2"/>
    <s v=""/>
    <s v="OK"/>
    <s v="No"/>
  </r>
  <r>
    <n v="621"/>
    <s v="Dataset 3"/>
    <n v="0"/>
    <n v="0"/>
    <n v="11"/>
    <x v="28"/>
    <n v="1"/>
    <n v="0"/>
    <n v="1"/>
    <x v="2"/>
    <b v="0"/>
    <n v="6"/>
    <n v="1"/>
    <n v="0.22"/>
    <n v="0.2273"/>
    <n v="0.2273"/>
    <n v="0.64"/>
    <n v="0.16420000000000001"/>
    <n v="0"/>
    <n v="15"/>
    <n v="15"/>
    <x v="0"/>
    <x v="0"/>
    <s v="Winter"/>
    <s v="Saturday"/>
    <x v="0"/>
    <n v="2.2999999999999998"/>
    <n v="-1"/>
    <n v="64"/>
    <n v="11"/>
    <n v="1"/>
    <x v="1"/>
    <n v="-7.0000000000000007E-2"/>
    <s v=""/>
    <s v="OK"/>
    <s v="No"/>
  </r>
  <r>
    <n v="622"/>
    <s v="Dataset 3"/>
    <n v="0"/>
    <n v="0"/>
    <n v="12"/>
    <x v="28"/>
    <n v="1"/>
    <n v="0"/>
    <n v="1"/>
    <x v="3"/>
    <b v="0"/>
    <n v="6"/>
    <n v="1"/>
    <n v="0.2"/>
    <n v="0.21210000000000001"/>
    <n v="0.21210000000000001"/>
    <n v="0.64"/>
    <n v="0.1343"/>
    <n v="3"/>
    <n v="5"/>
    <n v="8"/>
    <x v="0"/>
    <x v="0"/>
    <s v="Winter"/>
    <s v="Saturday"/>
    <x v="0"/>
    <n v="1.4"/>
    <n v="-2"/>
    <n v="64"/>
    <n v="9"/>
    <n v="0.625"/>
    <x v="1"/>
    <n v="-0.16"/>
    <s v=""/>
    <s v="OK"/>
    <s v="No"/>
  </r>
  <r>
    <n v="623"/>
    <s v="Dataset 3"/>
    <n v="0"/>
    <n v="0"/>
    <n v="13"/>
    <x v="28"/>
    <n v="1"/>
    <n v="0"/>
    <n v="1"/>
    <x v="4"/>
    <b v="0"/>
    <n v="6"/>
    <n v="1"/>
    <n v="0.16"/>
    <n v="0.18179999999999999"/>
    <n v="0.18179999999999999"/>
    <n v="0.69"/>
    <n v="0.1045"/>
    <n v="1"/>
    <n v="2"/>
    <n v="3"/>
    <x v="0"/>
    <x v="0"/>
    <s v="Winter"/>
    <s v="Saturday"/>
    <x v="0"/>
    <n v="-0.5"/>
    <n v="-4"/>
    <n v="69"/>
    <n v="7"/>
    <n v="0.66666666666666663"/>
    <x v="1"/>
    <n v="0.14000000000000001"/>
    <s v=""/>
    <s v="OK"/>
    <s v="No"/>
  </r>
  <r>
    <n v="624"/>
    <s v="Dataset 3"/>
    <n v="0"/>
    <n v="0"/>
    <n v="14"/>
    <x v="28"/>
    <n v="1"/>
    <n v="0"/>
    <n v="1"/>
    <x v="6"/>
    <b v="0"/>
    <n v="6"/>
    <n v="1"/>
    <n v="0.16"/>
    <n v="0.18179999999999999"/>
    <n v="0.18179999999999999"/>
    <n v="0.64"/>
    <n v="0.1343"/>
    <n v="0"/>
    <n v="2"/>
    <n v="2"/>
    <x v="0"/>
    <x v="0"/>
    <s v="Winter"/>
    <s v="Saturday"/>
    <x v="1"/>
    <n v="-0.5"/>
    <n v="-4"/>
    <n v="64"/>
    <n v="9"/>
    <n v="1"/>
    <x v="1"/>
    <n v="-0.26"/>
    <s v=""/>
    <s v="OK"/>
    <s v="No"/>
  </r>
  <r>
    <n v="625"/>
    <s v="Dataset 3"/>
    <n v="0"/>
    <n v="0"/>
    <n v="15"/>
    <x v="28"/>
    <n v="1"/>
    <n v="0"/>
    <n v="1"/>
    <x v="7"/>
    <b v="0"/>
    <n v="6"/>
    <n v="1"/>
    <n v="0.16"/>
    <n v="0.18179999999999999"/>
    <n v="0.18179999999999999"/>
    <n v="0.59"/>
    <n v="0.1045"/>
    <n v="1"/>
    <n v="4"/>
    <n v="5"/>
    <x v="0"/>
    <x v="0"/>
    <s v="Winter"/>
    <s v="Saturday"/>
    <x v="1"/>
    <n v="-0.5"/>
    <n v="-4"/>
    <n v="59"/>
    <n v="7"/>
    <n v="0.8"/>
    <x v="1"/>
    <n v="-0.25"/>
    <s v=""/>
    <s v="OK"/>
    <s v="No"/>
  </r>
  <r>
    <n v="626"/>
    <s v="Dataset 3"/>
    <n v="0"/>
    <n v="0"/>
    <n v="16"/>
    <x v="28"/>
    <n v="1"/>
    <n v="0"/>
    <n v="1"/>
    <x v="8"/>
    <b v="0"/>
    <n v="6"/>
    <n v="1"/>
    <n v="0.18"/>
    <n v="0.19700000000000001"/>
    <n v="0.19700000000000001"/>
    <n v="0.55000000000000004"/>
    <n v="0.16420000000000001"/>
    <n v="3"/>
    <n v="31"/>
    <n v="34"/>
    <x v="0"/>
    <x v="0"/>
    <s v="Winter"/>
    <s v="Saturday"/>
    <x v="1"/>
    <n v="0.5"/>
    <n v="-3"/>
    <n v="55"/>
    <n v="11"/>
    <n v="0.91176470588235292"/>
    <x v="0"/>
    <n v="1.67"/>
    <s v=""/>
    <s v="OK"/>
    <s v="No"/>
  </r>
  <r>
    <n v="627"/>
    <s v="Dataset 3"/>
    <n v="0"/>
    <n v="0"/>
    <n v="17"/>
    <x v="28"/>
    <n v="1"/>
    <n v="0"/>
    <n v="1"/>
    <x v="9"/>
    <b v="0"/>
    <n v="6"/>
    <n v="1"/>
    <n v="0.18"/>
    <n v="0.21210000000000001"/>
    <n v="0.21210000000000001"/>
    <n v="0.59"/>
    <n v="8.9599999999999999E-2"/>
    <n v="0"/>
    <n v="34"/>
    <n v="34"/>
    <x v="0"/>
    <x v="0"/>
    <s v="Winter"/>
    <s v="Saturday"/>
    <x v="1"/>
    <n v="0.5"/>
    <n v="-2"/>
    <n v="59"/>
    <n v="6"/>
    <n v="1"/>
    <x v="0"/>
    <n v="0.18"/>
    <s v=""/>
    <s v="OK"/>
    <s v="No"/>
  </r>
  <r>
    <n v="628"/>
    <s v="Dataset 3"/>
    <n v="0"/>
    <n v="0"/>
    <n v="18"/>
    <x v="28"/>
    <n v="1"/>
    <n v="0"/>
    <n v="1"/>
    <x v="10"/>
    <b v="0"/>
    <n v="6"/>
    <n v="2"/>
    <n v="0.18"/>
    <n v="0.21210000000000001"/>
    <n v="0.21210000000000001"/>
    <n v="0.64"/>
    <n v="0.1045"/>
    <n v="4"/>
    <n v="51"/>
    <n v="55"/>
    <x v="0"/>
    <x v="1"/>
    <s v="Winter"/>
    <s v="Saturday"/>
    <x v="1"/>
    <n v="0.5"/>
    <n v="-2"/>
    <n v="64"/>
    <n v="7"/>
    <n v="0.92727272727272725"/>
    <x v="0"/>
    <n v="-0.38"/>
    <s v=""/>
    <s v="OK"/>
    <s v="No"/>
  </r>
  <r>
    <n v="629"/>
    <s v="Dataset 3"/>
    <n v="0"/>
    <n v="0"/>
    <n v="19"/>
    <x v="28"/>
    <n v="1"/>
    <n v="0"/>
    <n v="1"/>
    <x v="11"/>
    <b v="0"/>
    <n v="6"/>
    <n v="2"/>
    <n v="0.18"/>
    <n v="0.19700000000000001"/>
    <n v="0.19700000000000001"/>
    <n v="0.64"/>
    <n v="0.1343"/>
    <n v="4"/>
    <n v="60"/>
    <n v="64"/>
    <x v="0"/>
    <x v="1"/>
    <s v="Winter"/>
    <s v="Saturday"/>
    <x v="1"/>
    <n v="0.5"/>
    <n v="-3"/>
    <n v="64"/>
    <n v="9"/>
    <n v="0.9375"/>
    <x v="0"/>
    <n v="-0.5"/>
    <s v=""/>
    <s v="OK"/>
    <s v="No"/>
  </r>
  <r>
    <n v="630"/>
    <s v="Dataset 3"/>
    <n v="0"/>
    <n v="0"/>
    <n v="20"/>
    <x v="28"/>
    <n v="1"/>
    <n v="0"/>
    <n v="1"/>
    <x v="12"/>
    <b v="0"/>
    <n v="6"/>
    <n v="2"/>
    <n v="0.2"/>
    <n v="0.19700000000000001"/>
    <n v="0.19700000000000001"/>
    <n v="0.59"/>
    <n v="0.19400000000000001"/>
    <n v="12"/>
    <n v="66"/>
    <n v="78"/>
    <x v="0"/>
    <x v="1"/>
    <s v="Winter"/>
    <s v="Saturday"/>
    <x v="2"/>
    <n v="1.4"/>
    <n v="-3"/>
    <n v="59"/>
    <n v="13"/>
    <n v="0.84615384615384615"/>
    <x v="0"/>
    <n v="-0.68"/>
    <s v=""/>
    <s v="OK"/>
    <s v="No"/>
  </r>
  <r>
    <n v="631"/>
    <s v="Dataset 3"/>
    <n v="0"/>
    <n v="0"/>
    <n v="21"/>
    <x v="28"/>
    <n v="1"/>
    <n v="0"/>
    <n v="1"/>
    <x v="13"/>
    <b v="0"/>
    <n v="6"/>
    <n v="2"/>
    <n v="0.22"/>
    <n v="0.2273"/>
    <n v="0.2273"/>
    <n v="0.55000000000000004"/>
    <n v="0.16420000000000001"/>
    <n v="9"/>
    <n v="56"/>
    <n v="65"/>
    <x v="0"/>
    <x v="1"/>
    <s v="Winter"/>
    <s v="Saturday"/>
    <x v="2"/>
    <n v="2.2999999999999998"/>
    <n v="-1"/>
    <n v="55"/>
    <n v="11"/>
    <n v="0.86153846153846159"/>
    <x v="0"/>
    <n v="-1.1100000000000001"/>
    <s v=""/>
    <s v="OK"/>
    <s v="No"/>
  </r>
  <r>
    <n v="632"/>
    <s v="Dataset 3"/>
    <n v="0"/>
    <n v="0"/>
    <n v="22"/>
    <x v="28"/>
    <n v="1"/>
    <n v="0"/>
    <n v="1"/>
    <x v="14"/>
    <b v="0"/>
    <n v="6"/>
    <n v="2"/>
    <n v="0.22"/>
    <n v="0.2273"/>
    <n v="0.2273"/>
    <n v="0.6"/>
    <n v="0.1343"/>
    <n v="10"/>
    <n v="89"/>
    <n v="99"/>
    <x v="0"/>
    <x v="1"/>
    <s v="Winter"/>
    <s v="Saturday"/>
    <x v="2"/>
    <n v="2.2999999999999998"/>
    <n v="-1"/>
    <n v="60"/>
    <n v="9"/>
    <n v="0.89898989898989901"/>
    <x v="2"/>
    <n v="-0.09"/>
    <s v=""/>
    <s v="OK"/>
    <s v="No"/>
  </r>
  <r>
    <n v="633"/>
    <s v="Dataset 3"/>
    <n v="0"/>
    <n v="0"/>
    <n v="23"/>
    <x v="28"/>
    <n v="1"/>
    <n v="0"/>
    <n v="1"/>
    <x v="15"/>
    <b v="0"/>
    <n v="6"/>
    <n v="1"/>
    <n v="0.22"/>
    <n v="0.21210000000000001"/>
    <n v="0.21210000000000001"/>
    <n v="0.69"/>
    <n v="0.25369999999999998"/>
    <n v="22"/>
    <n v="98"/>
    <n v="120"/>
    <x v="0"/>
    <x v="0"/>
    <s v="Winter"/>
    <s v="Saturday"/>
    <x v="2"/>
    <n v="2.2999999999999998"/>
    <n v="-2"/>
    <n v="69"/>
    <n v="17"/>
    <n v="0.81666666666666665"/>
    <x v="2"/>
    <n v="0.24"/>
    <s v=""/>
    <s v="OK"/>
    <s v="No"/>
  </r>
  <r>
    <n v="634"/>
    <s v="Dataset 3"/>
    <n v="0"/>
    <n v="0"/>
    <n v="24"/>
    <x v="28"/>
    <n v="1"/>
    <n v="0"/>
    <n v="1"/>
    <x v="16"/>
    <b v="0"/>
    <n v="6"/>
    <n v="1"/>
    <n v="0.24"/>
    <n v="0.2424"/>
    <n v="0.2424"/>
    <n v="0.6"/>
    <n v="0.16420000000000001"/>
    <n v="19"/>
    <n v="88"/>
    <n v="107"/>
    <x v="0"/>
    <x v="0"/>
    <s v="Winter"/>
    <s v="Saturday"/>
    <x v="2"/>
    <n v="3.3"/>
    <n v="0"/>
    <n v="60"/>
    <n v="11"/>
    <n v="0.82242990654205606"/>
    <x v="2"/>
    <n v="0.17"/>
    <s v=""/>
    <s v="OK"/>
    <s v="No"/>
  </r>
  <r>
    <n v="635"/>
    <s v="Dataset 3"/>
    <n v="0"/>
    <n v="0"/>
    <n v="25"/>
    <x v="28"/>
    <n v="1"/>
    <n v="0"/>
    <n v="1"/>
    <x v="17"/>
    <b v="0"/>
    <n v="6"/>
    <n v="1"/>
    <n v="0.24"/>
    <n v="0.28789999999999999"/>
    <n v="0.28789999999999999"/>
    <n v="0.6"/>
    <n v="0"/>
    <n v="9"/>
    <n v="82"/>
    <n v="91"/>
    <x v="0"/>
    <x v="0"/>
    <s v="Winter"/>
    <s v="Saturday"/>
    <x v="2"/>
    <n v="3.3"/>
    <n v="3"/>
    <n v="60"/>
    <n v="0"/>
    <n v="0.90109890109890112"/>
    <x v="2"/>
    <n v="0.24"/>
    <s v=""/>
    <s v="OK"/>
    <s v="No"/>
  </r>
  <r>
    <n v="636"/>
    <s v="Dataset 3"/>
    <n v="0"/>
    <n v="0"/>
    <n v="26"/>
    <x v="28"/>
    <n v="1"/>
    <n v="0"/>
    <n v="1"/>
    <x v="18"/>
    <b v="0"/>
    <n v="6"/>
    <n v="1"/>
    <n v="0.22"/>
    <n v="0.2273"/>
    <n v="0.2273"/>
    <n v="0.69"/>
    <n v="0.1343"/>
    <n v="9"/>
    <n v="59"/>
    <n v="68"/>
    <x v="0"/>
    <x v="0"/>
    <s v="Winter"/>
    <s v="Saturday"/>
    <x v="3"/>
    <n v="2.2999999999999998"/>
    <n v="-1"/>
    <n v="69"/>
    <n v="9"/>
    <n v="0.86764705882352944"/>
    <x v="0"/>
    <n v="0.11"/>
    <s v=""/>
    <s v="OK"/>
    <s v="No"/>
  </r>
  <r>
    <n v="637"/>
    <s v="Dataset 3"/>
    <n v="0"/>
    <n v="0"/>
    <n v="27"/>
    <x v="28"/>
    <n v="1"/>
    <n v="0"/>
    <n v="1"/>
    <x v="19"/>
    <b v="0"/>
    <n v="6"/>
    <n v="2"/>
    <n v="0.22"/>
    <n v="0.21210000000000001"/>
    <n v="0.21210000000000001"/>
    <n v="0.69"/>
    <n v="0.25369999999999998"/>
    <n v="6"/>
    <n v="52"/>
    <n v="58"/>
    <x v="0"/>
    <x v="1"/>
    <s v="Winter"/>
    <s v="Saturday"/>
    <x v="3"/>
    <n v="2.2999999999999998"/>
    <n v="-2"/>
    <n v="69"/>
    <n v="17"/>
    <n v="0.89655172413793105"/>
    <x v="0"/>
    <n v="0.42"/>
    <s v=""/>
    <s v="OK"/>
    <s v="No"/>
  </r>
  <r>
    <n v="638"/>
    <s v="Dataset 3"/>
    <n v="0"/>
    <n v="0"/>
    <n v="28"/>
    <x v="28"/>
    <n v="1"/>
    <n v="0"/>
    <n v="1"/>
    <x v="20"/>
    <b v="0"/>
    <n v="6"/>
    <n v="1"/>
    <n v="0.18"/>
    <n v="0.21210000000000001"/>
    <n v="0.21210000000000001"/>
    <n v="0.74"/>
    <n v="8.9599999999999999E-2"/>
    <n v="1"/>
    <n v="42"/>
    <n v="43"/>
    <x v="0"/>
    <x v="0"/>
    <s v="Winter"/>
    <s v="Saturday"/>
    <x v="3"/>
    <n v="0.5"/>
    <n v="-2"/>
    <n v="74"/>
    <n v="6"/>
    <n v="0.97674418604651159"/>
    <x v="0"/>
    <n v="0.28999999999999998"/>
    <s v=""/>
    <s v="OK"/>
    <s v="No"/>
  </r>
  <r>
    <n v="639"/>
    <s v="Dataset 3"/>
    <n v="0"/>
    <n v="0"/>
    <n v="29"/>
    <x v="28"/>
    <n v="1"/>
    <n v="0"/>
    <n v="1"/>
    <x v="21"/>
    <b v="0"/>
    <n v="6"/>
    <n v="1"/>
    <n v="0.18"/>
    <n v="0.21210000000000001"/>
    <n v="0.21210000000000001"/>
    <n v="0.74"/>
    <n v="8.9599999999999999E-2"/>
    <n v="1"/>
    <n v="35"/>
    <n v="36"/>
    <x v="0"/>
    <x v="0"/>
    <s v="Winter"/>
    <s v="Saturday"/>
    <x v="3"/>
    <n v="0.5"/>
    <n v="-2"/>
    <n v="74"/>
    <n v="6"/>
    <n v="0.97222222222222221"/>
    <x v="0"/>
    <n v="-0.04"/>
    <s v=""/>
    <s v="OK"/>
    <s v="No"/>
  </r>
  <r>
    <n v="640"/>
    <s v="Dataset 3"/>
    <n v="0"/>
    <n v="0"/>
    <n v="30"/>
    <x v="28"/>
    <n v="1"/>
    <n v="0"/>
    <n v="1"/>
    <x v="22"/>
    <b v="0"/>
    <n v="6"/>
    <n v="1"/>
    <n v="0.16"/>
    <n v="0.19700000000000001"/>
    <n v="0.19700000000000001"/>
    <n v="0.8"/>
    <n v="8.9599999999999999E-2"/>
    <n v="4"/>
    <n v="28"/>
    <n v="32"/>
    <x v="0"/>
    <x v="0"/>
    <s v="Winter"/>
    <s v="Saturday"/>
    <x v="3"/>
    <n v="-0.5"/>
    <n v="-3"/>
    <n v="80"/>
    <n v="6"/>
    <n v="0.875"/>
    <x v="0"/>
    <n v="0.17"/>
    <s v=""/>
    <s v="OK"/>
    <s v="No"/>
  </r>
  <r>
    <n v="641"/>
    <s v="Dataset 3"/>
    <n v="0"/>
    <n v="0"/>
    <n v="31"/>
    <x v="28"/>
    <n v="1"/>
    <n v="0"/>
    <n v="1"/>
    <x v="23"/>
    <b v="0"/>
    <n v="6"/>
    <n v="1"/>
    <n v="0.16"/>
    <n v="0.19700000000000001"/>
    <n v="0.19700000000000001"/>
    <n v="0.8"/>
    <n v="8.9599999999999999E-2"/>
    <n v="3"/>
    <n v="30"/>
    <n v="33"/>
    <x v="0"/>
    <x v="0"/>
    <s v="Winter"/>
    <s v="Saturday"/>
    <x v="3"/>
    <n v="-0.5"/>
    <n v="-3"/>
    <n v="80"/>
    <n v="6"/>
    <n v="0.90909090909090906"/>
    <x v="0"/>
    <n v="0.43"/>
    <s v=""/>
    <s v="OK"/>
    <s v="No"/>
  </r>
  <r>
    <n v="642"/>
    <s v="Dataset 3"/>
    <n v="0"/>
    <n v="0"/>
    <n v="32"/>
    <x v="29"/>
    <n v="1"/>
    <n v="0"/>
    <n v="1"/>
    <x v="0"/>
    <b v="0"/>
    <n v="0"/>
    <n v="1"/>
    <n v="0.16"/>
    <n v="0.18179999999999999"/>
    <n v="0.18179999999999999"/>
    <n v="0.8"/>
    <n v="0.1045"/>
    <n v="0"/>
    <n v="33"/>
    <n v="33"/>
    <x v="0"/>
    <x v="0"/>
    <s v="Winter"/>
    <s v="Sunday"/>
    <x v="0"/>
    <n v="-0.5"/>
    <n v="-4"/>
    <n v="80"/>
    <n v="7"/>
    <n v="1"/>
    <x v="0"/>
    <n v="0.62"/>
    <s v=""/>
    <s v="OK"/>
    <s v="No"/>
  </r>
  <r>
    <n v="643"/>
    <s v="Dataset 3"/>
    <n v="0"/>
    <n v="0"/>
    <n v="33"/>
    <x v="29"/>
    <n v="1"/>
    <n v="0"/>
    <n v="1"/>
    <x v="1"/>
    <b v="0"/>
    <n v="0"/>
    <n v="1"/>
    <n v="0.14000000000000001"/>
    <n v="0.21210000000000001"/>
    <n v="0.21210000000000001"/>
    <n v="0.8"/>
    <n v="0"/>
    <n v="7"/>
    <n v="22"/>
    <n v="29"/>
    <x v="0"/>
    <x v="0"/>
    <s v="Winter"/>
    <s v="Sunday"/>
    <x v="0"/>
    <n v="-1.4"/>
    <n v="-2"/>
    <n v="80"/>
    <n v="0"/>
    <n v="0.75862068965517238"/>
    <x v="0"/>
    <n v="0.75"/>
    <s v=""/>
    <s v="OK"/>
    <s v="No"/>
  </r>
  <r>
    <n v="644"/>
    <s v="Dataset 3"/>
    <n v="0"/>
    <n v="0"/>
    <n v="34"/>
    <x v="29"/>
    <n v="1"/>
    <n v="0"/>
    <n v="1"/>
    <x v="2"/>
    <b v="0"/>
    <n v="0"/>
    <n v="1"/>
    <n v="0.16"/>
    <n v="0.2273"/>
    <n v="0.2273"/>
    <n v="0.8"/>
    <n v="0"/>
    <n v="1"/>
    <n v="10"/>
    <n v="11"/>
    <x v="0"/>
    <x v="0"/>
    <s v="Winter"/>
    <s v="Sunday"/>
    <x v="0"/>
    <n v="-0.5"/>
    <n v="-1"/>
    <n v="80"/>
    <n v="0"/>
    <n v="0.90909090909090906"/>
    <x v="1"/>
    <n v="-0.74"/>
    <s v=""/>
    <s v="OK"/>
    <s v="No"/>
  </r>
  <r>
    <n v="645"/>
    <s v="Dataset 3"/>
    <n v="0"/>
    <n v="0"/>
    <n v="35"/>
    <x v="29"/>
    <n v="1"/>
    <n v="0"/>
    <n v="1"/>
    <x v="3"/>
    <b v="0"/>
    <n v="0"/>
    <n v="1"/>
    <n v="0.14000000000000001"/>
    <n v="0.21210000000000001"/>
    <n v="0.21210000000000001"/>
    <n v="0.93"/>
    <n v="0"/>
    <n v="1"/>
    <n v="7"/>
    <n v="8"/>
    <x v="0"/>
    <x v="0"/>
    <s v="Winter"/>
    <s v="Sunday"/>
    <x v="0"/>
    <n v="-1.4"/>
    <n v="-2"/>
    <n v="93"/>
    <n v="0"/>
    <n v="0.875"/>
    <x v="1"/>
    <n v="-0.16"/>
    <s v=""/>
    <s v="OK"/>
    <s v="No"/>
  </r>
  <r>
    <n v="646"/>
    <s v="Dataset 3"/>
    <n v="0"/>
    <n v="0"/>
    <n v="36"/>
    <x v="29"/>
    <n v="1"/>
    <n v="0"/>
    <n v="1"/>
    <x v="4"/>
    <b v="0"/>
    <n v="0"/>
    <n v="1"/>
    <n v="0.14000000000000001"/>
    <n v="0.21210000000000001"/>
    <n v="0.21210000000000001"/>
    <n v="0.93"/>
    <n v="0"/>
    <n v="0"/>
    <n v="1"/>
    <n v="1"/>
    <x v="0"/>
    <x v="0"/>
    <s v="Winter"/>
    <s v="Sunday"/>
    <x v="0"/>
    <n v="-1.4"/>
    <n v="-2"/>
    <n v="93"/>
    <n v="0"/>
    <n v="1"/>
    <x v="1"/>
    <n v="-0.87"/>
    <s v=""/>
    <s v="OK"/>
    <s v="No"/>
  </r>
  <r>
    <n v="647"/>
    <s v="Dataset 3"/>
    <n v="0"/>
    <n v="0"/>
    <n v="37"/>
    <x v="29"/>
    <n v="1"/>
    <n v="0"/>
    <n v="1"/>
    <x v="5"/>
    <b v="0"/>
    <n v="0"/>
    <n v="1"/>
    <n v="0.14000000000000001"/>
    <n v="0.21210000000000001"/>
    <n v="0.21210000000000001"/>
    <n v="0.86"/>
    <n v="0"/>
    <n v="0"/>
    <n v="3"/>
    <n v="3"/>
    <x v="0"/>
    <x v="0"/>
    <s v="Winter"/>
    <s v="Sunday"/>
    <x v="0"/>
    <n v="-1.4"/>
    <n v="-2"/>
    <n v="86"/>
    <n v="0"/>
    <n v="1"/>
    <x v="1"/>
    <n v="0.18"/>
    <s v=""/>
    <s v="OK"/>
    <s v="No"/>
  </r>
  <r>
    <n v="648"/>
    <s v="Dataset 3"/>
    <n v="0"/>
    <n v="0"/>
    <n v="38"/>
    <x v="29"/>
    <n v="1"/>
    <n v="0"/>
    <n v="1"/>
    <x v="7"/>
    <b v="0"/>
    <n v="0"/>
    <n v="1"/>
    <n v="0.14000000000000001"/>
    <n v="0.21210000000000001"/>
    <n v="0.21210000000000001"/>
    <n v="0.86"/>
    <n v="0"/>
    <n v="0"/>
    <n v="3"/>
    <n v="3"/>
    <x v="0"/>
    <x v="0"/>
    <s v="Winter"/>
    <s v="Sunday"/>
    <x v="1"/>
    <n v="-1.4"/>
    <n v="-2"/>
    <n v="86"/>
    <n v="0"/>
    <n v="1"/>
    <x v="1"/>
    <n v="-0.8"/>
    <s v=""/>
    <s v="OK"/>
    <s v="No"/>
  </r>
  <r>
    <n v="649"/>
    <s v="Dataset 3"/>
    <n v="0"/>
    <n v="0"/>
    <n v="39"/>
    <x v="29"/>
    <n v="1"/>
    <n v="0"/>
    <n v="1"/>
    <x v="8"/>
    <b v="0"/>
    <n v="0"/>
    <n v="2"/>
    <n v="0.14000000000000001"/>
    <n v="0.21210000000000001"/>
    <n v="0.21210000000000001"/>
    <n v="0.86"/>
    <n v="0"/>
    <n v="1"/>
    <n v="11"/>
    <n v="12"/>
    <x v="0"/>
    <x v="1"/>
    <s v="Winter"/>
    <s v="Sunday"/>
    <x v="1"/>
    <n v="-1.4"/>
    <n v="-2"/>
    <n v="86"/>
    <n v="0"/>
    <n v="0.91666666666666663"/>
    <x v="1"/>
    <n v="-0.75"/>
    <s v=""/>
    <s v="OK"/>
    <s v="No"/>
  </r>
  <r>
    <n v="650"/>
    <s v="Dataset 3"/>
    <n v="0"/>
    <n v="0"/>
    <n v="40"/>
    <x v="29"/>
    <n v="1"/>
    <n v="0"/>
    <n v="1"/>
    <x v="9"/>
    <b v="0"/>
    <n v="0"/>
    <n v="2"/>
    <n v="0.16"/>
    <n v="0.2273"/>
    <n v="0.2273"/>
    <n v="0.8"/>
    <n v="0"/>
    <n v="4"/>
    <n v="34"/>
    <n v="38"/>
    <x v="0"/>
    <x v="1"/>
    <s v="Winter"/>
    <s v="Sunday"/>
    <x v="1"/>
    <n v="-0.5"/>
    <n v="-1"/>
    <n v="80"/>
    <n v="0"/>
    <n v="0.89473684210526316"/>
    <x v="0"/>
    <n v="0.53"/>
    <s v=""/>
    <s v="OK"/>
    <s v="No"/>
  </r>
  <r>
    <n v="651"/>
    <s v="Dataset 3"/>
    <n v="0"/>
    <n v="0"/>
    <n v="41"/>
    <x v="29"/>
    <n v="1"/>
    <n v="0"/>
    <n v="1"/>
    <x v="10"/>
    <b v="0"/>
    <n v="0"/>
    <n v="2"/>
    <n v="0.18"/>
    <n v="0.2424"/>
    <n v="0.2424"/>
    <n v="0.8"/>
    <n v="0"/>
    <n v="7"/>
    <n v="57"/>
    <n v="64"/>
    <x v="0"/>
    <x v="1"/>
    <s v="Winter"/>
    <s v="Sunday"/>
    <x v="1"/>
    <n v="0.5"/>
    <n v="0"/>
    <n v="80"/>
    <n v="0"/>
    <n v="0.890625"/>
    <x v="0"/>
    <n v="0.08"/>
    <s v=""/>
    <s v="OK"/>
    <s v="No"/>
  </r>
  <r>
    <n v="652"/>
    <s v="Dataset 3"/>
    <n v="0"/>
    <n v="0"/>
    <n v="42"/>
    <x v="29"/>
    <n v="1"/>
    <n v="0"/>
    <n v="1"/>
    <x v="11"/>
    <b v="0"/>
    <n v="0"/>
    <n v="1"/>
    <n v="0.22"/>
    <n v="0.2727"/>
    <n v="0.2727"/>
    <n v="0.75"/>
    <n v="0"/>
    <n v="9"/>
    <n v="50"/>
    <n v="59"/>
    <x v="0"/>
    <x v="0"/>
    <s v="Winter"/>
    <s v="Sunday"/>
    <x v="1"/>
    <n v="2.2999999999999998"/>
    <n v="2"/>
    <n v="75"/>
    <n v="0"/>
    <n v="0.84745762711864403"/>
    <x v="0"/>
    <n v="-0.71"/>
    <s v=""/>
    <s v="OK"/>
    <s v="No"/>
  </r>
  <r>
    <n v="653"/>
    <s v="Dataset 3"/>
    <n v="0"/>
    <n v="0"/>
    <n v="43"/>
    <x v="29"/>
    <n v="1"/>
    <n v="0"/>
    <n v="1"/>
    <x v="12"/>
    <b v="0"/>
    <n v="0"/>
    <n v="1"/>
    <n v="0.3"/>
    <n v="0.31819999999999998"/>
    <n v="0.31819999999999998"/>
    <n v="0.52"/>
    <n v="0.1045"/>
    <n v="10"/>
    <n v="87"/>
    <n v="97"/>
    <x v="0"/>
    <x v="0"/>
    <s v="Winter"/>
    <s v="Sunday"/>
    <x v="2"/>
    <n v="6.1"/>
    <n v="5"/>
    <n v="52"/>
    <n v="7"/>
    <n v="0.89690721649484539"/>
    <x v="2"/>
    <n v="-7.0000000000000007E-2"/>
    <s v=""/>
    <s v="OK"/>
    <s v="No"/>
  </r>
  <r>
    <n v="654"/>
    <s v="Dataset 3"/>
    <n v="0"/>
    <n v="0"/>
    <n v="44"/>
    <x v="29"/>
    <n v="1"/>
    <n v="0"/>
    <n v="1"/>
    <x v="13"/>
    <b v="0"/>
    <n v="0"/>
    <n v="1"/>
    <n v="0.28000000000000003"/>
    <n v="0.28789999999999999"/>
    <n v="0.28789999999999999"/>
    <n v="0.61"/>
    <n v="0.1045"/>
    <n v="13"/>
    <n v="71"/>
    <n v="84"/>
    <x v="0"/>
    <x v="0"/>
    <s v="Winter"/>
    <s v="Sunday"/>
    <x v="2"/>
    <n v="5.2"/>
    <n v="3"/>
    <n v="61"/>
    <n v="7"/>
    <n v="0.84523809523809523"/>
    <x v="2"/>
    <n v="-0.53"/>
    <s v=""/>
    <s v="OK"/>
    <s v="No"/>
  </r>
  <r>
    <n v="655"/>
    <s v="Dataset 3"/>
    <n v="0"/>
    <n v="0"/>
    <n v="45"/>
    <x v="29"/>
    <n v="1"/>
    <n v="0"/>
    <n v="1"/>
    <x v="14"/>
    <b v="0"/>
    <n v="0"/>
    <n v="1"/>
    <n v="0.28000000000000003"/>
    <n v="0.30299999999999999"/>
    <n v="0.30299999999999999"/>
    <n v="0.61"/>
    <n v="8.9599999999999999E-2"/>
    <n v="18"/>
    <n v="104"/>
    <n v="122"/>
    <x v="0"/>
    <x v="0"/>
    <s v="Winter"/>
    <s v="Sunday"/>
    <x v="2"/>
    <n v="5.2"/>
    <n v="4"/>
    <n v="61"/>
    <n v="6"/>
    <n v="0.85245901639344257"/>
    <x v="2"/>
    <n v="0.63"/>
    <s v=""/>
    <s v="OK"/>
    <s v="No"/>
  </r>
  <r>
    <n v="656"/>
    <s v="Dataset 3"/>
    <n v="0"/>
    <n v="0"/>
    <n v="46"/>
    <x v="29"/>
    <n v="1"/>
    <n v="0"/>
    <n v="1"/>
    <x v="15"/>
    <b v="0"/>
    <n v="0"/>
    <n v="1"/>
    <n v="0.3"/>
    <n v="0.33329999999999999"/>
    <n v="0.33329999999999999"/>
    <n v="0.56000000000000005"/>
    <n v="0"/>
    <n v="14"/>
    <n v="95"/>
    <n v="109"/>
    <x v="0"/>
    <x v="0"/>
    <s v="Winter"/>
    <s v="Sunday"/>
    <x v="2"/>
    <n v="6.1"/>
    <n v="6"/>
    <n v="56"/>
    <n v="0"/>
    <n v="0.87155963302752293"/>
    <x v="2"/>
    <n v="-0.05"/>
    <s v=""/>
    <s v="OK"/>
    <s v="No"/>
  </r>
  <r>
    <n v="657"/>
    <s v="Dataset 3"/>
    <n v="0"/>
    <n v="0"/>
    <n v="47"/>
    <x v="29"/>
    <n v="1"/>
    <n v="0"/>
    <n v="1"/>
    <x v="16"/>
    <b v="0"/>
    <n v="0"/>
    <n v="1"/>
    <n v="0.3"/>
    <n v="0.33329999999999999"/>
    <n v="0.33329999999999999"/>
    <n v="0.56000000000000005"/>
    <n v="0"/>
    <n v="19"/>
    <n v="104"/>
    <n v="123"/>
    <x v="0"/>
    <x v="0"/>
    <s v="Winter"/>
    <s v="Sunday"/>
    <x v="2"/>
    <n v="6.1"/>
    <n v="6"/>
    <n v="56"/>
    <n v="0"/>
    <n v="0.84552845528455289"/>
    <x v="2"/>
    <n v="0.72"/>
    <s v=""/>
    <s v="OK"/>
    <s v="No"/>
  </r>
  <r>
    <n v="658"/>
    <s v="Dataset 3"/>
    <n v="0"/>
    <n v="0"/>
    <n v="48"/>
    <x v="29"/>
    <n v="1"/>
    <n v="0"/>
    <n v="1"/>
    <x v="17"/>
    <b v="0"/>
    <n v="0"/>
    <n v="1"/>
    <n v="0.3"/>
    <n v="0.28789999999999999"/>
    <n v="0.28789999999999999"/>
    <n v="0.56000000000000005"/>
    <n v="0.19400000000000001"/>
    <n v="6"/>
    <n v="71"/>
    <n v="77"/>
    <x v="0"/>
    <x v="0"/>
    <s v="Winter"/>
    <s v="Sunday"/>
    <x v="2"/>
    <n v="6.1"/>
    <n v="3"/>
    <n v="56"/>
    <n v="13"/>
    <n v="0.92207792207792205"/>
    <x v="0"/>
    <n v="-0.31"/>
    <s v=""/>
    <s v="OK"/>
    <s v="No"/>
  </r>
  <r>
    <n v="659"/>
    <s v="Dataset 3"/>
    <n v="0"/>
    <n v="0"/>
    <n v="49"/>
    <x v="29"/>
    <n v="1"/>
    <n v="0"/>
    <n v="1"/>
    <x v="18"/>
    <b v="0"/>
    <n v="0"/>
    <n v="1"/>
    <n v="0.26"/>
    <n v="0.2576"/>
    <n v="0.2576"/>
    <n v="0.65"/>
    <n v="0.16420000000000001"/>
    <n v="8"/>
    <n v="57"/>
    <n v="65"/>
    <x v="0"/>
    <x v="0"/>
    <s v="Winter"/>
    <s v="Sunday"/>
    <x v="3"/>
    <n v="4.2"/>
    <n v="1"/>
    <n v="65"/>
    <n v="11"/>
    <n v="0.87692307692307692"/>
    <x v="0"/>
    <n v="-0.06"/>
    <s v=""/>
    <s v="OK"/>
    <s v="No"/>
  </r>
  <r>
    <n v="660"/>
    <s v="Dataset 3"/>
    <n v="0"/>
    <n v="0"/>
    <n v="50"/>
    <x v="29"/>
    <n v="1"/>
    <n v="0"/>
    <n v="1"/>
    <x v="19"/>
    <b v="0"/>
    <n v="0"/>
    <n v="1"/>
    <n v="0.26"/>
    <n v="0.2576"/>
    <n v="0.2576"/>
    <n v="0.65"/>
    <n v="0.19400000000000001"/>
    <n v="9"/>
    <n v="46"/>
    <n v="55"/>
    <x v="0"/>
    <x v="0"/>
    <s v="Winter"/>
    <s v="Sunday"/>
    <x v="3"/>
    <n v="4.2"/>
    <n v="1"/>
    <n v="65"/>
    <n v="13"/>
    <n v="0.83636363636363631"/>
    <x v="0"/>
    <n v="0.24"/>
    <s v=""/>
    <s v="OK"/>
    <s v="No"/>
  </r>
  <r>
    <n v="661"/>
    <s v="Dataset 3"/>
    <n v="0"/>
    <n v="0"/>
    <n v="51"/>
    <x v="29"/>
    <n v="1"/>
    <n v="0"/>
    <n v="1"/>
    <x v="20"/>
    <b v="0"/>
    <n v="0"/>
    <n v="2"/>
    <n v="0.26"/>
    <n v="0.2727"/>
    <n v="0.2727"/>
    <n v="0.65"/>
    <n v="0.1045"/>
    <n v="3"/>
    <n v="30"/>
    <n v="33"/>
    <x v="0"/>
    <x v="1"/>
    <s v="Winter"/>
    <s v="Sunday"/>
    <x v="3"/>
    <n v="4.2"/>
    <n v="2"/>
    <n v="65"/>
    <n v="7"/>
    <n v="0.90909090909090906"/>
    <x v="0"/>
    <n v="-0.54"/>
    <s v=""/>
    <s v="OK"/>
    <s v="No"/>
  </r>
  <r>
    <n v="662"/>
    <s v="Dataset 3"/>
    <n v="0"/>
    <n v="0"/>
    <n v="52"/>
    <x v="29"/>
    <n v="1"/>
    <n v="0"/>
    <n v="1"/>
    <x v="21"/>
    <b v="0"/>
    <n v="0"/>
    <n v="2"/>
    <n v="0.24"/>
    <n v="0.2424"/>
    <n v="0.2424"/>
    <n v="0.7"/>
    <n v="0.16420000000000001"/>
    <n v="3"/>
    <n v="25"/>
    <n v="28"/>
    <x v="0"/>
    <x v="1"/>
    <s v="Winter"/>
    <s v="Sunday"/>
    <x v="3"/>
    <n v="3.3"/>
    <n v="0"/>
    <n v="70"/>
    <n v="11"/>
    <n v="0.8928571428571429"/>
    <x v="0"/>
    <n v="-0.71"/>
    <s v=""/>
    <s v="OK"/>
    <s v="No"/>
  </r>
  <r>
    <n v="663"/>
    <s v="Dataset 3"/>
    <n v="0"/>
    <n v="0"/>
    <n v="53"/>
    <x v="29"/>
    <n v="1"/>
    <n v="0"/>
    <n v="1"/>
    <x v="22"/>
    <b v="0"/>
    <n v="0"/>
    <n v="2"/>
    <n v="0.24"/>
    <n v="0.2273"/>
    <n v="0.2273"/>
    <n v="0.7"/>
    <n v="0.19400000000000001"/>
    <n v="2"/>
    <n v="19"/>
    <n v="21"/>
    <x v="0"/>
    <x v="1"/>
    <s v="Winter"/>
    <s v="Sunday"/>
    <x v="3"/>
    <n v="3.3"/>
    <n v="-1"/>
    <n v="70"/>
    <n v="13"/>
    <n v="0.90476190476190477"/>
    <x v="0"/>
    <n v="-0.63"/>
    <s v=""/>
    <s v="OK"/>
    <s v="No"/>
  </r>
  <r>
    <n v="664"/>
    <s v="Dataset 3"/>
    <n v="0"/>
    <n v="0"/>
    <n v="54"/>
    <x v="29"/>
    <n v="1"/>
    <n v="0"/>
    <n v="1"/>
    <x v="23"/>
    <b v="0"/>
    <n v="0"/>
    <n v="2"/>
    <n v="0.24"/>
    <n v="0.21210000000000001"/>
    <n v="0.21210000000000001"/>
    <n v="0.65"/>
    <n v="0.28360000000000002"/>
    <n v="5"/>
    <n v="16"/>
    <n v="21"/>
    <x v="0"/>
    <x v="1"/>
    <s v="Winter"/>
    <s v="Sunday"/>
    <x v="3"/>
    <n v="3.3"/>
    <n v="-2"/>
    <n v="65"/>
    <n v="19"/>
    <n v="0.76190476190476186"/>
    <x v="0"/>
    <n v="-0.38"/>
    <s v=""/>
    <s v="OK"/>
    <s v="No"/>
  </r>
  <r>
    <n v="665"/>
    <s v="Dataset 3"/>
    <n v="0"/>
    <n v="0"/>
    <n v="55"/>
    <x v="30"/>
    <n v="1"/>
    <n v="0"/>
    <n v="1"/>
    <x v="0"/>
    <b v="0"/>
    <n v="1"/>
    <n v="2"/>
    <n v="0.24"/>
    <n v="0.2273"/>
    <n v="0.2273"/>
    <n v="0.65"/>
    <n v="0.22389999999999999"/>
    <n v="1"/>
    <n v="6"/>
    <n v="7"/>
    <x v="1"/>
    <x v="1"/>
    <s v="Winter"/>
    <s v="Monday"/>
    <x v="0"/>
    <n v="3.3"/>
    <n v="-1"/>
    <n v="65"/>
    <n v="15"/>
    <n v="0.8571428571428571"/>
    <x v="1"/>
    <n v="-0.72"/>
    <s v=""/>
    <s v="OK"/>
    <s v="No"/>
  </r>
  <r>
    <n v="666"/>
    <s v="Dataset 3"/>
    <n v="0"/>
    <n v="0"/>
    <n v="56"/>
    <x v="30"/>
    <n v="1"/>
    <n v="0"/>
    <n v="1"/>
    <x v="1"/>
    <b v="0"/>
    <n v="1"/>
    <n v="1"/>
    <n v="0.22"/>
    <n v="0.21210000000000001"/>
    <n v="0.21210000000000001"/>
    <n v="0.64"/>
    <n v="0.25369999999999998"/>
    <n v="2"/>
    <n v="5"/>
    <n v="7"/>
    <x v="1"/>
    <x v="0"/>
    <s v="Winter"/>
    <s v="Monday"/>
    <x v="0"/>
    <n v="2.2999999999999998"/>
    <n v="-2"/>
    <n v="64"/>
    <n v="17"/>
    <n v="0.7142857142857143"/>
    <x v="1"/>
    <n v="1.1299999999999999"/>
    <s v=""/>
    <s v="OK"/>
    <s v="No"/>
  </r>
  <r>
    <n v="667"/>
    <s v="Dataset 3"/>
    <n v="0"/>
    <n v="0"/>
    <n v="57"/>
    <x v="30"/>
    <n v="1"/>
    <n v="0"/>
    <n v="1"/>
    <x v="2"/>
    <b v="0"/>
    <n v="1"/>
    <n v="1"/>
    <n v="0.22"/>
    <n v="0.2273"/>
    <n v="0.2273"/>
    <n v="0.64"/>
    <n v="0.19400000000000001"/>
    <n v="0"/>
    <n v="1"/>
    <n v="1"/>
    <x v="1"/>
    <x v="0"/>
    <s v="Winter"/>
    <s v="Monday"/>
    <x v="0"/>
    <n v="2.2999999999999998"/>
    <n v="-1"/>
    <n v="64"/>
    <n v="13"/>
    <n v="1"/>
    <x v="1"/>
    <n v="-0.81"/>
    <s v=""/>
    <s v="OK"/>
    <s v="No"/>
  </r>
  <r>
    <n v="668"/>
    <s v="Dataset 3"/>
    <n v="0"/>
    <n v="0"/>
    <n v="58"/>
    <x v="30"/>
    <n v="1"/>
    <n v="0"/>
    <n v="1"/>
    <x v="3"/>
    <b v="0"/>
    <n v="1"/>
    <n v="1"/>
    <n v="0.22"/>
    <n v="0.2273"/>
    <n v="0.2273"/>
    <n v="0.64"/>
    <n v="0.19400000000000001"/>
    <n v="0"/>
    <n v="2"/>
    <n v="2"/>
    <x v="1"/>
    <x v="0"/>
    <s v="Winter"/>
    <s v="Monday"/>
    <x v="0"/>
    <n v="2.2999999999999998"/>
    <n v="-1"/>
    <n v="64"/>
    <n v="13"/>
    <n v="1"/>
    <x v="1"/>
    <n v="1.01"/>
    <s v=""/>
    <s v="OK"/>
    <s v="No"/>
  </r>
  <r>
    <n v="669"/>
    <s v="Dataset 3"/>
    <n v="0"/>
    <n v="0"/>
    <n v="59"/>
    <x v="30"/>
    <n v="1"/>
    <n v="0"/>
    <n v="1"/>
    <x v="4"/>
    <b v="0"/>
    <n v="1"/>
    <n v="1"/>
    <n v="0.2"/>
    <n v="0.19700000000000001"/>
    <n v="0.19700000000000001"/>
    <n v="0.59"/>
    <n v="0.22389999999999999"/>
    <n v="0"/>
    <n v="2"/>
    <n v="2"/>
    <x v="1"/>
    <x v="0"/>
    <s v="Winter"/>
    <s v="Monday"/>
    <x v="0"/>
    <n v="1.4"/>
    <n v="-3"/>
    <n v="59"/>
    <n v="15"/>
    <n v="1"/>
    <x v="1"/>
    <n v="0.31"/>
    <s v=""/>
    <s v="OK"/>
    <s v="No"/>
  </r>
  <r>
    <n v="670"/>
    <s v="Dataset 3"/>
    <n v="0"/>
    <n v="0"/>
    <n v="60"/>
    <x v="30"/>
    <n v="1"/>
    <n v="0"/>
    <n v="1"/>
    <x v="5"/>
    <b v="0"/>
    <n v="1"/>
    <n v="1"/>
    <n v="0.18"/>
    <n v="0.16669999999999999"/>
    <n v="0.16669999999999999"/>
    <n v="0.64"/>
    <n v="0.28360000000000002"/>
    <n v="0"/>
    <n v="8"/>
    <n v="8"/>
    <x v="1"/>
    <x v="0"/>
    <s v="Winter"/>
    <s v="Monday"/>
    <x v="0"/>
    <n v="0.5"/>
    <n v="-5"/>
    <n v="64"/>
    <n v="19"/>
    <n v="1"/>
    <x v="1"/>
    <n v="1.38"/>
    <s v=""/>
    <s v="OK"/>
    <s v="No"/>
  </r>
  <r>
    <n v="671"/>
    <s v="Dataset 3"/>
    <n v="0"/>
    <n v="0"/>
    <n v="61"/>
    <x v="30"/>
    <n v="1"/>
    <n v="0"/>
    <n v="1"/>
    <x v="6"/>
    <b v="0"/>
    <n v="1"/>
    <n v="1"/>
    <n v="0.16"/>
    <n v="0.13639999999999999"/>
    <n v="0.13639999999999999"/>
    <n v="0.69"/>
    <n v="0.32840000000000003"/>
    <n v="0"/>
    <n v="37"/>
    <n v="37"/>
    <x v="1"/>
    <x v="0"/>
    <s v="Winter"/>
    <s v="Monday"/>
    <x v="1"/>
    <n v="-0.5"/>
    <n v="-7"/>
    <n v="69"/>
    <n v="22"/>
    <n v="1"/>
    <x v="0"/>
    <n v="1.02"/>
    <s v=""/>
    <s v="OK"/>
    <s v="No"/>
  </r>
  <r>
    <n v="672"/>
    <s v="Dataset 3"/>
    <n v="0"/>
    <n v="0"/>
    <n v="62"/>
    <x v="30"/>
    <n v="1"/>
    <n v="0"/>
    <n v="1"/>
    <x v="7"/>
    <b v="0"/>
    <n v="1"/>
    <n v="2"/>
    <n v="0.16"/>
    <n v="0.13639999999999999"/>
    <n v="0.13639999999999999"/>
    <n v="0.64"/>
    <n v="0.28360000000000002"/>
    <n v="1"/>
    <n v="71"/>
    <n v="72"/>
    <x v="1"/>
    <x v="1"/>
    <s v="Winter"/>
    <s v="Monday"/>
    <x v="1"/>
    <n v="-0.5"/>
    <n v="-7"/>
    <n v="64"/>
    <n v="19"/>
    <n v="0.98611111111111116"/>
    <x v="0"/>
    <n v="-0.44"/>
    <s v=""/>
    <s v="OK"/>
    <s v="No"/>
  </r>
  <r>
    <n v="673"/>
    <s v="Dataset 3"/>
    <n v="0"/>
    <n v="0"/>
    <n v="63"/>
    <x v="30"/>
    <n v="1"/>
    <n v="0"/>
    <n v="1"/>
    <x v="8"/>
    <b v="0"/>
    <n v="1"/>
    <n v="2"/>
    <n v="0.16"/>
    <n v="0.13639999999999999"/>
    <n v="0.13639999999999999"/>
    <n v="0.59"/>
    <n v="0.28360000000000002"/>
    <n v="3"/>
    <n v="182"/>
    <n v="185"/>
    <x v="1"/>
    <x v="1"/>
    <s v="Winter"/>
    <s v="Monday"/>
    <x v="1"/>
    <n v="-0.5"/>
    <n v="-7"/>
    <n v="59"/>
    <n v="19"/>
    <n v="0.98378378378378384"/>
    <x v="2"/>
    <n v="-0.1"/>
    <s v=""/>
    <s v="OK"/>
    <s v="No"/>
  </r>
  <r>
    <n v="674"/>
    <s v="Dataset 3"/>
    <n v="0"/>
    <n v="0"/>
    <n v="64"/>
    <x v="30"/>
    <n v="1"/>
    <n v="0"/>
    <n v="1"/>
    <x v="9"/>
    <b v="0"/>
    <n v="1"/>
    <n v="2"/>
    <n v="0.16"/>
    <n v="0.13639999999999999"/>
    <n v="0.13639999999999999"/>
    <n v="0.59"/>
    <n v="0.29849999999999999"/>
    <n v="0"/>
    <n v="112"/>
    <n v="112"/>
    <x v="1"/>
    <x v="1"/>
    <s v="Winter"/>
    <s v="Monday"/>
    <x v="1"/>
    <n v="-0.5"/>
    <n v="-7"/>
    <n v="59"/>
    <n v="20"/>
    <n v="1"/>
    <x v="2"/>
    <n v="-0.28000000000000003"/>
    <s v=""/>
    <s v="OK"/>
    <s v="No"/>
  </r>
  <r>
    <n v="675"/>
    <s v="Dataset 3"/>
    <n v="0"/>
    <n v="0"/>
    <n v="65"/>
    <x v="30"/>
    <n v="1"/>
    <n v="0"/>
    <n v="1"/>
    <x v="10"/>
    <b v="0"/>
    <n v="1"/>
    <n v="2"/>
    <n v="0.16"/>
    <n v="0.1515"/>
    <n v="0.1515"/>
    <n v="0.59"/>
    <n v="0.19400000000000001"/>
    <n v="1"/>
    <n v="68"/>
    <n v="69"/>
    <x v="1"/>
    <x v="1"/>
    <s v="Winter"/>
    <s v="Monday"/>
    <x v="1"/>
    <n v="-0.5"/>
    <n v="-6"/>
    <n v="59"/>
    <n v="13"/>
    <n v="0.98550724637681164"/>
    <x v="0"/>
    <n v="1.99"/>
    <s v=""/>
    <s v="OK"/>
    <s v="No"/>
  </r>
  <r>
    <n v="676"/>
    <s v="Dataset 3"/>
    <n v="0"/>
    <n v="0"/>
    <n v="66"/>
    <x v="30"/>
    <n v="1"/>
    <n v="0"/>
    <n v="1"/>
    <x v="11"/>
    <b v="0"/>
    <n v="1"/>
    <n v="2"/>
    <n v="0.16"/>
    <n v="0.1515"/>
    <n v="0.1515"/>
    <n v="0.59"/>
    <n v="0.19400000000000001"/>
    <n v="2"/>
    <n v="46"/>
    <n v="48"/>
    <x v="1"/>
    <x v="1"/>
    <s v="Winter"/>
    <s v="Monday"/>
    <x v="1"/>
    <n v="-0.5"/>
    <n v="-6"/>
    <n v="59"/>
    <n v="13"/>
    <n v="0.95833333333333337"/>
    <x v="0"/>
    <n v="-0.19"/>
    <s v=""/>
    <s v="OK"/>
    <s v="No"/>
  </r>
  <r>
    <n v="677"/>
    <s v="Dataset 3"/>
    <n v="0"/>
    <n v="0"/>
    <n v="67"/>
    <x v="30"/>
    <n v="1"/>
    <n v="0"/>
    <n v="1"/>
    <x v="12"/>
    <b v="0"/>
    <n v="1"/>
    <n v="2"/>
    <n v="0.18"/>
    <n v="0.21210000000000001"/>
    <n v="0.21210000000000001"/>
    <n v="0.55000000000000004"/>
    <n v="0.1045"/>
    <n v="6"/>
    <n v="62"/>
    <n v="68"/>
    <x v="1"/>
    <x v="1"/>
    <s v="Winter"/>
    <s v="Monday"/>
    <x v="2"/>
    <n v="0.5"/>
    <n v="-2"/>
    <n v="55"/>
    <n v="7"/>
    <n v="0.91176470588235292"/>
    <x v="0"/>
    <n v="0.21"/>
    <s v=""/>
    <s v="OK"/>
    <s v="No"/>
  </r>
  <r>
    <n v="678"/>
    <s v="Dataset 3"/>
    <n v="0"/>
    <n v="0"/>
    <n v="68"/>
    <x v="30"/>
    <n v="1"/>
    <n v="0"/>
    <n v="1"/>
    <x v="13"/>
    <b v="0"/>
    <n v="1"/>
    <n v="2"/>
    <n v="0.16"/>
    <n v="0.2273"/>
    <n v="0.2273"/>
    <n v="0.59"/>
    <n v="0"/>
    <n v="2"/>
    <n v="52"/>
    <n v="54"/>
    <x v="1"/>
    <x v="1"/>
    <s v="Winter"/>
    <s v="Monday"/>
    <x v="2"/>
    <n v="-0.5"/>
    <n v="-1"/>
    <n v="59"/>
    <n v="0"/>
    <n v="0.96296296296296291"/>
    <x v="0"/>
    <n v="-0.61"/>
    <s v=""/>
    <s v="OK"/>
    <s v="No"/>
  </r>
  <r>
    <n v="679"/>
    <s v="Dataset 3"/>
    <n v="0"/>
    <n v="0"/>
    <n v="69"/>
    <x v="30"/>
    <n v="1"/>
    <n v="0"/>
    <n v="1"/>
    <x v="14"/>
    <b v="0"/>
    <n v="1"/>
    <n v="2"/>
    <n v="0.18"/>
    <n v="0.19700000000000001"/>
    <n v="0.19700000000000001"/>
    <n v="0.55000000000000004"/>
    <n v="0.1343"/>
    <n v="1"/>
    <n v="85"/>
    <n v="86"/>
    <x v="1"/>
    <x v="1"/>
    <s v="Winter"/>
    <s v="Monday"/>
    <x v="2"/>
    <n v="0.5"/>
    <n v="-3"/>
    <n v="55"/>
    <n v="9"/>
    <n v="0.98837209302325579"/>
    <x v="2"/>
    <n v="1.65"/>
    <s v=""/>
    <s v="OK"/>
    <s v="No"/>
  </r>
  <r>
    <n v="680"/>
    <s v="Dataset 3"/>
    <n v="0"/>
    <n v="0"/>
    <n v="70"/>
    <x v="30"/>
    <n v="1"/>
    <n v="0"/>
    <n v="1"/>
    <x v="15"/>
    <b v="0"/>
    <n v="1"/>
    <n v="2"/>
    <n v="0.16"/>
    <n v="0.18179999999999999"/>
    <n v="0.18179999999999999"/>
    <n v="0.59"/>
    <n v="0.1343"/>
    <n v="3"/>
    <n v="41"/>
    <n v="44"/>
    <x v="1"/>
    <x v="1"/>
    <s v="Winter"/>
    <s v="Monday"/>
    <x v="2"/>
    <n v="-0.5"/>
    <n v="-4"/>
    <n v="59"/>
    <n v="9"/>
    <n v="0.93181818181818177"/>
    <x v="0"/>
    <n v="-1.1599999999999999"/>
    <s v=""/>
    <s v="OK"/>
    <s v="No"/>
  </r>
  <r>
    <n v="681"/>
    <s v="Dataset 3"/>
    <n v="0"/>
    <n v="0"/>
    <n v="71"/>
    <x v="30"/>
    <n v="1"/>
    <n v="0"/>
    <n v="1"/>
    <x v="16"/>
    <b v="0"/>
    <n v="1"/>
    <n v="2"/>
    <n v="0.16"/>
    <n v="0.18179999999999999"/>
    <n v="0.18179999999999999"/>
    <n v="0.56000000000000005"/>
    <n v="0.19400000000000001"/>
    <n v="3"/>
    <n v="83"/>
    <n v="86"/>
    <x v="1"/>
    <x v="1"/>
    <s v="Winter"/>
    <s v="Monday"/>
    <x v="2"/>
    <n v="-0.5"/>
    <n v="-4"/>
    <n v="56"/>
    <n v="13"/>
    <n v="0.96511627906976749"/>
    <x v="2"/>
    <n v="0.16"/>
    <s v=""/>
    <s v="OK"/>
    <s v="No"/>
  </r>
  <r>
    <n v="682"/>
    <s v="Dataset 3"/>
    <n v="0"/>
    <n v="0"/>
    <n v="72"/>
    <x v="30"/>
    <n v="1"/>
    <n v="0"/>
    <n v="1"/>
    <x v="17"/>
    <b v="0"/>
    <n v="1"/>
    <n v="2"/>
    <n v="0.16"/>
    <n v="0.1515"/>
    <n v="0.1515"/>
    <n v="0.59"/>
    <n v="0.19400000000000001"/>
    <n v="6"/>
    <n v="155"/>
    <n v="161"/>
    <x v="1"/>
    <x v="1"/>
    <s v="Winter"/>
    <s v="Monday"/>
    <x v="2"/>
    <n v="-0.5"/>
    <n v="-6"/>
    <n v="59"/>
    <n v="13"/>
    <n v="0.96273291925465843"/>
    <x v="2"/>
    <n v="-0.19"/>
    <s v=""/>
    <s v="OK"/>
    <s v="No"/>
  </r>
  <r>
    <n v="683"/>
    <s v="Dataset 3"/>
    <n v="0"/>
    <n v="0"/>
    <n v="73"/>
    <x v="30"/>
    <n v="1"/>
    <n v="0"/>
    <n v="1"/>
    <x v="18"/>
    <b v="0"/>
    <n v="1"/>
    <n v="2"/>
    <n v="0.16"/>
    <n v="0.1515"/>
    <n v="0.1515"/>
    <n v="0.55000000000000004"/>
    <n v="0.22389999999999999"/>
    <n v="3"/>
    <n v="153"/>
    <n v="156"/>
    <x v="1"/>
    <x v="1"/>
    <s v="Winter"/>
    <s v="Monday"/>
    <x v="3"/>
    <n v="-0.5"/>
    <n v="-6"/>
    <n v="55"/>
    <n v="15"/>
    <n v="0.98076923076923073"/>
    <x v="2"/>
    <n v="0.1"/>
    <s v=""/>
    <s v="OK"/>
    <s v="No"/>
  </r>
  <r>
    <n v="684"/>
    <s v="Dataset 3"/>
    <n v="0"/>
    <n v="0"/>
    <n v="74"/>
    <x v="30"/>
    <n v="1"/>
    <n v="0"/>
    <n v="1"/>
    <x v="19"/>
    <b v="0"/>
    <n v="1"/>
    <n v="1"/>
    <n v="0.3"/>
    <n v="0.31819999999999998"/>
    <n v="0.31819999999999998"/>
    <n v="0.61"/>
    <n v="0.1045"/>
    <n v="3"/>
    <n v="108"/>
    <n v="111"/>
    <x v="1"/>
    <x v="0"/>
    <s v="Winter"/>
    <s v="Monday"/>
    <x v="3"/>
    <n v="6.1"/>
    <n v="5"/>
    <n v="61"/>
    <n v="7"/>
    <n v="0.97297297297297303"/>
    <x v="2"/>
    <n v="0.37"/>
    <s v=""/>
    <s v="OK"/>
    <s v="No"/>
  </r>
  <r>
    <n v="685"/>
    <s v="Dataset 3"/>
    <n v="0"/>
    <n v="0"/>
    <n v="75"/>
    <x v="30"/>
    <n v="1"/>
    <n v="0"/>
    <n v="1"/>
    <x v="20"/>
    <b v="0"/>
    <n v="1"/>
    <n v="3"/>
    <n v="0.16"/>
    <n v="0.16669999999999999"/>
    <n v="0.16669999999999999"/>
    <n v="0.59"/>
    <n v="0.16420000000000001"/>
    <n v="0"/>
    <n v="78"/>
    <n v="78"/>
    <x v="1"/>
    <x v="2"/>
    <s v="Winter"/>
    <s v="Monday"/>
    <x v="3"/>
    <n v="-0.5"/>
    <n v="-5"/>
    <n v="59"/>
    <n v="11"/>
    <n v="1"/>
    <x v="0"/>
    <n v="0.2"/>
    <s v=""/>
    <s v="OK"/>
    <s v="No"/>
  </r>
  <r>
    <n v="686"/>
    <s v="Dataset 3"/>
    <n v="0"/>
    <n v="0"/>
    <n v="76"/>
    <x v="30"/>
    <n v="1"/>
    <n v="0"/>
    <n v="1"/>
    <x v="21"/>
    <b v="0"/>
    <n v="1"/>
    <n v="3"/>
    <n v="0.16"/>
    <n v="0.19700000000000001"/>
    <n v="0.19700000000000001"/>
    <n v="0.59"/>
    <n v="8.9599999999999999E-2"/>
    <n v="3"/>
    <n v="53"/>
    <n v="56"/>
    <x v="1"/>
    <x v="2"/>
    <s v="Winter"/>
    <s v="Monday"/>
    <x v="3"/>
    <n v="-0.5"/>
    <n v="-3"/>
    <n v="59"/>
    <n v="6"/>
    <n v="0.9464285714285714"/>
    <x v="0"/>
    <n v="0.32"/>
    <s v=""/>
    <s v="OK"/>
    <s v="No"/>
  </r>
  <r>
    <n v="687"/>
    <s v="Dataset 3"/>
    <n v="0"/>
    <n v="0"/>
    <n v="77"/>
    <x v="30"/>
    <n v="1"/>
    <n v="0"/>
    <n v="1"/>
    <x v="22"/>
    <b v="0"/>
    <n v="1"/>
    <n v="2"/>
    <n v="0.16"/>
    <n v="0.18179999999999999"/>
    <n v="0.18179999999999999"/>
    <n v="0.59"/>
    <n v="0.1045"/>
    <n v="0"/>
    <n v="34"/>
    <n v="34"/>
    <x v="1"/>
    <x v="1"/>
    <s v="Winter"/>
    <s v="Monday"/>
    <x v="3"/>
    <n v="-0.5"/>
    <n v="-4"/>
    <n v="59"/>
    <n v="7"/>
    <n v="1"/>
    <x v="0"/>
    <n v="-0.4"/>
    <s v=""/>
    <s v="OK"/>
    <s v="No"/>
  </r>
  <r>
    <n v="688"/>
    <s v="Dataset 3"/>
    <n v="0"/>
    <n v="0"/>
    <n v="78"/>
    <x v="30"/>
    <n v="1"/>
    <n v="0"/>
    <n v="1"/>
    <x v="23"/>
    <b v="0"/>
    <n v="1"/>
    <n v="2"/>
    <n v="0.16"/>
    <n v="0.19700000000000001"/>
    <n v="0.19700000000000001"/>
    <n v="0.64"/>
    <n v="8.9599999999999999E-2"/>
    <n v="2"/>
    <n v="15"/>
    <n v="17"/>
    <x v="1"/>
    <x v="1"/>
    <s v="Winter"/>
    <s v="Monday"/>
    <x v="3"/>
    <n v="-0.5"/>
    <n v="-3"/>
    <n v="64"/>
    <n v="6"/>
    <n v="0.88235294117647056"/>
    <x v="0"/>
    <n v="-0.74"/>
    <s v=""/>
    <s v="OK"/>
    <s v="No"/>
  </r>
  <r>
    <n v="689"/>
    <s v="Dataset 3"/>
    <n v="0"/>
    <n v="0"/>
    <n v="79"/>
    <x v="31"/>
    <n v="1"/>
    <n v="0"/>
    <n v="2"/>
    <x v="0"/>
    <b v="0"/>
    <n v="2"/>
    <n v="2"/>
    <n v="0.16"/>
    <n v="0.18179999999999999"/>
    <n v="0.18179999999999999"/>
    <n v="0.64"/>
    <n v="0.1045"/>
    <n v="2"/>
    <n v="6"/>
    <n v="8"/>
    <x v="1"/>
    <x v="1"/>
    <s v="Winter"/>
    <s v="Tuesday"/>
    <x v="0"/>
    <n v="-0.5"/>
    <n v="-4"/>
    <n v="64"/>
    <n v="7"/>
    <n v="0.75"/>
    <x v="1"/>
    <n v="-0.51"/>
    <s v=""/>
    <s v="OK"/>
    <s v="No"/>
  </r>
  <r>
    <n v="690"/>
    <s v="Dataset 3"/>
    <n v="0"/>
    <n v="0"/>
    <n v="80"/>
    <x v="31"/>
    <n v="1"/>
    <n v="0"/>
    <n v="2"/>
    <x v="1"/>
    <b v="0"/>
    <n v="2"/>
    <n v="2"/>
    <n v="0.16"/>
    <n v="0.18179999999999999"/>
    <n v="0.18179999999999999"/>
    <n v="0.69"/>
    <n v="0.1045"/>
    <n v="0"/>
    <n v="3"/>
    <n v="3"/>
    <x v="1"/>
    <x v="1"/>
    <s v="Winter"/>
    <s v="Tuesday"/>
    <x v="0"/>
    <n v="-0.5"/>
    <n v="-4"/>
    <n v="69"/>
    <n v="7"/>
    <n v="1"/>
    <x v="1"/>
    <n v="-0.85"/>
    <s v=""/>
    <s v="OK"/>
    <s v="No"/>
  </r>
  <r>
    <n v="691"/>
    <s v="Dataset 3"/>
    <n v="0"/>
    <n v="0"/>
    <n v="81"/>
    <x v="31"/>
    <n v="1"/>
    <n v="0"/>
    <n v="2"/>
    <x v="2"/>
    <b v="0"/>
    <n v="2"/>
    <n v="2"/>
    <n v="0.16"/>
    <n v="0.2273"/>
    <n v="0.2273"/>
    <n v="0.69"/>
    <n v="0"/>
    <n v="0"/>
    <n v="2"/>
    <n v="2"/>
    <x v="1"/>
    <x v="1"/>
    <s v="Winter"/>
    <s v="Tuesday"/>
    <x v="0"/>
    <n v="-0.5"/>
    <n v="-1"/>
    <n v="69"/>
    <n v="0"/>
    <n v="1"/>
    <x v="1"/>
    <n v="-0.24"/>
    <s v=""/>
    <s v="OK"/>
    <s v="No"/>
  </r>
  <r>
    <n v="692"/>
    <s v="Dataset 3"/>
    <n v="0"/>
    <n v="0"/>
    <n v="82"/>
    <x v="31"/>
    <n v="1"/>
    <n v="0"/>
    <n v="2"/>
    <x v="3"/>
    <b v="0"/>
    <n v="2"/>
    <n v="2"/>
    <n v="0.16"/>
    <n v="0.2273"/>
    <n v="0.2273"/>
    <n v="0.69"/>
    <n v="0"/>
    <n v="0"/>
    <n v="2"/>
    <n v="2"/>
    <x v="1"/>
    <x v="1"/>
    <s v="Winter"/>
    <s v="Tuesday"/>
    <x v="0"/>
    <n v="-0.5"/>
    <n v="-1"/>
    <n v="69"/>
    <n v="0"/>
    <n v="1"/>
    <x v="1"/>
    <n v="1.01"/>
    <s v=""/>
    <s v="OK"/>
    <s v="No"/>
  </r>
  <r>
    <n v="693"/>
    <s v="Dataset 3"/>
    <n v="0"/>
    <n v="0"/>
    <n v="83"/>
    <x v="31"/>
    <n v="1"/>
    <n v="0"/>
    <n v="2"/>
    <x v="5"/>
    <b v="0"/>
    <n v="2"/>
    <n v="3"/>
    <n v="0.14000000000000001"/>
    <n v="0.21210000000000001"/>
    <n v="0.21210000000000001"/>
    <n v="0.93"/>
    <n v="0"/>
    <n v="0"/>
    <n v="3"/>
    <n v="3"/>
    <x v="1"/>
    <x v="2"/>
    <s v="Winter"/>
    <s v="Tuesday"/>
    <x v="0"/>
    <n v="-1.4"/>
    <n v="-2"/>
    <n v="93"/>
    <n v="0"/>
    <n v="1"/>
    <x v="1"/>
    <n v="-0.82"/>
    <s v=""/>
    <s v="OK"/>
    <s v="No"/>
  </r>
  <r>
    <n v="694"/>
    <s v="Dataset 3"/>
    <n v="0"/>
    <n v="0"/>
    <n v="84"/>
    <x v="31"/>
    <n v="1"/>
    <n v="0"/>
    <n v="2"/>
    <x v="6"/>
    <b v="0"/>
    <n v="2"/>
    <n v="3"/>
    <n v="0.14000000000000001"/>
    <n v="0.21210000000000001"/>
    <n v="0.21210000000000001"/>
    <n v="0.93"/>
    <n v="0"/>
    <n v="0"/>
    <n v="22"/>
    <n v="22"/>
    <x v="1"/>
    <x v="2"/>
    <s v="Winter"/>
    <s v="Tuesday"/>
    <x v="1"/>
    <n v="-1.4"/>
    <n v="-2"/>
    <n v="93"/>
    <n v="0"/>
    <n v="1"/>
    <x v="0"/>
    <n v="-0.71"/>
    <s v=""/>
    <s v="OK"/>
    <s v="No"/>
  </r>
  <r>
    <n v="695"/>
    <s v="Dataset 3"/>
    <n v="0"/>
    <n v="0"/>
    <n v="85"/>
    <x v="31"/>
    <n v="1"/>
    <n v="0"/>
    <n v="2"/>
    <x v="7"/>
    <b v="0"/>
    <n v="2"/>
    <n v="3"/>
    <n v="0.16"/>
    <n v="0.2273"/>
    <n v="0.2273"/>
    <n v="0.93"/>
    <n v="0"/>
    <n v="0"/>
    <n v="52"/>
    <n v="52"/>
    <x v="1"/>
    <x v="2"/>
    <s v="Winter"/>
    <s v="Tuesday"/>
    <x v="1"/>
    <n v="-0.5"/>
    <n v="-1"/>
    <n v="93"/>
    <n v="0"/>
    <n v="1"/>
    <x v="0"/>
    <n v="-1.48"/>
    <s v=""/>
    <s v="OK"/>
    <s v="No"/>
  </r>
  <r>
    <n v="696"/>
    <s v="Dataset 3"/>
    <n v="0"/>
    <n v="0"/>
    <n v="86"/>
    <x v="31"/>
    <n v="1"/>
    <n v="0"/>
    <n v="2"/>
    <x v="8"/>
    <b v="0"/>
    <n v="2"/>
    <n v="3"/>
    <n v="0.16"/>
    <n v="0.2273"/>
    <n v="0.2273"/>
    <n v="0.93"/>
    <n v="0"/>
    <n v="3"/>
    <n v="132"/>
    <n v="135"/>
    <x v="1"/>
    <x v="2"/>
    <s v="Winter"/>
    <s v="Tuesday"/>
    <x v="1"/>
    <n v="-0.5"/>
    <n v="-1"/>
    <n v="93"/>
    <n v="0"/>
    <n v="0.97777777777777775"/>
    <x v="2"/>
    <n v="-1.37"/>
    <s v=""/>
    <s v="OK"/>
    <s v="No"/>
  </r>
  <r>
    <n v="697"/>
    <s v="Dataset 3"/>
    <n v="0"/>
    <n v="0"/>
    <n v="87"/>
    <x v="31"/>
    <n v="1"/>
    <n v="0"/>
    <n v="2"/>
    <x v="9"/>
    <b v="0"/>
    <n v="2"/>
    <n v="2"/>
    <n v="0.16"/>
    <n v="0.2273"/>
    <n v="0.2273"/>
    <n v="0.93"/>
    <n v="0"/>
    <n v="2"/>
    <n v="114"/>
    <n v="116"/>
    <x v="1"/>
    <x v="1"/>
    <s v="Winter"/>
    <s v="Tuesday"/>
    <x v="1"/>
    <n v="-0.5"/>
    <n v="-1"/>
    <n v="93"/>
    <n v="0"/>
    <n v="0.98275862068965514"/>
    <x v="2"/>
    <n v="-0.1"/>
    <s v=""/>
    <s v="OK"/>
    <s v="No"/>
  </r>
  <r>
    <n v="698"/>
    <s v="Dataset 3"/>
    <n v="0"/>
    <n v="0"/>
    <n v="88"/>
    <x v="31"/>
    <n v="1"/>
    <n v="0"/>
    <n v="2"/>
    <x v="10"/>
    <b v="0"/>
    <n v="2"/>
    <n v="2"/>
    <n v="0.16"/>
    <n v="0.2273"/>
    <n v="0.2273"/>
    <n v="0.93"/>
    <n v="0"/>
    <n v="0"/>
    <n v="47"/>
    <n v="47"/>
    <x v="1"/>
    <x v="1"/>
    <s v="Winter"/>
    <s v="Tuesday"/>
    <x v="1"/>
    <n v="-0.5"/>
    <n v="-1"/>
    <n v="93"/>
    <n v="0"/>
    <n v="1"/>
    <x v="0"/>
    <n v="-0.17"/>
    <s v=""/>
    <s v="OK"/>
    <s v="No"/>
  </r>
  <r>
    <n v="699"/>
    <s v="Dataset 3"/>
    <n v="0"/>
    <n v="0"/>
    <n v="89"/>
    <x v="31"/>
    <n v="1"/>
    <n v="0"/>
    <n v="2"/>
    <x v="11"/>
    <b v="0"/>
    <n v="2"/>
    <n v="2"/>
    <n v="0.18"/>
    <n v="0.2424"/>
    <n v="0.2424"/>
    <n v="0.86"/>
    <n v="0"/>
    <n v="2"/>
    <n v="49"/>
    <n v="51"/>
    <x v="1"/>
    <x v="1"/>
    <s v="Winter"/>
    <s v="Tuesday"/>
    <x v="1"/>
    <n v="0.5"/>
    <n v="0"/>
    <n v="86"/>
    <n v="0"/>
    <n v="0.96078431372549022"/>
    <x v="0"/>
    <n v="0.08"/>
    <s v=""/>
    <s v="OK"/>
    <s v="No"/>
  </r>
  <r>
    <n v="700"/>
    <s v="Dataset 3"/>
    <n v="0"/>
    <n v="0"/>
    <n v="90"/>
    <x v="31"/>
    <n v="1"/>
    <n v="0"/>
    <n v="2"/>
    <x v="12"/>
    <b v="0"/>
    <n v="2"/>
    <n v="2"/>
    <n v="0.2"/>
    <n v="0.2576"/>
    <n v="0.2576"/>
    <n v="0.86"/>
    <n v="0"/>
    <n v="2"/>
    <n v="53"/>
    <n v="55"/>
    <x v="1"/>
    <x v="1"/>
    <s v="Winter"/>
    <s v="Tuesday"/>
    <x v="2"/>
    <n v="1.4"/>
    <n v="1"/>
    <n v="86"/>
    <n v="0"/>
    <n v="0.96363636363636362"/>
    <x v="0"/>
    <n v="-0.48"/>
    <s v=""/>
    <s v="OK"/>
    <s v="No"/>
  </r>
  <r>
    <n v="701"/>
    <s v="Dataset 3"/>
    <n v="0"/>
    <n v="0"/>
    <n v="91"/>
    <x v="31"/>
    <n v="1"/>
    <n v="0"/>
    <n v="2"/>
    <x v="13"/>
    <b v="0"/>
    <n v="2"/>
    <n v="2"/>
    <n v="0.2"/>
    <n v="0.2576"/>
    <n v="0.2576"/>
    <n v="0.86"/>
    <n v="0"/>
    <n v="3"/>
    <n v="49"/>
    <n v="52"/>
    <x v="1"/>
    <x v="1"/>
    <s v="Winter"/>
    <s v="Tuesday"/>
    <x v="2"/>
    <n v="1.4"/>
    <n v="1"/>
    <n v="86"/>
    <n v="0"/>
    <n v="0.94230769230769229"/>
    <x v="0"/>
    <n v="-0.71"/>
    <s v=""/>
    <s v="OK"/>
    <s v="No"/>
  </r>
  <r>
    <n v="702"/>
    <s v="Dataset 3"/>
    <n v="0"/>
    <n v="0"/>
    <n v="92"/>
    <x v="31"/>
    <n v="1"/>
    <n v="0"/>
    <n v="2"/>
    <x v="14"/>
    <b v="0"/>
    <n v="2"/>
    <n v="2"/>
    <n v="0.22"/>
    <n v="0.2576"/>
    <n v="0.2576"/>
    <n v="0.8"/>
    <n v="8.9599999999999999E-2"/>
    <n v="5"/>
    <n v="49"/>
    <n v="54"/>
    <x v="1"/>
    <x v="1"/>
    <s v="Winter"/>
    <s v="Tuesday"/>
    <x v="2"/>
    <n v="2.2999999999999998"/>
    <n v="1"/>
    <n v="80"/>
    <n v="6"/>
    <n v="0.90740740740740744"/>
    <x v="0"/>
    <n v="-0.35"/>
    <s v=""/>
    <s v="OK"/>
    <s v="No"/>
  </r>
  <r>
    <n v="703"/>
    <s v="Dataset 3"/>
    <n v="0"/>
    <n v="0"/>
    <n v="93"/>
    <x v="31"/>
    <n v="1"/>
    <n v="0"/>
    <n v="2"/>
    <x v="15"/>
    <b v="0"/>
    <n v="2"/>
    <n v="2"/>
    <n v="0.24"/>
    <n v="0.28789999999999999"/>
    <n v="0.28789999999999999"/>
    <n v="0.75"/>
    <n v="0"/>
    <n v="7"/>
    <n v="45"/>
    <n v="52"/>
    <x v="1"/>
    <x v="1"/>
    <s v="Winter"/>
    <s v="Tuesday"/>
    <x v="2"/>
    <n v="3.3"/>
    <n v="3"/>
    <n v="75"/>
    <n v="0"/>
    <n v="0.86538461538461542"/>
    <x v="0"/>
    <n v="-0.59"/>
    <s v=""/>
    <s v="OK"/>
    <s v="No"/>
  </r>
  <r>
    <n v="704"/>
    <s v="Dataset 3"/>
    <n v="0"/>
    <n v="0"/>
    <n v="94"/>
    <x v="31"/>
    <n v="1"/>
    <n v="0"/>
    <n v="2"/>
    <x v="16"/>
    <b v="0"/>
    <n v="2"/>
    <n v="2"/>
    <n v="0.24"/>
    <n v="0.2424"/>
    <n v="0.2424"/>
    <n v="0.75"/>
    <n v="0.1343"/>
    <n v="3"/>
    <n v="61"/>
    <n v="64"/>
    <x v="1"/>
    <x v="1"/>
    <s v="Winter"/>
    <s v="Tuesday"/>
    <x v="2"/>
    <n v="3.3"/>
    <n v="0"/>
    <n v="75"/>
    <n v="9"/>
    <n v="0.953125"/>
    <x v="0"/>
    <n v="-0.88"/>
    <s v=""/>
    <s v="OK"/>
    <s v="No"/>
  </r>
  <r>
    <n v="705"/>
    <s v="Dataset 3"/>
    <n v="0"/>
    <n v="0"/>
    <n v="95"/>
    <x v="31"/>
    <n v="1"/>
    <n v="0"/>
    <n v="2"/>
    <x v="17"/>
    <b v="0"/>
    <n v="2"/>
    <n v="2"/>
    <n v="0.24"/>
    <n v="0.28789999999999999"/>
    <n v="0.28789999999999999"/>
    <n v="0.75"/>
    <n v="0"/>
    <n v="4"/>
    <n v="172"/>
    <n v="176"/>
    <x v="1"/>
    <x v="1"/>
    <s v="Winter"/>
    <s v="Tuesday"/>
    <x v="2"/>
    <n v="3.3"/>
    <n v="3"/>
    <n v="75"/>
    <n v="0"/>
    <n v="0.97727272727272729"/>
    <x v="2"/>
    <n v="0.18"/>
    <s v=""/>
    <s v="OK"/>
    <s v="No"/>
  </r>
  <r>
    <n v="706"/>
    <s v="Dataset 3"/>
    <n v="0"/>
    <n v="0"/>
    <n v="96"/>
    <x v="31"/>
    <n v="1"/>
    <n v="0"/>
    <n v="2"/>
    <x v="18"/>
    <b v="0"/>
    <n v="2"/>
    <n v="2"/>
    <n v="0.24"/>
    <n v="0.2576"/>
    <n v="0.2576"/>
    <n v="0.81"/>
    <n v="0.1045"/>
    <n v="3"/>
    <n v="165"/>
    <n v="168"/>
    <x v="1"/>
    <x v="1"/>
    <s v="Winter"/>
    <s v="Tuesday"/>
    <x v="3"/>
    <n v="3.3"/>
    <n v="1"/>
    <n v="81"/>
    <n v="7"/>
    <n v="0.9821428571428571"/>
    <x v="2"/>
    <n v="0.53"/>
    <s v=""/>
    <s v="OK"/>
    <s v="No"/>
  </r>
  <r>
    <n v="707"/>
    <s v="Dataset 3"/>
    <n v="0"/>
    <n v="0"/>
    <n v="97"/>
    <x v="31"/>
    <n v="1"/>
    <n v="0"/>
    <n v="2"/>
    <x v="19"/>
    <b v="0"/>
    <n v="2"/>
    <n v="2"/>
    <n v="0.24"/>
    <n v="0.2424"/>
    <n v="0.2424"/>
    <n v="0.81"/>
    <n v="0.1343"/>
    <n v="3"/>
    <n v="105"/>
    <n v="108"/>
    <x v="1"/>
    <x v="1"/>
    <s v="Winter"/>
    <s v="Tuesday"/>
    <x v="3"/>
    <n v="3.3"/>
    <n v="0"/>
    <n v="81"/>
    <n v="9"/>
    <n v="0.97222222222222221"/>
    <x v="2"/>
    <n v="0.22"/>
    <s v=""/>
    <s v="OK"/>
    <s v="No"/>
  </r>
  <r>
    <n v="708"/>
    <s v="Dataset 3"/>
    <n v="0"/>
    <n v="0"/>
    <n v="98"/>
    <x v="31"/>
    <n v="1"/>
    <n v="0"/>
    <n v="2"/>
    <x v="20"/>
    <b v="0"/>
    <n v="2"/>
    <n v="2"/>
    <n v="0.22"/>
    <n v="0.2273"/>
    <n v="0.2273"/>
    <n v="0.87"/>
    <n v="0.1343"/>
    <n v="5"/>
    <n v="69"/>
    <n v="74"/>
    <x v="1"/>
    <x v="1"/>
    <s v="Winter"/>
    <s v="Tuesday"/>
    <x v="3"/>
    <n v="2.2999999999999998"/>
    <n v="-1"/>
    <n v="87"/>
    <n v="9"/>
    <n v="0.93243243243243246"/>
    <x v="0"/>
    <n v="0.02"/>
    <s v=""/>
    <s v="OK"/>
    <s v="No"/>
  </r>
  <r>
    <n v="709"/>
    <s v="Dataset 3"/>
    <n v="0"/>
    <n v="0"/>
    <n v="99"/>
    <x v="31"/>
    <n v="1"/>
    <n v="0"/>
    <n v="2"/>
    <x v="21"/>
    <b v="0"/>
    <n v="2"/>
    <n v="2"/>
    <n v="0.22"/>
    <n v="0.2273"/>
    <n v="0.2273"/>
    <n v="0.87"/>
    <n v="0.1343"/>
    <n v="0"/>
    <n v="64"/>
    <n v="64"/>
    <x v="1"/>
    <x v="1"/>
    <s v="Winter"/>
    <s v="Tuesday"/>
    <x v="3"/>
    <n v="2.2999999999999998"/>
    <n v="-1"/>
    <n v="87"/>
    <n v="9"/>
    <n v="1"/>
    <x v="0"/>
    <n v="0.92"/>
    <s v=""/>
    <s v="OK"/>
    <s v="No"/>
  </r>
  <r>
    <n v="710"/>
    <s v="Dataset 3"/>
    <n v="0"/>
    <n v="0"/>
    <n v="100"/>
    <x v="31"/>
    <n v="1"/>
    <n v="0"/>
    <n v="2"/>
    <x v="22"/>
    <b v="0"/>
    <n v="2"/>
    <n v="2"/>
    <n v="0.22"/>
    <n v="0.2576"/>
    <n v="0.2576"/>
    <n v="0.87"/>
    <n v="8.9599999999999999E-2"/>
    <n v="2"/>
    <n v="34"/>
    <n v="36"/>
    <x v="1"/>
    <x v="1"/>
    <s v="Winter"/>
    <s v="Tuesday"/>
    <x v="3"/>
    <n v="2.2999999999999998"/>
    <n v="1"/>
    <n v="87"/>
    <n v="6"/>
    <n v="0.94444444444444442"/>
    <x v="0"/>
    <n v="-0.2"/>
    <s v=""/>
    <s v="OK"/>
    <s v="No"/>
  </r>
  <r>
    <n v="711"/>
    <s v="Dataset 3"/>
    <n v="0"/>
    <n v="0"/>
    <n v="101"/>
    <x v="31"/>
    <n v="1"/>
    <n v="0"/>
    <n v="2"/>
    <x v="23"/>
    <b v="0"/>
    <n v="2"/>
    <n v="3"/>
    <n v="0.2"/>
    <n v="0.19700000000000001"/>
    <n v="0.19700000000000001"/>
    <n v="0.93"/>
    <n v="0.19400000000000001"/>
    <n v="1"/>
    <n v="15"/>
    <n v="16"/>
    <x v="1"/>
    <x v="2"/>
    <s v="Winter"/>
    <s v="Tuesday"/>
    <x v="3"/>
    <n v="1.4"/>
    <n v="-3"/>
    <n v="93"/>
    <n v="13"/>
    <n v="0.9375"/>
    <x v="0"/>
    <n v="-0.84"/>
    <s v=""/>
    <s v="OK"/>
    <s v="No"/>
  </r>
  <r>
    <n v="712"/>
    <s v="Dataset 3"/>
    <n v="0"/>
    <n v="0"/>
    <n v="102"/>
    <x v="32"/>
    <n v="1"/>
    <n v="0"/>
    <n v="2"/>
    <x v="0"/>
    <b v="0"/>
    <n v="3"/>
    <n v="3"/>
    <n v="0.22"/>
    <n v="0.2424"/>
    <n v="0.2424"/>
    <n v="0.93"/>
    <n v="0.1045"/>
    <n v="0"/>
    <n v="2"/>
    <n v="2"/>
    <x v="1"/>
    <x v="2"/>
    <s v="Winter"/>
    <s v="Wednesday"/>
    <x v="0"/>
    <n v="2.2999999999999998"/>
    <n v="0"/>
    <n v="93"/>
    <n v="7"/>
    <n v="1"/>
    <x v="1"/>
    <n v="-1.75"/>
    <s v=""/>
    <s v="OK"/>
    <s v="No"/>
  </r>
  <r>
    <n v="713"/>
    <s v="Dataset 3"/>
    <n v="0"/>
    <n v="0"/>
    <n v="103"/>
    <x v="32"/>
    <n v="1"/>
    <n v="0"/>
    <n v="2"/>
    <x v="1"/>
    <b v="0"/>
    <n v="3"/>
    <n v="3"/>
    <n v="0.22"/>
    <n v="0.2273"/>
    <n v="0.2273"/>
    <n v="0.93"/>
    <n v="0.19400000000000001"/>
    <n v="0"/>
    <n v="3"/>
    <n v="3"/>
    <x v="1"/>
    <x v="2"/>
    <s v="Winter"/>
    <s v="Wednesday"/>
    <x v="0"/>
    <n v="2.2999999999999998"/>
    <n v="-1"/>
    <n v="93"/>
    <n v="13"/>
    <n v="1"/>
    <x v="1"/>
    <n v="-0.85"/>
    <s v=""/>
    <s v="OK"/>
    <s v="No"/>
  </r>
  <r>
    <n v="714"/>
    <s v="Dataset 3"/>
    <n v="0"/>
    <n v="0"/>
    <n v="104"/>
    <x v="32"/>
    <n v="1"/>
    <n v="0"/>
    <n v="2"/>
    <x v="2"/>
    <b v="0"/>
    <n v="3"/>
    <n v="3"/>
    <n v="0.22"/>
    <n v="0.2273"/>
    <n v="0.2273"/>
    <n v="0.93"/>
    <n v="0.1343"/>
    <n v="4"/>
    <n v="0"/>
    <n v="4"/>
    <x v="1"/>
    <x v="2"/>
    <s v="Winter"/>
    <s v="Wednesday"/>
    <x v="0"/>
    <n v="2.2999999999999998"/>
    <n v="-1"/>
    <n v="93"/>
    <n v="9"/>
    <n v="0"/>
    <x v="1"/>
    <n v="0.9"/>
    <s v=""/>
    <s v="OK"/>
    <s v="No"/>
  </r>
  <r>
    <n v="715"/>
    <s v="Dataset 3"/>
    <n v="0"/>
    <n v="0"/>
    <n v="105"/>
    <x v="32"/>
    <n v="1"/>
    <n v="0"/>
    <n v="2"/>
    <x v="3"/>
    <b v="0"/>
    <n v="3"/>
    <n v="3"/>
    <n v="0.22"/>
    <n v="0.2273"/>
    <n v="0.2273"/>
    <n v="0.93"/>
    <n v="0.1343"/>
    <n v="0"/>
    <n v="1"/>
    <n v="1"/>
    <x v="1"/>
    <x v="2"/>
    <s v="Winter"/>
    <s v="Wednesday"/>
    <x v="0"/>
    <n v="2.2999999999999998"/>
    <n v="-1"/>
    <n v="93"/>
    <n v="9"/>
    <n v="1"/>
    <x v="1"/>
    <n v="-0.61"/>
    <s v=""/>
    <s v="OK"/>
    <s v="No"/>
  </r>
  <r>
    <n v="716"/>
    <s v="Dataset 3"/>
    <n v="0"/>
    <n v="0"/>
    <n v="106"/>
    <x v="32"/>
    <n v="1"/>
    <n v="0"/>
    <n v="2"/>
    <x v="4"/>
    <b v="0"/>
    <n v="3"/>
    <n v="3"/>
    <n v="0.22"/>
    <n v="0.21210000000000001"/>
    <n v="0.21210000000000001"/>
    <n v="0.93"/>
    <n v="0.28360000000000002"/>
    <n v="0"/>
    <n v="1"/>
    <n v="1"/>
    <x v="1"/>
    <x v="2"/>
    <s v="Winter"/>
    <s v="Wednesday"/>
    <x v="0"/>
    <n v="2.2999999999999998"/>
    <n v="-2"/>
    <n v="93"/>
    <n v="19"/>
    <n v="1"/>
    <x v="1"/>
    <n v="-0.81"/>
    <s v=""/>
    <s v="OK"/>
    <s v="No"/>
  </r>
  <r>
    <n v="717"/>
    <s v="Dataset 3"/>
    <n v="0"/>
    <n v="0"/>
    <n v="107"/>
    <x v="32"/>
    <n v="1"/>
    <n v="0"/>
    <n v="2"/>
    <x v="5"/>
    <b v="0"/>
    <n v="3"/>
    <n v="3"/>
    <n v="0.22"/>
    <n v="0.2424"/>
    <n v="0.2424"/>
    <n v="0.93"/>
    <n v="0.1045"/>
    <n v="0"/>
    <n v="3"/>
    <n v="3"/>
    <x v="1"/>
    <x v="2"/>
    <s v="Winter"/>
    <s v="Wednesday"/>
    <x v="0"/>
    <n v="2.2999999999999998"/>
    <n v="0"/>
    <n v="93"/>
    <n v="7"/>
    <n v="1"/>
    <x v="1"/>
    <n v="-0.82"/>
    <s v=""/>
    <s v="OK"/>
    <s v="No"/>
  </r>
  <r>
    <n v="718"/>
    <s v="Dataset 3"/>
    <n v="0"/>
    <n v="0"/>
    <n v="108"/>
    <x v="32"/>
    <n v="1"/>
    <n v="0"/>
    <n v="2"/>
    <x v="6"/>
    <b v="0"/>
    <n v="3"/>
    <n v="3"/>
    <n v="0.22"/>
    <n v="0.2424"/>
    <n v="0.2424"/>
    <n v="0.93"/>
    <n v="0.1045"/>
    <n v="1"/>
    <n v="17"/>
    <n v="18"/>
    <x v="1"/>
    <x v="2"/>
    <s v="Winter"/>
    <s v="Wednesday"/>
    <x v="1"/>
    <n v="2.2999999999999998"/>
    <n v="0"/>
    <n v="93"/>
    <n v="7"/>
    <n v="0.94444444444444442"/>
    <x v="0"/>
    <n v="-1.18"/>
    <s v=""/>
    <s v="OK"/>
    <s v="No"/>
  </r>
  <r>
    <n v="719"/>
    <s v="Dataset 3"/>
    <n v="0"/>
    <n v="0"/>
    <n v="109"/>
    <x v="32"/>
    <n v="1"/>
    <n v="0"/>
    <n v="2"/>
    <x v="7"/>
    <b v="0"/>
    <n v="3"/>
    <n v="3"/>
    <n v="0.22"/>
    <n v="0.21210000000000001"/>
    <n v="0.21210000000000001"/>
    <n v="0.93"/>
    <n v="0.22389999999999999"/>
    <n v="1"/>
    <n v="48"/>
    <n v="49"/>
    <x v="1"/>
    <x v="2"/>
    <s v="Winter"/>
    <s v="Wednesday"/>
    <x v="1"/>
    <n v="2.2999999999999998"/>
    <n v="-2"/>
    <n v="93"/>
    <n v="15"/>
    <n v="0.97959183673469385"/>
    <x v="0"/>
    <n v="-1.63"/>
    <s v=""/>
    <s v="OK"/>
    <s v="No"/>
  </r>
  <r>
    <n v="720"/>
    <s v="Dataset 3"/>
    <n v="0"/>
    <n v="0"/>
    <n v="110"/>
    <x v="32"/>
    <n v="1"/>
    <n v="0"/>
    <n v="2"/>
    <x v="8"/>
    <b v="0"/>
    <n v="3"/>
    <n v="3"/>
    <n v="0.22"/>
    <n v="0.21210000000000001"/>
    <n v="0.21210000000000001"/>
    <n v="0.93"/>
    <n v="0.22389999999999999"/>
    <n v="1"/>
    <n v="154"/>
    <n v="155"/>
    <x v="1"/>
    <x v="2"/>
    <s v="Winter"/>
    <s v="Wednesday"/>
    <x v="1"/>
    <n v="2.2999999999999998"/>
    <n v="-2"/>
    <n v="93"/>
    <n v="15"/>
    <n v="0.99354838709677418"/>
    <x v="2"/>
    <n v="-0.86"/>
    <s v=""/>
    <s v="OK"/>
    <s v="No"/>
  </r>
  <r>
    <n v="721"/>
    <s v="Dataset 3"/>
    <n v="0"/>
    <n v="0"/>
    <n v="111"/>
    <x v="32"/>
    <n v="1"/>
    <n v="0"/>
    <n v="2"/>
    <x v="9"/>
    <b v="0"/>
    <n v="3"/>
    <n v="2"/>
    <n v="0.24"/>
    <n v="0.2576"/>
    <n v="0.2576"/>
    <n v="0.93"/>
    <n v="8.9599999999999999E-2"/>
    <n v="4"/>
    <n v="119"/>
    <n v="123"/>
    <x v="1"/>
    <x v="1"/>
    <s v="Winter"/>
    <s v="Wednesday"/>
    <x v="1"/>
    <n v="3.3"/>
    <n v="1"/>
    <n v="93"/>
    <n v="6"/>
    <n v="0.96747967479674801"/>
    <x v="2"/>
    <n v="0.21"/>
    <s v=""/>
    <s v="OK"/>
    <s v="No"/>
  </r>
  <r>
    <n v="722"/>
    <s v="Dataset 3"/>
    <n v="0"/>
    <n v="0"/>
    <n v="112"/>
    <x v="32"/>
    <n v="1"/>
    <n v="0"/>
    <n v="2"/>
    <x v="10"/>
    <b v="0"/>
    <n v="3"/>
    <n v="2"/>
    <n v="0.22"/>
    <n v="0.2727"/>
    <n v="0.2727"/>
    <n v="1"/>
    <n v="0"/>
    <n v="2"/>
    <n v="59"/>
    <n v="61"/>
    <x v="1"/>
    <x v="1"/>
    <s v="Winter"/>
    <s v="Wednesday"/>
    <x v="1"/>
    <n v="2.2999999999999998"/>
    <n v="2"/>
    <n v="100"/>
    <n v="0"/>
    <n v="0.96721311475409832"/>
    <x v="0"/>
    <n v="1.2"/>
    <s v=""/>
    <s v="OK"/>
    <s v="No"/>
  </r>
  <r>
    <n v="723"/>
    <s v="Dataset 3"/>
    <n v="0"/>
    <n v="0"/>
    <n v="113"/>
    <x v="32"/>
    <n v="1"/>
    <n v="0"/>
    <n v="2"/>
    <x v="11"/>
    <b v="0"/>
    <n v="3"/>
    <n v="2"/>
    <n v="0.24"/>
    <n v="0.2273"/>
    <n v="0.2273"/>
    <n v="0.93"/>
    <n v="0.19400000000000001"/>
    <n v="5"/>
    <n v="47"/>
    <n v="52"/>
    <x v="1"/>
    <x v="1"/>
    <s v="Winter"/>
    <s v="Wednesday"/>
    <x v="1"/>
    <n v="3.3"/>
    <n v="-1"/>
    <n v="93"/>
    <n v="13"/>
    <n v="0.90384615384615385"/>
    <x v="0"/>
    <n v="0.17"/>
    <s v=""/>
    <s v="OK"/>
    <s v="No"/>
  </r>
  <r>
    <n v="724"/>
    <s v="Dataset 3"/>
    <n v="0"/>
    <n v="0"/>
    <n v="114"/>
    <x v="32"/>
    <n v="1"/>
    <n v="0"/>
    <n v="2"/>
    <x v="12"/>
    <b v="0"/>
    <n v="3"/>
    <n v="2"/>
    <n v="0.24"/>
    <n v="0.2273"/>
    <n v="0.2273"/>
    <n v="0.93"/>
    <n v="0.22389999999999999"/>
    <n v="3"/>
    <n v="61"/>
    <n v="64"/>
    <x v="1"/>
    <x v="1"/>
    <s v="Winter"/>
    <s v="Wednesday"/>
    <x v="2"/>
    <n v="3.3"/>
    <n v="-1"/>
    <n v="93"/>
    <n v="15"/>
    <n v="0.953125"/>
    <x v="0"/>
    <n v="0"/>
    <s v=""/>
    <s v="OK"/>
    <s v="No"/>
  </r>
  <r>
    <n v="725"/>
    <s v="Dataset 3"/>
    <n v="0"/>
    <n v="0"/>
    <n v="115"/>
    <x v="32"/>
    <n v="1"/>
    <n v="0"/>
    <n v="2"/>
    <x v="13"/>
    <b v="0"/>
    <n v="3"/>
    <n v="1"/>
    <n v="0.34"/>
    <n v="0.33329999999999999"/>
    <n v="0.33329999999999999"/>
    <n v="0.93"/>
    <n v="0.16420000000000001"/>
    <n v="1"/>
    <n v="74"/>
    <n v="75"/>
    <x v="1"/>
    <x v="0"/>
    <s v="Winter"/>
    <s v="Wednesday"/>
    <x v="2"/>
    <n v="8"/>
    <n v="6"/>
    <n v="93"/>
    <n v="11"/>
    <n v="0.98666666666666669"/>
    <x v="0"/>
    <n v="0.44"/>
    <s v=""/>
    <s v="OK"/>
    <s v="No"/>
  </r>
  <r>
    <n v="726"/>
    <s v="Dataset 3"/>
    <n v="0"/>
    <n v="0"/>
    <n v="116"/>
    <x v="32"/>
    <n v="1"/>
    <n v="0"/>
    <n v="2"/>
    <x v="14"/>
    <b v="0"/>
    <n v="3"/>
    <n v="1"/>
    <n v="0.38"/>
    <n v="0.39389999999999997"/>
    <n v="0.39389999999999997"/>
    <n v="0.82"/>
    <n v="0.3881"/>
    <n v="2"/>
    <n v="61"/>
    <n v="63"/>
    <x v="1"/>
    <x v="0"/>
    <s v="Winter"/>
    <s v="Wednesday"/>
    <x v="2"/>
    <n v="9.9"/>
    <n v="10"/>
    <n v="82"/>
    <n v="26"/>
    <n v="0.96825396825396826"/>
    <x v="0"/>
    <n v="0.21"/>
    <s v=""/>
    <s v="OK"/>
    <s v="No"/>
  </r>
  <r>
    <n v="727"/>
    <s v="Dataset 3"/>
    <n v="0"/>
    <n v="0"/>
    <n v="117"/>
    <x v="32"/>
    <n v="1"/>
    <n v="0"/>
    <n v="2"/>
    <x v="15"/>
    <b v="0"/>
    <n v="3"/>
    <n v="1"/>
    <n v="0.38"/>
    <n v="0.39389999999999997"/>
    <n v="0.39389999999999997"/>
    <n v="0.76"/>
    <n v="0.32840000000000003"/>
    <n v="10"/>
    <n v="66"/>
    <n v="76"/>
    <x v="1"/>
    <x v="0"/>
    <s v="Winter"/>
    <s v="Wednesday"/>
    <x v="2"/>
    <n v="9.9"/>
    <n v="10"/>
    <n v="76"/>
    <n v="22"/>
    <n v="0.86842105263157898"/>
    <x v="0"/>
    <n v="1.1100000000000001"/>
    <s v=""/>
    <s v="OK"/>
    <s v="No"/>
  </r>
  <r>
    <n v="728"/>
    <s v="Dataset 3"/>
    <n v="0"/>
    <n v="0"/>
    <n v="118"/>
    <x v="32"/>
    <n v="1"/>
    <n v="0"/>
    <n v="2"/>
    <x v="16"/>
    <b v="0"/>
    <n v="3"/>
    <n v="1"/>
    <n v="0.36"/>
    <n v="0.33329999999999999"/>
    <n v="0.33329999999999999"/>
    <n v="0.71"/>
    <n v="0.29849999999999999"/>
    <n v="8"/>
    <n v="95"/>
    <n v="103"/>
    <x v="1"/>
    <x v="0"/>
    <s v="Winter"/>
    <s v="Wednesday"/>
    <x v="2"/>
    <n v="8.9"/>
    <n v="6"/>
    <n v="71"/>
    <n v="20"/>
    <n v="0.92233009708737868"/>
    <x v="2"/>
    <n v="0.96"/>
    <s v=""/>
    <s v="OK"/>
    <s v="No"/>
  </r>
  <r>
    <n v="729"/>
    <s v="Dataset 3"/>
    <n v="0"/>
    <n v="0"/>
    <n v="119"/>
    <x v="32"/>
    <n v="1"/>
    <n v="0"/>
    <n v="2"/>
    <x v="17"/>
    <b v="0"/>
    <n v="3"/>
    <n v="1"/>
    <n v="0.36"/>
    <n v="0.31819999999999998"/>
    <n v="0.31819999999999998"/>
    <n v="0.53"/>
    <n v="0.52239999999999998"/>
    <n v="7"/>
    <n v="183"/>
    <n v="190"/>
    <x v="1"/>
    <x v="0"/>
    <s v="Winter"/>
    <s v="Wednesday"/>
    <x v="2"/>
    <n v="8.9"/>
    <n v="5"/>
    <n v="53"/>
    <n v="35"/>
    <n v="0.9631578947368421"/>
    <x v="2"/>
    <n v="0.52"/>
    <s v=""/>
    <s v="OK"/>
    <s v="No"/>
  </r>
  <r>
    <n v="730"/>
    <s v="Dataset 3"/>
    <n v="0"/>
    <n v="0"/>
    <n v="120"/>
    <x v="32"/>
    <n v="1"/>
    <n v="0"/>
    <n v="2"/>
    <x v="18"/>
    <b v="0"/>
    <n v="3"/>
    <n v="1"/>
    <n v="0.34"/>
    <n v="0.28789999999999999"/>
    <n v="0.28789999999999999"/>
    <n v="0.42"/>
    <n v="0.55220000000000002"/>
    <n v="7"/>
    <n v="175"/>
    <n v="182"/>
    <x v="1"/>
    <x v="0"/>
    <s v="Winter"/>
    <s v="Wednesday"/>
    <x v="3"/>
    <n v="8"/>
    <n v="3"/>
    <n v="42"/>
    <n v="37"/>
    <n v="0.96153846153846156"/>
    <x v="2"/>
    <n v="1.04"/>
    <s v=""/>
    <s v="OK"/>
    <s v="No"/>
  </r>
  <r>
    <n v="731"/>
    <s v="Dataset 3"/>
    <n v="0"/>
    <n v="0"/>
    <n v="121"/>
    <x v="32"/>
    <n v="1"/>
    <n v="0"/>
    <n v="2"/>
    <x v="19"/>
    <b v="0"/>
    <n v="3"/>
    <n v="1"/>
    <n v="0.28000000000000003"/>
    <n v="0.2424"/>
    <n v="0.2424"/>
    <n v="0.45"/>
    <n v="0.49249999999999999"/>
    <n v="3"/>
    <n v="88"/>
    <n v="91"/>
    <x v="1"/>
    <x v="0"/>
    <s v="Winter"/>
    <s v="Wednesday"/>
    <x v="3"/>
    <n v="5.2"/>
    <n v="0"/>
    <n v="45"/>
    <n v="33"/>
    <n v="0.96703296703296704"/>
    <x v="2"/>
    <n v="-0.63"/>
    <s v=""/>
    <s v="OK"/>
    <s v="No"/>
  </r>
  <r>
    <n v="732"/>
    <s v="Dataset 3"/>
    <n v="0"/>
    <n v="0"/>
    <n v="122"/>
    <x v="32"/>
    <n v="1"/>
    <n v="0"/>
    <n v="2"/>
    <x v="20"/>
    <b v="0"/>
    <n v="3"/>
    <n v="1"/>
    <n v="0.24"/>
    <n v="0.19700000000000001"/>
    <n v="0.19700000000000001"/>
    <n v="0.48"/>
    <n v="0.55220000000000002"/>
    <n v="4"/>
    <n v="71"/>
    <n v="75"/>
    <x v="1"/>
    <x v="0"/>
    <s v="Winter"/>
    <s v="Wednesday"/>
    <x v="3"/>
    <n v="3.3"/>
    <n v="-3"/>
    <n v="48"/>
    <n v="37"/>
    <n v="0.94666666666666666"/>
    <x v="0"/>
    <n v="0.06"/>
    <s v=""/>
    <s v="OK"/>
    <s v="No"/>
  </r>
  <r>
    <n v="733"/>
    <s v="Dataset 3"/>
    <n v="0"/>
    <n v="0"/>
    <n v="123"/>
    <x v="32"/>
    <n v="1"/>
    <n v="0"/>
    <n v="2"/>
    <x v="21"/>
    <b v="0"/>
    <n v="3"/>
    <n v="1"/>
    <n v="0.22"/>
    <n v="0.19700000000000001"/>
    <n v="0.19700000000000001"/>
    <n v="0.47"/>
    <n v="0.32840000000000003"/>
    <n v="1"/>
    <n v="62"/>
    <n v="63"/>
    <x v="1"/>
    <x v="0"/>
    <s v="Winter"/>
    <s v="Wednesday"/>
    <x v="3"/>
    <n v="2.2999999999999998"/>
    <n v="-3"/>
    <n v="47"/>
    <n v="22"/>
    <n v="0.98412698412698407"/>
    <x v="0"/>
    <n v="0.85"/>
    <s v=""/>
    <s v="OK"/>
    <s v="No"/>
  </r>
  <r>
    <n v="734"/>
    <s v="Dataset 3"/>
    <n v="0"/>
    <n v="0"/>
    <n v="124"/>
    <x v="32"/>
    <n v="1"/>
    <n v="0"/>
    <n v="2"/>
    <x v="22"/>
    <b v="0"/>
    <n v="3"/>
    <n v="1"/>
    <n v="0.22"/>
    <n v="0.21210000000000001"/>
    <n v="0.21210000000000001"/>
    <n v="0.44"/>
    <n v="0.25369999999999998"/>
    <n v="5"/>
    <n v="35"/>
    <n v="40"/>
    <x v="1"/>
    <x v="0"/>
    <s v="Winter"/>
    <s v="Wednesday"/>
    <x v="3"/>
    <n v="2.2999999999999998"/>
    <n v="-2"/>
    <n v="44"/>
    <n v="17"/>
    <n v="0.875"/>
    <x v="0"/>
    <n v="0.21"/>
    <s v=""/>
    <s v="OK"/>
    <s v="No"/>
  </r>
  <r>
    <n v="735"/>
    <s v="Dataset 3"/>
    <n v="0"/>
    <n v="0"/>
    <n v="125"/>
    <x v="32"/>
    <n v="1"/>
    <n v="0"/>
    <n v="2"/>
    <x v="23"/>
    <b v="0"/>
    <n v="3"/>
    <n v="1"/>
    <n v="0.2"/>
    <n v="0.16669999999999999"/>
    <n v="0.16669999999999999"/>
    <n v="0.44"/>
    <n v="0.44779999999999998"/>
    <n v="3"/>
    <n v="29"/>
    <n v="32"/>
    <x v="1"/>
    <x v="0"/>
    <s v="Winter"/>
    <s v="Wednesday"/>
    <x v="3"/>
    <n v="1.4"/>
    <n v="-5"/>
    <n v="44"/>
    <n v="30"/>
    <n v="0.90625"/>
    <x v="0"/>
    <n v="0.76"/>
    <s v=""/>
    <s v="OK"/>
    <s v="No"/>
  </r>
  <r>
    <n v="736"/>
    <s v="Dataset 3"/>
    <n v="0"/>
    <n v="0"/>
    <n v="126"/>
    <x v="33"/>
    <n v="1"/>
    <n v="0"/>
    <n v="2"/>
    <x v="0"/>
    <b v="0"/>
    <n v="4"/>
    <n v="1"/>
    <n v="0.2"/>
    <n v="0.16669999999999999"/>
    <n v="0.16669999999999999"/>
    <n v="0.4"/>
    <n v="0.44779999999999998"/>
    <n v="1"/>
    <n v="11"/>
    <n v="12"/>
    <x v="1"/>
    <x v="0"/>
    <s v="Winter"/>
    <s v="Thursday"/>
    <x v="0"/>
    <n v="1.4"/>
    <n v="-5"/>
    <n v="40"/>
    <n v="30"/>
    <n v="0.91666666666666663"/>
    <x v="1"/>
    <n v="0.32"/>
    <s v=""/>
    <s v="OK"/>
    <s v="No"/>
  </r>
  <r>
    <n v="737"/>
    <s v="Dataset 3"/>
    <n v="0"/>
    <n v="0"/>
    <n v="127"/>
    <x v="33"/>
    <n v="1"/>
    <n v="0"/>
    <n v="2"/>
    <x v="1"/>
    <b v="0"/>
    <n v="4"/>
    <n v="1"/>
    <n v="0.2"/>
    <n v="0.1515"/>
    <n v="0.1515"/>
    <n v="0.44"/>
    <n v="0.52239999999999998"/>
    <n v="0"/>
    <n v="5"/>
    <n v="5"/>
    <x v="1"/>
    <x v="0"/>
    <s v="Winter"/>
    <s v="Thursday"/>
    <x v="0"/>
    <n v="1.4"/>
    <n v="-6"/>
    <n v="44"/>
    <n v="35"/>
    <n v="1"/>
    <x v="1"/>
    <n v="0.14000000000000001"/>
    <s v=""/>
    <s v="OK"/>
    <s v="No"/>
  </r>
  <r>
    <n v="738"/>
    <s v="Dataset 3"/>
    <n v="0"/>
    <n v="0"/>
    <n v="128"/>
    <x v="33"/>
    <n v="1"/>
    <n v="0"/>
    <n v="2"/>
    <x v="2"/>
    <b v="0"/>
    <n v="4"/>
    <n v="1"/>
    <n v="0.18"/>
    <n v="0.16669999999999999"/>
    <n v="0.16669999999999999"/>
    <n v="0.43"/>
    <n v="0.25369999999999998"/>
    <n v="0"/>
    <n v="2"/>
    <n v="2"/>
    <x v="1"/>
    <x v="0"/>
    <s v="Winter"/>
    <s v="Thursday"/>
    <x v="0"/>
    <n v="0.5"/>
    <n v="-5"/>
    <n v="43"/>
    <n v="17"/>
    <n v="1"/>
    <x v="1"/>
    <n v="-0.24"/>
    <s v=""/>
    <s v="OK"/>
    <s v="No"/>
  </r>
  <r>
    <n v="739"/>
    <s v="Dataset 3"/>
    <n v="0"/>
    <n v="0"/>
    <n v="129"/>
    <x v="33"/>
    <n v="1"/>
    <n v="0"/>
    <n v="2"/>
    <x v="3"/>
    <b v="0"/>
    <n v="4"/>
    <n v="1"/>
    <n v="0.18"/>
    <n v="0.16669999999999999"/>
    <n v="0.16669999999999999"/>
    <n v="0.43"/>
    <n v="0.25369999999999998"/>
    <n v="0"/>
    <n v="1"/>
    <n v="1"/>
    <x v="1"/>
    <x v="0"/>
    <s v="Winter"/>
    <s v="Thursday"/>
    <x v="0"/>
    <n v="0.5"/>
    <n v="-5"/>
    <n v="43"/>
    <n v="17"/>
    <n v="1"/>
    <x v="1"/>
    <n v="-0.61"/>
    <s v=""/>
    <s v="OK"/>
    <s v="No"/>
  </r>
  <r>
    <n v="740"/>
    <s v="Dataset 3"/>
    <n v="0"/>
    <n v="0"/>
    <n v="130"/>
    <x v="33"/>
    <n v="1"/>
    <n v="0"/>
    <n v="2"/>
    <x v="5"/>
    <b v="0"/>
    <n v="4"/>
    <n v="1"/>
    <n v="0.16"/>
    <n v="0.13639999999999999"/>
    <n v="0.13639999999999999"/>
    <n v="0.5"/>
    <n v="0.29849999999999999"/>
    <n v="0"/>
    <n v="2"/>
    <n v="2"/>
    <x v="1"/>
    <x v="0"/>
    <s v="Winter"/>
    <s v="Thursday"/>
    <x v="0"/>
    <n v="-0.5"/>
    <n v="-7"/>
    <n v="50"/>
    <n v="20"/>
    <n v="1"/>
    <x v="1"/>
    <n v="-1.26"/>
    <s v=""/>
    <s v="OK"/>
    <s v="No"/>
  </r>
  <r>
    <n v="741"/>
    <s v="Dataset 3"/>
    <n v="0"/>
    <n v="0"/>
    <n v="131"/>
    <x v="33"/>
    <n v="1"/>
    <n v="0"/>
    <n v="2"/>
    <x v="6"/>
    <b v="0"/>
    <n v="4"/>
    <n v="1"/>
    <n v="0.16"/>
    <n v="0.13639999999999999"/>
    <n v="0.13639999999999999"/>
    <n v="0.43"/>
    <n v="0.35820000000000002"/>
    <n v="0"/>
    <n v="39"/>
    <n v="39"/>
    <x v="1"/>
    <x v="0"/>
    <s v="Winter"/>
    <s v="Thursday"/>
    <x v="1"/>
    <n v="-0.5"/>
    <n v="-7"/>
    <n v="43"/>
    <n v="24"/>
    <n v="1"/>
    <x v="0"/>
    <n v="1.25"/>
    <s v=""/>
    <s v="OK"/>
    <s v="No"/>
  </r>
  <r>
    <n v="742"/>
    <s v="Dataset 3"/>
    <n v="0"/>
    <n v="0"/>
    <n v="132"/>
    <x v="33"/>
    <n v="1"/>
    <n v="0"/>
    <n v="2"/>
    <x v="7"/>
    <b v="0"/>
    <n v="4"/>
    <n v="1"/>
    <n v="0.14000000000000001"/>
    <n v="0.1212"/>
    <n v="0.1212"/>
    <n v="0.5"/>
    <n v="0.32840000000000003"/>
    <n v="1"/>
    <n v="86"/>
    <n v="87"/>
    <x v="1"/>
    <x v="0"/>
    <s v="Winter"/>
    <s v="Thursday"/>
    <x v="1"/>
    <n v="-1.4"/>
    <n v="-8"/>
    <n v="50"/>
    <n v="22"/>
    <n v="0.9885057471264368"/>
    <x v="2"/>
    <n v="0.35"/>
    <s v=""/>
    <s v="OK"/>
    <s v="No"/>
  </r>
  <r>
    <n v="743"/>
    <s v="Dataset 3"/>
    <n v="0"/>
    <n v="0"/>
    <n v="133"/>
    <x v="33"/>
    <n v="1"/>
    <n v="0"/>
    <n v="2"/>
    <x v="8"/>
    <b v="0"/>
    <n v="4"/>
    <n v="1"/>
    <n v="0.14000000000000001"/>
    <n v="0.1212"/>
    <n v="0.1212"/>
    <n v="0.5"/>
    <n v="0.35820000000000002"/>
    <n v="4"/>
    <n v="184"/>
    <n v="188"/>
    <x v="1"/>
    <x v="0"/>
    <s v="Winter"/>
    <s v="Thursday"/>
    <x v="1"/>
    <n v="-1.4"/>
    <n v="-8"/>
    <n v="50"/>
    <n v="24"/>
    <n v="0.97872340425531912"/>
    <x v="2"/>
    <n v="-0.03"/>
    <s v=""/>
    <s v="OK"/>
    <s v="No"/>
  </r>
  <r>
    <n v="744"/>
    <s v="Dataset 3"/>
    <n v="0"/>
    <n v="0"/>
    <n v="134"/>
    <x v="33"/>
    <n v="1"/>
    <n v="0"/>
    <n v="2"/>
    <x v="9"/>
    <b v="0"/>
    <n v="4"/>
    <n v="1"/>
    <n v="0.16"/>
    <n v="0.13639999999999999"/>
    <n v="0.13639999999999999"/>
    <n v="0.47"/>
    <n v="0.29849999999999999"/>
    <n v="6"/>
    <n v="127"/>
    <n v="133"/>
    <x v="1"/>
    <x v="0"/>
    <s v="Winter"/>
    <s v="Thursday"/>
    <x v="1"/>
    <n v="-0.5"/>
    <n v="-7"/>
    <n v="47"/>
    <n v="20"/>
    <n v="0.95488721804511278"/>
    <x v="2"/>
    <n v="0.66"/>
    <s v=""/>
    <s v="OK"/>
    <s v="No"/>
  </r>
  <r>
    <n v="745"/>
    <s v="Dataset 3"/>
    <n v="0"/>
    <n v="0"/>
    <n v="135"/>
    <x v="33"/>
    <n v="1"/>
    <n v="0"/>
    <n v="2"/>
    <x v="10"/>
    <b v="0"/>
    <n v="4"/>
    <n v="1"/>
    <n v="0.18"/>
    <n v="0.1515"/>
    <n v="0.1515"/>
    <n v="0.43"/>
    <n v="0.32840000000000003"/>
    <n v="2"/>
    <n v="50"/>
    <n v="52"/>
    <x v="1"/>
    <x v="0"/>
    <s v="Winter"/>
    <s v="Thursday"/>
    <x v="1"/>
    <n v="0.5"/>
    <n v="-6"/>
    <n v="43"/>
    <n v="22"/>
    <n v="0.96153846153846156"/>
    <x v="0"/>
    <n v="0.32"/>
    <s v=""/>
    <s v="OK"/>
    <s v="No"/>
  </r>
  <r>
    <n v="746"/>
    <s v="Dataset 3"/>
    <n v="0"/>
    <n v="0"/>
    <n v="136"/>
    <x v="33"/>
    <n v="1"/>
    <n v="0"/>
    <n v="2"/>
    <x v="11"/>
    <b v="0"/>
    <n v="4"/>
    <n v="1"/>
    <n v="0.18"/>
    <n v="0.13639999999999999"/>
    <n v="0.13639999999999999"/>
    <n v="0.43"/>
    <n v="0.44779999999999998"/>
    <n v="9"/>
    <n v="55"/>
    <n v="64"/>
    <x v="1"/>
    <x v="0"/>
    <s v="Winter"/>
    <s v="Thursday"/>
    <x v="1"/>
    <n v="0.5"/>
    <n v="-7"/>
    <n v="43"/>
    <n v="30"/>
    <n v="0.859375"/>
    <x v="0"/>
    <n v="1.25"/>
    <s v=""/>
    <s v="OK"/>
    <s v="No"/>
  </r>
  <r>
    <n v="747"/>
    <s v="Dataset 3"/>
    <n v="0"/>
    <n v="0"/>
    <n v="137"/>
    <x v="33"/>
    <n v="1"/>
    <n v="0"/>
    <n v="2"/>
    <x v="12"/>
    <b v="0"/>
    <n v="4"/>
    <n v="1"/>
    <n v="0.2"/>
    <n v="0.18179999999999999"/>
    <n v="0.18179999999999999"/>
    <n v="0.4"/>
    <n v="0.35820000000000002"/>
    <n v="2"/>
    <n v="67"/>
    <n v="69"/>
    <x v="1"/>
    <x v="0"/>
    <s v="Winter"/>
    <s v="Thursday"/>
    <x v="2"/>
    <n v="1.4"/>
    <n v="-4"/>
    <n v="40"/>
    <n v="24"/>
    <n v="0.97101449275362317"/>
    <x v="0"/>
    <n v="0.26"/>
    <s v=""/>
    <s v="OK"/>
    <s v="No"/>
  </r>
  <r>
    <n v="748"/>
    <s v="Dataset 3"/>
    <n v="0"/>
    <n v="0"/>
    <n v="138"/>
    <x v="33"/>
    <n v="1"/>
    <n v="0"/>
    <n v="2"/>
    <x v="13"/>
    <b v="0"/>
    <n v="4"/>
    <n v="1"/>
    <n v="0.2"/>
    <n v="0.16669999999999999"/>
    <n v="0.16669999999999999"/>
    <n v="0.4"/>
    <n v="0.41789999999999999"/>
    <n v="4"/>
    <n v="47"/>
    <n v="51"/>
    <x v="1"/>
    <x v="0"/>
    <s v="Winter"/>
    <s v="Thursday"/>
    <x v="2"/>
    <n v="1.4"/>
    <n v="-5"/>
    <n v="40"/>
    <n v="28"/>
    <n v="0.92156862745098034"/>
    <x v="0"/>
    <n v="-0.77"/>
    <s v=""/>
    <s v="OK"/>
    <s v="No"/>
  </r>
  <r>
    <n v="749"/>
    <s v="Dataset 3"/>
    <n v="0"/>
    <n v="0"/>
    <n v="139"/>
    <x v="33"/>
    <n v="1"/>
    <n v="0"/>
    <n v="2"/>
    <x v="14"/>
    <b v="0"/>
    <n v="4"/>
    <n v="1"/>
    <n v="0.22"/>
    <n v="0.19700000000000001"/>
    <n v="0.19700000000000001"/>
    <n v="0.37"/>
    <n v="0.3881"/>
    <n v="4"/>
    <n v="43"/>
    <n v="47"/>
    <x v="1"/>
    <x v="0"/>
    <s v="Winter"/>
    <s v="Thursday"/>
    <x v="2"/>
    <n v="2.2999999999999998"/>
    <n v="-3"/>
    <n v="37"/>
    <n v="26"/>
    <n v="0.91489361702127658"/>
    <x v="0"/>
    <n v="-0.79"/>
    <s v=""/>
    <s v="OK"/>
    <s v="No"/>
  </r>
  <r>
    <n v="750"/>
    <s v="Dataset 3"/>
    <n v="0"/>
    <n v="0"/>
    <n v="140"/>
    <x v="33"/>
    <n v="1"/>
    <n v="0"/>
    <n v="2"/>
    <x v="15"/>
    <b v="0"/>
    <n v="4"/>
    <n v="1"/>
    <n v="0.22"/>
    <n v="0.19700000000000001"/>
    <n v="0.19700000000000001"/>
    <n v="0.37"/>
    <n v="0.32840000000000003"/>
    <n v="4"/>
    <n v="56"/>
    <n v="60"/>
    <x v="1"/>
    <x v="0"/>
    <s v="Winter"/>
    <s v="Thursday"/>
    <x v="2"/>
    <n v="2.2999999999999998"/>
    <n v="-3"/>
    <n v="37"/>
    <n v="22"/>
    <n v="0.93333333333333335"/>
    <x v="0"/>
    <n v="-0.03"/>
    <s v=""/>
    <s v="OK"/>
    <s v="No"/>
  </r>
  <r>
    <n v="751"/>
    <s v="Dataset 3"/>
    <n v="0"/>
    <n v="0"/>
    <n v="141"/>
    <x v="33"/>
    <n v="1"/>
    <n v="0"/>
    <n v="2"/>
    <x v="16"/>
    <b v="0"/>
    <n v="4"/>
    <n v="1"/>
    <n v="0.22"/>
    <n v="0.21210000000000001"/>
    <n v="0.21210000000000001"/>
    <n v="0.37"/>
    <n v="0.25369999999999998"/>
    <n v="5"/>
    <n v="73"/>
    <n v="78"/>
    <x v="1"/>
    <x v="0"/>
    <s v="Winter"/>
    <s v="Thursday"/>
    <x v="2"/>
    <n v="2.2999999999999998"/>
    <n v="-2"/>
    <n v="37"/>
    <n v="17"/>
    <n v="0.9358974358974359"/>
    <x v="0"/>
    <n v="-0.22"/>
    <s v=""/>
    <s v="OK"/>
    <s v="No"/>
  </r>
  <r>
    <n v="752"/>
    <s v="Dataset 3"/>
    <n v="0"/>
    <n v="0"/>
    <n v="142"/>
    <x v="33"/>
    <n v="1"/>
    <n v="0"/>
    <n v="2"/>
    <x v="17"/>
    <b v="0"/>
    <n v="4"/>
    <n v="1"/>
    <n v="0.2"/>
    <n v="0.19700000000000001"/>
    <n v="0.19700000000000001"/>
    <n v="0.4"/>
    <n v="0.19400000000000001"/>
    <n v="5"/>
    <n v="170"/>
    <n v="175"/>
    <x v="1"/>
    <x v="0"/>
    <s v="Winter"/>
    <s v="Thursday"/>
    <x v="2"/>
    <n v="1.4"/>
    <n v="-3"/>
    <n v="40"/>
    <n v="13"/>
    <n v="0.97142857142857142"/>
    <x v="2"/>
    <n v="0.15"/>
    <s v=""/>
    <s v="OK"/>
    <s v="No"/>
  </r>
  <r>
    <n v="753"/>
    <s v="Dataset 3"/>
    <n v="0"/>
    <n v="0"/>
    <n v="143"/>
    <x v="33"/>
    <n v="1"/>
    <n v="0"/>
    <n v="2"/>
    <x v="18"/>
    <b v="0"/>
    <n v="4"/>
    <n v="1"/>
    <n v="0.2"/>
    <n v="0.21210000000000001"/>
    <n v="0.21210000000000001"/>
    <n v="0.4"/>
    <n v="0.16420000000000001"/>
    <n v="2"/>
    <n v="145"/>
    <n v="147"/>
    <x v="1"/>
    <x v="0"/>
    <s v="Winter"/>
    <s v="Thursday"/>
    <x v="3"/>
    <n v="1.4"/>
    <n v="-2"/>
    <n v="40"/>
    <n v="11"/>
    <n v="0.98639455782312924"/>
    <x v="2"/>
    <n v="-0.23"/>
    <s v=""/>
    <s v="OK"/>
    <s v="No"/>
  </r>
  <r>
    <n v="754"/>
    <s v="Dataset 3"/>
    <n v="0"/>
    <n v="0"/>
    <n v="144"/>
    <x v="33"/>
    <n v="1"/>
    <n v="0"/>
    <n v="2"/>
    <x v="19"/>
    <b v="0"/>
    <n v="4"/>
    <n v="1"/>
    <n v="0.2"/>
    <n v="0.2576"/>
    <n v="0.2576"/>
    <n v="0.4"/>
    <n v="0"/>
    <n v="4"/>
    <n v="92"/>
    <n v="96"/>
    <x v="1"/>
    <x v="0"/>
    <s v="Winter"/>
    <s v="Thursday"/>
    <x v="3"/>
    <n v="1.4"/>
    <n v="1"/>
    <n v="40"/>
    <n v="0"/>
    <n v="0.95833333333333337"/>
    <x v="2"/>
    <n v="-0.38"/>
    <s v=""/>
    <s v="OK"/>
    <s v="No"/>
  </r>
  <r>
    <n v="755"/>
    <s v="Dataset 3"/>
    <n v="0"/>
    <n v="0"/>
    <n v="145"/>
    <x v="33"/>
    <n v="1"/>
    <n v="0"/>
    <n v="2"/>
    <x v="20"/>
    <b v="0"/>
    <n v="4"/>
    <n v="1"/>
    <n v="0.2"/>
    <n v="0.2273"/>
    <n v="0.2273"/>
    <n v="0.47"/>
    <n v="8.9599999999999999E-2"/>
    <n v="1"/>
    <n v="108"/>
    <n v="109"/>
    <x v="1"/>
    <x v="0"/>
    <s v="Winter"/>
    <s v="Thursday"/>
    <x v="3"/>
    <n v="1.4"/>
    <n v="-1"/>
    <n v="47"/>
    <n v="6"/>
    <n v="0.99082568807339455"/>
    <x v="2"/>
    <n v="1.67"/>
    <s v=""/>
    <s v="OK"/>
    <s v="No"/>
  </r>
  <r>
    <n v="756"/>
    <s v="Dataset 3"/>
    <n v="0"/>
    <n v="0"/>
    <n v="146"/>
    <x v="33"/>
    <n v="1"/>
    <n v="0"/>
    <n v="2"/>
    <x v="21"/>
    <b v="0"/>
    <n v="4"/>
    <n v="1"/>
    <n v="0.18"/>
    <n v="0.21210000000000001"/>
    <n v="0.21210000000000001"/>
    <n v="0.55000000000000004"/>
    <n v="0.1045"/>
    <n v="1"/>
    <n v="53"/>
    <n v="54"/>
    <x v="1"/>
    <x v="0"/>
    <s v="Winter"/>
    <s v="Thursday"/>
    <x v="3"/>
    <n v="0.5"/>
    <n v="-2"/>
    <n v="55"/>
    <n v="7"/>
    <n v="0.98148148148148151"/>
    <x v="0"/>
    <n v="0.17"/>
    <s v=""/>
    <s v="OK"/>
    <s v="No"/>
  </r>
  <r>
    <n v="757"/>
    <s v="Dataset 3"/>
    <n v="0"/>
    <n v="0"/>
    <n v="147"/>
    <x v="33"/>
    <n v="1"/>
    <n v="0"/>
    <n v="2"/>
    <x v="22"/>
    <b v="0"/>
    <n v="4"/>
    <n v="1"/>
    <n v="0.18"/>
    <n v="0.21210000000000001"/>
    <n v="0.21210000000000001"/>
    <n v="0.51"/>
    <n v="8.9599999999999999E-2"/>
    <n v="2"/>
    <n v="39"/>
    <n v="41"/>
    <x v="1"/>
    <x v="0"/>
    <s v="Winter"/>
    <s v="Thursday"/>
    <x v="3"/>
    <n v="0.5"/>
    <n v="-2"/>
    <n v="51"/>
    <n v="6"/>
    <n v="0.95121951219512191"/>
    <x v="0"/>
    <n v="0.31"/>
    <s v=""/>
    <s v="OK"/>
    <s v="No"/>
  </r>
  <r>
    <n v="758"/>
    <s v="Dataset 3"/>
    <n v="0"/>
    <n v="0"/>
    <n v="148"/>
    <x v="33"/>
    <n v="1"/>
    <n v="0"/>
    <n v="2"/>
    <x v="23"/>
    <b v="0"/>
    <n v="4"/>
    <n v="1"/>
    <n v="0.2"/>
    <n v="0.2273"/>
    <n v="0.2273"/>
    <n v="0.47"/>
    <n v="0.1045"/>
    <n v="4"/>
    <n v="34"/>
    <n v="38"/>
    <x v="1"/>
    <x v="0"/>
    <s v="Winter"/>
    <s v="Thursday"/>
    <x v="3"/>
    <n v="1.4"/>
    <n v="-1"/>
    <n v="47"/>
    <n v="7"/>
    <n v="0.89473684210526316"/>
    <x v="0"/>
    <n v="1.37"/>
    <s v=""/>
    <s v="OK"/>
    <s v="No"/>
  </r>
  <r>
    <n v="759"/>
    <s v="Dataset 3"/>
    <n v="0"/>
    <n v="0"/>
    <n v="149"/>
    <x v="34"/>
    <n v="1"/>
    <n v="0"/>
    <n v="2"/>
    <x v="0"/>
    <b v="0"/>
    <n v="5"/>
    <n v="2"/>
    <n v="0.2"/>
    <n v="0.2576"/>
    <n v="0.2576"/>
    <n v="0.44"/>
    <n v="0"/>
    <n v="3"/>
    <n v="10"/>
    <n v="13"/>
    <x v="1"/>
    <x v="1"/>
    <s v="Winter"/>
    <s v="Friday"/>
    <x v="0"/>
    <n v="1.4"/>
    <n v="1"/>
    <n v="44"/>
    <n v="0"/>
    <n v="0.76923076923076927"/>
    <x v="1"/>
    <n v="0.53"/>
    <s v=""/>
    <s v="OK"/>
    <s v="No"/>
  </r>
  <r>
    <n v="760"/>
    <s v="Dataset 3"/>
    <n v="0"/>
    <n v="0"/>
    <n v="150"/>
    <x v="34"/>
    <n v="1"/>
    <n v="0"/>
    <n v="2"/>
    <x v="1"/>
    <b v="0"/>
    <n v="5"/>
    <n v="2"/>
    <n v="0.16"/>
    <n v="0.2273"/>
    <n v="0.2273"/>
    <n v="0.59"/>
    <n v="0"/>
    <n v="0"/>
    <n v="7"/>
    <n v="7"/>
    <x v="1"/>
    <x v="1"/>
    <s v="Winter"/>
    <s v="Friday"/>
    <x v="0"/>
    <n v="-0.5"/>
    <n v="-1"/>
    <n v="59"/>
    <n v="0"/>
    <n v="1"/>
    <x v="1"/>
    <n v="1.1299999999999999"/>
    <s v=""/>
    <s v="OK"/>
    <s v="No"/>
  </r>
  <r>
    <n v="761"/>
    <s v="Dataset 3"/>
    <n v="0"/>
    <n v="0"/>
    <n v="151"/>
    <x v="34"/>
    <n v="1"/>
    <n v="0"/>
    <n v="2"/>
    <x v="2"/>
    <b v="0"/>
    <n v="5"/>
    <n v="2"/>
    <n v="0.14000000000000001"/>
    <n v="0.16669999999999999"/>
    <n v="0.16669999999999999"/>
    <n v="0.63"/>
    <n v="0.1045"/>
    <n v="0"/>
    <n v="1"/>
    <n v="1"/>
    <x v="1"/>
    <x v="1"/>
    <s v="Winter"/>
    <s v="Friday"/>
    <x v="0"/>
    <n v="-1.4"/>
    <n v="-5"/>
    <n v="63"/>
    <n v="7"/>
    <n v="1"/>
    <x v="1"/>
    <n v="-0.81"/>
    <s v=""/>
    <s v="OK"/>
    <s v="No"/>
  </r>
  <r>
    <n v="762"/>
    <s v="Dataset 3"/>
    <n v="0"/>
    <n v="0"/>
    <n v="152"/>
    <x v="34"/>
    <n v="1"/>
    <n v="0"/>
    <n v="2"/>
    <x v="3"/>
    <b v="0"/>
    <n v="5"/>
    <n v="2"/>
    <n v="0.14000000000000001"/>
    <n v="0.16669999999999999"/>
    <n v="0.16669999999999999"/>
    <n v="0.63"/>
    <n v="0.1045"/>
    <n v="0"/>
    <n v="1"/>
    <n v="1"/>
    <x v="1"/>
    <x v="1"/>
    <s v="Winter"/>
    <s v="Friday"/>
    <x v="0"/>
    <n v="-1.4"/>
    <n v="-5"/>
    <n v="63"/>
    <n v="7"/>
    <n v="1"/>
    <x v="1"/>
    <n v="-0.61"/>
    <s v=""/>
    <s v="OK"/>
    <s v="No"/>
  </r>
  <r>
    <n v="763"/>
    <s v="Dataset 3"/>
    <n v="0"/>
    <n v="0"/>
    <n v="153"/>
    <x v="34"/>
    <n v="1"/>
    <n v="0"/>
    <n v="2"/>
    <x v="5"/>
    <b v="0"/>
    <n v="5"/>
    <n v="2"/>
    <n v="0.14000000000000001"/>
    <n v="0.1515"/>
    <n v="0.1515"/>
    <n v="0.63"/>
    <n v="0.1343"/>
    <n v="0"/>
    <n v="7"/>
    <n v="7"/>
    <x v="1"/>
    <x v="1"/>
    <s v="Winter"/>
    <s v="Friday"/>
    <x v="0"/>
    <n v="-1.4"/>
    <n v="-6"/>
    <n v="63"/>
    <n v="9"/>
    <n v="1"/>
    <x v="1"/>
    <n v="0.94"/>
    <s v=""/>
    <s v="OK"/>
    <s v="No"/>
  </r>
  <r>
    <n v="764"/>
    <s v="Dataset 3"/>
    <n v="0"/>
    <n v="0"/>
    <n v="154"/>
    <x v="34"/>
    <n v="1"/>
    <n v="0"/>
    <n v="2"/>
    <x v="6"/>
    <b v="0"/>
    <n v="5"/>
    <n v="2"/>
    <n v="0.16"/>
    <n v="0.2273"/>
    <n v="0.2273"/>
    <n v="0.55000000000000004"/>
    <n v="0"/>
    <n v="2"/>
    <n v="26"/>
    <n v="28"/>
    <x v="1"/>
    <x v="1"/>
    <s v="Winter"/>
    <s v="Friday"/>
    <x v="1"/>
    <n v="-0.5"/>
    <n v="-1"/>
    <n v="55"/>
    <n v="0"/>
    <n v="0.9285714285714286"/>
    <x v="0"/>
    <n v="-0.02"/>
    <s v=""/>
    <s v="OK"/>
    <s v="No"/>
  </r>
  <r>
    <n v="765"/>
    <s v="Dataset 3"/>
    <n v="0"/>
    <n v="0"/>
    <n v="155"/>
    <x v="34"/>
    <n v="1"/>
    <n v="0"/>
    <n v="2"/>
    <x v="7"/>
    <b v="0"/>
    <n v="5"/>
    <n v="1"/>
    <n v="0.14000000000000001"/>
    <n v="0.21210000000000001"/>
    <n v="0.21210000000000001"/>
    <n v="0.59"/>
    <n v="0"/>
    <n v="0"/>
    <n v="87"/>
    <n v="87"/>
    <x v="1"/>
    <x v="0"/>
    <s v="Winter"/>
    <s v="Friday"/>
    <x v="1"/>
    <n v="-1.4"/>
    <n v="-2"/>
    <n v="59"/>
    <n v="0"/>
    <n v="1"/>
    <x v="2"/>
    <n v="0.35"/>
    <s v=""/>
    <s v="OK"/>
    <s v="No"/>
  </r>
  <r>
    <n v="766"/>
    <s v="Dataset 3"/>
    <n v="0"/>
    <n v="0"/>
    <n v="156"/>
    <x v="34"/>
    <n v="1"/>
    <n v="0"/>
    <n v="2"/>
    <x v="8"/>
    <b v="0"/>
    <n v="5"/>
    <n v="1"/>
    <n v="0.14000000000000001"/>
    <n v="0.1515"/>
    <n v="0.1515"/>
    <n v="0.74"/>
    <n v="0.1343"/>
    <n v="3"/>
    <n v="217"/>
    <n v="220"/>
    <x v="1"/>
    <x v="0"/>
    <s v="Winter"/>
    <s v="Friday"/>
    <x v="1"/>
    <n v="-1.4"/>
    <n v="-6"/>
    <n v="74"/>
    <n v="9"/>
    <n v="0.98636363636363633"/>
    <x v="2"/>
    <n v="0.78"/>
    <s v=""/>
    <s v="OK"/>
    <s v="No"/>
  </r>
  <r>
    <n v="767"/>
    <s v="Dataset 3"/>
    <n v="0"/>
    <n v="0"/>
    <n v="157"/>
    <x v="34"/>
    <n v="1"/>
    <n v="0"/>
    <n v="2"/>
    <x v="9"/>
    <b v="0"/>
    <n v="5"/>
    <n v="2"/>
    <n v="0.16"/>
    <n v="0.18179999999999999"/>
    <n v="0.18179999999999999"/>
    <n v="0.8"/>
    <n v="0.1343"/>
    <n v="3"/>
    <n v="124"/>
    <n v="127"/>
    <x v="1"/>
    <x v="1"/>
    <s v="Winter"/>
    <s v="Friday"/>
    <x v="1"/>
    <n v="-0.5"/>
    <n v="-4"/>
    <n v="80"/>
    <n v="9"/>
    <n v="0.97637795275590555"/>
    <x v="2"/>
    <n v="0.39"/>
    <s v=""/>
    <s v="OK"/>
    <s v="No"/>
  </r>
  <r>
    <n v="768"/>
    <s v="Dataset 3"/>
    <n v="0"/>
    <n v="0"/>
    <n v="158"/>
    <x v="34"/>
    <n v="1"/>
    <n v="0"/>
    <n v="2"/>
    <x v="10"/>
    <b v="0"/>
    <n v="5"/>
    <n v="2"/>
    <n v="0.2"/>
    <n v="0.21210000000000001"/>
    <n v="0.21210000000000001"/>
    <n v="0.51"/>
    <n v="0.1343"/>
    <n v="5"/>
    <n v="46"/>
    <n v="51"/>
    <x v="1"/>
    <x v="1"/>
    <s v="Winter"/>
    <s v="Friday"/>
    <x v="1"/>
    <n v="1.4"/>
    <n v="-2"/>
    <n v="51"/>
    <n v="9"/>
    <n v="0.90196078431372551"/>
    <x v="0"/>
    <n v="0.22"/>
    <s v=""/>
    <s v="OK"/>
    <s v="No"/>
  </r>
  <r>
    <n v="769"/>
    <s v="Dataset 3"/>
    <n v="0"/>
    <n v="0"/>
    <n v="159"/>
    <x v="34"/>
    <n v="1"/>
    <n v="0"/>
    <n v="2"/>
    <x v="11"/>
    <b v="0"/>
    <n v="5"/>
    <n v="1"/>
    <n v="0.22"/>
    <n v="0.2273"/>
    <n v="0.2273"/>
    <n v="0.51"/>
    <n v="0.16420000000000001"/>
    <n v="3"/>
    <n v="61"/>
    <n v="64"/>
    <x v="1"/>
    <x v="0"/>
    <s v="Winter"/>
    <s v="Friday"/>
    <x v="1"/>
    <n v="2.2999999999999998"/>
    <n v="-1"/>
    <n v="51"/>
    <n v="11"/>
    <n v="0.953125"/>
    <x v="0"/>
    <n v="1.25"/>
    <s v=""/>
    <s v="OK"/>
    <s v="No"/>
  </r>
  <r>
    <n v="770"/>
    <s v="Dataset 3"/>
    <n v="0"/>
    <n v="0"/>
    <n v="160"/>
    <x v="34"/>
    <n v="1"/>
    <n v="0"/>
    <n v="2"/>
    <x v="12"/>
    <b v="0"/>
    <n v="5"/>
    <n v="2"/>
    <n v="0.24"/>
    <n v="0.2424"/>
    <n v="0.2424"/>
    <n v="0.48"/>
    <n v="0.16420000000000001"/>
    <n v="8"/>
    <n v="78"/>
    <n v="86"/>
    <x v="1"/>
    <x v="1"/>
    <s v="Winter"/>
    <s v="Friday"/>
    <x v="2"/>
    <n v="3.3"/>
    <n v="0"/>
    <n v="48"/>
    <n v="11"/>
    <n v="0.90697674418604646"/>
    <x v="2"/>
    <n v="1.17"/>
    <s v=""/>
    <s v="OK"/>
    <s v="No"/>
  </r>
  <r>
    <n v="771"/>
    <s v="Dataset 3"/>
    <n v="0"/>
    <n v="0"/>
    <n v="161"/>
    <x v="34"/>
    <n v="1"/>
    <n v="0"/>
    <n v="2"/>
    <x v="13"/>
    <b v="0"/>
    <n v="5"/>
    <n v="2"/>
    <n v="0.26"/>
    <n v="0.2576"/>
    <n v="0.2576"/>
    <n v="0.5"/>
    <n v="0.22389999999999999"/>
    <n v="9"/>
    <n v="73"/>
    <n v="82"/>
    <x v="1"/>
    <x v="1"/>
    <s v="Winter"/>
    <s v="Friday"/>
    <x v="2"/>
    <n v="4.2"/>
    <n v="1"/>
    <n v="50"/>
    <n v="15"/>
    <n v="0.8902439024390244"/>
    <x v="0"/>
    <n v="0.79"/>
    <s v=""/>
    <s v="OK"/>
    <s v="No"/>
  </r>
  <r>
    <n v="772"/>
    <s v="Dataset 3"/>
    <n v="0"/>
    <n v="0"/>
    <n v="162"/>
    <x v="34"/>
    <n v="1"/>
    <n v="0"/>
    <n v="2"/>
    <x v="14"/>
    <b v="0"/>
    <n v="5"/>
    <n v="2"/>
    <n v="0.28000000000000003"/>
    <n v="0.2727"/>
    <n v="0.2727"/>
    <n v="0.45"/>
    <n v="0.16420000000000001"/>
    <n v="15"/>
    <n v="76"/>
    <n v="91"/>
    <x v="1"/>
    <x v="1"/>
    <s v="Winter"/>
    <s v="Friday"/>
    <x v="2"/>
    <n v="5.2"/>
    <n v="2"/>
    <n v="45"/>
    <n v="11"/>
    <n v="0.8351648351648352"/>
    <x v="2"/>
    <n v="1.96"/>
    <s v=""/>
    <s v="OK"/>
    <s v="No"/>
  </r>
  <r>
    <n v="773"/>
    <s v="Dataset 3"/>
    <n v="0"/>
    <n v="0"/>
    <n v="163"/>
    <x v="34"/>
    <n v="1"/>
    <n v="0"/>
    <n v="2"/>
    <x v="15"/>
    <b v="0"/>
    <n v="5"/>
    <n v="2"/>
    <n v="0.28000000000000003"/>
    <n v="0.2727"/>
    <n v="0.2727"/>
    <n v="0.48"/>
    <n v="0.25369999999999998"/>
    <n v="9"/>
    <n v="81"/>
    <n v="90"/>
    <x v="1"/>
    <x v="1"/>
    <s v="Winter"/>
    <s v="Friday"/>
    <x v="2"/>
    <n v="5.2"/>
    <n v="2"/>
    <n v="48"/>
    <n v="17"/>
    <n v="0.9"/>
    <x v="2"/>
    <n v="2.11"/>
    <s v=""/>
    <s v="OK"/>
    <s v="No"/>
  </r>
  <r>
    <n v="774"/>
    <s v="Dataset 3"/>
    <n v="0"/>
    <n v="0"/>
    <n v="164"/>
    <x v="34"/>
    <n v="1"/>
    <n v="0"/>
    <n v="2"/>
    <x v="16"/>
    <b v="0"/>
    <n v="5"/>
    <n v="2"/>
    <n v="0.3"/>
    <n v="0.28789999999999999"/>
    <n v="0.28789999999999999"/>
    <n v="0.42"/>
    <n v="0.22389999999999999"/>
    <n v="8"/>
    <n v="91"/>
    <n v="99"/>
    <x v="1"/>
    <x v="1"/>
    <s v="Winter"/>
    <s v="Friday"/>
    <x v="2"/>
    <n v="6.1"/>
    <n v="3"/>
    <n v="42"/>
    <n v="15"/>
    <n v="0.91919191919191923"/>
    <x v="2"/>
    <n v="0.77"/>
    <s v=""/>
    <s v="OK"/>
    <s v="No"/>
  </r>
  <r>
    <n v="775"/>
    <s v="Dataset 3"/>
    <n v="0"/>
    <n v="0"/>
    <n v="165"/>
    <x v="34"/>
    <n v="1"/>
    <n v="0"/>
    <n v="2"/>
    <x v="17"/>
    <b v="0"/>
    <n v="5"/>
    <n v="2"/>
    <n v="0.26"/>
    <n v="0.2727"/>
    <n v="0.2727"/>
    <n v="0.56000000000000005"/>
    <n v="0.1343"/>
    <n v="10"/>
    <n v="195"/>
    <n v="205"/>
    <x v="1"/>
    <x v="1"/>
    <s v="Winter"/>
    <s v="Friday"/>
    <x v="2"/>
    <n v="4.2"/>
    <n v="2"/>
    <n v="56"/>
    <n v="9"/>
    <n v="0.95121951219512191"/>
    <x v="2"/>
    <n v="0.88"/>
    <s v=""/>
    <s v="OK"/>
    <s v="No"/>
  </r>
  <r>
    <n v="776"/>
    <s v="Dataset 3"/>
    <n v="0"/>
    <n v="0"/>
    <n v="166"/>
    <x v="34"/>
    <n v="1"/>
    <n v="0"/>
    <n v="2"/>
    <x v="18"/>
    <b v="0"/>
    <n v="5"/>
    <n v="2"/>
    <n v="0.24"/>
    <n v="0.2576"/>
    <n v="0.2576"/>
    <n v="0.6"/>
    <n v="0.1045"/>
    <n v="3"/>
    <n v="152"/>
    <n v="155"/>
    <x v="1"/>
    <x v="1"/>
    <s v="Winter"/>
    <s v="Friday"/>
    <x v="3"/>
    <n v="3.3"/>
    <n v="1"/>
    <n v="60"/>
    <n v="7"/>
    <n v="0.98064516129032253"/>
    <x v="2"/>
    <n v="0.06"/>
    <s v=""/>
    <s v="OK"/>
    <s v="No"/>
  </r>
  <r>
    <n v="777"/>
    <s v="Dataset 3"/>
    <n v="0"/>
    <n v="0"/>
    <n v="167"/>
    <x v="34"/>
    <n v="1"/>
    <n v="0"/>
    <n v="2"/>
    <x v="19"/>
    <b v="0"/>
    <n v="5"/>
    <n v="2"/>
    <n v="0.24"/>
    <n v="0.2424"/>
    <n v="0.2424"/>
    <n v="0.65"/>
    <n v="0.1343"/>
    <n v="1"/>
    <n v="102"/>
    <n v="103"/>
    <x v="1"/>
    <x v="1"/>
    <s v="Winter"/>
    <s v="Friday"/>
    <x v="3"/>
    <n v="3.3"/>
    <n v="0"/>
    <n v="65"/>
    <n v="9"/>
    <n v="0.99029126213592233"/>
    <x v="2"/>
    <n v="-0.03"/>
    <s v=""/>
    <s v="OK"/>
    <s v="No"/>
  </r>
  <r>
    <n v="778"/>
    <s v="Dataset 3"/>
    <n v="0"/>
    <n v="0"/>
    <n v="168"/>
    <x v="34"/>
    <n v="1"/>
    <n v="0"/>
    <n v="2"/>
    <x v="20"/>
    <b v="0"/>
    <n v="5"/>
    <n v="2"/>
    <n v="0.24"/>
    <n v="0.2424"/>
    <n v="0.2424"/>
    <n v="0.65"/>
    <n v="0.16420000000000001"/>
    <n v="2"/>
    <n v="69"/>
    <n v="71"/>
    <x v="1"/>
    <x v="1"/>
    <s v="Winter"/>
    <s v="Friday"/>
    <x v="3"/>
    <n v="3.3"/>
    <n v="0"/>
    <n v="65"/>
    <n v="11"/>
    <n v="0.971830985915493"/>
    <x v="0"/>
    <n v="-0.13"/>
    <s v=""/>
    <s v="OK"/>
    <s v="No"/>
  </r>
  <r>
    <n v="779"/>
    <s v="Dataset 3"/>
    <n v="0"/>
    <n v="0"/>
    <n v="169"/>
    <x v="34"/>
    <n v="1"/>
    <n v="0"/>
    <n v="2"/>
    <x v="21"/>
    <b v="0"/>
    <n v="5"/>
    <n v="2"/>
    <n v="0.24"/>
    <n v="0.2424"/>
    <n v="0.2424"/>
    <n v="0.7"/>
    <n v="0.16420000000000001"/>
    <n v="2"/>
    <n v="41"/>
    <n v="43"/>
    <x v="1"/>
    <x v="1"/>
    <s v="Winter"/>
    <s v="Friday"/>
    <x v="3"/>
    <n v="3.3"/>
    <n v="0"/>
    <n v="70"/>
    <n v="11"/>
    <n v="0.95348837209302328"/>
    <x v="0"/>
    <n v="-0.66"/>
    <s v=""/>
    <s v="OK"/>
    <s v="No"/>
  </r>
  <r>
    <n v="780"/>
    <s v="Dataset 3"/>
    <n v="0"/>
    <n v="0"/>
    <n v="170"/>
    <x v="34"/>
    <n v="1"/>
    <n v="0"/>
    <n v="2"/>
    <x v="22"/>
    <b v="0"/>
    <n v="5"/>
    <n v="2"/>
    <n v="0.24"/>
    <n v="0.2424"/>
    <n v="0.2424"/>
    <n v="0.65"/>
    <n v="0.16420000000000001"/>
    <n v="1"/>
    <n v="45"/>
    <n v="46"/>
    <x v="1"/>
    <x v="1"/>
    <s v="Winter"/>
    <s v="Friday"/>
    <x v="3"/>
    <n v="3.3"/>
    <n v="0"/>
    <n v="65"/>
    <n v="11"/>
    <n v="0.97826086956521741"/>
    <x v="0"/>
    <n v="0.81"/>
    <s v=""/>
    <s v="OK"/>
    <s v="No"/>
  </r>
  <r>
    <n v="781"/>
    <s v="Dataset 3"/>
    <n v="0"/>
    <n v="0"/>
    <n v="171"/>
    <x v="34"/>
    <n v="1"/>
    <n v="0"/>
    <n v="2"/>
    <x v="23"/>
    <b v="0"/>
    <n v="5"/>
    <n v="2"/>
    <n v="0.24"/>
    <n v="0.2424"/>
    <n v="0.2424"/>
    <n v="0.7"/>
    <n v="0.1343"/>
    <n v="1"/>
    <n v="30"/>
    <n v="31"/>
    <x v="1"/>
    <x v="1"/>
    <s v="Winter"/>
    <s v="Friday"/>
    <x v="3"/>
    <n v="3.3"/>
    <n v="0"/>
    <n v="70"/>
    <n v="9"/>
    <n v="0.967741935483871"/>
    <x v="0"/>
    <n v="0.66"/>
    <s v=""/>
    <s v="OK"/>
    <s v="No"/>
  </r>
  <r>
    <n v="782"/>
    <s v="Dataset 3"/>
    <n v="0"/>
    <n v="0"/>
    <n v="172"/>
    <x v="35"/>
    <n v="1"/>
    <n v="0"/>
    <n v="2"/>
    <x v="0"/>
    <b v="0"/>
    <n v="6"/>
    <n v="2"/>
    <n v="0.24"/>
    <n v="0.2424"/>
    <n v="0.2424"/>
    <n v="0.7"/>
    <n v="0.16420000000000001"/>
    <n v="3"/>
    <n v="36"/>
    <n v="39"/>
    <x v="0"/>
    <x v="1"/>
    <s v="Winter"/>
    <s v="Saturday"/>
    <x v="0"/>
    <n v="3.3"/>
    <n v="0"/>
    <n v="70"/>
    <n v="11"/>
    <n v="0.92307692307692313"/>
    <x v="0"/>
    <n v="1.28"/>
    <s v=""/>
    <s v="OK"/>
    <s v="No"/>
  </r>
  <r>
    <n v="783"/>
    <s v="Dataset 3"/>
    <n v="0"/>
    <n v="0"/>
    <n v="173"/>
    <x v="35"/>
    <n v="1"/>
    <n v="0"/>
    <n v="2"/>
    <x v="1"/>
    <b v="0"/>
    <n v="6"/>
    <n v="2"/>
    <n v="0.24"/>
    <n v="0.2424"/>
    <n v="0.2424"/>
    <n v="0.65"/>
    <n v="0.16420000000000001"/>
    <n v="1"/>
    <n v="17"/>
    <n v="18"/>
    <x v="0"/>
    <x v="1"/>
    <s v="Winter"/>
    <s v="Saturday"/>
    <x v="0"/>
    <n v="3.3"/>
    <n v="0"/>
    <n v="65"/>
    <n v="11"/>
    <n v="0.94444444444444442"/>
    <x v="0"/>
    <n v="-0.41"/>
    <s v=""/>
    <s v="OK"/>
    <s v="No"/>
  </r>
  <r>
    <n v="784"/>
    <s v="Dataset 3"/>
    <n v="0"/>
    <n v="0"/>
    <n v="174"/>
    <x v="35"/>
    <n v="1"/>
    <n v="0"/>
    <n v="2"/>
    <x v="2"/>
    <b v="0"/>
    <n v="6"/>
    <n v="2"/>
    <n v="0.24"/>
    <n v="0.2424"/>
    <n v="0.2424"/>
    <n v="0.75"/>
    <n v="0.16420000000000001"/>
    <n v="5"/>
    <n v="12"/>
    <n v="17"/>
    <x v="0"/>
    <x v="1"/>
    <s v="Winter"/>
    <s v="Saturday"/>
    <x v="0"/>
    <n v="3.3"/>
    <n v="0"/>
    <n v="75"/>
    <n v="11"/>
    <n v="0.70588235294117652"/>
    <x v="0"/>
    <n v="0.27"/>
    <s v=""/>
    <s v="OK"/>
    <s v="No"/>
  </r>
  <r>
    <n v="785"/>
    <s v="Dataset 3"/>
    <n v="0"/>
    <n v="0"/>
    <n v="175"/>
    <x v="35"/>
    <n v="1"/>
    <n v="0"/>
    <n v="2"/>
    <x v="3"/>
    <b v="0"/>
    <n v="6"/>
    <n v="2"/>
    <n v="0.24"/>
    <n v="0.2424"/>
    <n v="0.2424"/>
    <n v="0.75"/>
    <n v="0.16420000000000001"/>
    <n v="1"/>
    <n v="10"/>
    <n v="11"/>
    <x v="0"/>
    <x v="1"/>
    <s v="Winter"/>
    <s v="Saturday"/>
    <x v="0"/>
    <n v="3.3"/>
    <n v="0"/>
    <n v="75"/>
    <n v="11"/>
    <n v="0.90909090909090906"/>
    <x v="1"/>
    <n v="0.65"/>
    <s v=""/>
    <s v="OK"/>
    <s v="No"/>
  </r>
  <r>
    <n v="786"/>
    <s v="Dataset 3"/>
    <n v="0"/>
    <n v="0"/>
    <n v="176"/>
    <x v="35"/>
    <n v="1"/>
    <n v="0"/>
    <n v="2"/>
    <x v="4"/>
    <b v="0"/>
    <n v="6"/>
    <n v="3"/>
    <n v="0.22"/>
    <n v="0.2273"/>
    <n v="0.2273"/>
    <n v="0.93"/>
    <n v="0.1343"/>
    <n v="0"/>
    <n v="8"/>
    <n v="8"/>
    <x v="0"/>
    <x v="2"/>
    <s v="Winter"/>
    <s v="Saturday"/>
    <x v="0"/>
    <n v="2.2999999999999998"/>
    <n v="-1"/>
    <n v="93"/>
    <n v="9"/>
    <n v="1"/>
    <x v="1"/>
    <n v="2.67"/>
    <s v=""/>
    <s v="OK"/>
    <s v="No"/>
  </r>
  <r>
    <n v="787"/>
    <s v="Dataset 3"/>
    <n v="0"/>
    <n v="0"/>
    <n v="177"/>
    <x v="35"/>
    <n v="1"/>
    <n v="0"/>
    <n v="2"/>
    <x v="5"/>
    <b v="0"/>
    <n v="6"/>
    <n v="3"/>
    <n v="0.2"/>
    <n v="0.2273"/>
    <n v="0.2273"/>
    <n v="1"/>
    <n v="8.9599999999999999E-2"/>
    <n v="0"/>
    <n v="9"/>
    <n v="9"/>
    <x v="0"/>
    <x v="2"/>
    <s v="Winter"/>
    <s v="Saturday"/>
    <x v="0"/>
    <n v="1.4"/>
    <n v="-1"/>
    <n v="100"/>
    <n v="6"/>
    <n v="1"/>
    <x v="1"/>
    <n v="2.58"/>
    <s v=""/>
    <s v="OK"/>
    <s v="No"/>
  </r>
  <r>
    <n v="788"/>
    <s v="Dataset 3"/>
    <n v="0"/>
    <n v="0"/>
    <n v="178"/>
    <x v="35"/>
    <n v="1"/>
    <n v="0"/>
    <n v="2"/>
    <x v="6"/>
    <b v="0"/>
    <n v="6"/>
    <n v="3"/>
    <n v="0.2"/>
    <n v="0.2576"/>
    <n v="0.2576"/>
    <n v="1"/>
    <n v="0"/>
    <n v="0"/>
    <n v="4"/>
    <n v="4"/>
    <x v="0"/>
    <x v="2"/>
    <s v="Winter"/>
    <s v="Saturday"/>
    <x v="1"/>
    <n v="1.4"/>
    <n v="1"/>
    <n v="100"/>
    <n v="0"/>
    <n v="1"/>
    <x v="1"/>
    <n v="1.18"/>
    <s v=""/>
    <s v="OK"/>
    <s v="No"/>
  </r>
  <r>
    <n v="789"/>
    <s v="Dataset 3"/>
    <n v="0"/>
    <n v="0"/>
    <n v="179"/>
    <x v="35"/>
    <n v="1"/>
    <n v="0"/>
    <n v="2"/>
    <x v="7"/>
    <b v="0"/>
    <n v="6"/>
    <n v="3"/>
    <n v="0.22"/>
    <n v="0.2576"/>
    <n v="0.2576"/>
    <n v="0.93"/>
    <n v="8.9599999999999999E-2"/>
    <n v="0"/>
    <n v="4"/>
    <n v="4"/>
    <x v="0"/>
    <x v="2"/>
    <s v="Winter"/>
    <s v="Saturday"/>
    <x v="1"/>
    <n v="2.2999999999999998"/>
    <n v="1"/>
    <n v="93"/>
    <n v="6"/>
    <n v="1"/>
    <x v="1"/>
    <n v="-0.53"/>
    <s v=""/>
    <s v="OK"/>
    <s v="No"/>
  </r>
  <r>
    <n v="790"/>
    <s v="Dataset 3"/>
    <n v="0"/>
    <n v="0"/>
    <n v="180"/>
    <x v="35"/>
    <n v="1"/>
    <n v="0"/>
    <n v="2"/>
    <x v="8"/>
    <b v="0"/>
    <n v="6"/>
    <n v="3"/>
    <n v="0.2"/>
    <n v="0.2273"/>
    <n v="0.2273"/>
    <n v="1"/>
    <n v="8.9599999999999999E-2"/>
    <n v="0"/>
    <n v="10"/>
    <n v="10"/>
    <x v="0"/>
    <x v="2"/>
    <s v="Winter"/>
    <s v="Saturday"/>
    <x v="1"/>
    <n v="1.4"/>
    <n v="-1"/>
    <n v="100"/>
    <n v="6"/>
    <n v="1"/>
    <x v="1"/>
    <n v="-0.97"/>
    <s v=""/>
    <s v="OK"/>
    <s v="No"/>
  </r>
  <r>
    <n v="791"/>
    <s v="Dataset 3"/>
    <n v="0"/>
    <n v="0"/>
    <n v="181"/>
    <x v="35"/>
    <n v="1"/>
    <n v="0"/>
    <n v="2"/>
    <x v="9"/>
    <b v="0"/>
    <n v="6"/>
    <n v="3"/>
    <n v="0.2"/>
    <n v="0.2273"/>
    <n v="0.2273"/>
    <n v="1"/>
    <n v="8.9599999999999999E-2"/>
    <n v="3"/>
    <n v="17"/>
    <n v="20"/>
    <x v="0"/>
    <x v="2"/>
    <s v="Winter"/>
    <s v="Saturday"/>
    <x v="1"/>
    <n v="1.4"/>
    <n v="-1"/>
    <n v="100"/>
    <n v="6"/>
    <n v="0.85"/>
    <x v="0"/>
    <n v="-1.06"/>
    <s v=""/>
    <s v="OK"/>
    <s v="No"/>
  </r>
  <r>
    <n v="792"/>
    <s v="Dataset 3"/>
    <n v="0"/>
    <n v="0"/>
    <n v="182"/>
    <x v="35"/>
    <n v="1"/>
    <n v="0"/>
    <n v="2"/>
    <x v="10"/>
    <b v="0"/>
    <n v="6"/>
    <n v="3"/>
    <n v="0.2"/>
    <n v="0.21210000000000001"/>
    <n v="0.21210000000000001"/>
    <n v="1"/>
    <n v="0.1343"/>
    <n v="3"/>
    <n v="31"/>
    <n v="34"/>
    <x v="0"/>
    <x v="2"/>
    <s v="Winter"/>
    <s v="Saturday"/>
    <x v="1"/>
    <n v="1.4"/>
    <n v="-2"/>
    <n v="100"/>
    <n v="9"/>
    <n v="0.91176470588235292"/>
    <x v="0"/>
    <n v="-1.47"/>
    <s v=""/>
    <s v="OK"/>
    <s v="No"/>
  </r>
  <r>
    <n v="793"/>
    <s v="Dataset 3"/>
    <n v="0"/>
    <n v="0"/>
    <n v="183"/>
    <x v="35"/>
    <n v="1"/>
    <n v="0"/>
    <n v="2"/>
    <x v="11"/>
    <b v="0"/>
    <n v="6"/>
    <n v="3"/>
    <n v="0.22"/>
    <n v="0.2273"/>
    <n v="0.2273"/>
    <n v="1"/>
    <n v="0.1343"/>
    <n v="1"/>
    <n v="46"/>
    <n v="47"/>
    <x v="0"/>
    <x v="2"/>
    <s v="Winter"/>
    <s v="Saturday"/>
    <x v="1"/>
    <n v="2.2999999999999998"/>
    <n v="-1"/>
    <n v="100"/>
    <n v="9"/>
    <n v="0.97872340425531912"/>
    <x v="0"/>
    <n v="-1.2"/>
    <s v=""/>
    <s v="OK"/>
    <s v="No"/>
  </r>
  <r>
    <n v="794"/>
    <s v="Dataset 3"/>
    <n v="0"/>
    <n v="0"/>
    <n v="184"/>
    <x v="35"/>
    <n v="1"/>
    <n v="0"/>
    <n v="2"/>
    <x v="12"/>
    <b v="0"/>
    <n v="6"/>
    <n v="3"/>
    <n v="0.22"/>
    <n v="0.2273"/>
    <n v="0.2273"/>
    <n v="1"/>
    <n v="0.16420000000000001"/>
    <n v="10"/>
    <n v="42"/>
    <n v="52"/>
    <x v="0"/>
    <x v="2"/>
    <s v="Winter"/>
    <s v="Saturday"/>
    <x v="2"/>
    <n v="2.2999999999999998"/>
    <n v="-1"/>
    <n v="100"/>
    <n v="11"/>
    <n v="0.80769230769230771"/>
    <x v="0"/>
    <n v="-1.52"/>
    <s v=""/>
    <s v="OK"/>
    <s v="No"/>
  </r>
  <r>
    <n v="795"/>
    <s v="Dataset 3"/>
    <n v="0"/>
    <n v="0"/>
    <n v="185"/>
    <x v="35"/>
    <n v="1"/>
    <n v="0"/>
    <n v="2"/>
    <x v="13"/>
    <b v="0"/>
    <n v="6"/>
    <n v="3"/>
    <n v="0.22"/>
    <n v="0.2273"/>
    <n v="0.2273"/>
    <n v="1"/>
    <n v="0.16420000000000001"/>
    <n v="10"/>
    <n v="62"/>
    <n v="72"/>
    <x v="0"/>
    <x v="2"/>
    <s v="Winter"/>
    <s v="Saturday"/>
    <x v="2"/>
    <n v="2.2999999999999998"/>
    <n v="-1"/>
    <n v="100"/>
    <n v="11"/>
    <n v="0.86111111111111116"/>
    <x v="0"/>
    <n v="-0.89"/>
    <s v=""/>
    <s v="OK"/>
    <s v="No"/>
  </r>
  <r>
    <n v="796"/>
    <s v="Dataset 3"/>
    <n v="0"/>
    <n v="0"/>
    <n v="186"/>
    <x v="35"/>
    <n v="1"/>
    <n v="0"/>
    <n v="2"/>
    <x v="14"/>
    <b v="0"/>
    <n v="6"/>
    <n v="3"/>
    <n v="0.22"/>
    <n v="0.2727"/>
    <n v="0.2727"/>
    <n v="1"/>
    <n v="0"/>
    <n v="5"/>
    <n v="50"/>
    <n v="55"/>
    <x v="0"/>
    <x v="2"/>
    <s v="Winter"/>
    <s v="Saturday"/>
    <x v="2"/>
    <n v="2.2999999999999998"/>
    <n v="2"/>
    <n v="100"/>
    <n v="0"/>
    <n v="0.90909090909090906"/>
    <x v="0"/>
    <n v="-1.48"/>
    <s v=""/>
    <s v="OK"/>
    <s v="No"/>
  </r>
  <r>
    <n v="797"/>
    <s v="Dataset 3"/>
    <n v="0"/>
    <n v="0"/>
    <n v="187"/>
    <x v="35"/>
    <n v="1"/>
    <n v="0"/>
    <n v="2"/>
    <x v="15"/>
    <b v="0"/>
    <n v="6"/>
    <n v="3"/>
    <n v="0.22"/>
    <n v="0.2727"/>
    <n v="0.2727"/>
    <n v="1"/>
    <n v="0"/>
    <n v="11"/>
    <n v="49"/>
    <n v="60"/>
    <x v="0"/>
    <x v="2"/>
    <s v="Winter"/>
    <s v="Saturday"/>
    <x v="2"/>
    <n v="2.2999999999999998"/>
    <n v="2"/>
    <n v="100"/>
    <n v="0"/>
    <n v="0.81666666666666665"/>
    <x v="0"/>
    <n v="-1.35"/>
    <s v=""/>
    <s v="OK"/>
    <s v="No"/>
  </r>
  <r>
    <n v="798"/>
    <s v="Dataset 3"/>
    <n v="0"/>
    <n v="0"/>
    <n v="188"/>
    <x v="35"/>
    <n v="1"/>
    <n v="0"/>
    <n v="2"/>
    <x v="16"/>
    <b v="0"/>
    <n v="6"/>
    <n v="3"/>
    <n v="0.22"/>
    <n v="0.2273"/>
    <n v="0.2273"/>
    <n v="1"/>
    <n v="0.1343"/>
    <n v="8"/>
    <n v="63"/>
    <n v="71"/>
    <x v="0"/>
    <x v="2"/>
    <s v="Winter"/>
    <s v="Saturday"/>
    <x v="2"/>
    <n v="2.2999999999999998"/>
    <n v="-1"/>
    <n v="100"/>
    <n v="9"/>
    <n v="0.88732394366197187"/>
    <x v="0"/>
    <n v="-1.08"/>
    <s v=""/>
    <s v="OK"/>
    <s v="No"/>
  </r>
  <r>
    <n v="799"/>
    <s v="Dataset 3"/>
    <n v="0"/>
    <n v="0"/>
    <n v="189"/>
    <x v="35"/>
    <n v="1"/>
    <n v="0"/>
    <n v="2"/>
    <x v="17"/>
    <b v="0"/>
    <n v="6"/>
    <n v="2"/>
    <n v="0.24"/>
    <n v="0.21210000000000001"/>
    <n v="0.21210000000000001"/>
    <n v="1"/>
    <n v="0.28360000000000002"/>
    <n v="14"/>
    <n v="64"/>
    <n v="78"/>
    <x v="0"/>
    <x v="1"/>
    <s v="Winter"/>
    <s v="Saturday"/>
    <x v="2"/>
    <n v="3.3"/>
    <n v="-2"/>
    <n v="100"/>
    <n v="19"/>
    <n v="0.82051282051282048"/>
    <x v="0"/>
    <n v="-0.27"/>
    <s v=""/>
    <s v="OK"/>
    <s v="No"/>
  </r>
  <r>
    <n v="800"/>
    <s v="Dataset 3"/>
    <n v="0"/>
    <n v="0"/>
    <n v="190"/>
    <x v="35"/>
    <n v="1"/>
    <n v="0"/>
    <n v="2"/>
    <x v="18"/>
    <b v="0"/>
    <n v="6"/>
    <n v="2"/>
    <n v="0.28000000000000003"/>
    <n v="0.2424"/>
    <n v="0.2424"/>
    <n v="0.93"/>
    <n v="0.44779999999999998"/>
    <n v="2"/>
    <n v="81"/>
    <n v="83"/>
    <x v="0"/>
    <x v="1"/>
    <s v="Winter"/>
    <s v="Saturday"/>
    <x v="3"/>
    <n v="5.2"/>
    <n v="0"/>
    <n v="93"/>
    <n v="30"/>
    <n v="0.97590361445783136"/>
    <x v="2"/>
    <n v="0.97"/>
    <s v=""/>
    <s v="OK"/>
    <s v="No"/>
  </r>
  <r>
    <n v="801"/>
    <s v="Dataset 3"/>
    <n v="0"/>
    <n v="0"/>
    <n v="191"/>
    <x v="35"/>
    <n v="1"/>
    <n v="0"/>
    <n v="2"/>
    <x v="19"/>
    <b v="0"/>
    <n v="6"/>
    <n v="2"/>
    <n v="0.28000000000000003"/>
    <n v="0.2424"/>
    <n v="0.2424"/>
    <n v="0.93"/>
    <n v="0.44779999999999998"/>
    <n v="6"/>
    <n v="78"/>
    <n v="84"/>
    <x v="0"/>
    <x v="1"/>
    <s v="Winter"/>
    <s v="Saturday"/>
    <x v="3"/>
    <n v="5.2"/>
    <n v="0"/>
    <n v="93"/>
    <n v="30"/>
    <n v="0.9285714285714286"/>
    <x v="2"/>
    <n v="1.92"/>
    <s v=""/>
    <s v="OK"/>
    <s v="No"/>
  </r>
  <r>
    <n v="802"/>
    <s v="Dataset 3"/>
    <n v="0"/>
    <n v="0"/>
    <n v="192"/>
    <x v="35"/>
    <n v="1"/>
    <n v="0"/>
    <n v="2"/>
    <x v="20"/>
    <b v="0"/>
    <n v="6"/>
    <n v="1"/>
    <n v="0.3"/>
    <n v="0.28789999999999999"/>
    <n v="0.28789999999999999"/>
    <n v="0.87"/>
    <n v="0.25369999999999998"/>
    <n v="5"/>
    <n v="64"/>
    <n v="69"/>
    <x v="0"/>
    <x v="0"/>
    <s v="Winter"/>
    <s v="Saturday"/>
    <x v="3"/>
    <n v="6.1"/>
    <n v="3"/>
    <n v="87"/>
    <n v="17"/>
    <n v="0.92753623188405798"/>
    <x v="0"/>
    <n v="2.4500000000000002"/>
    <s v=""/>
    <s v="OK"/>
    <s v="No"/>
  </r>
  <r>
    <n v="803"/>
    <s v="Dataset 3"/>
    <n v="0"/>
    <n v="0"/>
    <n v="193"/>
    <x v="35"/>
    <n v="1"/>
    <n v="0"/>
    <n v="2"/>
    <x v="21"/>
    <b v="0"/>
    <n v="6"/>
    <n v="1"/>
    <n v="0.26"/>
    <n v="0.2576"/>
    <n v="0.2576"/>
    <n v="1"/>
    <n v="0.19400000000000001"/>
    <n v="3"/>
    <n v="53"/>
    <n v="56"/>
    <x v="0"/>
    <x v="0"/>
    <s v="Winter"/>
    <s v="Saturday"/>
    <x v="3"/>
    <n v="4.2"/>
    <n v="1"/>
    <n v="100"/>
    <n v="13"/>
    <n v="0.9464285714285714"/>
    <x v="0"/>
    <n v="1.64"/>
    <s v=""/>
    <s v="OK"/>
    <s v="No"/>
  </r>
  <r>
    <n v="804"/>
    <s v="Dataset 3"/>
    <n v="0"/>
    <n v="0"/>
    <n v="194"/>
    <x v="35"/>
    <n v="1"/>
    <n v="0"/>
    <n v="2"/>
    <x v="22"/>
    <b v="0"/>
    <n v="6"/>
    <n v="1"/>
    <n v="0.26"/>
    <n v="0.2727"/>
    <n v="0.2727"/>
    <n v="0.93"/>
    <n v="0.1343"/>
    <n v="2"/>
    <n v="43"/>
    <n v="45"/>
    <x v="0"/>
    <x v="0"/>
    <s v="Winter"/>
    <s v="Saturday"/>
    <x v="3"/>
    <n v="4.2"/>
    <n v="2"/>
    <n v="93"/>
    <n v="9"/>
    <n v="0.9555555555555556"/>
    <x v="0"/>
    <n v="1.1100000000000001"/>
    <s v=""/>
    <s v="OK"/>
    <s v="No"/>
  </r>
  <r>
    <n v="805"/>
    <s v="Dataset 3"/>
    <n v="0"/>
    <n v="0"/>
    <n v="195"/>
    <x v="35"/>
    <n v="1"/>
    <n v="0"/>
    <n v="2"/>
    <x v="23"/>
    <b v="0"/>
    <n v="6"/>
    <n v="1"/>
    <n v="0.26"/>
    <n v="0.2576"/>
    <n v="0.2576"/>
    <n v="0.93"/>
    <n v="0.22389999999999999"/>
    <n v="7"/>
    <n v="52"/>
    <n v="59"/>
    <x v="0"/>
    <x v="0"/>
    <s v="Winter"/>
    <s v="Saturday"/>
    <x v="3"/>
    <n v="4.2"/>
    <n v="1"/>
    <n v="93"/>
    <n v="15"/>
    <n v="0.88135593220338981"/>
    <x v="0"/>
    <n v="2.1800000000000002"/>
    <s v=""/>
    <s v="OK"/>
    <s v="No"/>
  </r>
  <r>
    <n v="806"/>
    <s v="Dataset 3"/>
    <n v="0"/>
    <n v="0"/>
    <n v="196"/>
    <x v="36"/>
    <n v="1"/>
    <n v="0"/>
    <n v="2"/>
    <x v="0"/>
    <b v="0"/>
    <n v="0"/>
    <n v="1"/>
    <n v="0.26"/>
    <n v="0.2576"/>
    <n v="0.2576"/>
    <n v="0.7"/>
    <n v="0.19400000000000001"/>
    <n v="2"/>
    <n v="37"/>
    <n v="39"/>
    <x v="0"/>
    <x v="0"/>
    <s v="Winter"/>
    <s v="Sunday"/>
    <x v="0"/>
    <n v="4.2"/>
    <n v="1"/>
    <n v="70"/>
    <n v="13"/>
    <n v="0.94871794871794868"/>
    <x v="0"/>
    <n v="1.28"/>
    <s v=""/>
    <s v="OK"/>
    <s v="No"/>
  </r>
  <r>
    <n v="807"/>
    <s v="Dataset 3"/>
    <n v="0"/>
    <n v="0"/>
    <n v="197"/>
    <x v="36"/>
    <n v="1"/>
    <n v="0"/>
    <n v="2"/>
    <x v="1"/>
    <b v="0"/>
    <n v="0"/>
    <n v="1"/>
    <n v="0.26"/>
    <n v="0.2273"/>
    <n v="0.2273"/>
    <n v="0.65"/>
    <n v="0.41789999999999999"/>
    <n v="4"/>
    <n v="40"/>
    <n v="44"/>
    <x v="0"/>
    <x v="0"/>
    <s v="Winter"/>
    <s v="Sunday"/>
    <x v="0"/>
    <n v="4.2"/>
    <n v="-1"/>
    <n v="65"/>
    <n v="28"/>
    <n v="0.90909090909090906"/>
    <x v="0"/>
    <n v="2.33"/>
    <s v=""/>
    <s v="OK"/>
    <s v="No"/>
  </r>
  <r>
    <n v="808"/>
    <s v="Dataset 3"/>
    <n v="0"/>
    <n v="0"/>
    <n v="198"/>
    <x v="36"/>
    <n v="1"/>
    <n v="0"/>
    <n v="2"/>
    <x v="2"/>
    <b v="0"/>
    <n v="0"/>
    <n v="1"/>
    <n v="0.26"/>
    <n v="0.2273"/>
    <n v="0.2273"/>
    <n v="0.6"/>
    <n v="0.32840000000000003"/>
    <n v="0"/>
    <n v="20"/>
    <n v="20"/>
    <x v="0"/>
    <x v="0"/>
    <s v="Winter"/>
    <s v="Sunday"/>
    <x v="0"/>
    <n v="4.2"/>
    <n v="-1"/>
    <n v="60"/>
    <n v="22"/>
    <n v="1"/>
    <x v="0"/>
    <n v="0.77"/>
    <s v=""/>
    <s v="OK"/>
    <s v="No"/>
  </r>
  <r>
    <n v="809"/>
    <s v="Dataset 3"/>
    <n v="0"/>
    <n v="0"/>
    <n v="199"/>
    <x v="36"/>
    <n v="1"/>
    <n v="0"/>
    <n v="2"/>
    <x v="3"/>
    <b v="0"/>
    <n v="0"/>
    <n v="1"/>
    <n v="0.26"/>
    <n v="0.28789999999999999"/>
    <n v="0.28789999999999999"/>
    <n v="0.6"/>
    <n v="8.9599999999999999E-2"/>
    <n v="3"/>
    <n v="10"/>
    <n v="13"/>
    <x v="0"/>
    <x v="0"/>
    <s v="Winter"/>
    <s v="Sunday"/>
    <x v="0"/>
    <n v="4.2"/>
    <n v="3"/>
    <n v="60"/>
    <n v="6"/>
    <n v="0.76923076923076927"/>
    <x v="1"/>
    <n v="1.2"/>
    <s v=""/>
    <s v="OK"/>
    <s v="No"/>
  </r>
  <r>
    <n v="810"/>
    <s v="Dataset 3"/>
    <n v="0"/>
    <n v="0"/>
    <n v="200"/>
    <x v="36"/>
    <n v="1"/>
    <n v="0"/>
    <n v="2"/>
    <x v="4"/>
    <b v="0"/>
    <n v="0"/>
    <n v="1"/>
    <n v="0.26"/>
    <n v="0.2273"/>
    <n v="0.2273"/>
    <n v="0.6"/>
    <n v="0.35820000000000002"/>
    <n v="0"/>
    <n v="2"/>
    <n v="2"/>
    <x v="0"/>
    <x v="0"/>
    <s v="Winter"/>
    <s v="Sunday"/>
    <x v="0"/>
    <n v="4.2"/>
    <n v="-1"/>
    <n v="60"/>
    <n v="24"/>
    <n v="1"/>
    <x v="1"/>
    <n v="-0.36"/>
    <s v=""/>
    <s v="OK"/>
    <s v="No"/>
  </r>
  <r>
    <n v="811"/>
    <s v="Dataset 3"/>
    <n v="0"/>
    <n v="0"/>
    <n v="201"/>
    <x v="36"/>
    <n v="1"/>
    <n v="0"/>
    <n v="2"/>
    <x v="5"/>
    <b v="0"/>
    <n v="0"/>
    <n v="1"/>
    <n v="0.26"/>
    <n v="0.2576"/>
    <n v="0.2576"/>
    <n v="0.6"/>
    <n v="0.22389999999999999"/>
    <n v="0"/>
    <n v="1"/>
    <n v="1"/>
    <x v="0"/>
    <x v="0"/>
    <s v="Winter"/>
    <s v="Sunday"/>
    <x v="0"/>
    <n v="4.2"/>
    <n v="1"/>
    <n v="60"/>
    <n v="15"/>
    <n v="1"/>
    <x v="1"/>
    <n v="-0.62"/>
    <s v=""/>
    <s v="OK"/>
    <s v="No"/>
  </r>
  <r>
    <n v="812"/>
    <s v="Dataset 3"/>
    <n v="0"/>
    <n v="0"/>
    <n v="202"/>
    <x v="36"/>
    <n v="1"/>
    <n v="0"/>
    <n v="2"/>
    <x v="6"/>
    <b v="0"/>
    <n v="0"/>
    <n v="1"/>
    <n v="0.26"/>
    <n v="0.2576"/>
    <n v="0.2576"/>
    <n v="0.6"/>
    <n v="0.22389999999999999"/>
    <n v="0"/>
    <n v="1"/>
    <n v="1"/>
    <x v="0"/>
    <x v="0"/>
    <s v="Winter"/>
    <s v="Sunday"/>
    <x v="1"/>
    <n v="4.2"/>
    <n v="1"/>
    <n v="60"/>
    <n v="15"/>
    <n v="1"/>
    <x v="1"/>
    <n v="-0.97"/>
    <s v=""/>
    <s v="OK"/>
    <s v="No"/>
  </r>
  <r>
    <n v="813"/>
    <s v="Dataset 3"/>
    <n v="0"/>
    <n v="0"/>
    <n v="203"/>
    <x v="36"/>
    <n v="1"/>
    <n v="0"/>
    <n v="2"/>
    <x v="7"/>
    <b v="0"/>
    <n v="0"/>
    <n v="1"/>
    <n v="0.24"/>
    <n v="0.2424"/>
    <n v="0.2424"/>
    <n v="0.65"/>
    <n v="0.16420000000000001"/>
    <n v="0"/>
    <n v="8"/>
    <n v="8"/>
    <x v="0"/>
    <x v="0"/>
    <s v="Winter"/>
    <s v="Sunday"/>
    <x v="1"/>
    <n v="3.3"/>
    <n v="0"/>
    <n v="65"/>
    <n v="11"/>
    <n v="1"/>
    <x v="1"/>
    <n v="0.56000000000000005"/>
    <s v=""/>
    <s v="OK"/>
    <s v="No"/>
  </r>
  <r>
    <n v="814"/>
    <s v="Dataset 3"/>
    <n v="0"/>
    <n v="0"/>
    <n v="204"/>
    <x v="36"/>
    <n v="1"/>
    <n v="0"/>
    <n v="2"/>
    <x v="8"/>
    <b v="0"/>
    <n v="0"/>
    <n v="1"/>
    <n v="0.24"/>
    <n v="0.2576"/>
    <n v="0.2576"/>
    <n v="0.65"/>
    <n v="0.1045"/>
    <n v="2"/>
    <n v="21"/>
    <n v="23"/>
    <x v="0"/>
    <x v="0"/>
    <s v="Winter"/>
    <s v="Sunday"/>
    <x v="1"/>
    <n v="3.3"/>
    <n v="1"/>
    <n v="65"/>
    <n v="7"/>
    <n v="0.91304347826086951"/>
    <x v="0"/>
    <n v="0.46"/>
    <s v=""/>
    <s v="OK"/>
    <s v="No"/>
  </r>
  <r>
    <n v="815"/>
    <s v="Dataset 3"/>
    <n v="0"/>
    <n v="0"/>
    <n v="205"/>
    <x v="36"/>
    <n v="1"/>
    <n v="0"/>
    <n v="2"/>
    <x v="9"/>
    <b v="0"/>
    <n v="0"/>
    <n v="1"/>
    <n v="0.28000000000000003"/>
    <n v="0.28789999999999999"/>
    <n v="0.28789999999999999"/>
    <n v="0.56000000000000005"/>
    <n v="0.1045"/>
    <n v="7"/>
    <n v="38"/>
    <n v="45"/>
    <x v="0"/>
    <x v="0"/>
    <s v="Winter"/>
    <s v="Sunday"/>
    <x v="1"/>
    <n v="5.2"/>
    <n v="3"/>
    <n v="56"/>
    <n v="7"/>
    <n v="0.84444444444444444"/>
    <x v="0"/>
    <n v="1.1499999999999999"/>
    <s v=""/>
    <s v="OK"/>
    <s v="No"/>
  </r>
  <r>
    <n v="816"/>
    <s v="Dataset 3"/>
    <n v="0"/>
    <n v="0"/>
    <n v="206"/>
    <x v="36"/>
    <n v="1"/>
    <n v="0"/>
    <n v="2"/>
    <x v="10"/>
    <b v="0"/>
    <n v="0"/>
    <n v="1"/>
    <n v="0.3"/>
    <n v="0.28789999999999999"/>
    <n v="0.28789999999999999"/>
    <n v="0.52"/>
    <n v="0.25369999999999998"/>
    <n v="15"/>
    <n v="74"/>
    <n v="89"/>
    <x v="0"/>
    <x v="0"/>
    <s v="Winter"/>
    <s v="Sunday"/>
    <x v="1"/>
    <n v="6.1"/>
    <n v="3"/>
    <n v="52"/>
    <n v="17"/>
    <n v="0.8314606741573034"/>
    <x v="2"/>
    <n v="1.37"/>
    <s v=""/>
    <s v="OK"/>
    <s v="No"/>
  </r>
  <r>
    <n v="817"/>
    <s v="Dataset 3"/>
    <n v="0"/>
    <n v="0"/>
    <n v="207"/>
    <x v="36"/>
    <n v="1"/>
    <n v="0"/>
    <n v="2"/>
    <x v="11"/>
    <b v="0"/>
    <n v="0"/>
    <n v="1"/>
    <n v="0.32"/>
    <n v="0.30299999999999999"/>
    <n v="0.30299999999999999"/>
    <n v="0.49"/>
    <n v="0.25369999999999998"/>
    <n v="28"/>
    <n v="89"/>
    <n v="117"/>
    <x v="0"/>
    <x v="0"/>
    <s v="Winter"/>
    <s v="Sunday"/>
    <x v="1"/>
    <n v="7"/>
    <n v="4"/>
    <n v="49"/>
    <n v="17"/>
    <n v="0.76068376068376065"/>
    <x v="2"/>
    <n v="1.69"/>
    <s v=""/>
    <s v="OK"/>
    <s v="No"/>
  </r>
  <r>
    <n v="818"/>
    <s v="Dataset 3"/>
    <n v="0"/>
    <n v="0"/>
    <n v="208"/>
    <x v="36"/>
    <n v="1"/>
    <n v="0"/>
    <n v="2"/>
    <x v="12"/>
    <b v="0"/>
    <n v="0"/>
    <n v="1"/>
    <n v="0.34"/>
    <n v="0.33329999999999999"/>
    <n v="0.33329999999999999"/>
    <n v="0.46"/>
    <n v="0"/>
    <n v="48"/>
    <n v="126"/>
    <n v="174"/>
    <x v="0"/>
    <x v="0"/>
    <s v="Winter"/>
    <s v="Sunday"/>
    <x v="2"/>
    <n v="8"/>
    <n v="6"/>
    <n v="46"/>
    <n v="0"/>
    <n v="0.72413793103448276"/>
    <x v="2"/>
    <n v="2.39"/>
    <s v=""/>
    <s v="OK"/>
    <s v="No"/>
  </r>
  <r>
    <n v="819"/>
    <s v="Dataset 3"/>
    <n v="0"/>
    <n v="0"/>
    <n v="209"/>
    <x v="36"/>
    <n v="1"/>
    <n v="0"/>
    <n v="2"/>
    <x v="13"/>
    <b v="0"/>
    <n v="0"/>
    <n v="1"/>
    <n v="0.34"/>
    <n v="0.36359999999999998"/>
    <n v="0.36359999999999998"/>
    <n v="0.46"/>
    <n v="0"/>
    <n v="47"/>
    <n v="135"/>
    <n v="182"/>
    <x v="0"/>
    <x v="0"/>
    <s v="Winter"/>
    <s v="Sunday"/>
    <x v="2"/>
    <n v="8"/>
    <n v="8"/>
    <n v="46"/>
    <n v="0"/>
    <n v="0.74175824175824179"/>
    <x v="2"/>
    <n v="2.4500000000000002"/>
    <s v=""/>
    <s v="OK"/>
    <s v="No"/>
  </r>
  <r>
    <n v="820"/>
    <s v="Dataset 3"/>
    <n v="0"/>
    <n v="0"/>
    <n v="210"/>
    <x v="36"/>
    <n v="1"/>
    <n v="0"/>
    <n v="2"/>
    <x v="14"/>
    <b v="0"/>
    <n v="0"/>
    <n v="1"/>
    <n v="0.34"/>
    <n v="0.34849999999999998"/>
    <n v="0.34849999999999998"/>
    <n v="0.46"/>
    <n v="8.9599999999999999E-2"/>
    <n v="47"/>
    <n v="114"/>
    <n v="161"/>
    <x v="0"/>
    <x v="0"/>
    <s v="Winter"/>
    <s v="Sunday"/>
    <x v="2"/>
    <n v="8"/>
    <n v="7"/>
    <n v="46"/>
    <n v="6"/>
    <n v="0.70807453416149069"/>
    <x v="2"/>
    <n v="1.86"/>
    <s v=""/>
    <s v="OK"/>
    <s v="No"/>
  </r>
  <r>
    <n v="821"/>
    <s v="Dataset 3"/>
    <n v="0"/>
    <n v="0"/>
    <n v="211"/>
    <x v="36"/>
    <n v="1"/>
    <n v="0"/>
    <n v="2"/>
    <x v="15"/>
    <b v="0"/>
    <n v="0"/>
    <n v="1"/>
    <n v="0.34"/>
    <n v="0.34849999999999998"/>
    <n v="0.34849999999999998"/>
    <n v="0.46"/>
    <n v="8.9599999999999999E-2"/>
    <n v="52"/>
    <n v="130"/>
    <n v="182"/>
    <x v="0"/>
    <x v="0"/>
    <s v="Winter"/>
    <s v="Sunday"/>
    <x v="2"/>
    <n v="8"/>
    <n v="7"/>
    <n v="46"/>
    <n v="6"/>
    <n v="0.7142857142857143"/>
    <x v="2"/>
    <n v="1.9"/>
    <s v=""/>
    <s v="OK"/>
    <s v="No"/>
  </r>
  <r>
    <n v="822"/>
    <s v="Dataset 3"/>
    <n v="0"/>
    <n v="0"/>
    <n v="212"/>
    <x v="36"/>
    <n v="1"/>
    <n v="0"/>
    <n v="2"/>
    <x v="16"/>
    <b v="0"/>
    <n v="0"/>
    <n v="1"/>
    <n v="0.34"/>
    <n v="0.34849999999999998"/>
    <n v="0.34849999999999998"/>
    <n v="0.49"/>
    <n v="0.1045"/>
    <n v="42"/>
    <n v="115"/>
    <n v="157"/>
    <x v="0"/>
    <x v="0"/>
    <s v="Winter"/>
    <s v="Sunday"/>
    <x v="2"/>
    <n v="8"/>
    <n v="7"/>
    <n v="49"/>
    <n v="7"/>
    <n v="0.73248407643312097"/>
    <x v="2"/>
    <n v="1.9"/>
    <s v=""/>
    <s v="OK"/>
    <s v="No"/>
  </r>
  <r>
    <n v="823"/>
    <s v="Dataset 3"/>
    <n v="0"/>
    <n v="0"/>
    <n v="213"/>
    <x v="36"/>
    <n v="1"/>
    <n v="0"/>
    <n v="2"/>
    <x v="17"/>
    <b v="0"/>
    <n v="0"/>
    <n v="1"/>
    <n v="0.34"/>
    <n v="0.36359999999999998"/>
    <n v="0.36359999999999998"/>
    <n v="0.46"/>
    <n v="0"/>
    <n v="24"/>
    <n v="97"/>
    <n v="121"/>
    <x v="0"/>
    <x v="0"/>
    <s v="Winter"/>
    <s v="Sunday"/>
    <x v="2"/>
    <n v="8"/>
    <n v="8"/>
    <n v="46"/>
    <n v="0"/>
    <n v="0.80165289256198347"/>
    <x v="2"/>
    <n v="1.42"/>
    <s v=""/>
    <s v="OK"/>
    <s v="No"/>
  </r>
  <r>
    <n v="824"/>
    <s v="Dataset 3"/>
    <n v="0"/>
    <n v="0"/>
    <n v="214"/>
    <x v="36"/>
    <n v="1"/>
    <n v="0"/>
    <n v="2"/>
    <x v="18"/>
    <b v="0"/>
    <n v="0"/>
    <n v="1"/>
    <n v="0.3"/>
    <n v="0.30299999999999999"/>
    <n v="0.30299999999999999"/>
    <n v="0.56000000000000005"/>
    <n v="0.16420000000000001"/>
    <n v="13"/>
    <n v="65"/>
    <n v="78"/>
    <x v="0"/>
    <x v="0"/>
    <s v="Winter"/>
    <s v="Sunday"/>
    <x v="3"/>
    <n v="6.1"/>
    <n v="4"/>
    <n v="56"/>
    <n v="11"/>
    <n v="0.83333333333333337"/>
    <x v="0"/>
    <n v="0.69"/>
    <s v=""/>
    <s v="OK"/>
    <s v="No"/>
  </r>
  <r>
    <n v="825"/>
    <s v="Dataset 3"/>
    <n v="0"/>
    <n v="0"/>
    <n v="215"/>
    <x v="36"/>
    <n v="1"/>
    <n v="0"/>
    <n v="2"/>
    <x v="19"/>
    <b v="0"/>
    <n v="0"/>
    <n v="1"/>
    <n v="0.28000000000000003"/>
    <n v="0.28789999999999999"/>
    <n v="0.28789999999999999"/>
    <n v="0.61"/>
    <n v="0.1343"/>
    <n v="1"/>
    <n v="20"/>
    <n v="21"/>
    <x v="0"/>
    <x v="0"/>
    <s v="Winter"/>
    <s v="Sunday"/>
    <x v="3"/>
    <n v="5.2"/>
    <n v="3"/>
    <n v="61"/>
    <n v="9"/>
    <n v="0.95238095238095233"/>
    <x v="0"/>
    <n v="-1.72"/>
    <s v=""/>
    <s v="OK"/>
    <s v="No"/>
  </r>
  <r>
    <n v="826"/>
    <s v="Dataset 3"/>
    <n v="0"/>
    <n v="0"/>
    <n v="216"/>
    <x v="36"/>
    <n v="1"/>
    <n v="0"/>
    <n v="2"/>
    <x v="20"/>
    <b v="0"/>
    <n v="0"/>
    <n v="1"/>
    <n v="0.28000000000000003"/>
    <n v="0.28789999999999999"/>
    <n v="0.28789999999999999"/>
    <n v="0.61"/>
    <n v="0.1045"/>
    <n v="5"/>
    <n v="21"/>
    <n v="26"/>
    <x v="0"/>
    <x v="0"/>
    <s v="Winter"/>
    <s v="Sunday"/>
    <x v="3"/>
    <n v="5.2"/>
    <n v="3"/>
    <n v="61"/>
    <n v="7"/>
    <n v="0.80769230769230771"/>
    <x v="0"/>
    <n v="-1.1299999999999999"/>
    <s v=""/>
    <s v="OK"/>
    <s v="No"/>
  </r>
  <r>
    <n v="827"/>
    <s v="Dataset 3"/>
    <n v="0"/>
    <n v="0"/>
    <n v="217"/>
    <x v="36"/>
    <n v="1"/>
    <n v="0"/>
    <n v="2"/>
    <x v="21"/>
    <b v="0"/>
    <n v="0"/>
    <n v="1"/>
    <n v="0.26"/>
    <n v="0.30299999999999999"/>
    <n v="0.30299999999999999"/>
    <n v="0.6"/>
    <n v="0"/>
    <n v="5"/>
    <n v="22"/>
    <n v="27"/>
    <x v="0"/>
    <x v="0"/>
    <s v="Winter"/>
    <s v="Sunday"/>
    <x v="3"/>
    <n v="4.2"/>
    <n v="4"/>
    <n v="60"/>
    <n v="0"/>
    <n v="0.81481481481481477"/>
    <x v="0"/>
    <n v="-0.79"/>
    <s v=""/>
    <s v="OK"/>
    <s v="No"/>
  </r>
  <r>
    <n v="828"/>
    <s v="Dataset 3"/>
    <n v="0"/>
    <n v="0"/>
    <n v="218"/>
    <x v="36"/>
    <n v="1"/>
    <n v="0"/>
    <n v="2"/>
    <x v="22"/>
    <b v="0"/>
    <n v="0"/>
    <n v="1"/>
    <n v="0.26"/>
    <n v="0.30299999999999999"/>
    <n v="0.30299999999999999"/>
    <n v="0.6"/>
    <n v="0"/>
    <n v="5"/>
    <n v="57"/>
    <n v="62"/>
    <x v="0"/>
    <x v="0"/>
    <s v="Winter"/>
    <s v="Sunday"/>
    <x v="3"/>
    <n v="4.2"/>
    <n v="4"/>
    <n v="60"/>
    <n v="0"/>
    <n v="0.91935483870967738"/>
    <x v="0"/>
    <n v="2.34"/>
    <s v=""/>
    <s v="OK"/>
    <s v="No"/>
  </r>
  <r>
    <n v="829"/>
    <s v="Dataset 3"/>
    <n v="0"/>
    <n v="0"/>
    <n v="219"/>
    <x v="36"/>
    <n v="1"/>
    <n v="0"/>
    <n v="2"/>
    <x v="23"/>
    <b v="0"/>
    <n v="0"/>
    <n v="1"/>
    <n v="0.24"/>
    <n v="0.28789999999999999"/>
    <n v="0.28789999999999999"/>
    <n v="0.65"/>
    <n v="0"/>
    <n v="4"/>
    <n v="26"/>
    <n v="30"/>
    <x v="0"/>
    <x v="0"/>
    <s v="Winter"/>
    <s v="Sunday"/>
    <x v="3"/>
    <n v="3.3"/>
    <n v="3"/>
    <n v="65"/>
    <n v="0"/>
    <n v="0.8666666666666667"/>
    <x v="0"/>
    <n v="0.22"/>
    <s v=""/>
    <s v="OK"/>
    <s v="No"/>
  </r>
  <r>
    <n v="830"/>
    <s v="Dataset 3"/>
    <n v="0"/>
    <n v="0"/>
    <n v="220"/>
    <x v="37"/>
    <n v="1"/>
    <n v="0"/>
    <n v="2"/>
    <x v="0"/>
    <b v="0"/>
    <n v="1"/>
    <n v="1"/>
    <n v="0.24"/>
    <n v="0.28789999999999999"/>
    <n v="0.28789999999999999"/>
    <n v="0.65"/>
    <n v="0"/>
    <n v="1"/>
    <n v="14"/>
    <n v="15"/>
    <x v="1"/>
    <x v="0"/>
    <s v="Winter"/>
    <s v="Monday"/>
    <x v="0"/>
    <n v="3.3"/>
    <n v="3"/>
    <n v="65"/>
    <n v="0"/>
    <n v="0.93333333333333335"/>
    <x v="1"/>
    <n v="0.94"/>
    <s v=""/>
    <s v="OK"/>
    <s v="No"/>
  </r>
  <r>
    <n v="831"/>
    <s v="Dataset 3"/>
    <n v="0"/>
    <n v="0"/>
    <n v="221"/>
    <x v="37"/>
    <n v="1"/>
    <n v="0"/>
    <n v="2"/>
    <x v="1"/>
    <b v="0"/>
    <n v="1"/>
    <n v="1"/>
    <n v="0.22"/>
    <n v="0.2727"/>
    <n v="0.2727"/>
    <n v="0.75"/>
    <n v="0"/>
    <n v="1"/>
    <n v="4"/>
    <n v="5"/>
    <x v="1"/>
    <x v="0"/>
    <s v="Winter"/>
    <s v="Monday"/>
    <x v="0"/>
    <n v="2.2999999999999998"/>
    <n v="2"/>
    <n v="75"/>
    <n v="0"/>
    <n v="0.8"/>
    <x v="1"/>
    <n v="0.14000000000000001"/>
    <s v=""/>
    <s v="OK"/>
    <s v="No"/>
  </r>
  <r>
    <n v="832"/>
    <s v="Dataset 3"/>
    <n v="0"/>
    <n v="0"/>
    <n v="222"/>
    <x v="37"/>
    <n v="1"/>
    <n v="0"/>
    <n v="2"/>
    <x v="2"/>
    <b v="0"/>
    <n v="1"/>
    <n v="1"/>
    <n v="0.2"/>
    <n v="0.2576"/>
    <n v="0.2576"/>
    <n v="0.8"/>
    <n v="0"/>
    <n v="0"/>
    <n v="3"/>
    <n v="3"/>
    <x v="1"/>
    <x v="0"/>
    <s v="Winter"/>
    <s v="Monday"/>
    <x v="0"/>
    <n v="1.4"/>
    <n v="1"/>
    <n v="80"/>
    <n v="0"/>
    <n v="1"/>
    <x v="1"/>
    <n v="0.33"/>
    <s v=""/>
    <s v="OK"/>
    <s v="No"/>
  </r>
  <r>
    <n v="833"/>
    <s v="Dataset 3"/>
    <n v="0"/>
    <n v="0"/>
    <n v="223"/>
    <x v="37"/>
    <n v="1"/>
    <n v="0"/>
    <n v="2"/>
    <x v="3"/>
    <b v="0"/>
    <n v="1"/>
    <n v="1"/>
    <n v="0.2"/>
    <n v="0.2576"/>
    <n v="0.2576"/>
    <n v="0.86"/>
    <n v="0"/>
    <n v="0"/>
    <n v="1"/>
    <n v="1"/>
    <x v="1"/>
    <x v="0"/>
    <s v="Winter"/>
    <s v="Monday"/>
    <x v="0"/>
    <n v="1.4"/>
    <n v="1"/>
    <n v="86"/>
    <n v="0"/>
    <n v="1"/>
    <x v="1"/>
    <n v="-0.61"/>
    <s v=""/>
    <s v="OK"/>
    <s v="No"/>
  </r>
  <r>
    <n v="834"/>
    <s v="Dataset 3"/>
    <n v="0"/>
    <n v="0"/>
    <n v="224"/>
    <x v="37"/>
    <n v="1"/>
    <n v="0"/>
    <n v="2"/>
    <x v="4"/>
    <b v="0"/>
    <n v="1"/>
    <n v="1"/>
    <n v="0.2"/>
    <n v="0.2576"/>
    <n v="0.2576"/>
    <n v="0.86"/>
    <n v="0"/>
    <n v="1"/>
    <n v="1"/>
    <n v="2"/>
    <x v="1"/>
    <x v="0"/>
    <s v="Winter"/>
    <s v="Monday"/>
    <x v="0"/>
    <n v="1.4"/>
    <n v="1"/>
    <n v="86"/>
    <n v="0"/>
    <n v="0.5"/>
    <x v="1"/>
    <n v="0.31"/>
    <s v=""/>
    <s v="OK"/>
    <s v="No"/>
  </r>
  <r>
    <n v="835"/>
    <s v="Dataset 3"/>
    <n v="0"/>
    <n v="0"/>
    <n v="225"/>
    <x v="37"/>
    <n v="1"/>
    <n v="0"/>
    <n v="2"/>
    <x v="5"/>
    <b v="0"/>
    <n v="1"/>
    <n v="1"/>
    <n v="0.2"/>
    <n v="0.2576"/>
    <n v="0.2576"/>
    <n v="0.86"/>
    <n v="0"/>
    <n v="1"/>
    <n v="9"/>
    <n v="10"/>
    <x v="1"/>
    <x v="0"/>
    <s v="Winter"/>
    <s v="Monday"/>
    <x v="0"/>
    <n v="1.4"/>
    <n v="1"/>
    <n v="86"/>
    <n v="0"/>
    <n v="0.9"/>
    <x v="1"/>
    <n v="2.2599999999999998"/>
    <s v=""/>
    <s v="OK"/>
    <s v="No"/>
  </r>
  <r>
    <n v="836"/>
    <s v="Dataset 3"/>
    <n v="0"/>
    <n v="0"/>
    <n v="226"/>
    <x v="37"/>
    <n v="1"/>
    <n v="0"/>
    <n v="2"/>
    <x v="6"/>
    <b v="0"/>
    <n v="1"/>
    <n v="1"/>
    <n v="0.18"/>
    <n v="0.2424"/>
    <n v="0.2424"/>
    <n v="0.93"/>
    <n v="0"/>
    <n v="1"/>
    <n v="29"/>
    <n v="30"/>
    <x v="1"/>
    <x v="0"/>
    <s v="Winter"/>
    <s v="Monday"/>
    <x v="1"/>
    <n v="0.5"/>
    <n v="0"/>
    <n v="93"/>
    <n v="0"/>
    <n v="0.96666666666666667"/>
    <x v="0"/>
    <n v="0.21"/>
    <s v=""/>
    <s v="OK"/>
    <s v="No"/>
  </r>
  <r>
    <n v="837"/>
    <s v="Dataset 3"/>
    <n v="0"/>
    <n v="0"/>
    <n v="227"/>
    <x v="37"/>
    <n v="1"/>
    <n v="0"/>
    <n v="2"/>
    <x v="7"/>
    <b v="0"/>
    <n v="1"/>
    <n v="1"/>
    <n v="0.18"/>
    <n v="0.2424"/>
    <n v="0.2424"/>
    <n v="0.86"/>
    <n v="0"/>
    <n v="6"/>
    <n v="89"/>
    <n v="95"/>
    <x v="1"/>
    <x v="0"/>
    <s v="Winter"/>
    <s v="Monday"/>
    <x v="1"/>
    <n v="0.5"/>
    <n v="0"/>
    <n v="86"/>
    <n v="0"/>
    <n v="0.93684210526315792"/>
    <x v="2"/>
    <n v="0.76"/>
    <s v=""/>
    <s v="OK"/>
    <s v="No"/>
  </r>
  <r>
    <n v="838"/>
    <s v="Dataset 3"/>
    <n v="0"/>
    <n v="0"/>
    <n v="228"/>
    <x v="37"/>
    <n v="1"/>
    <n v="0"/>
    <n v="2"/>
    <x v="8"/>
    <b v="0"/>
    <n v="1"/>
    <n v="2"/>
    <n v="0.16"/>
    <n v="0.2273"/>
    <n v="0.2273"/>
    <n v="1"/>
    <n v="0"/>
    <n v="7"/>
    <n v="223"/>
    <n v="230"/>
    <x v="1"/>
    <x v="1"/>
    <s v="Winter"/>
    <s v="Monday"/>
    <x v="1"/>
    <n v="-0.5"/>
    <n v="-1"/>
    <n v="100"/>
    <n v="0"/>
    <n v="0.9695652173913043"/>
    <x v="2"/>
    <n v="1.03"/>
    <s v=""/>
    <s v="OK"/>
    <s v="No"/>
  </r>
  <r>
    <n v="839"/>
    <s v="Dataset 3"/>
    <n v="0"/>
    <n v="0"/>
    <n v="229"/>
    <x v="37"/>
    <n v="1"/>
    <n v="0"/>
    <n v="2"/>
    <x v="9"/>
    <b v="0"/>
    <n v="1"/>
    <n v="1"/>
    <n v="0.22"/>
    <n v="0.2727"/>
    <n v="0.2727"/>
    <n v="0.8"/>
    <n v="0"/>
    <n v="3"/>
    <n v="115"/>
    <n v="118"/>
    <x v="1"/>
    <x v="0"/>
    <s v="Winter"/>
    <s v="Monday"/>
    <x v="1"/>
    <n v="2.2999999999999998"/>
    <n v="2"/>
    <n v="80"/>
    <n v="0"/>
    <n v="0.97457627118644063"/>
    <x v="2"/>
    <n v="-0.01"/>
    <s v=""/>
    <s v="OK"/>
    <s v="No"/>
  </r>
  <r>
    <n v="840"/>
    <s v="Dataset 3"/>
    <n v="0"/>
    <n v="0"/>
    <n v="230"/>
    <x v="37"/>
    <n v="1"/>
    <n v="0"/>
    <n v="2"/>
    <x v="10"/>
    <b v="0"/>
    <n v="1"/>
    <n v="1"/>
    <n v="0.24"/>
    <n v="0.2576"/>
    <n v="0.2576"/>
    <n v="0.75"/>
    <n v="0.1045"/>
    <n v="6"/>
    <n v="49"/>
    <n v="55"/>
    <x v="1"/>
    <x v="0"/>
    <s v="Winter"/>
    <s v="Monday"/>
    <x v="1"/>
    <n v="3.3"/>
    <n v="1"/>
    <n v="75"/>
    <n v="7"/>
    <n v="0.89090909090909087"/>
    <x v="0"/>
    <n v="0.61"/>
    <s v=""/>
    <s v="OK"/>
    <s v="No"/>
  </r>
  <r>
    <n v="841"/>
    <s v="Dataset 3"/>
    <n v="0"/>
    <n v="0"/>
    <n v="231"/>
    <x v="37"/>
    <n v="1"/>
    <n v="0"/>
    <n v="2"/>
    <x v="11"/>
    <b v="0"/>
    <n v="1"/>
    <n v="1"/>
    <n v="0.3"/>
    <n v="0.31819999999999998"/>
    <n v="0.31819999999999998"/>
    <n v="0.65"/>
    <n v="8.9599999999999999E-2"/>
    <n v="11"/>
    <n v="36"/>
    <n v="47"/>
    <x v="1"/>
    <x v="0"/>
    <s v="Winter"/>
    <s v="Monday"/>
    <x v="1"/>
    <n v="6.1"/>
    <n v="5"/>
    <n v="65"/>
    <n v="6"/>
    <n v="0.76595744680851063"/>
    <x v="0"/>
    <n v="-0.28000000000000003"/>
    <s v=""/>
    <s v="OK"/>
    <s v="No"/>
  </r>
  <r>
    <n v="842"/>
    <s v="Dataset 3"/>
    <n v="0"/>
    <n v="0"/>
    <n v="232"/>
    <x v="37"/>
    <n v="1"/>
    <n v="0"/>
    <n v="2"/>
    <x v="12"/>
    <b v="0"/>
    <n v="1"/>
    <n v="2"/>
    <n v="0.32"/>
    <n v="0.34849999999999998"/>
    <n v="0.34849999999999998"/>
    <n v="0.62"/>
    <n v="0"/>
    <n v="7"/>
    <n v="59"/>
    <n v="66"/>
    <x v="1"/>
    <x v="1"/>
    <s v="Winter"/>
    <s v="Monday"/>
    <x v="2"/>
    <n v="7"/>
    <n v="7"/>
    <n v="62"/>
    <n v="0"/>
    <n v="0.89393939393939392"/>
    <x v="0"/>
    <n v="0.1"/>
    <s v=""/>
    <s v="OK"/>
    <s v="No"/>
  </r>
  <r>
    <n v="843"/>
    <s v="Dataset 3"/>
    <n v="0"/>
    <n v="0"/>
    <n v="233"/>
    <x v="37"/>
    <n v="1"/>
    <n v="0"/>
    <n v="2"/>
    <x v="13"/>
    <b v="0"/>
    <n v="1"/>
    <n v="2"/>
    <n v="0.36"/>
    <n v="0.36359999999999998"/>
    <n v="0.36359999999999998"/>
    <n v="0.56999999999999995"/>
    <n v="8.9599999999999999E-2"/>
    <n v="10"/>
    <n v="54"/>
    <n v="64"/>
    <x v="1"/>
    <x v="1"/>
    <s v="Winter"/>
    <s v="Monday"/>
    <x v="2"/>
    <n v="8.9"/>
    <n v="8"/>
    <n v="57"/>
    <n v="6"/>
    <n v="0.84375"/>
    <x v="0"/>
    <n v="-0.11"/>
    <s v=""/>
    <s v="OK"/>
    <s v="No"/>
  </r>
  <r>
    <n v="844"/>
    <s v="Dataset 3"/>
    <n v="0"/>
    <n v="0"/>
    <n v="234"/>
    <x v="37"/>
    <n v="1"/>
    <n v="0"/>
    <n v="2"/>
    <x v="14"/>
    <b v="0"/>
    <n v="1"/>
    <n v="2"/>
    <n v="0.36"/>
    <n v="0.36359999999999998"/>
    <n v="0.36359999999999998"/>
    <n v="0.56999999999999995"/>
    <n v="8.9599999999999999E-2"/>
    <n v="8"/>
    <n v="52"/>
    <n v="60"/>
    <x v="1"/>
    <x v="1"/>
    <s v="Winter"/>
    <s v="Monday"/>
    <x v="2"/>
    <n v="8.9"/>
    <n v="8"/>
    <n v="57"/>
    <n v="6"/>
    <n v="0.8666666666666667"/>
    <x v="0"/>
    <n v="0.02"/>
    <s v=""/>
    <s v="OK"/>
    <s v="No"/>
  </r>
  <r>
    <n v="845"/>
    <s v="Dataset 3"/>
    <n v="0"/>
    <n v="0"/>
    <n v="235"/>
    <x v="37"/>
    <n v="1"/>
    <n v="0"/>
    <n v="2"/>
    <x v="15"/>
    <b v="0"/>
    <n v="1"/>
    <n v="2"/>
    <n v="0.38"/>
    <n v="0.39389999999999997"/>
    <n v="0.39389999999999997"/>
    <n v="0.54"/>
    <n v="8.9599999999999999E-2"/>
    <n v="4"/>
    <n v="46"/>
    <n v="50"/>
    <x v="1"/>
    <x v="1"/>
    <s v="Winter"/>
    <s v="Monday"/>
    <x v="2"/>
    <n v="9.9"/>
    <n v="10"/>
    <n v="54"/>
    <n v="6"/>
    <n v="0.92"/>
    <x v="0"/>
    <n v="-0.74"/>
    <s v=""/>
    <s v="OK"/>
    <s v="No"/>
  </r>
  <r>
    <n v="846"/>
    <s v="Dataset 3"/>
    <n v="0"/>
    <n v="0"/>
    <n v="236"/>
    <x v="37"/>
    <n v="1"/>
    <n v="0"/>
    <n v="2"/>
    <x v="16"/>
    <b v="0"/>
    <n v="1"/>
    <n v="2"/>
    <n v="0.36"/>
    <n v="0.34849999999999998"/>
    <n v="0.34849999999999998"/>
    <n v="0.56999999999999995"/>
    <n v="0.1343"/>
    <n v="16"/>
    <n v="98"/>
    <n v="114"/>
    <x v="1"/>
    <x v="1"/>
    <s v="Winter"/>
    <s v="Monday"/>
    <x v="2"/>
    <n v="8.9"/>
    <n v="7"/>
    <n v="57"/>
    <n v="9"/>
    <n v="0.85964912280701755"/>
    <x v="2"/>
    <n v="1.48"/>
    <s v=""/>
    <s v="OK"/>
    <s v="No"/>
  </r>
  <r>
    <n v="847"/>
    <s v="Dataset 3"/>
    <n v="0"/>
    <n v="0"/>
    <n v="237"/>
    <x v="37"/>
    <n v="1"/>
    <n v="0"/>
    <n v="2"/>
    <x v="17"/>
    <b v="0"/>
    <n v="1"/>
    <n v="2"/>
    <n v="0.32"/>
    <n v="0.31819999999999998"/>
    <n v="0.31819999999999998"/>
    <n v="0.7"/>
    <n v="0.16420000000000001"/>
    <n v="9"/>
    <n v="207"/>
    <n v="216"/>
    <x v="1"/>
    <x v="1"/>
    <s v="Winter"/>
    <s v="Monday"/>
    <x v="2"/>
    <n v="7"/>
    <n v="5"/>
    <n v="70"/>
    <n v="11"/>
    <n v="0.95833333333333337"/>
    <x v="2"/>
    <n v="1.1499999999999999"/>
    <s v=""/>
    <s v="OK"/>
    <s v="No"/>
  </r>
  <r>
    <n v="848"/>
    <s v="Dataset 3"/>
    <n v="0"/>
    <n v="0"/>
    <n v="238"/>
    <x v="37"/>
    <n v="1"/>
    <n v="0"/>
    <n v="2"/>
    <x v="18"/>
    <b v="0"/>
    <n v="1"/>
    <n v="2"/>
    <n v="0.34"/>
    <n v="0.33329999999999999"/>
    <n v="0.33329999999999999"/>
    <n v="0.66"/>
    <n v="0.1343"/>
    <n v="5"/>
    <n v="170"/>
    <n v="175"/>
    <x v="1"/>
    <x v="1"/>
    <s v="Winter"/>
    <s v="Monday"/>
    <x v="3"/>
    <n v="8"/>
    <n v="6"/>
    <n v="66"/>
    <n v="9"/>
    <n v="0.97142857142857142"/>
    <x v="2"/>
    <n v="0.79"/>
    <s v=""/>
    <s v="OK"/>
    <s v="No"/>
  </r>
  <r>
    <n v="849"/>
    <s v="Dataset 3"/>
    <n v="0"/>
    <n v="0"/>
    <n v="239"/>
    <x v="37"/>
    <n v="1"/>
    <n v="0"/>
    <n v="2"/>
    <x v="19"/>
    <b v="0"/>
    <n v="1"/>
    <n v="2"/>
    <n v="0.32"/>
    <n v="0.34849999999999998"/>
    <n v="0.34849999999999998"/>
    <n v="0.7"/>
    <n v="0"/>
    <n v="5"/>
    <n v="123"/>
    <n v="128"/>
    <x v="1"/>
    <x v="1"/>
    <s v="Winter"/>
    <s v="Monday"/>
    <x v="3"/>
    <n v="7"/>
    <n v="7"/>
    <n v="70"/>
    <n v="0"/>
    <n v="0.9609375"/>
    <x v="2"/>
    <n v="1.22"/>
    <s v=""/>
    <s v="OK"/>
    <s v="No"/>
  </r>
  <r>
    <n v="850"/>
    <s v="Dataset 3"/>
    <n v="0"/>
    <n v="0"/>
    <n v="240"/>
    <x v="37"/>
    <n v="1"/>
    <n v="0"/>
    <n v="2"/>
    <x v="20"/>
    <b v="0"/>
    <n v="1"/>
    <n v="2"/>
    <n v="0.32"/>
    <n v="0.33329999999999999"/>
    <n v="0.33329999999999999"/>
    <n v="0.7"/>
    <n v="0.1045"/>
    <n v="6"/>
    <n v="82"/>
    <n v="88"/>
    <x v="1"/>
    <x v="1"/>
    <s v="Winter"/>
    <s v="Monday"/>
    <x v="3"/>
    <n v="7"/>
    <n v="6"/>
    <n v="70"/>
    <n v="7"/>
    <n v="0.93181818181818177"/>
    <x v="2"/>
    <n v="0.68"/>
    <s v=""/>
    <s v="OK"/>
    <s v="No"/>
  </r>
  <r>
    <n v="851"/>
    <s v="Dataset 3"/>
    <n v="0"/>
    <n v="0"/>
    <n v="241"/>
    <x v="37"/>
    <n v="1"/>
    <n v="0"/>
    <n v="2"/>
    <x v="21"/>
    <b v="0"/>
    <n v="1"/>
    <n v="1"/>
    <n v="0.32"/>
    <n v="0.34849999999999998"/>
    <n v="0.34849999999999998"/>
    <n v="0.7"/>
    <n v="0"/>
    <n v="3"/>
    <n v="75"/>
    <n v="78"/>
    <x v="1"/>
    <x v="0"/>
    <s v="Winter"/>
    <s v="Monday"/>
    <x v="3"/>
    <n v="7"/>
    <n v="7"/>
    <n v="70"/>
    <n v="0"/>
    <n v="0.96153846153846156"/>
    <x v="0"/>
    <n v="1.98"/>
    <s v=""/>
    <s v="OK"/>
    <s v="No"/>
  </r>
  <r>
    <n v="852"/>
    <s v="Dataset 3"/>
    <n v="0"/>
    <n v="0"/>
    <n v="242"/>
    <x v="37"/>
    <n v="1"/>
    <n v="0"/>
    <n v="2"/>
    <x v="22"/>
    <b v="0"/>
    <n v="1"/>
    <n v="1"/>
    <n v="0.28000000000000003"/>
    <n v="0.30299999999999999"/>
    <n v="0.30299999999999999"/>
    <n v="0.81"/>
    <n v="8.9599999999999999E-2"/>
    <n v="3"/>
    <n v="34"/>
    <n v="37"/>
    <x v="1"/>
    <x v="0"/>
    <s v="Winter"/>
    <s v="Monday"/>
    <x v="3"/>
    <n v="5.2"/>
    <n v="4"/>
    <n v="81"/>
    <n v="6"/>
    <n v="0.91891891891891897"/>
    <x v="0"/>
    <n v="-0.1"/>
    <s v=""/>
    <s v="OK"/>
    <s v="No"/>
  </r>
  <r>
    <n v="853"/>
    <s v="Dataset 3"/>
    <n v="0"/>
    <n v="0"/>
    <n v="243"/>
    <x v="37"/>
    <n v="1"/>
    <n v="0"/>
    <n v="2"/>
    <x v="23"/>
    <b v="0"/>
    <n v="1"/>
    <n v="2"/>
    <n v="0.3"/>
    <n v="0.33329999999999999"/>
    <n v="0.33329999999999999"/>
    <n v="0.81"/>
    <n v="0"/>
    <n v="6"/>
    <n v="19"/>
    <n v="25"/>
    <x v="1"/>
    <x v="1"/>
    <s v="Winter"/>
    <s v="Monday"/>
    <x v="3"/>
    <n v="6.1"/>
    <n v="6"/>
    <n v="81"/>
    <n v="0"/>
    <n v="0.76"/>
    <x v="0"/>
    <n v="0.06"/>
    <s v=""/>
    <s v="OK"/>
    <s v="No"/>
  </r>
  <r>
    <n v="854"/>
    <s v="Dataset 3"/>
    <n v="0"/>
    <n v="0"/>
    <n v="244"/>
    <x v="38"/>
    <n v="1"/>
    <n v="0"/>
    <n v="2"/>
    <x v="0"/>
    <b v="0"/>
    <n v="2"/>
    <n v="2"/>
    <n v="0.28000000000000003"/>
    <n v="0.31819999999999998"/>
    <n v="0.31819999999999998"/>
    <n v="0.87"/>
    <n v="0"/>
    <n v="4"/>
    <n v="6"/>
    <n v="10"/>
    <x v="1"/>
    <x v="1"/>
    <s v="Winter"/>
    <s v="Tuesday"/>
    <x v="0"/>
    <n v="5.2"/>
    <n v="5"/>
    <n v="87"/>
    <n v="0"/>
    <n v="0.6"/>
    <x v="1"/>
    <n v="-0.1"/>
    <s v=""/>
    <s v="OK"/>
    <s v="No"/>
  </r>
  <r>
    <n v="855"/>
    <s v="Dataset 3"/>
    <n v="0"/>
    <n v="0"/>
    <n v="245"/>
    <x v="38"/>
    <n v="1"/>
    <n v="0"/>
    <n v="2"/>
    <x v="1"/>
    <b v="0"/>
    <n v="2"/>
    <n v="2"/>
    <n v="0.28000000000000003"/>
    <n v="0.31819999999999998"/>
    <n v="0.31819999999999998"/>
    <n v="0.87"/>
    <n v="0"/>
    <n v="0"/>
    <n v="4"/>
    <n v="4"/>
    <x v="1"/>
    <x v="1"/>
    <s v="Winter"/>
    <s v="Tuesday"/>
    <x v="0"/>
    <n v="5.2"/>
    <n v="5"/>
    <n v="87"/>
    <n v="0"/>
    <n v="1"/>
    <x v="1"/>
    <n v="-0.35"/>
    <s v=""/>
    <s v="OK"/>
    <s v="No"/>
  </r>
  <r>
    <n v="856"/>
    <s v="Dataset 3"/>
    <n v="0"/>
    <n v="0"/>
    <n v="246"/>
    <x v="38"/>
    <n v="1"/>
    <n v="0"/>
    <n v="2"/>
    <x v="2"/>
    <b v="0"/>
    <n v="2"/>
    <n v="2"/>
    <n v="0.26"/>
    <n v="0.2727"/>
    <n v="0.2727"/>
    <n v="0.93"/>
    <n v="0.1045"/>
    <n v="1"/>
    <n v="1"/>
    <n v="2"/>
    <x v="1"/>
    <x v="1"/>
    <s v="Winter"/>
    <s v="Tuesday"/>
    <x v="0"/>
    <n v="4.2"/>
    <n v="2"/>
    <n v="93"/>
    <n v="7"/>
    <n v="0.5"/>
    <x v="1"/>
    <n v="-0.24"/>
    <s v=""/>
    <s v="OK"/>
    <s v="No"/>
  </r>
  <r>
    <n v="857"/>
    <s v="Dataset 3"/>
    <n v="0"/>
    <n v="0"/>
    <n v="247"/>
    <x v="38"/>
    <n v="1"/>
    <n v="0"/>
    <n v="2"/>
    <x v="3"/>
    <b v="0"/>
    <n v="2"/>
    <n v="3"/>
    <n v="0.28000000000000003"/>
    <n v="0.2727"/>
    <n v="0.2727"/>
    <n v="0.93"/>
    <n v="0.16420000000000001"/>
    <n v="0"/>
    <n v="1"/>
    <n v="1"/>
    <x v="1"/>
    <x v="2"/>
    <s v="Winter"/>
    <s v="Tuesday"/>
    <x v="0"/>
    <n v="5.2"/>
    <n v="2"/>
    <n v="93"/>
    <n v="11"/>
    <n v="1"/>
    <x v="1"/>
    <n v="-0.61"/>
    <s v=""/>
    <s v="OK"/>
    <s v="No"/>
  </r>
  <r>
    <n v="858"/>
    <s v="Dataset 3"/>
    <n v="0"/>
    <n v="0"/>
    <n v="248"/>
    <x v="38"/>
    <n v="1"/>
    <n v="0"/>
    <n v="2"/>
    <x v="4"/>
    <b v="0"/>
    <n v="2"/>
    <n v="1"/>
    <n v="0.26"/>
    <n v="0.2576"/>
    <n v="0.2576"/>
    <n v="0.93"/>
    <n v="0.16420000000000001"/>
    <n v="0"/>
    <n v="3"/>
    <n v="3"/>
    <x v="1"/>
    <x v="0"/>
    <s v="Winter"/>
    <s v="Tuesday"/>
    <x v="0"/>
    <n v="4.2"/>
    <n v="1"/>
    <n v="93"/>
    <n v="11"/>
    <n v="1"/>
    <x v="1"/>
    <n v="1.43"/>
    <s v=""/>
    <s v="OK"/>
    <s v="No"/>
  </r>
  <r>
    <n v="859"/>
    <s v="Dataset 3"/>
    <n v="0"/>
    <n v="0"/>
    <n v="249"/>
    <x v="38"/>
    <n v="1"/>
    <n v="0"/>
    <n v="2"/>
    <x v="5"/>
    <b v="0"/>
    <n v="2"/>
    <n v="1"/>
    <n v="0.26"/>
    <n v="0.2273"/>
    <n v="0.2273"/>
    <n v="0.81"/>
    <n v="0.32840000000000003"/>
    <n v="0"/>
    <n v="2"/>
    <n v="2"/>
    <x v="1"/>
    <x v="0"/>
    <s v="Winter"/>
    <s v="Tuesday"/>
    <x v="0"/>
    <n v="4.2"/>
    <n v="-1"/>
    <n v="81"/>
    <n v="22"/>
    <n v="1"/>
    <x v="1"/>
    <n v="-1.26"/>
    <s v=""/>
    <s v="OK"/>
    <s v="No"/>
  </r>
  <r>
    <n v="860"/>
    <s v="Dataset 3"/>
    <n v="0"/>
    <n v="0"/>
    <n v="250"/>
    <x v="38"/>
    <n v="1"/>
    <n v="0"/>
    <n v="2"/>
    <x v="6"/>
    <b v="0"/>
    <n v="2"/>
    <n v="1"/>
    <n v="0.26"/>
    <n v="0.2273"/>
    <n v="0.2273"/>
    <n v="0.7"/>
    <n v="0.32840000000000003"/>
    <n v="0"/>
    <n v="39"/>
    <n v="39"/>
    <x v="1"/>
    <x v="0"/>
    <s v="Winter"/>
    <s v="Tuesday"/>
    <x v="1"/>
    <n v="4.2"/>
    <n v="-1"/>
    <n v="70"/>
    <n v="22"/>
    <n v="1"/>
    <x v="0"/>
    <n v="1.25"/>
    <s v=""/>
    <s v="OK"/>
    <s v="No"/>
  </r>
  <r>
    <n v="861"/>
    <s v="Dataset 3"/>
    <n v="0"/>
    <n v="0"/>
    <n v="251"/>
    <x v="38"/>
    <n v="1"/>
    <n v="0"/>
    <n v="2"/>
    <x v="7"/>
    <b v="0"/>
    <n v="2"/>
    <n v="1"/>
    <n v="0.24"/>
    <n v="0.19700000000000001"/>
    <n v="0.19700000000000001"/>
    <n v="0.65"/>
    <n v="0.41789999999999999"/>
    <n v="3"/>
    <n v="97"/>
    <n v="100"/>
    <x v="1"/>
    <x v="0"/>
    <s v="Winter"/>
    <s v="Tuesday"/>
    <x v="1"/>
    <n v="3.3"/>
    <n v="-3"/>
    <n v="65"/>
    <n v="28"/>
    <n v="0.97"/>
    <x v="2"/>
    <n v="1.02"/>
    <s v=""/>
    <s v="OK"/>
    <s v="No"/>
  </r>
  <r>
    <n v="862"/>
    <s v="Dataset 3"/>
    <n v="0"/>
    <n v="0"/>
    <n v="252"/>
    <x v="38"/>
    <n v="1"/>
    <n v="0"/>
    <n v="2"/>
    <x v="8"/>
    <b v="0"/>
    <n v="2"/>
    <n v="1"/>
    <n v="0.24"/>
    <n v="0.19700000000000001"/>
    <n v="0.19700000000000001"/>
    <n v="0.56000000000000005"/>
    <n v="0.49249999999999999"/>
    <n v="7"/>
    <n v="236"/>
    <n v="243"/>
    <x v="1"/>
    <x v="0"/>
    <s v="Winter"/>
    <s v="Tuesday"/>
    <x v="1"/>
    <n v="3.3"/>
    <n v="-3"/>
    <n v="56"/>
    <n v="33"/>
    <n v="0.9711934156378601"/>
    <x v="2"/>
    <n v="1.36"/>
    <s v=""/>
    <s v="OK"/>
    <s v="No"/>
  </r>
  <r>
    <n v="863"/>
    <s v="Dataset 3"/>
    <n v="0"/>
    <n v="0"/>
    <n v="253"/>
    <x v="38"/>
    <n v="1"/>
    <n v="0"/>
    <n v="2"/>
    <x v="9"/>
    <b v="0"/>
    <n v="2"/>
    <n v="1"/>
    <n v="0.24"/>
    <n v="0.19700000000000001"/>
    <n v="0.19700000000000001"/>
    <n v="0.52"/>
    <n v="0.49249999999999999"/>
    <n v="7"/>
    <n v="128"/>
    <n v="135"/>
    <x v="1"/>
    <x v="0"/>
    <s v="Winter"/>
    <s v="Tuesday"/>
    <x v="1"/>
    <n v="3.3"/>
    <n v="-3"/>
    <n v="52"/>
    <n v="33"/>
    <n v="0.94814814814814818"/>
    <x v="2"/>
    <n v="0.75"/>
    <s v=""/>
    <s v="OK"/>
    <s v="No"/>
  </r>
  <r>
    <n v="864"/>
    <s v="Dataset 3"/>
    <n v="0"/>
    <n v="0"/>
    <n v="254"/>
    <x v="38"/>
    <n v="1"/>
    <n v="0"/>
    <n v="2"/>
    <x v="10"/>
    <b v="0"/>
    <n v="2"/>
    <n v="1"/>
    <n v="0.22"/>
    <n v="0.18179999999999999"/>
    <n v="0.18179999999999999"/>
    <n v="0.47"/>
    <n v="0.55220000000000002"/>
    <n v="4"/>
    <n v="44"/>
    <n v="48"/>
    <x v="1"/>
    <x v="0"/>
    <s v="Winter"/>
    <s v="Tuesday"/>
    <x v="1"/>
    <n v="2.2999999999999998"/>
    <n v="-4"/>
    <n v="47"/>
    <n v="37"/>
    <n v="0.91666666666666663"/>
    <x v="0"/>
    <n v="-0.08"/>
    <s v=""/>
    <s v="OK"/>
    <s v="No"/>
  </r>
  <r>
    <n v="865"/>
    <s v="Dataset 3"/>
    <n v="0"/>
    <n v="0"/>
    <n v="255"/>
    <x v="38"/>
    <n v="1"/>
    <n v="0"/>
    <n v="2"/>
    <x v="11"/>
    <b v="0"/>
    <n v="2"/>
    <n v="1"/>
    <n v="0.22"/>
    <n v="0.18179999999999999"/>
    <n v="0.18179999999999999"/>
    <n v="0.47"/>
    <n v="0.4627"/>
    <n v="1"/>
    <n v="49"/>
    <n v="50"/>
    <x v="1"/>
    <x v="0"/>
    <s v="Winter"/>
    <s v="Tuesday"/>
    <x v="1"/>
    <n v="2.2999999999999998"/>
    <n v="-4"/>
    <n v="47"/>
    <n v="31"/>
    <n v="0.98"/>
    <x v="0"/>
    <n v="-0.01"/>
    <s v=""/>
    <s v="OK"/>
    <s v="No"/>
  </r>
  <r>
    <n v="866"/>
    <s v="Dataset 3"/>
    <n v="0"/>
    <n v="0"/>
    <n v="256"/>
    <x v="38"/>
    <n v="1"/>
    <n v="0"/>
    <n v="2"/>
    <x v="12"/>
    <b v="0"/>
    <n v="2"/>
    <n v="1"/>
    <n v="0.24"/>
    <n v="0.19700000000000001"/>
    <n v="0.19700000000000001"/>
    <n v="0.38"/>
    <n v="0.49249999999999999"/>
    <n v="2"/>
    <n v="63"/>
    <n v="65"/>
    <x v="1"/>
    <x v="0"/>
    <s v="Winter"/>
    <s v="Tuesday"/>
    <x v="2"/>
    <n v="3.3"/>
    <n v="-3"/>
    <n v="38"/>
    <n v="33"/>
    <n v="0.96923076923076923"/>
    <x v="0"/>
    <n v="0.05"/>
    <s v=""/>
    <s v="OK"/>
    <s v="No"/>
  </r>
  <r>
    <n v="867"/>
    <s v="Dataset 3"/>
    <n v="0"/>
    <n v="0"/>
    <n v="257"/>
    <x v="38"/>
    <n v="1"/>
    <n v="0"/>
    <n v="2"/>
    <x v="13"/>
    <b v="0"/>
    <n v="2"/>
    <n v="2"/>
    <n v="0.24"/>
    <n v="0.19700000000000001"/>
    <n v="0.19700000000000001"/>
    <n v="0.32"/>
    <n v="0.44779999999999998"/>
    <n v="2"/>
    <n v="48"/>
    <n v="50"/>
    <x v="1"/>
    <x v="1"/>
    <s v="Winter"/>
    <s v="Tuesday"/>
    <x v="2"/>
    <n v="3.3"/>
    <n v="-3"/>
    <n v="32"/>
    <n v="30"/>
    <n v="0.96"/>
    <x v="0"/>
    <n v="-0.82"/>
    <s v=""/>
    <s v="OK"/>
    <s v="No"/>
  </r>
  <r>
    <n v="868"/>
    <s v="Dataset 3"/>
    <n v="0"/>
    <n v="0"/>
    <n v="258"/>
    <x v="38"/>
    <n v="1"/>
    <n v="0"/>
    <n v="2"/>
    <x v="14"/>
    <b v="0"/>
    <n v="2"/>
    <n v="1"/>
    <n v="0.22"/>
    <n v="0.19700000000000001"/>
    <n v="0.19700000000000001"/>
    <n v="0.37"/>
    <n v="0.41789999999999999"/>
    <n v="3"/>
    <n v="61"/>
    <n v="64"/>
    <x v="1"/>
    <x v="0"/>
    <s v="Winter"/>
    <s v="Tuesday"/>
    <x v="2"/>
    <n v="2.2999999999999998"/>
    <n v="-3"/>
    <n v="37"/>
    <n v="28"/>
    <n v="0.953125"/>
    <x v="0"/>
    <n v="0.27"/>
    <s v=""/>
    <s v="OK"/>
    <s v="No"/>
  </r>
  <r>
    <n v="869"/>
    <s v="Dataset 3"/>
    <n v="0"/>
    <n v="0"/>
    <n v="259"/>
    <x v="38"/>
    <n v="1"/>
    <n v="0"/>
    <n v="2"/>
    <x v="15"/>
    <b v="0"/>
    <n v="2"/>
    <n v="1"/>
    <n v="0.22"/>
    <n v="0.19700000000000001"/>
    <n v="0.19700000000000001"/>
    <n v="0.35"/>
    <n v="0.3881"/>
    <n v="6"/>
    <n v="45"/>
    <n v="51"/>
    <x v="1"/>
    <x v="0"/>
    <s v="Winter"/>
    <s v="Tuesday"/>
    <x v="2"/>
    <n v="2.2999999999999998"/>
    <n v="-3"/>
    <n v="35"/>
    <n v="26"/>
    <n v="0.88235294117647056"/>
    <x v="0"/>
    <n v="-0.67"/>
    <s v=""/>
    <s v="OK"/>
    <s v="No"/>
  </r>
  <r>
    <n v="870"/>
    <s v="Dataset 3"/>
    <n v="0"/>
    <n v="0"/>
    <n v="260"/>
    <x v="38"/>
    <n v="1"/>
    <n v="0"/>
    <n v="2"/>
    <x v="16"/>
    <b v="0"/>
    <n v="2"/>
    <n v="1"/>
    <n v="0.22"/>
    <n v="0.18179999999999999"/>
    <n v="0.18179999999999999"/>
    <n v="0.35"/>
    <n v="0.52239999999999998"/>
    <n v="4"/>
    <n v="79"/>
    <n v="83"/>
    <x v="1"/>
    <x v="0"/>
    <s v="Winter"/>
    <s v="Tuesday"/>
    <x v="2"/>
    <n v="2.2999999999999998"/>
    <n v="-4"/>
    <n v="35"/>
    <n v="35"/>
    <n v="0.95180722891566261"/>
    <x v="2"/>
    <n v="0.02"/>
    <s v=""/>
    <s v="OK"/>
    <s v="No"/>
  </r>
  <r>
    <n v="871"/>
    <s v="Dataset 3"/>
    <n v="0"/>
    <n v="0"/>
    <n v="261"/>
    <x v="38"/>
    <n v="1"/>
    <n v="0"/>
    <n v="2"/>
    <x v="17"/>
    <b v="0"/>
    <n v="2"/>
    <n v="1"/>
    <n v="0.22"/>
    <n v="0.18179999999999999"/>
    <n v="0.18179999999999999"/>
    <n v="0.32"/>
    <n v="0.58209999999999995"/>
    <n v="4"/>
    <n v="172"/>
    <n v="176"/>
    <x v="1"/>
    <x v="0"/>
    <s v="Winter"/>
    <s v="Tuesday"/>
    <x v="2"/>
    <n v="2.2999999999999998"/>
    <n v="-4"/>
    <n v="32"/>
    <n v="39"/>
    <n v="0.97727272727272729"/>
    <x v="2"/>
    <n v="0.18"/>
    <s v=""/>
    <s v="OK"/>
    <s v="No"/>
  </r>
  <r>
    <n v="872"/>
    <s v="Dataset 3"/>
    <n v="0"/>
    <n v="0"/>
    <n v="262"/>
    <x v="38"/>
    <n v="1"/>
    <n v="0"/>
    <n v="2"/>
    <x v="18"/>
    <b v="0"/>
    <n v="2"/>
    <n v="1"/>
    <n v="0.2"/>
    <n v="0.18179999999999999"/>
    <n v="0.18179999999999999"/>
    <n v="0.32"/>
    <n v="0.3881"/>
    <n v="1"/>
    <n v="151"/>
    <n v="152"/>
    <x v="1"/>
    <x v="0"/>
    <s v="Winter"/>
    <s v="Tuesday"/>
    <x v="3"/>
    <n v="1.4"/>
    <n v="-4"/>
    <n v="32"/>
    <n v="26"/>
    <n v="0.99342105263157898"/>
    <x v="2"/>
    <n v="-0.05"/>
    <s v=""/>
    <s v="OK"/>
    <s v="No"/>
  </r>
  <r>
    <n v="873"/>
    <s v="Dataset 3"/>
    <n v="0"/>
    <n v="0"/>
    <n v="263"/>
    <x v="38"/>
    <n v="1"/>
    <n v="0"/>
    <n v="2"/>
    <x v="19"/>
    <b v="0"/>
    <n v="2"/>
    <n v="1"/>
    <n v="0.16"/>
    <n v="0.1212"/>
    <n v="0.1212"/>
    <n v="0.4"/>
    <n v="0.4627"/>
    <n v="1"/>
    <n v="100"/>
    <n v="101"/>
    <x v="1"/>
    <x v="0"/>
    <s v="Winter"/>
    <s v="Tuesday"/>
    <x v="3"/>
    <n v="-0.5"/>
    <n v="-8"/>
    <n v="40"/>
    <n v="31"/>
    <n v="0.99009900990099009"/>
    <x v="2"/>
    <n v="-0.13"/>
    <s v=""/>
    <s v="OK"/>
    <s v="No"/>
  </r>
  <r>
    <n v="874"/>
    <s v="Dataset 3"/>
    <n v="0"/>
    <n v="0"/>
    <n v="264"/>
    <x v="38"/>
    <n v="1"/>
    <n v="0"/>
    <n v="2"/>
    <x v="20"/>
    <b v="0"/>
    <n v="2"/>
    <n v="1"/>
    <n v="0.16"/>
    <n v="0.13639999999999999"/>
    <n v="0.13639999999999999"/>
    <n v="0.4"/>
    <n v="0.32840000000000003"/>
    <n v="3"/>
    <n v="53"/>
    <n v="56"/>
    <x v="1"/>
    <x v="0"/>
    <s v="Winter"/>
    <s v="Tuesday"/>
    <x v="3"/>
    <n v="-0.5"/>
    <n v="-7"/>
    <n v="40"/>
    <n v="22"/>
    <n v="0.9464285714285714"/>
    <x v="0"/>
    <n v="-0.84"/>
    <s v=""/>
    <s v="OK"/>
    <s v="No"/>
  </r>
  <r>
    <n v="875"/>
    <s v="Dataset 3"/>
    <n v="0"/>
    <n v="0"/>
    <n v="265"/>
    <x v="38"/>
    <n v="1"/>
    <n v="0"/>
    <n v="2"/>
    <x v="21"/>
    <b v="0"/>
    <n v="2"/>
    <n v="1"/>
    <n v="0.14000000000000001"/>
    <n v="0.1061"/>
    <n v="0.1061"/>
    <n v="0.33"/>
    <n v="0.4627"/>
    <n v="8"/>
    <n v="46"/>
    <n v="54"/>
    <x v="1"/>
    <x v="0"/>
    <s v="Winter"/>
    <s v="Tuesday"/>
    <x v="3"/>
    <n v="-1.4"/>
    <n v="-9"/>
    <n v="33"/>
    <n v="31"/>
    <n v="0.85185185185185186"/>
    <x v="0"/>
    <n v="0.17"/>
    <s v=""/>
    <s v="OK"/>
    <s v="No"/>
  </r>
  <r>
    <n v="876"/>
    <s v="Dataset 3"/>
    <n v="0"/>
    <n v="0"/>
    <n v="266"/>
    <x v="38"/>
    <n v="1"/>
    <n v="0"/>
    <n v="2"/>
    <x v="22"/>
    <b v="0"/>
    <n v="2"/>
    <n v="1"/>
    <n v="0.12"/>
    <n v="0.1061"/>
    <n v="0.1061"/>
    <n v="0.33"/>
    <n v="0.35820000000000002"/>
    <n v="0"/>
    <n v="29"/>
    <n v="29"/>
    <x v="1"/>
    <x v="0"/>
    <s v="Winter"/>
    <s v="Tuesday"/>
    <x v="3"/>
    <n v="-2.4"/>
    <n v="-9"/>
    <n v="33"/>
    <n v="24"/>
    <n v="1"/>
    <x v="0"/>
    <n v="-0.9"/>
    <s v=""/>
    <s v="OK"/>
    <s v="No"/>
  </r>
  <r>
    <n v="877"/>
    <s v="Dataset 3"/>
    <n v="0"/>
    <n v="0"/>
    <n v="267"/>
    <x v="38"/>
    <n v="1"/>
    <n v="0"/>
    <n v="2"/>
    <x v="23"/>
    <b v="0"/>
    <n v="2"/>
    <n v="1"/>
    <n v="0.12"/>
    <n v="0.1061"/>
    <n v="0.1061"/>
    <n v="0.33"/>
    <n v="0.32840000000000003"/>
    <n v="3"/>
    <n v="9"/>
    <n v="12"/>
    <x v="1"/>
    <x v="0"/>
    <s v="Winter"/>
    <s v="Tuesday"/>
    <x v="3"/>
    <n v="-2.4"/>
    <n v="-9"/>
    <n v="33"/>
    <n v="22"/>
    <n v="0.75"/>
    <x v="1"/>
    <n v="-1.25"/>
    <s v=""/>
    <s v="OK"/>
    <s v="No"/>
  </r>
  <r>
    <n v="878"/>
    <s v="Dataset 3"/>
    <n v="0"/>
    <n v="0"/>
    <n v="268"/>
    <x v="39"/>
    <n v="1"/>
    <n v="0"/>
    <n v="2"/>
    <x v="0"/>
    <b v="0"/>
    <n v="3"/>
    <n v="1"/>
    <n v="0.1"/>
    <n v="7.5800000000000006E-2"/>
    <n v="7.5800000000000006E-2"/>
    <n v="0.36"/>
    <n v="0.35820000000000002"/>
    <n v="0"/>
    <n v="17"/>
    <n v="17"/>
    <x v="1"/>
    <x v="0"/>
    <s v="Winter"/>
    <s v="Wednesday"/>
    <x v="0"/>
    <n v="-3.3"/>
    <n v="-11"/>
    <n v="36"/>
    <n v="24"/>
    <n v="1"/>
    <x v="0"/>
    <n v="1.35"/>
    <s v=""/>
    <s v="OK"/>
    <s v="No"/>
  </r>
  <r>
    <n v="879"/>
    <s v="Dataset 3"/>
    <n v="0"/>
    <n v="0"/>
    <n v="269"/>
    <x v="39"/>
    <n v="1"/>
    <n v="0"/>
    <n v="2"/>
    <x v="1"/>
    <b v="0"/>
    <n v="3"/>
    <n v="1"/>
    <n v="0.1"/>
    <n v="0.1061"/>
    <n v="0.1061"/>
    <n v="0.36"/>
    <n v="0.22389999999999999"/>
    <n v="0"/>
    <n v="7"/>
    <n v="7"/>
    <x v="1"/>
    <x v="0"/>
    <s v="Winter"/>
    <s v="Wednesday"/>
    <x v="0"/>
    <n v="-3.3"/>
    <n v="-9"/>
    <n v="36"/>
    <n v="15"/>
    <n v="1"/>
    <x v="1"/>
    <n v="1.1299999999999999"/>
    <s v=""/>
    <s v="OK"/>
    <s v="No"/>
  </r>
  <r>
    <n v="880"/>
    <s v="Dataset 3"/>
    <n v="0"/>
    <n v="0"/>
    <n v="270"/>
    <x v="39"/>
    <n v="1"/>
    <n v="0"/>
    <n v="2"/>
    <x v="2"/>
    <b v="0"/>
    <n v="3"/>
    <n v="1"/>
    <n v="0.08"/>
    <n v="7.5800000000000006E-2"/>
    <n v="7.5800000000000006E-2"/>
    <n v="0.38"/>
    <n v="0.28360000000000002"/>
    <n v="1"/>
    <n v="2"/>
    <n v="3"/>
    <x v="1"/>
    <x v="0"/>
    <s v="Winter"/>
    <s v="Wednesday"/>
    <x v="0"/>
    <n v="-4.2"/>
    <n v="-11"/>
    <n v="38"/>
    <n v="19"/>
    <n v="0.66666666666666663"/>
    <x v="1"/>
    <n v="0.33"/>
    <s v=""/>
    <s v="OK"/>
    <s v="No"/>
  </r>
  <r>
    <n v="881"/>
    <s v="Dataset 3"/>
    <n v="0"/>
    <n v="0"/>
    <n v="271"/>
    <x v="39"/>
    <n v="1"/>
    <n v="0"/>
    <n v="2"/>
    <x v="3"/>
    <b v="0"/>
    <n v="3"/>
    <n v="1"/>
    <n v="0.06"/>
    <n v="7.5800000000000006E-2"/>
    <n v="7.5800000000000006E-2"/>
    <n v="0.45"/>
    <n v="0.1343"/>
    <n v="0"/>
    <n v="2"/>
    <n v="2"/>
    <x v="1"/>
    <x v="0"/>
    <s v="Winter"/>
    <s v="Wednesday"/>
    <x v="0"/>
    <n v="-5.2"/>
    <n v="-11"/>
    <n v="45"/>
    <n v="9"/>
    <n v="1"/>
    <x v="1"/>
    <n v="1.01"/>
    <s v=""/>
    <s v="OK"/>
    <s v="No"/>
  </r>
  <r>
    <n v="882"/>
    <s v="Dataset 3"/>
    <n v="0"/>
    <n v="0"/>
    <n v="272"/>
    <x v="39"/>
    <n v="1"/>
    <n v="0"/>
    <n v="2"/>
    <x v="5"/>
    <b v="0"/>
    <n v="3"/>
    <n v="1"/>
    <n v="0.06"/>
    <n v="0.1061"/>
    <n v="0.1061"/>
    <n v="0.45"/>
    <n v="0.1045"/>
    <n v="0"/>
    <n v="7"/>
    <n v="7"/>
    <x v="1"/>
    <x v="0"/>
    <s v="Winter"/>
    <s v="Wednesday"/>
    <x v="0"/>
    <n v="-5.2"/>
    <n v="-9"/>
    <n v="45"/>
    <n v="7"/>
    <n v="1"/>
    <x v="1"/>
    <n v="0.94"/>
    <s v=""/>
    <s v="OK"/>
    <s v="No"/>
  </r>
  <r>
    <n v="883"/>
    <s v="Dataset 3"/>
    <n v="0"/>
    <n v="0"/>
    <n v="273"/>
    <x v="39"/>
    <n v="1"/>
    <n v="0"/>
    <n v="2"/>
    <x v="6"/>
    <b v="0"/>
    <n v="3"/>
    <n v="1"/>
    <n v="0.06"/>
    <n v="0.1515"/>
    <n v="0.1515"/>
    <n v="0.45"/>
    <n v="0"/>
    <n v="0"/>
    <n v="43"/>
    <n v="43"/>
    <x v="1"/>
    <x v="0"/>
    <s v="Winter"/>
    <s v="Wednesday"/>
    <x v="1"/>
    <n v="-5.2"/>
    <n v="-6"/>
    <n v="45"/>
    <n v="0"/>
    <n v="1"/>
    <x v="0"/>
    <n v="1.71"/>
    <s v=""/>
    <s v="OK"/>
    <s v="No"/>
  </r>
  <r>
    <n v="884"/>
    <s v="Dataset 3"/>
    <n v="0"/>
    <n v="0"/>
    <n v="274"/>
    <x v="39"/>
    <n v="1"/>
    <n v="0"/>
    <n v="2"/>
    <x v="7"/>
    <b v="0"/>
    <n v="3"/>
    <n v="1"/>
    <n v="0.06"/>
    <n v="0.1061"/>
    <n v="0.1061"/>
    <n v="0.49"/>
    <n v="0.1045"/>
    <n v="4"/>
    <n v="95"/>
    <n v="99"/>
    <x v="1"/>
    <x v="0"/>
    <s v="Winter"/>
    <s v="Wednesday"/>
    <x v="1"/>
    <n v="-5.2"/>
    <n v="-9"/>
    <n v="49"/>
    <n v="7"/>
    <n v="0.95959595959595956"/>
    <x v="2"/>
    <n v="0.97"/>
    <s v=""/>
    <s v="OK"/>
    <s v="No"/>
  </r>
  <r>
    <n v="885"/>
    <s v="Dataset 3"/>
    <n v="0"/>
    <n v="0"/>
    <n v="275"/>
    <x v="39"/>
    <n v="1"/>
    <n v="0"/>
    <n v="2"/>
    <x v="8"/>
    <b v="0"/>
    <n v="3"/>
    <n v="1"/>
    <n v="0.1"/>
    <n v="0.13639999999999999"/>
    <n v="0.13639999999999999"/>
    <n v="0.42"/>
    <n v="0"/>
    <n v="1"/>
    <n v="198"/>
    <n v="199"/>
    <x v="1"/>
    <x v="0"/>
    <s v="Winter"/>
    <s v="Wednesday"/>
    <x v="1"/>
    <n v="-3.3"/>
    <n v="-7"/>
    <n v="42"/>
    <n v="0"/>
    <n v="0.99497487437185927"/>
    <x v="2"/>
    <n v="0.25"/>
    <s v=""/>
    <s v="OK"/>
    <s v="No"/>
  </r>
  <r>
    <n v="886"/>
    <s v="Dataset 3"/>
    <n v="0"/>
    <n v="0"/>
    <n v="276"/>
    <x v="39"/>
    <n v="1"/>
    <n v="0"/>
    <n v="2"/>
    <x v="9"/>
    <b v="0"/>
    <n v="3"/>
    <n v="1"/>
    <n v="0.12"/>
    <n v="0.13639999999999999"/>
    <n v="0.13639999999999999"/>
    <n v="0.39"/>
    <n v="0.16420000000000001"/>
    <n v="4"/>
    <n v="119"/>
    <n v="123"/>
    <x v="1"/>
    <x v="0"/>
    <s v="Winter"/>
    <s v="Wednesday"/>
    <x v="1"/>
    <n v="-2.4"/>
    <n v="-7"/>
    <n v="39"/>
    <n v="11"/>
    <n v="0.96747967479674801"/>
    <x v="2"/>
    <n v="0.21"/>
    <s v=""/>
    <s v="OK"/>
    <s v="No"/>
  </r>
  <r>
    <n v="887"/>
    <s v="Dataset 3"/>
    <n v="0"/>
    <n v="0"/>
    <n v="277"/>
    <x v="39"/>
    <n v="1"/>
    <n v="0"/>
    <n v="2"/>
    <x v="10"/>
    <b v="0"/>
    <n v="3"/>
    <n v="1"/>
    <n v="0.14000000000000001"/>
    <n v="0.18179999999999999"/>
    <n v="0.18179999999999999"/>
    <n v="0.36"/>
    <n v="0"/>
    <n v="8"/>
    <n v="51"/>
    <n v="59"/>
    <x v="1"/>
    <x v="0"/>
    <s v="Winter"/>
    <s v="Wednesday"/>
    <x v="1"/>
    <n v="-1.4"/>
    <n v="-4"/>
    <n v="36"/>
    <n v="0"/>
    <n v="0.86440677966101698"/>
    <x v="0"/>
    <n v="1.01"/>
    <s v=""/>
    <s v="OK"/>
    <s v="No"/>
  </r>
  <r>
    <n v="888"/>
    <s v="Dataset 3"/>
    <n v="0"/>
    <n v="0"/>
    <n v="278"/>
    <x v="39"/>
    <n v="1"/>
    <n v="0"/>
    <n v="2"/>
    <x v="11"/>
    <b v="0"/>
    <n v="3"/>
    <n v="2"/>
    <n v="0.14000000000000001"/>
    <n v="0.1515"/>
    <n v="0.1515"/>
    <n v="0.43"/>
    <n v="0.16420000000000001"/>
    <n v="1"/>
    <n v="40"/>
    <n v="41"/>
    <x v="1"/>
    <x v="1"/>
    <s v="Winter"/>
    <s v="Wednesday"/>
    <x v="1"/>
    <n v="-1.4"/>
    <n v="-6"/>
    <n v="43"/>
    <n v="11"/>
    <n v="0.97560975609756095"/>
    <x v="0"/>
    <n v="-0.82"/>
    <s v=""/>
    <s v="OK"/>
    <s v="No"/>
  </r>
  <r>
    <n v="889"/>
    <s v="Dataset 3"/>
    <n v="0"/>
    <n v="0"/>
    <n v="279"/>
    <x v="39"/>
    <n v="1"/>
    <n v="0"/>
    <n v="2"/>
    <x v="12"/>
    <b v="0"/>
    <n v="3"/>
    <n v="2"/>
    <n v="0.18"/>
    <n v="0.18179999999999999"/>
    <n v="0.18179999999999999"/>
    <n v="0.4"/>
    <n v="0.22389999999999999"/>
    <n v="4"/>
    <n v="57"/>
    <n v="61"/>
    <x v="1"/>
    <x v="1"/>
    <s v="Winter"/>
    <s v="Wednesday"/>
    <x v="2"/>
    <n v="0.5"/>
    <n v="-4"/>
    <n v="40"/>
    <n v="15"/>
    <n v="0.93442622950819676"/>
    <x v="0"/>
    <n v="-0.16"/>
    <s v=""/>
    <s v="OK"/>
    <s v="No"/>
  </r>
  <r>
    <n v="890"/>
    <s v="Dataset 3"/>
    <n v="0"/>
    <n v="0"/>
    <n v="280"/>
    <x v="39"/>
    <n v="1"/>
    <n v="0"/>
    <n v="2"/>
    <x v="13"/>
    <b v="0"/>
    <n v="3"/>
    <n v="1"/>
    <n v="0.18"/>
    <n v="0.16669999999999999"/>
    <n v="0.16669999999999999"/>
    <n v="0.4"/>
    <n v="0.25369999999999998"/>
    <n v="2"/>
    <n v="67"/>
    <n v="69"/>
    <x v="1"/>
    <x v="0"/>
    <s v="Winter"/>
    <s v="Wednesday"/>
    <x v="2"/>
    <n v="0.5"/>
    <n v="-5"/>
    <n v="40"/>
    <n v="17"/>
    <n v="0.97101449275362317"/>
    <x v="0"/>
    <n v="0.14000000000000001"/>
    <s v=""/>
    <s v="OK"/>
    <s v="No"/>
  </r>
  <r>
    <n v="891"/>
    <s v="Dataset 3"/>
    <n v="0"/>
    <n v="0"/>
    <n v="281"/>
    <x v="39"/>
    <n v="1"/>
    <n v="0"/>
    <n v="2"/>
    <x v="14"/>
    <b v="0"/>
    <n v="3"/>
    <n v="1"/>
    <n v="0.2"/>
    <n v="0.18179999999999999"/>
    <n v="0.18179999999999999"/>
    <n v="0.34"/>
    <n v="0.29849999999999999"/>
    <n v="2"/>
    <n v="56"/>
    <n v="58"/>
    <x v="1"/>
    <x v="0"/>
    <s v="Winter"/>
    <s v="Wednesday"/>
    <x v="2"/>
    <n v="1.4"/>
    <n v="-4"/>
    <n v="34"/>
    <n v="20"/>
    <n v="0.96551724137931039"/>
    <x v="0"/>
    <n v="-0.1"/>
    <s v=""/>
    <s v="OK"/>
    <s v="No"/>
  </r>
  <r>
    <n v="892"/>
    <s v="Dataset 3"/>
    <n v="0"/>
    <n v="0"/>
    <n v="282"/>
    <x v="39"/>
    <n v="1"/>
    <n v="0"/>
    <n v="2"/>
    <x v="15"/>
    <b v="0"/>
    <n v="3"/>
    <n v="2"/>
    <n v="0.2"/>
    <n v="0.18179999999999999"/>
    <n v="0.18179999999999999"/>
    <n v="0.34"/>
    <n v="0.28360000000000002"/>
    <n v="3"/>
    <n v="61"/>
    <n v="64"/>
    <x v="1"/>
    <x v="1"/>
    <s v="Winter"/>
    <s v="Wednesday"/>
    <x v="2"/>
    <n v="1.4"/>
    <n v="-4"/>
    <n v="34"/>
    <n v="19"/>
    <n v="0.953125"/>
    <x v="0"/>
    <n v="0.26"/>
    <s v=""/>
    <s v="OK"/>
    <s v="No"/>
  </r>
  <r>
    <n v="893"/>
    <s v="Dataset 3"/>
    <n v="0"/>
    <n v="0"/>
    <n v="283"/>
    <x v="39"/>
    <n v="1"/>
    <n v="0"/>
    <n v="2"/>
    <x v="16"/>
    <b v="0"/>
    <n v="3"/>
    <n v="2"/>
    <n v="0.2"/>
    <n v="0.19700000000000001"/>
    <n v="0.19700000000000001"/>
    <n v="0.37"/>
    <n v="0.25369999999999998"/>
    <n v="7"/>
    <n v="72"/>
    <n v="79"/>
    <x v="1"/>
    <x v="1"/>
    <s v="Winter"/>
    <s v="Wednesday"/>
    <x v="2"/>
    <n v="1.4"/>
    <n v="-3"/>
    <n v="37"/>
    <n v="17"/>
    <n v="0.91139240506329111"/>
    <x v="0"/>
    <n v="-0.17"/>
    <s v=""/>
    <s v="OK"/>
    <s v="No"/>
  </r>
  <r>
    <n v="894"/>
    <s v="Dataset 3"/>
    <n v="0"/>
    <n v="0"/>
    <n v="284"/>
    <x v="39"/>
    <n v="1"/>
    <n v="0"/>
    <n v="2"/>
    <x v="17"/>
    <b v="0"/>
    <n v="3"/>
    <n v="2"/>
    <n v="0.2"/>
    <n v="0.19700000000000001"/>
    <n v="0.19700000000000001"/>
    <n v="0.34"/>
    <n v="0.25369999999999998"/>
    <n v="9"/>
    <n v="157"/>
    <n v="166"/>
    <x v="1"/>
    <x v="1"/>
    <s v="Winter"/>
    <s v="Wednesday"/>
    <x v="2"/>
    <n v="1.4"/>
    <n v="-3"/>
    <n v="34"/>
    <n v="17"/>
    <n v="0.94578313253012047"/>
    <x v="2"/>
    <n v="-7.0000000000000007E-2"/>
    <s v=""/>
    <s v="OK"/>
    <s v="No"/>
  </r>
  <r>
    <n v="895"/>
    <s v="Dataset 3"/>
    <n v="0"/>
    <n v="0"/>
    <n v="285"/>
    <x v="39"/>
    <n v="1"/>
    <n v="0"/>
    <n v="2"/>
    <x v="18"/>
    <b v="0"/>
    <n v="3"/>
    <n v="2"/>
    <n v="0.18"/>
    <n v="0.16669999999999999"/>
    <n v="0.16669999999999999"/>
    <n v="0.47"/>
    <n v="0.29849999999999999"/>
    <n v="2"/>
    <n v="168"/>
    <n v="170"/>
    <x v="1"/>
    <x v="1"/>
    <s v="Winter"/>
    <s v="Wednesday"/>
    <x v="3"/>
    <n v="0.5"/>
    <n v="-5"/>
    <n v="47"/>
    <n v="20"/>
    <n v="0.9882352941176471"/>
    <x v="2"/>
    <n v="0.61"/>
    <s v=""/>
    <s v="OK"/>
    <s v="No"/>
  </r>
  <r>
    <n v="896"/>
    <s v="Dataset 3"/>
    <n v="0"/>
    <n v="0"/>
    <n v="286"/>
    <x v="39"/>
    <n v="1"/>
    <n v="0"/>
    <n v="2"/>
    <x v="19"/>
    <b v="0"/>
    <n v="3"/>
    <n v="3"/>
    <n v="0.14000000000000001"/>
    <n v="0.1212"/>
    <n v="0.1212"/>
    <n v="0.86"/>
    <n v="0.25369999999999998"/>
    <n v="1"/>
    <n v="87"/>
    <n v="88"/>
    <x v="1"/>
    <x v="2"/>
    <s v="Winter"/>
    <s v="Wednesday"/>
    <x v="3"/>
    <n v="-1.4"/>
    <n v="-8"/>
    <n v="86"/>
    <n v="17"/>
    <n v="0.98863636363636365"/>
    <x v="2"/>
    <n v="-0.78"/>
    <s v=""/>
    <s v="OK"/>
    <s v="No"/>
  </r>
  <r>
    <n v="897"/>
    <s v="Dataset 3"/>
    <n v="0"/>
    <n v="0"/>
    <n v="287"/>
    <x v="39"/>
    <n v="1"/>
    <n v="0"/>
    <n v="2"/>
    <x v="20"/>
    <b v="0"/>
    <n v="3"/>
    <n v="3"/>
    <n v="0.14000000000000001"/>
    <n v="0.1515"/>
    <n v="0.1515"/>
    <n v="0.86"/>
    <n v="0.16420000000000001"/>
    <n v="0"/>
    <n v="84"/>
    <n v="84"/>
    <x v="1"/>
    <x v="2"/>
    <s v="Winter"/>
    <s v="Wednesday"/>
    <x v="3"/>
    <n v="-1.4"/>
    <n v="-6"/>
    <n v="86"/>
    <n v="11"/>
    <n v="1"/>
    <x v="2"/>
    <n v="0.49"/>
    <s v=""/>
    <s v="OK"/>
    <s v="No"/>
  </r>
  <r>
    <n v="898"/>
    <s v="Dataset 3"/>
    <n v="0"/>
    <n v="0"/>
    <n v="288"/>
    <x v="39"/>
    <n v="1"/>
    <n v="0"/>
    <n v="2"/>
    <x v="21"/>
    <b v="0"/>
    <n v="3"/>
    <n v="2"/>
    <n v="0.14000000000000001"/>
    <n v="0.1515"/>
    <n v="0.1515"/>
    <n v="0.86"/>
    <n v="0.16420000000000001"/>
    <n v="0"/>
    <n v="83"/>
    <n v="83"/>
    <x v="1"/>
    <x v="1"/>
    <s v="Winter"/>
    <s v="Wednesday"/>
    <x v="3"/>
    <n v="-1.4"/>
    <n v="-6"/>
    <n v="86"/>
    <n v="11"/>
    <n v="1"/>
    <x v="2"/>
    <n v="2.36"/>
    <s v=""/>
    <s v="OK"/>
    <s v="No"/>
  </r>
  <r>
    <n v="899"/>
    <s v="Dataset 3"/>
    <n v="0"/>
    <n v="0"/>
    <n v="289"/>
    <x v="39"/>
    <n v="1"/>
    <n v="0"/>
    <n v="2"/>
    <x v="22"/>
    <b v="0"/>
    <n v="3"/>
    <n v="3"/>
    <n v="0.16"/>
    <n v="0.16669999999999999"/>
    <n v="0.16669999999999999"/>
    <n v="0.8"/>
    <n v="0.16420000000000001"/>
    <n v="4"/>
    <n v="42"/>
    <n v="46"/>
    <x v="1"/>
    <x v="2"/>
    <s v="Winter"/>
    <s v="Wednesday"/>
    <x v="3"/>
    <n v="-0.5"/>
    <n v="-5"/>
    <n v="80"/>
    <n v="11"/>
    <n v="0.91304347826086951"/>
    <x v="0"/>
    <n v="0.81"/>
    <s v=""/>
    <s v="OK"/>
    <s v="No"/>
  </r>
  <r>
    <n v="900"/>
    <s v="Dataset 3"/>
    <n v="0"/>
    <n v="0"/>
    <n v="290"/>
    <x v="39"/>
    <n v="1"/>
    <n v="0"/>
    <n v="2"/>
    <x v="23"/>
    <b v="0"/>
    <n v="3"/>
    <n v="3"/>
    <n v="0.16"/>
    <n v="0.1515"/>
    <n v="0.1515"/>
    <n v="0.8"/>
    <n v="0.19400000000000001"/>
    <n v="0"/>
    <n v="37"/>
    <n v="37"/>
    <x v="1"/>
    <x v="2"/>
    <s v="Winter"/>
    <s v="Wednesday"/>
    <x v="3"/>
    <n v="-0.5"/>
    <n v="-6"/>
    <n v="80"/>
    <n v="13"/>
    <n v="1"/>
    <x v="0"/>
    <n v="1.27"/>
    <s v=""/>
    <s v="OK"/>
    <s v="No"/>
  </r>
  <r>
    <n v="901"/>
    <s v="Dataset 3"/>
    <n v="0"/>
    <n v="0"/>
    <n v="291"/>
    <x v="40"/>
    <n v="1"/>
    <n v="0"/>
    <n v="2"/>
    <x v="0"/>
    <b v="0"/>
    <n v="4"/>
    <n v="3"/>
    <n v="0.14000000000000001"/>
    <n v="0.13639999999999999"/>
    <n v="0.13639999999999999"/>
    <n v="0.86"/>
    <n v="0.19400000000000001"/>
    <n v="0"/>
    <n v="16"/>
    <n v="16"/>
    <x v="1"/>
    <x v="2"/>
    <s v="Winter"/>
    <s v="Thursday"/>
    <x v="0"/>
    <n v="-1.4"/>
    <n v="-7"/>
    <n v="86"/>
    <n v="13"/>
    <n v="1"/>
    <x v="0"/>
    <n v="1.1499999999999999"/>
    <s v=""/>
    <s v="OK"/>
    <s v="No"/>
  </r>
  <r>
    <n v="902"/>
    <s v="Dataset 3"/>
    <n v="0"/>
    <n v="0"/>
    <n v="292"/>
    <x v="40"/>
    <n v="1"/>
    <n v="0"/>
    <n v="2"/>
    <x v="1"/>
    <b v="0"/>
    <n v="4"/>
    <n v="3"/>
    <n v="0.14000000000000001"/>
    <n v="0.1515"/>
    <n v="0.1515"/>
    <n v="0.8"/>
    <n v="0.1343"/>
    <n v="0"/>
    <n v="7"/>
    <n v="7"/>
    <x v="1"/>
    <x v="2"/>
    <s v="Winter"/>
    <s v="Thursday"/>
    <x v="0"/>
    <n v="-1.4"/>
    <n v="-6"/>
    <n v="80"/>
    <n v="9"/>
    <n v="1"/>
    <x v="1"/>
    <n v="1.1299999999999999"/>
    <s v=""/>
    <s v="OK"/>
    <s v="No"/>
  </r>
  <r>
    <n v="903"/>
    <s v="Dataset 3"/>
    <n v="0"/>
    <n v="0"/>
    <n v="293"/>
    <x v="40"/>
    <n v="1"/>
    <n v="0"/>
    <n v="2"/>
    <x v="2"/>
    <b v="0"/>
    <n v="4"/>
    <n v="3"/>
    <n v="0.14000000000000001"/>
    <n v="0.1515"/>
    <n v="0.1515"/>
    <n v="0.8"/>
    <n v="0.1343"/>
    <n v="0"/>
    <n v="3"/>
    <n v="3"/>
    <x v="1"/>
    <x v="2"/>
    <s v="Winter"/>
    <s v="Thursday"/>
    <x v="0"/>
    <n v="-1.4"/>
    <n v="-6"/>
    <n v="80"/>
    <n v="9"/>
    <n v="1"/>
    <x v="1"/>
    <n v="0.33"/>
    <s v=""/>
    <s v="OK"/>
    <s v="No"/>
  </r>
  <r>
    <n v="904"/>
    <s v="Dataset 3"/>
    <n v="0"/>
    <n v="0"/>
    <n v="294"/>
    <x v="40"/>
    <n v="1"/>
    <n v="0"/>
    <n v="2"/>
    <x v="4"/>
    <b v="0"/>
    <n v="4"/>
    <n v="2"/>
    <n v="0.14000000000000001"/>
    <n v="0.13639999999999999"/>
    <n v="0.13639999999999999"/>
    <n v="0.59"/>
    <n v="0.22389999999999999"/>
    <n v="0"/>
    <n v="1"/>
    <n v="1"/>
    <x v="1"/>
    <x v="1"/>
    <s v="Winter"/>
    <s v="Thursday"/>
    <x v="0"/>
    <n v="-1.4"/>
    <n v="-7"/>
    <n v="59"/>
    <n v="15"/>
    <n v="1"/>
    <x v="1"/>
    <n v="-0.81"/>
    <s v=""/>
    <s v="OK"/>
    <s v="No"/>
  </r>
  <r>
    <n v="905"/>
    <s v="Dataset 3"/>
    <n v="0"/>
    <n v="0"/>
    <n v="295"/>
    <x v="40"/>
    <n v="1"/>
    <n v="0"/>
    <n v="2"/>
    <x v="5"/>
    <b v="0"/>
    <n v="4"/>
    <n v="2"/>
    <n v="0.12"/>
    <n v="0.1212"/>
    <n v="0.1212"/>
    <n v="0.5"/>
    <n v="0.22389999999999999"/>
    <n v="0"/>
    <n v="6"/>
    <n v="6"/>
    <x v="1"/>
    <x v="1"/>
    <s v="Winter"/>
    <s v="Thursday"/>
    <x v="0"/>
    <n v="-2.4"/>
    <n v="-8"/>
    <n v="50"/>
    <n v="15"/>
    <n v="1"/>
    <x v="1"/>
    <n v="0.5"/>
    <s v=""/>
    <s v="OK"/>
    <s v="No"/>
  </r>
  <r>
    <n v="906"/>
    <s v="Dataset 3"/>
    <n v="0"/>
    <n v="0"/>
    <n v="296"/>
    <x v="40"/>
    <n v="1"/>
    <n v="0"/>
    <n v="2"/>
    <x v="6"/>
    <b v="0"/>
    <n v="4"/>
    <n v="2"/>
    <n v="0.12"/>
    <n v="0.1212"/>
    <n v="0.1212"/>
    <n v="0.54"/>
    <n v="0.28360000000000002"/>
    <n v="0"/>
    <n v="26"/>
    <n v="26"/>
    <x v="1"/>
    <x v="1"/>
    <s v="Winter"/>
    <s v="Thursday"/>
    <x v="1"/>
    <n v="-2.4"/>
    <n v="-8"/>
    <n v="54"/>
    <n v="19"/>
    <n v="1"/>
    <x v="0"/>
    <n v="-0.25"/>
    <s v=""/>
    <s v="OK"/>
    <s v="No"/>
  </r>
  <r>
    <n v="907"/>
    <s v="Dataset 3"/>
    <n v="0"/>
    <n v="0"/>
    <n v="297"/>
    <x v="40"/>
    <n v="1"/>
    <n v="0"/>
    <n v="2"/>
    <x v="7"/>
    <b v="0"/>
    <n v="4"/>
    <n v="1"/>
    <n v="0.1"/>
    <n v="7.5800000000000006E-2"/>
    <n v="7.5800000000000006E-2"/>
    <n v="0.5"/>
    <n v="0.41789999999999999"/>
    <n v="0"/>
    <n v="99"/>
    <n v="99"/>
    <x v="1"/>
    <x v="0"/>
    <s v="Winter"/>
    <s v="Thursday"/>
    <x v="1"/>
    <n v="-3.3"/>
    <n v="-11"/>
    <n v="50"/>
    <n v="28"/>
    <n v="1"/>
    <x v="2"/>
    <n v="0.97"/>
    <s v=""/>
    <s v="OK"/>
    <s v="No"/>
  </r>
  <r>
    <n v="908"/>
    <s v="Dataset 3"/>
    <n v="0"/>
    <n v="0"/>
    <n v="298"/>
    <x v="40"/>
    <n v="1"/>
    <n v="0"/>
    <n v="2"/>
    <x v="8"/>
    <b v="0"/>
    <n v="4"/>
    <n v="1"/>
    <n v="0.1"/>
    <n v="7.5800000000000006E-2"/>
    <n v="7.5800000000000006E-2"/>
    <n v="0.49"/>
    <n v="0.32840000000000003"/>
    <n v="5"/>
    <n v="173"/>
    <n v="178"/>
    <x v="1"/>
    <x v="0"/>
    <s v="Winter"/>
    <s v="Thursday"/>
    <x v="1"/>
    <n v="-3.3"/>
    <n v="-11"/>
    <n v="49"/>
    <n v="22"/>
    <n v="0.9719101123595506"/>
    <x v="2"/>
    <n v="-0.28000000000000003"/>
    <s v=""/>
    <s v="OK"/>
    <s v="No"/>
  </r>
  <r>
    <n v="909"/>
    <s v="Dataset 3"/>
    <n v="0"/>
    <n v="0"/>
    <n v="299"/>
    <x v="40"/>
    <n v="1"/>
    <n v="0"/>
    <n v="2"/>
    <x v="9"/>
    <b v="0"/>
    <n v="4"/>
    <n v="1"/>
    <n v="0.12"/>
    <n v="0.1061"/>
    <n v="0.1061"/>
    <n v="0.42"/>
    <n v="0.35820000000000002"/>
    <n v="1"/>
    <n v="121"/>
    <n v="122"/>
    <x v="1"/>
    <x v="0"/>
    <s v="Winter"/>
    <s v="Thursday"/>
    <x v="1"/>
    <n v="-2.4"/>
    <n v="-9"/>
    <n v="42"/>
    <n v="24"/>
    <n v="0.99180327868852458"/>
    <x v="2"/>
    <n v="0.17"/>
    <s v=""/>
    <s v="OK"/>
    <s v="No"/>
  </r>
  <r>
    <n v="910"/>
    <s v="Dataset 3"/>
    <n v="0"/>
    <n v="0"/>
    <n v="300"/>
    <x v="40"/>
    <n v="1"/>
    <n v="0"/>
    <n v="2"/>
    <x v="10"/>
    <b v="0"/>
    <n v="4"/>
    <n v="1"/>
    <n v="0.12"/>
    <n v="0.1061"/>
    <n v="0.1061"/>
    <n v="0.42"/>
    <n v="0.29849999999999999"/>
    <n v="1"/>
    <n v="34"/>
    <n v="35"/>
    <x v="1"/>
    <x v="0"/>
    <s v="Winter"/>
    <s v="Thursday"/>
    <x v="1"/>
    <n v="-2.4"/>
    <n v="-9"/>
    <n v="42"/>
    <n v="20"/>
    <n v="0.97142857142857142"/>
    <x v="0"/>
    <n v="-1.36"/>
    <s v=""/>
    <s v="OK"/>
    <s v="No"/>
  </r>
  <r>
    <n v="911"/>
    <s v="Dataset 3"/>
    <n v="0"/>
    <n v="0"/>
    <n v="301"/>
    <x v="40"/>
    <n v="1"/>
    <n v="0"/>
    <n v="2"/>
    <x v="11"/>
    <b v="0"/>
    <n v="4"/>
    <n v="1"/>
    <n v="0.14000000000000001"/>
    <n v="0.1212"/>
    <n v="0.1212"/>
    <n v="0.39"/>
    <n v="0.35820000000000002"/>
    <n v="1"/>
    <n v="44"/>
    <n v="45"/>
    <x v="1"/>
    <x v="0"/>
    <s v="Winter"/>
    <s v="Thursday"/>
    <x v="1"/>
    <n v="-1.4"/>
    <n v="-8"/>
    <n v="39"/>
    <n v="24"/>
    <n v="0.97777777777777775"/>
    <x v="0"/>
    <n v="-0.46"/>
    <s v=""/>
    <s v="OK"/>
    <s v="No"/>
  </r>
  <r>
    <n v="912"/>
    <s v="Dataset 3"/>
    <n v="0"/>
    <n v="0"/>
    <n v="302"/>
    <x v="40"/>
    <n v="1"/>
    <n v="0"/>
    <n v="2"/>
    <x v="12"/>
    <b v="0"/>
    <n v="4"/>
    <n v="1"/>
    <n v="0.16"/>
    <n v="0.13639999999999999"/>
    <n v="0.13639999999999999"/>
    <n v="0.34"/>
    <n v="0.3881"/>
    <n v="4"/>
    <n v="65"/>
    <n v="69"/>
    <x v="1"/>
    <x v="0"/>
    <s v="Winter"/>
    <s v="Thursday"/>
    <x v="2"/>
    <n v="-0.5"/>
    <n v="-7"/>
    <n v="34"/>
    <n v="26"/>
    <n v="0.94202898550724634"/>
    <x v="0"/>
    <n v="0.26"/>
    <s v=""/>
    <s v="OK"/>
    <s v="No"/>
  </r>
  <r>
    <n v="913"/>
    <s v="Dataset 3"/>
    <n v="0"/>
    <n v="0"/>
    <n v="303"/>
    <x v="40"/>
    <n v="1"/>
    <n v="0"/>
    <n v="2"/>
    <x v="13"/>
    <b v="0"/>
    <n v="4"/>
    <n v="1"/>
    <n v="0.18"/>
    <n v="0.16669999999999999"/>
    <n v="0.16669999999999999"/>
    <n v="0.28999999999999998"/>
    <n v="0.29849999999999999"/>
    <n v="3"/>
    <n v="59"/>
    <n v="62"/>
    <x v="1"/>
    <x v="0"/>
    <s v="Winter"/>
    <s v="Thursday"/>
    <x v="2"/>
    <n v="0.5"/>
    <n v="-5"/>
    <n v="29"/>
    <n v="20"/>
    <n v="0.95161290322580649"/>
    <x v="0"/>
    <n v="-0.21"/>
    <s v=""/>
    <s v="OK"/>
    <s v="No"/>
  </r>
  <r>
    <n v="914"/>
    <s v="Dataset 3"/>
    <n v="0"/>
    <n v="0"/>
    <n v="304"/>
    <x v="40"/>
    <n v="1"/>
    <n v="0"/>
    <n v="2"/>
    <x v="14"/>
    <b v="0"/>
    <n v="4"/>
    <n v="1"/>
    <n v="0.2"/>
    <n v="0.18179999999999999"/>
    <n v="0.18179999999999999"/>
    <n v="0.27"/>
    <n v="0.28360000000000002"/>
    <n v="6"/>
    <n v="42"/>
    <n v="48"/>
    <x v="1"/>
    <x v="0"/>
    <s v="Winter"/>
    <s v="Thursday"/>
    <x v="2"/>
    <n v="1.4"/>
    <n v="-4"/>
    <n v="27"/>
    <n v="19"/>
    <n v="0.875"/>
    <x v="0"/>
    <n v="-0.73"/>
    <s v=""/>
    <s v="OK"/>
    <s v="No"/>
  </r>
  <r>
    <n v="915"/>
    <s v="Dataset 3"/>
    <n v="0"/>
    <n v="0"/>
    <n v="305"/>
    <x v="40"/>
    <n v="1"/>
    <n v="0"/>
    <n v="2"/>
    <x v="15"/>
    <b v="0"/>
    <n v="4"/>
    <n v="1"/>
    <n v="0.2"/>
    <n v="0.19700000000000001"/>
    <n v="0.19700000000000001"/>
    <n v="0.25"/>
    <n v="0.25369999999999998"/>
    <n v="0"/>
    <n v="50"/>
    <n v="50"/>
    <x v="1"/>
    <x v="0"/>
    <s v="Winter"/>
    <s v="Thursday"/>
    <x v="2"/>
    <n v="1.4"/>
    <n v="-3"/>
    <n v="25"/>
    <n v="17"/>
    <n v="1"/>
    <x v="0"/>
    <n v="-0.74"/>
    <s v=""/>
    <s v="OK"/>
    <s v="No"/>
  </r>
  <r>
    <n v="916"/>
    <s v="Dataset 3"/>
    <n v="0"/>
    <n v="0"/>
    <n v="306"/>
    <x v="40"/>
    <n v="1"/>
    <n v="0"/>
    <n v="2"/>
    <x v="16"/>
    <b v="0"/>
    <n v="4"/>
    <n v="1"/>
    <n v="0.2"/>
    <n v="0.18179999999999999"/>
    <n v="0.18179999999999999"/>
    <n v="0.27"/>
    <n v="0.29849999999999999"/>
    <n v="4"/>
    <n v="76"/>
    <n v="80"/>
    <x v="1"/>
    <x v="0"/>
    <s v="Winter"/>
    <s v="Thursday"/>
    <x v="2"/>
    <n v="1.4"/>
    <n v="-4"/>
    <n v="27"/>
    <n v="20"/>
    <n v="0.95"/>
    <x v="0"/>
    <n v="-0.13"/>
    <s v=""/>
    <s v="OK"/>
    <s v="No"/>
  </r>
  <r>
    <n v="917"/>
    <s v="Dataset 3"/>
    <n v="0"/>
    <n v="0"/>
    <n v="307"/>
    <x v="40"/>
    <n v="1"/>
    <n v="0"/>
    <n v="2"/>
    <x v="17"/>
    <b v="0"/>
    <n v="4"/>
    <n v="1"/>
    <n v="0.18"/>
    <n v="0.18179999999999999"/>
    <n v="0.18179999999999999"/>
    <n v="0.26"/>
    <n v="0.19400000000000001"/>
    <n v="6"/>
    <n v="159"/>
    <n v="165"/>
    <x v="1"/>
    <x v="0"/>
    <s v="Winter"/>
    <s v="Thursday"/>
    <x v="2"/>
    <n v="0.5"/>
    <n v="-4"/>
    <n v="26"/>
    <n v="13"/>
    <n v="0.96363636363636362"/>
    <x v="2"/>
    <n v="-0.09"/>
    <s v=""/>
    <s v="OK"/>
    <s v="No"/>
  </r>
  <r>
    <n v="918"/>
    <s v="Dataset 3"/>
    <n v="0"/>
    <n v="0"/>
    <n v="308"/>
    <x v="40"/>
    <n v="1"/>
    <n v="0"/>
    <n v="2"/>
    <x v="18"/>
    <b v="0"/>
    <n v="4"/>
    <n v="1"/>
    <n v="0.16"/>
    <n v="0.18179999999999999"/>
    <n v="0.18179999999999999"/>
    <n v="0.28000000000000003"/>
    <n v="0.1343"/>
    <n v="3"/>
    <n v="157"/>
    <n v="160"/>
    <x v="1"/>
    <x v="0"/>
    <s v="Winter"/>
    <s v="Thursday"/>
    <x v="3"/>
    <n v="-0.5"/>
    <n v="-4"/>
    <n v="28"/>
    <n v="9"/>
    <n v="0.98124999999999996"/>
    <x v="2"/>
    <n v="0.24"/>
    <s v=""/>
    <s v="OK"/>
    <s v="No"/>
  </r>
  <r>
    <n v="919"/>
    <s v="Dataset 3"/>
    <n v="0"/>
    <n v="0"/>
    <n v="309"/>
    <x v="40"/>
    <n v="1"/>
    <n v="0"/>
    <n v="2"/>
    <x v="19"/>
    <b v="0"/>
    <n v="4"/>
    <n v="1"/>
    <n v="0.14000000000000001"/>
    <n v="0.16669999999999999"/>
    <n v="0.16669999999999999"/>
    <n v="0.28000000000000003"/>
    <n v="0.1045"/>
    <n v="2"/>
    <n v="110"/>
    <n v="112"/>
    <x v="1"/>
    <x v="0"/>
    <s v="Winter"/>
    <s v="Thursday"/>
    <x v="3"/>
    <n v="-1.4"/>
    <n v="-5"/>
    <n v="28"/>
    <n v="7"/>
    <n v="0.9821428571428571"/>
    <x v="2"/>
    <n v="0.42"/>
    <s v=""/>
    <s v="OK"/>
    <s v="No"/>
  </r>
  <r>
    <n v="920"/>
    <s v="Dataset 3"/>
    <n v="0"/>
    <n v="0"/>
    <n v="310"/>
    <x v="40"/>
    <n v="1"/>
    <n v="0"/>
    <n v="2"/>
    <x v="20"/>
    <b v="0"/>
    <n v="4"/>
    <n v="1"/>
    <n v="0.14000000000000001"/>
    <n v="0.18179999999999999"/>
    <n v="0.18179999999999999"/>
    <n v="0.31"/>
    <n v="8.9599999999999999E-2"/>
    <n v="4"/>
    <n v="93"/>
    <n v="97"/>
    <x v="1"/>
    <x v="0"/>
    <s v="Winter"/>
    <s v="Thursday"/>
    <x v="3"/>
    <n v="-1.4"/>
    <n v="-4"/>
    <n v="31"/>
    <n v="6"/>
    <n v="0.95876288659793818"/>
    <x v="2"/>
    <n v="1.1000000000000001"/>
    <s v=""/>
    <s v="OK"/>
    <s v="No"/>
  </r>
  <r>
    <n v="921"/>
    <s v="Dataset 3"/>
    <n v="0"/>
    <n v="0"/>
    <n v="311"/>
    <x v="40"/>
    <n v="1"/>
    <n v="0"/>
    <n v="2"/>
    <x v="21"/>
    <b v="0"/>
    <n v="4"/>
    <n v="1"/>
    <n v="0.14000000000000001"/>
    <n v="0.21210000000000001"/>
    <n v="0.21210000000000001"/>
    <n v="0.39"/>
    <n v="0"/>
    <n v="2"/>
    <n v="70"/>
    <n v="72"/>
    <x v="1"/>
    <x v="0"/>
    <s v="Winter"/>
    <s v="Thursday"/>
    <x v="3"/>
    <n v="-1.4"/>
    <n v="-2"/>
    <n v="39"/>
    <n v="0"/>
    <n v="0.97222222222222221"/>
    <x v="0"/>
    <n v="1.53"/>
    <s v=""/>
    <s v="OK"/>
    <s v="No"/>
  </r>
  <r>
    <n v="922"/>
    <s v="Dataset 3"/>
    <n v="0"/>
    <n v="0"/>
    <n v="312"/>
    <x v="40"/>
    <n v="1"/>
    <n v="0"/>
    <n v="2"/>
    <x v="22"/>
    <b v="0"/>
    <n v="4"/>
    <n v="1"/>
    <n v="0.12"/>
    <n v="0.19700000000000001"/>
    <n v="0.19700000000000001"/>
    <n v="0.39"/>
    <n v="0"/>
    <n v="4"/>
    <n v="47"/>
    <n v="51"/>
    <x v="1"/>
    <x v="0"/>
    <s v="Winter"/>
    <s v="Thursday"/>
    <x v="3"/>
    <n v="-2.4"/>
    <n v="-3"/>
    <n v="39"/>
    <n v="0"/>
    <n v="0.92156862745098034"/>
    <x v="0"/>
    <n v="1.31"/>
    <s v=""/>
    <s v="OK"/>
    <s v="No"/>
  </r>
  <r>
    <n v="923"/>
    <s v="Dataset 3"/>
    <n v="0"/>
    <n v="0"/>
    <n v="313"/>
    <x v="40"/>
    <n v="1"/>
    <n v="0"/>
    <n v="2"/>
    <x v="23"/>
    <b v="0"/>
    <n v="4"/>
    <n v="1"/>
    <n v="0.12"/>
    <n v="0.1515"/>
    <n v="0.1515"/>
    <n v="0.42"/>
    <n v="0.1045"/>
    <n v="1"/>
    <n v="33"/>
    <n v="34"/>
    <x v="1"/>
    <x v="0"/>
    <s v="Winter"/>
    <s v="Thursday"/>
    <x v="3"/>
    <n v="-2.4"/>
    <n v="-6"/>
    <n v="42"/>
    <n v="7"/>
    <n v="0.97058823529411764"/>
    <x v="0"/>
    <n v="0.97"/>
    <s v=""/>
    <s v="OK"/>
    <s v="No"/>
  </r>
  <r>
    <n v="924"/>
    <s v="Dataset 3"/>
    <n v="0"/>
    <n v="0"/>
    <n v="314"/>
    <x v="41"/>
    <n v="1"/>
    <n v="0"/>
    <n v="2"/>
    <x v="0"/>
    <b v="0"/>
    <n v="5"/>
    <n v="1"/>
    <n v="0.1"/>
    <n v="0.13639999999999999"/>
    <n v="0.13639999999999999"/>
    <n v="0.49"/>
    <n v="0.1045"/>
    <n v="2"/>
    <n v="12"/>
    <n v="14"/>
    <x v="1"/>
    <x v="0"/>
    <s v="Winter"/>
    <s v="Friday"/>
    <x v="0"/>
    <n v="-3.3"/>
    <n v="-7"/>
    <n v="49"/>
    <n v="7"/>
    <n v="0.8571428571428571"/>
    <x v="1"/>
    <n v="0.73"/>
    <s v=""/>
    <s v="OK"/>
    <s v="No"/>
  </r>
  <r>
    <n v="925"/>
    <s v="Dataset 3"/>
    <n v="0"/>
    <n v="0"/>
    <n v="315"/>
    <x v="41"/>
    <n v="1"/>
    <n v="0"/>
    <n v="2"/>
    <x v="1"/>
    <b v="0"/>
    <n v="5"/>
    <n v="1"/>
    <n v="0.1"/>
    <n v="0.13639999999999999"/>
    <n v="0.13639999999999999"/>
    <n v="0.54"/>
    <n v="8.9599999999999999E-2"/>
    <n v="1"/>
    <n v="6"/>
    <n v="7"/>
    <x v="1"/>
    <x v="0"/>
    <s v="Winter"/>
    <s v="Friday"/>
    <x v="0"/>
    <n v="-3.3"/>
    <n v="-7"/>
    <n v="54"/>
    <n v="6"/>
    <n v="0.8571428571428571"/>
    <x v="1"/>
    <n v="1.1299999999999999"/>
    <s v=""/>
    <s v="OK"/>
    <s v="No"/>
  </r>
  <r>
    <n v="926"/>
    <s v="Dataset 3"/>
    <n v="0"/>
    <n v="0"/>
    <n v="316"/>
    <x v="41"/>
    <n v="1"/>
    <n v="0"/>
    <n v="2"/>
    <x v="2"/>
    <b v="0"/>
    <n v="5"/>
    <n v="1"/>
    <n v="0.1"/>
    <n v="0.13639999999999999"/>
    <n v="0.13639999999999999"/>
    <n v="0.54"/>
    <n v="8.9599999999999999E-2"/>
    <n v="0"/>
    <n v="3"/>
    <n v="3"/>
    <x v="1"/>
    <x v="0"/>
    <s v="Winter"/>
    <s v="Friday"/>
    <x v="0"/>
    <n v="-3.3"/>
    <n v="-7"/>
    <n v="54"/>
    <n v="6"/>
    <n v="1"/>
    <x v="1"/>
    <n v="0.33"/>
    <s v=""/>
    <s v="OK"/>
    <s v="No"/>
  </r>
  <r>
    <n v="927"/>
    <s v="Dataset 3"/>
    <n v="0"/>
    <n v="0"/>
    <n v="317"/>
    <x v="41"/>
    <n v="1"/>
    <n v="0"/>
    <n v="2"/>
    <x v="5"/>
    <b v="0"/>
    <n v="5"/>
    <n v="1"/>
    <n v="0.08"/>
    <n v="0.1212"/>
    <n v="0.1212"/>
    <n v="0.63"/>
    <n v="8.9599999999999999E-2"/>
    <n v="0"/>
    <n v="4"/>
    <n v="4"/>
    <x v="1"/>
    <x v="0"/>
    <s v="Winter"/>
    <s v="Friday"/>
    <x v="0"/>
    <n v="-4.2"/>
    <n v="-8"/>
    <n v="63"/>
    <n v="6"/>
    <n v="1"/>
    <x v="1"/>
    <n v="-0.38"/>
    <s v=""/>
    <s v="OK"/>
    <s v="No"/>
  </r>
  <r>
    <n v="928"/>
    <s v="Dataset 3"/>
    <n v="0"/>
    <n v="0"/>
    <n v="318"/>
    <x v="41"/>
    <n v="1"/>
    <n v="0"/>
    <n v="2"/>
    <x v="6"/>
    <b v="0"/>
    <n v="5"/>
    <n v="1"/>
    <n v="0.1"/>
    <n v="0.18179999999999999"/>
    <n v="0.18179999999999999"/>
    <n v="0.68"/>
    <n v="0"/>
    <n v="1"/>
    <n v="23"/>
    <n v="24"/>
    <x v="1"/>
    <x v="0"/>
    <s v="Winter"/>
    <s v="Friday"/>
    <x v="1"/>
    <n v="-3.3"/>
    <n v="-4"/>
    <n v="68"/>
    <n v="0"/>
    <n v="0.95833333333333337"/>
    <x v="0"/>
    <n v="-0.48"/>
    <s v=""/>
    <s v="OK"/>
    <s v="No"/>
  </r>
  <r>
    <n v="929"/>
    <s v="Dataset 3"/>
    <n v="0"/>
    <n v="0"/>
    <n v="319"/>
    <x v="41"/>
    <n v="1"/>
    <n v="0"/>
    <n v="2"/>
    <x v="7"/>
    <b v="0"/>
    <n v="5"/>
    <n v="1"/>
    <n v="0.08"/>
    <n v="0.16669999999999999"/>
    <n v="0.16669999999999999"/>
    <n v="0.73"/>
    <n v="0"/>
    <n v="1"/>
    <n v="73"/>
    <n v="74"/>
    <x v="1"/>
    <x v="0"/>
    <s v="Winter"/>
    <s v="Friday"/>
    <x v="1"/>
    <n v="-4.2"/>
    <n v="-5"/>
    <n v="73"/>
    <n v="0"/>
    <n v="0.98648648648648651"/>
    <x v="0"/>
    <n v="-0.33"/>
    <s v=""/>
    <s v="OK"/>
    <s v="No"/>
  </r>
  <r>
    <n v="930"/>
    <s v="Dataset 3"/>
    <n v="0"/>
    <n v="0"/>
    <n v="320"/>
    <x v="41"/>
    <n v="1"/>
    <n v="0"/>
    <n v="2"/>
    <x v="8"/>
    <b v="0"/>
    <n v="5"/>
    <n v="1"/>
    <n v="0.1"/>
    <n v="0.1212"/>
    <n v="0.1212"/>
    <n v="0.74"/>
    <n v="0.16420000000000001"/>
    <n v="4"/>
    <n v="212"/>
    <n v="216"/>
    <x v="1"/>
    <x v="0"/>
    <s v="Winter"/>
    <s v="Friday"/>
    <x v="1"/>
    <n v="-3.3"/>
    <n v="-8"/>
    <n v="74"/>
    <n v="11"/>
    <n v="0.98148148148148151"/>
    <x v="2"/>
    <n v="0.68"/>
    <s v=""/>
    <s v="OK"/>
    <s v="No"/>
  </r>
  <r>
    <n v="931"/>
    <s v="Dataset 3"/>
    <n v="0"/>
    <n v="0"/>
    <n v="321"/>
    <x v="41"/>
    <n v="1"/>
    <n v="0"/>
    <n v="2"/>
    <x v="9"/>
    <b v="0"/>
    <n v="5"/>
    <n v="1"/>
    <n v="0.12"/>
    <n v="0.1212"/>
    <n v="0.1212"/>
    <n v="0.74"/>
    <n v="0.22389999999999999"/>
    <n v="8"/>
    <n v="132"/>
    <n v="140"/>
    <x v="1"/>
    <x v="0"/>
    <s v="Winter"/>
    <s v="Friday"/>
    <x v="1"/>
    <n v="-2.4"/>
    <n v="-8"/>
    <n v="74"/>
    <n v="15"/>
    <n v="0.94285714285714284"/>
    <x v="2"/>
    <n v="0.97"/>
    <s v=""/>
    <s v="OK"/>
    <s v="No"/>
  </r>
  <r>
    <n v="932"/>
    <s v="Dataset 3"/>
    <n v="0"/>
    <n v="0"/>
    <n v="322"/>
    <x v="41"/>
    <n v="1"/>
    <n v="0"/>
    <n v="2"/>
    <x v="10"/>
    <b v="0"/>
    <n v="5"/>
    <n v="1"/>
    <n v="0.14000000000000001"/>
    <n v="0.13639999999999999"/>
    <n v="0.13639999999999999"/>
    <n v="0.69"/>
    <n v="0.19400000000000001"/>
    <n v="5"/>
    <n v="39"/>
    <n v="44"/>
    <x v="1"/>
    <x v="0"/>
    <s v="Winter"/>
    <s v="Friday"/>
    <x v="1"/>
    <n v="-1.4"/>
    <n v="-7"/>
    <n v="69"/>
    <n v="13"/>
    <n v="0.88636363636363635"/>
    <x v="0"/>
    <n v="-0.47"/>
    <s v=""/>
    <s v="OK"/>
    <s v="No"/>
  </r>
  <r>
    <n v="933"/>
    <s v="Dataset 3"/>
    <n v="0"/>
    <n v="0"/>
    <n v="323"/>
    <x v="41"/>
    <n v="1"/>
    <n v="0"/>
    <n v="2"/>
    <x v="11"/>
    <b v="0"/>
    <n v="5"/>
    <n v="1"/>
    <n v="0.22"/>
    <n v="0.2273"/>
    <n v="0.2273"/>
    <n v="0.47"/>
    <n v="0.1343"/>
    <n v="12"/>
    <n v="52"/>
    <n v="64"/>
    <x v="1"/>
    <x v="0"/>
    <s v="Winter"/>
    <s v="Friday"/>
    <x v="1"/>
    <n v="2.2999999999999998"/>
    <n v="-1"/>
    <n v="47"/>
    <n v="9"/>
    <n v="0.8125"/>
    <x v="0"/>
    <n v="1.25"/>
    <s v=""/>
    <s v="OK"/>
    <s v="No"/>
  </r>
  <r>
    <n v="934"/>
    <s v="Dataset 3"/>
    <n v="0"/>
    <n v="0"/>
    <n v="324"/>
    <x v="41"/>
    <n v="1"/>
    <n v="0"/>
    <n v="2"/>
    <x v="12"/>
    <b v="0"/>
    <n v="5"/>
    <n v="1"/>
    <n v="0.22"/>
    <n v="0.2273"/>
    <n v="0.2273"/>
    <n v="0.47"/>
    <n v="0.1343"/>
    <n v="7"/>
    <n v="64"/>
    <n v="71"/>
    <x v="1"/>
    <x v="0"/>
    <s v="Winter"/>
    <s v="Friday"/>
    <x v="2"/>
    <n v="2.2999999999999998"/>
    <n v="-1"/>
    <n v="47"/>
    <n v="9"/>
    <n v="0.90140845070422537"/>
    <x v="0"/>
    <n v="0.37"/>
    <s v=""/>
    <s v="OK"/>
    <s v="No"/>
  </r>
  <r>
    <n v="935"/>
    <s v="Dataset 3"/>
    <n v="0"/>
    <n v="0"/>
    <n v="325"/>
    <x v="41"/>
    <n v="1"/>
    <n v="0"/>
    <n v="2"/>
    <x v="13"/>
    <b v="0"/>
    <n v="5"/>
    <n v="1"/>
    <n v="0.24"/>
    <n v="0.2273"/>
    <n v="0.2273"/>
    <n v="0.35"/>
    <n v="0.19400000000000001"/>
    <n v="21"/>
    <n v="89"/>
    <n v="110"/>
    <x v="1"/>
    <x v="0"/>
    <s v="Winter"/>
    <s v="Friday"/>
    <x v="2"/>
    <n v="3.3"/>
    <n v="-1"/>
    <n v="35"/>
    <n v="13"/>
    <n v="0.80909090909090908"/>
    <x v="2"/>
    <n v="2.2000000000000002"/>
    <s v=""/>
    <s v="OK"/>
    <s v="No"/>
  </r>
  <r>
    <n v="936"/>
    <s v="Dataset 3"/>
    <n v="0"/>
    <n v="0"/>
    <n v="326"/>
    <x v="41"/>
    <n v="1"/>
    <n v="0"/>
    <n v="2"/>
    <x v="14"/>
    <b v="0"/>
    <n v="5"/>
    <n v="1"/>
    <n v="0.3"/>
    <n v="0.28789999999999999"/>
    <n v="0.28789999999999999"/>
    <n v="0.26"/>
    <n v="0.25369999999999998"/>
    <n v="17"/>
    <n v="67"/>
    <n v="84"/>
    <x v="1"/>
    <x v="0"/>
    <s v="Winter"/>
    <s v="Friday"/>
    <x v="2"/>
    <n v="6.1"/>
    <n v="3"/>
    <n v="26"/>
    <n v="17"/>
    <n v="0.79761904761904767"/>
    <x v="2"/>
    <n v="1.52"/>
    <s v=""/>
    <s v="OK"/>
    <s v="No"/>
  </r>
  <r>
    <n v="937"/>
    <s v="Dataset 3"/>
    <n v="0"/>
    <n v="0"/>
    <n v="327"/>
    <x v="41"/>
    <n v="1"/>
    <n v="0"/>
    <n v="2"/>
    <x v="15"/>
    <b v="0"/>
    <n v="5"/>
    <n v="1"/>
    <n v="0.32"/>
    <n v="0.31819999999999998"/>
    <n v="0.31819999999999998"/>
    <n v="0.21"/>
    <n v="0.16420000000000001"/>
    <n v="12"/>
    <n v="62"/>
    <n v="74"/>
    <x v="1"/>
    <x v="0"/>
    <s v="Winter"/>
    <s v="Friday"/>
    <x v="2"/>
    <n v="7"/>
    <n v="5"/>
    <n v="21"/>
    <n v="11"/>
    <n v="0.83783783783783783"/>
    <x v="0"/>
    <n v="0.97"/>
    <s v=""/>
    <s v="OK"/>
    <s v="No"/>
  </r>
  <r>
    <n v="938"/>
    <s v="Dataset 3"/>
    <n v="0"/>
    <n v="0"/>
    <n v="328"/>
    <x v="41"/>
    <n v="1"/>
    <n v="0"/>
    <n v="2"/>
    <x v="16"/>
    <b v="0"/>
    <n v="5"/>
    <n v="1"/>
    <n v="0.3"/>
    <n v="0.28789999999999999"/>
    <n v="0.28789999999999999"/>
    <n v="0.28000000000000003"/>
    <n v="0.19400000000000001"/>
    <n v="14"/>
    <n v="111"/>
    <n v="125"/>
    <x v="1"/>
    <x v="0"/>
    <s v="Winter"/>
    <s v="Friday"/>
    <x v="2"/>
    <n v="6.1"/>
    <n v="3"/>
    <n v="28"/>
    <n v="13"/>
    <n v="0.88800000000000001"/>
    <x v="2"/>
    <n v="2.0099999999999998"/>
    <s v=""/>
    <s v="OK"/>
    <s v="No"/>
  </r>
  <r>
    <n v="939"/>
    <s v="Dataset 3"/>
    <n v="0"/>
    <n v="0"/>
    <n v="329"/>
    <x v="41"/>
    <n v="1"/>
    <n v="0"/>
    <n v="2"/>
    <x v="17"/>
    <b v="0"/>
    <n v="5"/>
    <n v="1"/>
    <n v="0.3"/>
    <n v="0.33329999999999999"/>
    <n v="0.33329999999999999"/>
    <n v="0.24"/>
    <n v="0"/>
    <n v="18"/>
    <n v="193"/>
    <n v="211"/>
    <x v="1"/>
    <x v="0"/>
    <s v="Winter"/>
    <s v="Friday"/>
    <x v="2"/>
    <n v="6.1"/>
    <n v="6"/>
    <n v="24"/>
    <n v="0"/>
    <n v="0.91469194312796209"/>
    <x v="2"/>
    <n v="1.03"/>
    <s v=""/>
    <s v="OK"/>
    <s v="No"/>
  </r>
  <r>
    <n v="940"/>
    <s v="Dataset 3"/>
    <n v="0"/>
    <n v="0"/>
    <n v="330"/>
    <x v="41"/>
    <n v="1"/>
    <n v="0"/>
    <n v="2"/>
    <x v="18"/>
    <b v="0"/>
    <n v="5"/>
    <n v="1"/>
    <n v="0.28000000000000003"/>
    <n v="0.31819999999999998"/>
    <n v="0.31819999999999998"/>
    <n v="0.28000000000000003"/>
    <n v="0"/>
    <n v="9"/>
    <n v="165"/>
    <n v="174"/>
    <x v="1"/>
    <x v="0"/>
    <s v="Winter"/>
    <s v="Friday"/>
    <x v="3"/>
    <n v="5.2"/>
    <n v="5"/>
    <n v="28"/>
    <n v="0"/>
    <n v="0.94827586206896552"/>
    <x v="2"/>
    <n v="0.75"/>
    <s v=""/>
    <s v="OK"/>
    <s v="No"/>
  </r>
  <r>
    <n v="941"/>
    <s v="Dataset 3"/>
    <n v="0"/>
    <n v="0"/>
    <n v="331"/>
    <x v="41"/>
    <n v="1"/>
    <n v="0"/>
    <n v="2"/>
    <x v="19"/>
    <b v="0"/>
    <n v="5"/>
    <n v="1"/>
    <n v="0.26"/>
    <n v="0.30299999999999999"/>
    <n v="0.30299999999999999"/>
    <n v="0.33"/>
    <n v="0"/>
    <n v="7"/>
    <n v="94"/>
    <n v="101"/>
    <x v="1"/>
    <x v="0"/>
    <s v="Winter"/>
    <s v="Friday"/>
    <x v="3"/>
    <n v="4.2"/>
    <n v="4"/>
    <n v="33"/>
    <n v="0"/>
    <n v="0.93069306930693074"/>
    <x v="2"/>
    <n v="-0.13"/>
    <s v=""/>
    <s v="OK"/>
    <s v="No"/>
  </r>
  <r>
    <n v="942"/>
    <s v="Dataset 3"/>
    <n v="0"/>
    <n v="0"/>
    <n v="332"/>
    <x v="41"/>
    <n v="1"/>
    <n v="0"/>
    <n v="2"/>
    <x v="20"/>
    <b v="0"/>
    <n v="5"/>
    <n v="1"/>
    <n v="0.22"/>
    <n v="0.2273"/>
    <n v="0.2273"/>
    <n v="0.55000000000000004"/>
    <n v="0.1343"/>
    <n v="2"/>
    <n v="61"/>
    <n v="63"/>
    <x v="1"/>
    <x v="0"/>
    <s v="Winter"/>
    <s v="Friday"/>
    <x v="3"/>
    <n v="2.2999999999999998"/>
    <n v="-1"/>
    <n v="55"/>
    <n v="9"/>
    <n v="0.96825396825396826"/>
    <x v="0"/>
    <n v="-0.5"/>
    <s v=""/>
    <s v="OK"/>
    <s v="No"/>
  </r>
  <r>
    <n v="943"/>
    <s v="Dataset 3"/>
    <n v="0"/>
    <n v="0"/>
    <n v="333"/>
    <x v="41"/>
    <n v="1"/>
    <n v="0"/>
    <n v="2"/>
    <x v="21"/>
    <b v="0"/>
    <n v="5"/>
    <n v="1"/>
    <n v="0.2"/>
    <n v="0.21210000000000001"/>
    <n v="0.21210000000000001"/>
    <n v="0.59"/>
    <n v="0.1343"/>
    <n v="1"/>
    <n v="46"/>
    <n v="47"/>
    <x v="1"/>
    <x v="0"/>
    <s v="Winter"/>
    <s v="Friday"/>
    <x v="3"/>
    <n v="1.4"/>
    <n v="-2"/>
    <n v="59"/>
    <n v="9"/>
    <n v="0.97872340425531912"/>
    <x v="0"/>
    <n v="-0.36"/>
    <s v=""/>
    <s v="OK"/>
    <s v="No"/>
  </r>
  <r>
    <n v="944"/>
    <s v="Dataset 3"/>
    <n v="0"/>
    <n v="0"/>
    <n v="334"/>
    <x v="41"/>
    <n v="1"/>
    <n v="0"/>
    <n v="2"/>
    <x v="22"/>
    <b v="0"/>
    <n v="5"/>
    <n v="1"/>
    <n v="0.2"/>
    <n v="0.2273"/>
    <n v="0.2273"/>
    <n v="0.64"/>
    <n v="8.9599999999999999E-2"/>
    <n v="2"/>
    <n v="41"/>
    <n v="43"/>
    <x v="1"/>
    <x v="0"/>
    <s v="Winter"/>
    <s v="Friday"/>
    <x v="3"/>
    <n v="1.4"/>
    <n v="-1"/>
    <n v="64"/>
    <n v="6"/>
    <n v="0.95348837209302328"/>
    <x v="0"/>
    <n v="0.51"/>
    <s v=""/>
    <s v="OK"/>
    <s v="No"/>
  </r>
  <r>
    <n v="945"/>
    <s v="Dataset 3"/>
    <n v="0"/>
    <n v="0"/>
    <n v="335"/>
    <x v="41"/>
    <n v="1"/>
    <n v="0"/>
    <n v="2"/>
    <x v="23"/>
    <b v="0"/>
    <n v="5"/>
    <n v="1"/>
    <n v="0.18"/>
    <n v="0.2424"/>
    <n v="0.2424"/>
    <n v="0.69"/>
    <n v="0"/>
    <n v="5"/>
    <n v="48"/>
    <n v="53"/>
    <x v="1"/>
    <x v="0"/>
    <s v="Winter"/>
    <s v="Friday"/>
    <x v="3"/>
    <n v="0.5"/>
    <n v="0"/>
    <n v="69"/>
    <n v="0"/>
    <n v="0.90566037735849059"/>
    <x v="0"/>
    <n v="2.88"/>
    <s v=""/>
    <s v="OK"/>
    <s v="No"/>
  </r>
  <r>
    <n v="946"/>
    <s v="Dataset 3"/>
    <n v="0"/>
    <n v="0"/>
    <n v="336"/>
    <x v="42"/>
    <n v="1"/>
    <n v="0"/>
    <n v="2"/>
    <x v="0"/>
    <b v="0"/>
    <n v="6"/>
    <n v="1"/>
    <n v="0.16"/>
    <n v="0.19700000000000001"/>
    <n v="0.19700000000000001"/>
    <n v="0.69"/>
    <n v="8.9599999999999999E-2"/>
    <n v="3"/>
    <n v="27"/>
    <n v="30"/>
    <x v="0"/>
    <x v="0"/>
    <s v="Winter"/>
    <s v="Saturday"/>
    <x v="0"/>
    <n v="-0.5"/>
    <n v="-3"/>
    <n v="69"/>
    <n v="6"/>
    <n v="0.9"/>
    <x v="0"/>
    <n v="0.28999999999999998"/>
    <s v=""/>
    <s v="OK"/>
    <s v="No"/>
  </r>
  <r>
    <n v="947"/>
    <s v="Dataset 3"/>
    <n v="0"/>
    <n v="0"/>
    <n v="337"/>
    <x v="42"/>
    <n v="1"/>
    <n v="0"/>
    <n v="2"/>
    <x v="1"/>
    <b v="0"/>
    <n v="6"/>
    <n v="1"/>
    <n v="0.14000000000000001"/>
    <n v="0.21210000000000001"/>
    <n v="0.21210000000000001"/>
    <n v="0.86"/>
    <n v="0"/>
    <n v="2"/>
    <n v="22"/>
    <n v="24"/>
    <x v="0"/>
    <x v="0"/>
    <s v="Winter"/>
    <s v="Saturday"/>
    <x v="0"/>
    <n v="-1.4"/>
    <n v="-2"/>
    <n v="86"/>
    <n v="0"/>
    <n v="0.91666666666666663"/>
    <x v="0"/>
    <n v="0.22"/>
    <s v=""/>
    <s v="OK"/>
    <s v="No"/>
  </r>
  <r>
    <n v="948"/>
    <s v="Dataset 3"/>
    <n v="0"/>
    <n v="0"/>
    <n v="338"/>
    <x v="42"/>
    <n v="1"/>
    <n v="0"/>
    <n v="2"/>
    <x v="2"/>
    <b v="0"/>
    <n v="6"/>
    <n v="1"/>
    <n v="0.14000000000000001"/>
    <n v="0.21210000000000001"/>
    <n v="0.21210000000000001"/>
    <n v="0.8"/>
    <n v="0"/>
    <n v="2"/>
    <n v="13"/>
    <n v="15"/>
    <x v="0"/>
    <x v="0"/>
    <s v="Winter"/>
    <s v="Saturday"/>
    <x v="0"/>
    <n v="-1.4"/>
    <n v="-2"/>
    <n v="80"/>
    <n v="0"/>
    <n v="0.8666666666666667"/>
    <x v="1"/>
    <n v="-7.0000000000000007E-2"/>
    <s v=""/>
    <s v="OK"/>
    <s v="No"/>
  </r>
  <r>
    <n v="949"/>
    <s v="Dataset 3"/>
    <n v="0"/>
    <n v="0"/>
    <n v="339"/>
    <x v="42"/>
    <n v="1"/>
    <n v="0"/>
    <n v="2"/>
    <x v="3"/>
    <b v="0"/>
    <n v="6"/>
    <n v="1"/>
    <n v="0.12"/>
    <n v="0.19700000000000001"/>
    <n v="0.19700000000000001"/>
    <n v="0.8"/>
    <n v="0"/>
    <n v="3"/>
    <n v="7"/>
    <n v="10"/>
    <x v="0"/>
    <x v="0"/>
    <s v="Winter"/>
    <s v="Saturday"/>
    <x v="0"/>
    <n v="-2.4"/>
    <n v="-3"/>
    <n v="80"/>
    <n v="0"/>
    <n v="0.7"/>
    <x v="1"/>
    <n v="0.38"/>
    <s v=""/>
    <s v="OK"/>
    <s v="No"/>
  </r>
  <r>
    <n v="950"/>
    <s v="Dataset 3"/>
    <n v="0"/>
    <n v="0"/>
    <n v="340"/>
    <x v="42"/>
    <n v="1"/>
    <n v="0"/>
    <n v="2"/>
    <x v="4"/>
    <b v="0"/>
    <n v="6"/>
    <n v="1"/>
    <n v="0.12"/>
    <n v="0.16669999999999999"/>
    <n v="0.16669999999999999"/>
    <n v="0.74"/>
    <n v="8.9599999999999999E-2"/>
    <n v="0"/>
    <n v="4"/>
    <n v="4"/>
    <x v="0"/>
    <x v="0"/>
    <s v="Winter"/>
    <s v="Saturday"/>
    <x v="0"/>
    <n v="-2.4"/>
    <n v="-5"/>
    <n v="74"/>
    <n v="6"/>
    <n v="1"/>
    <x v="1"/>
    <n v="0.65"/>
    <s v=""/>
    <s v="OK"/>
    <s v="No"/>
  </r>
  <r>
    <n v="951"/>
    <s v="Dataset 3"/>
    <n v="0"/>
    <n v="0"/>
    <n v="341"/>
    <x v="42"/>
    <n v="1"/>
    <n v="0"/>
    <n v="2"/>
    <x v="5"/>
    <b v="0"/>
    <n v="6"/>
    <n v="1"/>
    <n v="0.12"/>
    <n v="0.16669999999999999"/>
    <n v="0.16669999999999999"/>
    <n v="0.74"/>
    <n v="8.9599999999999999E-2"/>
    <n v="0"/>
    <n v="1"/>
    <n v="1"/>
    <x v="0"/>
    <x v="0"/>
    <s v="Winter"/>
    <s v="Saturday"/>
    <x v="0"/>
    <n v="-2.4"/>
    <n v="-5"/>
    <n v="74"/>
    <n v="6"/>
    <n v="1"/>
    <x v="1"/>
    <n v="-0.62"/>
    <s v=""/>
    <s v="OK"/>
    <s v="No"/>
  </r>
  <r>
    <n v="952"/>
    <s v="Dataset 3"/>
    <n v="0"/>
    <n v="0"/>
    <n v="342"/>
    <x v="42"/>
    <n v="1"/>
    <n v="0"/>
    <n v="2"/>
    <x v="6"/>
    <b v="0"/>
    <n v="6"/>
    <n v="1"/>
    <n v="0.12"/>
    <n v="0.13639999999999999"/>
    <n v="0.13639999999999999"/>
    <n v="0.93"/>
    <n v="0.19400000000000001"/>
    <n v="1"/>
    <n v="1"/>
    <n v="2"/>
    <x v="0"/>
    <x v="0"/>
    <s v="Winter"/>
    <s v="Saturday"/>
    <x v="1"/>
    <n v="-2.4"/>
    <n v="-7"/>
    <n v="93"/>
    <n v="13"/>
    <n v="0.5"/>
    <x v="1"/>
    <n v="-0.26"/>
    <s v=""/>
    <s v="OK"/>
    <s v="No"/>
  </r>
  <r>
    <n v="953"/>
    <s v="Dataset 3"/>
    <n v="0"/>
    <n v="0"/>
    <n v="343"/>
    <x v="42"/>
    <n v="1"/>
    <n v="0"/>
    <n v="2"/>
    <x v="7"/>
    <b v="0"/>
    <n v="6"/>
    <n v="1"/>
    <n v="0.12"/>
    <n v="0.1515"/>
    <n v="0.1515"/>
    <n v="0.8"/>
    <n v="0.1045"/>
    <n v="2"/>
    <n v="9"/>
    <n v="11"/>
    <x v="0"/>
    <x v="0"/>
    <s v="Winter"/>
    <s v="Saturday"/>
    <x v="1"/>
    <n v="-2.4"/>
    <n v="-6"/>
    <n v="80"/>
    <n v="7"/>
    <n v="0.81818181818181823"/>
    <x v="1"/>
    <n v="1.38"/>
    <s v=""/>
    <s v="OK"/>
    <s v="No"/>
  </r>
  <r>
    <n v="954"/>
    <s v="Dataset 3"/>
    <n v="0"/>
    <n v="0"/>
    <n v="344"/>
    <x v="42"/>
    <n v="1"/>
    <n v="0"/>
    <n v="2"/>
    <x v="8"/>
    <b v="0"/>
    <n v="6"/>
    <n v="1"/>
    <n v="0.14000000000000001"/>
    <n v="0.1515"/>
    <n v="0.1515"/>
    <n v="0.86"/>
    <n v="0.1343"/>
    <n v="2"/>
    <n v="28"/>
    <n v="30"/>
    <x v="0"/>
    <x v="0"/>
    <s v="Winter"/>
    <s v="Saturday"/>
    <x v="1"/>
    <n v="-1.4"/>
    <n v="-6"/>
    <n v="86"/>
    <n v="9"/>
    <n v="0.93333333333333335"/>
    <x v="0"/>
    <n v="1.23"/>
    <s v=""/>
    <s v="OK"/>
    <s v="No"/>
  </r>
  <r>
    <n v="955"/>
    <s v="Dataset 3"/>
    <n v="0"/>
    <n v="0"/>
    <n v="345"/>
    <x v="42"/>
    <n v="1"/>
    <n v="0"/>
    <n v="2"/>
    <x v="9"/>
    <b v="0"/>
    <n v="6"/>
    <n v="1"/>
    <n v="0.16"/>
    <n v="0.18179999999999999"/>
    <n v="0.18179999999999999"/>
    <n v="0.64"/>
    <n v="0.1343"/>
    <n v="5"/>
    <n v="38"/>
    <n v="43"/>
    <x v="0"/>
    <x v="0"/>
    <s v="Winter"/>
    <s v="Saturday"/>
    <x v="1"/>
    <n v="-0.5"/>
    <n v="-4"/>
    <n v="64"/>
    <n v="9"/>
    <n v="0.88372093023255816"/>
    <x v="0"/>
    <n v="0.97"/>
    <s v=""/>
    <s v="OK"/>
    <s v="No"/>
  </r>
  <r>
    <n v="956"/>
    <s v="Dataset 3"/>
    <n v="0"/>
    <n v="0"/>
    <n v="346"/>
    <x v="42"/>
    <n v="1"/>
    <n v="0"/>
    <n v="2"/>
    <x v="10"/>
    <b v="0"/>
    <n v="6"/>
    <n v="1"/>
    <n v="0.22"/>
    <n v="0.21210000000000001"/>
    <n v="0.21210000000000001"/>
    <n v="0.41"/>
    <n v="0.25369999999999998"/>
    <n v="13"/>
    <n v="71"/>
    <n v="84"/>
    <x v="0"/>
    <x v="0"/>
    <s v="Winter"/>
    <s v="Saturday"/>
    <x v="1"/>
    <n v="2.2999999999999998"/>
    <n v="-2"/>
    <n v="41"/>
    <n v="17"/>
    <n v="0.84523809523809523"/>
    <x v="2"/>
    <n v="1.1200000000000001"/>
    <s v=""/>
    <s v="OK"/>
    <s v="No"/>
  </r>
  <r>
    <n v="957"/>
    <s v="Dataset 3"/>
    <n v="0"/>
    <n v="0"/>
    <n v="347"/>
    <x v="42"/>
    <n v="1"/>
    <n v="0"/>
    <n v="2"/>
    <x v="11"/>
    <b v="0"/>
    <n v="6"/>
    <n v="1"/>
    <n v="0.3"/>
    <n v="0.2727"/>
    <n v="0.2727"/>
    <n v="0.28000000000000003"/>
    <n v="0.32840000000000003"/>
    <n v="30"/>
    <n v="84"/>
    <n v="114"/>
    <x v="0"/>
    <x v="0"/>
    <s v="Winter"/>
    <s v="Saturday"/>
    <x v="1"/>
    <n v="6.1"/>
    <n v="2"/>
    <n v="28"/>
    <n v="22"/>
    <n v="0.73684210526315785"/>
    <x v="2"/>
    <n v="1.57"/>
    <s v=""/>
    <s v="OK"/>
    <s v="No"/>
  </r>
  <r>
    <n v="958"/>
    <s v="Dataset 3"/>
    <n v="0"/>
    <n v="0"/>
    <n v="348"/>
    <x v="42"/>
    <n v="1"/>
    <n v="0"/>
    <n v="2"/>
    <x v="12"/>
    <b v="0"/>
    <n v="6"/>
    <n v="1"/>
    <n v="0.3"/>
    <n v="0.2727"/>
    <n v="0.2727"/>
    <n v="0.39"/>
    <n v="0.4627"/>
    <n v="27"/>
    <n v="93"/>
    <n v="120"/>
    <x v="0"/>
    <x v="0"/>
    <s v="Winter"/>
    <s v="Saturday"/>
    <x v="2"/>
    <n v="6.1"/>
    <n v="2"/>
    <n v="39"/>
    <n v="31"/>
    <n v="0.77500000000000002"/>
    <x v="2"/>
    <n v="0.66"/>
    <s v=""/>
    <s v="OK"/>
    <s v="No"/>
  </r>
  <r>
    <n v="959"/>
    <s v="Dataset 3"/>
    <n v="0"/>
    <n v="0"/>
    <n v="349"/>
    <x v="42"/>
    <n v="1"/>
    <n v="0"/>
    <n v="2"/>
    <x v="13"/>
    <b v="0"/>
    <n v="6"/>
    <n v="1"/>
    <n v="0.3"/>
    <n v="0.2727"/>
    <n v="0.2727"/>
    <n v="0.39"/>
    <n v="0.41789999999999999"/>
    <n v="32"/>
    <n v="103"/>
    <n v="135"/>
    <x v="0"/>
    <x v="0"/>
    <s v="Winter"/>
    <s v="Saturday"/>
    <x v="2"/>
    <n v="6.1"/>
    <n v="2"/>
    <n v="39"/>
    <n v="28"/>
    <n v="0.76296296296296295"/>
    <x v="2"/>
    <n v="1.02"/>
    <s v=""/>
    <s v="OK"/>
    <s v="No"/>
  </r>
  <r>
    <n v="960"/>
    <s v="Dataset 3"/>
    <n v="0"/>
    <n v="0"/>
    <n v="350"/>
    <x v="42"/>
    <n v="1"/>
    <n v="0"/>
    <n v="2"/>
    <x v="14"/>
    <b v="0"/>
    <n v="6"/>
    <n v="1"/>
    <n v="0.34"/>
    <n v="0.31819999999999998"/>
    <n v="0.31819999999999998"/>
    <n v="0.31"/>
    <n v="0.28360000000000002"/>
    <n v="30"/>
    <n v="90"/>
    <n v="120"/>
    <x v="0"/>
    <x v="0"/>
    <s v="Winter"/>
    <s v="Saturday"/>
    <x v="2"/>
    <n v="8"/>
    <n v="5"/>
    <n v="31"/>
    <n v="19"/>
    <n v="0.75"/>
    <x v="2"/>
    <n v="0.56999999999999995"/>
    <s v=""/>
    <s v="OK"/>
    <s v="No"/>
  </r>
  <r>
    <n v="961"/>
    <s v="Dataset 3"/>
    <n v="0"/>
    <n v="0"/>
    <n v="351"/>
    <x v="42"/>
    <n v="1"/>
    <n v="0"/>
    <n v="2"/>
    <x v="15"/>
    <b v="0"/>
    <n v="6"/>
    <n v="1"/>
    <n v="0.34"/>
    <n v="0.30299999999999999"/>
    <n v="0.30299999999999999"/>
    <n v="0.28999999999999998"/>
    <n v="0.41789999999999999"/>
    <n v="47"/>
    <n v="127"/>
    <n v="174"/>
    <x v="0"/>
    <x v="0"/>
    <s v="Winter"/>
    <s v="Saturday"/>
    <x v="2"/>
    <n v="8"/>
    <n v="4"/>
    <n v="29"/>
    <n v="28"/>
    <n v="0.72988505747126442"/>
    <x v="2"/>
    <n v="1.68"/>
    <s v=""/>
    <s v="OK"/>
    <s v="No"/>
  </r>
  <r>
    <n v="962"/>
    <s v="Dataset 3"/>
    <n v="0"/>
    <n v="0"/>
    <n v="352"/>
    <x v="42"/>
    <n v="1"/>
    <n v="0"/>
    <n v="2"/>
    <x v="16"/>
    <b v="0"/>
    <n v="6"/>
    <n v="1"/>
    <n v="0.34"/>
    <n v="0.30299999999999999"/>
    <n v="0.30299999999999999"/>
    <n v="0.28999999999999998"/>
    <n v="0.41789999999999999"/>
    <n v="42"/>
    <n v="103"/>
    <n v="145"/>
    <x v="0"/>
    <x v="0"/>
    <s v="Winter"/>
    <s v="Saturday"/>
    <x v="2"/>
    <n v="8"/>
    <n v="4"/>
    <n v="29"/>
    <n v="28"/>
    <n v="0.71034482758620687"/>
    <x v="2"/>
    <n v="1.49"/>
    <s v=""/>
    <s v="OK"/>
    <s v="No"/>
  </r>
  <r>
    <n v="963"/>
    <s v="Dataset 3"/>
    <n v="0"/>
    <n v="0"/>
    <n v="353"/>
    <x v="42"/>
    <n v="1"/>
    <n v="0"/>
    <n v="2"/>
    <x v="17"/>
    <b v="0"/>
    <n v="6"/>
    <n v="1"/>
    <n v="0.32"/>
    <n v="0.28789999999999999"/>
    <n v="0.28789999999999999"/>
    <n v="0.31"/>
    <n v="0.52239999999999998"/>
    <n v="24"/>
    <n v="113"/>
    <n v="137"/>
    <x v="0"/>
    <x v="0"/>
    <s v="Winter"/>
    <s v="Saturday"/>
    <x v="2"/>
    <n v="7"/>
    <n v="3"/>
    <n v="31"/>
    <n v="35"/>
    <n v="0.82481751824817517"/>
    <x v="2"/>
    <n v="2.0499999999999998"/>
    <s v=""/>
    <s v="OK"/>
    <s v="No"/>
  </r>
  <r>
    <n v="964"/>
    <s v="Dataset 3"/>
    <n v="0"/>
    <n v="0"/>
    <n v="354"/>
    <x v="42"/>
    <n v="1"/>
    <n v="0"/>
    <n v="2"/>
    <x v="18"/>
    <b v="0"/>
    <n v="6"/>
    <n v="1"/>
    <n v="0.28000000000000003"/>
    <n v="0.2576"/>
    <n v="0.2576"/>
    <n v="0.38"/>
    <n v="0.32840000000000003"/>
    <n v="4"/>
    <n v="60"/>
    <n v="64"/>
    <x v="0"/>
    <x v="0"/>
    <s v="Winter"/>
    <s v="Saturday"/>
    <x v="3"/>
    <n v="5.2"/>
    <n v="1"/>
    <n v="38"/>
    <n v="22"/>
    <n v="0.9375"/>
    <x v="0"/>
    <n v="-0.11"/>
    <s v=""/>
    <s v="OK"/>
    <s v="No"/>
  </r>
  <r>
    <n v="965"/>
    <s v="Dataset 3"/>
    <n v="0"/>
    <n v="0"/>
    <n v="355"/>
    <x v="42"/>
    <n v="1"/>
    <n v="0"/>
    <n v="2"/>
    <x v="19"/>
    <b v="0"/>
    <n v="6"/>
    <n v="1"/>
    <n v="0.28000000000000003"/>
    <n v="0.2727"/>
    <n v="0.2727"/>
    <n v="0.38"/>
    <n v="0.16420000000000001"/>
    <n v="2"/>
    <n v="39"/>
    <n v="41"/>
    <x v="0"/>
    <x v="0"/>
    <s v="Winter"/>
    <s v="Saturday"/>
    <x v="3"/>
    <n v="5.2"/>
    <n v="2"/>
    <n v="38"/>
    <n v="11"/>
    <n v="0.95121951219512191"/>
    <x v="0"/>
    <n v="-0.56999999999999995"/>
    <s v=""/>
    <s v="OK"/>
    <s v="No"/>
  </r>
  <r>
    <n v="966"/>
    <s v="Dataset 3"/>
    <n v="0"/>
    <n v="0"/>
    <n v="356"/>
    <x v="42"/>
    <n v="1"/>
    <n v="0"/>
    <n v="2"/>
    <x v="20"/>
    <b v="0"/>
    <n v="6"/>
    <n v="1"/>
    <n v="0.26"/>
    <n v="0.2576"/>
    <n v="0.2576"/>
    <n v="0.41"/>
    <n v="0.22389999999999999"/>
    <n v="1"/>
    <n v="39"/>
    <n v="40"/>
    <x v="0"/>
    <x v="0"/>
    <s v="Winter"/>
    <s v="Saturday"/>
    <x v="3"/>
    <n v="4.2"/>
    <n v="1"/>
    <n v="41"/>
    <n v="15"/>
    <n v="0.97499999999999998"/>
    <x v="0"/>
    <n v="0.04"/>
    <s v=""/>
    <s v="OK"/>
    <s v="No"/>
  </r>
  <r>
    <n v="967"/>
    <s v="Dataset 3"/>
    <n v="0"/>
    <n v="0"/>
    <n v="357"/>
    <x v="42"/>
    <n v="1"/>
    <n v="0"/>
    <n v="2"/>
    <x v="21"/>
    <b v="0"/>
    <n v="6"/>
    <n v="1"/>
    <n v="0.26"/>
    <n v="0.30299999999999999"/>
    <n v="0.30299999999999999"/>
    <n v="0.41"/>
    <n v="0"/>
    <n v="9"/>
    <n v="42"/>
    <n v="51"/>
    <x v="0"/>
    <x v="0"/>
    <s v="Winter"/>
    <s v="Saturday"/>
    <x v="3"/>
    <n v="4.2"/>
    <n v="4"/>
    <n v="41"/>
    <n v="0"/>
    <n v="0.82352941176470584"/>
    <x v="0"/>
    <n v="1.22"/>
    <s v=""/>
    <s v="OK"/>
    <s v="No"/>
  </r>
  <r>
    <n v="968"/>
    <s v="Dataset 3"/>
    <n v="0"/>
    <n v="0"/>
    <n v="358"/>
    <x v="42"/>
    <n v="1"/>
    <n v="0"/>
    <n v="2"/>
    <x v="22"/>
    <b v="0"/>
    <n v="6"/>
    <n v="1"/>
    <n v="0.24"/>
    <n v="0.2576"/>
    <n v="0.2576"/>
    <n v="0.44"/>
    <n v="8.9599999999999999E-2"/>
    <n v="6"/>
    <n v="39"/>
    <n v="45"/>
    <x v="0"/>
    <x v="0"/>
    <s v="Winter"/>
    <s v="Saturday"/>
    <x v="3"/>
    <n v="3.3"/>
    <n v="1"/>
    <n v="44"/>
    <n v="6"/>
    <n v="0.8666666666666667"/>
    <x v="0"/>
    <n v="1.1100000000000001"/>
    <s v=""/>
    <s v="OK"/>
    <s v="No"/>
  </r>
  <r>
    <n v="969"/>
    <s v="Dataset 3"/>
    <n v="0"/>
    <n v="0"/>
    <n v="359"/>
    <x v="42"/>
    <n v="1"/>
    <n v="0"/>
    <n v="2"/>
    <x v="23"/>
    <b v="0"/>
    <n v="6"/>
    <n v="1"/>
    <n v="0.22"/>
    <n v="0.2273"/>
    <n v="0.2273"/>
    <n v="0.51"/>
    <n v="0.1343"/>
    <n v="1"/>
    <n v="31"/>
    <n v="32"/>
    <x v="0"/>
    <x v="0"/>
    <s v="Winter"/>
    <s v="Saturday"/>
    <x v="3"/>
    <n v="2.2999999999999998"/>
    <n v="-1"/>
    <n v="51"/>
    <n v="9"/>
    <n v="0.96875"/>
    <x v="0"/>
    <n v="0.36"/>
    <s v=""/>
    <s v="OK"/>
    <s v="No"/>
  </r>
  <r>
    <n v="970"/>
    <s v="Dataset 3"/>
    <n v="0"/>
    <n v="0"/>
    <n v="360"/>
    <x v="43"/>
    <n v="1"/>
    <n v="0"/>
    <n v="2"/>
    <x v="0"/>
    <b v="0"/>
    <n v="0"/>
    <n v="1"/>
    <n v="0.2"/>
    <n v="0.2273"/>
    <n v="0.2273"/>
    <n v="0.64"/>
    <n v="0.1045"/>
    <n v="5"/>
    <n v="34"/>
    <n v="39"/>
    <x v="0"/>
    <x v="0"/>
    <s v="Winter"/>
    <s v="Sunday"/>
    <x v="0"/>
    <n v="1.4"/>
    <n v="-1"/>
    <n v="64"/>
    <n v="7"/>
    <n v="0.87179487179487181"/>
    <x v="0"/>
    <n v="1.28"/>
    <s v=""/>
    <s v="OK"/>
    <s v="No"/>
  </r>
  <r>
    <n v="971"/>
    <s v="Dataset 3"/>
    <n v="0"/>
    <n v="0"/>
    <n v="361"/>
    <x v="43"/>
    <n v="1"/>
    <n v="0"/>
    <n v="2"/>
    <x v="1"/>
    <b v="0"/>
    <n v="0"/>
    <n v="1"/>
    <n v="0.2"/>
    <n v="0.2273"/>
    <n v="0.2273"/>
    <n v="0.59"/>
    <n v="8.9599999999999999E-2"/>
    <n v="1"/>
    <n v="23"/>
    <n v="24"/>
    <x v="0"/>
    <x v="0"/>
    <s v="Winter"/>
    <s v="Sunday"/>
    <x v="0"/>
    <n v="1.4"/>
    <n v="-1"/>
    <n v="59"/>
    <n v="6"/>
    <n v="0.95833333333333337"/>
    <x v="0"/>
    <n v="0.22"/>
    <s v=""/>
    <s v="OK"/>
    <s v="No"/>
  </r>
  <r>
    <n v="972"/>
    <s v="Dataset 3"/>
    <n v="0"/>
    <n v="0"/>
    <n v="362"/>
    <x v="43"/>
    <n v="1"/>
    <n v="0"/>
    <n v="2"/>
    <x v="2"/>
    <b v="0"/>
    <n v="0"/>
    <n v="2"/>
    <n v="0.2"/>
    <n v="0.2273"/>
    <n v="0.2273"/>
    <n v="0.75"/>
    <n v="8.9599999999999999E-2"/>
    <n v="1"/>
    <n v="19"/>
    <n v="20"/>
    <x v="0"/>
    <x v="1"/>
    <s v="Winter"/>
    <s v="Sunday"/>
    <x v="0"/>
    <n v="1.4"/>
    <n v="-1"/>
    <n v="75"/>
    <n v="6"/>
    <n v="0.95"/>
    <x v="0"/>
    <n v="0.77"/>
    <s v=""/>
    <s v="OK"/>
    <s v="No"/>
  </r>
  <r>
    <n v="973"/>
    <s v="Dataset 3"/>
    <n v="0"/>
    <n v="0"/>
    <n v="363"/>
    <x v="43"/>
    <n v="1"/>
    <n v="0"/>
    <n v="2"/>
    <x v="3"/>
    <b v="0"/>
    <n v="0"/>
    <n v="2"/>
    <n v="0.2"/>
    <n v="0.2273"/>
    <n v="0.2273"/>
    <n v="0.69"/>
    <n v="0.1045"/>
    <n v="4"/>
    <n v="8"/>
    <n v="12"/>
    <x v="0"/>
    <x v="1"/>
    <s v="Winter"/>
    <s v="Sunday"/>
    <x v="0"/>
    <n v="1.4"/>
    <n v="-1"/>
    <n v="69"/>
    <n v="7"/>
    <n v="0.66666666666666663"/>
    <x v="1"/>
    <n v="0.92"/>
    <s v=""/>
    <s v="OK"/>
    <s v="No"/>
  </r>
  <r>
    <n v="974"/>
    <s v="Dataset 3"/>
    <n v="0"/>
    <n v="0"/>
    <n v="364"/>
    <x v="43"/>
    <n v="1"/>
    <n v="0"/>
    <n v="2"/>
    <x v="4"/>
    <b v="0"/>
    <n v="0"/>
    <n v="2"/>
    <n v="0.2"/>
    <n v="0.21210000000000001"/>
    <n v="0.21210000000000001"/>
    <n v="0.69"/>
    <n v="0.16420000000000001"/>
    <n v="0"/>
    <n v="2"/>
    <n v="2"/>
    <x v="0"/>
    <x v="1"/>
    <s v="Winter"/>
    <s v="Sunday"/>
    <x v="0"/>
    <n v="1.4"/>
    <n v="-2"/>
    <n v="69"/>
    <n v="11"/>
    <n v="1"/>
    <x v="1"/>
    <n v="-0.36"/>
    <s v=""/>
    <s v="OK"/>
    <s v="No"/>
  </r>
  <r>
    <n v="975"/>
    <s v="Dataset 3"/>
    <n v="0"/>
    <n v="0"/>
    <n v="365"/>
    <x v="43"/>
    <n v="1"/>
    <n v="0"/>
    <n v="2"/>
    <x v="6"/>
    <b v="0"/>
    <n v="0"/>
    <n v="2"/>
    <n v="0.2"/>
    <n v="0.21210000000000001"/>
    <n v="0.21210000000000001"/>
    <n v="0.69"/>
    <n v="0.1343"/>
    <n v="2"/>
    <n v="3"/>
    <n v="5"/>
    <x v="0"/>
    <x v="1"/>
    <s v="Winter"/>
    <s v="Sunday"/>
    <x v="1"/>
    <n v="1.4"/>
    <n v="-2"/>
    <n v="69"/>
    <n v="9"/>
    <n v="0.6"/>
    <x v="1"/>
    <n v="1.9"/>
    <s v=""/>
    <s v="OK"/>
    <s v="No"/>
  </r>
  <r>
    <n v="976"/>
    <s v="Dataset 3"/>
    <n v="0"/>
    <n v="0"/>
    <n v="366"/>
    <x v="43"/>
    <n v="1"/>
    <n v="0"/>
    <n v="2"/>
    <x v="7"/>
    <b v="0"/>
    <n v="0"/>
    <n v="2"/>
    <n v="0.22"/>
    <n v="0.2727"/>
    <n v="0.2727"/>
    <n v="0.55000000000000004"/>
    <n v="0"/>
    <n v="0"/>
    <n v="3"/>
    <n v="3"/>
    <x v="0"/>
    <x v="1"/>
    <s v="Winter"/>
    <s v="Sunday"/>
    <x v="1"/>
    <n v="2.2999999999999998"/>
    <n v="2"/>
    <n v="55"/>
    <n v="0"/>
    <n v="1"/>
    <x v="1"/>
    <n v="-0.8"/>
    <s v=""/>
    <s v="OK"/>
    <s v="No"/>
  </r>
  <r>
    <n v="977"/>
    <s v="Dataset 3"/>
    <n v="0"/>
    <n v="0"/>
    <n v="367"/>
    <x v="43"/>
    <n v="1"/>
    <n v="0"/>
    <n v="2"/>
    <x v="8"/>
    <b v="0"/>
    <n v="0"/>
    <n v="2"/>
    <n v="0.22"/>
    <n v="0.2273"/>
    <n v="0.2273"/>
    <n v="0.64"/>
    <n v="0.19400000000000001"/>
    <n v="1"/>
    <n v="11"/>
    <n v="12"/>
    <x v="0"/>
    <x v="1"/>
    <s v="Winter"/>
    <s v="Sunday"/>
    <x v="1"/>
    <n v="2.2999999999999998"/>
    <n v="-1"/>
    <n v="64"/>
    <n v="13"/>
    <n v="0.91666666666666663"/>
    <x v="1"/>
    <n v="-0.75"/>
    <s v=""/>
    <s v="OK"/>
    <s v="No"/>
  </r>
  <r>
    <n v="978"/>
    <s v="Dataset 3"/>
    <n v="0"/>
    <n v="0"/>
    <n v="368"/>
    <x v="43"/>
    <n v="1"/>
    <n v="0"/>
    <n v="2"/>
    <x v="9"/>
    <b v="0"/>
    <n v="0"/>
    <n v="2"/>
    <n v="0.24"/>
    <n v="0.2273"/>
    <n v="0.2273"/>
    <n v="0.6"/>
    <n v="0.22389999999999999"/>
    <n v="12"/>
    <n v="35"/>
    <n v="47"/>
    <x v="0"/>
    <x v="1"/>
    <s v="Winter"/>
    <s v="Sunday"/>
    <x v="1"/>
    <n v="3.3"/>
    <n v="-1"/>
    <n v="60"/>
    <n v="15"/>
    <n v="0.74468085106382975"/>
    <x v="0"/>
    <n v="1.33"/>
    <s v=""/>
    <s v="OK"/>
    <s v="No"/>
  </r>
  <r>
    <n v="979"/>
    <s v="Dataset 3"/>
    <n v="0"/>
    <n v="0"/>
    <n v="369"/>
    <x v="43"/>
    <n v="1"/>
    <n v="0"/>
    <n v="2"/>
    <x v="10"/>
    <b v="0"/>
    <n v="0"/>
    <n v="1"/>
    <n v="0.3"/>
    <n v="0.2727"/>
    <n v="0.2727"/>
    <n v="0.45"/>
    <n v="0.32840000000000003"/>
    <n v="19"/>
    <n v="86"/>
    <n v="105"/>
    <x v="0"/>
    <x v="0"/>
    <s v="Winter"/>
    <s v="Sunday"/>
    <x v="1"/>
    <n v="6.1"/>
    <n v="2"/>
    <n v="45"/>
    <n v="22"/>
    <n v="0.81904761904761902"/>
    <x v="2"/>
    <n v="2.2000000000000002"/>
    <s v=""/>
    <s v="OK"/>
    <s v="No"/>
  </r>
  <r>
    <n v="980"/>
    <s v="Dataset 3"/>
    <n v="0"/>
    <n v="0"/>
    <n v="370"/>
    <x v="43"/>
    <n v="1"/>
    <n v="0"/>
    <n v="2"/>
    <x v="11"/>
    <b v="0"/>
    <n v="0"/>
    <n v="1"/>
    <n v="0.32"/>
    <n v="0.28789999999999999"/>
    <n v="0.28789999999999999"/>
    <n v="0.39"/>
    <n v="0.44779999999999998"/>
    <n v="26"/>
    <n v="86"/>
    <n v="112"/>
    <x v="0"/>
    <x v="0"/>
    <s v="Winter"/>
    <s v="Sunday"/>
    <x v="1"/>
    <n v="7"/>
    <n v="3"/>
    <n v="39"/>
    <n v="30"/>
    <n v="0.7678571428571429"/>
    <x v="2"/>
    <n v="1.48"/>
    <s v=""/>
    <s v="OK"/>
    <s v="No"/>
  </r>
  <r>
    <n v="981"/>
    <s v="Dataset 3"/>
    <n v="0"/>
    <n v="0"/>
    <n v="371"/>
    <x v="43"/>
    <n v="1"/>
    <n v="0"/>
    <n v="2"/>
    <x v="12"/>
    <b v="0"/>
    <n v="0"/>
    <n v="1"/>
    <n v="0.36"/>
    <n v="0.31819999999999998"/>
    <n v="0.31819999999999998"/>
    <n v="0.32"/>
    <n v="0.4627"/>
    <n v="58"/>
    <n v="94"/>
    <n v="152"/>
    <x v="0"/>
    <x v="0"/>
    <s v="Winter"/>
    <s v="Sunday"/>
    <x v="2"/>
    <n v="8.9"/>
    <n v="5"/>
    <n v="32"/>
    <n v="31"/>
    <n v="0.61842105263157898"/>
    <x v="2"/>
    <n v="1.69"/>
    <s v=""/>
    <s v="OK"/>
    <s v="No"/>
  </r>
  <r>
    <n v="982"/>
    <s v="Dataset 3"/>
    <n v="0"/>
    <n v="0"/>
    <n v="372"/>
    <x v="43"/>
    <n v="1"/>
    <n v="0"/>
    <n v="2"/>
    <x v="13"/>
    <b v="0"/>
    <n v="0"/>
    <n v="1"/>
    <n v="0.38"/>
    <n v="0.39389999999999997"/>
    <n v="0.39389999999999997"/>
    <n v="0.28999999999999998"/>
    <n v="0.35820000000000002"/>
    <n v="62"/>
    <n v="92"/>
    <n v="154"/>
    <x v="0"/>
    <x v="0"/>
    <s v="Winter"/>
    <s v="Sunday"/>
    <x v="2"/>
    <n v="9.9"/>
    <n v="10"/>
    <n v="29"/>
    <n v="24"/>
    <n v="0.59740259740259738"/>
    <x v="2"/>
    <n v="1.6"/>
    <s v=""/>
    <s v="OK"/>
    <s v="No"/>
  </r>
  <r>
    <n v="983"/>
    <s v="Dataset 3"/>
    <n v="0"/>
    <n v="0"/>
    <n v="373"/>
    <x v="43"/>
    <n v="1"/>
    <n v="0"/>
    <n v="2"/>
    <x v="14"/>
    <b v="0"/>
    <n v="0"/>
    <n v="2"/>
    <n v="0.4"/>
    <n v="0.40910000000000002"/>
    <n v="0.40910000000000002"/>
    <n v="0.3"/>
    <n v="0.41789999999999999"/>
    <n v="51"/>
    <n v="110"/>
    <n v="161"/>
    <x v="0"/>
    <x v="1"/>
    <s v="Winter"/>
    <s v="Sunday"/>
    <x v="2"/>
    <n v="10.8"/>
    <n v="11"/>
    <n v="30"/>
    <n v="28"/>
    <n v="0.68322981366459623"/>
    <x v="2"/>
    <n v="1.86"/>
    <s v=""/>
    <s v="OK"/>
    <s v="No"/>
  </r>
  <r>
    <n v="984"/>
    <s v="Dataset 3"/>
    <n v="0"/>
    <n v="0"/>
    <n v="374"/>
    <x v="43"/>
    <n v="1"/>
    <n v="0"/>
    <n v="2"/>
    <x v="15"/>
    <b v="0"/>
    <n v="0"/>
    <n v="2"/>
    <n v="0.4"/>
    <n v="0.40910000000000002"/>
    <n v="0.40910000000000002"/>
    <n v="0.3"/>
    <n v="0.29849999999999999"/>
    <n v="40"/>
    <n v="122"/>
    <n v="162"/>
    <x v="0"/>
    <x v="1"/>
    <s v="Winter"/>
    <s v="Sunday"/>
    <x v="2"/>
    <n v="10.8"/>
    <n v="11"/>
    <n v="30"/>
    <n v="20"/>
    <n v="0.75308641975308643"/>
    <x v="2"/>
    <n v="1.36"/>
    <s v=""/>
    <s v="OK"/>
    <s v="No"/>
  </r>
  <r>
    <n v="985"/>
    <s v="Dataset 3"/>
    <n v="0"/>
    <n v="0"/>
    <n v="375"/>
    <x v="43"/>
    <n v="1"/>
    <n v="0"/>
    <n v="2"/>
    <x v="16"/>
    <b v="0"/>
    <n v="0"/>
    <n v="2"/>
    <n v="0.42"/>
    <n v="0.42420000000000002"/>
    <n v="0.42420000000000002"/>
    <n v="0.28000000000000003"/>
    <n v="0.32840000000000003"/>
    <n v="28"/>
    <n v="106"/>
    <n v="134"/>
    <x v="0"/>
    <x v="1"/>
    <s v="Winter"/>
    <s v="Sunday"/>
    <x v="2"/>
    <n v="11.7"/>
    <n v="12"/>
    <n v="28"/>
    <n v="22"/>
    <n v="0.79104477611940294"/>
    <x v="2"/>
    <n v="1.1100000000000001"/>
    <s v=""/>
    <s v="OK"/>
    <s v="No"/>
  </r>
  <r>
    <n v="986"/>
    <s v="Dataset 3"/>
    <n v="0"/>
    <n v="0"/>
    <n v="376"/>
    <x v="43"/>
    <n v="1"/>
    <n v="0"/>
    <n v="2"/>
    <x v="17"/>
    <b v="0"/>
    <n v="0"/>
    <n v="1"/>
    <n v="0.42"/>
    <n v="0.42420000000000002"/>
    <n v="0.42420000000000002"/>
    <n v="0.28000000000000003"/>
    <n v="0.32840000000000003"/>
    <n v="30"/>
    <n v="95"/>
    <n v="125"/>
    <x v="0"/>
    <x v="0"/>
    <s v="Winter"/>
    <s v="Sunday"/>
    <x v="2"/>
    <n v="11.7"/>
    <n v="12"/>
    <n v="28"/>
    <n v="22"/>
    <n v="0.76"/>
    <x v="2"/>
    <n v="1.58"/>
    <s v=""/>
    <s v="OK"/>
    <s v="No"/>
  </r>
  <r>
    <n v="987"/>
    <s v="Dataset 3"/>
    <n v="0"/>
    <n v="0"/>
    <n v="377"/>
    <x v="43"/>
    <n v="1"/>
    <n v="0"/>
    <n v="2"/>
    <x v="18"/>
    <b v="0"/>
    <n v="0"/>
    <n v="1"/>
    <n v="0.4"/>
    <n v="0.40910000000000002"/>
    <n v="0.40910000000000002"/>
    <n v="0.32"/>
    <n v="0.29849999999999999"/>
    <n v="17"/>
    <n v="78"/>
    <n v="95"/>
    <x v="0"/>
    <x v="0"/>
    <s v="Winter"/>
    <s v="Sunday"/>
    <x v="3"/>
    <n v="10.8"/>
    <n v="11"/>
    <n v="32"/>
    <n v="20"/>
    <n v="0.82105263157894737"/>
    <x v="2"/>
    <n v="1.66"/>
    <s v=""/>
    <s v="OK"/>
    <s v="No"/>
  </r>
  <r>
    <n v="988"/>
    <s v="Dataset 3"/>
    <n v="0"/>
    <n v="0"/>
    <n v="378"/>
    <x v="43"/>
    <n v="1"/>
    <n v="0"/>
    <n v="2"/>
    <x v="19"/>
    <b v="0"/>
    <n v="0"/>
    <n v="1"/>
    <n v="0.4"/>
    <n v="0.40910000000000002"/>
    <n v="0.40910000000000002"/>
    <n v="0.35"/>
    <n v="0.28360000000000002"/>
    <n v="11"/>
    <n v="50"/>
    <n v="61"/>
    <x v="0"/>
    <x v="0"/>
    <s v="Winter"/>
    <s v="Sunday"/>
    <x v="3"/>
    <n v="10.8"/>
    <n v="11"/>
    <n v="35"/>
    <n v="19"/>
    <n v="0.81967213114754101"/>
    <x v="0"/>
    <n v="0.59"/>
    <s v=""/>
    <s v="OK"/>
    <s v="No"/>
  </r>
  <r>
    <n v="989"/>
    <s v="Dataset 3"/>
    <n v="0"/>
    <n v="0"/>
    <n v="379"/>
    <x v="43"/>
    <n v="1"/>
    <n v="0"/>
    <n v="2"/>
    <x v="20"/>
    <b v="0"/>
    <n v="0"/>
    <n v="1"/>
    <n v="0.4"/>
    <n v="0.40910000000000002"/>
    <n v="0.40910000000000002"/>
    <n v="0.35"/>
    <n v="0.32840000000000003"/>
    <n v="15"/>
    <n v="32"/>
    <n v="47"/>
    <x v="0"/>
    <x v="0"/>
    <s v="Winter"/>
    <s v="Sunday"/>
    <x v="3"/>
    <n v="10.8"/>
    <n v="11"/>
    <n v="35"/>
    <n v="22"/>
    <n v="0.68085106382978722"/>
    <x v="0"/>
    <n v="0.62"/>
    <s v=""/>
    <s v="OK"/>
    <s v="No"/>
  </r>
  <r>
    <n v="990"/>
    <s v="Dataset 3"/>
    <n v="0"/>
    <n v="0"/>
    <n v="380"/>
    <x v="43"/>
    <n v="1"/>
    <n v="0"/>
    <n v="2"/>
    <x v="21"/>
    <b v="0"/>
    <n v="0"/>
    <n v="1"/>
    <n v="0.4"/>
    <n v="0.40910000000000002"/>
    <n v="0.40910000000000002"/>
    <n v="0.35"/>
    <n v="0.35820000000000002"/>
    <n v="6"/>
    <n v="45"/>
    <n v="51"/>
    <x v="0"/>
    <x v="0"/>
    <s v="Winter"/>
    <s v="Sunday"/>
    <x v="3"/>
    <n v="10.8"/>
    <n v="11"/>
    <n v="35"/>
    <n v="24"/>
    <n v="0.88235294117647056"/>
    <x v="0"/>
    <n v="1.22"/>
    <s v=""/>
    <s v="OK"/>
    <s v="No"/>
  </r>
  <r>
    <n v="991"/>
    <s v="Dataset 3"/>
    <n v="0"/>
    <n v="0"/>
    <n v="381"/>
    <x v="43"/>
    <n v="1"/>
    <n v="0"/>
    <n v="2"/>
    <x v="22"/>
    <b v="0"/>
    <n v="0"/>
    <n v="1"/>
    <n v="0.4"/>
    <n v="0.40910000000000002"/>
    <n v="0.40910000000000002"/>
    <n v="0.35"/>
    <n v="0.29849999999999999"/>
    <n v="5"/>
    <n v="31"/>
    <n v="36"/>
    <x v="0"/>
    <x v="0"/>
    <s v="Winter"/>
    <s v="Sunday"/>
    <x v="3"/>
    <n v="10.8"/>
    <n v="11"/>
    <n v="35"/>
    <n v="20"/>
    <n v="0.86111111111111116"/>
    <x v="0"/>
    <n v="0.46"/>
    <s v=""/>
    <s v="OK"/>
    <s v="No"/>
  </r>
  <r>
    <n v="992"/>
    <s v="Dataset 3"/>
    <n v="0"/>
    <n v="0"/>
    <n v="382"/>
    <x v="43"/>
    <n v="1"/>
    <n v="0"/>
    <n v="2"/>
    <x v="23"/>
    <b v="0"/>
    <n v="0"/>
    <n v="1"/>
    <n v="0.4"/>
    <n v="0.40910000000000002"/>
    <n v="0.40910000000000002"/>
    <n v="0.35"/>
    <n v="0.35820000000000002"/>
    <n v="3"/>
    <n v="27"/>
    <n v="30"/>
    <x v="0"/>
    <x v="0"/>
    <s v="Winter"/>
    <s v="Sunday"/>
    <x v="3"/>
    <n v="10.8"/>
    <n v="11"/>
    <n v="35"/>
    <n v="24"/>
    <n v="0.9"/>
    <x v="0"/>
    <n v="0.22"/>
    <s v=""/>
    <s v="OK"/>
    <s v="No"/>
  </r>
  <r>
    <n v="993"/>
    <s v="Dataset 3"/>
    <n v="0"/>
    <n v="0"/>
    <n v="383"/>
    <x v="44"/>
    <n v="1"/>
    <n v="0"/>
    <n v="2"/>
    <x v="0"/>
    <b v="0"/>
    <n v="1"/>
    <n v="1"/>
    <n v="0.38"/>
    <n v="0.39389999999999997"/>
    <n v="0.39389999999999997"/>
    <n v="0.37"/>
    <n v="0.35820000000000002"/>
    <n v="3"/>
    <n v="8"/>
    <n v="11"/>
    <x v="1"/>
    <x v="0"/>
    <s v="Winter"/>
    <s v="Monday"/>
    <x v="0"/>
    <n v="9.9"/>
    <n v="10"/>
    <n v="37"/>
    <n v="24"/>
    <n v="0.72727272727272729"/>
    <x v="1"/>
    <n v="0.11"/>
    <s v=""/>
    <s v="OK"/>
    <s v="No"/>
  </r>
  <r>
    <n v="994"/>
    <s v="Dataset 3"/>
    <n v="0"/>
    <n v="0"/>
    <n v="384"/>
    <x v="44"/>
    <n v="1"/>
    <n v="0"/>
    <n v="2"/>
    <x v="1"/>
    <b v="0"/>
    <n v="1"/>
    <n v="1"/>
    <n v="0.38"/>
    <n v="0.39389999999999997"/>
    <n v="0.39389999999999997"/>
    <n v="0.37"/>
    <n v="0.35820000000000002"/>
    <n v="1"/>
    <n v="6"/>
    <n v="7"/>
    <x v="1"/>
    <x v="0"/>
    <s v="Winter"/>
    <s v="Monday"/>
    <x v="0"/>
    <n v="9.9"/>
    <n v="10"/>
    <n v="37"/>
    <n v="24"/>
    <n v="0.8571428571428571"/>
    <x v="1"/>
    <n v="1.1299999999999999"/>
    <s v=""/>
    <s v="OK"/>
    <s v="No"/>
  </r>
  <r>
    <n v="995"/>
    <s v="Dataset 3"/>
    <n v="0"/>
    <n v="0"/>
    <n v="385"/>
    <x v="44"/>
    <n v="1"/>
    <n v="0"/>
    <n v="2"/>
    <x v="2"/>
    <b v="0"/>
    <n v="1"/>
    <n v="1"/>
    <n v="0.36"/>
    <n v="0.33329999999999999"/>
    <n v="0.33329999999999999"/>
    <n v="0.4"/>
    <n v="0.29849999999999999"/>
    <n v="0"/>
    <n v="2"/>
    <n v="2"/>
    <x v="1"/>
    <x v="0"/>
    <s v="Winter"/>
    <s v="Monday"/>
    <x v="0"/>
    <n v="8.9"/>
    <n v="6"/>
    <n v="40"/>
    <n v="20"/>
    <n v="1"/>
    <x v="1"/>
    <n v="-0.24"/>
    <s v=""/>
    <s v="OK"/>
    <s v="No"/>
  </r>
  <r>
    <n v="996"/>
    <s v="Dataset 3"/>
    <n v="0"/>
    <n v="0"/>
    <n v="386"/>
    <x v="44"/>
    <n v="1"/>
    <n v="0"/>
    <n v="2"/>
    <x v="3"/>
    <b v="0"/>
    <n v="1"/>
    <n v="1"/>
    <n v="0.34"/>
    <n v="0.31819999999999998"/>
    <n v="0.31819999999999998"/>
    <n v="0.46"/>
    <n v="0.22389999999999999"/>
    <n v="1"/>
    <n v="1"/>
    <n v="2"/>
    <x v="1"/>
    <x v="0"/>
    <s v="Winter"/>
    <s v="Monday"/>
    <x v="0"/>
    <n v="8"/>
    <n v="5"/>
    <n v="46"/>
    <n v="15"/>
    <n v="0.5"/>
    <x v="1"/>
    <n v="1.01"/>
    <s v=""/>
    <s v="OK"/>
    <s v="No"/>
  </r>
  <r>
    <n v="997"/>
    <s v="Dataset 3"/>
    <n v="0"/>
    <n v="0"/>
    <n v="387"/>
    <x v="44"/>
    <n v="1"/>
    <n v="0"/>
    <n v="2"/>
    <x v="4"/>
    <b v="0"/>
    <n v="1"/>
    <n v="1"/>
    <n v="0.32"/>
    <n v="0.30299999999999999"/>
    <n v="0.30299999999999999"/>
    <n v="0.53"/>
    <n v="0.28360000000000002"/>
    <n v="0"/>
    <n v="2"/>
    <n v="2"/>
    <x v="1"/>
    <x v="0"/>
    <s v="Winter"/>
    <s v="Monday"/>
    <x v="0"/>
    <n v="7"/>
    <n v="4"/>
    <n v="53"/>
    <n v="19"/>
    <n v="1"/>
    <x v="1"/>
    <n v="0.31"/>
    <s v=""/>
    <s v="OK"/>
    <s v="No"/>
  </r>
  <r>
    <n v="998"/>
    <s v="Dataset 3"/>
    <n v="0"/>
    <n v="0"/>
    <n v="388"/>
    <x v="44"/>
    <n v="1"/>
    <n v="0"/>
    <n v="2"/>
    <x v="5"/>
    <b v="0"/>
    <n v="1"/>
    <n v="1"/>
    <n v="0.32"/>
    <n v="0.30299999999999999"/>
    <n v="0.30299999999999999"/>
    <n v="0.53"/>
    <n v="0.28360000000000002"/>
    <n v="0"/>
    <n v="3"/>
    <n v="3"/>
    <x v="1"/>
    <x v="0"/>
    <s v="Winter"/>
    <s v="Monday"/>
    <x v="0"/>
    <n v="7"/>
    <n v="4"/>
    <n v="53"/>
    <n v="19"/>
    <n v="1"/>
    <x v="1"/>
    <n v="-0.82"/>
    <s v=""/>
    <s v="OK"/>
    <s v="No"/>
  </r>
  <r>
    <n v="999"/>
    <s v="Dataset 3"/>
    <n v="0"/>
    <n v="0"/>
    <n v="389"/>
    <x v="44"/>
    <n v="1"/>
    <n v="0"/>
    <n v="2"/>
    <x v="6"/>
    <b v="0"/>
    <n v="1"/>
    <n v="1"/>
    <n v="0.34"/>
    <n v="0.30299999999999999"/>
    <n v="0.30299999999999999"/>
    <n v="0.46"/>
    <n v="0.29849999999999999"/>
    <n v="1"/>
    <n v="25"/>
    <n v="26"/>
    <x v="1"/>
    <x v="0"/>
    <s v="Winter"/>
    <s v="Monday"/>
    <x v="1"/>
    <n v="8"/>
    <n v="4"/>
    <n v="46"/>
    <n v="20"/>
    <n v="0.96153846153846156"/>
    <x v="0"/>
    <n v="-0.25"/>
    <s v=""/>
    <s v="OK"/>
    <s v="No"/>
  </r>
  <r>
    <n v="1000"/>
    <s v="Dataset 3"/>
    <n v="0"/>
    <n v="0"/>
    <n v="390"/>
    <x v="44"/>
    <n v="1"/>
    <n v="0"/>
    <n v="2"/>
    <x v="7"/>
    <b v="0"/>
    <n v="1"/>
    <n v="1"/>
    <n v="0.34"/>
    <n v="0.30299999999999999"/>
    <n v="0.30299999999999999"/>
    <n v="0.46"/>
    <n v="0.29849999999999999"/>
    <n v="2"/>
    <n v="96"/>
    <n v="98"/>
    <x v="1"/>
    <x v="0"/>
    <s v="Winter"/>
    <s v="Monday"/>
    <x v="1"/>
    <n v="8"/>
    <n v="4"/>
    <n v="46"/>
    <n v="20"/>
    <n v="0.97959183673469385"/>
    <x v="2"/>
    <n v="0.92"/>
    <s v=""/>
    <s v="OK"/>
    <s v="N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64AE28-A78A-4840-8432-DA47F219680A}"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B8" firstHeaderRow="1" firstDataRow="1" firstDataCol="1"/>
  <pivotFields count="37">
    <pivotField showAll="0"/>
    <pivotField showAll="0"/>
    <pivotField showAll="0"/>
    <pivotField showAll="0"/>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numFmtId="169" showAll="0"/>
    <pivotField showAll="0"/>
    <pivotField numFmtId="169" showAll="0"/>
    <pivotField numFmtId="169" showAll="0"/>
    <pivotField numFmtId="169" showAll="0"/>
    <pivotField showAll="0"/>
    <pivotField showAll="0"/>
    <pivotField dataField="1" showAll="0"/>
    <pivotField showAll="0">
      <items count="4">
        <item x="2"/>
        <item x="1"/>
        <item x="0"/>
        <item t="default"/>
      </items>
    </pivotField>
    <pivotField axis="axisRow" showAll="0">
      <items count="5">
        <item x="0"/>
        <item x="3"/>
        <item x="2"/>
        <item x="1"/>
        <item t="default"/>
      </items>
    </pivotField>
    <pivotField showAll="0"/>
    <pivotField showAll="0"/>
    <pivotField showAll="0">
      <items count="5">
        <item x="2"/>
        <item x="3"/>
        <item x="1"/>
        <item x="0"/>
        <item t="default"/>
      </items>
    </pivotField>
    <pivotField numFmtId="165" showAll="0"/>
    <pivotField numFmtId="165" showAll="0"/>
    <pivotField showAll="0"/>
    <pivotField showAll="0"/>
    <pivotField numFmtId="166" showAll="0"/>
    <pivotField showAll="0">
      <items count="4">
        <item x="2"/>
        <item x="1"/>
        <item x="0"/>
        <item t="default"/>
      </items>
    </pivotField>
    <pivotField showAll="0"/>
    <pivotField showAll="0"/>
    <pivotField showAll="0"/>
    <pivotField showAll="0"/>
    <pivotField dragToRow="0" dragToCol="0" dragToPage="0" showAll="0" defaultSubtotal="0"/>
  </pivotFields>
  <rowFields count="1">
    <field x="22"/>
  </rowFields>
  <rowItems count="5">
    <i>
      <x/>
    </i>
    <i>
      <x v="1"/>
    </i>
    <i>
      <x v="2"/>
    </i>
    <i>
      <x v="3"/>
    </i>
    <i t="grand">
      <x/>
    </i>
  </rowItems>
  <colItems count="1">
    <i/>
  </colItems>
  <dataFields count="1">
    <dataField name="Average of cnt" fld="20" subtotal="average" baseField="0" baseItem="0" numFmtId="165"/>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type" xr10:uid="{5E1123F9-2301-48B3-8847-8E63805F61D0}" sourceName="day_type">
  <pivotTables>
    <pivotTable tabId="18" name="PivotTable2"/>
  </pivotTables>
  <data>
    <tabular pivotCacheId="661595708">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 xr10:uid="{CE761C36-63A8-4772-BA65-42A9CF4534EB}" sourceName="weather">
  <pivotTables>
    <pivotTable tabId="18" name="PivotTable2"/>
  </pivotTables>
  <data>
    <tabular pivotCacheId="661595708">
      <items count="4">
        <i x="0" s="1"/>
        <i x="3"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of_day" xr10:uid="{BEBEA65D-096C-4009-9A9A-8D9C1D581F16}" sourceName="time_of_day">
  <pivotTables>
    <pivotTable tabId="18" name="PivotTable2"/>
  </pivotTables>
  <data>
    <tabular pivotCacheId="661595708">
      <items count="4">
        <i x="2" s="1"/>
        <i x="3"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mand_level" xr10:uid="{54502602-40DD-4057-BB1F-2673826B41CF}" sourceName="demand_level">
  <pivotTables>
    <pivotTable tabId="18" name="PivotTable2"/>
  </pivotTables>
  <data>
    <tabular pivotCacheId="661595708">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y_type" xr10:uid="{840DBA14-125C-4D4A-B33D-3D30FF4430EC}" cache="Slicer_day_type" caption="day_type" rowHeight="234950"/>
  <slicer name="weather" xr10:uid="{FE4088ED-DE98-4429-86E9-F86B45A826FD}" cache="Slicer_weather" caption="weather" rowHeight="234950"/>
  <slicer name="time_of_day" xr10:uid="{AB2AD776-E493-46BF-92DE-79ABC7E4A006}" cache="Slicer_time_of_day" caption="time_of_day" rowHeight="234950"/>
  <slicer name="demand_level" xr10:uid="{DCFE26F8-9C45-4DB5-B595-685C1A2E4D31}" cache="Slicer_demand_level" caption="demand_level"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B3B5A5-14EA-4F47-85B7-B8313109D394}" name="Table1" displayName="Table1" ref="A1:E53" totalsRowShown="0">
  <autoFilter ref="A1:E53" xr:uid="{61B3B5A5-14EA-4F47-85B7-B8313109D394}"/>
  <tableColumns count="5">
    <tableColumn id="1" xr3:uid="{B1DDA199-DFAE-4A46-B082-EEAA4E80AFB8}" name="Date" dataDxfId="12"/>
    <tableColumn id="2" xr3:uid="{30AF9BDB-DB7C-4E01-8102-133CA15BEA8C}" name="Total rentals"/>
    <tableColumn id="3" xr3:uid="{A72C6905-59FC-4CC5-9538-4355DC8D26D3}" name="Forecast(Total rentals)" dataDxfId="11">
      <calculatedColumnFormula>_xlfn.FORECAST.ETS(A2,$B$2:$B$45,$A$2:$A$45,1,1)</calculatedColumnFormula>
    </tableColumn>
    <tableColumn id="4" xr3:uid="{C74919F6-C5D4-4ED0-9589-3C55FD32E1D2}" name="Lower Confidence Bound(Total rentals)" dataDxfId="10">
      <calculatedColumnFormula>C2-_xlfn.FORECAST.ETS.CONFINT(A2,$B$2:$B$45,$A$2:$A$45,0.95,1,1)</calculatedColumnFormula>
    </tableColumn>
    <tableColumn id="5" xr3:uid="{6F7DE845-199F-46F8-9102-C9E8B8115525}" name="Upper Confidence Bound(Total rentals)" dataDxfId="9">
      <calculatedColumnFormula>C2+_xlfn.FORECAST.ETS.CONFINT(A2,$B$2:$B$45,$A$2:$A$45,0.95,1,1)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95E6CC-A2E2-4607-A4EC-8C9053339C44}" name="Table2" displayName="Table2" ref="A1:E53" totalsRowShown="0">
  <autoFilter ref="A1:E53" xr:uid="{3195E6CC-A2E2-4607-A4EC-8C9053339C44}"/>
  <tableColumns count="5">
    <tableColumn id="1" xr3:uid="{E17D1928-18A9-4F7B-9F14-B1AB5D06CBF9}" name="Date" dataDxfId="8"/>
    <tableColumn id="2" xr3:uid="{3BD638AC-5A5F-4CA6-ACDC-367098509748}" name="Total rentals"/>
    <tableColumn id="3" xr3:uid="{4DE9511D-4C40-458D-B7F3-F901F16E0C81}" name="Forecast(Total rentals)" dataDxfId="7">
      <calculatedColumnFormula>_xlfn.FORECAST.ETS(A2,$B$2:$B$45,$A$2:$A$45,1,1)</calculatedColumnFormula>
    </tableColumn>
    <tableColumn id="4" xr3:uid="{86A9A8C7-6142-44B8-97A1-043A05B916E8}" name="Lower Confidence Bound(Total rentals)" dataDxfId="6">
      <calculatedColumnFormula>C2-_xlfn.FORECAST.ETS.CONFINT(A2,$B$2:$B$45,$A$2:$A$45,0.95,1,1)</calculatedColumnFormula>
    </tableColumn>
    <tableColumn id="5" xr3:uid="{660E12F6-B4C7-41BD-BA7D-DEE828F882DA}" name="Upper Confidence Bound(Total rentals)" dataDxfId="5">
      <calculatedColumnFormula>C2+_xlfn.FORECAST.ETS.CONFINT(A2,$B$2:$B$45,$A$2:$A$45,0.95,1,1)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teday" xr10:uid="{5197C934-6826-4396-89A9-BFE1A8E8A41B}" sourceName="dteday">
  <pivotTables>
    <pivotTable tabId="18" name="PivotTable2"/>
  </pivotTables>
  <state minimalRefreshVersion="6" lastRefreshVersion="6" pivotCacheId="661595708" filterType="unknown">
    <bounds startDate="2011-01-01T00:00:00" endDate="201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teday" xr10:uid="{87DFFDFB-D175-403C-95D5-391C2EE52526}" cache="NativeTimeline_dteday" caption="dteday" level="2" selectionLevel="2" scrollPosition="2011-01-01T00:00:00"/>
</timelines>
</file>

<file path=xl/worksheets/_rels/sheet1.xml.rels><?xml version="1.0" encoding="UTF-8" standalone="yes"?>
<Relationships xmlns="http://schemas.openxmlformats.org/package/2006/relationships"><Relationship Id="rId8" Type="http://schemas.openxmlformats.org/officeDocument/2006/relationships/hyperlink" Target="file:///C:\Users\RASHMI\AppData\Local\Packages\5319275A.WhatsAppDesktop_cv1g1gvanyjgm\LocalState\sessions\1DECC417BF818AED9EB069284F3D628C02C0E409\transfers\2026-40\Bike_Sharing_Project.xlsx" TargetMode="External"/><Relationship Id="rId13" Type="http://schemas.openxmlformats.org/officeDocument/2006/relationships/hyperlink" Target="file:///C:\Users\RASHMI\AppData\Local\Packages\5319275A.WhatsAppDesktop_cv1g1gvanyjgm\LocalState\sessions\1DECC417BF818AED9EB069284F3D628C02C0E409\transfers\2026-40\Bike_Sharing_Project.xlsx" TargetMode="External"/><Relationship Id="rId3" Type="http://schemas.openxmlformats.org/officeDocument/2006/relationships/hyperlink" Target="file:///C:\Users\RASHMI\AppData\Local\Packages\5319275A.WhatsAppDesktop_cv1g1gvanyjgm\LocalState\sessions\1DECC417BF818AED9EB069284F3D628C02C0E409\transfers\2026-40\Bike_Sharing_Project.xlsx" TargetMode="External"/><Relationship Id="rId7" Type="http://schemas.openxmlformats.org/officeDocument/2006/relationships/hyperlink" Target="file:///C:\Users\RASHMI\AppData\Local\Packages\5319275A.WhatsAppDesktop_cv1g1gvanyjgm\LocalState\sessions\1DECC417BF818AED9EB069284F3D628C02C0E409\transfers\2026-40\Bike_Sharing_Project.xlsx" TargetMode="External"/><Relationship Id="rId12" Type="http://schemas.openxmlformats.org/officeDocument/2006/relationships/hyperlink" Target="file:///C:\Users\RASHMI\AppData\Local\Packages\5319275A.WhatsAppDesktop_cv1g1gvanyjgm\LocalState\sessions\1DECC417BF818AED9EB069284F3D628C02C0E409\transfers\2026-40\Bike_Sharing_Project.xlsx" TargetMode="External"/><Relationship Id="rId2" Type="http://schemas.openxmlformats.org/officeDocument/2006/relationships/hyperlink" Target="file:///C:\Users\RASHMI\AppData\Local\Packages\5319275A.WhatsAppDesktop_cv1g1gvanyjgm\LocalState\sessions\1DECC417BF818AED9EB069284F3D628C02C0E409\transfers\2026-40\Bike_Sharing_Project.xlsx" TargetMode="External"/><Relationship Id="rId1" Type="http://schemas.openxmlformats.org/officeDocument/2006/relationships/hyperlink" Target="file:///C:\Users\RASHMI\AppData\Local\Packages\5319275A.WhatsAppDesktop_cv1g1gvanyjgm\LocalState\sessions\1DECC417BF818AED9EB069284F3D628C02C0E409\transfers\2026-40\Bike_Sharing_Project.xlsx" TargetMode="External"/><Relationship Id="rId6" Type="http://schemas.openxmlformats.org/officeDocument/2006/relationships/hyperlink" Target="file:///C:\Users\RASHMI\AppData\Local\Packages\5319275A.WhatsAppDesktop_cv1g1gvanyjgm\LocalState\sessions\1DECC417BF818AED9EB069284F3D628C02C0E409\transfers\2026-40\Bike_Sharing_Project.xlsx" TargetMode="External"/><Relationship Id="rId11" Type="http://schemas.openxmlformats.org/officeDocument/2006/relationships/hyperlink" Target="file:///C:\Users\RASHMI\AppData\Local\Packages\5319275A.WhatsAppDesktop_cv1g1gvanyjgm\LocalState\sessions\1DECC417BF818AED9EB069284F3D628C02C0E409\transfers\2026-40\Bike_Sharing_Project.xlsx" TargetMode="External"/><Relationship Id="rId5" Type="http://schemas.openxmlformats.org/officeDocument/2006/relationships/hyperlink" Target="file:///C:\Users\RASHMI\AppData\Local\Packages\5319275A.WhatsAppDesktop_cv1g1gvanyjgm\LocalState\sessions\1DECC417BF818AED9EB069284F3D628C02C0E409\transfers\2026-40\Bike_Sharing_Project.xlsx" TargetMode="External"/><Relationship Id="rId10" Type="http://schemas.openxmlformats.org/officeDocument/2006/relationships/hyperlink" Target="file:///C:\Users\RASHMI\AppData\Local\Packages\5319275A.WhatsAppDesktop_cv1g1gvanyjgm\LocalState\sessions\1DECC417BF818AED9EB069284F3D628C02C0E409\transfers\2026-40\Bike_Sharing_Project.xlsx" TargetMode="External"/><Relationship Id="rId4" Type="http://schemas.openxmlformats.org/officeDocument/2006/relationships/hyperlink" Target="file:///C:\Users\RASHMI\AppData\Local\Packages\5319275A.WhatsAppDesktop_cv1g1gvanyjgm\LocalState\sessions\1DECC417BF818AED9EB069284F3D628C02C0E409\transfers\2026-40\Bike_Sharing_Project.xlsx" TargetMode="External"/><Relationship Id="rId9" Type="http://schemas.openxmlformats.org/officeDocument/2006/relationships/hyperlink" Target="file:///C:\Users\RASHMI\AppData\Local\Packages\5319275A.WhatsAppDesktop_cv1g1gvanyjgm\LocalState\sessions\1DECC417BF818AED9EB069284F3D628C02C0E409\transfers\2026-40\Bike_Sharing_Project.xlsx" TargetMode="External"/><Relationship Id="rId14" Type="http://schemas.openxmlformats.org/officeDocument/2006/relationships/hyperlink" Target="file:///C:\Users\RASHMI\AppData\Local\Packages\5319275A.WhatsAppDesktop_cv1g1gvanyjgm\LocalState\sessions\1DECC417BF818AED9EB069284F3D628C02C0E409\transfers\2026-40\Bike_Sharing_Project.xlsx"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F3864"/>
  </sheetPr>
  <dimension ref="B1:C43"/>
  <sheetViews>
    <sheetView showGridLines="0" tabSelected="1" zoomScaleNormal="100" workbookViewId="0"/>
  </sheetViews>
  <sheetFormatPr defaultColWidth="8.6328125" defaultRowHeight="14.5" x14ac:dyDescent="0.35"/>
  <cols>
    <col min="1" max="1" width="3" customWidth="1"/>
    <col min="2" max="2" width="28" customWidth="1"/>
    <col min="3" max="3" width="95" customWidth="1"/>
  </cols>
  <sheetData>
    <row r="1" spans="2:3" ht="23" x14ac:dyDescent="0.5">
      <c r="B1" s="3" t="s">
        <v>0</v>
      </c>
    </row>
    <row r="2" spans="2:3" x14ac:dyDescent="0.35">
      <c r="B2" s="2" t="s">
        <v>1</v>
      </c>
    </row>
    <row r="4" spans="2:3" x14ac:dyDescent="0.35">
      <c r="B4" s="1" t="s">
        <v>2</v>
      </c>
    </row>
    <row r="5" spans="2:3" ht="30" customHeight="1" x14ac:dyDescent="0.35">
      <c r="B5" s="4" t="s">
        <v>3</v>
      </c>
      <c r="C5" s="5" t="str">
        <f>TEXT(SUM(Clean_Data!$U$2:$U$1001),"#,##0")&amp;" rentals across "&amp;TEXT(COUNT(Clean_Data!$U$2:$U$1001),"#,##0")&amp;" hourly records ("&amp;TEXT(Daily_Trend!P9+0,"0")&amp;" anomalous days flagged)."</f>
        <v>58,304 rentals across 1,000 hourly records (2 anomalous days flagged).</v>
      </c>
    </row>
    <row r="6" spans="2:3" ht="30" customHeight="1" x14ac:dyDescent="0.35">
      <c r="B6" s="4" t="s">
        <v>4</v>
      </c>
      <c r="C6" s="5" t="str">
        <f>"Demand is bimodal on weekdays (commute peaks at 08:00 and 17:00); weekends build to a midday/afternoon plateau. Afternoon averages "&amp;TEXT(Pivot_Summaries!E24,"0")&amp;" rentals/hr vs "&amp;TEXT(Pivot_Summaries!E22,"0")&amp;" at night."</f>
        <v>Demand is bimodal on weekdays (commute peaks at 08:00 and 17:00); weekends build to a midday/afternoon plateau. Afternoon averages 90 rentals/hr vs 8 at night.</v>
      </c>
    </row>
    <row r="7" spans="2:3" ht="30" customHeight="1" x14ac:dyDescent="0.35">
      <c r="B7" s="4" t="s">
        <v>5</v>
      </c>
      <c r="C7" s="5" t="str">
        <f>"Light rain/snow cuts demand to "&amp;TEXT(Pivot_Summaries!E8/Pivot_Summaries!E6,"0%")&amp;" of the clear-weather rate."</f>
        <v>Light rain/snow cuts demand to 54% of the clear-weather rate.</v>
      </c>
    </row>
    <row r="8" spans="2:3" ht="30" customHeight="1" x14ac:dyDescent="0.35">
      <c r="B8" s="4" t="s">
        <v>6</v>
      </c>
      <c r="C8" s="5" t="str">
        <f>"Weekdays average "&amp;TEXT(Pivot_Summaries!E15,"0")&amp;" rentals/hr vs "&amp;TEXT(Pivot_Summaries!E16,"0")&amp;" on weekends; casual users average "&amp;TEXT(Pivot_Summaries!F16,"0.0")&amp;"/hr on weekends vs "&amp;TEXT(Pivot_Summaries!F15,"0.0")&amp;" on weekdays."</f>
        <v>Weekdays average 64 rentals/hr vs 48 on weekends; casual users average 8.2/hr on weekends vs 3.3 on weekdays.</v>
      </c>
    </row>
    <row r="9" spans="2:3" ht="30" customHeight="1" x14ac:dyDescent="0.35">
      <c r="B9" s="4" t="s">
        <v>7</v>
      </c>
      <c r="C9" s="5" t="str">
        <f>"Correlation with rentals: hour "&amp;TEXT(Statistics!B20,"0.00")&amp;", temperature "&amp;TEXT(Statistics!B16,"0.00")&amp;", humidity "&amp;TEXT(Statistics!B18,"0.00")&amp;", wind "&amp;TEXT(Statistics!B19,"0.00")&amp;" (all weak individually)."</f>
        <v>Correlation with rentals: hour 0.37, temperature 0.23, humidity -0.25, wind 0.10 (all weak individually).</v>
      </c>
    </row>
    <row r="10" spans="2:3" ht="30" customHeight="1" x14ac:dyDescent="0.35">
      <c r="B10" s="4" t="s">
        <v>8</v>
      </c>
      <c r="C10" s="5" t="str">
        <f>"Linear daily trend is +"&amp;TEXT(Daily_Trend!P5,"0.0")&amp;" rentals/day but R² is only "&amp;TEXT(Daily_Trend!P7,"0.00")&amp;", so the 7-day forecast is indicative only."</f>
        <v>Linear daily trend is +7.6 rentals/day but R² is only 0.08, so the 7-day forecast is indicative only.</v>
      </c>
    </row>
    <row r="12" spans="2:3" x14ac:dyDescent="0.35">
      <c r="B12" s="1" t="s">
        <v>9</v>
      </c>
    </row>
    <row r="13" spans="2:3" ht="27.75" customHeight="1" x14ac:dyDescent="0.35">
      <c r="B13" s="6" t="s">
        <v>10</v>
      </c>
      <c r="C13" s="5" t="s">
        <v>11</v>
      </c>
    </row>
    <row r="14" spans="2:3" ht="15.75" customHeight="1" x14ac:dyDescent="0.35">
      <c r="B14" s="6" t="s">
        <v>12</v>
      </c>
      <c r="C14" s="5" t="s">
        <v>13</v>
      </c>
    </row>
    <row r="15" spans="2:3" ht="15.75" customHeight="1" x14ac:dyDescent="0.35">
      <c r="B15" s="6" t="s">
        <v>14</v>
      </c>
      <c r="C15" s="5" t="s">
        <v>15</v>
      </c>
    </row>
    <row r="16" spans="2:3" ht="27.75" customHeight="1" x14ac:dyDescent="0.35">
      <c r="B16" s="6" t="s">
        <v>16</v>
      </c>
      <c r="C16" s="5" t="s">
        <v>17</v>
      </c>
    </row>
    <row r="17" spans="2:3" ht="15.75" customHeight="1" x14ac:dyDescent="0.35">
      <c r="B17" s="6" t="s">
        <v>18</v>
      </c>
      <c r="C17" s="5" t="s">
        <v>19</v>
      </c>
    </row>
    <row r="18" spans="2:3" ht="15.75" customHeight="1" x14ac:dyDescent="0.35">
      <c r="B18" s="6" t="s">
        <v>20</v>
      </c>
      <c r="C18" s="5" t="s">
        <v>21</v>
      </c>
    </row>
    <row r="19" spans="2:3" ht="15.75" customHeight="1" x14ac:dyDescent="0.35">
      <c r="B19" s="6" t="s">
        <v>22</v>
      </c>
      <c r="C19" s="5" t="s">
        <v>23</v>
      </c>
    </row>
    <row r="20" spans="2:3" ht="15.75" customHeight="1" x14ac:dyDescent="0.35">
      <c r="B20" s="6" t="s">
        <v>24</v>
      </c>
      <c r="C20" s="5" t="s">
        <v>25</v>
      </c>
    </row>
    <row r="21" spans="2:3" ht="15.75" customHeight="1" x14ac:dyDescent="0.35">
      <c r="B21" s="6" t="s">
        <v>26</v>
      </c>
      <c r="C21" s="5" t="s">
        <v>27</v>
      </c>
    </row>
    <row r="22" spans="2:3" ht="15.75" customHeight="1" x14ac:dyDescent="0.35">
      <c r="B22" s="6" t="s">
        <v>28</v>
      </c>
      <c r="C22" s="5" t="s">
        <v>29</v>
      </c>
    </row>
    <row r="23" spans="2:3" ht="15.75" customHeight="1" x14ac:dyDescent="0.35">
      <c r="B23" s="6" t="s">
        <v>30</v>
      </c>
      <c r="C23" s="5" t="s">
        <v>31</v>
      </c>
    </row>
    <row r="24" spans="2:3" ht="15.75" customHeight="1" x14ac:dyDescent="0.35">
      <c r="B24" s="6" t="s">
        <v>32</v>
      </c>
      <c r="C24" s="5" t="s">
        <v>33</v>
      </c>
    </row>
    <row r="25" spans="2:3" ht="15.75" customHeight="1" x14ac:dyDescent="0.35">
      <c r="B25" s="6" t="s">
        <v>34</v>
      </c>
      <c r="C25" s="5" t="s">
        <v>35</v>
      </c>
    </row>
    <row r="26" spans="2:3" ht="27.75" customHeight="1" x14ac:dyDescent="0.35">
      <c r="B26" s="6" t="s">
        <v>36</v>
      </c>
      <c r="C26" s="5" t="s">
        <v>37</v>
      </c>
    </row>
    <row r="28" spans="2:3" x14ac:dyDescent="0.35">
      <c r="B28" s="1" t="s">
        <v>38</v>
      </c>
    </row>
    <row r="29" spans="2:3" ht="30" customHeight="1" x14ac:dyDescent="0.35">
      <c r="B29" s="7" t="s">
        <v>39</v>
      </c>
      <c r="C29" s="5" t="s">
        <v>40</v>
      </c>
    </row>
    <row r="30" spans="2:3" ht="30" customHeight="1" x14ac:dyDescent="0.35">
      <c r="B30" s="7" t="s">
        <v>39</v>
      </c>
      <c r="C30" s="5" t="s">
        <v>41</v>
      </c>
    </row>
    <row r="31" spans="2:3" ht="30" customHeight="1" x14ac:dyDescent="0.35">
      <c r="B31" s="7" t="s">
        <v>39</v>
      </c>
      <c r="C31" s="5" t="s">
        <v>42</v>
      </c>
    </row>
    <row r="32" spans="2:3" ht="30" customHeight="1" x14ac:dyDescent="0.35">
      <c r="B32" s="7" t="s">
        <v>39</v>
      </c>
      <c r="C32" s="5" t="s">
        <v>43</v>
      </c>
    </row>
    <row r="33" spans="2:3" ht="30" customHeight="1" x14ac:dyDescent="0.35">
      <c r="B33" s="7" t="s">
        <v>39</v>
      </c>
      <c r="C33" s="5" t="s">
        <v>44</v>
      </c>
    </row>
    <row r="35" spans="2:3" x14ac:dyDescent="0.35">
      <c r="B35" s="1" t="s">
        <v>45</v>
      </c>
    </row>
    <row r="36" spans="2:3" x14ac:dyDescent="0.35">
      <c r="B36" s="8" t="s">
        <v>46</v>
      </c>
      <c r="C36" s="8" t="s">
        <v>47</v>
      </c>
    </row>
    <row r="37" spans="2:3" ht="27.75" customHeight="1" x14ac:dyDescent="0.35">
      <c r="B37" s="4" t="s">
        <v>48</v>
      </c>
      <c r="C37" s="5" t="s">
        <v>49</v>
      </c>
    </row>
    <row r="38" spans="2:3" ht="27.75" customHeight="1" x14ac:dyDescent="0.35">
      <c r="B38" s="4" t="s">
        <v>50</v>
      </c>
      <c r="C38" s="5" t="s">
        <v>51</v>
      </c>
    </row>
    <row r="39" spans="2:3" ht="27.75" customHeight="1" x14ac:dyDescent="0.35">
      <c r="B39" s="4" t="s">
        <v>52</v>
      </c>
      <c r="C39" s="5" t="s">
        <v>53</v>
      </c>
    </row>
    <row r="40" spans="2:3" ht="27.75" customHeight="1" x14ac:dyDescent="0.35">
      <c r="B40" s="4" t="s">
        <v>54</v>
      </c>
      <c r="C40" s="5" t="s">
        <v>55</v>
      </c>
    </row>
    <row r="41" spans="2:3" ht="27.75" customHeight="1" x14ac:dyDescent="0.35">
      <c r="B41" s="4" t="s">
        <v>56</v>
      </c>
      <c r="C41" s="5" t="s">
        <v>57</v>
      </c>
    </row>
    <row r="42" spans="2:3" ht="27.75" customHeight="1" x14ac:dyDescent="0.35">
      <c r="B42" s="4" t="s">
        <v>58</v>
      </c>
      <c r="C42" s="5" t="s">
        <v>59</v>
      </c>
    </row>
    <row r="43" spans="2:3" ht="27.75" customHeight="1" x14ac:dyDescent="0.35">
      <c r="B43" s="4" t="s">
        <v>60</v>
      </c>
      <c r="C43" s="5" t="s">
        <v>61</v>
      </c>
    </row>
  </sheetData>
  <hyperlinks>
    <hyperlink ref="B13" r:id="rId1" location="'Dashboard'!A1" xr:uid="{00000000-0004-0000-0000-000000000000}"/>
    <hyperlink ref="B14" r:id="rId2" location="'Dashboard_Data'!A1" xr:uid="{00000000-0004-0000-0000-000001000000}"/>
    <hyperlink ref="B15" r:id="rId3" location="'Clean_Data'!A1" xr:uid="{00000000-0004-0000-0000-000002000000}"/>
    <hyperlink ref="B16" r:id="rId4" location="'Pivot_Summaries'!A1" xr:uid="{00000000-0004-0000-0000-000003000000}"/>
    <hyperlink ref="B17" r:id="rId5" location="'Hourly_Analysis'!A1" xr:uid="{00000000-0004-0000-0000-000004000000}"/>
    <hyperlink ref="B18" r:id="rId6" location="'Daily_Trend'!A1" xr:uid="{00000000-0004-0000-0000-000005000000}"/>
    <hyperlink ref="B19" r:id="rId7" location="'Statistics'!A1" xr:uid="{00000000-0004-0000-0000-000006000000}"/>
    <hyperlink ref="B20" r:id="rId8" location="'Data_Quality'!A1" xr:uid="{00000000-0004-0000-0000-000007000000}"/>
    <hyperlink ref="B21" r:id="rId9" location="'Lookups'!A1" xr:uid="{00000000-0004-0000-0000-000008000000}"/>
    <hyperlink ref="B22" r:id="rId10" location="'Dataset1_Raw'!A1" xr:uid="{00000000-0004-0000-0000-000009000000}"/>
    <hyperlink ref="B23" r:id="rId11" location="'Dataset2_Raw'!A1" xr:uid="{00000000-0004-0000-0000-00000A000000}"/>
    <hyperlink ref="B24" r:id="rId12" location="'Merge_1_2'!A1" xr:uid="{00000000-0004-0000-0000-00000B000000}"/>
    <hyperlink ref="B25" r:id="rId13" location="'Dataset3_Raw'!A1" xr:uid="{00000000-0004-0000-0000-00000C000000}"/>
    <hyperlink ref="B26" r:id="rId14" location="'Manual_Steps'!A1" xr:uid="{00000000-0004-0000-0000-00000D000000}"/>
  </hyperlink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3864"/>
    <pageSetUpPr fitToPage="1"/>
  </sheetPr>
  <dimension ref="B1:Y85"/>
  <sheetViews>
    <sheetView showGridLines="0" topLeftCell="J1" zoomScale="88" zoomScaleNormal="88" workbookViewId="0">
      <selection activeCell="AI6" sqref="AI6"/>
    </sheetView>
  </sheetViews>
  <sheetFormatPr defaultColWidth="8.6328125" defaultRowHeight="14.5" x14ac:dyDescent="0.35"/>
  <cols>
    <col min="1" max="1" width="2" customWidth="1"/>
    <col min="2" max="25" width="6.36328125" customWidth="1"/>
  </cols>
  <sheetData>
    <row r="1" spans="2:25" ht="23" x14ac:dyDescent="0.5">
      <c r="B1" s="58" t="s">
        <v>62</v>
      </c>
      <c r="C1" s="58"/>
      <c r="D1" s="58"/>
      <c r="E1" s="58"/>
      <c r="F1" s="58"/>
      <c r="G1" s="58"/>
      <c r="H1" s="58"/>
      <c r="I1" s="58"/>
      <c r="J1" s="58"/>
      <c r="K1" s="58"/>
      <c r="L1" s="58"/>
      <c r="M1" s="58"/>
      <c r="N1" s="58"/>
      <c r="O1" s="58"/>
      <c r="P1" s="58"/>
      <c r="Q1" s="58"/>
      <c r="R1" s="58"/>
      <c r="S1" s="58"/>
      <c r="T1" s="58"/>
      <c r="U1" s="58"/>
      <c r="V1" s="58"/>
      <c r="W1" s="58"/>
      <c r="X1" s="58"/>
      <c r="Y1" s="58"/>
    </row>
    <row r="2" spans="2:25" x14ac:dyDescent="0.35">
      <c r="B2" s="59" t="str">
        <f>"Showing: "&amp;Dashboard!$B$5&amp;" | "&amp;Dashboard!$F$5&amp;" | "&amp;Dashboard!$J$5&amp;" | demand "&amp;Dashboard!$N$5&amp;" | "&amp;TEXT(Dashboard!$R$5,"dd-mmm")&amp;" to "&amp;TEXT(Dashboard!$V$5,"dd-mmm-yyyy")&amp;"   ("&amp;TEXT(Dashboard_Data!$B$11,"#,##0")&amp;" of "&amp;TEXT(COUNT(Clean_Data!$U$2:$U$1001),"#,##0")&amp;" hourly records match)"</f>
        <v>Showing: All | All | All | demand All | 01-Jan to 14-Feb-2011   (1,000 of 1,000 hourly records match)</v>
      </c>
      <c r="C2" s="59"/>
      <c r="D2" s="59"/>
      <c r="E2" s="59"/>
      <c r="F2" s="59"/>
      <c r="G2" s="59"/>
      <c r="H2" s="59"/>
      <c r="I2" s="59"/>
      <c r="J2" s="59"/>
      <c r="K2" s="59"/>
      <c r="L2" s="59"/>
      <c r="M2" s="59"/>
      <c r="N2" s="59"/>
      <c r="O2" s="59"/>
      <c r="P2" s="59"/>
      <c r="Q2" s="59"/>
      <c r="R2" s="59"/>
      <c r="S2" s="59"/>
      <c r="T2" s="59"/>
      <c r="U2" s="59"/>
      <c r="V2" s="59"/>
      <c r="W2" s="59"/>
      <c r="X2" s="59"/>
      <c r="Y2" s="59"/>
    </row>
    <row r="4" spans="2:25" x14ac:dyDescent="0.35">
      <c r="B4" s="60" t="s">
        <v>63</v>
      </c>
      <c r="C4" s="60"/>
      <c r="D4" s="60"/>
      <c r="E4" s="60"/>
      <c r="F4" s="60" t="s">
        <v>64</v>
      </c>
      <c r="G4" s="60"/>
      <c r="H4" s="60"/>
      <c r="I4" s="60"/>
      <c r="J4" s="60" t="s">
        <v>65</v>
      </c>
      <c r="K4" s="60"/>
      <c r="L4" s="60"/>
      <c r="M4" s="60"/>
      <c r="N4" s="60" t="s">
        <v>66</v>
      </c>
      <c r="O4" s="60"/>
      <c r="P4" s="60"/>
      <c r="Q4" s="60"/>
      <c r="R4" s="60" t="s">
        <v>67</v>
      </c>
      <c r="S4" s="60"/>
      <c r="T4" s="60"/>
      <c r="U4" s="60"/>
      <c r="V4" s="60" t="s">
        <v>68</v>
      </c>
      <c r="W4" s="60"/>
      <c r="X4" s="60"/>
      <c r="Y4" s="60"/>
    </row>
    <row r="5" spans="2:25" ht="24" customHeight="1" x14ac:dyDescent="0.35">
      <c r="B5" s="57" t="s">
        <v>69</v>
      </c>
      <c r="C5" s="57"/>
      <c r="D5" s="57"/>
      <c r="E5" s="57"/>
      <c r="F5" s="57" t="s">
        <v>69</v>
      </c>
      <c r="G5" s="57"/>
      <c r="H5" s="57"/>
      <c r="I5" s="57"/>
      <c r="J5" s="57" t="s">
        <v>69</v>
      </c>
      <c r="K5" s="57"/>
      <c r="L5" s="57"/>
      <c r="M5" s="57"/>
      <c r="N5" s="57" t="s">
        <v>69</v>
      </c>
      <c r="O5" s="57"/>
      <c r="P5" s="57"/>
      <c r="Q5" s="57"/>
      <c r="R5" s="54">
        <v>40544</v>
      </c>
      <c r="S5" s="54"/>
      <c r="T5" s="54"/>
      <c r="U5" s="54"/>
      <c r="V5" s="54">
        <v>40588</v>
      </c>
      <c r="W5" s="54"/>
      <c r="X5" s="54"/>
      <c r="Y5" s="54"/>
    </row>
    <row r="6" spans="2:25" x14ac:dyDescent="0.35">
      <c r="B6" s="55" t="s">
        <v>70</v>
      </c>
      <c r="C6" s="55"/>
      <c r="D6" s="55"/>
      <c r="E6" s="55"/>
      <c r="F6" s="55"/>
      <c r="G6" s="55"/>
      <c r="H6" s="55"/>
      <c r="I6" s="55"/>
      <c r="J6" s="55"/>
      <c r="K6" s="55"/>
      <c r="L6" s="55"/>
      <c r="M6" s="55"/>
      <c r="N6" s="55"/>
      <c r="O6" s="55"/>
      <c r="P6" s="55"/>
      <c r="Q6" s="55"/>
      <c r="R6" s="55"/>
      <c r="S6" s="55"/>
      <c r="T6" s="55"/>
      <c r="U6" s="55"/>
      <c r="V6" s="55"/>
      <c r="W6" s="55"/>
      <c r="X6" s="55"/>
      <c r="Y6" s="55"/>
    </row>
    <row r="8" spans="2:25" x14ac:dyDescent="0.35">
      <c r="B8" s="56" t="s">
        <v>71</v>
      </c>
      <c r="C8" s="56"/>
      <c r="D8" s="56"/>
      <c r="E8" s="56"/>
      <c r="F8" s="56" t="s">
        <v>72</v>
      </c>
      <c r="G8" s="56"/>
      <c r="H8" s="56"/>
      <c r="I8" s="56"/>
      <c r="J8" s="56" t="s">
        <v>73</v>
      </c>
      <c r="K8" s="56"/>
      <c r="L8" s="56"/>
      <c r="M8" s="56"/>
      <c r="N8" s="56" t="s">
        <v>74</v>
      </c>
      <c r="O8" s="56"/>
      <c r="P8" s="56"/>
      <c r="Q8" s="56"/>
      <c r="R8" s="56" t="s">
        <v>75</v>
      </c>
      <c r="S8" s="56"/>
      <c r="T8" s="56"/>
      <c r="U8" s="56"/>
      <c r="V8" s="56" t="s">
        <v>76</v>
      </c>
      <c r="W8" s="56"/>
      <c r="X8" s="56"/>
      <c r="Y8" s="56"/>
    </row>
    <row r="9" spans="2:25" ht="30" customHeight="1" x14ac:dyDescent="0.35">
      <c r="B9" s="50">
        <f>Dashboard_Data!$B$12</f>
        <v>58304</v>
      </c>
      <c r="C9" s="50"/>
      <c r="D9" s="50"/>
      <c r="E9" s="50"/>
      <c r="F9" s="51">
        <f>Dashboard_Data!$B$13</f>
        <v>58.304000000000002</v>
      </c>
      <c r="G9" s="51"/>
      <c r="H9" s="51"/>
      <c r="I9" s="51"/>
      <c r="J9" s="52" t="str">
        <f>Dashboard_Data!$B$20</f>
        <v>17:00</v>
      </c>
      <c r="K9" s="52"/>
      <c r="L9" s="52"/>
      <c r="M9" s="52"/>
      <c r="N9" s="53">
        <f>Dashboard_Data!$B$16</f>
        <v>0.9155975576289791</v>
      </c>
      <c r="O9" s="53"/>
      <c r="P9" s="53"/>
      <c r="Q9" s="53"/>
      <c r="R9" s="50">
        <f>Dashboard_Data!$B$11</f>
        <v>1000</v>
      </c>
      <c r="S9" s="50"/>
      <c r="T9" s="50"/>
      <c r="U9" s="50"/>
      <c r="V9" s="47">
        <f>Dashboard_Data!$B$19</f>
        <v>0</v>
      </c>
      <c r="W9" s="47"/>
      <c r="X9" s="47"/>
      <c r="Y9" s="47"/>
    </row>
    <row r="11" spans="2:25" x14ac:dyDescent="0.35">
      <c r="B11" s="48" t="str">
        <f>IF(Dashboard_Data!$B$11=0,"• No hours match these filters – widen the selection.","• This selection covers "&amp;TEXT(Dashboard_Data!$B$11,"#,##0")&amp;" hours ("&amp;TEXT(Dashboard_Data!$B$17,"0.0%")&amp;" of all rentals). Busiest hour: "&amp;Dashboard_Data!$B$20&amp;" with "&amp;TEXT(Dashboard_Data!$B$21,"0")&amp;" rentals/hour on average.")</f>
        <v>• This selection covers 1,000 hours (100.0% of all rentals). Busiest hour: 17:00 with 140 rentals/hour on average.</v>
      </c>
      <c r="C11" s="48"/>
      <c r="D11" s="48"/>
      <c r="E11" s="48"/>
      <c r="F11" s="48"/>
      <c r="G11" s="48"/>
      <c r="H11" s="48"/>
      <c r="I11" s="48"/>
      <c r="J11" s="48"/>
      <c r="K11" s="48"/>
      <c r="L11" s="48"/>
      <c r="M11" s="48"/>
      <c r="N11" s="48"/>
      <c r="O11" s="48"/>
      <c r="P11" s="48"/>
      <c r="Q11" s="48"/>
      <c r="R11" s="48"/>
      <c r="S11" s="48"/>
      <c r="T11" s="48"/>
      <c r="U11" s="48"/>
      <c r="V11" s="48"/>
      <c r="W11" s="48"/>
      <c r="X11" s="48"/>
      <c r="Y11" s="48"/>
    </row>
    <row r="12" spans="2:25" x14ac:dyDescent="0.35">
      <c r="B12" s="48" t="str">
        <f>IF(Dashboard_Data!$B$11=0,"","• Registered users make up "&amp;TEXT(Dashboard_Data!$B$16,"0%")&amp;" of rentals here; casual users "&amp;TEXT(1-Dashboard_Data!$B$16,"0%")&amp;".")</f>
        <v>• Registered users make up 92% of rentals here; casual users 8%.</v>
      </c>
      <c r="C12" s="48"/>
      <c r="D12" s="48"/>
      <c r="E12" s="48"/>
      <c r="F12" s="48"/>
      <c r="G12" s="48"/>
      <c r="H12" s="48"/>
      <c r="I12" s="48"/>
      <c r="J12" s="48"/>
      <c r="K12" s="48"/>
      <c r="L12" s="48"/>
      <c r="M12" s="48"/>
      <c r="N12" s="48"/>
      <c r="O12" s="48"/>
      <c r="P12" s="48"/>
      <c r="Q12" s="48"/>
      <c r="R12" s="48"/>
      <c r="S12" s="48"/>
      <c r="T12" s="48"/>
      <c r="U12" s="48"/>
      <c r="V12" s="48"/>
      <c r="W12" s="48"/>
      <c r="X12" s="48"/>
      <c r="Y12" s="48"/>
    </row>
    <row r="13" spans="2:25" x14ac:dyDescent="0.35">
      <c r="B13" s="48" t="str">
        <f>IF(Dashboard_Data!$B$11=0,"","• Average demand is "&amp;TEXT(Dashboard_Data!$B$13,"0.0")&amp;" rentals/hour, "&amp;TEXT(ABS(Dashboard_Data!$B$19),"0%")&amp;IF(Dashboard_Data!$B$19&gt;=0," above"," below")&amp;" the overall average of "&amp;TEXT(Dashboard_Data!$B$18,"0.0")&amp;".")</f>
        <v>• Average demand is 58.3 rentals/hour, 0% above the overall average of 58.3.</v>
      </c>
      <c r="C13" s="48"/>
      <c r="D13" s="48"/>
      <c r="E13" s="48"/>
      <c r="F13" s="48"/>
      <c r="G13" s="48"/>
      <c r="H13" s="48"/>
      <c r="I13" s="48"/>
      <c r="J13" s="48"/>
      <c r="K13" s="48"/>
      <c r="L13" s="48"/>
      <c r="M13" s="48"/>
      <c r="N13" s="48"/>
      <c r="O13" s="48"/>
      <c r="P13" s="48"/>
      <c r="Q13" s="48"/>
      <c r="R13" s="48"/>
      <c r="S13" s="48"/>
      <c r="T13" s="48"/>
      <c r="U13" s="48"/>
      <c r="V13" s="48"/>
      <c r="W13" s="48"/>
      <c r="X13" s="48"/>
      <c r="Y13" s="48"/>
    </row>
    <row r="60" spans="2:17" x14ac:dyDescent="0.35">
      <c r="B60" s="49" t="s">
        <v>77</v>
      </c>
      <c r="C60" s="49"/>
      <c r="D60" s="49"/>
      <c r="E60" s="49"/>
      <c r="F60" s="49"/>
      <c r="G60" s="49"/>
      <c r="H60" s="49"/>
      <c r="I60" s="49"/>
      <c r="K60" s="49" t="s">
        <v>78</v>
      </c>
      <c r="L60" s="49"/>
      <c r="M60" s="49"/>
      <c r="N60" s="49"/>
      <c r="O60" s="49"/>
      <c r="P60" s="49"/>
      <c r="Q60" s="49"/>
    </row>
    <row r="61" spans="2:17" ht="26" x14ac:dyDescent="0.35">
      <c r="B61" s="9" t="s">
        <v>79</v>
      </c>
      <c r="C61" s="9" t="s">
        <v>80</v>
      </c>
      <c r="D61" s="9" t="s">
        <v>81</v>
      </c>
      <c r="E61" s="9" t="s">
        <v>82</v>
      </c>
      <c r="F61" s="9" t="s">
        <v>83</v>
      </c>
      <c r="G61" s="9" t="s">
        <v>84</v>
      </c>
      <c r="H61" s="9" t="s">
        <v>85</v>
      </c>
      <c r="I61" s="9" t="s">
        <v>86</v>
      </c>
      <c r="K61" s="9" t="s">
        <v>87</v>
      </c>
      <c r="L61" s="9" t="s">
        <v>79</v>
      </c>
      <c r="M61" s="9" t="s">
        <v>88</v>
      </c>
    </row>
    <row r="62" spans="2:17" x14ac:dyDescent="0.35">
      <c r="B62" s="10">
        <v>0</v>
      </c>
      <c r="C62" s="11">
        <f>IFERROR(SUMIFS(Clean_Data!$U$2:$U$1001,Clean_Data!$L$2:$L$1001,COLUMNS($C$61:C$61)-1,Clean_Data!$J$2:$J$1001,$B62,Clean_Data!$V$2:$V$1001,Dashboard_Data!$B$3,Clean_Data!$W$2:$W$1001,Dashboard_Data!$B$4,Clean_Data!$Z$2:$Z$1001,Dashboard_Data!$B$5,Clean_Data!$AF$2:$AF$1001,Dashboard_Data!$B$6,Clean_Data!$F$2:$F$1001,"&gt;="&amp;Dashboard_Data!$B$7,Clean_Data!$F$2:$F$1001,"&lt;="&amp;Dashboard_Data!$B$8)/COUNTIFS(Clean_Data!$L$2:$L$1001,COLUMNS($C$61:C$61)-1,Clean_Data!$J$2:$J$1001,$B62,Clean_Data!$V$2:$V$1001,Dashboard_Data!$B$3,Clean_Data!$W$2:$W$1001,Dashboard_Data!$B$4,Clean_Data!$Z$2:$Z$1001,Dashboard_Data!$B$5,Clean_Data!$AF$2:$AF$1001,Dashboard_Data!$B$6,Clean_Data!$F$2:$F$1001,"&gt;="&amp;Dashboard_Data!$B$7,Clean_Data!$F$2:$F$1001,"&lt;="&amp;Dashboard_Data!$B$8),0)</f>
        <v>30.571428571428573</v>
      </c>
      <c r="D62" s="11">
        <f>IFERROR(SUMIFS(Clean_Data!$U$2:$U$1001,Clean_Data!$L$2:$L$1001,COLUMNS($C$61:D$61)-1,Clean_Data!$J$2:$J$1001,$B62,Clean_Data!$V$2:$V$1001,Dashboard_Data!$B$3,Clean_Data!$W$2:$W$1001,Dashboard_Data!$B$4,Clean_Data!$Z$2:$Z$1001,Dashboard_Data!$B$5,Clean_Data!$AF$2:$AF$1001,Dashboard_Data!$B$6,Clean_Data!$F$2:$F$1001,"&gt;="&amp;Dashboard_Data!$B$7,Clean_Data!$F$2:$F$1001,"&lt;="&amp;Dashboard_Data!$B$8)/COUNTIFS(Clean_Data!$L$2:$L$1001,COLUMNS($C$61:D$61)-1,Clean_Data!$J$2:$J$1001,$B62,Clean_Data!$V$2:$V$1001,Dashboard_Data!$B$3,Clean_Data!$W$2:$W$1001,Dashboard_Data!$B$4,Clean_Data!$Z$2:$Z$1001,Dashboard_Data!$B$5,Clean_Data!$AF$2:$AF$1001,Dashboard_Data!$B$6,Clean_Data!$F$2:$F$1001,"&gt;="&amp;Dashboard_Data!$B$7,Clean_Data!$F$2:$F$1001,"&lt;="&amp;Dashboard_Data!$B$8),0)</f>
        <v>9.5714285714285712</v>
      </c>
      <c r="E62" s="11">
        <f>IFERROR(SUMIFS(Clean_Data!$U$2:$U$1001,Clean_Data!$L$2:$L$1001,COLUMNS($C$61:E$61)-1,Clean_Data!$J$2:$J$1001,$B62,Clean_Data!$V$2:$V$1001,Dashboard_Data!$B$3,Clean_Data!$W$2:$W$1001,Dashboard_Data!$B$4,Clean_Data!$Z$2:$Z$1001,Dashboard_Data!$B$5,Clean_Data!$AF$2:$AF$1001,Dashboard_Data!$B$6,Clean_Data!$F$2:$F$1001,"&gt;="&amp;Dashboard_Data!$B$7,Clean_Data!$F$2:$F$1001,"&lt;="&amp;Dashboard_Data!$B$8)/COUNTIFS(Clean_Data!$L$2:$L$1001,COLUMNS($C$61:E$61)-1,Clean_Data!$J$2:$J$1001,$B62,Clean_Data!$V$2:$V$1001,Dashboard_Data!$B$3,Clean_Data!$W$2:$W$1001,Dashboard_Data!$B$4,Clean_Data!$Z$2:$Z$1001,Dashboard_Data!$B$5,Clean_Data!$AF$2:$AF$1001,Dashboard_Data!$B$6,Clean_Data!$F$2:$F$1001,"&gt;="&amp;Dashboard_Data!$B$7,Clean_Data!$F$2:$F$1001,"&lt;="&amp;Dashboard_Data!$B$8),0)</f>
        <v>8.8000000000000007</v>
      </c>
      <c r="F62" s="11">
        <f>IFERROR(SUMIFS(Clean_Data!$U$2:$U$1001,Clean_Data!$L$2:$L$1001,COLUMNS($C$61:F$61)-1,Clean_Data!$J$2:$J$1001,$B62,Clean_Data!$V$2:$V$1001,Dashboard_Data!$B$3,Clean_Data!$W$2:$W$1001,Dashboard_Data!$B$4,Clean_Data!$Z$2:$Z$1001,Dashboard_Data!$B$5,Clean_Data!$AF$2:$AF$1001,Dashboard_Data!$B$6,Clean_Data!$F$2:$F$1001,"&gt;="&amp;Dashboard_Data!$B$7,Clean_Data!$F$2:$F$1001,"&lt;="&amp;Dashboard_Data!$B$8)/COUNTIFS(Clean_Data!$L$2:$L$1001,COLUMNS($C$61:F$61)-1,Clean_Data!$J$2:$J$1001,$B62,Clean_Data!$V$2:$V$1001,Dashboard_Data!$B$3,Clean_Data!$W$2:$W$1001,Dashboard_Data!$B$4,Clean_Data!$Z$2:$Z$1001,Dashboard_Data!$B$5,Clean_Data!$AF$2:$AF$1001,Dashboard_Data!$B$6,Clean_Data!$F$2:$F$1001,"&gt;="&amp;Dashboard_Data!$B$7,Clean_Data!$F$2:$F$1001,"&lt;="&amp;Dashboard_Data!$B$8),0)</f>
        <v>8.6666666666666661</v>
      </c>
      <c r="G62" s="11">
        <f>IFERROR(SUMIFS(Clean_Data!$U$2:$U$1001,Clean_Data!$L$2:$L$1001,COLUMNS($C$61:G$61)-1,Clean_Data!$J$2:$J$1001,$B62,Clean_Data!$V$2:$V$1001,Dashboard_Data!$B$3,Clean_Data!$W$2:$W$1001,Dashboard_Data!$B$4,Clean_Data!$Z$2:$Z$1001,Dashboard_Data!$B$5,Clean_Data!$AF$2:$AF$1001,Dashboard_Data!$B$6,Clean_Data!$F$2:$F$1001,"&gt;="&amp;Dashboard_Data!$B$7,Clean_Data!$F$2:$F$1001,"&lt;="&amp;Dashboard_Data!$B$8)/COUNTIFS(Clean_Data!$L$2:$L$1001,COLUMNS($C$61:G$61)-1,Clean_Data!$J$2:$J$1001,$B62,Clean_Data!$V$2:$V$1001,Dashboard_Data!$B$3,Clean_Data!$W$2:$W$1001,Dashboard_Data!$B$4,Clean_Data!$Z$2:$Z$1001,Dashboard_Data!$B$5,Clean_Data!$AF$2:$AF$1001,Dashboard_Data!$B$6,Clean_Data!$F$2:$F$1001,"&gt;="&amp;Dashboard_Data!$B$7,Clean_Data!$F$2:$F$1001,"&lt;="&amp;Dashboard_Data!$B$8),0)</f>
        <v>11.8</v>
      </c>
      <c r="H62" s="11">
        <f>IFERROR(SUMIFS(Clean_Data!$U$2:$U$1001,Clean_Data!$L$2:$L$1001,COLUMNS($C$61:H$61)-1,Clean_Data!$J$2:$J$1001,$B62,Clean_Data!$V$2:$V$1001,Dashboard_Data!$B$3,Clean_Data!$W$2:$W$1001,Dashboard_Data!$B$4,Clean_Data!$Z$2:$Z$1001,Dashboard_Data!$B$5,Clean_Data!$AF$2:$AF$1001,Dashboard_Data!$B$6,Clean_Data!$F$2:$F$1001,"&gt;="&amp;Dashboard_Data!$B$7,Clean_Data!$F$2:$F$1001,"&lt;="&amp;Dashboard_Data!$B$8)/COUNTIFS(Clean_Data!$L$2:$L$1001,COLUMNS($C$61:H$61)-1,Clean_Data!$J$2:$J$1001,$B62,Clean_Data!$V$2:$V$1001,Dashboard_Data!$B$3,Clean_Data!$W$2:$W$1001,Dashboard_Data!$B$4,Clean_Data!$Z$2:$Z$1001,Dashboard_Data!$B$5,Clean_Data!$AF$2:$AF$1001,Dashboard_Data!$B$6,Clean_Data!$F$2:$F$1001,"&gt;="&amp;Dashboard_Data!$B$7,Clean_Data!$F$2:$F$1001,"&lt;="&amp;Dashboard_Data!$B$8),0)</f>
        <v>14.666666666666666</v>
      </c>
      <c r="I62" s="11">
        <f>IFERROR(SUMIFS(Clean_Data!$U$2:$U$1001,Clean_Data!$L$2:$L$1001,COLUMNS($C$61:I$61)-1,Clean_Data!$J$2:$J$1001,$B62,Clean_Data!$V$2:$V$1001,Dashboard_Data!$B$3,Clean_Data!$W$2:$W$1001,Dashboard_Data!$B$4,Clean_Data!$Z$2:$Z$1001,Dashboard_Data!$B$5,Clean_Data!$AF$2:$AF$1001,Dashboard_Data!$B$6,Clean_Data!$F$2:$F$1001,"&gt;="&amp;Dashboard_Data!$B$7,Clean_Data!$F$2:$F$1001,"&lt;="&amp;Dashboard_Data!$B$8)/COUNTIFS(Clean_Data!$L$2:$L$1001,COLUMNS($C$61:I$61)-1,Clean_Data!$J$2:$J$1001,$B62,Clean_Data!$V$2:$V$1001,Dashboard_Data!$B$3,Clean_Data!$W$2:$W$1001,Dashboard_Data!$B$4,Clean_Data!$Z$2:$Z$1001,Dashboard_Data!$B$5,Clean_Data!$AF$2:$AF$1001,Dashboard_Data!$B$6,Clean_Data!$F$2:$F$1001,"&gt;="&amp;Dashboard_Data!$B$7,Clean_Data!$F$2:$F$1001,"&lt;="&amp;Dashboard_Data!$B$8),0)</f>
        <v>25.571428571428573</v>
      </c>
      <c r="K62" s="10">
        <v>1</v>
      </c>
      <c r="L62" s="12" t="str">
        <f>IF(M62=0,"–",TEXT(INDEX(Dashboard_Data!$A$25:$A$48,MATCH(M62,Dashboard_Data!$E$25:$E$48,0)),"00")&amp;":00")</f>
        <v>17:00</v>
      </c>
      <c r="M62" s="13">
        <f>LARGE(Dashboard_Data!$E$25:$E$48,1)</f>
        <v>140.20454545454544</v>
      </c>
    </row>
    <row r="63" spans="2:17" x14ac:dyDescent="0.35">
      <c r="B63" s="10">
        <v>1</v>
      </c>
      <c r="C63" s="11">
        <f>IFERROR(SUMIFS(Clean_Data!$U$2:$U$1001,Clean_Data!$L$2:$L$1001,COLUMNS($C$61:C$61)-1,Clean_Data!$J$2:$J$1001,$B63,Clean_Data!$V$2:$V$1001,Dashboard_Data!$B$3,Clean_Data!$W$2:$W$1001,Dashboard_Data!$B$4,Clean_Data!$Z$2:$Z$1001,Dashboard_Data!$B$5,Clean_Data!$AF$2:$AF$1001,Dashboard_Data!$B$6,Clean_Data!$F$2:$F$1001,"&gt;="&amp;Dashboard_Data!$B$7,Clean_Data!$F$2:$F$1001,"&lt;="&amp;Dashboard_Data!$B$8)/COUNTIFS(Clean_Data!$L$2:$L$1001,COLUMNS($C$61:C$61)-1,Clean_Data!$J$2:$J$1001,$B63,Clean_Data!$V$2:$V$1001,Dashboard_Data!$B$3,Clean_Data!$W$2:$W$1001,Dashboard_Data!$B$4,Clean_Data!$Z$2:$Z$1001,Dashboard_Data!$B$5,Clean_Data!$AF$2:$AF$1001,Dashboard_Data!$B$6,Clean_Data!$F$2:$F$1001,"&gt;="&amp;Dashboard_Data!$B$7,Clean_Data!$F$2:$F$1001,"&lt;="&amp;Dashboard_Data!$B$8),0)</f>
        <v>23.142857142857142</v>
      </c>
      <c r="D63" s="11">
        <f>IFERROR(SUMIFS(Clean_Data!$U$2:$U$1001,Clean_Data!$L$2:$L$1001,COLUMNS($C$61:D$61)-1,Clean_Data!$J$2:$J$1001,$B63,Clean_Data!$V$2:$V$1001,Dashboard_Data!$B$3,Clean_Data!$W$2:$W$1001,Dashboard_Data!$B$4,Clean_Data!$Z$2:$Z$1001,Dashboard_Data!$B$5,Clean_Data!$AF$2:$AF$1001,Dashboard_Data!$B$6,Clean_Data!$F$2:$F$1001,"&gt;="&amp;Dashboard_Data!$B$7,Clean_Data!$F$2:$F$1001,"&lt;="&amp;Dashboard_Data!$B$8)/COUNTIFS(Clean_Data!$L$2:$L$1001,COLUMNS($C$61:D$61)-1,Clean_Data!$J$2:$J$1001,$B63,Clean_Data!$V$2:$V$1001,Dashboard_Data!$B$3,Clean_Data!$W$2:$W$1001,Dashboard_Data!$B$4,Clean_Data!$Z$2:$Z$1001,Dashboard_Data!$B$5,Clean_Data!$AF$2:$AF$1001,Dashboard_Data!$B$6,Clean_Data!$F$2:$F$1001,"&gt;="&amp;Dashboard_Data!$B$7,Clean_Data!$F$2:$F$1001,"&lt;="&amp;Dashboard_Data!$B$8),0)</f>
        <v>5.5714285714285712</v>
      </c>
      <c r="E63" s="11">
        <f>IFERROR(SUMIFS(Clean_Data!$U$2:$U$1001,Clean_Data!$L$2:$L$1001,COLUMNS($C$61:E$61)-1,Clean_Data!$J$2:$J$1001,$B63,Clean_Data!$V$2:$V$1001,Dashboard_Data!$B$3,Clean_Data!$W$2:$W$1001,Dashboard_Data!$B$4,Clean_Data!$Z$2:$Z$1001,Dashboard_Data!$B$5,Clean_Data!$AF$2:$AF$1001,Dashboard_Data!$B$6,Clean_Data!$F$2:$F$1001,"&gt;="&amp;Dashboard_Data!$B$7,Clean_Data!$F$2:$F$1001,"&lt;="&amp;Dashboard_Data!$B$8)/COUNTIFS(Clean_Data!$L$2:$L$1001,COLUMNS($C$61:E$61)-1,Clean_Data!$J$2:$J$1001,$B63,Clean_Data!$V$2:$V$1001,Dashboard_Data!$B$3,Clean_Data!$W$2:$W$1001,Dashboard_Data!$B$4,Clean_Data!$Z$2:$Z$1001,Dashboard_Data!$B$5,Clean_Data!$AF$2:$AF$1001,Dashboard_Data!$B$6,Clean_Data!$F$2:$F$1001,"&gt;="&amp;Dashboard_Data!$B$7,Clean_Data!$F$2:$F$1001,"&lt;="&amp;Dashboard_Data!$B$8),0)</f>
        <v>3.4</v>
      </c>
      <c r="F63" s="11">
        <f>IFERROR(SUMIFS(Clean_Data!$U$2:$U$1001,Clean_Data!$L$2:$L$1001,COLUMNS($C$61:F$61)-1,Clean_Data!$J$2:$J$1001,$B63,Clean_Data!$V$2:$V$1001,Dashboard_Data!$B$3,Clean_Data!$W$2:$W$1001,Dashboard_Data!$B$4,Clean_Data!$Z$2:$Z$1001,Dashboard_Data!$B$5,Clean_Data!$AF$2:$AF$1001,Dashboard_Data!$B$6,Clean_Data!$F$2:$F$1001,"&gt;="&amp;Dashboard_Data!$B$7,Clean_Data!$F$2:$F$1001,"&lt;="&amp;Dashboard_Data!$B$8)/COUNTIFS(Clean_Data!$L$2:$L$1001,COLUMNS($C$61:F$61)-1,Clean_Data!$J$2:$J$1001,$B63,Clean_Data!$V$2:$V$1001,Dashboard_Data!$B$3,Clean_Data!$W$2:$W$1001,Dashboard_Data!$B$4,Clean_Data!$Z$2:$Z$1001,Dashboard_Data!$B$5,Clean_Data!$AF$2:$AF$1001,Dashboard_Data!$B$6,Clean_Data!$F$2:$F$1001,"&gt;="&amp;Dashboard_Data!$B$7,Clean_Data!$F$2:$F$1001,"&lt;="&amp;Dashboard_Data!$B$8),0)</f>
        <v>5.666666666666667</v>
      </c>
      <c r="G63" s="11">
        <f>IFERROR(SUMIFS(Clean_Data!$U$2:$U$1001,Clean_Data!$L$2:$L$1001,COLUMNS($C$61:G$61)-1,Clean_Data!$J$2:$J$1001,$B63,Clean_Data!$V$2:$V$1001,Dashboard_Data!$B$3,Clean_Data!$W$2:$W$1001,Dashboard_Data!$B$4,Clean_Data!$Z$2:$Z$1001,Dashboard_Data!$B$5,Clean_Data!$AF$2:$AF$1001,Dashboard_Data!$B$6,Clean_Data!$F$2:$F$1001,"&gt;="&amp;Dashboard_Data!$B$7,Clean_Data!$F$2:$F$1001,"&lt;="&amp;Dashboard_Data!$B$8)/COUNTIFS(Clean_Data!$L$2:$L$1001,COLUMNS($C$61:G$61)-1,Clean_Data!$J$2:$J$1001,$B63,Clean_Data!$V$2:$V$1001,Dashboard_Data!$B$3,Clean_Data!$W$2:$W$1001,Dashboard_Data!$B$4,Clean_Data!$Z$2:$Z$1001,Dashboard_Data!$B$5,Clean_Data!$AF$2:$AF$1001,Dashboard_Data!$B$6,Clean_Data!$F$2:$F$1001,"&gt;="&amp;Dashboard_Data!$B$7,Clean_Data!$F$2:$F$1001,"&lt;="&amp;Dashboard_Data!$B$8),0)</f>
        <v>4.5999999999999996</v>
      </c>
      <c r="H63" s="11">
        <f>IFERROR(SUMIFS(Clean_Data!$U$2:$U$1001,Clean_Data!$L$2:$L$1001,COLUMNS($C$61:H$61)-1,Clean_Data!$J$2:$J$1001,$B63,Clean_Data!$V$2:$V$1001,Dashboard_Data!$B$3,Clean_Data!$W$2:$W$1001,Dashboard_Data!$B$4,Clean_Data!$Z$2:$Z$1001,Dashboard_Data!$B$5,Clean_Data!$AF$2:$AF$1001,Dashboard_Data!$B$6,Clean_Data!$F$2:$F$1001,"&gt;="&amp;Dashboard_Data!$B$7,Clean_Data!$F$2:$F$1001,"&lt;="&amp;Dashboard_Data!$B$8)/COUNTIFS(Clean_Data!$L$2:$L$1001,COLUMNS($C$61:H$61)-1,Clean_Data!$J$2:$J$1001,$B63,Clean_Data!$V$2:$V$1001,Dashboard_Data!$B$3,Clean_Data!$W$2:$W$1001,Dashboard_Data!$B$4,Clean_Data!$Z$2:$Z$1001,Dashboard_Data!$B$5,Clean_Data!$AF$2:$AF$1001,Dashboard_Data!$B$6,Clean_Data!$F$2:$F$1001,"&gt;="&amp;Dashboard_Data!$B$7,Clean_Data!$F$2:$F$1001,"&lt;="&amp;Dashboard_Data!$B$8),0)</f>
        <v>5.833333333333333</v>
      </c>
      <c r="I63" s="11">
        <f>IFERROR(SUMIFS(Clean_Data!$U$2:$U$1001,Clean_Data!$L$2:$L$1001,COLUMNS($C$61:I$61)-1,Clean_Data!$J$2:$J$1001,$B63,Clean_Data!$V$2:$V$1001,Dashboard_Data!$B$3,Clean_Data!$W$2:$W$1001,Dashboard_Data!$B$4,Clean_Data!$Z$2:$Z$1001,Dashboard_Data!$B$5,Clean_Data!$AF$2:$AF$1001,Dashboard_Data!$B$6,Clean_Data!$F$2:$F$1001,"&gt;="&amp;Dashboard_Data!$B$7,Clean_Data!$F$2:$F$1001,"&lt;="&amp;Dashboard_Data!$B$8)/COUNTIFS(Clean_Data!$L$2:$L$1001,COLUMNS($C$61:I$61)-1,Clean_Data!$J$2:$J$1001,$B63,Clean_Data!$V$2:$V$1001,Dashboard_Data!$B$3,Clean_Data!$W$2:$W$1001,Dashboard_Data!$B$4,Clean_Data!$Z$2:$Z$1001,Dashboard_Data!$B$5,Clean_Data!$AF$2:$AF$1001,Dashboard_Data!$B$6,Clean_Data!$F$2:$F$1001,"&gt;="&amp;Dashboard_Data!$B$7,Clean_Data!$F$2:$F$1001,"&lt;="&amp;Dashboard_Data!$B$8),0)</f>
        <v>21.428571428571427</v>
      </c>
      <c r="K63" s="10">
        <v>2</v>
      </c>
      <c r="L63" s="12" t="str">
        <f>IF(M63=0,"–",TEXT(INDEX(Dashboard_Data!$A$25:$A$48,MATCH(M63,Dashboard_Data!$E$25:$E$48,0)),"00")&amp;":00")</f>
        <v>08:00</v>
      </c>
      <c r="M63" s="13">
        <f>LARGE(Dashboard_Data!$E$25:$E$48,2)</f>
        <v>128.28571428571428</v>
      </c>
    </row>
    <row r="64" spans="2:17" x14ac:dyDescent="0.35">
      <c r="B64" s="10">
        <v>2</v>
      </c>
      <c r="C64" s="11">
        <f>IFERROR(SUMIFS(Clean_Data!$U$2:$U$1001,Clean_Data!$L$2:$L$1001,COLUMNS($C$61:C$61)-1,Clean_Data!$J$2:$J$1001,$B64,Clean_Data!$V$2:$V$1001,Dashboard_Data!$B$3,Clean_Data!$W$2:$W$1001,Dashboard_Data!$B$4,Clean_Data!$Z$2:$Z$1001,Dashboard_Data!$B$5,Clean_Data!$AF$2:$AF$1001,Dashboard_Data!$B$6,Clean_Data!$F$2:$F$1001,"&gt;="&amp;Dashboard_Data!$B$7,Clean_Data!$F$2:$F$1001,"&lt;="&amp;Dashboard_Data!$B$8)/COUNTIFS(Clean_Data!$L$2:$L$1001,COLUMNS($C$61:C$61)-1,Clean_Data!$J$2:$J$1001,$B64,Clean_Data!$V$2:$V$1001,Dashboard_Data!$B$3,Clean_Data!$W$2:$W$1001,Dashboard_Data!$B$4,Clean_Data!$Z$2:$Z$1001,Dashboard_Data!$B$5,Clean_Data!$AF$2:$AF$1001,Dashboard_Data!$B$6,Clean_Data!$F$2:$F$1001,"&gt;="&amp;Dashboard_Data!$B$7,Clean_Data!$F$2:$F$1001,"&lt;="&amp;Dashboard_Data!$B$8),0)</f>
        <v>15</v>
      </c>
      <c r="D64" s="11">
        <f>IFERROR(SUMIFS(Clean_Data!$U$2:$U$1001,Clean_Data!$L$2:$L$1001,COLUMNS($C$61:D$61)-1,Clean_Data!$J$2:$J$1001,$B64,Clean_Data!$V$2:$V$1001,Dashboard_Data!$B$3,Clean_Data!$W$2:$W$1001,Dashboard_Data!$B$4,Clean_Data!$Z$2:$Z$1001,Dashboard_Data!$B$5,Clean_Data!$AF$2:$AF$1001,Dashboard_Data!$B$6,Clean_Data!$F$2:$F$1001,"&gt;="&amp;Dashboard_Data!$B$7,Clean_Data!$F$2:$F$1001,"&lt;="&amp;Dashboard_Data!$B$8)/COUNTIFS(Clean_Data!$L$2:$L$1001,COLUMNS($C$61:D$61)-1,Clean_Data!$J$2:$J$1001,$B64,Clean_Data!$V$2:$V$1001,Dashboard_Data!$B$3,Clean_Data!$W$2:$W$1001,Dashboard_Data!$B$4,Clean_Data!$Z$2:$Z$1001,Dashboard_Data!$B$5,Clean_Data!$AF$2:$AF$1001,Dashboard_Data!$B$6,Clean_Data!$F$2:$F$1001,"&gt;="&amp;Dashboard_Data!$B$7,Clean_Data!$F$2:$F$1001,"&lt;="&amp;Dashboard_Data!$B$8),0)</f>
        <v>3.4</v>
      </c>
      <c r="E64" s="11">
        <f>IFERROR(SUMIFS(Clean_Data!$U$2:$U$1001,Clean_Data!$L$2:$L$1001,COLUMNS($C$61:E$61)-1,Clean_Data!$J$2:$J$1001,$B64,Clean_Data!$V$2:$V$1001,Dashboard_Data!$B$3,Clean_Data!$W$2:$W$1001,Dashboard_Data!$B$4,Clean_Data!$Z$2:$Z$1001,Dashboard_Data!$B$5,Clean_Data!$AF$2:$AF$1001,Dashboard_Data!$B$6,Clean_Data!$F$2:$F$1001,"&gt;="&amp;Dashboard_Data!$B$7,Clean_Data!$F$2:$F$1001,"&lt;="&amp;Dashboard_Data!$B$8)/COUNTIFS(Clean_Data!$L$2:$L$1001,COLUMNS($C$61:E$61)-1,Clean_Data!$J$2:$J$1001,$B64,Clean_Data!$V$2:$V$1001,Dashboard_Data!$B$3,Clean_Data!$W$2:$W$1001,Dashboard_Data!$B$4,Clean_Data!$Z$2:$Z$1001,Dashboard_Data!$B$5,Clean_Data!$AF$2:$AF$1001,Dashboard_Data!$B$6,Clean_Data!$F$2:$F$1001,"&gt;="&amp;Dashboard_Data!$B$7,Clean_Data!$F$2:$F$1001,"&lt;="&amp;Dashboard_Data!$B$8),0)</f>
        <v>2</v>
      </c>
      <c r="F64" s="11">
        <f>IFERROR(SUMIFS(Clean_Data!$U$2:$U$1001,Clean_Data!$L$2:$L$1001,COLUMNS($C$61:F$61)-1,Clean_Data!$J$2:$J$1001,$B64,Clean_Data!$V$2:$V$1001,Dashboard_Data!$B$3,Clean_Data!$W$2:$W$1001,Dashboard_Data!$B$4,Clean_Data!$Z$2:$Z$1001,Dashboard_Data!$B$5,Clean_Data!$AF$2:$AF$1001,Dashboard_Data!$B$6,Clean_Data!$F$2:$F$1001,"&gt;="&amp;Dashboard_Data!$B$7,Clean_Data!$F$2:$F$1001,"&lt;="&amp;Dashboard_Data!$B$8)/COUNTIFS(Clean_Data!$L$2:$L$1001,COLUMNS($C$61:F$61)-1,Clean_Data!$J$2:$J$1001,$B64,Clean_Data!$V$2:$V$1001,Dashboard_Data!$B$3,Clean_Data!$W$2:$W$1001,Dashboard_Data!$B$4,Clean_Data!$Z$2:$Z$1001,Dashboard_Data!$B$5,Clean_Data!$AF$2:$AF$1001,Dashboard_Data!$B$6,Clean_Data!$F$2:$F$1001,"&gt;="&amp;Dashboard_Data!$B$7,Clean_Data!$F$2:$F$1001,"&lt;="&amp;Dashboard_Data!$B$8),0)</f>
        <v>3.8333333333333335</v>
      </c>
      <c r="G64" s="11">
        <f>IFERROR(SUMIFS(Clean_Data!$U$2:$U$1001,Clean_Data!$L$2:$L$1001,COLUMNS($C$61:G$61)-1,Clean_Data!$J$2:$J$1001,$B64,Clean_Data!$V$2:$V$1001,Dashboard_Data!$B$3,Clean_Data!$W$2:$W$1001,Dashboard_Data!$B$4,Clean_Data!$Z$2:$Z$1001,Dashboard_Data!$B$5,Clean_Data!$AF$2:$AF$1001,Dashboard_Data!$B$6,Clean_Data!$F$2:$F$1001,"&gt;="&amp;Dashboard_Data!$B$7,Clean_Data!$F$2:$F$1001,"&lt;="&amp;Dashboard_Data!$B$8)/COUNTIFS(Clean_Data!$L$2:$L$1001,COLUMNS($C$61:G$61)-1,Clean_Data!$J$2:$J$1001,$B64,Clean_Data!$V$2:$V$1001,Dashboard_Data!$B$3,Clean_Data!$W$2:$W$1001,Dashboard_Data!$B$4,Clean_Data!$Z$2:$Z$1001,Dashboard_Data!$B$5,Clean_Data!$AF$2:$AF$1001,Dashboard_Data!$B$6,Clean_Data!$F$2:$F$1001,"&gt;="&amp;Dashboard_Data!$B$7,Clean_Data!$F$2:$F$1001,"&lt;="&amp;Dashboard_Data!$B$8),0)</f>
        <v>2.2000000000000002</v>
      </c>
      <c r="H64" s="11">
        <f>IFERROR(SUMIFS(Clean_Data!$U$2:$U$1001,Clean_Data!$L$2:$L$1001,COLUMNS($C$61:H$61)-1,Clean_Data!$J$2:$J$1001,$B64,Clean_Data!$V$2:$V$1001,Dashboard_Data!$B$3,Clean_Data!$W$2:$W$1001,Dashboard_Data!$B$4,Clean_Data!$Z$2:$Z$1001,Dashboard_Data!$B$5,Clean_Data!$AF$2:$AF$1001,Dashboard_Data!$B$6,Clean_Data!$F$2:$F$1001,"&gt;="&amp;Dashboard_Data!$B$7,Clean_Data!$F$2:$F$1001,"&lt;="&amp;Dashboard_Data!$B$8)/COUNTIFS(Clean_Data!$L$2:$L$1001,COLUMNS($C$61:H$61)-1,Clean_Data!$J$2:$J$1001,$B64,Clean_Data!$V$2:$V$1001,Dashboard_Data!$B$3,Clean_Data!$W$2:$W$1001,Dashboard_Data!$B$4,Clean_Data!$Z$2:$Z$1001,Dashboard_Data!$B$5,Clean_Data!$AF$2:$AF$1001,Dashboard_Data!$B$6,Clean_Data!$F$2:$F$1001,"&gt;="&amp;Dashboard_Data!$B$7,Clean_Data!$F$2:$F$1001,"&lt;="&amp;Dashboard_Data!$B$8),0)</f>
        <v>1.6666666666666667</v>
      </c>
      <c r="I64" s="11">
        <f>IFERROR(SUMIFS(Clean_Data!$U$2:$U$1001,Clean_Data!$L$2:$L$1001,COLUMNS($C$61:I$61)-1,Clean_Data!$J$2:$J$1001,$B64,Clean_Data!$V$2:$V$1001,Dashboard_Data!$B$3,Clean_Data!$W$2:$W$1001,Dashboard_Data!$B$4,Clean_Data!$Z$2:$Z$1001,Dashboard_Data!$B$5,Clean_Data!$AF$2:$AF$1001,Dashboard_Data!$B$6,Clean_Data!$F$2:$F$1001,"&gt;="&amp;Dashboard_Data!$B$7,Clean_Data!$F$2:$F$1001,"&lt;="&amp;Dashboard_Data!$B$8)/COUNTIFS(Clean_Data!$L$2:$L$1001,COLUMNS($C$61:I$61)-1,Clean_Data!$J$2:$J$1001,$B64,Clean_Data!$V$2:$V$1001,Dashboard_Data!$B$3,Clean_Data!$W$2:$W$1001,Dashboard_Data!$B$4,Clean_Data!$Z$2:$Z$1001,Dashboard_Data!$B$5,Clean_Data!$AF$2:$AF$1001,Dashboard_Data!$B$6,Clean_Data!$F$2:$F$1001,"&gt;="&amp;Dashboard_Data!$B$7,Clean_Data!$F$2:$F$1001,"&lt;="&amp;Dashboard_Data!$B$8),0)</f>
        <v>16.857142857142858</v>
      </c>
      <c r="K64" s="10">
        <v>3</v>
      </c>
      <c r="L64" s="12" t="str">
        <f>IF(M64=0,"–",TEXT(INDEX(Dashboard_Data!$A$25:$A$48,MATCH(M64,Dashboard_Data!$E$25:$E$48,0)),"00")&amp;":00")</f>
        <v>18:00</v>
      </c>
      <c r="M64" s="13">
        <f>LARGE(Dashboard_Data!$E$25:$E$48,3)</f>
        <v>122.86046511627907</v>
      </c>
    </row>
    <row r="65" spans="2:25" x14ac:dyDescent="0.35">
      <c r="B65" s="10">
        <v>3</v>
      </c>
      <c r="C65" s="11">
        <f>IFERROR(SUMIFS(Clean_Data!$U$2:$U$1001,Clean_Data!$L$2:$L$1001,COLUMNS($C$61:C$61)-1,Clean_Data!$J$2:$J$1001,$B65,Clean_Data!$V$2:$V$1001,Dashboard_Data!$B$3,Clean_Data!$W$2:$W$1001,Dashboard_Data!$B$4,Clean_Data!$Z$2:$Z$1001,Dashboard_Data!$B$5,Clean_Data!$AF$2:$AF$1001,Dashboard_Data!$B$6,Clean_Data!$F$2:$F$1001,"&gt;="&amp;Dashboard_Data!$B$7,Clean_Data!$F$2:$F$1001,"&lt;="&amp;Dashboard_Data!$B$8)/COUNTIFS(Clean_Data!$L$2:$L$1001,COLUMNS($C$61:C$61)-1,Clean_Data!$J$2:$J$1001,$B65,Clean_Data!$V$2:$V$1001,Dashboard_Data!$B$3,Clean_Data!$W$2:$W$1001,Dashboard_Data!$B$4,Clean_Data!$Z$2:$Z$1001,Dashboard_Data!$B$5,Clean_Data!$AF$2:$AF$1001,Dashboard_Data!$B$6,Clean_Data!$F$2:$F$1001,"&gt;="&amp;Dashboard_Data!$B$7,Clean_Data!$F$2:$F$1001,"&lt;="&amp;Dashboard_Data!$B$8),0)</f>
        <v>9</v>
      </c>
      <c r="D65" s="11">
        <f>IFERROR(SUMIFS(Clean_Data!$U$2:$U$1001,Clean_Data!$L$2:$L$1001,COLUMNS($C$61:D$61)-1,Clean_Data!$J$2:$J$1001,$B65,Clean_Data!$V$2:$V$1001,Dashboard_Data!$B$3,Clean_Data!$W$2:$W$1001,Dashboard_Data!$B$4,Clean_Data!$Z$2:$Z$1001,Dashboard_Data!$B$5,Clean_Data!$AF$2:$AF$1001,Dashboard_Data!$B$6,Clean_Data!$F$2:$F$1001,"&gt;="&amp;Dashboard_Data!$B$7,Clean_Data!$F$2:$F$1001,"&lt;="&amp;Dashboard_Data!$B$8)/COUNTIFS(Clean_Data!$L$2:$L$1001,COLUMNS($C$61:D$61)-1,Clean_Data!$J$2:$J$1001,$B65,Clean_Data!$V$2:$V$1001,Dashboard_Data!$B$3,Clean_Data!$W$2:$W$1001,Dashboard_Data!$B$4,Clean_Data!$Z$2:$Z$1001,Dashboard_Data!$B$5,Clean_Data!$AF$2:$AF$1001,Dashboard_Data!$B$6,Clean_Data!$F$2:$F$1001,"&gt;="&amp;Dashboard_Data!$B$7,Clean_Data!$F$2:$F$1001,"&lt;="&amp;Dashboard_Data!$B$8),0)</f>
        <v>1.5</v>
      </c>
      <c r="E65" s="11">
        <f>IFERROR(SUMIFS(Clean_Data!$U$2:$U$1001,Clean_Data!$L$2:$L$1001,COLUMNS($C$61:E$61)-1,Clean_Data!$J$2:$J$1001,$B65,Clean_Data!$V$2:$V$1001,Dashboard_Data!$B$3,Clean_Data!$W$2:$W$1001,Dashboard_Data!$B$4,Clean_Data!$Z$2:$Z$1001,Dashboard_Data!$B$5,Clean_Data!$AF$2:$AF$1001,Dashboard_Data!$B$6,Clean_Data!$F$2:$F$1001,"&gt;="&amp;Dashboard_Data!$B$7,Clean_Data!$F$2:$F$1001,"&lt;="&amp;Dashboard_Data!$B$8)/COUNTIFS(Clean_Data!$L$2:$L$1001,COLUMNS($C$61:E$61)-1,Clean_Data!$J$2:$J$1001,$B65,Clean_Data!$V$2:$V$1001,Dashboard_Data!$B$3,Clean_Data!$W$2:$W$1001,Dashboard_Data!$B$4,Clean_Data!$Z$2:$Z$1001,Dashboard_Data!$B$5,Clean_Data!$AF$2:$AF$1001,Dashboard_Data!$B$6,Clean_Data!$F$2:$F$1001,"&gt;="&amp;Dashboard_Data!$B$7,Clean_Data!$F$2:$F$1001,"&lt;="&amp;Dashboard_Data!$B$8),0)</f>
        <v>1.5</v>
      </c>
      <c r="F65" s="11">
        <f>IFERROR(SUMIFS(Clean_Data!$U$2:$U$1001,Clean_Data!$L$2:$L$1001,COLUMNS($C$61:F$61)-1,Clean_Data!$J$2:$J$1001,$B65,Clean_Data!$V$2:$V$1001,Dashboard_Data!$B$3,Clean_Data!$W$2:$W$1001,Dashboard_Data!$B$4,Clean_Data!$Z$2:$Z$1001,Dashboard_Data!$B$5,Clean_Data!$AF$2:$AF$1001,Dashboard_Data!$B$6,Clean_Data!$F$2:$F$1001,"&gt;="&amp;Dashboard_Data!$B$7,Clean_Data!$F$2:$F$1001,"&lt;="&amp;Dashboard_Data!$B$8)/COUNTIFS(Clean_Data!$L$2:$L$1001,COLUMNS($C$61:F$61)-1,Clean_Data!$J$2:$J$1001,$B65,Clean_Data!$V$2:$V$1001,Dashboard_Data!$B$3,Clean_Data!$W$2:$W$1001,Dashboard_Data!$B$4,Clean_Data!$Z$2:$Z$1001,Dashboard_Data!$B$5,Clean_Data!$AF$2:$AF$1001,Dashboard_Data!$B$6,Clean_Data!$F$2:$F$1001,"&gt;="&amp;Dashboard_Data!$B$7,Clean_Data!$F$2:$F$1001,"&lt;="&amp;Dashboard_Data!$B$8),0)</f>
        <v>1.5</v>
      </c>
      <c r="G65" s="11">
        <f>IFERROR(SUMIFS(Clean_Data!$U$2:$U$1001,Clean_Data!$L$2:$L$1001,COLUMNS($C$61:G$61)-1,Clean_Data!$J$2:$J$1001,$B65,Clean_Data!$V$2:$V$1001,Dashboard_Data!$B$3,Clean_Data!$W$2:$W$1001,Dashboard_Data!$B$4,Clean_Data!$Z$2:$Z$1001,Dashboard_Data!$B$5,Clean_Data!$AF$2:$AF$1001,Dashboard_Data!$B$6,Clean_Data!$F$2:$F$1001,"&gt;="&amp;Dashboard_Data!$B$7,Clean_Data!$F$2:$F$1001,"&lt;="&amp;Dashboard_Data!$B$8)/COUNTIFS(Clean_Data!$L$2:$L$1001,COLUMNS($C$61:G$61)-1,Clean_Data!$J$2:$J$1001,$B65,Clean_Data!$V$2:$V$1001,Dashboard_Data!$B$3,Clean_Data!$W$2:$W$1001,Dashboard_Data!$B$4,Clean_Data!$Z$2:$Z$1001,Dashboard_Data!$B$5,Clean_Data!$AF$2:$AF$1001,Dashboard_Data!$B$6,Clean_Data!$F$2:$F$1001,"&gt;="&amp;Dashboard_Data!$B$7,Clean_Data!$F$2:$F$1001,"&lt;="&amp;Dashboard_Data!$B$8),0)</f>
        <v>1.6666666666666667</v>
      </c>
      <c r="H65" s="11">
        <f>IFERROR(SUMIFS(Clean_Data!$U$2:$U$1001,Clean_Data!$L$2:$L$1001,COLUMNS($C$61:H$61)-1,Clean_Data!$J$2:$J$1001,$B65,Clean_Data!$V$2:$V$1001,Dashboard_Data!$B$3,Clean_Data!$W$2:$W$1001,Dashboard_Data!$B$4,Clean_Data!$Z$2:$Z$1001,Dashboard_Data!$B$5,Clean_Data!$AF$2:$AF$1001,Dashboard_Data!$B$6,Clean_Data!$F$2:$F$1001,"&gt;="&amp;Dashboard_Data!$B$7,Clean_Data!$F$2:$F$1001,"&lt;="&amp;Dashboard_Data!$B$8)/COUNTIFS(Clean_Data!$L$2:$L$1001,COLUMNS($C$61:H$61)-1,Clean_Data!$J$2:$J$1001,$B65,Clean_Data!$V$2:$V$1001,Dashboard_Data!$B$3,Clean_Data!$W$2:$W$1001,Dashboard_Data!$B$4,Clean_Data!$Z$2:$Z$1001,Dashboard_Data!$B$5,Clean_Data!$AF$2:$AF$1001,Dashboard_Data!$B$6,Clean_Data!$F$2:$F$1001,"&gt;="&amp;Dashboard_Data!$B$7,Clean_Data!$F$2:$F$1001,"&lt;="&amp;Dashboard_Data!$B$8),0)</f>
        <v>1</v>
      </c>
      <c r="I65" s="11">
        <f>IFERROR(SUMIFS(Clean_Data!$U$2:$U$1001,Clean_Data!$L$2:$L$1001,COLUMNS($C$61:I$61)-1,Clean_Data!$J$2:$J$1001,$B65,Clean_Data!$V$2:$V$1001,Dashboard_Data!$B$3,Clean_Data!$W$2:$W$1001,Dashboard_Data!$B$4,Clean_Data!$Z$2:$Z$1001,Dashboard_Data!$B$5,Clean_Data!$AF$2:$AF$1001,Dashboard_Data!$B$6,Clean_Data!$F$2:$F$1001,"&gt;="&amp;Dashboard_Data!$B$7,Clean_Data!$F$2:$F$1001,"&lt;="&amp;Dashboard_Data!$B$8)/COUNTIFS(Clean_Data!$L$2:$L$1001,COLUMNS($C$61:I$61)-1,Clean_Data!$J$2:$J$1001,$B65,Clean_Data!$V$2:$V$1001,Dashboard_Data!$B$3,Clean_Data!$W$2:$W$1001,Dashboard_Data!$B$4,Clean_Data!$Z$2:$Z$1001,Dashboard_Data!$B$5,Clean_Data!$AF$2:$AF$1001,Dashboard_Data!$B$6,Clean_Data!$F$2:$F$1001,"&gt;="&amp;Dashboard_Data!$B$7,Clean_Data!$F$2:$F$1001,"&lt;="&amp;Dashboard_Data!$B$8),0)</f>
        <v>9.1428571428571423</v>
      </c>
      <c r="K65" s="10">
        <v>4</v>
      </c>
      <c r="L65" s="12" t="str">
        <f>IF(M65=0,"–",TEXT(INDEX(Dashboard_Data!$A$25:$A$48,MATCH(M65,Dashboard_Data!$E$25:$E$48,0)),"00")&amp;":00")</f>
        <v>16:00</v>
      </c>
      <c r="M65" s="13">
        <f>LARGE(Dashboard_Data!$E$25:$E$48,4)</f>
        <v>89.272727272727266</v>
      </c>
    </row>
    <row r="66" spans="2:25" x14ac:dyDescent="0.35">
      <c r="B66" s="10">
        <v>4</v>
      </c>
      <c r="C66" s="11">
        <f>IFERROR(SUMIFS(Clean_Data!$U$2:$U$1001,Clean_Data!$L$2:$L$1001,COLUMNS($C$61:C$61)-1,Clean_Data!$J$2:$J$1001,$B66,Clean_Data!$V$2:$V$1001,Dashboard_Data!$B$3,Clean_Data!$W$2:$W$1001,Dashboard_Data!$B$4,Clean_Data!$Z$2:$Z$1001,Dashboard_Data!$B$5,Clean_Data!$AF$2:$AF$1001,Dashboard_Data!$B$6,Clean_Data!$F$2:$F$1001,"&gt;="&amp;Dashboard_Data!$B$7,Clean_Data!$F$2:$F$1001,"&lt;="&amp;Dashboard_Data!$B$8)/COUNTIFS(Clean_Data!$L$2:$L$1001,COLUMNS($C$61:C$61)-1,Clean_Data!$J$2:$J$1001,$B66,Clean_Data!$V$2:$V$1001,Dashboard_Data!$B$3,Clean_Data!$W$2:$W$1001,Dashboard_Data!$B$4,Clean_Data!$Z$2:$Z$1001,Dashboard_Data!$B$5,Clean_Data!$AF$2:$AF$1001,Dashboard_Data!$B$6,Clean_Data!$F$2:$F$1001,"&gt;="&amp;Dashboard_Data!$B$7,Clean_Data!$F$2:$F$1001,"&lt;="&amp;Dashboard_Data!$B$8),0)</f>
        <v>1.6666666666666667</v>
      </c>
      <c r="D66" s="11">
        <f>IFERROR(SUMIFS(Clean_Data!$U$2:$U$1001,Clean_Data!$L$2:$L$1001,COLUMNS($C$61:D$61)-1,Clean_Data!$J$2:$J$1001,$B66,Clean_Data!$V$2:$V$1001,Dashboard_Data!$B$3,Clean_Data!$W$2:$W$1001,Dashboard_Data!$B$4,Clean_Data!$Z$2:$Z$1001,Dashboard_Data!$B$5,Clean_Data!$AF$2:$AF$1001,Dashboard_Data!$B$6,Clean_Data!$F$2:$F$1001,"&gt;="&amp;Dashboard_Data!$B$7,Clean_Data!$F$2:$F$1001,"&lt;="&amp;Dashboard_Data!$B$8)/COUNTIFS(Clean_Data!$L$2:$L$1001,COLUMNS($C$61:D$61)-1,Clean_Data!$J$2:$J$1001,$B66,Clean_Data!$V$2:$V$1001,Dashboard_Data!$B$3,Clean_Data!$W$2:$W$1001,Dashboard_Data!$B$4,Clean_Data!$Z$2:$Z$1001,Dashboard_Data!$B$5,Clean_Data!$AF$2:$AF$1001,Dashboard_Data!$B$6,Clean_Data!$F$2:$F$1001,"&gt;="&amp;Dashboard_Data!$B$7,Clean_Data!$F$2:$F$1001,"&lt;="&amp;Dashboard_Data!$B$8),0)</f>
        <v>2</v>
      </c>
      <c r="E66" s="11">
        <f>IFERROR(SUMIFS(Clean_Data!$U$2:$U$1001,Clean_Data!$L$2:$L$1001,COLUMNS($C$61:E$61)-1,Clean_Data!$J$2:$J$1001,$B66,Clean_Data!$V$2:$V$1001,Dashboard_Data!$B$3,Clean_Data!$W$2:$W$1001,Dashboard_Data!$B$4,Clean_Data!$Z$2:$Z$1001,Dashboard_Data!$B$5,Clean_Data!$AF$2:$AF$1001,Dashboard_Data!$B$6,Clean_Data!$F$2:$F$1001,"&gt;="&amp;Dashboard_Data!$B$7,Clean_Data!$F$2:$F$1001,"&lt;="&amp;Dashboard_Data!$B$8)/COUNTIFS(Clean_Data!$L$2:$L$1001,COLUMNS($C$61:E$61)-1,Clean_Data!$J$2:$J$1001,$B66,Clean_Data!$V$2:$V$1001,Dashboard_Data!$B$3,Clean_Data!$W$2:$W$1001,Dashboard_Data!$B$4,Clean_Data!$Z$2:$Z$1001,Dashboard_Data!$B$5,Clean_Data!$AF$2:$AF$1001,Dashboard_Data!$B$6,Clean_Data!$F$2:$F$1001,"&gt;="&amp;Dashboard_Data!$B$7,Clean_Data!$F$2:$F$1001,"&lt;="&amp;Dashboard_Data!$B$8),0)</f>
        <v>2</v>
      </c>
      <c r="F66" s="11">
        <f>IFERROR(SUMIFS(Clean_Data!$U$2:$U$1001,Clean_Data!$L$2:$L$1001,COLUMNS($C$61:F$61)-1,Clean_Data!$J$2:$J$1001,$B66,Clean_Data!$V$2:$V$1001,Dashboard_Data!$B$3,Clean_Data!$W$2:$W$1001,Dashboard_Data!$B$4,Clean_Data!$Z$2:$Z$1001,Dashboard_Data!$B$5,Clean_Data!$AF$2:$AF$1001,Dashboard_Data!$B$6,Clean_Data!$F$2:$F$1001,"&gt;="&amp;Dashboard_Data!$B$7,Clean_Data!$F$2:$F$1001,"&lt;="&amp;Dashboard_Data!$B$8)/COUNTIFS(Clean_Data!$L$2:$L$1001,COLUMNS($C$61:F$61)-1,Clean_Data!$J$2:$J$1001,$B66,Clean_Data!$V$2:$V$1001,Dashboard_Data!$B$3,Clean_Data!$W$2:$W$1001,Dashboard_Data!$B$4,Clean_Data!$Z$2:$Z$1001,Dashboard_Data!$B$5,Clean_Data!$AF$2:$AF$1001,Dashboard_Data!$B$6,Clean_Data!$F$2:$F$1001,"&gt;="&amp;Dashboard_Data!$B$7,Clean_Data!$F$2:$F$1001,"&lt;="&amp;Dashboard_Data!$B$8),0)</f>
        <v>1.6666666666666667</v>
      </c>
      <c r="G66" s="11">
        <f>IFERROR(SUMIFS(Clean_Data!$U$2:$U$1001,Clean_Data!$L$2:$L$1001,COLUMNS($C$61:G$61)-1,Clean_Data!$J$2:$J$1001,$B66,Clean_Data!$V$2:$V$1001,Dashboard_Data!$B$3,Clean_Data!$W$2:$W$1001,Dashboard_Data!$B$4,Clean_Data!$Z$2:$Z$1001,Dashboard_Data!$B$5,Clean_Data!$AF$2:$AF$1001,Dashboard_Data!$B$6,Clean_Data!$F$2:$F$1001,"&gt;="&amp;Dashboard_Data!$B$7,Clean_Data!$F$2:$F$1001,"&lt;="&amp;Dashboard_Data!$B$8)/COUNTIFS(Clean_Data!$L$2:$L$1001,COLUMNS($C$61:G$61)-1,Clean_Data!$J$2:$J$1001,$B66,Clean_Data!$V$2:$V$1001,Dashboard_Data!$B$3,Clean_Data!$W$2:$W$1001,Dashboard_Data!$B$4,Clean_Data!$Z$2:$Z$1001,Dashboard_Data!$B$5,Clean_Data!$AF$2:$AF$1001,Dashboard_Data!$B$6,Clean_Data!$F$2:$F$1001,"&gt;="&amp;Dashboard_Data!$B$7,Clean_Data!$F$2:$F$1001,"&lt;="&amp;Dashboard_Data!$B$8),0)</f>
        <v>1.75</v>
      </c>
      <c r="H66" s="11">
        <f>IFERROR(SUMIFS(Clean_Data!$U$2:$U$1001,Clean_Data!$L$2:$L$1001,COLUMNS($C$61:H$61)-1,Clean_Data!$J$2:$J$1001,$B66,Clean_Data!$V$2:$V$1001,Dashboard_Data!$B$3,Clean_Data!$W$2:$W$1001,Dashboard_Data!$B$4,Clean_Data!$Z$2:$Z$1001,Dashboard_Data!$B$5,Clean_Data!$AF$2:$AF$1001,Dashboard_Data!$B$6,Clean_Data!$F$2:$F$1001,"&gt;="&amp;Dashboard_Data!$B$7,Clean_Data!$F$2:$F$1001,"&lt;="&amp;Dashboard_Data!$B$8)/COUNTIFS(Clean_Data!$L$2:$L$1001,COLUMNS($C$61:H$61)-1,Clean_Data!$J$2:$J$1001,$B66,Clean_Data!$V$2:$V$1001,Dashboard_Data!$B$3,Clean_Data!$W$2:$W$1001,Dashboard_Data!$B$4,Clean_Data!$Z$2:$Z$1001,Dashboard_Data!$B$5,Clean_Data!$AF$2:$AF$1001,Dashboard_Data!$B$6,Clean_Data!$F$2:$F$1001,"&gt;="&amp;Dashboard_Data!$B$7,Clean_Data!$F$2:$F$1001,"&lt;="&amp;Dashboard_Data!$B$8),0)</f>
        <v>1</v>
      </c>
      <c r="I66" s="11">
        <f>IFERROR(SUMIFS(Clean_Data!$U$2:$U$1001,Clean_Data!$L$2:$L$1001,COLUMNS($C$61:I$61)-1,Clean_Data!$J$2:$J$1001,$B66,Clean_Data!$V$2:$V$1001,Dashboard_Data!$B$3,Clean_Data!$W$2:$W$1001,Dashboard_Data!$B$4,Clean_Data!$Z$2:$Z$1001,Dashboard_Data!$B$5,Clean_Data!$AF$2:$AF$1001,Dashboard_Data!$B$6,Clean_Data!$F$2:$F$1001,"&gt;="&amp;Dashboard_Data!$B$7,Clean_Data!$F$2:$F$1001,"&lt;="&amp;Dashboard_Data!$B$8)/COUNTIFS(Clean_Data!$L$2:$L$1001,COLUMNS($C$61:I$61)-1,Clean_Data!$J$2:$J$1001,$B66,Clean_Data!$V$2:$V$1001,Dashboard_Data!$B$3,Clean_Data!$W$2:$W$1001,Dashboard_Data!$B$4,Clean_Data!$Z$2:$Z$1001,Dashboard_Data!$B$5,Clean_Data!$AF$2:$AF$1001,Dashboard_Data!$B$6,Clean_Data!$F$2:$F$1001,"&gt;="&amp;Dashboard_Data!$B$7,Clean_Data!$F$2:$F$1001,"&lt;="&amp;Dashboard_Data!$B$8),0)</f>
        <v>3.5714285714285716</v>
      </c>
      <c r="K66" s="10">
        <v>5</v>
      </c>
      <c r="L66" s="12" t="str">
        <f>IF(M66=0,"–",TEXT(INDEX(Dashboard_Data!$A$25:$A$48,MATCH(M66,Dashboard_Data!$E$25:$E$48,0)),"00")&amp;":00")</f>
        <v>09:00</v>
      </c>
      <c r="M66" s="13">
        <f>LARGE(Dashboard_Data!$E$25:$E$48,5)</f>
        <v>87.428571428571416</v>
      </c>
    </row>
    <row r="67" spans="2:25" x14ac:dyDescent="0.35">
      <c r="B67" s="10">
        <v>5</v>
      </c>
      <c r="C67" s="11">
        <f>IFERROR(SUMIFS(Clean_Data!$U$2:$U$1001,Clean_Data!$L$2:$L$1001,COLUMNS($C$61:C$61)-1,Clean_Data!$J$2:$J$1001,$B67,Clean_Data!$V$2:$V$1001,Dashboard_Data!$B$3,Clean_Data!$W$2:$W$1001,Dashboard_Data!$B$4,Clean_Data!$Z$2:$Z$1001,Dashboard_Data!$B$5,Clean_Data!$AF$2:$AF$1001,Dashboard_Data!$B$6,Clean_Data!$F$2:$F$1001,"&gt;="&amp;Dashboard_Data!$B$7,Clean_Data!$F$2:$F$1001,"&lt;="&amp;Dashboard_Data!$B$8)/COUNTIFS(Clean_Data!$L$2:$L$1001,COLUMNS($C$61:C$61)-1,Clean_Data!$J$2:$J$1001,$B67,Clean_Data!$V$2:$V$1001,Dashboard_Data!$B$3,Clean_Data!$W$2:$W$1001,Dashboard_Data!$B$4,Clean_Data!$Z$2:$Z$1001,Dashboard_Data!$B$5,Clean_Data!$AF$2:$AF$1001,Dashboard_Data!$B$6,Clean_Data!$F$2:$F$1001,"&gt;="&amp;Dashboard_Data!$B$7,Clean_Data!$F$2:$F$1001,"&lt;="&amp;Dashboard_Data!$B$8),0)</f>
        <v>2</v>
      </c>
      <c r="D67" s="11">
        <f>IFERROR(SUMIFS(Clean_Data!$U$2:$U$1001,Clean_Data!$L$2:$L$1001,COLUMNS($C$61:D$61)-1,Clean_Data!$J$2:$J$1001,$B67,Clean_Data!$V$2:$V$1001,Dashboard_Data!$B$3,Clean_Data!$W$2:$W$1001,Dashboard_Data!$B$4,Clean_Data!$Z$2:$Z$1001,Dashboard_Data!$B$5,Clean_Data!$AF$2:$AF$1001,Dashboard_Data!$B$6,Clean_Data!$F$2:$F$1001,"&gt;="&amp;Dashboard_Data!$B$7,Clean_Data!$F$2:$F$1001,"&lt;="&amp;Dashboard_Data!$B$8)/COUNTIFS(Clean_Data!$L$2:$L$1001,COLUMNS($C$61:D$61)-1,Clean_Data!$J$2:$J$1001,$B67,Clean_Data!$V$2:$V$1001,Dashboard_Data!$B$3,Clean_Data!$W$2:$W$1001,Dashboard_Data!$B$4,Clean_Data!$Z$2:$Z$1001,Dashboard_Data!$B$5,Clean_Data!$AF$2:$AF$1001,Dashboard_Data!$B$6,Clean_Data!$F$2:$F$1001,"&gt;="&amp;Dashboard_Data!$B$7,Clean_Data!$F$2:$F$1001,"&lt;="&amp;Dashboard_Data!$B$8),0)</f>
        <v>4.7142857142857144</v>
      </c>
      <c r="E67" s="11">
        <f>IFERROR(SUMIFS(Clean_Data!$U$2:$U$1001,Clean_Data!$L$2:$L$1001,COLUMNS($C$61:E$61)-1,Clean_Data!$J$2:$J$1001,$B67,Clean_Data!$V$2:$V$1001,Dashboard_Data!$B$3,Clean_Data!$W$2:$W$1001,Dashboard_Data!$B$4,Clean_Data!$Z$2:$Z$1001,Dashboard_Data!$B$5,Clean_Data!$AF$2:$AF$1001,Dashboard_Data!$B$6,Clean_Data!$F$2:$F$1001,"&gt;="&amp;Dashboard_Data!$B$7,Clean_Data!$F$2:$F$1001,"&lt;="&amp;Dashboard_Data!$B$8)/COUNTIFS(Clean_Data!$L$2:$L$1001,COLUMNS($C$61:E$61)-1,Clean_Data!$J$2:$J$1001,$B67,Clean_Data!$V$2:$V$1001,Dashboard_Data!$B$3,Clean_Data!$W$2:$W$1001,Dashboard_Data!$B$4,Clean_Data!$Z$2:$Z$1001,Dashboard_Data!$B$5,Clean_Data!$AF$2:$AF$1001,Dashboard_Data!$B$6,Clean_Data!$F$2:$F$1001,"&gt;="&amp;Dashboard_Data!$B$7,Clean_Data!$F$2:$F$1001,"&lt;="&amp;Dashboard_Data!$B$8),0)</f>
        <v>4.8</v>
      </c>
      <c r="F67" s="11">
        <f>IFERROR(SUMIFS(Clean_Data!$U$2:$U$1001,Clean_Data!$L$2:$L$1001,COLUMNS($C$61:F$61)-1,Clean_Data!$J$2:$J$1001,$B67,Clean_Data!$V$2:$V$1001,Dashboard_Data!$B$3,Clean_Data!$W$2:$W$1001,Dashboard_Data!$B$4,Clean_Data!$Z$2:$Z$1001,Dashboard_Data!$B$5,Clean_Data!$AF$2:$AF$1001,Dashboard_Data!$B$6,Clean_Data!$F$2:$F$1001,"&gt;="&amp;Dashboard_Data!$B$7,Clean_Data!$F$2:$F$1001,"&lt;="&amp;Dashboard_Data!$B$8)/COUNTIFS(Clean_Data!$L$2:$L$1001,COLUMNS($C$61:F$61)-1,Clean_Data!$J$2:$J$1001,$B67,Clean_Data!$V$2:$V$1001,Dashboard_Data!$B$3,Clean_Data!$W$2:$W$1001,Dashboard_Data!$B$4,Clean_Data!$Z$2:$Z$1001,Dashboard_Data!$B$5,Clean_Data!$AF$2:$AF$1001,Dashboard_Data!$B$6,Clean_Data!$F$2:$F$1001,"&gt;="&amp;Dashboard_Data!$B$7,Clean_Data!$F$2:$F$1001,"&lt;="&amp;Dashboard_Data!$B$8),0)</f>
        <v>4.333333333333333</v>
      </c>
      <c r="G67" s="11">
        <f>IFERROR(SUMIFS(Clean_Data!$U$2:$U$1001,Clean_Data!$L$2:$L$1001,COLUMNS($C$61:G$61)-1,Clean_Data!$J$2:$J$1001,$B67,Clean_Data!$V$2:$V$1001,Dashboard_Data!$B$3,Clean_Data!$W$2:$W$1001,Dashboard_Data!$B$4,Clean_Data!$Z$2:$Z$1001,Dashboard_Data!$B$5,Clean_Data!$AF$2:$AF$1001,Dashboard_Data!$B$6,Clean_Data!$F$2:$F$1001,"&gt;="&amp;Dashboard_Data!$B$7,Clean_Data!$F$2:$F$1001,"&lt;="&amp;Dashboard_Data!$B$8)/COUNTIFS(Clean_Data!$L$2:$L$1001,COLUMNS($C$61:G$61)-1,Clean_Data!$J$2:$J$1001,$B67,Clean_Data!$V$2:$V$1001,Dashboard_Data!$B$3,Clean_Data!$W$2:$W$1001,Dashboard_Data!$B$4,Clean_Data!$Z$2:$Z$1001,Dashboard_Data!$B$5,Clean_Data!$AF$2:$AF$1001,Dashboard_Data!$B$6,Clean_Data!$F$2:$F$1001,"&gt;="&amp;Dashboard_Data!$B$7,Clean_Data!$F$2:$F$1001,"&lt;="&amp;Dashboard_Data!$B$8),0)</f>
        <v>4.2</v>
      </c>
      <c r="H67" s="11">
        <f>IFERROR(SUMIFS(Clean_Data!$U$2:$U$1001,Clean_Data!$L$2:$L$1001,COLUMNS($C$61:H$61)-1,Clean_Data!$J$2:$J$1001,$B67,Clean_Data!$V$2:$V$1001,Dashboard_Data!$B$3,Clean_Data!$W$2:$W$1001,Dashboard_Data!$B$4,Clean_Data!$Z$2:$Z$1001,Dashboard_Data!$B$5,Clean_Data!$AF$2:$AF$1001,Dashboard_Data!$B$6,Clean_Data!$F$2:$F$1001,"&gt;="&amp;Dashboard_Data!$B$7,Clean_Data!$F$2:$F$1001,"&lt;="&amp;Dashboard_Data!$B$8)/COUNTIFS(Clean_Data!$L$2:$L$1001,COLUMNS($C$61:H$61)-1,Clean_Data!$J$2:$J$1001,$B67,Clean_Data!$V$2:$V$1001,Dashboard_Data!$B$3,Clean_Data!$W$2:$W$1001,Dashboard_Data!$B$4,Clean_Data!$Z$2:$Z$1001,Dashboard_Data!$B$5,Clean_Data!$AF$2:$AF$1001,Dashboard_Data!$B$6,Clean_Data!$F$2:$F$1001,"&gt;="&amp;Dashboard_Data!$B$7,Clean_Data!$F$2:$F$1001,"&lt;="&amp;Dashboard_Data!$B$8),0)</f>
        <v>5.5</v>
      </c>
      <c r="I67" s="11">
        <f>IFERROR(SUMIFS(Clean_Data!$U$2:$U$1001,Clean_Data!$L$2:$L$1001,COLUMNS($C$61:I$61)-1,Clean_Data!$J$2:$J$1001,$B67,Clean_Data!$V$2:$V$1001,Dashboard_Data!$B$3,Clean_Data!$W$2:$W$1001,Dashboard_Data!$B$4,Clean_Data!$Z$2:$Z$1001,Dashboard_Data!$B$5,Clean_Data!$AF$2:$AF$1001,Dashboard_Data!$B$6,Clean_Data!$F$2:$F$1001,"&gt;="&amp;Dashboard_Data!$B$7,Clean_Data!$F$2:$F$1001,"&lt;="&amp;Dashboard_Data!$B$8)/COUNTIFS(Clean_Data!$L$2:$L$1001,COLUMNS($C$61:I$61)-1,Clean_Data!$J$2:$J$1001,$B67,Clean_Data!$V$2:$V$1001,Dashboard_Data!$B$3,Clean_Data!$W$2:$W$1001,Dashboard_Data!$B$4,Clean_Data!$Z$2:$Z$1001,Dashboard_Data!$B$5,Clean_Data!$AF$2:$AF$1001,Dashboard_Data!$B$6,Clean_Data!$F$2:$F$1001,"&gt;="&amp;Dashboard_Data!$B$7,Clean_Data!$F$2:$F$1001,"&lt;="&amp;Dashboard_Data!$B$8),0)</f>
        <v>3.4</v>
      </c>
    </row>
    <row r="68" spans="2:25" x14ac:dyDescent="0.35">
      <c r="B68" s="10">
        <v>6</v>
      </c>
      <c r="C68" s="11">
        <f>IFERROR(SUMIFS(Clean_Data!$U$2:$U$1001,Clean_Data!$L$2:$L$1001,COLUMNS($C$61:C$61)-1,Clean_Data!$J$2:$J$1001,$B68,Clean_Data!$V$2:$V$1001,Dashboard_Data!$B$3,Clean_Data!$W$2:$W$1001,Dashboard_Data!$B$4,Clean_Data!$Z$2:$Z$1001,Dashboard_Data!$B$5,Clean_Data!$AF$2:$AF$1001,Dashboard_Data!$B$6,Clean_Data!$F$2:$F$1001,"&gt;="&amp;Dashboard_Data!$B$7,Clean_Data!$F$2:$F$1001,"&lt;="&amp;Dashboard_Data!$B$8)/COUNTIFS(Clean_Data!$L$2:$L$1001,COLUMNS($C$61:C$61)-1,Clean_Data!$J$2:$J$1001,$B68,Clean_Data!$V$2:$V$1001,Dashboard_Data!$B$3,Clean_Data!$W$2:$W$1001,Dashboard_Data!$B$4,Clean_Data!$Z$2:$Z$1001,Dashboard_Data!$B$5,Clean_Data!$AF$2:$AF$1001,Dashboard_Data!$B$6,Clean_Data!$F$2:$F$1001,"&gt;="&amp;Dashboard_Data!$B$7,Clean_Data!$F$2:$F$1001,"&lt;="&amp;Dashboard_Data!$B$8),0)</f>
        <v>1.8333333333333333</v>
      </c>
      <c r="D68" s="11">
        <f>IFERROR(SUMIFS(Clean_Data!$U$2:$U$1001,Clean_Data!$L$2:$L$1001,COLUMNS($C$61:D$61)-1,Clean_Data!$J$2:$J$1001,$B68,Clean_Data!$V$2:$V$1001,Dashboard_Data!$B$3,Clean_Data!$W$2:$W$1001,Dashboard_Data!$B$4,Clean_Data!$Z$2:$Z$1001,Dashboard_Data!$B$5,Clean_Data!$AF$2:$AF$1001,Dashboard_Data!$B$6,Clean_Data!$F$2:$F$1001,"&gt;="&amp;Dashboard_Data!$B$7,Clean_Data!$F$2:$F$1001,"&lt;="&amp;Dashboard_Data!$B$8)/COUNTIFS(Clean_Data!$L$2:$L$1001,COLUMNS($C$61:D$61)-1,Clean_Data!$J$2:$J$1001,$B68,Clean_Data!$V$2:$V$1001,Dashboard_Data!$B$3,Clean_Data!$W$2:$W$1001,Dashboard_Data!$B$4,Clean_Data!$Z$2:$Z$1001,Dashboard_Data!$B$5,Clean_Data!$AF$2:$AF$1001,Dashboard_Data!$B$6,Clean_Data!$F$2:$F$1001,"&gt;="&amp;Dashboard_Data!$B$7,Clean_Data!$F$2:$F$1001,"&lt;="&amp;Dashboard_Data!$B$8),0)</f>
        <v>24.857142857142858</v>
      </c>
      <c r="E68" s="11">
        <f>IFERROR(SUMIFS(Clean_Data!$U$2:$U$1001,Clean_Data!$L$2:$L$1001,COLUMNS($C$61:E$61)-1,Clean_Data!$J$2:$J$1001,$B68,Clean_Data!$V$2:$V$1001,Dashboard_Data!$B$3,Clean_Data!$W$2:$W$1001,Dashboard_Data!$B$4,Clean_Data!$Z$2:$Z$1001,Dashboard_Data!$B$5,Clean_Data!$AF$2:$AF$1001,Dashboard_Data!$B$6,Clean_Data!$F$2:$F$1001,"&gt;="&amp;Dashboard_Data!$B$7,Clean_Data!$F$2:$F$1001,"&lt;="&amp;Dashboard_Data!$B$8)/COUNTIFS(Clean_Data!$L$2:$L$1001,COLUMNS($C$61:E$61)-1,Clean_Data!$J$2:$J$1001,$B68,Clean_Data!$V$2:$V$1001,Dashboard_Data!$B$3,Clean_Data!$W$2:$W$1001,Dashboard_Data!$B$4,Clean_Data!$Z$2:$Z$1001,Dashboard_Data!$B$5,Clean_Data!$AF$2:$AF$1001,Dashboard_Data!$B$6,Clean_Data!$F$2:$F$1001,"&gt;="&amp;Dashboard_Data!$B$7,Clean_Data!$F$2:$F$1001,"&lt;="&amp;Dashboard_Data!$B$8),0)</f>
        <v>32</v>
      </c>
      <c r="F68" s="11">
        <f>IFERROR(SUMIFS(Clean_Data!$U$2:$U$1001,Clean_Data!$L$2:$L$1001,COLUMNS($C$61:F$61)-1,Clean_Data!$J$2:$J$1001,$B68,Clean_Data!$V$2:$V$1001,Dashboard_Data!$B$3,Clean_Data!$W$2:$W$1001,Dashboard_Data!$B$4,Clean_Data!$Z$2:$Z$1001,Dashboard_Data!$B$5,Clean_Data!$AF$2:$AF$1001,Dashboard_Data!$B$6,Clean_Data!$F$2:$F$1001,"&gt;="&amp;Dashboard_Data!$B$7,Clean_Data!$F$2:$F$1001,"&lt;="&amp;Dashboard_Data!$B$8)/COUNTIFS(Clean_Data!$L$2:$L$1001,COLUMNS($C$61:F$61)-1,Clean_Data!$J$2:$J$1001,$B68,Clean_Data!$V$2:$V$1001,Dashboard_Data!$B$3,Clean_Data!$W$2:$W$1001,Dashboard_Data!$B$4,Clean_Data!$Z$2:$Z$1001,Dashboard_Data!$B$5,Clean_Data!$AF$2:$AF$1001,Dashboard_Data!$B$6,Clean_Data!$F$2:$F$1001,"&gt;="&amp;Dashboard_Data!$B$7,Clean_Data!$F$2:$F$1001,"&lt;="&amp;Dashboard_Data!$B$8),0)</f>
        <v>25</v>
      </c>
      <c r="G68" s="11">
        <f>IFERROR(SUMIFS(Clean_Data!$U$2:$U$1001,Clean_Data!$L$2:$L$1001,COLUMNS($C$61:G$61)-1,Clean_Data!$J$2:$J$1001,$B68,Clean_Data!$V$2:$V$1001,Dashboard_Data!$B$3,Clean_Data!$W$2:$W$1001,Dashboard_Data!$B$4,Clean_Data!$Z$2:$Z$1001,Dashboard_Data!$B$5,Clean_Data!$AF$2:$AF$1001,Dashboard_Data!$B$6,Clean_Data!$F$2:$F$1001,"&gt;="&amp;Dashboard_Data!$B$7,Clean_Data!$F$2:$F$1001,"&lt;="&amp;Dashboard_Data!$B$8)/COUNTIFS(Clean_Data!$L$2:$L$1001,COLUMNS($C$61:G$61)-1,Clean_Data!$J$2:$J$1001,$B68,Clean_Data!$V$2:$V$1001,Dashboard_Data!$B$3,Clean_Data!$W$2:$W$1001,Dashboard_Data!$B$4,Clean_Data!$Z$2:$Z$1001,Dashboard_Data!$B$5,Clean_Data!$AF$2:$AF$1001,Dashboard_Data!$B$6,Clean_Data!$F$2:$F$1001,"&gt;="&amp;Dashboard_Data!$B$7,Clean_Data!$F$2:$F$1001,"&lt;="&amp;Dashboard_Data!$B$8),0)</f>
        <v>32.799999999999997</v>
      </c>
      <c r="H68" s="11">
        <f>IFERROR(SUMIFS(Clean_Data!$U$2:$U$1001,Clean_Data!$L$2:$L$1001,COLUMNS($C$61:H$61)-1,Clean_Data!$J$2:$J$1001,$B68,Clean_Data!$V$2:$V$1001,Dashboard_Data!$B$3,Clean_Data!$W$2:$W$1001,Dashboard_Data!$B$4,Clean_Data!$Z$2:$Z$1001,Dashboard_Data!$B$5,Clean_Data!$AF$2:$AF$1001,Dashboard_Data!$B$6,Clean_Data!$F$2:$F$1001,"&gt;="&amp;Dashboard_Data!$B$7,Clean_Data!$F$2:$F$1001,"&lt;="&amp;Dashboard_Data!$B$8)/COUNTIFS(Clean_Data!$L$2:$L$1001,COLUMNS($C$61:H$61)-1,Clean_Data!$J$2:$J$1001,$B68,Clean_Data!$V$2:$V$1001,Dashboard_Data!$B$3,Clean_Data!$W$2:$W$1001,Dashboard_Data!$B$4,Clean_Data!$Z$2:$Z$1001,Dashboard_Data!$B$5,Clean_Data!$AF$2:$AF$1001,Dashboard_Data!$B$6,Clean_Data!$F$2:$F$1001,"&gt;="&amp;Dashboard_Data!$B$7,Clean_Data!$F$2:$F$1001,"&lt;="&amp;Dashboard_Data!$B$8),0)</f>
        <v>24.333333333333332</v>
      </c>
      <c r="I68" s="11">
        <f>IFERROR(SUMIFS(Clean_Data!$U$2:$U$1001,Clean_Data!$L$2:$L$1001,COLUMNS($C$61:I$61)-1,Clean_Data!$J$2:$J$1001,$B68,Clean_Data!$V$2:$V$1001,Dashboard_Data!$B$3,Clean_Data!$W$2:$W$1001,Dashboard_Data!$B$4,Clean_Data!$Z$2:$Z$1001,Dashboard_Data!$B$5,Clean_Data!$AF$2:$AF$1001,Dashboard_Data!$B$6,Clean_Data!$F$2:$F$1001,"&gt;="&amp;Dashboard_Data!$B$7,Clean_Data!$F$2:$F$1001,"&lt;="&amp;Dashboard_Data!$B$8)/COUNTIFS(Clean_Data!$L$2:$L$1001,COLUMNS($C$61:I$61)-1,Clean_Data!$J$2:$J$1001,$B68,Clean_Data!$V$2:$V$1001,Dashboard_Data!$B$3,Clean_Data!$W$2:$W$1001,Dashboard_Data!$B$4,Clean_Data!$Z$2:$Z$1001,Dashboard_Data!$B$5,Clean_Data!$AF$2:$AF$1001,Dashboard_Data!$B$6,Clean_Data!$F$2:$F$1001,"&gt;="&amp;Dashboard_Data!$B$7,Clean_Data!$F$2:$F$1001,"&lt;="&amp;Dashboard_Data!$B$8),0)</f>
        <v>2.4285714285714284</v>
      </c>
    </row>
    <row r="69" spans="2:25" ht="15" customHeight="1" x14ac:dyDescent="0.35">
      <c r="B69" s="10">
        <v>7</v>
      </c>
      <c r="C69" s="11">
        <f>IFERROR(SUMIFS(Clean_Data!$U$2:$U$1001,Clean_Data!$L$2:$L$1001,COLUMNS($C$61:C$61)-1,Clean_Data!$J$2:$J$1001,$B69,Clean_Data!$V$2:$V$1001,Dashboard_Data!$B$3,Clean_Data!$W$2:$W$1001,Dashboard_Data!$B$4,Clean_Data!$Z$2:$Z$1001,Dashboard_Data!$B$5,Clean_Data!$AF$2:$AF$1001,Dashboard_Data!$B$6,Clean_Data!$F$2:$F$1001,"&gt;="&amp;Dashboard_Data!$B$7,Clean_Data!$F$2:$F$1001,"&lt;="&amp;Dashboard_Data!$B$8)/COUNTIFS(Clean_Data!$L$2:$L$1001,COLUMNS($C$61:C$61)-1,Clean_Data!$J$2:$J$1001,$B69,Clean_Data!$V$2:$V$1001,Dashboard_Data!$B$3,Clean_Data!$W$2:$W$1001,Dashboard_Data!$B$4,Clean_Data!$Z$2:$Z$1001,Dashboard_Data!$B$5,Clean_Data!$AF$2:$AF$1001,Dashboard_Data!$B$6,Clean_Data!$F$2:$F$1001,"&gt;="&amp;Dashboard_Data!$B$7,Clean_Data!$F$2:$F$1001,"&lt;="&amp;Dashboard_Data!$B$8),0)</f>
        <v>3.7142857142857144</v>
      </c>
      <c r="D69" s="11">
        <f>IFERROR(SUMIFS(Clean_Data!$U$2:$U$1001,Clean_Data!$L$2:$L$1001,COLUMNS($C$61:D$61)-1,Clean_Data!$J$2:$J$1001,$B69,Clean_Data!$V$2:$V$1001,Dashboard_Data!$B$3,Clean_Data!$W$2:$W$1001,Dashboard_Data!$B$4,Clean_Data!$Z$2:$Z$1001,Dashboard_Data!$B$5,Clean_Data!$AF$2:$AF$1001,Dashboard_Data!$B$6,Clean_Data!$F$2:$F$1001,"&gt;="&amp;Dashboard_Data!$B$7,Clean_Data!$F$2:$F$1001,"&lt;="&amp;Dashboard_Data!$B$8)/COUNTIFS(Clean_Data!$L$2:$L$1001,COLUMNS($C$61:D$61)-1,Clean_Data!$J$2:$J$1001,$B69,Clean_Data!$V$2:$V$1001,Dashboard_Data!$B$3,Clean_Data!$W$2:$W$1001,Dashboard_Data!$B$4,Clean_Data!$Z$2:$Z$1001,Dashboard_Data!$B$5,Clean_Data!$AF$2:$AF$1001,Dashboard_Data!$B$6,Clean_Data!$F$2:$F$1001,"&gt;="&amp;Dashboard_Data!$B$7,Clean_Data!$F$2:$F$1001,"&lt;="&amp;Dashboard_Data!$B$8),0)</f>
        <v>71.857142857142861</v>
      </c>
      <c r="E69" s="11">
        <f>IFERROR(SUMIFS(Clean_Data!$U$2:$U$1001,Clean_Data!$L$2:$L$1001,COLUMNS($C$61:E$61)-1,Clean_Data!$J$2:$J$1001,$B69,Clean_Data!$V$2:$V$1001,Dashboard_Data!$B$3,Clean_Data!$W$2:$W$1001,Dashboard_Data!$B$4,Clean_Data!$Z$2:$Z$1001,Dashboard_Data!$B$5,Clean_Data!$AF$2:$AF$1001,Dashboard_Data!$B$6,Clean_Data!$F$2:$F$1001,"&gt;="&amp;Dashboard_Data!$B$7,Clean_Data!$F$2:$F$1001,"&lt;="&amp;Dashboard_Data!$B$8)/COUNTIFS(Clean_Data!$L$2:$L$1001,COLUMNS($C$61:E$61)-1,Clean_Data!$J$2:$J$1001,$B69,Clean_Data!$V$2:$V$1001,Dashboard_Data!$B$3,Clean_Data!$W$2:$W$1001,Dashboard_Data!$B$4,Clean_Data!$Z$2:$Z$1001,Dashboard_Data!$B$5,Clean_Data!$AF$2:$AF$1001,Dashboard_Data!$B$6,Clean_Data!$F$2:$F$1001,"&gt;="&amp;Dashboard_Data!$B$7,Clean_Data!$F$2:$F$1001,"&lt;="&amp;Dashboard_Data!$B$8),0)</f>
        <v>90.6</v>
      </c>
      <c r="F69" s="11">
        <f>IFERROR(SUMIFS(Clean_Data!$U$2:$U$1001,Clean_Data!$L$2:$L$1001,COLUMNS($C$61:F$61)-1,Clean_Data!$J$2:$J$1001,$B69,Clean_Data!$V$2:$V$1001,Dashboard_Data!$B$3,Clean_Data!$W$2:$W$1001,Dashboard_Data!$B$4,Clean_Data!$Z$2:$Z$1001,Dashboard_Data!$B$5,Clean_Data!$AF$2:$AF$1001,Dashboard_Data!$B$6,Clean_Data!$F$2:$F$1001,"&gt;="&amp;Dashboard_Data!$B$7,Clean_Data!$F$2:$F$1001,"&lt;="&amp;Dashboard_Data!$B$8)/COUNTIFS(Clean_Data!$L$2:$L$1001,COLUMNS($C$61:F$61)-1,Clean_Data!$J$2:$J$1001,$B69,Clean_Data!$V$2:$V$1001,Dashboard_Data!$B$3,Clean_Data!$W$2:$W$1001,Dashboard_Data!$B$4,Clean_Data!$Z$2:$Z$1001,Dashboard_Data!$B$5,Clean_Data!$AF$2:$AF$1001,Dashboard_Data!$B$6,Clean_Data!$F$2:$F$1001,"&gt;="&amp;Dashboard_Data!$B$7,Clean_Data!$F$2:$F$1001,"&lt;="&amp;Dashboard_Data!$B$8),0)</f>
        <v>68.333333333333329</v>
      </c>
      <c r="G69" s="11">
        <f>IFERROR(SUMIFS(Clean_Data!$U$2:$U$1001,Clean_Data!$L$2:$L$1001,COLUMNS($C$61:G$61)-1,Clean_Data!$J$2:$J$1001,$B69,Clean_Data!$V$2:$V$1001,Dashboard_Data!$B$3,Clean_Data!$W$2:$W$1001,Dashboard_Data!$B$4,Clean_Data!$Z$2:$Z$1001,Dashboard_Data!$B$5,Clean_Data!$AF$2:$AF$1001,Dashboard_Data!$B$6,Clean_Data!$F$2:$F$1001,"&gt;="&amp;Dashboard_Data!$B$7,Clean_Data!$F$2:$F$1001,"&lt;="&amp;Dashboard_Data!$B$8)/COUNTIFS(Clean_Data!$L$2:$L$1001,COLUMNS($C$61:G$61)-1,Clean_Data!$J$2:$J$1001,$B69,Clean_Data!$V$2:$V$1001,Dashboard_Data!$B$3,Clean_Data!$W$2:$W$1001,Dashboard_Data!$B$4,Clean_Data!$Z$2:$Z$1001,Dashboard_Data!$B$5,Clean_Data!$AF$2:$AF$1001,Dashboard_Data!$B$6,Clean_Data!$F$2:$F$1001,"&gt;="&amp;Dashboard_Data!$B$7,Clean_Data!$F$2:$F$1001,"&lt;="&amp;Dashboard_Data!$B$8),0)</f>
        <v>90.8</v>
      </c>
      <c r="H69" s="11">
        <f>IFERROR(SUMIFS(Clean_Data!$U$2:$U$1001,Clean_Data!$L$2:$L$1001,COLUMNS($C$61:H$61)-1,Clean_Data!$J$2:$J$1001,$B69,Clean_Data!$V$2:$V$1001,Dashboard_Data!$B$3,Clean_Data!$W$2:$W$1001,Dashboard_Data!$B$4,Clean_Data!$Z$2:$Z$1001,Dashboard_Data!$B$5,Clean_Data!$AF$2:$AF$1001,Dashboard_Data!$B$6,Clean_Data!$F$2:$F$1001,"&gt;="&amp;Dashboard_Data!$B$7,Clean_Data!$F$2:$F$1001,"&lt;="&amp;Dashboard_Data!$B$8)/COUNTIFS(Clean_Data!$L$2:$L$1001,COLUMNS($C$61:H$61)-1,Clean_Data!$J$2:$J$1001,$B69,Clean_Data!$V$2:$V$1001,Dashboard_Data!$B$3,Clean_Data!$W$2:$W$1001,Dashboard_Data!$B$4,Clean_Data!$Z$2:$Z$1001,Dashboard_Data!$B$5,Clean_Data!$AF$2:$AF$1001,Dashboard_Data!$B$6,Clean_Data!$F$2:$F$1001,"&gt;="&amp;Dashboard_Data!$B$7,Clean_Data!$F$2:$F$1001,"&lt;="&amp;Dashboard_Data!$B$8),0)</f>
        <v>73.833333333333329</v>
      </c>
      <c r="I69" s="11">
        <f>IFERROR(SUMIFS(Clean_Data!$U$2:$U$1001,Clean_Data!$L$2:$L$1001,COLUMNS($C$61:I$61)-1,Clean_Data!$J$2:$J$1001,$B69,Clean_Data!$V$2:$V$1001,Dashboard_Data!$B$3,Clean_Data!$W$2:$W$1001,Dashboard_Data!$B$4,Clean_Data!$Z$2:$Z$1001,Dashboard_Data!$B$5,Clean_Data!$AF$2:$AF$1001,Dashboard_Data!$B$6,Clean_Data!$F$2:$F$1001,"&gt;="&amp;Dashboard_Data!$B$7,Clean_Data!$F$2:$F$1001,"&lt;="&amp;Dashboard_Data!$B$8)/COUNTIFS(Clean_Data!$L$2:$L$1001,COLUMNS($C$61:I$61)-1,Clean_Data!$J$2:$J$1001,$B69,Clean_Data!$V$2:$V$1001,Dashboard_Data!$B$3,Clean_Data!$W$2:$W$1001,Dashboard_Data!$B$4,Clean_Data!$Z$2:$Z$1001,Dashboard_Data!$B$5,Clean_Data!$AF$2:$AF$1001,Dashboard_Data!$B$6,Clean_Data!$F$2:$F$1001,"&gt;="&amp;Dashboard_Data!$B$7,Clean_Data!$F$2:$F$1001,"&lt;="&amp;Dashboard_Data!$B$8),0)</f>
        <v>7.1428571428571432</v>
      </c>
      <c r="K69" s="46"/>
      <c r="L69" s="46"/>
      <c r="M69" s="46"/>
      <c r="N69" s="46"/>
      <c r="O69" s="46"/>
      <c r="P69" s="46"/>
      <c r="Q69" s="46"/>
      <c r="R69" s="46"/>
      <c r="S69" s="46"/>
      <c r="T69" s="46"/>
      <c r="U69" s="46"/>
      <c r="V69" s="46"/>
      <c r="W69" s="46"/>
      <c r="X69" s="46"/>
      <c r="Y69" s="46"/>
    </row>
    <row r="70" spans="2:25" x14ac:dyDescent="0.35">
      <c r="B70" s="10">
        <v>8</v>
      </c>
      <c r="C70" s="11">
        <f>IFERROR(SUMIFS(Clean_Data!$U$2:$U$1001,Clean_Data!$L$2:$L$1001,COLUMNS($C$61:C$61)-1,Clean_Data!$J$2:$J$1001,$B70,Clean_Data!$V$2:$V$1001,Dashboard_Data!$B$3,Clean_Data!$W$2:$W$1001,Dashboard_Data!$B$4,Clean_Data!$Z$2:$Z$1001,Dashboard_Data!$B$5,Clean_Data!$AF$2:$AF$1001,Dashboard_Data!$B$6,Clean_Data!$F$2:$F$1001,"&gt;="&amp;Dashboard_Data!$B$7,Clean_Data!$F$2:$F$1001,"&lt;="&amp;Dashboard_Data!$B$8)/COUNTIFS(Clean_Data!$L$2:$L$1001,COLUMNS($C$61:C$61)-1,Clean_Data!$J$2:$J$1001,$B70,Clean_Data!$V$2:$V$1001,Dashboard_Data!$B$3,Clean_Data!$W$2:$W$1001,Dashboard_Data!$B$4,Clean_Data!$Z$2:$Z$1001,Dashboard_Data!$B$5,Clean_Data!$AF$2:$AF$1001,Dashboard_Data!$B$6,Clean_Data!$F$2:$F$1001,"&gt;="&amp;Dashboard_Data!$B$7,Clean_Data!$F$2:$F$1001,"&lt;="&amp;Dashboard_Data!$B$8),0)</f>
        <v>14.571428571428571</v>
      </c>
      <c r="D70" s="11">
        <f>IFERROR(SUMIFS(Clean_Data!$U$2:$U$1001,Clean_Data!$L$2:$L$1001,COLUMNS($C$61:D$61)-1,Clean_Data!$J$2:$J$1001,$B70,Clean_Data!$V$2:$V$1001,Dashboard_Data!$B$3,Clean_Data!$W$2:$W$1001,Dashboard_Data!$B$4,Clean_Data!$Z$2:$Z$1001,Dashboard_Data!$B$5,Clean_Data!$AF$2:$AF$1001,Dashboard_Data!$B$6,Clean_Data!$F$2:$F$1001,"&gt;="&amp;Dashboard_Data!$B$7,Clean_Data!$F$2:$F$1001,"&lt;="&amp;Dashboard_Data!$B$8)/COUNTIFS(Clean_Data!$L$2:$L$1001,COLUMNS($C$61:D$61)-1,Clean_Data!$J$2:$J$1001,$B70,Clean_Data!$V$2:$V$1001,Dashboard_Data!$B$3,Clean_Data!$W$2:$W$1001,Dashboard_Data!$B$4,Clean_Data!$Z$2:$Z$1001,Dashboard_Data!$B$5,Clean_Data!$AF$2:$AF$1001,Dashboard_Data!$B$6,Clean_Data!$F$2:$F$1001,"&gt;="&amp;Dashboard_Data!$B$7,Clean_Data!$F$2:$F$1001,"&lt;="&amp;Dashboard_Data!$B$8),0)</f>
        <v>161.16666666666666</v>
      </c>
      <c r="E70" s="11">
        <f>IFERROR(SUMIFS(Clean_Data!$U$2:$U$1001,Clean_Data!$L$2:$L$1001,COLUMNS($C$61:E$61)-1,Clean_Data!$J$2:$J$1001,$B70,Clean_Data!$V$2:$V$1001,Dashboard_Data!$B$3,Clean_Data!$W$2:$W$1001,Dashboard_Data!$B$4,Clean_Data!$Z$2:$Z$1001,Dashboard_Data!$B$5,Clean_Data!$AF$2:$AF$1001,Dashboard_Data!$B$6,Clean_Data!$F$2:$F$1001,"&gt;="&amp;Dashboard_Data!$B$7,Clean_Data!$F$2:$F$1001,"&lt;="&amp;Dashboard_Data!$B$8)/COUNTIFS(Clean_Data!$L$2:$L$1001,COLUMNS($C$61:E$61)-1,Clean_Data!$J$2:$J$1001,$B70,Clean_Data!$V$2:$V$1001,Dashboard_Data!$B$3,Clean_Data!$W$2:$W$1001,Dashboard_Data!$B$4,Clean_Data!$Z$2:$Z$1001,Dashboard_Data!$B$5,Clean_Data!$AF$2:$AF$1001,Dashboard_Data!$B$6,Clean_Data!$F$2:$F$1001,"&gt;="&amp;Dashboard_Data!$B$7,Clean_Data!$F$2:$F$1001,"&lt;="&amp;Dashboard_Data!$B$8),0)</f>
        <v>202.4</v>
      </c>
      <c r="F70" s="11">
        <f>IFERROR(SUMIFS(Clean_Data!$U$2:$U$1001,Clean_Data!$L$2:$L$1001,COLUMNS($C$61:F$61)-1,Clean_Data!$J$2:$J$1001,$B70,Clean_Data!$V$2:$V$1001,Dashboard_Data!$B$3,Clean_Data!$W$2:$W$1001,Dashboard_Data!$B$4,Clean_Data!$Z$2:$Z$1001,Dashboard_Data!$B$5,Clean_Data!$AF$2:$AF$1001,Dashboard_Data!$B$6,Clean_Data!$F$2:$F$1001,"&gt;="&amp;Dashboard_Data!$B$7,Clean_Data!$F$2:$F$1001,"&lt;="&amp;Dashboard_Data!$B$8)/COUNTIFS(Clean_Data!$L$2:$L$1001,COLUMNS($C$61:F$61)-1,Clean_Data!$J$2:$J$1001,$B70,Clean_Data!$V$2:$V$1001,Dashboard_Data!$B$3,Clean_Data!$W$2:$W$1001,Dashboard_Data!$B$4,Clean_Data!$Z$2:$Z$1001,Dashboard_Data!$B$5,Clean_Data!$AF$2:$AF$1001,Dashboard_Data!$B$6,Clean_Data!$F$2:$F$1001,"&gt;="&amp;Dashboard_Data!$B$7,Clean_Data!$F$2:$F$1001,"&lt;="&amp;Dashboard_Data!$B$8),0)</f>
        <v>157.66666666666666</v>
      </c>
      <c r="G70" s="11">
        <f>IFERROR(SUMIFS(Clean_Data!$U$2:$U$1001,Clean_Data!$L$2:$L$1001,COLUMNS($C$61:G$61)-1,Clean_Data!$J$2:$J$1001,$B70,Clean_Data!$V$2:$V$1001,Dashboard_Data!$B$3,Clean_Data!$W$2:$W$1001,Dashboard_Data!$B$4,Clean_Data!$Z$2:$Z$1001,Dashboard_Data!$B$5,Clean_Data!$AF$2:$AF$1001,Dashboard_Data!$B$6,Clean_Data!$F$2:$F$1001,"&gt;="&amp;Dashboard_Data!$B$7,Clean_Data!$F$2:$F$1001,"&lt;="&amp;Dashboard_Data!$B$8)/COUNTIFS(Clean_Data!$L$2:$L$1001,COLUMNS($C$61:G$61)-1,Clean_Data!$J$2:$J$1001,$B70,Clean_Data!$V$2:$V$1001,Dashboard_Data!$B$3,Clean_Data!$W$2:$W$1001,Dashboard_Data!$B$4,Clean_Data!$Z$2:$Z$1001,Dashboard_Data!$B$5,Clean_Data!$AF$2:$AF$1001,Dashboard_Data!$B$6,Clean_Data!$F$2:$F$1001,"&gt;="&amp;Dashboard_Data!$B$7,Clean_Data!$F$2:$F$1001,"&lt;="&amp;Dashboard_Data!$B$8),0)</f>
        <v>207.2</v>
      </c>
      <c r="H70" s="11">
        <f>IFERROR(SUMIFS(Clean_Data!$U$2:$U$1001,Clean_Data!$L$2:$L$1001,COLUMNS($C$61:H$61)-1,Clean_Data!$J$2:$J$1001,$B70,Clean_Data!$V$2:$V$1001,Dashboard_Data!$B$3,Clean_Data!$W$2:$W$1001,Dashboard_Data!$B$4,Clean_Data!$Z$2:$Z$1001,Dashboard_Data!$B$5,Clean_Data!$AF$2:$AF$1001,Dashboard_Data!$B$6,Clean_Data!$F$2:$F$1001,"&gt;="&amp;Dashboard_Data!$B$7,Clean_Data!$F$2:$F$1001,"&lt;="&amp;Dashboard_Data!$B$8)/COUNTIFS(Clean_Data!$L$2:$L$1001,COLUMNS($C$61:H$61)-1,Clean_Data!$J$2:$J$1001,$B70,Clean_Data!$V$2:$V$1001,Dashboard_Data!$B$3,Clean_Data!$W$2:$W$1001,Dashboard_Data!$B$4,Clean_Data!$Z$2:$Z$1001,Dashboard_Data!$B$5,Clean_Data!$AF$2:$AF$1001,Dashboard_Data!$B$6,Clean_Data!$F$2:$F$1001,"&gt;="&amp;Dashboard_Data!$B$7,Clean_Data!$F$2:$F$1001,"&lt;="&amp;Dashboard_Data!$B$8),0)</f>
        <v>196.33333333333334</v>
      </c>
      <c r="I70" s="11">
        <f>IFERROR(SUMIFS(Clean_Data!$U$2:$U$1001,Clean_Data!$L$2:$L$1001,COLUMNS($C$61:I$61)-1,Clean_Data!$J$2:$J$1001,$B70,Clean_Data!$V$2:$V$1001,Dashboard_Data!$B$3,Clean_Data!$W$2:$W$1001,Dashboard_Data!$B$4,Clean_Data!$Z$2:$Z$1001,Dashboard_Data!$B$5,Clean_Data!$AF$2:$AF$1001,Dashboard_Data!$B$6,Clean_Data!$F$2:$F$1001,"&gt;="&amp;Dashboard_Data!$B$7,Clean_Data!$F$2:$F$1001,"&lt;="&amp;Dashboard_Data!$B$8)/COUNTIFS(Clean_Data!$L$2:$L$1001,COLUMNS($C$61:I$61)-1,Clean_Data!$J$2:$J$1001,$B70,Clean_Data!$V$2:$V$1001,Dashboard_Data!$B$3,Clean_Data!$W$2:$W$1001,Dashboard_Data!$B$4,Clean_Data!$Z$2:$Z$1001,Dashboard_Data!$B$5,Clean_Data!$AF$2:$AF$1001,Dashboard_Data!$B$6,Clean_Data!$F$2:$F$1001,"&gt;="&amp;Dashboard_Data!$B$7,Clean_Data!$F$2:$F$1001,"&lt;="&amp;Dashboard_Data!$B$8),0)</f>
        <v>21</v>
      </c>
      <c r="K70" s="46"/>
      <c r="L70" s="46"/>
      <c r="M70" s="46"/>
      <c r="N70" s="46"/>
      <c r="O70" s="46"/>
      <c r="P70" s="46"/>
      <c r="Q70" s="46"/>
      <c r="R70" s="46"/>
      <c r="S70" s="46"/>
      <c r="T70" s="46"/>
      <c r="U70" s="46"/>
      <c r="V70" s="46"/>
      <c r="W70" s="46"/>
      <c r="X70" s="46"/>
      <c r="Y70" s="46"/>
    </row>
    <row r="71" spans="2:25" x14ac:dyDescent="0.35">
      <c r="B71" s="10">
        <v>9</v>
      </c>
      <c r="C71" s="11">
        <f>IFERROR(SUMIFS(Clean_Data!$U$2:$U$1001,Clean_Data!$L$2:$L$1001,COLUMNS($C$61:C$61)-1,Clean_Data!$J$2:$J$1001,$B71,Clean_Data!$V$2:$V$1001,Dashboard_Data!$B$3,Clean_Data!$W$2:$W$1001,Dashboard_Data!$B$4,Clean_Data!$Z$2:$Z$1001,Dashboard_Data!$B$5,Clean_Data!$AF$2:$AF$1001,Dashboard_Data!$B$6,Clean_Data!$F$2:$F$1001,"&gt;="&amp;Dashboard_Data!$B$7,Clean_Data!$F$2:$F$1001,"&lt;="&amp;Dashboard_Data!$B$8)/COUNTIFS(Clean_Data!$L$2:$L$1001,COLUMNS($C$61:C$61)-1,Clean_Data!$J$2:$J$1001,$B71,Clean_Data!$V$2:$V$1001,Dashboard_Data!$B$3,Clean_Data!$W$2:$W$1001,Dashboard_Data!$B$4,Clean_Data!$Z$2:$Z$1001,Dashboard_Data!$B$5,Clean_Data!$AF$2:$AF$1001,Dashboard_Data!$B$6,Clean_Data!$F$2:$F$1001,"&gt;="&amp;Dashboard_Data!$B$7,Clean_Data!$F$2:$F$1001,"&lt;="&amp;Dashboard_Data!$B$8),0)</f>
        <v>32.714285714285715</v>
      </c>
      <c r="D71" s="11">
        <f>IFERROR(SUMIFS(Clean_Data!$U$2:$U$1001,Clean_Data!$L$2:$L$1001,COLUMNS($C$61:D$61)-1,Clean_Data!$J$2:$J$1001,$B71,Clean_Data!$V$2:$V$1001,Dashboard_Data!$B$3,Clean_Data!$W$2:$W$1001,Dashboard_Data!$B$4,Clean_Data!$Z$2:$Z$1001,Dashboard_Data!$B$5,Clean_Data!$AF$2:$AF$1001,Dashboard_Data!$B$6,Clean_Data!$F$2:$F$1001,"&gt;="&amp;Dashboard_Data!$B$7,Clean_Data!$F$2:$F$1001,"&lt;="&amp;Dashboard_Data!$B$8)/COUNTIFS(Clean_Data!$L$2:$L$1001,COLUMNS($C$61:D$61)-1,Clean_Data!$J$2:$J$1001,$B71,Clean_Data!$V$2:$V$1001,Dashboard_Data!$B$3,Clean_Data!$W$2:$W$1001,Dashboard_Data!$B$4,Clean_Data!$Z$2:$Z$1001,Dashboard_Data!$B$5,Clean_Data!$AF$2:$AF$1001,Dashboard_Data!$B$6,Clean_Data!$F$2:$F$1001,"&gt;="&amp;Dashboard_Data!$B$7,Clean_Data!$F$2:$F$1001,"&lt;="&amp;Dashboard_Data!$B$8),0)</f>
        <v>93.5</v>
      </c>
      <c r="E71" s="11">
        <f>IFERROR(SUMIFS(Clean_Data!$U$2:$U$1001,Clean_Data!$L$2:$L$1001,COLUMNS($C$61:E$61)-1,Clean_Data!$J$2:$J$1001,$B71,Clean_Data!$V$2:$V$1001,Dashboard_Data!$B$3,Clean_Data!$W$2:$W$1001,Dashboard_Data!$B$4,Clean_Data!$Z$2:$Z$1001,Dashboard_Data!$B$5,Clean_Data!$AF$2:$AF$1001,Dashboard_Data!$B$6,Clean_Data!$F$2:$F$1001,"&gt;="&amp;Dashboard_Data!$B$7,Clean_Data!$F$2:$F$1001,"&lt;="&amp;Dashboard_Data!$B$8)/COUNTIFS(Clean_Data!$L$2:$L$1001,COLUMNS($C$61:E$61)-1,Clean_Data!$J$2:$J$1001,$B71,Clean_Data!$V$2:$V$1001,Dashboard_Data!$B$3,Clean_Data!$W$2:$W$1001,Dashboard_Data!$B$4,Clean_Data!$Z$2:$Z$1001,Dashboard_Data!$B$5,Clean_Data!$AF$2:$AF$1001,Dashboard_Data!$B$6,Clean_Data!$F$2:$F$1001,"&gt;="&amp;Dashboard_Data!$B$7,Clean_Data!$F$2:$F$1001,"&lt;="&amp;Dashboard_Data!$B$8),0)</f>
        <v>125</v>
      </c>
      <c r="F71" s="11">
        <f>IFERROR(SUMIFS(Clean_Data!$U$2:$U$1001,Clean_Data!$L$2:$L$1001,COLUMNS($C$61:F$61)-1,Clean_Data!$J$2:$J$1001,$B71,Clean_Data!$V$2:$V$1001,Dashboard_Data!$B$3,Clean_Data!$W$2:$W$1001,Dashboard_Data!$B$4,Clean_Data!$Z$2:$Z$1001,Dashboard_Data!$B$5,Clean_Data!$AF$2:$AF$1001,Dashboard_Data!$B$6,Clean_Data!$F$2:$F$1001,"&gt;="&amp;Dashboard_Data!$B$7,Clean_Data!$F$2:$F$1001,"&lt;="&amp;Dashboard_Data!$B$8)/COUNTIFS(Clean_Data!$L$2:$L$1001,COLUMNS($C$61:F$61)-1,Clean_Data!$J$2:$J$1001,$B71,Clean_Data!$V$2:$V$1001,Dashboard_Data!$B$3,Clean_Data!$W$2:$W$1001,Dashboard_Data!$B$4,Clean_Data!$Z$2:$Z$1001,Dashboard_Data!$B$5,Clean_Data!$AF$2:$AF$1001,Dashboard_Data!$B$6,Clean_Data!$F$2:$F$1001,"&gt;="&amp;Dashboard_Data!$B$7,Clean_Data!$F$2:$F$1001,"&lt;="&amp;Dashboard_Data!$B$8),0)</f>
        <v>101.5</v>
      </c>
      <c r="G71" s="11">
        <f>IFERROR(SUMIFS(Clean_Data!$U$2:$U$1001,Clean_Data!$L$2:$L$1001,COLUMNS($C$61:G$61)-1,Clean_Data!$J$2:$J$1001,$B71,Clean_Data!$V$2:$V$1001,Dashboard_Data!$B$3,Clean_Data!$W$2:$W$1001,Dashboard_Data!$B$4,Clean_Data!$Z$2:$Z$1001,Dashboard_Data!$B$5,Clean_Data!$AF$2:$AF$1001,Dashboard_Data!$B$6,Clean_Data!$F$2:$F$1001,"&gt;="&amp;Dashboard_Data!$B$7,Clean_Data!$F$2:$F$1001,"&lt;="&amp;Dashboard_Data!$B$8)/COUNTIFS(Clean_Data!$L$2:$L$1001,COLUMNS($C$61:G$61)-1,Clean_Data!$J$2:$J$1001,$B71,Clean_Data!$V$2:$V$1001,Dashboard_Data!$B$3,Clean_Data!$W$2:$W$1001,Dashboard_Data!$B$4,Clean_Data!$Z$2:$Z$1001,Dashboard_Data!$B$5,Clean_Data!$AF$2:$AF$1001,Dashboard_Data!$B$6,Clean_Data!$F$2:$F$1001,"&gt;="&amp;Dashboard_Data!$B$7,Clean_Data!$F$2:$F$1001,"&lt;="&amp;Dashboard_Data!$B$8),0)</f>
        <v>131.80000000000001</v>
      </c>
      <c r="H71" s="11">
        <f>IFERROR(SUMIFS(Clean_Data!$U$2:$U$1001,Clean_Data!$L$2:$L$1001,COLUMNS($C$61:H$61)-1,Clean_Data!$J$2:$J$1001,$B71,Clean_Data!$V$2:$V$1001,Dashboard_Data!$B$3,Clean_Data!$W$2:$W$1001,Dashboard_Data!$B$4,Clean_Data!$Z$2:$Z$1001,Dashboard_Data!$B$5,Clean_Data!$AF$2:$AF$1001,Dashboard_Data!$B$6,Clean_Data!$F$2:$F$1001,"&gt;="&amp;Dashboard_Data!$B$7,Clean_Data!$F$2:$F$1001,"&lt;="&amp;Dashboard_Data!$B$8)/COUNTIFS(Clean_Data!$L$2:$L$1001,COLUMNS($C$61:H$61)-1,Clean_Data!$J$2:$J$1001,$B71,Clean_Data!$V$2:$V$1001,Dashboard_Data!$B$3,Clean_Data!$W$2:$W$1001,Dashboard_Data!$B$4,Clean_Data!$Z$2:$Z$1001,Dashboard_Data!$B$5,Clean_Data!$AF$2:$AF$1001,Dashboard_Data!$B$6,Clean_Data!$F$2:$F$1001,"&gt;="&amp;Dashboard_Data!$B$7,Clean_Data!$F$2:$F$1001,"&lt;="&amp;Dashboard_Data!$B$8),0)</f>
        <v>130.83333333333334</v>
      </c>
      <c r="I71" s="11">
        <f>IFERROR(SUMIFS(Clean_Data!$U$2:$U$1001,Clean_Data!$L$2:$L$1001,COLUMNS($C$61:I$61)-1,Clean_Data!$J$2:$J$1001,$B71,Clean_Data!$V$2:$V$1001,Dashboard_Data!$B$3,Clean_Data!$W$2:$W$1001,Dashboard_Data!$B$4,Clean_Data!$Z$2:$Z$1001,Dashboard_Data!$B$5,Clean_Data!$AF$2:$AF$1001,Dashboard_Data!$B$6,Clean_Data!$F$2:$F$1001,"&gt;="&amp;Dashboard_Data!$B$7,Clean_Data!$F$2:$F$1001,"&lt;="&amp;Dashboard_Data!$B$8)/COUNTIFS(Clean_Data!$L$2:$L$1001,COLUMNS($C$61:I$61)-1,Clean_Data!$J$2:$J$1001,$B71,Clean_Data!$V$2:$V$1001,Dashboard_Data!$B$3,Clean_Data!$W$2:$W$1001,Dashboard_Data!$B$4,Clean_Data!$Z$2:$Z$1001,Dashboard_Data!$B$5,Clean_Data!$AF$2:$AF$1001,Dashboard_Data!$B$6,Clean_Data!$F$2:$F$1001,"&gt;="&amp;Dashboard_Data!$B$7,Clean_Data!$F$2:$F$1001,"&lt;="&amp;Dashboard_Data!$B$8),0)</f>
        <v>29.142857142857142</v>
      </c>
      <c r="K71" s="46"/>
      <c r="L71" s="46"/>
      <c r="M71" s="46"/>
      <c r="N71" s="46"/>
      <c r="O71" s="46"/>
      <c r="P71" s="46"/>
      <c r="Q71" s="46"/>
      <c r="R71" s="46"/>
      <c r="S71" s="46"/>
      <c r="T71" s="46"/>
      <c r="U71" s="46"/>
      <c r="V71" s="46"/>
      <c r="W71" s="46"/>
      <c r="X71" s="46"/>
      <c r="Y71" s="46"/>
    </row>
    <row r="72" spans="2:25" x14ac:dyDescent="0.35">
      <c r="B72" s="10">
        <v>10</v>
      </c>
      <c r="C72" s="11">
        <f>IFERROR(SUMIFS(Clean_Data!$U$2:$U$1001,Clean_Data!$L$2:$L$1001,COLUMNS($C$61:C$61)-1,Clean_Data!$J$2:$J$1001,$B72,Clean_Data!$V$2:$V$1001,Dashboard_Data!$B$3,Clean_Data!$W$2:$W$1001,Dashboard_Data!$B$4,Clean_Data!$Z$2:$Z$1001,Dashboard_Data!$B$5,Clean_Data!$AF$2:$AF$1001,Dashboard_Data!$B$6,Clean_Data!$F$2:$F$1001,"&gt;="&amp;Dashboard_Data!$B$7,Clean_Data!$F$2:$F$1001,"&lt;="&amp;Dashboard_Data!$B$8)/COUNTIFS(Clean_Data!$L$2:$L$1001,COLUMNS($C$61:C$61)-1,Clean_Data!$J$2:$J$1001,$B72,Clean_Data!$V$2:$V$1001,Dashboard_Data!$B$3,Clean_Data!$W$2:$W$1001,Dashboard_Data!$B$4,Clean_Data!$Z$2:$Z$1001,Dashboard_Data!$B$5,Clean_Data!$AF$2:$AF$1001,Dashboard_Data!$B$6,Clean_Data!$F$2:$F$1001,"&gt;="&amp;Dashboard_Data!$B$7,Clean_Data!$F$2:$F$1001,"&lt;="&amp;Dashboard_Data!$B$8),0)</f>
        <v>71</v>
      </c>
      <c r="D72" s="11">
        <f>IFERROR(SUMIFS(Clean_Data!$U$2:$U$1001,Clean_Data!$L$2:$L$1001,COLUMNS($C$61:D$61)-1,Clean_Data!$J$2:$J$1001,$B72,Clean_Data!$V$2:$V$1001,Dashboard_Data!$B$3,Clean_Data!$W$2:$W$1001,Dashboard_Data!$B$4,Clean_Data!$Z$2:$Z$1001,Dashboard_Data!$B$5,Clean_Data!$AF$2:$AF$1001,Dashboard_Data!$B$6,Clean_Data!$F$2:$F$1001,"&gt;="&amp;Dashboard_Data!$B$7,Clean_Data!$F$2:$F$1001,"&lt;="&amp;Dashboard_Data!$B$8)/COUNTIFS(Clean_Data!$L$2:$L$1001,COLUMNS($C$61:D$61)-1,Clean_Data!$J$2:$J$1001,$B72,Clean_Data!$V$2:$V$1001,Dashboard_Data!$B$3,Clean_Data!$W$2:$W$1001,Dashboard_Data!$B$4,Clean_Data!$Z$2:$Z$1001,Dashboard_Data!$B$5,Clean_Data!$AF$2:$AF$1001,Dashboard_Data!$B$6,Clean_Data!$F$2:$F$1001,"&gt;="&amp;Dashboard_Data!$B$7,Clean_Data!$F$2:$F$1001,"&lt;="&amp;Dashboard_Data!$B$8),0)</f>
        <v>49.333333333333336</v>
      </c>
      <c r="E72" s="11">
        <f>IFERROR(SUMIFS(Clean_Data!$U$2:$U$1001,Clean_Data!$L$2:$L$1001,COLUMNS($C$61:E$61)-1,Clean_Data!$J$2:$J$1001,$B72,Clean_Data!$V$2:$V$1001,Dashboard_Data!$B$3,Clean_Data!$W$2:$W$1001,Dashboard_Data!$B$4,Clean_Data!$Z$2:$Z$1001,Dashboard_Data!$B$5,Clean_Data!$AF$2:$AF$1001,Dashboard_Data!$B$6,Clean_Data!$F$2:$F$1001,"&gt;="&amp;Dashboard_Data!$B$7,Clean_Data!$F$2:$F$1001,"&lt;="&amp;Dashboard_Data!$B$8)/COUNTIFS(Clean_Data!$L$2:$L$1001,COLUMNS($C$61:E$61)-1,Clean_Data!$J$2:$J$1001,$B72,Clean_Data!$V$2:$V$1001,Dashboard_Data!$B$3,Clean_Data!$W$2:$W$1001,Dashboard_Data!$B$4,Clean_Data!$Z$2:$Z$1001,Dashboard_Data!$B$5,Clean_Data!$AF$2:$AF$1001,Dashboard_Data!$B$6,Clean_Data!$F$2:$F$1001,"&gt;="&amp;Dashboard_Data!$B$7,Clean_Data!$F$2:$F$1001,"&lt;="&amp;Dashboard_Data!$B$8),0)</f>
        <v>49.2</v>
      </c>
      <c r="F72" s="11">
        <f>IFERROR(SUMIFS(Clean_Data!$U$2:$U$1001,Clean_Data!$L$2:$L$1001,COLUMNS($C$61:F$61)-1,Clean_Data!$J$2:$J$1001,$B72,Clean_Data!$V$2:$V$1001,Dashboard_Data!$B$3,Clean_Data!$W$2:$W$1001,Dashboard_Data!$B$4,Clean_Data!$Z$2:$Z$1001,Dashboard_Data!$B$5,Clean_Data!$AF$2:$AF$1001,Dashboard_Data!$B$6,Clean_Data!$F$2:$F$1001,"&gt;="&amp;Dashboard_Data!$B$7,Clean_Data!$F$2:$F$1001,"&lt;="&amp;Dashboard_Data!$B$8)/COUNTIFS(Clean_Data!$L$2:$L$1001,COLUMNS($C$61:F$61)-1,Clean_Data!$J$2:$J$1001,$B72,Clean_Data!$V$2:$V$1001,Dashboard_Data!$B$3,Clean_Data!$W$2:$W$1001,Dashboard_Data!$B$4,Clean_Data!$Z$2:$Z$1001,Dashboard_Data!$B$5,Clean_Data!$AF$2:$AF$1001,Dashboard_Data!$B$6,Clean_Data!$F$2:$F$1001,"&gt;="&amp;Dashboard_Data!$B$7,Clean_Data!$F$2:$F$1001,"&lt;="&amp;Dashboard_Data!$B$8),0)</f>
        <v>48.5</v>
      </c>
      <c r="G72" s="11">
        <f>IFERROR(SUMIFS(Clean_Data!$U$2:$U$1001,Clean_Data!$L$2:$L$1001,COLUMNS($C$61:G$61)-1,Clean_Data!$J$2:$J$1001,$B72,Clean_Data!$V$2:$V$1001,Dashboard_Data!$B$3,Clean_Data!$W$2:$W$1001,Dashboard_Data!$B$4,Clean_Data!$Z$2:$Z$1001,Dashboard_Data!$B$5,Clean_Data!$AF$2:$AF$1001,Dashboard_Data!$B$6,Clean_Data!$F$2:$F$1001,"&gt;="&amp;Dashboard_Data!$B$7,Clean_Data!$F$2:$F$1001,"&lt;="&amp;Dashboard_Data!$B$8)/COUNTIFS(Clean_Data!$L$2:$L$1001,COLUMNS($C$61:G$61)-1,Clean_Data!$J$2:$J$1001,$B72,Clean_Data!$V$2:$V$1001,Dashboard_Data!$B$3,Clean_Data!$W$2:$W$1001,Dashboard_Data!$B$4,Clean_Data!$Z$2:$Z$1001,Dashboard_Data!$B$5,Clean_Data!$AF$2:$AF$1001,Dashboard_Data!$B$6,Clean_Data!$F$2:$F$1001,"&gt;="&amp;Dashboard_Data!$B$7,Clean_Data!$F$2:$F$1001,"&lt;="&amp;Dashboard_Data!$B$8),0)</f>
        <v>45.4</v>
      </c>
      <c r="H72" s="11">
        <f>IFERROR(SUMIFS(Clean_Data!$U$2:$U$1001,Clean_Data!$L$2:$L$1001,COLUMNS($C$61:H$61)-1,Clean_Data!$J$2:$J$1001,$B72,Clean_Data!$V$2:$V$1001,Dashboard_Data!$B$3,Clean_Data!$W$2:$W$1001,Dashboard_Data!$B$4,Clean_Data!$Z$2:$Z$1001,Dashboard_Data!$B$5,Clean_Data!$AF$2:$AF$1001,Dashboard_Data!$B$6,Clean_Data!$F$2:$F$1001,"&gt;="&amp;Dashboard_Data!$B$7,Clean_Data!$F$2:$F$1001,"&lt;="&amp;Dashboard_Data!$B$8)/COUNTIFS(Clean_Data!$L$2:$L$1001,COLUMNS($C$61:H$61)-1,Clean_Data!$J$2:$J$1001,$B72,Clean_Data!$V$2:$V$1001,Dashboard_Data!$B$3,Clean_Data!$W$2:$W$1001,Dashboard_Data!$B$4,Clean_Data!$Z$2:$Z$1001,Dashboard_Data!$B$5,Clean_Data!$AF$2:$AF$1001,Dashboard_Data!$B$6,Clean_Data!$F$2:$F$1001,"&gt;="&amp;Dashboard_Data!$B$7,Clean_Data!$F$2:$F$1001,"&lt;="&amp;Dashboard_Data!$B$8),0)</f>
        <v>52.333333333333336</v>
      </c>
      <c r="I72" s="11">
        <f>IFERROR(SUMIFS(Clean_Data!$U$2:$U$1001,Clean_Data!$L$2:$L$1001,COLUMNS($C$61:I$61)-1,Clean_Data!$J$2:$J$1001,$B72,Clean_Data!$V$2:$V$1001,Dashboard_Data!$B$3,Clean_Data!$W$2:$W$1001,Dashboard_Data!$B$4,Clean_Data!$Z$2:$Z$1001,Dashboard_Data!$B$5,Clean_Data!$AF$2:$AF$1001,Dashboard_Data!$B$6,Clean_Data!$F$2:$F$1001,"&gt;="&amp;Dashboard_Data!$B$7,Clean_Data!$F$2:$F$1001,"&lt;="&amp;Dashboard_Data!$B$8)/COUNTIFS(Clean_Data!$L$2:$L$1001,COLUMNS($C$61:I$61)-1,Clean_Data!$J$2:$J$1001,$B72,Clean_Data!$V$2:$V$1001,Dashboard_Data!$B$3,Clean_Data!$W$2:$W$1001,Dashboard_Data!$B$4,Clean_Data!$Z$2:$Z$1001,Dashboard_Data!$B$5,Clean_Data!$AF$2:$AF$1001,Dashboard_Data!$B$6,Clean_Data!$F$2:$F$1001,"&gt;="&amp;Dashboard_Data!$B$7,Clean_Data!$F$2:$F$1001,"&lt;="&amp;Dashboard_Data!$B$8),0)</f>
        <v>54.571428571428569</v>
      </c>
      <c r="K72" s="46"/>
      <c r="L72" s="46"/>
      <c r="M72" s="46"/>
      <c r="N72" s="46"/>
      <c r="O72" s="46"/>
      <c r="P72" s="46"/>
      <c r="Q72" s="46"/>
      <c r="R72" s="46"/>
      <c r="S72" s="46"/>
      <c r="T72" s="46"/>
      <c r="U72" s="46"/>
      <c r="V72" s="46"/>
      <c r="W72" s="46"/>
      <c r="X72" s="46"/>
      <c r="Y72" s="46"/>
    </row>
    <row r="73" spans="2:25" x14ac:dyDescent="0.35">
      <c r="B73" s="10">
        <v>11</v>
      </c>
      <c r="C73" s="11">
        <f>IFERROR(SUMIFS(Clean_Data!$U$2:$U$1001,Clean_Data!$L$2:$L$1001,COLUMNS($C$61:C$61)-1,Clean_Data!$J$2:$J$1001,$B73,Clean_Data!$V$2:$V$1001,Dashboard_Data!$B$3,Clean_Data!$W$2:$W$1001,Dashboard_Data!$B$4,Clean_Data!$Z$2:$Z$1001,Dashboard_Data!$B$5,Clean_Data!$AF$2:$AF$1001,Dashboard_Data!$B$6,Clean_Data!$F$2:$F$1001,"&gt;="&amp;Dashboard_Data!$B$7,Clean_Data!$F$2:$F$1001,"&lt;="&amp;Dashboard_Data!$B$8)/COUNTIFS(Clean_Data!$L$2:$L$1001,COLUMNS($C$61:C$61)-1,Clean_Data!$J$2:$J$1001,$B73,Clean_Data!$V$2:$V$1001,Dashboard_Data!$B$3,Clean_Data!$W$2:$W$1001,Dashboard_Data!$B$4,Clean_Data!$Z$2:$Z$1001,Dashboard_Data!$B$5,Clean_Data!$AF$2:$AF$1001,Dashboard_Data!$B$6,Clean_Data!$F$2:$F$1001,"&gt;="&amp;Dashboard_Data!$B$7,Clean_Data!$F$2:$F$1001,"&lt;="&amp;Dashboard_Data!$B$8),0)</f>
        <v>85.571428571428569</v>
      </c>
      <c r="D73" s="11">
        <f>IFERROR(SUMIFS(Clean_Data!$U$2:$U$1001,Clean_Data!$L$2:$L$1001,COLUMNS($C$61:D$61)-1,Clean_Data!$J$2:$J$1001,$B73,Clean_Data!$V$2:$V$1001,Dashboard_Data!$B$3,Clean_Data!$W$2:$W$1001,Dashboard_Data!$B$4,Clean_Data!$Z$2:$Z$1001,Dashboard_Data!$B$5,Clean_Data!$AF$2:$AF$1001,Dashboard_Data!$B$6,Clean_Data!$F$2:$F$1001,"&gt;="&amp;Dashboard_Data!$B$7,Clean_Data!$F$2:$F$1001,"&lt;="&amp;Dashboard_Data!$B$8)/COUNTIFS(Clean_Data!$L$2:$L$1001,COLUMNS($C$61:D$61)-1,Clean_Data!$J$2:$J$1001,$B73,Clean_Data!$V$2:$V$1001,Dashboard_Data!$B$3,Clean_Data!$W$2:$W$1001,Dashboard_Data!$B$4,Clean_Data!$Z$2:$Z$1001,Dashboard_Data!$B$5,Clean_Data!$AF$2:$AF$1001,Dashboard_Data!$B$6,Clean_Data!$F$2:$F$1001,"&gt;="&amp;Dashboard_Data!$B$7,Clean_Data!$F$2:$F$1001,"&lt;="&amp;Dashboard_Data!$B$8),0)</f>
        <v>47.666666666666664</v>
      </c>
      <c r="E73" s="11">
        <f>IFERROR(SUMIFS(Clean_Data!$U$2:$U$1001,Clean_Data!$L$2:$L$1001,COLUMNS($C$61:E$61)-1,Clean_Data!$J$2:$J$1001,$B73,Clean_Data!$V$2:$V$1001,Dashboard_Data!$B$3,Clean_Data!$W$2:$W$1001,Dashboard_Data!$B$4,Clean_Data!$Z$2:$Z$1001,Dashboard_Data!$B$5,Clean_Data!$AF$2:$AF$1001,Dashboard_Data!$B$6,Clean_Data!$F$2:$F$1001,"&gt;="&amp;Dashboard_Data!$B$7,Clean_Data!$F$2:$F$1001,"&lt;="&amp;Dashboard_Data!$B$8)/COUNTIFS(Clean_Data!$L$2:$L$1001,COLUMNS($C$61:E$61)-1,Clean_Data!$J$2:$J$1001,$B73,Clean_Data!$V$2:$V$1001,Dashboard_Data!$B$3,Clean_Data!$W$2:$W$1001,Dashboard_Data!$B$4,Clean_Data!$Z$2:$Z$1001,Dashboard_Data!$B$5,Clean_Data!$AF$2:$AF$1001,Dashboard_Data!$B$6,Clean_Data!$F$2:$F$1001,"&gt;="&amp;Dashboard_Data!$B$7,Clean_Data!$F$2:$F$1001,"&lt;="&amp;Dashboard_Data!$B$8),0)</f>
        <v>50.8</v>
      </c>
      <c r="F73" s="11">
        <f>IFERROR(SUMIFS(Clean_Data!$U$2:$U$1001,Clean_Data!$L$2:$L$1001,COLUMNS($C$61:F$61)-1,Clean_Data!$J$2:$J$1001,$B73,Clean_Data!$V$2:$V$1001,Dashboard_Data!$B$3,Clean_Data!$W$2:$W$1001,Dashboard_Data!$B$4,Clean_Data!$Z$2:$Z$1001,Dashboard_Data!$B$5,Clean_Data!$AF$2:$AF$1001,Dashboard_Data!$B$6,Clean_Data!$F$2:$F$1001,"&gt;="&amp;Dashboard_Data!$B$7,Clean_Data!$F$2:$F$1001,"&lt;="&amp;Dashboard_Data!$B$8)/COUNTIFS(Clean_Data!$L$2:$L$1001,COLUMNS($C$61:F$61)-1,Clean_Data!$J$2:$J$1001,$B73,Clean_Data!$V$2:$V$1001,Dashboard_Data!$B$3,Clean_Data!$W$2:$W$1001,Dashboard_Data!$B$4,Clean_Data!$Z$2:$Z$1001,Dashboard_Data!$B$5,Clean_Data!$AF$2:$AF$1001,Dashboard_Data!$B$6,Clean_Data!$F$2:$F$1001,"&gt;="&amp;Dashboard_Data!$B$7,Clean_Data!$F$2:$F$1001,"&lt;="&amp;Dashboard_Data!$B$8),0)</f>
        <v>44.5</v>
      </c>
      <c r="G73" s="11">
        <f>IFERROR(SUMIFS(Clean_Data!$U$2:$U$1001,Clean_Data!$L$2:$L$1001,COLUMNS($C$61:G$61)-1,Clean_Data!$J$2:$J$1001,$B73,Clean_Data!$V$2:$V$1001,Dashboard_Data!$B$3,Clean_Data!$W$2:$W$1001,Dashboard_Data!$B$4,Clean_Data!$Z$2:$Z$1001,Dashboard_Data!$B$5,Clean_Data!$AF$2:$AF$1001,Dashboard_Data!$B$6,Clean_Data!$F$2:$F$1001,"&gt;="&amp;Dashboard_Data!$B$7,Clean_Data!$F$2:$F$1001,"&lt;="&amp;Dashboard_Data!$B$8)/COUNTIFS(Clean_Data!$L$2:$L$1001,COLUMNS($C$61:G$61)-1,Clean_Data!$J$2:$J$1001,$B73,Clean_Data!$V$2:$V$1001,Dashboard_Data!$B$3,Clean_Data!$W$2:$W$1001,Dashboard_Data!$B$4,Clean_Data!$Z$2:$Z$1001,Dashboard_Data!$B$5,Clean_Data!$AF$2:$AF$1001,Dashboard_Data!$B$6,Clean_Data!$F$2:$F$1001,"&gt;="&amp;Dashboard_Data!$B$7,Clean_Data!$F$2:$F$1001,"&lt;="&amp;Dashboard_Data!$B$8),0)</f>
        <v>54.6</v>
      </c>
      <c r="H73" s="11">
        <f>IFERROR(SUMIFS(Clean_Data!$U$2:$U$1001,Clean_Data!$L$2:$L$1001,COLUMNS($C$61:H$61)-1,Clean_Data!$J$2:$J$1001,$B73,Clean_Data!$V$2:$V$1001,Dashboard_Data!$B$3,Clean_Data!$W$2:$W$1001,Dashboard_Data!$B$4,Clean_Data!$Z$2:$Z$1001,Dashboard_Data!$B$5,Clean_Data!$AF$2:$AF$1001,Dashboard_Data!$B$6,Clean_Data!$F$2:$F$1001,"&gt;="&amp;Dashboard_Data!$B$7,Clean_Data!$F$2:$F$1001,"&lt;="&amp;Dashboard_Data!$B$8)/COUNTIFS(Clean_Data!$L$2:$L$1001,COLUMNS($C$61:H$61)-1,Clean_Data!$J$2:$J$1001,$B73,Clean_Data!$V$2:$V$1001,Dashboard_Data!$B$3,Clean_Data!$W$2:$W$1001,Dashboard_Data!$B$4,Clean_Data!$Z$2:$Z$1001,Dashboard_Data!$B$5,Clean_Data!$AF$2:$AF$1001,Dashboard_Data!$B$6,Clean_Data!$F$2:$F$1001,"&gt;="&amp;Dashboard_Data!$B$7,Clean_Data!$F$2:$F$1001,"&lt;="&amp;Dashboard_Data!$B$8),0)</f>
        <v>56.166666666666664</v>
      </c>
      <c r="I73" s="11">
        <f>IFERROR(SUMIFS(Clean_Data!$U$2:$U$1001,Clean_Data!$L$2:$L$1001,COLUMNS($C$61:I$61)-1,Clean_Data!$J$2:$J$1001,$B73,Clean_Data!$V$2:$V$1001,Dashboard_Data!$B$3,Clean_Data!$W$2:$W$1001,Dashboard_Data!$B$4,Clean_Data!$Z$2:$Z$1001,Dashboard_Data!$B$5,Clean_Data!$AF$2:$AF$1001,Dashboard_Data!$B$6,Clean_Data!$F$2:$F$1001,"&gt;="&amp;Dashboard_Data!$B$7,Clean_Data!$F$2:$F$1001,"&lt;="&amp;Dashboard_Data!$B$8)/COUNTIFS(Clean_Data!$L$2:$L$1001,COLUMNS($C$61:I$61)-1,Clean_Data!$J$2:$J$1001,$B73,Clean_Data!$V$2:$V$1001,Dashboard_Data!$B$3,Clean_Data!$W$2:$W$1001,Dashboard_Data!$B$4,Clean_Data!$Z$2:$Z$1001,Dashboard_Data!$B$5,Clean_Data!$AF$2:$AF$1001,Dashboard_Data!$B$6,Clean_Data!$F$2:$F$1001,"&gt;="&amp;Dashboard_Data!$B$7,Clean_Data!$F$2:$F$1001,"&lt;="&amp;Dashboard_Data!$B$8),0)</f>
        <v>68.285714285714292</v>
      </c>
    </row>
    <row r="74" spans="2:25" x14ac:dyDescent="0.35">
      <c r="B74" s="10">
        <v>12</v>
      </c>
      <c r="C74" s="11">
        <f>IFERROR(SUMIFS(Clean_Data!$U$2:$U$1001,Clean_Data!$L$2:$L$1001,COLUMNS($C$61:C$61)-1,Clean_Data!$J$2:$J$1001,$B74,Clean_Data!$V$2:$V$1001,Dashboard_Data!$B$3,Clean_Data!$W$2:$W$1001,Dashboard_Data!$B$4,Clean_Data!$Z$2:$Z$1001,Dashboard_Data!$B$5,Clean_Data!$AF$2:$AF$1001,Dashboard_Data!$B$6,Clean_Data!$F$2:$F$1001,"&gt;="&amp;Dashboard_Data!$B$7,Clean_Data!$F$2:$F$1001,"&lt;="&amp;Dashboard_Data!$B$8)/COUNTIFS(Clean_Data!$L$2:$L$1001,COLUMNS($C$61:C$61)-1,Clean_Data!$J$2:$J$1001,$B74,Clean_Data!$V$2:$V$1001,Dashboard_Data!$B$3,Clean_Data!$W$2:$W$1001,Dashboard_Data!$B$4,Clean_Data!$Z$2:$Z$1001,Dashboard_Data!$B$5,Clean_Data!$AF$2:$AF$1001,Dashboard_Data!$B$6,Clean_Data!$F$2:$F$1001,"&gt;="&amp;Dashboard_Data!$B$7,Clean_Data!$F$2:$F$1001,"&lt;="&amp;Dashboard_Data!$B$8),0)</f>
        <v>117</v>
      </c>
      <c r="D74" s="11">
        <f>IFERROR(SUMIFS(Clean_Data!$U$2:$U$1001,Clean_Data!$L$2:$L$1001,COLUMNS($C$61:D$61)-1,Clean_Data!$J$2:$J$1001,$B74,Clean_Data!$V$2:$V$1001,Dashboard_Data!$B$3,Clean_Data!$W$2:$W$1001,Dashboard_Data!$B$4,Clean_Data!$Z$2:$Z$1001,Dashboard_Data!$B$5,Clean_Data!$AF$2:$AF$1001,Dashboard_Data!$B$6,Clean_Data!$F$2:$F$1001,"&gt;="&amp;Dashboard_Data!$B$7,Clean_Data!$F$2:$F$1001,"&lt;="&amp;Dashboard_Data!$B$8)/COUNTIFS(Clean_Data!$L$2:$L$1001,COLUMNS($C$61:D$61)-1,Clean_Data!$J$2:$J$1001,$B74,Clean_Data!$V$2:$V$1001,Dashboard_Data!$B$3,Clean_Data!$W$2:$W$1001,Dashboard_Data!$B$4,Clean_Data!$Z$2:$Z$1001,Dashboard_Data!$B$5,Clean_Data!$AF$2:$AF$1001,Dashboard_Data!$B$6,Clean_Data!$F$2:$F$1001,"&gt;="&amp;Dashboard_Data!$B$7,Clean_Data!$F$2:$F$1001,"&lt;="&amp;Dashboard_Data!$B$8),0)</f>
        <v>65</v>
      </c>
      <c r="E74" s="11">
        <f>IFERROR(SUMIFS(Clean_Data!$U$2:$U$1001,Clean_Data!$L$2:$L$1001,COLUMNS($C$61:E$61)-1,Clean_Data!$J$2:$J$1001,$B74,Clean_Data!$V$2:$V$1001,Dashboard_Data!$B$3,Clean_Data!$W$2:$W$1001,Dashboard_Data!$B$4,Clean_Data!$Z$2:$Z$1001,Dashboard_Data!$B$5,Clean_Data!$AF$2:$AF$1001,Dashboard_Data!$B$6,Clean_Data!$F$2:$F$1001,"&gt;="&amp;Dashboard_Data!$B$7,Clean_Data!$F$2:$F$1001,"&lt;="&amp;Dashboard_Data!$B$8)/COUNTIFS(Clean_Data!$L$2:$L$1001,COLUMNS($C$61:E$61)-1,Clean_Data!$J$2:$J$1001,$B74,Clean_Data!$V$2:$V$1001,Dashboard_Data!$B$3,Clean_Data!$W$2:$W$1001,Dashboard_Data!$B$4,Clean_Data!$Z$2:$Z$1001,Dashboard_Data!$B$5,Clean_Data!$AF$2:$AF$1001,Dashboard_Data!$B$6,Clean_Data!$F$2:$F$1001,"&gt;="&amp;Dashboard_Data!$B$7,Clean_Data!$F$2:$F$1001,"&lt;="&amp;Dashboard_Data!$B$8),0)</f>
        <v>60.666666666666664</v>
      </c>
      <c r="F74" s="11">
        <f>IFERROR(SUMIFS(Clean_Data!$U$2:$U$1001,Clean_Data!$L$2:$L$1001,COLUMNS($C$61:F$61)-1,Clean_Data!$J$2:$J$1001,$B74,Clean_Data!$V$2:$V$1001,Dashboard_Data!$B$3,Clean_Data!$W$2:$W$1001,Dashboard_Data!$B$4,Clean_Data!$Z$2:$Z$1001,Dashboard_Data!$B$5,Clean_Data!$AF$2:$AF$1001,Dashboard_Data!$B$6,Clean_Data!$F$2:$F$1001,"&gt;="&amp;Dashboard_Data!$B$7,Clean_Data!$F$2:$F$1001,"&lt;="&amp;Dashboard_Data!$B$8)/COUNTIFS(Clean_Data!$L$2:$L$1001,COLUMNS($C$61:F$61)-1,Clean_Data!$J$2:$J$1001,$B74,Clean_Data!$V$2:$V$1001,Dashboard_Data!$B$3,Clean_Data!$W$2:$W$1001,Dashboard_Data!$B$4,Clean_Data!$Z$2:$Z$1001,Dashboard_Data!$B$5,Clean_Data!$AF$2:$AF$1001,Dashboard_Data!$B$6,Clean_Data!$F$2:$F$1001,"&gt;="&amp;Dashboard_Data!$B$7,Clean_Data!$F$2:$F$1001,"&lt;="&amp;Dashboard_Data!$B$8),0)</f>
        <v>62.833333333333336</v>
      </c>
      <c r="G74" s="11">
        <f>IFERROR(SUMIFS(Clean_Data!$U$2:$U$1001,Clean_Data!$L$2:$L$1001,COLUMNS($C$61:G$61)-1,Clean_Data!$J$2:$J$1001,$B74,Clean_Data!$V$2:$V$1001,Dashboard_Data!$B$3,Clean_Data!$W$2:$W$1001,Dashboard_Data!$B$4,Clean_Data!$Z$2:$Z$1001,Dashboard_Data!$B$5,Clean_Data!$AF$2:$AF$1001,Dashboard_Data!$B$6,Clean_Data!$F$2:$F$1001,"&gt;="&amp;Dashboard_Data!$B$7,Clean_Data!$F$2:$F$1001,"&lt;="&amp;Dashboard_Data!$B$8)/COUNTIFS(Clean_Data!$L$2:$L$1001,COLUMNS($C$61:G$61)-1,Clean_Data!$J$2:$J$1001,$B74,Clean_Data!$V$2:$V$1001,Dashboard_Data!$B$3,Clean_Data!$W$2:$W$1001,Dashboard_Data!$B$4,Clean_Data!$Z$2:$Z$1001,Dashboard_Data!$B$5,Clean_Data!$AF$2:$AF$1001,Dashboard_Data!$B$6,Clean_Data!$F$2:$F$1001,"&gt;="&amp;Dashboard_Data!$B$7,Clean_Data!$F$2:$F$1001,"&lt;="&amp;Dashboard_Data!$B$8),0)</f>
        <v>71.599999999999994</v>
      </c>
      <c r="H74" s="11">
        <f>IFERROR(SUMIFS(Clean_Data!$U$2:$U$1001,Clean_Data!$L$2:$L$1001,COLUMNS($C$61:H$61)-1,Clean_Data!$J$2:$J$1001,$B74,Clean_Data!$V$2:$V$1001,Dashboard_Data!$B$3,Clean_Data!$W$2:$W$1001,Dashboard_Data!$B$4,Clean_Data!$Z$2:$Z$1001,Dashboard_Data!$B$5,Clean_Data!$AF$2:$AF$1001,Dashboard_Data!$B$6,Clean_Data!$F$2:$F$1001,"&gt;="&amp;Dashboard_Data!$B$7,Clean_Data!$F$2:$F$1001,"&lt;="&amp;Dashboard_Data!$B$8)/COUNTIFS(Clean_Data!$L$2:$L$1001,COLUMNS($C$61:H$61)-1,Clean_Data!$J$2:$J$1001,$B74,Clean_Data!$V$2:$V$1001,Dashboard_Data!$B$3,Clean_Data!$W$2:$W$1001,Dashboard_Data!$B$4,Clean_Data!$Z$2:$Z$1001,Dashboard_Data!$B$5,Clean_Data!$AF$2:$AF$1001,Dashboard_Data!$B$6,Clean_Data!$F$2:$F$1001,"&gt;="&amp;Dashboard_Data!$B$7,Clean_Data!$F$2:$F$1001,"&lt;="&amp;Dashboard_Data!$B$8),0)</f>
        <v>64</v>
      </c>
      <c r="I74" s="11">
        <f>IFERROR(SUMIFS(Clean_Data!$U$2:$U$1001,Clean_Data!$L$2:$L$1001,COLUMNS($C$61:I$61)-1,Clean_Data!$J$2:$J$1001,$B74,Clean_Data!$V$2:$V$1001,Dashboard_Data!$B$3,Clean_Data!$W$2:$W$1001,Dashboard_Data!$B$4,Clean_Data!$Z$2:$Z$1001,Dashboard_Data!$B$5,Clean_Data!$AF$2:$AF$1001,Dashboard_Data!$B$6,Clean_Data!$F$2:$F$1001,"&gt;="&amp;Dashboard_Data!$B$7,Clean_Data!$F$2:$F$1001,"&lt;="&amp;Dashboard_Data!$B$8)/COUNTIFS(Clean_Data!$L$2:$L$1001,COLUMNS($C$61:I$61)-1,Clean_Data!$J$2:$J$1001,$B74,Clean_Data!$V$2:$V$1001,Dashboard_Data!$B$3,Clean_Data!$W$2:$W$1001,Dashboard_Data!$B$4,Clean_Data!$Z$2:$Z$1001,Dashboard_Data!$B$5,Clean_Data!$AF$2:$AF$1001,Dashboard_Data!$B$6,Clean_Data!$F$2:$F$1001,"&gt;="&amp;Dashboard_Data!$B$7,Clean_Data!$F$2:$F$1001,"&lt;="&amp;Dashboard_Data!$B$8),0)</f>
        <v>84.428571428571431</v>
      </c>
    </row>
    <row r="75" spans="2:25" x14ac:dyDescent="0.35">
      <c r="B75" s="10">
        <v>13</v>
      </c>
      <c r="C75" s="11">
        <f>IFERROR(SUMIFS(Clean_Data!$U$2:$U$1001,Clean_Data!$L$2:$L$1001,COLUMNS($C$61:C$61)-1,Clean_Data!$J$2:$J$1001,$B75,Clean_Data!$V$2:$V$1001,Dashboard_Data!$B$3,Clean_Data!$W$2:$W$1001,Dashboard_Data!$B$4,Clean_Data!$Z$2:$Z$1001,Dashboard_Data!$B$5,Clean_Data!$AF$2:$AF$1001,Dashboard_Data!$B$6,Clean_Data!$F$2:$F$1001,"&gt;="&amp;Dashboard_Data!$B$7,Clean_Data!$F$2:$F$1001,"&lt;="&amp;Dashboard_Data!$B$8)/COUNTIFS(Clean_Data!$L$2:$L$1001,COLUMNS($C$61:C$61)-1,Clean_Data!$J$2:$J$1001,$B75,Clean_Data!$V$2:$V$1001,Dashboard_Data!$B$3,Clean_Data!$W$2:$W$1001,Dashboard_Data!$B$4,Clean_Data!$Z$2:$Z$1001,Dashboard_Data!$B$5,Clean_Data!$AF$2:$AF$1001,Dashboard_Data!$B$6,Clean_Data!$F$2:$F$1001,"&gt;="&amp;Dashboard_Data!$B$7,Clean_Data!$F$2:$F$1001,"&lt;="&amp;Dashboard_Data!$B$8),0)</f>
        <v>110.71428571428571</v>
      </c>
      <c r="D75" s="11">
        <f>IFERROR(SUMIFS(Clean_Data!$U$2:$U$1001,Clean_Data!$L$2:$L$1001,COLUMNS($C$61:D$61)-1,Clean_Data!$J$2:$J$1001,$B75,Clean_Data!$V$2:$V$1001,Dashboard_Data!$B$3,Clean_Data!$W$2:$W$1001,Dashboard_Data!$B$4,Clean_Data!$Z$2:$Z$1001,Dashboard_Data!$B$5,Clean_Data!$AF$2:$AF$1001,Dashboard_Data!$B$6,Clean_Data!$F$2:$F$1001,"&gt;="&amp;Dashboard_Data!$B$7,Clean_Data!$F$2:$F$1001,"&lt;="&amp;Dashboard_Data!$B$8)/COUNTIFS(Clean_Data!$L$2:$L$1001,COLUMNS($C$61:D$61)-1,Clean_Data!$J$2:$J$1001,$B75,Clean_Data!$V$2:$V$1001,Dashboard_Data!$B$3,Clean_Data!$W$2:$W$1001,Dashboard_Data!$B$4,Clean_Data!$Z$2:$Z$1001,Dashboard_Data!$B$5,Clean_Data!$AF$2:$AF$1001,Dashboard_Data!$B$6,Clean_Data!$F$2:$F$1001,"&gt;="&amp;Dashboard_Data!$B$7,Clean_Data!$F$2:$F$1001,"&lt;="&amp;Dashboard_Data!$B$8),0)</f>
        <v>64.333333333333329</v>
      </c>
      <c r="E75" s="11">
        <f>IFERROR(SUMIFS(Clean_Data!$U$2:$U$1001,Clean_Data!$L$2:$L$1001,COLUMNS($C$61:E$61)-1,Clean_Data!$J$2:$J$1001,$B75,Clean_Data!$V$2:$V$1001,Dashboard_Data!$B$3,Clean_Data!$W$2:$W$1001,Dashboard_Data!$B$4,Clean_Data!$Z$2:$Z$1001,Dashboard_Data!$B$5,Clean_Data!$AF$2:$AF$1001,Dashboard_Data!$B$6,Clean_Data!$F$2:$F$1001,"&gt;="&amp;Dashboard_Data!$B$7,Clean_Data!$F$2:$F$1001,"&lt;="&amp;Dashboard_Data!$B$8)/COUNTIFS(Clean_Data!$L$2:$L$1001,COLUMNS($C$61:E$61)-1,Clean_Data!$J$2:$J$1001,$B75,Clean_Data!$V$2:$V$1001,Dashboard_Data!$B$3,Clean_Data!$W$2:$W$1001,Dashboard_Data!$B$4,Clean_Data!$Z$2:$Z$1001,Dashboard_Data!$B$5,Clean_Data!$AF$2:$AF$1001,Dashboard_Data!$B$6,Clean_Data!$F$2:$F$1001,"&gt;="&amp;Dashboard_Data!$B$7,Clean_Data!$F$2:$F$1001,"&lt;="&amp;Dashboard_Data!$B$8),0)</f>
        <v>61</v>
      </c>
      <c r="F75" s="11">
        <f>IFERROR(SUMIFS(Clean_Data!$U$2:$U$1001,Clean_Data!$L$2:$L$1001,COLUMNS($C$61:F$61)-1,Clean_Data!$J$2:$J$1001,$B75,Clean_Data!$V$2:$V$1001,Dashboard_Data!$B$3,Clean_Data!$W$2:$W$1001,Dashboard_Data!$B$4,Clean_Data!$Z$2:$Z$1001,Dashboard_Data!$B$5,Clean_Data!$AF$2:$AF$1001,Dashboard_Data!$B$6,Clean_Data!$F$2:$F$1001,"&gt;="&amp;Dashboard_Data!$B$7,Clean_Data!$F$2:$F$1001,"&lt;="&amp;Dashboard_Data!$B$8)/COUNTIFS(Clean_Data!$L$2:$L$1001,COLUMNS($C$61:F$61)-1,Clean_Data!$J$2:$J$1001,$B75,Clean_Data!$V$2:$V$1001,Dashboard_Data!$B$3,Clean_Data!$W$2:$W$1001,Dashboard_Data!$B$4,Clean_Data!$Z$2:$Z$1001,Dashboard_Data!$B$5,Clean_Data!$AF$2:$AF$1001,Dashboard_Data!$B$6,Clean_Data!$F$2:$F$1001,"&gt;="&amp;Dashboard_Data!$B$7,Clean_Data!$F$2:$F$1001,"&lt;="&amp;Dashboard_Data!$B$8),0)</f>
        <v>64.833333333333329</v>
      </c>
      <c r="G75" s="11">
        <f>IFERROR(SUMIFS(Clean_Data!$U$2:$U$1001,Clean_Data!$L$2:$L$1001,COLUMNS($C$61:G$61)-1,Clean_Data!$J$2:$J$1001,$B75,Clean_Data!$V$2:$V$1001,Dashboard_Data!$B$3,Clean_Data!$W$2:$W$1001,Dashboard_Data!$B$4,Clean_Data!$Z$2:$Z$1001,Dashboard_Data!$B$5,Clean_Data!$AF$2:$AF$1001,Dashboard_Data!$B$6,Clean_Data!$F$2:$F$1001,"&gt;="&amp;Dashboard_Data!$B$7,Clean_Data!$F$2:$F$1001,"&lt;="&amp;Dashboard_Data!$B$8)/COUNTIFS(Clean_Data!$L$2:$L$1001,COLUMNS($C$61:G$61)-1,Clean_Data!$J$2:$J$1001,$B75,Clean_Data!$V$2:$V$1001,Dashboard_Data!$B$3,Clean_Data!$W$2:$W$1001,Dashboard_Data!$B$4,Clean_Data!$Z$2:$Z$1001,Dashboard_Data!$B$5,Clean_Data!$AF$2:$AF$1001,Dashboard_Data!$B$6,Clean_Data!$F$2:$F$1001,"&gt;="&amp;Dashboard_Data!$B$7,Clean_Data!$F$2:$F$1001,"&lt;="&amp;Dashboard_Data!$B$8),0)</f>
        <v>72.2</v>
      </c>
      <c r="H75" s="11">
        <f>IFERROR(SUMIFS(Clean_Data!$U$2:$U$1001,Clean_Data!$L$2:$L$1001,COLUMNS($C$61:H$61)-1,Clean_Data!$J$2:$J$1001,$B75,Clean_Data!$V$2:$V$1001,Dashboard_Data!$B$3,Clean_Data!$W$2:$W$1001,Dashboard_Data!$B$4,Clean_Data!$Z$2:$Z$1001,Dashboard_Data!$B$5,Clean_Data!$AF$2:$AF$1001,Dashboard_Data!$B$6,Clean_Data!$F$2:$F$1001,"&gt;="&amp;Dashboard_Data!$B$7,Clean_Data!$F$2:$F$1001,"&lt;="&amp;Dashboard_Data!$B$8)/COUNTIFS(Clean_Data!$L$2:$L$1001,COLUMNS($C$61:H$61)-1,Clean_Data!$J$2:$J$1001,$B75,Clean_Data!$V$2:$V$1001,Dashboard_Data!$B$3,Clean_Data!$W$2:$W$1001,Dashboard_Data!$B$4,Clean_Data!$Z$2:$Z$1001,Dashboard_Data!$B$5,Clean_Data!$AF$2:$AF$1001,Dashboard_Data!$B$6,Clean_Data!$F$2:$F$1001,"&gt;="&amp;Dashboard_Data!$B$7,Clean_Data!$F$2:$F$1001,"&lt;="&amp;Dashboard_Data!$B$8),0)</f>
        <v>74.333333333333329</v>
      </c>
      <c r="I75" s="11">
        <f>IFERROR(SUMIFS(Clean_Data!$U$2:$U$1001,Clean_Data!$L$2:$L$1001,COLUMNS($C$61:I$61)-1,Clean_Data!$J$2:$J$1001,$B75,Clean_Data!$V$2:$V$1001,Dashboard_Data!$B$3,Clean_Data!$W$2:$W$1001,Dashboard_Data!$B$4,Clean_Data!$Z$2:$Z$1001,Dashboard_Data!$B$5,Clean_Data!$AF$2:$AF$1001,Dashboard_Data!$B$6,Clean_Data!$F$2:$F$1001,"&gt;="&amp;Dashboard_Data!$B$7,Clean_Data!$F$2:$F$1001,"&lt;="&amp;Dashboard_Data!$B$8)/COUNTIFS(Clean_Data!$L$2:$L$1001,COLUMNS($C$61:I$61)-1,Clean_Data!$J$2:$J$1001,$B75,Clean_Data!$V$2:$V$1001,Dashboard_Data!$B$3,Clean_Data!$W$2:$W$1001,Dashboard_Data!$B$4,Clean_Data!$Z$2:$Z$1001,Dashboard_Data!$B$5,Clean_Data!$AF$2:$AF$1001,Dashboard_Data!$B$6,Clean_Data!$F$2:$F$1001,"&gt;="&amp;Dashboard_Data!$B$7,Clean_Data!$F$2:$F$1001,"&lt;="&amp;Dashboard_Data!$B$8),0)</f>
        <v>93.285714285714292</v>
      </c>
    </row>
    <row r="76" spans="2:25" x14ac:dyDescent="0.35">
      <c r="B76" s="10">
        <v>14</v>
      </c>
      <c r="C76" s="11">
        <f>IFERROR(SUMIFS(Clean_Data!$U$2:$U$1001,Clean_Data!$L$2:$L$1001,COLUMNS($C$61:C$61)-1,Clean_Data!$J$2:$J$1001,$B76,Clean_Data!$V$2:$V$1001,Dashboard_Data!$B$3,Clean_Data!$W$2:$W$1001,Dashboard_Data!$B$4,Clean_Data!$Z$2:$Z$1001,Dashboard_Data!$B$5,Clean_Data!$AF$2:$AF$1001,Dashboard_Data!$B$6,Clean_Data!$F$2:$F$1001,"&gt;="&amp;Dashboard_Data!$B$7,Clean_Data!$F$2:$F$1001,"&lt;="&amp;Dashboard_Data!$B$8)/COUNTIFS(Clean_Data!$L$2:$L$1001,COLUMNS($C$61:C$61)-1,Clean_Data!$J$2:$J$1001,$B76,Clean_Data!$V$2:$V$1001,Dashboard_Data!$B$3,Clean_Data!$W$2:$W$1001,Dashboard_Data!$B$4,Clean_Data!$Z$2:$Z$1001,Dashboard_Data!$B$5,Clean_Data!$AF$2:$AF$1001,Dashboard_Data!$B$6,Clean_Data!$F$2:$F$1001,"&gt;="&amp;Dashboard_Data!$B$7,Clean_Data!$F$2:$F$1001,"&lt;="&amp;Dashboard_Data!$B$8),0)</f>
        <v>110.85714285714286</v>
      </c>
      <c r="D76" s="11">
        <f>IFERROR(SUMIFS(Clean_Data!$U$2:$U$1001,Clean_Data!$L$2:$L$1001,COLUMNS($C$61:D$61)-1,Clean_Data!$J$2:$J$1001,$B76,Clean_Data!$V$2:$V$1001,Dashboard_Data!$B$3,Clean_Data!$W$2:$W$1001,Dashboard_Data!$B$4,Clean_Data!$Z$2:$Z$1001,Dashboard_Data!$B$5,Clean_Data!$AF$2:$AF$1001,Dashboard_Data!$B$6,Clean_Data!$F$2:$F$1001,"&gt;="&amp;Dashboard_Data!$B$7,Clean_Data!$F$2:$F$1001,"&lt;="&amp;Dashboard_Data!$B$8)/COUNTIFS(Clean_Data!$L$2:$L$1001,COLUMNS($C$61:D$61)-1,Clean_Data!$J$2:$J$1001,$B76,Clean_Data!$V$2:$V$1001,Dashboard_Data!$B$3,Clean_Data!$W$2:$W$1001,Dashboard_Data!$B$4,Clean_Data!$Z$2:$Z$1001,Dashboard_Data!$B$5,Clean_Data!$AF$2:$AF$1001,Dashboard_Data!$B$6,Clean_Data!$F$2:$F$1001,"&gt;="&amp;Dashboard_Data!$B$7,Clean_Data!$F$2:$F$1001,"&lt;="&amp;Dashboard_Data!$B$8),0)</f>
        <v>66.833333333333329</v>
      </c>
      <c r="E76" s="11">
        <f>IFERROR(SUMIFS(Clean_Data!$U$2:$U$1001,Clean_Data!$L$2:$L$1001,COLUMNS($C$61:E$61)-1,Clean_Data!$J$2:$J$1001,$B76,Clean_Data!$V$2:$V$1001,Dashboard_Data!$B$3,Clean_Data!$W$2:$W$1001,Dashboard_Data!$B$4,Clean_Data!$Z$2:$Z$1001,Dashboard_Data!$B$5,Clean_Data!$AF$2:$AF$1001,Dashboard_Data!$B$6,Clean_Data!$F$2:$F$1001,"&gt;="&amp;Dashboard_Data!$B$7,Clean_Data!$F$2:$F$1001,"&lt;="&amp;Dashboard_Data!$B$8)/COUNTIFS(Clean_Data!$L$2:$L$1001,COLUMNS($C$61:E$61)-1,Clean_Data!$J$2:$J$1001,$B76,Clean_Data!$V$2:$V$1001,Dashboard_Data!$B$3,Clean_Data!$W$2:$W$1001,Dashboard_Data!$B$4,Clean_Data!$Z$2:$Z$1001,Dashboard_Data!$B$5,Clean_Data!$AF$2:$AF$1001,Dashboard_Data!$B$6,Clean_Data!$F$2:$F$1001,"&gt;="&amp;Dashboard_Data!$B$7,Clean_Data!$F$2:$F$1001,"&lt;="&amp;Dashboard_Data!$B$8),0)</f>
        <v>56.666666666666664</v>
      </c>
      <c r="F76" s="11">
        <f>IFERROR(SUMIFS(Clean_Data!$U$2:$U$1001,Clean_Data!$L$2:$L$1001,COLUMNS($C$61:F$61)-1,Clean_Data!$J$2:$J$1001,$B76,Clean_Data!$V$2:$V$1001,Dashboard_Data!$B$3,Clean_Data!$W$2:$W$1001,Dashboard_Data!$B$4,Clean_Data!$Z$2:$Z$1001,Dashboard_Data!$B$5,Clean_Data!$AF$2:$AF$1001,Dashboard_Data!$B$6,Clean_Data!$F$2:$F$1001,"&gt;="&amp;Dashboard_Data!$B$7,Clean_Data!$F$2:$F$1001,"&lt;="&amp;Dashboard_Data!$B$8)/COUNTIFS(Clean_Data!$L$2:$L$1001,COLUMNS($C$61:F$61)-1,Clean_Data!$J$2:$J$1001,$B76,Clean_Data!$V$2:$V$1001,Dashboard_Data!$B$3,Clean_Data!$W$2:$W$1001,Dashboard_Data!$B$4,Clean_Data!$Z$2:$Z$1001,Dashboard_Data!$B$5,Clean_Data!$AF$2:$AF$1001,Dashboard_Data!$B$6,Clean_Data!$F$2:$F$1001,"&gt;="&amp;Dashboard_Data!$B$7,Clean_Data!$F$2:$F$1001,"&lt;="&amp;Dashboard_Data!$B$8),0)</f>
        <v>56.333333333333336</v>
      </c>
      <c r="G76" s="11">
        <f>IFERROR(SUMIFS(Clean_Data!$U$2:$U$1001,Clean_Data!$L$2:$L$1001,COLUMNS($C$61:G$61)-1,Clean_Data!$J$2:$J$1001,$B76,Clean_Data!$V$2:$V$1001,Dashboard_Data!$B$3,Clean_Data!$W$2:$W$1001,Dashboard_Data!$B$4,Clean_Data!$Z$2:$Z$1001,Dashboard_Data!$B$5,Clean_Data!$AF$2:$AF$1001,Dashboard_Data!$B$6,Clean_Data!$F$2:$F$1001,"&gt;="&amp;Dashboard_Data!$B$7,Clean_Data!$F$2:$F$1001,"&lt;="&amp;Dashboard_Data!$B$8)/COUNTIFS(Clean_Data!$L$2:$L$1001,COLUMNS($C$61:G$61)-1,Clean_Data!$J$2:$J$1001,$B76,Clean_Data!$V$2:$V$1001,Dashboard_Data!$B$3,Clean_Data!$W$2:$W$1001,Dashboard_Data!$B$4,Clean_Data!$Z$2:$Z$1001,Dashboard_Data!$B$5,Clean_Data!$AF$2:$AF$1001,Dashboard_Data!$B$6,Clean_Data!$F$2:$F$1001,"&gt;="&amp;Dashboard_Data!$B$7,Clean_Data!$F$2:$F$1001,"&lt;="&amp;Dashboard_Data!$B$8),0)</f>
        <v>57.6</v>
      </c>
      <c r="H76" s="11">
        <f>IFERROR(SUMIFS(Clean_Data!$U$2:$U$1001,Clean_Data!$L$2:$L$1001,COLUMNS($C$61:H$61)-1,Clean_Data!$J$2:$J$1001,$B76,Clean_Data!$V$2:$V$1001,Dashboard_Data!$B$3,Clean_Data!$W$2:$W$1001,Dashboard_Data!$B$4,Clean_Data!$Z$2:$Z$1001,Dashboard_Data!$B$5,Clean_Data!$AF$2:$AF$1001,Dashboard_Data!$B$6,Clean_Data!$F$2:$F$1001,"&gt;="&amp;Dashboard_Data!$B$7,Clean_Data!$F$2:$F$1001,"&lt;="&amp;Dashboard_Data!$B$8)/COUNTIFS(Clean_Data!$L$2:$L$1001,COLUMNS($C$61:H$61)-1,Clean_Data!$J$2:$J$1001,$B76,Clean_Data!$V$2:$V$1001,Dashboard_Data!$B$3,Clean_Data!$W$2:$W$1001,Dashboard_Data!$B$4,Clean_Data!$Z$2:$Z$1001,Dashboard_Data!$B$5,Clean_Data!$AF$2:$AF$1001,Dashboard_Data!$B$6,Clean_Data!$F$2:$F$1001,"&gt;="&amp;Dashboard_Data!$B$7,Clean_Data!$F$2:$F$1001,"&lt;="&amp;Dashboard_Data!$B$8),0)</f>
        <v>64.833333333333329</v>
      </c>
      <c r="I76" s="11">
        <f>IFERROR(SUMIFS(Clean_Data!$U$2:$U$1001,Clean_Data!$L$2:$L$1001,COLUMNS($C$61:I$61)-1,Clean_Data!$J$2:$J$1001,$B76,Clean_Data!$V$2:$V$1001,Dashboard_Data!$B$3,Clean_Data!$W$2:$W$1001,Dashboard_Data!$B$4,Clean_Data!$Z$2:$Z$1001,Dashboard_Data!$B$5,Clean_Data!$AF$2:$AF$1001,Dashboard_Data!$B$6,Clean_Data!$F$2:$F$1001,"&gt;="&amp;Dashboard_Data!$B$7,Clean_Data!$F$2:$F$1001,"&lt;="&amp;Dashboard_Data!$B$8)/COUNTIFS(Clean_Data!$L$2:$L$1001,COLUMNS($C$61:I$61)-1,Clean_Data!$J$2:$J$1001,$B76,Clean_Data!$V$2:$V$1001,Dashboard_Data!$B$3,Clean_Data!$W$2:$W$1001,Dashboard_Data!$B$4,Clean_Data!$Z$2:$Z$1001,Dashboard_Data!$B$5,Clean_Data!$AF$2:$AF$1001,Dashboard_Data!$B$6,Clean_Data!$F$2:$F$1001,"&gt;="&amp;Dashboard_Data!$B$7,Clean_Data!$F$2:$F$1001,"&lt;="&amp;Dashboard_Data!$B$8),0)</f>
        <v>95.428571428571431</v>
      </c>
    </row>
    <row r="77" spans="2:25" x14ac:dyDescent="0.35">
      <c r="B77" s="10">
        <v>15</v>
      </c>
      <c r="C77" s="11">
        <f>IFERROR(SUMIFS(Clean_Data!$U$2:$U$1001,Clean_Data!$L$2:$L$1001,COLUMNS($C$61:C$61)-1,Clean_Data!$J$2:$J$1001,$B77,Clean_Data!$V$2:$V$1001,Dashboard_Data!$B$3,Clean_Data!$W$2:$W$1001,Dashboard_Data!$B$4,Clean_Data!$Z$2:$Z$1001,Dashboard_Data!$B$5,Clean_Data!$AF$2:$AF$1001,Dashboard_Data!$B$6,Clean_Data!$F$2:$F$1001,"&gt;="&amp;Dashboard_Data!$B$7,Clean_Data!$F$2:$F$1001,"&lt;="&amp;Dashboard_Data!$B$8)/COUNTIFS(Clean_Data!$L$2:$L$1001,COLUMNS($C$61:C$61)-1,Clean_Data!$J$2:$J$1001,$B77,Clean_Data!$V$2:$V$1001,Dashboard_Data!$B$3,Clean_Data!$W$2:$W$1001,Dashboard_Data!$B$4,Clean_Data!$Z$2:$Z$1001,Dashboard_Data!$B$5,Clean_Data!$AF$2:$AF$1001,Dashboard_Data!$B$6,Clean_Data!$F$2:$F$1001,"&gt;="&amp;Dashboard_Data!$B$7,Clean_Data!$F$2:$F$1001,"&lt;="&amp;Dashboard_Data!$B$8),0)</f>
        <v>114.14285714285714</v>
      </c>
      <c r="D77" s="11">
        <f>IFERROR(SUMIFS(Clean_Data!$U$2:$U$1001,Clean_Data!$L$2:$L$1001,COLUMNS($C$61:D$61)-1,Clean_Data!$J$2:$J$1001,$B77,Clean_Data!$V$2:$V$1001,Dashboard_Data!$B$3,Clean_Data!$W$2:$W$1001,Dashboard_Data!$B$4,Clean_Data!$Z$2:$Z$1001,Dashboard_Data!$B$5,Clean_Data!$AF$2:$AF$1001,Dashboard_Data!$B$6,Clean_Data!$F$2:$F$1001,"&gt;="&amp;Dashboard_Data!$B$7,Clean_Data!$F$2:$F$1001,"&lt;="&amp;Dashboard_Data!$B$8)/COUNTIFS(Clean_Data!$L$2:$L$1001,COLUMNS($C$61:D$61)-1,Clean_Data!$J$2:$J$1001,$B77,Clean_Data!$V$2:$V$1001,Dashboard_Data!$B$3,Clean_Data!$W$2:$W$1001,Dashboard_Data!$B$4,Clean_Data!$Z$2:$Z$1001,Dashboard_Data!$B$5,Clean_Data!$AF$2:$AF$1001,Dashboard_Data!$B$6,Clean_Data!$F$2:$F$1001,"&gt;="&amp;Dashboard_Data!$B$7,Clean_Data!$F$2:$F$1001,"&lt;="&amp;Dashboard_Data!$B$8),0)</f>
        <v>60.166666666666664</v>
      </c>
      <c r="E77" s="11">
        <f>IFERROR(SUMIFS(Clean_Data!$U$2:$U$1001,Clean_Data!$L$2:$L$1001,COLUMNS($C$61:E$61)-1,Clean_Data!$J$2:$J$1001,$B77,Clean_Data!$V$2:$V$1001,Dashboard_Data!$B$3,Clean_Data!$W$2:$W$1001,Dashboard_Data!$B$4,Clean_Data!$Z$2:$Z$1001,Dashboard_Data!$B$5,Clean_Data!$AF$2:$AF$1001,Dashboard_Data!$B$6,Clean_Data!$F$2:$F$1001,"&gt;="&amp;Dashboard_Data!$B$7,Clean_Data!$F$2:$F$1001,"&lt;="&amp;Dashboard_Data!$B$8)/COUNTIFS(Clean_Data!$L$2:$L$1001,COLUMNS($C$61:E$61)-1,Clean_Data!$J$2:$J$1001,$B77,Clean_Data!$V$2:$V$1001,Dashboard_Data!$B$3,Clean_Data!$W$2:$W$1001,Dashboard_Data!$B$4,Clean_Data!$Z$2:$Z$1001,Dashboard_Data!$B$5,Clean_Data!$AF$2:$AF$1001,Dashboard_Data!$B$6,Clean_Data!$F$2:$F$1001,"&gt;="&amp;Dashboard_Data!$B$7,Clean_Data!$F$2:$F$1001,"&lt;="&amp;Dashboard_Data!$B$8),0)</f>
        <v>55.666666666666664</v>
      </c>
      <c r="F77" s="11">
        <f>IFERROR(SUMIFS(Clean_Data!$U$2:$U$1001,Clean_Data!$L$2:$L$1001,COLUMNS($C$61:F$61)-1,Clean_Data!$J$2:$J$1001,$B77,Clean_Data!$V$2:$V$1001,Dashboard_Data!$B$3,Clean_Data!$W$2:$W$1001,Dashboard_Data!$B$4,Clean_Data!$Z$2:$Z$1001,Dashboard_Data!$B$5,Clean_Data!$AF$2:$AF$1001,Dashboard_Data!$B$6,Clean_Data!$F$2:$F$1001,"&gt;="&amp;Dashboard_Data!$B$7,Clean_Data!$F$2:$F$1001,"&lt;="&amp;Dashboard_Data!$B$8)/COUNTIFS(Clean_Data!$L$2:$L$1001,COLUMNS($C$61:F$61)-1,Clean_Data!$J$2:$J$1001,$B77,Clean_Data!$V$2:$V$1001,Dashboard_Data!$B$3,Clean_Data!$W$2:$W$1001,Dashboard_Data!$B$4,Clean_Data!$Z$2:$Z$1001,Dashboard_Data!$B$5,Clean_Data!$AF$2:$AF$1001,Dashboard_Data!$B$6,Clean_Data!$F$2:$F$1001,"&gt;="&amp;Dashboard_Data!$B$7,Clean_Data!$F$2:$F$1001,"&lt;="&amp;Dashboard_Data!$B$8),0)</f>
        <v>62.666666666666664</v>
      </c>
      <c r="G77" s="11">
        <f>IFERROR(SUMIFS(Clean_Data!$U$2:$U$1001,Clean_Data!$L$2:$L$1001,COLUMNS($C$61:G$61)-1,Clean_Data!$J$2:$J$1001,$B77,Clean_Data!$V$2:$V$1001,Dashboard_Data!$B$3,Clean_Data!$W$2:$W$1001,Dashboard_Data!$B$4,Clean_Data!$Z$2:$Z$1001,Dashboard_Data!$B$5,Clean_Data!$AF$2:$AF$1001,Dashboard_Data!$B$6,Clean_Data!$F$2:$F$1001,"&gt;="&amp;Dashboard_Data!$B$7,Clean_Data!$F$2:$F$1001,"&lt;="&amp;Dashboard_Data!$B$8)/COUNTIFS(Clean_Data!$L$2:$L$1001,COLUMNS($C$61:G$61)-1,Clean_Data!$J$2:$J$1001,$B77,Clean_Data!$V$2:$V$1001,Dashboard_Data!$B$3,Clean_Data!$W$2:$W$1001,Dashboard_Data!$B$4,Clean_Data!$Z$2:$Z$1001,Dashboard_Data!$B$5,Clean_Data!$AF$2:$AF$1001,Dashboard_Data!$B$6,Clean_Data!$F$2:$F$1001,"&gt;="&amp;Dashboard_Data!$B$7,Clean_Data!$F$2:$F$1001,"&lt;="&amp;Dashboard_Data!$B$8),0)</f>
        <v>60.4</v>
      </c>
      <c r="H77" s="11">
        <f>IFERROR(SUMIFS(Clean_Data!$U$2:$U$1001,Clean_Data!$L$2:$L$1001,COLUMNS($C$61:H$61)-1,Clean_Data!$J$2:$J$1001,$B77,Clean_Data!$V$2:$V$1001,Dashboard_Data!$B$3,Clean_Data!$W$2:$W$1001,Dashboard_Data!$B$4,Clean_Data!$Z$2:$Z$1001,Dashboard_Data!$B$5,Clean_Data!$AF$2:$AF$1001,Dashboard_Data!$B$6,Clean_Data!$F$2:$F$1001,"&gt;="&amp;Dashboard_Data!$B$7,Clean_Data!$F$2:$F$1001,"&lt;="&amp;Dashboard_Data!$B$8)/COUNTIFS(Clean_Data!$L$2:$L$1001,COLUMNS($C$61:H$61)-1,Clean_Data!$J$2:$J$1001,$B77,Clean_Data!$V$2:$V$1001,Dashboard_Data!$B$3,Clean_Data!$W$2:$W$1001,Dashboard_Data!$B$4,Clean_Data!$Z$2:$Z$1001,Dashboard_Data!$B$5,Clean_Data!$AF$2:$AF$1001,Dashboard_Data!$B$6,Clean_Data!$F$2:$F$1001,"&gt;="&amp;Dashboard_Data!$B$7,Clean_Data!$F$2:$F$1001,"&lt;="&amp;Dashboard_Data!$B$8),0)</f>
        <v>68.333333333333329</v>
      </c>
      <c r="I77" s="11">
        <f>IFERROR(SUMIFS(Clean_Data!$U$2:$U$1001,Clean_Data!$L$2:$L$1001,COLUMNS($C$61:I$61)-1,Clean_Data!$J$2:$J$1001,$B77,Clean_Data!$V$2:$V$1001,Dashboard_Data!$B$3,Clean_Data!$W$2:$W$1001,Dashboard_Data!$B$4,Clean_Data!$Z$2:$Z$1001,Dashboard_Data!$B$5,Clean_Data!$AF$2:$AF$1001,Dashboard_Data!$B$6,Clean_Data!$F$2:$F$1001,"&gt;="&amp;Dashboard_Data!$B$7,Clean_Data!$F$2:$F$1001,"&lt;="&amp;Dashboard_Data!$B$8)/COUNTIFS(Clean_Data!$L$2:$L$1001,COLUMNS($C$61:I$61)-1,Clean_Data!$J$2:$J$1001,$B77,Clean_Data!$V$2:$V$1001,Dashboard_Data!$B$3,Clean_Data!$W$2:$W$1001,Dashboard_Data!$B$4,Clean_Data!$Z$2:$Z$1001,Dashboard_Data!$B$5,Clean_Data!$AF$2:$AF$1001,Dashboard_Data!$B$6,Clean_Data!$F$2:$F$1001,"&gt;="&amp;Dashboard_Data!$B$7,Clean_Data!$F$2:$F$1001,"&lt;="&amp;Dashboard_Data!$B$8),0)</f>
        <v>110</v>
      </c>
    </row>
    <row r="78" spans="2:25" x14ac:dyDescent="0.35">
      <c r="B78" s="10">
        <v>16</v>
      </c>
      <c r="C78" s="11">
        <f>IFERROR(SUMIFS(Clean_Data!$U$2:$U$1001,Clean_Data!$L$2:$L$1001,COLUMNS($C$61:C$61)-1,Clean_Data!$J$2:$J$1001,$B78,Clean_Data!$V$2:$V$1001,Dashboard_Data!$B$3,Clean_Data!$W$2:$W$1001,Dashboard_Data!$B$4,Clean_Data!$Z$2:$Z$1001,Dashboard_Data!$B$5,Clean_Data!$AF$2:$AF$1001,Dashboard_Data!$B$6,Clean_Data!$F$2:$F$1001,"&gt;="&amp;Dashboard_Data!$B$7,Clean_Data!$F$2:$F$1001,"&lt;="&amp;Dashboard_Data!$B$8)/COUNTIFS(Clean_Data!$L$2:$L$1001,COLUMNS($C$61:C$61)-1,Clean_Data!$J$2:$J$1001,$B78,Clean_Data!$V$2:$V$1001,Dashboard_Data!$B$3,Clean_Data!$W$2:$W$1001,Dashboard_Data!$B$4,Clean_Data!$Z$2:$Z$1001,Dashboard_Data!$B$5,Clean_Data!$AF$2:$AF$1001,Dashboard_Data!$B$6,Clean_Data!$F$2:$F$1001,"&gt;="&amp;Dashboard_Data!$B$7,Clean_Data!$F$2:$F$1001,"&lt;="&amp;Dashboard_Data!$B$8),0)</f>
        <v>106.57142857142857</v>
      </c>
      <c r="D78" s="11">
        <f>IFERROR(SUMIFS(Clean_Data!$U$2:$U$1001,Clean_Data!$L$2:$L$1001,COLUMNS($C$61:D$61)-1,Clean_Data!$J$2:$J$1001,$B78,Clean_Data!$V$2:$V$1001,Dashboard_Data!$B$3,Clean_Data!$W$2:$W$1001,Dashboard_Data!$B$4,Clean_Data!$Z$2:$Z$1001,Dashboard_Data!$B$5,Clean_Data!$AF$2:$AF$1001,Dashboard_Data!$B$6,Clean_Data!$F$2:$F$1001,"&gt;="&amp;Dashboard_Data!$B$7,Clean_Data!$F$2:$F$1001,"&lt;="&amp;Dashboard_Data!$B$8)/COUNTIFS(Clean_Data!$L$2:$L$1001,COLUMNS($C$61:D$61)-1,Clean_Data!$J$2:$J$1001,$B78,Clean_Data!$V$2:$V$1001,Dashboard_Data!$B$3,Clean_Data!$W$2:$W$1001,Dashboard_Data!$B$4,Clean_Data!$Z$2:$Z$1001,Dashboard_Data!$B$5,Clean_Data!$AF$2:$AF$1001,Dashboard_Data!$B$6,Clean_Data!$F$2:$F$1001,"&gt;="&amp;Dashboard_Data!$B$7,Clean_Data!$F$2:$F$1001,"&lt;="&amp;Dashboard_Data!$B$8),0)</f>
        <v>83.666666666666671</v>
      </c>
      <c r="E78" s="11">
        <f>IFERROR(SUMIFS(Clean_Data!$U$2:$U$1001,Clean_Data!$L$2:$L$1001,COLUMNS($C$61:E$61)-1,Clean_Data!$J$2:$J$1001,$B78,Clean_Data!$V$2:$V$1001,Dashboard_Data!$B$3,Clean_Data!$W$2:$W$1001,Dashboard_Data!$B$4,Clean_Data!$Z$2:$Z$1001,Dashboard_Data!$B$5,Clean_Data!$AF$2:$AF$1001,Dashboard_Data!$B$6,Clean_Data!$F$2:$F$1001,"&gt;="&amp;Dashboard_Data!$B$7,Clean_Data!$F$2:$F$1001,"&lt;="&amp;Dashboard_Data!$B$8)/COUNTIFS(Clean_Data!$L$2:$L$1001,COLUMNS($C$61:E$61)-1,Clean_Data!$J$2:$J$1001,$B78,Clean_Data!$V$2:$V$1001,Dashboard_Data!$B$3,Clean_Data!$W$2:$W$1001,Dashboard_Data!$B$4,Clean_Data!$Z$2:$Z$1001,Dashboard_Data!$B$5,Clean_Data!$AF$2:$AF$1001,Dashboard_Data!$B$6,Clean_Data!$F$2:$F$1001,"&gt;="&amp;Dashboard_Data!$B$7,Clean_Data!$F$2:$F$1001,"&lt;="&amp;Dashboard_Data!$B$8),0)</f>
        <v>80.5</v>
      </c>
      <c r="F78" s="11">
        <f>IFERROR(SUMIFS(Clean_Data!$U$2:$U$1001,Clean_Data!$L$2:$L$1001,COLUMNS($C$61:F$61)-1,Clean_Data!$J$2:$J$1001,$B78,Clean_Data!$V$2:$V$1001,Dashboard_Data!$B$3,Clean_Data!$W$2:$W$1001,Dashboard_Data!$B$4,Clean_Data!$Z$2:$Z$1001,Dashboard_Data!$B$5,Clean_Data!$AF$2:$AF$1001,Dashboard_Data!$B$6,Clean_Data!$F$2:$F$1001,"&gt;="&amp;Dashboard_Data!$B$7,Clean_Data!$F$2:$F$1001,"&lt;="&amp;Dashboard_Data!$B$8)/COUNTIFS(Clean_Data!$L$2:$L$1001,COLUMNS($C$61:F$61)-1,Clean_Data!$J$2:$J$1001,$B78,Clean_Data!$V$2:$V$1001,Dashboard_Data!$B$3,Clean_Data!$W$2:$W$1001,Dashboard_Data!$B$4,Clean_Data!$Z$2:$Z$1001,Dashboard_Data!$B$5,Clean_Data!$AF$2:$AF$1001,Dashboard_Data!$B$6,Clean_Data!$F$2:$F$1001,"&gt;="&amp;Dashboard_Data!$B$7,Clean_Data!$F$2:$F$1001,"&lt;="&amp;Dashboard_Data!$B$8),0)</f>
        <v>79.833333333333329</v>
      </c>
      <c r="G78" s="11">
        <f>IFERROR(SUMIFS(Clean_Data!$U$2:$U$1001,Clean_Data!$L$2:$L$1001,COLUMNS($C$61:G$61)-1,Clean_Data!$J$2:$J$1001,$B78,Clean_Data!$V$2:$V$1001,Dashboard_Data!$B$3,Clean_Data!$W$2:$W$1001,Dashboard_Data!$B$4,Clean_Data!$Z$2:$Z$1001,Dashboard_Data!$B$5,Clean_Data!$AF$2:$AF$1001,Dashboard_Data!$B$6,Clean_Data!$F$2:$F$1001,"&gt;="&amp;Dashboard_Data!$B$7,Clean_Data!$F$2:$F$1001,"&lt;="&amp;Dashboard_Data!$B$8)/COUNTIFS(Clean_Data!$L$2:$L$1001,COLUMNS($C$61:G$61)-1,Clean_Data!$J$2:$J$1001,$B78,Clean_Data!$V$2:$V$1001,Dashboard_Data!$B$3,Clean_Data!$W$2:$W$1001,Dashboard_Data!$B$4,Clean_Data!$Z$2:$Z$1001,Dashboard_Data!$B$5,Clean_Data!$AF$2:$AF$1001,Dashboard_Data!$B$6,Clean_Data!$F$2:$F$1001,"&gt;="&amp;Dashboard_Data!$B$7,Clean_Data!$F$2:$F$1001,"&lt;="&amp;Dashboard_Data!$B$8),0)</f>
        <v>72.833333333333329</v>
      </c>
      <c r="H78" s="11">
        <f>IFERROR(SUMIFS(Clean_Data!$U$2:$U$1001,Clean_Data!$L$2:$L$1001,COLUMNS($C$61:H$61)-1,Clean_Data!$J$2:$J$1001,$B78,Clean_Data!$V$2:$V$1001,Dashboard_Data!$B$3,Clean_Data!$W$2:$W$1001,Dashboard_Data!$B$4,Clean_Data!$Z$2:$Z$1001,Dashboard_Data!$B$5,Clean_Data!$AF$2:$AF$1001,Dashboard_Data!$B$6,Clean_Data!$F$2:$F$1001,"&gt;="&amp;Dashboard_Data!$B$7,Clean_Data!$F$2:$F$1001,"&lt;="&amp;Dashboard_Data!$B$8)/COUNTIFS(Clean_Data!$L$2:$L$1001,COLUMNS($C$61:H$61)-1,Clean_Data!$J$2:$J$1001,$B78,Clean_Data!$V$2:$V$1001,Dashboard_Data!$B$3,Clean_Data!$W$2:$W$1001,Dashboard_Data!$B$4,Clean_Data!$Z$2:$Z$1001,Dashboard_Data!$B$5,Clean_Data!$AF$2:$AF$1001,Dashboard_Data!$B$6,Clean_Data!$F$2:$F$1001,"&gt;="&amp;Dashboard_Data!$B$7,Clean_Data!$F$2:$F$1001,"&lt;="&amp;Dashboard_Data!$B$8),0)</f>
        <v>96.333333333333329</v>
      </c>
      <c r="I78" s="11">
        <f>IFERROR(SUMIFS(Clean_Data!$U$2:$U$1001,Clean_Data!$L$2:$L$1001,COLUMNS($C$61:I$61)-1,Clean_Data!$J$2:$J$1001,$B78,Clean_Data!$V$2:$V$1001,Dashboard_Data!$B$3,Clean_Data!$W$2:$W$1001,Dashboard_Data!$B$4,Clean_Data!$Z$2:$Z$1001,Dashboard_Data!$B$5,Clean_Data!$AF$2:$AF$1001,Dashboard_Data!$B$6,Clean_Data!$F$2:$F$1001,"&gt;="&amp;Dashboard_Data!$B$7,Clean_Data!$F$2:$F$1001,"&lt;="&amp;Dashboard_Data!$B$8)/COUNTIFS(Clean_Data!$L$2:$L$1001,COLUMNS($C$61:I$61)-1,Clean_Data!$J$2:$J$1001,$B78,Clean_Data!$V$2:$V$1001,Dashboard_Data!$B$3,Clean_Data!$W$2:$W$1001,Dashboard_Data!$B$4,Clean_Data!$Z$2:$Z$1001,Dashboard_Data!$B$5,Clean_Data!$AF$2:$AF$1001,Dashboard_Data!$B$6,Clean_Data!$F$2:$F$1001,"&gt;="&amp;Dashboard_Data!$B$7,Clean_Data!$F$2:$F$1001,"&lt;="&amp;Dashboard_Data!$B$8),0)</f>
        <v>100.42857142857143</v>
      </c>
    </row>
    <row r="79" spans="2:25" x14ac:dyDescent="0.35">
      <c r="B79" s="10">
        <v>17</v>
      </c>
      <c r="C79" s="11">
        <f>IFERROR(SUMIFS(Clean_Data!$U$2:$U$1001,Clean_Data!$L$2:$L$1001,COLUMNS($C$61:C$61)-1,Clean_Data!$J$2:$J$1001,$B79,Clean_Data!$V$2:$V$1001,Dashboard_Data!$B$3,Clean_Data!$W$2:$W$1001,Dashboard_Data!$B$4,Clean_Data!$Z$2:$Z$1001,Dashboard_Data!$B$5,Clean_Data!$AF$2:$AF$1001,Dashboard_Data!$B$6,Clean_Data!$F$2:$F$1001,"&gt;="&amp;Dashboard_Data!$B$7,Clean_Data!$F$2:$F$1001,"&lt;="&amp;Dashboard_Data!$B$8)/COUNTIFS(Clean_Data!$L$2:$L$1001,COLUMNS($C$61:C$61)-1,Clean_Data!$J$2:$J$1001,$B79,Clean_Data!$V$2:$V$1001,Dashboard_Data!$B$3,Clean_Data!$W$2:$W$1001,Dashboard_Data!$B$4,Clean_Data!$Z$2:$Z$1001,Dashboard_Data!$B$5,Clean_Data!$AF$2:$AF$1001,Dashboard_Data!$B$6,Clean_Data!$F$2:$F$1001,"&gt;="&amp;Dashboard_Data!$B$7,Clean_Data!$F$2:$F$1001,"&lt;="&amp;Dashboard_Data!$B$8),0)</f>
        <v>87.142857142857139</v>
      </c>
      <c r="D79" s="11">
        <f>IFERROR(SUMIFS(Clean_Data!$U$2:$U$1001,Clean_Data!$L$2:$L$1001,COLUMNS($C$61:D$61)-1,Clean_Data!$J$2:$J$1001,$B79,Clean_Data!$V$2:$V$1001,Dashboard_Data!$B$3,Clean_Data!$W$2:$W$1001,Dashboard_Data!$B$4,Clean_Data!$Z$2:$Z$1001,Dashboard_Data!$B$5,Clean_Data!$AF$2:$AF$1001,Dashboard_Data!$B$6,Clean_Data!$F$2:$F$1001,"&gt;="&amp;Dashboard_Data!$B$7,Clean_Data!$F$2:$F$1001,"&lt;="&amp;Dashboard_Data!$B$8)/COUNTIFS(Clean_Data!$L$2:$L$1001,COLUMNS($C$61:D$61)-1,Clean_Data!$J$2:$J$1001,$B79,Clean_Data!$V$2:$V$1001,Dashboard_Data!$B$3,Clean_Data!$W$2:$W$1001,Dashboard_Data!$B$4,Clean_Data!$Z$2:$Z$1001,Dashboard_Data!$B$5,Clean_Data!$AF$2:$AF$1001,Dashboard_Data!$B$6,Clean_Data!$F$2:$F$1001,"&gt;="&amp;Dashboard_Data!$B$7,Clean_Data!$F$2:$F$1001,"&lt;="&amp;Dashboard_Data!$B$8),0)</f>
        <v>161.16666666666666</v>
      </c>
      <c r="E79" s="11">
        <f>IFERROR(SUMIFS(Clean_Data!$U$2:$U$1001,Clean_Data!$L$2:$L$1001,COLUMNS($C$61:E$61)-1,Clean_Data!$J$2:$J$1001,$B79,Clean_Data!$V$2:$V$1001,Dashboard_Data!$B$3,Clean_Data!$W$2:$W$1001,Dashboard_Data!$B$4,Clean_Data!$Z$2:$Z$1001,Dashboard_Data!$B$5,Clean_Data!$AF$2:$AF$1001,Dashboard_Data!$B$6,Clean_Data!$F$2:$F$1001,"&gt;="&amp;Dashboard_Data!$B$7,Clean_Data!$F$2:$F$1001,"&lt;="&amp;Dashboard_Data!$B$8)/COUNTIFS(Clean_Data!$L$2:$L$1001,COLUMNS($C$61:E$61)-1,Clean_Data!$J$2:$J$1001,$B79,Clean_Data!$V$2:$V$1001,Dashboard_Data!$B$3,Clean_Data!$W$2:$W$1001,Dashboard_Data!$B$4,Clean_Data!$Z$2:$Z$1001,Dashboard_Data!$B$5,Clean_Data!$AF$2:$AF$1001,Dashboard_Data!$B$6,Clean_Data!$F$2:$F$1001,"&gt;="&amp;Dashboard_Data!$B$7,Clean_Data!$F$2:$F$1001,"&lt;="&amp;Dashboard_Data!$B$8),0)</f>
        <v>174.5</v>
      </c>
      <c r="F79" s="11">
        <f>IFERROR(SUMIFS(Clean_Data!$U$2:$U$1001,Clean_Data!$L$2:$L$1001,COLUMNS($C$61:F$61)-1,Clean_Data!$J$2:$J$1001,$B79,Clean_Data!$V$2:$V$1001,Dashboard_Data!$B$3,Clean_Data!$W$2:$W$1001,Dashboard_Data!$B$4,Clean_Data!$Z$2:$Z$1001,Dashboard_Data!$B$5,Clean_Data!$AF$2:$AF$1001,Dashboard_Data!$B$6,Clean_Data!$F$2:$F$1001,"&gt;="&amp;Dashboard_Data!$B$7,Clean_Data!$F$2:$F$1001,"&lt;="&amp;Dashboard_Data!$B$8)/COUNTIFS(Clean_Data!$L$2:$L$1001,COLUMNS($C$61:F$61)-1,Clean_Data!$J$2:$J$1001,$B79,Clean_Data!$V$2:$V$1001,Dashboard_Data!$B$3,Clean_Data!$W$2:$W$1001,Dashboard_Data!$B$4,Clean_Data!$Z$2:$Z$1001,Dashboard_Data!$B$5,Clean_Data!$AF$2:$AF$1001,Dashboard_Data!$B$6,Clean_Data!$F$2:$F$1001,"&gt;="&amp;Dashboard_Data!$B$7,Clean_Data!$F$2:$F$1001,"&lt;="&amp;Dashboard_Data!$B$8),0)</f>
        <v>151.33333333333334</v>
      </c>
      <c r="G79" s="11">
        <f>IFERROR(SUMIFS(Clean_Data!$U$2:$U$1001,Clean_Data!$L$2:$L$1001,COLUMNS($C$61:G$61)-1,Clean_Data!$J$2:$J$1001,$B79,Clean_Data!$V$2:$V$1001,Dashboard_Data!$B$3,Clean_Data!$W$2:$W$1001,Dashboard_Data!$B$4,Clean_Data!$Z$2:$Z$1001,Dashboard_Data!$B$5,Clean_Data!$AF$2:$AF$1001,Dashboard_Data!$B$6,Clean_Data!$F$2:$F$1001,"&gt;="&amp;Dashboard_Data!$B$7,Clean_Data!$F$2:$F$1001,"&lt;="&amp;Dashboard_Data!$B$8)/COUNTIFS(Clean_Data!$L$2:$L$1001,COLUMNS($C$61:G$61)-1,Clean_Data!$J$2:$J$1001,$B79,Clean_Data!$V$2:$V$1001,Dashboard_Data!$B$3,Clean_Data!$W$2:$W$1001,Dashboard_Data!$B$4,Clean_Data!$Z$2:$Z$1001,Dashboard_Data!$B$5,Clean_Data!$AF$2:$AF$1001,Dashboard_Data!$B$6,Clean_Data!$F$2:$F$1001,"&gt;="&amp;Dashboard_Data!$B$7,Clean_Data!$F$2:$F$1001,"&lt;="&amp;Dashboard_Data!$B$8),0)</f>
        <v>162.16666666666666</v>
      </c>
      <c r="H79" s="11">
        <f>IFERROR(SUMIFS(Clean_Data!$U$2:$U$1001,Clean_Data!$L$2:$L$1001,COLUMNS($C$61:H$61)-1,Clean_Data!$J$2:$J$1001,$B79,Clean_Data!$V$2:$V$1001,Dashboard_Data!$B$3,Clean_Data!$W$2:$W$1001,Dashboard_Data!$B$4,Clean_Data!$Z$2:$Z$1001,Dashboard_Data!$B$5,Clean_Data!$AF$2:$AF$1001,Dashboard_Data!$B$6,Clean_Data!$F$2:$F$1001,"&gt;="&amp;Dashboard_Data!$B$7,Clean_Data!$F$2:$F$1001,"&lt;="&amp;Dashboard_Data!$B$8)/COUNTIFS(Clean_Data!$L$2:$L$1001,COLUMNS($C$61:H$61)-1,Clean_Data!$J$2:$J$1001,$B79,Clean_Data!$V$2:$V$1001,Dashboard_Data!$B$3,Clean_Data!$W$2:$W$1001,Dashboard_Data!$B$4,Clean_Data!$Z$2:$Z$1001,Dashboard_Data!$B$5,Clean_Data!$AF$2:$AF$1001,Dashboard_Data!$B$6,Clean_Data!$F$2:$F$1001,"&gt;="&amp;Dashboard_Data!$B$7,Clean_Data!$F$2:$F$1001,"&lt;="&amp;Dashboard_Data!$B$8),0)</f>
        <v>178.66666666666666</v>
      </c>
      <c r="I79" s="11">
        <f>IFERROR(SUMIFS(Clean_Data!$U$2:$U$1001,Clean_Data!$L$2:$L$1001,COLUMNS($C$61:I$61)-1,Clean_Data!$J$2:$J$1001,$B79,Clean_Data!$V$2:$V$1001,Dashboard_Data!$B$3,Clean_Data!$W$2:$W$1001,Dashboard_Data!$B$4,Clean_Data!$Z$2:$Z$1001,Dashboard_Data!$B$5,Clean_Data!$AF$2:$AF$1001,Dashboard_Data!$B$6,Clean_Data!$F$2:$F$1001,"&gt;="&amp;Dashboard_Data!$B$7,Clean_Data!$F$2:$F$1001,"&lt;="&amp;Dashboard_Data!$B$8)/COUNTIFS(Clean_Data!$L$2:$L$1001,COLUMNS($C$61:I$61)-1,Clean_Data!$J$2:$J$1001,$B79,Clean_Data!$V$2:$V$1001,Dashboard_Data!$B$3,Clean_Data!$W$2:$W$1001,Dashboard_Data!$B$4,Clean_Data!$Z$2:$Z$1001,Dashboard_Data!$B$5,Clean_Data!$AF$2:$AF$1001,Dashboard_Data!$B$6,Clean_Data!$F$2:$F$1001,"&gt;="&amp;Dashboard_Data!$B$7,Clean_Data!$F$2:$F$1001,"&lt;="&amp;Dashboard_Data!$B$8),0)</f>
        <v>84.571428571428569</v>
      </c>
    </row>
    <row r="80" spans="2:25" x14ac:dyDescent="0.35">
      <c r="B80" s="10">
        <v>18</v>
      </c>
      <c r="C80" s="11">
        <f>IFERROR(SUMIFS(Clean_Data!$U$2:$U$1001,Clean_Data!$L$2:$L$1001,COLUMNS($C$61:C$61)-1,Clean_Data!$J$2:$J$1001,$B80,Clean_Data!$V$2:$V$1001,Dashboard_Data!$B$3,Clean_Data!$W$2:$W$1001,Dashboard_Data!$B$4,Clean_Data!$Z$2:$Z$1001,Dashboard_Data!$B$5,Clean_Data!$AF$2:$AF$1001,Dashboard_Data!$B$6,Clean_Data!$F$2:$F$1001,"&gt;="&amp;Dashboard_Data!$B$7,Clean_Data!$F$2:$F$1001,"&lt;="&amp;Dashboard_Data!$B$8)/COUNTIFS(Clean_Data!$L$2:$L$1001,COLUMNS($C$61:C$61)-1,Clean_Data!$J$2:$J$1001,$B80,Clean_Data!$V$2:$V$1001,Dashboard_Data!$B$3,Clean_Data!$W$2:$W$1001,Dashboard_Data!$B$4,Clean_Data!$Z$2:$Z$1001,Dashboard_Data!$B$5,Clean_Data!$AF$2:$AF$1001,Dashboard_Data!$B$6,Clean_Data!$F$2:$F$1001,"&gt;="&amp;Dashboard_Data!$B$7,Clean_Data!$F$2:$F$1001,"&lt;="&amp;Dashboard_Data!$B$8),0)</f>
        <v>65</v>
      </c>
      <c r="D80" s="11">
        <f>IFERROR(SUMIFS(Clean_Data!$U$2:$U$1001,Clean_Data!$L$2:$L$1001,COLUMNS($C$61:D$61)-1,Clean_Data!$J$2:$J$1001,$B80,Clean_Data!$V$2:$V$1001,Dashboard_Data!$B$3,Clean_Data!$W$2:$W$1001,Dashboard_Data!$B$4,Clean_Data!$Z$2:$Z$1001,Dashboard_Data!$B$5,Clean_Data!$AF$2:$AF$1001,Dashboard_Data!$B$6,Clean_Data!$F$2:$F$1001,"&gt;="&amp;Dashboard_Data!$B$7,Clean_Data!$F$2:$F$1001,"&lt;="&amp;Dashboard_Data!$B$8)/COUNTIFS(Clean_Data!$L$2:$L$1001,COLUMNS($C$61:D$61)-1,Clean_Data!$J$2:$J$1001,$B80,Clean_Data!$V$2:$V$1001,Dashboard_Data!$B$3,Clean_Data!$W$2:$W$1001,Dashboard_Data!$B$4,Clean_Data!$Z$2:$Z$1001,Dashboard_Data!$B$5,Clean_Data!$AF$2:$AF$1001,Dashboard_Data!$B$6,Clean_Data!$F$2:$F$1001,"&gt;="&amp;Dashboard_Data!$B$7,Clean_Data!$F$2:$F$1001,"&lt;="&amp;Dashboard_Data!$B$8),0)</f>
        <v>148</v>
      </c>
      <c r="E80" s="11">
        <f>IFERROR(SUMIFS(Clean_Data!$U$2:$U$1001,Clean_Data!$L$2:$L$1001,COLUMNS($C$61:E$61)-1,Clean_Data!$J$2:$J$1001,$B80,Clean_Data!$V$2:$V$1001,Dashboard_Data!$B$3,Clean_Data!$W$2:$W$1001,Dashboard_Data!$B$4,Clean_Data!$Z$2:$Z$1001,Dashboard_Data!$B$5,Clean_Data!$AF$2:$AF$1001,Dashboard_Data!$B$6,Clean_Data!$F$2:$F$1001,"&gt;="&amp;Dashboard_Data!$B$7,Clean_Data!$F$2:$F$1001,"&lt;="&amp;Dashboard_Data!$B$8)/COUNTIFS(Clean_Data!$L$2:$L$1001,COLUMNS($C$61:E$61)-1,Clean_Data!$J$2:$J$1001,$B80,Clean_Data!$V$2:$V$1001,Dashboard_Data!$B$3,Clean_Data!$W$2:$W$1001,Dashboard_Data!$B$4,Clean_Data!$Z$2:$Z$1001,Dashboard_Data!$B$5,Clean_Data!$AF$2:$AF$1001,Dashboard_Data!$B$6,Clean_Data!$F$2:$F$1001,"&gt;="&amp;Dashboard_Data!$B$7,Clean_Data!$F$2:$F$1001,"&lt;="&amp;Dashboard_Data!$B$8),0)</f>
        <v>159.16666666666666</v>
      </c>
      <c r="F80" s="11">
        <f>IFERROR(SUMIFS(Clean_Data!$U$2:$U$1001,Clean_Data!$L$2:$L$1001,COLUMNS($C$61:F$61)-1,Clean_Data!$J$2:$J$1001,$B80,Clean_Data!$V$2:$V$1001,Dashboard_Data!$B$3,Clean_Data!$W$2:$W$1001,Dashboard_Data!$B$4,Clean_Data!$Z$2:$Z$1001,Dashboard_Data!$B$5,Clean_Data!$AF$2:$AF$1001,Dashboard_Data!$B$6,Clean_Data!$F$2:$F$1001,"&gt;="&amp;Dashboard_Data!$B$7,Clean_Data!$F$2:$F$1001,"&lt;="&amp;Dashboard_Data!$B$8)/COUNTIFS(Clean_Data!$L$2:$L$1001,COLUMNS($C$61:F$61)-1,Clean_Data!$J$2:$J$1001,$B80,Clean_Data!$V$2:$V$1001,Dashboard_Data!$B$3,Clean_Data!$W$2:$W$1001,Dashboard_Data!$B$4,Clean_Data!$Z$2:$Z$1001,Dashboard_Data!$B$5,Clean_Data!$AF$2:$AF$1001,Dashboard_Data!$B$6,Clean_Data!$F$2:$F$1001,"&gt;="&amp;Dashboard_Data!$B$7,Clean_Data!$F$2:$F$1001,"&lt;="&amp;Dashboard_Data!$B$8),0)</f>
        <v>163.80000000000001</v>
      </c>
      <c r="G80" s="11">
        <f>IFERROR(SUMIFS(Clean_Data!$U$2:$U$1001,Clean_Data!$L$2:$L$1001,COLUMNS($C$61:G$61)-1,Clean_Data!$J$2:$J$1001,$B80,Clean_Data!$V$2:$V$1001,Dashboard_Data!$B$3,Clean_Data!$W$2:$W$1001,Dashboard_Data!$B$4,Clean_Data!$Z$2:$Z$1001,Dashboard_Data!$B$5,Clean_Data!$AF$2:$AF$1001,Dashboard_Data!$B$6,Clean_Data!$F$2:$F$1001,"&gt;="&amp;Dashboard_Data!$B$7,Clean_Data!$F$2:$F$1001,"&lt;="&amp;Dashboard_Data!$B$8)/COUNTIFS(Clean_Data!$L$2:$L$1001,COLUMNS($C$61:G$61)-1,Clean_Data!$J$2:$J$1001,$B80,Clean_Data!$V$2:$V$1001,Dashboard_Data!$B$3,Clean_Data!$W$2:$W$1001,Dashboard_Data!$B$4,Clean_Data!$Z$2:$Z$1001,Dashboard_Data!$B$5,Clean_Data!$AF$2:$AF$1001,Dashboard_Data!$B$6,Clean_Data!$F$2:$F$1001,"&gt;="&amp;Dashboard_Data!$B$7,Clean_Data!$F$2:$F$1001,"&lt;="&amp;Dashboard_Data!$B$8),0)</f>
        <v>150.5</v>
      </c>
      <c r="H80" s="11">
        <f>IFERROR(SUMIFS(Clean_Data!$U$2:$U$1001,Clean_Data!$L$2:$L$1001,COLUMNS($C$61:H$61)-1,Clean_Data!$J$2:$J$1001,$B80,Clean_Data!$V$2:$V$1001,Dashboard_Data!$B$3,Clean_Data!$W$2:$W$1001,Dashboard_Data!$B$4,Clean_Data!$Z$2:$Z$1001,Dashboard_Data!$B$5,Clean_Data!$AF$2:$AF$1001,Dashboard_Data!$B$6,Clean_Data!$F$2:$F$1001,"&gt;="&amp;Dashboard_Data!$B$7,Clean_Data!$F$2:$F$1001,"&lt;="&amp;Dashboard_Data!$B$8)/COUNTIFS(Clean_Data!$L$2:$L$1001,COLUMNS($C$61:H$61)-1,Clean_Data!$J$2:$J$1001,$B80,Clean_Data!$V$2:$V$1001,Dashboard_Data!$B$3,Clean_Data!$W$2:$W$1001,Dashboard_Data!$B$4,Clean_Data!$Z$2:$Z$1001,Dashboard_Data!$B$5,Clean_Data!$AF$2:$AF$1001,Dashboard_Data!$B$6,Clean_Data!$F$2:$F$1001,"&gt;="&amp;Dashboard_Data!$B$7,Clean_Data!$F$2:$F$1001,"&lt;="&amp;Dashboard_Data!$B$8),0)</f>
        <v>136.66666666666666</v>
      </c>
      <c r="I80" s="11">
        <f>IFERROR(SUMIFS(Clean_Data!$U$2:$U$1001,Clean_Data!$L$2:$L$1001,COLUMNS($C$61:I$61)-1,Clean_Data!$J$2:$J$1001,$B80,Clean_Data!$V$2:$V$1001,Dashboard_Data!$B$3,Clean_Data!$W$2:$W$1001,Dashboard_Data!$B$4,Clean_Data!$Z$2:$Z$1001,Dashboard_Data!$B$5,Clean_Data!$AF$2:$AF$1001,Dashboard_Data!$B$6,Clean_Data!$F$2:$F$1001,"&gt;="&amp;Dashboard_Data!$B$7,Clean_Data!$F$2:$F$1001,"&lt;="&amp;Dashboard_Data!$B$8)/COUNTIFS(Clean_Data!$L$2:$L$1001,COLUMNS($C$61:I$61)-1,Clean_Data!$J$2:$J$1001,$B80,Clean_Data!$V$2:$V$1001,Dashboard_Data!$B$3,Clean_Data!$W$2:$W$1001,Dashboard_Data!$B$4,Clean_Data!$Z$2:$Z$1001,Dashboard_Data!$B$5,Clean_Data!$AF$2:$AF$1001,Dashboard_Data!$B$6,Clean_Data!$F$2:$F$1001,"&gt;="&amp;Dashboard_Data!$B$7,Clean_Data!$F$2:$F$1001,"&lt;="&amp;Dashboard_Data!$B$8),0)</f>
        <v>63.285714285714285</v>
      </c>
    </row>
    <row r="81" spans="2:9" x14ac:dyDescent="0.35">
      <c r="B81" s="10">
        <v>19</v>
      </c>
      <c r="C81" s="11">
        <f>IFERROR(SUMIFS(Clean_Data!$U$2:$U$1001,Clean_Data!$L$2:$L$1001,COLUMNS($C$61:C$61)-1,Clean_Data!$J$2:$J$1001,$B81,Clean_Data!$V$2:$V$1001,Dashboard_Data!$B$3,Clean_Data!$W$2:$W$1001,Dashboard_Data!$B$4,Clean_Data!$Z$2:$Z$1001,Dashboard_Data!$B$5,Clean_Data!$AF$2:$AF$1001,Dashboard_Data!$B$6,Clean_Data!$F$2:$F$1001,"&gt;="&amp;Dashboard_Data!$B$7,Clean_Data!$F$2:$F$1001,"&lt;="&amp;Dashboard_Data!$B$8)/COUNTIFS(Clean_Data!$L$2:$L$1001,COLUMNS($C$61:C$61)-1,Clean_Data!$J$2:$J$1001,$B81,Clean_Data!$V$2:$V$1001,Dashboard_Data!$B$3,Clean_Data!$W$2:$W$1001,Dashboard_Data!$B$4,Clean_Data!$Z$2:$Z$1001,Dashboard_Data!$B$5,Clean_Data!$AF$2:$AF$1001,Dashboard_Data!$B$6,Clean_Data!$F$2:$F$1001,"&gt;="&amp;Dashboard_Data!$B$7,Clean_Data!$F$2:$F$1001,"&lt;="&amp;Dashboard_Data!$B$8),0)</f>
        <v>45.571428571428569</v>
      </c>
      <c r="D81" s="11">
        <f>IFERROR(SUMIFS(Clean_Data!$U$2:$U$1001,Clean_Data!$L$2:$L$1001,COLUMNS($C$61:D$61)-1,Clean_Data!$J$2:$J$1001,$B81,Clean_Data!$V$2:$V$1001,Dashboard_Data!$B$3,Clean_Data!$W$2:$W$1001,Dashboard_Data!$B$4,Clean_Data!$Z$2:$Z$1001,Dashboard_Data!$B$5,Clean_Data!$AF$2:$AF$1001,Dashboard_Data!$B$6,Clean_Data!$F$2:$F$1001,"&gt;="&amp;Dashboard_Data!$B$7,Clean_Data!$F$2:$F$1001,"&lt;="&amp;Dashboard_Data!$B$8)/COUNTIFS(Clean_Data!$L$2:$L$1001,COLUMNS($C$61:D$61)-1,Clean_Data!$J$2:$J$1001,$B81,Clean_Data!$V$2:$V$1001,Dashboard_Data!$B$3,Clean_Data!$W$2:$W$1001,Dashboard_Data!$B$4,Clean_Data!$Z$2:$Z$1001,Dashboard_Data!$B$5,Clean_Data!$AF$2:$AF$1001,Dashboard_Data!$B$6,Clean_Data!$F$2:$F$1001,"&gt;="&amp;Dashboard_Data!$B$7,Clean_Data!$F$2:$F$1001,"&lt;="&amp;Dashboard_Data!$B$8),0)</f>
        <v>101.66666666666667</v>
      </c>
      <c r="E81" s="11">
        <f>IFERROR(SUMIFS(Clean_Data!$U$2:$U$1001,Clean_Data!$L$2:$L$1001,COLUMNS($C$61:E$61)-1,Clean_Data!$J$2:$J$1001,$B81,Clean_Data!$V$2:$V$1001,Dashboard_Data!$B$3,Clean_Data!$W$2:$W$1001,Dashboard_Data!$B$4,Clean_Data!$Z$2:$Z$1001,Dashboard_Data!$B$5,Clean_Data!$AF$2:$AF$1001,Dashboard_Data!$B$6,Clean_Data!$F$2:$F$1001,"&gt;="&amp;Dashboard_Data!$B$7,Clean_Data!$F$2:$F$1001,"&lt;="&amp;Dashboard_Data!$B$8)/COUNTIFS(Clean_Data!$L$2:$L$1001,COLUMNS($C$61:E$61)-1,Clean_Data!$J$2:$J$1001,$B81,Clean_Data!$V$2:$V$1001,Dashboard_Data!$B$3,Clean_Data!$W$2:$W$1001,Dashboard_Data!$B$4,Clean_Data!$Z$2:$Z$1001,Dashboard_Data!$B$5,Clean_Data!$AF$2:$AF$1001,Dashboard_Data!$B$6,Clean_Data!$F$2:$F$1001,"&gt;="&amp;Dashboard_Data!$B$7,Clean_Data!$F$2:$F$1001,"&lt;="&amp;Dashboard_Data!$B$8),0)</f>
        <v>102.83333333333333</v>
      </c>
      <c r="F81" s="11">
        <f>IFERROR(SUMIFS(Clean_Data!$U$2:$U$1001,Clean_Data!$L$2:$L$1001,COLUMNS($C$61:F$61)-1,Clean_Data!$J$2:$J$1001,$B81,Clean_Data!$V$2:$V$1001,Dashboard_Data!$B$3,Clean_Data!$W$2:$W$1001,Dashboard_Data!$B$4,Clean_Data!$Z$2:$Z$1001,Dashboard_Data!$B$5,Clean_Data!$AF$2:$AF$1001,Dashboard_Data!$B$6,Clean_Data!$F$2:$F$1001,"&gt;="&amp;Dashboard_Data!$B$7,Clean_Data!$F$2:$F$1001,"&lt;="&amp;Dashboard_Data!$B$8)/COUNTIFS(Clean_Data!$L$2:$L$1001,COLUMNS($C$61:F$61)-1,Clean_Data!$J$2:$J$1001,$B81,Clean_Data!$V$2:$V$1001,Dashboard_Data!$B$3,Clean_Data!$W$2:$W$1001,Dashboard_Data!$B$4,Clean_Data!$Z$2:$Z$1001,Dashboard_Data!$B$5,Clean_Data!$AF$2:$AF$1001,Dashboard_Data!$B$6,Clean_Data!$F$2:$F$1001,"&gt;="&amp;Dashboard_Data!$B$7,Clean_Data!$F$2:$F$1001,"&lt;="&amp;Dashboard_Data!$B$8),0)</f>
        <v>101.2</v>
      </c>
      <c r="G81" s="11">
        <f>IFERROR(SUMIFS(Clean_Data!$U$2:$U$1001,Clean_Data!$L$2:$L$1001,COLUMNS($C$61:G$61)-1,Clean_Data!$J$2:$J$1001,$B81,Clean_Data!$V$2:$V$1001,Dashboard_Data!$B$3,Clean_Data!$W$2:$W$1001,Dashboard_Data!$B$4,Clean_Data!$Z$2:$Z$1001,Dashboard_Data!$B$5,Clean_Data!$AF$2:$AF$1001,Dashboard_Data!$B$6,Clean_Data!$F$2:$F$1001,"&gt;="&amp;Dashboard_Data!$B$7,Clean_Data!$F$2:$F$1001,"&lt;="&amp;Dashboard_Data!$B$8)/COUNTIFS(Clean_Data!$L$2:$L$1001,COLUMNS($C$61:G$61)-1,Clean_Data!$J$2:$J$1001,$B81,Clean_Data!$V$2:$V$1001,Dashboard_Data!$B$3,Clean_Data!$W$2:$W$1001,Dashboard_Data!$B$4,Clean_Data!$Z$2:$Z$1001,Dashboard_Data!$B$5,Clean_Data!$AF$2:$AF$1001,Dashboard_Data!$B$6,Clean_Data!$F$2:$F$1001,"&gt;="&amp;Dashboard_Data!$B$7,Clean_Data!$F$2:$F$1001,"&lt;="&amp;Dashboard_Data!$B$8),0)</f>
        <v>108.33333333333333</v>
      </c>
      <c r="H81" s="11">
        <f>IFERROR(SUMIFS(Clean_Data!$U$2:$U$1001,Clean_Data!$L$2:$L$1001,COLUMNS($C$61:H$61)-1,Clean_Data!$J$2:$J$1001,$B81,Clean_Data!$V$2:$V$1001,Dashboard_Data!$B$3,Clean_Data!$W$2:$W$1001,Dashboard_Data!$B$4,Clean_Data!$Z$2:$Z$1001,Dashboard_Data!$B$5,Clean_Data!$AF$2:$AF$1001,Dashboard_Data!$B$6,Clean_Data!$F$2:$F$1001,"&gt;="&amp;Dashboard_Data!$B$7,Clean_Data!$F$2:$F$1001,"&lt;="&amp;Dashboard_Data!$B$8)/COUNTIFS(Clean_Data!$L$2:$L$1001,COLUMNS($C$61:H$61)-1,Clean_Data!$J$2:$J$1001,$B81,Clean_Data!$V$2:$V$1001,Dashboard_Data!$B$3,Clean_Data!$W$2:$W$1001,Dashboard_Data!$B$4,Clean_Data!$Z$2:$Z$1001,Dashboard_Data!$B$5,Clean_Data!$AF$2:$AF$1001,Dashboard_Data!$B$6,Clean_Data!$F$2:$F$1001,"&gt;="&amp;Dashboard_Data!$B$7,Clean_Data!$F$2:$F$1001,"&lt;="&amp;Dashboard_Data!$B$8),0)</f>
        <v>96</v>
      </c>
      <c r="I81" s="11">
        <f>IFERROR(SUMIFS(Clean_Data!$U$2:$U$1001,Clean_Data!$L$2:$L$1001,COLUMNS($C$61:I$61)-1,Clean_Data!$J$2:$J$1001,$B81,Clean_Data!$V$2:$V$1001,Dashboard_Data!$B$3,Clean_Data!$W$2:$W$1001,Dashboard_Data!$B$4,Clean_Data!$Z$2:$Z$1001,Dashboard_Data!$B$5,Clean_Data!$AF$2:$AF$1001,Dashboard_Data!$B$6,Clean_Data!$F$2:$F$1001,"&gt;="&amp;Dashboard_Data!$B$7,Clean_Data!$F$2:$F$1001,"&lt;="&amp;Dashboard_Data!$B$8)/COUNTIFS(Clean_Data!$L$2:$L$1001,COLUMNS($C$61:I$61)-1,Clean_Data!$J$2:$J$1001,$B81,Clean_Data!$V$2:$V$1001,Dashboard_Data!$B$3,Clean_Data!$W$2:$W$1001,Dashboard_Data!$B$4,Clean_Data!$Z$2:$Z$1001,Dashboard_Data!$B$5,Clean_Data!$AF$2:$AF$1001,Dashboard_Data!$B$6,Clean_Data!$F$2:$F$1001,"&gt;="&amp;Dashboard_Data!$B$7,Clean_Data!$F$2:$F$1001,"&lt;="&amp;Dashboard_Data!$B$8),0)</f>
        <v>54.714285714285715</v>
      </c>
    </row>
    <row r="82" spans="2:9" x14ac:dyDescent="0.35">
      <c r="B82" s="10">
        <v>20</v>
      </c>
      <c r="C82" s="11">
        <f>IFERROR(SUMIFS(Clean_Data!$U$2:$U$1001,Clean_Data!$L$2:$L$1001,COLUMNS($C$61:C$61)-1,Clean_Data!$J$2:$J$1001,$B82,Clean_Data!$V$2:$V$1001,Dashboard_Data!$B$3,Clean_Data!$W$2:$W$1001,Dashboard_Data!$B$4,Clean_Data!$Z$2:$Z$1001,Dashboard_Data!$B$5,Clean_Data!$AF$2:$AF$1001,Dashboard_Data!$B$6,Clean_Data!$F$2:$F$1001,"&gt;="&amp;Dashboard_Data!$B$7,Clean_Data!$F$2:$F$1001,"&lt;="&amp;Dashboard_Data!$B$8)/COUNTIFS(Clean_Data!$L$2:$L$1001,COLUMNS($C$61:C$61)-1,Clean_Data!$J$2:$J$1001,$B82,Clean_Data!$V$2:$V$1001,Dashboard_Data!$B$3,Clean_Data!$W$2:$W$1001,Dashboard_Data!$B$4,Clean_Data!$Z$2:$Z$1001,Dashboard_Data!$B$5,Clean_Data!$AF$2:$AF$1001,Dashboard_Data!$B$6,Clean_Data!$F$2:$F$1001,"&gt;="&amp;Dashboard_Data!$B$7,Clean_Data!$F$2:$F$1001,"&lt;="&amp;Dashboard_Data!$B$8),0)</f>
        <v>36.857142857142854</v>
      </c>
      <c r="D82" s="11">
        <f>IFERROR(SUMIFS(Clean_Data!$U$2:$U$1001,Clean_Data!$L$2:$L$1001,COLUMNS($C$61:D$61)-1,Clean_Data!$J$2:$J$1001,$B82,Clean_Data!$V$2:$V$1001,Dashboard_Data!$B$3,Clean_Data!$W$2:$W$1001,Dashboard_Data!$B$4,Clean_Data!$Z$2:$Z$1001,Dashboard_Data!$B$5,Clean_Data!$AF$2:$AF$1001,Dashboard_Data!$B$6,Clean_Data!$F$2:$F$1001,"&gt;="&amp;Dashboard_Data!$B$7,Clean_Data!$F$2:$F$1001,"&lt;="&amp;Dashboard_Data!$B$8)/COUNTIFS(Clean_Data!$L$2:$L$1001,COLUMNS($C$61:D$61)-1,Clean_Data!$J$2:$J$1001,$B82,Clean_Data!$V$2:$V$1001,Dashboard_Data!$B$3,Clean_Data!$W$2:$W$1001,Dashboard_Data!$B$4,Clean_Data!$Z$2:$Z$1001,Dashboard_Data!$B$5,Clean_Data!$AF$2:$AF$1001,Dashboard_Data!$B$6,Clean_Data!$F$2:$F$1001,"&gt;="&amp;Dashboard_Data!$B$7,Clean_Data!$F$2:$F$1001,"&lt;="&amp;Dashboard_Data!$B$8),0)</f>
        <v>67.666666666666671</v>
      </c>
      <c r="E82" s="11">
        <f>IFERROR(SUMIFS(Clean_Data!$U$2:$U$1001,Clean_Data!$L$2:$L$1001,COLUMNS($C$61:E$61)-1,Clean_Data!$J$2:$J$1001,$B82,Clean_Data!$V$2:$V$1001,Dashboard_Data!$B$3,Clean_Data!$W$2:$W$1001,Dashboard_Data!$B$4,Clean_Data!$Z$2:$Z$1001,Dashboard_Data!$B$5,Clean_Data!$AF$2:$AF$1001,Dashboard_Data!$B$6,Clean_Data!$F$2:$F$1001,"&gt;="&amp;Dashboard_Data!$B$7,Clean_Data!$F$2:$F$1001,"&lt;="&amp;Dashboard_Data!$B$8)/COUNTIFS(Clean_Data!$L$2:$L$1001,COLUMNS($C$61:E$61)-1,Clean_Data!$J$2:$J$1001,$B82,Clean_Data!$V$2:$V$1001,Dashboard_Data!$B$3,Clean_Data!$W$2:$W$1001,Dashboard_Data!$B$4,Clean_Data!$Z$2:$Z$1001,Dashboard_Data!$B$5,Clean_Data!$AF$2:$AF$1001,Dashboard_Data!$B$6,Clean_Data!$F$2:$F$1001,"&gt;="&amp;Dashboard_Data!$B$7,Clean_Data!$F$2:$F$1001,"&lt;="&amp;Dashboard_Data!$B$8),0)</f>
        <v>69.666666666666671</v>
      </c>
      <c r="F82" s="11">
        <f>IFERROR(SUMIFS(Clean_Data!$U$2:$U$1001,Clean_Data!$L$2:$L$1001,COLUMNS($C$61:F$61)-1,Clean_Data!$J$2:$J$1001,$B82,Clean_Data!$V$2:$V$1001,Dashboard_Data!$B$3,Clean_Data!$W$2:$W$1001,Dashboard_Data!$B$4,Clean_Data!$Z$2:$Z$1001,Dashboard_Data!$B$5,Clean_Data!$AF$2:$AF$1001,Dashboard_Data!$B$6,Clean_Data!$F$2:$F$1001,"&gt;="&amp;Dashboard_Data!$B$7,Clean_Data!$F$2:$F$1001,"&lt;="&amp;Dashboard_Data!$B$8)/COUNTIFS(Clean_Data!$L$2:$L$1001,COLUMNS($C$61:F$61)-1,Clean_Data!$J$2:$J$1001,$B82,Clean_Data!$V$2:$V$1001,Dashboard_Data!$B$3,Clean_Data!$W$2:$W$1001,Dashboard_Data!$B$4,Clean_Data!$Z$2:$Z$1001,Dashboard_Data!$B$5,Clean_Data!$AF$2:$AF$1001,Dashboard_Data!$B$6,Clean_Data!$F$2:$F$1001,"&gt;="&amp;Dashboard_Data!$B$7,Clean_Data!$F$2:$F$1001,"&lt;="&amp;Dashboard_Data!$B$8),0)</f>
        <v>76</v>
      </c>
      <c r="G82" s="11">
        <f>IFERROR(SUMIFS(Clean_Data!$U$2:$U$1001,Clean_Data!$L$2:$L$1001,COLUMNS($C$61:G$61)-1,Clean_Data!$J$2:$J$1001,$B82,Clean_Data!$V$2:$V$1001,Dashboard_Data!$B$3,Clean_Data!$W$2:$W$1001,Dashboard_Data!$B$4,Clean_Data!$Z$2:$Z$1001,Dashboard_Data!$B$5,Clean_Data!$AF$2:$AF$1001,Dashboard_Data!$B$6,Clean_Data!$F$2:$F$1001,"&gt;="&amp;Dashboard_Data!$B$7,Clean_Data!$F$2:$F$1001,"&lt;="&amp;Dashboard_Data!$B$8)/COUNTIFS(Clean_Data!$L$2:$L$1001,COLUMNS($C$61:G$61)-1,Clean_Data!$J$2:$J$1001,$B82,Clean_Data!$V$2:$V$1001,Dashboard_Data!$B$3,Clean_Data!$W$2:$W$1001,Dashboard_Data!$B$4,Clean_Data!$Z$2:$Z$1001,Dashboard_Data!$B$5,Clean_Data!$AF$2:$AF$1001,Dashboard_Data!$B$6,Clean_Data!$F$2:$F$1001,"&gt;="&amp;Dashboard_Data!$B$7,Clean_Data!$F$2:$F$1001,"&lt;="&amp;Dashboard_Data!$B$8),0)</f>
        <v>87.333333333333329</v>
      </c>
      <c r="H82" s="11">
        <f>IFERROR(SUMIFS(Clean_Data!$U$2:$U$1001,Clean_Data!$L$2:$L$1001,COLUMNS($C$61:H$61)-1,Clean_Data!$J$2:$J$1001,$B82,Clean_Data!$V$2:$V$1001,Dashboard_Data!$B$3,Clean_Data!$W$2:$W$1001,Dashboard_Data!$B$4,Clean_Data!$Z$2:$Z$1001,Dashboard_Data!$B$5,Clean_Data!$AF$2:$AF$1001,Dashboard_Data!$B$6,Clean_Data!$F$2:$F$1001,"&gt;="&amp;Dashboard_Data!$B$7,Clean_Data!$F$2:$F$1001,"&lt;="&amp;Dashboard_Data!$B$8)/COUNTIFS(Clean_Data!$L$2:$L$1001,COLUMNS($C$61:H$61)-1,Clean_Data!$J$2:$J$1001,$B82,Clean_Data!$V$2:$V$1001,Dashboard_Data!$B$3,Clean_Data!$W$2:$W$1001,Dashboard_Data!$B$4,Clean_Data!$Z$2:$Z$1001,Dashboard_Data!$B$5,Clean_Data!$AF$2:$AF$1001,Dashboard_Data!$B$6,Clean_Data!$F$2:$F$1001,"&gt;="&amp;Dashboard_Data!$B$7,Clean_Data!$F$2:$F$1001,"&lt;="&amp;Dashboard_Data!$B$8),0)</f>
        <v>61.333333333333336</v>
      </c>
      <c r="I82" s="11">
        <f>IFERROR(SUMIFS(Clean_Data!$U$2:$U$1001,Clean_Data!$L$2:$L$1001,COLUMNS($C$61:I$61)-1,Clean_Data!$J$2:$J$1001,$B82,Clean_Data!$V$2:$V$1001,Dashboard_Data!$B$3,Clean_Data!$W$2:$W$1001,Dashboard_Data!$B$4,Clean_Data!$Z$2:$Z$1001,Dashboard_Data!$B$5,Clean_Data!$AF$2:$AF$1001,Dashboard_Data!$B$6,Clean_Data!$F$2:$F$1001,"&gt;="&amp;Dashboard_Data!$B$7,Clean_Data!$F$2:$F$1001,"&lt;="&amp;Dashboard_Data!$B$8)/COUNTIFS(Clean_Data!$L$2:$L$1001,COLUMNS($C$61:I$61)-1,Clean_Data!$J$2:$J$1001,$B82,Clean_Data!$V$2:$V$1001,Dashboard_Data!$B$3,Clean_Data!$W$2:$W$1001,Dashboard_Data!$B$4,Clean_Data!$Z$2:$Z$1001,Dashboard_Data!$B$5,Clean_Data!$AF$2:$AF$1001,Dashboard_Data!$B$6,Clean_Data!$F$2:$F$1001,"&gt;="&amp;Dashboard_Data!$B$7,Clean_Data!$F$2:$F$1001,"&lt;="&amp;Dashboard_Data!$B$8),0)</f>
        <v>43.142857142857146</v>
      </c>
    </row>
    <row r="83" spans="2:9" x14ac:dyDescent="0.35">
      <c r="B83" s="10">
        <v>21</v>
      </c>
      <c r="C83" s="11">
        <f>IFERROR(SUMIFS(Clean_Data!$U$2:$U$1001,Clean_Data!$L$2:$L$1001,COLUMNS($C$61:C$61)-1,Clean_Data!$J$2:$J$1001,$B83,Clean_Data!$V$2:$V$1001,Dashboard_Data!$B$3,Clean_Data!$W$2:$W$1001,Dashboard_Data!$B$4,Clean_Data!$Z$2:$Z$1001,Dashboard_Data!$B$5,Clean_Data!$AF$2:$AF$1001,Dashboard_Data!$B$6,Clean_Data!$F$2:$F$1001,"&gt;="&amp;Dashboard_Data!$B$7,Clean_Data!$F$2:$F$1001,"&lt;="&amp;Dashboard_Data!$B$8)/COUNTIFS(Clean_Data!$L$2:$L$1001,COLUMNS($C$61:C$61)-1,Clean_Data!$J$2:$J$1001,$B83,Clean_Data!$V$2:$V$1001,Dashboard_Data!$B$3,Clean_Data!$W$2:$W$1001,Dashboard_Data!$B$4,Clean_Data!$Z$2:$Z$1001,Dashboard_Data!$B$5,Clean_Data!$AF$2:$AF$1001,Dashboard_Data!$B$6,Clean_Data!$F$2:$F$1001,"&gt;="&amp;Dashboard_Data!$B$7,Clean_Data!$F$2:$F$1001,"&lt;="&amp;Dashboard_Data!$B$8),0)</f>
        <v>30</v>
      </c>
      <c r="D83" s="11">
        <f>IFERROR(SUMIFS(Clean_Data!$U$2:$U$1001,Clean_Data!$L$2:$L$1001,COLUMNS($C$61:D$61)-1,Clean_Data!$J$2:$J$1001,$B83,Clean_Data!$V$2:$V$1001,Dashboard_Data!$B$3,Clean_Data!$W$2:$W$1001,Dashboard_Data!$B$4,Clean_Data!$Z$2:$Z$1001,Dashboard_Data!$B$5,Clean_Data!$AF$2:$AF$1001,Dashboard_Data!$B$6,Clean_Data!$F$2:$F$1001,"&gt;="&amp;Dashboard_Data!$B$7,Clean_Data!$F$2:$F$1001,"&lt;="&amp;Dashboard_Data!$B$8)/COUNTIFS(Clean_Data!$L$2:$L$1001,COLUMNS($C$61:D$61)-1,Clean_Data!$J$2:$J$1001,$B83,Clean_Data!$V$2:$V$1001,Dashboard_Data!$B$3,Clean_Data!$W$2:$W$1001,Dashboard_Data!$B$4,Clean_Data!$Z$2:$Z$1001,Dashboard_Data!$B$5,Clean_Data!$AF$2:$AF$1001,Dashboard_Data!$B$6,Clean_Data!$F$2:$F$1001,"&gt;="&amp;Dashboard_Data!$B$7,Clean_Data!$F$2:$F$1001,"&lt;="&amp;Dashboard_Data!$B$8),0)</f>
        <v>51.666666666666664</v>
      </c>
      <c r="E83" s="11">
        <f>IFERROR(SUMIFS(Clean_Data!$U$2:$U$1001,Clean_Data!$L$2:$L$1001,COLUMNS($C$61:E$61)-1,Clean_Data!$J$2:$J$1001,$B83,Clean_Data!$V$2:$V$1001,Dashboard_Data!$B$3,Clean_Data!$W$2:$W$1001,Dashboard_Data!$B$4,Clean_Data!$Z$2:$Z$1001,Dashboard_Data!$B$5,Clean_Data!$AF$2:$AF$1001,Dashboard_Data!$B$6,Clean_Data!$F$2:$F$1001,"&gt;="&amp;Dashboard_Data!$B$7,Clean_Data!$F$2:$F$1001,"&lt;="&amp;Dashboard_Data!$B$8)/COUNTIFS(Clean_Data!$L$2:$L$1001,COLUMNS($C$61:E$61)-1,Clean_Data!$J$2:$J$1001,$B83,Clean_Data!$V$2:$V$1001,Dashboard_Data!$B$3,Clean_Data!$W$2:$W$1001,Dashboard_Data!$B$4,Clean_Data!$Z$2:$Z$1001,Dashboard_Data!$B$5,Clean_Data!$AF$2:$AF$1001,Dashboard_Data!$B$6,Clean_Data!$F$2:$F$1001,"&gt;="&amp;Dashboard_Data!$B$7,Clean_Data!$F$2:$F$1001,"&lt;="&amp;Dashboard_Data!$B$8),0)</f>
        <v>45.333333333333336</v>
      </c>
      <c r="F83" s="11">
        <f>IFERROR(SUMIFS(Clean_Data!$U$2:$U$1001,Clean_Data!$L$2:$L$1001,COLUMNS($C$61:F$61)-1,Clean_Data!$J$2:$J$1001,$B83,Clean_Data!$V$2:$V$1001,Dashboard_Data!$B$3,Clean_Data!$W$2:$W$1001,Dashboard_Data!$B$4,Clean_Data!$Z$2:$Z$1001,Dashboard_Data!$B$5,Clean_Data!$AF$2:$AF$1001,Dashboard_Data!$B$6,Clean_Data!$F$2:$F$1001,"&gt;="&amp;Dashboard_Data!$B$7,Clean_Data!$F$2:$F$1001,"&lt;="&amp;Dashboard_Data!$B$8)/COUNTIFS(Clean_Data!$L$2:$L$1001,COLUMNS($C$61:F$61)-1,Clean_Data!$J$2:$J$1001,$B83,Clean_Data!$V$2:$V$1001,Dashboard_Data!$B$3,Clean_Data!$W$2:$W$1001,Dashboard_Data!$B$4,Clean_Data!$Z$2:$Z$1001,Dashboard_Data!$B$5,Clean_Data!$AF$2:$AF$1001,Dashboard_Data!$B$6,Clean_Data!$F$2:$F$1001,"&gt;="&amp;Dashboard_Data!$B$7,Clean_Data!$F$2:$F$1001,"&lt;="&amp;Dashboard_Data!$B$8),0)</f>
        <v>61</v>
      </c>
      <c r="G83" s="11">
        <f>IFERROR(SUMIFS(Clean_Data!$U$2:$U$1001,Clean_Data!$L$2:$L$1001,COLUMNS($C$61:G$61)-1,Clean_Data!$J$2:$J$1001,$B83,Clean_Data!$V$2:$V$1001,Dashboard_Data!$B$3,Clean_Data!$W$2:$W$1001,Dashboard_Data!$B$4,Clean_Data!$Z$2:$Z$1001,Dashboard_Data!$B$5,Clean_Data!$AF$2:$AF$1001,Dashboard_Data!$B$6,Clean_Data!$F$2:$F$1001,"&gt;="&amp;Dashboard_Data!$B$7,Clean_Data!$F$2:$F$1001,"&lt;="&amp;Dashboard_Data!$B$8)/COUNTIFS(Clean_Data!$L$2:$L$1001,COLUMNS($C$61:G$61)-1,Clean_Data!$J$2:$J$1001,$B83,Clean_Data!$V$2:$V$1001,Dashboard_Data!$B$3,Clean_Data!$W$2:$W$1001,Dashboard_Data!$B$4,Clean_Data!$Z$2:$Z$1001,Dashboard_Data!$B$5,Clean_Data!$AF$2:$AF$1001,Dashboard_Data!$B$6,Clean_Data!$F$2:$F$1001,"&gt;="&amp;Dashboard_Data!$B$7,Clean_Data!$F$2:$F$1001,"&lt;="&amp;Dashboard_Data!$B$8),0)</f>
        <v>51.5</v>
      </c>
      <c r="H83" s="11">
        <f>IFERROR(SUMIFS(Clean_Data!$U$2:$U$1001,Clean_Data!$L$2:$L$1001,COLUMNS($C$61:H$61)-1,Clean_Data!$J$2:$J$1001,$B83,Clean_Data!$V$2:$V$1001,Dashboard_Data!$B$3,Clean_Data!$W$2:$W$1001,Dashboard_Data!$B$4,Clean_Data!$Z$2:$Z$1001,Dashboard_Data!$B$5,Clean_Data!$AF$2:$AF$1001,Dashboard_Data!$B$6,Clean_Data!$F$2:$F$1001,"&gt;="&amp;Dashboard_Data!$B$7,Clean_Data!$F$2:$F$1001,"&lt;="&amp;Dashboard_Data!$B$8)/COUNTIFS(Clean_Data!$L$2:$L$1001,COLUMNS($C$61:H$61)-1,Clean_Data!$J$2:$J$1001,$B83,Clean_Data!$V$2:$V$1001,Dashboard_Data!$B$3,Clean_Data!$W$2:$W$1001,Dashboard_Data!$B$4,Clean_Data!$Z$2:$Z$1001,Dashboard_Data!$B$5,Clean_Data!$AF$2:$AF$1001,Dashboard_Data!$B$6,Clean_Data!$F$2:$F$1001,"&gt;="&amp;Dashboard_Data!$B$7,Clean_Data!$F$2:$F$1001,"&lt;="&amp;Dashboard_Data!$B$8),0)</f>
        <v>46.666666666666664</v>
      </c>
      <c r="I83" s="11">
        <f>IFERROR(SUMIFS(Clean_Data!$U$2:$U$1001,Clean_Data!$L$2:$L$1001,COLUMNS($C$61:I$61)-1,Clean_Data!$J$2:$J$1001,$B83,Clean_Data!$V$2:$V$1001,Dashboard_Data!$B$3,Clean_Data!$W$2:$W$1001,Dashboard_Data!$B$4,Clean_Data!$Z$2:$Z$1001,Dashboard_Data!$B$5,Clean_Data!$AF$2:$AF$1001,Dashboard_Data!$B$6,Clean_Data!$F$2:$F$1001,"&gt;="&amp;Dashboard_Data!$B$7,Clean_Data!$F$2:$F$1001,"&lt;="&amp;Dashboard_Data!$B$8)/COUNTIFS(Clean_Data!$L$2:$L$1001,COLUMNS($C$61:I$61)-1,Clean_Data!$J$2:$J$1001,$B83,Clean_Data!$V$2:$V$1001,Dashboard_Data!$B$3,Clean_Data!$W$2:$W$1001,Dashboard_Data!$B$4,Clean_Data!$Z$2:$Z$1001,Dashboard_Data!$B$5,Clean_Data!$AF$2:$AF$1001,Dashboard_Data!$B$6,Clean_Data!$F$2:$F$1001,"&gt;="&amp;Dashboard_Data!$B$7,Clean_Data!$F$2:$F$1001,"&lt;="&amp;Dashboard_Data!$B$8),0)</f>
        <v>44.285714285714285</v>
      </c>
    </row>
    <row r="84" spans="2:9" x14ac:dyDescent="0.35">
      <c r="B84" s="10">
        <v>22</v>
      </c>
      <c r="C84" s="11">
        <f>IFERROR(SUMIFS(Clean_Data!$U$2:$U$1001,Clean_Data!$L$2:$L$1001,COLUMNS($C$61:C$61)-1,Clean_Data!$J$2:$J$1001,$B84,Clean_Data!$V$2:$V$1001,Dashboard_Data!$B$3,Clean_Data!$W$2:$W$1001,Dashboard_Data!$B$4,Clean_Data!$Z$2:$Z$1001,Dashboard_Data!$B$5,Clean_Data!$AF$2:$AF$1001,Dashboard_Data!$B$6,Clean_Data!$F$2:$F$1001,"&gt;="&amp;Dashboard_Data!$B$7,Clean_Data!$F$2:$F$1001,"&lt;="&amp;Dashboard_Data!$B$8)/COUNTIFS(Clean_Data!$L$2:$L$1001,COLUMNS($C$61:C$61)-1,Clean_Data!$J$2:$J$1001,$B84,Clean_Data!$V$2:$V$1001,Dashboard_Data!$B$3,Clean_Data!$W$2:$W$1001,Dashboard_Data!$B$4,Clean_Data!$Z$2:$Z$1001,Dashboard_Data!$B$5,Clean_Data!$AF$2:$AF$1001,Dashboard_Data!$B$6,Clean_Data!$F$2:$F$1001,"&gt;="&amp;Dashboard_Data!$B$7,Clean_Data!$F$2:$F$1001,"&lt;="&amp;Dashboard_Data!$B$8),0)</f>
        <v>27.428571428571427</v>
      </c>
      <c r="D84" s="11">
        <f>IFERROR(SUMIFS(Clean_Data!$U$2:$U$1001,Clean_Data!$L$2:$L$1001,COLUMNS($C$61:D$61)-1,Clean_Data!$J$2:$J$1001,$B84,Clean_Data!$V$2:$V$1001,Dashboard_Data!$B$3,Clean_Data!$W$2:$W$1001,Dashboard_Data!$B$4,Clean_Data!$Z$2:$Z$1001,Dashboard_Data!$B$5,Clean_Data!$AF$2:$AF$1001,Dashboard_Data!$B$6,Clean_Data!$F$2:$F$1001,"&gt;="&amp;Dashboard_Data!$B$7,Clean_Data!$F$2:$F$1001,"&lt;="&amp;Dashboard_Data!$B$8)/COUNTIFS(Clean_Data!$L$2:$L$1001,COLUMNS($C$61:D$61)-1,Clean_Data!$J$2:$J$1001,$B84,Clean_Data!$V$2:$V$1001,Dashboard_Data!$B$3,Clean_Data!$W$2:$W$1001,Dashboard_Data!$B$4,Clean_Data!$Z$2:$Z$1001,Dashboard_Data!$B$5,Clean_Data!$AF$2:$AF$1001,Dashboard_Data!$B$6,Clean_Data!$F$2:$F$1001,"&gt;="&amp;Dashboard_Data!$B$7,Clean_Data!$F$2:$F$1001,"&lt;="&amp;Dashboard_Data!$B$8),0)</f>
        <v>27.166666666666668</v>
      </c>
      <c r="E84" s="11">
        <f>IFERROR(SUMIFS(Clean_Data!$U$2:$U$1001,Clean_Data!$L$2:$L$1001,COLUMNS($C$61:E$61)-1,Clean_Data!$J$2:$J$1001,$B84,Clean_Data!$V$2:$V$1001,Dashboard_Data!$B$3,Clean_Data!$W$2:$W$1001,Dashboard_Data!$B$4,Clean_Data!$Z$2:$Z$1001,Dashboard_Data!$B$5,Clean_Data!$AF$2:$AF$1001,Dashboard_Data!$B$6,Clean_Data!$F$2:$F$1001,"&gt;="&amp;Dashboard_Data!$B$7,Clean_Data!$F$2:$F$1001,"&lt;="&amp;Dashboard_Data!$B$8)/COUNTIFS(Clean_Data!$L$2:$L$1001,COLUMNS($C$61:E$61)-1,Clean_Data!$J$2:$J$1001,$B84,Clean_Data!$V$2:$V$1001,Dashboard_Data!$B$3,Clean_Data!$W$2:$W$1001,Dashboard_Data!$B$4,Clean_Data!$Z$2:$Z$1001,Dashboard_Data!$B$5,Clean_Data!$AF$2:$AF$1001,Dashboard_Data!$B$6,Clean_Data!$F$2:$F$1001,"&gt;="&amp;Dashboard_Data!$B$7,Clean_Data!$F$2:$F$1001,"&lt;="&amp;Dashboard_Data!$B$8),0)</f>
        <v>35.833333333333336</v>
      </c>
      <c r="F84" s="11">
        <f>IFERROR(SUMIFS(Clean_Data!$U$2:$U$1001,Clean_Data!$L$2:$L$1001,COLUMNS($C$61:F$61)-1,Clean_Data!$J$2:$J$1001,$B84,Clean_Data!$V$2:$V$1001,Dashboard_Data!$B$3,Clean_Data!$W$2:$W$1001,Dashboard_Data!$B$4,Clean_Data!$Z$2:$Z$1001,Dashboard_Data!$B$5,Clean_Data!$AF$2:$AF$1001,Dashboard_Data!$B$6,Clean_Data!$F$2:$F$1001,"&gt;="&amp;Dashboard_Data!$B$7,Clean_Data!$F$2:$F$1001,"&lt;="&amp;Dashboard_Data!$B$8)/COUNTIFS(Clean_Data!$L$2:$L$1001,COLUMNS($C$61:F$61)-1,Clean_Data!$J$2:$J$1001,$B84,Clean_Data!$V$2:$V$1001,Dashboard_Data!$B$3,Clean_Data!$W$2:$W$1001,Dashboard_Data!$B$4,Clean_Data!$Z$2:$Z$1001,Dashboard_Data!$B$5,Clean_Data!$AF$2:$AF$1001,Dashboard_Data!$B$6,Clean_Data!$F$2:$F$1001,"&gt;="&amp;Dashboard_Data!$B$7,Clean_Data!$F$2:$F$1001,"&lt;="&amp;Dashboard_Data!$B$8),0)</f>
        <v>44</v>
      </c>
      <c r="G84" s="11">
        <f>IFERROR(SUMIFS(Clean_Data!$U$2:$U$1001,Clean_Data!$L$2:$L$1001,COLUMNS($C$61:G$61)-1,Clean_Data!$J$2:$J$1001,$B84,Clean_Data!$V$2:$V$1001,Dashboard_Data!$B$3,Clean_Data!$W$2:$W$1001,Dashboard_Data!$B$4,Clean_Data!$Z$2:$Z$1001,Dashboard_Data!$B$5,Clean_Data!$AF$2:$AF$1001,Dashboard_Data!$B$6,Clean_Data!$F$2:$F$1001,"&gt;="&amp;Dashboard_Data!$B$7,Clean_Data!$F$2:$F$1001,"&lt;="&amp;Dashboard_Data!$B$8)/COUNTIFS(Clean_Data!$L$2:$L$1001,COLUMNS($C$61:G$61)-1,Clean_Data!$J$2:$J$1001,$B84,Clean_Data!$V$2:$V$1001,Dashboard_Data!$B$3,Clean_Data!$W$2:$W$1001,Dashboard_Data!$B$4,Clean_Data!$Z$2:$Z$1001,Dashboard_Data!$B$5,Clean_Data!$AF$2:$AF$1001,Dashboard_Data!$B$6,Clean_Data!$F$2:$F$1001,"&gt;="&amp;Dashboard_Data!$B$7,Clean_Data!$F$2:$F$1001,"&lt;="&amp;Dashboard_Data!$B$8),0)</f>
        <v>42.833333333333336</v>
      </c>
      <c r="H84" s="11">
        <f>IFERROR(SUMIFS(Clean_Data!$U$2:$U$1001,Clean_Data!$L$2:$L$1001,COLUMNS($C$61:H$61)-1,Clean_Data!$J$2:$J$1001,$B84,Clean_Data!$V$2:$V$1001,Dashboard_Data!$B$3,Clean_Data!$W$2:$W$1001,Dashboard_Data!$B$4,Clean_Data!$Z$2:$Z$1001,Dashboard_Data!$B$5,Clean_Data!$AF$2:$AF$1001,Dashboard_Data!$B$6,Clean_Data!$F$2:$F$1001,"&gt;="&amp;Dashboard_Data!$B$7,Clean_Data!$F$2:$F$1001,"&lt;="&amp;Dashboard_Data!$B$8)/COUNTIFS(Clean_Data!$L$2:$L$1001,COLUMNS($C$61:H$61)-1,Clean_Data!$J$2:$J$1001,$B84,Clean_Data!$V$2:$V$1001,Dashboard_Data!$B$3,Clean_Data!$W$2:$W$1001,Dashboard_Data!$B$4,Clean_Data!$Z$2:$Z$1001,Dashboard_Data!$B$5,Clean_Data!$AF$2:$AF$1001,Dashboard_Data!$B$6,Clean_Data!$F$2:$F$1001,"&gt;="&amp;Dashboard_Data!$B$7,Clean_Data!$F$2:$F$1001,"&lt;="&amp;Dashboard_Data!$B$8),0)</f>
        <v>36.833333333333336</v>
      </c>
      <c r="I84" s="11">
        <f>IFERROR(SUMIFS(Clean_Data!$U$2:$U$1001,Clean_Data!$L$2:$L$1001,COLUMNS($C$61:I$61)-1,Clean_Data!$J$2:$J$1001,$B84,Clean_Data!$V$2:$V$1001,Dashboard_Data!$B$3,Clean_Data!$W$2:$W$1001,Dashboard_Data!$B$4,Clean_Data!$Z$2:$Z$1001,Dashboard_Data!$B$5,Clean_Data!$AF$2:$AF$1001,Dashboard_Data!$B$6,Clean_Data!$F$2:$F$1001,"&gt;="&amp;Dashboard_Data!$B$7,Clean_Data!$F$2:$F$1001,"&lt;="&amp;Dashboard_Data!$B$8)/COUNTIFS(Clean_Data!$L$2:$L$1001,COLUMNS($C$61:I$61)-1,Clean_Data!$J$2:$J$1001,$B84,Clean_Data!$V$2:$V$1001,Dashboard_Data!$B$3,Clean_Data!$W$2:$W$1001,Dashboard_Data!$B$4,Clean_Data!$Z$2:$Z$1001,Dashboard_Data!$B$5,Clean_Data!$AF$2:$AF$1001,Dashboard_Data!$B$6,Clean_Data!$F$2:$F$1001,"&gt;="&amp;Dashboard_Data!$B$7,Clean_Data!$F$2:$F$1001,"&lt;="&amp;Dashboard_Data!$B$8),0)</f>
        <v>34.285714285714285</v>
      </c>
    </row>
    <row r="85" spans="2:9" x14ac:dyDescent="0.35">
      <c r="B85" s="10">
        <v>23</v>
      </c>
      <c r="C85" s="11">
        <f>IFERROR(SUMIFS(Clean_Data!$U$2:$U$1001,Clean_Data!$L$2:$L$1001,COLUMNS($C$61:C$61)-1,Clean_Data!$J$2:$J$1001,$B85,Clean_Data!$V$2:$V$1001,Dashboard_Data!$B$3,Clean_Data!$W$2:$W$1001,Dashboard_Data!$B$4,Clean_Data!$Z$2:$Z$1001,Dashboard_Data!$B$5,Clean_Data!$AF$2:$AF$1001,Dashboard_Data!$B$6,Clean_Data!$F$2:$F$1001,"&gt;="&amp;Dashboard_Data!$B$7,Clean_Data!$F$2:$F$1001,"&lt;="&amp;Dashboard_Data!$B$8)/COUNTIFS(Clean_Data!$L$2:$L$1001,COLUMNS($C$61:C$61)-1,Clean_Data!$J$2:$J$1001,$B85,Clean_Data!$V$2:$V$1001,Dashboard_Data!$B$3,Clean_Data!$W$2:$W$1001,Dashboard_Data!$B$4,Clean_Data!$Z$2:$Z$1001,Dashboard_Data!$B$5,Clean_Data!$AF$2:$AF$1001,Dashboard_Data!$B$6,Clean_Data!$F$2:$F$1001,"&gt;="&amp;Dashboard_Data!$B$7,Clean_Data!$F$2:$F$1001,"&lt;="&amp;Dashboard_Data!$B$8),0)</f>
        <v>19.142857142857142</v>
      </c>
      <c r="D85" s="11">
        <f>IFERROR(SUMIFS(Clean_Data!$U$2:$U$1001,Clean_Data!$L$2:$L$1001,COLUMNS($C$61:D$61)-1,Clean_Data!$J$2:$J$1001,$B85,Clean_Data!$V$2:$V$1001,Dashboard_Data!$B$3,Clean_Data!$W$2:$W$1001,Dashboard_Data!$B$4,Clean_Data!$Z$2:$Z$1001,Dashboard_Data!$B$5,Clean_Data!$AF$2:$AF$1001,Dashboard_Data!$B$6,Clean_Data!$F$2:$F$1001,"&gt;="&amp;Dashboard_Data!$B$7,Clean_Data!$F$2:$F$1001,"&lt;="&amp;Dashboard_Data!$B$8)/COUNTIFS(Clean_Data!$L$2:$L$1001,COLUMNS($C$61:D$61)-1,Clean_Data!$J$2:$J$1001,$B85,Clean_Data!$V$2:$V$1001,Dashboard_Data!$B$3,Clean_Data!$W$2:$W$1001,Dashboard_Data!$B$4,Clean_Data!$Z$2:$Z$1001,Dashboard_Data!$B$5,Clean_Data!$AF$2:$AF$1001,Dashboard_Data!$B$6,Clean_Data!$F$2:$F$1001,"&gt;="&amp;Dashboard_Data!$B$7,Clean_Data!$F$2:$F$1001,"&lt;="&amp;Dashboard_Data!$B$8),0)</f>
        <v>16.666666666666668</v>
      </c>
      <c r="E85" s="11">
        <f>IFERROR(SUMIFS(Clean_Data!$U$2:$U$1001,Clean_Data!$L$2:$L$1001,COLUMNS($C$61:E$61)-1,Clean_Data!$J$2:$J$1001,$B85,Clean_Data!$V$2:$V$1001,Dashboard_Data!$B$3,Clean_Data!$W$2:$W$1001,Dashboard_Data!$B$4,Clean_Data!$Z$2:$Z$1001,Dashboard_Data!$B$5,Clean_Data!$AF$2:$AF$1001,Dashboard_Data!$B$6,Clean_Data!$F$2:$F$1001,"&gt;="&amp;Dashboard_Data!$B$7,Clean_Data!$F$2:$F$1001,"&lt;="&amp;Dashboard_Data!$B$8)/COUNTIFS(Clean_Data!$L$2:$L$1001,COLUMNS($C$61:E$61)-1,Clean_Data!$J$2:$J$1001,$B85,Clean_Data!$V$2:$V$1001,Dashboard_Data!$B$3,Clean_Data!$W$2:$W$1001,Dashboard_Data!$B$4,Clean_Data!$Z$2:$Z$1001,Dashboard_Data!$B$5,Clean_Data!$AF$2:$AF$1001,Dashboard_Data!$B$6,Clean_Data!$F$2:$F$1001,"&gt;="&amp;Dashboard_Data!$B$7,Clean_Data!$F$2:$F$1001,"&lt;="&amp;Dashboard_Data!$B$8),0)</f>
        <v>19.666666666666668</v>
      </c>
      <c r="F85" s="11">
        <f>IFERROR(SUMIFS(Clean_Data!$U$2:$U$1001,Clean_Data!$L$2:$L$1001,COLUMNS($C$61:F$61)-1,Clean_Data!$J$2:$J$1001,$B85,Clean_Data!$V$2:$V$1001,Dashboard_Data!$B$3,Clean_Data!$W$2:$W$1001,Dashboard_Data!$B$4,Clean_Data!$Z$2:$Z$1001,Dashboard_Data!$B$5,Clean_Data!$AF$2:$AF$1001,Dashboard_Data!$B$6,Clean_Data!$F$2:$F$1001,"&gt;="&amp;Dashboard_Data!$B$7,Clean_Data!$F$2:$F$1001,"&lt;="&amp;Dashboard_Data!$B$8)/COUNTIFS(Clean_Data!$L$2:$L$1001,COLUMNS($C$61:F$61)-1,Clean_Data!$J$2:$J$1001,$B85,Clean_Data!$V$2:$V$1001,Dashboard_Data!$B$3,Clean_Data!$W$2:$W$1001,Dashboard_Data!$B$4,Clean_Data!$Z$2:$Z$1001,Dashboard_Data!$B$5,Clean_Data!$AF$2:$AF$1001,Dashboard_Data!$B$6,Clean_Data!$F$2:$F$1001,"&gt;="&amp;Dashboard_Data!$B$7,Clean_Data!$F$2:$F$1001,"&lt;="&amp;Dashboard_Data!$B$8),0)</f>
        <v>27.2</v>
      </c>
      <c r="G85" s="11">
        <f>IFERROR(SUMIFS(Clean_Data!$U$2:$U$1001,Clean_Data!$L$2:$L$1001,COLUMNS($C$61:G$61)-1,Clean_Data!$J$2:$J$1001,$B85,Clean_Data!$V$2:$V$1001,Dashboard_Data!$B$3,Clean_Data!$W$2:$W$1001,Dashboard_Data!$B$4,Clean_Data!$Z$2:$Z$1001,Dashboard_Data!$B$5,Clean_Data!$AF$2:$AF$1001,Dashboard_Data!$B$6,Clean_Data!$F$2:$F$1001,"&gt;="&amp;Dashboard_Data!$B$7,Clean_Data!$F$2:$F$1001,"&lt;="&amp;Dashboard_Data!$B$8)/COUNTIFS(Clean_Data!$L$2:$L$1001,COLUMNS($C$61:G$61)-1,Clean_Data!$J$2:$J$1001,$B85,Clean_Data!$V$2:$V$1001,Dashboard_Data!$B$3,Clean_Data!$W$2:$W$1001,Dashboard_Data!$B$4,Clean_Data!$Z$2:$Z$1001,Dashboard_Data!$B$5,Clean_Data!$AF$2:$AF$1001,Dashboard_Data!$B$6,Clean_Data!$F$2:$F$1001,"&gt;="&amp;Dashboard_Data!$B$7,Clean_Data!$F$2:$F$1001,"&lt;="&amp;Dashboard_Data!$B$8),0)</f>
        <v>26.166666666666668</v>
      </c>
      <c r="H85" s="11">
        <f>IFERROR(SUMIFS(Clean_Data!$U$2:$U$1001,Clean_Data!$L$2:$L$1001,COLUMNS($C$61:H$61)-1,Clean_Data!$J$2:$J$1001,$B85,Clean_Data!$V$2:$V$1001,Dashboard_Data!$B$3,Clean_Data!$W$2:$W$1001,Dashboard_Data!$B$4,Clean_Data!$Z$2:$Z$1001,Dashboard_Data!$B$5,Clean_Data!$AF$2:$AF$1001,Dashboard_Data!$B$6,Clean_Data!$F$2:$F$1001,"&gt;="&amp;Dashboard_Data!$B$7,Clean_Data!$F$2:$F$1001,"&lt;="&amp;Dashboard_Data!$B$8)/COUNTIFS(Clean_Data!$L$2:$L$1001,COLUMNS($C$61:H$61)-1,Clean_Data!$J$2:$J$1001,$B85,Clean_Data!$V$2:$V$1001,Dashboard_Data!$B$3,Clean_Data!$W$2:$W$1001,Dashboard_Data!$B$4,Clean_Data!$Z$2:$Z$1001,Dashboard_Data!$B$5,Clean_Data!$AF$2:$AF$1001,Dashboard_Data!$B$6,Clean_Data!$F$2:$F$1001,"&gt;="&amp;Dashboard_Data!$B$7,Clean_Data!$F$2:$F$1001,"&lt;="&amp;Dashboard_Data!$B$8),0)</f>
        <v>29.333333333333332</v>
      </c>
      <c r="I85" s="11">
        <f>IFERROR(SUMIFS(Clean_Data!$U$2:$U$1001,Clean_Data!$L$2:$L$1001,COLUMNS($C$61:I$61)-1,Clean_Data!$J$2:$J$1001,$B85,Clean_Data!$V$2:$V$1001,Dashboard_Data!$B$3,Clean_Data!$W$2:$W$1001,Dashboard_Data!$B$4,Clean_Data!$Z$2:$Z$1001,Dashboard_Data!$B$5,Clean_Data!$AF$2:$AF$1001,Dashboard_Data!$B$6,Clean_Data!$F$2:$F$1001,"&gt;="&amp;Dashboard_Data!$B$7,Clean_Data!$F$2:$F$1001,"&lt;="&amp;Dashboard_Data!$B$8)/COUNTIFS(Clean_Data!$L$2:$L$1001,COLUMNS($C$61:I$61)-1,Clean_Data!$J$2:$J$1001,$B85,Clean_Data!$V$2:$V$1001,Dashboard_Data!$B$3,Clean_Data!$W$2:$W$1001,Dashboard_Data!$B$4,Clean_Data!$Z$2:$Z$1001,Dashboard_Data!$B$5,Clean_Data!$AF$2:$AF$1001,Dashboard_Data!$B$6,Clean_Data!$F$2:$F$1001,"&gt;="&amp;Dashboard_Data!$B$7,Clean_Data!$F$2:$F$1001,"&lt;="&amp;Dashboard_Data!$B$8),0)</f>
        <v>37.428571428571431</v>
      </c>
    </row>
  </sheetData>
  <mergeCells count="33">
    <mergeCell ref="B1:Y1"/>
    <mergeCell ref="B2:Y2"/>
    <mergeCell ref="B4:E4"/>
    <mergeCell ref="F4:I4"/>
    <mergeCell ref="J4:M4"/>
    <mergeCell ref="N4:Q4"/>
    <mergeCell ref="R4:U4"/>
    <mergeCell ref="V4:Y4"/>
    <mergeCell ref="V5:Y5"/>
    <mergeCell ref="B6:Y6"/>
    <mergeCell ref="B8:E8"/>
    <mergeCell ref="F8:I8"/>
    <mergeCell ref="J8:M8"/>
    <mergeCell ref="N8:Q8"/>
    <mergeCell ref="R8:U8"/>
    <mergeCell ref="V8:Y8"/>
    <mergeCell ref="B5:E5"/>
    <mergeCell ref="F5:I5"/>
    <mergeCell ref="J5:M5"/>
    <mergeCell ref="N5:Q5"/>
    <mergeCell ref="R5:U5"/>
    <mergeCell ref="K69:Y72"/>
    <mergeCell ref="V9:Y9"/>
    <mergeCell ref="B11:Y11"/>
    <mergeCell ref="B12:Y12"/>
    <mergeCell ref="B13:Y13"/>
    <mergeCell ref="B60:I60"/>
    <mergeCell ref="K60:Q60"/>
    <mergeCell ref="B9:E9"/>
    <mergeCell ref="F9:I9"/>
    <mergeCell ref="J9:M9"/>
    <mergeCell ref="N9:Q9"/>
    <mergeCell ref="R9:U9"/>
  </mergeCells>
  <conditionalFormatting sqref="C62:I85">
    <cfRule type="colorScale" priority="2">
      <colorScale>
        <cfvo type="min"/>
        <cfvo type="percentile" val="60"/>
        <cfvo type="max"/>
        <color rgb="FFFFFFFF"/>
        <color rgb="FFFFE699"/>
        <color rgb="FFC00000"/>
      </colorScale>
    </cfRule>
  </conditionalFormatting>
  <dataValidations count="1">
    <dataValidation type="date" showErrorMessage="1" errorTitle="Date outside data" error="Data covers 01-Jan-2011 to 14-Feb-2011." sqref="R5 V5" xr:uid="{00000000-0002-0000-0100-000004000000}">
      <formula1>40544</formula1>
      <formula2>40588</formula2>
    </dataValidation>
  </dataValidations>
  <pageMargins left="0.75" right="0.75" top="1" bottom="1" header="0.511811023622047" footer="0.511811023622047"/>
  <pageSetup paperSize="9" scale="35" orientation="landscape" horizontalDpi="300" verticalDpi="300" r:id="rId1"/>
  <drawing r:id="rId2"/>
  <extLst>
    <ext xmlns:x14="http://schemas.microsoft.com/office/spreadsheetml/2009/9/main" uri="{CCE6A557-97BC-4b89-ADB6-D9C93CAAB3DF}">
      <x14:dataValidations xmlns:xm="http://schemas.microsoft.com/office/excel/2006/main" count="4">
        <x14:dataValidation type="list" showErrorMessage="1" errorTitle="Pick from the list" error="Choose a value from the dropdown." xr:uid="{00000000-0002-0000-0100-000000000000}">
          <x14:formula1>
            <xm:f>Lookups!$J$5:$J$8</xm:f>
          </x14:formula1>
          <x14:formula2>
            <xm:f>0</xm:f>
          </x14:formula2>
          <xm:sqref>B5</xm:sqref>
        </x14:dataValidation>
        <x14:dataValidation type="list" showErrorMessage="1" errorTitle="Pick from the list" error="Choose a value from the dropdown." xr:uid="{00000000-0002-0000-0100-000001000000}">
          <x14:formula1>
            <xm:f>Lookups!$K$5:$K$9</xm:f>
          </x14:formula1>
          <x14:formula2>
            <xm:f>0</xm:f>
          </x14:formula2>
          <xm:sqref>F5</xm:sqref>
        </x14:dataValidation>
        <x14:dataValidation type="list" showErrorMessage="1" errorTitle="Pick from the list" error="Choose a value from the dropdown." xr:uid="{00000000-0002-0000-0100-000002000000}">
          <x14:formula1>
            <xm:f>Lookups!$L$5:$L$9</xm:f>
          </x14:formula1>
          <x14:formula2>
            <xm:f>0</xm:f>
          </x14:formula2>
          <xm:sqref>J5</xm:sqref>
        </x14:dataValidation>
        <x14:dataValidation type="list" showErrorMessage="1" errorTitle="Pick from the list" error="Choose a value from the dropdown." xr:uid="{00000000-0002-0000-0100-000003000000}">
          <x14:formula1>
            <xm:f>Lookups!$M$5:$M$8</xm:f>
          </x14:formula1>
          <x14:formula2>
            <xm:f>0</xm:f>
          </x14:formula2>
          <xm:sqref>N5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120"/>
  <sheetViews>
    <sheetView zoomScaleNormal="100" workbookViewId="0">
      <pane ySplit="2" topLeftCell="A3" activePane="bottomLeft" state="frozen"/>
      <selection pane="bottomLeft"/>
    </sheetView>
  </sheetViews>
  <sheetFormatPr defaultColWidth="8.6328125" defaultRowHeight="14.5" x14ac:dyDescent="0.35"/>
  <cols>
    <col min="1" max="1" width="30" customWidth="1"/>
    <col min="2" max="3" width="17" customWidth="1"/>
    <col min="4" max="4" width="34" customWidth="1"/>
    <col min="5" max="5" width="17" customWidth="1"/>
    <col min="6" max="6" width="24" customWidth="1"/>
  </cols>
  <sheetData>
    <row r="1" spans="1:4" ht="23" x14ac:dyDescent="0.5">
      <c r="A1" s="3" t="s">
        <v>89</v>
      </c>
      <c r="D1" s="14" t="s">
        <v>90</v>
      </c>
    </row>
    <row r="2" spans="1:4" x14ac:dyDescent="0.35">
      <c r="A2" s="1" t="s">
        <v>91</v>
      </c>
    </row>
    <row r="3" spans="1:4" x14ac:dyDescent="0.35">
      <c r="A3" s="15" t="s">
        <v>6</v>
      </c>
      <c r="B3" s="15" t="str">
        <f>IF(Dashboard!$B$5="All","*",Dashboard!$B$5)</f>
        <v>*</v>
      </c>
    </row>
    <row r="4" spans="1:4" x14ac:dyDescent="0.35">
      <c r="A4" s="15" t="s">
        <v>5</v>
      </c>
      <c r="B4" s="15" t="str">
        <f>IF(Dashboard!$F$5="All","*",Dashboard!$F$5)</f>
        <v>*</v>
      </c>
    </row>
    <row r="5" spans="1:4" x14ac:dyDescent="0.35">
      <c r="A5" s="15" t="s">
        <v>4</v>
      </c>
      <c r="B5" s="15" t="str">
        <f>IF(Dashboard!$J$5="All","*",Dashboard!$J$5)</f>
        <v>*</v>
      </c>
    </row>
    <row r="6" spans="1:4" x14ac:dyDescent="0.35">
      <c r="A6" s="15" t="s">
        <v>92</v>
      </c>
      <c r="B6" s="15" t="str">
        <f>IF(Dashboard!$N$5="All","*",Dashboard!$N$5)</f>
        <v>*</v>
      </c>
    </row>
    <row r="7" spans="1:4" x14ac:dyDescent="0.35">
      <c r="A7" s="15" t="s">
        <v>93</v>
      </c>
      <c r="B7" s="16">
        <f>Dashboard!$R$5</f>
        <v>40544</v>
      </c>
    </row>
    <row r="8" spans="1:4" x14ac:dyDescent="0.35">
      <c r="A8" s="15" t="s">
        <v>94</v>
      </c>
      <c r="B8" s="16">
        <f>Dashboard!$V$5</f>
        <v>40588</v>
      </c>
    </row>
    <row r="10" spans="1:4" x14ac:dyDescent="0.35">
      <c r="A10" s="1" t="s">
        <v>95</v>
      </c>
    </row>
    <row r="11" spans="1:4" x14ac:dyDescent="0.35">
      <c r="A11" s="15" t="s">
        <v>75</v>
      </c>
      <c r="B11" s="17">
        <f>COUNTIFS(Clean_Data!$V$2:$V$1001,$B$3,Clean_Data!$W$2:$W$1001,$B$4,Clean_Data!$Z$2:$Z$1001,$B$5,Clean_Data!$AF$2:$AF$1001,$B$6,Clean_Data!$F$2:$F$1001,"&gt;="&amp;$B$7,Clean_Data!$F$2:$F$1001,"&lt;="&amp;$B$8)</f>
        <v>1000</v>
      </c>
    </row>
    <row r="12" spans="1:4" x14ac:dyDescent="0.35">
      <c r="A12" s="15" t="s">
        <v>71</v>
      </c>
      <c r="B12" s="17">
        <f>SUMIFS(Clean_Data!$U$2:$U$1001,Clean_Data!$V$2:$V$1001,$B$3,Clean_Data!$W$2:$W$1001,$B$4,Clean_Data!$Z$2:$Z$1001,$B$5,Clean_Data!$AF$2:$AF$1001,$B$6,Clean_Data!$F$2:$F$1001,"&gt;="&amp;$B$7,Clean_Data!$F$2:$F$1001,"&lt;="&amp;$B$8)</f>
        <v>58304</v>
      </c>
    </row>
    <row r="13" spans="1:4" x14ac:dyDescent="0.35">
      <c r="A13" s="15" t="s">
        <v>72</v>
      </c>
      <c r="B13" s="18">
        <f>IF(B11&gt;0,B12/B11,0)</f>
        <v>58.304000000000002</v>
      </c>
    </row>
    <row r="14" spans="1:4" x14ac:dyDescent="0.35">
      <c r="A14" s="15" t="s">
        <v>96</v>
      </c>
      <c r="B14" s="17">
        <f>SUMIFS(Clean_Data!$S$2:$S$1001,Clean_Data!$V$2:$V$1001,$B$3,Clean_Data!$W$2:$W$1001,$B$4,Clean_Data!$Z$2:$Z$1001,$B$5,Clean_Data!$AF$2:$AF$1001,$B$6,Clean_Data!$F$2:$F$1001,"&gt;="&amp;$B$7,Clean_Data!$F$2:$F$1001,"&lt;="&amp;$B$8)</f>
        <v>4921</v>
      </c>
    </row>
    <row r="15" spans="1:4" x14ac:dyDescent="0.35">
      <c r="A15" s="15" t="s">
        <v>97</v>
      </c>
      <c r="B15" s="17">
        <f>SUMIFS(Clean_Data!$T$2:$T$1001,Clean_Data!$V$2:$V$1001,$B$3,Clean_Data!$W$2:$W$1001,$B$4,Clean_Data!$Z$2:$Z$1001,$B$5,Clean_Data!$AF$2:$AF$1001,$B$6,Clean_Data!$F$2:$F$1001,"&gt;="&amp;$B$7,Clean_Data!$F$2:$F$1001,"&lt;="&amp;$B$8)</f>
        <v>53383</v>
      </c>
    </row>
    <row r="16" spans="1:4" x14ac:dyDescent="0.35">
      <c r="A16" s="15" t="s">
        <v>74</v>
      </c>
      <c r="B16" s="19">
        <f>IF(B12&gt;0,B15/B12,0)</f>
        <v>0.9155975576289791</v>
      </c>
    </row>
    <row r="17" spans="1:5" x14ac:dyDescent="0.35">
      <c r="A17" s="15" t="s">
        <v>98</v>
      </c>
      <c r="B17" s="19">
        <f>B12/SUM(Clean_Data!$U$2:$U$1001)</f>
        <v>1</v>
      </c>
    </row>
    <row r="18" spans="1:5" x14ac:dyDescent="0.35">
      <c r="A18" s="15" t="s">
        <v>99</v>
      </c>
      <c r="B18" s="18">
        <f>AVERAGE(Clean_Data!$U$2:$U$1001)</f>
        <v>58.304000000000002</v>
      </c>
    </row>
    <row r="19" spans="1:5" x14ac:dyDescent="0.35">
      <c r="A19" s="15" t="s">
        <v>100</v>
      </c>
      <c r="B19" s="19">
        <f>IF(B18&gt;0,B13/B18-1,0)</f>
        <v>0</v>
      </c>
    </row>
    <row r="20" spans="1:5" x14ac:dyDescent="0.35">
      <c r="A20" s="15" t="s">
        <v>101</v>
      </c>
      <c r="B20" s="20" t="str">
        <f>IF(MAX($E$25:$E$48)=0,"n/a",TEXT(INDEX($A$25:$A$48,MATCH(MAX($E$25:$E$48),$E$25:$E$48,0)),"00")&amp;":00")</f>
        <v>17:00</v>
      </c>
    </row>
    <row r="21" spans="1:5" x14ac:dyDescent="0.35">
      <c r="A21" s="15" t="s">
        <v>102</v>
      </c>
      <c r="B21" s="18">
        <f>MAX($E$25:$E$48)</f>
        <v>140.20454545454544</v>
      </c>
    </row>
    <row r="23" spans="1:5" x14ac:dyDescent="0.35">
      <c r="A23" s="1" t="s">
        <v>103</v>
      </c>
    </row>
    <row r="24" spans="1:5" x14ac:dyDescent="0.35">
      <c r="A24" s="9" t="s">
        <v>79</v>
      </c>
      <c r="B24" s="9" t="s">
        <v>75</v>
      </c>
      <c r="C24" s="9" t="s">
        <v>104</v>
      </c>
      <c r="D24" s="9" t="s">
        <v>105</v>
      </c>
      <c r="E24" s="9" t="s">
        <v>106</v>
      </c>
    </row>
    <row r="25" spans="1:5" x14ac:dyDescent="0.35">
      <c r="A25" s="15">
        <v>0</v>
      </c>
      <c r="B25" s="15">
        <f>COUNTIFS(Clean_Data!$J$2:$J$1001,$A25,Clean_Data!$V$2:$V$1001,$B$3,Clean_Data!$W$2:$W$1001,$B$4,Clean_Data!$Z$2:$Z$1001,$B$5,Clean_Data!$AF$2:$AF$1001,$B$6,Clean_Data!$F$2:$F$1001,"&gt;="&amp;$B$7,Clean_Data!$F$2:$F$1001,"&lt;="&amp;$B$8)</f>
        <v>43</v>
      </c>
      <c r="C25" s="18">
        <f>IF($B25&gt;0,SUMIFS(Clean_Data!$S$2:$S$1001,Clean_Data!$J$2:$J$1001,$A25,Clean_Data!$V$2:$V$1001,$B$3,Clean_Data!$W$2:$W$1001,$B$4,Clean_Data!$Z$2:$Z$1001,$B$5,Clean_Data!$AF$2:$AF$1001,$B$6,Clean_Data!$F$2:$F$1001,"&gt;="&amp;$B$7,Clean_Data!$F$2:$F$1001,"&lt;="&amp;$B$8)/$B25,0)</f>
        <v>1.7209302325581395</v>
      </c>
      <c r="D25" s="18">
        <f>IF($B25&gt;0,SUMIFS(Clean_Data!$T$2:$T$1001,Clean_Data!$J$2:$J$1001,$A25,Clean_Data!$V$2:$V$1001,$B$3,Clean_Data!$W$2:$W$1001,$B$4,Clean_Data!$Z$2:$Z$1001,$B$5,Clean_Data!$AF$2:$AF$1001,$B$6,Clean_Data!$F$2:$F$1001,"&gt;="&amp;$B$7,Clean_Data!$F$2:$F$1001,"&lt;="&amp;$B$8)/$B25,0)</f>
        <v>14.627906976744185</v>
      </c>
      <c r="E25" s="18">
        <f t="shared" ref="E25:E48" si="0">C25+D25</f>
        <v>16.348837209302324</v>
      </c>
    </row>
    <row r="26" spans="1:5" x14ac:dyDescent="0.35">
      <c r="A26" s="15">
        <v>1</v>
      </c>
      <c r="B26" s="15">
        <f>COUNTIFS(Clean_Data!$J$2:$J$1001,$A26,Clean_Data!$V$2:$V$1001,$B$3,Clean_Data!$W$2:$W$1001,$B$4,Clean_Data!$Z$2:$Z$1001,$B$5,Clean_Data!$AF$2:$AF$1001,$B$6,Clean_Data!$F$2:$F$1001,"&gt;="&amp;$B$7,Clean_Data!$F$2:$F$1001,"&lt;="&amp;$B$8)</f>
        <v>43</v>
      </c>
      <c r="C26" s="18">
        <f>IF($B26&gt;0,SUMIFS(Clean_Data!$S$2:$S$1001,Clean_Data!$J$2:$J$1001,$A26,Clean_Data!$V$2:$V$1001,$B$3,Clean_Data!$W$2:$W$1001,$B$4,Clean_Data!$Z$2:$Z$1001,$B$5,Clean_Data!$AF$2:$AF$1001,$B$6,Clean_Data!$F$2:$F$1001,"&gt;="&amp;$B$7,Clean_Data!$F$2:$F$1001,"&lt;="&amp;$B$8)/$B26,0)</f>
        <v>1.1162790697674418</v>
      </c>
      <c r="D26" s="18">
        <f>IF($B26&gt;0,SUMIFS(Clean_Data!$T$2:$T$1001,Clean_Data!$J$2:$J$1001,$A26,Clean_Data!$V$2:$V$1001,$B$3,Clean_Data!$W$2:$W$1001,$B$4,Clean_Data!$Z$2:$Z$1001,$B$5,Clean_Data!$AF$2:$AF$1001,$B$6,Clean_Data!$F$2:$F$1001,"&gt;="&amp;$B$7,Clean_Data!$F$2:$F$1001,"&lt;="&amp;$B$8)/$B26,0)</f>
        <v>9.5813953488372086</v>
      </c>
      <c r="E26" s="18">
        <f t="shared" si="0"/>
        <v>10.697674418604651</v>
      </c>
    </row>
    <row r="27" spans="1:5" x14ac:dyDescent="0.35">
      <c r="A27" s="15">
        <v>2</v>
      </c>
      <c r="B27" s="15">
        <f>COUNTIFS(Clean_Data!$J$2:$J$1001,$A27,Clean_Data!$V$2:$V$1001,$B$3,Clean_Data!$W$2:$W$1001,$B$4,Clean_Data!$Z$2:$Z$1001,$B$5,Clean_Data!$AF$2:$AF$1001,$B$6,Clean_Data!$F$2:$F$1001,"&gt;="&amp;$B$7,Clean_Data!$F$2:$F$1001,"&lt;="&amp;$B$8)</f>
        <v>41</v>
      </c>
      <c r="C27" s="18">
        <f>IF($B27&gt;0,SUMIFS(Clean_Data!$S$2:$S$1001,Clean_Data!$J$2:$J$1001,$A27,Clean_Data!$V$2:$V$1001,$B$3,Clean_Data!$W$2:$W$1001,$B$4,Clean_Data!$Z$2:$Z$1001,$B$5,Clean_Data!$AF$2:$AF$1001,$B$6,Clean_Data!$F$2:$F$1001,"&gt;="&amp;$B$7,Clean_Data!$F$2:$F$1001,"&lt;="&amp;$B$8)/$B27,0)</f>
        <v>0.80487804878048785</v>
      </c>
      <c r="D27" s="18">
        <f>IF($B27&gt;0,SUMIFS(Clean_Data!$T$2:$T$1001,Clean_Data!$J$2:$J$1001,$A27,Clean_Data!$V$2:$V$1001,$B$3,Clean_Data!$W$2:$W$1001,$B$4,Clean_Data!$Z$2:$Z$1001,$B$5,Clean_Data!$AF$2:$AF$1001,$B$6,Clean_Data!$F$2:$F$1001,"&gt;="&amp;$B$7,Clean_Data!$F$2:$F$1001,"&lt;="&amp;$B$8)/$B27,0)</f>
        <v>6.3658536585365857</v>
      </c>
      <c r="E27" s="18">
        <f t="shared" si="0"/>
        <v>7.1707317073170733</v>
      </c>
    </row>
    <row r="28" spans="1:5" x14ac:dyDescent="0.35">
      <c r="A28" s="15">
        <v>3</v>
      </c>
      <c r="B28" s="15">
        <f>COUNTIFS(Clean_Data!$J$2:$J$1001,$A28,Clean_Data!$V$2:$V$1001,$B$3,Clean_Data!$W$2:$W$1001,$B$4,Clean_Data!$Z$2:$Z$1001,$B$5,Clean_Data!$AF$2:$AF$1001,$B$6,Clean_Data!$F$2:$F$1001,"&gt;="&amp;$B$7,Clean_Data!$F$2:$F$1001,"&lt;="&amp;$B$8)</f>
        <v>31</v>
      </c>
      <c r="C28" s="18">
        <f>IF($B28&gt;0,SUMIFS(Clean_Data!$S$2:$S$1001,Clean_Data!$J$2:$J$1001,$A28,Clean_Data!$V$2:$V$1001,$B$3,Clean_Data!$W$2:$W$1001,$B$4,Clean_Data!$Z$2:$Z$1001,$B$5,Clean_Data!$AF$2:$AF$1001,$B$6,Clean_Data!$F$2:$F$1001,"&gt;="&amp;$B$7,Clean_Data!$F$2:$F$1001,"&lt;="&amp;$B$8)/$B28,0)</f>
        <v>1.096774193548387</v>
      </c>
      <c r="D28" s="18">
        <f>IF($B28&gt;0,SUMIFS(Clean_Data!$T$2:$T$1001,Clean_Data!$J$2:$J$1001,$A28,Clean_Data!$V$2:$V$1001,$B$3,Clean_Data!$W$2:$W$1001,$B$4,Clean_Data!$Z$2:$Z$1001,$B$5,Clean_Data!$AF$2:$AF$1001,$B$6,Clean_Data!$F$2:$F$1001,"&gt;="&amp;$B$7,Clean_Data!$F$2:$F$1001,"&lt;="&amp;$B$8)/$B28,0)</f>
        <v>3.774193548387097</v>
      </c>
      <c r="E28" s="18">
        <f t="shared" si="0"/>
        <v>4.870967741935484</v>
      </c>
    </row>
    <row r="29" spans="1:5" x14ac:dyDescent="0.35">
      <c r="A29" s="15">
        <v>4</v>
      </c>
      <c r="B29" s="15">
        <f>COUNTIFS(Clean_Data!$J$2:$J$1001,$A29,Clean_Data!$V$2:$V$1001,$B$3,Clean_Data!$W$2:$W$1001,$B$4,Clean_Data!$Z$2:$Z$1001,$B$5,Clean_Data!$AF$2:$AF$1001,$B$6,Clean_Data!$F$2:$F$1001,"&gt;="&amp;$B$7,Clean_Data!$F$2:$F$1001,"&lt;="&amp;$B$8)</f>
        <v>32</v>
      </c>
      <c r="C29" s="18">
        <f>IF($B29&gt;0,SUMIFS(Clean_Data!$S$2:$S$1001,Clean_Data!$J$2:$J$1001,$A29,Clean_Data!$V$2:$V$1001,$B$3,Clean_Data!$W$2:$W$1001,$B$4,Clean_Data!$Z$2:$Z$1001,$B$5,Clean_Data!$AF$2:$AF$1001,$B$6,Clean_Data!$F$2:$F$1001,"&gt;="&amp;$B$7,Clean_Data!$F$2:$F$1001,"&lt;="&amp;$B$8)/$B29,0)</f>
        <v>0.21875</v>
      </c>
      <c r="D29" s="18">
        <f>IF($B29&gt;0,SUMIFS(Clean_Data!$T$2:$T$1001,Clean_Data!$J$2:$J$1001,$A29,Clean_Data!$V$2:$V$1001,$B$3,Clean_Data!$W$2:$W$1001,$B$4,Clean_Data!$Z$2:$Z$1001,$B$5,Clean_Data!$AF$2:$AF$1001,$B$6,Clean_Data!$F$2:$F$1001,"&gt;="&amp;$B$7,Clean_Data!$F$2:$F$1001,"&lt;="&amp;$B$8)/$B29,0)</f>
        <v>1.9375</v>
      </c>
      <c r="E29" s="18">
        <f t="shared" si="0"/>
        <v>2.15625</v>
      </c>
    </row>
    <row r="30" spans="1:5" x14ac:dyDescent="0.35">
      <c r="A30" s="15">
        <v>5</v>
      </c>
      <c r="B30" s="15">
        <f>COUNTIFS(Clean_Data!$J$2:$J$1001,$A30,Clean_Data!$V$2:$V$1001,$B$3,Clean_Data!$W$2:$W$1001,$B$4,Clean_Data!$Z$2:$Z$1001,$B$5,Clean_Data!$AF$2:$AF$1001,$B$6,Clean_Data!$F$2:$F$1001,"&gt;="&amp;$B$7,Clean_Data!$F$2:$F$1001,"&lt;="&amp;$B$8)</f>
        <v>39</v>
      </c>
      <c r="C30" s="18">
        <f>IF($B30&gt;0,SUMIFS(Clean_Data!$S$2:$S$1001,Clean_Data!$J$2:$J$1001,$A30,Clean_Data!$V$2:$V$1001,$B$3,Clean_Data!$W$2:$W$1001,$B$4,Clean_Data!$Z$2:$Z$1001,$B$5,Clean_Data!$AF$2:$AF$1001,$B$6,Clean_Data!$F$2:$F$1001,"&gt;="&amp;$B$7,Clean_Data!$F$2:$F$1001,"&lt;="&amp;$B$8)/$B30,0)</f>
        <v>7.6923076923076927E-2</v>
      </c>
      <c r="D30" s="18">
        <f>IF($B30&gt;0,SUMIFS(Clean_Data!$T$2:$T$1001,Clean_Data!$J$2:$J$1001,$A30,Clean_Data!$V$2:$V$1001,$B$3,Clean_Data!$W$2:$W$1001,$B$4,Clean_Data!$Z$2:$Z$1001,$B$5,Clean_Data!$AF$2:$AF$1001,$B$6,Clean_Data!$F$2:$F$1001,"&gt;="&amp;$B$7,Clean_Data!$F$2:$F$1001,"&lt;="&amp;$B$8)/$B30,0)</f>
        <v>4.1282051282051286</v>
      </c>
      <c r="E30" s="18">
        <f t="shared" si="0"/>
        <v>4.2051282051282053</v>
      </c>
    </row>
    <row r="31" spans="1:5" x14ac:dyDescent="0.35">
      <c r="A31" s="15">
        <v>6</v>
      </c>
      <c r="B31" s="15">
        <f>COUNTIFS(Clean_Data!$J$2:$J$1001,$A31,Clean_Data!$V$2:$V$1001,$B$3,Clean_Data!$W$2:$W$1001,$B$4,Clean_Data!$Z$2:$Z$1001,$B$5,Clean_Data!$AF$2:$AF$1001,$B$6,Clean_Data!$F$2:$F$1001,"&gt;="&amp;$B$7,Clean_Data!$F$2:$F$1001,"&lt;="&amp;$B$8)</f>
        <v>42</v>
      </c>
      <c r="C31" s="18">
        <f>IF($B31&gt;0,SUMIFS(Clean_Data!$S$2:$S$1001,Clean_Data!$J$2:$J$1001,$A31,Clean_Data!$V$2:$V$1001,$B$3,Clean_Data!$W$2:$W$1001,$B$4,Clean_Data!$Z$2:$Z$1001,$B$5,Clean_Data!$AF$2:$AF$1001,$B$6,Clean_Data!$F$2:$F$1001,"&gt;="&amp;$B$7,Clean_Data!$F$2:$F$1001,"&lt;="&amp;$B$8)/$B31,0)</f>
        <v>0.5</v>
      </c>
      <c r="D31" s="18">
        <f>IF($B31&gt;0,SUMIFS(Clean_Data!$T$2:$T$1001,Clean_Data!$J$2:$J$1001,$A31,Clean_Data!$V$2:$V$1001,$B$3,Clean_Data!$W$2:$W$1001,$B$4,Clean_Data!$Z$2:$Z$1001,$B$5,Clean_Data!$AF$2:$AF$1001,$B$6,Clean_Data!$F$2:$F$1001,"&gt;="&amp;$B$7,Clean_Data!$F$2:$F$1001,"&lt;="&amp;$B$8)/$B31,0)</f>
        <v>19.071428571428573</v>
      </c>
      <c r="E31" s="18">
        <f t="shared" si="0"/>
        <v>19.571428571428573</v>
      </c>
    </row>
    <row r="32" spans="1:5" x14ac:dyDescent="0.35">
      <c r="A32" s="15">
        <v>7</v>
      </c>
      <c r="B32" s="15">
        <f>COUNTIFS(Clean_Data!$J$2:$J$1001,$A32,Clean_Data!$V$2:$V$1001,$B$3,Clean_Data!$W$2:$W$1001,$B$4,Clean_Data!$Z$2:$Z$1001,$B$5,Clean_Data!$AF$2:$AF$1001,$B$6,Clean_Data!$F$2:$F$1001,"&gt;="&amp;$B$7,Clean_Data!$F$2:$F$1001,"&lt;="&amp;$B$8)</f>
        <v>43</v>
      </c>
      <c r="C32" s="18">
        <f>IF($B32&gt;0,SUMIFS(Clean_Data!$S$2:$S$1001,Clean_Data!$J$2:$J$1001,$A32,Clean_Data!$V$2:$V$1001,$B$3,Clean_Data!$W$2:$W$1001,$B$4,Clean_Data!$Z$2:$Z$1001,$B$5,Clean_Data!$AF$2:$AF$1001,$B$6,Clean_Data!$F$2:$F$1001,"&gt;="&amp;$B$7,Clean_Data!$F$2:$F$1001,"&lt;="&amp;$B$8)/$B32,0)</f>
        <v>1.4883720930232558</v>
      </c>
      <c r="D32" s="18">
        <f>IF($B32&gt;0,SUMIFS(Clean_Data!$T$2:$T$1001,Clean_Data!$J$2:$J$1001,$A32,Clean_Data!$V$2:$V$1001,$B$3,Clean_Data!$W$2:$W$1001,$B$4,Clean_Data!$Z$2:$Z$1001,$B$5,Clean_Data!$AF$2:$AF$1001,$B$6,Clean_Data!$F$2:$F$1001,"&gt;="&amp;$B$7,Clean_Data!$F$2:$F$1001,"&lt;="&amp;$B$8)/$B32,0)</f>
        <v>52.906976744186046</v>
      </c>
      <c r="E32" s="18">
        <f t="shared" si="0"/>
        <v>54.395348837209305</v>
      </c>
    </row>
    <row r="33" spans="1:5" x14ac:dyDescent="0.35">
      <c r="A33" s="15">
        <v>8</v>
      </c>
      <c r="B33" s="15">
        <f>COUNTIFS(Clean_Data!$J$2:$J$1001,$A33,Clean_Data!$V$2:$V$1001,$B$3,Clean_Data!$W$2:$W$1001,$B$4,Clean_Data!$Z$2:$Z$1001,$B$5,Clean_Data!$AF$2:$AF$1001,$B$6,Clean_Data!$F$2:$F$1001,"&gt;="&amp;$B$7,Clean_Data!$F$2:$F$1001,"&lt;="&amp;$B$8)</f>
        <v>42</v>
      </c>
      <c r="C33" s="18">
        <f>IF($B33&gt;0,SUMIFS(Clean_Data!$S$2:$S$1001,Clean_Data!$J$2:$J$1001,$A33,Clean_Data!$V$2:$V$1001,$B$3,Clean_Data!$W$2:$W$1001,$B$4,Clean_Data!$Z$2:$Z$1001,$B$5,Clean_Data!$AF$2:$AF$1001,$B$6,Clean_Data!$F$2:$F$1001,"&gt;="&amp;$B$7,Clean_Data!$F$2:$F$1001,"&lt;="&amp;$B$8)/$B33,0)</f>
        <v>3.0238095238095237</v>
      </c>
      <c r="D33" s="18">
        <f>IF($B33&gt;0,SUMIFS(Clean_Data!$T$2:$T$1001,Clean_Data!$J$2:$J$1001,$A33,Clean_Data!$V$2:$V$1001,$B$3,Clean_Data!$W$2:$W$1001,$B$4,Clean_Data!$Z$2:$Z$1001,$B$5,Clean_Data!$AF$2:$AF$1001,$B$6,Clean_Data!$F$2:$F$1001,"&gt;="&amp;$B$7,Clean_Data!$F$2:$F$1001,"&lt;="&amp;$B$8)/$B33,0)</f>
        <v>125.26190476190476</v>
      </c>
      <c r="E33" s="18">
        <f t="shared" si="0"/>
        <v>128.28571428571428</v>
      </c>
    </row>
    <row r="34" spans="1:5" x14ac:dyDescent="0.35">
      <c r="A34" s="15">
        <v>9</v>
      </c>
      <c r="B34" s="15">
        <f>COUNTIFS(Clean_Data!$J$2:$J$1001,$A34,Clean_Data!$V$2:$V$1001,$B$3,Clean_Data!$W$2:$W$1001,$B$4,Clean_Data!$Z$2:$Z$1001,$B$5,Clean_Data!$AF$2:$AF$1001,$B$6,Clean_Data!$F$2:$F$1001,"&gt;="&amp;$B$7,Clean_Data!$F$2:$F$1001,"&lt;="&amp;$B$8)</f>
        <v>42</v>
      </c>
      <c r="C34" s="18">
        <f>IF($B34&gt;0,SUMIFS(Clean_Data!$S$2:$S$1001,Clean_Data!$J$2:$J$1001,$A34,Clean_Data!$V$2:$V$1001,$B$3,Clean_Data!$W$2:$W$1001,$B$4,Clean_Data!$Z$2:$Z$1001,$B$5,Clean_Data!$AF$2:$AF$1001,$B$6,Clean_Data!$F$2:$F$1001,"&gt;="&amp;$B$7,Clean_Data!$F$2:$F$1001,"&lt;="&amp;$B$8)/$B34,0)</f>
        <v>4.0952380952380949</v>
      </c>
      <c r="D34" s="18">
        <f>IF($B34&gt;0,SUMIFS(Clean_Data!$T$2:$T$1001,Clean_Data!$J$2:$J$1001,$A34,Clean_Data!$V$2:$V$1001,$B$3,Clean_Data!$W$2:$W$1001,$B$4,Clean_Data!$Z$2:$Z$1001,$B$5,Clean_Data!$AF$2:$AF$1001,$B$6,Clean_Data!$F$2:$F$1001,"&gt;="&amp;$B$7,Clean_Data!$F$2:$F$1001,"&lt;="&amp;$B$8)/$B34,0)</f>
        <v>83.333333333333329</v>
      </c>
      <c r="E34" s="18">
        <f t="shared" si="0"/>
        <v>87.428571428571416</v>
      </c>
    </row>
    <row r="35" spans="1:5" x14ac:dyDescent="0.35">
      <c r="A35" s="15">
        <v>10</v>
      </c>
      <c r="B35" s="15">
        <f>COUNTIFS(Clean_Data!$J$2:$J$1001,$A35,Clean_Data!$V$2:$V$1001,$B$3,Clean_Data!$W$2:$W$1001,$B$4,Clean_Data!$Z$2:$Z$1001,$B$5,Clean_Data!$AF$2:$AF$1001,$B$6,Clean_Data!$F$2:$F$1001,"&gt;="&amp;$B$7,Clean_Data!$F$2:$F$1001,"&lt;="&amp;$B$8)</f>
        <v>42</v>
      </c>
      <c r="C35" s="18">
        <f>IF($B35&gt;0,SUMIFS(Clean_Data!$S$2:$S$1001,Clean_Data!$J$2:$J$1001,$A35,Clean_Data!$V$2:$V$1001,$B$3,Clean_Data!$W$2:$W$1001,$B$4,Clean_Data!$Z$2:$Z$1001,$B$5,Clean_Data!$AF$2:$AF$1001,$B$6,Clean_Data!$F$2:$F$1001,"&gt;="&amp;$B$7,Clean_Data!$F$2:$F$1001,"&lt;="&amp;$B$8)/$B35,0)</f>
        <v>5.1428571428571432</v>
      </c>
      <c r="D35" s="18">
        <f>IF($B35&gt;0,SUMIFS(Clean_Data!$T$2:$T$1001,Clean_Data!$J$2:$J$1001,$A35,Clean_Data!$V$2:$V$1001,$B$3,Clean_Data!$W$2:$W$1001,$B$4,Clean_Data!$Z$2:$Z$1001,$B$5,Clean_Data!$AF$2:$AF$1001,$B$6,Clean_Data!$F$2:$F$1001,"&gt;="&amp;$B$7,Clean_Data!$F$2:$F$1001,"&lt;="&amp;$B$8)/$B35,0)</f>
        <v>48.5</v>
      </c>
      <c r="E35" s="18">
        <f t="shared" si="0"/>
        <v>53.642857142857146</v>
      </c>
    </row>
    <row r="36" spans="1:5" x14ac:dyDescent="0.35">
      <c r="A36" s="15">
        <v>11</v>
      </c>
      <c r="B36" s="15">
        <f>COUNTIFS(Clean_Data!$J$2:$J$1001,$A36,Clean_Data!$V$2:$V$1001,$B$3,Clean_Data!$W$2:$W$1001,$B$4,Clean_Data!$Z$2:$Z$1001,$B$5,Clean_Data!$AF$2:$AF$1001,$B$6,Clean_Data!$F$2:$F$1001,"&gt;="&amp;$B$7,Clean_Data!$F$2:$F$1001,"&lt;="&amp;$B$8)</f>
        <v>42</v>
      </c>
      <c r="C36" s="18">
        <f>IF($B36&gt;0,SUMIFS(Clean_Data!$S$2:$S$1001,Clean_Data!$J$2:$J$1001,$A36,Clean_Data!$V$2:$V$1001,$B$3,Clean_Data!$W$2:$W$1001,$B$4,Clean_Data!$Z$2:$Z$1001,$B$5,Clean_Data!$AF$2:$AF$1001,$B$6,Clean_Data!$F$2:$F$1001,"&gt;="&amp;$B$7,Clean_Data!$F$2:$F$1001,"&lt;="&amp;$B$8)/$B36,0)</f>
        <v>8.7380952380952372</v>
      </c>
      <c r="D36" s="18">
        <f>IF($B36&gt;0,SUMIFS(Clean_Data!$T$2:$T$1001,Clean_Data!$J$2:$J$1001,$A36,Clean_Data!$V$2:$V$1001,$B$3,Clean_Data!$W$2:$W$1001,$B$4,Clean_Data!$Z$2:$Z$1001,$B$5,Clean_Data!$AF$2:$AF$1001,$B$6,Clean_Data!$F$2:$F$1001,"&gt;="&amp;$B$7,Clean_Data!$F$2:$F$1001,"&lt;="&amp;$B$8)/$B36,0)</f>
        <v>50.642857142857146</v>
      </c>
      <c r="E36" s="18">
        <f t="shared" si="0"/>
        <v>59.38095238095238</v>
      </c>
    </row>
    <row r="37" spans="1:5" x14ac:dyDescent="0.35">
      <c r="A37" s="15">
        <v>12</v>
      </c>
      <c r="B37" s="15">
        <f>COUNTIFS(Clean_Data!$J$2:$J$1001,$A37,Clean_Data!$V$2:$V$1001,$B$3,Clean_Data!$W$2:$W$1001,$B$4,Clean_Data!$Z$2:$Z$1001,$B$5,Clean_Data!$AF$2:$AF$1001,$B$6,Clean_Data!$F$2:$F$1001,"&gt;="&amp;$B$7,Clean_Data!$F$2:$F$1001,"&lt;="&amp;$B$8)</f>
        <v>43</v>
      </c>
      <c r="C37" s="18">
        <f>IF($B37&gt;0,SUMIFS(Clean_Data!$S$2:$S$1001,Clean_Data!$J$2:$J$1001,$A37,Clean_Data!$V$2:$V$1001,$B$3,Clean_Data!$W$2:$W$1001,$B$4,Clean_Data!$Z$2:$Z$1001,$B$5,Clean_Data!$AF$2:$AF$1001,$B$6,Clean_Data!$F$2:$F$1001,"&gt;="&amp;$B$7,Clean_Data!$F$2:$F$1001,"&lt;="&amp;$B$8)/$B37,0)</f>
        <v>11.209302325581396</v>
      </c>
      <c r="D37" s="18">
        <f>IF($B37&gt;0,SUMIFS(Clean_Data!$T$2:$T$1001,Clean_Data!$J$2:$J$1001,$A37,Clean_Data!$V$2:$V$1001,$B$3,Clean_Data!$W$2:$W$1001,$B$4,Clean_Data!$Z$2:$Z$1001,$B$5,Clean_Data!$AF$2:$AF$1001,$B$6,Clean_Data!$F$2:$F$1001,"&gt;="&amp;$B$7,Clean_Data!$F$2:$F$1001,"&lt;="&amp;$B$8)/$B37,0)</f>
        <v>65.139534883720927</v>
      </c>
      <c r="E37" s="18">
        <f t="shared" si="0"/>
        <v>76.348837209302317</v>
      </c>
    </row>
    <row r="38" spans="1:5" x14ac:dyDescent="0.35">
      <c r="A38" s="15">
        <v>13</v>
      </c>
      <c r="B38" s="15">
        <f>COUNTIFS(Clean_Data!$J$2:$J$1001,$A38,Clean_Data!$V$2:$V$1001,$B$3,Clean_Data!$W$2:$W$1001,$B$4,Clean_Data!$Z$2:$Z$1001,$B$5,Clean_Data!$AF$2:$AF$1001,$B$6,Clean_Data!$F$2:$F$1001,"&gt;="&amp;$B$7,Clean_Data!$F$2:$F$1001,"&lt;="&amp;$B$8)</f>
        <v>43</v>
      </c>
      <c r="C38" s="18">
        <f>IF($B38&gt;0,SUMIFS(Clean_Data!$S$2:$S$1001,Clean_Data!$J$2:$J$1001,$A38,Clean_Data!$V$2:$V$1001,$B$3,Clean_Data!$W$2:$W$1001,$B$4,Clean_Data!$Z$2:$Z$1001,$B$5,Clean_Data!$AF$2:$AF$1001,$B$6,Clean_Data!$F$2:$F$1001,"&gt;="&amp;$B$7,Clean_Data!$F$2:$F$1001,"&lt;="&amp;$B$8)/$B38,0)</f>
        <v>11.930232558139535</v>
      </c>
      <c r="D38" s="18">
        <f>IF($B38&gt;0,SUMIFS(Clean_Data!$T$2:$T$1001,Clean_Data!$J$2:$J$1001,$A38,Clean_Data!$V$2:$V$1001,$B$3,Clean_Data!$W$2:$W$1001,$B$4,Clean_Data!$Z$2:$Z$1001,$B$5,Clean_Data!$AF$2:$AF$1001,$B$6,Clean_Data!$F$2:$F$1001,"&gt;="&amp;$B$7,Clean_Data!$F$2:$F$1001,"&lt;="&amp;$B$8)/$B38,0)</f>
        <v>66.581395348837205</v>
      </c>
      <c r="E38" s="18">
        <f t="shared" si="0"/>
        <v>78.511627906976742</v>
      </c>
    </row>
    <row r="39" spans="1:5" x14ac:dyDescent="0.35">
      <c r="A39" s="15">
        <v>14</v>
      </c>
      <c r="B39" s="15">
        <f>COUNTIFS(Clean_Data!$J$2:$J$1001,$A39,Clean_Data!$V$2:$V$1001,$B$3,Clean_Data!$W$2:$W$1001,$B$4,Clean_Data!$Z$2:$Z$1001,$B$5,Clean_Data!$AF$2:$AF$1001,$B$6,Clean_Data!$F$2:$F$1001,"&gt;="&amp;$B$7,Clean_Data!$F$2:$F$1001,"&lt;="&amp;$B$8)</f>
        <v>43</v>
      </c>
      <c r="C39" s="18">
        <f>IF($B39&gt;0,SUMIFS(Clean_Data!$S$2:$S$1001,Clean_Data!$J$2:$J$1001,$A39,Clean_Data!$V$2:$V$1001,$B$3,Clean_Data!$W$2:$W$1001,$B$4,Clean_Data!$Z$2:$Z$1001,$B$5,Clean_Data!$AF$2:$AF$1001,$B$6,Clean_Data!$F$2:$F$1001,"&gt;="&amp;$B$7,Clean_Data!$F$2:$F$1001,"&lt;="&amp;$B$8)/$B39,0)</f>
        <v>10.837209302325581</v>
      </c>
      <c r="D39" s="18">
        <f>IF($B39&gt;0,SUMIFS(Clean_Data!$T$2:$T$1001,Clean_Data!$J$2:$J$1001,$A39,Clean_Data!$V$2:$V$1001,$B$3,Clean_Data!$W$2:$W$1001,$B$4,Clean_Data!$Z$2:$Z$1001,$B$5,Clean_Data!$AF$2:$AF$1001,$B$6,Clean_Data!$F$2:$F$1001,"&gt;="&amp;$B$7,Clean_Data!$F$2:$F$1001,"&lt;="&amp;$B$8)/$B39,0)</f>
        <v>63.581395348837212</v>
      </c>
      <c r="E39" s="18">
        <f t="shared" si="0"/>
        <v>74.418604651162795</v>
      </c>
    </row>
    <row r="40" spans="1:5" x14ac:dyDescent="0.35">
      <c r="A40" s="15">
        <v>15</v>
      </c>
      <c r="B40" s="15">
        <f>COUNTIFS(Clean_Data!$J$2:$J$1001,$A40,Clean_Data!$V$2:$V$1001,$B$3,Clean_Data!$W$2:$W$1001,$B$4,Clean_Data!$Z$2:$Z$1001,$B$5,Clean_Data!$AF$2:$AF$1001,$B$6,Clean_Data!$F$2:$F$1001,"&gt;="&amp;$B$7,Clean_Data!$F$2:$F$1001,"&lt;="&amp;$B$8)</f>
        <v>43</v>
      </c>
      <c r="C40" s="18">
        <f>IF($B40&gt;0,SUMIFS(Clean_Data!$S$2:$S$1001,Clean_Data!$J$2:$J$1001,$A40,Clean_Data!$V$2:$V$1001,$B$3,Clean_Data!$W$2:$W$1001,$B$4,Clean_Data!$Z$2:$Z$1001,$B$5,Clean_Data!$AF$2:$AF$1001,$B$6,Clean_Data!$F$2:$F$1001,"&gt;="&amp;$B$7,Clean_Data!$F$2:$F$1001,"&lt;="&amp;$B$8)/$B40,0)</f>
        <v>12.465116279069768</v>
      </c>
      <c r="D40" s="18">
        <f>IF($B40&gt;0,SUMIFS(Clean_Data!$T$2:$T$1001,Clean_Data!$J$2:$J$1001,$A40,Clean_Data!$V$2:$V$1001,$B$3,Clean_Data!$W$2:$W$1001,$B$4,Clean_Data!$Z$2:$Z$1001,$B$5,Clean_Data!$AF$2:$AF$1001,$B$6,Clean_Data!$F$2:$F$1001,"&gt;="&amp;$B$7,Clean_Data!$F$2:$F$1001,"&lt;="&amp;$B$8)/$B40,0)</f>
        <v>65.488372093023258</v>
      </c>
      <c r="E40" s="18">
        <f t="shared" si="0"/>
        <v>77.953488372093034</v>
      </c>
    </row>
    <row r="41" spans="1:5" x14ac:dyDescent="0.35">
      <c r="A41" s="15">
        <v>16</v>
      </c>
      <c r="B41" s="15">
        <f>COUNTIFS(Clean_Data!$J$2:$J$1001,$A41,Clean_Data!$V$2:$V$1001,$B$3,Clean_Data!$W$2:$W$1001,$B$4,Clean_Data!$Z$2:$Z$1001,$B$5,Clean_Data!$AF$2:$AF$1001,$B$6,Clean_Data!$F$2:$F$1001,"&gt;="&amp;$B$7,Clean_Data!$F$2:$F$1001,"&lt;="&amp;$B$8)</f>
        <v>44</v>
      </c>
      <c r="C41" s="18">
        <f>IF($B41&gt;0,SUMIFS(Clean_Data!$S$2:$S$1001,Clean_Data!$J$2:$J$1001,$A41,Clean_Data!$V$2:$V$1001,$B$3,Clean_Data!$W$2:$W$1001,$B$4,Clean_Data!$Z$2:$Z$1001,$B$5,Clean_Data!$AF$2:$AF$1001,$B$6,Clean_Data!$F$2:$F$1001,"&gt;="&amp;$B$7,Clean_Data!$F$2:$F$1001,"&lt;="&amp;$B$8)/$B41,0)</f>
        <v>11.204545454545455</v>
      </c>
      <c r="D41" s="18">
        <f>IF($B41&gt;0,SUMIFS(Clean_Data!$T$2:$T$1001,Clean_Data!$J$2:$J$1001,$A41,Clean_Data!$V$2:$V$1001,$B$3,Clean_Data!$W$2:$W$1001,$B$4,Clean_Data!$Z$2:$Z$1001,$B$5,Clean_Data!$AF$2:$AF$1001,$B$6,Clean_Data!$F$2:$F$1001,"&gt;="&amp;$B$7,Clean_Data!$F$2:$F$1001,"&lt;="&amp;$B$8)/$B41,0)</f>
        <v>78.068181818181813</v>
      </c>
      <c r="E41" s="18">
        <f t="shared" si="0"/>
        <v>89.272727272727266</v>
      </c>
    </row>
    <row r="42" spans="1:5" x14ac:dyDescent="0.35">
      <c r="A42" s="15">
        <v>17</v>
      </c>
      <c r="B42" s="15">
        <f>COUNTIFS(Clean_Data!$J$2:$J$1001,$A42,Clean_Data!$V$2:$V$1001,$B$3,Clean_Data!$W$2:$W$1001,$B$4,Clean_Data!$Z$2:$Z$1001,$B$5,Clean_Data!$AF$2:$AF$1001,$B$6,Clean_Data!$F$2:$F$1001,"&gt;="&amp;$B$7,Clean_Data!$F$2:$F$1001,"&lt;="&amp;$B$8)</f>
        <v>44</v>
      </c>
      <c r="C42" s="18">
        <f>IF($B42&gt;0,SUMIFS(Clean_Data!$S$2:$S$1001,Clean_Data!$J$2:$J$1001,$A42,Clean_Data!$V$2:$V$1001,$B$3,Clean_Data!$W$2:$W$1001,$B$4,Clean_Data!$Z$2:$Z$1001,$B$5,Clean_Data!$AF$2:$AF$1001,$B$6,Clean_Data!$F$2:$F$1001,"&gt;="&amp;$B$7,Clean_Data!$F$2:$F$1001,"&lt;="&amp;$B$8)/$B42,0)</f>
        <v>8.9772727272727266</v>
      </c>
      <c r="D42" s="18">
        <f>IF($B42&gt;0,SUMIFS(Clean_Data!$T$2:$T$1001,Clean_Data!$J$2:$J$1001,$A42,Clean_Data!$V$2:$V$1001,$B$3,Clean_Data!$W$2:$W$1001,$B$4,Clean_Data!$Z$2:$Z$1001,$B$5,Clean_Data!$AF$2:$AF$1001,$B$6,Clean_Data!$F$2:$F$1001,"&gt;="&amp;$B$7,Clean_Data!$F$2:$F$1001,"&lt;="&amp;$B$8)/$B42,0)</f>
        <v>131.22727272727272</v>
      </c>
      <c r="E42" s="18">
        <f t="shared" si="0"/>
        <v>140.20454545454544</v>
      </c>
    </row>
    <row r="43" spans="1:5" x14ac:dyDescent="0.35">
      <c r="A43" s="15">
        <v>18</v>
      </c>
      <c r="B43" s="15">
        <f>COUNTIFS(Clean_Data!$J$2:$J$1001,$A43,Clean_Data!$V$2:$V$1001,$B$3,Clean_Data!$W$2:$W$1001,$B$4,Clean_Data!$Z$2:$Z$1001,$B$5,Clean_Data!$AF$2:$AF$1001,$B$6,Clean_Data!$F$2:$F$1001,"&gt;="&amp;$B$7,Clean_Data!$F$2:$F$1001,"&lt;="&amp;$B$8)</f>
        <v>43</v>
      </c>
      <c r="C43" s="18">
        <f>IF($B43&gt;0,SUMIFS(Clean_Data!$S$2:$S$1001,Clean_Data!$J$2:$J$1001,$A43,Clean_Data!$V$2:$V$1001,$B$3,Clean_Data!$W$2:$W$1001,$B$4,Clean_Data!$Z$2:$Z$1001,$B$5,Clean_Data!$AF$2:$AF$1001,$B$6,Clean_Data!$F$2:$F$1001,"&gt;="&amp;$B$7,Clean_Data!$F$2:$F$1001,"&lt;="&amp;$B$8)/$B43,0)</f>
        <v>5.1627906976744189</v>
      </c>
      <c r="D43" s="18">
        <f>IF($B43&gt;0,SUMIFS(Clean_Data!$T$2:$T$1001,Clean_Data!$J$2:$J$1001,$A43,Clean_Data!$V$2:$V$1001,$B$3,Clean_Data!$W$2:$W$1001,$B$4,Clean_Data!$Z$2:$Z$1001,$B$5,Clean_Data!$AF$2:$AF$1001,$B$6,Clean_Data!$F$2:$F$1001,"&gt;="&amp;$B$7,Clean_Data!$F$2:$F$1001,"&lt;="&amp;$B$8)/$B43,0)</f>
        <v>117.69767441860465</v>
      </c>
      <c r="E43" s="18">
        <f t="shared" si="0"/>
        <v>122.86046511627907</v>
      </c>
    </row>
    <row r="44" spans="1:5" x14ac:dyDescent="0.35">
      <c r="A44" s="15">
        <v>19</v>
      </c>
      <c r="B44" s="15">
        <f>COUNTIFS(Clean_Data!$J$2:$J$1001,$A44,Clean_Data!$V$2:$V$1001,$B$3,Clean_Data!$W$2:$W$1001,$B$4,Clean_Data!$Z$2:$Z$1001,$B$5,Clean_Data!$AF$2:$AF$1001,$B$6,Clean_Data!$F$2:$F$1001,"&gt;="&amp;$B$7,Clean_Data!$F$2:$F$1001,"&lt;="&amp;$B$8)</f>
        <v>43</v>
      </c>
      <c r="C44" s="18">
        <f>IF($B44&gt;0,SUMIFS(Clean_Data!$S$2:$S$1001,Clean_Data!$J$2:$J$1001,$A44,Clean_Data!$V$2:$V$1001,$B$3,Clean_Data!$W$2:$W$1001,$B$4,Clean_Data!$Z$2:$Z$1001,$B$5,Clean_Data!$AF$2:$AF$1001,$B$6,Clean_Data!$F$2:$F$1001,"&gt;="&amp;$B$7,Clean_Data!$F$2:$F$1001,"&lt;="&amp;$B$8)/$B44,0)</f>
        <v>4.3488372093023253</v>
      </c>
      <c r="D44" s="18">
        <f>IF($B44&gt;0,SUMIFS(Clean_Data!$T$2:$T$1001,Clean_Data!$J$2:$J$1001,$A44,Clean_Data!$V$2:$V$1001,$B$3,Clean_Data!$W$2:$W$1001,$B$4,Clean_Data!$Z$2:$Z$1001,$B$5,Clean_Data!$AF$2:$AF$1001,$B$6,Clean_Data!$F$2:$F$1001,"&gt;="&amp;$B$7,Clean_Data!$F$2:$F$1001,"&lt;="&amp;$B$8)/$B44,0)</f>
        <v>80.79069767441861</v>
      </c>
      <c r="E44" s="18">
        <f t="shared" si="0"/>
        <v>85.139534883720941</v>
      </c>
    </row>
    <row r="45" spans="1:5" x14ac:dyDescent="0.35">
      <c r="A45" s="15">
        <v>20</v>
      </c>
      <c r="B45" s="15">
        <f>COUNTIFS(Clean_Data!$J$2:$J$1001,$A45,Clean_Data!$V$2:$V$1001,$B$3,Clean_Data!$W$2:$W$1001,$B$4,Clean_Data!$Z$2:$Z$1001,$B$5,Clean_Data!$AF$2:$AF$1001,$B$6,Clean_Data!$F$2:$F$1001,"&gt;="&amp;$B$7,Clean_Data!$F$2:$F$1001,"&lt;="&amp;$B$8)</f>
        <v>43</v>
      </c>
      <c r="C45" s="18">
        <f>IF($B45&gt;0,SUMIFS(Clean_Data!$S$2:$S$1001,Clean_Data!$J$2:$J$1001,$A45,Clean_Data!$V$2:$V$1001,$B$3,Clean_Data!$W$2:$W$1001,$B$4,Clean_Data!$Z$2:$Z$1001,$B$5,Clean_Data!$AF$2:$AF$1001,$B$6,Clean_Data!$F$2:$F$1001,"&gt;="&amp;$B$7,Clean_Data!$F$2:$F$1001,"&lt;="&amp;$B$8)/$B45,0)</f>
        <v>3.2558139534883721</v>
      </c>
      <c r="D45" s="18">
        <f>IF($B45&gt;0,SUMIFS(Clean_Data!$T$2:$T$1001,Clean_Data!$J$2:$J$1001,$A45,Clean_Data!$V$2:$V$1001,$B$3,Clean_Data!$W$2:$W$1001,$B$4,Clean_Data!$Z$2:$Z$1001,$B$5,Clean_Data!$AF$2:$AF$1001,$B$6,Clean_Data!$F$2:$F$1001,"&gt;="&amp;$B$7,Clean_Data!$F$2:$F$1001,"&lt;="&amp;$B$8)/$B45,0)</f>
        <v>58.511627906976742</v>
      </c>
      <c r="E45" s="18">
        <f t="shared" si="0"/>
        <v>61.767441860465112</v>
      </c>
    </row>
    <row r="46" spans="1:5" x14ac:dyDescent="0.35">
      <c r="A46" s="15">
        <v>21</v>
      </c>
      <c r="B46" s="15">
        <f>COUNTIFS(Clean_Data!$J$2:$J$1001,$A46,Clean_Data!$V$2:$V$1001,$B$3,Clean_Data!$W$2:$W$1001,$B$4,Clean_Data!$Z$2:$Z$1001,$B$5,Clean_Data!$AF$2:$AF$1001,$B$6,Clean_Data!$F$2:$F$1001,"&gt;="&amp;$B$7,Clean_Data!$F$2:$F$1001,"&lt;="&amp;$B$8)</f>
        <v>43</v>
      </c>
      <c r="C46" s="18">
        <f>IF($B46&gt;0,SUMIFS(Clean_Data!$S$2:$S$1001,Clean_Data!$J$2:$J$1001,$A46,Clean_Data!$V$2:$V$1001,$B$3,Clean_Data!$W$2:$W$1001,$B$4,Clean_Data!$Z$2:$Z$1001,$B$5,Clean_Data!$AF$2:$AF$1001,$B$6,Clean_Data!$F$2:$F$1001,"&gt;="&amp;$B$7,Clean_Data!$F$2:$F$1001,"&lt;="&amp;$B$8)/$B46,0)</f>
        <v>2.7209302325581395</v>
      </c>
      <c r="D46" s="18">
        <f>IF($B46&gt;0,SUMIFS(Clean_Data!$T$2:$T$1001,Clean_Data!$J$2:$J$1001,$A46,Clean_Data!$V$2:$V$1001,$B$3,Clean_Data!$W$2:$W$1001,$B$4,Clean_Data!$Z$2:$Z$1001,$B$5,Clean_Data!$AF$2:$AF$1001,$B$6,Clean_Data!$F$2:$F$1001,"&gt;="&amp;$B$7,Clean_Data!$F$2:$F$1001,"&lt;="&amp;$B$8)/$B46,0)</f>
        <v>43.697674418604649</v>
      </c>
      <c r="E46" s="18">
        <f t="shared" si="0"/>
        <v>46.418604651162788</v>
      </c>
    </row>
    <row r="47" spans="1:5" x14ac:dyDescent="0.35">
      <c r="A47" s="15">
        <v>22</v>
      </c>
      <c r="B47" s="15">
        <f>COUNTIFS(Clean_Data!$J$2:$J$1001,$A47,Clean_Data!$V$2:$V$1001,$B$3,Clean_Data!$W$2:$W$1001,$B$4,Clean_Data!$Z$2:$Z$1001,$B$5,Clean_Data!$AF$2:$AF$1001,$B$6,Clean_Data!$F$2:$F$1001,"&gt;="&amp;$B$7,Clean_Data!$F$2:$F$1001,"&lt;="&amp;$B$8)</f>
        <v>43</v>
      </c>
      <c r="C47" s="18">
        <f>IF($B47&gt;0,SUMIFS(Clean_Data!$S$2:$S$1001,Clean_Data!$J$2:$J$1001,$A47,Clean_Data!$V$2:$V$1001,$B$3,Clean_Data!$W$2:$W$1001,$B$4,Clean_Data!$Z$2:$Z$1001,$B$5,Clean_Data!$AF$2:$AF$1001,$B$6,Clean_Data!$F$2:$F$1001,"&gt;="&amp;$B$7,Clean_Data!$F$2:$F$1001,"&lt;="&amp;$B$8)/$B47,0)</f>
        <v>2.3953488372093021</v>
      </c>
      <c r="D47" s="18">
        <f>IF($B47&gt;0,SUMIFS(Clean_Data!$T$2:$T$1001,Clean_Data!$J$2:$J$1001,$A47,Clean_Data!$V$2:$V$1001,$B$3,Clean_Data!$W$2:$W$1001,$B$4,Clean_Data!$Z$2:$Z$1001,$B$5,Clean_Data!$AF$2:$AF$1001,$B$6,Clean_Data!$F$2:$F$1001,"&gt;="&amp;$B$7,Clean_Data!$F$2:$F$1001,"&lt;="&amp;$B$8)/$B47,0)</f>
        <v>32.674418604651166</v>
      </c>
      <c r="E47" s="18">
        <f t="shared" si="0"/>
        <v>35.069767441860471</v>
      </c>
    </row>
    <row r="48" spans="1:5" x14ac:dyDescent="0.35">
      <c r="A48" s="15">
        <v>23</v>
      </c>
      <c r="B48" s="15">
        <f>COUNTIFS(Clean_Data!$J$2:$J$1001,$A48,Clean_Data!$V$2:$V$1001,$B$3,Clean_Data!$W$2:$W$1001,$B$4,Clean_Data!$Z$2:$Z$1001,$B$5,Clean_Data!$AF$2:$AF$1001,$B$6,Clean_Data!$F$2:$F$1001,"&gt;="&amp;$B$7,Clean_Data!$F$2:$F$1001,"&lt;="&amp;$B$8)</f>
        <v>43</v>
      </c>
      <c r="C48" s="18">
        <f>IF($B48&gt;0,SUMIFS(Clean_Data!$S$2:$S$1001,Clean_Data!$J$2:$J$1001,$A48,Clean_Data!$V$2:$V$1001,$B$3,Clean_Data!$W$2:$W$1001,$B$4,Clean_Data!$Z$2:$Z$1001,$B$5,Clean_Data!$AF$2:$AF$1001,$B$6,Clean_Data!$F$2:$F$1001,"&gt;="&amp;$B$7,Clean_Data!$F$2:$F$1001,"&lt;="&amp;$B$8)/$B48,0)</f>
        <v>2.3488372093023258</v>
      </c>
      <c r="D48" s="18">
        <f>IF($B48&gt;0,SUMIFS(Clean_Data!$T$2:$T$1001,Clean_Data!$J$2:$J$1001,$A48,Clean_Data!$V$2:$V$1001,$B$3,Clean_Data!$W$2:$W$1001,$B$4,Clean_Data!$Z$2:$Z$1001,$B$5,Clean_Data!$AF$2:$AF$1001,$B$6,Clean_Data!$F$2:$F$1001,"&gt;="&amp;$B$7,Clean_Data!$F$2:$F$1001,"&lt;="&amp;$B$8)/$B48,0)</f>
        <v>22.837209302325583</v>
      </c>
      <c r="E48" s="18">
        <f t="shared" si="0"/>
        <v>25.186046511627907</v>
      </c>
    </row>
    <row r="51" spans="1:4" x14ac:dyDescent="0.35">
      <c r="A51" s="1" t="s">
        <v>107</v>
      </c>
    </row>
    <row r="52" spans="1:4" x14ac:dyDescent="0.35">
      <c r="A52" s="9" t="s">
        <v>5</v>
      </c>
      <c r="B52" s="9" t="s">
        <v>75</v>
      </c>
      <c r="C52" s="9" t="s">
        <v>72</v>
      </c>
      <c r="D52" s="9" t="s">
        <v>108</v>
      </c>
    </row>
    <row r="53" spans="1:4" x14ac:dyDescent="0.35">
      <c r="A53" s="15" t="str">
        <f>Lookups!$K$6</f>
        <v>Clear / Partly cloudy</v>
      </c>
      <c r="B53" s="15">
        <f>COUNTIFS(Clean_Data!$W$2:$W$1001,$A53,Clean_Data!$V$2:$V$1001,$B$3,Clean_Data!$Z$2:$Z$1001,$B$5,Clean_Data!$AF$2:$AF$1001,$B$6,Clean_Data!$F$2:$F$1001,"&gt;="&amp;$B$7,Clean_Data!$F$2:$F$1001,"&lt;="&amp;$B$8)</f>
        <v>606</v>
      </c>
      <c r="C53" s="18">
        <f>IF($B53&gt;0,SUMIFS(Clean_Data!$U$2:$U$1001,Clean_Data!$W$2:$W$1001,$A53,Clean_Data!$V$2:$V$1001,$B$3,Clean_Data!$Z$2:$Z$1001,$B$5,Clean_Data!$AF$2:$AF$1001,$B$6,Clean_Data!$F$2:$F$1001,"&gt;="&amp;$B$7,Clean_Data!$F$2:$F$1001,"&lt;="&amp;$B$8)/$B53,0)</f>
        <v>61.671617161716171</v>
      </c>
      <c r="D53" s="15" t="str">
        <f>$A53&amp;" (n="&amp;$B53&amp;")"</f>
        <v>Clear / Partly cloudy (n=606)</v>
      </c>
    </row>
    <row r="54" spans="1:4" x14ac:dyDescent="0.35">
      <c r="A54" s="15" t="str">
        <f>Lookups!$K$7</f>
        <v>Mist / Cloudy</v>
      </c>
      <c r="B54" s="15">
        <f>COUNTIFS(Clean_Data!$W$2:$W$1001,$A54,Clean_Data!$V$2:$V$1001,$B$3,Clean_Data!$Z$2:$Z$1001,$B$5,Clean_Data!$AF$2:$AF$1001,$B$6,Clean_Data!$F$2:$F$1001,"&gt;="&amp;$B$7,Clean_Data!$F$2:$F$1001,"&lt;="&amp;$B$8)</f>
        <v>309</v>
      </c>
      <c r="C54" s="18">
        <f>IF($B54&gt;0,SUMIFS(Clean_Data!$U$2:$U$1001,Clean_Data!$W$2:$W$1001,$A54,Clean_Data!$V$2:$V$1001,$B$3,Clean_Data!$Z$2:$Z$1001,$B$5,Clean_Data!$AF$2:$AF$1001,$B$6,Clean_Data!$F$2:$F$1001,"&gt;="&amp;$B$7,Clean_Data!$F$2:$F$1001,"&lt;="&amp;$B$8)/$B54,0)</f>
        <v>58.595469255663431</v>
      </c>
      <c r="D54" s="15" t="str">
        <f>$A54&amp;" (n="&amp;$B54&amp;")"</f>
        <v>Mist / Cloudy (n=309)</v>
      </c>
    </row>
    <row r="55" spans="1:4" x14ac:dyDescent="0.35">
      <c r="A55" s="15" t="str">
        <f>Lookups!$K$8</f>
        <v>Light snow / Light rain</v>
      </c>
      <c r="B55" s="15">
        <f>COUNTIFS(Clean_Data!$W$2:$W$1001,$A55,Clean_Data!$V$2:$V$1001,$B$3,Clean_Data!$Z$2:$Z$1001,$B$5,Clean_Data!$AF$2:$AF$1001,$B$6,Clean_Data!$F$2:$F$1001,"&gt;="&amp;$B$7,Clean_Data!$F$2:$F$1001,"&lt;="&amp;$B$8)</f>
        <v>84</v>
      </c>
      <c r="C55" s="18">
        <f>IF($B55&gt;0,SUMIFS(Clean_Data!$U$2:$U$1001,Clean_Data!$W$2:$W$1001,$A55,Clean_Data!$V$2:$V$1001,$B$3,Clean_Data!$Z$2:$Z$1001,$B$5,Clean_Data!$AF$2:$AF$1001,$B$6,Clean_Data!$F$2:$F$1001,"&gt;="&amp;$B$7,Clean_Data!$F$2:$F$1001,"&lt;="&amp;$B$8)/$B55,0)</f>
        <v>33.202380952380949</v>
      </c>
      <c r="D55" s="15" t="str">
        <f>$A55&amp;" (n="&amp;$B55&amp;")"</f>
        <v>Light snow / Light rain (n=84)</v>
      </c>
    </row>
    <row r="56" spans="1:4" x14ac:dyDescent="0.35">
      <c r="A56" s="15" t="str">
        <f>Lookups!$K$9</f>
        <v>Heavy rain / Snow / Fog</v>
      </c>
      <c r="B56" s="15">
        <f>COUNTIFS(Clean_Data!$W$2:$W$1001,$A56,Clean_Data!$V$2:$V$1001,$B$3,Clean_Data!$Z$2:$Z$1001,$B$5,Clean_Data!$AF$2:$AF$1001,$B$6,Clean_Data!$F$2:$F$1001,"&gt;="&amp;$B$7,Clean_Data!$F$2:$F$1001,"&lt;="&amp;$B$8)</f>
        <v>1</v>
      </c>
      <c r="C56" s="18">
        <f>IF($B56&gt;0,SUMIFS(Clean_Data!$U$2:$U$1001,Clean_Data!$W$2:$W$1001,$A56,Clean_Data!$V$2:$V$1001,$B$3,Clean_Data!$Z$2:$Z$1001,$B$5,Clean_Data!$AF$2:$AF$1001,$B$6,Clean_Data!$F$2:$F$1001,"&gt;="&amp;$B$7,Clean_Data!$F$2:$F$1001,"&lt;="&amp;$B$8)/$B56,0)</f>
        <v>36</v>
      </c>
      <c r="D56" s="15" t="str">
        <f>$A56&amp;" (n="&amp;$B56&amp;")"</f>
        <v>Heavy rain / Snow / Fog (n=1)</v>
      </c>
    </row>
    <row r="59" spans="1:4" x14ac:dyDescent="0.35">
      <c r="A59" s="1" t="s">
        <v>109</v>
      </c>
    </row>
    <row r="60" spans="1:4" x14ac:dyDescent="0.35">
      <c r="A60" s="9" t="s">
        <v>6</v>
      </c>
      <c r="B60" s="9" t="s">
        <v>75</v>
      </c>
      <c r="C60" s="9" t="s">
        <v>104</v>
      </c>
      <c r="D60" s="9" t="s">
        <v>105</v>
      </c>
    </row>
    <row r="61" spans="1:4" x14ac:dyDescent="0.35">
      <c r="A61" s="15" t="str">
        <f>Lookups!$J$6</f>
        <v>Weekday</v>
      </c>
      <c r="B61" s="15">
        <f>COUNTIFS(Clean_Data!$V$2:$V$1001,$A61,Clean_Data!$W$2:$W$1001,$B$4,Clean_Data!$Z$2:$Z$1001,$B$5,Clean_Data!$AF$2:$AF$1001,$B$6,Clean_Data!$F$2:$F$1001,"&gt;="&amp;$B$7,Clean_Data!$F$2:$F$1001,"&lt;="&amp;$B$8)</f>
        <v>646</v>
      </c>
      <c r="C61" s="18">
        <f>IF($B61&gt;0,SUMIFS(Clean_Data!$S$2:$S$1001,Clean_Data!$V$2:$V$1001,$A61,Clean_Data!$W$2:$W$1001,$B$4,Clean_Data!$Z$2:$Z$1001,$B$5,Clean_Data!$AF$2:$AF$1001,$B$6,Clean_Data!$F$2:$F$1001,"&gt;="&amp;$B$7,Clean_Data!$F$2:$F$1001,"&lt;="&amp;$B$8)/$B61,0)</f>
        <v>3.2538699690402475</v>
      </c>
      <c r="D61" s="18">
        <f>IF($B61&gt;0,SUMIFS(Clean_Data!$T$2:$T$1001,Clean_Data!$V$2:$V$1001,$A61,Clean_Data!$W$2:$W$1001,$B$4,Clean_Data!$Z$2:$Z$1001,$B$5,Clean_Data!$AF$2:$AF$1001,$B$6,Clean_Data!$F$2:$F$1001,"&gt;="&amp;$B$7,Clean_Data!$F$2:$F$1001,"&lt;="&amp;$B$8)/$B61,0)</f>
        <v>60.88699690402477</v>
      </c>
    </row>
    <row r="62" spans="1:4" x14ac:dyDescent="0.35">
      <c r="A62" s="15" t="str">
        <f>Lookups!$J$7</f>
        <v>Weekend</v>
      </c>
      <c r="B62" s="15">
        <f>COUNTIFS(Clean_Data!$V$2:$V$1001,$A62,Clean_Data!$W$2:$W$1001,$B$4,Clean_Data!$Z$2:$Z$1001,$B$5,Clean_Data!$AF$2:$AF$1001,$B$6,Clean_Data!$F$2:$F$1001,"&gt;="&amp;$B$7,Clean_Data!$F$2:$F$1001,"&lt;="&amp;$B$8)</f>
        <v>330</v>
      </c>
      <c r="C62" s="18">
        <f>IF($B62&gt;0,SUMIFS(Clean_Data!$S$2:$S$1001,Clean_Data!$V$2:$V$1001,$A62,Clean_Data!$W$2:$W$1001,$B$4,Clean_Data!$Z$2:$Z$1001,$B$5,Clean_Data!$AF$2:$AF$1001,$B$6,Clean_Data!$F$2:$F$1001,"&gt;="&amp;$B$7,Clean_Data!$F$2:$F$1001,"&lt;="&amp;$B$8)/$B62,0)</f>
        <v>8.1878787878787875</v>
      </c>
      <c r="D62" s="18">
        <f>IF($B62&gt;0,SUMIFS(Clean_Data!$T$2:$T$1001,Clean_Data!$V$2:$V$1001,$A62,Clean_Data!$W$2:$W$1001,$B$4,Clean_Data!$Z$2:$Z$1001,$B$5,Clean_Data!$AF$2:$AF$1001,$B$6,Clean_Data!$F$2:$F$1001,"&gt;="&amp;$B$7,Clean_Data!$F$2:$F$1001,"&lt;="&amp;$B$8)/$B62,0)</f>
        <v>39.9</v>
      </c>
    </row>
    <row r="63" spans="1:4" x14ac:dyDescent="0.35">
      <c r="A63" s="15" t="str">
        <f>Lookups!$J$8</f>
        <v>Holiday</v>
      </c>
      <c r="B63" s="15">
        <f>COUNTIFS(Clean_Data!$V$2:$V$1001,$A63,Clean_Data!$W$2:$W$1001,$B$4,Clean_Data!$Z$2:$Z$1001,$B$5,Clean_Data!$AF$2:$AF$1001,$B$6,Clean_Data!$F$2:$F$1001,"&gt;="&amp;$B$7,Clean_Data!$F$2:$F$1001,"&lt;="&amp;$B$8)</f>
        <v>24</v>
      </c>
      <c r="C63" s="18">
        <f>IF($B63&gt;0,SUMIFS(Clean_Data!$S$2:$S$1001,Clean_Data!$V$2:$V$1001,$A63,Clean_Data!$W$2:$W$1001,$B$4,Clean_Data!$Z$2:$Z$1001,$B$5,Clean_Data!$AF$2:$AF$1001,$B$6,Clean_Data!$F$2:$F$1001,"&gt;="&amp;$B$7,Clean_Data!$F$2:$F$1001,"&lt;="&amp;$B$8)/$B63,0)</f>
        <v>4.875</v>
      </c>
      <c r="D63" s="18">
        <f>IF($B63&gt;0,SUMIFS(Clean_Data!$T$2:$T$1001,Clean_Data!$V$2:$V$1001,$A63,Clean_Data!$W$2:$W$1001,$B$4,Clean_Data!$Z$2:$Z$1001,$B$5,Clean_Data!$AF$2:$AF$1001,$B$6,Clean_Data!$F$2:$F$1001,"&gt;="&amp;$B$7,Clean_Data!$F$2:$F$1001,"&lt;="&amp;$B$8)/$B63,0)</f>
        <v>36.791666666666664</v>
      </c>
    </row>
    <row r="66" spans="1:6" x14ac:dyDescent="0.35">
      <c r="A66" s="1" t="s">
        <v>110</v>
      </c>
    </row>
    <row r="67" spans="1:6" x14ac:dyDescent="0.35">
      <c r="A67" s="9" t="s">
        <v>111</v>
      </c>
      <c r="B67" s="9" t="s">
        <v>112</v>
      </c>
      <c r="C67" s="9" t="s">
        <v>113</v>
      </c>
      <c r="D67" s="9" t="s">
        <v>75</v>
      </c>
      <c r="E67" s="9" t="s">
        <v>72</v>
      </c>
      <c r="F67" s="9" t="s">
        <v>108</v>
      </c>
    </row>
    <row r="68" spans="1:6" x14ac:dyDescent="0.35">
      <c r="A68" s="15" t="s">
        <v>114</v>
      </c>
      <c r="B68" s="21">
        <v>-100</v>
      </c>
      <c r="C68" s="21">
        <v>0</v>
      </c>
      <c r="D68" s="15">
        <f>COUNTIFS(Clean_Data!$AA$2:$AA$1001,"&gt;="&amp;$B68,Clean_Data!$AA$2:$AA$1001,"&lt;"&amp;$C68,Clean_Data!$V$2:$V$1001,$B$3,Clean_Data!$W$2:$W$1001,$B$4,Clean_Data!$Z$2:$Z$1001,$B$5,Clean_Data!$AF$2:$AF$1001,$B$6,Clean_Data!$F$2:$F$1001,"&gt;="&amp;$B$7,Clean_Data!$F$2:$F$1001,"&lt;="&amp;$B$8)</f>
        <v>346</v>
      </c>
      <c r="E68" s="18">
        <f>IF($D68&gt;0,SUMIFS(Clean_Data!$U$2:$U$1001,Clean_Data!$AA$2:$AA$1001,"&gt;="&amp;$B68,Clean_Data!$AA$2:$AA$1001,"&lt;"&amp;$C68,Clean_Data!$V$2:$V$1001,$B$3,Clean_Data!$W$2:$W$1001,$B$4,Clean_Data!$Z$2:$Z$1001,$B$5,Clean_Data!$AF$2:$AF$1001,$B$6,Clean_Data!$F$2:$F$1001,"&gt;="&amp;$B$7,Clean_Data!$F$2:$F$1001,"&lt;="&amp;$B$8)/$D68,0)</f>
        <v>46.881502890173408</v>
      </c>
      <c r="F68" s="15" t="str">
        <f>$A68&amp;" (n="&amp;$D68&amp;")"</f>
        <v>Below 0°C (n=346)</v>
      </c>
    </row>
    <row r="69" spans="1:6" x14ac:dyDescent="0.35">
      <c r="A69" s="15" t="s">
        <v>115</v>
      </c>
      <c r="B69" s="21">
        <v>0</v>
      </c>
      <c r="C69" s="21">
        <v>5</v>
      </c>
      <c r="D69" s="15">
        <f>COUNTIFS(Clean_Data!$AA$2:$AA$1001,"&gt;="&amp;$B69,Clean_Data!$AA$2:$AA$1001,"&lt;"&amp;$C69,Clean_Data!$V$2:$V$1001,$B$3,Clean_Data!$W$2:$W$1001,$B$4,Clean_Data!$Z$2:$Z$1001,$B$5,Clean_Data!$AF$2:$AF$1001,$B$6,Clean_Data!$F$2:$F$1001,"&gt;="&amp;$B$7,Clean_Data!$F$2:$F$1001,"&lt;="&amp;$B$8)</f>
        <v>489</v>
      </c>
      <c r="E69" s="18">
        <f>IF($D69&gt;0,SUMIFS(Clean_Data!$U$2:$U$1001,Clean_Data!$AA$2:$AA$1001,"&gt;="&amp;$B69,Clean_Data!$AA$2:$AA$1001,"&lt;"&amp;$C69,Clean_Data!$V$2:$V$1001,$B$3,Clean_Data!$W$2:$W$1001,$B$4,Clean_Data!$Z$2:$Z$1001,$B$5,Clean_Data!$AF$2:$AF$1001,$B$6,Clean_Data!$F$2:$F$1001,"&gt;="&amp;$B$7,Clean_Data!$F$2:$F$1001,"&lt;="&amp;$B$8)/$D69,0)</f>
        <v>57.883435582822088</v>
      </c>
      <c r="F69" s="15" t="str">
        <f>$A69&amp;" (n="&amp;$D69&amp;")"</f>
        <v>0 to &lt;5°C (n=489)</v>
      </c>
    </row>
    <row r="70" spans="1:6" x14ac:dyDescent="0.35">
      <c r="A70" s="15" t="s">
        <v>116</v>
      </c>
      <c r="B70" s="21">
        <v>5</v>
      </c>
      <c r="C70" s="21">
        <v>10</v>
      </c>
      <c r="D70" s="15">
        <f>COUNTIFS(Clean_Data!$AA$2:$AA$1001,"&gt;="&amp;$B70,Clean_Data!$AA$2:$AA$1001,"&lt;"&amp;$C70,Clean_Data!$V$2:$V$1001,$B$3,Clean_Data!$W$2:$W$1001,$B$4,Clean_Data!$Z$2:$Z$1001,$B$5,Clean_Data!$AF$2:$AF$1001,$B$6,Clean_Data!$F$2:$F$1001,"&gt;="&amp;$B$7,Clean_Data!$F$2:$F$1001,"&lt;="&amp;$B$8)</f>
        <v>132</v>
      </c>
      <c r="E70" s="18">
        <f>IF($D70&gt;0,SUMIFS(Clean_Data!$U$2:$U$1001,Clean_Data!$AA$2:$AA$1001,"&gt;="&amp;$B70,Clean_Data!$AA$2:$AA$1001,"&lt;"&amp;$C70,Clean_Data!$V$2:$V$1001,$B$3,Clean_Data!$W$2:$W$1001,$B$4,Clean_Data!$Z$2:$Z$1001,$B$5,Clean_Data!$AF$2:$AF$1001,$B$6,Clean_Data!$F$2:$F$1001,"&gt;="&amp;$B$7,Clean_Data!$F$2:$F$1001,"&lt;="&amp;$B$8)/$D70,0)</f>
        <v>89.507575757575751</v>
      </c>
      <c r="F70" s="15" t="str">
        <f>$A70&amp;" (n="&amp;$D70&amp;")"</f>
        <v>5 to &lt;10°C (n=132)</v>
      </c>
    </row>
    <row r="71" spans="1:6" x14ac:dyDescent="0.35">
      <c r="A71" s="15" t="s">
        <v>117</v>
      </c>
      <c r="B71" s="21">
        <v>10</v>
      </c>
      <c r="C71" s="21">
        <v>100</v>
      </c>
      <c r="D71" s="15">
        <f>COUNTIFS(Clean_Data!$AA$2:$AA$1001,"&gt;="&amp;$B71,Clean_Data!$AA$2:$AA$1001,"&lt;"&amp;$C71,Clean_Data!$V$2:$V$1001,$B$3,Clean_Data!$W$2:$W$1001,$B$4,Clean_Data!$Z$2:$Z$1001,$B$5,Clean_Data!$AF$2:$AF$1001,$B$6,Clean_Data!$F$2:$F$1001,"&gt;="&amp;$B$7,Clean_Data!$F$2:$F$1001,"&lt;="&amp;$B$8)</f>
        <v>33</v>
      </c>
      <c r="E71" s="18">
        <f>IF($D71&gt;0,SUMIFS(Clean_Data!$U$2:$U$1001,Clean_Data!$AA$2:$AA$1001,"&gt;="&amp;$B71,Clean_Data!$AA$2:$AA$1001,"&lt;"&amp;$C71,Clean_Data!$V$2:$V$1001,$B$3,Clean_Data!$W$2:$W$1001,$B$4,Clean_Data!$Z$2:$Z$1001,$B$5,Clean_Data!$AF$2:$AF$1001,$B$6,Clean_Data!$F$2:$F$1001,"&gt;="&amp;$B$7,Clean_Data!$F$2:$F$1001,"&lt;="&amp;$B$8)/$D71,0)</f>
        <v>59.484848484848484</v>
      </c>
      <c r="F71" s="15" t="str">
        <f>$A71&amp;" (n="&amp;$D71&amp;")"</f>
        <v>10°C and above (n=33)</v>
      </c>
    </row>
    <row r="74" spans="1:6" x14ac:dyDescent="0.35">
      <c r="A74" s="1" t="s">
        <v>118</v>
      </c>
    </row>
    <row r="75" spans="1:6" x14ac:dyDescent="0.35">
      <c r="A75" s="9" t="s">
        <v>119</v>
      </c>
      <c r="B75" s="9" t="s">
        <v>75</v>
      </c>
      <c r="C75" s="9" t="s">
        <v>71</v>
      </c>
      <c r="D75" s="9" t="s">
        <v>120</v>
      </c>
    </row>
    <row r="76" spans="1:6" x14ac:dyDescent="0.35">
      <c r="A76" s="22">
        <f>MIN(Clean_Data!$F$2:$F$1001)</f>
        <v>40544</v>
      </c>
      <c r="B76" s="15">
        <f>COUNTIFS(Clean_Data!$F$2:$F$1001,$A76,Clean_Data!$V$2:$V$1001,$B$3,Clean_Data!$W$2:$W$1001,$B$4,Clean_Data!$Z$2:$Z$1001,$B$5,Clean_Data!$AF$2:$AF$1001,$B$6,Clean_Data!$F$2:$F$1001,"&gt;="&amp;$B$7,Clean_Data!$F$2:$F$1001,"&lt;="&amp;$B$8)</f>
        <v>24</v>
      </c>
      <c r="C76" s="15">
        <f>SUMIFS(Clean_Data!$U$2:$U$1001,Clean_Data!$F$2:$F$1001,$A76,Clean_Data!$V$2:$V$1001,$B$3,Clean_Data!$W$2:$W$1001,$B$4,Clean_Data!$Z$2:$Z$1001,$B$5,Clean_Data!$AF$2:$AF$1001,$B$6,Clean_Data!$F$2:$F$1001,"&gt;="&amp;$B$7,Clean_Data!$F$2:$F$1001,"&lt;="&amp;$B$8)</f>
        <v>985</v>
      </c>
      <c r="D76" s="15" t="str">
        <f>IF($A76=MAX(Clean_Data!$F$2:$F$1001),"Partial day","")</f>
        <v/>
      </c>
    </row>
    <row r="77" spans="1:6" x14ac:dyDescent="0.35">
      <c r="A77" s="22">
        <f t="shared" ref="A77:A120" si="1">A76+1</f>
        <v>40545</v>
      </c>
      <c r="B77" s="15">
        <f>COUNTIFS(Clean_Data!$F$2:$F$1001,$A77,Clean_Data!$V$2:$V$1001,$B$3,Clean_Data!$W$2:$W$1001,$B$4,Clean_Data!$Z$2:$Z$1001,$B$5,Clean_Data!$AF$2:$AF$1001,$B$6,Clean_Data!$F$2:$F$1001,"&gt;="&amp;$B$7,Clean_Data!$F$2:$F$1001,"&lt;="&amp;$B$8)</f>
        <v>23</v>
      </c>
      <c r="C77" s="15">
        <f>SUMIFS(Clean_Data!$U$2:$U$1001,Clean_Data!$F$2:$F$1001,$A77,Clean_Data!$V$2:$V$1001,$B$3,Clean_Data!$W$2:$W$1001,$B$4,Clean_Data!$Z$2:$Z$1001,$B$5,Clean_Data!$AF$2:$AF$1001,$B$6,Clean_Data!$F$2:$F$1001,"&gt;="&amp;$B$7,Clean_Data!$F$2:$F$1001,"&lt;="&amp;$B$8)</f>
        <v>801</v>
      </c>
      <c r="D77" s="15" t="str">
        <f>IF($A77=MAX(Clean_Data!$F$2:$F$1001),"Partial day","")</f>
        <v/>
      </c>
    </row>
    <row r="78" spans="1:6" x14ac:dyDescent="0.35">
      <c r="A78" s="22">
        <f t="shared" si="1"/>
        <v>40546</v>
      </c>
      <c r="B78" s="15">
        <f>COUNTIFS(Clean_Data!$F$2:$F$1001,$A78,Clean_Data!$V$2:$V$1001,$B$3,Clean_Data!$W$2:$W$1001,$B$4,Clean_Data!$Z$2:$Z$1001,$B$5,Clean_Data!$AF$2:$AF$1001,$B$6,Clean_Data!$F$2:$F$1001,"&gt;="&amp;$B$7,Clean_Data!$F$2:$F$1001,"&lt;="&amp;$B$8)</f>
        <v>22</v>
      </c>
      <c r="C78" s="15">
        <f>SUMIFS(Clean_Data!$U$2:$U$1001,Clean_Data!$F$2:$F$1001,$A78,Clean_Data!$V$2:$V$1001,$B$3,Clean_Data!$W$2:$W$1001,$B$4,Clean_Data!$Z$2:$Z$1001,$B$5,Clean_Data!$AF$2:$AF$1001,$B$6,Clean_Data!$F$2:$F$1001,"&gt;="&amp;$B$7,Clean_Data!$F$2:$F$1001,"&lt;="&amp;$B$8)</f>
        <v>1349</v>
      </c>
      <c r="D78" s="15" t="str">
        <f>IF($A78=MAX(Clean_Data!$F$2:$F$1001),"Partial day","")</f>
        <v/>
      </c>
    </row>
    <row r="79" spans="1:6" x14ac:dyDescent="0.35">
      <c r="A79" s="22">
        <f t="shared" si="1"/>
        <v>40547</v>
      </c>
      <c r="B79" s="15">
        <f>COUNTIFS(Clean_Data!$F$2:$F$1001,$A79,Clean_Data!$V$2:$V$1001,$B$3,Clean_Data!$W$2:$W$1001,$B$4,Clean_Data!$Z$2:$Z$1001,$B$5,Clean_Data!$AF$2:$AF$1001,$B$6,Clean_Data!$F$2:$F$1001,"&gt;="&amp;$B$7,Clean_Data!$F$2:$F$1001,"&lt;="&amp;$B$8)</f>
        <v>23</v>
      </c>
      <c r="C79" s="15">
        <f>SUMIFS(Clean_Data!$U$2:$U$1001,Clean_Data!$F$2:$F$1001,$A79,Clean_Data!$V$2:$V$1001,$B$3,Clean_Data!$W$2:$W$1001,$B$4,Clean_Data!$Z$2:$Z$1001,$B$5,Clean_Data!$AF$2:$AF$1001,$B$6,Clean_Data!$F$2:$F$1001,"&gt;="&amp;$B$7,Clean_Data!$F$2:$F$1001,"&lt;="&amp;$B$8)</f>
        <v>1562</v>
      </c>
      <c r="D79" s="15" t="str">
        <f>IF($A79=MAX(Clean_Data!$F$2:$F$1001),"Partial day","")</f>
        <v/>
      </c>
    </row>
    <row r="80" spans="1:6" x14ac:dyDescent="0.35">
      <c r="A80" s="22">
        <f t="shared" si="1"/>
        <v>40548</v>
      </c>
      <c r="B80" s="15">
        <f>COUNTIFS(Clean_Data!$F$2:$F$1001,$A80,Clean_Data!$V$2:$V$1001,$B$3,Clean_Data!$W$2:$W$1001,$B$4,Clean_Data!$Z$2:$Z$1001,$B$5,Clean_Data!$AF$2:$AF$1001,$B$6,Clean_Data!$F$2:$F$1001,"&gt;="&amp;$B$7,Clean_Data!$F$2:$F$1001,"&lt;="&amp;$B$8)</f>
        <v>23</v>
      </c>
      <c r="C80" s="15">
        <f>SUMIFS(Clean_Data!$U$2:$U$1001,Clean_Data!$F$2:$F$1001,$A80,Clean_Data!$V$2:$V$1001,$B$3,Clean_Data!$W$2:$W$1001,$B$4,Clean_Data!$Z$2:$Z$1001,$B$5,Clean_Data!$AF$2:$AF$1001,$B$6,Clean_Data!$F$2:$F$1001,"&gt;="&amp;$B$7,Clean_Data!$F$2:$F$1001,"&lt;="&amp;$B$8)</f>
        <v>1600</v>
      </c>
      <c r="D80" s="15" t="str">
        <f>IF($A80=MAX(Clean_Data!$F$2:$F$1001),"Partial day","")</f>
        <v/>
      </c>
    </row>
    <row r="81" spans="1:4" x14ac:dyDescent="0.35">
      <c r="A81" s="22">
        <f t="shared" si="1"/>
        <v>40549</v>
      </c>
      <c r="B81" s="15">
        <f>COUNTIFS(Clean_Data!$F$2:$F$1001,$A81,Clean_Data!$V$2:$V$1001,$B$3,Clean_Data!$W$2:$W$1001,$B$4,Clean_Data!$Z$2:$Z$1001,$B$5,Clean_Data!$AF$2:$AF$1001,$B$6,Clean_Data!$F$2:$F$1001,"&gt;="&amp;$B$7,Clean_Data!$F$2:$F$1001,"&lt;="&amp;$B$8)</f>
        <v>23</v>
      </c>
      <c r="C81" s="15">
        <f>SUMIFS(Clean_Data!$U$2:$U$1001,Clean_Data!$F$2:$F$1001,$A81,Clean_Data!$V$2:$V$1001,$B$3,Clean_Data!$W$2:$W$1001,$B$4,Clean_Data!$Z$2:$Z$1001,$B$5,Clean_Data!$AF$2:$AF$1001,$B$6,Clean_Data!$F$2:$F$1001,"&gt;="&amp;$B$7,Clean_Data!$F$2:$F$1001,"&lt;="&amp;$B$8)</f>
        <v>1606</v>
      </c>
      <c r="D81" s="15" t="str">
        <f>IF($A81=MAX(Clean_Data!$F$2:$F$1001),"Partial day","")</f>
        <v/>
      </c>
    </row>
    <row r="82" spans="1:4" x14ac:dyDescent="0.35">
      <c r="A82" s="22">
        <f t="shared" si="1"/>
        <v>40550</v>
      </c>
      <c r="B82" s="15">
        <f>COUNTIFS(Clean_Data!$F$2:$F$1001,$A82,Clean_Data!$V$2:$V$1001,$B$3,Clean_Data!$W$2:$W$1001,$B$4,Clean_Data!$Z$2:$Z$1001,$B$5,Clean_Data!$AF$2:$AF$1001,$B$6,Clean_Data!$F$2:$F$1001,"&gt;="&amp;$B$7,Clean_Data!$F$2:$F$1001,"&lt;="&amp;$B$8)</f>
        <v>23</v>
      </c>
      <c r="C82" s="15">
        <f>SUMIFS(Clean_Data!$U$2:$U$1001,Clean_Data!$F$2:$F$1001,$A82,Clean_Data!$V$2:$V$1001,$B$3,Clean_Data!$W$2:$W$1001,$B$4,Clean_Data!$Z$2:$Z$1001,$B$5,Clean_Data!$AF$2:$AF$1001,$B$6,Clean_Data!$F$2:$F$1001,"&gt;="&amp;$B$7,Clean_Data!$F$2:$F$1001,"&lt;="&amp;$B$8)</f>
        <v>1510</v>
      </c>
      <c r="D82" s="15" t="str">
        <f>IF($A82=MAX(Clean_Data!$F$2:$F$1001),"Partial day","")</f>
        <v/>
      </c>
    </row>
    <row r="83" spans="1:4" x14ac:dyDescent="0.35">
      <c r="A83" s="22">
        <f t="shared" si="1"/>
        <v>40551</v>
      </c>
      <c r="B83" s="15">
        <f>COUNTIFS(Clean_Data!$F$2:$F$1001,$A83,Clean_Data!$V$2:$V$1001,$B$3,Clean_Data!$W$2:$W$1001,$B$4,Clean_Data!$Z$2:$Z$1001,$B$5,Clean_Data!$AF$2:$AF$1001,$B$6,Clean_Data!$F$2:$F$1001,"&gt;="&amp;$B$7,Clean_Data!$F$2:$F$1001,"&lt;="&amp;$B$8)</f>
        <v>24</v>
      </c>
      <c r="C83" s="15">
        <f>SUMIFS(Clean_Data!$U$2:$U$1001,Clean_Data!$F$2:$F$1001,$A83,Clean_Data!$V$2:$V$1001,$B$3,Clean_Data!$W$2:$W$1001,$B$4,Clean_Data!$Z$2:$Z$1001,$B$5,Clean_Data!$AF$2:$AF$1001,$B$6,Clean_Data!$F$2:$F$1001,"&gt;="&amp;$B$7,Clean_Data!$F$2:$F$1001,"&lt;="&amp;$B$8)</f>
        <v>959</v>
      </c>
      <c r="D83" s="15" t="str">
        <f>IF($A83=MAX(Clean_Data!$F$2:$F$1001),"Partial day","")</f>
        <v/>
      </c>
    </row>
    <row r="84" spans="1:4" x14ac:dyDescent="0.35">
      <c r="A84" s="22">
        <f t="shared" si="1"/>
        <v>40552</v>
      </c>
      <c r="B84" s="15">
        <f>COUNTIFS(Clean_Data!$F$2:$F$1001,$A84,Clean_Data!$V$2:$V$1001,$B$3,Clean_Data!$W$2:$W$1001,$B$4,Clean_Data!$Z$2:$Z$1001,$B$5,Clean_Data!$AF$2:$AF$1001,$B$6,Clean_Data!$F$2:$F$1001,"&gt;="&amp;$B$7,Clean_Data!$F$2:$F$1001,"&lt;="&amp;$B$8)</f>
        <v>24</v>
      </c>
      <c r="C84" s="15">
        <f>SUMIFS(Clean_Data!$U$2:$U$1001,Clean_Data!$F$2:$F$1001,$A84,Clean_Data!$V$2:$V$1001,$B$3,Clean_Data!$W$2:$W$1001,$B$4,Clean_Data!$Z$2:$Z$1001,$B$5,Clean_Data!$AF$2:$AF$1001,$B$6,Clean_Data!$F$2:$F$1001,"&gt;="&amp;$B$7,Clean_Data!$F$2:$F$1001,"&lt;="&amp;$B$8)</f>
        <v>822</v>
      </c>
      <c r="D84" s="15" t="str">
        <f>IF($A84=MAX(Clean_Data!$F$2:$F$1001),"Partial day","")</f>
        <v/>
      </c>
    </row>
    <row r="85" spans="1:4" x14ac:dyDescent="0.35">
      <c r="A85" s="22">
        <f t="shared" si="1"/>
        <v>40553</v>
      </c>
      <c r="B85" s="15">
        <f>COUNTIFS(Clean_Data!$F$2:$F$1001,$A85,Clean_Data!$V$2:$V$1001,$B$3,Clean_Data!$W$2:$W$1001,$B$4,Clean_Data!$Z$2:$Z$1001,$B$5,Clean_Data!$AF$2:$AF$1001,$B$6,Clean_Data!$F$2:$F$1001,"&gt;="&amp;$B$7,Clean_Data!$F$2:$F$1001,"&lt;="&amp;$B$8)</f>
        <v>24</v>
      </c>
      <c r="C85" s="15">
        <f>SUMIFS(Clean_Data!$U$2:$U$1001,Clean_Data!$F$2:$F$1001,$A85,Clean_Data!$V$2:$V$1001,$B$3,Clean_Data!$W$2:$W$1001,$B$4,Clean_Data!$Z$2:$Z$1001,$B$5,Clean_Data!$AF$2:$AF$1001,$B$6,Clean_Data!$F$2:$F$1001,"&gt;="&amp;$B$7,Clean_Data!$F$2:$F$1001,"&lt;="&amp;$B$8)</f>
        <v>1321</v>
      </c>
      <c r="D85" s="15" t="str">
        <f>IF($A85=MAX(Clean_Data!$F$2:$F$1001),"Partial day","")</f>
        <v/>
      </c>
    </row>
    <row r="86" spans="1:4" x14ac:dyDescent="0.35">
      <c r="A86" s="22">
        <f t="shared" si="1"/>
        <v>40554</v>
      </c>
      <c r="B86" s="15">
        <f>COUNTIFS(Clean_Data!$F$2:$F$1001,$A86,Clean_Data!$V$2:$V$1001,$B$3,Clean_Data!$W$2:$W$1001,$B$4,Clean_Data!$Z$2:$Z$1001,$B$5,Clean_Data!$AF$2:$AF$1001,$B$6,Clean_Data!$F$2:$F$1001,"&gt;="&amp;$B$7,Clean_Data!$F$2:$F$1001,"&lt;="&amp;$B$8)</f>
        <v>22</v>
      </c>
      <c r="C86" s="15">
        <f>SUMIFS(Clean_Data!$U$2:$U$1001,Clean_Data!$F$2:$F$1001,$A86,Clean_Data!$V$2:$V$1001,$B$3,Clean_Data!$W$2:$W$1001,$B$4,Clean_Data!$Z$2:$Z$1001,$B$5,Clean_Data!$AF$2:$AF$1001,$B$6,Clean_Data!$F$2:$F$1001,"&gt;="&amp;$B$7,Clean_Data!$F$2:$F$1001,"&lt;="&amp;$B$8)</f>
        <v>1263</v>
      </c>
      <c r="D86" s="15" t="str">
        <f>IF($A86=MAX(Clean_Data!$F$2:$F$1001),"Partial day","")</f>
        <v/>
      </c>
    </row>
    <row r="87" spans="1:4" x14ac:dyDescent="0.35">
      <c r="A87" s="22">
        <f t="shared" si="1"/>
        <v>40555</v>
      </c>
      <c r="B87" s="15">
        <f>COUNTIFS(Clean_Data!$F$2:$F$1001,$A87,Clean_Data!$V$2:$V$1001,$B$3,Clean_Data!$W$2:$W$1001,$B$4,Clean_Data!$Z$2:$Z$1001,$B$5,Clean_Data!$AF$2:$AF$1001,$B$6,Clean_Data!$F$2:$F$1001,"&gt;="&amp;$B$7,Clean_Data!$F$2:$F$1001,"&lt;="&amp;$B$8)</f>
        <v>22</v>
      </c>
      <c r="C87" s="15">
        <f>SUMIFS(Clean_Data!$U$2:$U$1001,Clean_Data!$F$2:$F$1001,$A87,Clean_Data!$V$2:$V$1001,$B$3,Clean_Data!$W$2:$W$1001,$B$4,Clean_Data!$Z$2:$Z$1001,$B$5,Clean_Data!$AF$2:$AF$1001,$B$6,Clean_Data!$F$2:$F$1001,"&gt;="&amp;$B$7,Clean_Data!$F$2:$F$1001,"&lt;="&amp;$B$8)</f>
        <v>1162</v>
      </c>
      <c r="D87" s="15" t="str">
        <f>IF($A87=MAX(Clean_Data!$F$2:$F$1001),"Partial day","")</f>
        <v/>
      </c>
    </row>
    <row r="88" spans="1:4" x14ac:dyDescent="0.35">
      <c r="A88" s="22">
        <f t="shared" si="1"/>
        <v>40556</v>
      </c>
      <c r="B88" s="15">
        <f>COUNTIFS(Clean_Data!$F$2:$F$1001,$A88,Clean_Data!$V$2:$V$1001,$B$3,Clean_Data!$W$2:$W$1001,$B$4,Clean_Data!$Z$2:$Z$1001,$B$5,Clean_Data!$AF$2:$AF$1001,$B$6,Clean_Data!$F$2:$F$1001,"&gt;="&amp;$B$7,Clean_Data!$F$2:$F$1001,"&lt;="&amp;$B$8)</f>
        <v>24</v>
      </c>
      <c r="C88" s="15">
        <f>SUMIFS(Clean_Data!$U$2:$U$1001,Clean_Data!$F$2:$F$1001,$A88,Clean_Data!$V$2:$V$1001,$B$3,Clean_Data!$W$2:$W$1001,$B$4,Clean_Data!$Z$2:$Z$1001,$B$5,Clean_Data!$AF$2:$AF$1001,$B$6,Clean_Data!$F$2:$F$1001,"&gt;="&amp;$B$7,Clean_Data!$F$2:$F$1001,"&lt;="&amp;$B$8)</f>
        <v>1406</v>
      </c>
      <c r="D88" s="15" t="str">
        <f>IF($A88=MAX(Clean_Data!$F$2:$F$1001),"Partial day","")</f>
        <v/>
      </c>
    </row>
    <row r="89" spans="1:4" x14ac:dyDescent="0.35">
      <c r="A89" s="22">
        <f t="shared" si="1"/>
        <v>40557</v>
      </c>
      <c r="B89" s="15">
        <f>COUNTIFS(Clean_Data!$F$2:$F$1001,$A89,Clean_Data!$V$2:$V$1001,$B$3,Clean_Data!$W$2:$W$1001,$B$4,Clean_Data!$Z$2:$Z$1001,$B$5,Clean_Data!$AF$2:$AF$1001,$B$6,Clean_Data!$F$2:$F$1001,"&gt;="&amp;$B$7,Clean_Data!$F$2:$F$1001,"&lt;="&amp;$B$8)</f>
        <v>23</v>
      </c>
      <c r="C89" s="15">
        <f>SUMIFS(Clean_Data!$U$2:$U$1001,Clean_Data!$F$2:$F$1001,$A89,Clean_Data!$V$2:$V$1001,$B$3,Clean_Data!$W$2:$W$1001,$B$4,Clean_Data!$Z$2:$Z$1001,$B$5,Clean_Data!$AF$2:$AF$1001,$B$6,Clean_Data!$F$2:$F$1001,"&gt;="&amp;$B$7,Clean_Data!$F$2:$F$1001,"&lt;="&amp;$B$8)</f>
        <v>1421</v>
      </c>
      <c r="D89" s="15" t="str">
        <f>IF($A89=MAX(Clean_Data!$F$2:$F$1001),"Partial day","")</f>
        <v/>
      </c>
    </row>
    <row r="90" spans="1:4" x14ac:dyDescent="0.35">
      <c r="A90" s="22">
        <f t="shared" si="1"/>
        <v>40558</v>
      </c>
      <c r="B90" s="15">
        <f>COUNTIFS(Clean_Data!$F$2:$F$1001,$A90,Clean_Data!$V$2:$V$1001,$B$3,Clean_Data!$W$2:$W$1001,$B$4,Clean_Data!$Z$2:$Z$1001,$B$5,Clean_Data!$AF$2:$AF$1001,$B$6,Clean_Data!$F$2:$F$1001,"&gt;="&amp;$B$7,Clean_Data!$F$2:$F$1001,"&lt;="&amp;$B$8)</f>
        <v>24</v>
      </c>
      <c r="C90" s="15">
        <f>SUMIFS(Clean_Data!$U$2:$U$1001,Clean_Data!$F$2:$F$1001,$A90,Clean_Data!$V$2:$V$1001,$B$3,Clean_Data!$W$2:$W$1001,$B$4,Clean_Data!$Z$2:$Z$1001,$B$5,Clean_Data!$AF$2:$AF$1001,$B$6,Clean_Data!$F$2:$F$1001,"&gt;="&amp;$B$7,Clean_Data!$F$2:$F$1001,"&lt;="&amp;$B$8)</f>
        <v>1248</v>
      </c>
      <c r="D90" s="15" t="str">
        <f>IF($A90=MAX(Clean_Data!$F$2:$F$1001),"Partial day","")</f>
        <v/>
      </c>
    </row>
    <row r="91" spans="1:4" x14ac:dyDescent="0.35">
      <c r="A91" s="22">
        <f t="shared" si="1"/>
        <v>40559</v>
      </c>
      <c r="B91" s="15">
        <f>COUNTIFS(Clean_Data!$F$2:$F$1001,$A91,Clean_Data!$V$2:$V$1001,$B$3,Clean_Data!$W$2:$W$1001,$B$4,Clean_Data!$Z$2:$Z$1001,$B$5,Clean_Data!$AF$2:$AF$1001,$B$6,Clean_Data!$F$2:$F$1001,"&gt;="&amp;$B$7,Clean_Data!$F$2:$F$1001,"&lt;="&amp;$B$8)</f>
        <v>24</v>
      </c>
      <c r="C91" s="15">
        <f>SUMIFS(Clean_Data!$U$2:$U$1001,Clean_Data!$F$2:$F$1001,$A91,Clean_Data!$V$2:$V$1001,$B$3,Clean_Data!$W$2:$W$1001,$B$4,Clean_Data!$Z$2:$Z$1001,$B$5,Clean_Data!$AF$2:$AF$1001,$B$6,Clean_Data!$F$2:$F$1001,"&gt;="&amp;$B$7,Clean_Data!$F$2:$F$1001,"&lt;="&amp;$B$8)</f>
        <v>1204</v>
      </c>
      <c r="D91" s="15" t="str">
        <f>IF($A91=MAX(Clean_Data!$F$2:$F$1001),"Partial day","")</f>
        <v/>
      </c>
    </row>
    <row r="92" spans="1:4" x14ac:dyDescent="0.35">
      <c r="A92" s="22">
        <f t="shared" si="1"/>
        <v>40560</v>
      </c>
      <c r="B92" s="15">
        <f>COUNTIFS(Clean_Data!$F$2:$F$1001,$A92,Clean_Data!$V$2:$V$1001,$B$3,Clean_Data!$W$2:$W$1001,$B$4,Clean_Data!$Z$2:$Z$1001,$B$5,Clean_Data!$AF$2:$AF$1001,$B$6,Clean_Data!$F$2:$F$1001,"&gt;="&amp;$B$7,Clean_Data!$F$2:$F$1001,"&lt;="&amp;$B$8)</f>
        <v>24</v>
      </c>
      <c r="C92" s="15">
        <f>SUMIFS(Clean_Data!$U$2:$U$1001,Clean_Data!$F$2:$F$1001,$A92,Clean_Data!$V$2:$V$1001,$B$3,Clean_Data!$W$2:$W$1001,$B$4,Clean_Data!$Z$2:$Z$1001,$B$5,Clean_Data!$AF$2:$AF$1001,$B$6,Clean_Data!$F$2:$F$1001,"&gt;="&amp;$B$7,Clean_Data!$F$2:$F$1001,"&lt;="&amp;$B$8)</f>
        <v>1000</v>
      </c>
      <c r="D92" s="15" t="str">
        <f>IF($A92=MAX(Clean_Data!$F$2:$F$1001),"Partial day","")</f>
        <v/>
      </c>
    </row>
    <row r="93" spans="1:4" x14ac:dyDescent="0.35">
      <c r="A93" s="22">
        <f t="shared" si="1"/>
        <v>40561</v>
      </c>
      <c r="B93" s="15">
        <f>COUNTIFS(Clean_Data!$F$2:$F$1001,$A93,Clean_Data!$V$2:$V$1001,$B$3,Clean_Data!$W$2:$W$1001,$B$4,Clean_Data!$Z$2:$Z$1001,$B$5,Clean_Data!$AF$2:$AF$1001,$B$6,Clean_Data!$F$2:$F$1001,"&gt;="&amp;$B$7,Clean_Data!$F$2:$F$1001,"&lt;="&amp;$B$8)</f>
        <v>12</v>
      </c>
      <c r="C93" s="15">
        <f>SUMIFS(Clean_Data!$U$2:$U$1001,Clean_Data!$F$2:$F$1001,$A93,Clean_Data!$V$2:$V$1001,$B$3,Clean_Data!$W$2:$W$1001,$B$4,Clean_Data!$Z$2:$Z$1001,$B$5,Clean_Data!$AF$2:$AF$1001,$B$6,Clean_Data!$F$2:$F$1001,"&gt;="&amp;$B$7,Clean_Data!$F$2:$F$1001,"&lt;="&amp;$B$8)</f>
        <v>683</v>
      </c>
      <c r="D93" s="15" t="str">
        <f>IF($A93=MAX(Clean_Data!$F$2:$F$1001),"Partial day","")</f>
        <v/>
      </c>
    </row>
    <row r="94" spans="1:4" x14ac:dyDescent="0.35">
      <c r="A94" s="22">
        <f t="shared" si="1"/>
        <v>40562</v>
      </c>
      <c r="B94" s="15">
        <f>COUNTIFS(Clean_Data!$F$2:$F$1001,$A94,Clean_Data!$V$2:$V$1001,$B$3,Clean_Data!$W$2:$W$1001,$B$4,Clean_Data!$Z$2:$Z$1001,$B$5,Clean_Data!$AF$2:$AF$1001,$B$6,Clean_Data!$F$2:$F$1001,"&gt;="&amp;$B$7,Clean_Data!$F$2:$F$1001,"&lt;="&amp;$B$8)</f>
        <v>23</v>
      </c>
      <c r="C94" s="15">
        <f>SUMIFS(Clean_Data!$U$2:$U$1001,Clean_Data!$F$2:$F$1001,$A94,Clean_Data!$V$2:$V$1001,$B$3,Clean_Data!$W$2:$W$1001,$B$4,Clean_Data!$Z$2:$Z$1001,$B$5,Clean_Data!$AF$2:$AF$1001,$B$6,Clean_Data!$F$2:$F$1001,"&gt;="&amp;$B$7,Clean_Data!$F$2:$F$1001,"&lt;="&amp;$B$8)</f>
        <v>1650</v>
      </c>
      <c r="D94" s="15" t="str">
        <f>IF($A94=MAX(Clean_Data!$F$2:$F$1001),"Partial day","")</f>
        <v/>
      </c>
    </row>
    <row r="95" spans="1:4" x14ac:dyDescent="0.35">
      <c r="A95" s="22">
        <f t="shared" si="1"/>
        <v>40563</v>
      </c>
      <c r="B95" s="15">
        <f>COUNTIFS(Clean_Data!$F$2:$F$1001,$A95,Clean_Data!$V$2:$V$1001,$B$3,Clean_Data!$W$2:$W$1001,$B$4,Clean_Data!$Z$2:$Z$1001,$B$5,Clean_Data!$AF$2:$AF$1001,$B$6,Clean_Data!$F$2:$F$1001,"&gt;="&amp;$B$7,Clean_Data!$F$2:$F$1001,"&lt;="&amp;$B$8)</f>
        <v>24</v>
      </c>
      <c r="C95" s="15">
        <f>SUMIFS(Clean_Data!$U$2:$U$1001,Clean_Data!$F$2:$F$1001,$A95,Clean_Data!$V$2:$V$1001,$B$3,Clean_Data!$W$2:$W$1001,$B$4,Clean_Data!$Z$2:$Z$1001,$B$5,Clean_Data!$AF$2:$AF$1001,$B$6,Clean_Data!$F$2:$F$1001,"&gt;="&amp;$B$7,Clean_Data!$F$2:$F$1001,"&lt;="&amp;$B$8)</f>
        <v>1927</v>
      </c>
      <c r="D95" s="15" t="str">
        <f>IF($A95=MAX(Clean_Data!$F$2:$F$1001),"Partial day","")</f>
        <v/>
      </c>
    </row>
    <row r="96" spans="1:4" x14ac:dyDescent="0.35">
      <c r="A96" s="22">
        <f t="shared" si="1"/>
        <v>40564</v>
      </c>
      <c r="B96" s="15">
        <f>COUNTIFS(Clean_Data!$F$2:$F$1001,$A96,Clean_Data!$V$2:$V$1001,$B$3,Clean_Data!$W$2:$W$1001,$B$4,Clean_Data!$Z$2:$Z$1001,$B$5,Clean_Data!$AF$2:$AF$1001,$B$6,Clean_Data!$F$2:$F$1001,"&gt;="&amp;$B$7,Clean_Data!$F$2:$F$1001,"&lt;="&amp;$B$8)</f>
        <v>24</v>
      </c>
      <c r="C96" s="15">
        <f>SUMIFS(Clean_Data!$U$2:$U$1001,Clean_Data!$F$2:$F$1001,$A96,Clean_Data!$V$2:$V$1001,$B$3,Clean_Data!$W$2:$W$1001,$B$4,Clean_Data!$Z$2:$Z$1001,$B$5,Clean_Data!$AF$2:$AF$1001,$B$6,Clean_Data!$F$2:$F$1001,"&gt;="&amp;$B$7,Clean_Data!$F$2:$F$1001,"&lt;="&amp;$B$8)</f>
        <v>1543</v>
      </c>
      <c r="D96" s="15" t="str">
        <f>IF($A96=MAX(Clean_Data!$F$2:$F$1001),"Partial day","")</f>
        <v/>
      </c>
    </row>
    <row r="97" spans="1:4" x14ac:dyDescent="0.35">
      <c r="A97" s="22">
        <f t="shared" si="1"/>
        <v>40565</v>
      </c>
      <c r="B97" s="15">
        <f>COUNTIFS(Clean_Data!$F$2:$F$1001,$A97,Clean_Data!$V$2:$V$1001,$B$3,Clean_Data!$W$2:$W$1001,$B$4,Clean_Data!$Z$2:$Z$1001,$B$5,Clean_Data!$AF$2:$AF$1001,$B$6,Clean_Data!$F$2:$F$1001,"&gt;="&amp;$B$7,Clean_Data!$F$2:$F$1001,"&lt;="&amp;$B$8)</f>
        <v>23</v>
      </c>
      <c r="C97" s="15">
        <f>SUMIFS(Clean_Data!$U$2:$U$1001,Clean_Data!$F$2:$F$1001,$A97,Clean_Data!$V$2:$V$1001,$B$3,Clean_Data!$W$2:$W$1001,$B$4,Clean_Data!$Z$2:$Z$1001,$B$5,Clean_Data!$AF$2:$AF$1001,$B$6,Clean_Data!$F$2:$F$1001,"&gt;="&amp;$B$7,Clean_Data!$F$2:$F$1001,"&lt;="&amp;$B$8)</f>
        <v>981</v>
      </c>
      <c r="D97" s="15" t="str">
        <f>IF($A97=MAX(Clean_Data!$F$2:$F$1001),"Partial day","")</f>
        <v/>
      </c>
    </row>
    <row r="98" spans="1:4" x14ac:dyDescent="0.35">
      <c r="A98" s="22">
        <f t="shared" si="1"/>
        <v>40566</v>
      </c>
      <c r="B98" s="15">
        <f>COUNTIFS(Clean_Data!$F$2:$F$1001,$A98,Clean_Data!$V$2:$V$1001,$B$3,Clean_Data!$W$2:$W$1001,$B$4,Clean_Data!$Z$2:$Z$1001,$B$5,Clean_Data!$AF$2:$AF$1001,$B$6,Clean_Data!$F$2:$F$1001,"&gt;="&amp;$B$7,Clean_Data!$F$2:$F$1001,"&lt;="&amp;$B$8)</f>
        <v>23</v>
      </c>
      <c r="C98" s="15">
        <f>SUMIFS(Clean_Data!$U$2:$U$1001,Clean_Data!$F$2:$F$1001,$A98,Clean_Data!$V$2:$V$1001,$B$3,Clean_Data!$W$2:$W$1001,$B$4,Clean_Data!$Z$2:$Z$1001,$B$5,Clean_Data!$AF$2:$AF$1001,$B$6,Clean_Data!$F$2:$F$1001,"&gt;="&amp;$B$7,Clean_Data!$F$2:$F$1001,"&lt;="&amp;$B$8)</f>
        <v>986</v>
      </c>
      <c r="D98" s="15" t="str">
        <f>IF($A98=MAX(Clean_Data!$F$2:$F$1001),"Partial day","")</f>
        <v/>
      </c>
    </row>
    <row r="99" spans="1:4" x14ac:dyDescent="0.35">
      <c r="A99" s="22">
        <f t="shared" si="1"/>
        <v>40567</v>
      </c>
      <c r="B99" s="15">
        <f>COUNTIFS(Clean_Data!$F$2:$F$1001,$A99,Clean_Data!$V$2:$V$1001,$B$3,Clean_Data!$W$2:$W$1001,$B$4,Clean_Data!$Z$2:$Z$1001,$B$5,Clean_Data!$AF$2:$AF$1001,$B$6,Clean_Data!$F$2:$F$1001,"&gt;="&amp;$B$7,Clean_Data!$F$2:$F$1001,"&lt;="&amp;$B$8)</f>
        <v>23</v>
      </c>
      <c r="C99" s="15">
        <f>SUMIFS(Clean_Data!$U$2:$U$1001,Clean_Data!$F$2:$F$1001,$A99,Clean_Data!$V$2:$V$1001,$B$3,Clean_Data!$W$2:$W$1001,$B$4,Clean_Data!$Z$2:$Z$1001,$B$5,Clean_Data!$AF$2:$AF$1001,$B$6,Clean_Data!$F$2:$F$1001,"&gt;="&amp;$B$7,Clean_Data!$F$2:$F$1001,"&lt;="&amp;$B$8)</f>
        <v>1416</v>
      </c>
      <c r="D99" s="15" t="str">
        <f>IF($A99=MAX(Clean_Data!$F$2:$F$1001),"Partial day","")</f>
        <v/>
      </c>
    </row>
    <row r="100" spans="1:4" x14ac:dyDescent="0.35">
      <c r="A100" s="22">
        <f t="shared" si="1"/>
        <v>40568</v>
      </c>
      <c r="B100" s="15">
        <f>COUNTIFS(Clean_Data!$F$2:$F$1001,$A100,Clean_Data!$V$2:$V$1001,$B$3,Clean_Data!$W$2:$W$1001,$B$4,Clean_Data!$Z$2:$Z$1001,$B$5,Clean_Data!$AF$2:$AF$1001,$B$6,Clean_Data!$F$2:$F$1001,"&gt;="&amp;$B$7,Clean_Data!$F$2:$F$1001,"&lt;="&amp;$B$8)</f>
        <v>23</v>
      </c>
      <c r="C100" s="15">
        <f>SUMIFS(Clean_Data!$U$2:$U$1001,Clean_Data!$F$2:$F$1001,$A100,Clean_Data!$V$2:$V$1001,$B$3,Clean_Data!$W$2:$W$1001,$B$4,Clean_Data!$Z$2:$Z$1001,$B$5,Clean_Data!$AF$2:$AF$1001,$B$6,Clean_Data!$F$2:$F$1001,"&gt;="&amp;$B$7,Clean_Data!$F$2:$F$1001,"&lt;="&amp;$B$8)</f>
        <v>1985</v>
      </c>
      <c r="D100" s="15" t="str">
        <f>IF($A100=MAX(Clean_Data!$F$2:$F$1001),"Partial day","")</f>
        <v/>
      </c>
    </row>
    <row r="101" spans="1:4" x14ac:dyDescent="0.35">
      <c r="A101" s="22">
        <f t="shared" si="1"/>
        <v>40569</v>
      </c>
      <c r="B101" s="15">
        <f>COUNTIFS(Clean_Data!$F$2:$F$1001,$A101,Clean_Data!$V$2:$V$1001,$B$3,Clean_Data!$W$2:$W$1001,$B$4,Clean_Data!$Z$2:$Z$1001,$B$5,Clean_Data!$AF$2:$AF$1001,$B$6,Clean_Data!$F$2:$F$1001,"&gt;="&amp;$B$7,Clean_Data!$F$2:$F$1001,"&lt;="&amp;$B$8)</f>
        <v>16</v>
      </c>
      <c r="C101" s="15">
        <f>SUMIFS(Clean_Data!$U$2:$U$1001,Clean_Data!$F$2:$F$1001,$A101,Clean_Data!$V$2:$V$1001,$B$3,Clean_Data!$W$2:$W$1001,$B$4,Clean_Data!$Z$2:$Z$1001,$B$5,Clean_Data!$AF$2:$AF$1001,$B$6,Clean_Data!$F$2:$F$1001,"&gt;="&amp;$B$7,Clean_Data!$F$2:$F$1001,"&lt;="&amp;$B$8)</f>
        <v>506</v>
      </c>
      <c r="D101" s="15" t="str">
        <f>IF($A101=MAX(Clean_Data!$F$2:$F$1001),"Partial day","")</f>
        <v/>
      </c>
    </row>
    <row r="102" spans="1:4" x14ac:dyDescent="0.35">
      <c r="A102" s="22">
        <f t="shared" si="1"/>
        <v>40570</v>
      </c>
      <c r="B102" s="15">
        <f>COUNTIFS(Clean_Data!$F$2:$F$1001,$A102,Clean_Data!$V$2:$V$1001,$B$3,Clean_Data!$W$2:$W$1001,$B$4,Clean_Data!$Z$2:$Z$1001,$B$5,Clean_Data!$AF$2:$AF$1001,$B$6,Clean_Data!$F$2:$F$1001,"&gt;="&amp;$B$7,Clean_Data!$F$2:$F$1001,"&lt;="&amp;$B$8)</f>
        <v>8</v>
      </c>
      <c r="C102" s="15">
        <f>SUMIFS(Clean_Data!$U$2:$U$1001,Clean_Data!$F$2:$F$1001,$A102,Clean_Data!$V$2:$V$1001,$B$3,Clean_Data!$W$2:$W$1001,$B$4,Clean_Data!$Z$2:$Z$1001,$B$5,Clean_Data!$AF$2:$AF$1001,$B$6,Clean_Data!$F$2:$F$1001,"&gt;="&amp;$B$7,Clean_Data!$F$2:$F$1001,"&lt;="&amp;$B$8)</f>
        <v>431</v>
      </c>
      <c r="D102" s="15" t="str">
        <f>IF($A102=MAX(Clean_Data!$F$2:$F$1001),"Partial day","")</f>
        <v/>
      </c>
    </row>
    <row r="103" spans="1:4" x14ac:dyDescent="0.35">
      <c r="A103" s="22">
        <f t="shared" si="1"/>
        <v>40571</v>
      </c>
      <c r="B103" s="15">
        <f>COUNTIFS(Clean_Data!$F$2:$F$1001,$A103,Clean_Data!$V$2:$V$1001,$B$3,Clean_Data!$W$2:$W$1001,$B$4,Clean_Data!$Z$2:$Z$1001,$B$5,Clean_Data!$AF$2:$AF$1001,$B$6,Clean_Data!$F$2:$F$1001,"&gt;="&amp;$B$7,Clean_Data!$F$2:$F$1001,"&lt;="&amp;$B$8)</f>
        <v>23</v>
      </c>
      <c r="C103" s="15">
        <f>SUMIFS(Clean_Data!$U$2:$U$1001,Clean_Data!$F$2:$F$1001,$A103,Clean_Data!$V$2:$V$1001,$B$3,Clean_Data!$W$2:$W$1001,$B$4,Clean_Data!$Z$2:$Z$1001,$B$5,Clean_Data!$AF$2:$AF$1001,$B$6,Clean_Data!$F$2:$F$1001,"&gt;="&amp;$B$7,Clean_Data!$F$2:$F$1001,"&lt;="&amp;$B$8)</f>
        <v>1167</v>
      </c>
      <c r="D103" s="15" t="str">
        <f>IF($A103=MAX(Clean_Data!$F$2:$F$1001),"Partial day","")</f>
        <v/>
      </c>
    </row>
    <row r="104" spans="1:4" x14ac:dyDescent="0.35">
      <c r="A104" s="22">
        <f t="shared" si="1"/>
        <v>40572</v>
      </c>
      <c r="B104" s="15">
        <f>COUNTIFS(Clean_Data!$F$2:$F$1001,$A104,Clean_Data!$V$2:$V$1001,$B$3,Clean_Data!$W$2:$W$1001,$B$4,Clean_Data!$Z$2:$Z$1001,$B$5,Clean_Data!$AF$2:$AF$1001,$B$6,Clean_Data!$F$2:$F$1001,"&gt;="&amp;$B$7,Clean_Data!$F$2:$F$1001,"&lt;="&amp;$B$8)</f>
        <v>23</v>
      </c>
      <c r="C104" s="15">
        <f>SUMIFS(Clean_Data!$U$2:$U$1001,Clean_Data!$F$2:$F$1001,$A104,Clean_Data!$V$2:$V$1001,$B$3,Clean_Data!$W$2:$W$1001,$B$4,Clean_Data!$Z$2:$Z$1001,$B$5,Clean_Data!$AF$2:$AF$1001,$B$6,Clean_Data!$F$2:$F$1001,"&gt;="&amp;$B$7,Clean_Data!$F$2:$F$1001,"&lt;="&amp;$B$8)</f>
        <v>1098</v>
      </c>
      <c r="D104" s="15" t="str">
        <f>IF($A104=MAX(Clean_Data!$F$2:$F$1001),"Partial day","")</f>
        <v/>
      </c>
    </row>
    <row r="105" spans="1:4" x14ac:dyDescent="0.35">
      <c r="A105" s="22">
        <f t="shared" si="1"/>
        <v>40573</v>
      </c>
      <c r="B105" s="15">
        <f>COUNTIFS(Clean_Data!$F$2:$F$1001,$A105,Clean_Data!$V$2:$V$1001,$B$3,Clean_Data!$W$2:$W$1001,$B$4,Clean_Data!$Z$2:$Z$1001,$B$5,Clean_Data!$AF$2:$AF$1001,$B$6,Clean_Data!$F$2:$F$1001,"&gt;="&amp;$B$7,Clean_Data!$F$2:$F$1001,"&lt;="&amp;$B$8)</f>
        <v>23</v>
      </c>
      <c r="C105" s="15">
        <f>SUMIFS(Clean_Data!$U$2:$U$1001,Clean_Data!$F$2:$F$1001,$A105,Clean_Data!$V$2:$V$1001,$B$3,Clean_Data!$W$2:$W$1001,$B$4,Clean_Data!$Z$2:$Z$1001,$B$5,Clean_Data!$AF$2:$AF$1001,$B$6,Clean_Data!$F$2:$F$1001,"&gt;="&amp;$B$7,Clean_Data!$F$2:$F$1001,"&lt;="&amp;$B$8)</f>
        <v>1096</v>
      </c>
      <c r="D105" s="15" t="str">
        <f>IF($A105=MAX(Clean_Data!$F$2:$F$1001),"Partial day","")</f>
        <v/>
      </c>
    </row>
    <row r="106" spans="1:4" x14ac:dyDescent="0.35">
      <c r="A106" s="22">
        <f t="shared" si="1"/>
        <v>40574</v>
      </c>
      <c r="B106" s="15">
        <f>COUNTIFS(Clean_Data!$F$2:$F$1001,$A106,Clean_Data!$V$2:$V$1001,$B$3,Clean_Data!$W$2:$W$1001,$B$4,Clean_Data!$Z$2:$Z$1001,$B$5,Clean_Data!$AF$2:$AF$1001,$B$6,Clean_Data!$F$2:$F$1001,"&gt;="&amp;$B$7,Clean_Data!$F$2:$F$1001,"&lt;="&amp;$B$8)</f>
        <v>24</v>
      </c>
      <c r="C106" s="15">
        <f>SUMIFS(Clean_Data!$U$2:$U$1001,Clean_Data!$F$2:$F$1001,$A106,Clean_Data!$V$2:$V$1001,$B$3,Clean_Data!$W$2:$W$1001,$B$4,Clean_Data!$Z$2:$Z$1001,$B$5,Clean_Data!$AF$2:$AF$1001,$B$6,Clean_Data!$F$2:$F$1001,"&gt;="&amp;$B$7,Clean_Data!$F$2:$F$1001,"&lt;="&amp;$B$8)</f>
        <v>1501</v>
      </c>
      <c r="D106" s="15" t="str">
        <f>IF($A106=MAX(Clean_Data!$F$2:$F$1001),"Partial day","")</f>
        <v/>
      </c>
    </row>
    <row r="107" spans="1:4" x14ac:dyDescent="0.35">
      <c r="A107" s="22">
        <f t="shared" si="1"/>
        <v>40575</v>
      </c>
      <c r="B107" s="15">
        <f>COUNTIFS(Clean_Data!$F$2:$F$1001,$A107,Clean_Data!$V$2:$V$1001,$B$3,Clean_Data!$W$2:$W$1001,$B$4,Clean_Data!$Z$2:$Z$1001,$B$5,Clean_Data!$AF$2:$AF$1001,$B$6,Clean_Data!$F$2:$F$1001,"&gt;="&amp;$B$7,Clean_Data!$F$2:$F$1001,"&lt;="&amp;$B$8)</f>
        <v>23</v>
      </c>
      <c r="C107" s="15">
        <f>SUMIFS(Clean_Data!$U$2:$U$1001,Clean_Data!$F$2:$F$1001,$A107,Clean_Data!$V$2:$V$1001,$B$3,Clean_Data!$W$2:$W$1001,$B$4,Clean_Data!$Z$2:$Z$1001,$B$5,Clean_Data!$AF$2:$AF$1001,$B$6,Clean_Data!$F$2:$F$1001,"&gt;="&amp;$B$7,Clean_Data!$F$2:$F$1001,"&lt;="&amp;$B$8)</f>
        <v>1360</v>
      </c>
      <c r="D107" s="15" t="str">
        <f>IF($A107=MAX(Clean_Data!$F$2:$F$1001),"Partial day","")</f>
        <v/>
      </c>
    </row>
    <row r="108" spans="1:4" x14ac:dyDescent="0.35">
      <c r="A108" s="22">
        <f t="shared" si="1"/>
        <v>40576</v>
      </c>
      <c r="B108" s="15">
        <f>COUNTIFS(Clean_Data!$F$2:$F$1001,$A108,Clean_Data!$V$2:$V$1001,$B$3,Clean_Data!$W$2:$W$1001,$B$4,Clean_Data!$Z$2:$Z$1001,$B$5,Clean_Data!$AF$2:$AF$1001,$B$6,Clean_Data!$F$2:$F$1001,"&gt;="&amp;$B$7,Clean_Data!$F$2:$F$1001,"&lt;="&amp;$B$8)</f>
        <v>24</v>
      </c>
      <c r="C108" s="15">
        <f>SUMIFS(Clean_Data!$U$2:$U$1001,Clean_Data!$F$2:$F$1001,$A108,Clean_Data!$V$2:$V$1001,$B$3,Clean_Data!$W$2:$W$1001,$B$4,Clean_Data!$Z$2:$Z$1001,$B$5,Clean_Data!$AF$2:$AF$1001,$B$6,Clean_Data!$F$2:$F$1001,"&gt;="&amp;$B$7,Clean_Data!$F$2:$F$1001,"&lt;="&amp;$B$8)</f>
        <v>1526</v>
      </c>
      <c r="D108" s="15" t="str">
        <f>IF($A108=MAX(Clean_Data!$F$2:$F$1001),"Partial day","")</f>
        <v/>
      </c>
    </row>
    <row r="109" spans="1:4" x14ac:dyDescent="0.35">
      <c r="A109" s="22">
        <f t="shared" si="1"/>
        <v>40577</v>
      </c>
      <c r="B109" s="15">
        <f>COUNTIFS(Clean_Data!$F$2:$F$1001,$A109,Clean_Data!$V$2:$V$1001,$B$3,Clean_Data!$W$2:$W$1001,$B$4,Clean_Data!$Z$2:$Z$1001,$B$5,Clean_Data!$AF$2:$AF$1001,$B$6,Clean_Data!$F$2:$F$1001,"&gt;="&amp;$B$7,Clean_Data!$F$2:$F$1001,"&lt;="&amp;$B$8)</f>
        <v>23</v>
      </c>
      <c r="C109" s="15">
        <f>SUMIFS(Clean_Data!$U$2:$U$1001,Clean_Data!$F$2:$F$1001,$A109,Clean_Data!$V$2:$V$1001,$B$3,Clean_Data!$W$2:$W$1001,$B$4,Clean_Data!$Z$2:$Z$1001,$B$5,Clean_Data!$AF$2:$AF$1001,$B$6,Clean_Data!$F$2:$F$1001,"&gt;="&amp;$B$7,Clean_Data!$F$2:$F$1001,"&lt;="&amp;$B$8)</f>
        <v>1550</v>
      </c>
      <c r="D109" s="15" t="str">
        <f>IF($A109=MAX(Clean_Data!$F$2:$F$1001),"Partial day","")</f>
        <v/>
      </c>
    </row>
    <row r="110" spans="1:4" x14ac:dyDescent="0.35">
      <c r="A110" s="22">
        <f t="shared" si="1"/>
        <v>40578</v>
      </c>
      <c r="B110" s="15">
        <f>COUNTIFS(Clean_Data!$F$2:$F$1001,$A110,Clean_Data!$V$2:$V$1001,$B$3,Clean_Data!$W$2:$W$1001,$B$4,Clean_Data!$Z$2:$Z$1001,$B$5,Clean_Data!$AF$2:$AF$1001,$B$6,Clean_Data!$F$2:$F$1001,"&gt;="&amp;$B$7,Clean_Data!$F$2:$F$1001,"&lt;="&amp;$B$8)</f>
        <v>23</v>
      </c>
      <c r="C110" s="15">
        <f>SUMIFS(Clean_Data!$U$2:$U$1001,Clean_Data!$F$2:$F$1001,$A110,Clean_Data!$V$2:$V$1001,$B$3,Clean_Data!$W$2:$W$1001,$B$4,Clean_Data!$Z$2:$Z$1001,$B$5,Clean_Data!$AF$2:$AF$1001,$B$6,Clean_Data!$F$2:$F$1001,"&gt;="&amp;$B$7,Clean_Data!$F$2:$F$1001,"&lt;="&amp;$B$8)</f>
        <v>1708</v>
      </c>
      <c r="D110" s="15" t="str">
        <f>IF($A110=MAX(Clean_Data!$F$2:$F$1001),"Partial day","")</f>
        <v/>
      </c>
    </row>
    <row r="111" spans="1:4" x14ac:dyDescent="0.35">
      <c r="A111" s="22">
        <f t="shared" si="1"/>
        <v>40579</v>
      </c>
      <c r="B111" s="15">
        <f>COUNTIFS(Clean_Data!$F$2:$F$1001,$A111,Clean_Data!$V$2:$V$1001,$B$3,Clean_Data!$W$2:$W$1001,$B$4,Clean_Data!$Z$2:$Z$1001,$B$5,Clean_Data!$AF$2:$AF$1001,$B$6,Clean_Data!$F$2:$F$1001,"&gt;="&amp;$B$7,Clean_Data!$F$2:$F$1001,"&lt;="&amp;$B$8)</f>
        <v>24</v>
      </c>
      <c r="C111" s="15">
        <f>SUMIFS(Clean_Data!$U$2:$U$1001,Clean_Data!$F$2:$F$1001,$A111,Clean_Data!$V$2:$V$1001,$B$3,Clean_Data!$W$2:$W$1001,$B$4,Clean_Data!$Z$2:$Z$1001,$B$5,Clean_Data!$AF$2:$AF$1001,$B$6,Clean_Data!$F$2:$F$1001,"&gt;="&amp;$B$7,Clean_Data!$F$2:$F$1001,"&lt;="&amp;$B$8)</f>
        <v>1005</v>
      </c>
      <c r="D111" s="15" t="str">
        <f>IF($A111=MAX(Clean_Data!$F$2:$F$1001),"Partial day","")</f>
        <v/>
      </c>
    </row>
    <row r="112" spans="1:4" x14ac:dyDescent="0.35">
      <c r="A112" s="22">
        <f t="shared" si="1"/>
        <v>40580</v>
      </c>
      <c r="B112" s="15">
        <f>COUNTIFS(Clean_Data!$F$2:$F$1001,$A112,Clean_Data!$V$2:$V$1001,$B$3,Clean_Data!$W$2:$W$1001,$B$4,Clean_Data!$Z$2:$Z$1001,$B$5,Clean_Data!$AF$2:$AF$1001,$B$6,Clean_Data!$F$2:$F$1001,"&gt;="&amp;$B$7,Clean_Data!$F$2:$F$1001,"&lt;="&amp;$B$8)</f>
        <v>24</v>
      </c>
      <c r="C112" s="15">
        <f>SUMIFS(Clean_Data!$U$2:$U$1001,Clean_Data!$F$2:$F$1001,$A112,Clean_Data!$V$2:$V$1001,$B$3,Clean_Data!$W$2:$W$1001,$B$4,Clean_Data!$Z$2:$Z$1001,$B$5,Clean_Data!$AF$2:$AF$1001,$B$6,Clean_Data!$F$2:$F$1001,"&gt;="&amp;$B$7,Clean_Data!$F$2:$F$1001,"&lt;="&amp;$B$8)</f>
        <v>1623</v>
      </c>
      <c r="D112" s="15" t="str">
        <f>IF($A112=MAX(Clean_Data!$F$2:$F$1001),"Partial day","")</f>
        <v/>
      </c>
    </row>
    <row r="113" spans="1:4" x14ac:dyDescent="0.35">
      <c r="A113" s="22">
        <f t="shared" si="1"/>
        <v>40581</v>
      </c>
      <c r="B113" s="15">
        <f>COUNTIFS(Clean_Data!$F$2:$F$1001,$A113,Clean_Data!$V$2:$V$1001,$B$3,Clean_Data!$W$2:$W$1001,$B$4,Clean_Data!$Z$2:$Z$1001,$B$5,Clean_Data!$AF$2:$AF$1001,$B$6,Clean_Data!$F$2:$F$1001,"&gt;="&amp;$B$7,Clean_Data!$F$2:$F$1001,"&lt;="&amp;$B$8)</f>
        <v>24</v>
      </c>
      <c r="C113" s="15">
        <f>SUMIFS(Clean_Data!$U$2:$U$1001,Clean_Data!$F$2:$F$1001,$A113,Clean_Data!$V$2:$V$1001,$B$3,Clean_Data!$W$2:$W$1001,$B$4,Clean_Data!$Z$2:$Z$1001,$B$5,Clean_Data!$AF$2:$AF$1001,$B$6,Clean_Data!$F$2:$F$1001,"&gt;="&amp;$B$7,Clean_Data!$F$2:$F$1001,"&lt;="&amp;$B$8)</f>
        <v>1712</v>
      </c>
      <c r="D113" s="15" t="str">
        <f>IF($A113=MAX(Clean_Data!$F$2:$F$1001),"Partial day","")</f>
        <v/>
      </c>
    </row>
    <row r="114" spans="1:4" x14ac:dyDescent="0.35">
      <c r="A114" s="22">
        <f t="shared" si="1"/>
        <v>40582</v>
      </c>
      <c r="B114" s="15">
        <f>COUNTIFS(Clean_Data!$F$2:$F$1001,$A114,Clean_Data!$V$2:$V$1001,$B$3,Clean_Data!$W$2:$W$1001,$B$4,Clean_Data!$Z$2:$Z$1001,$B$5,Clean_Data!$AF$2:$AF$1001,$B$6,Clean_Data!$F$2:$F$1001,"&gt;="&amp;$B$7,Clean_Data!$F$2:$F$1001,"&lt;="&amp;$B$8)</f>
        <v>24</v>
      </c>
      <c r="C114" s="15">
        <f>SUMIFS(Clean_Data!$U$2:$U$1001,Clean_Data!$F$2:$F$1001,$A114,Clean_Data!$V$2:$V$1001,$B$3,Clean_Data!$W$2:$W$1001,$B$4,Clean_Data!$Z$2:$Z$1001,$B$5,Clean_Data!$AF$2:$AF$1001,$B$6,Clean_Data!$F$2:$F$1001,"&gt;="&amp;$B$7,Clean_Data!$F$2:$F$1001,"&lt;="&amp;$B$8)</f>
        <v>1530</v>
      </c>
      <c r="D114" s="15" t="str">
        <f>IF($A114=MAX(Clean_Data!$F$2:$F$1001),"Partial day","")</f>
        <v/>
      </c>
    </row>
    <row r="115" spans="1:4" x14ac:dyDescent="0.35">
      <c r="A115" s="22">
        <f t="shared" si="1"/>
        <v>40583</v>
      </c>
      <c r="B115" s="15">
        <f>COUNTIFS(Clean_Data!$F$2:$F$1001,$A115,Clean_Data!$V$2:$V$1001,$B$3,Clean_Data!$W$2:$W$1001,$B$4,Clean_Data!$Z$2:$Z$1001,$B$5,Clean_Data!$AF$2:$AF$1001,$B$6,Clean_Data!$F$2:$F$1001,"&gt;="&amp;$B$7,Clean_Data!$F$2:$F$1001,"&lt;="&amp;$B$8)</f>
        <v>23</v>
      </c>
      <c r="C115" s="15">
        <f>SUMIFS(Clean_Data!$U$2:$U$1001,Clean_Data!$F$2:$F$1001,$A115,Clean_Data!$V$2:$V$1001,$B$3,Clean_Data!$W$2:$W$1001,$B$4,Clean_Data!$Z$2:$Z$1001,$B$5,Clean_Data!$AF$2:$AF$1001,$B$6,Clean_Data!$F$2:$F$1001,"&gt;="&amp;$B$7,Clean_Data!$F$2:$F$1001,"&lt;="&amp;$B$8)</f>
        <v>1605</v>
      </c>
      <c r="D115" s="15" t="str">
        <f>IF($A115=MAX(Clean_Data!$F$2:$F$1001),"Partial day","")</f>
        <v/>
      </c>
    </row>
    <row r="116" spans="1:4" x14ac:dyDescent="0.35">
      <c r="A116" s="22">
        <f t="shared" si="1"/>
        <v>40584</v>
      </c>
      <c r="B116" s="15">
        <f>COUNTIFS(Clean_Data!$F$2:$F$1001,$A116,Clean_Data!$V$2:$V$1001,$B$3,Clean_Data!$W$2:$W$1001,$B$4,Clean_Data!$Z$2:$Z$1001,$B$5,Clean_Data!$AF$2:$AF$1001,$B$6,Clean_Data!$F$2:$F$1001,"&gt;="&amp;$B$7,Clean_Data!$F$2:$F$1001,"&lt;="&amp;$B$8)</f>
        <v>23</v>
      </c>
      <c r="C116" s="15">
        <f>SUMIFS(Clean_Data!$U$2:$U$1001,Clean_Data!$F$2:$F$1001,$A116,Clean_Data!$V$2:$V$1001,$B$3,Clean_Data!$W$2:$W$1001,$B$4,Clean_Data!$Z$2:$Z$1001,$B$5,Clean_Data!$AF$2:$AF$1001,$B$6,Clean_Data!$F$2:$F$1001,"&gt;="&amp;$B$7,Clean_Data!$F$2:$F$1001,"&lt;="&amp;$B$8)</f>
        <v>1538</v>
      </c>
      <c r="D116" s="15" t="str">
        <f>IF($A116=MAX(Clean_Data!$F$2:$F$1001),"Partial day","")</f>
        <v/>
      </c>
    </row>
    <row r="117" spans="1:4" x14ac:dyDescent="0.35">
      <c r="A117" s="22">
        <f t="shared" si="1"/>
        <v>40585</v>
      </c>
      <c r="B117" s="15">
        <f>COUNTIFS(Clean_Data!$F$2:$F$1001,$A117,Clean_Data!$V$2:$V$1001,$B$3,Clean_Data!$W$2:$W$1001,$B$4,Clean_Data!$Z$2:$Z$1001,$B$5,Clean_Data!$AF$2:$AF$1001,$B$6,Clean_Data!$F$2:$F$1001,"&gt;="&amp;$B$7,Clean_Data!$F$2:$F$1001,"&lt;="&amp;$B$8)</f>
        <v>22</v>
      </c>
      <c r="C117" s="15">
        <f>SUMIFS(Clean_Data!$U$2:$U$1001,Clean_Data!$F$2:$F$1001,$A117,Clean_Data!$V$2:$V$1001,$B$3,Clean_Data!$W$2:$W$1001,$B$4,Clean_Data!$Z$2:$Z$1001,$B$5,Clean_Data!$AF$2:$AF$1001,$B$6,Clean_Data!$F$2:$F$1001,"&gt;="&amp;$B$7,Clean_Data!$F$2:$F$1001,"&lt;="&amp;$B$8)</f>
        <v>1746</v>
      </c>
      <c r="D117" s="15" t="str">
        <f>IF($A117=MAX(Clean_Data!$F$2:$F$1001),"Partial day","")</f>
        <v/>
      </c>
    </row>
    <row r="118" spans="1:4" x14ac:dyDescent="0.35">
      <c r="A118" s="22">
        <f t="shared" si="1"/>
        <v>40586</v>
      </c>
      <c r="B118" s="15">
        <f>COUNTIFS(Clean_Data!$F$2:$F$1001,$A118,Clean_Data!$V$2:$V$1001,$B$3,Clean_Data!$W$2:$W$1001,$B$4,Clean_Data!$Z$2:$Z$1001,$B$5,Clean_Data!$AF$2:$AF$1001,$B$6,Clean_Data!$F$2:$F$1001,"&gt;="&amp;$B$7,Clean_Data!$F$2:$F$1001,"&lt;="&amp;$B$8)</f>
        <v>24</v>
      </c>
      <c r="C118" s="15">
        <f>SUMIFS(Clean_Data!$U$2:$U$1001,Clean_Data!$F$2:$F$1001,$A118,Clean_Data!$V$2:$V$1001,$B$3,Clean_Data!$W$2:$W$1001,$B$4,Clean_Data!$Z$2:$Z$1001,$B$5,Clean_Data!$AF$2:$AF$1001,$B$6,Clean_Data!$F$2:$F$1001,"&gt;="&amp;$B$7,Clean_Data!$F$2:$F$1001,"&lt;="&amp;$B$8)</f>
        <v>1472</v>
      </c>
      <c r="D118" s="15" t="str">
        <f>IF($A118=MAX(Clean_Data!$F$2:$F$1001),"Partial day","")</f>
        <v/>
      </c>
    </row>
    <row r="119" spans="1:4" x14ac:dyDescent="0.35">
      <c r="A119" s="22">
        <f t="shared" si="1"/>
        <v>40587</v>
      </c>
      <c r="B119" s="15">
        <f>COUNTIFS(Clean_Data!$F$2:$F$1001,$A119,Clean_Data!$V$2:$V$1001,$B$3,Clean_Data!$W$2:$W$1001,$B$4,Clean_Data!$Z$2:$Z$1001,$B$5,Clean_Data!$AF$2:$AF$1001,$B$6,Clean_Data!$F$2:$F$1001,"&gt;="&amp;$B$7,Clean_Data!$F$2:$F$1001,"&lt;="&amp;$B$8)</f>
        <v>23</v>
      </c>
      <c r="C119" s="15">
        <f>SUMIFS(Clean_Data!$U$2:$U$1001,Clean_Data!$F$2:$F$1001,$A119,Clean_Data!$V$2:$V$1001,$B$3,Clean_Data!$W$2:$W$1001,$B$4,Clean_Data!$Z$2:$Z$1001,$B$5,Clean_Data!$AF$2:$AF$1001,$B$6,Clean_Data!$F$2:$F$1001,"&gt;="&amp;$B$7,Clean_Data!$F$2:$F$1001,"&lt;="&amp;$B$8)</f>
        <v>1589</v>
      </c>
      <c r="D119" s="15" t="str">
        <f>IF($A119=MAX(Clean_Data!$F$2:$F$1001),"Partial day","")</f>
        <v/>
      </c>
    </row>
    <row r="120" spans="1:4" x14ac:dyDescent="0.35">
      <c r="A120" s="22">
        <f t="shared" si="1"/>
        <v>40588</v>
      </c>
      <c r="B120" s="15">
        <f>COUNTIFS(Clean_Data!$F$2:$F$1001,$A120,Clean_Data!$V$2:$V$1001,$B$3,Clean_Data!$W$2:$W$1001,$B$4,Clean_Data!$Z$2:$Z$1001,$B$5,Clean_Data!$AF$2:$AF$1001,$B$6,Clean_Data!$F$2:$F$1001,"&gt;="&amp;$B$7,Clean_Data!$F$2:$F$1001,"&lt;="&amp;$B$8)</f>
        <v>8</v>
      </c>
      <c r="C120" s="15">
        <f>SUMIFS(Clean_Data!$U$2:$U$1001,Clean_Data!$F$2:$F$1001,$A120,Clean_Data!$V$2:$V$1001,$B$3,Clean_Data!$W$2:$W$1001,$B$4,Clean_Data!$Z$2:$Z$1001,$B$5,Clean_Data!$AF$2:$AF$1001,$B$6,Clean_Data!$F$2:$F$1001,"&gt;="&amp;$B$7,Clean_Data!$F$2:$F$1001,"&lt;="&amp;$B$8)</f>
        <v>151</v>
      </c>
      <c r="D120" s="15" t="str">
        <f>IF($A120=MAX(Clean_Data!$F$2:$F$1001),"Partial day","")</f>
        <v>Partial day</v>
      </c>
    </row>
  </sheetData>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9D223-D489-4B22-B2DD-3184F8591AC4}">
  <dimension ref="A3:B8"/>
  <sheetViews>
    <sheetView workbookViewId="0">
      <selection activeCell="A4" sqref="A4"/>
    </sheetView>
  </sheetViews>
  <sheetFormatPr defaultRowHeight="14.5" x14ac:dyDescent="0.35"/>
  <cols>
    <col min="1" max="1" width="20.453125" bestFit="1" customWidth="1"/>
    <col min="2" max="2" width="13.36328125" bestFit="1" customWidth="1"/>
  </cols>
  <sheetData>
    <row r="3" spans="1:2" x14ac:dyDescent="0.35">
      <c r="A3" s="42" t="s">
        <v>376</v>
      </c>
      <c r="B3" t="s">
        <v>378</v>
      </c>
    </row>
    <row r="4" spans="1:2" x14ac:dyDescent="0.35">
      <c r="A4" s="43" t="s">
        <v>298</v>
      </c>
      <c r="B4" s="44">
        <v>61.671617161716171</v>
      </c>
    </row>
    <row r="5" spans="1:2" x14ac:dyDescent="0.35">
      <c r="A5" s="43" t="s">
        <v>309</v>
      </c>
      <c r="B5" s="44">
        <v>36</v>
      </c>
    </row>
    <row r="6" spans="1:2" x14ac:dyDescent="0.35">
      <c r="A6" s="43" t="s">
        <v>305</v>
      </c>
      <c r="B6" s="44">
        <v>33.202380952380949</v>
      </c>
    </row>
    <row r="7" spans="1:2" x14ac:dyDescent="0.35">
      <c r="A7" s="43" t="s">
        <v>301</v>
      </c>
      <c r="B7" s="44">
        <v>58.595469255663431</v>
      </c>
    </row>
    <row r="8" spans="1:2" x14ac:dyDescent="0.35">
      <c r="A8" s="43" t="s">
        <v>377</v>
      </c>
      <c r="B8" s="44">
        <v>58.304000000000002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D866A-6D33-4C45-B904-824F72AF33EC}">
  <dimension ref="A1"/>
  <sheetViews>
    <sheetView zoomScale="80" zoomScaleNormal="80" workbookViewId="0">
      <selection activeCell="P19" sqref="P19"/>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J1001"/>
  <sheetViews>
    <sheetView zoomScaleNormal="100" workbookViewId="0">
      <pane xSplit="6" ySplit="1" topLeftCell="Z977" activePane="bottomRight" state="frozen"/>
      <selection pane="topRight" activeCell="G1" sqref="G1"/>
      <selection pane="bottomLeft" activeCell="A2" sqref="A2"/>
      <selection pane="bottomRight" activeCell="A2" sqref="A2"/>
    </sheetView>
  </sheetViews>
  <sheetFormatPr defaultColWidth="8.6328125" defaultRowHeight="14.5" x14ac:dyDescent="0.35"/>
  <cols>
    <col min="1" max="2" width="13" customWidth="1"/>
    <col min="3" max="5" width="8" customWidth="1"/>
    <col min="6" max="36" width="13" customWidth="1"/>
  </cols>
  <sheetData>
    <row r="1" spans="1:36" ht="30" customHeight="1" x14ac:dyDescent="0.35">
      <c r="A1" s="9" t="s">
        <v>121</v>
      </c>
      <c r="B1" s="9" t="s">
        <v>122</v>
      </c>
      <c r="C1" s="9" t="s">
        <v>123</v>
      </c>
      <c r="D1" s="9" t="s">
        <v>124</v>
      </c>
      <c r="E1" s="9" t="s">
        <v>125</v>
      </c>
      <c r="F1" s="9" t="s">
        <v>126</v>
      </c>
      <c r="G1" s="9" t="s">
        <v>127</v>
      </c>
      <c r="H1" s="9" t="s">
        <v>128</v>
      </c>
      <c r="I1" s="9" t="s">
        <v>129</v>
      </c>
      <c r="J1" s="9" t="s">
        <v>130</v>
      </c>
      <c r="K1" s="9" t="s">
        <v>131</v>
      </c>
      <c r="L1" s="9" t="s">
        <v>132</v>
      </c>
      <c r="M1" s="9" t="s">
        <v>133</v>
      </c>
      <c r="N1" s="9" t="s">
        <v>134</v>
      </c>
      <c r="O1" s="9" t="s">
        <v>135</v>
      </c>
      <c r="P1" s="9" t="s">
        <v>136</v>
      </c>
      <c r="Q1" s="9" t="s">
        <v>137</v>
      </c>
      <c r="R1" s="9" t="s">
        <v>138</v>
      </c>
      <c r="S1" s="9" t="s">
        <v>139</v>
      </c>
      <c r="T1" s="9" t="s">
        <v>140</v>
      </c>
      <c r="U1" s="9" t="s">
        <v>141</v>
      </c>
      <c r="V1" s="9" t="s">
        <v>142</v>
      </c>
      <c r="W1" s="9" t="s">
        <v>143</v>
      </c>
      <c r="X1" s="9" t="s">
        <v>144</v>
      </c>
      <c r="Y1" s="9" t="s">
        <v>145</v>
      </c>
      <c r="Z1" s="9" t="s">
        <v>146</v>
      </c>
      <c r="AA1" s="9" t="s">
        <v>147</v>
      </c>
      <c r="AB1" s="9" t="s">
        <v>148</v>
      </c>
      <c r="AC1" s="9" t="s">
        <v>149</v>
      </c>
      <c r="AD1" s="9" t="s">
        <v>150</v>
      </c>
      <c r="AE1" s="9" t="s">
        <v>151</v>
      </c>
      <c r="AF1" s="9" t="s">
        <v>152</v>
      </c>
      <c r="AG1" s="9" t="s">
        <v>153</v>
      </c>
      <c r="AH1" s="9" t="s">
        <v>154</v>
      </c>
      <c r="AI1" s="9" t="s">
        <v>155</v>
      </c>
      <c r="AJ1" s="9" t="s">
        <v>156</v>
      </c>
    </row>
    <row r="2" spans="1:36" x14ac:dyDescent="0.35">
      <c r="A2" s="23">
        <v>1</v>
      </c>
      <c r="B2" s="23" t="str">
        <f t="shared" ref="B2:B65" si="0">IF($C2&gt;0,"Merge 1+2","Dataset 3")</f>
        <v>Merge 1+2</v>
      </c>
      <c r="C2" s="23">
        <f>IFERROR(MATCH($A2,Merge_1_2!$A$2:$A$611,0),0)</f>
        <v>1</v>
      </c>
      <c r="D2" s="23">
        <f>IF($C2&gt;0,INDEX(Merge_1_2!$Q$2:$Q$611,$C2),0)</f>
        <v>1</v>
      </c>
      <c r="E2" s="23">
        <f>IFERROR(MATCH($A2,Dataset3_Raw!$A$2:$A$391,0),0)</f>
        <v>0</v>
      </c>
      <c r="F2" s="24">
        <f>IF($C2&gt;0,INDEX(Merge_1_2!$B$2:$B$611,$C2),DATE(VALUE(RIGHT(INDEX(Dataset3_Raw!$B$2:$B$391,$E2),4)),VALUE(MID(INDEX(Dataset3_Raw!$B$2:$B$391,$E2),4,2)),VALUE(LEFT(INDEX(Dataset3_Raw!$B$2:$B$391,$E2),2))))</f>
        <v>40544</v>
      </c>
      <c r="G2" s="23">
        <f>IF($C2&gt;0,INDEX(Merge_1_2!$C$2:$C$611,$C2),INDEX(Dataset3_Raw!$C$2:$C$391,$E2))</f>
        <v>1</v>
      </c>
      <c r="H2" s="23">
        <f>IF($C2&gt;0,INDEX(Merge_1_2!$D$2:$D$611,$C2),INDEX(Dataset3_Raw!$D$2:$D$391,$E2))</f>
        <v>0</v>
      </c>
      <c r="I2" s="23">
        <f>IF($C2&gt;0,INDEX(Merge_1_2!$E$2:$E$611,$C2),INDEX(Dataset3_Raw!$E$2:$E$391,$E2))</f>
        <v>1</v>
      </c>
      <c r="J2" s="23">
        <f>IF($C2&gt;0,INDEX(Merge_1_2!$F$2:$F$611,$C2),INDEX(Dataset3_Raw!$F$2:$F$391,$E2))</f>
        <v>0</v>
      </c>
      <c r="K2" s="23" t="b">
        <f>IF($C2&gt;0,INDEX(Merge_1_2!$G$2:$G$611,$C2),INDEX(Dataset3_Raw!$G$2:$G$391,$E2))</f>
        <v>0</v>
      </c>
      <c r="L2" s="23">
        <f>IF($C2&gt;0,INDEX(Merge_1_2!$H$2:$H$611,$C2),INDEX(Dataset3_Raw!$H$2:$H$391,$E2))</f>
        <v>6</v>
      </c>
      <c r="M2" s="23">
        <f>IF($C2&gt;0,INDEX(Merge_1_2!$I$2:$I$611,$C2),INDEX(Dataset3_Raw!$I$2:$I$391,$E2))</f>
        <v>1</v>
      </c>
      <c r="N2" s="25">
        <f>IF($C2&gt;0,INDEX(Merge_1_2!$J$2:$J$611,$C2),INDEX(Dataset3_Raw!$J$2:$J$391,$E2))</f>
        <v>0.24</v>
      </c>
      <c r="O2" s="25">
        <f>IF($C2&gt;0,IF(ISNUMBER(INDEX(Merge_1_2!$K$2:$K$611,$C2)),INDEX(Merge_1_2!$K$2:$K$611,$C2),""),INDEX(Dataset3_Raw!$K$2:$K$391,$E2))</f>
        <v>0.28789999999999999</v>
      </c>
      <c r="P2" s="25">
        <f>IF(ISNUMBER($O2),$O2,ROUND(Lookups!$B$25+Lookups!$B$24*$N2,4))</f>
        <v>0.28789999999999999</v>
      </c>
      <c r="Q2" s="25">
        <f>IF($C2&gt;0,INDEX(Merge_1_2!$L$2:$L$611,$C2),INDEX(Dataset3_Raw!$L$2:$L$391,$E2))</f>
        <v>0.81</v>
      </c>
      <c r="R2" s="25">
        <f>IF($C2&gt;0,INDEX(Merge_1_2!$M$2:$M$611,$C2),INDEX(Dataset3_Raw!$M$2:$M$391,$E2))</f>
        <v>0</v>
      </c>
      <c r="S2" s="23">
        <f>IF($C2&gt;0,INDEX(Merge_1_2!$N$2:$N$611,$C2),INDEX(Dataset3_Raw!$N$2:$N$391,$E2))</f>
        <v>3</v>
      </c>
      <c r="T2" s="23">
        <f>IF($C2&gt;0,INDEX(Merge_1_2!$O$2:$O$611,$C2),INDEX(Dataset3_Raw!$O$2:$O$391,$E2))</f>
        <v>13</v>
      </c>
      <c r="U2" s="23">
        <f>IF($C2&gt;0,INDEX(Merge_1_2!$P$2:$P$611,$C2),INDEX(Dataset3_Raw!$P$2:$P$391,$E2))</f>
        <v>16</v>
      </c>
      <c r="V2" s="23" t="str">
        <f t="shared" ref="V2:V65" si="1">IF($K2,"Holiday",IF(OR($L2=0,$L2=6),"Weekend","Weekday"))</f>
        <v>Weekend</v>
      </c>
      <c r="W2" s="23" t="str">
        <f>VLOOKUP($M2,Lookups!$A$5:$B$8,2,FALSE())</f>
        <v>Clear / Partly cloudy</v>
      </c>
      <c r="X2" s="23" t="str">
        <f>VLOOKUP($G2,Lookups!$D$5:$E$8,2,FALSE())</f>
        <v>Winter</v>
      </c>
      <c r="Y2" s="23" t="str">
        <f>VLOOKUP($L2,Lookups!$G$5:$H$11,2,FALSE())</f>
        <v>Saturday</v>
      </c>
      <c r="Z2" s="23" t="str">
        <f>IF($J2&lt;Lookups!$B$26,"Night",IF($J2&lt;Lookups!$B$27,"Morning",IF($J2&lt;Lookups!$B$28,"Afternoon","Evening")))</f>
        <v>Night</v>
      </c>
      <c r="AA2" s="26">
        <f>ROUND($N2*(Lookups!$B$16-Lookups!$B$15)+Lookups!$B$15,1)</f>
        <v>3.3</v>
      </c>
      <c r="AB2" s="26">
        <f>ROUND($P2*(Lookups!$B$18-Lookups!$B$17)+Lookups!$B$17,1)</f>
        <v>3</v>
      </c>
      <c r="AC2" s="23">
        <f t="shared" ref="AC2:AC65" si="2">ROUND($Q2*100,0)</f>
        <v>81</v>
      </c>
      <c r="AD2" s="23">
        <f>ROUND($R2*Lookups!$B$19,1)</f>
        <v>0</v>
      </c>
      <c r="AE2" s="27">
        <f t="shared" ref="AE2:AE65" si="3">IF($U2&gt;0,$T2/$U2,0)</f>
        <v>0.8125</v>
      </c>
      <c r="AF2" s="23" t="str">
        <f>IF($U2&gt;=Lookups!$B$23,"High",IF($U2&gt;=Lookups!$B$22,"Medium","Low"))</f>
        <v>Medium</v>
      </c>
      <c r="AG2" s="23">
        <f>ROUND(IF($V2="Weekday",IF(INDEX(Hourly_Analysis!$D$5:$D$28,$J2+1)&gt;0,($U2-INDEX(Hourly_Analysis!$C$5:$C$28,$J2+1))/INDEX(Hourly_Analysis!$D$5:$D$28,$J2+1),0),IF(INDEX(Hourly_Analysis!$G$5:$G$28,$J2+1)&gt;0,($U2-INDEX(Hourly_Analysis!$F$5:$F$28,$J2+1))/INDEX(Hourly_Analysis!$G$5:$G$28,$J2+1),0)),2)</f>
        <v>-1.24</v>
      </c>
      <c r="AH2" s="23" t="str">
        <f>IF(ABS($AG2)&gt;Lookups!$B$20,IF($AG2&gt;0,"High anomaly","Low anomaly"),"")</f>
        <v/>
      </c>
      <c r="AI2" s="23" t="str">
        <f t="shared" ref="AI2:AI65" si="4">IF($S2+$T2=$U2,"OK","Mismatch")</f>
        <v>OK</v>
      </c>
      <c r="AJ2" s="23" t="str">
        <f t="shared" ref="AJ2:AJ65" si="5">IF(ISNUMBER($O2),"No","Yes")</f>
        <v>No</v>
      </c>
    </row>
    <row r="3" spans="1:36" x14ac:dyDescent="0.35">
      <c r="A3" s="23">
        <v>2</v>
      </c>
      <c r="B3" s="23" t="str">
        <f t="shared" si="0"/>
        <v>Merge 1+2</v>
      </c>
      <c r="C3" s="23">
        <f>IFERROR(MATCH($A3,Merge_1_2!$A$2:$A$611,0),0)</f>
        <v>2</v>
      </c>
      <c r="D3" s="23">
        <f>IF($C3&gt;0,INDEX(Merge_1_2!$Q$2:$Q$611,$C3),0)</f>
        <v>2</v>
      </c>
      <c r="E3" s="23">
        <f>IFERROR(MATCH($A3,Dataset3_Raw!$A$2:$A$391,0),0)</f>
        <v>0</v>
      </c>
      <c r="F3" s="24">
        <f>IF($C3&gt;0,INDEX(Merge_1_2!$B$2:$B$611,$C3),DATE(VALUE(RIGHT(INDEX(Dataset3_Raw!$B$2:$B$391,$E3),4)),VALUE(MID(INDEX(Dataset3_Raw!$B$2:$B$391,$E3),4,2)),VALUE(LEFT(INDEX(Dataset3_Raw!$B$2:$B$391,$E3),2))))</f>
        <v>40544</v>
      </c>
      <c r="G3" s="23">
        <f>IF($C3&gt;0,INDEX(Merge_1_2!$C$2:$C$611,$C3),INDEX(Dataset3_Raw!$C$2:$C$391,$E3))</f>
        <v>1</v>
      </c>
      <c r="H3" s="23">
        <f>IF($C3&gt;0,INDEX(Merge_1_2!$D$2:$D$611,$C3),INDEX(Dataset3_Raw!$D$2:$D$391,$E3))</f>
        <v>0</v>
      </c>
      <c r="I3" s="23">
        <f>IF($C3&gt;0,INDEX(Merge_1_2!$E$2:$E$611,$C3),INDEX(Dataset3_Raw!$E$2:$E$391,$E3))</f>
        <v>1</v>
      </c>
      <c r="J3" s="23">
        <f>IF($C3&gt;0,INDEX(Merge_1_2!$F$2:$F$611,$C3),INDEX(Dataset3_Raw!$F$2:$F$391,$E3))</f>
        <v>1</v>
      </c>
      <c r="K3" s="23" t="b">
        <f>IF($C3&gt;0,INDEX(Merge_1_2!$G$2:$G$611,$C3),INDEX(Dataset3_Raw!$G$2:$G$391,$E3))</f>
        <v>0</v>
      </c>
      <c r="L3" s="23">
        <f>IF($C3&gt;0,INDEX(Merge_1_2!$H$2:$H$611,$C3),INDEX(Dataset3_Raw!$H$2:$H$391,$E3))</f>
        <v>6</v>
      </c>
      <c r="M3" s="23">
        <f>IF($C3&gt;0,INDEX(Merge_1_2!$I$2:$I$611,$C3),INDEX(Dataset3_Raw!$I$2:$I$391,$E3))</f>
        <v>1</v>
      </c>
      <c r="N3" s="25">
        <f>IF($C3&gt;0,INDEX(Merge_1_2!$J$2:$J$611,$C3),INDEX(Dataset3_Raw!$J$2:$J$391,$E3))</f>
        <v>0.22</v>
      </c>
      <c r="O3" s="25">
        <f>IF($C3&gt;0,IF(ISNUMBER(INDEX(Merge_1_2!$K$2:$K$611,$C3)),INDEX(Merge_1_2!$K$2:$K$611,$C3),""),INDEX(Dataset3_Raw!$K$2:$K$391,$E3))</f>
        <v>0.2727</v>
      </c>
      <c r="P3" s="25">
        <f>IF(ISNUMBER($O3),$O3,ROUND(Lookups!$B$25+Lookups!$B$24*$N3,4))</f>
        <v>0.2727</v>
      </c>
      <c r="Q3" s="25">
        <f>IF($C3&gt;0,INDEX(Merge_1_2!$L$2:$L$611,$C3),INDEX(Dataset3_Raw!$L$2:$L$391,$E3))</f>
        <v>0.8</v>
      </c>
      <c r="R3" s="25">
        <f>IF($C3&gt;0,INDEX(Merge_1_2!$M$2:$M$611,$C3),INDEX(Dataset3_Raw!$M$2:$M$391,$E3))</f>
        <v>0</v>
      </c>
      <c r="S3" s="23">
        <f>IF($C3&gt;0,INDEX(Merge_1_2!$N$2:$N$611,$C3),INDEX(Dataset3_Raw!$N$2:$N$391,$E3))</f>
        <v>8</v>
      </c>
      <c r="T3" s="23">
        <f>IF($C3&gt;0,INDEX(Merge_1_2!$O$2:$O$611,$C3),INDEX(Dataset3_Raw!$O$2:$O$391,$E3))</f>
        <v>32</v>
      </c>
      <c r="U3" s="23">
        <f>IF($C3&gt;0,INDEX(Merge_1_2!$P$2:$P$611,$C3),INDEX(Dataset3_Raw!$P$2:$P$391,$E3))</f>
        <v>40</v>
      </c>
      <c r="V3" s="23" t="str">
        <f t="shared" si="1"/>
        <v>Weekend</v>
      </c>
      <c r="W3" s="23" t="str">
        <f>VLOOKUP($M3,Lookups!$A$5:$B$8,2,FALSE())</f>
        <v>Clear / Partly cloudy</v>
      </c>
      <c r="X3" s="23" t="str">
        <f>VLOOKUP($G3,Lookups!$D$5:$E$8,2,FALSE())</f>
        <v>Winter</v>
      </c>
      <c r="Y3" s="23" t="str">
        <f>VLOOKUP($L3,Lookups!$G$5:$H$11,2,FALSE())</f>
        <v>Saturday</v>
      </c>
      <c r="Z3" s="23" t="str">
        <f>IF($J3&lt;Lookups!$B$26,"Night",IF($J3&lt;Lookups!$B$27,"Morning",IF($J3&lt;Lookups!$B$28,"Afternoon","Evening")))</f>
        <v>Night</v>
      </c>
      <c r="AA3" s="26">
        <f>ROUND($N3*(Lookups!$B$16-Lookups!$B$15)+Lookups!$B$15,1)</f>
        <v>2.2999999999999998</v>
      </c>
      <c r="AB3" s="26">
        <f>ROUND($P3*(Lookups!$B$18-Lookups!$B$17)+Lookups!$B$17,1)</f>
        <v>2</v>
      </c>
      <c r="AC3" s="23">
        <f t="shared" si="2"/>
        <v>80</v>
      </c>
      <c r="AD3" s="23">
        <f>ROUND($R3*Lookups!$B$19,1)</f>
        <v>0</v>
      </c>
      <c r="AE3" s="27">
        <f t="shared" si="3"/>
        <v>0.8</v>
      </c>
      <c r="AF3" s="23" t="str">
        <f>IF($U3&gt;=Lookups!$B$23,"High",IF($U3&gt;=Lookups!$B$22,"Medium","Low"))</f>
        <v>Medium</v>
      </c>
      <c r="AG3" s="23">
        <f>ROUND(IF($V3="Weekday",IF(INDEX(Hourly_Analysis!$D$5:$D$28,$J3+1)&gt;0,($U3-INDEX(Hourly_Analysis!$C$5:$C$28,$J3+1))/INDEX(Hourly_Analysis!$D$5:$D$28,$J3+1),0),IF(INDEX(Hourly_Analysis!$G$5:$G$28,$J3+1)&gt;0,($U3-INDEX(Hourly_Analysis!$F$5:$F$28,$J3+1))/INDEX(Hourly_Analysis!$G$5:$G$28,$J3+1),0)),2)</f>
        <v>1.91</v>
      </c>
      <c r="AH3" s="23" t="str">
        <f>IF(ABS($AG3)&gt;Lookups!$B$20,IF($AG3&gt;0,"High anomaly","Low anomaly"),"")</f>
        <v/>
      </c>
      <c r="AI3" s="23" t="str">
        <f t="shared" si="4"/>
        <v>OK</v>
      </c>
      <c r="AJ3" s="23" t="str">
        <f t="shared" si="5"/>
        <v>No</v>
      </c>
    </row>
    <row r="4" spans="1:36" x14ac:dyDescent="0.35">
      <c r="A4" s="23">
        <v>3</v>
      </c>
      <c r="B4" s="23" t="str">
        <f t="shared" si="0"/>
        <v>Merge 1+2</v>
      </c>
      <c r="C4" s="23">
        <f>IFERROR(MATCH($A4,Merge_1_2!$A$2:$A$611,0),0)</f>
        <v>3</v>
      </c>
      <c r="D4" s="23">
        <f>IF($C4&gt;0,INDEX(Merge_1_2!$Q$2:$Q$611,$C4),0)</f>
        <v>3</v>
      </c>
      <c r="E4" s="23">
        <f>IFERROR(MATCH($A4,Dataset3_Raw!$A$2:$A$391,0),0)</f>
        <v>0</v>
      </c>
      <c r="F4" s="24">
        <f>IF($C4&gt;0,INDEX(Merge_1_2!$B$2:$B$611,$C4),DATE(VALUE(RIGHT(INDEX(Dataset3_Raw!$B$2:$B$391,$E4),4)),VALUE(MID(INDEX(Dataset3_Raw!$B$2:$B$391,$E4),4,2)),VALUE(LEFT(INDEX(Dataset3_Raw!$B$2:$B$391,$E4),2))))</f>
        <v>40544</v>
      </c>
      <c r="G4" s="23">
        <f>IF($C4&gt;0,INDEX(Merge_1_2!$C$2:$C$611,$C4),INDEX(Dataset3_Raw!$C$2:$C$391,$E4))</f>
        <v>1</v>
      </c>
      <c r="H4" s="23">
        <f>IF($C4&gt;0,INDEX(Merge_1_2!$D$2:$D$611,$C4),INDEX(Dataset3_Raw!$D$2:$D$391,$E4))</f>
        <v>0</v>
      </c>
      <c r="I4" s="23">
        <f>IF($C4&gt;0,INDEX(Merge_1_2!$E$2:$E$611,$C4),INDEX(Dataset3_Raw!$E$2:$E$391,$E4))</f>
        <v>1</v>
      </c>
      <c r="J4" s="23">
        <f>IF($C4&gt;0,INDEX(Merge_1_2!$F$2:$F$611,$C4),INDEX(Dataset3_Raw!$F$2:$F$391,$E4))</f>
        <v>2</v>
      </c>
      <c r="K4" s="23" t="b">
        <f>IF($C4&gt;0,INDEX(Merge_1_2!$G$2:$G$611,$C4),INDEX(Dataset3_Raw!$G$2:$G$391,$E4))</f>
        <v>0</v>
      </c>
      <c r="L4" s="23">
        <f>IF($C4&gt;0,INDEX(Merge_1_2!$H$2:$H$611,$C4),INDEX(Dataset3_Raw!$H$2:$H$391,$E4))</f>
        <v>6</v>
      </c>
      <c r="M4" s="23">
        <f>IF($C4&gt;0,INDEX(Merge_1_2!$I$2:$I$611,$C4),INDEX(Dataset3_Raw!$I$2:$I$391,$E4))</f>
        <v>1</v>
      </c>
      <c r="N4" s="25">
        <f>IF($C4&gt;0,INDEX(Merge_1_2!$J$2:$J$611,$C4),INDEX(Dataset3_Raw!$J$2:$J$391,$E4))</f>
        <v>0.22</v>
      </c>
      <c r="O4" s="25">
        <f>IF($C4&gt;0,IF(ISNUMBER(INDEX(Merge_1_2!$K$2:$K$611,$C4)),INDEX(Merge_1_2!$K$2:$K$611,$C4),""),INDEX(Dataset3_Raw!$K$2:$K$391,$E4))</f>
        <v>0.2727</v>
      </c>
      <c r="P4" s="25">
        <f>IF(ISNUMBER($O4),$O4,ROUND(Lookups!$B$25+Lookups!$B$24*$N4,4))</f>
        <v>0.2727</v>
      </c>
      <c r="Q4" s="25">
        <f>IF($C4&gt;0,INDEX(Merge_1_2!$L$2:$L$611,$C4),INDEX(Dataset3_Raw!$L$2:$L$391,$E4))</f>
        <v>0.8</v>
      </c>
      <c r="R4" s="25">
        <f>IF($C4&gt;0,INDEX(Merge_1_2!$M$2:$M$611,$C4),INDEX(Dataset3_Raw!$M$2:$M$391,$E4))</f>
        <v>0</v>
      </c>
      <c r="S4" s="23">
        <f>IF($C4&gt;0,INDEX(Merge_1_2!$N$2:$N$611,$C4),INDEX(Dataset3_Raw!$N$2:$N$391,$E4))</f>
        <v>5</v>
      </c>
      <c r="T4" s="23">
        <f>IF($C4&gt;0,INDEX(Merge_1_2!$O$2:$O$611,$C4),INDEX(Dataset3_Raw!$O$2:$O$391,$E4))</f>
        <v>27</v>
      </c>
      <c r="U4" s="23">
        <f>IF($C4&gt;0,INDEX(Merge_1_2!$P$2:$P$611,$C4),INDEX(Dataset3_Raw!$P$2:$P$391,$E4))</f>
        <v>32</v>
      </c>
      <c r="V4" s="23" t="str">
        <f t="shared" si="1"/>
        <v>Weekend</v>
      </c>
      <c r="W4" s="23" t="str">
        <f>VLOOKUP($M4,Lookups!$A$5:$B$8,2,FALSE())</f>
        <v>Clear / Partly cloudy</v>
      </c>
      <c r="X4" s="23" t="str">
        <f>VLOOKUP($G4,Lookups!$D$5:$E$8,2,FALSE())</f>
        <v>Winter</v>
      </c>
      <c r="Y4" s="23" t="str">
        <f>VLOOKUP($L4,Lookups!$G$5:$H$11,2,FALSE())</f>
        <v>Saturday</v>
      </c>
      <c r="Z4" s="23" t="str">
        <f>IF($J4&lt;Lookups!$B$26,"Night",IF($J4&lt;Lookups!$B$27,"Morning",IF($J4&lt;Lookups!$B$28,"Afternoon","Evening")))</f>
        <v>Night</v>
      </c>
      <c r="AA4" s="26">
        <f>ROUND($N4*(Lookups!$B$16-Lookups!$B$15)+Lookups!$B$15,1)</f>
        <v>2.2999999999999998</v>
      </c>
      <c r="AB4" s="26">
        <f>ROUND($P4*(Lookups!$B$18-Lookups!$B$17)+Lookups!$B$17,1)</f>
        <v>2</v>
      </c>
      <c r="AC4" s="23">
        <f t="shared" si="2"/>
        <v>80</v>
      </c>
      <c r="AD4" s="23">
        <f>ROUND($R4*Lookups!$B$19,1)</f>
        <v>0</v>
      </c>
      <c r="AE4" s="27">
        <f t="shared" si="3"/>
        <v>0.84375</v>
      </c>
      <c r="AF4" s="23" t="str">
        <f>IF($U4&gt;=Lookups!$B$23,"High",IF($U4&gt;=Lookups!$B$22,"Medium","Low"))</f>
        <v>Medium</v>
      </c>
      <c r="AG4" s="23">
        <f>ROUND(IF($V4="Weekday",IF(INDEX(Hourly_Analysis!$D$5:$D$28,$J4+1)&gt;0,($U4-INDEX(Hourly_Analysis!$C$5:$C$28,$J4+1))/INDEX(Hourly_Analysis!$D$5:$D$28,$J4+1),0),IF(INDEX(Hourly_Analysis!$G$5:$G$28,$J4+1)&gt;0,($U4-INDEX(Hourly_Analysis!$F$5:$F$28,$J4+1))/INDEX(Hourly_Analysis!$G$5:$G$28,$J4+1),0)),2)</f>
        <v>2.8</v>
      </c>
      <c r="AH4" s="23" t="str">
        <f>IF(ABS($AG4)&gt;Lookups!$B$20,IF($AG4&gt;0,"High anomaly","Low anomaly"),"")</f>
        <v/>
      </c>
      <c r="AI4" s="23" t="str">
        <f t="shared" si="4"/>
        <v>OK</v>
      </c>
      <c r="AJ4" s="23" t="str">
        <f t="shared" si="5"/>
        <v>No</v>
      </c>
    </row>
    <row r="5" spans="1:36" x14ac:dyDescent="0.35">
      <c r="A5" s="23">
        <v>4</v>
      </c>
      <c r="B5" s="23" t="str">
        <f t="shared" si="0"/>
        <v>Merge 1+2</v>
      </c>
      <c r="C5" s="23">
        <f>IFERROR(MATCH($A5,Merge_1_2!$A$2:$A$611,0),0)</f>
        <v>4</v>
      </c>
      <c r="D5" s="23">
        <f>IF($C5&gt;0,INDEX(Merge_1_2!$Q$2:$Q$611,$C5),0)</f>
        <v>4</v>
      </c>
      <c r="E5" s="23">
        <f>IFERROR(MATCH($A5,Dataset3_Raw!$A$2:$A$391,0),0)</f>
        <v>0</v>
      </c>
      <c r="F5" s="24">
        <f>IF($C5&gt;0,INDEX(Merge_1_2!$B$2:$B$611,$C5),DATE(VALUE(RIGHT(INDEX(Dataset3_Raw!$B$2:$B$391,$E5),4)),VALUE(MID(INDEX(Dataset3_Raw!$B$2:$B$391,$E5),4,2)),VALUE(LEFT(INDEX(Dataset3_Raw!$B$2:$B$391,$E5),2))))</f>
        <v>40544</v>
      </c>
      <c r="G5" s="23">
        <f>IF($C5&gt;0,INDEX(Merge_1_2!$C$2:$C$611,$C5),INDEX(Dataset3_Raw!$C$2:$C$391,$E5))</f>
        <v>1</v>
      </c>
      <c r="H5" s="23">
        <f>IF($C5&gt;0,INDEX(Merge_1_2!$D$2:$D$611,$C5),INDEX(Dataset3_Raw!$D$2:$D$391,$E5))</f>
        <v>0</v>
      </c>
      <c r="I5" s="23">
        <f>IF($C5&gt;0,INDEX(Merge_1_2!$E$2:$E$611,$C5),INDEX(Dataset3_Raw!$E$2:$E$391,$E5))</f>
        <v>1</v>
      </c>
      <c r="J5" s="23">
        <f>IF($C5&gt;0,INDEX(Merge_1_2!$F$2:$F$611,$C5),INDEX(Dataset3_Raw!$F$2:$F$391,$E5))</f>
        <v>3</v>
      </c>
      <c r="K5" s="23" t="b">
        <f>IF($C5&gt;0,INDEX(Merge_1_2!$G$2:$G$611,$C5),INDEX(Dataset3_Raw!$G$2:$G$391,$E5))</f>
        <v>0</v>
      </c>
      <c r="L5" s="23">
        <f>IF($C5&gt;0,INDEX(Merge_1_2!$H$2:$H$611,$C5),INDEX(Dataset3_Raw!$H$2:$H$391,$E5))</f>
        <v>6</v>
      </c>
      <c r="M5" s="23">
        <f>IF($C5&gt;0,INDEX(Merge_1_2!$I$2:$I$611,$C5),INDEX(Dataset3_Raw!$I$2:$I$391,$E5))</f>
        <v>1</v>
      </c>
      <c r="N5" s="25">
        <f>IF($C5&gt;0,INDEX(Merge_1_2!$J$2:$J$611,$C5),INDEX(Dataset3_Raw!$J$2:$J$391,$E5))</f>
        <v>0.24</v>
      </c>
      <c r="O5" s="25">
        <f>IF($C5&gt;0,IF(ISNUMBER(INDEX(Merge_1_2!$K$2:$K$611,$C5)),INDEX(Merge_1_2!$K$2:$K$611,$C5),""),INDEX(Dataset3_Raw!$K$2:$K$391,$E5))</f>
        <v>0.28789999999999999</v>
      </c>
      <c r="P5" s="25">
        <f>IF(ISNUMBER($O5),$O5,ROUND(Lookups!$B$25+Lookups!$B$24*$N5,4))</f>
        <v>0.28789999999999999</v>
      </c>
      <c r="Q5" s="25">
        <f>IF($C5&gt;0,INDEX(Merge_1_2!$L$2:$L$611,$C5),INDEX(Dataset3_Raw!$L$2:$L$391,$E5))</f>
        <v>0.75</v>
      </c>
      <c r="R5" s="25">
        <f>IF($C5&gt;0,INDEX(Merge_1_2!$M$2:$M$611,$C5),INDEX(Dataset3_Raw!$M$2:$M$391,$E5))</f>
        <v>0</v>
      </c>
      <c r="S5" s="23">
        <f>IF($C5&gt;0,INDEX(Merge_1_2!$N$2:$N$611,$C5),INDEX(Dataset3_Raw!$N$2:$N$391,$E5))</f>
        <v>3</v>
      </c>
      <c r="T5" s="23">
        <f>IF($C5&gt;0,INDEX(Merge_1_2!$O$2:$O$611,$C5),INDEX(Dataset3_Raw!$O$2:$O$391,$E5))</f>
        <v>10</v>
      </c>
      <c r="U5" s="23">
        <f>IF($C5&gt;0,INDEX(Merge_1_2!$P$2:$P$611,$C5),INDEX(Dataset3_Raw!$P$2:$P$391,$E5))</f>
        <v>13</v>
      </c>
      <c r="V5" s="23" t="str">
        <f t="shared" si="1"/>
        <v>Weekend</v>
      </c>
      <c r="W5" s="23" t="str">
        <f>VLOOKUP($M5,Lookups!$A$5:$B$8,2,FALSE())</f>
        <v>Clear / Partly cloudy</v>
      </c>
      <c r="X5" s="23" t="str">
        <f>VLOOKUP($G5,Lookups!$D$5:$E$8,2,FALSE())</f>
        <v>Winter</v>
      </c>
      <c r="Y5" s="23" t="str">
        <f>VLOOKUP($L5,Lookups!$G$5:$H$11,2,FALSE())</f>
        <v>Saturday</v>
      </c>
      <c r="Z5" s="23" t="str">
        <f>IF($J5&lt;Lookups!$B$26,"Night",IF($J5&lt;Lookups!$B$27,"Morning",IF($J5&lt;Lookups!$B$28,"Afternoon","Evening")))</f>
        <v>Night</v>
      </c>
      <c r="AA5" s="26">
        <f>ROUND($N5*(Lookups!$B$16-Lookups!$B$15)+Lookups!$B$15,1)</f>
        <v>3.3</v>
      </c>
      <c r="AB5" s="26">
        <f>ROUND($P5*(Lookups!$B$18-Lookups!$B$17)+Lookups!$B$17,1)</f>
        <v>3</v>
      </c>
      <c r="AC5" s="23">
        <f t="shared" si="2"/>
        <v>75</v>
      </c>
      <c r="AD5" s="23">
        <f>ROUND($R5*Lookups!$B$19,1)</f>
        <v>0</v>
      </c>
      <c r="AE5" s="27">
        <f t="shared" si="3"/>
        <v>0.76923076923076927</v>
      </c>
      <c r="AF5" s="23" t="str">
        <f>IF($U5&gt;=Lookups!$B$23,"High",IF($U5&gt;=Lookups!$B$22,"Medium","Low"))</f>
        <v>Low</v>
      </c>
      <c r="AG5" s="23">
        <f>ROUND(IF($V5="Weekday",IF(INDEX(Hourly_Analysis!$D$5:$D$28,$J5+1)&gt;0,($U5-INDEX(Hourly_Analysis!$C$5:$C$28,$J5+1))/INDEX(Hourly_Analysis!$D$5:$D$28,$J5+1),0),IF(INDEX(Hourly_Analysis!$G$5:$G$28,$J5+1)&gt;0,($U5-INDEX(Hourly_Analysis!$F$5:$F$28,$J5+1))/INDEX(Hourly_Analysis!$G$5:$G$28,$J5+1),0)),2)</f>
        <v>1.2</v>
      </c>
      <c r="AH5" s="23" t="str">
        <f>IF(ABS($AG5)&gt;Lookups!$B$20,IF($AG5&gt;0,"High anomaly","Low anomaly"),"")</f>
        <v/>
      </c>
      <c r="AI5" s="23" t="str">
        <f t="shared" si="4"/>
        <v>OK</v>
      </c>
      <c r="AJ5" s="23" t="str">
        <f t="shared" si="5"/>
        <v>No</v>
      </c>
    </row>
    <row r="6" spans="1:36" x14ac:dyDescent="0.35">
      <c r="A6" s="23">
        <v>5</v>
      </c>
      <c r="B6" s="23" t="str">
        <f t="shared" si="0"/>
        <v>Merge 1+2</v>
      </c>
      <c r="C6" s="23">
        <f>IFERROR(MATCH($A6,Merge_1_2!$A$2:$A$611,0),0)</f>
        <v>5</v>
      </c>
      <c r="D6" s="23">
        <f>IF($C6&gt;0,INDEX(Merge_1_2!$Q$2:$Q$611,$C6),0)</f>
        <v>5</v>
      </c>
      <c r="E6" s="23">
        <f>IFERROR(MATCH($A6,Dataset3_Raw!$A$2:$A$391,0),0)</f>
        <v>0</v>
      </c>
      <c r="F6" s="24">
        <f>IF($C6&gt;0,INDEX(Merge_1_2!$B$2:$B$611,$C6),DATE(VALUE(RIGHT(INDEX(Dataset3_Raw!$B$2:$B$391,$E6),4)),VALUE(MID(INDEX(Dataset3_Raw!$B$2:$B$391,$E6),4,2)),VALUE(LEFT(INDEX(Dataset3_Raw!$B$2:$B$391,$E6),2))))</f>
        <v>40544</v>
      </c>
      <c r="G6" s="23">
        <f>IF($C6&gt;0,INDEX(Merge_1_2!$C$2:$C$611,$C6),INDEX(Dataset3_Raw!$C$2:$C$391,$E6))</f>
        <v>1</v>
      </c>
      <c r="H6" s="23">
        <f>IF($C6&gt;0,INDEX(Merge_1_2!$D$2:$D$611,$C6),INDEX(Dataset3_Raw!$D$2:$D$391,$E6))</f>
        <v>0</v>
      </c>
      <c r="I6" s="23">
        <f>IF($C6&gt;0,INDEX(Merge_1_2!$E$2:$E$611,$C6),INDEX(Dataset3_Raw!$E$2:$E$391,$E6))</f>
        <v>1</v>
      </c>
      <c r="J6" s="23">
        <f>IF($C6&gt;0,INDEX(Merge_1_2!$F$2:$F$611,$C6),INDEX(Dataset3_Raw!$F$2:$F$391,$E6))</f>
        <v>4</v>
      </c>
      <c r="K6" s="23" t="b">
        <f>IF($C6&gt;0,INDEX(Merge_1_2!$G$2:$G$611,$C6),INDEX(Dataset3_Raw!$G$2:$G$391,$E6))</f>
        <v>0</v>
      </c>
      <c r="L6" s="23">
        <f>IF($C6&gt;0,INDEX(Merge_1_2!$H$2:$H$611,$C6),INDEX(Dataset3_Raw!$H$2:$H$391,$E6))</f>
        <v>6</v>
      </c>
      <c r="M6" s="23">
        <f>IF($C6&gt;0,INDEX(Merge_1_2!$I$2:$I$611,$C6),INDEX(Dataset3_Raw!$I$2:$I$391,$E6))</f>
        <v>1</v>
      </c>
      <c r="N6" s="25">
        <f>IF($C6&gt;0,INDEX(Merge_1_2!$J$2:$J$611,$C6),INDEX(Dataset3_Raw!$J$2:$J$391,$E6))</f>
        <v>0.24</v>
      </c>
      <c r="O6" s="25">
        <f>IF($C6&gt;0,IF(ISNUMBER(INDEX(Merge_1_2!$K$2:$K$611,$C6)),INDEX(Merge_1_2!$K$2:$K$611,$C6),""),INDEX(Dataset3_Raw!$K$2:$K$391,$E6))</f>
        <v>0.28789999999999999</v>
      </c>
      <c r="P6" s="25">
        <f>IF(ISNUMBER($O6),$O6,ROUND(Lookups!$B$25+Lookups!$B$24*$N6,4))</f>
        <v>0.28789999999999999</v>
      </c>
      <c r="Q6" s="25">
        <f>IF($C6&gt;0,INDEX(Merge_1_2!$L$2:$L$611,$C6),INDEX(Dataset3_Raw!$L$2:$L$391,$E6))</f>
        <v>0.75</v>
      </c>
      <c r="R6" s="25">
        <f>IF($C6&gt;0,INDEX(Merge_1_2!$M$2:$M$611,$C6),INDEX(Dataset3_Raw!$M$2:$M$391,$E6))</f>
        <v>0</v>
      </c>
      <c r="S6" s="23">
        <f>IF($C6&gt;0,INDEX(Merge_1_2!$N$2:$N$611,$C6),INDEX(Dataset3_Raw!$N$2:$N$391,$E6))</f>
        <v>0</v>
      </c>
      <c r="T6" s="23">
        <f>IF($C6&gt;0,INDEX(Merge_1_2!$O$2:$O$611,$C6),INDEX(Dataset3_Raw!$O$2:$O$391,$E6))</f>
        <v>1</v>
      </c>
      <c r="U6" s="23">
        <f>IF($C6&gt;0,INDEX(Merge_1_2!$P$2:$P$611,$C6),INDEX(Dataset3_Raw!$P$2:$P$391,$E6))</f>
        <v>1</v>
      </c>
      <c r="V6" s="23" t="str">
        <f t="shared" si="1"/>
        <v>Weekend</v>
      </c>
      <c r="W6" s="23" t="str">
        <f>VLOOKUP($M6,Lookups!$A$5:$B$8,2,FALSE())</f>
        <v>Clear / Partly cloudy</v>
      </c>
      <c r="X6" s="23" t="str">
        <f>VLOOKUP($G6,Lookups!$D$5:$E$8,2,FALSE())</f>
        <v>Winter</v>
      </c>
      <c r="Y6" s="23" t="str">
        <f>VLOOKUP($L6,Lookups!$G$5:$H$11,2,FALSE())</f>
        <v>Saturday</v>
      </c>
      <c r="Z6" s="23" t="str">
        <f>IF($J6&lt;Lookups!$B$26,"Night",IF($J6&lt;Lookups!$B$27,"Morning",IF($J6&lt;Lookups!$B$28,"Afternoon","Evening")))</f>
        <v>Night</v>
      </c>
      <c r="AA6" s="26">
        <f>ROUND($N6*(Lookups!$B$16-Lookups!$B$15)+Lookups!$B$15,1)</f>
        <v>3.3</v>
      </c>
      <c r="AB6" s="26">
        <f>ROUND($P6*(Lookups!$B$18-Lookups!$B$17)+Lookups!$B$17,1)</f>
        <v>3</v>
      </c>
      <c r="AC6" s="23">
        <f t="shared" si="2"/>
        <v>75</v>
      </c>
      <c r="AD6" s="23">
        <f>ROUND($R6*Lookups!$B$19,1)</f>
        <v>0</v>
      </c>
      <c r="AE6" s="27">
        <f t="shared" si="3"/>
        <v>1</v>
      </c>
      <c r="AF6" s="23" t="str">
        <f>IF($U6&gt;=Lookups!$B$23,"High",IF($U6&gt;=Lookups!$B$22,"Medium","Low"))</f>
        <v>Low</v>
      </c>
      <c r="AG6" s="23">
        <f>ROUND(IF($V6="Weekday",IF(INDEX(Hourly_Analysis!$D$5:$D$28,$J6+1)&gt;0,($U6-INDEX(Hourly_Analysis!$C$5:$C$28,$J6+1))/INDEX(Hourly_Analysis!$D$5:$D$28,$J6+1),0),IF(INDEX(Hourly_Analysis!$G$5:$G$28,$J6+1)&gt;0,($U6-INDEX(Hourly_Analysis!$F$5:$F$28,$J6+1))/INDEX(Hourly_Analysis!$G$5:$G$28,$J6+1),0)),2)</f>
        <v>-0.87</v>
      </c>
      <c r="AH6" s="23" t="str">
        <f>IF(ABS($AG6)&gt;Lookups!$B$20,IF($AG6&gt;0,"High anomaly","Low anomaly"),"")</f>
        <v/>
      </c>
      <c r="AI6" s="23" t="str">
        <f t="shared" si="4"/>
        <v>OK</v>
      </c>
      <c r="AJ6" s="23" t="str">
        <f t="shared" si="5"/>
        <v>No</v>
      </c>
    </row>
    <row r="7" spans="1:36" x14ac:dyDescent="0.35">
      <c r="A7" s="23">
        <v>6</v>
      </c>
      <c r="B7" s="23" t="str">
        <f t="shared" si="0"/>
        <v>Merge 1+2</v>
      </c>
      <c r="C7" s="23">
        <f>IFERROR(MATCH($A7,Merge_1_2!$A$2:$A$611,0),0)</f>
        <v>6</v>
      </c>
      <c r="D7" s="23">
        <f>IF($C7&gt;0,INDEX(Merge_1_2!$Q$2:$Q$611,$C7),0)</f>
        <v>6</v>
      </c>
      <c r="E7" s="23">
        <f>IFERROR(MATCH($A7,Dataset3_Raw!$A$2:$A$391,0),0)</f>
        <v>0</v>
      </c>
      <c r="F7" s="24">
        <f>IF($C7&gt;0,INDEX(Merge_1_2!$B$2:$B$611,$C7),DATE(VALUE(RIGHT(INDEX(Dataset3_Raw!$B$2:$B$391,$E7),4)),VALUE(MID(INDEX(Dataset3_Raw!$B$2:$B$391,$E7),4,2)),VALUE(LEFT(INDEX(Dataset3_Raw!$B$2:$B$391,$E7),2))))</f>
        <v>40544</v>
      </c>
      <c r="G7" s="23">
        <f>IF($C7&gt;0,INDEX(Merge_1_2!$C$2:$C$611,$C7),INDEX(Dataset3_Raw!$C$2:$C$391,$E7))</f>
        <v>1</v>
      </c>
      <c r="H7" s="23">
        <f>IF($C7&gt;0,INDEX(Merge_1_2!$D$2:$D$611,$C7),INDEX(Dataset3_Raw!$D$2:$D$391,$E7))</f>
        <v>0</v>
      </c>
      <c r="I7" s="23">
        <f>IF($C7&gt;0,INDEX(Merge_1_2!$E$2:$E$611,$C7),INDEX(Dataset3_Raw!$E$2:$E$391,$E7))</f>
        <v>1</v>
      </c>
      <c r="J7" s="23">
        <f>IF($C7&gt;0,INDEX(Merge_1_2!$F$2:$F$611,$C7),INDEX(Dataset3_Raw!$F$2:$F$391,$E7))</f>
        <v>5</v>
      </c>
      <c r="K7" s="23" t="b">
        <f>IF($C7&gt;0,INDEX(Merge_1_2!$G$2:$G$611,$C7),INDEX(Dataset3_Raw!$G$2:$G$391,$E7))</f>
        <v>0</v>
      </c>
      <c r="L7" s="23">
        <f>IF($C7&gt;0,INDEX(Merge_1_2!$H$2:$H$611,$C7),INDEX(Dataset3_Raw!$H$2:$H$391,$E7))</f>
        <v>6</v>
      </c>
      <c r="M7" s="23">
        <f>IF($C7&gt;0,INDEX(Merge_1_2!$I$2:$I$611,$C7),INDEX(Dataset3_Raw!$I$2:$I$391,$E7))</f>
        <v>2</v>
      </c>
      <c r="N7" s="25">
        <f>IF($C7&gt;0,INDEX(Merge_1_2!$J$2:$J$611,$C7),INDEX(Dataset3_Raw!$J$2:$J$391,$E7))</f>
        <v>0.24</v>
      </c>
      <c r="O7" s="25">
        <f>IF($C7&gt;0,IF(ISNUMBER(INDEX(Merge_1_2!$K$2:$K$611,$C7)),INDEX(Merge_1_2!$K$2:$K$611,$C7),""),INDEX(Dataset3_Raw!$K$2:$K$391,$E7))</f>
        <v>0.2576</v>
      </c>
      <c r="P7" s="25">
        <f>IF(ISNUMBER($O7),$O7,ROUND(Lookups!$B$25+Lookups!$B$24*$N7,4))</f>
        <v>0.2576</v>
      </c>
      <c r="Q7" s="25">
        <f>IF($C7&gt;0,INDEX(Merge_1_2!$L$2:$L$611,$C7),INDEX(Dataset3_Raw!$L$2:$L$391,$E7))</f>
        <v>0.75</v>
      </c>
      <c r="R7" s="25">
        <f>IF($C7&gt;0,INDEX(Merge_1_2!$M$2:$M$611,$C7),INDEX(Dataset3_Raw!$M$2:$M$391,$E7))</f>
        <v>8.9599999999999999E-2</v>
      </c>
      <c r="S7" s="23">
        <f>IF($C7&gt;0,INDEX(Merge_1_2!$N$2:$N$611,$C7),INDEX(Dataset3_Raw!$N$2:$N$391,$E7))</f>
        <v>0</v>
      </c>
      <c r="T7" s="23">
        <f>IF($C7&gt;0,INDEX(Merge_1_2!$O$2:$O$611,$C7),INDEX(Dataset3_Raw!$O$2:$O$391,$E7))</f>
        <v>1</v>
      </c>
      <c r="U7" s="23">
        <f>IF($C7&gt;0,INDEX(Merge_1_2!$P$2:$P$611,$C7),INDEX(Dataset3_Raw!$P$2:$P$391,$E7))</f>
        <v>1</v>
      </c>
      <c r="V7" s="23" t="str">
        <f t="shared" si="1"/>
        <v>Weekend</v>
      </c>
      <c r="W7" s="23" t="str">
        <f>VLOOKUP($M7,Lookups!$A$5:$B$8,2,FALSE())</f>
        <v>Mist / Cloudy</v>
      </c>
      <c r="X7" s="23" t="str">
        <f>VLOOKUP($G7,Lookups!$D$5:$E$8,2,FALSE())</f>
        <v>Winter</v>
      </c>
      <c r="Y7" s="23" t="str">
        <f>VLOOKUP($L7,Lookups!$G$5:$H$11,2,FALSE())</f>
        <v>Saturday</v>
      </c>
      <c r="Z7" s="23" t="str">
        <f>IF($J7&lt;Lookups!$B$26,"Night",IF($J7&lt;Lookups!$B$27,"Morning",IF($J7&lt;Lookups!$B$28,"Afternoon","Evening")))</f>
        <v>Night</v>
      </c>
      <c r="AA7" s="26">
        <f>ROUND($N7*(Lookups!$B$16-Lookups!$B$15)+Lookups!$B$15,1)</f>
        <v>3.3</v>
      </c>
      <c r="AB7" s="26">
        <f>ROUND($P7*(Lookups!$B$18-Lookups!$B$17)+Lookups!$B$17,1)</f>
        <v>1</v>
      </c>
      <c r="AC7" s="23">
        <f t="shared" si="2"/>
        <v>75</v>
      </c>
      <c r="AD7" s="23">
        <f>ROUND($R7*Lookups!$B$19,1)</f>
        <v>6</v>
      </c>
      <c r="AE7" s="27">
        <f t="shared" si="3"/>
        <v>1</v>
      </c>
      <c r="AF7" s="23" t="str">
        <f>IF($U7&gt;=Lookups!$B$23,"High",IF($U7&gt;=Lookups!$B$22,"Medium","Low"))</f>
        <v>Low</v>
      </c>
      <c r="AG7" s="23">
        <f>ROUND(IF($V7="Weekday",IF(INDEX(Hourly_Analysis!$D$5:$D$28,$J7+1)&gt;0,($U7-INDEX(Hourly_Analysis!$C$5:$C$28,$J7+1))/INDEX(Hourly_Analysis!$D$5:$D$28,$J7+1),0),IF(INDEX(Hourly_Analysis!$G$5:$G$28,$J7+1)&gt;0,($U7-INDEX(Hourly_Analysis!$F$5:$F$28,$J7+1))/INDEX(Hourly_Analysis!$G$5:$G$28,$J7+1),0)),2)</f>
        <v>-0.62</v>
      </c>
      <c r="AH7" s="23" t="str">
        <f>IF(ABS($AG7)&gt;Lookups!$B$20,IF($AG7&gt;0,"High anomaly","Low anomaly"),"")</f>
        <v/>
      </c>
      <c r="AI7" s="23" t="str">
        <f t="shared" si="4"/>
        <v>OK</v>
      </c>
      <c r="AJ7" s="23" t="str">
        <f t="shared" si="5"/>
        <v>No</v>
      </c>
    </row>
    <row r="8" spans="1:36" x14ac:dyDescent="0.35">
      <c r="A8" s="23">
        <v>7</v>
      </c>
      <c r="B8" s="23" t="str">
        <f t="shared" si="0"/>
        <v>Merge 1+2</v>
      </c>
      <c r="C8" s="23">
        <f>IFERROR(MATCH($A8,Merge_1_2!$A$2:$A$611,0),0)</f>
        <v>7</v>
      </c>
      <c r="D8" s="23">
        <f>IF($C8&gt;0,INDEX(Merge_1_2!$Q$2:$Q$611,$C8),0)</f>
        <v>7</v>
      </c>
      <c r="E8" s="23">
        <f>IFERROR(MATCH($A8,Dataset3_Raw!$A$2:$A$391,0),0)</f>
        <v>0</v>
      </c>
      <c r="F8" s="24">
        <f>IF($C8&gt;0,INDEX(Merge_1_2!$B$2:$B$611,$C8),DATE(VALUE(RIGHT(INDEX(Dataset3_Raw!$B$2:$B$391,$E8),4)),VALUE(MID(INDEX(Dataset3_Raw!$B$2:$B$391,$E8),4,2)),VALUE(LEFT(INDEX(Dataset3_Raw!$B$2:$B$391,$E8),2))))</f>
        <v>40544</v>
      </c>
      <c r="G8" s="23">
        <f>IF($C8&gt;0,INDEX(Merge_1_2!$C$2:$C$611,$C8),INDEX(Dataset3_Raw!$C$2:$C$391,$E8))</f>
        <v>1</v>
      </c>
      <c r="H8" s="23">
        <f>IF($C8&gt;0,INDEX(Merge_1_2!$D$2:$D$611,$C8),INDEX(Dataset3_Raw!$D$2:$D$391,$E8))</f>
        <v>0</v>
      </c>
      <c r="I8" s="23">
        <f>IF($C8&gt;0,INDEX(Merge_1_2!$E$2:$E$611,$C8),INDEX(Dataset3_Raw!$E$2:$E$391,$E8))</f>
        <v>1</v>
      </c>
      <c r="J8" s="23">
        <f>IF($C8&gt;0,INDEX(Merge_1_2!$F$2:$F$611,$C8),INDEX(Dataset3_Raw!$F$2:$F$391,$E8))</f>
        <v>6</v>
      </c>
      <c r="K8" s="23" t="b">
        <f>IF($C8&gt;0,INDEX(Merge_1_2!$G$2:$G$611,$C8),INDEX(Dataset3_Raw!$G$2:$G$391,$E8))</f>
        <v>0</v>
      </c>
      <c r="L8" s="23">
        <f>IF($C8&gt;0,INDEX(Merge_1_2!$H$2:$H$611,$C8),INDEX(Dataset3_Raw!$H$2:$H$391,$E8))</f>
        <v>6</v>
      </c>
      <c r="M8" s="23">
        <f>IF($C8&gt;0,INDEX(Merge_1_2!$I$2:$I$611,$C8),INDEX(Dataset3_Raw!$I$2:$I$391,$E8))</f>
        <v>1</v>
      </c>
      <c r="N8" s="25">
        <f>IF($C8&gt;0,INDEX(Merge_1_2!$J$2:$J$611,$C8),INDEX(Dataset3_Raw!$J$2:$J$391,$E8))</f>
        <v>0.22</v>
      </c>
      <c r="O8" s="25">
        <f>IF($C8&gt;0,IF(ISNUMBER(INDEX(Merge_1_2!$K$2:$K$611,$C8)),INDEX(Merge_1_2!$K$2:$K$611,$C8),""),INDEX(Dataset3_Raw!$K$2:$K$391,$E8))</f>
        <v>0.2727</v>
      </c>
      <c r="P8" s="25">
        <f>IF(ISNUMBER($O8),$O8,ROUND(Lookups!$B$25+Lookups!$B$24*$N8,4))</f>
        <v>0.2727</v>
      </c>
      <c r="Q8" s="25">
        <f>IF($C8&gt;0,INDEX(Merge_1_2!$L$2:$L$611,$C8),INDEX(Dataset3_Raw!$L$2:$L$391,$E8))</f>
        <v>0.8</v>
      </c>
      <c r="R8" s="25">
        <f>IF($C8&gt;0,INDEX(Merge_1_2!$M$2:$M$611,$C8),INDEX(Dataset3_Raw!$M$2:$M$391,$E8))</f>
        <v>0</v>
      </c>
      <c r="S8" s="23">
        <f>IF($C8&gt;0,INDEX(Merge_1_2!$N$2:$N$611,$C8),INDEX(Dataset3_Raw!$N$2:$N$391,$E8))</f>
        <v>2</v>
      </c>
      <c r="T8" s="23">
        <f>IF($C8&gt;0,INDEX(Merge_1_2!$O$2:$O$611,$C8),INDEX(Dataset3_Raw!$O$2:$O$391,$E8))</f>
        <v>0</v>
      </c>
      <c r="U8" s="23">
        <f>IF($C8&gt;0,INDEX(Merge_1_2!$P$2:$P$611,$C8),INDEX(Dataset3_Raw!$P$2:$P$391,$E8))</f>
        <v>2</v>
      </c>
      <c r="V8" s="23" t="str">
        <f t="shared" si="1"/>
        <v>Weekend</v>
      </c>
      <c r="W8" s="23" t="str">
        <f>VLOOKUP($M8,Lookups!$A$5:$B$8,2,FALSE())</f>
        <v>Clear / Partly cloudy</v>
      </c>
      <c r="X8" s="23" t="str">
        <f>VLOOKUP($G8,Lookups!$D$5:$E$8,2,FALSE())</f>
        <v>Winter</v>
      </c>
      <c r="Y8" s="23" t="str">
        <f>VLOOKUP($L8,Lookups!$G$5:$H$11,2,FALSE())</f>
        <v>Saturday</v>
      </c>
      <c r="Z8" s="23" t="str">
        <f>IF($J8&lt;Lookups!$B$26,"Night",IF($J8&lt;Lookups!$B$27,"Morning",IF($J8&lt;Lookups!$B$28,"Afternoon","Evening")))</f>
        <v>Morning</v>
      </c>
      <c r="AA8" s="26">
        <f>ROUND($N8*(Lookups!$B$16-Lookups!$B$15)+Lookups!$B$15,1)</f>
        <v>2.2999999999999998</v>
      </c>
      <c r="AB8" s="26">
        <f>ROUND($P8*(Lookups!$B$18-Lookups!$B$17)+Lookups!$B$17,1)</f>
        <v>2</v>
      </c>
      <c r="AC8" s="23">
        <f t="shared" si="2"/>
        <v>80</v>
      </c>
      <c r="AD8" s="23">
        <f>ROUND($R8*Lookups!$B$19,1)</f>
        <v>0</v>
      </c>
      <c r="AE8" s="27">
        <f t="shared" si="3"/>
        <v>0</v>
      </c>
      <c r="AF8" s="23" t="str">
        <f>IF($U8&gt;=Lookups!$B$23,"High",IF($U8&gt;=Lookups!$B$22,"Medium","Low"))</f>
        <v>Low</v>
      </c>
      <c r="AG8" s="23">
        <f>ROUND(IF($V8="Weekday",IF(INDEX(Hourly_Analysis!$D$5:$D$28,$J8+1)&gt;0,($U8-INDEX(Hourly_Analysis!$C$5:$C$28,$J8+1))/INDEX(Hourly_Analysis!$D$5:$D$28,$J8+1),0),IF(INDEX(Hourly_Analysis!$G$5:$G$28,$J8+1)&gt;0,($U8-INDEX(Hourly_Analysis!$F$5:$F$28,$J8+1))/INDEX(Hourly_Analysis!$G$5:$G$28,$J8+1),0)),2)</f>
        <v>-0.26</v>
      </c>
      <c r="AH8" s="23" t="str">
        <f>IF(ABS($AG8)&gt;Lookups!$B$20,IF($AG8&gt;0,"High anomaly","Low anomaly"),"")</f>
        <v/>
      </c>
      <c r="AI8" s="23" t="str">
        <f t="shared" si="4"/>
        <v>OK</v>
      </c>
      <c r="AJ8" s="23" t="str">
        <f t="shared" si="5"/>
        <v>No</v>
      </c>
    </row>
    <row r="9" spans="1:36" x14ac:dyDescent="0.35">
      <c r="A9" s="23">
        <v>8</v>
      </c>
      <c r="B9" s="23" t="str">
        <f t="shared" si="0"/>
        <v>Merge 1+2</v>
      </c>
      <c r="C9" s="23">
        <f>IFERROR(MATCH($A9,Merge_1_2!$A$2:$A$611,0),0)</f>
        <v>8</v>
      </c>
      <c r="D9" s="23">
        <f>IF($C9&gt;0,INDEX(Merge_1_2!$Q$2:$Q$611,$C9),0)</f>
        <v>8</v>
      </c>
      <c r="E9" s="23">
        <f>IFERROR(MATCH($A9,Dataset3_Raw!$A$2:$A$391,0),0)</f>
        <v>0</v>
      </c>
      <c r="F9" s="24">
        <f>IF($C9&gt;0,INDEX(Merge_1_2!$B$2:$B$611,$C9),DATE(VALUE(RIGHT(INDEX(Dataset3_Raw!$B$2:$B$391,$E9),4)),VALUE(MID(INDEX(Dataset3_Raw!$B$2:$B$391,$E9),4,2)),VALUE(LEFT(INDEX(Dataset3_Raw!$B$2:$B$391,$E9),2))))</f>
        <v>40544</v>
      </c>
      <c r="G9" s="23">
        <f>IF($C9&gt;0,INDEX(Merge_1_2!$C$2:$C$611,$C9),INDEX(Dataset3_Raw!$C$2:$C$391,$E9))</f>
        <v>1</v>
      </c>
      <c r="H9" s="23">
        <f>IF($C9&gt;0,INDEX(Merge_1_2!$D$2:$D$611,$C9),INDEX(Dataset3_Raw!$D$2:$D$391,$E9))</f>
        <v>0</v>
      </c>
      <c r="I9" s="23">
        <f>IF($C9&gt;0,INDEX(Merge_1_2!$E$2:$E$611,$C9),INDEX(Dataset3_Raw!$E$2:$E$391,$E9))</f>
        <v>1</v>
      </c>
      <c r="J9" s="23">
        <f>IF($C9&gt;0,INDEX(Merge_1_2!$F$2:$F$611,$C9),INDEX(Dataset3_Raw!$F$2:$F$391,$E9))</f>
        <v>7</v>
      </c>
      <c r="K9" s="23" t="b">
        <f>IF($C9&gt;0,INDEX(Merge_1_2!$G$2:$G$611,$C9),INDEX(Dataset3_Raw!$G$2:$G$391,$E9))</f>
        <v>0</v>
      </c>
      <c r="L9" s="23">
        <f>IF($C9&gt;0,INDEX(Merge_1_2!$H$2:$H$611,$C9),INDEX(Dataset3_Raw!$H$2:$H$391,$E9))</f>
        <v>6</v>
      </c>
      <c r="M9" s="23">
        <f>IF($C9&gt;0,INDEX(Merge_1_2!$I$2:$I$611,$C9),INDEX(Dataset3_Raw!$I$2:$I$391,$E9))</f>
        <v>1</v>
      </c>
      <c r="N9" s="25">
        <f>IF($C9&gt;0,INDEX(Merge_1_2!$J$2:$J$611,$C9),INDEX(Dataset3_Raw!$J$2:$J$391,$E9))</f>
        <v>0.2</v>
      </c>
      <c r="O9" s="25">
        <f>IF($C9&gt;0,IF(ISNUMBER(INDEX(Merge_1_2!$K$2:$K$611,$C9)),INDEX(Merge_1_2!$K$2:$K$611,$C9),""),INDEX(Dataset3_Raw!$K$2:$K$391,$E9))</f>
        <v>0.2576</v>
      </c>
      <c r="P9" s="25">
        <f>IF(ISNUMBER($O9),$O9,ROUND(Lookups!$B$25+Lookups!$B$24*$N9,4))</f>
        <v>0.2576</v>
      </c>
      <c r="Q9" s="25">
        <f>IF($C9&gt;0,INDEX(Merge_1_2!$L$2:$L$611,$C9),INDEX(Dataset3_Raw!$L$2:$L$391,$E9))</f>
        <v>0.86</v>
      </c>
      <c r="R9" s="25">
        <f>IF($C9&gt;0,INDEX(Merge_1_2!$M$2:$M$611,$C9),INDEX(Dataset3_Raw!$M$2:$M$391,$E9))</f>
        <v>0</v>
      </c>
      <c r="S9" s="23">
        <f>IF($C9&gt;0,INDEX(Merge_1_2!$N$2:$N$611,$C9),INDEX(Dataset3_Raw!$N$2:$N$391,$E9))</f>
        <v>1</v>
      </c>
      <c r="T9" s="23">
        <f>IF($C9&gt;0,INDEX(Merge_1_2!$O$2:$O$611,$C9),INDEX(Dataset3_Raw!$O$2:$O$391,$E9))</f>
        <v>2</v>
      </c>
      <c r="U9" s="23">
        <f>IF($C9&gt;0,INDEX(Merge_1_2!$P$2:$P$611,$C9),INDEX(Dataset3_Raw!$P$2:$P$391,$E9))</f>
        <v>3</v>
      </c>
      <c r="V9" s="23" t="str">
        <f t="shared" si="1"/>
        <v>Weekend</v>
      </c>
      <c r="W9" s="23" t="str">
        <f>VLOOKUP($M9,Lookups!$A$5:$B$8,2,FALSE())</f>
        <v>Clear / Partly cloudy</v>
      </c>
      <c r="X9" s="23" t="str">
        <f>VLOOKUP($G9,Lookups!$D$5:$E$8,2,FALSE())</f>
        <v>Winter</v>
      </c>
      <c r="Y9" s="23" t="str">
        <f>VLOOKUP($L9,Lookups!$G$5:$H$11,2,FALSE())</f>
        <v>Saturday</v>
      </c>
      <c r="Z9" s="23" t="str">
        <f>IF($J9&lt;Lookups!$B$26,"Night",IF($J9&lt;Lookups!$B$27,"Morning",IF($J9&lt;Lookups!$B$28,"Afternoon","Evening")))</f>
        <v>Morning</v>
      </c>
      <c r="AA9" s="26">
        <f>ROUND($N9*(Lookups!$B$16-Lookups!$B$15)+Lookups!$B$15,1)</f>
        <v>1.4</v>
      </c>
      <c r="AB9" s="26">
        <f>ROUND($P9*(Lookups!$B$18-Lookups!$B$17)+Lookups!$B$17,1)</f>
        <v>1</v>
      </c>
      <c r="AC9" s="23">
        <f t="shared" si="2"/>
        <v>86</v>
      </c>
      <c r="AD9" s="23">
        <f>ROUND($R9*Lookups!$B$19,1)</f>
        <v>0</v>
      </c>
      <c r="AE9" s="27">
        <f t="shared" si="3"/>
        <v>0.66666666666666663</v>
      </c>
      <c r="AF9" s="23" t="str">
        <f>IF($U9&gt;=Lookups!$B$23,"High",IF($U9&gt;=Lookups!$B$22,"Medium","Low"))</f>
        <v>Low</v>
      </c>
      <c r="AG9" s="23">
        <f>ROUND(IF($V9="Weekday",IF(INDEX(Hourly_Analysis!$D$5:$D$28,$J9+1)&gt;0,($U9-INDEX(Hourly_Analysis!$C$5:$C$28,$J9+1))/INDEX(Hourly_Analysis!$D$5:$D$28,$J9+1),0),IF(INDEX(Hourly_Analysis!$G$5:$G$28,$J9+1)&gt;0,($U9-INDEX(Hourly_Analysis!$F$5:$F$28,$J9+1))/INDEX(Hourly_Analysis!$G$5:$G$28,$J9+1),0)),2)</f>
        <v>-0.8</v>
      </c>
      <c r="AH9" s="23" t="str">
        <f>IF(ABS($AG9)&gt;Lookups!$B$20,IF($AG9&gt;0,"High anomaly","Low anomaly"),"")</f>
        <v/>
      </c>
      <c r="AI9" s="23" t="str">
        <f t="shared" si="4"/>
        <v>OK</v>
      </c>
      <c r="AJ9" s="23" t="str">
        <f t="shared" si="5"/>
        <v>No</v>
      </c>
    </row>
    <row r="10" spans="1:36" x14ac:dyDescent="0.35">
      <c r="A10" s="23">
        <v>9</v>
      </c>
      <c r="B10" s="23" t="str">
        <f t="shared" si="0"/>
        <v>Merge 1+2</v>
      </c>
      <c r="C10" s="23">
        <f>IFERROR(MATCH($A10,Merge_1_2!$A$2:$A$611,0),0)</f>
        <v>9</v>
      </c>
      <c r="D10" s="23">
        <f>IF($C10&gt;0,INDEX(Merge_1_2!$Q$2:$Q$611,$C10),0)</f>
        <v>9</v>
      </c>
      <c r="E10" s="23">
        <f>IFERROR(MATCH($A10,Dataset3_Raw!$A$2:$A$391,0),0)</f>
        <v>0</v>
      </c>
      <c r="F10" s="24">
        <f>IF($C10&gt;0,INDEX(Merge_1_2!$B$2:$B$611,$C10),DATE(VALUE(RIGHT(INDEX(Dataset3_Raw!$B$2:$B$391,$E10),4)),VALUE(MID(INDEX(Dataset3_Raw!$B$2:$B$391,$E10),4,2)),VALUE(LEFT(INDEX(Dataset3_Raw!$B$2:$B$391,$E10),2))))</f>
        <v>40544</v>
      </c>
      <c r="G10" s="23">
        <f>IF($C10&gt;0,INDEX(Merge_1_2!$C$2:$C$611,$C10),INDEX(Dataset3_Raw!$C$2:$C$391,$E10))</f>
        <v>1</v>
      </c>
      <c r="H10" s="23">
        <f>IF($C10&gt;0,INDEX(Merge_1_2!$D$2:$D$611,$C10),INDEX(Dataset3_Raw!$D$2:$D$391,$E10))</f>
        <v>0</v>
      </c>
      <c r="I10" s="23">
        <f>IF($C10&gt;0,INDEX(Merge_1_2!$E$2:$E$611,$C10),INDEX(Dataset3_Raw!$E$2:$E$391,$E10))</f>
        <v>1</v>
      </c>
      <c r="J10" s="23">
        <f>IF($C10&gt;0,INDEX(Merge_1_2!$F$2:$F$611,$C10),INDEX(Dataset3_Raw!$F$2:$F$391,$E10))</f>
        <v>8</v>
      </c>
      <c r="K10" s="23" t="b">
        <f>IF($C10&gt;0,INDEX(Merge_1_2!$G$2:$G$611,$C10),INDEX(Dataset3_Raw!$G$2:$G$391,$E10))</f>
        <v>0</v>
      </c>
      <c r="L10" s="23">
        <f>IF($C10&gt;0,INDEX(Merge_1_2!$H$2:$H$611,$C10),INDEX(Dataset3_Raw!$H$2:$H$391,$E10))</f>
        <v>6</v>
      </c>
      <c r="M10" s="23">
        <f>IF($C10&gt;0,INDEX(Merge_1_2!$I$2:$I$611,$C10),INDEX(Dataset3_Raw!$I$2:$I$391,$E10))</f>
        <v>1</v>
      </c>
      <c r="N10" s="25">
        <f>IF($C10&gt;0,INDEX(Merge_1_2!$J$2:$J$611,$C10),INDEX(Dataset3_Raw!$J$2:$J$391,$E10))</f>
        <v>0.24</v>
      </c>
      <c r="O10" s="25" t="str">
        <f>IF($C10&gt;0,IF(ISNUMBER(INDEX(Merge_1_2!$K$2:$K$611,$C10)),INDEX(Merge_1_2!$K$2:$K$611,$C10),""),INDEX(Dataset3_Raw!$K$2:$K$391,$E10))</f>
        <v/>
      </c>
      <c r="P10" s="25">
        <f>IF(ISNUMBER($O10),$O10,ROUND(Lookups!$B$25+Lookups!$B$24*$N10,4))</f>
        <v>0.24440000000000001</v>
      </c>
      <c r="Q10" s="25">
        <f>IF($C10&gt;0,INDEX(Merge_1_2!$L$2:$L$611,$C10),INDEX(Dataset3_Raw!$L$2:$L$391,$E10))</f>
        <v>0.75</v>
      </c>
      <c r="R10" s="25">
        <f>IF($C10&gt;0,INDEX(Merge_1_2!$M$2:$M$611,$C10),INDEX(Dataset3_Raw!$M$2:$M$391,$E10))</f>
        <v>0</v>
      </c>
      <c r="S10" s="23">
        <f>IF($C10&gt;0,INDEX(Merge_1_2!$N$2:$N$611,$C10),INDEX(Dataset3_Raw!$N$2:$N$391,$E10))</f>
        <v>1</v>
      </c>
      <c r="T10" s="23">
        <f>IF($C10&gt;0,INDEX(Merge_1_2!$O$2:$O$611,$C10),INDEX(Dataset3_Raw!$O$2:$O$391,$E10))</f>
        <v>7</v>
      </c>
      <c r="U10" s="23">
        <f>IF($C10&gt;0,INDEX(Merge_1_2!$P$2:$P$611,$C10),INDEX(Dataset3_Raw!$P$2:$P$391,$E10))</f>
        <v>8</v>
      </c>
      <c r="V10" s="23" t="str">
        <f t="shared" si="1"/>
        <v>Weekend</v>
      </c>
      <c r="W10" s="23" t="str">
        <f>VLOOKUP($M10,Lookups!$A$5:$B$8,2,FALSE())</f>
        <v>Clear / Partly cloudy</v>
      </c>
      <c r="X10" s="23" t="str">
        <f>VLOOKUP($G10,Lookups!$D$5:$E$8,2,FALSE())</f>
        <v>Winter</v>
      </c>
      <c r="Y10" s="23" t="str">
        <f>VLOOKUP($L10,Lookups!$G$5:$H$11,2,FALSE())</f>
        <v>Saturday</v>
      </c>
      <c r="Z10" s="23" t="str">
        <f>IF($J10&lt;Lookups!$B$26,"Night",IF($J10&lt;Lookups!$B$27,"Morning",IF($J10&lt;Lookups!$B$28,"Afternoon","Evening")))</f>
        <v>Morning</v>
      </c>
      <c r="AA10" s="26">
        <f>ROUND($N10*(Lookups!$B$16-Lookups!$B$15)+Lookups!$B$15,1)</f>
        <v>3.3</v>
      </c>
      <c r="AB10" s="26">
        <f>ROUND($P10*(Lookups!$B$18-Lookups!$B$17)+Lookups!$B$17,1)</f>
        <v>0.1</v>
      </c>
      <c r="AC10" s="23">
        <f t="shared" si="2"/>
        <v>75</v>
      </c>
      <c r="AD10" s="23">
        <f>ROUND($R10*Lookups!$B$19,1)</f>
        <v>0</v>
      </c>
      <c r="AE10" s="27">
        <f t="shared" si="3"/>
        <v>0.875</v>
      </c>
      <c r="AF10" s="23" t="str">
        <f>IF($U10&gt;=Lookups!$B$23,"High",IF($U10&gt;=Lookups!$B$22,"Medium","Low"))</f>
        <v>Low</v>
      </c>
      <c r="AG10" s="23">
        <f>ROUND(IF($V10="Weekday",IF(INDEX(Hourly_Analysis!$D$5:$D$28,$J10+1)&gt;0,($U10-INDEX(Hourly_Analysis!$C$5:$C$28,$J10+1))/INDEX(Hourly_Analysis!$D$5:$D$28,$J10+1),0),IF(INDEX(Hourly_Analysis!$G$5:$G$28,$J10+1)&gt;0,($U10-INDEX(Hourly_Analysis!$F$5:$F$28,$J10+1))/INDEX(Hourly_Analysis!$G$5:$G$28,$J10+1),0)),2)</f>
        <v>-1.19</v>
      </c>
      <c r="AH10" s="23" t="str">
        <f>IF(ABS($AG10)&gt;Lookups!$B$20,IF($AG10&gt;0,"High anomaly","Low anomaly"),"")</f>
        <v/>
      </c>
      <c r="AI10" s="23" t="str">
        <f t="shared" si="4"/>
        <v>OK</v>
      </c>
      <c r="AJ10" s="23" t="str">
        <f t="shared" si="5"/>
        <v>Yes</v>
      </c>
    </row>
    <row r="11" spans="1:36" x14ac:dyDescent="0.35">
      <c r="A11" s="23">
        <v>10</v>
      </c>
      <c r="B11" s="23" t="str">
        <f t="shared" si="0"/>
        <v>Merge 1+2</v>
      </c>
      <c r="C11" s="23">
        <f>IFERROR(MATCH($A11,Merge_1_2!$A$2:$A$611,0),0)</f>
        <v>10</v>
      </c>
      <c r="D11" s="23">
        <f>IF($C11&gt;0,INDEX(Merge_1_2!$Q$2:$Q$611,$C11),0)</f>
        <v>10</v>
      </c>
      <c r="E11" s="23">
        <f>IFERROR(MATCH($A11,Dataset3_Raw!$A$2:$A$391,0),0)</f>
        <v>0</v>
      </c>
      <c r="F11" s="24">
        <f>IF($C11&gt;0,INDEX(Merge_1_2!$B$2:$B$611,$C11),DATE(VALUE(RIGHT(INDEX(Dataset3_Raw!$B$2:$B$391,$E11),4)),VALUE(MID(INDEX(Dataset3_Raw!$B$2:$B$391,$E11),4,2)),VALUE(LEFT(INDEX(Dataset3_Raw!$B$2:$B$391,$E11),2))))</f>
        <v>40544</v>
      </c>
      <c r="G11" s="23">
        <f>IF($C11&gt;0,INDEX(Merge_1_2!$C$2:$C$611,$C11),INDEX(Dataset3_Raw!$C$2:$C$391,$E11))</f>
        <v>1</v>
      </c>
      <c r="H11" s="23">
        <f>IF($C11&gt;0,INDEX(Merge_1_2!$D$2:$D$611,$C11),INDEX(Dataset3_Raw!$D$2:$D$391,$E11))</f>
        <v>0</v>
      </c>
      <c r="I11" s="23">
        <f>IF($C11&gt;0,INDEX(Merge_1_2!$E$2:$E$611,$C11),INDEX(Dataset3_Raw!$E$2:$E$391,$E11))</f>
        <v>1</v>
      </c>
      <c r="J11" s="23">
        <f>IF($C11&gt;0,INDEX(Merge_1_2!$F$2:$F$611,$C11),INDEX(Dataset3_Raw!$F$2:$F$391,$E11))</f>
        <v>9</v>
      </c>
      <c r="K11" s="23" t="b">
        <f>IF($C11&gt;0,INDEX(Merge_1_2!$G$2:$G$611,$C11),INDEX(Dataset3_Raw!$G$2:$G$391,$E11))</f>
        <v>0</v>
      </c>
      <c r="L11" s="23">
        <f>IF($C11&gt;0,INDEX(Merge_1_2!$H$2:$H$611,$C11),INDEX(Dataset3_Raw!$H$2:$H$391,$E11))</f>
        <v>6</v>
      </c>
      <c r="M11" s="23">
        <f>IF($C11&gt;0,INDEX(Merge_1_2!$I$2:$I$611,$C11),INDEX(Dataset3_Raw!$I$2:$I$391,$E11))</f>
        <v>1</v>
      </c>
      <c r="N11" s="25">
        <f>IF($C11&gt;0,INDEX(Merge_1_2!$J$2:$J$611,$C11),INDEX(Dataset3_Raw!$J$2:$J$391,$E11))</f>
        <v>0.32</v>
      </c>
      <c r="O11" s="25">
        <f>IF($C11&gt;0,IF(ISNUMBER(INDEX(Merge_1_2!$K$2:$K$611,$C11)),INDEX(Merge_1_2!$K$2:$K$611,$C11),""),INDEX(Dataset3_Raw!$K$2:$K$391,$E11))</f>
        <v>0.34849999999999998</v>
      </c>
      <c r="P11" s="25">
        <f>IF(ISNUMBER($O11),$O11,ROUND(Lookups!$B$25+Lookups!$B$24*$N11,4))</f>
        <v>0.34849999999999998</v>
      </c>
      <c r="Q11" s="25">
        <f>IF($C11&gt;0,INDEX(Merge_1_2!$L$2:$L$611,$C11),INDEX(Dataset3_Raw!$L$2:$L$391,$E11))</f>
        <v>0.76</v>
      </c>
      <c r="R11" s="25">
        <f>IF($C11&gt;0,INDEX(Merge_1_2!$M$2:$M$611,$C11),INDEX(Dataset3_Raw!$M$2:$M$391,$E11))</f>
        <v>0</v>
      </c>
      <c r="S11" s="23">
        <f>IF($C11&gt;0,INDEX(Merge_1_2!$N$2:$N$611,$C11),INDEX(Dataset3_Raw!$N$2:$N$391,$E11))</f>
        <v>8</v>
      </c>
      <c r="T11" s="23">
        <f>IF($C11&gt;0,INDEX(Merge_1_2!$O$2:$O$611,$C11),INDEX(Dataset3_Raw!$O$2:$O$391,$E11))</f>
        <v>6</v>
      </c>
      <c r="U11" s="23">
        <f>IF($C11&gt;0,INDEX(Merge_1_2!$P$2:$P$611,$C11),INDEX(Dataset3_Raw!$P$2:$P$391,$E11))</f>
        <v>14</v>
      </c>
      <c r="V11" s="23" t="str">
        <f t="shared" si="1"/>
        <v>Weekend</v>
      </c>
      <c r="W11" s="23" t="str">
        <f>VLOOKUP($M11,Lookups!$A$5:$B$8,2,FALSE())</f>
        <v>Clear / Partly cloudy</v>
      </c>
      <c r="X11" s="23" t="str">
        <f>VLOOKUP($G11,Lookups!$D$5:$E$8,2,FALSE())</f>
        <v>Winter</v>
      </c>
      <c r="Y11" s="23" t="str">
        <f>VLOOKUP($L11,Lookups!$G$5:$H$11,2,FALSE())</f>
        <v>Saturday</v>
      </c>
      <c r="Z11" s="23" t="str">
        <f>IF($J11&lt;Lookups!$B$26,"Night",IF($J11&lt;Lookups!$B$27,"Morning",IF($J11&lt;Lookups!$B$28,"Afternoon","Evening")))</f>
        <v>Morning</v>
      </c>
      <c r="AA11" s="26">
        <f>ROUND($N11*(Lookups!$B$16-Lookups!$B$15)+Lookups!$B$15,1)</f>
        <v>7</v>
      </c>
      <c r="AB11" s="26">
        <f>ROUND($P11*(Lookups!$B$18-Lookups!$B$17)+Lookups!$B$17,1)</f>
        <v>7</v>
      </c>
      <c r="AC11" s="23">
        <f t="shared" si="2"/>
        <v>76</v>
      </c>
      <c r="AD11" s="23">
        <f>ROUND($R11*Lookups!$B$19,1)</f>
        <v>0</v>
      </c>
      <c r="AE11" s="27">
        <f t="shared" si="3"/>
        <v>0.42857142857142855</v>
      </c>
      <c r="AF11" s="23" t="str">
        <f>IF($U11&gt;=Lookups!$B$23,"High",IF($U11&gt;=Lookups!$B$22,"Medium","Low"))</f>
        <v>Low</v>
      </c>
      <c r="AG11" s="23">
        <f>ROUND(IF($V11="Weekday",IF(INDEX(Hourly_Analysis!$D$5:$D$28,$J11+1)&gt;0,($U11-INDEX(Hourly_Analysis!$C$5:$C$28,$J11+1))/INDEX(Hourly_Analysis!$D$5:$D$28,$J11+1),0),IF(INDEX(Hourly_Analysis!$G$5:$G$28,$J11+1)&gt;0,($U11-INDEX(Hourly_Analysis!$F$5:$F$28,$J11+1))/INDEX(Hourly_Analysis!$G$5:$G$28,$J11+1),0)),2)</f>
        <v>-1.59</v>
      </c>
      <c r="AH11" s="23" t="str">
        <f>IF(ABS($AG11)&gt;Lookups!$B$20,IF($AG11&gt;0,"High anomaly","Low anomaly"),"")</f>
        <v/>
      </c>
      <c r="AI11" s="23" t="str">
        <f t="shared" si="4"/>
        <v>OK</v>
      </c>
      <c r="AJ11" s="23" t="str">
        <f t="shared" si="5"/>
        <v>No</v>
      </c>
    </row>
    <row r="12" spans="1:36" x14ac:dyDescent="0.35">
      <c r="A12" s="23">
        <v>11</v>
      </c>
      <c r="B12" s="23" t="str">
        <f t="shared" si="0"/>
        <v>Merge 1+2</v>
      </c>
      <c r="C12" s="23">
        <f>IFERROR(MATCH($A12,Merge_1_2!$A$2:$A$611,0),0)</f>
        <v>11</v>
      </c>
      <c r="D12" s="23">
        <f>IF($C12&gt;0,INDEX(Merge_1_2!$Q$2:$Q$611,$C12),0)</f>
        <v>11</v>
      </c>
      <c r="E12" s="23">
        <f>IFERROR(MATCH($A12,Dataset3_Raw!$A$2:$A$391,0),0)</f>
        <v>0</v>
      </c>
      <c r="F12" s="24">
        <f>IF($C12&gt;0,INDEX(Merge_1_2!$B$2:$B$611,$C12),DATE(VALUE(RIGHT(INDEX(Dataset3_Raw!$B$2:$B$391,$E12),4)),VALUE(MID(INDEX(Dataset3_Raw!$B$2:$B$391,$E12),4,2)),VALUE(LEFT(INDEX(Dataset3_Raw!$B$2:$B$391,$E12),2))))</f>
        <v>40544</v>
      </c>
      <c r="G12" s="23">
        <f>IF($C12&gt;0,INDEX(Merge_1_2!$C$2:$C$611,$C12),INDEX(Dataset3_Raw!$C$2:$C$391,$E12))</f>
        <v>1</v>
      </c>
      <c r="H12" s="23">
        <f>IF($C12&gt;0,INDEX(Merge_1_2!$D$2:$D$611,$C12),INDEX(Dataset3_Raw!$D$2:$D$391,$E12))</f>
        <v>0</v>
      </c>
      <c r="I12" s="23">
        <f>IF($C12&gt;0,INDEX(Merge_1_2!$E$2:$E$611,$C12),INDEX(Dataset3_Raw!$E$2:$E$391,$E12))</f>
        <v>1</v>
      </c>
      <c r="J12" s="23">
        <f>IF($C12&gt;0,INDEX(Merge_1_2!$F$2:$F$611,$C12),INDEX(Dataset3_Raw!$F$2:$F$391,$E12))</f>
        <v>10</v>
      </c>
      <c r="K12" s="23" t="b">
        <f>IF($C12&gt;0,INDEX(Merge_1_2!$G$2:$G$611,$C12),INDEX(Dataset3_Raw!$G$2:$G$391,$E12))</f>
        <v>0</v>
      </c>
      <c r="L12" s="23">
        <f>IF($C12&gt;0,INDEX(Merge_1_2!$H$2:$H$611,$C12),INDEX(Dataset3_Raw!$H$2:$H$391,$E12))</f>
        <v>6</v>
      </c>
      <c r="M12" s="23">
        <f>IF($C12&gt;0,INDEX(Merge_1_2!$I$2:$I$611,$C12),INDEX(Dataset3_Raw!$I$2:$I$391,$E12))</f>
        <v>1</v>
      </c>
      <c r="N12" s="25">
        <f>IF($C12&gt;0,INDEX(Merge_1_2!$J$2:$J$611,$C12),INDEX(Dataset3_Raw!$J$2:$J$391,$E12))</f>
        <v>0.38</v>
      </c>
      <c r="O12" s="25">
        <f>IF($C12&gt;0,IF(ISNUMBER(INDEX(Merge_1_2!$K$2:$K$611,$C12)),INDEX(Merge_1_2!$K$2:$K$611,$C12),""),INDEX(Dataset3_Raw!$K$2:$K$391,$E12))</f>
        <v>0.39389999999999997</v>
      </c>
      <c r="P12" s="25">
        <f>IF(ISNUMBER($O12),$O12,ROUND(Lookups!$B$25+Lookups!$B$24*$N12,4))</f>
        <v>0.39389999999999997</v>
      </c>
      <c r="Q12" s="25">
        <f>IF($C12&gt;0,INDEX(Merge_1_2!$L$2:$L$611,$C12),INDEX(Dataset3_Raw!$L$2:$L$391,$E12))</f>
        <v>0.76</v>
      </c>
      <c r="R12" s="25">
        <f>IF($C12&gt;0,INDEX(Merge_1_2!$M$2:$M$611,$C12),INDEX(Dataset3_Raw!$M$2:$M$391,$E12))</f>
        <v>0.25369999999999998</v>
      </c>
      <c r="S12" s="23">
        <f>IF($C12&gt;0,INDEX(Merge_1_2!$N$2:$N$611,$C12),INDEX(Dataset3_Raw!$N$2:$N$391,$E12))</f>
        <v>12</v>
      </c>
      <c r="T12" s="23">
        <f>IF($C12&gt;0,INDEX(Merge_1_2!$O$2:$O$611,$C12),INDEX(Dataset3_Raw!$O$2:$O$391,$E12))</f>
        <v>24</v>
      </c>
      <c r="U12" s="23">
        <f>IF($C12&gt;0,INDEX(Merge_1_2!$P$2:$P$611,$C12),INDEX(Dataset3_Raw!$P$2:$P$391,$E12))</f>
        <v>36</v>
      </c>
      <c r="V12" s="23" t="str">
        <f t="shared" si="1"/>
        <v>Weekend</v>
      </c>
      <c r="W12" s="23" t="str">
        <f>VLOOKUP($M12,Lookups!$A$5:$B$8,2,FALSE())</f>
        <v>Clear / Partly cloudy</v>
      </c>
      <c r="X12" s="23" t="str">
        <f>VLOOKUP($G12,Lookups!$D$5:$E$8,2,FALSE())</f>
        <v>Winter</v>
      </c>
      <c r="Y12" s="23" t="str">
        <f>VLOOKUP($L12,Lookups!$G$5:$H$11,2,FALSE())</f>
        <v>Saturday</v>
      </c>
      <c r="Z12" s="23" t="str">
        <f>IF($J12&lt;Lookups!$B$26,"Night",IF($J12&lt;Lookups!$B$27,"Morning",IF($J12&lt;Lookups!$B$28,"Afternoon","Evening")))</f>
        <v>Morning</v>
      </c>
      <c r="AA12" s="26">
        <f>ROUND($N12*(Lookups!$B$16-Lookups!$B$15)+Lookups!$B$15,1)</f>
        <v>9.9</v>
      </c>
      <c r="AB12" s="26">
        <f>ROUND($P12*(Lookups!$B$18-Lookups!$B$17)+Lookups!$B$17,1)</f>
        <v>10</v>
      </c>
      <c r="AC12" s="23">
        <f t="shared" si="2"/>
        <v>76</v>
      </c>
      <c r="AD12" s="23">
        <f>ROUND($R12*Lookups!$B$19,1)</f>
        <v>17</v>
      </c>
      <c r="AE12" s="27">
        <f t="shared" si="3"/>
        <v>0.66666666666666663</v>
      </c>
      <c r="AF12" s="23" t="str">
        <f>IF($U12&gt;=Lookups!$B$23,"High",IF($U12&gt;=Lookups!$B$22,"Medium","Low"))</f>
        <v>Medium</v>
      </c>
      <c r="AG12" s="23">
        <f>ROUND(IF($V12="Weekday",IF(INDEX(Hourly_Analysis!$D$5:$D$28,$J12+1)&gt;0,($U12-INDEX(Hourly_Analysis!$C$5:$C$28,$J12+1))/INDEX(Hourly_Analysis!$D$5:$D$28,$J12+1),0),IF(INDEX(Hourly_Analysis!$G$5:$G$28,$J12+1)&gt;0,($U12-INDEX(Hourly_Analysis!$F$5:$F$28,$J12+1))/INDEX(Hourly_Analysis!$G$5:$G$28,$J12+1),0)),2)</f>
        <v>-1.36</v>
      </c>
      <c r="AH12" s="23" t="str">
        <f>IF(ABS($AG12)&gt;Lookups!$B$20,IF($AG12&gt;0,"High anomaly","Low anomaly"),"")</f>
        <v/>
      </c>
      <c r="AI12" s="23" t="str">
        <f t="shared" si="4"/>
        <v>OK</v>
      </c>
      <c r="AJ12" s="23" t="str">
        <f t="shared" si="5"/>
        <v>No</v>
      </c>
    </row>
    <row r="13" spans="1:36" x14ac:dyDescent="0.35">
      <c r="A13" s="23">
        <v>12</v>
      </c>
      <c r="B13" s="23" t="str">
        <f t="shared" si="0"/>
        <v>Merge 1+2</v>
      </c>
      <c r="C13" s="23">
        <f>IFERROR(MATCH($A13,Merge_1_2!$A$2:$A$611,0),0)</f>
        <v>12</v>
      </c>
      <c r="D13" s="23">
        <f>IF($C13&gt;0,INDEX(Merge_1_2!$Q$2:$Q$611,$C13),0)</f>
        <v>12</v>
      </c>
      <c r="E13" s="23">
        <f>IFERROR(MATCH($A13,Dataset3_Raw!$A$2:$A$391,0),0)</f>
        <v>0</v>
      </c>
      <c r="F13" s="24">
        <f>IF($C13&gt;0,INDEX(Merge_1_2!$B$2:$B$611,$C13),DATE(VALUE(RIGHT(INDEX(Dataset3_Raw!$B$2:$B$391,$E13),4)),VALUE(MID(INDEX(Dataset3_Raw!$B$2:$B$391,$E13),4,2)),VALUE(LEFT(INDEX(Dataset3_Raw!$B$2:$B$391,$E13),2))))</f>
        <v>40544</v>
      </c>
      <c r="G13" s="23">
        <f>IF($C13&gt;0,INDEX(Merge_1_2!$C$2:$C$611,$C13),INDEX(Dataset3_Raw!$C$2:$C$391,$E13))</f>
        <v>1</v>
      </c>
      <c r="H13" s="23">
        <f>IF($C13&gt;0,INDEX(Merge_1_2!$D$2:$D$611,$C13),INDEX(Dataset3_Raw!$D$2:$D$391,$E13))</f>
        <v>0</v>
      </c>
      <c r="I13" s="23">
        <f>IF($C13&gt;0,INDEX(Merge_1_2!$E$2:$E$611,$C13),INDEX(Dataset3_Raw!$E$2:$E$391,$E13))</f>
        <v>1</v>
      </c>
      <c r="J13" s="23">
        <f>IF($C13&gt;0,INDEX(Merge_1_2!$F$2:$F$611,$C13),INDEX(Dataset3_Raw!$F$2:$F$391,$E13))</f>
        <v>11</v>
      </c>
      <c r="K13" s="23" t="b">
        <f>IF($C13&gt;0,INDEX(Merge_1_2!$G$2:$G$611,$C13),INDEX(Dataset3_Raw!$G$2:$G$391,$E13))</f>
        <v>0</v>
      </c>
      <c r="L13" s="23">
        <f>IF($C13&gt;0,INDEX(Merge_1_2!$H$2:$H$611,$C13),INDEX(Dataset3_Raw!$H$2:$H$391,$E13))</f>
        <v>6</v>
      </c>
      <c r="M13" s="23">
        <f>IF($C13&gt;0,INDEX(Merge_1_2!$I$2:$I$611,$C13),INDEX(Dataset3_Raw!$I$2:$I$391,$E13))</f>
        <v>1</v>
      </c>
      <c r="N13" s="25">
        <f>IF($C13&gt;0,INDEX(Merge_1_2!$J$2:$J$611,$C13),INDEX(Dataset3_Raw!$J$2:$J$391,$E13))</f>
        <v>0.36</v>
      </c>
      <c r="O13" s="25">
        <f>IF($C13&gt;0,IF(ISNUMBER(INDEX(Merge_1_2!$K$2:$K$611,$C13)),INDEX(Merge_1_2!$K$2:$K$611,$C13),""),INDEX(Dataset3_Raw!$K$2:$K$391,$E13))</f>
        <v>0.33329999999999999</v>
      </c>
      <c r="P13" s="25">
        <f>IF(ISNUMBER($O13),$O13,ROUND(Lookups!$B$25+Lookups!$B$24*$N13,4))</f>
        <v>0.33329999999999999</v>
      </c>
      <c r="Q13" s="25">
        <f>IF($C13&gt;0,INDEX(Merge_1_2!$L$2:$L$611,$C13),INDEX(Dataset3_Raw!$L$2:$L$391,$E13))</f>
        <v>0.81</v>
      </c>
      <c r="R13" s="25">
        <f>IF($C13&gt;0,INDEX(Merge_1_2!$M$2:$M$611,$C13),INDEX(Dataset3_Raw!$M$2:$M$391,$E13))</f>
        <v>0.28360000000000002</v>
      </c>
      <c r="S13" s="23">
        <f>IF($C13&gt;0,INDEX(Merge_1_2!$N$2:$N$611,$C13),INDEX(Dataset3_Raw!$N$2:$N$391,$E13))</f>
        <v>26</v>
      </c>
      <c r="T13" s="23">
        <f>IF($C13&gt;0,INDEX(Merge_1_2!$O$2:$O$611,$C13),INDEX(Dataset3_Raw!$O$2:$O$391,$E13))</f>
        <v>30</v>
      </c>
      <c r="U13" s="23">
        <f>IF($C13&gt;0,INDEX(Merge_1_2!$P$2:$P$611,$C13),INDEX(Dataset3_Raw!$P$2:$P$391,$E13))</f>
        <v>56</v>
      </c>
      <c r="V13" s="23" t="str">
        <f t="shared" si="1"/>
        <v>Weekend</v>
      </c>
      <c r="W13" s="23" t="str">
        <f>VLOOKUP($M13,Lookups!$A$5:$B$8,2,FALSE())</f>
        <v>Clear / Partly cloudy</v>
      </c>
      <c r="X13" s="23" t="str">
        <f>VLOOKUP($G13,Lookups!$D$5:$E$8,2,FALSE())</f>
        <v>Winter</v>
      </c>
      <c r="Y13" s="23" t="str">
        <f>VLOOKUP($L13,Lookups!$G$5:$H$11,2,FALSE())</f>
        <v>Saturday</v>
      </c>
      <c r="Z13" s="23" t="str">
        <f>IF($J13&lt;Lookups!$B$26,"Night",IF($J13&lt;Lookups!$B$27,"Morning",IF($J13&lt;Lookups!$B$28,"Afternoon","Evening")))</f>
        <v>Morning</v>
      </c>
      <c r="AA13" s="26">
        <f>ROUND($N13*(Lookups!$B$16-Lookups!$B$15)+Lookups!$B$15,1)</f>
        <v>8.9</v>
      </c>
      <c r="AB13" s="26">
        <f>ROUND($P13*(Lookups!$B$18-Lookups!$B$17)+Lookups!$B$17,1)</f>
        <v>6</v>
      </c>
      <c r="AC13" s="23">
        <f t="shared" si="2"/>
        <v>81</v>
      </c>
      <c r="AD13" s="23">
        <f>ROUND($R13*Lookups!$B$19,1)</f>
        <v>19</v>
      </c>
      <c r="AE13" s="27">
        <f t="shared" si="3"/>
        <v>0.5357142857142857</v>
      </c>
      <c r="AF13" s="23" t="str">
        <f>IF($U13&gt;=Lookups!$B$23,"High",IF($U13&gt;=Lookups!$B$22,"Medium","Low"))</f>
        <v>Medium</v>
      </c>
      <c r="AG13" s="23">
        <f>ROUND(IF($V13="Weekday",IF(INDEX(Hourly_Analysis!$D$5:$D$28,$J13+1)&gt;0,($U13-INDEX(Hourly_Analysis!$C$5:$C$28,$J13+1))/INDEX(Hourly_Analysis!$D$5:$D$28,$J13+1),0),IF(INDEX(Hourly_Analysis!$G$5:$G$28,$J13+1)&gt;0,($U13-INDEX(Hourly_Analysis!$F$5:$F$28,$J13+1))/INDEX(Hourly_Analysis!$G$5:$G$28,$J13+1),0)),2)</f>
        <v>-0.83</v>
      </c>
      <c r="AH13" s="23" t="str">
        <f>IF(ABS($AG13)&gt;Lookups!$B$20,IF($AG13&gt;0,"High anomaly","Low anomaly"),"")</f>
        <v/>
      </c>
      <c r="AI13" s="23" t="str">
        <f t="shared" si="4"/>
        <v>OK</v>
      </c>
      <c r="AJ13" s="23" t="str">
        <f t="shared" si="5"/>
        <v>No</v>
      </c>
    </row>
    <row r="14" spans="1:36" x14ac:dyDescent="0.35">
      <c r="A14" s="23">
        <v>13</v>
      </c>
      <c r="B14" s="23" t="str">
        <f t="shared" si="0"/>
        <v>Merge 1+2</v>
      </c>
      <c r="C14" s="23">
        <f>IFERROR(MATCH($A14,Merge_1_2!$A$2:$A$611,0),0)</f>
        <v>13</v>
      </c>
      <c r="D14" s="23">
        <f>IF($C14&gt;0,INDEX(Merge_1_2!$Q$2:$Q$611,$C14),0)</f>
        <v>13</v>
      </c>
      <c r="E14" s="23">
        <f>IFERROR(MATCH($A14,Dataset3_Raw!$A$2:$A$391,0),0)</f>
        <v>0</v>
      </c>
      <c r="F14" s="24">
        <f>IF($C14&gt;0,INDEX(Merge_1_2!$B$2:$B$611,$C14),DATE(VALUE(RIGHT(INDEX(Dataset3_Raw!$B$2:$B$391,$E14),4)),VALUE(MID(INDEX(Dataset3_Raw!$B$2:$B$391,$E14),4,2)),VALUE(LEFT(INDEX(Dataset3_Raw!$B$2:$B$391,$E14),2))))</f>
        <v>40544</v>
      </c>
      <c r="G14" s="23">
        <f>IF($C14&gt;0,INDEX(Merge_1_2!$C$2:$C$611,$C14),INDEX(Dataset3_Raw!$C$2:$C$391,$E14))</f>
        <v>1</v>
      </c>
      <c r="H14" s="23">
        <f>IF($C14&gt;0,INDEX(Merge_1_2!$D$2:$D$611,$C14),INDEX(Dataset3_Raw!$D$2:$D$391,$E14))</f>
        <v>0</v>
      </c>
      <c r="I14" s="23">
        <f>IF($C14&gt;0,INDEX(Merge_1_2!$E$2:$E$611,$C14),INDEX(Dataset3_Raw!$E$2:$E$391,$E14))</f>
        <v>1</v>
      </c>
      <c r="J14" s="23">
        <f>IF($C14&gt;0,INDEX(Merge_1_2!$F$2:$F$611,$C14),INDEX(Dataset3_Raw!$F$2:$F$391,$E14))</f>
        <v>12</v>
      </c>
      <c r="K14" s="23" t="b">
        <f>IF($C14&gt;0,INDEX(Merge_1_2!$G$2:$G$611,$C14),INDEX(Dataset3_Raw!$G$2:$G$391,$E14))</f>
        <v>0</v>
      </c>
      <c r="L14" s="23">
        <f>IF($C14&gt;0,INDEX(Merge_1_2!$H$2:$H$611,$C14),INDEX(Dataset3_Raw!$H$2:$H$391,$E14))</f>
        <v>6</v>
      </c>
      <c r="M14" s="23">
        <f>IF($C14&gt;0,INDEX(Merge_1_2!$I$2:$I$611,$C14),INDEX(Dataset3_Raw!$I$2:$I$391,$E14))</f>
        <v>1</v>
      </c>
      <c r="N14" s="25">
        <f>IF($C14&gt;0,INDEX(Merge_1_2!$J$2:$J$611,$C14),INDEX(Dataset3_Raw!$J$2:$J$391,$E14))</f>
        <v>0.42</v>
      </c>
      <c r="O14" s="25">
        <f>IF($C14&gt;0,IF(ISNUMBER(INDEX(Merge_1_2!$K$2:$K$611,$C14)),INDEX(Merge_1_2!$K$2:$K$611,$C14),""),INDEX(Dataset3_Raw!$K$2:$K$391,$E14))</f>
        <v>0.42420000000000002</v>
      </c>
      <c r="P14" s="25">
        <f>IF(ISNUMBER($O14),$O14,ROUND(Lookups!$B$25+Lookups!$B$24*$N14,4))</f>
        <v>0.42420000000000002</v>
      </c>
      <c r="Q14" s="25">
        <f>IF($C14&gt;0,INDEX(Merge_1_2!$L$2:$L$611,$C14),INDEX(Dataset3_Raw!$L$2:$L$391,$E14))</f>
        <v>0.77</v>
      </c>
      <c r="R14" s="25">
        <f>IF($C14&gt;0,INDEX(Merge_1_2!$M$2:$M$611,$C14),INDEX(Dataset3_Raw!$M$2:$M$391,$E14))</f>
        <v>0.28360000000000002</v>
      </c>
      <c r="S14" s="23">
        <f>IF($C14&gt;0,INDEX(Merge_1_2!$N$2:$N$611,$C14),INDEX(Dataset3_Raw!$N$2:$N$391,$E14))</f>
        <v>29</v>
      </c>
      <c r="T14" s="23">
        <f>IF($C14&gt;0,INDEX(Merge_1_2!$O$2:$O$611,$C14),INDEX(Dataset3_Raw!$O$2:$O$391,$E14))</f>
        <v>55</v>
      </c>
      <c r="U14" s="23">
        <f>IF($C14&gt;0,INDEX(Merge_1_2!$P$2:$P$611,$C14),INDEX(Dataset3_Raw!$P$2:$P$391,$E14))</f>
        <v>84</v>
      </c>
      <c r="V14" s="23" t="str">
        <f t="shared" si="1"/>
        <v>Weekend</v>
      </c>
      <c r="W14" s="23" t="str">
        <f>VLOOKUP($M14,Lookups!$A$5:$B$8,2,FALSE())</f>
        <v>Clear / Partly cloudy</v>
      </c>
      <c r="X14" s="23" t="str">
        <f>VLOOKUP($G14,Lookups!$D$5:$E$8,2,FALSE())</f>
        <v>Winter</v>
      </c>
      <c r="Y14" s="23" t="str">
        <f>VLOOKUP($L14,Lookups!$G$5:$H$11,2,FALSE())</f>
        <v>Saturday</v>
      </c>
      <c r="Z14" s="23" t="str">
        <f>IF($J14&lt;Lookups!$B$26,"Night",IF($J14&lt;Lookups!$B$27,"Morning",IF($J14&lt;Lookups!$B$28,"Afternoon","Evening")))</f>
        <v>Afternoon</v>
      </c>
      <c r="AA14" s="26">
        <f>ROUND($N14*(Lookups!$B$16-Lookups!$B$15)+Lookups!$B$15,1)</f>
        <v>11.7</v>
      </c>
      <c r="AB14" s="26">
        <f>ROUND($P14*(Lookups!$B$18-Lookups!$B$17)+Lookups!$B$17,1)</f>
        <v>12</v>
      </c>
      <c r="AC14" s="23">
        <f t="shared" si="2"/>
        <v>77</v>
      </c>
      <c r="AD14" s="23">
        <f>ROUND($R14*Lookups!$B$19,1)</f>
        <v>19</v>
      </c>
      <c r="AE14" s="27">
        <f t="shared" si="3"/>
        <v>0.65476190476190477</v>
      </c>
      <c r="AF14" s="23" t="str">
        <f>IF($U14&gt;=Lookups!$B$23,"High",IF($U14&gt;=Lookups!$B$22,"Medium","Low"))</f>
        <v>High</v>
      </c>
      <c r="AG14" s="23">
        <f>ROUND(IF($V14="Weekday",IF(INDEX(Hourly_Analysis!$D$5:$D$28,$J14+1)&gt;0,($U14-INDEX(Hourly_Analysis!$C$5:$C$28,$J14+1))/INDEX(Hourly_Analysis!$D$5:$D$28,$J14+1),0),IF(INDEX(Hourly_Analysis!$G$5:$G$28,$J14+1)&gt;0,($U14-INDEX(Hourly_Analysis!$F$5:$F$28,$J14+1))/INDEX(Hourly_Analysis!$G$5:$G$28,$J14+1),0)),2)</f>
        <v>-0.49</v>
      </c>
      <c r="AH14" s="23" t="str">
        <f>IF(ABS($AG14)&gt;Lookups!$B$20,IF($AG14&gt;0,"High anomaly","Low anomaly"),"")</f>
        <v/>
      </c>
      <c r="AI14" s="23" t="str">
        <f t="shared" si="4"/>
        <v>OK</v>
      </c>
      <c r="AJ14" s="23" t="str">
        <f t="shared" si="5"/>
        <v>No</v>
      </c>
    </row>
    <row r="15" spans="1:36" x14ac:dyDescent="0.35">
      <c r="A15" s="23">
        <v>14</v>
      </c>
      <c r="B15" s="23" t="str">
        <f t="shared" si="0"/>
        <v>Merge 1+2</v>
      </c>
      <c r="C15" s="23">
        <f>IFERROR(MATCH($A15,Merge_1_2!$A$2:$A$611,0),0)</f>
        <v>14</v>
      </c>
      <c r="D15" s="23">
        <f>IF($C15&gt;0,INDEX(Merge_1_2!$Q$2:$Q$611,$C15),0)</f>
        <v>14</v>
      </c>
      <c r="E15" s="23">
        <f>IFERROR(MATCH($A15,Dataset3_Raw!$A$2:$A$391,0),0)</f>
        <v>0</v>
      </c>
      <c r="F15" s="24">
        <f>IF($C15&gt;0,INDEX(Merge_1_2!$B$2:$B$611,$C15),DATE(VALUE(RIGHT(INDEX(Dataset3_Raw!$B$2:$B$391,$E15),4)),VALUE(MID(INDEX(Dataset3_Raw!$B$2:$B$391,$E15),4,2)),VALUE(LEFT(INDEX(Dataset3_Raw!$B$2:$B$391,$E15),2))))</f>
        <v>40544</v>
      </c>
      <c r="G15" s="23">
        <f>IF($C15&gt;0,INDEX(Merge_1_2!$C$2:$C$611,$C15),INDEX(Dataset3_Raw!$C$2:$C$391,$E15))</f>
        <v>1</v>
      </c>
      <c r="H15" s="23">
        <f>IF($C15&gt;0,INDEX(Merge_1_2!$D$2:$D$611,$C15),INDEX(Dataset3_Raw!$D$2:$D$391,$E15))</f>
        <v>0</v>
      </c>
      <c r="I15" s="23">
        <f>IF($C15&gt;0,INDEX(Merge_1_2!$E$2:$E$611,$C15),INDEX(Dataset3_Raw!$E$2:$E$391,$E15))</f>
        <v>1</v>
      </c>
      <c r="J15" s="23">
        <f>IF($C15&gt;0,INDEX(Merge_1_2!$F$2:$F$611,$C15),INDEX(Dataset3_Raw!$F$2:$F$391,$E15))</f>
        <v>13</v>
      </c>
      <c r="K15" s="23" t="b">
        <f>IF($C15&gt;0,INDEX(Merge_1_2!$G$2:$G$611,$C15),INDEX(Dataset3_Raw!$G$2:$G$391,$E15))</f>
        <v>0</v>
      </c>
      <c r="L15" s="23">
        <f>IF($C15&gt;0,INDEX(Merge_1_2!$H$2:$H$611,$C15),INDEX(Dataset3_Raw!$H$2:$H$391,$E15))</f>
        <v>6</v>
      </c>
      <c r="M15" s="23">
        <f>IF($C15&gt;0,INDEX(Merge_1_2!$I$2:$I$611,$C15),INDEX(Dataset3_Raw!$I$2:$I$391,$E15))</f>
        <v>2</v>
      </c>
      <c r="N15" s="25">
        <f>IF($C15&gt;0,INDEX(Merge_1_2!$J$2:$J$611,$C15),INDEX(Dataset3_Raw!$J$2:$J$391,$E15))</f>
        <v>0.46</v>
      </c>
      <c r="O15" s="25">
        <f>IF($C15&gt;0,IF(ISNUMBER(INDEX(Merge_1_2!$K$2:$K$611,$C15)),INDEX(Merge_1_2!$K$2:$K$611,$C15),""),INDEX(Dataset3_Raw!$K$2:$K$391,$E15))</f>
        <v>0.45450000000000002</v>
      </c>
      <c r="P15" s="25">
        <f>IF(ISNUMBER($O15),$O15,ROUND(Lookups!$B$25+Lookups!$B$24*$N15,4))</f>
        <v>0.45450000000000002</v>
      </c>
      <c r="Q15" s="25">
        <f>IF($C15&gt;0,INDEX(Merge_1_2!$L$2:$L$611,$C15),INDEX(Dataset3_Raw!$L$2:$L$391,$E15))</f>
        <v>0.72</v>
      </c>
      <c r="R15" s="25">
        <f>IF($C15&gt;0,INDEX(Merge_1_2!$M$2:$M$611,$C15),INDEX(Dataset3_Raw!$M$2:$M$391,$E15))</f>
        <v>0.29849999999999999</v>
      </c>
      <c r="S15" s="23">
        <f>IF($C15&gt;0,INDEX(Merge_1_2!$N$2:$N$611,$C15),INDEX(Dataset3_Raw!$N$2:$N$391,$E15))</f>
        <v>47</v>
      </c>
      <c r="T15" s="23">
        <f>IF($C15&gt;0,INDEX(Merge_1_2!$O$2:$O$611,$C15),INDEX(Dataset3_Raw!$O$2:$O$391,$E15))</f>
        <v>47</v>
      </c>
      <c r="U15" s="23">
        <f>IF($C15&gt;0,INDEX(Merge_1_2!$P$2:$P$611,$C15),INDEX(Dataset3_Raw!$P$2:$P$391,$E15))</f>
        <v>94</v>
      </c>
      <c r="V15" s="23" t="str">
        <f t="shared" si="1"/>
        <v>Weekend</v>
      </c>
      <c r="W15" s="23" t="str">
        <f>VLOOKUP($M15,Lookups!$A$5:$B$8,2,FALSE())</f>
        <v>Mist / Cloudy</v>
      </c>
      <c r="X15" s="23" t="str">
        <f>VLOOKUP($G15,Lookups!$D$5:$E$8,2,FALSE())</f>
        <v>Winter</v>
      </c>
      <c r="Y15" s="23" t="str">
        <f>VLOOKUP($L15,Lookups!$G$5:$H$11,2,FALSE())</f>
        <v>Saturday</v>
      </c>
      <c r="Z15" s="23" t="str">
        <f>IF($J15&lt;Lookups!$B$26,"Night",IF($J15&lt;Lookups!$B$27,"Morning",IF($J15&lt;Lookups!$B$28,"Afternoon","Evening")))</f>
        <v>Afternoon</v>
      </c>
      <c r="AA15" s="26">
        <f>ROUND($N15*(Lookups!$B$16-Lookups!$B$15)+Lookups!$B$15,1)</f>
        <v>13.6</v>
      </c>
      <c r="AB15" s="26">
        <f>ROUND($P15*(Lookups!$B$18-Lookups!$B$17)+Lookups!$B$17,1)</f>
        <v>14</v>
      </c>
      <c r="AC15" s="23">
        <f t="shared" si="2"/>
        <v>72</v>
      </c>
      <c r="AD15" s="23">
        <f>ROUND($R15*Lookups!$B$19,1)</f>
        <v>20</v>
      </c>
      <c r="AE15" s="27">
        <f t="shared" si="3"/>
        <v>0.5</v>
      </c>
      <c r="AF15" s="23" t="str">
        <f>IF($U15&gt;=Lookups!$B$23,"High",IF($U15&gt;=Lookups!$B$22,"Medium","Low"))</f>
        <v>High</v>
      </c>
      <c r="AG15" s="23">
        <f>ROUND(IF($V15="Weekday",IF(INDEX(Hourly_Analysis!$D$5:$D$28,$J15+1)&gt;0,($U15-INDEX(Hourly_Analysis!$C$5:$C$28,$J15+1))/INDEX(Hourly_Analysis!$D$5:$D$28,$J15+1),0),IF(INDEX(Hourly_Analysis!$G$5:$G$28,$J15+1)&gt;0,($U15-INDEX(Hourly_Analysis!$F$5:$F$28,$J15+1))/INDEX(Hourly_Analysis!$G$5:$G$28,$J15+1),0)),2)</f>
        <v>-0.22</v>
      </c>
      <c r="AH15" s="23" t="str">
        <f>IF(ABS($AG15)&gt;Lookups!$B$20,IF($AG15&gt;0,"High anomaly","Low anomaly"),"")</f>
        <v/>
      </c>
      <c r="AI15" s="23" t="str">
        <f t="shared" si="4"/>
        <v>OK</v>
      </c>
      <c r="AJ15" s="23" t="str">
        <f t="shared" si="5"/>
        <v>No</v>
      </c>
    </row>
    <row r="16" spans="1:36" x14ac:dyDescent="0.35">
      <c r="A16" s="23">
        <v>15</v>
      </c>
      <c r="B16" s="23" t="str">
        <f t="shared" si="0"/>
        <v>Merge 1+2</v>
      </c>
      <c r="C16" s="23">
        <f>IFERROR(MATCH($A16,Merge_1_2!$A$2:$A$611,0),0)</f>
        <v>15</v>
      </c>
      <c r="D16" s="23">
        <f>IF($C16&gt;0,INDEX(Merge_1_2!$Q$2:$Q$611,$C16),0)</f>
        <v>15</v>
      </c>
      <c r="E16" s="23">
        <f>IFERROR(MATCH($A16,Dataset3_Raw!$A$2:$A$391,0),0)</f>
        <v>0</v>
      </c>
      <c r="F16" s="24">
        <f>IF($C16&gt;0,INDEX(Merge_1_2!$B$2:$B$611,$C16),DATE(VALUE(RIGHT(INDEX(Dataset3_Raw!$B$2:$B$391,$E16),4)),VALUE(MID(INDEX(Dataset3_Raw!$B$2:$B$391,$E16),4,2)),VALUE(LEFT(INDEX(Dataset3_Raw!$B$2:$B$391,$E16),2))))</f>
        <v>40544</v>
      </c>
      <c r="G16" s="23">
        <f>IF($C16&gt;0,INDEX(Merge_1_2!$C$2:$C$611,$C16),INDEX(Dataset3_Raw!$C$2:$C$391,$E16))</f>
        <v>1</v>
      </c>
      <c r="H16" s="23">
        <f>IF($C16&gt;0,INDEX(Merge_1_2!$D$2:$D$611,$C16),INDEX(Dataset3_Raw!$D$2:$D$391,$E16))</f>
        <v>0</v>
      </c>
      <c r="I16" s="23">
        <f>IF($C16&gt;0,INDEX(Merge_1_2!$E$2:$E$611,$C16),INDEX(Dataset3_Raw!$E$2:$E$391,$E16))</f>
        <v>1</v>
      </c>
      <c r="J16" s="23">
        <f>IF($C16&gt;0,INDEX(Merge_1_2!$F$2:$F$611,$C16),INDEX(Dataset3_Raw!$F$2:$F$391,$E16))</f>
        <v>14</v>
      </c>
      <c r="K16" s="23" t="b">
        <f>IF($C16&gt;0,INDEX(Merge_1_2!$G$2:$G$611,$C16),INDEX(Dataset3_Raw!$G$2:$G$391,$E16))</f>
        <v>0</v>
      </c>
      <c r="L16" s="23">
        <f>IF($C16&gt;0,INDEX(Merge_1_2!$H$2:$H$611,$C16),INDEX(Dataset3_Raw!$H$2:$H$391,$E16))</f>
        <v>6</v>
      </c>
      <c r="M16" s="23">
        <f>IF($C16&gt;0,INDEX(Merge_1_2!$I$2:$I$611,$C16),INDEX(Dataset3_Raw!$I$2:$I$391,$E16))</f>
        <v>2</v>
      </c>
      <c r="N16" s="25">
        <f>IF($C16&gt;0,INDEX(Merge_1_2!$J$2:$J$611,$C16),INDEX(Dataset3_Raw!$J$2:$J$391,$E16))</f>
        <v>0.46</v>
      </c>
      <c r="O16" s="25">
        <f>IF($C16&gt;0,IF(ISNUMBER(INDEX(Merge_1_2!$K$2:$K$611,$C16)),INDEX(Merge_1_2!$K$2:$K$611,$C16),""),INDEX(Dataset3_Raw!$K$2:$K$391,$E16))</f>
        <v>0.45450000000000002</v>
      </c>
      <c r="P16" s="25">
        <f>IF(ISNUMBER($O16),$O16,ROUND(Lookups!$B$25+Lookups!$B$24*$N16,4))</f>
        <v>0.45450000000000002</v>
      </c>
      <c r="Q16" s="25">
        <f>IF($C16&gt;0,INDEX(Merge_1_2!$L$2:$L$611,$C16),INDEX(Dataset3_Raw!$L$2:$L$391,$E16))</f>
        <v>0.72</v>
      </c>
      <c r="R16" s="25">
        <f>IF($C16&gt;0,INDEX(Merge_1_2!$M$2:$M$611,$C16),INDEX(Dataset3_Raw!$M$2:$M$391,$E16))</f>
        <v>0.28360000000000002</v>
      </c>
      <c r="S16" s="23">
        <f>IF($C16&gt;0,INDEX(Merge_1_2!$N$2:$N$611,$C16),INDEX(Dataset3_Raw!$N$2:$N$391,$E16))</f>
        <v>35</v>
      </c>
      <c r="T16" s="23">
        <f>IF($C16&gt;0,INDEX(Merge_1_2!$O$2:$O$611,$C16),INDEX(Dataset3_Raw!$O$2:$O$391,$E16))</f>
        <v>71</v>
      </c>
      <c r="U16" s="23">
        <f>IF($C16&gt;0,INDEX(Merge_1_2!$P$2:$P$611,$C16),INDEX(Dataset3_Raw!$P$2:$P$391,$E16))</f>
        <v>106</v>
      </c>
      <c r="V16" s="23" t="str">
        <f t="shared" si="1"/>
        <v>Weekend</v>
      </c>
      <c r="W16" s="23" t="str">
        <f>VLOOKUP($M16,Lookups!$A$5:$B$8,2,FALSE())</f>
        <v>Mist / Cloudy</v>
      </c>
      <c r="X16" s="23" t="str">
        <f>VLOOKUP($G16,Lookups!$D$5:$E$8,2,FALSE())</f>
        <v>Winter</v>
      </c>
      <c r="Y16" s="23" t="str">
        <f>VLOOKUP($L16,Lookups!$G$5:$H$11,2,FALSE())</f>
        <v>Saturday</v>
      </c>
      <c r="Z16" s="23" t="str">
        <f>IF($J16&lt;Lookups!$B$26,"Night",IF($J16&lt;Lookups!$B$27,"Morning",IF($J16&lt;Lookups!$B$28,"Afternoon","Evening")))</f>
        <v>Afternoon</v>
      </c>
      <c r="AA16" s="26">
        <f>ROUND($N16*(Lookups!$B$16-Lookups!$B$15)+Lookups!$B$15,1)</f>
        <v>13.6</v>
      </c>
      <c r="AB16" s="26">
        <f>ROUND($P16*(Lookups!$B$18-Lookups!$B$17)+Lookups!$B$17,1)</f>
        <v>14</v>
      </c>
      <c r="AC16" s="23">
        <f t="shared" si="2"/>
        <v>72</v>
      </c>
      <c r="AD16" s="23">
        <f>ROUND($R16*Lookups!$B$19,1)</f>
        <v>19</v>
      </c>
      <c r="AE16" s="27">
        <f t="shared" si="3"/>
        <v>0.66981132075471694</v>
      </c>
      <c r="AF16" s="23" t="str">
        <f>IF($U16&gt;=Lookups!$B$23,"High",IF($U16&gt;=Lookups!$B$22,"Medium","Low"))</f>
        <v>High</v>
      </c>
      <c r="AG16" s="23">
        <f>ROUND(IF($V16="Weekday",IF(INDEX(Hourly_Analysis!$D$5:$D$28,$J16+1)&gt;0,($U16-INDEX(Hourly_Analysis!$C$5:$C$28,$J16+1))/INDEX(Hourly_Analysis!$D$5:$D$28,$J16+1),0),IF(INDEX(Hourly_Analysis!$G$5:$G$28,$J16+1)&gt;0,($U16-INDEX(Hourly_Analysis!$F$5:$F$28,$J16+1))/INDEX(Hourly_Analysis!$G$5:$G$28,$J16+1),0)),2)</f>
        <v>0.13</v>
      </c>
      <c r="AH16" s="23" t="str">
        <f>IF(ABS($AG16)&gt;Lookups!$B$20,IF($AG16&gt;0,"High anomaly","Low anomaly"),"")</f>
        <v/>
      </c>
      <c r="AI16" s="23" t="str">
        <f t="shared" si="4"/>
        <v>OK</v>
      </c>
      <c r="AJ16" s="23" t="str">
        <f t="shared" si="5"/>
        <v>No</v>
      </c>
    </row>
    <row r="17" spans="1:36" x14ac:dyDescent="0.35">
      <c r="A17" s="23">
        <v>16</v>
      </c>
      <c r="B17" s="23" t="str">
        <f t="shared" si="0"/>
        <v>Merge 1+2</v>
      </c>
      <c r="C17" s="23">
        <f>IFERROR(MATCH($A17,Merge_1_2!$A$2:$A$611,0),0)</f>
        <v>16</v>
      </c>
      <c r="D17" s="23">
        <f>IF($C17&gt;0,INDEX(Merge_1_2!$Q$2:$Q$611,$C17),0)</f>
        <v>16</v>
      </c>
      <c r="E17" s="23">
        <f>IFERROR(MATCH($A17,Dataset3_Raw!$A$2:$A$391,0),0)</f>
        <v>0</v>
      </c>
      <c r="F17" s="24">
        <f>IF($C17&gt;0,INDEX(Merge_1_2!$B$2:$B$611,$C17),DATE(VALUE(RIGHT(INDEX(Dataset3_Raw!$B$2:$B$391,$E17),4)),VALUE(MID(INDEX(Dataset3_Raw!$B$2:$B$391,$E17),4,2)),VALUE(LEFT(INDEX(Dataset3_Raw!$B$2:$B$391,$E17),2))))</f>
        <v>40544</v>
      </c>
      <c r="G17" s="23">
        <f>IF($C17&gt;0,INDEX(Merge_1_2!$C$2:$C$611,$C17),INDEX(Dataset3_Raw!$C$2:$C$391,$E17))</f>
        <v>1</v>
      </c>
      <c r="H17" s="23">
        <f>IF($C17&gt;0,INDEX(Merge_1_2!$D$2:$D$611,$C17),INDEX(Dataset3_Raw!$D$2:$D$391,$E17))</f>
        <v>0</v>
      </c>
      <c r="I17" s="23">
        <f>IF($C17&gt;0,INDEX(Merge_1_2!$E$2:$E$611,$C17),INDEX(Dataset3_Raw!$E$2:$E$391,$E17))</f>
        <v>1</v>
      </c>
      <c r="J17" s="23">
        <f>IF($C17&gt;0,INDEX(Merge_1_2!$F$2:$F$611,$C17),INDEX(Dataset3_Raw!$F$2:$F$391,$E17))</f>
        <v>15</v>
      </c>
      <c r="K17" s="23" t="b">
        <f>IF($C17&gt;0,INDEX(Merge_1_2!$G$2:$G$611,$C17),INDEX(Dataset3_Raw!$G$2:$G$391,$E17))</f>
        <v>0</v>
      </c>
      <c r="L17" s="23">
        <f>IF($C17&gt;0,INDEX(Merge_1_2!$H$2:$H$611,$C17),INDEX(Dataset3_Raw!$H$2:$H$391,$E17))</f>
        <v>6</v>
      </c>
      <c r="M17" s="23">
        <f>IF($C17&gt;0,INDEX(Merge_1_2!$I$2:$I$611,$C17),INDEX(Dataset3_Raw!$I$2:$I$391,$E17))</f>
        <v>2</v>
      </c>
      <c r="N17" s="25">
        <f>IF($C17&gt;0,INDEX(Merge_1_2!$J$2:$J$611,$C17),INDEX(Dataset3_Raw!$J$2:$J$391,$E17))</f>
        <v>0.44</v>
      </c>
      <c r="O17" s="25">
        <f>IF($C17&gt;0,IF(ISNUMBER(INDEX(Merge_1_2!$K$2:$K$611,$C17)),INDEX(Merge_1_2!$K$2:$K$611,$C17),""),INDEX(Dataset3_Raw!$K$2:$K$391,$E17))</f>
        <v>0.43940000000000001</v>
      </c>
      <c r="P17" s="25">
        <f>IF(ISNUMBER($O17),$O17,ROUND(Lookups!$B$25+Lookups!$B$24*$N17,4))</f>
        <v>0.43940000000000001</v>
      </c>
      <c r="Q17" s="25">
        <f>IF($C17&gt;0,INDEX(Merge_1_2!$L$2:$L$611,$C17),INDEX(Dataset3_Raw!$L$2:$L$391,$E17))</f>
        <v>0.77</v>
      </c>
      <c r="R17" s="25">
        <f>IF($C17&gt;0,INDEX(Merge_1_2!$M$2:$M$611,$C17),INDEX(Dataset3_Raw!$M$2:$M$391,$E17))</f>
        <v>0.29849999999999999</v>
      </c>
      <c r="S17" s="23">
        <f>IF($C17&gt;0,INDEX(Merge_1_2!$N$2:$N$611,$C17),INDEX(Dataset3_Raw!$N$2:$N$391,$E17))</f>
        <v>40</v>
      </c>
      <c r="T17" s="23">
        <f>IF($C17&gt;0,INDEX(Merge_1_2!$O$2:$O$611,$C17),INDEX(Dataset3_Raw!$O$2:$O$391,$E17))</f>
        <v>70</v>
      </c>
      <c r="U17" s="23">
        <f>IF($C17&gt;0,INDEX(Merge_1_2!$P$2:$P$611,$C17),INDEX(Dataset3_Raw!$P$2:$P$391,$E17))</f>
        <v>110</v>
      </c>
      <c r="V17" s="23" t="str">
        <f t="shared" si="1"/>
        <v>Weekend</v>
      </c>
      <c r="W17" s="23" t="str">
        <f>VLOOKUP($M17,Lookups!$A$5:$B$8,2,FALSE())</f>
        <v>Mist / Cloudy</v>
      </c>
      <c r="X17" s="23" t="str">
        <f>VLOOKUP($G17,Lookups!$D$5:$E$8,2,FALSE())</f>
        <v>Winter</v>
      </c>
      <c r="Y17" s="23" t="str">
        <f>VLOOKUP($L17,Lookups!$G$5:$H$11,2,FALSE())</f>
        <v>Saturday</v>
      </c>
      <c r="Z17" s="23" t="str">
        <f>IF($J17&lt;Lookups!$B$26,"Night",IF($J17&lt;Lookups!$B$27,"Morning",IF($J17&lt;Lookups!$B$28,"Afternoon","Evening")))</f>
        <v>Afternoon</v>
      </c>
      <c r="AA17" s="26">
        <f>ROUND($N17*(Lookups!$B$16-Lookups!$B$15)+Lookups!$B$15,1)</f>
        <v>12.7</v>
      </c>
      <c r="AB17" s="26">
        <f>ROUND($P17*(Lookups!$B$18-Lookups!$B$17)+Lookups!$B$17,1)</f>
        <v>13</v>
      </c>
      <c r="AC17" s="23">
        <f t="shared" si="2"/>
        <v>77</v>
      </c>
      <c r="AD17" s="23">
        <f>ROUND($R17*Lookups!$B$19,1)</f>
        <v>20</v>
      </c>
      <c r="AE17" s="27">
        <f t="shared" si="3"/>
        <v>0.63636363636363635</v>
      </c>
      <c r="AF17" s="23" t="str">
        <f>IF($U17&gt;=Lookups!$B$23,"High",IF($U17&gt;=Lookups!$B$22,"Medium","Low"))</f>
        <v>High</v>
      </c>
      <c r="AG17" s="23">
        <f>ROUND(IF($V17="Weekday",IF(INDEX(Hourly_Analysis!$D$5:$D$28,$J17+1)&gt;0,($U17-INDEX(Hourly_Analysis!$C$5:$C$28,$J17+1))/INDEX(Hourly_Analysis!$D$5:$D$28,$J17+1),0),IF(INDEX(Hourly_Analysis!$G$5:$G$28,$J17+1)&gt;0,($U17-INDEX(Hourly_Analysis!$F$5:$F$28,$J17+1))/INDEX(Hourly_Analysis!$G$5:$G$28,$J17+1),0)),2)</f>
        <v>-0.02</v>
      </c>
      <c r="AH17" s="23" t="str">
        <f>IF(ABS($AG17)&gt;Lookups!$B$20,IF($AG17&gt;0,"High anomaly","Low anomaly"),"")</f>
        <v/>
      </c>
      <c r="AI17" s="23" t="str">
        <f t="shared" si="4"/>
        <v>OK</v>
      </c>
      <c r="AJ17" s="23" t="str">
        <f t="shared" si="5"/>
        <v>No</v>
      </c>
    </row>
    <row r="18" spans="1:36" x14ac:dyDescent="0.35">
      <c r="A18" s="23">
        <v>17</v>
      </c>
      <c r="B18" s="23" t="str">
        <f t="shared" si="0"/>
        <v>Merge 1+2</v>
      </c>
      <c r="C18" s="23">
        <f>IFERROR(MATCH($A18,Merge_1_2!$A$2:$A$611,0),0)</f>
        <v>17</v>
      </c>
      <c r="D18" s="23">
        <f>IF($C18&gt;0,INDEX(Merge_1_2!$Q$2:$Q$611,$C18),0)</f>
        <v>17</v>
      </c>
      <c r="E18" s="23">
        <f>IFERROR(MATCH($A18,Dataset3_Raw!$A$2:$A$391,0),0)</f>
        <v>0</v>
      </c>
      <c r="F18" s="24">
        <f>IF($C18&gt;0,INDEX(Merge_1_2!$B$2:$B$611,$C18),DATE(VALUE(RIGHT(INDEX(Dataset3_Raw!$B$2:$B$391,$E18),4)),VALUE(MID(INDEX(Dataset3_Raw!$B$2:$B$391,$E18),4,2)),VALUE(LEFT(INDEX(Dataset3_Raw!$B$2:$B$391,$E18),2))))</f>
        <v>40544</v>
      </c>
      <c r="G18" s="23">
        <f>IF($C18&gt;0,INDEX(Merge_1_2!$C$2:$C$611,$C18),INDEX(Dataset3_Raw!$C$2:$C$391,$E18))</f>
        <v>1</v>
      </c>
      <c r="H18" s="23">
        <f>IF($C18&gt;0,INDEX(Merge_1_2!$D$2:$D$611,$C18),INDEX(Dataset3_Raw!$D$2:$D$391,$E18))</f>
        <v>0</v>
      </c>
      <c r="I18" s="23">
        <f>IF($C18&gt;0,INDEX(Merge_1_2!$E$2:$E$611,$C18),INDEX(Dataset3_Raw!$E$2:$E$391,$E18))</f>
        <v>1</v>
      </c>
      <c r="J18" s="23">
        <f>IF($C18&gt;0,INDEX(Merge_1_2!$F$2:$F$611,$C18),INDEX(Dataset3_Raw!$F$2:$F$391,$E18))</f>
        <v>16</v>
      </c>
      <c r="K18" s="23" t="b">
        <f>IF($C18&gt;0,INDEX(Merge_1_2!$G$2:$G$611,$C18),INDEX(Dataset3_Raw!$G$2:$G$391,$E18))</f>
        <v>0</v>
      </c>
      <c r="L18" s="23">
        <f>IF($C18&gt;0,INDEX(Merge_1_2!$H$2:$H$611,$C18),INDEX(Dataset3_Raw!$H$2:$H$391,$E18))</f>
        <v>6</v>
      </c>
      <c r="M18" s="23">
        <f>IF($C18&gt;0,INDEX(Merge_1_2!$I$2:$I$611,$C18),INDEX(Dataset3_Raw!$I$2:$I$391,$E18))</f>
        <v>2</v>
      </c>
      <c r="N18" s="25">
        <f>IF($C18&gt;0,INDEX(Merge_1_2!$J$2:$J$611,$C18),INDEX(Dataset3_Raw!$J$2:$J$391,$E18))</f>
        <v>0.42</v>
      </c>
      <c r="O18" s="25">
        <f>IF($C18&gt;0,IF(ISNUMBER(INDEX(Merge_1_2!$K$2:$K$611,$C18)),INDEX(Merge_1_2!$K$2:$K$611,$C18),""),INDEX(Dataset3_Raw!$K$2:$K$391,$E18))</f>
        <v>0.42420000000000002</v>
      </c>
      <c r="P18" s="25">
        <f>IF(ISNUMBER($O18),$O18,ROUND(Lookups!$B$25+Lookups!$B$24*$N18,4))</f>
        <v>0.42420000000000002</v>
      </c>
      <c r="Q18" s="25">
        <f>IF($C18&gt;0,INDEX(Merge_1_2!$L$2:$L$611,$C18),INDEX(Dataset3_Raw!$L$2:$L$391,$E18))</f>
        <v>0.82</v>
      </c>
      <c r="R18" s="25">
        <f>IF($C18&gt;0,INDEX(Merge_1_2!$M$2:$M$611,$C18),INDEX(Dataset3_Raw!$M$2:$M$391,$E18))</f>
        <v>0.29849999999999999</v>
      </c>
      <c r="S18" s="23">
        <f>IF($C18&gt;0,INDEX(Merge_1_2!$N$2:$N$611,$C18),INDEX(Dataset3_Raw!$N$2:$N$391,$E18))</f>
        <v>41</v>
      </c>
      <c r="T18" s="23">
        <f>IF($C18&gt;0,INDEX(Merge_1_2!$O$2:$O$611,$C18),INDEX(Dataset3_Raw!$O$2:$O$391,$E18))</f>
        <v>52</v>
      </c>
      <c r="U18" s="23">
        <f>IF($C18&gt;0,INDEX(Merge_1_2!$P$2:$P$611,$C18),INDEX(Dataset3_Raw!$P$2:$P$391,$E18))</f>
        <v>93</v>
      </c>
      <c r="V18" s="23" t="str">
        <f t="shared" si="1"/>
        <v>Weekend</v>
      </c>
      <c r="W18" s="23" t="str">
        <f>VLOOKUP($M18,Lookups!$A$5:$B$8,2,FALSE())</f>
        <v>Mist / Cloudy</v>
      </c>
      <c r="X18" s="23" t="str">
        <f>VLOOKUP($G18,Lookups!$D$5:$E$8,2,FALSE())</f>
        <v>Winter</v>
      </c>
      <c r="Y18" s="23" t="str">
        <f>VLOOKUP($L18,Lookups!$G$5:$H$11,2,FALSE())</f>
        <v>Saturday</v>
      </c>
      <c r="Z18" s="23" t="str">
        <f>IF($J18&lt;Lookups!$B$26,"Night",IF($J18&lt;Lookups!$B$27,"Morning",IF($J18&lt;Lookups!$B$28,"Afternoon","Evening")))</f>
        <v>Afternoon</v>
      </c>
      <c r="AA18" s="26">
        <f>ROUND($N18*(Lookups!$B$16-Lookups!$B$15)+Lookups!$B$15,1)</f>
        <v>11.7</v>
      </c>
      <c r="AB18" s="26">
        <f>ROUND($P18*(Lookups!$B$18-Lookups!$B$17)+Lookups!$B$17,1)</f>
        <v>12</v>
      </c>
      <c r="AC18" s="23">
        <f t="shared" si="2"/>
        <v>82</v>
      </c>
      <c r="AD18" s="23">
        <f>ROUND($R18*Lookups!$B$19,1)</f>
        <v>20</v>
      </c>
      <c r="AE18" s="27">
        <f t="shared" si="3"/>
        <v>0.55913978494623651</v>
      </c>
      <c r="AF18" s="23" t="str">
        <f>IF($U18&gt;=Lookups!$B$23,"High",IF($U18&gt;=Lookups!$B$22,"Medium","Low"))</f>
        <v>High</v>
      </c>
      <c r="AG18" s="23">
        <f>ROUND(IF($V18="Weekday",IF(INDEX(Hourly_Analysis!$D$5:$D$28,$J18+1)&gt;0,($U18-INDEX(Hourly_Analysis!$C$5:$C$28,$J18+1))/INDEX(Hourly_Analysis!$D$5:$D$28,$J18+1),0),IF(INDEX(Hourly_Analysis!$G$5:$G$28,$J18+1)&gt;0,($U18-INDEX(Hourly_Analysis!$F$5:$F$28,$J18+1))/INDEX(Hourly_Analysis!$G$5:$G$28,$J18+1),0)),2)</f>
        <v>-0.31</v>
      </c>
      <c r="AH18" s="23" t="str">
        <f>IF(ABS($AG18)&gt;Lookups!$B$20,IF($AG18&gt;0,"High anomaly","Low anomaly"),"")</f>
        <v/>
      </c>
      <c r="AI18" s="23" t="str">
        <f t="shared" si="4"/>
        <v>OK</v>
      </c>
      <c r="AJ18" s="23" t="str">
        <f t="shared" si="5"/>
        <v>No</v>
      </c>
    </row>
    <row r="19" spans="1:36" x14ac:dyDescent="0.35">
      <c r="A19" s="23">
        <v>18</v>
      </c>
      <c r="B19" s="23" t="str">
        <f t="shared" si="0"/>
        <v>Merge 1+2</v>
      </c>
      <c r="C19" s="23">
        <f>IFERROR(MATCH($A19,Merge_1_2!$A$2:$A$611,0),0)</f>
        <v>18</v>
      </c>
      <c r="D19" s="23">
        <f>IF($C19&gt;0,INDEX(Merge_1_2!$Q$2:$Q$611,$C19),0)</f>
        <v>18</v>
      </c>
      <c r="E19" s="23">
        <f>IFERROR(MATCH($A19,Dataset3_Raw!$A$2:$A$391,0),0)</f>
        <v>0</v>
      </c>
      <c r="F19" s="24">
        <f>IF($C19&gt;0,INDEX(Merge_1_2!$B$2:$B$611,$C19),DATE(VALUE(RIGHT(INDEX(Dataset3_Raw!$B$2:$B$391,$E19),4)),VALUE(MID(INDEX(Dataset3_Raw!$B$2:$B$391,$E19),4,2)),VALUE(LEFT(INDEX(Dataset3_Raw!$B$2:$B$391,$E19),2))))</f>
        <v>40544</v>
      </c>
      <c r="G19" s="23">
        <f>IF($C19&gt;0,INDEX(Merge_1_2!$C$2:$C$611,$C19),INDEX(Dataset3_Raw!$C$2:$C$391,$E19))</f>
        <v>1</v>
      </c>
      <c r="H19" s="23">
        <f>IF($C19&gt;0,INDEX(Merge_1_2!$D$2:$D$611,$C19),INDEX(Dataset3_Raw!$D$2:$D$391,$E19))</f>
        <v>0</v>
      </c>
      <c r="I19" s="23">
        <f>IF($C19&gt;0,INDEX(Merge_1_2!$E$2:$E$611,$C19),INDEX(Dataset3_Raw!$E$2:$E$391,$E19))</f>
        <v>1</v>
      </c>
      <c r="J19" s="23">
        <f>IF($C19&gt;0,INDEX(Merge_1_2!$F$2:$F$611,$C19),INDEX(Dataset3_Raw!$F$2:$F$391,$E19))</f>
        <v>17</v>
      </c>
      <c r="K19" s="23" t="b">
        <f>IF($C19&gt;0,INDEX(Merge_1_2!$G$2:$G$611,$C19),INDEX(Dataset3_Raw!$G$2:$G$391,$E19))</f>
        <v>0</v>
      </c>
      <c r="L19" s="23">
        <f>IF($C19&gt;0,INDEX(Merge_1_2!$H$2:$H$611,$C19),INDEX(Dataset3_Raw!$H$2:$H$391,$E19))</f>
        <v>6</v>
      </c>
      <c r="M19" s="23">
        <f>IF($C19&gt;0,INDEX(Merge_1_2!$I$2:$I$611,$C19),INDEX(Dataset3_Raw!$I$2:$I$391,$E19))</f>
        <v>2</v>
      </c>
      <c r="N19" s="25">
        <f>IF($C19&gt;0,INDEX(Merge_1_2!$J$2:$J$611,$C19),INDEX(Dataset3_Raw!$J$2:$J$391,$E19))</f>
        <v>0.44</v>
      </c>
      <c r="O19" s="25" t="str">
        <f>IF($C19&gt;0,IF(ISNUMBER(INDEX(Merge_1_2!$K$2:$K$611,$C19)),INDEX(Merge_1_2!$K$2:$K$611,$C19),""),INDEX(Dataset3_Raw!$K$2:$K$391,$E19))</f>
        <v/>
      </c>
      <c r="P19" s="25">
        <f>IF(ISNUMBER($O19),$O19,ROUND(Lookups!$B$25+Lookups!$B$24*$N19,4))</f>
        <v>0.42809999999999998</v>
      </c>
      <c r="Q19" s="25">
        <f>IF($C19&gt;0,INDEX(Merge_1_2!$L$2:$L$611,$C19),INDEX(Dataset3_Raw!$L$2:$L$391,$E19))</f>
        <v>0.82</v>
      </c>
      <c r="R19" s="25">
        <f>IF($C19&gt;0,INDEX(Merge_1_2!$M$2:$M$611,$C19),INDEX(Dataset3_Raw!$M$2:$M$391,$E19))</f>
        <v>0.28360000000000002</v>
      </c>
      <c r="S19" s="23">
        <f>IF($C19&gt;0,INDEX(Merge_1_2!$N$2:$N$611,$C19),INDEX(Dataset3_Raw!$N$2:$N$391,$E19))</f>
        <v>15</v>
      </c>
      <c r="T19" s="23">
        <f>IF($C19&gt;0,INDEX(Merge_1_2!$O$2:$O$611,$C19),INDEX(Dataset3_Raw!$O$2:$O$391,$E19))</f>
        <v>52</v>
      </c>
      <c r="U19" s="23">
        <f>IF($C19&gt;0,INDEX(Merge_1_2!$P$2:$P$611,$C19),INDEX(Dataset3_Raw!$P$2:$P$391,$E19))</f>
        <v>67</v>
      </c>
      <c r="V19" s="23" t="str">
        <f t="shared" si="1"/>
        <v>Weekend</v>
      </c>
      <c r="W19" s="23" t="str">
        <f>VLOOKUP($M19,Lookups!$A$5:$B$8,2,FALSE())</f>
        <v>Mist / Cloudy</v>
      </c>
      <c r="X19" s="23" t="str">
        <f>VLOOKUP($G19,Lookups!$D$5:$E$8,2,FALSE())</f>
        <v>Winter</v>
      </c>
      <c r="Y19" s="23" t="str">
        <f>VLOOKUP($L19,Lookups!$G$5:$H$11,2,FALSE())</f>
        <v>Saturday</v>
      </c>
      <c r="Z19" s="23" t="str">
        <f>IF($J19&lt;Lookups!$B$26,"Night",IF($J19&lt;Lookups!$B$27,"Morning",IF($J19&lt;Lookups!$B$28,"Afternoon","Evening")))</f>
        <v>Afternoon</v>
      </c>
      <c r="AA19" s="26">
        <f>ROUND($N19*(Lookups!$B$16-Lookups!$B$15)+Lookups!$B$15,1)</f>
        <v>12.7</v>
      </c>
      <c r="AB19" s="26">
        <f>ROUND($P19*(Lookups!$B$18-Lookups!$B$17)+Lookups!$B$17,1)</f>
        <v>12.3</v>
      </c>
      <c r="AC19" s="23">
        <f t="shared" si="2"/>
        <v>82</v>
      </c>
      <c r="AD19" s="23">
        <f>ROUND($R19*Lookups!$B$19,1)</f>
        <v>19</v>
      </c>
      <c r="AE19" s="27">
        <f t="shared" si="3"/>
        <v>0.77611940298507465</v>
      </c>
      <c r="AF19" s="23" t="str">
        <f>IF($U19&gt;=Lookups!$B$23,"High",IF($U19&gt;=Lookups!$B$22,"Medium","Low"))</f>
        <v>Medium</v>
      </c>
      <c r="AG19" s="23">
        <f>ROUND(IF($V19="Weekday",IF(INDEX(Hourly_Analysis!$D$5:$D$28,$J19+1)&gt;0,($U19-INDEX(Hourly_Analysis!$C$5:$C$28,$J19+1))/INDEX(Hourly_Analysis!$D$5:$D$28,$J19+1),0),IF(INDEX(Hourly_Analysis!$G$5:$G$28,$J19+1)&gt;0,($U19-INDEX(Hourly_Analysis!$F$5:$F$28,$J19+1))/INDEX(Hourly_Analysis!$G$5:$G$28,$J19+1),0)),2)</f>
        <v>-0.7</v>
      </c>
      <c r="AH19" s="23" t="str">
        <f>IF(ABS($AG19)&gt;Lookups!$B$20,IF($AG19&gt;0,"High anomaly","Low anomaly"),"")</f>
        <v/>
      </c>
      <c r="AI19" s="23" t="str">
        <f t="shared" si="4"/>
        <v>OK</v>
      </c>
      <c r="AJ19" s="23" t="str">
        <f t="shared" si="5"/>
        <v>Yes</v>
      </c>
    </row>
    <row r="20" spans="1:36" x14ac:dyDescent="0.35">
      <c r="A20" s="23">
        <v>19</v>
      </c>
      <c r="B20" s="23" t="str">
        <f t="shared" si="0"/>
        <v>Merge 1+2</v>
      </c>
      <c r="C20" s="23">
        <f>IFERROR(MATCH($A20,Merge_1_2!$A$2:$A$611,0),0)</f>
        <v>19</v>
      </c>
      <c r="D20" s="23">
        <f>IF($C20&gt;0,INDEX(Merge_1_2!$Q$2:$Q$611,$C20),0)</f>
        <v>19</v>
      </c>
      <c r="E20" s="23">
        <f>IFERROR(MATCH($A20,Dataset3_Raw!$A$2:$A$391,0),0)</f>
        <v>0</v>
      </c>
      <c r="F20" s="24">
        <f>IF($C20&gt;0,INDEX(Merge_1_2!$B$2:$B$611,$C20),DATE(VALUE(RIGHT(INDEX(Dataset3_Raw!$B$2:$B$391,$E20),4)),VALUE(MID(INDEX(Dataset3_Raw!$B$2:$B$391,$E20),4,2)),VALUE(LEFT(INDEX(Dataset3_Raw!$B$2:$B$391,$E20),2))))</f>
        <v>40544</v>
      </c>
      <c r="G20" s="23">
        <f>IF($C20&gt;0,INDEX(Merge_1_2!$C$2:$C$611,$C20),INDEX(Dataset3_Raw!$C$2:$C$391,$E20))</f>
        <v>1</v>
      </c>
      <c r="H20" s="23">
        <f>IF($C20&gt;0,INDEX(Merge_1_2!$D$2:$D$611,$C20),INDEX(Dataset3_Raw!$D$2:$D$391,$E20))</f>
        <v>0</v>
      </c>
      <c r="I20" s="23">
        <f>IF($C20&gt;0,INDEX(Merge_1_2!$E$2:$E$611,$C20),INDEX(Dataset3_Raw!$E$2:$E$391,$E20))</f>
        <v>1</v>
      </c>
      <c r="J20" s="23">
        <f>IF($C20&gt;0,INDEX(Merge_1_2!$F$2:$F$611,$C20),INDEX(Dataset3_Raw!$F$2:$F$391,$E20))</f>
        <v>18</v>
      </c>
      <c r="K20" s="23" t="b">
        <f>IF($C20&gt;0,INDEX(Merge_1_2!$G$2:$G$611,$C20),INDEX(Dataset3_Raw!$G$2:$G$391,$E20))</f>
        <v>0</v>
      </c>
      <c r="L20" s="23">
        <f>IF($C20&gt;0,INDEX(Merge_1_2!$H$2:$H$611,$C20),INDEX(Dataset3_Raw!$H$2:$H$391,$E20))</f>
        <v>6</v>
      </c>
      <c r="M20" s="23">
        <f>IF($C20&gt;0,INDEX(Merge_1_2!$I$2:$I$611,$C20),INDEX(Dataset3_Raw!$I$2:$I$391,$E20))</f>
        <v>3</v>
      </c>
      <c r="N20" s="25">
        <f>IF($C20&gt;0,INDEX(Merge_1_2!$J$2:$J$611,$C20),INDEX(Dataset3_Raw!$J$2:$J$391,$E20))</f>
        <v>0.42</v>
      </c>
      <c r="O20" s="25">
        <f>IF($C20&gt;0,IF(ISNUMBER(INDEX(Merge_1_2!$K$2:$K$611,$C20)),INDEX(Merge_1_2!$K$2:$K$611,$C20),""),INDEX(Dataset3_Raw!$K$2:$K$391,$E20))</f>
        <v>0.42420000000000002</v>
      </c>
      <c r="P20" s="25">
        <f>IF(ISNUMBER($O20),$O20,ROUND(Lookups!$B$25+Lookups!$B$24*$N20,4))</f>
        <v>0.42420000000000002</v>
      </c>
      <c r="Q20" s="25">
        <f>IF($C20&gt;0,INDEX(Merge_1_2!$L$2:$L$611,$C20),INDEX(Dataset3_Raw!$L$2:$L$391,$E20))</f>
        <v>0.88</v>
      </c>
      <c r="R20" s="25">
        <f>IF($C20&gt;0,INDEX(Merge_1_2!$M$2:$M$611,$C20),INDEX(Dataset3_Raw!$M$2:$M$391,$E20))</f>
        <v>0.25369999999999998</v>
      </c>
      <c r="S20" s="23">
        <f>IF($C20&gt;0,INDEX(Merge_1_2!$N$2:$N$611,$C20),INDEX(Dataset3_Raw!$N$2:$N$391,$E20))</f>
        <v>9</v>
      </c>
      <c r="T20" s="23">
        <f>IF($C20&gt;0,INDEX(Merge_1_2!$O$2:$O$611,$C20),INDEX(Dataset3_Raw!$O$2:$O$391,$E20))</f>
        <v>26</v>
      </c>
      <c r="U20" s="23">
        <f>IF($C20&gt;0,INDEX(Merge_1_2!$P$2:$P$611,$C20),INDEX(Dataset3_Raw!$P$2:$P$391,$E20))</f>
        <v>35</v>
      </c>
      <c r="V20" s="23" t="str">
        <f t="shared" si="1"/>
        <v>Weekend</v>
      </c>
      <c r="W20" s="23" t="str">
        <f>VLOOKUP($M20,Lookups!$A$5:$B$8,2,FALSE())</f>
        <v>Light snow / Light rain</v>
      </c>
      <c r="X20" s="23" t="str">
        <f>VLOOKUP($G20,Lookups!$D$5:$E$8,2,FALSE())</f>
        <v>Winter</v>
      </c>
      <c r="Y20" s="23" t="str">
        <f>VLOOKUP($L20,Lookups!$G$5:$H$11,2,FALSE())</f>
        <v>Saturday</v>
      </c>
      <c r="Z20" s="23" t="str">
        <f>IF($J20&lt;Lookups!$B$26,"Night",IF($J20&lt;Lookups!$B$27,"Morning",IF($J20&lt;Lookups!$B$28,"Afternoon","Evening")))</f>
        <v>Evening</v>
      </c>
      <c r="AA20" s="26">
        <f>ROUND($N20*(Lookups!$B$16-Lookups!$B$15)+Lookups!$B$15,1)</f>
        <v>11.7</v>
      </c>
      <c r="AB20" s="26">
        <f>ROUND($P20*(Lookups!$B$18-Lookups!$B$17)+Lookups!$B$17,1)</f>
        <v>12</v>
      </c>
      <c r="AC20" s="23">
        <f t="shared" si="2"/>
        <v>88</v>
      </c>
      <c r="AD20" s="23">
        <f>ROUND($R20*Lookups!$B$19,1)</f>
        <v>17</v>
      </c>
      <c r="AE20" s="27">
        <f t="shared" si="3"/>
        <v>0.74285714285714288</v>
      </c>
      <c r="AF20" s="23" t="str">
        <f>IF($U20&gt;=Lookups!$B$23,"High",IF($U20&gt;=Lookups!$B$22,"Medium","Low"))</f>
        <v>Medium</v>
      </c>
      <c r="AG20" s="23">
        <f>ROUND(IF($V20="Weekday",IF(INDEX(Hourly_Analysis!$D$5:$D$28,$J20+1)&gt;0,($U20-INDEX(Hourly_Analysis!$C$5:$C$28,$J20+1))/INDEX(Hourly_Analysis!$D$5:$D$28,$J20+1),0),IF(INDEX(Hourly_Analysis!$G$5:$G$28,$J20+1)&gt;0,($U20-INDEX(Hourly_Analysis!$F$5:$F$28,$J20+1))/INDEX(Hourly_Analysis!$G$5:$G$28,$J20+1),0)),2)</f>
        <v>-1.77</v>
      </c>
      <c r="AH20" s="23" t="str">
        <f>IF(ABS($AG20)&gt;Lookups!$B$20,IF($AG20&gt;0,"High anomaly","Low anomaly"),"")</f>
        <v/>
      </c>
      <c r="AI20" s="23" t="str">
        <f t="shared" si="4"/>
        <v>OK</v>
      </c>
      <c r="AJ20" s="23" t="str">
        <f t="shared" si="5"/>
        <v>No</v>
      </c>
    </row>
    <row r="21" spans="1:36" x14ac:dyDescent="0.35">
      <c r="A21" s="23">
        <v>20</v>
      </c>
      <c r="B21" s="23" t="str">
        <f t="shared" si="0"/>
        <v>Merge 1+2</v>
      </c>
      <c r="C21" s="23">
        <f>IFERROR(MATCH($A21,Merge_1_2!$A$2:$A$611,0),0)</f>
        <v>20</v>
      </c>
      <c r="D21" s="23">
        <f>IF($C21&gt;0,INDEX(Merge_1_2!$Q$2:$Q$611,$C21),0)</f>
        <v>20</v>
      </c>
      <c r="E21" s="23">
        <f>IFERROR(MATCH($A21,Dataset3_Raw!$A$2:$A$391,0),0)</f>
        <v>0</v>
      </c>
      <c r="F21" s="24">
        <f>IF($C21&gt;0,INDEX(Merge_1_2!$B$2:$B$611,$C21),DATE(VALUE(RIGHT(INDEX(Dataset3_Raw!$B$2:$B$391,$E21),4)),VALUE(MID(INDEX(Dataset3_Raw!$B$2:$B$391,$E21),4,2)),VALUE(LEFT(INDEX(Dataset3_Raw!$B$2:$B$391,$E21),2))))</f>
        <v>40544</v>
      </c>
      <c r="G21" s="23">
        <f>IF($C21&gt;0,INDEX(Merge_1_2!$C$2:$C$611,$C21),INDEX(Dataset3_Raw!$C$2:$C$391,$E21))</f>
        <v>1</v>
      </c>
      <c r="H21" s="23">
        <f>IF($C21&gt;0,INDEX(Merge_1_2!$D$2:$D$611,$C21),INDEX(Dataset3_Raw!$D$2:$D$391,$E21))</f>
        <v>0</v>
      </c>
      <c r="I21" s="23">
        <f>IF($C21&gt;0,INDEX(Merge_1_2!$E$2:$E$611,$C21),INDEX(Dataset3_Raw!$E$2:$E$391,$E21))</f>
        <v>1</v>
      </c>
      <c r="J21" s="23">
        <f>IF($C21&gt;0,INDEX(Merge_1_2!$F$2:$F$611,$C21),INDEX(Dataset3_Raw!$F$2:$F$391,$E21))</f>
        <v>19</v>
      </c>
      <c r="K21" s="23" t="b">
        <f>IF($C21&gt;0,INDEX(Merge_1_2!$G$2:$G$611,$C21),INDEX(Dataset3_Raw!$G$2:$G$391,$E21))</f>
        <v>0</v>
      </c>
      <c r="L21" s="23">
        <f>IF($C21&gt;0,INDEX(Merge_1_2!$H$2:$H$611,$C21),INDEX(Dataset3_Raw!$H$2:$H$391,$E21))</f>
        <v>6</v>
      </c>
      <c r="M21" s="23">
        <f>IF($C21&gt;0,INDEX(Merge_1_2!$I$2:$I$611,$C21),INDEX(Dataset3_Raw!$I$2:$I$391,$E21))</f>
        <v>3</v>
      </c>
      <c r="N21" s="25">
        <f>IF($C21&gt;0,INDEX(Merge_1_2!$J$2:$J$611,$C21),INDEX(Dataset3_Raw!$J$2:$J$391,$E21))</f>
        <v>0.42</v>
      </c>
      <c r="O21" s="25">
        <f>IF($C21&gt;0,IF(ISNUMBER(INDEX(Merge_1_2!$K$2:$K$611,$C21)),INDEX(Merge_1_2!$K$2:$K$611,$C21),""),INDEX(Dataset3_Raw!$K$2:$K$391,$E21))</f>
        <v>0.42420000000000002</v>
      </c>
      <c r="P21" s="25">
        <f>IF(ISNUMBER($O21),$O21,ROUND(Lookups!$B$25+Lookups!$B$24*$N21,4))</f>
        <v>0.42420000000000002</v>
      </c>
      <c r="Q21" s="25">
        <f>IF($C21&gt;0,INDEX(Merge_1_2!$L$2:$L$611,$C21),INDEX(Dataset3_Raw!$L$2:$L$391,$E21))</f>
        <v>0.88</v>
      </c>
      <c r="R21" s="25">
        <f>IF($C21&gt;0,INDEX(Merge_1_2!$M$2:$M$611,$C21),INDEX(Dataset3_Raw!$M$2:$M$391,$E21))</f>
        <v>0.25369999999999998</v>
      </c>
      <c r="S21" s="23">
        <f>IF($C21&gt;0,INDEX(Merge_1_2!$N$2:$N$611,$C21),INDEX(Dataset3_Raw!$N$2:$N$391,$E21))</f>
        <v>6</v>
      </c>
      <c r="T21" s="23">
        <f>IF($C21&gt;0,INDEX(Merge_1_2!$O$2:$O$611,$C21),INDEX(Dataset3_Raw!$O$2:$O$391,$E21))</f>
        <v>31</v>
      </c>
      <c r="U21" s="23">
        <f>IF($C21&gt;0,INDEX(Merge_1_2!$P$2:$P$611,$C21),INDEX(Dataset3_Raw!$P$2:$P$391,$E21))</f>
        <v>37</v>
      </c>
      <c r="V21" s="23" t="str">
        <f t="shared" si="1"/>
        <v>Weekend</v>
      </c>
      <c r="W21" s="23" t="str">
        <f>VLOOKUP($M21,Lookups!$A$5:$B$8,2,FALSE())</f>
        <v>Light snow / Light rain</v>
      </c>
      <c r="X21" s="23" t="str">
        <f>VLOOKUP($G21,Lookups!$D$5:$E$8,2,FALSE())</f>
        <v>Winter</v>
      </c>
      <c r="Y21" s="23" t="str">
        <f>VLOOKUP($L21,Lookups!$G$5:$H$11,2,FALSE())</f>
        <v>Saturday</v>
      </c>
      <c r="Z21" s="23" t="str">
        <f>IF($J21&lt;Lookups!$B$26,"Night",IF($J21&lt;Lookups!$B$27,"Morning",IF($J21&lt;Lookups!$B$28,"Afternoon","Evening")))</f>
        <v>Evening</v>
      </c>
      <c r="AA21" s="26">
        <f>ROUND($N21*(Lookups!$B$16-Lookups!$B$15)+Lookups!$B$15,1)</f>
        <v>11.7</v>
      </c>
      <c r="AB21" s="26">
        <f>ROUND($P21*(Lookups!$B$18-Lookups!$B$17)+Lookups!$B$17,1)</f>
        <v>12</v>
      </c>
      <c r="AC21" s="23">
        <f t="shared" si="2"/>
        <v>88</v>
      </c>
      <c r="AD21" s="23">
        <f>ROUND($R21*Lookups!$B$19,1)</f>
        <v>17</v>
      </c>
      <c r="AE21" s="27">
        <f t="shared" si="3"/>
        <v>0.83783783783783783</v>
      </c>
      <c r="AF21" s="23" t="str">
        <f>IF($U21&gt;=Lookups!$B$23,"High",IF($U21&gt;=Lookups!$B$22,"Medium","Low"))</f>
        <v>Medium</v>
      </c>
      <c r="AG21" s="23">
        <f>ROUND(IF($V21="Weekday",IF(INDEX(Hourly_Analysis!$D$5:$D$28,$J21+1)&gt;0,($U21-INDEX(Hourly_Analysis!$C$5:$C$28,$J21+1))/INDEX(Hourly_Analysis!$D$5:$D$28,$J21+1),0),IF(INDEX(Hourly_Analysis!$G$5:$G$28,$J21+1)&gt;0,($U21-INDEX(Hourly_Analysis!$F$5:$F$28,$J21+1))/INDEX(Hourly_Analysis!$G$5:$G$28,$J21+1),0)),2)</f>
        <v>-0.8</v>
      </c>
      <c r="AH21" s="23" t="str">
        <f>IF(ABS($AG21)&gt;Lookups!$B$20,IF($AG21&gt;0,"High anomaly","Low anomaly"),"")</f>
        <v/>
      </c>
      <c r="AI21" s="23" t="str">
        <f t="shared" si="4"/>
        <v>OK</v>
      </c>
      <c r="AJ21" s="23" t="str">
        <f t="shared" si="5"/>
        <v>No</v>
      </c>
    </row>
    <row r="22" spans="1:36" x14ac:dyDescent="0.35">
      <c r="A22" s="23">
        <v>21</v>
      </c>
      <c r="B22" s="23" t="str">
        <f t="shared" si="0"/>
        <v>Merge 1+2</v>
      </c>
      <c r="C22" s="23">
        <f>IFERROR(MATCH($A22,Merge_1_2!$A$2:$A$611,0),0)</f>
        <v>21</v>
      </c>
      <c r="D22" s="23">
        <f>IF($C22&gt;0,INDEX(Merge_1_2!$Q$2:$Q$611,$C22),0)</f>
        <v>21</v>
      </c>
      <c r="E22" s="23">
        <f>IFERROR(MATCH($A22,Dataset3_Raw!$A$2:$A$391,0),0)</f>
        <v>0</v>
      </c>
      <c r="F22" s="24">
        <f>IF($C22&gt;0,INDEX(Merge_1_2!$B$2:$B$611,$C22),DATE(VALUE(RIGHT(INDEX(Dataset3_Raw!$B$2:$B$391,$E22),4)),VALUE(MID(INDEX(Dataset3_Raw!$B$2:$B$391,$E22),4,2)),VALUE(LEFT(INDEX(Dataset3_Raw!$B$2:$B$391,$E22),2))))</f>
        <v>40544</v>
      </c>
      <c r="G22" s="23">
        <f>IF($C22&gt;0,INDEX(Merge_1_2!$C$2:$C$611,$C22),INDEX(Dataset3_Raw!$C$2:$C$391,$E22))</f>
        <v>1</v>
      </c>
      <c r="H22" s="23">
        <f>IF($C22&gt;0,INDEX(Merge_1_2!$D$2:$D$611,$C22),INDEX(Dataset3_Raw!$D$2:$D$391,$E22))</f>
        <v>0</v>
      </c>
      <c r="I22" s="23">
        <f>IF($C22&gt;0,INDEX(Merge_1_2!$E$2:$E$611,$C22),INDEX(Dataset3_Raw!$E$2:$E$391,$E22))</f>
        <v>1</v>
      </c>
      <c r="J22" s="23">
        <f>IF($C22&gt;0,INDEX(Merge_1_2!$F$2:$F$611,$C22),INDEX(Dataset3_Raw!$F$2:$F$391,$E22))</f>
        <v>20</v>
      </c>
      <c r="K22" s="23" t="b">
        <f>IF($C22&gt;0,INDEX(Merge_1_2!$G$2:$G$611,$C22),INDEX(Dataset3_Raw!$G$2:$G$391,$E22))</f>
        <v>0</v>
      </c>
      <c r="L22" s="23">
        <f>IF($C22&gt;0,INDEX(Merge_1_2!$H$2:$H$611,$C22),INDEX(Dataset3_Raw!$H$2:$H$391,$E22))</f>
        <v>6</v>
      </c>
      <c r="M22" s="23">
        <f>IF($C22&gt;0,INDEX(Merge_1_2!$I$2:$I$611,$C22),INDEX(Dataset3_Raw!$I$2:$I$391,$E22))</f>
        <v>2</v>
      </c>
      <c r="N22" s="25">
        <f>IF($C22&gt;0,INDEX(Merge_1_2!$J$2:$J$611,$C22),INDEX(Dataset3_Raw!$J$2:$J$391,$E22))</f>
        <v>0.4</v>
      </c>
      <c r="O22" s="25">
        <f>IF($C22&gt;0,IF(ISNUMBER(INDEX(Merge_1_2!$K$2:$K$611,$C22)),INDEX(Merge_1_2!$K$2:$K$611,$C22),""),INDEX(Dataset3_Raw!$K$2:$K$391,$E22))</f>
        <v>0.40910000000000002</v>
      </c>
      <c r="P22" s="25">
        <f>IF(ISNUMBER($O22),$O22,ROUND(Lookups!$B$25+Lookups!$B$24*$N22,4))</f>
        <v>0.40910000000000002</v>
      </c>
      <c r="Q22" s="25">
        <f>IF($C22&gt;0,INDEX(Merge_1_2!$L$2:$L$611,$C22),INDEX(Dataset3_Raw!$L$2:$L$391,$E22))</f>
        <v>0.87</v>
      </c>
      <c r="R22" s="25">
        <f>IF($C22&gt;0,INDEX(Merge_1_2!$M$2:$M$611,$C22),INDEX(Dataset3_Raw!$M$2:$M$391,$E22))</f>
        <v>0.25369999999999998</v>
      </c>
      <c r="S22" s="23">
        <f>IF($C22&gt;0,INDEX(Merge_1_2!$N$2:$N$611,$C22),INDEX(Dataset3_Raw!$N$2:$N$391,$E22))</f>
        <v>11</v>
      </c>
      <c r="T22" s="23">
        <f>IF($C22&gt;0,INDEX(Merge_1_2!$O$2:$O$611,$C22),INDEX(Dataset3_Raw!$O$2:$O$391,$E22))</f>
        <v>25</v>
      </c>
      <c r="U22" s="23">
        <f>IF($C22&gt;0,INDEX(Merge_1_2!$P$2:$P$611,$C22),INDEX(Dataset3_Raw!$P$2:$P$391,$E22))</f>
        <v>36</v>
      </c>
      <c r="V22" s="23" t="str">
        <f t="shared" si="1"/>
        <v>Weekend</v>
      </c>
      <c r="W22" s="23" t="str">
        <f>VLOOKUP($M22,Lookups!$A$5:$B$8,2,FALSE())</f>
        <v>Mist / Cloudy</v>
      </c>
      <c r="X22" s="23" t="str">
        <f>VLOOKUP($G22,Lookups!$D$5:$E$8,2,FALSE())</f>
        <v>Winter</v>
      </c>
      <c r="Y22" s="23" t="str">
        <f>VLOOKUP($L22,Lookups!$G$5:$H$11,2,FALSE())</f>
        <v>Saturday</v>
      </c>
      <c r="Z22" s="23" t="str">
        <f>IF($J22&lt;Lookups!$B$26,"Night",IF($J22&lt;Lookups!$B$27,"Morning",IF($J22&lt;Lookups!$B$28,"Afternoon","Evening")))</f>
        <v>Evening</v>
      </c>
      <c r="AA22" s="26">
        <f>ROUND($N22*(Lookups!$B$16-Lookups!$B$15)+Lookups!$B$15,1)</f>
        <v>10.8</v>
      </c>
      <c r="AB22" s="26">
        <f>ROUND($P22*(Lookups!$B$18-Lookups!$B$17)+Lookups!$B$17,1)</f>
        <v>11</v>
      </c>
      <c r="AC22" s="23">
        <f t="shared" si="2"/>
        <v>87</v>
      </c>
      <c r="AD22" s="23">
        <f>ROUND($R22*Lookups!$B$19,1)</f>
        <v>17</v>
      </c>
      <c r="AE22" s="27">
        <f t="shared" si="3"/>
        <v>0.69444444444444442</v>
      </c>
      <c r="AF22" s="23" t="str">
        <f>IF($U22&gt;=Lookups!$B$23,"High",IF($U22&gt;=Lookups!$B$22,"Medium","Low"))</f>
        <v>Medium</v>
      </c>
      <c r="AG22" s="23">
        <f>ROUND(IF($V22="Weekday",IF(INDEX(Hourly_Analysis!$D$5:$D$28,$J22+1)&gt;0,($U22-INDEX(Hourly_Analysis!$C$5:$C$28,$J22+1))/INDEX(Hourly_Analysis!$D$5:$D$28,$J22+1),0),IF(INDEX(Hourly_Analysis!$G$5:$G$28,$J22+1)&gt;0,($U22-INDEX(Hourly_Analysis!$F$5:$F$28,$J22+1))/INDEX(Hourly_Analysis!$G$5:$G$28,$J22+1),0)),2)</f>
        <v>-0.28999999999999998</v>
      </c>
      <c r="AH22" s="23" t="str">
        <f>IF(ABS($AG22)&gt;Lookups!$B$20,IF($AG22&gt;0,"High anomaly","Low anomaly"),"")</f>
        <v/>
      </c>
      <c r="AI22" s="23" t="str">
        <f t="shared" si="4"/>
        <v>OK</v>
      </c>
      <c r="AJ22" s="23" t="str">
        <f t="shared" si="5"/>
        <v>No</v>
      </c>
    </row>
    <row r="23" spans="1:36" x14ac:dyDescent="0.35">
      <c r="A23" s="23">
        <v>22</v>
      </c>
      <c r="B23" s="23" t="str">
        <f t="shared" si="0"/>
        <v>Merge 1+2</v>
      </c>
      <c r="C23" s="23">
        <f>IFERROR(MATCH($A23,Merge_1_2!$A$2:$A$611,0),0)</f>
        <v>22</v>
      </c>
      <c r="D23" s="23">
        <f>IF($C23&gt;0,INDEX(Merge_1_2!$Q$2:$Q$611,$C23),0)</f>
        <v>22</v>
      </c>
      <c r="E23" s="23">
        <f>IFERROR(MATCH($A23,Dataset3_Raw!$A$2:$A$391,0),0)</f>
        <v>0</v>
      </c>
      <c r="F23" s="24">
        <f>IF($C23&gt;0,INDEX(Merge_1_2!$B$2:$B$611,$C23),DATE(VALUE(RIGHT(INDEX(Dataset3_Raw!$B$2:$B$391,$E23),4)),VALUE(MID(INDEX(Dataset3_Raw!$B$2:$B$391,$E23),4,2)),VALUE(LEFT(INDEX(Dataset3_Raw!$B$2:$B$391,$E23),2))))</f>
        <v>40544</v>
      </c>
      <c r="G23" s="23">
        <f>IF($C23&gt;0,INDEX(Merge_1_2!$C$2:$C$611,$C23),INDEX(Dataset3_Raw!$C$2:$C$391,$E23))</f>
        <v>1</v>
      </c>
      <c r="H23" s="23">
        <f>IF($C23&gt;0,INDEX(Merge_1_2!$D$2:$D$611,$C23),INDEX(Dataset3_Raw!$D$2:$D$391,$E23))</f>
        <v>0</v>
      </c>
      <c r="I23" s="23">
        <f>IF($C23&gt;0,INDEX(Merge_1_2!$E$2:$E$611,$C23),INDEX(Dataset3_Raw!$E$2:$E$391,$E23))</f>
        <v>1</v>
      </c>
      <c r="J23" s="23">
        <f>IF($C23&gt;0,INDEX(Merge_1_2!$F$2:$F$611,$C23),INDEX(Dataset3_Raw!$F$2:$F$391,$E23))</f>
        <v>21</v>
      </c>
      <c r="K23" s="23" t="b">
        <f>IF($C23&gt;0,INDEX(Merge_1_2!$G$2:$G$611,$C23),INDEX(Dataset3_Raw!$G$2:$G$391,$E23))</f>
        <v>0</v>
      </c>
      <c r="L23" s="23">
        <f>IF($C23&gt;0,INDEX(Merge_1_2!$H$2:$H$611,$C23),INDEX(Dataset3_Raw!$H$2:$H$391,$E23))</f>
        <v>6</v>
      </c>
      <c r="M23" s="23">
        <f>IF($C23&gt;0,INDEX(Merge_1_2!$I$2:$I$611,$C23),INDEX(Dataset3_Raw!$I$2:$I$391,$E23))</f>
        <v>2</v>
      </c>
      <c r="N23" s="25">
        <f>IF($C23&gt;0,INDEX(Merge_1_2!$J$2:$J$611,$C23),INDEX(Dataset3_Raw!$J$2:$J$391,$E23))</f>
        <v>0.4</v>
      </c>
      <c r="O23" s="25">
        <f>IF($C23&gt;0,IF(ISNUMBER(INDEX(Merge_1_2!$K$2:$K$611,$C23)),INDEX(Merge_1_2!$K$2:$K$611,$C23),""),INDEX(Dataset3_Raw!$K$2:$K$391,$E23))</f>
        <v>0.40910000000000002</v>
      </c>
      <c r="P23" s="25">
        <f>IF(ISNUMBER($O23),$O23,ROUND(Lookups!$B$25+Lookups!$B$24*$N23,4))</f>
        <v>0.40910000000000002</v>
      </c>
      <c r="Q23" s="25">
        <f>IF($C23&gt;0,INDEX(Merge_1_2!$L$2:$L$611,$C23),INDEX(Dataset3_Raw!$L$2:$L$391,$E23))</f>
        <v>0.87</v>
      </c>
      <c r="R23" s="25">
        <f>IF($C23&gt;0,INDEX(Merge_1_2!$M$2:$M$611,$C23),INDEX(Dataset3_Raw!$M$2:$M$391,$E23))</f>
        <v>0.19400000000000001</v>
      </c>
      <c r="S23" s="23">
        <f>IF($C23&gt;0,INDEX(Merge_1_2!$N$2:$N$611,$C23),INDEX(Dataset3_Raw!$N$2:$N$391,$E23))</f>
        <v>3</v>
      </c>
      <c r="T23" s="23">
        <f>IF($C23&gt;0,INDEX(Merge_1_2!$O$2:$O$611,$C23),INDEX(Dataset3_Raw!$O$2:$O$391,$E23))</f>
        <v>31</v>
      </c>
      <c r="U23" s="23">
        <f>IF($C23&gt;0,INDEX(Merge_1_2!$P$2:$P$611,$C23),INDEX(Dataset3_Raw!$P$2:$P$391,$E23))</f>
        <v>34</v>
      </c>
      <c r="V23" s="23" t="str">
        <f t="shared" si="1"/>
        <v>Weekend</v>
      </c>
      <c r="W23" s="23" t="str">
        <f>VLOOKUP($M23,Lookups!$A$5:$B$8,2,FALSE())</f>
        <v>Mist / Cloudy</v>
      </c>
      <c r="X23" s="23" t="str">
        <f>VLOOKUP($G23,Lookups!$D$5:$E$8,2,FALSE())</f>
        <v>Winter</v>
      </c>
      <c r="Y23" s="23" t="str">
        <f>VLOOKUP($L23,Lookups!$G$5:$H$11,2,FALSE())</f>
        <v>Saturday</v>
      </c>
      <c r="Z23" s="23" t="str">
        <f>IF($J23&lt;Lookups!$B$26,"Night",IF($J23&lt;Lookups!$B$27,"Morning",IF($J23&lt;Lookups!$B$28,"Afternoon","Evening")))</f>
        <v>Evening</v>
      </c>
      <c r="AA23" s="26">
        <f>ROUND($N23*(Lookups!$B$16-Lookups!$B$15)+Lookups!$B$15,1)</f>
        <v>10.8</v>
      </c>
      <c r="AB23" s="26">
        <f>ROUND($P23*(Lookups!$B$18-Lookups!$B$17)+Lookups!$B$17,1)</f>
        <v>11</v>
      </c>
      <c r="AC23" s="23">
        <f t="shared" si="2"/>
        <v>87</v>
      </c>
      <c r="AD23" s="23">
        <f>ROUND($R23*Lookups!$B$19,1)</f>
        <v>13</v>
      </c>
      <c r="AE23" s="27">
        <f t="shared" si="3"/>
        <v>0.91176470588235292</v>
      </c>
      <c r="AF23" s="23" t="str">
        <f>IF($U23&gt;=Lookups!$B$23,"High",IF($U23&gt;=Lookups!$B$22,"Medium","Low"))</f>
        <v>Medium</v>
      </c>
      <c r="AG23" s="23">
        <f>ROUND(IF($V23="Weekday",IF(INDEX(Hourly_Analysis!$D$5:$D$28,$J23+1)&gt;0,($U23-INDEX(Hourly_Analysis!$C$5:$C$28,$J23+1))/INDEX(Hourly_Analysis!$D$5:$D$28,$J23+1),0),IF(INDEX(Hourly_Analysis!$G$5:$G$28,$J23+1)&gt;0,($U23-INDEX(Hourly_Analysis!$F$5:$F$28,$J23+1))/INDEX(Hourly_Analysis!$G$5:$G$28,$J23+1),0)),2)</f>
        <v>-0.21</v>
      </c>
      <c r="AH23" s="23" t="str">
        <f>IF(ABS($AG23)&gt;Lookups!$B$20,IF($AG23&gt;0,"High anomaly","Low anomaly"),"")</f>
        <v/>
      </c>
      <c r="AI23" s="23" t="str">
        <f t="shared" si="4"/>
        <v>OK</v>
      </c>
      <c r="AJ23" s="23" t="str">
        <f t="shared" si="5"/>
        <v>No</v>
      </c>
    </row>
    <row r="24" spans="1:36" x14ac:dyDescent="0.35">
      <c r="A24" s="23">
        <v>23</v>
      </c>
      <c r="B24" s="23" t="str">
        <f t="shared" si="0"/>
        <v>Merge 1+2</v>
      </c>
      <c r="C24" s="23">
        <f>IFERROR(MATCH($A24,Merge_1_2!$A$2:$A$611,0),0)</f>
        <v>23</v>
      </c>
      <c r="D24" s="23">
        <f>IF($C24&gt;0,INDEX(Merge_1_2!$Q$2:$Q$611,$C24),0)</f>
        <v>23</v>
      </c>
      <c r="E24" s="23">
        <f>IFERROR(MATCH($A24,Dataset3_Raw!$A$2:$A$391,0),0)</f>
        <v>0</v>
      </c>
      <c r="F24" s="24">
        <f>IF($C24&gt;0,INDEX(Merge_1_2!$B$2:$B$611,$C24),DATE(VALUE(RIGHT(INDEX(Dataset3_Raw!$B$2:$B$391,$E24),4)),VALUE(MID(INDEX(Dataset3_Raw!$B$2:$B$391,$E24),4,2)),VALUE(LEFT(INDEX(Dataset3_Raw!$B$2:$B$391,$E24),2))))</f>
        <v>40544</v>
      </c>
      <c r="G24" s="23">
        <f>IF($C24&gt;0,INDEX(Merge_1_2!$C$2:$C$611,$C24),INDEX(Dataset3_Raw!$C$2:$C$391,$E24))</f>
        <v>1</v>
      </c>
      <c r="H24" s="23">
        <f>IF($C24&gt;0,INDEX(Merge_1_2!$D$2:$D$611,$C24),INDEX(Dataset3_Raw!$D$2:$D$391,$E24))</f>
        <v>0</v>
      </c>
      <c r="I24" s="23">
        <f>IF($C24&gt;0,INDEX(Merge_1_2!$E$2:$E$611,$C24),INDEX(Dataset3_Raw!$E$2:$E$391,$E24))</f>
        <v>1</v>
      </c>
      <c r="J24" s="23">
        <f>IF($C24&gt;0,INDEX(Merge_1_2!$F$2:$F$611,$C24),INDEX(Dataset3_Raw!$F$2:$F$391,$E24))</f>
        <v>22</v>
      </c>
      <c r="K24" s="23" t="b">
        <f>IF($C24&gt;0,INDEX(Merge_1_2!$G$2:$G$611,$C24),INDEX(Dataset3_Raw!$G$2:$G$391,$E24))</f>
        <v>0</v>
      </c>
      <c r="L24" s="23">
        <f>IF($C24&gt;0,INDEX(Merge_1_2!$H$2:$H$611,$C24),INDEX(Dataset3_Raw!$H$2:$H$391,$E24))</f>
        <v>6</v>
      </c>
      <c r="M24" s="23">
        <f>IF($C24&gt;0,INDEX(Merge_1_2!$I$2:$I$611,$C24),INDEX(Dataset3_Raw!$I$2:$I$391,$E24))</f>
        <v>2</v>
      </c>
      <c r="N24" s="25">
        <f>IF($C24&gt;0,INDEX(Merge_1_2!$J$2:$J$611,$C24),INDEX(Dataset3_Raw!$J$2:$J$391,$E24))</f>
        <v>0.4</v>
      </c>
      <c r="O24" s="25">
        <f>IF($C24&gt;0,IF(ISNUMBER(INDEX(Merge_1_2!$K$2:$K$611,$C24)),INDEX(Merge_1_2!$K$2:$K$611,$C24),""),INDEX(Dataset3_Raw!$K$2:$K$391,$E24))</f>
        <v>0.40910000000000002</v>
      </c>
      <c r="P24" s="25">
        <f>IF(ISNUMBER($O24),$O24,ROUND(Lookups!$B$25+Lookups!$B$24*$N24,4))</f>
        <v>0.40910000000000002</v>
      </c>
      <c r="Q24" s="25">
        <f>IF($C24&gt;0,INDEX(Merge_1_2!$L$2:$L$611,$C24),INDEX(Dataset3_Raw!$L$2:$L$391,$E24))</f>
        <v>0.94</v>
      </c>
      <c r="R24" s="25">
        <f>IF($C24&gt;0,INDEX(Merge_1_2!$M$2:$M$611,$C24),INDEX(Dataset3_Raw!$M$2:$M$391,$E24))</f>
        <v>0.22389999999999999</v>
      </c>
      <c r="S24" s="23">
        <f>IF($C24&gt;0,INDEX(Merge_1_2!$N$2:$N$611,$C24),INDEX(Dataset3_Raw!$N$2:$N$391,$E24))</f>
        <v>11</v>
      </c>
      <c r="T24" s="23">
        <f>IF($C24&gt;0,INDEX(Merge_1_2!$O$2:$O$611,$C24),INDEX(Dataset3_Raw!$O$2:$O$391,$E24))</f>
        <v>17</v>
      </c>
      <c r="U24" s="23">
        <f>IF($C24&gt;0,INDEX(Merge_1_2!$P$2:$P$611,$C24),INDEX(Dataset3_Raw!$P$2:$P$391,$E24))</f>
        <v>28</v>
      </c>
      <c r="V24" s="23" t="str">
        <f t="shared" si="1"/>
        <v>Weekend</v>
      </c>
      <c r="W24" s="23" t="str">
        <f>VLOOKUP($M24,Lookups!$A$5:$B$8,2,FALSE())</f>
        <v>Mist / Cloudy</v>
      </c>
      <c r="X24" s="23" t="str">
        <f>VLOOKUP($G24,Lookups!$D$5:$E$8,2,FALSE())</f>
        <v>Winter</v>
      </c>
      <c r="Y24" s="23" t="str">
        <f>VLOOKUP($L24,Lookups!$G$5:$H$11,2,FALSE())</f>
        <v>Saturday</v>
      </c>
      <c r="Z24" s="23" t="str">
        <f>IF($J24&lt;Lookups!$B$26,"Night",IF($J24&lt;Lookups!$B$27,"Morning",IF($J24&lt;Lookups!$B$28,"Afternoon","Evening")))</f>
        <v>Evening</v>
      </c>
      <c r="AA24" s="26">
        <f>ROUND($N24*(Lookups!$B$16-Lookups!$B$15)+Lookups!$B$15,1)</f>
        <v>10.8</v>
      </c>
      <c r="AB24" s="26">
        <f>ROUND($P24*(Lookups!$B$18-Lookups!$B$17)+Lookups!$B$17,1)</f>
        <v>11</v>
      </c>
      <c r="AC24" s="23">
        <f t="shared" si="2"/>
        <v>94</v>
      </c>
      <c r="AD24" s="23">
        <f>ROUND($R24*Lookups!$B$19,1)</f>
        <v>15</v>
      </c>
      <c r="AE24" s="27">
        <f t="shared" si="3"/>
        <v>0.6071428571428571</v>
      </c>
      <c r="AF24" s="23" t="str">
        <f>IF($U24&gt;=Lookups!$B$23,"High",IF($U24&gt;=Lookups!$B$22,"Medium","Low"))</f>
        <v>Medium</v>
      </c>
      <c r="AG24" s="23">
        <f>ROUND(IF($V24="Weekday",IF(INDEX(Hourly_Analysis!$D$5:$D$28,$J24+1)&gt;0,($U24-INDEX(Hourly_Analysis!$C$5:$C$28,$J24+1))/INDEX(Hourly_Analysis!$D$5:$D$28,$J24+1),0),IF(INDEX(Hourly_Analysis!$G$5:$G$28,$J24+1)&gt;0,($U24-INDEX(Hourly_Analysis!$F$5:$F$28,$J24+1))/INDEX(Hourly_Analysis!$G$5:$G$28,$J24+1),0)),2)</f>
        <v>-0.12</v>
      </c>
      <c r="AH24" s="23" t="str">
        <f>IF(ABS($AG24)&gt;Lookups!$B$20,IF($AG24&gt;0,"High anomaly","Low anomaly"),"")</f>
        <v/>
      </c>
      <c r="AI24" s="23" t="str">
        <f t="shared" si="4"/>
        <v>OK</v>
      </c>
      <c r="AJ24" s="23" t="str">
        <f t="shared" si="5"/>
        <v>No</v>
      </c>
    </row>
    <row r="25" spans="1:36" x14ac:dyDescent="0.35">
      <c r="A25" s="23">
        <v>24</v>
      </c>
      <c r="B25" s="23" t="str">
        <f t="shared" si="0"/>
        <v>Merge 1+2</v>
      </c>
      <c r="C25" s="23">
        <f>IFERROR(MATCH($A25,Merge_1_2!$A$2:$A$611,0),0)</f>
        <v>24</v>
      </c>
      <c r="D25" s="23">
        <f>IF($C25&gt;0,INDEX(Merge_1_2!$Q$2:$Q$611,$C25),0)</f>
        <v>24</v>
      </c>
      <c r="E25" s="23">
        <f>IFERROR(MATCH($A25,Dataset3_Raw!$A$2:$A$391,0),0)</f>
        <v>0</v>
      </c>
      <c r="F25" s="24">
        <f>IF($C25&gt;0,INDEX(Merge_1_2!$B$2:$B$611,$C25),DATE(VALUE(RIGHT(INDEX(Dataset3_Raw!$B$2:$B$391,$E25),4)),VALUE(MID(INDEX(Dataset3_Raw!$B$2:$B$391,$E25),4,2)),VALUE(LEFT(INDEX(Dataset3_Raw!$B$2:$B$391,$E25),2))))</f>
        <v>40544</v>
      </c>
      <c r="G25" s="23">
        <f>IF($C25&gt;0,INDEX(Merge_1_2!$C$2:$C$611,$C25),INDEX(Dataset3_Raw!$C$2:$C$391,$E25))</f>
        <v>1</v>
      </c>
      <c r="H25" s="23">
        <f>IF($C25&gt;0,INDEX(Merge_1_2!$D$2:$D$611,$C25),INDEX(Dataset3_Raw!$D$2:$D$391,$E25))</f>
        <v>0</v>
      </c>
      <c r="I25" s="23">
        <f>IF($C25&gt;0,INDEX(Merge_1_2!$E$2:$E$611,$C25),INDEX(Dataset3_Raw!$E$2:$E$391,$E25))</f>
        <v>1</v>
      </c>
      <c r="J25" s="23">
        <f>IF($C25&gt;0,INDEX(Merge_1_2!$F$2:$F$611,$C25),INDEX(Dataset3_Raw!$F$2:$F$391,$E25))</f>
        <v>23</v>
      </c>
      <c r="K25" s="23" t="b">
        <f>IF($C25&gt;0,INDEX(Merge_1_2!$G$2:$G$611,$C25),INDEX(Dataset3_Raw!$G$2:$G$391,$E25))</f>
        <v>0</v>
      </c>
      <c r="L25" s="23">
        <f>IF($C25&gt;0,INDEX(Merge_1_2!$H$2:$H$611,$C25),INDEX(Dataset3_Raw!$H$2:$H$391,$E25))</f>
        <v>6</v>
      </c>
      <c r="M25" s="23">
        <f>IF($C25&gt;0,INDEX(Merge_1_2!$I$2:$I$611,$C25),INDEX(Dataset3_Raw!$I$2:$I$391,$E25))</f>
        <v>2</v>
      </c>
      <c r="N25" s="25">
        <f>IF($C25&gt;0,INDEX(Merge_1_2!$J$2:$J$611,$C25),INDEX(Dataset3_Raw!$J$2:$J$391,$E25))</f>
        <v>0.46</v>
      </c>
      <c r="O25" s="25" t="str">
        <f>IF($C25&gt;0,IF(ISNUMBER(INDEX(Merge_1_2!$K$2:$K$611,$C25)),INDEX(Merge_1_2!$K$2:$K$611,$C25),""),INDEX(Dataset3_Raw!$K$2:$K$391,$E25))</f>
        <v/>
      </c>
      <c r="P25" s="25">
        <f>IF(ISNUMBER($O25),$O25,ROUND(Lookups!$B$25+Lookups!$B$24*$N25,4))</f>
        <v>0.44640000000000002</v>
      </c>
      <c r="Q25" s="25">
        <f>IF($C25&gt;0,INDEX(Merge_1_2!$L$2:$L$611,$C25),INDEX(Dataset3_Raw!$L$2:$L$391,$E25))</f>
        <v>0.88</v>
      </c>
      <c r="R25" s="25">
        <f>IF($C25&gt;0,INDEX(Merge_1_2!$M$2:$M$611,$C25),INDEX(Dataset3_Raw!$M$2:$M$391,$E25))</f>
        <v>0.29849999999999999</v>
      </c>
      <c r="S25" s="23">
        <f>IF($C25&gt;0,INDEX(Merge_1_2!$N$2:$N$611,$C25),INDEX(Dataset3_Raw!$N$2:$N$391,$E25))</f>
        <v>15</v>
      </c>
      <c r="T25" s="23">
        <f>IF($C25&gt;0,INDEX(Merge_1_2!$O$2:$O$611,$C25),INDEX(Dataset3_Raw!$O$2:$O$391,$E25))</f>
        <v>24</v>
      </c>
      <c r="U25" s="23">
        <f>IF($C25&gt;0,INDEX(Merge_1_2!$P$2:$P$611,$C25),INDEX(Dataset3_Raw!$P$2:$P$391,$E25))</f>
        <v>39</v>
      </c>
      <c r="V25" s="23" t="str">
        <f t="shared" si="1"/>
        <v>Weekend</v>
      </c>
      <c r="W25" s="23" t="str">
        <f>VLOOKUP($M25,Lookups!$A$5:$B$8,2,FALSE())</f>
        <v>Mist / Cloudy</v>
      </c>
      <c r="X25" s="23" t="str">
        <f>VLOOKUP($G25,Lookups!$D$5:$E$8,2,FALSE())</f>
        <v>Winter</v>
      </c>
      <c r="Y25" s="23" t="str">
        <f>VLOOKUP($L25,Lookups!$G$5:$H$11,2,FALSE())</f>
        <v>Saturday</v>
      </c>
      <c r="Z25" s="23" t="str">
        <f>IF($J25&lt;Lookups!$B$26,"Night",IF($J25&lt;Lookups!$B$27,"Morning",IF($J25&lt;Lookups!$B$28,"Afternoon","Evening")))</f>
        <v>Evening</v>
      </c>
      <c r="AA25" s="26">
        <f>ROUND($N25*(Lookups!$B$16-Lookups!$B$15)+Lookups!$B$15,1)</f>
        <v>13.6</v>
      </c>
      <c r="AB25" s="26">
        <f>ROUND($P25*(Lookups!$B$18-Lookups!$B$17)+Lookups!$B$17,1)</f>
        <v>13.5</v>
      </c>
      <c r="AC25" s="23">
        <f t="shared" si="2"/>
        <v>88</v>
      </c>
      <c r="AD25" s="23">
        <f>ROUND($R25*Lookups!$B$19,1)</f>
        <v>20</v>
      </c>
      <c r="AE25" s="27">
        <f t="shared" si="3"/>
        <v>0.61538461538461542</v>
      </c>
      <c r="AF25" s="23" t="str">
        <f>IF($U25&gt;=Lookups!$B$23,"High",IF($U25&gt;=Lookups!$B$22,"Medium","Low"))</f>
        <v>Medium</v>
      </c>
      <c r="AG25" s="23">
        <f>ROUND(IF($V25="Weekday",IF(INDEX(Hourly_Analysis!$D$5:$D$28,$J25+1)&gt;0,($U25-INDEX(Hourly_Analysis!$C$5:$C$28,$J25+1))/INDEX(Hourly_Analysis!$D$5:$D$28,$J25+1),0),IF(INDEX(Hourly_Analysis!$G$5:$G$28,$J25+1)&gt;0,($U25-INDEX(Hourly_Analysis!$F$5:$F$28,$J25+1))/INDEX(Hourly_Analysis!$G$5:$G$28,$J25+1),0)),2)</f>
        <v>0.83</v>
      </c>
      <c r="AH25" s="23" t="str">
        <f>IF(ABS($AG25)&gt;Lookups!$B$20,IF($AG25&gt;0,"High anomaly","Low anomaly"),"")</f>
        <v/>
      </c>
      <c r="AI25" s="23" t="str">
        <f t="shared" si="4"/>
        <v>OK</v>
      </c>
      <c r="AJ25" s="23" t="str">
        <f t="shared" si="5"/>
        <v>Yes</v>
      </c>
    </row>
    <row r="26" spans="1:36" x14ac:dyDescent="0.35">
      <c r="A26" s="23">
        <v>25</v>
      </c>
      <c r="B26" s="23" t="str">
        <f t="shared" si="0"/>
        <v>Merge 1+2</v>
      </c>
      <c r="C26" s="23">
        <f>IFERROR(MATCH($A26,Merge_1_2!$A$2:$A$611,0),0)</f>
        <v>25</v>
      </c>
      <c r="D26" s="23">
        <f>IF($C26&gt;0,INDEX(Merge_1_2!$Q$2:$Q$611,$C26),0)</f>
        <v>25</v>
      </c>
      <c r="E26" s="23">
        <f>IFERROR(MATCH($A26,Dataset3_Raw!$A$2:$A$391,0),0)</f>
        <v>0</v>
      </c>
      <c r="F26" s="24">
        <f>IF($C26&gt;0,INDEX(Merge_1_2!$B$2:$B$611,$C26),DATE(VALUE(RIGHT(INDEX(Dataset3_Raw!$B$2:$B$391,$E26),4)),VALUE(MID(INDEX(Dataset3_Raw!$B$2:$B$391,$E26),4,2)),VALUE(LEFT(INDEX(Dataset3_Raw!$B$2:$B$391,$E26),2))))</f>
        <v>40545</v>
      </c>
      <c r="G26" s="23">
        <f>IF($C26&gt;0,INDEX(Merge_1_2!$C$2:$C$611,$C26),INDEX(Dataset3_Raw!$C$2:$C$391,$E26))</f>
        <v>1</v>
      </c>
      <c r="H26" s="23">
        <f>IF($C26&gt;0,INDEX(Merge_1_2!$D$2:$D$611,$C26),INDEX(Dataset3_Raw!$D$2:$D$391,$E26))</f>
        <v>0</v>
      </c>
      <c r="I26" s="23">
        <f>IF($C26&gt;0,INDEX(Merge_1_2!$E$2:$E$611,$C26),INDEX(Dataset3_Raw!$E$2:$E$391,$E26))</f>
        <v>1</v>
      </c>
      <c r="J26" s="23">
        <f>IF($C26&gt;0,INDEX(Merge_1_2!$F$2:$F$611,$C26),INDEX(Dataset3_Raw!$F$2:$F$391,$E26))</f>
        <v>0</v>
      </c>
      <c r="K26" s="23" t="b">
        <f>IF($C26&gt;0,INDEX(Merge_1_2!$G$2:$G$611,$C26),INDEX(Dataset3_Raw!$G$2:$G$391,$E26))</f>
        <v>0</v>
      </c>
      <c r="L26" s="23">
        <f>IF($C26&gt;0,INDEX(Merge_1_2!$H$2:$H$611,$C26),INDEX(Dataset3_Raw!$H$2:$H$391,$E26))</f>
        <v>0</v>
      </c>
      <c r="M26" s="23">
        <f>IF($C26&gt;0,INDEX(Merge_1_2!$I$2:$I$611,$C26),INDEX(Dataset3_Raw!$I$2:$I$391,$E26))</f>
        <v>2</v>
      </c>
      <c r="N26" s="25">
        <f>IF($C26&gt;0,INDEX(Merge_1_2!$J$2:$J$611,$C26),INDEX(Dataset3_Raw!$J$2:$J$391,$E26))</f>
        <v>0.46</v>
      </c>
      <c r="O26" s="25">
        <f>IF($C26&gt;0,IF(ISNUMBER(INDEX(Merge_1_2!$K$2:$K$611,$C26)),INDEX(Merge_1_2!$K$2:$K$611,$C26),""),INDEX(Dataset3_Raw!$K$2:$K$391,$E26))</f>
        <v>0.45450000000000002</v>
      </c>
      <c r="P26" s="25">
        <f>IF(ISNUMBER($O26),$O26,ROUND(Lookups!$B$25+Lookups!$B$24*$N26,4))</f>
        <v>0.45450000000000002</v>
      </c>
      <c r="Q26" s="25">
        <f>IF($C26&gt;0,INDEX(Merge_1_2!$L$2:$L$611,$C26),INDEX(Dataset3_Raw!$L$2:$L$391,$E26))</f>
        <v>0.88</v>
      </c>
      <c r="R26" s="25">
        <f>IF($C26&gt;0,INDEX(Merge_1_2!$M$2:$M$611,$C26),INDEX(Dataset3_Raw!$M$2:$M$391,$E26))</f>
        <v>0.29849999999999999</v>
      </c>
      <c r="S26" s="23">
        <f>IF($C26&gt;0,INDEX(Merge_1_2!$N$2:$N$611,$C26),INDEX(Dataset3_Raw!$N$2:$N$391,$E26))</f>
        <v>4</v>
      </c>
      <c r="T26" s="23">
        <f>IF($C26&gt;0,INDEX(Merge_1_2!$O$2:$O$611,$C26),INDEX(Dataset3_Raw!$O$2:$O$391,$E26))</f>
        <v>13</v>
      </c>
      <c r="U26" s="23">
        <f>IF($C26&gt;0,INDEX(Merge_1_2!$P$2:$P$611,$C26),INDEX(Dataset3_Raw!$P$2:$P$391,$E26))</f>
        <v>17</v>
      </c>
      <c r="V26" s="23" t="str">
        <f t="shared" si="1"/>
        <v>Weekend</v>
      </c>
      <c r="W26" s="23" t="str">
        <f>VLOOKUP($M26,Lookups!$A$5:$B$8,2,FALSE())</f>
        <v>Mist / Cloudy</v>
      </c>
      <c r="X26" s="23" t="str">
        <f>VLOOKUP($G26,Lookups!$D$5:$E$8,2,FALSE())</f>
        <v>Winter</v>
      </c>
      <c r="Y26" s="23" t="str">
        <f>VLOOKUP($L26,Lookups!$G$5:$H$11,2,FALSE())</f>
        <v>Sunday</v>
      </c>
      <c r="Z26" s="23" t="str">
        <f>IF($J26&lt;Lookups!$B$26,"Night",IF($J26&lt;Lookups!$B$27,"Morning",IF($J26&lt;Lookups!$B$28,"Afternoon","Evening")))</f>
        <v>Night</v>
      </c>
      <c r="AA26" s="26">
        <f>ROUND($N26*(Lookups!$B$16-Lookups!$B$15)+Lookups!$B$15,1)</f>
        <v>13.6</v>
      </c>
      <c r="AB26" s="26">
        <f>ROUND($P26*(Lookups!$B$18-Lookups!$B$17)+Lookups!$B$17,1)</f>
        <v>14</v>
      </c>
      <c r="AC26" s="23">
        <f t="shared" si="2"/>
        <v>88</v>
      </c>
      <c r="AD26" s="23">
        <f>ROUND($R26*Lookups!$B$19,1)</f>
        <v>20</v>
      </c>
      <c r="AE26" s="27">
        <f t="shared" si="3"/>
        <v>0.76470588235294112</v>
      </c>
      <c r="AF26" s="23" t="str">
        <f>IF($U26&gt;=Lookups!$B$23,"High",IF($U26&gt;=Lookups!$B$22,"Medium","Low"))</f>
        <v>Medium</v>
      </c>
      <c r="AG26" s="23">
        <f>ROUND(IF($V26="Weekday",IF(INDEX(Hourly_Analysis!$D$5:$D$28,$J26+1)&gt;0,($U26-INDEX(Hourly_Analysis!$C$5:$C$28,$J26+1))/INDEX(Hourly_Analysis!$D$5:$D$28,$J26+1),0),IF(INDEX(Hourly_Analysis!$G$5:$G$28,$J26+1)&gt;0,($U26-INDEX(Hourly_Analysis!$F$5:$F$28,$J26+1))/INDEX(Hourly_Analysis!$G$5:$G$28,$J26+1),0)),2)</f>
        <v>-1.1299999999999999</v>
      </c>
      <c r="AH26" s="23" t="str">
        <f>IF(ABS($AG26)&gt;Lookups!$B$20,IF($AG26&gt;0,"High anomaly","Low anomaly"),"")</f>
        <v/>
      </c>
      <c r="AI26" s="23" t="str">
        <f t="shared" si="4"/>
        <v>OK</v>
      </c>
      <c r="AJ26" s="23" t="str">
        <f t="shared" si="5"/>
        <v>No</v>
      </c>
    </row>
    <row r="27" spans="1:36" x14ac:dyDescent="0.35">
      <c r="A27" s="23">
        <v>26</v>
      </c>
      <c r="B27" s="23" t="str">
        <f t="shared" si="0"/>
        <v>Merge 1+2</v>
      </c>
      <c r="C27" s="23">
        <f>IFERROR(MATCH($A27,Merge_1_2!$A$2:$A$611,0),0)</f>
        <v>26</v>
      </c>
      <c r="D27" s="23">
        <f>IF($C27&gt;0,INDEX(Merge_1_2!$Q$2:$Q$611,$C27),0)</f>
        <v>26</v>
      </c>
      <c r="E27" s="23">
        <f>IFERROR(MATCH($A27,Dataset3_Raw!$A$2:$A$391,0),0)</f>
        <v>0</v>
      </c>
      <c r="F27" s="24">
        <f>IF($C27&gt;0,INDEX(Merge_1_2!$B$2:$B$611,$C27),DATE(VALUE(RIGHT(INDEX(Dataset3_Raw!$B$2:$B$391,$E27),4)),VALUE(MID(INDEX(Dataset3_Raw!$B$2:$B$391,$E27),4,2)),VALUE(LEFT(INDEX(Dataset3_Raw!$B$2:$B$391,$E27),2))))</f>
        <v>40545</v>
      </c>
      <c r="G27" s="23">
        <f>IF($C27&gt;0,INDEX(Merge_1_2!$C$2:$C$611,$C27),INDEX(Dataset3_Raw!$C$2:$C$391,$E27))</f>
        <v>1</v>
      </c>
      <c r="H27" s="23">
        <f>IF($C27&gt;0,INDEX(Merge_1_2!$D$2:$D$611,$C27),INDEX(Dataset3_Raw!$D$2:$D$391,$E27))</f>
        <v>0</v>
      </c>
      <c r="I27" s="23">
        <f>IF($C27&gt;0,INDEX(Merge_1_2!$E$2:$E$611,$C27),INDEX(Dataset3_Raw!$E$2:$E$391,$E27))</f>
        <v>1</v>
      </c>
      <c r="J27" s="23">
        <f>IF($C27&gt;0,INDEX(Merge_1_2!$F$2:$F$611,$C27),INDEX(Dataset3_Raw!$F$2:$F$391,$E27))</f>
        <v>1</v>
      </c>
      <c r="K27" s="23" t="b">
        <f>IF($C27&gt;0,INDEX(Merge_1_2!$G$2:$G$611,$C27),INDEX(Dataset3_Raw!$G$2:$G$391,$E27))</f>
        <v>0</v>
      </c>
      <c r="L27" s="23">
        <f>IF($C27&gt;0,INDEX(Merge_1_2!$H$2:$H$611,$C27),INDEX(Dataset3_Raw!$H$2:$H$391,$E27))</f>
        <v>0</v>
      </c>
      <c r="M27" s="23">
        <f>IF($C27&gt;0,INDEX(Merge_1_2!$I$2:$I$611,$C27),INDEX(Dataset3_Raw!$I$2:$I$391,$E27))</f>
        <v>2</v>
      </c>
      <c r="N27" s="25">
        <f>IF($C27&gt;0,INDEX(Merge_1_2!$J$2:$J$611,$C27),INDEX(Dataset3_Raw!$J$2:$J$391,$E27))</f>
        <v>0.44</v>
      </c>
      <c r="O27" s="25">
        <f>IF($C27&gt;0,IF(ISNUMBER(INDEX(Merge_1_2!$K$2:$K$611,$C27)),INDEX(Merge_1_2!$K$2:$K$611,$C27),""),INDEX(Dataset3_Raw!$K$2:$K$391,$E27))</f>
        <v>0.43940000000000001</v>
      </c>
      <c r="P27" s="25">
        <f>IF(ISNUMBER($O27),$O27,ROUND(Lookups!$B$25+Lookups!$B$24*$N27,4))</f>
        <v>0.43940000000000001</v>
      </c>
      <c r="Q27" s="25">
        <f>IF($C27&gt;0,INDEX(Merge_1_2!$L$2:$L$611,$C27),INDEX(Dataset3_Raw!$L$2:$L$391,$E27))</f>
        <v>0.94</v>
      </c>
      <c r="R27" s="25">
        <f>IF($C27&gt;0,INDEX(Merge_1_2!$M$2:$M$611,$C27),INDEX(Dataset3_Raw!$M$2:$M$391,$E27))</f>
        <v>0.25369999999999998</v>
      </c>
      <c r="S27" s="23">
        <f>IF($C27&gt;0,INDEX(Merge_1_2!$N$2:$N$611,$C27),INDEX(Dataset3_Raw!$N$2:$N$391,$E27))</f>
        <v>1</v>
      </c>
      <c r="T27" s="23">
        <f>IF($C27&gt;0,INDEX(Merge_1_2!$O$2:$O$611,$C27),INDEX(Dataset3_Raw!$O$2:$O$391,$E27))</f>
        <v>16</v>
      </c>
      <c r="U27" s="23">
        <f>IF($C27&gt;0,INDEX(Merge_1_2!$P$2:$P$611,$C27),INDEX(Dataset3_Raw!$P$2:$P$391,$E27))</f>
        <v>17</v>
      </c>
      <c r="V27" s="23" t="str">
        <f t="shared" si="1"/>
        <v>Weekend</v>
      </c>
      <c r="W27" s="23" t="str">
        <f>VLOOKUP($M27,Lookups!$A$5:$B$8,2,FALSE())</f>
        <v>Mist / Cloudy</v>
      </c>
      <c r="X27" s="23" t="str">
        <f>VLOOKUP($G27,Lookups!$D$5:$E$8,2,FALSE())</f>
        <v>Winter</v>
      </c>
      <c r="Y27" s="23" t="str">
        <f>VLOOKUP($L27,Lookups!$G$5:$H$11,2,FALSE())</f>
        <v>Sunday</v>
      </c>
      <c r="Z27" s="23" t="str">
        <f>IF($J27&lt;Lookups!$B$26,"Night",IF($J27&lt;Lookups!$B$27,"Morning",IF($J27&lt;Lookups!$B$28,"Afternoon","Evening")))</f>
        <v>Night</v>
      </c>
      <c r="AA27" s="26">
        <f>ROUND($N27*(Lookups!$B$16-Lookups!$B$15)+Lookups!$B$15,1)</f>
        <v>12.7</v>
      </c>
      <c r="AB27" s="26">
        <f>ROUND($P27*(Lookups!$B$18-Lookups!$B$17)+Lookups!$B$17,1)</f>
        <v>13</v>
      </c>
      <c r="AC27" s="23">
        <f t="shared" si="2"/>
        <v>94</v>
      </c>
      <c r="AD27" s="23">
        <f>ROUND($R27*Lookups!$B$19,1)</f>
        <v>17</v>
      </c>
      <c r="AE27" s="27">
        <f t="shared" si="3"/>
        <v>0.94117647058823528</v>
      </c>
      <c r="AF27" s="23" t="str">
        <f>IF($U27&gt;=Lookups!$B$23,"High",IF($U27&gt;=Lookups!$B$22,"Medium","Low"))</f>
        <v>Medium</v>
      </c>
      <c r="AG27" s="23">
        <f>ROUND(IF($V27="Weekday",IF(INDEX(Hourly_Analysis!$D$5:$D$28,$J27+1)&gt;0,($U27-INDEX(Hourly_Analysis!$C$5:$C$28,$J27+1))/INDEX(Hourly_Analysis!$D$5:$D$28,$J27+1),0),IF(INDEX(Hourly_Analysis!$G$5:$G$28,$J27+1)&gt;0,($U27-INDEX(Hourly_Analysis!$F$5:$F$28,$J27+1))/INDEX(Hourly_Analysis!$G$5:$G$28,$J27+1),0)),2)</f>
        <v>-0.51</v>
      </c>
      <c r="AH27" s="23" t="str">
        <f>IF(ABS($AG27)&gt;Lookups!$B$20,IF($AG27&gt;0,"High anomaly","Low anomaly"),"")</f>
        <v/>
      </c>
      <c r="AI27" s="23" t="str">
        <f t="shared" si="4"/>
        <v>OK</v>
      </c>
      <c r="AJ27" s="23" t="str">
        <f t="shared" si="5"/>
        <v>No</v>
      </c>
    </row>
    <row r="28" spans="1:36" x14ac:dyDescent="0.35">
      <c r="A28" s="23">
        <v>27</v>
      </c>
      <c r="B28" s="23" t="str">
        <f t="shared" si="0"/>
        <v>Merge 1+2</v>
      </c>
      <c r="C28" s="23">
        <f>IFERROR(MATCH($A28,Merge_1_2!$A$2:$A$611,0),0)</f>
        <v>27</v>
      </c>
      <c r="D28" s="23">
        <f>IF($C28&gt;0,INDEX(Merge_1_2!$Q$2:$Q$611,$C28),0)</f>
        <v>27</v>
      </c>
      <c r="E28" s="23">
        <f>IFERROR(MATCH($A28,Dataset3_Raw!$A$2:$A$391,0),0)</f>
        <v>0</v>
      </c>
      <c r="F28" s="24">
        <f>IF($C28&gt;0,INDEX(Merge_1_2!$B$2:$B$611,$C28),DATE(VALUE(RIGHT(INDEX(Dataset3_Raw!$B$2:$B$391,$E28),4)),VALUE(MID(INDEX(Dataset3_Raw!$B$2:$B$391,$E28),4,2)),VALUE(LEFT(INDEX(Dataset3_Raw!$B$2:$B$391,$E28),2))))</f>
        <v>40545</v>
      </c>
      <c r="G28" s="23">
        <f>IF($C28&gt;0,INDEX(Merge_1_2!$C$2:$C$611,$C28),INDEX(Dataset3_Raw!$C$2:$C$391,$E28))</f>
        <v>1</v>
      </c>
      <c r="H28" s="23">
        <f>IF($C28&gt;0,INDEX(Merge_1_2!$D$2:$D$611,$C28),INDEX(Dataset3_Raw!$D$2:$D$391,$E28))</f>
        <v>0</v>
      </c>
      <c r="I28" s="23">
        <f>IF($C28&gt;0,INDEX(Merge_1_2!$E$2:$E$611,$C28),INDEX(Dataset3_Raw!$E$2:$E$391,$E28))</f>
        <v>1</v>
      </c>
      <c r="J28" s="23">
        <f>IF($C28&gt;0,INDEX(Merge_1_2!$F$2:$F$611,$C28),INDEX(Dataset3_Raw!$F$2:$F$391,$E28))</f>
        <v>2</v>
      </c>
      <c r="K28" s="23" t="b">
        <f>IF($C28&gt;0,INDEX(Merge_1_2!$G$2:$G$611,$C28),INDEX(Dataset3_Raw!$G$2:$G$391,$E28))</f>
        <v>0</v>
      </c>
      <c r="L28" s="23">
        <f>IF($C28&gt;0,INDEX(Merge_1_2!$H$2:$H$611,$C28),INDEX(Dataset3_Raw!$H$2:$H$391,$E28))</f>
        <v>0</v>
      </c>
      <c r="M28" s="23">
        <f>IF($C28&gt;0,INDEX(Merge_1_2!$I$2:$I$611,$C28),INDEX(Dataset3_Raw!$I$2:$I$391,$E28))</f>
        <v>2</v>
      </c>
      <c r="N28" s="25">
        <f>IF($C28&gt;0,INDEX(Merge_1_2!$J$2:$J$611,$C28),INDEX(Dataset3_Raw!$J$2:$J$391,$E28))</f>
        <v>0.42</v>
      </c>
      <c r="O28" s="25">
        <f>IF($C28&gt;0,IF(ISNUMBER(INDEX(Merge_1_2!$K$2:$K$611,$C28)),INDEX(Merge_1_2!$K$2:$K$611,$C28),""),INDEX(Dataset3_Raw!$K$2:$K$391,$E28))</f>
        <v>0.42420000000000002</v>
      </c>
      <c r="P28" s="25">
        <f>IF(ISNUMBER($O28),$O28,ROUND(Lookups!$B$25+Lookups!$B$24*$N28,4))</f>
        <v>0.42420000000000002</v>
      </c>
      <c r="Q28" s="25">
        <f>IF($C28&gt;0,INDEX(Merge_1_2!$L$2:$L$611,$C28),INDEX(Dataset3_Raw!$L$2:$L$391,$E28))</f>
        <v>1</v>
      </c>
      <c r="R28" s="25">
        <f>IF($C28&gt;0,INDEX(Merge_1_2!$M$2:$M$611,$C28),INDEX(Dataset3_Raw!$M$2:$M$391,$E28))</f>
        <v>0.28360000000000002</v>
      </c>
      <c r="S28" s="23">
        <f>IF($C28&gt;0,INDEX(Merge_1_2!$N$2:$N$611,$C28),INDEX(Dataset3_Raw!$N$2:$N$391,$E28))</f>
        <v>1</v>
      </c>
      <c r="T28" s="23">
        <f>IF($C28&gt;0,INDEX(Merge_1_2!$O$2:$O$611,$C28),INDEX(Dataset3_Raw!$O$2:$O$391,$E28))</f>
        <v>8</v>
      </c>
      <c r="U28" s="23">
        <f>IF($C28&gt;0,INDEX(Merge_1_2!$P$2:$P$611,$C28),INDEX(Dataset3_Raw!$P$2:$P$391,$E28))</f>
        <v>9</v>
      </c>
      <c r="V28" s="23" t="str">
        <f t="shared" si="1"/>
        <v>Weekend</v>
      </c>
      <c r="W28" s="23" t="str">
        <f>VLOOKUP($M28,Lookups!$A$5:$B$8,2,FALSE())</f>
        <v>Mist / Cloudy</v>
      </c>
      <c r="X28" s="23" t="str">
        <f>VLOOKUP($G28,Lookups!$D$5:$E$8,2,FALSE())</f>
        <v>Winter</v>
      </c>
      <c r="Y28" s="23" t="str">
        <f>VLOOKUP($L28,Lookups!$G$5:$H$11,2,FALSE())</f>
        <v>Sunday</v>
      </c>
      <c r="Z28" s="23" t="str">
        <f>IF($J28&lt;Lookups!$B$26,"Night",IF($J28&lt;Lookups!$B$27,"Morning",IF($J28&lt;Lookups!$B$28,"Afternoon","Evening")))</f>
        <v>Night</v>
      </c>
      <c r="AA28" s="26">
        <f>ROUND($N28*(Lookups!$B$16-Lookups!$B$15)+Lookups!$B$15,1)</f>
        <v>11.7</v>
      </c>
      <c r="AB28" s="26">
        <f>ROUND($P28*(Lookups!$B$18-Lookups!$B$17)+Lookups!$B$17,1)</f>
        <v>12</v>
      </c>
      <c r="AC28" s="23">
        <f t="shared" si="2"/>
        <v>100</v>
      </c>
      <c r="AD28" s="23">
        <f>ROUND($R28*Lookups!$B$19,1)</f>
        <v>19</v>
      </c>
      <c r="AE28" s="27">
        <f t="shared" si="3"/>
        <v>0.88888888888888884</v>
      </c>
      <c r="AF28" s="23" t="str">
        <f>IF($U28&gt;=Lookups!$B$23,"High",IF($U28&gt;=Lookups!$B$22,"Medium","Low"))</f>
        <v>Low</v>
      </c>
      <c r="AG28" s="23">
        <f>ROUND(IF($V28="Weekday",IF(INDEX(Hourly_Analysis!$D$5:$D$28,$J28+1)&gt;0,($U28-INDEX(Hourly_Analysis!$C$5:$C$28,$J28+1))/INDEX(Hourly_Analysis!$D$5:$D$28,$J28+1),0),IF(INDEX(Hourly_Analysis!$G$5:$G$28,$J28+1)&gt;0,($U28-INDEX(Hourly_Analysis!$F$5:$F$28,$J28+1))/INDEX(Hourly_Analysis!$G$5:$G$28,$J28+1),0)),2)</f>
        <v>-1.08</v>
      </c>
      <c r="AH28" s="23" t="str">
        <f>IF(ABS($AG28)&gt;Lookups!$B$20,IF($AG28&gt;0,"High anomaly","Low anomaly"),"")</f>
        <v/>
      </c>
      <c r="AI28" s="23" t="str">
        <f t="shared" si="4"/>
        <v>OK</v>
      </c>
      <c r="AJ28" s="23" t="str">
        <f t="shared" si="5"/>
        <v>No</v>
      </c>
    </row>
    <row r="29" spans="1:36" x14ac:dyDescent="0.35">
      <c r="A29" s="23">
        <v>28</v>
      </c>
      <c r="B29" s="23" t="str">
        <f t="shared" si="0"/>
        <v>Merge 1+2</v>
      </c>
      <c r="C29" s="23">
        <f>IFERROR(MATCH($A29,Merge_1_2!$A$2:$A$611,0),0)</f>
        <v>28</v>
      </c>
      <c r="D29" s="23">
        <f>IF($C29&gt;0,INDEX(Merge_1_2!$Q$2:$Q$611,$C29),0)</f>
        <v>28</v>
      </c>
      <c r="E29" s="23">
        <f>IFERROR(MATCH($A29,Dataset3_Raw!$A$2:$A$391,0),0)</f>
        <v>0</v>
      </c>
      <c r="F29" s="24">
        <f>IF($C29&gt;0,INDEX(Merge_1_2!$B$2:$B$611,$C29),DATE(VALUE(RIGHT(INDEX(Dataset3_Raw!$B$2:$B$391,$E29),4)),VALUE(MID(INDEX(Dataset3_Raw!$B$2:$B$391,$E29),4,2)),VALUE(LEFT(INDEX(Dataset3_Raw!$B$2:$B$391,$E29),2))))</f>
        <v>40545</v>
      </c>
      <c r="G29" s="23">
        <f>IF($C29&gt;0,INDEX(Merge_1_2!$C$2:$C$611,$C29),INDEX(Dataset3_Raw!$C$2:$C$391,$E29))</f>
        <v>1</v>
      </c>
      <c r="H29" s="23">
        <f>IF($C29&gt;0,INDEX(Merge_1_2!$D$2:$D$611,$C29),INDEX(Dataset3_Raw!$D$2:$D$391,$E29))</f>
        <v>0</v>
      </c>
      <c r="I29" s="23">
        <f>IF($C29&gt;0,INDEX(Merge_1_2!$E$2:$E$611,$C29),INDEX(Dataset3_Raw!$E$2:$E$391,$E29))</f>
        <v>1</v>
      </c>
      <c r="J29" s="23">
        <f>IF($C29&gt;0,INDEX(Merge_1_2!$F$2:$F$611,$C29),INDEX(Dataset3_Raw!$F$2:$F$391,$E29))</f>
        <v>3</v>
      </c>
      <c r="K29" s="23" t="b">
        <f>IF($C29&gt;0,INDEX(Merge_1_2!$G$2:$G$611,$C29),INDEX(Dataset3_Raw!$G$2:$G$391,$E29))</f>
        <v>0</v>
      </c>
      <c r="L29" s="23">
        <f>IF($C29&gt;0,INDEX(Merge_1_2!$H$2:$H$611,$C29),INDEX(Dataset3_Raw!$H$2:$H$391,$E29))</f>
        <v>0</v>
      </c>
      <c r="M29" s="23">
        <f>IF($C29&gt;0,INDEX(Merge_1_2!$I$2:$I$611,$C29),INDEX(Dataset3_Raw!$I$2:$I$391,$E29))</f>
        <v>2</v>
      </c>
      <c r="N29" s="25">
        <f>IF($C29&gt;0,INDEX(Merge_1_2!$J$2:$J$611,$C29),INDEX(Dataset3_Raw!$J$2:$J$391,$E29))</f>
        <v>0.46</v>
      </c>
      <c r="O29" s="25">
        <f>IF($C29&gt;0,IF(ISNUMBER(INDEX(Merge_1_2!$K$2:$K$611,$C29)),INDEX(Merge_1_2!$K$2:$K$611,$C29),""),INDEX(Dataset3_Raw!$K$2:$K$391,$E29))</f>
        <v>0.45450000000000002</v>
      </c>
      <c r="P29" s="25">
        <f>IF(ISNUMBER($O29),$O29,ROUND(Lookups!$B$25+Lookups!$B$24*$N29,4))</f>
        <v>0.45450000000000002</v>
      </c>
      <c r="Q29" s="25">
        <f>IF($C29&gt;0,INDEX(Merge_1_2!$L$2:$L$611,$C29),INDEX(Dataset3_Raw!$L$2:$L$391,$E29))</f>
        <v>0.94</v>
      </c>
      <c r="R29" s="25">
        <f>IF($C29&gt;0,INDEX(Merge_1_2!$M$2:$M$611,$C29),INDEX(Dataset3_Raw!$M$2:$M$391,$E29))</f>
        <v>0.19400000000000001</v>
      </c>
      <c r="S29" s="23">
        <f>IF($C29&gt;0,INDEX(Merge_1_2!$N$2:$N$611,$C29),INDEX(Dataset3_Raw!$N$2:$N$391,$E29))</f>
        <v>2</v>
      </c>
      <c r="T29" s="23">
        <f>IF($C29&gt;0,INDEX(Merge_1_2!$O$2:$O$611,$C29),INDEX(Dataset3_Raw!$O$2:$O$391,$E29))</f>
        <v>4</v>
      </c>
      <c r="U29" s="23">
        <f>IF($C29&gt;0,INDEX(Merge_1_2!$P$2:$P$611,$C29),INDEX(Dataset3_Raw!$P$2:$P$391,$E29))</f>
        <v>6</v>
      </c>
      <c r="V29" s="23" t="str">
        <f t="shared" si="1"/>
        <v>Weekend</v>
      </c>
      <c r="W29" s="23" t="str">
        <f>VLOOKUP($M29,Lookups!$A$5:$B$8,2,FALSE())</f>
        <v>Mist / Cloudy</v>
      </c>
      <c r="X29" s="23" t="str">
        <f>VLOOKUP($G29,Lookups!$D$5:$E$8,2,FALSE())</f>
        <v>Winter</v>
      </c>
      <c r="Y29" s="23" t="str">
        <f>VLOOKUP($L29,Lookups!$G$5:$H$11,2,FALSE())</f>
        <v>Sunday</v>
      </c>
      <c r="Z29" s="23" t="str">
        <f>IF($J29&lt;Lookups!$B$26,"Night",IF($J29&lt;Lookups!$B$27,"Morning",IF($J29&lt;Lookups!$B$28,"Afternoon","Evening")))</f>
        <v>Night</v>
      </c>
      <c r="AA29" s="26">
        <f>ROUND($N29*(Lookups!$B$16-Lookups!$B$15)+Lookups!$B$15,1)</f>
        <v>13.6</v>
      </c>
      <c r="AB29" s="26">
        <f>ROUND($P29*(Lookups!$B$18-Lookups!$B$17)+Lookups!$B$17,1)</f>
        <v>14</v>
      </c>
      <c r="AC29" s="23">
        <f t="shared" si="2"/>
        <v>94</v>
      </c>
      <c r="AD29" s="23">
        <f>ROUND($R29*Lookups!$B$19,1)</f>
        <v>13</v>
      </c>
      <c r="AE29" s="27">
        <f t="shared" si="3"/>
        <v>0.66666666666666663</v>
      </c>
      <c r="AF29" s="23" t="str">
        <f>IF($U29&gt;=Lookups!$B$23,"High",IF($U29&gt;=Lookups!$B$22,"Medium","Low"))</f>
        <v>Low</v>
      </c>
      <c r="AG29" s="23">
        <f>ROUND(IF($V29="Weekday",IF(INDEX(Hourly_Analysis!$D$5:$D$28,$J29+1)&gt;0,($U29-INDEX(Hourly_Analysis!$C$5:$C$28,$J29+1))/INDEX(Hourly_Analysis!$D$5:$D$28,$J29+1),0),IF(INDEX(Hourly_Analysis!$G$5:$G$28,$J29+1)&gt;0,($U29-INDEX(Hourly_Analysis!$F$5:$F$28,$J29+1))/INDEX(Hourly_Analysis!$G$5:$G$28,$J29+1),0)),2)</f>
        <v>-0.71</v>
      </c>
      <c r="AH29" s="23" t="str">
        <f>IF(ABS($AG29)&gt;Lookups!$B$20,IF($AG29&gt;0,"High anomaly","Low anomaly"),"")</f>
        <v/>
      </c>
      <c r="AI29" s="23" t="str">
        <f t="shared" si="4"/>
        <v>OK</v>
      </c>
      <c r="AJ29" s="23" t="str">
        <f t="shared" si="5"/>
        <v>No</v>
      </c>
    </row>
    <row r="30" spans="1:36" x14ac:dyDescent="0.35">
      <c r="A30" s="23">
        <v>29</v>
      </c>
      <c r="B30" s="23" t="str">
        <f t="shared" si="0"/>
        <v>Merge 1+2</v>
      </c>
      <c r="C30" s="23">
        <f>IFERROR(MATCH($A30,Merge_1_2!$A$2:$A$611,0),0)</f>
        <v>29</v>
      </c>
      <c r="D30" s="23">
        <f>IF($C30&gt;0,INDEX(Merge_1_2!$Q$2:$Q$611,$C30),0)</f>
        <v>29</v>
      </c>
      <c r="E30" s="23">
        <f>IFERROR(MATCH($A30,Dataset3_Raw!$A$2:$A$391,0),0)</f>
        <v>0</v>
      </c>
      <c r="F30" s="24">
        <f>IF($C30&gt;0,INDEX(Merge_1_2!$B$2:$B$611,$C30),DATE(VALUE(RIGHT(INDEX(Dataset3_Raw!$B$2:$B$391,$E30),4)),VALUE(MID(INDEX(Dataset3_Raw!$B$2:$B$391,$E30),4,2)),VALUE(LEFT(INDEX(Dataset3_Raw!$B$2:$B$391,$E30),2))))</f>
        <v>40545</v>
      </c>
      <c r="G30" s="23">
        <f>IF($C30&gt;0,INDEX(Merge_1_2!$C$2:$C$611,$C30),INDEX(Dataset3_Raw!$C$2:$C$391,$E30))</f>
        <v>1</v>
      </c>
      <c r="H30" s="23">
        <f>IF($C30&gt;0,INDEX(Merge_1_2!$D$2:$D$611,$C30),INDEX(Dataset3_Raw!$D$2:$D$391,$E30))</f>
        <v>0</v>
      </c>
      <c r="I30" s="23">
        <f>IF($C30&gt;0,INDEX(Merge_1_2!$E$2:$E$611,$C30),INDEX(Dataset3_Raw!$E$2:$E$391,$E30))</f>
        <v>1</v>
      </c>
      <c r="J30" s="23">
        <f>IF($C30&gt;0,INDEX(Merge_1_2!$F$2:$F$611,$C30),INDEX(Dataset3_Raw!$F$2:$F$391,$E30))</f>
        <v>4</v>
      </c>
      <c r="K30" s="23" t="b">
        <f>IF($C30&gt;0,INDEX(Merge_1_2!$G$2:$G$611,$C30),INDEX(Dataset3_Raw!$G$2:$G$391,$E30))</f>
        <v>0</v>
      </c>
      <c r="L30" s="23">
        <f>IF($C30&gt;0,INDEX(Merge_1_2!$H$2:$H$611,$C30),INDEX(Dataset3_Raw!$H$2:$H$391,$E30))</f>
        <v>0</v>
      </c>
      <c r="M30" s="23">
        <f>IF($C30&gt;0,INDEX(Merge_1_2!$I$2:$I$611,$C30),INDEX(Dataset3_Raw!$I$2:$I$391,$E30))</f>
        <v>2</v>
      </c>
      <c r="N30" s="25">
        <f>IF($C30&gt;0,INDEX(Merge_1_2!$J$2:$J$611,$C30),INDEX(Dataset3_Raw!$J$2:$J$391,$E30))</f>
        <v>0.46</v>
      </c>
      <c r="O30" s="25" t="str">
        <f>IF($C30&gt;0,IF(ISNUMBER(INDEX(Merge_1_2!$K$2:$K$611,$C30)),INDEX(Merge_1_2!$K$2:$K$611,$C30),""),INDEX(Dataset3_Raw!$K$2:$K$391,$E30))</f>
        <v/>
      </c>
      <c r="P30" s="25">
        <f>IF(ISNUMBER($O30),$O30,ROUND(Lookups!$B$25+Lookups!$B$24*$N30,4))</f>
        <v>0.44640000000000002</v>
      </c>
      <c r="Q30" s="25">
        <f>IF($C30&gt;0,INDEX(Merge_1_2!$L$2:$L$611,$C30),INDEX(Dataset3_Raw!$L$2:$L$391,$E30))</f>
        <v>0.94</v>
      </c>
      <c r="R30" s="25">
        <f>IF($C30&gt;0,INDEX(Merge_1_2!$M$2:$M$611,$C30),INDEX(Dataset3_Raw!$M$2:$M$391,$E30))</f>
        <v>0.19400000000000001</v>
      </c>
      <c r="S30" s="23">
        <f>IF($C30&gt;0,INDEX(Merge_1_2!$N$2:$N$611,$C30),INDEX(Dataset3_Raw!$N$2:$N$391,$E30))</f>
        <v>2</v>
      </c>
      <c r="T30" s="23">
        <f>IF($C30&gt;0,INDEX(Merge_1_2!$O$2:$O$611,$C30),INDEX(Dataset3_Raw!$O$2:$O$391,$E30))</f>
        <v>1</v>
      </c>
      <c r="U30" s="23">
        <f>IF($C30&gt;0,INDEX(Merge_1_2!$P$2:$P$611,$C30),INDEX(Dataset3_Raw!$P$2:$P$391,$E30))</f>
        <v>3</v>
      </c>
      <c r="V30" s="23" t="str">
        <f t="shared" si="1"/>
        <v>Weekend</v>
      </c>
      <c r="W30" s="23" t="str">
        <f>VLOOKUP($M30,Lookups!$A$5:$B$8,2,FALSE())</f>
        <v>Mist / Cloudy</v>
      </c>
      <c r="X30" s="23" t="str">
        <f>VLOOKUP($G30,Lookups!$D$5:$E$8,2,FALSE())</f>
        <v>Winter</v>
      </c>
      <c r="Y30" s="23" t="str">
        <f>VLOOKUP($L30,Lookups!$G$5:$H$11,2,FALSE())</f>
        <v>Sunday</v>
      </c>
      <c r="Z30" s="23" t="str">
        <f>IF($J30&lt;Lookups!$B$26,"Night",IF($J30&lt;Lookups!$B$27,"Morning",IF($J30&lt;Lookups!$B$28,"Afternoon","Evening")))</f>
        <v>Night</v>
      </c>
      <c r="AA30" s="26">
        <f>ROUND($N30*(Lookups!$B$16-Lookups!$B$15)+Lookups!$B$15,1)</f>
        <v>13.6</v>
      </c>
      <c r="AB30" s="26">
        <f>ROUND($P30*(Lookups!$B$18-Lookups!$B$17)+Lookups!$B$17,1)</f>
        <v>13.5</v>
      </c>
      <c r="AC30" s="23">
        <f t="shared" si="2"/>
        <v>94</v>
      </c>
      <c r="AD30" s="23">
        <f>ROUND($R30*Lookups!$B$19,1)</f>
        <v>13</v>
      </c>
      <c r="AE30" s="27">
        <f t="shared" si="3"/>
        <v>0.33333333333333331</v>
      </c>
      <c r="AF30" s="23" t="str">
        <f>IF($U30&gt;=Lookups!$B$23,"High",IF($U30&gt;=Lookups!$B$22,"Medium","Low"))</f>
        <v>Low</v>
      </c>
      <c r="AG30" s="23">
        <f>ROUND(IF($V30="Weekday",IF(INDEX(Hourly_Analysis!$D$5:$D$28,$J30+1)&gt;0,($U30-INDEX(Hourly_Analysis!$C$5:$C$28,$J30+1))/INDEX(Hourly_Analysis!$D$5:$D$28,$J30+1),0),IF(INDEX(Hourly_Analysis!$G$5:$G$28,$J30+1)&gt;0,($U30-INDEX(Hourly_Analysis!$F$5:$F$28,$J30+1))/INDEX(Hourly_Analysis!$G$5:$G$28,$J30+1),0)),2)</f>
        <v>0.14000000000000001</v>
      </c>
      <c r="AH30" s="23" t="str">
        <f>IF(ABS($AG30)&gt;Lookups!$B$20,IF($AG30&gt;0,"High anomaly","Low anomaly"),"")</f>
        <v/>
      </c>
      <c r="AI30" s="23" t="str">
        <f t="shared" si="4"/>
        <v>OK</v>
      </c>
      <c r="AJ30" s="23" t="str">
        <f t="shared" si="5"/>
        <v>Yes</v>
      </c>
    </row>
    <row r="31" spans="1:36" x14ac:dyDescent="0.35">
      <c r="A31" s="23">
        <v>30</v>
      </c>
      <c r="B31" s="23" t="str">
        <f t="shared" si="0"/>
        <v>Merge 1+2</v>
      </c>
      <c r="C31" s="23">
        <f>IFERROR(MATCH($A31,Merge_1_2!$A$2:$A$611,0),0)</f>
        <v>30</v>
      </c>
      <c r="D31" s="23">
        <f>IF($C31&gt;0,INDEX(Merge_1_2!$Q$2:$Q$611,$C31),0)</f>
        <v>30</v>
      </c>
      <c r="E31" s="23">
        <f>IFERROR(MATCH($A31,Dataset3_Raw!$A$2:$A$391,0),0)</f>
        <v>0</v>
      </c>
      <c r="F31" s="24">
        <f>IF($C31&gt;0,INDEX(Merge_1_2!$B$2:$B$611,$C31),DATE(VALUE(RIGHT(INDEX(Dataset3_Raw!$B$2:$B$391,$E31),4)),VALUE(MID(INDEX(Dataset3_Raw!$B$2:$B$391,$E31),4,2)),VALUE(LEFT(INDEX(Dataset3_Raw!$B$2:$B$391,$E31),2))))</f>
        <v>40545</v>
      </c>
      <c r="G31" s="23">
        <f>IF($C31&gt;0,INDEX(Merge_1_2!$C$2:$C$611,$C31),INDEX(Dataset3_Raw!$C$2:$C$391,$E31))</f>
        <v>1</v>
      </c>
      <c r="H31" s="23">
        <f>IF($C31&gt;0,INDEX(Merge_1_2!$D$2:$D$611,$C31),INDEX(Dataset3_Raw!$D$2:$D$391,$E31))</f>
        <v>0</v>
      </c>
      <c r="I31" s="23">
        <f>IF($C31&gt;0,INDEX(Merge_1_2!$E$2:$E$611,$C31),INDEX(Dataset3_Raw!$E$2:$E$391,$E31))</f>
        <v>1</v>
      </c>
      <c r="J31" s="23">
        <f>IF($C31&gt;0,INDEX(Merge_1_2!$F$2:$F$611,$C31),INDEX(Dataset3_Raw!$F$2:$F$391,$E31))</f>
        <v>6</v>
      </c>
      <c r="K31" s="23" t="b">
        <f>IF($C31&gt;0,INDEX(Merge_1_2!$G$2:$G$611,$C31),INDEX(Dataset3_Raw!$G$2:$G$391,$E31))</f>
        <v>0</v>
      </c>
      <c r="L31" s="23">
        <f>IF($C31&gt;0,INDEX(Merge_1_2!$H$2:$H$611,$C31),INDEX(Dataset3_Raw!$H$2:$H$391,$E31))</f>
        <v>0</v>
      </c>
      <c r="M31" s="23">
        <f>IF($C31&gt;0,INDEX(Merge_1_2!$I$2:$I$611,$C31),INDEX(Dataset3_Raw!$I$2:$I$391,$E31))</f>
        <v>3</v>
      </c>
      <c r="N31" s="25">
        <f>IF($C31&gt;0,INDEX(Merge_1_2!$J$2:$J$611,$C31),INDEX(Dataset3_Raw!$J$2:$J$391,$E31))</f>
        <v>0.42</v>
      </c>
      <c r="O31" s="25">
        <f>IF($C31&gt;0,IF(ISNUMBER(INDEX(Merge_1_2!$K$2:$K$611,$C31)),INDEX(Merge_1_2!$K$2:$K$611,$C31),""),INDEX(Dataset3_Raw!$K$2:$K$391,$E31))</f>
        <v>0.42420000000000002</v>
      </c>
      <c r="P31" s="25">
        <f>IF(ISNUMBER($O31),$O31,ROUND(Lookups!$B$25+Lookups!$B$24*$N31,4))</f>
        <v>0.42420000000000002</v>
      </c>
      <c r="Q31" s="25">
        <f>IF($C31&gt;0,INDEX(Merge_1_2!$L$2:$L$611,$C31),INDEX(Dataset3_Raw!$L$2:$L$391,$E31))</f>
        <v>0.77</v>
      </c>
      <c r="R31" s="25">
        <f>IF($C31&gt;0,INDEX(Merge_1_2!$M$2:$M$611,$C31),INDEX(Dataset3_Raw!$M$2:$M$391,$E31))</f>
        <v>0.29849999999999999</v>
      </c>
      <c r="S31" s="23">
        <f>IF($C31&gt;0,INDEX(Merge_1_2!$N$2:$N$611,$C31),INDEX(Dataset3_Raw!$N$2:$N$391,$E31))</f>
        <v>0</v>
      </c>
      <c r="T31" s="23">
        <f>IF($C31&gt;0,INDEX(Merge_1_2!$O$2:$O$611,$C31),INDEX(Dataset3_Raw!$O$2:$O$391,$E31))</f>
        <v>2</v>
      </c>
      <c r="U31" s="23">
        <f>IF($C31&gt;0,INDEX(Merge_1_2!$P$2:$P$611,$C31),INDEX(Dataset3_Raw!$P$2:$P$391,$E31))</f>
        <v>2</v>
      </c>
      <c r="V31" s="23" t="str">
        <f t="shared" si="1"/>
        <v>Weekend</v>
      </c>
      <c r="W31" s="23" t="str">
        <f>VLOOKUP($M31,Lookups!$A$5:$B$8,2,FALSE())</f>
        <v>Light snow / Light rain</v>
      </c>
      <c r="X31" s="23" t="str">
        <f>VLOOKUP($G31,Lookups!$D$5:$E$8,2,FALSE())</f>
        <v>Winter</v>
      </c>
      <c r="Y31" s="23" t="str">
        <f>VLOOKUP($L31,Lookups!$G$5:$H$11,2,FALSE())</f>
        <v>Sunday</v>
      </c>
      <c r="Z31" s="23" t="str">
        <f>IF($J31&lt;Lookups!$B$26,"Night",IF($J31&lt;Lookups!$B$27,"Morning",IF($J31&lt;Lookups!$B$28,"Afternoon","Evening")))</f>
        <v>Morning</v>
      </c>
      <c r="AA31" s="26">
        <f>ROUND($N31*(Lookups!$B$16-Lookups!$B$15)+Lookups!$B$15,1)</f>
        <v>11.7</v>
      </c>
      <c r="AB31" s="26">
        <f>ROUND($P31*(Lookups!$B$18-Lookups!$B$17)+Lookups!$B$17,1)</f>
        <v>12</v>
      </c>
      <c r="AC31" s="23">
        <f t="shared" si="2"/>
        <v>77</v>
      </c>
      <c r="AD31" s="23">
        <f>ROUND($R31*Lookups!$B$19,1)</f>
        <v>20</v>
      </c>
      <c r="AE31" s="27">
        <f t="shared" si="3"/>
        <v>1</v>
      </c>
      <c r="AF31" s="23" t="str">
        <f>IF($U31&gt;=Lookups!$B$23,"High",IF($U31&gt;=Lookups!$B$22,"Medium","Low"))</f>
        <v>Low</v>
      </c>
      <c r="AG31" s="23">
        <f>ROUND(IF($V31="Weekday",IF(INDEX(Hourly_Analysis!$D$5:$D$28,$J31+1)&gt;0,($U31-INDEX(Hourly_Analysis!$C$5:$C$28,$J31+1))/INDEX(Hourly_Analysis!$D$5:$D$28,$J31+1),0),IF(INDEX(Hourly_Analysis!$G$5:$G$28,$J31+1)&gt;0,($U31-INDEX(Hourly_Analysis!$F$5:$F$28,$J31+1))/INDEX(Hourly_Analysis!$G$5:$G$28,$J31+1),0)),2)</f>
        <v>-0.26</v>
      </c>
      <c r="AH31" s="23" t="str">
        <f>IF(ABS($AG31)&gt;Lookups!$B$20,IF($AG31&gt;0,"High anomaly","Low anomaly"),"")</f>
        <v/>
      </c>
      <c r="AI31" s="23" t="str">
        <f t="shared" si="4"/>
        <v>OK</v>
      </c>
      <c r="AJ31" s="23" t="str">
        <f t="shared" si="5"/>
        <v>No</v>
      </c>
    </row>
    <row r="32" spans="1:36" x14ac:dyDescent="0.35">
      <c r="A32" s="23">
        <v>31</v>
      </c>
      <c r="B32" s="23" t="str">
        <f t="shared" si="0"/>
        <v>Merge 1+2</v>
      </c>
      <c r="C32" s="23">
        <f>IFERROR(MATCH($A32,Merge_1_2!$A$2:$A$611,0),0)</f>
        <v>31</v>
      </c>
      <c r="D32" s="23">
        <f>IF($C32&gt;0,INDEX(Merge_1_2!$Q$2:$Q$611,$C32),0)</f>
        <v>31</v>
      </c>
      <c r="E32" s="23">
        <f>IFERROR(MATCH($A32,Dataset3_Raw!$A$2:$A$391,0),0)</f>
        <v>0</v>
      </c>
      <c r="F32" s="24">
        <f>IF($C32&gt;0,INDEX(Merge_1_2!$B$2:$B$611,$C32),DATE(VALUE(RIGHT(INDEX(Dataset3_Raw!$B$2:$B$391,$E32),4)),VALUE(MID(INDEX(Dataset3_Raw!$B$2:$B$391,$E32),4,2)),VALUE(LEFT(INDEX(Dataset3_Raw!$B$2:$B$391,$E32),2))))</f>
        <v>40545</v>
      </c>
      <c r="G32" s="23">
        <f>IF($C32&gt;0,INDEX(Merge_1_2!$C$2:$C$611,$C32),INDEX(Dataset3_Raw!$C$2:$C$391,$E32))</f>
        <v>1</v>
      </c>
      <c r="H32" s="23">
        <f>IF($C32&gt;0,INDEX(Merge_1_2!$D$2:$D$611,$C32),INDEX(Dataset3_Raw!$D$2:$D$391,$E32))</f>
        <v>0</v>
      </c>
      <c r="I32" s="23">
        <f>IF($C32&gt;0,INDEX(Merge_1_2!$E$2:$E$611,$C32),INDEX(Dataset3_Raw!$E$2:$E$391,$E32))</f>
        <v>1</v>
      </c>
      <c r="J32" s="23">
        <f>IF($C32&gt;0,INDEX(Merge_1_2!$F$2:$F$611,$C32),INDEX(Dataset3_Raw!$F$2:$F$391,$E32))</f>
        <v>7</v>
      </c>
      <c r="K32" s="23" t="b">
        <f>IF($C32&gt;0,INDEX(Merge_1_2!$G$2:$G$611,$C32),INDEX(Dataset3_Raw!$G$2:$G$391,$E32))</f>
        <v>0</v>
      </c>
      <c r="L32" s="23">
        <f>IF($C32&gt;0,INDEX(Merge_1_2!$H$2:$H$611,$C32),INDEX(Dataset3_Raw!$H$2:$H$391,$E32))</f>
        <v>0</v>
      </c>
      <c r="M32" s="23">
        <f>IF($C32&gt;0,INDEX(Merge_1_2!$I$2:$I$611,$C32),INDEX(Dataset3_Raw!$I$2:$I$391,$E32))</f>
        <v>2</v>
      </c>
      <c r="N32" s="25">
        <f>IF($C32&gt;0,INDEX(Merge_1_2!$J$2:$J$611,$C32),INDEX(Dataset3_Raw!$J$2:$J$391,$E32))</f>
        <v>0.4</v>
      </c>
      <c r="O32" s="25">
        <f>IF($C32&gt;0,IF(ISNUMBER(INDEX(Merge_1_2!$K$2:$K$611,$C32)),INDEX(Merge_1_2!$K$2:$K$611,$C32),""),INDEX(Dataset3_Raw!$K$2:$K$391,$E32))</f>
        <v>0.40910000000000002</v>
      </c>
      <c r="P32" s="25">
        <f>IF(ISNUMBER($O32),$O32,ROUND(Lookups!$B$25+Lookups!$B$24*$N32,4))</f>
        <v>0.40910000000000002</v>
      </c>
      <c r="Q32" s="25">
        <f>IF($C32&gt;0,INDEX(Merge_1_2!$L$2:$L$611,$C32),INDEX(Dataset3_Raw!$L$2:$L$391,$E32))</f>
        <v>0.76</v>
      </c>
      <c r="R32" s="25">
        <f>IF($C32&gt;0,INDEX(Merge_1_2!$M$2:$M$611,$C32),INDEX(Dataset3_Raw!$M$2:$M$391,$E32))</f>
        <v>0.19400000000000001</v>
      </c>
      <c r="S32" s="23">
        <f>IF($C32&gt;0,INDEX(Merge_1_2!$N$2:$N$611,$C32),INDEX(Dataset3_Raw!$N$2:$N$391,$E32))</f>
        <v>0</v>
      </c>
      <c r="T32" s="23">
        <f>IF($C32&gt;0,INDEX(Merge_1_2!$O$2:$O$611,$C32),INDEX(Dataset3_Raw!$O$2:$O$391,$E32))</f>
        <v>1</v>
      </c>
      <c r="U32" s="23">
        <f>IF($C32&gt;0,INDEX(Merge_1_2!$P$2:$P$611,$C32),INDEX(Dataset3_Raw!$P$2:$P$391,$E32))</f>
        <v>1</v>
      </c>
      <c r="V32" s="23" t="str">
        <f t="shared" si="1"/>
        <v>Weekend</v>
      </c>
      <c r="W32" s="23" t="str">
        <f>VLOOKUP($M32,Lookups!$A$5:$B$8,2,FALSE())</f>
        <v>Mist / Cloudy</v>
      </c>
      <c r="X32" s="23" t="str">
        <f>VLOOKUP($G32,Lookups!$D$5:$E$8,2,FALSE())</f>
        <v>Winter</v>
      </c>
      <c r="Y32" s="23" t="str">
        <f>VLOOKUP($L32,Lookups!$G$5:$H$11,2,FALSE())</f>
        <v>Sunday</v>
      </c>
      <c r="Z32" s="23" t="str">
        <f>IF($J32&lt;Lookups!$B$26,"Night",IF($J32&lt;Lookups!$B$27,"Morning",IF($J32&lt;Lookups!$B$28,"Afternoon","Evening")))</f>
        <v>Morning</v>
      </c>
      <c r="AA32" s="26">
        <f>ROUND($N32*(Lookups!$B$16-Lookups!$B$15)+Lookups!$B$15,1)</f>
        <v>10.8</v>
      </c>
      <c r="AB32" s="26">
        <f>ROUND($P32*(Lookups!$B$18-Lookups!$B$17)+Lookups!$B$17,1)</f>
        <v>11</v>
      </c>
      <c r="AC32" s="23">
        <f t="shared" si="2"/>
        <v>76</v>
      </c>
      <c r="AD32" s="23">
        <f>ROUND($R32*Lookups!$B$19,1)</f>
        <v>13</v>
      </c>
      <c r="AE32" s="27">
        <f t="shared" si="3"/>
        <v>1</v>
      </c>
      <c r="AF32" s="23" t="str">
        <f>IF($U32&gt;=Lookups!$B$23,"High",IF($U32&gt;=Lookups!$B$22,"Medium","Low"))</f>
        <v>Low</v>
      </c>
      <c r="AG32" s="23">
        <f>ROUND(IF($V32="Weekday",IF(INDEX(Hourly_Analysis!$D$5:$D$28,$J32+1)&gt;0,($U32-INDEX(Hourly_Analysis!$C$5:$C$28,$J32+1))/INDEX(Hourly_Analysis!$D$5:$D$28,$J32+1),0),IF(INDEX(Hourly_Analysis!$G$5:$G$28,$J32+1)&gt;0,($U32-INDEX(Hourly_Analysis!$F$5:$F$28,$J32+1))/INDEX(Hourly_Analysis!$G$5:$G$28,$J32+1),0)),2)</f>
        <v>-1.34</v>
      </c>
      <c r="AH32" s="23" t="str">
        <f>IF(ABS($AG32)&gt;Lookups!$B$20,IF($AG32&gt;0,"High anomaly","Low anomaly"),"")</f>
        <v/>
      </c>
      <c r="AI32" s="23" t="str">
        <f t="shared" si="4"/>
        <v>OK</v>
      </c>
      <c r="AJ32" s="23" t="str">
        <f t="shared" si="5"/>
        <v>No</v>
      </c>
    </row>
    <row r="33" spans="1:36" x14ac:dyDescent="0.35">
      <c r="A33" s="23">
        <v>32</v>
      </c>
      <c r="B33" s="23" t="str">
        <f t="shared" si="0"/>
        <v>Merge 1+2</v>
      </c>
      <c r="C33" s="23">
        <f>IFERROR(MATCH($A33,Merge_1_2!$A$2:$A$611,0),0)</f>
        <v>32</v>
      </c>
      <c r="D33" s="23">
        <f>IF($C33&gt;0,INDEX(Merge_1_2!$Q$2:$Q$611,$C33),0)</f>
        <v>32</v>
      </c>
      <c r="E33" s="23">
        <f>IFERROR(MATCH($A33,Dataset3_Raw!$A$2:$A$391,0),0)</f>
        <v>0</v>
      </c>
      <c r="F33" s="24">
        <f>IF($C33&gt;0,INDEX(Merge_1_2!$B$2:$B$611,$C33),DATE(VALUE(RIGHT(INDEX(Dataset3_Raw!$B$2:$B$391,$E33),4)),VALUE(MID(INDEX(Dataset3_Raw!$B$2:$B$391,$E33),4,2)),VALUE(LEFT(INDEX(Dataset3_Raw!$B$2:$B$391,$E33),2))))</f>
        <v>40545</v>
      </c>
      <c r="G33" s="23">
        <f>IF($C33&gt;0,INDEX(Merge_1_2!$C$2:$C$611,$C33),INDEX(Dataset3_Raw!$C$2:$C$391,$E33))</f>
        <v>1</v>
      </c>
      <c r="H33" s="23">
        <f>IF($C33&gt;0,INDEX(Merge_1_2!$D$2:$D$611,$C33),INDEX(Dataset3_Raw!$D$2:$D$391,$E33))</f>
        <v>0</v>
      </c>
      <c r="I33" s="23">
        <f>IF($C33&gt;0,INDEX(Merge_1_2!$E$2:$E$611,$C33),INDEX(Dataset3_Raw!$E$2:$E$391,$E33))</f>
        <v>1</v>
      </c>
      <c r="J33" s="23">
        <f>IF($C33&gt;0,INDEX(Merge_1_2!$F$2:$F$611,$C33),INDEX(Dataset3_Raw!$F$2:$F$391,$E33))</f>
        <v>8</v>
      </c>
      <c r="K33" s="23" t="b">
        <f>IF($C33&gt;0,INDEX(Merge_1_2!$G$2:$G$611,$C33),INDEX(Dataset3_Raw!$G$2:$G$391,$E33))</f>
        <v>0</v>
      </c>
      <c r="L33" s="23">
        <f>IF($C33&gt;0,INDEX(Merge_1_2!$H$2:$H$611,$C33),INDEX(Dataset3_Raw!$H$2:$H$391,$E33))</f>
        <v>0</v>
      </c>
      <c r="M33" s="23">
        <f>IF($C33&gt;0,INDEX(Merge_1_2!$I$2:$I$611,$C33),INDEX(Dataset3_Raw!$I$2:$I$391,$E33))</f>
        <v>3</v>
      </c>
      <c r="N33" s="25">
        <f>IF($C33&gt;0,INDEX(Merge_1_2!$J$2:$J$611,$C33),INDEX(Dataset3_Raw!$J$2:$J$391,$E33))</f>
        <v>0.4</v>
      </c>
      <c r="O33" s="25">
        <f>IF($C33&gt;0,IF(ISNUMBER(INDEX(Merge_1_2!$K$2:$K$611,$C33)),INDEX(Merge_1_2!$K$2:$K$611,$C33),""),INDEX(Dataset3_Raw!$K$2:$K$391,$E33))</f>
        <v>0.40910000000000002</v>
      </c>
      <c r="P33" s="25">
        <f>IF(ISNUMBER($O33),$O33,ROUND(Lookups!$B$25+Lookups!$B$24*$N33,4))</f>
        <v>0.40910000000000002</v>
      </c>
      <c r="Q33" s="25">
        <f>IF($C33&gt;0,INDEX(Merge_1_2!$L$2:$L$611,$C33),INDEX(Dataset3_Raw!$L$2:$L$391,$E33))</f>
        <v>0.71</v>
      </c>
      <c r="R33" s="25">
        <f>IF($C33&gt;0,INDEX(Merge_1_2!$M$2:$M$611,$C33),INDEX(Dataset3_Raw!$M$2:$M$391,$E33))</f>
        <v>0.22389999999999999</v>
      </c>
      <c r="S33" s="23">
        <f>IF($C33&gt;0,INDEX(Merge_1_2!$N$2:$N$611,$C33),INDEX(Dataset3_Raw!$N$2:$N$391,$E33))</f>
        <v>0</v>
      </c>
      <c r="T33" s="23">
        <f>IF($C33&gt;0,INDEX(Merge_1_2!$O$2:$O$611,$C33),INDEX(Dataset3_Raw!$O$2:$O$391,$E33))</f>
        <v>8</v>
      </c>
      <c r="U33" s="23">
        <f>IF($C33&gt;0,INDEX(Merge_1_2!$P$2:$P$611,$C33),INDEX(Dataset3_Raw!$P$2:$P$391,$E33))</f>
        <v>8</v>
      </c>
      <c r="V33" s="23" t="str">
        <f t="shared" si="1"/>
        <v>Weekend</v>
      </c>
      <c r="W33" s="23" t="str">
        <f>VLOOKUP($M33,Lookups!$A$5:$B$8,2,FALSE())</f>
        <v>Light snow / Light rain</v>
      </c>
      <c r="X33" s="23" t="str">
        <f>VLOOKUP($G33,Lookups!$D$5:$E$8,2,FALSE())</f>
        <v>Winter</v>
      </c>
      <c r="Y33" s="23" t="str">
        <f>VLOOKUP($L33,Lookups!$G$5:$H$11,2,FALSE())</f>
        <v>Sunday</v>
      </c>
      <c r="Z33" s="23" t="str">
        <f>IF($J33&lt;Lookups!$B$26,"Night",IF($J33&lt;Lookups!$B$27,"Morning",IF($J33&lt;Lookups!$B$28,"Afternoon","Evening")))</f>
        <v>Morning</v>
      </c>
      <c r="AA33" s="26">
        <f>ROUND($N33*(Lookups!$B$16-Lookups!$B$15)+Lookups!$B$15,1)</f>
        <v>10.8</v>
      </c>
      <c r="AB33" s="26">
        <f>ROUND($P33*(Lookups!$B$18-Lookups!$B$17)+Lookups!$B$17,1)</f>
        <v>11</v>
      </c>
      <c r="AC33" s="23">
        <f t="shared" si="2"/>
        <v>71</v>
      </c>
      <c r="AD33" s="23">
        <f>ROUND($R33*Lookups!$B$19,1)</f>
        <v>15</v>
      </c>
      <c r="AE33" s="27">
        <f t="shared" si="3"/>
        <v>1</v>
      </c>
      <c r="AF33" s="23" t="str">
        <f>IF($U33&gt;=Lookups!$B$23,"High",IF($U33&gt;=Lookups!$B$22,"Medium","Low"))</f>
        <v>Low</v>
      </c>
      <c r="AG33" s="23">
        <f>ROUND(IF($V33="Weekday",IF(INDEX(Hourly_Analysis!$D$5:$D$28,$J33+1)&gt;0,($U33-INDEX(Hourly_Analysis!$C$5:$C$28,$J33+1))/INDEX(Hourly_Analysis!$D$5:$D$28,$J33+1),0),IF(INDEX(Hourly_Analysis!$G$5:$G$28,$J33+1)&gt;0,($U33-INDEX(Hourly_Analysis!$F$5:$F$28,$J33+1))/INDEX(Hourly_Analysis!$G$5:$G$28,$J33+1),0)),2)</f>
        <v>-1.19</v>
      </c>
      <c r="AH33" s="23" t="str">
        <f>IF(ABS($AG33)&gt;Lookups!$B$20,IF($AG33&gt;0,"High anomaly","Low anomaly"),"")</f>
        <v/>
      </c>
      <c r="AI33" s="23" t="str">
        <f t="shared" si="4"/>
        <v>OK</v>
      </c>
      <c r="AJ33" s="23" t="str">
        <f t="shared" si="5"/>
        <v>No</v>
      </c>
    </row>
    <row r="34" spans="1:36" x14ac:dyDescent="0.35">
      <c r="A34" s="23">
        <v>33</v>
      </c>
      <c r="B34" s="23" t="str">
        <f t="shared" si="0"/>
        <v>Merge 1+2</v>
      </c>
      <c r="C34" s="23">
        <f>IFERROR(MATCH($A34,Merge_1_2!$A$2:$A$611,0),0)</f>
        <v>33</v>
      </c>
      <c r="D34" s="23">
        <f>IF($C34&gt;0,INDEX(Merge_1_2!$Q$2:$Q$611,$C34),0)</f>
        <v>33</v>
      </c>
      <c r="E34" s="23">
        <f>IFERROR(MATCH($A34,Dataset3_Raw!$A$2:$A$391,0),0)</f>
        <v>0</v>
      </c>
      <c r="F34" s="24">
        <f>IF($C34&gt;0,INDEX(Merge_1_2!$B$2:$B$611,$C34),DATE(VALUE(RIGHT(INDEX(Dataset3_Raw!$B$2:$B$391,$E34),4)),VALUE(MID(INDEX(Dataset3_Raw!$B$2:$B$391,$E34),4,2)),VALUE(LEFT(INDEX(Dataset3_Raw!$B$2:$B$391,$E34),2))))</f>
        <v>40545</v>
      </c>
      <c r="G34" s="23">
        <f>IF($C34&gt;0,INDEX(Merge_1_2!$C$2:$C$611,$C34),INDEX(Dataset3_Raw!$C$2:$C$391,$E34))</f>
        <v>1</v>
      </c>
      <c r="H34" s="23">
        <f>IF($C34&gt;0,INDEX(Merge_1_2!$D$2:$D$611,$C34),INDEX(Dataset3_Raw!$D$2:$D$391,$E34))</f>
        <v>0</v>
      </c>
      <c r="I34" s="23">
        <f>IF($C34&gt;0,INDEX(Merge_1_2!$E$2:$E$611,$C34),INDEX(Dataset3_Raw!$E$2:$E$391,$E34))</f>
        <v>1</v>
      </c>
      <c r="J34" s="23">
        <f>IF($C34&gt;0,INDEX(Merge_1_2!$F$2:$F$611,$C34),INDEX(Dataset3_Raw!$F$2:$F$391,$E34))</f>
        <v>9</v>
      </c>
      <c r="K34" s="23" t="b">
        <f>IF($C34&gt;0,INDEX(Merge_1_2!$G$2:$G$611,$C34),INDEX(Dataset3_Raw!$G$2:$G$391,$E34))</f>
        <v>0</v>
      </c>
      <c r="L34" s="23">
        <f>IF($C34&gt;0,INDEX(Merge_1_2!$H$2:$H$611,$C34),INDEX(Dataset3_Raw!$H$2:$H$391,$E34))</f>
        <v>0</v>
      </c>
      <c r="M34" s="23">
        <f>IF($C34&gt;0,INDEX(Merge_1_2!$I$2:$I$611,$C34),INDEX(Dataset3_Raw!$I$2:$I$391,$E34))</f>
        <v>2</v>
      </c>
      <c r="N34" s="25">
        <f>IF($C34&gt;0,INDEX(Merge_1_2!$J$2:$J$611,$C34),INDEX(Dataset3_Raw!$J$2:$J$391,$E34))</f>
        <v>0.38</v>
      </c>
      <c r="O34" s="25" t="str">
        <f>IF($C34&gt;0,IF(ISNUMBER(INDEX(Merge_1_2!$K$2:$K$611,$C34)),INDEX(Merge_1_2!$K$2:$K$611,$C34),""),INDEX(Dataset3_Raw!$K$2:$K$391,$E34))</f>
        <v/>
      </c>
      <c r="P34" s="25">
        <f>IF(ISNUMBER($O34),$O34,ROUND(Lookups!$B$25+Lookups!$B$24*$N34,4))</f>
        <v>0.373</v>
      </c>
      <c r="Q34" s="25">
        <f>IF($C34&gt;0,INDEX(Merge_1_2!$L$2:$L$611,$C34),INDEX(Dataset3_Raw!$L$2:$L$391,$E34))</f>
        <v>0.76</v>
      </c>
      <c r="R34" s="25">
        <f>IF($C34&gt;0,INDEX(Merge_1_2!$M$2:$M$611,$C34),INDEX(Dataset3_Raw!$M$2:$M$391,$E34))</f>
        <v>0.22389999999999999</v>
      </c>
      <c r="S34" s="23">
        <f>IF($C34&gt;0,INDEX(Merge_1_2!$N$2:$N$611,$C34),INDEX(Dataset3_Raw!$N$2:$N$391,$E34))</f>
        <v>1</v>
      </c>
      <c r="T34" s="23">
        <f>IF($C34&gt;0,INDEX(Merge_1_2!$O$2:$O$611,$C34),INDEX(Dataset3_Raw!$O$2:$O$391,$E34))</f>
        <v>19</v>
      </c>
      <c r="U34" s="23">
        <f>IF($C34&gt;0,INDEX(Merge_1_2!$P$2:$P$611,$C34),INDEX(Dataset3_Raw!$P$2:$P$391,$E34))</f>
        <v>20</v>
      </c>
      <c r="V34" s="23" t="str">
        <f t="shared" si="1"/>
        <v>Weekend</v>
      </c>
      <c r="W34" s="23" t="str">
        <f>VLOOKUP($M34,Lookups!$A$5:$B$8,2,FALSE())</f>
        <v>Mist / Cloudy</v>
      </c>
      <c r="X34" s="23" t="str">
        <f>VLOOKUP($G34,Lookups!$D$5:$E$8,2,FALSE())</f>
        <v>Winter</v>
      </c>
      <c r="Y34" s="23" t="str">
        <f>VLOOKUP($L34,Lookups!$G$5:$H$11,2,FALSE())</f>
        <v>Sunday</v>
      </c>
      <c r="Z34" s="23" t="str">
        <f>IF($J34&lt;Lookups!$B$26,"Night",IF($J34&lt;Lookups!$B$27,"Morning",IF($J34&lt;Lookups!$B$28,"Afternoon","Evening")))</f>
        <v>Morning</v>
      </c>
      <c r="AA34" s="26">
        <f>ROUND($N34*(Lookups!$B$16-Lookups!$B$15)+Lookups!$B$15,1)</f>
        <v>9.9</v>
      </c>
      <c r="AB34" s="26">
        <f>ROUND($P34*(Lookups!$B$18-Lookups!$B$17)+Lookups!$B$17,1)</f>
        <v>8.6</v>
      </c>
      <c r="AC34" s="23">
        <f t="shared" si="2"/>
        <v>76</v>
      </c>
      <c r="AD34" s="23">
        <f>ROUND($R34*Lookups!$B$19,1)</f>
        <v>15</v>
      </c>
      <c r="AE34" s="27">
        <f t="shared" si="3"/>
        <v>0.95</v>
      </c>
      <c r="AF34" s="23" t="str">
        <f>IF($U34&gt;=Lookups!$B$23,"High",IF($U34&gt;=Lookups!$B$22,"Medium","Low"))</f>
        <v>Medium</v>
      </c>
      <c r="AG34" s="23">
        <f>ROUND(IF($V34="Weekday",IF(INDEX(Hourly_Analysis!$D$5:$D$28,$J34+1)&gt;0,($U34-INDEX(Hourly_Analysis!$C$5:$C$28,$J34+1))/INDEX(Hourly_Analysis!$D$5:$D$28,$J34+1),0),IF(INDEX(Hourly_Analysis!$G$5:$G$28,$J34+1)&gt;0,($U34-INDEX(Hourly_Analysis!$F$5:$F$28,$J34+1))/INDEX(Hourly_Analysis!$G$5:$G$28,$J34+1),0)),2)</f>
        <v>-1.06</v>
      </c>
      <c r="AH34" s="23" t="str">
        <f>IF(ABS($AG34)&gt;Lookups!$B$20,IF($AG34&gt;0,"High anomaly","Low anomaly"),"")</f>
        <v/>
      </c>
      <c r="AI34" s="23" t="str">
        <f t="shared" si="4"/>
        <v>OK</v>
      </c>
      <c r="AJ34" s="23" t="str">
        <f t="shared" si="5"/>
        <v>Yes</v>
      </c>
    </row>
    <row r="35" spans="1:36" x14ac:dyDescent="0.35">
      <c r="A35" s="23">
        <v>34</v>
      </c>
      <c r="B35" s="23" t="str">
        <f t="shared" si="0"/>
        <v>Merge 1+2</v>
      </c>
      <c r="C35" s="23">
        <f>IFERROR(MATCH($A35,Merge_1_2!$A$2:$A$611,0),0)</f>
        <v>34</v>
      </c>
      <c r="D35" s="23">
        <f>IF($C35&gt;0,INDEX(Merge_1_2!$Q$2:$Q$611,$C35),0)</f>
        <v>34</v>
      </c>
      <c r="E35" s="23">
        <f>IFERROR(MATCH($A35,Dataset3_Raw!$A$2:$A$391,0),0)</f>
        <v>0</v>
      </c>
      <c r="F35" s="24">
        <f>IF($C35&gt;0,INDEX(Merge_1_2!$B$2:$B$611,$C35),DATE(VALUE(RIGHT(INDEX(Dataset3_Raw!$B$2:$B$391,$E35),4)),VALUE(MID(INDEX(Dataset3_Raw!$B$2:$B$391,$E35),4,2)),VALUE(LEFT(INDEX(Dataset3_Raw!$B$2:$B$391,$E35),2))))</f>
        <v>40545</v>
      </c>
      <c r="G35" s="23">
        <f>IF($C35&gt;0,INDEX(Merge_1_2!$C$2:$C$611,$C35),INDEX(Dataset3_Raw!$C$2:$C$391,$E35))</f>
        <v>1</v>
      </c>
      <c r="H35" s="23">
        <f>IF($C35&gt;0,INDEX(Merge_1_2!$D$2:$D$611,$C35),INDEX(Dataset3_Raw!$D$2:$D$391,$E35))</f>
        <v>0</v>
      </c>
      <c r="I35" s="23">
        <f>IF($C35&gt;0,INDEX(Merge_1_2!$E$2:$E$611,$C35),INDEX(Dataset3_Raw!$E$2:$E$391,$E35))</f>
        <v>1</v>
      </c>
      <c r="J35" s="23">
        <f>IF($C35&gt;0,INDEX(Merge_1_2!$F$2:$F$611,$C35),INDEX(Dataset3_Raw!$F$2:$F$391,$E35))</f>
        <v>10</v>
      </c>
      <c r="K35" s="23" t="b">
        <f>IF($C35&gt;0,INDEX(Merge_1_2!$G$2:$G$611,$C35),INDEX(Dataset3_Raw!$G$2:$G$391,$E35))</f>
        <v>0</v>
      </c>
      <c r="L35" s="23">
        <f>IF($C35&gt;0,INDEX(Merge_1_2!$H$2:$H$611,$C35),INDEX(Dataset3_Raw!$H$2:$H$391,$E35))</f>
        <v>0</v>
      </c>
      <c r="M35" s="23">
        <f>IF($C35&gt;0,INDEX(Merge_1_2!$I$2:$I$611,$C35),INDEX(Dataset3_Raw!$I$2:$I$391,$E35))</f>
        <v>2</v>
      </c>
      <c r="N35" s="25">
        <f>IF($C35&gt;0,INDEX(Merge_1_2!$J$2:$J$611,$C35),INDEX(Dataset3_Raw!$J$2:$J$391,$E35))</f>
        <v>0.36</v>
      </c>
      <c r="O35" s="25">
        <f>IF($C35&gt;0,IF(ISNUMBER(INDEX(Merge_1_2!$K$2:$K$611,$C35)),INDEX(Merge_1_2!$K$2:$K$611,$C35),""),INDEX(Dataset3_Raw!$K$2:$K$391,$E35))</f>
        <v>0.34849999999999998</v>
      </c>
      <c r="P35" s="25">
        <f>IF(ISNUMBER($O35),$O35,ROUND(Lookups!$B$25+Lookups!$B$24*$N35,4))</f>
        <v>0.34849999999999998</v>
      </c>
      <c r="Q35" s="25">
        <f>IF($C35&gt;0,INDEX(Merge_1_2!$L$2:$L$611,$C35),INDEX(Dataset3_Raw!$L$2:$L$391,$E35))</f>
        <v>0.81</v>
      </c>
      <c r="R35" s="25">
        <f>IF($C35&gt;0,INDEX(Merge_1_2!$M$2:$M$611,$C35),INDEX(Dataset3_Raw!$M$2:$M$391,$E35))</f>
        <v>0.22389999999999999</v>
      </c>
      <c r="S35" s="23">
        <f>IF($C35&gt;0,INDEX(Merge_1_2!$N$2:$N$611,$C35),INDEX(Dataset3_Raw!$N$2:$N$391,$E35))</f>
        <v>7</v>
      </c>
      <c r="T35" s="23">
        <f>IF($C35&gt;0,INDEX(Merge_1_2!$O$2:$O$611,$C35),INDEX(Dataset3_Raw!$O$2:$O$391,$E35))</f>
        <v>46</v>
      </c>
      <c r="U35" s="23">
        <f>IF($C35&gt;0,INDEX(Merge_1_2!$P$2:$P$611,$C35),INDEX(Dataset3_Raw!$P$2:$P$391,$E35))</f>
        <v>53</v>
      </c>
      <c r="V35" s="23" t="str">
        <f t="shared" si="1"/>
        <v>Weekend</v>
      </c>
      <c r="W35" s="23" t="str">
        <f>VLOOKUP($M35,Lookups!$A$5:$B$8,2,FALSE())</f>
        <v>Mist / Cloudy</v>
      </c>
      <c r="X35" s="23" t="str">
        <f>VLOOKUP($G35,Lookups!$D$5:$E$8,2,FALSE())</f>
        <v>Winter</v>
      </c>
      <c r="Y35" s="23" t="str">
        <f>VLOOKUP($L35,Lookups!$G$5:$H$11,2,FALSE())</f>
        <v>Sunday</v>
      </c>
      <c r="Z35" s="23" t="str">
        <f>IF($J35&lt;Lookups!$B$26,"Night",IF($J35&lt;Lookups!$B$27,"Morning",IF($J35&lt;Lookups!$B$28,"Afternoon","Evening")))</f>
        <v>Morning</v>
      </c>
      <c r="AA35" s="26">
        <f>ROUND($N35*(Lookups!$B$16-Lookups!$B$15)+Lookups!$B$15,1)</f>
        <v>8.9</v>
      </c>
      <c r="AB35" s="26">
        <f>ROUND($P35*(Lookups!$B$18-Lookups!$B$17)+Lookups!$B$17,1)</f>
        <v>7</v>
      </c>
      <c r="AC35" s="23">
        <f t="shared" si="2"/>
        <v>81</v>
      </c>
      <c r="AD35" s="23">
        <f>ROUND($R35*Lookups!$B$19,1)</f>
        <v>15</v>
      </c>
      <c r="AE35" s="27">
        <f t="shared" si="3"/>
        <v>0.86792452830188682</v>
      </c>
      <c r="AF35" s="23" t="str">
        <f>IF($U35&gt;=Lookups!$B$23,"High",IF($U35&gt;=Lookups!$B$22,"Medium","Low"))</f>
        <v>Medium</v>
      </c>
      <c r="AG35" s="23">
        <f>ROUND(IF($V35="Weekday",IF(INDEX(Hourly_Analysis!$D$5:$D$28,$J35+1)&gt;0,($U35-INDEX(Hourly_Analysis!$C$5:$C$28,$J35+1))/INDEX(Hourly_Analysis!$D$5:$D$28,$J35+1),0),IF(INDEX(Hourly_Analysis!$G$5:$G$28,$J35+1)&gt;0,($U35-INDEX(Hourly_Analysis!$F$5:$F$28,$J35+1))/INDEX(Hourly_Analysis!$G$5:$G$28,$J35+1),0)),2)</f>
        <v>-0.49</v>
      </c>
      <c r="AH35" s="23" t="str">
        <f>IF(ABS($AG35)&gt;Lookups!$B$20,IF($AG35&gt;0,"High anomaly","Low anomaly"),"")</f>
        <v/>
      </c>
      <c r="AI35" s="23" t="str">
        <f t="shared" si="4"/>
        <v>OK</v>
      </c>
      <c r="AJ35" s="23" t="str">
        <f t="shared" si="5"/>
        <v>No</v>
      </c>
    </row>
    <row r="36" spans="1:36" x14ac:dyDescent="0.35">
      <c r="A36" s="23">
        <v>35</v>
      </c>
      <c r="B36" s="23" t="str">
        <f t="shared" si="0"/>
        <v>Merge 1+2</v>
      </c>
      <c r="C36" s="23">
        <f>IFERROR(MATCH($A36,Merge_1_2!$A$2:$A$611,0),0)</f>
        <v>35</v>
      </c>
      <c r="D36" s="23">
        <f>IF($C36&gt;0,INDEX(Merge_1_2!$Q$2:$Q$611,$C36),0)</f>
        <v>35</v>
      </c>
      <c r="E36" s="23">
        <f>IFERROR(MATCH($A36,Dataset3_Raw!$A$2:$A$391,0),0)</f>
        <v>0</v>
      </c>
      <c r="F36" s="24">
        <f>IF($C36&gt;0,INDEX(Merge_1_2!$B$2:$B$611,$C36),DATE(VALUE(RIGHT(INDEX(Dataset3_Raw!$B$2:$B$391,$E36),4)),VALUE(MID(INDEX(Dataset3_Raw!$B$2:$B$391,$E36),4,2)),VALUE(LEFT(INDEX(Dataset3_Raw!$B$2:$B$391,$E36),2))))</f>
        <v>40545</v>
      </c>
      <c r="G36" s="23">
        <f>IF($C36&gt;0,INDEX(Merge_1_2!$C$2:$C$611,$C36),INDEX(Dataset3_Raw!$C$2:$C$391,$E36))</f>
        <v>1</v>
      </c>
      <c r="H36" s="23">
        <f>IF($C36&gt;0,INDEX(Merge_1_2!$D$2:$D$611,$C36),INDEX(Dataset3_Raw!$D$2:$D$391,$E36))</f>
        <v>0</v>
      </c>
      <c r="I36" s="23">
        <f>IF($C36&gt;0,INDEX(Merge_1_2!$E$2:$E$611,$C36),INDEX(Dataset3_Raw!$E$2:$E$391,$E36))</f>
        <v>1</v>
      </c>
      <c r="J36" s="23">
        <f>IF($C36&gt;0,INDEX(Merge_1_2!$F$2:$F$611,$C36),INDEX(Dataset3_Raw!$F$2:$F$391,$E36))</f>
        <v>11</v>
      </c>
      <c r="K36" s="23" t="b">
        <f>IF($C36&gt;0,INDEX(Merge_1_2!$G$2:$G$611,$C36),INDEX(Dataset3_Raw!$G$2:$G$391,$E36))</f>
        <v>0</v>
      </c>
      <c r="L36" s="23">
        <f>IF($C36&gt;0,INDEX(Merge_1_2!$H$2:$H$611,$C36),INDEX(Dataset3_Raw!$H$2:$H$391,$E36))</f>
        <v>0</v>
      </c>
      <c r="M36" s="23">
        <f>IF($C36&gt;0,INDEX(Merge_1_2!$I$2:$I$611,$C36),INDEX(Dataset3_Raw!$I$2:$I$391,$E36))</f>
        <v>2</v>
      </c>
      <c r="N36" s="25">
        <f>IF($C36&gt;0,INDEX(Merge_1_2!$J$2:$J$611,$C36),INDEX(Dataset3_Raw!$J$2:$J$391,$E36))</f>
        <v>0.36</v>
      </c>
      <c r="O36" s="25">
        <f>IF($C36&gt;0,IF(ISNUMBER(INDEX(Merge_1_2!$K$2:$K$611,$C36)),INDEX(Merge_1_2!$K$2:$K$611,$C36),""),INDEX(Dataset3_Raw!$K$2:$K$391,$E36))</f>
        <v>0.33329999999999999</v>
      </c>
      <c r="P36" s="25">
        <f>IF(ISNUMBER($O36),$O36,ROUND(Lookups!$B$25+Lookups!$B$24*$N36,4))</f>
        <v>0.33329999999999999</v>
      </c>
      <c r="Q36" s="25">
        <f>IF($C36&gt;0,INDEX(Merge_1_2!$L$2:$L$611,$C36),INDEX(Dataset3_Raw!$L$2:$L$391,$E36))</f>
        <v>0.71</v>
      </c>
      <c r="R36" s="25">
        <f>IF($C36&gt;0,INDEX(Merge_1_2!$M$2:$M$611,$C36),INDEX(Dataset3_Raw!$M$2:$M$391,$E36))</f>
        <v>0.25369999999999998</v>
      </c>
      <c r="S36" s="23">
        <f>IF($C36&gt;0,INDEX(Merge_1_2!$N$2:$N$611,$C36),INDEX(Dataset3_Raw!$N$2:$N$391,$E36))</f>
        <v>16</v>
      </c>
      <c r="T36" s="23">
        <f>IF($C36&gt;0,INDEX(Merge_1_2!$O$2:$O$611,$C36),INDEX(Dataset3_Raw!$O$2:$O$391,$E36))</f>
        <v>54</v>
      </c>
      <c r="U36" s="23">
        <f>IF($C36&gt;0,INDEX(Merge_1_2!$P$2:$P$611,$C36),INDEX(Dataset3_Raw!$P$2:$P$391,$E36))</f>
        <v>70</v>
      </c>
      <c r="V36" s="23" t="str">
        <f t="shared" si="1"/>
        <v>Weekend</v>
      </c>
      <c r="W36" s="23" t="str">
        <f>VLOOKUP($M36,Lookups!$A$5:$B$8,2,FALSE())</f>
        <v>Mist / Cloudy</v>
      </c>
      <c r="X36" s="23" t="str">
        <f>VLOOKUP($G36,Lookups!$D$5:$E$8,2,FALSE())</f>
        <v>Winter</v>
      </c>
      <c r="Y36" s="23" t="str">
        <f>VLOOKUP($L36,Lookups!$G$5:$H$11,2,FALSE())</f>
        <v>Sunday</v>
      </c>
      <c r="Z36" s="23" t="str">
        <f>IF($J36&lt;Lookups!$B$26,"Night",IF($J36&lt;Lookups!$B$27,"Morning",IF($J36&lt;Lookups!$B$28,"Afternoon","Evening")))</f>
        <v>Morning</v>
      </c>
      <c r="AA36" s="26">
        <f>ROUND($N36*(Lookups!$B$16-Lookups!$B$15)+Lookups!$B$15,1)</f>
        <v>8.9</v>
      </c>
      <c r="AB36" s="26">
        <f>ROUND($P36*(Lookups!$B$18-Lookups!$B$17)+Lookups!$B$17,1)</f>
        <v>6</v>
      </c>
      <c r="AC36" s="23">
        <f t="shared" si="2"/>
        <v>71</v>
      </c>
      <c r="AD36" s="23">
        <f>ROUND($R36*Lookups!$B$19,1)</f>
        <v>17</v>
      </c>
      <c r="AE36" s="27">
        <f t="shared" si="3"/>
        <v>0.77142857142857146</v>
      </c>
      <c r="AF36" s="23" t="str">
        <f>IF($U36&gt;=Lookups!$B$23,"High",IF($U36&gt;=Lookups!$B$22,"Medium","Low"))</f>
        <v>Medium</v>
      </c>
      <c r="AG36" s="23">
        <f>ROUND(IF($V36="Weekday",IF(INDEX(Hourly_Analysis!$D$5:$D$28,$J36+1)&gt;0,($U36-INDEX(Hourly_Analysis!$C$5:$C$28,$J36+1))/INDEX(Hourly_Analysis!$D$5:$D$28,$J36+1),0),IF(INDEX(Hourly_Analysis!$G$5:$G$28,$J36+1)&gt;0,($U36-INDEX(Hourly_Analysis!$F$5:$F$28,$J36+1))/INDEX(Hourly_Analysis!$G$5:$G$28,$J36+1),0)),2)</f>
        <v>-0.25</v>
      </c>
      <c r="AH36" s="23" t="str">
        <f>IF(ABS($AG36)&gt;Lookups!$B$20,IF($AG36&gt;0,"High anomaly","Low anomaly"),"")</f>
        <v/>
      </c>
      <c r="AI36" s="23" t="str">
        <f t="shared" si="4"/>
        <v>OK</v>
      </c>
      <c r="AJ36" s="23" t="str">
        <f t="shared" si="5"/>
        <v>No</v>
      </c>
    </row>
    <row r="37" spans="1:36" x14ac:dyDescent="0.35">
      <c r="A37" s="23">
        <v>36</v>
      </c>
      <c r="B37" s="23" t="str">
        <f t="shared" si="0"/>
        <v>Merge 1+2</v>
      </c>
      <c r="C37" s="23">
        <f>IFERROR(MATCH($A37,Merge_1_2!$A$2:$A$611,0),0)</f>
        <v>36</v>
      </c>
      <c r="D37" s="23">
        <f>IF($C37&gt;0,INDEX(Merge_1_2!$Q$2:$Q$611,$C37),0)</f>
        <v>36</v>
      </c>
      <c r="E37" s="23">
        <f>IFERROR(MATCH($A37,Dataset3_Raw!$A$2:$A$391,0),0)</f>
        <v>0</v>
      </c>
      <c r="F37" s="24">
        <f>IF($C37&gt;0,INDEX(Merge_1_2!$B$2:$B$611,$C37),DATE(VALUE(RIGHT(INDEX(Dataset3_Raw!$B$2:$B$391,$E37),4)),VALUE(MID(INDEX(Dataset3_Raw!$B$2:$B$391,$E37),4,2)),VALUE(LEFT(INDEX(Dataset3_Raw!$B$2:$B$391,$E37),2))))</f>
        <v>40545</v>
      </c>
      <c r="G37" s="23">
        <f>IF($C37&gt;0,INDEX(Merge_1_2!$C$2:$C$611,$C37),INDEX(Dataset3_Raw!$C$2:$C$391,$E37))</f>
        <v>1</v>
      </c>
      <c r="H37" s="23">
        <f>IF($C37&gt;0,INDEX(Merge_1_2!$D$2:$D$611,$C37),INDEX(Dataset3_Raw!$D$2:$D$391,$E37))</f>
        <v>0</v>
      </c>
      <c r="I37" s="23">
        <f>IF($C37&gt;0,INDEX(Merge_1_2!$E$2:$E$611,$C37),INDEX(Dataset3_Raw!$E$2:$E$391,$E37))</f>
        <v>1</v>
      </c>
      <c r="J37" s="23">
        <f>IF($C37&gt;0,INDEX(Merge_1_2!$F$2:$F$611,$C37),INDEX(Dataset3_Raw!$F$2:$F$391,$E37))</f>
        <v>12</v>
      </c>
      <c r="K37" s="23" t="b">
        <f>IF($C37&gt;0,INDEX(Merge_1_2!$G$2:$G$611,$C37),INDEX(Dataset3_Raw!$G$2:$G$391,$E37))</f>
        <v>0</v>
      </c>
      <c r="L37" s="23">
        <f>IF($C37&gt;0,INDEX(Merge_1_2!$H$2:$H$611,$C37),INDEX(Dataset3_Raw!$H$2:$H$391,$E37))</f>
        <v>0</v>
      </c>
      <c r="M37" s="23">
        <f>IF($C37&gt;0,INDEX(Merge_1_2!$I$2:$I$611,$C37),INDEX(Dataset3_Raw!$I$2:$I$391,$E37))</f>
        <v>2</v>
      </c>
      <c r="N37" s="25">
        <f>IF($C37&gt;0,INDEX(Merge_1_2!$J$2:$J$611,$C37),INDEX(Dataset3_Raw!$J$2:$J$391,$E37))</f>
        <v>0.36</v>
      </c>
      <c r="O37" s="25">
        <f>IF($C37&gt;0,IF(ISNUMBER(INDEX(Merge_1_2!$K$2:$K$611,$C37)),INDEX(Merge_1_2!$K$2:$K$611,$C37),""),INDEX(Dataset3_Raw!$K$2:$K$391,$E37))</f>
        <v>0.33329999999999999</v>
      </c>
      <c r="P37" s="25">
        <f>IF(ISNUMBER($O37),$O37,ROUND(Lookups!$B$25+Lookups!$B$24*$N37,4))</f>
        <v>0.33329999999999999</v>
      </c>
      <c r="Q37" s="25">
        <f>IF($C37&gt;0,INDEX(Merge_1_2!$L$2:$L$611,$C37),INDEX(Dataset3_Raw!$L$2:$L$391,$E37))</f>
        <v>0.66</v>
      </c>
      <c r="R37" s="25">
        <f>IF($C37&gt;0,INDEX(Merge_1_2!$M$2:$M$611,$C37),INDEX(Dataset3_Raw!$M$2:$M$391,$E37))</f>
        <v>0.29849999999999999</v>
      </c>
      <c r="S37" s="23">
        <f>IF($C37&gt;0,INDEX(Merge_1_2!$N$2:$N$611,$C37),INDEX(Dataset3_Raw!$N$2:$N$391,$E37))</f>
        <v>20</v>
      </c>
      <c r="T37" s="23">
        <f>IF($C37&gt;0,INDEX(Merge_1_2!$O$2:$O$611,$C37),INDEX(Dataset3_Raw!$O$2:$O$391,$E37))</f>
        <v>73</v>
      </c>
      <c r="U37" s="23">
        <f>IF($C37&gt;0,INDEX(Merge_1_2!$P$2:$P$611,$C37),INDEX(Dataset3_Raw!$P$2:$P$391,$E37))</f>
        <v>93</v>
      </c>
      <c r="V37" s="23" t="str">
        <f t="shared" si="1"/>
        <v>Weekend</v>
      </c>
      <c r="W37" s="23" t="str">
        <f>VLOOKUP($M37,Lookups!$A$5:$B$8,2,FALSE())</f>
        <v>Mist / Cloudy</v>
      </c>
      <c r="X37" s="23" t="str">
        <f>VLOOKUP($G37,Lookups!$D$5:$E$8,2,FALSE())</f>
        <v>Winter</v>
      </c>
      <c r="Y37" s="23" t="str">
        <f>VLOOKUP($L37,Lookups!$G$5:$H$11,2,FALSE())</f>
        <v>Sunday</v>
      </c>
      <c r="Z37" s="23" t="str">
        <f>IF($J37&lt;Lookups!$B$26,"Night",IF($J37&lt;Lookups!$B$27,"Morning",IF($J37&lt;Lookups!$B$28,"Afternoon","Evening")))</f>
        <v>Afternoon</v>
      </c>
      <c r="AA37" s="26">
        <f>ROUND($N37*(Lookups!$B$16-Lookups!$B$15)+Lookups!$B$15,1)</f>
        <v>8.9</v>
      </c>
      <c r="AB37" s="26">
        <f>ROUND($P37*(Lookups!$B$18-Lookups!$B$17)+Lookups!$B$17,1)</f>
        <v>6</v>
      </c>
      <c r="AC37" s="23">
        <f t="shared" si="2"/>
        <v>66</v>
      </c>
      <c r="AD37" s="23">
        <f>ROUND($R37*Lookups!$B$19,1)</f>
        <v>20</v>
      </c>
      <c r="AE37" s="27">
        <f t="shared" si="3"/>
        <v>0.78494623655913975</v>
      </c>
      <c r="AF37" s="23" t="str">
        <f>IF($U37&gt;=Lookups!$B$23,"High",IF($U37&gt;=Lookups!$B$22,"Medium","Low"))</f>
        <v>High</v>
      </c>
      <c r="AG37" s="23">
        <f>ROUND(IF($V37="Weekday",IF(INDEX(Hourly_Analysis!$D$5:$D$28,$J37+1)&gt;0,($U37-INDEX(Hourly_Analysis!$C$5:$C$28,$J37+1))/INDEX(Hourly_Analysis!$D$5:$D$28,$J37+1),0),IF(INDEX(Hourly_Analysis!$G$5:$G$28,$J37+1)&gt;0,($U37-INDEX(Hourly_Analysis!$F$5:$F$28,$J37+1))/INDEX(Hourly_Analysis!$G$5:$G$28,$J37+1),0)),2)</f>
        <v>-0.2</v>
      </c>
      <c r="AH37" s="23" t="str">
        <f>IF(ABS($AG37)&gt;Lookups!$B$20,IF($AG37&gt;0,"High anomaly","Low anomaly"),"")</f>
        <v/>
      </c>
      <c r="AI37" s="23" t="str">
        <f t="shared" si="4"/>
        <v>OK</v>
      </c>
      <c r="AJ37" s="23" t="str">
        <f t="shared" si="5"/>
        <v>No</v>
      </c>
    </row>
    <row r="38" spans="1:36" x14ac:dyDescent="0.35">
      <c r="A38" s="23">
        <v>37</v>
      </c>
      <c r="B38" s="23" t="str">
        <f t="shared" si="0"/>
        <v>Merge 1+2</v>
      </c>
      <c r="C38" s="23">
        <f>IFERROR(MATCH($A38,Merge_1_2!$A$2:$A$611,0),0)</f>
        <v>37</v>
      </c>
      <c r="D38" s="23">
        <f>IF($C38&gt;0,INDEX(Merge_1_2!$Q$2:$Q$611,$C38),0)</f>
        <v>37</v>
      </c>
      <c r="E38" s="23">
        <f>IFERROR(MATCH($A38,Dataset3_Raw!$A$2:$A$391,0),0)</f>
        <v>0</v>
      </c>
      <c r="F38" s="24">
        <f>IF($C38&gt;0,INDEX(Merge_1_2!$B$2:$B$611,$C38),DATE(VALUE(RIGHT(INDEX(Dataset3_Raw!$B$2:$B$391,$E38),4)),VALUE(MID(INDEX(Dataset3_Raw!$B$2:$B$391,$E38),4,2)),VALUE(LEFT(INDEX(Dataset3_Raw!$B$2:$B$391,$E38),2))))</f>
        <v>40545</v>
      </c>
      <c r="G38" s="23">
        <f>IF($C38&gt;0,INDEX(Merge_1_2!$C$2:$C$611,$C38),INDEX(Dataset3_Raw!$C$2:$C$391,$E38))</f>
        <v>1</v>
      </c>
      <c r="H38" s="23">
        <f>IF($C38&gt;0,INDEX(Merge_1_2!$D$2:$D$611,$C38),INDEX(Dataset3_Raw!$D$2:$D$391,$E38))</f>
        <v>0</v>
      </c>
      <c r="I38" s="23">
        <f>IF($C38&gt;0,INDEX(Merge_1_2!$E$2:$E$611,$C38),INDEX(Dataset3_Raw!$E$2:$E$391,$E38))</f>
        <v>1</v>
      </c>
      <c r="J38" s="23">
        <f>IF($C38&gt;0,INDEX(Merge_1_2!$F$2:$F$611,$C38),INDEX(Dataset3_Raw!$F$2:$F$391,$E38))</f>
        <v>13</v>
      </c>
      <c r="K38" s="23" t="b">
        <f>IF($C38&gt;0,INDEX(Merge_1_2!$G$2:$G$611,$C38),INDEX(Dataset3_Raw!$G$2:$G$391,$E38))</f>
        <v>0</v>
      </c>
      <c r="L38" s="23">
        <f>IF($C38&gt;0,INDEX(Merge_1_2!$H$2:$H$611,$C38),INDEX(Dataset3_Raw!$H$2:$H$391,$E38))</f>
        <v>0</v>
      </c>
      <c r="M38" s="23">
        <f>IF($C38&gt;0,INDEX(Merge_1_2!$I$2:$I$611,$C38),INDEX(Dataset3_Raw!$I$2:$I$391,$E38))</f>
        <v>2</v>
      </c>
      <c r="N38" s="25">
        <f>IF($C38&gt;0,INDEX(Merge_1_2!$J$2:$J$611,$C38),INDEX(Dataset3_Raw!$J$2:$J$391,$E38))</f>
        <v>0.36</v>
      </c>
      <c r="O38" s="25">
        <f>IF($C38&gt;0,IF(ISNUMBER(INDEX(Merge_1_2!$K$2:$K$611,$C38)),INDEX(Merge_1_2!$K$2:$K$611,$C38),""),INDEX(Dataset3_Raw!$K$2:$K$391,$E38))</f>
        <v>0.34849999999999998</v>
      </c>
      <c r="P38" s="25">
        <f>IF(ISNUMBER($O38),$O38,ROUND(Lookups!$B$25+Lookups!$B$24*$N38,4))</f>
        <v>0.34849999999999998</v>
      </c>
      <c r="Q38" s="25">
        <f>IF($C38&gt;0,INDEX(Merge_1_2!$L$2:$L$611,$C38),INDEX(Dataset3_Raw!$L$2:$L$391,$E38))</f>
        <v>0.66</v>
      </c>
      <c r="R38" s="25">
        <f>IF($C38&gt;0,INDEX(Merge_1_2!$M$2:$M$611,$C38),INDEX(Dataset3_Raw!$M$2:$M$391,$E38))</f>
        <v>0.1343</v>
      </c>
      <c r="S38" s="23">
        <f>IF($C38&gt;0,INDEX(Merge_1_2!$N$2:$N$611,$C38),INDEX(Dataset3_Raw!$N$2:$N$391,$E38))</f>
        <v>11</v>
      </c>
      <c r="T38" s="23">
        <f>IF($C38&gt;0,INDEX(Merge_1_2!$O$2:$O$611,$C38),INDEX(Dataset3_Raw!$O$2:$O$391,$E38))</f>
        <v>64</v>
      </c>
      <c r="U38" s="23">
        <f>IF($C38&gt;0,INDEX(Merge_1_2!$P$2:$P$611,$C38),INDEX(Dataset3_Raw!$P$2:$P$391,$E38))</f>
        <v>75</v>
      </c>
      <c r="V38" s="23" t="str">
        <f t="shared" si="1"/>
        <v>Weekend</v>
      </c>
      <c r="W38" s="23" t="str">
        <f>VLOOKUP($M38,Lookups!$A$5:$B$8,2,FALSE())</f>
        <v>Mist / Cloudy</v>
      </c>
      <c r="X38" s="23" t="str">
        <f>VLOOKUP($G38,Lookups!$D$5:$E$8,2,FALSE())</f>
        <v>Winter</v>
      </c>
      <c r="Y38" s="23" t="str">
        <f>VLOOKUP($L38,Lookups!$G$5:$H$11,2,FALSE())</f>
        <v>Sunday</v>
      </c>
      <c r="Z38" s="23" t="str">
        <f>IF($J38&lt;Lookups!$B$26,"Night",IF($J38&lt;Lookups!$B$27,"Morning",IF($J38&lt;Lookups!$B$28,"Afternoon","Evening")))</f>
        <v>Afternoon</v>
      </c>
      <c r="AA38" s="26">
        <f>ROUND($N38*(Lookups!$B$16-Lookups!$B$15)+Lookups!$B$15,1)</f>
        <v>8.9</v>
      </c>
      <c r="AB38" s="26">
        <f>ROUND($P38*(Lookups!$B$18-Lookups!$B$17)+Lookups!$B$17,1)</f>
        <v>7</v>
      </c>
      <c r="AC38" s="23">
        <f t="shared" si="2"/>
        <v>66</v>
      </c>
      <c r="AD38" s="23">
        <f>ROUND($R38*Lookups!$B$19,1)</f>
        <v>9</v>
      </c>
      <c r="AE38" s="27">
        <f t="shared" si="3"/>
        <v>0.85333333333333339</v>
      </c>
      <c r="AF38" s="23" t="str">
        <f>IF($U38&gt;=Lookups!$B$23,"High",IF($U38&gt;=Lookups!$B$22,"Medium","Low"))</f>
        <v>Medium</v>
      </c>
      <c r="AG38" s="23">
        <f>ROUND(IF($V38="Weekday",IF(INDEX(Hourly_Analysis!$D$5:$D$28,$J38+1)&gt;0,($U38-INDEX(Hourly_Analysis!$C$5:$C$28,$J38+1))/INDEX(Hourly_Analysis!$D$5:$D$28,$J38+1),0),IF(INDEX(Hourly_Analysis!$G$5:$G$28,$J38+1)&gt;0,($U38-INDEX(Hourly_Analysis!$F$5:$F$28,$J38+1))/INDEX(Hourly_Analysis!$G$5:$G$28,$J38+1),0)),2)</f>
        <v>-0.8</v>
      </c>
      <c r="AH38" s="23" t="str">
        <f>IF(ABS($AG38)&gt;Lookups!$B$20,IF($AG38&gt;0,"High anomaly","Low anomaly"),"")</f>
        <v/>
      </c>
      <c r="AI38" s="23" t="str">
        <f t="shared" si="4"/>
        <v>OK</v>
      </c>
      <c r="AJ38" s="23" t="str">
        <f t="shared" si="5"/>
        <v>No</v>
      </c>
    </row>
    <row r="39" spans="1:36" x14ac:dyDescent="0.35">
      <c r="A39" s="23">
        <v>38</v>
      </c>
      <c r="B39" s="23" t="str">
        <f t="shared" si="0"/>
        <v>Merge 1+2</v>
      </c>
      <c r="C39" s="23">
        <f>IFERROR(MATCH($A39,Merge_1_2!$A$2:$A$611,0),0)</f>
        <v>38</v>
      </c>
      <c r="D39" s="23">
        <f>IF($C39&gt;0,INDEX(Merge_1_2!$Q$2:$Q$611,$C39),0)</f>
        <v>38</v>
      </c>
      <c r="E39" s="23">
        <f>IFERROR(MATCH($A39,Dataset3_Raw!$A$2:$A$391,0),0)</f>
        <v>0</v>
      </c>
      <c r="F39" s="24">
        <f>IF($C39&gt;0,INDEX(Merge_1_2!$B$2:$B$611,$C39),DATE(VALUE(RIGHT(INDEX(Dataset3_Raw!$B$2:$B$391,$E39),4)),VALUE(MID(INDEX(Dataset3_Raw!$B$2:$B$391,$E39),4,2)),VALUE(LEFT(INDEX(Dataset3_Raw!$B$2:$B$391,$E39),2))))</f>
        <v>40545</v>
      </c>
      <c r="G39" s="23">
        <f>IF($C39&gt;0,INDEX(Merge_1_2!$C$2:$C$611,$C39),INDEX(Dataset3_Raw!$C$2:$C$391,$E39))</f>
        <v>1</v>
      </c>
      <c r="H39" s="23">
        <f>IF($C39&gt;0,INDEX(Merge_1_2!$D$2:$D$611,$C39),INDEX(Dataset3_Raw!$D$2:$D$391,$E39))</f>
        <v>0</v>
      </c>
      <c r="I39" s="23">
        <f>IF($C39&gt;0,INDEX(Merge_1_2!$E$2:$E$611,$C39),INDEX(Dataset3_Raw!$E$2:$E$391,$E39))</f>
        <v>1</v>
      </c>
      <c r="J39" s="23">
        <f>IF($C39&gt;0,INDEX(Merge_1_2!$F$2:$F$611,$C39),INDEX(Dataset3_Raw!$F$2:$F$391,$E39))</f>
        <v>14</v>
      </c>
      <c r="K39" s="23" t="b">
        <f>IF($C39&gt;0,INDEX(Merge_1_2!$G$2:$G$611,$C39),INDEX(Dataset3_Raw!$G$2:$G$391,$E39))</f>
        <v>0</v>
      </c>
      <c r="L39" s="23">
        <f>IF($C39&gt;0,INDEX(Merge_1_2!$H$2:$H$611,$C39),INDEX(Dataset3_Raw!$H$2:$H$391,$E39))</f>
        <v>0</v>
      </c>
      <c r="M39" s="23">
        <f>IF($C39&gt;0,INDEX(Merge_1_2!$I$2:$I$611,$C39),INDEX(Dataset3_Raw!$I$2:$I$391,$E39))</f>
        <v>3</v>
      </c>
      <c r="N39" s="25">
        <f>IF($C39&gt;0,INDEX(Merge_1_2!$J$2:$J$611,$C39),INDEX(Dataset3_Raw!$J$2:$J$391,$E39))</f>
        <v>0.36</v>
      </c>
      <c r="O39" s="25" t="str">
        <f>IF($C39&gt;0,IF(ISNUMBER(INDEX(Merge_1_2!$K$2:$K$611,$C39)),INDEX(Merge_1_2!$K$2:$K$611,$C39),""),INDEX(Dataset3_Raw!$K$2:$K$391,$E39))</f>
        <v/>
      </c>
      <c r="P39" s="25">
        <f>IF(ISNUMBER($O39),$O39,ROUND(Lookups!$B$25+Lookups!$B$24*$N39,4))</f>
        <v>0.35460000000000003</v>
      </c>
      <c r="Q39" s="25">
        <f>IF($C39&gt;0,INDEX(Merge_1_2!$L$2:$L$611,$C39),INDEX(Dataset3_Raw!$L$2:$L$391,$E39))</f>
        <v>0.76</v>
      </c>
      <c r="R39" s="25">
        <f>IF($C39&gt;0,INDEX(Merge_1_2!$M$2:$M$611,$C39),INDEX(Dataset3_Raw!$M$2:$M$391,$E39))</f>
        <v>0.19400000000000001</v>
      </c>
      <c r="S39" s="23">
        <f>IF($C39&gt;0,INDEX(Merge_1_2!$N$2:$N$611,$C39),INDEX(Dataset3_Raw!$N$2:$N$391,$E39))</f>
        <v>4</v>
      </c>
      <c r="T39" s="23">
        <f>IF($C39&gt;0,INDEX(Merge_1_2!$O$2:$O$611,$C39),INDEX(Dataset3_Raw!$O$2:$O$391,$E39))</f>
        <v>55</v>
      </c>
      <c r="U39" s="23">
        <f>IF($C39&gt;0,INDEX(Merge_1_2!$P$2:$P$611,$C39),INDEX(Dataset3_Raw!$P$2:$P$391,$E39))</f>
        <v>59</v>
      </c>
      <c r="V39" s="23" t="str">
        <f t="shared" si="1"/>
        <v>Weekend</v>
      </c>
      <c r="W39" s="23" t="str">
        <f>VLOOKUP($M39,Lookups!$A$5:$B$8,2,FALSE())</f>
        <v>Light snow / Light rain</v>
      </c>
      <c r="X39" s="23" t="str">
        <f>VLOOKUP($G39,Lookups!$D$5:$E$8,2,FALSE())</f>
        <v>Winter</v>
      </c>
      <c r="Y39" s="23" t="str">
        <f>VLOOKUP($L39,Lookups!$G$5:$H$11,2,FALSE())</f>
        <v>Sunday</v>
      </c>
      <c r="Z39" s="23" t="str">
        <f>IF($J39&lt;Lookups!$B$26,"Night",IF($J39&lt;Lookups!$B$27,"Morning",IF($J39&lt;Lookups!$B$28,"Afternoon","Evening")))</f>
        <v>Afternoon</v>
      </c>
      <c r="AA39" s="26">
        <f>ROUND($N39*(Lookups!$B$16-Lookups!$B$15)+Lookups!$B$15,1)</f>
        <v>8.9</v>
      </c>
      <c r="AB39" s="26">
        <f>ROUND($P39*(Lookups!$B$18-Lookups!$B$17)+Lookups!$B$17,1)</f>
        <v>7.4</v>
      </c>
      <c r="AC39" s="23">
        <f t="shared" si="2"/>
        <v>76</v>
      </c>
      <c r="AD39" s="23">
        <f>ROUND($R39*Lookups!$B$19,1)</f>
        <v>13</v>
      </c>
      <c r="AE39" s="27">
        <f t="shared" si="3"/>
        <v>0.93220338983050843</v>
      </c>
      <c r="AF39" s="23" t="str">
        <f>IF($U39&gt;=Lookups!$B$23,"High",IF($U39&gt;=Lookups!$B$22,"Medium","Low"))</f>
        <v>Medium</v>
      </c>
      <c r="AG39" s="23">
        <f>ROUND(IF($V39="Weekday",IF(INDEX(Hourly_Analysis!$D$5:$D$28,$J39+1)&gt;0,($U39-INDEX(Hourly_Analysis!$C$5:$C$28,$J39+1))/INDEX(Hourly_Analysis!$D$5:$D$28,$J39+1),0),IF(INDEX(Hourly_Analysis!$G$5:$G$28,$J39+1)&gt;0,($U39-INDEX(Hourly_Analysis!$F$5:$F$28,$J39+1))/INDEX(Hourly_Analysis!$G$5:$G$28,$J39+1),0)),2)</f>
        <v>-1.35</v>
      </c>
      <c r="AH39" s="23" t="str">
        <f>IF(ABS($AG39)&gt;Lookups!$B$20,IF($AG39&gt;0,"High anomaly","Low anomaly"),"")</f>
        <v/>
      </c>
      <c r="AI39" s="23" t="str">
        <f t="shared" si="4"/>
        <v>OK</v>
      </c>
      <c r="AJ39" s="23" t="str">
        <f t="shared" si="5"/>
        <v>Yes</v>
      </c>
    </row>
    <row r="40" spans="1:36" x14ac:dyDescent="0.35">
      <c r="A40" s="23">
        <v>39</v>
      </c>
      <c r="B40" s="23" t="str">
        <f t="shared" si="0"/>
        <v>Merge 1+2</v>
      </c>
      <c r="C40" s="23">
        <f>IFERROR(MATCH($A40,Merge_1_2!$A$2:$A$611,0),0)</f>
        <v>39</v>
      </c>
      <c r="D40" s="23">
        <f>IF($C40&gt;0,INDEX(Merge_1_2!$Q$2:$Q$611,$C40),0)</f>
        <v>39</v>
      </c>
      <c r="E40" s="23">
        <f>IFERROR(MATCH($A40,Dataset3_Raw!$A$2:$A$391,0),0)</f>
        <v>0</v>
      </c>
      <c r="F40" s="24">
        <f>IF($C40&gt;0,INDEX(Merge_1_2!$B$2:$B$611,$C40),DATE(VALUE(RIGHT(INDEX(Dataset3_Raw!$B$2:$B$391,$E40),4)),VALUE(MID(INDEX(Dataset3_Raw!$B$2:$B$391,$E40),4,2)),VALUE(LEFT(INDEX(Dataset3_Raw!$B$2:$B$391,$E40),2))))</f>
        <v>40545</v>
      </c>
      <c r="G40" s="23">
        <f>IF($C40&gt;0,INDEX(Merge_1_2!$C$2:$C$611,$C40),INDEX(Dataset3_Raw!$C$2:$C$391,$E40))</f>
        <v>1</v>
      </c>
      <c r="H40" s="23">
        <f>IF($C40&gt;0,INDEX(Merge_1_2!$D$2:$D$611,$C40),INDEX(Dataset3_Raw!$D$2:$D$391,$E40))</f>
        <v>0</v>
      </c>
      <c r="I40" s="23">
        <f>IF($C40&gt;0,INDEX(Merge_1_2!$E$2:$E$611,$C40),INDEX(Dataset3_Raw!$E$2:$E$391,$E40))</f>
        <v>1</v>
      </c>
      <c r="J40" s="23">
        <f>IF($C40&gt;0,INDEX(Merge_1_2!$F$2:$F$611,$C40),INDEX(Dataset3_Raw!$F$2:$F$391,$E40))</f>
        <v>15</v>
      </c>
      <c r="K40" s="23" t="b">
        <f>IF($C40&gt;0,INDEX(Merge_1_2!$G$2:$G$611,$C40),INDEX(Dataset3_Raw!$G$2:$G$391,$E40))</f>
        <v>0</v>
      </c>
      <c r="L40" s="23">
        <f>IF($C40&gt;0,INDEX(Merge_1_2!$H$2:$H$611,$C40),INDEX(Dataset3_Raw!$H$2:$H$391,$E40))</f>
        <v>0</v>
      </c>
      <c r="M40" s="23">
        <f>IF($C40&gt;0,INDEX(Merge_1_2!$I$2:$I$611,$C40),INDEX(Dataset3_Raw!$I$2:$I$391,$E40))</f>
        <v>3</v>
      </c>
      <c r="N40" s="25">
        <f>IF($C40&gt;0,INDEX(Merge_1_2!$J$2:$J$611,$C40),INDEX(Dataset3_Raw!$J$2:$J$391,$E40))</f>
        <v>0.34</v>
      </c>
      <c r="O40" s="25">
        <f>IF($C40&gt;0,IF(ISNUMBER(INDEX(Merge_1_2!$K$2:$K$611,$C40)),INDEX(Merge_1_2!$K$2:$K$611,$C40),""),INDEX(Dataset3_Raw!$K$2:$K$391,$E40))</f>
        <v>0.33329999999999999</v>
      </c>
      <c r="P40" s="25">
        <f>IF(ISNUMBER($O40),$O40,ROUND(Lookups!$B$25+Lookups!$B$24*$N40,4))</f>
        <v>0.33329999999999999</v>
      </c>
      <c r="Q40" s="25">
        <f>IF($C40&gt;0,INDEX(Merge_1_2!$L$2:$L$611,$C40),INDEX(Dataset3_Raw!$L$2:$L$391,$E40))</f>
        <v>0.81</v>
      </c>
      <c r="R40" s="25">
        <f>IF($C40&gt;0,INDEX(Merge_1_2!$M$2:$M$611,$C40),INDEX(Dataset3_Raw!$M$2:$M$391,$E40))</f>
        <v>0.16420000000000001</v>
      </c>
      <c r="S40" s="23">
        <f>IF($C40&gt;0,INDEX(Merge_1_2!$N$2:$N$611,$C40),INDEX(Dataset3_Raw!$N$2:$N$391,$E40))</f>
        <v>19</v>
      </c>
      <c r="T40" s="23">
        <f>IF($C40&gt;0,INDEX(Merge_1_2!$O$2:$O$611,$C40),INDEX(Dataset3_Raw!$O$2:$O$391,$E40))</f>
        <v>55</v>
      </c>
      <c r="U40" s="23">
        <f>IF($C40&gt;0,INDEX(Merge_1_2!$P$2:$P$611,$C40),INDEX(Dataset3_Raw!$P$2:$P$391,$E40))</f>
        <v>74</v>
      </c>
      <c r="V40" s="23" t="str">
        <f t="shared" si="1"/>
        <v>Weekend</v>
      </c>
      <c r="W40" s="23" t="str">
        <f>VLOOKUP($M40,Lookups!$A$5:$B$8,2,FALSE())</f>
        <v>Light snow / Light rain</v>
      </c>
      <c r="X40" s="23" t="str">
        <f>VLOOKUP($G40,Lookups!$D$5:$E$8,2,FALSE())</f>
        <v>Winter</v>
      </c>
      <c r="Y40" s="23" t="str">
        <f>VLOOKUP($L40,Lookups!$G$5:$H$11,2,FALSE())</f>
        <v>Sunday</v>
      </c>
      <c r="Z40" s="23" t="str">
        <f>IF($J40&lt;Lookups!$B$26,"Night",IF($J40&lt;Lookups!$B$27,"Morning",IF($J40&lt;Lookups!$B$28,"Afternoon","Evening")))</f>
        <v>Afternoon</v>
      </c>
      <c r="AA40" s="26">
        <f>ROUND($N40*(Lookups!$B$16-Lookups!$B$15)+Lookups!$B$15,1)</f>
        <v>8</v>
      </c>
      <c r="AB40" s="26">
        <f>ROUND($P40*(Lookups!$B$18-Lookups!$B$17)+Lookups!$B$17,1)</f>
        <v>6</v>
      </c>
      <c r="AC40" s="23">
        <f t="shared" si="2"/>
        <v>81</v>
      </c>
      <c r="AD40" s="23">
        <f>ROUND($R40*Lookups!$B$19,1)</f>
        <v>11</v>
      </c>
      <c r="AE40" s="27">
        <f t="shared" si="3"/>
        <v>0.7432432432432432</v>
      </c>
      <c r="AF40" s="23" t="str">
        <f>IF($U40&gt;=Lookups!$B$23,"High",IF($U40&gt;=Lookups!$B$22,"Medium","Low"))</f>
        <v>Medium</v>
      </c>
      <c r="AG40" s="23">
        <f>ROUND(IF($V40="Weekday",IF(INDEX(Hourly_Analysis!$D$5:$D$28,$J40+1)&gt;0,($U40-INDEX(Hourly_Analysis!$C$5:$C$28,$J40+1))/INDEX(Hourly_Analysis!$D$5:$D$28,$J40+1),0),IF(INDEX(Hourly_Analysis!$G$5:$G$28,$J40+1)&gt;0,($U40-INDEX(Hourly_Analysis!$F$5:$F$28,$J40+1))/INDEX(Hourly_Analysis!$G$5:$G$28,$J40+1),0)),2)</f>
        <v>-0.98</v>
      </c>
      <c r="AH40" s="23" t="str">
        <f>IF(ABS($AG40)&gt;Lookups!$B$20,IF($AG40&gt;0,"High anomaly","Low anomaly"),"")</f>
        <v/>
      </c>
      <c r="AI40" s="23" t="str">
        <f t="shared" si="4"/>
        <v>OK</v>
      </c>
      <c r="AJ40" s="23" t="str">
        <f t="shared" si="5"/>
        <v>No</v>
      </c>
    </row>
    <row r="41" spans="1:36" x14ac:dyDescent="0.35">
      <c r="A41" s="23">
        <v>40</v>
      </c>
      <c r="B41" s="23" t="str">
        <f t="shared" si="0"/>
        <v>Merge 1+2</v>
      </c>
      <c r="C41" s="23">
        <f>IFERROR(MATCH($A41,Merge_1_2!$A$2:$A$611,0),0)</f>
        <v>40</v>
      </c>
      <c r="D41" s="23">
        <f>IF($C41&gt;0,INDEX(Merge_1_2!$Q$2:$Q$611,$C41),0)</f>
        <v>40</v>
      </c>
      <c r="E41" s="23">
        <f>IFERROR(MATCH($A41,Dataset3_Raw!$A$2:$A$391,0),0)</f>
        <v>0</v>
      </c>
      <c r="F41" s="24">
        <f>IF($C41&gt;0,INDEX(Merge_1_2!$B$2:$B$611,$C41),DATE(VALUE(RIGHT(INDEX(Dataset3_Raw!$B$2:$B$391,$E41),4)),VALUE(MID(INDEX(Dataset3_Raw!$B$2:$B$391,$E41),4,2)),VALUE(LEFT(INDEX(Dataset3_Raw!$B$2:$B$391,$E41),2))))</f>
        <v>40545</v>
      </c>
      <c r="G41" s="23">
        <f>IF($C41&gt;0,INDEX(Merge_1_2!$C$2:$C$611,$C41),INDEX(Dataset3_Raw!$C$2:$C$391,$E41))</f>
        <v>1</v>
      </c>
      <c r="H41" s="23">
        <f>IF($C41&gt;0,INDEX(Merge_1_2!$D$2:$D$611,$C41),INDEX(Dataset3_Raw!$D$2:$D$391,$E41))</f>
        <v>0</v>
      </c>
      <c r="I41" s="23">
        <f>IF($C41&gt;0,INDEX(Merge_1_2!$E$2:$E$611,$C41),INDEX(Dataset3_Raw!$E$2:$E$391,$E41))</f>
        <v>1</v>
      </c>
      <c r="J41" s="23">
        <f>IF($C41&gt;0,INDEX(Merge_1_2!$F$2:$F$611,$C41),INDEX(Dataset3_Raw!$F$2:$F$391,$E41))</f>
        <v>16</v>
      </c>
      <c r="K41" s="23" t="b">
        <f>IF($C41&gt;0,INDEX(Merge_1_2!$G$2:$G$611,$C41),INDEX(Dataset3_Raw!$G$2:$G$391,$E41))</f>
        <v>0</v>
      </c>
      <c r="L41" s="23">
        <f>IF($C41&gt;0,INDEX(Merge_1_2!$H$2:$H$611,$C41),INDEX(Dataset3_Raw!$H$2:$H$391,$E41))</f>
        <v>0</v>
      </c>
      <c r="M41" s="23">
        <f>IF($C41&gt;0,INDEX(Merge_1_2!$I$2:$I$611,$C41),INDEX(Dataset3_Raw!$I$2:$I$391,$E41))</f>
        <v>3</v>
      </c>
      <c r="N41" s="25">
        <f>IF($C41&gt;0,INDEX(Merge_1_2!$J$2:$J$611,$C41),INDEX(Dataset3_Raw!$J$2:$J$391,$E41))</f>
        <v>0.34</v>
      </c>
      <c r="O41" s="25">
        <f>IF($C41&gt;0,IF(ISNUMBER(INDEX(Merge_1_2!$K$2:$K$611,$C41)),INDEX(Merge_1_2!$K$2:$K$611,$C41),""),INDEX(Dataset3_Raw!$K$2:$K$391,$E41))</f>
        <v>0.33329999999999999</v>
      </c>
      <c r="P41" s="25">
        <f>IF(ISNUMBER($O41),$O41,ROUND(Lookups!$B$25+Lookups!$B$24*$N41,4))</f>
        <v>0.33329999999999999</v>
      </c>
      <c r="Q41" s="25">
        <f>IF($C41&gt;0,INDEX(Merge_1_2!$L$2:$L$611,$C41),INDEX(Dataset3_Raw!$L$2:$L$391,$E41))</f>
        <v>0.71</v>
      </c>
      <c r="R41" s="25">
        <f>IF($C41&gt;0,INDEX(Merge_1_2!$M$2:$M$611,$C41),INDEX(Dataset3_Raw!$M$2:$M$391,$E41))</f>
        <v>0.16420000000000001</v>
      </c>
      <c r="S41" s="23">
        <f>IF($C41&gt;0,INDEX(Merge_1_2!$N$2:$N$611,$C41),INDEX(Dataset3_Raw!$N$2:$N$391,$E41))</f>
        <v>9</v>
      </c>
      <c r="T41" s="23">
        <f>IF($C41&gt;0,INDEX(Merge_1_2!$O$2:$O$611,$C41),INDEX(Dataset3_Raw!$O$2:$O$391,$E41))</f>
        <v>67</v>
      </c>
      <c r="U41" s="23">
        <f>IF($C41&gt;0,INDEX(Merge_1_2!$P$2:$P$611,$C41),INDEX(Dataset3_Raw!$P$2:$P$391,$E41))</f>
        <v>76</v>
      </c>
      <c r="V41" s="23" t="str">
        <f t="shared" si="1"/>
        <v>Weekend</v>
      </c>
      <c r="W41" s="23" t="str">
        <f>VLOOKUP($M41,Lookups!$A$5:$B$8,2,FALSE())</f>
        <v>Light snow / Light rain</v>
      </c>
      <c r="X41" s="23" t="str">
        <f>VLOOKUP($G41,Lookups!$D$5:$E$8,2,FALSE())</f>
        <v>Winter</v>
      </c>
      <c r="Y41" s="23" t="str">
        <f>VLOOKUP($L41,Lookups!$G$5:$H$11,2,FALSE())</f>
        <v>Sunday</v>
      </c>
      <c r="Z41" s="23" t="str">
        <f>IF($J41&lt;Lookups!$B$26,"Night",IF($J41&lt;Lookups!$B$27,"Morning",IF($J41&lt;Lookups!$B$28,"Afternoon","Evening")))</f>
        <v>Afternoon</v>
      </c>
      <c r="AA41" s="26">
        <f>ROUND($N41*(Lookups!$B$16-Lookups!$B$15)+Lookups!$B$15,1)</f>
        <v>8</v>
      </c>
      <c r="AB41" s="26">
        <f>ROUND($P41*(Lookups!$B$18-Lookups!$B$17)+Lookups!$B$17,1)</f>
        <v>6</v>
      </c>
      <c r="AC41" s="23">
        <f t="shared" si="2"/>
        <v>71</v>
      </c>
      <c r="AD41" s="23">
        <f>ROUND($R41*Lookups!$B$19,1)</f>
        <v>11</v>
      </c>
      <c r="AE41" s="27">
        <f t="shared" si="3"/>
        <v>0.88157894736842102</v>
      </c>
      <c r="AF41" s="23" t="str">
        <f>IF($U41&gt;=Lookups!$B$23,"High",IF($U41&gt;=Lookups!$B$22,"Medium","Low"))</f>
        <v>Medium</v>
      </c>
      <c r="AG41" s="23">
        <f>ROUND(IF($V41="Weekday",IF(INDEX(Hourly_Analysis!$D$5:$D$28,$J41+1)&gt;0,($U41-INDEX(Hourly_Analysis!$C$5:$C$28,$J41+1))/INDEX(Hourly_Analysis!$D$5:$D$28,$J41+1),0),IF(INDEX(Hourly_Analysis!$G$5:$G$28,$J41+1)&gt;0,($U41-INDEX(Hourly_Analysis!$F$5:$F$28,$J41+1))/INDEX(Hourly_Analysis!$G$5:$G$28,$J41+1),0)),2)</f>
        <v>-0.9</v>
      </c>
      <c r="AH41" s="23" t="str">
        <f>IF(ABS($AG41)&gt;Lookups!$B$20,IF($AG41&gt;0,"High anomaly","Low anomaly"),"")</f>
        <v/>
      </c>
      <c r="AI41" s="23" t="str">
        <f t="shared" si="4"/>
        <v>OK</v>
      </c>
      <c r="AJ41" s="23" t="str">
        <f t="shared" si="5"/>
        <v>No</v>
      </c>
    </row>
    <row r="42" spans="1:36" x14ac:dyDescent="0.35">
      <c r="A42" s="23">
        <v>41</v>
      </c>
      <c r="B42" s="23" t="str">
        <f t="shared" si="0"/>
        <v>Merge 1+2</v>
      </c>
      <c r="C42" s="23">
        <f>IFERROR(MATCH($A42,Merge_1_2!$A$2:$A$611,0),0)</f>
        <v>41</v>
      </c>
      <c r="D42" s="23">
        <f>IF($C42&gt;0,INDEX(Merge_1_2!$Q$2:$Q$611,$C42),0)</f>
        <v>41</v>
      </c>
      <c r="E42" s="23">
        <f>IFERROR(MATCH($A42,Dataset3_Raw!$A$2:$A$391,0),0)</f>
        <v>0</v>
      </c>
      <c r="F42" s="24">
        <f>IF($C42&gt;0,INDEX(Merge_1_2!$B$2:$B$611,$C42),DATE(VALUE(RIGHT(INDEX(Dataset3_Raw!$B$2:$B$391,$E42),4)),VALUE(MID(INDEX(Dataset3_Raw!$B$2:$B$391,$E42),4,2)),VALUE(LEFT(INDEX(Dataset3_Raw!$B$2:$B$391,$E42),2))))</f>
        <v>40545</v>
      </c>
      <c r="G42" s="23">
        <f>IF($C42&gt;0,INDEX(Merge_1_2!$C$2:$C$611,$C42),INDEX(Dataset3_Raw!$C$2:$C$391,$E42))</f>
        <v>1</v>
      </c>
      <c r="H42" s="23">
        <f>IF($C42&gt;0,INDEX(Merge_1_2!$D$2:$D$611,$C42),INDEX(Dataset3_Raw!$D$2:$D$391,$E42))</f>
        <v>0</v>
      </c>
      <c r="I42" s="23">
        <f>IF($C42&gt;0,INDEX(Merge_1_2!$E$2:$E$611,$C42),INDEX(Dataset3_Raw!$E$2:$E$391,$E42))</f>
        <v>1</v>
      </c>
      <c r="J42" s="23">
        <f>IF($C42&gt;0,INDEX(Merge_1_2!$F$2:$F$611,$C42),INDEX(Dataset3_Raw!$F$2:$F$391,$E42))</f>
        <v>17</v>
      </c>
      <c r="K42" s="23" t="b">
        <f>IF($C42&gt;0,INDEX(Merge_1_2!$G$2:$G$611,$C42),INDEX(Dataset3_Raw!$G$2:$G$391,$E42))</f>
        <v>0</v>
      </c>
      <c r="L42" s="23">
        <f>IF($C42&gt;0,INDEX(Merge_1_2!$H$2:$H$611,$C42),INDEX(Dataset3_Raw!$H$2:$H$391,$E42))</f>
        <v>0</v>
      </c>
      <c r="M42" s="23">
        <f>IF($C42&gt;0,INDEX(Merge_1_2!$I$2:$I$611,$C42),INDEX(Dataset3_Raw!$I$2:$I$391,$E42))</f>
        <v>1</v>
      </c>
      <c r="N42" s="25">
        <f>IF($C42&gt;0,INDEX(Merge_1_2!$J$2:$J$611,$C42),INDEX(Dataset3_Raw!$J$2:$J$391,$E42))</f>
        <v>0.34</v>
      </c>
      <c r="O42" s="25">
        <f>IF($C42&gt;0,IF(ISNUMBER(INDEX(Merge_1_2!$K$2:$K$611,$C42)),INDEX(Merge_1_2!$K$2:$K$611,$C42),""),INDEX(Dataset3_Raw!$K$2:$K$391,$E42))</f>
        <v>0.33329999999999999</v>
      </c>
      <c r="P42" s="25">
        <f>IF(ISNUMBER($O42),$O42,ROUND(Lookups!$B$25+Lookups!$B$24*$N42,4))</f>
        <v>0.33329999999999999</v>
      </c>
      <c r="Q42" s="25">
        <f>IF($C42&gt;0,INDEX(Merge_1_2!$L$2:$L$611,$C42),INDEX(Dataset3_Raw!$L$2:$L$391,$E42))</f>
        <v>0.56999999999999995</v>
      </c>
      <c r="R42" s="25">
        <f>IF($C42&gt;0,INDEX(Merge_1_2!$M$2:$M$611,$C42),INDEX(Dataset3_Raw!$M$2:$M$391,$E42))</f>
        <v>0.19400000000000001</v>
      </c>
      <c r="S42" s="23">
        <f>IF($C42&gt;0,INDEX(Merge_1_2!$N$2:$N$611,$C42),INDEX(Dataset3_Raw!$N$2:$N$391,$E42))</f>
        <v>7</v>
      </c>
      <c r="T42" s="23">
        <f>IF($C42&gt;0,INDEX(Merge_1_2!$O$2:$O$611,$C42),INDEX(Dataset3_Raw!$O$2:$O$391,$E42))</f>
        <v>58</v>
      </c>
      <c r="U42" s="23">
        <f>IF($C42&gt;0,INDEX(Merge_1_2!$P$2:$P$611,$C42),INDEX(Dataset3_Raw!$P$2:$P$391,$E42))</f>
        <v>65</v>
      </c>
      <c r="V42" s="23" t="str">
        <f t="shared" si="1"/>
        <v>Weekend</v>
      </c>
      <c r="W42" s="23" t="str">
        <f>VLOOKUP($M42,Lookups!$A$5:$B$8,2,FALSE())</f>
        <v>Clear / Partly cloudy</v>
      </c>
      <c r="X42" s="23" t="str">
        <f>VLOOKUP($G42,Lookups!$D$5:$E$8,2,FALSE())</f>
        <v>Winter</v>
      </c>
      <c r="Y42" s="23" t="str">
        <f>VLOOKUP($L42,Lookups!$G$5:$H$11,2,FALSE())</f>
        <v>Sunday</v>
      </c>
      <c r="Z42" s="23" t="str">
        <f>IF($J42&lt;Lookups!$B$26,"Night",IF($J42&lt;Lookups!$B$27,"Morning",IF($J42&lt;Lookups!$B$28,"Afternoon","Evening")))</f>
        <v>Afternoon</v>
      </c>
      <c r="AA42" s="26">
        <f>ROUND($N42*(Lookups!$B$16-Lookups!$B$15)+Lookups!$B$15,1)</f>
        <v>8</v>
      </c>
      <c r="AB42" s="26">
        <f>ROUND($P42*(Lookups!$B$18-Lookups!$B$17)+Lookups!$B$17,1)</f>
        <v>6</v>
      </c>
      <c r="AC42" s="23">
        <f t="shared" si="2"/>
        <v>57</v>
      </c>
      <c r="AD42" s="23">
        <f>ROUND($R42*Lookups!$B$19,1)</f>
        <v>13</v>
      </c>
      <c r="AE42" s="27">
        <f t="shared" si="3"/>
        <v>0.89230769230769236</v>
      </c>
      <c r="AF42" s="23" t="str">
        <f>IF($U42&gt;=Lookups!$B$23,"High",IF($U42&gt;=Lookups!$B$22,"Medium","Low"))</f>
        <v>Medium</v>
      </c>
      <c r="AG42" s="23">
        <f>ROUND(IF($V42="Weekday",IF(INDEX(Hourly_Analysis!$D$5:$D$28,$J42+1)&gt;0,($U42-INDEX(Hourly_Analysis!$C$5:$C$28,$J42+1))/INDEX(Hourly_Analysis!$D$5:$D$28,$J42+1),0),IF(INDEX(Hourly_Analysis!$G$5:$G$28,$J42+1)&gt;0,($U42-INDEX(Hourly_Analysis!$F$5:$F$28,$J42+1))/INDEX(Hourly_Analysis!$G$5:$G$28,$J42+1),0)),2)</f>
        <v>-0.78</v>
      </c>
      <c r="AH42" s="23" t="str">
        <f>IF(ABS($AG42)&gt;Lookups!$B$20,IF($AG42&gt;0,"High anomaly","Low anomaly"),"")</f>
        <v/>
      </c>
      <c r="AI42" s="23" t="str">
        <f t="shared" si="4"/>
        <v>OK</v>
      </c>
      <c r="AJ42" s="23" t="str">
        <f t="shared" si="5"/>
        <v>No</v>
      </c>
    </row>
    <row r="43" spans="1:36" x14ac:dyDescent="0.35">
      <c r="A43" s="23">
        <v>42</v>
      </c>
      <c r="B43" s="23" t="str">
        <f t="shared" si="0"/>
        <v>Merge 1+2</v>
      </c>
      <c r="C43" s="23">
        <f>IFERROR(MATCH($A43,Merge_1_2!$A$2:$A$611,0),0)</f>
        <v>42</v>
      </c>
      <c r="D43" s="23">
        <f>IF($C43&gt;0,INDEX(Merge_1_2!$Q$2:$Q$611,$C43),0)</f>
        <v>42</v>
      </c>
      <c r="E43" s="23">
        <f>IFERROR(MATCH($A43,Dataset3_Raw!$A$2:$A$391,0),0)</f>
        <v>0</v>
      </c>
      <c r="F43" s="24">
        <f>IF($C43&gt;0,INDEX(Merge_1_2!$B$2:$B$611,$C43),DATE(VALUE(RIGHT(INDEX(Dataset3_Raw!$B$2:$B$391,$E43),4)),VALUE(MID(INDEX(Dataset3_Raw!$B$2:$B$391,$E43),4,2)),VALUE(LEFT(INDEX(Dataset3_Raw!$B$2:$B$391,$E43),2))))</f>
        <v>40545</v>
      </c>
      <c r="G43" s="23">
        <f>IF($C43&gt;0,INDEX(Merge_1_2!$C$2:$C$611,$C43),INDEX(Dataset3_Raw!$C$2:$C$391,$E43))</f>
        <v>1</v>
      </c>
      <c r="H43" s="23">
        <f>IF($C43&gt;0,INDEX(Merge_1_2!$D$2:$D$611,$C43),INDEX(Dataset3_Raw!$D$2:$D$391,$E43))</f>
        <v>0</v>
      </c>
      <c r="I43" s="23">
        <f>IF($C43&gt;0,INDEX(Merge_1_2!$E$2:$E$611,$C43),INDEX(Dataset3_Raw!$E$2:$E$391,$E43))</f>
        <v>1</v>
      </c>
      <c r="J43" s="23">
        <f>IF($C43&gt;0,INDEX(Merge_1_2!$F$2:$F$611,$C43),INDEX(Dataset3_Raw!$F$2:$F$391,$E43))</f>
        <v>18</v>
      </c>
      <c r="K43" s="23" t="b">
        <f>IF($C43&gt;0,INDEX(Merge_1_2!$G$2:$G$611,$C43),INDEX(Dataset3_Raw!$G$2:$G$391,$E43))</f>
        <v>0</v>
      </c>
      <c r="L43" s="23">
        <f>IF($C43&gt;0,INDEX(Merge_1_2!$H$2:$H$611,$C43),INDEX(Dataset3_Raw!$H$2:$H$391,$E43))</f>
        <v>0</v>
      </c>
      <c r="M43" s="23">
        <f>IF($C43&gt;0,INDEX(Merge_1_2!$I$2:$I$611,$C43),INDEX(Dataset3_Raw!$I$2:$I$391,$E43))</f>
        <v>2</v>
      </c>
      <c r="N43" s="25">
        <f>IF($C43&gt;0,INDEX(Merge_1_2!$J$2:$J$611,$C43),INDEX(Dataset3_Raw!$J$2:$J$391,$E43))</f>
        <v>0.36</v>
      </c>
      <c r="O43" s="25">
        <f>IF($C43&gt;0,IF(ISNUMBER(INDEX(Merge_1_2!$K$2:$K$611,$C43)),INDEX(Merge_1_2!$K$2:$K$611,$C43),""),INDEX(Dataset3_Raw!$K$2:$K$391,$E43))</f>
        <v>0.33329999999999999</v>
      </c>
      <c r="P43" s="25">
        <f>IF(ISNUMBER($O43),$O43,ROUND(Lookups!$B$25+Lookups!$B$24*$N43,4))</f>
        <v>0.33329999999999999</v>
      </c>
      <c r="Q43" s="25">
        <f>IF($C43&gt;0,INDEX(Merge_1_2!$L$2:$L$611,$C43),INDEX(Dataset3_Raw!$L$2:$L$391,$E43))</f>
        <v>0.46</v>
      </c>
      <c r="R43" s="25">
        <f>IF($C43&gt;0,INDEX(Merge_1_2!$M$2:$M$611,$C43),INDEX(Dataset3_Raw!$M$2:$M$391,$E43))</f>
        <v>0.32840000000000003</v>
      </c>
      <c r="S43" s="23">
        <f>IF($C43&gt;0,INDEX(Merge_1_2!$N$2:$N$611,$C43),INDEX(Dataset3_Raw!$N$2:$N$391,$E43))</f>
        <v>10</v>
      </c>
      <c r="T43" s="23">
        <f>IF($C43&gt;0,INDEX(Merge_1_2!$O$2:$O$611,$C43),INDEX(Dataset3_Raw!$O$2:$O$391,$E43))</f>
        <v>43</v>
      </c>
      <c r="U43" s="23">
        <f>IF($C43&gt;0,INDEX(Merge_1_2!$P$2:$P$611,$C43),INDEX(Dataset3_Raw!$P$2:$P$391,$E43))</f>
        <v>53</v>
      </c>
      <c r="V43" s="23" t="str">
        <f t="shared" si="1"/>
        <v>Weekend</v>
      </c>
      <c r="W43" s="23" t="str">
        <f>VLOOKUP($M43,Lookups!$A$5:$B$8,2,FALSE())</f>
        <v>Mist / Cloudy</v>
      </c>
      <c r="X43" s="23" t="str">
        <f>VLOOKUP($G43,Lookups!$D$5:$E$8,2,FALSE())</f>
        <v>Winter</v>
      </c>
      <c r="Y43" s="23" t="str">
        <f>VLOOKUP($L43,Lookups!$G$5:$H$11,2,FALSE())</f>
        <v>Sunday</v>
      </c>
      <c r="Z43" s="23" t="str">
        <f>IF($J43&lt;Lookups!$B$26,"Night",IF($J43&lt;Lookups!$B$27,"Morning",IF($J43&lt;Lookups!$B$28,"Afternoon","Evening")))</f>
        <v>Evening</v>
      </c>
      <c r="AA43" s="26">
        <f>ROUND($N43*(Lookups!$B$16-Lookups!$B$15)+Lookups!$B$15,1)</f>
        <v>8.9</v>
      </c>
      <c r="AB43" s="26">
        <f>ROUND($P43*(Lookups!$B$18-Lookups!$B$17)+Lookups!$B$17,1)</f>
        <v>6</v>
      </c>
      <c r="AC43" s="23">
        <f t="shared" si="2"/>
        <v>46</v>
      </c>
      <c r="AD43" s="23">
        <f>ROUND($R43*Lookups!$B$19,1)</f>
        <v>22</v>
      </c>
      <c r="AE43" s="27">
        <f t="shared" si="3"/>
        <v>0.81132075471698117</v>
      </c>
      <c r="AF43" s="23" t="str">
        <f>IF($U43&gt;=Lookups!$B$23,"High",IF($U43&gt;=Lookups!$B$22,"Medium","Low"))</f>
        <v>Medium</v>
      </c>
      <c r="AG43" s="23">
        <f>ROUND(IF($V43="Weekday",IF(INDEX(Hourly_Analysis!$D$5:$D$28,$J43+1)&gt;0,($U43-INDEX(Hourly_Analysis!$C$5:$C$28,$J43+1))/INDEX(Hourly_Analysis!$D$5:$D$28,$J43+1),0),IF(INDEX(Hourly_Analysis!$G$5:$G$28,$J43+1)&gt;0,($U43-INDEX(Hourly_Analysis!$F$5:$F$28,$J43+1))/INDEX(Hourly_Analysis!$G$5:$G$28,$J43+1),0)),2)</f>
        <v>-0.74</v>
      </c>
      <c r="AH43" s="23" t="str">
        <f>IF(ABS($AG43)&gt;Lookups!$B$20,IF($AG43&gt;0,"High anomaly","Low anomaly"),"")</f>
        <v/>
      </c>
      <c r="AI43" s="23" t="str">
        <f t="shared" si="4"/>
        <v>OK</v>
      </c>
      <c r="AJ43" s="23" t="str">
        <f t="shared" si="5"/>
        <v>No</v>
      </c>
    </row>
    <row r="44" spans="1:36" x14ac:dyDescent="0.35">
      <c r="A44" s="23">
        <v>43</v>
      </c>
      <c r="B44" s="23" t="str">
        <f t="shared" si="0"/>
        <v>Merge 1+2</v>
      </c>
      <c r="C44" s="23">
        <f>IFERROR(MATCH($A44,Merge_1_2!$A$2:$A$611,0),0)</f>
        <v>43</v>
      </c>
      <c r="D44" s="23">
        <f>IF($C44&gt;0,INDEX(Merge_1_2!$Q$2:$Q$611,$C44),0)</f>
        <v>43</v>
      </c>
      <c r="E44" s="23">
        <f>IFERROR(MATCH($A44,Dataset3_Raw!$A$2:$A$391,0),0)</f>
        <v>0</v>
      </c>
      <c r="F44" s="24">
        <f>IF($C44&gt;0,INDEX(Merge_1_2!$B$2:$B$611,$C44),DATE(VALUE(RIGHT(INDEX(Dataset3_Raw!$B$2:$B$391,$E44),4)),VALUE(MID(INDEX(Dataset3_Raw!$B$2:$B$391,$E44),4,2)),VALUE(LEFT(INDEX(Dataset3_Raw!$B$2:$B$391,$E44),2))))</f>
        <v>40545</v>
      </c>
      <c r="G44" s="23">
        <f>IF($C44&gt;0,INDEX(Merge_1_2!$C$2:$C$611,$C44),INDEX(Dataset3_Raw!$C$2:$C$391,$E44))</f>
        <v>1</v>
      </c>
      <c r="H44" s="23">
        <f>IF($C44&gt;0,INDEX(Merge_1_2!$D$2:$D$611,$C44),INDEX(Dataset3_Raw!$D$2:$D$391,$E44))</f>
        <v>0</v>
      </c>
      <c r="I44" s="23">
        <f>IF($C44&gt;0,INDEX(Merge_1_2!$E$2:$E$611,$C44),INDEX(Dataset3_Raw!$E$2:$E$391,$E44))</f>
        <v>1</v>
      </c>
      <c r="J44" s="23">
        <f>IF($C44&gt;0,INDEX(Merge_1_2!$F$2:$F$611,$C44),INDEX(Dataset3_Raw!$F$2:$F$391,$E44))</f>
        <v>19</v>
      </c>
      <c r="K44" s="23" t="b">
        <f>IF($C44&gt;0,INDEX(Merge_1_2!$G$2:$G$611,$C44),INDEX(Dataset3_Raw!$G$2:$G$391,$E44))</f>
        <v>0</v>
      </c>
      <c r="L44" s="23">
        <f>IF($C44&gt;0,INDEX(Merge_1_2!$H$2:$H$611,$C44),INDEX(Dataset3_Raw!$H$2:$H$391,$E44))</f>
        <v>0</v>
      </c>
      <c r="M44" s="23">
        <f>IF($C44&gt;0,INDEX(Merge_1_2!$I$2:$I$611,$C44),INDEX(Dataset3_Raw!$I$2:$I$391,$E44))</f>
        <v>1</v>
      </c>
      <c r="N44" s="25">
        <f>IF($C44&gt;0,INDEX(Merge_1_2!$J$2:$J$611,$C44),INDEX(Dataset3_Raw!$J$2:$J$391,$E44))</f>
        <v>0.32</v>
      </c>
      <c r="O44" s="25">
        <f>IF($C44&gt;0,IF(ISNUMBER(INDEX(Merge_1_2!$K$2:$K$611,$C44)),INDEX(Merge_1_2!$K$2:$K$611,$C44),""),INDEX(Dataset3_Raw!$K$2:$K$391,$E44))</f>
        <v>0.28789999999999999</v>
      </c>
      <c r="P44" s="25">
        <f>IF(ISNUMBER($O44),$O44,ROUND(Lookups!$B$25+Lookups!$B$24*$N44,4))</f>
        <v>0.28789999999999999</v>
      </c>
      <c r="Q44" s="25">
        <f>IF($C44&gt;0,INDEX(Merge_1_2!$L$2:$L$611,$C44),INDEX(Dataset3_Raw!$L$2:$L$391,$E44))</f>
        <v>0.42</v>
      </c>
      <c r="R44" s="25">
        <f>IF($C44&gt;0,INDEX(Merge_1_2!$M$2:$M$611,$C44),INDEX(Dataset3_Raw!$M$2:$M$391,$E44))</f>
        <v>0.44779999999999998</v>
      </c>
      <c r="S44" s="23">
        <f>IF($C44&gt;0,INDEX(Merge_1_2!$N$2:$N$611,$C44),INDEX(Dataset3_Raw!$N$2:$N$391,$E44))</f>
        <v>1</v>
      </c>
      <c r="T44" s="23">
        <f>IF($C44&gt;0,INDEX(Merge_1_2!$O$2:$O$611,$C44),INDEX(Dataset3_Raw!$O$2:$O$391,$E44))</f>
        <v>29</v>
      </c>
      <c r="U44" s="23">
        <f>IF($C44&gt;0,INDEX(Merge_1_2!$P$2:$P$611,$C44),INDEX(Dataset3_Raw!$P$2:$P$391,$E44))</f>
        <v>30</v>
      </c>
      <c r="V44" s="23" t="str">
        <f t="shared" si="1"/>
        <v>Weekend</v>
      </c>
      <c r="W44" s="23" t="str">
        <f>VLOOKUP($M44,Lookups!$A$5:$B$8,2,FALSE())</f>
        <v>Clear / Partly cloudy</v>
      </c>
      <c r="X44" s="23" t="str">
        <f>VLOOKUP($G44,Lookups!$D$5:$E$8,2,FALSE())</f>
        <v>Winter</v>
      </c>
      <c r="Y44" s="23" t="str">
        <f>VLOOKUP($L44,Lookups!$G$5:$H$11,2,FALSE())</f>
        <v>Sunday</v>
      </c>
      <c r="Z44" s="23" t="str">
        <f>IF($J44&lt;Lookups!$B$26,"Night",IF($J44&lt;Lookups!$B$27,"Morning",IF($J44&lt;Lookups!$B$28,"Afternoon","Evening")))</f>
        <v>Evening</v>
      </c>
      <c r="AA44" s="26">
        <f>ROUND($N44*(Lookups!$B$16-Lookups!$B$15)+Lookups!$B$15,1)</f>
        <v>7</v>
      </c>
      <c r="AB44" s="26">
        <f>ROUND($P44*(Lookups!$B$18-Lookups!$B$17)+Lookups!$B$17,1)</f>
        <v>3</v>
      </c>
      <c r="AC44" s="23">
        <f t="shared" si="2"/>
        <v>42</v>
      </c>
      <c r="AD44" s="23">
        <f>ROUND($R44*Lookups!$B$19,1)</f>
        <v>30</v>
      </c>
      <c r="AE44" s="27">
        <f t="shared" si="3"/>
        <v>0.96666666666666667</v>
      </c>
      <c r="AF44" s="23" t="str">
        <f>IF($U44&gt;=Lookups!$B$23,"High",IF($U44&gt;=Lookups!$B$22,"Medium","Low"))</f>
        <v>Medium</v>
      </c>
      <c r="AG44" s="23">
        <f>ROUND(IF($V44="Weekday",IF(INDEX(Hourly_Analysis!$D$5:$D$28,$J44+1)&gt;0,($U44-INDEX(Hourly_Analysis!$C$5:$C$28,$J44+1))/INDEX(Hourly_Analysis!$D$5:$D$28,$J44+1),0),IF(INDEX(Hourly_Analysis!$G$5:$G$28,$J44+1)&gt;0,($U44-INDEX(Hourly_Analysis!$F$5:$F$28,$J44+1))/INDEX(Hourly_Analysis!$G$5:$G$28,$J44+1),0)),2)</f>
        <v>-1.2</v>
      </c>
      <c r="AH44" s="23" t="str">
        <f>IF(ABS($AG44)&gt;Lookups!$B$20,IF($AG44&gt;0,"High anomaly","Low anomaly"),"")</f>
        <v/>
      </c>
      <c r="AI44" s="23" t="str">
        <f t="shared" si="4"/>
        <v>OK</v>
      </c>
      <c r="AJ44" s="23" t="str">
        <f t="shared" si="5"/>
        <v>No</v>
      </c>
    </row>
    <row r="45" spans="1:36" x14ac:dyDescent="0.35">
      <c r="A45" s="23">
        <v>44</v>
      </c>
      <c r="B45" s="23" t="str">
        <f t="shared" si="0"/>
        <v>Merge 1+2</v>
      </c>
      <c r="C45" s="23">
        <f>IFERROR(MATCH($A45,Merge_1_2!$A$2:$A$611,0),0)</f>
        <v>44</v>
      </c>
      <c r="D45" s="23">
        <f>IF($C45&gt;0,INDEX(Merge_1_2!$Q$2:$Q$611,$C45),0)</f>
        <v>44</v>
      </c>
      <c r="E45" s="23">
        <f>IFERROR(MATCH($A45,Dataset3_Raw!$A$2:$A$391,0),0)</f>
        <v>0</v>
      </c>
      <c r="F45" s="24">
        <f>IF($C45&gt;0,INDEX(Merge_1_2!$B$2:$B$611,$C45),DATE(VALUE(RIGHT(INDEX(Dataset3_Raw!$B$2:$B$391,$E45),4)),VALUE(MID(INDEX(Dataset3_Raw!$B$2:$B$391,$E45),4,2)),VALUE(LEFT(INDEX(Dataset3_Raw!$B$2:$B$391,$E45),2))))</f>
        <v>40545</v>
      </c>
      <c r="G45" s="23">
        <f>IF($C45&gt;0,INDEX(Merge_1_2!$C$2:$C$611,$C45),INDEX(Dataset3_Raw!$C$2:$C$391,$E45))</f>
        <v>1</v>
      </c>
      <c r="H45" s="23">
        <f>IF($C45&gt;0,INDEX(Merge_1_2!$D$2:$D$611,$C45),INDEX(Dataset3_Raw!$D$2:$D$391,$E45))</f>
        <v>0</v>
      </c>
      <c r="I45" s="23">
        <f>IF($C45&gt;0,INDEX(Merge_1_2!$E$2:$E$611,$C45),INDEX(Dataset3_Raw!$E$2:$E$391,$E45))</f>
        <v>1</v>
      </c>
      <c r="J45" s="23">
        <f>IF($C45&gt;0,INDEX(Merge_1_2!$F$2:$F$611,$C45),INDEX(Dataset3_Raw!$F$2:$F$391,$E45))</f>
        <v>20</v>
      </c>
      <c r="K45" s="23" t="b">
        <f>IF($C45&gt;0,INDEX(Merge_1_2!$G$2:$G$611,$C45),INDEX(Dataset3_Raw!$G$2:$G$391,$E45))</f>
        <v>0</v>
      </c>
      <c r="L45" s="23">
        <f>IF($C45&gt;0,INDEX(Merge_1_2!$H$2:$H$611,$C45),INDEX(Dataset3_Raw!$H$2:$H$391,$E45))</f>
        <v>0</v>
      </c>
      <c r="M45" s="23">
        <f>IF($C45&gt;0,INDEX(Merge_1_2!$I$2:$I$611,$C45),INDEX(Dataset3_Raw!$I$2:$I$391,$E45))</f>
        <v>1</v>
      </c>
      <c r="N45" s="25">
        <f>IF($C45&gt;0,INDEX(Merge_1_2!$J$2:$J$611,$C45),INDEX(Dataset3_Raw!$J$2:$J$391,$E45))</f>
        <v>0.3</v>
      </c>
      <c r="O45" s="25" t="str">
        <f>IF($C45&gt;0,IF(ISNUMBER(INDEX(Merge_1_2!$K$2:$K$611,$C45)),INDEX(Merge_1_2!$K$2:$K$611,$C45),""),INDEX(Dataset3_Raw!$K$2:$K$391,$E45))</f>
        <v/>
      </c>
      <c r="P45" s="25">
        <f>IF(ISNUMBER($O45),$O45,ROUND(Lookups!$B$25+Lookups!$B$24*$N45,4))</f>
        <v>0.29949999999999999</v>
      </c>
      <c r="Q45" s="25">
        <f>IF($C45&gt;0,INDEX(Merge_1_2!$L$2:$L$611,$C45),INDEX(Dataset3_Raw!$L$2:$L$391,$E45))</f>
        <v>0.39</v>
      </c>
      <c r="R45" s="25">
        <f>IF($C45&gt;0,INDEX(Merge_1_2!$M$2:$M$611,$C45),INDEX(Dataset3_Raw!$M$2:$M$391,$E45))</f>
        <v>0.35820000000000002</v>
      </c>
      <c r="S45" s="23">
        <f>IF($C45&gt;0,INDEX(Merge_1_2!$N$2:$N$611,$C45),INDEX(Dataset3_Raw!$N$2:$N$391,$E45))</f>
        <v>5</v>
      </c>
      <c r="T45" s="23">
        <f>IF($C45&gt;0,INDEX(Merge_1_2!$O$2:$O$611,$C45),INDEX(Dataset3_Raw!$O$2:$O$391,$E45))</f>
        <v>17</v>
      </c>
      <c r="U45" s="23">
        <f>IF($C45&gt;0,INDEX(Merge_1_2!$P$2:$P$611,$C45),INDEX(Dataset3_Raw!$P$2:$P$391,$E45))</f>
        <v>22</v>
      </c>
      <c r="V45" s="23" t="str">
        <f t="shared" si="1"/>
        <v>Weekend</v>
      </c>
      <c r="W45" s="23" t="str">
        <f>VLOOKUP($M45,Lookups!$A$5:$B$8,2,FALSE())</f>
        <v>Clear / Partly cloudy</v>
      </c>
      <c r="X45" s="23" t="str">
        <f>VLOOKUP($G45,Lookups!$D$5:$E$8,2,FALSE())</f>
        <v>Winter</v>
      </c>
      <c r="Y45" s="23" t="str">
        <f>VLOOKUP($L45,Lookups!$G$5:$H$11,2,FALSE())</f>
        <v>Sunday</v>
      </c>
      <c r="Z45" s="23" t="str">
        <f>IF($J45&lt;Lookups!$B$26,"Night",IF($J45&lt;Lookups!$B$27,"Morning",IF($J45&lt;Lookups!$B$28,"Afternoon","Evening")))</f>
        <v>Evening</v>
      </c>
      <c r="AA45" s="26">
        <f>ROUND($N45*(Lookups!$B$16-Lookups!$B$15)+Lookups!$B$15,1)</f>
        <v>6.1</v>
      </c>
      <c r="AB45" s="26">
        <f>ROUND($P45*(Lookups!$B$18-Lookups!$B$17)+Lookups!$B$17,1)</f>
        <v>3.8</v>
      </c>
      <c r="AC45" s="23">
        <f t="shared" si="2"/>
        <v>39</v>
      </c>
      <c r="AD45" s="23">
        <f>ROUND($R45*Lookups!$B$19,1)</f>
        <v>24</v>
      </c>
      <c r="AE45" s="27">
        <f t="shared" si="3"/>
        <v>0.77272727272727271</v>
      </c>
      <c r="AF45" s="23" t="str">
        <f>IF($U45&gt;=Lookups!$B$23,"High",IF($U45&gt;=Lookups!$B$22,"Medium","Low"))</f>
        <v>Medium</v>
      </c>
      <c r="AG45" s="23">
        <f>ROUND(IF($V45="Weekday",IF(INDEX(Hourly_Analysis!$D$5:$D$28,$J45+1)&gt;0,($U45-INDEX(Hourly_Analysis!$C$5:$C$28,$J45+1))/INDEX(Hourly_Analysis!$D$5:$D$28,$J45+1),0),IF(INDEX(Hourly_Analysis!$G$5:$G$28,$J45+1)&gt;0,($U45-INDEX(Hourly_Analysis!$F$5:$F$28,$J45+1))/INDEX(Hourly_Analysis!$G$5:$G$28,$J45+1),0)),2)</f>
        <v>-1.46</v>
      </c>
      <c r="AH45" s="23" t="str">
        <f>IF(ABS($AG45)&gt;Lookups!$B$20,IF($AG45&gt;0,"High anomaly","Low anomaly"),"")</f>
        <v/>
      </c>
      <c r="AI45" s="23" t="str">
        <f t="shared" si="4"/>
        <v>OK</v>
      </c>
      <c r="AJ45" s="23" t="str">
        <f t="shared" si="5"/>
        <v>Yes</v>
      </c>
    </row>
    <row r="46" spans="1:36" x14ac:dyDescent="0.35">
      <c r="A46" s="23">
        <v>45</v>
      </c>
      <c r="B46" s="23" t="str">
        <f t="shared" si="0"/>
        <v>Merge 1+2</v>
      </c>
      <c r="C46" s="23">
        <f>IFERROR(MATCH($A46,Merge_1_2!$A$2:$A$611,0),0)</f>
        <v>45</v>
      </c>
      <c r="D46" s="23">
        <f>IF($C46&gt;0,INDEX(Merge_1_2!$Q$2:$Q$611,$C46),0)</f>
        <v>45</v>
      </c>
      <c r="E46" s="23">
        <f>IFERROR(MATCH($A46,Dataset3_Raw!$A$2:$A$391,0),0)</f>
        <v>0</v>
      </c>
      <c r="F46" s="24">
        <f>IF($C46&gt;0,INDEX(Merge_1_2!$B$2:$B$611,$C46),DATE(VALUE(RIGHT(INDEX(Dataset3_Raw!$B$2:$B$391,$E46),4)),VALUE(MID(INDEX(Dataset3_Raw!$B$2:$B$391,$E46),4,2)),VALUE(LEFT(INDEX(Dataset3_Raw!$B$2:$B$391,$E46),2))))</f>
        <v>40545</v>
      </c>
      <c r="G46" s="23">
        <f>IF($C46&gt;0,INDEX(Merge_1_2!$C$2:$C$611,$C46),INDEX(Dataset3_Raw!$C$2:$C$391,$E46))</f>
        <v>1</v>
      </c>
      <c r="H46" s="23">
        <f>IF($C46&gt;0,INDEX(Merge_1_2!$D$2:$D$611,$C46),INDEX(Dataset3_Raw!$D$2:$D$391,$E46))</f>
        <v>0</v>
      </c>
      <c r="I46" s="23">
        <f>IF($C46&gt;0,INDEX(Merge_1_2!$E$2:$E$611,$C46),INDEX(Dataset3_Raw!$E$2:$E$391,$E46))</f>
        <v>1</v>
      </c>
      <c r="J46" s="23">
        <f>IF($C46&gt;0,INDEX(Merge_1_2!$F$2:$F$611,$C46),INDEX(Dataset3_Raw!$F$2:$F$391,$E46))</f>
        <v>21</v>
      </c>
      <c r="K46" s="23" t="b">
        <f>IF($C46&gt;0,INDEX(Merge_1_2!$G$2:$G$611,$C46),INDEX(Dataset3_Raw!$G$2:$G$391,$E46))</f>
        <v>0</v>
      </c>
      <c r="L46" s="23">
        <f>IF($C46&gt;0,INDEX(Merge_1_2!$H$2:$H$611,$C46),INDEX(Dataset3_Raw!$H$2:$H$391,$E46))</f>
        <v>0</v>
      </c>
      <c r="M46" s="23">
        <f>IF($C46&gt;0,INDEX(Merge_1_2!$I$2:$I$611,$C46),INDEX(Dataset3_Raw!$I$2:$I$391,$E46))</f>
        <v>1</v>
      </c>
      <c r="N46" s="25">
        <f>IF($C46&gt;0,INDEX(Merge_1_2!$J$2:$J$611,$C46),INDEX(Dataset3_Raw!$J$2:$J$391,$E46))</f>
        <v>0.26</v>
      </c>
      <c r="O46" s="25">
        <f>IF($C46&gt;0,IF(ISNUMBER(INDEX(Merge_1_2!$K$2:$K$611,$C46)),INDEX(Merge_1_2!$K$2:$K$611,$C46),""),INDEX(Dataset3_Raw!$K$2:$K$391,$E46))</f>
        <v>0.2273</v>
      </c>
      <c r="P46" s="25">
        <f>IF(ISNUMBER($O46),$O46,ROUND(Lookups!$B$25+Lookups!$B$24*$N46,4))</f>
        <v>0.2273</v>
      </c>
      <c r="Q46" s="25">
        <f>IF($C46&gt;0,INDEX(Merge_1_2!$L$2:$L$611,$C46),INDEX(Dataset3_Raw!$L$2:$L$391,$E46))</f>
        <v>0.44</v>
      </c>
      <c r="R46" s="25">
        <f>IF($C46&gt;0,INDEX(Merge_1_2!$M$2:$M$611,$C46),INDEX(Dataset3_Raw!$M$2:$M$391,$E46))</f>
        <v>0.32840000000000003</v>
      </c>
      <c r="S46" s="23">
        <f>IF($C46&gt;0,INDEX(Merge_1_2!$N$2:$N$611,$C46),INDEX(Dataset3_Raw!$N$2:$N$391,$E46))</f>
        <v>11</v>
      </c>
      <c r="T46" s="23">
        <f>IF($C46&gt;0,INDEX(Merge_1_2!$O$2:$O$611,$C46),INDEX(Dataset3_Raw!$O$2:$O$391,$E46))</f>
        <v>20</v>
      </c>
      <c r="U46" s="23">
        <f>IF($C46&gt;0,INDEX(Merge_1_2!$P$2:$P$611,$C46),INDEX(Dataset3_Raw!$P$2:$P$391,$E46))</f>
        <v>31</v>
      </c>
      <c r="V46" s="23" t="str">
        <f t="shared" si="1"/>
        <v>Weekend</v>
      </c>
      <c r="W46" s="23" t="str">
        <f>VLOOKUP($M46,Lookups!$A$5:$B$8,2,FALSE())</f>
        <v>Clear / Partly cloudy</v>
      </c>
      <c r="X46" s="23" t="str">
        <f>VLOOKUP($G46,Lookups!$D$5:$E$8,2,FALSE())</f>
        <v>Winter</v>
      </c>
      <c r="Y46" s="23" t="str">
        <f>VLOOKUP($L46,Lookups!$G$5:$H$11,2,FALSE())</f>
        <v>Sunday</v>
      </c>
      <c r="Z46" s="23" t="str">
        <f>IF($J46&lt;Lookups!$B$26,"Night",IF($J46&lt;Lookups!$B$27,"Morning",IF($J46&lt;Lookups!$B$28,"Afternoon","Evening")))</f>
        <v>Evening</v>
      </c>
      <c r="AA46" s="26">
        <f>ROUND($N46*(Lookups!$B$16-Lookups!$B$15)+Lookups!$B$15,1)</f>
        <v>4.2</v>
      </c>
      <c r="AB46" s="26">
        <f>ROUND($P46*(Lookups!$B$18-Lookups!$B$17)+Lookups!$B$17,1)</f>
        <v>-1</v>
      </c>
      <c r="AC46" s="23">
        <f t="shared" si="2"/>
        <v>44</v>
      </c>
      <c r="AD46" s="23">
        <f>ROUND($R46*Lookups!$B$19,1)</f>
        <v>22</v>
      </c>
      <c r="AE46" s="27">
        <f t="shared" si="3"/>
        <v>0.64516129032258063</v>
      </c>
      <c r="AF46" s="23" t="str">
        <f>IF($U46&gt;=Lookups!$B$23,"High",IF($U46&gt;=Lookups!$B$22,"Medium","Low"))</f>
        <v>Medium</v>
      </c>
      <c r="AG46" s="23">
        <f>ROUND(IF($V46="Weekday",IF(INDEX(Hourly_Analysis!$D$5:$D$28,$J46+1)&gt;0,($U46-INDEX(Hourly_Analysis!$C$5:$C$28,$J46+1))/INDEX(Hourly_Analysis!$D$5:$D$28,$J46+1),0),IF(INDEX(Hourly_Analysis!$G$5:$G$28,$J46+1)&gt;0,($U46-INDEX(Hourly_Analysis!$F$5:$F$28,$J46+1))/INDEX(Hourly_Analysis!$G$5:$G$28,$J46+1),0)),2)</f>
        <v>-0.46</v>
      </c>
      <c r="AH46" s="23" t="str">
        <f>IF(ABS($AG46)&gt;Lookups!$B$20,IF($AG46&gt;0,"High anomaly","Low anomaly"),"")</f>
        <v/>
      </c>
      <c r="AI46" s="23" t="str">
        <f t="shared" si="4"/>
        <v>OK</v>
      </c>
      <c r="AJ46" s="23" t="str">
        <f t="shared" si="5"/>
        <v>No</v>
      </c>
    </row>
    <row r="47" spans="1:36" x14ac:dyDescent="0.35">
      <c r="A47" s="23">
        <v>46</v>
      </c>
      <c r="B47" s="23" t="str">
        <f t="shared" si="0"/>
        <v>Merge 1+2</v>
      </c>
      <c r="C47" s="23">
        <f>IFERROR(MATCH($A47,Merge_1_2!$A$2:$A$611,0),0)</f>
        <v>46</v>
      </c>
      <c r="D47" s="23">
        <f>IF($C47&gt;0,INDEX(Merge_1_2!$Q$2:$Q$611,$C47),0)</f>
        <v>46</v>
      </c>
      <c r="E47" s="23">
        <f>IFERROR(MATCH($A47,Dataset3_Raw!$A$2:$A$391,0),0)</f>
        <v>0</v>
      </c>
      <c r="F47" s="24">
        <f>IF($C47&gt;0,INDEX(Merge_1_2!$B$2:$B$611,$C47),DATE(VALUE(RIGHT(INDEX(Dataset3_Raw!$B$2:$B$391,$E47),4)),VALUE(MID(INDEX(Dataset3_Raw!$B$2:$B$391,$E47),4,2)),VALUE(LEFT(INDEX(Dataset3_Raw!$B$2:$B$391,$E47),2))))</f>
        <v>40545</v>
      </c>
      <c r="G47" s="23">
        <f>IF($C47&gt;0,INDEX(Merge_1_2!$C$2:$C$611,$C47),INDEX(Dataset3_Raw!$C$2:$C$391,$E47))</f>
        <v>1</v>
      </c>
      <c r="H47" s="23">
        <f>IF($C47&gt;0,INDEX(Merge_1_2!$D$2:$D$611,$C47),INDEX(Dataset3_Raw!$D$2:$D$391,$E47))</f>
        <v>0</v>
      </c>
      <c r="I47" s="23">
        <f>IF($C47&gt;0,INDEX(Merge_1_2!$E$2:$E$611,$C47),INDEX(Dataset3_Raw!$E$2:$E$391,$E47))</f>
        <v>1</v>
      </c>
      <c r="J47" s="23">
        <f>IF($C47&gt;0,INDEX(Merge_1_2!$F$2:$F$611,$C47),INDEX(Dataset3_Raw!$F$2:$F$391,$E47))</f>
        <v>22</v>
      </c>
      <c r="K47" s="23" t="b">
        <f>IF($C47&gt;0,INDEX(Merge_1_2!$G$2:$G$611,$C47),INDEX(Dataset3_Raw!$G$2:$G$391,$E47))</f>
        <v>0</v>
      </c>
      <c r="L47" s="23">
        <f>IF($C47&gt;0,INDEX(Merge_1_2!$H$2:$H$611,$C47),INDEX(Dataset3_Raw!$H$2:$H$391,$E47))</f>
        <v>0</v>
      </c>
      <c r="M47" s="23">
        <f>IF($C47&gt;0,INDEX(Merge_1_2!$I$2:$I$611,$C47),INDEX(Dataset3_Raw!$I$2:$I$391,$E47))</f>
        <v>1</v>
      </c>
      <c r="N47" s="25">
        <f>IF($C47&gt;0,INDEX(Merge_1_2!$J$2:$J$611,$C47),INDEX(Dataset3_Raw!$J$2:$J$391,$E47))</f>
        <v>0.24</v>
      </c>
      <c r="O47" s="25">
        <f>IF($C47&gt;0,IF(ISNUMBER(INDEX(Merge_1_2!$K$2:$K$611,$C47)),INDEX(Merge_1_2!$K$2:$K$611,$C47),""),INDEX(Dataset3_Raw!$K$2:$K$391,$E47))</f>
        <v>0.21210000000000001</v>
      </c>
      <c r="P47" s="25">
        <f>IF(ISNUMBER($O47),$O47,ROUND(Lookups!$B$25+Lookups!$B$24*$N47,4))</f>
        <v>0.21210000000000001</v>
      </c>
      <c r="Q47" s="25">
        <f>IF($C47&gt;0,INDEX(Merge_1_2!$L$2:$L$611,$C47),INDEX(Dataset3_Raw!$L$2:$L$391,$E47))</f>
        <v>0.44</v>
      </c>
      <c r="R47" s="25">
        <f>IF($C47&gt;0,INDEX(Merge_1_2!$M$2:$M$611,$C47),INDEX(Dataset3_Raw!$M$2:$M$391,$E47))</f>
        <v>0.29849999999999999</v>
      </c>
      <c r="S47" s="23">
        <f>IF($C47&gt;0,INDEX(Merge_1_2!$N$2:$N$611,$C47),INDEX(Dataset3_Raw!$N$2:$N$391,$E47))</f>
        <v>0</v>
      </c>
      <c r="T47" s="23">
        <f>IF($C47&gt;0,INDEX(Merge_1_2!$O$2:$O$611,$C47),INDEX(Dataset3_Raw!$O$2:$O$391,$E47))</f>
        <v>9</v>
      </c>
      <c r="U47" s="23">
        <f>IF($C47&gt;0,INDEX(Merge_1_2!$P$2:$P$611,$C47),INDEX(Dataset3_Raw!$P$2:$P$391,$E47))</f>
        <v>9</v>
      </c>
      <c r="V47" s="23" t="str">
        <f t="shared" si="1"/>
        <v>Weekend</v>
      </c>
      <c r="W47" s="23" t="str">
        <f>VLOOKUP($M47,Lookups!$A$5:$B$8,2,FALSE())</f>
        <v>Clear / Partly cloudy</v>
      </c>
      <c r="X47" s="23" t="str">
        <f>VLOOKUP($G47,Lookups!$D$5:$E$8,2,FALSE())</f>
        <v>Winter</v>
      </c>
      <c r="Y47" s="23" t="str">
        <f>VLOOKUP($L47,Lookups!$G$5:$H$11,2,FALSE())</f>
        <v>Sunday</v>
      </c>
      <c r="Z47" s="23" t="str">
        <f>IF($J47&lt;Lookups!$B$26,"Night",IF($J47&lt;Lookups!$B$27,"Morning",IF($J47&lt;Lookups!$B$28,"Afternoon","Evening")))</f>
        <v>Evening</v>
      </c>
      <c r="AA47" s="26">
        <f>ROUND($N47*(Lookups!$B$16-Lookups!$B$15)+Lookups!$B$15,1)</f>
        <v>3.3</v>
      </c>
      <c r="AB47" s="26">
        <f>ROUND($P47*(Lookups!$B$18-Lookups!$B$17)+Lookups!$B$17,1)</f>
        <v>-2</v>
      </c>
      <c r="AC47" s="23">
        <f t="shared" si="2"/>
        <v>44</v>
      </c>
      <c r="AD47" s="23">
        <f>ROUND($R47*Lookups!$B$19,1)</f>
        <v>20</v>
      </c>
      <c r="AE47" s="27">
        <f t="shared" si="3"/>
        <v>1</v>
      </c>
      <c r="AF47" s="23" t="str">
        <f>IF($U47&gt;=Lookups!$B$23,"High",IF($U47&gt;=Lookups!$B$22,"Medium","Low"))</f>
        <v>Low</v>
      </c>
      <c r="AG47" s="23">
        <f>ROUND(IF($V47="Weekday",IF(INDEX(Hourly_Analysis!$D$5:$D$28,$J47+1)&gt;0,($U47-INDEX(Hourly_Analysis!$C$5:$C$28,$J47+1))/INDEX(Hourly_Analysis!$D$5:$D$28,$J47+1),0),IF(INDEX(Hourly_Analysis!$G$5:$G$28,$J47+1)&gt;0,($U47-INDEX(Hourly_Analysis!$F$5:$F$28,$J47+1))/INDEX(Hourly_Analysis!$G$5:$G$28,$J47+1),0)),2)</f>
        <v>-1.5</v>
      </c>
      <c r="AH47" s="23" t="str">
        <f>IF(ABS($AG47)&gt;Lookups!$B$20,IF($AG47&gt;0,"High anomaly","Low anomaly"),"")</f>
        <v/>
      </c>
      <c r="AI47" s="23" t="str">
        <f t="shared" si="4"/>
        <v>OK</v>
      </c>
      <c r="AJ47" s="23" t="str">
        <f t="shared" si="5"/>
        <v>No</v>
      </c>
    </row>
    <row r="48" spans="1:36" x14ac:dyDescent="0.35">
      <c r="A48" s="23">
        <v>47</v>
      </c>
      <c r="B48" s="23" t="str">
        <f t="shared" si="0"/>
        <v>Merge 1+2</v>
      </c>
      <c r="C48" s="23">
        <f>IFERROR(MATCH($A48,Merge_1_2!$A$2:$A$611,0),0)</f>
        <v>47</v>
      </c>
      <c r="D48" s="23">
        <f>IF($C48&gt;0,INDEX(Merge_1_2!$Q$2:$Q$611,$C48),0)</f>
        <v>47</v>
      </c>
      <c r="E48" s="23">
        <f>IFERROR(MATCH($A48,Dataset3_Raw!$A$2:$A$391,0),0)</f>
        <v>0</v>
      </c>
      <c r="F48" s="24">
        <f>IF($C48&gt;0,INDEX(Merge_1_2!$B$2:$B$611,$C48),DATE(VALUE(RIGHT(INDEX(Dataset3_Raw!$B$2:$B$391,$E48),4)),VALUE(MID(INDEX(Dataset3_Raw!$B$2:$B$391,$E48),4,2)),VALUE(LEFT(INDEX(Dataset3_Raw!$B$2:$B$391,$E48),2))))</f>
        <v>40545</v>
      </c>
      <c r="G48" s="23">
        <f>IF($C48&gt;0,INDEX(Merge_1_2!$C$2:$C$611,$C48),INDEX(Dataset3_Raw!$C$2:$C$391,$E48))</f>
        <v>1</v>
      </c>
      <c r="H48" s="23">
        <f>IF($C48&gt;0,INDEX(Merge_1_2!$D$2:$D$611,$C48),INDEX(Dataset3_Raw!$D$2:$D$391,$E48))</f>
        <v>0</v>
      </c>
      <c r="I48" s="23">
        <f>IF($C48&gt;0,INDEX(Merge_1_2!$E$2:$E$611,$C48),INDEX(Dataset3_Raw!$E$2:$E$391,$E48))</f>
        <v>1</v>
      </c>
      <c r="J48" s="23">
        <f>IF($C48&gt;0,INDEX(Merge_1_2!$F$2:$F$611,$C48),INDEX(Dataset3_Raw!$F$2:$F$391,$E48))</f>
        <v>23</v>
      </c>
      <c r="K48" s="23" t="b">
        <f>IF($C48&gt;0,INDEX(Merge_1_2!$G$2:$G$611,$C48),INDEX(Dataset3_Raw!$G$2:$G$391,$E48))</f>
        <v>0</v>
      </c>
      <c r="L48" s="23">
        <f>IF($C48&gt;0,INDEX(Merge_1_2!$H$2:$H$611,$C48),INDEX(Dataset3_Raw!$H$2:$H$391,$E48))</f>
        <v>0</v>
      </c>
      <c r="M48" s="23">
        <f>IF($C48&gt;0,INDEX(Merge_1_2!$I$2:$I$611,$C48),INDEX(Dataset3_Raw!$I$2:$I$391,$E48))</f>
        <v>1</v>
      </c>
      <c r="N48" s="25">
        <f>IF($C48&gt;0,INDEX(Merge_1_2!$J$2:$J$611,$C48),INDEX(Dataset3_Raw!$J$2:$J$391,$E48))</f>
        <v>0.22</v>
      </c>
      <c r="O48" s="25">
        <f>IF($C48&gt;0,IF(ISNUMBER(INDEX(Merge_1_2!$K$2:$K$611,$C48)),INDEX(Merge_1_2!$K$2:$K$611,$C48),""),INDEX(Dataset3_Raw!$K$2:$K$391,$E48))</f>
        <v>0.2273</v>
      </c>
      <c r="P48" s="25">
        <f>IF(ISNUMBER($O48),$O48,ROUND(Lookups!$B$25+Lookups!$B$24*$N48,4))</f>
        <v>0.2273</v>
      </c>
      <c r="Q48" s="25">
        <f>IF($C48&gt;0,INDEX(Merge_1_2!$L$2:$L$611,$C48),INDEX(Dataset3_Raw!$L$2:$L$391,$E48))</f>
        <v>0.47</v>
      </c>
      <c r="R48" s="25">
        <f>IF($C48&gt;0,INDEX(Merge_1_2!$M$2:$M$611,$C48),INDEX(Dataset3_Raw!$M$2:$M$391,$E48))</f>
        <v>0.16420000000000001</v>
      </c>
      <c r="S48" s="23">
        <f>IF($C48&gt;0,INDEX(Merge_1_2!$N$2:$N$611,$C48),INDEX(Dataset3_Raw!$N$2:$N$391,$E48))</f>
        <v>0</v>
      </c>
      <c r="T48" s="23">
        <f>IF($C48&gt;0,INDEX(Merge_1_2!$O$2:$O$611,$C48),INDEX(Dataset3_Raw!$O$2:$O$391,$E48))</f>
        <v>8</v>
      </c>
      <c r="U48" s="23">
        <f>IF($C48&gt;0,INDEX(Merge_1_2!$P$2:$P$611,$C48),INDEX(Dataset3_Raw!$P$2:$P$391,$E48))</f>
        <v>8</v>
      </c>
      <c r="V48" s="23" t="str">
        <f t="shared" si="1"/>
        <v>Weekend</v>
      </c>
      <c r="W48" s="23" t="str">
        <f>VLOOKUP($M48,Lookups!$A$5:$B$8,2,FALSE())</f>
        <v>Clear / Partly cloudy</v>
      </c>
      <c r="X48" s="23" t="str">
        <f>VLOOKUP($G48,Lookups!$D$5:$E$8,2,FALSE())</f>
        <v>Winter</v>
      </c>
      <c r="Y48" s="23" t="str">
        <f>VLOOKUP($L48,Lookups!$G$5:$H$11,2,FALSE())</f>
        <v>Sunday</v>
      </c>
      <c r="Z48" s="23" t="str">
        <f>IF($J48&lt;Lookups!$B$26,"Night",IF($J48&lt;Lookups!$B$27,"Morning",IF($J48&lt;Lookups!$B$28,"Afternoon","Evening")))</f>
        <v>Evening</v>
      </c>
      <c r="AA48" s="26">
        <f>ROUND($N48*(Lookups!$B$16-Lookups!$B$15)+Lookups!$B$15,1)</f>
        <v>2.2999999999999998</v>
      </c>
      <c r="AB48" s="26">
        <f>ROUND($P48*(Lookups!$B$18-Lookups!$B$17)+Lookups!$B$17,1)</f>
        <v>-1</v>
      </c>
      <c r="AC48" s="23">
        <f t="shared" si="2"/>
        <v>47</v>
      </c>
      <c r="AD48" s="23">
        <f>ROUND($R48*Lookups!$B$19,1)</f>
        <v>11</v>
      </c>
      <c r="AE48" s="27">
        <f t="shared" si="3"/>
        <v>1</v>
      </c>
      <c r="AF48" s="23" t="str">
        <f>IF($U48&gt;=Lookups!$B$23,"High",IF($U48&gt;=Lookups!$B$22,"Medium","Low"))</f>
        <v>Low</v>
      </c>
      <c r="AG48" s="23">
        <f>ROUND(IF($V48="Weekday",IF(INDEX(Hourly_Analysis!$D$5:$D$28,$J48+1)&gt;0,($U48-INDEX(Hourly_Analysis!$C$5:$C$28,$J48+1))/INDEX(Hourly_Analysis!$D$5:$D$28,$J48+1),0),IF(INDEX(Hourly_Analysis!$G$5:$G$28,$J48+1)&gt;0,($U48-INDEX(Hourly_Analysis!$F$5:$F$28,$J48+1))/INDEX(Hourly_Analysis!$G$5:$G$28,$J48+1),0)),2)</f>
        <v>-1.26</v>
      </c>
      <c r="AH48" s="23" t="str">
        <f>IF(ABS($AG48)&gt;Lookups!$B$20,IF($AG48&gt;0,"High anomaly","Low anomaly"),"")</f>
        <v/>
      </c>
      <c r="AI48" s="23" t="str">
        <f t="shared" si="4"/>
        <v>OK</v>
      </c>
      <c r="AJ48" s="23" t="str">
        <f t="shared" si="5"/>
        <v>No</v>
      </c>
    </row>
    <row r="49" spans="1:36" x14ac:dyDescent="0.35">
      <c r="A49" s="23">
        <v>48</v>
      </c>
      <c r="B49" s="23" t="str">
        <f t="shared" si="0"/>
        <v>Merge 1+2</v>
      </c>
      <c r="C49" s="23">
        <f>IFERROR(MATCH($A49,Merge_1_2!$A$2:$A$611,0),0)</f>
        <v>48</v>
      </c>
      <c r="D49" s="23">
        <f>IF($C49&gt;0,INDEX(Merge_1_2!$Q$2:$Q$611,$C49),0)</f>
        <v>48</v>
      </c>
      <c r="E49" s="23">
        <f>IFERROR(MATCH($A49,Dataset3_Raw!$A$2:$A$391,0),0)</f>
        <v>0</v>
      </c>
      <c r="F49" s="24">
        <f>IF($C49&gt;0,INDEX(Merge_1_2!$B$2:$B$611,$C49),DATE(VALUE(RIGHT(INDEX(Dataset3_Raw!$B$2:$B$391,$E49),4)),VALUE(MID(INDEX(Dataset3_Raw!$B$2:$B$391,$E49),4,2)),VALUE(LEFT(INDEX(Dataset3_Raw!$B$2:$B$391,$E49),2))))</f>
        <v>40546</v>
      </c>
      <c r="G49" s="23">
        <f>IF($C49&gt;0,INDEX(Merge_1_2!$C$2:$C$611,$C49),INDEX(Dataset3_Raw!$C$2:$C$391,$E49))</f>
        <v>1</v>
      </c>
      <c r="H49" s="23">
        <f>IF($C49&gt;0,INDEX(Merge_1_2!$D$2:$D$611,$C49),INDEX(Dataset3_Raw!$D$2:$D$391,$E49))</f>
        <v>0</v>
      </c>
      <c r="I49" s="23">
        <f>IF($C49&gt;0,INDEX(Merge_1_2!$E$2:$E$611,$C49),INDEX(Dataset3_Raw!$E$2:$E$391,$E49))</f>
        <v>1</v>
      </c>
      <c r="J49" s="23">
        <f>IF($C49&gt;0,INDEX(Merge_1_2!$F$2:$F$611,$C49),INDEX(Dataset3_Raw!$F$2:$F$391,$E49))</f>
        <v>0</v>
      </c>
      <c r="K49" s="23" t="b">
        <f>IF($C49&gt;0,INDEX(Merge_1_2!$G$2:$G$611,$C49),INDEX(Dataset3_Raw!$G$2:$G$391,$E49))</f>
        <v>0</v>
      </c>
      <c r="L49" s="23">
        <f>IF($C49&gt;0,INDEX(Merge_1_2!$H$2:$H$611,$C49),INDEX(Dataset3_Raw!$H$2:$H$391,$E49))</f>
        <v>1</v>
      </c>
      <c r="M49" s="23">
        <f>IF($C49&gt;0,INDEX(Merge_1_2!$I$2:$I$611,$C49),INDEX(Dataset3_Raw!$I$2:$I$391,$E49))</f>
        <v>1</v>
      </c>
      <c r="N49" s="25">
        <f>IF($C49&gt;0,INDEX(Merge_1_2!$J$2:$J$611,$C49),INDEX(Dataset3_Raw!$J$2:$J$391,$E49))</f>
        <v>0.22</v>
      </c>
      <c r="O49" s="25">
        <f>IF($C49&gt;0,IF(ISNUMBER(INDEX(Merge_1_2!$K$2:$K$611,$C49)),INDEX(Merge_1_2!$K$2:$K$611,$C49),""),INDEX(Dataset3_Raw!$K$2:$K$391,$E49))</f>
        <v>0.19700000000000001</v>
      </c>
      <c r="P49" s="25">
        <f>IF(ISNUMBER($O49),$O49,ROUND(Lookups!$B$25+Lookups!$B$24*$N49,4))</f>
        <v>0.19700000000000001</v>
      </c>
      <c r="Q49" s="25">
        <f>IF($C49&gt;0,INDEX(Merge_1_2!$L$2:$L$611,$C49),INDEX(Dataset3_Raw!$L$2:$L$391,$E49))</f>
        <v>0.44</v>
      </c>
      <c r="R49" s="25">
        <f>IF($C49&gt;0,INDEX(Merge_1_2!$M$2:$M$611,$C49),INDEX(Dataset3_Raw!$M$2:$M$391,$E49))</f>
        <v>0.35820000000000002</v>
      </c>
      <c r="S49" s="23">
        <f>IF($C49&gt;0,INDEX(Merge_1_2!$N$2:$N$611,$C49),INDEX(Dataset3_Raw!$N$2:$N$391,$E49))</f>
        <v>0</v>
      </c>
      <c r="T49" s="23">
        <f>IF($C49&gt;0,INDEX(Merge_1_2!$O$2:$O$611,$C49),INDEX(Dataset3_Raw!$O$2:$O$391,$E49))</f>
        <v>5</v>
      </c>
      <c r="U49" s="23">
        <f>IF($C49&gt;0,INDEX(Merge_1_2!$P$2:$P$611,$C49),INDEX(Dataset3_Raw!$P$2:$P$391,$E49))</f>
        <v>5</v>
      </c>
      <c r="V49" s="23" t="str">
        <f t="shared" si="1"/>
        <v>Weekday</v>
      </c>
      <c r="W49" s="23" t="str">
        <f>VLOOKUP($M49,Lookups!$A$5:$B$8,2,FALSE())</f>
        <v>Clear / Partly cloudy</v>
      </c>
      <c r="X49" s="23" t="str">
        <f>VLOOKUP($G49,Lookups!$D$5:$E$8,2,FALSE())</f>
        <v>Winter</v>
      </c>
      <c r="Y49" s="23" t="str">
        <f>VLOOKUP($L49,Lookups!$G$5:$H$11,2,FALSE())</f>
        <v>Monday</v>
      </c>
      <c r="Z49" s="23" t="str">
        <f>IF($J49&lt;Lookups!$B$26,"Night",IF($J49&lt;Lookups!$B$27,"Morning",IF($J49&lt;Lookups!$B$28,"Afternoon","Evening")))</f>
        <v>Night</v>
      </c>
      <c r="AA49" s="26">
        <f>ROUND($N49*(Lookups!$B$16-Lookups!$B$15)+Lookups!$B$15,1)</f>
        <v>2.2999999999999998</v>
      </c>
      <c r="AB49" s="26">
        <f>ROUND($P49*(Lookups!$B$18-Lookups!$B$17)+Lookups!$B$17,1)</f>
        <v>-3</v>
      </c>
      <c r="AC49" s="23">
        <f t="shared" si="2"/>
        <v>44</v>
      </c>
      <c r="AD49" s="23">
        <f>ROUND($R49*Lookups!$B$19,1)</f>
        <v>24</v>
      </c>
      <c r="AE49" s="27">
        <f t="shared" si="3"/>
        <v>1</v>
      </c>
      <c r="AF49" s="23" t="str">
        <f>IF($U49&gt;=Lookups!$B$23,"High",IF($U49&gt;=Lookups!$B$22,"Medium","Low"))</f>
        <v>Low</v>
      </c>
      <c r="AG49" s="23">
        <f>ROUND(IF($V49="Weekday",IF(INDEX(Hourly_Analysis!$D$5:$D$28,$J49+1)&gt;0,($U49-INDEX(Hourly_Analysis!$C$5:$C$28,$J49+1))/INDEX(Hourly_Analysis!$D$5:$D$28,$J49+1),0),IF(INDEX(Hourly_Analysis!$G$5:$G$28,$J49+1)&gt;0,($U49-INDEX(Hourly_Analysis!$F$5:$F$28,$J49+1))/INDEX(Hourly_Analysis!$G$5:$G$28,$J49+1),0)),2)</f>
        <v>-1.1299999999999999</v>
      </c>
      <c r="AH49" s="23" t="str">
        <f>IF(ABS($AG49)&gt;Lookups!$B$20,IF($AG49&gt;0,"High anomaly","Low anomaly"),"")</f>
        <v/>
      </c>
      <c r="AI49" s="23" t="str">
        <f t="shared" si="4"/>
        <v>OK</v>
      </c>
      <c r="AJ49" s="23" t="str">
        <f t="shared" si="5"/>
        <v>No</v>
      </c>
    </row>
    <row r="50" spans="1:36" x14ac:dyDescent="0.35">
      <c r="A50" s="23">
        <v>49</v>
      </c>
      <c r="B50" s="23" t="str">
        <f t="shared" si="0"/>
        <v>Merge 1+2</v>
      </c>
      <c r="C50" s="23">
        <f>IFERROR(MATCH($A50,Merge_1_2!$A$2:$A$611,0),0)</f>
        <v>49</v>
      </c>
      <c r="D50" s="23">
        <f>IF($C50&gt;0,INDEX(Merge_1_2!$Q$2:$Q$611,$C50),0)</f>
        <v>49</v>
      </c>
      <c r="E50" s="23">
        <f>IFERROR(MATCH($A50,Dataset3_Raw!$A$2:$A$391,0),0)</f>
        <v>0</v>
      </c>
      <c r="F50" s="24">
        <f>IF($C50&gt;0,INDEX(Merge_1_2!$B$2:$B$611,$C50),DATE(VALUE(RIGHT(INDEX(Dataset3_Raw!$B$2:$B$391,$E50),4)),VALUE(MID(INDEX(Dataset3_Raw!$B$2:$B$391,$E50),4,2)),VALUE(LEFT(INDEX(Dataset3_Raw!$B$2:$B$391,$E50),2))))</f>
        <v>40546</v>
      </c>
      <c r="G50" s="23">
        <f>IF($C50&gt;0,INDEX(Merge_1_2!$C$2:$C$611,$C50),INDEX(Dataset3_Raw!$C$2:$C$391,$E50))</f>
        <v>1</v>
      </c>
      <c r="H50" s="23">
        <f>IF($C50&gt;0,INDEX(Merge_1_2!$D$2:$D$611,$C50),INDEX(Dataset3_Raw!$D$2:$D$391,$E50))</f>
        <v>0</v>
      </c>
      <c r="I50" s="23">
        <f>IF($C50&gt;0,INDEX(Merge_1_2!$E$2:$E$611,$C50),INDEX(Dataset3_Raw!$E$2:$E$391,$E50))</f>
        <v>1</v>
      </c>
      <c r="J50" s="23">
        <f>IF($C50&gt;0,INDEX(Merge_1_2!$F$2:$F$611,$C50),INDEX(Dataset3_Raw!$F$2:$F$391,$E50))</f>
        <v>1</v>
      </c>
      <c r="K50" s="23" t="b">
        <f>IF($C50&gt;0,INDEX(Merge_1_2!$G$2:$G$611,$C50),INDEX(Dataset3_Raw!$G$2:$G$391,$E50))</f>
        <v>0</v>
      </c>
      <c r="L50" s="23">
        <f>IF($C50&gt;0,INDEX(Merge_1_2!$H$2:$H$611,$C50),INDEX(Dataset3_Raw!$H$2:$H$391,$E50))</f>
        <v>1</v>
      </c>
      <c r="M50" s="23">
        <f>IF($C50&gt;0,INDEX(Merge_1_2!$I$2:$I$611,$C50),INDEX(Dataset3_Raw!$I$2:$I$391,$E50))</f>
        <v>1</v>
      </c>
      <c r="N50" s="25">
        <f>IF($C50&gt;0,INDEX(Merge_1_2!$J$2:$J$611,$C50),INDEX(Dataset3_Raw!$J$2:$J$391,$E50))</f>
        <v>0.2</v>
      </c>
      <c r="O50" s="25" t="str">
        <f>IF($C50&gt;0,IF(ISNUMBER(INDEX(Merge_1_2!$K$2:$K$611,$C50)),INDEX(Merge_1_2!$K$2:$K$611,$C50),""),INDEX(Dataset3_Raw!$K$2:$K$391,$E50))</f>
        <v/>
      </c>
      <c r="P50" s="25">
        <f>IF(ISNUMBER($O50),$O50,ROUND(Lookups!$B$25+Lookups!$B$24*$N50,4))</f>
        <v>0.20760000000000001</v>
      </c>
      <c r="Q50" s="25">
        <f>IF($C50&gt;0,INDEX(Merge_1_2!$L$2:$L$611,$C50),INDEX(Dataset3_Raw!$L$2:$L$391,$E50))</f>
        <v>0.44</v>
      </c>
      <c r="R50" s="25">
        <f>IF($C50&gt;0,INDEX(Merge_1_2!$M$2:$M$611,$C50),INDEX(Dataset3_Raw!$M$2:$M$391,$E50))</f>
        <v>0.41789999999999999</v>
      </c>
      <c r="S50" s="23">
        <f>IF($C50&gt;0,INDEX(Merge_1_2!$N$2:$N$611,$C50),INDEX(Dataset3_Raw!$N$2:$N$391,$E50))</f>
        <v>0</v>
      </c>
      <c r="T50" s="23">
        <f>IF($C50&gt;0,INDEX(Merge_1_2!$O$2:$O$611,$C50),INDEX(Dataset3_Raw!$O$2:$O$391,$E50))</f>
        <v>2</v>
      </c>
      <c r="U50" s="23">
        <f>IF($C50&gt;0,INDEX(Merge_1_2!$P$2:$P$611,$C50),INDEX(Dataset3_Raw!$P$2:$P$391,$E50))</f>
        <v>2</v>
      </c>
      <c r="V50" s="23" t="str">
        <f t="shared" si="1"/>
        <v>Weekday</v>
      </c>
      <c r="W50" s="23" t="str">
        <f>VLOOKUP($M50,Lookups!$A$5:$B$8,2,FALSE())</f>
        <v>Clear / Partly cloudy</v>
      </c>
      <c r="X50" s="23" t="str">
        <f>VLOOKUP($G50,Lookups!$D$5:$E$8,2,FALSE())</f>
        <v>Winter</v>
      </c>
      <c r="Y50" s="23" t="str">
        <f>VLOOKUP($L50,Lookups!$G$5:$H$11,2,FALSE())</f>
        <v>Monday</v>
      </c>
      <c r="Z50" s="23" t="str">
        <f>IF($J50&lt;Lookups!$B$26,"Night",IF($J50&lt;Lookups!$B$27,"Morning",IF($J50&lt;Lookups!$B$28,"Afternoon","Evening")))</f>
        <v>Night</v>
      </c>
      <c r="AA50" s="26">
        <f>ROUND($N50*(Lookups!$B$16-Lookups!$B$15)+Lookups!$B$15,1)</f>
        <v>1.4</v>
      </c>
      <c r="AB50" s="26">
        <f>ROUND($P50*(Lookups!$B$18-Lookups!$B$17)+Lookups!$B$17,1)</f>
        <v>-2.2999999999999998</v>
      </c>
      <c r="AC50" s="23">
        <f t="shared" si="2"/>
        <v>44</v>
      </c>
      <c r="AD50" s="23">
        <f>ROUND($R50*Lookups!$B$19,1)</f>
        <v>28</v>
      </c>
      <c r="AE50" s="27">
        <f t="shared" si="3"/>
        <v>1</v>
      </c>
      <c r="AF50" s="23" t="str">
        <f>IF($U50&gt;=Lookups!$B$23,"High",IF($U50&gt;=Lookups!$B$22,"Medium","Low"))</f>
        <v>Low</v>
      </c>
      <c r="AG50" s="23">
        <f>ROUND(IF($V50="Weekday",IF(INDEX(Hourly_Analysis!$D$5:$D$28,$J50+1)&gt;0,($U50-INDEX(Hourly_Analysis!$C$5:$C$28,$J50+1))/INDEX(Hourly_Analysis!$D$5:$D$28,$J50+1),0),IF(INDEX(Hourly_Analysis!$G$5:$G$28,$J50+1)&gt;0,($U50-INDEX(Hourly_Analysis!$F$5:$F$28,$J50+1))/INDEX(Hourly_Analysis!$G$5:$G$28,$J50+1),0)),2)</f>
        <v>-1.35</v>
      </c>
      <c r="AH50" s="23" t="str">
        <f>IF(ABS($AG50)&gt;Lookups!$B$20,IF($AG50&gt;0,"High anomaly","Low anomaly"),"")</f>
        <v/>
      </c>
      <c r="AI50" s="23" t="str">
        <f t="shared" si="4"/>
        <v>OK</v>
      </c>
      <c r="AJ50" s="23" t="str">
        <f t="shared" si="5"/>
        <v>Yes</v>
      </c>
    </row>
    <row r="51" spans="1:36" x14ac:dyDescent="0.35">
      <c r="A51" s="23">
        <v>50</v>
      </c>
      <c r="B51" s="23" t="str">
        <f t="shared" si="0"/>
        <v>Merge 1+2</v>
      </c>
      <c r="C51" s="23">
        <f>IFERROR(MATCH($A51,Merge_1_2!$A$2:$A$611,0),0)</f>
        <v>50</v>
      </c>
      <c r="D51" s="23">
        <f>IF($C51&gt;0,INDEX(Merge_1_2!$Q$2:$Q$611,$C51),0)</f>
        <v>50</v>
      </c>
      <c r="E51" s="23">
        <f>IFERROR(MATCH($A51,Dataset3_Raw!$A$2:$A$391,0),0)</f>
        <v>0</v>
      </c>
      <c r="F51" s="24">
        <f>IF($C51&gt;0,INDEX(Merge_1_2!$B$2:$B$611,$C51),DATE(VALUE(RIGHT(INDEX(Dataset3_Raw!$B$2:$B$391,$E51),4)),VALUE(MID(INDEX(Dataset3_Raw!$B$2:$B$391,$E51),4,2)),VALUE(LEFT(INDEX(Dataset3_Raw!$B$2:$B$391,$E51),2))))</f>
        <v>40546</v>
      </c>
      <c r="G51" s="23">
        <f>IF($C51&gt;0,INDEX(Merge_1_2!$C$2:$C$611,$C51),INDEX(Dataset3_Raw!$C$2:$C$391,$E51))</f>
        <v>1</v>
      </c>
      <c r="H51" s="23">
        <f>IF($C51&gt;0,INDEX(Merge_1_2!$D$2:$D$611,$C51),INDEX(Dataset3_Raw!$D$2:$D$391,$E51))</f>
        <v>0</v>
      </c>
      <c r="I51" s="23">
        <f>IF($C51&gt;0,INDEX(Merge_1_2!$E$2:$E$611,$C51),INDEX(Dataset3_Raw!$E$2:$E$391,$E51))</f>
        <v>1</v>
      </c>
      <c r="J51" s="23">
        <f>IF($C51&gt;0,INDEX(Merge_1_2!$F$2:$F$611,$C51),INDEX(Dataset3_Raw!$F$2:$F$391,$E51))</f>
        <v>4</v>
      </c>
      <c r="K51" s="23" t="b">
        <f>IF($C51&gt;0,INDEX(Merge_1_2!$G$2:$G$611,$C51),INDEX(Dataset3_Raw!$G$2:$G$391,$E51))</f>
        <v>0</v>
      </c>
      <c r="L51" s="23">
        <f>IF($C51&gt;0,INDEX(Merge_1_2!$H$2:$H$611,$C51),INDEX(Dataset3_Raw!$H$2:$H$391,$E51))</f>
        <v>1</v>
      </c>
      <c r="M51" s="23">
        <f>IF($C51&gt;0,INDEX(Merge_1_2!$I$2:$I$611,$C51),INDEX(Dataset3_Raw!$I$2:$I$391,$E51))</f>
        <v>1</v>
      </c>
      <c r="N51" s="25">
        <f>IF($C51&gt;0,INDEX(Merge_1_2!$J$2:$J$611,$C51),INDEX(Dataset3_Raw!$J$2:$J$391,$E51))</f>
        <v>0.16</v>
      </c>
      <c r="O51" s="25">
        <f>IF($C51&gt;0,IF(ISNUMBER(INDEX(Merge_1_2!$K$2:$K$611,$C51)),INDEX(Merge_1_2!$K$2:$K$611,$C51),""),INDEX(Dataset3_Raw!$K$2:$K$391,$E51))</f>
        <v>0.13639999999999999</v>
      </c>
      <c r="P51" s="25">
        <f>IF(ISNUMBER($O51),$O51,ROUND(Lookups!$B$25+Lookups!$B$24*$N51,4))</f>
        <v>0.13639999999999999</v>
      </c>
      <c r="Q51" s="25">
        <f>IF($C51&gt;0,INDEX(Merge_1_2!$L$2:$L$611,$C51),INDEX(Dataset3_Raw!$L$2:$L$391,$E51))</f>
        <v>0.47</v>
      </c>
      <c r="R51" s="25">
        <f>IF($C51&gt;0,INDEX(Merge_1_2!$M$2:$M$611,$C51),INDEX(Dataset3_Raw!$M$2:$M$391,$E51))</f>
        <v>0.3881</v>
      </c>
      <c r="S51" s="23">
        <f>IF($C51&gt;0,INDEX(Merge_1_2!$N$2:$N$611,$C51),INDEX(Dataset3_Raw!$N$2:$N$391,$E51))</f>
        <v>0</v>
      </c>
      <c r="T51" s="23">
        <f>IF($C51&gt;0,INDEX(Merge_1_2!$O$2:$O$611,$C51),INDEX(Dataset3_Raw!$O$2:$O$391,$E51))</f>
        <v>1</v>
      </c>
      <c r="U51" s="23">
        <f>IF($C51&gt;0,INDEX(Merge_1_2!$P$2:$P$611,$C51),INDEX(Dataset3_Raw!$P$2:$P$391,$E51))</f>
        <v>1</v>
      </c>
      <c r="V51" s="23" t="str">
        <f t="shared" si="1"/>
        <v>Weekday</v>
      </c>
      <c r="W51" s="23" t="str">
        <f>VLOOKUP($M51,Lookups!$A$5:$B$8,2,FALSE())</f>
        <v>Clear / Partly cloudy</v>
      </c>
      <c r="X51" s="23" t="str">
        <f>VLOOKUP($G51,Lookups!$D$5:$E$8,2,FALSE())</f>
        <v>Winter</v>
      </c>
      <c r="Y51" s="23" t="str">
        <f>VLOOKUP($L51,Lookups!$G$5:$H$11,2,FALSE())</f>
        <v>Monday</v>
      </c>
      <c r="Z51" s="23" t="str">
        <f>IF($J51&lt;Lookups!$B$26,"Night",IF($J51&lt;Lookups!$B$27,"Morning",IF($J51&lt;Lookups!$B$28,"Afternoon","Evening")))</f>
        <v>Night</v>
      </c>
      <c r="AA51" s="26">
        <f>ROUND($N51*(Lookups!$B$16-Lookups!$B$15)+Lookups!$B$15,1)</f>
        <v>-0.5</v>
      </c>
      <c r="AB51" s="26">
        <f>ROUND($P51*(Lookups!$B$18-Lookups!$B$17)+Lookups!$B$17,1)</f>
        <v>-7</v>
      </c>
      <c r="AC51" s="23">
        <f t="shared" si="2"/>
        <v>47</v>
      </c>
      <c r="AD51" s="23">
        <f>ROUND($R51*Lookups!$B$19,1)</f>
        <v>26</v>
      </c>
      <c r="AE51" s="27">
        <f t="shared" si="3"/>
        <v>1</v>
      </c>
      <c r="AF51" s="23" t="str">
        <f>IF($U51&gt;=Lookups!$B$23,"High",IF($U51&gt;=Lookups!$B$22,"Medium","Low"))</f>
        <v>Low</v>
      </c>
      <c r="AG51" s="23">
        <f>ROUND(IF($V51="Weekday",IF(INDEX(Hourly_Analysis!$D$5:$D$28,$J51+1)&gt;0,($U51-INDEX(Hourly_Analysis!$C$5:$C$28,$J51+1))/INDEX(Hourly_Analysis!$D$5:$D$28,$J51+1),0),IF(INDEX(Hourly_Analysis!$G$5:$G$28,$J51+1)&gt;0,($U51-INDEX(Hourly_Analysis!$F$5:$F$28,$J51+1))/INDEX(Hourly_Analysis!$G$5:$G$28,$J51+1),0)),2)</f>
        <v>-0.81</v>
      </c>
      <c r="AH51" s="23" t="str">
        <f>IF(ABS($AG51)&gt;Lookups!$B$20,IF($AG51&gt;0,"High anomaly","Low anomaly"),"")</f>
        <v/>
      </c>
      <c r="AI51" s="23" t="str">
        <f t="shared" si="4"/>
        <v>OK</v>
      </c>
      <c r="AJ51" s="23" t="str">
        <f t="shared" si="5"/>
        <v>No</v>
      </c>
    </row>
    <row r="52" spans="1:36" x14ac:dyDescent="0.35">
      <c r="A52" s="23">
        <v>51</v>
      </c>
      <c r="B52" s="23" t="str">
        <f t="shared" si="0"/>
        <v>Merge 1+2</v>
      </c>
      <c r="C52" s="23">
        <f>IFERROR(MATCH($A52,Merge_1_2!$A$2:$A$611,0),0)</f>
        <v>51</v>
      </c>
      <c r="D52" s="23">
        <f>IF($C52&gt;0,INDEX(Merge_1_2!$Q$2:$Q$611,$C52),0)</f>
        <v>51</v>
      </c>
      <c r="E52" s="23">
        <f>IFERROR(MATCH($A52,Dataset3_Raw!$A$2:$A$391,0),0)</f>
        <v>0</v>
      </c>
      <c r="F52" s="24">
        <f>IF($C52&gt;0,INDEX(Merge_1_2!$B$2:$B$611,$C52),DATE(VALUE(RIGHT(INDEX(Dataset3_Raw!$B$2:$B$391,$E52),4)),VALUE(MID(INDEX(Dataset3_Raw!$B$2:$B$391,$E52),4,2)),VALUE(LEFT(INDEX(Dataset3_Raw!$B$2:$B$391,$E52),2))))</f>
        <v>40546</v>
      </c>
      <c r="G52" s="23">
        <f>IF($C52&gt;0,INDEX(Merge_1_2!$C$2:$C$611,$C52),INDEX(Dataset3_Raw!$C$2:$C$391,$E52))</f>
        <v>1</v>
      </c>
      <c r="H52" s="23">
        <f>IF($C52&gt;0,INDEX(Merge_1_2!$D$2:$D$611,$C52),INDEX(Dataset3_Raw!$D$2:$D$391,$E52))</f>
        <v>0</v>
      </c>
      <c r="I52" s="23">
        <f>IF($C52&gt;0,INDEX(Merge_1_2!$E$2:$E$611,$C52),INDEX(Dataset3_Raw!$E$2:$E$391,$E52))</f>
        <v>1</v>
      </c>
      <c r="J52" s="23">
        <f>IF($C52&gt;0,INDEX(Merge_1_2!$F$2:$F$611,$C52),INDEX(Dataset3_Raw!$F$2:$F$391,$E52))</f>
        <v>5</v>
      </c>
      <c r="K52" s="23" t="b">
        <f>IF($C52&gt;0,INDEX(Merge_1_2!$G$2:$G$611,$C52),INDEX(Dataset3_Raw!$G$2:$G$391,$E52))</f>
        <v>0</v>
      </c>
      <c r="L52" s="23">
        <f>IF($C52&gt;0,INDEX(Merge_1_2!$H$2:$H$611,$C52),INDEX(Dataset3_Raw!$H$2:$H$391,$E52))</f>
        <v>1</v>
      </c>
      <c r="M52" s="23">
        <f>IF($C52&gt;0,INDEX(Merge_1_2!$I$2:$I$611,$C52),INDEX(Dataset3_Raw!$I$2:$I$391,$E52))</f>
        <v>1</v>
      </c>
      <c r="N52" s="25">
        <f>IF($C52&gt;0,INDEX(Merge_1_2!$J$2:$J$611,$C52),INDEX(Dataset3_Raw!$J$2:$J$391,$E52))</f>
        <v>0.16</v>
      </c>
      <c r="O52" s="25">
        <f>IF($C52&gt;0,IF(ISNUMBER(INDEX(Merge_1_2!$K$2:$K$611,$C52)),INDEX(Merge_1_2!$K$2:$K$611,$C52),""),INDEX(Dataset3_Raw!$K$2:$K$391,$E52))</f>
        <v>0.13639999999999999</v>
      </c>
      <c r="P52" s="25">
        <f>IF(ISNUMBER($O52),$O52,ROUND(Lookups!$B$25+Lookups!$B$24*$N52,4))</f>
        <v>0.13639999999999999</v>
      </c>
      <c r="Q52" s="25">
        <f>IF($C52&gt;0,INDEX(Merge_1_2!$L$2:$L$611,$C52),INDEX(Dataset3_Raw!$L$2:$L$391,$E52))</f>
        <v>0.47</v>
      </c>
      <c r="R52" s="25">
        <f>IF($C52&gt;0,INDEX(Merge_1_2!$M$2:$M$611,$C52),INDEX(Dataset3_Raw!$M$2:$M$391,$E52))</f>
        <v>0.28360000000000002</v>
      </c>
      <c r="S52" s="23">
        <f>IF($C52&gt;0,INDEX(Merge_1_2!$N$2:$N$611,$C52),INDEX(Dataset3_Raw!$N$2:$N$391,$E52))</f>
        <v>0</v>
      </c>
      <c r="T52" s="23">
        <f>IF($C52&gt;0,INDEX(Merge_1_2!$O$2:$O$611,$C52),INDEX(Dataset3_Raw!$O$2:$O$391,$E52))</f>
        <v>3</v>
      </c>
      <c r="U52" s="23">
        <f>IF($C52&gt;0,INDEX(Merge_1_2!$P$2:$P$611,$C52),INDEX(Dataset3_Raw!$P$2:$P$391,$E52))</f>
        <v>3</v>
      </c>
      <c r="V52" s="23" t="str">
        <f t="shared" si="1"/>
        <v>Weekday</v>
      </c>
      <c r="W52" s="23" t="str">
        <f>VLOOKUP($M52,Lookups!$A$5:$B$8,2,FALSE())</f>
        <v>Clear / Partly cloudy</v>
      </c>
      <c r="X52" s="23" t="str">
        <f>VLOOKUP($G52,Lookups!$D$5:$E$8,2,FALSE())</f>
        <v>Winter</v>
      </c>
      <c r="Y52" s="23" t="str">
        <f>VLOOKUP($L52,Lookups!$G$5:$H$11,2,FALSE())</f>
        <v>Monday</v>
      </c>
      <c r="Z52" s="23" t="str">
        <f>IF($J52&lt;Lookups!$B$26,"Night",IF($J52&lt;Lookups!$B$27,"Morning",IF($J52&lt;Lookups!$B$28,"Afternoon","Evening")))</f>
        <v>Night</v>
      </c>
      <c r="AA52" s="26">
        <f>ROUND($N52*(Lookups!$B$16-Lookups!$B$15)+Lookups!$B$15,1)</f>
        <v>-0.5</v>
      </c>
      <c r="AB52" s="26">
        <f>ROUND($P52*(Lookups!$B$18-Lookups!$B$17)+Lookups!$B$17,1)</f>
        <v>-7</v>
      </c>
      <c r="AC52" s="23">
        <f t="shared" si="2"/>
        <v>47</v>
      </c>
      <c r="AD52" s="23">
        <f>ROUND($R52*Lookups!$B$19,1)</f>
        <v>19</v>
      </c>
      <c r="AE52" s="27">
        <f t="shared" si="3"/>
        <v>1</v>
      </c>
      <c r="AF52" s="23" t="str">
        <f>IF($U52&gt;=Lookups!$B$23,"High",IF($U52&gt;=Lookups!$B$22,"Medium","Low"))</f>
        <v>Low</v>
      </c>
      <c r="AG52" s="23">
        <f>ROUND(IF($V52="Weekday",IF(INDEX(Hourly_Analysis!$D$5:$D$28,$J52+1)&gt;0,($U52-INDEX(Hourly_Analysis!$C$5:$C$28,$J52+1))/INDEX(Hourly_Analysis!$D$5:$D$28,$J52+1),0),IF(INDEX(Hourly_Analysis!$G$5:$G$28,$J52+1)&gt;0,($U52-INDEX(Hourly_Analysis!$F$5:$F$28,$J52+1))/INDEX(Hourly_Analysis!$G$5:$G$28,$J52+1),0)),2)</f>
        <v>-0.82</v>
      </c>
      <c r="AH52" s="23" t="str">
        <f>IF(ABS($AG52)&gt;Lookups!$B$20,IF($AG52&gt;0,"High anomaly","Low anomaly"),"")</f>
        <v/>
      </c>
      <c r="AI52" s="23" t="str">
        <f t="shared" si="4"/>
        <v>OK</v>
      </c>
      <c r="AJ52" s="23" t="str">
        <f t="shared" si="5"/>
        <v>No</v>
      </c>
    </row>
    <row r="53" spans="1:36" x14ac:dyDescent="0.35">
      <c r="A53" s="23">
        <v>52</v>
      </c>
      <c r="B53" s="23" t="str">
        <f t="shared" si="0"/>
        <v>Merge 1+2</v>
      </c>
      <c r="C53" s="23">
        <f>IFERROR(MATCH($A53,Merge_1_2!$A$2:$A$611,0),0)</f>
        <v>52</v>
      </c>
      <c r="D53" s="23">
        <f>IF($C53&gt;0,INDEX(Merge_1_2!$Q$2:$Q$611,$C53),0)</f>
        <v>52</v>
      </c>
      <c r="E53" s="23">
        <f>IFERROR(MATCH($A53,Dataset3_Raw!$A$2:$A$391,0),0)</f>
        <v>0</v>
      </c>
      <c r="F53" s="24">
        <f>IF($C53&gt;0,INDEX(Merge_1_2!$B$2:$B$611,$C53),DATE(VALUE(RIGHT(INDEX(Dataset3_Raw!$B$2:$B$391,$E53),4)),VALUE(MID(INDEX(Dataset3_Raw!$B$2:$B$391,$E53),4,2)),VALUE(LEFT(INDEX(Dataset3_Raw!$B$2:$B$391,$E53),2))))</f>
        <v>40546</v>
      </c>
      <c r="G53" s="23">
        <f>IF($C53&gt;0,INDEX(Merge_1_2!$C$2:$C$611,$C53),INDEX(Dataset3_Raw!$C$2:$C$391,$E53))</f>
        <v>1</v>
      </c>
      <c r="H53" s="23">
        <f>IF($C53&gt;0,INDEX(Merge_1_2!$D$2:$D$611,$C53),INDEX(Dataset3_Raw!$D$2:$D$391,$E53))</f>
        <v>0</v>
      </c>
      <c r="I53" s="23">
        <f>IF($C53&gt;0,INDEX(Merge_1_2!$E$2:$E$611,$C53),INDEX(Dataset3_Raw!$E$2:$E$391,$E53))</f>
        <v>1</v>
      </c>
      <c r="J53" s="23">
        <f>IF($C53&gt;0,INDEX(Merge_1_2!$F$2:$F$611,$C53),INDEX(Dataset3_Raw!$F$2:$F$391,$E53))</f>
        <v>6</v>
      </c>
      <c r="K53" s="23" t="b">
        <f>IF($C53&gt;0,INDEX(Merge_1_2!$G$2:$G$611,$C53),INDEX(Dataset3_Raw!$G$2:$G$391,$E53))</f>
        <v>0</v>
      </c>
      <c r="L53" s="23">
        <f>IF($C53&gt;0,INDEX(Merge_1_2!$H$2:$H$611,$C53),INDEX(Dataset3_Raw!$H$2:$H$391,$E53))</f>
        <v>1</v>
      </c>
      <c r="M53" s="23">
        <f>IF($C53&gt;0,INDEX(Merge_1_2!$I$2:$I$611,$C53),INDEX(Dataset3_Raw!$I$2:$I$391,$E53))</f>
        <v>1</v>
      </c>
      <c r="N53" s="25">
        <f>IF($C53&gt;0,INDEX(Merge_1_2!$J$2:$J$611,$C53),INDEX(Dataset3_Raw!$J$2:$J$391,$E53))</f>
        <v>0.14000000000000001</v>
      </c>
      <c r="O53" s="25">
        <f>IF($C53&gt;0,IF(ISNUMBER(INDEX(Merge_1_2!$K$2:$K$611,$C53)),INDEX(Merge_1_2!$K$2:$K$611,$C53),""),INDEX(Dataset3_Raw!$K$2:$K$391,$E53))</f>
        <v>0.1061</v>
      </c>
      <c r="P53" s="25">
        <f>IF(ISNUMBER($O53),$O53,ROUND(Lookups!$B$25+Lookups!$B$24*$N53,4))</f>
        <v>0.1061</v>
      </c>
      <c r="Q53" s="25">
        <f>IF($C53&gt;0,INDEX(Merge_1_2!$L$2:$L$611,$C53),INDEX(Dataset3_Raw!$L$2:$L$391,$E53))</f>
        <v>0.5</v>
      </c>
      <c r="R53" s="25">
        <f>IF($C53&gt;0,INDEX(Merge_1_2!$M$2:$M$611,$C53),INDEX(Dataset3_Raw!$M$2:$M$391,$E53))</f>
        <v>0.3881</v>
      </c>
      <c r="S53" s="23">
        <f>IF($C53&gt;0,INDEX(Merge_1_2!$N$2:$N$611,$C53),INDEX(Dataset3_Raw!$N$2:$N$391,$E53))</f>
        <v>0</v>
      </c>
      <c r="T53" s="23">
        <f>IF($C53&gt;0,INDEX(Merge_1_2!$O$2:$O$611,$C53),INDEX(Dataset3_Raw!$O$2:$O$391,$E53))</f>
        <v>30</v>
      </c>
      <c r="U53" s="23">
        <f>IF($C53&gt;0,INDEX(Merge_1_2!$P$2:$P$611,$C53),INDEX(Dataset3_Raw!$P$2:$P$391,$E53))</f>
        <v>30</v>
      </c>
      <c r="V53" s="23" t="str">
        <f t="shared" si="1"/>
        <v>Weekday</v>
      </c>
      <c r="W53" s="23" t="str">
        <f>VLOOKUP($M53,Lookups!$A$5:$B$8,2,FALSE())</f>
        <v>Clear / Partly cloudy</v>
      </c>
      <c r="X53" s="23" t="str">
        <f>VLOOKUP($G53,Lookups!$D$5:$E$8,2,FALSE())</f>
        <v>Winter</v>
      </c>
      <c r="Y53" s="23" t="str">
        <f>VLOOKUP($L53,Lookups!$G$5:$H$11,2,FALSE())</f>
        <v>Monday</v>
      </c>
      <c r="Z53" s="23" t="str">
        <f>IF($J53&lt;Lookups!$B$26,"Night",IF($J53&lt;Lookups!$B$27,"Morning",IF($J53&lt;Lookups!$B$28,"Afternoon","Evening")))</f>
        <v>Morning</v>
      </c>
      <c r="AA53" s="26">
        <f>ROUND($N53*(Lookups!$B$16-Lookups!$B$15)+Lookups!$B$15,1)</f>
        <v>-1.4</v>
      </c>
      <c r="AB53" s="26">
        <f>ROUND($P53*(Lookups!$B$18-Lookups!$B$17)+Lookups!$B$17,1)</f>
        <v>-9</v>
      </c>
      <c r="AC53" s="23">
        <f t="shared" si="2"/>
        <v>50</v>
      </c>
      <c r="AD53" s="23">
        <f>ROUND($R53*Lookups!$B$19,1)</f>
        <v>26</v>
      </c>
      <c r="AE53" s="27">
        <f t="shared" si="3"/>
        <v>1</v>
      </c>
      <c r="AF53" s="23" t="str">
        <f>IF($U53&gt;=Lookups!$B$23,"High",IF($U53&gt;=Lookups!$B$22,"Medium","Low"))</f>
        <v>Medium</v>
      </c>
      <c r="AG53" s="23">
        <f>ROUND(IF($V53="Weekday",IF(INDEX(Hourly_Analysis!$D$5:$D$28,$J53+1)&gt;0,($U53-INDEX(Hourly_Analysis!$C$5:$C$28,$J53+1))/INDEX(Hourly_Analysis!$D$5:$D$28,$J53+1),0),IF(INDEX(Hourly_Analysis!$G$5:$G$28,$J53+1)&gt;0,($U53-INDEX(Hourly_Analysis!$F$5:$F$28,$J53+1))/INDEX(Hourly_Analysis!$G$5:$G$28,$J53+1),0)),2)</f>
        <v>0.21</v>
      </c>
      <c r="AH53" s="23" t="str">
        <f>IF(ABS($AG53)&gt;Lookups!$B$20,IF($AG53&gt;0,"High anomaly","Low anomaly"),"")</f>
        <v/>
      </c>
      <c r="AI53" s="23" t="str">
        <f t="shared" si="4"/>
        <v>OK</v>
      </c>
      <c r="AJ53" s="23" t="str">
        <f t="shared" si="5"/>
        <v>No</v>
      </c>
    </row>
    <row r="54" spans="1:36" x14ac:dyDescent="0.35">
      <c r="A54" s="23">
        <v>53</v>
      </c>
      <c r="B54" s="23" t="str">
        <f t="shared" si="0"/>
        <v>Merge 1+2</v>
      </c>
      <c r="C54" s="23">
        <f>IFERROR(MATCH($A54,Merge_1_2!$A$2:$A$611,0),0)</f>
        <v>53</v>
      </c>
      <c r="D54" s="23">
        <f>IF($C54&gt;0,INDEX(Merge_1_2!$Q$2:$Q$611,$C54),0)</f>
        <v>53</v>
      </c>
      <c r="E54" s="23">
        <f>IFERROR(MATCH($A54,Dataset3_Raw!$A$2:$A$391,0),0)</f>
        <v>0</v>
      </c>
      <c r="F54" s="24">
        <f>IF($C54&gt;0,INDEX(Merge_1_2!$B$2:$B$611,$C54),DATE(VALUE(RIGHT(INDEX(Dataset3_Raw!$B$2:$B$391,$E54),4)),VALUE(MID(INDEX(Dataset3_Raw!$B$2:$B$391,$E54),4,2)),VALUE(LEFT(INDEX(Dataset3_Raw!$B$2:$B$391,$E54),2))))</f>
        <v>40546</v>
      </c>
      <c r="G54" s="23">
        <f>IF($C54&gt;0,INDEX(Merge_1_2!$C$2:$C$611,$C54),INDEX(Dataset3_Raw!$C$2:$C$391,$E54))</f>
        <v>1</v>
      </c>
      <c r="H54" s="23">
        <f>IF($C54&gt;0,INDEX(Merge_1_2!$D$2:$D$611,$C54),INDEX(Dataset3_Raw!$D$2:$D$391,$E54))</f>
        <v>0</v>
      </c>
      <c r="I54" s="23">
        <f>IF($C54&gt;0,INDEX(Merge_1_2!$E$2:$E$611,$C54),INDEX(Dataset3_Raw!$E$2:$E$391,$E54))</f>
        <v>1</v>
      </c>
      <c r="J54" s="23">
        <f>IF($C54&gt;0,INDEX(Merge_1_2!$F$2:$F$611,$C54),INDEX(Dataset3_Raw!$F$2:$F$391,$E54))</f>
        <v>7</v>
      </c>
      <c r="K54" s="23" t="b">
        <f>IF($C54&gt;0,INDEX(Merge_1_2!$G$2:$G$611,$C54),INDEX(Dataset3_Raw!$G$2:$G$391,$E54))</f>
        <v>0</v>
      </c>
      <c r="L54" s="23">
        <f>IF($C54&gt;0,INDEX(Merge_1_2!$H$2:$H$611,$C54),INDEX(Dataset3_Raw!$H$2:$H$391,$E54))</f>
        <v>1</v>
      </c>
      <c r="M54" s="23">
        <f>IF($C54&gt;0,INDEX(Merge_1_2!$I$2:$I$611,$C54),INDEX(Dataset3_Raw!$I$2:$I$391,$E54))</f>
        <v>1</v>
      </c>
      <c r="N54" s="25">
        <f>IF($C54&gt;0,INDEX(Merge_1_2!$J$2:$J$611,$C54),INDEX(Dataset3_Raw!$J$2:$J$391,$E54))</f>
        <v>0.14000000000000001</v>
      </c>
      <c r="O54" s="25">
        <f>IF($C54&gt;0,IF(ISNUMBER(INDEX(Merge_1_2!$K$2:$K$611,$C54)),INDEX(Merge_1_2!$K$2:$K$611,$C54),""),INDEX(Dataset3_Raw!$K$2:$K$391,$E54))</f>
        <v>0.13639999999999999</v>
      </c>
      <c r="P54" s="25">
        <f>IF(ISNUMBER($O54),$O54,ROUND(Lookups!$B$25+Lookups!$B$24*$N54,4))</f>
        <v>0.13639999999999999</v>
      </c>
      <c r="Q54" s="25">
        <f>IF($C54&gt;0,INDEX(Merge_1_2!$L$2:$L$611,$C54),INDEX(Dataset3_Raw!$L$2:$L$391,$E54))</f>
        <v>0.5</v>
      </c>
      <c r="R54" s="25">
        <f>IF($C54&gt;0,INDEX(Merge_1_2!$M$2:$M$611,$C54),INDEX(Dataset3_Raw!$M$2:$M$391,$E54))</f>
        <v>0.19400000000000001</v>
      </c>
      <c r="S54" s="23">
        <f>IF($C54&gt;0,INDEX(Merge_1_2!$N$2:$N$611,$C54),INDEX(Dataset3_Raw!$N$2:$N$391,$E54))</f>
        <v>1</v>
      </c>
      <c r="T54" s="23">
        <f>IF($C54&gt;0,INDEX(Merge_1_2!$O$2:$O$611,$C54),INDEX(Dataset3_Raw!$O$2:$O$391,$E54))</f>
        <v>63</v>
      </c>
      <c r="U54" s="23">
        <f>IF($C54&gt;0,INDEX(Merge_1_2!$P$2:$P$611,$C54),INDEX(Dataset3_Raw!$P$2:$P$391,$E54))</f>
        <v>64</v>
      </c>
      <c r="V54" s="23" t="str">
        <f t="shared" si="1"/>
        <v>Weekday</v>
      </c>
      <c r="W54" s="23" t="str">
        <f>VLOOKUP($M54,Lookups!$A$5:$B$8,2,FALSE())</f>
        <v>Clear / Partly cloudy</v>
      </c>
      <c r="X54" s="23" t="str">
        <f>VLOOKUP($G54,Lookups!$D$5:$E$8,2,FALSE())</f>
        <v>Winter</v>
      </c>
      <c r="Y54" s="23" t="str">
        <f>VLOOKUP($L54,Lookups!$G$5:$H$11,2,FALSE())</f>
        <v>Monday</v>
      </c>
      <c r="Z54" s="23" t="str">
        <f>IF($J54&lt;Lookups!$B$26,"Night",IF($J54&lt;Lookups!$B$27,"Morning",IF($J54&lt;Lookups!$B$28,"Afternoon","Evening")))</f>
        <v>Morning</v>
      </c>
      <c r="AA54" s="26">
        <f>ROUND($N54*(Lookups!$B$16-Lookups!$B$15)+Lookups!$B$15,1)</f>
        <v>-1.4</v>
      </c>
      <c r="AB54" s="26">
        <f>ROUND($P54*(Lookups!$B$18-Lookups!$B$17)+Lookups!$B$17,1)</f>
        <v>-7</v>
      </c>
      <c r="AC54" s="23">
        <f t="shared" si="2"/>
        <v>50</v>
      </c>
      <c r="AD54" s="23">
        <f>ROUND($R54*Lookups!$B$19,1)</f>
        <v>13</v>
      </c>
      <c r="AE54" s="27">
        <f t="shared" si="3"/>
        <v>0.984375</v>
      </c>
      <c r="AF54" s="23" t="str">
        <f>IF($U54&gt;=Lookups!$B$23,"High",IF($U54&gt;=Lookups!$B$22,"Medium","Low"))</f>
        <v>Medium</v>
      </c>
      <c r="AG54" s="23">
        <f>ROUND(IF($V54="Weekday",IF(INDEX(Hourly_Analysis!$D$5:$D$28,$J54+1)&gt;0,($U54-INDEX(Hourly_Analysis!$C$5:$C$28,$J54+1))/INDEX(Hourly_Analysis!$D$5:$D$28,$J54+1),0),IF(INDEX(Hourly_Analysis!$G$5:$G$28,$J54+1)&gt;0,($U54-INDEX(Hourly_Analysis!$F$5:$F$28,$J54+1))/INDEX(Hourly_Analysis!$G$5:$G$28,$J54+1),0)),2)</f>
        <v>-0.85</v>
      </c>
      <c r="AH54" s="23" t="str">
        <f>IF(ABS($AG54)&gt;Lookups!$B$20,IF($AG54&gt;0,"High anomaly","Low anomaly"),"")</f>
        <v/>
      </c>
      <c r="AI54" s="23" t="str">
        <f t="shared" si="4"/>
        <v>OK</v>
      </c>
      <c r="AJ54" s="23" t="str">
        <f t="shared" si="5"/>
        <v>No</v>
      </c>
    </row>
    <row r="55" spans="1:36" x14ac:dyDescent="0.35">
      <c r="A55" s="23">
        <v>54</v>
      </c>
      <c r="B55" s="23" t="str">
        <f t="shared" si="0"/>
        <v>Merge 1+2</v>
      </c>
      <c r="C55" s="23">
        <f>IFERROR(MATCH($A55,Merge_1_2!$A$2:$A$611,0),0)</f>
        <v>54</v>
      </c>
      <c r="D55" s="23">
        <f>IF($C55&gt;0,INDEX(Merge_1_2!$Q$2:$Q$611,$C55),0)</f>
        <v>54</v>
      </c>
      <c r="E55" s="23">
        <f>IFERROR(MATCH($A55,Dataset3_Raw!$A$2:$A$391,0),0)</f>
        <v>0</v>
      </c>
      <c r="F55" s="24">
        <f>IF($C55&gt;0,INDEX(Merge_1_2!$B$2:$B$611,$C55),DATE(VALUE(RIGHT(INDEX(Dataset3_Raw!$B$2:$B$391,$E55),4)),VALUE(MID(INDEX(Dataset3_Raw!$B$2:$B$391,$E55),4,2)),VALUE(LEFT(INDEX(Dataset3_Raw!$B$2:$B$391,$E55),2))))</f>
        <v>40546</v>
      </c>
      <c r="G55" s="23">
        <f>IF($C55&gt;0,INDEX(Merge_1_2!$C$2:$C$611,$C55),INDEX(Dataset3_Raw!$C$2:$C$391,$E55))</f>
        <v>1</v>
      </c>
      <c r="H55" s="23">
        <f>IF($C55&gt;0,INDEX(Merge_1_2!$D$2:$D$611,$C55),INDEX(Dataset3_Raw!$D$2:$D$391,$E55))</f>
        <v>0</v>
      </c>
      <c r="I55" s="23">
        <f>IF($C55&gt;0,INDEX(Merge_1_2!$E$2:$E$611,$C55),INDEX(Dataset3_Raw!$E$2:$E$391,$E55))</f>
        <v>1</v>
      </c>
      <c r="J55" s="23">
        <f>IF($C55&gt;0,INDEX(Merge_1_2!$F$2:$F$611,$C55),INDEX(Dataset3_Raw!$F$2:$F$391,$E55))</f>
        <v>8</v>
      </c>
      <c r="K55" s="23" t="b">
        <f>IF($C55&gt;0,INDEX(Merge_1_2!$G$2:$G$611,$C55),INDEX(Dataset3_Raw!$G$2:$G$391,$E55))</f>
        <v>0</v>
      </c>
      <c r="L55" s="23">
        <f>IF($C55&gt;0,INDEX(Merge_1_2!$H$2:$H$611,$C55),INDEX(Dataset3_Raw!$H$2:$H$391,$E55))</f>
        <v>1</v>
      </c>
      <c r="M55" s="23">
        <f>IF($C55&gt;0,INDEX(Merge_1_2!$I$2:$I$611,$C55),INDEX(Dataset3_Raw!$I$2:$I$391,$E55))</f>
        <v>1</v>
      </c>
      <c r="N55" s="25">
        <f>IF($C55&gt;0,INDEX(Merge_1_2!$J$2:$J$611,$C55),INDEX(Dataset3_Raw!$J$2:$J$391,$E55))</f>
        <v>0.14000000000000001</v>
      </c>
      <c r="O55" s="25">
        <f>IF($C55&gt;0,IF(ISNUMBER(INDEX(Merge_1_2!$K$2:$K$611,$C55)),INDEX(Merge_1_2!$K$2:$K$611,$C55),""),INDEX(Dataset3_Raw!$K$2:$K$391,$E55))</f>
        <v>0.1212</v>
      </c>
      <c r="P55" s="25">
        <f>IF(ISNUMBER($O55),$O55,ROUND(Lookups!$B$25+Lookups!$B$24*$N55,4))</f>
        <v>0.1212</v>
      </c>
      <c r="Q55" s="25">
        <f>IF($C55&gt;0,INDEX(Merge_1_2!$L$2:$L$611,$C55),INDEX(Dataset3_Raw!$L$2:$L$391,$E55))</f>
        <v>0.5</v>
      </c>
      <c r="R55" s="25">
        <f>IF($C55&gt;0,INDEX(Merge_1_2!$M$2:$M$611,$C55),INDEX(Dataset3_Raw!$M$2:$M$391,$E55))</f>
        <v>0.28360000000000002</v>
      </c>
      <c r="S55" s="23">
        <f>IF($C55&gt;0,INDEX(Merge_1_2!$N$2:$N$611,$C55),INDEX(Dataset3_Raw!$N$2:$N$391,$E55))</f>
        <v>1</v>
      </c>
      <c r="T55" s="23">
        <f>IF($C55&gt;0,INDEX(Merge_1_2!$O$2:$O$611,$C55),INDEX(Dataset3_Raw!$O$2:$O$391,$E55))</f>
        <v>153</v>
      </c>
      <c r="U55" s="23">
        <f>IF($C55&gt;0,INDEX(Merge_1_2!$P$2:$P$611,$C55),INDEX(Dataset3_Raw!$P$2:$P$391,$E55))</f>
        <v>154</v>
      </c>
      <c r="V55" s="23" t="str">
        <f t="shared" si="1"/>
        <v>Weekday</v>
      </c>
      <c r="W55" s="23" t="str">
        <f>VLOOKUP($M55,Lookups!$A$5:$B$8,2,FALSE())</f>
        <v>Clear / Partly cloudy</v>
      </c>
      <c r="X55" s="23" t="str">
        <f>VLOOKUP($G55,Lookups!$D$5:$E$8,2,FALSE())</f>
        <v>Winter</v>
      </c>
      <c r="Y55" s="23" t="str">
        <f>VLOOKUP($L55,Lookups!$G$5:$H$11,2,FALSE())</f>
        <v>Monday</v>
      </c>
      <c r="Z55" s="23" t="str">
        <f>IF($J55&lt;Lookups!$B$26,"Night",IF($J55&lt;Lookups!$B$27,"Morning",IF($J55&lt;Lookups!$B$28,"Afternoon","Evening")))</f>
        <v>Morning</v>
      </c>
      <c r="AA55" s="26">
        <f>ROUND($N55*(Lookups!$B$16-Lookups!$B$15)+Lookups!$B$15,1)</f>
        <v>-1.4</v>
      </c>
      <c r="AB55" s="26">
        <f>ROUND($P55*(Lookups!$B$18-Lookups!$B$17)+Lookups!$B$17,1)</f>
        <v>-8</v>
      </c>
      <c r="AC55" s="23">
        <f t="shared" si="2"/>
        <v>50</v>
      </c>
      <c r="AD55" s="23">
        <f>ROUND($R55*Lookups!$B$19,1)</f>
        <v>19</v>
      </c>
      <c r="AE55" s="27">
        <f t="shared" si="3"/>
        <v>0.99350649350649356</v>
      </c>
      <c r="AF55" s="23" t="str">
        <f>IF($U55&gt;=Lookups!$B$23,"High",IF($U55&gt;=Lookups!$B$22,"Medium","Low"))</f>
        <v>High</v>
      </c>
      <c r="AG55" s="23">
        <f>ROUND(IF($V55="Weekday",IF(INDEX(Hourly_Analysis!$D$5:$D$28,$J55+1)&gt;0,($U55-INDEX(Hourly_Analysis!$C$5:$C$28,$J55+1))/INDEX(Hourly_Analysis!$D$5:$D$28,$J55+1),0),IF(INDEX(Hourly_Analysis!$G$5:$G$28,$J55+1)&gt;0,($U55-INDEX(Hourly_Analysis!$F$5:$F$28,$J55+1))/INDEX(Hourly_Analysis!$G$5:$G$28,$J55+1),0)),2)</f>
        <v>-0.89</v>
      </c>
      <c r="AH55" s="23" t="str">
        <f>IF(ABS($AG55)&gt;Lookups!$B$20,IF($AG55&gt;0,"High anomaly","Low anomaly"),"")</f>
        <v/>
      </c>
      <c r="AI55" s="23" t="str">
        <f t="shared" si="4"/>
        <v>OK</v>
      </c>
      <c r="AJ55" s="23" t="str">
        <f t="shared" si="5"/>
        <v>No</v>
      </c>
    </row>
    <row r="56" spans="1:36" x14ac:dyDescent="0.35">
      <c r="A56" s="23">
        <v>55</v>
      </c>
      <c r="B56" s="23" t="str">
        <f t="shared" si="0"/>
        <v>Merge 1+2</v>
      </c>
      <c r="C56" s="23">
        <f>IFERROR(MATCH($A56,Merge_1_2!$A$2:$A$611,0),0)</f>
        <v>55</v>
      </c>
      <c r="D56" s="23">
        <f>IF($C56&gt;0,INDEX(Merge_1_2!$Q$2:$Q$611,$C56),0)</f>
        <v>55</v>
      </c>
      <c r="E56" s="23">
        <f>IFERROR(MATCH($A56,Dataset3_Raw!$A$2:$A$391,0),0)</f>
        <v>0</v>
      </c>
      <c r="F56" s="24">
        <f>IF($C56&gt;0,INDEX(Merge_1_2!$B$2:$B$611,$C56),DATE(VALUE(RIGHT(INDEX(Dataset3_Raw!$B$2:$B$391,$E56),4)),VALUE(MID(INDEX(Dataset3_Raw!$B$2:$B$391,$E56),4,2)),VALUE(LEFT(INDEX(Dataset3_Raw!$B$2:$B$391,$E56),2))))</f>
        <v>40546</v>
      </c>
      <c r="G56" s="23">
        <f>IF($C56&gt;0,INDEX(Merge_1_2!$C$2:$C$611,$C56),INDEX(Dataset3_Raw!$C$2:$C$391,$E56))</f>
        <v>1</v>
      </c>
      <c r="H56" s="23">
        <f>IF($C56&gt;0,INDEX(Merge_1_2!$D$2:$D$611,$C56),INDEX(Dataset3_Raw!$D$2:$D$391,$E56))</f>
        <v>0</v>
      </c>
      <c r="I56" s="23">
        <f>IF($C56&gt;0,INDEX(Merge_1_2!$E$2:$E$611,$C56),INDEX(Dataset3_Raw!$E$2:$E$391,$E56))</f>
        <v>1</v>
      </c>
      <c r="J56" s="23">
        <f>IF($C56&gt;0,INDEX(Merge_1_2!$F$2:$F$611,$C56),INDEX(Dataset3_Raw!$F$2:$F$391,$E56))</f>
        <v>9</v>
      </c>
      <c r="K56" s="23" t="b">
        <f>IF($C56&gt;0,INDEX(Merge_1_2!$G$2:$G$611,$C56),INDEX(Dataset3_Raw!$G$2:$G$391,$E56))</f>
        <v>0</v>
      </c>
      <c r="L56" s="23">
        <f>IF($C56&gt;0,INDEX(Merge_1_2!$H$2:$H$611,$C56),INDEX(Dataset3_Raw!$H$2:$H$391,$E56))</f>
        <v>1</v>
      </c>
      <c r="M56" s="23">
        <f>IF($C56&gt;0,INDEX(Merge_1_2!$I$2:$I$611,$C56),INDEX(Dataset3_Raw!$I$2:$I$391,$E56))</f>
        <v>1</v>
      </c>
      <c r="N56" s="25">
        <f>IF($C56&gt;0,INDEX(Merge_1_2!$J$2:$J$611,$C56),INDEX(Dataset3_Raw!$J$2:$J$391,$E56))</f>
        <v>0.16</v>
      </c>
      <c r="O56" s="25">
        <f>IF($C56&gt;0,IF(ISNUMBER(INDEX(Merge_1_2!$K$2:$K$611,$C56)),INDEX(Merge_1_2!$K$2:$K$611,$C56),""),INDEX(Dataset3_Raw!$K$2:$K$391,$E56))</f>
        <v>0.13639999999999999</v>
      </c>
      <c r="P56" s="25">
        <f>IF(ISNUMBER($O56),$O56,ROUND(Lookups!$B$25+Lookups!$B$24*$N56,4))</f>
        <v>0.13639999999999999</v>
      </c>
      <c r="Q56" s="25">
        <f>IF($C56&gt;0,INDEX(Merge_1_2!$L$2:$L$611,$C56),INDEX(Dataset3_Raw!$L$2:$L$391,$E56))</f>
        <v>0.43</v>
      </c>
      <c r="R56" s="25">
        <f>IF($C56&gt;0,INDEX(Merge_1_2!$M$2:$M$611,$C56),INDEX(Dataset3_Raw!$M$2:$M$391,$E56))</f>
        <v>0.3881</v>
      </c>
      <c r="S56" s="23">
        <f>IF($C56&gt;0,INDEX(Merge_1_2!$N$2:$N$611,$C56),INDEX(Dataset3_Raw!$N$2:$N$391,$E56))</f>
        <v>7</v>
      </c>
      <c r="T56" s="23">
        <f>IF($C56&gt;0,INDEX(Merge_1_2!$O$2:$O$611,$C56),INDEX(Dataset3_Raw!$O$2:$O$391,$E56))</f>
        <v>81</v>
      </c>
      <c r="U56" s="23">
        <f>IF($C56&gt;0,INDEX(Merge_1_2!$P$2:$P$611,$C56),INDEX(Dataset3_Raw!$P$2:$P$391,$E56))</f>
        <v>88</v>
      </c>
      <c r="V56" s="23" t="str">
        <f t="shared" si="1"/>
        <v>Weekday</v>
      </c>
      <c r="W56" s="23" t="str">
        <f>VLOOKUP($M56,Lookups!$A$5:$B$8,2,FALSE())</f>
        <v>Clear / Partly cloudy</v>
      </c>
      <c r="X56" s="23" t="str">
        <f>VLOOKUP($G56,Lookups!$D$5:$E$8,2,FALSE())</f>
        <v>Winter</v>
      </c>
      <c r="Y56" s="23" t="str">
        <f>VLOOKUP($L56,Lookups!$G$5:$H$11,2,FALSE())</f>
        <v>Monday</v>
      </c>
      <c r="Z56" s="23" t="str">
        <f>IF($J56&lt;Lookups!$B$26,"Night",IF($J56&lt;Lookups!$B$27,"Morning",IF($J56&lt;Lookups!$B$28,"Afternoon","Evening")))</f>
        <v>Morning</v>
      </c>
      <c r="AA56" s="26">
        <f>ROUND($N56*(Lookups!$B$16-Lookups!$B$15)+Lookups!$B$15,1)</f>
        <v>-0.5</v>
      </c>
      <c r="AB56" s="26">
        <f>ROUND($P56*(Lookups!$B$18-Lookups!$B$17)+Lookups!$B$17,1)</f>
        <v>-7</v>
      </c>
      <c r="AC56" s="23">
        <f t="shared" si="2"/>
        <v>43</v>
      </c>
      <c r="AD56" s="23">
        <f>ROUND($R56*Lookups!$B$19,1)</f>
        <v>26</v>
      </c>
      <c r="AE56" s="27">
        <f t="shared" si="3"/>
        <v>0.92045454545454541</v>
      </c>
      <c r="AF56" s="23" t="str">
        <f>IF($U56&gt;=Lookups!$B$23,"High",IF($U56&gt;=Lookups!$B$22,"Medium","Low"))</f>
        <v>High</v>
      </c>
      <c r="AG56" s="23">
        <f>ROUND(IF($V56="Weekday",IF(INDEX(Hourly_Analysis!$D$5:$D$28,$J56+1)&gt;0,($U56-INDEX(Hourly_Analysis!$C$5:$C$28,$J56+1))/INDEX(Hourly_Analysis!$D$5:$D$28,$J56+1),0),IF(INDEX(Hourly_Analysis!$G$5:$G$28,$J56+1)&gt;0,($U56-INDEX(Hourly_Analysis!$F$5:$F$28,$J56+1))/INDEX(Hourly_Analysis!$G$5:$G$28,$J56+1),0)),2)</f>
        <v>-1.35</v>
      </c>
      <c r="AH56" s="23" t="str">
        <f>IF(ABS($AG56)&gt;Lookups!$B$20,IF($AG56&gt;0,"High anomaly","Low anomaly"),"")</f>
        <v/>
      </c>
      <c r="AI56" s="23" t="str">
        <f t="shared" si="4"/>
        <v>OK</v>
      </c>
      <c r="AJ56" s="23" t="str">
        <f t="shared" si="5"/>
        <v>No</v>
      </c>
    </row>
    <row r="57" spans="1:36" x14ac:dyDescent="0.35">
      <c r="A57" s="23">
        <v>56</v>
      </c>
      <c r="B57" s="23" t="str">
        <f t="shared" si="0"/>
        <v>Merge 1+2</v>
      </c>
      <c r="C57" s="23">
        <f>IFERROR(MATCH($A57,Merge_1_2!$A$2:$A$611,0),0)</f>
        <v>56</v>
      </c>
      <c r="D57" s="23">
        <f>IF($C57&gt;0,INDEX(Merge_1_2!$Q$2:$Q$611,$C57),0)</f>
        <v>56</v>
      </c>
      <c r="E57" s="23">
        <f>IFERROR(MATCH($A57,Dataset3_Raw!$A$2:$A$391,0),0)</f>
        <v>0</v>
      </c>
      <c r="F57" s="24">
        <f>IF($C57&gt;0,INDEX(Merge_1_2!$B$2:$B$611,$C57),DATE(VALUE(RIGHT(INDEX(Dataset3_Raw!$B$2:$B$391,$E57),4)),VALUE(MID(INDEX(Dataset3_Raw!$B$2:$B$391,$E57),4,2)),VALUE(LEFT(INDEX(Dataset3_Raw!$B$2:$B$391,$E57),2))))</f>
        <v>40546</v>
      </c>
      <c r="G57" s="23">
        <f>IF($C57&gt;0,INDEX(Merge_1_2!$C$2:$C$611,$C57),INDEX(Dataset3_Raw!$C$2:$C$391,$E57))</f>
        <v>1</v>
      </c>
      <c r="H57" s="23">
        <f>IF($C57&gt;0,INDEX(Merge_1_2!$D$2:$D$611,$C57),INDEX(Dataset3_Raw!$D$2:$D$391,$E57))</f>
        <v>0</v>
      </c>
      <c r="I57" s="23">
        <f>IF($C57&gt;0,INDEX(Merge_1_2!$E$2:$E$611,$C57),INDEX(Dataset3_Raw!$E$2:$E$391,$E57))</f>
        <v>1</v>
      </c>
      <c r="J57" s="23">
        <f>IF($C57&gt;0,INDEX(Merge_1_2!$F$2:$F$611,$C57),INDEX(Dataset3_Raw!$F$2:$F$391,$E57))</f>
        <v>10</v>
      </c>
      <c r="K57" s="23" t="b">
        <f>IF($C57&gt;0,INDEX(Merge_1_2!$G$2:$G$611,$C57),INDEX(Dataset3_Raw!$G$2:$G$391,$E57))</f>
        <v>0</v>
      </c>
      <c r="L57" s="23">
        <f>IF($C57&gt;0,INDEX(Merge_1_2!$H$2:$H$611,$C57),INDEX(Dataset3_Raw!$H$2:$H$391,$E57))</f>
        <v>1</v>
      </c>
      <c r="M57" s="23">
        <f>IF($C57&gt;0,INDEX(Merge_1_2!$I$2:$I$611,$C57),INDEX(Dataset3_Raw!$I$2:$I$391,$E57))</f>
        <v>1</v>
      </c>
      <c r="N57" s="25">
        <f>IF($C57&gt;0,INDEX(Merge_1_2!$J$2:$J$611,$C57),INDEX(Dataset3_Raw!$J$2:$J$391,$E57))</f>
        <v>0.18</v>
      </c>
      <c r="O57" s="25">
        <f>IF($C57&gt;0,IF(ISNUMBER(INDEX(Merge_1_2!$K$2:$K$611,$C57)),INDEX(Merge_1_2!$K$2:$K$611,$C57),""),INDEX(Dataset3_Raw!$K$2:$K$391,$E57))</f>
        <v>0.16669999999999999</v>
      </c>
      <c r="P57" s="25">
        <f>IF(ISNUMBER($O57),$O57,ROUND(Lookups!$B$25+Lookups!$B$24*$N57,4))</f>
        <v>0.16669999999999999</v>
      </c>
      <c r="Q57" s="25">
        <f>IF($C57&gt;0,INDEX(Merge_1_2!$L$2:$L$611,$C57),INDEX(Dataset3_Raw!$L$2:$L$391,$E57))</f>
        <v>0.43</v>
      </c>
      <c r="R57" s="25">
        <f>IF($C57&gt;0,INDEX(Merge_1_2!$M$2:$M$611,$C57),INDEX(Dataset3_Raw!$M$2:$M$391,$E57))</f>
        <v>0.25369999999999998</v>
      </c>
      <c r="S57" s="23">
        <f>IF($C57&gt;0,INDEX(Merge_1_2!$N$2:$N$611,$C57),INDEX(Dataset3_Raw!$N$2:$N$391,$E57))</f>
        <v>11</v>
      </c>
      <c r="T57" s="23">
        <f>IF($C57&gt;0,INDEX(Merge_1_2!$O$2:$O$611,$C57),INDEX(Dataset3_Raw!$O$2:$O$391,$E57))</f>
        <v>33</v>
      </c>
      <c r="U57" s="23">
        <f>IF($C57&gt;0,INDEX(Merge_1_2!$P$2:$P$611,$C57),INDEX(Dataset3_Raw!$P$2:$P$391,$E57))</f>
        <v>44</v>
      </c>
      <c r="V57" s="23" t="str">
        <f t="shared" si="1"/>
        <v>Weekday</v>
      </c>
      <c r="W57" s="23" t="str">
        <f>VLOOKUP($M57,Lookups!$A$5:$B$8,2,FALSE())</f>
        <v>Clear / Partly cloudy</v>
      </c>
      <c r="X57" s="23" t="str">
        <f>VLOOKUP($G57,Lookups!$D$5:$E$8,2,FALSE())</f>
        <v>Winter</v>
      </c>
      <c r="Y57" s="23" t="str">
        <f>VLOOKUP($L57,Lookups!$G$5:$H$11,2,FALSE())</f>
        <v>Monday</v>
      </c>
      <c r="Z57" s="23" t="str">
        <f>IF($J57&lt;Lookups!$B$26,"Night",IF($J57&lt;Lookups!$B$27,"Morning",IF($J57&lt;Lookups!$B$28,"Afternoon","Evening")))</f>
        <v>Morning</v>
      </c>
      <c r="AA57" s="26">
        <f>ROUND($N57*(Lookups!$B$16-Lookups!$B$15)+Lookups!$B$15,1)</f>
        <v>0.5</v>
      </c>
      <c r="AB57" s="26">
        <f>ROUND($P57*(Lookups!$B$18-Lookups!$B$17)+Lookups!$B$17,1)</f>
        <v>-5</v>
      </c>
      <c r="AC57" s="23">
        <f t="shared" si="2"/>
        <v>43</v>
      </c>
      <c r="AD57" s="23">
        <f>ROUND($R57*Lookups!$B$19,1)</f>
        <v>17</v>
      </c>
      <c r="AE57" s="27">
        <f t="shared" si="3"/>
        <v>0.75</v>
      </c>
      <c r="AF57" s="23" t="str">
        <f>IF($U57&gt;=Lookups!$B$23,"High",IF($U57&gt;=Lookups!$B$22,"Medium","Low"))</f>
        <v>Medium</v>
      </c>
      <c r="AG57" s="23">
        <f>ROUND(IF($V57="Weekday",IF(INDEX(Hourly_Analysis!$D$5:$D$28,$J57+1)&gt;0,($U57-INDEX(Hourly_Analysis!$C$5:$C$28,$J57+1))/INDEX(Hourly_Analysis!$D$5:$D$28,$J57+1),0),IF(INDEX(Hourly_Analysis!$G$5:$G$28,$J57+1)&gt;0,($U57-INDEX(Hourly_Analysis!$F$5:$F$28,$J57+1))/INDEX(Hourly_Analysis!$G$5:$G$28,$J57+1),0)),2)</f>
        <v>-0.47</v>
      </c>
      <c r="AH57" s="23" t="str">
        <f>IF(ABS($AG57)&gt;Lookups!$B$20,IF($AG57&gt;0,"High anomaly","Low anomaly"),"")</f>
        <v/>
      </c>
      <c r="AI57" s="23" t="str">
        <f t="shared" si="4"/>
        <v>OK</v>
      </c>
      <c r="AJ57" s="23" t="str">
        <f t="shared" si="5"/>
        <v>No</v>
      </c>
    </row>
    <row r="58" spans="1:36" x14ac:dyDescent="0.35">
      <c r="A58" s="23">
        <v>57</v>
      </c>
      <c r="B58" s="23" t="str">
        <f t="shared" si="0"/>
        <v>Merge 1+2</v>
      </c>
      <c r="C58" s="23">
        <f>IFERROR(MATCH($A58,Merge_1_2!$A$2:$A$611,0),0)</f>
        <v>57</v>
      </c>
      <c r="D58" s="23">
        <f>IF($C58&gt;0,INDEX(Merge_1_2!$Q$2:$Q$611,$C58),0)</f>
        <v>57</v>
      </c>
      <c r="E58" s="23">
        <f>IFERROR(MATCH($A58,Dataset3_Raw!$A$2:$A$391,0),0)</f>
        <v>0</v>
      </c>
      <c r="F58" s="24">
        <f>IF($C58&gt;0,INDEX(Merge_1_2!$B$2:$B$611,$C58),DATE(VALUE(RIGHT(INDEX(Dataset3_Raw!$B$2:$B$391,$E58),4)),VALUE(MID(INDEX(Dataset3_Raw!$B$2:$B$391,$E58),4,2)),VALUE(LEFT(INDEX(Dataset3_Raw!$B$2:$B$391,$E58),2))))</f>
        <v>40546</v>
      </c>
      <c r="G58" s="23">
        <f>IF($C58&gt;0,INDEX(Merge_1_2!$C$2:$C$611,$C58),INDEX(Dataset3_Raw!$C$2:$C$391,$E58))</f>
        <v>1</v>
      </c>
      <c r="H58" s="23">
        <f>IF($C58&gt;0,INDEX(Merge_1_2!$D$2:$D$611,$C58),INDEX(Dataset3_Raw!$D$2:$D$391,$E58))</f>
        <v>0</v>
      </c>
      <c r="I58" s="23">
        <f>IF($C58&gt;0,INDEX(Merge_1_2!$E$2:$E$611,$C58),INDEX(Dataset3_Raw!$E$2:$E$391,$E58))</f>
        <v>1</v>
      </c>
      <c r="J58" s="23">
        <f>IF($C58&gt;0,INDEX(Merge_1_2!$F$2:$F$611,$C58),INDEX(Dataset3_Raw!$F$2:$F$391,$E58))</f>
        <v>11</v>
      </c>
      <c r="K58" s="23" t="b">
        <f>IF($C58&gt;0,INDEX(Merge_1_2!$G$2:$G$611,$C58),INDEX(Dataset3_Raw!$G$2:$G$391,$E58))</f>
        <v>0</v>
      </c>
      <c r="L58" s="23">
        <f>IF($C58&gt;0,INDEX(Merge_1_2!$H$2:$H$611,$C58),INDEX(Dataset3_Raw!$H$2:$H$391,$E58))</f>
        <v>1</v>
      </c>
      <c r="M58" s="23">
        <f>IF($C58&gt;0,INDEX(Merge_1_2!$I$2:$I$611,$C58),INDEX(Dataset3_Raw!$I$2:$I$391,$E58))</f>
        <v>1</v>
      </c>
      <c r="N58" s="25">
        <f>IF($C58&gt;0,INDEX(Merge_1_2!$J$2:$J$611,$C58),INDEX(Dataset3_Raw!$J$2:$J$391,$E58))</f>
        <v>0.2</v>
      </c>
      <c r="O58" s="25">
        <f>IF($C58&gt;0,IF(ISNUMBER(INDEX(Merge_1_2!$K$2:$K$611,$C58)),INDEX(Merge_1_2!$K$2:$K$611,$C58),""),INDEX(Dataset3_Raw!$K$2:$K$391,$E58))</f>
        <v>0.18179999999999999</v>
      </c>
      <c r="P58" s="25">
        <f>IF(ISNUMBER($O58),$O58,ROUND(Lookups!$B$25+Lookups!$B$24*$N58,4))</f>
        <v>0.18179999999999999</v>
      </c>
      <c r="Q58" s="25">
        <f>IF($C58&gt;0,INDEX(Merge_1_2!$L$2:$L$611,$C58),INDEX(Dataset3_Raw!$L$2:$L$391,$E58))</f>
        <v>0.4</v>
      </c>
      <c r="R58" s="25">
        <f>IF($C58&gt;0,INDEX(Merge_1_2!$M$2:$M$611,$C58),INDEX(Dataset3_Raw!$M$2:$M$391,$E58))</f>
        <v>0.32840000000000003</v>
      </c>
      <c r="S58" s="23">
        <f>IF($C58&gt;0,INDEX(Merge_1_2!$N$2:$N$611,$C58),INDEX(Dataset3_Raw!$N$2:$N$391,$E58))</f>
        <v>10</v>
      </c>
      <c r="T58" s="23">
        <f>IF($C58&gt;0,INDEX(Merge_1_2!$O$2:$O$611,$C58),INDEX(Dataset3_Raw!$O$2:$O$391,$E58))</f>
        <v>41</v>
      </c>
      <c r="U58" s="23">
        <f>IF($C58&gt;0,INDEX(Merge_1_2!$P$2:$P$611,$C58),INDEX(Dataset3_Raw!$P$2:$P$391,$E58))</f>
        <v>51</v>
      </c>
      <c r="V58" s="23" t="str">
        <f t="shared" si="1"/>
        <v>Weekday</v>
      </c>
      <c r="W58" s="23" t="str">
        <f>VLOOKUP($M58,Lookups!$A$5:$B$8,2,FALSE())</f>
        <v>Clear / Partly cloudy</v>
      </c>
      <c r="X58" s="23" t="str">
        <f>VLOOKUP($G58,Lookups!$D$5:$E$8,2,FALSE())</f>
        <v>Winter</v>
      </c>
      <c r="Y58" s="23" t="str">
        <f>VLOOKUP($L58,Lookups!$G$5:$H$11,2,FALSE())</f>
        <v>Monday</v>
      </c>
      <c r="Z58" s="23" t="str">
        <f>IF($J58&lt;Lookups!$B$26,"Night",IF($J58&lt;Lookups!$B$27,"Morning",IF($J58&lt;Lookups!$B$28,"Afternoon","Evening")))</f>
        <v>Morning</v>
      </c>
      <c r="AA58" s="26">
        <f>ROUND($N58*(Lookups!$B$16-Lookups!$B$15)+Lookups!$B$15,1)</f>
        <v>1.4</v>
      </c>
      <c r="AB58" s="26">
        <f>ROUND($P58*(Lookups!$B$18-Lookups!$B$17)+Lookups!$B$17,1)</f>
        <v>-4</v>
      </c>
      <c r="AC58" s="23">
        <f t="shared" si="2"/>
        <v>40</v>
      </c>
      <c r="AD58" s="23">
        <f>ROUND($R58*Lookups!$B$19,1)</f>
        <v>22</v>
      </c>
      <c r="AE58" s="27">
        <f t="shared" si="3"/>
        <v>0.80392156862745101</v>
      </c>
      <c r="AF58" s="23" t="str">
        <f>IF($U58&gt;=Lookups!$B$23,"High",IF($U58&gt;=Lookups!$B$22,"Medium","Low"))</f>
        <v>Medium</v>
      </c>
      <c r="AG58" s="23">
        <f>ROUND(IF($V58="Weekday",IF(INDEX(Hourly_Analysis!$D$5:$D$28,$J58+1)&gt;0,($U58-INDEX(Hourly_Analysis!$C$5:$C$28,$J58+1))/INDEX(Hourly_Analysis!$D$5:$D$28,$J58+1),0),IF(INDEX(Hourly_Analysis!$G$5:$G$28,$J58+1)&gt;0,($U58-INDEX(Hourly_Analysis!$F$5:$F$28,$J58+1))/INDEX(Hourly_Analysis!$G$5:$G$28,$J58+1),0)),2)</f>
        <v>0.08</v>
      </c>
      <c r="AH58" s="23" t="str">
        <f>IF(ABS($AG58)&gt;Lookups!$B$20,IF($AG58&gt;0,"High anomaly","Low anomaly"),"")</f>
        <v/>
      </c>
      <c r="AI58" s="23" t="str">
        <f t="shared" si="4"/>
        <v>OK</v>
      </c>
      <c r="AJ58" s="23" t="str">
        <f t="shared" si="5"/>
        <v>No</v>
      </c>
    </row>
    <row r="59" spans="1:36" x14ac:dyDescent="0.35">
      <c r="A59" s="23">
        <v>58</v>
      </c>
      <c r="B59" s="23" t="str">
        <f t="shared" si="0"/>
        <v>Merge 1+2</v>
      </c>
      <c r="C59" s="23">
        <f>IFERROR(MATCH($A59,Merge_1_2!$A$2:$A$611,0),0)</f>
        <v>58</v>
      </c>
      <c r="D59" s="23">
        <f>IF($C59&gt;0,INDEX(Merge_1_2!$Q$2:$Q$611,$C59),0)</f>
        <v>58</v>
      </c>
      <c r="E59" s="23">
        <f>IFERROR(MATCH($A59,Dataset3_Raw!$A$2:$A$391,0),0)</f>
        <v>0</v>
      </c>
      <c r="F59" s="24">
        <f>IF($C59&gt;0,INDEX(Merge_1_2!$B$2:$B$611,$C59),DATE(VALUE(RIGHT(INDEX(Dataset3_Raw!$B$2:$B$391,$E59),4)),VALUE(MID(INDEX(Dataset3_Raw!$B$2:$B$391,$E59),4,2)),VALUE(LEFT(INDEX(Dataset3_Raw!$B$2:$B$391,$E59),2))))</f>
        <v>40546</v>
      </c>
      <c r="G59" s="23">
        <f>IF($C59&gt;0,INDEX(Merge_1_2!$C$2:$C$611,$C59),INDEX(Dataset3_Raw!$C$2:$C$391,$E59))</f>
        <v>1</v>
      </c>
      <c r="H59" s="23">
        <f>IF($C59&gt;0,INDEX(Merge_1_2!$D$2:$D$611,$C59),INDEX(Dataset3_Raw!$D$2:$D$391,$E59))</f>
        <v>0</v>
      </c>
      <c r="I59" s="23">
        <f>IF($C59&gt;0,INDEX(Merge_1_2!$E$2:$E$611,$C59),INDEX(Dataset3_Raw!$E$2:$E$391,$E59))</f>
        <v>1</v>
      </c>
      <c r="J59" s="23">
        <f>IF($C59&gt;0,INDEX(Merge_1_2!$F$2:$F$611,$C59),INDEX(Dataset3_Raw!$F$2:$F$391,$E59))</f>
        <v>12</v>
      </c>
      <c r="K59" s="23" t="b">
        <f>IF($C59&gt;0,INDEX(Merge_1_2!$G$2:$G$611,$C59),INDEX(Dataset3_Raw!$G$2:$G$391,$E59))</f>
        <v>0</v>
      </c>
      <c r="L59" s="23">
        <f>IF($C59&gt;0,INDEX(Merge_1_2!$H$2:$H$611,$C59),INDEX(Dataset3_Raw!$H$2:$H$391,$E59))</f>
        <v>1</v>
      </c>
      <c r="M59" s="23">
        <f>IF($C59&gt;0,INDEX(Merge_1_2!$I$2:$I$611,$C59),INDEX(Dataset3_Raw!$I$2:$I$391,$E59))</f>
        <v>1</v>
      </c>
      <c r="N59" s="25">
        <f>IF($C59&gt;0,INDEX(Merge_1_2!$J$2:$J$611,$C59),INDEX(Dataset3_Raw!$J$2:$J$391,$E59))</f>
        <v>0.22</v>
      </c>
      <c r="O59" s="25">
        <f>IF($C59&gt;0,IF(ISNUMBER(INDEX(Merge_1_2!$K$2:$K$611,$C59)),INDEX(Merge_1_2!$K$2:$K$611,$C59),""),INDEX(Dataset3_Raw!$K$2:$K$391,$E59))</f>
        <v>0.21210000000000001</v>
      </c>
      <c r="P59" s="25">
        <f>IF(ISNUMBER($O59),$O59,ROUND(Lookups!$B$25+Lookups!$B$24*$N59,4))</f>
        <v>0.21210000000000001</v>
      </c>
      <c r="Q59" s="25">
        <f>IF($C59&gt;0,INDEX(Merge_1_2!$L$2:$L$611,$C59),INDEX(Dataset3_Raw!$L$2:$L$391,$E59))</f>
        <v>0.35</v>
      </c>
      <c r="R59" s="25">
        <f>IF($C59&gt;0,INDEX(Merge_1_2!$M$2:$M$611,$C59),INDEX(Dataset3_Raw!$M$2:$M$391,$E59))</f>
        <v>0.29849999999999999</v>
      </c>
      <c r="S59" s="23">
        <f>IF($C59&gt;0,INDEX(Merge_1_2!$N$2:$N$611,$C59),INDEX(Dataset3_Raw!$N$2:$N$391,$E59))</f>
        <v>13</v>
      </c>
      <c r="T59" s="23">
        <f>IF($C59&gt;0,INDEX(Merge_1_2!$O$2:$O$611,$C59),INDEX(Dataset3_Raw!$O$2:$O$391,$E59))</f>
        <v>48</v>
      </c>
      <c r="U59" s="23">
        <f>IF($C59&gt;0,INDEX(Merge_1_2!$P$2:$P$611,$C59),INDEX(Dataset3_Raw!$P$2:$P$391,$E59))</f>
        <v>61</v>
      </c>
      <c r="V59" s="23" t="str">
        <f t="shared" si="1"/>
        <v>Weekday</v>
      </c>
      <c r="W59" s="23" t="str">
        <f>VLOOKUP($M59,Lookups!$A$5:$B$8,2,FALSE())</f>
        <v>Clear / Partly cloudy</v>
      </c>
      <c r="X59" s="23" t="str">
        <f>VLOOKUP($G59,Lookups!$D$5:$E$8,2,FALSE())</f>
        <v>Winter</v>
      </c>
      <c r="Y59" s="23" t="str">
        <f>VLOOKUP($L59,Lookups!$G$5:$H$11,2,FALSE())</f>
        <v>Monday</v>
      </c>
      <c r="Z59" s="23" t="str">
        <f>IF($J59&lt;Lookups!$B$26,"Night",IF($J59&lt;Lookups!$B$27,"Morning",IF($J59&lt;Lookups!$B$28,"Afternoon","Evening")))</f>
        <v>Afternoon</v>
      </c>
      <c r="AA59" s="26">
        <f>ROUND($N59*(Lookups!$B$16-Lookups!$B$15)+Lookups!$B$15,1)</f>
        <v>2.2999999999999998</v>
      </c>
      <c r="AB59" s="26">
        <f>ROUND($P59*(Lookups!$B$18-Lookups!$B$17)+Lookups!$B$17,1)</f>
        <v>-2</v>
      </c>
      <c r="AC59" s="23">
        <f t="shared" si="2"/>
        <v>35</v>
      </c>
      <c r="AD59" s="23">
        <f>ROUND($R59*Lookups!$B$19,1)</f>
        <v>20</v>
      </c>
      <c r="AE59" s="27">
        <f t="shared" si="3"/>
        <v>0.78688524590163933</v>
      </c>
      <c r="AF59" s="23" t="str">
        <f>IF($U59&gt;=Lookups!$B$23,"High",IF($U59&gt;=Lookups!$B$22,"Medium","Low"))</f>
        <v>Medium</v>
      </c>
      <c r="AG59" s="23">
        <f>ROUND(IF($V59="Weekday",IF(INDEX(Hourly_Analysis!$D$5:$D$28,$J59+1)&gt;0,($U59-INDEX(Hourly_Analysis!$C$5:$C$28,$J59+1))/INDEX(Hourly_Analysis!$D$5:$D$28,$J59+1),0),IF(INDEX(Hourly_Analysis!$G$5:$G$28,$J59+1)&gt;0,($U59-INDEX(Hourly_Analysis!$F$5:$F$28,$J59+1))/INDEX(Hourly_Analysis!$G$5:$G$28,$J59+1),0)),2)</f>
        <v>-0.16</v>
      </c>
      <c r="AH59" s="23" t="str">
        <f>IF(ABS($AG59)&gt;Lookups!$B$20,IF($AG59&gt;0,"High anomaly","Low anomaly"),"")</f>
        <v/>
      </c>
      <c r="AI59" s="23" t="str">
        <f t="shared" si="4"/>
        <v>OK</v>
      </c>
      <c r="AJ59" s="23" t="str">
        <f t="shared" si="5"/>
        <v>No</v>
      </c>
    </row>
    <row r="60" spans="1:36" x14ac:dyDescent="0.35">
      <c r="A60" s="23">
        <v>59</v>
      </c>
      <c r="B60" s="23" t="str">
        <f t="shared" si="0"/>
        <v>Merge 1+2</v>
      </c>
      <c r="C60" s="23">
        <f>IFERROR(MATCH($A60,Merge_1_2!$A$2:$A$611,0),0)</f>
        <v>59</v>
      </c>
      <c r="D60" s="23">
        <f>IF($C60&gt;0,INDEX(Merge_1_2!$Q$2:$Q$611,$C60),0)</f>
        <v>59</v>
      </c>
      <c r="E60" s="23">
        <f>IFERROR(MATCH($A60,Dataset3_Raw!$A$2:$A$391,0),0)</f>
        <v>0</v>
      </c>
      <c r="F60" s="24">
        <f>IF($C60&gt;0,INDEX(Merge_1_2!$B$2:$B$611,$C60),DATE(VALUE(RIGHT(INDEX(Dataset3_Raw!$B$2:$B$391,$E60),4)),VALUE(MID(INDEX(Dataset3_Raw!$B$2:$B$391,$E60),4,2)),VALUE(LEFT(INDEX(Dataset3_Raw!$B$2:$B$391,$E60),2))))</f>
        <v>40546</v>
      </c>
      <c r="G60" s="23">
        <f>IF($C60&gt;0,INDEX(Merge_1_2!$C$2:$C$611,$C60),INDEX(Dataset3_Raw!$C$2:$C$391,$E60))</f>
        <v>1</v>
      </c>
      <c r="H60" s="23">
        <f>IF($C60&gt;0,INDEX(Merge_1_2!$D$2:$D$611,$C60),INDEX(Dataset3_Raw!$D$2:$D$391,$E60))</f>
        <v>0</v>
      </c>
      <c r="I60" s="23">
        <f>IF($C60&gt;0,INDEX(Merge_1_2!$E$2:$E$611,$C60),INDEX(Dataset3_Raw!$E$2:$E$391,$E60))</f>
        <v>1</v>
      </c>
      <c r="J60" s="23">
        <f>IF($C60&gt;0,INDEX(Merge_1_2!$F$2:$F$611,$C60),INDEX(Dataset3_Raw!$F$2:$F$391,$E60))</f>
        <v>13</v>
      </c>
      <c r="K60" s="23" t="b">
        <f>IF($C60&gt;0,INDEX(Merge_1_2!$G$2:$G$611,$C60),INDEX(Dataset3_Raw!$G$2:$G$391,$E60))</f>
        <v>0</v>
      </c>
      <c r="L60" s="23">
        <f>IF($C60&gt;0,INDEX(Merge_1_2!$H$2:$H$611,$C60),INDEX(Dataset3_Raw!$H$2:$H$391,$E60))</f>
        <v>1</v>
      </c>
      <c r="M60" s="23">
        <f>IF($C60&gt;0,INDEX(Merge_1_2!$I$2:$I$611,$C60),INDEX(Dataset3_Raw!$I$2:$I$391,$E60))</f>
        <v>1</v>
      </c>
      <c r="N60" s="25">
        <f>IF($C60&gt;0,INDEX(Merge_1_2!$J$2:$J$611,$C60),INDEX(Dataset3_Raw!$J$2:$J$391,$E60))</f>
        <v>0.24</v>
      </c>
      <c r="O60" s="25" t="str">
        <f>IF($C60&gt;0,IF(ISNUMBER(INDEX(Merge_1_2!$K$2:$K$611,$C60)),INDEX(Merge_1_2!$K$2:$K$611,$C60),""),INDEX(Dataset3_Raw!$K$2:$K$391,$E60))</f>
        <v/>
      </c>
      <c r="P60" s="25">
        <f>IF(ISNUMBER($O60),$O60,ROUND(Lookups!$B$25+Lookups!$B$24*$N60,4))</f>
        <v>0.24440000000000001</v>
      </c>
      <c r="Q60" s="25">
        <f>IF($C60&gt;0,INDEX(Merge_1_2!$L$2:$L$611,$C60),INDEX(Dataset3_Raw!$L$2:$L$391,$E60))</f>
        <v>0.35</v>
      </c>
      <c r="R60" s="25">
        <f>IF($C60&gt;0,INDEX(Merge_1_2!$M$2:$M$611,$C60),INDEX(Dataset3_Raw!$M$2:$M$391,$E60))</f>
        <v>0.28360000000000002</v>
      </c>
      <c r="S60" s="23">
        <f>IF($C60&gt;0,INDEX(Merge_1_2!$N$2:$N$611,$C60),INDEX(Dataset3_Raw!$N$2:$N$391,$E60))</f>
        <v>8</v>
      </c>
      <c r="T60" s="23">
        <f>IF($C60&gt;0,INDEX(Merge_1_2!$O$2:$O$611,$C60),INDEX(Dataset3_Raw!$O$2:$O$391,$E60))</f>
        <v>53</v>
      </c>
      <c r="U60" s="23">
        <f>IF($C60&gt;0,INDEX(Merge_1_2!$P$2:$P$611,$C60),INDEX(Dataset3_Raw!$P$2:$P$391,$E60))</f>
        <v>61</v>
      </c>
      <c r="V60" s="23" t="str">
        <f t="shared" si="1"/>
        <v>Weekday</v>
      </c>
      <c r="W60" s="23" t="str">
        <f>VLOOKUP($M60,Lookups!$A$5:$B$8,2,FALSE())</f>
        <v>Clear / Partly cloudy</v>
      </c>
      <c r="X60" s="23" t="str">
        <f>VLOOKUP($G60,Lookups!$D$5:$E$8,2,FALSE())</f>
        <v>Winter</v>
      </c>
      <c r="Y60" s="23" t="str">
        <f>VLOOKUP($L60,Lookups!$G$5:$H$11,2,FALSE())</f>
        <v>Monday</v>
      </c>
      <c r="Z60" s="23" t="str">
        <f>IF($J60&lt;Lookups!$B$26,"Night",IF($J60&lt;Lookups!$B$27,"Morning",IF($J60&lt;Lookups!$B$28,"Afternoon","Evening")))</f>
        <v>Afternoon</v>
      </c>
      <c r="AA60" s="26">
        <f>ROUND($N60*(Lookups!$B$16-Lookups!$B$15)+Lookups!$B$15,1)</f>
        <v>3.3</v>
      </c>
      <c r="AB60" s="26">
        <f>ROUND($P60*(Lookups!$B$18-Lookups!$B$17)+Lookups!$B$17,1)</f>
        <v>0.1</v>
      </c>
      <c r="AC60" s="23">
        <f t="shared" si="2"/>
        <v>35</v>
      </c>
      <c r="AD60" s="23">
        <f>ROUND($R60*Lookups!$B$19,1)</f>
        <v>19</v>
      </c>
      <c r="AE60" s="27">
        <f t="shared" si="3"/>
        <v>0.86885245901639341</v>
      </c>
      <c r="AF60" s="23" t="str">
        <f>IF($U60&gt;=Lookups!$B$23,"High",IF($U60&gt;=Lookups!$B$22,"Medium","Low"))</f>
        <v>Medium</v>
      </c>
      <c r="AG60" s="23">
        <f>ROUND(IF($V60="Weekday",IF(INDEX(Hourly_Analysis!$D$5:$D$28,$J60+1)&gt;0,($U60-INDEX(Hourly_Analysis!$C$5:$C$28,$J60+1))/INDEX(Hourly_Analysis!$D$5:$D$28,$J60+1),0),IF(INDEX(Hourly_Analysis!$G$5:$G$28,$J60+1)&gt;0,($U60-INDEX(Hourly_Analysis!$F$5:$F$28,$J60+1))/INDEX(Hourly_Analysis!$G$5:$G$28,$J60+1),0)),2)</f>
        <v>-0.26</v>
      </c>
      <c r="AH60" s="23" t="str">
        <f>IF(ABS($AG60)&gt;Lookups!$B$20,IF($AG60&gt;0,"High anomaly","Low anomaly"),"")</f>
        <v/>
      </c>
      <c r="AI60" s="23" t="str">
        <f t="shared" si="4"/>
        <v>OK</v>
      </c>
      <c r="AJ60" s="23" t="str">
        <f t="shared" si="5"/>
        <v>Yes</v>
      </c>
    </row>
    <row r="61" spans="1:36" x14ac:dyDescent="0.35">
      <c r="A61" s="23">
        <v>60</v>
      </c>
      <c r="B61" s="23" t="str">
        <f t="shared" si="0"/>
        <v>Merge 1+2</v>
      </c>
      <c r="C61" s="23">
        <f>IFERROR(MATCH($A61,Merge_1_2!$A$2:$A$611,0),0)</f>
        <v>60</v>
      </c>
      <c r="D61" s="23">
        <f>IF($C61&gt;0,INDEX(Merge_1_2!$Q$2:$Q$611,$C61),0)</f>
        <v>60</v>
      </c>
      <c r="E61" s="23">
        <f>IFERROR(MATCH($A61,Dataset3_Raw!$A$2:$A$391,0),0)</f>
        <v>0</v>
      </c>
      <c r="F61" s="24">
        <f>IF($C61&gt;0,INDEX(Merge_1_2!$B$2:$B$611,$C61),DATE(VALUE(RIGHT(INDEX(Dataset3_Raw!$B$2:$B$391,$E61),4)),VALUE(MID(INDEX(Dataset3_Raw!$B$2:$B$391,$E61),4,2)),VALUE(LEFT(INDEX(Dataset3_Raw!$B$2:$B$391,$E61),2))))</f>
        <v>40546</v>
      </c>
      <c r="G61" s="23">
        <f>IF($C61&gt;0,INDEX(Merge_1_2!$C$2:$C$611,$C61),INDEX(Dataset3_Raw!$C$2:$C$391,$E61))</f>
        <v>1</v>
      </c>
      <c r="H61" s="23">
        <f>IF($C61&gt;0,INDEX(Merge_1_2!$D$2:$D$611,$C61),INDEX(Dataset3_Raw!$D$2:$D$391,$E61))</f>
        <v>0</v>
      </c>
      <c r="I61" s="23">
        <f>IF($C61&gt;0,INDEX(Merge_1_2!$E$2:$E$611,$C61),INDEX(Dataset3_Raw!$E$2:$E$391,$E61))</f>
        <v>1</v>
      </c>
      <c r="J61" s="23">
        <f>IF($C61&gt;0,INDEX(Merge_1_2!$F$2:$F$611,$C61),INDEX(Dataset3_Raw!$F$2:$F$391,$E61))</f>
        <v>14</v>
      </c>
      <c r="K61" s="23" t="b">
        <f>IF($C61&gt;0,INDEX(Merge_1_2!$G$2:$G$611,$C61),INDEX(Dataset3_Raw!$G$2:$G$391,$E61))</f>
        <v>0</v>
      </c>
      <c r="L61" s="23">
        <f>IF($C61&gt;0,INDEX(Merge_1_2!$H$2:$H$611,$C61),INDEX(Dataset3_Raw!$H$2:$H$391,$E61))</f>
        <v>1</v>
      </c>
      <c r="M61" s="23">
        <f>IF($C61&gt;0,INDEX(Merge_1_2!$I$2:$I$611,$C61),INDEX(Dataset3_Raw!$I$2:$I$391,$E61))</f>
        <v>1</v>
      </c>
      <c r="N61" s="25">
        <f>IF($C61&gt;0,INDEX(Merge_1_2!$J$2:$J$611,$C61),INDEX(Dataset3_Raw!$J$2:$J$391,$E61))</f>
        <v>0.26</v>
      </c>
      <c r="O61" s="25">
        <f>IF($C61&gt;0,IF(ISNUMBER(INDEX(Merge_1_2!$K$2:$K$611,$C61)),INDEX(Merge_1_2!$K$2:$K$611,$C61),""),INDEX(Dataset3_Raw!$K$2:$K$391,$E61))</f>
        <v>0.2424</v>
      </c>
      <c r="P61" s="25">
        <f>IF(ISNUMBER($O61),$O61,ROUND(Lookups!$B$25+Lookups!$B$24*$N61,4))</f>
        <v>0.2424</v>
      </c>
      <c r="Q61" s="25">
        <f>IF($C61&gt;0,INDEX(Merge_1_2!$L$2:$L$611,$C61),INDEX(Dataset3_Raw!$L$2:$L$391,$E61))</f>
        <v>0.3</v>
      </c>
      <c r="R61" s="25">
        <f>IF($C61&gt;0,INDEX(Merge_1_2!$M$2:$M$611,$C61),INDEX(Dataset3_Raw!$M$2:$M$391,$E61))</f>
        <v>0.28360000000000002</v>
      </c>
      <c r="S61" s="23">
        <f>IF($C61&gt;0,INDEX(Merge_1_2!$N$2:$N$611,$C61),INDEX(Dataset3_Raw!$N$2:$N$391,$E61))</f>
        <v>11</v>
      </c>
      <c r="T61" s="23">
        <f>IF($C61&gt;0,INDEX(Merge_1_2!$O$2:$O$611,$C61),INDEX(Dataset3_Raw!$O$2:$O$391,$E61))</f>
        <v>66</v>
      </c>
      <c r="U61" s="23">
        <f>IF($C61&gt;0,INDEX(Merge_1_2!$P$2:$P$611,$C61),INDEX(Dataset3_Raw!$P$2:$P$391,$E61))</f>
        <v>77</v>
      </c>
      <c r="V61" s="23" t="str">
        <f t="shared" si="1"/>
        <v>Weekday</v>
      </c>
      <c r="W61" s="23" t="str">
        <f>VLOOKUP($M61,Lookups!$A$5:$B$8,2,FALSE())</f>
        <v>Clear / Partly cloudy</v>
      </c>
      <c r="X61" s="23" t="str">
        <f>VLOOKUP($G61,Lookups!$D$5:$E$8,2,FALSE())</f>
        <v>Winter</v>
      </c>
      <c r="Y61" s="23" t="str">
        <f>VLOOKUP($L61,Lookups!$G$5:$H$11,2,FALSE())</f>
        <v>Monday</v>
      </c>
      <c r="Z61" s="23" t="str">
        <f>IF($J61&lt;Lookups!$B$26,"Night",IF($J61&lt;Lookups!$B$27,"Morning",IF($J61&lt;Lookups!$B$28,"Afternoon","Evening")))</f>
        <v>Afternoon</v>
      </c>
      <c r="AA61" s="26">
        <f>ROUND($N61*(Lookups!$B$16-Lookups!$B$15)+Lookups!$B$15,1)</f>
        <v>4.2</v>
      </c>
      <c r="AB61" s="26">
        <f>ROUND($P61*(Lookups!$B$18-Lookups!$B$17)+Lookups!$B$17,1)</f>
        <v>0</v>
      </c>
      <c r="AC61" s="23">
        <f t="shared" si="2"/>
        <v>30</v>
      </c>
      <c r="AD61" s="23">
        <f>ROUND($R61*Lookups!$B$19,1)</f>
        <v>19</v>
      </c>
      <c r="AE61" s="27">
        <f t="shared" si="3"/>
        <v>0.8571428571428571</v>
      </c>
      <c r="AF61" s="23" t="str">
        <f>IF($U61&gt;=Lookups!$B$23,"High",IF($U61&gt;=Lookups!$B$22,"Medium","Low"))</f>
        <v>Medium</v>
      </c>
      <c r="AG61" s="23">
        <f>ROUND(IF($V61="Weekday",IF(INDEX(Hourly_Analysis!$D$5:$D$28,$J61+1)&gt;0,($U61-INDEX(Hourly_Analysis!$C$5:$C$28,$J61+1))/INDEX(Hourly_Analysis!$D$5:$D$28,$J61+1),0),IF(INDEX(Hourly_Analysis!$G$5:$G$28,$J61+1)&gt;0,($U61-INDEX(Hourly_Analysis!$F$5:$F$28,$J61+1))/INDEX(Hourly_Analysis!$G$5:$G$28,$J61+1),0)),2)</f>
        <v>1.0900000000000001</v>
      </c>
      <c r="AH61" s="23" t="str">
        <f>IF(ABS($AG61)&gt;Lookups!$B$20,IF($AG61&gt;0,"High anomaly","Low anomaly"),"")</f>
        <v/>
      </c>
      <c r="AI61" s="23" t="str">
        <f t="shared" si="4"/>
        <v>OK</v>
      </c>
      <c r="AJ61" s="23" t="str">
        <f t="shared" si="5"/>
        <v>No</v>
      </c>
    </row>
    <row r="62" spans="1:36" x14ac:dyDescent="0.35">
      <c r="A62" s="23">
        <v>61</v>
      </c>
      <c r="B62" s="23" t="str">
        <f t="shared" si="0"/>
        <v>Merge 1+2</v>
      </c>
      <c r="C62" s="23">
        <f>IFERROR(MATCH($A62,Merge_1_2!$A$2:$A$611,0),0)</f>
        <v>61</v>
      </c>
      <c r="D62" s="23">
        <f>IF($C62&gt;0,INDEX(Merge_1_2!$Q$2:$Q$611,$C62),0)</f>
        <v>61</v>
      </c>
      <c r="E62" s="23">
        <f>IFERROR(MATCH($A62,Dataset3_Raw!$A$2:$A$391,0),0)</f>
        <v>0</v>
      </c>
      <c r="F62" s="24">
        <f>IF($C62&gt;0,INDEX(Merge_1_2!$B$2:$B$611,$C62),DATE(VALUE(RIGHT(INDEX(Dataset3_Raw!$B$2:$B$391,$E62),4)),VALUE(MID(INDEX(Dataset3_Raw!$B$2:$B$391,$E62),4,2)),VALUE(LEFT(INDEX(Dataset3_Raw!$B$2:$B$391,$E62),2))))</f>
        <v>40546</v>
      </c>
      <c r="G62" s="23">
        <f>IF($C62&gt;0,INDEX(Merge_1_2!$C$2:$C$611,$C62),INDEX(Dataset3_Raw!$C$2:$C$391,$E62))</f>
        <v>1</v>
      </c>
      <c r="H62" s="23">
        <f>IF($C62&gt;0,INDEX(Merge_1_2!$D$2:$D$611,$C62),INDEX(Dataset3_Raw!$D$2:$D$391,$E62))</f>
        <v>0</v>
      </c>
      <c r="I62" s="23">
        <f>IF($C62&gt;0,INDEX(Merge_1_2!$E$2:$E$611,$C62),INDEX(Dataset3_Raw!$E$2:$E$391,$E62))</f>
        <v>1</v>
      </c>
      <c r="J62" s="23">
        <f>IF($C62&gt;0,INDEX(Merge_1_2!$F$2:$F$611,$C62),INDEX(Dataset3_Raw!$F$2:$F$391,$E62))</f>
        <v>15</v>
      </c>
      <c r="K62" s="23" t="b">
        <f>IF($C62&gt;0,INDEX(Merge_1_2!$G$2:$G$611,$C62),INDEX(Dataset3_Raw!$G$2:$G$391,$E62))</f>
        <v>0</v>
      </c>
      <c r="L62" s="23">
        <f>IF($C62&gt;0,INDEX(Merge_1_2!$H$2:$H$611,$C62),INDEX(Dataset3_Raw!$H$2:$H$391,$E62))</f>
        <v>1</v>
      </c>
      <c r="M62" s="23">
        <f>IF($C62&gt;0,INDEX(Merge_1_2!$I$2:$I$611,$C62),INDEX(Dataset3_Raw!$I$2:$I$391,$E62))</f>
        <v>1</v>
      </c>
      <c r="N62" s="25">
        <f>IF($C62&gt;0,INDEX(Merge_1_2!$J$2:$J$611,$C62),INDEX(Dataset3_Raw!$J$2:$J$391,$E62))</f>
        <v>0.26</v>
      </c>
      <c r="O62" s="25">
        <f>IF($C62&gt;0,IF(ISNUMBER(INDEX(Merge_1_2!$K$2:$K$611,$C62)),INDEX(Merge_1_2!$K$2:$K$611,$C62),""),INDEX(Dataset3_Raw!$K$2:$K$391,$E62))</f>
        <v>0.2424</v>
      </c>
      <c r="P62" s="25">
        <f>IF(ISNUMBER($O62),$O62,ROUND(Lookups!$B$25+Lookups!$B$24*$N62,4))</f>
        <v>0.2424</v>
      </c>
      <c r="Q62" s="25">
        <f>IF($C62&gt;0,INDEX(Merge_1_2!$L$2:$L$611,$C62),INDEX(Dataset3_Raw!$L$2:$L$391,$E62))</f>
        <v>0.3</v>
      </c>
      <c r="R62" s="25">
        <f>IF($C62&gt;0,INDEX(Merge_1_2!$M$2:$M$611,$C62),INDEX(Dataset3_Raw!$M$2:$M$391,$E62))</f>
        <v>0.25369999999999998</v>
      </c>
      <c r="S62" s="23">
        <f>IF($C62&gt;0,INDEX(Merge_1_2!$N$2:$N$611,$C62),INDEX(Dataset3_Raw!$N$2:$N$391,$E62))</f>
        <v>14</v>
      </c>
      <c r="T62" s="23">
        <f>IF($C62&gt;0,INDEX(Merge_1_2!$O$2:$O$611,$C62),INDEX(Dataset3_Raw!$O$2:$O$391,$E62))</f>
        <v>58</v>
      </c>
      <c r="U62" s="23">
        <f>IF($C62&gt;0,INDEX(Merge_1_2!$P$2:$P$611,$C62),INDEX(Dataset3_Raw!$P$2:$P$391,$E62))</f>
        <v>72</v>
      </c>
      <c r="V62" s="23" t="str">
        <f t="shared" si="1"/>
        <v>Weekday</v>
      </c>
      <c r="W62" s="23" t="str">
        <f>VLOOKUP($M62,Lookups!$A$5:$B$8,2,FALSE())</f>
        <v>Clear / Partly cloudy</v>
      </c>
      <c r="X62" s="23" t="str">
        <f>VLOOKUP($G62,Lookups!$D$5:$E$8,2,FALSE())</f>
        <v>Winter</v>
      </c>
      <c r="Y62" s="23" t="str">
        <f>VLOOKUP($L62,Lookups!$G$5:$H$11,2,FALSE())</f>
        <v>Monday</v>
      </c>
      <c r="Z62" s="23" t="str">
        <f>IF($J62&lt;Lookups!$B$26,"Night",IF($J62&lt;Lookups!$B$27,"Morning",IF($J62&lt;Lookups!$B$28,"Afternoon","Evening")))</f>
        <v>Afternoon</v>
      </c>
      <c r="AA62" s="26">
        <f>ROUND($N62*(Lookups!$B$16-Lookups!$B$15)+Lookups!$B$15,1)</f>
        <v>4.2</v>
      </c>
      <c r="AB62" s="26">
        <f>ROUND($P62*(Lookups!$B$18-Lookups!$B$17)+Lookups!$B$17,1)</f>
        <v>0</v>
      </c>
      <c r="AC62" s="23">
        <f t="shared" si="2"/>
        <v>30</v>
      </c>
      <c r="AD62" s="23">
        <f>ROUND($R62*Lookups!$B$19,1)</f>
        <v>17</v>
      </c>
      <c r="AE62" s="27">
        <f t="shared" si="3"/>
        <v>0.80555555555555558</v>
      </c>
      <c r="AF62" s="23" t="str">
        <f>IF($U62&gt;=Lookups!$B$23,"High",IF($U62&gt;=Lookups!$B$22,"Medium","Low"))</f>
        <v>Medium</v>
      </c>
      <c r="AG62" s="23">
        <f>ROUND(IF($V62="Weekday",IF(INDEX(Hourly_Analysis!$D$5:$D$28,$J62+1)&gt;0,($U62-INDEX(Hourly_Analysis!$C$5:$C$28,$J62+1))/INDEX(Hourly_Analysis!$D$5:$D$28,$J62+1),0),IF(INDEX(Hourly_Analysis!$G$5:$G$28,$J62+1)&gt;0,($U62-INDEX(Hourly_Analysis!$F$5:$F$28,$J62+1))/INDEX(Hourly_Analysis!$G$5:$G$28,$J62+1),0)),2)</f>
        <v>0.83</v>
      </c>
      <c r="AH62" s="23" t="str">
        <f>IF(ABS($AG62)&gt;Lookups!$B$20,IF($AG62&gt;0,"High anomaly","Low anomaly"),"")</f>
        <v/>
      </c>
      <c r="AI62" s="23" t="str">
        <f t="shared" si="4"/>
        <v>OK</v>
      </c>
      <c r="AJ62" s="23" t="str">
        <f t="shared" si="5"/>
        <v>No</v>
      </c>
    </row>
    <row r="63" spans="1:36" x14ac:dyDescent="0.35">
      <c r="A63" s="23">
        <v>62</v>
      </c>
      <c r="B63" s="23" t="str">
        <f t="shared" si="0"/>
        <v>Merge 1+2</v>
      </c>
      <c r="C63" s="23">
        <f>IFERROR(MATCH($A63,Merge_1_2!$A$2:$A$611,0),0)</f>
        <v>62</v>
      </c>
      <c r="D63" s="23">
        <f>IF($C63&gt;0,INDEX(Merge_1_2!$Q$2:$Q$611,$C63),0)</f>
        <v>62</v>
      </c>
      <c r="E63" s="23">
        <f>IFERROR(MATCH($A63,Dataset3_Raw!$A$2:$A$391,0),0)</f>
        <v>0</v>
      </c>
      <c r="F63" s="24">
        <f>IF($C63&gt;0,INDEX(Merge_1_2!$B$2:$B$611,$C63),DATE(VALUE(RIGHT(INDEX(Dataset3_Raw!$B$2:$B$391,$E63),4)),VALUE(MID(INDEX(Dataset3_Raw!$B$2:$B$391,$E63),4,2)),VALUE(LEFT(INDEX(Dataset3_Raw!$B$2:$B$391,$E63),2))))</f>
        <v>40546</v>
      </c>
      <c r="G63" s="23">
        <f>IF($C63&gt;0,INDEX(Merge_1_2!$C$2:$C$611,$C63),INDEX(Dataset3_Raw!$C$2:$C$391,$E63))</f>
        <v>1</v>
      </c>
      <c r="H63" s="23">
        <f>IF($C63&gt;0,INDEX(Merge_1_2!$D$2:$D$611,$C63),INDEX(Dataset3_Raw!$D$2:$D$391,$E63))</f>
        <v>0</v>
      </c>
      <c r="I63" s="23">
        <f>IF($C63&gt;0,INDEX(Merge_1_2!$E$2:$E$611,$C63),INDEX(Dataset3_Raw!$E$2:$E$391,$E63))</f>
        <v>1</v>
      </c>
      <c r="J63" s="23">
        <f>IF($C63&gt;0,INDEX(Merge_1_2!$F$2:$F$611,$C63),INDEX(Dataset3_Raw!$F$2:$F$391,$E63))</f>
        <v>16</v>
      </c>
      <c r="K63" s="23" t="b">
        <f>IF($C63&gt;0,INDEX(Merge_1_2!$G$2:$G$611,$C63),INDEX(Dataset3_Raw!$G$2:$G$391,$E63))</f>
        <v>0</v>
      </c>
      <c r="L63" s="23">
        <f>IF($C63&gt;0,INDEX(Merge_1_2!$H$2:$H$611,$C63),INDEX(Dataset3_Raw!$H$2:$H$391,$E63))</f>
        <v>1</v>
      </c>
      <c r="M63" s="23">
        <f>IF($C63&gt;0,INDEX(Merge_1_2!$I$2:$I$611,$C63),INDEX(Dataset3_Raw!$I$2:$I$391,$E63))</f>
        <v>1</v>
      </c>
      <c r="N63" s="25">
        <f>IF($C63&gt;0,INDEX(Merge_1_2!$J$2:$J$611,$C63),INDEX(Dataset3_Raw!$J$2:$J$391,$E63))</f>
        <v>0.26</v>
      </c>
      <c r="O63" s="25">
        <f>IF($C63&gt;0,IF(ISNUMBER(INDEX(Merge_1_2!$K$2:$K$611,$C63)),INDEX(Merge_1_2!$K$2:$K$611,$C63),""),INDEX(Dataset3_Raw!$K$2:$K$391,$E63))</f>
        <v>0.2424</v>
      </c>
      <c r="P63" s="25">
        <f>IF(ISNUMBER($O63),$O63,ROUND(Lookups!$B$25+Lookups!$B$24*$N63,4))</f>
        <v>0.2424</v>
      </c>
      <c r="Q63" s="25">
        <f>IF($C63&gt;0,INDEX(Merge_1_2!$L$2:$L$611,$C63),INDEX(Dataset3_Raw!$L$2:$L$391,$E63))</f>
        <v>0.3</v>
      </c>
      <c r="R63" s="25">
        <f>IF($C63&gt;0,INDEX(Merge_1_2!$M$2:$M$611,$C63),INDEX(Dataset3_Raw!$M$2:$M$391,$E63))</f>
        <v>0.25369999999999998</v>
      </c>
      <c r="S63" s="23">
        <f>IF($C63&gt;0,INDEX(Merge_1_2!$N$2:$N$611,$C63),INDEX(Dataset3_Raw!$N$2:$N$391,$E63))</f>
        <v>9</v>
      </c>
      <c r="T63" s="23">
        <f>IF($C63&gt;0,INDEX(Merge_1_2!$O$2:$O$611,$C63),INDEX(Dataset3_Raw!$O$2:$O$391,$E63))</f>
        <v>67</v>
      </c>
      <c r="U63" s="23">
        <f>IF($C63&gt;0,INDEX(Merge_1_2!$P$2:$P$611,$C63),INDEX(Dataset3_Raw!$P$2:$P$391,$E63))</f>
        <v>76</v>
      </c>
      <c r="V63" s="23" t="str">
        <f t="shared" si="1"/>
        <v>Weekday</v>
      </c>
      <c r="W63" s="23" t="str">
        <f>VLOOKUP($M63,Lookups!$A$5:$B$8,2,FALSE())</f>
        <v>Clear / Partly cloudy</v>
      </c>
      <c r="X63" s="23" t="str">
        <f>VLOOKUP($G63,Lookups!$D$5:$E$8,2,FALSE())</f>
        <v>Winter</v>
      </c>
      <c r="Y63" s="23" t="str">
        <f>VLOOKUP($L63,Lookups!$G$5:$H$11,2,FALSE())</f>
        <v>Monday</v>
      </c>
      <c r="Z63" s="23" t="str">
        <f>IF($J63&lt;Lookups!$B$26,"Night",IF($J63&lt;Lookups!$B$27,"Morning",IF($J63&lt;Lookups!$B$28,"Afternoon","Evening")))</f>
        <v>Afternoon</v>
      </c>
      <c r="AA63" s="26">
        <f>ROUND($N63*(Lookups!$B$16-Lookups!$B$15)+Lookups!$B$15,1)</f>
        <v>4.2</v>
      </c>
      <c r="AB63" s="26">
        <f>ROUND($P63*(Lookups!$B$18-Lookups!$B$17)+Lookups!$B$17,1)</f>
        <v>0</v>
      </c>
      <c r="AC63" s="23">
        <f t="shared" si="2"/>
        <v>30</v>
      </c>
      <c r="AD63" s="23">
        <f>ROUND($R63*Lookups!$B$19,1)</f>
        <v>17</v>
      </c>
      <c r="AE63" s="27">
        <f t="shared" si="3"/>
        <v>0.88157894736842102</v>
      </c>
      <c r="AF63" s="23" t="str">
        <f>IF($U63&gt;=Lookups!$B$23,"High",IF($U63&gt;=Lookups!$B$22,"Medium","Low"))</f>
        <v>Medium</v>
      </c>
      <c r="AG63" s="23">
        <f>ROUND(IF($V63="Weekday",IF(INDEX(Hourly_Analysis!$D$5:$D$28,$J63+1)&gt;0,($U63-INDEX(Hourly_Analysis!$C$5:$C$28,$J63+1))/INDEX(Hourly_Analysis!$D$5:$D$28,$J63+1),0),IF(INDEX(Hourly_Analysis!$G$5:$G$28,$J63+1)&gt;0,($U63-INDEX(Hourly_Analysis!$F$5:$F$28,$J63+1))/INDEX(Hourly_Analysis!$G$5:$G$28,$J63+1),0)),2)</f>
        <v>-0.32</v>
      </c>
      <c r="AH63" s="23" t="str">
        <f>IF(ABS($AG63)&gt;Lookups!$B$20,IF($AG63&gt;0,"High anomaly","Low anomaly"),"")</f>
        <v/>
      </c>
      <c r="AI63" s="23" t="str">
        <f t="shared" si="4"/>
        <v>OK</v>
      </c>
      <c r="AJ63" s="23" t="str">
        <f t="shared" si="5"/>
        <v>No</v>
      </c>
    </row>
    <row r="64" spans="1:36" x14ac:dyDescent="0.35">
      <c r="A64" s="23">
        <v>63</v>
      </c>
      <c r="B64" s="23" t="str">
        <f t="shared" si="0"/>
        <v>Merge 1+2</v>
      </c>
      <c r="C64" s="23">
        <f>IFERROR(MATCH($A64,Merge_1_2!$A$2:$A$611,0),0)</f>
        <v>63</v>
      </c>
      <c r="D64" s="23">
        <f>IF($C64&gt;0,INDEX(Merge_1_2!$Q$2:$Q$611,$C64),0)</f>
        <v>63</v>
      </c>
      <c r="E64" s="23">
        <f>IFERROR(MATCH($A64,Dataset3_Raw!$A$2:$A$391,0),0)</f>
        <v>0</v>
      </c>
      <c r="F64" s="24">
        <f>IF($C64&gt;0,INDEX(Merge_1_2!$B$2:$B$611,$C64),DATE(VALUE(RIGHT(INDEX(Dataset3_Raw!$B$2:$B$391,$E64),4)),VALUE(MID(INDEX(Dataset3_Raw!$B$2:$B$391,$E64),4,2)),VALUE(LEFT(INDEX(Dataset3_Raw!$B$2:$B$391,$E64),2))))</f>
        <v>40546</v>
      </c>
      <c r="G64" s="23">
        <f>IF($C64&gt;0,INDEX(Merge_1_2!$C$2:$C$611,$C64),INDEX(Dataset3_Raw!$C$2:$C$391,$E64))</f>
        <v>1</v>
      </c>
      <c r="H64" s="23">
        <f>IF($C64&gt;0,INDEX(Merge_1_2!$D$2:$D$611,$C64),INDEX(Dataset3_Raw!$D$2:$D$391,$E64))</f>
        <v>0</v>
      </c>
      <c r="I64" s="23">
        <f>IF($C64&gt;0,INDEX(Merge_1_2!$E$2:$E$611,$C64),INDEX(Dataset3_Raw!$E$2:$E$391,$E64))</f>
        <v>1</v>
      </c>
      <c r="J64" s="23">
        <f>IF($C64&gt;0,INDEX(Merge_1_2!$F$2:$F$611,$C64),INDEX(Dataset3_Raw!$F$2:$F$391,$E64))</f>
        <v>17</v>
      </c>
      <c r="K64" s="23" t="b">
        <f>IF($C64&gt;0,INDEX(Merge_1_2!$G$2:$G$611,$C64),INDEX(Dataset3_Raw!$G$2:$G$391,$E64))</f>
        <v>0</v>
      </c>
      <c r="L64" s="23">
        <f>IF($C64&gt;0,INDEX(Merge_1_2!$H$2:$H$611,$C64),INDEX(Dataset3_Raw!$H$2:$H$391,$E64))</f>
        <v>1</v>
      </c>
      <c r="M64" s="23">
        <f>IF($C64&gt;0,INDEX(Merge_1_2!$I$2:$I$611,$C64),INDEX(Dataset3_Raw!$I$2:$I$391,$E64))</f>
        <v>1</v>
      </c>
      <c r="N64" s="25">
        <f>IF($C64&gt;0,INDEX(Merge_1_2!$J$2:$J$611,$C64),INDEX(Dataset3_Raw!$J$2:$J$391,$E64))</f>
        <v>0.24</v>
      </c>
      <c r="O64" s="25">
        <f>IF($C64&gt;0,IF(ISNUMBER(INDEX(Merge_1_2!$K$2:$K$611,$C64)),INDEX(Merge_1_2!$K$2:$K$611,$C64),""),INDEX(Dataset3_Raw!$K$2:$K$391,$E64))</f>
        <v>0.2273</v>
      </c>
      <c r="P64" s="25">
        <f>IF(ISNUMBER($O64),$O64,ROUND(Lookups!$B$25+Lookups!$B$24*$N64,4))</f>
        <v>0.2273</v>
      </c>
      <c r="Q64" s="25">
        <f>IF($C64&gt;0,INDEX(Merge_1_2!$L$2:$L$611,$C64),INDEX(Dataset3_Raw!$L$2:$L$391,$E64))</f>
        <v>0.3</v>
      </c>
      <c r="R64" s="25">
        <f>IF($C64&gt;0,INDEX(Merge_1_2!$M$2:$M$611,$C64),INDEX(Dataset3_Raw!$M$2:$M$391,$E64))</f>
        <v>0.22389999999999999</v>
      </c>
      <c r="S64" s="23">
        <f>IF($C64&gt;0,INDEX(Merge_1_2!$N$2:$N$611,$C64),INDEX(Dataset3_Raw!$N$2:$N$391,$E64))</f>
        <v>11</v>
      </c>
      <c r="T64" s="23">
        <f>IF($C64&gt;0,INDEX(Merge_1_2!$O$2:$O$611,$C64),INDEX(Dataset3_Raw!$O$2:$O$391,$E64))</f>
        <v>146</v>
      </c>
      <c r="U64" s="23">
        <f>IF($C64&gt;0,INDEX(Merge_1_2!$P$2:$P$611,$C64),INDEX(Dataset3_Raw!$P$2:$P$391,$E64))</f>
        <v>157</v>
      </c>
      <c r="V64" s="23" t="str">
        <f t="shared" si="1"/>
        <v>Weekday</v>
      </c>
      <c r="W64" s="23" t="str">
        <f>VLOOKUP($M64,Lookups!$A$5:$B$8,2,FALSE())</f>
        <v>Clear / Partly cloudy</v>
      </c>
      <c r="X64" s="23" t="str">
        <f>VLOOKUP($G64,Lookups!$D$5:$E$8,2,FALSE())</f>
        <v>Winter</v>
      </c>
      <c r="Y64" s="23" t="str">
        <f>VLOOKUP($L64,Lookups!$G$5:$H$11,2,FALSE())</f>
        <v>Monday</v>
      </c>
      <c r="Z64" s="23" t="str">
        <f>IF($J64&lt;Lookups!$B$26,"Night",IF($J64&lt;Lookups!$B$27,"Morning",IF($J64&lt;Lookups!$B$28,"Afternoon","Evening")))</f>
        <v>Afternoon</v>
      </c>
      <c r="AA64" s="26">
        <f>ROUND($N64*(Lookups!$B$16-Lookups!$B$15)+Lookups!$B$15,1)</f>
        <v>3.3</v>
      </c>
      <c r="AB64" s="26">
        <f>ROUND($P64*(Lookups!$B$18-Lookups!$B$17)+Lookups!$B$17,1)</f>
        <v>-1</v>
      </c>
      <c r="AC64" s="23">
        <f t="shared" si="2"/>
        <v>30</v>
      </c>
      <c r="AD64" s="23">
        <f>ROUND($R64*Lookups!$B$19,1)</f>
        <v>15</v>
      </c>
      <c r="AE64" s="27">
        <f t="shared" si="3"/>
        <v>0.92993630573248409</v>
      </c>
      <c r="AF64" s="23" t="str">
        <f>IF($U64&gt;=Lookups!$B$23,"High",IF($U64&gt;=Lookups!$B$22,"Medium","Low"))</f>
        <v>High</v>
      </c>
      <c r="AG64" s="23">
        <f>ROUND(IF($V64="Weekday",IF(INDEX(Hourly_Analysis!$D$5:$D$28,$J64+1)&gt;0,($U64-INDEX(Hourly_Analysis!$C$5:$C$28,$J64+1))/INDEX(Hourly_Analysis!$D$5:$D$28,$J64+1),0),IF(INDEX(Hourly_Analysis!$G$5:$G$28,$J64+1)&gt;0,($U64-INDEX(Hourly_Analysis!$F$5:$F$28,$J64+1))/INDEX(Hourly_Analysis!$G$5:$G$28,$J64+1),0)),2)</f>
        <v>-0.28999999999999998</v>
      </c>
      <c r="AH64" s="23" t="str">
        <f>IF(ABS($AG64)&gt;Lookups!$B$20,IF($AG64&gt;0,"High anomaly","Low anomaly"),"")</f>
        <v/>
      </c>
      <c r="AI64" s="23" t="str">
        <f t="shared" si="4"/>
        <v>OK</v>
      </c>
      <c r="AJ64" s="23" t="str">
        <f t="shared" si="5"/>
        <v>No</v>
      </c>
    </row>
    <row r="65" spans="1:36" x14ac:dyDescent="0.35">
      <c r="A65" s="23">
        <v>64</v>
      </c>
      <c r="B65" s="23" t="str">
        <f t="shared" si="0"/>
        <v>Merge 1+2</v>
      </c>
      <c r="C65" s="23">
        <f>IFERROR(MATCH($A65,Merge_1_2!$A$2:$A$611,0),0)</f>
        <v>64</v>
      </c>
      <c r="D65" s="23">
        <f>IF($C65&gt;0,INDEX(Merge_1_2!$Q$2:$Q$611,$C65),0)</f>
        <v>64</v>
      </c>
      <c r="E65" s="23">
        <f>IFERROR(MATCH($A65,Dataset3_Raw!$A$2:$A$391,0),0)</f>
        <v>0</v>
      </c>
      <c r="F65" s="24">
        <f>IF($C65&gt;0,INDEX(Merge_1_2!$B$2:$B$611,$C65),DATE(VALUE(RIGHT(INDEX(Dataset3_Raw!$B$2:$B$391,$E65),4)),VALUE(MID(INDEX(Dataset3_Raw!$B$2:$B$391,$E65),4,2)),VALUE(LEFT(INDEX(Dataset3_Raw!$B$2:$B$391,$E65),2))))</f>
        <v>40546</v>
      </c>
      <c r="G65" s="23">
        <f>IF($C65&gt;0,INDEX(Merge_1_2!$C$2:$C$611,$C65),INDEX(Dataset3_Raw!$C$2:$C$391,$E65))</f>
        <v>1</v>
      </c>
      <c r="H65" s="23">
        <f>IF($C65&gt;0,INDEX(Merge_1_2!$D$2:$D$611,$C65),INDEX(Dataset3_Raw!$D$2:$D$391,$E65))</f>
        <v>0</v>
      </c>
      <c r="I65" s="23">
        <f>IF($C65&gt;0,INDEX(Merge_1_2!$E$2:$E$611,$C65),INDEX(Dataset3_Raw!$E$2:$E$391,$E65))</f>
        <v>1</v>
      </c>
      <c r="J65" s="23">
        <f>IF($C65&gt;0,INDEX(Merge_1_2!$F$2:$F$611,$C65),INDEX(Dataset3_Raw!$F$2:$F$391,$E65))</f>
        <v>18</v>
      </c>
      <c r="K65" s="23" t="b">
        <f>IF($C65&gt;0,INDEX(Merge_1_2!$G$2:$G$611,$C65),INDEX(Dataset3_Raw!$G$2:$G$391,$E65))</f>
        <v>0</v>
      </c>
      <c r="L65" s="23">
        <f>IF($C65&gt;0,INDEX(Merge_1_2!$H$2:$H$611,$C65),INDEX(Dataset3_Raw!$H$2:$H$391,$E65))</f>
        <v>1</v>
      </c>
      <c r="M65" s="23">
        <f>IF($C65&gt;0,INDEX(Merge_1_2!$I$2:$I$611,$C65),INDEX(Dataset3_Raw!$I$2:$I$391,$E65))</f>
        <v>1</v>
      </c>
      <c r="N65" s="25">
        <f>IF($C65&gt;0,INDEX(Merge_1_2!$J$2:$J$611,$C65),INDEX(Dataset3_Raw!$J$2:$J$391,$E65))</f>
        <v>0.24</v>
      </c>
      <c r="O65" s="25">
        <f>IF($C65&gt;0,IF(ISNUMBER(INDEX(Merge_1_2!$K$2:$K$611,$C65)),INDEX(Merge_1_2!$K$2:$K$611,$C65),""),INDEX(Dataset3_Raw!$K$2:$K$391,$E65))</f>
        <v>0.2576</v>
      </c>
      <c r="P65" s="25">
        <f>IF(ISNUMBER($O65),$O65,ROUND(Lookups!$B$25+Lookups!$B$24*$N65,4))</f>
        <v>0.2576</v>
      </c>
      <c r="Q65" s="25">
        <f>IF($C65&gt;0,INDEX(Merge_1_2!$L$2:$L$611,$C65),INDEX(Dataset3_Raw!$L$2:$L$391,$E65))</f>
        <v>0.32</v>
      </c>
      <c r="R65" s="25">
        <f>IF($C65&gt;0,INDEX(Merge_1_2!$M$2:$M$611,$C65),INDEX(Dataset3_Raw!$M$2:$M$391,$E65))</f>
        <v>0.1045</v>
      </c>
      <c r="S65" s="23">
        <f>IF($C65&gt;0,INDEX(Merge_1_2!$N$2:$N$611,$C65),INDEX(Dataset3_Raw!$N$2:$N$391,$E65))</f>
        <v>9</v>
      </c>
      <c r="T65" s="23">
        <f>IF($C65&gt;0,INDEX(Merge_1_2!$O$2:$O$611,$C65),INDEX(Dataset3_Raw!$O$2:$O$391,$E65))</f>
        <v>148</v>
      </c>
      <c r="U65" s="23">
        <f>IF($C65&gt;0,INDEX(Merge_1_2!$P$2:$P$611,$C65),INDEX(Dataset3_Raw!$P$2:$P$391,$E65))</f>
        <v>157</v>
      </c>
      <c r="V65" s="23" t="str">
        <f t="shared" si="1"/>
        <v>Weekday</v>
      </c>
      <c r="W65" s="23" t="str">
        <f>VLOOKUP($M65,Lookups!$A$5:$B$8,2,FALSE())</f>
        <v>Clear / Partly cloudy</v>
      </c>
      <c r="X65" s="23" t="str">
        <f>VLOOKUP($G65,Lookups!$D$5:$E$8,2,FALSE())</f>
        <v>Winter</v>
      </c>
      <c r="Y65" s="23" t="str">
        <f>VLOOKUP($L65,Lookups!$G$5:$H$11,2,FALSE())</f>
        <v>Monday</v>
      </c>
      <c r="Z65" s="23" t="str">
        <f>IF($J65&lt;Lookups!$B$26,"Night",IF($J65&lt;Lookups!$B$27,"Morning",IF($J65&lt;Lookups!$B$28,"Afternoon","Evening")))</f>
        <v>Evening</v>
      </c>
      <c r="AA65" s="26">
        <f>ROUND($N65*(Lookups!$B$16-Lookups!$B$15)+Lookups!$B$15,1)</f>
        <v>3.3</v>
      </c>
      <c r="AB65" s="26">
        <f>ROUND($P65*(Lookups!$B$18-Lookups!$B$17)+Lookups!$B$17,1)</f>
        <v>1</v>
      </c>
      <c r="AC65" s="23">
        <f t="shared" si="2"/>
        <v>32</v>
      </c>
      <c r="AD65" s="23">
        <f>ROUND($R65*Lookups!$B$19,1)</f>
        <v>7</v>
      </c>
      <c r="AE65" s="27">
        <f t="shared" si="3"/>
        <v>0.9426751592356688</v>
      </c>
      <c r="AF65" s="23" t="str">
        <f>IF($U65&gt;=Lookups!$B$23,"High",IF($U65&gt;=Lookups!$B$22,"Medium","Low"))</f>
        <v>High</v>
      </c>
      <c r="AG65" s="23">
        <f>ROUND(IF($V65="Weekday",IF(INDEX(Hourly_Analysis!$D$5:$D$28,$J65+1)&gt;0,($U65-INDEX(Hourly_Analysis!$C$5:$C$28,$J65+1))/INDEX(Hourly_Analysis!$D$5:$D$28,$J65+1),0),IF(INDEX(Hourly_Analysis!$G$5:$G$28,$J65+1)&gt;0,($U65-INDEX(Hourly_Analysis!$F$5:$F$28,$J65+1))/INDEX(Hourly_Analysis!$G$5:$G$28,$J65+1),0)),2)</f>
        <v>0.13</v>
      </c>
      <c r="AH65" s="23" t="str">
        <f>IF(ABS($AG65)&gt;Lookups!$B$20,IF($AG65&gt;0,"High anomaly","Low anomaly"),"")</f>
        <v/>
      </c>
      <c r="AI65" s="23" t="str">
        <f t="shared" si="4"/>
        <v>OK</v>
      </c>
      <c r="AJ65" s="23" t="str">
        <f t="shared" si="5"/>
        <v>No</v>
      </c>
    </row>
    <row r="66" spans="1:36" x14ac:dyDescent="0.35">
      <c r="A66" s="23">
        <v>65</v>
      </c>
      <c r="B66" s="23" t="str">
        <f t="shared" ref="B66:B129" si="6">IF($C66&gt;0,"Merge 1+2","Dataset 3")</f>
        <v>Merge 1+2</v>
      </c>
      <c r="C66" s="23">
        <f>IFERROR(MATCH($A66,Merge_1_2!$A$2:$A$611,0),0)</f>
        <v>65</v>
      </c>
      <c r="D66" s="23">
        <f>IF($C66&gt;0,INDEX(Merge_1_2!$Q$2:$Q$611,$C66),0)</f>
        <v>65</v>
      </c>
      <c r="E66" s="23">
        <f>IFERROR(MATCH($A66,Dataset3_Raw!$A$2:$A$391,0),0)</f>
        <v>0</v>
      </c>
      <c r="F66" s="24">
        <f>IF($C66&gt;0,INDEX(Merge_1_2!$B$2:$B$611,$C66),DATE(VALUE(RIGHT(INDEX(Dataset3_Raw!$B$2:$B$391,$E66),4)),VALUE(MID(INDEX(Dataset3_Raw!$B$2:$B$391,$E66),4,2)),VALUE(LEFT(INDEX(Dataset3_Raw!$B$2:$B$391,$E66),2))))</f>
        <v>40546</v>
      </c>
      <c r="G66" s="23">
        <f>IF($C66&gt;0,INDEX(Merge_1_2!$C$2:$C$611,$C66),INDEX(Dataset3_Raw!$C$2:$C$391,$E66))</f>
        <v>1</v>
      </c>
      <c r="H66" s="23">
        <f>IF($C66&gt;0,INDEX(Merge_1_2!$D$2:$D$611,$C66),INDEX(Dataset3_Raw!$D$2:$D$391,$E66))</f>
        <v>0</v>
      </c>
      <c r="I66" s="23">
        <f>IF($C66&gt;0,INDEX(Merge_1_2!$E$2:$E$611,$C66),INDEX(Dataset3_Raw!$E$2:$E$391,$E66))</f>
        <v>1</v>
      </c>
      <c r="J66" s="23">
        <f>IF($C66&gt;0,INDEX(Merge_1_2!$F$2:$F$611,$C66),INDEX(Dataset3_Raw!$F$2:$F$391,$E66))</f>
        <v>19</v>
      </c>
      <c r="K66" s="23" t="b">
        <f>IF($C66&gt;0,INDEX(Merge_1_2!$G$2:$G$611,$C66),INDEX(Dataset3_Raw!$G$2:$G$391,$E66))</f>
        <v>0</v>
      </c>
      <c r="L66" s="23">
        <f>IF($C66&gt;0,INDEX(Merge_1_2!$H$2:$H$611,$C66),INDEX(Dataset3_Raw!$H$2:$H$391,$E66))</f>
        <v>1</v>
      </c>
      <c r="M66" s="23">
        <f>IF($C66&gt;0,INDEX(Merge_1_2!$I$2:$I$611,$C66),INDEX(Dataset3_Raw!$I$2:$I$391,$E66))</f>
        <v>1</v>
      </c>
      <c r="N66" s="25">
        <f>IF($C66&gt;0,INDEX(Merge_1_2!$J$2:$J$611,$C66),INDEX(Dataset3_Raw!$J$2:$J$391,$E66))</f>
        <v>0.2</v>
      </c>
      <c r="O66" s="25">
        <f>IF($C66&gt;0,IF(ISNUMBER(INDEX(Merge_1_2!$K$2:$K$611,$C66)),INDEX(Merge_1_2!$K$2:$K$611,$C66),""),INDEX(Dataset3_Raw!$K$2:$K$391,$E66))</f>
        <v>0.2576</v>
      </c>
      <c r="P66" s="25">
        <f>IF(ISNUMBER($O66),$O66,ROUND(Lookups!$B$25+Lookups!$B$24*$N66,4))</f>
        <v>0.2576</v>
      </c>
      <c r="Q66" s="25">
        <f>IF($C66&gt;0,INDEX(Merge_1_2!$L$2:$L$611,$C66),INDEX(Dataset3_Raw!$L$2:$L$391,$E66))</f>
        <v>0.47</v>
      </c>
      <c r="R66" s="25">
        <f>IF($C66&gt;0,INDEX(Merge_1_2!$M$2:$M$611,$C66),INDEX(Dataset3_Raw!$M$2:$M$391,$E66))</f>
        <v>0</v>
      </c>
      <c r="S66" s="23">
        <f>IF($C66&gt;0,INDEX(Merge_1_2!$N$2:$N$611,$C66),INDEX(Dataset3_Raw!$N$2:$N$391,$E66))</f>
        <v>8</v>
      </c>
      <c r="T66" s="23">
        <f>IF($C66&gt;0,INDEX(Merge_1_2!$O$2:$O$611,$C66),INDEX(Dataset3_Raw!$O$2:$O$391,$E66))</f>
        <v>102</v>
      </c>
      <c r="U66" s="23">
        <f>IF($C66&gt;0,INDEX(Merge_1_2!$P$2:$P$611,$C66),INDEX(Dataset3_Raw!$P$2:$P$391,$E66))</f>
        <v>110</v>
      </c>
      <c r="V66" s="23" t="str">
        <f t="shared" ref="V66:V129" si="7">IF($K66,"Holiday",IF(OR($L66=0,$L66=6),"Weekend","Weekday"))</f>
        <v>Weekday</v>
      </c>
      <c r="W66" s="23" t="str">
        <f>VLOOKUP($M66,Lookups!$A$5:$B$8,2,FALSE())</f>
        <v>Clear / Partly cloudy</v>
      </c>
      <c r="X66" s="23" t="str">
        <f>VLOOKUP($G66,Lookups!$D$5:$E$8,2,FALSE())</f>
        <v>Winter</v>
      </c>
      <c r="Y66" s="23" t="str">
        <f>VLOOKUP($L66,Lookups!$G$5:$H$11,2,FALSE())</f>
        <v>Monday</v>
      </c>
      <c r="Z66" s="23" t="str">
        <f>IF($J66&lt;Lookups!$B$26,"Night",IF($J66&lt;Lookups!$B$27,"Morning",IF($J66&lt;Lookups!$B$28,"Afternoon","Evening")))</f>
        <v>Evening</v>
      </c>
      <c r="AA66" s="26">
        <f>ROUND($N66*(Lookups!$B$16-Lookups!$B$15)+Lookups!$B$15,1)</f>
        <v>1.4</v>
      </c>
      <c r="AB66" s="26">
        <f>ROUND($P66*(Lookups!$B$18-Lookups!$B$17)+Lookups!$B$17,1)</f>
        <v>1</v>
      </c>
      <c r="AC66" s="23">
        <f t="shared" ref="AC66:AC129" si="8">ROUND($Q66*100,0)</f>
        <v>47</v>
      </c>
      <c r="AD66" s="23">
        <f>ROUND($R66*Lookups!$B$19,1)</f>
        <v>0</v>
      </c>
      <c r="AE66" s="27">
        <f t="shared" ref="AE66:AE129" si="9">IF($U66&gt;0,$T66/$U66,0)</f>
        <v>0.92727272727272725</v>
      </c>
      <c r="AF66" s="23" t="str">
        <f>IF($U66&gt;=Lookups!$B$23,"High",IF($U66&gt;=Lookups!$B$22,"Medium","Low"))</f>
        <v>High</v>
      </c>
      <c r="AG66" s="23">
        <f>ROUND(IF($V66="Weekday",IF(INDEX(Hourly_Analysis!$D$5:$D$28,$J66+1)&gt;0,($U66-INDEX(Hourly_Analysis!$C$5:$C$28,$J66+1))/INDEX(Hourly_Analysis!$D$5:$D$28,$J66+1),0),IF(INDEX(Hourly_Analysis!$G$5:$G$28,$J66+1)&gt;0,($U66-INDEX(Hourly_Analysis!$F$5:$F$28,$J66+1))/INDEX(Hourly_Analysis!$G$5:$G$28,$J66+1),0)),2)</f>
        <v>0.32</v>
      </c>
      <c r="AH66" s="23" t="str">
        <f>IF(ABS($AG66)&gt;Lookups!$B$20,IF($AG66&gt;0,"High anomaly","Low anomaly"),"")</f>
        <v/>
      </c>
      <c r="AI66" s="23" t="str">
        <f t="shared" ref="AI66:AI129" si="10">IF($S66+$T66=$U66,"OK","Mismatch")</f>
        <v>OK</v>
      </c>
      <c r="AJ66" s="23" t="str">
        <f t="shared" ref="AJ66:AJ129" si="11">IF(ISNUMBER($O66),"No","Yes")</f>
        <v>No</v>
      </c>
    </row>
    <row r="67" spans="1:36" x14ac:dyDescent="0.35">
      <c r="A67" s="23">
        <v>66</v>
      </c>
      <c r="B67" s="23" t="str">
        <f t="shared" si="6"/>
        <v>Merge 1+2</v>
      </c>
      <c r="C67" s="23">
        <f>IFERROR(MATCH($A67,Merge_1_2!$A$2:$A$611,0),0)</f>
        <v>66</v>
      </c>
      <c r="D67" s="23">
        <f>IF($C67&gt;0,INDEX(Merge_1_2!$Q$2:$Q$611,$C67),0)</f>
        <v>66</v>
      </c>
      <c r="E67" s="23">
        <f>IFERROR(MATCH($A67,Dataset3_Raw!$A$2:$A$391,0),0)</f>
        <v>0</v>
      </c>
      <c r="F67" s="24">
        <f>IF($C67&gt;0,INDEX(Merge_1_2!$B$2:$B$611,$C67),DATE(VALUE(RIGHT(INDEX(Dataset3_Raw!$B$2:$B$391,$E67),4)),VALUE(MID(INDEX(Dataset3_Raw!$B$2:$B$391,$E67),4,2)),VALUE(LEFT(INDEX(Dataset3_Raw!$B$2:$B$391,$E67),2))))</f>
        <v>40546</v>
      </c>
      <c r="G67" s="23">
        <f>IF($C67&gt;0,INDEX(Merge_1_2!$C$2:$C$611,$C67),INDEX(Dataset3_Raw!$C$2:$C$391,$E67))</f>
        <v>1</v>
      </c>
      <c r="H67" s="23">
        <f>IF($C67&gt;0,INDEX(Merge_1_2!$D$2:$D$611,$C67),INDEX(Dataset3_Raw!$D$2:$D$391,$E67))</f>
        <v>0</v>
      </c>
      <c r="I67" s="23">
        <f>IF($C67&gt;0,INDEX(Merge_1_2!$E$2:$E$611,$C67),INDEX(Dataset3_Raw!$E$2:$E$391,$E67))</f>
        <v>1</v>
      </c>
      <c r="J67" s="23">
        <f>IF($C67&gt;0,INDEX(Merge_1_2!$F$2:$F$611,$C67),INDEX(Dataset3_Raw!$F$2:$F$391,$E67))</f>
        <v>20</v>
      </c>
      <c r="K67" s="23" t="b">
        <f>IF($C67&gt;0,INDEX(Merge_1_2!$G$2:$G$611,$C67),INDEX(Dataset3_Raw!$G$2:$G$391,$E67))</f>
        <v>0</v>
      </c>
      <c r="L67" s="23">
        <f>IF($C67&gt;0,INDEX(Merge_1_2!$H$2:$H$611,$C67),INDEX(Dataset3_Raw!$H$2:$H$391,$E67))</f>
        <v>1</v>
      </c>
      <c r="M67" s="23">
        <f>IF($C67&gt;0,INDEX(Merge_1_2!$I$2:$I$611,$C67),INDEX(Dataset3_Raw!$I$2:$I$391,$E67))</f>
        <v>1</v>
      </c>
      <c r="N67" s="25">
        <f>IF($C67&gt;0,INDEX(Merge_1_2!$J$2:$J$611,$C67),INDEX(Dataset3_Raw!$J$2:$J$391,$E67))</f>
        <v>0.2</v>
      </c>
      <c r="O67" s="25" t="str">
        <f>IF($C67&gt;0,IF(ISNUMBER(INDEX(Merge_1_2!$K$2:$K$611,$C67)),INDEX(Merge_1_2!$K$2:$K$611,$C67),""),INDEX(Dataset3_Raw!$K$2:$K$391,$E67))</f>
        <v/>
      </c>
      <c r="P67" s="25">
        <f>IF(ISNUMBER($O67),$O67,ROUND(Lookups!$B$25+Lookups!$B$24*$N67,4))</f>
        <v>0.20760000000000001</v>
      </c>
      <c r="Q67" s="25">
        <f>IF($C67&gt;0,INDEX(Merge_1_2!$L$2:$L$611,$C67),INDEX(Dataset3_Raw!$L$2:$L$391,$E67))</f>
        <v>0.47</v>
      </c>
      <c r="R67" s="25">
        <f>IF($C67&gt;0,INDEX(Merge_1_2!$M$2:$M$611,$C67),INDEX(Dataset3_Raw!$M$2:$M$391,$E67))</f>
        <v>0.1045</v>
      </c>
      <c r="S67" s="23">
        <f>IF($C67&gt;0,INDEX(Merge_1_2!$N$2:$N$611,$C67),INDEX(Dataset3_Raw!$N$2:$N$391,$E67))</f>
        <v>3</v>
      </c>
      <c r="T67" s="23">
        <f>IF($C67&gt;0,INDEX(Merge_1_2!$O$2:$O$611,$C67),INDEX(Dataset3_Raw!$O$2:$O$391,$E67))</f>
        <v>49</v>
      </c>
      <c r="U67" s="23">
        <f>IF($C67&gt;0,INDEX(Merge_1_2!$P$2:$P$611,$C67),INDEX(Dataset3_Raw!$P$2:$P$391,$E67))</f>
        <v>52</v>
      </c>
      <c r="V67" s="23" t="str">
        <f t="shared" si="7"/>
        <v>Weekday</v>
      </c>
      <c r="W67" s="23" t="str">
        <f>VLOOKUP($M67,Lookups!$A$5:$B$8,2,FALSE())</f>
        <v>Clear / Partly cloudy</v>
      </c>
      <c r="X67" s="23" t="str">
        <f>VLOOKUP($G67,Lookups!$D$5:$E$8,2,FALSE())</f>
        <v>Winter</v>
      </c>
      <c r="Y67" s="23" t="str">
        <f>VLOOKUP($L67,Lookups!$G$5:$H$11,2,FALSE())</f>
        <v>Monday</v>
      </c>
      <c r="Z67" s="23" t="str">
        <f>IF($J67&lt;Lookups!$B$26,"Night",IF($J67&lt;Lookups!$B$27,"Morning",IF($J67&lt;Lookups!$B$28,"Afternoon","Evening")))</f>
        <v>Evening</v>
      </c>
      <c r="AA67" s="26">
        <f>ROUND($N67*(Lookups!$B$16-Lookups!$B$15)+Lookups!$B$15,1)</f>
        <v>1.4</v>
      </c>
      <c r="AB67" s="26">
        <f>ROUND($P67*(Lookups!$B$18-Lookups!$B$17)+Lookups!$B$17,1)</f>
        <v>-2.2999999999999998</v>
      </c>
      <c r="AC67" s="23">
        <f t="shared" si="8"/>
        <v>47</v>
      </c>
      <c r="AD67" s="23">
        <f>ROUND($R67*Lookups!$B$19,1)</f>
        <v>7</v>
      </c>
      <c r="AE67" s="27">
        <f t="shared" si="9"/>
        <v>0.94230769230769229</v>
      </c>
      <c r="AF67" s="23" t="str">
        <f>IF($U67&gt;=Lookups!$B$23,"High",IF($U67&gt;=Lookups!$B$22,"Medium","Low"))</f>
        <v>Medium</v>
      </c>
      <c r="AG67" s="23">
        <f>ROUND(IF($V67="Weekday",IF(INDEX(Hourly_Analysis!$D$5:$D$28,$J67+1)&gt;0,($U67-INDEX(Hourly_Analysis!$C$5:$C$28,$J67+1))/INDEX(Hourly_Analysis!$D$5:$D$28,$J67+1),0),IF(INDEX(Hourly_Analysis!$G$5:$G$28,$J67+1)&gt;0,($U67-INDEX(Hourly_Analysis!$F$5:$F$28,$J67+1))/INDEX(Hourly_Analysis!$G$5:$G$28,$J67+1),0)),2)</f>
        <v>-1.02</v>
      </c>
      <c r="AH67" s="23" t="str">
        <f>IF(ABS($AG67)&gt;Lookups!$B$20,IF($AG67&gt;0,"High anomaly","Low anomaly"),"")</f>
        <v/>
      </c>
      <c r="AI67" s="23" t="str">
        <f t="shared" si="10"/>
        <v>OK</v>
      </c>
      <c r="AJ67" s="23" t="str">
        <f t="shared" si="11"/>
        <v>Yes</v>
      </c>
    </row>
    <row r="68" spans="1:36" x14ac:dyDescent="0.35">
      <c r="A68" s="23">
        <v>67</v>
      </c>
      <c r="B68" s="23" t="str">
        <f t="shared" si="6"/>
        <v>Merge 1+2</v>
      </c>
      <c r="C68" s="23">
        <f>IFERROR(MATCH($A68,Merge_1_2!$A$2:$A$611,0),0)</f>
        <v>67</v>
      </c>
      <c r="D68" s="23">
        <f>IF($C68&gt;0,INDEX(Merge_1_2!$Q$2:$Q$611,$C68),0)</f>
        <v>67</v>
      </c>
      <c r="E68" s="23">
        <f>IFERROR(MATCH($A68,Dataset3_Raw!$A$2:$A$391,0),0)</f>
        <v>0</v>
      </c>
      <c r="F68" s="24">
        <f>IF($C68&gt;0,INDEX(Merge_1_2!$B$2:$B$611,$C68),DATE(VALUE(RIGHT(INDEX(Dataset3_Raw!$B$2:$B$391,$E68),4)),VALUE(MID(INDEX(Dataset3_Raw!$B$2:$B$391,$E68),4,2)),VALUE(LEFT(INDEX(Dataset3_Raw!$B$2:$B$391,$E68),2))))</f>
        <v>40546</v>
      </c>
      <c r="G68" s="23">
        <f>IF($C68&gt;0,INDEX(Merge_1_2!$C$2:$C$611,$C68),INDEX(Dataset3_Raw!$C$2:$C$391,$E68))</f>
        <v>1</v>
      </c>
      <c r="H68" s="23">
        <f>IF($C68&gt;0,INDEX(Merge_1_2!$D$2:$D$611,$C68),INDEX(Dataset3_Raw!$D$2:$D$391,$E68))</f>
        <v>0</v>
      </c>
      <c r="I68" s="23">
        <f>IF($C68&gt;0,INDEX(Merge_1_2!$E$2:$E$611,$C68),INDEX(Dataset3_Raw!$E$2:$E$391,$E68))</f>
        <v>1</v>
      </c>
      <c r="J68" s="23">
        <f>IF($C68&gt;0,INDEX(Merge_1_2!$F$2:$F$611,$C68),INDEX(Dataset3_Raw!$F$2:$F$391,$E68))</f>
        <v>21</v>
      </c>
      <c r="K68" s="23" t="b">
        <f>IF($C68&gt;0,INDEX(Merge_1_2!$G$2:$G$611,$C68),INDEX(Dataset3_Raw!$G$2:$G$391,$E68))</f>
        <v>0</v>
      </c>
      <c r="L68" s="23">
        <f>IF($C68&gt;0,INDEX(Merge_1_2!$H$2:$H$611,$C68),INDEX(Dataset3_Raw!$H$2:$H$391,$E68))</f>
        <v>1</v>
      </c>
      <c r="M68" s="23">
        <f>IF($C68&gt;0,INDEX(Merge_1_2!$I$2:$I$611,$C68),INDEX(Dataset3_Raw!$I$2:$I$391,$E68))</f>
        <v>1</v>
      </c>
      <c r="N68" s="25">
        <f>IF($C68&gt;0,INDEX(Merge_1_2!$J$2:$J$611,$C68),INDEX(Dataset3_Raw!$J$2:$J$391,$E68))</f>
        <v>0.18</v>
      </c>
      <c r="O68" s="25">
        <f>IF($C68&gt;0,IF(ISNUMBER(INDEX(Merge_1_2!$K$2:$K$611,$C68)),INDEX(Merge_1_2!$K$2:$K$611,$C68),""),INDEX(Dataset3_Raw!$K$2:$K$391,$E68))</f>
        <v>0.19700000000000001</v>
      </c>
      <c r="P68" s="25">
        <f>IF(ISNUMBER($O68),$O68,ROUND(Lookups!$B$25+Lookups!$B$24*$N68,4))</f>
        <v>0.19700000000000001</v>
      </c>
      <c r="Q68" s="25">
        <f>IF($C68&gt;0,INDEX(Merge_1_2!$L$2:$L$611,$C68),INDEX(Dataset3_Raw!$L$2:$L$391,$E68))</f>
        <v>0.64</v>
      </c>
      <c r="R68" s="25">
        <f>IF($C68&gt;0,INDEX(Merge_1_2!$M$2:$M$611,$C68),INDEX(Dataset3_Raw!$M$2:$M$391,$E68))</f>
        <v>0.1343</v>
      </c>
      <c r="S68" s="23">
        <f>IF($C68&gt;0,INDEX(Merge_1_2!$N$2:$N$611,$C68),INDEX(Dataset3_Raw!$N$2:$N$391,$E68))</f>
        <v>3</v>
      </c>
      <c r="T68" s="23">
        <f>IF($C68&gt;0,INDEX(Merge_1_2!$O$2:$O$611,$C68),INDEX(Dataset3_Raw!$O$2:$O$391,$E68))</f>
        <v>49</v>
      </c>
      <c r="U68" s="23">
        <f>IF($C68&gt;0,INDEX(Merge_1_2!$P$2:$P$611,$C68),INDEX(Dataset3_Raw!$P$2:$P$391,$E68))</f>
        <v>52</v>
      </c>
      <c r="V68" s="23" t="str">
        <f t="shared" si="7"/>
        <v>Weekday</v>
      </c>
      <c r="W68" s="23" t="str">
        <f>VLOOKUP($M68,Lookups!$A$5:$B$8,2,FALSE())</f>
        <v>Clear / Partly cloudy</v>
      </c>
      <c r="X68" s="23" t="str">
        <f>VLOOKUP($G68,Lookups!$D$5:$E$8,2,FALSE())</f>
        <v>Winter</v>
      </c>
      <c r="Y68" s="23" t="str">
        <f>VLOOKUP($L68,Lookups!$G$5:$H$11,2,FALSE())</f>
        <v>Monday</v>
      </c>
      <c r="Z68" s="23" t="str">
        <f>IF($J68&lt;Lookups!$B$26,"Night",IF($J68&lt;Lookups!$B$27,"Morning",IF($J68&lt;Lookups!$B$28,"Afternoon","Evening")))</f>
        <v>Evening</v>
      </c>
      <c r="AA68" s="26">
        <f>ROUND($N68*(Lookups!$B$16-Lookups!$B$15)+Lookups!$B$15,1)</f>
        <v>0.5</v>
      </c>
      <c r="AB68" s="26">
        <f>ROUND($P68*(Lookups!$B$18-Lookups!$B$17)+Lookups!$B$17,1)</f>
        <v>-3</v>
      </c>
      <c r="AC68" s="23">
        <f t="shared" si="8"/>
        <v>64</v>
      </c>
      <c r="AD68" s="23">
        <f>ROUND($R68*Lookups!$B$19,1)</f>
        <v>9</v>
      </c>
      <c r="AE68" s="27">
        <f t="shared" si="9"/>
        <v>0.94230769230769229</v>
      </c>
      <c r="AF68" s="23" t="str">
        <f>IF($U68&gt;=Lookups!$B$23,"High",IF($U68&gt;=Lookups!$B$22,"Medium","Low"))</f>
        <v>Medium</v>
      </c>
      <c r="AG68" s="23">
        <f>ROUND(IF($V68="Weekday",IF(INDEX(Hourly_Analysis!$D$5:$D$28,$J68+1)&gt;0,($U68-INDEX(Hourly_Analysis!$C$5:$C$28,$J68+1))/INDEX(Hourly_Analysis!$D$5:$D$28,$J68+1),0),IF(INDEX(Hourly_Analysis!$G$5:$G$28,$J68+1)&gt;0,($U68-INDEX(Hourly_Analysis!$F$5:$F$28,$J68+1))/INDEX(Hourly_Analysis!$G$5:$G$28,$J68+1),0)),2)</f>
        <v>0.02</v>
      </c>
      <c r="AH68" s="23" t="str">
        <f>IF(ABS($AG68)&gt;Lookups!$B$20,IF($AG68&gt;0,"High anomaly","Low anomaly"),"")</f>
        <v/>
      </c>
      <c r="AI68" s="23" t="str">
        <f t="shared" si="10"/>
        <v>OK</v>
      </c>
      <c r="AJ68" s="23" t="str">
        <f t="shared" si="11"/>
        <v>No</v>
      </c>
    </row>
    <row r="69" spans="1:36" x14ac:dyDescent="0.35">
      <c r="A69" s="23">
        <v>68</v>
      </c>
      <c r="B69" s="23" t="str">
        <f t="shared" si="6"/>
        <v>Merge 1+2</v>
      </c>
      <c r="C69" s="23">
        <f>IFERROR(MATCH($A69,Merge_1_2!$A$2:$A$611,0),0)</f>
        <v>68</v>
      </c>
      <c r="D69" s="23">
        <f>IF($C69&gt;0,INDEX(Merge_1_2!$Q$2:$Q$611,$C69),0)</f>
        <v>68</v>
      </c>
      <c r="E69" s="23">
        <f>IFERROR(MATCH($A69,Dataset3_Raw!$A$2:$A$391,0),0)</f>
        <v>0</v>
      </c>
      <c r="F69" s="24">
        <f>IF($C69&gt;0,INDEX(Merge_1_2!$B$2:$B$611,$C69),DATE(VALUE(RIGHT(INDEX(Dataset3_Raw!$B$2:$B$391,$E69),4)),VALUE(MID(INDEX(Dataset3_Raw!$B$2:$B$391,$E69),4,2)),VALUE(LEFT(INDEX(Dataset3_Raw!$B$2:$B$391,$E69),2))))</f>
        <v>40546</v>
      </c>
      <c r="G69" s="23">
        <f>IF($C69&gt;0,INDEX(Merge_1_2!$C$2:$C$611,$C69),INDEX(Dataset3_Raw!$C$2:$C$391,$E69))</f>
        <v>1</v>
      </c>
      <c r="H69" s="23">
        <f>IF($C69&gt;0,INDEX(Merge_1_2!$D$2:$D$611,$C69),INDEX(Dataset3_Raw!$D$2:$D$391,$E69))</f>
        <v>0</v>
      </c>
      <c r="I69" s="23">
        <f>IF($C69&gt;0,INDEX(Merge_1_2!$E$2:$E$611,$C69),INDEX(Dataset3_Raw!$E$2:$E$391,$E69))</f>
        <v>1</v>
      </c>
      <c r="J69" s="23">
        <f>IF($C69&gt;0,INDEX(Merge_1_2!$F$2:$F$611,$C69),INDEX(Dataset3_Raw!$F$2:$F$391,$E69))</f>
        <v>22</v>
      </c>
      <c r="K69" s="23" t="b">
        <f>IF($C69&gt;0,INDEX(Merge_1_2!$G$2:$G$611,$C69),INDEX(Dataset3_Raw!$G$2:$G$391,$E69))</f>
        <v>0</v>
      </c>
      <c r="L69" s="23">
        <f>IF($C69&gt;0,INDEX(Merge_1_2!$H$2:$H$611,$C69),INDEX(Dataset3_Raw!$H$2:$H$391,$E69))</f>
        <v>1</v>
      </c>
      <c r="M69" s="23">
        <f>IF($C69&gt;0,INDEX(Merge_1_2!$I$2:$I$611,$C69),INDEX(Dataset3_Raw!$I$2:$I$391,$E69))</f>
        <v>1</v>
      </c>
      <c r="N69" s="25">
        <f>IF($C69&gt;0,INDEX(Merge_1_2!$J$2:$J$611,$C69),INDEX(Dataset3_Raw!$J$2:$J$391,$E69))</f>
        <v>0.14000000000000001</v>
      </c>
      <c r="O69" s="25">
        <f>IF($C69&gt;0,IF(ISNUMBER(INDEX(Merge_1_2!$K$2:$K$611,$C69)),INDEX(Merge_1_2!$K$2:$K$611,$C69),""),INDEX(Dataset3_Raw!$K$2:$K$391,$E69))</f>
        <v>0.1515</v>
      </c>
      <c r="P69" s="25">
        <f>IF(ISNUMBER($O69),$O69,ROUND(Lookups!$B$25+Lookups!$B$24*$N69,4))</f>
        <v>0.1515</v>
      </c>
      <c r="Q69" s="25">
        <f>IF($C69&gt;0,INDEX(Merge_1_2!$L$2:$L$611,$C69),INDEX(Dataset3_Raw!$L$2:$L$391,$E69))</f>
        <v>0.69</v>
      </c>
      <c r="R69" s="25">
        <f>IF($C69&gt;0,INDEX(Merge_1_2!$M$2:$M$611,$C69),INDEX(Dataset3_Raw!$M$2:$M$391,$E69))</f>
        <v>0.1343</v>
      </c>
      <c r="S69" s="23">
        <f>IF($C69&gt;0,INDEX(Merge_1_2!$N$2:$N$611,$C69),INDEX(Dataset3_Raw!$N$2:$N$391,$E69))</f>
        <v>0</v>
      </c>
      <c r="T69" s="23">
        <f>IF($C69&gt;0,INDEX(Merge_1_2!$O$2:$O$611,$C69),INDEX(Dataset3_Raw!$O$2:$O$391,$E69))</f>
        <v>20</v>
      </c>
      <c r="U69" s="23">
        <f>IF($C69&gt;0,INDEX(Merge_1_2!$P$2:$P$611,$C69),INDEX(Dataset3_Raw!$P$2:$P$391,$E69))</f>
        <v>20</v>
      </c>
      <c r="V69" s="23" t="str">
        <f t="shared" si="7"/>
        <v>Weekday</v>
      </c>
      <c r="W69" s="23" t="str">
        <f>VLOOKUP($M69,Lookups!$A$5:$B$8,2,FALSE())</f>
        <v>Clear / Partly cloudy</v>
      </c>
      <c r="X69" s="23" t="str">
        <f>VLOOKUP($G69,Lookups!$D$5:$E$8,2,FALSE())</f>
        <v>Winter</v>
      </c>
      <c r="Y69" s="23" t="str">
        <f>VLOOKUP($L69,Lookups!$G$5:$H$11,2,FALSE())</f>
        <v>Monday</v>
      </c>
      <c r="Z69" s="23" t="str">
        <f>IF($J69&lt;Lookups!$B$26,"Night",IF($J69&lt;Lookups!$B$27,"Morning",IF($J69&lt;Lookups!$B$28,"Afternoon","Evening")))</f>
        <v>Evening</v>
      </c>
      <c r="AA69" s="26">
        <f>ROUND($N69*(Lookups!$B$16-Lookups!$B$15)+Lookups!$B$15,1)</f>
        <v>-1.4</v>
      </c>
      <c r="AB69" s="26">
        <f>ROUND($P69*(Lookups!$B$18-Lookups!$B$17)+Lookups!$B$17,1)</f>
        <v>-6</v>
      </c>
      <c r="AC69" s="23">
        <f t="shared" si="8"/>
        <v>69</v>
      </c>
      <c r="AD69" s="23">
        <f>ROUND($R69*Lookups!$B$19,1)</f>
        <v>9</v>
      </c>
      <c r="AE69" s="27">
        <f t="shared" si="9"/>
        <v>1</v>
      </c>
      <c r="AF69" s="23" t="str">
        <f>IF($U69&gt;=Lookups!$B$23,"High",IF($U69&gt;=Lookups!$B$22,"Medium","Low"))</f>
        <v>Medium</v>
      </c>
      <c r="AG69" s="23">
        <f>ROUND(IF($V69="Weekday",IF(INDEX(Hourly_Analysis!$D$5:$D$28,$J69+1)&gt;0,($U69-INDEX(Hourly_Analysis!$C$5:$C$28,$J69+1))/INDEX(Hourly_Analysis!$D$5:$D$28,$J69+1),0),IF(INDEX(Hourly_Analysis!$G$5:$G$28,$J69+1)&gt;0,($U69-INDEX(Hourly_Analysis!$F$5:$F$28,$J69+1))/INDEX(Hourly_Analysis!$G$5:$G$28,$J69+1),0)),2)</f>
        <v>-1.81</v>
      </c>
      <c r="AH69" s="23" t="str">
        <f>IF(ABS($AG69)&gt;Lookups!$B$20,IF($AG69&gt;0,"High anomaly","Low anomaly"),"")</f>
        <v/>
      </c>
      <c r="AI69" s="23" t="str">
        <f t="shared" si="10"/>
        <v>OK</v>
      </c>
      <c r="AJ69" s="23" t="str">
        <f t="shared" si="11"/>
        <v>No</v>
      </c>
    </row>
    <row r="70" spans="1:36" x14ac:dyDescent="0.35">
      <c r="A70" s="23">
        <v>69</v>
      </c>
      <c r="B70" s="23" t="str">
        <f t="shared" si="6"/>
        <v>Merge 1+2</v>
      </c>
      <c r="C70" s="23">
        <f>IFERROR(MATCH($A70,Merge_1_2!$A$2:$A$611,0),0)</f>
        <v>69</v>
      </c>
      <c r="D70" s="23">
        <f>IF($C70&gt;0,INDEX(Merge_1_2!$Q$2:$Q$611,$C70),0)</f>
        <v>69</v>
      </c>
      <c r="E70" s="23">
        <f>IFERROR(MATCH($A70,Dataset3_Raw!$A$2:$A$391,0),0)</f>
        <v>0</v>
      </c>
      <c r="F70" s="24">
        <f>IF($C70&gt;0,INDEX(Merge_1_2!$B$2:$B$611,$C70),DATE(VALUE(RIGHT(INDEX(Dataset3_Raw!$B$2:$B$391,$E70),4)),VALUE(MID(INDEX(Dataset3_Raw!$B$2:$B$391,$E70),4,2)),VALUE(LEFT(INDEX(Dataset3_Raw!$B$2:$B$391,$E70),2))))</f>
        <v>40546</v>
      </c>
      <c r="G70" s="23">
        <f>IF($C70&gt;0,INDEX(Merge_1_2!$C$2:$C$611,$C70),INDEX(Dataset3_Raw!$C$2:$C$391,$E70))</f>
        <v>1</v>
      </c>
      <c r="H70" s="23">
        <f>IF($C70&gt;0,INDEX(Merge_1_2!$D$2:$D$611,$C70),INDEX(Dataset3_Raw!$D$2:$D$391,$E70))</f>
        <v>0</v>
      </c>
      <c r="I70" s="23">
        <f>IF($C70&gt;0,INDEX(Merge_1_2!$E$2:$E$611,$C70),INDEX(Dataset3_Raw!$E$2:$E$391,$E70))</f>
        <v>1</v>
      </c>
      <c r="J70" s="23">
        <f>IF($C70&gt;0,INDEX(Merge_1_2!$F$2:$F$611,$C70),INDEX(Dataset3_Raw!$F$2:$F$391,$E70))</f>
        <v>23</v>
      </c>
      <c r="K70" s="23" t="b">
        <f>IF($C70&gt;0,INDEX(Merge_1_2!$G$2:$G$611,$C70),INDEX(Dataset3_Raw!$G$2:$G$391,$E70))</f>
        <v>0</v>
      </c>
      <c r="L70" s="23">
        <f>IF($C70&gt;0,INDEX(Merge_1_2!$H$2:$H$611,$C70),INDEX(Dataset3_Raw!$H$2:$H$391,$E70))</f>
        <v>1</v>
      </c>
      <c r="M70" s="23">
        <f>IF($C70&gt;0,INDEX(Merge_1_2!$I$2:$I$611,$C70),INDEX(Dataset3_Raw!$I$2:$I$391,$E70))</f>
        <v>1</v>
      </c>
      <c r="N70" s="25">
        <f>IF($C70&gt;0,INDEX(Merge_1_2!$J$2:$J$611,$C70),INDEX(Dataset3_Raw!$J$2:$J$391,$E70))</f>
        <v>0.18</v>
      </c>
      <c r="O70" s="25">
        <f>IF($C70&gt;0,IF(ISNUMBER(INDEX(Merge_1_2!$K$2:$K$611,$C70)),INDEX(Merge_1_2!$K$2:$K$611,$C70),""),INDEX(Dataset3_Raw!$K$2:$K$391,$E70))</f>
        <v>0.21210000000000001</v>
      </c>
      <c r="P70" s="25">
        <f>IF(ISNUMBER($O70),$O70,ROUND(Lookups!$B$25+Lookups!$B$24*$N70,4))</f>
        <v>0.21210000000000001</v>
      </c>
      <c r="Q70" s="25">
        <f>IF($C70&gt;0,INDEX(Merge_1_2!$L$2:$L$611,$C70),INDEX(Dataset3_Raw!$L$2:$L$391,$E70))</f>
        <v>0.55000000000000004</v>
      </c>
      <c r="R70" s="25">
        <f>IF($C70&gt;0,INDEX(Merge_1_2!$M$2:$M$611,$C70),INDEX(Dataset3_Raw!$M$2:$M$391,$E70))</f>
        <v>0.1045</v>
      </c>
      <c r="S70" s="23">
        <f>IF($C70&gt;0,INDEX(Merge_1_2!$N$2:$N$611,$C70),INDEX(Dataset3_Raw!$N$2:$N$391,$E70))</f>
        <v>1</v>
      </c>
      <c r="T70" s="23">
        <f>IF($C70&gt;0,INDEX(Merge_1_2!$O$2:$O$611,$C70),INDEX(Dataset3_Raw!$O$2:$O$391,$E70))</f>
        <v>11</v>
      </c>
      <c r="U70" s="23">
        <f>IF($C70&gt;0,INDEX(Merge_1_2!$P$2:$P$611,$C70),INDEX(Dataset3_Raw!$P$2:$P$391,$E70))</f>
        <v>12</v>
      </c>
      <c r="V70" s="23" t="str">
        <f t="shared" si="7"/>
        <v>Weekday</v>
      </c>
      <c r="W70" s="23" t="str">
        <f>VLOOKUP($M70,Lookups!$A$5:$B$8,2,FALSE())</f>
        <v>Clear / Partly cloudy</v>
      </c>
      <c r="X70" s="23" t="str">
        <f>VLOOKUP($G70,Lookups!$D$5:$E$8,2,FALSE())</f>
        <v>Winter</v>
      </c>
      <c r="Y70" s="23" t="str">
        <f>VLOOKUP($L70,Lookups!$G$5:$H$11,2,FALSE())</f>
        <v>Monday</v>
      </c>
      <c r="Z70" s="23" t="str">
        <f>IF($J70&lt;Lookups!$B$26,"Night",IF($J70&lt;Lookups!$B$27,"Morning",IF($J70&lt;Lookups!$B$28,"Afternoon","Evening")))</f>
        <v>Evening</v>
      </c>
      <c r="AA70" s="26">
        <f>ROUND($N70*(Lookups!$B$16-Lookups!$B$15)+Lookups!$B$15,1)</f>
        <v>0.5</v>
      </c>
      <c r="AB70" s="26">
        <f>ROUND($P70*(Lookups!$B$18-Lookups!$B$17)+Lookups!$B$17,1)</f>
        <v>-2</v>
      </c>
      <c r="AC70" s="23">
        <f t="shared" si="8"/>
        <v>55</v>
      </c>
      <c r="AD70" s="23">
        <f>ROUND($R70*Lookups!$B$19,1)</f>
        <v>7</v>
      </c>
      <c r="AE70" s="27">
        <f t="shared" si="9"/>
        <v>0.91666666666666663</v>
      </c>
      <c r="AF70" s="23" t="str">
        <f>IF($U70&gt;=Lookups!$B$23,"High",IF($U70&gt;=Lookups!$B$22,"Medium","Low"))</f>
        <v>Low</v>
      </c>
      <c r="AG70" s="23">
        <f>ROUND(IF($V70="Weekday",IF(INDEX(Hourly_Analysis!$D$5:$D$28,$J70+1)&gt;0,($U70-INDEX(Hourly_Analysis!$C$5:$C$28,$J70+1))/INDEX(Hourly_Analysis!$D$5:$D$28,$J70+1),0),IF(INDEX(Hourly_Analysis!$G$5:$G$28,$J70+1)&gt;0,($U70-INDEX(Hourly_Analysis!$F$5:$F$28,$J70+1))/INDEX(Hourly_Analysis!$G$5:$G$28,$J70+1),0)),2)</f>
        <v>-1.25</v>
      </c>
      <c r="AH70" s="23" t="str">
        <f>IF(ABS($AG70)&gt;Lookups!$B$20,IF($AG70&gt;0,"High anomaly","Low anomaly"),"")</f>
        <v/>
      </c>
      <c r="AI70" s="23" t="str">
        <f t="shared" si="10"/>
        <v>OK</v>
      </c>
      <c r="AJ70" s="23" t="str">
        <f t="shared" si="11"/>
        <v>No</v>
      </c>
    </row>
    <row r="71" spans="1:36" x14ac:dyDescent="0.35">
      <c r="A71" s="23">
        <v>70</v>
      </c>
      <c r="B71" s="23" t="str">
        <f t="shared" si="6"/>
        <v>Merge 1+2</v>
      </c>
      <c r="C71" s="23">
        <f>IFERROR(MATCH($A71,Merge_1_2!$A$2:$A$611,0),0)</f>
        <v>70</v>
      </c>
      <c r="D71" s="23">
        <f>IF($C71&gt;0,INDEX(Merge_1_2!$Q$2:$Q$611,$C71),0)</f>
        <v>70</v>
      </c>
      <c r="E71" s="23">
        <f>IFERROR(MATCH($A71,Dataset3_Raw!$A$2:$A$391,0),0)</f>
        <v>0</v>
      </c>
      <c r="F71" s="24">
        <f>IF($C71&gt;0,INDEX(Merge_1_2!$B$2:$B$611,$C71),DATE(VALUE(RIGHT(INDEX(Dataset3_Raw!$B$2:$B$391,$E71),4)),VALUE(MID(INDEX(Dataset3_Raw!$B$2:$B$391,$E71),4,2)),VALUE(LEFT(INDEX(Dataset3_Raw!$B$2:$B$391,$E71),2))))</f>
        <v>40547</v>
      </c>
      <c r="G71" s="23">
        <f>IF($C71&gt;0,INDEX(Merge_1_2!$C$2:$C$611,$C71),INDEX(Dataset3_Raw!$C$2:$C$391,$E71))</f>
        <v>1</v>
      </c>
      <c r="H71" s="23">
        <f>IF($C71&gt;0,INDEX(Merge_1_2!$D$2:$D$611,$C71),INDEX(Dataset3_Raw!$D$2:$D$391,$E71))</f>
        <v>0</v>
      </c>
      <c r="I71" s="23">
        <f>IF($C71&gt;0,INDEX(Merge_1_2!$E$2:$E$611,$C71),INDEX(Dataset3_Raw!$E$2:$E$391,$E71))</f>
        <v>1</v>
      </c>
      <c r="J71" s="23">
        <f>IF($C71&gt;0,INDEX(Merge_1_2!$F$2:$F$611,$C71),INDEX(Dataset3_Raw!$F$2:$F$391,$E71))</f>
        <v>0</v>
      </c>
      <c r="K71" s="23" t="b">
        <f>IF($C71&gt;0,INDEX(Merge_1_2!$G$2:$G$611,$C71),INDEX(Dataset3_Raw!$G$2:$G$391,$E71))</f>
        <v>0</v>
      </c>
      <c r="L71" s="23">
        <f>IF($C71&gt;0,INDEX(Merge_1_2!$H$2:$H$611,$C71),INDEX(Dataset3_Raw!$H$2:$H$391,$E71))</f>
        <v>2</v>
      </c>
      <c r="M71" s="23">
        <f>IF($C71&gt;0,INDEX(Merge_1_2!$I$2:$I$611,$C71),INDEX(Dataset3_Raw!$I$2:$I$391,$E71))</f>
        <v>1</v>
      </c>
      <c r="N71" s="25">
        <f>IF($C71&gt;0,INDEX(Merge_1_2!$J$2:$J$611,$C71),INDEX(Dataset3_Raw!$J$2:$J$391,$E71))</f>
        <v>0.16</v>
      </c>
      <c r="O71" s="25" t="str">
        <f>IF($C71&gt;0,IF(ISNUMBER(INDEX(Merge_1_2!$K$2:$K$611,$C71)),INDEX(Merge_1_2!$K$2:$K$611,$C71),""),INDEX(Dataset3_Raw!$K$2:$K$391,$E71))</f>
        <v/>
      </c>
      <c r="P71" s="25">
        <f>IF(ISNUMBER($O71),$O71,ROUND(Lookups!$B$25+Lookups!$B$24*$N71,4))</f>
        <v>0.1709</v>
      </c>
      <c r="Q71" s="25">
        <f>IF($C71&gt;0,INDEX(Merge_1_2!$L$2:$L$611,$C71),INDEX(Dataset3_Raw!$L$2:$L$391,$E71))</f>
        <v>0.55000000000000004</v>
      </c>
      <c r="R71" s="25">
        <f>IF($C71&gt;0,INDEX(Merge_1_2!$M$2:$M$611,$C71),INDEX(Dataset3_Raw!$M$2:$M$391,$E71))</f>
        <v>0.1045</v>
      </c>
      <c r="S71" s="23">
        <f>IF($C71&gt;0,INDEX(Merge_1_2!$N$2:$N$611,$C71),INDEX(Dataset3_Raw!$N$2:$N$391,$E71))</f>
        <v>0</v>
      </c>
      <c r="T71" s="23">
        <f>IF($C71&gt;0,INDEX(Merge_1_2!$O$2:$O$611,$C71),INDEX(Dataset3_Raw!$O$2:$O$391,$E71))</f>
        <v>5</v>
      </c>
      <c r="U71" s="23">
        <f>IF($C71&gt;0,INDEX(Merge_1_2!$P$2:$P$611,$C71),INDEX(Dataset3_Raw!$P$2:$P$391,$E71))</f>
        <v>5</v>
      </c>
      <c r="V71" s="23" t="str">
        <f t="shared" si="7"/>
        <v>Weekday</v>
      </c>
      <c r="W71" s="23" t="str">
        <f>VLOOKUP($M71,Lookups!$A$5:$B$8,2,FALSE())</f>
        <v>Clear / Partly cloudy</v>
      </c>
      <c r="X71" s="23" t="str">
        <f>VLOOKUP($G71,Lookups!$D$5:$E$8,2,FALSE())</f>
        <v>Winter</v>
      </c>
      <c r="Y71" s="23" t="str">
        <f>VLOOKUP($L71,Lookups!$G$5:$H$11,2,FALSE())</f>
        <v>Tuesday</v>
      </c>
      <c r="Z71" s="23" t="str">
        <f>IF($J71&lt;Lookups!$B$26,"Night",IF($J71&lt;Lookups!$B$27,"Morning",IF($J71&lt;Lookups!$B$28,"Afternoon","Evening")))</f>
        <v>Night</v>
      </c>
      <c r="AA71" s="26">
        <f>ROUND($N71*(Lookups!$B$16-Lookups!$B$15)+Lookups!$B$15,1)</f>
        <v>-0.5</v>
      </c>
      <c r="AB71" s="26">
        <f>ROUND($P71*(Lookups!$B$18-Lookups!$B$17)+Lookups!$B$17,1)</f>
        <v>-4.7</v>
      </c>
      <c r="AC71" s="23">
        <f t="shared" si="8"/>
        <v>55</v>
      </c>
      <c r="AD71" s="23">
        <f>ROUND($R71*Lookups!$B$19,1)</f>
        <v>7</v>
      </c>
      <c r="AE71" s="27">
        <f t="shared" si="9"/>
        <v>1</v>
      </c>
      <c r="AF71" s="23" t="str">
        <f>IF($U71&gt;=Lookups!$B$23,"High",IF($U71&gt;=Lookups!$B$22,"Medium","Low"))</f>
        <v>Low</v>
      </c>
      <c r="AG71" s="23">
        <f>ROUND(IF($V71="Weekday",IF(INDEX(Hourly_Analysis!$D$5:$D$28,$J71+1)&gt;0,($U71-INDEX(Hourly_Analysis!$C$5:$C$28,$J71+1))/INDEX(Hourly_Analysis!$D$5:$D$28,$J71+1),0),IF(INDEX(Hourly_Analysis!$G$5:$G$28,$J71+1)&gt;0,($U71-INDEX(Hourly_Analysis!$F$5:$F$28,$J71+1))/INDEX(Hourly_Analysis!$G$5:$G$28,$J71+1),0)),2)</f>
        <v>-1.1299999999999999</v>
      </c>
      <c r="AH71" s="23" t="str">
        <f>IF(ABS($AG71)&gt;Lookups!$B$20,IF($AG71&gt;0,"High anomaly","Low anomaly"),"")</f>
        <v/>
      </c>
      <c r="AI71" s="23" t="str">
        <f t="shared" si="10"/>
        <v>OK</v>
      </c>
      <c r="AJ71" s="23" t="str">
        <f t="shared" si="11"/>
        <v>Yes</v>
      </c>
    </row>
    <row r="72" spans="1:36" x14ac:dyDescent="0.35">
      <c r="A72" s="23">
        <v>71</v>
      </c>
      <c r="B72" s="23" t="str">
        <f t="shared" si="6"/>
        <v>Merge 1+2</v>
      </c>
      <c r="C72" s="23">
        <f>IFERROR(MATCH($A72,Merge_1_2!$A$2:$A$611,0),0)</f>
        <v>71</v>
      </c>
      <c r="D72" s="23">
        <f>IF($C72&gt;0,INDEX(Merge_1_2!$Q$2:$Q$611,$C72),0)</f>
        <v>71</v>
      </c>
      <c r="E72" s="23">
        <f>IFERROR(MATCH($A72,Dataset3_Raw!$A$2:$A$391,0),0)</f>
        <v>0</v>
      </c>
      <c r="F72" s="24">
        <f>IF($C72&gt;0,INDEX(Merge_1_2!$B$2:$B$611,$C72),DATE(VALUE(RIGHT(INDEX(Dataset3_Raw!$B$2:$B$391,$E72),4)),VALUE(MID(INDEX(Dataset3_Raw!$B$2:$B$391,$E72),4,2)),VALUE(LEFT(INDEX(Dataset3_Raw!$B$2:$B$391,$E72),2))))</f>
        <v>40547</v>
      </c>
      <c r="G72" s="23">
        <f>IF($C72&gt;0,INDEX(Merge_1_2!$C$2:$C$611,$C72),INDEX(Dataset3_Raw!$C$2:$C$391,$E72))</f>
        <v>1</v>
      </c>
      <c r="H72" s="23">
        <f>IF($C72&gt;0,INDEX(Merge_1_2!$D$2:$D$611,$C72),INDEX(Dataset3_Raw!$D$2:$D$391,$E72))</f>
        <v>0</v>
      </c>
      <c r="I72" s="23">
        <f>IF($C72&gt;0,INDEX(Merge_1_2!$E$2:$E$611,$C72),INDEX(Dataset3_Raw!$E$2:$E$391,$E72))</f>
        <v>1</v>
      </c>
      <c r="J72" s="23">
        <f>IF($C72&gt;0,INDEX(Merge_1_2!$F$2:$F$611,$C72),INDEX(Dataset3_Raw!$F$2:$F$391,$E72))</f>
        <v>1</v>
      </c>
      <c r="K72" s="23" t="b">
        <f>IF($C72&gt;0,INDEX(Merge_1_2!$G$2:$G$611,$C72),INDEX(Dataset3_Raw!$G$2:$G$391,$E72))</f>
        <v>0</v>
      </c>
      <c r="L72" s="23">
        <f>IF($C72&gt;0,INDEX(Merge_1_2!$H$2:$H$611,$C72),INDEX(Dataset3_Raw!$H$2:$H$391,$E72))</f>
        <v>2</v>
      </c>
      <c r="M72" s="23">
        <f>IF($C72&gt;0,INDEX(Merge_1_2!$I$2:$I$611,$C72),INDEX(Dataset3_Raw!$I$2:$I$391,$E72))</f>
        <v>1</v>
      </c>
      <c r="N72" s="25">
        <f>IF($C72&gt;0,INDEX(Merge_1_2!$J$2:$J$611,$C72),INDEX(Dataset3_Raw!$J$2:$J$391,$E72))</f>
        <v>0.16</v>
      </c>
      <c r="O72" s="25">
        <f>IF($C72&gt;0,IF(ISNUMBER(INDEX(Merge_1_2!$K$2:$K$611,$C72)),INDEX(Merge_1_2!$K$2:$K$611,$C72),""),INDEX(Dataset3_Raw!$K$2:$K$391,$E72))</f>
        <v>0.18179999999999999</v>
      </c>
      <c r="P72" s="25">
        <f>IF(ISNUMBER($O72),$O72,ROUND(Lookups!$B$25+Lookups!$B$24*$N72,4))</f>
        <v>0.18179999999999999</v>
      </c>
      <c r="Q72" s="25">
        <f>IF($C72&gt;0,INDEX(Merge_1_2!$L$2:$L$611,$C72),INDEX(Dataset3_Raw!$L$2:$L$391,$E72))</f>
        <v>0.59</v>
      </c>
      <c r="R72" s="25">
        <f>IF($C72&gt;0,INDEX(Merge_1_2!$M$2:$M$611,$C72),INDEX(Dataset3_Raw!$M$2:$M$391,$E72))</f>
        <v>0.1045</v>
      </c>
      <c r="S72" s="23">
        <f>IF($C72&gt;0,INDEX(Merge_1_2!$N$2:$N$611,$C72),INDEX(Dataset3_Raw!$N$2:$N$391,$E72))</f>
        <v>0</v>
      </c>
      <c r="T72" s="23">
        <f>IF($C72&gt;0,INDEX(Merge_1_2!$O$2:$O$611,$C72),INDEX(Dataset3_Raw!$O$2:$O$391,$E72))</f>
        <v>2</v>
      </c>
      <c r="U72" s="23">
        <f>IF($C72&gt;0,INDEX(Merge_1_2!$P$2:$P$611,$C72),INDEX(Dataset3_Raw!$P$2:$P$391,$E72))</f>
        <v>2</v>
      </c>
      <c r="V72" s="23" t="str">
        <f t="shared" si="7"/>
        <v>Weekday</v>
      </c>
      <c r="W72" s="23" t="str">
        <f>VLOOKUP($M72,Lookups!$A$5:$B$8,2,FALSE())</f>
        <v>Clear / Partly cloudy</v>
      </c>
      <c r="X72" s="23" t="str">
        <f>VLOOKUP($G72,Lookups!$D$5:$E$8,2,FALSE())</f>
        <v>Winter</v>
      </c>
      <c r="Y72" s="23" t="str">
        <f>VLOOKUP($L72,Lookups!$G$5:$H$11,2,FALSE())</f>
        <v>Tuesday</v>
      </c>
      <c r="Z72" s="23" t="str">
        <f>IF($J72&lt;Lookups!$B$26,"Night",IF($J72&lt;Lookups!$B$27,"Morning",IF($J72&lt;Lookups!$B$28,"Afternoon","Evening")))</f>
        <v>Night</v>
      </c>
      <c r="AA72" s="26">
        <f>ROUND($N72*(Lookups!$B$16-Lookups!$B$15)+Lookups!$B$15,1)</f>
        <v>-0.5</v>
      </c>
      <c r="AB72" s="26">
        <f>ROUND($P72*(Lookups!$B$18-Lookups!$B$17)+Lookups!$B$17,1)</f>
        <v>-4</v>
      </c>
      <c r="AC72" s="23">
        <f t="shared" si="8"/>
        <v>59</v>
      </c>
      <c r="AD72" s="23">
        <f>ROUND($R72*Lookups!$B$19,1)</f>
        <v>7</v>
      </c>
      <c r="AE72" s="27">
        <f t="shared" si="9"/>
        <v>1</v>
      </c>
      <c r="AF72" s="23" t="str">
        <f>IF($U72&gt;=Lookups!$B$23,"High",IF($U72&gt;=Lookups!$B$22,"Medium","Low"))</f>
        <v>Low</v>
      </c>
      <c r="AG72" s="23">
        <f>ROUND(IF($V72="Weekday",IF(INDEX(Hourly_Analysis!$D$5:$D$28,$J72+1)&gt;0,($U72-INDEX(Hourly_Analysis!$C$5:$C$28,$J72+1))/INDEX(Hourly_Analysis!$D$5:$D$28,$J72+1),0),IF(INDEX(Hourly_Analysis!$G$5:$G$28,$J72+1)&gt;0,($U72-INDEX(Hourly_Analysis!$F$5:$F$28,$J72+1))/INDEX(Hourly_Analysis!$G$5:$G$28,$J72+1),0)),2)</f>
        <v>-1.35</v>
      </c>
      <c r="AH72" s="23" t="str">
        <f>IF(ABS($AG72)&gt;Lookups!$B$20,IF($AG72&gt;0,"High anomaly","Low anomaly"),"")</f>
        <v/>
      </c>
      <c r="AI72" s="23" t="str">
        <f t="shared" si="10"/>
        <v>OK</v>
      </c>
      <c r="AJ72" s="23" t="str">
        <f t="shared" si="11"/>
        <v>No</v>
      </c>
    </row>
    <row r="73" spans="1:36" x14ac:dyDescent="0.35">
      <c r="A73" s="23">
        <v>72</v>
      </c>
      <c r="B73" s="23" t="str">
        <f t="shared" si="6"/>
        <v>Merge 1+2</v>
      </c>
      <c r="C73" s="23">
        <f>IFERROR(MATCH($A73,Merge_1_2!$A$2:$A$611,0),0)</f>
        <v>72</v>
      </c>
      <c r="D73" s="23">
        <f>IF($C73&gt;0,INDEX(Merge_1_2!$Q$2:$Q$611,$C73),0)</f>
        <v>72</v>
      </c>
      <c r="E73" s="23">
        <f>IFERROR(MATCH($A73,Dataset3_Raw!$A$2:$A$391,0),0)</f>
        <v>0</v>
      </c>
      <c r="F73" s="24">
        <f>IF($C73&gt;0,INDEX(Merge_1_2!$B$2:$B$611,$C73),DATE(VALUE(RIGHT(INDEX(Dataset3_Raw!$B$2:$B$391,$E73),4)),VALUE(MID(INDEX(Dataset3_Raw!$B$2:$B$391,$E73),4,2)),VALUE(LEFT(INDEX(Dataset3_Raw!$B$2:$B$391,$E73),2))))</f>
        <v>40547</v>
      </c>
      <c r="G73" s="23">
        <f>IF($C73&gt;0,INDEX(Merge_1_2!$C$2:$C$611,$C73),INDEX(Dataset3_Raw!$C$2:$C$391,$E73))</f>
        <v>1</v>
      </c>
      <c r="H73" s="23">
        <f>IF($C73&gt;0,INDEX(Merge_1_2!$D$2:$D$611,$C73),INDEX(Dataset3_Raw!$D$2:$D$391,$E73))</f>
        <v>0</v>
      </c>
      <c r="I73" s="23">
        <f>IF($C73&gt;0,INDEX(Merge_1_2!$E$2:$E$611,$C73),INDEX(Dataset3_Raw!$E$2:$E$391,$E73))</f>
        <v>1</v>
      </c>
      <c r="J73" s="23">
        <f>IF($C73&gt;0,INDEX(Merge_1_2!$F$2:$F$611,$C73),INDEX(Dataset3_Raw!$F$2:$F$391,$E73))</f>
        <v>2</v>
      </c>
      <c r="K73" s="23" t="b">
        <f>IF($C73&gt;0,INDEX(Merge_1_2!$G$2:$G$611,$C73),INDEX(Dataset3_Raw!$G$2:$G$391,$E73))</f>
        <v>0</v>
      </c>
      <c r="L73" s="23">
        <f>IF($C73&gt;0,INDEX(Merge_1_2!$H$2:$H$611,$C73),INDEX(Dataset3_Raw!$H$2:$H$391,$E73))</f>
        <v>2</v>
      </c>
      <c r="M73" s="23">
        <f>IF($C73&gt;0,INDEX(Merge_1_2!$I$2:$I$611,$C73),INDEX(Dataset3_Raw!$I$2:$I$391,$E73))</f>
        <v>1</v>
      </c>
      <c r="N73" s="25">
        <f>IF($C73&gt;0,INDEX(Merge_1_2!$J$2:$J$611,$C73),INDEX(Dataset3_Raw!$J$2:$J$391,$E73))</f>
        <v>0.14000000000000001</v>
      </c>
      <c r="O73" s="25">
        <f>IF($C73&gt;0,IF(ISNUMBER(INDEX(Merge_1_2!$K$2:$K$611,$C73)),INDEX(Merge_1_2!$K$2:$K$611,$C73),""),INDEX(Dataset3_Raw!$K$2:$K$391,$E73))</f>
        <v>0.1515</v>
      </c>
      <c r="P73" s="25">
        <f>IF(ISNUMBER($O73),$O73,ROUND(Lookups!$B$25+Lookups!$B$24*$N73,4))</f>
        <v>0.1515</v>
      </c>
      <c r="Q73" s="25">
        <f>IF($C73&gt;0,INDEX(Merge_1_2!$L$2:$L$611,$C73),INDEX(Dataset3_Raw!$L$2:$L$391,$E73))</f>
        <v>0.63</v>
      </c>
      <c r="R73" s="25">
        <f>IF($C73&gt;0,INDEX(Merge_1_2!$M$2:$M$611,$C73),INDEX(Dataset3_Raw!$M$2:$M$391,$E73))</f>
        <v>0.1343</v>
      </c>
      <c r="S73" s="23">
        <f>IF($C73&gt;0,INDEX(Merge_1_2!$N$2:$N$611,$C73),INDEX(Dataset3_Raw!$N$2:$N$391,$E73))</f>
        <v>0</v>
      </c>
      <c r="T73" s="23">
        <f>IF($C73&gt;0,INDEX(Merge_1_2!$O$2:$O$611,$C73),INDEX(Dataset3_Raw!$O$2:$O$391,$E73))</f>
        <v>1</v>
      </c>
      <c r="U73" s="23">
        <f>IF($C73&gt;0,INDEX(Merge_1_2!$P$2:$P$611,$C73),INDEX(Dataset3_Raw!$P$2:$P$391,$E73))</f>
        <v>1</v>
      </c>
      <c r="V73" s="23" t="str">
        <f t="shared" si="7"/>
        <v>Weekday</v>
      </c>
      <c r="W73" s="23" t="str">
        <f>VLOOKUP($M73,Lookups!$A$5:$B$8,2,FALSE())</f>
        <v>Clear / Partly cloudy</v>
      </c>
      <c r="X73" s="23" t="str">
        <f>VLOOKUP($G73,Lookups!$D$5:$E$8,2,FALSE())</f>
        <v>Winter</v>
      </c>
      <c r="Y73" s="23" t="str">
        <f>VLOOKUP($L73,Lookups!$G$5:$H$11,2,FALSE())</f>
        <v>Tuesday</v>
      </c>
      <c r="Z73" s="23" t="str">
        <f>IF($J73&lt;Lookups!$B$26,"Night",IF($J73&lt;Lookups!$B$27,"Morning",IF($J73&lt;Lookups!$B$28,"Afternoon","Evening")))</f>
        <v>Night</v>
      </c>
      <c r="AA73" s="26">
        <f>ROUND($N73*(Lookups!$B$16-Lookups!$B$15)+Lookups!$B$15,1)</f>
        <v>-1.4</v>
      </c>
      <c r="AB73" s="26">
        <f>ROUND($P73*(Lookups!$B$18-Lookups!$B$17)+Lookups!$B$17,1)</f>
        <v>-6</v>
      </c>
      <c r="AC73" s="23">
        <f t="shared" si="8"/>
        <v>63</v>
      </c>
      <c r="AD73" s="23">
        <f>ROUND($R73*Lookups!$B$19,1)</f>
        <v>9</v>
      </c>
      <c r="AE73" s="27">
        <f t="shared" si="9"/>
        <v>1</v>
      </c>
      <c r="AF73" s="23" t="str">
        <f>IF($U73&gt;=Lookups!$B$23,"High",IF($U73&gt;=Lookups!$B$22,"Medium","Low"))</f>
        <v>Low</v>
      </c>
      <c r="AG73" s="23">
        <f>ROUND(IF($V73="Weekday",IF(INDEX(Hourly_Analysis!$D$5:$D$28,$J73+1)&gt;0,($U73-INDEX(Hourly_Analysis!$C$5:$C$28,$J73+1))/INDEX(Hourly_Analysis!$D$5:$D$28,$J73+1),0),IF(INDEX(Hourly_Analysis!$G$5:$G$28,$J73+1)&gt;0,($U73-INDEX(Hourly_Analysis!$F$5:$F$28,$J73+1))/INDEX(Hourly_Analysis!$G$5:$G$28,$J73+1),0)),2)</f>
        <v>-0.81</v>
      </c>
      <c r="AH73" s="23" t="str">
        <f>IF(ABS($AG73)&gt;Lookups!$B$20,IF($AG73&gt;0,"High anomaly","Low anomaly"),"")</f>
        <v/>
      </c>
      <c r="AI73" s="23" t="str">
        <f t="shared" si="10"/>
        <v>OK</v>
      </c>
      <c r="AJ73" s="23" t="str">
        <f t="shared" si="11"/>
        <v>No</v>
      </c>
    </row>
    <row r="74" spans="1:36" x14ac:dyDescent="0.35">
      <c r="A74" s="23">
        <v>73</v>
      </c>
      <c r="B74" s="23" t="str">
        <f t="shared" si="6"/>
        <v>Merge 1+2</v>
      </c>
      <c r="C74" s="23">
        <f>IFERROR(MATCH($A74,Merge_1_2!$A$2:$A$611,0),0)</f>
        <v>73</v>
      </c>
      <c r="D74" s="23">
        <f>IF($C74&gt;0,INDEX(Merge_1_2!$Q$2:$Q$611,$C74),0)</f>
        <v>73</v>
      </c>
      <c r="E74" s="23">
        <f>IFERROR(MATCH($A74,Dataset3_Raw!$A$2:$A$391,0),0)</f>
        <v>0</v>
      </c>
      <c r="F74" s="24">
        <f>IF($C74&gt;0,INDEX(Merge_1_2!$B$2:$B$611,$C74),DATE(VALUE(RIGHT(INDEX(Dataset3_Raw!$B$2:$B$391,$E74),4)),VALUE(MID(INDEX(Dataset3_Raw!$B$2:$B$391,$E74),4,2)),VALUE(LEFT(INDEX(Dataset3_Raw!$B$2:$B$391,$E74),2))))</f>
        <v>40547</v>
      </c>
      <c r="G74" s="23">
        <f>IF($C74&gt;0,INDEX(Merge_1_2!$C$2:$C$611,$C74),INDEX(Dataset3_Raw!$C$2:$C$391,$E74))</f>
        <v>1</v>
      </c>
      <c r="H74" s="23">
        <f>IF($C74&gt;0,INDEX(Merge_1_2!$D$2:$D$611,$C74),INDEX(Dataset3_Raw!$D$2:$D$391,$E74))</f>
        <v>0</v>
      </c>
      <c r="I74" s="23">
        <f>IF($C74&gt;0,INDEX(Merge_1_2!$E$2:$E$611,$C74),INDEX(Dataset3_Raw!$E$2:$E$391,$E74))</f>
        <v>1</v>
      </c>
      <c r="J74" s="23">
        <f>IF($C74&gt;0,INDEX(Merge_1_2!$F$2:$F$611,$C74),INDEX(Dataset3_Raw!$F$2:$F$391,$E74))</f>
        <v>4</v>
      </c>
      <c r="K74" s="23" t="b">
        <f>IF($C74&gt;0,INDEX(Merge_1_2!$G$2:$G$611,$C74),INDEX(Dataset3_Raw!$G$2:$G$391,$E74))</f>
        <v>0</v>
      </c>
      <c r="L74" s="23">
        <f>IF($C74&gt;0,INDEX(Merge_1_2!$H$2:$H$611,$C74),INDEX(Dataset3_Raw!$H$2:$H$391,$E74))</f>
        <v>2</v>
      </c>
      <c r="M74" s="23">
        <f>IF($C74&gt;0,INDEX(Merge_1_2!$I$2:$I$611,$C74),INDEX(Dataset3_Raw!$I$2:$I$391,$E74))</f>
        <v>1</v>
      </c>
      <c r="N74" s="25">
        <f>IF($C74&gt;0,INDEX(Merge_1_2!$J$2:$J$611,$C74),INDEX(Dataset3_Raw!$J$2:$J$391,$E74))</f>
        <v>0.14000000000000001</v>
      </c>
      <c r="O74" s="25">
        <f>IF($C74&gt;0,IF(ISNUMBER(INDEX(Merge_1_2!$K$2:$K$611,$C74)),INDEX(Merge_1_2!$K$2:$K$611,$C74),""),INDEX(Dataset3_Raw!$K$2:$K$391,$E74))</f>
        <v>0.18179999999999999</v>
      </c>
      <c r="P74" s="25">
        <f>IF(ISNUMBER($O74),$O74,ROUND(Lookups!$B$25+Lookups!$B$24*$N74,4))</f>
        <v>0.18179999999999999</v>
      </c>
      <c r="Q74" s="25">
        <f>IF($C74&gt;0,INDEX(Merge_1_2!$L$2:$L$611,$C74),INDEX(Dataset3_Raw!$L$2:$L$391,$E74))</f>
        <v>0.63</v>
      </c>
      <c r="R74" s="25">
        <f>IF($C74&gt;0,INDEX(Merge_1_2!$M$2:$M$611,$C74),INDEX(Dataset3_Raw!$M$2:$M$391,$E74))</f>
        <v>8.9599999999999999E-2</v>
      </c>
      <c r="S74" s="23">
        <f>IF($C74&gt;0,INDEX(Merge_1_2!$N$2:$N$611,$C74),INDEX(Dataset3_Raw!$N$2:$N$391,$E74))</f>
        <v>0</v>
      </c>
      <c r="T74" s="23">
        <f>IF($C74&gt;0,INDEX(Merge_1_2!$O$2:$O$611,$C74),INDEX(Dataset3_Raw!$O$2:$O$391,$E74))</f>
        <v>2</v>
      </c>
      <c r="U74" s="23">
        <f>IF($C74&gt;0,INDEX(Merge_1_2!$P$2:$P$611,$C74),INDEX(Dataset3_Raw!$P$2:$P$391,$E74))</f>
        <v>2</v>
      </c>
      <c r="V74" s="23" t="str">
        <f t="shared" si="7"/>
        <v>Weekday</v>
      </c>
      <c r="W74" s="23" t="str">
        <f>VLOOKUP($M74,Lookups!$A$5:$B$8,2,FALSE())</f>
        <v>Clear / Partly cloudy</v>
      </c>
      <c r="X74" s="23" t="str">
        <f>VLOOKUP($G74,Lookups!$D$5:$E$8,2,FALSE())</f>
        <v>Winter</v>
      </c>
      <c r="Y74" s="23" t="str">
        <f>VLOOKUP($L74,Lookups!$G$5:$H$11,2,FALSE())</f>
        <v>Tuesday</v>
      </c>
      <c r="Z74" s="23" t="str">
        <f>IF($J74&lt;Lookups!$B$26,"Night",IF($J74&lt;Lookups!$B$27,"Morning",IF($J74&lt;Lookups!$B$28,"Afternoon","Evening")))</f>
        <v>Night</v>
      </c>
      <c r="AA74" s="26">
        <f>ROUND($N74*(Lookups!$B$16-Lookups!$B$15)+Lookups!$B$15,1)</f>
        <v>-1.4</v>
      </c>
      <c r="AB74" s="26">
        <f>ROUND($P74*(Lookups!$B$18-Lookups!$B$17)+Lookups!$B$17,1)</f>
        <v>-4</v>
      </c>
      <c r="AC74" s="23">
        <f t="shared" si="8"/>
        <v>63</v>
      </c>
      <c r="AD74" s="23">
        <f>ROUND($R74*Lookups!$B$19,1)</f>
        <v>6</v>
      </c>
      <c r="AE74" s="27">
        <f t="shared" si="9"/>
        <v>1</v>
      </c>
      <c r="AF74" s="23" t="str">
        <f>IF($U74&gt;=Lookups!$B$23,"High",IF($U74&gt;=Lookups!$B$22,"Medium","Low"))</f>
        <v>Low</v>
      </c>
      <c r="AG74" s="23">
        <f>ROUND(IF($V74="Weekday",IF(INDEX(Hourly_Analysis!$D$5:$D$28,$J74+1)&gt;0,($U74-INDEX(Hourly_Analysis!$C$5:$C$28,$J74+1))/INDEX(Hourly_Analysis!$D$5:$D$28,$J74+1),0),IF(INDEX(Hourly_Analysis!$G$5:$G$28,$J74+1)&gt;0,($U74-INDEX(Hourly_Analysis!$F$5:$F$28,$J74+1))/INDEX(Hourly_Analysis!$G$5:$G$28,$J74+1),0)),2)</f>
        <v>0.31</v>
      </c>
      <c r="AH74" s="23" t="str">
        <f>IF(ABS($AG74)&gt;Lookups!$B$20,IF($AG74&gt;0,"High anomaly","Low anomaly"),"")</f>
        <v/>
      </c>
      <c r="AI74" s="23" t="str">
        <f t="shared" si="10"/>
        <v>OK</v>
      </c>
      <c r="AJ74" s="23" t="str">
        <f t="shared" si="11"/>
        <v>No</v>
      </c>
    </row>
    <row r="75" spans="1:36" x14ac:dyDescent="0.35">
      <c r="A75" s="23">
        <v>74</v>
      </c>
      <c r="B75" s="23" t="str">
        <f t="shared" si="6"/>
        <v>Merge 1+2</v>
      </c>
      <c r="C75" s="23">
        <f>IFERROR(MATCH($A75,Merge_1_2!$A$2:$A$611,0),0)</f>
        <v>74</v>
      </c>
      <c r="D75" s="23">
        <f>IF($C75&gt;0,INDEX(Merge_1_2!$Q$2:$Q$611,$C75),0)</f>
        <v>74</v>
      </c>
      <c r="E75" s="23">
        <f>IFERROR(MATCH($A75,Dataset3_Raw!$A$2:$A$391,0),0)</f>
        <v>0</v>
      </c>
      <c r="F75" s="24">
        <f>IF($C75&gt;0,INDEX(Merge_1_2!$B$2:$B$611,$C75),DATE(VALUE(RIGHT(INDEX(Dataset3_Raw!$B$2:$B$391,$E75),4)),VALUE(MID(INDEX(Dataset3_Raw!$B$2:$B$391,$E75),4,2)),VALUE(LEFT(INDEX(Dataset3_Raw!$B$2:$B$391,$E75),2))))</f>
        <v>40547</v>
      </c>
      <c r="G75" s="23">
        <f>IF($C75&gt;0,INDEX(Merge_1_2!$C$2:$C$611,$C75),INDEX(Dataset3_Raw!$C$2:$C$391,$E75))</f>
        <v>1</v>
      </c>
      <c r="H75" s="23">
        <f>IF($C75&gt;0,INDEX(Merge_1_2!$D$2:$D$611,$C75),INDEX(Dataset3_Raw!$D$2:$D$391,$E75))</f>
        <v>0</v>
      </c>
      <c r="I75" s="23">
        <f>IF($C75&gt;0,INDEX(Merge_1_2!$E$2:$E$611,$C75),INDEX(Dataset3_Raw!$E$2:$E$391,$E75))</f>
        <v>1</v>
      </c>
      <c r="J75" s="23">
        <f>IF($C75&gt;0,INDEX(Merge_1_2!$F$2:$F$611,$C75),INDEX(Dataset3_Raw!$F$2:$F$391,$E75))</f>
        <v>5</v>
      </c>
      <c r="K75" s="23" t="b">
        <f>IF($C75&gt;0,INDEX(Merge_1_2!$G$2:$G$611,$C75),INDEX(Dataset3_Raw!$G$2:$G$391,$E75))</f>
        <v>0</v>
      </c>
      <c r="L75" s="23">
        <f>IF($C75&gt;0,INDEX(Merge_1_2!$H$2:$H$611,$C75),INDEX(Dataset3_Raw!$H$2:$H$391,$E75))</f>
        <v>2</v>
      </c>
      <c r="M75" s="23">
        <f>IF($C75&gt;0,INDEX(Merge_1_2!$I$2:$I$611,$C75),INDEX(Dataset3_Raw!$I$2:$I$391,$E75))</f>
        <v>1</v>
      </c>
      <c r="N75" s="25">
        <f>IF($C75&gt;0,INDEX(Merge_1_2!$J$2:$J$611,$C75),INDEX(Dataset3_Raw!$J$2:$J$391,$E75))</f>
        <v>0.12</v>
      </c>
      <c r="O75" s="25">
        <f>IF($C75&gt;0,IF(ISNUMBER(INDEX(Merge_1_2!$K$2:$K$611,$C75)),INDEX(Merge_1_2!$K$2:$K$611,$C75),""),INDEX(Dataset3_Raw!$K$2:$K$391,$E75))</f>
        <v>0.1515</v>
      </c>
      <c r="P75" s="25">
        <f>IF(ISNUMBER($O75),$O75,ROUND(Lookups!$B$25+Lookups!$B$24*$N75,4))</f>
        <v>0.1515</v>
      </c>
      <c r="Q75" s="25">
        <f>IF($C75&gt;0,INDEX(Merge_1_2!$L$2:$L$611,$C75),INDEX(Dataset3_Raw!$L$2:$L$391,$E75))</f>
        <v>0.68</v>
      </c>
      <c r="R75" s="25">
        <f>IF($C75&gt;0,INDEX(Merge_1_2!$M$2:$M$611,$C75),INDEX(Dataset3_Raw!$M$2:$M$391,$E75))</f>
        <v>0.1045</v>
      </c>
      <c r="S75" s="23">
        <f>IF($C75&gt;0,INDEX(Merge_1_2!$N$2:$N$611,$C75),INDEX(Dataset3_Raw!$N$2:$N$391,$E75))</f>
        <v>0</v>
      </c>
      <c r="T75" s="23">
        <f>IF($C75&gt;0,INDEX(Merge_1_2!$O$2:$O$611,$C75),INDEX(Dataset3_Raw!$O$2:$O$391,$E75))</f>
        <v>4</v>
      </c>
      <c r="U75" s="23">
        <f>IF($C75&gt;0,INDEX(Merge_1_2!$P$2:$P$611,$C75),INDEX(Dataset3_Raw!$P$2:$P$391,$E75))</f>
        <v>4</v>
      </c>
      <c r="V75" s="23" t="str">
        <f t="shared" si="7"/>
        <v>Weekday</v>
      </c>
      <c r="W75" s="23" t="str">
        <f>VLOOKUP($M75,Lookups!$A$5:$B$8,2,FALSE())</f>
        <v>Clear / Partly cloudy</v>
      </c>
      <c r="X75" s="23" t="str">
        <f>VLOOKUP($G75,Lookups!$D$5:$E$8,2,FALSE())</f>
        <v>Winter</v>
      </c>
      <c r="Y75" s="23" t="str">
        <f>VLOOKUP($L75,Lookups!$G$5:$H$11,2,FALSE())</f>
        <v>Tuesday</v>
      </c>
      <c r="Z75" s="23" t="str">
        <f>IF($J75&lt;Lookups!$B$26,"Night",IF($J75&lt;Lookups!$B$27,"Morning",IF($J75&lt;Lookups!$B$28,"Afternoon","Evening")))</f>
        <v>Night</v>
      </c>
      <c r="AA75" s="26">
        <f>ROUND($N75*(Lookups!$B$16-Lookups!$B$15)+Lookups!$B$15,1)</f>
        <v>-2.4</v>
      </c>
      <c r="AB75" s="26">
        <f>ROUND($P75*(Lookups!$B$18-Lookups!$B$17)+Lookups!$B$17,1)</f>
        <v>-6</v>
      </c>
      <c r="AC75" s="23">
        <f t="shared" si="8"/>
        <v>68</v>
      </c>
      <c r="AD75" s="23">
        <f>ROUND($R75*Lookups!$B$19,1)</f>
        <v>7</v>
      </c>
      <c r="AE75" s="27">
        <f t="shared" si="9"/>
        <v>1</v>
      </c>
      <c r="AF75" s="23" t="str">
        <f>IF($U75&gt;=Lookups!$B$23,"High",IF($U75&gt;=Lookups!$B$22,"Medium","Low"))</f>
        <v>Low</v>
      </c>
      <c r="AG75" s="23">
        <f>ROUND(IF($V75="Weekday",IF(INDEX(Hourly_Analysis!$D$5:$D$28,$J75+1)&gt;0,($U75-INDEX(Hourly_Analysis!$C$5:$C$28,$J75+1))/INDEX(Hourly_Analysis!$D$5:$D$28,$J75+1),0),IF(INDEX(Hourly_Analysis!$G$5:$G$28,$J75+1)&gt;0,($U75-INDEX(Hourly_Analysis!$F$5:$F$28,$J75+1))/INDEX(Hourly_Analysis!$G$5:$G$28,$J75+1),0)),2)</f>
        <v>-0.38</v>
      </c>
      <c r="AH75" s="23" t="str">
        <f>IF(ABS($AG75)&gt;Lookups!$B$20,IF($AG75&gt;0,"High anomaly","Low anomaly"),"")</f>
        <v/>
      </c>
      <c r="AI75" s="23" t="str">
        <f t="shared" si="10"/>
        <v>OK</v>
      </c>
      <c r="AJ75" s="23" t="str">
        <f t="shared" si="11"/>
        <v>No</v>
      </c>
    </row>
    <row r="76" spans="1:36" x14ac:dyDescent="0.35">
      <c r="A76" s="23">
        <v>75</v>
      </c>
      <c r="B76" s="23" t="str">
        <f t="shared" si="6"/>
        <v>Merge 1+2</v>
      </c>
      <c r="C76" s="23">
        <f>IFERROR(MATCH($A76,Merge_1_2!$A$2:$A$611,0),0)</f>
        <v>75</v>
      </c>
      <c r="D76" s="23">
        <f>IF($C76&gt;0,INDEX(Merge_1_2!$Q$2:$Q$611,$C76),0)</f>
        <v>75</v>
      </c>
      <c r="E76" s="23">
        <f>IFERROR(MATCH($A76,Dataset3_Raw!$A$2:$A$391,0),0)</f>
        <v>0</v>
      </c>
      <c r="F76" s="24">
        <f>IF($C76&gt;0,INDEX(Merge_1_2!$B$2:$B$611,$C76),DATE(VALUE(RIGHT(INDEX(Dataset3_Raw!$B$2:$B$391,$E76),4)),VALUE(MID(INDEX(Dataset3_Raw!$B$2:$B$391,$E76),4,2)),VALUE(LEFT(INDEX(Dataset3_Raw!$B$2:$B$391,$E76),2))))</f>
        <v>40547</v>
      </c>
      <c r="G76" s="23">
        <f>IF($C76&gt;0,INDEX(Merge_1_2!$C$2:$C$611,$C76),INDEX(Dataset3_Raw!$C$2:$C$391,$E76))</f>
        <v>1</v>
      </c>
      <c r="H76" s="23">
        <f>IF($C76&gt;0,INDEX(Merge_1_2!$D$2:$D$611,$C76),INDEX(Dataset3_Raw!$D$2:$D$391,$E76))</f>
        <v>0</v>
      </c>
      <c r="I76" s="23">
        <f>IF($C76&gt;0,INDEX(Merge_1_2!$E$2:$E$611,$C76),INDEX(Dataset3_Raw!$E$2:$E$391,$E76))</f>
        <v>1</v>
      </c>
      <c r="J76" s="23">
        <f>IF($C76&gt;0,INDEX(Merge_1_2!$F$2:$F$611,$C76),INDEX(Dataset3_Raw!$F$2:$F$391,$E76))</f>
        <v>6</v>
      </c>
      <c r="K76" s="23" t="b">
        <f>IF($C76&gt;0,INDEX(Merge_1_2!$G$2:$G$611,$C76),INDEX(Dataset3_Raw!$G$2:$G$391,$E76))</f>
        <v>0</v>
      </c>
      <c r="L76" s="23">
        <f>IF($C76&gt;0,INDEX(Merge_1_2!$H$2:$H$611,$C76),INDEX(Dataset3_Raw!$H$2:$H$391,$E76))</f>
        <v>2</v>
      </c>
      <c r="M76" s="23">
        <f>IF($C76&gt;0,INDEX(Merge_1_2!$I$2:$I$611,$C76),INDEX(Dataset3_Raw!$I$2:$I$391,$E76))</f>
        <v>1</v>
      </c>
      <c r="N76" s="25">
        <f>IF($C76&gt;0,INDEX(Merge_1_2!$J$2:$J$611,$C76),INDEX(Dataset3_Raw!$J$2:$J$391,$E76))</f>
        <v>0.12</v>
      </c>
      <c r="O76" s="25">
        <f>IF($C76&gt;0,IF(ISNUMBER(INDEX(Merge_1_2!$K$2:$K$611,$C76)),INDEX(Merge_1_2!$K$2:$K$611,$C76),""),INDEX(Dataset3_Raw!$K$2:$K$391,$E76))</f>
        <v>0.1515</v>
      </c>
      <c r="P76" s="25">
        <f>IF(ISNUMBER($O76),$O76,ROUND(Lookups!$B$25+Lookups!$B$24*$N76,4))</f>
        <v>0.1515</v>
      </c>
      <c r="Q76" s="25">
        <f>IF($C76&gt;0,INDEX(Merge_1_2!$L$2:$L$611,$C76),INDEX(Dataset3_Raw!$L$2:$L$391,$E76))</f>
        <v>0.74</v>
      </c>
      <c r="R76" s="25">
        <f>IF($C76&gt;0,INDEX(Merge_1_2!$M$2:$M$611,$C76),INDEX(Dataset3_Raw!$M$2:$M$391,$E76))</f>
        <v>0.1045</v>
      </c>
      <c r="S76" s="23">
        <f>IF($C76&gt;0,INDEX(Merge_1_2!$N$2:$N$611,$C76),INDEX(Dataset3_Raw!$N$2:$N$391,$E76))</f>
        <v>0</v>
      </c>
      <c r="T76" s="23">
        <f>IF($C76&gt;0,INDEX(Merge_1_2!$O$2:$O$611,$C76),INDEX(Dataset3_Raw!$O$2:$O$391,$E76))</f>
        <v>36</v>
      </c>
      <c r="U76" s="23">
        <f>IF($C76&gt;0,INDEX(Merge_1_2!$P$2:$P$611,$C76),INDEX(Dataset3_Raw!$P$2:$P$391,$E76))</f>
        <v>36</v>
      </c>
      <c r="V76" s="23" t="str">
        <f t="shared" si="7"/>
        <v>Weekday</v>
      </c>
      <c r="W76" s="23" t="str">
        <f>VLOOKUP($M76,Lookups!$A$5:$B$8,2,FALSE())</f>
        <v>Clear / Partly cloudy</v>
      </c>
      <c r="X76" s="23" t="str">
        <f>VLOOKUP($G76,Lookups!$D$5:$E$8,2,FALSE())</f>
        <v>Winter</v>
      </c>
      <c r="Y76" s="23" t="str">
        <f>VLOOKUP($L76,Lookups!$G$5:$H$11,2,FALSE())</f>
        <v>Tuesday</v>
      </c>
      <c r="Z76" s="23" t="str">
        <f>IF($J76&lt;Lookups!$B$26,"Night",IF($J76&lt;Lookups!$B$27,"Morning",IF($J76&lt;Lookups!$B$28,"Afternoon","Evening")))</f>
        <v>Morning</v>
      </c>
      <c r="AA76" s="26">
        <f>ROUND($N76*(Lookups!$B$16-Lookups!$B$15)+Lookups!$B$15,1)</f>
        <v>-2.4</v>
      </c>
      <c r="AB76" s="26">
        <f>ROUND($P76*(Lookups!$B$18-Lookups!$B$17)+Lookups!$B$17,1)</f>
        <v>-6</v>
      </c>
      <c r="AC76" s="23">
        <f t="shared" si="8"/>
        <v>74</v>
      </c>
      <c r="AD76" s="23">
        <f>ROUND($R76*Lookups!$B$19,1)</f>
        <v>7</v>
      </c>
      <c r="AE76" s="27">
        <f t="shared" si="9"/>
        <v>1</v>
      </c>
      <c r="AF76" s="23" t="str">
        <f>IF($U76&gt;=Lookups!$B$23,"High",IF($U76&gt;=Lookups!$B$22,"Medium","Low"))</f>
        <v>Medium</v>
      </c>
      <c r="AG76" s="23">
        <f>ROUND(IF($V76="Weekday",IF(INDEX(Hourly_Analysis!$D$5:$D$28,$J76+1)&gt;0,($U76-INDEX(Hourly_Analysis!$C$5:$C$28,$J76+1))/INDEX(Hourly_Analysis!$D$5:$D$28,$J76+1),0),IF(INDEX(Hourly_Analysis!$G$5:$G$28,$J76+1)&gt;0,($U76-INDEX(Hourly_Analysis!$F$5:$F$28,$J76+1))/INDEX(Hourly_Analysis!$G$5:$G$28,$J76+1),0)),2)</f>
        <v>0.9</v>
      </c>
      <c r="AH76" s="23" t="str">
        <f>IF(ABS($AG76)&gt;Lookups!$B$20,IF($AG76&gt;0,"High anomaly","Low anomaly"),"")</f>
        <v/>
      </c>
      <c r="AI76" s="23" t="str">
        <f t="shared" si="10"/>
        <v>OK</v>
      </c>
      <c r="AJ76" s="23" t="str">
        <f t="shared" si="11"/>
        <v>No</v>
      </c>
    </row>
    <row r="77" spans="1:36" x14ac:dyDescent="0.35">
      <c r="A77" s="23">
        <v>76</v>
      </c>
      <c r="B77" s="23" t="str">
        <f t="shared" si="6"/>
        <v>Merge 1+2</v>
      </c>
      <c r="C77" s="23">
        <f>IFERROR(MATCH($A77,Merge_1_2!$A$2:$A$611,0),0)</f>
        <v>76</v>
      </c>
      <c r="D77" s="23">
        <f>IF($C77&gt;0,INDEX(Merge_1_2!$Q$2:$Q$611,$C77),0)</f>
        <v>76</v>
      </c>
      <c r="E77" s="23">
        <f>IFERROR(MATCH($A77,Dataset3_Raw!$A$2:$A$391,0),0)</f>
        <v>0</v>
      </c>
      <c r="F77" s="24">
        <f>IF($C77&gt;0,INDEX(Merge_1_2!$B$2:$B$611,$C77),DATE(VALUE(RIGHT(INDEX(Dataset3_Raw!$B$2:$B$391,$E77),4)),VALUE(MID(INDEX(Dataset3_Raw!$B$2:$B$391,$E77),4,2)),VALUE(LEFT(INDEX(Dataset3_Raw!$B$2:$B$391,$E77),2))))</f>
        <v>40547</v>
      </c>
      <c r="G77" s="23">
        <f>IF($C77&gt;0,INDEX(Merge_1_2!$C$2:$C$611,$C77),INDEX(Dataset3_Raw!$C$2:$C$391,$E77))</f>
        <v>1</v>
      </c>
      <c r="H77" s="23">
        <f>IF($C77&gt;0,INDEX(Merge_1_2!$D$2:$D$611,$C77),INDEX(Dataset3_Raw!$D$2:$D$391,$E77))</f>
        <v>0</v>
      </c>
      <c r="I77" s="23">
        <f>IF($C77&gt;0,INDEX(Merge_1_2!$E$2:$E$611,$C77),INDEX(Dataset3_Raw!$E$2:$E$391,$E77))</f>
        <v>1</v>
      </c>
      <c r="J77" s="23">
        <f>IF($C77&gt;0,INDEX(Merge_1_2!$F$2:$F$611,$C77),INDEX(Dataset3_Raw!$F$2:$F$391,$E77))</f>
        <v>7</v>
      </c>
      <c r="K77" s="23" t="b">
        <f>IF($C77&gt;0,INDEX(Merge_1_2!$G$2:$G$611,$C77),INDEX(Dataset3_Raw!$G$2:$G$391,$E77))</f>
        <v>0</v>
      </c>
      <c r="L77" s="23">
        <f>IF($C77&gt;0,INDEX(Merge_1_2!$H$2:$H$611,$C77),INDEX(Dataset3_Raw!$H$2:$H$391,$E77))</f>
        <v>2</v>
      </c>
      <c r="M77" s="23">
        <f>IF($C77&gt;0,INDEX(Merge_1_2!$I$2:$I$611,$C77),INDEX(Dataset3_Raw!$I$2:$I$391,$E77))</f>
        <v>1</v>
      </c>
      <c r="N77" s="25">
        <f>IF($C77&gt;0,INDEX(Merge_1_2!$J$2:$J$611,$C77),INDEX(Dataset3_Raw!$J$2:$J$391,$E77))</f>
        <v>0.12</v>
      </c>
      <c r="O77" s="25">
        <f>IF($C77&gt;0,IF(ISNUMBER(INDEX(Merge_1_2!$K$2:$K$611,$C77)),INDEX(Merge_1_2!$K$2:$K$611,$C77),""),INDEX(Dataset3_Raw!$K$2:$K$391,$E77))</f>
        <v>0.1515</v>
      </c>
      <c r="P77" s="25">
        <f>IF(ISNUMBER($O77),$O77,ROUND(Lookups!$B$25+Lookups!$B$24*$N77,4))</f>
        <v>0.1515</v>
      </c>
      <c r="Q77" s="25">
        <f>IF($C77&gt;0,INDEX(Merge_1_2!$L$2:$L$611,$C77),INDEX(Dataset3_Raw!$L$2:$L$391,$E77))</f>
        <v>0.74</v>
      </c>
      <c r="R77" s="25">
        <f>IF($C77&gt;0,INDEX(Merge_1_2!$M$2:$M$611,$C77),INDEX(Dataset3_Raw!$M$2:$M$391,$E77))</f>
        <v>0.1343</v>
      </c>
      <c r="S77" s="23">
        <f>IF($C77&gt;0,INDEX(Merge_1_2!$N$2:$N$611,$C77),INDEX(Dataset3_Raw!$N$2:$N$391,$E77))</f>
        <v>2</v>
      </c>
      <c r="T77" s="23">
        <f>IF($C77&gt;0,INDEX(Merge_1_2!$O$2:$O$611,$C77),INDEX(Dataset3_Raw!$O$2:$O$391,$E77))</f>
        <v>92</v>
      </c>
      <c r="U77" s="23">
        <f>IF($C77&gt;0,INDEX(Merge_1_2!$P$2:$P$611,$C77),INDEX(Dataset3_Raw!$P$2:$P$391,$E77))</f>
        <v>94</v>
      </c>
      <c r="V77" s="23" t="str">
        <f t="shared" si="7"/>
        <v>Weekday</v>
      </c>
      <c r="W77" s="23" t="str">
        <f>VLOOKUP($M77,Lookups!$A$5:$B$8,2,FALSE())</f>
        <v>Clear / Partly cloudy</v>
      </c>
      <c r="X77" s="23" t="str">
        <f>VLOOKUP($G77,Lookups!$D$5:$E$8,2,FALSE())</f>
        <v>Winter</v>
      </c>
      <c r="Y77" s="23" t="str">
        <f>VLOOKUP($L77,Lookups!$G$5:$H$11,2,FALSE())</f>
        <v>Tuesday</v>
      </c>
      <c r="Z77" s="23" t="str">
        <f>IF($J77&lt;Lookups!$B$26,"Night",IF($J77&lt;Lookups!$B$27,"Morning",IF($J77&lt;Lookups!$B$28,"Afternoon","Evening")))</f>
        <v>Morning</v>
      </c>
      <c r="AA77" s="26">
        <f>ROUND($N77*(Lookups!$B$16-Lookups!$B$15)+Lookups!$B$15,1)</f>
        <v>-2.4</v>
      </c>
      <c r="AB77" s="26">
        <f>ROUND($P77*(Lookups!$B$18-Lookups!$B$17)+Lookups!$B$17,1)</f>
        <v>-6</v>
      </c>
      <c r="AC77" s="23">
        <f t="shared" si="8"/>
        <v>74</v>
      </c>
      <c r="AD77" s="23">
        <f>ROUND($R77*Lookups!$B$19,1)</f>
        <v>9</v>
      </c>
      <c r="AE77" s="27">
        <f t="shared" si="9"/>
        <v>0.97872340425531912</v>
      </c>
      <c r="AF77" s="23" t="str">
        <f>IF($U77&gt;=Lookups!$B$23,"High",IF($U77&gt;=Lookups!$B$22,"Medium","Low"))</f>
        <v>High</v>
      </c>
      <c r="AG77" s="23">
        <f>ROUND(IF($V77="Weekday",IF(INDEX(Hourly_Analysis!$D$5:$D$28,$J77+1)&gt;0,($U77-INDEX(Hourly_Analysis!$C$5:$C$28,$J77+1))/INDEX(Hourly_Analysis!$D$5:$D$28,$J77+1),0),IF(INDEX(Hourly_Analysis!$G$5:$G$28,$J77+1)&gt;0,($U77-INDEX(Hourly_Analysis!$F$5:$F$28,$J77+1))/INDEX(Hourly_Analysis!$G$5:$G$28,$J77+1),0)),2)</f>
        <v>0.71</v>
      </c>
      <c r="AH77" s="23" t="str">
        <f>IF(ABS($AG77)&gt;Lookups!$B$20,IF($AG77&gt;0,"High anomaly","Low anomaly"),"")</f>
        <v/>
      </c>
      <c r="AI77" s="23" t="str">
        <f t="shared" si="10"/>
        <v>OK</v>
      </c>
      <c r="AJ77" s="23" t="str">
        <f t="shared" si="11"/>
        <v>No</v>
      </c>
    </row>
    <row r="78" spans="1:36" x14ac:dyDescent="0.35">
      <c r="A78" s="23">
        <v>77</v>
      </c>
      <c r="B78" s="23" t="str">
        <f t="shared" si="6"/>
        <v>Merge 1+2</v>
      </c>
      <c r="C78" s="23">
        <f>IFERROR(MATCH($A78,Merge_1_2!$A$2:$A$611,0),0)</f>
        <v>77</v>
      </c>
      <c r="D78" s="23">
        <f>IF($C78&gt;0,INDEX(Merge_1_2!$Q$2:$Q$611,$C78),0)</f>
        <v>77</v>
      </c>
      <c r="E78" s="23">
        <f>IFERROR(MATCH($A78,Dataset3_Raw!$A$2:$A$391,0),0)</f>
        <v>0</v>
      </c>
      <c r="F78" s="24">
        <f>IF($C78&gt;0,INDEX(Merge_1_2!$B$2:$B$611,$C78),DATE(VALUE(RIGHT(INDEX(Dataset3_Raw!$B$2:$B$391,$E78),4)),VALUE(MID(INDEX(Dataset3_Raw!$B$2:$B$391,$E78),4,2)),VALUE(LEFT(INDEX(Dataset3_Raw!$B$2:$B$391,$E78),2))))</f>
        <v>40547</v>
      </c>
      <c r="G78" s="23">
        <f>IF($C78&gt;0,INDEX(Merge_1_2!$C$2:$C$611,$C78),INDEX(Dataset3_Raw!$C$2:$C$391,$E78))</f>
        <v>1</v>
      </c>
      <c r="H78" s="23">
        <f>IF($C78&gt;0,INDEX(Merge_1_2!$D$2:$D$611,$C78),INDEX(Dataset3_Raw!$D$2:$D$391,$E78))</f>
        <v>0</v>
      </c>
      <c r="I78" s="23">
        <f>IF($C78&gt;0,INDEX(Merge_1_2!$E$2:$E$611,$C78),INDEX(Dataset3_Raw!$E$2:$E$391,$E78))</f>
        <v>1</v>
      </c>
      <c r="J78" s="23">
        <f>IF($C78&gt;0,INDEX(Merge_1_2!$F$2:$F$611,$C78),INDEX(Dataset3_Raw!$F$2:$F$391,$E78))</f>
        <v>8</v>
      </c>
      <c r="K78" s="23" t="b">
        <f>IF($C78&gt;0,INDEX(Merge_1_2!$G$2:$G$611,$C78),INDEX(Dataset3_Raw!$G$2:$G$391,$E78))</f>
        <v>0</v>
      </c>
      <c r="L78" s="23">
        <f>IF($C78&gt;0,INDEX(Merge_1_2!$H$2:$H$611,$C78),INDEX(Dataset3_Raw!$H$2:$H$391,$E78))</f>
        <v>2</v>
      </c>
      <c r="M78" s="23">
        <f>IF($C78&gt;0,INDEX(Merge_1_2!$I$2:$I$611,$C78),INDEX(Dataset3_Raw!$I$2:$I$391,$E78))</f>
        <v>1</v>
      </c>
      <c r="N78" s="25">
        <f>IF($C78&gt;0,INDEX(Merge_1_2!$J$2:$J$611,$C78),INDEX(Dataset3_Raw!$J$2:$J$391,$E78))</f>
        <v>0.14000000000000001</v>
      </c>
      <c r="O78" s="25">
        <f>IF($C78&gt;0,IF(ISNUMBER(INDEX(Merge_1_2!$K$2:$K$611,$C78)),INDEX(Merge_1_2!$K$2:$K$611,$C78),""),INDEX(Dataset3_Raw!$K$2:$K$391,$E78))</f>
        <v>0.1515</v>
      </c>
      <c r="P78" s="25">
        <f>IF(ISNUMBER($O78),$O78,ROUND(Lookups!$B$25+Lookups!$B$24*$N78,4))</f>
        <v>0.1515</v>
      </c>
      <c r="Q78" s="25">
        <f>IF($C78&gt;0,INDEX(Merge_1_2!$L$2:$L$611,$C78),INDEX(Dataset3_Raw!$L$2:$L$391,$E78))</f>
        <v>0.69</v>
      </c>
      <c r="R78" s="25">
        <f>IF($C78&gt;0,INDEX(Merge_1_2!$M$2:$M$611,$C78),INDEX(Dataset3_Raw!$M$2:$M$391,$E78))</f>
        <v>0.16420000000000001</v>
      </c>
      <c r="S78" s="23">
        <f>IF($C78&gt;0,INDEX(Merge_1_2!$N$2:$N$611,$C78),INDEX(Dataset3_Raw!$N$2:$N$391,$E78))</f>
        <v>2</v>
      </c>
      <c r="T78" s="23">
        <f>IF($C78&gt;0,INDEX(Merge_1_2!$O$2:$O$611,$C78),INDEX(Dataset3_Raw!$O$2:$O$391,$E78))</f>
        <v>177</v>
      </c>
      <c r="U78" s="23">
        <f>IF($C78&gt;0,INDEX(Merge_1_2!$P$2:$P$611,$C78),INDEX(Dataset3_Raw!$P$2:$P$391,$E78))</f>
        <v>179</v>
      </c>
      <c r="V78" s="23" t="str">
        <f t="shared" si="7"/>
        <v>Weekday</v>
      </c>
      <c r="W78" s="23" t="str">
        <f>VLOOKUP($M78,Lookups!$A$5:$B$8,2,FALSE())</f>
        <v>Clear / Partly cloudy</v>
      </c>
      <c r="X78" s="23" t="str">
        <f>VLOOKUP($G78,Lookups!$D$5:$E$8,2,FALSE())</f>
        <v>Winter</v>
      </c>
      <c r="Y78" s="23" t="str">
        <f>VLOOKUP($L78,Lookups!$G$5:$H$11,2,FALSE())</f>
        <v>Tuesday</v>
      </c>
      <c r="Z78" s="23" t="str">
        <f>IF($J78&lt;Lookups!$B$26,"Night",IF($J78&lt;Lookups!$B$27,"Morning",IF($J78&lt;Lookups!$B$28,"Afternoon","Evening")))</f>
        <v>Morning</v>
      </c>
      <c r="AA78" s="26">
        <f>ROUND($N78*(Lookups!$B$16-Lookups!$B$15)+Lookups!$B$15,1)</f>
        <v>-1.4</v>
      </c>
      <c r="AB78" s="26">
        <f>ROUND($P78*(Lookups!$B$18-Lookups!$B$17)+Lookups!$B$17,1)</f>
        <v>-6</v>
      </c>
      <c r="AC78" s="23">
        <f t="shared" si="8"/>
        <v>69</v>
      </c>
      <c r="AD78" s="23">
        <f>ROUND($R78*Lookups!$B$19,1)</f>
        <v>11</v>
      </c>
      <c r="AE78" s="27">
        <f t="shared" si="9"/>
        <v>0.98882681564245811</v>
      </c>
      <c r="AF78" s="23" t="str">
        <f>IF($U78&gt;=Lookups!$B$23,"High",IF($U78&gt;=Lookups!$B$22,"Medium","Low"))</f>
        <v>High</v>
      </c>
      <c r="AG78" s="23">
        <f>ROUND(IF($V78="Weekday",IF(INDEX(Hourly_Analysis!$D$5:$D$28,$J78+1)&gt;0,($U78-INDEX(Hourly_Analysis!$C$5:$C$28,$J78+1))/INDEX(Hourly_Analysis!$D$5:$D$28,$J78+1),0),IF(INDEX(Hourly_Analysis!$G$5:$G$28,$J78+1)&gt;0,($U78-INDEX(Hourly_Analysis!$F$5:$F$28,$J78+1))/INDEX(Hourly_Analysis!$G$5:$G$28,$J78+1),0)),2)</f>
        <v>-0.26</v>
      </c>
      <c r="AH78" s="23" t="str">
        <f>IF(ABS($AG78)&gt;Lookups!$B$20,IF($AG78&gt;0,"High anomaly","Low anomaly"),"")</f>
        <v/>
      </c>
      <c r="AI78" s="23" t="str">
        <f t="shared" si="10"/>
        <v>OK</v>
      </c>
      <c r="AJ78" s="23" t="str">
        <f t="shared" si="11"/>
        <v>No</v>
      </c>
    </row>
    <row r="79" spans="1:36" x14ac:dyDescent="0.35">
      <c r="A79" s="23">
        <v>78</v>
      </c>
      <c r="B79" s="23" t="str">
        <f t="shared" si="6"/>
        <v>Merge 1+2</v>
      </c>
      <c r="C79" s="23">
        <f>IFERROR(MATCH($A79,Merge_1_2!$A$2:$A$611,0),0)</f>
        <v>78</v>
      </c>
      <c r="D79" s="23">
        <f>IF($C79&gt;0,INDEX(Merge_1_2!$Q$2:$Q$611,$C79),0)</f>
        <v>78</v>
      </c>
      <c r="E79" s="23">
        <f>IFERROR(MATCH($A79,Dataset3_Raw!$A$2:$A$391,0),0)</f>
        <v>0</v>
      </c>
      <c r="F79" s="24">
        <f>IF($C79&gt;0,INDEX(Merge_1_2!$B$2:$B$611,$C79),DATE(VALUE(RIGHT(INDEX(Dataset3_Raw!$B$2:$B$391,$E79),4)),VALUE(MID(INDEX(Dataset3_Raw!$B$2:$B$391,$E79),4,2)),VALUE(LEFT(INDEX(Dataset3_Raw!$B$2:$B$391,$E79),2))))</f>
        <v>40547</v>
      </c>
      <c r="G79" s="23">
        <f>IF($C79&gt;0,INDEX(Merge_1_2!$C$2:$C$611,$C79),INDEX(Dataset3_Raw!$C$2:$C$391,$E79))</f>
        <v>1</v>
      </c>
      <c r="H79" s="23">
        <f>IF($C79&gt;0,INDEX(Merge_1_2!$D$2:$D$611,$C79),INDEX(Dataset3_Raw!$D$2:$D$391,$E79))</f>
        <v>0</v>
      </c>
      <c r="I79" s="23">
        <f>IF($C79&gt;0,INDEX(Merge_1_2!$E$2:$E$611,$C79),INDEX(Dataset3_Raw!$E$2:$E$391,$E79))</f>
        <v>1</v>
      </c>
      <c r="J79" s="23">
        <f>IF($C79&gt;0,INDEX(Merge_1_2!$F$2:$F$611,$C79),INDEX(Dataset3_Raw!$F$2:$F$391,$E79))</f>
        <v>9</v>
      </c>
      <c r="K79" s="23" t="b">
        <f>IF($C79&gt;0,INDEX(Merge_1_2!$G$2:$G$611,$C79),INDEX(Dataset3_Raw!$G$2:$G$391,$E79))</f>
        <v>0</v>
      </c>
      <c r="L79" s="23">
        <f>IF($C79&gt;0,INDEX(Merge_1_2!$H$2:$H$611,$C79),INDEX(Dataset3_Raw!$H$2:$H$391,$E79))</f>
        <v>2</v>
      </c>
      <c r="M79" s="23">
        <f>IF($C79&gt;0,INDEX(Merge_1_2!$I$2:$I$611,$C79),INDEX(Dataset3_Raw!$I$2:$I$391,$E79))</f>
        <v>1</v>
      </c>
      <c r="N79" s="25">
        <f>IF($C79&gt;0,INDEX(Merge_1_2!$J$2:$J$611,$C79),INDEX(Dataset3_Raw!$J$2:$J$391,$E79))</f>
        <v>0.16</v>
      </c>
      <c r="O79" s="25">
        <f>IF($C79&gt;0,IF(ISNUMBER(INDEX(Merge_1_2!$K$2:$K$611,$C79)),INDEX(Merge_1_2!$K$2:$K$611,$C79),""),INDEX(Dataset3_Raw!$K$2:$K$391,$E79))</f>
        <v>0.1515</v>
      </c>
      <c r="P79" s="25">
        <f>IF(ISNUMBER($O79),$O79,ROUND(Lookups!$B$25+Lookups!$B$24*$N79,4))</f>
        <v>0.1515</v>
      </c>
      <c r="Q79" s="25">
        <f>IF($C79&gt;0,INDEX(Merge_1_2!$L$2:$L$611,$C79),INDEX(Dataset3_Raw!$L$2:$L$391,$E79))</f>
        <v>0.64</v>
      </c>
      <c r="R79" s="25">
        <f>IF($C79&gt;0,INDEX(Merge_1_2!$M$2:$M$611,$C79),INDEX(Dataset3_Raw!$M$2:$M$391,$E79))</f>
        <v>0.22389999999999999</v>
      </c>
      <c r="S79" s="23">
        <f>IF($C79&gt;0,INDEX(Merge_1_2!$N$2:$N$611,$C79),INDEX(Dataset3_Raw!$N$2:$N$391,$E79))</f>
        <v>2</v>
      </c>
      <c r="T79" s="23">
        <f>IF($C79&gt;0,INDEX(Merge_1_2!$O$2:$O$611,$C79),INDEX(Dataset3_Raw!$O$2:$O$391,$E79))</f>
        <v>98</v>
      </c>
      <c r="U79" s="23">
        <f>IF($C79&gt;0,INDEX(Merge_1_2!$P$2:$P$611,$C79),INDEX(Dataset3_Raw!$P$2:$P$391,$E79))</f>
        <v>100</v>
      </c>
      <c r="V79" s="23" t="str">
        <f t="shared" si="7"/>
        <v>Weekday</v>
      </c>
      <c r="W79" s="23" t="str">
        <f>VLOOKUP($M79,Lookups!$A$5:$B$8,2,FALSE())</f>
        <v>Clear / Partly cloudy</v>
      </c>
      <c r="X79" s="23" t="str">
        <f>VLOOKUP($G79,Lookups!$D$5:$E$8,2,FALSE())</f>
        <v>Winter</v>
      </c>
      <c r="Y79" s="23" t="str">
        <f>VLOOKUP($L79,Lookups!$G$5:$H$11,2,FALSE())</f>
        <v>Tuesday</v>
      </c>
      <c r="Z79" s="23" t="str">
        <f>IF($J79&lt;Lookups!$B$26,"Night",IF($J79&lt;Lookups!$B$27,"Morning",IF($J79&lt;Lookups!$B$28,"Afternoon","Evening")))</f>
        <v>Morning</v>
      </c>
      <c r="AA79" s="26">
        <f>ROUND($N79*(Lookups!$B$16-Lookups!$B$15)+Lookups!$B$15,1)</f>
        <v>-0.5</v>
      </c>
      <c r="AB79" s="26">
        <f>ROUND($P79*(Lookups!$B$18-Lookups!$B$17)+Lookups!$B$17,1)</f>
        <v>-6</v>
      </c>
      <c r="AC79" s="23">
        <f t="shared" si="8"/>
        <v>64</v>
      </c>
      <c r="AD79" s="23">
        <f>ROUND($R79*Lookups!$B$19,1)</f>
        <v>15</v>
      </c>
      <c r="AE79" s="27">
        <f t="shared" si="9"/>
        <v>0.98</v>
      </c>
      <c r="AF79" s="23" t="str">
        <f>IF($U79&gt;=Lookups!$B$23,"High",IF($U79&gt;=Lookups!$B$22,"Medium","Low"))</f>
        <v>High</v>
      </c>
      <c r="AG79" s="23">
        <f>ROUND(IF($V79="Weekday",IF(INDEX(Hourly_Analysis!$D$5:$D$28,$J79+1)&gt;0,($U79-INDEX(Hourly_Analysis!$C$5:$C$28,$J79+1))/INDEX(Hourly_Analysis!$D$5:$D$28,$J79+1),0),IF(INDEX(Hourly_Analysis!$G$5:$G$28,$J79+1)&gt;0,($U79-INDEX(Hourly_Analysis!$F$5:$F$28,$J79+1))/INDEX(Hourly_Analysis!$G$5:$G$28,$J79+1),0)),2)</f>
        <v>-0.81</v>
      </c>
      <c r="AH79" s="23" t="str">
        <f>IF(ABS($AG79)&gt;Lookups!$B$20,IF($AG79&gt;0,"High anomaly","Low anomaly"),"")</f>
        <v/>
      </c>
      <c r="AI79" s="23" t="str">
        <f t="shared" si="10"/>
        <v>OK</v>
      </c>
      <c r="AJ79" s="23" t="str">
        <f t="shared" si="11"/>
        <v>No</v>
      </c>
    </row>
    <row r="80" spans="1:36" x14ac:dyDescent="0.35">
      <c r="A80" s="23">
        <v>79</v>
      </c>
      <c r="B80" s="23" t="str">
        <f t="shared" si="6"/>
        <v>Merge 1+2</v>
      </c>
      <c r="C80" s="23">
        <f>IFERROR(MATCH($A80,Merge_1_2!$A$2:$A$611,0),0)</f>
        <v>79</v>
      </c>
      <c r="D80" s="23">
        <f>IF($C80&gt;0,INDEX(Merge_1_2!$Q$2:$Q$611,$C80),0)</f>
        <v>79</v>
      </c>
      <c r="E80" s="23">
        <f>IFERROR(MATCH($A80,Dataset3_Raw!$A$2:$A$391,0),0)</f>
        <v>0</v>
      </c>
      <c r="F80" s="24">
        <f>IF($C80&gt;0,INDEX(Merge_1_2!$B$2:$B$611,$C80),DATE(VALUE(RIGHT(INDEX(Dataset3_Raw!$B$2:$B$391,$E80),4)),VALUE(MID(INDEX(Dataset3_Raw!$B$2:$B$391,$E80),4,2)),VALUE(LEFT(INDEX(Dataset3_Raw!$B$2:$B$391,$E80),2))))</f>
        <v>40547</v>
      </c>
      <c r="G80" s="23">
        <f>IF($C80&gt;0,INDEX(Merge_1_2!$C$2:$C$611,$C80),INDEX(Dataset3_Raw!$C$2:$C$391,$E80))</f>
        <v>1</v>
      </c>
      <c r="H80" s="23">
        <f>IF($C80&gt;0,INDEX(Merge_1_2!$D$2:$D$611,$C80),INDEX(Dataset3_Raw!$D$2:$D$391,$E80))</f>
        <v>0</v>
      </c>
      <c r="I80" s="23">
        <f>IF($C80&gt;0,INDEX(Merge_1_2!$E$2:$E$611,$C80),INDEX(Dataset3_Raw!$E$2:$E$391,$E80))</f>
        <v>1</v>
      </c>
      <c r="J80" s="23">
        <f>IF($C80&gt;0,INDEX(Merge_1_2!$F$2:$F$611,$C80),INDEX(Dataset3_Raw!$F$2:$F$391,$E80))</f>
        <v>10</v>
      </c>
      <c r="K80" s="23" t="b">
        <f>IF($C80&gt;0,INDEX(Merge_1_2!$G$2:$G$611,$C80),INDEX(Dataset3_Raw!$G$2:$G$391,$E80))</f>
        <v>0</v>
      </c>
      <c r="L80" s="23">
        <f>IF($C80&gt;0,INDEX(Merge_1_2!$H$2:$H$611,$C80),INDEX(Dataset3_Raw!$H$2:$H$391,$E80))</f>
        <v>2</v>
      </c>
      <c r="M80" s="23">
        <f>IF($C80&gt;0,INDEX(Merge_1_2!$I$2:$I$611,$C80),INDEX(Dataset3_Raw!$I$2:$I$391,$E80))</f>
        <v>2</v>
      </c>
      <c r="N80" s="25">
        <f>IF($C80&gt;0,INDEX(Merge_1_2!$J$2:$J$611,$C80),INDEX(Dataset3_Raw!$J$2:$J$391,$E80))</f>
        <v>0.16</v>
      </c>
      <c r="O80" s="25">
        <f>IF($C80&gt;0,IF(ISNUMBER(INDEX(Merge_1_2!$K$2:$K$611,$C80)),INDEX(Merge_1_2!$K$2:$K$611,$C80),""),INDEX(Dataset3_Raw!$K$2:$K$391,$E80))</f>
        <v>0.13639999999999999</v>
      </c>
      <c r="P80" s="25">
        <f>IF(ISNUMBER($O80),$O80,ROUND(Lookups!$B$25+Lookups!$B$24*$N80,4))</f>
        <v>0.13639999999999999</v>
      </c>
      <c r="Q80" s="25">
        <f>IF($C80&gt;0,INDEX(Merge_1_2!$L$2:$L$611,$C80),INDEX(Dataset3_Raw!$L$2:$L$391,$E80))</f>
        <v>0.69</v>
      </c>
      <c r="R80" s="25">
        <f>IF($C80&gt;0,INDEX(Merge_1_2!$M$2:$M$611,$C80),INDEX(Dataset3_Raw!$M$2:$M$391,$E80))</f>
        <v>0.32840000000000003</v>
      </c>
      <c r="S80" s="23">
        <f>IF($C80&gt;0,INDEX(Merge_1_2!$N$2:$N$611,$C80),INDEX(Dataset3_Raw!$N$2:$N$391,$E80))</f>
        <v>5</v>
      </c>
      <c r="T80" s="23">
        <f>IF($C80&gt;0,INDEX(Merge_1_2!$O$2:$O$611,$C80),INDEX(Dataset3_Raw!$O$2:$O$391,$E80))</f>
        <v>37</v>
      </c>
      <c r="U80" s="23">
        <f>IF($C80&gt;0,INDEX(Merge_1_2!$P$2:$P$611,$C80),INDEX(Dataset3_Raw!$P$2:$P$391,$E80))</f>
        <v>42</v>
      </c>
      <c r="V80" s="23" t="str">
        <f t="shared" si="7"/>
        <v>Weekday</v>
      </c>
      <c r="W80" s="23" t="str">
        <f>VLOOKUP($M80,Lookups!$A$5:$B$8,2,FALSE())</f>
        <v>Mist / Cloudy</v>
      </c>
      <c r="X80" s="23" t="str">
        <f>VLOOKUP($G80,Lookups!$D$5:$E$8,2,FALSE())</f>
        <v>Winter</v>
      </c>
      <c r="Y80" s="23" t="str">
        <f>VLOOKUP($L80,Lookups!$G$5:$H$11,2,FALSE())</f>
        <v>Tuesday</v>
      </c>
      <c r="Z80" s="23" t="str">
        <f>IF($J80&lt;Lookups!$B$26,"Night",IF($J80&lt;Lookups!$B$27,"Morning",IF($J80&lt;Lookups!$B$28,"Afternoon","Evening")))</f>
        <v>Morning</v>
      </c>
      <c r="AA80" s="26">
        <f>ROUND($N80*(Lookups!$B$16-Lookups!$B$15)+Lookups!$B$15,1)</f>
        <v>-0.5</v>
      </c>
      <c r="AB80" s="26">
        <f>ROUND($P80*(Lookups!$B$18-Lookups!$B$17)+Lookups!$B$17,1)</f>
        <v>-7</v>
      </c>
      <c r="AC80" s="23">
        <f t="shared" si="8"/>
        <v>69</v>
      </c>
      <c r="AD80" s="23">
        <f>ROUND($R80*Lookups!$B$19,1)</f>
        <v>22</v>
      </c>
      <c r="AE80" s="27">
        <f t="shared" si="9"/>
        <v>0.88095238095238093</v>
      </c>
      <c r="AF80" s="23" t="str">
        <f>IF($U80&gt;=Lookups!$B$23,"High",IF($U80&gt;=Lookups!$B$22,"Medium","Low"))</f>
        <v>Medium</v>
      </c>
      <c r="AG80" s="23">
        <f>ROUND(IF($V80="Weekday",IF(INDEX(Hourly_Analysis!$D$5:$D$28,$J80+1)&gt;0,($U80-INDEX(Hourly_Analysis!$C$5:$C$28,$J80+1))/INDEX(Hourly_Analysis!$D$5:$D$28,$J80+1),0),IF(INDEX(Hourly_Analysis!$G$5:$G$28,$J80+1)&gt;0,($U80-INDEX(Hourly_Analysis!$F$5:$F$28,$J80+1))/INDEX(Hourly_Analysis!$G$5:$G$28,$J80+1),0)),2)</f>
        <v>-0.67</v>
      </c>
      <c r="AH80" s="23" t="str">
        <f>IF(ABS($AG80)&gt;Lookups!$B$20,IF($AG80&gt;0,"High anomaly","Low anomaly"),"")</f>
        <v/>
      </c>
      <c r="AI80" s="23" t="str">
        <f t="shared" si="10"/>
        <v>OK</v>
      </c>
      <c r="AJ80" s="23" t="str">
        <f t="shared" si="11"/>
        <v>No</v>
      </c>
    </row>
    <row r="81" spans="1:36" x14ac:dyDescent="0.35">
      <c r="A81" s="23">
        <v>80</v>
      </c>
      <c r="B81" s="23" t="str">
        <f t="shared" si="6"/>
        <v>Merge 1+2</v>
      </c>
      <c r="C81" s="23">
        <f>IFERROR(MATCH($A81,Merge_1_2!$A$2:$A$611,0),0)</f>
        <v>80</v>
      </c>
      <c r="D81" s="23">
        <f>IF($C81&gt;0,INDEX(Merge_1_2!$Q$2:$Q$611,$C81),0)</f>
        <v>80</v>
      </c>
      <c r="E81" s="23">
        <f>IFERROR(MATCH($A81,Dataset3_Raw!$A$2:$A$391,0),0)</f>
        <v>0</v>
      </c>
      <c r="F81" s="24">
        <f>IF($C81&gt;0,INDEX(Merge_1_2!$B$2:$B$611,$C81),DATE(VALUE(RIGHT(INDEX(Dataset3_Raw!$B$2:$B$391,$E81),4)),VALUE(MID(INDEX(Dataset3_Raw!$B$2:$B$391,$E81),4,2)),VALUE(LEFT(INDEX(Dataset3_Raw!$B$2:$B$391,$E81),2))))</f>
        <v>40547</v>
      </c>
      <c r="G81" s="23">
        <f>IF($C81&gt;0,INDEX(Merge_1_2!$C$2:$C$611,$C81),INDEX(Dataset3_Raw!$C$2:$C$391,$E81))</f>
        <v>1</v>
      </c>
      <c r="H81" s="23">
        <f>IF($C81&gt;0,INDEX(Merge_1_2!$D$2:$D$611,$C81),INDEX(Dataset3_Raw!$D$2:$D$391,$E81))</f>
        <v>0</v>
      </c>
      <c r="I81" s="23">
        <f>IF($C81&gt;0,INDEX(Merge_1_2!$E$2:$E$611,$C81),INDEX(Dataset3_Raw!$E$2:$E$391,$E81))</f>
        <v>1</v>
      </c>
      <c r="J81" s="23">
        <f>IF($C81&gt;0,INDEX(Merge_1_2!$F$2:$F$611,$C81),INDEX(Dataset3_Raw!$F$2:$F$391,$E81))</f>
        <v>11</v>
      </c>
      <c r="K81" s="23" t="b">
        <f>IF($C81&gt;0,INDEX(Merge_1_2!$G$2:$G$611,$C81),INDEX(Dataset3_Raw!$G$2:$G$391,$E81))</f>
        <v>0</v>
      </c>
      <c r="L81" s="23">
        <f>IF($C81&gt;0,INDEX(Merge_1_2!$H$2:$H$611,$C81),INDEX(Dataset3_Raw!$H$2:$H$391,$E81))</f>
        <v>2</v>
      </c>
      <c r="M81" s="23">
        <f>IF($C81&gt;0,INDEX(Merge_1_2!$I$2:$I$611,$C81),INDEX(Dataset3_Raw!$I$2:$I$391,$E81))</f>
        <v>1</v>
      </c>
      <c r="N81" s="25">
        <f>IF($C81&gt;0,INDEX(Merge_1_2!$J$2:$J$611,$C81),INDEX(Dataset3_Raw!$J$2:$J$391,$E81))</f>
        <v>0.22</v>
      </c>
      <c r="O81" s="25">
        <f>IF($C81&gt;0,IF(ISNUMBER(INDEX(Merge_1_2!$K$2:$K$611,$C81)),INDEX(Merge_1_2!$K$2:$K$611,$C81),""),INDEX(Dataset3_Raw!$K$2:$K$391,$E81))</f>
        <v>0.21210000000000001</v>
      </c>
      <c r="P81" s="25">
        <f>IF(ISNUMBER($O81),$O81,ROUND(Lookups!$B$25+Lookups!$B$24*$N81,4))</f>
        <v>0.21210000000000001</v>
      </c>
      <c r="Q81" s="25">
        <f>IF($C81&gt;0,INDEX(Merge_1_2!$L$2:$L$611,$C81),INDEX(Dataset3_Raw!$L$2:$L$391,$E81))</f>
        <v>0.51</v>
      </c>
      <c r="R81" s="25">
        <f>IF($C81&gt;0,INDEX(Merge_1_2!$M$2:$M$611,$C81),INDEX(Dataset3_Raw!$M$2:$M$391,$E81))</f>
        <v>0.29849999999999999</v>
      </c>
      <c r="S81" s="23">
        <f>IF($C81&gt;0,INDEX(Merge_1_2!$N$2:$N$611,$C81),INDEX(Dataset3_Raw!$N$2:$N$391,$E81))</f>
        <v>7</v>
      </c>
      <c r="T81" s="23">
        <f>IF($C81&gt;0,INDEX(Merge_1_2!$O$2:$O$611,$C81),INDEX(Dataset3_Raw!$O$2:$O$391,$E81))</f>
        <v>50</v>
      </c>
      <c r="U81" s="23">
        <f>IF($C81&gt;0,INDEX(Merge_1_2!$P$2:$P$611,$C81),INDEX(Dataset3_Raw!$P$2:$P$391,$E81))</f>
        <v>57</v>
      </c>
      <c r="V81" s="23" t="str">
        <f t="shared" si="7"/>
        <v>Weekday</v>
      </c>
      <c r="W81" s="23" t="str">
        <f>VLOOKUP($M81,Lookups!$A$5:$B$8,2,FALSE())</f>
        <v>Clear / Partly cloudy</v>
      </c>
      <c r="X81" s="23" t="str">
        <f>VLOOKUP($G81,Lookups!$D$5:$E$8,2,FALSE())</f>
        <v>Winter</v>
      </c>
      <c r="Y81" s="23" t="str">
        <f>VLOOKUP($L81,Lookups!$G$5:$H$11,2,FALSE())</f>
        <v>Tuesday</v>
      </c>
      <c r="Z81" s="23" t="str">
        <f>IF($J81&lt;Lookups!$B$26,"Night",IF($J81&lt;Lookups!$B$27,"Morning",IF($J81&lt;Lookups!$B$28,"Afternoon","Evening")))</f>
        <v>Morning</v>
      </c>
      <c r="AA81" s="26">
        <f>ROUND($N81*(Lookups!$B$16-Lookups!$B$15)+Lookups!$B$15,1)</f>
        <v>2.2999999999999998</v>
      </c>
      <c r="AB81" s="26">
        <f>ROUND($P81*(Lookups!$B$18-Lookups!$B$17)+Lookups!$B$17,1)</f>
        <v>-2</v>
      </c>
      <c r="AC81" s="23">
        <f t="shared" si="8"/>
        <v>51</v>
      </c>
      <c r="AD81" s="23">
        <f>ROUND($R81*Lookups!$B$19,1)</f>
        <v>20</v>
      </c>
      <c r="AE81" s="27">
        <f t="shared" si="9"/>
        <v>0.8771929824561403</v>
      </c>
      <c r="AF81" s="23" t="str">
        <f>IF($U81&gt;=Lookups!$B$23,"High",IF($U81&gt;=Lookups!$B$22,"Medium","Low"))</f>
        <v>Medium</v>
      </c>
      <c r="AG81" s="23">
        <f>ROUND(IF($V81="Weekday",IF(INDEX(Hourly_Analysis!$D$5:$D$28,$J81+1)&gt;0,($U81-INDEX(Hourly_Analysis!$C$5:$C$28,$J81+1))/INDEX(Hourly_Analysis!$D$5:$D$28,$J81+1),0),IF(INDEX(Hourly_Analysis!$G$5:$G$28,$J81+1)&gt;0,($U81-INDEX(Hourly_Analysis!$F$5:$F$28,$J81+1))/INDEX(Hourly_Analysis!$G$5:$G$28,$J81+1),0)),2)</f>
        <v>0.62</v>
      </c>
      <c r="AH81" s="23" t="str">
        <f>IF(ABS($AG81)&gt;Lookups!$B$20,IF($AG81&gt;0,"High anomaly","Low anomaly"),"")</f>
        <v/>
      </c>
      <c r="AI81" s="23" t="str">
        <f t="shared" si="10"/>
        <v>OK</v>
      </c>
      <c r="AJ81" s="23" t="str">
        <f t="shared" si="11"/>
        <v>No</v>
      </c>
    </row>
    <row r="82" spans="1:36" x14ac:dyDescent="0.35">
      <c r="A82" s="23">
        <v>81</v>
      </c>
      <c r="B82" s="23" t="str">
        <f t="shared" si="6"/>
        <v>Merge 1+2</v>
      </c>
      <c r="C82" s="23">
        <f>IFERROR(MATCH($A82,Merge_1_2!$A$2:$A$611,0),0)</f>
        <v>81</v>
      </c>
      <c r="D82" s="23">
        <f>IF($C82&gt;0,INDEX(Merge_1_2!$Q$2:$Q$611,$C82),0)</f>
        <v>81</v>
      </c>
      <c r="E82" s="23">
        <f>IFERROR(MATCH($A82,Dataset3_Raw!$A$2:$A$391,0),0)</f>
        <v>0</v>
      </c>
      <c r="F82" s="24">
        <f>IF($C82&gt;0,INDEX(Merge_1_2!$B$2:$B$611,$C82),DATE(VALUE(RIGHT(INDEX(Dataset3_Raw!$B$2:$B$391,$E82),4)),VALUE(MID(INDEX(Dataset3_Raw!$B$2:$B$391,$E82),4,2)),VALUE(LEFT(INDEX(Dataset3_Raw!$B$2:$B$391,$E82),2))))</f>
        <v>40547</v>
      </c>
      <c r="G82" s="23">
        <f>IF($C82&gt;0,INDEX(Merge_1_2!$C$2:$C$611,$C82),INDEX(Dataset3_Raw!$C$2:$C$391,$E82))</f>
        <v>1</v>
      </c>
      <c r="H82" s="23">
        <f>IF($C82&gt;0,INDEX(Merge_1_2!$D$2:$D$611,$C82),INDEX(Dataset3_Raw!$D$2:$D$391,$E82))</f>
        <v>0</v>
      </c>
      <c r="I82" s="23">
        <f>IF($C82&gt;0,INDEX(Merge_1_2!$E$2:$E$611,$C82),INDEX(Dataset3_Raw!$E$2:$E$391,$E82))</f>
        <v>1</v>
      </c>
      <c r="J82" s="23">
        <f>IF($C82&gt;0,INDEX(Merge_1_2!$F$2:$F$611,$C82),INDEX(Dataset3_Raw!$F$2:$F$391,$E82))</f>
        <v>12</v>
      </c>
      <c r="K82" s="23" t="b">
        <f>IF($C82&gt;0,INDEX(Merge_1_2!$G$2:$G$611,$C82),INDEX(Dataset3_Raw!$G$2:$G$391,$E82))</f>
        <v>0</v>
      </c>
      <c r="L82" s="23">
        <f>IF($C82&gt;0,INDEX(Merge_1_2!$H$2:$H$611,$C82),INDEX(Dataset3_Raw!$H$2:$H$391,$E82))</f>
        <v>2</v>
      </c>
      <c r="M82" s="23">
        <f>IF($C82&gt;0,INDEX(Merge_1_2!$I$2:$I$611,$C82),INDEX(Dataset3_Raw!$I$2:$I$391,$E82))</f>
        <v>1</v>
      </c>
      <c r="N82" s="25">
        <f>IF($C82&gt;0,INDEX(Merge_1_2!$J$2:$J$611,$C82),INDEX(Dataset3_Raw!$J$2:$J$391,$E82))</f>
        <v>0.22</v>
      </c>
      <c r="O82" s="25">
        <f>IF($C82&gt;0,IF(ISNUMBER(INDEX(Merge_1_2!$K$2:$K$611,$C82)),INDEX(Merge_1_2!$K$2:$K$611,$C82),""),INDEX(Dataset3_Raw!$K$2:$K$391,$E82))</f>
        <v>0.2273</v>
      </c>
      <c r="P82" s="25">
        <f>IF(ISNUMBER($O82),$O82,ROUND(Lookups!$B$25+Lookups!$B$24*$N82,4))</f>
        <v>0.2273</v>
      </c>
      <c r="Q82" s="25">
        <f>IF($C82&gt;0,INDEX(Merge_1_2!$L$2:$L$611,$C82),INDEX(Dataset3_Raw!$L$2:$L$391,$E82))</f>
        <v>0.51</v>
      </c>
      <c r="R82" s="25">
        <f>IF($C82&gt;0,INDEX(Merge_1_2!$M$2:$M$611,$C82),INDEX(Dataset3_Raw!$M$2:$M$391,$E82))</f>
        <v>0.16420000000000001</v>
      </c>
      <c r="S82" s="23">
        <f>IF($C82&gt;0,INDEX(Merge_1_2!$N$2:$N$611,$C82),INDEX(Dataset3_Raw!$N$2:$N$391,$E82))</f>
        <v>12</v>
      </c>
      <c r="T82" s="23">
        <f>IF($C82&gt;0,INDEX(Merge_1_2!$O$2:$O$611,$C82),INDEX(Dataset3_Raw!$O$2:$O$391,$E82))</f>
        <v>66</v>
      </c>
      <c r="U82" s="23">
        <f>IF($C82&gt;0,INDEX(Merge_1_2!$P$2:$P$611,$C82),INDEX(Dataset3_Raw!$P$2:$P$391,$E82))</f>
        <v>78</v>
      </c>
      <c r="V82" s="23" t="str">
        <f t="shared" si="7"/>
        <v>Weekday</v>
      </c>
      <c r="W82" s="23" t="str">
        <f>VLOOKUP($M82,Lookups!$A$5:$B$8,2,FALSE())</f>
        <v>Clear / Partly cloudy</v>
      </c>
      <c r="X82" s="23" t="str">
        <f>VLOOKUP($G82,Lookups!$D$5:$E$8,2,FALSE())</f>
        <v>Winter</v>
      </c>
      <c r="Y82" s="23" t="str">
        <f>VLOOKUP($L82,Lookups!$G$5:$H$11,2,FALSE())</f>
        <v>Tuesday</v>
      </c>
      <c r="Z82" s="23" t="str">
        <f>IF($J82&lt;Lookups!$B$26,"Night",IF($J82&lt;Lookups!$B$27,"Morning",IF($J82&lt;Lookups!$B$28,"Afternoon","Evening")))</f>
        <v>Afternoon</v>
      </c>
      <c r="AA82" s="26">
        <f>ROUND($N82*(Lookups!$B$16-Lookups!$B$15)+Lookups!$B$15,1)</f>
        <v>2.2999999999999998</v>
      </c>
      <c r="AB82" s="26">
        <f>ROUND($P82*(Lookups!$B$18-Lookups!$B$17)+Lookups!$B$17,1)</f>
        <v>-1</v>
      </c>
      <c r="AC82" s="23">
        <f t="shared" si="8"/>
        <v>51</v>
      </c>
      <c r="AD82" s="23">
        <f>ROUND($R82*Lookups!$B$19,1)</f>
        <v>11</v>
      </c>
      <c r="AE82" s="27">
        <f t="shared" si="9"/>
        <v>0.84615384615384615</v>
      </c>
      <c r="AF82" s="23" t="str">
        <f>IF($U82&gt;=Lookups!$B$23,"High",IF($U82&gt;=Lookups!$B$22,"Medium","Low"))</f>
        <v>Medium</v>
      </c>
      <c r="AG82" s="23">
        <f>ROUND(IF($V82="Weekday",IF(INDEX(Hourly_Analysis!$D$5:$D$28,$J82+1)&gt;0,($U82-INDEX(Hourly_Analysis!$C$5:$C$28,$J82+1))/INDEX(Hourly_Analysis!$D$5:$D$28,$J82+1),0),IF(INDEX(Hourly_Analysis!$G$5:$G$28,$J82+1)&gt;0,($U82-INDEX(Hourly_Analysis!$F$5:$F$28,$J82+1))/INDEX(Hourly_Analysis!$G$5:$G$28,$J82+1),0)),2)</f>
        <v>0.74</v>
      </c>
      <c r="AH82" s="23" t="str">
        <f>IF(ABS($AG82)&gt;Lookups!$B$20,IF($AG82&gt;0,"High anomaly","Low anomaly"),"")</f>
        <v/>
      </c>
      <c r="AI82" s="23" t="str">
        <f t="shared" si="10"/>
        <v>OK</v>
      </c>
      <c r="AJ82" s="23" t="str">
        <f t="shared" si="11"/>
        <v>No</v>
      </c>
    </row>
    <row r="83" spans="1:36" x14ac:dyDescent="0.35">
      <c r="A83" s="23">
        <v>82</v>
      </c>
      <c r="B83" s="23" t="str">
        <f t="shared" si="6"/>
        <v>Merge 1+2</v>
      </c>
      <c r="C83" s="23">
        <f>IFERROR(MATCH($A83,Merge_1_2!$A$2:$A$611,0),0)</f>
        <v>82</v>
      </c>
      <c r="D83" s="23">
        <f>IF($C83&gt;0,INDEX(Merge_1_2!$Q$2:$Q$611,$C83),0)</f>
        <v>82</v>
      </c>
      <c r="E83" s="23">
        <f>IFERROR(MATCH($A83,Dataset3_Raw!$A$2:$A$391,0),0)</f>
        <v>0</v>
      </c>
      <c r="F83" s="24">
        <f>IF($C83&gt;0,INDEX(Merge_1_2!$B$2:$B$611,$C83),DATE(VALUE(RIGHT(INDEX(Dataset3_Raw!$B$2:$B$391,$E83),4)),VALUE(MID(INDEX(Dataset3_Raw!$B$2:$B$391,$E83),4,2)),VALUE(LEFT(INDEX(Dataset3_Raw!$B$2:$B$391,$E83),2))))</f>
        <v>40547</v>
      </c>
      <c r="G83" s="23">
        <f>IF($C83&gt;0,INDEX(Merge_1_2!$C$2:$C$611,$C83),INDEX(Dataset3_Raw!$C$2:$C$391,$E83))</f>
        <v>1</v>
      </c>
      <c r="H83" s="23">
        <f>IF($C83&gt;0,INDEX(Merge_1_2!$D$2:$D$611,$C83),INDEX(Dataset3_Raw!$D$2:$D$391,$E83))</f>
        <v>0</v>
      </c>
      <c r="I83" s="23">
        <f>IF($C83&gt;0,INDEX(Merge_1_2!$E$2:$E$611,$C83),INDEX(Dataset3_Raw!$E$2:$E$391,$E83))</f>
        <v>1</v>
      </c>
      <c r="J83" s="23">
        <f>IF($C83&gt;0,INDEX(Merge_1_2!$F$2:$F$611,$C83),INDEX(Dataset3_Raw!$F$2:$F$391,$E83))</f>
        <v>13</v>
      </c>
      <c r="K83" s="23" t="b">
        <f>IF($C83&gt;0,INDEX(Merge_1_2!$G$2:$G$611,$C83),INDEX(Dataset3_Raw!$G$2:$G$391,$E83))</f>
        <v>0</v>
      </c>
      <c r="L83" s="23">
        <f>IF($C83&gt;0,INDEX(Merge_1_2!$H$2:$H$611,$C83),INDEX(Dataset3_Raw!$H$2:$H$391,$E83))</f>
        <v>2</v>
      </c>
      <c r="M83" s="23">
        <f>IF($C83&gt;0,INDEX(Merge_1_2!$I$2:$I$611,$C83),INDEX(Dataset3_Raw!$I$2:$I$391,$E83))</f>
        <v>1</v>
      </c>
      <c r="N83" s="25">
        <f>IF($C83&gt;0,INDEX(Merge_1_2!$J$2:$J$611,$C83),INDEX(Dataset3_Raw!$J$2:$J$391,$E83))</f>
        <v>0.24</v>
      </c>
      <c r="O83" s="25">
        <f>IF($C83&gt;0,IF(ISNUMBER(INDEX(Merge_1_2!$K$2:$K$611,$C83)),INDEX(Merge_1_2!$K$2:$K$611,$C83),""),INDEX(Dataset3_Raw!$K$2:$K$391,$E83))</f>
        <v>0.2273</v>
      </c>
      <c r="P83" s="25">
        <f>IF(ISNUMBER($O83),$O83,ROUND(Lookups!$B$25+Lookups!$B$24*$N83,4))</f>
        <v>0.2273</v>
      </c>
      <c r="Q83" s="25">
        <f>IF($C83&gt;0,INDEX(Merge_1_2!$L$2:$L$611,$C83),INDEX(Dataset3_Raw!$L$2:$L$391,$E83))</f>
        <v>0.56000000000000005</v>
      </c>
      <c r="R83" s="25">
        <f>IF($C83&gt;0,INDEX(Merge_1_2!$M$2:$M$611,$C83),INDEX(Dataset3_Raw!$M$2:$M$391,$E83))</f>
        <v>0.19400000000000001</v>
      </c>
      <c r="S83" s="23">
        <f>IF($C83&gt;0,INDEX(Merge_1_2!$N$2:$N$611,$C83),INDEX(Dataset3_Raw!$N$2:$N$391,$E83))</f>
        <v>18</v>
      </c>
      <c r="T83" s="23">
        <f>IF($C83&gt;0,INDEX(Merge_1_2!$O$2:$O$611,$C83),INDEX(Dataset3_Raw!$O$2:$O$391,$E83))</f>
        <v>79</v>
      </c>
      <c r="U83" s="23">
        <f>IF($C83&gt;0,INDEX(Merge_1_2!$P$2:$P$611,$C83),INDEX(Dataset3_Raw!$P$2:$P$391,$E83))</f>
        <v>97</v>
      </c>
      <c r="V83" s="23" t="str">
        <f t="shared" si="7"/>
        <v>Weekday</v>
      </c>
      <c r="W83" s="23" t="str">
        <f>VLOOKUP($M83,Lookups!$A$5:$B$8,2,FALSE())</f>
        <v>Clear / Partly cloudy</v>
      </c>
      <c r="X83" s="23" t="str">
        <f>VLOOKUP($G83,Lookups!$D$5:$E$8,2,FALSE())</f>
        <v>Winter</v>
      </c>
      <c r="Y83" s="23" t="str">
        <f>VLOOKUP($L83,Lookups!$G$5:$H$11,2,FALSE())</f>
        <v>Tuesday</v>
      </c>
      <c r="Z83" s="23" t="str">
        <f>IF($J83&lt;Lookups!$B$26,"Night",IF($J83&lt;Lookups!$B$27,"Morning",IF($J83&lt;Lookups!$B$28,"Afternoon","Evening")))</f>
        <v>Afternoon</v>
      </c>
      <c r="AA83" s="26">
        <f>ROUND($N83*(Lookups!$B$16-Lookups!$B$15)+Lookups!$B$15,1)</f>
        <v>3.3</v>
      </c>
      <c r="AB83" s="26">
        <f>ROUND($P83*(Lookups!$B$18-Lookups!$B$17)+Lookups!$B$17,1)</f>
        <v>-1</v>
      </c>
      <c r="AC83" s="23">
        <f t="shared" si="8"/>
        <v>56</v>
      </c>
      <c r="AD83" s="23">
        <f>ROUND($R83*Lookups!$B$19,1)</f>
        <v>13</v>
      </c>
      <c r="AE83" s="27">
        <f t="shared" si="9"/>
        <v>0.81443298969072164</v>
      </c>
      <c r="AF83" s="23" t="str">
        <f>IF($U83&gt;=Lookups!$B$23,"High",IF($U83&gt;=Lookups!$B$22,"Medium","Low"))</f>
        <v>High</v>
      </c>
      <c r="AG83" s="23">
        <f>ROUND(IF($V83="Weekday",IF(INDEX(Hourly_Analysis!$D$5:$D$28,$J83+1)&gt;0,($U83-INDEX(Hourly_Analysis!$C$5:$C$28,$J83+1))/INDEX(Hourly_Analysis!$D$5:$D$28,$J83+1),0),IF(INDEX(Hourly_Analysis!$G$5:$G$28,$J83+1)&gt;0,($U83-INDEX(Hourly_Analysis!$F$5:$F$28,$J83+1))/INDEX(Hourly_Analysis!$G$5:$G$28,$J83+1),0)),2)</f>
        <v>1.54</v>
      </c>
      <c r="AH83" s="23" t="str">
        <f>IF(ABS($AG83)&gt;Lookups!$B$20,IF($AG83&gt;0,"High anomaly","Low anomaly"),"")</f>
        <v/>
      </c>
      <c r="AI83" s="23" t="str">
        <f t="shared" si="10"/>
        <v>OK</v>
      </c>
      <c r="AJ83" s="23" t="str">
        <f t="shared" si="11"/>
        <v>No</v>
      </c>
    </row>
    <row r="84" spans="1:36" x14ac:dyDescent="0.35">
      <c r="A84" s="23">
        <v>83</v>
      </c>
      <c r="B84" s="23" t="str">
        <f t="shared" si="6"/>
        <v>Merge 1+2</v>
      </c>
      <c r="C84" s="23">
        <f>IFERROR(MATCH($A84,Merge_1_2!$A$2:$A$611,0),0)</f>
        <v>83</v>
      </c>
      <c r="D84" s="23">
        <f>IF($C84&gt;0,INDEX(Merge_1_2!$Q$2:$Q$611,$C84),0)</f>
        <v>83</v>
      </c>
      <c r="E84" s="23">
        <f>IFERROR(MATCH($A84,Dataset3_Raw!$A$2:$A$391,0),0)</f>
        <v>0</v>
      </c>
      <c r="F84" s="24">
        <f>IF($C84&gt;0,INDEX(Merge_1_2!$B$2:$B$611,$C84),DATE(VALUE(RIGHT(INDEX(Dataset3_Raw!$B$2:$B$391,$E84),4)),VALUE(MID(INDEX(Dataset3_Raw!$B$2:$B$391,$E84),4,2)),VALUE(LEFT(INDEX(Dataset3_Raw!$B$2:$B$391,$E84),2))))</f>
        <v>40547</v>
      </c>
      <c r="G84" s="23">
        <f>IF($C84&gt;0,INDEX(Merge_1_2!$C$2:$C$611,$C84),INDEX(Dataset3_Raw!$C$2:$C$391,$E84))</f>
        <v>1</v>
      </c>
      <c r="H84" s="23">
        <f>IF($C84&gt;0,INDEX(Merge_1_2!$D$2:$D$611,$C84),INDEX(Dataset3_Raw!$D$2:$D$391,$E84))</f>
        <v>0</v>
      </c>
      <c r="I84" s="23">
        <f>IF($C84&gt;0,INDEX(Merge_1_2!$E$2:$E$611,$C84),INDEX(Dataset3_Raw!$E$2:$E$391,$E84))</f>
        <v>1</v>
      </c>
      <c r="J84" s="23">
        <f>IF($C84&gt;0,INDEX(Merge_1_2!$F$2:$F$611,$C84),INDEX(Dataset3_Raw!$F$2:$F$391,$E84))</f>
        <v>14</v>
      </c>
      <c r="K84" s="23" t="b">
        <f>IF($C84&gt;0,INDEX(Merge_1_2!$G$2:$G$611,$C84),INDEX(Dataset3_Raw!$G$2:$G$391,$E84))</f>
        <v>0</v>
      </c>
      <c r="L84" s="23">
        <f>IF($C84&gt;0,INDEX(Merge_1_2!$H$2:$H$611,$C84),INDEX(Dataset3_Raw!$H$2:$H$391,$E84))</f>
        <v>2</v>
      </c>
      <c r="M84" s="23">
        <f>IF($C84&gt;0,INDEX(Merge_1_2!$I$2:$I$611,$C84),INDEX(Dataset3_Raw!$I$2:$I$391,$E84))</f>
        <v>1</v>
      </c>
      <c r="N84" s="25">
        <f>IF($C84&gt;0,INDEX(Merge_1_2!$J$2:$J$611,$C84),INDEX(Dataset3_Raw!$J$2:$J$391,$E84))</f>
        <v>0.26</v>
      </c>
      <c r="O84" s="25">
        <f>IF($C84&gt;0,IF(ISNUMBER(INDEX(Merge_1_2!$K$2:$K$611,$C84)),INDEX(Merge_1_2!$K$2:$K$611,$C84),""),INDEX(Dataset3_Raw!$K$2:$K$391,$E84))</f>
        <v>0.2576</v>
      </c>
      <c r="P84" s="25">
        <f>IF(ISNUMBER($O84),$O84,ROUND(Lookups!$B$25+Lookups!$B$24*$N84,4))</f>
        <v>0.2576</v>
      </c>
      <c r="Q84" s="25">
        <f>IF($C84&gt;0,INDEX(Merge_1_2!$L$2:$L$611,$C84),INDEX(Dataset3_Raw!$L$2:$L$391,$E84))</f>
        <v>0.52</v>
      </c>
      <c r="R84" s="25">
        <f>IF($C84&gt;0,INDEX(Merge_1_2!$M$2:$M$611,$C84),INDEX(Dataset3_Raw!$M$2:$M$391,$E84))</f>
        <v>0.22389999999999999</v>
      </c>
      <c r="S84" s="23">
        <f>IF($C84&gt;0,INDEX(Merge_1_2!$N$2:$N$611,$C84),INDEX(Dataset3_Raw!$N$2:$N$391,$E84))</f>
        <v>9</v>
      </c>
      <c r="T84" s="23">
        <f>IF($C84&gt;0,INDEX(Merge_1_2!$O$2:$O$611,$C84),INDEX(Dataset3_Raw!$O$2:$O$391,$E84))</f>
        <v>54</v>
      </c>
      <c r="U84" s="23">
        <f>IF($C84&gt;0,INDEX(Merge_1_2!$P$2:$P$611,$C84),INDEX(Dataset3_Raw!$P$2:$P$391,$E84))</f>
        <v>63</v>
      </c>
      <c r="V84" s="23" t="str">
        <f t="shared" si="7"/>
        <v>Weekday</v>
      </c>
      <c r="W84" s="23" t="str">
        <f>VLOOKUP($M84,Lookups!$A$5:$B$8,2,FALSE())</f>
        <v>Clear / Partly cloudy</v>
      </c>
      <c r="X84" s="23" t="str">
        <f>VLOOKUP($G84,Lookups!$D$5:$E$8,2,FALSE())</f>
        <v>Winter</v>
      </c>
      <c r="Y84" s="23" t="str">
        <f>VLOOKUP($L84,Lookups!$G$5:$H$11,2,FALSE())</f>
        <v>Tuesday</v>
      </c>
      <c r="Z84" s="23" t="str">
        <f>IF($J84&lt;Lookups!$B$26,"Night",IF($J84&lt;Lookups!$B$27,"Morning",IF($J84&lt;Lookups!$B$28,"Afternoon","Evening")))</f>
        <v>Afternoon</v>
      </c>
      <c r="AA84" s="26">
        <f>ROUND($N84*(Lookups!$B$16-Lookups!$B$15)+Lookups!$B$15,1)</f>
        <v>4.2</v>
      </c>
      <c r="AB84" s="26">
        <f>ROUND($P84*(Lookups!$B$18-Lookups!$B$17)+Lookups!$B$17,1)</f>
        <v>1</v>
      </c>
      <c r="AC84" s="23">
        <f t="shared" si="8"/>
        <v>52</v>
      </c>
      <c r="AD84" s="23">
        <f>ROUND($R84*Lookups!$B$19,1)</f>
        <v>15</v>
      </c>
      <c r="AE84" s="27">
        <f t="shared" si="9"/>
        <v>0.8571428571428571</v>
      </c>
      <c r="AF84" s="23" t="str">
        <f>IF($U84&gt;=Lookups!$B$23,"High",IF($U84&gt;=Lookups!$B$22,"Medium","Low"))</f>
        <v>Medium</v>
      </c>
      <c r="AG84" s="23">
        <f>ROUND(IF($V84="Weekday",IF(INDEX(Hourly_Analysis!$D$5:$D$28,$J84+1)&gt;0,($U84-INDEX(Hourly_Analysis!$C$5:$C$28,$J84+1))/INDEX(Hourly_Analysis!$D$5:$D$28,$J84+1),0),IF(INDEX(Hourly_Analysis!$G$5:$G$28,$J84+1)&gt;0,($U84-INDEX(Hourly_Analysis!$F$5:$F$28,$J84+1))/INDEX(Hourly_Analysis!$G$5:$G$28,$J84+1),0)),2)</f>
        <v>0.21</v>
      </c>
      <c r="AH84" s="23" t="str">
        <f>IF(ABS($AG84)&gt;Lookups!$B$20,IF($AG84&gt;0,"High anomaly","Low anomaly"),"")</f>
        <v/>
      </c>
      <c r="AI84" s="23" t="str">
        <f t="shared" si="10"/>
        <v>OK</v>
      </c>
      <c r="AJ84" s="23" t="str">
        <f t="shared" si="11"/>
        <v>No</v>
      </c>
    </row>
    <row r="85" spans="1:36" x14ac:dyDescent="0.35">
      <c r="A85" s="23">
        <v>84</v>
      </c>
      <c r="B85" s="23" t="str">
        <f t="shared" si="6"/>
        <v>Merge 1+2</v>
      </c>
      <c r="C85" s="23">
        <f>IFERROR(MATCH($A85,Merge_1_2!$A$2:$A$611,0),0)</f>
        <v>84</v>
      </c>
      <c r="D85" s="23">
        <f>IF($C85&gt;0,INDEX(Merge_1_2!$Q$2:$Q$611,$C85),0)</f>
        <v>84</v>
      </c>
      <c r="E85" s="23">
        <f>IFERROR(MATCH($A85,Dataset3_Raw!$A$2:$A$391,0),0)</f>
        <v>0</v>
      </c>
      <c r="F85" s="24">
        <f>IF($C85&gt;0,INDEX(Merge_1_2!$B$2:$B$611,$C85),DATE(VALUE(RIGHT(INDEX(Dataset3_Raw!$B$2:$B$391,$E85),4)),VALUE(MID(INDEX(Dataset3_Raw!$B$2:$B$391,$E85),4,2)),VALUE(LEFT(INDEX(Dataset3_Raw!$B$2:$B$391,$E85),2))))</f>
        <v>40547</v>
      </c>
      <c r="G85" s="23">
        <f>IF($C85&gt;0,INDEX(Merge_1_2!$C$2:$C$611,$C85),INDEX(Dataset3_Raw!$C$2:$C$391,$E85))</f>
        <v>1</v>
      </c>
      <c r="H85" s="23">
        <f>IF($C85&gt;0,INDEX(Merge_1_2!$D$2:$D$611,$C85),INDEX(Dataset3_Raw!$D$2:$D$391,$E85))</f>
        <v>0</v>
      </c>
      <c r="I85" s="23">
        <f>IF($C85&gt;0,INDEX(Merge_1_2!$E$2:$E$611,$C85),INDEX(Dataset3_Raw!$E$2:$E$391,$E85))</f>
        <v>1</v>
      </c>
      <c r="J85" s="23">
        <f>IF($C85&gt;0,INDEX(Merge_1_2!$F$2:$F$611,$C85),INDEX(Dataset3_Raw!$F$2:$F$391,$E85))</f>
        <v>15</v>
      </c>
      <c r="K85" s="23" t="b">
        <f>IF($C85&gt;0,INDEX(Merge_1_2!$G$2:$G$611,$C85),INDEX(Dataset3_Raw!$G$2:$G$391,$E85))</f>
        <v>0</v>
      </c>
      <c r="L85" s="23">
        <f>IF($C85&gt;0,INDEX(Merge_1_2!$H$2:$H$611,$C85),INDEX(Dataset3_Raw!$H$2:$H$391,$E85))</f>
        <v>2</v>
      </c>
      <c r="M85" s="23">
        <f>IF($C85&gt;0,INDEX(Merge_1_2!$I$2:$I$611,$C85),INDEX(Dataset3_Raw!$I$2:$I$391,$E85))</f>
        <v>1</v>
      </c>
      <c r="N85" s="25">
        <f>IF($C85&gt;0,INDEX(Merge_1_2!$J$2:$J$611,$C85),INDEX(Dataset3_Raw!$J$2:$J$391,$E85))</f>
        <v>0.28000000000000003</v>
      </c>
      <c r="O85" s="25">
        <f>IF($C85&gt;0,IF(ISNUMBER(INDEX(Merge_1_2!$K$2:$K$611,$C85)),INDEX(Merge_1_2!$K$2:$K$611,$C85),""),INDEX(Dataset3_Raw!$K$2:$K$391,$E85))</f>
        <v>0.2727</v>
      </c>
      <c r="P85" s="25">
        <f>IF(ISNUMBER($O85),$O85,ROUND(Lookups!$B$25+Lookups!$B$24*$N85,4))</f>
        <v>0.2727</v>
      </c>
      <c r="Q85" s="25">
        <f>IF($C85&gt;0,INDEX(Merge_1_2!$L$2:$L$611,$C85),INDEX(Dataset3_Raw!$L$2:$L$391,$E85))</f>
        <v>0.52</v>
      </c>
      <c r="R85" s="25">
        <f>IF($C85&gt;0,INDEX(Merge_1_2!$M$2:$M$611,$C85),INDEX(Dataset3_Raw!$M$2:$M$391,$E85))</f>
        <v>0.25369999999999998</v>
      </c>
      <c r="S85" s="23">
        <f>IF($C85&gt;0,INDEX(Merge_1_2!$N$2:$N$611,$C85),INDEX(Dataset3_Raw!$N$2:$N$391,$E85))</f>
        <v>17</v>
      </c>
      <c r="T85" s="23">
        <f>IF($C85&gt;0,INDEX(Merge_1_2!$O$2:$O$611,$C85),INDEX(Dataset3_Raw!$O$2:$O$391,$E85))</f>
        <v>48</v>
      </c>
      <c r="U85" s="23">
        <f>IF($C85&gt;0,INDEX(Merge_1_2!$P$2:$P$611,$C85),INDEX(Dataset3_Raw!$P$2:$P$391,$E85))</f>
        <v>65</v>
      </c>
      <c r="V85" s="23" t="str">
        <f t="shared" si="7"/>
        <v>Weekday</v>
      </c>
      <c r="W85" s="23" t="str">
        <f>VLOOKUP($M85,Lookups!$A$5:$B$8,2,FALSE())</f>
        <v>Clear / Partly cloudy</v>
      </c>
      <c r="X85" s="23" t="str">
        <f>VLOOKUP($G85,Lookups!$D$5:$E$8,2,FALSE())</f>
        <v>Winter</v>
      </c>
      <c r="Y85" s="23" t="str">
        <f>VLOOKUP($L85,Lookups!$G$5:$H$11,2,FALSE())</f>
        <v>Tuesday</v>
      </c>
      <c r="Z85" s="23" t="str">
        <f>IF($J85&lt;Lookups!$B$26,"Night",IF($J85&lt;Lookups!$B$27,"Morning",IF($J85&lt;Lookups!$B$28,"Afternoon","Evening")))</f>
        <v>Afternoon</v>
      </c>
      <c r="AA85" s="26">
        <f>ROUND($N85*(Lookups!$B$16-Lookups!$B$15)+Lookups!$B$15,1)</f>
        <v>5.2</v>
      </c>
      <c r="AB85" s="26">
        <f>ROUND($P85*(Lookups!$B$18-Lookups!$B$17)+Lookups!$B$17,1)</f>
        <v>2</v>
      </c>
      <c r="AC85" s="23">
        <f t="shared" si="8"/>
        <v>52</v>
      </c>
      <c r="AD85" s="23">
        <f>ROUND($R85*Lookups!$B$19,1)</f>
        <v>17</v>
      </c>
      <c r="AE85" s="27">
        <f t="shared" si="9"/>
        <v>0.7384615384615385</v>
      </c>
      <c r="AF85" s="23" t="str">
        <f>IF($U85&gt;=Lookups!$B$23,"High",IF($U85&gt;=Lookups!$B$22,"Medium","Low"))</f>
        <v>Medium</v>
      </c>
      <c r="AG85" s="23">
        <f>ROUND(IF($V85="Weekday",IF(INDEX(Hourly_Analysis!$D$5:$D$28,$J85+1)&gt;0,($U85-INDEX(Hourly_Analysis!$C$5:$C$28,$J85+1))/INDEX(Hourly_Analysis!$D$5:$D$28,$J85+1),0),IF(INDEX(Hourly_Analysis!$G$5:$G$28,$J85+1)&gt;0,($U85-INDEX(Hourly_Analysis!$F$5:$F$28,$J85+1))/INDEX(Hourly_Analysis!$G$5:$G$28,$J85+1),0)),2)</f>
        <v>0.33</v>
      </c>
      <c r="AH85" s="23" t="str">
        <f>IF(ABS($AG85)&gt;Lookups!$B$20,IF($AG85&gt;0,"High anomaly","Low anomaly"),"")</f>
        <v/>
      </c>
      <c r="AI85" s="23" t="str">
        <f t="shared" si="10"/>
        <v>OK</v>
      </c>
      <c r="AJ85" s="23" t="str">
        <f t="shared" si="11"/>
        <v>No</v>
      </c>
    </row>
    <row r="86" spans="1:36" x14ac:dyDescent="0.35">
      <c r="A86" s="23">
        <v>85</v>
      </c>
      <c r="B86" s="23" t="str">
        <f t="shared" si="6"/>
        <v>Merge 1+2</v>
      </c>
      <c r="C86" s="23">
        <f>IFERROR(MATCH($A86,Merge_1_2!$A$2:$A$611,0),0)</f>
        <v>85</v>
      </c>
      <c r="D86" s="23">
        <f>IF($C86&gt;0,INDEX(Merge_1_2!$Q$2:$Q$611,$C86),0)</f>
        <v>85</v>
      </c>
      <c r="E86" s="23">
        <f>IFERROR(MATCH($A86,Dataset3_Raw!$A$2:$A$391,0),0)</f>
        <v>0</v>
      </c>
      <c r="F86" s="24">
        <f>IF($C86&gt;0,INDEX(Merge_1_2!$B$2:$B$611,$C86),DATE(VALUE(RIGHT(INDEX(Dataset3_Raw!$B$2:$B$391,$E86),4)),VALUE(MID(INDEX(Dataset3_Raw!$B$2:$B$391,$E86),4,2)),VALUE(LEFT(INDEX(Dataset3_Raw!$B$2:$B$391,$E86),2))))</f>
        <v>40547</v>
      </c>
      <c r="G86" s="23">
        <f>IF($C86&gt;0,INDEX(Merge_1_2!$C$2:$C$611,$C86),INDEX(Dataset3_Raw!$C$2:$C$391,$E86))</f>
        <v>1</v>
      </c>
      <c r="H86" s="23">
        <f>IF($C86&gt;0,INDEX(Merge_1_2!$D$2:$D$611,$C86),INDEX(Dataset3_Raw!$D$2:$D$391,$E86))</f>
        <v>0</v>
      </c>
      <c r="I86" s="23">
        <f>IF($C86&gt;0,INDEX(Merge_1_2!$E$2:$E$611,$C86),INDEX(Dataset3_Raw!$E$2:$E$391,$E86))</f>
        <v>1</v>
      </c>
      <c r="J86" s="23">
        <f>IF($C86&gt;0,INDEX(Merge_1_2!$F$2:$F$611,$C86),INDEX(Dataset3_Raw!$F$2:$F$391,$E86))</f>
        <v>16</v>
      </c>
      <c r="K86" s="23" t="b">
        <f>IF($C86&gt;0,INDEX(Merge_1_2!$G$2:$G$611,$C86),INDEX(Dataset3_Raw!$G$2:$G$391,$E86))</f>
        <v>0</v>
      </c>
      <c r="L86" s="23">
        <f>IF($C86&gt;0,INDEX(Merge_1_2!$H$2:$H$611,$C86),INDEX(Dataset3_Raw!$H$2:$H$391,$E86))</f>
        <v>2</v>
      </c>
      <c r="M86" s="23">
        <f>IF($C86&gt;0,INDEX(Merge_1_2!$I$2:$I$611,$C86),INDEX(Dataset3_Raw!$I$2:$I$391,$E86))</f>
        <v>1</v>
      </c>
      <c r="N86" s="25">
        <f>IF($C86&gt;0,INDEX(Merge_1_2!$J$2:$J$611,$C86),INDEX(Dataset3_Raw!$J$2:$J$391,$E86))</f>
        <v>0.3</v>
      </c>
      <c r="O86" s="25">
        <f>IF($C86&gt;0,IF(ISNUMBER(INDEX(Merge_1_2!$K$2:$K$611,$C86)),INDEX(Merge_1_2!$K$2:$K$611,$C86),""),INDEX(Dataset3_Raw!$K$2:$K$391,$E86))</f>
        <v>0.28789999999999999</v>
      </c>
      <c r="P86" s="25">
        <f>IF(ISNUMBER($O86),$O86,ROUND(Lookups!$B$25+Lookups!$B$24*$N86,4))</f>
        <v>0.28789999999999999</v>
      </c>
      <c r="Q86" s="25">
        <f>IF($C86&gt;0,INDEX(Merge_1_2!$L$2:$L$611,$C86),INDEX(Dataset3_Raw!$L$2:$L$391,$E86))</f>
        <v>0.49</v>
      </c>
      <c r="R86" s="25">
        <f>IF($C86&gt;0,INDEX(Merge_1_2!$M$2:$M$611,$C86),INDEX(Dataset3_Raw!$M$2:$M$391,$E86))</f>
        <v>0.25369999999999998</v>
      </c>
      <c r="S86" s="23">
        <f>IF($C86&gt;0,INDEX(Merge_1_2!$N$2:$N$611,$C86),INDEX(Dataset3_Raw!$N$2:$N$391,$E86))</f>
        <v>15</v>
      </c>
      <c r="T86" s="23">
        <f>IF($C86&gt;0,INDEX(Merge_1_2!$O$2:$O$611,$C86),INDEX(Dataset3_Raw!$O$2:$O$391,$E86))</f>
        <v>68</v>
      </c>
      <c r="U86" s="23">
        <f>IF($C86&gt;0,INDEX(Merge_1_2!$P$2:$P$611,$C86),INDEX(Dataset3_Raw!$P$2:$P$391,$E86))</f>
        <v>83</v>
      </c>
      <c r="V86" s="23" t="str">
        <f t="shared" si="7"/>
        <v>Weekday</v>
      </c>
      <c r="W86" s="23" t="str">
        <f>VLOOKUP($M86,Lookups!$A$5:$B$8,2,FALSE())</f>
        <v>Clear / Partly cloudy</v>
      </c>
      <c r="X86" s="23" t="str">
        <f>VLOOKUP($G86,Lookups!$D$5:$E$8,2,FALSE())</f>
        <v>Winter</v>
      </c>
      <c r="Y86" s="23" t="str">
        <f>VLOOKUP($L86,Lookups!$G$5:$H$11,2,FALSE())</f>
        <v>Tuesday</v>
      </c>
      <c r="Z86" s="23" t="str">
        <f>IF($J86&lt;Lookups!$B$26,"Night",IF($J86&lt;Lookups!$B$27,"Morning",IF($J86&lt;Lookups!$B$28,"Afternoon","Evening")))</f>
        <v>Afternoon</v>
      </c>
      <c r="AA86" s="26">
        <f>ROUND($N86*(Lookups!$B$16-Lookups!$B$15)+Lookups!$B$15,1)</f>
        <v>6.1</v>
      </c>
      <c r="AB86" s="26">
        <f>ROUND($P86*(Lookups!$B$18-Lookups!$B$17)+Lookups!$B$17,1)</f>
        <v>3</v>
      </c>
      <c r="AC86" s="23">
        <f t="shared" si="8"/>
        <v>49</v>
      </c>
      <c r="AD86" s="23">
        <f>ROUND($R86*Lookups!$B$19,1)</f>
        <v>17</v>
      </c>
      <c r="AE86" s="27">
        <f t="shared" si="9"/>
        <v>0.81927710843373491</v>
      </c>
      <c r="AF86" s="23" t="str">
        <f>IF($U86&gt;=Lookups!$B$23,"High",IF($U86&gt;=Lookups!$B$22,"Medium","Low"))</f>
        <v>High</v>
      </c>
      <c r="AG86" s="23">
        <f>ROUND(IF($V86="Weekday",IF(INDEX(Hourly_Analysis!$D$5:$D$28,$J86+1)&gt;0,($U86-INDEX(Hourly_Analysis!$C$5:$C$28,$J86+1))/INDEX(Hourly_Analysis!$D$5:$D$28,$J86+1),0),IF(INDEX(Hourly_Analysis!$G$5:$G$28,$J86+1)&gt;0,($U86-INDEX(Hourly_Analysis!$F$5:$F$28,$J86+1))/INDEX(Hourly_Analysis!$G$5:$G$28,$J86+1),0)),2)</f>
        <v>0.02</v>
      </c>
      <c r="AH86" s="23" t="str">
        <f>IF(ABS($AG86)&gt;Lookups!$B$20,IF($AG86&gt;0,"High anomaly","Low anomaly"),"")</f>
        <v/>
      </c>
      <c r="AI86" s="23" t="str">
        <f t="shared" si="10"/>
        <v>OK</v>
      </c>
      <c r="AJ86" s="23" t="str">
        <f t="shared" si="11"/>
        <v>No</v>
      </c>
    </row>
    <row r="87" spans="1:36" x14ac:dyDescent="0.35">
      <c r="A87" s="23">
        <v>86</v>
      </c>
      <c r="B87" s="23" t="str">
        <f t="shared" si="6"/>
        <v>Merge 1+2</v>
      </c>
      <c r="C87" s="23">
        <f>IFERROR(MATCH($A87,Merge_1_2!$A$2:$A$611,0),0)</f>
        <v>86</v>
      </c>
      <c r="D87" s="23">
        <f>IF($C87&gt;0,INDEX(Merge_1_2!$Q$2:$Q$611,$C87),0)</f>
        <v>86</v>
      </c>
      <c r="E87" s="23">
        <f>IFERROR(MATCH($A87,Dataset3_Raw!$A$2:$A$391,0),0)</f>
        <v>0</v>
      </c>
      <c r="F87" s="24">
        <f>IF($C87&gt;0,INDEX(Merge_1_2!$B$2:$B$611,$C87),DATE(VALUE(RIGHT(INDEX(Dataset3_Raw!$B$2:$B$391,$E87),4)),VALUE(MID(INDEX(Dataset3_Raw!$B$2:$B$391,$E87),4,2)),VALUE(LEFT(INDEX(Dataset3_Raw!$B$2:$B$391,$E87),2))))</f>
        <v>40547</v>
      </c>
      <c r="G87" s="23">
        <f>IF($C87&gt;0,INDEX(Merge_1_2!$C$2:$C$611,$C87),INDEX(Dataset3_Raw!$C$2:$C$391,$E87))</f>
        <v>1</v>
      </c>
      <c r="H87" s="23">
        <f>IF($C87&gt;0,INDEX(Merge_1_2!$D$2:$D$611,$C87),INDEX(Dataset3_Raw!$D$2:$D$391,$E87))</f>
        <v>0</v>
      </c>
      <c r="I87" s="23">
        <f>IF($C87&gt;0,INDEX(Merge_1_2!$E$2:$E$611,$C87),INDEX(Dataset3_Raw!$E$2:$E$391,$E87))</f>
        <v>1</v>
      </c>
      <c r="J87" s="23">
        <f>IF($C87&gt;0,INDEX(Merge_1_2!$F$2:$F$611,$C87),INDEX(Dataset3_Raw!$F$2:$F$391,$E87))</f>
        <v>17</v>
      </c>
      <c r="K87" s="23" t="b">
        <f>IF($C87&gt;0,INDEX(Merge_1_2!$G$2:$G$611,$C87),INDEX(Dataset3_Raw!$G$2:$G$391,$E87))</f>
        <v>0</v>
      </c>
      <c r="L87" s="23">
        <f>IF($C87&gt;0,INDEX(Merge_1_2!$H$2:$H$611,$C87),INDEX(Dataset3_Raw!$H$2:$H$391,$E87))</f>
        <v>2</v>
      </c>
      <c r="M87" s="23">
        <f>IF($C87&gt;0,INDEX(Merge_1_2!$I$2:$I$611,$C87),INDEX(Dataset3_Raw!$I$2:$I$391,$E87))</f>
        <v>1</v>
      </c>
      <c r="N87" s="25">
        <f>IF($C87&gt;0,INDEX(Merge_1_2!$J$2:$J$611,$C87),INDEX(Dataset3_Raw!$J$2:$J$391,$E87))</f>
        <v>0.28000000000000003</v>
      </c>
      <c r="O87" s="25">
        <f>IF($C87&gt;0,IF(ISNUMBER(INDEX(Merge_1_2!$K$2:$K$611,$C87)),INDEX(Merge_1_2!$K$2:$K$611,$C87),""),INDEX(Dataset3_Raw!$K$2:$K$391,$E87))</f>
        <v>0.2727</v>
      </c>
      <c r="P87" s="25">
        <f>IF(ISNUMBER($O87),$O87,ROUND(Lookups!$B$25+Lookups!$B$24*$N87,4))</f>
        <v>0.2727</v>
      </c>
      <c r="Q87" s="25">
        <f>IF($C87&gt;0,INDEX(Merge_1_2!$L$2:$L$611,$C87),INDEX(Dataset3_Raw!$L$2:$L$391,$E87))</f>
        <v>0.48</v>
      </c>
      <c r="R87" s="25">
        <f>IF($C87&gt;0,INDEX(Merge_1_2!$M$2:$M$611,$C87),INDEX(Dataset3_Raw!$M$2:$M$391,$E87))</f>
        <v>0.22389999999999999</v>
      </c>
      <c r="S87" s="23">
        <f>IF($C87&gt;0,INDEX(Merge_1_2!$N$2:$N$611,$C87),INDEX(Dataset3_Raw!$N$2:$N$391,$E87))</f>
        <v>10</v>
      </c>
      <c r="T87" s="23">
        <f>IF($C87&gt;0,INDEX(Merge_1_2!$O$2:$O$611,$C87),INDEX(Dataset3_Raw!$O$2:$O$391,$E87))</f>
        <v>202</v>
      </c>
      <c r="U87" s="23">
        <f>IF($C87&gt;0,INDEX(Merge_1_2!$P$2:$P$611,$C87),INDEX(Dataset3_Raw!$P$2:$P$391,$E87))</f>
        <v>212</v>
      </c>
      <c r="V87" s="23" t="str">
        <f t="shared" si="7"/>
        <v>Weekday</v>
      </c>
      <c r="W87" s="23" t="str">
        <f>VLOOKUP($M87,Lookups!$A$5:$B$8,2,FALSE())</f>
        <v>Clear / Partly cloudy</v>
      </c>
      <c r="X87" s="23" t="str">
        <f>VLOOKUP($G87,Lookups!$D$5:$E$8,2,FALSE())</f>
        <v>Winter</v>
      </c>
      <c r="Y87" s="23" t="str">
        <f>VLOOKUP($L87,Lookups!$G$5:$H$11,2,FALSE())</f>
        <v>Tuesday</v>
      </c>
      <c r="Z87" s="23" t="str">
        <f>IF($J87&lt;Lookups!$B$26,"Night",IF($J87&lt;Lookups!$B$27,"Morning",IF($J87&lt;Lookups!$B$28,"Afternoon","Evening")))</f>
        <v>Afternoon</v>
      </c>
      <c r="AA87" s="26">
        <f>ROUND($N87*(Lookups!$B$16-Lookups!$B$15)+Lookups!$B$15,1)</f>
        <v>5.2</v>
      </c>
      <c r="AB87" s="26">
        <f>ROUND($P87*(Lookups!$B$18-Lookups!$B$17)+Lookups!$B$17,1)</f>
        <v>2</v>
      </c>
      <c r="AC87" s="23">
        <f t="shared" si="8"/>
        <v>48</v>
      </c>
      <c r="AD87" s="23">
        <f>ROUND($R87*Lookups!$B$19,1)</f>
        <v>15</v>
      </c>
      <c r="AE87" s="27">
        <f t="shared" si="9"/>
        <v>0.95283018867924529</v>
      </c>
      <c r="AF87" s="23" t="str">
        <f>IF($U87&gt;=Lookups!$B$23,"High",IF($U87&gt;=Lookups!$B$22,"Medium","Low"))</f>
        <v>High</v>
      </c>
      <c r="AG87" s="23">
        <f>ROUND(IF($V87="Weekday",IF(INDEX(Hourly_Analysis!$D$5:$D$28,$J87+1)&gt;0,($U87-INDEX(Hourly_Analysis!$C$5:$C$28,$J87+1))/INDEX(Hourly_Analysis!$D$5:$D$28,$J87+1),0),IF(INDEX(Hourly_Analysis!$G$5:$G$28,$J87+1)&gt;0,($U87-INDEX(Hourly_Analysis!$F$5:$F$28,$J87+1))/INDEX(Hourly_Analysis!$G$5:$G$28,$J87+1),0)),2)</f>
        <v>1.05</v>
      </c>
      <c r="AH87" s="23" t="str">
        <f>IF(ABS($AG87)&gt;Lookups!$B$20,IF($AG87&gt;0,"High anomaly","Low anomaly"),"")</f>
        <v/>
      </c>
      <c r="AI87" s="23" t="str">
        <f t="shared" si="10"/>
        <v>OK</v>
      </c>
      <c r="AJ87" s="23" t="str">
        <f t="shared" si="11"/>
        <v>No</v>
      </c>
    </row>
    <row r="88" spans="1:36" x14ac:dyDescent="0.35">
      <c r="A88" s="23">
        <v>87</v>
      </c>
      <c r="B88" s="23" t="str">
        <f t="shared" si="6"/>
        <v>Merge 1+2</v>
      </c>
      <c r="C88" s="23">
        <f>IFERROR(MATCH($A88,Merge_1_2!$A$2:$A$611,0),0)</f>
        <v>87</v>
      </c>
      <c r="D88" s="23">
        <f>IF($C88&gt;0,INDEX(Merge_1_2!$Q$2:$Q$611,$C88),0)</f>
        <v>87</v>
      </c>
      <c r="E88" s="23">
        <f>IFERROR(MATCH($A88,Dataset3_Raw!$A$2:$A$391,0),0)</f>
        <v>0</v>
      </c>
      <c r="F88" s="24">
        <f>IF($C88&gt;0,INDEX(Merge_1_2!$B$2:$B$611,$C88),DATE(VALUE(RIGHT(INDEX(Dataset3_Raw!$B$2:$B$391,$E88),4)),VALUE(MID(INDEX(Dataset3_Raw!$B$2:$B$391,$E88),4,2)),VALUE(LEFT(INDEX(Dataset3_Raw!$B$2:$B$391,$E88),2))))</f>
        <v>40547</v>
      </c>
      <c r="G88" s="23">
        <f>IF($C88&gt;0,INDEX(Merge_1_2!$C$2:$C$611,$C88),INDEX(Dataset3_Raw!$C$2:$C$391,$E88))</f>
        <v>1</v>
      </c>
      <c r="H88" s="23">
        <f>IF($C88&gt;0,INDEX(Merge_1_2!$D$2:$D$611,$C88),INDEX(Dataset3_Raw!$D$2:$D$391,$E88))</f>
        <v>0</v>
      </c>
      <c r="I88" s="23">
        <f>IF($C88&gt;0,INDEX(Merge_1_2!$E$2:$E$611,$C88),INDEX(Dataset3_Raw!$E$2:$E$391,$E88))</f>
        <v>1</v>
      </c>
      <c r="J88" s="23">
        <f>IF($C88&gt;0,INDEX(Merge_1_2!$F$2:$F$611,$C88),INDEX(Dataset3_Raw!$F$2:$F$391,$E88))</f>
        <v>18</v>
      </c>
      <c r="K88" s="23" t="b">
        <f>IF($C88&gt;0,INDEX(Merge_1_2!$G$2:$G$611,$C88),INDEX(Dataset3_Raw!$G$2:$G$391,$E88))</f>
        <v>0</v>
      </c>
      <c r="L88" s="23">
        <f>IF($C88&gt;0,INDEX(Merge_1_2!$H$2:$H$611,$C88),INDEX(Dataset3_Raw!$H$2:$H$391,$E88))</f>
        <v>2</v>
      </c>
      <c r="M88" s="23">
        <f>IF($C88&gt;0,INDEX(Merge_1_2!$I$2:$I$611,$C88),INDEX(Dataset3_Raw!$I$2:$I$391,$E88))</f>
        <v>1</v>
      </c>
      <c r="N88" s="25">
        <f>IF($C88&gt;0,INDEX(Merge_1_2!$J$2:$J$611,$C88),INDEX(Dataset3_Raw!$J$2:$J$391,$E88))</f>
        <v>0.26</v>
      </c>
      <c r="O88" s="25">
        <f>IF($C88&gt;0,IF(ISNUMBER(INDEX(Merge_1_2!$K$2:$K$611,$C88)),INDEX(Merge_1_2!$K$2:$K$611,$C88),""),INDEX(Dataset3_Raw!$K$2:$K$391,$E88))</f>
        <v>0.2576</v>
      </c>
      <c r="P88" s="25">
        <f>IF(ISNUMBER($O88),$O88,ROUND(Lookups!$B$25+Lookups!$B$24*$N88,4))</f>
        <v>0.2576</v>
      </c>
      <c r="Q88" s="25">
        <f>IF($C88&gt;0,INDEX(Merge_1_2!$L$2:$L$611,$C88),INDEX(Dataset3_Raw!$L$2:$L$391,$E88))</f>
        <v>0.48</v>
      </c>
      <c r="R88" s="25">
        <f>IF($C88&gt;0,INDEX(Merge_1_2!$M$2:$M$611,$C88),INDEX(Dataset3_Raw!$M$2:$M$391,$E88))</f>
        <v>0.19400000000000001</v>
      </c>
      <c r="S88" s="23">
        <f>IF($C88&gt;0,INDEX(Merge_1_2!$N$2:$N$611,$C88),INDEX(Dataset3_Raw!$N$2:$N$391,$E88))</f>
        <v>3</v>
      </c>
      <c r="T88" s="23">
        <f>IF($C88&gt;0,INDEX(Merge_1_2!$O$2:$O$611,$C88),INDEX(Dataset3_Raw!$O$2:$O$391,$E88))</f>
        <v>179</v>
      </c>
      <c r="U88" s="23">
        <f>IF($C88&gt;0,INDEX(Merge_1_2!$P$2:$P$611,$C88),INDEX(Dataset3_Raw!$P$2:$P$391,$E88))</f>
        <v>182</v>
      </c>
      <c r="V88" s="23" t="str">
        <f t="shared" si="7"/>
        <v>Weekday</v>
      </c>
      <c r="W88" s="23" t="str">
        <f>VLOOKUP($M88,Lookups!$A$5:$B$8,2,FALSE())</f>
        <v>Clear / Partly cloudy</v>
      </c>
      <c r="X88" s="23" t="str">
        <f>VLOOKUP($G88,Lookups!$D$5:$E$8,2,FALSE())</f>
        <v>Winter</v>
      </c>
      <c r="Y88" s="23" t="str">
        <f>VLOOKUP($L88,Lookups!$G$5:$H$11,2,FALSE())</f>
        <v>Tuesday</v>
      </c>
      <c r="Z88" s="23" t="str">
        <f>IF($J88&lt;Lookups!$B$26,"Night",IF($J88&lt;Lookups!$B$27,"Morning",IF($J88&lt;Lookups!$B$28,"Afternoon","Evening")))</f>
        <v>Evening</v>
      </c>
      <c r="AA88" s="26">
        <f>ROUND($N88*(Lookups!$B$16-Lookups!$B$15)+Lookups!$B$15,1)</f>
        <v>4.2</v>
      </c>
      <c r="AB88" s="26">
        <f>ROUND($P88*(Lookups!$B$18-Lookups!$B$17)+Lookups!$B$17,1)</f>
        <v>1</v>
      </c>
      <c r="AC88" s="23">
        <f t="shared" si="8"/>
        <v>48</v>
      </c>
      <c r="AD88" s="23">
        <f>ROUND($R88*Lookups!$B$19,1)</f>
        <v>13</v>
      </c>
      <c r="AE88" s="27">
        <f t="shared" si="9"/>
        <v>0.98351648351648346</v>
      </c>
      <c r="AF88" s="23" t="str">
        <f>IF($U88&gt;=Lookups!$B$23,"High",IF($U88&gt;=Lookups!$B$22,"Medium","Low"))</f>
        <v>High</v>
      </c>
      <c r="AG88" s="23">
        <f>ROUND(IF($V88="Weekday",IF(INDEX(Hourly_Analysis!$D$5:$D$28,$J88+1)&gt;0,($U88-INDEX(Hourly_Analysis!$C$5:$C$28,$J88+1))/INDEX(Hourly_Analysis!$D$5:$D$28,$J88+1),0),IF(INDEX(Hourly_Analysis!$G$5:$G$28,$J88+1)&gt;0,($U88-INDEX(Hourly_Analysis!$F$5:$F$28,$J88+1))/INDEX(Hourly_Analysis!$G$5:$G$28,$J88+1),0)),2)</f>
        <v>1.04</v>
      </c>
      <c r="AH88" s="23" t="str">
        <f>IF(ABS($AG88)&gt;Lookups!$B$20,IF($AG88&gt;0,"High anomaly","Low anomaly"),"")</f>
        <v/>
      </c>
      <c r="AI88" s="23" t="str">
        <f t="shared" si="10"/>
        <v>OK</v>
      </c>
      <c r="AJ88" s="23" t="str">
        <f t="shared" si="11"/>
        <v>No</v>
      </c>
    </row>
    <row r="89" spans="1:36" x14ac:dyDescent="0.35">
      <c r="A89" s="23">
        <v>88</v>
      </c>
      <c r="B89" s="23" t="str">
        <f t="shared" si="6"/>
        <v>Merge 1+2</v>
      </c>
      <c r="C89" s="23">
        <f>IFERROR(MATCH($A89,Merge_1_2!$A$2:$A$611,0),0)</f>
        <v>88</v>
      </c>
      <c r="D89" s="23">
        <f>IF($C89&gt;0,INDEX(Merge_1_2!$Q$2:$Q$611,$C89),0)</f>
        <v>88</v>
      </c>
      <c r="E89" s="23">
        <f>IFERROR(MATCH($A89,Dataset3_Raw!$A$2:$A$391,0),0)</f>
        <v>0</v>
      </c>
      <c r="F89" s="24">
        <f>IF($C89&gt;0,INDEX(Merge_1_2!$B$2:$B$611,$C89),DATE(VALUE(RIGHT(INDEX(Dataset3_Raw!$B$2:$B$391,$E89),4)),VALUE(MID(INDEX(Dataset3_Raw!$B$2:$B$391,$E89),4,2)),VALUE(LEFT(INDEX(Dataset3_Raw!$B$2:$B$391,$E89),2))))</f>
        <v>40547</v>
      </c>
      <c r="G89" s="23">
        <f>IF($C89&gt;0,INDEX(Merge_1_2!$C$2:$C$611,$C89),INDEX(Dataset3_Raw!$C$2:$C$391,$E89))</f>
        <v>1</v>
      </c>
      <c r="H89" s="23">
        <f>IF($C89&gt;0,INDEX(Merge_1_2!$D$2:$D$611,$C89),INDEX(Dataset3_Raw!$D$2:$D$391,$E89))</f>
        <v>0</v>
      </c>
      <c r="I89" s="23">
        <f>IF($C89&gt;0,INDEX(Merge_1_2!$E$2:$E$611,$C89),INDEX(Dataset3_Raw!$E$2:$E$391,$E89))</f>
        <v>1</v>
      </c>
      <c r="J89" s="23">
        <f>IF($C89&gt;0,INDEX(Merge_1_2!$F$2:$F$611,$C89),INDEX(Dataset3_Raw!$F$2:$F$391,$E89))</f>
        <v>19</v>
      </c>
      <c r="K89" s="23" t="b">
        <f>IF($C89&gt;0,INDEX(Merge_1_2!$G$2:$G$611,$C89),INDEX(Dataset3_Raw!$G$2:$G$391,$E89))</f>
        <v>0</v>
      </c>
      <c r="L89" s="23">
        <f>IF($C89&gt;0,INDEX(Merge_1_2!$H$2:$H$611,$C89),INDEX(Dataset3_Raw!$H$2:$H$391,$E89))</f>
        <v>2</v>
      </c>
      <c r="M89" s="23">
        <f>IF($C89&gt;0,INDEX(Merge_1_2!$I$2:$I$611,$C89),INDEX(Dataset3_Raw!$I$2:$I$391,$E89))</f>
        <v>1</v>
      </c>
      <c r="N89" s="25">
        <f>IF($C89&gt;0,INDEX(Merge_1_2!$J$2:$J$611,$C89),INDEX(Dataset3_Raw!$J$2:$J$391,$E89))</f>
        <v>0.24</v>
      </c>
      <c r="O89" s="25">
        <f>IF($C89&gt;0,IF(ISNUMBER(INDEX(Merge_1_2!$K$2:$K$611,$C89)),INDEX(Merge_1_2!$K$2:$K$611,$C89),""),INDEX(Dataset3_Raw!$K$2:$K$391,$E89))</f>
        <v>0.2576</v>
      </c>
      <c r="P89" s="25">
        <f>IF(ISNUMBER($O89),$O89,ROUND(Lookups!$B$25+Lookups!$B$24*$N89,4))</f>
        <v>0.2576</v>
      </c>
      <c r="Q89" s="25">
        <f>IF($C89&gt;0,INDEX(Merge_1_2!$L$2:$L$611,$C89),INDEX(Dataset3_Raw!$L$2:$L$391,$E89))</f>
        <v>0.48</v>
      </c>
      <c r="R89" s="25">
        <f>IF($C89&gt;0,INDEX(Merge_1_2!$M$2:$M$611,$C89),INDEX(Dataset3_Raw!$M$2:$M$391,$E89))</f>
        <v>0.1045</v>
      </c>
      <c r="S89" s="23">
        <f>IF($C89&gt;0,INDEX(Merge_1_2!$N$2:$N$611,$C89),INDEX(Dataset3_Raw!$N$2:$N$391,$E89))</f>
        <v>2</v>
      </c>
      <c r="T89" s="23">
        <f>IF($C89&gt;0,INDEX(Merge_1_2!$O$2:$O$611,$C89),INDEX(Dataset3_Raw!$O$2:$O$391,$E89))</f>
        <v>110</v>
      </c>
      <c r="U89" s="23">
        <f>IF($C89&gt;0,INDEX(Merge_1_2!$P$2:$P$611,$C89),INDEX(Dataset3_Raw!$P$2:$P$391,$E89))</f>
        <v>112</v>
      </c>
      <c r="V89" s="23" t="str">
        <f t="shared" si="7"/>
        <v>Weekday</v>
      </c>
      <c r="W89" s="23" t="str">
        <f>VLOOKUP($M89,Lookups!$A$5:$B$8,2,FALSE())</f>
        <v>Clear / Partly cloudy</v>
      </c>
      <c r="X89" s="23" t="str">
        <f>VLOOKUP($G89,Lookups!$D$5:$E$8,2,FALSE())</f>
        <v>Winter</v>
      </c>
      <c r="Y89" s="23" t="str">
        <f>VLOOKUP($L89,Lookups!$G$5:$H$11,2,FALSE())</f>
        <v>Tuesday</v>
      </c>
      <c r="Z89" s="23" t="str">
        <f>IF($J89&lt;Lookups!$B$26,"Night",IF($J89&lt;Lookups!$B$27,"Morning",IF($J89&lt;Lookups!$B$28,"Afternoon","Evening")))</f>
        <v>Evening</v>
      </c>
      <c r="AA89" s="26">
        <f>ROUND($N89*(Lookups!$B$16-Lookups!$B$15)+Lookups!$B$15,1)</f>
        <v>3.3</v>
      </c>
      <c r="AB89" s="26">
        <f>ROUND($P89*(Lookups!$B$18-Lookups!$B$17)+Lookups!$B$17,1)</f>
        <v>1</v>
      </c>
      <c r="AC89" s="23">
        <f t="shared" si="8"/>
        <v>48</v>
      </c>
      <c r="AD89" s="23">
        <f>ROUND($R89*Lookups!$B$19,1)</f>
        <v>7</v>
      </c>
      <c r="AE89" s="27">
        <f t="shared" si="9"/>
        <v>0.9821428571428571</v>
      </c>
      <c r="AF89" s="23" t="str">
        <f>IF($U89&gt;=Lookups!$B$23,"High",IF($U89&gt;=Lookups!$B$22,"Medium","Low"))</f>
        <v>High</v>
      </c>
      <c r="AG89" s="23">
        <f>ROUND(IF($V89="Weekday",IF(INDEX(Hourly_Analysis!$D$5:$D$28,$J89+1)&gt;0,($U89-INDEX(Hourly_Analysis!$C$5:$C$28,$J89+1))/INDEX(Hourly_Analysis!$D$5:$D$28,$J89+1),0),IF(INDEX(Hourly_Analysis!$G$5:$G$28,$J89+1)&gt;0,($U89-INDEX(Hourly_Analysis!$F$5:$F$28,$J89+1))/INDEX(Hourly_Analysis!$G$5:$G$28,$J89+1),0)),2)</f>
        <v>0.42</v>
      </c>
      <c r="AH89" s="23" t="str">
        <f>IF(ABS($AG89)&gt;Lookups!$B$20,IF($AG89&gt;0,"High anomaly","Low anomaly"),"")</f>
        <v/>
      </c>
      <c r="AI89" s="23" t="str">
        <f t="shared" si="10"/>
        <v>OK</v>
      </c>
      <c r="AJ89" s="23" t="str">
        <f t="shared" si="11"/>
        <v>No</v>
      </c>
    </row>
    <row r="90" spans="1:36" x14ac:dyDescent="0.35">
      <c r="A90" s="23">
        <v>89</v>
      </c>
      <c r="B90" s="23" t="str">
        <f t="shared" si="6"/>
        <v>Merge 1+2</v>
      </c>
      <c r="C90" s="23">
        <f>IFERROR(MATCH($A90,Merge_1_2!$A$2:$A$611,0),0)</f>
        <v>89</v>
      </c>
      <c r="D90" s="23">
        <f>IF($C90&gt;0,INDEX(Merge_1_2!$Q$2:$Q$611,$C90),0)</f>
        <v>89</v>
      </c>
      <c r="E90" s="23">
        <f>IFERROR(MATCH($A90,Dataset3_Raw!$A$2:$A$391,0),0)</f>
        <v>0</v>
      </c>
      <c r="F90" s="24">
        <f>IF($C90&gt;0,INDEX(Merge_1_2!$B$2:$B$611,$C90),DATE(VALUE(RIGHT(INDEX(Dataset3_Raw!$B$2:$B$391,$E90),4)),VALUE(MID(INDEX(Dataset3_Raw!$B$2:$B$391,$E90),4,2)),VALUE(LEFT(INDEX(Dataset3_Raw!$B$2:$B$391,$E90),2))))</f>
        <v>40547</v>
      </c>
      <c r="G90" s="23">
        <f>IF($C90&gt;0,INDEX(Merge_1_2!$C$2:$C$611,$C90),INDEX(Dataset3_Raw!$C$2:$C$391,$E90))</f>
        <v>1</v>
      </c>
      <c r="H90" s="23">
        <f>IF($C90&gt;0,INDEX(Merge_1_2!$D$2:$D$611,$C90),INDEX(Dataset3_Raw!$D$2:$D$391,$E90))</f>
        <v>0</v>
      </c>
      <c r="I90" s="23">
        <f>IF($C90&gt;0,INDEX(Merge_1_2!$E$2:$E$611,$C90),INDEX(Dataset3_Raw!$E$2:$E$391,$E90))</f>
        <v>1</v>
      </c>
      <c r="J90" s="23">
        <f>IF($C90&gt;0,INDEX(Merge_1_2!$F$2:$F$611,$C90),INDEX(Dataset3_Raw!$F$2:$F$391,$E90))</f>
        <v>20</v>
      </c>
      <c r="K90" s="23" t="b">
        <f>IF($C90&gt;0,INDEX(Merge_1_2!$G$2:$G$611,$C90),INDEX(Dataset3_Raw!$G$2:$G$391,$E90))</f>
        <v>0</v>
      </c>
      <c r="L90" s="23">
        <f>IF($C90&gt;0,INDEX(Merge_1_2!$H$2:$H$611,$C90),INDEX(Dataset3_Raw!$H$2:$H$391,$E90))</f>
        <v>2</v>
      </c>
      <c r="M90" s="23">
        <f>IF($C90&gt;0,INDEX(Merge_1_2!$I$2:$I$611,$C90),INDEX(Dataset3_Raw!$I$2:$I$391,$E90))</f>
        <v>1</v>
      </c>
      <c r="N90" s="25">
        <f>IF($C90&gt;0,INDEX(Merge_1_2!$J$2:$J$611,$C90),INDEX(Dataset3_Raw!$J$2:$J$391,$E90))</f>
        <v>0.24</v>
      </c>
      <c r="O90" s="25">
        <f>IF($C90&gt;0,IF(ISNUMBER(INDEX(Merge_1_2!$K$2:$K$611,$C90)),INDEX(Merge_1_2!$K$2:$K$611,$C90),""),INDEX(Dataset3_Raw!$K$2:$K$391,$E90))</f>
        <v>0.2576</v>
      </c>
      <c r="P90" s="25">
        <f>IF(ISNUMBER($O90),$O90,ROUND(Lookups!$B$25+Lookups!$B$24*$N90,4))</f>
        <v>0.2576</v>
      </c>
      <c r="Q90" s="25">
        <f>IF($C90&gt;0,INDEX(Merge_1_2!$L$2:$L$611,$C90),INDEX(Dataset3_Raw!$L$2:$L$391,$E90))</f>
        <v>0.48</v>
      </c>
      <c r="R90" s="25">
        <f>IF($C90&gt;0,INDEX(Merge_1_2!$M$2:$M$611,$C90),INDEX(Dataset3_Raw!$M$2:$M$391,$E90))</f>
        <v>0.1045</v>
      </c>
      <c r="S90" s="23">
        <f>IF($C90&gt;0,INDEX(Merge_1_2!$N$2:$N$611,$C90),INDEX(Dataset3_Raw!$N$2:$N$391,$E90))</f>
        <v>1</v>
      </c>
      <c r="T90" s="23">
        <f>IF($C90&gt;0,INDEX(Merge_1_2!$O$2:$O$611,$C90),INDEX(Dataset3_Raw!$O$2:$O$391,$E90))</f>
        <v>53</v>
      </c>
      <c r="U90" s="23">
        <f>IF($C90&gt;0,INDEX(Merge_1_2!$P$2:$P$611,$C90),INDEX(Dataset3_Raw!$P$2:$P$391,$E90))</f>
        <v>54</v>
      </c>
      <c r="V90" s="23" t="str">
        <f t="shared" si="7"/>
        <v>Weekday</v>
      </c>
      <c r="W90" s="23" t="str">
        <f>VLOOKUP($M90,Lookups!$A$5:$B$8,2,FALSE())</f>
        <v>Clear / Partly cloudy</v>
      </c>
      <c r="X90" s="23" t="str">
        <f>VLOOKUP($G90,Lookups!$D$5:$E$8,2,FALSE())</f>
        <v>Winter</v>
      </c>
      <c r="Y90" s="23" t="str">
        <f>VLOOKUP($L90,Lookups!$G$5:$H$11,2,FALSE())</f>
        <v>Tuesday</v>
      </c>
      <c r="Z90" s="23" t="str">
        <f>IF($J90&lt;Lookups!$B$26,"Night",IF($J90&lt;Lookups!$B$27,"Morning",IF($J90&lt;Lookups!$B$28,"Afternoon","Evening")))</f>
        <v>Evening</v>
      </c>
      <c r="AA90" s="26">
        <f>ROUND($N90*(Lookups!$B$16-Lookups!$B$15)+Lookups!$B$15,1)</f>
        <v>3.3</v>
      </c>
      <c r="AB90" s="26">
        <f>ROUND($P90*(Lookups!$B$18-Lookups!$B$17)+Lookups!$B$17,1)</f>
        <v>1</v>
      </c>
      <c r="AC90" s="23">
        <f t="shared" si="8"/>
        <v>48</v>
      </c>
      <c r="AD90" s="23">
        <f>ROUND($R90*Lookups!$B$19,1)</f>
        <v>7</v>
      </c>
      <c r="AE90" s="27">
        <f t="shared" si="9"/>
        <v>0.98148148148148151</v>
      </c>
      <c r="AF90" s="23" t="str">
        <f>IF($U90&gt;=Lookups!$B$23,"High",IF($U90&gt;=Lookups!$B$22,"Medium","Low"))</f>
        <v>Medium</v>
      </c>
      <c r="AG90" s="23">
        <f>ROUND(IF($V90="Weekday",IF(INDEX(Hourly_Analysis!$D$5:$D$28,$J90+1)&gt;0,($U90-INDEX(Hourly_Analysis!$C$5:$C$28,$J90+1))/INDEX(Hourly_Analysis!$D$5:$D$28,$J90+1),0),IF(INDEX(Hourly_Analysis!$G$5:$G$28,$J90+1)&gt;0,($U90-INDEX(Hourly_Analysis!$F$5:$F$28,$J90+1))/INDEX(Hourly_Analysis!$G$5:$G$28,$J90+1),0)),2)</f>
        <v>-0.93</v>
      </c>
      <c r="AH90" s="23" t="str">
        <f>IF(ABS($AG90)&gt;Lookups!$B$20,IF($AG90&gt;0,"High anomaly","Low anomaly"),"")</f>
        <v/>
      </c>
      <c r="AI90" s="23" t="str">
        <f t="shared" si="10"/>
        <v>OK</v>
      </c>
      <c r="AJ90" s="23" t="str">
        <f t="shared" si="11"/>
        <v>No</v>
      </c>
    </row>
    <row r="91" spans="1:36" x14ac:dyDescent="0.35">
      <c r="A91" s="23">
        <v>90</v>
      </c>
      <c r="B91" s="23" t="str">
        <f t="shared" si="6"/>
        <v>Merge 1+2</v>
      </c>
      <c r="C91" s="23">
        <f>IFERROR(MATCH($A91,Merge_1_2!$A$2:$A$611,0),0)</f>
        <v>90</v>
      </c>
      <c r="D91" s="23">
        <f>IF($C91&gt;0,INDEX(Merge_1_2!$Q$2:$Q$611,$C91),0)</f>
        <v>90</v>
      </c>
      <c r="E91" s="23">
        <f>IFERROR(MATCH($A91,Dataset3_Raw!$A$2:$A$391,0),0)</f>
        <v>0</v>
      </c>
      <c r="F91" s="24">
        <f>IF($C91&gt;0,INDEX(Merge_1_2!$B$2:$B$611,$C91),DATE(VALUE(RIGHT(INDEX(Dataset3_Raw!$B$2:$B$391,$E91),4)),VALUE(MID(INDEX(Dataset3_Raw!$B$2:$B$391,$E91),4,2)),VALUE(LEFT(INDEX(Dataset3_Raw!$B$2:$B$391,$E91),2))))</f>
        <v>40547</v>
      </c>
      <c r="G91" s="23">
        <f>IF($C91&gt;0,INDEX(Merge_1_2!$C$2:$C$611,$C91),INDEX(Dataset3_Raw!$C$2:$C$391,$E91))</f>
        <v>1</v>
      </c>
      <c r="H91" s="23">
        <f>IF($C91&gt;0,INDEX(Merge_1_2!$D$2:$D$611,$C91),INDEX(Dataset3_Raw!$D$2:$D$391,$E91))</f>
        <v>0</v>
      </c>
      <c r="I91" s="23">
        <f>IF($C91&gt;0,INDEX(Merge_1_2!$E$2:$E$611,$C91),INDEX(Dataset3_Raw!$E$2:$E$391,$E91))</f>
        <v>1</v>
      </c>
      <c r="J91" s="23">
        <f>IF($C91&gt;0,INDEX(Merge_1_2!$F$2:$F$611,$C91),INDEX(Dataset3_Raw!$F$2:$F$391,$E91))</f>
        <v>21</v>
      </c>
      <c r="K91" s="23" t="b">
        <f>IF($C91&gt;0,INDEX(Merge_1_2!$G$2:$G$611,$C91),INDEX(Dataset3_Raw!$G$2:$G$391,$E91))</f>
        <v>0</v>
      </c>
      <c r="L91" s="23">
        <f>IF($C91&gt;0,INDEX(Merge_1_2!$H$2:$H$611,$C91),INDEX(Dataset3_Raw!$H$2:$H$391,$E91))</f>
        <v>2</v>
      </c>
      <c r="M91" s="23">
        <f>IF($C91&gt;0,INDEX(Merge_1_2!$I$2:$I$611,$C91),INDEX(Dataset3_Raw!$I$2:$I$391,$E91))</f>
        <v>1</v>
      </c>
      <c r="N91" s="25">
        <f>IF($C91&gt;0,INDEX(Merge_1_2!$J$2:$J$611,$C91),INDEX(Dataset3_Raw!$J$2:$J$391,$E91))</f>
        <v>0.22</v>
      </c>
      <c r="O91" s="25">
        <f>IF($C91&gt;0,IF(ISNUMBER(INDEX(Merge_1_2!$K$2:$K$611,$C91)),INDEX(Merge_1_2!$K$2:$K$611,$C91),""),INDEX(Dataset3_Raw!$K$2:$K$391,$E91))</f>
        <v>0.2727</v>
      </c>
      <c r="P91" s="25">
        <f>IF(ISNUMBER($O91),$O91,ROUND(Lookups!$B$25+Lookups!$B$24*$N91,4))</f>
        <v>0.2727</v>
      </c>
      <c r="Q91" s="25">
        <f>IF($C91&gt;0,INDEX(Merge_1_2!$L$2:$L$611,$C91),INDEX(Dataset3_Raw!$L$2:$L$391,$E91))</f>
        <v>0.64</v>
      </c>
      <c r="R91" s="25">
        <f>IF($C91&gt;0,INDEX(Merge_1_2!$M$2:$M$611,$C91),INDEX(Dataset3_Raw!$M$2:$M$391,$E91))</f>
        <v>0</v>
      </c>
      <c r="S91" s="23">
        <f>IF($C91&gt;0,INDEX(Merge_1_2!$N$2:$N$611,$C91),INDEX(Dataset3_Raw!$N$2:$N$391,$E91))</f>
        <v>0</v>
      </c>
      <c r="T91" s="23">
        <f>IF($C91&gt;0,INDEX(Merge_1_2!$O$2:$O$611,$C91),INDEX(Dataset3_Raw!$O$2:$O$391,$E91))</f>
        <v>48</v>
      </c>
      <c r="U91" s="23">
        <f>IF($C91&gt;0,INDEX(Merge_1_2!$P$2:$P$611,$C91),INDEX(Dataset3_Raw!$P$2:$P$391,$E91))</f>
        <v>48</v>
      </c>
      <c r="V91" s="23" t="str">
        <f t="shared" si="7"/>
        <v>Weekday</v>
      </c>
      <c r="W91" s="23" t="str">
        <f>VLOOKUP($M91,Lookups!$A$5:$B$8,2,FALSE())</f>
        <v>Clear / Partly cloudy</v>
      </c>
      <c r="X91" s="23" t="str">
        <f>VLOOKUP($G91,Lookups!$D$5:$E$8,2,FALSE())</f>
        <v>Winter</v>
      </c>
      <c r="Y91" s="23" t="str">
        <f>VLOOKUP($L91,Lookups!$G$5:$H$11,2,FALSE())</f>
        <v>Tuesday</v>
      </c>
      <c r="Z91" s="23" t="str">
        <f>IF($J91&lt;Lookups!$B$26,"Night",IF($J91&lt;Lookups!$B$27,"Morning",IF($J91&lt;Lookups!$B$28,"Afternoon","Evening")))</f>
        <v>Evening</v>
      </c>
      <c r="AA91" s="26">
        <f>ROUND($N91*(Lookups!$B$16-Lookups!$B$15)+Lookups!$B$15,1)</f>
        <v>2.2999999999999998</v>
      </c>
      <c r="AB91" s="26">
        <f>ROUND($P91*(Lookups!$B$18-Lookups!$B$17)+Lookups!$B$17,1)</f>
        <v>2</v>
      </c>
      <c r="AC91" s="23">
        <f t="shared" si="8"/>
        <v>64</v>
      </c>
      <c r="AD91" s="23">
        <f>ROUND($R91*Lookups!$B$19,1)</f>
        <v>0</v>
      </c>
      <c r="AE91" s="27">
        <f t="shared" si="9"/>
        <v>1</v>
      </c>
      <c r="AF91" s="23" t="str">
        <f>IF($U91&gt;=Lookups!$B$23,"High",IF($U91&gt;=Lookups!$B$22,"Medium","Low"))</f>
        <v>Medium</v>
      </c>
      <c r="AG91" s="23">
        <f>ROUND(IF($V91="Weekday",IF(INDEX(Hourly_Analysis!$D$5:$D$28,$J91+1)&gt;0,($U91-INDEX(Hourly_Analysis!$C$5:$C$28,$J91+1))/INDEX(Hourly_Analysis!$D$5:$D$28,$J91+1),0),IF(INDEX(Hourly_Analysis!$G$5:$G$28,$J91+1)&gt;0,($U91-INDEX(Hourly_Analysis!$F$5:$F$28,$J91+1))/INDEX(Hourly_Analysis!$G$5:$G$28,$J91+1),0)),2)</f>
        <v>-0.28000000000000003</v>
      </c>
      <c r="AH91" s="23" t="str">
        <f>IF(ABS($AG91)&gt;Lookups!$B$20,IF($AG91&gt;0,"High anomaly","Low anomaly"),"")</f>
        <v/>
      </c>
      <c r="AI91" s="23" t="str">
        <f t="shared" si="10"/>
        <v>OK</v>
      </c>
      <c r="AJ91" s="23" t="str">
        <f t="shared" si="11"/>
        <v>No</v>
      </c>
    </row>
    <row r="92" spans="1:36" x14ac:dyDescent="0.35">
      <c r="A92" s="23">
        <v>91</v>
      </c>
      <c r="B92" s="23" t="str">
        <f t="shared" si="6"/>
        <v>Merge 1+2</v>
      </c>
      <c r="C92" s="23">
        <f>IFERROR(MATCH($A92,Merge_1_2!$A$2:$A$611,0),0)</f>
        <v>91</v>
      </c>
      <c r="D92" s="23">
        <f>IF($C92&gt;0,INDEX(Merge_1_2!$Q$2:$Q$611,$C92),0)</f>
        <v>91</v>
      </c>
      <c r="E92" s="23">
        <f>IFERROR(MATCH($A92,Dataset3_Raw!$A$2:$A$391,0),0)</f>
        <v>0</v>
      </c>
      <c r="F92" s="24">
        <f>IF($C92&gt;0,INDEX(Merge_1_2!$B$2:$B$611,$C92),DATE(VALUE(RIGHT(INDEX(Dataset3_Raw!$B$2:$B$391,$E92),4)),VALUE(MID(INDEX(Dataset3_Raw!$B$2:$B$391,$E92),4,2)),VALUE(LEFT(INDEX(Dataset3_Raw!$B$2:$B$391,$E92),2))))</f>
        <v>40547</v>
      </c>
      <c r="G92" s="23">
        <f>IF($C92&gt;0,INDEX(Merge_1_2!$C$2:$C$611,$C92),INDEX(Dataset3_Raw!$C$2:$C$391,$E92))</f>
        <v>1</v>
      </c>
      <c r="H92" s="23">
        <f>IF($C92&gt;0,INDEX(Merge_1_2!$D$2:$D$611,$C92),INDEX(Dataset3_Raw!$D$2:$D$391,$E92))</f>
        <v>0</v>
      </c>
      <c r="I92" s="23">
        <f>IF($C92&gt;0,INDEX(Merge_1_2!$E$2:$E$611,$C92),INDEX(Dataset3_Raw!$E$2:$E$391,$E92))</f>
        <v>1</v>
      </c>
      <c r="J92" s="23">
        <f>IF($C92&gt;0,INDEX(Merge_1_2!$F$2:$F$611,$C92),INDEX(Dataset3_Raw!$F$2:$F$391,$E92))</f>
        <v>22</v>
      </c>
      <c r="K92" s="23" t="b">
        <f>IF($C92&gt;0,INDEX(Merge_1_2!$G$2:$G$611,$C92),INDEX(Dataset3_Raw!$G$2:$G$391,$E92))</f>
        <v>0</v>
      </c>
      <c r="L92" s="23">
        <f>IF($C92&gt;0,INDEX(Merge_1_2!$H$2:$H$611,$C92),INDEX(Dataset3_Raw!$H$2:$H$391,$E92))</f>
        <v>2</v>
      </c>
      <c r="M92" s="23">
        <f>IF($C92&gt;0,INDEX(Merge_1_2!$I$2:$I$611,$C92),INDEX(Dataset3_Raw!$I$2:$I$391,$E92))</f>
        <v>1</v>
      </c>
      <c r="N92" s="25">
        <f>IF($C92&gt;0,INDEX(Merge_1_2!$J$2:$J$611,$C92),INDEX(Dataset3_Raw!$J$2:$J$391,$E92))</f>
        <v>0.22</v>
      </c>
      <c r="O92" s="25">
        <f>IF($C92&gt;0,IF(ISNUMBER(INDEX(Merge_1_2!$K$2:$K$611,$C92)),INDEX(Merge_1_2!$K$2:$K$611,$C92),""),INDEX(Dataset3_Raw!$K$2:$K$391,$E92))</f>
        <v>0.2576</v>
      </c>
      <c r="P92" s="25">
        <f>IF(ISNUMBER($O92),$O92,ROUND(Lookups!$B$25+Lookups!$B$24*$N92,4))</f>
        <v>0.2576</v>
      </c>
      <c r="Q92" s="25">
        <f>IF($C92&gt;0,INDEX(Merge_1_2!$L$2:$L$611,$C92),INDEX(Dataset3_Raw!$L$2:$L$391,$E92))</f>
        <v>0.64</v>
      </c>
      <c r="R92" s="25">
        <f>IF($C92&gt;0,INDEX(Merge_1_2!$M$2:$M$611,$C92),INDEX(Dataset3_Raw!$M$2:$M$391,$E92))</f>
        <v>8.9599999999999999E-2</v>
      </c>
      <c r="S92" s="23">
        <f>IF($C92&gt;0,INDEX(Merge_1_2!$N$2:$N$611,$C92),INDEX(Dataset3_Raw!$N$2:$N$391,$E92))</f>
        <v>1</v>
      </c>
      <c r="T92" s="23">
        <f>IF($C92&gt;0,INDEX(Merge_1_2!$O$2:$O$611,$C92),INDEX(Dataset3_Raw!$O$2:$O$391,$E92))</f>
        <v>34</v>
      </c>
      <c r="U92" s="23">
        <f>IF($C92&gt;0,INDEX(Merge_1_2!$P$2:$P$611,$C92),INDEX(Dataset3_Raw!$P$2:$P$391,$E92))</f>
        <v>35</v>
      </c>
      <c r="V92" s="23" t="str">
        <f t="shared" si="7"/>
        <v>Weekday</v>
      </c>
      <c r="W92" s="23" t="str">
        <f>VLOOKUP($M92,Lookups!$A$5:$B$8,2,FALSE())</f>
        <v>Clear / Partly cloudy</v>
      </c>
      <c r="X92" s="23" t="str">
        <f>VLOOKUP($G92,Lookups!$D$5:$E$8,2,FALSE())</f>
        <v>Winter</v>
      </c>
      <c r="Y92" s="23" t="str">
        <f>VLOOKUP($L92,Lookups!$G$5:$H$11,2,FALSE())</f>
        <v>Tuesday</v>
      </c>
      <c r="Z92" s="23" t="str">
        <f>IF($J92&lt;Lookups!$B$26,"Night",IF($J92&lt;Lookups!$B$27,"Morning",IF($J92&lt;Lookups!$B$28,"Afternoon","Evening")))</f>
        <v>Evening</v>
      </c>
      <c r="AA92" s="26">
        <f>ROUND($N92*(Lookups!$B$16-Lookups!$B$15)+Lookups!$B$15,1)</f>
        <v>2.2999999999999998</v>
      </c>
      <c r="AB92" s="26">
        <f>ROUND($P92*(Lookups!$B$18-Lookups!$B$17)+Lookups!$B$17,1)</f>
        <v>1</v>
      </c>
      <c r="AC92" s="23">
        <f t="shared" si="8"/>
        <v>64</v>
      </c>
      <c r="AD92" s="23">
        <f>ROUND($R92*Lookups!$B$19,1)</f>
        <v>6</v>
      </c>
      <c r="AE92" s="27">
        <f t="shared" si="9"/>
        <v>0.97142857142857142</v>
      </c>
      <c r="AF92" s="23" t="str">
        <f>IF($U92&gt;=Lookups!$B$23,"High",IF($U92&gt;=Lookups!$B$22,"Medium","Low"))</f>
        <v>Medium</v>
      </c>
      <c r="AG92" s="23">
        <f>ROUND(IF($V92="Weekday",IF(INDEX(Hourly_Analysis!$D$5:$D$28,$J92+1)&gt;0,($U92-INDEX(Hourly_Analysis!$C$5:$C$28,$J92+1))/INDEX(Hourly_Analysis!$D$5:$D$28,$J92+1),0),IF(INDEX(Hourly_Analysis!$G$5:$G$28,$J92+1)&gt;0,($U92-INDEX(Hourly_Analysis!$F$5:$F$28,$J92+1))/INDEX(Hourly_Analysis!$G$5:$G$28,$J92+1),0)),2)</f>
        <v>-0.3</v>
      </c>
      <c r="AH92" s="23" t="str">
        <f>IF(ABS($AG92)&gt;Lookups!$B$20,IF($AG92&gt;0,"High anomaly","Low anomaly"),"")</f>
        <v/>
      </c>
      <c r="AI92" s="23" t="str">
        <f t="shared" si="10"/>
        <v>OK</v>
      </c>
      <c r="AJ92" s="23" t="str">
        <f t="shared" si="11"/>
        <v>No</v>
      </c>
    </row>
    <row r="93" spans="1:36" x14ac:dyDescent="0.35">
      <c r="A93" s="23">
        <v>92</v>
      </c>
      <c r="B93" s="23" t="str">
        <f t="shared" si="6"/>
        <v>Merge 1+2</v>
      </c>
      <c r="C93" s="23">
        <f>IFERROR(MATCH($A93,Merge_1_2!$A$2:$A$611,0),0)</f>
        <v>92</v>
      </c>
      <c r="D93" s="23">
        <f>IF($C93&gt;0,INDEX(Merge_1_2!$Q$2:$Q$611,$C93),0)</f>
        <v>92</v>
      </c>
      <c r="E93" s="23">
        <f>IFERROR(MATCH($A93,Dataset3_Raw!$A$2:$A$391,0),0)</f>
        <v>0</v>
      </c>
      <c r="F93" s="24">
        <f>IF($C93&gt;0,INDEX(Merge_1_2!$B$2:$B$611,$C93),DATE(VALUE(RIGHT(INDEX(Dataset3_Raw!$B$2:$B$391,$E93),4)),VALUE(MID(INDEX(Dataset3_Raw!$B$2:$B$391,$E93),4,2)),VALUE(LEFT(INDEX(Dataset3_Raw!$B$2:$B$391,$E93),2))))</f>
        <v>40547</v>
      </c>
      <c r="G93" s="23">
        <f>IF($C93&gt;0,INDEX(Merge_1_2!$C$2:$C$611,$C93),INDEX(Dataset3_Raw!$C$2:$C$391,$E93))</f>
        <v>1</v>
      </c>
      <c r="H93" s="23">
        <f>IF($C93&gt;0,INDEX(Merge_1_2!$D$2:$D$611,$C93),INDEX(Dataset3_Raw!$D$2:$D$391,$E93))</f>
        <v>0</v>
      </c>
      <c r="I93" s="23">
        <f>IF($C93&gt;0,INDEX(Merge_1_2!$E$2:$E$611,$C93),INDEX(Dataset3_Raw!$E$2:$E$391,$E93))</f>
        <v>1</v>
      </c>
      <c r="J93" s="23">
        <f>IF($C93&gt;0,INDEX(Merge_1_2!$F$2:$F$611,$C93),INDEX(Dataset3_Raw!$F$2:$F$391,$E93))</f>
        <v>23</v>
      </c>
      <c r="K93" s="23" t="b">
        <f>IF($C93&gt;0,INDEX(Merge_1_2!$G$2:$G$611,$C93),INDEX(Dataset3_Raw!$G$2:$G$391,$E93))</f>
        <v>0</v>
      </c>
      <c r="L93" s="23">
        <f>IF($C93&gt;0,INDEX(Merge_1_2!$H$2:$H$611,$C93),INDEX(Dataset3_Raw!$H$2:$H$391,$E93))</f>
        <v>2</v>
      </c>
      <c r="M93" s="23">
        <f>IF($C93&gt;0,INDEX(Merge_1_2!$I$2:$I$611,$C93),INDEX(Dataset3_Raw!$I$2:$I$391,$E93))</f>
        <v>1</v>
      </c>
      <c r="N93" s="25">
        <f>IF($C93&gt;0,INDEX(Merge_1_2!$J$2:$J$611,$C93),INDEX(Dataset3_Raw!$J$2:$J$391,$E93))</f>
        <v>0.2</v>
      </c>
      <c r="O93" s="25">
        <f>IF($C93&gt;0,IF(ISNUMBER(INDEX(Merge_1_2!$K$2:$K$611,$C93)),INDEX(Merge_1_2!$K$2:$K$611,$C93),""),INDEX(Dataset3_Raw!$K$2:$K$391,$E93))</f>
        <v>0.2273</v>
      </c>
      <c r="P93" s="25">
        <f>IF(ISNUMBER($O93),$O93,ROUND(Lookups!$B$25+Lookups!$B$24*$N93,4))</f>
        <v>0.2273</v>
      </c>
      <c r="Q93" s="25">
        <f>IF($C93&gt;0,INDEX(Merge_1_2!$L$2:$L$611,$C93),INDEX(Dataset3_Raw!$L$2:$L$391,$E93))</f>
        <v>0.69</v>
      </c>
      <c r="R93" s="25">
        <f>IF($C93&gt;0,INDEX(Merge_1_2!$M$2:$M$611,$C93),INDEX(Dataset3_Raw!$M$2:$M$391,$E93))</f>
        <v>8.9599999999999999E-2</v>
      </c>
      <c r="S93" s="23">
        <f>IF($C93&gt;0,INDEX(Merge_1_2!$N$2:$N$611,$C93),INDEX(Dataset3_Raw!$N$2:$N$391,$E93))</f>
        <v>2</v>
      </c>
      <c r="T93" s="23">
        <f>IF($C93&gt;0,INDEX(Merge_1_2!$O$2:$O$611,$C93),INDEX(Dataset3_Raw!$O$2:$O$391,$E93))</f>
        <v>9</v>
      </c>
      <c r="U93" s="23">
        <f>IF($C93&gt;0,INDEX(Merge_1_2!$P$2:$P$611,$C93),INDEX(Dataset3_Raw!$P$2:$P$391,$E93))</f>
        <v>11</v>
      </c>
      <c r="V93" s="23" t="str">
        <f t="shared" si="7"/>
        <v>Weekday</v>
      </c>
      <c r="W93" s="23" t="str">
        <f>VLOOKUP($M93,Lookups!$A$5:$B$8,2,FALSE())</f>
        <v>Clear / Partly cloudy</v>
      </c>
      <c r="X93" s="23" t="str">
        <f>VLOOKUP($G93,Lookups!$D$5:$E$8,2,FALSE())</f>
        <v>Winter</v>
      </c>
      <c r="Y93" s="23" t="str">
        <f>VLOOKUP($L93,Lookups!$G$5:$H$11,2,FALSE())</f>
        <v>Tuesday</v>
      </c>
      <c r="Z93" s="23" t="str">
        <f>IF($J93&lt;Lookups!$B$26,"Night",IF($J93&lt;Lookups!$B$27,"Morning",IF($J93&lt;Lookups!$B$28,"Afternoon","Evening")))</f>
        <v>Evening</v>
      </c>
      <c r="AA93" s="26">
        <f>ROUND($N93*(Lookups!$B$16-Lookups!$B$15)+Lookups!$B$15,1)</f>
        <v>1.4</v>
      </c>
      <c r="AB93" s="26">
        <f>ROUND($P93*(Lookups!$B$18-Lookups!$B$17)+Lookups!$B$17,1)</f>
        <v>-1</v>
      </c>
      <c r="AC93" s="23">
        <f t="shared" si="8"/>
        <v>69</v>
      </c>
      <c r="AD93" s="23">
        <f>ROUND($R93*Lookups!$B$19,1)</f>
        <v>6</v>
      </c>
      <c r="AE93" s="27">
        <f t="shared" si="9"/>
        <v>0.81818181818181823</v>
      </c>
      <c r="AF93" s="23" t="str">
        <f>IF($U93&gt;=Lookups!$B$23,"High",IF($U93&gt;=Lookups!$B$22,"Medium","Low"))</f>
        <v>Low</v>
      </c>
      <c r="AG93" s="23">
        <f>ROUND(IF($V93="Weekday",IF(INDEX(Hourly_Analysis!$D$5:$D$28,$J93+1)&gt;0,($U93-INDEX(Hourly_Analysis!$C$5:$C$28,$J93+1))/INDEX(Hourly_Analysis!$D$5:$D$28,$J93+1),0),IF(INDEX(Hourly_Analysis!$G$5:$G$28,$J93+1)&gt;0,($U93-INDEX(Hourly_Analysis!$F$5:$F$28,$J93+1))/INDEX(Hourly_Analysis!$G$5:$G$28,$J93+1),0)),2)</f>
        <v>-1.35</v>
      </c>
      <c r="AH93" s="23" t="str">
        <f>IF(ABS($AG93)&gt;Lookups!$B$20,IF($AG93&gt;0,"High anomaly","Low anomaly"),"")</f>
        <v/>
      </c>
      <c r="AI93" s="23" t="str">
        <f t="shared" si="10"/>
        <v>OK</v>
      </c>
      <c r="AJ93" s="23" t="str">
        <f t="shared" si="11"/>
        <v>No</v>
      </c>
    </row>
    <row r="94" spans="1:36" x14ac:dyDescent="0.35">
      <c r="A94" s="23">
        <v>93</v>
      </c>
      <c r="B94" s="23" t="str">
        <f t="shared" si="6"/>
        <v>Merge 1+2</v>
      </c>
      <c r="C94" s="23">
        <f>IFERROR(MATCH($A94,Merge_1_2!$A$2:$A$611,0),0)</f>
        <v>93</v>
      </c>
      <c r="D94" s="23">
        <f>IF($C94&gt;0,INDEX(Merge_1_2!$Q$2:$Q$611,$C94),0)</f>
        <v>93</v>
      </c>
      <c r="E94" s="23">
        <f>IFERROR(MATCH($A94,Dataset3_Raw!$A$2:$A$391,0),0)</f>
        <v>0</v>
      </c>
      <c r="F94" s="24">
        <f>IF($C94&gt;0,INDEX(Merge_1_2!$B$2:$B$611,$C94),DATE(VALUE(RIGHT(INDEX(Dataset3_Raw!$B$2:$B$391,$E94),4)),VALUE(MID(INDEX(Dataset3_Raw!$B$2:$B$391,$E94),4,2)),VALUE(LEFT(INDEX(Dataset3_Raw!$B$2:$B$391,$E94),2))))</f>
        <v>40548</v>
      </c>
      <c r="G94" s="23">
        <f>IF($C94&gt;0,INDEX(Merge_1_2!$C$2:$C$611,$C94),INDEX(Dataset3_Raw!$C$2:$C$391,$E94))</f>
        <v>1</v>
      </c>
      <c r="H94" s="23">
        <f>IF($C94&gt;0,INDEX(Merge_1_2!$D$2:$D$611,$C94),INDEX(Dataset3_Raw!$D$2:$D$391,$E94))</f>
        <v>0</v>
      </c>
      <c r="I94" s="23">
        <f>IF($C94&gt;0,INDEX(Merge_1_2!$E$2:$E$611,$C94),INDEX(Dataset3_Raw!$E$2:$E$391,$E94))</f>
        <v>1</v>
      </c>
      <c r="J94" s="23">
        <f>IF($C94&gt;0,INDEX(Merge_1_2!$F$2:$F$611,$C94),INDEX(Dataset3_Raw!$F$2:$F$391,$E94))</f>
        <v>0</v>
      </c>
      <c r="K94" s="23" t="b">
        <f>IF($C94&gt;0,INDEX(Merge_1_2!$G$2:$G$611,$C94),INDEX(Dataset3_Raw!$G$2:$G$391,$E94))</f>
        <v>0</v>
      </c>
      <c r="L94" s="23">
        <f>IF($C94&gt;0,INDEX(Merge_1_2!$H$2:$H$611,$C94),INDEX(Dataset3_Raw!$H$2:$H$391,$E94))</f>
        <v>3</v>
      </c>
      <c r="M94" s="23">
        <f>IF($C94&gt;0,INDEX(Merge_1_2!$I$2:$I$611,$C94),INDEX(Dataset3_Raw!$I$2:$I$391,$E94))</f>
        <v>1</v>
      </c>
      <c r="N94" s="25">
        <f>IF($C94&gt;0,INDEX(Merge_1_2!$J$2:$J$611,$C94),INDEX(Dataset3_Raw!$J$2:$J$391,$E94))</f>
        <v>0.2</v>
      </c>
      <c r="O94" s="25">
        <f>IF($C94&gt;0,IF(ISNUMBER(INDEX(Merge_1_2!$K$2:$K$611,$C94)),INDEX(Merge_1_2!$K$2:$K$611,$C94),""),INDEX(Dataset3_Raw!$K$2:$K$391,$E94))</f>
        <v>0.2576</v>
      </c>
      <c r="P94" s="25">
        <f>IF(ISNUMBER($O94),$O94,ROUND(Lookups!$B$25+Lookups!$B$24*$N94,4))</f>
        <v>0.2576</v>
      </c>
      <c r="Q94" s="25">
        <f>IF($C94&gt;0,INDEX(Merge_1_2!$L$2:$L$611,$C94),INDEX(Dataset3_Raw!$L$2:$L$391,$E94))</f>
        <v>0.64</v>
      </c>
      <c r="R94" s="25">
        <f>IF($C94&gt;0,INDEX(Merge_1_2!$M$2:$M$611,$C94),INDEX(Dataset3_Raw!$M$2:$M$391,$E94))</f>
        <v>0</v>
      </c>
      <c r="S94" s="23">
        <f>IF($C94&gt;0,INDEX(Merge_1_2!$N$2:$N$611,$C94),INDEX(Dataset3_Raw!$N$2:$N$391,$E94))</f>
        <v>0</v>
      </c>
      <c r="T94" s="23">
        <f>IF($C94&gt;0,INDEX(Merge_1_2!$O$2:$O$611,$C94),INDEX(Dataset3_Raw!$O$2:$O$391,$E94))</f>
        <v>6</v>
      </c>
      <c r="U94" s="23">
        <f>IF($C94&gt;0,INDEX(Merge_1_2!$P$2:$P$611,$C94),INDEX(Dataset3_Raw!$P$2:$P$391,$E94))</f>
        <v>6</v>
      </c>
      <c r="V94" s="23" t="str">
        <f t="shared" si="7"/>
        <v>Weekday</v>
      </c>
      <c r="W94" s="23" t="str">
        <f>VLOOKUP($M94,Lookups!$A$5:$B$8,2,FALSE())</f>
        <v>Clear / Partly cloudy</v>
      </c>
      <c r="X94" s="23" t="str">
        <f>VLOOKUP($G94,Lookups!$D$5:$E$8,2,FALSE())</f>
        <v>Winter</v>
      </c>
      <c r="Y94" s="23" t="str">
        <f>VLOOKUP($L94,Lookups!$G$5:$H$11,2,FALSE())</f>
        <v>Wednesday</v>
      </c>
      <c r="Z94" s="23" t="str">
        <f>IF($J94&lt;Lookups!$B$26,"Night",IF($J94&lt;Lookups!$B$27,"Morning",IF($J94&lt;Lookups!$B$28,"Afternoon","Evening")))</f>
        <v>Night</v>
      </c>
      <c r="AA94" s="26">
        <f>ROUND($N94*(Lookups!$B$16-Lookups!$B$15)+Lookups!$B$15,1)</f>
        <v>1.4</v>
      </c>
      <c r="AB94" s="26">
        <f>ROUND($P94*(Lookups!$B$18-Lookups!$B$17)+Lookups!$B$17,1)</f>
        <v>1</v>
      </c>
      <c r="AC94" s="23">
        <f t="shared" si="8"/>
        <v>64</v>
      </c>
      <c r="AD94" s="23">
        <f>ROUND($R94*Lookups!$B$19,1)</f>
        <v>0</v>
      </c>
      <c r="AE94" s="27">
        <f t="shared" si="9"/>
        <v>1</v>
      </c>
      <c r="AF94" s="23" t="str">
        <f>IF($U94&gt;=Lookups!$B$23,"High",IF($U94&gt;=Lookups!$B$22,"Medium","Low"))</f>
        <v>Low</v>
      </c>
      <c r="AG94" s="23">
        <f>ROUND(IF($V94="Weekday",IF(INDEX(Hourly_Analysis!$D$5:$D$28,$J94+1)&gt;0,($U94-INDEX(Hourly_Analysis!$C$5:$C$28,$J94+1))/INDEX(Hourly_Analysis!$D$5:$D$28,$J94+1),0),IF(INDEX(Hourly_Analysis!$G$5:$G$28,$J94+1)&gt;0,($U94-INDEX(Hourly_Analysis!$F$5:$F$28,$J94+1))/INDEX(Hourly_Analysis!$G$5:$G$28,$J94+1),0)),2)</f>
        <v>-0.92</v>
      </c>
      <c r="AH94" s="23" t="str">
        <f>IF(ABS($AG94)&gt;Lookups!$B$20,IF($AG94&gt;0,"High anomaly","Low anomaly"),"")</f>
        <v/>
      </c>
      <c r="AI94" s="23" t="str">
        <f t="shared" si="10"/>
        <v>OK</v>
      </c>
      <c r="AJ94" s="23" t="str">
        <f t="shared" si="11"/>
        <v>No</v>
      </c>
    </row>
    <row r="95" spans="1:36" x14ac:dyDescent="0.35">
      <c r="A95" s="23">
        <v>94</v>
      </c>
      <c r="B95" s="23" t="str">
        <f t="shared" si="6"/>
        <v>Merge 1+2</v>
      </c>
      <c r="C95" s="23">
        <f>IFERROR(MATCH($A95,Merge_1_2!$A$2:$A$611,0),0)</f>
        <v>94</v>
      </c>
      <c r="D95" s="23">
        <f>IF($C95&gt;0,INDEX(Merge_1_2!$Q$2:$Q$611,$C95),0)</f>
        <v>94</v>
      </c>
      <c r="E95" s="23">
        <f>IFERROR(MATCH($A95,Dataset3_Raw!$A$2:$A$391,0),0)</f>
        <v>0</v>
      </c>
      <c r="F95" s="24">
        <f>IF($C95&gt;0,INDEX(Merge_1_2!$B$2:$B$611,$C95),DATE(VALUE(RIGHT(INDEX(Dataset3_Raw!$B$2:$B$391,$E95),4)),VALUE(MID(INDEX(Dataset3_Raw!$B$2:$B$391,$E95),4,2)),VALUE(LEFT(INDEX(Dataset3_Raw!$B$2:$B$391,$E95),2))))</f>
        <v>40548</v>
      </c>
      <c r="G95" s="23">
        <f>IF($C95&gt;0,INDEX(Merge_1_2!$C$2:$C$611,$C95),INDEX(Dataset3_Raw!$C$2:$C$391,$E95))</f>
        <v>1</v>
      </c>
      <c r="H95" s="23">
        <f>IF($C95&gt;0,INDEX(Merge_1_2!$D$2:$D$611,$C95),INDEX(Dataset3_Raw!$D$2:$D$391,$E95))</f>
        <v>0</v>
      </c>
      <c r="I95" s="23">
        <f>IF($C95&gt;0,INDEX(Merge_1_2!$E$2:$E$611,$C95),INDEX(Dataset3_Raw!$E$2:$E$391,$E95))</f>
        <v>1</v>
      </c>
      <c r="J95" s="23">
        <f>IF($C95&gt;0,INDEX(Merge_1_2!$F$2:$F$611,$C95),INDEX(Dataset3_Raw!$F$2:$F$391,$E95))</f>
        <v>1</v>
      </c>
      <c r="K95" s="23" t="b">
        <f>IF($C95&gt;0,INDEX(Merge_1_2!$G$2:$G$611,$C95),INDEX(Dataset3_Raw!$G$2:$G$391,$E95))</f>
        <v>0</v>
      </c>
      <c r="L95" s="23">
        <f>IF($C95&gt;0,INDEX(Merge_1_2!$H$2:$H$611,$C95),INDEX(Dataset3_Raw!$H$2:$H$391,$E95))</f>
        <v>3</v>
      </c>
      <c r="M95" s="23">
        <f>IF($C95&gt;0,INDEX(Merge_1_2!$I$2:$I$611,$C95),INDEX(Dataset3_Raw!$I$2:$I$391,$E95))</f>
        <v>1</v>
      </c>
      <c r="N95" s="25">
        <f>IF($C95&gt;0,INDEX(Merge_1_2!$J$2:$J$611,$C95),INDEX(Dataset3_Raw!$J$2:$J$391,$E95))</f>
        <v>0.16</v>
      </c>
      <c r="O95" s="25">
        <f>IF($C95&gt;0,IF(ISNUMBER(INDEX(Merge_1_2!$K$2:$K$611,$C95)),INDEX(Merge_1_2!$K$2:$K$611,$C95),""),INDEX(Dataset3_Raw!$K$2:$K$391,$E95))</f>
        <v>0.19700000000000001</v>
      </c>
      <c r="P95" s="25">
        <f>IF(ISNUMBER($O95),$O95,ROUND(Lookups!$B$25+Lookups!$B$24*$N95,4))</f>
        <v>0.19700000000000001</v>
      </c>
      <c r="Q95" s="25">
        <f>IF($C95&gt;0,INDEX(Merge_1_2!$L$2:$L$611,$C95),INDEX(Dataset3_Raw!$L$2:$L$391,$E95))</f>
        <v>0.74</v>
      </c>
      <c r="R95" s="25">
        <f>IF($C95&gt;0,INDEX(Merge_1_2!$M$2:$M$611,$C95),INDEX(Dataset3_Raw!$M$2:$M$391,$E95))</f>
        <v>8.9599999999999999E-2</v>
      </c>
      <c r="S95" s="23">
        <f>IF($C95&gt;0,INDEX(Merge_1_2!$N$2:$N$611,$C95),INDEX(Dataset3_Raw!$N$2:$N$391,$E95))</f>
        <v>0</v>
      </c>
      <c r="T95" s="23">
        <f>IF($C95&gt;0,INDEX(Merge_1_2!$O$2:$O$611,$C95),INDEX(Dataset3_Raw!$O$2:$O$391,$E95))</f>
        <v>6</v>
      </c>
      <c r="U95" s="23">
        <f>IF($C95&gt;0,INDEX(Merge_1_2!$P$2:$P$611,$C95),INDEX(Dataset3_Raw!$P$2:$P$391,$E95))</f>
        <v>6</v>
      </c>
      <c r="V95" s="23" t="str">
        <f t="shared" si="7"/>
        <v>Weekday</v>
      </c>
      <c r="W95" s="23" t="str">
        <f>VLOOKUP($M95,Lookups!$A$5:$B$8,2,FALSE())</f>
        <v>Clear / Partly cloudy</v>
      </c>
      <c r="X95" s="23" t="str">
        <f>VLOOKUP($G95,Lookups!$D$5:$E$8,2,FALSE())</f>
        <v>Winter</v>
      </c>
      <c r="Y95" s="23" t="str">
        <f>VLOOKUP($L95,Lookups!$G$5:$H$11,2,FALSE())</f>
        <v>Wednesday</v>
      </c>
      <c r="Z95" s="23" t="str">
        <f>IF($J95&lt;Lookups!$B$26,"Night",IF($J95&lt;Lookups!$B$27,"Morning",IF($J95&lt;Lookups!$B$28,"Afternoon","Evening")))</f>
        <v>Night</v>
      </c>
      <c r="AA95" s="26">
        <f>ROUND($N95*(Lookups!$B$16-Lookups!$B$15)+Lookups!$B$15,1)</f>
        <v>-0.5</v>
      </c>
      <c r="AB95" s="26">
        <f>ROUND($P95*(Lookups!$B$18-Lookups!$B$17)+Lookups!$B$17,1)</f>
        <v>-3</v>
      </c>
      <c r="AC95" s="23">
        <f t="shared" si="8"/>
        <v>74</v>
      </c>
      <c r="AD95" s="23">
        <f>ROUND($R95*Lookups!$B$19,1)</f>
        <v>6</v>
      </c>
      <c r="AE95" s="27">
        <f t="shared" si="9"/>
        <v>1</v>
      </c>
      <c r="AF95" s="23" t="str">
        <f>IF($U95&gt;=Lookups!$B$23,"High",IF($U95&gt;=Lookups!$B$22,"Medium","Low"))</f>
        <v>Low</v>
      </c>
      <c r="AG95" s="23">
        <f>ROUND(IF($V95="Weekday",IF(INDEX(Hourly_Analysis!$D$5:$D$28,$J95+1)&gt;0,($U95-INDEX(Hourly_Analysis!$C$5:$C$28,$J95+1))/INDEX(Hourly_Analysis!$D$5:$D$28,$J95+1),0),IF(INDEX(Hourly_Analysis!$G$5:$G$28,$J95+1)&gt;0,($U95-INDEX(Hourly_Analysis!$F$5:$F$28,$J95+1))/INDEX(Hourly_Analysis!$G$5:$G$28,$J95+1),0)),2)</f>
        <v>0.64</v>
      </c>
      <c r="AH95" s="23" t="str">
        <f>IF(ABS($AG95)&gt;Lookups!$B$20,IF($AG95&gt;0,"High anomaly","Low anomaly"),"")</f>
        <v/>
      </c>
      <c r="AI95" s="23" t="str">
        <f t="shared" si="10"/>
        <v>OK</v>
      </c>
      <c r="AJ95" s="23" t="str">
        <f t="shared" si="11"/>
        <v>No</v>
      </c>
    </row>
    <row r="96" spans="1:36" x14ac:dyDescent="0.35">
      <c r="A96" s="23">
        <v>95</v>
      </c>
      <c r="B96" s="23" t="str">
        <f t="shared" si="6"/>
        <v>Merge 1+2</v>
      </c>
      <c r="C96" s="23">
        <f>IFERROR(MATCH($A96,Merge_1_2!$A$2:$A$611,0),0)</f>
        <v>95</v>
      </c>
      <c r="D96" s="23">
        <f>IF($C96&gt;0,INDEX(Merge_1_2!$Q$2:$Q$611,$C96),0)</f>
        <v>95</v>
      </c>
      <c r="E96" s="23">
        <f>IFERROR(MATCH($A96,Dataset3_Raw!$A$2:$A$391,0),0)</f>
        <v>0</v>
      </c>
      <c r="F96" s="24">
        <f>IF($C96&gt;0,INDEX(Merge_1_2!$B$2:$B$611,$C96),DATE(VALUE(RIGHT(INDEX(Dataset3_Raw!$B$2:$B$391,$E96),4)),VALUE(MID(INDEX(Dataset3_Raw!$B$2:$B$391,$E96),4,2)),VALUE(LEFT(INDEX(Dataset3_Raw!$B$2:$B$391,$E96),2))))</f>
        <v>40548</v>
      </c>
      <c r="G96" s="23">
        <f>IF($C96&gt;0,INDEX(Merge_1_2!$C$2:$C$611,$C96),INDEX(Dataset3_Raw!$C$2:$C$391,$E96))</f>
        <v>1</v>
      </c>
      <c r="H96" s="23">
        <f>IF($C96&gt;0,INDEX(Merge_1_2!$D$2:$D$611,$C96),INDEX(Dataset3_Raw!$D$2:$D$391,$E96))</f>
        <v>0</v>
      </c>
      <c r="I96" s="23">
        <f>IF($C96&gt;0,INDEX(Merge_1_2!$E$2:$E$611,$C96),INDEX(Dataset3_Raw!$E$2:$E$391,$E96))</f>
        <v>1</v>
      </c>
      <c r="J96" s="23">
        <f>IF($C96&gt;0,INDEX(Merge_1_2!$F$2:$F$611,$C96),INDEX(Dataset3_Raw!$F$2:$F$391,$E96))</f>
        <v>2</v>
      </c>
      <c r="K96" s="23" t="b">
        <f>IF($C96&gt;0,INDEX(Merge_1_2!$G$2:$G$611,$C96),INDEX(Dataset3_Raw!$G$2:$G$391,$E96))</f>
        <v>0</v>
      </c>
      <c r="L96" s="23">
        <f>IF($C96&gt;0,INDEX(Merge_1_2!$H$2:$H$611,$C96),INDEX(Dataset3_Raw!$H$2:$H$391,$E96))</f>
        <v>3</v>
      </c>
      <c r="M96" s="23">
        <f>IF($C96&gt;0,INDEX(Merge_1_2!$I$2:$I$611,$C96),INDEX(Dataset3_Raw!$I$2:$I$391,$E96))</f>
        <v>1</v>
      </c>
      <c r="N96" s="25">
        <f>IF($C96&gt;0,INDEX(Merge_1_2!$J$2:$J$611,$C96),INDEX(Dataset3_Raw!$J$2:$J$391,$E96))</f>
        <v>0.16</v>
      </c>
      <c r="O96" s="25">
        <f>IF($C96&gt;0,IF(ISNUMBER(INDEX(Merge_1_2!$K$2:$K$611,$C96)),INDEX(Merge_1_2!$K$2:$K$611,$C96),""),INDEX(Dataset3_Raw!$K$2:$K$391,$E96))</f>
        <v>0.19700000000000001</v>
      </c>
      <c r="P96" s="25">
        <f>IF(ISNUMBER($O96),$O96,ROUND(Lookups!$B$25+Lookups!$B$24*$N96,4))</f>
        <v>0.19700000000000001</v>
      </c>
      <c r="Q96" s="25">
        <f>IF($C96&gt;0,INDEX(Merge_1_2!$L$2:$L$611,$C96),INDEX(Dataset3_Raw!$L$2:$L$391,$E96))</f>
        <v>0.74</v>
      </c>
      <c r="R96" s="25">
        <f>IF($C96&gt;0,INDEX(Merge_1_2!$M$2:$M$611,$C96),INDEX(Dataset3_Raw!$M$2:$M$391,$E96))</f>
        <v>8.9599999999999999E-2</v>
      </c>
      <c r="S96" s="23">
        <f>IF($C96&gt;0,INDEX(Merge_1_2!$N$2:$N$611,$C96),INDEX(Dataset3_Raw!$N$2:$N$391,$E96))</f>
        <v>0</v>
      </c>
      <c r="T96" s="23">
        <f>IF($C96&gt;0,INDEX(Merge_1_2!$O$2:$O$611,$C96),INDEX(Dataset3_Raw!$O$2:$O$391,$E96))</f>
        <v>2</v>
      </c>
      <c r="U96" s="23">
        <f>IF($C96&gt;0,INDEX(Merge_1_2!$P$2:$P$611,$C96),INDEX(Dataset3_Raw!$P$2:$P$391,$E96))</f>
        <v>2</v>
      </c>
      <c r="V96" s="23" t="str">
        <f t="shared" si="7"/>
        <v>Weekday</v>
      </c>
      <c r="W96" s="23" t="str">
        <f>VLOOKUP($M96,Lookups!$A$5:$B$8,2,FALSE())</f>
        <v>Clear / Partly cloudy</v>
      </c>
      <c r="X96" s="23" t="str">
        <f>VLOOKUP($G96,Lookups!$D$5:$E$8,2,FALSE())</f>
        <v>Winter</v>
      </c>
      <c r="Y96" s="23" t="str">
        <f>VLOOKUP($L96,Lookups!$G$5:$H$11,2,FALSE())</f>
        <v>Wednesday</v>
      </c>
      <c r="Z96" s="23" t="str">
        <f>IF($J96&lt;Lookups!$B$26,"Night",IF($J96&lt;Lookups!$B$27,"Morning",IF($J96&lt;Lookups!$B$28,"Afternoon","Evening")))</f>
        <v>Night</v>
      </c>
      <c r="AA96" s="26">
        <f>ROUND($N96*(Lookups!$B$16-Lookups!$B$15)+Lookups!$B$15,1)</f>
        <v>-0.5</v>
      </c>
      <c r="AB96" s="26">
        <f>ROUND($P96*(Lookups!$B$18-Lookups!$B$17)+Lookups!$B$17,1)</f>
        <v>-3</v>
      </c>
      <c r="AC96" s="23">
        <f t="shared" si="8"/>
        <v>74</v>
      </c>
      <c r="AD96" s="23">
        <f>ROUND($R96*Lookups!$B$19,1)</f>
        <v>6</v>
      </c>
      <c r="AE96" s="27">
        <f t="shared" si="9"/>
        <v>1</v>
      </c>
      <c r="AF96" s="23" t="str">
        <f>IF($U96&gt;=Lookups!$B$23,"High",IF($U96&gt;=Lookups!$B$22,"Medium","Low"))</f>
        <v>Low</v>
      </c>
      <c r="AG96" s="23">
        <f>ROUND(IF($V96="Weekday",IF(INDEX(Hourly_Analysis!$D$5:$D$28,$J96+1)&gt;0,($U96-INDEX(Hourly_Analysis!$C$5:$C$28,$J96+1))/INDEX(Hourly_Analysis!$D$5:$D$28,$J96+1),0),IF(INDEX(Hourly_Analysis!$G$5:$G$28,$J96+1)&gt;0,($U96-INDEX(Hourly_Analysis!$F$5:$F$28,$J96+1))/INDEX(Hourly_Analysis!$G$5:$G$28,$J96+1),0)),2)</f>
        <v>-0.24</v>
      </c>
      <c r="AH96" s="23" t="str">
        <f>IF(ABS($AG96)&gt;Lookups!$B$20,IF($AG96&gt;0,"High anomaly","Low anomaly"),"")</f>
        <v/>
      </c>
      <c r="AI96" s="23" t="str">
        <f t="shared" si="10"/>
        <v>OK</v>
      </c>
      <c r="AJ96" s="23" t="str">
        <f t="shared" si="11"/>
        <v>No</v>
      </c>
    </row>
    <row r="97" spans="1:36" x14ac:dyDescent="0.35">
      <c r="A97" s="23">
        <v>96</v>
      </c>
      <c r="B97" s="23" t="str">
        <f t="shared" si="6"/>
        <v>Merge 1+2</v>
      </c>
      <c r="C97" s="23">
        <f>IFERROR(MATCH($A97,Merge_1_2!$A$2:$A$611,0),0)</f>
        <v>96</v>
      </c>
      <c r="D97" s="23">
        <f>IF($C97&gt;0,INDEX(Merge_1_2!$Q$2:$Q$611,$C97),0)</f>
        <v>96</v>
      </c>
      <c r="E97" s="23">
        <f>IFERROR(MATCH($A97,Dataset3_Raw!$A$2:$A$391,0),0)</f>
        <v>0</v>
      </c>
      <c r="F97" s="24">
        <f>IF($C97&gt;0,INDEX(Merge_1_2!$B$2:$B$611,$C97),DATE(VALUE(RIGHT(INDEX(Dataset3_Raw!$B$2:$B$391,$E97),4)),VALUE(MID(INDEX(Dataset3_Raw!$B$2:$B$391,$E97),4,2)),VALUE(LEFT(INDEX(Dataset3_Raw!$B$2:$B$391,$E97),2))))</f>
        <v>40548</v>
      </c>
      <c r="G97" s="23">
        <f>IF($C97&gt;0,INDEX(Merge_1_2!$C$2:$C$611,$C97),INDEX(Dataset3_Raw!$C$2:$C$391,$E97))</f>
        <v>1</v>
      </c>
      <c r="H97" s="23">
        <f>IF($C97&gt;0,INDEX(Merge_1_2!$D$2:$D$611,$C97),INDEX(Dataset3_Raw!$D$2:$D$391,$E97))</f>
        <v>0</v>
      </c>
      <c r="I97" s="23">
        <f>IF($C97&gt;0,INDEX(Merge_1_2!$E$2:$E$611,$C97),INDEX(Dataset3_Raw!$E$2:$E$391,$E97))</f>
        <v>1</v>
      </c>
      <c r="J97" s="23">
        <f>IF($C97&gt;0,INDEX(Merge_1_2!$F$2:$F$611,$C97),INDEX(Dataset3_Raw!$F$2:$F$391,$E97))</f>
        <v>4</v>
      </c>
      <c r="K97" s="23" t="b">
        <f>IF($C97&gt;0,INDEX(Merge_1_2!$G$2:$G$611,$C97),INDEX(Dataset3_Raw!$G$2:$G$391,$E97))</f>
        <v>0</v>
      </c>
      <c r="L97" s="23">
        <f>IF($C97&gt;0,INDEX(Merge_1_2!$H$2:$H$611,$C97),INDEX(Dataset3_Raw!$H$2:$H$391,$E97))</f>
        <v>3</v>
      </c>
      <c r="M97" s="23">
        <f>IF($C97&gt;0,INDEX(Merge_1_2!$I$2:$I$611,$C97),INDEX(Dataset3_Raw!$I$2:$I$391,$E97))</f>
        <v>1</v>
      </c>
      <c r="N97" s="25">
        <f>IF($C97&gt;0,INDEX(Merge_1_2!$J$2:$J$611,$C97),INDEX(Dataset3_Raw!$J$2:$J$391,$E97))</f>
        <v>0.24</v>
      </c>
      <c r="O97" s="25">
        <f>IF($C97&gt;0,IF(ISNUMBER(INDEX(Merge_1_2!$K$2:$K$611,$C97)),INDEX(Merge_1_2!$K$2:$K$611,$C97),""),INDEX(Dataset3_Raw!$K$2:$K$391,$E97))</f>
        <v>0.2273</v>
      </c>
      <c r="P97" s="25">
        <f>IF(ISNUMBER($O97),$O97,ROUND(Lookups!$B$25+Lookups!$B$24*$N97,4))</f>
        <v>0.2273</v>
      </c>
      <c r="Q97" s="25">
        <f>IF($C97&gt;0,INDEX(Merge_1_2!$L$2:$L$611,$C97),INDEX(Dataset3_Raw!$L$2:$L$391,$E97))</f>
        <v>0.48</v>
      </c>
      <c r="R97" s="25">
        <f>IF($C97&gt;0,INDEX(Merge_1_2!$M$2:$M$611,$C97),INDEX(Dataset3_Raw!$M$2:$M$391,$E97))</f>
        <v>0.22389999999999999</v>
      </c>
      <c r="S97" s="23">
        <f>IF($C97&gt;0,INDEX(Merge_1_2!$N$2:$N$611,$C97),INDEX(Dataset3_Raw!$N$2:$N$391,$E97))</f>
        <v>0</v>
      </c>
      <c r="T97" s="23">
        <f>IF($C97&gt;0,INDEX(Merge_1_2!$O$2:$O$611,$C97),INDEX(Dataset3_Raw!$O$2:$O$391,$E97))</f>
        <v>2</v>
      </c>
      <c r="U97" s="23">
        <f>IF($C97&gt;0,INDEX(Merge_1_2!$P$2:$P$611,$C97),INDEX(Dataset3_Raw!$P$2:$P$391,$E97))</f>
        <v>2</v>
      </c>
      <c r="V97" s="23" t="str">
        <f t="shared" si="7"/>
        <v>Weekday</v>
      </c>
      <c r="W97" s="23" t="str">
        <f>VLOOKUP($M97,Lookups!$A$5:$B$8,2,FALSE())</f>
        <v>Clear / Partly cloudy</v>
      </c>
      <c r="X97" s="23" t="str">
        <f>VLOOKUP($G97,Lookups!$D$5:$E$8,2,FALSE())</f>
        <v>Winter</v>
      </c>
      <c r="Y97" s="23" t="str">
        <f>VLOOKUP($L97,Lookups!$G$5:$H$11,2,FALSE())</f>
        <v>Wednesday</v>
      </c>
      <c r="Z97" s="23" t="str">
        <f>IF($J97&lt;Lookups!$B$26,"Night",IF($J97&lt;Lookups!$B$27,"Morning",IF($J97&lt;Lookups!$B$28,"Afternoon","Evening")))</f>
        <v>Night</v>
      </c>
      <c r="AA97" s="26">
        <f>ROUND($N97*(Lookups!$B$16-Lookups!$B$15)+Lookups!$B$15,1)</f>
        <v>3.3</v>
      </c>
      <c r="AB97" s="26">
        <f>ROUND($P97*(Lookups!$B$18-Lookups!$B$17)+Lookups!$B$17,1)</f>
        <v>-1</v>
      </c>
      <c r="AC97" s="23">
        <f t="shared" si="8"/>
        <v>48</v>
      </c>
      <c r="AD97" s="23">
        <f>ROUND($R97*Lookups!$B$19,1)</f>
        <v>15</v>
      </c>
      <c r="AE97" s="27">
        <f t="shared" si="9"/>
        <v>1</v>
      </c>
      <c r="AF97" s="23" t="str">
        <f>IF($U97&gt;=Lookups!$B$23,"High",IF($U97&gt;=Lookups!$B$22,"Medium","Low"))</f>
        <v>Low</v>
      </c>
      <c r="AG97" s="23">
        <f>ROUND(IF($V97="Weekday",IF(INDEX(Hourly_Analysis!$D$5:$D$28,$J97+1)&gt;0,($U97-INDEX(Hourly_Analysis!$C$5:$C$28,$J97+1))/INDEX(Hourly_Analysis!$D$5:$D$28,$J97+1),0),IF(INDEX(Hourly_Analysis!$G$5:$G$28,$J97+1)&gt;0,($U97-INDEX(Hourly_Analysis!$F$5:$F$28,$J97+1))/INDEX(Hourly_Analysis!$G$5:$G$28,$J97+1),0)),2)</f>
        <v>0.31</v>
      </c>
      <c r="AH97" s="23" t="str">
        <f>IF(ABS($AG97)&gt;Lookups!$B$20,IF($AG97&gt;0,"High anomaly","Low anomaly"),"")</f>
        <v/>
      </c>
      <c r="AI97" s="23" t="str">
        <f t="shared" si="10"/>
        <v>OK</v>
      </c>
      <c r="AJ97" s="23" t="str">
        <f t="shared" si="11"/>
        <v>No</v>
      </c>
    </row>
    <row r="98" spans="1:36" x14ac:dyDescent="0.35">
      <c r="A98" s="23">
        <v>97</v>
      </c>
      <c r="B98" s="23" t="str">
        <f t="shared" si="6"/>
        <v>Merge 1+2</v>
      </c>
      <c r="C98" s="23">
        <f>IFERROR(MATCH($A98,Merge_1_2!$A$2:$A$611,0),0)</f>
        <v>97</v>
      </c>
      <c r="D98" s="23">
        <f>IF($C98&gt;0,INDEX(Merge_1_2!$Q$2:$Q$611,$C98),0)</f>
        <v>97</v>
      </c>
      <c r="E98" s="23">
        <f>IFERROR(MATCH($A98,Dataset3_Raw!$A$2:$A$391,0),0)</f>
        <v>0</v>
      </c>
      <c r="F98" s="24">
        <f>IF($C98&gt;0,INDEX(Merge_1_2!$B$2:$B$611,$C98),DATE(VALUE(RIGHT(INDEX(Dataset3_Raw!$B$2:$B$391,$E98),4)),VALUE(MID(INDEX(Dataset3_Raw!$B$2:$B$391,$E98),4,2)),VALUE(LEFT(INDEX(Dataset3_Raw!$B$2:$B$391,$E98),2))))</f>
        <v>40548</v>
      </c>
      <c r="G98" s="23">
        <f>IF($C98&gt;0,INDEX(Merge_1_2!$C$2:$C$611,$C98),INDEX(Dataset3_Raw!$C$2:$C$391,$E98))</f>
        <v>1</v>
      </c>
      <c r="H98" s="23">
        <f>IF($C98&gt;0,INDEX(Merge_1_2!$D$2:$D$611,$C98),INDEX(Dataset3_Raw!$D$2:$D$391,$E98))</f>
        <v>0</v>
      </c>
      <c r="I98" s="23">
        <f>IF($C98&gt;0,INDEX(Merge_1_2!$E$2:$E$611,$C98),INDEX(Dataset3_Raw!$E$2:$E$391,$E98))</f>
        <v>1</v>
      </c>
      <c r="J98" s="23">
        <f>IF($C98&gt;0,INDEX(Merge_1_2!$F$2:$F$611,$C98),INDEX(Dataset3_Raw!$F$2:$F$391,$E98))</f>
        <v>5</v>
      </c>
      <c r="K98" s="23" t="b">
        <f>IF($C98&gt;0,INDEX(Merge_1_2!$G$2:$G$611,$C98),INDEX(Dataset3_Raw!$G$2:$G$391,$E98))</f>
        <v>0</v>
      </c>
      <c r="L98" s="23">
        <f>IF($C98&gt;0,INDEX(Merge_1_2!$H$2:$H$611,$C98),INDEX(Dataset3_Raw!$H$2:$H$391,$E98))</f>
        <v>3</v>
      </c>
      <c r="M98" s="23">
        <f>IF($C98&gt;0,INDEX(Merge_1_2!$I$2:$I$611,$C98),INDEX(Dataset3_Raw!$I$2:$I$391,$E98))</f>
        <v>1</v>
      </c>
      <c r="N98" s="25">
        <f>IF($C98&gt;0,INDEX(Merge_1_2!$J$2:$J$611,$C98),INDEX(Dataset3_Raw!$J$2:$J$391,$E98))</f>
        <v>0.22</v>
      </c>
      <c r="O98" s="25">
        <f>IF($C98&gt;0,IF(ISNUMBER(INDEX(Merge_1_2!$K$2:$K$611,$C98)),INDEX(Merge_1_2!$K$2:$K$611,$C98),""),INDEX(Dataset3_Raw!$K$2:$K$391,$E98))</f>
        <v>0.2273</v>
      </c>
      <c r="P98" s="25">
        <f>IF(ISNUMBER($O98),$O98,ROUND(Lookups!$B$25+Lookups!$B$24*$N98,4))</f>
        <v>0.2273</v>
      </c>
      <c r="Q98" s="25">
        <f>IF($C98&gt;0,INDEX(Merge_1_2!$L$2:$L$611,$C98),INDEX(Dataset3_Raw!$L$2:$L$391,$E98))</f>
        <v>0.47</v>
      </c>
      <c r="R98" s="25">
        <f>IF($C98&gt;0,INDEX(Merge_1_2!$M$2:$M$611,$C98),INDEX(Dataset3_Raw!$M$2:$M$391,$E98))</f>
        <v>0.16420000000000001</v>
      </c>
      <c r="S98" s="23">
        <f>IF($C98&gt;0,INDEX(Merge_1_2!$N$2:$N$611,$C98),INDEX(Dataset3_Raw!$N$2:$N$391,$E98))</f>
        <v>0</v>
      </c>
      <c r="T98" s="23">
        <f>IF($C98&gt;0,INDEX(Merge_1_2!$O$2:$O$611,$C98),INDEX(Dataset3_Raw!$O$2:$O$391,$E98))</f>
        <v>3</v>
      </c>
      <c r="U98" s="23">
        <f>IF($C98&gt;0,INDEX(Merge_1_2!$P$2:$P$611,$C98),INDEX(Dataset3_Raw!$P$2:$P$391,$E98))</f>
        <v>3</v>
      </c>
      <c r="V98" s="23" t="str">
        <f t="shared" si="7"/>
        <v>Weekday</v>
      </c>
      <c r="W98" s="23" t="str">
        <f>VLOOKUP($M98,Lookups!$A$5:$B$8,2,FALSE())</f>
        <v>Clear / Partly cloudy</v>
      </c>
      <c r="X98" s="23" t="str">
        <f>VLOOKUP($G98,Lookups!$D$5:$E$8,2,FALSE())</f>
        <v>Winter</v>
      </c>
      <c r="Y98" s="23" t="str">
        <f>VLOOKUP($L98,Lookups!$G$5:$H$11,2,FALSE())</f>
        <v>Wednesday</v>
      </c>
      <c r="Z98" s="23" t="str">
        <f>IF($J98&lt;Lookups!$B$26,"Night",IF($J98&lt;Lookups!$B$27,"Morning",IF($J98&lt;Lookups!$B$28,"Afternoon","Evening")))</f>
        <v>Night</v>
      </c>
      <c r="AA98" s="26">
        <f>ROUND($N98*(Lookups!$B$16-Lookups!$B$15)+Lookups!$B$15,1)</f>
        <v>2.2999999999999998</v>
      </c>
      <c r="AB98" s="26">
        <f>ROUND($P98*(Lookups!$B$18-Lookups!$B$17)+Lookups!$B$17,1)</f>
        <v>-1</v>
      </c>
      <c r="AC98" s="23">
        <f t="shared" si="8"/>
        <v>47</v>
      </c>
      <c r="AD98" s="23">
        <f>ROUND($R98*Lookups!$B$19,1)</f>
        <v>11</v>
      </c>
      <c r="AE98" s="27">
        <f t="shared" si="9"/>
        <v>1</v>
      </c>
      <c r="AF98" s="23" t="str">
        <f>IF($U98&gt;=Lookups!$B$23,"High",IF($U98&gt;=Lookups!$B$22,"Medium","Low"))</f>
        <v>Low</v>
      </c>
      <c r="AG98" s="23">
        <f>ROUND(IF($V98="Weekday",IF(INDEX(Hourly_Analysis!$D$5:$D$28,$J98+1)&gt;0,($U98-INDEX(Hourly_Analysis!$C$5:$C$28,$J98+1))/INDEX(Hourly_Analysis!$D$5:$D$28,$J98+1),0),IF(INDEX(Hourly_Analysis!$G$5:$G$28,$J98+1)&gt;0,($U98-INDEX(Hourly_Analysis!$F$5:$F$28,$J98+1))/INDEX(Hourly_Analysis!$G$5:$G$28,$J98+1),0)),2)</f>
        <v>-0.82</v>
      </c>
      <c r="AH98" s="23" t="str">
        <f>IF(ABS($AG98)&gt;Lookups!$B$20,IF($AG98&gt;0,"High anomaly","Low anomaly"),"")</f>
        <v/>
      </c>
      <c r="AI98" s="23" t="str">
        <f t="shared" si="10"/>
        <v>OK</v>
      </c>
      <c r="AJ98" s="23" t="str">
        <f t="shared" si="11"/>
        <v>No</v>
      </c>
    </row>
    <row r="99" spans="1:36" x14ac:dyDescent="0.35">
      <c r="A99" s="23">
        <v>98</v>
      </c>
      <c r="B99" s="23" t="str">
        <f t="shared" si="6"/>
        <v>Merge 1+2</v>
      </c>
      <c r="C99" s="23">
        <f>IFERROR(MATCH($A99,Merge_1_2!$A$2:$A$611,0),0)</f>
        <v>98</v>
      </c>
      <c r="D99" s="23">
        <f>IF($C99&gt;0,INDEX(Merge_1_2!$Q$2:$Q$611,$C99),0)</f>
        <v>98</v>
      </c>
      <c r="E99" s="23">
        <f>IFERROR(MATCH($A99,Dataset3_Raw!$A$2:$A$391,0),0)</f>
        <v>0</v>
      </c>
      <c r="F99" s="24">
        <f>IF($C99&gt;0,INDEX(Merge_1_2!$B$2:$B$611,$C99),DATE(VALUE(RIGHT(INDEX(Dataset3_Raw!$B$2:$B$391,$E99),4)),VALUE(MID(INDEX(Dataset3_Raw!$B$2:$B$391,$E99),4,2)),VALUE(LEFT(INDEX(Dataset3_Raw!$B$2:$B$391,$E99),2))))</f>
        <v>40548</v>
      </c>
      <c r="G99" s="23">
        <f>IF($C99&gt;0,INDEX(Merge_1_2!$C$2:$C$611,$C99),INDEX(Dataset3_Raw!$C$2:$C$391,$E99))</f>
        <v>1</v>
      </c>
      <c r="H99" s="23">
        <f>IF($C99&gt;0,INDEX(Merge_1_2!$D$2:$D$611,$C99),INDEX(Dataset3_Raw!$D$2:$D$391,$E99))</f>
        <v>0</v>
      </c>
      <c r="I99" s="23">
        <f>IF($C99&gt;0,INDEX(Merge_1_2!$E$2:$E$611,$C99),INDEX(Dataset3_Raw!$E$2:$E$391,$E99))</f>
        <v>1</v>
      </c>
      <c r="J99" s="23">
        <f>IF($C99&gt;0,INDEX(Merge_1_2!$F$2:$F$611,$C99),INDEX(Dataset3_Raw!$F$2:$F$391,$E99))</f>
        <v>6</v>
      </c>
      <c r="K99" s="23" t="b">
        <f>IF($C99&gt;0,INDEX(Merge_1_2!$G$2:$G$611,$C99),INDEX(Dataset3_Raw!$G$2:$G$391,$E99))</f>
        <v>0</v>
      </c>
      <c r="L99" s="23">
        <f>IF($C99&gt;0,INDEX(Merge_1_2!$H$2:$H$611,$C99),INDEX(Dataset3_Raw!$H$2:$H$391,$E99))</f>
        <v>3</v>
      </c>
      <c r="M99" s="23">
        <f>IF($C99&gt;0,INDEX(Merge_1_2!$I$2:$I$611,$C99),INDEX(Dataset3_Raw!$I$2:$I$391,$E99))</f>
        <v>1</v>
      </c>
      <c r="N99" s="25">
        <f>IF($C99&gt;0,INDEX(Merge_1_2!$J$2:$J$611,$C99),INDEX(Dataset3_Raw!$J$2:$J$391,$E99))</f>
        <v>0.2</v>
      </c>
      <c r="O99" s="25">
        <f>IF($C99&gt;0,IF(ISNUMBER(INDEX(Merge_1_2!$K$2:$K$611,$C99)),INDEX(Merge_1_2!$K$2:$K$611,$C99),""),INDEX(Dataset3_Raw!$K$2:$K$391,$E99))</f>
        <v>0.19700000000000001</v>
      </c>
      <c r="P99" s="25">
        <f>IF(ISNUMBER($O99),$O99,ROUND(Lookups!$B$25+Lookups!$B$24*$N99,4))</f>
        <v>0.19700000000000001</v>
      </c>
      <c r="Q99" s="25">
        <f>IF($C99&gt;0,INDEX(Merge_1_2!$L$2:$L$611,$C99),INDEX(Dataset3_Raw!$L$2:$L$391,$E99))</f>
        <v>0.47</v>
      </c>
      <c r="R99" s="25">
        <f>IF($C99&gt;0,INDEX(Merge_1_2!$M$2:$M$611,$C99),INDEX(Dataset3_Raw!$M$2:$M$391,$E99))</f>
        <v>0.22389999999999999</v>
      </c>
      <c r="S99" s="23">
        <f>IF($C99&gt;0,INDEX(Merge_1_2!$N$2:$N$611,$C99),INDEX(Dataset3_Raw!$N$2:$N$391,$E99))</f>
        <v>0</v>
      </c>
      <c r="T99" s="23">
        <f>IF($C99&gt;0,INDEX(Merge_1_2!$O$2:$O$611,$C99),INDEX(Dataset3_Raw!$O$2:$O$391,$E99))</f>
        <v>33</v>
      </c>
      <c r="U99" s="23">
        <f>IF($C99&gt;0,INDEX(Merge_1_2!$P$2:$P$611,$C99),INDEX(Dataset3_Raw!$P$2:$P$391,$E99))</f>
        <v>33</v>
      </c>
      <c r="V99" s="23" t="str">
        <f t="shared" si="7"/>
        <v>Weekday</v>
      </c>
      <c r="W99" s="23" t="str">
        <f>VLOOKUP($M99,Lookups!$A$5:$B$8,2,FALSE())</f>
        <v>Clear / Partly cloudy</v>
      </c>
      <c r="X99" s="23" t="str">
        <f>VLOOKUP($G99,Lookups!$D$5:$E$8,2,FALSE())</f>
        <v>Winter</v>
      </c>
      <c r="Y99" s="23" t="str">
        <f>VLOOKUP($L99,Lookups!$G$5:$H$11,2,FALSE())</f>
        <v>Wednesday</v>
      </c>
      <c r="Z99" s="23" t="str">
        <f>IF($J99&lt;Lookups!$B$26,"Night",IF($J99&lt;Lookups!$B$27,"Morning",IF($J99&lt;Lookups!$B$28,"Afternoon","Evening")))</f>
        <v>Morning</v>
      </c>
      <c r="AA99" s="26">
        <f>ROUND($N99*(Lookups!$B$16-Lookups!$B$15)+Lookups!$B$15,1)</f>
        <v>1.4</v>
      </c>
      <c r="AB99" s="26">
        <f>ROUND($P99*(Lookups!$B$18-Lookups!$B$17)+Lookups!$B$17,1)</f>
        <v>-3</v>
      </c>
      <c r="AC99" s="23">
        <f t="shared" si="8"/>
        <v>47</v>
      </c>
      <c r="AD99" s="23">
        <f>ROUND($R99*Lookups!$B$19,1)</f>
        <v>15</v>
      </c>
      <c r="AE99" s="27">
        <f t="shared" si="9"/>
        <v>1</v>
      </c>
      <c r="AF99" s="23" t="str">
        <f>IF($U99&gt;=Lookups!$B$23,"High",IF($U99&gt;=Lookups!$B$22,"Medium","Low"))</f>
        <v>Medium</v>
      </c>
      <c r="AG99" s="23">
        <f>ROUND(IF($V99="Weekday",IF(INDEX(Hourly_Analysis!$D$5:$D$28,$J99+1)&gt;0,($U99-INDEX(Hourly_Analysis!$C$5:$C$28,$J99+1))/INDEX(Hourly_Analysis!$D$5:$D$28,$J99+1),0),IF(INDEX(Hourly_Analysis!$G$5:$G$28,$J99+1)&gt;0,($U99-INDEX(Hourly_Analysis!$F$5:$F$28,$J99+1))/INDEX(Hourly_Analysis!$G$5:$G$28,$J99+1),0)),2)</f>
        <v>0.56000000000000005</v>
      </c>
      <c r="AH99" s="23" t="str">
        <f>IF(ABS($AG99)&gt;Lookups!$B$20,IF($AG99&gt;0,"High anomaly","Low anomaly"),"")</f>
        <v/>
      </c>
      <c r="AI99" s="23" t="str">
        <f t="shared" si="10"/>
        <v>OK</v>
      </c>
      <c r="AJ99" s="23" t="str">
        <f t="shared" si="11"/>
        <v>No</v>
      </c>
    </row>
    <row r="100" spans="1:36" x14ac:dyDescent="0.35">
      <c r="A100" s="23">
        <v>99</v>
      </c>
      <c r="B100" s="23" t="str">
        <f t="shared" si="6"/>
        <v>Merge 1+2</v>
      </c>
      <c r="C100" s="23">
        <f>IFERROR(MATCH($A100,Merge_1_2!$A$2:$A$611,0),0)</f>
        <v>99</v>
      </c>
      <c r="D100" s="23">
        <f>IF($C100&gt;0,INDEX(Merge_1_2!$Q$2:$Q$611,$C100),0)</f>
        <v>99</v>
      </c>
      <c r="E100" s="23">
        <f>IFERROR(MATCH($A100,Dataset3_Raw!$A$2:$A$391,0),0)</f>
        <v>0</v>
      </c>
      <c r="F100" s="24">
        <f>IF($C100&gt;0,INDEX(Merge_1_2!$B$2:$B$611,$C100),DATE(VALUE(RIGHT(INDEX(Dataset3_Raw!$B$2:$B$391,$E100),4)),VALUE(MID(INDEX(Dataset3_Raw!$B$2:$B$391,$E100),4,2)),VALUE(LEFT(INDEX(Dataset3_Raw!$B$2:$B$391,$E100),2))))</f>
        <v>40548</v>
      </c>
      <c r="G100" s="23">
        <f>IF($C100&gt;0,INDEX(Merge_1_2!$C$2:$C$611,$C100),INDEX(Dataset3_Raw!$C$2:$C$391,$E100))</f>
        <v>1</v>
      </c>
      <c r="H100" s="23">
        <f>IF($C100&gt;0,INDEX(Merge_1_2!$D$2:$D$611,$C100),INDEX(Dataset3_Raw!$D$2:$D$391,$E100))</f>
        <v>0</v>
      </c>
      <c r="I100" s="23">
        <f>IF($C100&gt;0,INDEX(Merge_1_2!$E$2:$E$611,$C100),INDEX(Dataset3_Raw!$E$2:$E$391,$E100))</f>
        <v>1</v>
      </c>
      <c r="J100" s="23">
        <f>IF($C100&gt;0,INDEX(Merge_1_2!$F$2:$F$611,$C100),INDEX(Dataset3_Raw!$F$2:$F$391,$E100))</f>
        <v>7</v>
      </c>
      <c r="K100" s="23" t="b">
        <f>IF($C100&gt;0,INDEX(Merge_1_2!$G$2:$G$611,$C100),INDEX(Dataset3_Raw!$G$2:$G$391,$E100))</f>
        <v>0</v>
      </c>
      <c r="L100" s="23">
        <f>IF($C100&gt;0,INDEX(Merge_1_2!$H$2:$H$611,$C100),INDEX(Dataset3_Raw!$H$2:$H$391,$E100))</f>
        <v>3</v>
      </c>
      <c r="M100" s="23">
        <f>IF($C100&gt;0,INDEX(Merge_1_2!$I$2:$I$611,$C100),INDEX(Dataset3_Raw!$I$2:$I$391,$E100))</f>
        <v>1</v>
      </c>
      <c r="N100" s="25">
        <f>IF($C100&gt;0,INDEX(Merge_1_2!$J$2:$J$611,$C100),INDEX(Dataset3_Raw!$J$2:$J$391,$E100))</f>
        <v>0.18</v>
      </c>
      <c r="O100" s="25">
        <f>IF($C100&gt;0,IF(ISNUMBER(INDEX(Merge_1_2!$K$2:$K$611,$C100)),INDEX(Merge_1_2!$K$2:$K$611,$C100),""),INDEX(Dataset3_Raw!$K$2:$K$391,$E100))</f>
        <v>0.18179999999999999</v>
      </c>
      <c r="P100" s="25">
        <f>IF(ISNUMBER($O100),$O100,ROUND(Lookups!$B$25+Lookups!$B$24*$N100,4))</f>
        <v>0.18179999999999999</v>
      </c>
      <c r="Q100" s="25">
        <f>IF($C100&gt;0,INDEX(Merge_1_2!$L$2:$L$611,$C100),INDEX(Dataset3_Raw!$L$2:$L$391,$E100))</f>
        <v>0.43</v>
      </c>
      <c r="R100" s="25">
        <f>IF($C100&gt;0,INDEX(Merge_1_2!$M$2:$M$611,$C100),INDEX(Dataset3_Raw!$M$2:$M$391,$E100))</f>
        <v>0.19400000000000001</v>
      </c>
      <c r="S100" s="23">
        <f>IF($C100&gt;0,INDEX(Merge_1_2!$N$2:$N$611,$C100),INDEX(Dataset3_Raw!$N$2:$N$391,$E100))</f>
        <v>1</v>
      </c>
      <c r="T100" s="23">
        <f>IF($C100&gt;0,INDEX(Merge_1_2!$O$2:$O$611,$C100),INDEX(Dataset3_Raw!$O$2:$O$391,$E100))</f>
        <v>87</v>
      </c>
      <c r="U100" s="23">
        <f>IF($C100&gt;0,INDEX(Merge_1_2!$P$2:$P$611,$C100),INDEX(Dataset3_Raw!$P$2:$P$391,$E100))</f>
        <v>88</v>
      </c>
      <c r="V100" s="23" t="str">
        <f t="shared" si="7"/>
        <v>Weekday</v>
      </c>
      <c r="W100" s="23" t="str">
        <f>VLOOKUP($M100,Lookups!$A$5:$B$8,2,FALSE())</f>
        <v>Clear / Partly cloudy</v>
      </c>
      <c r="X100" s="23" t="str">
        <f>VLOOKUP($G100,Lookups!$D$5:$E$8,2,FALSE())</f>
        <v>Winter</v>
      </c>
      <c r="Y100" s="23" t="str">
        <f>VLOOKUP($L100,Lookups!$G$5:$H$11,2,FALSE())</f>
        <v>Wednesday</v>
      </c>
      <c r="Z100" s="23" t="str">
        <f>IF($J100&lt;Lookups!$B$26,"Night",IF($J100&lt;Lookups!$B$27,"Morning",IF($J100&lt;Lookups!$B$28,"Afternoon","Evening")))</f>
        <v>Morning</v>
      </c>
      <c r="AA100" s="26">
        <f>ROUND($N100*(Lookups!$B$16-Lookups!$B$15)+Lookups!$B$15,1)</f>
        <v>0.5</v>
      </c>
      <c r="AB100" s="26">
        <f>ROUND($P100*(Lookups!$B$18-Lookups!$B$17)+Lookups!$B$17,1)</f>
        <v>-4</v>
      </c>
      <c r="AC100" s="23">
        <f t="shared" si="8"/>
        <v>43</v>
      </c>
      <c r="AD100" s="23">
        <f>ROUND($R100*Lookups!$B$19,1)</f>
        <v>13</v>
      </c>
      <c r="AE100" s="27">
        <f t="shared" si="9"/>
        <v>0.98863636363636365</v>
      </c>
      <c r="AF100" s="23" t="str">
        <f>IF($U100&gt;=Lookups!$B$23,"High",IF($U100&gt;=Lookups!$B$22,"Medium","Low"))</f>
        <v>High</v>
      </c>
      <c r="AG100" s="23">
        <f>ROUND(IF($V100="Weekday",IF(INDEX(Hourly_Analysis!$D$5:$D$28,$J100+1)&gt;0,($U100-INDEX(Hourly_Analysis!$C$5:$C$28,$J100+1))/INDEX(Hourly_Analysis!$D$5:$D$28,$J100+1),0),IF(INDEX(Hourly_Analysis!$G$5:$G$28,$J100+1)&gt;0,($U100-INDEX(Hourly_Analysis!$F$5:$F$28,$J100+1))/INDEX(Hourly_Analysis!$G$5:$G$28,$J100+1),0)),2)</f>
        <v>0.4</v>
      </c>
      <c r="AH100" s="23" t="str">
        <f>IF(ABS($AG100)&gt;Lookups!$B$20,IF($AG100&gt;0,"High anomaly","Low anomaly"),"")</f>
        <v/>
      </c>
      <c r="AI100" s="23" t="str">
        <f t="shared" si="10"/>
        <v>OK</v>
      </c>
      <c r="AJ100" s="23" t="str">
        <f t="shared" si="11"/>
        <v>No</v>
      </c>
    </row>
    <row r="101" spans="1:36" x14ac:dyDescent="0.35">
      <c r="A101" s="23">
        <v>100</v>
      </c>
      <c r="B101" s="23" t="str">
        <f t="shared" si="6"/>
        <v>Merge 1+2</v>
      </c>
      <c r="C101" s="23">
        <f>IFERROR(MATCH($A101,Merge_1_2!$A$2:$A$611,0),0)</f>
        <v>100</v>
      </c>
      <c r="D101" s="23">
        <f>IF($C101&gt;0,INDEX(Merge_1_2!$Q$2:$Q$611,$C101),0)</f>
        <v>100</v>
      </c>
      <c r="E101" s="23">
        <f>IFERROR(MATCH($A101,Dataset3_Raw!$A$2:$A$391,0),0)</f>
        <v>0</v>
      </c>
      <c r="F101" s="24">
        <f>IF($C101&gt;0,INDEX(Merge_1_2!$B$2:$B$611,$C101),DATE(VALUE(RIGHT(INDEX(Dataset3_Raw!$B$2:$B$391,$E101),4)),VALUE(MID(INDEX(Dataset3_Raw!$B$2:$B$391,$E101),4,2)),VALUE(LEFT(INDEX(Dataset3_Raw!$B$2:$B$391,$E101),2))))</f>
        <v>40548</v>
      </c>
      <c r="G101" s="23">
        <f>IF($C101&gt;0,INDEX(Merge_1_2!$C$2:$C$611,$C101),INDEX(Dataset3_Raw!$C$2:$C$391,$E101))</f>
        <v>1</v>
      </c>
      <c r="H101" s="23">
        <f>IF($C101&gt;0,INDEX(Merge_1_2!$D$2:$D$611,$C101),INDEX(Dataset3_Raw!$D$2:$D$391,$E101))</f>
        <v>0</v>
      </c>
      <c r="I101" s="23">
        <f>IF($C101&gt;0,INDEX(Merge_1_2!$E$2:$E$611,$C101),INDEX(Dataset3_Raw!$E$2:$E$391,$E101))</f>
        <v>1</v>
      </c>
      <c r="J101" s="23">
        <f>IF($C101&gt;0,INDEX(Merge_1_2!$F$2:$F$611,$C101),INDEX(Dataset3_Raw!$F$2:$F$391,$E101))</f>
        <v>8</v>
      </c>
      <c r="K101" s="23" t="b">
        <f>IF($C101&gt;0,INDEX(Merge_1_2!$G$2:$G$611,$C101),INDEX(Dataset3_Raw!$G$2:$G$391,$E101))</f>
        <v>0</v>
      </c>
      <c r="L101" s="23">
        <f>IF($C101&gt;0,INDEX(Merge_1_2!$H$2:$H$611,$C101),INDEX(Dataset3_Raw!$H$2:$H$391,$E101))</f>
        <v>3</v>
      </c>
      <c r="M101" s="23">
        <f>IF($C101&gt;0,INDEX(Merge_1_2!$I$2:$I$611,$C101),INDEX(Dataset3_Raw!$I$2:$I$391,$E101))</f>
        <v>1</v>
      </c>
      <c r="N101" s="25">
        <f>IF($C101&gt;0,INDEX(Merge_1_2!$J$2:$J$611,$C101),INDEX(Dataset3_Raw!$J$2:$J$391,$E101))</f>
        <v>0.2</v>
      </c>
      <c r="O101" s="25">
        <f>IF($C101&gt;0,IF(ISNUMBER(INDEX(Merge_1_2!$K$2:$K$611,$C101)),INDEX(Merge_1_2!$K$2:$K$611,$C101),""),INDEX(Dataset3_Raw!$K$2:$K$391,$E101))</f>
        <v>0.18179999999999999</v>
      </c>
      <c r="P101" s="25">
        <f>IF(ISNUMBER($O101),$O101,ROUND(Lookups!$B$25+Lookups!$B$24*$N101,4))</f>
        <v>0.18179999999999999</v>
      </c>
      <c r="Q101" s="25">
        <f>IF($C101&gt;0,INDEX(Merge_1_2!$L$2:$L$611,$C101),INDEX(Dataset3_Raw!$L$2:$L$391,$E101))</f>
        <v>0.4</v>
      </c>
      <c r="R101" s="25">
        <f>IF($C101&gt;0,INDEX(Merge_1_2!$M$2:$M$611,$C101),INDEX(Dataset3_Raw!$M$2:$M$391,$E101))</f>
        <v>0.29849999999999999</v>
      </c>
      <c r="S101" s="23">
        <f>IF($C101&gt;0,INDEX(Merge_1_2!$N$2:$N$611,$C101),INDEX(Dataset3_Raw!$N$2:$N$391,$E101))</f>
        <v>3</v>
      </c>
      <c r="T101" s="23">
        <f>IF($C101&gt;0,INDEX(Merge_1_2!$O$2:$O$611,$C101),INDEX(Dataset3_Raw!$O$2:$O$391,$E101))</f>
        <v>192</v>
      </c>
      <c r="U101" s="23">
        <f>IF($C101&gt;0,INDEX(Merge_1_2!$P$2:$P$611,$C101),INDEX(Dataset3_Raw!$P$2:$P$391,$E101))</f>
        <v>195</v>
      </c>
      <c r="V101" s="23" t="str">
        <f t="shared" si="7"/>
        <v>Weekday</v>
      </c>
      <c r="W101" s="23" t="str">
        <f>VLOOKUP($M101,Lookups!$A$5:$B$8,2,FALSE())</f>
        <v>Clear / Partly cloudy</v>
      </c>
      <c r="X101" s="23" t="str">
        <f>VLOOKUP($G101,Lookups!$D$5:$E$8,2,FALSE())</f>
        <v>Winter</v>
      </c>
      <c r="Y101" s="23" t="str">
        <f>VLOOKUP($L101,Lookups!$G$5:$H$11,2,FALSE())</f>
        <v>Wednesday</v>
      </c>
      <c r="Z101" s="23" t="str">
        <f>IF($J101&lt;Lookups!$B$26,"Night",IF($J101&lt;Lookups!$B$27,"Morning",IF($J101&lt;Lookups!$B$28,"Afternoon","Evening")))</f>
        <v>Morning</v>
      </c>
      <c r="AA101" s="26">
        <f>ROUND($N101*(Lookups!$B$16-Lookups!$B$15)+Lookups!$B$15,1)</f>
        <v>1.4</v>
      </c>
      <c r="AB101" s="26">
        <f>ROUND($P101*(Lookups!$B$18-Lookups!$B$17)+Lookups!$B$17,1)</f>
        <v>-4</v>
      </c>
      <c r="AC101" s="23">
        <f t="shared" si="8"/>
        <v>40</v>
      </c>
      <c r="AD101" s="23">
        <f>ROUND($R101*Lookups!$B$19,1)</f>
        <v>20</v>
      </c>
      <c r="AE101" s="27">
        <f t="shared" si="9"/>
        <v>0.98461538461538467</v>
      </c>
      <c r="AF101" s="23" t="str">
        <f>IF($U101&gt;=Lookups!$B$23,"High",IF($U101&gt;=Lookups!$B$22,"Medium","Low"))</f>
        <v>High</v>
      </c>
      <c r="AG101" s="23">
        <f>ROUND(IF($V101="Weekday",IF(INDEX(Hourly_Analysis!$D$5:$D$28,$J101+1)&gt;0,($U101-INDEX(Hourly_Analysis!$C$5:$C$28,$J101+1))/INDEX(Hourly_Analysis!$D$5:$D$28,$J101+1),0),IF(INDEX(Hourly_Analysis!$G$5:$G$28,$J101+1)&gt;0,($U101-INDEX(Hourly_Analysis!$F$5:$F$28,$J101+1))/INDEX(Hourly_Analysis!$G$5:$G$28,$J101+1),0)),2)</f>
        <v>0.15</v>
      </c>
      <c r="AH101" s="23" t="str">
        <f>IF(ABS($AG101)&gt;Lookups!$B$20,IF($AG101&gt;0,"High anomaly","Low anomaly"),"")</f>
        <v/>
      </c>
      <c r="AI101" s="23" t="str">
        <f t="shared" si="10"/>
        <v>OK</v>
      </c>
      <c r="AJ101" s="23" t="str">
        <f t="shared" si="11"/>
        <v>No</v>
      </c>
    </row>
    <row r="102" spans="1:36" x14ac:dyDescent="0.35">
      <c r="A102" s="23">
        <v>101</v>
      </c>
      <c r="B102" s="23" t="str">
        <f t="shared" si="6"/>
        <v>Merge 1+2</v>
      </c>
      <c r="C102" s="23">
        <f>IFERROR(MATCH($A102,Merge_1_2!$A$2:$A$611,0),0)</f>
        <v>101</v>
      </c>
      <c r="D102" s="23">
        <f>IF($C102&gt;0,INDEX(Merge_1_2!$Q$2:$Q$611,$C102),0)</f>
        <v>101</v>
      </c>
      <c r="E102" s="23">
        <f>IFERROR(MATCH($A102,Dataset3_Raw!$A$2:$A$391,0),0)</f>
        <v>0</v>
      </c>
      <c r="F102" s="24">
        <f>IF($C102&gt;0,INDEX(Merge_1_2!$B$2:$B$611,$C102),DATE(VALUE(RIGHT(INDEX(Dataset3_Raw!$B$2:$B$391,$E102),4)),VALUE(MID(INDEX(Dataset3_Raw!$B$2:$B$391,$E102),4,2)),VALUE(LEFT(INDEX(Dataset3_Raw!$B$2:$B$391,$E102),2))))</f>
        <v>40548</v>
      </c>
      <c r="G102" s="23">
        <f>IF($C102&gt;0,INDEX(Merge_1_2!$C$2:$C$611,$C102),INDEX(Dataset3_Raw!$C$2:$C$391,$E102))</f>
        <v>1</v>
      </c>
      <c r="H102" s="23">
        <f>IF($C102&gt;0,INDEX(Merge_1_2!$D$2:$D$611,$C102),INDEX(Dataset3_Raw!$D$2:$D$391,$E102))</f>
        <v>0</v>
      </c>
      <c r="I102" s="23">
        <f>IF($C102&gt;0,INDEX(Merge_1_2!$E$2:$E$611,$C102),INDEX(Dataset3_Raw!$E$2:$E$391,$E102))</f>
        <v>1</v>
      </c>
      <c r="J102" s="23">
        <f>IF($C102&gt;0,INDEX(Merge_1_2!$F$2:$F$611,$C102),INDEX(Dataset3_Raw!$F$2:$F$391,$E102))</f>
        <v>9</v>
      </c>
      <c r="K102" s="23" t="b">
        <f>IF($C102&gt;0,INDEX(Merge_1_2!$G$2:$G$611,$C102),INDEX(Dataset3_Raw!$G$2:$G$391,$E102))</f>
        <v>0</v>
      </c>
      <c r="L102" s="23">
        <f>IF($C102&gt;0,INDEX(Merge_1_2!$H$2:$H$611,$C102),INDEX(Dataset3_Raw!$H$2:$H$391,$E102))</f>
        <v>3</v>
      </c>
      <c r="M102" s="23">
        <f>IF($C102&gt;0,INDEX(Merge_1_2!$I$2:$I$611,$C102),INDEX(Dataset3_Raw!$I$2:$I$391,$E102))</f>
        <v>1</v>
      </c>
      <c r="N102" s="25">
        <f>IF($C102&gt;0,INDEX(Merge_1_2!$J$2:$J$611,$C102),INDEX(Dataset3_Raw!$J$2:$J$391,$E102))</f>
        <v>0.22</v>
      </c>
      <c r="O102" s="25">
        <f>IF($C102&gt;0,IF(ISNUMBER(INDEX(Merge_1_2!$K$2:$K$611,$C102)),INDEX(Merge_1_2!$K$2:$K$611,$C102),""),INDEX(Dataset3_Raw!$K$2:$K$391,$E102))</f>
        <v>0.19700000000000001</v>
      </c>
      <c r="P102" s="25">
        <f>IF(ISNUMBER($O102),$O102,ROUND(Lookups!$B$25+Lookups!$B$24*$N102,4))</f>
        <v>0.19700000000000001</v>
      </c>
      <c r="Q102" s="25">
        <f>IF($C102&gt;0,INDEX(Merge_1_2!$L$2:$L$611,$C102),INDEX(Dataset3_Raw!$L$2:$L$391,$E102))</f>
        <v>0.37</v>
      </c>
      <c r="R102" s="25">
        <f>IF($C102&gt;0,INDEX(Merge_1_2!$M$2:$M$611,$C102),INDEX(Dataset3_Raw!$M$2:$M$391,$E102))</f>
        <v>0.32840000000000003</v>
      </c>
      <c r="S102" s="23">
        <f>IF($C102&gt;0,INDEX(Merge_1_2!$N$2:$N$611,$C102),INDEX(Dataset3_Raw!$N$2:$N$391,$E102))</f>
        <v>6</v>
      </c>
      <c r="T102" s="23">
        <f>IF($C102&gt;0,INDEX(Merge_1_2!$O$2:$O$611,$C102),INDEX(Dataset3_Raw!$O$2:$O$391,$E102))</f>
        <v>109</v>
      </c>
      <c r="U102" s="23">
        <f>IF($C102&gt;0,INDEX(Merge_1_2!$P$2:$P$611,$C102),INDEX(Dataset3_Raw!$P$2:$P$391,$E102))</f>
        <v>115</v>
      </c>
      <c r="V102" s="23" t="str">
        <f t="shared" si="7"/>
        <v>Weekday</v>
      </c>
      <c r="W102" s="23" t="str">
        <f>VLOOKUP($M102,Lookups!$A$5:$B$8,2,FALSE())</f>
        <v>Clear / Partly cloudy</v>
      </c>
      <c r="X102" s="23" t="str">
        <f>VLOOKUP($G102,Lookups!$D$5:$E$8,2,FALSE())</f>
        <v>Winter</v>
      </c>
      <c r="Y102" s="23" t="str">
        <f>VLOOKUP($L102,Lookups!$G$5:$H$11,2,FALSE())</f>
        <v>Wednesday</v>
      </c>
      <c r="Z102" s="23" t="str">
        <f>IF($J102&lt;Lookups!$B$26,"Night",IF($J102&lt;Lookups!$B$27,"Morning",IF($J102&lt;Lookups!$B$28,"Afternoon","Evening")))</f>
        <v>Morning</v>
      </c>
      <c r="AA102" s="26">
        <f>ROUND($N102*(Lookups!$B$16-Lookups!$B$15)+Lookups!$B$15,1)</f>
        <v>2.2999999999999998</v>
      </c>
      <c r="AB102" s="26">
        <f>ROUND($P102*(Lookups!$B$18-Lookups!$B$17)+Lookups!$B$17,1)</f>
        <v>-3</v>
      </c>
      <c r="AC102" s="23">
        <f t="shared" si="8"/>
        <v>37</v>
      </c>
      <c r="AD102" s="23">
        <f>ROUND($R102*Lookups!$B$19,1)</f>
        <v>22</v>
      </c>
      <c r="AE102" s="27">
        <f t="shared" si="9"/>
        <v>0.94782608695652171</v>
      </c>
      <c r="AF102" s="23" t="str">
        <f>IF($U102&gt;=Lookups!$B$23,"High",IF($U102&gt;=Lookups!$B$22,"Medium","Low"))</f>
        <v>High</v>
      </c>
      <c r="AG102" s="23">
        <f>ROUND(IF($V102="Weekday",IF(INDEX(Hourly_Analysis!$D$5:$D$28,$J102+1)&gt;0,($U102-INDEX(Hourly_Analysis!$C$5:$C$28,$J102+1))/INDEX(Hourly_Analysis!$D$5:$D$28,$J102+1),0),IF(INDEX(Hourly_Analysis!$G$5:$G$28,$J102+1)&gt;0,($U102-INDEX(Hourly_Analysis!$F$5:$F$28,$J102+1))/INDEX(Hourly_Analysis!$G$5:$G$28,$J102+1),0)),2)</f>
        <v>-0.14000000000000001</v>
      </c>
      <c r="AH102" s="23" t="str">
        <f>IF(ABS($AG102)&gt;Lookups!$B$20,IF($AG102&gt;0,"High anomaly","Low anomaly"),"")</f>
        <v/>
      </c>
      <c r="AI102" s="23" t="str">
        <f t="shared" si="10"/>
        <v>OK</v>
      </c>
      <c r="AJ102" s="23" t="str">
        <f t="shared" si="11"/>
        <v>No</v>
      </c>
    </row>
    <row r="103" spans="1:36" x14ac:dyDescent="0.35">
      <c r="A103" s="23">
        <v>102</v>
      </c>
      <c r="B103" s="23" t="str">
        <f t="shared" si="6"/>
        <v>Merge 1+2</v>
      </c>
      <c r="C103" s="23">
        <f>IFERROR(MATCH($A103,Merge_1_2!$A$2:$A$611,0),0)</f>
        <v>102</v>
      </c>
      <c r="D103" s="23">
        <f>IF($C103&gt;0,INDEX(Merge_1_2!$Q$2:$Q$611,$C103),0)</f>
        <v>102</v>
      </c>
      <c r="E103" s="23">
        <f>IFERROR(MATCH($A103,Dataset3_Raw!$A$2:$A$391,0),0)</f>
        <v>0</v>
      </c>
      <c r="F103" s="24">
        <f>IF($C103&gt;0,INDEX(Merge_1_2!$B$2:$B$611,$C103),DATE(VALUE(RIGHT(INDEX(Dataset3_Raw!$B$2:$B$391,$E103),4)),VALUE(MID(INDEX(Dataset3_Raw!$B$2:$B$391,$E103),4,2)),VALUE(LEFT(INDEX(Dataset3_Raw!$B$2:$B$391,$E103),2))))</f>
        <v>40548</v>
      </c>
      <c r="G103" s="23">
        <f>IF($C103&gt;0,INDEX(Merge_1_2!$C$2:$C$611,$C103),INDEX(Dataset3_Raw!$C$2:$C$391,$E103))</f>
        <v>1</v>
      </c>
      <c r="H103" s="23">
        <f>IF($C103&gt;0,INDEX(Merge_1_2!$D$2:$D$611,$C103),INDEX(Dataset3_Raw!$D$2:$D$391,$E103))</f>
        <v>0</v>
      </c>
      <c r="I103" s="23">
        <f>IF($C103&gt;0,INDEX(Merge_1_2!$E$2:$E$611,$C103),INDEX(Dataset3_Raw!$E$2:$E$391,$E103))</f>
        <v>1</v>
      </c>
      <c r="J103" s="23">
        <f>IF($C103&gt;0,INDEX(Merge_1_2!$F$2:$F$611,$C103),INDEX(Dataset3_Raw!$F$2:$F$391,$E103))</f>
        <v>10</v>
      </c>
      <c r="K103" s="23" t="b">
        <f>IF($C103&gt;0,INDEX(Merge_1_2!$G$2:$G$611,$C103),INDEX(Dataset3_Raw!$G$2:$G$391,$E103))</f>
        <v>0</v>
      </c>
      <c r="L103" s="23">
        <f>IF($C103&gt;0,INDEX(Merge_1_2!$H$2:$H$611,$C103),INDEX(Dataset3_Raw!$H$2:$H$391,$E103))</f>
        <v>3</v>
      </c>
      <c r="M103" s="23">
        <f>IF($C103&gt;0,INDEX(Merge_1_2!$I$2:$I$611,$C103),INDEX(Dataset3_Raw!$I$2:$I$391,$E103))</f>
        <v>1</v>
      </c>
      <c r="N103" s="25">
        <f>IF($C103&gt;0,INDEX(Merge_1_2!$J$2:$J$611,$C103),INDEX(Dataset3_Raw!$J$2:$J$391,$E103))</f>
        <v>0.22</v>
      </c>
      <c r="O103" s="25">
        <f>IF($C103&gt;0,IF(ISNUMBER(INDEX(Merge_1_2!$K$2:$K$611,$C103)),INDEX(Merge_1_2!$K$2:$K$611,$C103),""),INDEX(Dataset3_Raw!$K$2:$K$391,$E103))</f>
        <v>0.19700000000000001</v>
      </c>
      <c r="P103" s="25">
        <f>IF(ISNUMBER($O103),$O103,ROUND(Lookups!$B$25+Lookups!$B$24*$N103,4))</f>
        <v>0.19700000000000001</v>
      </c>
      <c r="Q103" s="25">
        <f>IF($C103&gt;0,INDEX(Merge_1_2!$L$2:$L$611,$C103),INDEX(Dataset3_Raw!$L$2:$L$391,$E103))</f>
        <v>0.37</v>
      </c>
      <c r="R103" s="25">
        <f>IF($C103&gt;0,INDEX(Merge_1_2!$M$2:$M$611,$C103),INDEX(Dataset3_Raw!$M$2:$M$391,$E103))</f>
        <v>0.32840000000000003</v>
      </c>
      <c r="S103" s="23">
        <f>IF($C103&gt;0,INDEX(Merge_1_2!$N$2:$N$611,$C103),INDEX(Dataset3_Raw!$N$2:$N$391,$E103))</f>
        <v>4</v>
      </c>
      <c r="T103" s="23">
        <f>IF($C103&gt;0,INDEX(Merge_1_2!$O$2:$O$611,$C103),INDEX(Dataset3_Raw!$O$2:$O$391,$E103))</f>
        <v>53</v>
      </c>
      <c r="U103" s="23">
        <f>IF($C103&gt;0,INDEX(Merge_1_2!$P$2:$P$611,$C103),INDEX(Dataset3_Raw!$P$2:$P$391,$E103))</f>
        <v>57</v>
      </c>
      <c r="V103" s="23" t="str">
        <f t="shared" si="7"/>
        <v>Weekday</v>
      </c>
      <c r="W103" s="23" t="str">
        <f>VLOOKUP($M103,Lookups!$A$5:$B$8,2,FALSE())</f>
        <v>Clear / Partly cloudy</v>
      </c>
      <c r="X103" s="23" t="str">
        <f>VLOOKUP($G103,Lookups!$D$5:$E$8,2,FALSE())</f>
        <v>Winter</v>
      </c>
      <c r="Y103" s="23" t="str">
        <f>VLOOKUP($L103,Lookups!$G$5:$H$11,2,FALSE())</f>
        <v>Wednesday</v>
      </c>
      <c r="Z103" s="23" t="str">
        <f>IF($J103&lt;Lookups!$B$26,"Night",IF($J103&lt;Lookups!$B$27,"Morning",IF($J103&lt;Lookups!$B$28,"Afternoon","Evening")))</f>
        <v>Morning</v>
      </c>
      <c r="AA103" s="26">
        <f>ROUND($N103*(Lookups!$B$16-Lookups!$B$15)+Lookups!$B$15,1)</f>
        <v>2.2999999999999998</v>
      </c>
      <c r="AB103" s="26">
        <f>ROUND($P103*(Lookups!$B$18-Lookups!$B$17)+Lookups!$B$17,1)</f>
        <v>-3</v>
      </c>
      <c r="AC103" s="23">
        <f t="shared" si="8"/>
        <v>37</v>
      </c>
      <c r="AD103" s="23">
        <f>ROUND($R103*Lookups!$B$19,1)</f>
        <v>22</v>
      </c>
      <c r="AE103" s="27">
        <f t="shared" si="9"/>
        <v>0.92982456140350878</v>
      </c>
      <c r="AF103" s="23" t="str">
        <f>IF($U103&gt;=Lookups!$B$23,"High",IF($U103&gt;=Lookups!$B$22,"Medium","Low"))</f>
        <v>Medium</v>
      </c>
      <c r="AG103" s="23">
        <f>ROUND(IF($V103="Weekday",IF(INDEX(Hourly_Analysis!$D$5:$D$28,$J103+1)&gt;0,($U103-INDEX(Hourly_Analysis!$C$5:$C$28,$J103+1))/INDEX(Hourly_Analysis!$D$5:$D$28,$J103+1),0),IF(INDEX(Hourly_Analysis!$G$5:$G$28,$J103+1)&gt;0,($U103-INDEX(Hourly_Analysis!$F$5:$F$28,$J103+1))/INDEX(Hourly_Analysis!$G$5:$G$28,$J103+1),0)),2)</f>
        <v>0.81</v>
      </c>
      <c r="AH103" s="23" t="str">
        <f>IF(ABS($AG103)&gt;Lookups!$B$20,IF($AG103&gt;0,"High anomaly","Low anomaly"),"")</f>
        <v/>
      </c>
      <c r="AI103" s="23" t="str">
        <f t="shared" si="10"/>
        <v>OK</v>
      </c>
      <c r="AJ103" s="23" t="str">
        <f t="shared" si="11"/>
        <v>No</v>
      </c>
    </row>
    <row r="104" spans="1:36" x14ac:dyDescent="0.35">
      <c r="A104" s="23">
        <v>103</v>
      </c>
      <c r="B104" s="23" t="str">
        <f t="shared" si="6"/>
        <v>Merge 1+2</v>
      </c>
      <c r="C104" s="23">
        <f>IFERROR(MATCH($A104,Merge_1_2!$A$2:$A$611,0),0)</f>
        <v>103</v>
      </c>
      <c r="D104" s="23">
        <f>IF($C104&gt;0,INDEX(Merge_1_2!$Q$2:$Q$611,$C104),0)</f>
        <v>103</v>
      </c>
      <c r="E104" s="23">
        <f>IFERROR(MATCH($A104,Dataset3_Raw!$A$2:$A$391,0),0)</f>
        <v>0</v>
      </c>
      <c r="F104" s="24">
        <f>IF($C104&gt;0,INDEX(Merge_1_2!$B$2:$B$611,$C104),DATE(VALUE(RIGHT(INDEX(Dataset3_Raw!$B$2:$B$391,$E104),4)),VALUE(MID(INDEX(Dataset3_Raw!$B$2:$B$391,$E104),4,2)),VALUE(LEFT(INDEX(Dataset3_Raw!$B$2:$B$391,$E104),2))))</f>
        <v>40548</v>
      </c>
      <c r="G104" s="23">
        <f>IF($C104&gt;0,INDEX(Merge_1_2!$C$2:$C$611,$C104),INDEX(Dataset3_Raw!$C$2:$C$391,$E104))</f>
        <v>1</v>
      </c>
      <c r="H104" s="23">
        <f>IF($C104&gt;0,INDEX(Merge_1_2!$D$2:$D$611,$C104),INDEX(Dataset3_Raw!$D$2:$D$391,$E104))</f>
        <v>0</v>
      </c>
      <c r="I104" s="23">
        <f>IF($C104&gt;0,INDEX(Merge_1_2!$E$2:$E$611,$C104),INDEX(Dataset3_Raw!$E$2:$E$391,$E104))</f>
        <v>1</v>
      </c>
      <c r="J104" s="23">
        <f>IF($C104&gt;0,INDEX(Merge_1_2!$F$2:$F$611,$C104),INDEX(Dataset3_Raw!$F$2:$F$391,$E104))</f>
        <v>11</v>
      </c>
      <c r="K104" s="23" t="b">
        <f>IF($C104&gt;0,INDEX(Merge_1_2!$G$2:$G$611,$C104),INDEX(Dataset3_Raw!$G$2:$G$391,$E104))</f>
        <v>0</v>
      </c>
      <c r="L104" s="23">
        <f>IF($C104&gt;0,INDEX(Merge_1_2!$H$2:$H$611,$C104),INDEX(Dataset3_Raw!$H$2:$H$391,$E104))</f>
        <v>3</v>
      </c>
      <c r="M104" s="23">
        <f>IF($C104&gt;0,INDEX(Merge_1_2!$I$2:$I$611,$C104),INDEX(Dataset3_Raw!$I$2:$I$391,$E104))</f>
        <v>1</v>
      </c>
      <c r="N104" s="25">
        <f>IF($C104&gt;0,INDEX(Merge_1_2!$J$2:$J$611,$C104),INDEX(Dataset3_Raw!$J$2:$J$391,$E104))</f>
        <v>0.26</v>
      </c>
      <c r="O104" s="25">
        <f>IF($C104&gt;0,IF(ISNUMBER(INDEX(Merge_1_2!$K$2:$K$611,$C104)),INDEX(Merge_1_2!$K$2:$K$611,$C104),""),INDEX(Dataset3_Raw!$K$2:$K$391,$E104))</f>
        <v>0.2273</v>
      </c>
      <c r="P104" s="25">
        <f>IF(ISNUMBER($O104),$O104,ROUND(Lookups!$B$25+Lookups!$B$24*$N104,4))</f>
        <v>0.2273</v>
      </c>
      <c r="Q104" s="25">
        <f>IF($C104&gt;0,INDEX(Merge_1_2!$L$2:$L$611,$C104),INDEX(Dataset3_Raw!$L$2:$L$391,$E104))</f>
        <v>0.33</v>
      </c>
      <c r="R104" s="25">
        <f>IF($C104&gt;0,INDEX(Merge_1_2!$M$2:$M$611,$C104),INDEX(Dataset3_Raw!$M$2:$M$391,$E104))</f>
        <v>0.32840000000000003</v>
      </c>
      <c r="S104" s="23">
        <f>IF($C104&gt;0,INDEX(Merge_1_2!$N$2:$N$611,$C104),INDEX(Dataset3_Raw!$N$2:$N$391,$E104))</f>
        <v>12</v>
      </c>
      <c r="T104" s="23">
        <f>IF($C104&gt;0,INDEX(Merge_1_2!$O$2:$O$611,$C104),INDEX(Dataset3_Raw!$O$2:$O$391,$E104))</f>
        <v>34</v>
      </c>
      <c r="U104" s="23">
        <f>IF($C104&gt;0,INDEX(Merge_1_2!$P$2:$P$611,$C104),INDEX(Dataset3_Raw!$P$2:$P$391,$E104))</f>
        <v>46</v>
      </c>
      <c r="V104" s="23" t="str">
        <f t="shared" si="7"/>
        <v>Weekday</v>
      </c>
      <c r="W104" s="23" t="str">
        <f>VLOOKUP($M104,Lookups!$A$5:$B$8,2,FALSE())</f>
        <v>Clear / Partly cloudy</v>
      </c>
      <c r="X104" s="23" t="str">
        <f>VLOOKUP($G104,Lookups!$D$5:$E$8,2,FALSE())</f>
        <v>Winter</v>
      </c>
      <c r="Y104" s="23" t="str">
        <f>VLOOKUP($L104,Lookups!$G$5:$H$11,2,FALSE())</f>
        <v>Wednesday</v>
      </c>
      <c r="Z104" s="23" t="str">
        <f>IF($J104&lt;Lookups!$B$26,"Night",IF($J104&lt;Lookups!$B$27,"Morning",IF($J104&lt;Lookups!$B$28,"Afternoon","Evening")))</f>
        <v>Morning</v>
      </c>
      <c r="AA104" s="26">
        <f>ROUND($N104*(Lookups!$B$16-Lookups!$B$15)+Lookups!$B$15,1)</f>
        <v>4.2</v>
      </c>
      <c r="AB104" s="26">
        <f>ROUND($P104*(Lookups!$B$18-Lookups!$B$17)+Lookups!$B$17,1)</f>
        <v>-1</v>
      </c>
      <c r="AC104" s="23">
        <f t="shared" si="8"/>
        <v>33</v>
      </c>
      <c r="AD104" s="23">
        <f>ROUND($R104*Lookups!$B$19,1)</f>
        <v>22</v>
      </c>
      <c r="AE104" s="27">
        <f t="shared" si="9"/>
        <v>0.73913043478260865</v>
      </c>
      <c r="AF104" s="23" t="str">
        <f>IF($U104&gt;=Lookups!$B$23,"High",IF($U104&gt;=Lookups!$B$22,"Medium","Low"))</f>
        <v>Medium</v>
      </c>
      <c r="AG104" s="23">
        <f>ROUND(IF($V104="Weekday",IF(INDEX(Hourly_Analysis!$D$5:$D$28,$J104+1)&gt;0,($U104-INDEX(Hourly_Analysis!$C$5:$C$28,$J104+1))/INDEX(Hourly_Analysis!$D$5:$D$28,$J104+1),0),IF(INDEX(Hourly_Analysis!$G$5:$G$28,$J104+1)&gt;0,($U104-INDEX(Hourly_Analysis!$F$5:$F$28,$J104+1))/INDEX(Hourly_Analysis!$G$5:$G$28,$J104+1),0)),2)</f>
        <v>-0.37</v>
      </c>
      <c r="AH104" s="23" t="str">
        <f>IF(ABS($AG104)&gt;Lookups!$B$20,IF($AG104&gt;0,"High anomaly","Low anomaly"),"")</f>
        <v/>
      </c>
      <c r="AI104" s="23" t="str">
        <f t="shared" si="10"/>
        <v>OK</v>
      </c>
      <c r="AJ104" s="23" t="str">
        <f t="shared" si="11"/>
        <v>No</v>
      </c>
    </row>
    <row r="105" spans="1:36" x14ac:dyDescent="0.35">
      <c r="A105" s="23">
        <v>104</v>
      </c>
      <c r="B105" s="23" t="str">
        <f t="shared" si="6"/>
        <v>Merge 1+2</v>
      </c>
      <c r="C105" s="23">
        <f>IFERROR(MATCH($A105,Merge_1_2!$A$2:$A$611,0),0)</f>
        <v>104</v>
      </c>
      <c r="D105" s="23">
        <f>IF($C105&gt;0,INDEX(Merge_1_2!$Q$2:$Q$611,$C105),0)</f>
        <v>104</v>
      </c>
      <c r="E105" s="23">
        <f>IFERROR(MATCH($A105,Dataset3_Raw!$A$2:$A$391,0),0)</f>
        <v>0</v>
      </c>
      <c r="F105" s="24">
        <f>IF($C105&gt;0,INDEX(Merge_1_2!$B$2:$B$611,$C105),DATE(VALUE(RIGHT(INDEX(Dataset3_Raw!$B$2:$B$391,$E105),4)),VALUE(MID(INDEX(Dataset3_Raw!$B$2:$B$391,$E105),4,2)),VALUE(LEFT(INDEX(Dataset3_Raw!$B$2:$B$391,$E105),2))))</f>
        <v>40548</v>
      </c>
      <c r="G105" s="23">
        <f>IF($C105&gt;0,INDEX(Merge_1_2!$C$2:$C$611,$C105),INDEX(Dataset3_Raw!$C$2:$C$391,$E105))</f>
        <v>1</v>
      </c>
      <c r="H105" s="23">
        <f>IF($C105&gt;0,INDEX(Merge_1_2!$D$2:$D$611,$C105),INDEX(Dataset3_Raw!$D$2:$D$391,$E105))</f>
        <v>0</v>
      </c>
      <c r="I105" s="23">
        <f>IF($C105&gt;0,INDEX(Merge_1_2!$E$2:$E$611,$C105),INDEX(Dataset3_Raw!$E$2:$E$391,$E105))</f>
        <v>1</v>
      </c>
      <c r="J105" s="23">
        <f>IF($C105&gt;0,INDEX(Merge_1_2!$F$2:$F$611,$C105),INDEX(Dataset3_Raw!$F$2:$F$391,$E105))</f>
        <v>12</v>
      </c>
      <c r="K105" s="23" t="b">
        <f>IF($C105&gt;0,INDEX(Merge_1_2!$G$2:$G$611,$C105),INDEX(Dataset3_Raw!$G$2:$G$391,$E105))</f>
        <v>0</v>
      </c>
      <c r="L105" s="23">
        <f>IF($C105&gt;0,INDEX(Merge_1_2!$H$2:$H$611,$C105),INDEX(Dataset3_Raw!$H$2:$H$391,$E105))</f>
        <v>3</v>
      </c>
      <c r="M105" s="23">
        <f>IF($C105&gt;0,INDEX(Merge_1_2!$I$2:$I$611,$C105),INDEX(Dataset3_Raw!$I$2:$I$391,$E105))</f>
        <v>1</v>
      </c>
      <c r="N105" s="25">
        <f>IF($C105&gt;0,INDEX(Merge_1_2!$J$2:$J$611,$C105),INDEX(Dataset3_Raw!$J$2:$J$391,$E105))</f>
        <v>0.26</v>
      </c>
      <c r="O105" s="25">
        <f>IF($C105&gt;0,IF(ISNUMBER(INDEX(Merge_1_2!$K$2:$K$611,$C105)),INDEX(Merge_1_2!$K$2:$K$611,$C105),""),INDEX(Dataset3_Raw!$K$2:$K$391,$E105))</f>
        <v>0.2273</v>
      </c>
      <c r="P105" s="25">
        <f>IF(ISNUMBER($O105),$O105,ROUND(Lookups!$B$25+Lookups!$B$24*$N105,4))</f>
        <v>0.2273</v>
      </c>
      <c r="Q105" s="25">
        <f>IF($C105&gt;0,INDEX(Merge_1_2!$L$2:$L$611,$C105),INDEX(Dataset3_Raw!$L$2:$L$391,$E105))</f>
        <v>0.33</v>
      </c>
      <c r="R105" s="25">
        <f>IF($C105&gt;0,INDEX(Merge_1_2!$M$2:$M$611,$C105),INDEX(Dataset3_Raw!$M$2:$M$391,$E105))</f>
        <v>0.32840000000000003</v>
      </c>
      <c r="S105" s="23">
        <f>IF($C105&gt;0,INDEX(Merge_1_2!$N$2:$N$611,$C105),INDEX(Dataset3_Raw!$N$2:$N$391,$E105))</f>
        <v>5</v>
      </c>
      <c r="T105" s="23">
        <f>IF($C105&gt;0,INDEX(Merge_1_2!$O$2:$O$611,$C105),INDEX(Dataset3_Raw!$O$2:$O$391,$E105))</f>
        <v>74</v>
      </c>
      <c r="U105" s="23">
        <f>IF($C105&gt;0,INDEX(Merge_1_2!$P$2:$P$611,$C105),INDEX(Dataset3_Raw!$P$2:$P$391,$E105))</f>
        <v>79</v>
      </c>
      <c r="V105" s="23" t="str">
        <f t="shared" si="7"/>
        <v>Weekday</v>
      </c>
      <c r="W105" s="23" t="str">
        <f>VLOOKUP($M105,Lookups!$A$5:$B$8,2,FALSE())</f>
        <v>Clear / Partly cloudy</v>
      </c>
      <c r="X105" s="23" t="str">
        <f>VLOOKUP($G105,Lookups!$D$5:$E$8,2,FALSE())</f>
        <v>Winter</v>
      </c>
      <c r="Y105" s="23" t="str">
        <f>VLOOKUP($L105,Lookups!$G$5:$H$11,2,FALSE())</f>
        <v>Wednesday</v>
      </c>
      <c r="Z105" s="23" t="str">
        <f>IF($J105&lt;Lookups!$B$26,"Night",IF($J105&lt;Lookups!$B$27,"Morning",IF($J105&lt;Lookups!$B$28,"Afternoon","Evening")))</f>
        <v>Afternoon</v>
      </c>
      <c r="AA105" s="26">
        <f>ROUND($N105*(Lookups!$B$16-Lookups!$B$15)+Lookups!$B$15,1)</f>
        <v>4.2</v>
      </c>
      <c r="AB105" s="26">
        <f>ROUND($P105*(Lookups!$B$18-Lookups!$B$17)+Lookups!$B$17,1)</f>
        <v>-1</v>
      </c>
      <c r="AC105" s="23">
        <f t="shared" si="8"/>
        <v>33</v>
      </c>
      <c r="AD105" s="23">
        <f>ROUND($R105*Lookups!$B$19,1)</f>
        <v>22</v>
      </c>
      <c r="AE105" s="27">
        <f t="shared" si="9"/>
        <v>0.93670886075949367</v>
      </c>
      <c r="AF105" s="23" t="str">
        <f>IF($U105&gt;=Lookups!$B$23,"High",IF($U105&gt;=Lookups!$B$22,"Medium","Low"))</f>
        <v>Medium</v>
      </c>
      <c r="AG105" s="23">
        <f>ROUND(IF($V105="Weekday",IF(INDEX(Hourly_Analysis!$D$5:$D$28,$J105+1)&gt;0,($U105-INDEX(Hourly_Analysis!$C$5:$C$28,$J105+1))/INDEX(Hourly_Analysis!$D$5:$D$28,$J105+1),0),IF(INDEX(Hourly_Analysis!$G$5:$G$28,$J105+1)&gt;0,($U105-INDEX(Hourly_Analysis!$F$5:$F$28,$J105+1))/INDEX(Hourly_Analysis!$G$5:$G$28,$J105+1),0)),2)</f>
        <v>0.79</v>
      </c>
      <c r="AH105" s="23" t="str">
        <f>IF(ABS($AG105)&gt;Lookups!$B$20,IF($AG105&gt;0,"High anomaly","Low anomaly"),"")</f>
        <v/>
      </c>
      <c r="AI105" s="23" t="str">
        <f t="shared" si="10"/>
        <v>OK</v>
      </c>
      <c r="AJ105" s="23" t="str">
        <f t="shared" si="11"/>
        <v>No</v>
      </c>
    </row>
    <row r="106" spans="1:36" x14ac:dyDescent="0.35">
      <c r="A106" s="23">
        <v>105</v>
      </c>
      <c r="B106" s="23" t="str">
        <f t="shared" si="6"/>
        <v>Merge 1+2</v>
      </c>
      <c r="C106" s="23">
        <f>IFERROR(MATCH($A106,Merge_1_2!$A$2:$A$611,0),0)</f>
        <v>105</v>
      </c>
      <c r="D106" s="23">
        <f>IF($C106&gt;0,INDEX(Merge_1_2!$Q$2:$Q$611,$C106),0)</f>
        <v>105</v>
      </c>
      <c r="E106" s="23">
        <f>IFERROR(MATCH($A106,Dataset3_Raw!$A$2:$A$391,0),0)</f>
        <v>0</v>
      </c>
      <c r="F106" s="24">
        <f>IF($C106&gt;0,INDEX(Merge_1_2!$B$2:$B$611,$C106),DATE(VALUE(RIGHT(INDEX(Dataset3_Raw!$B$2:$B$391,$E106),4)),VALUE(MID(INDEX(Dataset3_Raw!$B$2:$B$391,$E106),4,2)),VALUE(LEFT(INDEX(Dataset3_Raw!$B$2:$B$391,$E106),2))))</f>
        <v>40548</v>
      </c>
      <c r="G106" s="23">
        <f>IF($C106&gt;0,INDEX(Merge_1_2!$C$2:$C$611,$C106),INDEX(Dataset3_Raw!$C$2:$C$391,$E106))</f>
        <v>1</v>
      </c>
      <c r="H106" s="23">
        <f>IF($C106&gt;0,INDEX(Merge_1_2!$D$2:$D$611,$C106),INDEX(Dataset3_Raw!$D$2:$D$391,$E106))</f>
        <v>0</v>
      </c>
      <c r="I106" s="23">
        <f>IF($C106&gt;0,INDEX(Merge_1_2!$E$2:$E$611,$C106),INDEX(Dataset3_Raw!$E$2:$E$391,$E106))</f>
        <v>1</v>
      </c>
      <c r="J106" s="23">
        <f>IF($C106&gt;0,INDEX(Merge_1_2!$F$2:$F$611,$C106),INDEX(Dataset3_Raw!$F$2:$F$391,$E106))</f>
        <v>13</v>
      </c>
      <c r="K106" s="23" t="b">
        <f>IF($C106&gt;0,INDEX(Merge_1_2!$G$2:$G$611,$C106),INDEX(Dataset3_Raw!$G$2:$G$391,$E106))</f>
        <v>0</v>
      </c>
      <c r="L106" s="23">
        <f>IF($C106&gt;0,INDEX(Merge_1_2!$H$2:$H$611,$C106),INDEX(Dataset3_Raw!$H$2:$H$391,$E106))</f>
        <v>3</v>
      </c>
      <c r="M106" s="23">
        <f>IF($C106&gt;0,INDEX(Merge_1_2!$I$2:$I$611,$C106),INDEX(Dataset3_Raw!$I$2:$I$391,$E106))</f>
        <v>1</v>
      </c>
      <c r="N106" s="25">
        <f>IF($C106&gt;0,INDEX(Merge_1_2!$J$2:$J$611,$C106),INDEX(Dataset3_Raw!$J$2:$J$391,$E106))</f>
        <v>0.28000000000000003</v>
      </c>
      <c r="O106" s="25">
        <f>IF($C106&gt;0,IF(ISNUMBER(INDEX(Merge_1_2!$K$2:$K$611,$C106)),INDEX(Merge_1_2!$K$2:$K$611,$C106),""),INDEX(Dataset3_Raw!$K$2:$K$391,$E106))</f>
        <v>0.2576</v>
      </c>
      <c r="P106" s="25">
        <f>IF(ISNUMBER($O106),$O106,ROUND(Lookups!$B$25+Lookups!$B$24*$N106,4))</f>
        <v>0.2576</v>
      </c>
      <c r="Q106" s="25">
        <f>IF($C106&gt;0,INDEX(Merge_1_2!$L$2:$L$611,$C106),INDEX(Dataset3_Raw!$L$2:$L$391,$E106))</f>
        <v>0.3</v>
      </c>
      <c r="R106" s="25">
        <f>IF($C106&gt;0,INDEX(Merge_1_2!$M$2:$M$611,$C106),INDEX(Dataset3_Raw!$M$2:$M$391,$E106))</f>
        <v>0.29849999999999999</v>
      </c>
      <c r="S106" s="23">
        <f>IF($C106&gt;0,INDEX(Merge_1_2!$N$2:$N$611,$C106),INDEX(Dataset3_Raw!$N$2:$N$391,$E106))</f>
        <v>6</v>
      </c>
      <c r="T106" s="23">
        <f>IF($C106&gt;0,INDEX(Merge_1_2!$O$2:$O$611,$C106),INDEX(Dataset3_Raw!$O$2:$O$391,$E106))</f>
        <v>65</v>
      </c>
      <c r="U106" s="23">
        <f>IF($C106&gt;0,INDEX(Merge_1_2!$P$2:$P$611,$C106),INDEX(Dataset3_Raw!$P$2:$P$391,$E106))</f>
        <v>71</v>
      </c>
      <c r="V106" s="23" t="str">
        <f t="shared" si="7"/>
        <v>Weekday</v>
      </c>
      <c r="W106" s="23" t="str">
        <f>VLOOKUP($M106,Lookups!$A$5:$B$8,2,FALSE())</f>
        <v>Clear / Partly cloudy</v>
      </c>
      <c r="X106" s="23" t="str">
        <f>VLOOKUP($G106,Lookups!$D$5:$E$8,2,FALSE())</f>
        <v>Winter</v>
      </c>
      <c r="Y106" s="23" t="str">
        <f>VLOOKUP($L106,Lookups!$G$5:$H$11,2,FALSE())</f>
        <v>Wednesday</v>
      </c>
      <c r="Z106" s="23" t="str">
        <f>IF($J106&lt;Lookups!$B$26,"Night",IF($J106&lt;Lookups!$B$27,"Morning",IF($J106&lt;Lookups!$B$28,"Afternoon","Evening")))</f>
        <v>Afternoon</v>
      </c>
      <c r="AA106" s="26">
        <f>ROUND($N106*(Lookups!$B$16-Lookups!$B$15)+Lookups!$B$15,1)</f>
        <v>5.2</v>
      </c>
      <c r="AB106" s="26">
        <f>ROUND($P106*(Lookups!$B$18-Lookups!$B$17)+Lookups!$B$17,1)</f>
        <v>1</v>
      </c>
      <c r="AC106" s="23">
        <f t="shared" si="8"/>
        <v>30</v>
      </c>
      <c r="AD106" s="23">
        <f>ROUND($R106*Lookups!$B$19,1)</f>
        <v>20</v>
      </c>
      <c r="AE106" s="27">
        <f t="shared" si="9"/>
        <v>0.91549295774647887</v>
      </c>
      <c r="AF106" s="23" t="str">
        <f>IF($U106&gt;=Lookups!$B$23,"High",IF($U106&gt;=Lookups!$B$22,"Medium","Low"))</f>
        <v>Medium</v>
      </c>
      <c r="AG106" s="23">
        <f>ROUND(IF($V106="Weekday",IF(INDEX(Hourly_Analysis!$D$5:$D$28,$J106+1)&gt;0,($U106-INDEX(Hourly_Analysis!$C$5:$C$28,$J106+1))/INDEX(Hourly_Analysis!$D$5:$D$28,$J106+1),0),IF(INDEX(Hourly_Analysis!$G$5:$G$28,$J106+1)&gt;0,($U106-INDEX(Hourly_Analysis!$F$5:$F$28,$J106+1))/INDEX(Hourly_Analysis!$G$5:$G$28,$J106+1),0)),2)</f>
        <v>0.24</v>
      </c>
      <c r="AH106" s="23" t="str">
        <f>IF(ABS($AG106)&gt;Lookups!$B$20,IF($AG106&gt;0,"High anomaly","Low anomaly"),"")</f>
        <v/>
      </c>
      <c r="AI106" s="23" t="str">
        <f t="shared" si="10"/>
        <v>OK</v>
      </c>
      <c r="AJ106" s="23" t="str">
        <f t="shared" si="11"/>
        <v>No</v>
      </c>
    </row>
    <row r="107" spans="1:36" x14ac:dyDescent="0.35">
      <c r="A107" s="23">
        <v>106</v>
      </c>
      <c r="B107" s="23" t="str">
        <f t="shared" si="6"/>
        <v>Merge 1+2</v>
      </c>
      <c r="C107" s="23">
        <f>IFERROR(MATCH($A107,Merge_1_2!$A$2:$A$611,0),0)</f>
        <v>106</v>
      </c>
      <c r="D107" s="23">
        <f>IF($C107&gt;0,INDEX(Merge_1_2!$Q$2:$Q$611,$C107),0)</f>
        <v>106</v>
      </c>
      <c r="E107" s="23">
        <f>IFERROR(MATCH($A107,Dataset3_Raw!$A$2:$A$391,0),0)</f>
        <v>0</v>
      </c>
      <c r="F107" s="24">
        <f>IF($C107&gt;0,INDEX(Merge_1_2!$B$2:$B$611,$C107),DATE(VALUE(RIGHT(INDEX(Dataset3_Raw!$B$2:$B$391,$E107),4)),VALUE(MID(INDEX(Dataset3_Raw!$B$2:$B$391,$E107),4,2)),VALUE(LEFT(INDEX(Dataset3_Raw!$B$2:$B$391,$E107),2))))</f>
        <v>40548</v>
      </c>
      <c r="G107" s="23">
        <f>IF($C107&gt;0,INDEX(Merge_1_2!$C$2:$C$611,$C107),INDEX(Dataset3_Raw!$C$2:$C$391,$E107))</f>
        <v>1</v>
      </c>
      <c r="H107" s="23">
        <f>IF($C107&gt;0,INDEX(Merge_1_2!$D$2:$D$611,$C107),INDEX(Dataset3_Raw!$D$2:$D$391,$E107))</f>
        <v>0</v>
      </c>
      <c r="I107" s="23">
        <f>IF($C107&gt;0,INDEX(Merge_1_2!$E$2:$E$611,$C107),INDEX(Dataset3_Raw!$E$2:$E$391,$E107))</f>
        <v>1</v>
      </c>
      <c r="J107" s="23">
        <f>IF($C107&gt;0,INDEX(Merge_1_2!$F$2:$F$611,$C107),INDEX(Dataset3_Raw!$F$2:$F$391,$E107))</f>
        <v>14</v>
      </c>
      <c r="K107" s="23" t="b">
        <f>IF($C107&gt;0,INDEX(Merge_1_2!$G$2:$G$611,$C107),INDEX(Dataset3_Raw!$G$2:$G$391,$E107))</f>
        <v>0</v>
      </c>
      <c r="L107" s="23">
        <f>IF($C107&gt;0,INDEX(Merge_1_2!$H$2:$H$611,$C107),INDEX(Dataset3_Raw!$H$2:$H$391,$E107))</f>
        <v>3</v>
      </c>
      <c r="M107" s="23">
        <f>IF($C107&gt;0,INDEX(Merge_1_2!$I$2:$I$611,$C107),INDEX(Dataset3_Raw!$I$2:$I$391,$E107))</f>
        <v>1</v>
      </c>
      <c r="N107" s="25">
        <f>IF($C107&gt;0,INDEX(Merge_1_2!$J$2:$J$611,$C107),INDEX(Dataset3_Raw!$J$2:$J$391,$E107))</f>
        <v>0.3</v>
      </c>
      <c r="O107" s="25">
        <f>IF($C107&gt;0,IF(ISNUMBER(INDEX(Merge_1_2!$K$2:$K$611,$C107)),INDEX(Merge_1_2!$K$2:$K$611,$C107),""),INDEX(Dataset3_Raw!$K$2:$K$391,$E107))</f>
        <v>0.28789999999999999</v>
      </c>
      <c r="P107" s="25">
        <f>IF(ISNUMBER($O107),$O107,ROUND(Lookups!$B$25+Lookups!$B$24*$N107,4))</f>
        <v>0.28789999999999999</v>
      </c>
      <c r="Q107" s="25">
        <f>IF($C107&gt;0,INDEX(Merge_1_2!$L$2:$L$611,$C107),INDEX(Dataset3_Raw!$L$2:$L$391,$E107))</f>
        <v>0.28000000000000003</v>
      </c>
      <c r="R107" s="25">
        <f>IF($C107&gt;0,INDEX(Merge_1_2!$M$2:$M$611,$C107),INDEX(Dataset3_Raw!$M$2:$M$391,$E107))</f>
        <v>0.19400000000000001</v>
      </c>
      <c r="S107" s="23">
        <f>IF($C107&gt;0,INDEX(Merge_1_2!$N$2:$N$611,$C107),INDEX(Dataset3_Raw!$N$2:$N$391,$E107))</f>
        <v>10</v>
      </c>
      <c r="T107" s="23">
        <f>IF($C107&gt;0,INDEX(Merge_1_2!$O$2:$O$611,$C107),INDEX(Dataset3_Raw!$O$2:$O$391,$E107))</f>
        <v>52</v>
      </c>
      <c r="U107" s="23">
        <f>IF($C107&gt;0,INDEX(Merge_1_2!$P$2:$P$611,$C107),INDEX(Dataset3_Raw!$P$2:$P$391,$E107))</f>
        <v>62</v>
      </c>
      <c r="V107" s="23" t="str">
        <f t="shared" si="7"/>
        <v>Weekday</v>
      </c>
      <c r="W107" s="23" t="str">
        <f>VLOOKUP($M107,Lookups!$A$5:$B$8,2,FALSE())</f>
        <v>Clear / Partly cloudy</v>
      </c>
      <c r="X107" s="23" t="str">
        <f>VLOOKUP($G107,Lookups!$D$5:$E$8,2,FALSE())</f>
        <v>Winter</v>
      </c>
      <c r="Y107" s="23" t="str">
        <f>VLOOKUP($L107,Lookups!$G$5:$H$11,2,FALSE())</f>
        <v>Wednesday</v>
      </c>
      <c r="Z107" s="23" t="str">
        <f>IF($J107&lt;Lookups!$B$26,"Night",IF($J107&lt;Lookups!$B$27,"Morning",IF($J107&lt;Lookups!$B$28,"Afternoon","Evening")))</f>
        <v>Afternoon</v>
      </c>
      <c r="AA107" s="26">
        <f>ROUND($N107*(Lookups!$B$16-Lookups!$B$15)+Lookups!$B$15,1)</f>
        <v>6.1</v>
      </c>
      <c r="AB107" s="26">
        <f>ROUND($P107*(Lookups!$B$18-Lookups!$B$17)+Lookups!$B$17,1)</f>
        <v>3</v>
      </c>
      <c r="AC107" s="23">
        <f t="shared" si="8"/>
        <v>28</v>
      </c>
      <c r="AD107" s="23">
        <f>ROUND($R107*Lookups!$B$19,1)</f>
        <v>13</v>
      </c>
      <c r="AE107" s="27">
        <f t="shared" si="9"/>
        <v>0.83870967741935487</v>
      </c>
      <c r="AF107" s="23" t="str">
        <f>IF($U107&gt;=Lookups!$B$23,"High",IF($U107&gt;=Lookups!$B$22,"Medium","Low"))</f>
        <v>Medium</v>
      </c>
      <c r="AG107" s="23">
        <f>ROUND(IF($V107="Weekday",IF(INDEX(Hourly_Analysis!$D$5:$D$28,$J107+1)&gt;0,($U107-INDEX(Hourly_Analysis!$C$5:$C$28,$J107+1))/INDEX(Hourly_Analysis!$D$5:$D$28,$J107+1),0),IF(INDEX(Hourly_Analysis!$G$5:$G$28,$J107+1)&gt;0,($U107-INDEX(Hourly_Analysis!$F$5:$F$28,$J107+1))/INDEX(Hourly_Analysis!$G$5:$G$28,$J107+1),0)),2)</f>
        <v>0.15</v>
      </c>
      <c r="AH107" s="23" t="str">
        <f>IF(ABS($AG107)&gt;Lookups!$B$20,IF($AG107&gt;0,"High anomaly","Low anomaly"),"")</f>
        <v/>
      </c>
      <c r="AI107" s="23" t="str">
        <f t="shared" si="10"/>
        <v>OK</v>
      </c>
      <c r="AJ107" s="23" t="str">
        <f t="shared" si="11"/>
        <v>No</v>
      </c>
    </row>
    <row r="108" spans="1:36" x14ac:dyDescent="0.35">
      <c r="A108" s="23">
        <v>107</v>
      </c>
      <c r="B108" s="23" t="str">
        <f t="shared" si="6"/>
        <v>Merge 1+2</v>
      </c>
      <c r="C108" s="23">
        <f>IFERROR(MATCH($A108,Merge_1_2!$A$2:$A$611,0),0)</f>
        <v>107</v>
      </c>
      <c r="D108" s="23">
        <f>IF($C108&gt;0,INDEX(Merge_1_2!$Q$2:$Q$611,$C108),0)</f>
        <v>107</v>
      </c>
      <c r="E108" s="23">
        <f>IFERROR(MATCH($A108,Dataset3_Raw!$A$2:$A$391,0),0)</f>
        <v>0</v>
      </c>
      <c r="F108" s="24">
        <f>IF($C108&gt;0,INDEX(Merge_1_2!$B$2:$B$611,$C108),DATE(VALUE(RIGHT(INDEX(Dataset3_Raw!$B$2:$B$391,$E108),4)),VALUE(MID(INDEX(Dataset3_Raw!$B$2:$B$391,$E108),4,2)),VALUE(LEFT(INDEX(Dataset3_Raw!$B$2:$B$391,$E108),2))))</f>
        <v>40548</v>
      </c>
      <c r="G108" s="23">
        <f>IF($C108&gt;0,INDEX(Merge_1_2!$C$2:$C$611,$C108),INDEX(Dataset3_Raw!$C$2:$C$391,$E108))</f>
        <v>1</v>
      </c>
      <c r="H108" s="23">
        <f>IF($C108&gt;0,INDEX(Merge_1_2!$D$2:$D$611,$C108),INDEX(Dataset3_Raw!$D$2:$D$391,$E108))</f>
        <v>0</v>
      </c>
      <c r="I108" s="23">
        <f>IF($C108&gt;0,INDEX(Merge_1_2!$E$2:$E$611,$C108),INDEX(Dataset3_Raw!$E$2:$E$391,$E108))</f>
        <v>1</v>
      </c>
      <c r="J108" s="23">
        <f>IF($C108&gt;0,INDEX(Merge_1_2!$F$2:$F$611,$C108),INDEX(Dataset3_Raw!$F$2:$F$391,$E108))</f>
        <v>15</v>
      </c>
      <c r="K108" s="23" t="b">
        <f>IF($C108&gt;0,INDEX(Merge_1_2!$G$2:$G$611,$C108),INDEX(Dataset3_Raw!$G$2:$G$391,$E108))</f>
        <v>0</v>
      </c>
      <c r="L108" s="23">
        <f>IF($C108&gt;0,INDEX(Merge_1_2!$H$2:$H$611,$C108),INDEX(Dataset3_Raw!$H$2:$H$391,$E108))</f>
        <v>3</v>
      </c>
      <c r="M108" s="23">
        <f>IF($C108&gt;0,INDEX(Merge_1_2!$I$2:$I$611,$C108),INDEX(Dataset3_Raw!$I$2:$I$391,$E108))</f>
        <v>1</v>
      </c>
      <c r="N108" s="25">
        <f>IF($C108&gt;0,INDEX(Merge_1_2!$J$2:$J$611,$C108),INDEX(Dataset3_Raw!$J$2:$J$391,$E108))</f>
        <v>0.3</v>
      </c>
      <c r="O108" s="25">
        <f>IF($C108&gt;0,IF(ISNUMBER(INDEX(Merge_1_2!$K$2:$K$611,$C108)),INDEX(Merge_1_2!$K$2:$K$611,$C108),""),INDEX(Dataset3_Raw!$K$2:$K$391,$E108))</f>
        <v>0.28789999999999999</v>
      </c>
      <c r="P108" s="25">
        <f>IF(ISNUMBER($O108),$O108,ROUND(Lookups!$B$25+Lookups!$B$24*$N108,4))</f>
        <v>0.28789999999999999</v>
      </c>
      <c r="Q108" s="25">
        <f>IF($C108&gt;0,INDEX(Merge_1_2!$L$2:$L$611,$C108),INDEX(Dataset3_Raw!$L$2:$L$391,$E108))</f>
        <v>0.28000000000000003</v>
      </c>
      <c r="R108" s="25">
        <f>IF($C108&gt;0,INDEX(Merge_1_2!$M$2:$M$611,$C108),INDEX(Dataset3_Raw!$M$2:$M$391,$E108))</f>
        <v>0.19400000000000001</v>
      </c>
      <c r="S108" s="23">
        <f>IF($C108&gt;0,INDEX(Merge_1_2!$N$2:$N$611,$C108),INDEX(Dataset3_Raw!$N$2:$N$391,$E108))</f>
        <v>7</v>
      </c>
      <c r="T108" s="23">
        <f>IF($C108&gt;0,INDEX(Merge_1_2!$O$2:$O$611,$C108),INDEX(Dataset3_Raw!$O$2:$O$391,$E108))</f>
        <v>55</v>
      </c>
      <c r="U108" s="23">
        <f>IF($C108&gt;0,INDEX(Merge_1_2!$P$2:$P$611,$C108),INDEX(Dataset3_Raw!$P$2:$P$391,$E108))</f>
        <v>62</v>
      </c>
      <c r="V108" s="23" t="str">
        <f t="shared" si="7"/>
        <v>Weekday</v>
      </c>
      <c r="W108" s="23" t="str">
        <f>VLOOKUP($M108,Lookups!$A$5:$B$8,2,FALSE())</f>
        <v>Clear / Partly cloudy</v>
      </c>
      <c r="X108" s="23" t="str">
        <f>VLOOKUP($G108,Lookups!$D$5:$E$8,2,FALSE())</f>
        <v>Winter</v>
      </c>
      <c r="Y108" s="23" t="str">
        <f>VLOOKUP($L108,Lookups!$G$5:$H$11,2,FALSE())</f>
        <v>Wednesday</v>
      </c>
      <c r="Z108" s="23" t="str">
        <f>IF($J108&lt;Lookups!$B$26,"Night",IF($J108&lt;Lookups!$B$27,"Morning",IF($J108&lt;Lookups!$B$28,"Afternoon","Evening")))</f>
        <v>Afternoon</v>
      </c>
      <c r="AA108" s="26">
        <f>ROUND($N108*(Lookups!$B$16-Lookups!$B$15)+Lookups!$B$15,1)</f>
        <v>6.1</v>
      </c>
      <c r="AB108" s="26">
        <f>ROUND($P108*(Lookups!$B$18-Lookups!$B$17)+Lookups!$B$17,1)</f>
        <v>3</v>
      </c>
      <c r="AC108" s="23">
        <f t="shared" si="8"/>
        <v>28</v>
      </c>
      <c r="AD108" s="23">
        <f>ROUND($R108*Lookups!$B$19,1)</f>
        <v>13</v>
      </c>
      <c r="AE108" s="27">
        <f t="shared" si="9"/>
        <v>0.88709677419354838</v>
      </c>
      <c r="AF108" s="23" t="str">
        <f>IF($U108&gt;=Lookups!$B$23,"High",IF($U108&gt;=Lookups!$B$22,"Medium","Low"))</f>
        <v>Medium</v>
      </c>
      <c r="AG108" s="23">
        <f>ROUND(IF($V108="Weekday",IF(INDEX(Hourly_Analysis!$D$5:$D$28,$J108+1)&gt;0,($U108-INDEX(Hourly_Analysis!$C$5:$C$28,$J108+1))/INDEX(Hourly_Analysis!$D$5:$D$28,$J108+1),0),IF(INDEX(Hourly_Analysis!$G$5:$G$28,$J108+1)&gt;0,($U108-INDEX(Hourly_Analysis!$F$5:$F$28,$J108+1))/INDEX(Hourly_Analysis!$G$5:$G$28,$J108+1),0)),2)</f>
        <v>0.12</v>
      </c>
      <c r="AH108" s="23" t="str">
        <f>IF(ABS($AG108)&gt;Lookups!$B$20,IF($AG108&gt;0,"High anomaly","Low anomaly"),"")</f>
        <v/>
      </c>
      <c r="AI108" s="23" t="str">
        <f t="shared" si="10"/>
        <v>OK</v>
      </c>
      <c r="AJ108" s="23" t="str">
        <f t="shared" si="11"/>
        <v>No</v>
      </c>
    </row>
    <row r="109" spans="1:36" x14ac:dyDescent="0.35">
      <c r="A109" s="23">
        <v>108</v>
      </c>
      <c r="B109" s="23" t="str">
        <f t="shared" si="6"/>
        <v>Merge 1+2</v>
      </c>
      <c r="C109" s="23">
        <f>IFERROR(MATCH($A109,Merge_1_2!$A$2:$A$611,0),0)</f>
        <v>108</v>
      </c>
      <c r="D109" s="23">
        <f>IF($C109&gt;0,INDEX(Merge_1_2!$Q$2:$Q$611,$C109),0)</f>
        <v>108</v>
      </c>
      <c r="E109" s="23">
        <f>IFERROR(MATCH($A109,Dataset3_Raw!$A$2:$A$391,0),0)</f>
        <v>0</v>
      </c>
      <c r="F109" s="24">
        <f>IF($C109&gt;0,INDEX(Merge_1_2!$B$2:$B$611,$C109),DATE(VALUE(RIGHT(INDEX(Dataset3_Raw!$B$2:$B$391,$E109),4)),VALUE(MID(INDEX(Dataset3_Raw!$B$2:$B$391,$E109),4,2)),VALUE(LEFT(INDEX(Dataset3_Raw!$B$2:$B$391,$E109),2))))</f>
        <v>40548</v>
      </c>
      <c r="G109" s="23">
        <f>IF($C109&gt;0,INDEX(Merge_1_2!$C$2:$C$611,$C109),INDEX(Dataset3_Raw!$C$2:$C$391,$E109))</f>
        <v>1</v>
      </c>
      <c r="H109" s="23">
        <f>IF($C109&gt;0,INDEX(Merge_1_2!$D$2:$D$611,$C109),INDEX(Dataset3_Raw!$D$2:$D$391,$E109))</f>
        <v>0</v>
      </c>
      <c r="I109" s="23">
        <f>IF($C109&gt;0,INDEX(Merge_1_2!$E$2:$E$611,$C109),INDEX(Dataset3_Raw!$E$2:$E$391,$E109))</f>
        <v>1</v>
      </c>
      <c r="J109" s="23">
        <f>IF($C109&gt;0,INDEX(Merge_1_2!$F$2:$F$611,$C109),INDEX(Dataset3_Raw!$F$2:$F$391,$E109))</f>
        <v>16</v>
      </c>
      <c r="K109" s="23" t="b">
        <f>IF($C109&gt;0,INDEX(Merge_1_2!$G$2:$G$611,$C109),INDEX(Dataset3_Raw!$G$2:$G$391,$E109))</f>
        <v>0</v>
      </c>
      <c r="L109" s="23">
        <f>IF($C109&gt;0,INDEX(Merge_1_2!$H$2:$H$611,$C109),INDEX(Dataset3_Raw!$H$2:$H$391,$E109))</f>
        <v>3</v>
      </c>
      <c r="M109" s="23">
        <f>IF($C109&gt;0,INDEX(Merge_1_2!$I$2:$I$611,$C109),INDEX(Dataset3_Raw!$I$2:$I$391,$E109))</f>
        <v>1</v>
      </c>
      <c r="N109" s="25">
        <f>IF($C109&gt;0,INDEX(Merge_1_2!$J$2:$J$611,$C109),INDEX(Dataset3_Raw!$J$2:$J$391,$E109))</f>
        <v>0.3</v>
      </c>
      <c r="O109" s="25">
        <f>IF($C109&gt;0,IF(ISNUMBER(INDEX(Merge_1_2!$K$2:$K$611,$C109)),INDEX(Merge_1_2!$K$2:$K$611,$C109),""),INDEX(Dataset3_Raw!$K$2:$K$391,$E109))</f>
        <v>0.31819999999999998</v>
      </c>
      <c r="P109" s="25">
        <f>IF(ISNUMBER($O109),$O109,ROUND(Lookups!$B$25+Lookups!$B$24*$N109,4))</f>
        <v>0.31819999999999998</v>
      </c>
      <c r="Q109" s="25">
        <f>IF($C109&gt;0,INDEX(Merge_1_2!$L$2:$L$611,$C109),INDEX(Dataset3_Raw!$L$2:$L$391,$E109))</f>
        <v>0.28000000000000003</v>
      </c>
      <c r="R109" s="25">
        <f>IF($C109&gt;0,INDEX(Merge_1_2!$M$2:$M$611,$C109),INDEX(Dataset3_Raw!$M$2:$M$391,$E109))</f>
        <v>8.9599999999999999E-2</v>
      </c>
      <c r="S109" s="23">
        <f>IF($C109&gt;0,INDEX(Merge_1_2!$N$2:$N$611,$C109),INDEX(Dataset3_Raw!$N$2:$N$391,$E109))</f>
        <v>4</v>
      </c>
      <c r="T109" s="23">
        <f>IF($C109&gt;0,INDEX(Merge_1_2!$O$2:$O$611,$C109),INDEX(Dataset3_Raw!$O$2:$O$391,$E109))</f>
        <v>85</v>
      </c>
      <c r="U109" s="23">
        <f>IF($C109&gt;0,INDEX(Merge_1_2!$P$2:$P$611,$C109),INDEX(Dataset3_Raw!$P$2:$P$391,$E109))</f>
        <v>89</v>
      </c>
      <c r="V109" s="23" t="str">
        <f t="shared" si="7"/>
        <v>Weekday</v>
      </c>
      <c r="W109" s="23" t="str">
        <f>VLOOKUP($M109,Lookups!$A$5:$B$8,2,FALSE())</f>
        <v>Clear / Partly cloudy</v>
      </c>
      <c r="X109" s="23" t="str">
        <f>VLOOKUP($G109,Lookups!$D$5:$E$8,2,FALSE())</f>
        <v>Winter</v>
      </c>
      <c r="Y109" s="23" t="str">
        <f>VLOOKUP($L109,Lookups!$G$5:$H$11,2,FALSE())</f>
        <v>Wednesday</v>
      </c>
      <c r="Z109" s="23" t="str">
        <f>IF($J109&lt;Lookups!$B$26,"Night",IF($J109&lt;Lookups!$B$27,"Morning",IF($J109&lt;Lookups!$B$28,"Afternoon","Evening")))</f>
        <v>Afternoon</v>
      </c>
      <c r="AA109" s="26">
        <f>ROUND($N109*(Lookups!$B$16-Lookups!$B$15)+Lookups!$B$15,1)</f>
        <v>6.1</v>
      </c>
      <c r="AB109" s="26">
        <f>ROUND($P109*(Lookups!$B$18-Lookups!$B$17)+Lookups!$B$17,1)</f>
        <v>5</v>
      </c>
      <c r="AC109" s="23">
        <f t="shared" si="8"/>
        <v>28</v>
      </c>
      <c r="AD109" s="23">
        <f>ROUND($R109*Lookups!$B$19,1)</f>
        <v>6</v>
      </c>
      <c r="AE109" s="27">
        <f t="shared" si="9"/>
        <v>0.9550561797752809</v>
      </c>
      <c r="AF109" s="23" t="str">
        <f>IF($U109&gt;=Lookups!$B$23,"High",IF($U109&gt;=Lookups!$B$22,"Medium","Low"))</f>
        <v>High</v>
      </c>
      <c r="AG109" s="23">
        <f>ROUND(IF($V109="Weekday",IF(INDEX(Hourly_Analysis!$D$5:$D$28,$J109+1)&gt;0,($U109-INDEX(Hourly_Analysis!$C$5:$C$28,$J109+1))/INDEX(Hourly_Analysis!$D$5:$D$28,$J109+1),0),IF(INDEX(Hourly_Analysis!$G$5:$G$28,$J109+1)&gt;0,($U109-INDEX(Hourly_Analysis!$F$5:$F$28,$J109+1))/INDEX(Hourly_Analysis!$G$5:$G$28,$J109+1),0)),2)</f>
        <v>0.3</v>
      </c>
      <c r="AH109" s="23" t="str">
        <f>IF(ABS($AG109)&gt;Lookups!$B$20,IF($AG109&gt;0,"High anomaly","Low anomaly"),"")</f>
        <v/>
      </c>
      <c r="AI109" s="23" t="str">
        <f t="shared" si="10"/>
        <v>OK</v>
      </c>
      <c r="AJ109" s="23" t="str">
        <f t="shared" si="11"/>
        <v>No</v>
      </c>
    </row>
    <row r="110" spans="1:36" x14ac:dyDescent="0.35">
      <c r="A110" s="23">
        <v>109</v>
      </c>
      <c r="B110" s="23" t="str">
        <f t="shared" si="6"/>
        <v>Merge 1+2</v>
      </c>
      <c r="C110" s="23">
        <f>IFERROR(MATCH($A110,Merge_1_2!$A$2:$A$611,0),0)</f>
        <v>109</v>
      </c>
      <c r="D110" s="23">
        <f>IF($C110&gt;0,INDEX(Merge_1_2!$Q$2:$Q$611,$C110),0)</f>
        <v>109</v>
      </c>
      <c r="E110" s="23">
        <f>IFERROR(MATCH($A110,Dataset3_Raw!$A$2:$A$391,0),0)</f>
        <v>0</v>
      </c>
      <c r="F110" s="24">
        <f>IF($C110&gt;0,INDEX(Merge_1_2!$B$2:$B$611,$C110),DATE(VALUE(RIGHT(INDEX(Dataset3_Raw!$B$2:$B$391,$E110),4)),VALUE(MID(INDEX(Dataset3_Raw!$B$2:$B$391,$E110),4,2)),VALUE(LEFT(INDEX(Dataset3_Raw!$B$2:$B$391,$E110),2))))</f>
        <v>40548</v>
      </c>
      <c r="G110" s="23">
        <f>IF($C110&gt;0,INDEX(Merge_1_2!$C$2:$C$611,$C110),INDEX(Dataset3_Raw!$C$2:$C$391,$E110))</f>
        <v>1</v>
      </c>
      <c r="H110" s="23">
        <f>IF($C110&gt;0,INDEX(Merge_1_2!$D$2:$D$611,$C110),INDEX(Dataset3_Raw!$D$2:$D$391,$E110))</f>
        <v>0</v>
      </c>
      <c r="I110" s="23">
        <f>IF($C110&gt;0,INDEX(Merge_1_2!$E$2:$E$611,$C110),INDEX(Dataset3_Raw!$E$2:$E$391,$E110))</f>
        <v>1</v>
      </c>
      <c r="J110" s="23">
        <f>IF($C110&gt;0,INDEX(Merge_1_2!$F$2:$F$611,$C110),INDEX(Dataset3_Raw!$F$2:$F$391,$E110))</f>
        <v>17</v>
      </c>
      <c r="K110" s="23" t="b">
        <f>IF($C110&gt;0,INDEX(Merge_1_2!$G$2:$G$611,$C110),INDEX(Dataset3_Raw!$G$2:$G$391,$E110))</f>
        <v>0</v>
      </c>
      <c r="L110" s="23">
        <f>IF($C110&gt;0,INDEX(Merge_1_2!$H$2:$H$611,$C110),INDEX(Dataset3_Raw!$H$2:$H$391,$E110))</f>
        <v>3</v>
      </c>
      <c r="M110" s="23">
        <f>IF($C110&gt;0,INDEX(Merge_1_2!$I$2:$I$611,$C110),INDEX(Dataset3_Raw!$I$2:$I$391,$E110))</f>
        <v>1</v>
      </c>
      <c r="N110" s="25">
        <f>IF($C110&gt;0,INDEX(Merge_1_2!$J$2:$J$611,$C110),INDEX(Dataset3_Raw!$J$2:$J$391,$E110))</f>
        <v>0.24</v>
      </c>
      <c r="O110" s="25">
        <f>IF($C110&gt;0,IF(ISNUMBER(INDEX(Merge_1_2!$K$2:$K$611,$C110)),INDEX(Merge_1_2!$K$2:$K$611,$C110),""),INDEX(Dataset3_Raw!$K$2:$K$391,$E110))</f>
        <v>0.2273</v>
      </c>
      <c r="P110" s="25">
        <f>IF(ISNUMBER($O110),$O110,ROUND(Lookups!$B$25+Lookups!$B$24*$N110,4))</f>
        <v>0.2273</v>
      </c>
      <c r="Q110" s="25">
        <f>IF($C110&gt;0,INDEX(Merge_1_2!$L$2:$L$611,$C110),INDEX(Dataset3_Raw!$L$2:$L$391,$E110))</f>
        <v>0.38</v>
      </c>
      <c r="R110" s="25">
        <f>IF($C110&gt;0,INDEX(Merge_1_2!$M$2:$M$611,$C110),INDEX(Dataset3_Raw!$M$2:$M$391,$E110))</f>
        <v>0.19400000000000001</v>
      </c>
      <c r="S110" s="23">
        <f>IF($C110&gt;0,INDEX(Merge_1_2!$N$2:$N$611,$C110),INDEX(Dataset3_Raw!$N$2:$N$391,$E110))</f>
        <v>4</v>
      </c>
      <c r="T110" s="23">
        <f>IF($C110&gt;0,INDEX(Merge_1_2!$O$2:$O$611,$C110),INDEX(Dataset3_Raw!$O$2:$O$391,$E110))</f>
        <v>186</v>
      </c>
      <c r="U110" s="23">
        <f>IF($C110&gt;0,INDEX(Merge_1_2!$P$2:$P$611,$C110),INDEX(Dataset3_Raw!$P$2:$P$391,$E110))</f>
        <v>190</v>
      </c>
      <c r="V110" s="23" t="str">
        <f t="shared" si="7"/>
        <v>Weekday</v>
      </c>
      <c r="W110" s="23" t="str">
        <f>VLOOKUP($M110,Lookups!$A$5:$B$8,2,FALSE())</f>
        <v>Clear / Partly cloudy</v>
      </c>
      <c r="X110" s="23" t="str">
        <f>VLOOKUP($G110,Lookups!$D$5:$E$8,2,FALSE())</f>
        <v>Winter</v>
      </c>
      <c r="Y110" s="23" t="str">
        <f>VLOOKUP($L110,Lookups!$G$5:$H$11,2,FALSE())</f>
        <v>Wednesday</v>
      </c>
      <c r="Z110" s="23" t="str">
        <f>IF($J110&lt;Lookups!$B$26,"Night",IF($J110&lt;Lookups!$B$27,"Morning",IF($J110&lt;Lookups!$B$28,"Afternoon","Evening")))</f>
        <v>Afternoon</v>
      </c>
      <c r="AA110" s="26">
        <f>ROUND($N110*(Lookups!$B$16-Lookups!$B$15)+Lookups!$B$15,1)</f>
        <v>3.3</v>
      </c>
      <c r="AB110" s="26">
        <f>ROUND($P110*(Lookups!$B$18-Lookups!$B$17)+Lookups!$B$17,1)</f>
        <v>-1</v>
      </c>
      <c r="AC110" s="23">
        <f t="shared" si="8"/>
        <v>38</v>
      </c>
      <c r="AD110" s="23">
        <f>ROUND($R110*Lookups!$B$19,1)</f>
        <v>13</v>
      </c>
      <c r="AE110" s="27">
        <f t="shared" si="9"/>
        <v>0.97894736842105268</v>
      </c>
      <c r="AF110" s="23" t="str">
        <f>IF($U110&gt;=Lookups!$B$23,"High",IF($U110&gt;=Lookups!$B$22,"Medium","Low"))</f>
        <v>High</v>
      </c>
      <c r="AG110" s="23">
        <f>ROUND(IF($V110="Weekday",IF(INDEX(Hourly_Analysis!$D$5:$D$28,$J110+1)&gt;0,($U110-INDEX(Hourly_Analysis!$C$5:$C$28,$J110+1))/INDEX(Hourly_Analysis!$D$5:$D$28,$J110+1),0),IF(INDEX(Hourly_Analysis!$G$5:$G$28,$J110+1)&gt;0,($U110-INDEX(Hourly_Analysis!$F$5:$F$28,$J110+1))/INDEX(Hourly_Analysis!$G$5:$G$28,$J110+1),0)),2)</f>
        <v>0.52</v>
      </c>
      <c r="AH110" s="23" t="str">
        <f>IF(ABS($AG110)&gt;Lookups!$B$20,IF($AG110&gt;0,"High anomaly","Low anomaly"),"")</f>
        <v/>
      </c>
      <c r="AI110" s="23" t="str">
        <f t="shared" si="10"/>
        <v>OK</v>
      </c>
      <c r="AJ110" s="23" t="str">
        <f t="shared" si="11"/>
        <v>No</v>
      </c>
    </row>
    <row r="111" spans="1:36" x14ac:dyDescent="0.35">
      <c r="A111" s="23">
        <v>110</v>
      </c>
      <c r="B111" s="23" t="str">
        <f t="shared" si="6"/>
        <v>Merge 1+2</v>
      </c>
      <c r="C111" s="23">
        <f>IFERROR(MATCH($A111,Merge_1_2!$A$2:$A$611,0),0)</f>
        <v>110</v>
      </c>
      <c r="D111" s="23">
        <f>IF($C111&gt;0,INDEX(Merge_1_2!$Q$2:$Q$611,$C111),0)</f>
        <v>110</v>
      </c>
      <c r="E111" s="23">
        <f>IFERROR(MATCH($A111,Dataset3_Raw!$A$2:$A$391,0),0)</f>
        <v>0</v>
      </c>
      <c r="F111" s="24">
        <f>IF($C111&gt;0,INDEX(Merge_1_2!$B$2:$B$611,$C111),DATE(VALUE(RIGHT(INDEX(Dataset3_Raw!$B$2:$B$391,$E111),4)),VALUE(MID(INDEX(Dataset3_Raw!$B$2:$B$391,$E111),4,2)),VALUE(LEFT(INDEX(Dataset3_Raw!$B$2:$B$391,$E111),2))))</f>
        <v>40548</v>
      </c>
      <c r="G111" s="23">
        <f>IF($C111&gt;0,INDEX(Merge_1_2!$C$2:$C$611,$C111),INDEX(Dataset3_Raw!$C$2:$C$391,$E111))</f>
        <v>1</v>
      </c>
      <c r="H111" s="23">
        <f>IF($C111&gt;0,INDEX(Merge_1_2!$D$2:$D$611,$C111),INDEX(Dataset3_Raw!$D$2:$D$391,$E111))</f>
        <v>0</v>
      </c>
      <c r="I111" s="23">
        <f>IF($C111&gt;0,INDEX(Merge_1_2!$E$2:$E$611,$C111),INDEX(Dataset3_Raw!$E$2:$E$391,$E111))</f>
        <v>1</v>
      </c>
      <c r="J111" s="23">
        <f>IF($C111&gt;0,INDEX(Merge_1_2!$F$2:$F$611,$C111),INDEX(Dataset3_Raw!$F$2:$F$391,$E111))</f>
        <v>18</v>
      </c>
      <c r="K111" s="23" t="b">
        <f>IF($C111&gt;0,INDEX(Merge_1_2!$G$2:$G$611,$C111),INDEX(Dataset3_Raw!$G$2:$G$391,$E111))</f>
        <v>0</v>
      </c>
      <c r="L111" s="23">
        <f>IF($C111&gt;0,INDEX(Merge_1_2!$H$2:$H$611,$C111),INDEX(Dataset3_Raw!$H$2:$H$391,$E111))</f>
        <v>3</v>
      </c>
      <c r="M111" s="23">
        <f>IF($C111&gt;0,INDEX(Merge_1_2!$I$2:$I$611,$C111),INDEX(Dataset3_Raw!$I$2:$I$391,$E111))</f>
        <v>1</v>
      </c>
      <c r="N111" s="25">
        <f>IF($C111&gt;0,INDEX(Merge_1_2!$J$2:$J$611,$C111),INDEX(Dataset3_Raw!$J$2:$J$391,$E111))</f>
        <v>0.24</v>
      </c>
      <c r="O111" s="25">
        <f>IF($C111&gt;0,IF(ISNUMBER(INDEX(Merge_1_2!$K$2:$K$611,$C111)),INDEX(Merge_1_2!$K$2:$K$611,$C111),""),INDEX(Dataset3_Raw!$K$2:$K$391,$E111))</f>
        <v>0.2424</v>
      </c>
      <c r="P111" s="25">
        <f>IF(ISNUMBER($O111),$O111,ROUND(Lookups!$B$25+Lookups!$B$24*$N111,4))</f>
        <v>0.2424</v>
      </c>
      <c r="Q111" s="25">
        <f>IF($C111&gt;0,INDEX(Merge_1_2!$L$2:$L$611,$C111),INDEX(Dataset3_Raw!$L$2:$L$391,$E111))</f>
        <v>0.38</v>
      </c>
      <c r="R111" s="25">
        <f>IF($C111&gt;0,INDEX(Merge_1_2!$M$2:$M$611,$C111),INDEX(Dataset3_Raw!$M$2:$M$391,$E111))</f>
        <v>0.1343</v>
      </c>
      <c r="S111" s="23">
        <f>IF($C111&gt;0,INDEX(Merge_1_2!$N$2:$N$611,$C111),INDEX(Dataset3_Raw!$N$2:$N$391,$E111))</f>
        <v>3</v>
      </c>
      <c r="T111" s="23">
        <f>IF($C111&gt;0,INDEX(Merge_1_2!$O$2:$O$611,$C111),INDEX(Dataset3_Raw!$O$2:$O$391,$E111))</f>
        <v>166</v>
      </c>
      <c r="U111" s="23">
        <f>IF($C111&gt;0,INDEX(Merge_1_2!$P$2:$P$611,$C111),INDEX(Dataset3_Raw!$P$2:$P$391,$E111))</f>
        <v>169</v>
      </c>
      <c r="V111" s="23" t="str">
        <f t="shared" si="7"/>
        <v>Weekday</v>
      </c>
      <c r="W111" s="23" t="str">
        <f>VLOOKUP($M111,Lookups!$A$5:$B$8,2,FALSE())</f>
        <v>Clear / Partly cloudy</v>
      </c>
      <c r="X111" s="23" t="str">
        <f>VLOOKUP($G111,Lookups!$D$5:$E$8,2,FALSE())</f>
        <v>Winter</v>
      </c>
      <c r="Y111" s="23" t="str">
        <f>VLOOKUP($L111,Lookups!$G$5:$H$11,2,FALSE())</f>
        <v>Wednesday</v>
      </c>
      <c r="Z111" s="23" t="str">
        <f>IF($J111&lt;Lookups!$B$26,"Night",IF($J111&lt;Lookups!$B$27,"Morning",IF($J111&lt;Lookups!$B$28,"Afternoon","Evening")))</f>
        <v>Evening</v>
      </c>
      <c r="AA111" s="26">
        <f>ROUND($N111*(Lookups!$B$16-Lookups!$B$15)+Lookups!$B$15,1)</f>
        <v>3.3</v>
      </c>
      <c r="AB111" s="26">
        <f>ROUND($P111*(Lookups!$B$18-Lookups!$B$17)+Lookups!$B$17,1)</f>
        <v>0</v>
      </c>
      <c r="AC111" s="23">
        <f t="shared" si="8"/>
        <v>38</v>
      </c>
      <c r="AD111" s="23">
        <f>ROUND($R111*Lookups!$B$19,1)</f>
        <v>9</v>
      </c>
      <c r="AE111" s="27">
        <f t="shared" si="9"/>
        <v>0.98224852071005919</v>
      </c>
      <c r="AF111" s="23" t="str">
        <f>IF($U111&gt;=Lookups!$B$23,"High",IF($U111&gt;=Lookups!$B$22,"Medium","Low"))</f>
        <v>High</v>
      </c>
      <c r="AG111" s="23">
        <f>ROUND(IF($V111="Weekday",IF(INDEX(Hourly_Analysis!$D$5:$D$28,$J111+1)&gt;0,($U111-INDEX(Hourly_Analysis!$C$5:$C$28,$J111+1))/INDEX(Hourly_Analysis!$D$5:$D$28,$J111+1),0),IF(INDEX(Hourly_Analysis!$G$5:$G$28,$J111+1)&gt;0,($U111-INDEX(Hourly_Analysis!$F$5:$F$28,$J111+1))/INDEX(Hourly_Analysis!$G$5:$G$28,$J111+1),0)),2)</f>
        <v>0.56999999999999995</v>
      </c>
      <c r="AH111" s="23" t="str">
        <f>IF(ABS($AG111)&gt;Lookups!$B$20,IF($AG111&gt;0,"High anomaly","Low anomaly"),"")</f>
        <v/>
      </c>
      <c r="AI111" s="23" t="str">
        <f t="shared" si="10"/>
        <v>OK</v>
      </c>
      <c r="AJ111" s="23" t="str">
        <f t="shared" si="11"/>
        <v>No</v>
      </c>
    </row>
    <row r="112" spans="1:36" x14ac:dyDescent="0.35">
      <c r="A112" s="23">
        <v>111</v>
      </c>
      <c r="B112" s="23" t="str">
        <f t="shared" si="6"/>
        <v>Merge 1+2</v>
      </c>
      <c r="C112" s="23">
        <f>IFERROR(MATCH($A112,Merge_1_2!$A$2:$A$611,0),0)</f>
        <v>111</v>
      </c>
      <c r="D112" s="23">
        <f>IF($C112&gt;0,INDEX(Merge_1_2!$Q$2:$Q$611,$C112),0)</f>
        <v>111</v>
      </c>
      <c r="E112" s="23">
        <f>IFERROR(MATCH($A112,Dataset3_Raw!$A$2:$A$391,0),0)</f>
        <v>0</v>
      </c>
      <c r="F112" s="24">
        <f>IF($C112&gt;0,INDEX(Merge_1_2!$B$2:$B$611,$C112),DATE(VALUE(RIGHT(INDEX(Dataset3_Raw!$B$2:$B$391,$E112),4)),VALUE(MID(INDEX(Dataset3_Raw!$B$2:$B$391,$E112),4,2)),VALUE(LEFT(INDEX(Dataset3_Raw!$B$2:$B$391,$E112),2))))</f>
        <v>40548</v>
      </c>
      <c r="G112" s="23">
        <f>IF($C112&gt;0,INDEX(Merge_1_2!$C$2:$C$611,$C112),INDEX(Dataset3_Raw!$C$2:$C$391,$E112))</f>
        <v>1</v>
      </c>
      <c r="H112" s="23">
        <f>IF($C112&gt;0,INDEX(Merge_1_2!$D$2:$D$611,$C112),INDEX(Dataset3_Raw!$D$2:$D$391,$E112))</f>
        <v>0</v>
      </c>
      <c r="I112" s="23">
        <f>IF($C112&gt;0,INDEX(Merge_1_2!$E$2:$E$611,$C112),INDEX(Dataset3_Raw!$E$2:$E$391,$E112))</f>
        <v>1</v>
      </c>
      <c r="J112" s="23">
        <f>IF($C112&gt;0,INDEX(Merge_1_2!$F$2:$F$611,$C112),INDEX(Dataset3_Raw!$F$2:$F$391,$E112))</f>
        <v>19</v>
      </c>
      <c r="K112" s="23" t="b">
        <f>IF($C112&gt;0,INDEX(Merge_1_2!$G$2:$G$611,$C112),INDEX(Dataset3_Raw!$G$2:$G$391,$E112))</f>
        <v>0</v>
      </c>
      <c r="L112" s="23">
        <f>IF($C112&gt;0,INDEX(Merge_1_2!$H$2:$H$611,$C112),INDEX(Dataset3_Raw!$H$2:$H$391,$E112))</f>
        <v>3</v>
      </c>
      <c r="M112" s="23">
        <f>IF($C112&gt;0,INDEX(Merge_1_2!$I$2:$I$611,$C112),INDEX(Dataset3_Raw!$I$2:$I$391,$E112))</f>
        <v>1</v>
      </c>
      <c r="N112" s="25">
        <f>IF($C112&gt;0,INDEX(Merge_1_2!$J$2:$J$611,$C112),INDEX(Dataset3_Raw!$J$2:$J$391,$E112))</f>
        <v>0.24</v>
      </c>
      <c r="O112" s="25">
        <f>IF($C112&gt;0,IF(ISNUMBER(INDEX(Merge_1_2!$K$2:$K$611,$C112)),INDEX(Merge_1_2!$K$2:$K$611,$C112),""),INDEX(Dataset3_Raw!$K$2:$K$391,$E112))</f>
        <v>0.2576</v>
      </c>
      <c r="P112" s="25">
        <f>IF(ISNUMBER($O112),$O112,ROUND(Lookups!$B$25+Lookups!$B$24*$N112,4))</f>
        <v>0.2576</v>
      </c>
      <c r="Q112" s="25">
        <f>IF($C112&gt;0,INDEX(Merge_1_2!$L$2:$L$611,$C112),INDEX(Dataset3_Raw!$L$2:$L$391,$E112))</f>
        <v>0.38</v>
      </c>
      <c r="R112" s="25">
        <f>IF($C112&gt;0,INDEX(Merge_1_2!$M$2:$M$611,$C112),INDEX(Dataset3_Raw!$M$2:$M$391,$E112))</f>
        <v>0.1045</v>
      </c>
      <c r="S112" s="23">
        <f>IF($C112&gt;0,INDEX(Merge_1_2!$N$2:$N$611,$C112),INDEX(Dataset3_Raw!$N$2:$N$391,$E112))</f>
        <v>5</v>
      </c>
      <c r="T112" s="23">
        <f>IF($C112&gt;0,INDEX(Merge_1_2!$O$2:$O$611,$C112),INDEX(Dataset3_Raw!$O$2:$O$391,$E112))</f>
        <v>127</v>
      </c>
      <c r="U112" s="23">
        <f>IF($C112&gt;0,INDEX(Merge_1_2!$P$2:$P$611,$C112),INDEX(Dataset3_Raw!$P$2:$P$391,$E112))</f>
        <v>132</v>
      </c>
      <c r="V112" s="23" t="str">
        <f t="shared" si="7"/>
        <v>Weekday</v>
      </c>
      <c r="W112" s="23" t="str">
        <f>VLOOKUP($M112,Lookups!$A$5:$B$8,2,FALSE())</f>
        <v>Clear / Partly cloudy</v>
      </c>
      <c r="X112" s="23" t="str">
        <f>VLOOKUP($G112,Lookups!$D$5:$E$8,2,FALSE())</f>
        <v>Winter</v>
      </c>
      <c r="Y112" s="23" t="str">
        <f>VLOOKUP($L112,Lookups!$G$5:$H$11,2,FALSE())</f>
        <v>Wednesday</v>
      </c>
      <c r="Z112" s="23" t="str">
        <f>IF($J112&lt;Lookups!$B$26,"Night",IF($J112&lt;Lookups!$B$27,"Morning",IF($J112&lt;Lookups!$B$28,"Afternoon","Evening")))</f>
        <v>Evening</v>
      </c>
      <c r="AA112" s="26">
        <f>ROUND($N112*(Lookups!$B$16-Lookups!$B$15)+Lookups!$B$15,1)</f>
        <v>3.3</v>
      </c>
      <c r="AB112" s="26">
        <f>ROUND($P112*(Lookups!$B$18-Lookups!$B$17)+Lookups!$B$17,1)</f>
        <v>1</v>
      </c>
      <c r="AC112" s="23">
        <f t="shared" si="8"/>
        <v>38</v>
      </c>
      <c r="AD112" s="23">
        <f>ROUND($R112*Lookups!$B$19,1)</f>
        <v>7</v>
      </c>
      <c r="AE112" s="27">
        <f t="shared" si="9"/>
        <v>0.96212121212121215</v>
      </c>
      <c r="AF112" s="23" t="str">
        <f>IF($U112&gt;=Lookups!$B$23,"High",IF($U112&gt;=Lookups!$B$22,"Medium","Low"))</f>
        <v>High</v>
      </c>
      <c r="AG112" s="23">
        <f>ROUND(IF($V112="Weekday",IF(INDEX(Hourly_Analysis!$D$5:$D$28,$J112+1)&gt;0,($U112-INDEX(Hourly_Analysis!$C$5:$C$28,$J112+1))/INDEX(Hourly_Analysis!$D$5:$D$28,$J112+1),0),IF(INDEX(Hourly_Analysis!$G$5:$G$28,$J112+1)&gt;0,($U112-INDEX(Hourly_Analysis!$F$5:$F$28,$J112+1))/INDEX(Hourly_Analysis!$G$5:$G$28,$J112+1),0)),2)</f>
        <v>1.42</v>
      </c>
      <c r="AH112" s="23" t="str">
        <f>IF(ABS($AG112)&gt;Lookups!$B$20,IF($AG112&gt;0,"High anomaly","Low anomaly"),"")</f>
        <v/>
      </c>
      <c r="AI112" s="23" t="str">
        <f t="shared" si="10"/>
        <v>OK</v>
      </c>
      <c r="AJ112" s="23" t="str">
        <f t="shared" si="11"/>
        <v>No</v>
      </c>
    </row>
    <row r="113" spans="1:36" x14ac:dyDescent="0.35">
      <c r="A113" s="23">
        <v>112</v>
      </c>
      <c r="B113" s="23" t="str">
        <f t="shared" si="6"/>
        <v>Merge 1+2</v>
      </c>
      <c r="C113" s="23">
        <f>IFERROR(MATCH($A113,Merge_1_2!$A$2:$A$611,0),0)</f>
        <v>112</v>
      </c>
      <c r="D113" s="23">
        <f>IF($C113&gt;0,INDEX(Merge_1_2!$Q$2:$Q$611,$C113),0)</f>
        <v>112</v>
      </c>
      <c r="E113" s="23">
        <f>IFERROR(MATCH($A113,Dataset3_Raw!$A$2:$A$391,0),0)</f>
        <v>0</v>
      </c>
      <c r="F113" s="24">
        <f>IF($C113&gt;0,INDEX(Merge_1_2!$B$2:$B$611,$C113),DATE(VALUE(RIGHT(INDEX(Dataset3_Raw!$B$2:$B$391,$E113),4)),VALUE(MID(INDEX(Dataset3_Raw!$B$2:$B$391,$E113),4,2)),VALUE(LEFT(INDEX(Dataset3_Raw!$B$2:$B$391,$E113),2))))</f>
        <v>40548</v>
      </c>
      <c r="G113" s="23">
        <f>IF($C113&gt;0,INDEX(Merge_1_2!$C$2:$C$611,$C113),INDEX(Dataset3_Raw!$C$2:$C$391,$E113))</f>
        <v>1</v>
      </c>
      <c r="H113" s="23">
        <f>IF($C113&gt;0,INDEX(Merge_1_2!$D$2:$D$611,$C113),INDEX(Dataset3_Raw!$D$2:$D$391,$E113))</f>
        <v>0</v>
      </c>
      <c r="I113" s="23">
        <f>IF($C113&gt;0,INDEX(Merge_1_2!$E$2:$E$611,$C113),INDEX(Dataset3_Raw!$E$2:$E$391,$E113))</f>
        <v>1</v>
      </c>
      <c r="J113" s="23">
        <f>IF($C113&gt;0,INDEX(Merge_1_2!$F$2:$F$611,$C113),INDEX(Dataset3_Raw!$F$2:$F$391,$E113))</f>
        <v>20</v>
      </c>
      <c r="K113" s="23" t="b">
        <f>IF($C113&gt;0,INDEX(Merge_1_2!$G$2:$G$611,$C113),INDEX(Dataset3_Raw!$G$2:$G$391,$E113))</f>
        <v>0</v>
      </c>
      <c r="L113" s="23">
        <f>IF($C113&gt;0,INDEX(Merge_1_2!$H$2:$H$611,$C113),INDEX(Dataset3_Raw!$H$2:$H$391,$E113))</f>
        <v>3</v>
      </c>
      <c r="M113" s="23">
        <f>IF($C113&gt;0,INDEX(Merge_1_2!$I$2:$I$611,$C113),INDEX(Dataset3_Raw!$I$2:$I$391,$E113))</f>
        <v>1</v>
      </c>
      <c r="N113" s="25">
        <f>IF($C113&gt;0,INDEX(Merge_1_2!$J$2:$J$611,$C113),INDEX(Dataset3_Raw!$J$2:$J$391,$E113))</f>
        <v>0.22</v>
      </c>
      <c r="O113" s="25">
        <f>IF($C113&gt;0,IF(ISNUMBER(INDEX(Merge_1_2!$K$2:$K$611,$C113)),INDEX(Merge_1_2!$K$2:$K$611,$C113),""),INDEX(Dataset3_Raw!$K$2:$K$391,$E113))</f>
        <v>0.2273</v>
      </c>
      <c r="P113" s="25">
        <f>IF(ISNUMBER($O113),$O113,ROUND(Lookups!$B$25+Lookups!$B$24*$N113,4))</f>
        <v>0.2273</v>
      </c>
      <c r="Q113" s="25">
        <f>IF($C113&gt;0,INDEX(Merge_1_2!$L$2:$L$611,$C113),INDEX(Dataset3_Raw!$L$2:$L$391,$E113))</f>
        <v>0.47</v>
      </c>
      <c r="R113" s="25">
        <f>IF($C113&gt;0,INDEX(Merge_1_2!$M$2:$M$611,$C113),INDEX(Dataset3_Raw!$M$2:$M$391,$E113))</f>
        <v>0.16420000000000001</v>
      </c>
      <c r="S113" s="23">
        <f>IF($C113&gt;0,INDEX(Merge_1_2!$N$2:$N$611,$C113),INDEX(Dataset3_Raw!$N$2:$N$391,$E113))</f>
        <v>7</v>
      </c>
      <c r="T113" s="23">
        <f>IF($C113&gt;0,INDEX(Merge_1_2!$O$2:$O$611,$C113),INDEX(Dataset3_Raw!$O$2:$O$391,$E113))</f>
        <v>82</v>
      </c>
      <c r="U113" s="23">
        <f>IF($C113&gt;0,INDEX(Merge_1_2!$P$2:$P$611,$C113),INDEX(Dataset3_Raw!$P$2:$P$391,$E113))</f>
        <v>89</v>
      </c>
      <c r="V113" s="23" t="str">
        <f t="shared" si="7"/>
        <v>Weekday</v>
      </c>
      <c r="W113" s="23" t="str">
        <f>VLOOKUP($M113,Lookups!$A$5:$B$8,2,FALSE())</f>
        <v>Clear / Partly cloudy</v>
      </c>
      <c r="X113" s="23" t="str">
        <f>VLOOKUP($G113,Lookups!$D$5:$E$8,2,FALSE())</f>
        <v>Winter</v>
      </c>
      <c r="Y113" s="23" t="str">
        <f>VLOOKUP($L113,Lookups!$G$5:$H$11,2,FALSE())</f>
        <v>Wednesday</v>
      </c>
      <c r="Z113" s="23" t="str">
        <f>IF($J113&lt;Lookups!$B$26,"Night",IF($J113&lt;Lookups!$B$27,"Morning",IF($J113&lt;Lookups!$B$28,"Afternoon","Evening")))</f>
        <v>Evening</v>
      </c>
      <c r="AA113" s="26">
        <f>ROUND($N113*(Lookups!$B$16-Lookups!$B$15)+Lookups!$B$15,1)</f>
        <v>2.2999999999999998</v>
      </c>
      <c r="AB113" s="26">
        <f>ROUND($P113*(Lookups!$B$18-Lookups!$B$17)+Lookups!$B$17,1)</f>
        <v>-1</v>
      </c>
      <c r="AC113" s="23">
        <f t="shared" si="8"/>
        <v>47</v>
      </c>
      <c r="AD113" s="23">
        <f>ROUND($R113*Lookups!$B$19,1)</f>
        <v>11</v>
      </c>
      <c r="AE113" s="27">
        <f t="shared" si="9"/>
        <v>0.9213483146067416</v>
      </c>
      <c r="AF113" s="23" t="str">
        <f>IF($U113&gt;=Lookups!$B$23,"High",IF($U113&gt;=Lookups!$B$22,"Medium","Low"))</f>
        <v>High</v>
      </c>
      <c r="AG113" s="23">
        <f>ROUND(IF($V113="Weekday",IF(INDEX(Hourly_Analysis!$D$5:$D$28,$J113+1)&gt;0,($U113-INDEX(Hourly_Analysis!$C$5:$C$28,$J113+1))/INDEX(Hourly_Analysis!$D$5:$D$28,$J113+1),0),IF(INDEX(Hourly_Analysis!$G$5:$G$28,$J113+1)&gt;0,($U113-INDEX(Hourly_Analysis!$F$5:$F$28,$J113+1))/INDEX(Hourly_Analysis!$G$5:$G$28,$J113+1),0)),2)</f>
        <v>0.72</v>
      </c>
      <c r="AH113" s="23" t="str">
        <f>IF(ABS($AG113)&gt;Lookups!$B$20,IF($AG113&gt;0,"High anomaly","Low anomaly"),"")</f>
        <v/>
      </c>
      <c r="AI113" s="23" t="str">
        <f t="shared" si="10"/>
        <v>OK</v>
      </c>
      <c r="AJ113" s="23" t="str">
        <f t="shared" si="11"/>
        <v>No</v>
      </c>
    </row>
    <row r="114" spans="1:36" x14ac:dyDescent="0.35">
      <c r="A114" s="23">
        <v>113</v>
      </c>
      <c r="B114" s="23" t="str">
        <f t="shared" si="6"/>
        <v>Merge 1+2</v>
      </c>
      <c r="C114" s="23">
        <f>IFERROR(MATCH($A114,Merge_1_2!$A$2:$A$611,0),0)</f>
        <v>113</v>
      </c>
      <c r="D114" s="23">
        <f>IF($C114&gt;0,INDEX(Merge_1_2!$Q$2:$Q$611,$C114),0)</f>
        <v>113</v>
      </c>
      <c r="E114" s="23">
        <f>IFERROR(MATCH($A114,Dataset3_Raw!$A$2:$A$391,0),0)</f>
        <v>0</v>
      </c>
      <c r="F114" s="24">
        <f>IF($C114&gt;0,INDEX(Merge_1_2!$B$2:$B$611,$C114),DATE(VALUE(RIGHT(INDEX(Dataset3_Raw!$B$2:$B$391,$E114),4)),VALUE(MID(INDEX(Dataset3_Raw!$B$2:$B$391,$E114),4,2)),VALUE(LEFT(INDEX(Dataset3_Raw!$B$2:$B$391,$E114),2))))</f>
        <v>40548</v>
      </c>
      <c r="G114" s="23">
        <f>IF($C114&gt;0,INDEX(Merge_1_2!$C$2:$C$611,$C114),INDEX(Dataset3_Raw!$C$2:$C$391,$E114))</f>
        <v>1</v>
      </c>
      <c r="H114" s="23">
        <f>IF($C114&gt;0,INDEX(Merge_1_2!$D$2:$D$611,$C114),INDEX(Dataset3_Raw!$D$2:$D$391,$E114))</f>
        <v>0</v>
      </c>
      <c r="I114" s="23">
        <f>IF($C114&gt;0,INDEX(Merge_1_2!$E$2:$E$611,$C114),INDEX(Dataset3_Raw!$E$2:$E$391,$E114))</f>
        <v>1</v>
      </c>
      <c r="J114" s="23">
        <f>IF($C114&gt;0,INDEX(Merge_1_2!$F$2:$F$611,$C114),INDEX(Dataset3_Raw!$F$2:$F$391,$E114))</f>
        <v>21</v>
      </c>
      <c r="K114" s="23" t="b">
        <f>IF($C114&gt;0,INDEX(Merge_1_2!$G$2:$G$611,$C114),INDEX(Dataset3_Raw!$G$2:$G$391,$E114))</f>
        <v>0</v>
      </c>
      <c r="L114" s="23">
        <f>IF($C114&gt;0,INDEX(Merge_1_2!$H$2:$H$611,$C114),INDEX(Dataset3_Raw!$H$2:$H$391,$E114))</f>
        <v>3</v>
      </c>
      <c r="M114" s="23">
        <f>IF($C114&gt;0,INDEX(Merge_1_2!$I$2:$I$611,$C114),INDEX(Dataset3_Raw!$I$2:$I$391,$E114))</f>
        <v>1</v>
      </c>
      <c r="N114" s="25">
        <f>IF($C114&gt;0,INDEX(Merge_1_2!$J$2:$J$611,$C114),INDEX(Dataset3_Raw!$J$2:$J$391,$E114))</f>
        <v>0.2</v>
      </c>
      <c r="O114" s="25">
        <f>IF($C114&gt;0,IF(ISNUMBER(INDEX(Merge_1_2!$K$2:$K$611,$C114)),INDEX(Merge_1_2!$K$2:$K$611,$C114),""),INDEX(Dataset3_Raw!$K$2:$K$391,$E114))</f>
        <v>0.19700000000000001</v>
      </c>
      <c r="P114" s="25">
        <f>IF(ISNUMBER($O114),$O114,ROUND(Lookups!$B$25+Lookups!$B$24*$N114,4))</f>
        <v>0.19700000000000001</v>
      </c>
      <c r="Q114" s="25">
        <f>IF($C114&gt;0,INDEX(Merge_1_2!$L$2:$L$611,$C114),INDEX(Dataset3_Raw!$L$2:$L$391,$E114))</f>
        <v>0.51</v>
      </c>
      <c r="R114" s="25">
        <f>IF($C114&gt;0,INDEX(Merge_1_2!$M$2:$M$611,$C114),INDEX(Dataset3_Raw!$M$2:$M$391,$E114))</f>
        <v>0.19400000000000001</v>
      </c>
      <c r="S114" s="23">
        <f>IF($C114&gt;0,INDEX(Merge_1_2!$N$2:$N$611,$C114),INDEX(Dataset3_Raw!$N$2:$N$391,$E114))</f>
        <v>3</v>
      </c>
      <c r="T114" s="23">
        <f>IF($C114&gt;0,INDEX(Merge_1_2!$O$2:$O$611,$C114),INDEX(Dataset3_Raw!$O$2:$O$391,$E114))</f>
        <v>40</v>
      </c>
      <c r="U114" s="23">
        <f>IF($C114&gt;0,INDEX(Merge_1_2!$P$2:$P$611,$C114),INDEX(Dataset3_Raw!$P$2:$P$391,$E114))</f>
        <v>43</v>
      </c>
      <c r="V114" s="23" t="str">
        <f t="shared" si="7"/>
        <v>Weekday</v>
      </c>
      <c r="W114" s="23" t="str">
        <f>VLOOKUP($M114,Lookups!$A$5:$B$8,2,FALSE())</f>
        <v>Clear / Partly cloudy</v>
      </c>
      <c r="X114" s="23" t="str">
        <f>VLOOKUP($G114,Lookups!$D$5:$E$8,2,FALSE())</f>
        <v>Winter</v>
      </c>
      <c r="Y114" s="23" t="str">
        <f>VLOOKUP($L114,Lookups!$G$5:$H$11,2,FALSE())</f>
        <v>Wednesday</v>
      </c>
      <c r="Z114" s="23" t="str">
        <f>IF($J114&lt;Lookups!$B$26,"Night",IF($J114&lt;Lookups!$B$27,"Morning",IF($J114&lt;Lookups!$B$28,"Afternoon","Evening")))</f>
        <v>Evening</v>
      </c>
      <c r="AA114" s="26">
        <f>ROUND($N114*(Lookups!$B$16-Lookups!$B$15)+Lookups!$B$15,1)</f>
        <v>1.4</v>
      </c>
      <c r="AB114" s="26">
        <f>ROUND($P114*(Lookups!$B$18-Lookups!$B$17)+Lookups!$B$17,1)</f>
        <v>-3</v>
      </c>
      <c r="AC114" s="23">
        <f t="shared" si="8"/>
        <v>51</v>
      </c>
      <c r="AD114" s="23">
        <f>ROUND($R114*Lookups!$B$19,1)</f>
        <v>13</v>
      </c>
      <c r="AE114" s="27">
        <f t="shared" si="9"/>
        <v>0.93023255813953487</v>
      </c>
      <c r="AF114" s="23" t="str">
        <f>IF($U114&gt;=Lookups!$B$23,"High",IF($U114&gt;=Lookups!$B$22,"Medium","Low"))</f>
        <v>Medium</v>
      </c>
      <c r="AG114" s="23">
        <f>ROUND(IF($V114="Weekday",IF(INDEX(Hourly_Analysis!$D$5:$D$28,$J114+1)&gt;0,($U114-INDEX(Hourly_Analysis!$C$5:$C$28,$J114+1))/INDEX(Hourly_Analysis!$D$5:$D$28,$J114+1),0),IF(INDEX(Hourly_Analysis!$G$5:$G$28,$J114+1)&gt;0,($U114-INDEX(Hourly_Analysis!$F$5:$F$28,$J114+1))/INDEX(Hourly_Analysis!$G$5:$G$28,$J114+1),0)),2)</f>
        <v>-0.66</v>
      </c>
      <c r="AH114" s="23" t="str">
        <f>IF(ABS($AG114)&gt;Lookups!$B$20,IF($AG114&gt;0,"High anomaly","Low anomaly"),"")</f>
        <v/>
      </c>
      <c r="AI114" s="23" t="str">
        <f t="shared" si="10"/>
        <v>OK</v>
      </c>
      <c r="AJ114" s="23" t="str">
        <f t="shared" si="11"/>
        <v>No</v>
      </c>
    </row>
    <row r="115" spans="1:36" x14ac:dyDescent="0.35">
      <c r="A115" s="23">
        <v>114</v>
      </c>
      <c r="B115" s="23" t="str">
        <f t="shared" si="6"/>
        <v>Merge 1+2</v>
      </c>
      <c r="C115" s="23">
        <f>IFERROR(MATCH($A115,Merge_1_2!$A$2:$A$611,0),0)</f>
        <v>114</v>
      </c>
      <c r="D115" s="23">
        <f>IF($C115&gt;0,INDEX(Merge_1_2!$Q$2:$Q$611,$C115),0)</f>
        <v>114</v>
      </c>
      <c r="E115" s="23">
        <f>IFERROR(MATCH($A115,Dataset3_Raw!$A$2:$A$391,0),0)</f>
        <v>0</v>
      </c>
      <c r="F115" s="24">
        <f>IF($C115&gt;0,INDEX(Merge_1_2!$B$2:$B$611,$C115),DATE(VALUE(RIGHT(INDEX(Dataset3_Raw!$B$2:$B$391,$E115),4)),VALUE(MID(INDEX(Dataset3_Raw!$B$2:$B$391,$E115),4,2)),VALUE(LEFT(INDEX(Dataset3_Raw!$B$2:$B$391,$E115),2))))</f>
        <v>40548</v>
      </c>
      <c r="G115" s="23">
        <f>IF($C115&gt;0,INDEX(Merge_1_2!$C$2:$C$611,$C115),INDEX(Dataset3_Raw!$C$2:$C$391,$E115))</f>
        <v>1</v>
      </c>
      <c r="H115" s="23">
        <f>IF($C115&gt;0,INDEX(Merge_1_2!$D$2:$D$611,$C115),INDEX(Dataset3_Raw!$D$2:$D$391,$E115))</f>
        <v>0</v>
      </c>
      <c r="I115" s="23">
        <f>IF($C115&gt;0,INDEX(Merge_1_2!$E$2:$E$611,$C115),INDEX(Dataset3_Raw!$E$2:$E$391,$E115))</f>
        <v>1</v>
      </c>
      <c r="J115" s="23">
        <f>IF($C115&gt;0,INDEX(Merge_1_2!$F$2:$F$611,$C115),INDEX(Dataset3_Raw!$F$2:$F$391,$E115))</f>
        <v>22</v>
      </c>
      <c r="K115" s="23" t="b">
        <f>IF($C115&gt;0,INDEX(Merge_1_2!$G$2:$G$611,$C115),INDEX(Dataset3_Raw!$G$2:$G$391,$E115))</f>
        <v>0</v>
      </c>
      <c r="L115" s="23">
        <f>IF($C115&gt;0,INDEX(Merge_1_2!$H$2:$H$611,$C115),INDEX(Dataset3_Raw!$H$2:$H$391,$E115))</f>
        <v>3</v>
      </c>
      <c r="M115" s="23">
        <f>IF($C115&gt;0,INDEX(Merge_1_2!$I$2:$I$611,$C115),INDEX(Dataset3_Raw!$I$2:$I$391,$E115))</f>
        <v>1</v>
      </c>
      <c r="N115" s="25">
        <f>IF($C115&gt;0,INDEX(Merge_1_2!$J$2:$J$611,$C115),INDEX(Dataset3_Raw!$J$2:$J$391,$E115))</f>
        <v>0.18</v>
      </c>
      <c r="O115" s="25">
        <f>IF($C115&gt;0,IF(ISNUMBER(INDEX(Merge_1_2!$K$2:$K$611,$C115)),INDEX(Merge_1_2!$K$2:$K$611,$C115),""),INDEX(Dataset3_Raw!$K$2:$K$391,$E115))</f>
        <v>0.19700000000000001</v>
      </c>
      <c r="P115" s="25">
        <f>IF(ISNUMBER($O115),$O115,ROUND(Lookups!$B$25+Lookups!$B$24*$N115,4))</f>
        <v>0.19700000000000001</v>
      </c>
      <c r="Q115" s="25">
        <f>IF($C115&gt;0,INDEX(Merge_1_2!$L$2:$L$611,$C115),INDEX(Dataset3_Raw!$L$2:$L$391,$E115))</f>
        <v>0.55000000000000004</v>
      </c>
      <c r="R115" s="25">
        <f>IF($C115&gt;0,INDEX(Merge_1_2!$M$2:$M$611,$C115),INDEX(Dataset3_Raw!$M$2:$M$391,$E115))</f>
        <v>0.1343</v>
      </c>
      <c r="S115" s="23">
        <f>IF($C115&gt;0,INDEX(Merge_1_2!$N$2:$N$611,$C115),INDEX(Dataset3_Raw!$N$2:$N$391,$E115))</f>
        <v>1</v>
      </c>
      <c r="T115" s="23">
        <f>IF($C115&gt;0,INDEX(Merge_1_2!$O$2:$O$611,$C115),INDEX(Dataset3_Raw!$O$2:$O$391,$E115))</f>
        <v>41</v>
      </c>
      <c r="U115" s="23">
        <f>IF($C115&gt;0,INDEX(Merge_1_2!$P$2:$P$611,$C115),INDEX(Dataset3_Raw!$P$2:$P$391,$E115))</f>
        <v>42</v>
      </c>
      <c r="V115" s="23" t="str">
        <f t="shared" si="7"/>
        <v>Weekday</v>
      </c>
      <c r="W115" s="23" t="str">
        <f>VLOOKUP($M115,Lookups!$A$5:$B$8,2,FALSE())</f>
        <v>Clear / Partly cloudy</v>
      </c>
      <c r="X115" s="23" t="str">
        <f>VLOOKUP($G115,Lookups!$D$5:$E$8,2,FALSE())</f>
        <v>Winter</v>
      </c>
      <c r="Y115" s="23" t="str">
        <f>VLOOKUP($L115,Lookups!$G$5:$H$11,2,FALSE())</f>
        <v>Wednesday</v>
      </c>
      <c r="Z115" s="23" t="str">
        <f>IF($J115&lt;Lookups!$B$26,"Night",IF($J115&lt;Lookups!$B$27,"Morning",IF($J115&lt;Lookups!$B$28,"Afternoon","Evening")))</f>
        <v>Evening</v>
      </c>
      <c r="AA115" s="26">
        <f>ROUND($N115*(Lookups!$B$16-Lookups!$B$15)+Lookups!$B$15,1)</f>
        <v>0.5</v>
      </c>
      <c r="AB115" s="26">
        <f>ROUND($P115*(Lookups!$B$18-Lookups!$B$17)+Lookups!$B$17,1)</f>
        <v>-3</v>
      </c>
      <c r="AC115" s="23">
        <f t="shared" si="8"/>
        <v>55</v>
      </c>
      <c r="AD115" s="23">
        <f>ROUND($R115*Lookups!$B$19,1)</f>
        <v>9</v>
      </c>
      <c r="AE115" s="27">
        <f t="shared" si="9"/>
        <v>0.97619047619047616</v>
      </c>
      <c r="AF115" s="23" t="str">
        <f>IF($U115&gt;=Lookups!$B$23,"High",IF($U115&gt;=Lookups!$B$22,"Medium","Low"))</f>
        <v>Medium</v>
      </c>
      <c r="AG115" s="23">
        <f>ROUND(IF($V115="Weekday",IF(INDEX(Hourly_Analysis!$D$5:$D$28,$J115+1)&gt;0,($U115-INDEX(Hourly_Analysis!$C$5:$C$28,$J115+1))/INDEX(Hourly_Analysis!$D$5:$D$28,$J115+1),0),IF(INDEX(Hourly_Analysis!$G$5:$G$28,$J115+1)&gt;0,($U115-INDEX(Hourly_Analysis!$F$5:$F$28,$J115+1))/INDEX(Hourly_Analysis!$G$5:$G$28,$J115+1),0)),2)</f>
        <v>0.41</v>
      </c>
      <c r="AH115" s="23" t="str">
        <f>IF(ABS($AG115)&gt;Lookups!$B$20,IF($AG115&gt;0,"High anomaly","Low anomaly"),"")</f>
        <v/>
      </c>
      <c r="AI115" s="23" t="str">
        <f t="shared" si="10"/>
        <v>OK</v>
      </c>
      <c r="AJ115" s="23" t="str">
        <f t="shared" si="11"/>
        <v>No</v>
      </c>
    </row>
    <row r="116" spans="1:36" x14ac:dyDescent="0.35">
      <c r="A116" s="23">
        <v>115</v>
      </c>
      <c r="B116" s="23" t="str">
        <f t="shared" si="6"/>
        <v>Merge 1+2</v>
      </c>
      <c r="C116" s="23">
        <f>IFERROR(MATCH($A116,Merge_1_2!$A$2:$A$611,0),0)</f>
        <v>115</v>
      </c>
      <c r="D116" s="23">
        <f>IF($C116&gt;0,INDEX(Merge_1_2!$Q$2:$Q$611,$C116),0)</f>
        <v>115</v>
      </c>
      <c r="E116" s="23">
        <f>IFERROR(MATCH($A116,Dataset3_Raw!$A$2:$A$391,0),0)</f>
        <v>0</v>
      </c>
      <c r="F116" s="24">
        <f>IF($C116&gt;0,INDEX(Merge_1_2!$B$2:$B$611,$C116),DATE(VALUE(RIGHT(INDEX(Dataset3_Raw!$B$2:$B$391,$E116),4)),VALUE(MID(INDEX(Dataset3_Raw!$B$2:$B$391,$E116),4,2)),VALUE(LEFT(INDEX(Dataset3_Raw!$B$2:$B$391,$E116),2))))</f>
        <v>40548</v>
      </c>
      <c r="G116" s="23">
        <f>IF($C116&gt;0,INDEX(Merge_1_2!$C$2:$C$611,$C116),INDEX(Dataset3_Raw!$C$2:$C$391,$E116))</f>
        <v>1</v>
      </c>
      <c r="H116" s="23">
        <f>IF($C116&gt;0,INDEX(Merge_1_2!$D$2:$D$611,$C116),INDEX(Dataset3_Raw!$D$2:$D$391,$E116))</f>
        <v>0</v>
      </c>
      <c r="I116" s="23">
        <f>IF($C116&gt;0,INDEX(Merge_1_2!$E$2:$E$611,$C116),INDEX(Dataset3_Raw!$E$2:$E$391,$E116))</f>
        <v>1</v>
      </c>
      <c r="J116" s="23">
        <f>IF($C116&gt;0,INDEX(Merge_1_2!$F$2:$F$611,$C116),INDEX(Dataset3_Raw!$F$2:$F$391,$E116))</f>
        <v>23</v>
      </c>
      <c r="K116" s="23" t="b">
        <f>IF($C116&gt;0,INDEX(Merge_1_2!$G$2:$G$611,$C116),INDEX(Dataset3_Raw!$G$2:$G$391,$E116))</f>
        <v>0</v>
      </c>
      <c r="L116" s="23">
        <f>IF($C116&gt;0,INDEX(Merge_1_2!$H$2:$H$611,$C116),INDEX(Dataset3_Raw!$H$2:$H$391,$E116))</f>
        <v>3</v>
      </c>
      <c r="M116" s="23">
        <f>IF($C116&gt;0,INDEX(Merge_1_2!$I$2:$I$611,$C116),INDEX(Dataset3_Raw!$I$2:$I$391,$E116))</f>
        <v>1</v>
      </c>
      <c r="N116" s="25">
        <f>IF($C116&gt;0,INDEX(Merge_1_2!$J$2:$J$611,$C116),INDEX(Dataset3_Raw!$J$2:$J$391,$E116))</f>
        <v>0.2</v>
      </c>
      <c r="O116" s="25">
        <f>IF($C116&gt;0,IF(ISNUMBER(INDEX(Merge_1_2!$K$2:$K$611,$C116)),INDEX(Merge_1_2!$K$2:$K$611,$C116),""),INDEX(Dataset3_Raw!$K$2:$K$391,$E116))</f>
        <v>0.2576</v>
      </c>
      <c r="P116" s="25">
        <f>IF(ISNUMBER($O116),$O116,ROUND(Lookups!$B$25+Lookups!$B$24*$N116,4))</f>
        <v>0.2576</v>
      </c>
      <c r="Q116" s="25">
        <f>IF($C116&gt;0,INDEX(Merge_1_2!$L$2:$L$611,$C116),INDEX(Dataset3_Raw!$L$2:$L$391,$E116))</f>
        <v>0.47</v>
      </c>
      <c r="R116" s="25">
        <f>IF($C116&gt;0,INDEX(Merge_1_2!$M$2:$M$611,$C116),INDEX(Dataset3_Raw!$M$2:$M$391,$E116))</f>
        <v>0</v>
      </c>
      <c r="S116" s="23">
        <f>IF($C116&gt;0,INDEX(Merge_1_2!$N$2:$N$611,$C116),INDEX(Dataset3_Raw!$N$2:$N$391,$E116))</f>
        <v>1</v>
      </c>
      <c r="T116" s="23">
        <f>IF($C116&gt;0,INDEX(Merge_1_2!$O$2:$O$611,$C116),INDEX(Dataset3_Raw!$O$2:$O$391,$E116))</f>
        <v>18</v>
      </c>
      <c r="U116" s="23">
        <f>IF($C116&gt;0,INDEX(Merge_1_2!$P$2:$P$611,$C116),INDEX(Dataset3_Raw!$P$2:$P$391,$E116))</f>
        <v>19</v>
      </c>
      <c r="V116" s="23" t="str">
        <f t="shared" si="7"/>
        <v>Weekday</v>
      </c>
      <c r="W116" s="23" t="str">
        <f>VLOOKUP($M116,Lookups!$A$5:$B$8,2,FALSE())</f>
        <v>Clear / Partly cloudy</v>
      </c>
      <c r="X116" s="23" t="str">
        <f>VLOOKUP($G116,Lookups!$D$5:$E$8,2,FALSE())</f>
        <v>Winter</v>
      </c>
      <c r="Y116" s="23" t="str">
        <f>VLOOKUP($L116,Lookups!$G$5:$H$11,2,FALSE())</f>
        <v>Wednesday</v>
      </c>
      <c r="Z116" s="23" t="str">
        <f>IF($J116&lt;Lookups!$B$26,"Night",IF($J116&lt;Lookups!$B$27,"Morning",IF($J116&lt;Lookups!$B$28,"Afternoon","Evening")))</f>
        <v>Evening</v>
      </c>
      <c r="AA116" s="26">
        <f>ROUND($N116*(Lookups!$B$16-Lookups!$B$15)+Lookups!$B$15,1)</f>
        <v>1.4</v>
      </c>
      <c r="AB116" s="26">
        <f>ROUND($P116*(Lookups!$B$18-Lookups!$B$17)+Lookups!$B$17,1)</f>
        <v>1</v>
      </c>
      <c r="AC116" s="23">
        <f t="shared" si="8"/>
        <v>47</v>
      </c>
      <c r="AD116" s="23">
        <f>ROUND($R116*Lookups!$B$19,1)</f>
        <v>0</v>
      </c>
      <c r="AE116" s="27">
        <f t="shared" si="9"/>
        <v>0.94736842105263153</v>
      </c>
      <c r="AF116" s="23" t="str">
        <f>IF($U116&gt;=Lookups!$B$23,"High",IF($U116&gt;=Lookups!$B$22,"Medium","Low"))</f>
        <v>Medium</v>
      </c>
      <c r="AG116" s="23">
        <f>ROUND(IF($V116="Weekday",IF(INDEX(Hourly_Analysis!$D$5:$D$28,$J116+1)&gt;0,($U116-INDEX(Hourly_Analysis!$C$5:$C$28,$J116+1))/INDEX(Hourly_Analysis!$D$5:$D$28,$J116+1),0),IF(INDEX(Hourly_Analysis!$G$5:$G$28,$J116+1)&gt;0,($U116-INDEX(Hourly_Analysis!$F$5:$F$28,$J116+1))/INDEX(Hourly_Analysis!$G$5:$G$28,$J116+1),0)),2)</f>
        <v>-0.54</v>
      </c>
      <c r="AH116" s="23" t="str">
        <f>IF(ABS($AG116)&gt;Lookups!$B$20,IF($AG116&gt;0,"High anomaly","Low anomaly"),"")</f>
        <v/>
      </c>
      <c r="AI116" s="23" t="str">
        <f t="shared" si="10"/>
        <v>OK</v>
      </c>
      <c r="AJ116" s="23" t="str">
        <f t="shared" si="11"/>
        <v>No</v>
      </c>
    </row>
    <row r="117" spans="1:36" x14ac:dyDescent="0.35">
      <c r="A117" s="23">
        <v>116</v>
      </c>
      <c r="B117" s="23" t="str">
        <f t="shared" si="6"/>
        <v>Merge 1+2</v>
      </c>
      <c r="C117" s="23">
        <f>IFERROR(MATCH($A117,Merge_1_2!$A$2:$A$611,0),0)</f>
        <v>116</v>
      </c>
      <c r="D117" s="23">
        <f>IF($C117&gt;0,INDEX(Merge_1_2!$Q$2:$Q$611,$C117),0)</f>
        <v>116</v>
      </c>
      <c r="E117" s="23">
        <f>IFERROR(MATCH($A117,Dataset3_Raw!$A$2:$A$391,0),0)</f>
        <v>0</v>
      </c>
      <c r="F117" s="24">
        <f>IF($C117&gt;0,INDEX(Merge_1_2!$B$2:$B$611,$C117),DATE(VALUE(RIGHT(INDEX(Dataset3_Raw!$B$2:$B$391,$E117),4)),VALUE(MID(INDEX(Dataset3_Raw!$B$2:$B$391,$E117),4,2)),VALUE(LEFT(INDEX(Dataset3_Raw!$B$2:$B$391,$E117),2))))</f>
        <v>40549</v>
      </c>
      <c r="G117" s="23">
        <f>IF($C117&gt;0,INDEX(Merge_1_2!$C$2:$C$611,$C117),INDEX(Dataset3_Raw!$C$2:$C$391,$E117))</f>
        <v>1</v>
      </c>
      <c r="H117" s="23">
        <f>IF($C117&gt;0,INDEX(Merge_1_2!$D$2:$D$611,$C117),INDEX(Dataset3_Raw!$D$2:$D$391,$E117))</f>
        <v>0</v>
      </c>
      <c r="I117" s="23">
        <f>IF($C117&gt;0,INDEX(Merge_1_2!$E$2:$E$611,$C117),INDEX(Dataset3_Raw!$E$2:$E$391,$E117))</f>
        <v>1</v>
      </c>
      <c r="J117" s="23">
        <f>IF($C117&gt;0,INDEX(Merge_1_2!$F$2:$F$611,$C117),INDEX(Dataset3_Raw!$F$2:$F$391,$E117))</f>
        <v>0</v>
      </c>
      <c r="K117" s="23" t="b">
        <f>IF($C117&gt;0,INDEX(Merge_1_2!$G$2:$G$611,$C117),INDEX(Dataset3_Raw!$G$2:$G$391,$E117))</f>
        <v>0</v>
      </c>
      <c r="L117" s="23">
        <f>IF($C117&gt;0,INDEX(Merge_1_2!$H$2:$H$611,$C117),INDEX(Dataset3_Raw!$H$2:$H$391,$E117))</f>
        <v>4</v>
      </c>
      <c r="M117" s="23">
        <f>IF($C117&gt;0,INDEX(Merge_1_2!$I$2:$I$611,$C117),INDEX(Dataset3_Raw!$I$2:$I$391,$E117))</f>
        <v>1</v>
      </c>
      <c r="N117" s="25">
        <f>IF($C117&gt;0,INDEX(Merge_1_2!$J$2:$J$611,$C117),INDEX(Dataset3_Raw!$J$2:$J$391,$E117))</f>
        <v>0.18</v>
      </c>
      <c r="O117" s="25">
        <f>IF($C117&gt;0,IF(ISNUMBER(INDEX(Merge_1_2!$K$2:$K$611,$C117)),INDEX(Merge_1_2!$K$2:$K$611,$C117),""),INDEX(Dataset3_Raw!$K$2:$K$391,$E117))</f>
        <v>0.2424</v>
      </c>
      <c r="P117" s="25">
        <f>IF(ISNUMBER($O117),$O117,ROUND(Lookups!$B$25+Lookups!$B$24*$N117,4))</f>
        <v>0.2424</v>
      </c>
      <c r="Q117" s="25">
        <f>IF($C117&gt;0,INDEX(Merge_1_2!$L$2:$L$611,$C117),INDEX(Dataset3_Raw!$L$2:$L$391,$E117))</f>
        <v>0.55000000000000004</v>
      </c>
      <c r="R117" s="25">
        <f>IF($C117&gt;0,INDEX(Merge_1_2!$M$2:$M$611,$C117),INDEX(Dataset3_Raw!$M$2:$M$391,$E117))</f>
        <v>0</v>
      </c>
      <c r="S117" s="23">
        <f>IF($C117&gt;0,INDEX(Merge_1_2!$N$2:$N$611,$C117),INDEX(Dataset3_Raw!$N$2:$N$391,$E117))</f>
        <v>0</v>
      </c>
      <c r="T117" s="23">
        <f>IF($C117&gt;0,INDEX(Merge_1_2!$O$2:$O$611,$C117),INDEX(Dataset3_Raw!$O$2:$O$391,$E117))</f>
        <v>11</v>
      </c>
      <c r="U117" s="23">
        <f>IF($C117&gt;0,INDEX(Merge_1_2!$P$2:$P$611,$C117),INDEX(Dataset3_Raw!$P$2:$P$391,$E117))</f>
        <v>11</v>
      </c>
      <c r="V117" s="23" t="str">
        <f t="shared" si="7"/>
        <v>Weekday</v>
      </c>
      <c r="W117" s="23" t="str">
        <f>VLOOKUP($M117,Lookups!$A$5:$B$8,2,FALSE())</f>
        <v>Clear / Partly cloudy</v>
      </c>
      <c r="X117" s="23" t="str">
        <f>VLOOKUP($G117,Lookups!$D$5:$E$8,2,FALSE())</f>
        <v>Winter</v>
      </c>
      <c r="Y117" s="23" t="str">
        <f>VLOOKUP($L117,Lookups!$G$5:$H$11,2,FALSE())</f>
        <v>Thursday</v>
      </c>
      <c r="Z117" s="23" t="str">
        <f>IF($J117&lt;Lookups!$B$26,"Night",IF($J117&lt;Lookups!$B$27,"Morning",IF($J117&lt;Lookups!$B$28,"Afternoon","Evening")))</f>
        <v>Night</v>
      </c>
      <c r="AA117" s="26">
        <f>ROUND($N117*(Lookups!$B$16-Lookups!$B$15)+Lookups!$B$15,1)</f>
        <v>0.5</v>
      </c>
      <c r="AB117" s="26">
        <f>ROUND($P117*(Lookups!$B$18-Lookups!$B$17)+Lookups!$B$17,1)</f>
        <v>0</v>
      </c>
      <c r="AC117" s="23">
        <f t="shared" si="8"/>
        <v>55</v>
      </c>
      <c r="AD117" s="23">
        <f>ROUND($R117*Lookups!$B$19,1)</f>
        <v>0</v>
      </c>
      <c r="AE117" s="27">
        <f t="shared" si="9"/>
        <v>1</v>
      </c>
      <c r="AF117" s="23" t="str">
        <f>IF($U117&gt;=Lookups!$B$23,"High",IF($U117&gt;=Lookups!$B$22,"Medium","Low"))</f>
        <v>Low</v>
      </c>
      <c r="AG117" s="23">
        <f>ROUND(IF($V117="Weekday",IF(INDEX(Hourly_Analysis!$D$5:$D$28,$J117+1)&gt;0,($U117-INDEX(Hourly_Analysis!$C$5:$C$28,$J117+1))/INDEX(Hourly_Analysis!$D$5:$D$28,$J117+1),0),IF(INDEX(Hourly_Analysis!$G$5:$G$28,$J117+1)&gt;0,($U117-INDEX(Hourly_Analysis!$F$5:$F$28,$J117+1))/INDEX(Hourly_Analysis!$G$5:$G$28,$J117+1),0)),2)</f>
        <v>0.11</v>
      </c>
      <c r="AH117" s="23" t="str">
        <f>IF(ABS($AG117)&gt;Lookups!$B$20,IF($AG117&gt;0,"High anomaly","Low anomaly"),"")</f>
        <v/>
      </c>
      <c r="AI117" s="23" t="str">
        <f t="shared" si="10"/>
        <v>OK</v>
      </c>
      <c r="AJ117" s="23" t="str">
        <f t="shared" si="11"/>
        <v>No</v>
      </c>
    </row>
    <row r="118" spans="1:36" x14ac:dyDescent="0.35">
      <c r="A118" s="23">
        <v>117</v>
      </c>
      <c r="B118" s="23" t="str">
        <f t="shared" si="6"/>
        <v>Merge 1+2</v>
      </c>
      <c r="C118" s="23">
        <f>IFERROR(MATCH($A118,Merge_1_2!$A$2:$A$611,0),0)</f>
        <v>117</v>
      </c>
      <c r="D118" s="23">
        <f>IF($C118&gt;0,INDEX(Merge_1_2!$Q$2:$Q$611,$C118),0)</f>
        <v>117</v>
      </c>
      <c r="E118" s="23">
        <f>IFERROR(MATCH($A118,Dataset3_Raw!$A$2:$A$391,0),0)</f>
        <v>0</v>
      </c>
      <c r="F118" s="24">
        <f>IF($C118&gt;0,INDEX(Merge_1_2!$B$2:$B$611,$C118),DATE(VALUE(RIGHT(INDEX(Dataset3_Raw!$B$2:$B$391,$E118),4)),VALUE(MID(INDEX(Dataset3_Raw!$B$2:$B$391,$E118),4,2)),VALUE(LEFT(INDEX(Dataset3_Raw!$B$2:$B$391,$E118),2))))</f>
        <v>40549</v>
      </c>
      <c r="G118" s="23">
        <f>IF($C118&gt;0,INDEX(Merge_1_2!$C$2:$C$611,$C118),INDEX(Dataset3_Raw!$C$2:$C$391,$E118))</f>
        <v>1</v>
      </c>
      <c r="H118" s="23">
        <f>IF($C118&gt;0,INDEX(Merge_1_2!$D$2:$D$611,$C118),INDEX(Dataset3_Raw!$D$2:$D$391,$E118))</f>
        <v>0</v>
      </c>
      <c r="I118" s="23">
        <f>IF($C118&gt;0,INDEX(Merge_1_2!$E$2:$E$611,$C118),INDEX(Dataset3_Raw!$E$2:$E$391,$E118))</f>
        <v>1</v>
      </c>
      <c r="J118" s="23">
        <f>IF($C118&gt;0,INDEX(Merge_1_2!$F$2:$F$611,$C118),INDEX(Dataset3_Raw!$F$2:$F$391,$E118))</f>
        <v>1</v>
      </c>
      <c r="K118" s="23" t="b">
        <f>IF($C118&gt;0,INDEX(Merge_1_2!$G$2:$G$611,$C118),INDEX(Dataset3_Raw!$G$2:$G$391,$E118))</f>
        <v>0</v>
      </c>
      <c r="L118" s="23">
        <f>IF($C118&gt;0,INDEX(Merge_1_2!$H$2:$H$611,$C118),INDEX(Dataset3_Raw!$H$2:$H$391,$E118))</f>
        <v>4</v>
      </c>
      <c r="M118" s="23">
        <f>IF($C118&gt;0,INDEX(Merge_1_2!$I$2:$I$611,$C118),INDEX(Dataset3_Raw!$I$2:$I$391,$E118))</f>
        <v>1</v>
      </c>
      <c r="N118" s="25">
        <f>IF($C118&gt;0,INDEX(Merge_1_2!$J$2:$J$611,$C118),INDEX(Dataset3_Raw!$J$2:$J$391,$E118))</f>
        <v>0.16</v>
      </c>
      <c r="O118" s="25">
        <f>IF($C118&gt;0,IF(ISNUMBER(INDEX(Merge_1_2!$K$2:$K$611,$C118)),INDEX(Merge_1_2!$K$2:$K$611,$C118),""),INDEX(Dataset3_Raw!$K$2:$K$391,$E118))</f>
        <v>0.2273</v>
      </c>
      <c r="P118" s="25">
        <f>IF(ISNUMBER($O118),$O118,ROUND(Lookups!$B$25+Lookups!$B$24*$N118,4))</f>
        <v>0.2273</v>
      </c>
      <c r="Q118" s="25">
        <f>IF($C118&gt;0,INDEX(Merge_1_2!$L$2:$L$611,$C118),INDEX(Dataset3_Raw!$L$2:$L$391,$E118))</f>
        <v>0.64</v>
      </c>
      <c r="R118" s="25">
        <f>IF($C118&gt;0,INDEX(Merge_1_2!$M$2:$M$611,$C118),INDEX(Dataset3_Raw!$M$2:$M$391,$E118))</f>
        <v>0</v>
      </c>
      <c r="S118" s="23">
        <f>IF($C118&gt;0,INDEX(Merge_1_2!$N$2:$N$611,$C118),INDEX(Dataset3_Raw!$N$2:$N$391,$E118))</f>
        <v>0</v>
      </c>
      <c r="T118" s="23">
        <f>IF($C118&gt;0,INDEX(Merge_1_2!$O$2:$O$611,$C118),INDEX(Dataset3_Raw!$O$2:$O$391,$E118))</f>
        <v>4</v>
      </c>
      <c r="U118" s="23">
        <f>IF($C118&gt;0,INDEX(Merge_1_2!$P$2:$P$611,$C118),INDEX(Dataset3_Raw!$P$2:$P$391,$E118))</f>
        <v>4</v>
      </c>
      <c r="V118" s="23" t="str">
        <f t="shared" si="7"/>
        <v>Weekday</v>
      </c>
      <c r="W118" s="23" t="str">
        <f>VLOOKUP($M118,Lookups!$A$5:$B$8,2,FALSE())</f>
        <v>Clear / Partly cloudy</v>
      </c>
      <c r="X118" s="23" t="str">
        <f>VLOOKUP($G118,Lookups!$D$5:$E$8,2,FALSE())</f>
        <v>Winter</v>
      </c>
      <c r="Y118" s="23" t="str">
        <f>VLOOKUP($L118,Lookups!$G$5:$H$11,2,FALSE())</f>
        <v>Thursday</v>
      </c>
      <c r="Z118" s="23" t="str">
        <f>IF($J118&lt;Lookups!$B$26,"Night",IF($J118&lt;Lookups!$B$27,"Morning",IF($J118&lt;Lookups!$B$28,"Afternoon","Evening")))</f>
        <v>Night</v>
      </c>
      <c r="AA118" s="26">
        <f>ROUND($N118*(Lookups!$B$16-Lookups!$B$15)+Lookups!$B$15,1)</f>
        <v>-0.5</v>
      </c>
      <c r="AB118" s="26">
        <f>ROUND($P118*(Lookups!$B$18-Lookups!$B$17)+Lookups!$B$17,1)</f>
        <v>-1</v>
      </c>
      <c r="AC118" s="23">
        <f t="shared" si="8"/>
        <v>64</v>
      </c>
      <c r="AD118" s="23">
        <f>ROUND($R118*Lookups!$B$19,1)</f>
        <v>0</v>
      </c>
      <c r="AE118" s="27">
        <f t="shared" si="9"/>
        <v>1</v>
      </c>
      <c r="AF118" s="23" t="str">
        <f>IF($U118&gt;=Lookups!$B$23,"High",IF($U118&gt;=Lookups!$B$22,"Medium","Low"))</f>
        <v>Low</v>
      </c>
      <c r="AG118" s="23">
        <f>ROUND(IF($V118="Weekday",IF(INDEX(Hourly_Analysis!$D$5:$D$28,$J118+1)&gt;0,($U118-INDEX(Hourly_Analysis!$C$5:$C$28,$J118+1))/INDEX(Hourly_Analysis!$D$5:$D$28,$J118+1),0),IF(INDEX(Hourly_Analysis!$G$5:$G$28,$J118+1)&gt;0,($U118-INDEX(Hourly_Analysis!$F$5:$F$28,$J118+1))/INDEX(Hourly_Analysis!$G$5:$G$28,$J118+1),0)),2)</f>
        <v>-0.35</v>
      </c>
      <c r="AH118" s="23" t="str">
        <f>IF(ABS($AG118)&gt;Lookups!$B$20,IF($AG118&gt;0,"High anomaly","Low anomaly"),"")</f>
        <v/>
      </c>
      <c r="AI118" s="23" t="str">
        <f t="shared" si="10"/>
        <v>OK</v>
      </c>
      <c r="AJ118" s="23" t="str">
        <f t="shared" si="11"/>
        <v>No</v>
      </c>
    </row>
    <row r="119" spans="1:36" x14ac:dyDescent="0.35">
      <c r="A119" s="23">
        <v>118</v>
      </c>
      <c r="B119" s="23" t="str">
        <f t="shared" si="6"/>
        <v>Merge 1+2</v>
      </c>
      <c r="C119" s="23">
        <f>IFERROR(MATCH($A119,Merge_1_2!$A$2:$A$611,0),0)</f>
        <v>118</v>
      </c>
      <c r="D119" s="23">
        <f>IF($C119&gt;0,INDEX(Merge_1_2!$Q$2:$Q$611,$C119),0)</f>
        <v>118</v>
      </c>
      <c r="E119" s="23">
        <f>IFERROR(MATCH($A119,Dataset3_Raw!$A$2:$A$391,0),0)</f>
        <v>0</v>
      </c>
      <c r="F119" s="24">
        <f>IF($C119&gt;0,INDEX(Merge_1_2!$B$2:$B$611,$C119),DATE(VALUE(RIGHT(INDEX(Dataset3_Raw!$B$2:$B$391,$E119),4)),VALUE(MID(INDEX(Dataset3_Raw!$B$2:$B$391,$E119),4,2)),VALUE(LEFT(INDEX(Dataset3_Raw!$B$2:$B$391,$E119),2))))</f>
        <v>40549</v>
      </c>
      <c r="G119" s="23">
        <f>IF($C119&gt;0,INDEX(Merge_1_2!$C$2:$C$611,$C119),INDEX(Dataset3_Raw!$C$2:$C$391,$E119))</f>
        <v>1</v>
      </c>
      <c r="H119" s="23">
        <f>IF($C119&gt;0,INDEX(Merge_1_2!$D$2:$D$611,$C119),INDEX(Dataset3_Raw!$D$2:$D$391,$E119))</f>
        <v>0</v>
      </c>
      <c r="I119" s="23">
        <f>IF($C119&gt;0,INDEX(Merge_1_2!$E$2:$E$611,$C119),INDEX(Dataset3_Raw!$E$2:$E$391,$E119))</f>
        <v>1</v>
      </c>
      <c r="J119" s="23">
        <f>IF($C119&gt;0,INDEX(Merge_1_2!$F$2:$F$611,$C119),INDEX(Dataset3_Raw!$F$2:$F$391,$E119))</f>
        <v>2</v>
      </c>
      <c r="K119" s="23" t="b">
        <f>IF($C119&gt;0,INDEX(Merge_1_2!$G$2:$G$611,$C119),INDEX(Dataset3_Raw!$G$2:$G$391,$E119))</f>
        <v>0</v>
      </c>
      <c r="L119" s="23">
        <f>IF($C119&gt;0,INDEX(Merge_1_2!$H$2:$H$611,$C119),INDEX(Dataset3_Raw!$H$2:$H$391,$E119))</f>
        <v>4</v>
      </c>
      <c r="M119" s="23">
        <f>IF($C119&gt;0,INDEX(Merge_1_2!$I$2:$I$611,$C119),INDEX(Dataset3_Raw!$I$2:$I$391,$E119))</f>
        <v>1</v>
      </c>
      <c r="N119" s="25">
        <f>IF($C119&gt;0,INDEX(Merge_1_2!$J$2:$J$611,$C119),INDEX(Dataset3_Raw!$J$2:$J$391,$E119))</f>
        <v>0.16</v>
      </c>
      <c r="O119" s="25">
        <f>IF($C119&gt;0,IF(ISNUMBER(INDEX(Merge_1_2!$K$2:$K$611,$C119)),INDEX(Merge_1_2!$K$2:$K$611,$C119),""),INDEX(Dataset3_Raw!$K$2:$K$391,$E119))</f>
        <v>0.2273</v>
      </c>
      <c r="P119" s="25">
        <f>IF(ISNUMBER($O119),$O119,ROUND(Lookups!$B$25+Lookups!$B$24*$N119,4))</f>
        <v>0.2273</v>
      </c>
      <c r="Q119" s="25">
        <f>IF($C119&gt;0,INDEX(Merge_1_2!$L$2:$L$611,$C119),INDEX(Dataset3_Raw!$L$2:$L$391,$E119))</f>
        <v>0.64</v>
      </c>
      <c r="R119" s="25">
        <f>IF($C119&gt;0,INDEX(Merge_1_2!$M$2:$M$611,$C119),INDEX(Dataset3_Raw!$M$2:$M$391,$E119))</f>
        <v>0</v>
      </c>
      <c r="S119" s="23">
        <f>IF($C119&gt;0,INDEX(Merge_1_2!$N$2:$N$611,$C119),INDEX(Dataset3_Raw!$N$2:$N$391,$E119))</f>
        <v>0</v>
      </c>
      <c r="T119" s="23">
        <f>IF($C119&gt;0,INDEX(Merge_1_2!$O$2:$O$611,$C119),INDEX(Dataset3_Raw!$O$2:$O$391,$E119))</f>
        <v>2</v>
      </c>
      <c r="U119" s="23">
        <f>IF($C119&gt;0,INDEX(Merge_1_2!$P$2:$P$611,$C119),INDEX(Dataset3_Raw!$P$2:$P$391,$E119))</f>
        <v>2</v>
      </c>
      <c r="V119" s="23" t="str">
        <f t="shared" si="7"/>
        <v>Weekday</v>
      </c>
      <c r="W119" s="23" t="str">
        <f>VLOOKUP($M119,Lookups!$A$5:$B$8,2,FALSE())</f>
        <v>Clear / Partly cloudy</v>
      </c>
      <c r="X119" s="23" t="str">
        <f>VLOOKUP($G119,Lookups!$D$5:$E$8,2,FALSE())</f>
        <v>Winter</v>
      </c>
      <c r="Y119" s="23" t="str">
        <f>VLOOKUP($L119,Lookups!$G$5:$H$11,2,FALSE())</f>
        <v>Thursday</v>
      </c>
      <c r="Z119" s="23" t="str">
        <f>IF($J119&lt;Lookups!$B$26,"Night",IF($J119&lt;Lookups!$B$27,"Morning",IF($J119&lt;Lookups!$B$28,"Afternoon","Evening")))</f>
        <v>Night</v>
      </c>
      <c r="AA119" s="26">
        <f>ROUND($N119*(Lookups!$B$16-Lookups!$B$15)+Lookups!$B$15,1)</f>
        <v>-0.5</v>
      </c>
      <c r="AB119" s="26">
        <f>ROUND($P119*(Lookups!$B$18-Lookups!$B$17)+Lookups!$B$17,1)</f>
        <v>-1</v>
      </c>
      <c r="AC119" s="23">
        <f t="shared" si="8"/>
        <v>64</v>
      </c>
      <c r="AD119" s="23">
        <f>ROUND($R119*Lookups!$B$19,1)</f>
        <v>0</v>
      </c>
      <c r="AE119" s="27">
        <f t="shared" si="9"/>
        <v>1</v>
      </c>
      <c r="AF119" s="23" t="str">
        <f>IF($U119&gt;=Lookups!$B$23,"High",IF($U119&gt;=Lookups!$B$22,"Medium","Low"))</f>
        <v>Low</v>
      </c>
      <c r="AG119" s="23">
        <f>ROUND(IF($V119="Weekday",IF(INDEX(Hourly_Analysis!$D$5:$D$28,$J119+1)&gt;0,($U119-INDEX(Hourly_Analysis!$C$5:$C$28,$J119+1))/INDEX(Hourly_Analysis!$D$5:$D$28,$J119+1),0),IF(INDEX(Hourly_Analysis!$G$5:$G$28,$J119+1)&gt;0,($U119-INDEX(Hourly_Analysis!$F$5:$F$28,$J119+1))/INDEX(Hourly_Analysis!$G$5:$G$28,$J119+1),0)),2)</f>
        <v>-0.24</v>
      </c>
      <c r="AH119" s="23" t="str">
        <f>IF(ABS($AG119)&gt;Lookups!$B$20,IF($AG119&gt;0,"High anomaly","Low anomaly"),"")</f>
        <v/>
      </c>
      <c r="AI119" s="23" t="str">
        <f t="shared" si="10"/>
        <v>OK</v>
      </c>
      <c r="AJ119" s="23" t="str">
        <f t="shared" si="11"/>
        <v>No</v>
      </c>
    </row>
    <row r="120" spans="1:36" x14ac:dyDescent="0.35">
      <c r="A120" s="23">
        <v>119</v>
      </c>
      <c r="B120" s="23" t="str">
        <f t="shared" si="6"/>
        <v>Merge 1+2</v>
      </c>
      <c r="C120" s="23">
        <f>IFERROR(MATCH($A120,Merge_1_2!$A$2:$A$611,0),0)</f>
        <v>119</v>
      </c>
      <c r="D120" s="23">
        <f>IF($C120&gt;0,INDEX(Merge_1_2!$Q$2:$Q$611,$C120),0)</f>
        <v>119</v>
      </c>
      <c r="E120" s="23">
        <f>IFERROR(MATCH($A120,Dataset3_Raw!$A$2:$A$391,0),0)</f>
        <v>0</v>
      </c>
      <c r="F120" s="24">
        <f>IF($C120&gt;0,INDEX(Merge_1_2!$B$2:$B$611,$C120),DATE(VALUE(RIGHT(INDEX(Dataset3_Raw!$B$2:$B$391,$E120),4)),VALUE(MID(INDEX(Dataset3_Raw!$B$2:$B$391,$E120),4,2)),VALUE(LEFT(INDEX(Dataset3_Raw!$B$2:$B$391,$E120),2))))</f>
        <v>40549</v>
      </c>
      <c r="G120" s="23">
        <f>IF($C120&gt;0,INDEX(Merge_1_2!$C$2:$C$611,$C120),INDEX(Dataset3_Raw!$C$2:$C$391,$E120))</f>
        <v>1</v>
      </c>
      <c r="H120" s="23">
        <f>IF($C120&gt;0,INDEX(Merge_1_2!$D$2:$D$611,$C120),INDEX(Dataset3_Raw!$D$2:$D$391,$E120))</f>
        <v>0</v>
      </c>
      <c r="I120" s="23">
        <f>IF($C120&gt;0,INDEX(Merge_1_2!$E$2:$E$611,$C120),INDEX(Dataset3_Raw!$E$2:$E$391,$E120))</f>
        <v>1</v>
      </c>
      <c r="J120" s="23">
        <f>IF($C120&gt;0,INDEX(Merge_1_2!$F$2:$F$611,$C120),INDEX(Dataset3_Raw!$F$2:$F$391,$E120))</f>
        <v>4</v>
      </c>
      <c r="K120" s="23" t="b">
        <f>IF($C120&gt;0,INDEX(Merge_1_2!$G$2:$G$611,$C120),INDEX(Dataset3_Raw!$G$2:$G$391,$E120))</f>
        <v>0</v>
      </c>
      <c r="L120" s="23">
        <f>IF($C120&gt;0,INDEX(Merge_1_2!$H$2:$H$611,$C120),INDEX(Dataset3_Raw!$H$2:$H$391,$E120))</f>
        <v>4</v>
      </c>
      <c r="M120" s="23">
        <f>IF($C120&gt;0,INDEX(Merge_1_2!$I$2:$I$611,$C120),INDEX(Dataset3_Raw!$I$2:$I$391,$E120))</f>
        <v>2</v>
      </c>
      <c r="N120" s="25">
        <f>IF($C120&gt;0,INDEX(Merge_1_2!$J$2:$J$611,$C120),INDEX(Dataset3_Raw!$J$2:$J$391,$E120))</f>
        <v>0.16</v>
      </c>
      <c r="O120" s="25">
        <f>IF($C120&gt;0,IF(ISNUMBER(INDEX(Merge_1_2!$K$2:$K$611,$C120)),INDEX(Merge_1_2!$K$2:$K$611,$C120),""),INDEX(Dataset3_Raw!$K$2:$K$391,$E120))</f>
        <v>0.19700000000000001</v>
      </c>
      <c r="P120" s="25">
        <f>IF(ISNUMBER($O120),$O120,ROUND(Lookups!$B$25+Lookups!$B$24*$N120,4))</f>
        <v>0.19700000000000001</v>
      </c>
      <c r="Q120" s="25">
        <f>IF($C120&gt;0,INDEX(Merge_1_2!$L$2:$L$611,$C120),INDEX(Dataset3_Raw!$L$2:$L$391,$E120))</f>
        <v>0.64</v>
      </c>
      <c r="R120" s="25">
        <f>IF($C120&gt;0,INDEX(Merge_1_2!$M$2:$M$611,$C120),INDEX(Dataset3_Raw!$M$2:$M$391,$E120))</f>
        <v>8.9599999999999999E-2</v>
      </c>
      <c r="S120" s="23">
        <f>IF($C120&gt;0,INDEX(Merge_1_2!$N$2:$N$611,$C120),INDEX(Dataset3_Raw!$N$2:$N$391,$E120))</f>
        <v>0</v>
      </c>
      <c r="T120" s="23">
        <f>IF($C120&gt;0,INDEX(Merge_1_2!$O$2:$O$611,$C120),INDEX(Dataset3_Raw!$O$2:$O$391,$E120))</f>
        <v>1</v>
      </c>
      <c r="U120" s="23">
        <f>IF($C120&gt;0,INDEX(Merge_1_2!$P$2:$P$611,$C120),INDEX(Dataset3_Raw!$P$2:$P$391,$E120))</f>
        <v>1</v>
      </c>
      <c r="V120" s="23" t="str">
        <f t="shared" si="7"/>
        <v>Weekday</v>
      </c>
      <c r="W120" s="23" t="str">
        <f>VLOOKUP($M120,Lookups!$A$5:$B$8,2,FALSE())</f>
        <v>Mist / Cloudy</v>
      </c>
      <c r="X120" s="23" t="str">
        <f>VLOOKUP($G120,Lookups!$D$5:$E$8,2,FALSE())</f>
        <v>Winter</v>
      </c>
      <c r="Y120" s="23" t="str">
        <f>VLOOKUP($L120,Lookups!$G$5:$H$11,2,FALSE())</f>
        <v>Thursday</v>
      </c>
      <c r="Z120" s="23" t="str">
        <f>IF($J120&lt;Lookups!$B$26,"Night",IF($J120&lt;Lookups!$B$27,"Morning",IF($J120&lt;Lookups!$B$28,"Afternoon","Evening")))</f>
        <v>Night</v>
      </c>
      <c r="AA120" s="26">
        <f>ROUND($N120*(Lookups!$B$16-Lookups!$B$15)+Lookups!$B$15,1)</f>
        <v>-0.5</v>
      </c>
      <c r="AB120" s="26">
        <f>ROUND($P120*(Lookups!$B$18-Lookups!$B$17)+Lookups!$B$17,1)</f>
        <v>-3</v>
      </c>
      <c r="AC120" s="23">
        <f t="shared" si="8"/>
        <v>64</v>
      </c>
      <c r="AD120" s="23">
        <f>ROUND($R120*Lookups!$B$19,1)</f>
        <v>6</v>
      </c>
      <c r="AE120" s="27">
        <f t="shared" si="9"/>
        <v>1</v>
      </c>
      <c r="AF120" s="23" t="str">
        <f>IF($U120&gt;=Lookups!$B$23,"High",IF($U120&gt;=Lookups!$B$22,"Medium","Low"))</f>
        <v>Low</v>
      </c>
      <c r="AG120" s="23">
        <f>ROUND(IF($V120="Weekday",IF(INDEX(Hourly_Analysis!$D$5:$D$28,$J120+1)&gt;0,($U120-INDEX(Hourly_Analysis!$C$5:$C$28,$J120+1))/INDEX(Hourly_Analysis!$D$5:$D$28,$J120+1),0),IF(INDEX(Hourly_Analysis!$G$5:$G$28,$J120+1)&gt;0,($U120-INDEX(Hourly_Analysis!$F$5:$F$28,$J120+1))/INDEX(Hourly_Analysis!$G$5:$G$28,$J120+1),0)),2)</f>
        <v>-0.81</v>
      </c>
      <c r="AH120" s="23" t="str">
        <f>IF(ABS($AG120)&gt;Lookups!$B$20,IF($AG120&gt;0,"High anomaly","Low anomaly"),"")</f>
        <v/>
      </c>
      <c r="AI120" s="23" t="str">
        <f t="shared" si="10"/>
        <v>OK</v>
      </c>
      <c r="AJ120" s="23" t="str">
        <f t="shared" si="11"/>
        <v>No</v>
      </c>
    </row>
    <row r="121" spans="1:36" x14ac:dyDescent="0.35">
      <c r="A121" s="23">
        <v>120</v>
      </c>
      <c r="B121" s="23" t="str">
        <f t="shared" si="6"/>
        <v>Merge 1+2</v>
      </c>
      <c r="C121" s="23">
        <f>IFERROR(MATCH($A121,Merge_1_2!$A$2:$A$611,0),0)</f>
        <v>120</v>
      </c>
      <c r="D121" s="23">
        <f>IF($C121&gt;0,INDEX(Merge_1_2!$Q$2:$Q$611,$C121),0)</f>
        <v>120</v>
      </c>
      <c r="E121" s="23">
        <f>IFERROR(MATCH($A121,Dataset3_Raw!$A$2:$A$391,0),0)</f>
        <v>0</v>
      </c>
      <c r="F121" s="24">
        <f>IF($C121&gt;0,INDEX(Merge_1_2!$B$2:$B$611,$C121),DATE(VALUE(RIGHT(INDEX(Dataset3_Raw!$B$2:$B$391,$E121),4)),VALUE(MID(INDEX(Dataset3_Raw!$B$2:$B$391,$E121),4,2)),VALUE(LEFT(INDEX(Dataset3_Raw!$B$2:$B$391,$E121),2))))</f>
        <v>40549</v>
      </c>
      <c r="G121" s="23">
        <f>IF($C121&gt;0,INDEX(Merge_1_2!$C$2:$C$611,$C121),INDEX(Dataset3_Raw!$C$2:$C$391,$E121))</f>
        <v>1</v>
      </c>
      <c r="H121" s="23">
        <f>IF($C121&gt;0,INDEX(Merge_1_2!$D$2:$D$611,$C121),INDEX(Dataset3_Raw!$D$2:$D$391,$E121))</f>
        <v>0</v>
      </c>
      <c r="I121" s="23">
        <f>IF($C121&gt;0,INDEX(Merge_1_2!$E$2:$E$611,$C121),INDEX(Dataset3_Raw!$E$2:$E$391,$E121))</f>
        <v>1</v>
      </c>
      <c r="J121" s="23">
        <f>IF($C121&gt;0,INDEX(Merge_1_2!$F$2:$F$611,$C121),INDEX(Dataset3_Raw!$F$2:$F$391,$E121))</f>
        <v>5</v>
      </c>
      <c r="K121" s="23" t="b">
        <f>IF($C121&gt;0,INDEX(Merge_1_2!$G$2:$G$611,$C121),INDEX(Dataset3_Raw!$G$2:$G$391,$E121))</f>
        <v>0</v>
      </c>
      <c r="L121" s="23">
        <f>IF($C121&gt;0,INDEX(Merge_1_2!$H$2:$H$611,$C121),INDEX(Dataset3_Raw!$H$2:$H$391,$E121))</f>
        <v>4</v>
      </c>
      <c r="M121" s="23">
        <f>IF($C121&gt;0,INDEX(Merge_1_2!$I$2:$I$611,$C121),INDEX(Dataset3_Raw!$I$2:$I$391,$E121))</f>
        <v>2</v>
      </c>
      <c r="N121" s="25">
        <f>IF($C121&gt;0,INDEX(Merge_1_2!$J$2:$J$611,$C121),INDEX(Dataset3_Raw!$J$2:$J$391,$E121))</f>
        <v>0.14000000000000001</v>
      </c>
      <c r="O121" s="25">
        <f>IF($C121&gt;0,IF(ISNUMBER(INDEX(Merge_1_2!$K$2:$K$611,$C121)),INDEX(Merge_1_2!$K$2:$K$611,$C121),""),INDEX(Dataset3_Raw!$K$2:$K$391,$E121))</f>
        <v>0.18179999999999999</v>
      </c>
      <c r="P121" s="25">
        <f>IF(ISNUMBER($O121),$O121,ROUND(Lookups!$B$25+Lookups!$B$24*$N121,4))</f>
        <v>0.18179999999999999</v>
      </c>
      <c r="Q121" s="25">
        <f>IF($C121&gt;0,INDEX(Merge_1_2!$L$2:$L$611,$C121),INDEX(Dataset3_Raw!$L$2:$L$391,$E121))</f>
        <v>0.69</v>
      </c>
      <c r="R121" s="25">
        <f>IF($C121&gt;0,INDEX(Merge_1_2!$M$2:$M$611,$C121),INDEX(Dataset3_Raw!$M$2:$M$391,$E121))</f>
        <v>8.9599999999999999E-2</v>
      </c>
      <c r="S121" s="23">
        <f>IF($C121&gt;0,INDEX(Merge_1_2!$N$2:$N$611,$C121),INDEX(Dataset3_Raw!$N$2:$N$391,$E121))</f>
        <v>0</v>
      </c>
      <c r="T121" s="23">
        <f>IF($C121&gt;0,INDEX(Merge_1_2!$O$2:$O$611,$C121),INDEX(Dataset3_Raw!$O$2:$O$391,$E121))</f>
        <v>4</v>
      </c>
      <c r="U121" s="23">
        <f>IF($C121&gt;0,INDEX(Merge_1_2!$P$2:$P$611,$C121),INDEX(Dataset3_Raw!$P$2:$P$391,$E121))</f>
        <v>4</v>
      </c>
      <c r="V121" s="23" t="str">
        <f t="shared" si="7"/>
        <v>Weekday</v>
      </c>
      <c r="W121" s="23" t="str">
        <f>VLOOKUP($M121,Lookups!$A$5:$B$8,2,FALSE())</f>
        <v>Mist / Cloudy</v>
      </c>
      <c r="X121" s="23" t="str">
        <f>VLOOKUP($G121,Lookups!$D$5:$E$8,2,FALSE())</f>
        <v>Winter</v>
      </c>
      <c r="Y121" s="23" t="str">
        <f>VLOOKUP($L121,Lookups!$G$5:$H$11,2,FALSE())</f>
        <v>Thursday</v>
      </c>
      <c r="Z121" s="23" t="str">
        <f>IF($J121&lt;Lookups!$B$26,"Night",IF($J121&lt;Lookups!$B$27,"Morning",IF($J121&lt;Lookups!$B$28,"Afternoon","Evening")))</f>
        <v>Night</v>
      </c>
      <c r="AA121" s="26">
        <f>ROUND($N121*(Lookups!$B$16-Lookups!$B$15)+Lookups!$B$15,1)</f>
        <v>-1.4</v>
      </c>
      <c r="AB121" s="26">
        <f>ROUND($P121*(Lookups!$B$18-Lookups!$B$17)+Lookups!$B$17,1)</f>
        <v>-4</v>
      </c>
      <c r="AC121" s="23">
        <f t="shared" si="8"/>
        <v>69</v>
      </c>
      <c r="AD121" s="23">
        <f>ROUND($R121*Lookups!$B$19,1)</f>
        <v>6</v>
      </c>
      <c r="AE121" s="27">
        <f t="shared" si="9"/>
        <v>1</v>
      </c>
      <c r="AF121" s="23" t="str">
        <f>IF($U121&gt;=Lookups!$B$23,"High",IF($U121&gt;=Lookups!$B$22,"Medium","Low"))</f>
        <v>Low</v>
      </c>
      <c r="AG121" s="23">
        <f>ROUND(IF($V121="Weekday",IF(INDEX(Hourly_Analysis!$D$5:$D$28,$J121+1)&gt;0,($U121-INDEX(Hourly_Analysis!$C$5:$C$28,$J121+1))/INDEX(Hourly_Analysis!$D$5:$D$28,$J121+1),0),IF(INDEX(Hourly_Analysis!$G$5:$G$28,$J121+1)&gt;0,($U121-INDEX(Hourly_Analysis!$F$5:$F$28,$J121+1))/INDEX(Hourly_Analysis!$G$5:$G$28,$J121+1),0)),2)</f>
        <v>-0.38</v>
      </c>
      <c r="AH121" s="23" t="str">
        <f>IF(ABS($AG121)&gt;Lookups!$B$20,IF($AG121&gt;0,"High anomaly","Low anomaly"),"")</f>
        <v/>
      </c>
      <c r="AI121" s="23" t="str">
        <f t="shared" si="10"/>
        <v>OK</v>
      </c>
      <c r="AJ121" s="23" t="str">
        <f t="shared" si="11"/>
        <v>No</v>
      </c>
    </row>
    <row r="122" spans="1:36" x14ac:dyDescent="0.35">
      <c r="A122" s="23">
        <v>121</v>
      </c>
      <c r="B122" s="23" t="str">
        <f t="shared" si="6"/>
        <v>Merge 1+2</v>
      </c>
      <c r="C122" s="23">
        <f>IFERROR(MATCH($A122,Merge_1_2!$A$2:$A$611,0),0)</f>
        <v>121</v>
      </c>
      <c r="D122" s="23">
        <f>IF($C122&gt;0,INDEX(Merge_1_2!$Q$2:$Q$611,$C122),0)</f>
        <v>121</v>
      </c>
      <c r="E122" s="23">
        <f>IFERROR(MATCH($A122,Dataset3_Raw!$A$2:$A$391,0),0)</f>
        <v>0</v>
      </c>
      <c r="F122" s="24">
        <f>IF($C122&gt;0,INDEX(Merge_1_2!$B$2:$B$611,$C122),DATE(VALUE(RIGHT(INDEX(Dataset3_Raw!$B$2:$B$391,$E122),4)),VALUE(MID(INDEX(Dataset3_Raw!$B$2:$B$391,$E122),4,2)),VALUE(LEFT(INDEX(Dataset3_Raw!$B$2:$B$391,$E122),2))))</f>
        <v>40549</v>
      </c>
      <c r="G122" s="23">
        <f>IF($C122&gt;0,INDEX(Merge_1_2!$C$2:$C$611,$C122),INDEX(Dataset3_Raw!$C$2:$C$391,$E122))</f>
        <v>1</v>
      </c>
      <c r="H122" s="23">
        <f>IF($C122&gt;0,INDEX(Merge_1_2!$D$2:$D$611,$C122),INDEX(Dataset3_Raw!$D$2:$D$391,$E122))</f>
        <v>0</v>
      </c>
      <c r="I122" s="23">
        <f>IF($C122&gt;0,INDEX(Merge_1_2!$E$2:$E$611,$C122),INDEX(Dataset3_Raw!$E$2:$E$391,$E122))</f>
        <v>1</v>
      </c>
      <c r="J122" s="23">
        <f>IF($C122&gt;0,INDEX(Merge_1_2!$F$2:$F$611,$C122),INDEX(Dataset3_Raw!$F$2:$F$391,$E122))</f>
        <v>6</v>
      </c>
      <c r="K122" s="23" t="b">
        <f>IF($C122&gt;0,INDEX(Merge_1_2!$G$2:$G$611,$C122),INDEX(Dataset3_Raw!$G$2:$G$391,$E122))</f>
        <v>0</v>
      </c>
      <c r="L122" s="23">
        <f>IF($C122&gt;0,INDEX(Merge_1_2!$H$2:$H$611,$C122),INDEX(Dataset3_Raw!$H$2:$H$391,$E122))</f>
        <v>4</v>
      </c>
      <c r="M122" s="23">
        <f>IF($C122&gt;0,INDEX(Merge_1_2!$I$2:$I$611,$C122),INDEX(Dataset3_Raw!$I$2:$I$391,$E122))</f>
        <v>2</v>
      </c>
      <c r="N122" s="25">
        <f>IF($C122&gt;0,INDEX(Merge_1_2!$J$2:$J$611,$C122),INDEX(Dataset3_Raw!$J$2:$J$391,$E122))</f>
        <v>0.14000000000000001</v>
      </c>
      <c r="O122" s="25">
        <f>IF($C122&gt;0,IF(ISNUMBER(INDEX(Merge_1_2!$K$2:$K$611,$C122)),INDEX(Merge_1_2!$K$2:$K$611,$C122),""),INDEX(Dataset3_Raw!$K$2:$K$391,$E122))</f>
        <v>0.16669999999999999</v>
      </c>
      <c r="P122" s="25">
        <f>IF(ISNUMBER($O122),$O122,ROUND(Lookups!$B$25+Lookups!$B$24*$N122,4))</f>
        <v>0.16669999999999999</v>
      </c>
      <c r="Q122" s="25">
        <f>IF($C122&gt;0,INDEX(Merge_1_2!$L$2:$L$611,$C122),INDEX(Dataset3_Raw!$L$2:$L$391,$E122))</f>
        <v>0.63</v>
      </c>
      <c r="R122" s="25">
        <f>IF($C122&gt;0,INDEX(Merge_1_2!$M$2:$M$611,$C122),INDEX(Dataset3_Raw!$M$2:$M$391,$E122))</f>
        <v>0.1045</v>
      </c>
      <c r="S122" s="23">
        <f>IF($C122&gt;0,INDEX(Merge_1_2!$N$2:$N$611,$C122),INDEX(Dataset3_Raw!$N$2:$N$391,$E122))</f>
        <v>0</v>
      </c>
      <c r="T122" s="23">
        <f>IF($C122&gt;0,INDEX(Merge_1_2!$O$2:$O$611,$C122),INDEX(Dataset3_Raw!$O$2:$O$391,$E122))</f>
        <v>36</v>
      </c>
      <c r="U122" s="23">
        <f>IF($C122&gt;0,INDEX(Merge_1_2!$P$2:$P$611,$C122),INDEX(Dataset3_Raw!$P$2:$P$391,$E122))</f>
        <v>36</v>
      </c>
      <c r="V122" s="23" t="str">
        <f t="shared" si="7"/>
        <v>Weekday</v>
      </c>
      <c r="W122" s="23" t="str">
        <f>VLOOKUP($M122,Lookups!$A$5:$B$8,2,FALSE())</f>
        <v>Mist / Cloudy</v>
      </c>
      <c r="X122" s="23" t="str">
        <f>VLOOKUP($G122,Lookups!$D$5:$E$8,2,FALSE())</f>
        <v>Winter</v>
      </c>
      <c r="Y122" s="23" t="str">
        <f>VLOOKUP($L122,Lookups!$G$5:$H$11,2,FALSE())</f>
        <v>Thursday</v>
      </c>
      <c r="Z122" s="23" t="str">
        <f>IF($J122&lt;Lookups!$B$26,"Night",IF($J122&lt;Lookups!$B$27,"Morning",IF($J122&lt;Lookups!$B$28,"Afternoon","Evening")))</f>
        <v>Morning</v>
      </c>
      <c r="AA122" s="26">
        <f>ROUND($N122*(Lookups!$B$16-Lookups!$B$15)+Lookups!$B$15,1)</f>
        <v>-1.4</v>
      </c>
      <c r="AB122" s="26">
        <f>ROUND($P122*(Lookups!$B$18-Lookups!$B$17)+Lookups!$B$17,1)</f>
        <v>-5</v>
      </c>
      <c r="AC122" s="23">
        <f t="shared" si="8"/>
        <v>63</v>
      </c>
      <c r="AD122" s="23">
        <f>ROUND($R122*Lookups!$B$19,1)</f>
        <v>7</v>
      </c>
      <c r="AE122" s="27">
        <f t="shared" si="9"/>
        <v>1</v>
      </c>
      <c r="AF122" s="23" t="str">
        <f>IF($U122&gt;=Lookups!$B$23,"High",IF($U122&gt;=Lookups!$B$22,"Medium","Low"))</f>
        <v>Medium</v>
      </c>
      <c r="AG122" s="23">
        <f>ROUND(IF($V122="Weekday",IF(INDEX(Hourly_Analysis!$D$5:$D$28,$J122+1)&gt;0,($U122-INDEX(Hourly_Analysis!$C$5:$C$28,$J122+1))/INDEX(Hourly_Analysis!$D$5:$D$28,$J122+1),0),IF(INDEX(Hourly_Analysis!$G$5:$G$28,$J122+1)&gt;0,($U122-INDEX(Hourly_Analysis!$F$5:$F$28,$J122+1))/INDEX(Hourly_Analysis!$G$5:$G$28,$J122+1),0)),2)</f>
        <v>0.9</v>
      </c>
      <c r="AH122" s="23" t="str">
        <f>IF(ABS($AG122)&gt;Lookups!$B$20,IF($AG122&gt;0,"High anomaly","Low anomaly"),"")</f>
        <v/>
      </c>
      <c r="AI122" s="23" t="str">
        <f t="shared" si="10"/>
        <v>OK</v>
      </c>
      <c r="AJ122" s="23" t="str">
        <f t="shared" si="11"/>
        <v>No</v>
      </c>
    </row>
    <row r="123" spans="1:36" x14ac:dyDescent="0.35">
      <c r="A123" s="23">
        <v>122</v>
      </c>
      <c r="B123" s="23" t="str">
        <f t="shared" si="6"/>
        <v>Merge 1+2</v>
      </c>
      <c r="C123" s="23">
        <f>IFERROR(MATCH($A123,Merge_1_2!$A$2:$A$611,0),0)</f>
        <v>122</v>
      </c>
      <c r="D123" s="23">
        <f>IF($C123&gt;0,INDEX(Merge_1_2!$Q$2:$Q$611,$C123),0)</f>
        <v>122</v>
      </c>
      <c r="E123" s="23">
        <f>IFERROR(MATCH($A123,Dataset3_Raw!$A$2:$A$391,0),0)</f>
        <v>0</v>
      </c>
      <c r="F123" s="24">
        <f>IF($C123&gt;0,INDEX(Merge_1_2!$B$2:$B$611,$C123),DATE(VALUE(RIGHT(INDEX(Dataset3_Raw!$B$2:$B$391,$E123),4)),VALUE(MID(INDEX(Dataset3_Raw!$B$2:$B$391,$E123),4,2)),VALUE(LEFT(INDEX(Dataset3_Raw!$B$2:$B$391,$E123),2))))</f>
        <v>40549</v>
      </c>
      <c r="G123" s="23">
        <f>IF($C123&gt;0,INDEX(Merge_1_2!$C$2:$C$611,$C123),INDEX(Dataset3_Raw!$C$2:$C$391,$E123))</f>
        <v>1</v>
      </c>
      <c r="H123" s="23">
        <f>IF($C123&gt;0,INDEX(Merge_1_2!$D$2:$D$611,$C123),INDEX(Dataset3_Raw!$D$2:$D$391,$E123))</f>
        <v>0</v>
      </c>
      <c r="I123" s="23">
        <f>IF($C123&gt;0,INDEX(Merge_1_2!$E$2:$E$611,$C123),INDEX(Dataset3_Raw!$E$2:$E$391,$E123))</f>
        <v>1</v>
      </c>
      <c r="J123" s="23">
        <f>IF($C123&gt;0,INDEX(Merge_1_2!$F$2:$F$611,$C123),INDEX(Dataset3_Raw!$F$2:$F$391,$E123))</f>
        <v>7</v>
      </c>
      <c r="K123" s="23" t="b">
        <f>IF($C123&gt;0,INDEX(Merge_1_2!$G$2:$G$611,$C123),INDEX(Dataset3_Raw!$G$2:$G$391,$E123))</f>
        <v>0</v>
      </c>
      <c r="L123" s="23">
        <f>IF($C123&gt;0,INDEX(Merge_1_2!$H$2:$H$611,$C123),INDEX(Dataset3_Raw!$H$2:$H$391,$E123))</f>
        <v>4</v>
      </c>
      <c r="M123" s="23">
        <f>IF($C123&gt;0,INDEX(Merge_1_2!$I$2:$I$611,$C123),INDEX(Dataset3_Raw!$I$2:$I$391,$E123))</f>
        <v>2</v>
      </c>
      <c r="N123" s="25">
        <f>IF($C123&gt;0,INDEX(Merge_1_2!$J$2:$J$611,$C123),INDEX(Dataset3_Raw!$J$2:$J$391,$E123))</f>
        <v>0.16</v>
      </c>
      <c r="O123" s="25">
        <f>IF($C123&gt;0,IF(ISNUMBER(INDEX(Merge_1_2!$K$2:$K$611,$C123)),INDEX(Merge_1_2!$K$2:$K$611,$C123),""),INDEX(Dataset3_Raw!$K$2:$K$391,$E123))</f>
        <v>0.2273</v>
      </c>
      <c r="P123" s="25">
        <f>IF(ISNUMBER($O123),$O123,ROUND(Lookups!$B$25+Lookups!$B$24*$N123,4))</f>
        <v>0.2273</v>
      </c>
      <c r="Q123" s="25">
        <f>IF($C123&gt;0,INDEX(Merge_1_2!$L$2:$L$611,$C123),INDEX(Dataset3_Raw!$L$2:$L$391,$E123))</f>
        <v>0.59</v>
      </c>
      <c r="R123" s="25">
        <f>IF($C123&gt;0,INDEX(Merge_1_2!$M$2:$M$611,$C123),INDEX(Dataset3_Raw!$M$2:$M$391,$E123))</f>
        <v>0</v>
      </c>
      <c r="S123" s="23">
        <f>IF($C123&gt;0,INDEX(Merge_1_2!$N$2:$N$611,$C123),INDEX(Dataset3_Raw!$N$2:$N$391,$E123))</f>
        <v>0</v>
      </c>
      <c r="T123" s="23">
        <f>IF($C123&gt;0,INDEX(Merge_1_2!$O$2:$O$611,$C123),INDEX(Dataset3_Raw!$O$2:$O$391,$E123))</f>
        <v>95</v>
      </c>
      <c r="U123" s="23">
        <f>IF($C123&gt;0,INDEX(Merge_1_2!$P$2:$P$611,$C123),INDEX(Dataset3_Raw!$P$2:$P$391,$E123))</f>
        <v>95</v>
      </c>
      <c r="V123" s="23" t="str">
        <f t="shared" si="7"/>
        <v>Weekday</v>
      </c>
      <c r="W123" s="23" t="str">
        <f>VLOOKUP($M123,Lookups!$A$5:$B$8,2,FALSE())</f>
        <v>Mist / Cloudy</v>
      </c>
      <c r="X123" s="23" t="str">
        <f>VLOOKUP($G123,Lookups!$D$5:$E$8,2,FALSE())</f>
        <v>Winter</v>
      </c>
      <c r="Y123" s="23" t="str">
        <f>VLOOKUP($L123,Lookups!$G$5:$H$11,2,FALSE())</f>
        <v>Thursday</v>
      </c>
      <c r="Z123" s="23" t="str">
        <f>IF($J123&lt;Lookups!$B$26,"Night",IF($J123&lt;Lookups!$B$27,"Morning",IF($J123&lt;Lookups!$B$28,"Afternoon","Evening")))</f>
        <v>Morning</v>
      </c>
      <c r="AA123" s="26">
        <f>ROUND($N123*(Lookups!$B$16-Lookups!$B$15)+Lookups!$B$15,1)</f>
        <v>-0.5</v>
      </c>
      <c r="AB123" s="26">
        <f>ROUND($P123*(Lookups!$B$18-Lookups!$B$17)+Lookups!$B$17,1)</f>
        <v>-1</v>
      </c>
      <c r="AC123" s="23">
        <f t="shared" si="8"/>
        <v>59</v>
      </c>
      <c r="AD123" s="23">
        <f>ROUND($R123*Lookups!$B$19,1)</f>
        <v>0</v>
      </c>
      <c r="AE123" s="27">
        <f t="shared" si="9"/>
        <v>1</v>
      </c>
      <c r="AF123" s="23" t="str">
        <f>IF($U123&gt;=Lookups!$B$23,"High",IF($U123&gt;=Lookups!$B$22,"Medium","Low"))</f>
        <v>High</v>
      </c>
      <c r="AG123" s="23">
        <f>ROUND(IF($V123="Weekday",IF(INDEX(Hourly_Analysis!$D$5:$D$28,$J123+1)&gt;0,($U123-INDEX(Hourly_Analysis!$C$5:$C$28,$J123+1))/INDEX(Hourly_Analysis!$D$5:$D$28,$J123+1),0),IF(INDEX(Hourly_Analysis!$G$5:$G$28,$J123+1)&gt;0,($U123-INDEX(Hourly_Analysis!$F$5:$F$28,$J123+1))/INDEX(Hourly_Analysis!$G$5:$G$28,$J123+1),0)),2)</f>
        <v>0.76</v>
      </c>
      <c r="AH123" s="23" t="str">
        <f>IF(ABS($AG123)&gt;Lookups!$B$20,IF($AG123&gt;0,"High anomaly","Low anomaly"),"")</f>
        <v/>
      </c>
      <c r="AI123" s="23" t="str">
        <f t="shared" si="10"/>
        <v>OK</v>
      </c>
      <c r="AJ123" s="23" t="str">
        <f t="shared" si="11"/>
        <v>No</v>
      </c>
    </row>
    <row r="124" spans="1:36" x14ac:dyDescent="0.35">
      <c r="A124" s="23">
        <v>123</v>
      </c>
      <c r="B124" s="23" t="str">
        <f t="shared" si="6"/>
        <v>Merge 1+2</v>
      </c>
      <c r="C124" s="23">
        <f>IFERROR(MATCH($A124,Merge_1_2!$A$2:$A$611,0),0)</f>
        <v>123</v>
      </c>
      <c r="D124" s="23">
        <f>IF($C124&gt;0,INDEX(Merge_1_2!$Q$2:$Q$611,$C124),0)</f>
        <v>123</v>
      </c>
      <c r="E124" s="23">
        <f>IFERROR(MATCH($A124,Dataset3_Raw!$A$2:$A$391,0),0)</f>
        <v>0</v>
      </c>
      <c r="F124" s="24">
        <f>IF($C124&gt;0,INDEX(Merge_1_2!$B$2:$B$611,$C124),DATE(VALUE(RIGHT(INDEX(Dataset3_Raw!$B$2:$B$391,$E124),4)),VALUE(MID(INDEX(Dataset3_Raw!$B$2:$B$391,$E124),4,2)),VALUE(LEFT(INDEX(Dataset3_Raw!$B$2:$B$391,$E124),2))))</f>
        <v>40549</v>
      </c>
      <c r="G124" s="23">
        <f>IF($C124&gt;0,INDEX(Merge_1_2!$C$2:$C$611,$C124),INDEX(Dataset3_Raw!$C$2:$C$391,$E124))</f>
        <v>1</v>
      </c>
      <c r="H124" s="23">
        <f>IF($C124&gt;0,INDEX(Merge_1_2!$D$2:$D$611,$C124),INDEX(Dataset3_Raw!$D$2:$D$391,$E124))</f>
        <v>0</v>
      </c>
      <c r="I124" s="23">
        <f>IF($C124&gt;0,INDEX(Merge_1_2!$E$2:$E$611,$C124),INDEX(Dataset3_Raw!$E$2:$E$391,$E124))</f>
        <v>1</v>
      </c>
      <c r="J124" s="23">
        <f>IF($C124&gt;0,INDEX(Merge_1_2!$F$2:$F$611,$C124),INDEX(Dataset3_Raw!$F$2:$F$391,$E124))</f>
        <v>8</v>
      </c>
      <c r="K124" s="23" t="b">
        <f>IF($C124&gt;0,INDEX(Merge_1_2!$G$2:$G$611,$C124),INDEX(Dataset3_Raw!$G$2:$G$391,$E124))</f>
        <v>0</v>
      </c>
      <c r="L124" s="23">
        <f>IF($C124&gt;0,INDEX(Merge_1_2!$H$2:$H$611,$C124),INDEX(Dataset3_Raw!$H$2:$H$391,$E124))</f>
        <v>4</v>
      </c>
      <c r="M124" s="23">
        <f>IF($C124&gt;0,INDEX(Merge_1_2!$I$2:$I$611,$C124),INDEX(Dataset3_Raw!$I$2:$I$391,$E124))</f>
        <v>1</v>
      </c>
      <c r="N124" s="25">
        <f>IF($C124&gt;0,INDEX(Merge_1_2!$J$2:$J$611,$C124),INDEX(Dataset3_Raw!$J$2:$J$391,$E124))</f>
        <v>0.16</v>
      </c>
      <c r="O124" s="25">
        <f>IF($C124&gt;0,IF(ISNUMBER(INDEX(Merge_1_2!$K$2:$K$611,$C124)),INDEX(Merge_1_2!$K$2:$K$611,$C124),""),INDEX(Dataset3_Raw!$K$2:$K$391,$E124))</f>
        <v>0.2273</v>
      </c>
      <c r="P124" s="25">
        <f>IF(ISNUMBER($O124),$O124,ROUND(Lookups!$B$25+Lookups!$B$24*$N124,4))</f>
        <v>0.2273</v>
      </c>
      <c r="Q124" s="25">
        <f>IF($C124&gt;0,INDEX(Merge_1_2!$L$2:$L$611,$C124),INDEX(Dataset3_Raw!$L$2:$L$391,$E124))</f>
        <v>0.59</v>
      </c>
      <c r="R124" s="25">
        <f>IF($C124&gt;0,INDEX(Merge_1_2!$M$2:$M$611,$C124),INDEX(Dataset3_Raw!$M$2:$M$391,$E124))</f>
        <v>0</v>
      </c>
      <c r="S124" s="23">
        <f>IF($C124&gt;0,INDEX(Merge_1_2!$N$2:$N$611,$C124),INDEX(Dataset3_Raw!$N$2:$N$391,$E124))</f>
        <v>3</v>
      </c>
      <c r="T124" s="23">
        <f>IF($C124&gt;0,INDEX(Merge_1_2!$O$2:$O$611,$C124),INDEX(Dataset3_Raw!$O$2:$O$391,$E124))</f>
        <v>216</v>
      </c>
      <c r="U124" s="23">
        <f>IF($C124&gt;0,INDEX(Merge_1_2!$P$2:$P$611,$C124),INDEX(Dataset3_Raw!$P$2:$P$391,$E124))</f>
        <v>219</v>
      </c>
      <c r="V124" s="23" t="str">
        <f t="shared" si="7"/>
        <v>Weekday</v>
      </c>
      <c r="W124" s="23" t="str">
        <f>VLOOKUP($M124,Lookups!$A$5:$B$8,2,FALSE())</f>
        <v>Clear / Partly cloudy</v>
      </c>
      <c r="X124" s="23" t="str">
        <f>VLOOKUP($G124,Lookups!$D$5:$E$8,2,FALSE())</f>
        <v>Winter</v>
      </c>
      <c r="Y124" s="23" t="str">
        <f>VLOOKUP($L124,Lookups!$G$5:$H$11,2,FALSE())</f>
        <v>Thursday</v>
      </c>
      <c r="Z124" s="23" t="str">
        <f>IF($J124&lt;Lookups!$B$26,"Night",IF($J124&lt;Lookups!$B$27,"Morning",IF($J124&lt;Lookups!$B$28,"Afternoon","Evening")))</f>
        <v>Morning</v>
      </c>
      <c r="AA124" s="26">
        <f>ROUND($N124*(Lookups!$B$16-Lookups!$B$15)+Lookups!$B$15,1)</f>
        <v>-0.5</v>
      </c>
      <c r="AB124" s="26">
        <f>ROUND($P124*(Lookups!$B$18-Lookups!$B$17)+Lookups!$B$17,1)</f>
        <v>-1</v>
      </c>
      <c r="AC124" s="23">
        <f t="shared" si="8"/>
        <v>59</v>
      </c>
      <c r="AD124" s="23">
        <f>ROUND($R124*Lookups!$B$19,1)</f>
        <v>0</v>
      </c>
      <c r="AE124" s="27">
        <f t="shared" si="9"/>
        <v>0.98630136986301364</v>
      </c>
      <c r="AF124" s="23" t="str">
        <f>IF($U124&gt;=Lookups!$B$23,"High",IF($U124&gt;=Lookups!$B$22,"Medium","Low"))</f>
        <v>High</v>
      </c>
      <c r="AG124" s="23">
        <f>ROUND(IF($V124="Weekday",IF(INDEX(Hourly_Analysis!$D$5:$D$28,$J124+1)&gt;0,($U124-INDEX(Hourly_Analysis!$C$5:$C$28,$J124+1))/INDEX(Hourly_Analysis!$D$5:$D$28,$J124+1),0),IF(INDEX(Hourly_Analysis!$G$5:$G$28,$J124+1)&gt;0,($U124-INDEX(Hourly_Analysis!$F$5:$F$28,$J124+1))/INDEX(Hourly_Analysis!$G$5:$G$28,$J124+1),0)),2)</f>
        <v>0.76</v>
      </c>
      <c r="AH124" s="23" t="str">
        <f>IF(ABS($AG124)&gt;Lookups!$B$20,IF($AG124&gt;0,"High anomaly","Low anomaly"),"")</f>
        <v/>
      </c>
      <c r="AI124" s="23" t="str">
        <f t="shared" si="10"/>
        <v>OK</v>
      </c>
      <c r="AJ124" s="23" t="str">
        <f t="shared" si="11"/>
        <v>No</v>
      </c>
    </row>
    <row r="125" spans="1:36" x14ac:dyDescent="0.35">
      <c r="A125" s="23">
        <v>124</v>
      </c>
      <c r="B125" s="23" t="str">
        <f t="shared" si="6"/>
        <v>Merge 1+2</v>
      </c>
      <c r="C125" s="23">
        <f>IFERROR(MATCH($A125,Merge_1_2!$A$2:$A$611,0),0)</f>
        <v>124</v>
      </c>
      <c r="D125" s="23">
        <f>IF($C125&gt;0,INDEX(Merge_1_2!$Q$2:$Q$611,$C125),0)</f>
        <v>124</v>
      </c>
      <c r="E125" s="23">
        <f>IFERROR(MATCH($A125,Dataset3_Raw!$A$2:$A$391,0),0)</f>
        <v>0</v>
      </c>
      <c r="F125" s="24">
        <f>IF($C125&gt;0,INDEX(Merge_1_2!$B$2:$B$611,$C125),DATE(VALUE(RIGHT(INDEX(Dataset3_Raw!$B$2:$B$391,$E125),4)),VALUE(MID(INDEX(Dataset3_Raw!$B$2:$B$391,$E125),4,2)),VALUE(LEFT(INDEX(Dataset3_Raw!$B$2:$B$391,$E125),2))))</f>
        <v>40549</v>
      </c>
      <c r="G125" s="23">
        <f>IF($C125&gt;0,INDEX(Merge_1_2!$C$2:$C$611,$C125),INDEX(Dataset3_Raw!$C$2:$C$391,$E125))</f>
        <v>1</v>
      </c>
      <c r="H125" s="23">
        <f>IF($C125&gt;0,INDEX(Merge_1_2!$D$2:$D$611,$C125),INDEX(Dataset3_Raw!$D$2:$D$391,$E125))</f>
        <v>0</v>
      </c>
      <c r="I125" s="23">
        <f>IF($C125&gt;0,INDEX(Merge_1_2!$E$2:$E$611,$C125),INDEX(Dataset3_Raw!$E$2:$E$391,$E125))</f>
        <v>1</v>
      </c>
      <c r="J125" s="23">
        <f>IF($C125&gt;0,INDEX(Merge_1_2!$F$2:$F$611,$C125),INDEX(Dataset3_Raw!$F$2:$F$391,$E125))</f>
        <v>9</v>
      </c>
      <c r="K125" s="23" t="b">
        <f>IF($C125&gt;0,INDEX(Merge_1_2!$G$2:$G$611,$C125),INDEX(Dataset3_Raw!$G$2:$G$391,$E125))</f>
        <v>0</v>
      </c>
      <c r="L125" s="23">
        <f>IF($C125&gt;0,INDEX(Merge_1_2!$H$2:$H$611,$C125),INDEX(Dataset3_Raw!$H$2:$H$391,$E125))</f>
        <v>4</v>
      </c>
      <c r="M125" s="23">
        <f>IF($C125&gt;0,INDEX(Merge_1_2!$I$2:$I$611,$C125),INDEX(Dataset3_Raw!$I$2:$I$391,$E125))</f>
        <v>2</v>
      </c>
      <c r="N125" s="25">
        <f>IF($C125&gt;0,INDEX(Merge_1_2!$J$2:$J$611,$C125),INDEX(Dataset3_Raw!$J$2:$J$391,$E125))</f>
        <v>0.18</v>
      </c>
      <c r="O125" s="25">
        <f>IF($C125&gt;0,IF(ISNUMBER(INDEX(Merge_1_2!$K$2:$K$611,$C125)),INDEX(Merge_1_2!$K$2:$K$611,$C125),""),INDEX(Dataset3_Raw!$K$2:$K$391,$E125))</f>
        <v>0.2424</v>
      </c>
      <c r="P125" s="25">
        <f>IF(ISNUMBER($O125),$O125,ROUND(Lookups!$B$25+Lookups!$B$24*$N125,4))</f>
        <v>0.2424</v>
      </c>
      <c r="Q125" s="25">
        <f>IF($C125&gt;0,INDEX(Merge_1_2!$L$2:$L$611,$C125),INDEX(Dataset3_Raw!$L$2:$L$391,$E125))</f>
        <v>0.51</v>
      </c>
      <c r="R125" s="25">
        <f>IF($C125&gt;0,INDEX(Merge_1_2!$M$2:$M$611,$C125),INDEX(Dataset3_Raw!$M$2:$M$391,$E125))</f>
        <v>0</v>
      </c>
      <c r="S125" s="23">
        <f>IF($C125&gt;0,INDEX(Merge_1_2!$N$2:$N$611,$C125),INDEX(Dataset3_Raw!$N$2:$N$391,$E125))</f>
        <v>6</v>
      </c>
      <c r="T125" s="23">
        <f>IF($C125&gt;0,INDEX(Merge_1_2!$O$2:$O$611,$C125),INDEX(Dataset3_Raw!$O$2:$O$391,$E125))</f>
        <v>116</v>
      </c>
      <c r="U125" s="23">
        <f>IF($C125&gt;0,INDEX(Merge_1_2!$P$2:$P$611,$C125),INDEX(Dataset3_Raw!$P$2:$P$391,$E125))</f>
        <v>122</v>
      </c>
      <c r="V125" s="23" t="str">
        <f t="shared" si="7"/>
        <v>Weekday</v>
      </c>
      <c r="W125" s="23" t="str">
        <f>VLOOKUP($M125,Lookups!$A$5:$B$8,2,FALSE())</f>
        <v>Mist / Cloudy</v>
      </c>
      <c r="X125" s="23" t="str">
        <f>VLOOKUP($G125,Lookups!$D$5:$E$8,2,FALSE())</f>
        <v>Winter</v>
      </c>
      <c r="Y125" s="23" t="str">
        <f>VLOOKUP($L125,Lookups!$G$5:$H$11,2,FALSE())</f>
        <v>Thursday</v>
      </c>
      <c r="Z125" s="23" t="str">
        <f>IF($J125&lt;Lookups!$B$26,"Night",IF($J125&lt;Lookups!$B$27,"Morning",IF($J125&lt;Lookups!$B$28,"Afternoon","Evening")))</f>
        <v>Morning</v>
      </c>
      <c r="AA125" s="26">
        <f>ROUND($N125*(Lookups!$B$16-Lookups!$B$15)+Lookups!$B$15,1)</f>
        <v>0.5</v>
      </c>
      <c r="AB125" s="26">
        <f>ROUND($P125*(Lookups!$B$18-Lookups!$B$17)+Lookups!$B$17,1)</f>
        <v>0</v>
      </c>
      <c r="AC125" s="23">
        <f t="shared" si="8"/>
        <v>51</v>
      </c>
      <c r="AD125" s="23">
        <f>ROUND($R125*Lookups!$B$19,1)</f>
        <v>0</v>
      </c>
      <c r="AE125" s="27">
        <f t="shared" si="9"/>
        <v>0.95081967213114749</v>
      </c>
      <c r="AF125" s="23" t="str">
        <f>IF($U125&gt;=Lookups!$B$23,"High",IF($U125&gt;=Lookups!$B$22,"Medium","Low"))</f>
        <v>High</v>
      </c>
      <c r="AG125" s="23">
        <f>ROUND(IF($V125="Weekday",IF(INDEX(Hourly_Analysis!$D$5:$D$28,$J125+1)&gt;0,($U125-INDEX(Hourly_Analysis!$C$5:$C$28,$J125+1))/INDEX(Hourly_Analysis!$D$5:$D$28,$J125+1),0),IF(INDEX(Hourly_Analysis!$G$5:$G$28,$J125+1)&gt;0,($U125-INDEX(Hourly_Analysis!$F$5:$F$28,$J125+1))/INDEX(Hourly_Analysis!$G$5:$G$28,$J125+1),0)),2)</f>
        <v>0.17</v>
      </c>
      <c r="AH125" s="23" t="str">
        <f>IF(ABS($AG125)&gt;Lookups!$B$20,IF($AG125&gt;0,"High anomaly","Low anomaly"),"")</f>
        <v/>
      </c>
      <c r="AI125" s="23" t="str">
        <f t="shared" si="10"/>
        <v>OK</v>
      </c>
      <c r="AJ125" s="23" t="str">
        <f t="shared" si="11"/>
        <v>No</v>
      </c>
    </row>
    <row r="126" spans="1:36" x14ac:dyDescent="0.35">
      <c r="A126" s="23">
        <v>125</v>
      </c>
      <c r="B126" s="23" t="str">
        <f t="shared" si="6"/>
        <v>Merge 1+2</v>
      </c>
      <c r="C126" s="23">
        <f>IFERROR(MATCH($A126,Merge_1_2!$A$2:$A$611,0),0)</f>
        <v>125</v>
      </c>
      <c r="D126" s="23">
        <f>IF($C126&gt;0,INDEX(Merge_1_2!$Q$2:$Q$611,$C126),0)</f>
        <v>125</v>
      </c>
      <c r="E126" s="23">
        <f>IFERROR(MATCH($A126,Dataset3_Raw!$A$2:$A$391,0),0)</f>
        <v>0</v>
      </c>
      <c r="F126" s="24">
        <f>IF($C126&gt;0,INDEX(Merge_1_2!$B$2:$B$611,$C126),DATE(VALUE(RIGHT(INDEX(Dataset3_Raw!$B$2:$B$391,$E126),4)),VALUE(MID(INDEX(Dataset3_Raw!$B$2:$B$391,$E126),4,2)),VALUE(LEFT(INDEX(Dataset3_Raw!$B$2:$B$391,$E126),2))))</f>
        <v>40549</v>
      </c>
      <c r="G126" s="23">
        <f>IF($C126&gt;0,INDEX(Merge_1_2!$C$2:$C$611,$C126),INDEX(Dataset3_Raw!$C$2:$C$391,$E126))</f>
        <v>1</v>
      </c>
      <c r="H126" s="23">
        <f>IF($C126&gt;0,INDEX(Merge_1_2!$D$2:$D$611,$C126),INDEX(Dataset3_Raw!$D$2:$D$391,$E126))</f>
        <v>0</v>
      </c>
      <c r="I126" s="23">
        <f>IF($C126&gt;0,INDEX(Merge_1_2!$E$2:$E$611,$C126),INDEX(Dataset3_Raw!$E$2:$E$391,$E126))</f>
        <v>1</v>
      </c>
      <c r="J126" s="23">
        <f>IF($C126&gt;0,INDEX(Merge_1_2!$F$2:$F$611,$C126),INDEX(Dataset3_Raw!$F$2:$F$391,$E126))</f>
        <v>10</v>
      </c>
      <c r="K126" s="23" t="b">
        <f>IF($C126&gt;0,INDEX(Merge_1_2!$G$2:$G$611,$C126),INDEX(Dataset3_Raw!$G$2:$G$391,$E126))</f>
        <v>0</v>
      </c>
      <c r="L126" s="23">
        <f>IF($C126&gt;0,INDEX(Merge_1_2!$H$2:$H$611,$C126),INDEX(Dataset3_Raw!$H$2:$H$391,$E126))</f>
        <v>4</v>
      </c>
      <c r="M126" s="23">
        <f>IF($C126&gt;0,INDEX(Merge_1_2!$I$2:$I$611,$C126),INDEX(Dataset3_Raw!$I$2:$I$391,$E126))</f>
        <v>1</v>
      </c>
      <c r="N126" s="25">
        <f>IF($C126&gt;0,INDEX(Merge_1_2!$J$2:$J$611,$C126),INDEX(Dataset3_Raw!$J$2:$J$391,$E126))</f>
        <v>0.2</v>
      </c>
      <c r="O126" s="25">
        <f>IF($C126&gt;0,IF(ISNUMBER(INDEX(Merge_1_2!$K$2:$K$611,$C126)),INDEX(Merge_1_2!$K$2:$K$611,$C126),""),INDEX(Dataset3_Raw!$K$2:$K$391,$E126))</f>
        <v>0.2576</v>
      </c>
      <c r="P126" s="25">
        <f>IF(ISNUMBER($O126),$O126,ROUND(Lookups!$B$25+Lookups!$B$24*$N126,4))</f>
        <v>0.2576</v>
      </c>
      <c r="Q126" s="25">
        <f>IF($C126&gt;0,INDEX(Merge_1_2!$L$2:$L$611,$C126),INDEX(Dataset3_Raw!$L$2:$L$391,$E126))</f>
        <v>0.47</v>
      </c>
      <c r="R126" s="25">
        <f>IF($C126&gt;0,INDEX(Merge_1_2!$M$2:$M$611,$C126),INDEX(Dataset3_Raw!$M$2:$M$391,$E126))</f>
        <v>0</v>
      </c>
      <c r="S126" s="23">
        <f>IF($C126&gt;0,INDEX(Merge_1_2!$N$2:$N$611,$C126),INDEX(Dataset3_Raw!$N$2:$N$391,$E126))</f>
        <v>3</v>
      </c>
      <c r="T126" s="23">
        <f>IF($C126&gt;0,INDEX(Merge_1_2!$O$2:$O$611,$C126),INDEX(Dataset3_Raw!$O$2:$O$391,$E126))</f>
        <v>42</v>
      </c>
      <c r="U126" s="23">
        <f>IF($C126&gt;0,INDEX(Merge_1_2!$P$2:$P$611,$C126),INDEX(Dataset3_Raw!$P$2:$P$391,$E126))</f>
        <v>45</v>
      </c>
      <c r="V126" s="23" t="str">
        <f t="shared" si="7"/>
        <v>Weekday</v>
      </c>
      <c r="W126" s="23" t="str">
        <f>VLOOKUP($M126,Lookups!$A$5:$B$8,2,FALSE())</f>
        <v>Clear / Partly cloudy</v>
      </c>
      <c r="X126" s="23" t="str">
        <f>VLOOKUP($G126,Lookups!$D$5:$E$8,2,FALSE())</f>
        <v>Winter</v>
      </c>
      <c r="Y126" s="23" t="str">
        <f>VLOOKUP($L126,Lookups!$G$5:$H$11,2,FALSE())</f>
        <v>Thursday</v>
      </c>
      <c r="Z126" s="23" t="str">
        <f>IF($J126&lt;Lookups!$B$26,"Night",IF($J126&lt;Lookups!$B$27,"Morning",IF($J126&lt;Lookups!$B$28,"Afternoon","Evening")))</f>
        <v>Morning</v>
      </c>
      <c r="AA126" s="26">
        <f>ROUND($N126*(Lookups!$B$16-Lookups!$B$15)+Lookups!$B$15,1)</f>
        <v>1.4</v>
      </c>
      <c r="AB126" s="26">
        <f>ROUND($P126*(Lookups!$B$18-Lookups!$B$17)+Lookups!$B$17,1)</f>
        <v>1</v>
      </c>
      <c r="AC126" s="23">
        <f t="shared" si="8"/>
        <v>47</v>
      </c>
      <c r="AD126" s="23">
        <f>ROUND($R126*Lookups!$B$19,1)</f>
        <v>0</v>
      </c>
      <c r="AE126" s="27">
        <f t="shared" si="9"/>
        <v>0.93333333333333335</v>
      </c>
      <c r="AF126" s="23" t="str">
        <f>IF($U126&gt;=Lookups!$B$23,"High",IF($U126&gt;=Lookups!$B$22,"Medium","Low"))</f>
        <v>Medium</v>
      </c>
      <c r="AG126" s="23">
        <f>ROUND(IF($V126="Weekday",IF(INDEX(Hourly_Analysis!$D$5:$D$28,$J126+1)&gt;0,($U126-INDEX(Hourly_Analysis!$C$5:$C$28,$J126+1))/INDEX(Hourly_Analysis!$D$5:$D$28,$J126+1),0),IF(INDEX(Hourly_Analysis!$G$5:$G$28,$J126+1)&gt;0,($U126-INDEX(Hourly_Analysis!$F$5:$F$28,$J126+1))/INDEX(Hourly_Analysis!$G$5:$G$28,$J126+1),0)),2)</f>
        <v>-0.37</v>
      </c>
      <c r="AH126" s="23" t="str">
        <f>IF(ABS($AG126)&gt;Lookups!$B$20,IF($AG126&gt;0,"High anomaly","Low anomaly"),"")</f>
        <v/>
      </c>
      <c r="AI126" s="23" t="str">
        <f t="shared" si="10"/>
        <v>OK</v>
      </c>
      <c r="AJ126" s="23" t="str">
        <f t="shared" si="11"/>
        <v>No</v>
      </c>
    </row>
    <row r="127" spans="1:36" x14ac:dyDescent="0.35">
      <c r="A127" s="23">
        <v>126</v>
      </c>
      <c r="B127" s="23" t="str">
        <f t="shared" si="6"/>
        <v>Merge 1+2</v>
      </c>
      <c r="C127" s="23">
        <f>IFERROR(MATCH($A127,Merge_1_2!$A$2:$A$611,0),0)</f>
        <v>126</v>
      </c>
      <c r="D127" s="23">
        <f>IF($C127&gt;0,INDEX(Merge_1_2!$Q$2:$Q$611,$C127),0)</f>
        <v>126</v>
      </c>
      <c r="E127" s="23">
        <f>IFERROR(MATCH($A127,Dataset3_Raw!$A$2:$A$391,0),0)</f>
        <v>0</v>
      </c>
      <c r="F127" s="24">
        <f>IF($C127&gt;0,INDEX(Merge_1_2!$B$2:$B$611,$C127),DATE(VALUE(RIGHT(INDEX(Dataset3_Raw!$B$2:$B$391,$E127),4)),VALUE(MID(INDEX(Dataset3_Raw!$B$2:$B$391,$E127),4,2)),VALUE(LEFT(INDEX(Dataset3_Raw!$B$2:$B$391,$E127),2))))</f>
        <v>40549</v>
      </c>
      <c r="G127" s="23">
        <f>IF($C127&gt;0,INDEX(Merge_1_2!$C$2:$C$611,$C127),INDEX(Dataset3_Raw!$C$2:$C$391,$E127))</f>
        <v>1</v>
      </c>
      <c r="H127" s="23">
        <f>IF($C127&gt;0,INDEX(Merge_1_2!$D$2:$D$611,$C127),INDEX(Dataset3_Raw!$D$2:$D$391,$E127))</f>
        <v>0</v>
      </c>
      <c r="I127" s="23">
        <f>IF($C127&gt;0,INDEX(Merge_1_2!$E$2:$E$611,$C127),INDEX(Dataset3_Raw!$E$2:$E$391,$E127))</f>
        <v>1</v>
      </c>
      <c r="J127" s="23">
        <f>IF($C127&gt;0,INDEX(Merge_1_2!$F$2:$F$611,$C127),INDEX(Dataset3_Raw!$F$2:$F$391,$E127))</f>
        <v>11</v>
      </c>
      <c r="K127" s="23" t="b">
        <f>IF($C127&gt;0,INDEX(Merge_1_2!$G$2:$G$611,$C127),INDEX(Dataset3_Raw!$G$2:$G$391,$E127))</f>
        <v>0</v>
      </c>
      <c r="L127" s="23">
        <f>IF($C127&gt;0,INDEX(Merge_1_2!$H$2:$H$611,$C127),INDEX(Dataset3_Raw!$H$2:$H$391,$E127))</f>
        <v>4</v>
      </c>
      <c r="M127" s="23">
        <f>IF($C127&gt;0,INDEX(Merge_1_2!$I$2:$I$611,$C127),INDEX(Dataset3_Raw!$I$2:$I$391,$E127))</f>
        <v>1</v>
      </c>
      <c r="N127" s="25">
        <f>IF($C127&gt;0,INDEX(Merge_1_2!$J$2:$J$611,$C127),INDEX(Dataset3_Raw!$J$2:$J$391,$E127))</f>
        <v>0.22</v>
      </c>
      <c r="O127" s="25">
        <f>IF($C127&gt;0,IF(ISNUMBER(INDEX(Merge_1_2!$K$2:$K$611,$C127)),INDEX(Merge_1_2!$K$2:$K$611,$C127),""),INDEX(Dataset3_Raw!$K$2:$K$391,$E127))</f>
        <v>0.2576</v>
      </c>
      <c r="P127" s="25">
        <f>IF(ISNUMBER($O127),$O127,ROUND(Lookups!$B$25+Lookups!$B$24*$N127,4))</f>
        <v>0.2576</v>
      </c>
      <c r="Q127" s="25">
        <f>IF($C127&gt;0,INDEX(Merge_1_2!$L$2:$L$611,$C127),INDEX(Dataset3_Raw!$L$2:$L$391,$E127))</f>
        <v>0.44</v>
      </c>
      <c r="R127" s="25">
        <f>IF($C127&gt;0,INDEX(Merge_1_2!$M$2:$M$611,$C127),INDEX(Dataset3_Raw!$M$2:$M$391,$E127))</f>
        <v>8.9599999999999999E-2</v>
      </c>
      <c r="S127" s="23">
        <f>IF($C127&gt;0,INDEX(Merge_1_2!$N$2:$N$611,$C127),INDEX(Dataset3_Raw!$N$2:$N$391,$E127))</f>
        <v>2</v>
      </c>
      <c r="T127" s="23">
        <f>IF($C127&gt;0,INDEX(Merge_1_2!$O$2:$O$611,$C127),INDEX(Dataset3_Raw!$O$2:$O$391,$E127))</f>
        <v>57</v>
      </c>
      <c r="U127" s="23">
        <f>IF($C127&gt;0,INDEX(Merge_1_2!$P$2:$P$611,$C127),INDEX(Dataset3_Raw!$P$2:$P$391,$E127))</f>
        <v>59</v>
      </c>
      <c r="V127" s="23" t="str">
        <f t="shared" si="7"/>
        <v>Weekday</v>
      </c>
      <c r="W127" s="23" t="str">
        <f>VLOOKUP($M127,Lookups!$A$5:$B$8,2,FALSE())</f>
        <v>Clear / Partly cloudy</v>
      </c>
      <c r="X127" s="23" t="str">
        <f>VLOOKUP($G127,Lookups!$D$5:$E$8,2,FALSE())</f>
        <v>Winter</v>
      </c>
      <c r="Y127" s="23" t="str">
        <f>VLOOKUP($L127,Lookups!$G$5:$H$11,2,FALSE())</f>
        <v>Thursday</v>
      </c>
      <c r="Z127" s="23" t="str">
        <f>IF($J127&lt;Lookups!$B$26,"Night",IF($J127&lt;Lookups!$B$27,"Morning",IF($J127&lt;Lookups!$B$28,"Afternoon","Evening")))</f>
        <v>Morning</v>
      </c>
      <c r="AA127" s="26">
        <f>ROUND($N127*(Lookups!$B$16-Lookups!$B$15)+Lookups!$B$15,1)</f>
        <v>2.2999999999999998</v>
      </c>
      <c r="AB127" s="26">
        <f>ROUND($P127*(Lookups!$B$18-Lookups!$B$17)+Lookups!$B$17,1)</f>
        <v>1</v>
      </c>
      <c r="AC127" s="23">
        <f t="shared" si="8"/>
        <v>44</v>
      </c>
      <c r="AD127" s="23">
        <f>ROUND($R127*Lookups!$B$19,1)</f>
        <v>6</v>
      </c>
      <c r="AE127" s="27">
        <f t="shared" si="9"/>
        <v>0.96610169491525422</v>
      </c>
      <c r="AF127" s="23" t="str">
        <f>IF($U127&gt;=Lookups!$B$23,"High",IF($U127&gt;=Lookups!$B$22,"Medium","Low"))</f>
        <v>Medium</v>
      </c>
      <c r="AG127" s="23">
        <f>ROUND(IF($V127="Weekday",IF(INDEX(Hourly_Analysis!$D$5:$D$28,$J127+1)&gt;0,($U127-INDEX(Hourly_Analysis!$C$5:$C$28,$J127+1))/INDEX(Hourly_Analysis!$D$5:$D$28,$J127+1),0),IF(INDEX(Hourly_Analysis!$G$5:$G$28,$J127+1)&gt;0,($U127-INDEX(Hourly_Analysis!$F$5:$F$28,$J127+1))/INDEX(Hourly_Analysis!$G$5:$G$28,$J127+1),0)),2)</f>
        <v>0.8</v>
      </c>
      <c r="AH127" s="23" t="str">
        <f>IF(ABS($AG127)&gt;Lookups!$B$20,IF($AG127&gt;0,"High anomaly","Low anomaly"),"")</f>
        <v/>
      </c>
      <c r="AI127" s="23" t="str">
        <f t="shared" si="10"/>
        <v>OK</v>
      </c>
      <c r="AJ127" s="23" t="str">
        <f t="shared" si="11"/>
        <v>No</v>
      </c>
    </row>
    <row r="128" spans="1:36" x14ac:dyDescent="0.35">
      <c r="A128" s="23">
        <v>127</v>
      </c>
      <c r="B128" s="23" t="str">
        <f t="shared" si="6"/>
        <v>Merge 1+2</v>
      </c>
      <c r="C128" s="23">
        <f>IFERROR(MATCH($A128,Merge_1_2!$A$2:$A$611,0),0)</f>
        <v>127</v>
      </c>
      <c r="D128" s="23">
        <f>IF($C128&gt;0,INDEX(Merge_1_2!$Q$2:$Q$611,$C128),0)</f>
        <v>127</v>
      </c>
      <c r="E128" s="23">
        <f>IFERROR(MATCH($A128,Dataset3_Raw!$A$2:$A$391,0),0)</f>
        <v>0</v>
      </c>
      <c r="F128" s="24">
        <f>IF($C128&gt;0,INDEX(Merge_1_2!$B$2:$B$611,$C128),DATE(VALUE(RIGHT(INDEX(Dataset3_Raw!$B$2:$B$391,$E128),4)),VALUE(MID(INDEX(Dataset3_Raw!$B$2:$B$391,$E128),4,2)),VALUE(LEFT(INDEX(Dataset3_Raw!$B$2:$B$391,$E128),2))))</f>
        <v>40549</v>
      </c>
      <c r="G128" s="23">
        <f>IF($C128&gt;0,INDEX(Merge_1_2!$C$2:$C$611,$C128),INDEX(Dataset3_Raw!$C$2:$C$391,$E128))</f>
        <v>1</v>
      </c>
      <c r="H128" s="23">
        <f>IF($C128&gt;0,INDEX(Merge_1_2!$D$2:$D$611,$C128),INDEX(Dataset3_Raw!$D$2:$D$391,$E128))</f>
        <v>0</v>
      </c>
      <c r="I128" s="23">
        <f>IF($C128&gt;0,INDEX(Merge_1_2!$E$2:$E$611,$C128),INDEX(Dataset3_Raw!$E$2:$E$391,$E128))</f>
        <v>1</v>
      </c>
      <c r="J128" s="23">
        <f>IF($C128&gt;0,INDEX(Merge_1_2!$F$2:$F$611,$C128),INDEX(Dataset3_Raw!$F$2:$F$391,$E128))</f>
        <v>12</v>
      </c>
      <c r="K128" s="23" t="b">
        <f>IF($C128&gt;0,INDEX(Merge_1_2!$G$2:$G$611,$C128),INDEX(Dataset3_Raw!$G$2:$G$391,$E128))</f>
        <v>0</v>
      </c>
      <c r="L128" s="23">
        <f>IF($C128&gt;0,INDEX(Merge_1_2!$H$2:$H$611,$C128),INDEX(Dataset3_Raw!$H$2:$H$391,$E128))</f>
        <v>4</v>
      </c>
      <c r="M128" s="23">
        <f>IF($C128&gt;0,INDEX(Merge_1_2!$I$2:$I$611,$C128),INDEX(Dataset3_Raw!$I$2:$I$391,$E128))</f>
        <v>1</v>
      </c>
      <c r="N128" s="25">
        <f>IF($C128&gt;0,INDEX(Merge_1_2!$J$2:$J$611,$C128),INDEX(Dataset3_Raw!$J$2:$J$391,$E128))</f>
        <v>0.26</v>
      </c>
      <c r="O128" s="25">
        <f>IF($C128&gt;0,IF(ISNUMBER(INDEX(Merge_1_2!$K$2:$K$611,$C128)),INDEX(Merge_1_2!$K$2:$K$611,$C128),""),INDEX(Dataset3_Raw!$K$2:$K$391,$E128))</f>
        <v>0.28789999999999999</v>
      </c>
      <c r="P128" s="25">
        <f>IF(ISNUMBER($O128),$O128,ROUND(Lookups!$B$25+Lookups!$B$24*$N128,4))</f>
        <v>0.28789999999999999</v>
      </c>
      <c r="Q128" s="25">
        <f>IF($C128&gt;0,INDEX(Merge_1_2!$L$2:$L$611,$C128),INDEX(Dataset3_Raw!$L$2:$L$391,$E128))</f>
        <v>0.35</v>
      </c>
      <c r="R128" s="25">
        <f>IF($C128&gt;0,INDEX(Merge_1_2!$M$2:$M$611,$C128),INDEX(Dataset3_Raw!$M$2:$M$391,$E128))</f>
        <v>0</v>
      </c>
      <c r="S128" s="23">
        <f>IF($C128&gt;0,INDEX(Merge_1_2!$N$2:$N$611,$C128),INDEX(Dataset3_Raw!$N$2:$N$391,$E128))</f>
        <v>6</v>
      </c>
      <c r="T128" s="23">
        <f>IF($C128&gt;0,INDEX(Merge_1_2!$O$2:$O$611,$C128),INDEX(Dataset3_Raw!$O$2:$O$391,$E128))</f>
        <v>78</v>
      </c>
      <c r="U128" s="23">
        <f>IF($C128&gt;0,INDEX(Merge_1_2!$P$2:$P$611,$C128),INDEX(Dataset3_Raw!$P$2:$P$391,$E128))</f>
        <v>84</v>
      </c>
      <c r="V128" s="23" t="str">
        <f t="shared" si="7"/>
        <v>Weekday</v>
      </c>
      <c r="W128" s="23" t="str">
        <f>VLOOKUP($M128,Lookups!$A$5:$B$8,2,FALSE())</f>
        <v>Clear / Partly cloudy</v>
      </c>
      <c r="X128" s="23" t="str">
        <f>VLOOKUP($G128,Lookups!$D$5:$E$8,2,FALSE())</f>
        <v>Winter</v>
      </c>
      <c r="Y128" s="23" t="str">
        <f>VLOOKUP($L128,Lookups!$G$5:$H$11,2,FALSE())</f>
        <v>Thursday</v>
      </c>
      <c r="Z128" s="23" t="str">
        <f>IF($J128&lt;Lookups!$B$26,"Night",IF($J128&lt;Lookups!$B$27,"Morning",IF($J128&lt;Lookups!$B$28,"Afternoon","Evening")))</f>
        <v>Afternoon</v>
      </c>
      <c r="AA128" s="26">
        <f>ROUND($N128*(Lookups!$B$16-Lookups!$B$15)+Lookups!$B$15,1)</f>
        <v>4.2</v>
      </c>
      <c r="AB128" s="26">
        <f>ROUND($P128*(Lookups!$B$18-Lookups!$B$17)+Lookups!$B$17,1)</f>
        <v>3</v>
      </c>
      <c r="AC128" s="23">
        <f t="shared" si="8"/>
        <v>35</v>
      </c>
      <c r="AD128" s="23">
        <f>ROUND($R128*Lookups!$B$19,1)</f>
        <v>0</v>
      </c>
      <c r="AE128" s="27">
        <f t="shared" si="9"/>
        <v>0.9285714285714286</v>
      </c>
      <c r="AF128" s="23" t="str">
        <f>IF($U128&gt;=Lookups!$B$23,"High",IF($U128&gt;=Lookups!$B$22,"Medium","Low"))</f>
        <v>High</v>
      </c>
      <c r="AG128" s="23">
        <f>ROUND(IF($V128="Weekday",IF(INDEX(Hourly_Analysis!$D$5:$D$28,$J128+1)&gt;0,($U128-INDEX(Hourly_Analysis!$C$5:$C$28,$J128+1))/INDEX(Hourly_Analysis!$D$5:$D$28,$J128+1),0),IF(INDEX(Hourly_Analysis!$G$5:$G$28,$J128+1)&gt;0,($U128-INDEX(Hourly_Analysis!$F$5:$F$28,$J128+1))/INDEX(Hourly_Analysis!$G$5:$G$28,$J128+1),0)),2)</f>
        <v>1.06</v>
      </c>
      <c r="AH128" s="23" t="str">
        <f>IF(ABS($AG128)&gt;Lookups!$B$20,IF($AG128&gt;0,"High anomaly","Low anomaly"),"")</f>
        <v/>
      </c>
      <c r="AI128" s="23" t="str">
        <f t="shared" si="10"/>
        <v>OK</v>
      </c>
      <c r="AJ128" s="23" t="str">
        <f t="shared" si="11"/>
        <v>No</v>
      </c>
    </row>
    <row r="129" spans="1:36" x14ac:dyDescent="0.35">
      <c r="A129" s="23">
        <v>128</v>
      </c>
      <c r="B129" s="23" t="str">
        <f t="shared" si="6"/>
        <v>Merge 1+2</v>
      </c>
      <c r="C129" s="23">
        <f>IFERROR(MATCH($A129,Merge_1_2!$A$2:$A$611,0),0)</f>
        <v>128</v>
      </c>
      <c r="D129" s="23">
        <f>IF($C129&gt;0,INDEX(Merge_1_2!$Q$2:$Q$611,$C129),0)</f>
        <v>128</v>
      </c>
      <c r="E129" s="23">
        <f>IFERROR(MATCH($A129,Dataset3_Raw!$A$2:$A$391,0),0)</f>
        <v>0</v>
      </c>
      <c r="F129" s="24">
        <f>IF($C129&gt;0,INDEX(Merge_1_2!$B$2:$B$611,$C129),DATE(VALUE(RIGHT(INDEX(Dataset3_Raw!$B$2:$B$391,$E129),4)),VALUE(MID(INDEX(Dataset3_Raw!$B$2:$B$391,$E129),4,2)),VALUE(LEFT(INDEX(Dataset3_Raw!$B$2:$B$391,$E129),2))))</f>
        <v>40549</v>
      </c>
      <c r="G129" s="23">
        <f>IF($C129&gt;0,INDEX(Merge_1_2!$C$2:$C$611,$C129),INDEX(Dataset3_Raw!$C$2:$C$391,$E129))</f>
        <v>1</v>
      </c>
      <c r="H129" s="23">
        <f>IF($C129&gt;0,INDEX(Merge_1_2!$D$2:$D$611,$C129),INDEX(Dataset3_Raw!$D$2:$D$391,$E129))</f>
        <v>0</v>
      </c>
      <c r="I129" s="23">
        <f>IF($C129&gt;0,INDEX(Merge_1_2!$E$2:$E$611,$C129),INDEX(Dataset3_Raw!$E$2:$E$391,$E129))</f>
        <v>1</v>
      </c>
      <c r="J129" s="23">
        <f>IF($C129&gt;0,INDEX(Merge_1_2!$F$2:$F$611,$C129),INDEX(Dataset3_Raw!$F$2:$F$391,$E129))</f>
        <v>13</v>
      </c>
      <c r="K129" s="23" t="b">
        <f>IF($C129&gt;0,INDEX(Merge_1_2!$G$2:$G$611,$C129),INDEX(Dataset3_Raw!$G$2:$G$391,$E129))</f>
        <v>0</v>
      </c>
      <c r="L129" s="23">
        <f>IF($C129&gt;0,INDEX(Merge_1_2!$H$2:$H$611,$C129),INDEX(Dataset3_Raw!$H$2:$H$391,$E129))</f>
        <v>4</v>
      </c>
      <c r="M129" s="23">
        <f>IF($C129&gt;0,INDEX(Merge_1_2!$I$2:$I$611,$C129),INDEX(Dataset3_Raw!$I$2:$I$391,$E129))</f>
        <v>1</v>
      </c>
      <c r="N129" s="25">
        <f>IF($C129&gt;0,INDEX(Merge_1_2!$J$2:$J$611,$C129),INDEX(Dataset3_Raw!$J$2:$J$391,$E129))</f>
        <v>0.26</v>
      </c>
      <c r="O129" s="25">
        <f>IF($C129&gt;0,IF(ISNUMBER(INDEX(Merge_1_2!$K$2:$K$611,$C129)),INDEX(Merge_1_2!$K$2:$K$611,$C129),""),INDEX(Dataset3_Raw!$K$2:$K$391,$E129))</f>
        <v>0.2727</v>
      </c>
      <c r="P129" s="25">
        <f>IF(ISNUMBER($O129),$O129,ROUND(Lookups!$B$25+Lookups!$B$24*$N129,4))</f>
        <v>0.2727</v>
      </c>
      <c r="Q129" s="25">
        <f>IF($C129&gt;0,INDEX(Merge_1_2!$L$2:$L$611,$C129),INDEX(Dataset3_Raw!$L$2:$L$391,$E129))</f>
        <v>0.35</v>
      </c>
      <c r="R129" s="25">
        <f>IF($C129&gt;0,INDEX(Merge_1_2!$M$2:$M$611,$C129),INDEX(Dataset3_Raw!$M$2:$M$391,$E129))</f>
        <v>0.1045</v>
      </c>
      <c r="S129" s="23">
        <f>IF($C129&gt;0,INDEX(Merge_1_2!$N$2:$N$611,$C129),INDEX(Dataset3_Raw!$N$2:$N$391,$E129))</f>
        <v>12</v>
      </c>
      <c r="T129" s="23">
        <f>IF($C129&gt;0,INDEX(Merge_1_2!$O$2:$O$611,$C129),INDEX(Dataset3_Raw!$O$2:$O$391,$E129))</f>
        <v>55</v>
      </c>
      <c r="U129" s="23">
        <f>IF($C129&gt;0,INDEX(Merge_1_2!$P$2:$P$611,$C129),INDEX(Dataset3_Raw!$P$2:$P$391,$E129))</f>
        <v>67</v>
      </c>
      <c r="V129" s="23" t="str">
        <f t="shared" si="7"/>
        <v>Weekday</v>
      </c>
      <c r="W129" s="23" t="str">
        <f>VLOOKUP($M129,Lookups!$A$5:$B$8,2,FALSE())</f>
        <v>Clear / Partly cloudy</v>
      </c>
      <c r="X129" s="23" t="str">
        <f>VLOOKUP($G129,Lookups!$D$5:$E$8,2,FALSE())</f>
        <v>Winter</v>
      </c>
      <c r="Y129" s="23" t="str">
        <f>VLOOKUP($L129,Lookups!$G$5:$H$11,2,FALSE())</f>
        <v>Thursday</v>
      </c>
      <c r="Z129" s="23" t="str">
        <f>IF($J129&lt;Lookups!$B$26,"Night",IF($J129&lt;Lookups!$B$27,"Morning",IF($J129&lt;Lookups!$B$28,"Afternoon","Evening")))</f>
        <v>Afternoon</v>
      </c>
      <c r="AA129" s="26">
        <f>ROUND($N129*(Lookups!$B$16-Lookups!$B$15)+Lookups!$B$15,1)</f>
        <v>4.2</v>
      </c>
      <c r="AB129" s="26">
        <f>ROUND($P129*(Lookups!$B$18-Lookups!$B$17)+Lookups!$B$17,1)</f>
        <v>2</v>
      </c>
      <c r="AC129" s="23">
        <f t="shared" si="8"/>
        <v>35</v>
      </c>
      <c r="AD129" s="23">
        <f>ROUND($R129*Lookups!$B$19,1)</f>
        <v>7</v>
      </c>
      <c r="AE129" s="27">
        <f t="shared" si="9"/>
        <v>0.82089552238805974</v>
      </c>
      <c r="AF129" s="23" t="str">
        <f>IF($U129&gt;=Lookups!$B$23,"High",IF($U129&gt;=Lookups!$B$22,"Medium","Low"))</f>
        <v>Medium</v>
      </c>
      <c r="AG129" s="23">
        <f>ROUND(IF($V129="Weekday",IF(INDEX(Hourly_Analysis!$D$5:$D$28,$J129+1)&gt;0,($U129-INDEX(Hourly_Analysis!$C$5:$C$28,$J129+1))/INDEX(Hourly_Analysis!$D$5:$D$28,$J129+1),0),IF(INDEX(Hourly_Analysis!$G$5:$G$28,$J129+1)&gt;0,($U129-INDEX(Hourly_Analysis!$F$5:$F$28,$J129+1))/INDEX(Hourly_Analysis!$G$5:$G$28,$J129+1),0)),2)</f>
        <v>0.04</v>
      </c>
      <c r="AH129" s="23" t="str">
        <f>IF(ABS($AG129)&gt;Lookups!$B$20,IF($AG129&gt;0,"High anomaly","Low anomaly"),"")</f>
        <v/>
      </c>
      <c r="AI129" s="23" t="str">
        <f t="shared" si="10"/>
        <v>OK</v>
      </c>
      <c r="AJ129" s="23" t="str">
        <f t="shared" si="11"/>
        <v>No</v>
      </c>
    </row>
    <row r="130" spans="1:36" x14ac:dyDescent="0.35">
      <c r="A130" s="23">
        <v>129</v>
      </c>
      <c r="B130" s="23" t="str">
        <f t="shared" ref="B130:B193" si="12">IF($C130&gt;0,"Merge 1+2","Dataset 3")</f>
        <v>Merge 1+2</v>
      </c>
      <c r="C130" s="23">
        <f>IFERROR(MATCH($A130,Merge_1_2!$A$2:$A$611,0),0)</f>
        <v>129</v>
      </c>
      <c r="D130" s="23">
        <f>IF($C130&gt;0,INDEX(Merge_1_2!$Q$2:$Q$611,$C130),0)</f>
        <v>129</v>
      </c>
      <c r="E130" s="23">
        <f>IFERROR(MATCH($A130,Dataset3_Raw!$A$2:$A$391,0),0)</f>
        <v>0</v>
      </c>
      <c r="F130" s="24">
        <f>IF($C130&gt;0,INDEX(Merge_1_2!$B$2:$B$611,$C130),DATE(VALUE(RIGHT(INDEX(Dataset3_Raw!$B$2:$B$391,$E130),4)),VALUE(MID(INDEX(Dataset3_Raw!$B$2:$B$391,$E130),4,2)),VALUE(LEFT(INDEX(Dataset3_Raw!$B$2:$B$391,$E130),2))))</f>
        <v>40549</v>
      </c>
      <c r="G130" s="23">
        <f>IF($C130&gt;0,INDEX(Merge_1_2!$C$2:$C$611,$C130),INDEX(Dataset3_Raw!$C$2:$C$391,$E130))</f>
        <v>1</v>
      </c>
      <c r="H130" s="23">
        <f>IF($C130&gt;0,INDEX(Merge_1_2!$D$2:$D$611,$C130),INDEX(Dataset3_Raw!$D$2:$D$391,$E130))</f>
        <v>0</v>
      </c>
      <c r="I130" s="23">
        <f>IF($C130&gt;0,INDEX(Merge_1_2!$E$2:$E$611,$C130),INDEX(Dataset3_Raw!$E$2:$E$391,$E130))</f>
        <v>1</v>
      </c>
      <c r="J130" s="23">
        <f>IF($C130&gt;0,INDEX(Merge_1_2!$F$2:$F$611,$C130),INDEX(Dataset3_Raw!$F$2:$F$391,$E130))</f>
        <v>14</v>
      </c>
      <c r="K130" s="23" t="b">
        <f>IF($C130&gt;0,INDEX(Merge_1_2!$G$2:$G$611,$C130),INDEX(Dataset3_Raw!$G$2:$G$391,$E130))</f>
        <v>0</v>
      </c>
      <c r="L130" s="23">
        <f>IF($C130&gt;0,INDEX(Merge_1_2!$H$2:$H$611,$C130),INDEX(Dataset3_Raw!$H$2:$H$391,$E130))</f>
        <v>4</v>
      </c>
      <c r="M130" s="23">
        <f>IF($C130&gt;0,INDEX(Merge_1_2!$I$2:$I$611,$C130),INDEX(Dataset3_Raw!$I$2:$I$391,$E130))</f>
        <v>1</v>
      </c>
      <c r="N130" s="25">
        <f>IF($C130&gt;0,INDEX(Merge_1_2!$J$2:$J$611,$C130),INDEX(Dataset3_Raw!$J$2:$J$391,$E130))</f>
        <v>0.28000000000000003</v>
      </c>
      <c r="O130" s="25">
        <f>IF($C130&gt;0,IF(ISNUMBER(INDEX(Merge_1_2!$K$2:$K$611,$C130)),INDEX(Merge_1_2!$K$2:$K$611,$C130),""),INDEX(Dataset3_Raw!$K$2:$K$391,$E130))</f>
        <v>0.2727</v>
      </c>
      <c r="P130" s="25">
        <f>IF(ISNUMBER($O130),$O130,ROUND(Lookups!$B$25+Lookups!$B$24*$N130,4))</f>
        <v>0.2727</v>
      </c>
      <c r="Q130" s="25">
        <f>IF($C130&gt;0,INDEX(Merge_1_2!$L$2:$L$611,$C130),INDEX(Dataset3_Raw!$L$2:$L$391,$E130))</f>
        <v>0.36</v>
      </c>
      <c r="R130" s="25">
        <f>IF($C130&gt;0,INDEX(Merge_1_2!$M$2:$M$611,$C130),INDEX(Dataset3_Raw!$M$2:$M$391,$E130))</f>
        <v>0.16420000000000001</v>
      </c>
      <c r="S130" s="23">
        <f>IF($C130&gt;0,INDEX(Merge_1_2!$N$2:$N$611,$C130),INDEX(Dataset3_Raw!$N$2:$N$391,$E130))</f>
        <v>11</v>
      </c>
      <c r="T130" s="23">
        <f>IF($C130&gt;0,INDEX(Merge_1_2!$O$2:$O$611,$C130),INDEX(Dataset3_Raw!$O$2:$O$391,$E130))</f>
        <v>59</v>
      </c>
      <c r="U130" s="23">
        <f>IF($C130&gt;0,INDEX(Merge_1_2!$P$2:$P$611,$C130),INDEX(Dataset3_Raw!$P$2:$P$391,$E130))</f>
        <v>70</v>
      </c>
      <c r="V130" s="23" t="str">
        <f t="shared" ref="V130:V193" si="13">IF($K130,"Holiday",IF(OR($L130=0,$L130=6),"Weekend","Weekday"))</f>
        <v>Weekday</v>
      </c>
      <c r="W130" s="23" t="str">
        <f>VLOOKUP($M130,Lookups!$A$5:$B$8,2,FALSE())</f>
        <v>Clear / Partly cloudy</v>
      </c>
      <c r="X130" s="23" t="str">
        <f>VLOOKUP($G130,Lookups!$D$5:$E$8,2,FALSE())</f>
        <v>Winter</v>
      </c>
      <c r="Y130" s="23" t="str">
        <f>VLOOKUP($L130,Lookups!$G$5:$H$11,2,FALSE())</f>
        <v>Thursday</v>
      </c>
      <c r="Z130" s="23" t="str">
        <f>IF($J130&lt;Lookups!$B$26,"Night",IF($J130&lt;Lookups!$B$27,"Morning",IF($J130&lt;Lookups!$B$28,"Afternoon","Evening")))</f>
        <v>Afternoon</v>
      </c>
      <c r="AA130" s="26">
        <f>ROUND($N130*(Lookups!$B$16-Lookups!$B$15)+Lookups!$B$15,1)</f>
        <v>5.2</v>
      </c>
      <c r="AB130" s="26">
        <f>ROUND($P130*(Lookups!$B$18-Lookups!$B$17)+Lookups!$B$17,1)</f>
        <v>2</v>
      </c>
      <c r="AC130" s="23">
        <f t="shared" ref="AC130:AC193" si="14">ROUND($Q130*100,0)</f>
        <v>36</v>
      </c>
      <c r="AD130" s="23">
        <f>ROUND($R130*Lookups!$B$19,1)</f>
        <v>11</v>
      </c>
      <c r="AE130" s="27">
        <f t="shared" ref="AE130:AE193" si="15">IF($U130&gt;0,$T130/$U130,0)</f>
        <v>0.84285714285714286</v>
      </c>
      <c r="AF130" s="23" t="str">
        <f>IF($U130&gt;=Lookups!$B$23,"High",IF($U130&gt;=Lookups!$B$22,"Medium","Low"))</f>
        <v>Medium</v>
      </c>
      <c r="AG130" s="23">
        <f>ROUND(IF($V130="Weekday",IF(INDEX(Hourly_Analysis!$D$5:$D$28,$J130+1)&gt;0,($U130-INDEX(Hourly_Analysis!$C$5:$C$28,$J130+1))/INDEX(Hourly_Analysis!$D$5:$D$28,$J130+1),0),IF(INDEX(Hourly_Analysis!$G$5:$G$28,$J130+1)&gt;0,($U130-INDEX(Hourly_Analysis!$F$5:$F$28,$J130+1))/INDEX(Hourly_Analysis!$G$5:$G$28,$J130+1),0)),2)</f>
        <v>0.65</v>
      </c>
      <c r="AH130" s="23" t="str">
        <f>IF(ABS($AG130)&gt;Lookups!$B$20,IF($AG130&gt;0,"High anomaly","Low anomaly"),"")</f>
        <v/>
      </c>
      <c r="AI130" s="23" t="str">
        <f t="shared" ref="AI130:AI193" si="16">IF($S130+$T130=$U130,"OK","Mismatch")</f>
        <v>OK</v>
      </c>
      <c r="AJ130" s="23" t="str">
        <f t="shared" ref="AJ130:AJ193" si="17">IF(ISNUMBER($O130),"No","Yes")</f>
        <v>No</v>
      </c>
    </row>
    <row r="131" spans="1:36" x14ac:dyDescent="0.35">
      <c r="A131" s="23">
        <v>130</v>
      </c>
      <c r="B131" s="23" t="str">
        <f t="shared" si="12"/>
        <v>Merge 1+2</v>
      </c>
      <c r="C131" s="23">
        <f>IFERROR(MATCH($A131,Merge_1_2!$A$2:$A$611,0),0)</f>
        <v>130</v>
      </c>
      <c r="D131" s="23">
        <f>IF($C131&gt;0,INDEX(Merge_1_2!$Q$2:$Q$611,$C131),0)</f>
        <v>130</v>
      </c>
      <c r="E131" s="23">
        <f>IFERROR(MATCH($A131,Dataset3_Raw!$A$2:$A$391,0),0)</f>
        <v>0</v>
      </c>
      <c r="F131" s="24">
        <f>IF($C131&gt;0,INDEX(Merge_1_2!$B$2:$B$611,$C131),DATE(VALUE(RIGHT(INDEX(Dataset3_Raw!$B$2:$B$391,$E131),4)),VALUE(MID(INDEX(Dataset3_Raw!$B$2:$B$391,$E131),4,2)),VALUE(LEFT(INDEX(Dataset3_Raw!$B$2:$B$391,$E131),2))))</f>
        <v>40549</v>
      </c>
      <c r="G131" s="23">
        <f>IF($C131&gt;0,INDEX(Merge_1_2!$C$2:$C$611,$C131),INDEX(Dataset3_Raw!$C$2:$C$391,$E131))</f>
        <v>1</v>
      </c>
      <c r="H131" s="23">
        <f>IF($C131&gt;0,INDEX(Merge_1_2!$D$2:$D$611,$C131),INDEX(Dataset3_Raw!$D$2:$D$391,$E131))</f>
        <v>0</v>
      </c>
      <c r="I131" s="23">
        <f>IF($C131&gt;0,INDEX(Merge_1_2!$E$2:$E$611,$C131),INDEX(Dataset3_Raw!$E$2:$E$391,$E131))</f>
        <v>1</v>
      </c>
      <c r="J131" s="23">
        <f>IF($C131&gt;0,INDEX(Merge_1_2!$F$2:$F$611,$C131),INDEX(Dataset3_Raw!$F$2:$F$391,$E131))</f>
        <v>15</v>
      </c>
      <c r="K131" s="23" t="b">
        <f>IF($C131&gt;0,INDEX(Merge_1_2!$G$2:$G$611,$C131),INDEX(Dataset3_Raw!$G$2:$G$391,$E131))</f>
        <v>0</v>
      </c>
      <c r="L131" s="23">
        <f>IF($C131&gt;0,INDEX(Merge_1_2!$H$2:$H$611,$C131),INDEX(Dataset3_Raw!$H$2:$H$391,$E131))</f>
        <v>4</v>
      </c>
      <c r="M131" s="23">
        <f>IF($C131&gt;0,INDEX(Merge_1_2!$I$2:$I$611,$C131),INDEX(Dataset3_Raw!$I$2:$I$391,$E131))</f>
        <v>1</v>
      </c>
      <c r="N131" s="25">
        <f>IF($C131&gt;0,INDEX(Merge_1_2!$J$2:$J$611,$C131),INDEX(Dataset3_Raw!$J$2:$J$391,$E131))</f>
        <v>0.28000000000000003</v>
      </c>
      <c r="O131" s="25">
        <f>IF($C131&gt;0,IF(ISNUMBER(INDEX(Merge_1_2!$K$2:$K$611,$C131)),INDEX(Merge_1_2!$K$2:$K$611,$C131),""),INDEX(Dataset3_Raw!$K$2:$K$391,$E131))</f>
        <v>0.2727</v>
      </c>
      <c r="P131" s="25">
        <f>IF(ISNUMBER($O131),$O131,ROUND(Lookups!$B$25+Lookups!$B$24*$N131,4))</f>
        <v>0.2727</v>
      </c>
      <c r="Q131" s="25">
        <f>IF($C131&gt;0,INDEX(Merge_1_2!$L$2:$L$611,$C131),INDEX(Dataset3_Raw!$L$2:$L$391,$E131))</f>
        <v>0.36</v>
      </c>
      <c r="R131" s="25">
        <f>IF($C131&gt;0,INDEX(Merge_1_2!$M$2:$M$611,$C131),INDEX(Dataset3_Raw!$M$2:$M$391,$E131))</f>
        <v>0</v>
      </c>
      <c r="S131" s="23">
        <f>IF($C131&gt;0,INDEX(Merge_1_2!$N$2:$N$611,$C131),INDEX(Dataset3_Raw!$N$2:$N$391,$E131))</f>
        <v>8</v>
      </c>
      <c r="T131" s="23">
        <f>IF($C131&gt;0,INDEX(Merge_1_2!$O$2:$O$611,$C131),INDEX(Dataset3_Raw!$O$2:$O$391,$E131))</f>
        <v>54</v>
      </c>
      <c r="U131" s="23">
        <f>IF($C131&gt;0,INDEX(Merge_1_2!$P$2:$P$611,$C131),INDEX(Dataset3_Raw!$P$2:$P$391,$E131))</f>
        <v>62</v>
      </c>
      <c r="V131" s="23" t="str">
        <f t="shared" si="13"/>
        <v>Weekday</v>
      </c>
      <c r="W131" s="23" t="str">
        <f>VLOOKUP($M131,Lookups!$A$5:$B$8,2,FALSE())</f>
        <v>Clear / Partly cloudy</v>
      </c>
      <c r="X131" s="23" t="str">
        <f>VLOOKUP($G131,Lookups!$D$5:$E$8,2,FALSE())</f>
        <v>Winter</v>
      </c>
      <c r="Y131" s="23" t="str">
        <f>VLOOKUP($L131,Lookups!$G$5:$H$11,2,FALSE())</f>
        <v>Thursday</v>
      </c>
      <c r="Z131" s="23" t="str">
        <f>IF($J131&lt;Lookups!$B$26,"Night",IF($J131&lt;Lookups!$B$27,"Morning",IF($J131&lt;Lookups!$B$28,"Afternoon","Evening")))</f>
        <v>Afternoon</v>
      </c>
      <c r="AA131" s="26">
        <f>ROUND($N131*(Lookups!$B$16-Lookups!$B$15)+Lookups!$B$15,1)</f>
        <v>5.2</v>
      </c>
      <c r="AB131" s="26">
        <f>ROUND($P131*(Lookups!$B$18-Lookups!$B$17)+Lookups!$B$17,1)</f>
        <v>2</v>
      </c>
      <c r="AC131" s="23">
        <f t="shared" si="14"/>
        <v>36</v>
      </c>
      <c r="AD131" s="23">
        <f>ROUND($R131*Lookups!$B$19,1)</f>
        <v>0</v>
      </c>
      <c r="AE131" s="27">
        <f t="shared" si="15"/>
        <v>0.87096774193548387</v>
      </c>
      <c r="AF131" s="23" t="str">
        <f>IF($U131&gt;=Lookups!$B$23,"High",IF($U131&gt;=Lookups!$B$22,"Medium","Low"))</f>
        <v>Medium</v>
      </c>
      <c r="AG131" s="23">
        <f>ROUND(IF($V131="Weekday",IF(INDEX(Hourly_Analysis!$D$5:$D$28,$J131+1)&gt;0,($U131-INDEX(Hourly_Analysis!$C$5:$C$28,$J131+1))/INDEX(Hourly_Analysis!$D$5:$D$28,$J131+1),0),IF(INDEX(Hourly_Analysis!$G$5:$G$28,$J131+1)&gt;0,($U131-INDEX(Hourly_Analysis!$F$5:$F$28,$J131+1))/INDEX(Hourly_Analysis!$G$5:$G$28,$J131+1),0)),2)</f>
        <v>0.12</v>
      </c>
      <c r="AH131" s="23" t="str">
        <f>IF(ABS($AG131)&gt;Lookups!$B$20,IF($AG131&gt;0,"High anomaly","Low anomaly"),"")</f>
        <v/>
      </c>
      <c r="AI131" s="23" t="str">
        <f t="shared" si="16"/>
        <v>OK</v>
      </c>
      <c r="AJ131" s="23" t="str">
        <f t="shared" si="17"/>
        <v>No</v>
      </c>
    </row>
    <row r="132" spans="1:36" x14ac:dyDescent="0.35">
      <c r="A132" s="23">
        <v>131</v>
      </c>
      <c r="B132" s="23" t="str">
        <f t="shared" si="12"/>
        <v>Merge 1+2</v>
      </c>
      <c r="C132" s="23">
        <f>IFERROR(MATCH($A132,Merge_1_2!$A$2:$A$611,0),0)</f>
        <v>131</v>
      </c>
      <c r="D132" s="23">
        <f>IF($C132&gt;0,INDEX(Merge_1_2!$Q$2:$Q$611,$C132),0)</f>
        <v>131</v>
      </c>
      <c r="E132" s="23">
        <f>IFERROR(MATCH($A132,Dataset3_Raw!$A$2:$A$391,0),0)</f>
        <v>0</v>
      </c>
      <c r="F132" s="24">
        <f>IF($C132&gt;0,INDEX(Merge_1_2!$B$2:$B$611,$C132),DATE(VALUE(RIGHT(INDEX(Dataset3_Raw!$B$2:$B$391,$E132),4)),VALUE(MID(INDEX(Dataset3_Raw!$B$2:$B$391,$E132),4,2)),VALUE(LEFT(INDEX(Dataset3_Raw!$B$2:$B$391,$E132),2))))</f>
        <v>40549</v>
      </c>
      <c r="G132" s="23">
        <f>IF($C132&gt;0,INDEX(Merge_1_2!$C$2:$C$611,$C132),INDEX(Dataset3_Raw!$C$2:$C$391,$E132))</f>
        <v>1</v>
      </c>
      <c r="H132" s="23">
        <f>IF($C132&gt;0,INDEX(Merge_1_2!$D$2:$D$611,$C132),INDEX(Dataset3_Raw!$D$2:$D$391,$E132))</f>
        <v>0</v>
      </c>
      <c r="I132" s="23">
        <f>IF($C132&gt;0,INDEX(Merge_1_2!$E$2:$E$611,$C132),INDEX(Dataset3_Raw!$E$2:$E$391,$E132))</f>
        <v>1</v>
      </c>
      <c r="J132" s="23">
        <f>IF($C132&gt;0,INDEX(Merge_1_2!$F$2:$F$611,$C132),INDEX(Dataset3_Raw!$F$2:$F$391,$E132))</f>
        <v>16</v>
      </c>
      <c r="K132" s="23" t="b">
        <f>IF($C132&gt;0,INDEX(Merge_1_2!$G$2:$G$611,$C132),INDEX(Dataset3_Raw!$G$2:$G$391,$E132))</f>
        <v>0</v>
      </c>
      <c r="L132" s="23">
        <f>IF($C132&gt;0,INDEX(Merge_1_2!$H$2:$H$611,$C132),INDEX(Dataset3_Raw!$H$2:$H$391,$E132))</f>
        <v>4</v>
      </c>
      <c r="M132" s="23">
        <f>IF($C132&gt;0,INDEX(Merge_1_2!$I$2:$I$611,$C132),INDEX(Dataset3_Raw!$I$2:$I$391,$E132))</f>
        <v>1</v>
      </c>
      <c r="N132" s="25">
        <f>IF($C132&gt;0,INDEX(Merge_1_2!$J$2:$J$611,$C132),INDEX(Dataset3_Raw!$J$2:$J$391,$E132))</f>
        <v>0.26</v>
      </c>
      <c r="O132" s="25">
        <f>IF($C132&gt;0,IF(ISNUMBER(INDEX(Merge_1_2!$K$2:$K$611,$C132)),INDEX(Merge_1_2!$K$2:$K$611,$C132),""),INDEX(Dataset3_Raw!$K$2:$K$391,$E132))</f>
        <v>0.2576</v>
      </c>
      <c r="P132" s="25">
        <f>IF(ISNUMBER($O132),$O132,ROUND(Lookups!$B$25+Lookups!$B$24*$N132,4))</f>
        <v>0.2576</v>
      </c>
      <c r="Q132" s="25">
        <f>IF($C132&gt;0,INDEX(Merge_1_2!$L$2:$L$611,$C132),INDEX(Dataset3_Raw!$L$2:$L$391,$E132))</f>
        <v>0.38</v>
      </c>
      <c r="R132" s="25">
        <f>IF($C132&gt;0,INDEX(Merge_1_2!$M$2:$M$611,$C132),INDEX(Dataset3_Raw!$M$2:$M$391,$E132))</f>
        <v>0.16420000000000001</v>
      </c>
      <c r="S132" s="23">
        <f>IF($C132&gt;0,INDEX(Merge_1_2!$N$2:$N$611,$C132),INDEX(Dataset3_Raw!$N$2:$N$391,$E132))</f>
        <v>12</v>
      </c>
      <c r="T132" s="23">
        <f>IF($C132&gt;0,INDEX(Merge_1_2!$O$2:$O$611,$C132),INDEX(Dataset3_Raw!$O$2:$O$391,$E132))</f>
        <v>74</v>
      </c>
      <c r="U132" s="23">
        <f>IF($C132&gt;0,INDEX(Merge_1_2!$P$2:$P$611,$C132),INDEX(Dataset3_Raw!$P$2:$P$391,$E132))</f>
        <v>86</v>
      </c>
      <c r="V132" s="23" t="str">
        <f t="shared" si="13"/>
        <v>Weekday</v>
      </c>
      <c r="W132" s="23" t="str">
        <f>VLOOKUP($M132,Lookups!$A$5:$B$8,2,FALSE())</f>
        <v>Clear / Partly cloudy</v>
      </c>
      <c r="X132" s="23" t="str">
        <f>VLOOKUP($G132,Lookups!$D$5:$E$8,2,FALSE())</f>
        <v>Winter</v>
      </c>
      <c r="Y132" s="23" t="str">
        <f>VLOOKUP($L132,Lookups!$G$5:$H$11,2,FALSE())</f>
        <v>Thursday</v>
      </c>
      <c r="Z132" s="23" t="str">
        <f>IF($J132&lt;Lookups!$B$26,"Night",IF($J132&lt;Lookups!$B$27,"Morning",IF($J132&lt;Lookups!$B$28,"Afternoon","Evening")))</f>
        <v>Afternoon</v>
      </c>
      <c r="AA132" s="26">
        <f>ROUND($N132*(Lookups!$B$16-Lookups!$B$15)+Lookups!$B$15,1)</f>
        <v>4.2</v>
      </c>
      <c r="AB132" s="26">
        <f>ROUND($P132*(Lookups!$B$18-Lookups!$B$17)+Lookups!$B$17,1)</f>
        <v>1</v>
      </c>
      <c r="AC132" s="23">
        <f t="shared" si="14"/>
        <v>38</v>
      </c>
      <c r="AD132" s="23">
        <f>ROUND($R132*Lookups!$B$19,1)</f>
        <v>11</v>
      </c>
      <c r="AE132" s="27">
        <f t="shared" si="15"/>
        <v>0.86046511627906974</v>
      </c>
      <c r="AF132" s="23" t="str">
        <f>IF($U132&gt;=Lookups!$B$23,"High",IF($U132&gt;=Lookups!$B$22,"Medium","Low"))</f>
        <v>High</v>
      </c>
      <c r="AG132" s="23">
        <f>ROUND(IF($V132="Weekday",IF(INDEX(Hourly_Analysis!$D$5:$D$28,$J132+1)&gt;0,($U132-INDEX(Hourly_Analysis!$C$5:$C$28,$J132+1))/INDEX(Hourly_Analysis!$D$5:$D$28,$J132+1),0),IF(INDEX(Hourly_Analysis!$G$5:$G$28,$J132+1)&gt;0,($U132-INDEX(Hourly_Analysis!$F$5:$F$28,$J132+1))/INDEX(Hourly_Analysis!$G$5:$G$28,$J132+1),0)),2)</f>
        <v>0.16</v>
      </c>
      <c r="AH132" s="23" t="str">
        <f>IF(ABS($AG132)&gt;Lookups!$B$20,IF($AG132&gt;0,"High anomaly","Low anomaly"),"")</f>
        <v/>
      </c>
      <c r="AI132" s="23" t="str">
        <f t="shared" si="16"/>
        <v>OK</v>
      </c>
      <c r="AJ132" s="23" t="str">
        <f t="shared" si="17"/>
        <v>No</v>
      </c>
    </row>
    <row r="133" spans="1:36" x14ac:dyDescent="0.35">
      <c r="A133" s="23">
        <v>132</v>
      </c>
      <c r="B133" s="23" t="str">
        <f t="shared" si="12"/>
        <v>Merge 1+2</v>
      </c>
      <c r="C133" s="23">
        <f>IFERROR(MATCH($A133,Merge_1_2!$A$2:$A$611,0),0)</f>
        <v>132</v>
      </c>
      <c r="D133" s="23">
        <f>IF($C133&gt;0,INDEX(Merge_1_2!$Q$2:$Q$611,$C133),0)</f>
        <v>132</v>
      </c>
      <c r="E133" s="23">
        <f>IFERROR(MATCH($A133,Dataset3_Raw!$A$2:$A$391,0),0)</f>
        <v>0</v>
      </c>
      <c r="F133" s="24">
        <f>IF($C133&gt;0,INDEX(Merge_1_2!$B$2:$B$611,$C133),DATE(VALUE(RIGHT(INDEX(Dataset3_Raw!$B$2:$B$391,$E133),4)),VALUE(MID(INDEX(Dataset3_Raw!$B$2:$B$391,$E133),4,2)),VALUE(LEFT(INDEX(Dataset3_Raw!$B$2:$B$391,$E133),2))))</f>
        <v>40549</v>
      </c>
      <c r="G133" s="23">
        <f>IF($C133&gt;0,INDEX(Merge_1_2!$C$2:$C$611,$C133),INDEX(Dataset3_Raw!$C$2:$C$391,$E133))</f>
        <v>1</v>
      </c>
      <c r="H133" s="23">
        <f>IF($C133&gt;0,INDEX(Merge_1_2!$D$2:$D$611,$C133),INDEX(Dataset3_Raw!$D$2:$D$391,$E133))</f>
        <v>0</v>
      </c>
      <c r="I133" s="23">
        <f>IF($C133&gt;0,INDEX(Merge_1_2!$E$2:$E$611,$C133),INDEX(Dataset3_Raw!$E$2:$E$391,$E133))</f>
        <v>1</v>
      </c>
      <c r="J133" s="23">
        <f>IF($C133&gt;0,INDEX(Merge_1_2!$F$2:$F$611,$C133),INDEX(Dataset3_Raw!$F$2:$F$391,$E133))</f>
        <v>17</v>
      </c>
      <c r="K133" s="23" t="b">
        <f>IF($C133&gt;0,INDEX(Merge_1_2!$G$2:$G$611,$C133),INDEX(Dataset3_Raw!$G$2:$G$391,$E133))</f>
        <v>0</v>
      </c>
      <c r="L133" s="23">
        <f>IF($C133&gt;0,INDEX(Merge_1_2!$H$2:$H$611,$C133),INDEX(Dataset3_Raw!$H$2:$H$391,$E133))</f>
        <v>4</v>
      </c>
      <c r="M133" s="23">
        <f>IF($C133&gt;0,INDEX(Merge_1_2!$I$2:$I$611,$C133),INDEX(Dataset3_Raw!$I$2:$I$391,$E133))</f>
        <v>1</v>
      </c>
      <c r="N133" s="25">
        <f>IF($C133&gt;0,INDEX(Merge_1_2!$J$2:$J$611,$C133),INDEX(Dataset3_Raw!$J$2:$J$391,$E133))</f>
        <v>0.22</v>
      </c>
      <c r="O133" s="25">
        <f>IF($C133&gt;0,IF(ISNUMBER(INDEX(Merge_1_2!$K$2:$K$611,$C133)),INDEX(Merge_1_2!$K$2:$K$611,$C133),""),INDEX(Dataset3_Raw!$K$2:$K$391,$E133))</f>
        <v>0.2273</v>
      </c>
      <c r="P133" s="25">
        <f>IF(ISNUMBER($O133),$O133,ROUND(Lookups!$B$25+Lookups!$B$24*$N133,4))</f>
        <v>0.2273</v>
      </c>
      <c r="Q133" s="25">
        <f>IF($C133&gt;0,INDEX(Merge_1_2!$L$2:$L$611,$C133),INDEX(Dataset3_Raw!$L$2:$L$391,$E133))</f>
        <v>0.51</v>
      </c>
      <c r="R133" s="25">
        <f>IF($C133&gt;0,INDEX(Merge_1_2!$M$2:$M$611,$C133),INDEX(Dataset3_Raw!$M$2:$M$391,$E133))</f>
        <v>0.16420000000000001</v>
      </c>
      <c r="S133" s="23">
        <f>IF($C133&gt;0,INDEX(Merge_1_2!$N$2:$N$611,$C133),INDEX(Dataset3_Raw!$N$2:$N$391,$E133))</f>
        <v>9</v>
      </c>
      <c r="T133" s="23">
        <f>IF($C133&gt;0,INDEX(Merge_1_2!$O$2:$O$611,$C133),INDEX(Dataset3_Raw!$O$2:$O$391,$E133))</f>
        <v>163</v>
      </c>
      <c r="U133" s="23">
        <f>IF($C133&gt;0,INDEX(Merge_1_2!$P$2:$P$611,$C133),INDEX(Dataset3_Raw!$P$2:$P$391,$E133))</f>
        <v>172</v>
      </c>
      <c r="V133" s="23" t="str">
        <f t="shared" si="13"/>
        <v>Weekday</v>
      </c>
      <c r="W133" s="23" t="str">
        <f>VLOOKUP($M133,Lookups!$A$5:$B$8,2,FALSE())</f>
        <v>Clear / Partly cloudy</v>
      </c>
      <c r="X133" s="23" t="str">
        <f>VLOOKUP($G133,Lookups!$D$5:$E$8,2,FALSE())</f>
        <v>Winter</v>
      </c>
      <c r="Y133" s="23" t="str">
        <f>VLOOKUP($L133,Lookups!$G$5:$H$11,2,FALSE())</f>
        <v>Thursday</v>
      </c>
      <c r="Z133" s="23" t="str">
        <f>IF($J133&lt;Lookups!$B$26,"Night",IF($J133&lt;Lookups!$B$27,"Morning",IF($J133&lt;Lookups!$B$28,"Afternoon","Evening")))</f>
        <v>Afternoon</v>
      </c>
      <c r="AA133" s="26">
        <f>ROUND($N133*(Lookups!$B$16-Lookups!$B$15)+Lookups!$B$15,1)</f>
        <v>2.2999999999999998</v>
      </c>
      <c r="AB133" s="26">
        <f>ROUND($P133*(Lookups!$B$18-Lookups!$B$17)+Lookups!$B$17,1)</f>
        <v>-1</v>
      </c>
      <c r="AC133" s="23">
        <f t="shared" si="14"/>
        <v>51</v>
      </c>
      <c r="AD133" s="23">
        <f>ROUND($R133*Lookups!$B$19,1)</f>
        <v>11</v>
      </c>
      <c r="AE133" s="27">
        <f t="shared" si="15"/>
        <v>0.94767441860465118</v>
      </c>
      <c r="AF133" s="23" t="str">
        <f>IF($U133&gt;=Lookups!$B$23,"High",IF($U133&gt;=Lookups!$B$22,"Medium","Low"))</f>
        <v>High</v>
      </c>
      <c r="AG133" s="23">
        <f>ROUND(IF($V133="Weekday",IF(INDEX(Hourly_Analysis!$D$5:$D$28,$J133+1)&gt;0,($U133-INDEX(Hourly_Analysis!$C$5:$C$28,$J133+1))/INDEX(Hourly_Analysis!$D$5:$D$28,$J133+1),0),IF(INDEX(Hourly_Analysis!$G$5:$G$28,$J133+1)&gt;0,($U133-INDEX(Hourly_Analysis!$F$5:$F$28,$J133+1))/INDEX(Hourly_Analysis!$G$5:$G$28,$J133+1),0)),2)</f>
        <v>0.08</v>
      </c>
      <c r="AH133" s="23" t="str">
        <f>IF(ABS($AG133)&gt;Lookups!$B$20,IF($AG133&gt;0,"High anomaly","Low anomaly"),"")</f>
        <v/>
      </c>
      <c r="AI133" s="23" t="str">
        <f t="shared" si="16"/>
        <v>OK</v>
      </c>
      <c r="AJ133" s="23" t="str">
        <f t="shared" si="17"/>
        <v>No</v>
      </c>
    </row>
    <row r="134" spans="1:36" x14ac:dyDescent="0.35">
      <c r="A134" s="23">
        <v>133</v>
      </c>
      <c r="B134" s="23" t="str">
        <f t="shared" si="12"/>
        <v>Merge 1+2</v>
      </c>
      <c r="C134" s="23">
        <f>IFERROR(MATCH($A134,Merge_1_2!$A$2:$A$611,0),0)</f>
        <v>133</v>
      </c>
      <c r="D134" s="23">
        <f>IF($C134&gt;0,INDEX(Merge_1_2!$Q$2:$Q$611,$C134),0)</f>
        <v>133</v>
      </c>
      <c r="E134" s="23">
        <f>IFERROR(MATCH($A134,Dataset3_Raw!$A$2:$A$391,0),0)</f>
        <v>0</v>
      </c>
      <c r="F134" s="24">
        <f>IF($C134&gt;0,INDEX(Merge_1_2!$B$2:$B$611,$C134),DATE(VALUE(RIGHT(INDEX(Dataset3_Raw!$B$2:$B$391,$E134),4)),VALUE(MID(INDEX(Dataset3_Raw!$B$2:$B$391,$E134),4,2)),VALUE(LEFT(INDEX(Dataset3_Raw!$B$2:$B$391,$E134),2))))</f>
        <v>40549</v>
      </c>
      <c r="G134" s="23">
        <f>IF($C134&gt;0,INDEX(Merge_1_2!$C$2:$C$611,$C134),INDEX(Dataset3_Raw!$C$2:$C$391,$E134))</f>
        <v>1</v>
      </c>
      <c r="H134" s="23">
        <f>IF($C134&gt;0,INDEX(Merge_1_2!$D$2:$D$611,$C134),INDEX(Dataset3_Raw!$D$2:$D$391,$E134))</f>
        <v>0</v>
      </c>
      <c r="I134" s="23">
        <f>IF($C134&gt;0,INDEX(Merge_1_2!$E$2:$E$611,$C134),INDEX(Dataset3_Raw!$E$2:$E$391,$E134))</f>
        <v>1</v>
      </c>
      <c r="J134" s="23">
        <f>IF($C134&gt;0,INDEX(Merge_1_2!$F$2:$F$611,$C134),INDEX(Dataset3_Raw!$F$2:$F$391,$E134))</f>
        <v>18</v>
      </c>
      <c r="K134" s="23" t="b">
        <f>IF($C134&gt;0,INDEX(Merge_1_2!$G$2:$G$611,$C134),INDEX(Dataset3_Raw!$G$2:$G$391,$E134))</f>
        <v>0</v>
      </c>
      <c r="L134" s="23">
        <f>IF($C134&gt;0,INDEX(Merge_1_2!$H$2:$H$611,$C134),INDEX(Dataset3_Raw!$H$2:$H$391,$E134))</f>
        <v>4</v>
      </c>
      <c r="M134" s="23">
        <f>IF($C134&gt;0,INDEX(Merge_1_2!$I$2:$I$611,$C134),INDEX(Dataset3_Raw!$I$2:$I$391,$E134))</f>
        <v>1</v>
      </c>
      <c r="N134" s="25">
        <f>IF($C134&gt;0,INDEX(Merge_1_2!$J$2:$J$611,$C134),INDEX(Dataset3_Raw!$J$2:$J$391,$E134))</f>
        <v>0.22</v>
      </c>
      <c r="O134" s="25">
        <f>IF($C134&gt;0,IF(ISNUMBER(INDEX(Merge_1_2!$K$2:$K$611,$C134)),INDEX(Merge_1_2!$K$2:$K$611,$C134),""),INDEX(Dataset3_Raw!$K$2:$K$391,$E134))</f>
        <v>0.2273</v>
      </c>
      <c r="P134" s="25">
        <f>IF(ISNUMBER($O134),$O134,ROUND(Lookups!$B$25+Lookups!$B$24*$N134,4))</f>
        <v>0.2273</v>
      </c>
      <c r="Q134" s="25">
        <f>IF($C134&gt;0,INDEX(Merge_1_2!$L$2:$L$611,$C134),INDEX(Dataset3_Raw!$L$2:$L$391,$E134))</f>
        <v>0.51</v>
      </c>
      <c r="R134" s="25">
        <f>IF($C134&gt;0,INDEX(Merge_1_2!$M$2:$M$611,$C134),INDEX(Dataset3_Raw!$M$2:$M$391,$E134))</f>
        <v>0.1343</v>
      </c>
      <c r="S134" s="23">
        <f>IF($C134&gt;0,INDEX(Merge_1_2!$N$2:$N$611,$C134),INDEX(Dataset3_Raw!$N$2:$N$391,$E134))</f>
        <v>5</v>
      </c>
      <c r="T134" s="23">
        <f>IF($C134&gt;0,INDEX(Merge_1_2!$O$2:$O$611,$C134),INDEX(Dataset3_Raw!$O$2:$O$391,$E134))</f>
        <v>158</v>
      </c>
      <c r="U134" s="23">
        <f>IF($C134&gt;0,INDEX(Merge_1_2!$P$2:$P$611,$C134),INDEX(Dataset3_Raw!$P$2:$P$391,$E134))</f>
        <v>163</v>
      </c>
      <c r="V134" s="23" t="str">
        <f t="shared" si="13"/>
        <v>Weekday</v>
      </c>
      <c r="W134" s="23" t="str">
        <f>VLOOKUP($M134,Lookups!$A$5:$B$8,2,FALSE())</f>
        <v>Clear / Partly cloudy</v>
      </c>
      <c r="X134" s="23" t="str">
        <f>VLOOKUP($G134,Lookups!$D$5:$E$8,2,FALSE())</f>
        <v>Winter</v>
      </c>
      <c r="Y134" s="23" t="str">
        <f>VLOOKUP($L134,Lookups!$G$5:$H$11,2,FALSE())</f>
        <v>Thursday</v>
      </c>
      <c r="Z134" s="23" t="str">
        <f>IF($J134&lt;Lookups!$B$26,"Night",IF($J134&lt;Lookups!$B$27,"Morning",IF($J134&lt;Lookups!$B$28,"Afternoon","Evening")))</f>
        <v>Evening</v>
      </c>
      <c r="AA134" s="26">
        <f>ROUND($N134*(Lookups!$B$16-Lookups!$B$15)+Lookups!$B$15,1)</f>
        <v>2.2999999999999998</v>
      </c>
      <c r="AB134" s="26">
        <f>ROUND($P134*(Lookups!$B$18-Lookups!$B$17)+Lookups!$B$17,1)</f>
        <v>-1</v>
      </c>
      <c r="AC134" s="23">
        <f t="shared" si="14"/>
        <v>51</v>
      </c>
      <c r="AD134" s="23">
        <f>ROUND($R134*Lookups!$B$19,1)</f>
        <v>9</v>
      </c>
      <c r="AE134" s="27">
        <f t="shared" si="15"/>
        <v>0.96932515337423308</v>
      </c>
      <c r="AF134" s="23" t="str">
        <f>IF($U134&gt;=Lookups!$B$23,"High",IF($U134&gt;=Lookups!$B$22,"Medium","Low"))</f>
        <v>High</v>
      </c>
      <c r="AG134" s="23">
        <f>ROUND(IF($V134="Weekday",IF(INDEX(Hourly_Analysis!$D$5:$D$28,$J134+1)&gt;0,($U134-INDEX(Hourly_Analysis!$C$5:$C$28,$J134+1))/INDEX(Hourly_Analysis!$D$5:$D$28,$J134+1),0),IF(INDEX(Hourly_Analysis!$G$5:$G$28,$J134+1)&gt;0,($U134-INDEX(Hourly_Analysis!$F$5:$F$28,$J134+1))/INDEX(Hourly_Analysis!$G$5:$G$28,$J134+1),0)),2)</f>
        <v>0.35</v>
      </c>
      <c r="AH134" s="23" t="str">
        <f>IF(ABS($AG134)&gt;Lookups!$B$20,IF($AG134&gt;0,"High anomaly","Low anomaly"),"")</f>
        <v/>
      </c>
      <c r="AI134" s="23" t="str">
        <f t="shared" si="16"/>
        <v>OK</v>
      </c>
      <c r="AJ134" s="23" t="str">
        <f t="shared" si="17"/>
        <v>No</v>
      </c>
    </row>
    <row r="135" spans="1:36" x14ac:dyDescent="0.35">
      <c r="A135" s="23">
        <v>134</v>
      </c>
      <c r="B135" s="23" t="str">
        <f t="shared" si="12"/>
        <v>Merge 1+2</v>
      </c>
      <c r="C135" s="23">
        <f>IFERROR(MATCH($A135,Merge_1_2!$A$2:$A$611,0),0)</f>
        <v>134</v>
      </c>
      <c r="D135" s="23">
        <f>IF($C135&gt;0,INDEX(Merge_1_2!$Q$2:$Q$611,$C135),0)</f>
        <v>134</v>
      </c>
      <c r="E135" s="23">
        <f>IFERROR(MATCH($A135,Dataset3_Raw!$A$2:$A$391,0),0)</f>
        <v>0</v>
      </c>
      <c r="F135" s="24">
        <f>IF($C135&gt;0,INDEX(Merge_1_2!$B$2:$B$611,$C135),DATE(VALUE(RIGHT(INDEX(Dataset3_Raw!$B$2:$B$391,$E135),4)),VALUE(MID(INDEX(Dataset3_Raw!$B$2:$B$391,$E135),4,2)),VALUE(LEFT(INDEX(Dataset3_Raw!$B$2:$B$391,$E135),2))))</f>
        <v>40549</v>
      </c>
      <c r="G135" s="23">
        <f>IF($C135&gt;0,INDEX(Merge_1_2!$C$2:$C$611,$C135),INDEX(Dataset3_Raw!$C$2:$C$391,$E135))</f>
        <v>1</v>
      </c>
      <c r="H135" s="23">
        <f>IF($C135&gt;0,INDEX(Merge_1_2!$D$2:$D$611,$C135),INDEX(Dataset3_Raw!$D$2:$D$391,$E135))</f>
        <v>0</v>
      </c>
      <c r="I135" s="23">
        <f>IF($C135&gt;0,INDEX(Merge_1_2!$E$2:$E$611,$C135),INDEX(Dataset3_Raw!$E$2:$E$391,$E135))</f>
        <v>1</v>
      </c>
      <c r="J135" s="23">
        <f>IF($C135&gt;0,INDEX(Merge_1_2!$F$2:$F$611,$C135),INDEX(Dataset3_Raw!$F$2:$F$391,$E135))</f>
        <v>19</v>
      </c>
      <c r="K135" s="23" t="b">
        <f>IF($C135&gt;0,INDEX(Merge_1_2!$G$2:$G$611,$C135),INDEX(Dataset3_Raw!$G$2:$G$391,$E135))</f>
        <v>0</v>
      </c>
      <c r="L135" s="23">
        <f>IF($C135&gt;0,INDEX(Merge_1_2!$H$2:$H$611,$C135),INDEX(Dataset3_Raw!$H$2:$H$391,$E135))</f>
        <v>4</v>
      </c>
      <c r="M135" s="23">
        <f>IF($C135&gt;0,INDEX(Merge_1_2!$I$2:$I$611,$C135),INDEX(Dataset3_Raw!$I$2:$I$391,$E135))</f>
        <v>1</v>
      </c>
      <c r="N135" s="25">
        <f>IF($C135&gt;0,INDEX(Merge_1_2!$J$2:$J$611,$C135),INDEX(Dataset3_Raw!$J$2:$J$391,$E135))</f>
        <v>0.22</v>
      </c>
      <c r="O135" s="25">
        <f>IF($C135&gt;0,IF(ISNUMBER(INDEX(Merge_1_2!$K$2:$K$611,$C135)),INDEX(Merge_1_2!$K$2:$K$611,$C135),""),INDEX(Dataset3_Raw!$K$2:$K$391,$E135))</f>
        <v>0.2576</v>
      </c>
      <c r="P135" s="25">
        <f>IF(ISNUMBER($O135),$O135,ROUND(Lookups!$B$25+Lookups!$B$24*$N135,4))</f>
        <v>0.2576</v>
      </c>
      <c r="Q135" s="25">
        <f>IF($C135&gt;0,INDEX(Merge_1_2!$L$2:$L$611,$C135),INDEX(Dataset3_Raw!$L$2:$L$391,$E135))</f>
        <v>0.55000000000000004</v>
      </c>
      <c r="R135" s="25">
        <f>IF($C135&gt;0,INDEX(Merge_1_2!$M$2:$M$611,$C135),INDEX(Dataset3_Raw!$M$2:$M$391,$E135))</f>
        <v>8.9599999999999999E-2</v>
      </c>
      <c r="S135" s="23">
        <f>IF($C135&gt;0,INDEX(Merge_1_2!$N$2:$N$611,$C135),INDEX(Dataset3_Raw!$N$2:$N$391,$E135))</f>
        <v>3</v>
      </c>
      <c r="T135" s="23">
        <f>IF($C135&gt;0,INDEX(Merge_1_2!$O$2:$O$611,$C135),INDEX(Dataset3_Raw!$O$2:$O$391,$E135))</f>
        <v>109</v>
      </c>
      <c r="U135" s="23">
        <f>IF($C135&gt;0,INDEX(Merge_1_2!$P$2:$P$611,$C135),INDEX(Dataset3_Raw!$P$2:$P$391,$E135))</f>
        <v>112</v>
      </c>
      <c r="V135" s="23" t="str">
        <f t="shared" si="13"/>
        <v>Weekday</v>
      </c>
      <c r="W135" s="23" t="str">
        <f>VLOOKUP($M135,Lookups!$A$5:$B$8,2,FALSE())</f>
        <v>Clear / Partly cloudy</v>
      </c>
      <c r="X135" s="23" t="str">
        <f>VLOOKUP($G135,Lookups!$D$5:$E$8,2,FALSE())</f>
        <v>Winter</v>
      </c>
      <c r="Y135" s="23" t="str">
        <f>VLOOKUP($L135,Lookups!$G$5:$H$11,2,FALSE())</f>
        <v>Thursday</v>
      </c>
      <c r="Z135" s="23" t="str">
        <f>IF($J135&lt;Lookups!$B$26,"Night",IF($J135&lt;Lookups!$B$27,"Morning",IF($J135&lt;Lookups!$B$28,"Afternoon","Evening")))</f>
        <v>Evening</v>
      </c>
      <c r="AA135" s="26">
        <f>ROUND($N135*(Lookups!$B$16-Lookups!$B$15)+Lookups!$B$15,1)</f>
        <v>2.2999999999999998</v>
      </c>
      <c r="AB135" s="26">
        <f>ROUND($P135*(Lookups!$B$18-Lookups!$B$17)+Lookups!$B$17,1)</f>
        <v>1</v>
      </c>
      <c r="AC135" s="23">
        <f t="shared" si="14"/>
        <v>55</v>
      </c>
      <c r="AD135" s="23">
        <f>ROUND($R135*Lookups!$B$19,1)</f>
        <v>6</v>
      </c>
      <c r="AE135" s="27">
        <f t="shared" si="15"/>
        <v>0.9732142857142857</v>
      </c>
      <c r="AF135" s="23" t="str">
        <f>IF($U135&gt;=Lookups!$B$23,"High",IF($U135&gt;=Lookups!$B$22,"Medium","Low"))</f>
        <v>High</v>
      </c>
      <c r="AG135" s="23">
        <f>ROUND(IF($V135="Weekday",IF(INDEX(Hourly_Analysis!$D$5:$D$28,$J135+1)&gt;0,($U135-INDEX(Hourly_Analysis!$C$5:$C$28,$J135+1))/INDEX(Hourly_Analysis!$D$5:$D$28,$J135+1),0),IF(INDEX(Hourly_Analysis!$G$5:$G$28,$J135+1)&gt;0,($U135-INDEX(Hourly_Analysis!$F$5:$F$28,$J135+1))/INDEX(Hourly_Analysis!$G$5:$G$28,$J135+1),0)),2)</f>
        <v>0.42</v>
      </c>
      <c r="AH135" s="23" t="str">
        <f>IF(ABS($AG135)&gt;Lookups!$B$20,IF($AG135&gt;0,"High anomaly","Low anomaly"),"")</f>
        <v/>
      </c>
      <c r="AI135" s="23" t="str">
        <f t="shared" si="16"/>
        <v>OK</v>
      </c>
      <c r="AJ135" s="23" t="str">
        <f t="shared" si="17"/>
        <v>No</v>
      </c>
    </row>
    <row r="136" spans="1:36" x14ac:dyDescent="0.35">
      <c r="A136" s="23">
        <v>135</v>
      </c>
      <c r="B136" s="23" t="str">
        <f t="shared" si="12"/>
        <v>Merge 1+2</v>
      </c>
      <c r="C136" s="23">
        <f>IFERROR(MATCH($A136,Merge_1_2!$A$2:$A$611,0),0)</f>
        <v>135</v>
      </c>
      <c r="D136" s="23">
        <f>IF($C136&gt;0,INDEX(Merge_1_2!$Q$2:$Q$611,$C136),0)</f>
        <v>135</v>
      </c>
      <c r="E136" s="23">
        <f>IFERROR(MATCH($A136,Dataset3_Raw!$A$2:$A$391,0),0)</f>
        <v>0</v>
      </c>
      <c r="F136" s="24">
        <f>IF($C136&gt;0,INDEX(Merge_1_2!$B$2:$B$611,$C136),DATE(VALUE(RIGHT(INDEX(Dataset3_Raw!$B$2:$B$391,$E136),4)),VALUE(MID(INDEX(Dataset3_Raw!$B$2:$B$391,$E136),4,2)),VALUE(LEFT(INDEX(Dataset3_Raw!$B$2:$B$391,$E136),2))))</f>
        <v>40549</v>
      </c>
      <c r="G136" s="23">
        <f>IF($C136&gt;0,INDEX(Merge_1_2!$C$2:$C$611,$C136),INDEX(Dataset3_Raw!$C$2:$C$391,$E136))</f>
        <v>1</v>
      </c>
      <c r="H136" s="23">
        <f>IF($C136&gt;0,INDEX(Merge_1_2!$D$2:$D$611,$C136),INDEX(Dataset3_Raw!$D$2:$D$391,$E136))</f>
        <v>0</v>
      </c>
      <c r="I136" s="23">
        <f>IF($C136&gt;0,INDEX(Merge_1_2!$E$2:$E$611,$C136),INDEX(Dataset3_Raw!$E$2:$E$391,$E136))</f>
        <v>1</v>
      </c>
      <c r="J136" s="23">
        <f>IF($C136&gt;0,INDEX(Merge_1_2!$F$2:$F$611,$C136),INDEX(Dataset3_Raw!$F$2:$F$391,$E136))</f>
        <v>20</v>
      </c>
      <c r="K136" s="23" t="b">
        <f>IF($C136&gt;0,INDEX(Merge_1_2!$G$2:$G$611,$C136),INDEX(Dataset3_Raw!$G$2:$G$391,$E136))</f>
        <v>0</v>
      </c>
      <c r="L136" s="23">
        <f>IF($C136&gt;0,INDEX(Merge_1_2!$H$2:$H$611,$C136),INDEX(Dataset3_Raw!$H$2:$H$391,$E136))</f>
        <v>4</v>
      </c>
      <c r="M136" s="23">
        <f>IF($C136&gt;0,INDEX(Merge_1_2!$I$2:$I$611,$C136),INDEX(Dataset3_Raw!$I$2:$I$391,$E136))</f>
        <v>1</v>
      </c>
      <c r="N136" s="25">
        <f>IF($C136&gt;0,INDEX(Merge_1_2!$J$2:$J$611,$C136),INDEX(Dataset3_Raw!$J$2:$J$391,$E136))</f>
        <v>0.2</v>
      </c>
      <c r="O136" s="25">
        <f>IF($C136&gt;0,IF(ISNUMBER(INDEX(Merge_1_2!$K$2:$K$611,$C136)),INDEX(Merge_1_2!$K$2:$K$611,$C136),""),INDEX(Dataset3_Raw!$K$2:$K$391,$E136))</f>
        <v>0.21210000000000001</v>
      </c>
      <c r="P136" s="25">
        <f>IF(ISNUMBER($O136),$O136,ROUND(Lookups!$B$25+Lookups!$B$24*$N136,4))</f>
        <v>0.21210000000000001</v>
      </c>
      <c r="Q136" s="25">
        <f>IF($C136&gt;0,INDEX(Merge_1_2!$L$2:$L$611,$C136),INDEX(Dataset3_Raw!$L$2:$L$391,$E136))</f>
        <v>0.51</v>
      </c>
      <c r="R136" s="25">
        <f>IF($C136&gt;0,INDEX(Merge_1_2!$M$2:$M$611,$C136),INDEX(Dataset3_Raw!$M$2:$M$391,$E136))</f>
        <v>0.16420000000000001</v>
      </c>
      <c r="S136" s="23">
        <f>IF($C136&gt;0,INDEX(Merge_1_2!$N$2:$N$611,$C136),INDEX(Dataset3_Raw!$N$2:$N$391,$E136))</f>
        <v>3</v>
      </c>
      <c r="T136" s="23">
        <f>IF($C136&gt;0,INDEX(Merge_1_2!$O$2:$O$611,$C136),INDEX(Dataset3_Raw!$O$2:$O$391,$E136))</f>
        <v>66</v>
      </c>
      <c r="U136" s="23">
        <f>IF($C136&gt;0,INDEX(Merge_1_2!$P$2:$P$611,$C136),INDEX(Dataset3_Raw!$P$2:$P$391,$E136))</f>
        <v>69</v>
      </c>
      <c r="V136" s="23" t="str">
        <f t="shared" si="13"/>
        <v>Weekday</v>
      </c>
      <c r="W136" s="23" t="str">
        <f>VLOOKUP($M136,Lookups!$A$5:$B$8,2,FALSE())</f>
        <v>Clear / Partly cloudy</v>
      </c>
      <c r="X136" s="23" t="str">
        <f>VLOOKUP($G136,Lookups!$D$5:$E$8,2,FALSE())</f>
        <v>Winter</v>
      </c>
      <c r="Y136" s="23" t="str">
        <f>VLOOKUP($L136,Lookups!$G$5:$H$11,2,FALSE())</f>
        <v>Thursday</v>
      </c>
      <c r="Z136" s="23" t="str">
        <f>IF($J136&lt;Lookups!$B$26,"Night",IF($J136&lt;Lookups!$B$27,"Morning",IF($J136&lt;Lookups!$B$28,"Afternoon","Evening")))</f>
        <v>Evening</v>
      </c>
      <c r="AA136" s="26">
        <f>ROUND($N136*(Lookups!$B$16-Lookups!$B$15)+Lookups!$B$15,1)</f>
        <v>1.4</v>
      </c>
      <c r="AB136" s="26">
        <f>ROUND($P136*(Lookups!$B$18-Lookups!$B$17)+Lookups!$B$17,1)</f>
        <v>-2</v>
      </c>
      <c r="AC136" s="23">
        <f t="shared" si="14"/>
        <v>51</v>
      </c>
      <c r="AD136" s="23">
        <f>ROUND($R136*Lookups!$B$19,1)</f>
        <v>11</v>
      </c>
      <c r="AE136" s="27">
        <f t="shared" si="15"/>
        <v>0.95652173913043481</v>
      </c>
      <c r="AF136" s="23" t="str">
        <f>IF($U136&gt;=Lookups!$B$23,"High",IF($U136&gt;=Lookups!$B$22,"Medium","Low"))</f>
        <v>Medium</v>
      </c>
      <c r="AG136" s="23">
        <f>ROUND(IF($V136="Weekday",IF(INDEX(Hourly_Analysis!$D$5:$D$28,$J136+1)&gt;0,($U136-INDEX(Hourly_Analysis!$C$5:$C$28,$J136+1))/INDEX(Hourly_Analysis!$D$5:$D$28,$J136+1),0),IF(INDEX(Hourly_Analysis!$G$5:$G$28,$J136+1)&gt;0,($U136-INDEX(Hourly_Analysis!$F$5:$F$28,$J136+1))/INDEX(Hourly_Analysis!$G$5:$G$28,$J136+1),0)),2)</f>
        <v>-0.22</v>
      </c>
      <c r="AH136" s="23" t="str">
        <f>IF(ABS($AG136)&gt;Lookups!$B$20,IF($AG136&gt;0,"High anomaly","Low anomaly"),"")</f>
        <v/>
      </c>
      <c r="AI136" s="23" t="str">
        <f t="shared" si="16"/>
        <v>OK</v>
      </c>
      <c r="AJ136" s="23" t="str">
        <f t="shared" si="17"/>
        <v>No</v>
      </c>
    </row>
    <row r="137" spans="1:36" x14ac:dyDescent="0.35">
      <c r="A137" s="23">
        <v>136</v>
      </c>
      <c r="B137" s="23" t="str">
        <f t="shared" si="12"/>
        <v>Merge 1+2</v>
      </c>
      <c r="C137" s="23">
        <f>IFERROR(MATCH($A137,Merge_1_2!$A$2:$A$611,0),0)</f>
        <v>136</v>
      </c>
      <c r="D137" s="23">
        <f>IF($C137&gt;0,INDEX(Merge_1_2!$Q$2:$Q$611,$C137),0)</f>
        <v>136</v>
      </c>
      <c r="E137" s="23">
        <f>IFERROR(MATCH($A137,Dataset3_Raw!$A$2:$A$391,0),0)</f>
        <v>0</v>
      </c>
      <c r="F137" s="24">
        <f>IF($C137&gt;0,INDEX(Merge_1_2!$B$2:$B$611,$C137),DATE(VALUE(RIGHT(INDEX(Dataset3_Raw!$B$2:$B$391,$E137),4)),VALUE(MID(INDEX(Dataset3_Raw!$B$2:$B$391,$E137),4,2)),VALUE(LEFT(INDEX(Dataset3_Raw!$B$2:$B$391,$E137),2))))</f>
        <v>40549</v>
      </c>
      <c r="G137" s="23">
        <f>IF($C137&gt;0,INDEX(Merge_1_2!$C$2:$C$611,$C137),INDEX(Dataset3_Raw!$C$2:$C$391,$E137))</f>
        <v>1</v>
      </c>
      <c r="H137" s="23">
        <f>IF($C137&gt;0,INDEX(Merge_1_2!$D$2:$D$611,$C137),INDEX(Dataset3_Raw!$D$2:$D$391,$E137))</f>
        <v>0</v>
      </c>
      <c r="I137" s="23">
        <f>IF($C137&gt;0,INDEX(Merge_1_2!$E$2:$E$611,$C137),INDEX(Dataset3_Raw!$E$2:$E$391,$E137))</f>
        <v>1</v>
      </c>
      <c r="J137" s="23">
        <f>IF($C137&gt;0,INDEX(Merge_1_2!$F$2:$F$611,$C137),INDEX(Dataset3_Raw!$F$2:$F$391,$E137))</f>
        <v>21</v>
      </c>
      <c r="K137" s="23" t="b">
        <f>IF($C137&gt;0,INDEX(Merge_1_2!$G$2:$G$611,$C137),INDEX(Dataset3_Raw!$G$2:$G$391,$E137))</f>
        <v>0</v>
      </c>
      <c r="L137" s="23">
        <f>IF($C137&gt;0,INDEX(Merge_1_2!$H$2:$H$611,$C137),INDEX(Dataset3_Raw!$H$2:$H$391,$E137))</f>
        <v>4</v>
      </c>
      <c r="M137" s="23">
        <f>IF($C137&gt;0,INDEX(Merge_1_2!$I$2:$I$611,$C137),INDEX(Dataset3_Raw!$I$2:$I$391,$E137))</f>
        <v>2</v>
      </c>
      <c r="N137" s="25">
        <f>IF($C137&gt;0,INDEX(Merge_1_2!$J$2:$J$611,$C137),INDEX(Dataset3_Raw!$J$2:$J$391,$E137))</f>
        <v>0.22</v>
      </c>
      <c r="O137" s="25">
        <f>IF($C137&gt;0,IF(ISNUMBER(INDEX(Merge_1_2!$K$2:$K$611,$C137)),INDEX(Merge_1_2!$K$2:$K$611,$C137),""),INDEX(Dataset3_Raw!$K$2:$K$391,$E137))</f>
        <v>0.21210000000000001</v>
      </c>
      <c r="P137" s="25">
        <f>IF(ISNUMBER($O137),$O137,ROUND(Lookups!$B$25+Lookups!$B$24*$N137,4))</f>
        <v>0.21210000000000001</v>
      </c>
      <c r="Q137" s="25">
        <f>IF($C137&gt;0,INDEX(Merge_1_2!$L$2:$L$611,$C137),INDEX(Dataset3_Raw!$L$2:$L$391,$E137))</f>
        <v>0.55000000000000004</v>
      </c>
      <c r="R137" s="25">
        <f>IF($C137&gt;0,INDEX(Merge_1_2!$M$2:$M$611,$C137),INDEX(Dataset3_Raw!$M$2:$M$391,$E137))</f>
        <v>0.22389999999999999</v>
      </c>
      <c r="S137" s="23">
        <f>IF($C137&gt;0,INDEX(Merge_1_2!$N$2:$N$611,$C137),INDEX(Dataset3_Raw!$N$2:$N$391,$E137))</f>
        <v>0</v>
      </c>
      <c r="T137" s="23">
        <f>IF($C137&gt;0,INDEX(Merge_1_2!$O$2:$O$611,$C137),INDEX(Dataset3_Raw!$O$2:$O$391,$E137))</f>
        <v>48</v>
      </c>
      <c r="U137" s="23">
        <f>IF($C137&gt;0,INDEX(Merge_1_2!$P$2:$P$611,$C137),INDEX(Dataset3_Raw!$P$2:$P$391,$E137))</f>
        <v>48</v>
      </c>
      <c r="V137" s="23" t="str">
        <f t="shared" si="13"/>
        <v>Weekday</v>
      </c>
      <c r="W137" s="23" t="str">
        <f>VLOOKUP($M137,Lookups!$A$5:$B$8,2,FALSE())</f>
        <v>Mist / Cloudy</v>
      </c>
      <c r="X137" s="23" t="str">
        <f>VLOOKUP($G137,Lookups!$D$5:$E$8,2,FALSE())</f>
        <v>Winter</v>
      </c>
      <c r="Y137" s="23" t="str">
        <f>VLOOKUP($L137,Lookups!$G$5:$H$11,2,FALSE())</f>
        <v>Thursday</v>
      </c>
      <c r="Z137" s="23" t="str">
        <f>IF($J137&lt;Lookups!$B$26,"Night",IF($J137&lt;Lookups!$B$27,"Morning",IF($J137&lt;Lookups!$B$28,"Afternoon","Evening")))</f>
        <v>Evening</v>
      </c>
      <c r="AA137" s="26">
        <f>ROUND($N137*(Lookups!$B$16-Lookups!$B$15)+Lookups!$B$15,1)</f>
        <v>2.2999999999999998</v>
      </c>
      <c r="AB137" s="26">
        <f>ROUND($P137*(Lookups!$B$18-Lookups!$B$17)+Lookups!$B$17,1)</f>
        <v>-2</v>
      </c>
      <c r="AC137" s="23">
        <f t="shared" si="14"/>
        <v>55</v>
      </c>
      <c r="AD137" s="23">
        <f>ROUND($R137*Lookups!$B$19,1)</f>
        <v>15</v>
      </c>
      <c r="AE137" s="27">
        <f t="shared" si="15"/>
        <v>1</v>
      </c>
      <c r="AF137" s="23" t="str">
        <f>IF($U137&gt;=Lookups!$B$23,"High",IF($U137&gt;=Lookups!$B$22,"Medium","Low"))</f>
        <v>Medium</v>
      </c>
      <c r="AG137" s="23">
        <f>ROUND(IF($V137="Weekday",IF(INDEX(Hourly_Analysis!$D$5:$D$28,$J137+1)&gt;0,($U137-INDEX(Hourly_Analysis!$C$5:$C$28,$J137+1))/INDEX(Hourly_Analysis!$D$5:$D$28,$J137+1),0),IF(INDEX(Hourly_Analysis!$G$5:$G$28,$J137+1)&gt;0,($U137-INDEX(Hourly_Analysis!$F$5:$F$28,$J137+1))/INDEX(Hourly_Analysis!$G$5:$G$28,$J137+1),0)),2)</f>
        <v>-0.28000000000000003</v>
      </c>
      <c r="AH137" s="23" t="str">
        <f>IF(ABS($AG137)&gt;Lookups!$B$20,IF($AG137&gt;0,"High anomaly","Low anomaly"),"")</f>
        <v/>
      </c>
      <c r="AI137" s="23" t="str">
        <f t="shared" si="16"/>
        <v>OK</v>
      </c>
      <c r="AJ137" s="23" t="str">
        <f t="shared" si="17"/>
        <v>No</v>
      </c>
    </row>
    <row r="138" spans="1:36" x14ac:dyDescent="0.35">
      <c r="A138" s="23">
        <v>137</v>
      </c>
      <c r="B138" s="23" t="str">
        <f t="shared" si="12"/>
        <v>Merge 1+2</v>
      </c>
      <c r="C138" s="23">
        <f>IFERROR(MATCH($A138,Merge_1_2!$A$2:$A$611,0),0)</f>
        <v>137</v>
      </c>
      <c r="D138" s="23">
        <f>IF($C138&gt;0,INDEX(Merge_1_2!$Q$2:$Q$611,$C138),0)</f>
        <v>137</v>
      </c>
      <c r="E138" s="23">
        <f>IFERROR(MATCH($A138,Dataset3_Raw!$A$2:$A$391,0),0)</f>
        <v>0</v>
      </c>
      <c r="F138" s="24">
        <f>IF($C138&gt;0,INDEX(Merge_1_2!$B$2:$B$611,$C138),DATE(VALUE(RIGHT(INDEX(Dataset3_Raw!$B$2:$B$391,$E138),4)),VALUE(MID(INDEX(Dataset3_Raw!$B$2:$B$391,$E138),4,2)),VALUE(LEFT(INDEX(Dataset3_Raw!$B$2:$B$391,$E138),2))))</f>
        <v>40549</v>
      </c>
      <c r="G138" s="23">
        <f>IF($C138&gt;0,INDEX(Merge_1_2!$C$2:$C$611,$C138),INDEX(Dataset3_Raw!$C$2:$C$391,$E138))</f>
        <v>1</v>
      </c>
      <c r="H138" s="23">
        <f>IF($C138&gt;0,INDEX(Merge_1_2!$D$2:$D$611,$C138),INDEX(Dataset3_Raw!$D$2:$D$391,$E138))</f>
        <v>0</v>
      </c>
      <c r="I138" s="23">
        <f>IF($C138&gt;0,INDEX(Merge_1_2!$E$2:$E$611,$C138),INDEX(Dataset3_Raw!$E$2:$E$391,$E138))</f>
        <v>1</v>
      </c>
      <c r="J138" s="23">
        <f>IF($C138&gt;0,INDEX(Merge_1_2!$F$2:$F$611,$C138),INDEX(Dataset3_Raw!$F$2:$F$391,$E138))</f>
        <v>22</v>
      </c>
      <c r="K138" s="23" t="b">
        <f>IF($C138&gt;0,INDEX(Merge_1_2!$G$2:$G$611,$C138),INDEX(Dataset3_Raw!$G$2:$G$391,$E138))</f>
        <v>0</v>
      </c>
      <c r="L138" s="23">
        <f>IF($C138&gt;0,INDEX(Merge_1_2!$H$2:$H$611,$C138),INDEX(Dataset3_Raw!$H$2:$H$391,$E138))</f>
        <v>4</v>
      </c>
      <c r="M138" s="23">
        <f>IF($C138&gt;0,INDEX(Merge_1_2!$I$2:$I$611,$C138),INDEX(Dataset3_Raw!$I$2:$I$391,$E138))</f>
        <v>2</v>
      </c>
      <c r="N138" s="25">
        <f>IF($C138&gt;0,INDEX(Merge_1_2!$J$2:$J$611,$C138),INDEX(Dataset3_Raw!$J$2:$J$391,$E138))</f>
        <v>0.22</v>
      </c>
      <c r="O138" s="25">
        <f>IF($C138&gt;0,IF(ISNUMBER(INDEX(Merge_1_2!$K$2:$K$611,$C138)),INDEX(Merge_1_2!$K$2:$K$611,$C138),""),INDEX(Dataset3_Raw!$K$2:$K$391,$E138))</f>
        <v>0.21210000000000001</v>
      </c>
      <c r="P138" s="25">
        <f>IF(ISNUMBER($O138),$O138,ROUND(Lookups!$B$25+Lookups!$B$24*$N138,4))</f>
        <v>0.21210000000000001</v>
      </c>
      <c r="Q138" s="25">
        <f>IF($C138&gt;0,INDEX(Merge_1_2!$L$2:$L$611,$C138),INDEX(Dataset3_Raw!$L$2:$L$391,$E138))</f>
        <v>0.51</v>
      </c>
      <c r="R138" s="25">
        <f>IF($C138&gt;0,INDEX(Merge_1_2!$M$2:$M$611,$C138),INDEX(Dataset3_Raw!$M$2:$M$391,$E138))</f>
        <v>0.28360000000000002</v>
      </c>
      <c r="S138" s="23">
        <f>IF($C138&gt;0,INDEX(Merge_1_2!$N$2:$N$611,$C138),INDEX(Dataset3_Raw!$N$2:$N$391,$E138))</f>
        <v>1</v>
      </c>
      <c r="T138" s="23">
        <f>IF($C138&gt;0,INDEX(Merge_1_2!$O$2:$O$611,$C138),INDEX(Dataset3_Raw!$O$2:$O$391,$E138))</f>
        <v>51</v>
      </c>
      <c r="U138" s="23">
        <f>IF($C138&gt;0,INDEX(Merge_1_2!$P$2:$P$611,$C138),INDEX(Dataset3_Raw!$P$2:$P$391,$E138))</f>
        <v>52</v>
      </c>
      <c r="V138" s="23" t="str">
        <f t="shared" si="13"/>
        <v>Weekday</v>
      </c>
      <c r="W138" s="23" t="str">
        <f>VLOOKUP($M138,Lookups!$A$5:$B$8,2,FALSE())</f>
        <v>Mist / Cloudy</v>
      </c>
      <c r="X138" s="23" t="str">
        <f>VLOOKUP($G138,Lookups!$D$5:$E$8,2,FALSE())</f>
        <v>Winter</v>
      </c>
      <c r="Y138" s="23" t="str">
        <f>VLOOKUP($L138,Lookups!$G$5:$H$11,2,FALSE())</f>
        <v>Thursday</v>
      </c>
      <c r="Z138" s="23" t="str">
        <f>IF($J138&lt;Lookups!$B$26,"Night",IF($J138&lt;Lookups!$B$27,"Morning",IF($J138&lt;Lookups!$B$28,"Afternoon","Evening")))</f>
        <v>Evening</v>
      </c>
      <c r="AA138" s="26">
        <f>ROUND($N138*(Lookups!$B$16-Lookups!$B$15)+Lookups!$B$15,1)</f>
        <v>2.2999999999999998</v>
      </c>
      <c r="AB138" s="26">
        <f>ROUND($P138*(Lookups!$B$18-Lookups!$B$17)+Lookups!$B$17,1)</f>
        <v>-2</v>
      </c>
      <c r="AC138" s="23">
        <f t="shared" si="14"/>
        <v>51</v>
      </c>
      <c r="AD138" s="23">
        <f>ROUND($R138*Lookups!$B$19,1)</f>
        <v>19</v>
      </c>
      <c r="AE138" s="27">
        <f t="shared" si="15"/>
        <v>0.98076923076923073</v>
      </c>
      <c r="AF138" s="23" t="str">
        <f>IF($U138&gt;=Lookups!$B$23,"High",IF($U138&gt;=Lookups!$B$22,"Medium","Low"))</f>
        <v>Medium</v>
      </c>
      <c r="AG138" s="23">
        <f>ROUND(IF($V138="Weekday",IF(INDEX(Hourly_Analysis!$D$5:$D$28,$J138+1)&gt;0,($U138-INDEX(Hourly_Analysis!$C$5:$C$28,$J138+1))/INDEX(Hourly_Analysis!$D$5:$D$28,$J138+1),0),IF(INDEX(Hourly_Analysis!$G$5:$G$28,$J138+1)&gt;0,($U138-INDEX(Hourly_Analysis!$F$5:$F$28,$J138+1))/INDEX(Hourly_Analysis!$G$5:$G$28,$J138+1),0)),2)</f>
        <v>1.41</v>
      </c>
      <c r="AH138" s="23" t="str">
        <f>IF(ABS($AG138)&gt;Lookups!$B$20,IF($AG138&gt;0,"High anomaly","Low anomaly"),"")</f>
        <v/>
      </c>
      <c r="AI138" s="23" t="str">
        <f t="shared" si="16"/>
        <v>OK</v>
      </c>
      <c r="AJ138" s="23" t="str">
        <f t="shared" si="17"/>
        <v>No</v>
      </c>
    </row>
    <row r="139" spans="1:36" x14ac:dyDescent="0.35">
      <c r="A139" s="23">
        <v>138</v>
      </c>
      <c r="B139" s="23" t="str">
        <f t="shared" si="12"/>
        <v>Merge 1+2</v>
      </c>
      <c r="C139" s="23">
        <f>IFERROR(MATCH($A139,Merge_1_2!$A$2:$A$611,0),0)</f>
        <v>138</v>
      </c>
      <c r="D139" s="23">
        <f>IF($C139&gt;0,INDEX(Merge_1_2!$Q$2:$Q$611,$C139),0)</f>
        <v>138</v>
      </c>
      <c r="E139" s="23">
        <f>IFERROR(MATCH($A139,Dataset3_Raw!$A$2:$A$391,0),0)</f>
        <v>0</v>
      </c>
      <c r="F139" s="24">
        <f>IF($C139&gt;0,INDEX(Merge_1_2!$B$2:$B$611,$C139),DATE(VALUE(RIGHT(INDEX(Dataset3_Raw!$B$2:$B$391,$E139),4)),VALUE(MID(INDEX(Dataset3_Raw!$B$2:$B$391,$E139),4,2)),VALUE(LEFT(INDEX(Dataset3_Raw!$B$2:$B$391,$E139),2))))</f>
        <v>40549</v>
      </c>
      <c r="G139" s="23">
        <f>IF($C139&gt;0,INDEX(Merge_1_2!$C$2:$C$611,$C139),INDEX(Dataset3_Raw!$C$2:$C$391,$E139))</f>
        <v>1</v>
      </c>
      <c r="H139" s="23">
        <f>IF($C139&gt;0,INDEX(Merge_1_2!$D$2:$D$611,$C139),INDEX(Dataset3_Raw!$D$2:$D$391,$E139))</f>
        <v>0</v>
      </c>
      <c r="I139" s="23">
        <f>IF($C139&gt;0,INDEX(Merge_1_2!$E$2:$E$611,$C139),INDEX(Dataset3_Raw!$E$2:$E$391,$E139))</f>
        <v>1</v>
      </c>
      <c r="J139" s="23">
        <f>IF($C139&gt;0,INDEX(Merge_1_2!$F$2:$F$611,$C139),INDEX(Dataset3_Raw!$F$2:$F$391,$E139))</f>
        <v>23</v>
      </c>
      <c r="K139" s="23" t="b">
        <f>IF($C139&gt;0,INDEX(Merge_1_2!$G$2:$G$611,$C139),INDEX(Dataset3_Raw!$G$2:$G$391,$E139))</f>
        <v>0</v>
      </c>
      <c r="L139" s="23">
        <f>IF($C139&gt;0,INDEX(Merge_1_2!$H$2:$H$611,$C139),INDEX(Dataset3_Raw!$H$2:$H$391,$E139))</f>
        <v>4</v>
      </c>
      <c r="M139" s="23">
        <f>IF($C139&gt;0,INDEX(Merge_1_2!$I$2:$I$611,$C139),INDEX(Dataset3_Raw!$I$2:$I$391,$E139))</f>
        <v>2</v>
      </c>
      <c r="N139" s="25">
        <f>IF($C139&gt;0,INDEX(Merge_1_2!$J$2:$J$611,$C139),INDEX(Dataset3_Raw!$J$2:$J$391,$E139))</f>
        <v>0.2</v>
      </c>
      <c r="O139" s="25">
        <f>IF($C139&gt;0,IF(ISNUMBER(INDEX(Merge_1_2!$K$2:$K$611,$C139)),INDEX(Merge_1_2!$K$2:$K$611,$C139),""),INDEX(Dataset3_Raw!$K$2:$K$391,$E139))</f>
        <v>0.19700000000000001</v>
      </c>
      <c r="P139" s="25">
        <f>IF(ISNUMBER($O139),$O139,ROUND(Lookups!$B$25+Lookups!$B$24*$N139,4))</f>
        <v>0.19700000000000001</v>
      </c>
      <c r="Q139" s="25">
        <f>IF($C139&gt;0,INDEX(Merge_1_2!$L$2:$L$611,$C139),INDEX(Dataset3_Raw!$L$2:$L$391,$E139))</f>
        <v>0.59</v>
      </c>
      <c r="R139" s="25">
        <f>IF($C139&gt;0,INDEX(Merge_1_2!$M$2:$M$611,$C139),INDEX(Dataset3_Raw!$M$2:$M$391,$E139))</f>
        <v>0.19400000000000001</v>
      </c>
      <c r="S139" s="23">
        <f>IF($C139&gt;0,INDEX(Merge_1_2!$N$2:$N$611,$C139),INDEX(Dataset3_Raw!$N$2:$N$391,$E139))</f>
        <v>4</v>
      </c>
      <c r="T139" s="23">
        <f>IF($C139&gt;0,INDEX(Merge_1_2!$O$2:$O$611,$C139),INDEX(Dataset3_Raw!$O$2:$O$391,$E139))</f>
        <v>19</v>
      </c>
      <c r="U139" s="23">
        <f>IF($C139&gt;0,INDEX(Merge_1_2!$P$2:$P$611,$C139),INDEX(Dataset3_Raw!$P$2:$P$391,$E139))</f>
        <v>23</v>
      </c>
      <c r="V139" s="23" t="str">
        <f t="shared" si="13"/>
        <v>Weekday</v>
      </c>
      <c r="W139" s="23" t="str">
        <f>VLOOKUP($M139,Lookups!$A$5:$B$8,2,FALSE())</f>
        <v>Mist / Cloudy</v>
      </c>
      <c r="X139" s="23" t="str">
        <f>VLOOKUP($G139,Lookups!$D$5:$E$8,2,FALSE())</f>
        <v>Winter</v>
      </c>
      <c r="Y139" s="23" t="str">
        <f>VLOOKUP($L139,Lookups!$G$5:$H$11,2,FALSE())</f>
        <v>Thursday</v>
      </c>
      <c r="Z139" s="23" t="str">
        <f>IF($J139&lt;Lookups!$B$26,"Night",IF($J139&lt;Lookups!$B$27,"Morning",IF($J139&lt;Lookups!$B$28,"Afternoon","Evening")))</f>
        <v>Evening</v>
      </c>
      <c r="AA139" s="26">
        <f>ROUND($N139*(Lookups!$B$16-Lookups!$B$15)+Lookups!$B$15,1)</f>
        <v>1.4</v>
      </c>
      <c r="AB139" s="26">
        <f>ROUND($P139*(Lookups!$B$18-Lookups!$B$17)+Lookups!$B$17,1)</f>
        <v>-3</v>
      </c>
      <c r="AC139" s="23">
        <f t="shared" si="14"/>
        <v>59</v>
      </c>
      <c r="AD139" s="23">
        <f>ROUND($R139*Lookups!$B$19,1)</f>
        <v>13</v>
      </c>
      <c r="AE139" s="27">
        <f t="shared" si="15"/>
        <v>0.82608695652173914</v>
      </c>
      <c r="AF139" s="23" t="str">
        <f>IF($U139&gt;=Lookups!$B$23,"High",IF($U139&gt;=Lookups!$B$22,"Medium","Low"))</f>
        <v>Medium</v>
      </c>
      <c r="AG139" s="23">
        <f>ROUND(IF($V139="Weekday",IF(INDEX(Hourly_Analysis!$D$5:$D$28,$J139+1)&gt;0,($U139-INDEX(Hourly_Analysis!$C$5:$C$28,$J139+1))/INDEX(Hourly_Analysis!$D$5:$D$28,$J139+1),0),IF(INDEX(Hourly_Analysis!$G$5:$G$28,$J139+1)&gt;0,($U139-INDEX(Hourly_Analysis!$F$5:$F$28,$J139+1))/INDEX(Hourly_Analysis!$G$5:$G$28,$J139+1),0)),2)</f>
        <v>-0.14000000000000001</v>
      </c>
      <c r="AH139" s="23" t="str">
        <f>IF(ABS($AG139)&gt;Lookups!$B$20,IF($AG139&gt;0,"High anomaly","Low anomaly"),"")</f>
        <v/>
      </c>
      <c r="AI139" s="23" t="str">
        <f t="shared" si="16"/>
        <v>OK</v>
      </c>
      <c r="AJ139" s="23" t="str">
        <f t="shared" si="17"/>
        <v>No</v>
      </c>
    </row>
    <row r="140" spans="1:36" x14ac:dyDescent="0.35">
      <c r="A140" s="23">
        <v>139</v>
      </c>
      <c r="B140" s="23" t="str">
        <f t="shared" si="12"/>
        <v>Merge 1+2</v>
      </c>
      <c r="C140" s="23">
        <f>IFERROR(MATCH($A140,Merge_1_2!$A$2:$A$611,0),0)</f>
        <v>139</v>
      </c>
      <c r="D140" s="23">
        <f>IF($C140&gt;0,INDEX(Merge_1_2!$Q$2:$Q$611,$C140),0)</f>
        <v>139</v>
      </c>
      <c r="E140" s="23">
        <f>IFERROR(MATCH($A140,Dataset3_Raw!$A$2:$A$391,0),0)</f>
        <v>0</v>
      </c>
      <c r="F140" s="24">
        <f>IF($C140&gt;0,INDEX(Merge_1_2!$B$2:$B$611,$C140),DATE(VALUE(RIGHT(INDEX(Dataset3_Raw!$B$2:$B$391,$E140),4)),VALUE(MID(INDEX(Dataset3_Raw!$B$2:$B$391,$E140),4,2)),VALUE(LEFT(INDEX(Dataset3_Raw!$B$2:$B$391,$E140),2))))</f>
        <v>40550</v>
      </c>
      <c r="G140" s="23">
        <f>IF($C140&gt;0,INDEX(Merge_1_2!$C$2:$C$611,$C140),INDEX(Dataset3_Raw!$C$2:$C$391,$E140))</f>
        <v>1</v>
      </c>
      <c r="H140" s="23">
        <f>IF($C140&gt;0,INDEX(Merge_1_2!$D$2:$D$611,$C140),INDEX(Dataset3_Raw!$D$2:$D$391,$E140))</f>
        <v>0</v>
      </c>
      <c r="I140" s="23">
        <f>IF($C140&gt;0,INDEX(Merge_1_2!$E$2:$E$611,$C140),INDEX(Dataset3_Raw!$E$2:$E$391,$E140))</f>
        <v>1</v>
      </c>
      <c r="J140" s="23">
        <f>IF($C140&gt;0,INDEX(Merge_1_2!$F$2:$F$611,$C140),INDEX(Dataset3_Raw!$F$2:$F$391,$E140))</f>
        <v>0</v>
      </c>
      <c r="K140" s="23" t="b">
        <f>IF($C140&gt;0,INDEX(Merge_1_2!$G$2:$G$611,$C140),INDEX(Dataset3_Raw!$G$2:$G$391,$E140))</f>
        <v>0</v>
      </c>
      <c r="L140" s="23">
        <f>IF($C140&gt;0,INDEX(Merge_1_2!$H$2:$H$611,$C140),INDEX(Dataset3_Raw!$H$2:$H$391,$E140))</f>
        <v>5</v>
      </c>
      <c r="M140" s="23">
        <f>IF($C140&gt;0,INDEX(Merge_1_2!$I$2:$I$611,$C140),INDEX(Dataset3_Raw!$I$2:$I$391,$E140))</f>
        <v>2</v>
      </c>
      <c r="N140" s="25">
        <f>IF($C140&gt;0,INDEX(Merge_1_2!$J$2:$J$611,$C140),INDEX(Dataset3_Raw!$J$2:$J$391,$E140))</f>
        <v>0.2</v>
      </c>
      <c r="O140" s="25">
        <f>IF($C140&gt;0,IF(ISNUMBER(INDEX(Merge_1_2!$K$2:$K$611,$C140)),INDEX(Merge_1_2!$K$2:$K$611,$C140),""),INDEX(Dataset3_Raw!$K$2:$K$391,$E140))</f>
        <v>0.19700000000000001</v>
      </c>
      <c r="P140" s="25">
        <f>IF(ISNUMBER($O140),$O140,ROUND(Lookups!$B$25+Lookups!$B$24*$N140,4))</f>
        <v>0.19700000000000001</v>
      </c>
      <c r="Q140" s="25">
        <f>IF($C140&gt;0,INDEX(Merge_1_2!$L$2:$L$611,$C140),INDEX(Dataset3_Raw!$L$2:$L$391,$E140))</f>
        <v>0.64</v>
      </c>
      <c r="R140" s="25">
        <f>IF($C140&gt;0,INDEX(Merge_1_2!$M$2:$M$611,$C140),INDEX(Dataset3_Raw!$M$2:$M$391,$E140))</f>
        <v>0.19400000000000001</v>
      </c>
      <c r="S140" s="23">
        <f>IF($C140&gt;0,INDEX(Merge_1_2!$N$2:$N$611,$C140),INDEX(Dataset3_Raw!$N$2:$N$391,$E140))</f>
        <v>4</v>
      </c>
      <c r="T140" s="23">
        <f>IF($C140&gt;0,INDEX(Merge_1_2!$O$2:$O$611,$C140),INDEX(Dataset3_Raw!$O$2:$O$391,$E140))</f>
        <v>13</v>
      </c>
      <c r="U140" s="23">
        <f>IF($C140&gt;0,INDEX(Merge_1_2!$P$2:$P$611,$C140),INDEX(Dataset3_Raw!$P$2:$P$391,$E140))</f>
        <v>17</v>
      </c>
      <c r="V140" s="23" t="str">
        <f t="shared" si="13"/>
        <v>Weekday</v>
      </c>
      <c r="W140" s="23" t="str">
        <f>VLOOKUP($M140,Lookups!$A$5:$B$8,2,FALSE())</f>
        <v>Mist / Cloudy</v>
      </c>
      <c r="X140" s="23" t="str">
        <f>VLOOKUP($G140,Lookups!$D$5:$E$8,2,FALSE())</f>
        <v>Winter</v>
      </c>
      <c r="Y140" s="23" t="str">
        <f>VLOOKUP($L140,Lookups!$G$5:$H$11,2,FALSE())</f>
        <v>Friday</v>
      </c>
      <c r="Z140" s="23" t="str">
        <f>IF($J140&lt;Lookups!$B$26,"Night",IF($J140&lt;Lookups!$B$27,"Morning",IF($J140&lt;Lookups!$B$28,"Afternoon","Evening")))</f>
        <v>Night</v>
      </c>
      <c r="AA140" s="26">
        <f>ROUND($N140*(Lookups!$B$16-Lookups!$B$15)+Lookups!$B$15,1)</f>
        <v>1.4</v>
      </c>
      <c r="AB140" s="26">
        <f>ROUND($P140*(Lookups!$B$18-Lookups!$B$17)+Lookups!$B$17,1)</f>
        <v>-3</v>
      </c>
      <c r="AC140" s="23">
        <f t="shared" si="14"/>
        <v>64</v>
      </c>
      <c r="AD140" s="23">
        <f>ROUND($R140*Lookups!$B$19,1)</f>
        <v>13</v>
      </c>
      <c r="AE140" s="27">
        <f t="shared" si="15"/>
        <v>0.76470588235294112</v>
      </c>
      <c r="AF140" s="23" t="str">
        <f>IF($U140&gt;=Lookups!$B$23,"High",IF($U140&gt;=Lookups!$B$22,"Medium","Low"))</f>
        <v>Medium</v>
      </c>
      <c r="AG140" s="23">
        <f>ROUND(IF($V140="Weekday",IF(INDEX(Hourly_Analysis!$D$5:$D$28,$J140+1)&gt;0,($U140-INDEX(Hourly_Analysis!$C$5:$C$28,$J140+1))/INDEX(Hourly_Analysis!$D$5:$D$28,$J140+1),0),IF(INDEX(Hourly_Analysis!$G$5:$G$28,$J140+1)&gt;0,($U140-INDEX(Hourly_Analysis!$F$5:$F$28,$J140+1))/INDEX(Hourly_Analysis!$G$5:$G$28,$J140+1),0)),2)</f>
        <v>1.35</v>
      </c>
      <c r="AH140" s="23" t="str">
        <f>IF(ABS($AG140)&gt;Lookups!$B$20,IF($AG140&gt;0,"High anomaly","Low anomaly"),"")</f>
        <v/>
      </c>
      <c r="AI140" s="23" t="str">
        <f t="shared" si="16"/>
        <v>OK</v>
      </c>
      <c r="AJ140" s="23" t="str">
        <f t="shared" si="17"/>
        <v>No</v>
      </c>
    </row>
    <row r="141" spans="1:36" x14ac:dyDescent="0.35">
      <c r="A141" s="23">
        <v>140</v>
      </c>
      <c r="B141" s="23" t="str">
        <f t="shared" si="12"/>
        <v>Merge 1+2</v>
      </c>
      <c r="C141" s="23">
        <f>IFERROR(MATCH($A141,Merge_1_2!$A$2:$A$611,0),0)</f>
        <v>140</v>
      </c>
      <c r="D141" s="23">
        <f>IF($C141&gt;0,INDEX(Merge_1_2!$Q$2:$Q$611,$C141),0)</f>
        <v>140</v>
      </c>
      <c r="E141" s="23">
        <f>IFERROR(MATCH($A141,Dataset3_Raw!$A$2:$A$391,0),0)</f>
        <v>0</v>
      </c>
      <c r="F141" s="24">
        <f>IF($C141&gt;0,INDEX(Merge_1_2!$B$2:$B$611,$C141),DATE(VALUE(RIGHT(INDEX(Dataset3_Raw!$B$2:$B$391,$E141),4)),VALUE(MID(INDEX(Dataset3_Raw!$B$2:$B$391,$E141),4,2)),VALUE(LEFT(INDEX(Dataset3_Raw!$B$2:$B$391,$E141),2))))</f>
        <v>40550</v>
      </c>
      <c r="G141" s="23">
        <f>IF($C141&gt;0,INDEX(Merge_1_2!$C$2:$C$611,$C141),INDEX(Dataset3_Raw!$C$2:$C$391,$E141))</f>
        <v>1</v>
      </c>
      <c r="H141" s="23">
        <f>IF($C141&gt;0,INDEX(Merge_1_2!$D$2:$D$611,$C141),INDEX(Dataset3_Raw!$D$2:$D$391,$E141))</f>
        <v>0</v>
      </c>
      <c r="I141" s="23">
        <f>IF($C141&gt;0,INDEX(Merge_1_2!$E$2:$E$611,$C141),INDEX(Dataset3_Raw!$E$2:$E$391,$E141))</f>
        <v>1</v>
      </c>
      <c r="J141" s="23">
        <f>IF($C141&gt;0,INDEX(Merge_1_2!$F$2:$F$611,$C141),INDEX(Dataset3_Raw!$F$2:$F$391,$E141))</f>
        <v>1</v>
      </c>
      <c r="K141" s="23" t="b">
        <f>IF($C141&gt;0,INDEX(Merge_1_2!$G$2:$G$611,$C141),INDEX(Dataset3_Raw!$G$2:$G$391,$E141))</f>
        <v>0</v>
      </c>
      <c r="L141" s="23">
        <f>IF($C141&gt;0,INDEX(Merge_1_2!$H$2:$H$611,$C141),INDEX(Dataset3_Raw!$H$2:$H$391,$E141))</f>
        <v>5</v>
      </c>
      <c r="M141" s="23">
        <f>IF($C141&gt;0,INDEX(Merge_1_2!$I$2:$I$611,$C141),INDEX(Dataset3_Raw!$I$2:$I$391,$E141))</f>
        <v>2</v>
      </c>
      <c r="N141" s="25">
        <f>IF($C141&gt;0,INDEX(Merge_1_2!$J$2:$J$611,$C141),INDEX(Dataset3_Raw!$J$2:$J$391,$E141))</f>
        <v>0.2</v>
      </c>
      <c r="O141" s="25">
        <f>IF($C141&gt;0,IF(ISNUMBER(INDEX(Merge_1_2!$K$2:$K$611,$C141)),INDEX(Merge_1_2!$K$2:$K$611,$C141),""),INDEX(Dataset3_Raw!$K$2:$K$391,$E141))</f>
        <v>0.19700000000000001</v>
      </c>
      <c r="P141" s="25">
        <f>IF(ISNUMBER($O141),$O141,ROUND(Lookups!$B$25+Lookups!$B$24*$N141,4))</f>
        <v>0.19700000000000001</v>
      </c>
      <c r="Q141" s="25">
        <f>IF($C141&gt;0,INDEX(Merge_1_2!$L$2:$L$611,$C141),INDEX(Dataset3_Raw!$L$2:$L$391,$E141))</f>
        <v>0.69</v>
      </c>
      <c r="R141" s="25">
        <f>IF($C141&gt;0,INDEX(Merge_1_2!$M$2:$M$611,$C141),INDEX(Dataset3_Raw!$M$2:$M$391,$E141))</f>
        <v>0.22389999999999999</v>
      </c>
      <c r="S141" s="23">
        <f>IF($C141&gt;0,INDEX(Merge_1_2!$N$2:$N$611,$C141),INDEX(Dataset3_Raw!$N$2:$N$391,$E141))</f>
        <v>2</v>
      </c>
      <c r="T141" s="23">
        <f>IF($C141&gt;0,INDEX(Merge_1_2!$O$2:$O$611,$C141),INDEX(Dataset3_Raw!$O$2:$O$391,$E141))</f>
        <v>5</v>
      </c>
      <c r="U141" s="23">
        <f>IF($C141&gt;0,INDEX(Merge_1_2!$P$2:$P$611,$C141),INDEX(Dataset3_Raw!$P$2:$P$391,$E141))</f>
        <v>7</v>
      </c>
      <c r="V141" s="23" t="str">
        <f t="shared" si="13"/>
        <v>Weekday</v>
      </c>
      <c r="W141" s="23" t="str">
        <f>VLOOKUP($M141,Lookups!$A$5:$B$8,2,FALSE())</f>
        <v>Mist / Cloudy</v>
      </c>
      <c r="X141" s="23" t="str">
        <f>VLOOKUP($G141,Lookups!$D$5:$E$8,2,FALSE())</f>
        <v>Winter</v>
      </c>
      <c r="Y141" s="23" t="str">
        <f>VLOOKUP($L141,Lookups!$G$5:$H$11,2,FALSE())</f>
        <v>Friday</v>
      </c>
      <c r="Z141" s="23" t="str">
        <f>IF($J141&lt;Lookups!$B$26,"Night",IF($J141&lt;Lookups!$B$27,"Morning",IF($J141&lt;Lookups!$B$28,"Afternoon","Evening")))</f>
        <v>Night</v>
      </c>
      <c r="AA141" s="26">
        <f>ROUND($N141*(Lookups!$B$16-Lookups!$B$15)+Lookups!$B$15,1)</f>
        <v>1.4</v>
      </c>
      <c r="AB141" s="26">
        <f>ROUND($P141*(Lookups!$B$18-Lookups!$B$17)+Lookups!$B$17,1)</f>
        <v>-3</v>
      </c>
      <c r="AC141" s="23">
        <f t="shared" si="14"/>
        <v>69</v>
      </c>
      <c r="AD141" s="23">
        <f>ROUND($R141*Lookups!$B$19,1)</f>
        <v>15</v>
      </c>
      <c r="AE141" s="27">
        <f t="shared" si="15"/>
        <v>0.7142857142857143</v>
      </c>
      <c r="AF141" s="23" t="str">
        <f>IF($U141&gt;=Lookups!$B$23,"High",IF($U141&gt;=Lookups!$B$22,"Medium","Low"))</f>
        <v>Low</v>
      </c>
      <c r="AG141" s="23">
        <f>ROUND(IF($V141="Weekday",IF(INDEX(Hourly_Analysis!$D$5:$D$28,$J141+1)&gt;0,($U141-INDEX(Hourly_Analysis!$C$5:$C$28,$J141+1))/INDEX(Hourly_Analysis!$D$5:$D$28,$J141+1),0),IF(INDEX(Hourly_Analysis!$G$5:$G$28,$J141+1)&gt;0,($U141-INDEX(Hourly_Analysis!$F$5:$F$28,$J141+1))/INDEX(Hourly_Analysis!$G$5:$G$28,$J141+1),0)),2)</f>
        <v>1.1299999999999999</v>
      </c>
      <c r="AH141" s="23" t="str">
        <f>IF(ABS($AG141)&gt;Lookups!$B$20,IF($AG141&gt;0,"High anomaly","Low anomaly"),"")</f>
        <v/>
      </c>
      <c r="AI141" s="23" t="str">
        <f t="shared" si="16"/>
        <v>OK</v>
      </c>
      <c r="AJ141" s="23" t="str">
        <f t="shared" si="17"/>
        <v>No</v>
      </c>
    </row>
    <row r="142" spans="1:36" x14ac:dyDescent="0.35">
      <c r="A142" s="23">
        <v>141</v>
      </c>
      <c r="B142" s="23" t="str">
        <f t="shared" si="12"/>
        <v>Merge 1+2</v>
      </c>
      <c r="C142" s="23">
        <f>IFERROR(MATCH($A142,Merge_1_2!$A$2:$A$611,0),0)</f>
        <v>141</v>
      </c>
      <c r="D142" s="23">
        <f>IF($C142&gt;0,INDEX(Merge_1_2!$Q$2:$Q$611,$C142),0)</f>
        <v>141</v>
      </c>
      <c r="E142" s="23">
        <f>IFERROR(MATCH($A142,Dataset3_Raw!$A$2:$A$391,0),0)</f>
        <v>0</v>
      </c>
      <c r="F142" s="24">
        <f>IF($C142&gt;0,INDEX(Merge_1_2!$B$2:$B$611,$C142),DATE(VALUE(RIGHT(INDEX(Dataset3_Raw!$B$2:$B$391,$E142),4)),VALUE(MID(INDEX(Dataset3_Raw!$B$2:$B$391,$E142),4,2)),VALUE(LEFT(INDEX(Dataset3_Raw!$B$2:$B$391,$E142),2))))</f>
        <v>40550</v>
      </c>
      <c r="G142" s="23">
        <f>IF($C142&gt;0,INDEX(Merge_1_2!$C$2:$C$611,$C142),INDEX(Dataset3_Raw!$C$2:$C$391,$E142))</f>
        <v>1</v>
      </c>
      <c r="H142" s="23">
        <f>IF($C142&gt;0,INDEX(Merge_1_2!$D$2:$D$611,$C142),INDEX(Dataset3_Raw!$D$2:$D$391,$E142))</f>
        <v>0</v>
      </c>
      <c r="I142" s="23">
        <f>IF($C142&gt;0,INDEX(Merge_1_2!$E$2:$E$611,$C142),INDEX(Dataset3_Raw!$E$2:$E$391,$E142))</f>
        <v>1</v>
      </c>
      <c r="J142" s="23">
        <f>IF($C142&gt;0,INDEX(Merge_1_2!$F$2:$F$611,$C142),INDEX(Dataset3_Raw!$F$2:$F$391,$E142))</f>
        <v>2</v>
      </c>
      <c r="K142" s="23" t="b">
        <f>IF($C142&gt;0,INDEX(Merge_1_2!$G$2:$G$611,$C142),INDEX(Dataset3_Raw!$G$2:$G$391,$E142))</f>
        <v>0</v>
      </c>
      <c r="L142" s="23">
        <f>IF($C142&gt;0,INDEX(Merge_1_2!$H$2:$H$611,$C142),INDEX(Dataset3_Raw!$H$2:$H$391,$E142))</f>
        <v>5</v>
      </c>
      <c r="M142" s="23">
        <f>IF($C142&gt;0,INDEX(Merge_1_2!$I$2:$I$611,$C142),INDEX(Dataset3_Raw!$I$2:$I$391,$E142))</f>
        <v>2</v>
      </c>
      <c r="N142" s="25">
        <f>IF($C142&gt;0,INDEX(Merge_1_2!$J$2:$J$611,$C142),INDEX(Dataset3_Raw!$J$2:$J$391,$E142))</f>
        <v>0.2</v>
      </c>
      <c r="O142" s="25">
        <f>IF($C142&gt;0,IF(ISNUMBER(INDEX(Merge_1_2!$K$2:$K$611,$C142)),INDEX(Merge_1_2!$K$2:$K$611,$C142),""),INDEX(Dataset3_Raw!$K$2:$K$391,$E142))</f>
        <v>0.19700000000000001</v>
      </c>
      <c r="P142" s="25">
        <f>IF(ISNUMBER($O142),$O142,ROUND(Lookups!$B$25+Lookups!$B$24*$N142,4))</f>
        <v>0.19700000000000001</v>
      </c>
      <c r="Q142" s="25">
        <f>IF($C142&gt;0,INDEX(Merge_1_2!$L$2:$L$611,$C142),INDEX(Dataset3_Raw!$L$2:$L$391,$E142))</f>
        <v>0.69</v>
      </c>
      <c r="R142" s="25">
        <f>IF($C142&gt;0,INDEX(Merge_1_2!$M$2:$M$611,$C142),INDEX(Dataset3_Raw!$M$2:$M$391,$E142))</f>
        <v>0.22389999999999999</v>
      </c>
      <c r="S142" s="23">
        <f>IF($C142&gt;0,INDEX(Merge_1_2!$N$2:$N$611,$C142),INDEX(Dataset3_Raw!$N$2:$N$391,$E142))</f>
        <v>0</v>
      </c>
      <c r="T142" s="23">
        <f>IF($C142&gt;0,INDEX(Merge_1_2!$O$2:$O$611,$C142),INDEX(Dataset3_Raw!$O$2:$O$391,$E142))</f>
        <v>1</v>
      </c>
      <c r="U142" s="23">
        <f>IF($C142&gt;0,INDEX(Merge_1_2!$P$2:$P$611,$C142),INDEX(Dataset3_Raw!$P$2:$P$391,$E142))</f>
        <v>1</v>
      </c>
      <c r="V142" s="23" t="str">
        <f t="shared" si="13"/>
        <v>Weekday</v>
      </c>
      <c r="W142" s="23" t="str">
        <f>VLOOKUP($M142,Lookups!$A$5:$B$8,2,FALSE())</f>
        <v>Mist / Cloudy</v>
      </c>
      <c r="X142" s="23" t="str">
        <f>VLOOKUP($G142,Lookups!$D$5:$E$8,2,FALSE())</f>
        <v>Winter</v>
      </c>
      <c r="Y142" s="23" t="str">
        <f>VLOOKUP($L142,Lookups!$G$5:$H$11,2,FALSE())</f>
        <v>Friday</v>
      </c>
      <c r="Z142" s="23" t="str">
        <f>IF($J142&lt;Lookups!$B$26,"Night",IF($J142&lt;Lookups!$B$27,"Morning",IF($J142&lt;Lookups!$B$28,"Afternoon","Evening")))</f>
        <v>Night</v>
      </c>
      <c r="AA142" s="26">
        <f>ROUND($N142*(Lookups!$B$16-Lookups!$B$15)+Lookups!$B$15,1)</f>
        <v>1.4</v>
      </c>
      <c r="AB142" s="26">
        <f>ROUND($P142*(Lookups!$B$18-Lookups!$B$17)+Lookups!$B$17,1)</f>
        <v>-3</v>
      </c>
      <c r="AC142" s="23">
        <f t="shared" si="14"/>
        <v>69</v>
      </c>
      <c r="AD142" s="23">
        <f>ROUND($R142*Lookups!$B$19,1)</f>
        <v>15</v>
      </c>
      <c r="AE142" s="27">
        <f t="shared" si="15"/>
        <v>1</v>
      </c>
      <c r="AF142" s="23" t="str">
        <f>IF($U142&gt;=Lookups!$B$23,"High",IF($U142&gt;=Lookups!$B$22,"Medium","Low"))</f>
        <v>Low</v>
      </c>
      <c r="AG142" s="23">
        <f>ROUND(IF($V142="Weekday",IF(INDEX(Hourly_Analysis!$D$5:$D$28,$J142+1)&gt;0,($U142-INDEX(Hourly_Analysis!$C$5:$C$28,$J142+1))/INDEX(Hourly_Analysis!$D$5:$D$28,$J142+1),0),IF(INDEX(Hourly_Analysis!$G$5:$G$28,$J142+1)&gt;0,($U142-INDEX(Hourly_Analysis!$F$5:$F$28,$J142+1))/INDEX(Hourly_Analysis!$G$5:$G$28,$J142+1),0)),2)</f>
        <v>-0.81</v>
      </c>
      <c r="AH142" s="23" t="str">
        <f>IF(ABS($AG142)&gt;Lookups!$B$20,IF($AG142&gt;0,"High anomaly","Low anomaly"),"")</f>
        <v/>
      </c>
      <c r="AI142" s="23" t="str">
        <f t="shared" si="16"/>
        <v>OK</v>
      </c>
      <c r="AJ142" s="23" t="str">
        <f t="shared" si="17"/>
        <v>No</v>
      </c>
    </row>
    <row r="143" spans="1:36" x14ac:dyDescent="0.35">
      <c r="A143" s="23">
        <v>142</v>
      </c>
      <c r="B143" s="23" t="str">
        <f t="shared" si="12"/>
        <v>Merge 1+2</v>
      </c>
      <c r="C143" s="23">
        <f>IFERROR(MATCH($A143,Merge_1_2!$A$2:$A$611,0),0)</f>
        <v>142</v>
      </c>
      <c r="D143" s="23">
        <f>IF($C143&gt;0,INDEX(Merge_1_2!$Q$2:$Q$611,$C143),0)</f>
        <v>142</v>
      </c>
      <c r="E143" s="23">
        <f>IFERROR(MATCH($A143,Dataset3_Raw!$A$2:$A$391,0),0)</f>
        <v>0</v>
      </c>
      <c r="F143" s="24">
        <f>IF($C143&gt;0,INDEX(Merge_1_2!$B$2:$B$611,$C143),DATE(VALUE(RIGHT(INDEX(Dataset3_Raw!$B$2:$B$391,$E143),4)),VALUE(MID(INDEX(Dataset3_Raw!$B$2:$B$391,$E143),4,2)),VALUE(LEFT(INDEX(Dataset3_Raw!$B$2:$B$391,$E143),2))))</f>
        <v>40550</v>
      </c>
      <c r="G143" s="23">
        <f>IF($C143&gt;0,INDEX(Merge_1_2!$C$2:$C$611,$C143),INDEX(Dataset3_Raw!$C$2:$C$391,$E143))</f>
        <v>1</v>
      </c>
      <c r="H143" s="23">
        <f>IF($C143&gt;0,INDEX(Merge_1_2!$D$2:$D$611,$C143),INDEX(Dataset3_Raw!$D$2:$D$391,$E143))</f>
        <v>0</v>
      </c>
      <c r="I143" s="23">
        <f>IF($C143&gt;0,INDEX(Merge_1_2!$E$2:$E$611,$C143),INDEX(Dataset3_Raw!$E$2:$E$391,$E143))</f>
        <v>1</v>
      </c>
      <c r="J143" s="23">
        <f>IF($C143&gt;0,INDEX(Merge_1_2!$F$2:$F$611,$C143),INDEX(Dataset3_Raw!$F$2:$F$391,$E143))</f>
        <v>4</v>
      </c>
      <c r="K143" s="23" t="b">
        <f>IF($C143&gt;0,INDEX(Merge_1_2!$G$2:$G$611,$C143),INDEX(Dataset3_Raw!$G$2:$G$391,$E143))</f>
        <v>0</v>
      </c>
      <c r="L143" s="23">
        <f>IF($C143&gt;0,INDEX(Merge_1_2!$H$2:$H$611,$C143),INDEX(Dataset3_Raw!$H$2:$H$391,$E143))</f>
        <v>5</v>
      </c>
      <c r="M143" s="23">
        <f>IF($C143&gt;0,INDEX(Merge_1_2!$I$2:$I$611,$C143),INDEX(Dataset3_Raw!$I$2:$I$391,$E143))</f>
        <v>2</v>
      </c>
      <c r="N143" s="25">
        <f>IF($C143&gt;0,INDEX(Merge_1_2!$J$2:$J$611,$C143),INDEX(Dataset3_Raw!$J$2:$J$391,$E143))</f>
        <v>0.2</v>
      </c>
      <c r="O143" s="25">
        <f>IF($C143&gt;0,IF(ISNUMBER(INDEX(Merge_1_2!$K$2:$K$611,$C143)),INDEX(Merge_1_2!$K$2:$K$611,$C143),""),INDEX(Dataset3_Raw!$K$2:$K$391,$E143))</f>
        <v>0.21210000000000001</v>
      </c>
      <c r="P143" s="25">
        <f>IF(ISNUMBER($O143),$O143,ROUND(Lookups!$B$25+Lookups!$B$24*$N143,4))</f>
        <v>0.21210000000000001</v>
      </c>
      <c r="Q143" s="25">
        <f>IF($C143&gt;0,INDEX(Merge_1_2!$L$2:$L$611,$C143),INDEX(Dataset3_Raw!$L$2:$L$391,$E143))</f>
        <v>0.69</v>
      </c>
      <c r="R143" s="25">
        <f>IF($C143&gt;0,INDEX(Merge_1_2!$M$2:$M$611,$C143),INDEX(Dataset3_Raw!$M$2:$M$391,$E143))</f>
        <v>0.1343</v>
      </c>
      <c r="S143" s="23">
        <f>IF($C143&gt;0,INDEX(Merge_1_2!$N$2:$N$611,$C143),INDEX(Dataset3_Raw!$N$2:$N$391,$E143))</f>
        <v>0</v>
      </c>
      <c r="T143" s="23">
        <f>IF($C143&gt;0,INDEX(Merge_1_2!$O$2:$O$611,$C143),INDEX(Dataset3_Raw!$O$2:$O$391,$E143))</f>
        <v>1</v>
      </c>
      <c r="U143" s="23">
        <f>IF($C143&gt;0,INDEX(Merge_1_2!$P$2:$P$611,$C143),INDEX(Dataset3_Raw!$P$2:$P$391,$E143))</f>
        <v>1</v>
      </c>
      <c r="V143" s="23" t="str">
        <f t="shared" si="13"/>
        <v>Weekday</v>
      </c>
      <c r="W143" s="23" t="str">
        <f>VLOOKUP($M143,Lookups!$A$5:$B$8,2,FALSE())</f>
        <v>Mist / Cloudy</v>
      </c>
      <c r="X143" s="23" t="str">
        <f>VLOOKUP($G143,Lookups!$D$5:$E$8,2,FALSE())</f>
        <v>Winter</v>
      </c>
      <c r="Y143" s="23" t="str">
        <f>VLOOKUP($L143,Lookups!$G$5:$H$11,2,FALSE())</f>
        <v>Friday</v>
      </c>
      <c r="Z143" s="23" t="str">
        <f>IF($J143&lt;Lookups!$B$26,"Night",IF($J143&lt;Lookups!$B$27,"Morning",IF($J143&lt;Lookups!$B$28,"Afternoon","Evening")))</f>
        <v>Night</v>
      </c>
      <c r="AA143" s="26">
        <f>ROUND($N143*(Lookups!$B$16-Lookups!$B$15)+Lookups!$B$15,1)</f>
        <v>1.4</v>
      </c>
      <c r="AB143" s="26">
        <f>ROUND($P143*(Lookups!$B$18-Lookups!$B$17)+Lookups!$B$17,1)</f>
        <v>-2</v>
      </c>
      <c r="AC143" s="23">
        <f t="shared" si="14"/>
        <v>69</v>
      </c>
      <c r="AD143" s="23">
        <f>ROUND($R143*Lookups!$B$19,1)</f>
        <v>9</v>
      </c>
      <c r="AE143" s="27">
        <f t="shared" si="15"/>
        <v>1</v>
      </c>
      <c r="AF143" s="23" t="str">
        <f>IF($U143&gt;=Lookups!$B$23,"High",IF($U143&gt;=Lookups!$B$22,"Medium","Low"))</f>
        <v>Low</v>
      </c>
      <c r="AG143" s="23">
        <f>ROUND(IF($V143="Weekday",IF(INDEX(Hourly_Analysis!$D$5:$D$28,$J143+1)&gt;0,($U143-INDEX(Hourly_Analysis!$C$5:$C$28,$J143+1))/INDEX(Hourly_Analysis!$D$5:$D$28,$J143+1),0),IF(INDEX(Hourly_Analysis!$G$5:$G$28,$J143+1)&gt;0,($U143-INDEX(Hourly_Analysis!$F$5:$F$28,$J143+1))/INDEX(Hourly_Analysis!$G$5:$G$28,$J143+1),0)),2)</f>
        <v>-0.81</v>
      </c>
      <c r="AH143" s="23" t="str">
        <f>IF(ABS($AG143)&gt;Lookups!$B$20,IF($AG143&gt;0,"High anomaly","Low anomaly"),"")</f>
        <v/>
      </c>
      <c r="AI143" s="23" t="str">
        <f t="shared" si="16"/>
        <v>OK</v>
      </c>
      <c r="AJ143" s="23" t="str">
        <f t="shared" si="17"/>
        <v>No</v>
      </c>
    </row>
    <row r="144" spans="1:36" x14ac:dyDescent="0.35">
      <c r="A144" s="23">
        <v>143</v>
      </c>
      <c r="B144" s="23" t="str">
        <f t="shared" si="12"/>
        <v>Merge 1+2</v>
      </c>
      <c r="C144" s="23">
        <f>IFERROR(MATCH($A144,Merge_1_2!$A$2:$A$611,0),0)</f>
        <v>143</v>
      </c>
      <c r="D144" s="23">
        <f>IF($C144&gt;0,INDEX(Merge_1_2!$Q$2:$Q$611,$C144),0)</f>
        <v>143</v>
      </c>
      <c r="E144" s="23">
        <f>IFERROR(MATCH($A144,Dataset3_Raw!$A$2:$A$391,0),0)</f>
        <v>0</v>
      </c>
      <c r="F144" s="24">
        <f>IF($C144&gt;0,INDEX(Merge_1_2!$B$2:$B$611,$C144),DATE(VALUE(RIGHT(INDEX(Dataset3_Raw!$B$2:$B$391,$E144),4)),VALUE(MID(INDEX(Dataset3_Raw!$B$2:$B$391,$E144),4,2)),VALUE(LEFT(INDEX(Dataset3_Raw!$B$2:$B$391,$E144),2))))</f>
        <v>40550</v>
      </c>
      <c r="G144" s="23">
        <f>IF($C144&gt;0,INDEX(Merge_1_2!$C$2:$C$611,$C144),INDEX(Dataset3_Raw!$C$2:$C$391,$E144))</f>
        <v>1</v>
      </c>
      <c r="H144" s="23">
        <f>IF($C144&gt;0,INDEX(Merge_1_2!$D$2:$D$611,$C144),INDEX(Dataset3_Raw!$D$2:$D$391,$E144))</f>
        <v>0</v>
      </c>
      <c r="I144" s="23">
        <f>IF($C144&gt;0,INDEX(Merge_1_2!$E$2:$E$611,$C144),INDEX(Dataset3_Raw!$E$2:$E$391,$E144))</f>
        <v>1</v>
      </c>
      <c r="J144" s="23">
        <f>IF($C144&gt;0,INDEX(Merge_1_2!$F$2:$F$611,$C144),INDEX(Dataset3_Raw!$F$2:$F$391,$E144))</f>
        <v>5</v>
      </c>
      <c r="K144" s="23" t="b">
        <f>IF($C144&gt;0,INDEX(Merge_1_2!$G$2:$G$611,$C144),INDEX(Dataset3_Raw!$G$2:$G$391,$E144))</f>
        <v>0</v>
      </c>
      <c r="L144" s="23">
        <f>IF($C144&gt;0,INDEX(Merge_1_2!$H$2:$H$611,$C144),INDEX(Dataset3_Raw!$H$2:$H$391,$E144))</f>
        <v>5</v>
      </c>
      <c r="M144" s="23">
        <f>IF($C144&gt;0,INDEX(Merge_1_2!$I$2:$I$611,$C144),INDEX(Dataset3_Raw!$I$2:$I$391,$E144))</f>
        <v>3</v>
      </c>
      <c r="N144" s="25">
        <f>IF($C144&gt;0,INDEX(Merge_1_2!$J$2:$J$611,$C144),INDEX(Dataset3_Raw!$J$2:$J$391,$E144))</f>
        <v>0.22</v>
      </c>
      <c r="O144" s="25">
        <f>IF($C144&gt;0,IF(ISNUMBER(INDEX(Merge_1_2!$K$2:$K$611,$C144)),INDEX(Merge_1_2!$K$2:$K$611,$C144),""),INDEX(Dataset3_Raw!$K$2:$K$391,$E144))</f>
        <v>0.2727</v>
      </c>
      <c r="P144" s="25">
        <f>IF(ISNUMBER($O144),$O144,ROUND(Lookups!$B$25+Lookups!$B$24*$N144,4))</f>
        <v>0.2727</v>
      </c>
      <c r="Q144" s="25">
        <f>IF($C144&gt;0,INDEX(Merge_1_2!$L$2:$L$611,$C144),INDEX(Dataset3_Raw!$L$2:$L$391,$E144))</f>
        <v>0.55000000000000004</v>
      </c>
      <c r="R144" s="25">
        <f>IF($C144&gt;0,INDEX(Merge_1_2!$M$2:$M$611,$C144),INDEX(Dataset3_Raw!$M$2:$M$391,$E144))</f>
        <v>0</v>
      </c>
      <c r="S144" s="23">
        <f>IF($C144&gt;0,INDEX(Merge_1_2!$N$2:$N$611,$C144),INDEX(Dataset3_Raw!$N$2:$N$391,$E144))</f>
        <v>0</v>
      </c>
      <c r="T144" s="23">
        <f>IF($C144&gt;0,INDEX(Merge_1_2!$O$2:$O$611,$C144),INDEX(Dataset3_Raw!$O$2:$O$391,$E144))</f>
        <v>5</v>
      </c>
      <c r="U144" s="23">
        <f>IF($C144&gt;0,INDEX(Merge_1_2!$P$2:$P$611,$C144),INDEX(Dataset3_Raw!$P$2:$P$391,$E144))</f>
        <v>5</v>
      </c>
      <c r="V144" s="23" t="str">
        <f t="shared" si="13"/>
        <v>Weekday</v>
      </c>
      <c r="W144" s="23" t="str">
        <f>VLOOKUP($M144,Lookups!$A$5:$B$8,2,FALSE())</f>
        <v>Light snow / Light rain</v>
      </c>
      <c r="X144" s="23" t="str">
        <f>VLOOKUP($G144,Lookups!$D$5:$E$8,2,FALSE())</f>
        <v>Winter</v>
      </c>
      <c r="Y144" s="23" t="str">
        <f>VLOOKUP($L144,Lookups!$G$5:$H$11,2,FALSE())</f>
        <v>Friday</v>
      </c>
      <c r="Z144" s="23" t="str">
        <f>IF($J144&lt;Lookups!$B$26,"Night",IF($J144&lt;Lookups!$B$27,"Morning",IF($J144&lt;Lookups!$B$28,"Afternoon","Evening")))</f>
        <v>Night</v>
      </c>
      <c r="AA144" s="26">
        <f>ROUND($N144*(Lookups!$B$16-Lookups!$B$15)+Lookups!$B$15,1)</f>
        <v>2.2999999999999998</v>
      </c>
      <c r="AB144" s="26">
        <f>ROUND($P144*(Lookups!$B$18-Lookups!$B$17)+Lookups!$B$17,1)</f>
        <v>2</v>
      </c>
      <c r="AC144" s="23">
        <f t="shared" si="14"/>
        <v>55</v>
      </c>
      <c r="AD144" s="23">
        <f>ROUND($R144*Lookups!$B$19,1)</f>
        <v>0</v>
      </c>
      <c r="AE144" s="27">
        <f t="shared" si="15"/>
        <v>1</v>
      </c>
      <c r="AF144" s="23" t="str">
        <f>IF($U144&gt;=Lookups!$B$23,"High",IF($U144&gt;=Lookups!$B$22,"Medium","Low"))</f>
        <v>Low</v>
      </c>
      <c r="AG144" s="23">
        <f>ROUND(IF($V144="Weekday",IF(INDEX(Hourly_Analysis!$D$5:$D$28,$J144+1)&gt;0,($U144-INDEX(Hourly_Analysis!$C$5:$C$28,$J144+1))/INDEX(Hourly_Analysis!$D$5:$D$28,$J144+1),0),IF(INDEX(Hourly_Analysis!$G$5:$G$28,$J144+1)&gt;0,($U144-INDEX(Hourly_Analysis!$F$5:$F$28,$J144+1))/INDEX(Hourly_Analysis!$G$5:$G$28,$J144+1),0)),2)</f>
        <v>0.06</v>
      </c>
      <c r="AH144" s="23" t="str">
        <f>IF(ABS($AG144)&gt;Lookups!$B$20,IF($AG144&gt;0,"High anomaly","Low anomaly"),"")</f>
        <v/>
      </c>
      <c r="AI144" s="23" t="str">
        <f t="shared" si="16"/>
        <v>OK</v>
      </c>
      <c r="AJ144" s="23" t="str">
        <f t="shared" si="17"/>
        <v>No</v>
      </c>
    </row>
    <row r="145" spans="1:36" x14ac:dyDescent="0.35">
      <c r="A145" s="23">
        <v>144</v>
      </c>
      <c r="B145" s="23" t="str">
        <f t="shared" si="12"/>
        <v>Merge 1+2</v>
      </c>
      <c r="C145" s="23">
        <f>IFERROR(MATCH($A145,Merge_1_2!$A$2:$A$611,0),0)</f>
        <v>144</v>
      </c>
      <c r="D145" s="23">
        <f>IF($C145&gt;0,INDEX(Merge_1_2!$Q$2:$Q$611,$C145),0)</f>
        <v>144</v>
      </c>
      <c r="E145" s="23">
        <f>IFERROR(MATCH($A145,Dataset3_Raw!$A$2:$A$391,0),0)</f>
        <v>0</v>
      </c>
      <c r="F145" s="24">
        <f>IF($C145&gt;0,INDEX(Merge_1_2!$B$2:$B$611,$C145),DATE(VALUE(RIGHT(INDEX(Dataset3_Raw!$B$2:$B$391,$E145),4)),VALUE(MID(INDEX(Dataset3_Raw!$B$2:$B$391,$E145),4,2)),VALUE(LEFT(INDEX(Dataset3_Raw!$B$2:$B$391,$E145),2))))</f>
        <v>40550</v>
      </c>
      <c r="G145" s="23">
        <f>IF($C145&gt;0,INDEX(Merge_1_2!$C$2:$C$611,$C145),INDEX(Dataset3_Raw!$C$2:$C$391,$E145))</f>
        <v>1</v>
      </c>
      <c r="H145" s="23">
        <f>IF($C145&gt;0,INDEX(Merge_1_2!$D$2:$D$611,$C145),INDEX(Dataset3_Raw!$D$2:$D$391,$E145))</f>
        <v>0</v>
      </c>
      <c r="I145" s="23">
        <f>IF($C145&gt;0,INDEX(Merge_1_2!$E$2:$E$611,$C145),INDEX(Dataset3_Raw!$E$2:$E$391,$E145))</f>
        <v>1</v>
      </c>
      <c r="J145" s="23">
        <f>IF($C145&gt;0,INDEX(Merge_1_2!$F$2:$F$611,$C145),INDEX(Dataset3_Raw!$F$2:$F$391,$E145))</f>
        <v>6</v>
      </c>
      <c r="K145" s="23" t="b">
        <f>IF($C145&gt;0,INDEX(Merge_1_2!$G$2:$G$611,$C145),INDEX(Dataset3_Raw!$G$2:$G$391,$E145))</f>
        <v>0</v>
      </c>
      <c r="L145" s="23">
        <f>IF($C145&gt;0,INDEX(Merge_1_2!$H$2:$H$611,$C145),INDEX(Dataset3_Raw!$H$2:$H$391,$E145))</f>
        <v>5</v>
      </c>
      <c r="M145" s="23">
        <f>IF($C145&gt;0,INDEX(Merge_1_2!$I$2:$I$611,$C145),INDEX(Dataset3_Raw!$I$2:$I$391,$E145))</f>
        <v>2</v>
      </c>
      <c r="N145" s="25">
        <f>IF($C145&gt;0,INDEX(Merge_1_2!$J$2:$J$611,$C145),INDEX(Dataset3_Raw!$J$2:$J$391,$E145))</f>
        <v>0.2</v>
      </c>
      <c r="O145" s="25">
        <f>IF($C145&gt;0,IF(ISNUMBER(INDEX(Merge_1_2!$K$2:$K$611,$C145)),INDEX(Merge_1_2!$K$2:$K$611,$C145),""),INDEX(Dataset3_Raw!$K$2:$K$391,$E145))</f>
        <v>0.2576</v>
      </c>
      <c r="P145" s="25">
        <f>IF(ISNUMBER($O145),$O145,ROUND(Lookups!$B$25+Lookups!$B$24*$N145,4))</f>
        <v>0.2576</v>
      </c>
      <c r="Q145" s="25">
        <f>IF($C145&gt;0,INDEX(Merge_1_2!$L$2:$L$611,$C145),INDEX(Dataset3_Raw!$L$2:$L$391,$E145))</f>
        <v>0.69</v>
      </c>
      <c r="R145" s="25">
        <f>IF($C145&gt;0,INDEX(Merge_1_2!$M$2:$M$611,$C145),INDEX(Dataset3_Raw!$M$2:$M$391,$E145))</f>
        <v>0</v>
      </c>
      <c r="S145" s="23">
        <f>IF($C145&gt;0,INDEX(Merge_1_2!$N$2:$N$611,$C145),INDEX(Dataset3_Raw!$N$2:$N$391,$E145))</f>
        <v>8</v>
      </c>
      <c r="T145" s="23">
        <f>IF($C145&gt;0,INDEX(Merge_1_2!$O$2:$O$611,$C145),INDEX(Dataset3_Raw!$O$2:$O$391,$E145))</f>
        <v>26</v>
      </c>
      <c r="U145" s="23">
        <f>IF($C145&gt;0,INDEX(Merge_1_2!$P$2:$P$611,$C145),INDEX(Dataset3_Raw!$P$2:$P$391,$E145))</f>
        <v>34</v>
      </c>
      <c r="V145" s="23" t="str">
        <f t="shared" si="13"/>
        <v>Weekday</v>
      </c>
      <c r="W145" s="23" t="str">
        <f>VLOOKUP($M145,Lookups!$A$5:$B$8,2,FALSE())</f>
        <v>Mist / Cloudy</v>
      </c>
      <c r="X145" s="23" t="str">
        <f>VLOOKUP($G145,Lookups!$D$5:$E$8,2,FALSE())</f>
        <v>Winter</v>
      </c>
      <c r="Y145" s="23" t="str">
        <f>VLOOKUP($L145,Lookups!$G$5:$H$11,2,FALSE())</f>
        <v>Friday</v>
      </c>
      <c r="Z145" s="23" t="str">
        <f>IF($J145&lt;Lookups!$B$26,"Night",IF($J145&lt;Lookups!$B$27,"Morning",IF($J145&lt;Lookups!$B$28,"Afternoon","Evening")))</f>
        <v>Morning</v>
      </c>
      <c r="AA145" s="26">
        <f>ROUND($N145*(Lookups!$B$16-Lookups!$B$15)+Lookups!$B$15,1)</f>
        <v>1.4</v>
      </c>
      <c r="AB145" s="26">
        <f>ROUND($P145*(Lookups!$B$18-Lookups!$B$17)+Lookups!$B$17,1)</f>
        <v>1</v>
      </c>
      <c r="AC145" s="23">
        <f t="shared" si="14"/>
        <v>69</v>
      </c>
      <c r="AD145" s="23">
        <f>ROUND($R145*Lookups!$B$19,1)</f>
        <v>0</v>
      </c>
      <c r="AE145" s="27">
        <f t="shared" si="15"/>
        <v>0.76470588235294112</v>
      </c>
      <c r="AF145" s="23" t="str">
        <f>IF($U145&gt;=Lookups!$B$23,"High",IF($U145&gt;=Lookups!$B$22,"Medium","Low"))</f>
        <v>Medium</v>
      </c>
      <c r="AG145" s="23">
        <f>ROUND(IF($V145="Weekday",IF(INDEX(Hourly_Analysis!$D$5:$D$28,$J145+1)&gt;0,($U145-INDEX(Hourly_Analysis!$C$5:$C$28,$J145+1))/INDEX(Hourly_Analysis!$D$5:$D$28,$J145+1),0),IF(INDEX(Hourly_Analysis!$G$5:$G$28,$J145+1)&gt;0,($U145-INDEX(Hourly_Analysis!$F$5:$F$28,$J145+1))/INDEX(Hourly_Analysis!$G$5:$G$28,$J145+1),0)),2)</f>
        <v>0.67</v>
      </c>
      <c r="AH145" s="23" t="str">
        <f>IF(ABS($AG145)&gt;Lookups!$B$20,IF($AG145&gt;0,"High anomaly","Low anomaly"),"")</f>
        <v/>
      </c>
      <c r="AI145" s="23" t="str">
        <f t="shared" si="16"/>
        <v>OK</v>
      </c>
      <c r="AJ145" s="23" t="str">
        <f t="shared" si="17"/>
        <v>No</v>
      </c>
    </row>
    <row r="146" spans="1:36" x14ac:dyDescent="0.35">
      <c r="A146" s="23">
        <v>145</v>
      </c>
      <c r="B146" s="23" t="str">
        <f t="shared" si="12"/>
        <v>Merge 1+2</v>
      </c>
      <c r="C146" s="23">
        <f>IFERROR(MATCH($A146,Merge_1_2!$A$2:$A$611,0),0)</f>
        <v>145</v>
      </c>
      <c r="D146" s="23">
        <f>IF($C146&gt;0,INDEX(Merge_1_2!$Q$2:$Q$611,$C146),0)</f>
        <v>145</v>
      </c>
      <c r="E146" s="23">
        <f>IFERROR(MATCH($A146,Dataset3_Raw!$A$2:$A$391,0),0)</f>
        <v>0</v>
      </c>
      <c r="F146" s="24">
        <f>IF($C146&gt;0,INDEX(Merge_1_2!$B$2:$B$611,$C146),DATE(VALUE(RIGHT(INDEX(Dataset3_Raw!$B$2:$B$391,$E146),4)),VALUE(MID(INDEX(Dataset3_Raw!$B$2:$B$391,$E146),4,2)),VALUE(LEFT(INDEX(Dataset3_Raw!$B$2:$B$391,$E146),2))))</f>
        <v>40550</v>
      </c>
      <c r="G146" s="23">
        <f>IF($C146&gt;0,INDEX(Merge_1_2!$C$2:$C$611,$C146),INDEX(Dataset3_Raw!$C$2:$C$391,$E146))</f>
        <v>1</v>
      </c>
      <c r="H146" s="23">
        <f>IF($C146&gt;0,INDEX(Merge_1_2!$D$2:$D$611,$C146),INDEX(Dataset3_Raw!$D$2:$D$391,$E146))</f>
        <v>0</v>
      </c>
      <c r="I146" s="23">
        <f>IF($C146&gt;0,INDEX(Merge_1_2!$E$2:$E$611,$C146),INDEX(Dataset3_Raw!$E$2:$E$391,$E146))</f>
        <v>1</v>
      </c>
      <c r="J146" s="23">
        <f>IF($C146&gt;0,INDEX(Merge_1_2!$F$2:$F$611,$C146),INDEX(Dataset3_Raw!$F$2:$F$391,$E146))</f>
        <v>7</v>
      </c>
      <c r="K146" s="23" t="b">
        <f>IF($C146&gt;0,INDEX(Merge_1_2!$G$2:$G$611,$C146),INDEX(Dataset3_Raw!$G$2:$G$391,$E146))</f>
        <v>0</v>
      </c>
      <c r="L146" s="23">
        <f>IF($C146&gt;0,INDEX(Merge_1_2!$H$2:$H$611,$C146),INDEX(Dataset3_Raw!$H$2:$H$391,$E146))</f>
        <v>5</v>
      </c>
      <c r="M146" s="23">
        <f>IF($C146&gt;0,INDEX(Merge_1_2!$I$2:$I$611,$C146),INDEX(Dataset3_Raw!$I$2:$I$391,$E146))</f>
        <v>1</v>
      </c>
      <c r="N146" s="25">
        <f>IF($C146&gt;0,INDEX(Merge_1_2!$J$2:$J$611,$C146),INDEX(Dataset3_Raw!$J$2:$J$391,$E146))</f>
        <v>0.2</v>
      </c>
      <c r="O146" s="25">
        <f>IF($C146&gt;0,IF(ISNUMBER(INDEX(Merge_1_2!$K$2:$K$611,$C146)),INDEX(Merge_1_2!$K$2:$K$611,$C146),""),INDEX(Dataset3_Raw!$K$2:$K$391,$E146))</f>
        <v>0.21210000000000001</v>
      </c>
      <c r="P146" s="25">
        <f>IF(ISNUMBER($O146),$O146,ROUND(Lookups!$B$25+Lookups!$B$24*$N146,4))</f>
        <v>0.21210000000000001</v>
      </c>
      <c r="Q146" s="25">
        <f>IF($C146&gt;0,INDEX(Merge_1_2!$L$2:$L$611,$C146),INDEX(Dataset3_Raw!$L$2:$L$391,$E146))</f>
        <v>0.69</v>
      </c>
      <c r="R146" s="25">
        <f>IF($C146&gt;0,INDEX(Merge_1_2!$M$2:$M$611,$C146),INDEX(Dataset3_Raw!$M$2:$M$391,$E146))</f>
        <v>0.1343</v>
      </c>
      <c r="S146" s="23">
        <f>IF($C146&gt;0,INDEX(Merge_1_2!$N$2:$N$611,$C146),INDEX(Dataset3_Raw!$N$2:$N$391,$E146))</f>
        <v>8</v>
      </c>
      <c r="T146" s="23">
        <f>IF($C146&gt;0,INDEX(Merge_1_2!$O$2:$O$611,$C146),INDEX(Dataset3_Raw!$O$2:$O$391,$E146))</f>
        <v>76</v>
      </c>
      <c r="U146" s="23">
        <f>IF($C146&gt;0,INDEX(Merge_1_2!$P$2:$P$611,$C146),INDEX(Dataset3_Raw!$P$2:$P$391,$E146))</f>
        <v>84</v>
      </c>
      <c r="V146" s="23" t="str">
        <f t="shared" si="13"/>
        <v>Weekday</v>
      </c>
      <c r="W146" s="23" t="str">
        <f>VLOOKUP($M146,Lookups!$A$5:$B$8,2,FALSE())</f>
        <v>Clear / Partly cloudy</v>
      </c>
      <c r="X146" s="23" t="str">
        <f>VLOOKUP($G146,Lookups!$D$5:$E$8,2,FALSE())</f>
        <v>Winter</v>
      </c>
      <c r="Y146" s="23" t="str">
        <f>VLOOKUP($L146,Lookups!$G$5:$H$11,2,FALSE())</f>
        <v>Friday</v>
      </c>
      <c r="Z146" s="23" t="str">
        <f>IF($J146&lt;Lookups!$B$26,"Night",IF($J146&lt;Lookups!$B$27,"Morning",IF($J146&lt;Lookups!$B$28,"Afternoon","Evening")))</f>
        <v>Morning</v>
      </c>
      <c r="AA146" s="26">
        <f>ROUND($N146*(Lookups!$B$16-Lookups!$B$15)+Lookups!$B$15,1)</f>
        <v>1.4</v>
      </c>
      <c r="AB146" s="26">
        <f>ROUND($P146*(Lookups!$B$18-Lookups!$B$17)+Lookups!$B$17,1)</f>
        <v>-2</v>
      </c>
      <c r="AC146" s="23">
        <f t="shared" si="14"/>
        <v>69</v>
      </c>
      <c r="AD146" s="23">
        <f>ROUND($R146*Lookups!$B$19,1)</f>
        <v>9</v>
      </c>
      <c r="AE146" s="27">
        <f t="shared" si="15"/>
        <v>0.90476190476190477</v>
      </c>
      <c r="AF146" s="23" t="str">
        <f>IF($U146&gt;=Lookups!$B$23,"High",IF($U146&gt;=Lookups!$B$22,"Medium","Low"))</f>
        <v>High</v>
      </c>
      <c r="AG146" s="23">
        <f>ROUND(IF($V146="Weekday",IF(INDEX(Hourly_Analysis!$D$5:$D$28,$J146+1)&gt;0,($U146-INDEX(Hourly_Analysis!$C$5:$C$28,$J146+1))/INDEX(Hourly_Analysis!$D$5:$D$28,$J146+1),0),IF(INDEX(Hourly_Analysis!$G$5:$G$28,$J146+1)&gt;0,($U146-INDEX(Hourly_Analysis!$F$5:$F$28,$J146+1))/INDEX(Hourly_Analysis!$G$5:$G$28,$J146+1),0)),2)</f>
        <v>0.19</v>
      </c>
      <c r="AH146" s="23" t="str">
        <f>IF(ABS($AG146)&gt;Lookups!$B$20,IF($AG146&gt;0,"High anomaly","Low anomaly"),"")</f>
        <v/>
      </c>
      <c r="AI146" s="23" t="str">
        <f t="shared" si="16"/>
        <v>OK</v>
      </c>
      <c r="AJ146" s="23" t="str">
        <f t="shared" si="17"/>
        <v>No</v>
      </c>
    </row>
    <row r="147" spans="1:36" x14ac:dyDescent="0.35">
      <c r="A147" s="23">
        <v>146</v>
      </c>
      <c r="B147" s="23" t="str">
        <f t="shared" si="12"/>
        <v>Merge 1+2</v>
      </c>
      <c r="C147" s="23">
        <f>IFERROR(MATCH($A147,Merge_1_2!$A$2:$A$611,0),0)</f>
        <v>146</v>
      </c>
      <c r="D147" s="23">
        <f>IF($C147&gt;0,INDEX(Merge_1_2!$Q$2:$Q$611,$C147),0)</f>
        <v>146</v>
      </c>
      <c r="E147" s="23">
        <f>IFERROR(MATCH($A147,Dataset3_Raw!$A$2:$A$391,0),0)</f>
        <v>0</v>
      </c>
      <c r="F147" s="24">
        <f>IF($C147&gt;0,INDEX(Merge_1_2!$B$2:$B$611,$C147),DATE(VALUE(RIGHT(INDEX(Dataset3_Raw!$B$2:$B$391,$E147),4)),VALUE(MID(INDEX(Dataset3_Raw!$B$2:$B$391,$E147),4,2)),VALUE(LEFT(INDEX(Dataset3_Raw!$B$2:$B$391,$E147),2))))</f>
        <v>40550</v>
      </c>
      <c r="G147" s="23">
        <f>IF($C147&gt;0,INDEX(Merge_1_2!$C$2:$C$611,$C147),INDEX(Dataset3_Raw!$C$2:$C$391,$E147))</f>
        <v>1</v>
      </c>
      <c r="H147" s="23">
        <f>IF($C147&gt;0,INDEX(Merge_1_2!$D$2:$D$611,$C147),INDEX(Dataset3_Raw!$D$2:$D$391,$E147))</f>
        <v>0</v>
      </c>
      <c r="I147" s="23">
        <f>IF($C147&gt;0,INDEX(Merge_1_2!$E$2:$E$611,$C147),INDEX(Dataset3_Raw!$E$2:$E$391,$E147))</f>
        <v>1</v>
      </c>
      <c r="J147" s="23">
        <f>IF($C147&gt;0,INDEX(Merge_1_2!$F$2:$F$611,$C147),INDEX(Dataset3_Raw!$F$2:$F$391,$E147))</f>
        <v>8</v>
      </c>
      <c r="K147" s="23" t="b">
        <f>IF($C147&gt;0,INDEX(Merge_1_2!$G$2:$G$611,$C147),INDEX(Dataset3_Raw!$G$2:$G$391,$E147))</f>
        <v>0</v>
      </c>
      <c r="L147" s="23">
        <f>IF($C147&gt;0,INDEX(Merge_1_2!$H$2:$H$611,$C147),INDEX(Dataset3_Raw!$H$2:$H$391,$E147))</f>
        <v>5</v>
      </c>
      <c r="M147" s="23">
        <f>IF($C147&gt;0,INDEX(Merge_1_2!$I$2:$I$611,$C147),INDEX(Dataset3_Raw!$I$2:$I$391,$E147))</f>
        <v>1</v>
      </c>
      <c r="N147" s="25">
        <f>IF($C147&gt;0,INDEX(Merge_1_2!$J$2:$J$611,$C147),INDEX(Dataset3_Raw!$J$2:$J$391,$E147))</f>
        <v>0.2</v>
      </c>
      <c r="O147" s="25">
        <f>IF($C147&gt;0,IF(ISNUMBER(INDEX(Merge_1_2!$K$2:$K$611,$C147)),INDEX(Merge_1_2!$K$2:$K$611,$C147),""),INDEX(Dataset3_Raw!$K$2:$K$391,$E147))</f>
        <v>0.19700000000000001</v>
      </c>
      <c r="P147" s="25">
        <f>IF(ISNUMBER($O147),$O147,ROUND(Lookups!$B$25+Lookups!$B$24*$N147,4))</f>
        <v>0.19700000000000001</v>
      </c>
      <c r="Q147" s="25">
        <f>IF($C147&gt;0,INDEX(Merge_1_2!$L$2:$L$611,$C147),INDEX(Dataset3_Raw!$L$2:$L$391,$E147))</f>
        <v>0.51</v>
      </c>
      <c r="R147" s="25">
        <f>IF($C147&gt;0,INDEX(Merge_1_2!$M$2:$M$611,$C147),INDEX(Dataset3_Raw!$M$2:$M$391,$E147))</f>
        <v>0.25369999999999998</v>
      </c>
      <c r="S147" s="23">
        <f>IF($C147&gt;0,INDEX(Merge_1_2!$N$2:$N$611,$C147),INDEX(Dataset3_Raw!$N$2:$N$391,$E147))</f>
        <v>20</v>
      </c>
      <c r="T147" s="23">
        <f>IF($C147&gt;0,INDEX(Merge_1_2!$O$2:$O$611,$C147),INDEX(Dataset3_Raw!$O$2:$O$391,$E147))</f>
        <v>190</v>
      </c>
      <c r="U147" s="23">
        <f>IF($C147&gt;0,INDEX(Merge_1_2!$P$2:$P$611,$C147),INDEX(Dataset3_Raw!$P$2:$P$391,$E147))</f>
        <v>210</v>
      </c>
      <c r="V147" s="23" t="str">
        <f t="shared" si="13"/>
        <v>Weekday</v>
      </c>
      <c r="W147" s="23" t="str">
        <f>VLOOKUP($M147,Lookups!$A$5:$B$8,2,FALSE())</f>
        <v>Clear / Partly cloudy</v>
      </c>
      <c r="X147" s="23" t="str">
        <f>VLOOKUP($G147,Lookups!$D$5:$E$8,2,FALSE())</f>
        <v>Winter</v>
      </c>
      <c r="Y147" s="23" t="str">
        <f>VLOOKUP($L147,Lookups!$G$5:$H$11,2,FALSE())</f>
        <v>Friday</v>
      </c>
      <c r="Z147" s="23" t="str">
        <f>IF($J147&lt;Lookups!$B$26,"Night",IF($J147&lt;Lookups!$B$27,"Morning",IF($J147&lt;Lookups!$B$28,"Afternoon","Evening")))</f>
        <v>Morning</v>
      </c>
      <c r="AA147" s="26">
        <f>ROUND($N147*(Lookups!$B$16-Lookups!$B$15)+Lookups!$B$15,1)</f>
        <v>1.4</v>
      </c>
      <c r="AB147" s="26">
        <f>ROUND($P147*(Lookups!$B$18-Lookups!$B$17)+Lookups!$B$17,1)</f>
        <v>-3</v>
      </c>
      <c r="AC147" s="23">
        <f t="shared" si="14"/>
        <v>51</v>
      </c>
      <c r="AD147" s="23">
        <f>ROUND($R147*Lookups!$B$19,1)</f>
        <v>17</v>
      </c>
      <c r="AE147" s="27">
        <f t="shared" si="15"/>
        <v>0.90476190476190477</v>
      </c>
      <c r="AF147" s="23" t="str">
        <f>IF($U147&gt;=Lookups!$B$23,"High",IF($U147&gt;=Lookups!$B$22,"Medium","Low"))</f>
        <v>High</v>
      </c>
      <c r="AG147" s="23">
        <f>ROUND(IF($V147="Weekday",IF(INDEX(Hourly_Analysis!$D$5:$D$28,$J147+1)&gt;0,($U147-INDEX(Hourly_Analysis!$C$5:$C$28,$J147+1))/INDEX(Hourly_Analysis!$D$5:$D$28,$J147+1),0),IF(INDEX(Hourly_Analysis!$G$5:$G$28,$J147+1)&gt;0,($U147-INDEX(Hourly_Analysis!$F$5:$F$28,$J147+1))/INDEX(Hourly_Analysis!$G$5:$G$28,$J147+1),0)),2)</f>
        <v>0.53</v>
      </c>
      <c r="AH147" s="23" t="str">
        <f>IF(ABS($AG147)&gt;Lookups!$B$20,IF($AG147&gt;0,"High anomaly","Low anomaly"),"")</f>
        <v/>
      </c>
      <c r="AI147" s="23" t="str">
        <f t="shared" si="16"/>
        <v>OK</v>
      </c>
      <c r="AJ147" s="23" t="str">
        <f t="shared" si="17"/>
        <v>No</v>
      </c>
    </row>
    <row r="148" spans="1:36" x14ac:dyDescent="0.35">
      <c r="A148" s="23">
        <v>147</v>
      </c>
      <c r="B148" s="23" t="str">
        <f t="shared" si="12"/>
        <v>Merge 1+2</v>
      </c>
      <c r="C148" s="23">
        <f>IFERROR(MATCH($A148,Merge_1_2!$A$2:$A$611,0),0)</f>
        <v>147</v>
      </c>
      <c r="D148" s="23">
        <f>IF($C148&gt;0,INDEX(Merge_1_2!$Q$2:$Q$611,$C148),0)</f>
        <v>147</v>
      </c>
      <c r="E148" s="23">
        <f>IFERROR(MATCH($A148,Dataset3_Raw!$A$2:$A$391,0),0)</f>
        <v>0</v>
      </c>
      <c r="F148" s="24">
        <f>IF($C148&gt;0,INDEX(Merge_1_2!$B$2:$B$611,$C148),DATE(VALUE(RIGHT(INDEX(Dataset3_Raw!$B$2:$B$391,$E148),4)),VALUE(MID(INDEX(Dataset3_Raw!$B$2:$B$391,$E148),4,2)),VALUE(LEFT(INDEX(Dataset3_Raw!$B$2:$B$391,$E148),2))))</f>
        <v>40550</v>
      </c>
      <c r="G148" s="23">
        <f>IF($C148&gt;0,INDEX(Merge_1_2!$C$2:$C$611,$C148),INDEX(Dataset3_Raw!$C$2:$C$391,$E148))</f>
        <v>1</v>
      </c>
      <c r="H148" s="23">
        <f>IF($C148&gt;0,INDEX(Merge_1_2!$D$2:$D$611,$C148),INDEX(Dataset3_Raw!$D$2:$D$391,$E148))</f>
        <v>0</v>
      </c>
      <c r="I148" s="23">
        <f>IF($C148&gt;0,INDEX(Merge_1_2!$E$2:$E$611,$C148),INDEX(Dataset3_Raw!$E$2:$E$391,$E148))</f>
        <v>1</v>
      </c>
      <c r="J148" s="23">
        <f>IF($C148&gt;0,INDEX(Merge_1_2!$F$2:$F$611,$C148),INDEX(Dataset3_Raw!$F$2:$F$391,$E148))</f>
        <v>9</v>
      </c>
      <c r="K148" s="23" t="b">
        <f>IF($C148&gt;0,INDEX(Merge_1_2!$G$2:$G$611,$C148),INDEX(Dataset3_Raw!$G$2:$G$391,$E148))</f>
        <v>0</v>
      </c>
      <c r="L148" s="23">
        <f>IF($C148&gt;0,INDEX(Merge_1_2!$H$2:$H$611,$C148),INDEX(Dataset3_Raw!$H$2:$H$391,$E148))</f>
        <v>5</v>
      </c>
      <c r="M148" s="23">
        <f>IF($C148&gt;0,INDEX(Merge_1_2!$I$2:$I$611,$C148),INDEX(Dataset3_Raw!$I$2:$I$391,$E148))</f>
        <v>1</v>
      </c>
      <c r="N148" s="25">
        <f>IF($C148&gt;0,INDEX(Merge_1_2!$J$2:$J$611,$C148),INDEX(Dataset3_Raw!$J$2:$J$391,$E148))</f>
        <v>0.2</v>
      </c>
      <c r="O148" s="25">
        <f>IF($C148&gt;0,IF(ISNUMBER(INDEX(Merge_1_2!$K$2:$K$611,$C148)),INDEX(Merge_1_2!$K$2:$K$611,$C148),""),INDEX(Dataset3_Raw!$K$2:$K$391,$E148))</f>
        <v>0.18179999999999999</v>
      </c>
      <c r="P148" s="25">
        <f>IF(ISNUMBER($O148),$O148,ROUND(Lookups!$B$25+Lookups!$B$24*$N148,4))</f>
        <v>0.18179999999999999</v>
      </c>
      <c r="Q148" s="25">
        <f>IF($C148&gt;0,INDEX(Merge_1_2!$L$2:$L$611,$C148),INDEX(Dataset3_Raw!$L$2:$L$391,$E148))</f>
        <v>0.47</v>
      </c>
      <c r="R148" s="25">
        <f>IF($C148&gt;0,INDEX(Merge_1_2!$M$2:$M$611,$C148),INDEX(Dataset3_Raw!$M$2:$M$391,$E148))</f>
        <v>0.29849999999999999</v>
      </c>
      <c r="S148" s="23">
        <f>IF($C148&gt;0,INDEX(Merge_1_2!$N$2:$N$611,$C148),INDEX(Dataset3_Raw!$N$2:$N$391,$E148))</f>
        <v>9</v>
      </c>
      <c r="T148" s="23">
        <f>IF($C148&gt;0,INDEX(Merge_1_2!$O$2:$O$611,$C148),INDEX(Dataset3_Raw!$O$2:$O$391,$E148))</f>
        <v>125</v>
      </c>
      <c r="U148" s="23">
        <f>IF($C148&gt;0,INDEX(Merge_1_2!$P$2:$P$611,$C148),INDEX(Dataset3_Raw!$P$2:$P$391,$E148))</f>
        <v>134</v>
      </c>
      <c r="V148" s="23" t="str">
        <f t="shared" si="13"/>
        <v>Weekday</v>
      </c>
      <c r="W148" s="23" t="str">
        <f>VLOOKUP($M148,Lookups!$A$5:$B$8,2,FALSE())</f>
        <v>Clear / Partly cloudy</v>
      </c>
      <c r="X148" s="23" t="str">
        <f>VLOOKUP($G148,Lookups!$D$5:$E$8,2,FALSE())</f>
        <v>Winter</v>
      </c>
      <c r="Y148" s="23" t="str">
        <f>VLOOKUP($L148,Lookups!$G$5:$H$11,2,FALSE())</f>
        <v>Friday</v>
      </c>
      <c r="Z148" s="23" t="str">
        <f>IF($J148&lt;Lookups!$B$26,"Night",IF($J148&lt;Lookups!$B$27,"Morning",IF($J148&lt;Lookups!$B$28,"Afternoon","Evening")))</f>
        <v>Morning</v>
      </c>
      <c r="AA148" s="26">
        <f>ROUND($N148*(Lookups!$B$16-Lookups!$B$15)+Lookups!$B$15,1)</f>
        <v>1.4</v>
      </c>
      <c r="AB148" s="26">
        <f>ROUND($P148*(Lookups!$B$18-Lookups!$B$17)+Lookups!$B$17,1)</f>
        <v>-4</v>
      </c>
      <c r="AC148" s="23">
        <f t="shared" si="14"/>
        <v>47</v>
      </c>
      <c r="AD148" s="23">
        <f>ROUND($R148*Lookups!$B$19,1)</f>
        <v>20</v>
      </c>
      <c r="AE148" s="27">
        <f t="shared" si="15"/>
        <v>0.93283582089552242</v>
      </c>
      <c r="AF148" s="23" t="str">
        <f>IF($U148&gt;=Lookups!$B$23,"High",IF($U148&gt;=Lookups!$B$22,"Medium","Low"))</f>
        <v>High</v>
      </c>
      <c r="AG148" s="23">
        <f>ROUND(IF($V148="Weekday",IF(INDEX(Hourly_Analysis!$D$5:$D$28,$J148+1)&gt;0,($U148-INDEX(Hourly_Analysis!$C$5:$C$28,$J148+1))/INDEX(Hourly_Analysis!$D$5:$D$28,$J148+1),0),IF(INDEX(Hourly_Analysis!$G$5:$G$28,$J148+1)&gt;0,($U148-INDEX(Hourly_Analysis!$F$5:$F$28,$J148+1))/INDEX(Hourly_Analysis!$G$5:$G$28,$J148+1),0)),2)</f>
        <v>0.7</v>
      </c>
      <c r="AH148" s="23" t="str">
        <f>IF(ABS($AG148)&gt;Lookups!$B$20,IF($AG148&gt;0,"High anomaly","Low anomaly"),"")</f>
        <v/>
      </c>
      <c r="AI148" s="23" t="str">
        <f t="shared" si="16"/>
        <v>OK</v>
      </c>
      <c r="AJ148" s="23" t="str">
        <f t="shared" si="17"/>
        <v>No</v>
      </c>
    </row>
    <row r="149" spans="1:36" x14ac:dyDescent="0.35">
      <c r="A149" s="23">
        <v>148</v>
      </c>
      <c r="B149" s="23" t="str">
        <f t="shared" si="12"/>
        <v>Merge 1+2</v>
      </c>
      <c r="C149" s="23">
        <f>IFERROR(MATCH($A149,Merge_1_2!$A$2:$A$611,0),0)</f>
        <v>148</v>
      </c>
      <c r="D149" s="23">
        <f>IF($C149&gt;0,INDEX(Merge_1_2!$Q$2:$Q$611,$C149),0)</f>
        <v>148</v>
      </c>
      <c r="E149" s="23">
        <f>IFERROR(MATCH($A149,Dataset3_Raw!$A$2:$A$391,0),0)</f>
        <v>0</v>
      </c>
      <c r="F149" s="24">
        <f>IF($C149&gt;0,INDEX(Merge_1_2!$B$2:$B$611,$C149),DATE(VALUE(RIGHT(INDEX(Dataset3_Raw!$B$2:$B$391,$E149),4)),VALUE(MID(INDEX(Dataset3_Raw!$B$2:$B$391,$E149),4,2)),VALUE(LEFT(INDEX(Dataset3_Raw!$B$2:$B$391,$E149),2))))</f>
        <v>40550</v>
      </c>
      <c r="G149" s="23">
        <f>IF($C149&gt;0,INDEX(Merge_1_2!$C$2:$C$611,$C149),INDEX(Dataset3_Raw!$C$2:$C$391,$E149))</f>
        <v>1</v>
      </c>
      <c r="H149" s="23">
        <f>IF($C149&gt;0,INDEX(Merge_1_2!$D$2:$D$611,$C149),INDEX(Dataset3_Raw!$D$2:$D$391,$E149))</f>
        <v>0</v>
      </c>
      <c r="I149" s="23">
        <f>IF($C149&gt;0,INDEX(Merge_1_2!$E$2:$E$611,$C149),INDEX(Dataset3_Raw!$E$2:$E$391,$E149))</f>
        <v>1</v>
      </c>
      <c r="J149" s="23">
        <f>IF($C149&gt;0,INDEX(Merge_1_2!$F$2:$F$611,$C149),INDEX(Dataset3_Raw!$F$2:$F$391,$E149))</f>
        <v>10</v>
      </c>
      <c r="K149" s="23" t="b">
        <f>IF($C149&gt;0,INDEX(Merge_1_2!$G$2:$G$611,$C149),INDEX(Dataset3_Raw!$G$2:$G$391,$E149))</f>
        <v>0</v>
      </c>
      <c r="L149" s="23">
        <f>IF($C149&gt;0,INDEX(Merge_1_2!$H$2:$H$611,$C149),INDEX(Dataset3_Raw!$H$2:$H$391,$E149))</f>
        <v>5</v>
      </c>
      <c r="M149" s="23">
        <f>IF($C149&gt;0,INDEX(Merge_1_2!$I$2:$I$611,$C149),INDEX(Dataset3_Raw!$I$2:$I$391,$E149))</f>
        <v>1</v>
      </c>
      <c r="N149" s="25">
        <f>IF($C149&gt;0,INDEX(Merge_1_2!$J$2:$J$611,$C149),INDEX(Dataset3_Raw!$J$2:$J$391,$E149))</f>
        <v>0.22</v>
      </c>
      <c r="O149" s="25">
        <f>IF($C149&gt;0,IF(ISNUMBER(INDEX(Merge_1_2!$K$2:$K$611,$C149)),INDEX(Merge_1_2!$K$2:$K$611,$C149),""),INDEX(Dataset3_Raw!$K$2:$K$391,$E149))</f>
        <v>0.19700000000000001</v>
      </c>
      <c r="P149" s="25">
        <f>IF(ISNUMBER($O149),$O149,ROUND(Lookups!$B$25+Lookups!$B$24*$N149,4))</f>
        <v>0.19700000000000001</v>
      </c>
      <c r="Q149" s="25">
        <f>IF($C149&gt;0,INDEX(Merge_1_2!$L$2:$L$611,$C149),INDEX(Dataset3_Raw!$L$2:$L$391,$E149))</f>
        <v>0.37</v>
      </c>
      <c r="R149" s="25">
        <f>IF($C149&gt;0,INDEX(Merge_1_2!$M$2:$M$611,$C149),INDEX(Dataset3_Raw!$M$2:$M$391,$E149))</f>
        <v>0.32840000000000003</v>
      </c>
      <c r="S149" s="23">
        <f>IF($C149&gt;0,INDEX(Merge_1_2!$N$2:$N$611,$C149),INDEX(Dataset3_Raw!$N$2:$N$391,$E149))</f>
        <v>16</v>
      </c>
      <c r="T149" s="23">
        <f>IF($C149&gt;0,INDEX(Merge_1_2!$O$2:$O$611,$C149),INDEX(Dataset3_Raw!$O$2:$O$391,$E149))</f>
        <v>47</v>
      </c>
      <c r="U149" s="23">
        <f>IF($C149&gt;0,INDEX(Merge_1_2!$P$2:$P$611,$C149),INDEX(Dataset3_Raw!$P$2:$P$391,$E149))</f>
        <v>63</v>
      </c>
      <c r="V149" s="23" t="str">
        <f t="shared" si="13"/>
        <v>Weekday</v>
      </c>
      <c r="W149" s="23" t="str">
        <f>VLOOKUP($M149,Lookups!$A$5:$B$8,2,FALSE())</f>
        <v>Clear / Partly cloudy</v>
      </c>
      <c r="X149" s="23" t="str">
        <f>VLOOKUP($G149,Lookups!$D$5:$E$8,2,FALSE())</f>
        <v>Winter</v>
      </c>
      <c r="Y149" s="23" t="str">
        <f>VLOOKUP($L149,Lookups!$G$5:$H$11,2,FALSE())</f>
        <v>Friday</v>
      </c>
      <c r="Z149" s="23" t="str">
        <f>IF($J149&lt;Lookups!$B$26,"Night",IF($J149&lt;Lookups!$B$27,"Morning",IF($J149&lt;Lookups!$B$28,"Afternoon","Evening")))</f>
        <v>Morning</v>
      </c>
      <c r="AA149" s="26">
        <f>ROUND($N149*(Lookups!$B$16-Lookups!$B$15)+Lookups!$B$15,1)</f>
        <v>2.2999999999999998</v>
      </c>
      <c r="AB149" s="26">
        <f>ROUND($P149*(Lookups!$B$18-Lookups!$B$17)+Lookups!$B$17,1)</f>
        <v>-3</v>
      </c>
      <c r="AC149" s="23">
        <f t="shared" si="14"/>
        <v>37</v>
      </c>
      <c r="AD149" s="23">
        <f>ROUND($R149*Lookups!$B$19,1)</f>
        <v>22</v>
      </c>
      <c r="AE149" s="27">
        <f t="shared" si="15"/>
        <v>0.74603174603174605</v>
      </c>
      <c r="AF149" s="23" t="str">
        <f>IF($U149&gt;=Lookups!$B$23,"High",IF($U149&gt;=Lookups!$B$22,"Medium","Low"))</f>
        <v>Medium</v>
      </c>
      <c r="AG149" s="23">
        <f>ROUND(IF($V149="Weekday",IF(INDEX(Hourly_Analysis!$D$5:$D$28,$J149+1)&gt;0,($U149-INDEX(Hourly_Analysis!$C$5:$C$28,$J149+1))/INDEX(Hourly_Analysis!$D$5:$D$28,$J149+1),0),IF(INDEX(Hourly_Analysis!$G$5:$G$28,$J149+1)&gt;0,($U149-INDEX(Hourly_Analysis!$F$5:$F$28,$J149+1))/INDEX(Hourly_Analysis!$G$5:$G$28,$J149+1),0)),2)</f>
        <v>1.4</v>
      </c>
      <c r="AH149" s="23" t="str">
        <f>IF(ABS($AG149)&gt;Lookups!$B$20,IF($AG149&gt;0,"High anomaly","Low anomaly"),"")</f>
        <v/>
      </c>
      <c r="AI149" s="23" t="str">
        <f t="shared" si="16"/>
        <v>OK</v>
      </c>
      <c r="AJ149" s="23" t="str">
        <f t="shared" si="17"/>
        <v>No</v>
      </c>
    </row>
    <row r="150" spans="1:36" x14ac:dyDescent="0.35">
      <c r="A150" s="23">
        <v>149</v>
      </c>
      <c r="B150" s="23" t="str">
        <f t="shared" si="12"/>
        <v>Merge 1+2</v>
      </c>
      <c r="C150" s="23">
        <f>IFERROR(MATCH($A150,Merge_1_2!$A$2:$A$611,0),0)</f>
        <v>149</v>
      </c>
      <c r="D150" s="23">
        <f>IF($C150&gt;0,INDEX(Merge_1_2!$Q$2:$Q$611,$C150),0)</f>
        <v>149</v>
      </c>
      <c r="E150" s="23">
        <f>IFERROR(MATCH($A150,Dataset3_Raw!$A$2:$A$391,0),0)</f>
        <v>0</v>
      </c>
      <c r="F150" s="24">
        <f>IF($C150&gt;0,INDEX(Merge_1_2!$B$2:$B$611,$C150),DATE(VALUE(RIGHT(INDEX(Dataset3_Raw!$B$2:$B$391,$E150),4)),VALUE(MID(INDEX(Dataset3_Raw!$B$2:$B$391,$E150),4,2)),VALUE(LEFT(INDEX(Dataset3_Raw!$B$2:$B$391,$E150),2))))</f>
        <v>40550</v>
      </c>
      <c r="G150" s="23">
        <f>IF($C150&gt;0,INDEX(Merge_1_2!$C$2:$C$611,$C150),INDEX(Dataset3_Raw!$C$2:$C$391,$E150))</f>
        <v>1</v>
      </c>
      <c r="H150" s="23">
        <f>IF($C150&gt;0,INDEX(Merge_1_2!$D$2:$D$611,$C150),INDEX(Dataset3_Raw!$D$2:$D$391,$E150))</f>
        <v>0</v>
      </c>
      <c r="I150" s="23">
        <f>IF($C150&gt;0,INDEX(Merge_1_2!$E$2:$E$611,$C150),INDEX(Dataset3_Raw!$E$2:$E$391,$E150))</f>
        <v>1</v>
      </c>
      <c r="J150" s="23">
        <f>IF($C150&gt;0,INDEX(Merge_1_2!$F$2:$F$611,$C150),INDEX(Dataset3_Raw!$F$2:$F$391,$E150))</f>
        <v>11</v>
      </c>
      <c r="K150" s="23" t="b">
        <f>IF($C150&gt;0,INDEX(Merge_1_2!$G$2:$G$611,$C150),INDEX(Dataset3_Raw!$G$2:$G$391,$E150))</f>
        <v>0</v>
      </c>
      <c r="L150" s="23">
        <f>IF($C150&gt;0,INDEX(Merge_1_2!$H$2:$H$611,$C150),INDEX(Dataset3_Raw!$H$2:$H$391,$E150))</f>
        <v>5</v>
      </c>
      <c r="M150" s="23">
        <f>IF($C150&gt;0,INDEX(Merge_1_2!$I$2:$I$611,$C150),INDEX(Dataset3_Raw!$I$2:$I$391,$E150))</f>
        <v>2</v>
      </c>
      <c r="N150" s="25">
        <f>IF($C150&gt;0,INDEX(Merge_1_2!$J$2:$J$611,$C150),INDEX(Dataset3_Raw!$J$2:$J$391,$E150))</f>
        <v>0.2</v>
      </c>
      <c r="O150" s="25">
        <f>IF($C150&gt;0,IF(ISNUMBER(INDEX(Merge_1_2!$K$2:$K$611,$C150)),INDEX(Merge_1_2!$K$2:$K$611,$C150),""),INDEX(Dataset3_Raw!$K$2:$K$391,$E150))</f>
        <v>0.19700000000000001</v>
      </c>
      <c r="P150" s="25">
        <f>IF(ISNUMBER($O150),$O150,ROUND(Lookups!$B$25+Lookups!$B$24*$N150,4))</f>
        <v>0.19700000000000001</v>
      </c>
      <c r="Q150" s="25">
        <f>IF($C150&gt;0,INDEX(Merge_1_2!$L$2:$L$611,$C150),INDEX(Dataset3_Raw!$L$2:$L$391,$E150))</f>
        <v>0.4</v>
      </c>
      <c r="R150" s="25">
        <f>IF($C150&gt;0,INDEX(Merge_1_2!$M$2:$M$611,$C150),INDEX(Dataset3_Raw!$M$2:$M$391,$E150))</f>
        <v>0.22389999999999999</v>
      </c>
      <c r="S150" s="23">
        <f>IF($C150&gt;0,INDEX(Merge_1_2!$N$2:$N$611,$C150),INDEX(Dataset3_Raw!$N$2:$N$391,$E150))</f>
        <v>19</v>
      </c>
      <c r="T150" s="23">
        <f>IF($C150&gt;0,INDEX(Merge_1_2!$O$2:$O$611,$C150),INDEX(Dataset3_Raw!$O$2:$O$391,$E150))</f>
        <v>48</v>
      </c>
      <c r="U150" s="23">
        <f>IF($C150&gt;0,INDEX(Merge_1_2!$P$2:$P$611,$C150),INDEX(Dataset3_Raw!$P$2:$P$391,$E150))</f>
        <v>67</v>
      </c>
      <c r="V150" s="23" t="str">
        <f t="shared" si="13"/>
        <v>Weekday</v>
      </c>
      <c r="W150" s="23" t="str">
        <f>VLOOKUP($M150,Lookups!$A$5:$B$8,2,FALSE())</f>
        <v>Mist / Cloudy</v>
      </c>
      <c r="X150" s="23" t="str">
        <f>VLOOKUP($G150,Lookups!$D$5:$E$8,2,FALSE())</f>
        <v>Winter</v>
      </c>
      <c r="Y150" s="23" t="str">
        <f>VLOOKUP($L150,Lookups!$G$5:$H$11,2,FALSE())</f>
        <v>Friday</v>
      </c>
      <c r="Z150" s="23" t="str">
        <f>IF($J150&lt;Lookups!$B$26,"Night",IF($J150&lt;Lookups!$B$27,"Morning",IF($J150&lt;Lookups!$B$28,"Afternoon","Evening")))</f>
        <v>Morning</v>
      </c>
      <c r="AA150" s="26">
        <f>ROUND($N150*(Lookups!$B$16-Lookups!$B$15)+Lookups!$B$15,1)</f>
        <v>1.4</v>
      </c>
      <c r="AB150" s="26">
        <f>ROUND($P150*(Lookups!$B$18-Lookups!$B$17)+Lookups!$B$17,1)</f>
        <v>-3</v>
      </c>
      <c r="AC150" s="23">
        <f t="shared" si="14"/>
        <v>40</v>
      </c>
      <c r="AD150" s="23">
        <f>ROUND($R150*Lookups!$B$19,1)</f>
        <v>15</v>
      </c>
      <c r="AE150" s="27">
        <f t="shared" si="15"/>
        <v>0.71641791044776115</v>
      </c>
      <c r="AF150" s="23" t="str">
        <f>IF($U150&gt;=Lookups!$B$23,"High",IF($U150&gt;=Lookups!$B$22,"Medium","Low"))</f>
        <v>Medium</v>
      </c>
      <c r="AG150" s="23">
        <f>ROUND(IF($V150="Weekday",IF(INDEX(Hourly_Analysis!$D$5:$D$28,$J150+1)&gt;0,($U150-INDEX(Hourly_Analysis!$C$5:$C$28,$J150+1))/INDEX(Hourly_Analysis!$D$5:$D$28,$J150+1),0),IF(INDEX(Hourly_Analysis!$G$5:$G$28,$J150+1)&gt;0,($U150-INDEX(Hourly_Analysis!$F$5:$F$28,$J150+1))/INDEX(Hourly_Analysis!$G$5:$G$28,$J150+1),0)),2)</f>
        <v>1.52</v>
      </c>
      <c r="AH150" s="23" t="str">
        <f>IF(ABS($AG150)&gt;Lookups!$B$20,IF($AG150&gt;0,"High anomaly","Low anomaly"),"")</f>
        <v/>
      </c>
      <c r="AI150" s="23" t="str">
        <f t="shared" si="16"/>
        <v>OK</v>
      </c>
      <c r="AJ150" s="23" t="str">
        <f t="shared" si="17"/>
        <v>No</v>
      </c>
    </row>
    <row r="151" spans="1:36" x14ac:dyDescent="0.35">
      <c r="A151" s="23">
        <v>150</v>
      </c>
      <c r="B151" s="23" t="str">
        <f t="shared" si="12"/>
        <v>Merge 1+2</v>
      </c>
      <c r="C151" s="23">
        <f>IFERROR(MATCH($A151,Merge_1_2!$A$2:$A$611,0),0)</f>
        <v>150</v>
      </c>
      <c r="D151" s="23">
        <f>IF($C151&gt;0,INDEX(Merge_1_2!$Q$2:$Q$611,$C151),0)</f>
        <v>150</v>
      </c>
      <c r="E151" s="23">
        <f>IFERROR(MATCH($A151,Dataset3_Raw!$A$2:$A$391,0),0)</f>
        <v>0</v>
      </c>
      <c r="F151" s="24">
        <f>IF($C151&gt;0,INDEX(Merge_1_2!$B$2:$B$611,$C151),DATE(VALUE(RIGHT(INDEX(Dataset3_Raw!$B$2:$B$391,$E151),4)),VALUE(MID(INDEX(Dataset3_Raw!$B$2:$B$391,$E151),4,2)),VALUE(LEFT(INDEX(Dataset3_Raw!$B$2:$B$391,$E151),2))))</f>
        <v>40550</v>
      </c>
      <c r="G151" s="23">
        <f>IF($C151&gt;0,INDEX(Merge_1_2!$C$2:$C$611,$C151),INDEX(Dataset3_Raw!$C$2:$C$391,$E151))</f>
        <v>1</v>
      </c>
      <c r="H151" s="23">
        <f>IF($C151&gt;0,INDEX(Merge_1_2!$D$2:$D$611,$C151),INDEX(Dataset3_Raw!$D$2:$D$391,$E151))</f>
        <v>0</v>
      </c>
      <c r="I151" s="23">
        <f>IF($C151&gt;0,INDEX(Merge_1_2!$E$2:$E$611,$C151),INDEX(Dataset3_Raw!$E$2:$E$391,$E151))</f>
        <v>1</v>
      </c>
      <c r="J151" s="23">
        <f>IF($C151&gt;0,INDEX(Merge_1_2!$F$2:$F$611,$C151),INDEX(Dataset3_Raw!$F$2:$F$391,$E151))</f>
        <v>12</v>
      </c>
      <c r="K151" s="23" t="b">
        <f>IF($C151&gt;0,INDEX(Merge_1_2!$G$2:$G$611,$C151),INDEX(Dataset3_Raw!$G$2:$G$391,$E151))</f>
        <v>0</v>
      </c>
      <c r="L151" s="23">
        <f>IF($C151&gt;0,INDEX(Merge_1_2!$H$2:$H$611,$C151),INDEX(Dataset3_Raw!$H$2:$H$391,$E151))</f>
        <v>5</v>
      </c>
      <c r="M151" s="23">
        <f>IF($C151&gt;0,INDEX(Merge_1_2!$I$2:$I$611,$C151),INDEX(Dataset3_Raw!$I$2:$I$391,$E151))</f>
        <v>2</v>
      </c>
      <c r="N151" s="25">
        <f>IF($C151&gt;0,INDEX(Merge_1_2!$J$2:$J$611,$C151),INDEX(Dataset3_Raw!$J$2:$J$391,$E151))</f>
        <v>0.2</v>
      </c>
      <c r="O151" s="25">
        <f>IF($C151&gt;0,IF(ISNUMBER(INDEX(Merge_1_2!$K$2:$K$611,$C151)),INDEX(Merge_1_2!$K$2:$K$611,$C151),""),INDEX(Dataset3_Raw!$K$2:$K$391,$E151))</f>
        <v>0.19700000000000001</v>
      </c>
      <c r="P151" s="25">
        <f>IF(ISNUMBER($O151),$O151,ROUND(Lookups!$B$25+Lookups!$B$24*$N151,4))</f>
        <v>0.19700000000000001</v>
      </c>
      <c r="Q151" s="25">
        <f>IF($C151&gt;0,INDEX(Merge_1_2!$L$2:$L$611,$C151),INDEX(Dataset3_Raw!$L$2:$L$391,$E151))</f>
        <v>0.37</v>
      </c>
      <c r="R151" s="25">
        <f>IF($C151&gt;0,INDEX(Merge_1_2!$M$2:$M$611,$C151),INDEX(Dataset3_Raw!$M$2:$M$391,$E151))</f>
        <v>0.25369999999999998</v>
      </c>
      <c r="S151" s="23">
        <f>IF($C151&gt;0,INDEX(Merge_1_2!$N$2:$N$611,$C151),INDEX(Dataset3_Raw!$N$2:$N$391,$E151))</f>
        <v>9</v>
      </c>
      <c r="T151" s="23">
        <f>IF($C151&gt;0,INDEX(Merge_1_2!$O$2:$O$611,$C151),INDEX(Dataset3_Raw!$O$2:$O$391,$E151))</f>
        <v>50</v>
      </c>
      <c r="U151" s="23">
        <f>IF($C151&gt;0,INDEX(Merge_1_2!$P$2:$P$611,$C151),INDEX(Dataset3_Raw!$P$2:$P$391,$E151))</f>
        <v>59</v>
      </c>
      <c r="V151" s="23" t="str">
        <f t="shared" si="13"/>
        <v>Weekday</v>
      </c>
      <c r="W151" s="23" t="str">
        <f>VLOOKUP($M151,Lookups!$A$5:$B$8,2,FALSE())</f>
        <v>Mist / Cloudy</v>
      </c>
      <c r="X151" s="23" t="str">
        <f>VLOOKUP($G151,Lookups!$D$5:$E$8,2,FALSE())</f>
        <v>Winter</v>
      </c>
      <c r="Y151" s="23" t="str">
        <f>VLOOKUP($L151,Lookups!$G$5:$H$11,2,FALSE())</f>
        <v>Friday</v>
      </c>
      <c r="Z151" s="23" t="str">
        <f>IF($J151&lt;Lookups!$B$26,"Night",IF($J151&lt;Lookups!$B$27,"Morning",IF($J151&lt;Lookups!$B$28,"Afternoon","Evening")))</f>
        <v>Afternoon</v>
      </c>
      <c r="AA151" s="26">
        <f>ROUND($N151*(Lookups!$B$16-Lookups!$B$15)+Lookups!$B$15,1)</f>
        <v>1.4</v>
      </c>
      <c r="AB151" s="26">
        <f>ROUND($P151*(Lookups!$B$18-Lookups!$B$17)+Lookups!$B$17,1)</f>
        <v>-3</v>
      </c>
      <c r="AC151" s="23">
        <f t="shared" si="14"/>
        <v>37</v>
      </c>
      <c r="AD151" s="23">
        <f>ROUND($R151*Lookups!$B$19,1)</f>
        <v>17</v>
      </c>
      <c r="AE151" s="27">
        <f t="shared" si="15"/>
        <v>0.84745762711864403</v>
      </c>
      <c r="AF151" s="23" t="str">
        <f>IF($U151&gt;=Lookups!$B$23,"High",IF($U151&gt;=Lookups!$B$22,"Medium","Low"))</f>
        <v>Medium</v>
      </c>
      <c r="AG151" s="23">
        <f>ROUND(IF($V151="Weekday",IF(INDEX(Hourly_Analysis!$D$5:$D$28,$J151+1)&gt;0,($U151-INDEX(Hourly_Analysis!$C$5:$C$28,$J151+1))/INDEX(Hourly_Analysis!$D$5:$D$28,$J151+1),0),IF(INDEX(Hourly_Analysis!$G$5:$G$28,$J151+1)&gt;0,($U151-INDEX(Hourly_Analysis!$F$5:$F$28,$J151+1))/INDEX(Hourly_Analysis!$G$5:$G$28,$J151+1),0)),2)</f>
        <v>-0.27</v>
      </c>
      <c r="AH151" s="23" t="str">
        <f>IF(ABS($AG151)&gt;Lookups!$B$20,IF($AG151&gt;0,"High anomaly","Low anomaly"),"")</f>
        <v/>
      </c>
      <c r="AI151" s="23" t="str">
        <f t="shared" si="16"/>
        <v>OK</v>
      </c>
      <c r="AJ151" s="23" t="str">
        <f t="shared" si="17"/>
        <v>No</v>
      </c>
    </row>
    <row r="152" spans="1:36" x14ac:dyDescent="0.35">
      <c r="A152" s="23">
        <v>151</v>
      </c>
      <c r="B152" s="23" t="str">
        <f t="shared" si="12"/>
        <v>Merge 1+2</v>
      </c>
      <c r="C152" s="23">
        <f>IFERROR(MATCH($A152,Merge_1_2!$A$2:$A$611,0),0)</f>
        <v>151</v>
      </c>
      <c r="D152" s="23">
        <f>IF($C152&gt;0,INDEX(Merge_1_2!$Q$2:$Q$611,$C152),0)</f>
        <v>151</v>
      </c>
      <c r="E152" s="23">
        <f>IFERROR(MATCH($A152,Dataset3_Raw!$A$2:$A$391,0),0)</f>
        <v>0</v>
      </c>
      <c r="F152" s="24">
        <f>IF($C152&gt;0,INDEX(Merge_1_2!$B$2:$B$611,$C152),DATE(VALUE(RIGHT(INDEX(Dataset3_Raw!$B$2:$B$391,$E152),4)),VALUE(MID(INDEX(Dataset3_Raw!$B$2:$B$391,$E152),4,2)),VALUE(LEFT(INDEX(Dataset3_Raw!$B$2:$B$391,$E152),2))))</f>
        <v>40550</v>
      </c>
      <c r="G152" s="23">
        <f>IF($C152&gt;0,INDEX(Merge_1_2!$C$2:$C$611,$C152),INDEX(Dataset3_Raw!$C$2:$C$391,$E152))</f>
        <v>1</v>
      </c>
      <c r="H152" s="23">
        <f>IF($C152&gt;0,INDEX(Merge_1_2!$D$2:$D$611,$C152),INDEX(Dataset3_Raw!$D$2:$D$391,$E152))</f>
        <v>0</v>
      </c>
      <c r="I152" s="23">
        <f>IF($C152&gt;0,INDEX(Merge_1_2!$E$2:$E$611,$C152),INDEX(Dataset3_Raw!$E$2:$E$391,$E152))</f>
        <v>1</v>
      </c>
      <c r="J152" s="23">
        <f>IF($C152&gt;0,INDEX(Merge_1_2!$F$2:$F$611,$C152),INDEX(Dataset3_Raw!$F$2:$F$391,$E152))</f>
        <v>13</v>
      </c>
      <c r="K152" s="23" t="b">
        <f>IF($C152&gt;0,INDEX(Merge_1_2!$G$2:$G$611,$C152),INDEX(Dataset3_Raw!$G$2:$G$391,$E152))</f>
        <v>0</v>
      </c>
      <c r="L152" s="23">
        <f>IF($C152&gt;0,INDEX(Merge_1_2!$H$2:$H$611,$C152),INDEX(Dataset3_Raw!$H$2:$H$391,$E152))</f>
        <v>5</v>
      </c>
      <c r="M152" s="23">
        <f>IF($C152&gt;0,INDEX(Merge_1_2!$I$2:$I$611,$C152),INDEX(Dataset3_Raw!$I$2:$I$391,$E152))</f>
        <v>2</v>
      </c>
      <c r="N152" s="25">
        <f>IF($C152&gt;0,INDEX(Merge_1_2!$J$2:$J$611,$C152),INDEX(Dataset3_Raw!$J$2:$J$391,$E152))</f>
        <v>0.2</v>
      </c>
      <c r="O152" s="25">
        <f>IF($C152&gt;0,IF(ISNUMBER(INDEX(Merge_1_2!$K$2:$K$611,$C152)),INDEX(Merge_1_2!$K$2:$K$611,$C152),""),INDEX(Dataset3_Raw!$K$2:$K$391,$E152))</f>
        <v>0.18179999999999999</v>
      </c>
      <c r="P152" s="25">
        <f>IF(ISNUMBER($O152),$O152,ROUND(Lookups!$B$25+Lookups!$B$24*$N152,4))</f>
        <v>0.18179999999999999</v>
      </c>
      <c r="Q152" s="25">
        <f>IF($C152&gt;0,INDEX(Merge_1_2!$L$2:$L$611,$C152),INDEX(Dataset3_Raw!$L$2:$L$391,$E152))</f>
        <v>0.37</v>
      </c>
      <c r="R152" s="25">
        <f>IF($C152&gt;0,INDEX(Merge_1_2!$M$2:$M$611,$C152),INDEX(Dataset3_Raw!$M$2:$M$391,$E152))</f>
        <v>0.28360000000000002</v>
      </c>
      <c r="S152" s="23">
        <f>IF($C152&gt;0,INDEX(Merge_1_2!$N$2:$N$611,$C152),INDEX(Dataset3_Raw!$N$2:$N$391,$E152))</f>
        <v>9</v>
      </c>
      <c r="T152" s="23">
        <f>IF($C152&gt;0,INDEX(Merge_1_2!$O$2:$O$611,$C152),INDEX(Dataset3_Raw!$O$2:$O$391,$E152))</f>
        <v>64</v>
      </c>
      <c r="U152" s="23">
        <f>IF($C152&gt;0,INDEX(Merge_1_2!$P$2:$P$611,$C152),INDEX(Dataset3_Raw!$P$2:$P$391,$E152))</f>
        <v>73</v>
      </c>
      <c r="V152" s="23" t="str">
        <f t="shared" si="13"/>
        <v>Weekday</v>
      </c>
      <c r="W152" s="23" t="str">
        <f>VLOOKUP($M152,Lookups!$A$5:$B$8,2,FALSE())</f>
        <v>Mist / Cloudy</v>
      </c>
      <c r="X152" s="23" t="str">
        <f>VLOOKUP($G152,Lookups!$D$5:$E$8,2,FALSE())</f>
        <v>Winter</v>
      </c>
      <c r="Y152" s="23" t="str">
        <f>VLOOKUP($L152,Lookups!$G$5:$H$11,2,FALSE())</f>
        <v>Friday</v>
      </c>
      <c r="Z152" s="23" t="str">
        <f>IF($J152&lt;Lookups!$B$26,"Night",IF($J152&lt;Lookups!$B$27,"Morning",IF($J152&lt;Lookups!$B$28,"Afternoon","Evening")))</f>
        <v>Afternoon</v>
      </c>
      <c r="AA152" s="26">
        <f>ROUND($N152*(Lookups!$B$16-Lookups!$B$15)+Lookups!$B$15,1)</f>
        <v>1.4</v>
      </c>
      <c r="AB152" s="26">
        <f>ROUND($P152*(Lookups!$B$18-Lookups!$B$17)+Lookups!$B$17,1)</f>
        <v>-4</v>
      </c>
      <c r="AC152" s="23">
        <f t="shared" si="14"/>
        <v>37</v>
      </c>
      <c r="AD152" s="23">
        <f>ROUND($R152*Lookups!$B$19,1)</f>
        <v>19</v>
      </c>
      <c r="AE152" s="27">
        <f t="shared" si="15"/>
        <v>0.87671232876712324</v>
      </c>
      <c r="AF152" s="23" t="str">
        <f>IF($U152&gt;=Lookups!$B$23,"High",IF($U152&gt;=Lookups!$B$22,"Medium","Low"))</f>
        <v>Medium</v>
      </c>
      <c r="AG152" s="23">
        <f>ROUND(IF($V152="Weekday",IF(INDEX(Hourly_Analysis!$D$5:$D$28,$J152+1)&gt;0,($U152-INDEX(Hourly_Analysis!$C$5:$C$28,$J152+1))/INDEX(Hourly_Analysis!$D$5:$D$28,$J152+1),0),IF(INDEX(Hourly_Analysis!$G$5:$G$28,$J152+1)&gt;0,($U152-INDEX(Hourly_Analysis!$F$5:$F$28,$J152+1))/INDEX(Hourly_Analysis!$G$5:$G$28,$J152+1),0)),2)</f>
        <v>0.34</v>
      </c>
      <c r="AH152" s="23" t="str">
        <f>IF(ABS($AG152)&gt;Lookups!$B$20,IF($AG152&gt;0,"High anomaly","Low anomaly"),"")</f>
        <v/>
      </c>
      <c r="AI152" s="23" t="str">
        <f t="shared" si="16"/>
        <v>OK</v>
      </c>
      <c r="AJ152" s="23" t="str">
        <f t="shared" si="17"/>
        <v>No</v>
      </c>
    </row>
    <row r="153" spans="1:36" x14ac:dyDescent="0.35">
      <c r="A153" s="23">
        <v>152</v>
      </c>
      <c r="B153" s="23" t="str">
        <f t="shared" si="12"/>
        <v>Merge 1+2</v>
      </c>
      <c r="C153" s="23">
        <f>IFERROR(MATCH($A153,Merge_1_2!$A$2:$A$611,0),0)</f>
        <v>152</v>
      </c>
      <c r="D153" s="23">
        <f>IF($C153&gt;0,INDEX(Merge_1_2!$Q$2:$Q$611,$C153),0)</f>
        <v>152</v>
      </c>
      <c r="E153" s="23">
        <f>IFERROR(MATCH($A153,Dataset3_Raw!$A$2:$A$391,0),0)</f>
        <v>0</v>
      </c>
      <c r="F153" s="24">
        <f>IF($C153&gt;0,INDEX(Merge_1_2!$B$2:$B$611,$C153),DATE(VALUE(RIGHT(INDEX(Dataset3_Raw!$B$2:$B$391,$E153),4)),VALUE(MID(INDEX(Dataset3_Raw!$B$2:$B$391,$E153),4,2)),VALUE(LEFT(INDEX(Dataset3_Raw!$B$2:$B$391,$E153),2))))</f>
        <v>40550</v>
      </c>
      <c r="G153" s="23">
        <f>IF($C153&gt;0,INDEX(Merge_1_2!$C$2:$C$611,$C153),INDEX(Dataset3_Raw!$C$2:$C$391,$E153))</f>
        <v>1</v>
      </c>
      <c r="H153" s="23">
        <f>IF($C153&gt;0,INDEX(Merge_1_2!$D$2:$D$611,$C153),INDEX(Dataset3_Raw!$D$2:$D$391,$E153))</f>
        <v>0</v>
      </c>
      <c r="I153" s="23">
        <f>IF($C153&gt;0,INDEX(Merge_1_2!$E$2:$E$611,$C153),INDEX(Dataset3_Raw!$E$2:$E$391,$E153))</f>
        <v>1</v>
      </c>
      <c r="J153" s="23">
        <f>IF($C153&gt;0,INDEX(Merge_1_2!$F$2:$F$611,$C153),INDEX(Dataset3_Raw!$F$2:$F$391,$E153))</f>
        <v>14</v>
      </c>
      <c r="K153" s="23" t="b">
        <f>IF($C153&gt;0,INDEX(Merge_1_2!$G$2:$G$611,$C153),INDEX(Dataset3_Raw!$G$2:$G$391,$E153))</f>
        <v>0</v>
      </c>
      <c r="L153" s="23">
        <f>IF($C153&gt;0,INDEX(Merge_1_2!$H$2:$H$611,$C153),INDEX(Dataset3_Raw!$H$2:$H$391,$E153))</f>
        <v>5</v>
      </c>
      <c r="M153" s="23">
        <f>IF($C153&gt;0,INDEX(Merge_1_2!$I$2:$I$611,$C153),INDEX(Dataset3_Raw!$I$2:$I$391,$E153))</f>
        <v>2</v>
      </c>
      <c r="N153" s="25">
        <f>IF($C153&gt;0,INDEX(Merge_1_2!$J$2:$J$611,$C153),INDEX(Dataset3_Raw!$J$2:$J$391,$E153))</f>
        <v>0.2</v>
      </c>
      <c r="O153" s="25">
        <f>IF($C153&gt;0,IF(ISNUMBER(INDEX(Merge_1_2!$K$2:$K$611,$C153)),INDEX(Merge_1_2!$K$2:$K$611,$C153),""),INDEX(Dataset3_Raw!$K$2:$K$391,$E153))</f>
        <v>0.19700000000000001</v>
      </c>
      <c r="P153" s="25">
        <f>IF(ISNUMBER($O153),$O153,ROUND(Lookups!$B$25+Lookups!$B$24*$N153,4))</f>
        <v>0.19700000000000001</v>
      </c>
      <c r="Q153" s="25">
        <f>IF($C153&gt;0,INDEX(Merge_1_2!$L$2:$L$611,$C153),INDEX(Dataset3_Raw!$L$2:$L$391,$E153))</f>
        <v>0.4</v>
      </c>
      <c r="R153" s="25">
        <f>IF($C153&gt;0,INDEX(Merge_1_2!$M$2:$M$611,$C153),INDEX(Dataset3_Raw!$M$2:$M$391,$E153))</f>
        <v>0.25369999999999998</v>
      </c>
      <c r="S153" s="23">
        <f>IF($C153&gt;0,INDEX(Merge_1_2!$N$2:$N$611,$C153),INDEX(Dataset3_Raw!$N$2:$N$391,$E153))</f>
        <v>7</v>
      </c>
      <c r="T153" s="23">
        <f>IF($C153&gt;0,INDEX(Merge_1_2!$O$2:$O$611,$C153),INDEX(Dataset3_Raw!$O$2:$O$391,$E153))</f>
        <v>43</v>
      </c>
      <c r="U153" s="23">
        <f>IF($C153&gt;0,INDEX(Merge_1_2!$P$2:$P$611,$C153),INDEX(Dataset3_Raw!$P$2:$P$391,$E153))</f>
        <v>50</v>
      </c>
      <c r="V153" s="23" t="str">
        <f t="shared" si="13"/>
        <v>Weekday</v>
      </c>
      <c r="W153" s="23" t="str">
        <f>VLOOKUP($M153,Lookups!$A$5:$B$8,2,FALSE())</f>
        <v>Mist / Cloudy</v>
      </c>
      <c r="X153" s="23" t="str">
        <f>VLOOKUP($G153,Lookups!$D$5:$E$8,2,FALSE())</f>
        <v>Winter</v>
      </c>
      <c r="Y153" s="23" t="str">
        <f>VLOOKUP($L153,Lookups!$G$5:$H$11,2,FALSE())</f>
        <v>Friday</v>
      </c>
      <c r="Z153" s="23" t="str">
        <f>IF($J153&lt;Lookups!$B$26,"Night",IF($J153&lt;Lookups!$B$27,"Morning",IF($J153&lt;Lookups!$B$28,"Afternoon","Evening")))</f>
        <v>Afternoon</v>
      </c>
      <c r="AA153" s="26">
        <f>ROUND($N153*(Lookups!$B$16-Lookups!$B$15)+Lookups!$B$15,1)</f>
        <v>1.4</v>
      </c>
      <c r="AB153" s="26">
        <f>ROUND($P153*(Lookups!$B$18-Lookups!$B$17)+Lookups!$B$17,1)</f>
        <v>-3</v>
      </c>
      <c r="AC153" s="23">
        <f t="shared" si="14"/>
        <v>40</v>
      </c>
      <c r="AD153" s="23">
        <f>ROUND($R153*Lookups!$B$19,1)</f>
        <v>17</v>
      </c>
      <c r="AE153" s="27">
        <f t="shared" si="15"/>
        <v>0.86</v>
      </c>
      <c r="AF153" s="23" t="str">
        <f>IF($U153&gt;=Lookups!$B$23,"High",IF($U153&gt;=Lookups!$B$22,"Medium","Low"))</f>
        <v>Medium</v>
      </c>
      <c r="AG153" s="23">
        <f>ROUND(IF($V153="Weekday",IF(INDEX(Hourly_Analysis!$D$5:$D$28,$J153+1)&gt;0,($U153-INDEX(Hourly_Analysis!$C$5:$C$28,$J153+1))/INDEX(Hourly_Analysis!$D$5:$D$28,$J153+1),0),IF(INDEX(Hourly_Analysis!$G$5:$G$28,$J153+1)&gt;0,($U153-INDEX(Hourly_Analysis!$F$5:$F$28,$J153+1))/INDEX(Hourly_Analysis!$G$5:$G$28,$J153+1),0)),2)</f>
        <v>-0.6</v>
      </c>
      <c r="AH153" s="23" t="str">
        <f>IF(ABS($AG153)&gt;Lookups!$B$20,IF($AG153&gt;0,"High anomaly","Low anomaly"),"")</f>
        <v/>
      </c>
      <c r="AI153" s="23" t="str">
        <f t="shared" si="16"/>
        <v>OK</v>
      </c>
      <c r="AJ153" s="23" t="str">
        <f t="shared" si="17"/>
        <v>No</v>
      </c>
    </row>
    <row r="154" spans="1:36" x14ac:dyDescent="0.35">
      <c r="A154" s="23">
        <v>153</v>
      </c>
      <c r="B154" s="23" t="str">
        <f t="shared" si="12"/>
        <v>Merge 1+2</v>
      </c>
      <c r="C154" s="23">
        <f>IFERROR(MATCH($A154,Merge_1_2!$A$2:$A$611,0),0)</f>
        <v>153</v>
      </c>
      <c r="D154" s="23">
        <f>IF($C154&gt;0,INDEX(Merge_1_2!$Q$2:$Q$611,$C154),0)</f>
        <v>153</v>
      </c>
      <c r="E154" s="23">
        <f>IFERROR(MATCH($A154,Dataset3_Raw!$A$2:$A$391,0),0)</f>
        <v>0</v>
      </c>
      <c r="F154" s="24">
        <f>IF($C154&gt;0,INDEX(Merge_1_2!$B$2:$B$611,$C154),DATE(VALUE(RIGHT(INDEX(Dataset3_Raw!$B$2:$B$391,$E154),4)),VALUE(MID(INDEX(Dataset3_Raw!$B$2:$B$391,$E154),4,2)),VALUE(LEFT(INDEX(Dataset3_Raw!$B$2:$B$391,$E154),2))))</f>
        <v>40550</v>
      </c>
      <c r="G154" s="23">
        <f>IF($C154&gt;0,INDEX(Merge_1_2!$C$2:$C$611,$C154),INDEX(Dataset3_Raw!$C$2:$C$391,$E154))</f>
        <v>1</v>
      </c>
      <c r="H154" s="23">
        <f>IF($C154&gt;0,INDEX(Merge_1_2!$D$2:$D$611,$C154),INDEX(Dataset3_Raw!$D$2:$D$391,$E154))</f>
        <v>0</v>
      </c>
      <c r="I154" s="23">
        <f>IF($C154&gt;0,INDEX(Merge_1_2!$E$2:$E$611,$C154),INDEX(Dataset3_Raw!$E$2:$E$391,$E154))</f>
        <v>1</v>
      </c>
      <c r="J154" s="23">
        <f>IF($C154&gt;0,INDEX(Merge_1_2!$F$2:$F$611,$C154),INDEX(Dataset3_Raw!$F$2:$F$391,$E154))</f>
        <v>15</v>
      </c>
      <c r="K154" s="23" t="b">
        <f>IF($C154&gt;0,INDEX(Merge_1_2!$G$2:$G$611,$C154),INDEX(Dataset3_Raw!$G$2:$G$391,$E154))</f>
        <v>0</v>
      </c>
      <c r="L154" s="23">
        <f>IF($C154&gt;0,INDEX(Merge_1_2!$H$2:$H$611,$C154),INDEX(Dataset3_Raw!$H$2:$H$391,$E154))</f>
        <v>5</v>
      </c>
      <c r="M154" s="23">
        <f>IF($C154&gt;0,INDEX(Merge_1_2!$I$2:$I$611,$C154),INDEX(Dataset3_Raw!$I$2:$I$391,$E154))</f>
        <v>2</v>
      </c>
      <c r="N154" s="25">
        <f>IF($C154&gt;0,INDEX(Merge_1_2!$J$2:$J$611,$C154),INDEX(Dataset3_Raw!$J$2:$J$391,$E154))</f>
        <v>0.2</v>
      </c>
      <c r="O154" s="25">
        <f>IF($C154&gt;0,IF(ISNUMBER(INDEX(Merge_1_2!$K$2:$K$611,$C154)),INDEX(Merge_1_2!$K$2:$K$611,$C154),""),INDEX(Dataset3_Raw!$K$2:$K$391,$E154))</f>
        <v>0.21210000000000001</v>
      </c>
      <c r="P154" s="25">
        <f>IF(ISNUMBER($O154),$O154,ROUND(Lookups!$B$25+Lookups!$B$24*$N154,4))</f>
        <v>0.21210000000000001</v>
      </c>
      <c r="Q154" s="25">
        <f>IF($C154&gt;0,INDEX(Merge_1_2!$L$2:$L$611,$C154),INDEX(Dataset3_Raw!$L$2:$L$391,$E154))</f>
        <v>0.37</v>
      </c>
      <c r="R154" s="25">
        <f>IF($C154&gt;0,INDEX(Merge_1_2!$M$2:$M$611,$C154),INDEX(Dataset3_Raw!$M$2:$M$391,$E154))</f>
        <v>0.16420000000000001</v>
      </c>
      <c r="S154" s="23">
        <f>IF($C154&gt;0,INDEX(Merge_1_2!$N$2:$N$611,$C154),INDEX(Dataset3_Raw!$N$2:$N$391,$E154))</f>
        <v>9</v>
      </c>
      <c r="T154" s="23">
        <f>IF($C154&gt;0,INDEX(Merge_1_2!$O$2:$O$611,$C154),INDEX(Dataset3_Raw!$O$2:$O$391,$E154))</f>
        <v>63</v>
      </c>
      <c r="U154" s="23">
        <f>IF($C154&gt;0,INDEX(Merge_1_2!$P$2:$P$611,$C154),INDEX(Dataset3_Raw!$P$2:$P$391,$E154))</f>
        <v>72</v>
      </c>
      <c r="V154" s="23" t="str">
        <f t="shared" si="13"/>
        <v>Weekday</v>
      </c>
      <c r="W154" s="23" t="str">
        <f>VLOOKUP($M154,Lookups!$A$5:$B$8,2,FALSE())</f>
        <v>Mist / Cloudy</v>
      </c>
      <c r="X154" s="23" t="str">
        <f>VLOOKUP($G154,Lookups!$D$5:$E$8,2,FALSE())</f>
        <v>Winter</v>
      </c>
      <c r="Y154" s="23" t="str">
        <f>VLOOKUP($L154,Lookups!$G$5:$H$11,2,FALSE())</f>
        <v>Friday</v>
      </c>
      <c r="Z154" s="23" t="str">
        <f>IF($J154&lt;Lookups!$B$26,"Night",IF($J154&lt;Lookups!$B$27,"Morning",IF($J154&lt;Lookups!$B$28,"Afternoon","Evening")))</f>
        <v>Afternoon</v>
      </c>
      <c r="AA154" s="26">
        <f>ROUND($N154*(Lookups!$B$16-Lookups!$B$15)+Lookups!$B$15,1)</f>
        <v>1.4</v>
      </c>
      <c r="AB154" s="26">
        <f>ROUND($P154*(Lookups!$B$18-Lookups!$B$17)+Lookups!$B$17,1)</f>
        <v>-2</v>
      </c>
      <c r="AC154" s="23">
        <f t="shared" si="14"/>
        <v>37</v>
      </c>
      <c r="AD154" s="23">
        <f>ROUND($R154*Lookups!$B$19,1)</f>
        <v>11</v>
      </c>
      <c r="AE154" s="27">
        <f t="shared" si="15"/>
        <v>0.875</v>
      </c>
      <c r="AF154" s="23" t="str">
        <f>IF($U154&gt;=Lookups!$B$23,"High",IF($U154&gt;=Lookups!$B$22,"Medium","Low"))</f>
        <v>Medium</v>
      </c>
      <c r="AG154" s="23">
        <f>ROUND(IF($V154="Weekday",IF(INDEX(Hourly_Analysis!$D$5:$D$28,$J154+1)&gt;0,($U154-INDEX(Hourly_Analysis!$C$5:$C$28,$J154+1))/INDEX(Hourly_Analysis!$D$5:$D$28,$J154+1),0),IF(INDEX(Hourly_Analysis!$G$5:$G$28,$J154+1)&gt;0,($U154-INDEX(Hourly_Analysis!$F$5:$F$28,$J154+1))/INDEX(Hourly_Analysis!$G$5:$G$28,$J154+1),0)),2)</f>
        <v>0.83</v>
      </c>
      <c r="AH154" s="23" t="str">
        <f>IF(ABS($AG154)&gt;Lookups!$B$20,IF($AG154&gt;0,"High anomaly","Low anomaly"),"")</f>
        <v/>
      </c>
      <c r="AI154" s="23" t="str">
        <f t="shared" si="16"/>
        <v>OK</v>
      </c>
      <c r="AJ154" s="23" t="str">
        <f t="shared" si="17"/>
        <v>No</v>
      </c>
    </row>
    <row r="155" spans="1:36" x14ac:dyDescent="0.35">
      <c r="A155" s="23">
        <v>154</v>
      </c>
      <c r="B155" s="23" t="str">
        <f t="shared" si="12"/>
        <v>Merge 1+2</v>
      </c>
      <c r="C155" s="23">
        <f>IFERROR(MATCH($A155,Merge_1_2!$A$2:$A$611,0),0)</f>
        <v>154</v>
      </c>
      <c r="D155" s="23">
        <f>IF($C155&gt;0,INDEX(Merge_1_2!$Q$2:$Q$611,$C155),0)</f>
        <v>154</v>
      </c>
      <c r="E155" s="23">
        <f>IFERROR(MATCH($A155,Dataset3_Raw!$A$2:$A$391,0),0)</f>
        <v>0</v>
      </c>
      <c r="F155" s="24">
        <f>IF($C155&gt;0,INDEX(Merge_1_2!$B$2:$B$611,$C155),DATE(VALUE(RIGHT(INDEX(Dataset3_Raw!$B$2:$B$391,$E155),4)),VALUE(MID(INDEX(Dataset3_Raw!$B$2:$B$391,$E155),4,2)),VALUE(LEFT(INDEX(Dataset3_Raw!$B$2:$B$391,$E155),2))))</f>
        <v>40550</v>
      </c>
      <c r="G155" s="23">
        <f>IF($C155&gt;0,INDEX(Merge_1_2!$C$2:$C$611,$C155),INDEX(Dataset3_Raw!$C$2:$C$391,$E155))</f>
        <v>1</v>
      </c>
      <c r="H155" s="23">
        <f>IF($C155&gt;0,INDEX(Merge_1_2!$D$2:$D$611,$C155),INDEX(Dataset3_Raw!$D$2:$D$391,$E155))</f>
        <v>0</v>
      </c>
      <c r="I155" s="23">
        <f>IF($C155&gt;0,INDEX(Merge_1_2!$E$2:$E$611,$C155),INDEX(Dataset3_Raw!$E$2:$E$391,$E155))</f>
        <v>1</v>
      </c>
      <c r="J155" s="23">
        <f>IF($C155&gt;0,INDEX(Merge_1_2!$F$2:$F$611,$C155),INDEX(Dataset3_Raw!$F$2:$F$391,$E155))</f>
        <v>16</v>
      </c>
      <c r="K155" s="23" t="b">
        <f>IF($C155&gt;0,INDEX(Merge_1_2!$G$2:$G$611,$C155),INDEX(Dataset3_Raw!$G$2:$G$391,$E155))</f>
        <v>0</v>
      </c>
      <c r="L155" s="23">
        <f>IF($C155&gt;0,INDEX(Merge_1_2!$H$2:$H$611,$C155),INDEX(Dataset3_Raw!$H$2:$H$391,$E155))</f>
        <v>5</v>
      </c>
      <c r="M155" s="23">
        <f>IF($C155&gt;0,INDEX(Merge_1_2!$I$2:$I$611,$C155),INDEX(Dataset3_Raw!$I$2:$I$391,$E155))</f>
        <v>2</v>
      </c>
      <c r="N155" s="25">
        <f>IF($C155&gt;0,INDEX(Merge_1_2!$J$2:$J$611,$C155),INDEX(Dataset3_Raw!$J$2:$J$391,$E155))</f>
        <v>0.2</v>
      </c>
      <c r="O155" s="25">
        <f>IF($C155&gt;0,IF(ISNUMBER(INDEX(Merge_1_2!$K$2:$K$611,$C155)),INDEX(Merge_1_2!$K$2:$K$611,$C155),""),INDEX(Dataset3_Raw!$K$2:$K$391,$E155))</f>
        <v>0.21210000000000001</v>
      </c>
      <c r="P155" s="25">
        <f>IF(ISNUMBER($O155),$O155,ROUND(Lookups!$B$25+Lookups!$B$24*$N155,4))</f>
        <v>0.21210000000000001</v>
      </c>
      <c r="Q155" s="25">
        <f>IF($C155&gt;0,INDEX(Merge_1_2!$L$2:$L$611,$C155),INDEX(Dataset3_Raw!$L$2:$L$391,$E155))</f>
        <v>0.37</v>
      </c>
      <c r="R155" s="25">
        <f>IF($C155&gt;0,INDEX(Merge_1_2!$M$2:$M$611,$C155),INDEX(Dataset3_Raw!$M$2:$M$391,$E155))</f>
        <v>0.16420000000000001</v>
      </c>
      <c r="S155" s="23">
        <f>IF($C155&gt;0,INDEX(Merge_1_2!$N$2:$N$611,$C155),INDEX(Dataset3_Raw!$N$2:$N$391,$E155))</f>
        <v>5</v>
      </c>
      <c r="T155" s="23">
        <f>IF($C155&gt;0,INDEX(Merge_1_2!$O$2:$O$611,$C155),INDEX(Dataset3_Raw!$O$2:$O$391,$E155))</f>
        <v>82</v>
      </c>
      <c r="U155" s="23">
        <f>IF($C155&gt;0,INDEX(Merge_1_2!$P$2:$P$611,$C155),INDEX(Dataset3_Raw!$P$2:$P$391,$E155))</f>
        <v>87</v>
      </c>
      <c r="V155" s="23" t="str">
        <f t="shared" si="13"/>
        <v>Weekday</v>
      </c>
      <c r="W155" s="23" t="str">
        <f>VLOOKUP($M155,Lookups!$A$5:$B$8,2,FALSE())</f>
        <v>Mist / Cloudy</v>
      </c>
      <c r="X155" s="23" t="str">
        <f>VLOOKUP($G155,Lookups!$D$5:$E$8,2,FALSE())</f>
        <v>Winter</v>
      </c>
      <c r="Y155" s="23" t="str">
        <f>VLOOKUP($L155,Lookups!$G$5:$H$11,2,FALSE())</f>
        <v>Friday</v>
      </c>
      <c r="Z155" s="23" t="str">
        <f>IF($J155&lt;Lookups!$B$26,"Night",IF($J155&lt;Lookups!$B$27,"Morning",IF($J155&lt;Lookups!$B$28,"Afternoon","Evening")))</f>
        <v>Afternoon</v>
      </c>
      <c r="AA155" s="26">
        <f>ROUND($N155*(Lookups!$B$16-Lookups!$B$15)+Lookups!$B$15,1)</f>
        <v>1.4</v>
      </c>
      <c r="AB155" s="26">
        <f>ROUND($P155*(Lookups!$B$18-Lookups!$B$17)+Lookups!$B$17,1)</f>
        <v>-2</v>
      </c>
      <c r="AC155" s="23">
        <f t="shared" si="14"/>
        <v>37</v>
      </c>
      <c r="AD155" s="23">
        <f>ROUND($R155*Lookups!$B$19,1)</f>
        <v>11</v>
      </c>
      <c r="AE155" s="27">
        <f t="shared" si="15"/>
        <v>0.94252873563218387</v>
      </c>
      <c r="AF155" s="23" t="str">
        <f>IF($U155&gt;=Lookups!$B$23,"High",IF($U155&gt;=Lookups!$B$22,"Medium","Low"))</f>
        <v>High</v>
      </c>
      <c r="AG155" s="23">
        <f>ROUND(IF($V155="Weekday",IF(INDEX(Hourly_Analysis!$D$5:$D$28,$J155+1)&gt;0,($U155-INDEX(Hourly_Analysis!$C$5:$C$28,$J155+1))/INDEX(Hourly_Analysis!$D$5:$D$28,$J155+1),0),IF(INDEX(Hourly_Analysis!$G$5:$G$28,$J155+1)&gt;0,($U155-INDEX(Hourly_Analysis!$F$5:$F$28,$J155+1))/INDEX(Hourly_Analysis!$G$5:$G$28,$J155+1),0)),2)</f>
        <v>0.21</v>
      </c>
      <c r="AH155" s="23" t="str">
        <f>IF(ABS($AG155)&gt;Lookups!$B$20,IF($AG155&gt;0,"High anomaly","Low anomaly"),"")</f>
        <v/>
      </c>
      <c r="AI155" s="23" t="str">
        <f t="shared" si="16"/>
        <v>OK</v>
      </c>
      <c r="AJ155" s="23" t="str">
        <f t="shared" si="17"/>
        <v>No</v>
      </c>
    </row>
    <row r="156" spans="1:36" x14ac:dyDescent="0.35">
      <c r="A156" s="23">
        <v>155</v>
      </c>
      <c r="B156" s="23" t="str">
        <f t="shared" si="12"/>
        <v>Merge 1+2</v>
      </c>
      <c r="C156" s="23">
        <f>IFERROR(MATCH($A156,Merge_1_2!$A$2:$A$611,0),0)</f>
        <v>155</v>
      </c>
      <c r="D156" s="23">
        <f>IF($C156&gt;0,INDEX(Merge_1_2!$Q$2:$Q$611,$C156),0)</f>
        <v>155</v>
      </c>
      <c r="E156" s="23">
        <f>IFERROR(MATCH($A156,Dataset3_Raw!$A$2:$A$391,0),0)</f>
        <v>0</v>
      </c>
      <c r="F156" s="24">
        <f>IF($C156&gt;0,INDEX(Merge_1_2!$B$2:$B$611,$C156),DATE(VALUE(RIGHT(INDEX(Dataset3_Raw!$B$2:$B$391,$E156),4)),VALUE(MID(INDEX(Dataset3_Raw!$B$2:$B$391,$E156),4,2)),VALUE(LEFT(INDEX(Dataset3_Raw!$B$2:$B$391,$E156),2))))</f>
        <v>40550</v>
      </c>
      <c r="G156" s="23">
        <f>IF($C156&gt;0,INDEX(Merge_1_2!$C$2:$C$611,$C156),INDEX(Dataset3_Raw!$C$2:$C$391,$E156))</f>
        <v>1</v>
      </c>
      <c r="H156" s="23">
        <f>IF($C156&gt;0,INDEX(Merge_1_2!$D$2:$D$611,$C156),INDEX(Dataset3_Raw!$D$2:$D$391,$E156))</f>
        <v>0</v>
      </c>
      <c r="I156" s="23">
        <f>IF($C156&gt;0,INDEX(Merge_1_2!$E$2:$E$611,$C156),INDEX(Dataset3_Raw!$E$2:$E$391,$E156))</f>
        <v>1</v>
      </c>
      <c r="J156" s="23">
        <f>IF($C156&gt;0,INDEX(Merge_1_2!$F$2:$F$611,$C156),INDEX(Dataset3_Raw!$F$2:$F$391,$E156))</f>
        <v>17</v>
      </c>
      <c r="K156" s="23" t="b">
        <f>IF($C156&gt;0,INDEX(Merge_1_2!$G$2:$G$611,$C156),INDEX(Dataset3_Raw!$G$2:$G$391,$E156))</f>
        <v>0</v>
      </c>
      <c r="L156" s="23">
        <f>IF($C156&gt;0,INDEX(Merge_1_2!$H$2:$H$611,$C156),INDEX(Dataset3_Raw!$H$2:$H$391,$E156))</f>
        <v>5</v>
      </c>
      <c r="M156" s="23">
        <f>IF($C156&gt;0,INDEX(Merge_1_2!$I$2:$I$611,$C156),INDEX(Dataset3_Raw!$I$2:$I$391,$E156))</f>
        <v>2</v>
      </c>
      <c r="N156" s="25">
        <f>IF($C156&gt;0,INDEX(Merge_1_2!$J$2:$J$611,$C156),INDEX(Dataset3_Raw!$J$2:$J$391,$E156))</f>
        <v>0.2</v>
      </c>
      <c r="O156" s="25">
        <f>IF($C156&gt;0,IF(ISNUMBER(INDEX(Merge_1_2!$K$2:$K$611,$C156)),INDEX(Merge_1_2!$K$2:$K$611,$C156),""),INDEX(Dataset3_Raw!$K$2:$K$391,$E156))</f>
        <v>0.2576</v>
      </c>
      <c r="P156" s="25">
        <f>IF(ISNUMBER($O156),$O156,ROUND(Lookups!$B$25+Lookups!$B$24*$N156,4))</f>
        <v>0.2576</v>
      </c>
      <c r="Q156" s="25">
        <f>IF($C156&gt;0,INDEX(Merge_1_2!$L$2:$L$611,$C156),INDEX(Dataset3_Raw!$L$2:$L$391,$E156))</f>
        <v>0.37</v>
      </c>
      <c r="R156" s="25">
        <f>IF($C156&gt;0,INDEX(Merge_1_2!$M$2:$M$611,$C156),INDEX(Dataset3_Raw!$M$2:$M$391,$E156))</f>
        <v>0</v>
      </c>
      <c r="S156" s="23">
        <f>IF($C156&gt;0,INDEX(Merge_1_2!$N$2:$N$611,$C156),INDEX(Dataset3_Raw!$N$2:$N$391,$E156))</f>
        <v>9</v>
      </c>
      <c r="T156" s="23">
        <f>IF($C156&gt;0,INDEX(Merge_1_2!$O$2:$O$611,$C156),INDEX(Dataset3_Raw!$O$2:$O$391,$E156))</f>
        <v>178</v>
      </c>
      <c r="U156" s="23">
        <f>IF($C156&gt;0,INDEX(Merge_1_2!$P$2:$P$611,$C156),INDEX(Dataset3_Raw!$P$2:$P$391,$E156))</f>
        <v>187</v>
      </c>
      <c r="V156" s="23" t="str">
        <f t="shared" si="13"/>
        <v>Weekday</v>
      </c>
      <c r="W156" s="23" t="str">
        <f>VLOOKUP($M156,Lookups!$A$5:$B$8,2,FALSE())</f>
        <v>Mist / Cloudy</v>
      </c>
      <c r="X156" s="23" t="str">
        <f>VLOOKUP($G156,Lookups!$D$5:$E$8,2,FALSE())</f>
        <v>Winter</v>
      </c>
      <c r="Y156" s="23" t="str">
        <f>VLOOKUP($L156,Lookups!$G$5:$H$11,2,FALSE())</f>
        <v>Friday</v>
      </c>
      <c r="Z156" s="23" t="str">
        <f>IF($J156&lt;Lookups!$B$26,"Night",IF($J156&lt;Lookups!$B$27,"Morning",IF($J156&lt;Lookups!$B$28,"Afternoon","Evening")))</f>
        <v>Afternoon</v>
      </c>
      <c r="AA156" s="26">
        <f>ROUND($N156*(Lookups!$B$16-Lookups!$B$15)+Lookups!$B$15,1)</f>
        <v>1.4</v>
      </c>
      <c r="AB156" s="26">
        <f>ROUND($P156*(Lookups!$B$18-Lookups!$B$17)+Lookups!$B$17,1)</f>
        <v>1</v>
      </c>
      <c r="AC156" s="23">
        <f t="shared" si="14"/>
        <v>37</v>
      </c>
      <c r="AD156" s="23">
        <f>ROUND($R156*Lookups!$B$19,1)</f>
        <v>0</v>
      </c>
      <c r="AE156" s="27">
        <f t="shared" si="15"/>
        <v>0.95187165775401072</v>
      </c>
      <c r="AF156" s="23" t="str">
        <f>IF($U156&gt;=Lookups!$B$23,"High",IF($U156&gt;=Lookups!$B$22,"Medium","Low"))</f>
        <v>High</v>
      </c>
      <c r="AG156" s="23">
        <f>ROUND(IF($V156="Weekday",IF(INDEX(Hourly_Analysis!$D$5:$D$28,$J156+1)&gt;0,($U156-INDEX(Hourly_Analysis!$C$5:$C$28,$J156+1))/INDEX(Hourly_Analysis!$D$5:$D$28,$J156+1),0),IF(INDEX(Hourly_Analysis!$G$5:$G$28,$J156+1)&gt;0,($U156-INDEX(Hourly_Analysis!$F$5:$F$28,$J156+1))/INDEX(Hourly_Analysis!$G$5:$G$28,$J156+1),0)),2)</f>
        <v>0.44</v>
      </c>
      <c r="AH156" s="23" t="str">
        <f>IF(ABS($AG156)&gt;Lookups!$B$20,IF($AG156&gt;0,"High anomaly","Low anomaly"),"")</f>
        <v/>
      </c>
      <c r="AI156" s="23" t="str">
        <f t="shared" si="16"/>
        <v>OK</v>
      </c>
      <c r="AJ156" s="23" t="str">
        <f t="shared" si="17"/>
        <v>No</v>
      </c>
    </row>
    <row r="157" spans="1:36" x14ac:dyDescent="0.35">
      <c r="A157" s="23">
        <v>156</v>
      </c>
      <c r="B157" s="23" t="str">
        <f t="shared" si="12"/>
        <v>Merge 1+2</v>
      </c>
      <c r="C157" s="23">
        <f>IFERROR(MATCH($A157,Merge_1_2!$A$2:$A$611,0),0)</f>
        <v>156</v>
      </c>
      <c r="D157" s="23">
        <f>IF($C157&gt;0,INDEX(Merge_1_2!$Q$2:$Q$611,$C157),0)</f>
        <v>156</v>
      </c>
      <c r="E157" s="23">
        <f>IFERROR(MATCH($A157,Dataset3_Raw!$A$2:$A$391,0),0)</f>
        <v>0</v>
      </c>
      <c r="F157" s="24">
        <f>IF($C157&gt;0,INDEX(Merge_1_2!$B$2:$B$611,$C157),DATE(VALUE(RIGHT(INDEX(Dataset3_Raw!$B$2:$B$391,$E157),4)),VALUE(MID(INDEX(Dataset3_Raw!$B$2:$B$391,$E157),4,2)),VALUE(LEFT(INDEX(Dataset3_Raw!$B$2:$B$391,$E157),2))))</f>
        <v>40550</v>
      </c>
      <c r="G157" s="23">
        <f>IF($C157&gt;0,INDEX(Merge_1_2!$C$2:$C$611,$C157),INDEX(Dataset3_Raw!$C$2:$C$391,$E157))</f>
        <v>1</v>
      </c>
      <c r="H157" s="23">
        <f>IF($C157&gt;0,INDEX(Merge_1_2!$D$2:$D$611,$C157),INDEX(Dataset3_Raw!$D$2:$D$391,$E157))</f>
        <v>0</v>
      </c>
      <c r="I157" s="23">
        <f>IF($C157&gt;0,INDEX(Merge_1_2!$E$2:$E$611,$C157),INDEX(Dataset3_Raw!$E$2:$E$391,$E157))</f>
        <v>1</v>
      </c>
      <c r="J157" s="23">
        <f>IF($C157&gt;0,INDEX(Merge_1_2!$F$2:$F$611,$C157),INDEX(Dataset3_Raw!$F$2:$F$391,$E157))</f>
        <v>18</v>
      </c>
      <c r="K157" s="23" t="b">
        <f>IF($C157&gt;0,INDEX(Merge_1_2!$G$2:$G$611,$C157),INDEX(Dataset3_Raw!$G$2:$G$391,$E157))</f>
        <v>0</v>
      </c>
      <c r="L157" s="23">
        <f>IF($C157&gt;0,INDEX(Merge_1_2!$H$2:$H$611,$C157),INDEX(Dataset3_Raw!$H$2:$H$391,$E157))</f>
        <v>5</v>
      </c>
      <c r="M157" s="23">
        <f>IF($C157&gt;0,INDEX(Merge_1_2!$I$2:$I$611,$C157),INDEX(Dataset3_Raw!$I$2:$I$391,$E157))</f>
        <v>1</v>
      </c>
      <c r="N157" s="25">
        <f>IF($C157&gt;0,INDEX(Merge_1_2!$J$2:$J$611,$C157),INDEX(Dataset3_Raw!$J$2:$J$391,$E157))</f>
        <v>0.2</v>
      </c>
      <c r="O157" s="25">
        <f>IF($C157&gt;0,IF(ISNUMBER(INDEX(Merge_1_2!$K$2:$K$611,$C157)),INDEX(Merge_1_2!$K$2:$K$611,$C157),""),INDEX(Dataset3_Raw!$K$2:$K$391,$E157))</f>
        <v>0.2273</v>
      </c>
      <c r="P157" s="25">
        <f>IF(ISNUMBER($O157),$O157,ROUND(Lookups!$B$25+Lookups!$B$24*$N157,4))</f>
        <v>0.2273</v>
      </c>
      <c r="Q157" s="25">
        <f>IF($C157&gt;0,INDEX(Merge_1_2!$L$2:$L$611,$C157),INDEX(Dataset3_Raw!$L$2:$L$391,$E157))</f>
        <v>0.4</v>
      </c>
      <c r="R157" s="25">
        <f>IF($C157&gt;0,INDEX(Merge_1_2!$M$2:$M$611,$C157),INDEX(Dataset3_Raw!$M$2:$M$391,$E157))</f>
        <v>8.9599999999999999E-2</v>
      </c>
      <c r="S157" s="23">
        <f>IF($C157&gt;0,INDEX(Merge_1_2!$N$2:$N$611,$C157),INDEX(Dataset3_Raw!$N$2:$N$391,$E157))</f>
        <v>7</v>
      </c>
      <c r="T157" s="23">
        <f>IF($C157&gt;0,INDEX(Merge_1_2!$O$2:$O$611,$C157),INDEX(Dataset3_Raw!$O$2:$O$391,$E157))</f>
        <v>116</v>
      </c>
      <c r="U157" s="23">
        <f>IF($C157&gt;0,INDEX(Merge_1_2!$P$2:$P$611,$C157),INDEX(Dataset3_Raw!$P$2:$P$391,$E157))</f>
        <v>123</v>
      </c>
      <c r="V157" s="23" t="str">
        <f t="shared" si="13"/>
        <v>Weekday</v>
      </c>
      <c r="W157" s="23" t="str">
        <f>VLOOKUP($M157,Lookups!$A$5:$B$8,2,FALSE())</f>
        <v>Clear / Partly cloudy</v>
      </c>
      <c r="X157" s="23" t="str">
        <f>VLOOKUP($G157,Lookups!$D$5:$E$8,2,FALSE())</f>
        <v>Winter</v>
      </c>
      <c r="Y157" s="23" t="str">
        <f>VLOOKUP($L157,Lookups!$G$5:$H$11,2,FALSE())</f>
        <v>Friday</v>
      </c>
      <c r="Z157" s="23" t="str">
        <f>IF($J157&lt;Lookups!$B$26,"Night",IF($J157&lt;Lookups!$B$27,"Morning",IF($J157&lt;Lookups!$B$28,"Afternoon","Evening")))</f>
        <v>Evening</v>
      </c>
      <c r="AA157" s="26">
        <f>ROUND($N157*(Lookups!$B$16-Lookups!$B$15)+Lookups!$B$15,1)</f>
        <v>1.4</v>
      </c>
      <c r="AB157" s="26">
        <f>ROUND($P157*(Lookups!$B$18-Lookups!$B$17)+Lookups!$B$17,1)</f>
        <v>-1</v>
      </c>
      <c r="AC157" s="23">
        <f t="shared" si="14"/>
        <v>40</v>
      </c>
      <c r="AD157" s="23">
        <f>ROUND($R157*Lookups!$B$19,1)</f>
        <v>6</v>
      </c>
      <c r="AE157" s="27">
        <f t="shared" si="15"/>
        <v>0.94308943089430897</v>
      </c>
      <c r="AF157" s="23" t="str">
        <f>IF($U157&gt;=Lookups!$B$23,"High",IF($U157&gt;=Lookups!$B$22,"Medium","Low"))</f>
        <v>High</v>
      </c>
      <c r="AG157" s="23">
        <f>ROUND(IF($V157="Weekday",IF(INDEX(Hourly_Analysis!$D$5:$D$28,$J157+1)&gt;0,($U157-INDEX(Hourly_Analysis!$C$5:$C$28,$J157+1))/INDEX(Hourly_Analysis!$D$5:$D$28,$J157+1),0),IF(INDEX(Hourly_Analysis!$G$5:$G$28,$J157+1)&gt;0,($U157-INDEX(Hourly_Analysis!$F$5:$F$28,$J157+1))/INDEX(Hourly_Analysis!$G$5:$G$28,$J157+1),0)),2)</f>
        <v>-1.1000000000000001</v>
      </c>
      <c r="AH157" s="23" t="str">
        <f>IF(ABS($AG157)&gt;Lookups!$B$20,IF($AG157&gt;0,"High anomaly","Low anomaly"),"")</f>
        <v/>
      </c>
      <c r="AI157" s="23" t="str">
        <f t="shared" si="16"/>
        <v>OK</v>
      </c>
      <c r="AJ157" s="23" t="str">
        <f t="shared" si="17"/>
        <v>No</v>
      </c>
    </row>
    <row r="158" spans="1:36" x14ac:dyDescent="0.35">
      <c r="A158" s="23">
        <v>157</v>
      </c>
      <c r="B158" s="23" t="str">
        <f t="shared" si="12"/>
        <v>Merge 1+2</v>
      </c>
      <c r="C158" s="23">
        <f>IFERROR(MATCH($A158,Merge_1_2!$A$2:$A$611,0),0)</f>
        <v>157</v>
      </c>
      <c r="D158" s="23">
        <f>IF($C158&gt;0,INDEX(Merge_1_2!$Q$2:$Q$611,$C158),0)</f>
        <v>157</v>
      </c>
      <c r="E158" s="23">
        <f>IFERROR(MATCH($A158,Dataset3_Raw!$A$2:$A$391,0),0)</f>
        <v>0</v>
      </c>
      <c r="F158" s="24">
        <f>IF($C158&gt;0,INDEX(Merge_1_2!$B$2:$B$611,$C158),DATE(VALUE(RIGHT(INDEX(Dataset3_Raw!$B$2:$B$391,$E158),4)),VALUE(MID(INDEX(Dataset3_Raw!$B$2:$B$391,$E158),4,2)),VALUE(LEFT(INDEX(Dataset3_Raw!$B$2:$B$391,$E158),2))))</f>
        <v>40550</v>
      </c>
      <c r="G158" s="23">
        <f>IF($C158&gt;0,INDEX(Merge_1_2!$C$2:$C$611,$C158),INDEX(Dataset3_Raw!$C$2:$C$391,$E158))</f>
        <v>1</v>
      </c>
      <c r="H158" s="23">
        <f>IF($C158&gt;0,INDEX(Merge_1_2!$D$2:$D$611,$C158),INDEX(Dataset3_Raw!$D$2:$D$391,$E158))</f>
        <v>0</v>
      </c>
      <c r="I158" s="23">
        <f>IF($C158&gt;0,INDEX(Merge_1_2!$E$2:$E$611,$C158),INDEX(Dataset3_Raw!$E$2:$E$391,$E158))</f>
        <v>1</v>
      </c>
      <c r="J158" s="23">
        <f>IF($C158&gt;0,INDEX(Merge_1_2!$F$2:$F$611,$C158),INDEX(Dataset3_Raw!$F$2:$F$391,$E158))</f>
        <v>19</v>
      </c>
      <c r="K158" s="23" t="b">
        <f>IF($C158&gt;0,INDEX(Merge_1_2!$G$2:$G$611,$C158),INDEX(Dataset3_Raw!$G$2:$G$391,$E158))</f>
        <v>0</v>
      </c>
      <c r="L158" s="23">
        <f>IF($C158&gt;0,INDEX(Merge_1_2!$H$2:$H$611,$C158),INDEX(Dataset3_Raw!$H$2:$H$391,$E158))</f>
        <v>5</v>
      </c>
      <c r="M158" s="23">
        <f>IF($C158&gt;0,INDEX(Merge_1_2!$I$2:$I$611,$C158),INDEX(Dataset3_Raw!$I$2:$I$391,$E158))</f>
        <v>1</v>
      </c>
      <c r="N158" s="25">
        <f>IF($C158&gt;0,INDEX(Merge_1_2!$J$2:$J$611,$C158),INDEX(Dataset3_Raw!$J$2:$J$391,$E158))</f>
        <v>0.16</v>
      </c>
      <c r="O158" s="25">
        <f>IF($C158&gt;0,IF(ISNUMBER(INDEX(Merge_1_2!$K$2:$K$611,$C158)),INDEX(Merge_1_2!$K$2:$K$611,$C158),""),INDEX(Dataset3_Raw!$K$2:$K$391,$E158))</f>
        <v>0.19700000000000001</v>
      </c>
      <c r="P158" s="25">
        <f>IF(ISNUMBER($O158),$O158,ROUND(Lookups!$B$25+Lookups!$B$24*$N158,4))</f>
        <v>0.19700000000000001</v>
      </c>
      <c r="Q158" s="25">
        <f>IF($C158&gt;0,INDEX(Merge_1_2!$L$2:$L$611,$C158),INDEX(Dataset3_Raw!$L$2:$L$391,$E158))</f>
        <v>0.55000000000000004</v>
      </c>
      <c r="R158" s="25">
        <f>IF($C158&gt;0,INDEX(Merge_1_2!$M$2:$M$611,$C158),INDEX(Dataset3_Raw!$M$2:$M$391,$E158))</f>
        <v>8.9599999999999999E-2</v>
      </c>
      <c r="S158" s="23">
        <f>IF($C158&gt;0,INDEX(Merge_1_2!$N$2:$N$611,$C158),INDEX(Dataset3_Raw!$N$2:$N$391,$E158))</f>
        <v>3</v>
      </c>
      <c r="T158" s="23">
        <f>IF($C158&gt;0,INDEX(Merge_1_2!$O$2:$O$611,$C158),INDEX(Dataset3_Raw!$O$2:$O$391,$E158))</f>
        <v>92</v>
      </c>
      <c r="U158" s="23">
        <f>IF($C158&gt;0,INDEX(Merge_1_2!$P$2:$P$611,$C158),INDEX(Dataset3_Raw!$P$2:$P$391,$E158))</f>
        <v>95</v>
      </c>
      <c r="V158" s="23" t="str">
        <f t="shared" si="13"/>
        <v>Weekday</v>
      </c>
      <c r="W158" s="23" t="str">
        <f>VLOOKUP($M158,Lookups!$A$5:$B$8,2,FALSE())</f>
        <v>Clear / Partly cloudy</v>
      </c>
      <c r="X158" s="23" t="str">
        <f>VLOOKUP($G158,Lookups!$D$5:$E$8,2,FALSE())</f>
        <v>Winter</v>
      </c>
      <c r="Y158" s="23" t="str">
        <f>VLOOKUP($L158,Lookups!$G$5:$H$11,2,FALSE())</f>
        <v>Friday</v>
      </c>
      <c r="Z158" s="23" t="str">
        <f>IF($J158&lt;Lookups!$B$26,"Night",IF($J158&lt;Lookups!$B$27,"Morning",IF($J158&lt;Lookups!$B$28,"Afternoon","Evening")))</f>
        <v>Evening</v>
      </c>
      <c r="AA158" s="26">
        <f>ROUND($N158*(Lookups!$B$16-Lookups!$B$15)+Lookups!$B$15,1)</f>
        <v>-0.5</v>
      </c>
      <c r="AB158" s="26">
        <f>ROUND($P158*(Lookups!$B$18-Lookups!$B$17)+Lookups!$B$17,1)</f>
        <v>-3</v>
      </c>
      <c r="AC158" s="23">
        <f t="shared" si="14"/>
        <v>55</v>
      </c>
      <c r="AD158" s="23">
        <f>ROUND($R158*Lookups!$B$19,1)</f>
        <v>6</v>
      </c>
      <c r="AE158" s="27">
        <f t="shared" si="15"/>
        <v>0.96842105263157896</v>
      </c>
      <c r="AF158" s="23" t="str">
        <f>IF($U158&gt;=Lookups!$B$23,"High",IF($U158&gt;=Lookups!$B$22,"Medium","Low"))</f>
        <v>High</v>
      </c>
      <c r="AG158" s="23">
        <f>ROUND(IF($V158="Weekday",IF(INDEX(Hourly_Analysis!$D$5:$D$28,$J158+1)&gt;0,($U158-INDEX(Hourly_Analysis!$C$5:$C$28,$J158+1))/INDEX(Hourly_Analysis!$D$5:$D$28,$J158+1),0),IF(INDEX(Hourly_Analysis!$G$5:$G$28,$J158+1)&gt;0,($U158-INDEX(Hourly_Analysis!$F$5:$F$28,$J158+1))/INDEX(Hourly_Analysis!$G$5:$G$28,$J158+1),0)),2)</f>
        <v>-0.43</v>
      </c>
      <c r="AH158" s="23" t="str">
        <f>IF(ABS($AG158)&gt;Lookups!$B$20,IF($AG158&gt;0,"High anomaly","Low anomaly"),"")</f>
        <v/>
      </c>
      <c r="AI158" s="23" t="str">
        <f t="shared" si="16"/>
        <v>OK</v>
      </c>
      <c r="AJ158" s="23" t="str">
        <f t="shared" si="17"/>
        <v>No</v>
      </c>
    </row>
    <row r="159" spans="1:36" x14ac:dyDescent="0.35">
      <c r="A159" s="23">
        <v>158</v>
      </c>
      <c r="B159" s="23" t="str">
        <f t="shared" si="12"/>
        <v>Merge 1+2</v>
      </c>
      <c r="C159" s="23">
        <f>IFERROR(MATCH($A159,Merge_1_2!$A$2:$A$611,0),0)</f>
        <v>158</v>
      </c>
      <c r="D159" s="23">
        <f>IF($C159&gt;0,INDEX(Merge_1_2!$Q$2:$Q$611,$C159),0)</f>
        <v>158</v>
      </c>
      <c r="E159" s="23">
        <f>IFERROR(MATCH($A159,Dataset3_Raw!$A$2:$A$391,0),0)</f>
        <v>0</v>
      </c>
      <c r="F159" s="24">
        <f>IF($C159&gt;0,INDEX(Merge_1_2!$B$2:$B$611,$C159),DATE(VALUE(RIGHT(INDEX(Dataset3_Raw!$B$2:$B$391,$E159),4)),VALUE(MID(INDEX(Dataset3_Raw!$B$2:$B$391,$E159),4,2)),VALUE(LEFT(INDEX(Dataset3_Raw!$B$2:$B$391,$E159),2))))</f>
        <v>40550</v>
      </c>
      <c r="G159" s="23">
        <f>IF($C159&gt;0,INDEX(Merge_1_2!$C$2:$C$611,$C159),INDEX(Dataset3_Raw!$C$2:$C$391,$E159))</f>
        <v>1</v>
      </c>
      <c r="H159" s="23">
        <f>IF($C159&gt;0,INDEX(Merge_1_2!$D$2:$D$611,$C159),INDEX(Dataset3_Raw!$D$2:$D$391,$E159))</f>
        <v>0</v>
      </c>
      <c r="I159" s="23">
        <f>IF($C159&gt;0,INDEX(Merge_1_2!$E$2:$E$611,$C159),INDEX(Dataset3_Raw!$E$2:$E$391,$E159))</f>
        <v>1</v>
      </c>
      <c r="J159" s="23">
        <f>IF($C159&gt;0,INDEX(Merge_1_2!$F$2:$F$611,$C159),INDEX(Dataset3_Raw!$F$2:$F$391,$E159))</f>
        <v>20</v>
      </c>
      <c r="K159" s="23" t="b">
        <f>IF($C159&gt;0,INDEX(Merge_1_2!$G$2:$G$611,$C159),INDEX(Dataset3_Raw!$G$2:$G$391,$E159))</f>
        <v>0</v>
      </c>
      <c r="L159" s="23">
        <f>IF($C159&gt;0,INDEX(Merge_1_2!$H$2:$H$611,$C159),INDEX(Dataset3_Raw!$H$2:$H$391,$E159))</f>
        <v>5</v>
      </c>
      <c r="M159" s="23">
        <f>IF($C159&gt;0,INDEX(Merge_1_2!$I$2:$I$611,$C159),INDEX(Dataset3_Raw!$I$2:$I$391,$E159))</f>
        <v>1</v>
      </c>
      <c r="N159" s="25">
        <f>IF($C159&gt;0,INDEX(Merge_1_2!$J$2:$J$611,$C159),INDEX(Dataset3_Raw!$J$2:$J$391,$E159))</f>
        <v>0.18</v>
      </c>
      <c r="O159" s="25">
        <f>IF($C159&gt;0,IF(ISNUMBER(INDEX(Merge_1_2!$K$2:$K$611,$C159)),INDEX(Merge_1_2!$K$2:$K$611,$C159),""),INDEX(Dataset3_Raw!$K$2:$K$391,$E159))</f>
        <v>0.21210000000000001</v>
      </c>
      <c r="P159" s="25">
        <f>IF(ISNUMBER($O159),$O159,ROUND(Lookups!$B$25+Lookups!$B$24*$N159,4))</f>
        <v>0.21210000000000001</v>
      </c>
      <c r="Q159" s="25">
        <f>IF($C159&gt;0,INDEX(Merge_1_2!$L$2:$L$611,$C159),INDEX(Dataset3_Raw!$L$2:$L$391,$E159))</f>
        <v>0.47</v>
      </c>
      <c r="R159" s="25">
        <f>IF($C159&gt;0,INDEX(Merge_1_2!$M$2:$M$611,$C159),INDEX(Dataset3_Raw!$M$2:$M$391,$E159))</f>
        <v>0.1045</v>
      </c>
      <c r="S159" s="23">
        <f>IF($C159&gt;0,INDEX(Merge_1_2!$N$2:$N$611,$C159),INDEX(Dataset3_Raw!$N$2:$N$391,$E159))</f>
        <v>1</v>
      </c>
      <c r="T159" s="23">
        <f>IF($C159&gt;0,INDEX(Merge_1_2!$O$2:$O$611,$C159),INDEX(Dataset3_Raw!$O$2:$O$391,$E159))</f>
        <v>50</v>
      </c>
      <c r="U159" s="23">
        <f>IF($C159&gt;0,INDEX(Merge_1_2!$P$2:$P$611,$C159),INDEX(Dataset3_Raw!$P$2:$P$391,$E159))</f>
        <v>51</v>
      </c>
      <c r="V159" s="23" t="str">
        <f t="shared" si="13"/>
        <v>Weekday</v>
      </c>
      <c r="W159" s="23" t="str">
        <f>VLOOKUP($M159,Lookups!$A$5:$B$8,2,FALSE())</f>
        <v>Clear / Partly cloudy</v>
      </c>
      <c r="X159" s="23" t="str">
        <f>VLOOKUP($G159,Lookups!$D$5:$E$8,2,FALSE())</f>
        <v>Winter</v>
      </c>
      <c r="Y159" s="23" t="str">
        <f>VLOOKUP($L159,Lookups!$G$5:$H$11,2,FALSE())</f>
        <v>Friday</v>
      </c>
      <c r="Z159" s="23" t="str">
        <f>IF($J159&lt;Lookups!$B$26,"Night",IF($J159&lt;Lookups!$B$27,"Morning",IF($J159&lt;Lookups!$B$28,"Afternoon","Evening")))</f>
        <v>Evening</v>
      </c>
      <c r="AA159" s="26">
        <f>ROUND($N159*(Lookups!$B$16-Lookups!$B$15)+Lookups!$B$15,1)</f>
        <v>0.5</v>
      </c>
      <c r="AB159" s="26">
        <f>ROUND($P159*(Lookups!$B$18-Lookups!$B$17)+Lookups!$B$17,1)</f>
        <v>-2</v>
      </c>
      <c r="AC159" s="23">
        <f t="shared" si="14"/>
        <v>47</v>
      </c>
      <c r="AD159" s="23">
        <f>ROUND($R159*Lookups!$B$19,1)</f>
        <v>7</v>
      </c>
      <c r="AE159" s="27">
        <f t="shared" si="15"/>
        <v>0.98039215686274506</v>
      </c>
      <c r="AF159" s="23" t="str">
        <f>IF($U159&gt;=Lookups!$B$23,"High",IF($U159&gt;=Lookups!$B$22,"Medium","Low"))</f>
        <v>Medium</v>
      </c>
      <c r="AG159" s="23">
        <f>ROUND(IF($V159="Weekday",IF(INDEX(Hourly_Analysis!$D$5:$D$28,$J159+1)&gt;0,($U159-INDEX(Hourly_Analysis!$C$5:$C$28,$J159+1))/INDEX(Hourly_Analysis!$D$5:$D$28,$J159+1),0),IF(INDEX(Hourly_Analysis!$G$5:$G$28,$J159+1)&gt;0,($U159-INDEX(Hourly_Analysis!$F$5:$F$28,$J159+1))/INDEX(Hourly_Analysis!$G$5:$G$28,$J159+1),0)),2)</f>
        <v>-1.07</v>
      </c>
      <c r="AH159" s="23" t="str">
        <f>IF(ABS($AG159)&gt;Lookups!$B$20,IF($AG159&gt;0,"High anomaly","Low anomaly"),"")</f>
        <v/>
      </c>
      <c r="AI159" s="23" t="str">
        <f t="shared" si="16"/>
        <v>OK</v>
      </c>
      <c r="AJ159" s="23" t="str">
        <f t="shared" si="17"/>
        <v>No</v>
      </c>
    </row>
    <row r="160" spans="1:36" x14ac:dyDescent="0.35">
      <c r="A160" s="23">
        <v>159</v>
      </c>
      <c r="B160" s="23" t="str">
        <f t="shared" si="12"/>
        <v>Merge 1+2</v>
      </c>
      <c r="C160" s="23">
        <f>IFERROR(MATCH($A160,Merge_1_2!$A$2:$A$611,0),0)</f>
        <v>159</v>
      </c>
      <c r="D160" s="23">
        <f>IF($C160&gt;0,INDEX(Merge_1_2!$Q$2:$Q$611,$C160),0)</f>
        <v>159</v>
      </c>
      <c r="E160" s="23">
        <f>IFERROR(MATCH($A160,Dataset3_Raw!$A$2:$A$391,0),0)</f>
        <v>0</v>
      </c>
      <c r="F160" s="24">
        <f>IF($C160&gt;0,INDEX(Merge_1_2!$B$2:$B$611,$C160),DATE(VALUE(RIGHT(INDEX(Dataset3_Raw!$B$2:$B$391,$E160),4)),VALUE(MID(INDEX(Dataset3_Raw!$B$2:$B$391,$E160),4,2)),VALUE(LEFT(INDEX(Dataset3_Raw!$B$2:$B$391,$E160),2))))</f>
        <v>40550</v>
      </c>
      <c r="G160" s="23">
        <f>IF($C160&gt;0,INDEX(Merge_1_2!$C$2:$C$611,$C160),INDEX(Dataset3_Raw!$C$2:$C$391,$E160))</f>
        <v>1</v>
      </c>
      <c r="H160" s="23">
        <f>IF($C160&gt;0,INDEX(Merge_1_2!$D$2:$D$611,$C160),INDEX(Dataset3_Raw!$D$2:$D$391,$E160))</f>
        <v>0</v>
      </c>
      <c r="I160" s="23">
        <f>IF($C160&gt;0,INDEX(Merge_1_2!$E$2:$E$611,$C160),INDEX(Dataset3_Raw!$E$2:$E$391,$E160))</f>
        <v>1</v>
      </c>
      <c r="J160" s="23">
        <f>IF($C160&gt;0,INDEX(Merge_1_2!$F$2:$F$611,$C160),INDEX(Dataset3_Raw!$F$2:$F$391,$E160))</f>
        <v>21</v>
      </c>
      <c r="K160" s="23" t="b">
        <f>IF($C160&gt;0,INDEX(Merge_1_2!$G$2:$G$611,$C160),INDEX(Dataset3_Raw!$G$2:$G$391,$E160))</f>
        <v>0</v>
      </c>
      <c r="L160" s="23">
        <f>IF($C160&gt;0,INDEX(Merge_1_2!$H$2:$H$611,$C160),INDEX(Dataset3_Raw!$H$2:$H$391,$E160))</f>
        <v>5</v>
      </c>
      <c r="M160" s="23">
        <f>IF($C160&gt;0,INDEX(Merge_1_2!$I$2:$I$611,$C160),INDEX(Dataset3_Raw!$I$2:$I$391,$E160))</f>
        <v>1</v>
      </c>
      <c r="N160" s="25">
        <f>IF($C160&gt;0,INDEX(Merge_1_2!$J$2:$J$611,$C160),INDEX(Dataset3_Raw!$J$2:$J$391,$E160))</f>
        <v>0.18</v>
      </c>
      <c r="O160" s="25">
        <f>IF($C160&gt;0,IF(ISNUMBER(INDEX(Merge_1_2!$K$2:$K$611,$C160)),INDEX(Merge_1_2!$K$2:$K$611,$C160),""),INDEX(Dataset3_Raw!$K$2:$K$391,$E160))</f>
        <v>0.19700000000000001</v>
      </c>
      <c r="P160" s="25">
        <f>IF(ISNUMBER($O160),$O160,ROUND(Lookups!$B$25+Lookups!$B$24*$N160,4))</f>
        <v>0.19700000000000001</v>
      </c>
      <c r="Q160" s="25">
        <f>IF($C160&gt;0,INDEX(Merge_1_2!$L$2:$L$611,$C160),INDEX(Dataset3_Raw!$L$2:$L$391,$E160))</f>
        <v>0.47</v>
      </c>
      <c r="R160" s="25">
        <f>IF($C160&gt;0,INDEX(Merge_1_2!$M$2:$M$611,$C160),INDEX(Dataset3_Raw!$M$2:$M$391,$E160))</f>
        <v>0.1343</v>
      </c>
      <c r="S160" s="23">
        <f>IF($C160&gt;0,INDEX(Merge_1_2!$N$2:$N$611,$C160),INDEX(Dataset3_Raw!$N$2:$N$391,$E160))</f>
        <v>0</v>
      </c>
      <c r="T160" s="23">
        <f>IF($C160&gt;0,INDEX(Merge_1_2!$O$2:$O$611,$C160),INDEX(Dataset3_Raw!$O$2:$O$391,$E160))</f>
        <v>39</v>
      </c>
      <c r="U160" s="23">
        <f>IF($C160&gt;0,INDEX(Merge_1_2!$P$2:$P$611,$C160),INDEX(Dataset3_Raw!$P$2:$P$391,$E160))</f>
        <v>39</v>
      </c>
      <c r="V160" s="23" t="str">
        <f t="shared" si="13"/>
        <v>Weekday</v>
      </c>
      <c r="W160" s="23" t="str">
        <f>VLOOKUP($M160,Lookups!$A$5:$B$8,2,FALSE())</f>
        <v>Clear / Partly cloudy</v>
      </c>
      <c r="X160" s="23" t="str">
        <f>VLOOKUP($G160,Lookups!$D$5:$E$8,2,FALSE())</f>
        <v>Winter</v>
      </c>
      <c r="Y160" s="23" t="str">
        <f>VLOOKUP($L160,Lookups!$G$5:$H$11,2,FALSE())</f>
        <v>Friday</v>
      </c>
      <c r="Z160" s="23" t="str">
        <f>IF($J160&lt;Lookups!$B$26,"Night",IF($J160&lt;Lookups!$B$27,"Morning",IF($J160&lt;Lookups!$B$28,"Afternoon","Evening")))</f>
        <v>Evening</v>
      </c>
      <c r="AA160" s="26">
        <f>ROUND($N160*(Lookups!$B$16-Lookups!$B$15)+Lookups!$B$15,1)</f>
        <v>0.5</v>
      </c>
      <c r="AB160" s="26">
        <f>ROUND($P160*(Lookups!$B$18-Lookups!$B$17)+Lookups!$B$17,1)</f>
        <v>-3</v>
      </c>
      <c r="AC160" s="23">
        <f t="shared" si="14"/>
        <v>47</v>
      </c>
      <c r="AD160" s="23">
        <f>ROUND($R160*Lookups!$B$19,1)</f>
        <v>9</v>
      </c>
      <c r="AE160" s="27">
        <f t="shared" si="15"/>
        <v>1</v>
      </c>
      <c r="AF160" s="23" t="str">
        <f>IF($U160&gt;=Lookups!$B$23,"High",IF($U160&gt;=Lookups!$B$22,"Medium","Low"))</f>
        <v>Medium</v>
      </c>
      <c r="AG160" s="23">
        <f>ROUND(IF($V160="Weekday",IF(INDEX(Hourly_Analysis!$D$5:$D$28,$J160+1)&gt;0,($U160-INDEX(Hourly_Analysis!$C$5:$C$28,$J160+1))/INDEX(Hourly_Analysis!$D$5:$D$28,$J160+1),0),IF(INDEX(Hourly_Analysis!$G$5:$G$28,$J160+1)&gt;0,($U160-INDEX(Hourly_Analysis!$F$5:$F$28,$J160+1))/INDEX(Hourly_Analysis!$G$5:$G$28,$J160+1),0)),2)</f>
        <v>-0.96</v>
      </c>
      <c r="AH160" s="23" t="str">
        <f>IF(ABS($AG160)&gt;Lookups!$B$20,IF($AG160&gt;0,"High anomaly","Low anomaly"),"")</f>
        <v/>
      </c>
      <c r="AI160" s="23" t="str">
        <f t="shared" si="16"/>
        <v>OK</v>
      </c>
      <c r="AJ160" s="23" t="str">
        <f t="shared" si="17"/>
        <v>No</v>
      </c>
    </row>
    <row r="161" spans="1:36" x14ac:dyDescent="0.35">
      <c r="A161" s="23">
        <v>160</v>
      </c>
      <c r="B161" s="23" t="str">
        <f t="shared" si="12"/>
        <v>Merge 1+2</v>
      </c>
      <c r="C161" s="23">
        <f>IFERROR(MATCH($A161,Merge_1_2!$A$2:$A$611,0),0)</f>
        <v>160</v>
      </c>
      <c r="D161" s="23">
        <f>IF($C161&gt;0,INDEX(Merge_1_2!$Q$2:$Q$611,$C161),0)</f>
        <v>160</v>
      </c>
      <c r="E161" s="23">
        <f>IFERROR(MATCH($A161,Dataset3_Raw!$A$2:$A$391,0),0)</f>
        <v>0</v>
      </c>
      <c r="F161" s="24">
        <f>IF($C161&gt;0,INDEX(Merge_1_2!$B$2:$B$611,$C161),DATE(VALUE(RIGHT(INDEX(Dataset3_Raw!$B$2:$B$391,$E161),4)),VALUE(MID(INDEX(Dataset3_Raw!$B$2:$B$391,$E161),4,2)),VALUE(LEFT(INDEX(Dataset3_Raw!$B$2:$B$391,$E161),2))))</f>
        <v>40550</v>
      </c>
      <c r="G161" s="23">
        <f>IF($C161&gt;0,INDEX(Merge_1_2!$C$2:$C$611,$C161),INDEX(Dataset3_Raw!$C$2:$C$391,$E161))</f>
        <v>1</v>
      </c>
      <c r="H161" s="23">
        <f>IF($C161&gt;0,INDEX(Merge_1_2!$D$2:$D$611,$C161),INDEX(Dataset3_Raw!$D$2:$D$391,$E161))</f>
        <v>0</v>
      </c>
      <c r="I161" s="23">
        <f>IF($C161&gt;0,INDEX(Merge_1_2!$E$2:$E$611,$C161),INDEX(Dataset3_Raw!$E$2:$E$391,$E161))</f>
        <v>1</v>
      </c>
      <c r="J161" s="23">
        <f>IF($C161&gt;0,INDEX(Merge_1_2!$F$2:$F$611,$C161),INDEX(Dataset3_Raw!$F$2:$F$391,$E161))</f>
        <v>22</v>
      </c>
      <c r="K161" s="23" t="b">
        <f>IF($C161&gt;0,INDEX(Merge_1_2!$G$2:$G$611,$C161),INDEX(Dataset3_Raw!$G$2:$G$391,$E161))</f>
        <v>0</v>
      </c>
      <c r="L161" s="23">
        <f>IF($C161&gt;0,INDEX(Merge_1_2!$H$2:$H$611,$C161),INDEX(Dataset3_Raw!$H$2:$H$391,$E161))</f>
        <v>5</v>
      </c>
      <c r="M161" s="23">
        <f>IF($C161&gt;0,INDEX(Merge_1_2!$I$2:$I$611,$C161),INDEX(Dataset3_Raw!$I$2:$I$391,$E161))</f>
        <v>2</v>
      </c>
      <c r="N161" s="25">
        <f>IF($C161&gt;0,INDEX(Merge_1_2!$J$2:$J$611,$C161),INDEX(Dataset3_Raw!$J$2:$J$391,$E161))</f>
        <v>0.18</v>
      </c>
      <c r="O161" s="25">
        <f>IF($C161&gt;0,IF(ISNUMBER(INDEX(Merge_1_2!$K$2:$K$611,$C161)),INDEX(Merge_1_2!$K$2:$K$611,$C161),""),INDEX(Dataset3_Raw!$K$2:$K$391,$E161))</f>
        <v>0.19700000000000001</v>
      </c>
      <c r="P161" s="25">
        <f>IF(ISNUMBER($O161),$O161,ROUND(Lookups!$B$25+Lookups!$B$24*$N161,4))</f>
        <v>0.19700000000000001</v>
      </c>
      <c r="Q161" s="25">
        <f>IF($C161&gt;0,INDEX(Merge_1_2!$L$2:$L$611,$C161),INDEX(Dataset3_Raw!$L$2:$L$391,$E161))</f>
        <v>0.43</v>
      </c>
      <c r="R161" s="25">
        <f>IF($C161&gt;0,INDEX(Merge_1_2!$M$2:$M$611,$C161),INDEX(Dataset3_Raw!$M$2:$M$391,$E161))</f>
        <v>0.16420000000000001</v>
      </c>
      <c r="S161" s="23">
        <f>IF($C161&gt;0,INDEX(Merge_1_2!$N$2:$N$611,$C161),INDEX(Dataset3_Raw!$N$2:$N$391,$E161))</f>
        <v>2</v>
      </c>
      <c r="T161" s="23">
        <f>IF($C161&gt;0,INDEX(Merge_1_2!$O$2:$O$611,$C161),INDEX(Dataset3_Raw!$O$2:$O$391,$E161))</f>
        <v>34</v>
      </c>
      <c r="U161" s="23">
        <f>IF($C161&gt;0,INDEX(Merge_1_2!$P$2:$P$611,$C161),INDEX(Dataset3_Raw!$P$2:$P$391,$E161))</f>
        <v>36</v>
      </c>
      <c r="V161" s="23" t="str">
        <f t="shared" si="13"/>
        <v>Weekday</v>
      </c>
      <c r="W161" s="23" t="str">
        <f>VLOOKUP($M161,Lookups!$A$5:$B$8,2,FALSE())</f>
        <v>Mist / Cloudy</v>
      </c>
      <c r="X161" s="23" t="str">
        <f>VLOOKUP($G161,Lookups!$D$5:$E$8,2,FALSE())</f>
        <v>Winter</v>
      </c>
      <c r="Y161" s="23" t="str">
        <f>VLOOKUP($L161,Lookups!$G$5:$H$11,2,FALSE())</f>
        <v>Friday</v>
      </c>
      <c r="Z161" s="23" t="str">
        <f>IF($J161&lt;Lookups!$B$26,"Night",IF($J161&lt;Lookups!$B$27,"Morning",IF($J161&lt;Lookups!$B$28,"Afternoon","Evening")))</f>
        <v>Evening</v>
      </c>
      <c r="AA161" s="26">
        <f>ROUND($N161*(Lookups!$B$16-Lookups!$B$15)+Lookups!$B$15,1)</f>
        <v>0.5</v>
      </c>
      <c r="AB161" s="26">
        <f>ROUND($P161*(Lookups!$B$18-Lookups!$B$17)+Lookups!$B$17,1)</f>
        <v>-3</v>
      </c>
      <c r="AC161" s="23">
        <f t="shared" si="14"/>
        <v>43</v>
      </c>
      <c r="AD161" s="23">
        <f>ROUND($R161*Lookups!$B$19,1)</f>
        <v>11</v>
      </c>
      <c r="AE161" s="27">
        <f t="shared" si="15"/>
        <v>0.94444444444444442</v>
      </c>
      <c r="AF161" s="23" t="str">
        <f>IF($U161&gt;=Lookups!$B$23,"High",IF($U161&gt;=Lookups!$B$22,"Medium","Low"))</f>
        <v>Medium</v>
      </c>
      <c r="AG161" s="23">
        <f>ROUND(IF($V161="Weekday",IF(INDEX(Hourly_Analysis!$D$5:$D$28,$J161+1)&gt;0,($U161-INDEX(Hourly_Analysis!$C$5:$C$28,$J161+1))/INDEX(Hourly_Analysis!$D$5:$D$28,$J161+1),0),IF(INDEX(Hourly_Analysis!$G$5:$G$28,$J161+1)&gt;0,($U161-INDEX(Hourly_Analysis!$F$5:$F$28,$J161+1))/INDEX(Hourly_Analysis!$G$5:$G$28,$J161+1),0)),2)</f>
        <v>-0.2</v>
      </c>
      <c r="AH161" s="23" t="str">
        <f>IF(ABS($AG161)&gt;Lookups!$B$20,IF($AG161&gt;0,"High anomaly","Low anomaly"),"")</f>
        <v/>
      </c>
      <c r="AI161" s="23" t="str">
        <f t="shared" si="16"/>
        <v>OK</v>
      </c>
      <c r="AJ161" s="23" t="str">
        <f t="shared" si="17"/>
        <v>No</v>
      </c>
    </row>
    <row r="162" spans="1:36" x14ac:dyDescent="0.35">
      <c r="A162" s="23">
        <v>161</v>
      </c>
      <c r="B162" s="23" t="str">
        <f t="shared" si="12"/>
        <v>Merge 1+2</v>
      </c>
      <c r="C162" s="23">
        <f>IFERROR(MATCH($A162,Merge_1_2!$A$2:$A$611,0),0)</f>
        <v>161</v>
      </c>
      <c r="D162" s="23">
        <f>IF($C162&gt;0,INDEX(Merge_1_2!$Q$2:$Q$611,$C162),0)</f>
        <v>161</v>
      </c>
      <c r="E162" s="23">
        <f>IFERROR(MATCH($A162,Dataset3_Raw!$A$2:$A$391,0),0)</f>
        <v>0</v>
      </c>
      <c r="F162" s="24">
        <f>IF($C162&gt;0,INDEX(Merge_1_2!$B$2:$B$611,$C162),DATE(VALUE(RIGHT(INDEX(Dataset3_Raw!$B$2:$B$391,$E162),4)),VALUE(MID(INDEX(Dataset3_Raw!$B$2:$B$391,$E162),4,2)),VALUE(LEFT(INDEX(Dataset3_Raw!$B$2:$B$391,$E162),2))))</f>
        <v>40550</v>
      </c>
      <c r="G162" s="23">
        <f>IF($C162&gt;0,INDEX(Merge_1_2!$C$2:$C$611,$C162),INDEX(Dataset3_Raw!$C$2:$C$391,$E162))</f>
        <v>1</v>
      </c>
      <c r="H162" s="23">
        <f>IF($C162&gt;0,INDEX(Merge_1_2!$D$2:$D$611,$C162),INDEX(Dataset3_Raw!$D$2:$D$391,$E162))</f>
        <v>0</v>
      </c>
      <c r="I162" s="23">
        <f>IF($C162&gt;0,INDEX(Merge_1_2!$E$2:$E$611,$C162),INDEX(Dataset3_Raw!$E$2:$E$391,$E162))</f>
        <v>1</v>
      </c>
      <c r="J162" s="23">
        <f>IF($C162&gt;0,INDEX(Merge_1_2!$F$2:$F$611,$C162),INDEX(Dataset3_Raw!$F$2:$F$391,$E162))</f>
        <v>23</v>
      </c>
      <c r="K162" s="23" t="b">
        <f>IF($C162&gt;0,INDEX(Merge_1_2!$G$2:$G$611,$C162),INDEX(Dataset3_Raw!$G$2:$G$391,$E162))</f>
        <v>0</v>
      </c>
      <c r="L162" s="23">
        <f>IF($C162&gt;0,INDEX(Merge_1_2!$H$2:$H$611,$C162),INDEX(Dataset3_Raw!$H$2:$H$391,$E162))</f>
        <v>5</v>
      </c>
      <c r="M162" s="23">
        <f>IF($C162&gt;0,INDEX(Merge_1_2!$I$2:$I$611,$C162),INDEX(Dataset3_Raw!$I$2:$I$391,$E162))</f>
        <v>2</v>
      </c>
      <c r="N162" s="25">
        <f>IF($C162&gt;0,INDEX(Merge_1_2!$J$2:$J$611,$C162),INDEX(Dataset3_Raw!$J$2:$J$391,$E162))</f>
        <v>0.18</v>
      </c>
      <c r="O162" s="25">
        <f>IF($C162&gt;0,IF(ISNUMBER(INDEX(Merge_1_2!$K$2:$K$611,$C162)),INDEX(Merge_1_2!$K$2:$K$611,$C162),""),INDEX(Dataset3_Raw!$K$2:$K$391,$E162))</f>
        <v>0.19700000000000001</v>
      </c>
      <c r="P162" s="25">
        <f>IF(ISNUMBER($O162),$O162,ROUND(Lookups!$B$25+Lookups!$B$24*$N162,4))</f>
        <v>0.19700000000000001</v>
      </c>
      <c r="Q162" s="25">
        <f>IF($C162&gt;0,INDEX(Merge_1_2!$L$2:$L$611,$C162),INDEX(Dataset3_Raw!$L$2:$L$391,$E162))</f>
        <v>0.51</v>
      </c>
      <c r="R162" s="25">
        <f>IF($C162&gt;0,INDEX(Merge_1_2!$M$2:$M$611,$C162),INDEX(Dataset3_Raw!$M$2:$M$391,$E162))</f>
        <v>0.16420000000000001</v>
      </c>
      <c r="S162" s="23">
        <f>IF($C162&gt;0,INDEX(Merge_1_2!$N$2:$N$611,$C162),INDEX(Dataset3_Raw!$N$2:$N$391,$E162))</f>
        <v>1</v>
      </c>
      <c r="T162" s="23">
        <f>IF($C162&gt;0,INDEX(Merge_1_2!$O$2:$O$611,$C162),INDEX(Dataset3_Raw!$O$2:$O$391,$E162))</f>
        <v>14</v>
      </c>
      <c r="U162" s="23">
        <f>IF($C162&gt;0,INDEX(Merge_1_2!$P$2:$P$611,$C162),INDEX(Dataset3_Raw!$P$2:$P$391,$E162))</f>
        <v>15</v>
      </c>
      <c r="V162" s="23" t="str">
        <f t="shared" si="13"/>
        <v>Weekday</v>
      </c>
      <c r="W162" s="23" t="str">
        <f>VLOOKUP($M162,Lookups!$A$5:$B$8,2,FALSE())</f>
        <v>Mist / Cloudy</v>
      </c>
      <c r="X162" s="23" t="str">
        <f>VLOOKUP($G162,Lookups!$D$5:$E$8,2,FALSE())</f>
        <v>Winter</v>
      </c>
      <c r="Y162" s="23" t="str">
        <f>VLOOKUP($L162,Lookups!$G$5:$H$11,2,FALSE())</f>
        <v>Friday</v>
      </c>
      <c r="Z162" s="23" t="str">
        <f>IF($J162&lt;Lookups!$B$26,"Night",IF($J162&lt;Lookups!$B$27,"Morning",IF($J162&lt;Lookups!$B$28,"Afternoon","Evening")))</f>
        <v>Evening</v>
      </c>
      <c r="AA162" s="26">
        <f>ROUND($N162*(Lookups!$B$16-Lookups!$B$15)+Lookups!$B$15,1)</f>
        <v>0.5</v>
      </c>
      <c r="AB162" s="26">
        <f>ROUND($P162*(Lookups!$B$18-Lookups!$B$17)+Lookups!$B$17,1)</f>
        <v>-3</v>
      </c>
      <c r="AC162" s="23">
        <f t="shared" si="14"/>
        <v>51</v>
      </c>
      <c r="AD162" s="23">
        <f>ROUND($R162*Lookups!$B$19,1)</f>
        <v>11</v>
      </c>
      <c r="AE162" s="27">
        <f t="shared" si="15"/>
        <v>0.93333333333333335</v>
      </c>
      <c r="AF162" s="23" t="str">
        <f>IF($U162&gt;=Lookups!$B$23,"High",IF($U162&gt;=Lookups!$B$22,"Medium","Low"))</f>
        <v>Low</v>
      </c>
      <c r="AG162" s="23">
        <f>ROUND(IF($V162="Weekday",IF(INDEX(Hourly_Analysis!$D$5:$D$28,$J162+1)&gt;0,($U162-INDEX(Hourly_Analysis!$C$5:$C$28,$J162+1))/INDEX(Hourly_Analysis!$D$5:$D$28,$J162+1),0),IF(INDEX(Hourly_Analysis!$G$5:$G$28,$J162+1)&gt;0,($U162-INDEX(Hourly_Analysis!$F$5:$F$28,$J162+1))/INDEX(Hourly_Analysis!$G$5:$G$28,$J162+1),0)),2)</f>
        <v>-0.94</v>
      </c>
      <c r="AH162" s="23" t="str">
        <f>IF(ABS($AG162)&gt;Lookups!$B$20,IF($AG162&gt;0,"High anomaly","Low anomaly"),"")</f>
        <v/>
      </c>
      <c r="AI162" s="23" t="str">
        <f t="shared" si="16"/>
        <v>OK</v>
      </c>
      <c r="AJ162" s="23" t="str">
        <f t="shared" si="17"/>
        <v>No</v>
      </c>
    </row>
    <row r="163" spans="1:36" x14ac:dyDescent="0.35">
      <c r="A163" s="23">
        <v>162</v>
      </c>
      <c r="B163" s="23" t="str">
        <f t="shared" si="12"/>
        <v>Merge 1+2</v>
      </c>
      <c r="C163" s="23">
        <f>IFERROR(MATCH($A163,Merge_1_2!$A$2:$A$611,0),0)</f>
        <v>162</v>
      </c>
      <c r="D163" s="23">
        <f>IF($C163&gt;0,INDEX(Merge_1_2!$Q$2:$Q$611,$C163),0)</f>
        <v>162</v>
      </c>
      <c r="E163" s="23">
        <f>IFERROR(MATCH($A163,Dataset3_Raw!$A$2:$A$391,0),0)</f>
        <v>0</v>
      </c>
      <c r="F163" s="24">
        <f>IF($C163&gt;0,INDEX(Merge_1_2!$B$2:$B$611,$C163),DATE(VALUE(RIGHT(INDEX(Dataset3_Raw!$B$2:$B$391,$E163),4)),VALUE(MID(INDEX(Dataset3_Raw!$B$2:$B$391,$E163),4,2)),VALUE(LEFT(INDEX(Dataset3_Raw!$B$2:$B$391,$E163),2))))</f>
        <v>40551</v>
      </c>
      <c r="G163" s="23">
        <f>IF($C163&gt;0,INDEX(Merge_1_2!$C$2:$C$611,$C163),INDEX(Dataset3_Raw!$C$2:$C$391,$E163))</f>
        <v>1</v>
      </c>
      <c r="H163" s="23">
        <f>IF($C163&gt;0,INDEX(Merge_1_2!$D$2:$D$611,$C163),INDEX(Dataset3_Raw!$D$2:$D$391,$E163))</f>
        <v>0</v>
      </c>
      <c r="I163" s="23">
        <f>IF($C163&gt;0,INDEX(Merge_1_2!$E$2:$E$611,$C163),INDEX(Dataset3_Raw!$E$2:$E$391,$E163))</f>
        <v>1</v>
      </c>
      <c r="J163" s="23">
        <f>IF($C163&gt;0,INDEX(Merge_1_2!$F$2:$F$611,$C163),INDEX(Dataset3_Raw!$F$2:$F$391,$E163))</f>
        <v>0</v>
      </c>
      <c r="K163" s="23" t="b">
        <f>IF($C163&gt;0,INDEX(Merge_1_2!$G$2:$G$611,$C163),INDEX(Dataset3_Raw!$G$2:$G$391,$E163))</f>
        <v>0</v>
      </c>
      <c r="L163" s="23">
        <f>IF($C163&gt;0,INDEX(Merge_1_2!$H$2:$H$611,$C163),INDEX(Dataset3_Raw!$H$2:$H$391,$E163))</f>
        <v>6</v>
      </c>
      <c r="M163" s="23">
        <f>IF($C163&gt;0,INDEX(Merge_1_2!$I$2:$I$611,$C163),INDEX(Dataset3_Raw!$I$2:$I$391,$E163))</f>
        <v>2</v>
      </c>
      <c r="N163" s="25">
        <f>IF($C163&gt;0,INDEX(Merge_1_2!$J$2:$J$611,$C163),INDEX(Dataset3_Raw!$J$2:$J$391,$E163))</f>
        <v>0.18</v>
      </c>
      <c r="O163" s="25">
        <f>IF($C163&gt;0,IF(ISNUMBER(INDEX(Merge_1_2!$K$2:$K$611,$C163)),INDEX(Merge_1_2!$K$2:$K$611,$C163),""),INDEX(Dataset3_Raw!$K$2:$K$391,$E163))</f>
        <v>0.19700000000000001</v>
      </c>
      <c r="P163" s="25">
        <f>IF(ISNUMBER($O163),$O163,ROUND(Lookups!$B$25+Lookups!$B$24*$N163,4))</f>
        <v>0.19700000000000001</v>
      </c>
      <c r="Q163" s="25">
        <f>IF($C163&gt;0,INDEX(Merge_1_2!$L$2:$L$611,$C163),INDEX(Dataset3_Raw!$L$2:$L$391,$E163))</f>
        <v>0.51</v>
      </c>
      <c r="R163" s="25">
        <f>IF($C163&gt;0,INDEX(Merge_1_2!$M$2:$M$611,$C163),INDEX(Dataset3_Raw!$M$2:$M$391,$E163))</f>
        <v>0.16420000000000001</v>
      </c>
      <c r="S163" s="23">
        <f>IF($C163&gt;0,INDEX(Merge_1_2!$N$2:$N$611,$C163),INDEX(Dataset3_Raw!$N$2:$N$391,$E163))</f>
        <v>1</v>
      </c>
      <c r="T163" s="23">
        <f>IF($C163&gt;0,INDEX(Merge_1_2!$O$2:$O$611,$C163),INDEX(Dataset3_Raw!$O$2:$O$391,$E163))</f>
        <v>24</v>
      </c>
      <c r="U163" s="23">
        <f>IF($C163&gt;0,INDEX(Merge_1_2!$P$2:$P$611,$C163),INDEX(Dataset3_Raw!$P$2:$P$391,$E163))</f>
        <v>25</v>
      </c>
      <c r="V163" s="23" t="str">
        <f t="shared" si="13"/>
        <v>Weekend</v>
      </c>
      <c r="W163" s="23" t="str">
        <f>VLOOKUP($M163,Lookups!$A$5:$B$8,2,FALSE())</f>
        <v>Mist / Cloudy</v>
      </c>
      <c r="X163" s="23" t="str">
        <f>VLOOKUP($G163,Lookups!$D$5:$E$8,2,FALSE())</f>
        <v>Winter</v>
      </c>
      <c r="Y163" s="23" t="str">
        <f>VLOOKUP($L163,Lookups!$G$5:$H$11,2,FALSE())</f>
        <v>Saturday</v>
      </c>
      <c r="Z163" s="23" t="str">
        <f>IF($J163&lt;Lookups!$B$26,"Night",IF($J163&lt;Lookups!$B$27,"Morning",IF($J163&lt;Lookups!$B$28,"Afternoon","Evening")))</f>
        <v>Night</v>
      </c>
      <c r="AA163" s="26">
        <f>ROUND($N163*(Lookups!$B$16-Lookups!$B$15)+Lookups!$B$15,1)</f>
        <v>0.5</v>
      </c>
      <c r="AB163" s="26">
        <f>ROUND($P163*(Lookups!$B$18-Lookups!$B$17)+Lookups!$B$17,1)</f>
        <v>-3</v>
      </c>
      <c r="AC163" s="23">
        <f t="shared" si="14"/>
        <v>51</v>
      </c>
      <c r="AD163" s="23">
        <f>ROUND($R163*Lookups!$B$19,1)</f>
        <v>11</v>
      </c>
      <c r="AE163" s="27">
        <f t="shared" si="15"/>
        <v>0.96</v>
      </c>
      <c r="AF163" s="23" t="str">
        <f>IF($U163&gt;=Lookups!$B$23,"High",IF($U163&gt;=Lookups!$B$22,"Medium","Low"))</f>
        <v>Medium</v>
      </c>
      <c r="AG163" s="23">
        <f>ROUND(IF($V163="Weekday",IF(INDEX(Hourly_Analysis!$D$5:$D$28,$J163+1)&gt;0,($U163-INDEX(Hourly_Analysis!$C$5:$C$28,$J163+1))/INDEX(Hourly_Analysis!$D$5:$D$28,$J163+1),0),IF(INDEX(Hourly_Analysis!$G$5:$G$28,$J163+1)&gt;0,($U163-INDEX(Hourly_Analysis!$F$5:$F$28,$J163+1))/INDEX(Hourly_Analysis!$G$5:$G$28,$J163+1),0)),2)</f>
        <v>-0.26</v>
      </c>
      <c r="AH163" s="23" t="str">
        <f>IF(ABS($AG163)&gt;Lookups!$B$20,IF($AG163&gt;0,"High anomaly","Low anomaly"),"")</f>
        <v/>
      </c>
      <c r="AI163" s="23" t="str">
        <f t="shared" si="16"/>
        <v>OK</v>
      </c>
      <c r="AJ163" s="23" t="str">
        <f t="shared" si="17"/>
        <v>No</v>
      </c>
    </row>
    <row r="164" spans="1:36" x14ac:dyDescent="0.35">
      <c r="A164" s="23">
        <v>163</v>
      </c>
      <c r="B164" s="23" t="str">
        <f t="shared" si="12"/>
        <v>Merge 1+2</v>
      </c>
      <c r="C164" s="23">
        <f>IFERROR(MATCH($A164,Merge_1_2!$A$2:$A$611,0),0)</f>
        <v>163</v>
      </c>
      <c r="D164" s="23">
        <f>IF($C164&gt;0,INDEX(Merge_1_2!$Q$2:$Q$611,$C164),0)</f>
        <v>163</v>
      </c>
      <c r="E164" s="23">
        <f>IFERROR(MATCH($A164,Dataset3_Raw!$A$2:$A$391,0),0)</f>
        <v>0</v>
      </c>
      <c r="F164" s="24">
        <f>IF($C164&gt;0,INDEX(Merge_1_2!$B$2:$B$611,$C164),DATE(VALUE(RIGHT(INDEX(Dataset3_Raw!$B$2:$B$391,$E164),4)),VALUE(MID(INDEX(Dataset3_Raw!$B$2:$B$391,$E164),4,2)),VALUE(LEFT(INDEX(Dataset3_Raw!$B$2:$B$391,$E164),2))))</f>
        <v>40551</v>
      </c>
      <c r="G164" s="23">
        <f>IF($C164&gt;0,INDEX(Merge_1_2!$C$2:$C$611,$C164),INDEX(Dataset3_Raw!$C$2:$C$391,$E164))</f>
        <v>1</v>
      </c>
      <c r="H164" s="23">
        <f>IF($C164&gt;0,INDEX(Merge_1_2!$D$2:$D$611,$C164),INDEX(Dataset3_Raw!$D$2:$D$391,$E164))</f>
        <v>0</v>
      </c>
      <c r="I164" s="23">
        <f>IF($C164&gt;0,INDEX(Merge_1_2!$E$2:$E$611,$C164),INDEX(Dataset3_Raw!$E$2:$E$391,$E164))</f>
        <v>1</v>
      </c>
      <c r="J164" s="23">
        <f>IF($C164&gt;0,INDEX(Merge_1_2!$F$2:$F$611,$C164),INDEX(Dataset3_Raw!$F$2:$F$391,$E164))</f>
        <v>1</v>
      </c>
      <c r="K164" s="23" t="b">
        <f>IF($C164&gt;0,INDEX(Merge_1_2!$G$2:$G$611,$C164),INDEX(Dataset3_Raw!$G$2:$G$391,$E164))</f>
        <v>0</v>
      </c>
      <c r="L164" s="23">
        <f>IF($C164&gt;0,INDEX(Merge_1_2!$H$2:$H$611,$C164),INDEX(Dataset3_Raw!$H$2:$H$391,$E164))</f>
        <v>6</v>
      </c>
      <c r="M164" s="23">
        <f>IF($C164&gt;0,INDEX(Merge_1_2!$I$2:$I$611,$C164),INDEX(Dataset3_Raw!$I$2:$I$391,$E164))</f>
        <v>2</v>
      </c>
      <c r="N164" s="25">
        <f>IF($C164&gt;0,INDEX(Merge_1_2!$J$2:$J$611,$C164),INDEX(Dataset3_Raw!$J$2:$J$391,$E164))</f>
        <v>0.18</v>
      </c>
      <c r="O164" s="25">
        <f>IF($C164&gt;0,IF(ISNUMBER(INDEX(Merge_1_2!$K$2:$K$611,$C164)),INDEX(Merge_1_2!$K$2:$K$611,$C164),""),INDEX(Dataset3_Raw!$K$2:$K$391,$E164))</f>
        <v>0.21210000000000001</v>
      </c>
      <c r="P164" s="25">
        <f>IF(ISNUMBER($O164),$O164,ROUND(Lookups!$B$25+Lookups!$B$24*$N164,4))</f>
        <v>0.21210000000000001</v>
      </c>
      <c r="Q164" s="25">
        <f>IF($C164&gt;0,INDEX(Merge_1_2!$L$2:$L$611,$C164),INDEX(Dataset3_Raw!$L$2:$L$391,$E164))</f>
        <v>0.55000000000000004</v>
      </c>
      <c r="R164" s="25">
        <f>IF($C164&gt;0,INDEX(Merge_1_2!$M$2:$M$611,$C164),INDEX(Dataset3_Raw!$M$2:$M$391,$E164))</f>
        <v>8.9599999999999999E-2</v>
      </c>
      <c r="S164" s="23">
        <f>IF($C164&gt;0,INDEX(Merge_1_2!$N$2:$N$611,$C164),INDEX(Dataset3_Raw!$N$2:$N$391,$E164))</f>
        <v>1</v>
      </c>
      <c r="T164" s="23">
        <f>IF($C164&gt;0,INDEX(Merge_1_2!$O$2:$O$611,$C164),INDEX(Dataset3_Raw!$O$2:$O$391,$E164))</f>
        <v>15</v>
      </c>
      <c r="U164" s="23">
        <f>IF($C164&gt;0,INDEX(Merge_1_2!$P$2:$P$611,$C164),INDEX(Dataset3_Raw!$P$2:$P$391,$E164))</f>
        <v>16</v>
      </c>
      <c r="V164" s="23" t="str">
        <f t="shared" si="13"/>
        <v>Weekend</v>
      </c>
      <c r="W164" s="23" t="str">
        <f>VLOOKUP($M164,Lookups!$A$5:$B$8,2,FALSE())</f>
        <v>Mist / Cloudy</v>
      </c>
      <c r="X164" s="23" t="str">
        <f>VLOOKUP($G164,Lookups!$D$5:$E$8,2,FALSE())</f>
        <v>Winter</v>
      </c>
      <c r="Y164" s="23" t="str">
        <f>VLOOKUP($L164,Lookups!$G$5:$H$11,2,FALSE())</f>
        <v>Saturday</v>
      </c>
      <c r="Z164" s="23" t="str">
        <f>IF($J164&lt;Lookups!$B$26,"Night",IF($J164&lt;Lookups!$B$27,"Morning",IF($J164&lt;Lookups!$B$28,"Afternoon","Evening")))</f>
        <v>Night</v>
      </c>
      <c r="AA164" s="26">
        <f>ROUND($N164*(Lookups!$B$16-Lookups!$B$15)+Lookups!$B$15,1)</f>
        <v>0.5</v>
      </c>
      <c r="AB164" s="26">
        <f>ROUND($P164*(Lookups!$B$18-Lookups!$B$17)+Lookups!$B$17,1)</f>
        <v>-2</v>
      </c>
      <c r="AC164" s="23">
        <f t="shared" si="14"/>
        <v>55</v>
      </c>
      <c r="AD164" s="23">
        <f>ROUND($R164*Lookups!$B$19,1)</f>
        <v>6</v>
      </c>
      <c r="AE164" s="27">
        <f t="shared" si="15"/>
        <v>0.9375</v>
      </c>
      <c r="AF164" s="23" t="str">
        <f>IF($U164&gt;=Lookups!$B$23,"High",IF($U164&gt;=Lookups!$B$22,"Medium","Low"))</f>
        <v>Medium</v>
      </c>
      <c r="AG164" s="23">
        <f>ROUND(IF($V164="Weekday",IF(INDEX(Hourly_Analysis!$D$5:$D$28,$J164+1)&gt;0,($U164-INDEX(Hourly_Analysis!$C$5:$C$28,$J164+1))/INDEX(Hourly_Analysis!$D$5:$D$28,$J164+1),0),IF(INDEX(Hourly_Analysis!$G$5:$G$28,$J164+1)&gt;0,($U164-INDEX(Hourly_Analysis!$F$5:$F$28,$J164+1))/INDEX(Hourly_Analysis!$G$5:$G$28,$J164+1),0)),2)</f>
        <v>-0.62</v>
      </c>
      <c r="AH164" s="23" t="str">
        <f>IF(ABS($AG164)&gt;Lookups!$B$20,IF($AG164&gt;0,"High anomaly","Low anomaly"),"")</f>
        <v/>
      </c>
      <c r="AI164" s="23" t="str">
        <f t="shared" si="16"/>
        <v>OK</v>
      </c>
      <c r="AJ164" s="23" t="str">
        <f t="shared" si="17"/>
        <v>No</v>
      </c>
    </row>
    <row r="165" spans="1:36" x14ac:dyDescent="0.35">
      <c r="A165" s="23">
        <v>164</v>
      </c>
      <c r="B165" s="23" t="str">
        <f t="shared" si="12"/>
        <v>Merge 1+2</v>
      </c>
      <c r="C165" s="23">
        <f>IFERROR(MATCH($A165,Merge_1_2!$A$2:$A$611,0),0)</f>
        <v>164</v>
      </c>
      <c r="D165" s="23">
        <f>IF($C165&gt;0,INDEX(Merge_1_2!$Q$2:$Q$611,$C165),0)</f>
        <v>164</v>
      </c>
      <c r="E165" s="23">
        <f>IFERROR(MATCH($A165,Dataset3_Raw!$A$2:$A$391,0),0)</f>
        <v>0</v>
      </c>
      <c r="F165" s="24">
        <f>IF($C165&gt;0,INDEX(Merge_1_2!$B$2:$B$611,$C165),DATE(VALUE(RIGHT(INDEX(Dataset3_Raw!$B$2:$B$391,$E165),4)),VALUE(MID(INDEX(Dataset3_Raw!$B$2:$B$391,$E165),4,2)),VALUE(LEFT(INDEX(Dataset3_Raw!$B$2:$B$391,$E165),2))))</f>
        <v>40551</v>
      </c>
      <c r="G165" s="23">
        <f>IF($C165&gt;0,INDEX(Merge_1_2!$C$2:$C$611,$C165),INDEX(Dataset3_Raw!$C$2:$C$391,$E165))</f>
        <v>1</v>
      </c>
      <c r="H165" s="23">
        <f>IF($C165&gt;0,INDEX(Merge_1_2!$D$2:$D$611,$C165),INDEX(Dataset3_Raw!$D$2:$D$391,$E165))</f>
        <v>0</v>
      </c>
      <c r="I165" s="23">
        <f>IF($C165&gt;0,INDEX(Merge_1_2!$E$2:$E$611,$C165),INDEX(Dataset3_Raw!$E$2:$E$391,$E165))</f>
        <v>1</v>
      </c>
      <c r="J165" s="23">
        <f>IF($C165&gt;0,INDEX(Merge_1_2!$F$2:$F$611,$C165),INDEX(Dataset3_Raw!$F$2:$F$391,$E165))</f>
        <v>2</v>
      </c>
      <c r="K165" s="23" t="b">
        <f>IF($C165&gt;0,INDEX(Merge_1_2!$G$2:$G$611,$C165),INDEX(Dataset3_Raw!$G$2:$G$391,$E165))</f>
        <v>0</v>
      </c>
      <c r="L165" s="23">
        <f>IF($C165&gt;0,INDEX(Merge_1_2!$H$2:$H$611,$C165),INDEX(Dataset3_Raw!$H$2:$H$391,$E165))</f>
        <v>6</v>
      </c>
      <c r="M165" s="23">
        <f>IF($C165&gt;0,INDEX(Merge_1_2!$I$2:$I$611,$C165),INDEX(Dataset3_Raw!$I$2:$I$391,$E165))</f>
        <v>2</v>
      </c>
      <c r="N165" s="25">
        <f>IF($C165&gt;0,INDEX(Merge_1_2!$J$2:$J$611,$C165),INDEX(Dataset3_Raw!$J$2:$J$391,$E165))</f>
        <v>0.18</v>
      </c>
      <c r="O165" s="25">
        <f>IF($C165&gt;0,IF(ISNUMBER(INDEX(Merge_1_2!$K$2:$K$611,$C165)),INDEX(Merge_1_2!$K$2:$K$611,$C165),""),INDEX(Dataset3_Raw!$K$2:$K$391,$E165))</f>
        <v>0.2424</v>
      </c>
      <c r="P165" s="25">
        <f>IF(ISNUMBER($O165),$O165,ROUND(Lookups!$B$25+Lookups!$B$24*$N165,4))</f>
        <v>0.2424</v>
      </c>
      <c r="Q165" s="25">
        <f>IF($C165&gt;0,INDEX(Merge_1_2!$L$2:$L$611,$C165),INDEX(Dataset3_Raw!$L$2:$L$391,$E165))</f>
        <v>0.55000000000000004</v>
      </c>
      <c r="R165" s="25">
        <f>IF($C165&gt;0,INDEX(Merge_1_2!$M$2:$M$611,$C165),INDEX(Dataset3_Raw!$M$2:$M$391,$E165))</f>
        <v>0</v>
      </c>
      <c r="S165" s="23">
        <f>IF($C165&gt;0,INDEX(Merge_1_2!$N$2:$N$611,$C165),INDEX(Dataset3_Raw!$N$2:$N$391,$E165))</f>
        <v>3</v>
      </c>
      <c r="T165" s="23">
        <f>IF($C165&gt;0,INDEX(Merge_1_2!$O$2:$O$611,$C165),INDEX(Dataset3_Raw!$O$2:$O$391,$E165))</f>
        <v>13</v>
      </c>
      <c r="U165" s="23">
        <f>IF($C165&gt;0,INDEX(Merge_1_2!$P$2:$P$611,$C165),INDEX(Dataset3_Raw!$P$2:$P$391,$E165))</f>
        <v>16</v>
      </c>
      <c r="V165" s="23" t="str">
        <f t="shared" si="13"/>
        <v>Weekend</v>
      </c>
      <c r="W165" s="23" t="str">
        <f>VLOOKUP($M165,Lookups!$A$5:$B$8,2,FALSE())</f>
        <v>Mist / Cloudy</v>
      </c>
      <c r="X165" s="23" t="str">
        <f>VLOOKUP($G165,Lookups!$D$5:$E$8,2,FALSE())</f>
        <v>Winter</v>
      </c>
      <c r="Y165" s="23" t="str">
        <f>VLOOKUP($L165,Lookups!$G$5:$H$11,2,FALSE())</f>
        <v>Saturday</v>
      </c>
      <c r="Z165" s="23" t="str">
        <f>IF($J165&lt;Lookups!$B$26,"Night",IF($J165&lt;Lookups!$B$27,"Morning",IF($J165&lt;Lookups!$B$28,"Afternoon","Evening")))</f>
        <v>Night</v>
      </c>
      <c r="AA165" s="26">
        <f>ROUND($N165*(Lookups!$B$16-Lookups!$B$15)+Lookups!$B$15,1)</f>
        <v>0.5</v>
      </c>
      <c r="AB165" s="26">
        <f>ROUND($P165*(Lookups!$B$18-Lookups!$B$17)+Lookups!$B$17,1)</f>
        <v>0</v>
      </c>
      <c r="AC165" s="23">
        <f t="shared" si="14"/>
        <v>55</v>
      </c>
      <c r="AD165" s="23">
        <f>ROUND($R165*Lookups!$B$19,1)</f>
        <v>0</v>
      </c>
      <c r="AE165" s="27">
        <f t="shared" si="15"/>
        <v>0.8125</v>
      </c>
      <c r="AF165" s="23" t="str">
        <f>IF($U165&gt;=Lookups!$B$23,"High",IF($U165&gt;=Lookups!$B$22,"Medium","Low"))</f>
        <v>Medium</v>
      </c>
      <c r="AG165" s="23">
        <f>ROUND(IF($V165="Weekday",IF(INDEX(Hourly_Analysis!$D$5:$D$28,$J165+1)&gt;0,($U165-INDEX(Hourly_Analysis!$C$5:$C$28,$J165+1))/INDEX(Hourly_Analysis!$D$5:$D$28,$J165+1),0),IF(INDEX(Hourly_Analysis!$G$5:$G$28,$J165+1)&gt;0,($U165-INDEX(Hourly_Analysis!$F$5:$F$28,$J165+1))/INDEX(Hourly_Analysis!$G$5:$G$28,$J165+1),0)),2)</f>
        <v>0.1</v>
      </c>
      <c r="AH165" s="23" t="str">
        <f>IF(ABS($AG165)&gt;Lookups!$B$20,IF($AG165&gt;0,"High anomaly","Low anomaly"),"")</f>
        <v/>
      </c>
      <c r="AI165" s="23" t="str">
        <f t="shared" si="16"/>
        <v>OK</v>
      </c>
      <c r="AJ165" s="23" t="str">
        <f t="shared" si="17"/>
        <v>No</v>
      </c>
    </row>
    <row r="166" spans="1:36" x14ac:dyDescent="0.35">
      <c r="A166" s="23">
        <v>165</v>
      </c>
      <c r="B166" s="23" t="str">
        <f t="shared" si="12"/>
        <v>Merge 1+2</v>
      </c>
      <c r="C166" s="23">
        <f>IFERROR(MATCH($A166,Merge_1_2!$A$2:$A$611,0),0)</f>
        <v>165</v>
      </c>
      <c r="D166" s="23">
        <f>IF($C166&gt;0,INDEX(Merge_1_2!$Q$2:$Q$611,$C166),0)</f>
        <v>165</v>
      </c>
      <c r="E166" s="23">
        <f>IFERROR(MATCH($A166,Dataset3_Raw!$A$2:$A$391,0),0)</f>
        <v>0</v>
      </c>
      <c r="F166" s="24">
        <f>IF($C166&gt;0,INDEX(Merge_1_2!$B$2:$B$611,$C166),DATE(VALUE(RIGHT(INDEX(Dataset3_Raw!$B$2:$B$391,$E166),4)),VALUE(MID(INDEX(Dataset3_Raw!$B$2:$B$391,$E166),4,2)),VALUE(LEFT(INDEX(Dataset3_Raw!$B$2:$B$391,$E166),2))))</f>
        <v>40551</v>
      </c>
      <c r="G166" s="23">
        <f>IF($C166&gt;0,INDEX(Merge_1_2!$C$2:$C$611,$C166),INDEX(Dataset3_Raw!$C$2:$C$391,$E166))</f>
        <v>1</v>
      </c>
      <c r="H166" s="23">
        <f>IF($C166&gt;0,INDEX(Merge_1_2!$D$2:$D$611,$C166),INDEX(Dataset3_Raw!$D$2:$D$391,$E166))</f>
        <v>0</v>
      </c>
      <c r="I166" s="23">
        <f>IF($C166&gt;0,INDEX(Merge_1_2!$E$2:$E$611,$C166),INDEX(Dataset3_Raw!$E$2:$E$391,$E166))</f>
        <v>1</v>
      </c>
      <c r="J166" s="23">
        <f>IF($C166&gt;0,INDEX(Merge_1_2!$F$2:$F$611,$C166),INDEX(Dataset3_Raw!$F$2:$F$391,$E166))</f>
        <v>3</v>
      </c>
      <c r="K166" s="23" t="b">
        <f>IF($C166&gt;0,INDEX(Merge_1_2!$G$2:$G$611,$C166),INDEX(Dataset3_Raw!$G$2:$G$391,$E166))</f>
        <v>0</v>
      </c>
      <c r="L166" s="23">
        <f>IF($C166&gt;0,INDEX(Merge_1_2!$H$2:$H$611,$C166),INDEX(Dataset3_Raw!$H$2:$H$391,$E166))</f>
        <v>6</v>
      </c>
      <c r="M166" s="23">
        <f>IF($C166&gt;0,INDEX(Merge_1_2!$I$2:$I$611,$C166),INDEX(Dataset3_Raw!$I$2:$I$391,$E166))</f>
        <v>3</v>
      </c>
      <c r="N166" s="25">
        <f>IF($C166&gt;0,INDEX(Merge_1_2!$J$2:$J$611,$C166),INDEX(Dataset3_Raw!$J$2:$J$391,$E166))</f>
        <v>0.18</v>
      </c>
      <c r="O166" s="25">
        <f>IF($C166&gt;0,IF(ISNUMBER(INDEX(Merge_1_2!$K$2:$K$611,$C166)),INDEX(Merge_1_2!$K$2:$K$611,$C166),""),INDEX(Dataset3_Raw!$K$2:$K$391,$E166))</f>
        <v>0.19700000000000001</v>
      </c>
      <c r="P166" s="25">
        <f>IF(ISNUMBER($O166),$O166,ROUND(Lookups!$B$25+Lookups!$B$24*$N166,4))</f>
        <v>0.19700000000000001</v>
      </c>
      <c r="Q166" s="25">
        <f>IF($C166&gt;0,INDEX(Merge_1_2!$L$2:$L$611,$C166),INDEX(Dataset3_Raw!$L$2:$L$391,$E166))</f>
        <v>0.55000000000000004</v>
      </c>
      <c r="R166" s="25">
        <f>IF($C166&gt;0,INDEX(Merge_1_2!$M$2:$M$611,$C166),INDEX(Dataset3_Raw!$M$2:$M$391,$E166))</f>
        <v>0.16420000000000001</v>
      </c>
      <c r="S166" s="23">
        <f>IF($C166&gt;0,INDEX(Merge_1_2!$N$2:$N$611,$C166),INDEX(Dataset3_Raw!$N$2:$N$391,$E166))</f>
        <v>0</v>
      </c>
      <c r="T166" s="23">
        <f>IF($C166&gt;0,INDEX(Merge_1_2!$O$2:$O$611,$C166),INDEX(Dataset3_Raw!$O$2:$O$391,$E166))</f>
        <v>7</v>
      </c>
      <c r="U166" s="23">
        <f>IF($C166&gt;0,INDEX(Merge_1_2!$P$2:$P$611,$C166),INDEX(Dataset3_Raw!$P$2:$P$391,$E166))</f>
        <v>7</v>
      </c>
      <c r="V166" s="23" t="str">
        <f t="shared" si="13"/>
        <v>Weekend</v>
      </c>
      <c r="W166" s="23" t="str">
        <f>VLOOKUP($M166,Lookups!$A$5:$B$8,2,FALSE())</f>
        <v>Light snow / Light rain</v>
      </c>
      <c r="X166" s="23" t="str">
        <f>VLOOKUP($G166,Lookups!$D$5:$E$8,2,FALSE())</f>
        <v>Winter</v>
      </c>
      <c r="Y166" s="23" t="str">
        <f>VLOOKUP($L166,Lookups!$G$5:$H$11,2,FALSE())</f>
        <v>Saturday</v>
      </c>
      <c r="Z166" s="23" t="str">
        <f>IF($J166&lt;Lookups!$B$26,"Night",IF($J166&lt;Lookups!$B$27,"Morning",IF($J166&lt;Lookups!$B$28,"Afternoon","Evening")))</f>
        <v>Night</v>
      </c>
      <c r="AA166" s="26">
        <f>ROUND($N166*(Lookups!$B$16-Lookups!$B$15)+Lookups!$B$15,1)</f>
        <v>0.5</v>
      </c>
      <c r="AB166" s="26">
        <f>ROUND($P166*(Lookups!$B$18-Lookups!$B$17)+Lookups!$B$17,1)</f>
        <v>-3</v>
      </c>
      <c r="AC166" s="23">
        <f t="shared" si="14"/>
        <v>55</v>
      </c>
      <c r="AD166" s="23">
        <f>ROUND($R166*Lookups!$B$19,1)</f>
        <v>11</v>
      </c>
      <c r="AE166" s="27">
        <f t="shared" si="15"/>
        <v>1</v>
      </c>
      <c r="AF166" s="23" t="str">
        <f>IF($U166&gt;=Lookups!$B$23,"High",IF($U166&gt;=Lookups!$B$22,"Medium","Low"))</f>
        <v>Low</v>
      </c>
      <c r="AG166" s="23">
        <f>ROUND(IF($V166="Weekday",IF(INDEX(Hourly_Analysis!$D$5:$D$28,$J166+1)&gt;0,($U166-INDEX(Hourly_Analysis!$C$5:$C$28,$J166+1))/INDEX(Hourly_Analysis!$D$5:$D$28,$J166+1),0),IF(INDEX(Hourly_Analysis!$G$5:$G$28,$J166+1)&gt;0,($U166-INDEX(Hourly_Analysis!$F$5:$F$28,$J166+1))/INDEX(Hourly_Analysis!$G$5:$G$28,$J166+1),0)),2)</f>
        <v>-0.43</v>
      </c>
      <c r="AH166" s="23" t="str">
        <f>IF(ABS($AG166)&gt;Lookups!$B$20,IF($AG166&gt;0,"High anomaly","Low anomaly"),"")</f>
        <v/>
      </c>
      <c r="AI166" s="23" t="str">
        <f t="shared" si="16"/>
        <v>OK</v>
      </c>
      <c r="AJ166" s="23" t="str">
        <f t="shared" si="17"/>
        <v>No</v>
      </c>
    </row>
    <row r="167" spans="1:36" x14ac:dyDescent="0.35">
      <c r="A167" s="23">
        <v>166</v>
      </c>
      <c r="B167" s="23" t="str">
        <f t="shared" si="12"/>
        <v>Merge 1+2</v>
      </c>
      <c r="C167" s="23">
        <f>IFERROR(MATCH($A167,Merge_1_2!$A$2:$A$611,0),0)</f>
        <v>166</v>
      </c>
      <c r="D167" s="23">
        <f>IF($C167&gt;0,INDEX(Merge_1_2!$Q$2:$Q$611,$C167),0)</f>
        <v>166</v>
      </c>
      <c r="E167" s="23">
        <f>IFERROR(MATCH($A167,Dataset3_Raw!$A$2:$A$391,0),0)</f>
        <v>0</v>
      </c>
      <c r="F167" s="24">
        <f>IF($C167&gt;0,INDEX(Merge_1_2!$B$2:$B$611,$C167),DATE(VALUE(RIGHT(INDEX(Dataset3_Raw!$B$2:$B$391,$E167),4)),VALUE(MID(INDEX(Dataset3_Raw!$B$2:$B$391,$E167),4,2)),VALUE(LEFT(INDEX(Dataset3_Raw!$B$2:$B$391,$E167),2))))</f>
        <v>40551</v>
      </c>
      <c r="G167" s="23">
        <f>IF($C167&gt;0,INDEX(Merge_1_2!$C$2:$C$611,$C167),INDEX(Dataset3_Raw!$C$2:$C$391,$E167))</f>
        <v>1</v>
      </c>
      <c r="H167" s="23">
        <f>IF($C167&gt;0,INDEX(Merge_1_2!$D$2:$D$611,$C167),INDEX(Dataset3_Raw!$D$2:$D$391,$E167))</f>
        <v>0</v>
      </c>
      <c r="I167" s="23">
        <f>IF($C167&gt;0,INDEX(Merge_1_2!$E$2:$E$611,$C167),INDEX(Dataset3_Raw!$E$2:$E$391,$E167))</f>
        <v>1</v>
      </c>
      <c r="J167" s="23">
        <f>IF($C167&gt;0,INDEX(Merge_1_2!$F$2:$F$611,$C167),INDEX(Dataset3_Raw!$F$2:$F$391,$E167))</f>
        <v>4</v>
      </c>
      <c r="K167" s="23" t="b">
        <f>IF($C167&gt;0,INDEX(Merge_1_2!$G$2:$G$611,$C167),INDEX(Dataset3_Raw!$G$2:$G$391,$E167))</f>
        <v>0</v>
      </c>
      <c r="L167" s="23">
        <f>IF($C167&gt;0,INDEX(Merge_1_2!$H$2:$H$611,$C167),INDEX(Dataset3_Raw!$H$2:$H$391,$E167))</f>
        <v>6</v>
      </c>
      <c r="M167" s="23">
        <f>IF($C167&gt;0,INDEX(Merge_1_2!$I$2:$I$611,$C167),INDEX(Dataset3_Raw!$I$2:$I$391,$E167))</f>
        <v>3</v>
      </c>
      <c r="N167" s="25">
        <f>IF($C167&gt;0,INDEX(Merge_1_2!$J$2:$J$611,$C167),INDEX(Dataset3_Raw!$J$2:$J$391,$E167))</f>
        <v>0.18</v>
      </c>
      <c r="O167" s="25">
        <f>IF($C167&gt;0,IF(ISNUMBER(INDEX(Merge_1_2!$K$2:$K$611,$C167)),INDEX(Merge_1_2!$K$2:$K$611,$C167),""),INDEX(Dataset3_Raw!$K$2:$K$391,$E167))</f>
        <v>0.19700000000000001</v>
      </c>
      <c r="P167" s="25">
        <f>IF(ISNUMBER($O167),$O167,ROUND(Lookups!$B$25+Lookups!$B$24*$N167,4))</f>
        <v>0.19700000000000001</v>
      </c>
      <c r="Q167" s="25">
        <f>IF($C167&gt;0,INDEX(Merge_1_2!$L$2:$L$611,$C167),INDEX(Dataset3_Raw!$L$2:$L$391,$E167))</f>
        <v>0.55000000000000004</v>
      </c>
      <c r="R167" s="25">
        <f>IF($C167&gt;0,INDEX(Merge_1_2!$M$2:$M$611,$C167),INDEX(Dataset3_Raw!$M$2:$M$391,$E167))</f>
        <v>0.16420000000000001</v>
      </c>
      <c r="S167" s="23">
        <f>IF($C167&gt;0,INDEX(Merge_1_2!$N$2:$N$611,$C167),INDEX(Dataset3_Raw!$N$2:$N$391,$E167))</f>
        <v>0</v>
      </c>
      <c r="T167" s="23">
        <f>IF($C167&gt;0,INDEX(Merge_1_2!$O$2:$O$611,$C167),INDEX(Dataset3_Raw!$O$2:$O$391,$E167))</f>
        <v>1</v>
      </c>
      <c r="U167" s="23">
        <f>IF($C167&gt;0,INDEX(Merge_1_2!$P$2:$P$611,$C167),INDEX(Dataset3_Raw!$P$2:$P$391,$E167))</f>
        <v>1</v>
      </c>
      <c r="V167" s="23" t="str">
        <f t="shared" si="13"/>
        <v>Weekend</v>
      </c>
      <c r="W167" s="23" t="str">
        <f>VLOOKUP($M167,Lookups!$A$5:$B$8,2,FALSE())</f>
        <v>Light snow / Light rain</v>
      </c>
      <c r="X167" s="23" t="str">
        <f>VLOOKUP($G167,Lookups!$D$5:$E$8,2,FALSE())</f>
        <v>Winter</v>
      </c>
      <c r="Y167" s="23" t="str">
        <f>VLOOKUP($L167,Lookups!$G$5:$H$11,2,FALSE())</f>
        <v>Saturday</v>
      </c>
      <c r="Z167" s="23" t="str">
        <f>IF($J167&lt;Lookups!$B$26,"Night",IF($J167&lt;Lookups!$B$27,"Morning",IF($J167&lt;Lookups!$B$28,"Afternoon","Evening")))</f>
        <v>Night</v>
      </c>
      <c r="AA167" s="26">
        <f>ROUND($N167*(Lookups!$B$16-Lookups!$B$15)+Lookups!$B$15,1)</f>
        <v>0.5</v>
      </c>
      <c r="AB167" s="26">
        <f>ROUND($P167*(Lookups!$B$18-Lookups!$B$17)+Lookups!$B$17,1)</f>
        <v>-3</v>
      </c>
      <c r="AC167" s="23">
        <f t="shared" si="14"/>
        <v>55</v>
      </c>
      <c r="AD167" s="23">
        <f>ROUND($R167*Lookups!$B$19,1)</f>
        <v>11</v>
      </c>
      <c r="AE167" s="27">
        <f t="shared" si="15"/>
        <v>1</v>
      </c>
      <c r="AF167" s="23" t="str">
        <f>IF($U167&gt;=Lookups!$B$23,"High",IF($U167&gt;=Lookups!$B$22,"Medium","Low"))</f>
        <v>Low</v>
      </c>
      <c r="AG167" s="23">
        <f>ROUND(IF($V167="Weekday",IF(INDEX(Hourly_Analysis!$D$5:$D$28,$J167+1)&gt;0,($U167-INDEX(Hourly_Analysis!$C$5:$C$28,$J167+1))/INDEX(Hourly_Analysis!$D$5:$D$28,$J167+1),0),IF(INDEX(Hourly_Analysis!$G$5:$G$28,$J167+1)&gt;0,($U167-INDEX(Hourly_Analysis!$F$5:$F$28,$J167+1))/INDEX(Hourly_Analysis!$G$5:$G$28,$J167+1),0)),2)</f>
        <v>-0.87</v>
      </c>
      <c r="AH167" s="23" t="str">
        <f>IF(ABS($AG167)&gt;Lookups!$B$20,IF($AG167&gt;0,"High anomaly","Low anomaly"),"")</f>
        <v/>
      </c>
      <c r="AI167" s="23" t="str">
        <f t="shared" si="16"/>
        <v>OK</v>
      </c>
      <c r="AJ167" s="23" t="str">
        <f t="shared" si="17"/>
        <v>No</v>
      </c>
    </row>
    <row r="168" spans="1:36" x14ac:dyDescent="0.35">
      <c r="A168" s="23">
        <v>167</v>
      </c>
      <c r="B168" s="23" t="str">
        <f t="shared" si="12"/>
        <v>Merge 1+2</v>
      </c>
      <c r="C168" s="23">
        <f>IFERROR(MATCH($A168,Merge_1_2!$A$2:$A$611,0),0)</f>
        <v>167</v>
      </c>
      <c r="D168" s="23">
        <f>IF($C168&gt;0,INDEX(Merge_1_2!$Q$2:$Q$611,$C168),0)</f>
        <v>167</v>
      </c>
      <c r="E168" s="23">
        <f>IFERROR(MATCH($A168,Dataset3_Raw!$A$2:$A$391,0),0)</f>
        <v>0</v>
      </c>
      <c r="F168" s="24">
        <f>IF($C168&gt;0,INDEX(Merge_1_2!$B$2:$B$611,$C168),DATE(VALUE(RIGHT(INDEX(Dataset3_Raw!$B$2:$B$391,$E168),4)),VALUE(MID(INDEX(Dataset3_Raw!$B$2:$B$391,$E168),4,2)),VALUE(LEFT(INDEX(Dataset3_Raw!$B$2:$B$391,$E168),2))))</f>
        <v>40551</v>
      </c>
      <c r="G168" s="23">
        <f>IF($C168&gt;0,INDEX(Merge_1_2!$C$2:$C$611,$C168),INDEX(Dataset3_Raw!$C$2:$C$391,$E168))</f>
        <v>1</v>
      </c>
      <c r="H168" s="23">
        <f>IF($C168&gt;0,INDEX(Merge_1_2!$D$2:$D$611,$C168),INDEX(Dataset3_Raw!$D$2:$D$391,$E168))</f>
        <v>0</v>
      </c>
      <c r="I168" s="23">
        <f>IF($C168&gt;0,INDEX(Merge_1_2!$E$2:$E$611,$C168),INDEX(Dataset3_Raw!$E$2:$E$391,$E168))</f>
        <v>1</v>
      </c>
      <c r="J168" s="23">
        <f>IF($C168&gt;0,INDEX(Merge_1_2!$F$2:$F$611,$C168),INDEX(Dataset3_Raw!$F$2:$F$391,$E168))</f>
        <v>5</v>
      </c>
      <c r="K168" s="23" t="b">
        <f>IF($C168&gt;0,INDEX(Merge_1_2!$G$2:$G$611,$C168),INDEX(Dataset3_Raw!$G$2:$G$391,$E168))</f>
        <v>0</v>
      </c>
      <c r="L168" s="23">
        <f>IF($C168&gt;0,INDEX(Merge_1_2!$H$2:$H$611,$C168),INDEX(Dataset3_Raw!$H$2:$H$391,$E168))</f>
        <v>6</v>
      </c>
      <c r="M168" s="23">
        <f>IF($C168&gt;0,INDEX(Merge_1_2!$I$2:$I$611,$C168),INDEX(Dataset3_Raw!$I$2:$I$391,$E168))</f>
        <v>2</v>
      </c>
      <c r="N168" s="25">
        <f>IF($C168&gt;0,INDEX(Merge_1_2!$J$2:$J$611,$C168),INDEX(Dataset3_Raw!$J$2:$J$391,$E168))</f>
        <v>0.16</v>
      </c>
      <c r="O168" s="25">
        <f>IF($C168&gt;0,IF(ISNUMBER(INDEX(Merge_1_2!$K$2:$K$611,$C168)),INDEX(Merge_1_2!$K$2:$K$611,$C168),""),INDEX(Dataset3_Raw!$K$2:$K$391,$E168))</f>
        <v>0.16669999999999999</v>
      </c>
      <c r="P168" s="25">
        <f>IF(ISNUMBER($O168),$O168,ROUND(Lookups!$B$25+Lookups!$B$24*$N168,4))</f>
        <v>0.16669999999999999</v>
      </c>
      <c r="Q168" s="25">
        <f>IF($C168&gt;0,INDEX(Merge_1_2!$L$2:$L$611,$C168),INDEX(Dataset3_Raw!$L$2:$L$391,$E168))</f>
        <v>0.74</v>
      </c>
      <c r="R168" s="25">
        <f>IF($C168&gt;0,INDEX(Merge_1_2!$M$2:$M$611,$C168),INDEX(Dataset3_Raw!$M$2:$M$391,$E168))</f>
        <v>0.16420000000000001</v>
      </c>
      <c r="S168" s="23">
        <f>IF($C168&gt;0,INDEX(Merge_1_2!$N$2:$N$611,$C168),INDEX(Dataset3_Raw!$N$2:$N$391,$E168))</f>
        <v>0</v>
      </c>
      <c r="T168" s="23">
        <f>IF($C168&gt;0,INDEX(Merge_1_2!$O$2:$O$611,$C168),INDEX(Dataset3_Raw!$O$2:$O$391,$E168))</f>
        <v>5</v>
      </c>
      <c r="U168" s="23">
        <f>IF($C168&gt;0,INDEX(Merge_1_2!$P$2:$P$611,$C168),INDEX(Dataset3_Raw!$P$2:$P$391,$E168))</f>
        <v>5</v>
      </c>
      <c r="V168" s="23" t="str">
        <f t="shared" si="13"/>
        <v>Weekend</v>
      </c>
      <c r="W168" s="23" t="str">
        <f>VLOOKUP($M168,Lookups!$A$5:$B$8,2,FALSE())</f>
        <v>Mist / Cloudy</v>
      </c>
      <c r="X168" s="23" t="str">
        <f>VLOOKUP($G168,Lookups!$D$5:$E$8,2,FALSE())</f>
        <v>Winter</v>
      </c>
      <c r="Y168" s="23" t="str">
        <f>VLOOKUP($L168,Lookups!$G$5:$H$11,2,FALSE())</f>
        <v>Saturday</v>
      </c>
      <c r="Z168" s="23" t="str">
        <f>IF($J168&lt;Lookups!$B$26,"Night",IF($J168&lt;Lookups!$B$27,"Morning",IF($J168&lt;Lookups!$B$28,"Afternoon","Evening")))</f>
        <v>Night</v>
      </c>
      <c r="AA168" s="26">
        <f>ROUND($N168*(Lookups!$B$16-Lookups!$B$15)+Lookups!$B$15,1)</f>
        <v>-0.5</v>
      </c>
      <c r="AB168" s="26">
        <f>ROUND($P168*(Lookups!$B$18-Lookups!$B$17)+Lookups!$B$17,1)</f>
        <v>-5</v>
      </c>
      <c r="AC168" s="23">
        <f t="shared" si="14"/>
        <v>74</v>
      </c>
      <c r="AD168" s="23">
        <f>ROUND($R168*Lookups!$B$19,1)</f>
        <v>11</v>
      </c>
      <c r="AE168" s="27">
        <f t="shared" si="15"/>
        <v>1</v>
      </c>
      <c r="AF168" s="23" t="str">
        <f>IF($U168&gt;=Lookups!$B$23,"High",IF($U168&gt;=Lookups!$B$22,"Medium","Low"))</f>
        <v>Low</v>
      </c>
      <c r="AG168" s="23">
        <f>ROUND(IF($V168="Weekday",IF(INDEX(Hourly_Analysis!$D$5:$D$28,$J168+1)&gt;0,($U168-INDEX(Hourly_Analysis!$C$5:$C$28,$J168+1))/INDEX(Hourly_Analysis!$D$5:$D$28,$J168+1),0),IF(INDEX(Hourly_Analysis!$G$5:$G$28,$J168+1)&gt;0,($U168-INDEX(Hourly_Analysis!$F$5:$F$28,$J168+1))/INDEX(Hourly_Analysis!$G$5:$G$28,$J168+1),0)),2)</f>
        <v>0.98</v>
      </c>
      <c r="AH168" s="23" t="str">
        <f>IF(ABS($AG168)&gt;Lookups!$B$20,IF($AG168&gt;0,"High anomaly","Low anomaly"),"")</f>
        <v/>
      </c>
      <c r="AI168" s="23" t="str">
        <f t="shared" si="16"/>
        <v>OK</v>
      </c>
      <c r="AJ168" s="23" t="str">
        <f t="shared" si="17"/>
        <v>No</v>
      </c>
    </row>
    <row r="169" spans="1:36" x14ac:dyDescent="0.35">
      <c r="A169" s="23">
        <v>168</v>
      </c>
      <c r="B169" s="23" t="str">
        <f t="shared" si="12"/>
        <v>Merge 1+2</v>
      </c>
      <c r="C169" s="23">
        <f>IFERROR(MATCH($A169,Merge_1_2!$A$2:$A$611,0),0)</f>
        <v>168</v>
      </c>
      <c r="D169" s="23">
        <f>IF($C169&gt;0,INDEX(Merge_1_2!$Q$2:$Q$611,$C169),0)</f>
        <v>168</v>
      </c>
      <c r="E169" s="23">
        <f>IFERROR(MATCH($A169,Dataset3_Raw!$A$2:$A$391,0),0)</f>
        <v>0</v>
      </c>
      <c r="F169" s="24">
        <f>IF($C169&gt;0,INDEX(Merge_1_2!$B$2:$B$611,$C169),DATE(VALUE(RIGHT(INDEX(Dataset3_Raw!$B$2:$B$391,$E169),4)),VALUE(MID(INDEX(Dataset3_Raw!$B$2:$B$391,$E169),4,2)),VALUE(LEFT(INDEX(Dataset3_Raw!$B$2:$B$391,$E169),2))))</f>
        <v>40551</v>
      </c>
      <c r="G169" s="23">
        <f>IF($C169&gt;0,INDEX(Merge_1_2!$C$2:$C$611,$C169),INDEX(Dataset3_Raw!$C$2:$C$391,$E169))</f>
        <v>1</v>
      </c>
      <c r="H169" s="23">
        <f>IF($C169&gt;0,INDEX(Merge_1_2!$D$2:$D$611,$C169),INDEX(Dataset3_Raw!$D$2:$D$391,$E169))</f>
        <v>0</v>
      </c>
      <c r="I169" s="23">
        <f>IF($C169&gt;0,INDEX(Merge_1_2!$E$2:$E$611,$C169),INDEX(Dataset3_Raw!$E$2:$E$391,$E169))</f>
        <v>1</v>
      </c>
      <c r="J169" s="23">
        <f>IF($C169&gt;0,INDEX(Merge_1_2!$F$2:$F$611,$C169),INDEX(Dataset3_Raw!$F$2:$F$391,$E169))</f>
        <v>6</v>
      </c>
      <c r="K169" s="23" t="b">
        <f>IF($C169&gt;0,INDEX(Merge_1_2!$G$2:$G$611,$C169),INDEX(Dataset3_Raw!$G$2:$G$391,$E169))</f>
        <v>0</v>
      </c>
      <c r="L169" s="23">
        <f>IF($C169&gt;0,INDEX(Merge_1_2!$H$2:$H$611,$C169),INDEX(Dataset3_Raw!$H$2:$H$391,$E169))</f>
        <v>6</v>
      </c>
      <c r="M169" s="23">
        <f>IF($C169&gt;0,INDEX(Merge_1_2!$I$2:$I$611,$C169),INDEX(Dataset3_Raw!$I$2:$I$391,$E169))</f>
        <v>2</v>
      </c>
      <c r="N169" s="25">
        <f>IF($C169&gt;0,INDEX(Merge_1_2!$J$2:$J$611,$C169),INDEX(Dataset3_Raw!$J$2:$J$391,$E169))</f>
        <v>0.16</v>
      </c>
      <c r="O169" s="25">
        <f>IF($C169&gt;0,IF(ISNUMBER(INDEX(Merge_1_2!$K$2:$K$611,$C169)),INDEX(Merge_1_2!$K$2:$K$611,$C169),""),INDEX(Dataset3_Raw!$K$2:$K$391,$E169))</f>
        <v>0.16669999999999999</v>
      </c>
      <c r="P169" s="25">
        <f>IF(ISNUMBER($O169),$O169,ROUND(Lookups!$B$25+Lookups!$B$24*$N169,4))</f>
        <v>0.16669999999999999</v>
      </c>
      <c r="Q169" s="25">
        <f>IF($C169&gt;0,INDEX(Merge_1_2!$L$2:$L$611,$C169),INDEX(Dataset3_Raw!$L$2:$L$391,$E169))</f>
        <v>0.74</v>
      </c>
      <c r="R169" s="25">
        <f>IF($C169&gt;0,INDEX(Merge_1_2!$M$2:$M$611,$C169),INDEX(Dataset3_Raw!$M$2:$M$391,$E169))</f>
        <v>0.16420000000000001</v>
      </c>
      <c r="S169" s="23">
        <f>IF($C169&gt;0,INDEX(Merge_1_2!$N$2:$N$611,$C169),INDEX(Dataset3_Raw!$N$2:$N$391,$E169))</f>
        <v>0</v>
      </c>
      <c r="T169" s="23">
        <f>IF($C169&gt;0,INDEX(Merge_1_2!$O$2:$O$611,$C169),INDEX(Dataset3_Raw!$O$2:$O$391,$E169))</f>
        <v>2</v>
      </c>
      <c r="U169" s="23">
        <f>IF($C169&gt;0,INDEX(Merge_1_2!$P$2:$P$611,$C169),INDEX(Dataset3_Raw!$P$2:$P$391,$E169))</f>
        <v>2</v>
      </c>
      <c r="V169" s="23" t="str">
        <f t="shared" si="13"/>
        <v>Weekend</v>
      </c>
      <c r="W169" s="23" t="str">
        <f>VLOOKUP($M169,Lookups!$A$5:$B$8,2,FALSE())</f>
        <v>Mist / Cloudy</v>
      </c>
      <c r="X169" s="23" t="str">
        <f>VLOOKUP($G169,Lookups!$D$5:$E$8,2,FALSE())</f>
        <v>Winter</v>
      </c>
      <c r="Y169" s="23" t="str">
        <f>VLOOKUP($L169,Lookups!$G$5:$H$11,2,FALSE())</f>
        <v>Saturday</v>
      </c>
      <c r="Z169" s="23" t="str">
        <f>IF($J169&lt;Lookups!$B$26,"Night",IF($J169&lt;Lookups!$B$27,"Morning",IF($J169&lt;Lookups!$B$28,"Afternoon","Evening")))</f>
        <v>Morning</v>
      </c>
      <c r="AA169" s="26">
        <f>ROUND($N169*(Lookups!$B$16-Lookups!$B$15)+Lookups!$B$15,1)</f>
        <v>-0.5</v>
      </c>
      <c r="AB169" s="26">
        <f>ROUND($P169*(Lookups!$B$18-Lookups!$B$17)+Lookups!$B$17,1)</f>
        <v>-5</v>
      </c>
      <c r="AC169" s="23">
        <f t="shared" si="14"/>
        <v>74</v>
      </c>
      <c r="AD169" s="23">
        <f>ROUND($R169*Lookups!$B$19,1)</f>
        <v>11</v>
      </c>
      <c r="AE169" s="27">
        <f t="shared" si="15"/>
        <v>1</v>
      </c>
      <c r="AF169" s="23" t="str">
        <f>IF($U169&gt;=Lookups!$B$23,"High",IF($U169&gt;=Lookups!$B$22,"Medium","Low"))</f>
        <v>Low</v>
      </c>
      <c r="AG169" s="23">
        <f>ROUND(IF($V169="Weekday",IF(INDEX(Hourly_Analysis!$D$5:$D$28,$J169+1)&gt;0,($U169-INDEX(Hourly_Analysis!$C$5:$C$28,$J169+1))/INDEX(Hourly_Analysis!$D$5:$D$28,$J169+1),0),IF(INDEX(Hourly_Analysis!$G$5:$G$28,$J169+1)&gt;0,($U169-INDEX(Hourly_Analysis!$F$5:$F$28,$J169+1))/INDEX(Hourly_Analysis!$G$5:$G$28,$J169+1),0)),2)</f>
        <v>-0.26</v>
      </c>
      <c r="AH169" s="23" t="str">
        <f>IF(ABS($AG169)&gt;Lookups!$B$20,IF($AG169&gt;0,"High anomaly","Low anomaly"),"")</f>
        <v/>
      </c>
      <c r="AI169" s="23" t="str">
        <f t="shared" si="16"/>
        <v>OK</v>
      </c>
      <c r="AJ169" s="23" t="str">
        <f t="shared" si="17"/>
        <v>No</v>
      </c>
    </row>
    <row r="170" spans="1:36" x14ac:dyDescent="0.35">
      <c r="A170" s="23">
        <v>169</v>
      </c>
      <c r="B170" s="23" t="str">
        <f t="shared" si="12"/>
        <v>Merge 1+2</v>
      </c>
      <c r="C170" s="23">
        <f>IFERROR(MATCH($A170,Merge_1_2!$A$2:$A$611,0),0)</f>
        <v>169</v>
      </c>
      <c r="D170" s="23">
        <f>IF($C170&gt;0,INDEX(Merge_1_2!$Q$2:$Q$611,$C170),0)</f>
        <v>169</v>
      </c>
      <c r="E170" s="23">
        <f>IFERROR(MATCH($A170,Dataset3_Raw!$A$2:$A$391,0),0)</f>
        <v>0</v>
      </c>
      <c r="F170" s="24">
        <f>IF($C170&gt;0,INDEX(Merge_1_2!$B$2:$B$611,$C170),DATE(VALUE(RIGHT(INDEX(Dataset3_Raw!$B$2:$B$391,$E170),4)),VALUE(MID(INDEX(Dataset3_Raw!$B$2:$B$391,$E170),4,2)),VALUE(LEFT(INDEX(Dataset3_Raw!$B$2:$B$391,$E170),2))))</f>
        <v>40551</v>
      </c>
      <c r="G170" s="23">
        <f>IF($C170&gt;0,INDEX(Merge_1_2!$C$2:$C$611,$C170),INDEX(Dataset3_Raw!$C$2:$C$391,$E170))</f>
        <v>1</v>
      </c>
      <c r="H170" s="23">
        <f>IF($C170&gt;0,INDEX(Merge_1_2!$D$2:$D$611,$C170),INDEX(Dataset3_Raw!$D$2:$D$391,$E170))</f>
        <v>0</v>
      </c>
      <c r="I170" s="23">
        <f>IF($C170&gt;0,INDEX(Merge_1_2!$E$2:$E$611,$C170),INDEX(Dataset3_Raw!$E$2:$E$391,$E170))</f>
        <v>1</v>
      </c>
      <c r="J170" s="23">
        <f>IF($C170&gt;0,INDEX(Merge_1_2!$F$2:$F$611,$C170),INDEX(Dataset3_Raw!$F$2:$F$391,$E170))</f>
        <v>7</v>
      </c>
      <c r="K170" s="23" t="b">
        <f>IF($C170&gt;0,INDEX(Merge_1_2!$G$2:$G$611,$C170),INDEX(Dataset3_Raw!$G$2:$G$391,$E170))</f>
        <v>0</v>
      </c>
      <c r="L170" s="23">
        <f>IF($C170&gt;0,INDEX(Merge_1_2!$H$2:$H$611,$C170),INDEX(Dataset3_Raw!$H$2:$H$391,$E170))</f>
        <v>6</v>
      </c>
      <c r="M170" s="23">
        <f>IF($C170&gt;0,INDEX(Merge_1_2!$I$2:$I$611,$C170),INDEX(Dataset3_Raw!$I$2:$I$391,$E170))</f>
        <v>2</v>
      </c>
      <c r="N170" s="25">
        <f>IF($C170&gt;0,INDEX(Merge_1_2!$J$2:$J$611,$C170),INDEX(Dataset3_Raw!$J$2:$J$391,$E170))</f>
        <v>0.16</v>
      </c>
      <c r="O170" s="25">
        <f>IF($C170&gt;0,IF(ISNUMBER(INDEX(Merge_1_2!$K$2:$K$611,$C170)),INDEX(Merge_1_2!$K$2:$K$611,$C170),""),INDEX(Dataset3_Raw!$K$2:$K$391,$E170))</f>
        <v>0.18179999999999999</v>
      </c>
      <c r="P170" s="25">
        <f>IF(ISNUMBER($O170),$O170,ROUND(Lookups!$B$25+Lookups!$B$24*$N170,4))</f>
        <v>0.18179999999999999</v>
      </c>
      <c r="Q170" s="25">
        <f>IF($C170&gt;0,INDEX(Merge_1_2!$L$2:$L$611,$C170),INDEX(Dataset3_Raw!$L$2:$L$391,$E170))</f>
        <v>0.74</v>
      </c>
      <c r="R170" s="25">
        <f>IF($C170&gt;0,INDEX(Merge_1_2!$M$2:$M$611,$C170),INDEX(Dataset3_Raw!$M$2:$M$391,$E170))</f>
        <v>0.1045</v>
      </c>
      <c r="S170" s="23">
        <f>IF($C170&gt;0,INDEX(Merge_1_2!$N$2:$N$611,$C170),INDEX(Dataset3_Raw!$N$2:$N$391,$E170))</f>
        <v>1</v>
      </c>
      <c r="T170" s="23">
        <f>IF($C170&gt;0,INDEX(Merge_1_2!$O$2:$O$611,$C170),INDEX(Dataset3_Raw!$O$2:$O$391,$E170))</f>
        <v>8</v>
      </c>
      <c r="U170" s="23">
        <f>IF($C170&gt;0,INDEX(Merge_1_2!$P$2:$P$611,$C170),INDEX(Dataset3_Raw!$P$2:$P$391,$E170))</f>
        <v>9</v>
      </c>
      <c r="V170" s="23" t="str">
        <f t="shared" si="13"/>
        <v>Weekend</v>
      </c>
      <c r="W170" s="23" t="str">
        <f>VLOOKUP($M170,Lookups!$A$5:$B$8,2,FALSE())</f>
        <v>Mist / Cloudy</v>
      </c>
      <c r="X170" s="23" t="str">
        <f>VLOOKUP($G170,Lookups!$D$5:$E$8,2,FALSE())</f>
        <v>Winter</v>
      </c>
      <c r="Y170" s="23" t="str">
        <f>VLOOKUP($L170,Lookups!$G$5:$H$11,2,FALSE())</f>
        <v>Saturday</v>
      </c>
      <c r="Z170" s="23" t="str">
        <f>IF($J170&lt;Lookups!$B$26,"Night",IF($J170&lt;Lookups!$B$27,"Morning",IF($J170&lt;Lookups!$B$28,"Afternoon","Evening")))</f>
        <v>Morning</v>
      </c>
      <c r="AA170" s="26">
        <f>ROUND($N170*(Lookups!$B$16-Lookups!$B$15)+Lookups!$B$15,1)</f>
        <v>-0.5</v>
      </c>
      <c r="AB170" s="26">
        <f>ROUND($P170*(Lookups!$B$18-Lookups!$B$17)+Lookups!$B$17,1)</f>
        <v>-4</v>
      </c>
      <c r="AC170" s="23">
        <f t="shared" si="14"/>
        <v>74</v>
      </c>
      <c r="AD170" s="23">
        <f>ROUND($R170*Lookups!$B$19,1)</f>
        <v>7</v>
      </c>
      <c r="AE170" s="27">
        <f t="shared" si="15"/>
        <v>0.88888888888888884</v>
      </c>
      <c r="AF170" s="23" t="str">
        <f>IF($U170&gt;=Lookups!$B$23,"High",IF($U170&gt;=Lookups!$B$22,"Medium","Low"))</f>
        <v>Low</v>
      </c>
      <c r="AG170" s="23">
        <f>ROUND(IF($V170="Weekday",IF(INDEX(Hourly_Analysis!$D$5:$D$28,$J170+1)&gt;0,($U170-INDEX(Hourly_Analysis!$C$5:$C$28,$J170+1))/INDEX(Hourly_Analysis!$D$5:$D$28,$J170+1),0),IF(INDEX(Hourly_Analysis!$G$5:$G$28,$J170+1)&gt;0,($U170-INDEX(Hourly_Analysis!$F$5:$F$28,$J170+1))/INDEX(Hourly_Analysis!$G$5:$G$28,$J170+1),0)),2)</f>
        <v>0.83</v>
      </c>
      <c r="AH170" s="23" t="str">
        <f>IF(ABS($AG170)&gt;Lookups!$B$20,IF($AG170&gt;0,"High anomaly","Low anomaly"),"")</f>
        <v/>
      </c>
      <c r="AI170" s="23" t="str">
        <f t="shared" si="16"/>
        <v>OK</v>
      </c>
      <c r="AJ170" s="23" t="str">
        <f t="shared" si="17"/>
        <v>No</v>
      </c>
    </row>
    <row r="171" spans="1:36" x14ac:dyDescent="0.35">
      <c r="A171" s="23">
        <v>170</v>
      </c>
      <c r="B171" s="23" t="str">
        <f t="shared" si="12"/>
        <v>Merge 1+2</v>
      </c>
      <c r="C171" s="23">
        <f>IFERROR(MATCH($A171,Merge_1_2!$A$2:$A$611,0),0)</f>
        <v>170</v>
      </c>
      <c r="D171" s="23">
        <f>IF($C171&gt;0,INDEX(Merge_1_2!$Q$2:$Q$611,$C171),0)</f>
        <v>170</v>
      </c>
      <c r="E171" s="23">
        <f>IFERROR(MATCH($A171,Dataset3_Raw!$A$2:$A$391,0),0)</f>
        <v>0</v>
      </c>
      <c r="F171" s="24">
        <f>IF($C171&gt;0,INDEX(Merge_1_2!$B$2:$B$611,$C171),DATE(VALUE(RIGHT(INDEX(Dataset3_Raw!$B$2:$B$391,$E171),4)),VALUE(MID(INDEX(Dataset3_Raw!$B$2:$B$391,$E171),4,2)),VALUE(LEFT(INDEX(Dataset3_Raw!$B$2:$B$391,$E171),2))))</f>
        <v>40551</v>
      </c>
      <c r="G171" s="23">
        <f>IF($C171&gt;0,INDEX(Merge_1_2!$C$2:$C$611,$C171),INDEX(Dataset3_Raw!$C$2:$C$391,$E171))</f>
        <v>1</v>
      </c>
      <c r="H171" s="23">
        <f>IF($C171&gt;0,INDEX(Merge_1_2!$D$2:$D$611,$C171),INDEX(Dataset3_Raw!$D$2:$D$391,$E171))</f>
        <v>0</v>
      </c>
      <c r="I171" s="23">
        <f>IF($C171&gt;0,INDEX(Merge_1_2!$E$2:$E$611,$C171),INDEX(Dataset3_Raw!$E$2:$E$391,$E171))</f>
        <v>1</v>
      </c>
      <c r="J171" s="23">
        <f>IF($C171&gt;0,INDEX(Merge_1_2!$F$2:$F$611,$C171),INDEX(Dataset3_Raw!$F$2:$F$391,$E171))</f>
        <v>8</v>
      </c>
      <c r="K171" s="23" t="b">
        <f>IF($C171&gt;0,INDEX(Merge_1_2!$G$2:$G$611,$C171),INDEX(Dataset3_Raw!$G$2:$G$391,$E171))</f>
        <v>0</v>
      </c>
      <c r="L171" s="23">
        <f>IF($C171&gt;0,INDEX(Merge_1_2!$H$2:$H$611,$C171),INDEX(Dataset3_Raw!$H$2:$H$391,$E171))</f>
        <v>6</v>
      </c>
      <c r="M171" s="23">
        <f>IF($C171&gt;0,INDEX(Merge_1_2!$I$2:$I$611,$C171),INDEX(Dataset3_Raw!$I$2:$I$391,$E171))</f>
        <v>3</v>
      </c>
      <c r="N171" s="25">
        <f>IF($C171&gt;0,INDEX(Merge_1_2!$J$2:$J$611,$C171),INDEX(Dataset3_Raw!$J$2:$J$391,$E171))</f>
        <v>0.16</v>
      </c>
      <c r="O171" s="25">
        <f>IF($C171&gt;0,IF(ISNUMBER(INDEX(Merge_1_2!$K$2:$K$611,$C171)),INDEX(Merge_1_2!$K$2:$K$611,$C171),""),INDEX(Dataset3_Raw!$K$2:$K$391,$E171))</f>
        <v>0.18179999999999999</v>
      </c>
      <c r="P171" s="25">
        <f>IF(ISNUMBER($O171),$O171,ROUND(Lookups!$B$25+Lookups!$B$24*$N171,4))</f>
        <v>0.18179999999999999</v>
      </c>
      <c r="Q171" s="25">
        <f>IF($C171&gt;0,INDEX(Merge_1_2!$L$2:$L$611,$C171),INDEX(Dataset3_Raw!$L$2:$L$391,$E171))</f>
        <v>0.93</v>
      </c>
      <c r="R171" s="25">
        <f>IF($C171&gt;0,INDEX(Merge_1_2!$M$2:$M$611,$C171),INDEX(Dataset3_Raw!$M$2:$M$391,$E171))</f>
        <v>0.1045</v>
      </c>
      <c r="S171" s="23">
        <f>IF($C171&gt;0,INDEX(Merge_1_2!$N$2:$N$611,$C171),INDEX(Dataset3_Raw!$N$2:$N$391,$E171))</f>
        <v>0</v>
      </c>
      <c r="T171" s="23">
        <f>IF($C171&gt;0,INDEX(Merge_1_2!$O$2:$O$611,$C171),INDEX(Dataset3_Raw!$O$2:$O$391,$E171))</f>
        <v>15</v>
      </c>
      <c r="U171" s="23">
        <f>IF($C171&gt;0,INDEX(Merge_1_2!$P$2:$P$611,$C171),INDEX(Dataset3_Raw!$P$2:$P$391,$E171))</f>
        <v>15</v>
      </c>
      <c r="V171" s="23" t="str">
        <f t="shared" si="13"/>
        <v>Weekend</v>
      </c>
      <c r="W171" s="23" t="str">
        <f>VLOOKUP($M171,Lookups!$A$5:$B$8,2,FALSE())</f>
        <v>Light snow / Light rain</v>
      </c>
      <c r="X171" s="23" t="str">
        <f>VLOOKUP($G171,Lookups!$D$5:$E$8,2,FALSE())</f>
        <v>Winter</v>
      </c>
      <c r="Y171" s="23" t="str">
        <f>VLOOKUP($L171,Lookups!$G$5:$H$11,2,FALSE())</f>
        <v>Saturday</v>
      </c>
      <c r="Z171" s="23" t="str">
        <f>IF($J171&lt;Lookups!$B$26,"Night",IF($J171&lt;Lookups!$B$27,"Morning",IF($J171&lt;Lookups!$B$28,"Afternoon","Evening")))</f>
        <v>Morning</v>
      </c>
      <c r="AA171" s="26">
        <f>ROUND($N171*(Lookups!$B$16-Lookups!$B$15)+Lookups!$B$15,1)</f>
        <v>-0.5</v>
      </c>
      <c r="AB171" s="26">
        <f>ROUND($P171*(Lookups!$B$18-Lookups!$B$17)+Lookups!$B$17,1)</f>
        <v>-4</v>
      </c>
      <c r="AC171" s="23">
        <f t="shared" si="14"/>
        <v>93</v>
      </c>
      <c r="AD171" s="23">
        <f>ROUND($R171*Lookups!$B$19,1)</f>
        <v>7</v>
      </c>
      <c r="AE171" s="27">
        <f t="shared" si="15"/>
        <v>1</v>
      </c>
      <c r="AF171" s="23" t="str">
        <f>IF($U171&gt;=Lookups!$B$23,"High",IF($U171&gt;=Lookups!$B$22,"Medium","Low"))</f>
        <v>Low</v>
      </c>
      <c r="AG171" s="23">
        <f>ROUND(IF($V171="Weekday",IF(INDEX(Hourly_Analysis!$D$5:$D$28,$J171+1)&gt;0,($U171-INDEX(Hourly_Analysis!$C$5:$C$28,$J171+1))/INDEX(Hourly_Analysis!$D$5:$D$28,$J171+1),0),IF(INDEX(Hourly_Analysis!$G$5:$G$28,$J171+1)&gt;0,($U171-INDEX(Hourly_Analysis!$F$5:$F$28,$J171+1))/INDEX(Hourly_Analysis!$G$5:$G$28,$J171+1),0)),2)</f>
        <v>-0.42</v>
      </c>
      <c r="AH171" s="23" t="str">
        <f>IF(ABS($AG171)&gt;Lookups!$B$20,IF($AG171&gt;0,"High anomaly","Low anomaly"),"")</f>
        <v/>
      </c>
      <c r="AI171" s="23" t="str">
        <f t="shared" si="16"/>
        <v>OK</v>
      </c>
      <c r="AJ171" s="23" t="str">
        <f t="shared" si="17"/>
        <v>No</v>
      </c>
    </row>
    <row r="172" spans="1:36" x14ac:dyDescent="0.35">
      <c r="A172" s="23">
        <v>171</v>
      </c>
      <c r="B172" s="23" t="str">
        <f t="shared" si="12"/>
        <v>Merge 1+2</v>
      </c>
      <c r="C172" s="23">
        <f>IFERROR(MATCH($A172,Merge_1_2!$A$2:$A$611,0),0)</f>
        <v>171</v>
      </c>
      <c r="D172" s="23">
        <f>IF($C172&gt;0,INDEX(Merge_1_2!$Q$2:$Q$611,$C172),0)</f>
        <v>171</v>
      </c>
      <c r="E172" s="23">
        <f>IFERROR(MATCH($A172,Dataset3_Raw!$A$2:$A$391,0),0)</f>
        <v>0</v>
      </c>
      <c r="F172" s="24">
        <f>IF($C172&gt;0,INDEX(Merge_1_2!$B$2:$B$611,$C172),DATE(VALUE(RIGHT(INDEX(Dataset3_Raw!$B$2:$B$391,$E172),4)),VALUE(MID(INDEX(Dataset3_Raw!$B$2:$B$391,$E172),4,2)),VALUE(LEFT(INDEX(Dataset3_Raw!$B$2:$B$391,$E172),2))))</f>
        <v>40551</v>
      </c>
      <c r="G172" s="23">
        <f>IF($C172&gt;0,INDEX(Merge_1_2!$C$2:$C$611,$C172),INDEX(Dataset3_Raw!$C$2:$C$391,$E172))</f>
        <v>1</v>
      </c>
      <c r="H172" s="23">
        <f>IF($C172&gt;0,INDEX(Merge_1_2!$D$2:$D$611,$C172),INDEX(Dataset3_Raw!$D$2:$D$391,$E172))</f>
        <v>0</v>
      </c>
      <c r="I172" s="23">
        <f>IF($C172&gt;0,INDEX(Merge_1_2!$E$2:$E$611,$C172),INDEX(Dataset3_Raw!$E$2:$E$391,$E172))</f>
        <v>1</v>
      </c>
      <c r="J172" s="23">
        <f>IF($C172&gt;0,INDEX(Merge_1_2!$F$2:$F$611,$C172),INDEX(Dataset3_Raw!$F$2:$F$391,$E172))</f>
        <v>9</v>
      </c>
      <c r="K172" s="23" t="b">
        <f>IF($C172&gt;0,INDEX(Merge_1_2!$G$2:$G$611,$C172),INDEX(Dataset3_Raw!$G$2:$G$391,$E172))</f>
        <v>0</v>
      </c>
      <c r="L172" s="23">
        <f>IF($C172&gt;0,INDEX(Merge_1_2!$H$2:$H$611,$C172),INDEX(Dataset3_Raw!$H$2:$H$391,$E172))</f>
        <v>6</v>
      </c>
      <c r="M172" s="23">
        <f>IF($C172&gt;0,INDEX(Merge_1_2!$I$2:$I$611,$C172),INDEX(Dataset3_Raw!$I$2:$I$391,$E172))</f>
        <v>3</v>
      </c>
      <c r="N172" s="25">
        <f>IF($C172&gt;0,INDEX(Merge_1_2!$J$2:$J$611,$C172),INDEX(Dataset3_Raw!$J$2:$J$391,$E172))</f>
        <v>0.16</v>
      </c>
      <c r="O172" s="25">
        <f>IF($C172&gt;0,IF(ISNUMBER(INDEX(Merge_1_2!$K$2:$K$611,$C172)),INDEX(Merge_1_2!$K$2:$K$611,$C172),""),INDEX(Dataset3_Raw!$K$2:$K$391,$E172))</f>
        <v>0.18179999999999999</v>
      </c>
      <c r="P172" s="25">
        <f>IF(ISNUMBER($O172),$O172,ROUND(Lookups!$B$25+Lookups!$B$24*$N172,4))</f>
        <v>0.18179999999999999</v>
      </c>
      <c r="Q172" s="25">
        <f>IF($C172&gt;0,INDEX(Merge_1_2!$L$2:$L$611,$C172),INDEX(Dataset3_Raw!$L$2:$L$391,$E172))</f>
        <v>0.93</v>
      </c>
      <c r="R172" s="25">
        <f>IF($C172&gt;0,INDEX(Merge_1_2!$M$2:$M$611,$C172),INDEX(Dataset3_Raw!$M$2:$M$391,$E172))</f>
        <v>0.1045</v>
      </c>
      <c r="S172" s="23">
        <f>IF($C172&gt;0,INDEX(Merge_1_2!$N$2:$N$611,$C172),INDEX(Dataset3_Raw!$N$2:$N$391,$E172))</f>
        <v>0</v>
      </c>
      <c r="T172" s="23">
        <f>IF($C172&gt;0,INDEX(Merge_1_2!$O$2:$O$611,$C172),INDEX(Dataset3_Raw!$O$2:$O$391,$E172))</f>
        <v>20</v>
      </c>
      <c r="U172" s="23">
        <f>IF($C172&gt;0,INDEX(Merge_1_2!$P$2:$P$611,$C172),INDEX(Dataset3_Raw!$P$2:$P$391,$E172))</f>
        <v>20</v>
      </c>
      <c r="V172" s="23" t="str">
        <f t="shared" si="13"/>
        <v>Weekend</v>
      </c>
      <c r="W172" s="23" t="str">
        <f>VLOOKUP($M172,Lookups!$A$5:$B$8,2,FALSE())</f>
        <v>Light snow / Light rain</v>
      </c>
      <c r="X172" s="23" t="str">
        <f>VLOOKUP($G172,Lookups!$D$5:$E$8,2,FALSE())</f>
        <v>Winter</v>
      </c>
      <c r="Y172" s="23" t="str">
        <f>VLOOKUP($L172,Lookups!$G$5:$H$11,2,FALSE())</f>
        <v>Saturday</v>
      </c>
      <c r="Z172" s="23" t="str">
        <f>IF($J172&lt;Lookups!$B$26,"Night",IF($J172&lt;Lookups!$B$27,"Morning",IF($J172&lt;Lookups!$B$28,"Afternoon","Evening")))</f>
        <v>Morning</v>
      </c>
      <c r="AA172" s="26">
        <f>ROUND($N172*(Lookups!$B$16-Lookups!$B$15)+Lookups!$B$15,1)</f>
        <v>-0.5</v>
      </c>
      <c r="AB172" s="26">
        <f>ROUND($P172*(Lookups!$B$18-Lookups!$B$17)+Lookups!$B$17,1)</f>
        <v>-4</v>
      </c>
      <c r="AC172" s="23">
        <f t="shared" si="14"/>
        <v>93</v>
      </c>
      <c r="AD172" s="23">
        <f>ROUND($R172*Lookups!$B$19,1)</f>
        <v>7</v>
      </c>
      <c r="AE172" s="27">
        <f t="shared" si="15"/>
        <v>1</v>
      </c>
      <c r="AF172" s="23" t="str">
        <f>IF($U172&gt;=Lookups!$B$23,"High",IF($U172&gt;=Lookups!$B$22,"Medium","Low"))</f>
        <v>Medium</v>
      </c>
      <c r="AG172" s="23">
        <f>ROUND(IF($V172="Weekday",IF(INDEX(Hourly_Analysis!$D$5:$D$28,$J172+1)&gt;0,($U172-INDEX(Hourly_Analysis!$C$5:$C$28,$J172+1))/INDEX(Hourly_Analysis!$D$5:$D$28,$J172+1),0),IF(INDEX(Hourly_Analysis!$G$5:$G$28,$J172+1)&gt;0,($U172-INDEX(Hourly_Analysis!$F$5:$F$28,$J172+1))/INDEX(Hourly_Analysis!$G$5:$G$28,$J172+1),0)),2)</f>
        <v>-1.06</v>
      </c>
      <c r="AH172" s="23" t="str">
        <f>IF(ABS($AG172)&gt;Lookups!$B$20,IF($AG172&gt;0,"High anomaly","Low anomaly"),"")</f>
        <v/>
      </c>
      <c r="AI172" s="23" t="str">
        <f t="shared" si="16"/>
        <v>OK</v>
      </c>
      <c r="AJ172" s="23" t="str">
        <f t="shared" si="17"/>
        <v>No</v>
      </c>
    </row>
    <row r="173" spans="1:36" x14ac:dyDescent="0.35">
      <c r="A173" s="23">
        <v>172</v>
      </c>
      <c r="B173" s="23" t="str">
        <f t="shared" si="12"/>
        <v>Merge 1+2</v>
      </c>
      <c r="C173" s="23">
        <f>IFERROR(MATCH($A173,Merge_1_2!$A$2:$A$611,0),0)</f>
        <v>172</v>
      </c>
      <c r="D173" s="23">
        <f>IF($C173&gt;0,INDEX(Merge_1_2!$Q$2:$Q$611,$C173),0)</f>
        <v>172</v>
      </c>
      <c r="E173" s="23">
        <f>IFERROR(MATCH($A173,Dataset3_Raw!$A$2:$A$391,0),0)</f>
        <v>0</v>
      </c>
      <c r="F173" s="24">
        <f>IF($C173&gt;0,INDEX(Merge_1_2!$B$2:$B$611,$C173),DATE(VALUE(RIGHT(INDEX(Dataset3_Raw!$B$2:$B$391,$E173),4)),VALUE(MID(INDEX(Dataset3_Raw!$B$2:$B$391,$E173),4,2)),VALUE(LEFT(INDEX(Dataset3_Raw!$B$2:$B$391,$E173),2))))</f>
        <v>40551</v>
      </c>
      <c r="G173" s="23">
        <f>IF($C173&gt;0,INDEX(Merge_1_2!$C$2:$C$611,$C173),INDEX(Dataset3_Raw!$C$2:$C$391,$E173))</f>
        <v>1</v>
      </c>
      <c r="H173" s="23">
        <f>IF($C173&gt;0,INDEX(Merge_1_2!$D$2:$D$611,$C173),INDEX(Dataset3_Raw!$D$2:$D$391,$E173))</f>
        <v>0</v>
      </c>
      <c r="I173" s="23">
        <f>IF($C173&gt;0,INDEX(Merge_1_2!$E$2:$E$611,$C173),INDEX(Dataset3_Raw!$E$2:$E$391,$E173))</f>
        <v>1</v>
      </c>
      <c r="J173" s="23">
        <f>IF($C173&gt;0,INDEX(Merge_1_2!$F$2:$F$611,$C173),INDEX(Dataset3_Raw!$F$2:$F$391,$E173))</f>
        <v>10</v>
      </c>
      <c r="K173" s="23" t="b">
        <f>IF($C173&gt;0,INDEX(Merge_1_2!$G$2:$G$611,$C173),INDEX(Dataset3_Raw!$G$2:$G$391,$E173))</f>
        <v>0</v>
      </c>
      <c r="L173" s="23">
        <f>IF($C173&gt;0,INDEX(Merge_1_2!$H$2:$H$611,$C173),INDEX(Dataset3_Raw!$H$2:$H$391,$E173))</f>
        <v>6</v>
      </c>
      <c r="M173" s="23">
        <f>IF($C173&gt;0,INDEX(Merge_1_2!$I$2:$I$611,$C173),INDEX(Dataset3_Raw!$I$2:$I$391,$E173))</f>
        <v>2</v>
      </c>
      <c r="N173" s="25">
        <f>IF($C173&gt;0,INDEX(Merge_1_2!$J$2:$J$611,$C173),INDEX(Dataset3_Raw!$J$2:$J$391,$E173))</f>
        <v>0.18</v>
      </c>
      <c r="O173" s="25">
        <f>IF($C173&gt;0,IF(ISNUMBER(INDEX(Merge_1_2!$K$2:$K$611,$C173)),INDEX(Merge_1_2!$K$2:$K$611,$C173),""),INDEX(Dataset3_Raw!$K$2:$K$391,$E173))</f>
        <v>0.19700000000000001</v>
      </c>
      <c r="P173" s="25">
        <f>IF(ISNUMBER($O173),$O173,ROUND(Lookups!$B$25+Lookups!$B$24*$N173,4))</f>
        <v>0.19700000000000001</v>
      </c>
      <c r="Q173" s="25">
        <f>IF($C173&gt;0,INDEX(Merge_1_2!$L$2:$L$611,$C173),INDEX(Dataset3_Raw!$L$2:$L$391,$E173))</f>
        <v>0.8</v>
      </c>
      <c r="R173" s="25">
        <f>IF($C173&gt;0,INDEX(Merge_1_2!$M$2:$M$611,$C173),INDEX(Dataset3_Raw!$M$2:$M$391,$E173))</f>
        <v>0.16420000000000001</v>
      </c>
      <c r="S173" s="23">
        <f>IF($C173&gt;0,INDEX(Merge_1_2!$N$2:$N$611,$C173),INDEX(Dataset3_Raw!$N$2:$N$391,$E173))</f>
        <v>5</v>
      </c>
      <c r="T173" s="23">
        <f>IF($C173&gt;0,INDEX(Merge_1_2!$O$2:$O$611,$C173),INDEX(Dataset3_Raw!$O$2:$O$391,$E173))</f>
        <v>56</v>
      </c>
      <c r="U173" s="23">
        <f>IF($C173&gt;0,INDEX(Merge_1_2!$P$2:$P$611,$C173),INDEX(Dataset3_Raw!$P$2:$P$391,$E173))</f>
        <v>61</v>
      </c>
      <c r="V173" s="23" t="str">
        <f t="shared" si="13"/>
        <v>Weekend</v>
      </c>
      <c r="W173" s="23" t="str">
        <f>VLOOKUP($M173,Lookups!$A$5:$B$8,2,FALSE())</f>
        <v>Mist / Cloudy</v>
      </c>
      <c r="X173" s="23" t="str">
        <f>VLOOKUP($G173,Lookups!$D$5:$E$8,2,FALSE())</f>
        <v>Winter</v>
      </c>
      <c r="Y173" s="23" t="str">
        <f>VLOOKUP($L173,Lookups!$G$5:$H$11,2,FALSE())</f>
        <v>Saturday</v>
      </c>
      <c r="Z173" s="23" t="str">
        <f>IF($J173&lt;Lookups!$B$26,"Night",IF($J173&lt;Lookups!$B$27,"Morning",IF($J173&lt;Lookups!$B$28,"Afternoon","Evening")))</f>
        <v>Morning</v>
      </c>
      <c r="AA173" s="26">
        <f>ROUND($N173*(Lookups!$B$16-Lookups!$B$15)+Lookups!$B$15,1)</f>
        <v>0.5</v>
      </c>
      <c r="AB173" s="26">
        <f>ROUND($P173*(Lookups!$B$18-Lookups!$B$17)+Lookups!$B$17,1)</f>
        <v>-3</v>
      </c>
      <c r="AC173" s="23">
        <f t="shared" si="14"/>
        <v>80</v>
      </c>
      <c r="AD173" s="23">
        <f>ROUND($R173*Lookups!$B$19,1)</f>
        <v>11</v>
      </c>
      <c r="AE173" s="27">
        <f t="shared" si="15"/>
        <v>0.91803278688524592</v>
      </c>
      <c r="AF173" s="23" t="str">
        <f>IF($U173&gt;=Lookups!$B$23,"High",IF($U173&gt;=Lookups!$B$22,"Medium","Low"))</f>
        <v>Medium</v>
      </c>
      <c r="AG173" s="23">
        <f>ROUND(IF($V173="Weekday",IF(INDEX(Hourly_Analysis!$D$5:$D$28,$J173+1)&gt;0,($U173-INDEX(Hourly_Analysis!$C$5:$C$28,$J173+1))/INDEX(Hourly_Analysis!$D$5:$D$28,$J173+1),0),IF(INDEX(Hourly_Analysis!$G$5:$G$28,$J173+1)&gt;0,($U173-INDEX(Hourly_Analysis!$F$5:$F$28,$J173+1))/INDEX(Hourly_Analysis!$G$5:$G$28,$J173+1),0)),2)</f>
        <v>-7.0000000000000007E-2</v>
      </c>
      <c r="AH173" s="23" t="str">
        <f>IF(ABS($AG173)&gt;Lookups!$B$20,IF($AG173&gt;0,"High anomaly","Low anomaly"),"")</f>
        <v/>
      </c>
      <c r="AI173" s="23" t="str">
        <f t="shared" si="16"/>
        <v>OK</v>
      </c>
      <c r="AJ173" s="23" t="str">
        <f t="shared" si="17"/>
        <v>No</v>
      </c>
    </row>
    <row r="174" spans="1:36" x14ac:dyDescent="0.35">
      <c r="A174" s="23">
        <v>173</v>
      </c>
      <c r="B174" s="23" t="str">
        <f t="shared" si="12"/>
        <v>Merge 1+2</v>
      </c>
      <c r="C174" s="23">
        <f>IFERROR(MATCH($A174,Merge_1_2!$A$2:$A$611,0),0)</f>
        <v>173</v>
      </c>
      <c r="D174" s="23">
        <f>IF($C174&gt;0,INDEX(Merge_1_2!$Q$2:$Q$611,$C174),0)</f>
        <v>173</v>
      </c>
      <c r="E174" s="23">
        <f>IFERROR(MATCH($A174,Dataset3_Raw!$A$2:$A$391,0),0)</f>
        <v>0</v>
      </c>
      <c r="F174" s="24">
        <f>IF($C174&gt;0,INDEX(Merge_1_2!$B$2:$B$611,$C174),DATE(VALUE(RIGHT(INDEX(Dataset3_Raw!$B$2:$B$391,$E174),4)),VALUE(MID(INDEX(Dataset3_Raw!$B$2:$B$391,$E174),4,2)),VALUE(LEFT(INDEX(Dataset3_Raw!$B$2:$B$391,$E174),2))))</f>
        <v>40551</v>
      </c>
      <c r="G174" s="23">
        <f>IF($C174&gt;0,INDEX(Merge_1_2!$C$2:$C$611,$C174),INDEX(Dataset3_Raw!$C$2:$C$391,$E174))</f>
        <v>1</v>
      </c>
      <c r="H174" s="23">
        <f>IF($C174&gt;0,INDEX(Merge_1_2!$D$2:$D$611,$C174),INDEX(Dataset3_Raw!$D$2:$D$391,$E174))</f>
        <v>0</v>
      </c>
      <c r="I174" s="23">
        <f>IF($C174&gt;0,INDEX(Merge_1_2!$E$2:$E$611,$C174),INDEX(Dataset3_Raw!$E$2:$E$391,$E174))</f>
        <v>1</v>
      </c>
      <c r="J174" s="23">
        <f>IF($C174&gt;0,INDEX(Merge_1_2!$F$2:$F$611,$C174),INDEX(Dataset3_Raw!$F$2:$F$391,$E174))</f>
        <v>11</v>
      </c>
      <c r="K174" s="23" t="b">
        <f>IF($C174&gt;0,INDEX(Merge_1_2!$G$2:$G$611,$C174),INDEX(Dataset3_Raw!$G$2:$G$391,$E174))</f>
        <v>0</v>
      </c>
      <c r="L174" s="23">
        <f>IF($C174&gt;0,INDEX(Merge_1_2!$H$2:$H$611,$C174),INDEX(Dataset3_Raw!$H$2:$H$391,$E174))</f>
        <v>6</v>
      </c>
      <c r="M174" s="23">
        <f>IF($C174&gt;0,INDEX(Merge_1_2!$I$2:$I$611,$C174),INDEX(Dataset3_Raw!$I$2:$I$391,$E174))</f>
        <v>2</v>
      </c>
      <c r="N174" s="25">
        <f>IF($C174&gt;0,INDEX(Merge_1_2!$J$2:$J$611,$C174),INDEX(Dataset3_Raw!$J$2:$J$391,$E174))</f>
        <v>0.2</v>
      </c>
      <c r="O174" s="25">
        <f>IF($C174&gt;0,IF(ISNUMBER(INDEX(Merge_1_2!$K$2:$K$611,$C174)),INDEX(Merge_1_2!$K$2:$K$611,$C174),""),INDEX(Dataset3_Raw!$K$2:$K$391,$E174))</f>
        <v>0.18179999999999999</v>
      </c>
      <c r="P174" s="25">
        <f>IF(ISNUMBER($O174),$O174,ROUND(Lookups!$B$25+Lookups!$B$24*$N174,4))</f>
        <v>0.18179999999999999</v>
      </c>
      <c r="Q174" s="25">
        <f>IF($C174&gt;0,INDEX(Merge_1_2!$L$2:$L$611,$C174),INDEX(Dataset3_Raw!$L$2:$L$391,$E174))</f>
        <v>0.69</v>
      </c>
      <c r="R174" s="25">
        <f>IF($C174&gt;0,INDEX(Merge_1_2!$M$2:$M$611,$C174),INDEX(Dataset3_Raw!$M$2:$M$391,$E174))</f>
        <v>0.3881</v>
      </c>
      <c r="S174" s="23">
        <f>IF($C174&gt;0,INDEX(Merge_1_2!$N$2:$N$611,$C174),INDEX(Dataset3_Raw!$N$2:$N$391,$E174))</f>
        <v>2</v>
      </c>
      <c r="T174" s="23">
        <f>IF($C174&gt;0,INDEX(Merge_1_2!$O$2:$O$611,$C174),INDEX(Dataset3_Raw!$O$2:$O$391,$E174))</f>
        <v>60</v>
      </c>
      <c r="U174" s="23">
        <f>IF($C174&gt;0,INDEX(Merge_1_2!$P$2:$P$611,$C174),INDEX(Dataset3_Raw!$P$2:$P$391,$E174))</f>
        <v>62</v>
      </c>
      <c r="V174" s="23" t="str">
        <f t="shared" si="13"/>
        <v>Weekend</v>
      </c>
      <c r="W174" s="23" t="str">
        <f>VLOOKUP($M174,Lookups!$A$5:$B$8,2,FALSE())</f>
        <v>Mist / Cloudy</v>
      </c>
      <c r="X174" s="23" t="str">
        <f>VLOOKUP($G174,Lookups!$D$5:$E$8,2,FALSE())</f>
        <v>Winter</v>
      </c>
      <c r="Y174" s="23" t="str">
        <f>VLOOKUP($L174,Lookups!$G$5:$H$11,2,FALSE())</f>
        <v>Saturday</v>
      </c>
      <c r="Z174" s="23" t="str">
        <f>IF($J174&lt;Lookups!$B$26,"Night",IF($J174&lt;Lookups!$B$27,"Morning",IF($J174&lt;Lookups!$B$28,"Afternoon","Evening")))</f>
        <v>Morning</v>
      </c>
      <c r="AA174" s="26">
        <f>ROUND($N174*(Lookups!$B$16-Lookups!$B$15)+Lookups!$B$15,1)</f>
        <v>1.4</v>
      </c>
      <c r="AB174" s="26">
        <f>ROUND($P174*(Lookups!$B$18-Lookups!$B$17)+Lookups!$B$17,1)</f>
        <v>-4</v>
      </c>
      <c r="AC174" s="23">
        <f t="shared" si="14"/>
        <v>69</v>
      </c>
      <c r="AD174" s="23">
        <f>ROUND($R174*Lookups!$B$19,1)</f>
        <v>26</v>
      </c>
      <c r="AE174" s="27">
        <f t="shared" si="15"/>
        <v>0.967741935483871</v>
      </c>
      <c r="AF174" s="23" t="str">
        <f>IF($U174&gt;=Lookups!$B$23,"High",IF($U174&gt;=Lookups!$B$22,"Medium","Low"))</f>
        <v>Medium</v>
      </c>
      <c r="AG174" s="23">
        <f>ROUND(IF($V174="Weekday",IF(INDEX(Hourly_Analysis!$D$5:$D$28,$J174+1)&gt;0,($U174-INDEX(Hourly_Analysis!$C$5:$C$28,$J174+1))/INDEX(Hourly_Analysis!$D$5:$D$28,$J174+1),0),IF(INDEX(Hourly_Analysis!$G$5:$G$28,$J174+1)&gt;0,($U174-INDEX(Hourly_Analysis!$F$5:$F$28,$J174+1))/INDEX(Hourly_Analysis!$G$5:$G$28,$J174+1),0)),2)</f>
        <v>-0.57999999999999996</v>
      </c>
      <c r="AH174" s="23" t="str">
        <f>IF(ABS($AG174)&gt;Lookups!$B$20,IF($AG174&gt;0,"High anomaly","Low anomaly"),"")</f>
        <v/>
      </c>
      <c r="AI174" s="23" t="str">
        <f t="shared" si="16"/>
        <v>OK</v>
      </c>
      <c r="AJ174" s="23" t="str">
        <f t="shared" si="17"/>
        <v>No</v>
      </c>
    </row>
    <row r="175" spans="1:36" x14ac:dyDescent="0.35">
      <c r="A175" s="23">
        <v>174</v>
      </c>
      <c r="B175" s="23" t="str">
        <f t="shared" si="12"/>
        <v>Merge 1+2</v>
      </c>
      <c r="C175" s="23">
        <f>IFERROR(MATCH($A175,Merge_1_2!$A$2:$A$611,0),0)</f>
        <v>174</v>
      </c>
      <c r="D175" s="23">
        <f>IF($C175&gt;0,INDEX(Merge_1_2!$Q$2:$Q$611,$C175),0)</f>
        <v>174</v>
      </c>
      <c r="E175" s="23">
        <f>IFERROR(MATCH($A175,Dataset3_Raw!$A$2:$A$391,0),0)</f>
        <v>0</v>
      </c>
      <c r="F175" s="24">
        <f>IF($C175&gt;0,INDEX(Merge_1_2!$B$2:$B$611,$C175),DATE(VALUE(RIGHT(INDEX(Dataset3_Raw!$B$2:$B$391,$E175),4)),VALUE(MID(INDEX(Dataset3_Raw!$B$2:$B$391,$E175),4,2)),VALUE(LEFT(INDEX(Dataset3_Raw!$B$2:$B$391,$E175),2))))</f>
        <v>40551</v>
      </c>
      <c r="G175" s="23">
        <f>IF($C175&gt;0,INDEX(Merge_1_2!$C$2:$C$611,$C175),INDEX(Dataset3_Raw!$C$2:$C$391,$E175))</f>
        <v>1</v>
      </c>
      <c r="H175" s="23">
        <f>IF($C175&gt;0,INDEX(Merge_1_2!$D$2:$D$611,$C175),INDEX(Dataset3_Raw!$D$2:$D$391,$E175))</f>
        <v>0</v>
      </c>
      <c r="I175" s="23">
        <f>IF($C175&gt;0,INDEX(Merge_1_2!$E$2:$E$611,$C175),INDEX(Dataset3_Raw!$E$2:$E$391,$E175))</f>
        <v>1</v>
      </c>
      <c r="J175" s="23">
        <f>IF($C175&gt;0,INDEX(Merge_1_2!$F$2:$F$611,$C175),INDEX(Dataset3_Raw!$F$2:$F$391,$E175))</f>
        <v>12</v>
      </c>
      <c r="K175" s="23" t="b">
        <f>IF($C175&gt;0,INDEX(Merge_1_2!$G$2:$G$611,$C175),INDEX(Dataset3_Raw!$G$2:$G$391,$E175))</f>
        <v>0</v>
      </c>
      <c r="L175" s="23">
        <f>IF($C175&gt;0,INDEX(Merge_1_2!$H$2:$H$611,$C175),INDEX(Dataset3_Raw!$H$2:$H$391,$E175))</f>
        <v>6</v>
      </c>
      <c r="M175" s="23">
        <f>IF($C175&gt;0,INDEX(Merge_1_2!$I$2:$I$611,$C175),INDEX(Dataset3_Raw!$I$2:$I$391,$E175))</f>
        <v>2</v>
      </c>
      <c r="N175" s="25">
        <f>IF($C175&gt;0,INDEX(Merge_1_2!$J$2:$J$611,$C175),INDEX(Dataset3_Raw!$J$2:$J$391,$E175))</f>
        <v>0.2</v>
      </c>
      <c r="O175" s="25">
        <f>IF($C175&gt;0,IF(ISNUMBER(INDEX(Merge_1_2!$K$2:$K$611,$C175)),INDEX(Merge_1_2!$K$2:$K$611,$C175),""),INDEX(Dataset3_Raw!$K$2:$K$391,$E175))</f>
        <v>0.18179999999999999</v>
      </c>
      <c r="P175" s="25">
        <f>IF(ISNUMBER($O175),$O175,ROUND(Lookups!$B$25+Lookups!$B$24*$N175,4))</f>
        <v>0.18179999999999999</v>
      </c>
      <c r="Q175" s="25">
        <f>IF($C175&gt;0,INDEX(Merge_1_2!$L$2:$L$611,$C175),INDEX(Dataset3_Raw!$L$2:$L$391,$E175))</f>
        <v>0.59</v>
      </c>
      <c r="R175" s="25">
        <f>IF($C175&gt;0,INDEX(Merge_1_2!$M$2:$M$611,$C175),INDEX(Dataset3_Raw!$M$2:$M$391,$E175))</f>
        <v>0.35820000000000002</v>
      </c>
      <c r="S175" s="23">
        <f>IF($C175&gt;0,INDEX(Merge_1_2!$N$2:$N$611,$C175),INDEX(Dataset3_Raw!$N$2:$N$391,$E175))</f>
        <v>8</v>
      </c>
      <c r="T175" s="23">
        <f>IF($C175&gt;0,INDEX(Merge_1_2!$O$2:$O$611,$C175),INDEX(Dataset3_Raw!$O$2:$O$391,$E175))</f>
        <v>90</v>
      </c>
      <c r="U175" s="23">
        <f>IF($C175&gt;0,INDEX(Merge_1_2!$P$2:$P$611,$C175),INDEX(Dataset3_Raw!$P$2:$P$391,$E175))</f>
        <v>98</v>
      </c>
      <c r="V175" s="23" t="str">
        <f t="shared" si="13"/>
        <v>Weekend</v>
      </c>
      <c r="W175" s="23" t="str">
        <f>VLOOKUP($M175,Lookups!$A$5:$B$8,2,FALSE())</f>
        <v>Mist / Cloudy</v>
      </c>
      <c r="X175" s="23" t="str">
        <f>VLOOKUP($G175,Lookups!$D$5:$E$8,2,FALSE())</f>
        <v>Winter</v>
      </c>
      <c r="Y175" s="23" t="str">
        <f>VLOOKUP($L175,Lookups!$G$5:$H$11,2,FALSE())</f>
        <v>Saturday</v>
      </c>
      <c r="Z175" s="23" t="str">
        <f>IF($J175&lt;Lookups!$B$26,"Night",IF($J175&lt;Lookups!$B$27,"Morning",IF($J175&lt;Lookups!$B$28,"Afternoon","Evening")))</f>
        <v>Afternoon</v>
      </c>
      <c r="AA175" s="26">
        <f>ROUND($N175*(Lookups!$B$16-Lookups!$B$15)+Lookups!$B$15,1)</f>
        <v>1.4</v>
      </c>
      <c r="AB175" s="26">
        <f>ROUND($P175*(Lookups!$B$18-Lookups!$B$17)+Lookups!$B$17,1)</f>
        <v>-4</v>
      </c>
      <c r="AC175" s="23">
        <f t="shared" si="14"/>
        <v>59</v>
      </c>
      <c r="AD175" s="23">
        <f>ROUND($R175*Lookups!$B$19,1)</f>
        <v>24</v>
      </c>
      <c r="AE175" s="27">
        <f t="shared" si="15"/>
        <v>0.91836734693877553</v>
      </c>
      <c r="AF175" s="23" t="str">
        <f>IF($U175&gt;=Lookups!$B$23,"High",IF($U175&gt;=Lookups!$B$22,"Medium","Low"))</f>
        <v>High</v>
      </c>
      <c r="AG175" s="23">
        <f>ROUND(IF($V175="Weekday",IF(INDEX(Hourly_Analysis!$D$5:$D$28,$J175+1)&gt;0,($U175-INDEX(Hourly_Analysis!$C$5:$C$28,$J175+1))/INDEX(Hourly_Analysis!$D$5:$D$28,$J175+1),0),IF(INDEX(Hourly_Analysis!$G$5:$G$28,$J175+1)&gt;0,($U175-INDEX(Hourly_Analysis!$F$5:$F$28,$J175+1))/INDEX(Hourly_Analysis!$G$5:$G$28,$J175+1),0)),2)</f>
        <v>-0.04</v>
      </c>
      <c r="AH175" s="23" t="str">
        <f>IF(ABS($AG175)&gt;Lookups!$B$20,IF($AG175&gt;0,"High anomaly","Low anomaly"),"")</f>
        <v/>
      </c>
      <c r="AI175" s="23" t="str">
        <f t="shared" si="16"/>
        <v>OK</v>
      </c>
      <c r="AJ175" s="23" t="str">
        <f t="shared" si="17"/>
        <v>No</v>
      </c>
    </row>
    <row r="176" spans="1:36" x14ac:dyDescent="0.35">
      <c r="A176" s="23">
        <v>175</v>
      </c>
      <c r="B176" s="23" t="str">
        <f t="shared" si="12"/>
        <v>Merge 1+2</v>
      </c>
      <c r="C176" s="23">
        <f>IFERROR(MATCH($A176,Merge_1_2!$A$2:$A$611,0),0)</f>
        <v>175</v>
      </c>
      <c r="D176" s="23">
        <f>IF($C176&gt;0,INDEX(Merge_1_2!$Q$2:$Q$611,$C176),0)</f>
        <v>175</v>
      </c>
      <c r="E176" s="23">
        <f>IFERROR(MATCH($A176,Dataset3_Raw!$A$2:$A$391,0),0)</f>
        <v>0</v>
      </c>
      <c r="F176" s="24">
        <f>IF($C176&gt;0,INDEX(Merge_1_2!$B$2:$B$611,$C176),DATE(VALUE(RIGHT(INDEX(Dataset3_Raw!$B$2:$B$391,$E176),4)),VALUE(MID(INDEX(Dataset3_Raw!$B$2:$B$391,$E176),4,2)),VALUE(LEFT(INDEX(Dataset3_Raw!$B$2:$B$391,$E176),2))))</f>
        <v>40551</v>
      </c>
      <c r="G176" s="23">
        <f>IF($C176&gt;0,INDEX(Merge_1_2!$C$2:$C$611,$C176),INDEX(Dataset3_Raw!$C$2:$C$391,$E176))</f>
        <v>1</v>
      </c>
      <c r="H176" s="23">
        <f>IF($C176&gt;0,INDEX(Merge_1_2!$D$2:$D$611,$C176),INDEX(Dataset3_Raw!$D$2:$D$391,$E176))</f>
        <v>0</v>
      </c>
      <c r="I176" s="23">
        <f>IF($C176&gt;0,INDEX(Merge_1_2!$E$2:$E$611,$C176),INDEX(Dataset3_Raw!$E$2:$E$391,$E176))</f>
        <v>1</v>
      </c>
      <c r="J176" s="23">
        <f>IF($C176&gt;0,INDEX(Merge_1_2!$F$2:$F$611,$C176),INDEX(Dataset3_Raw!$F$2:$F$391,$E176))</f>
        <v>13</v>
      </c>
      <c r="K176" s="23" t="b">
        <f>IF($C176&gt;0,INDEX(Merge_1_2!$G$2:$G$611,$C176),INDEX(Dataset3_Raw!$G$2:$G$391,$E176))</f>
        <v>0</v>
      </c>
      <c r="L176" s="23">
        <f>IF($C176&gt;0,INDEX(Merge_1_2!$H$2:$H$611,$C176),INDEX(Dataset3_Raw!$H$2:$H$391,$E176))</f>
        <v>6</v>
      </c>
      <c r="M176" s="23">
        <f>IF($C176&gt;0,INDEX(Merge_1_2!$I$2:$I$611,$C176),INDEX(Dataset3_Raw!$I$2:$I$391,$E176))</f>
        <v>1</v>
      </c>
      <c r="N176" s="25">
        <f>IF($C176&gt;0,INDEX(Merge_1_2!$J$2:$J$611,$C176),INDEX(Dataset3_Raw!$J$2:$J$391,$E176))</f>
        <v>0.2</v>
      </c>
      <c r="O176" s="25">
        <f>IF($C176&gt;0,IF(ISNUMBER(INDEX(Merge_1_2!$K$2:$K$611,$C176)),INDEX(Merge_1_2!$K$2:$K$611,$C176),""),INDEX(Dataset3_Raw!$K$2:$K$391,$E176))</f>
        <v>0.18179999999999999</v>
      </c>
      <c r="P176" s="25">
        <f>IF(ISNUMBER($O176),$O176,ROUND(Lookups!$B$25+Lookups!$B$24*$N176,4))</f>
        <v>0.18179999999999999</v>
      </c>
      <c r="Q176" s="25">
        <f>IF($C176&gt;0,INDEX(Merge_1_2!$L$2:$L$611,$C176),INDEX(Dataset3_Raw!$L$2:$L$391,$E176))</f>
        <v>0.44</v>
      </c>
      <c r="R176" s="25">
        <f>IF($C176&gt;0,INDEX(Merge_1_2!$M$2:$M$611,$C176),INDEX(Dataset3_Raw!$M$2:$M$391,$E176))</f>
        <v>0.32840000000000003</v>
      </c>
      <c r="S176" s="23">
        <f>IF($C176&gt;0,INDEX(Merge_1_2!$N$2:$N$611,$C176),INDEX(Dataset3_Raw!$N$2:$N$391,$E176))</f>
        <v>7</v>
      </c>
      <c r="T176" s="23">
        <f>IF($C176&gt;0,INDEX(Merge_1_2!$O$2:$O$611,$C176),INDEX(Dataset3_Raw!$O$2:$O$391,$E176))</f>
        <v>95</v>
      </c>
      <c r="U176" s="23">
        <f>IF($C176&gt;0,INDEX(Merge_1_2!$P$2:$P$611,$C176),INDEX(Dataset3_Raw!$P$2:$P$391,$E176))</f>
        <v>102</v>
      </c>
      <c r="V176" s="23" t="str">
        <f t="shared" si="13"/>
        <v>Weekend</v>
      </c>
      <c r="W176" s="23" t="str">
        <f>VLOOKUP($M176,Lookups!$A$5:$B$8,2,FALSE())</f>
        <v>Clear / Partly cloudy</v>
      </c>
      <c r="X176" s="23" t="str">
        <f>VLOOKUP($G176,Lookups!$D$5:$E$8,2,FALSE())</f>
        <v>Winter</v>
      </c>
      <c r="Y176" s="23" t="str">
        <f>VLOOKUP($L176,Lookups!$G$5:$H$11,2,FALSE())</f>
        <v>Saturday</v>
      </c>
      <c r="Z176" s="23" t="str">
        <f>IF($J176&lt;Lookups!$B$26,"Night",IF($J176&lt;Lookups!$B$27,"Morning",IF($J176&lt;Lookups!$B$28,"Afternoon","Evening")))</f>
        <v>Afternoon</v>
      </c>
      <c r="AA176" s="26">
        <f>ROUND($N176*(Lookups!$B$16-Lookups!$B$15)+Lookups!$B$15,1)</f>
        <v>1.4</v>
      </c>
      <c r="AB176" s="26">
        <f>ROUND($P176*(Lookups!$B$18-Lookups!$B$17)+Lookups!$B$17,1)</f>
        <v>-4</v>
      </c>
      <c r="AC176" s="23">
        <f t="shared" si="14"/>
        <v>44</v>
      </c>
      <c r="AD176" s="23">
        <f>ROUND($R176*Lookups!$B$19,1)</f>
        <v>22</v>
      </c>
      <c r="AE176" s="27">
        <f t="shared" si="15"/>
        <v>0.93137254901960786</v>
      </c>
      <c r="AF176" s="23" t="str">
        <f>IF($U176&gt;=Lookups!$B$23,"High",IF($U176&gt;=Lookups!$B$22,"Medium","Low"))</f>
        <v>High</v>
      </c>
      <c r="AG176" s="23">
        <f>ROUND(IF($V176="Weekday",IF(INDEX(Hourly_Analysis!$D$5:$D$28,$J176+1)&gt;0,($U176-INDEX(Hourly_Analysis!$C$5:$C$28,$J176+1))/INDEX(Hourly_Analysis!$D$5:$D$28,$J176+1),0),IF(INDEX(Hourly_Analysis!$G$5:$G$28,$J176+1)&gt;0,($U176-INDEX(Hourly_Analysis!$F$5:$F$28,$J176+1))/INDEX(Hourly_Analysis!$G$5:$G$28,$J176+1),0)),2)</f>
        <v>0.02</v>
      </c>
      <c r="AH176" s="23" t="str">
        <f>IF(ABS($AG176)&gt;Lookups!$B$20,IF($AG176&gt;0,"High anomaly","Low anomaly"),"")</f>
        <v/>
      </c>
      <c r="AI176" s="23" t="str">
        <f t="shared" si="16"/>
        <v>OK</v>
      </c>
      <c r="AJ176" s="23" t="str">
        <f t="shared" si="17"/>
        <v>No</v>
      </c>
    </row>
    <row r="177" spans="1:36" x14ac:dyDescent="0.35">
      <c r="A177" s="23">
        <v>176</v>
      </c>
      <c r="B177" s="23" t="str">
        <f t="shared" si="12"/>
        <v>Merge 1+2</v>
      </c>
      <c r="C177" s="23">
        <f>IFERROR(MATCH($A177,Merge_1_2!$A$2:$A$611,0),0)</f>
        <v>176</v>
      </c>
      <c r="D177" s="23">
        <f>IF($C177&gt;0,INDEX(Merge_1_2!$Q$2:$Q$611,$C177),0)</f>
        <v>176</v>
      </c>
      <c r="E177" s="23">
        <f>IFERROR(MATCH($A177,Dataset3_Raw!$A$2:$A$391,0),0)</f>
        <v>0</v>
      </c>
      <c r="F177" s="24">
        <f>IF($C177&gt;0,INDEX(Merge_1_2!$B$2:$B$611,$C177),DATE(VALUE(RIGHT(INDEX(Dataset3_Raw!$B$2:$B$391,$E177),4)),VALUE(MID(INDEX(Dataset3_Raw!$B$2:$B$391,$E177),4,2)),VALUE(LEFT(INDEX(Dataset3_Raw!$B$2:$B$391,$E177),2))))</f>
        <v>40551</v>
      </c>
      <c r="G177" s="23">
        <f>IF($C177&gt;0,INDEX(Merge_1_2!$C$2:$C$611,$C177),INDEX(Dataset3_Raw!$C$2:$C$391,$E177))</f>
        <v>1</v>
      </c>
      <c r="H177" s="23">
        <f>IF($C177&gt;0,INDEX(Merge_1_2!$D$2:$D$611,$C177),INDEX(Dataset3_Raw!$D$2:$D$391,$E177))</f>
        <v>0</v>
      </c>
      <c r="I177" s="23">
        <f>IF($C177&gt;0,INDEX(Merge_1_2!$E$2:$E$611,$C177),INDEX(Dataset3_Raw!$E$2:$E$391,$E177))</f>
        <v>1</v>
      </c>
      <c r="J177" s="23">
        <f>IF($C177&gt;0,INDEX(Merge_1_2!$F$2:$F$611,$C177),INDEX(Dataset3_Raw!$F$2:$F$391,$E177))</f>
        <v>14</v>
      </c>
      <c r="K177" s="23" t="b">
        <f>IF($C177&gt;0,INDEX(Merge_1_2!$G$2:$G$611,$C177),INDEX(Dataset3_Raw!$G$2:$G$391,$E177))</f>
        <v>0</v>
      </c>
      <c r="L177" s="23">
        <f>IF($C177&gt;0,INDEX(Merge_1_2!$H$2:$H$611,$C177),INDEX(Dataset3_Raw!$H$2:$H$391,$E177))</f>
        <v>6</v>
      </c>
      <c r="M177" s="23">
        <f>IF($C177&gt;0,INDEX(Merge_1_2!$I$2:$I$611,$C177),INDEX(Dataset3_Raw!$I$2:$I$391,$E177))</f>
        <v>1</v>
      </c>
      <c r="N177" s="25">
        <f>IF($C177&gt;0,INDEX(Merge_1_2!$J$2:$J$611,$C177),INDEX(Dataset3_Raw!$J$2:$J$391,$E177))</f>
        <v>0.2</v>
      </c>
      <c r="O177" s="25">
        <f>IF($C177&gt;0,IF(ISNUMBER(INDEX(Merge_1_2!$K$2:$K$611,$C177)),INDEX(Merge_1_2!$K$2:$K$611,$C177),""),INDEX(Dataset3_Raw!$K$2:$K$391,$E177))</f>
        <v>0.16669999999999999</v>
      </c>
      <c r="P177" s="25">
        <f>IF(ISNUMBER($O177),$O177,ROUND(Lookups!$B$25+Lookups!$B$24*$N177,4))</f>
        <v>0.16669999999999999</v>
      </c>
      <c r="Q177" s="25">
        <f>IF($C177&gt;0,INDEX(Merge_1_2!$L$2:$L$611,$C177),INDEX(Dataset3_Raw!$L$2:$L$391,$E177))</f>
        <v>0.32</v>
      </c>
      <c r="R177" s="25">
        <f>IF($C177&gt;0,INDEX(Merge_1_2!$M$2:$M$611,$C177),INDEX(Dataset3_Raw!$M$2:$M$391,$E177))</f>
        <v>0.49249999999999999</v>
      </c>
      <c r="S177" s="23">
        <f>IF($C177&gt;0,INDEX(Merge_1_2!$N$2:$N$611,$C177),INDEX(Dataset3_Raw!$N$2:$N$391,$E177))</f>
        <v>12</v>
      </c>
      <c r="T177" s="23">
        <f>IF($C177&gt;0,INDEX(Merge_1_2!$O$2:$O$611,$C177),INDEX(Dataset3_Raw!$O$2:$O$391,$E177))</f>
        <v>83</v>
      </c>
      <c r="U177" s="23">
        <f>IF($C177&gt;0,INDEX(Merge_1_2!$P$2:$P$611,$C177),INDEX(Dataset3_Raw!$P$2:$P$391,$E177))</f>
        <v>95</v>
      </c>
      <c r="V177" s="23" t="str">
        <f t="shared" si="13"/>
        <v>Weekend</v>
      </c>
      <c r="W177" s="23" t="str">
        <f>VLOOKUP($M177,Lookups!$A$5:$B$8,2,FALSE())</f>
        <v>Clear / Partly cloudy</v>
      </c>
      <c r="X177" s="23" t="str">
        <f>VLOOKUP($G177,Lookups!$D$5:$E$8,2,FALSE())</f>
        <v>Winter</v>
      </c>
      <c r="Y177" s="23" t="str">
        <f>VLOOKUP($L177,Lookups!$G$5:$H$11,2,FALSE())</f>
        <v>Saturday</v>
      </c>
      <c r="Z177" s="23" t="str">
        <f>IF($J177&lt;Lookups!$B$26,"Night",IF($J177&lt;Lookups!$B$27,"Morning",IF($J177&lt;Lookups!$B$28,"Afternoon","Evening")))</f>
        <v>Afternoon</v>
      </c>
      <c r="AA177" s="26">
        <f>ROUND($N177*(Lookups!$B$16-Lookups!$B$15)+Lookups!$B$15,1)</f>
        <v>1.4</v>
      </c>
      <c r="AB177" s="26">
        <f>ROUND($P177*(Lookups!$B$18-Lookups!$B$17)+Lookups!$B$17,1)</f>
        <v>-5</v>
      </c>
      <c r="AC177" s="23">
        <f t="shared" si="14"/>
        <v>32</v>
      </c>
      <c r="AD177" s="23">
        <f>ROUND($R177*Lookups!$B$19,1)</f>
        <v>33</v>
      </c>
      <c r="AE177" s="27">
        <f t="shared" si="15"/>
        <v>0.87368421052631584</v>
      </c>
      <c r="AF177" s="23" t="str">
        <f>IF($U177&gt;=Lookups!$B$23,"High",IF($U177&gt;=Lookups!$B$22,"Medium","Low"))</f>
        <v>High</v>
      </c>
      <c r="AG177" s="23">
        <f>ROUND(IF($V177="Weekday",IF(INDEX(Hourly_Analysis!$D$5:$D$28,$J177+1)&gt;0,($U177-INDEX(Hourly_Analysis!$C$5:$C$28,$J177+1))/INDEX(Hourly_Analysis!$D$5:$D$28,$J177+1),0),IF(INDEX(Hourly_Analysis!$G$5:$G$28,$J177+1)&gt;0,($U177-INDEX(Hourly_Analysis!$F$5:$F$28,$J177+1))/INDEX(Hourly_Analysis!$G$5:$G$28,$J177+1),0)),2)</f>
        <v>-0.22</v>
      </c>
      <c r="AH177" s="23" t="str">
        <f>IF(ABS($AG177)&gt;Lookups!$B$20,IF($AG177&gt;0,"High anomaly","Low anomaly"),"")</f>
        <v/>
      </c>
      <c r="AI177" s="23" t="str">
        <f t="shared" si="16"/>
        <v>OK</v>
      </c>
      <c r="AJ177" s="23" t="str">
        <f t="shared" si="17"/>
        <v>No</v>
      </c>
    </row>
    <row r="178" spans="1:36" x14ac:dyDescent="0.35">
      <c r="A178" s="23">
        <v>177</v>
      </c>
      <c r="B178" s="23" t="str">
        <f t="shared" si="12"/>
        <v>Merge 1+2</v>
      </c>
      <c r="C178" s="23">
        <f>IFERROR(MATCH($A178,Merge_1_2!$A$2:$A$611,0),0)</f>
        <v>177</v>
      </c>
      <c r="D178" s="23">
        <f>IF($C178&gt;0,INDEX(Merge_1_2!$Q$2:$Q$611,$C178),0)</f>
        <v>177</v>
      </c>
      <c r="E178" s="23">
        <f>IFERROR(MATCH($A178,Dataset3_Raw!$A$2:$A$391,0),0)</f>
        <v>0</v>
      </c>
      <c r="F178" s="24">
        <f>IF($C178&gt;0,INDEX(Merge_1_2!$B$2:$B$611,$C178),DATE(VALUE(RIGHT(INDEX(Dataset3_Raw!$B$2:$B$391,$E178),4)),VALUE(MID(INDEX(Dataset3_Raw!$B$2:$B$391,$E178),4,2)),VALUE(LEFT(INDEX(Dataset3_Raw!$B$2:$B$391,$E178),2))))</f>
        <v>40551</v>
      </c>
      <c r="G178" s="23">
        <f>IF($C178&gt;0,INDEX(Merge_1_2!$C$2:$C$611,$C178),INDEX(Dataset3_Raw!$C$2:$C$391,$E178))</f>
        <v>1</v>
      </c>
      <c r="H178" s="23">
        <f>IF($C178&gt;0,INDEX(Merge_1_2!$D$2:$D$611,$C178),INDEX(Dataset3_Raw!$D$2:$D$391,$E178))</f>
        <v>0</v>
      </c>
      <c r="I178" s="23">
        <f>IF($C178&gt;0,INDEX(Merge_1_2!$E$2:$E$611,$C178),INDEX(Dataset3_Raw!$E$2:$E$391,$E178))</f>
        <v>1</v>
      </c>
      <c r="J178" s="23">
        <f>IF($C178&gt;0,INDEX(Merge_1_2!$F$2:$F$611,$C178),INDEX(Dataset3_Raw!$F$2:$F$391,$E178))</f>
        <v>15</v>
      </c>
      <c r="K178" s="23" t="b">
        <f>IF($C178&gt;0,INDEX(Merge_1_2!$G$2:$G$611,$C178),INDEX(Dataset3_Raw!$G$2:$G$391,$E178))</f>
        <v>0</v>
      </c>
      <c r="L178" s="23">
        <f>IF($C178&gt;0,INDEX(Merge_1_2!$H$2:$H$611,$C178),INDEX(Dataset3_Raw!$H$2:$H$391,$E178))</f>
        <v>6</v>
      </c>
      <c r="M178" s="23">
        <f>IF($C178&gt;0,INDEX(Merge_1_2!$I$2:$I$611,$C178),INDEX(Dataset3_Raw!$I$2:$I$391,$E178))</f>
        <v>1</v>
      </c>
      <c r="N178" s="25">
        <f>IF($C178&gt;0,INDEX(Merge_1_2!$J$2:$J$611,$C178),INDEX(Dataset3_Raw!$J$2:$J$391,$E178))</f>
        <v>0.2</v>
      </c>
      <c r="O178" s="25">
        <f>IF($C178&gt;0,IF(ISNUMBER(INDEX(Merge_1_2!$K$2:$K$611,$C178)),INDEX(Merge_1_2!$K$2:$K$611,$C178),""),INDEX(Dataset3_Raw!$K$2:$K$391,$E178))</f>
        <v>0.16669999999999999</v>
      </c>
      <c r="P178" s="25">
        <f>IF(ISNUMBER($O178),$O178,ROUND(Lookups!$B$25+Lookups!$B$24*$N178,4))</f>
        <v>0.16669999999999999</v>
      </c>
      <c r="Q178" s="25">
        <f>IF($C178&gt;0,INDEX(Merge_1_2!$L$2:$L$611,$C178),INDEX(Dataset3_Raw!$L$2:$L$391,$E178))</f>
        <v>0.32</v>
      </c>
      <c r="R178" s="25">
        <f>IF($C178&gt;0,INDEX(Merge_1_2!$M$2:$M$611,$C178),INDEX(Dataset3_Raw!$M$2:$M$391,$E178))</f>
        <v>0.44779999999999998</v>
      </c>
      <c r="S178" s="23">
        <f>IF($C178&gt;0,INDEX(Merge_1_2!$N$2:$N$611,$C178),INDEX(Dataset3_Raw!$N$2:$N$391,$E178))</f>
        <v>5</v>
      </c>
      <c r="T178" s="23">
        <f>IF($C178&gt;0,INDEX(Merge_1_2!$O$2:$O$611,$C178),INDEX(Dataset3_Raw!$O$2:$O$391,$E178))</f>
        <v>69</v>
      </c>
      <c r="U178" s="23">
        <f>IF($C178&gt;0,INDEX(Merge_1_2!$P$2:$P$611,$C178),INDEX(Dataset3_Raw!$P$2:$P$391,$E178))</f>
        <v>74</v>
      </c>
      <c r="V178" s="23" t="str">
        <f t="shared" si="13"/>
        <v>Weekend</v>
      </c>
      <c r="W178" s="23" t="str">
        <f>VLOOKUP($M178,Lookups!$A$5:$B$8,2,FALSE())</f>
        <v>Clear / Partly cloudy</v>
      </c>
      <c r="X178" s="23" t="str">
        <f>VLOOKUP($G178,Lookups!$D$5:$E$8,2,FALSE())</f>
        <v>Winter</v>
      </c>
      <c r="Y178" s="23" t="str">
        <f>VLOOKUP($L178,Lookups!$G$5:$H$11,2,FALSE())</f>
        <v>Saturday</v>
      </c>
      <c r="Z178" s="23" t="str">
        <f>IF($J178&lt;Lookups!$B$26,"Night",IF($J178&lt;Lookups!$B$27,"Morning",IF($J178&lt;Lookups!$B$28,"Afternoon","Evening")))</f>
        <v>Afternoon</v>
      </c>
      <c r="AA178" s="26">
        <f>ROUND($N178*(Lookups!$B$16-Lookups!$B$15)+Lookups!$B$15,1)</f>
        <v>1.4</v>
      </c>
      <c r="AB178" s="26">
        <f>ROUND($P178*(Lookups!$B$18-Lookups!$B$17)+Lookups!$B$17,1)</f>
        <v>-5</v>
      </c>
      <c r="AC178" s="23">
        <f t="shared" si="14"/>
        <v>32</v>
      </c>
      <c r="AD178" s="23">
        <f>ROUND($R178*Lookups!$B$19,1)</f>
        <v>30</v>
      </c>
      <c r="AE178" s="27">
        <f t="shared" si="15"/>
        <v>0.93243243243243246</v>
      </c>
      <c r="AF178" s="23" t="str">
        <f>IF($U178&gt;=Lookups!$B$23,"High",IF($U178&gt;=Lookups!$B$22,"Medium","Low"))</f>
        <v>Medium</v>
      </c>
      <c r="AG178" s="23">
        <f>ROUND(IF($V178="Weekday",IF(INDEX(Hourly_Analysis!$D$5:$D$28,$J178+1)&gt;0,($U178-INDEX(Hourly_Analysis!$C$5:$C$28,$J178+1))/INDEX(Hourly_Analysis!$D$5:$D$28,$J178+1),0),IF(INDEX(Hourly_Analysis!$G$5:$G$28,$J178+1)&gt;0,($U178-INDEX(Hourly_Analysis!$F$5:$F$28,$J178+1))/INDEX(Hourly_Analysis!$G$5:$G$28,$J178+1),0)),2)</f>
        <v>-0.98</v>
      </c>
      <c r="AH178" s="23" t="str">
        <f>IF(ABS($AG178)&gt;Lookups!$B$20,IF($AG178&gt;0,"High anomaly","Low anomaly"),"")</f>
        <v/>
      </c>
      <c r="AI178" s="23" t="str">
        <f t="shared" si="16"/>
        <v>OK</v>
      </c>
      <c r="AJ178" s="23" t="str">
        <f t="shared" si="17"/>
        <v>No</v>
      </c>
    </row>
    <row r="179" spans="1:36" x14ac:dyDescent="0.35">
      <c r="A179" s="23">
        <v>178</v>
      </c>
      <c r="B179" s="23" t="str">
        <f t="shared" si="12"/>
        <v>Merge 1+2</v>
      </c>
      <c r="C179" s="23">
        <f>IFERROR(MATCH($A179,Merge_1_2!$A$2:$A$611,0),0)</f>
        <v>178</v>
      </c>
      <c r="D179" s="23">
        <f>IF($C179&gt;0,INDEX(Merge_1_2!$Q$2:$Q$611,$C179),0)</f>
        <v>178</v>
      </c>
      <c r="E179" s="23">
        <f>IFERROR(MATCH($A179,Dataset3_Raw!$A$2:$A$391,0),0)</f>
        <v>0</v>
      </c>
      <c r="F179" s="24">
        <f>IF($C179&gt;0,INDEX(Merge_1_2!$B$2:$B$611,$C179),DATE(VALUE(RIGHT(INDEX(Dataset3_Raw!$B$2:$B$391,$E179),4)),VALUE(MID(INDEX(Dataset3_Raw!$B$2:$B$391,$E179),4,2)),VALUE(LEFT(INDEX(Dataset3_Raw!$B$2:$B$391,$E179),2))))</f>
        <v>40551</v>
      </c>
      <c r="G179" s="23">
        <f>IF($C179&gt;0,INDEX(Merge_1_2!$C$2:$C$611,$C179),INDEX(Dataset3_Raw!$C$2:$C$391,$E179))</f>
        <v>1</v>
      </c>
      <c r="H179" s="23">
        <f>IF($C179&gt;0,INDEX(Merge_1_2!$D$2:$D$611,$C179),INDEX(Dataset3_Raw!$D$2:$D$391,$E179))</f>
        <v>0</v>
      </c>
      <c r="I179" s="23">
        <f>IF($C179&gt;0,INDEX(Merge_1_2!$E$2:$E$611,$C179),INDEX(Dataset3_Raw!$E$2:$E$391,$E179))</f>
        <v>1</v>
      </c>
      <c r="J179" s="23">
        <f>IF($C179&gt;0,INDEX(Merge_1_2!$F$2:$F$611,$C179),INDEX(Dataset3_Raw!$F$2:$F$391,$E179))</f>
        <v>16</v>
      </c>
      <c r="K179" s="23" t="b">
        <f>IF($C179&gt;0,INDEX(Merge_1_2!$G$2:$G$611,$C179),INDEX(Dataset3_Raw!$G$2:$G$391,$E179))</f>
        <v>0</v>
      </c>
      <c r="L179" s="23">
        <f>IF($C179&gt;0,INDEX(Merge_1_2!$H$2:$H$611,$C179),INDEX(Dataset3_Raw!$H$2:$H$391,$E179))</f>
        <v>6</v>
      </c>
      <c r="M179" s="23">
        <f>IF($C179&gt;0,INDEX(Merge_1_2!$I$2:$I$611,$C179),INDEX(Dataset3_Raw!$I$2:$I$391,$E179))</f>
        <v>1</v>
      </c>
      <c r="N179" s="25">
        <f>IF($C179&gt;0,INDEX(Merge_1_2!$J$2:$J$611,$C179),INDEX(Dataset3_Raw!$J$2:$J$391,$E179))</f>
        <v>0.18</v>
      </c>
      <c r="O179" s="25">
        <f>IF($C179&gt;0,IF(ISNUMBER(INDEX(Merge_1_2!$K$2:$K$611,$C179)),INDEX(Merge_1_2!$K$2:$K$611,$C179),""),INDEX(Dataset3_Raw!$K$2:$K$391,$E179))</f>
        <v>0.13639999999999999</v>
      </c>
      <c r="P179" s="25">
        <f>IF(ISNUMBER($O179),$O179,ROUND(Lookups!$B$25+Lookups!$B$24*$N179,4))</f>
        <v>0.13639999999999999</v>
      </c>
      <c r="Q179" s="25">
        <f>IF($C179&gt;0,INDEX(Merge_1_2!$L$2:$L$611,$C179),INDEX(Dataset3_Raw!$L$2:$L$391,$E179))</f>
        <v>0.28999999999999998</v>
      </c>
      <c r="R179" s="25">
        <f>IF($C179&gt;0,INDEX(Merge_1_2!$M$2:$M$611,$C179),INDEX(Dataset3_Raw!$M$2:$M$391,$E179))</f>
        <v>0.44779999999999998</v>
      </c>
      <c r="S179" s="23">
        <f>IF($C179&gt;0,INDEX(Merge_1_2!$N$2:$N$611,$C179),INDEX(Dataset3_Raw!$N$2:$N$391,$E179))</f>
        <v>8</v>
      </c>
      <c r="T179" s="23">
        <f>IF($C179&gt;0,INDEX(Merge_1_2!$O$2:$O$611,$C179),INDEX(Dataset3_Raw!$O$2:$O$391,$E179))</f>
        <v>68</v>
      </c>
      <c r="U179" s="23">
        <f>IF($C179&gt;0,INDEX(Merge_1_2!$P$2:$P$611,$C179),INDEX(Dataset3_Raw!$P$2:$P$391,$E179))</f>
        <v>76</v>
      </c>
      <c r="V179" s="23" t="str">
        <f t="shared" si="13"/>
        <v>Weekend</v>
      </c>
      <c r="W179" s="23" t="str">
        <f>VLOOKUP($M179,Lookups!$A$5:$B$8,2,FALSE())</f>
        <v>Clear / Partly cloudy</v>
      </c>
      <c r="X179" s="23" t="str">
        <f>VLOOKUP($G179,Lookups!$D$5:$E$8,2,FALSE())</f>
        <v>Winter</v>
      </c>
      <c r="Y179" s="23" t="str">
        <f>VLOOKUP($L179,Lookups!$G$5:$H$11,2,FALSE())</f>
        <v>Saturday</v>
      </c>
      <c r="Z179" s="23" t="str">
        <f>IF($J179&lt;Lookups!$B$26,"Night",IF($J179&lt;Lookups!$B$27,"Morning",IF($J179&lt;Lookups!$B$28,"Afternoon","Evening")))</f>
        <v>Afternoon</v>
      </c>
      <c r="AA179" s="26">
        <f>ROUND($N179*(Lookups!$B$16-Lookups!$B$15)+Lookups!$B$15,1)</f>
        <v>0.5</v>
      </c>
      <c r="AB179" s="26">
        <f>ROUND($P179*(Lookups!$B$18-Lookups!$B$17)+Lookups!$B$17,1)</f>
        <v>-7</v>
      </c>
      <c r="AC179" s="23">
        <f t="shared" si="14"/>
        <v>29</v>
      </c>
      <c r="AD179" s="23">
        <f>ROUND($R179*Lookups!$B$19,1)</f>
        <v>30</v>
      </c>
      <c r="AE179" s="27">
        <f t="shared" si="15"/>
        <v>0.89473684210526316</v>
      </c>
      <c r="AF179" s="23" t="str">
        <f>IF($U179&gt;=Lookups!$B$23,"High",IF($U179&gt;=Lookups!$B$22,"Medium","Low"))</f>
        <v>Medium</v>
      </c>
      <c r="AG179" s="23">
        <f>ROUND(IF($V179="Weekday",IF(INDEX(Hourly_Analysis!$D$5:$D$28,$J179+1)&gt;0,($U179-INDEX(Hourly_Analysis!$C$5:$C$28,$J179+1))/INDEX(Hourly_Analysis!$D$5:$D$28,$J179+1),0),IF(INDEX(Hourly_Analysis!$G$5:$G$28,$J179+1)&gt;0,($U179-INDEX(Hourly_Analysis!$F$5:$F$28,$J179+1))/INDEX(Hourly_Analysis!$G$5:$G$28,$J179+1),0)),2)</f>
        <v>-0.9</v>
      </c>
      <c r="AH179" s="23" t="str">
        <f>IF(ABS($AG179)&gt;Lookups!$B$20,IF($AG179&gt;0,"High anomaly","Low anomaly"),"")</f>
        <v/>
      </c>
      <c r="AI179" s="23" t="str">
        <f t="shared" si="16"/>
        <v>OK</v>
      </c>
      <c r="AJ179" s="23" t="str">
        <f t="shared" si="17"/>
        <v>No</v>
      </c>
    </row>
    <row r="180" spans="1:36" x14ac:dyDescent="0.35">
      <c r="A180" s="23">
        <v>179</v>
      </c>
      <c r="B180" s="23" t="str">
        <f t="shared" si="12"/>
        <v>Merge 1+2</v>
      </c>
      <c r="C180" s="23">
        <f>IFERROR(MATCH($A180,Merge_1_2!$A$2:$A$611,0),0)</f>
        <v>179</v>
      </c>
      <c r="D180" s="23">
        <f>IF($C180&gt;0,INDEX(Merge_1_2!$Q$2:$Q$611,$C180),0)</f>
        <v>179</v>
      </c>
      <c r="E180" s="23">
        <f>IFERROR(MATCH($A180,Dataset3_Raw!$A$2:$A$391,0),0)</f>
        <v>0</v>
      </c>
      <c r="F180" s="24">
        <f>IF($C180&gt;0,INDEX(Merge_1_2!$B$2:$B$611,$C180),DATE(VALUE(RIGHT(INDEX(Dataset3_Raw!$B$2:$B$391,$E180),4)),VALUE(MID(INDEX(Dataset3_Raw!$B$2:$B$391,$E180),4,2)),VALUE(LEFT(INDEX(Dataset3_Raw!$B$2:$B$391,$E180),2))))</f>
        <v>40551</v>
      </c>
      <c r="G180" s="23">
        <f>IF($C180&gt;0,INDEX(Merge_1_2!$C$2:$C$611,$C180),INDEX(Dataset3_Raw!$C$2:$C$391,$E180))</f>
        <v>1</v>
      </c>
      <c r="H180" s="23">
        <f>IF($C180&gt;0,INDEX(Merge_1_2!$D$2:$D$611,$C180),INDEX(Dataset3_Raw!$D$2:$D$391,$E180))</f>
        <v>0</v>
      </c>
      <c r="I180" s="23">
        <f>IF($C180&gt;0,INDEX(Merge_1_2!$E$2:$E$611,$C180),INDEX(Dataset3_Raw!$E$2:$E$391,$E180))</f>
        <v>1</v>
      </c>
      <c r="J180" s="23">
        <f>IF($C180&gt;0,INDEX(Merge_1_2!$F$2:$F$611,$C180),INDEX(Dataset3_Raw!$F$2:$F$391,$E180))</f>
        <v>17</v>
      </c>
      <c r="K180" s="23" t="b">
        <f>IF($C180&gt;0,INDEX(Merge_1_2!$G$2:$G$611,$C180),INDEX(Dataset3_Raw!$G$2:$G$391,$E180))</f>
        <v>0</v>
      </c>
      <c r="L180" s="23">
        <f>IF($C180&gt;0,INDEX(Merge_1_2!$H$2:$H$611,$C180),INDEX(Dataset3_Raw!$H$2:$H$391,$E180))</f>
        <v>6</v>
      </c>
      <c r="M180" s="23">
        <f>IF($C180&gt;0,INDEX(Merge_1_2!$I$2:$I$611,$C180),INDEX(Dataset3_Raw!$I$2:$I$391,$E180))</f>
        <v>1</v>
      </c>
      <c r="N180" s="25">
        <f>IF($C180&gt;0,INDEX(Merge_1_2!$J$2:$J$611,$C180),INDEX(Dataset3_Raw!$J$2:$J$391,$E180))</f>
        <v>0.16</v>
      </c>
      <c r="O180" s="25">
        <f>IF($C180&gt;0,IF(ISNUMBER(INDEX(Merge_1_2!$K$2:$K$611,$C180)),INDEX(Merge_1_2!$K$2:$K$611,$C180),""),INDEX(Dataset3_Raw!$K$2:$K$391,$E180))</f>
        <v>0.1212</v>
      </c>
      <c r="P180" s="25">
        <f>IF(ISNUMBER($O180),$O180,ROUND(Lookups!$B$25+Lookups!$B$24*$N180,4))</f>
        <v>0.1212</v>
      </c>
      <c r="Q180" s="25">
        <f>IF($C180&gt;0,INDEX(Merge_1_2!$L$2:$L$611,$C180),INDEX(Dataset3_Raw!$L$2:$L$391,$E180))</f>
        <v>0.37</v>
      </c>
      <c r="R180" s="25">
        <f>IF($C180&gt;0,INDEX(Merge_1_2!$M$2:$M$611,$C180),INDEX(Dataset3_Raw!$M$2:$M$391,$E180))</f>
        <v>0.55220000000000002</v>
      </c>
      <c r="S180" s="23">
        <f>IF($C180&gt;0,INDEX(Merge_1_2!$N$2:$N$611,$C180),INDEX(Dataset3_Raw!$N$2:$N$391,$E180))</f>
        <v>5</v>
      </c>
      <c r="T180" s="23">
        <f>IF($C180&gt;0,INDEX(Merge_1_2!$O$2:$O$611,$C180),INDEX(Dataset3_Raw!$O$2:$O$391,$E180))</f>
        <v>64</v>
      </c>
      <c r="U180" s="23">
        <f>IF($C180&gt;0,INDEX(Merge_1_2!$P$2:$P$611,$C180),INDEX(Dataset3_Raw!$P$2:$P$391,$E180))</f>
        <v>69</v>
      </c>
      <c r="V180" s="23" t="str">
        <f t="shared" si="13"/>
        <v>Weekend</v>
      </c>
      <c r="W180" s="23" t="str">
        <f>VLOOKUP($M180,Lookups!$A$5:$B$8,2,FALSE())</f>
        <v>Clear / Partly cloudy</v>
      </c>
      <c r="X180" s="23" t="str">
        <f>VLOOKUP($G180,Lookups!$D$5:$E$8,2,FALSE())</f>
        <v>Winter</v>
      </c>
      <c r="Y180" s="23" t="str">
        <f>VLOOKUP($L180,Lookups!$G$5:$H$11,2,FALSE())</f>
        <v>Saturday</v>
      </c>
      <c r="Z180" s="23" t="str">
        <f>IF($J180&lt;Lookups!$B$26,"Night",IF($J180&lt;Lookups!$B$27,"Morning",IF($J180&lt;Lookups!$B$28,"Afternoon","Evening")))</f>
        <v>Afternoon</v>
      </c>
      <c r="AA180" s="26">
        <f>ROUND($N180*(Lookups!$B$16-Lookups!$B$15)+Lookups!$B$15,1)</f>
        <v>-0.5</v>
      </c>
      <c r="AB180" s="26">
        <f>ROUND($P180*(Lookups!$B$18-Lookups!$B$17)+Lookups!$B$17,1)</f>
        <v>-8</v>
      </c>
      <c r="AC180" s="23">
        <f t="shared" si="14"/>
        <v>37</v>
      </c>
      <c r="AD180" s="23">
        <f>ROUND($R180*Lookups!$B$19,1)</f>
        <v>37</v>
      </c>
      <c r="AE180" s="27">
        <f t="shared" si="15"/>
        <v>0.92753623188405798</v>
      </c>
      <c r="AF180" s="23" t="str">
        <f>IF($U180&gt;=Lookups!$B$23,"High",IF($U180&gt;=Lookups!$B$22,"Medium","Low"))</f>
        <v>Medium</v>
      </c>
      <c r="AG180" s="23">
        <f>ROUND(IF($V180="Weekday",IF(INDEX(Hourly_Analysis!$D$5:$D$28,$J180+1)&gt;0,($U180-INDEX(Hourly_Analysis!$C$5:$C$28,$J180+1))/INDEX(Hourly_Analysis!$D$5:$D$28,$J180+1),0),IF(INDEX(Hourly_Analysis!$G$5:$G$28,$J180+1)&gt;0,($U180-INDEX(Hourly_Analysis!$F$5:$F$28,$J180+1))/INDEX(Hourly_Analysis!$G$5:$G$28,$J180+1),0)),2)</f>
        <v>-0.62</v>
      </c>
      <c r="AH180" s="23" t="str">
        <f>IF(ABS($AG180)&gt;Lookups!$B$20,IF($AG180&gt;0,"High anomaly","Low anomaly"),"")</f>
        <v/>
      </c>
      <c r="AI180" s="23" t="str">
        <f t="shared" si="16"/>
        <v>OK</v>
      </c>
      <c r="AJ180" s="23" t="str">
        <f t="shared" si="17"/>
        <v>No</v>
      </c>
    </row>
    <row r="181" spans="1:36" x14ac:dyDescent="0.35">
      <c r="A181" s="23">
        <v>180</v>
      </c>
      <c r="B181" s="23" t="str">
        <f t="shared" si="12"/>
        <v>Merge 1+2</v>
      </c>
      <c r="C181" s="23">
        <f>IFERROR(MATCH($A181,Merge_1_2!$A$2:$A$611,0),0)</f>
        <v>180</v>
      </c>
      <c r="D181" s="23">
        <f>IF($C181&gt;0,INDEX(Merge_1_2!$Q$2:$Q$611,$C181),0)</f>
        <v>180</v>
      </c>
      <c r="E181" s="23">
        <f>IFERROR(MATCH($A181,Dataset3_Raw!$A$2:$A$391,0),0)</f>
        <v>0</v>
      </c>
      <c r="F181" s="24">
        <f>IF($C181&gt;0,INDEX(Merge_1_2!$B$2:$B$611,$C181),DATE(VALUE(RIGHT(INDEX(Dataset3_Raw!$B$2:$B$391,$E181),4)),VALUE(MID(INDEX(Dataset3_Raw!$B$2:$B$391,$E181),4,2)),VALUE(LEFT(INDEX(Dataset3_Raw!$B$2:$B$391,$E181),2))))</f>
        <v>40551</v>
      </c>
      <c r="G181" s="23">
        <f>IF($C181&gt;0,INDEX(Merge_1_2!$C$2:$C$611,$C181),INDEX(Dataset3_Raw!$C$2:$C$391,$E181))</f>
        <v>1</v>
      </c>
      <c r="H181" s="23">
        <f>IF($C181&gt;0,INDEX(Merge_1_2!$D$2:$D$611,$C181),INDEX(Dataset3_Raw!$D$2:$D$391,$E181))</f>
        <v>0</v>
      </c>
      <c r="I181" s="23">
        <f>IF($C181&gt;0,INDEX(Merge_1_2!$E$2:$E$611,$C181),INDEX(Dataset3_Raw!$E$2:$E$391,$E181))</f>
        <v>1</v>
      </c>
      <c r="J181" s="23">
        <f>IF($C181&gt;0,INDEX(Merge_1_2!$F$2:$F$611,$C181),INDEX(Dataset3_Raw!$F$2:$F$391,$E181))</f>
        <v>18</v>
      </c>
      <c r="K181" s="23" t="b">
        <f>IF($C181&gt;0,INDEX(Merge_1_2!$G$2:$G$611,$C181),INDEX(Dataset3_Raw!$G$2:$G$391,$E181))</f>
        <v>0</v>
      </c>
      <c r="L181" s="23">
        <f>IF($C181&gt;0,INDEX(Merge_1_2!$H$2:$H$611,$C181),INDEX(Dataset3_Raw!$H$2:$H$391,$E181))</f>
        <v>6</v>
      </c>
      <c r="M181" s="23">
        <f>IF($C181&gt;0,INDEX(Merge_1_2!$I$2:$I$611,$C181),INDEX(Dataset3_Raw!$I$2:$I$391,$E181))</f>
        <v>1</v>
      </c>
      <c r="N181" s="25">
        <f>IF($C181&gt;0,INDEX(Merge_1_2!$J$2:$J$611,$C181),INDEX(Dataset3_Raw!$J$2:$J$391,$E181))</f>
        <v>0.14000000000000001</v>
      </c>
      <c r="O181" s="25">
        <f>IF($C181&gt;0,IF(ISNUMBER(INDEX(Merge_1_2!$K$2:$K$611,$C181)),INDEX(Merge_1_2!$K$2:$K$611,$C181),""),INDEX(Dataset3_Raw!$K$2:$K$391,$E181))</f>
        <v>0.1212</v>
      </c>
      <c r="P181" s="25">
        <f>IF(ISNUMBER($O181),$O181,ROUND(Lookups!$B$25+Lookups!$B$24*$N181,4))</f>
        <v>0.1212</v>
      </c>
      <c r="Q181" s="25">
        <f>IF($C181&gt;0,INDEX(Merge_1_2!$L$2:$L$611,$C181),INDEX(Dataset3_Raw!$L$2:$L$391,$E181))</f>
        <v>0.39</v>
      </c>
      <c r="R181" s="25">
        <f>IF($C181&gt;0,INDEX(Merge_1_2!$M$2:$M$611,$C181),INDEX(Dataset3_Raw!$M$2:$M$391,$E181))</f>
        <v>0.29849999999999999</v>
      </c>
      <c r="S181" s="23">
        <f>IF($C181&gt;0,INDEX(Merge_1_2!$N$2:$N$611,$C181),INDEX(Dataset3_Raw!$N$2:$N$391,$E181))</f>
        <v>3</v>
      </c>
      <c r="T181" s="23">
        <f>IF($C181&gt;0,INDEX(Merge_1_2!$O$2:$O$611,$C181),INDEX(Dataset3_Raw!$O$2:$O$391,$E181))</f>
        <v>52</v>
      </c>
      <c r="U181" s="23">
        <f>IF($C181&gt;0,INDEX(Merge_1_2!$P$2:$P$611,$C181),INDEX(Dataset3_Raw!$P$2:$P$391,$E181))</f>
        <v>55</v>
      </c>
      <c r="V181" s="23" t="str">
        <f t="shared" si="13"/>
        <v>Weekend</v>
      </c>
      <c r="W181" s="23" t="str">
        <f>VLOOKUP($M181,Lookups!$A$5:$B$8,2,FALSE())</f>
        <v>Clear / Partly cloudy</v>
      </c>
      <c r="X181" s="23" t="str">
        <f>VLOOKUP($G181,Lookups!$D$5:$E$8,2,FALSE())</f>
        <v>Winter</v>
      </c>
      <c r="Y181" s="23" t="str">
        <f>VLOOKUP($L181,Lookups!$G$5:$H$11,2,FALSE())</f>
        <v>Saturday</v>
      </c>
      <c r="Z181" s="23" t="str">
        <f>IF($J181&lt;Lookups!$B$26,"Night",IF($J181&lt;Lookups!$B$27,"Morning",IF($J181&lt;Lookups!$B$28,"Afternoon","Evening")))</f>
        <v>Evening</v>
      </c>
      <c r="AA181" s="26">
        <f>ROUND($N181*(Lookups!$B$16-Lookups!$B$15)+Lookups!$B$15,1)</f>
        <v>-1.4</v>
      </c>
      <c r="AB181" s="26">
        <f>ROUND($P181*(Lookups!$B$18-Lookups!$B$17)+Lookups!$B$17,1)</f>
        <v>-8</v>
      </c>
      <c r="AC181" s="23">
        <f t="shared" si="14"/>
        <v>39</v>
      </c>
      <c r="AD181" s="23">
        <f>ROUND($R181*Lookups!$B$19,1)</f>
        <v>20</v>
      </c>
      <c r="AE181" s="27">
        <f t="shared" si="15"/>
        <v>0.94545454545454544</v>
      </c>
      <c r="AF181" s="23" t="str">
        <f>IF($U181&gt;=Lookups!$B$23,"High",IF($U181&gt;=Lookups!$B$22,"Medium","Low"))</f>
        <v>Medium</v>
      </c>
      <c r="AG181" s="23">
        <f>ROUND(IF($V181="Weekday",IF(INDEX(Hourly_Analysis!$D$5:$D$28,$J181+1)&gt;0,($U181-INDEX(Hourly_Analysis!$C$5:$C$28,$J181+1))/INDEX(Hourly_Analysis!$D$5:$D$28,$J181+1),0),IF(INDEX(Hourly_Analysis!$G$5:$G$28,$J181+1)&gt;0,($U181-INDEX(Hourly_Analysis!$F$5:$F$28,$J181+1))/INDEX(Hourly_Analysis!$G$5:$G$28,$J181+1),0)),2)</f>
        <v>-0.63</v>
      </c>
      <c r="AH181" s="23" t="str">
        <f>IF(ABS($AG181)&gt;Lookups!$B$20,IF($AG181&gt;0,"High anomaly","Low anomaly"),"")</f>
        <v/>
      </c>
      <c r="AI181" s="23" t="str">
        <f t="shared" si="16"/>
        <v>OK</v>
      </c>
      <c r="AJ181" s="23" t="str">
        <f t="shared" si="17"/>
        <v>No</v>
      </c>
    </row>
    <row r="182" spans="1:36" x14ac:dyDescent="0.35">
      <c r="A182" s="23">
        <v>181</v>
      </c>
      <c r="B182" s="23" t="str">
        <f t="shared" si="12"/>
        <v>Merge 1+2</v>
      </c>
      <c r="C182" s="23">
        <f>IFERROR(MATCH($A182,Merge_1_2!$A$2:$A$611,0),0)</f>
        <v>181</v>
      </c>
      <c r="D182" s="23">
        <f>IF($C182&gt;0,INDEX(Merge_1_2!$Q$2:$Q$611,$C182),0)</f>
        <v>181</v>
      </c>
      <c r="E182" s="23">
        <f>IFERROR(MATCH($A182,Dataset3_Raw!$A$2:$A$391,0),0)</f>
        <v>0</v>
      </c>
      <c r="F182" s="24">
        <f>IF($C182&gt;0,INDEX(Merge_1_2!$B$2:$B$611,$C182),DATE(VALUE(RIGHT(INDEX(Dataset3_Raw!$B$2:$B$391,$E182),4)),VALUE(MID(INDEX(Dataset3_Raw!$B$2:$B$391,$E182),4,2)),VALUE(LEFT(INDEX(Dataset3_Raw!$B$2:$B$391,$E182),2))))</f>
        <v>40551</v>
      </c>
      <c r="G182" s="23">
        <f>IF($C182&gt;0,INDEX(Merge_1_2!$C$2:$C$611,$C182),INDEX(Dataset3_Raw!$C$2:$C$391,$E182))</f>
        <v>1</v>
      </c>
      <c r="H182" s="23">
        <f>IF($C182&gt;0,INDEX(Merge_1_2!$D$2:$D$611,$C182),INDEX(Dataset3_Raw!$D$2:$D$391,$E182))</f>
        <v>0</v>
      </c>
      <c r="I182" s="23">
        <f>IF($C182&gt;0,INDEX(Merge_1_2!$E$2:$E$611,$C182),INDEX(Dataset3_Raw!$E$2:$E$391,$E182))</f>
        <v>1</v>
      </c>
      <c r="J182" s="23">
        <f>IF($C182&gt;0,INDEX(Merge_1_2!$F$2:$F$611,$C182),INDEX(Dataset3_Raw!$F$2:$F$391,$E182))</f>
        <v>19</v>
      </c>
      <c r="K182" s="23" t="b">
        <f>IF($C182&gt;0,INDEX(Merge_1_2!$G$2:$G$611,$C182),INDEX(Dataset3_Raw!$G$2:$G$391,$E182))</f>
        <v>0</v>
      </c>
      <c r="L182" s="23">
        <f>IF($C182&gt;0,INDEX(Merge_1_2!$H$2:$H$611,$C182),INDEX(Dataset3_Raw!$H$2:$H$391,$E182))</f>
        <v>6</v>
      </c>
      <c r="M182" s="23">
        <f>IF($C182&gt;0,INDEX(Merge_1_2!$I$2:$I$611,$C182),INDEX(Dataset3_Raw!$I$2:$I$391,$E182))</f>
        <v>1</v>
      </c>
      <c r="N182" s="25">
        <f>IF($C182&gt;0,INDEX(Merge_1_2!$J$2:$J$611,$C182),INDEX(Dataset3_Raw!$J$2:$J$391,$E182))</f>
        <v>0.14000000000000001</v>
      </c>
      <c r="O182" s="25">
        <f>IF($C182&gt;0,IF(ISNUMBER(INDEX(Merge_1_2!$K$2:$K$611,$C182)),INDEX(Merge_1_2!$K$2:$K$611,$C182),""),INDEX(Dataset3_Raw!$K$2:$K$391,$E182))</f>
        <v>0.1212</v>
      </c>
      <c r="P182" s="25">
        <f>IF(ISNUMBER($O182),$O182,ROUND(Lookups!$B$25+Lookups!$B$24*$N182,4))</f>
        <v>0.1212</v>
      </c>
      <c r="Q182" s="25">
        <f>IF($C182&gt;0,INDEX(Merge_1_2!$L$2:$L$611,$C182),INDEX(Dataset3_Raw!$L$2:$L$391,$E182))</f>
        <v>0.36</v>
      </c>
      <c r="R182" s="25">
        <f>IF($C182&gt;0,INDEX(Merge_1_2!$M$2:$M$611,$C182),INDEX(Dataset3_Raw!$M$2:$M$391,$E182))</f>
        <v>0.25369999999999998</v>
      </c>
      <c r="S182" s="23">
        <f>IF($C182&gt;0,INDEX(Merge_1_2!$N$2:$N$611,$C182),INDEX(Dataset3_Raw!$N$2:$N$391,$E182))</f>
        <v>4</v>
      </c>
      <c r="T182" s="23">
        <f>IF($C182&gt;0,INDEX(Merge_1_2!$O$2:$O$611,$C182),INDEX(Dataset3_Raw!$O$2:$O$391,$E182))</f>
        <v>26</v>
      </c>
      <c r="U182" s="23">
        <f>IF($C182&gt;0,INDEX(Merge_1_2!$P$2:$P$611,$C182),INDEX(Dataset3_Raw!$P$2:$P$391,$E182))</f>
        <v>30</v>
      </c>
      <c r="V182" s="23" t="str">
        <f t="shared" si="13"/>
        <v>Weekend</v>
      </c>
      <c r="W182" s="23" t="str">
        <f>VLOOKUP($M182,Lookups!$A$5:$B$8,2,FALSE())</f>
        <v>Clear / Partly cloudy</v>
      </c>
      <c r="X182" s="23" t="str">
        <f>VLOOKUP($G182,Lookups!$D$5:$E$8,2,FALSE())</f>
        <v>Winter</v>
      </c>
      <c r="Y182" s="23" t="str">
        <f>VLOOKUP($L182,Lookups!$G$5:$H$11,2,FALSE())</f>
        <v>Saturday</v>
      </c>
      <c r="Z182" s="23" t="str">
        <f>IF($J182&lt;Lookups!$B$26,"Night",IF($J182&lt;Lookups!$B$27,"Morning",IF($J182&lt;Lookups!$B$28,"Afternoon","Evening")))</f>
        <v>Evening</v>
      </c>
      <c r="AA182" s="26">
        <f>ROUND($N182*(Lookups!$B$16-Lookups!$B$15)+Lookups!$B$15,1)</f>
        <v>-1.4</v>
      </c>
      <c r="AB182" s="26">
        <f>ROUND($P182*(Lookups!$B$18-Lookups!$B$17)+Lookups!$B$17,1)</f>
        <v>-8</v>
      </c>
      <c r="AC182" s="23">
        <f t="shared" si="14"/>
        <v>36</v>
      </c>
      <c r="AD182" s="23">
        <f>ROUND($R182*Lookups!$B$19,1)</f>
        <v>17</v>
      </c>
      <c r="AE182" s="27">
        <f t="shared" si="15"/>
        <v>0.8666666666666667</v>
      </c>
      <c r="AF182" s="23" t="str">
        <f>IF($U182&gt;=Lookups!$B$23,"High",IF($U182&gt;=Lookups!$B$22,"Medium","Low"))</f>
        <v>Medium</v>
      </c>
      <c r="AG182" s="23">
        <f>ROUND(IF($V182="Weekday",IF(INDEX(Hourly_Analysis!$D$5:$D$28,$J182+1)&gt;0,($U182-INDEX(Hourly_Analysis!$C$5:$C$28,$J182+1))/INDEX(Hourly_Analysis!$D$5:$D$28,$J182+1),0),IF(INDEX(Hourly_Analysis!$G$5:$G$28,$J182+1)&gt;0,($U182-INDEX(Hourly_Analysis!$F$5:$F$28,$J182+1))/INDEX(Hourly_Analysis!$G$5:$G$28,$J182+1),0)),2)</f>
        <v>-1.2</v>
      </c>
      <c r="AH182" s="23" t="str">
        <f>IF(ABS($AG182)&gt;Lookups!$B$20,IF($AG182&gt;0,"High anomaly","Low anomaly"),"")</f>
        <v/>
      </c>
      <c r="AI182" s="23" t="str">
        <f t="shared" si="16"/>
        <v>OK</v>
      </c>
      <c r="AJ182" s="23" t="str">
        <f t="shared" si="17"/>
        <v>No</v>
      </c>
    </row>
    <row r="183" spans="1:36" x14ac:dyDescent="0.35">
      <c r="A183" s="23">
        <v>182</v>
      </c>
      <c r="B183" s="23" t="str">
        <f t="shared" si="12"/>
        <v>Merge 1+2</v>
      </c>
      <c r="C183" s="23">
        <f>IFERROR(MATCH($A183,Merge_1_2!$A$2:$A$611,0),0)</f>
        <v>182</v>
      </c>
      <c r="D183" s="23">
        <f>IF($C183&gt;0,INDEX(Merge_1_2!$Q$2:$Q$611,$C183),0)</f>
        <v>182</v>
      </c>
      <c r="E183" s="23">
        <f>IFERROR(MATCH($A183,Dataset3_Raw!$A$2:$A$391,0),0)</f>
        <v>0</v>
      </c>
      <c r="F183" s="24">
        <f>IF($C183&gt;0,INDEX(Merge_1_2!$B$2:$B$611,$C183),DATE(VALUE(RIGHT(INDEX(Dataset3_Raw!$B$2:$B$391,$E183),4)),VALUE(MID(INDEX(Dataset3_Raw!$B$2:$B$391,$E183),4,2)),VALUE(LEFT(INDEX(Dataset3_Raw!$B$2:$B$391,$E183),2))))</f>
        <v>40551</v>
      </c>
      <c r="G183" s="23">
        <f>IF($C183&gt;0,INDEX(Merge_1_2!$C$2:$C$611,$C183),INDEX(Dataset3_Raw!$C$2:$C$391,$E183))</f>
        <v>1</v>
      </c>
      <c r="H183" s="23">
        <f>IF($C183&gt;0,INDEX(Merge_1_2!$D$2:$D$611,$C183),INDEX(Dataset3_Raw!$D$2:$D$391,$E183))</f>
        <v>0</v>
      </c>
      <c r="I183" s="23">
        <f>IF($C183&gt;0,INDEX(Merge_1_2!$E$2:$E$611,$C183),INDEX(Dataset3_Raw!$E$2:$E$391,$E183))</f>
        <v>1</v>
      </c>
      <c r="J183" s="23">
        <f>IF($C183&gt;0,INDEX(Merge_1_2!$F$2:$F$611,$C183),INDEX(Dataset3_Raw!$F$2:$F$391,$E183))</f>
        <v>20</v>
      </c>
      <c r="K183" s="23" t="b">
        <f>IF($C183&gt;0,INDEX(Merge_1_2!$G$2:$G$611,$C183),INDEX(Dataset3_Raw!$G$2:$G$391,$E183))</f>
        <v>0</v>
      </c>
      <c r="L183" s="23">
        <f>IF($C183&gt;0,INDEX(Merge_1_2!$H$2:$H$611,$C183),INDEX(Dataset3_Raw!$H$2:$H$391,$E183))</f>
        <v>6</v>
      </c>
      <c r="M183" s="23">
        <f>IF($C183&gt;0,INDEX(Merge_1_2!$I$2:$I$611,$C183),INDEX(Dataset3_Raw!$I$2:$I$391,$E183))</f>
        <v>1</v>
      </c>
      <c r="N183" s="25">
        <f>IF($C183&gt;0,INDEX(Merge_1_2!$J$2:$J$611,$C183),INDEX(Dataset3_Raw!$J$2:$J$391,$E183))</f>
        <v>0.12</v>
      </c>
      <c r="O183" s="25">
        <f>IF($C183&gt;0,IF(ISNUMBER(INDEX(Merge_1_2!$K$2:$K$611,$C183)),INDEX(Merge_1_2!$K$2:$K$611,$C183),""),INDEX(Dataset3_Raw!$K$2:$K$391,$E183))</f>
        <v>0.1212</v>
      </c>
      <c r="P183" s="25">
        <f>IF(ISNUMBER($O183),$O183,ROUND(Lookups!$B$25+Lookups!$B$24*$N183,4))</f>
        <v>0.1212</v>
      </c>
      <c r="Q183" s="25">
        <f>IF($C183&gt;0,INDEX(Merge_1_2!$L$2:$L$611,$C183),INDEX(Dataset3_Raw!$L$2:$L$391,$E183))</f>
        <v>0.36</v>
      </c>
      <c r="R183" s="25">
        <f>IF($C183&gt;0,INDEX(Merge_1_2!$M$2:$M$611,$C183),INDEX(Dataset3_Raw!$M$2:$M$391,$E183))</f>
        <v>0.25369999999999998</v>
      </c>
      <c r="S183" s="23">
        <f>IF($C183&gt;0,INDEX(Merge_1_2!$N$2:$N$611,$C183),INDEX(Dataset3_Raw!$N$2:$N$391,$E183))</f>
        <v>0</v>
      </c>
      <c r="T183" s="23">
        <f>IF($C183&gt;0,INDEX(Merge_1_2!$O$2:$O$611,$C183),INDEX(Dataset3_Raw!$O$2:$O$391,$E183))</f>
        <v>28</v>
      </c>
      <c r="U183" s="23">
        <f>IF($C183&gt;0,INDEX(Merge_1_2!$P$2:$P$611,$C183),INDEX(Dataset3_Raw!$P$2:$P$391,$E183))</f>
        <v>28</v>
      </c>
      <c r="V183" s="23" t="str">
        <f t="shared" si="13"/>
        <v>Weekend</v>
      </c>
      <c r="W183" s="23" t="str">
        <f>VLOOKUP($M183,Lookups!$A$5:$B$8,2,FALSE())</f>
        <v>Clear / Partly cloudy</v>
      </c>
      <c r="X183" s="23" t="str">
        <f>VLOOKUP($G183,Lookups!$D$5:$E$8,2,FALSE())</f>
        <v>Winter</v>
      </c>
      <c r="Y183" s="23" t="str">
        <f>VLOOKUP($L183,Lookups!$G$5:$H$11,2,FALSE())</f>
        <v>Saturday</v>
      </c>
      <c r="Z183" s="23" t="str">
        <f>IF($J183&lt;Lookups!$B$26,"Night",IF($J183&lt;Lookups!$B$27,"Morning",IF($J183&lt;Lookups!$B$28,"Afternoon","Evening")))</f>
        <v>Evening</v>
      </c>
      <c r="AA183" s="26">
        <f>ROUND($N183*(Lookups!$B$16-Lookups!$B$15)+Lookups!$B$15,1)</f>
        <v>-2.4</v>
      </c>
      <c r="AB183" s="26">
        <f>ROUND($P183*(Lookups!$B$18-Lookups!$B$17)+Lookups!$B$17,1)</f>
        <v>-8</v>
      </c>
      <c r="AC183" s="23">
        <f t="shared" si="14"/>
        <v>36</v>
      </c>
      <c r="AD183" s="23">
        <f>ROUND($R183*Lookups!$B$19,1)</f>
        <v>17</v>
      </c>
      <c r="AE183" s="27">
        <f t="shared" si="15"/>
        <v>1</v>
      </c>
      <c r="AF183" s="23" t="str">
        <f>IF($U183&gt;=Lookups!$B$23,"High",IF($U183&gt;=Lookups!$B$22,"Medium","Low"))</f>
        <v>Medium</v>
      </c>
      <c r="AG183" s="23">
        <f>ROUND(IF($V183="Weekday",IF(INDEX(Hourly_Analysis!$D$5:$D$28,$J183+1)&gt;0,($U183-INDEX(Hourly_Analysis!$C$5:$C$28,$J183+1))/INDEX(Hourly_Analysis!$D$5:$D$28,$J183+1),0),IF(INDEX(Hourly_Analysis!$G$5:$G$28,$J183+1)&gt;0,($U183-INDEX(Hourly_Analysis!$F$5:$F$28,$J183+1))/INDEX(Hourly_Analysis!$G$5:$G$28,$J183+1),0)),2)</f>
        <v>-0.96</v>
      </c>
      <c r="AH183" s="23" t="str">
        <f>IF(ABS($AG183)&gt;Lookups!$B$20,IF($AG183&gt;0,"High anomaly","Low anomaly"),"")</f>
        <v/>
      </c>
      <c r="AI183" s="23" t="str">
        <f t="shared" si="16"/>
        <v>OK</v>
      </c>
      <c r="AJ183" s="23" t="str">
        <f t="shared" si="17"/>
        <v>No</v>
      </c>
    </row>
    <row r="184" spans="1:36" x14ac:dyDescent="0.35">
      <c r="A184" s="23">
        <v>183</v>
      </c>
      <c r="B184" s="23" t="str">
        <f t="shared" si="12"/>
        <v>Merge 1+2</v>
      </c>
      <c r="C184" s="23">
        <f>IFERROR(MATCH($A184,Merge_1_2!$A$2:$A$611,0),0)</f>
        <v>183</v>
      </c>
      <c r="D184" s="23">
        <f>IF($C184&gt;0,INDEX(Merge_1_2!$Q$2:$Q$611,$C184),0)</f>
        <v>183</v>
      </c>
      <c r="E184" s="23">
        <f>IFERROR(MATCH($A184,Dataset3_Raw!$A$2:$A$391,0),0)</f>
        <v>0</v>
      </c>
      <c r="F184" s="24">
        <f>IF($C184&gt;0,INDEX(Merge_1_2!$B$2:$B$611,$C184),DATE(VALUE(RIGHT(INDEX(Dataset3_Raw!$B$2:$B$391,$E184),4)),VALUE(MID(INDEX(Dataset3_Raw!$B$2:$B$391,$E184),4,2)),VALUE(LEFT(INDEX(Dataset3_Raw!$B$2:$B$391,$E184),2))))</f>
        <v>40551</v>
      </c>
      <c r="G184" s="23">
        <f>IF($C184&gt;0,INDEX(Merge_1_2!$C$2:$C$611,$C184),INDEX(Dataset3_Raw!$C$2:$C$391,$E184))</f>
        <v>1</v>
      </c>
      <c r="H184" s="23">
        <f>IF($C184&gt;0,INDEX(Merge_1_2!$D$2:$D$611,$C184),INDEX(Dataset3_Raw!$D$2:$D$391,$E184))</f>
        <v>0</v>
      </c>
      <c r="I184" s="23">
        <f>IF($C184&gt;0,INDEX(Merge_1_2!$E$2:$E$611,$C184),INDEX(Dataset3_Raw!$E$2:$E$391,$E184))</f>
        <v>1</v>
      </c>
      <c r="J184" s="23">
        <f>IF($C184&gt;0,INDEX(Merge_1_2!$F$2:$F$611,$C184),INDEX(Dataset3_Raw!$F$2:$F$391,$E184))</f>
        <v>21</v>
      </c>
      <c r="K184" s="23" t="b">
        <f>IF($C184&gt;0,INDEX(Merge_1_2!$G$2:$G$611,$C184),INDEX(Dataset3_Raw!$G$2:$G$391,$E184))</f>
        <v>0</v>
      </c>
      <c r="L184" s="23">
        <f>IF($C184&gt;0,INDEX(Merge_1_2!$H$2:$H$611,$C184),INDEX(Dataset3_Raw!$H$2:$H$391,$E184))</f>
        <v>6</v>
      </c>
      <c r="M184" s="23">
        <f>IF($C184&gt;0,INDEX(Merge_1_2!$I$2:$I$611,$C184),INDEX(Dataset3_Raw!$I$2:$I$391,$E184))</f>
        <v>1</v>
      </c>
      <c r="N184" s="25">
        <f>IF($C184&gt;0,INDEX(Merge_1_2!$J$2:$J$611,$C184),INDEX(Dataset3_Raw!$J$2:$J$391,$E184))</f>
        <v>0.12</v>
      </c>
      <c r="O184" s="25">
        <f>IF($C184&gt;0,IF(ISNUMBER(INDEX(Merge_1_2!$K$2:$K$611,$C184)),INDEX(Merge_1_2!$K$2:$K$611,$C184),""),INDEX(Dataset3_Raw!$K$2:$K$391,$E184))</f>
        <v>0.1061</v>
      </c>
      <c r="P184" s="25">
        <f>IF(ISNUMBER($O184),$O184,ROUND(Lookups!$B$25+Lookups!$B$24*$N184,4))</f>
        <v>0.1061</v>
      </c>
      <c r="Q184" s="25">
        <f>IF($C184&gt;0,INDEX(Merge_1_2!$L$2:$L$611,$C184),INDEX(Dataset3_Raw!$L$2:$L$391,$E184))</f>
        <v>0.39</v>
      </c>
      <c r="R184" s="25">
        <f>IF($C184&gt;0,INDEX(Merge_1_2!$M$2:$M$611,$C184),INDEX(Dataset3_Raw!$M$2:$M$391,$E184))</f>
        <v>0.35820000000000002</v>
      </c>
      <c r="S184" s="23">
        <f>IF($C184&gt;0,INDEX(Merge_1_2!$N$2:$N$611,$C184),INDEX(Dataset3_Raw!$N$2:$N$391,$E184))</f>
        <v>2</v>
      </c>
      <c r="T184" s="23">
        <f>IF($C184&gt;0,INDEX(Merge_1_2!$O$2:$O$611,$C184),INDEX(Dataset3_Raw!$O$2:$O$391,$E184))</f>
        <v>35</v>
      </c>
      <c r="U184" s="23">
        <f>IF($C184&gt;0,INDEX(Merge_1_2!$P$2:$P$611,$C184),INDEX(Dataset3_Raw!$P$2:$P$391,$E184))</f>
        <v>37</v>
      </c>
      <c r="V184" s="23" t="str">
        <f t="shared" si="13"/>
        <v>Weekend</v>
      </c>
      <c r="W184" s="23" t="str">
        <f>VLOOKUP($M184,Lookups!$A$5:$B$8,2,FALSE())</f>
        <v>Clear / Partly cloudy</v>
      </c>
      <c r="X184" s="23" t="str">
        <f>VLOOKUP($G184,Lookups!$D$5:$E$8,2,FALSE())</f>
        <v>Winter</v>
      </c>
      <c r="Y184" s="23" t="str">
        <f>VLOOKUP($L184,Lookups!$G$5:$H$11,2,FALSE())</f>
        <v>Saturday</v>
      </c>
      <c r="Z184" s="23" t="str">
        <f>IF($J184&lt;Lookups!$B$26,"Night",IF($J184&lt;Lookups!$B$27,"Morning",IF($J184&lt;Lookups!$B$28,"Afternoon","Evening")))</f>
        <v>Evening</v>
      </c>
      <c r="AA184" s="26">
        <f>ROUND($N184*(Lookups!$B$16-Lookups!$B$15)+Lookups!$B$15,1)</f>
        <v>-2.4</v>
      </c>
      <c r="AB184" s="26">
        <f>ROUND($P184*(Lookups!$B$18-Lookups!$B$17)+Lookups!$B$17,1)</f>
        <v>-9</v>
      </c>
      <c r="AC184" s="23">
        <f t="shared" si="14"/>
        <v>39</v>
      </c>
      <c r="AD184" s="23">
        <f>ROUND($R184*Lookups!$B$19,1)</f>
        <v>24</v>
      </c>
      <c r="AE184" s="27">
        <f t="shared" si="15"/>
        <v>0.94594594594594594</v>
      </c>
      <c r="AF184" s="23" t="str">
        <f>IF($U184&gt;=Lookups!$B$23,"High",IF($U184&gt;=Lookups!$B$22,"Medium","Low"))</f>
        <v>Medium</v>
      </c>
      <c r="AG184" s="23">
        <f>ROUND(IF($V184="Weekday",IF(INDEX(Hourly_Analysis!$D$5:$D$28,$J184+1)&gt;0,($U184-INDEX(Hourly_Analysis!$C$5:$C$28,$J184+1))/INDEX(Hourly_Analysis!$D$5:$D$28,$J184+1),0),IF(INDEX(Hourly_Analysis!$G$5:$G$28,$J184+1)&gt;0,($U184-INDEX(Hourly_Analysis!$F$5:$F$28,$J184+1))/INDEX(Hourly_Analysis!$G$5:$G$28,$J184+1),0)),2)</f>
        <v>0.04</v>
      </c>
      <c r="AH184" s="23" t="str">
        <f>IF(ABS($AG184)&gt;Lookups!$B$20,IF($AG184&gt;0,"High anomaly","Low anomaly"),"")</f>
        <v/>
      </c>
      <c r="AI184" s="23" t="str">
        <f t="shared" si="16"/>
        <v>OK</v>
      </c>
      <c r="AJ184" s="23" t="str">
        <f t="shared" si="17"/>
        <v>No</v>
      </c>
    </row>
    <row r="185" spans="1:36" x14ac:dyDescent="0.35">
      <c r="A185" s="23">
        <v>184</v>
      </c>
      <c r="B185" s="23" t="str">
        <f t="shared" si="12"/>
        <v>Merge 1+2</v>
      </c>
      <c r="C185" s="23">
        <f>IFERROR(MATCH($A185,Merge_1_2!$A$2:$A$611,0),0)</f>
        <v>184</v>
      </c>
      <c r="D185" s="23">
        <f>IF($C185&gt;0,INDEX(Merge_1_2!$Q$2:$Q$611,$C185),0)</f>
        <v>184</v>
      </c>
      <c r="E185" s="23">
        <f>IFERROR(MATCH($A185,Dataset3_Raw!$A$2:$A$391,0),0)</f>
        <v>0</v>
      </c>
      <c r="F185" s="24">
        <f>IF($C185&gt;0,INDEX(Merge_1_2!$B$2:$B$611,$C185),DATE(VALUE(RIGHT(INDEX(Dataset3_Raw!$B$2:$B$391,$E185),4)),VALUE(MID(INDEX(Dataset3_Raw!$B$2:$B$391,$E185),4,2)),VALUE(LEFT(INDEX(Dataset3_Raw!$B$2:$B$391,$E185),2))))</f>
        <v>40551</v>
      </c>
      <c r="G185" s="23">
        <f>IF($C185&gt;0,INDEX(Merge_1_2!$C$2:$C$611,$C185),INDEX(Dataset3_Raw!$C$2:$C$391,$E185))</f>
        <v>1</v>
      </c>
      <c r="H185" s="23">
        <f>IF($C185&gt;0,INDEX(Merge_1_2!$D$2:$D$611,$C185),INDEX(Dataset3_Raw!$D$2:$D$391,$E185))</f>
        <v>0</v>
      </c>
      <c r="I185" s="23">
        <f>IF($C185&gt;0,INDEX(Merge_1_2!$E$2:$E$611,$C185),INDEX(Dataset3_Raw!$E$2:$E$391,$E185))</f>
        <v>1</v>
      </c>
      <c r="J185" s="23">
        <f>IF($C185&gt;0,INDEX(Merge_1_2!$F$2:$F$611,$C185),INDEX(Dataset3_Raw!$F$2:$F$391,$E185))</f>
        <v>22</v>
      </c>
      <c r="K185" s="23" t="b">
        <f>IF($C185&gt;0,INDEX(Merge_1_2!$G$2:$G$611,$C185),INDEX(Dataset3_Raw!$G$2:$G$391,$E185))</f>
        <v>0</v>
      </c>
      <c r="L185" s="23">
        <f>IF($C185&gt;0,INDEX(Merge_1_2!$H$2:$H$611,$C185),INDEX(Dataset3_Raw!$H$2:$H$391,$E185))</f>
        <v>6</v>
      </c>
      <c r="M185" s="23">
        <f>IF($C185&gt;0,INDEX(Merge_1_2!$I$2:$I$611,$C185),INDEX(Dataset3_Raw!$I$2:$I$391,$E185))</f>
        <v>1</v>
      </c>
      <c r="N185" s="25">
        <f>IF($C185&gt;0,INDEX(Merge_1_2!$J$2:$J$611,$C185),INDEX(Dataset3_Raw!$J$2:$J$391,$E185))</f>
        <v>0.12</v>
      </c>
      <c r="O185" s="25">
        <f>IF($C185&gt;0,IF(ISNUMBER(INDEX(Merge_1_2!$K$2:$K$611,$C185)),INDEX(Merge_1_2!$K$2:$K$611,$C185),""),INDEX(Dataset3_Raw!$K$2:$K$391,$E185))</f>
        <v>0.1061</v>
      </c>
      <c r="P185" s="25">
        <f>IF(ISNUMBER($O185),$O185,ROUND(Lookups!$B$25+Lookups!$B$24*$N185,4))</f>
        <v>0.1061</v>
      </c>
      <c r="Q185" s="25">
        <f>IF($C185&gt;0,INDEX(Merge_1_2!$L$2:$L$611,$C185),INDEX(Dataset3_Raw!$L$2:$L$391,$E185))</f>
        <v>0.36</v>
      </c>
      <c r="R185" s="25">
        <f>IF($C185&gt;0,INDEX(Merge_1_2!$M$2:$M$611,$C185),INDEX(Dataset3_Raw!$M$2:$M$391,$E185))</f>
        <v>0.3881</v>
      </c>
      <c r="S185" s="23">
        <f>IF($C185&gt;0,INDEX(Merge_1_2!$N$2:$N$611,$C185),INDEX(Dataset3_Raw!$N$2:$N$391,$E185))</f>
        <v>1</v>
      </c>
      <c r="T185" s="23">
        <f>IF($C185&gt;0,INDEX(Merge_1_2!$O$2:$O$611,$C185),INDEX(Dataset3_Raw!$O$2:$O$391,$E185))</f>
        <v>33</v>
      </c>
      <c r="U185" s="23">
        <f>IF($C185&gt;0,INDEX(Merge_1_2!$P$2:$P$611,$C185),INDEX(Dataset3_Raw!$P$2:$P$391,$E185))</f>
        <v>34</v>
      </c>
      <c r="V185" s="23" t="str">
        <f t="shared" si="13"/>
        <v>Weekend</v>
      </c>
      <c r="W185" s="23" t="str">
        <f>VLOOKUP($M185,Lookups!$A$5:$B$8,2,FALSE())</f>
        <v>Clear / Partly cloudy</v>
      </c>
      <c r="X185" s="23" t="str">
        <f>VLOOKUP($G185,Lookups!$D$5:$E$8,2,FALSE())</f>
        <v>Winter</v>
      </c>
      <c r="Y185" s="23" t="str">
        <f>VLOOKUP($L185,Lookups!$G$5:$H$11,2,FALSE())</f>
        <v>Saturday</v>
      </c>
      <c r="Z185" s="23" t="str">
        <f>IF($J185&lt;Lookups!$B$26,"Night",IF($J185&lt;Lookups!$B$27,"Morning",IF($J185&lt;Lookups!$B$28,"Afternoon","Evening")))</f>
        <v>Evening</v>
      </c>
      <c r="AA185" s="26">
        <f>ROUND($N185*(Lookups!$B$16-Lookups!$B$15)+Lookups!$B$15,1)</f>
        <v>-2.4</v>
      </c>
      <c r="AB185" s="26">
        <f>ROUND($P185*(Lookups!$B$18-Lookups!$B$17)+Lookups!$B$17,1)</f>
        <v>-9</v>
      </c>
      <c r="AC185" s="23">
        <f t="shared" si="14"/>
        <v>36</v>
      </c>
      <c r="AD185" s="23">
        <f>ROUND($R185*Lookups!$B$19,1)</f>
        <v>26</v>
      </c>
      <c r="AE185" s="27">
        <f t="shared" si="15"/>
        <v>0.97058823529411764</v>
      </c>
      <c r="AF185" s="23" t="str">
        <f>IF($U185&gt;=Lookups!$B$23,"High",IF($U185&gt;=Lookups!$B$22,"Medium","Low"))</f>
        <v>Medium</v>
      </c>
      <c r="AG185" s="23">
        <f>ROUND(IF($V185="Weekday",IF(INDEX(Hourly_Analysis!$D$5:$D$28,$J185+1)&gt;0,($U185-INDEX(Hourly_Analysis!$C$5:$C$28,$J185+1))/INDEX(Hourly_Analysis!$D$5:$D$28,$J185+1),0),IF(INDEX(Hourly_Analysis!$G$5:$G$28,$J185+1)&gt;0,($U185-INDEX(Hourly_Analysis!$F$5:$F$28,$J185+1))/INDEX(Hourly_Analysis!$G$5:$G$28,$J185+1),0)),2)</f>
        <v>0.31</v>
      </c>
      <c r="AH185" s="23" t="str">
        <f>IF(ABS($AG185)&gt;Lookups!$B$20,IF($AG185&gt;0,"High anomaly","Low anomaly"),"")</f>
        <v/>
      </c>
      <c r="AI185" s="23" t="str">
        <f t="shared" si="16"/>
        <v>OK</v>
      </c>
      <c r="AJ185" s="23" t="str">
        <f t="shared" si="17"/>
        <v>No</v>
      </c>
    </row>
    <row r="186" spans="1:36" x14ac:dyDescent="0.35">
      <c r="A186" s="23">
        <v>185</v>
      </c>
      <c r="B186" s="23" t="str">
        <f t="shared" si="12"/>
        <v>Merge 1+2</v>
      </c>
      <c r="C186" s="23">
        <f>IFERROR(MATCH($A186,Merge_1_2!$A$2:$A$611,0),0)</f>
        <v>185</v>
      </c>
      <c r="D186" s="23">
        <f>IF($C186&gt;0,INDEX(Merge_1_2!$Q$2:$Q$611,$C186),0)</f>
        <v>185</v>
      </c>
      <c r="E186" s="23">
        <f>IFERROR(MATCH($A186,Dataset3_Raw!$A$2:$A$391,0),0)</f>
        <v>0</v>
      </c>
      <c r="F186" s="24">
        <f>IF($C186&gt;0,INDEX(Merge_1_2!$B$2:$B$611,$C186),DATE(VALUE(RIGHT(INDEX(Dataset3_Raw!$B$2:$B$391,$E186),4)),VALUE(MID(INDEX(Dataset3_Raw!$B$2:$B$391,$E186),4,2)),VALUE(LEFT(INDEX(Dataset3_Raw!$B$2:$B$391,$E186),2))))</f>
        <v>40551</v>
      </c>
      <c r="G186" s="23">
        <f>IF($C186&gt;0,INDEX(Merge_1_2!$C$2:$C$611,$C186),INDEX(Dataset3_Raw!$C$2:$C$391,$E186))</f>
        <v>1</v>
      </c>
      <c r="H186" s="23">
        <f>IF($C186&gt;0,INDEX(Merge_1_2!$D$2:$D$611,$C186),INDEX(Dataset3_Raw!$D$2:$D$391,$E186))</f>
        <v>0</v>
      </c>
      <c r="I186" s="23">
        <f>IF($C186&gt;0,INDEX(Merge_1_2!$E$2:$E$611,$C186),INDEX(Dataset3_Raw!$E$2:$E$391,$E186))</f>
        <v>1</v>
      </c>
      <c r="J186" s="23">
        <f>IF($C186&gt;0,INDEX(Merge_1_2!$F$2:$F$611,$C186),INDEX(Dataset3_Raw!$F$2:$F$391,$E186))</f>
        <v>23</v>
      </c>
      <c r="K186" s="23" t="b">
        <f>IF($C186&gt;0,INDEX(Merge_1_2!$G$2:$G$611,$C186),INDEX(Dataset3_Raw!$G$2:$G$391,$E186))</f>
        <v>0</v>
      </c>
      <c r="L186" s="23">
        <f>IF($C186&gt;0,INDEX(Merge_1_2!$H$2:$H$611,$C186),INDEX(Dataset3_Raw!$H$2:$H$391,$E186))</f>
        <v>6</v>
      </c>
      <c r="M186" s="23">
        <f>IF($C186&gt;0,INDEX(Merge_1_2!$I$2:$I$611,$C186),INDEX(Dataset3_Raw!$I$2:$I$391,$E186))</f>
        <v>1</v>
      </c>
      <c r="N186" s="25">
        <f>IF($C186&gt;0,INDEX(Merge_1_2!$J$2:$J$611,$C186),INDEX(Dataset3_Raw!$J$2:$J$391,$E186))</f>
        <v>0.1</v>
      </c>
      <c r="O186" s="25">
        <f>IF($C186&gt;0,IF(ISNUMBER(INDEX(Merge_1_2!$K$2:$K$611,$C186)),INDEX(Merge_1_2!$K$2:$K$611,$C186),""),INDEX(Dataset3_Raw!$K$2:$K$391,$E186))</f>
        <v>6.0600000000000001E-2</v>
      </c>
      <c r="P186" s="25">
        <f>IF(ISNUMBER($O186),$O186,ROUND(Lookups!$B$25+Lookups!$B$24*$N186,4))</f>
        <v>6.0600000000000001E-2</v>
      </c>
      <c r="Q186" s="25">
        <f>IF($C186&gt;0,INDEX(Merge_1_2!$L$2:$L$611,$C186),INDEX(Dataset3_Raw!$L$2:$L$391,$E186))</f>
        <v>0.39</v>
      </c>
      <c r="R186" s="25">
        <f>IF($C186&gt;0,INDEX(Merge_1_2!$M$2:$M$611,$C186),INDEX(Dataset3_Raw!$M$2:$M$391,$E186))</f>
        <v>0.44779999999999998</v>
      </c>
      <c r="S186" s="23">
        <f>IF($C186&gt;0,INDEX(Merge_1_2!$N$2:$N$611,$C186),INDEX(Dataset3_Raw!$N$2:$N$391,$E186))</f>
        <v>0</v>
      </c>
      <c r="T186" s="23">
        <f>IF($C186&gt;0,INDEX(Merge_1_2!$O$2:$O$611,$C186),INDEX(Dataset3_Raw!$O$2:$O$391,$E186))</f>
        <v>22</v>
      </c>
      <c r="U186" s="23">
        <f>IF($C186&gt;0,INDEX(Merge_1_2!$P$2:$P$611,$C186),INDEX(Dataset3_Raw!$P$2:$P$391,$E186))</f>
        <v>22</v>
      </c>
      <c r="V186" s="23" t="str">
        <f t="shared" si="13"/>
        <v>Weekend</v>
      </c>
      <c r="W186" s="23" t="str">
        <f>VLOOKUP($M186,Lookups!$A$5:$B$8,2,FALSE())</f>
        <v>Clear / Partly cloudy</v>
      </c>
      <c r="X186" s="23" t="str">
        <f>VLOOKUP($G186,Lookups!$D$5:$E$8,2,FALSE())</f>
        <v>Winter</v>
      </c>
      <c r="Y186" s="23" t="str">
        <f>VLOOKUP($L186,Lookups!$G$5:$H$11,2,FALSE())</f>
        <v>Saturday</v>
      </c>
      <c r="Z186" s="23" t="str">
        <f>IF($J186&lt;Lookups!$B$26,"Night",IF($J186&lt;Lookups!$B$27,"Morning",IF($J186&lt;Lookups!$B$28,"Afternoon","Evening")))</f>
        <v>Evening</v>
      </c>
      <c r="AA186" s="26">
        <f>ROUND($N186*(Lookups!$B$16-Lookups!$B$15)+Lookups!$B$15,1)</f>
        <v>-3.3</v>
      </c>
      <c r="AB186" s="26">
        <f>ROUND($P186*(Lookups!$B$18-Lookups!$B$17)+Lookups!$B$17,1)</f>
        <v>-12</v>
      </c>
      <c r="AC186" s="23">
        <f t="shared" si="14"/>
        <v>39</v>
      </c>
      <c r="AD186" s="23">
        <f>ROUND($R186*Lookups!$B$19,1)</f>
        <v>30</v>
      </c>
      <c r="AE186" s="27">
        <f t="shared" si="15"/>
        <v>1</v>
      </c>
      <c r="AF186" s="23" t="str">
        <f>IF($U186&gt;=Lookups!$B$23,"High",IF($U186&gt;=Lookups!$B$22,"Medium","Low"))</f>
        <v>Medium</v>
      </c>
      <c r="AG186" s="23">
        <f>ROUND(IF($V186="Weekday",IF(INDEX(Hourly_Analysis!$D$5:$D$28,$J186+1)&gt;0,($U186-INDEX(Hourly_Analysis!$C$5:$C$28,$J186+1))/INDEX(Hourly_Analysis!$D$5:$D$28,$J186+1),0),IF(INDEX(Hourly_Analysis!$G$5:$G$28,$J186+1)&gt;0,($U186-INDEX(Hourly_Analysis!$F$5:$F$28,$J186+1))/INDEX(Hourly_Analysis!$G$5:$G$28,$J186+1),0)),2)</f>
        <v>-0.31</v>
      </c>
      <c r="AH186" s="23" t="str">
        <f>IF(ABS($AG186)&gt;Lookups!$B$20,IF($AG186&gt;0,"High anomaly","Low anomaly"),"")</f>
        <v/>
      </c>
      <c r="AI186" s="23" t="str">
        <f t="shared" si="16"/>
        <v>OK</v>
      </c>
      <c r="AJ186" s="23" t="str">
        <f t="shared" si="17"/>
        <v>No</v>
      </c>
    </row>
    <row r="187" spans="1:36" x14ac:dyDescent="0.35">
      <c r="A187" s="23">
        <v>186</v>
      </c>
      <c r="B187" s="23" t="str">
        <f t="shared" si="12"/>
        <v>Merge 1+2</v>
      </c>
      <c r="C187" s="23">
        <f>IFERROR(MATCH($A187,Merge_1_2!$A$2:$A$611,0),0)</f>
        <v>186</v>
      </c>
      <c r="D187" s="23">
        <f>IF($C187&gt;0,INDEX(Merge_1_2!$Q$2:$Q$611,$C187),0)</f>
        <v>186</v>
      </c>
      <c r="E187" s="23">
        <f>IFERROR(MATCH($A187,Dataset3_Raw!$A$2:$A$391,0),0)</f>
        <v>0</v>
      </c>
      <c r="F187" s="24">
        <f>IF($C187&gt;0,INDEX(Merge_1_2!$B$2:$B$611,$C187),DATE(VALUE(RIGHT(INDEX(Dataset3_Raw!$B$2:$B$391,$E187),4)),VALUE(MID(INDEX(Dataset3_Raw!$B$2:$B$391,$E187),4,2)),VALUE(LEFT(INDEX(Dataset3_Raw!$B$2:$B$391,$E187),2))))</f>
        <v>40552</v>
      </c>
      <c r="G187" s="23">
        <f>IF($C187&gt;0,INDEX(Merge_1_2!$C$2:$C$611,$C187),INDEX(Dataset3_Raw!$C$2:$C$391,$E187))</f>
        <v>1</v>
      </c>
      <c r="H187" s="23">
        <f>IF($C187&gt;0,INDEX(Merge_1_2!$D$2:$D$611,$C187),INDEX(Dataset3_Raw!$D$2:$D$391,$E187))</f>
        <v>0</v>
      </c>
      <c r="I187" s="23">
        <f>IF($C187&gt;0,INDEX(Merge_1_2!$E$2:$E$611,$C187),INDEX(Dataset3_Raw!$E$2:$E$391,$E187))</f>
        <v>1</v>
      </c>
      <c r="J187" s="23">
        <f>IF($C187&gt;0,INDEX(Merge_1_2!$F$2:$F$611,$C187),INDEX(Dataset3_Raw!$F$2:$F$391,$E187))</f>
        <v>0</v>
      </c>
      <c r="K187" s="23" t="b">
        <f>IF($C187&gt;0,INDEX(Merge_1_2!$G$2:$G$611,$C187),INDEX(Dataset3_Raw!$G$2:$G$391,$E187))</f>
        <v>0</v>
      </c>
      <c r="L187" s="23">
        <f>IF($C187&gt;0,INDEX(Merge_1_2!$H$2:$H$611,$C187),INDEX(Dataset3_Raw!$H$2:$H$391,$E187))</f>
        <v>0</v>
      </c>
      <c r="M187" s="23">
        <f>IF($C187&gt;0,INDEX(Merge_1_2!$I$2:$I$611,$C187),INDEX(Dataset3_Raw!$I$2:$I$391,$E187))</f>
        <v>1</v>
      </c>
      <c r="N187" s="25">
        <f>IF($C187&gt;0,INDEX(Merge_1_2!$J$2:$J$611,$C187),INDEX(Dataset3_Raw!$J$2:$J$391,$E187))</f>
        <v>0.1</v>
      </c>
      <c r="O187" s="25">
        <f>IF($C187&gt;0,IF(ISNUMBER(INDEX(Merge_1_2!$K$2:$K$611,$C187)),INDEX(Merge_1_2!$K$2:$K$611,$C187),""),INDEX(Dataset3_Raw!$K$2:$K$391,$E187))</f>
        <v>7.5800000000000006E-2</v>
      </c>
      <c r="P187" s="25">
        <f>IF(ISNUMBER($O187),$O187,ROUND(Lookups!$B$25+Lookups!$B$24*$N187,4))</f>
        <v>7.5800000000000006E-2</v>
      </c>
      <c r="Q187" s="25">
        <f>IF($C187&gt;0,INDEX(Merge_1_2!$L$2:$L$611,$C187),INDEX(Dataset3_Raw!$L$2:$L$391,$E187))</f>
        <v>0.42</v>
      </c>
      <c r="R187" s="25">
        <f>IF($C187&gt;0,INDEX(Merge_1_2!$M$2:$M$611,$C187),INDEX(Dataset3_Raw!$M$2:$M$391,$E187))</f>
        <v>0.3881</v>
      </c>
      <c r="S187" s="23">
        <f>IF($C187&gt;0,INDEX(Merge_1_2!$N$2:$N$611,$C187),INDEX(Dataset3_Raw!$N$2:$N$391,$E187))</f>
        <v>1</v>
      </c>
      <c r="T187" s="23">
        <f>IF($C187&gt;0,INDEX(Merge_1_2!$O$2:$O$611,$C187),INDEX(Dataset3_Raw!$O$2:$O$391,$E187))</f>
        <v>24</v>
      </c>
      <c r="U187" s="23">
        <f>IF($C187&gt;0,INDEX(Merge_1_2!$P$2:$P$611,$C187),INDEX(Dataset3_Raw!$P$2:$P$391,$E187))</f>
        <v>25</v>
      </c>
      <c r="V187" s="23" t="str">
        <f t="shared" si="13"/>
        <v>Weekend</v>
      </c>
      <c r="W187" s="23" t="str">
        <f>VLOOKUP($M187,Lookups!$A$5:$B$8,2,FALSE())</f>
        <v>Clear / Partly cloudy</v>
      </c>
      <c r="X187" s="23" t="str">
        <f>VLOOKUP($G187,Lookups!$D$5:$E$8,2,FALSE())</f>
        <v>Winter</v>
      </c>
      <c r="Y187" s="23" t="str">
        <f>VLOOKUP($L187,Lookups!$G$5:$H$11,2,FALSE())</f>
        <v>Sunday</v>
      </c>
      <c r="Z187" s="23" t="str">
        <f>IF($J187&lt;Lookups!$B$26,"Night",IF($J187&lt;Lookups!$B$27,"Morning",IF($J187&lt;Lookups!$B$28,"Afternoon","Evening")))</f>
        <v>Night</v>
      </c>
      <c r="AA187" s="26">
        <f>ROUND($N187*(Lookups!$B$16-Lookups!$B$15)+Lookups!$B$15,1)</f>
        <v>-3.3</v>
      </c>
      <c r="AB187" s="26">
        <f>ROUND($P187*(Lookups!$B$18-Lookups!$B$17)+Lookups!$B$17,1)</f>
        <v>-11</v>
      </c>
      <c r="AC187" s="23">
        <f t="shared" si="14"/>
        <v>42</v>
      </c>
      <c r="AD187" s="23">
        <f>ROUND($R187*Lookups!$B$19,1)</f>
        <v>26</v>
      </c>
      <c r="AE187" s="27">
        <f t="shared" si="15"/>
        <v>0.96</v>
      </c>
      <c r="AF187" s="23" t="str">
        <f>IF($U187&gt;=Lookups!$B$23,"High",IF($U187&gt;=Lookups!$B$22,"Medium","Low"))</f>
        <v>Medium</v>
      </c>
      <c r="AG187" s="23">
        <f>ROUND(IF($V187="Weekday",IF(INDEX(Hourly_Analysis!$D$5:$D$28,$J187+1)&gt;0,($U187-INDEX(Hourly_Analysis!$C$5:$C$28,$J187+1))/INDEX(Hourly_Analysis!$D$5:$D$28,$J187+1),0),IF(INDEX(Hourly_Analysis!$G$5:$G$28,$J187+1)&gt;0,($U187-INDEX(Hourly_Analysis!$F$5:$F$28,$J187+1))/INDEX(Hourly_Analysis!$G$5:$G$28,$J187+1),0)),2)</f>
        <v>-0.26</v>
      </c>
      <c r="AH187" s="23" t="str">
        <f>IF(ABS($AG187)&gt;Lookups!$B$20,IF($AG187&gt;0,"High anomaly","Low anomaly"),"")</f>
        <v/>
      </c>
      <c r="AI187" s="23" t="str">
        <f t="shared" si="16"/>
        <v>OK</v>
      </c>
      <c r="AJ187" s="23" t="str">
        <f t="shared" si="17"/>
        <v>No</v>
      </c>
    </row>
    <row r="188" spans="1:36" x14ac:dyDescent="0.35">
      <c r="A188" s="23">
        <v>187</v>
      </c>
      <c r="B188" s="23" t="str">
        <f t="shared" si="12"/>
        <v>Merge 1+2</v>
      </c>
      <c r="C188" s="23">
        <f>IFERROR(MATCH($A188,Merge_1_2!$A$2:$A$611,0),0)</f>
        <v>187</v>
      </c>
      <c r="D188" s="23">
        <f>IF($C188&gt;0,INDEX(Merge_1_2!$Q$2:$Q$611,$C188),0)</f>
        <v>187</v>
      </c>
      <c r="E188" s="23">
        <f>IFERROR(MATCH($A188,Dataset3_Raw!$A$2:$A$391,0),0)</f>
        <v>0</v>
      </c>
      <c r="F188" s="24">
        <f>IF($C188&gt;0,INDEX(Merge_1_2!$B$2:$B$611,$C188),DATE(VALUE(RIGHT(INDEX(Dataset3_Raw!$B$2:$B$391,$E188),4)),VALUE(MID(INDEX(Dataset3_Raw!$B$2:$B$391,$E188),4,2)),VALUE(LEFT(INDEX(Dataset3_Raw!$B$2:$B$391,$E188),2))))</f>
        <v>40552</v>
      </c>
      <c r="G188" s="23">
        <f>IF($C188&gt;0,INDEX(Merge_1_2!$C$2:$C$611,$C188),INDEX(Dataset3_Raw!$C$2:$C$391,$E188))</f>
        <v>1</v>
      </c>
      <c r="H188" s="23">
        <f>IF($C188&gt;0,INDEX(Merge_1_2!$D$2:$D$611,$C188),INDEX(Dataset3_Raw!$D$2:$D$391,$E188))</f>
        <v>0</v>
      </c>
      <c r="I188" s="23">
        <f>IF($C188&gt;0,INDEX(Merge_1_2!$E$2:$E$611,$C188),INDEX(Dataset3_Raw!$E$2:$E$391,$E188))</f>
        <v>1</v>
      </c>
      <c r="J188" s="23">
        <f>IF($C188&gt;0,INDEX(Merge_1_2!$F$2:$F$611,$C188),INDEX(Dataset3_Raw!$F$2:$F$391,$E188))</f>
        <v>1</v>
      </c>
      <c r="K188" s="23" t="b">
        <f>IF($C188&gt;0,INDEX(Merge_1_2!$G$2:$G$611,$C188),INDEX(Dataset3_Raw!$G$2:$G$391,$E188))</f>
        <v>0</v>
      </c>
      <c r="L188" s="23">
        <f>IF($C188&gt;0,INDEX(Merge_1_2!$H$2:$H$611,$C188),INDEX(Dataset3_Raw!$H$2:$H$391,$E188))</f>
        <v>0</v>
      </c>
      <c r="M188" s="23">
        <f>IF($C188&gt;0,INDEX(Merge_1_2!$I$2:$I$611,$C188),INDEX(Dataset3_Raw!$I$2:$I$391,$E188))</f>
        <v>1</v>
      </c>
      <c r="N188" s="25">
        <f>IF($C188&gt;0,INDEX(Merge_1_2!$J$2:$J$611,$C188),INDEX(Dataset3_Raw!$J$2:$J$391,$E188))</f>
        <v>0.1</v>
      </c>
      <c r="O188" s="25">
        <f>IF($C188&gt;0,IF(ISNUMBER(INDEX(Merge_1_2!$K$2:$K$611,$C188)),INDEX(Merge_1_2!$K$2:$K$611,$C188),""),INDEX(Dataset3_Raw!$K$2:$K$391,$E188))</f>
        <v>6.0600000000000001E-2</v>
      </c>
      <c r="P188" s="25">
        <f>IF(ISNUMBER($O188),$O188,ROUND(Lookups!$B$25+Lookups!$B$24*$N188,4))</f>
        <v>6.0600000000000001E-2</v>
      </c>
      <c r="Q188" s="25">
        <f>IF($C188&gt;0,INDEX(Merge_1_2!$L$2:$L$611,$C188),INDEX(Dataset3_Raw!$L$2:$L$391,$E188))</f>
        <v>0.42</v>
      </c>
      <c r="R188" s="25">
        <f>IF($C188&gt;0,INDEX(Merge_1_2!$M$2:$M$611,$C188),INDEX(Dataset3_Raw!$M$2:$M$391,$E188))</f>
        <v>0.4627</v>
      </c>
      <c r="S188" s="23">
        <f>IF($C188&gt;0,INDEX(Merge_1_2!$N$2:$N$611,$C188),INDEX(Dataset3_Raw!$N$2:$N$391,$E188))</f>
        <v>0</v>
      </c>
      <c r="T188" s="23">
        <f>IF($C188&gt;0,INDEX(Merge_1_2!$O$2:$O$611,$C188),INDEX(Dataset3_Raw!$O$2:$O$391,$E188))</f>
        <v>12</v>
      </c>
      <c r="U188" s="23">
        <f>IF($C188&gt;0,INDEX(Merge_1_2!$P$2:$P$611,$C188),INDEX(Dataset3_Raw!$P$2:$P$391,$E188))</f>
        <v>12</v>
      </c>
      <c r="V188" s="23" t="str">
        <f t="shared" si="13"/>
        <v>Weekend</v>
      </c>
      <c r="W188" s="23" t="str">
        <f>VLOOKUP($M188,Lookups!$A$5:$B$8,2,FALSE())</f>
        <v>Clear / Partly cloudy</v>
      </c>
      <c r="X188" s="23" t="str">
        <f>VLOOKUP($G188,Lookups!$D$5:$E$8,2,FALSE())</f>
        <v>Winter</v>
      </c>
      <c r="Y188" s="23" t="str">
        <f>VLOOKUP($L188,Lookups!$G$5:$H$11,2,FALSE())</f>
        <v>Sunday</v>
      </c>
      <c r="Z188" s="23" t="str">
        <f>IF($J188&lt;Lookups!$B$26,"Night",IF($J188&lt;Lookups!$B$27,"Morning",IF($J188&lt;Lookups!$B$28,"Afternoon","Evening")))</f>
        <v>Night</v>
      </c>
      <c r="AA188" s="26">
        <f>ROUND($N188*(Lookups!$B$16-Lookups!$B$15)+Lookups!$B$15,1)</f>
        <v>-3.3</v>
      </c>
      <c r="AB188" s="26">
        <f>ROUND($P188*(Lookups!$B$18-Lookups!$B$17)+Lookups!$B$17,1)</f>
        <v>-12</v>
      </c>
      <c r="AC188" s="23">
        <f t="shared" si="14"/>
        <v>42</v>
      </c>
      <c r="AD188" s="23">
        <f>ROUND($R188*Lookups!$B$19,1)</f>
        <v>31</v>
      </c>
      <c r="AE188" s="27">
        <f t="shared" si="15"/>
        <v>1</v>
      </c>
      <c r="AF188" s="23" t="str">
        <f>IF($U188&gt;=Lookups!$B$23,"High",IF($U188&gt;=Lookups!$B$22,"Medium","Low"))</f>
        <v>Low</v>
      </c>
      <c r="AG188" s="23">
        <f>ROUND(IF($V188="Weekday",IF(INDEX(Hourly_Analysis!$D$5:$D$28,$J188+1)&gt;0,($U188-INDEX(Hourly_Analysis!$C$5:$C$28,$J188+1))/INDEX(Hourly_Analysis!$D$5:$D$28,$J188+1),0),IF(INDEX(Hourly_Analysis!$G$5:$G$28,$J188+1)&gt;0,($U188-INDEX(Hourly_Analysis!$F$5:$F$28,$J188+1))/INDEX(Hourly_Analysis!$G$5:$G$28,$J188+1),0)),2)</f>
        <v>-1.04</v>
      </c>
      <c r="AH188" s="23" t="str">
        <f>IF(ABS($AG188)&gt;Lookups!$B$20,IF($AG188&gt;0,"High anomaly","Low anomaly"),"")</f>
        <v/>
      </c>
      <c r="AI188" s="23" t="str">
        <f t="shared" si="16"/>
        <v>OK</v>
      </c>
      <c r="AJ188" s="23" t="str">
        <f t="shared" si="17"/>
        <v>No</v>
      </c>
    </row>
    <row r="189" spans="1:36" x14ac:dyDescent="0.35">
      <c r="A189" s="23">
        <v>188</v>
      </c>
      <c r="B189" s="23" t="str">
        <f t="shared" si="12"/>
        <v>Merge 1+2</v>
      </c>
      <c r="C189" s="23">
        <f>IFERROR(MATCH($A189,Merge_1_2!$A$2:$A$611,0),0)</f>
        <v>188</v>
      </c>
      <c r="D189" s="23">
        <f>IF($C189&gt;0,INDEX(Merge_1_2!$Q$2:$Q$611,$C189),0)</f>
        <v>188</v>
      </c>
      <c r="E189" s="23">
        <f>IFERROR(MATCH($A189,Dataset3_Raw!$A$2:$A$391,0),0)</f>
        <v>0</v>
      </c>
      <c r="F189" s="24">
        <f>IF($C189&gt;0,INDEX(Merge_1_2!$B$2:$B$611,$C189),DATE(VALUE(RIGHT(INDEX(Dataset3_Raw!$B$2:$B$391,$E189),4)),VALUE(MID(INDEX(Dataset3_Raw!$B$2:$B$391,$E189),4,2)),VALUE(LEFT(INDEX(Dataset3_Raw!$B$2:$B$391,$E189),2))))</f>
        <v>40552</v>
      </c>
      <c r="G189" s="23">
        <f>IF($C189&gt;0,INDEX(Merge_1_2!$C$2:$C$611,$C189),INDEX(Dataset3_Raw!$C$2:$C$391,$E189))</f>
        <v>1</v>
      </c>
      <c r="H189" s="23">
        <f>IF($C189&gt;0,INDEX(Merge_1_2!$D$2:$D$611,$C189),INDEX(Dataset3_Raw!$D$2:$D$391,$E189))</f>
        <v>0</v>
      </c>
      <c r="I189" s="23">
        <f>IF($C189&gt;0,INDEX(Merge_1_2!$E$2:$E$611,$C189),INDEX(Dataset3_Raw!$E$2:$E$391,$E189))</f>
        <v>1</v>
      </c>
      <c r="J189" s="23">
        <f>IF($C189&gt;0,INDEX(Merge_1_2!$F$2:$F$611,$C189),INDEX(Dataset3_Raw!$F$2:$F$391,$E189))</f>
        <v>2</v>
      </c>
      <c r="K189" s="23" t="b">
        <f>IF($C189&gt;0,INDEX(Merge_1_2!$G$2:$G$611,$C189),INDEX(Dataset3_Raw!$G$2:$G$391,$E189))</f>
        <v>0</v>
      </c>
      <c r="L189" s="23">
        <f>IF($C189&gt;0,INDEX(Merge_1_2!$H$2:$H$611,$C189),INDEX(Dataset3_Raw!$H$2:$H$391,$E189))</f>
        <v>0</v>
      </c>
      <c r="M189" s="23">
        <f>IF($C189&gt;0,INDEX(Merge_1_2!$I$2:$I$611,$C189),INDEX(Dataset3_Raw!$I$2:$I$391,$E189))</f>
        <v>1</v>
      </c>
      <c r="N189" s="25">
        <f>IF($C189&gt;0,INDEX(Merge_1_2!$J$2:$J$611,$C189),INDEX(Dataset3_Raw!$J$2:$J$391,$E189))</f>
        <v>0.1</v>
      </c>
      <c r="O189" s="25">
        <f>IF($C189&gt;0,IF(ISNUMBER(INDEX(Merge_1_2!$K$2:$K$611,$C189)),INDEX(Merge_1_2!$K$2:$K$611,$C189),""),INDEX(Dataset3_Raw!$K$2:$K$391,$E189))</f>
        <v>6.0600000000000001E-2</v>
      </c>
      <c r="P189" s="25">
        <f>IF(ISNUMBER($O189),$O189,ROUND(Lookups!$B$25+Lookups!$B$24*$N189,4))</f>
        <v>6.0600000000000001E-2</v>
      </c>
      <c r="Q189" s="25">
        <f>IF($C189&gt;0,INDEX(Merge_1_2!$L$2:$L$611,$C189),INDEX(Dataset3_Raw!$L$2:$L$391,$E189))</f>
        <v>0.46</v>
      </c>
      <c r="R189" s="25">
        <f>IF($C189&gt;0,INDEX(Merge_1_2!$M$2:$M$611,$C189),INDEX(Dataset3_Raw!$M$2:$M$391,$E189))</f>
        <v>0.4627</v>
      </c>
      <c r="S189" s="23">
        <f>IF($C189&gt;0,INDEX(Merge_1_2!$N$2:$N$611,$C189),INDEX(Dataset3_Raw!$N$2:$N$391,$E189))</f>
        <v>0</v>
      </c>
      <c r="T189" s="23">
        <f>IF($C189&gt;0,INDEX(Merge_1_2!$O$2:$O$611,$C189),INDEX(Dataset3_Raw!$O$2:$O$391,$E189))</f>
        <v>11</v>
      </c>
      <c r="U189" s="23">
        <f>IF($C189&gt;0,INDEX(Merge_1_2!$P$2:$P$611,$C189),INDEX(Dataset3_Raw!$P$2:$P$391,$E189))</f>
        <v>11</v>
      </c>
      <c r="V189" s="23" t="str">
        <f t="shared" si="13"/>
        <v>Weekend</v>
      </c>
      <c r="W189" s="23" t="str">
        <f>VLOOKUP($M189,Lookups!$A$5:$B$8,2,FALSE())</f>
        <v>Clear / Partly cloudy</v>
      </c>
      <c r="X189" s="23" t="str">
        <f>VLOOKUP($G189,Lookups!$D$5:$E$8,2,FALSE())</f>
        <v>Winter</v>
      </c>
      <c r="Y189" s="23" t="str">
        <f>VLOOKUP($L189,Lookups!$G$5:$H$11,2,FALSE())</f>
        <v>Sunday</v>
      </c>
      <c r="Z189" s="23" t="str">
        <f>IF($J189&lt;Lookups!$B$26,"Night",IF($J189&lt;Lookups!$B$27,"Morning",IF($J189&lt;Lookups!$B$28,"Afternoon","Evening")))</f>
        <v>Night</v>
      </c>
      <c r="AA189" s="26">
        <f>ROUND($N189*(Lookups!$B$16-Lookups!$B$15)+Lookups!$B$15,1)</f>
        <v>-3.3</v>
      </c>
      <c r="AB189" s="26">
        <f>ROUND($P189*(Lookups!$B$18-Lookups!$B$17)+Lookups!$B$17,1)</f>
        <v>-12</v>
      </c>
      <c r="AC189" s="23">
        <f t="shared" si="14"/>
        <v>46</v>
      </c>
      <c r="AD189" s="23">
        <f>ROUND($R189*Lookups!$B$19,1)</f>
        <v>31</v>
      </c>
      <c r="AE189" s="27">
        <f t="shared" si="15"/>
        <v>1</v>
      </c>
      <c r="AF189" s="23" t="str">
        <f>IF($U189&gt;=Lookups!$B$23,"High",IF($U189&gt;=Lookups!$B$22,"Medium","Low"))</f>
        <v>Low</v>
      </c>
      <c r="AG189" s="23">
        <f>ROUND(IF($V189="Weekday",IF(INDEX(Hourly_Analysis!$D$5:$D$28,$J189+1)&gt;0,($U189-INDEX(Hourly_Analysis!$C$5:$C$28,$J189+1))/INDEX(Hourly_Analysis!$D$5:$D$28,$J189+1),0),IF(INDEX(Hourly_Analysis!$G$5:$G$28,$J189+1)&gt;0,($U189-INDEX(Hourly_Analysis!$F$5:$F$28,$J189+1))/INDEX(Hourly_Analysis!$G$5:$G$28,$J189+1),0)),2)</f>
        <v>-0.74</v>
      </c>
      <c r="AH189" s="23" t="str">
        <f>IF(ABS($AG189)&gt;Lookups!$B$20,IF($AG189&gt;0,"High anomaly","Low anomaly"),"")</f>
        <v/>
      </c>
      <c r="AI189" s="23" t="str">
        <f t="shared" si="16"/>
        <v>OK</v>
      </c>
      <c r="AJ189" s="23" t="str">
        <f t="shared" si="17"/>
        <v>No</v>
      </c>
    </row>
    <row r="190" spans="1:36" x14ac:dyDescent="0.35">
      <c r="A190" s="23">
        <v>189</v>
      </c>
      <c r="B190" s="23" t="str">
        <f t="shared" si="12"/>
        <v>Merge 1+2</v>
      </c>
      <c r="C190" s="23">
        <f>IFERROR(MATCH($A190,Merge_1_2!$A$2:$A$611,0),0)</f>
        <v>189</v>
      </c>
      <c r="D190" s="23">
        <f>IF($C190&gt;0,INDEX(Merge_1_2!$Q$2:$Q$611,$C190),0)</f>
        <v>189</v>
      </c>
      <c r="E190" s="23">
        <f>IFERROR(MATCH($A190,Dataset3_Raw!$A$2:$A$391,0),0)</f>
        <v>0</v>
      </c>
      <c r="F190" s="24">
        <f>IF($C190&gt;0,INDEX(Merge_1_2!$B$2:$B$611,$C190),DATE(VALUE(RIGHT(INDEX(Dataset3_Raw!$B$2:$B$391,$E190),4)),VALUE(MID(INDEX(Dataset3_Raw!$B$2:$B$391,$E190),4,2)),VALUE(LEFT(INDEX(Dataset3_Raw!$B$2:$B$391,$E190),2))))</f>
        <v>40552</v>
      </c>
      <c r="G190" s="23">
        <f>IF($C190&gt;0,INDEX(Merge_1_2!$C$2:$C$611,$C190),INDEX(Dataset3_Raw!$C$2:$C$391,$E190))</f>
        <v>1</v>
      </c>
      <c r="H190" s="23">
        <f>IF($C190&gt;0,INDEX(Merge_1_2!$D$2:$D$611,$C190),INDEX(Dataset3_Raw!$D$2:$D$391,$E190))</f>
        <v>0</v>
      </c>
      <c r="I190" s="23">
        <f>IF($C190&gt;0,INDEX(Merge_1_2!$E$2:$E$611,$C190),INDEX(Dataset3_Raw!$E$2:$E$391,$E190))</f>
        <v>1</v>
      </c>
      <c r="J190" s="23">
        <f>IF($C190&gt;0,INDEX(Merge_1_2!$F$2:$F$611,$C190),INDEX(Dataset3_Raw!$F$2:$F$391,$E190))</f>
        <v>3</v>
      </c>
      <c r="K190" s="23" t="b">
        <f>IF($C190&gt;0,INDEX(Merge_1_2!$G$2:$G$611,$C190),INDEX(Dataset3_Raw!$G$2:$G$391,$E190))</f>
        <v>0</v>
      </c>
      <c r="L190" s="23">
        <f>IF($C190&gt;0,INDEX(Merge_1_2!$H$2:$H$611,$C190),INDEX(Dataset3_Raw!$H$2:$H$391,$E190))</f>
        <v>0</v>
      </c>
      <c r="M190" s="23">
        <f>IF($C190&gt;0,INDEX(Merge_1_2!$I$2:$I$611,$C190),INDEX(Dataset3_Raw!$I$2:$I$391,$E190))</f>
        <v>1</v>
      </c>
      <c r="N190" s="25">
        <f>IF($C190&gt;0,INDEX(Merge_1_2!$J$2:$J$611,$C190),INDEX(Dataset3_Raw!$J$2:$J$391,$E190))</f>
        <v>0.1</v>
      </c>
      <c r="O190" s="25">
        <f>IF($C190&gt;0,IF(ISNUMBER(INDEX(Merge_1_2!$K$2:$K$611,$C190)),INDEX(Merge_1_2!$K$2:$K$611,$C190),""),INDEX(Dataset3_Raw!$K$2:$K$391,$E190))</f>
        <v>7.5800000000000006E-2</v>
      </c>
      <c r="P190" s="25">
        <f>IF(ISNUMBER($O190),$O190,ROUND(Lookups!$B$25+Lookups!$B$24*$N190,4))</f>
        <v>7.5800000000000006E-2</v>
      </c>
      <c r="Q190" s="25">
        <f>IF($C190&gt;0,INDEX(Merge_1_2!$L$2:$L$611,$C190),INDEX(Dataset3_Raw!$L$2:$L$391,$E190))</f>
        <v>0.46</v>
      </c>
      <c r="R190" s="25">
        <f>IF($C190&gt;0,INDEX(Merge_1_2!$M$2:$M$611,$C190),INDEX(Dataset3_Raw!$M$2:$M$391,$E190))</f>
        <v>0.41789999999999999</v>
      </c>
      <c r="S190" s="23">
        <f>IF($C190&gt;0,INDEX(Merge_1_2!$N$2:$N$611,$C190),INDEX(Dataset3_Raw!$N$2:$N$391,$E190))</f>
        <v>0</v>
      </c>
      <c r="T190" s="23">
        <f>IF($C190&gt;0,INDEX(Merge_1_2!$O$2:$O$611,$C190),INDEX(Dataset3_Raw!$O$2:$O$391,$E190))</f>
        <v>4</v>
      </c>
      <c r="U190" s="23">
        <f>IF($C190&gt;0,INDEX(Merge_1_2!$P$2:$P$611,$C190),INDEX(Dataset3_Raw!$P$2:$P$391,$E190))</f>
        <v>4</v>
      </c>
      <c r="V190" s="23" t="str">
        <f t="shared" si="13"/>
        <v>Weekend</v>
      </c>
      <c r="W190" s="23" t="str">
        <f>VLOOKUP($M190,Lookups!$A$5:$B$8,2,FALSE())</f>
        <v>Clear / Partly cloudy</v>
      </c>
      <c r="X190" s="23" t="str">
        <f>VLOOKUP($G190,Lookups!$D$5:$E$8,2,FALSE())</f>
        <v>Winter</v>
      </c>
      <c r="Y190" s="23" t="str">
        <f>VLOOKUP($L190,Lookups!$G$5:$H$11,2,FALSE())</f>
        <v>Sunday</v>
      </c>
      <c r="Z190" s="23" t="str">
        <f>IF($J190&lt;Lookups!$B$26,"Night",IF($J190&lt;Lookups!$B$27,"Morning",IF($J190&lt;Lookups!$B$28,"Afternoon","Evening")))</f>
        <v>Night</v>
      </c>
      <c r="AA190" s="26">
        <f>ROUND($N190*(Lookups!$B$16-Lookups!$B$15)+Lookups!$B$15,1)</f>
        <v>-3.3</v>
      </c>
      <c r="AB190" s="26">
        <f>ROUND($P190*(Lookups!$B$18-Lookups!$B$17)+Lookups!$B$17,1)</f>
        <v>-11</v>
      </c>
      <c r="AC190" s="23">
        <f t="shared" si="14"/>
        <v>46</v>
      </c>
      <c r="AD190" s="23">
        <f>ROUND($R190*Lookups!$B$19,1)</f>
        <v>28</v>
      </c>
      <c r="AE190" s="27">
        <f t="shared" si="15"/>
        <v>1</v>
      </c>
      <c r="AF190" s="23" t="str">
        <f>IF($U190&gt;=Lookups!$B$23,"High",IF($U190&gt;=Lookups!$B$22,"Medium","Low"))</f>
        <v>Low</v>
      </c>
      <c r="AG190" s="23">
        <f>ROUND(IF($V190="Weekday",IF(INDEX(Hourly_Analysis!$D$5:$D$28,$J190+1)&gt;0,($U190-INDEX(Hourly_Analysis!$C$5:$C$28,$J190+1))/INDEX(Hourly_Analysis!$D$5:$D$28,$J190+1),0),IF(INDEX(Hourly_Analysis!$G$5:$G$28,$J190+1)&gt;0,($U190-INDEX(Hourly_Analysis!$F$5:$F$28,$J190+1))/INDEX(Hourly_Analysis!$G$5:$G$28,$J190+1),0)),2)</f>
        <v>-1.25</v>
      </c>
      <c r="AH190" s="23" t="str">
        <f>IF(ABS($AG190)&gt;Lookups!$B$20,IF($AG190&gt;0,"High anomaly","Low anomaly"),"")</f>
        <v/>
      </c>
      <c r="AI190" s="23" t="str">
        <f t="shared" si="16"/>
        <v>OK</v>
      </c>
      <c r="AJ190" s="23" t="str">
        <f t="shared" si="17"/>
        <v>No</v>
      </c>
    </row>
    <row r="191" spans="1:36" x14ac:dyDescent="0.35">
      <c r="A191" s="23">
        <v>190</v>
      </c>
      <c r="B191" s="23" t="str">
        <f t="shared" si="12"/>
        <v>Merge 1+2</v>
      </c>
      <c r="C191" s="23">
        <f>IFERROR(MATCH($A191,Merge_1_2!$A$2:$A$611,0),0)</f>
        <v>190</v>
      </c>
      <c r="D191" s="23">
        <f>IF($C191&gt;0,INDEX(Merge_1_2!$Q$2:$Q$611,$C191),0)</f>
        <v>190</v>
      </c>
      <c r="E191" s="23">
        <f>IFERROR(MATCH($A191,Dataset3_Raw!$A$2:$A$391,0),0)</f>
        <v>0</v>
      </c>
      <c r="F191" s="24">
        <f>IF($C191&gt;0,INDEX(Merge_1_2!$B$2:$B$611,$C191),DATE(VALUE(RIGHT(INDEX(Dataset3_Raw!$B$2:$B$391,$E191),4)),VALUE(MID(INDEX(Dataset3_Raw!$B$2:$B$391,$E191),4,2)),VALUE(LEFT(INDEX(Dataset3_Raw!$B$2:$B$391,$E191),2))))</f>
        <v>40552</v>
      </c>
      <c r="G191" s="23">
        <f>IF($C191&gt;0,INDEX(Merge_1_2!$C$2:$C$611,$C191),INDEX(Dataset3_Raw!$C$2:$C$391,$E191))</f>
        <v>1</v>
      </c>
      <c r="H191" s="23">
        <f>IF($C191&gt;0,INDEX(Merge_1_2!$D$2:$D$611,$C191),INDEX(Dataset3_Raw!$D$2:$D$391,$E191))</f>
        <v>0</v>
      </c>
      <c r="I191" s="23">
        <f>IF($C191&gt;0,INDEX(Merge_1_2!$E$2:$E$611,$C191),INDEX(Dataset3_Raw!$E$2:$E$391,$E191))</f>
        <v>1</v>
      </c>
      <c r="J191" s="23">
        <f>IF($C191&gt;0,INDEX(Merge_1_2!$F$2:$F$611,$C191),INDEX(Dataset3_Raw!$F$2:$F$391,$E191))</f>
        <v>4</v>
      </c>
      <c r="K191" s="23" t="b">
        <f>IF($C191&gt;0,INDEX(Merge_1_2!$G$2:$G$611,$C191),INDEX(Dataset3_Raw!$G$2:$G$391,$E191))</f>
        <v>0</v>
      </c>
      <c r="L191" s="23">
        <f>IF($C191&gt;0,INDEX(Merge_1_2!$H$2:$H$611,$C191),INDEX(Dataset3_Raw!$H$2:$H$391,$E191))</f>
        <v>0</v>
      </c>
      <c r="M191" s="23">
        <f>IF($C191&gt;0,INDEX(Merge_1_2!$I$2:$I$611,$C191),INDEX(Dataset3_Raw!$I$2:$I$391,$E191))</f>
        <v>1</v>
      </c>
      <c r="N191" s="25">
        <f>IF($C191&gt;0,INDEX(Merge_1_2!$J$2:$J$611,$C191),INDEX(Dataset3_Raw!$J$2:$J$391,$E191))</f>
        <v>0.08</v>
      </c>
      <c r="O191" s="25">
        <f>IF($C191&gt;0,IF(ISNUMBER(INDEX(Merge_1_2!$K$2:$K$611,$C191)),INDEX(Merge_1_2!$K$2:$K$611,$C191),""),INDEX(Dataset3_Raw!$K$2:$K$391,$E191))</f>
        <v>9.0899999999999995E-2</v>
      </c>
      <c r="P191" s="25">
        <f>IF(ISNUMBER($O191),$O191,ROUND(Lookups!$B$25+Lookups!$B$24*$N191,4))</f>
        <v>9.0899999999999995E-2</v>
      </c>
      <c r="Q191" s="25">
        <f>IF($C191&gt;0,INDEX(Merge_1_2!$L$2:$L$611,$C191),INDEX(Dataset3_Raw!$L$2:$L$391,$E191))</f>
        <v>0.53</v>
      </c>
      <c r="R191" s="25">
        <f>IF($C191&gt;0,INDEX(Merge_1_2!$M$2:$M$611,$C191),INDEX(Dataset3_Raw!$M$2:$M$391,$E191))</f>
        <v>0.19400000000000001</v>
      </c>
      <c r="S191" s="23">
        <f>IF($C191&gt;0,INDEX(Merge_1_2!$N$2:$N$611,$C191),INDEX(Dataset3_Raw!$N$2:$N$391,$E191))</f>
        <v>0</v>
      </c>
      <c r="T191" s="23">
        <f>IF($C191&gt;0,INDEX(Merge_1_2!$O$2:$O$611,$C191),INDEX(Dataset3_Raw!$O$2:$O$391,$E191))</f>
        <v>1</v>
      </c>
      <c r="U191" s="23">
        <f>IF($C191&gt;0,INDEX(Merge_1_2!$P$2:$P$611,$C191),INDEX(Dataset3_Raw!$P$2:$P$391,$E191))</f>
        <v>1</v>
      </c>
      <c r="V191" s="23" t="str">
        <f t="shared" si="13"/>
        <v>Weekend</v>
      </c>
      <c r="W191" s="23" t="str">
        <f>VLOOKUP($M191,Lookups!$A$5:$B$8,2,FALSE())</f>
        <v>Clear / Partly cloudy</v>
      </c>
      <c r="X191" s="23" t="str">
        <f>VLOOKUP($G191,Lookups!$D$5:$E$8,2,FALSE())</f>
        <v>Winter</v>
      </c>
      <c r="Y191" s="23" t="str">
        <f>VLOOKUP($L191,Lookups!$G$5:$H$11,2,FALSE())</f>
        <v>Sunday</v>
      </c>
      <c r="Z191" s="23" t="str">
        <f>IF($J191&lt;Lookups!$B$26,"Night",IF($J191&lt;Lookups!$B$27,"Morning",IF($J191&lt;Lookups!$B$28,"Afternoon","Evening")))</f>
        <v>Night</v>
      </c>
      <c r="AA191" s="26">
        <f>ROUND($N191*(Lookups!$B$16-Lookups!$B$15)+Lookups!$B$15,1)</f>
        <v>-4.2</v>
      </c>
      <c r="AB191" s="26">
        <f>ROUND($P191*(Lookups!$B$18-Lookups!$B$17)+Lookups!$B$17,1)</f>
        <v>-10</v>
      </c>
      <c r="AC191" s="23">
        <f t="shared" si="14"/>
        <v>53</v>
      </c>
      <c r="AD191" s="23">
        <f>ROUND($R191*Lookups!$B$19,1)</f>
        <v>13</v>
      </c>
      <c r="AE191" s="27">
        <f t="shared" si="15"/>
        <v>1</v>
      </c>
      <c r="AF191" s="23" t="str">
        <f>IF($U191&gt;=Lookups!$B$23,"High",IF($U191&gt;=Lookups!$B$22,"Medium","Low"))</f>
        <v>Low</v>
      </c>
      <c r="AG191" s="23">
        <f>ROUND(IF($V191="Weekday",IF(INDEX(Hourly_Analysis!$D$5:$D$28,$J191+1)&gt;0,($U191-INDEX(Hourly_Analysis!$C$5:$C$28,$J191+1))/INDEX(Hourly_Analysis!$D$5:$D$28,$J191+1),0),IF(INDEX(Hourly_Analysis!$G$5:$G$28,$J191+1)&gt;0,($U191-INDEX(Hourly_Analysis!$F$5:$F$28,$J191+1))/INDEX(Hourly_Analysis!$G$5:$G$28,$J191+1),0)),2)</f>
        <v>-0.87</v>
      </c>
      <c r="AH191" s="23" t="str">
        <f>IF(ABS($AG191)&gt;Lookups!$B$20,IF($AG191&gt;0,"High anomaly","Low anomaly"),"")</f>
        <v/>
      </c>
      <c r="AI191" s="23" t="str">
        <f t="shared" si="16"/>
        <v>OK</v>
      </c>
      <c r="AJ191" s="23" t="str">
        <f t="shared" si="17"/>
        <v>No</v>
      </c>
    </row>
    <row r="192" spans="1:36" x14ac:dyDescent="0.35">
      <c r="A192" s="23">
        <v>191</v>
      </c>
      <c r="B192" s="23" t="str">
        <f t="shared" si="12"/>
        <v>Merge 1+2</v>
      </c>
      <c r="C192" s="23">
        <f>IFERROR(MATCH($A192,Merge_1_2!$A$2:$A$611,0),0)</f>
        <v>191</v>
      </c>
      <c r="D192" s="23">
        <f>IF($C192&gt;0,INDEX(Merge_1_2!$Q$2:$Q$611,$C192),0)</f>
        <v>191</v>
      </c>
      <c r="E192" s="23">
        <f>IFERROR(MATCH($A192,Dataset3_Raw!$A$2:$A$391,0),0)</f>
        <v>0</v>
      </c>
      <c r="F192" s="24">
        <f>IF($C192&gt;0,INDEX(Merge_1_2!$B$2:$B$611,$C192),DATE(VALUE(RIGHT(INDEX(Dataset3_Raw!$B$2:$B$391,$E192),4)),VALUE(MID(INDEX(Dataset3_Raw!$B$2:$B$391,$E192),4,2)),VALUE(LEFT(INDEX(Dataset3_Raw!$B$2:$B$391,$E192),2))))</f>
        <v>40552</v>
      </c>
      <c r="G192" s="23">
        <f>IF($C192&gt;0,INDEX(Merge_1_2!$C$2:$C$611,$C192),INDEX(Dataset3_Raw!$C$2:$C$391,$E192))</f>
        <v>1</v>
      </c>
      <c r="H192" s="23">
        <f>IF($C192&gt;0,INDEX(Merge_1_2!$D$2:$D$611,$C192),INDEX(Dataset3_Raw!$D$2:$D$391,$E192))</f>
        <v>0</v>
      </c>
      <c r="I192" s="23">
        <f>IF($C192&gt;0,INDEX(Merge_1_2!$E$2:$E$611,$C192),INDEX(Dataset3_Raw!$E$2:$E$391,$E192))</f>
        <v>1</v>
      </c>
      <c r="J192" s="23">
        <f>IF($C192&gt;0,INDEX(Merge_1_2!$F$2:$F$611,$C192),INDEX(Dataset3_Raw!$F$2:$F$391,$E192))</f>
        <v>5</v>
      </c>
      <c r="K192" s="23" t="b">
        <f>IF($C192&gt;0,INDEX(Merge_1_2!$G$2:$G$611,$C192),INDEX(Dataset3_Raw!$G$2:$G$391,$E192))</f>
        <v>0</v>
      </c>
      <c r="L192" s="23">
        <f>IF($C192&gt;0,INDEX(Merge_1_2!$H$2:$H$611,$C192),INDEX(Dataset3_Raw!$H$2:$H$391,$E192))</f>
        <v>0</v>
      </c>
      <c r="M192" s="23">
        <f>IF($C192&gt;0,INDEX(Merge_1_2!$I$2:$I$611,$C192),INDEX(Dataset3_Raw!$I$2:$I$391,$E192))</f>
        <v>1</v>
      </c>
      <c r="N192" s="25">
        <f>IF($C192&gt;0,INDEX(Merge_1_2!$J$2:$J$611,$C192),INDEX(Dataset3_Raw!$J$2:$J$391,$E192))</f>
        <v>0.08</v>
      </c>
      <c r="O192" s="25">
        <f>IF($C192&gt;0,IF(ISNUMBER(INDEX(Merge_1_2!$K$2:$K$611,$C192)),INDEX(Merge_1_2!$K$2:$K$611,$C192),""),INDEX(Dataset3_Raw!$K$2:$K$391,$E192))</f>
        <v>9.0899999999999995E-2</v>
      </c>
      <c r="P192" s="25">
        <f>IF(ISNUMBER($O192),$O192,ROUND(Lookups!$B$25+Lookups!$B$24*$N192,4))</f>
        <v>9.0899999999999995E-2</v>
      </c>
      <c r="Q192" s="25">
        <f>IF($C192&gt;0,INDEX(Merge_1_2!$L$2:$L$611,$C192),INDEX(Dataset3_Raw!$L$2:$L$391,$E192))</f>
        <v>0.53</v>
      </c>
      <c r="R192" s="25">
        <f>IF($C192&gt;0,INDEX(Merge_1_2!$M$2:$M$611,$C192),INDEX(Dataset3_Raw!$M$2:$M$391,$E192))</f>
        <v>0.19400000000000001</v>
      </c>
      <c r="S192" s="23">
        <f>IF($C192&gt;0,INDEX(Merge_1_2!$N$2:$N$611,$C192),INDEX(Dataset3_Raw!$N$2:$N$391,$E192))</f>
        <v>0</v>
      </c>
      <c r="T192" s="23">
        <f>IF($C192&gt;0,INDEX(Merge_1_2!$O$2:$O$611,$C192),INDEX(Dataset3_Raw!$O$2:$O$391,$E192))</f>
        <v>1</v>
      </c>
      <c r="U192" s="23">
        <f>IF($C192&gt;0,INDEX(Merge_1_2!$P$2:$P$611,$C192),INDEX(Dataset3_Raw!$P$2:$P$391,$E192))</f>
        <v>1</v>
      </c>
      <c r="V192" s="23" t="str">
        <f t="shared" si="13"/>
        <v>Weekend</v>
      </c>
      <c r="W192" s="23" t="str">
        <f>VLOOKUP($M192,Lookups!$A$5:$B$8,2,FALSE())</f>
        <v>Clear / Partly cloudy</v>
      </c>
      <c r="X192" s="23" t="str">
        <f>VLOOKUP($G192,Lookups!$D$5:$E$8,2,FALSE())</f>
        <v>Winter</v>
      </c>
      <c r="Y192" s="23" t="str">
        <f>VLOOKUP($L192,Lookups!$G$5:$H$11,2,FALSE())</f>
        <v>Sunday</v>
      </c>
      <c r="Z192" s="23" t="str">
        <f>IF($J192&lt;Lookups!$B$26,"Night",IF($J192&lt;Lookups!$B$27,"Morning",IF($J192&lt;Lookups!$B$28,"Afternoon","Evening")))</f>
        <v>Night</v>
      </c>
      <c r="AA192" s="26">
        <f>ROUND($N192*(Lookups!$B$16-Lookups!$B$15)+Lookups!$B$15,1)</f>
        <v>-4.2</v>
      </c>
      <c r="AB192" s="26">
        <f>ROUND($P192*(Lookups!$B$18-Lookups!$B$17)+Lookups!$B$17,1)</f>
        <v>-10</v>
      </c>
      <c r="AC192" s="23">
        <f t="shared" si="14"/>
        <v>53</v>
      </c>
      <c r="AD192" s="23">
        <f>ROUND($R192*Lookups!$B$19,1)</f>
        <v>13</v>
      </c>
      <c r="AE192" s="27">
        <f t="shared" si="15"/>
        <v>1</v>
      </c>
      <c r="AF192" s="23" t="str">
        <f>IF($U192&gt;=Lookups!$B$23,"High",IF($U192&gt;=Lookups!$B$22,"Medium","Low"))</f>
        <v>Low</v>
      </c>
      <c r="AG192" s="23">
        <f>ROUND(IF($V192="Weekday",IF(INDEX(Hourly_Analysis!$D$5:$D$28,$J192+1)&gt;0,($U192-INDEX(Hourly_Analysis!$C$5:$C$28,$J192+1))/INDEX(Hourly_Analysis!$D$5:$D$28,$J192+1),0),IF(INDEX(Hourly_Analysis!$G$5:$G$28,$J192+1)&gt;0,($U192-INDEX(Hourly_Analysis!$F$5:$F$28,$J192+1))/INDEX(Hourly_Analysis!$G$5:$G$28,$J192+1),0)),2)</f>
        <v>-0.62</v>
      </c>
      <c r="AH192" s="23" t="str">
        <f>IF(ABS($AG192)&gt;Lookups!$B$20,IF($AG192&gt;0,"High anomaly","Low anomaly"),"")</f>
        <v/>
      </c>
      <c r="AI192" s="23" t="str">
        <f t="shared" si="16"/>
        <v>OK</v>
      </c>
      <c r="AJ192" s="23" t="str">
        <f t="shared" si="17"/>
        <v>No</v>
      </c>
    </row>
    <row r="193" spans="1:36" x14ac:dyDescent="0.35">
      <c r="A193" s="23">
        <v>192</v>
      </c>
      <c r="B193" s="23" t="str">
        <f t="shared" si="12"/>
        <v>Merge 1+2</v>
      </c>
      <c r="C193" s="23">
        <f>IFERROR(MATCH($A193,Merge_1_2!$A$2:$A$611,0),0)</f>
        <v>192</v>
      </c>
      <c r="D193" s="23">
        <f>IF($C193&gt;0,INDEX(Merge_1_2!$Q$2:$Q$611,$C193),0)</f>
        <v>192</v>
      </c>
      <c r="E193" s="23">
        <f>IFERROR(MATCH($A193,Dataset3_Raw!$A$2:$A$391,0),0)</f>
        <v>0</v>
      </c>
      <c r="F193" s="24">
        <f>IF($C193&gt;0,INDEX(Merge_1_2!$B$2:$B$611,$C193),DATE(VALUE(RIGHT(INDEX(Dataset3_Raw!$B$2:$B$391,$E193),4)),VALUE(MID(INDEX(Dataset3_Raw!$B$2:$B$391,$E193),4,2)),VALUE(LEFT(INDEX(Dataset3_Raw!$B$2:$B$391,$E193),2))))</f>
        <v>40552</v>
      </c>
      <c r="G193" s="23">
        <f>IF($C193&gt;0,INDEX(Merge_1_2!$C$2:$C$611,$C193),INDEX(Dataset3_Raw!$C$2:$C$391,$E193))</f>
        <v>1</v>
      </c>
      <c r="H193" s="23">
        <f>IF($C193&gt;0,INDEX(Merge_1_2!$D$2:$D$611,$C193),INDEX(Dataset3_Raw!$D$2:$D$391,$E193))</f>
        <v>0</v>
      </c>
      <c r="I193" s="23">
        <f>IF($C193&gt;0,INDEX(Merge_1_2!$E$2:$E$611,$C193),INDEX(Dataset3_Raw!$E$2:$E$391,$E193))</f>
        <v>1</v>
      </c>
      <c r="J193" s="23">
        <f>IF($C193&gt;0,INDEX(Merge_1_2!$F$2:$F$611,$C193),INDEX(Dataset3_Raw!$F$2:$F$391,$E193))</f>
        <v>6</v>
      </c>
      <c r="K193" s="23" t="b">
        <f>IF($C193&gt;0,INDEX(Merge_1_2!$G$2:$G$611,$C193),INDEX(Dataset3_Raw!$G$2:$G$391,$E193))</f>
        <v>0</v>
      </c>
      <c r="L193" s="23">
        <f>IF($C193&gt;0,INDEX(Merge_1_2!$H$2:$H$611,$C193),INDEX(Dataset3_Raw!$H$2:$H$391,$E193))</f>
        <v>0</v>
      </c>
      <c r="M193" s="23">
        <f>IF($C193&gt;0,INDEX(Merge_1_2!$I$2:$I$611,$C193),INDEX(Dataset3_Raw!$I$2:$I$391,$E193))</f>
        <v>1</v>
      </c>
      <c r="N193" s="25">
        <f>IF($C193&gt;0,INDEX(Merge_1_2!$J$2:$J$611,$C193),INDEX(Dataset3_Raw!$J$2:$J$391,$E193))</f>
        <v>0.1</v>
      </c>
      <c r="O193" s="25">
        <f>IF($C193&gt;0,IF(ISNUMBER(INDEX(Merge_1_2!$K$2:$K$611,$C193)),INDEX(Merge_1_2!$K$2:$K$611,$C193),""),INDEX(Dataset3_Raw!$K$2:$K$391,$E193))</f>
        <v>9.0899999999999995E-2</v>
      </c>
      <c r="P193" s="25">
        <f>IF(ISNUMBER($O193),$O193,ROUND(Lookups!$B$25+Lookups!$B$24*$N193,4))</f>
        <v>9.0899999999999995E-2</v>
      </c>
      <c r="Q193" s="25">
        <f>IF($C193&gt;0,INDEX(Merge_1_2!$L$2:$L$611,$C193),INDEX(Dataset3_Raw!$L$2:$L$391,$E193))</f>
        <v>0.49</v>
      </c>
      <c r="R193" s="25">
        <f>IF($C193&gt;0,INDEX(Merge_1_2!$M$2:$M$611,$C193),INDEX(Dataset3_Raw!$M$2:$M$391,$E193))</f>
        <v>0.28360000000000002</v>
      </c>
      <c r="S193" s="23">
        <f>IF($C193&gt;0,INDEX(Merge_1_2!$N$2:$N$611,$C193),INDEX(Dataset3_Raw!$N$2:$N$391,$E193))</f>
        <v>0</v>
      </c>
      <c r="T193" s="23">
        <f>IF($C193&gt;0,INDEX(Merge_1_2!$O$2:$O$611,$C193),INDEX(Dataset3_Raw!$O$2:$O$391,$E193))</f>
        <v>1</v>
      </c>
      <c r="U193" s="23">
        <f>IF($C193&gt;0,INDEX(Merge_1_2!$P$2:$P$611,$C193),INDEX(Dataset3_Raw!$P$2:$P$391,$E193))</f>
        <v>1</v>
      </c>
      <c r="V193" s="23" t="str">
        <f t="shared" si="13"/>
        <v>Weekend</v>
      </c>
      <c r="W193" s="23" t="str">
        <f>VLOOKUP($M193,Lookups!$A$5:$B$8,2,FALSE())</f>
        <v>Clear / Partly cloudy</v>
      </c>
      <c r="X193" s="23" t="str">
        <f>VLOOKUP($G193,Lookups!$D$5:$E$8,2,FALSE())</f>
        <v>Winter</v>
      </c>
      <c r="Y193" s="23" t="str">
        <f>VLOOKUP($L193,Lookups!$G$5:$H$11,2,FALSE())</f>
        <v>Sunday</v>
      </c>
      <c r="Z193" s="23" t="str">
        <f>IF($J193&lt;Lookups!$B$26,"Night",IF($J193&lt;Lookups!$B$27,"Morning",IF($J193&lt;Lookups!$B$28,"Afternoon","Evening")))</f>
        <v>Morning</v>
      </c>
      <c r="AA193" s="26">
        <f>ROUND($N193*(Lookups!$B$16-Lookups!$B$15)+Lookups!$B$15,1)</f>
        <v>-3.3</v>
      </c>
      <c r="AB193" s="26">
        <f>ROUND($P193*(Lookups!$B$18-Lookups!$B$17)+Lookups!$B$17,1)</f>
        <v>-10</v>
      </c>
      <c r="AC193" s="23">
        <f t="shared" si="14"/>
        <v>49</v>
      </c>
      <c r="AD193" s="23">
        <f>ROUND($R193*Lookups!$B$19,1)</f>
        <v>19</v>
      </c>
      <c r="AE193" s="27">
        <f t="shared" si="15"/>
        <v>1</v>
      </c>
      <c r="AF193" s="23" t="str">
        <f>IF($U193&gt;=Lookups!$B$23,"High",IF($U193&gt;=Lookups!$B$22,"Medium","Low"))</f>
        <v>Low</v>
      </c>
      <c r="AG193" s="23">
        <f>ROUND(IF($V193="Weekday",IF(INDEX(Hourly_Analysis!$D$5:$D$28,$J193+1)&gt;0,($U193-INDEX(Hourly_Analysis!$C$5:$C$28,$J193+1))/INDEX(Hourly_Analysis!$D$5:$D$28,$J193+1),0),IF(INDEX(Hourly_Analysis!$G$5:$G$28,$J193+1)&gt;0,($U193-INDEX(Hourly_Analysis!$F$5:$F$28,$J193+1))/INDEX(Hourly_Analysis!$G$5:$G$28,$J193+1),0)),2)</f>
        <v>-0.97</v>
      </c>
      <c r="AH193" s="23" t="str">
        <f>IF(ABS($AG193)&gt;Lookups!$B$20,IF($AG193&gt;0,"High anomaly","Low anomaly"),"")</f>
        <v/>
      </c>
      <c r="AI193" s="23" t="str">
        <f t="shared" si="16"/>
        <v>OK</v>
      </c>
      <c r="AJ193" s="23" t="str">
        <f t="shared" si="17"/>
        <v>No</v>
      </c>
    </row>
    <row r="194" spans="1:36" x14ac:dyDescent="0.35">
      <c r="A194" s="23">
        <v>193</v>
      </c>
      <c r="B194" s="23" t="str">
        <f t="shared" ref="B194:B257" si="18">IF($C194&gt;0,"Merge 1+2","Dataset 3")</f>
        <v>Merge 1+2</v>
      </c>
      <c r="C194" s="23">
        <f>IFERROR(MATCH($A194,Merge_1_2!$A$2:$A$611,0),0)</f>
        <v>193</v>
      </c>
      <c r="D194" s="23">
        <f>IF($C194&gt;0,INDEX(Merge_1_2!$Q$2:$Q$611,$C194),0)</f>
        <v>193</v>
      </c>
      <c r="E194" s="23">
        <f>IFERROR(MATCH($A194,Dataset3_Raw!$A$2:$A$391,0),0)</f>
        <v>0</v>
      </c>
      <c r="F194" s="24">
        <f>IF($C194&gt;0,INDEX(Merge_1_2!$B$2:$B$611,$C194),DATE(VALUE(RIGHT(INDEX(Dataset3_Raw!$B$2:$B$391,$E194),4)),VALUE(MID(INDEX(Dataset3_Raw!$B$2:$B$391,$E194),4,2)),VALUE(LEFT(INDEX(Dataset3_Raw!$B$2:$B$391,$E194),2))))</f>
        <v>40552</v>
      </c>
      <c r="G194" s="23">
        <f>IF($C194&gt;0,INDEX(Merge_1_2!$C$2:$C$611,$C194),INDEX(Dataset3_Raw!$C$2:$C$391,$E194))</f>
        <v>1</v>
      </c>
      <c r="H194" s="23">
        <f>IF($C194&gt;0,INDEX(Merge_1_2!$D$2:$D$611,$C194),INDEX(Dataset3_Raw!$D$2:$D$391,$E194))</f>
        <v>0</v>
      </c>
      <c r="I194" s="23">
        <f>IF($C194&gt;0,INDEX(Merge_1_2!$E$2:$E$611,$C194),INDEX(Dataset3_Raw!$E$2:$E$391,$E194))</f>
        <v>1</v>
      </c>
      <c r="J194" s="23">
        <f>IF($C194&gt;0,INDEX(Merge_1_2!$F$2:$F$611,$C194),INDEX(Dataset3_Raw!$F$2:$F$391,$E194))</f>
        <v>7</v>
      </c>
      <c r="K194" s="23" t="b">
        <f>IF($C194&gt;0,INDEX(Merge_1_2!$G$2:$G$611,$C194),INDEX(Dataset3_Raw!$G$2:$G$391,$E194))</f>
        <v>0</v>
      </c>
      <c r="L194" s="23">
        <f>IF($C194&gt;0,INDEX(Merge_1_2!$H$2:$H$611,$C194),INDEX(Dataset3_Raw!$H$2:$H$391,$E194))</f>
        <v>0</v>
      </c>
      <c r="M194" s="23">
        <f>IF($C194&gt;0,INDEX(Merge_1_2!$I$2:$I$611,$C194),INDEX(Dataset3_Raw!$I$2:$I$391,$E194))</f>
        <v>1</v>
      </c>
      <c r="N194" s="25">
        <f>IF($C194&gt;0,INDEX(Merge_1_2!$J$2:$J$611,$C194),INDEX(Dataset3_Raw!$J$2:$J$391,$E194))</f>
        <v>0.08</v>
      </c>
      <c r="O194" s="25">
        <f>IF($C194&gt;0,IF(ISNUMBER(INDEX(Merge_1_2!$K$2:$K$611,$C194)),INDEX(Merge_1_2!$K$2:$K$611,$C194),""),INDEX(Dataset3_Raw!$K$2:$K$391,$E194))</f>
        <v>9.0899999999999995E-2</v>
      </c>
      <c r="P194" s="25">
        <f>IF(ISNUMBER($O194),$O194,ROUND(Lookups!$B$25+Lookups!$B$24*$N194,4))</f>
        <v>9.0899999999999995E-2</v>
      </c>
      <c r="Q194" s="25">
        <f>IF($C194&gt;0,INDEX(Merge_1_2!$L$2:$L$611,$C194),INDEX(Dataset3_Raw!$L$2:$L$391,$E194))</f>
        <v>0.53</v>
      </c>
      <c r="R194" s="25">
        <f>IF($C194&gt;0,INDEX(Merge_1_2!$M$2:$M$611,$C194),INDEX(Dataset3_Raw!$M$2:$M$391,$E194))</f>
        <v>0.19400000000000001</v>
      </c>
      <c r="S194" s="23">
        <f>IF($C194&gt;0,INDEX(Merge_1_2!$N$2:$N$611,$C194),INDEX(Dataset3_Raw!$N$2:$N$391,$E194))</f>
        <v>1</v>
      </c>
      <c r="T194" s="23">
        <f>IF($C194&gt;0,INDEX(Merge_1_2!$O$2:$O$611,$C194),INDEX(Dataset3_Raw!$O$2:$O$391,$E194))</f>
        <v>5</v>
      </c>
      <c r="U194" s="23">
        <f>IF($C194&gt;0,INDEX(Merge_1_2!$P$2:$P$611,$C194),INDEX(Dataset3_Raw!$P$2:$P$391,$E194))</f>
        <v>6</v>
      </c>
      <c r="V194" s="23" t="str">
        <f t="shared" ref="V194:V257" si="19">IF($K194,"Holiday",IF(OR($L194=0,$L194=6),"Weekend","Weekday"))</f>
        <v>Weekend</v>
      </c>
      <c r="W194" s="23" t="str">
        <f>VLOOKUP($M194,Lookups!$A$5:$B$8,2,FALSE())</f>
        <v>Clear / Partly cloudy</v>
      </c>
      <c r="X194" s="23" t="str">
        <f>VLOOKUP($G194,Lookups!$D$5:$E$8,2,FALSE())</f>
        <v>Winter</v>
      </c>
      <c r="Y194" s="23" t="str">
        <f>VLOOKUP($L194,Lookups!$G$5:$H$11,2,FALSE())</f>
        <v>Sunday</v>
      </c>
      <c r="Z194" s="23" t="str">
        <f>IF($J194&lt;Lookups!$B$26,"Night",IF($J194&lt;Lookups!$B$27,"Morning",IF($J194&lt;Lookups!$B$28,"Afternoon","Evening")))</f>
        <v>Morning</v>
      </c>
      <c r="AA194" s="26">
        <f>ROUND($N194*(Lookups!$B$16-Lookups!$B$15)+Lookups!$B$15,1)</f>
        <v>-4.2</v>
      </c>
      <c r="AB194" s="26">
        <f>ROUND($P194*(Lookups!$B$18-Lookups!$B$17)+Lookups!$B$17,1)</f>
        <v>-10</v>
      </c>
      <c r="AC194" s="23">
        <f t="shared" ref="AC194:AC257" si="20">ROUND($Q194*100,0)</f>
        <v>53</v>
      </c>
      <c r="AD194" s="23">
        <f>ROUND($R194*Lookups!$B$19,1)</f>
        <v>13</v>
      </c>
      <c r="AE194" s="27">
        <f t="shared" ref="AE194:AE257" si="21">IF($U194&gt;0,$T194/$U194,0)</f>
        <v>0.83333333333333337</v>
      </c>
      <c r="AF194" s="23" t="str">
        <f>IF($U194&gt;=Lookups!$B$23,"High",IF($U194&gt;=Lookups!$B$22,"Medium","Low"))</f>
        <v>Low</v>
      </c>
      <c r="AG194" s="23">
        <f>ROUND(IF($V194="Weekday",IF(INDEX(Hourly_Analysis!$D$5:$D$28,$J194+1)&gt;0,($U194-INDEX(Hourly_Analysis!$C$5:$C$28,$J194+1))/INDEX(Hourly_Analysis!$D$5:$D$28,$J194+1),0),IF(INDEX(Hourly_Analysis!$G$5:$G$28,$J194+1)&gt;0,($U194-INDEX(Hourly_Analysis!$F$5:$F$28,$J194+1))/INDEX(Hourly_Analysis!$G$5:$G$28,$J194+1),0)),2)</f>
        <v>0.02</v>
      </c>
      <c r="AH194" s="23" t="str">
        <f>IF(ABS($AG194)&gt;Lookups!$B$20,IF($AG194&gt;0,"High anomaly","Low anomaly"),"")</f>
        <v/>
      </c>
      <c r="AI194" s="23" t="str">
        <f t="shared" ref="AI194:AI257" si="22">IF($S194+$T194=$U194,"OK","Mismatch")</f>
        <v>OK</v>
      </c>
      <c r="AJ194" s="23" t="str">
        <f t="shared" ref="AJ194:AJ257" si="23">IF(ISNUMBER($O194),"No","Yes")</f>
        <v>No</v>
      </c>
    </row>
    <row r="195" spans="1:36" x14ac:dyDescent="0.35">
      <c r="A195" s="23">
        <v>194</v>
      </c>
      <c r="B195" s="23" t="str">
        <f t="shared" si="18"/>
        <v>Merge 1+2</v>
      </c>
      <c r="C195" s="23">
        <f>IFERROR(MATCH($A195,Merge_1_2!$A$2:$A$611,0),0)</f>
        <v>194</v>
      </c>
      <c r="D195" s="23">
        <f>IF($C195&gt;0,INDEX(Merge_1_2!$Q$2:$Q$611,$C195),0)</f>
        <v>194</v>
      </c>
      <c r="E195" s="23">
        <f>IFERROR(MATCH($A195,Dataset3_Raw!$A$2:$A$391,0),0)</f>
        <v>0</v>
      </c>
      <c r="F195" s="24">
        <f>IF($C195&gt;0,INDEX(Merge_1_2!$B$2:$B$611,$C195),DATE(VALUE(RIGHT(INDEX(Dataset3_Raw!$B$2:$B$391,$E195),4)),VALUE(MID(INDEX(Dataset3_Raw!$B$2:$B$391,$E195),4,2)),VALUE(LEFT(INDEX(Dataset3_Raw!$B$2:$B$391,$E195),2))))</f>
        <v>40552</v>
      </c>
      <c r="G195" s="23">
        <f>IF($C195&gt;0,INDEX(Merge_1_2!$C$2:$C$611,$C195),INDEX(Dataset3_Raw!$C$2:$C$391,$E195))</f>
        <v>1</v>
      </c>
      <c r="H195" s="23">
        <f>IF($C195&gt;0,INDEX(Merge_1_2!$D$2:$D$611,$C195),INDEX(Dataset3_Raw!$D$2:$D$391,$E195))</f>
        <v>0</v>
      </c>
      <c r="I195" s="23">
        <f>IF($C195&gt;0,INDEX(Merge_1_2!$E$2:$E$611,$C195),INDEX(Dataset3_Raw!$E$2:$E$391,$E195))</f>
        <v>1</v>
      </c>
      <c r="J195" s="23">
        <f>IF($C195&gt;0,INDEX(Merge_1_2!$F$2:$F$611,$C195),INDEX(Dataset3_Raw!$F$2:$F$391,$E195))</f>
        <v>8</v>
      </c>
      <c r="K195" s="23" t="b">
        <f>IF($C195&gt;0,INDEX(Merge_1_2!$G$2:$G$611,$C195),INDEX(Dataset3_Raw!$G$2:$G$391,$E195))</f>
        <v>0</v>
      </c>
      <c r="L195" s="23">
        <f>IF($C195&gt;0,INDEX(Merge_1_2!$H$2:$H$611,$C195),INDEX(Dataset3_Raw!$H$2:$H$391,$E195))</f>
        <v>0</v>
      </c>
      <c r="M195" s="23">
        <f>IF($C195&gt;0,INDEX(Merge_1_2!$I$2:$I$611,$C195),INDEX(Dataset3_Raw!$I$2:$I$391,$E195))</f>
        <v>1</v>
      </c>
      <c r="N195" s="25">
        <f>IF($C195&gt;0,INDEX(Merge_1_2!$J$2:$J$611,$C195),INDEX(Dataset3_Raw!$J$2:$J$391,$E195))</f>
        <v>0.1</v>
      </c>
      <c r="O195" s="25">
        <f>IF($C195&gt;0,IF(ISNUMBER(INDEX(Merge_1_2!$K$2:$K$611,$C195)),INDEX(Merge_1_2!$K$2:$K$611,$C195),""),INDEX(Dataset3_Raw!$K$2:$K$391,$E195))</f>
        <v>9.0899999999999995E-2</v>
      </c>
      <c r="P195" s="25">
        <f>IF(ISNUMBER($O195),$O195,ROUND(Lookups!$B$25+Lookups!$B$24*$N195,4))</f>
        <v>9.0899999999999995E-2</v>
      </c>
      <c r="Q195" s="25">
        <f>IF($C195&gt;0,INDEX(Merge_1_2!$L$2:$L$611,$C195),INDEX(Dataset3_Raw!$L$2:$L$391,$E195))</f>
        <v>0.49</v>
      </c>
      <c r="R195" s="25">
        <f>IF($C195&gt;0,INDEX(Merge_1_2!$M$2:$M$611,$C195),INDEX(Dataset3_Raw!$M$2:$M$391,$E195))</f>
        <v>0.28360000000000002</v>
      </c>
      <c r="S195" s="23">
        <f>IF($C195&gt;0,INDEX(Merge_1_2!$N$2:$N$611,$C195),INDEX(Dataset3_Raw!$N$2:$N$391,$E195))</f>
        <v>0</v>
      </c>
      <c r="T195" s="23">
        <f>IF($C195&gt;0,INDEX(Merge_1_2!$O$2:$O$611,$C195),INDEX(Dataset3_Raw!$O$2:$O$391,$E195))</f>
        <v>10</v>
      </c>
      <c r="U195" s="23">
        <f>IF($C195&gt;0,INDEX(Merge_1_2!$P$2:$P$611,$C195),INDEX(Dataset3_Raw!$P$2:$P$391,$E195))</f>
        <v>10</v>
      </c>
      <c r="V195" s="23" t="str">
        <f t="shared" si="19"/>
        <v>Weekend</v>
      </c>
      <c r="W195" s="23" t="str">
        <f>VLOOKUP($M195,Lookups!$A$5:$B$8,2,FALSE())</f>
        <v>Clear / Partly cloudy</v>
      </c>
      <c r="X195" s="23" t="str">
        <f>VLOOKUP($G195,Lookups!$D$5:$E$8,2,FALSE())</f>
        <v>Winter</v>
      </c>
      <c r="Y195" s="23" t="str">
        <f>VLOOKUP($L195,Lookups!$G$5:$H$11,2,FALSE())</f>
        <v>Sunday</v>
      </c>
      <c r="Z195" s="23" t="str">
        <f>IF($J195&lt;Lookups!$B$26,"Night",IF($J195&lt;Lookups!$B$27,"Morning",IF($J195&lt;Lookups!$B$28,"Afternoon","Evening")))</f>
        <v>Morning</v>
      </c>
      <c r="AA195" s="26">
        <f>ROUND($N195*(Lookups!$B$16-Lookups!$B$15)+Lookups!$B$15,1)</f>
        <v>-3.3</v>
      </c>
      <c r="AB195" s="26">
        <f>ROUND($P195*(Lookups!$B$18-Lookups!$B$17)+Lookups!$B$17,1)</f>
        <v>-10</v>
      </c>
      <c r="AC195" s="23">
        <f t="shared" si="20"/>
        <v>49</v>
      </c>
      <c r="AD195" s="23">
        <f>ROUND($R195*Lookups!$B$19,1)</f>
        <v>19</v>
      </c>
      <c r="AE195" s="27">
        <f t="shared" si="21"/>
        <v>1</v>
      </c>
      <c r="AF195" s="23" t="str">
        <f>IF($U195&gt;=Lookups!$B$23,"High",IF($U195&gt;=Lookups!$B$22,"Medium","Low"))</f>
        <v>Low</v>
      </c>
      <c r="AG195" s="23">
        <f>ROUND(IF($V195="Weekday",IF(INDEX(Hourly_Analysis!$D$5:$D$28,$J195+1)&gt;0,($U195-INDEX(Hourly_Analysis!$C$5:$C$28,$J195+1))/INDEX(Hourly_Analysis!$D$5:$D$28,$J195+1),0),IF(INDEX(Hourly_Analysis!$G$5:$G$28,$J195+1)&gt;0,($U195-INDEX(Hourly_Analysis!$F$5:$F$28,$J195+1))/INDEX(Hourly_Analysis!$G$5:$G$28,$J195+1),0)),2)</f>
        <v>-0.97</v>
      </c>
      <c r="AH195" s="23" t="str">
        <f>IF(ABS($AG195)&gt;Lookups!$B$20,IF($AG195&gt;0,"High anomaly","Low anomaly"),"")</f>
        <v/>
      </c>
      <c r="AI195" s="23" t="str">
        <f t="shared" si="22"/>
        <v>OK</v>
      </c>
      <c r="AJ195" s="23" t="str">
        <f t="shared" si="23"/>
        <v>No</v>
      </c>
    </row>
    <row r="196" spans="1:36" x14ac:dyDescent="0.35">
      <c r="A196" s="23">
        <v>195</v>
      </c>
      <c r="B196" s="23" t="str">
        <f t="shared" si="18"/>
        <v>Merge 1+2</v>
      </c>
      <c r="C196" s="23">
        <f>IFERROR(MATCH($A196,Merge_1_2!$A$2:$A$611,0),0)</f>
        <v>195</v>
      </c>
      <c r="D196" s="23">
        <f>IF($C196&gt;0,INDEX(Merge_1_2!$Q$2:$Q$611,$C196),0)</f>
        <v>195</v>
      </c>
      <c r="E196" s="23">
        <f>IFERROR(MATCH($A196,Dataset3_Raw!$A$2:$A$391,0),0)</f>
        <v>0</v>
      </c>
      <c r="F196" s="24">
        <f>IF($C196&gt;0,INDEX(Merge_1_2!$B$2:$B$611,$C196),DATE(VALUE(RIGHT(INDEX(Dataset3_Raw!$B$2:$B$391,$E196),4)),VALUE(MID(INDEX(Dataset3_Raw!$B$2:$B$391,$E196),4,2)),VALUE(LEFT(INDEX(Dataset3_Raw!$B$2:$B$391,$E196),2))))</f>
        <v>40552</v>
      </c>
      <c r="G196" s="23">
        <f>IF($C196&gt;0,INDEX(Merge_1_2!$C$2:$C$611,$C196),INDEX(Dataset3_Raw!$C$2:$C$391,$E196))</f>
        <v>1</v>
      </c>
      <c r="H196" s="23">
        <f>IF($C196&gt;0,INDEX(Merge_1_2!$D$2:$D$611,$C196),INDEX(Dataset3_Raw!$D$2:$D$391,$E196))</f>
        <v>0</v>
      </c>
      <c r="I196" s="23">
        <f>IF($C196&gt;0,INDEX(Merge_1_2!$E$2:$E$611,$C196),INDEX(Dataset3_Raw!$E$2:$E$391,$E196))</f>
        <v>1</v>
      </c>
      <c r="J196" s="23">
        <f>IF($C196&gt;0,INDEX(Merge_1_2!$F$2:$F$611,$C196),INDEX(Dataset3_Raw!$F$2:$F$391,$E196))</f>
        <v>9</v>
      </c>
      <c r="K196" s="23" t="b">
        <f>IF($C196&gt;0,INDEX(Merge_1_2!$G$2:$G$611,$C196),INDEX(Dataset3_Raw!$G$2:$G$391,$E196))</f>
        <v>0</v>
      </c>
      <c r="L196" s="23">
        <f>IF($C196&gt;0,INDEX(Merge_1_2!$H$2:$H$611,$C196),INDEX(Dataset3_Raw!$H$2:$H$391,$E196))</f>
        <v>0</v>
      </c>
      <c r="M196" s="23">
        <f>IF($C196&gt;0,INDEX(Merge_1_2!$I$2:$I$611,$C196),INDEX(Dataset3_Raw!$I$2:$I$391,$E196))</f>
        <v>1</v>
      </c>
      <c r="N196" s="25">
        <f>IF($C196&gt;0,INDEX(Merge_1_2!$J$2:$J$611,$C196),INDEX(Dataset3_Raw!$J$2:$J$391,$E196))</f>
        <v>0.12</v>
      </c>
      <c r="O196" s="25">
        <f>IF($C196&gt;0,IF(ISNUMBER(INDEX(Merge_1_2!$K$2:$K$611,$C196)),INDEX(Merge_1_2!$K$2:$K$611,$C196),""),INDEX(Dataset3_Raw!$K$2:$K$391,$E196))</f>
        <v>7.5800000000000006E-2</v>
      </c>
      <c r="P196" s="25">
        <f>IF(ISNUMBER($O196),$O196,ROUND(Lookups!$B$25+Lookups!$B$24*$N196,4))</f>
        <v>7.5800000000000006E-2</v>
      </c>
      <c r="Q196" s="25">
        <f>IF($C196&gt;0,INDEX(Merge_1_2!$L$2:$L$611,$C196),INDEX(Dataset3_Raw!$L$2:$L$391,$E196))</f>
        <v>0.46</v>
      </c>
      <c r="R196" s="25">
        <f>IF($C196&gt;0,INDEX(Merge_1_2!$M$2:$M$611,$C196),INDEX(Dataset3_Raw!$M$2:$M$391,$E196))</f>
        <v>0.52239999999999998</v>
      </c>
      <c r="S196" s="23">
        <f>IF($C196&gt;0,INDEX(Merge_1_2!$N$2:$N$611,$C196),INDEX(Dataset3_Raw!$N$2:$N$391,$E196))</f>
        <v>0</v>
      </c>
      <c r="T196" s="23">
        <f>IF($C196&gt;0,INDEX(Merge_1_2!$O$2:$O$611,$C196),INDEX(Dataset3_Raw!$O$2:$O$391,$E196))</f>
        <v>19</v>
      </c>
      <c r="U196" s="23">
        <f>IF($C196&gt;0,INDEX(Merge_1_2!$P$2:$P$611,$C196),INDEX(Dataset3_Raw!$P$2:$P$391,$E196))</f>
        <v>19</v>
      </c>
      <c r="V196" s="23" t="str">
        <f t="shared" si="19"/>
        <v>Weekend</v>
      </c>
      <c r="W196" s="23" t="str">
        <f>VLOOKUP($M196,Lookups!$A$5:$B$8,2,FALSE())</f>
        <v>Clear / Partly cloudy</v>
      </c>
      <c r="X196" s="23" t="str">
        <f>VLOOKUP($G196,Lookups!$D$5:$E$8,2,FALSE())</f>
        <v>Winter</v>
      </c>
      <c r="Y196" s="23" t="str">
        <f>VLOOKUP($L196,Lookups!$G$5:$H$11,2,FALSE())</f>
        <v>Sunday</v>
      </c>
      <c r="Z196" s="23" t="str">
        <f>IF($J196&lt;Lookups!$B$26,"Night",IF($J196&lt;Lookups!$B$27,"Morning",IF($J196&lt;Lookups!$B$28,"Afternoon","Evening")))</f>
        <v>Morning</v>
      </c>
      <c r="AA196" s="26">
        <f>ROUND($N196*(Lookups!$B$16-Lookups!$B$15)+Lookups!$B$15,1)</f>
        <v>-2.4</v>
      </c>
      <c r="AB196" s="26">
        <f>ROUND($P196*(Lookups!$B$18-Lookups!$B$17)+Lookups!$B$17,1)</f>
        <v>-11</v>
      </c>
      <c r="AC196" s="23">
        <f t="shared" si="20"/>
        <v>46</v>
      </c>
      <c r="AD196" s="23">
        <f>ROUND($R196*Lookups!$B$19,1)</f>
        <v>35</v>
      </c>
      <c r="AE196" s="27">
        <f t="shared" si="21"/>
        <v>1</v>
      </c>
      <c r="AF196" s="23" t="str">
        <f>IF($U196&gt;=Lookups!$B$23,"High",IF($U196&gt;=Lookups!$B$22,"Medium","Low"))</f>
        <v>Medium</v>
      </c>
      <c r="AG196" s="23">
        <f>ROUND(IF($V196="Weekday",IF(INDEX(Hourly_Analysis!$D$5:$D$28,$J196+1)&gt;0,($U196-INDEX(Hourly_Analysis!$C$5:$C$28,$J196+1))/INDEX(Hourly_Analysis!$D$5:$D$28,$J196+1),0),IF(INDEX(Hourly_Analysis!$G$5:$G$28,$J196+1)&gt;0,($U196-INDEX(Hourly_Analysis!$F$5:$F$28,$J196+1))/INDEX(Hourly_Analysis!$G$5:$G$28,$J196+1),0)),2)</f>
        <v>-1.1499999999999999</v>
      </c>
      <c r="AH196" s="23" t="str">
        <f>IF(ABS($AG196)&gt;Lookups!$B$20,IF($AG196&gt;0,"High anomaly","Low anomaly"),"")</f>
        <v/>
      </c>
      <c r="AI196" s="23" t="str">
        <f t="shared" si="22"/>
        <v>OK</v>
      </c>
      <c r="AJ196" s="23" t="str">
        <f t="shared" si="23"/>
        <v>No</v>
      </c>
    </row>
    <row r="197" spans="1:36" x14ac:dyDescent="0.35">
      <c r="A197" s="23">
        <v>196</v>
      </c>
      <c r="B197" s="23" t="str">
        <f t="shared" si="18"/>
        <v>Merge 1+2</v>
      </c>
      <c r="C197" s="23">
        <f>IFERROR(MATCH($A197,Merge_1_2!$A$2:$A$611,0),0)</f>
        <v>196</v>
      </c>
      <c r="D197" s="23">
        <f>IF($C197&gt;0,INDEX(Merge_1_2!$Q$2:$Q$611,$C197),0)</f>
        <v>196</v>
      </c>
      <c r="E197" s="23">
        <f>IFERROR(MATCH($A197,Dataset3_Raw!$A$2:$A$391,0),0)</f>
        <v>0</v>
      </c>
      <c r="F197" s="24">
        <f>IF($C197&gt;0,INDEX(Merge_1_2!$B$2:$B$611,$C197),DATE(VALUE(RIGHT(INDEX(Dataset3_Raw!$B$2:$B$391,$E197),4)),VALUE(MID(INDEX(Dataset3_Raw!$B$2:$B$391,$E197),4,2)),VALUE(LEFT(INDEX(Dataset3_Raw!$B$2:$B$391,$E197),2))))</f>
        <v>40552</v>
      </c>
      <c r="G197" s="23">
        <f>IF($C197&gt;0,INDEX(Merge_1_2!$C$2:$C$611,$C197),INDEX(Dataset3_Raw!$C$2:$C$391,$E197))</f>
        <v>1</v>
      </c>
      <c r="H197" s="23">
        <f>IF($C197&gt;0,INDEX(Merge_1_2!$D$2:$D$611,$C197),INDEX(Dataset3_Raw!$D$2:$D$391,$E197))</f>
        <v>0</v>
      </c>
      <c r="I197" s="23">
        <f>IF($C197&gt;0,INDEX(Merge_1_2!$E$2:$E$611,$C197),INDEX(Dataset3_Raw!$E$2:$E$391,$E197))</f>
        <v>1</v>
      </c>
      <c r="J197" s="23">
        <f>IF($C197&gt;0,INDEX(Merge_1_2!$F$2:$F$611,$C197),INDEX(Dataset3_Raw!$F$2:$F$391,$E197))</f>
        <v>10</v>
      </c>
      <c r="K197" s="23" t="b">
        <f>IF($C197&gt;0,INDEX(Merge_1_2!$G$2:$G$611,$C197),INDEX(Dataset3_Raw!$G$2:$G$391,$E197))</f>
        <v>0</v>
      </c>
      <c r="L197" s="23">
        <f>IF($C197&gt;0,INDEX(Merge_1_2!$H$2:$H$611,$C197),INDEX(Dataset3_Raw!$H$2:$H$391,$E197))</f>
        <v>0</v>
      </c>
      <c r="M197" s="23">
        <f>IF($C197&gt;0,INDEX(Merge_1_2!$I$2:$I$611,$C197),INDEX(Dataset3_Raw!$I$2:$I$391,$E197))</f>
        <v>1</v>
      </c>
      <c r="N197" s="25">
        <f>IF($C197&gt;0,INDEX(Merge_1_2!$J$2:$J$611,$C197),INDEX(Dataset3_Raw!$J$2:$J$391,$E197))</f>
        <v>0.14000000000000001</v>
      </c>
      <c r="O197" s="25">
        <f>IF($C197&gt;0,IF(ISNUMBER(INDEX(Merge_1_2!$K$2:$K$611,$C197)),INDEX(Merge_1_2!$K$2:$K$611,$C197),""),INDEX(Dataset3_Raw!$K$2:$K$391,$E197))</f>
        <v>0.1061</v>
      </c>
      <c r="P197" s="25">
        <f>IF(ISNUMBER($O197),$O197,ROUND(Lookups!$B$25+Lookups!$B$24*$N197,4))</f>
        <v>0.1061</v>
      </c>
      <c r="Q197" s="25">
        <f>IF($C197&gt;0,INDEX(Merge_1_2!$L$2:$L$611,$C197),INDEX(Dataset3_Raw!$L$2:$L$391,$E197))</f>
        <v>0.43</v>
      </c>
      <c r="R197" s="25">
        <f>IF($C197&gt;0,INDEX(Merge_1_2!$M$2:$M$611,$C197),INDEX(Dataset3_Raw!$M$2:$M$391,$E197))</f>
        <v>0.3881</v>
      </c>
      <c r="S197" s="23">
        <f>IF($C197&gt;0,INDEX(Merge_1_2!$N$2:$N$611,$C197),INDEX(Dataset3_Raw!$N$2:$N$391,$E197))</f>
        <v>0</v>
      </c>
      <c r="T197" s="23">
        <f>IF($C197&gt;0,INDEX(Merge_1_2!$O$2:$O$611,$C197),INDEX(Dataset3_Raw!$O$2:$O$391,$E197))</f>
        <v>49</v>
      </c>
      <c r="U197" s="23">
        <f>IF($C197&gt;0,INDEX(Merge_1_2!$P$2:$P$611,$C197),INDEX(Dataset3_Raw!$P$2:$P$391,$E197))</f>
        <v>49</v>
      </c>
      <c r="V197" s="23" t="str">
        <f t="shared" si="19"/>
        <v>Weekend</v>
      </c>
      <c r="W197" s="23" t="str">
        <f>VLOOKUP($M197,Lookups!$A$5:$B$8,2,FALSE())</f>
        <v>Clear / Partly cloudy</v>
      </c>
      <c r="X197" s="23" t="str">
        <f>VLOOKUP($G197,Lookups!$D$5:$E$8,2,FALSE())</f>
        <v>Winter</v>
      </c>
      <c r="Y197" s="23" t="str">
        <f>VLOOKUP($L197,Lookups!$G$5:$H$11,2,FALSE())</f>
        <v>Sunday</v>
      </c>
      <c r="Z197" s="23" t="str">
        <f>IF($J197&lt;Lookups!$B$26,"Night",IF($J197&lt;Lookups!$B$27,"Morning",IF($J197&lt;Lookups!$B$28,"Afternoon","Evening")))</f>
        <v>Morning</v>
      </c>
      <c r="AA197" s="26">
        <f>ROUND($N197*(Lookups!$B$16-Lookups!$B$15)+Lookups!$B$15,1)</f>
        <v>-1.4</v>
      </c>
      <c r="AB197" s="26">
        <f>ROUND($P197*(Lookups!$B$18-Lookups!$B$17)+Lookups!$B$17,1)</f>
        <v>-9</v>
      </c>
      <c r="AC197" s="23">
        <f t="shared" si="20"/>
        <v>43</v>
      </c>
      <c r="AD197" s="23">
        <f>ROUND($R197*Lookups!$B$19,1)</f>
        <v>26</v>
      </c>
      <c r="AE197" s="27">
        <f t="shared" si="21"/>
        <v>1</v>
      </c>
      <c r="AF197" s="23" t="str">
        <f>IF($U197&gt;=Lookups!$B$23,"High",IF($U197&gt;=Lookups!$B$22,"Medium","Low"))</f>
        <v>Medium</v>
      </c>
      <c r="AG197" s="23">
        <f>ROUND(IF($V197="Weekday",IF(INDEX(Hourly_Analysis!$D$5:$D$28,$J197+1)&gt;0,($U197-INDEX(Hourly_Analysis!$C$5:$C$28,$J197+1))/INDEX(Hourly_Analysis!$D$5:$D$28,$J197+1),0),IF(INDEX(Hourly_Analysis!$G$5:$G$28,$J197+1)&gt;0,($U197-INDEX(Hourly_Analysis!$F$5:$F$28,$J197+1))/INDEX(Hourly_Analysis!$G$5:$G$28,$J197+1),0)),2)</f>
        <v>-0.69</v>
      </c>
      <c r="AH197" s="23" t="str">
        <f>IF(ABS($AG197)&gt;Lookups!$B$20,IF($AG197&gt;0,"High anomaly","Low anomaly"),"")</f>
        <v/>
      </c>
      <c r="AI197" s="23" t="str">
        <f t="shared" si="22"/>
        <v>OK</v>
      </c>
      <c r="AJ197" s="23" t="str">
        <f t="shared" si="23"/>
        <v>No</v>
      </c>
    </row>
    <row r="198" spans="1:36" x14ac:dyDescent="0.35">
      <c r="A198" s="23">
        <v>197</v>
      </c>
      <c r="B198" s="23" t="str">
        <f t="shared" si="18"/>
        <v>Merge 1+2</v>
      </c>
      <c r="C198" s="23">
        <f>IFERROR(MATCH($A198,Merge_1_2!$A$2:$A$611,0),0)</f>
        <v>197</v>
      </c>
      <c r="D198" s="23">
        <f>IF($C198&gt;0,INDEX(Merge_1_2!$Q$2:$Q$611,$C198),0)</f>
        <v>197</v>
      </c>
      <c r="E198" s="23">
        <f>IFERROR(MATCH($A198,Dataset3_Raw!$A$2:$A$391,0),0)</f>
        <v>0</v>
      </c>
      <c r="F198" s="24">
        <f>IF($C198&gt;0,INDEX(Merge_1_2!$B$2:$B$611,$C198),DATE(VALUE(RIGHT(INDEX(Dataset3_Raw!$B$2:$B$391,$E198),4)),VALUE(MID(INDEX(Dataset3_Raw!$B$2:$B$391,$E198),4,2)),VALUE(LEFT(INDEX(Dataset3_Raw!$B$2:$B$391,$E198),2))))</f>
        <v>40552</v>
      </c>
      <c r="G198" s="23">
        <f>IF($C198&gt;0,INDEX(Merge_1_2!$C$2:$C$611,$C198),INDEX(Dataset3_Raw!$C$2:$C$391,$E198))</f>
        <v>1</v>
      </c>
      <c r="H198" s="23">
        <f>IF($C198&gt;0,INDEX(Merge_1_2!$D$2:$D$611,$C198),INDEX(Dataset3_Raw!$D$2:$D$391,$E198))</f>
        <v>0</v>
      </c>
      <c r="I198" s="23">
        <f>IF($C198&gt;0,INDEX(Merge_1_2!$E$2:$E$611,$C198),INDEX(Dataset3_Raw!$E$2:$E$391,$E198))</f>
        <v>1</v>
      </c>
      <c r="J198" s="23">
        <f>IF($C198&gt;0,INDEX(Merge_1_2!$F$2:$F$611,$C198),INDEX(Dataset3_Raw!$F$2:$F$391,$E198))</f>
        <v>11</v>
      </c>
      <c r="K198" s="23" t="b">
        <f>IF($C198&gt;0,INDEX(Merge_1_2!$G$2:$G$611,$C198),INDEX(Dataset3_Raw!$G$2:$G$391,$E198))</f>
        <v>0</v>
      </c>
      <c r="L198" s="23">
        <f>IF($C198&gt;0,INDEX(Merge_1_2!$H$2:$H$611,$C198),INDEX(Dataset3_Raw!$H$2:$H$391,$E198))</f>
        <v>0</v>
      </c>
      <c r="M198" s="23">
        <f>IF($C198&gt;0,INDEX(Merge_1_2!$I$2:$I$611,$C198),INDEX(Dataset3_Raw!$I$2:$I$391,$E198))</f>
        <v>1</v>
      </c>
      <c r="N198" s="25">
        <f>IF($C198&gt;0,INDEX(Merge_1_2!$J$2:$J$611,$C198),INDEX(Dataset3_Raw!$J$2:$J$391,$E198))</f>
        <v>0.16</v>
      </c>
      <c r="O198" s="25">
        <f>IF($C198&gt;0,IF(ISNUMBER(INDEX(Merge_1_2!$K$2:$K$611,$C198)),INDEX(Merge_1_2!$K$2:$K$611,$C198),""),INDEX(Dataset3_Raw!$K$2:$K$391,$E198))</f>
        <v>0.1212</v>
      </c>
      <c r="P198" s="25">
        <f>IF(ISNUMBER($O198),$O198,ROUND(Lookups!$B$25+Lookups!$B$24*$N198,4))</f>
        <v>0.1212</v>
      </c>
      <c r="Q198" s="25">
        <f>IF($C198&gt;0,INDEX(Merge_1_2!$L$2:$L$611,$C198),INDEX(Dataset3_Raw!$L$2:$L$391,$E198))</f>
        <v>0.4</v>
      </c>
      <c r="R198" s="25">
        <f>IF($C198&gt;0,INDEX(Merge_1_2!$M$2:$M$611,$C198),INDEX(Dataset3_Raw!$M$2:$M$391,$E198))</f>
        <v>0.52239999999999998</v>
      </c>
      <c r="S198" s="23">
        <f>IF($C198&gt;0,INDEX(Merge_1_2!$N$2:$N$611,$C198),INDEX(Dataset3_Raw!$N$2:$N$391,$E198))</f>
        <v>2</v>
      </c>
      <c r="T198" s="23">
        <f>IF($C198&gt;0,INDEX(Merge_1_2!$O$2:$O$611,$C198),INDEX(Dataset3_Raw!$O$2:$O$391,$E198))</f>
        <v>47</v>
      </c>
      <c r="U198" s="23">
        <f>IF($C198&gt;0,INDEX(Merge_1_2!$P$2:$P$611,$C198),INDEX(Dataset3_Raw!$P$2:$P$391,$E198))</f>
        <v>49</v>
      </c>
      <c r="V198" s="23" t="str">
        <f t="shared" si="19"/>
        <v>Weekend</v>
      </c>
      <c r="W198" s="23" t="str">
        <f>VLOOKUP($M198,Lookups!$A$5:$B$8,2,FALSE())</f>
        <v>Clear / Partly cloudy</v>
      </c>
      <c r="X198" s="23" t="str">
        <f>VLOOKUP($G198,Lookups!$D$5:$E$8,2,FALSE())</f>
        <v>Winter</v>
      </c>
      <c r="Y198" s="23" t="str">
        <f>VLOOKUP($L198,Lookups!$G$5:$H$11,2,FALSE())</f>
        <v>Sunday</v>
      </c>
      <c r="Z198" s="23" t="str">
        <f>IF($J198&lt;Lookups!$B$26,"Night",IF($J198&lt;Lookups!$B$27,"Morning",IF($J198&lt;Lookups!$B$28,"Afternoon","Evening")))</f>
        <v>Morning</v>
      </c>
      <c r="AA198" s="26">
        <f>ROUND($N198*(Lookups!$B$16-Lookups!$B$15)+Lookups!$B$15,1)</f>
        <v>-0.5</v>
      </c>
      <c r="AB198" s="26">
        <f>ROUND($P198*(Lookups!$B$18-Lookups!$B$17)+Lookups!$B$17,1)</f>
        <v>-8</v>
      </c>
      <c r="AC198" s="23">
        <f t="shared" si="20"/>
        <v>40</v>
      </c>
      <c r="AD198" s="23">
        <f>ROUND($R198*Lookups!$B$19,1)</f>
        <v>35</v>
      </c>
      <c r="AE198" s="27">
        <f t="shared" si="21"/>
        <v>0.95918367346938771</v>
      </c>
      <c r="AF198" s="23" t="str">
        <f>IF($U198&gt;=Lookups!$B$23,"High",IF($U198&gt;=Lookups!$B$22,"Medium","Low"))</f>
        <v>Medium</v>
      </c>
      <c r="AG198" s="23">
        <f>ROUND(IF($V198="Weekday",IF(INDEX(Hourly_Analysis!$D$5:$D$28,$J198+1)&gt;0,($U198-INDEX(Hourly_Analysis!$C$5:$C$28,$J198+1))/INDEX(Hourly_Analysis!$D$5:$D$28,$J198+1),0),IF(INDEX(Hourly_Analysis!$G$5:$G$28,$J198+1)&gt;0,($U198-INDEX(Hourly_Analysis!$F$5:$F$28,$J198+1))/INDEX(Hourly_Analysis!$G$5:$G$28,$J198+1),0)),2)</f>
        <v>-1.1200000000000001</v>
      </c>
      <c r="AH198" s="23" t="str">
        <f>IF(ABS($AG198)&gt;Lookups!$B$20,IF($AG198&gt;0,"High anomaly","Low anomaly"),"")</f>
        <v/>
      </c>
      <c r="AI198" s="23" t="str">
        <f t="shared" si="22"/>
        <v>OK</v>
      </c>
      <c r="AJ198" s="23" t="str">
        <f t="shared" si="23"/>
        <v>No</v>
      </c>
    </row>
    <row r="199" spans="1:36" x14ac:dyDescent="0.35">
      <c r="A199" s="23">
        <v>198</v>
      </c>
      <c r="B199" s="23" t="str">
        <f t="shared" si="18"/>
        <v>Merge 1+2</v>
      </c>
      <c r="C199" s="23">
        <f>IFERROR(MATCH($A199,Merge_1_2!$A$2:$A$611,0),0)</f>
        <v>198</v>
      </c>
      <c r="D199" s="23">
        <f>IF($C199&gt;0,INDEX(Merge_1_2!$Q$2:$Q$611,$C199),0)</f>
        <v>198</v>
      </c>
      <c r="E199" s="23">
        <f>IFERROR(MATCH($A199,Dataset3_Raw!$A$2:$A$391,0),0)</f>
        <v>0</v>
      </c>
      <c r="F199" s="24">
        <f>IF($C199&gt;0,INDEX(Merge_1_2!$B$2:$B$611,$C199),DATE(VALUE(RIGHT(INDEX(Dataset3_Raw!$B$2:$B$391,$E199),4)),VALUE(MID(INDEX(Dataset3_Raw!$B$2:$B$391,$E199),4,2)),VALUE(LEFT(INDEX(Dataset3_Raw!$B$2:$B$391,$E199),2))))</f>
        <v>40552</v>
      </c>
      <c r="G199" s="23">
        <f>IF($C199&gt;0,INDEX(Merge_1_2!$C$2:$C$611,$C199),INDEX(Dataset3_Raw!$C$2:$C$391,$E199))</f>
        <v>1</v>
      </c>
      <c r="H199" s="23">
        <f>IF($C199&gt;0,INDEX(Merge_1_2!$D$2:$D$611,$C199),INDEX(Dataset3_Raw!$D$2:$D$391,$E199))</f>
        <v>0</v>
      </c>
      <c r="I199" s="23">
        <f>IF($C199&gt;0,INDEX(Merge_1_2!$E$2:$E$611,$C199),INDEX(Dataset3_Raw!$E$2:$E$391,$E199))</f>
        <v>1</v>
      </c>
      <c r="J199" s="23">
        <f>IF($C199&gt;0,INDEX(Merge_1_2!$F$2:$F$611,$C199),INDEX(Dataset3_Raw!$F$2:$F$391,$E199))</f>
        <v>12</v>
      </c>
      <c r="K199" s="23" t="b">
        <f>IF($C199&gt;0,INDEX(Merge_1_2!$G$2:$G$611,$C199),INDEX(Dataset3_Raw!$G$2:$G$391,$E199))</f>
        <v>0</v>
      </c>
      <c r="L199" s="23">
        <f>IF($C199&gt;0,INDEX(Merge_1_2!$H$2:$H$611,$C199),INDEX(Dataset3_Raw!$H$2:$H$391,$E199))</f>
        <v>0</v>
      </c>
      <c r="M199" s="23">
        <f>IF($C199&gt;0,INDEX(Merge_1_2!$I$2:$I$611,$C199),INDEX(Dataset3_Raw!$I$2:$I$391,$E199))</f>
        <v>1</v>
      </c>
      <c r="N199" s="25">
        <f>IF($C199&gt;0,INDEX(Merge_1_2!$J$2:$J$611,$C199),INDEX(Dataset3_Raw!$J$2:$J$391,$E199))</f>
        <v>0.18</v>
      </c>
      <c r="O199" s="25">
        <f>IF($C199&gt;0,IF(ISNUMBER(INDEX(Merge_1_2!$K$2:$K$611,$C199)),INDEX(Merge_1_2!$K$2:$K$611,$C199),""),INDEX(Dataset3_Raw!$K$2:$K$391,$E199))</f>
        <v>0.13639999999999999</v>
      </c>
      <c r="P199" s="25">
        <f>IF(ISNUMBER($O199),$O199,ROUND(Lookups!$B$25+Lookups!$B$24*$N199,4))</f>
        <v>0.13639999999999999</v>
      </c>
      <c r="Q199" s="25">
        <f>IF($C199&gt;0,INDEX(Merge_1_2!$L$2:$L$611,$C199),INDEX(Dataset3_Raw!$L$2:$L$391,$E199))</f>
        <v>0.37</v>
      </c>
      <c r="R199" s="25">
        <f>IF($C199&gt;0,INDEX(Merge_1_2!$M$2:$M$611,$C199),INDEX(Dataset3_Raw!$M$2:$M$391,$E199))</f>
        <v>0.44779999999999998</v>
      </c>
      <c r="S199" s="23">
        <f>IF($C199&gt;0,INDEX(Merge_1_2!$N$2:$N$611,$C199),INDEX(Dataset3_Raw!$N$2:$N$391,$E199))</f>
        <v>4</v>
      </c>
      <c r="T199" s="23">
        <f>IF($C199&gt;0,INDEX(Merge_1_2!$O$2:$O$611,$C199),INDEX(Dataset3_Raw!$O$2:$O$391,$E199))</f>
        <v>79</v>
      </c>
      <c r="U199" s="23">
        <f>IF($C199&gt;0,INDEX(Merge_1_2!$P$2:$P$611,$C199),INDEX(Dataset3_Raw!$P$2:$P$391,$E199))</f>
        <v>83</v>
      </c>
      <c r="V199" s="23" t="str">
        <f t="shared" si="19"/>
        <v>Weekend</v>
      </c>
      <c r="W199" s="23" t="str">
        <f>VLOOKUP($M199,Lookups!$A$5:$B$8,2,FALSE())</f>
        <v>Clear / Partly cloudy</v>
      </c>
      <c r="X199" s="23" t="str">
        <f>VLOOKUP($G199,Lookups!$D$5:$E$8,2,FALSE())</f>
        <v>Winter</v>
      </c>
      <c r="Y199" s="23" t="str">
        <f>VLOOKUP($L199,Lookups!$G$5:$H$11,2,FALSE())</f>
        <v>Sunday</v>
      </c>
      <c r="Z199" s="23" t="str">
        <f>IF($J199&lt;Lookups!$B$26,"Night",IF($J199&lt;Lookups!$B$27,"Morning",IF($J199&lt;Lookups!$B$28,"Afternoon","Evening")))</f>
        <v>Afternoon</v>
      </c>
      <c r="AA199" s="26">
        <f>ROUND($N199*(Lookups!$B$16-Lookups!$B$15)+Lookups!$B$15,1)</f>
        <v>0.5</v>
      </c>
      <c r="AB199" s="26">
        <f>ROUND($P199*(Lookups!$B$18-Lookups!$B$17)+Lookups!$B$17,1)</f>
        <v>-7</v>
      </c>
      <c r="AC199" s="23">
        <f t="shared" si="20"/>
        <v>37</v>
      </c>
      <c r="AD199" s="23">
        <f>ROUND($R199*Lookups!$B$19,1)</f>
        <v>30</v>
      </c>
      <c r="AE199" s="27">
        <f t="shared" si="21"/>
        <v>0.95180722891566261</v>
      </c>
      <c r="AF199" s="23" t="str">
        <f>IF($U199&gt;=Lookups!$B$23,"High",IF($U199&gt;=Lookups!$B$22,"Medium","Low"))</f>
        <v>High</v>
      </c>
      <c r="AG199" s="23">
        <f>ROUND(IF($V199="Weekday",IF(INDEX(Hourly_Analysis!$D$5:$D$28,$J199+1)&gt;0,($U199-INDEX(Hourly_Analysis!$C$5:$C$28,$J199+1))/INDEX(Hourly_Analysis!$D$5:$D$28,$J199+1),0),IF(INDEX(Hourly_Analysis!$G$5:$G$28,$J199+1)&gt;0,($U199-INDEX(Hourly_Analysis!$F$5:$F$28,$J199+1))/INDEX(Hourly_Analysis!$G$5:$G$28,$J199+1),0)),2)</f>
        <v>-0.52</v>
      </c>
      <c r="AH199" s="23" t="str">
        <f>IF(ABS($AG199)&gt;Lookups!$B$20,IF($AG199&gt;0,"High anomaly","Low anomaly"),"")</f>
        <v/>
      </c>
      <c r="AI199" s="23" t="str">
        <f t="shared" si="22"/>
        <v>OK</v>
      </c>
      <c r="AJ199" s="23" t="str">
        <f t="shared" si="23"/>
        <v>No</v>
      </c>
    </row>
    <row r="200" spans="1:36" x14ac:dyDescent="0.35">
      <c r="A200" s="23">
        <v>199</v>
      </c>
      <c r="B200" s="23" t="str">
        <f t="shared" si="18"/>
        <v>Merge 1+2</v>
      </c>
      <c r="C200" s="23">
        <f>IFERROR(MATCH($A200,Merge_1_2!$A$2:$A$611,0),0)</f>
        <v>199</v>
      </c>
      <c r="D200" s="23">
        <f>IF($C200&gt;0,INDEX(Merge_1_2!$Q$2:$Q$611,$C200),0)</f>
        <v>199</v>
      </c>
      <c r="E200" s="23">
        <f>IFERROR(MATCH($A200,Dataset3_Raw!$A$2:$A$391,0),0)</f>
        <v>0</v>
      </c>
      <c r="F200" s="24">
        <f>IF($C200&gt;0,INDEX(Merge_1_2!$B$2:$B$611,$C200),DATE(VALUE(RIGHT(INDEX(Dataset3_Raw!$B$2:$B$391,$E200),4)),VALUE(MID(INDEX(Dataset3_Raw!$B$2:$B$391,$E200),4,2)),VALUE(LEFT(INDEX(Dataset3_Raw!$B$2:$B$391,$E200),2))))</f>
        <v>40552</v>
      </c>
      <c r="G200" s="23">
        <f>IF($C200&gt;0,INDEX(Merge_1_2!$C$2:$C$611,$C200),INDEX(Dataset3_Raw!$C$2:$C$391,$E200))</f>
        <v>1</v>
      </c>
      <c r="H200" s="23">
        <f>IF($C200&gt;0,INDEX(Merge_1_2!$D$2:$D$611,$C200),INDEX(Dataset3_Raw!$D$2:$D$391,$E200))</f>
        <v>0</v>
      </c>
      <c r="I200" s="23">
        <f>IF($C200&gt;0,INDEX(Merge_1_2!$E$2:$E$611,$C200),INDEX(Dataset3_Raw!$E$2:$E$391,$E200))</f>
        <v>1</v>
      </c>
      <c r="J200" s="23">
        <f>IF($C200&gt;0,INDEX(Merge_1_2!$F$2:$F$611,$C200),INDEX(Dataset3_Raw!$F$2:$F$391,$E200))</f>
        <v>13</v>
      </c>
      <c r="K200" s="23" t="b">
        <f>IF($C200&gt;0,INDEX(Merge_1_2!$G$2:$G$611,$C200),INDEX(Dataset3_Raw!$G$2:$G$391,$E200))</f>
        <v>0</v>
      </c>
      <c r="L200" s="23">
        <f>IF($C200&gt;0,INDEX(Merge_1_2!$H$2:$H$611,$C200),INDEX(Dataset3_Raw!$H$2:$H$391,$E200))</f>
        <v>0</v>
      </c>
      <c r="M200" s="23">
        <f>IF($C200&gt;0,INDEX(Merge_1_2!$I$2:$I$611,$C200),INDEX(Dataset3_Raw!$I$2:$I$391,$E200))</f>
        <v>1</v>
      </c>
      <c r="N200" s="25">
        <f>IF($C200&gt;0,INDEX(Merge_1_2!$J$2:$J$611,$C200),INDEX(Dataset3_Raw!$J$2:$J$391,$E200))</f>
        <v>0.2</v>
      </c>
      <c r="O200" s="25">
        <f>IF($C200&gt;0,IF(ISNUMBER(INDEX(Merge_1_2!$K$2:$K$611,$C200)),INDEX(Merge_1_2!$K$2:$K$611,$C200),""),INDEX(Dataset3_Raw!$K$2:$K$391,$E200))</f>
        <v>0.16669999999999999</v>
      </c>
      <c r="P200" s="25">
        <f>IF(ISNUMBER($O200),$O200,ROUND(Lookups!$B$25+Lookups!$B$24*$N200,4))</f>
        <v>0.16669999999999999</v>
      </c>
      <c r="Q200" s="25">
        <f>IF($C200&gt;0,INDEX(Merge_1_2!$L$2:$L$611,$C200),INDEX(Dataset3_Raw!$L$2:$L$391,$E200))</f>
        <v>0.34</v>
      </c>
      <c r="R200" s="25">
        <f>IF($C200&gt;0,INDEX(Merge_1_2!$M$2:$M$611,$C200),INDEX(Dataset3_Raw!$M$2:$M$391,$E200))</f>
        <v>0.44779999999999998</v>
      </c>
      <c r="S200" s="23">
        <f>IF($C200&gt;0,INDEX(Merge_1_2!$N$2:$N$611,$C200),INDEX(Dataset3_Raw!$N$2:$N$391,$E200))</f>
        <v>6</v>
      </c>
      <c r="T200" s="23">
        <f>IF($C200&gt;0,INDEX(Merge_1_2!$O$2:$O$611,$C200),INDEX(Dataset3_Raw!$O$2:$O$391,$E200))</f>
        <v>69</v>
      </c>
      <c r="U200" s="23">
        <f>IF($C200&gt;0,INDEX(Merge_1_2!$P$2:$P$611,$C200),INDEX(Dataset3_Raw!$P$2:$P$391,$E200))</f>
        <v>75</v>
      </c>
      <c r="V200" s="23" t="str">
        <f t="shared" si="19"/>
        <v>Weekend</v>
      </c>
      <c r="W200" s="23" t="str">
        <f>VLOOKUP($M200,Lookups!$A$5:$B$8,2,FALSE())</f>
        <v>Clear / Partly cloudy</v>
      </c>
      <c r="X200" s="23" t="str">
        <f>VLOOKUP($G200,Lookups!$D$5:$E$8,2,FALSE())</f>
        <v>Winter</v>
      </c>
      <c r="Y200" s="23" t="str">
        <f>VLOOKUP($L200,Lookups!$G$5:$H$11,2,FALSE())</f>
        <v>Sunday</v>
      </c>
      <c r="Z200" s="23" t="str">
        <f>IF($J200&lt;Lookups!$B$26,"Night",IF($J200&lt;Lookups!$B$27,"Morning",IF($J200&lt;Lookups!$B$28,"Afternoon","Evening")))</f>
        <v>Afternoon</v>
      </c>
      <c r="AA200" s="26">
        <f>ROUND($N200*(Lookups!$B$16-Lookups!$B$15)+Lookups!$B$15,1)</f>
        <v>1.4</v>
      </c>
      <c r="AB200" s="26">
        <f>ROUND($P200*(Lookups!$B$18-Lookups!$B$17)+Lookups!$B$17,1)</f>
        <v>-5</v>
      </c>
      <c r="AC200" s="23">
        <f t="shared" si="20"/>
        <v>34</v>
      </c>
      <c r="AD200" s="23">
        <f>ROUND($R200*Lookups!$B$19,1)</f>
        <v>30</v>
      </c>
      <c r="AE200" s="27">
        <f t="shared" si="21"/>
        <v>0.92</v>
      </c>
      <c r="AF200" s="23" t="str">
        <f>IF($U200&gt;=Lookups!$B$23,"High",IF($U200&gt;=Lookups!$B$22,"Medium","Low"))</f>
        <v>Medium</v>
      </c>
      <c r="AG200" s="23">
        <f>ROUND(IF($V200="Weekday",IF(INDEX(Hourly_Analysis!$D$5:$D$28,$J200+1)&gt;0,($U200-INDEX(Hourly_Analysis!$C$5:$C$28,$J200+1))/INDEX(Hourly_Analysis!$D$5:$D$28,$J200+1),0),IF(INDEX(Hourly_Analysis!$G$5:$G$28,$J200+1)&gt;0,($U200-INDEX(Hourly_Analysis!$F$5:$F$28,$J200+1))/INDEX(Hourly_Analysis!$G$5:$G$28,$J200+1),0)),2)</f>
        <v>-0.8</v>
      </c>
      <c r="AH200" s="23" t="str">
        <f>IF(ABS($AG200)&gt;Lookups!$B$20,IF($AG200&gt;0,"High anomaly","Low anomaly"),"")</f>
        <v/>
      </c>
      <c r="AI200" s="23" t="str">
        <f t="shared" si="22"/>
        <v>OK</v>
      </c>
      <c r="AJ200" s="23" t="str">
        <f t="shared" si="23"/>
        <v>No</v>
      </c>
    </row>
    <row r="201" spans="1:36" x14ac:dyDescent="0.35">
      <c r="A201" s="23">
        <v>200</v>
      </c>
      <c r="B201" s="23" t="str">
        <f t="shared" si="18"/>
        <v>Merge 1+2</v>
      </c>
      <c r="C201" s="23">
        <f>IFERROR(MATCH($A201,Merge_1_2!$A$2:$A$611,0),0)</f>
        <v>200</v>
      </c>
      <c r="D201" s="23">
        <f>IF($C201&gt;0,INDEX(Merge_1_2!$Q$2:$Q$611,$C201),0)</f>
        <v>200</v>
      </c>
      <c r="E201" s="23">
        <f>IFERROR(MATCH($A201,Dataset3_Raw!$A$2:$A$391,0),0)</f>
        <v>0</v>
      </c>
      <c r="F201" s="24">
        <f>IF($C201&gt;0,INDEX(Merge_1_2!$B$2:$B$611,$C201),DATE(VALUE(RIGHT(INDEX(Dataset3_Raw!$B$2:$B$391,$E201),4)),VALUE(MID(INDEX(Dataset3_Raw!$B$2:$B$391,$E201),4,2)),VALUE(LEFT(INDEX(Dataset3_Raw!$B$2:$B$391,$E201),2))))</f>
        <v>40552</v>
      </c>
      <c r="G201" s="23">
        <f>IF($C201&gt;0,INDEX(Merge_1_2!$C$2:$C$611,$C201),INDEX(Dataset3_Raw!$C$2:$C$391,$E201))</f>
        <v>1</v>
      </c>
      <c r="H201" s="23">
        <f>IF($C201&gt;0,INDEX(Merge_1_2!$D$2:$D$611,$C201),INDEX(Dataset3_Raw!$D$2:$D$391,$E201))</f>
        <v>0</v>
      </c>
      <c r="I201" s="23">
        <f>IF($C201&gt;0,INDEX(Merge_1_2!$E$2:$E$611,$C201),INDEX(Dataset3_Raw!$E$2:$E$391,$E201))</f>
        <v>1</v>
      </c>
      <c r="J201" s="23">
        <f>IF($C201&gt;0,INDEX(Merge_1_2!$F$2:$F$611,$C201),INDEX(Dataset3_Raw!$F$2:$F$391,$E201))</f>
        <v>14</v>
      </c>
      <c r="K201" s="23" t="b">
        <f>IF($C201&gt;0,INDEX(Merge_1_2!$G$2:$G$611,$C201),INDEX(Dataset3_Raw!$G$2:$G$391,$E201))</f>
        <v>0</v>
      </c>
      <c r="L201" s="23">
        <f>IF($C201&gt;0,INDEX(Merge_1_2!$H$2:$H$611,$C201),INDEX(Dataset3_Raw!$H$2:$H$391,$E201))</f>
        <v>0</v>
      </c>
      <c r="M201" s="23">
        <f>IF($C201&gt;0,INDEX(Merge_1_2!$I$2:$I$611,$C201),INDEX(Dataset3_Raw!$I$2:$I$391,$E201))</f>
        <v>1</v>
      </c>
      <c r="N201" s="25">
        <f>IF($C201&gt;0,INDEX(Merge_1_2!$J$2:$J$611,$C201),INDEX(Dataset3_Raw!$J$2:$J$391,$E201))</f>
        <v>0.22</v>
      </c>
      <c r="O201" s="25">
        <f>IF($C201&gt;0,IF(ISNUMBER(INDEX(Merge_1_2!$K$2:$K$611,$C201)),INDEX(Merge_1_2!$K$2:$K$611,$C201),""),INDEX(Dataset3_Raw!$K$2:$K$391,$E201))</f>
        <v>0.18179999999999999</v>
      </c>
      <c r="P201" s="25">
        <f>IF(ISNUMBER($O201),$O201,ROUND(Lookups!$B$25+Lookups!$B$24*$N201,4))</f>
        <v>0.18179999999999999</v>
      </c>
      <c r="Q201" s="25">
        <f>IF($C201&gt;0,INDEX(Merge_1_2!$L$2:$L$611,$C201),INDEX(Dataset3_Raw!$L$2:$L$391,$E201))</f>
        <v>0.32</v>
      </c>
      <c r="R201" s="25">
        <f>IF($C201&gt;0,INDEX(Merge_1_2!$M$2:$M$611,$C201),INDEX(Dataset3_Raw!$M$2:$M$391,$E201))</f>
        <v>0.4627</v>
      </c>
      <c r="S201" s="23">
        <f>IF($C201&gt;0,INDEX(Merge_1_2!$N$2:$N$611,$C201),INDEX(Dataset3_Raw!$N$2:$N$391,$E201))</f>
        <v>8</v>
      </c>
      <c r="T201" s="23">
        <f>IF($C201&gt;0,INDEX(Merge_1_2!$O$2:$O$611,$C201),INDEX(Dataset3_Raw!$O$2:$O$391,$E201))</f>
        <v>64</v>
      </c>
      <c r="U201" s="23">
        <f>IF($C201&gt;0,INDEX(Merge_1_2!$P$2:$P$611,$C201),INDEX(Dataset3_Raw!$P$2:$P$391,$E201))</f>
        <v>72</v>
      </c>
      <c r="V201" s="23" t="str">
        <f t="shared" si="19"/>
        <v>Weekend</v>
      </c>
      <c r="W201" s="23" t="str">
        <f>VLOOKUP($M201,Lookups!$A$5:$B$8,2,FALSE())</f>
        <v>Clear / Partly cloudy</v>
      </c>
      <c r="X201" s="23" t="str">
        <f>VLOOKUP($G201,Lookups!$D$5:$E$8,2,FALSE())</f>
        <v>Winter</v>
      </c>
      <c r="Y201" s="23" t="str">
        <f>VLOOKUP($L201,Lookups!$G$5:$H$11,2,FALSE())</f>
        <v>Sunday</v>
      </c>
      <c r="Z201" s="23" t="str">
        <f>IF($J201&lt;Lookups!$B$26,"Night",IF($J201&lt;Lookups!$B$27,"Morning",IF($J201&lt;Lookups!$B$28,"Afternoon","Evening")))</f>
        <v>Afternoon</v>
      </c>
      <c r="AA201" s="26">
        <f>ROUND($N201*(Lookups!$B$16-Lookups!$B$15)+Lookups!$B$15,1)</f>
        <v>2.2999999999999998</v>
      </c>
      <c r="AB201" s="26">
        <f>ROUND($P201*(Lookups!$B$18-Lookups!$B$17)+Lookups!$B$17,1)</f>
        <v>-4</v>
      </c>
      <c r="AC201" s="23">
        <f t="shared" si="20"/>
        <v>32</v>
      </c>
      <c r="AD201" s="23">
        <f>ROUND($R201*Lookups!$B$19,1)</f>
        <v>31</v>
      </c>
      <c r="AE201" s="27">
        <f t="shared" si="21"/>
        <v>0.88888888888888884</v>
      </c>
      <c r="AF201" s="23" t="str">
        <f>IF($U201&gt;=Lookups!$B$23,"High",IF($U201&gt;=Lookups!$B$22,"Medium","Low"))</f>
        <v>Medium</v>
      </c>
      <c r="AG201" s="23">
        <f>ROUND(IF($V201="Weekday",IF(INDEX(Hourly_Analysis!$D$5:$D$28,$J201+1)&gt;0,($U201-INDEX(Hourly_Analysis!$C$5:$C$28,$J201+1))/INDEX(Hourly_Analysis!$D$5:$D$28,$J201+1),0),IF(INDEX(Hourly_Analysis!$G$5:$G$28,$J201+1)&gt;0,($U201-INDEX(Hourly_Analysis!$F$5:$F$28,$J201+1))/INDEX(Hourly_Analysis!$G$5:$G$28,$J201+1),0)),2)</f>
        <v>-0.94</v>
      </c>
      <c r="AH201" s="23" t="str">
        <f>IF(ABS($AG201)&gt;Lookups!$B$20,IF($AG201&gt;0,"High anomaly","Low anomaly"),"")</f>
        <v/>
      </c>
      <c r="AI201" s="23" t="str">
        <f t="shared" si="22"/>
        <v>OK</v>
      </c>
      <c r="AJ201" s="23" t="str">
        <f t="shared" si="23"/>
        <v>No</v>
      </c>
    </row>
    <row r="202" spans="1:36" x14ac:dyDescent="0.35">
      <c r="A202" s="23">
        <v>201</v>
      </c>
      <c r="B202" s="23" t="str">
        <f t="shared" si="18"/>
        <v>Merge 1+2</v>
      </c>
      <c r="C202" s="23">
        <f>IFERROR(MATCH($A202,Merge_1_2!$A$2:$A$611,0),0)</f>
        <v>201</v>
      </c>
      <c r="D202" s="23">
        <f>IF($C202&gt;0,INDEX(Merge_1_2!$Q$2:$Q$611,$C202),0)</f>
        <v>201</v>
      </c>
      <c r="E202" s="23">
        <f>IFERROR(MATCH($A202,Dataset3_Raw!$A$2:$A$391,0),0)</f>
        <v>0</v>
      </c>
      <c r="F202" s="24">
        <f>IF($C202&gt;0,INDEX(Merge_1_2!$B$2:$B$611,$C202),DATE(VALUE(RIGHT(INDEX(Dataset3_Raw!$B$2:$B$391,$E202),4)),VALUE(MID(INDEX(Dataset3_Raw!$B$2:$B$391,$E202),4,2)),VALUE(LEFT(INDEX(Dataset3_Raw!$B$2:$B$391,$E202),2))))</f>
        <v>40552</v>
      </c>
      <c r="G202" s="23">
        <f>IF($C202&gt;0,INDEX(Merge_1_2!$C$2:$C$611,$C202),INDEX(Dataset3_Raw!$C$2:$C$391,$E202))</f>
        <v>1</v>
      </c>
      <c r="H202" s="23">
        <f>IF($C202&gt;0,INDEX(Merge_1_2!$D$2:$D$611,$C202),INDEX(Dataset3_Raw!$D$2:$D$391,$E202))</f>
        <v>0</v>
      </c>
      <c r="I202" s="23">
        <f>IF($C202&gt;0,INDEX(Merge_1_2!$E$2:$E$611,$C202),INDEX(Dataset3_Raw!$E$2:$E$391,$E202))</f>
        <v>1</v>
      </c>
      <c r="J202" s="23">
        <f>IF($C202&gt;0,INDEX(Merge_1_2!$F$2:$F$611,$C202),INDEX(Dataset3_Raw!$F$2:$F$391,$E202))</f>
        <v>15</v>
      </c>
      <c r="K202" s="23" t="b">
        <f>IF($C202&gt;0,INDEX(Merge_1_2!$G$2:$G$611,$C202),INDEX(Dataset3_Raw!$G$2:$G$391,$E202))</f>
        <v>0</v>
      </c>
      <c r="L202" s="23">
        <f>IF($C202&gt;0,INDEX(Merge_1_2!$H$2:$H$611,$C202),INDEX(Dataset3_Raw!$H$2:$H$391,$E202))</f>
        <v>0</v>
      </c>
      <c r="M202" s="23">
        <f>IF($C202&gt;0,INDEX(Merge_1_2!$I$2:$I$611,$C202),INDEX(Dataset3_Raw!$I$2:$I$391,$E202))</f>
        <v>1</v>
      </c>
      <c r="N202" s="25">
        <f>IF($C202&gt;0,INDEX(Merge_1_2!$J$2:$J$611,$C202),INDEX(Dataset3_Raw!$J$2:$J$391,$E202))</f>
        <v>0.22</v>
      </c>
      <c r="O202" s="25">
        <f>IF($C202&gt;0,IF(ISNUMBER(INDEX(Merge_1_2!$K$2:$K$611,$C202)),INDEX(Merge_1_2!$K$2:$K$611,$C202),""),INDEX(Dataset3_Raw!$K$2:$K$391,$E202))</f>
        <v>0.19700000000000001</v>
      </c>
      <c r="P202" s="25">
        <f>IF(ISNUMBER($O202),$O202,ROUND(Lookups!$B$25+Lookups!$B$24*$N202,4))</f>
        <v>0.19700000000000001</v>
      </c>
      <c r="Q202" s="25">
        <f>IF($C202&gt;0,INDEX(Merge_1_2!$L$2:$L$611,$C202),INDEX(Dataset3_Raw!$L$2:$L$391,$E202))</f>
        <v>0.35</v>
      </c>
      <c r="R202" s="25">
        <f>IF($C202&gt;0,INDEX(Merge_1_2!$M$2:$M$611,$C202),INDEX(Dataset3_Raw!$M$2:$M$391,$E202))</f>
        <v>0.35820000000000002</v>
      </c>
      <c r="S202" s="23">
        <f>IF($C202&gt;0,INDEX(Merge_1_2!$N$2:$N$611,$C202),INDEX(Dataset3_Raw!$N$2:$N$391,$E202))</f>
        <v>5</v>
      </c>
      <c r="T202" s="23">
        <f>IF($C202&gt;0,INDEX(Merge_1_2!$O$2:$O$611,$C202),INDEX(Dataset3_Raw!$O$2:$O$391,$E202))</f>
        <v>77</v>
      </c>
      <c r="U202" s="23">
        <f>IF($C202&gt;0,INDEX(Merge_1_2!$P$2:$P$611,$C202),INDEX(Dataset3_Raw!$P$2:$P$391,$E202))</f>
        <v>82</v>
      </c>
      <c r="V202" s="23" t="str">
        <f t="shared" si="19"/>
        <v>Weekend</v>
      </c>
      <c r="W202" s="23" t="str">
        <f>VLOOKUP($M202,Lookups!$A$5:$B$8,2,FALSE())</f>
        <v>Clear / Partly cloudy</v>
      </c>
      <c r="X202" s="23" t="str">
        <f>VLOOKUP($G202,Lookups!$D$5:$E$8,2,FALSE())</f>
        <v>Winter</v>
      </c>
      <c r="Y202" s="23" t="str">
        <f>VLOOKUP($L202,Lookups!$G$5:$H$11,2,FALSE())</f>
        <v>Sunday</v>
      </c>
      <c r="Z202" s="23" t="str">
        <f>IF($J202&lt;Lookups!$B$26,"Night",IF($J202&lt;Lookups!$B$27,"Morning",IF($J202&lt;Lookups!$B$28,"Afternoon","Evening")))</f>
        <v>Afternoon</v>
      </c>
      <c r="AA202" s="26">
        <f>ROUND($N202*(Lookups!$B$16-Lookups!$B$15)+Lookups!$B$15,1)</f>
        <v>2.2999999999999998</v>
      </c>
      <c r="AB202" s="26">
        <f>ROUND($P202*(Lookups!$B$18-Lookups!$B$17)+Lookups!$B$17,1)</f>
        <v>-3</v>
      </c>
      <c r="AC202" s="23">
        <f t="shared" si="20"/>
        <v>35</v>
      </c>
      <c r="AD202" s="23">
        <f>ROUND($R202*Lookups!$B$19,1)</f>
        <v>24</v>
      </c>
      <c r="AE202" s="27">
        <f t="shared" si="21"/>
        <v>0.93902439024390238</v>
      </c>
      <c r="AF202" s="23" t="str">
        <f>IF($U202&gt;=Lookups!$B$23,"High",IF($U202&gt;=Lookups!$B$22,"Medium","Low"))</f>
        <v>Medium</v>
      </c>
      <c r="AG202" s="23">
        <f>ROUND(IF($V202="Weekday",IF(INDEX(Hourly_Analysis!$D$5:$D$28,$J202+1)&gt;0,($U202-INDEX(Hourly_Analysis!$C$5:$C$28,$J202+1))/INDEX(Hourly_Analysis!$D$5:$D$28,$J202+1),0),IF(INDEX(Hourly_Analysis!$G$5:$G$28,$J202+1)&gt;0,($U202-INDEX(Hourly_Analysis!$F$5:$F$28,$J202+1))/INDEX(Hourly_Analysis!$G$5:$G$28,$J202+1),0)),2)</f>
        <v>-0.77</v>
      </c>
      <c r="AH202" s="23" t="str">
        <f>IF(ABS($AG202)&gt;Lookups!$B$20,IF($AG202&gt;0,"High anomaly","Low anomaly"),"")</f>
        <v/>
      </c>
      <c r="AI202" s="23" t="str">
        <f t="shared" si="22"/>
        <v>OK</v>
      </c>
      <c r="AJ202" s="23" t="str">
        <f t="shared" si="23"/>
        <v>No</v>
      </c>
    </row>
    <row r="203" spans="1:36" x14ac:dyDescent="0.35">
      <c r="A203" s="23">
        <v>202</v>
      </c>
      <c r="B203" s="23" t="str">
        <f t="shared" si="18"/>
        <v>Merge 1+2</v>
      </c>
      <c r="C203" s="23">
        <f>IFERROR(MATCH($A203,Merge_1_2!$A$2:$A$611,0),0)</f>
        <v>202</v>
      </c>
      <c r="D203" s="23">
        <f>IF($C203&gt;0,INDEX(Merge_1_2!$Q$2:$Q$611,$C203),0)</f>
        <v>202</v>
      </c>
      <c r="E203" s="23">
        <f>IFERROR(MATCH($A203,Dataset3_Raw!$A$2:$A$391,0),0)</f>
        <v>0</v>
      </c>
      <c r="F203" s="24">
        <f>IF($C203&gt;0,INDEX(Merge_1_2!$B$2:$B$611,$C203),DATE(VALUE(RIGHT(INDEX(Dataset3_Raw!$B$2:$B$391,$E203),4)),VALUE(MID(INDEX(Dataset3_Raw!$B$2:$B$391,$E203),4,2)),VALUE(LEFT(INDEX(Dataset3_Raw!$B$2:$B$391,$E203),2))))</f>
        <v>40552</v>
      </c>
      <c r="G203" s="23">
        <f>IF($C203&gt;0,INDEX(Merge_1_2!$C$2:$C$611,$C203),INDEX(Dataset3_Raw!$C$2:$C$391,$E203))</f>
        <v>1</v>
      </c>
      <c r="H203" s="23">
        <f>IF($C203&gt;0,INDEX(Merge_1_2!$D$2:$D$611,$C203),INDEX(Dataset3_Raw!$D$2:$D$391,$E203))</f>
        <v>0</v>
      </c>
      <c r="I203" s="23">
        <f>IF($C203&gt;0,INDEX(Merge_1_2!$E$2:$E$611,$C203),INDEX(Dataset3_Raw!$E$2:$E$391,$E203))</f>
        <v>1</v>
      </c>
      <c r="J203" s="23">
        <f>IF($C203&gt;0,INDEX(Merge_1_2!$F$2:$F$611,$C203),INDEX(Dataset3_Raw!$F$2:$F$391,$E203))</f>
        <v>16</v>
      </c>
      <c r="K203" s="23" t="b">
        <f>IF($C203&gt;0,INDEX(Merge_1_2!$G$2:$G$611,$C203),INDEX(Dataset3_Raw!$G$2:$G$391,$E203))</f>
        <v>0</v>
      </c>
      <c r="L203" s="23">
        <f>IF($C203&gt;0,INDEX(Merge_1_2!$H$2:$H$611,$C203),INDEX(Dataset3_Raw!$H$2:$H$391,$E203))</f>
        <v>0</v>
      </c>
      <c r="M203" s="23">
        <f>IF($C203&gt;0,INDEX(Merge_1_2!$I$2:$I$611,$C203),INDEX(Dataset3_Raw!$I$2:$I$391,$E203))</f>
        <v>1</v>
      </c>
      <c r="N203" s="25">
        <f>IF($C203&gt;0,INDEX(Merge_1_2!$J$2:$J$611,$C203),INDEX(Dataset3_Raw!$J$2:$J$391,$E203))</f>
        <v>0.2</v>
      </c>
      <c r="O203" s="25">
        <f>IF($C203&gt;0,IF(ISNUMBER(INDEX(Merge_1_2!$K$2:$K$611,$C203)),INDEX(Merge_1_2!$K$2:$K$611,$C203),""),INDEX(Dataset3_Raw!$K$2:$K$391,$E203))</f>
        <v>0.16669999999999999</v>
      </c>
      <c r="P203" s="25">
        <f>IF(ISNUMBER($O203),$O203,ROUND(Lookups!$B$25+Lookups!$B$24*$N203,4))</f>
        <v>0.16669999999999999</v>
      </c>
      <c r="Q203" s="25">
        <f>IF($C203&gt;0,INDEX(Merge_1_2!$L$2:$L$611,$C203),INDEX(Dataset3_Raw!$L$2:$L$391,$E203))</f>
        <v>0.34</v>
      </c>
      <c r="R203" s="25">
        <f>IF($C203&gt;0,INDEX(Merge_1_2!$M$2:$M$611,$C203),INDEX(Dataset3_Raw!$M$2:$M$391,$E203))</f>
        <v>0.44779999999999998</v>
      </c>
      <c r="S203" s="23">
        <f>IF($C203&gt;0,INDEX(Merge_1_2!$N$2:$N$611,$C203),INDEX(Dataset3_Raw!$N$2:$N$391,$E203))</f>
        <v>13</v>
      </c>
      <c r="T203" s="23">
        <f>IF($C203&gt;0,INDEX(Merge_1_2!$O$2:$O$611,$C203),INDEX(Dataset3_Raw!$O$2:$O$391,$E203))</f>
        <v>79</v>
      </c>
      <c r="U203" s="23">
        <f>IF($C203&gt;0,INDEX(Merge_1_2!$P$2:$P$611,$C203),INDEX(Dataset3_Raw!$P$2:$P$391,$E203))</f>
        <v>92</v>
      </c>
      <c r="V203" s="23" t="str">
        <f t="shared" si="19"/>
        <v>Weekend</v>
      </c>
      <c r="W203" s="23" t="str">
        <f>VLOOKUP($M203,Lookups!$A$5:$B$8,2,FALSE())</f>
        <v>Clear / Partly cloudy</v>
      </c>
      <c r="X203" s="23" t="str">
        <f>VLOOKUP($G203,Lookups!$D$5:$E$8,2,FALSE())</f>
        <v>Winter</v>
      </c>
      <c r="Y203" s="23" t="str">
        <f>VLOOKUP($L203,Lookups!$G$5:$H$11,2,FALSE())</f>
        <v>Sunday</v>
      </c>
      <c r="Z203" s="23" t="str">
        <f>IF($J203&lt;Lookups!$B$26,"Night",IF($J203&lt;Lookups!$B$27,"Morning",IF($J203&lt;Lookups!$B$28,"Afternoon","Evening")))</f>
        <v>Afternoon</v>
      </c>
      <c r="AA203" s="26">
        <f>ROUND($N203*(Lookups!$B$16-Lookups!$B$15)+Lookups!$B$15,1)</f>
        <v>1.4</v>
      </c>
      <c r="AB203" s="26">
        <f>ROUND($P203*(Lookups!$B$18-Lookups!$B$17)+Lookups!$B$17,1)</f>
        <v>-5</v>
      </c>
      <c r="AC203" s="23">
        <f t="shared" si="20"/>
        <v>34</v>
      </c>
      <c r="AD203" s="23">
        <f>ROUND($R203*Lookups!$B$19,1)</f>
        <v>30</v>
      </c>
      <c r="AE203" s="27">
        <f t="shared" si="21"/>
        <v>0.85869565217391308</v>
      </c>
      <c r="AF203" s="23" t="str">
        <f>IF($U203&gt;=Lookups!$B$23,"High",IF($U203&gt;=Lookups!$B$22,"Medium","Low"))</f>
        <v>High</v>
      </c>
      <c r="AG203" s="23">
        <f>ROUND(IF($V203="Weekday",IF(INDEX(Hourly_Analysis!$D$5:$D$28,$J203+1)&gt;0,($U203-INDEX(Hourly_Analysis!$C$5:$C$28,$J203+1))/INDEX(Hourly_Analysis!$D$5:$D$28,$J203+1),0),IF(INDEX(Hourly_Analysis!$G$5:$G$28,$J203+1)&gt;0,($U203-INDEX(Hourly_Analysis!$F$5:$F$28,$J203+1))/INDEX(Hourly_Analysis!$G$5:$G$28,$J203+1),0)),2)</f>
        <v>-0.35</v>
      </c>
      <c r="AH203" s="23" t="str">
        <f>IF(ABS($AG203)&gt;Lookups!$B$20,IF($AG203&gt;0,"High anomaly","Low anomaly"),"")</f>
        <v/>
      </c>
      <c r="AI203" s="23" t="str">
        <f t="shared" si="22"/>
        <v>OK</v>
      </c>
      <c r="AJ203" s="23" t="str">
        <f t="shared" si="23"/>
        <v>No</v>
      </c>
    </row>
    <row r="204" spans="1:36" x14ac:dyDescent="0.35">
      <c r="A204" s="23">
        <v>203</v>
      </c>
      <c r="B204" s="23" t="str">
        <f t="shared" si="18"/>
        <v>Merge 1+2</v>
      </c>
      <c r="C204" s="23">
        <f>IFERROR(MATCH($A204,Merge_1_2!$A$2:$A$611,0),0)</f>
        <v>203</v>
      </c>
      <c r="D204" s="23">
        <f>IF($C204&gt;0,INDEX(Merge_1_2!$Q$2:$Q$611,$C204),0)</f>
        <v>203</v>
      </c>
      <c r="E204" s="23">
        <f>IFERROR(MATCH($A204,Dataset3_Raw!$A$2:$A$391,0),0)</f>
        <v>0</v>
      </c>
      <c r="F204" s="24">
        <f>IF($C204&gt;0,INDEX(Merge_1_2!$B$2:$B$611,$C204),DATE(VALUE(RIGHT(INDEX(Dataset3_Raw!$B$2:$B$391,$E204),4)),VALUE(MID(INDEX(Dataset3_Raw!$B$2:$B$391,$E204),4,2)),VALUE(LEFT(INDEX(Dataset3_Raw!$B$2:$B$391,$E204),2))))</f>
        <v>40552</v>
      </c>
      <c r="G204" s="23">
        <f>IF($C204&gt;0,INDEX(Merge_1_2!$C$2:$C$611,$C204),INDEX(Dataset3_Raw!$C$2:$C$391,$E204))</f>
        <v>1</v>
      </c>
      <c r="H204" s="23">
        <f>IF($C204&gt;0,INDEX(Merge_1_2!$D$2:$D$611,$C204),INDEX(Dataset3_Raw!$D$2:$D$391,$E204))</f>
        <v>0</v>
      </c>
      <c r="I204" s="23">
        <f>IF($C204&gt;0,INDEX(Merge_1_2!$E$2:$E$611,$C204),INDEX(Dataset3_Raw!$E$2:$E$391,$E204))</f>
        <v>1</v>
      </c>
      <c r="J204" s="23">
        <f>IF($C204&gt;0,INDEX(Merge_1_2!$F$2:$F$611,$C204),INDEX(Dataset3_Raw!$F$2:$F$391,$E204))</f>
        <v>17</v>
      </c>
      <c r="K204" s="23" t="b">
        <f>IF($C204&gt;0,INDEX(Merge_1_2!$G$2:$G$611,$C204),INDEX(Dataset3_Raw!$G$2:$G$391,$E204))</f>
        <v>0</v>
      </c>
      <c r="L204" s="23">
        <f>IF($C204&gt;0,INDEX(Merge_1_2!$H$2:$H$611,$C204),INDEX(Dataset3_Raw!$H$2:$H$391,$E204))</f>
        <v>0</v>
      </c>
      <c r="M204" s="23">
        <f>IF($C204&gt;0,INDEX(Merge_1_2!$I$2:$I$611,$C204),INDEX(Dataset3_Raw!$I$2:$I$391,$E204))</f>
        <v>1</v>
      </c>
      <c r="N204" s="25">
        <f>IF($C204&gt;0,INDEX(Merge_1_2!$J$2:$J$611,$C204),INDEX(Dataset3_Raw!$J$2:$J$391,$E204))</f>
        <v>0.18</v>
      </c>
      <c r="O204" s="25">
        <f>IF($C204&gt;0,IF(ISNUMBER(INDEX(Merge_1_2!$K$2:$K$611,$C204)),INDEX(Merge_1_2!$K$2:$K$611,$C204),""),INDEX(Dataset3_Raw!$K$2:$K$391,$E204))</f>
        <v>0.1515</v>
      </c>
      <c r="P204" s="25">
        <f>IF(ISNUMBER($O204),$O204,ROUND(Lookups!$B$25+Lookups!$B$24*$N204,4))</f>
        <v>0.1515</v>
      </c>
      <c r="Q204" s="25">
        <f>IF($C204&gt;0,INDEX(Merge_1_2!$L$2:$L$611,$C204),INDEX(Dataset3_Raw!$L$2:$L$391,$E204))</f>
        <v>0.37</v>
      </c>
      <c r="R204" s="25">
        <f>IF($C204&gt;0,INDEX(Merge_1_2!$M$2:$M$611,$C204),INDEX(Dataset3_Raw!$M$2:$M$391,$E204))</f>
        <v>0.3881</v>
      </c>
      <c r="S204" s="23">
        <f>IF($C204&gt;0,INDEX(Merge_1_2!$N$2:$N$611,$C204),INDEX(Dataset3_Raw!$N$2:$N$391,$E204))</f>
        <v>3</v>
      </c>
      <c r="T204" s="23">
        <f>IF($C204&gt;0,INDEX(Merge_1_2!$O$2:$O$611,$C204),INDEX(Dataset3_Raw!$O$2:$O$391,$E204))</f>
        <v>59</v>
      </c>
      <c r="U204" s="23">
        <f>IF($C204&gt;0,INDEX(Merge_1_2!$P$2:$P$611,$C204),INDEX(Dataset3_Raw!$P$2:$P$391,$E204))</f>
        <v>62</v>
      </c>
      <c r="V204" s="23" t="str">
        <f t="shared" si="19"/>
        <v>Weekend</v>
      </c>
      <c r="W204" s="23" t="str">
        <f>VLOOKUP($M204,Lookups!$A$5:$B$8,2,FALSE())</f>
        <v>Clear / Partly cloudy</v>
      </c>
      <c r="X204" s="23" t="str">
        <f>VLOOKUP($G204,Lookups!$D$5:$E$8,2,FALSE())</f>
        <v>Winter</v>
      </c>
      <c r="Y204" s="23" t="str">
        <f>VLOOKUP($L204,Lookups!$G$5:$H$11,2,FALSE())</f>
        <v>Sunday</v>
      </c>
      <c r="Z204" s="23" t="str">
        <f>IF($J204&lt;Lookups!$B$26,"Night",IF($J204&lt;Lookups!$B$27,"Morning",IF($J204&lt;Lookups!$B$28,"Afternoon","Evening")))</f>
        <v>Afternoon</v>
      </c>
      <c r="AA204" s="26">
        <f>ROUND($N204*(Lookups!$B$16-Lookups!$B$15)+Lookups!$B$15,1)</f>
        <v>0.5</v>
      </c>
      <c r="AB204" s="26">
        <f>ROUND($P204*(Lookups!$B$18-Lookups!$B$17)+Lookups!$B$17,1)</f>
        <v>-6</v>
      </c>
      <c r="AC204" s="23">
        <f t="shared" si="20"/>
        <v>37</v>
      </c>
      <c r="AD204" s="23">
        <f>ROUND($R204*Lookups!$B$19,1)</f>
        <v>26</v>
      </c>
      <c r="AE204" s="27">
        <f t="shared" si="21"/>
        <v>0.95161290322580649</v>
      </c>
      <c r="AF204" s="23" t="str">
        <f>IF($U204&gt;=Lookups!$B$23,"High",IF($U204&gt;=Lookups!$B$22,"Medium","Low"))</f>
        <v>Medium</v>
      </c>
      <c r="AG204" s="23">
        <f>ROUND(IF($V204="Weekday",IF(INDEX(Hourly_Analysis!$D$5:$D$28,$J204+1)&gt;0,($U204-INDEX(Hourly_Analysis!$C$5:$C$28,$J204+1))/INDEX(Hourly_Analysis!$D$5:$D$28,$J204+1),0),IF(INDEX(Hourly_Analysis!$G$5:$G$28,$J204+1)&gt;0,($U204-INDEX(Hourly_Analysis!$F$5:$F$28,$J204+1))/INDEX(Hourly_Analysis!$G$5:$G$28,$J204+1),0)),2)</f>
        <v>-0.9</v>
      </c>
      <c r="AH204" s="23" t="str">
        <f>IF(ABS($AG204)&gt;Lookups!$B$20,IF($AG204&gt;0,"High anomaly","Low anomaly"),"")</f>
        <v/>
      </c>
      <c r="AI204" s="23" t="str">
        <f t="shared" si="22"/>
        <v>OK</v>
      </c>
      <c r="AJ204" s="23" t="str">
        <f t="shared" si="23"/>
        <v>No</v>
      </c>
    </row>
    <row r="205" spans="1:36" x14ac:dyDescent="0.35">
      <c r="A205" s="23">
        <v>204</v>
      </c>
      <c r="B205" s="23" t="str">
        <f t="shared" si="18"/>
        <v>Merge 1+2</v>
      </c>
      <c r="C205" s="23">
        <f>IFERROR(MATCH($A205,Merge_1_2!$A$2:$A$611,0),0)</f>
        <v>204</v>
      </c>
      <c r="D205" s="23">
        <f>IF($C205&gt;0,INDEX(Merge_1_2!$Q$2:$Q$611,$C205),0)</f>
        <v>204</v>
      </c>
      <c r="E205" s="23">
        <f>IFERROR(MATCH($A205,Dataset3_Raw!$A$2:$A$391,0),0)</f>
        <v>0</v>
      </c>
      <c r="F205" s="24">
        <f>IF($C205&gt;0,INDEX(Merge_1_2!$B$2:$B$611,$C205),DATE(VALUE(RIGHT(INDEX(Dataset3_Raw!$B$2:$B$391,$E205),4)),VALUE(MID(INDEX(Dataset3_Raw!$B$2:$B$391,$E205),4,2)),VALUE(LEFT(INDEX(Dataset3_Raw!$B$2:$B$391,$E205),2))))</f>
        <v>40552</v>
      </c>
      <c r="G205" s="23">
        <f>IF($C205&gt;0,INDEX(Merge_1_2!$C$2:$C$611,$C205),INDEX(Dataset3_Raw!$C$2:$C$391,$E205))</f>
        <v>1</v>
      </c>
      <c r="H205" s="23">
        <f>IF($C205&gt;0,INDEX(Merge_1_2!$D$2:$D$611,$C205),INDEX(Dataset3_Raw!$D$2:$D$391,$E205))</f>
        <v>0</v>
      </c>
      <c r="I205" s="23">
        <f>IF($C205&gt;0,INDEX(Merge_1_2!$E$2:$E$611,$C205),INDEX(Dataset3_Raw!$E$2:$E$391,$E205))</f>
        <v>1</v>
      </c>
      <c r="J205" s="23">
        <f>IF($C205&gt;0,INDEX(Merge_1_2!$F$2:$F$611,$C205),INDEX(Dataset3_Raw!$F$2:$F$391,$E205))</f>
        <v>18</v>
      </c>
      <c r="K205" s="23" t="b">
        <f>IF($C205&gt;0,INDEX(Merge_1_2!$G$2:$G$611,$C205),INDEX(Dataset3_Raw!$G$2:$G$391,$E205))</f>
        <v>0</v>
      </c>
      <c r="L205" s="23">
        <f>IF($C205&gt;0,INDEX(Merge_1_2!$H$2:$H$611,$C205),INDEX(Dataset3_Raw!$H$2:$H$391,$E205))</f>
        <v>0</v>
      </c>
      <c r="M205" s="23">
        <f>IF($C205&gt;0,INDEX(Merge_1_2!$I$2:$I$611,$C205),INDEX(Dataset3_Raw!$I$2:$I$391,$E205))</f>
        <v>1</v>
      </c>
      <c r="N205" s="25">
        <f>IF($C205&gt;0,INDEX(Merge_1_2!$J$2:$J$611,$C205),INDEX(Dataset3_Raw!$J$2:$J$391,$E205))</f>
        <v>0.16</v>
      </c>
      <c r="O205" s="25">
        <f>IF($C205&gt;0,IF(ISNUMBER(INDEX(Merge_1_2!$K$2:$K$611,$C205)),INDEX(Merge_1_2!$K$2:$K$611,$C205),""),INDEX(Dataset3_Raw!$K$2:$K$391,$E205))</f>
        <v>0.13639999999999999</v>
      </c>
      <c r="P205" s="25">
        <f>IF(ISNUMBER($O205),$O205,ROUND(Lookups!$B$25+Lookups!$B$24*$N205,4))</f>
        <v>0.13639999999999999</v>
      </c>
      <c r="Q205" s="25">
        <f>IF($C205&gt;0,INDEX(Merge_1_2!$L$2:$L$611,$C205),INDEX(Dataset3_Raw!$L$2:$L$391,$E205))</f>
        <v>0.4</v>
      </c>
      <c r="R205" s="25">
        <f>IF($C205&gt;0,INDEX(Merge_1_2!$M$2:$M$611,$C205),INDEX(Dataset3_Raw!$M$2:$M$391,$E205))</f>
        <v>0.32840000000000003</v>
      </c>
      <c r="S205" s="23">
        <f>IF($C205&gt;0,INDEX(Merge_1_2!$N$2:$N$611,$C205),INDEX(Dataset3_Raw!$N$2:$N$391,$E205))</f>
        <v>4</v>
      </c>
      <c r="T205" s="23">
        <f>IF($C205&gt;0,INDEX(Merge_1_2!$O$2:$O$611,$C205),INDEX(Dataset3_Raw!$O$2:$O$391,$E205))</f>
        <v>44</v>
      </c>
      <c r="U205" s="23">
        <f>IF($C205&gt;0,INDEX(Merge_1_2!$P$2:$P$611,$C205),INDEX(Dataset3_Raw!$P$2:$P$391,$E205))</f>
        <v>48</v>
      </c>
      <c r="V205" s="23" t="str">
        <f t="shared" si="19"/>
        <v>Weekend</v>
      </c>
      <c r="W205" s="23" t="str">
        <f>VLOOKUP($M205,Lookups!$A$5:$B$8,2,FALSE())</f>
        <v>Clear / Partly cloudy</v>
      </c>
      <c r="X205" s="23" t="str">
        <f>VLOOKUP($G205,Lookups!$D$5:$E$8,2,FALSE())</f>
        <v>Winter</v>
      </c>
      <c r="Y205" s="23" t="str">
        <f>VLOOKUP($L205,Lookups!$G$5:$H$11,2,FALSE())</f>
        <v>Sunday</v>
      </c>
      <c r="Z205" s="23" t="str">
        <f>IF($J205&lt;Lookups!$B$26,"Night",IF($J205&lt;Lookups!$B$27,"Morning",IF($J205&lt;Lookups!$B$28,"Afternoon","Evening")))</f>
        <v>Evening</v>
      </c>
      <c r="AA205" s="26">
        <f>ROUND($N205*(Lookups!$B$16-Lookups!$B$15)+Lookups!$B$15,1)</f>
        <v>-0.5</v>
      </c>
      <c r="AB205" s="26">
        <f>ROUND($P205*(Lookups!$B$18-Lookups!$B$17)+Lookups!$B$17,1)</f>
        <v>-7</v>
      </c>
      <c r="AC205" s="23">
        <f t="shared" si="20"/>
        <v>40</v>
      </c>
      <c r="AD205" s="23">
        <f>ROUND($R205*Lookups!$B$19,1)</f>
        <v>22</v>
      </c>
      <c r="AE205" s="27">
        <f t="shared" si="21"/>
        <v>0.91666666666666663</v>
      </c>
      <c r="AF205" s="23" t="str">
        <f>IF($U205&gt;=Lookups!$B$23,"High",IF($U205&gt;=Lookups!$B$22,"Medium","Low"))</f>
        <v>Medium</v>
      </c>
      <c r="AG205" s="23">
        <f>ROUND(IF($V205="Weekday",IF(INDEX(Hourly_Analysis!$D$5:$D$28,$J205+1)&gt;0,($U205-INDEX(Hourly_Analysis!$C$5:$C$28,$J205+1))/INDEX(Hourly_Analysis!$D$5:$D$28,$J205+1),0),IF(INDEX(Hourly_Analysis!$G$5:$G$28,$J205+1)&gt;0,($U205-INDEX(Hourly_Analysis!$F$5:$F$28,$J205+1))/INDEX(Hourly_Analysis!$G$5:$G$28,$J205+1),0)),2)</f>
        <v>-1.03</v>
      </c>
      <c r="AH205" s="23" t="str">
        <f>IF(ABS($AG205)&gt;Lookups!$B$20,IF($AG205&gt;0,"High anomaly","Low anomaly"),"")</f>
        <v/>
      </c>
      <c r="AI205" s="23" t="str">
        <f t="shared" si="22"/>
        <v>OK</v>
      </c>
      <c r="AJ205" s="23" t="str">
        <f t="shared" si="23"/>
        <v>No</v>
      </c>
    </row>
    <row r="206" spans="1:36" x14ac:dyDescent="0.35">
      <c r="A206" s="23">
        <v>205</v>
      </c>
      <c r="B206" s="23" t="str">
        <f t="shared" si="18"/>
        <v>Merge 1+2</v>
      </c>
      <c r="C206" s="23">
        <f>IFERROR(MATCH($A206,Merge_1_2!$A$2:$A$611,0),0)</f>
        <v>205</v>
      </c>
      <c r="D206" s="23">
        <f>IF($C206&gt;0,INDEX(Merge_1_2!$Q$2:$Q$611,$C206),0)</f>
        <v>205</v>
      </c>
      <c r="E206" s="23">
        <f>IFERROR(MATCH($A206,Dataset3_Raw!$A$2:$A$391,0),0)</f>
        <v>0</v>
      </c>
      <c r="F206" s="24">
        <f>IF($C206&gt;0,INDEX(Merge_1_2!$B$2:$B$611,$C206),DATE(VALUE(RIGHT(INDEX(Dataset3_Raw!$B$2:$B$391,$E206),4)),VALUE(MID(INDEX(Dataset3_Raw!$B$2:$B$391,$E206),4,2)),VALUE(LEFT(INDEX(Dataset3_Raw!$B$2:$B$391,$E206),2))))</f>
        <v>40552</v>
      </c>
      <c r="G206" s="23">
        <f>IF($C206&gt;0,INDEX(Merge_1_2!$C$2:$C$611,$C206),INDEX(Dataset3_Raw!$C$2:$C$391,$E206))</f>
        <v>1</v>
      </c>
      <c r="H206" s="23">
        <f>IF($C206&gt;0,INDEX(Merge_1_2!$D$2:$D$611,$C206),INDEX(Dataset3_Raw!$D$2:$D$391,$E206))</f>
        <v>0</v>
      </c>
      <c r="I206" s="23">
        <f>IF($C206&gt;0,INDEX(Merge_1_2!$E$2:$E$611,$C206),INDEX(Dataset3_Raw!$E$2:$E$391,$E206))</f>
        <v>1</v>
      </c>
      <c r="J206" s="23">
        <f>IF($C206&gt;0,INDEX(Merge_1_2!$F$2:$F$611,$C206),INDEX(Dataset3_Raw!$F$2:$F$391,$E206))</f>
        <v>19</v>
      </c>
      <c r="K206" s="23" t="b">
        <f>IF($C206&gt;0,INDEX(Merge_1_2!$G$2:$G$611,$C206),INDEX(Dataset3_Raw!$G$2:$G$391,$E206))</f>
        <v>0</v>
      </c>
      <c r="L206" s="23">
        <f>IF($C206&gt;0,INDEX(Merge_1_2!$H$2:$H$611,$C206),INDEX(Dataset3_Raw!$H$2:$H$391,$E206))</f>
        <v>0</v>
      </c>
      <c r="M206" s="23">
        <f>IF($C206&gt;0,INDEX(Merge_1_2!$I$2:$I$611,$C206),INDEX(Dataset3_Raw!$I$2:$I$391,$E206))</f>
        <v>1</v>
      </c>
      <c r="N206" s="25">
        <f>IF($C206&gt;0,INDEX(Merge_1_2!$J$2:$J$611,$C206),INDEX(Dataset3_Raw!$J$2:$J$391,$E206))</f>
        <v>0.16</v>
      </c>
      <c r="O206" s="25">
        <f>IF($C206&gt;0,IF(ISNUMBER(INDEX(Merge_1_2!$K$2:$K$611,$C206)),INDEX(Merge_1_2!$K$2:$K$611,$C206),""),INDEX(Dataset3_Raw!$K$2:$K$391,$E206))</f>
        <v>0.13639999999999999</v>
      </c>
      <c r="P206" s="25">
        <f>IF(ISNUMBER($O206),$O206,ROUND(Lookups!$B$25+Lookups!$B$24*$N206,4))</f>
        <v>0.13639999999999999</v>
      </c>
      <c r="Q206" s="25">
        <f>IF($C206&gt;0,INDEX(Merge_1_2!$L$2:$L$611,$C206),INDEX(Dataset3_Raw!$L$2:$L$391,$E206))</f>
        <v>0.43</v>
      </c>
      <c r="R206" s="25">
        <f>IF($C206&gt;0,INDEX(Merge_1_2!$M$2:$M$611,$C206),INDEX(Dataset3_Raw!$M$2:$M$391,$E206))</f>
        <v>0.32840000000000003</v>
      </c>
      <c r="S206" s="23">
        <f>IF($C206&gt;0,INDEX(Merge_1_2!$N$2:$N$611,$C206),INDEX(Dataset3_Raw!$N$2:$N$391,$E206))</f>
        <v>1</v>
      </c>
      <c r="T206" s="23">
        <f>IF($C206&gt;0,INDEX(Merge_1_2!$O$2:$O$611,$C206),INDEX(Dataset3_Raw!$O$2:$O$391,$E206))</f>
        <v>40</v>
      </c>
      <c r="U206" s="23">
        <f>IF($C206&gt;0,INDEX(Merge_1_2!$P$2:$P$611,$C206),INDEX(Dataset3_Raw!$P$2:$P$391,$E206))</f>
        <v>41</v>
      </c>
      <c r="V206" s="23" t="str">
        <f t="shared" si="19"/>
        <v>Weekend</v>
      </c>
      <c r="W206" s="23" t="str">
        <f>VLOOKUP($M206,Lookups!$A$5:$B$8,2,FALSE())</f>
        <v>Clear / Partly cloudy</v>
      </c>
      <c r="X206" s="23" t="str">
        <f>VLOOKUP($G206,Lookups!$D$5:$E$8,2,FALSE())</f>
        <v>Winter</v>
      </c>
      <c r="Y206" s="23" t="str">
        <f>VLOOKUP($L206,Lookups!$G$5:$H$11,2,FALSE())</f>
        <v>Sunday</v>
      </c>
      <c r="Z206" s="23" t="str">
        <f>IF($J206&lt;Lookups!$B$26,"Night",IF($J206&lt;Lookups!$B$27,"Morning",IF($J206&lt;Lookups!$B$28,"Afternoon","Evening")))</f>
        <v>Evening</v>
      </c>
      <c r="AA206" s="26">
        <f>ROUND($N206*(Lookups!$B$16-Lookups!$B$15)+Lookups!$B$15,1)</f>
        <v>-0.5</v>
      </c>
      <c r="AB206" s="26">
        <f>ROUND($P206*(Lookups!$B$18-Lookups!$B$17)+Lookups!$B$17,1)</f>
        <v>-7</v>
      </c>
      <c r="AC206" s="23">
        <f t="shared" si="20"/>
        <v>43</v>
      </c>
      <c r="AD206" s="23">
        <f>ROUND($R206*Lookups!$B$19,1)</f>
        <v>22</v>
      </c>
      <c r="AE206" s="27">
        <f t="shared" si="21"/>
        <v>0.97560975609756095</v>
      </c>
      <c r="AF206" s="23" t="str">
        <f>IF($U206&gt;=Lookups!$B$23,"High",IF($U206&gt;=Lookups!$B$22,"Medium","Low"))</f>
        <v>Medium</v>
      </c>
      <c r="AG206" s="23">
        <f>ROUND(IF($V206="Weekday",IF(INDEX(Hourly_Analysis!$D$5:$D$28,$J206+1)&gt;0,($U206-INDEX(Hourly_Analysis!$C$5:$C$28,$J206+1))/INDEX(Hourly_Analysis!$D$5:$D$28,$J206+1),0),IF(INDEX(Hourly_Analysis!$G$5:$G$28,$J206+1)&gt;0,($U206-INDEX(Hourly_Analysis!$F$5:$F$28,$J206+1))/INDEX(Hourly_Analysis!$G$5:$G$28,$J206+1),0)),2)</f>
        <v>-0.56999999999999995</v>
      </c>
      <c r="AH206" s="23" t="str">
        <f>IF(ABS($AG206)&gt;Lookups!$B$20,IF($AG206&gt;0,"High anomaly","Low anomaly"),"")</f>
        <v/>
      </c>
      <c r="AI206" s="23" t="str">
        <f t="shared" si="22"/>
        <v>OK</v>
      </c>
      <c r="AJ206" s="23" t="str">
        <f t="shared" si="23"/>
        <v>No</v>
      </c>
    </row>
    <row r="207" spans="1:36" x14ac:dyDescent="0.35">
      <c r="A207" s="23">
        <v>206</v>
      </c>
      <c r="B207" s="23" t="str">
        <f t="shared" si="18"/>
        <v>Merge 1+2</v>
      </c>
      <c r="C207" s="23">
        <f>IFERROR(MATCH($A207,Merge_1_2!$A$2:$A$611,0),0)</f>
        <v>206</v>
      </c>
      <c r="D207" s="23">
        <f>IF($C207&gt;0,INDEX(Merge_1_2!$Q$2:$Q$611,$C207),0)</f>
        <v>206</v>
      </c>
      <c r="E207" s="23">
        <f>IFERROR(MATCH($A207,Dataset3_Raw!$A$2:$A$391,0),0)</f>
        <v>0</v>
      </c>
      <c r="F207" s="24">
        <f>IF($C207&gt;0,INDEX(Merge_1_2!$B$2:$B$611,$C207),DATE(VALUE(RIGHT(INDEX(Dataset3_Raw!$B$2:$B$391,$E207),4)),VALUE(MID(INDEX(Dataset3_Raw!$B$2:$B$391,$E207),4,2)),VALUE(LEFT(INDEX(Dataset3_Raw!$B$2:$B$391,$E207),2))))</f>
        <v>40552</v>
      </c>
      <c r="G207" s="23">
        <f>IF($C207&gt;0,INDEX(Merge_1_2!$C$2:$C$611,$C207),INDEX(Dataset3_Raw!$C$2:$C$391,$E207))</f>
        <v>1</v>
      </c>
      <c r="H207" s="23">
        <f>IF($C207&gt;0,INDEX(Merge_1_2!$D$2:$D$611,$C207),INDEX(Dataset3_Raw!$D$2:$D$391,$E207))</f>
        <v>0</v>
      </c>
      <c r="I207" s="23">
        <f>IF($C207&gt;0,INDEX(Merge_1_2!$E$2:$E$611,$C207),INDEX(Dataset3_Raw!$E$2:$E$391,$E207))</f>
        <v>1</v>
      </c>
      <c r="J207" s="23">
        <f>IF($C207&gt;0,INDEX(Merge_1_2!$F$2:$F$611,$C207),INDEX(Dataset3_Raw!$F$2:$F$391,$E207))</f>
        <v>20</v>
      </c>
      <c r="K207" s="23" t="b">
        <f>IF($C207&gt;0,INDEX(Merge_1_2!$G$2:$G$611,$C207),INDEX(Dataset3_Raw!$G$2:$G$391,$E207))</f>
        <v>0</v>
      </c>
      <c r="L207" s="23">
        <f>IF($C207&gt;0,INDEX(Merge_1_2!$H$2:$H$611,$C207),INDEX(Dataset3_Raw!$H$2:$H$391,$E207))</f>
        <v>0</v>
      </c>
      <c r="M207" s="23">
        <f>IF($C207&gt;0,INDEX(Merge_1_2!$I$2:$I$611,$C207),INDEX(Dataset3_Raw!$I$2:$I$391,$E207))</f>
        <v>1</v>
      </c>
      <c r="N207" s="25">
        <f>IF($C207&gt;0,INDEX(Merge_1_2!$J$2:$J$611,$C207),INDEX(Dataset3_Raw!$J$2:$J$391,$E207))</f>
        <v>0.14000000000000001</v>
      </c>
      <c r="O207" s="25">
        <f>IF($C207&gt;0,IF(ISNUMBER(INDEX(Merge_1_2!$K$2:$K$611,$C207)),INDEX(Merge_1_2!$K$2:$K$611,$C207),""),INDEX(Dataset3_Raw!$K$2:$K$391,$E207))</f>
        <v>0.1212</v>
      </c>
      <c r="P207" s="25">
        <f>IF(ISNUMBER($O207),$O207,ROUND(Lookups!$B$25+Lookups!$B$24*$N207,4))</f>
        <v>0.1212</v>
      </c>
      <c r="Q207" s="25">
        <f>IF($C207&gt;0,INDEX(Merge_1_2!$L$2:$L$611,$C207),INDEX(Dataset3_Raw!$L$2:$L$391,$E207))</f>
        <v>0.46</v>
      </c>
      <c r="R207" s="25">
        <f>IF($C207&gt;0,INDEX(Merge_1_2!$M$2:$M$611,$C207),INDEX(Dataset3_Raw!$M$2:$M$391,$E207))</f>
        <v>0.25369999999999998</v>
      </c>
      <c r="S207" s="23">
        <f>IF($C207&gt;0,INDEX(Merge_1_2!$N$2:$N$611,$C207),INDEX(Dataset3_Raw!$N$2:$N$391,$E207))</f>
        <v>0</v>
      </c>
      <c r="T207" s="23">
        <f>IF($C207&gt;0,INDEX(Merge_1_2!$O$2:$O$611,$C207),INDEX(Dataset3_Raw!$O$2:$O$391,$E207))</f>
        <v>38</v>
      </c>
      <c r="U207" s="23">
        <f>IF($C207&gt;0,INDEX(Merge_1_2!$P$2:$P$611,$C207),INDEX(Dataset3_Raw!$P$2:$P$391,$E207))</f>
        <v>38</v>
      </c>
      <c r="V207" s="23" t="str">
        <f t="shared" si="19"/>
        <v>Weekend</v>
      </c>
      <c r="W207" s="23" t="str">
        <f>VLOOKUP($M207,Lookups!$A$5:$B$8,2,FALSE())</f>
        <v>Clear / Partly cloudy</v>
      </c>
      <c r="X207" s="23" t="str">
        <f>VLOOKUP($G207,Lookups!$D$5:$E$8,2,FALSE())</f>
        <v>Winter</v>
      </c>
      <c r="Y207" s="23" t="str">
        <f>VLOOKUP($L207,Lookups!$G$5:$H$11,2,FALSE())</f>
        <v>Sunday</v>
      </c>
      <c r="Z207" s="23" t="str">
        <f>IF($J207&lt;Lookups!$B$26,"Night",IF($J207&lt;Lookups!$B$27,"Morning",IF($J207&lt;Lookups!$B$28,"Afternoon","Evening")))</f>
        <v>Evening</v>
      </c>
      <c r="AA207" s="26">
        <f>ROUND($N207*(Lookups!$B$16-Lookups!$B$15)+Lookups!$B$15,1)</f>
        <v>-1.4</v>
      </c>
      <c r="AB207" s="26">
        <f>ROUND($P207*(Lookups!$B$18-Lookups!$B$17)+Lookups!$B$17,1)</f>
        <v>-8</v>
      </c>
      <c r="AC207" s="23">
        <f t="shared" si="20"/>
        <v>46</v>
      </c>
      <c r="AD207" s="23">
        <f>ROUND($R207*Lookups!$B$19,1)</f>
        <v>17</v>
      </c>
      <c r="AE207" s="27">
        <f t="shared" si="21"/>
        <v>1</v>
      </c>
      <c r="AF207" s="23" t="str">
        <f>IF($U207&gt;=Lookups!$B$23,"High",IF($U207&gt;=Lookups!$B$22,"Medium","Low"))</f>
        <v>Medium</v>
      </c>
      <c r="AG207" s="23">
        <f>ROUND(IF($V207="Weekday",IF(INDEX(Hourly_Analysis!$D$5:$D$28,$J207+1)&gt;0,($U207-INDEX(Hourly_Analysis!$C$5:$C$28,$J207+1))/INDEX(Hourly_Analysis!$D$5:$D$28,$J207+1),0),IF(INDEX(Hourly_Analysis!$G$5:$G$28,$J207+1)&gt;0,($U207-INDEX(Hourly_Analysis!$F$5:$F$28,$J207+1))/INDEX(Hourly_Analysis!$G$5:$G$28,$J207+1),0)),2)</f>
        <v>-0.13</v>
      </c>
      <c r="AH207" s="23" t="str">
        <f>IF(ABS($AG207)&gt;Lookups!$B$20,IF($AG207&gt;0,"High anomaly","Low anomaly"),"")</f>
        <v/>
      </c>
      <c r="AI207" s="23" t="str">
        <f t="shared" si="22"/>
        <v>OK</v>
      </c>
      <c r="AJ207" s="23" t="str">
        <f t="shared" si="23"/>
        <v>No</v>
      </c>
    </row>
    <row r="208" spans="1:36" x14ac:dyDescent="0.35">
      <c r="A208" s="23">
        <v>207</v>
      </c>
      <c r="B208" s="23" t="str">
        <f t="shared" si="18"/>
        <v>Merge 1+2</v>
      </c>
      <c r="C208" s="23">
        <f>IFERROR(MATCH($A208,Merge_1_2!$A$2:$A$611,0),0)</f>
        <v>207</v>
      </c>
      <c r="D208" s="23">
        <f>IF($C208&gt;0,INDEX(Merge_1_2!$Q$2:$Q$611,$C208),0)</f>
        <v>207</v>
      </c>
      <c r="E208" s="23">
        <f>IFERROR(MATCH($A208,Dataset3_Raw!$A$2:$A$391,0),0)</f>
        <v>0</v>
      </c>
      <c r="F208" s="24">
        <f>IF($C208&gt;0,INDEX(Merge_1_2!$B$2:$B$611,$C208),DATE(VALUE(RIGHT(INDEX(Dataset3_Raw!$B$2:$B$391,$E208),4)),VALUE(MID(INDEX(Dataset3_Raw!$B$2:$B$391,$E208),4,2)),VALUE(LEFT(INDEX(Dataset3_Raw!$B$2:$B$391,$E208),2))))</f>
        <v>40552</v>
      </c>
      <c r="G208" s="23">
        <f>IF($C208&gt;0,INDEX(Merge_1_2!$C$2:$C$611,$C208),INDEX(Dataset3_Raw!$C$2:$C$391,$E208))</f>
        <v>1</v>
      </c>
      <c r="H208" s="23">
        <f>IF($C208&gt;0,INDEX(Merge_1_2!$D$2:$D$611,$C208),INDEX(Dataset3_Raw!$D$2:$D$391,$E208))</f>
        <v>0</v>
      </c>
      <c r="I208" s="23">
        <f>IF($C208&gt;0,INDEX(Merge_1_2!$E$2:$E$611,$C208),INDEX(Dataset3_Raw!$E$2:$E$391,$E208))</f>
        <v>1</v>
      </c>
      <c r="J208" s="23">
        <f>IF($C208&gt;0,INDEX(Merge_1_2!$F$2:$F$611,$C208),INDEX(Dataset3_Raw!$F$2:$F$391,$E208))</f>
        <v>21</v>
      </c>
      <c r="K208" s="23" t="b">
        <f>IF($C208&gt;0,INDEX(Merge_1_2!$G$2:$G$611,$C208),INDEX(Dataset3_Raw!$G$2:$G$391,$E208))</f>
        <v>0</v>
      </c>
      <c r="L208" s="23">
        <f>IF($C208&gt;0,INDEX(Merge_1_2!$H$2:$H$611,$C208),INDEX(Dataset3_Raw!$H$2:$H$391,$E208))</f>
        <v>0</v>
      </c>
      <c r="M208" s="23">
        <f>IF($C208&gt;0,INDEX(Merge_1_2!$I$2:$I$611,$C208),INDEX(Dataset3_Raw!$I$2:$I$391,$E208))</f>
        <v>1</v>
      </c>
      <c r="N208" s="25">
        <f>IF($C208&gt;0,INDEX(Merge_1_2!$J$2:$J$611,$C208),INDEX(Dataset3_Raw!$J$2:$J$391,$E208))</f>
        <v>0.14000000000000001</v>
      </c>
      <c r="O208" s="25">
        <f>IF($C208&gt;0,IF(ISNUMBER(INDEX(Merge_1_2!$K$2:$K$611,$C208)),INDEX(Merge_1_2!$K$2:$K$611,$C208),""),INDEX(Dataset3_Raw!$K$2:$K$391,$E208))</f>
        <v>0.1061</v>
      </c>
      <c r="P208" s="25">
        <f>IF(ISNUMBER($O208),$O208,ROUND(Lookups!$B$25+Lookups!$B$24*$N208,4))</f>
        <v>0.1061</v>
      </c>
      <c r="Q208" s="25">
        <f>IF($C208&gt;0,INDEX(Merge_1_2!$L$2:$L$611,$C208),INDEX(Dataset3_Raw!$L$2:$L$391,$E208))</f>
        <v>0.46</v>
      </c>
      <c r="R208" s="25">
        <f>IF($C208&gt;0,INDEX(Merge_1_2!$M$2:$M$611,$C208),INDEX(Dataset3_Raw!$M$2:$M$391,$E208))</f>
        <v>0.41789999999999999</v>
      </c>
      <c r="S208" s="23">
        <f>IF($C208&gt;0,INDEX(Merge_1_2!$N$2:$N$611,$C208),INDEX(Dataset3_Raw!$N$2:$N$391,$E208))</f>
        <v>1</v>
      </c>
      <c r="T208" s="23">
        <f>IF($C208&gt;0,INDEX(Merge_1_2!$O$2:$O$611,$C208),INDEX(Dataset3_Raw!$O$2:$O$391,$E208))</f>
        <v>19</v>
      </c>
      <c r="U208" s="23">
        <f>IF($C208&gt;0,INDEX(Merge_1_2!$P$2:$P$611,$C208),INDEX(Dataset3_Raw!$P$2:$P$391,$E208))</f>
        <v>20</v>
      </c>
      <c r="V208" s="23" t="str">
        <f t="shared" si="19"/>
        <v>Weekend</v>
      </c>
      <c r="W208" s="23" t="str">
        <f>VLOOKUP($M208,Lookups!$A$5:$B$8,2,FALSE())</f>
        <v>Clear / Partly cloudy</v>
      </c>
      <c r="X208" s="23" t="str">
        <f>VLOOKUP($G208,Lookups!$D$5:$E$8,2,FALSE())</f>
        <v>Winter</v>
      </c>
      <c r="Y208" s="23" t="str">
        <f>VLOOKUP($L208,Lookups!$G$5:$H$11,2,FALSE())</f>
        <v>Sunday</v>
      </c>
      <c r="Z208" s="23" t="str">
        <f>IF($J208&lt;Lookups!$B$26,"Night",IF($J208&lt;Lookups!$B$27,"Morning",IF($J208&lt;Lookups!$B$28,"Afternoon","Evening")))</f>
        <v>Evening</v>
      </c>
      <c r="AA208" s="26">
        <f>ROUND($N208*(Lookups!$B$16-Lookups!$B$15)+Lookups!$B$15,1)</f>
        <v>-1.4</v>
      </c>
      <c r="AB208" s="26">
        <f>ROUND($P208*(Lookups!$B$18-Lookups!$B$17)+Lookups!$B$17,1)</f>
        <v>-9</v>
      </c>
      <c r="AC208" s="23">
        <f t="shared" si="20"/>
        <v>46</v>
      </c>
      <c r="AD208" s="23">
        <f>ROUND($R208*Lookups!$B$19,1)</f>
        <v>28</v>
      </c>
      <c r="AE208" s="27">
        <f t="shared" si="21"/>
        <v>0.95</v>
      </c>
      <c r="AF208" s="23" t="str">
        <f>IF($U208&gt;=Lookups!$B$23,"High",IF($U208&gt;=Lookups!$B$22,"Medium","Low"))</f>
        <v>Medium</v>
      </c>
      <c r="AG208" s="23">
        <f>ROUND(IF($V208="Weekday",IF(INDEX(Hourly_Analysis!$D$5:$D$28,$J208+1)&gt;0,($U208-INDEX(Hourly_Analysis!$C$5:$C$28,$J208+1))/INDEX(Hourly_Analysis!$D$5:$D$28,$J208+1),0),IF(INDEX(Hourly_Analysis!$G$5:$G$28,$J208+1)&gt;0,($U208-INDEX(Hourly_Analysis!$F$5:$F$28,$J208+1))/INDEX(Hourly_Analysis!$G$5:$G$28,$J208+1),0)),2)</f>
        <v>-1.38</v>
      </c>
      <c r="AH208" s="23" t="str">
        <f>IF(ABS($AG208)&gt;Lookups!$B$20,IF($AG208&gt;0,"High anomaly","Low anomaly"),"")</f>
        <v/>
      </c>
      <c r="AI208" s="23" t="str">
        <f t="shared" si="22"/>
        <v>OK</v>
      </c>
      <c r="AJ208" s="23" t="str">
        <f t="shared" si="23"/>
        <v>No</v>
      </c>
    </row>
    <row r="209" spans="1:36" x14ac:dyDescent="0.35">
      <c r="A209" s="23">
        <v>208</v>
      </c>
      <c r="B209" s="23" t="str">
        <f t="shared" si="18"/>
        <v>Merge 1+2</v>
      </c>
      <c r="C209" s="23">
        <f>IFERROR(MATCH($A209,Merge_1_2!$A$2:$A$611,0),0)</f>
        <v>208</v>
      </c>
      <c r="D209" s="23">
        <f>IF($C209&gt;0,INDEX(Merge_1_2!$Q$2:$Q$611,$C209),0)</f>
        <v>208</v>
      </c>
      <c r="E209" s="23">
        <f>IFERROR(MATCH($A209,Dataset3_Raw!$A$2:$A$391,0),0)</f>
        <v>0</v>
      </c>
      <c r="F209" s="24">
        <f>IF($C209&gt;0,INDEX(Merge_1_2!$B$2:$B$611,$C209),DATE(VALUE(RIGHT(INDEX(Dataset3_Raw!$B$2:$B$391,$E209),4)),VALUE(MID(INDEX(Dataset3_Raw!$B$2:$B$391,$E209),4,2)),VALUE(LEFT(INDEX(Dataset3_Raw!$B$2:$B$391,$E209),2))))</f>
        <v>40552</v>
      </c>
      <c r="G209" s="23">
        <f>IF($C209&gt;0,INDEX(Merge_1_2!$C$2:$C$611,$C209),INDEX(Dataset3_Raw!$C$2:$C$391,$E209))</f>
        <v>1</v>
      </c>
      <c r="H209" s="23">
        <f>IF($C209&gt;0,INDEX(Merge_1_2!$D$2:$D$611,$C209),INDEX(Dataset3_Raw!$D$2:$D$391,$E209))</f>
        <v>0</v>
      </c>
      <c r="I209" s="23">
        <f>IF($C209&gt;0,INDEX(Merge_1_2!$E$2:$E$611,$C209),INDEX(Dataset3_Raw!$E$2:$E$391,$E209))</f>
        <v>1</v>
      </c>
      <c r="J209" s="23">
        <f>IF($C209&gt;0,INDEX(Merge_1_2!$F$2:$F$611,$C209),INDEX(Dataset3_Raw!$F$2:$F$391,$E209))</f>
        <v>22</v>
      </c>
      <c r="K209" s="23" t="b">
        <f>IF($C209&gt;0,INDEX(Merge_1_2!$G$2:$G$611,$C209),INDEX(Dataset3_Raw!$G$2:$G$391,$E209))</f>
        <v>0</v>
      </c>
      <c r="L209" s="23">
        <f>IF($C209&gt;0,INDEX(Merge_1_2!$H$2:$H$611,$C209),INDEX(Dataset3_Raw!$H$2:$H$391,$E209))</f>
        <v>0</v>
      </c>
      <c r="M209" s="23">
        <f>IF($C209&gt;0,INDEX(Merge_1_2!$I$2:$I$611,$C209),INDEX(Dataset3_Raw!$I$2:$I$391,$E209))</f>
        <v>1</v>
      </c>
      <c r="N209" s="25">
        <f>IF($C209&gt;0,INDEX(Merge_1_2!$J$2:$J$611,$C209),INDEX(Dataset3_Raw!$J$2:$J$391,$E209))</f>
        <v>0.14000000000000001</v>
      </c>
      <c r="O209" s="25">
        <f>IF($C209&gt;0,IF(ISNUMBER(INDEX(Merge_1_2!$K$2:$K$611,$C209)),INDEX(Merge_1_2!$K$2:$K$611,$C209),""),INDEX(Dataset3_Raw!$K$2:$K$391,$E209))</f>
        <v>0.1212</v>
      </c>
      <c r="P209" s="25">
        <f>IF(ISNUMBER($O209),$O209,ROUND(Lookups!$B$25+Lookups!$B$24*$N209,4))</f>
        <v>0.1212</v>
      </c>
      <c r="Q209" s="25">
        <f>IF($C209&gt;0,INDEX(Merge_1_2!$L$2:$L$611,$C209),INDEX(Dataset3_Raw!$L$2:$L$391,$E209))</f>
        <v>0.46</v>
      </c>
      <c r="R209" s="25">
        <f>IF($C209&gt;0,INDEX(Merge_1_2!$M$2:$M$611,$C209),INDEX(Dataset3_Raw!$M$2:$M$391,$E209))</f>
        <v>0.29849999999999999</v>
      </c>
      <c r="S209" s="23">
        <f>IF($C209&gt;0,INDEX(Merge_1_2!$N$2:$N$611,$C209),INDEX(Dataset3_Raw!$N$2:$N$391,$E209))</f>
        <v>5</v>
      </c>
      <c r="T209" s="23">
        <f>IF($C209&gt;0,INDEX(Merge_1_2!$O$2:$O$611,$C209),INDEX(Dataset3_Raw!$O$2:$O$391,$E209))</f>
        <v>10</v>
      </c>
      <c r="U209" s="23">
        <f>IF($C209&gt;0,INDEX(Merge_1_2!$P$2:$P$611,$C209),INDEX(Dataset3_Raw!$P$2:$P$391,$E209))</f>
        <v>15</v>
      </c>
      <c r="V209" s="23" t="str">
        <f t="shared" si="19"/>
        <v>Weekend</v>
      </c>
      <c r="W209" s="23" t="str">
        <f>VLOOKUP($M209,Lookups!$A$5:$B$8,2,FALSE())</f>
        <v>Clear / Partly cloudy</v>
      </c>
      <c r="X209" s="23" t="str">
        <f>VLOOKUP($G209,Lookups!$D$5:$E$8,2,FALSE())</f>
        <v>Winter</v>
      </c>
      <c r="Y209" s="23" t="str">
        <f>VLOOKUP($L209,Lookups!$G$5:$H$11,2,FALSE())</f>
        <v>Sunday</v>
      </c>
      <c r="Z209" s="23" t="str">
        <f>IF($J209&lt;Lookups!$B$26,"Night",IF($J209&lt;Lookups!$B$27,"Morning",IF($J209&lt;Lookups!$B$28,"Afternoon","Evening")))</f>
        <v>Evening</v>
      </c>
      <c r="AA209" s="26">
        <f>ROUND($N209*(Lookups!$B$16-Lookups!$B$15)+Lookups!$B$15,1)</f>
        <v>-1.4</v>
      </c>
      <c r="AB209" s="26">
        <f>ROUND($P209*(Lookups!$B$18-Lookups!$B$17)+Lookups!$B$17,1)</f>
        <v>-8</v>
      </c>
      <c r="AC209" s="23">
        <f t="shared" si="20"/>
        <v>46</v>
      </c>
      <c r="AD209" s="23">
        <f>ROUND($R209*Lookups!$B$19,1)</f>
        <v>20</v>
      </c>
      <c r="AE209" s="27">
        <f t="shared" si="21"/>
        <v>0.66666666666666663</v>
      </c>
      <c r="AF209" s="23" t="str">
        <f>IF($U209&gt;=Lookups!$B$23,"High",IF($U209&gt;=Lookups!$B$22,"Medium","Low"))</f>
        <v>Low</v>
      </c>
      <c r="AG209" s="23">
        <f>ROUND(IF($V209="Weekday",IF(INDEX(Hourly_Analysis!$D$5:$D$28,$J209+1)&gt;0,($U209-INDEX(Hourly_Analysis!$C$5:$C$28,$J209+1))/INDEX(Hourly_Analysis!$D$5:$D$28,$J209+1),0),IF(INDEX(Hourly_Analysis!$G$5:$G$28,$J209+1)&gt;0,($U209-INDEX(Hourly_Analysis!$F$5:$F$28,$J209+1))/INDEX(Hourly_Analysis!$G$5:$G$28,$J209+1),0)),2)</f>
        <v>-1.06</v>
      </c>
      <c r="AH209" s="23" t="str">
        <f>IF(ABS($AG209)&gt;Lookups!$B$20,IF($AG209&gt;0,"High anomaly","Low anomaly"),"")</f>
        <v/>
      </c>
      <c r="AI209" s="23" t="str">
        <f t="shared" si="22"/>
        <v>OK</v>
      </c>
      <c r="AJ209" s="23" t="str">
        <f t="shared" si="23"/>
        <v>No</v>
      </c>
    </row>
    <row r="210" spans="1:36" x14ac:dyDescent="0.35">
      <c r="A210" s="23">
        <v>209</v>
      </c>
      <c r="B210" s="23" t="str">
        <f t="shared" si="18"/>
        <v>Merge 1+2</v>
      </c>
      <c r="C210" s="23">
        <f>IFERROR(MATCH($A210,Merge_1_2!$A$2:$A$611,0),0)</f>
        <v>209</v>
      </c>
      <c r="D210" s="23">
        <f>IF($C210&gt;0,INDEX(Merge_1_2!$Q$2:$Q$611,$C210),0)</f>
        <v>209</v>
      </c>
      <c r="E210" s="23">
        <f>IFERROR(MATCH($A210,Dataset3_Raw!$A$2:$A$391,0),0)</f>
        <v>0</v>
      </c>
      <c r="F210" s="24">
        <f>IF($C210&gt;0,INDEX(Merge_1_2!$B$2:$B$611,$C210),DATE(VALUE(RIGHT(INDEX(Dataset3_Raw!$B$2:$B$391,$E210),4)),VALUE(MID(INDEX(Dataset3_Raw!$B$2:$B$391,$E210),4,2)),VALUE(LEFT(INDEX(Dataset3_Raw!$B$2:$B$391,$E210),2))))</f>
        <v>40552</v>
      </c>
      <c r="G210" s="23">
        <f>IF($C210&gt;0,INDEX(Merge_1_2!$C$2:$C$611,$C210),INDEX(Dataset3_Raw!$C$2:$C$391,$E210))</f>
        <v>1</v>
      </c>
      <c r="H210" s="23">
        <f>IF($C210&gt;0,INDEX(Merge_1_2!$D$2:$D$611,$C210),INDEX(Dataset3_Raw!$D$2:$D$391,$E210))</f>
        <v>0</v>
      </c>
      <c r="I210" s="23">
        <f>IF($C210&gt;0,INDEX(Merge_1_2!$E$2:$E$611,$C210),INDEX(Dataset3_Raw!$E$2:$E$391,$E210))</f>
        <v>1</v>
      </c>
      <c r="J210" s="23">
        <f>IF($C210&gt;0,INDEX(Merge_1_2!$F$2:$F$611,$C210),INDEX(Dataset3_Raw!$F$2:$F$391,$E210))</f>
        <v>23</v>
      </c>
      <c r="K210" s="23" t="b">
        <f>IF($C210&gt;0,INDEX(Merge_1_2!$G$2:$G$611,$C210),INDEX(Dataset3_Raw!$G$2:$G$391,$E210))</f>
        <v>0</v>
      </c>
      <c r="L210" s="23">
        <f>IF($C210&gt;0,INDEX(Merge_1_2!$H$2:$H$611,$C210),INDEX(Dataset3_Raw!$H$2:$H$391,$E210))</f>
        <v>0</v>
      </c>
      <c r="M210" s="23">
        <f>IF($C210&gt;0,INDEX(Merge_1_2!$I$2:$I$611,$C210),INDEX(Dataset3_Raw!$I$2:$I$391,$E210))</f>
        <v>1</v>
      </c>
      <c r="N210" s="25">
        <f>IF($C210&gt;0,INDEX(Merge_1_2!$J$2:$J$611,$C210),INDEX(Dataset3_Raw!$J$2:$J$391,$E210))</f>
        <v>0.12</v>
      </c>
      <c r="O210" s="25">
        <f>IF($C210&gt;0,IF(ISNUMBER(INDEX(Merge_1_2!$K$2:$K$611,$C210)),INDEX(Merge_1_2!$K$2:$K$611,$C210),""),INDEX(Dataset3_Raw!$K$2:$K$391,$E210))</f>
        <v>0.13639999999999999</v>
      </c>
      <c r="P210" s="25">
        <f>IF(ISNUMBER($O210),$O210,ROUND(Lookups!$B$25+Lookups!$B$24*$N210,4))</f>
        <v>0.13639999999999999</v>
      </c>
      <c r="Q210" s="25">
        <f>IF($C210&gt;0,INDEX(Merge_1_2!$L$2:$L$611,$C210),INDEX(Dataset3_Raw!$L$2:$L$391,$E210))</f>
        <v>0.5</v>
      </c>
      <c r="R210" s="25">
        <f>IF($C210&gt;0,INDEX(Merge_1_2!$M$2:$M$611,$C210),INDEX(Dataset3_Raw!$M$2:$M$391,$E210))</f>
        <v>0.19400000000000001</v>
      </c>
      <c r="S210" s="23">
        <f>IF($C210&gt;0,INDEX(Merge_1_2!$N$2:$N$611,$C210),INDEX(Dataset3_Raw!$N$2:$N$391,$E210))</f>
        <v>0</v>
      </c>
      <c r="T210" s="23">
        <f>IF($C210&gt;0,INDEX(Merge_1_2!$O$2:$O$611,$C210),INDEX(Dataset3_Raw!$O$2:$O$391,$E210))</f>
        <v>6</v>
      </c>
      <c r="U210" s="23">
        <f>IF($C210&gt;0,INDEX(Merge_1_2!$P$2:$P$611,$C210),INDEX(Dataset3_Raw!$P$2:$P$391,$E210))</f>
        <v>6</v>
      </c>
      <c r="V210" s="23" t="str">
        <f t="shared" si="19"/>
        <v>Weekend</v>
      </c>
      <c r="W210" s="23" t="str">
        <f>VLOOKUP($M210,Lookups!$A$5:$B$8,2,FALSE())</f>
        <v>Clear / Partly cloudy</v>
      </c>
      <c r="X210" s="23" t="str">
        <f>VLOOKUP($G210,Lookups!$D$5:$E$8,2,FALSE())</f>
        <v>Winter</v>
      </c>
      <c r="Y210" s="23" t="str">
        <f>VLOOKUP($L210,Lookups!$G$5:$H$11,2,FALSE())</f>
        <v>Sunday</v>
      </c>
      <c r="Z210" s="23" t="str">
        <f>IF($J210&lt;Lookups!$B$26,"Night",IF($J210&lt;Lookups!$B$27,"Morning",IF($J210&lt;Lookups!$B$28,"Afternoon","Evening")))</f>
        <v>Evening</v>
      </c>
      <c r="AA210" s="26">
        <f>ROUND($N210*(Lookups!$B$16-Lookups!$B$15)+Lookups!$B$15,1)</f>
        <v>-2.4</v>
      </c>
      <c r="AB210" s="26">
        <f>ROUND($P210*(Lookups!$B$18-Lookups!$B$17)+Lookups!$B$17,1)</f>
        <v>-7</v>
      </c>
      <c r="AC210" s="23">
        <f t="shared" si="20"/>
        <v>50</v>
      </c>
      <c r="AD210" s="23">
        <f>ROUND($R210*Lookups!$B$19,1)</f>
        <v>13</v>
      </c>
      <c r="AE210" s="27">
        <f t="shared" si="21"/>
        <v>1</v>
      </c>
      <c r="AF210" s="23" t="str">
        <f>IF($U210&gt;=Lookups!$B$23,"High",IF($U210&gt;=Lookups!$B$22,"Medium","Low"))</f>
        <v>Low</v>
      </c>
      <c r="AG210" s="23">
        <f>ROUND(IF($V210="Weekday",IF(INDEX(Hourly_Analysis!$D$5:$D$28,$J210+1)&gt;0,($U210-INDEX(Hourly_Analysis!$C$5:$C$28,$J210+1))/INDEX(Hourly_Analysis!$D$5:$D$28,$J210+1),0),IF(INDEX(Hourly_Analysis!$G$5:$G$28,$J210+1)&gt;0,($U210-INDEX(Hourly_Analysis!$F$5:$F$28,$J210+1))/INDEX(Hourly_Analysis!$G$5:$G$28,$J210+1),0)),2)</f>
        <v>-1.39</v>
      </c>
      <c r="AH210" s="23" t="str">
        <f>IF(ABS($AG210)&gt;Lookups!$B$20,IF($AG210&gt;0,"High anomaly","Low anomaly"),"")</f>
        <v/>
      </c>
      <c r="AI210" s="23" t="str">
        <f t="shared" si="22"/>
        <v>OK</v>
      </c>
      <c r="AJ210" s="23" t="str">
        <f t="shared" si="23"/>
        <v>No</v>
      </c>
    </row>
    <row r="211" spans="1:36" x14ac:dyDescent="0.35">
      <c r="A211" s="23">
        <v>210</v>
      </c>
      <c r="B211" s="23" t="str">
        <f t="shared" si="18"/>
        <v>Merge 1+2</v>
      </c>
      <c r="C211" s="23">
        <f>IFERROR(MATCH($A211,Merge_1_2!$A$2:$A$611,0),0)</f>
        <v>210</v>
      </c>
      <c r="D211" s="23">
        <f>IF($C211&gt;0,INDEX(Merge_1_2!$Q$2:$Q$611,$C211),0)</f>
        <v>210</v>
      </c>
      <c r="E211" s="23">
        <f>IFERROR(MATCH($A211,Dataset3_Raw!$A$2:$A$391,0),0)</f>
        <v>0</v>
      </c>
      <c r="F211" s="24">
        <f>IF($C211&gt;0,INDEX(Merge_1_2!$B$2:$B$611,$C211),DATE(VALUE(RIGHT(INDEX(Dataset3_Raw!$B$2:$B$391,$E211),4)),VALUE(MID(INDEX(Dataset3_Raw!$B$2:$B$391,$E211),4,2)),VALUE(LEFT(INDEX(Dataset3_Raw!$B$2:$B$391,$E211),2))))</f>
        <v>40553</v>
      </c>
      <c r="G211" s="23">
        <f>IF($C211&gt;0,INDEX(Merge_1_2!$C$2:$C$611,$C211),INDEX(Dataset3_Raw!$C$2:$C$391,$E211))</f>
        <v>1</v>
      </c>
      <c r="H211" s="23">
        <f>IF($C211&gt;0,INDEX(Merge_1_2!$D$2:$D$611,$C211),INDEX(Dataset3_Raw!$D$2:$D$391,$E211))</f>
        <v>0</v>
      </c>
      <c r="I211" s="23">
        <f>IF($C211&gt;0,INDEX(Merge_1_2!$E$2:$E$611,$C211),INDEX(Dataset3_Raw!$E$2:$E$391,$E211))</f>
        <v>1</v>
      </c>
      <c r="J211" s="23">
        <f>IF($C211&gt;0,INDEX(Merge_1_2!$F$2:$F$611,$C211),INDEX(Dataset3_Raw!$F$2:$F$391,$E211))</f>
        <v>0</v>
      </c>
      <c r="K211" s="23" t="b">
        <f>IF($C211&gt;0,INDEX(Merge_1_2!$G$2:$G$611,$C211),INDEX(Dataset3_Raw!$G$2:$G$391,$E211))</f>
        <v>0</v>
      </c>
      <c r="L211" s="23">
        <f>IF($C211&gt;0,INDEX(Merge_1_2!$H$2:$H$611,$C211),INDEX(Dataset3_Raw!$H$2:$H$391,$E211))</f>
        <v>1</v>
      </c>
      <c r="M211" s="23">
        <f>IF($C211&gt;0,INDEX(Merge_1_2!$I$2:$I$611,$C211),INDEX(Dataset3_Raw!$I$2:$I$391,$E211))</f>
        <v>1</v>
      </c>
      <c r="N211" s="25">
        <f>IF($C211&gt;0,INDEX(Merge_1_2!$J$2:$J$611,$C211),INDEX(Dataset3_Raw!$J$2:$J$391,$E211))</f>
        <v>0.12</v>
      </c>
      <c r="O211" s="25">
        <f>IF($C211&gt;0,IF(ISNUMBER(INDEX(Merge_1_2!$K$2:$K$611,$C211)),INDEX(Merge_1_2!$K$2:$K$611,$C211),""),INDEX(Dataset3_Raw!$K$2:$K$391,$E211))</f>
        <v>0.1212</v>
      </c>
      <c r="P211" s="25">
        <f>IF(ISNUMBER($O211),$O211,ROUND(Lookups!$B$25+Lookups!$B$24*$N211,4))</f>
        <v>0.1212</v>
      </c>
      <c r="Q211" s="25">
        <f>IF($C211&gt;0,INDEX(Merge_1_2!$L$2:$L$611,$C211),INDEX(Dataset3_Raw!$L$2:$L$391,$E211))</f>
        <v>0.5</v>
      </c>
      <c r="R211" s="25">
        <f>IF($C211&gt;0,INDEX(Merge_1_2!$M$2:$M$611,$C211),INDEX(Dataset3_Raw!$M$2:$M$391,$E211))</f>
        <v>0.28360000000000002</v>
      </c>
      <c r="S211" s="23">
        <f>IF($C211&gt;0,INDEX(Merge_1_2!$N$2:$N$611,$C211),INDEX(Dataset3_Raw!$N$2:$N$391,$E211))</f>
        <v>2</v>
      </c>
      <c r="T211" s="23">
        <f>IF($C211&gt;0,INDEX(Merge_1_2!$O$2:$O$611,$C211),INDEX(Dataset3_Raw!$O$2:$O$391,$E211))</f>
        <v>3</v>
      </c>
      <c r="U211" s="23">
        <f>IF($C211&gt;0,INDEX(Merge_1_2!$P$2:$P$611,$C211),INDEX(Dataset3_Raw!$P$2:$P$391,$E211))</f>
        <v>5</v>
      </c>
      <c r="V211" s="23" t="str">
        <f t="shared" si="19"/>
        <v>Weekday</v>
      </c>
      <c r="W211" s="23" t="str">
        <f>VLOOKUP($M211,Lookups!$A$5:$B$8,2,FALSE())</f>
        <v>Clear / Partly cloudy</v>
      </c>
      <c r="X211" s="23" t="str">
        <f>VLOOKUP($G211,Lookups!$D$5:$E$8,2,FALSE())</f>
        <v>Winter</v>
      </c>
      <c r="Y211" s="23" t="str">
        <f>VLOOKUP($L211,Lookups!$G$5:$H$11,2,FALSE())</f>
        <v>Monday</v>
      </c>
      <c r="Z211" s="23" t="str">
        <f>IF($J211&lt;Lookups!$B$26,"Night",IF($J211&lt;Lookups!$B$27,"Morning",IF($J211&lt;Lookups!$B$28,"Afternoon","Evening")))</f>
        <v>Night</v>
      </c>
      <c r="AA211" s="26">
        <f>ROUND($N211*(Lookups!$B$16-Lookups!$B$15)+Lookups!$B$15,1)</f>
        <v>-2.4</v>
      </c>
      <c r="AB211" s="26">
        <f>ROUND($P211*(Lookups!$B$18-Lookups!$B$17)+Lookups!$B$17,1)</f>
        <v>-8</v>
      </c>
      <c r="AC211" s="23">
        <f t="shared" si="20"/>
        <v>50</v>
      </c>
      <c r="AD211" s="23">
        <f>ROUND($R211*Lookups!$B$19,1)</f>
        <v>19</v>
      </c>
      <c r="AE211" s="27">
        <f t="shared" si="21"/>
        <v>0.6</v>
      </c>
      <c r="AF211" s="23" t="str">
        <f>IF($U211&gt;=Lookups!$B$23,"High",IF($U211&gt;=Lookups!$B$22,"Medium","Low"))</f>
        <v>Low</v>
      </c>
      <c r="AG211" s="23">
        <f>ROUND(IF($V211="Weekday",IF(INDEX(Hourly_Analysis!$D$5:$D$28,$J211+1)&gt;0,($U211-INDEX(Hourly_Analysis!$C$5:$C$28,$J211+1))/INDEX(Hourly_Analysis!$D$5:$D$28,$J211+1),0),IF(INDEX(Hourly_Analysis!$G$5:$G$28,$J211+1)&gt;0,($U211-INDEX(Hourly_Analysis!$F$5:$F$28,$J211+1))/INDEX(Hourly_Analysis!$G$5:$G$28,$J211+1),0)),2)</f>
        <v>-1.1299999999999999</v>
      </c>
      <c r="AH211" s="23" t="str">
        <f>IF(ABS($AG211)&gt;Lookups!$B$20,IF($AG211&gt;0,"High anomaly","Low anomaly"),"")</f>
        <v/>
      </c>
      <c r="AI211" s="23" t="str">
        <f t="shared" si="22"/>
        <v>OK</v>
      </c>
      <c r="AJ211" s="23" t="str">
        <f t="shared" si="23"/>
        <v>No</v>
      </c>
    </row>
    <row r="212" spans="1:36" x14ac:dyDescent="0.35">
      <c r="A212" s="23">
        <v>211</v>
      </c>
      <c r="B212" s="23" t="str">
        <f t="shared" si="18"/>
        <v>Merge 1+2</v>
      </c>
      <c r="C212" s="23">
        <f>IFERROR(MATCH($A212,Merge_1_2!$A$2:$A$611,0),0)</f>
        <v>211</v>
      </c>
      <c r="D212" s="23">
        <f>IF($C212&gt;0,INDEX(Merge_1_2!$Q$2:$Q$611,$C212),0)</f>
        <v>211</v>
      </c>
      <c r="E212" s="23">
        <f>IFERROR(MATCH($A212,Dataset3_Raw!$A$2:$A$391,0),0)</f>
        <v>0</v>
      </c>
      <c r="F212" s="24">
        <f>IF($C212&gt;0,INDEX(Merge_1_2!$B$2:$B$611,$C212),DATE(VALUE(RIGHT(INDEX(Dataset3_Raw!$B$2:$B$391,$E212),4)),VALUE(MID(INDEX(Dataset3_Raw!$B$2:$B$391,$E212),4,2)),VALUE(LEFT(INDEX(Dataset3_Raw!$B$2:$B$391,$E212),2))))</f>
        <v>40553</v>
      </c>
      <c r="G212" s="23">
        <f>IF($C212&gt;0,INDEX(Merge_1_2!$C$2:$C$611,$C212),INDEX(Dataset3_Raw!$C$2:$C$391,$E212))</f>
        <v>1</v>
      </c>
      <c r="H212" s="23">
        <f>IF($C212&gt;0,INDEX(Merge_1_2!$D$2:$D$611,$C212),INDEX(Dataset3_Raw!$D$2:$D$391,$E212))</f>
        <v>0</v>
      </c>
      <c r="I212" s="23">
        <f>IF($C212&gt;0,INDEX(Merge_1_2!$E$2:$E$611,$C212),INDEX(Dataset3_Raw!$E$2:$E$391,$E212))</f>
        <v>1</v>
      </c>
      <c r="J212" s="23">
        <f>IF($C212&gt;0,INDEX(Merge_1_2!$F$2:$F$611,$C212),INDEX(Dataset3_Raw!$F$2:$F$391,$E212))</f>
        <v>1</v>
      </c>
      <c r="K212" s="23" t="b">
        <f>IF($C212&gt;0,INDEX(Merge_1_2!$G$2:$G$611,$C212),INDEX(Dataset3_Raw!$G$2:$G$391,$E212))</f>
        <v>0</v>
      </c>
      <c r="L212" s="23">
        <f>IF($C212&gt;0,INDEX(Merge_1_2!$H$2:$H$611,$C212),INDEX(Dataset3_Raw!$H$2:$H$391,$E212))</f>
        <v>1</v>
      </c>
      <c r="M212" s="23">
        <f>IF($C212&gt;0,INDEX(Merge_1_2!$I$2:$I$611,$C212),INDEX(Dataset3_Raw!$I$2:$I$391,$E212))</f>
        <v>1</v>
      </c>
      <c r="N212" s="25">
        <f>IF($C212&gt;0,INDEX(Merge_1_2!$J$2:$J$611,$C212),INDEX(Dataset3_Raw!$J$2:$J$391,$E212))</f>
        <v>0.12</v>
      </c>
      <c r="O212" s="25">
        <f>IF($C212&gt;0,IF(ISNUMBER(INDEX(Merge_1_2!$K$2:$K$611,$C212)),INDEX(Merge_1_2!$K$2:$K$611,$C212),""),INDEX(Dataset3_Raw!$K$2:$K$391,$E212))</f>
        <v>0.1212</v>
      </c>
      <c r="P212" s="25">
        <f>IF(ISNUMBER($O212),$O212,ROUND(Lookups!$B$25+Lookups!$B$24*$N212,4))</f>
        <v>0.1212</v>
      </c>
      <c r="Q212" s="25">
        <f>IF($C212&gt;0,INDEX(Merge_1_2!$L$2:$L$611,$C212),INDEX(Dataset3_Raw!$L$2:$L$391,$E212))</f>
        <v>0.5</v>
      </c>
      <c r="R212" s="25">
        <f>IF($C212&gt;0,INDEX(Merge_1_2!$M$2:$M$611,$C212),INDEX(Dataset3_Raw!$M$2:$M$391,$E212))</f>
        <v>0.28360000000000002</v>
      </c>
      <c r="S212" s="23">
        <f>IF($C212&gt;0,INDEX(Merge_1_2!$N$2:$N$611,$C212),INDEX(Dataset3_Raw!$N$2:$N$391,$E212))</f>
        <v>1</v>
      </c>
      <c r="T212" s="23">
        <f>IF($C212&gt;0,INDEX(Merge_1_2!$O$2:$O$611,$C212),INDEX(Dataset3_Raw!$O$2:$O$391,$E212))</f>
        <v>0</v>
      </c>
      <c r="U212" s="23">
        <f>IF($C212&gt;0,INDEX(Merge_1_2!$P$2:$P$611,$C212),INDEX(Dataset3_Raw!$P$2:$P$391,$E212))</f>
        <v>1</v>
      </c>
      <c r="V212" s="23" t="str">
        <f t="shared" si="19"/>
        <v>Weekday</v>
      </c>
      <c r="W212" s="23" t="str">
        <f>VLOOKUP($M212,Lookups!$A$5:$B$8,2,FALSE())</f>
        <v>Clear / Partly cloudy</v>
      </c>
      <c r="X212" s="23" t="str">
        <f>VLOOKUP($G212,Lookups!$D$5:$E$8,2,FALSE())</f>
        <v>Winter</v>
      </c>
      <c r="Y212" s="23" t="str">
        <f>VLOOKUP($L212,Lookups!$G$5:$H$11,2,FALSE())</f>
        <v>Monday</v>
      </c>
      <c r="Z212" s="23" t="str">
        <f>IF($J212&lt;Lookups!$B$26,"Night",IF($J212&lt;Lookups!$B$27,"Morning",IF($J212&lt;Lookups!$B$28,"Afternoon","Evening")))</f>
        <v>Night</v>
      </c>
      <c r="AA212" s="26">
        <f>ROUND($N212*(Lookups!$B$16-Lookups!$B$15)+Lookups!$B$15,1)</f>
        <v>-2.4</v>
      </c>
      <c r="AB212" s="26">
        <f>ROUND($P212*(Lookups!$B$18-Lookups!$B$17)+Lookups!$B$17,1)</f>
        <v>-8</v>
      </c>
      <c r="AC212" s="23">
        <f t="shared" si="20"/>
        <v>50</v>
      </c>
      <c r="AD212" s="23">
        <f>ROUND($R212*Lookups!$B$19,1)</f>
        <v>19</v>
      </c>
      <c r="AE212" s="27">
        <f t="shared" si="21"/>
        <v>0</v>
      </c>
      <c r="AF212" s="23" t="str">
        <f>IF($U212&gt;=Lookups!$B$23,"High",IF($U212&gt;=Lookups!$B$22,"Medium","Low"))</f>
        <v>Low</v>
      </c>
      <c r="AG212" s="23">
        <f>ROUND(IF($V212="Weekday",IF(INDEX(Hourly_Analysis!$D$5:$D$28,$J212+1)&gt;0,($U212-INDEX(Hourly_Analysis!$C$5:$C$28,$J212+1))/INDEX(Hourly_Analysis!$D$5:$D$28,$J212+1),0),IF(INDEX(Hourly_Analysis!$G$5:$G$28,$J212+1)&gt;0,($U212-INDEX(Hourly_Analysis!$F$5:$F$28,$J212+1))/INDEX(Hourly_Analysis!$G$5:$G$28,$J212+1),0)),2)</f>
        <v>-1.84</v>
      </c>
      <c r="AH212" s="23" t="str">
        <f>IF(ABS($AG212)&gt;Lookups!$B$20,IF($AG212&gt;0,"High anomaly","Low anomaly"),"")</f>
        <v/>
      </c>
      <c r="AI212" s="23" t="str">
        <f t="shared" si="22"/>
        <v>OK</v>
      </c>
      <c r="AJ212" s="23" t="str">
        <f t="shared" si="23"/>
        <v>No</v>
      </c>
    </row>
    <row r="213" spans="1:36" x14ac:dyDescent="0.35">
      <c r="A213" s="23">
        <v>212</v>
      </c>
      <c r="B213" s="23" t="str">
        <f t="shared" si="18"/>
        <v>Merge 1+2</v>
      </c>
      <c r="C213" s="23">
        <f>IFERROR(MATCH($A213,Merge_1_2!$A$2:$A$611,0),0)</f>
        <v>212</v>
      </c>
      <c r="D213" s="23">
        <f>IF($C213&gt;0,INDEX(Merge_1_2!$Q$2:$Q$611,$C213),0)</f>
        <v>212</v>
      </c>
      <c r="E213" s="23">
        <f>IFERROR(MATCH($A213,Dataset3_Raw!$A$2:$A$391,0),0)</f>
        <v>0</v>
      </c>
      <c r="F213" s="24">
        <f>IF($C213&gt;0,INDEX(Merge_1_2!$B$2:$B$611,$C213),DATE(VALUE(RIGHT(INDEX(Dataset3_Raw!$B$2:$B$391,$E213),4)),VALUE(MID(INDEX(Dataset3_Raw!$B$2:$B$391,$E213),4,2)),VALUE(LEFT(INDEX(Dataset3_Raw!$B$2:$B$391,$E213),2))))</f>
        <v>40553</v>
      </c>
      <c r="G213" s="23">
        <f>IF($C213&gt;0,INDEX(Merge_1_2!$C$2:$C$611,$C213),INDEX(Dataset3_Raw!$C$2:$C$391,$E213))</f>
        <v>1</v>
      </c>
      <c r="H213" s="23">
        <f>IF($C213&gt;0,INDEX(Merge_1_2!$D$2:$D$611,$C213),INDEX(Dataset3_Raw!$D$2:$D$391,$E213))</f>
        <v>0</v>
      </c>
      <c r="I213" s="23">
        <f>IF($C213&gt;0,INDEX(Merge_1_2!$E$2:$E$611,$C213),INDEX(Dataset3_Raw!$E$2:$E$391,$E213))</f>
        <v>1</v>
      </c>
      <c r="J213" s="23">
        <f>IF($C213&gt;0,INDEX(Merge_1_2!$F$2:$F$611,$C213),INDEX(Dataset3_Raw!$F$2:$F$391,$E213))</f>
        <v>2</v>
      </c>
      <c r="K213" s="23" t="b">
        <f>IF($C213&gt;0,INDEX(Merge_1_2!$G$2:$G$611,$C213),INDEX(Dataset3_Raw!$G$2:$G$391,$E213))</f>
        <v>0</v>
      </c>
      <c r="L213" s="23">
        <f>IF($C213&gt;0,INDEX(Merge_1_2!$H$2:$H$611,$C213),INDEX(Dataset3_Raw!$H$2:$H$391,$E213))</f>
        <v>1</v>
      </c>
      <c r="M213" s="23">
        <f>IF($C213&gt;0,INDEX(Merge_1_2!$I$2:$I$611,$C213),INDEX(Dataset3_Raw!$I$2:$I$391,$E213))</f>
        <v>1</v>
      </c>
      <c r="N213" s="25">
        <f>IF($C213&gt;0,INDEX(Merge_1_2!$J$2:$J$611,$C213),INDEX(Dataset3_Raw!$J$2:$J$391,$E213))</f>
        <v>0.12</v>
      </c>
      <c r="O213" s="25">
        <f>IF($C213&gt;0,IF(ISNUMBER(INDEX(Merge_1_2!$K$2:$K$611,$C213)),INDEX(Merge_1_2!$K$2:$K$611,$C213),""),INDEX(Dataset3_Raw!$K$2:$K$391,$E213))</f>
        <v>0.1212</v>
      </c>
      <c r="P213" s="25">
        <f>IF(ISNUMBER($O213),$O213,ROUND(Lookups!$B$25+Lookups!$B$24*$N213,4))</f>
        <v>0.1212</v>
      </c>
      <c r="Q213" s="25">
        <f>IF($C213&gt;0,INDEX(Merge_1_2!$L$2:$L$611,$C213),INDEX(Dataset3_Raw!$L$2:$L$391,$E213))</f>
        <v>0.5</v>
      </c>
      <c r="R213" s="25">
        <f>IF($C213&gt;0,INDEX(Merge_1_2!$M$2:$M$611,$C213),INDEX(Dataset3_Raw!$M$2:$M$391,$E213))</f>
        <v>0.22389999999999999</v>
      </c>
      <c r="S213" s="23">
        <f>IF($C213&gt;0,INDEX(Merge_1_2!$N$2:$N$611,$C213),INDEX(Dataset3_Raw!$N$2:$N$391,$E213))</f>
        <v>0</v>
      </c>
      <c r="T213" s="23">
        <f>IF($C213&gt;0,INDEX(Merge_1_2!$O$2:$O$611,$C213),INDEX(Dataset3_Raw!$O$2:$O$391,$E213))</f>
        <v>3</v>
      </c>
      <c r="U213" s="23">
        <f>IF($C213&gt;0,INDEX(Merge_1_2!$P$2:$P$611,$C213),INDEX(Dataset3_Raw!$P$2:$P$391,$E213))</f>
        <v>3</v>
      </c>
      <c r="V213" s="23" t="str">
        <f t="shared" si="19"/>
        <v>Weekday</v>
      </c>
      <c r="W213" s="23" t="str">
        <f>VLOOKUP($M213,Lookups!$A$5:$B$8,2,FALSE())</f>
        <v>Clear / Partly cloudy</v>
      </c>
      <c r="X213" s="23" t="str">
        <f>VLOOKUP($G213,Lookups!$D$5:$E$8,2,FALSE())</f>
        <v>Winter</v>
      </c>
      <c r="Y213" s="23" t="str">
        <f>VLOOKUP($L213,Lookups!$G$5:$H$11,2,FALSE())</f>
        <v>Monday</v>
      </c>
      <c r="Z213" s="23" t="str">
        <f>IF($J213&lt;Lookups!$B$26,"Night",IF($J213&lt;Lookups!$B$27,"Morning",IF($J213&lt;Lookups!$B$28,"Afternoon","Evening")))</f>
        <v>Night</v>
      </c>
      <c r="AA213" s="26">
        <f>ROUND($N213*(Lookups!$B$16-Lookups!$B$15)+Lookups!$B$15,1)</f>
        <v>-2.4</v>
      </c>
      <c r="AB213" s="26">
        <f>ROUND($P213*(Lookups!$B$18-Lookups!$B$17)+Lookups!$B$17,1)</f>
        <v>-8</v>
      </c>
      <c r="AC213" s="23">
        <f t="shared" si="20"/>
        <v>50</v>
      </c>
      <c r="AD213" s="23">
        <f>ROUND($R213*Lookups!$B$19,1)</f>
        <v>15</v>
      </c>
      <c r="AE213" s="27">
        <f t="shared" si="21"/>
        <v>1</v>
      </c>
      <c r="AF213" s="23" t="str">
        <f>IF($U213&gt;=Lookups!$B$23,"High",IF($U213&gt;=Lookups!$B$22,"Medium","Low"))</f>
        <v>Low</v>
      </c>
      <c r="AG213" s="23">
        <f>ROUND(IF($V213="Weekday",IF(INDEX(Hourly_Analysis!$D$5:$D$28,$J213+1)&gt;0,($U213-INDEX(Hourly_Analysis!$C$5:$C$28,$J213+1))/INDEX(Hourly_Analysis!$D$5:$D$28,$J213+1),0),IF(INDEX(Hourly_Analysis!$G$5:$G$28,$J213+1)&gt;0,($U213-INDEX(Hourly_Analysis!$F$5:$F$28,$J213+1))/INDEX(Hourly_Analysis!$G$5:$G$28,$J213+1),0)),2)</f>
        <v>0.33</v>
      </c>
      <c r="AH213" s="23" t="str">
        <f>IF(ABS($AG213)&gt;Lookups!$B$20,IF($AG213&gt;0,"High anomaly","Low anomaly"),"")</f>
        <v/>
      </c>
      <c r="AI213" s="23" t="str">
        <f t="shared" si="22"/>
        <v>OK</v>
      </c>
      <c r="AJ213" s="23" t="str">
        <f t="shared" si="23"/>
        <v>No</v>
      </c>
    </row>
    <row r="214" spans="1:36" x14ac:dyDescent="0.35">
      <c r="A214" s="23">
        <v>213</v>
      </c>
      <c r="B214" s="23" t="str">
        <f t="shared" si="18"/>
        <v>Merge 1+2</v>
      </c>
      <c r="C214" s="23">
        <f>IFERROR(MATCH($A214,Merge_1_2!$A$2:$A$611,0),0)</f>
        <v>213</v>
      </c>
      <c r="D214" s="23">
        <f>IF($C214&gt;0,INDEX(Merge_1_2!$Q$2:$Q$611,$C214),0)</f>
        <v>213</v>
      </c>
      <c r="E214" s="23">
        <f>IFERROR(MATCH($A214,Dataset3_Raw!$A$2:$A$391,0),0)</f>
        <v>0</v>
      </c>
      <c r="F214" s="24">
        <f>IF($C214&gt;0,INDEX(Merge_1_2!$B$2:$B$611,$C214),DATE(VALUE(RIGHT(INDEX(Dataset3_Raw!$B$2:$B$391,$E214),4)),VALUE(MID(INDEX(Dataset3_Raw!$B$2:$B$391,$E214),4,2)),VALUE(LEFT(INDEX(Dataset3_Raw!$B$2:$B$391,$E214),2))))</f>
        <v>40553</v>
      </c>
      <c r="G214" s="23">
        <f>IF($C214&gt;0,INDEX(Merge_1_2!$C$2:$C$611,$C214),INDEX(Dataset3_Raw!$C$2:$C$391,$E214))</f>
        <v>1</v>
      </c>
      <c r="H214" s="23">
        <f>IF($C214&gt;0,INDEX(Merge_1_2!$D$2:$D$611,$C214),INDEX(Dataset3_Raw!$D$2:$D$391,$E214))</f>
        <v>0</v>
      </c>
      <c r="I214" s="23">
        <f>IF($C214&gt;0,INDEX(Merge_1_2!$E$2:$E$611,$C214),INDEX(Dataset3_Raw!$E$2:$E$391,$E214))</f>
        <v>1</v>
      </c>
      <c r="J214" s="23">
        <f>IF($C214&gt;0,INDEX(Merge_1_2!$F$2:$F$611,$C214),INDEX(Dataset3_Raw!$F$2:$F$391,$E214))</f>
        <v>3</v>
      </c>
      <c r="K214" s="23" t="b">
        <f>IF($C214&gt;0,INDEX(Merge_1_2!$G$2:$G$611,$C214),INDEX(Dataset3_Raw!$G$2:$G$391,$E214))</f>
        <v>0</v>
      </c>
      <c r="L214" s="23">
        <f>IF($C214&gt;0,INDEX(Merge_1_2!$H$2:$H$611,$C214),INDEX(Dataset3_Raw!$H$2:$H$391,$E214))</f>
        <v>1</v>
      </c>
      <c r="M214" s="23">
        <f>IF($C214&gt;0,INDEX(Merge_1_2!$I$2:$I$611,$C214),INDEX(Dataset3_Raw!$I$2:$I$391,$E214))</f>
        <v>1</v>
      </c>
      <c r="N214" s="25">
        <f>IF($C214&gt;0,INDEX(Merge_1_2!$J$2:$J$611,$C214),INDEX(Dataset3_Raw!$J$2:$J$391,$E214))</f>
        <v>0.12</v>
      </c>
      <c r="O214" s="25">
        <f>IF($C214&gt;0,IF(ISNUMBER(INDEX(Merge_1_2!$K$2:$K$611,$C214)),INDEX(Merge_1_2!$K$2:$K$611,$C214),""),INDEX(Dataset3_Raw!$K$2:$K$391,$E214))</f>
        <v>0.1212</v>
      </c>
      <c r="P214" s="25">
        <f>IF(ISNUMBER($O214),$O214,ROUND(Lookups!$B$25+Lookups!$B$24*$N214,4))</f>
        <v>0.1212</v>
      </c>
      <c r="Q214" s="25">
        <f>IF($C214&gt;0,INDEX(Merge_1_2!$L$2:$L$611,$C214),INDEX(Dataset3_Raw!$L$2:$L$391,$E214))</f>
        <v>0.5</v>
      </c>
      <c r="R214" s="25">
        <f>IF($C214&gt;0,INDEX(Merge_1_2!$M$2:$M$611,$C214),INDEX(Dataset3_Raw!$M$2:$M$391,$E214))</f>
        <v>0.22389999999999999</v>
      </c>
      <c r="S214" s="23">
        <f>IF($C214&gt;0,INDEX(Merge_1_2!$N$2:$N$611,$C214),INDEX(Dataset3_Raw!$N$2:$N$391,$E214))</f>
        <v>0</v>
      </c>
      <c r="T214" s="23">
        <f>IF($C214&gt;0,INDEX(Merge_1_2!$O$2:$O$611,$C214),INDEX(Dataset3_Raw!$O$2:$O$391,$E214))</f>
        <v>1</v>
      </c>
      <c r="U214" s="23">
        <f>IF($C214&gt;0,INDEX(Merge_1_2!$P$2:$P$611,$C214),INDEX(Dataset3_Raw!$P$2:$P$391,$E214))</f>
        <v>1</v>
      </c>
      <c r="V214" s="23" t="str">
        <f t="shared" si="19"/>
        <v>Weekday</v>
      </c>
      <c r="W214" s="23" t="str">
        <f>VLOOKUP($M214,Lookups!$A$5:$B$8,2,FALSE())</f>
        <v>Clear / Partly cloudy</v>
      </c>
      <c r="X214" s="23" t="str">
        <f>VLOOKUP($G214,Lookups!$D$5:$E$8,2,FALSE())</f>
        <v>Winter</v>
      </c>
      <c r="Y214" s="23" t="str">
        <f>VLOOKUP($L214,Lookups!$G$5:$H$11,2,FALSE())</f>
        <v>Monday</v>
      </c>
      <c r="Z214" s="23" t="str">
        <f>IF($J214&lt;Lookups!$B$26,"Night",IF($J214&lt;Lookups!$B$27,"Morning",IF($J214&lt;Lookups!$B$28,"Afternoon","Evening")))</f>
        <v>Night</v>
      </c>
      <c r="AA214" s="26">
        <f>ROUND($N214*(Lookups!$B$16-Lookups!$B$15)+Lookups!$B$15,1)</f>
        <v>-2.4</v>
      </c>
      <c r="AB214" s="26">
        <f>ROUND($P214*(Lookups!$B$18-Lookups!$B$17)+Lookups!$B$17,1)</f>
        <v>-8</v>
      </c>
      <c r="AC214" s="23">
        <f t="shared" si="20"/>
        <v>50</v>
      </c>
      <c r="AD214" s="23">
        <f>ROUND($R214*Lookups!$B$19,1)</f>
        <v>15</v>
      </c>
      <c r="AE214" s="27">
        <f t="shared" si="21"/>
        <v>1</v>
      </c>
      <c r="AF214" s="23" t="str">
        <f>IF($U214&gt;=Lookups!$B$23,"High",IF($U214&gt;=Lookups!$B$22,"Medium","Low"))</f>
        <v>Low</v>
      </c>
      <c r="AG214" s="23">
        <f>ROUND(IF($V214="Weekday",IF(INDEX(Hourly_Analysis!$D$5:$D$28,$J214+1)&gt;0,($U214-INDEX(Hourly_Analysis!$C$5:$C$28,$J214+1))/INDEX(Hourly_Analysis!$D$5:$D$28,$J214+1),0),IF(INDEX(Hourly_Analysis!$G$5:$G$28,$J214+1)&gt;0,($U214-INDEX(Hourly_Analysis!$F$5:$F$28,$J214+1))/INDEX(Hourly_Analysis!$G$5:$G$28,$J214+1),0)),2)</f>
        <v>-0.61</v>
      </c>
      <c r="AH214" s="23" t="str">
        <f>IF(ABS($AG214)&gt;Lookups!$B$20,IF($AG214&gt;0,"High anomaly","Low anomaly"),"")</f>
        <v/>
      </c>
      <c r="AI214" s="23" t="str">
        <f t="shared" si="22"/>
        <v>OK</v>
      </c>
      <c r="AJ214" s="23" t="str">
        <f t="shared" si="23"/>
        <v>No</v>
      </c>
    </row>
    <row r="215" spans="1:36" x14ac:dyDescent="0.35">
      <c r="A215" s="23">
        <v>214</v>
      </c>
      <c r="B215" s="23" t="str">
        <f t="shared" si="18"/>
        <v>Merge 1+2</v>
      </c>
      <c r="C215" s="23">
        <f>IFERROR(MATCH($A215,Merge_1_2!$A$2:$A$611,0),0)</f>
        <v>214</v>
      </c>
      <c r="D215" s="23">
        <f>IF($C215&gt;0,INDEX(Merge_1_2!$Q$2:$Q$611,$C215),0)</f>
        <v>214</v>
      </c>
      <c r="E215" s="23">
        <f>IFERROR(MATCH($A215,Dataset3_Raw!$A$2:$A$391,0),0)</f>
        <v>0</v>
      </c>
      <c r="F215" s="24">
        <f>IF($C215&gt;0,INDEX(Merge_1_2!$B$2:$B$611,$C215),DATE(VALUE(RIGHT(INDEX(Dataset3_Raw!$B$2:$B$391,$E215),4)),VALUE(MID(INDEX(Dataset3_Raw!$B$2:$B$391,$E215),4,2)),VALUE(LEFT(INDEX(Dataset3_Raw!$B$2:$B$391,$E215),2))))</f>
        <v>40553</v>
      </c>
      <c r="G215" s="23">
        <f>IF($C215&gt;0,INDEX(Merge_1_2!$C$2:$C$611,$C215),INDEX(Dataset3_Raw!$C$2:$C$391,$E215))</f>
        <v>1</v>
      </c>
      <c r="H215" s="23">
        <f>IF($C215&gt;0,INDEX(Merge_1_2!$D$2:$D$611,$C215),INDEX(Dataset3_Raw!$D$2:$D$391,$E215))</f>
        <v>0</v>
      </c>
      <c r="I215" s="23">
        <f>IF($C215&gt;0,INDEX(Merge_1_2!$E$2:$E$611,$C215),INDEX(Dataset3_Raw!$E$2:$E$391,$E215))</f>
        <v>1</v>
      </c>
      <c r="J215" s="23">
        <f>IF($C215&gt;0,INDEX(Merge_1_2!$F$2:$F$611,$C215),INDEX(Dataset3_Raw!$F$2:$F$391,$E215))</f>
        <v>4</v>
      </c>
      <c r="K215" s="23" t="b">
        <f>IF($C215&gt;0,INDEX(Merge_1_2!$G$2:$G$611,$C215),INDEX(Dataset3_Raw!$G$2:$G$391,$E215))</f>
        <v>0</v>
      </c>
      <c r="L215" s="23">
        <f>IF($C215&gt;0,INDEX(Merge_1_2!$H$2:$H$611,$C215),INDEX(Dataset3_Raw!$H$2:$H$391,$E215))</f>
        <v>1</v>
      </c>
      <c r="M215" s="23">
        <f>IF($C215&gt;0,INDEX(Merge_1_2!$I$2:$I$611,$C215),INDEX(Dataset3_Raw!$I$2:$I$391,$E215))</f>
        <v>1</v>
      </c>
      <c r="N215" s="25">
        <f>IF($C215&gt;0,INDEX(Merge_1_2!$J$2:$J$611,$C215),INDEX(Dataset3_Raw!$J$2:$J$391,$E215))</f>
        <v>0.1</v>
      </c>
      <c r="O215" s="25">
        <f>IF($C215&gt;0,IF(ISNUMBER(INDEX(Merge_1_2!$K$2:$K$611,$C215)),INDEX(Merge_1_2!$K$2:$K$611,$C215),""),INDEX(Dataset3_Raw!$K$2:$K$391,$E215))</f>
        <v>0.1212</v>
      </c>
      <c r="P215" s="25">
        <f>IF(ISNUMBER($O215),$O215,ROUND(Lookups!$B$25+Lookups!$B$24*$N215,4))</f>
        <v>0.1212</v>
      </c>
      <c r="Q215" s="25">
        <f>IF($C215&gt;0,INDEX(Merge_1_2!$L$2:$L$611,$C215),INDEX(Dataset3_Raw!$L$2:$L$391,$E215))</f>
        <v>0.54</v>
      </c>
      <c r="R215" s="25">
        <f>IF($C215&gt;0,INDEX(Merge_1_2!$M$2:$M$611,$C215),INDEX(Dataset3_Raw!$M$2:$M$391,$E215))</f>
        <v>0.1343</v>
      </c>
      <c r="S215" s="23">
        <f>IF($C215&gt;0,INDEX(Merge_1_2!$N$2:$N$611,$C215),INDEX(Dataset3_Raw!$N$2:$N$391,$E215))</f>
        <v>1</v>
      </c>
      <c r="T215" s="23">
        <f>IF($C215&gt;0,INDEX(Merge_1_2!$O$2:$O$611,$C215),INDEX(Dataset3_Raw!$O$2:$O$391,$E215))</f>
        <v>2</v>
      </c>
      <c r="U215" s="23">
        <f>IF($C215&gt;0,INDEX(Merge_1_2!$P$2:$P$611,$C215),INDEX(Dataset3_Raw!$P$2:$P$391,$E215))</f>
        <v>3</v>
      </c>
      <c r="V215" s="23" t="str">
        <f t="shared" si="19"/>
        <v>Weekday</v>
      </c>
      <c r="W215" s="23" t="str">
        <f>VLOOKUP($M215,Lookups!$A$5:$B$8,2,FALSE())</f>
        <v>Clear / Partly cloudy</v>
      </c>
      <c r="X215" s="23" t="str">
        <f>VLOOKUP($G215,Lookups!$D$5:$E$8,2,FALSE())</f>
        <v>Winter</v>
      </c>
      <c r="Y215" s="23" t="str">
        <f>VLOOKUP($L215,Lookups!$G$5:$H$11,2,FALSE())</f>
        <v>Monday</v>
      </c>
      <c r="Z215" s="23" t="str">
        <f>IF($J215&lt;Lookups!$B$26,"Night",IF($J215&lt;Lookups!$B$27,"Morning",IF($J215&lt;Lookups!$B$28,"Afternoon","Evening")))</f>
        <v>Night</v>
      </c>
      <c r="AA215" s="26">
        <f>ROUND($N215*(Lookups!$B$16-Lookups!$B$15)+Lookups!$B$15,1)</f>
        <v>-3.3</v>
      </c>
      <c r="AB215" s="26">
        <f>ROUND($P215*(Lookups!$B$18-Lookups!$B$17)+Lookups!$B$17,1)</f>
        <v>-8</v>
      </c>
      <c r="AC215" s="23">
        <f t="shared" si="20"/>
        <v>54</v>
      </c>
      <c r="AD215" s="23">
        <f>ROUND($R215*Lookups!$B$19,1)</f>
        <v>9</v>
      </c>
      <c r="AE215" s="27">
        <f t="shared" si="21"/>
        <v>0.66666666666666663</v>
      </c>
      <c r="AF215" s="23" t="str">
        <f>IF($U215&gt;=Lookups!$B$23,"High",IF($U215&gt;=Lookups!$B$22,"Medium","Low"))</f>
        <v>Low</v>
      </c>
      <c r="AG215" s="23">
        <f>ROUND(IF($V215="Weekday",IF(INDEX(Hourly_Analysis!$D$5:$D$28,$J215+1)&gt;0,($U215-INDEX(Hourly_Analysis!$C$5:$C$28,$J215+1))/INDEX(Hourly_Analysis!$D$5:$D$28,$J215+1),0),IF(INDEX(Hourly_Analysis!$G$5:$G$28,$J215+1)&gt;0,($U215-INDEX(Hourly_Analysis!$F$5:$F$28,$J215+1))/INDEX(Hourly_Analysis!$G$5:$G$28,$J215+1),0)),2)</f>
        <v>1.43</v>
      </c>
      <c r="AH215" s="23" t="str">
        <f>IF(ABS($AG215)&gt;Lookups!$B$20,IF($AG215&gt;0,"High anomaly","Low anomaly"),"")</f>
        <v/>
      </c>
      <c r="AI215" s="23" t="str">
        <f t="shared" si="22"/>
        <v>OK</v>
      </c>
      <c r="AJ215" s="23" t="str">
        <f t="shared" si="23"/>
        <v>No</v>
      </c>
    </row>
    <row r="216" spans="1:36" x14ac:dyDescent="0.35">
      <c r="A216" s="23">
        <v>215</v>
      </c>
      <c r="B216" s="23" t="str">
        <f t="shared" si="18"/>
        <v>Merge 1+2</v>
      </c>
      <c r="C216" s="23">
        <f>IFERROR(MATCH($A216,Merge_1_2!$A$2:$A$611,0),0)</f>
        <v>215</v>
      </c>
      <c r="D216" s="23">
        <f>IF($C216&gt;0,INDEX(Merge_1_2!$Q$2:$Q$611,$C216),0)</f>
        <v>215</v>
      </c>
      <c r="E216" s="23">
        <f>IFERROR(MATCH($A216,Dataset3_Raw!$A$2:$A$391,0),0)</f>
        <v>0</v>
      </c>
      <c r="F216" s="24">
        <f>IF($C216&gt;0,INDEX(Merge_1_2!$B$2:$B$611,$C216),DATE(VALUE(RIGHT(INDEX(Dataset3_Raw!$B$2:$B$391,$E216),4)),VALUE(MID(INDEX(Dataset3_Raw!$B$2:$B$391,$E216),4,2)),VALUE(LEFT(INDEX(Dataset3_Raw!$B$2:$B$391,$E216),2))))</f>
        <v>40553</v>
      </c>
      <c r="G216" s="23">
        <f>IF($C216&gt;0,INDEX(Merge_1_2!$C$2:$C$611,$C216),INDEX(Dataset3_Raw!$C$2:$C$391,$E216))</f>
        <v>1</v>
      </c>
      <c r="H216" s="23">
        <f>IF($C216&gt;0,INDEX(Merge_1_2!$D$2:$D$611,$C216),INDEX(Dataset3_Raw!$D$2:$D$391,$E216))</f>
        <v>0</v>
      </c>
      <c r="I216" s="23">
        <f>IF($C216&gt;0,INDEX(Merge_1_2!$E$2:$E$611,$C216),INDEX(Dataset3_Raw!$E$2:$E$391,$E216))</f>
        <v>1</v>
      </c>
      <c r="J216" s="23">
        <f>IF($C216&gt;0,INDEX(Merge_1_2!$F$2:$F$611,$C216),INDEX(Dataset3_Raw!$F$2:$F$391,$E216))</f>
        <v>5</v>
      </c>
      <c r="K216" s="23" t="b">
        <f>IF($C216&gt;0,INDEX(Merge_1_2!$G$2:$G$611,$C216),INDEX(Dataset3_Raw!$G$2:$G$391,$E216))</f>
        <v>0</v>
      </c>
      <c r="L216" s="23">
        <f>IF($C216&gt;0,INDEX(Merge_1_2!$H$2:$H$611,$C216),INDEX(Dataset3_Raw!$H$2:$H$391,$E216))</f>
        <v>1</v>
      </c>
      <c r="M216" s="23">
        <f>IF($C216&gt;0,INDEX(Merge_1_2!$I$2:$I$611,$C216),INDEX(Dataset3_Raw!$I$2:$I$391,$E216))</f>
        <v>1</v>
      </c>
      <c r="N216" s="25">
        <f>IF($C216&gt;0,INDEX(Merge_1_2!$J$2:$J$611,$C216),INDEX(Dataset3_Raw!$J$2:$J$391,$E216))</f>
        <v>0.1</v>
      </c>
      <c r="O216" s="25">
        <f>IF($C216&gt;0,IF(ISNUMBER(INDEX(Merge_1_2!$K$2:$K$611,$C216)),INDEX(Merge_1_2!$K$2:$K$611,$C216),""),INDEX(Dataset3_Raw!$K$2:$K$391,$E216))</f>
        <v>0.1061</v>
      </c>
      <c r="P216" s="25">
        <f>IF(ISNUMBER($O216),$O216,ROUND(Lookups!$B$25+Lookups!$B$24*$N216,4))</f>
        <v>0.1061</v>
      </c>
      <c r="Q216" s="25">
        <f>IF($C216&gt;0,INDEX(Merge_1_2!$L$2:$L$611,$C216),INDEX(Dataset3_Raw!$L$2:$L$391,$E216))</f>
        <v>0.54</v>
      </c>
      <c r="R216" s="25">
        <f>IF($C216&gt;0,INDEX(Merge_1_2!$M$2:$M$611,$C216),INDEX(Dataset3_Raw!$M$2:$M$391,$E216))</f>
        <v>0.25369999999999998</v>
      </c>
      <c r="S216" s="23">
        <f>IF($C216&gt;0,INDEX(Merge_1_2!$N$2:$N$611,$C216),INDEX(Dataset3_Raw!$N$2:$N$391,$E216))</f>
        <v>0</v>
      </c>
      <c r="T216" s="23">
        <f>IF($C216&gt;0,INDEX(Merge_1_2!$O$2:$O$611,$C216),INDEX(Dataset3_Raw!$O$2:$O$391,$E216))</f>
        <v>3</v>
      </c>
      <c r="U216" s="23">
        <f>IF($C216&gt;0,INDEX(Merge_1_2!$P$2:$P$611,$C216),INDEX(Dataset3_Raw!$P$2:$P$391,$E216))</f>
        <v>3</v>
      </c>
      <c r="V216" s="23" t="str">
        <f t="shared" si="19"/>
        <v>Weekday</v>
      </c>
      <c r="W216" s="23" t="str">
        <f>VLOOKUP($M216,Lookups!$A$5:$B$8,2,FALSE())</f>
        <v>Clear / Partly cloudy</v>
      </c>
      <c r="X216" s="23" t="str">
        <f>VLOOKUP($G216,Lookups!$D$5:$E$8,2,FALSE())</f>
        <v>Winter</v>
      </c>
      <c r="Y216" s="23" t="str">
        <f>VLOOKUP($L216,Lookups!$G$5:$H$11,2,FALSE())</f>
        <v>Monday</v>
      </c>
      <c r="Z216" s="23" t="str">
        <f>IF($J216&lt;Lookups!$B$26,"Night",IF($J216&lt;Lookups!$B$27,"Morning",IF($J216&lt;Lookups!$B$28,"Afternoon","Evening")))</f>
        <v>Night</v>
      </c>
      <c r="AA216" s="26">
        <f>ROUND($N216*(Lookups!$B$16-Lookups!$B$15)+Lookups!$B$15,1)</f>
        <v>-3.3</v>
      </c>
      <c r="AB216" s="26">
        <f>ROUND($P216*(Lookups!$B$18-Lookups!$B$17)+Lookups!$B$17,1)</f>
        <v>-9</v>
      </c>
      <c r="AC216" s="23">
        <f t="shared" si="20"/>
        <v>54</v>
      </c>
      <c r="AD216" s="23">
        <f>ROUND($R216*Lookups!$B$19,1)</f>
        <v>17</v>
      </c>
      <c r="AE216" s="27">
        <f t="shared" si="21"/>
        <v>1</v>
      </c>
      <c r="AF216" s="23" t="str">
        <f>IF($U216&gt;=Lookups!$B$23,"High",IF($U216&gt;=Lookups!$B$22,"Medium","Low"))</f>
        <v>Low</v>
      </c>
      <c r="AG216" s="23">
        <f>ROUND(IF($V216="Weekday",IF(INDEX(Hourly_Analysis!$D$5:$D$28,$J216+1)&gt;0,($U216-INDEX(Hourly_Analysis!$C$5:$C$28,$J216+1))/INDEX(Hourly_Analysis!$D$5:$D$28,$J216+1),0),IF(INDEX(Hourly_Analysis!$G$5:$G$28,$J216+1)&gt;0,($U216-INDEX(Hourly_Analysis!$F$5:$F$28,$J216+1))/INDEX(Hourly_Analysis!$G$5:$G$28,$J216+1),0)),2)</f>
        <v>-0.82</v>
      </c>
      <c r="AH216" s="23" t="str">
        <f>IF(ABS($AG216)&gt;Lookups!$B$20,IF($AG216&gt;0,"High anomaly","Low anomaly"),"")</f>
        <v/>
      </c>
      <c r="AI216" s="23" t="str">
        <f t="shared" si="22"/>
        <v>OK</v>
      </c>
      <c r="AJ216" s="23" t="str">
        <f t="shared" si="23"/>
        <v>No</v>
      </c>
    </row>
    <row r="217" spans="1:36" x14ac:dyDescent="0.35">
      <c r="A217" s="23">
        <v>216</v>
      </c>
      <c r="B217" s="23" t="str">
        <f t="shared" si="18"/>
        <v>Merge 1+2</v>
      </c>
      <c r="C217" s="23">
        <f>IFERROR(MATCH($A217,Merge_1_2!$A$2:$A$611,0),0)</f>
        <v>216</v>
      </c>
      <c r="D217" s="23">
        <f>IF($C217&gt;0,INDEX(Merge_1_2!$Q$2:$Q$611,$C217),0)</f>
        <v>216</v>
      </c>
      <c r="E217" s="23">
        <f>IFERROR(MATCH($A217,Dataset3_Raw!$A$2:$A$391,0),0)</f>
        <v>0</v>
      </c>
      <c r="F217" s="24">
        <f>IF($C217&gt;0,INDEX(Merge_1_2!$B$2:$B$611,$C217),DATE(VALUE(RIGHT(INDEX(Dataset3_Raw!$B$2:$B$391,$E217),4)),VALUE(MID(INDEX(Dataset3_Raw!$B$2:$B$391,$E217),4,2)),VALUE(LEFT(INDEX(Dataset3_Raw!$B$2:$B$391,$E217),2))))</f>
        <v>40553</v>
      </c>
      <c r="G217" s="23">
        <f>IF($C217&gt;0,INDEX(Merge_1_2!$C$2:$C$611,$C217),INDEX(Dataset3_Raw!$C$2:$C$391,$E217))</f>
        <v>1</v>
      </c>
      <c r="H217" s="23">
        <f>IF($C217&gt;0,INDEX(Merge_1_2!$D$2:$D$611,$C217),INDEX(Dataset3_Raw!$D$2:$D$391,$E217))</f>
        <v>0</v>
      </c>
      <c r="I217" s="23">
        <f>IF($C217&gt;0,INDEX(Merge_1_2!$E$2:$E$611,$C217),INDEX(Dataset3_Raw!$E$2:$E$391,$E217))</f>
        <v>1</v>
      </c>
      <c r="J217" s="23">
        <f>IF($C217&gt;0,INDEX(Merge_1_2!$F$2:$F$611,$C217),INDEX(Dataset3_Raw!$F$2:$F$391,$E217))</f>
        <v>6</v>
      </c>
      <c r="K217" s="23" t="b">
        <f>IF($C217&gt;0,INDEX(Merge_1_2!$G$2:$G$611,$C217),INDEX(Dataset3_Raw!$G$2:$G$391,$E217))</f>
        <v>0</v>
      </c>
      <c r="L217" s="23">
        <f>IF($C217&gt;0,INDEX(Merge_1_2!$H$2:$H$611,$C217),INDEX(Dataset3_Raw!$H$2:$H$391,$E217))</f>
        <v>1</v>
      </c>
      <c r="M217" s="23">
        <f>IF($C217&gt;0,INDEX(Merge_1_2!$I$2:$I$611,$C217),INDEX(Dataset3_Raw!$I$2:$I$391,$E217))</f>
        <v>1</v>
      </c>
      <c r="N217" s="25">
        <f>IF($C217&gt;0,INDEX(Merge_1_2!$J$2:$J$611,$C217),INDEX(Dataset3_Raw!$J$2:$J$391,$E217))</f>
        <v>0.12</v>
      </c>
      <c r="O217" s="25">
        <f>IF($C217&gt;0,IF(ISNUMBER(INDEX(Merge_1_2!$K$2:$K$611,$C217)),INDEX(Merge_1_2!$K$2:$K$611,$C217),""),INDEX(Dataset3_Raw!$K$2:$K$391,$E217))</f>
        <v>0.1212</v>
      </c>
      <c r="P217" s="25">
        <f>IF(ISNUMBER($O217),$O217,ROUND(Lookups!$B$25+Lookups!$B$24*$N217,4))</f>
        <v>0.1212</v>
      </c>
      <c r="Q217" s="25">
        <f>IF($C217&gt;0,INDEX(Merge_1_2!$L$2:$L$611,$C217),INDEX(Dataset3_Raw!$L$2:$L$391,$E217))</f>
        <v>0.5</v>
      </c>
      <c r="R217" s="25">
        <f>IF($C217&gt;0,INDEX(Merge_1_2!$M$2:$M$611,$C217),INDEX(Dataset3_Raw!$M$2:$M$391,$E217))</f>
        <v>0.28360000000000002</v>
      </c>
      <c r="S217" s="23">
        <f>IF($C217&gt;0,INDEX(Merge_1_2!$N$2:$N$611,$C217),INDEX(Dataset3_Raw!$N$2:$N$391,$E217))</f>
        <v>0</v>
      </c>
      <c r="T217" s="23">
        <f>IF($C217&gt;0,INDEX(Merge_1_2!$O$2:$O$611,$C217),INDEX(Dataset3_Raw!$O$2:$O$391,$E217))</f>
        <v>31</v>
      </c>
      <c r="U217" s="23">
        <f>IF($C217&gt;0,INDEX(Merge_1_2!$P$2:$P$611,$C217),INDEX(Dataset3_Raw!$P$2:$P$391,$E217))</f>
        <v>31</v>
      </c>
      <c r="V217" s="23" t="str">
        <f t="shared" si="19"/>
        <v>Weekday</v>
      </c>
      <c r="W217" s="23" t="str">
        <f>VLOOKUP($M217,Lookups!$A$5:$B$8,2,FALSE())</f>
        <v>Clear / Partly cloudy</v>
      </c>
      <c r="X217" s="23" t="str">
        <f>VLOOKUP($G217,Lookups!$D$5:$E$8,2,FALSE())</f>
        <v>Winter</v>
      </c>
      <c r="Y217" s="23" t="str">
        <f>VLOOKUP($L217,Lookups!$G$5:$H$11,2,FALSE())</f>
        <v>Monday</v>
      </c>
      <c r="Z217" s="23" t="str">
        <f>IF($J217&lt;Lookups!$B$26,"Night",IF($J217&lt;Lookups!$B$27,"Morning",IF($J217&lt;Lookups!$B$28,"Afternoon","Evening")))</f>
        <v>Morning</v>
      </c>
      <c r="AA217" s="26">
        <f>ROUND($N217*(Lookups!$B$16-Lookups!$B$15)+Lookups!$B$15,1)</f>
        <v>-2.4</v>
      </c>
      <c r="AB217" s="26">
        <f>ROUND($P217*(Lookups!$B$18-Lookups!$B$17)+Lookups!$B$17,1)</f>
        <v>-8</v>
      </c>
      <c r="AC217" s="23">
        <f t="shared" si="20"/>
        <v>50</v>
      </c>
      <c r="AD217" s="23">
        <f>ROUND($R217*Lookups!$B$19,1)</f>
        <v>19</v>
      </c>
      <c r="AE217" s="27">
        <f t="shared" si="21"/>
        <v>1</v>
      </c>
      <c r="AF217" s="23" t="str">
        <f>IF($U217&gt;=Lookups!$B$23,"High",IF($U217&gt;=Lookups!$B$22,"Medium","Low"))</f>
        <v>Medium</v>
      </c>
      <c r="AG217" s="23">
        <f>ROUND(IF($V217="Weekday",IF(INDEX(Hourly_Analysis!$D$5:$D$28,$J217+1)&gt;0,($U217-INDEX(Hourly_Analysis!$C$5:$C$28,$J217+1))/INDEX(Hourly_Analysis!$D$5:$D$28,$J217+1),0),IF(INDEX(Hourly_Analysis!$G$5:$G$28,$J217+1)&gt;0,($U217-INDEX(Hourly_Analysis!$F$5:$F$28,$J217+1))/INDEX(Hourly_Analysis!$G$5:$G$28,$J217+1),0)),2)</f>
        <v>0.33</v>
      </c>
      <c r="AH217" s="23" t="str">
        <f>IF(ABS($AG217)&gt;Lookups!$B$20,IF($AG217&gt;0,"High anomaly","Low anomaly"),"")</f>
        <v/>
      </c>
      <c r="AI217" s="23" t="str">
        <f t="shared" si="22"/>
        <v>OK</v>
      </c>
      <c r="AJ217" s="23" t="str">
        <f t="shared" si="23"/>
        <v>No</v>
      </c>
    </row>
    <row r="218" spans="1:36" x14ac:dyDescent="0.35">
      <c r="A218" s="23">
        <v>217</v>
      </c>
      <c r="B218" s="23" t="str">
        <f t="shared" si="18"/>
        <v>Merge 1+2</v>
      </c>
      <c r="C218" s="23">
        <f>IFERROR(MATCH($A218,Merge_1_2!$A$2:$A$611,0),0)</f>
        <v>217</v>
      </c>
      <c r="D218" s="23">
        <f>IF($C218&gt;0,INDEX(Merge_1_2!$Q$2:$Q$611,$C218),0)</f>
        <v>217</v>
      </c>
      <c r="E218" s="23">
        <f>IFERROR(MATCH($A218,Dataset3_Raw!$A$2:$A$391,0),0)</f>
        <v>0</v>
      </c>
      <c r="F218" s="24">
        <f>IF($C218&gt;0,INDEX(Merge_1_2!$B$2:$B$611,$C218),DATE(VALUE(RIGHT(INDEX(Dataset3_Raw!$B$2:$B$391,$E218),4)),VALUE(MID(INDEX(Dataset3_Raw!$B$2:$B$391,$E218),4,2)),VALUE(LEFT(INDEX(Dataset3_Raw!$B$2:$B$391,$E218),2))))</f>
        <v>40553</v>
      </c>
      <c r="G218" s="23">
        <f>IF($C218&gt;0,INDEX(Merge_1_2!$C$2:$C$611,$C218),INDEX(Dataset3_Raw!$C$2:$C$391,$E218))</f>
        <v>1</v>
      </c>
      <c r="H218" s="23">
        <f>IF($C218&gt;0,INDEX(Merge_1_2!$D$2:$D$611,$C218),INDEX(Dataset3_Raw!$D$2:$D$391,$E218))</f>
        <v>0</v>
      </c>
      <c r="I218" s="23">
        <f>IF($C218&gt;0,INDEX(Merge_1_2!$E$2:$E$611,$C218),INDEX(Dataset3_Raw!$E$2:$E$391,$E218))</f>
        <v>1</v>
      </c>
      <c r="J218" s="23">
        <f>IF($C218&gt;0,INDEX(Merge_1_2!$F$2:$F$611,$C218),INDEX(Dataset3_Raw!$F$2:$F$391,$E218))</f>
        <v>7</v>
      </c>
      <c r="K218" s="23" t="b">
        <f>IF($C218&gt;0,INDEX(Merge_1_2!$G$2:$G$611,$C218),INDEX(Dataset3_Raw!$G$2:$G$391,$E218))</f>
        <v>0</v>
      </c>
      <c r="L218" s="23">
        <f>IF($C218&gt;0,INDEX(Merge_1_2!$H$2:$H$611,$C218),INDEX(Dataset3_Raw!$H$2:$H$391,$E218))</f>
        <v>1</v>
      </c>
      <c r="M218" s="23">
        <f>IF($C218&gt;0,INDEX(Merge_1_2!$I$2:$I$611,$C218),INDEX(Dataset3_Raw!$I$2:$I$391,$E218))</f>
        <v>1</v>
      </c>
      <c r="N218" s="25">
        <f>IF($C218&gt;0,INDEX(Merge_1_2!$J$2:$J$611,$C218),INDEX(Dataset3_Raw!$J$2:$J$391,$E218))</f>
        <v>0.12</v>
      </c>
      <c r="O218" s="25">
        <f>IF($C218&gt;0,IF(ISNUMBER(INDEX(Merge_1_2!$K$2:$K$611,$C218)),INDEX(Merge_1_2!$K$2:$K$611,$C218),""),INDEX(Dataset3_Raw!$K$2:$K$391,$E218))</f>
        <v>0.1212</v>
      </c>
      <c r="P218" s="25">
        <f>IF(ISNUMBER($O218),$O218,ROUND(Lookups!$B$25+Lookups!$B$24*$N218,4))</f>
        <v>0.1212</v>
      </c>
      <c r="Q218" s="25">
        <f>IF($C218&gt;0,INDEX(Merge_1_2!$L$2:$L$611,$C218),INDEX(Dataset3_Raw!$L$2:$L$391,$E218))</f>
        <v>0.5</v>
      </c>
      <c r="R218" s="25">
        <f>IF($C218&gt;0,INDEX(Merge_1_2!$M$2:$M$611,$C218),INDEX(Dataset3_Raw!$M$2:$M$391,$E218))</f>
        <v>0.22389999999999999</v>
      </c>
      <c r="S218" s="23">
        <f>IF($C218&gt;0,INDEX(Merge_1_2!$N$2:$N$611,$C218),INDEX(Dataset3_Raw!$N$2:$N$391,$E218))</f>
        <v>2</v>
      </c>
      <c r="T218" s="23">
        <f>IF($C218&gt;0,INDEX(Merge_1_2!$O$2:$O$611,$C218),INDEX(Dataset3_Raw!$O$2:$O$391,$E218))</f>
        <v>75</v>
      </c>
      <c r="U218" s="23">
        <f>IF($C218&gt;0,INDEX(Merge_1_2!$P$2:$P$611,$C218),INDEX(Dataset3_Raw!$P$2:$P$391,$E218))</f>
        <v>77</v>
      </c>
      <c r="V218" s="23" t="str">
        <f t="shared" si="19"/>
        <v>Weekday</v>
      </c>
      <c r="W218" s="23" t="str">
        <f>VLOOKUP($M218,Lookups!$A$5:$B$8,2,FALSE())</f>
        <v>Clear / Partly cloudy</v>
      </c>
      <c r="X218" s="23" t="str">
        <f>VLOOKUP($G218,Lookups!$D$5:$E$8,2,FALSE())</f>
        <v>Winter</v>
      </c>
      <c r="Y218" s="23" t="str">
        <f>VLOOKUP($L218,Lookups!$G$5:$H$11,2,FALSE())</f>
        <v>Monday</v>
      </c>
      <c r="Z218" s="23" t="str">
        <f>IF($J218&lt;Lookups!$B$26,"Night",IF($J218&lt;Lookups!$B$27,"Morning",IF($J218&lt;Lookups!$B$28,"Afternoon","Evening")))</f>
        <v>Morning</v>
      </c>
      <c r="AA218" s="26">
        <f>ROUND($N218*(Lookups!$B$16-Lookups!$B$15)+Lookups!$B$15,1)</f>
        <v>-2.4</v>
      </c>
      <c r="AB218" s="26">
        <f>ROUND($P218*(Lookups!$B$18-Lookups!$B$17)+Lookups!$B$17,1)</f>
        <v>-8</v>
      </c>
      <c r="AC218" s="23">
        <f t="shared" si="20"/>
        <v>50</v>
      </c>
      <c r="AD218" s="23">
        <f>ROUND($R218*Lookups!$B$19,1)</f>
        <v>15</v>
      </c>
      <c r="AE218" s="27">
        <f t="shared" si="21"/>
        <v>0.97402597402597402</v>
      </c>
      <c r="AF218" s="23" t="str">
        <f>IF($U218&gt;=Lookups!$B$23,"High",IF($U218&gt;=Lookups!$B$22,"Medium","Low"))</f>
        <v>Medium</v>
      </c>
      <c r="AG218" s="23">
        <f>ROUND(IF($V218="Weekday",IF(INDEX(Hourly_Analysis!$D$5:$D$28,$J218+1)&gt;0,($U218-INDEX(Hourly_Analysis!$C$5:$C$28,$J218+1))/INDEX(Hourly_Analysis!$D$5:$D$28,$J218+1),0),IF(INDEX(Hourly_Analysis!$G$5:$G$28,$J218+1)&gt;0,($U218-INDEX(Hourly_Analysis!$F$5:$F$28,$J218+1))/INDEX(Hourly_Analysis!$G$5:$G$28,$J218+1),0)),2)</f>
        <v>-0.17</v>
      </c>
      <c r="AH218" s="23" t="str">
        <f>IF(ABS($AG218)&gt;Lookups!$B$20,IF($AG218&gt;0,"High anomaly","Low anomaly"),"")</f>
        <v/>
      </c>
      <c r="AI218" s="23" t="str">
        <f t="shared" si="22"/>
        <v>OK</v>
      </c>
      <c r="AJ218" s="23" t="str">
        <f t="shared" si="23"/>
        <v>No</v>
      </c>
    </row>
    <row r="219" spans="1:36" x14ac:dyDescent="0.35">
      <c r="A219" s="23">
        <v>218</v>
      </c>
      <c r="B219" s="23" t="str">
        <f t="shared" si="18"/>
        <v>Merge 1+2</v>
      </c>
      <c r="C219" s="23">
        <f>IFERROR(MATCH($A219,Merge_1_2!$A$2:$A$611,0),0)</f>
        <v>218</v>
      </c>
      <c r="D219" s="23">
        <f>IF($C219&gt;0,INDEX(Merge_1_2!$Q$2:$Q$611,$C219),0)</f>
        <v>218</v>
      </c>
      <c r="E219" s="23">
        <f>IFERROR(MATCH($A219,Dataset3_Raw!$A$2:$A$391,0),0)</f>
        <v>0</v>
      </c>
      <c r="F219" s="24">
        <f>IF($C219&gt;0,INDEX(Merge_1_2!$B$2:$B$611,$C219),DATE(VALUE(RIGHT(INDEX(Dataset3_Raw!$B$2:$B$391,$E219),4)),VALUE(MID(INDEX(Dataset3_Raw!$B$2:$B$391,$E219),4,2)),VALUE(LEFT(INDEX(Dataset3_Raw!$B$2:$B$391,$E219),2))))</f>
        <v>40553</v>
      </c>
      <c r="G219" s="23">
        <f>IF($C219&gt;0,INDEX(Merge_1_2!$C$2:$C$611,$C219),INDEX(Dataset3_Raw!$C$2:$C$391,$E219))</f>
        <v>1</v>
      </c>
      <c r="H219" s="23">
        <f>IF($C219&gt;0,INDEX(Merge_1_2!$D$2:$D$611,$C219),INDEX(Dataset3_Raw!$D$2:$D$391,$E219))</f>
        <v>0</v>
      </c>
      <c r="I219" s="23">
        <f>IF($C219&gt;0,INDEX(Merge_1_2!$E$2:$E$611,$C219),INDEX(Dataset3_Raw!$E$2:$E$391,$E219))</f>
        <v>1</v>
      </c>
      <c r="J219" s="23">
        <f>IF($C219&gt;0,INDEX(Merge_1_2!$F$2:$F$611,$C219),INDEX(Dataset3_Raw!$F$2:$F$391,$E219))</f>
        <v>8</v>
      </c>
      <c r="K219" s="23" t="b">
        <f>IF($C219&gt;0,INDEX(Merge_1_2!$G$2:$G$611,$C219),INDEX(Dataset3_Raw!$G$2:$G$391,$E219))</f>
        <v>0</v>
      </c>
      <c r="L219" s="23">
        <f>IF($C219&gt;0,INDEX(Merge_1_2!$H$2:$H$611,$C219),INDEX(Dataset3_Raw!$H$2:$H$391,$E219))</f>
        <v>1</v>
      </c>
      <c r="M219" s="23">
        <f>IF($C219&gt;0,INDEX(Merge_1_2!$I$2:$I$611,$C219),INDEX(Dataset3_Raw!$I$2:$I$391,$E219))</f>
        <v>2</v>
      </c>
      <c r="N219" s="25">
        <f>IF($C219&gt;0,INDEX(Merge_1_2!$J$2:$J$611,$C219),INDEX(Dataset3_Raw!$J$2:$J$391,$E219))</f>
        <v>0.12</v>
      </c>
      <c r="O219" s="25">
        <f>IF($C219&gt;0,IF(ISNUMBER(INDEX(Merge_1_2!$K$2:$K$611,$C219)),INDEX(Merge_1_2!$K$2:$K$611,$C219),""),INDEX(Dataset3_Raw!$K$2:$K$391,$E219))</f>
        <v>0.1212</v>
      </c>
      <c r="P219" s="25">
        <f>IF(ISNUMBER($O219),$O219,ROUND(Lookups!$B$25+Lookups!$B$24*$N219,4))</f>
        <v>0.1212</v>
      </c>
      <c r="Q219" s="25">
        <f>IF($C219&gt;0,INDEX(Merge_1_2!$L$2:$L$611,$C219),INDEX(Dataset3_Raw!$L$2:$L$391,$E219))</f>
        <v>0.5</v>
      </c>
      <c r="R219" s="25">
        <f>IF($C219&gt;0,INDEX(Merge_1_2!$M$2:$M$611,$C219),INDEX(Dataset3_Raw!$M$2:$M$391,$E219))</f>
        <v>0.28360000000000002</v>
      </c>
      <c r="S219" s="23">
        <f>IF($C219&gt;0,INDEX(Merge_1_2!$N$2:$N$611,$C219),INDEX(Dataset3_Raw!$N$2:$N$391,$E219))</f>
        <v>4</v>
      </c>
      <c r="T219" s="23">
        <f>IF($C219&gt;0,INDEX(Merge_1_2!$O$2:$O$611,$C219),INDEX(Dataset3_Raw!$O$2:$O$391,$E219))</f>
        <v>184</v>
      </c>
      <c r="U219" s="23">
        <f>IF($C219&gt;0,INDEX(Merge_1_2!$P$2:$P$611,$C219),INDEX(Dataset3_Raw!$P$2:$P$391,$E219))</f>
        <v>188</v>
      </c>
      <c r="V219" s="23" t="str">
        <f t="shared" si="19"/>
        <v>Weekday</v>
      </c>
      <c r="W219" s="23" t="str">
        <f>VLOOKUP($M219,Lookups!$A$5:$B$8,2,FALSE())</f>
        <v>Mist / Cloudy</v>
      </c>
      <c r="X219" s="23" t="str">
        <f>VLOOKUP($G219,Lookups!$D$5:$E$8,2,FALSE())</f>
        <v>Winter</v>
      </c>
      <c r="Y219" s="23" t="str">
        <f>VLOOKUP($L219,Lookups!$G$5:$H$11,2,FALSE())</f>
        <v>Monday</v>
      </c>
      <c r="Z219" s="23" t="str">
        <f>IF($J219&lt;Lookups!$B$26,"Night",IF($J219&lt;Lookups!$B$27,"Morning",IF($J219&lt;Lookups!$B$28,"Afternoon","Evening")))</f>
        <v>Morning</v>
      </c>
      <c r="AA219" s="26">
        <f>ROUND($N219*(Lookups!$B$16-Lookups!$B$15)+Lookups!$B$15,1)</f>
        <v>-2.4</v>
      </c>
      <c r="AB219" s="26">
        <f>ROUND($P219*(Lookups!$B$18-Lookups!$B$17)+Lookups!$B$17,1)</f>
        <v>-8</v>
      </c>
      <c r="AC219" s="23">
        <f t="shared" si="20"/>
        <v>50</v>
      </c>
      <c r="AD219" s="23">
        <f>ROUND($R219*Lookups!$B$19,1)</f>
        <v>19</v>
      </c>
      <c r="AE219" s="27">
        <f t="shared" si="21"/>
        <v>0.97872340425531912</v>
      </c>
      <c r="AF219" s="23" t="str">
        <f>IF($U219&gt;=Lookups!$B$23,"High",IF($U219&gt;=Lookups!$B$22,"Medium","Low"))</f>
        <v>High</v>
      </c>
      <c r="AG219" s="23">
        <f>ROUND(IF($V219="Weekday",IF(INDEX(Hourly_Analysis!$D$5:$D$28,$J219+1)&gt;0,($U219-INDEX(Hourly_Analysis!$C$5:$C$28,$J219+1))/INDEX(Hourly_Analysis!$D$5:$D$28,$J219+1),0),IF(INDEX(Hourly_Analysis!$G$5:$G$28,$J219+1)&gt;0,($U219-INDEX(Hourly_Analysis!$F$5:$F$28,$J219+1))/INDEX(Hourly_Analysis!$G$5:$G$28,$J219+1),0)),2)</f>
        <v>-0.03</v>
      </c>
      <c r="AH219" s="23" t="str">
        <f>IF(ABS($AG219)&gt;Lookups!$B$20,IF($AG219&gt;0,"High anomaly","Low anomaly"),"")</f>
        <v/>
      </c>
      <c r="AI219" s="23" t="str">
        <f t="shared" si="22"/>
        <v>OK</v>
      </c>
      <c r="AJ219" s="23" t="str">
        <f t="shared" si="23"/>
        <v>No</v>
      </c>
    </row>
    <row r="220" spans="1:36" x14ac:dyDescent="0.35">
      <c r="A220" s="23">
        <v>219</v>
      </c>
      <c r="B220" s="23" t="str">
        <f t="shared" si="18"/>
        <v>Merge 1+2</v>
      </c>
      <c r="C220" s="23">
        <f>IFERROR(MATCH($A220,Merge_1_2!$A$2:$A$611,0),0)</f>
        <v>219</v>
      </c>
      <c r="D220" s="23">
        <f>IF($C220&gt;0,INDEX(Merge_1_2!$Q$2:$Q$611,$C220),0)</f>
        <v>219</v>
      </c>
      <c r="E220" s="23">
        <f>IFERROR(MATCH($A220,Dataset3_Raw!$A$2:$A$391,0),0)</f>
        <v>0</v>
      </c>
      <c r="F220" s="24">
        <f>IF($C220&gt;0,INDEX(Merge_1_2!$B$2:$B$611,$C220),DATE(VALUE(RIGHT(INDEX(Dataset3_Raw!$B$2:$B$391,$E220),4)),VALUE(MID(INDEX(Dataset3_Raw!$B$2:$B$391,$E220),4,2)),VALUE(LEFT(INDEX(Dataset3_Raw!$B$2:$B$391,$E220),2))))</f>
        <v>40553</v>
      </c>
      <c r="G220" s="23">
        <f>IF($C220&gt;0,INDEX(Merge_1_2!$C$2:$C$611,$C220),INDEX(Dataset3_Raw!$C$2:$C$391,$E220))</f>
        <v>1</v>
      </c>
      <c r="H220" s="23">
        <f>IF($C220&gt;0,INDEX(Merge_1_2!$D$2:$D$611,$C220),INDEX(Dataset3_Raw!$D$2:$D$391,$E220))</f>
        <v>0</v>
      </c>
      <c r="I220" s="23">
        <f>IF($C220&gt;0,INDEX(Merge_1_2!$E$2:$E$611,$C220),INDEX(Dataset3_Raw!$E$2:$E$391,$E220))</f>
        <v>1</v>
      </c>
      <c r="J220" s="23">
        <f>IF($C220&gt;0,INDEX(Merge_1_2!$F$2:$F$611,$C220),INDEX(Dataset3_Raw!$F$2:$F$391,$E220))</f>
        <v>9</v>
      </c>
      <c r="K220" s="23" t="b">
        <f>IF($C220&gt;0,INDEX(Merge_1_2!$G$2:$G$611,$C220),INDEX(Dataset3_Raw!$G$2:$G$391,$E220))</f>
        <v>0</v>
      </c>
      <c r="L220" s="23">
        <f>IF($C220&gt;0,INDEX(Merge_1_2!$H$2:$H$611,$C220),INDEX(Dataset3_Raw!$H$2:$H$391,$E220))</f>
        <v>1</v>
      </c>
      <c r="M220" s="23">
        <f>IF($C220&gt;0,INDEX(Merge_1_2!$I$2:$I$611,$C220),INDEX(Dataset3_Raw!$I$2:$I$391,$E220))</f>
        <v>2</v>
      </c>
      <c r="N220" s="25">
        <f>IF($C220&gt;0,INDEX(Merge_1_2!$J$2:$J$611,$C220),INDEX(Dataset3_Raw!$J$2:$J$391,$E220))</f>
        <v>0.14000000000000001</v>
      </c>
      <c r="O220" s="25">
        <f>IF($C220&gt;0,IF(ISNUMBER(INDEX(Merge_1_2!$K$2:$K$611,$C220)),INDEX(Merge_1_2!$K$2:$K$611,$C220),""),INDEX(Dataset3_Raw!$K$2:$K$391,$E220))</f>
        <v>0.1212</v>
      </c>
      <c r="P220" s="25">
        <f>IF(ISNUMBER($O220),$O220,ROUND(Lookups!$B$25+Lookups!$B$24*$N220,4))</f>
        <v>0.1212</v>
      </c>
      <c r="Q220" s="25">
        <f>IF($C220&gt;0,INDEX(Merge_1_2!$L$2:$L$611,$C220),INDEX(Dataset3_Raw!$L$2:$L$391,$E220))</f>
        <v>0.5</v>
      </c>
      <c r="R220" s="25">
        <f>IF($C220&gt;0,INDEX(Merge_1_2!$M$2:$M$611,$C220),INDEX(Dataset3_Raw!$M$2:$M$391,$E220))</f>
        <v>0.25369999999999998</v>
      </c>
      <c r="S220" s="23">
        <f>IF($C220&gt;0,INDEX(Merge_1_2!$N$2:$N$611,$C220),INDEX(Dataset3_Raw!$N$2:$N$391,$E220))</f>
        <v>2</v>
      </c>
      <c r="T220" s="23">
        <f>IF($C220&gt;0,INDEX(Merge_1_2!$O$2:$O$611,$C220),INDEX(Dataset3_Raw!$O$2:$O$391,$E220))</f>
        <v>92</v>
      </c>
      <c r="U220" s="23">
        <f>IF($C220&gt;0,INDEX(Merge_1_2!$P$2:$P$611,$C220),INDEX(Dataset3_Raw!$P$2:$P$391,$E220))</f>
        <v>94</v>
      </c>
      <c r="V220" s="23" t="str">
        <f t="shared" si="19"/>
        <v>Weekday</v>
      </c>
      <c r="W220" s="23" t="str">
        <f>VLOOKUP($M220,Lookups!$A$5:$B$8,2,FALSE())</f>
        <v>Mist / Cloudy</v>
      </c>
      <c r="X220" s="23" t="str">
        <f>VLOOKUP($G220,Lookups!$D$5:$E$8,2,FALSE())</f>
        <v>Winter</v>
      </c>
      <c r="Y220" s="23" t="str">
        <f>VLOOKUP($L220,Lookups!$G$5:$H$11,2,FALSE())</f>
        <v>Monday</v>
      </c>
      <c r="Z220" s="23" t="str">
        <f>IF($J220&lt;Lookups!$B$26,"Night",IF($J220&lt;Lookups!$B$27,"Morning",IF($J220&lt;Lookups!$B$28,"Afternoon","Evening")))</f>
        <v>Morning</v>
      </c>
      <c r="AA220" s="26">
        <f>ROUND($N220*(Lookups!$B$16-Lookups!$B$15)+Lookups!$B$15,1)</f>
        <v>-1.4</v>
      </c>
      <c r="AB220" s="26">
        <f>ROUND($P220*(Lookups!$B$18-Lookups!$B$17)+Lookups!$B$17,1)</f>
        <v>-8</v>
      </c>
      <c r="AC220" s="23">
        <f t="shared" si="20"/>
        <v>50</v>
      </c>
      <c r="AD220" s="23">
        <f>ROUND($R220*Lookups!$B$19,1)</f>
        <v>17</v>
      </c>
      <c r="AE220" s="27">
        <f t="shared" si="21"/>
        <v>0.97872340425531912</v>
      </c>
      <c r="AF220" s="23" t="str">
        <f>IF($U220&gt;=Lookups!$B$23,"High",IF($U220&gt;=Lookups!$B$22,"Medium","Low"))</f>
        <v>High</v>
      </c>
      <c r="AG220" s="23">
        <f>ROUND(IF($V220="Weekday",IF(INDEX(Hourly_Analysis!$D$5:$D$28,$J220+1)&gt;0,($U220-INDEX(Hourly_Analysis!$C$5:$C$28,$J220+1))/INDEX(Hourly_Analysis!$D$5:$D$28,$J220+1),0),IF(INDEX(Hourly_Analysis!$G$5:$G$28,$J220+1)&gt;0,($U220-INDEX(Hourly_Analysis!$F$5:$F$28,$J220+1))/INDEX(Hourly_Analysis!$G$5:$G$28,$J220+1),0)),2)</f>
        <v>-1.08</v>
      </c>
      <c r="AH220" s="23" t="str">
        <f>IF(ABS($AG220)&gt;Lookups!$B$20,IF($AG220&gt;0,"High anomaly","Low anomaly"),"")</f>
        <v/>
      </c>
      <c r="AI220" s="23" t="str">
        <f t="shared" si="22"/>
        <v>OK</v>
      </c>
      <c r="AJ220" s="23" t="str">
        <f t="shared" si="23"/>
        <v>No</v>
      </c>
    </row>
    <row r="221" spans="1:36" x14ac:dyDescent="0.35">
      <c r="A221" s="23">
        <v>220</v>
      </c>
      <c r="B221" s="23" t="str">
        <f t="shared" si="18"/>
        <v>Merge 1+2</v>
      </c>
      <c r="C221" s="23">
        <f>IFERROR(MATCH($A221,Merge_1_2!$A$2:$A$611,0),0)</f>
        <v>220</v>
      </c>
      <c r="D221" s="23">
        <f>IF($C221&gt;0,INDEX(Merge_1_2!$Q$2:$Q$611,$C221),0)</f>
        <v>220</v>
      </c>
      <c r="E221" s="23">
        <f>IFERROR(MATCH($A221,Dataset3_Raw!$A$2:$A$391,0),0)</f>
        <v>0</v>
      </c>
      <c r="F221" s="24">
        <f>IF($C221&gt;0,INDEX(Merge_1_2!$B$2:$B$611,$C221),DATE(VALUE(RIGHT(INDEX(Dataset3_Raw!$B$2:$B$391,$E221),4)),VALUE(MID(INDEX(Dataset3_Raw!$B$2:$B$391,$E221),4,2)),VALUE(LEFT(INDEX(Dataset3_Raw!$B$2:$B$391,$E221),2))))</f>
        <v>40553</v>
      </c>
      <c r="G221" s="23">
        <f>IF($C221&gt;0,INDEX(Merge_1_2!$C$2:$C$611,$C221),INDEX(Dataset3_Raw!$C$2:$C$391,$E221))</f>
        <v>1</v>
      </c>
      <c r="H221" s="23">
        <f>IF($C221&gt;0,INDEX(Merge_1_2!$D$2:$D$611,$C221),INDEX(Dataset3_Raw!$D$2:$D$391,$E221))</f>
        <v>0</v>
      </c>
      <c r="I221" s="23">
        <f>IF($C221&gt;0,INDEX(Merge_1_2!$E$2:$E$611,$C221),INDEX(Dataset3_Raw!$E$2:$E$391,$E221))</f>
        <v>1</v>
      </c>
      <c r="J221" s="23">
        <f>IF($C221&gt;0,INDEX(Merge_1_2!$F$2:$F$611,$C221),INDEX(Dataset3_Raw!$F$2:$F$391,$E221))</f>
        <v>10</v>
      </c>
      <c r="K221" s="23" t="b">
        <f>IF($C221&gt;0,INDEX(Merge_1_2!$G$2:$G$611,$C221),INDEX(Dataset3_Raw!$G$2:$G$391,$E221))</f>
        <v>0</v>
      </c>
      <c r="L221" s="23">
        <f>IF($C221&gt;0,INDEX(Merge_1_2!$H$2:$H$611,$C221),INDEX(Dataset3_Raw!$H$2:$H$391,$E221))</f>
        <v>1</v>
      </c>
      <c r="M221" s="23">
        <f>IF($C221&gt;0,INDEX(Merge_1_2!$I$2:$I$611,$C221),INDEX(Dataset3_Raw!$I$2:$I$391,$E221))</f>
        <v>2</v>
      </c>
      <c r="N221" s="25">
        <f>IF($C221&gt;0,INDEX(Merge_1_2!$J$2:$J$611,$C221),INDEX(Dataset3_Raw!$J$2:$J$391,$E221))</f>
        <v>0.14000000000000001</v>
      </c>
      <c r="O221" s="25">
        <f>IF($C221&gt;0,IF(ISNUMBER(INDEX(Merge_1_2!$K$2:$K$611,$C221)),INDEX(Merge_1_2!$K$2:$K$611,$C221),""),INDEX(Dataset3_Raw!$K$2:$K$391,$E221))</f>
        <v>0.1212</v>
      </c>
      <c r="P221" s="25">
        <f>IF(ISNUMBER($O221),$O221,ROUND(Lookups!$B$25+Lookups!$B$24*$N221,4))</f>
        <v>0.1212</v>
      </c>
      <c r="Q221" s="25">
        <f>IF($C221&gt;0,INDEX(Merge_1_2!$L$2:$L$611,$C221),INDEX(Dataset3_Raw!$L$2:$L$391,$E221))</f>
        <v>0.5</v>
      </c>
      <c r="R221" s="25">
        <f>IF($C221&gt;0,INDEX(Merge_1_2!$M$2:$M$611,$C221),INDEX(Dataset3_Raw!$M$2:$M$391,$E221))</f>
        <v>0.29849999999999999</v>
      </c>
      <c r="S221" s="23">
        <f>IF($C221&gt;0,INDEX(Merge_1_2!$N$2:$N$611,$C221),INDEX(Dataset3_Raw!$N$2:$N$391,$E221))</f>
        <v>0</v>
      </c>
      <c r="T221" s="23">
        <f>IF($C221&gt;0,INDEX(Merge_1_2!$O$2:$O$611,$C221),INDEX(Dataset3_Raw!$O$2:$O$391,$E221))</f>
        <v>31</v>
      </c>
      <c r="U221" s="23">
        <f>IF($C221&gt;0,INDEX(Merge_1_2!$P$2:$P$611,$C221),INDEX(Dataset3_Raw!$P$2:$P$391,$E221))</f>
        <v>31</v>
      </c>
      <c r="V221" s="23" t="str">
        <f t="shared" si="19"/>
        <v>Weekday</v>
      </c>
      <c r="W221" s="23" t="str">
        <f>VLOOKUP($M221,Lookups!$A$5:$B$8,2,FALSE())</f>
        <v>Mist / Cloudy</v>
      </c>
      <c r="X221" s="23" t="str">
        <f>VLOOKUP($G221,Lookups!$D$5:$E$8,2,FALSE())</f>
        <v>Winter</v>
      </c>
      <c r="Y221" s="23" t="str">
        <f>VLOOKUP($L221,Lookups!$G$5:$H$11,2,FALSE())</f>
        <v>Monday</v>
      </c>
      <c r="Z221" s="23" t="str">
        <f>IF($J221&lt;Lookups!$B$26,"Night",IF($J221&lt;Lookups!$B$27,"Morning",IF($J221&lt;Lookups!$B$28,"Afternoon","Evening")))</f>
        <v>Morning</v>
      </c>
      <c r="AA221" s="26">
        <f>ROUND($N221*(Lookups!$B$16-Lookups!$B$15)+Lookups!$B$15,1)</f>
        <v>-1.4</v>
      </c>
      <c r="AB221" s="26">
        <f>ROUND($P221*(Lookups!$B$18-Lookups!$B$17)+Lookups!$B$17,1)</f>
        <v>-8</v>
      </c>
      <c r="AC221" s="23">
        <f t="shared" si="20"/>
        <v>50</v>
      </c>
      <c r="AD221" s="23">
        <f>ROUND($R221*Lookups!$B$19,1)</f>
        <v>20</v>
      </c>
      <c r="AE221" s="27">
        <f t="shared" si="21"/>
        <v>1</v>
      </c>
      <c r="AF221" s="23" t="str">
        <f>IF($U221&gt;=Lookups!$B$23,"High",IF($U221&gt;=Lookups!$B$22,"Medium","Low"))</f>
        <v>Medium</v>
      </c>
      <c r="AG221" s="23">
        <f>ROUND(IF($V221="Weekday",IF(INDEX(Hourly_Analysis!$D$5:$D$28,$J221+1)&gt;0,($U221-INDEX(Hourly_Analysis!$C$5:$C$28,$J221+1))/INDEX(Hourly_Analysis!$D$5:$D$28,$J221+1),0),IF(INDEX(Hourly_Analysis!$G$5:$G$28,$J221+1)&gt;0,($U221-INDEX(Hourly_Analysis!$F$5:$F$28,$J221+1))/INDEX(Hourly_Analysis!$G$5:$G$28,$J221+1),0)),2)</f>
        <v>-1.75</v>
      </c>
      <c r="AH221" s="23" t="str">
        <f>IF(ABS($AG221)&gt;Lookups!$B$20,IF($AG221&gt;0,"High anomaly","Low anomaly"),"")</f>
        <v/>
      </c>
      <c r="AI221" s="23" t="str">
        <f t="shared" si="22"/>
        <v>OK</v>
      </c>
      <c r="AJ221" s="23" t="str">
        <f t="shared" si="23"/>
        <v>No</v>
      </c>
    </row>
    <row r="222" spans="1:36" x14ac:dyDescent="0.35">
      <c r="A222" s="23">
        <v>221</v>
      </c>
      <c r="B222" s="23" t="str">
        <f t="shared" si="18"/>
        <v>Merge 1+2</v>
      </c>
      <c r="C222" s="23">
        <f>IFERROR(MATCH($A222,Merge_1_2!$A$2:$A$611,0),0)</f>
        <v>221</v>
      </c>
      <c r="D222" s="23">
        <f>IF($C222&gt;0,INDEX(Merge_1_2!$Q$2:$Q$611,$C222),0)</f>
        <v>221</v>
      </c>
      <c r="E222" s="23">
        <f>IFERROR(MATCH($A222,Dataset3_Raw!$A$2:$A$391,0),0)</f>
        <v>0</v>
      </c>
      <c r="F222" s="24">
        <f>IF($C222&gt;0,INDEX(Merge_1_2!$B$2:$B$611,$C222),DATE(VALUE(RIGHT(INDEX(Dataset3_Raw!$B$2:$B$391,$E222),4)),VALUE(MID(INDEX(Dataset3_Raw!$B$2:$B$391,$E222),4,2)),VALUE(LEFT(INDEX(Dataset3_Raw!$B$2:$B$391,$E222),2))))</f>
        <v>40553</v>
      </c>
      <c r="G222" s="23">
        <f>IF($C222&gt;0,INDEX(Merge_1_2!$C$2:$C$611,$C222),INDEX(Dataset3_Raw!$C$2:$C$391,$E222))</f>
        <v>1</v>
      </c>
      <c r="H222" s="23">
        <f>IF($C222&gt;0,INDEX(Merge_1_2!$D$2:$D$611,$C222),INDEX(Dataset3_Raw!$D$2:$D$391,$E222))</f>
        <v>0</v>
      </c>
      <c r="I222" s="23">
        <f>IF($C222&gt;0,INDEX(Merge_1_2!$E$2:$E$611,$C222),INDEX(Dataset3_Raw!$E$2:$E$391,$E222))</f>
        <v>1</v>
      </c>
      <c r="J222" s="23">
        <f>IF($C222&gt;0,INDEX(Merge_1_2!$F$2:$F$611,$C222),INDEX(Dataset3_Raw!$F$2:$F$391,$E222))</f>
        <v>11</v>
      </c>
      <c r="K222" s="23" t="b">
        <f>IF($C222&gt;0,INDEX(Merge_1_2!$G$2:$G$611,$C222),INDEX(Dataset3_Raw!$G$2:$G$391,$E222))</f>
        <v>0</v>
      </c>
      <c r="L222" s="23">
        <f>IF($C222&gt;0,INDEX(Merge_1_2!$H$2:$H$611,$C222),INDEX(Dataset3_Raw!$H$2:$H$391,$E222))</f>
        <v>1</v>
      </c>
      <c r="M222" s="23">
        <f>IF($C222&gt;0,INDEX(Merge_1_2!$I$2:$I$611,$C222),INDEX(Dataset3_Raw!$I$2:$I$391,$E222))</f>
        <v>2</v>
      </c>
      <c r="N222" s="25">
        <f>IF($C222&gt;0,INDEX(Merge_1_2!$J$2:$J$611,$C222),INDEX(Dataset3_Raw!$J$2:$J$391,$E222))</f>
        <v>0.16</v>
      </c>
      <c r="O222" s="25">
        <f>IF($C222&gt;0,IF(ISNUMBER(INDEX(Merge_1_2!$K$2:$K$611,$C222)),INDEX(Merge_1_2!$K$2:$K$611,$C222),""),INDEX(Dataset3_Raw!$K$2:$K$391,$E222))</f>
        <v>0.13639999999999999</v>
      </c>
      <c r="P222" s="25">
        <f>IF(ISNUMBER($O222),$O222,ROUND(Lookups!$B$25+Lookups!$B$24*$N222,4))</f>
        <v>0.13639999999999999</v>
      </c>
      <c r="Q222" s="25">
        <f>IF($C222&gt;0,INDEX(Merge_1_2!$L$2:$L$611,$C222),INDEX(Dataset3_Raw!$L$2:$L$391,$E222))</f>
        <v>0.47</v>
      </c>
      <c r="R222" s="25">
        <f>IF($C222&gt;0,INDEX(Merge_1_2!$M$2:$M$611,$C222),INDEX(Dataset3_Raw!$M$2:$M$391,$E222))</f>
        <v>0.28360000000000002</v>
      </c>
      <c r="S222" s="23">
        <f>IF($C222&gt;0,INDEX(Merge_1_2!$N$2:$N$611,$C222),INDEX(Dataset3_Raw!$N$2:$N$391,$E222))</f>
        <v>2</v>
      </c>
      <c r="T222" s="23">
        <f>IF($C222&gt;0,INDEX(Merge_1_2!$O$2:$O$611,$C222),INDEX(Dataset3_Raw!$O$2:$O$391,$E222))</f>
        <v>28</v>
      </c>
      <c r="U222" s="23">
        <f>IF($C222&gt;0,INDEX(Merge_1_2!$P$2:$P$611,$C222),INDEX(Dataset3_Raw!$P$2:$P$391,$E222))</f>
        <v>30</v>
      </c>
      <c r="V222" s="23" t="str">
        <f t="shared" si="19"/>
        <v>Weekday</v>
      </c>
      <c r="W222" s="23" t="str">
        <f>VLOOKUP($M222,Lookups!$A$5:$B$8,2,FALSE())</f>
        <v>Mist / Cloudy</v>
      </c>
      <c r="X222" s="23" t="str">
        <f>VLOOKUP($G222,Lookups!$D$5:$E$8,2,FALSE())</f>
        <v>Winter</v>
      </c>
      <c r="Y222" s="23" t="str">
        <f>VLOOKUP($L222,Lookups!$G$5:$H$11,2,FALSE())</f>
        <v>Monday</v>
      </c>
      <c r="Z222" s="23" t="str">
        <f>IF($J222&lt;Lookups!$B$26,"Night",IF($J222&lt;Lookups!$B$27,"Morning",IF($J222&lt;Lookups!$B$28,"Afternoon","Evening")))</f>
        <v>Morning</v>
      </c>
      <c r="AA222" s="26">
        <f>ROUND($N222*(Lookups!$B$16-Lookups!$B$15)+Lookups!$B$15,1)</f>
        <v>-0.5</v>
      </c>
      <c r="AB222" s="26">
        <f>ROUND($P222*(Lookups!$B$18-Lookups!$B$17)+Lookups!$B$17,1)</f>
        <v>-7</v>
      </c>
      <c r="AC222" s="23">
        <f t="shared" si="20"/>
        <v>47</v>
      </c>
      <c r="AD222" s="23">
        <f>ROUND($R222*Lookups!$B$19,1)</f>
        <v>19</v>
      </c>
      <c r="AE222" s="27">
        <f t="shared" si="21"/>
        <v>0.93333333333333335</v>
      </c>
      <c r="AF222" s="23" t="str">
        <f>IF($U222&gt;=Lookups!$B$23,"High",IF($U222&gt;=Lookups!$B$22,"Medium","Low"))</f>
        <v>Medium</v>
      </c>
      <c r="AG222" s="23">
        <f>ROUND(IF($V222="Weekday",IF(INDEX(Hourly_Analysis!$D$5:$D$28,$J222+1)&gt;0,($U222-INDEX(Hourly_Analysis!$C$5:$C$28,$J222+1))/INDEX(Hourly_Analysis!$D$5:$D$28,$J222+1),0),IF(INDEX(Hourly_Analysis!$G$5:$G$28,$J222+1)&gt;0,($U222-INDEX(Hourly_Analysis!$F$5:$F$28,$J222+1))/INDEX(Hourly_Analysis!$G$5:$G$28,$J222+1),0)),2)</f>
        <v>-1.81</v>
      </c>
      <c r="AH222" s="23" t="str">
        <f>IF(ABS($AG222)&gt;Lookups!$B$20,IF($AG222&gt;0,"High anomaly","Low anomaly"),"")</f>
        <v/>
      </c>
      <c r="AI222" s="23" t="str">
        <f t="shared" si="22"/>
        <v>OK</v>
      </c>
      <c r="AJ222" s="23" t="str">
        <f t="shared" si="23"/>
        <v>No</v>
      </c>
    </row>
    <row r="223" spans="1:36" x14ac:dyDescent="0.35">
      <c r="A223" s="23">
        <v>222</v>
      </c>
      <c r="B223" s="23" t="str">
        <f t="shared" si="18"/>
        <v>Merge 1+2</v>
      </c>
      <c r="C223" s="23">
        <f>IFERROR(MATCH($A223,Merge_1_2!$A$2:$A$611,0),0)</f>
        <v>222</v>
      </c>
      <c r="D223" s="23">
        <f>IF($C223&gt;0,INDEX(Merge_1_2!$Q$2:$Q$611,$C223),0)</f>
        <v>222</v>
      </c>
      <c r="E223" s="23">
        <f>IFERROR(MATCH($A223,Dataset3_Raw!$A$2:$A$391,0),0)</f>
        <v>0</v>
      </c>
      <c r="F223" s="24">
        <f>IF($C223&gt;0,INDEX(Merge_1_2!$B$2:$B$611,$C223),DATE(VALUE(RIGHT(INDEX(Dataset3_Raw!$B$2:$B$391,$E223),4)),VALUE(MID(INDEX(Dataset3_Raw!$B$2:$B$391,$E223),4,2)),VALUE(LEFT(INDEX(Dataset3_Raw!$B$2:$B$391,$E223),2))))</f>
        <v>40553</v>
      </c>
      <c r="G223" s="23">
        <f>IF($C223&gt;0,INDEX(Merge_1_2!$C$2:$C$611,$C223),INDEX(Dataset3_Raw!$C$2:$C$391,$E223))</f>
        <v>1</v>
      </c>
      <c r="H223" s="23">
        <f>IF($C223&gt;0,INDEX(Merge_1_2!$D$2:$D$611,$C223),INDEX(Dataset3_Raw!$D$2:$D$391,$E223))</f>
        <v>0</v>
      </c>
      <c r="I223" s="23">
        <f>IF($C223&gt;0,INDEX(Merge_1_2!$E$2:$E$611,$C223),INDEX(Dataset3_Raw!$E$2:$E$391,$E223))</f>
        <v>1</v>
      </c>
      <c r="J223" s="23">
        <f>IF($C223&gt;0,INDEX(Merge_1_2!$F$2:$F$611,$C223),INDEX(Dataset3_Raw!$F$2:$F$391,$E223))</f>
        <v>12</v>
      </c>
      <c r="K223" s="23" t="b">
        <f>IF($C223&gt;0,INDEX(Merge_1_2!$G$2:$G$611,$C223),INDEX(Dataset3_Raw!$G$2:$G$391,$E223))</f>
        <v>0</v>
      </c>
      <c r="L223" s="23">
        <f>IF($C223&gt;0,INDEX(Merge_1_2!$H$2:$H$611,$C223),INDEX(Dataset3_Raw!$H$2:$H$391,$E223))</f>
        <v>1</v>
      </c>
      <c r="M223" s="23">
        <f>IF($C223&gt;0,INDEX(Merge_1_2!$I$2:$I$611,$C223),INDEX(Dataset3_Raw!$I$2:$I$391,$E223))</f>
        <v>2</v>
      </c>
      <c r="N223" s="25">
        <f>IF($C223&gt;0,INDEX(Merge_1_2!$J$2:$J$611,$C223),INDEX(Dataset3_Raw!$J$2:$J$391,$E223))</f>
        <v>0.2</v>
      </c>
      <c r="O223" s="25">
        <f>IF($C223&gt;0,IF(ISNUMBER(INDEX(Merge_1_2!$K$2:$K$611,$C223)),INDEX(Merge_1_2!$K$2:$K$611,$C223),""),INDEX(Dataset3_Raw!$K$2:$K$391,$E223))</f>
        <v>0.18179999999999999</v>
      </c>
      <c r="P223" s="25">
        <f>IF(ISNUMBER($O223),$O223,ROUND(Lookups!$B$25+Lookups!$B$24*$N223,4))</f>
        <v>0.18179999999999999</v>
      </c>
      <c r="Q223" s="25">
        <f>IF($C223&gt;0,INDEX(Merge_1_2!$L$2:$L$611,$C223),INDEX(Dataset3_Raw!$L$2:$L$391,$E223))</f>
        <v>0.4</v>
      </c>
      <c r="R223" s="25">
        <f>IF($C223&gt;0,INDEX(Merge_1_2!$M$2:$M$611,$C223),INDEX(Dataset3_Raw!$M$2:$M$391,$E223))</f>
        <v>0.28360000000000002</v>
      </c>
      <c r="S223" s="23">
        <f>IF($C223&gt;0,INDEX(Merge_1_2!$N$2:$N$611,$C223),INDEX(Dataset3_Raw!$N$2:$N$391,$E223))</f>
        <v>5</v>
      </c>
      <c r="T223" s="23">
        <f>IF($C223&gt;0,INDEX(Merge_1_2!$O$2:$O$611,$C223),INDEX(Dataset3_Raw!$O$2:$O$391,$E223))</f>
        <v>47</v>
      </c>
      <c r="U223" s="23">
        <f>IF($C223&gt;0,INDEX(Merge_1_2!$P$2:$P$611,$C223),INDEX(Dataset3_Raw!$P$2:$P$391,$E223))</f>
        <v>52</v>
      </c>
      <c r="V223" s="23" t="str">
        <f t="shared" si="19"/>
        <v>Weekday</v>
      </c>
      <c r="W223" s="23" t="str">
        <f>VLOOKUP($M223,Lookups!$A$5:$B$8,2,FALSE())</f>
        <v>Mist / Cloudy</v>
      </c>
      <c r="X223" s="23" t="str">
        <f>VLOOKUP($G223,Lookups!$D$5:$E$8,2,FALSE())</f>
        <v>Winter</v>
      </c>
      <c r="Y223" s="23" t="str">
        <f>VLOOKUP($L223,Lookups!$G$5:$H$11,2,FALSE())</f>
        <v>Monday</v>
      </c>
      <c r="Z223" s="23" t="str">
        <f>IF($J223&lt;Lookups!$B$26,"Night",IF($J223&lt;Lookups!$B$27,"Morning",IF($J223&lt;Lookups!$B$28,"Afternoon","Evening")))</f>
        <v>Afternoon</v>
      </c>
      <c r="AA223" s="26">
        <f>ROUND($N223*(Lookups!$B$16-Lookups!$B$15)+Lookups!$B$15,1)</f>
        <v>1.4</v>
      </c>
      <c r="AB223" s="26">
        <f>ROUND($P223*(Lookups!$B$18-Lookups!$B$17)+Lookups!$B$17,1)</f>
        <v>-4</v>
      </c>
      <c r="AC223" s="23">
        <f t="shared" si="20"/>
        <v>40</v>
      </c>
      <c r="AD223" s="23">
        <f>ROUND($R223*Lookups!$B$19,1)</f>
        <v>19</v>
      </c>
      <c r="AE223" s="27">
        <f t="shared" si="21"/>
        <v>0.90384615384615385</v>
      </c>
      <c r="AF223" s="23" t="str">
        <f>IF($U223&gt;=Lookups!$B$23,"High",IF($U223&gt;=Lookups!$B$22,"Medium","Low"))</f>
        <v>Medium</v>
      </c>
      <c r="AG223" s="23">
        <f>ROUND(IF($V223="Weekday",IF(INDEX(Hourly_Analysis!$D$5:$D$28,$J223+1)&gt;0,($U223-INDEX(Hourly_Analysis!$C$5:$C$28,$J223+1))/INDEX(Hourly_Analysis!$D$5:$D$28,$J223+1),0),IF(INDEX(Hourly_Analysis!$G$5:$G$28,$J223+1)&gt;0,($U223-INDEX(Hourly_Analysis!$F$5:$F$28,$J223+1))/INDEX(Hourly_Analysis!$G$5:$G$28,$J223+1),0)),2)</f>
        <v>-0.64</v>
      </c>
      <c r="AH223" s="23" t="str">
        <f>IF(ABS($AG223)&gt;Lookups!$B$20,IF($AG223&gt;0,"High anomaly","Low anomaly"),"")</f>
        <v/>
      </c>
      <c r="AI223" s="23" t="str">
        <f t="shared" si="22"/>
        <v>OK</v>
      </c>
      <c r="AJ223" s="23" t="str">
        <f t="shared" si="23"/>
        <v>No</v>
      </c>
    </row>
    <row r="224" spans="1:36" x14ac:dyDescent="0.35">
      <c r="A224" s="23">
        <v>223</v>
      </c>
      <c r="B224" s="23" t="str">
        <f t="shared" si="18"/>
        <v>Merge 1+2</v>
      </c>
      <c r="C224" s="23">
        <f>IFERROR(MATCH($A224,Merge_1_2!$A$2:$A$611,0),0)</f>
        <v>223</v>
      </c>
      <c r="D224" s="23">
        <f>IF($C224&gt;0,INDEX(Merge_1_2!$Q$2:$Q$611,$C224),0)</f>
        <v>223</v>
      </c>
      <c r="E224" s="23">
        <f>IFERROR(MATCH($A224,Dataset3_Raw!$A$2:$A$391,0),0)</f>
        <v>0</v>
      </c>
      <c r="F224" s="24">
        <f>IF($C224&gt;0,INDEX(Merge_1_2!$B$2:$B$611,$C224),DATE(VALUE(RIGHT(INDEX(Dataset3_Raw!$B$2:$B$391,$E224),4)),VALUE(MID(INDEX(Dataset3_Raw!$B$2:$B$391,$E224),4,2)),VALUE(LEFT(INDEX(Dataset3_Raw!$B$2:$B$391,$E224),2))))</f>
        <v>40553</v>
      </c>
      <c r="G224" s="23">
        <f>IF($C224&gt;0,INDEX(Merge_1_2!$C$2:$C$611,$C224),INDEX(Dataset3_Raw!$C$2:$C$391,$E224))</f>
        <v>1</v>
      </c>
      <c r="H224" s="23">
        <f>IF($C224&gt;0,INDEX(Merge_1_2!$D$2:$D$611,$C224),INDEX(Dataset3_Raw!$D$2:$D$391,$E224))</f>
        <v>0</v>
      </c>
      <c r="I224" s="23">
        <f>IF($C224&gt;0,INDEX(Merge_1_2!$E$2:$E$611,$C224),INDEX(Dataset3_Raw!$E$2:$E$391,$E224))</f>
        <v>1</v>
      </c>
      <c r="J224" s="23">
        <f>IF($C224&gt;0,INDEX(Merge_1_2!$F$2:$F$611,$C224),INDEX(Dataset3_Raw!$F$2:$F$391,$E224))</f>
        <v>13</v>
      </c>
      <c r="K224" s="23" t="b">
        <f>IF($C224&gt;0,INDEX(Merge_1_2!$G$2:$G$611,$C224),INDEX(Dataset3_Raw!$G$2:$G$391,$E224))</f>
        <v>0</v>
      </c>
      <c r="L224" s="23">
        <f>IF($C224&gt;0,INDEX(Merge_1_2!$H$2:$H$611,$C224),INDEX(Dataset3_Raw!$H$2:$H$391,$E224))</f>
        <v>1</v>
      </c>
      <c r="M224" s="23">
        <f>IF($C224&gt;0,INDEX(Merge_1_2!$I$2:$I$611,$C224),INDEX(Dataset3_Raw!$I$2:$I$391,$E224))</f>
        <v>2</v>
      </c>
      <c r="N224" s="25">
        <f>IF($C224&gt;0,INDEX(Merge_1_2!$J$2:$J$611,$C224),INDEX(Dataset3_Raw!$J$2:$J$391,$E224))</f>
        <v>0.2</v>
      </c>
      <c r="O224" s="25">
        <f>IF($C224&gt;0,IF(ISNUMBER(INDEX(Merge_1_2!$K$2:$K$611,$C224)),INDEX(Merge_1_2!$K$2:$K$611,$C224),""),INDEX(Dataset3_Raw!$K$2:$K$391,$E224))</f>
        <v>0.18179999999999999</v>
      </c>
      <c r="P224" s="25">
        <f>IF(ISNUMBER($O224),$O224,ROUND(Lookups!$B$25+Lookups!$B$24*$N224,4))</f>
        <v>0.18179999999999999</v>
      </c>
      <c r="Q224" s="25">
        <f>IF($C224&gt;0,INDEX(Merge_1_2!$L$2:$L$611,$C224),INDEX(Dataset3_Raw!$L$2:$L$391,$E224))</f>
        <v>0.4</v>
      </c>
      <c r="R224" s="25">
        <f>IF($C224&gt;0,INDEX(Merge_1_2!$M$2:$M$611,$C224),INDEX(Dataset3_Raw!$M$2:$M$391,$E224))</f>
        <v>0.28360000000000002</v>
      </c>
      <c r="S224" s="23">
        <f>IF($C224&gt;0,INDEX(Merge_1_2!$N$2:$N$611,$C224),INDEX(Dataset3_Raw!$N$2:$N$391,$E224))</f>
        <v>4</v>
      </c>
      <c r="T224" s="23">
        <f>IF($C224&gt;0,INDEX(Merge_1_2!$O$2:$O$611,$C224),INDEX(Dataset3_Raw!$O$2:$O$391,$E224))</f>
        <v>50</v>
      </c>
      <c r="U224" s="23">
        <f>IF($C224&gt;0,INDEX(Merge_1_2!$P$2:$P$611,$C224),INDEX(Dataset3_Raw!$P$2:$P$391,$E224))</f>
        <v>54</v>
      </c>
      <c r="V224" s="23" t="str">
        <f t="shared" si="19"/>
        <v>Weekday</v>
      </c>
      <c r="W224" s="23" t="str">
        <f>VLOOKUP($M224,Lookups!$A$5:$B$8,2,FALSE())</f>
        <v>Mist / Cloudy</v>
      </c>
      <c r="X224" s="23" t="str">
        <f>VLOOKUP($G224,Lookups!$D$5:$E$8,2,FALSE())</f>
        <v>Winter</v>
      </c>
      <c r="Y224" s="23" t="str">
        <f>VLOOKUP($L224,Lookups!$G$5:$H$11,2,FALSE())</f>
        <v>Monday</v>
      </c>
      <c r="Z224" s="23" t="str">
        <f>IF($J224&lt;Lookups!$B$26,"Night",IF($J224&lt;Lookups!$B$27,"Morning",IF($J224&lt;Lookups!$B$28,"Afternoon","Evening")))</f>
        <v>Afternoon</v>
      </c>
      <c r="AA224" s="26">
        <f>ROUND($N224*(Lookups!$B$16-Lookups!$B$15)+Lookups!$B$15,1)</f>
        <v>1.4</v>
      </c>
      <c r="AB224" s="26">
        <f>ROUND($P224*(Lookups!$B$18-Lookups!$B$17)+Lookups!$B$17,1)</f>
        <v>-4</v>
      </c>
      <c r="AC224" s="23">
        <f t="shared" si="20"/>
        <v>40</v>
      </c>
      <c r="AD224" s="23">
        <f>ROUND($R224*Lookups!$B$19,1)</f>
        <v>19</v>
      </c>
      <c r="AE224" s="27">
        <f t="shared" si="21"/>
        <v>0.92592592592592593</v>
      </c>
      <c r="AF224" s="23" t="str">
        <f>IF($U224&gt;=Lookups!$B$23,"High",IF($U224&gt;=Lookups!$B$22,"Medium","Low"))</f>
        <v>Medium</v>
      </c>
      <c r="AG224" s="23">
        <f>ROUND(IF($V224="Weekday",IF(INDEX(Hourly_Analysis!$D$5:$D$28,$J224+1)&gt;0,($U224-INDEX(Hourly_Analysis!$C$5:$C$28,$J224+1))/INDEX(Hourly_Analysis!$D$5:$D$28,$J224+1),0),IF(INDEX(Hourly_Analysis!$G$5:$G$28,$J224+1)&gt;0,($U224-INDEX(Hourly_Analysis!$F$5:$F$28,$J224+1))/INDEX(Hourly_Analysis!$G$5:$G$28,$J224+1),0)),2)</f>
        <v>-0.61</v>
      </c>
      <c r="AH224" s="23" t="str">
        <f>IF(ABS($AG224)&gt;Lookups!$B$20,IF($AG224&gt;0,"High anomaly","Low anomaly"),"")</f>
        <v/>
      </c>
      <c r="AI224" s="23" t="str">
        <f t="shared" si="22"/>
        <v>OK</v>
      </c>
      <c r="AJ224" s="23" t="str">
        <f t="shared" si="23"/>
        <v>No</v>
      </c>
    </row>
    <row r="225" spans="1:36" x14ac:dyDescent="0.35">
      <c r="A225" s="23">
        <v>224</v>
      </c>
      <c r="B225" s="23" t="str">
        <f t="shared" si="18"/>
        <v>Merge 1+2</v>
      </c>
      <c r="C225" s="23">
        <f>IFERROR(MATCH($A225,Merge_1_2!$A$2:$A$611,0),0)</f>
        <v>224</v>
      </c>
      <c r="D225" s="23">
        <f>IF($C225&gt;0,INDEX(Merge_1_2!$Q$2:$Q$611,$C225),0)</f>
        <v>224</v>
      </c>
      <c r="E225" s="23">
        <f>IFERROR(MATCH($A225,Dataset3_Raw!$A$2:$A$391,0),0)</f>
        <v>0</v>
      </c>
      <c r="F225" s="24">
        <f>IF($C225&gt;0,INDEX(Merge_1_2!$B$2:$B$611,$C225),DATE(VALUE(RIGHT(INDEX(Dataset3_Raw!$B$2:$B$391,$E225),4)),VALUE(MID(INDEX(Dataset3_Raw!$B$2:$B$391,$E225),4,2)),VALUE(LEFT(INDEX(Dataset3_Raw!$B$2:$B$391,$E225),2))))</f>
        <v>40553</v>
      </c>
      <c r="G225" s="23">
        <f>IF($C225&gt;0,INDEX(Merge_1_2!$C$2:$C$611,$C225),INDEX(Dataset3_Raw!$C$2:$C$391,$E225))</f>
        <v>1</v>
      </c>
      <c r="H225" s="23">
        <f>IF($C225&gt;0,INDEX(Merge_1_2!$D$2:$D$611,$C225),INDEX(Dataset3_Raw!$D$2:$D$391,$E225))</f>
        <v>0</v>
      </c>
      <c r="I225" s="23">
        <f>IF($C225&gt;0,INDEX(Merge_1_2!$E$2:$E$611,$C225),INDEX(Dataset3_Raw!$E$2:$E$391,$E225))</f>
        <v>1</v>
      </c>
      <c r="J225" s="23">
        <f>IF($C225&gt;0,INDEX(Merge_1_2!$F$2:$F$611,$C225),INDEX(Dataset3_Raw!$F$2:$F$391,$E225))</f>
        <v>14</v>
      </c>
      <c r="K225" s="23" t="b">
        <f>IF($C225&gt;0,INDEX(Merge_1_2!$G$2:$G$611,$C225),INDEX(Dataset3_Raw!$G$2:$G$391,$E225))</f>
        <v>0</v>
      </c>
      <c r="L225" s="23">
        <f>IF($C225&gt;0,INDEX(Merge_1_2!$H$2:$H$611,$C225),INDEX(Dataset3_Raw!$H$2:$H$391,$E225))</f>
        <v>1</v>
      </c>
      <c r="M225" s="23">
        <f>IF($C225&gt;0,INDEX(Merge_1_2!$I$2:$I$611,$C225),INDEX(Dataset3_Raw!$I$2:$I$391,$E225))</f>
        <v>2</v>
      </c>
      <c r="N225" s="25">
        <f>IF($C225&gt;0,INDEX(Merge_1_2!$J$2:$J$611,$C225),INDEX(Dataset3_Raw!$J$2:$J$391,$E225))</f>
        <v>0.2</v>
      </c>
      <c r="O225" s="25">
        <f>IF($C225&gt;0,IF(ISNUMBER(INDEX(Merge_1_2!$K$2:$K$611,$C225)),INDEX(Merge_1_2!$K$2:$K$611,$C225),""),INDEX(Dataset3_Raw!$K$2:$K$391,$E225))</f>
        <v>0.19700000000000001</v>
      </c>
      <c r="P225" s="25">
        <f>IF(ISNUMBER($O225),$O225,ROUND(Lookups!$B$25+Lookups!$B$24*$N225,4))</f>
        <v>0.19700000000000001</v>
      </c>
      <c r="Q225" s="25">
        <f>IF($C225&gt;0,INDEX(Merge_1_2!$L$2:$L$611,$C225),INDEX(Dataset3_Raw!$L$2:$L$391,$E225))</f>
        <v>0.4</v>
      </c>
      <c r="R225" s="25">
        <f>IF($C225&gt;0,INDEX(Merge_1_2!$M$2:$M$611,$C225),INDEX(Dataset3_Raw!$M$2:$M$391,$E225))</f>
        <v>0.22389999999999999</v>
      </c>
      <c r="S225" s="23">
        <f>IF($C225&gt;0,INDEX(Merge_1_2!$N$2:$N$611,$C225),INDEX(Dataset3_Raw!$N$2:$N$391,$E225))</f>
        <v>0</v>
      </c>
      <c r="T225" s="23">
        <f>IF($C225&gt;0,INDEX(Merge_1_2!$O$2:$O$611,$C225),INDEX(Dataset3_Raw!$O$2:$O$391,$E225))</f>
        <v>47</v>
      </c>
      <c r="U225" s="23">
        <f>IF($C225&gt;0,INDEX(Merge_1_2!$P$2:$P$611,$C225),INDEX(Dataset3_Raw!$P$2:$P$391,$E225))</f>
        <v>47</v>
      </c>
      <c r="V225" s="23" t="str">
        <f t="shared" si="19"/>
        <v>Weekday</v>
      </c>
      <c r="W225" s="23" t="str">
        <f>VLOOKUP($M225,Lookups!$A$5:$B$8,2,FALSE())</f>
        <v>Mist / Cloudy</v>
      </c>
      <c r="X225" s="23" t="str">
        <f>VLOOKUP($G225,Lookups!$D$5:$E$8,2,FALSE())</f>
        <v>Winter</v>
      </c>
      <c r="Y225" s="23" t="str">
        <f>VLOOKUP($L225,Lookups!$G$5:$H$11,2,FALSE())</f>
        <v>Monday</v>
      </c>
      <c r="Z225" s="23" t="str">
        <f>IF($J225&lt;Lookups!$B$26,"Night",IF($J225&lt;Lookups!$B$27,"Morning",IF($J225&lt;Lookups!$B$28,"Afternoon","Evening")))</f>
        <v>Afternoon</v>
      </c>
      <c r="AA225" s="26">
        <f>ROUND($N225*(Lookups!$B$16-Lookups!$B$15)+Lookups!$B$15,1)</f>
        <v>1.4</v>
      </c>
      <c r="AB225" s="26">
        <f>ROUND($P225*(Lookups!$B$18-Lookups!$B$17)+Lookups!$B$17,1)</f>
        <v>-3</v>
      </c>
      <c r="AC225" s="23">
        <f t="shared" si="20"/>
        <v>40</v>
      </c>
      <c r="AD225" s="23">
        <f>ROUND($R225*Lookups!$B$19,1)</f>
        <v>15</v>
      </c>
      <c r="AE225" s="27">
        <f t="shared" si="21"/>
        <v>1</v>
      </c>
      <c r="AF225" s="23" t="str">
        <f>IF($U225&gt;=Lookups!$B$23,"High",IF($U225&gt;=Lookups!$B$22,"Medium","Low"))</f>
        <v>Medium</v>
      </c>
      <c r="AG225" s="23">
        <f>ROUND(IF($V225="Weekday",IF(INDEX(Hourly_Analysis!$D$5:$D$28,$J225+1)&gt;0,($U225-INDEX(Hourly_Analysis!$C$5:$C$28,$J225+1))/INDEX(Hourly_Analysis!$D$5:$D$28,$J225+1),0),IF(INDEX(Hourly_Analysis!$G$5:$G$28,$J225+1)&gt;0,($U225-INDEX(Hourly_Analysis!$F$5:$F$28,$J225+1))/INDEX(Hourly_Analysis!$G$5:$G$28,$J225+1),0)),2)</f>
        <v>-0.79</v>
      </c>
      <c r="AH225" s="23" t="str">
        <f>IF(ABS($AG225)&gt;Lookups!$B$20,IF($AG225&gt;0,"High anomaly","Low anomaly"),"")</f>
        <v/>
      </c>
      <c r="AI225" s="23" t="str">
        <f t="shared" si="22"/>
        <v>OK</v>
      </c>
      <c r="AJ225" s="23" t="str">
        <f t="shared" si="23"/>
        <v>No</v>
      </c>
    </row>
    <row r="226" spans="1:36" x14ac:dyDescent="0.35">
      <c r="A226" s="23">
        <v>225</v>
      </c>
      <c r="B226" s="23" t="str">
        <f t="shared" si="18"/>
        <v>Merge 1+2</v>
      </c>
      <c r="C226" s="23">
        <f>IFERROR(MATCH($A226,Merge_1_2!$A$2:$A$611,0),0)</f>
        <v>225</v>
      </c>
      <c r="D226" s="23">
        <f>IF($C226&gt;0,INDEX(Merge_1_2!$Q$2:$Q$611,$C226),0)</f>
        <v>225</v>
      </c>
      <c r="E226" s="23">
        <f>IFERROR(MATCH($A226,Dataset3_Raw!$A$2:$A$391,0),0)</f>
        <v>0</v>
      </c>
      <c r="F226" s="24">
        <f>IF($C226&gt;0,INDEX(Merge_1_2!$B$2:$B$611,$C226),DATE(VALUE(RIGHT(INDEX(Dataset3_Raw!$B$2:$B$391,$E226),4)),VALUE(MID(INDEX(Dataset3_Raw!$B$2:$B$391,$E226),4,2)),VALUE(LEFT(INDEX(Dataset3_Raw!$B$2:$B$391,$E226),2))))</f>
        <v>40553</v>
      </c>
      <c r="G226" s="23">
        <f>IF($C226&gt;0,INDEX(Merge_1_2!$C$2:$C$611,$C226),INDEX(Dataset3_Raw!$C$2:$C$391,$E226))</f>
        <v>1</v>
      </c>
      <c r="H226" s="23">
        <f>IF($C226&gt;0,INDEX(Merge_1_2!$D$2:$D$611,$C226),INDEX(Dataset3_Raw!$D$2:$D$391,$E226))</f>
        <v>0</v>
      </c>
      <c r="I226" s="23">
        <f>IF($C226&gt;0,INDEX(Merge_1_2!$E$2:$E$611,$C226),INDEX(Dataset3_Raw!$E$2:$E$391,$E226))</f>
        <v>1</v>
      </c>
      <c r="J226" s="23">
        <f>IF($C226&gt;0,INDEX(Merge_1_2!$F$2:$F$611,$C226),INDEX(Dataset3_Raw!$F$2:$F$391,$E226))</f>
        <v>15</v>
      </c>
      <c r="K226" s="23" t="b">
        <f>IF($C226&gt;0,INDEX(Merge_1_2!$G$2:$G$611,$C226),INDEX(Dataset3_Raw!$G$2:$G$391,$E226))</f>
        <v>0</v>
      </c>
      <c r="L226" s="23">
        <f>IF($C226&gt;0,INDEX(Merge_1_2!$H$2:$H$611,$C226),INDEX(Dataset3_Raw!$H$2:$H$391,$E226))</f>
        <v>1</v>
      </c>
      <c r="M226" s="23">
        <f>IF($C226&gt;0,INDEX(Merge_1_2!$I$2:$I$611,$C226),INDEX(Dataset3_Raw!$I$2:$I$391,$E226))</f>
        <v>2</v>
      </c>
      <c r="N226" s="25">
        <f>IF($C226&gt;0,INDEX(Merge_1_2!$J$2:$J$611,$C226),INDEX(Dataset3_Raw!$J$2:$J$391,$E226))</f>
        <v>0.2</v>
      </c>
      <c r="O226" s="25">
        <f>IF($C226&gt;0,IF(ISNUMBER(INDEX(Merge_1_2!$K$2:$K$611,$C226)),INDEX(Merge_1_2!$K$2:$K$611,$C226),""),INDEX(Dataset3_Raw!$K$2:$K$391,$E226))</f>
        <v>0.19700000000000001</v>
      </c>
      <c r="P226" s="25">
        <f>IF(ISNUMBER($O226),$O226,ROUND(Lookups!$B$25+Lookups!$B$24*$N226,4))</f>
        <v>0.19700000000000001</v>
      </c>
      <c r="Q226" s="25">
        <f>IF($C226&gt;0,INDEX(Merge_1_2!$L$2:$L$611,$C226),INDEX(Dataset3_Raw!$L$2:$L$391,$E226))</f>
        <v>0.4</v>
      </c>
      <c r="R226" s="25">
        <f>IF($C226&gt;0,INDEX(Merge_1_2!$M$2:$M$611,$C226),INDEX(Dataset3_Raw!$M$2:$M$391,$E226))</f>
        <v>0.22389999999999999</v>
      </c>
      <c r="S226" s="23">
        <f>IF($C226&gt;0,INDEX(Merge_1_2!$N$2:$N$611,$C226),INDEX(Dataset3_Raw!$N$2:$N$391,$E226))</f>
        <v>2</v>
      </c>
      <c r="T226" s="23">
        <f>IF($C226&gt;0,INDEX(Merge_1_2!$O$2:$O$611,$C226),INDEX(Dataset3_Raw!$O$2:$O$391,$E226))</f>
        <v>43</v>
      </c>
      <c r="U226" s="23">
        <f>IF($C226&gt;0,INDEX(Merge_1_2!$P$2:$P$611,$C226),INDEX(Dataset3_Raw!$P$2:$P$391,$E226))</f>
        <v>45</v>
      </c>
      <c r="V226" s="23" t="str">
        <f t="shared" si="19"/>
        <v>Weekday</v>
      </c>
      <c r="W226" s="23" t="str">
        <f>VLOOKUP($M226,Lookups!$A$5:$B$8,2,FALSE())</f>
        <v>Mist / Cloudy</v>
      </c>
      <c r="X226" s="23" t="str">
        <f>VLOOKUP($G226,Lookups!$D$5:$E$8,2,FALSE())</f>
        <v>Winter</v>
      </c>
      <c r="Y226" s="23" t="str">
        <f>VLOOKUP($L226,Lookups!$G$5:$H$11,2,FALSE())</f>
        <v>Monday</v>
      </c>
      <c r="Z226" s="23" t="str">
        <f>IF($J226&lt;Lookups!$B$26,"Night",IF($J226&lt;Lookups!$B$27,"Morning",IF($J226&lt;Lookups!$B$28,"Afternoon","Evening")))</f>
        <v>Afternoon</v>
      </c>
      <c r="AA226" s="26">
        <f>ROUND($N226*(Lookups!$B$16-Lookups!$B$15)+Lookups!$B$15,1)</f>
        <v>1.4</v>
      </c>
      <c r="AB226" s="26">
        <f>ROUND($P226*(Lookups!$B$18-Lookups!$B$17)+Lookups!$B$17,1)</f>
        <v>-3</v>
      </c>
      <c r="AC226" s="23">
        <f t="shared" si="20"/>
        <v>40</v>
      </c>
      <c r="AD226" s="23">
        <f>ROUND($R226*Lookups!$B$19,1)</f>
        <v>15</v>
      </c>
      <c r="AE226" s="27">
        <f t="shared" si="21"/>
        <v>0.9555555555555556</v>
      </c>
      <c r="AF226" s="23" t="str">
        <f>IF($U226&gt;=Lookups!$B$23,"High",IF($U226&gt;=Lookups!$B$22,"Medium","Low"))</f>
        <v>Medium</v>
      </c>
      <c r="AG226" s="23">
        <f>ROUND(IF($V226="Weekday",IF(INDEX(Hourly_Analysis!$D$5:$D$28,$J226+1)&gt;0,($U226-INDEX(Hourly_Analysis!$C$5:$C$28,$J226+1))/INDEX(Hourly_Analysis!$D$5:$D$28,$J226+1),0),IF(INDEX(Hourly_Analysis!$G$5:$G$28,$J226+1)&gt;0,($U226-INDEX(Hourly_Analysis!$F$5:$F$28,$J226+1))/INDEX(Hourly_Analysis!$G$5:$G$28,$J226+1),0)),2)</f>
        <v>-1.0900000000000001</v>
      </c>
      <c r="AH226" s="23" t="str">
        <f>IF(ABS($AG226)&gt;Lookups!$B$20,IF($AG226&gt;0,"High anomaly","Low anomaly"),"")</f>
        <v/>
      </c>
      <c r="AI226" s="23" t="str">
        <f t="shared" si="22"/>
        <v>OK</v>
      </c>
      <c r="AJ226" s="23" t="str">
        <f t="shared" si="23"/>
        <v>No</v>
      </c>
    </row>
    <row r="227" spans="1:36" x14ac:dyDescent="0.35">
      <c r="A227" s="23">
        <v>226</v>
      </c>
      <c r="B227" s="23" t="str">
        <f t="shared" si="18"/>
        <v>Merge 1+2</v>
      </c>
      <c r="C227" s="23">
        <f>IFERROR(MATCH($A227,Merge_1_2!$A$2:$A$611,0),0)</f>
        <v>226</v>
      </c>
      <c r="D227" s="23">
        <f>IF($C227&gt;0,INDEX(Merge_1_2!$Q$2:$Q$611,$C227),0)</f>
        <v>226</v>
      </c>
      <c r="E227" s="23">
        <f>IFERROR(MATCH($A227,Dataset3_Raw!$A$2:$A$391,0),0)</f>
        <v>0</v>
      </c>
      <c r="F227" s="24">
        <f>IF($C227&gt;0,INDEX(Merge_1_2!$B$2:$B$611,$C227),DATE(VALUE(RIGHT(INDEX(Dataset3_Raw!$B$2:$B$391,$E227),4)),VALUE(MID(INDEX(Dataset3_Raw!$B$2:$B$391,$E227),4,2)),VALUE(LEFT(INDEX(Dataset3_Raw!$B$2:$B$391,$E227),2))))</f>
        <v>40553</v>
      </c>
      <c r="G227" s="23">
        <f>IF($C227&gt;0,INDEX(Merge_1_2!$C$2:$C$611,$C227),INDEX(Dataset3_Raw!$C$2:$C$391,$E227))</f>
        <v>1</v>
      </c>
      <c r="H227" s="23">
        <f>IF($C227&gt;0,INDEX(Merge_1_2!$D$2:$D$611,$C227),INDEX(Dataset3_Raw!$D$2:$D$391,$E227))</f>
        <v>0</v>
      </c>
      <c r="I227" s="23">
        <f>IF($C227&gt;0,INDEX(Merge_1_2!$E$2:$E$611,$C227),INDEX(Dataset3_Raw!$E$2:$E$391,$E227))</f>
        <v>1</v>
      </c>
      <c r="J227" s="23">
        <f>IF($C227&gt;0,INDEX(Merge_1_2!$F$2:$F$611,$C227),INDEX(Dataset3_Raw!$F$2:$F$391,$E227))</f>
        <v>16</v>
      </c>
      <c r="K227" s="23" t="b">
        <f>IF($C227&gt;0,INDEX(Merge_1_2!$G$2:$G$611,$C227),INDEX(Dataset3_Raw!$G$2:$G$391,$E227))</f>
        <v>0</v>
      </c>
      <c r="L227" s="23">
        <f>IF($C227&gt;0,INDEX(Merge_1_2!$H$2:$H$611,$C227),INDEX(Dataset3_Raw!$H$2:$H$391,$E227))</f>
        <v>1</v>
      </c>
      <c r="M227" s="23">
        <f>IF($C227&gt;0,INDEX(Merge_1_2!$I$2:$I$611,$C227),INDEX(Dataset3_Raw!$I$2:$I$391,$E227))</f>
        <v>1</v>
      </c>
      <c r="N227" s="25">
        <f>IF($C227&gt;0,INDEX(Merge_1_2!$J$2:$J$611,$C227),INDEX(Dataset3_Raw!$J$2:$J$391,$E227))</f>
        <v>0.2</v>
      </c>
      <c r="O227" s="25">
        <f>IF($C227&gt;0,IF(ISNUMBER(INDEX(Merge_1_2!$K$2:$K$611,$C227)),INDEX(Merge_1_2!$K$2:$K$611,$C227),""),INDEX(Dataset3_Raw!$K$2:$K$391,$E227))</f>
        <v>0.21210000000000001</v>
      </c>
      <c r="P227" s="25">
        <f>IF(ISNUMBER($O227),$O227,ROUND(Lookups!$B$25+Lookups!$B$24*$N227,4))</f>
        <v>0.21210000000000001</v>
      </c>
      <c r="Q227" s="25">
        <f>IF($C227&gt;0,INDEX(Merge_1_2!$L$2:$L$611,$C227),INDEX(Dataset3_Raw!$L$2:$L$391,$E227))</f>
        <v>0.4</v>
      </c>
      <c r="R227" s="25">
        <f>IF($C227&gt;0,INDEX(Merge_1_2!$M$2:$M$611,$C227),INDEX(Dataset3_Raw!$M$2:$M$391,$E227))</f>
        <v>0.1343</v>
      </c>
      <c r="S227" s="23">
        <f>IF($C227&gt;0,INDEX(Merge_1_2!$N$2:$N$611,$C227),INDEX(Dataset3_Raw!$N$2:$N$391,$E227))</f>
        <v>4</v>
      </c>
      <c r="T227" s="23">
        <f>IF($C227&gt;0,INDEX(Merge_1_2!$O$2:$O$611,$C227),INDEX(Dataset3_Raw!$O$2:$O$391,$E227))</f>
        <v>70</v>
      </c>
      <c r="U227" s="23">
        <f>IF($C227&gt;0,INDEX(Merge_1_2!$P$2:$P$611,$C227),INDEX(Dataset3_Raw!$P$2:$P$391,$E227))</f>
        <v>74</v>
      </c>
      <c r="V227" s="23" t="str">
        <f t="shared" si="19"/>
        <v>Weekday</v>
      </c>
      <c r="W227" s="23" t="str">
        <f>VLOOKUP($M227,Lookups!$A$5:$B$8,2,FALSE())</f>
        <v>Clear / Partly cloudy</v>
      </c>
      <c r="X227" s="23" t="str">
        <f>VLOOKUP($G227,Lookups!$D$5:$E$8,2,FALSE())</f>
        <v>Winter</v>
      </c>
      <c r="Y227" s="23" t="str">
        <f>VLOOKUP($L227,Lookups!$G$5:$H$11,2,FALSE())</f>
        <v>Monday</v>
      </c>
      <c r="Z227" s="23" t="str">
        <f>IF($J227&lt;Lookups!$B$26,"Night",IF($J227&lt;Lookups!$B$27,"Morning",IF($J227&lt;Lookups!$B$28,"Afternoon","Evening")))</f>
        <v>Afternoon</v>
      </c>
      <c r="AA227" s="26">
        <f>ROUND($N227*(Lookups!$B$16-Lookups!$B$15)+Lookups!$B$15,1)</f>
        <v>1.4</v>
      </c>
      <c r="AB227" s="26">
        <f>ROUND($P227*(Lookups!$B$18-Lookups!$B$17)+Lookups!$B$17,1)</f>
        <v>-2</v>
      </c>
      <c r="AC227" s="23">
        <f t="shared" si="20"/>
        <v>40</v>
      </c>
      <c r="AD227" s="23">
        <f>ROUND($R227*Lookups!$B$19,1)</f>
        <v>9</v>
      </c>
      <c r="AE227" s="27">
        <f t="shared" si="21"/>
        <v>0.94594594594594594</v>
      </c>
      <c r="AF227" s="23" t="str">
        <f>IF($U227&gt;=Lookups!$B$23,"High",IF($U227&gt;=Lookups!$B$22,"Medium","Low"))</f>
        <v>Medium</v>
      </c>
      <c r="AG227" s="23">
        <f>ROUND(IF($V227="Weekday",IF(INDEX(Hourly_Analysis!$D$5:$D$28,$J227+1)&gt;0,($U227-INDEX(Hourly_Analysis!$C$5:$C$28,$J227+1))/INDEX(Hourly_Analysis!$D$5:$D$28,$J227+1),0),IF(INDEX(Hourly_Analysis!$G$5:$G$28,$J227+1)&gt;0,($U227-INDEX(Hourly_Analysis!$F$5:$F$28,$J227+1))/INDEX(Hourly_Analysis!$G$5:$G$28,$J227+1),0)),2)</f>
        <v>-0.41</v>
      </c>
      <c r="AH227" s="23" t="str">
        <f>IF(ABS($AG227)&gt;Lookups!$B$20,IF($AG227&gt;0,"High anomaly","Low anomaly"),"")</f>
        <v/>
      </c>
      <c r="AI227" s="23" t="str">
        <f t="shared" si="22"/>
        <v>OK</v>
      </c>
      <c r="AJ227" s="23" t="str">
        <f t="shared" si="23"/>
        <v>No</v>
      </c>
    </row>
    <row r="228" spans="1:36" x14ac:dyDescent="0.35">
      <c r="A228" s="23">
        <v>227</v>
      </c>
      <c r="B228" s="23" t="str">
        <f t="shared" si="18"/>
        <v>Merge 1+2</v>
      </c>
      <c r="C228" s="23">
        <f>IFERROR(MATCH($A228,Merge_1_2!$A$2:$A$611,0),0)</f>
        <v>227</v>
      </c>
      <c r="D228" s="23">
        <f>IF($C228&gt;0,INDEX(Merge_1_2!$Q$2:$Q$611,$C228),0)</f>
        <v>227</v>
      </c>
      <c r="E228" s="23">
        <f>IFERROR(MATCH($A228,Dataset3_Raw!$A$2:$A$391,0),0)</f>
        <v>0</v>
      </c>
      <c r="F228" s="24">
        <f>IF($C228&gt;0,INDEX(Merge_1_2!$B$2:$B$611,$C228),DATE(VALUE(RIGHT(INDEX(Dataset3_Raw!$B$2:$B$391,$E228),4)),VALUE(MID(INDEX(Dataset3_Raw!$B$2:$B$391,$E228),4,2)),VALUE(LEFT(INDEX(Dataset3_Raw!$B$2:$B$391,$E228),2))))</f>
        <v>40553</v>
      </c>
      <c r="G228" s="23">
        <f>IF($C228&gt;0,INDEX(Merge_1_2!$C$2:$C$611,$C228),INDEX(Dataset3_Raw!$C$2:$C$391,$E228))</f>
        <v>1</v>
      </c>
      <c r="H228" s="23">
        <f>IF($C228&gt;0,INDEX(Merge_1_2!$D$2:$D$611,$C228),INDEX(Dataset3_Raw!$D$2:$D$391,$E228))</f>
        <v>0</v>
      </c>
      <c r="I228" s="23">
        <f>IF($C228&gt;0,INDEX(Merge_1_2!$E$2:$E$611,$C228),INDEX(Dataset3_Raw!$E$2:$E$391,$E228))</f>
        <v>1</v>
      </c>
      <c r="J228" s="23">
        <f>IF($C228&gt;0,INDEX(Merge_1_2!$F$2:$F$611,$C228),INDEX(Dataset3_Raw!$F$2:$F$391,$E228))</f>
        <v>17</v>
      </c>
      <c r="K228" s="23" t="b">
        <f>IF($C228&gt;0,INDEX(Merge_1_2!$G$2:$G$611,$C228),INDEX(Dataset3_Raw!$G$2:$G$391,$E228))</f>
        <v>0</v>
      </c>
      <c r="L228" s="23">
        <f>IF($C228&gt;0,INDEX(Merge_1_2!$H$2:$H$611,$C228),INDEX(Dataset3_Raw!$H$2:$H$391,$E228))</f>
        <v>1</v>
      </c>
      <c r="M228" s="23">
        <f>IF($C228&gt;0,INDEX(Merge_1_2!$I$2:$I$611,$C228),INDEX(Dataset3_Raw!$I$2:$I$391,$E228))</f>
        <v>1</v>
      </c>
      <c r="N228" s="25">
        <f>IF($C228&gt;0,INDEX(Merge_1_2!$J$2:$J$611,$C228),INDEX(Dataset3_Raw!$J$2:$J$391,$E228))</f>
        <v>0.2</v>
      </c>
      <c r="O228" s="25">
        <f>IF($C228&gt;0,IF(ISNUMBER(INDEX(Merge_1_2!$K$2:$K$611,$C228)),INDEX(Merge_1_2!$K$2:$K$611,$C228),""),INDEX(Dataset3_Raw!$K$2:$K$391,$E228))</f>
        <v>0.2273</v>
      </c>
      <c r="P228" s="25">
        <f>IF(ISNUMBER($O228),$O228,ROUND(Lookups!$B$25+Lookups!$B$24*$N228,4))</f>
        <v>0.2273</v>
      </c>
      <c r="Q228" s="25">
        <f>IF($C228&gt;0,INDEX(Merge_1_2!$L$2:$L$611,$C228),INDEX(Dataset3_Raw!$L$2:$L$391,$E228))</f>
        <v>0.4</v>
      </c>
      <c r="R228" s="25">
        <f>IF($C228&gt;0,INDEX(Merge_1_2!$M$2:$M$611,$C228),INDEX(Dataset3_Raw!$M$2:$M$391,$E228))</f>
        <v>0.1045</v>
      </c>
      <c r="S228" s="23">
        <f>IF($C228&gt;0,INDEX(Merge_1_2!$N$2:$N$611,$C228),INDEX(Dataset3_Raw!$N$2:$N$391,$E228))</f>
        <v>4</v>
      </c>
      <c r="T228" s="23">
        <f>IF($C228&gt;0,INDEX(Merge_1_2!$O$2:$O$611,$C228),INDEX(Dataset3_Raw!$O$2:$O$391,$E228))</f>
        <v>174</v>
      </c>
      <c r="U228" s="23">
        <f>IF($C228&gt;0,INDEX(Merge_1_2!$P$2:$P$611,$C228),INDEX(Dataset3_Raw!$P$2:$P$391,$E228))</f>
        <v>178</v>
      </c>
      <c r="V228" s="23" t="str">
        <f t="shared" si="19"/>
        <v>Weekday</v>
      </c>
      <c r="W228" s="23" t="str">
        <f>VLOOKUP($M228,Lookups!$A$5:$B$8,2,FALSE())</f>
        <v>Clear / Partly cloudy</v>
      </c>
      <c r="X228" s="23" t="str">
        <f>VLOOKUP($G228,Lookups!$D$5:$E$8,2,FALSE())</f>
        <v>Winter</v>
      </c>
      <c r="Y228" s="23" t="str">
        <f>VLOOKUP($L228,Lookups!$G$5:$H$11,2,FALSE())</f>
        <v>Monday</v>
      </c>
      <c r="Z228" s="23" t="str">
        <f>IF($J228&lt;Lookups!$B$26,"Night",IF($J228&lt;Lookups!$B$27,"Morning",IF($J228&lt;Lookups!$B$28,"Afternoon","Evening")))</f>
        <v>Afternoon</v>
      </c>
      <c r="AA228" s="26">
        <f>ROUND($N228*(Lookups!$B$16-Lookups!$B$15)+Lookups!$B$15,1)</f>
        <v>1.4</v>
      </c>
      <c r="AB228" s="26">
        <f>ROUND($P228*(Lookups!$B$18-Lookups!$B$17)+Lookups!$B$17,1)</f>
        <v>-1</v>
      </c>
      <c r="AC228" s="23">
        <f t="shared" si="20"/>
        <v>40</v>
      </c>
      <c r="AD228" s="23">
        <f>ROUND($R228*Lookups!$B$19,1)</f>
        <v>7</v>
      </c>
      <c r="AE228" s="27">
        <f t="shared" si="21"/>
        <v>0.97752808988764039</v>
      </c>
      <c r="AF228" s="23" t="str">
        <f>IF($U228&gt;=Lookups!$B$23,"High",IF($U228&gt;=Lookups!$B$22,"Medium","Low"))</f>
        <v>High</v>
      </c>
      <c r="AG228" s="23">
        <f>ROUND(IF($V228="Weekday",IF(INDEX(Hourly_Analysis!$D$5:$D$28,$J228+1)&gt;0,($U228-INDEX(Hourly_Analysis!$C$5:$C$28,$J228+1))/INDEX(Hourly_Analysis!$D$5:$D$28,$J228+1),0),IF(INDEX(Hourly_Analysis!$G$5:$G$28,$J228+1)&gt;0,($U228-INDEX(Hourly_Analysis!$F$5:$F$28,$J228+1))/INDEX(Hourly_Analysis!$G$5:$G$28,$J228+1),0)),2)</f>
        <v>0.22</v>
      </c>
      <c r="AH228" s="23" t="str">
        <f>IF(ABS($AG228)&gt;Lookups!$B$20,IF($AG228&gt;0,"High anomaly","Low anomaly"),"")</f>
        <v/>
      </c>
      <c r="AI228" s="23" t="str">
        <f t="shared" si="22"/>
        <v>OK</v>
      </c>
      <c r="AJ228" s="23" t="str">
        <f t="shared" si="23"/>
        <v>No</v>
      </c>
    </row>
    <row r="229" spans="1:36" x14ac:dyDescent="0.35">
      <c r="A229" s="23">
        <v>228</v>
      </c>
      <c r="B229" s="23" t="str">
        <f t="shared" si="18"/>
        <v>Merge 1+2</v>
      </c>
      <c r="C229" s="23">
        <f>IFERROR(MATCH($A229,Merge_1_2!$A$2:$A$611,0),0)</f>
        <v>228</v>
      </c>
      <c r="D229" s="23">
        <f>IF($C229&gt;0,INDEX(Merge_1_2!$Q$2:$Q$611,$C229),0)</f>
        <v>228</v>
      </c>
      <c r="E229" s="23">
        <f>IFERROR(MATCH($A229,Dataset3_Raw!$A$2:$A$391,0),0)</f>
        <v>0</v>
      </c>
      <c r="F229" s="24">
        <f>IF($C229&gt;0,INDEX(Merge_1_2!$B$2:$B$611,$C229),DATE(VALUE(RIGHT(INDEX(Dataset3_Raw!$B$2:$B$391,$E229),4)),VALUE(MID(INDEX(Dataset3_Raw!$B$2:$B$391,$E229),4,2)),VALUE(LEFT(INDEX(Dataset3_Raw!$B$2:$B$391,$E229),2))))</f>
        <v>40553</v>
      </c>
      <c r="G229" s="23">
        <f>IF($C229&gt;0,INDEX(Merge_1_2!$C$2:$C$611,$C229),INDEX(Dataset3_Raw!$C$2:$C$391,$E229))</f>
        <v>1</v>
      </c>
      <c r="H229" s="23">
        <f>IF($C229&gt;0,INDEX(Merge_1_2!$D$2:$D$611,$C229),INDEX(Dataset3_Raw!$D$2:$D$391,$E229))</f>
        <v>0</v>
      </c>
      <c r="I229" s="23">
        <f>IF($C229&gt;0,INDEX(Merge_1_2!$E$2:$E$611,$C229),INDEX(Dataset3_Raw!$E$2:$E$391,$E229))</f>
        <v>1</v>
      </c>
      <c r="J229" s="23">
        <f>IF($C229&gt;0,INDEX(Merge_1_2!$F$2:$F$611,$C229),INDEX(Dataset3_Raw!$F$2:$F$391,$E229))</f>
        <v>18</v>
      </c>
      <c r="K229" s="23" t="b">
        <f>IF($C229&gt;0,INDEX(Merge_1_2!$G$2:$G$611,$C229),INDEX(Dataset3_Raw!$G$2:$G$391,$E229))</f>
        <v>0</v>
      </c>
      <c r="L229" s="23">
        <f>IF($C229&gt;0,INDEX(Merge_1_2!$H$2:$H$611,$C229),INDEX(Dataset3_Raw!$H$2:$H$391,$E229))</f>
        <v>1</v>
      </c>
      <c r="M229" s="23">
        <f>IF($C229&gt;0,INDEX(Merge_1_2!$I$2:$I$611,$C229),INDEX(Dataset3_Raw!$I$2:$I$391,$E229))</f>
        <v>1</v>
      </c>
      <c r="N229" s="25">
        <f>IF($C229&gt;0,INDEX(Merge_1_2!$J$2:$J$611,$C229),INDEX(Dataset3_Raw!$J$2:$J$391,$E229))</f>
        <v>0.2</v>
      </c>
      <c r="O229" s="25">
        <f>IF($C229&gt;0,IF(ISNUMBER(INDEX(Merge_1_2!$K$2:$K$611,$C229)),INDEX(Merge_1_2!$K$2:$K$611,$C229),""),INDEX(Dataset3_Raw!$K$2:$K$391,$E229))</f>
        <v>0.19700000000000001</v>
      </c>
      <c r="P229" s="25">
        <f>IF(ISNUMBER($O229),$O229,ROUND(Lookups!$B$25+Lookups!$B$24*$N229,4))</f>
        <v>0.19700000000000001</v>
      </c>
      <c r="Q229" s="25">
        <f>IF($C229&gt;0,INDEX(Merge_1_2!$L$2:$L$611,$C229),INDEX(Dataset3_Raw!$L$2:$L$391,$E229))</f>
        <v>0.4</v>
      </c>
      <c r="R229" s="25">
        <f>IF($C229&gt;0,INDEX(Merge_1_2!$M$2:$M$611,$C229),INDEX(Dataset3_Raw!$M$2:$M$391,$E229))</f>
        <v>0.22389999999999999</v>
      </c>
      <c r="S229" s="23">
        <f>IF($C229&gt;0,INDEX(Merge_1_2!$N$2:$N$611,$C229),INDEX(Dataset3_Raw!$N$2:$N$391,$E229))</f>
        <v>1</v>
      </c>
      <c r="T229" s="23">
        <f>IF($C229&gt;0,INDEX(Merge_1_2!$O$2:$O$611,$C229),INDEX(Dataset3_Raw!$O$2:$O$391,$E229))</f>
        <v>154</v>
      </c>
      <c r="U229" s="23">
        <f>IF($C229&gt;0,INDEX(Merge_1_2!$P$2:$P$611,$C229),INDEX(Dataset3_Raw!$P$2:$P$391,$E229))</f>
        <v>155</v>
      </c>
      <c r="V229" s="23" t="str">
        <f t="shared" si="19"/>
        <v>Weekday</v>
      </c>
      <c r="W229" s="23" t="str">
        <f>VLOOKUP($M229,Lookups!$A$5:$B$8,2,FALSE())</f>
        <v>Clear / Partly cloudy</v>
      </c>
      <c r="X229" s="23" t="str">
        <f>VLOOKUP($G229,Lookups!$D$5:$E$8,2,FALSE())</f>
        <v>Winter</v>
      </c>
      <c r="Y229" s="23" t="str">
        <f>VLOOKUP($L229,Lookups!$G$5:$H$11,2,FALSE())</f>
        <v>Monday</v>
      </c>
      <c r="Z229" s="23" t="str">
        <f>IF($J229&lt;Lookups!$B$26,"Night",IF($J229&lt;Lookups!$B$27,"Morning",IF($J229&lt;Lookups!$B$28,"Afternoon","Evening")))</f>
        <v>Evening</v>
      </c>
      <c r="AA229" s="26">
        <f>ROUND($N229*(Lookups!$B$16-Lookups!$B$15)+Lookups!$B$15,1)</f>
        <v>1.4</v>
      </c>
      <c r="AB229" s="26">
        <f>ROUND($P229*(Lookups!$B$18-Lookups!$B$17)+Lookups!$B$17,1)</f>
        <v>-3</v>
      </c>
      <c r="AC229" s="23">
        <f t="shared" si="20"/>
        <v>40</v>
      </c>
      <c r="AD229" s="23">
        <f>ROUND($R229*Lookups!$B$19,1)</f>
        <v>15</v>
      </c>
      <c r="AE229" s="27">
        <f t="shared" si="21"/>
        <v>0.99354838709677418</v>
      </c>
      <c r="AF229" s="23" t="str">
        <f>IF($U229&gt;=Lookups!$B$23,"High",IF($U229&gt;=Lookups!$B$22,"Medium","Low"))</f>
        <v>High</v>
      </c>
      <c r="AG229" s="23">
        <f>ROUND(IF($V229="Weekday",IF(INDEX(Hourly_Analysis!$D$5:$D$28,$J229+1)&gt;0,($U229-INDEX(Hourly_Analysis!$C$5:$C$28,$J229+1))/INDEX(Hourly_Analysis!$D$5:$D$28,$J229+1),0),IF(INDEX(Hourly_Analysis!$G$5:$G$28,$J229+1)&gt;0,($U229-INDEX(Hourly_Analysis!$F$5:$F$28,$J229+1))/INDEX(Hourly_Analysis!$G$5:$G$28,$J229+1),0)),2)</f>
        <v>0.06</v>
      </c>
      <c r="AH229" s="23" t="str">
        <f>IF(ABS($AG229)&gt;Lookups!$B$20,IF($AG229&gt;0,"High anomaly","Low anomaly"),"")</f>
        <v/>
      </c>
      <c r="AI229" s="23" t="str">
        <f t="shared" si="22"/>
        <v>OK</v>
      </c>
      <c r="AJ229" s="23" t="str">
        <f t="shared" si="23"/>
        <v>No</v>
      </c>
    </row>
    <row r="230" spans="1:36" x14ac:dyDescent="0.35">
      <c r="A230" s="23">
        <v>229</v>
      </c>
      <c r="B230" s="23" t="str">
        <f t="shared" si="18"/>
        <v>Merge 1+2</v>
      </c>
      <c r="C230" s="23">
        <f>IFERROR(MATCH($A230,Merge_1_2!$A$2:$A$611,0),0)</f>
        <v>229</v>
      </c>
      <c r="D230" s="23">
        <f>IF($C230&gt;0,INDEX(Merge_1_2!$Q$2:$Q$611,$C230),0)</f>
        <v>229</v>
      </c>
      <c r="E230" s="23">
        <f>IFERROR(MATCH($A230,Dataset3_Raw!$A$2:$A$391,0),0)</f>
        <v>0</v>
      </c>
      <c r="F230" s="24">
        <f>IF($C230&gt;0,INDEX(Merge_1_2!$B$2:$B$611,$C230),DATE(VALUE(RIGHT(INDEX(Dataset3_Raw!$B$2:$B$391,$E230),4)),VALUE(MID(INDEX(Dataset3_Raw!$B$2:$B$391,$E230),4,2)),VALUE(LEFT(INDEX(Dataset3_Raw!$B$2:$B$391,$E230),2))))</f>
        <v>40553</v>
      </c>
      <c r="G230" s="23">
        <f>IF($C230&gt;0,INDEX(Merge_1_2!$C$2:$C$611,$C230),INDEX(Dataset3_Raw!$C$2:$C$391,$E230))</f>
        <v>1</v>
      </c>
      <c r="H230" s="23">
        <f>IF($C230&gt;0,INDEX(Merge_1_2!$D$2:$D$611,$C230),INDEX(Dataset3_Raw!$D$2:$D$391,$E230))</f>
        <v>0</v>
      </c>
      <c r="I230" s="23">
        <f>IF($C230&gt;0,INDEX(Merge_1_2!$E$2:$E$611,$C230),INDEX(Dataset3_Raw!$E$2:$E$391,$E230))</f>
        <v>1</v>
      </c>
      <c r="J230" s="23">
        <f>IF($C230&gt;0,INDEX(Merge_1_2!$F$2:$F$611,$C230),INDEX(Dataset3_Raw!$F$2:$F$391,$E230))</f>
        <v>19</v>
      </c>
      <c r="K230" s="23" t="b">
        <f>IF($C230&gt;0,INDEX(Merge_1_2!$G$2:$G$611,$C230),INDEX(Dataset3_Raw!$G$2:$G$391,$E230))</f>
        <v>0</v>
      </c>
      <c r="L230" s="23">
        <f>IF($C230&gt;0,INDEX(Merge_1_2!$H$2:$H$611,$C230),INDEX(Dataset3_Raw!$H$2:$H$391,$E230))</f>
        <v>1</v>
      </c>
      <c r="M230" s="23">
        <f>IF($C230&gt;0,INDEX(Merge_1_2!$I$2:$I$611,$C230),INDEX(Dataset3_Raw!$I$2:$I$391,$E230))</f>
        <v>1</v>
      </c>
      <c r="N230" s="25">
        <f>IF($C230&gt;0,INDEX(Merge_1_2!$J$2:$J$611,$C230),INDEX(Dataset3_Raw!$J$2:$J$391,$E230))</f>
        <v>0.16</v>
      </c>
      <c r="O230" s="25">
        <f>IF($C230&gt;0,IF(ISNUMBER(INDEX(Merge_1_2!$K$2:$K$611,$C230)),INDEX(Merge_1_2!$K$2:$K$611,$C230),""),INDEX(Dataset3_Raw!$K$2:$K$391,$E230))</f>
        <v>0.16669999999999999</v>
      </c>
      <c r="P230" s="25">
        <f>IF(ISNUMBER($O230),$O230,ROUND(Lookups!$B$25+Lookups!$B$24*$N230,4))</f>
        <v>0.16669999999999999</v>
      </c>
      <c r="Q230" s="25">
        <f>IF($C230&gt;0,INDEX(Merge_1_2!$L$2:$L$611,$C230),INDEX(Dataset3_Raw!$L$2:$L$391,$E230))</f>
        <v>0.47</v>
      </c>
      <c r="R230" s="25">
        <f>IF($C230&gt;0,INDEX(Merge_1_2!$M$2:$M$611,$C230),INDEX(Dataset3_Raw!$M$2:$M$391,$E230))</f>
        <v>0.16420000000000001</v>
      </c>
      <c r="S230" s="23">
        <f>IF($C230&gt;0,INDEX(Merge_1_2!$N$2:$N$611,$C230),INDEX(Dataset3_Raw!$N$2:$N$391,$E230))</f>
        <v>3</v>
      </c>
      <c r="T230" s="23">
        <f>IF($C230&gt;0,INDEX(Merge_1_2!$O$2:$O$611,$C230),INDEX(Dataset3_Raw!$O$2:$O$391,$E230))</f>
        <v>92</v>
      </c>
      <c r="U230" s="23">
        <f>IF($C230&gt;0,INDEX(Merge_1_2!$P$2:$P$611,$C230),INDEX(Dataset3_Raw!$P$2:$P$391,$E230))</f>
        <v>95</v>
      </c>
      <c r="V230" s="23" t="str">
        <f t="shared" si="19"/>
        <v>Weekday</v>
      </c>
      <c r="W230" s="23" t="str">
        <f>VLOOKUP($M230,Lookups!$A$5:$B$8,2,FALSE())</f>
        <v>Clear / Partly cloudy</v>
      </c>
      <c r="X230" s="23" t="str">
        <f>VLOOKUP($G230,Lookups!$D$5:$E$8,2,FALSE())</f>
        <v>Winter</v>
      </c>
      <c r="Y230" s="23" t="str">
        <f>VLOOKUP($L230,Lookups!$G$5:$H$11,2,FALSE())</f>
        <v>Monday</v>
      </c>
      <c r="Z230" s="23" t="str">
        <f>IF($J230&lt;Lookups!$B$26,"Night",IF($J230&lt;Lookups!$B$27,"Morning",IF($J230&lt;Lookups!$B$28,"Afternoon","Evening")))</f>
        <v>Evening</v>
      </c>
      <c r="AA230" s="26">
        <f>ROUND($N230*(Lookups!$B$16-Lookups!$B$15)+Lookups!$B$15,1)</f>
        <v>-0.5</v>
      </c>
      <c r="AB230" s="26">
        <f>ROUND($P230*(Lookups!$B$18-Lookups!$B$17)+Lookups!$B$17,1)</f>
        <v>-5</v>
      </c>
      <c r="AC230" s="23">
        <f t="shared" si="20"/>
        <v>47</v>
      </c>
      <c r="AD230" s="23">
        <f>ROUND($R230*Lookups!$B$19,1)</f>
        <v>11</v>
      </c>
      <c r="AE230" s="27">
        <f t="shared" si="21"/>
        <v>0.96842105263157896</v>
      </c>
      <c r="AF230" s="23" t="str">
        <f>IF($U230&gt;=Lookups!$B$23,"High",IF($U230&gt;=Lookups!$B$22,"Medium","Low"))</f>
        <v>High</v>
      </c>
      <c r="AG230" s="23">
        <f>ROUND(IF($V230="Weekday",IF(INDEX(Hourly_Analysis!$D$5:$D$28,$J230+1)&gt;0,($U230-INDEX(Hourly_Analysis!$C$5:$C$28,$J230+1))/INDEX(Hourly_Analysis!$D$5:$D$28,$J230+1),0),IF(INDEX(Hourly_Analysis!$G$5:$G$28,$J230+1)&gt;0,($U230-INDEX(Hourly_Analysis!$F$5:$F$28,$J230+1))/INDEX(Hourly_Analysis!$G$5:$G$28,$J230+1),0)),2)</f>
        <v>-0.43</v>
      </c>
      <c r="AH230" s="23" t="str">
        <f>IF(ABS($AG230)&gt;Lookups!$B$20,IF($AG230&gt;0,"High anomaly","Low anomaly"),"")</f>
        <v/>
      </c>
      <c r="AI230" s="23" t="str">
        <f t="shared" si="22"/>
        <v>OK</v>
      </c>
      <c r="AJ230" s="23" t="str">
        <f t="shared" si="23"/>
        <v>No</v>
      </c>
    </row>
    <row r="231" spans="1:36" x14ac:dyDescent="0.35">
      <c r="A231" s="23">
        <v>230</v>
      </c>
      <c r="B231" s="23" t="str">
        <f t="shared" si="18"/>
        <v>Merge 1+2</v>
      </c>
      <c r="C231" s="23">
        <f>IFERROR(MATCH($A231,Merge_1_2!$A$2:$A$611,0),0)</f>
        <v>230</v>
      </c>
      <c r="D231" s="23">
        <f>IF($C231&gt;0,INDEX(Merge_1_2!$Q$2:$Q$611,$C231),0)</f>
        <v>230</v>
      </c>
      <c r="E231" s="23">
        <f>IFERROR(MATCH($A231,Dataset3_Raw!$A$2:$A$391,0),0)</f>
        <v>0</v>
      </c>
      <c r="F231" s="24">
        <f>IF($C231&gt;0,INDEX(Merge_1_2!$B$2:$B$611,$C231),DATE(VALUE(RIGHT(INDEX(Dataset3_Raw!$B$2:$B$391,$E231),4)),VALUE(MID(INDEX(Dataset3_Raw!$B$2:$B$391,$E231),4,2)),VALUE(LEFT(INDEX(Dataset3_Raw!$B$2:$B$391,$E231),2))))</f>
        <v>40553</v>
      </c>
      <c r="G231" s="23">
        <f>IF($C231&gt;0,INDEX(Merge_1_2!$C$2:$C$611,$C231),INDEX(Dataset3_Raw!$C$2:$C$391,$E231))</f>
        <v>1</v>
      </c>
      <c r="H231" s="23">
        <f>IF($C231&gt;0,INDEX(Merge_1_2!$D$2:$D$611,$C231),INDEX(Dataset3_Raw!$D$2:$D$391,$E231))</f>
        <v>0</v>
      </c>
      <c r="I231" s="23">
        <f>IF($C231&gt;0,INDEX(Merge_1_2!$E$2:$E$611,$C231),INDEX(Dataset3_Raw!$E$2:$E$391,$E231))</f>
        <v>1</v>
      </c>
      <c r="J231" s="23">
        <f>IF($C231&gt;0,INDEX(Merge_1_2!$F$2:$F$611,$C231),INDEX(Dataset3_Raw!$F$2:$F$391,$E231))</f>
        <v>20</v>
      </c>
      <c r="K231" s="23" t="b">
        <f>IF($C231&gt;0,INDEX(Merge_1_2!$G$2:$G$611,$C231),INDEX(Dataset3_Raw!$G$2:$G$391,$E231))</f>
        <v>0</v>
      </c>
      <c r="L231" s="23">
        <f>IF($C231&gt;0,INDEX(Merge_1_2!$H$2:$H$611,$C231),INDEX(Dataset3_Raw!$H$2:$H$391,$E231))</f>
        <v>1</v>
      </c>
      <c r="M231" s="23">
        <f>IF($C231&gt;0,INDEX(Merge_1_2!$I$2:$I$611,$C231),INDEX(Dataset3_Raw!$I$2:$I$391,$E231))</f>
        <v>1</v>
      </c>
      <c r="N231" s="25">
        <f>IF($C231&gt;0,INDEX(Merge_1_2!$J$2:$J$611,$C231),INDEX(Dataset3_Raw!$J$2:$J$391,$E231))</f>
        <v>0.16</v>
      </c>
      <c r="O231" s="25">
        <f>IF($C231&gt;0,IF(ISNUMBER(INDEX(Merge_1_2!$K$2:$K$611,$C231)),INDEX(Merge_1_2!$K$2:$K$611,$C231),""),INDEX(Dataset3_Raw!$K$2:$K$391,$E231))</f>
        <v>0.16669999999999999</v>
      </c>
      <c r="P231" s="25">
        <f>IF(ISNUMBER($O231),$O231,ROUND(Lookups!$B$25+Lookups!$B$24*$N231,4))</f>
        <v>0.16669999999999999</v>
      </c>
      <c r="Q231" s="25">
        <f>IF($C231&gt;0,INDEX(Merge_1_2!$L$2:$L$611,$C231),INDEX(Dataset3_Raw!$L$2:$L$391,$E231))</f>
        <v>0.5</v>
      </c>
      <c r="R231" s="25">
        <f>IF($C231&gt;0,INDEX(Merge_1_2!$M$2:$M$611,$C231),INDEX(Dataset3_Raw!$M$2:$M$391,$E231))</f>
        <v>0.16420000000000001</v>
      </c>
      <c r="S231" s="23">
        <f>IF($C231&gt;0,INDEX(Merge_1_2!$N$2:$N$611,$C231),INDEX(Dataset3_Raw!$N$2:$N$391,$E231))</f>
        <v>1</v>
      </c>
      <c r="T231" s="23">
        <f>IF($C231&gt;0,INDEX(Merge_1_2!$O$2:$O$611,$C231),INDEX(Dataset3_Raw!$O$2:$O$391,$E231))</f>
        <v>73</v>
      </c>
      <c r="U231" s="23">
        <f>IF($C231&gt;0,INDEX(Merge_1_2!$P$2:$P$611,$C231),INDEX(Dataset3_Raw!$P$2:$P$391,$E231))</f>
        <v>74</v>
      </c>
      <c r="V231" s="23" t="str">
        <f t="shared" si="19"/>
        <v>Weekday</v>
      </c>
      <c r="W231" s="23" t="str">
        <f>VLOOKUP($M231,Lookups!$A$5:$B$8,2,FALSE())</f>
        <v>Clear / Partly cloudy</v>
      </c>
      <c r="X231" s="23" t="str">
        <f>VLOOKUP($G231,Lookups!$D$5:$E$8,2,FALSE())</f>
        <v>Winter</v>
      </c>
      <c r="Y231" s="23" t="str">
        <f>VLOOKUP($L231,Lookups!$G$5:$H$11,2,FALSE())</f>
        <v>Monday</v>
      </c>
      <c r="Z231" s="23" t="str">
        <f>IF($J231&lt;Lookups!$B$26,"Night",IF($J231&lt;Lookups!$B$27,"Morning",IF($J231&lt;Lookups!$B$28,"Afternoon","Evening")))</f>
        <v>Evening</v>
      </c>
      <c r="AA231" s="26">
        <f>ROUND($N231*(Lookups!$B$16-Lookups!$B$15)+Lookups!$B$15,1)</f>
        <v>-0.5</v>
      </c>
      <c r="AB231" s="26">
        <f>ROUND($P231*(Lookups!$B$18-Lookups!$B$17)+Lookups!$B$17,1)</f>
        <v>-5</v>
      </c>
      <c r="AC231" s="23">
        <f t="shared" si="20"/>
        <v>50</v>
      </c>
      <c r="AD231" s="23">
        <f>ROUND($R231*Lookups!$B$19,1)</f>
        <v>11</v>
      </c>
      <c r="AE231" s="27">
        <f t="shared" si="21"/>
        <v>0.98648648648648651</v>
      </c>
      <c r="AF231" s="23" t="str">
        <f>IF($U231&gt;=Lookups!$B$23,"High",IF($U231&gt;=Lookups!$B$22,"Medium","Low"))</f>
        <v>Medium</v>
      </c>
      <c r="AG231" s="23">
        <f>ROUND(IF($V231="Weekday",IF(INDEX(Hourly_Analysis!$D$5:$D$28,$J231+1)&gt;0,($U231-INDEX(Hourly_Analysis!$C$5:$C$28,$J231+1))/INDEX(Hourly_Analysis!$D$5:$D$28,$J231+1),0),IF(INDEX(Hourly_Analysis!$G$5:$G$28,$J231+1)&gt;0,($U231-INDEX(Hourly_Analysis!$F$5:$F$28,$J231+1))/INDEX(Hourly_Analysis!$G$5:$G$28,$J231+1),0)),2)</f>
        <v>0.02</v>
      </c>
      <c r="AH231" s="23" t="str">
        <f>IF(ABS($AG231)&gt;Lookups!$B$20,IF($AG231&gt;0,"High anomaly","Low anomaly"),"")</f>
        <v/>
      </c>
      <c r="AI231" s="23" t="str">
        <f t="shared" si="22"/>
        <v>OK</v>
      </c>
      <c r="AJ231" s="23" t="str">
        <f t="shared" si="23"/>
        <v>No</v>
      </c>
    </row>
    <row r="232" spans="1:36" x14ac:dyDescent="0.35">
      <c r="A232" s="23">
        <v>231</v>
      </c>
      <c r="B232" s="23" t="str">
        <f t="shared" si="18"/>
        <v>Merge 1+2</v>
      </c>
      <c r="C232" s="23">
        <f>IFERROR(MATCH($A232,Merge_1_2!$A$2:$A$611,0),0)</f>
        <v>231</v>
      </c>
      <c r="D232" s="23">
        <f>IF($C232&gt;0,INDEX(Merge_1_2!$Q$2:$Q$611,$C232),0)</f>
        <v>231</v>
      </c>
      <c r="E232" s="23">
        <f>IFERROR(MATCH($A232,Dataset3_Raw!$A$2:$A$391,0),0)</f>
        <v>0</v>
      </c>
      <c r="F232" s="24">
        <f>IF($C232&gt;0,INDEX(Merge_1_2!$B$2:$B$611,$C232),DATE(VALUE(RIGHT(INDEX(Dataset3_Raw!$B$2:$B$391,$E232),4)),VALUE(MID(INDEX(Dataset3_Raw!$B$2:$B$391,$E232),4,2)),VALUE(LEFT(INDEX(Dataset3_Raw!$B$2:$B$391,$E232),2))))</f>
        <v>40553</v>
      </c>
      <c r="G232" s="23">
        <f>IF($C232&gt;0,INDEX(Merge_1_2!$C$2:$C$611,$C232),INDEX(Dataset3_Raw!$C$2:$C$391,$E232))</f>
        <v>1</v>
      </c>
      <c r="H232" s="23">
        <f>IF($C232&gt;0,INDEX(Merge_1_2!$D$2:$D$611,$C232),INDEX(Dataset3_Raw!$D$2:$D$391,$E232))</f>
        <v>0</v>
      </c>
      <c r="I232" s="23">
        <f>IF($C232&gt;0,INDEX(Merge_1_2!$E$2:$E$611,$C232),INDEX(Dataset3_Raw!$E$2:$E$391,$E232))</f>
        <v>1</v>
      </c>
      <c r="J232" s="23">
        <f>IF($C232&gt;0,INDEX(Merge_1_2!$F$2:$F$611,$C232),INDEX(Dataset3_Raw!$F$2:$F$391,$E232))</f>
        <v>21</v>
      </c>
      <c r="K232" s="23" t="b">
        <f>IF($C232&gt;0,INDEX(Merge_1_2!$G$2:$G$611,$C232),INDEX(Dataset3_Raw!$G$2:$G$391,$E232))</f>
        <v>0</v>
      </c>
      <c r="L232" s="23">
        <f>IF($C232&gt;0,INDEX(Merge_1_2!$H$2:$H$611,$C232),INDEX(Dataset3_Raw!$H$2:$H$391,$E232))</f>
        <v>1</v>
      </c>
      <c r="M232" s="23">
        <f>IF($C232&gt;0,INDEX(Merge_1_2!$I$2:$I$611,$C232),INDEX(Dataset3_Raw!$I$2:$I$391,$E232))</f>
        <v>1</v>
      </c>
      <c r="N232" s="25">
        <f>IF($C232&gt;0,INDEX(Merge_1_2!$J$2:$J$611,$C232),INDEX(Dataset3_Raw!$J$2:$J$391,$E232))</f>
        <v>0.14000000000000001</v>
      </c>
      <c r="O232" s="25">
        <f>IF($C232&gt;0,IF(ISNUMBER(INDEX(Merge_1_2!$K$2:$K$611,$C232)),INDEX(Merge_1_2!$K$2:$K$611,$C232),""),INDEX(Dataset3_Raw!$K$2:$K$391,$E232))</f>
        <v>0.13639999999999999</v>
      </c>
      <c r="P232" s="25">
        <f>IF(ISNUMBER($O232),$O232,ROUND(Lookups!$B$25+Lookups!$B$24*$N232,4))</f>
        <v>0.13639999999999999</v>
      </c>
      <c r="Q232" s="25">
        <f>IF($C232&gt;0,INDEX(Merge_1_2!$L$2:$L$611,$C232),INDEX(Dataset3_Raw!$L$2:$L$391,$E232))</f>
        <v>0.59</v>
      </c>
      <c r="R232" s="25">
        <f>IF($C232&gt;0,INDEX(Merge_1_2!$M$2:$M$611,$C232),INDEX(Dataset3_Raw!$M$2:$M$391,$E232))</f>
        <v>0.19400000000000001</v>
      </c>
      <c r="S232" s="23">
        <f>IF($C232&gt;0,INDEX(Merge_1_2!$N$2:$N$611,$C232),INDEX(Dataset3_Raw!$N$2:$N$391,$E232))</f>
        <v>1</v>
      </c>
      <c r="T232" s="23">
        <f>IF($C232&gt;0,INDEX(Merge_1_2!$O$2:$O$611,$C232),INDEX(Dataset3_Raw!$O$2:$O$391,$E232))</f>
        <v>37</v>
      </c>
      <c r="U232" s="23">
        <f>IF($C232&gt;0,INDEX(Merge_1_2!$P$2:$P$611,$C232),INDEX(Dataset3_Raw!$P$2:$P$391,$E232))</f>
        <v>38</v>
      </c>
      <c r="V232" s="23" t="str">
        <f t="shared" si="19"/>
        <v>Weekday</v>
      </c>
      <c r="W232" s="23" t="str">
        <f>VLOOKUP($M232,Lookups!$A$5:$B$8,2,FALSE())</f>
        <v>Clear / Partly cloudy</v>
      </c>
      <c r="X232" s="23" t="str">
        <f>VLOOKUP($G232,Lookups!$D$5:$E$8,2,FALSE())</f>
        <v>Winter</v>
      </c>
      <c r="Y232" s="23" t="str">
        <f>VLOOKUP($L232,Lookups!$G$5:$H$11,2,FALSE())</f>
        <v>Monday</v>
      </c>
      <c r="Z232" s="23" t="str">
        <f>IF($J232&lt;Lookups!$B$26,"Night",IF($J232&lt;Lookups!$B$27,"Morning",IF($J232&lt;Lookups!$B$28,"Afternoon","Evening")))</f>
        <v>Evening</v>
      </c>
      <c r="AA232" s="26">
        <f>ROUND($N232*(Lookups!$B$16-Lookups!$B$15)+Lookups!$B$15,1)</f>
        <v>-1.4</v>
      </c>
      <c r="AB232" s="26">
        <f>ROUND($P232*(Lookups!$B$18-Lookups!$B$17)+Lookups!$B$17,1)</f>
        <v>-7</v>
      </c>
      <c r="AC232" s="23">
        <f t="shared" si="20"/>
        <v>59</v>
      </c>
      <c r="AD232" s="23">
        <f>ROUND($R232*Lookups!$B$19,1)</f>
        <v>13</v>
      </c>
      <c r="AE232" s="27">
        <f t="shared" si="21"/>
        <v>0.97368421052631582</v>
      </c>
      <c r="AF232" s="23" t="str">
        <f>IF($U232&gt;=Lookups!$B$23,"High",IF($U232&gt;=Lookups!$B$22,"Medium","Low"))</f>
        <v>Medium</v>
      </c>
      <c r="AG232" s="23">
        <f>ROUND(IF($V232="Weekday",IF(INDEX(Hourly_Analysis!$D$5:$D$28,$J232+1)&gt;0,($U232-INDEX(Hourly_Analysis!$C$5:$C$28,$J232+1))/INDEX(Hourly_Analysis!$D$5:$D$28,$J232+1),0),IF(INDEX(Hourly_Analysis!$G$5:$G$28,$J232+1)&gt;0,($U232-INDEX(Hourly_Analysis!$F$5:$F$28,$J232+1))/INDEX(Hourly_Analysis!$G$5:$G$28,$J232+1),0)),2)</f>
        <v>-1.04</v>
      </c>
      <c r="AH232" s="23" t="str">
        <f>IF(ABS($AG232)&gt;Lookups!$B$20,IF($AG232&gt;0,"High anomaly","Low anomaly"),"")</f>
        <v/>
      </c>
      <c r="AI232" s="23" t="str">
        <f t="shared" si="22"/>
        <v>OK</v>
      </c>
      <c r="AJ232" s="23" t="str">
        <f t="shared" si="23"/>
        <v>No</v>
      </c>
    </row>
    <row r="233" spans="1:36" x14ac:dyDescent="0.35">
      <c r="A233" s="23">
        <v>232</v>
      </c>
      <c r="B233" s="23" t="str">
        <f t="shared" si="18"/>
        <v>Merge 1+2</v>
      </c>
      <c r="C233" s="23">
        <f>IFERROR(MATCH($A233,Merge_1_2!$A$2:$A$611,0),0)</f>
        <v>232</v>
      </c>
      <c r="D233" s="23">
        <f>IF($C233&gt;0,INDEX(Merge_1_2!$Q$2:$Q$611,$C233),0)</f>
        <v>232</v>
      </c>
      <c r="E233" s="23">
        <f>IFERROR(MATCH($A233,Dataset3_Raw!$A$2:$A$391,0),0)</f>
        <v>0</v>
      </c>
      <c r="F233" s="24">
        <f>IF($C233&gt;0,INDEX(Merge_1_2!$B$2:$B$611,$C233),DATE(VALUE(RIGHT(INDEX(Dataset3_Raw!$B$2:$B$391,$E233),4)),VALUE(MID(INDEX(Dataset3_Raw!$B$2:$B$391,$E233),4,2)),VALUE(LEFT(INDEX(Dataset3_Raw!$B$2:$B$391,$E233),2))))</f>
        <v>40553</v>
      </c>
      <c r="G233" s="23">
        <f>IF($C233&gt;0,INDEX(Merge_1_2!$C$2:$C$611,$C233),INDEX(Dataset3_Raw!$C$2:$C$391,$E233))</f>
        <v>1</v>
      </c>
      <c r="H233" s="23">
        <f>IF($C233&gt;0,INDEX(Merge_1_2!$D$2:$D$611,$C233),INDEX(Dataset3_Raw!$D$2:$D$391,$E233))</f>
        <v>0</v>
      </c>
      <c r="I233" s="23">
        <f>IF($C233&gt;0,INDEX(Merge_1_2!$E$2:$E$611,$C233),INDEX(Dataset3_Raw!$E$2:$E$391,$E233))</f>
        <v>1</v>
      </c>
      <c r="J233" s="23">
        <f>IF($C233&gt;0,INDEX(Merge_1_2!$F$2:$F$611,$C233),INDEX(Dataset3_Raw!$F$2:$F$391,$E233))</f>
        <v>22</v>
      </c>
      <c r="K233" s="23" t="b">
        <f>IF($C233&gt;0,INDEX(Merge_1_2!$G$2:$G$611,$C233),INDEX(Dataset3_Raw!$G$2:$G$391,$E233))</f>
        <v>0</v>
      </c>
      <c r="L233" s="23">
        <f>IF($C233&gt;0,INDEX(Merge_1_2!$H$2:$H$611,$C233),INDEX(Dataset3_Raw!$H$2:$H$391,$E233))</f>
        <v>1</v>
      </c>
      <c r="M233" s="23">
        <f>IF($C233&gt;0,INDEX(Merge_1_2!$I$2:$I$611,$C233),INDEX(Dataset3_Raw!$I$2:$I$391,$E233))</f>
        <v>1</v>
      </c>
      <c r="N233" s="25">
        <f>IF($C233&gt;0,INDEX(Merge_1_2!$J$2:$J$611,$C233),INDEX(Dataset3_Raw!$J$2:$J$391,$E233))</f>
        <v>0.14000000000000001</v>
      </c>
      <c r="O233" s="25">
        <f>IF($C233&gt;0,IF(ISNUMBER(INDEX(Merge_1_2!$K$2:$K$611,$C233)),INDEX(Merge_1_2!$K$2:$K$611,$C233),""),INDEX(Dataset3_Raw!$K$2:$K$391,$E233))</f>
        <v>0.1515</v>
      </c>
      <c r="P233" s="25">
        <f>IF(ISNUMBER($O233),$O233,ROUND(Lookups!$B$25+Lookups!$B$24*$N233,4))</f>
        <v>0.1515</v>
      </c>
      <c r="Q233" s="25">
        <f>IF($C233&gt;0,INDEX(Merge_1_2!$L$2:$L$611,$C233),INDEX(Dataset3_Raw!$L$2:$L$391,$E233))</f>
        <v>0.59</v>
      </c>
      <c r="R233" s="25">
        <f>IF($C233&gt;0,INDEX(Merge_1_2!$M$2:$M$611,$C233),INDEX(Dataset3_Raw!$M$2:$M$391,$E233))</f>
        <v>0.16420000000000001</v>
      </c>
      <c r="S233" s="23">
        <f>IF($C233&gt;0,INDEX(Merge_1_2!$N$2:$N$611,$C233),INDEX(Dataset3_Raw!$N$2:$N$391,$E233))</f>
        <v>2</v>
      </c>
      <c r="T233" s="23">
        <f>IF($C233&gt;0,INDEX(Merge_1_2!$O$2:$O$611,$C233),INDEX(Dataset3_Raw!$O$2:$O$391,$E233))</f>
        <v>22</v>
      </c>
      <c r="U233" s="23">
        <f>IF($C233&gt;0,INDEX(Merge_1_2!$P$2:$P$611,$C233),INDEX(Dataset3_Raw!$P$2:$P$391,$E233))</f>
        <v>24</v>
      </c>
      <c r="V233" s="23" t="str">
        <f t="shared" si="19"/>
        <v>Weekday</v>
      </c>
      <c r="W233" s="23" t="str">
        <f>VLOOKUP($M233,Lookups!$A$5:$B$8,2,FALSE())</f>
        <v>Clear / Partly cloudy</v>
      </c>
      <c r="X233" s="23" t="str">
        <f>VLOOKUP($G233,Lookups!$D$5:$E$8,2,FALSE())</f>
        <v>Winter</v>
      </c>
      <c r="Y233" s="23" t="str">
        <f>VLOOKUP($L233,Lookups!$G$5:$H$11,2,FALSE())</f>
        <v>Monday</v>
      </c>
      <c r="Z233" s="23" t="str">
        <f>IF($J233&lt;Lookups!$B$26,"Night",IF($J233&lt;Lookups!$B$27,"Morning",IF($J233&lt;Lookups!$B$28,"Afternoon","Evening")))</f>
        <v>Evening</v>
      </c>
      <c r="AA233" s="26">
        <f>ROUND($N233*(Lookups!$B$16-Lookups!$B$15)+Lookups!$B$15,1)</f>
        <v>-1.4</v>
      </c>
      <c r="AB233" s="26">
        <f>ROUND($P233*(Lookups!$B$18-Lookups!$B$17)+Lookups!$B$17,1)</f>
        <v>-6</v>
      </c>
      <c r="AC233" s="23">
        <f t="shared" si="20"/>
        <v>59</v>
      </c>
      <c r="AD233" s="23">
        <f>ROUND($R233*Lookups!$B$19,1)</f>
        <v>11</v>
      </c>
      <c r="AE233" s="27">
        <f t="shared" si="21"/>
        <v>0.91666666666666663</v>
      </c>
      <c r="AF233" s="23" t="str">
        <f>IF($U233&gt;=Lookups!$B$23,"High",IF($U233&gt;=Lookups!$B$22,"Medium","Low"))</f>
        <v>Medium</v>
      </c>
      <c r="AG233" s="23">
        <f>ROUND(IF($V233="Weekday",IF(INDEX(Hourly_Analysis!$D$5:$D$28,$J233+1)&gt;0,($U233-INDEX(Hourly_Analysis!$C$5:$C$28,$J233+1))/INDEX(Hourly_Analysis!$D$5:$D$28,$J233+1),0),IF(INDEX(Hourly_Analysis!$G$5:$G$28,$J233+1)&gt;0,($U233-INDEX(Hourly_Analysis!$F$5:$F$28,$J233+1))/INDEX(Hourly_Analysis!$G$5:$G$28,$J233+1),0)),2)</f>
        <v>-1.41</v>
      </c>
      <c r="AH233" s="23" t="str">
        <f>IF(ABS($AG233)&gt;Lookups!$B$20,IF($AG233&gt;0,"High anomaly","Low anomaly"),"")</f>
        <v/>
      </c>
      <c r="AI233" s="23" t="str">
        <f t="shared" si="22"/>
        <v>OK</v>
      </c>
      <c r="AJ233" s="23" t="str">
        <f t="shared" si="23"/>
        <v>No</v>
      </c>
    </row>
    <row r="234" spans="1:36" x14ac:dyDescent="0.35">
      <c r="A234" s="23">
        <v>233</v>
      </c>
      <c r="B234" s="23" t="str">
        <f t="shared" si="18"/>
        <v>Merge 1+2</v>
      </c>
      <c r="C234" s="23">
        <f>IFERROR(MATCH($A234,Merge_1_2!$A$2:$A$611,0),0)</f>
        <v>233</v>
      </c>
      <c r="D234" s="23">
        <f>IF($C234&gt;0,INDEX(Merge_1_2!$Q$2:$Q$611,$C234),0)</f>
        <v>233</v>
      </c>
      <c r="E234" s="23">
        <f>IFERROR(MATCH($A234,Dataset3_Raw!$A$2:$A$391,0),0)</f>
        <v>0</v>
      </c>
      <c r="F234" s="24">
        <f>IF($C234&gt;0,INDEX(Merge_1_2!$B$2:$B$611,$C234),DATE(VALUE(RIGHT(INDEX(Dataset3_Raw!$B$2:$B$391,$E234),4)),VALUE(MID(INDEX(Dataset3_Raw!$B$2:$B$391,$E234),4,2)),VALUE(LEFT(INDEX(Dataset3_Raw!$B$2:$B$391,$E234),2))))</f>
        <v>40553</v>
      </c>
      <c r="G234" s="23">
        <f>IF($C234&gt;0,INDEX(Merge_1_2!$C$2:$C$611,$C234),INDEX(Dataset3_Raw!$C$2:$C$391,$E234))</f>
        <v>1</v>
      </c>
      <c r="H234" s="23">
        <f>IF($C234&gt;0,INDEX(Merge_1_2!$D$2:$D$611,$C234),INDEX(Dataset3_Raw!$D$2:$D$391,$E234))</f>
        <v>0</v>
      </c>
      <c r="I234" s="23">
        <f>IF($C234&gt;0,INDEX(Merge_1_2!$E$2:$E$611,$C234),INDEX(Dataset3_Raw!$E$2:$E$391,$E234))</f>
        <v>1</v>
      </c>
      <c r="J234" s="23">
        <f>IF($C234&gt;0,INDEX(Merge_1_2!$F$2:$F$611,$C234),INDEX(Dataset3_Raw!$F$2:$F$391,$E234))</f>
        <v>23</v>
      </c>
      <c r="K234" s="23" t="b">
        <f>IF($C234&gt;0,INDEX(Merge_1_2!$G$2:$G$611,$C234),INDEX(Dataset3_Raw!$G$2:$G$391,$E234))</f>
        <v>0</v>
      </c>
      <c r="L234" s="23">
        <f>IF($C234&gt;0,INDEX(Merge_1_2!$H$2:$H$611,$C234),INDEX(Dataset3_Raw!$H$2:$H$391,$E234))</f>
        <v>1</v>
      </c>
      <c r="M234" s="23">
        <f>IF($C234&gt;0,INDEX(Merge_1_2!$I$2:$I$611,$C234),INDEX(Dataset3_Raw!$I$2:$I$391,$E234))</f>
        <v>1</v>
      </c>
      <c r="N234" s="25">
        <f>IF($C234&gt;0,INDEX(Merge_1_2!$J$2:$J$611,$C234),INDEX(Dataset3_Raw!$J$2:$J$391,$E234))</f>
        <v>0.14000000000000001</v>
      </c>
      <c r="O234" s="25">
        <f>IF($C234&gt;0,IF(ISNUMBER(INDEX(Merge_1_2!$K$2:$K$611,$C234)),INDEX(Merge_1_2!$K$2:$K$611,$C234),""),INDEX(Dataset3_Raw!$K$2:$K$391,$E234))</f>
        <v>0.1515</v>
      </c>
      <c r="P234" s="25">
        <f>IF(ISNUMBER($O234),$O234,ROUND(Lookups!$B$25+Lookups!$B$24*$N234,4))</f>
        <v>0.1515</v>
      </c>
      <c r="Q234" s="25">
        <f>IF($C234&gt;0,INDEX(Merge_1_2!$L$2:$L$611,$C234),INDEX(Dataset3_Raw!$L$2:$L$391,$E234))</f>
        <v>0.59</v>
      </c>
      <c r="R234" s="25">
        <f>IF($C234&gt;0,INDEX(Merge_1_2!$M$2:$M$611,$C234),INDEX(Dataset3_Raw!$M$2:$M$391,$E234))</f>
        <v>0.16420000000000001</v>
      </c>
      <c r="S234" s="23">
        <f>IF($C234&gt;0,INDEX(Merge_1_2!$N$2:$N$611,$C234),INDEX(Dataset3_Raw!$N$2:$N$391,$E234))</f>
        <v>0</v>
      </c>
      <c r="T234" s="23">
        <f>IF($C234&gt;0,INDEX(Merge_1_2!$O$2:$O$611,$C234),INDEX(Dataset3_Raw!$O$2:$O$391,$E234))</f>
        <v>18</v>
      </c>
      <c r="U234" s="23">
        <f>IF($C234&gt;0,INDEX(Merge_1_2!$P$2:$P$611,$C234),INDEX(Dataset3_Raw!$P$2:$P$391,$E234))</f>
        <v>18</v>
      </c>
      <c r="V234" s="23" t="str">
        <f t="shared" si="19"/>
        <v>Weekday</v>
      </c>
      <c r="W234" s="23" t="str">
        <f>VLOOKUP($M234,Lookups!$A$5:$B$8,2,FALSE())</f>
        <v>Clear / Partly cloudy</v>
      </c>
      <c r="X234" s="23" t="str">
        <f>VLOOKUP($G234,Lookups!$D$5:$E$8,2,FALSE())</f>
        <v>Winter</v>
      </c>
      <c r="Y234" s="23" t="str">
        <f>VLOOKUP($L234,Lookups!$G$5:$H$11,2,FALSE())</f>
        <v>Monday</v>
      </c>
      <c r="Z234" s="23" t="str">
        <f>IF($J234&lt;Lookups!$B$26,"Night",IF($J234&lt;Lookups!$B$27,"Morning",IF($J234&lt;Lookups!$B$28,"Afternoon","Evening")))</f>
        <v>Evening</v>
      </c>
      <c r="AA234" s="26">
        <f>ROUND($N234*(Lookups!$B$16-Lookups!$B$15)+Lookups!$B$15,1)</f>
        <v>-1.4</v>
      </c>
      <c r="AB234" s="26">
        <f>ROUND($P234*(Lookups!$B$18-Lookups!$B$17)+Lookups!$B$17,1)</f>
        <v>-6</v>
      </c>
      <c r="AC234" s="23">
        <f t="shared" si="20"/>
        <v>59</v>
      </c>
      <c r="AD234" s="23">
        <f>ROUND($R234*Lookups!$B$19,1)</f>
        <v>11</v>
      </c>
      <c r="AE234" s="27">
        <f t="shared" si="21"/>
        <v>1</v>
      </c>
      <c r="AF234" s="23" t="str">
        <f>IF($U234&gt;=Lookups!$B$23,"High",IF($U234&gt;=Lookups!$B$22,"Medium","Low"))</f>
        <v>Medium</v>
      </c>
      <c r="AG234" s="23">
        <f>ROUND(IF($V234="Weekday",IF(INDEX(Hourly_Analysis!$D$5:$D$28,$J234+1)&gt;0,($U234-INDEX(Hourly_Analysis!$C$5:$C$28,$J234+1))/INDEX(Hourly_Analysis!$D$5:$D$28,$J234+1),0),IF(INDEX(Hourly_Analysis!$G$5:$G$28,$J234+1)&gt;0,($U234-INDEX(Hourly_Analysis!$F$5:$F$28,$J234+1))/INDEX(Hourly_Analysis!$G$5:$G$28,$J234+1),0)),2)</f>
        <v>-0.64</v>
      </c>
      <c r="AH234" s="23" t="str">
        <f>IF(ABS($AG234)&gt;Lookups!$B$20,IF($AG234&gt;0,"High anomaly","Low anomaly"),"")</f>
        <v/>
      </c>
      <c r="AI234" s="23" t="str">
        <f t="shared" si="22"/>
        <v>OK</v>
      </c>
      <c r="AJ234" s="23" t="str">
        <f t="shared" si="23"/>
        <v>No</v>
      </c>
    </row>
    <row r="235" spans="1:36" x14ac:dyDescent="0.35">
      <c r="A235" s="23">
        <v>234</v>
      </c>
      <c r="B235" s="23" t="str">
        <f t="shared" si="18"/>
        <v>Merge 1+2</v>
      </c>
      <c r="C235" s="23">
        <f>IFERROR(MATCH($A235,Merge_1_2!$A$2:$A$611,0),0)</f>
        <v>234</v>
      </c>
      <c r="D235" s="23">
        <f>IF($C235&gt;0,INDEX(Merge_1_2!$Q$2:$Q$611,$C235),0)</f>
        <v>234</v>
      </c>
      <c r="E235" s="23">
        <f>IFERROR(MATCH($A235,Dataset3_Raw!$A$2:$A$391,0),0)</f>
        <v>0</v>
      </c>
      <c r="F235" s="24">
        <f>IF($C235&gt;0,INDEX(Merge_1_2!$B$2:$B$611,$C235),DATE(VALUE(RIGHT(INDEX(Dataset3_Raw!$B$2:$B$391,$E235),4)),VALUE(MID(INDEX(Dataset3_Raw!$B$2:$B$391,$E235),4,2)),VALUE(LEFT(INDEX(Dataset3_Raw!$B$2:$B$391,$E235),2))))</f>
        <v>40554</v>
      </c>
      <c r="G235" s="23">
        <f>IF($C235&gt;0,INDEX(Merge_1_2!$C$2:$C$611,$C235),INDEX(Dataset3_Raw!$C$2:$C$391,$E235))</f>
        <v>1</v>
      </c>
      <c r="H235" s="23">
        <f>IF($C235&gt;0,INDEX(Merge_1_2!$D$2:$D$611,$C235),INDEX(Dataset3_Raw!$D$2:$D$391,$E235))</f>
        <v>0</v>
      </c>
      <c r="I235" s="23">
        <f>IF($C235&gt;0,INDEX(Merge_1_2!$E$2:$E$611,$C235),INDEX(Dataset3_Raw!$E$2:$E$391,$E235))</f>
        <v>1</v>
      </c>
      <c r="J235" s="23">
        <f>IF($C235&gt;0,INDEX(Merge_1_2!$F$2:$F$611,$C235),INDEX(Dataset3_Raw!$F$2:$F$391,$E235))</f>
        <v>0</v>
      </c>
      <c r="K235" s="23" t="b">
        <f>IF($C235&gt;0,INDEX(Merge_1_2!$G$2:$G$611,$C235),INDEX(Dataset3_Raw!$G$2:$G$391,$E235))</f>
        <v>0</v>
      </c>
      <c r="L235" s="23">
        <f>IF($C235&gt;0,INDEX(Merge_1_2!$H$2:$H$611,$C235),INDEX(Dataset3_Raw!$H$2:$H$391,$E235))</f>
        <v>2</v>
      </c>
      <c r="M235" s="23">
        <f>IF($C235&gt;0,INDEX(Merge_1_2!$I$2:$I$611,$C235),INDEX(Dataset3_Raw!$I$2:$I$391,$E235))</f>
        <v>1</v>
      </c>
      <c r="N235" s="25">
        <f>IF($C235&gt;0,INDEX(Merge_1_2!$J$2:$J$611,$C235),INDEX(Dataset3_Raw!$J$2:$J$391,$E235))</f>
        <v>0.14000000000000001</v>
      </c>
      <c r="O235" s="25">
        <f>IF($C235&gt;0,IF(ISNUMBER(INDEX(Merge_1_2!$K$2:$K$611,$C235)),INDEX(Merge_1_2!$K$2:$K$611,$C235),""),INDEX(Dataset3_Raw!$K$2:$K$391,$E235))</f>
        <v>0.16669999999999999</v>
      </c>
      <c r="P235" s="25">
        <f>IF(ISNUMBER($O235),$O235,ROUND(Lookups!$B$25+Lookups!$B$24*$N235,4))</f>
        <v>0.16669999999999999</v>
      </c>
      <c r="Q235" s="25">
        <f>IF($C235&gt;0,INDEX(Merge_1_2!$L$2:$L$611,$C235),INDEX(Dataset3_Raw!$L$2:$L$391,$E235))</f>
        <v>0.59</v>
      </c>
      <c r="R235" s="25">
        <f>IF($C235&gt;0,INDEX(Merge_1_2!$M$2:$M$611,$C235),INDEX(Dataset3_Raw!$M$2:$M$391,$E235))</f>
        <v>0.1045</v>
      </c>
      <c r="S235" s="23">
        <f>IF($C235&gt;0,INDEX(Merge_1_2!$N$2:$N$611,$C235),INDEX(Dataset3_Raw!$N$2:$N$391,$E235))</f>
        <v>2</v>
      </c>
      <c r="T235" s="23">
        <f>IF($C235&gt;0,INDEX(Merge_1_2!$O$2:$O$611,$C235),INDEX(Dataset3_Raw!$O$2:$O$391,$E235))</f>
        <v>10</v>
      </c>
      <c r="U235" s="23">
        <f>IF($C235&gt;0,INDEX(Merge_1_2!$P$2:$P$611,$C235),INDEX(Dataset3_Raw!$P$2:$P$391,$E235))</f>
        <v>12</v>
      </c>
      <c r="V235" s="23" t="str">
        <f t="shared" si="19"/>
        <v>Weekday</v>
      </c>
      <c r="W235" s="23" t="str">
        <f>VLOOKUP($M235,Lookups!$A$5:$B$8,2,FALSE())</f>
        <v>Clear / Partly cloudy</v>
      </c>
      <c r="X235" s="23" t="str">
        <f>VLOOKUP($G235,Lookups!$D$5:$E$8,2,FALSE())</f>
        <v>Winter</v>
      </c>
      <c r="Y235" s="23" t="str">
        <f>VLOOKUP($L235,Lookups!$G$5:$H$11,2,FALSE())</f>
        <v>Tuesday</v>
      </c>
      <c r="Z235" s="23" t="str">
        <f>IF($J235&lt;Lookups!$B$26,"Night",IF($J235&lt;Lookups!$B$27,"Morning",IF($J235&lt;Lookups!$B$28,"Afternoon","Evening")))</f>
        <v>Night</v>
      </c>
      <c r="AA235" s="26">
        <f>ROUND($N235*(Lookups!$B$16-Lookups!$B$15)+Lookups!$B$15,1)</f>
        <v>-1.4</v>
      </c>
      <c r="AB235" s="26">
        <f>ROUND($P235*(Lookups!$B$18-Lookups!$B$17)+Lookups!$B$17,1)</f>
        <v>-5</v>
      </c>
      <c r="AC235" s="23">
        <f t="shared" si="20"/>
        <v>59</v>
      </c>
      <c r="AD235" s="23">
        <f>ROUND($R235*Lookups!$B$19,1)</f>
        <v>7</v>
      </c>
      <c r="AE235" s="27">
        <f t="shared" si="21"/>
        <v>0.83333333333333337</v>
      </c>
      <c r="AF235" s="23" t="str">
        <f>IF($U235&gt;=Lookups!$B$23,"High",IF($U235&gt;=Lookups!$B$22,"Medium","Low"))</f>
        <v>Low</v>
      </c>
      <c r="AG235" s="23">
        <f>ROUND(IF($V235="Weekday",IF(INDEX(Hourly_Analysis!$D$5:$D$28,$J235+1)&gt;0,($U235-INDEX(Hourly_Analysis!$C$5:$C$28,$J235+1))/INDEX(Hourly_Analysis!$D$5:$D$28,$J235+1),0),IF(INDEX(Hourly_Analysis!$G$5:$G$28,$J235+1)&gt;0,($U235-INDEX(Hourly_Analysis!$F$5:$F$28,$J235+1))/INDEX(Hourly_Analysis!$G$5:$G$28,$J235+1),0)),2)</f>
        <v>0.32</v>
      </c>
      <c r="AH235" s="23" t="str">
        <f>IF(ABS($AG235)&gt;Lookups!$B$20,IF($AG235&gt;0,"High anomaly","Low anomaly"),"")</f>
        <v/>
      </c>
      <c r="AI235" s="23" t="str">
        <f t="shared" si="22"/>
        <v>OK</v>
      </c>
      <c r="AJ235" s="23" t="str">
        <f t="shared" si="23"/>
        <v>No</v>
      </c>
    </row>
    <row r="236" spans="1:36" x14ac:dyDescent="0.35">
      <c r="A236" s="23">
        <v>235</v>
      </c>
      <c r="B236" s="23" t="str">
        <f t="shared" si="18"/>
        <v>Merge 1+2</v>
      </c>
      <c r="C236" s="23">
        <f>IFERROR(MATCH($A236,Merge_1_2!$A$2:$A$611,0),0)</f>
        <v>235</v>
      </c>
      <c r="D236" s="23">
        <f>IF($C236&gt;0,INDEX(Merge_1_2!$Q$2:$Q$611,$C236),0)</f>
        <v>235</v>
      </c>
      <c r="E236" s="23">
        <f>IFERROR(MATCH($A236,Dataset3_Raw!$A$2:$A$391,0),0)</f>
        <v>0</v>
      </c>
      <c r="F236" s="24">
        <f>IF($C236&gt;0,INDEX(Merge_1_2!$B$2:$B$611,$C236),DATE(VALUE(RIGHT(INDEX(Dataset3_Raw!$B$2:$B$391,$E236),4)),VALUE(MID(INDEX(Dataset3_Raw!$B$2:$B$391,$E236),4,2)),VALUE(LEFT(INDEX(Dataset3_Raw!$B$2:$B$391,$E236),2))))</f>
        <v>40554</v>
      </c>
      <c r="G236" s="23">
        <f>IF($C236&gt;0,INDEX(Merge_1_2!$C$2:$C$611,$C236),INDEX(Dataset3_Raw!$C$2:$C$391,$E236))</f>
        <v>1</v>
      </c>
      <c r="H236" s="23">
        <f>IF($C236&gt;0,INDEX(Merge_1_2!$D$2:$D$611,$C236),INDEX(Dataset3_Raw!$D$2:$D$391,$E236))</f>
        <v>0</v>
      </c>
      <c r="I236" s="23">
        <f>IF($C236&gt;0,INDEX(Merge_1_2!$E$2:$E$611,$C236),INDEX(Dataset3_Raw!$E$2:$E$391,$E236))</f>
        <v>1</v>
      </c>
      <c r="J236" s="23">
        <f>IF($C236&gt;0,INDEX(Merge_1_2!$F$2:$F$611,$C236),INDEX(Dataset3_Raw!$F$2:$F$391,$E236))</f>
        <v>1</v>
      </c>
      <c r="K236" s="23" t="b">
        <f>IF($C236&gt;0,INDEX(Merge_1_2!$G$2:$G$611,$C236),INDEX(Dataset3_Raw!$G$2:$G$391,$E236))</f>
        <v>0</v>
      </c>
      <c r="L236" s="23">
        <f>IF($C236&gt;0,INDEX(Merge_1_2!$H$2:$H$611,$C236),INDEX(Dataset3_Raw!$H$2:$H$391,$E236))</f>
        <v>2</v>
      </c>
      <c r="M236" s="23">
        <f>IF($C236&gt;0,INDEX(Merge_1_2!$I$2:$I$611,$C236),INDEX(Dataset3_Raw!$I$2:$I$391,$E236))</f>
        <v>1</v>
      </c>
      <c r="N236" s="25">
        <f>IF($C236&gt;0,INDEX(Merge_1_2!$J$2:$J$611,$C236),INDEX(Dataset3_Raw!$J$2:$J$391,$E236))</f>
        <v>0.14000000000000001</v>
      </c>
      <c r="O236" s="25">
        <f>IF($C236&gt;0,IF(ISNUMBER(INDEX(Merge_1_2!$K$2:$K$611,$C236)),INDEX(Merge_1_2!$K$2:$K$611,$C236),""),INDEX(Dataset3_Raw!$K$2:$K$391,$E236))</f>
        <v>0.1515</v>
      </c>
      <c r="P236" s="25">
        <f>IF(ISNUMBER($O236),$O236,ROUND(Lookups!$B$25+Lookups!$B$24*$N236,4))</f>
        <v>0.1515</v>
      </c>
      <c r="Q236" s="25">
        <f>IF($C236&gt;0,INDEX(Merge_1_2!$L$2:$L$611,$C236),INDEX(Dataset3_Raw!$L$2:$L$391,$E236))</f>
        <v>0.59</v>
      </c>
      <c r="R236" s="25">
        <f>IF($C236&gt;0,INDEX(Merge_1_2!$M$2:$M$611,$C236),INDEX(Dataset3_Raw!$M$2:$M$391,$E236))</f>
        <v>0.16420000000000001</v>
      </c>
      <c r="S236" s="23">
        <f>IF($C236&gt;0,INDEX(Merge_1_2!$N$2:$N$611,$C236),INDEX(Dataset3_Raw!$N$2:$N$391,$E236))</f>
        <v>0</v>
      </c>
      <c r="T236" s="23">
        <f>IF($C236&gt;0,INDEX(Merge_1_2!$O$2:$O$611,$C236),INDEX(Dataset3_Raw!$O$2:$O$391,$E236))</f>
        <v>3</v>
      </c>
      <c r="U236" s="23">
        <f>IF($C236&gt;0,INDEX(Merge_1_2!$P$2:$P$611,$C236),INDEX(Dataset3_Raw!$P$2:$P$391,$E236))</f>
        <v>3</v>
      </c>
      <c r="V236" s="23" t="str">
        <f t="shared" si="19"/>
        <v>Weekday</v>
      </c>
      <c r="W236" s="23" t="str">
        <f>VLOOKUP($M236,Lookups!$A$5:$B$8,2,FALSE())</f>
        <v>Clear / Partly cloudy</v>
      </c>
      <c r="X236" s="23" t="str">
        <f>VLOOKUP($G236,Lookups!$D$5:$E$8,2,FALSE())</f>
        <v>Winter</v>
      </c>
      <c r="Y236" s="23" t="str">
        <f>VLOOKUP($L236,Lookups!$G$5:$H$11,2,FALSE())</f>
        <v>Tuesday</v>
      </c>
      <c r="Z236" s="23" t="str">
        <f>IF($J236&lt;Lookups!$B$26,"Night",IF($J236&lt;Lookups!$B$27,"Morning",IF($J236&lt;Lookups!$B$28,"Afternoon","Evening")))</f>
        <v>Night</v>
      </c>
      <c r="AA236" s="26">
        <f>ROUND($N236*(Lookups!$B$16-Lookups!$B$15)+Lookups!$B$15,1)</f>
        <v>-1.4</v>
      </c>
      <c r="AB236" s="26">
        <f>ROUND($P236*(Lookups!$B$18-Lookups!$B$17)+Lookups!$B$17,1)</f>
        <v>-6</v>
      </c>
      <c r="AC236" s="23">
        <f t="shared" si="20"/>
        <v>59</v>
      </c>
      <c r="AD236" s="23">
        <f>ROUND($R236*Lookups!$B$19,1)</f>
        <v>11</v>
      </c>
      <c r="AE236" s="27">
        <f t="shared" si="21"/>
        <v>1</v>
      </c>
      <c r="AF236" s="23" t="str">
        <f>IF($U236&gt;=Lookups!$B$23,"High",IF($U236&gt;=Lookups!$B$22,"Medium","Low"))</f>
        <v>Low</v>
      </c>
      <c r="AG236" s="23">
        <f>ROUND(IF($V236="Weekday",IF(INDEX(Hourly_Analysis!$D$5:$D$28,$J236+1)&gt;0,($U236-INDEX(Hourly_Analysis!$C$5:$C$28,$J236+1))/INDEX(Hourly_Analysis!$D$5:$D$28,$J236+1),0),IF(INDEX(Hourly_Analysis!$G$5:$G$28,$J236+1)&gt;0,($U236-INDEX(Hourly_Analysis!$F$5:$F$28,$J236+1))/INDEX(Hourly_Analysis!$G$5:$G$28,$J236+1),0)),2)</f>
        <v>-0.85</v>
      </c>
      <c r="AH236" s="23" t="str">
        <f>IF(ABS($AG236)&gt;Lookups!$B$20,IF($AG236&gt;0,"High anomaly","Low anomaly"),"")</f>
        <v/>
      </c>
      <c r="AI236" s="23" t="str">
        <f t="shared" si="22"/>
        <v>OK</v>
      </c>
      <c r="AJ236" s="23" t="str">
        <f t="shared" si="23"/>
        <v>No</v>
      </c>
    </row>
    <row r="237" spans="1:36" x14ac:dyDescent="0.35">
      <c r="A237" s="23">
        <v>236</v>
      </c>
      <c r="B237" s="23" t="str">
        <f t="shared" si="18"/>
        <v>Merge 1+2</v>
      </c>
      <c r="C237" s="23">
        <f>IFERROR(MATCH($A237,Merge_1_2!$A$2:$A$611,0),0)</f>
        <v>236</v>
      </c>
      <c r="D237" s="23">
        <f>IF($C237&gt;0,INDEX(Merge_1_2!$Q$2:$Q$611,$C237),0)</f>
        <v>236</v>
      </c>
      <c r="E237" s="23">
        <f>IFERROR(MATCH($A237,Dataset3_Raw!$A$2:$A$391,0),0)</f>
        <v>0</v>
      </c>
      <c r="F237" s="24">
        <f>IF($C237&gt;0,INDEX(Merge_1_2!$B$2:$B$611,$C237),DATE(VALUE(RIGHT(INDEX(Dataset3_Raw!$B$2:$B$391,$E237),4)),VALUE(MID(INDEX(Dataset3_Raw!$B$2:$B$391,$E237),4,2)),VALUE(LEFT(INDEX(Dataset3_Raw!$B$2:$B$391,$E237),2))))</f>
        <v>40554</v>
      </c>
      <c r="G237" s="23">
        <f>IF($C237&gt;0,INDEX(Merge_1_2!$C$2:$C$611,$C237),INDEX(Dataset3_Raw!$C$2:$C$391,$E237))</f>
        <v>1</v>
      </c>
      <c r="H237" s="23">
        <f>IF($C237&gt;0,INDEX(Merge_1_2!$D$2:$D$611,$C237),INDEX(Dataset3_Raw!$D$2:$D$391,$E237))</f>
        <v>0</v>
      </c>
      <c r="I237" s="23">
        <f>IF($C237&gt;0,INDEX(Merge_1_2!$E$2:$E$611,$C237),INDEX(Dataset3_Raw!$E$2:$E$391,$E237))</f>
        <v>1</v>
      </c>
      <c r="J237" s="23">
        <f>IF($C237&gt;0,INDEX(Merge_1_2!$F$2:$F$611,$C237),INDEX(Dataset3_Raw!$F$2:$F$391,$E237))</f>
        <v>2</v>
      </c>
      <c r="K237" s="23" t="b">
        <f>IF($C237&gt;0,INDEX(Merge_1_2!$G$2:$G$611,$C237),INDEX(Dataset3_Raw!$G$2:$G$391,$E237))</f>
        <v>0</v>
      </c>
      <c r="L237" s="23">
        <f>IF($C237&gt;0,INDEX(Merge_1_2!$H$2:$H$611,$C237),INDEX(Dataset3_Raw!$H$2:$H$391,$E237))</f>
        <v>2</v>
      </c>
      <c r="M237" s="23">
        <f>IF($C237&gt;0,INDEX(Merge_1_2!$I$2:$I$611,$C237),INDEX(Dataset3_Raw!$I$2:$I$391,$E237))</f>
        <v>2</v>
      </c>
      <c r="N237" s="25">
        <f>IF($C237&gt;0,INDEX(Merge_1_2!$J$2:$J$611,$C237),INDEX(Dataset3_Raw!$J$2:$J$391,$E237))</f>
        <v>0.16</v>
      </c>
      <c r="O237" s="25">
        <f>IF($C237&gt;0,IF(ISNUMBER(INDEX(Merge_1_2!$K$2:$K$611,$C237)),INDEX(Merge_1_2!$K$2:$K$611,$C237),""),INDEX(Dataset3_Raw!$K$2:$K$391,$E237))</f>
        <v>0.1515</v>
      </c>
      <c r="P237" s="25">
        <f>IF(ISNUMBER($O237),$O237,ROUND(Lookups!$B$25+Lookups!$B$24*$N237,4))</f>
        <v>0.1515</v>
      </c>
      <c r="Q237" s="25">
        <f>IF($C237&gt;0,INDEX(Merge_1_2!$L$2:$L$611,$C237),INDEX(Dataset3_Raw!$L$2:$L$391,$E237))</f>
        <v>0.55000000000000004</v>
      </c>
      <c r="R237" s="25">
        <f>IF($C237&gt;0,INDEX(Merge_1_2!$M$2:$M$611,$C237),INDEX(Dataset3_Raw!$M$2:$M$391,$E237))</f>
        <v>0.19400000000000001</v>
      </c>
      <c r="S237" s="23">
        <f>IF($C237&gt;0,INDEX(Merge_1_2!$N$2:$N$611,$C237),INDEX(Dataset3_Raw!$N$2:$N$391,$E237))</f>
        <v>0</v>
      </c>
      <c r="T237" s="23">
        <f>IF($C237&gt;0,INDEX(Merge_1_2!$O$2:$O$611,$C237),INDEX(Dataset3_Raw!$O$2:$O$391,$E237))</f>
        <v>3</v>
      </c>
      <c r="U237" s="23">
        <f>IF($C237&gt;0,INDEX(Merge_1_2!$P$2:$P$611,$C237),INDEX(Dataset3_Raw!$P$2:$P$391,$E237))</f>
        <v>3</v>
      </c>
      <c r="V237" s="23" t="str">
        <f t="shared" si="19"/>
        <v>Weekday</v>
      </c>
      <c r="W237" s="23" t="str">
        <f>VLOOKUP($M237,Lookups!$A$5:$B$8,2,FALSE())</f>
        <v>Mist / Cloudy</v>
      </c>
      <c r="X237" s="23" t="str">
        <f>VLOOKUP($G237,Lookups!$D$5:$E$8,2,FALSE())</f>
        <v>Winter</v>
      </c>
      <c r="Y237" s="23" t="str">
        <f>VLOOKUP($L237,Lookups!$G$5:$H$11,2,FALSE())</f>
        <v>Tuesday</v>
      </c>
      <c r="Z237" s="23" t="str">
        <f>IF($J237&lt;Lookups!$B$26,"Night",IF($J237&lt;Lookups!$B$27,"Morning",IF($J237&lt;Lookups!$B$28,"Afternoon","Evening")))</f>
        <v>Night</v>
      </c>
      <c r="AA237" s="26">
        <f>ROUND($N237*(Lookups!$B$16-Lookups!$B$15)+Lookups!$B$15,1)</f>
        <v>-0.5</v>
      </c>
      <c r="AB237" s="26">
        <f>ROUND($P237*(Lookups!$B$18-Lookups!$B$17)+Lookups!$B$17,1)</f>
        <v>-6</v>
      </c>
      <c r="AC237" s="23">
        <f t="shared" si="20"/>
        <v>55</v>
      </c>
      <c r="AD237" s="23">
        <f>ROUND($R237*Lookups!$B$19,1)</f>
        <v>13</v>
      </c>
      <c r="AE237" s="27">
        <f t="shared" si="21"/>
        <v>1</v>
      </c>
      <c r="AF237" s="23" t="str">
        <f>IF($U237&gt;=Lookups!$B$23,"High",IF($U237&gt;=Lookups!$B$22,"Medium","Low"))</f>
        <v>Low</v>
      </c>
      <c r="AG237" s="23">
        <f>ROUND(IF($V237="Weekday",IF(INDEX(Hourly_Analysis!$D$5:$D$28,$J237+1)&gt;0,($U237-INDEX(Hourly_Analysis!$C$5:$C$28,$J237+1))/INDEX(Hourly_Analysis!$D$5:$D$28,$J237+1),0),IF(INDEX(Hourly_Analysis!$G$5:$G$28,$J237+1)&gt;0,($U237-INDEX(Hourly_Analysis!$F$5:$F$28,$J237+1))/INDEX(Hourly_Analysis!$G$5:$G$28,$J237+1),0)),2)</f>
        <v>0.33</v>
      </c>
      <c r="AH237" s="23" t="str">
        <f>IF(ABS($AG237)&gt;Lookups!$B$20,IF($AG237&gt;0,"High anomaly","Low anomaly"),"")</f>
        <v/>
      </c>
      <c r="AI237" s="23" t="str">
        <f t="shared" si="22"/>
        <v>OK</v>
      </c>
      <c r="AJ237" s="23" t="str">
        <f t="shared" si="23"/>
        <v>No</v>
      </c>
    </row>
    <row r="238" spans="1:36" x14ac:dyDescent="0.35">
      <c r="A238" s="23">
        <v>237</v>
      </c>
      <c r="B238" s="23" t="str">
        <f t="shared" si="18"/>
        <v>Merge 1+2</v>
      </c>
      <c r="C238" s="23">
        <f>IFERROR(MATCH($A238,Merge_1_2!$A$2:$A$611,0),0)</f>
        <v>237</v>
      </c>
      <c r="D238" s="23">
        <f>IF($C238&gt;0,INDEX(Merge_1_2!$Q$2:$Q$611,$C238),0)</f>
        <v>237</v>
      </c>
      <c r="E238" s="23">
        <f>IFERROR(MATCH($A238,Dataset3_Raw!$A$2:$A$391,0),0)</f>
        <v>0</v>
      </c>
      <c r="F238" s="24">
        <f>IF($C238&gt;0,INDEX(Merge_1_2!$B$2:$B$611,$C238),DATE(VALUE(RIGHT(INDEX(Dataset3_Raw!$B$2:$B$391,$E238),4)),VALUE(MID(INDEX(Dataset3_Raw!$B$2:$B$391,$E238),4,2)),VALUE(LEFT(INDEX(Dataset3_Raw!$B$2:$B$391,$E238),2))))</f>
        <v>40554</v>
      </c>
      <c r="G238" s="23">
        <f>IF($C238&gt;0,INDEX(Merge_1_2!$C$2:$C$611,$C238),INDEX(Dataset3_Raw!$C$2:$C$391,$E238))</f>
        <v>1</v>
      </c>
      <c r="H238" s="23">
        <f>IF($C238&gt;0,INDEX(Merge_1_2!$D$2:$D$611,$C238),INDEX(Dataset3_Raw!$D$2:$D$391,$E238))</f>
        <v>0</v>
      </c>
      <c r="I238" s="23">
        <f>IF($C238&gt;0,INDEX(Merge_1_2!$E$2:$E$611,$C238),INDEX(Dataset3_Raw!$E$2:$E$391,$E238))</f>
        <v>1</v>
      </c>
      <c r="J238" s="23">
        <f>IF($C238&gt;0,INDEX(Merge_1_2!$F$2:$F$611,$C238),INDEX(Dataset3_Raw!$F$2:$F$391,$E238))</f>
        <v>5</v>
      </c>
      <c r="K238" s="23" t="b">
        <f>IF($C238&gt;0,INDEX(Merge_1_2!$G$2:$G$611,$C238),INDEX(Dataset3_Raw!$G$2:$G$391,$E238))</f>
        <v>0</v>
      </c>
      <c r="L238" s="23">
        <f>IF($C238&gt;0,INDEX(Merge_1_2!$H$2:$H$611,$C238),INDEX(Dataset3_Raw!$H$2:$H$391,$E238))</f>
        <v>2</v>
      </c>
      <c r="M238" s="23">
        <f>IF($C238&gt;0,INDEX(Merge_1_2!$I$2:$I$611,$C238),INDEX(Dataset3_Raw!$I$2:$I$391,$E238))</f>
        <v>2</v>
      </c>
      <c r="N238" s="25">
        <f>IF($C238&gt;0,INDEX(Merge_1_2!$J$2:$J$611,$C238),INDEX(Dataset3_Raw!$J$2:$J$391,$E238))</f>
        <v>0.16</v>
      </c>
      <c r="O238" s="25">
        <f>IF($C238&gt;0,IF(ISNUMBER(INDEX(Merge_1_2!$K$2:$K$611,$C238)),INDEX(Merge_1_2!$K$2:$K$611,$C238),""),INDEX(Dataset3_Raw!$K$2:$K$391,$E238))</f>
        <v>0.18179999999999999</v>
      </c>
      <c r="P238" s="25">
        <f>IF(ISNUMBER($O238),$O238,ROUND(Lookups!$B$25+Lookups!$B$24*$N238,4))</f>
        <v>0.18179999999999999</v>
      </c>
      <c r="Q238" s="25">
        <f>IF($C238&gt;0,INDEX(Merge_1_2!$L$2:$L$611,$C238),INDEX(Dataset3_Raw!$L$2:$L$391,$E238))</f>
        <v>0.55000000000000004</v>
      </c>
      <c r="R238" s="25">
        <f>IF($C238&gt;0,INDEX(Merge_1_2!$M$2:$M$611,$C238),INDEX(Dataset3_Raw!$M$2:$M$391,$E238))</f>
        <v>0.1343</v>
      </c>
      <c r="S238" s="23">
        <f>IF($C238&gt;0,INDEX(Merge_1_2!$N$2:$N$611,$C238),INDEX(Dataset3_Raw!$N$2:$N$391,$E238))</f>
        <v>0</v>
      </c>
      <c r="T238" s="23">
        <f>IF($C238&gt;0,INDEX(Merge_1_2!$O$2:$O$611,$C238),INDEX(Dataset3_Raw!$O$2:$O$391,$E238))</f>
        <v>6</v>
      </c>
      <c r="U238" s="23">
        <f>IF($C238&gt;0,INDEX(Merge_1_2!$P$2:$P$611,$C238),INDEX(Dataset3_Raw!$P$2:$P$391,$E238))</f>
        <v>6</v>
      </c>
      <c r="V238" s="23" t="str">
        <f t="shared" si="19"/>
        <v>Weekday</v>
      </c>
      <c r="W238" s="23" t="str">
        <f>VLOOKUP($M238,Lookups!$A$5:$B$8,2,FALSE())</f>
        <v>Mist / Cloudy</v>
      </c>
      <c r="X238" s="23" t="str">
        <f>VLOOKUP($G238,Lookups!$D$5:$E$8,2,FALSE())</f>
        <v>Winter</v>
      </c>
      <c r="Y238" s="23" t="str">
        <f>VLOOKUP($L238,Lookups!$G$5:$H$11,2,FALSE())</f>
        <v>Tuesday</v>
      </c>
      <c r="Z238" s="23" t="str">
        <f>IF($J238&lt;Lookups!$B$26,"Night",IF($J238&lt;Lookups!$B$27,"Morning",IF($J238&lt;Lookups!$B$28,"Afternoon","Evening")))</f>
        <v>Night</v>
      </c>
      <c r="AA238" s="26">
        <f>ROUND($N238*(Lookups!$B$16-Lookups!$B$15)+Lookups!$B$15,1)</f>
        <v>-0.5</v>
      </c>
      <c r="AB238" s="26">
        <f>ROUND($P238*(Lookups!$B$18-Lookups!$B$17)+Lookups!$B$17,1)</f>
        <v>-4</v>
      </c>
      <c r="AC238" s="23">
        <f t="shared" si="20"/>
        <v>55</v>
      </c>
      <c r="AD238" s="23">
        <f>ROUND($R238*Lookups!$B$19,1)</f>
        <v>9</v>
      </c>
      <c r="AE238" s="27">
        <f t="shared" si="21"/>
        <v>1</v>
      </c>
      <c r="AF238" s="23" t="str">
        <f>IF($U238&gt;=Lookups!$B$23,"High",IF($U238&gt;=Lookups!$B$22,"Medium","Low"))</f>
        <v>Low</v>
      </c>
      <c r="AG238" s="23">
        <f>ROUND(IF($V238="Weekday",IF(INDEX(Hourly_Analysis!$D$5:$D$28,$J238+1)&gt;0,($U238-INDEX(Hourly_Analysis!$C$5:$C$28,$J238+1))/INDEX(Hourly_Analysis!$D$5:$D$28,$J238+1),0),IF(INDEX(Hourly_Analysis!$G$5:$G$28,$J238+1)&gt;0,($U238-INDEX(Hourly_Analysis!$F$5:$F$28,$J238+1))/INDEX(Hourly_Analysis!$G$5:$G$28,$J238+1),0)),2)</f>
        <v>0.5</v>
      </c>
      <c r="AH238" s="23" t="str">
        <f>IF(ABS($AG238)&gt;Lookups!$B$20,IF($AG238&gt;0,"High anomaly","Low anomaly"),"")</f>
        <v/>
      </c>
      <c r="AI238" s="23" t="str">
        <f t="shared" si="22"/>
        <v>OK</v>
      </c>
      <c r="AJ238" s="23" t="str">
        <f t="shared" si="23"/>
        <v>No</v>
      </c>
    </row>
    <row r="239" spans="1:36" x14ac:dyDescent="0.35">
      <c r="A239" s="23">
        <v>238</v>
      </c>
      <c r="B239" s="23" t="str">
        <f t="shared" si="18"/>
        <v>Merge 1+2</v>
      </c>
      <c r="C239" s="23">
        <f>IFERROR(MATCH($A239,Merge_1_2!$A$2:$A$611,0),0)</f>
        <v>238</v>
      </c>
      <c r="D239" s="23">
        <f>IF($C239&gt;0,INDEX(Merge_1_2!$Q$2:$Q$611,$C239),0)</f>
        <v>238</v>
      </c>
      <c r="E239" s="23">
        <f>IFERROR(MATCH($A239,Dataset3_Raw!$A$2:$A$391,0),0)</f>
        <v>0</v>
      </c>
      <c r="F239" s="24">
        <f>IF($C239&gt;0,INDEX(Merge_1_2!$B$2:$B$611,$C239),DATE(VALUE(RIGHT(INDEX(Dataset3_Raw!$B$2:$B$391,$E239),4)),VALUE(MID(INDEX(Dataset3_Raw!$B$2:$B$391,$E239),4,2)),VALUE(LEFT(INDEX(Dataset3_Raw!$B$2:$B$391,$E239),2))))</f>
        <v>40554</v>
      </c>
      <c r="G239" s="23">
        <f>IF($C239&gt;0,INDEX(Merge_1_2!$C$2:$C$611,$C239),INDEX(Dataset3_Raw!$C$2:$C$391,$E239))</f>
        <v>1</v>
      </c>
      <c r="H239" s="23">
        <f>IF($C239&gt;0,INDEX(Merge_1_2!$D$2:$D$611,$C239),INDEX(Dataset3_Raw!$D$2:$D$391,$E239))</f>
        <v>0</v>
      </c>
      <c r="I239" s="23">
        <f>IF($C239&gt;0,INDEX(Merge_1_2!$E$2:$E$611,$C239),INDEX(Dataset3_Raw!$E$2:$E$391,$E239))</f>
        <v>1</v>
      </c>
      <c r="J239" s="23">
        <f>IF($C239&gt;0,INDEX(Merge_1_2!$F$2:$F$611,$C239),INDEX(Dataset3_Raw!$F$2:$F$391,$E239))</f>
        <v>6</v>
      </c>
      <c r="K239" s="23" t="b">
        <f>IF($C239&gt;0,INDEX(Merge_1_2!$G$2:$G$611,$C239),INDEX(Dataset3_Raw!$G$2:$G$391,$E239))</f>
        <v>0</v>
      </c>
      <c r="L239" s="23">
        <f>IF($C239&gt;0,INDEX(Merge_1_2!$H$2:$H$611,$C239),INDEX(Dataset3_Raw!$H$2:$H$391,$E239))</f>
        <v>2</v>
      </c>
      <c r="M239" s="23">
        <f>IF($C239&gt;0,INDEX(Merge_1_2!$I$2:$I$611,$C239),INDEX(Dataset3_Raw!$I$2:$I$391,$E239))</f>
        <v>2</v>
      </c>
      <c r="N239" s="25">
        <f>IF($C239&gt;0,INDEX(Merge_1_2!$J$2:$J$611,$C239),INDEX(Dataset3_Raw!$J$2:$J$391,$E239))</f>
        <v>0.16</v>
      </c>
      <c r="O239" s="25">
        <f>IF($C239&gt;0,IF(ISNUMBER(INDEX(Merge_1_2!$K$2:$K$611,$C239)),INDEX(Merge_1_2!$K$2:$K$611,$C239),""),INDEX(Dataset3_Raw!$K$2:$K$391,$E239))</f>
        <v>0.18179999999999999</v>
      </c>
      <c r="P239" s="25">
        <f>IF(ISNUMBER($O239),$O239,ROUND(Lookups!$B$25+Lookups!$B$24*$N239,4))</f>
        <v>0.18179999999999999</v>
      </c>
      <c r="Q239" s="25">
        <f>IF($C239&gt;0,INDEX(Merge_1_2!$L$2:$L$611,$C239),INDEX(Dataset3_Raw!$L$2:$L$391,$E239))</f>
        <v>0.55000000000000004</v>
      </c>
      <c r="R239" s="25">
        <f>IF($C239&gt;0,INDEX(Merge_1_2!$M$2:$M$611,$C239),INDEX(Dataset3_Raw!$M$2:$M$391,$E239))</f>
        <v>0.1343</v>
      </c>
      <c r="S239" s="23">
        <f>IF($C239&gt;0,INDEX(Merge_1_2!$N$2:$N$611,$C239),INDEX(Dataset3_Raw!$N$2:$N$391,$E239))</f>
        <v>0</v>
      </c>
      <c r="T239" s="23">
        <f>IF($C239&gt;0,INDEX(Merge_1_2!$O$2:$O$611,$C239),INDEX(Dataset3_Raw!$O$2:$O$391,$E239))</f>
        <v>27</v>
      </c>
      <c r="U239" s="23">
        <f>IF($C239&gt;0,INDEX(Merge_1_2!$P$2:$P$611,$C239),INDEX(Dataset3_Raw!$P$2:$P$391,$E239))</f>
        <v>27</v>
      </c>
      <c r="V239" s="23" t="str">
        <f t="shared" si="19"/>
        <v>Weekday</v>
      </c>
      <c r="W239" s="23" t="str">
        <f>VLOOKUP($M239,Lookups!$A$5:$B$8,2,FALSE())</f>
        <v>Mist / Cloudy</v>
      </c>
      <c r="X239" s="23" t="str">
        <f>VLOOKUP($G239,Lookups!$D$5:$E$8,2,FALSE())</f>
        <v>Winter</v>
      </c>
      <c r="Y239" s="23" t="str">
        <f>VLOOKUP($L239,Lookups!$G$5:$H$11,2,FALSE())</f>
        <v>Tuesday</v>
      </c>
      <c r="Z239" s="23" t="str">
        <f>IF($J239&lt;Lookups!$B$26,"Night",IF($J239&lt;Lookups!$B$27,"Morning",IF($J239&lt;Lookups!$B$28,"Afternoon","Evening")))</f>
        <v>Morning</v>
      </c>
      <c r="AA239" s="26">
        <f>ROUND($N239*(Lookups!$B$16-Lookups!$B$15)+Lookups!$B$15,1)</f>
        <v>-0.5</v>
      </c>
      <c r="AB239" s="26">
        <f>ROUND($P239*(Lookups!$B$18-Lookups!$B$17)+Lookups!$B$17,1)</f>
        <v>-4</v>
      </c>
      <c r="AC239" s="23">
        <f t="shared" si="20"/>
        <v>55</v>
      </c>
      <c r="AD239" s="23">
        <f>ROUND($R239*Lookups!$B$19,1)</f>
        <v>9</v>
      </c>
      <c r="AE239" s="27">
        <f t="shared" si="21"/>
        <v>1</v>
      </c>
      <c r="AF239" s="23" t="str">
        <f>IF($U239&gt;=Lookups!$B$23,"High",IF($U239&gt;=Lookups!$B$22,"Medium","Low"))</f>
        <v>Medium</v>
      </c>
      <c r="AG239" s="23">
        <f>ROUND(IF($V239="Weekday",IF(INDEX(Hourly_Analysis!$D$5:$D$28,$J239+1)&gt;0,($U239-INDEX(Hourly_Analysis!$C$5:$C$28,$J239+1))/INDEX(Hourly_Analysis!$D$5:$D$28,$J239+1),0),IF(INDEX(Hourly_Analysis!$G$5:$G$28,$J239+1)&gt;0,($U239-INDEX(Hourly_Analysis!$F$5:$F$28,$J239+1))/INDEX(Hourly_Analysis!$G$5:$G$28,$J239+1),0)),2)</f>
        <v>-0.14000000000000001</v>
      </c>
      <c r="AH239" s="23" t="str">
        <f>IF(ABS($AG239)&gt;Lookups!$B$20,IF($AG239&gt;0,"High anomaly","Low anomaly"),"")</f>
        <v/>
      </c>
      <c r="AI239" s="23" t="str">
        <f t="shared" si="22"/>
        <v>OK</v>
      </c>
      <c r="AJ239" s="23" t="str">
        <f t="shared" si="23"/>
        <v>No</v>
      </c>
    </row>
    <row r="240" spans="1:36" x14ac:dyDescent="0.35">
      <c r="A240" s="23">
        <v>239</v>
      </c>
      <c r="B240" s="23" t="str">
        <f t="shared" si="18"/>
        <v>Merge 1+2</v>
      </c>
      <c r="C240" s="23">
        <f>IFERROR(MATCH($A240,Merge_1_2!$A$2:$A$611,0),0)</f>
        <v>239</v>
      </c>
      <c r="D240" s="23">
        <f>IF($C240&gt;0,INDEX(Merge_1_2!$Q$2:$Q$611,$C240),0)</f>
        <v>239</v>
      </c>
      <c r="E240" s="23">
        <f>IFERROR(MATCH($A240,Dataset3_Raw!$A$2:$A$391,0),0)</f>
        <v>0</v>
      </c>
      <c r="F240" s="24">
        <f>IF($C240&gt;0,INDEX(Merge_1_2!$B$2:$B$611,$C240),DATE(VALUE(RIGHT(INDEX(Dataset3_Raw!$B$2:$B$391,$E240),4)),VALUE(MID(INDEX(Dataset3_Raw!$B$2:$B$391,$E240),4,2)),VALUE(LEFT(INDEX(Dataset3_Raw!$B$2:$B$391,$E240),2))))</f>
        <v>40554</v>
      </c>
      <c r="G240" s="23">
        <f>IF($C240&gt;0,INDEX(Merge_1_2!$C$2:$C$611,$C240),INDEX(Dataset3_Raw!$C$2:$C$391,$E240))</f>
        <v>1</v>
      </c>
      <c r="H240" s="23">
        <f>IF($C240&gt;0,INDEX(Merge_1_2!$D$2:$D$611,$C240),INDEX(Dataset3_Raw!$D$2:$D$391,$E240))</f>
        <v>0</v>
      </c>
      <c r="I240" s="23">
        <f>IF($C240&gt;0,INDEX(Merge_1_2!$E$2:$E$611,$C240),INDEX(Dataset3_Raw!$E$2:$E$391,$E240))</f>
        <v>1</v>
      </c>
      <c r="J240" s="23">
        <f>IF($C240&gt;0,INDEX(Merge_1_2!$F$2:$F$611,$C240),INDEX(Dataset3_Raw!$F$2:$F$391,$E240))</f>
        <v>7</v>
      </c>
      <c r="K240" s="23" t="b">
        <f>IF($C240&gt;0,INDEX(Merge_1_2!$G$2:$G$611,$C240),INDEX(Dataset3_Raw!$G$2:$G$391,$E240))</f>
        <v>0</v>
      </c>
      <c r="L240" s="23">
        <f>IF($C240&gt;0,INDEX(Merge_1_2!$H$2:$H$611,$C240),INDEX(Dataset3_Raw!$H$2:$H$391,$E240))</f>
        <v>2</v>
      </c>
      <c r="M240" s="23">
        <f>IF($C240&gt;0,INDEX(Merge_1_2!$I$2:$I$611,$C240),INDEX(Dataset3_Raw!$I$2:$I$391,$E240))</f>
        <v>2</v>
      </c>
      <c r="N240" s="25">
        <f>IF($C240&gt;0,INDEX(Merge_1_2!$J$2:$J$611,$C240),INDEX(Dataset3_Raw!$J$2:$J$391,$E240))</f>
        <v>0.16</v>
      </c>
      <c r="O240" s="25">
        <f>IF($C240&gt;0,IF(ISNUMBER(INDEX(Merge_1_2!$K$2:$K$611,$C240)),INDEX(Merge_1_2!$K$2:$K$611,$C240),""),INDEX(Dataset3_Raw!$K$2:$K$391,$E240))</f>
        <v>0.2273</v>
      </c>
      <c r="P240" s="25">
        <f>IF(ISNUMBER($O240),$O240,ROUND(Lookups!$B$25+Lookups!$B$24*$N240,4))</f>
        <v>0.2273</v>
      </c>
      <c r="Q240" s="25">
        <f>IF($C240&gt;0,INDEX(Merge_1_2!$L$2:$L$611,$C240),INDEX(Dataset3_Raw!$L$2:$L$391,$E240))</f>
        <v>0.55000000000000004</v>
      </c>
      <c r="R240" s="25">
        <f>IF($C240&gt;0,INDEX(Merge_1_2!$M$2:$M$611,$C240),INDEX(Dataset3_Raw!$M$2:$M$391,$E240))</f>
        <v>0</v>
      </c>
      <c r="S240" s="23">
        <f>IF($C240&gt;0,INDEX(Merge_1_2!$N$2:$N$611,$C240),INDEX(Dataset3_Raw!$N$2:$N$391,$E240))</f>
        <v>2</v>
      </c>
      <c r="T240" s="23">
        <f>IF($C240&gt;0,INDEX(Merge_1_2!$O$2:$O$611,$C240),INDEX(Dataset3_Raw!$O$2:$O$391,$E240))</f>
        <v>97</v>
      </c>
      <c r="U240" s="23">
        <f>IF($C240&gt;0,INDEX(Merge_1_2!$P$2:$P$611,$C240),INDEX(Dataset3_Raw!$P$2:$P$391,$E240))</f>
        <v>99</v>
      </c>
      <c r="V240" s="23" t="str">
        <f t="shared" si="19"/>
        <v>Weekday</v>
      </c>
      <c r="W240" s="23" t="str">
        <f>VLOOKUP($M240,Lookups!$A$5:$B$8,2,FALSE())</f>
        <v>Mist / Cloudy</v>
      </c>
      <c r="X240" s="23" t="str">
        <f>VLOOKUP($G240,Lookups!$D$5:$E$8,2,FALSE())</f>
        <v>Winter</v>
      </c>
      <c r="Y240" s="23" t="str">
        <f>VLOOKUP($L240,Lookups!$G$5:$H$11,2,FALSE())</f>
        <v>Tuesday</v>
      </c>
      <c r="Z240" s="23" t="str">
        <f>IF($J240&lt;Lookups!$B$26,"Night",IF($J240&lt;Lookups!$B$27,"Morning",IF($J240&lt;Lookups!$B$28,"Afternoon","Evening")))</f>
        <v>Morning</v>
      </c>
      <c r="AA240" s="26">
        <f>ROUND($N240*(Lookups!$B$16-Lookups!$B$15)+Lookups!$B$15,1)</f>
        <v>-0.5</v>
      </c>
      <c r="AB240" s="26">
        <f>ROUND($P240*(Lookups!$B$18-Lookups!$B$17)+Lookups!$B$17,1)</f>
        <v>-1</v>
      </c>
      <c r="AC240" s="23">
        <f t="shared" si="20"/>
        <v>55</v>
      </c>
      <c r="AD240" s="23">
        <f>ROUND($R240*Lookups!$B$19,1)</f>
        <v>0</v>
      </c>
      <c r="AE240" s="27">
        <f t="shared" si="21"/>
        <v>0.97979797979797978</v>
      </c>
      <c r="AF240" s="23" t="str">
        <f>IF($U240&gt;=Lookups!$B$23,"High",IF($U240&gt;=Lookups!$B$22,"Medium","Low"))</f>
        <v>High</v>
      </c>
      <c r="AG240" s="23">
        <f>ROUND(IF($V240="Weekday",IF(INDEX(Hourly_Analysis!$D$5:$D$28,$J240+1)&gt;0,($U240-INDEX(Hourly_Analysis!$C$5:$C$28,$J240+1))/INDEX(Hourly_Analysis!$D$5:$D$28,$J240+1),0),IF(INDEX(Hourly_Analysis!$G$5:$G$28,$J240+1)&gt;0,($U240-INDEX(Hourly_Analysis!$F$5:$F$28,$J240+1))/INDEX(Hourly_Analysis!$G$5:$G$28,$J240+1),0)),2)</f>
        <v>0.97</v>
      </c>
      <c r="AH240" s="23" t="str">
        <f>IF(ABS($AG240)&gt;Lookups!$B$20,IF($AG240&gt;0,"High anomaly","Low anomaly"),"")</f>
        <v/>
      </c>
      <c r="AI240" s="23" t="str">
        <f t="shared" si="22"/>
        <v>OK</v>
      </c>
      <c r="AJ240" s="23" t="str">
        <f t="shared" si="23"/>
        <v>No</v>
      </c>
    </row>
    <row r="241" spans="1:36" x14ac:dyDescent="0.35">
      <c r="A241" s="23">
        <v>240</v>
      </c>
      <c r="B241" s="23" t="str">
        <f t="shared" si="18"/>
        <v>Merge 1+2</v>
      </c>
      <c r="C241" s="23">
        <f>IFERROR(MATCH($A241,Merge_1_2!$A$2:$A$611,0),0)</f>
        <v>240</v>
      </c>
      <c r="D241" s="23">
        <f>IF($C241&gt;0,INDEX(Merge_1_2!$Q$2:$Q$611,$C241),0)</f>
        <v>240</v>
      </c>
      <c r="E241" s="23">
        <f>IFERROR(MATCH($A241,Dataset3_Raw!$A$2:$A$391,0),0)</f>
        <v>0</v>
      </c>
      <c r="F241" s="24">
        <f>IF($C241&gt;0,INDEX(Merge_1_2!$B$2:$B$611,$C241),DATE(VALUE(RIGHT(INDEX(Dataset3_Raw!$B$2:$B$391,$E241),4)),VALUE(MID(INDEX(Dataset3_Raw!$B$2:$B$391,$E241),4,2)),VALUE(LEFT(INDEX(Dataset3_Raw!$B$2:$B$391,$E241),2))))</f>
        <v>40554</v>
      </c>
      <c r="G241" s="23">
        <f>IF($C241&gt;0,INDEX(Merge_1_2!$C$2:$C$611,$C241),INDEX(Dataset3_Raw!$C$2:$C$391,$E241))</f>
        <v>1</v>
      </c>
      <c r="H241" s="23">
        <f>IF($C241&gt;0,INDEX(Merge_1_2!$D$2:$D$611,$C241),INDEX(Dataset3_Raw!$D$2:$D$391,$E241))</f>
        <v>0</v>
      </c>
      <c r="I241" s="23">
        <f>IF($C241&gt;0,INDEX(Merge_1_2!$E$2:$E$611,$C241),INDEX(Dataset3_Raw!$E$2:$E$391,$E241))</f>
        <v>1</v>
      </c>
      <c r="J241" s="23">
        <f>IF($C241&gt;0,INDEX(Merge_1_2!$F$2:$F$611,$C241),INDEX(Dataset3_Raw!$F$2:$F$391,$E241))</f>
        <v>8</v>
      </c>
      <c r="K241" s="23" t="b">
        <f>IF($C241&gt;0,INDEX(Merge_1_2!$G$2:$G$611,$C241),INDEX(Dataset3_Raw!$G$2:$G$391,$E241))</f>
        <v>0</v>
      </c>
      <c r="L241" s="23">
        <f>IF($C241&gt;0,INDEX(Merge_1_2!$H$2:$H$611,$C241),INDEX(Dataset3_Raw!$H$2:$H$391,$E241))</f>
        <v>2</v>
      </c>
      <c r="M241" s="23">
        <f>IF($C241&gt;0,INDEX(Merge_1_2!$I$2:$I$611,$C241),INDEX(Dataset3_Raw!$I$2:$I$391,$E241))</f>
        <v>2</v>
      </c>
      <c r="N241" s="25">
        <f>IF($C241&gt;0,INDEX(Merge_1_2!$J$2:$J$611,$C241),INDEX(Dataset3_Raw!$J$2:$J$391,$E241))</f>
        <v>0.18</v>
      </c>
      <c r="O241" s="25">
        <f>IF($C241&gt;0,IF(ISNUMBER(INDEX(Merge_1_2!$K$2:$K$611,$C241)),INDEX(Merge_1_2!$K$2:$K$611,$C241),""),INDEX(Dataset3_Raw!$K$2:$K$391,$E241))</f>
        <v>0.21210000000000001</v>
      </c>
      <c r="P241" s="25">
        <f>IF(ISNUMBER($O241),$O241,ROUND(Lookups!$B$25+Lookups!$B$24*$N241,4))</f>
        <v>0.21210000000000001</v>
      </c>
      <c r="Q241" s="25">
        <f>IF($C241&gt;0,INDEX(Merge_1_2!$L$2:$L$611,$C241),INDEX(Dataset3_Raw!$L$2:$L$391,$E241))</f>
        <v>0.51</v>
      </c>
      <c r="R241" s="25">
        <f>IF($C241&gt;0,INDEX(Merge_1_2!$M$2:$M$611,$C241),INDEX(Dataset3_Raw!$M$2:$M$391,$E241))</f>
        <v>8.9599999999999999E-2</v>
      </c>
      <c r="S241" s="23">
        <f>IF($C241&gt;0,INDEX(Merge_1_2!$N$2:$N$611,$C241),INDEX(Dataset3_Raw!$N$2:$N$391,$E241))</f>
        <v>3</v>
      </c>
      <c r="T241" s="23">
        <f>IF($C241&gt;0,INDEX(Merge_1_2!$O$2:$O$611,$C241),INDEX(Dataset3_Raw!$O$2:$O$391,$E241))</f>
        <v>214</v>
      </c>
      <c r="U241" s="23">
        <f>IF($C241&gt;0,INDEX(Merge_1_2!$P$2:$P$611,$C241),INDEX(Dataset3_Raw!$P$2:$P$391,$E241))</f>
        <v>217</v>
      </c>
      <c r="V241" s="23" t="str">
        <f t="shared" si="19"/>
        <v>Weekday</v>
      </c>
      <c r="W241" s="23" t="str">
        <f>VLOOKUP($M241,Lookups!$A$5:$B$8,2,FALSE())</f>
        <v>Mist / Cloudy</v>
      </c>
      <c r="X241" s="23" t="str">
        <f>VLOOKUP($G241,Lookups!$D$5:$E$8,2,FALSE())</f>
        <v>Winter</v>
      </c>
      <c r="Y241" s="23" t="str">
        <f>VLOOKUP($L241,Lookups!$G$5:$H$11,2,FALSE())</f>
        <v>Tuesday</v>
      </c>
      <c r="Z241" s="23" t="str">
        <f>IF($J241&lt;Lookups!$B$26,"Night",IF($J241&lt;Lookups!$B$27,"Morning",IF($J241&lt;Lookups!$B$28,"Afternoon","Evening")))</f>
        <v>Morning</v>
      </c>
      <c r="AA241" s="26">
        <f>ROUND($N241*(Lookups!$B$16-Lookups!$B$15)+Lookups!$B$15,1)</f>
        <v>0.5</v>
      </c>
      <c r="AB241" s="26">
        <f>ROUND($P241*(Lookups!$B$18-Lookups!$B$17)+Lookups!$B$17,1)</f>
        <v>-2</v>
      </c>
      <c r="AC241" s="23">
        <f t="shared" si="20"/>
        <v>51</v>
      </c>
      <c r="AD241" s="23">
        <f>ROUND($R241*Lookups!$B$19,1)</f>
        <v>6</v>
      </c>
      <c r="AE241" s="27">
        <f t="shared" si="21"/>
        <v>0.98617511520737322</v>
      </c>
      <c r="AF241" s="23" t="str">
        <f>IF($U241&gt;=Lookups!$B$23,"High",IF($U241&gt;=Lookups!$B$22,"Medium","Low"))</f>
        <v>High</v>
      </c>
      <c r="AG241" s="23">
        <f>ROUND(IF($V241="Weekday",IF(INDEX(Hourly_Analysis!$D$5:$D$28,$J241+1)&gt;0,($U241-INDEX(Hourly_Analysis!$C$5:$C$28,$J241+1))/INDEX(Hourly_Analysis!$D$5:$D$28,$J241+1),0),IF(INDEX(Hourly_Analysis!$G$5:$G$28,$J241+1)&gt;0,($U241-INDEX(Hourly_Analysis!$F$5:$F$28,$J241+1))/INDEX(Hourly_Analysis!$G$5:$G$28,$J241+1),0)),2)</f>
        <v>0.71</v>
      </c>
      <c r="AH241" s="23" t="str">
        <f>IF(ABS($AG241)&gt;Lookups!$B$20,IF($AG241&gt;0,"High anomaly","Low anomaly"),"")</f>
        <v/>
      </c>
      <c r="AI241" s="23" t="str">
        <f t="shared" si="22"/>
        <v>OK</v>
      </c>
      <c r="AJ241" s="23" t="str">
        <f t="shared" si="23"/>
        <v>No</v>
      </c>
    </row>
    <row r="242" spans="1:36" x14ac:dyDescent="0.35">
      <c r="A242" s="23">
        <v>241</v>
      </c>
      <c r="B242" s="23" t="str">
        <f t="shared" si="18"/>
        <v>Merge 1+2</v>
      </c>
      <c r="C242" s="23">
        <f>IFERROR(MATCH($A242,Merge_1_2!$A$2:$A$611,0),0)</f>
        <v>241</v>
      </c>
      <c r="D242" s="23">
        <f>IF($C242&gt;0,INDEX(Merge_1_2!$Q$2:$Q$611,$C242),0)</f>
        <v>241</v>
      </c>
      <c r="E242" s="23">
        <f>IFERROR(MATCH($A242,Dataset3_Raw!$A$2:$A$391,0),0)</f>
        <v>0</v>
      </c>
      <c r="F242" s="24">
        <f>IF($C242&gt;0,INDEX(Merge_1_2!$B$2:$B$611,$C242),DATE(VALUE(RIGHT(INDEX(Dataset3_Raw!$B$2:$B$391,$E242),4)),VALUE(MID(INDEX(Dataset3_Raw!$B$2:$B$391,$E242),4,2)),VALUE(LEFT(INDEX(Dataset3_Raw!$B$2:$B$391,$E242),2))))</f>
        <v>40554</v>
      </c>
      <c r="G242" s="23">
        <f>IF($C242&gt;0,INDEX(Merge_1_2!$C$2:$C$611,$C242),INDEX(Dataset3_Raw!$C$2:$C$391,$E242))</f>
        <v>1</v>
      </c>
      <c r="H242" s="23">
        <f>IF($C242&gt;0,INDEX(Merge_1_2!$D$2:$D$611,$C242),INDEX(Dataset3_Raw!$D$2:$D$391,$E242))</f>
        <v>0</v>
      </c>
      <c r="I242" s="23">
        <f>IF($C242&gt;0,INDEX(Merge_1_2!$E$2:$E$611,$C242),INDEX(Dataset3_Raw!$E$2:$E$391,$E242))</f>
        <v>1</v>
      </c>
      <c r="J242" s="23">
        <f>IF($C242&gt;0,INDEX(Merge_1_2!$F$2:$F$611,$C242),INDEX(Dataset3_Raw!$F$2:$F$391,$E242))</f>
        <v>9</v>
      </c>
      <c r="K242" s="23" t="b">
        <f>IF($C242&gt;0,INDEX(Merge_1_2!$G$2:$G$611,$C242),INDEX(Dataset3_Raw!$G$2:$G$391,$E242))</f>
        <v>0</v>
      </c>
      <c r="L242" s="23">
        <f>IF($C242&gt;0,INDEX(Merge_1_2!$H$2:$H$611,$C242),INDEX(Dataset3_Raw!$H$2:$H$391,$E242))</f>
        <v>2</v>
      </c>
      <c r="M242" s="23">
        <f>IF($C242&gt;0,INDEX(Merge_1_2!$I$2:$I$611,$C242),INDEX(Dataset3_Raw!$I$2:$I$391,$E242))</f>
        <v>2</v>
      </c>
      <c r="N242" s="25">
        <f>IF($C242&gt;0,INDEX(Merge_1_2!$J$2:$J$611,$C242),INDEX(Dataset3_Raw!$J$2:$J$391,$E242))</f>
        <v>0.18</v>
      </c>
      <c r="O242" s="25">
        <f>IF($C242&gt;0,IF(ISNUMBER(INDEX(Merge_1_2!$K$2:$K$611,$C242)),INDEX(Merge_1_2!$K$2:$K$611,$C242),""),INDEX(Dataset3_Raw!$K$2:$K$391,$E242))</f>
        <v>0.19700000000000001</v>
      </c>
      <c r="P242" s="25">
        <f>IF(ISNUMBER($O242),$O242,ROUND(Lookups!$B$25+Lookups!$B$24*$N242,4))</f>
        <v>0.19700000000000001</v>
      </c>
      <c r="Q242" s="25">
        <f>IF($C242&gt;0,INDEX(Merge_1_2!$L$2:$L$611,$C242),INDEX(Dataset3_Raw!$L$2:$L$391,$E242))</f>
        <v>0.51</v>
      </c>
      <c r="R242" s="25">
        <f>IF($C242&gt;0,INDEX(Merge_1_2!$M$2:$M$611,$C242),INDEX(Dataset3_Raw!$M$2:$M$391,$E242))</f>
        <v>0.16420000000000001</v>
      </c>
      <c r="S242" s="23">
        <f>IF($C242&gt;0,INDEX(Merge_1_2!$N$2:$N$611,$C242),INDEX(Dataset3_Raw!$N$2:$N$391,$E242))</f>
        <v>3</v>
      </c>
      <c r="T242" s="23">
        <f>IF($C242&gt;0,INDEX(Merge_1_2!$O$2:$O$611,$C242),INDEX(Dataset3_Raw!$O$2:$O$391,$E242))</f>
        <v>127</v>
      </c>
      <c r="U242" s="23">
        <f>IF($C242&gt;0,INDEX(Merge_1_2!$P$2:$P$611,$C242),INDEX(Dataset3_Raw!$P$2:$P$391,$E242))</f>
        <v>130</v>
      </c>
      <c r="V242" s="23" t="str">
        <f t="shared" si="19"/>
        <v>Weekday</v>
      </c>
      <c r="W242" s="23" t="str">
        <f>VLOOKUP($M242,Lookups!$A$5:$B$8,2,FALSE())</f>
        <v>Mist / Cloudy</v>
      </c>
      <c r="X242" s="23" t="str">
        <f>VLOOKUP($G242,Lookups!$D$5:$E$8,2,FALSE())</f>
        <v>Winter</v>
      </c>
      <c r="Y242" s="23" t="str">
        <f>VLOOKUP($L242,Lookups!$G$5:$H$11,2,FALSE())</f>
        <v>Tuesday</v>
      </c>
      <c r="Z242" s="23" t="str">
        <f>IF($J242&lt;Lookups!$B$26,"Night",IF($J242&lt;Lookups!$B$27,"Morning",IF($J242&lt;Lookups!$B$28,"Afternoon","Evening")))</f>
        <v>Morning</v>
      </c>
      <c r="AA242" s="26">
        <f>ROUND($N242*(Lookups!$B$16-Lookups!$B$15)+Lookups!$B$15,1)</f>
        <v>0.5</v>
      </c>
      <c r="AB242" s="26">
        <f>ROUND($P242*(Lookups!$B$18-Lookups!$B$17)+Lookups!$B$17,1)</f>
        <v>-3</v>
      </c>
      <c r="AC242" s="23">
        <f t="shared" si="20"/>
        <v>51</v>
      </c>
      <c r="AD242" s="23">
        <f>ROUND($R242*Lookups!$B$19,1)</f>
        <v>11</v>
      </c>
      <c r="AE242" s="27">
        <f t="shared" si="21"/>
        <v>0.97692307692307689</v>
      </c>
      <c r="AF242" s="23" t="str">
        <f>IF($U242&gt;=Lookups!$B$23,"High",IF($U242&gt;=Lookups!$B$22,"Medium","Low"))</f>
        <v>High</v>
      </c>
      <c r="AG242" s="23">
        <f>ROUND(IF($V242="Weekday",IF(INDEX(Hourly_Analysis!$D$5:$D$28,$J242+1)&gt;0,($U242-INDEX(Hourly_Analysis!$C$5:$C$28,$J242+1))/INDEX(Hourly_Analysis!$D$5:$D$28,$J242+1),0),IF(INDEX(Hourly_Analysis!$G$5:$G$28,$J242+1)&gt;0,($U242-INDEX(Hourly_Analysis!$F$5:$F$28,$J242+1))/INDEX(Hourly_Analysis!$G$5:$G$28,$J242+1),0)),2)</f>
        <v>0.53</v>
      </c>
      <c r="AH242" s="23" t="str">
        <f>IF(ABS($AG242)&gt;Lookups!$B$20,IF($AG242&gt;0,"High anomaly","Low anomaly"),"")</f>
        <v/>
      </c>
      <c r="AI242" s="23" t="str">
        <f t="shared" si="22"/>
        <v>OK</v>
      </c>
      <c r="AJ242" s="23" t="str">
        <f t="shared" si="23"/>
        <v>No</v>
      </c>
    </row>
    <row r="243" spans="1:36" x14ac:dyDescent="0.35">
      <c r="A243" s="23">
        <v>242</v>
      </c>
      <c r="B243" s="23" t="str">
        <f t="shared" si="18"/>
        <v>Merge 1+2</v>
      </c>
      <c r="C243" s="23">
        <f>IFERROR(MATCH($A243,Merge_1_2!$A$2:$A$611,0),0)</f>
        <v>242</v>
      </c>
      <c r="D243" s="23">
        <f>IF($C243&gt;0,INDEX(Merge_1_2!$Q$2:$Q$611,$C243),0)</f>
        <v>242</v>
      </c>
      <c r="E243" s="23">
        <f>IFERROR(MATCH($A243,Dataset3_Raw!$A$2:$A$391,0),0)</f>
        <v>0</v>
      </c>
      <c r="F243" s="24">
        <f>IF($C243&gt;0,INDEX(Merge_1_2!$B$2:$B$611,$C243),DATE(VALUE(RIGHT(INDEX(Dataset3_Raw!$B$2:$B$391,$E243),4)),VALUE(MID(INDEX(Dataset3_Raw!$B$2:$B$391,$E243),4,2)),VALUE(LEFT(INDEX(Dataset3_Raw!$B$2:$B$391,$E243),2))))</f>
        <v>40554</v>
      </c>
      <c r="G243" s="23">
        <f>IF($C243&gt;0,INDEX(Merge_1_2!$C$2:$C$611,$C243),INDEX(Dataset3_Raw!$C$2:$C$391,$E243))</f>
        <v>1</v>
      </c>
      <c r="H243" s="23">
        <f>IF($C243&gt;0,INDEX(Merge_1_2!$D$2:$D$611,$C243),INDEX(Dataset3_Raw!$D$2:$D$391,$E243))</f>
        <v>0</v>
      </c>
      <c r="I243" s="23">
        <f>IF($C243&gt;0,INDEX(Merge_1_2!$E$2:$E$611,$C243),INDEX(Dataset3_Raw!$E$2:$E$391,$E243))</f>
        <v>1</v>
      </c>
      <c r="J243" s="23">
        <f>IF($C243&gt;0,INDEX(Merge_1_2!$F$2:$F$611,$C243),INDEX(Dataset3_Raw!$F$2:$F$391,$E243))</f>
        <v>10</v>
      </c>
      <c r="K243" s="23" t="b">
        <f>IF($C243&gt;0,INDEX(Merge_1_2!$G$2:$G$611,$C243),INDEX(Dataset3_Raw!$G$2:$G$391,$E243))</f>
        <v>0</v>
      </c>
      <c r="L243" s="23">
        <f>IF($C243&gt;0,INDEX(Merge_1_2!$H$2:$H$611,$C243),INDEX(Dataset3_Raw!$H$2:$H$391,$E243))</f>
        <v>2</v>
      </c>
      <c r="M243" s="23">
        <f>IF($C243&gt;0,INDEX(Merge_1_2!$I$2:$I$611,$C243),INDEX(Dataset3_Raw!$I$2:$I$391,$E243))</f>
        <v>2</v>
      </c>
      <c r="N243" s="25">
        <f>IF($C243&gt;0,INDEX(Merge_1_2!$J$2:$J$611,$C243),INDEX(Dataset3_Raw!$J$2:$J$391,$E243))</f>
        <v>0.2</v>
      </c>
      <c r="O243" s="25">
        <f>IF($C243&gt;0,IF(ISNUMBER(INDEX(Merge_1_2!$K$2:$K$611,$C243)),INDEX(Merge_1_2!$K$2:$K$611,$C243),""),INDEX(Dataset3_Raw!$K$2:$K$391,$E243))</f>
        <v>0.21210000000000001</v>
      </c>
      <c r="P243" s="25">
        <f>IF(ISNUMBER($O243),$O243,ROUND(Lookups!$B$25+Lookups!$B$24*$N243,4))</f>
        <v>0.21210000000000001</v>
      </c>
      <c r="Q243" s="25">
        <f>IF($C243&gt;0,INDEX(Merge_1_2!$L$2:$L$611,$C243),INDEX(Dataset3_Raw!$L$2:$L$391,$E243))</f>
        <v>0.51</v>
      </c>
      <c r="R243" s="25">
        <f>IF($C243&gt;0,INDEX(Merge_1_2!$M$2:$M$611,$C243),INDEX(Dataset3_Raw!$M$2:$M$391,$E243))</f>
        <v>0.16420000000000001</v>
      </c>
      <c r="S243" s="23">
        <f>IF($C243&gt;0,INDEX(Merge_1_2!$N$2:$N$611,$C243),INDEX(Dataset3_Raw!$N$2:$N$391,$E243))</f>
        <v>3</v>
      </c>
      <c r="T243" s="23">
        <f>IF($C243&gt;0,INDEX(Merge_1_2!$O$2:$O$611,$C243),INDEX(Dataset3_Raw!$O$2:$O$391,$E243))</f>
        <v>51</v>
      </c>
      <c r="U243" s="23">
        <f>IF($C243&gt;0,INDEX(Merge_1_2!$P$2:$P$611,$C243),INDEX(Dataset3_Raw!$P$2:$P$391,$E243))</f>
        <v>54</v>
      </c>
      <c r="V243" s="23" t="str">
        <f t="shared" si="19"/>
        <v>Weekday</v>
      </c>
      <c r="W243" s="23" t="str">
        <f>VLOOKUP($M243,Lookups!$A$5:$B$8,2,FALSE())</f>
        <v>Mist / Cloudy</v>
      </c>
      <c r="X243" s="23" t="str">
        <f>VLOOKUP($G243,Lookups!$D$5:$E$8,2,FALSE())</f>
        <v>Winter</v>
      </c>
      <c r="Y243" s="23" t="str">
        <f>VLOOKUP($L243,Lookups!$G$5:$H$11,2,FALSE())</f>
        <v>Tuesday</v>
      </c>
      <c r="Z243" s="23" t="str">
        <f>IF($J243&lt;Lookups!$B$26,"Night",IF($J243&lt;Lookups!$B$27,"Morning",IF($J243&lt;Lookups!$B$28,"Afternoon","Evening")))</f>
        <v>Morning</v>
      </c>
      <c r="AA243" s="26">
        <f>ROUND($N243*(Lookups!$B$16-Lookups!$B$15)+Lookups!$B$15,1)</f>
        <v>1.4</v>
      </c>
      <c r="AB243" s="26">
        <f>ROUND($P243*(Lookups!$B$18-Lookups!$B$17)+Lookups!$B$17,1)</f>
        <v>-2</v>
      </c>
      <c r="AC243" s="23">
        <f t="shared" si="20"/>
        <v>51</v>
      </c>
      <c r="AD243" s="23">
        <f>ROUND($R243*Lookups!$B$19,1)</f>
        <v>11</v>
      </c>
      <c r="AE243" s="27">
        <f t="shared" si="21"/>
        <v>0.94444444444444442</v>
      </c>
      <c r="AF243" s="23" t="str">
        <f>IF($U243&gt;=Lookups!$B$23,"High",IF($U243&gt;=Lookups!$B$22,"Medium","Low"))</f>
        <v>Medium</v>
      </c>
      <c r="AG243" s="23">
        <f>ROUND(IF($V243="Weekday",IF(INDEX(Hourly_Analysis!$D$5:$D$28,$J243+1)&gt;0,($U243-INDEX(Hourly_Analysis!$C$5:$C$28,$J243+1))/INDEX(Hourly_Analysis!$D$5:$D$28,$J243+1),0),IF(INDEX(Hourly_Analysis!$G$5:$G$28,$J243+1)&gt;0,($U243-INDEX(Hourly_Analysis!$F$5:$F$28,$J243+1))/INDEX(Hourly_Analysis!$G$5:$G$28,$J243+1),0)),2)</f>
        <v>0.51</v>
      </c>
      <c r="AH243" s="23" t="str">
        <f>IF(ABS($AG243)&gt;Lookups!$B$20,IF($AG243&gt;0,"High anomaly","Low anomaly"),"")</f>
        <v/>
      </c>
      <c r="AI243" s="23" t="str">
        <f t="shared" si="22"/>
        <v>OK</v>
      </c>
      <c r="AJ243" s="23" t="str">
        <f t="shared" si="23"/>
        <v>No</v>
      </c>
    </row>
    <row r="244" spans="1:36" x14ac:dyDescent="0.35">
      <c r="A244" s="23">
        <v>243</v>
      </c>
      <c r="B244" s="23" t="str">
        <f t="shared" si="18"/>
        <v>Merge 1+2</v>
      </c>
      <c r="C244" s="23">
        <f>IFERROR(MATCH($A244,Merge_1_2!$A$2:$A$611,0),0)</f>
        <v>243</v>
      </c>
      <c r="D244" s="23">
        <f>IF($C244&gt;0,INDEX(Merge_1_2!$Q$2:$Q$611,$C244),0)</f>
        <v>243</v>
      </c>
      <c r="E244" s="23">
        <f>IFERROR(MATCH($A244,Dataset3_Raw!$A$2:$A$391,0),0)</f>
        <v>0</v>
      </c>
      <c r="F244" s="24">
        <f>IF($C244&gt;0,INDEX(Merge_1_2!$B$2:$B$611,$C244),DATE(VALUE(RIGHT(INDEX(Dataset3_Raw!$B$2:$B$391,$E244),4)),VALUE(MID(INDEX(Dataset3_Raw!$B$2:$B$391,$E244),4,2)),VALUE(LEFT(INDEX(Dataset3_Raw!$B$2:$B$391,$E244),2))))</f>
        <v>40554</v>
      </c>
      <c r="G244" s="23">
        <f>IF($C244&gt;0,INDEX(Merge_1_2!$C$2:$C$611,$C244),INDEX(Dataset3_Raw!$C$2:$C$391,$E244))</f>
        <v>1</v>
      </c>
      <c r="H244" s="23">
        <f>IF($C244&gt;0,INDEX(Merge_1_2!$D$2:$D$611,$C244),INDEX(Dataset3_Raw!$D$2:$D$391,$E244))</f>
        <v>0</v>
      </c>
      <c r="I244" s="23">
        <f>IF($C244&gt;0,INDEX(Merge_1_2!$E$2:$E$611,$C244),INDEX(Dataset3_Raw!$E$2:$E$391,$E244))</f>
        <v>1</v>
      </c>
      <c r="J244" s="23">
        <f>IF($C244&gt;0,INDEX(Merge_1_2!$F$2:$F$611,$C244),INDEX(Dataset3_Raw!$F$2:$F$391,$E244))</f>
        <v>11</v>
      </c>
      <c r="K244" s="23" t="b">
        <f>IF($C244&gt;0,INDEX(Merge_1_2!$G$2:$G$611,$C244),INDEX(Dataset3_Raw!$G$2:$G$391,$E244))</f>
        <v>0</v>
      </c>
      <c r="L244" s="23">
        <f>IF($C244&gt;0,INDEX(Merge_1_2!$H$2:$H$611,$C244),INDEX(Dataset3_Raw!$H$2:$H$391,$E244))</f>
        <v>2</v>
      </c>
      <c r="M244" s="23">
        <f>IF($C244&gt;0,INDEX(Merge_1_2!$I$2:$I$611,$C244),INDEX(Dataset3_Raw!$I$2:$I$391,$E244))</f>
        <v>2</v>
      </c>
      <c r="N244" s="25">
        <f>IF($C244&gt;0,INDEX(Merge_1_2!$J$2:$J$611,$C244),INDEX(Dataset3_Raw!$J$2:$J$391,$E244))</f>
        <v>0.2</v>
      </c>
      <c r="O244" s="25">
        <f>IF($C244&gt;0,IF(ISNUMBER(INDEX(Merge_1_2!$K$2:$K$611,$C244)),INDEX(Merge_1_2!$K$2:$K$611,$C244),""),INDEX(Dataset3_Raw!$K$2:$K$391,$E244))</f>
        <v>0.21210000000000001</v>
      </c>
      <c r="P244" s="25">
        <f>IF(ISNUMBER($O244),$O244,ROUND(Lookups!$B$25+Lookups!$B$24*$N244,4))</f>
        <v>0.21210000000000001</v>
      </c>
      <c r="Q244" s="25">
        <f>IF($C244&gt;0,INDEX(Merge_1_2!$L$2:$L$611,$C244),INDEX(Dataset3_Raw!$L$2:$L$391,$E244))</f>
        <v>0.47</v>
      </c>
      <c r="R244" s="25">
        <f>IF($C244&gt;0,INDEX(Merge_1_2!$M$2:$M$611,$C244),INDEX(Dataset3_Raw!$M$2:$M$391,$E244))</f>
        <v>0.1343</v>
      </c>
      <c r="S244" s="23">
        <f>IF($C244&gt;0,INDEX(Merge_1_2!$N$2:$N$611,$C244),INDEX(Dataset3_Raw!$N$2:$N$391,$E244))</f>
        <v>4</v>
      </c>
      <c r="T244" s="23">
        <f>IF($C244&gt;0,INDEX(Merge_1_2!$O$2:$O$611,$C244),INDEX(Dataset3_Raw!$O$2:$O$391,$E244))</f>
        <v>31</v>
      </c>
      <c r="U244" s="23">
        <f>IF($C244&gt;0,INDEX(Merge_1_2!$P$2:$P$611,$C244),INDEX(Dataset3_Raw!$P$2:$P$391,$E244))</f>
        <v>35</v>
      </c>
      <c r="V244" s="23" t="str">
        <f t="shared" si="19"/>
        <v>Weekday</v>
      </c>
      <c r="W244" s="23" t="str">
        <f>VLOOKUP($M244,Lookups!$A$5:$B$8,2,FALSE())</f>
        <v>Mist / Cloudy</v>
      </c>
      <c r="X244" s="23" t="str">
        <f>VLOOKUP($G244,Lookups!$D$5:$E$8,2,FALSE())</f>
        <v>Winter</v>
      </c>
      <c r="Y244" s="23" t="str">
        <f>VLOOKUP($L244,Lookups!$G$5:$H$11,2,FALSE())</f>
        <v>Tuesday</v>
      </c>
      <c r="Z244" s="23" t="str">
        <f>IF($J244&lt;Lookups!$B$26,"Night",IF($J244&lt;Lookups!$B$27,"Morning",IF($J244&lt;Lookups!$B$28,"Afternoon","Evening")))</f>
        <v>Morning</v>
      </c>
      <c r="AA244" s="26">
        <f>ROUND($N244*(Lookups!$B$16-Lookups!$B$15)+Lookups!$B$15,1)</f>
        <v>1.4</v>
      </c>
      <c r="AB244" s="26">
        <f>ROUND($P244*(Lookups!$B$18-Lookups!$B$17)+Lookups!$B$17,1)</f>
        <v>-2</v>
      </c>
      <c r="AC244" s="23">
        <f t="shared" si="20"/>
        <v>47</v>
      </c>
      <c r="AD244" s="23">
        <f>ROUND($R244*Lookups!$B$19,1)</f>
        <v>9</v>
      </c>
      <c r="AE244" s="27">
        <f t="shared" si="21"/>
        <v>0.88571428571428568</v>
      </c>
      <c r="AF244" s="23" t="str">
        <f>IF($U244&gt;=Lookups!$B$23,"High",IF($U244&gt;=Lookups!$B$22,"Medium","Low"))</f>
        <v>Medium</v>
      </c>
      <c r="AG244" s="23">
        <f>ROUND(IF($V244="Weekday",IF(INDEX(Hourly_Analysis!$D$5:$D$28,$J244+1)&gt;0,($U244-INDEX(Hourly_Analysis!$C$5:$C$28,$J244+1))/INDEX(Hourly_Analysis!$D$5:$D$28,$J244+1),0),IF(INDEX(Hourly_Analysis!$G$5:$G$28,$J244+1)&gt;0,($U244-INDEX(Hourly_Analysis!$F$5:$F$28,$J244+1))/INDEX(Hourly_Analysis!$G$5:$G$28,$J244+1),0)),2)</f>
        <v>-1.36</v>
      </c>
      <c r="AH244" s="23" t="str">
        <f>IF(ABS($AG244)&gt;Lookups!$B$20,IF($AG244&gt;0,"High anomaly","Low anomaly"),"")</f>
        <v/>
      </c>
      <c r="AI244" s="23" t="str">
        <f t="shared" si="22"/>
        <v>OK</v>
      </c>
      <c r="AJ244" s="23" t="str">
        <f t="shared" si="23"/>
        <v>No</v>
      </c>
    </row>
    <row r="245" spans="1:36" x14ac:dyDescent="0.35">
      <c r="A245" s="23">
        <v>244</v>
      </c>
      <c r="B245" s="23" t="str">
        <f t="shared" si="18"/>
        <v>Merge 1+2</v>
      </c>
      <c r="C245" s="23">
        <f>IFERROR(MATCH($A245,Merge_1_2!$A$2:$A$611,0),0)</f>
        <v>244</v>
      </c>
      <c r="D245" s="23">
        <f>IF($C245&gt;0,INDEX(Merge_1_2!$Q$2:$Q$611,$C245),0)</f>
        <v>244</v>
      </c>
      <c r="E245" s="23">
        <f>IFERROR(MATCH($A245,Dataset3_Raw!$A$2:$A$391,0),0)</f>
        <v>0</v>
      </c>
      <c r="F245" s="24">
        <f>IF($C245&gt;0,INDEX(Merge_1_2!$B$2:$B$611,$C245),DATE(VALUE(RIGHT(INDEX(Dataset3_Raw!$B$2:$B$391,$E245),4)),VALUE(MID(INDEX(Dataset3_Raw!$B$2:$B$391,$E245),4,2)),VALUE(LEFT(INDEX(Dataset3_Raw!$B$2:$B$391,$E245),2))))</f>
        <v>40554</v>
      </c>
      <c r="G245" s="23">
        <f>IF($C245&gt;0,INDEX(Merge_1_2!$C$2:$C$611,$C245),INDEX(Dataset3_Raw!$C$2:$C$391,$E245))</f>
        <v>1</v>
      </c>
      <c r="H245" s="23">
        <f>IF($C245&gt;0,INDEX(Merge_1_2!$D$2:$D$611,$C245),INDEX(Dataset3_Raw!$D$2:$D$391,$E245))</f>
        <v>0</v>
      </c>
      <c r="I245" s="23">
        <f>IF($C245&gt;0,INDEX(Merge_1_2!$E$2:$E$611,$C245),INDEX(Dataset3_Raw!$E$2:$E$391,$E245))</f>
        <v>1</v>
      </c>
      <c r="J245" s="23">
        <f>IF($C245&gt;0,INDEX(Merge_1_2!$F$2:$F$611,$C245),INDEX(Dataset3_Raw!$F$2:$F$391,$E245))</f>
        <v>12</v>
      </c>
      <c r="K245" s="23" t="b">
        <f>IF($C245&gt;0,INDEX(Merge_1_2!$G$2:$G$611,$C245),INDEX(Dataset3_Raw!$G$2:$G$391,$E245))</f>
        <v>0</v>
      </c>
      <c r="L245" s="23">
        <f>IF($C245&gt;0,INDEX(Merge_1_2!$H$2:$H$611,$C245),INDEX(Dataset3_Raw!$H$2:$H$391,$E245))</f>
        <v>2</v>
      </c>
      <c r="M245" s="23">
        <f>IF($C245&gt;0,INDEX(Merge_1_2!$I$2:$I$611,$C245),INDEX(Dataset3_Raw!$I$2:$I$391,$E245))</f>
        <v>2</v>
      </c>
      <c r="N245" s="25">
        <f>IF($C245&gt;0,INDEX(Merge_1_2!$J$2:$J$611,$C245),INDEX(Dataset3_Raw!$J$2:$J$391,$E245))</f>
        <v>0.2</v>
      </c>
      <c r="O245" s="25">
        <f>IF($C245&gt;0,IF(ISNUMBER(INDEX(Merge_1_2!$K$2:$K$611,$C245)),INDEX(Merge_1_2!$K$2:$K$611,$C245),""),INDEX(Dataset3_Raw!$K$2:$K$391,$E245))</f>
        <v>0.2273</v>
      </c>
      <c r="P245" s="25">
        <f>IF(ISNUMBER($O245),$O245,ROUND(Lookups!$B$25+Lookups!$B$24*$N245,4))</f>
        <v>0.2273</v>
      </c>
      <c r="Q245" s="25">
        <f>IF($C245&gt;0,INDEX(Merge_1_2!$L$2:$L$611,$C245),INDEX(Dataset3_Raw!$L$2:$L$391,$E245))</f>
        <v>0.51</v>
      </c>
      <c r="R245" s="25">
        <f>IF($C245&gt;0,INDEX(Merge_1_2!$M$2:$M$611,$C245),INDEX(Dataset3_Raw!$M$2:$M$391,$E245))</f>
        <v>0.1045</v>
      </c>
      <c r="S245" s="23">
        <f>IF($C245&gt;0,INDEX(Merge_1_2!$N$2:$N$611,$C245),INDEX(Dataset3_Raw!$N$2:$N$391,$E245))</f>
        <v>2</v>
      </c>
      <c r="T245" s="23">
        <f>IF($C245&gt;0,INDEX(Merge_1_2!$O$2:$O$611,$C245),INDEX(Dataset3_Raw!$O$2:$O$391,$E245))</f>
        <v>55</v>
      </c>
      <c r="U245" s="23">
        <f>IF($C245&gt;0,INDEX(Merge_1_2!$P$2:$P$611,$C245),INDEX(Dataset3_Raw!$P$2:$P$391,$E245))</f>
        <v>57</v>
      </c>
      <c r="V245" s="23" t="str">
        <f t="shared" si="19"/>
        <v>Weekday</v>
      </c>
      <c r="W245" s="23" t="str">
        <f>VLOOKUP($M245,Lookups!$A$5:$B$8,2,FALSE())</f>
        <v>Mist / Cloudy</v>
      </c>
      <c r="X245" s="23" t="str">
        <f>VLOOKUP($G245,Lookups!$D$5:$E$8,2,FALSE())</f>
        <v>Winter</v>
      </c>
      <c r="Y245" s="23" t="str">
        <f>VLOOKUP($L245,Lookups!$G$5:$H$11,2,FALSE())</f>
        <v>Tuesday</v>
      </c>
      <c r="Z245" s="23" t="str">
        <f>IF($J245&lt;Lookups!$B$26,"Night",IF($J245&lt;Lookups!$B$27,"Morning",IF($J245&lt;Lookups!$B$28,"Afternoon","Evening")))</f>
        <v>Afternoon</v>
      </c>
      <c r="AA245" s="26">
        <f>ROUND($N245*(Lookups!$B$16-Lookups!$B$15)+Lookups!$B$15,1)</f>
        <v>1.4</v>
      </c>
      <c r="AB245" s="26">
        <f>ROUND($P245*(Lookups!$B$18-Lookups!$B$17)+Lookups!$B$17,1)</f>
        <v>-1</v>
      </c>
      <c r="AC245" s="23">
        <f t="shared" si="20"/>
        <v>51</v>
      </c>
      <c r="AD245" s="23">
        <f>ROUND($R245*Lookups!$B$19,1)</f>
        <v>7</v>
      </c>
      <c r="AE245" s="27">
        <f t="shared" si="21"/>
        <v>0.96491228070175439</v>
      </c>
      <c r="AF245" s="23" t="str">
        <f>IF($U245&gt;=Lookups!$B$23,"High",IF($U245&gt;=Lookups!$B$22,"Medium","Low"))</f>
        <v>Medium</v>
      </c>
      <c r="AG245" s="23">
        <f>ROUND(IF($V245="Weekday",IF(INDEX(Hourly_Analysis!$D$5:$D$28,$J245+1)&gt;0,($U245-INDEX(Hourly_Analysis!$C$5:$C$28,$J245+1))/INDEX(Hourly_Analysis!$D$5:$D$28,$J245+1),0),IF(INDEX(Hourly_Analysis!$G$5:$G$28,$J245+1)&gt;0,($U245-INDEX(Hourly_Analysis!$F$5:$F$28,$J245+1))/INDEX(Hourly_Analysis!$G$5:$G$28,$J245+1),0)),2)</f>
        <v>-0.37</v>
      </c>
      <c r="AH245" s="23" t="str">
        <f>IF(ABS($AG245)&gt;Lookups!$B$20,IF($AG245&gt;0,"High anomaly","Low anomaly"),"")</f>
        <v/>
      </c>
      <c r="AI245" s="23" t="str">
        <f t="shared" si="22"/>
        <v>OK</v>
      </c>
      <c r="AJ245" s="23" t="str">
        <f t="shared" si="23"/>
        <v>No</v>
      </c>
    </row>
    <row r="246" spans="1:36" x14ac:dyDescent="0.35">
      <c r="A246" s="23">
        <v>245</v>
      </c>
      <c r="B246" s="23" t="str">
        <f t="shared" si="18"/>
        <v>Merge 1+2</v>
      </c>
      <c r="C246" s="23">
        <f>IFERROR(MATCH($A246,Merge_1_2!$A$2:$A$611,0),0)</f>
        <v>245</v>
      </c>
      <c r="D246" s="23">
        <f>IF($C246&gt;0,INDEX(Merge_1_2!$Q$2:$Q$611,$C246),0)</f>
        <v>245</v>
      </c>
      <c r="E246" s="23">
        <f>IFERROR(MATCH($A246,Dataset3_Raw!$A$2:$A$391,0),0)</f>
        <v>0</v>
      </c>
      <c r="F246" s="24">
        <f>IF($C246&gt;0,INDEX(Merge_1_2!$B$2:$B$611,$C246),DATE(VALUE(RIGHT(INDEX(Dataset3_Raw!$B$2:$B$391,$E246),4)),VALUE(MID(INDEX(Dataset3_Raw!$B$2:$B$391,$E246),4,2)),VALUE(LEFT(INDEX(Dataset3_Raw!$B$2:$B$391,$E246),2))))</f>
        <v>40554</v>
      </c>
      <c r="G246" s="23">
        <f>IF($C246&gt;0,INDEX(Merge_1_2!$C$2:$C$611,$C246),INDEX(Dataset3_Raw!$C$2:$C$391,$E246))</f>
        <v>1</v>
      </c>
      <c r="H246" s="23">
        <f>IF($C246&gt;0,INDEX(Merge_1_2!$D$2:$D$611,$C246),INDEX(Dataset3_Raw!$D$2:$D$391,$E246))</f>
        <v>0</v>
      </c>
      <c r="I246" s="23">
        <f>IF($C246&gt;0,INDEX(Merge_1_2!$E$2:$E$611,$C246),INDEX(Dataset3_Raw!$E$2:$E$391,$E246))</f>
        <v>1</v>
      </c>
      <c r="J246" s="23">
        <f>IF($C246&gt;0,INDEX(Merge_1_2!$F$2:$F$611,$C246),INDEX(Dataset3_Raw!$F$2:$F$391,$E246))</f>
        <v>13</v>
      </c>
      <c r="K246" s="23" t="b">
        <f>IF($C246&gt;0,INDEX(Merge_1_2!$G$2:$G$611,$C246),INDEX(Dataset3_Raw!$G$2:$G$391,$E246))</f>
        <v>0</v>
      </c>
      <c r="L246" s="23">
        <f>IF($C246&gt;0,INDEX(Merge_1_2!$H$2:$H$611,$C246),INDEX(Dataset3_Raw!$H$2:$H$391,$E246))</f>
        <v>2</v>
      </c>
      <c r="M246" s="23">
        <f>IF($C246&gt;0,INDEX(Merge_1_2!$I$2:$I$611,$C246),INDEX(Dataset3_Raw!$I$2:$I$391,$E246))</f>
        <v>2</v>
      </c>
      <c r="N246" s="25">
        <f>IF($C246&gt;0,INDEX(Merge_1_2!$J$2:$J$611,$C246),INDEX(Dataset3_Raw!$J$2:$J$391,$E246))</f>
        <v>0.2</v>
      </c>
      <c r="O246" s="25">
        <f>IF($C246&gt;0,IF(ISNUMBER(INDEX(Merge_1_2!$K$2:$K$611,$C246)),INDEX(Merge_1_2!$K$2:$K$611,$C246),""),INDEX(Dataset3_Raw!$K$2:$K$391,$E246))</f>
        <v>0.2273</v>
      </c>
      <c r="P246" s="25">
        <f>IF(ISNUMBER($O246),$O246,ROUND(Lookups!$B$25+Lookups!$B$24*$N246,4))</f>
        <v>0.2273</v>
      </c>
      <c r="Q246" s="25">
        <f>IF($C246&gt;0,INDEX(Merge_1_2!$L$2:$L$611,$C246),INDEX(Dataset3_Raw!$L$2:$L$391,$E246))</f>
        <v>0.59</v>
      </c>
      <c r="R246" s="25">
        <f>IF($C246&gt;0,INDEX(Merge_1_2!$M$2:$M$611,$C246),INDEX(Dataset3_Raw!$M$2:$M$391,$E246))</f>
        <v>8.9599999999999999E-2</v>
      </c>
      <c r="S246" s="23">
        <f>IF($C246&gt;0,INDEX(Merge_1_2!$N$2:$N$611,$C246),INDEX(Dataset3_Raw!$N$2:$N$391,$E246))</f>
        <v>6</v>
      </c>
      <c r="T246" s="23">
        <f>IF($C246&gt;0,INDEX(Merge_1_2!$O$2:$O$611,$C246),INDEX(Dataset3_Raw!$O$2:$O$391,$E246))</f>
        <v>46</v>
      </c>
      <c r="U246" s="23">
        <f>IF($C246&gt;0,INDEX(Merge_1_2!$P$2:$P$611,$C246),INDEX(Dataset3_Raw!$P$2:$P$391,$E246))</f>
        <v>52</v>
      </c>
      <c r="V246" s="23" t="str">
        <f t="shared" si="19"/>
        <v>Weekday</v>
      </c>
      <c r="W246" s="23" t="str">
        <f>VLOOKUP($M246,Lookups!$A$5:$B$8,2,FALSE())</f>
        <v>Mist / Cloudy</v>
      </c>
      <c r="X246" s="23" t="str">
        <f>VLOOKUP($G246,Lookups!$D$5:$E$8,2,FALSE())</f>
        <v>Winter</v>
      </c>
      <c r="Y246" s="23" t="str">
        <f>VLOOKUP($L246,Lookups!$G$5:$H$11,2,FALSE())</f>
        <v>Tuesday</v>
      </c>
      <c r="Z246" s="23" t="str">
        <f>IF($J246&lt;Lookups!$B$26,"Night",IF($J246&lt;Lookups!$B$27,"Morning",IF($J246&lt;Lookups!$B$28,"Afternoon","Evening")))</f>
        <v>Afternoon</v>
      </c>
      <c r="AA246" s="26">
        <f>ROUND($N246*(Lookups!$B$16-Lookups!$B$15)+Lookups!$B$15,1)</f>
        <v>1.4</v>
      </c>
      <c r="AB246" s="26">
        <f>ROUND($P246*(Lookups!$B$18-Lookups!$B$17)+Lookups!$B$17,1)</f>
        <v>-1</v>
      </c>
      <c r="AC246" s="23">
        <f t="shared" si="20"/>
        <v>59</v>
      </c>
      <c r="AD246" s="23">
        <f>ROUND($R246*Lookups!$B$19,1)</f>
        <v>6</v>
      </c>
      <c r="AE246" s="27">
        <f t="shared" si="21"/>
        <v>0.88461538461538458</v>
      </c>
      <c r="AF246" s="23" t="str">
        <f>IF($U246&gt;=Lookups!$B$23,"High",IF($U246&gt;=Lookups!$B$22,"Medium","Low"))</f>
        <v>Medium</v>
      </c>
      <c r="AG246" s="23">
        <f>ROUND(IF($V246="Weekday",IF(INDEX(Hourly_Analysis!$D$5:$D$28,$J246+1)&gt;0,($U246-INDEX(Hourly_Analysis!$C$5:$C$28,$J246+1))/INDEX(Hourly_Analysis!$D$5:$D$28,$J246+1),0),IF(INDEX(Hourly_Analysis!$G$5:$G$28,$J246+1)&gt;0,($U246-INDEX(Hourly_Analysis!$F$5:$F$28,$J246+1))/INDEX(Hourly_Analysis!$G$5:$G$28,$J246+1),0)),2)</f>
        <v>-0.71</v>
      </c>
      <c r="AH246" s="23" t="str">
        <f>IF(ABS($AG246)&gt;Lookups!$B$20,IF($AG246&gt;0,"High anomaly","Low anomaly"),"")</f>
        <v/>
      </c>
      <c r="AI246" s="23" t="str">
        <f t="shared" si="22"/>
        <v>OK</v>
      </c>
      <c r="AJ246" s="23" t="str">
        <f t="shared" si="23"/>
        <v>No</v>
      </c>
    </row>
    <row r="247" spans="1:36" x14ac:dyDescent="0.35">
      <c r="A247" s="23">
        <v>246</v>
      </c>
      <c r="B247" s="23" t="str">
        <f t="shared" si="18"/>
        <v>Merge 1+2</v>
      </c>
      <c r="C247" s="23">
        <f>IFERROR(MATCH($A247,Merge_1_2!$A$2:$A$611,0),0)</f>
        <v>246</v>
      </c>
      <c r="D247" s="23">
        <f>IF($C247&gt;0,INDEX(Merge_1_2!$Q$2:$Q$611,$C247),0)</f>
        <v>246</v>
      </c>
      <c r="E247" s="23">
        <f>IFERROR(MATCH($A247,Dataset3_Raw!$A$2:$A$391,0),0)</f>
        <v>0</v>
      </c>
      <c r="F247" s="24">
        <f>IF($C247&gt;0,INDEX(Merge_1_2!$B$2:$B$611,$C247),DATE(VALUE(RIGHT(INDEX(Dataset3_Raw!$B$2:$B$391,$E247),4)),VALUE(MID(INDEX(Dataset3_Raw!$B$2:$B$391,$E247),4,2)),VALUE(LEFT(INDEX(Dataset3_Raw!$B$2:$B$391,$E247),2))))</f>
        <v>40554</v>
      </c>
      <c r="G247" s="23">
        <f>IF($C247&gt;0,INDEX(Merge_1_2!$C$2:$C$611,$C247),INDEX(Dataset3_Raw!$C$2:$C$391,$E247))</f>
        <v>1</v>
      </c>
      <c r="H247" s="23">
        <f>IF($C247&gt;0,INDEX(Merge_1_2!$D$2:$D$611,$C247),INDEX(Dataset3_Raw!$D$2:$D$391,$E247))</f>
        <v>0</v>
      </c>
      <c r="I247" s="23">
        <f>IF($C247&gt;0,INDEX(Merge_1_2!$E$2:$E$611,$C247),INDEX(Dataset3_Raw!$E$2:$E$391,$E247))</f>
        <v>1</v>
      </c>
      <c r="J247" s="23">
        <f>IF($C247&gt;0,INDEX(Merge_1_2!$F$2:$F$611,$C247),INDEX(Dataset3_Raw!$F$2:$F$391,$E247))</f>
        <v>14</v>
      </c>
      <c r="K247" s="23" t="b">
        <f>IF($C247&gt;0,INDEX(Merge_1_2!$G$2:$G$611,$C247),INDEX(Dataset3_Raw!$G$2:$G$391,$E247))</f>
        <v>0</v>
      </c>
      <c r="L247" s="23">
        <f>IF($C247&gt;0,INDEX(Merge_1_2!$H$2:$H$611,$C247),INDEX(Dataset3_Raw!$H$2:$H$391,$E247))</f>
        <v>2</v>
      </c>
      <c r="M247" s="23">
        <f>IF($C247&gt;0,INDEX(Merge_1_2!$I$2:$I$611,$C247),INDEX(Dataset3_Raw!$I$2:$I$391,$E247))</f>
        <v>2</v>
      </c>
      <c r="N247" s="25">
        <f>IF($C247&gt;0,INDEX(Merge_1_2!$J$2:$J$611,$C247),INDEX(Dataset3_Raw!$J$2:$J$391,$E247))</f>
        <v>0.2</v>
      </c>
      <c r="O247" s="25">
        <f>IF($C247&gt;0,IF(ISNUMBER(INDEX(Merge_1_2!$K$2:$K$611,$C247)),INDEX(Merge_1_2!$K$2:$K$611,$C247),""),INDEX(Dataset3_Raw!$K$2:$K$391,$E247))</f>
        <v>0.2273</v>
      </c>
      <c r="P247" s="25">
        <f>IF(ISNUMBER($O247),$O247,ROUND(Lookups!$B$25+Lookups!$B$24*$N247,4))</f>
        <v>0.2273</v>
      </c>
      <c r="Q247" s="25">
        <f>IF($C247&gt;0,INDEX(Merge_1_2!$L$2:$L$611,$C247),INDEX(Dataset3_Raw!$L$2:$L$391,$E247))</f>
        <v>0.59</v>
      </c>
      <c r="R247" s="25">
        <f>IF($C247&gt;0,INDEX(Merge_1_2!$M$2:$M$611,$C247),INDEX(Dataset3_Raw!$M$2:$M$391,$E247))</f>
        <v>8.9599999999999999E-2</v>
      </c>
      <c r="S247" s="23">
        <f>IF($C247&gt;0,INDEX(Merge_1_2!$N$2:$N$611,$C247),INDEX(Dataset3_Raw!$N$2:$N$391,$E247))</f>
        <v>3</v>
      </c>
      <c r="T247" s="23">
        <f>IF($C247&gt;0,INDEX(Merge_1_2!$O$2:$O$611,$C247),INDEX(Dataset3_Raw!$O$2:$O$391,$E247))</f>
        <v>60</v>
      </c>
      <c r="U247" s="23">
        <f>IF($C247&gt;0,INDEX(Merge_1_2!$P$2:$P$611,$C247),INDEX(Dataset3_Raw!$P$2:$P$391,$E247))</f>
        <v>63</v>
      </c>
      <c r="V247" s="23" t="str">
        <f t="shared" si="19"/>
        <v>Weekday</v>
      </c>
      <c r="W247" s="23" t="str">
        <f>VLOOKUP($M247,Lookups!$A$5:$B$8,2,FALSE())</f>
        <v>Mist / Cloudy</v>
      </c>
      <c r="X247" s="23" t="str">
        <f>VLOOKUP($G247,Lookups!$D$5:$E$8,2,FALSE())</f>
        <v>Winter</v>
      </c>
      <c r="Y247" s="23" t="str">
        <f>VLOOKUP($L247,Lookups!$G$5:$H$11,2,FALSE())</f>
        <v>Tuesday</v>
      </c>
      <c r="Z247" s="23" t="str">
        <f>IF($J247&lt;Lookups!$B$26,"Night",IF($J247&lt;Lookups!$B$27,"Morning",IF($J247&lt;Lookups!$B$28,"Afternoon","Evening")))</f>
        <v>Afternoon</v>
      </c>
      <c r="AA247" s="26">
        <f>ROUND($N247*(Lookups!$B$16-Lookups!$B$15)+Lookups!$B$15,1)</f>
        <v>1.4</v>
      </c>
      <c r="AB247" s="26">
        <f>ROUND($P247*(Lookups!$B$18-Lookups!$B$17)+Lookups!$B$17,1)</f>
        <v>-1</v>
      </c>
      <c r="AC247" s="23">
        <f t="shared" si="20"/>
        <v>59</v>
      </c>
      <c r="AD247" s="23">
        <f>ROUND($R247*Lookups!$B$19,1)</f>
        <v>6</v>
      </c>
      <c r="AE247" s="27">
        <f t="shared" si="21"/>
        <v>0.95238095238095233</v>
      </c>
      <c r="AF247" s="23" t="str">
        <f>IF($U247&gt;=Lookups!$B$23,"High",IF($U247&gt;=Lookups!$B$22,"Medium","Low"))</f>
        <v>Medium</v>
      </c>
      <c r="AG247" s="23">
        <f>ROUND(IF($V247="Weekday",IF(INDEX(Hourly_Analysis!$D$5:$D$28,$J247+1)&gt;0,($U247-INDEX(Hourly_Analysis!$C$5:$C$28,$J247+1))/INDEX(Hourly_Analysis!$D$5:$D$28,$J247+1),0),IF(INDEX(Hourly_Analysis!$G$5:$G$28,$J247+1)&gt;0,($U247-INDEX(Hourly_Analysis!$F$5:$F$28,$J247+1))/INDEX(Hourly_Analysis!$G$5:$G$28,$J247+1),0)),2)</f>
        <v>0.21</v>
      </c>
      <c r="AH247" s="23" t="str">
        <f>IF(ABS($AG247)&gt;Lookups!$B$20,IF($AG247&gt;0,"High anomaly","Low anomaly"),"")</f>
        <v/>
      </c>
      <c r="AI247" s="23" t="str">
        <f t="shared" si="22"/>
        <v>OK</v>
      </c>
      <c r="AJ247" s="23" t="str">
        <f t="shared" si="23"/>
        <v>No</v>
      </c>
    </row>
    <row r="248" spans="1:36" x14ac:dyDescent="0.35">
      <c r="A248" s="23">
        <v>247</v>
      </c>
      <c r="B248" s="23" t="str">
        <f t="shared" si="18"/>
        <v>Merge 1+2</v>
      </c>
      <c r="C248" s="23">
        <f>IFERROR(MATCH($A248,Merge_1_2!$A$2:$A$611,0),0)</f>
        <v>247</v>
      </c>
      <c r="D248" s="23">
        <f>IF($C248&gt;0,INDEX(Merge_1_2!$Q$2:$Q$611,$C248),0)</f>
        <v>247</v>
      </c>
      <c r="E248" s="23">
        <f>IFERROR(MATCH($A248,Dataset3_Raw!$A$2:$A$391,0),0)</f>
        <v>0</v>
      </c>
      <c r="F248" s="24">
        <f>IF($C248&gt;0,INDEX(Merge_1_2!$B$2:$B$611,$C248),DATE(VALUE(RIGHT(INDEX(Dataset3_Raw!$B$2:$B$391,$E248),4)),VALUE(MID(INDEX(Dataset3_Raw!$B$2:$B$391,$E248),4,2)),VALUE(LEFT(INDEX(Dataset3_Raw!$B$2:$B$391,$E248),2))))</f>
        <v>40554</v>
      </c>
      <c r="G248" s="23">
        <f>IF($C248&gt;0,INDEX(Merge_1_2!$C$2:$C$611,$C248),INDEX(Dataset3_Raw!$C$2:$C$391,$E248))</f>
        <v>1</v>
      </c>
      <c r="H248" s="23">
        <f>IF($C248&gt;0,INDEX(Merge_1_2!$D$2:$D$611,$C248),INDEX(Dataset3_Raw!$D$2:$D$391,$E248))</f>
        <v>0</v>
      </c>
      <c r="I248" s="23">
        <f>IF($C248&gt;0,INDEX(Merge_1_2!$E$2:$E$611,$C248),INDEX(Dataset3_Raw!$E$2:$E$391,$E248))</f>
        <v>1</v>
      </c>
      <c r="J248" s="23">
        <f>IF($C248&gt;0,INDEX(Merge_1_2!$F$2:$F$611,$C248),INDEX(Dataset3_Raw!$F$2:$F$391,$E248))</f>
        <v>15</v>
      </c>
      <c r="K248" s="23" t="b">
        <f>IF($C248&gt;0,INDEX(Merge_1_2!$G$2:$G$611,$C248),INDEX(Dataset3_Raw!$G$2:$G$391,$E248))</f>
        <v>0</v>
      </c>
      <c r="L248" s="23">
        <f>IF($C248&gt;0,INDEX(Merge_1_2!$H$2:$H$611,$C248),INDEX(Dataset3_Raw!$H$2:$H$391,$E248))</f>
        <v>2</v>
      </c>
      <c r="M248" s="23">
        <f>IF($C248&gt;0,INDEX(Merge_1_2!$I$2:$I$611,$C248),INDEX(Dataset3_Raw!$I$2:$I$391,$E248))</f>
        <v>2</v>
      </c>
      <c r="N248" s="25">
        <f>IF($C248&gt;0,INDEX(Merge_1_2!$J$2:$J$611,$C248),INDEX(Dataset3_Raw!$J$2:$J$391,$E248))</f>
        <v>0.16</v>
      </c>
      <c r="O248" s="25">
        <f>IF($C248&gt;0,IF(ISNUMBER(INDEX(Merge_1_2!$K$2:$K$611,$C248)),INDEX(Merge_1_2!$K$2:$K$611,$C248),""),INDEX(Dataset3_Raw!$K$2:$K$391,$E248))</f>
        <v>0.19700000000000001</v>
      </c>
      <c r="P248" s="25">
        <f>IF(ISNUMBER($O248),$O248,ROUND(Lookups!$B$25+Lookups!$B$24*$N248,4))</f>
        <v>0.19700000000000001</v>
      </c>
      <c r="Q248" s="25">
        <f>IF($C248&gt;0,INDEX(Merge_1_2!$L$2:$L$611,$C248),INDEX(Dataset3_Raw!$L$2:$L$391,$E248))</f>
        <v>0.8</v>
      </c>
      <c r="R248" s="25">
        <f>IF($C248&gt;0,INDEX(Merge_1_2!$M$2:$M$611,$C248),INDEX(Dataset3_Raw!$M$2:$M$391,$E248))</f>
        <v>8.9599999999999999E-2</v>
      </c>
      <c r="S248" s="23">
        <f>IF($C248&gt;0,INDEX(Merge_1_2!$N$2:$N$611,$C248),INDEX(Dataset3_Raw!$N$2:$N$391,$E248))</f>
        <v>2</v>
      </c>
      <c r="T248" s="23">
        <f>IF($C248&gt;0,INDEX(Merge_1_2!$O$2:$O$611,$C248),INDEX(Dataset3_Raw!$O$2:$O$391,$E248))</f>
        <v>45</v>
      </c>
      <c r="U248" s="23">
        <f>IF($C248&gt;0,INDEX(Merge_1_2!$P$2:$P$611,$C248),INDEX(Dataset3_Raw!$P$2:$P$391,$E248))</f>
        <v>47</v>
      </c>
      <c r="V248" s="23" t="str">
        <f t="shared" si="19"/>
        <v>Weekday</v>
      </c>
      <c r="W248" s="23" t="str">
        <f>VLOOKUP($M248,Lookups!$A$5:$B$8,2,FALSE())</f>
        <v>Mist / Cloudy</v>
      </c>
      <c r="X248" s="23" t="str">
        <f>VLOOKUP($G248,Lookups!$D$5:$E$8,2,FALSE())</f>
        <v>Winter</v>
      </c>
      <c r="Y248" s="23" t="str">
        <f>VLOOKUP($L248,Lookups!$G$5:$H$11,2,FALSE())</f>
        <v>Tuesday</v>
      </c>
      <c r="Z248" s="23" t="str">
        <f>IF($J248&lt;Lookups!$B$26,"Night",IF($J248&lt;Lookups!$B$27,"Morning",IF($J248&lt;Lookups!$B$28,"Afternoon","Evening")))</f>
        <v>Afternoon</v>
      </c>
      <c r="AA248" s="26">
        <f>ROUND($N248*(Lookups!$B$16-Lookups!$B$15)+Lookups!$B$15,1)</f>
        <v>-0.5</v>
      </c>
      <c r="AB248" s="26">
        <f>ROUND($P248*(Lookups!$B$18-Lookups!$B$17)+Lookups!$B$17,1)</f>
        <v>-3</v>
      </c>
      <c r="AC248" s="23">
        <f t="shared" si="20"/>
        <v>80</v>
      </c>
      <c r="AD248" s="23">
        <f>ROUND($R248*Lookups!$B$19,1)</f>
        <v>6</v>
      </c>
      <c r="AE248" s="27">
        <f t="shared" si="21"/>
        <v>0.95744680851063835</v>
      </c>
      <c r="AF248" s="23" t="str">
        <f>IF($U248&gt;=Lookups!$B$23,"High",IF($U248&gt;=Lookups!$B$22,"Medium","Low"))</f>
        <v>Medium</v>
      </c>
      <c r="AG248" s="23">
        <f>ROUND(IF($V248="Weekday",IF(INDEX(Hourly_Analysis!$D$5:$D$28,$J248+1)&gt;0,($U248-INDEX(Hourly_Analysis!$C$5:$C$28,$J248+1))/INDEX(Hourly_Analysis!$D$5:$D$28,$J248+1),0),IF(INDEX(Hourly_Analysis!$G$5:$G$28,$J248+1)&gt;0,($U248-INDEX(Hourly_Analysis!$F$5:$F$28,$J248+1))/INDEX(Hourly_Analysis!$G$5:$G$28,$J248+1),0)),2)</f>
        <v>-0.95</v>
      </c>
      <c r="AH248" s="23" t="str">
        <f>IF(ABS($AG248)&gt;Lookups!$B$20,IF($AG248&gt;0,"High anomaly","Low anomaly"),"")</f>
        <v/>
      </c>
      <c r="AI248" s="23" t="str">
        <f t="shared" si="22"/>
        <v>OK</v>
      </c>
      <c r="AJ248" s="23" t="str">
        <f t="shared" si="23"/>
        <v>No</v>
      </c>
    </row>
    <row r="249" spans="1:36" x14ac:dyDescent="0.35">
      <c r="A249" s="23">
        <v>248</v>
      </c>
      <c r="B249" s="23" t="str">
        <f t="shared" si="18"/>
        <v>Merge 1+2</v>
      </c>
      <c r="C249" s="23">
        <f>IFERROR(MATCH($A249,Merge_1_2!$A$2:$A$611,0),0)</f>
        <v>248</v>
      </c>
      <c r="D249" s="23">
        <f>IF($C249&gt;0,INDEX(Merge_1_2!$Q$2:$Q$611,$C249),0)</f>
        <v>248</v>
      </c>
      <c r="E249" s="23">
        <f>IFERROR(MATCH($A249,Dataset3_Raw!$A$2:$A$391,0),0)</f>
        <v>0</v>
      </c>
      <c r="F249" s="24">
        <f>IF($C249&gt;0,INDEX(Merge_1_2!$B$2:$B$611,$C249),DATE(VALUE(RIGHT(INDEX(Dataset3_Raw!$B$2:$B$391,$E249),4)),VALUE(MID(INDEX(Dataset3_Raw!$B$2:$B$391,$E249),4,2)),VALUE(LEFT(INDEX(Dataset3_Raw!$B$2:$B$391,$E249),2))))</f>
        <v>40554</v>
      </c>
      <c r="G249" s="23">
        <f>IF($C249&gt;0,INDEX(Merge_1_2!$C$2:$C$611,$C249),INDEX(Dataset3_Raw!$C$2:$C$391,$E249))</f>
        <v>1</v>
      </c>
      <c r="H249" s="23">
        <f>IF($C249&gt;0,INDEX(Merge_1_2!$D$2:$D$611,$C249),INDEX(Dataset3_Raw!$D$2:$D$391,$E249))</f>
        <v>0</v>
      </c>
      <c r="I249" s="23">
        <f>IF($C249&gt;0,INDEX(Merge_1_2!$E$2:$E$611,$C249),INDEX(Dataset3_Raw!$E$2:$E$391,$E249))</f>
        <v>1</v>
      </c>
      <c r="J249" s="23">
        <f>IF($C249&gt;0,INDEX(Merge_1_2!$F$2:$F$611,$C249),INDEX(Dataset3_Raw!$F$2:$F$391,$E249))</f>
        <v>16</v>
      </c>
      <c r="K249" s="23" t="b">
        <f>IF($C249&gt;0,INDEX(Merge_1_2!$G$2:$G$611,$C249),INDEX(Dataset3_Raw!$G$2:$G$391,$E249))</f>
        <v>0</v>
      </c>
      <c r="L249" s="23">
        <f>IF($C249&gt;0,INDEX(Merge_1_2!$H$2:$H$611,$C249),INDEX(Dataset3_Raw!$H$2:$H$391,$E249))</f>
        <v>2</v>
      </c>
      <c r="M249" s="23">
        <f>IF($C249&gt;0,INDEX(Merge_1_2!$I$2:$I$611,$C249),INDEX(Dataset3_Raw!$I$2:$I$391,$E249))</f>
        <v>2</v>
      </c>
      <c r="N249" s="25">
        <f>IF($C249&gt;0,INDEX(Merge_1_2!$J$2:$J$611,$C249),INDEX(Dataset3_Raw!$J$2:$J$391,$E249))</f>
        <v>0.16</v>
      </c>
      <c r="O249" s="25">
        <f>IF($C249&gt;0,IF(ISNUMBER(INDEX(Merge_1_2!$K$2:$K$611,$C249)),INDEX(Merge_1_2!$K$2:$K$611,$C249),""),INDEX(Dataset3_Raw!$K$2:$K$391,$E249))</f>
        <v>0.1515</v>
      </c>
      <c r="P249" s="25">
        <f>IF(ISNUMBER($O249),$O249,ROUND(Lookups!$B$25+Lookups!$B$24*$N249,4))</f>
        <v>0.1515</v>
      </c>
      <c r="Q249" s="25">
        <f>IF($C249&gt;0,INDEX(Merge_1_2!$L$2:$L$611,$C249),INDEX(Dataset3_Raw!$L$2:$L$391,$E249))</f>
        <v>0.86</v>
      </c>
      <c r="R249" s="25">
        <f>IF($C249&gt;0,INDEX(Merge_1_2!$M$2:$M$611,$C249),INDEX(Dataset3_Raw!$M$2:$M$391,$E249))</f>
        <v>0.22389999999999999</v>
      </c>
      <c r="S249" s="23">
        <f>IF($C249&gt;0,INDEX(Merge_1_2!$N$2:$N$611,$C249),INDEX(Dataset3_Raw!$N$2:$N$391,$E249))</f>
        <v>4</v>
      </c>
      <c r="T249" s="23">
        <f>IF($C249&gt;0,INDEX(Merge_1_2!$O$2:$O$611,$C249),INDEX(Dataset3_Raw!$O$2:$O$391,$E249))</f>
        <v>72</v>
      </c>
      <c r="U249" s="23">
        <f>IF($C249&gt;0,INDEX(Merge_1_2!$P$2:$P$611,$C249),INDEX(Dataset3_Raw!$P$2:$P$391,$E249))</f>
        <v>76</v>
      </c>
      <c r="V249" s="23" t="str">
        <f t="shared" si="19"/>
        <v>Weekday</v>
      </c>
      <c r="W249" s="23" t="str">
        <f>VLOOKUP($M249,Lookups!$A$5:$B$8,2,FALSE())</f>
        <v>Mist / Cloudy</v>
      </c>
      <c r="X249" s="23" t="str">
        <f>VLOOKUP($G249,Lookups!$D$5:$E$8,2,FALSE())</f>
        <v>Winter</v>
      </c>
      <c r="Y249" s="23" t="str">
        <f>VLOOKUP($L249,Lookups!$G$5:$H$11,2,FALSE())</f>
        <v>Tuesday</v>
      </c>
      <c r="Z249" s="23" t="str">
        <f>IF($J249&lt;Lookups!$B$26,"Night",IF($J249&lt;Lookups!$B$27,"Morning",IF($J249&lt;Lookups!$B$28,"Afternoon","Evening")))</f>
        <v>Afternoon</v>
      </c>
      <c r="AA249" s="26">
        <f>ROUND($N249*(Lookups!$B$16-Lookups!$B$15)+Lookups!$B$15,1)</f>
        <v>-0.5</v>
      </c>
      <c r="AB249" s="26">
        <f>ROUND($P249*(Lookups!$B$18-Lookups!$B$17)+Lookups!$B$17,1)</f>
        <v>-6</v>
      </c>
      <c r="AC249" s="23">
        <f t="shared" si="20"/>
        <v>86</v>
      </c>
      <c r="AD249" s="23">
        <f>ROUND($R249*Lookups!$B$19,1)</f>
        <v>15</v>
      </c>
      <c r="AE249" s="27">
        <f t="shared" si="21"/>
        <v>0.94736842105263153</v>
      </c>
      <c r="AF249" s="23" t="str">
        <f>IF($U249&gt;=Lookups!$B$23,"High",IF($U249&gt;=Lookups!$B$22,"Medium","Low"))</f>
        <v>Medium</v>
      </c>
      <c r="AG249" s="23">
        <f>ROUND(IF($V249="Weekday",IF(INDEX(Hourly_Analysis!$D$5:$D$28,$J249+1)&gt;0,($U249-INDEX(Hourly_Analysis!$C$5:$C$28,$J249+1))/INDEX(Hourly_Analysis!$D$5:$D$28,$J249+1),0),IF(INDEX(Hourly_Analysis!$G$5:$G$28,$J249+1)&gt;0,($U249-INDEX(Hourly_Analysis!$F$5:$F$28,$J249+1))/INDEX(Hourly_Analysis!$G$5:$G$28,$J249+1),0)),2)</f>
        <v>-0.32</v>
      </c>
      <c r="AH249" s="23" t="str">
        <f>IF(ABS($AG249)&gt;Lookups!$B$20,IF($AG249&gt;0,"High anomaly","Low anomaly"),"")</f>
        <v/>
      </c>
      <c r="AI249" s="23" t="str">
        <f t="shared" si="22"/>
        <v>OK</v>
      </c>
      <c r="AJ249" s="23" t="str">
        <f t="shared" si="23"/>
        <v>No</v>
      </c>
    </row>
    <row r="250" spans="1:36" x14ac:dyDescent="0.35">
      <c r="A250" s="23">
        <v>249</v>
      </c>
      <c r="B250" s="23" t="str">
        <f t="shared" si="18"/>
        <v>Merge 1+2</v>
      </c>
      <c r="C250" s="23">
        <f>IFERROR(MATCH($A250,Merge_1_2!$A$2:$A$611,0),0)</f>
        <v>249</v>
      </c>
      <c r="D250" s="23">
        <f>IF($C250&gt;0,INDEX(Merge_1_2!$Q$2:$Q$611,$C250),0)</f>
        <v>249</v>
      </c>
      <c r="E250" s="23">
        <f>IFERROR(MATCH($A250,Dataset3_Raw!$A$2:$A$391,0),0)</f>
        <v>0</v>
      </c>
      <c r="F250" s="24">
        <f>IF($C250&gt;0,INDEX(Merge_1_2!$B$2:$B$611,$C250),DATE(VALUE(RIGHT(INDEX(Dataset3_Raw!$B$2:$B$391,$E250),4)),VALUE(MID(INDEX(Dataset3_Raw!$B$2:$B$391,$E250),4,2)),VALUE(LEFT(INDEX(Dataset3_Raw!$B$2:$B$391,$E250),2))))</f>
        <v>40554</v>
      </c>
      <c r="G250" s="23">
        <f>IF($C250&gt;0,INDEX(Merge_1_2!$C$2:$C$611,$C250),INDEX(Dataset3_Raw!$C$2:$C$391,$E250))</f>
        <v>1</v>
      </c>
      <c r="H250" s="23">
        <f>IF($C250&gt;0,INDEX(Merge_1_2!$D$2:$D$611,$C250),INDEX(Dataset3_Raw!$D$2:$D$391,$E250))</f>
        <v>0</v>
      </c>
      <c r="I250" s="23">
        <f>IF($C250&gt;0,INDEX(Merge_1_2!$E$2:$E$611,$C250),INDEX(Dataset3_Raw!$E$2:$E$391,$E250))</f>
        <v>1</v>
      </c>
      <c r="J250" s="23">
        <f>IF($C250&gt;0,INDEX(Merge_1_2!$F$2:$F$611,$C250),INDEX(Dataset3_Raw!$F$2:$F$391,$E250))</f>
        <v>17</v>
      </c>
      <c r="K250" s="23" t="b">
        <f>IF($C250&gt;0,INDEX(Merge_1_2!$G$2:$G$611,$C250),INDEX(Dataset3_Raw!$G$2:$G$391,$E250))</f>
        <v>0</v>
      </c>
      <c r="L250" s="23">
        <f>IF($C250&gt;0,INDEX(Merge_1_2!$H$2:$H$611,$C250),INDEX(Dataset3_Raw!$H$2:$H$391,$E250))</f>
        <v>2</v>
      </c>
      <c r="M250" s="23">
        <f>IF($C250&gt;0,INDEX(Merge_1_2!$I$2:$I$611,$C250),INDEX(Dataset3_Raw!$I$2:$I$391,$E250))</f>
        <v>2</v>
      </c>
      <c r="N250" s="25">
        <f>IF($C250&gt;0,INDEX(Merge_1_2!$J$2:$J$611,$C250),INDEX(Dataset3_Raw!$J$2:$J$391,$E250))</f>
        <v>0.16</v>
      </c>
      <c r="O250" s="25">
        <f>IF($C250&gt;0,IF(ISNUMBER(INDEX(Merge_1_2!$K$2:$K$611,$C250)),INDEX(Merge_1_2!$K$2:$K$611,$C250),""),INDEX(Dataset3_Raw!$K$2:$K$391,$E250))</f>
        <v>0.1515</v>
      </c>
      <c r="P250" s="25">
        <f>IF(ISNUMBER($O250),$O250,ROUND(Lookups!$B$25+Lookups!$B$24*$N250,4))</f>
        <v>0.1515</v>
      </c>
      <c r="Q250" s="25">
        <f>IF($C250&gt;0,INDEX(Merge_1_2!$L$2:$L$611,$C250),INDEX(Dataset3_Raw!$L$2:$L$391,$E250))</f>
        <v>0.86</v>
      </c>
      <c r="R250" s="25">
        <f>IF($C250&gt;0,INDEX(Merge_1_2!$M$2:$M$611,$C250),INDEX(Dataset3_Raw!$M$2:$M$391,$E250))</f>
        <v>0.22389999999999999</v>
      </c>
      <c r="S250" s="23">
        <f>IF($C250&gt;0,INDEX(Merge_1_2!$N$2:$N$611,$C250),INDEX(Dataset3_Raw!$N$2:$N$391,$E250))</f>
        <v>6</v>
      </c>
      <c r="T250" s="23">
        <f>IF($C250&gt;0,INDEX(Merge_1_2!$O$2:$O$611,$C250),INDEX(Dataset3_Raw!$O$2:$O$391,$E250))</f>
        <v>130</v>
      </c>
      <c r="U250" s="23">
        <f>IF($C250&gt;0,INDEX(Merge_1_2!$P$2:$P$611,$C250),INDEX(Dataset3_Raw!$P$2:$P$391,$E250))</f>
        <v>136</v>
      </c>
      <c r="V250" s="23" t="str">
        <f t="shared" si="19"/>
        <v>Weekday</v>
      </c>
      <c r="W250" s="23" t="str">
        <f>VLOOKUP($M250,Lookups!$A$5:$B$8,2,FALSE())</f>
        <v>Mist / Cloudy</v>
      </c>
      <c r="X250" s="23" t="str">
        <f>VLOOKUP($G250,Lookups!$D$5:$E$8,2,FALSE())</f>
        <v>Winter</v>
      </c>
      <c r="Y250" s="23" t="str">
        <f>VLOOKUP($L250,Lookups!$G$5:$H$11,2,FALSE())</f>
        <v>Tuesday</v>
      </c>
      <c r="Z250" s="23" t="str">
        <f>IF($J250&lt;Lookups!$B$26,"Night",IF($J250&lt;Lookups!$B$27,"Morning",IF($J250&lt;Lookups!$B$28,"Afternoon","Evening")))</f>
        <v>Afternoon</v>
      </c>
      <c r="AA250" s="26">
        <f>ROUND($N250*(Lookups!$B$16-Lookups!$B$15)+Lookups!$B$15,1)</f>
        <v>-0.5</v>
      </c>
      <c r="AB250" s="26">
        <f>ROUND($P250*(Lookups!$B$18-Lookups!$B$17)+Lookups!$B$17,1)</f>
        <v>-6</v>
      </c>
      <c r="AC250" s="23">
        <f t="shared" si="20"/>
        <v>86</v>
      </c>
      <c r="AD250" s="23">
        <f>ROUND($R250*Lookups!$B$19,1)</f>
        <v>15</v>
      </c>
      <c r="AE250" s="27">
        <f t="shared" si="21"/>
        <v>0.95588235294117652</v>
      </c>
      <c r="AF250" s="23" t="str">
        <f>IF($U250&gt;=Lookups!$B$23,"High",IF($U250&gt;=Lookups!$B$22,"Medium","Low"))</f>
        <v>High</v>
      </c>
      <c r="AG250" s="23">
        <f>ROUND(IF($V250="Weekday",IF(INDEX(Hourly_Analysis!$D$5:$D$28,$J250+1)&gt;0,($U250-INDEX(Hourly_Analysis!$C$5:$C$28,$J250+1))/INDEX(Hourly_Analysis!$D$5:$D$28,$J250+1),0),IF(INDEX(Hourly_Analysis!$G$5:$G$28,$J250+1)&gt;0,($U250-INDEX(Hourly_Analysis!$F$5:$F$28,$J250+1))/INDEX(Hourly_Analysis!$G$5:$G$28,$J250+1),0)),2)</f>
        <v>-0.8</v>
      </c>
      <c r="AH250" s="23" t="str">
        <f>IF(ABS($AG250)&gt;Lookups!$B$20,IF($AG250&gt;0,"High anomaly","Low anomaly"),"")</f>
        <v/>
      </c>
      <c r="AI250" s="23" t="str">
        <f t="shared" si="22"/>
        <v>OK</v>
      </c>
      <c r="AJ250" s="23" t="str">
        <f t="shared" si="23"/>
        <v>No</v>
      </c>
    </row>
    <row r="251" spans="1:36" x14ac:dyDescent="0.35">
      <c r="A251" s="23">
        <v>250</v>
      </c>
      <c r="B251" s="23" t="str">
        <f t="shared" si="18"/>
        <v>Merge 1+2</v>
      </c>
      <c r="C251" s="23">
        <f>IFERROR(MATCH($A251,Merge_1_2!$A$2:$A$611,0),0)</f>
        <v>250</v>
      </c>
      <c r="D251" s="23">
        <f>IF($C251&gt;0,INDEX(Merge_1_2!$Q$2:$Q$611,$C251),0)</f>
        <v>250</v>
      </c>
      <c r="E251" s="23">
        <f>IFERROR(MATCH($A251,Dataset3_Raw!$A$2:$A$391,0),0)</f>
        <v>0</v>
      </c>
      <c r="F251" s="24">
        <f>IF($C251&gt;0,INDEX(Merge_1_2!$B$2:$B$611,$C251),DATE(VALUE(RIGHT(INDEX(Dataset3_Raw!$B$2:$B$391,$E251),4)),VALUE(MID(INDEX(Dataset3_Raw!$B$2:$B$391,$E251),4,2)),VALUE(LEFT(INDEX(Dataset3_Raw!$B$2:$B$391,$E251),2))))</f>
        <v>40554</v>
      </c>
      <c r="G251" s="23">
        <f>IF($C251&gt;0,INDEX(Merge_1_2!$C$2:$C$611,$C251),INDEX(Dataset3_Raw!$C$2:$C$391,$E251))</f>
        <v>1</v>
      </c>
      <c r="H251" s="23">
        <f>IF($C251&gt;0,INDEX(Merge_1_2!$D$2:$D$611,$C251),INDEX(Dataset3_Raw!$D$2:$D$391,$E251))</f>
        <v>0</v>
      </c>
      <c r="I251" s="23">
        <f>IF($C251&gt;0,INDEX(Merge_1_2!$E$2:$E$611,$C251),INDEX(Dataset3_Raw!$E$2:$E$391,$E251))</f>
        <v>1</v>
      </c>
      <c r="J251" s="23">
        <f>IF($C251&gt;0,INDEX(Merge_1_2!$F$2:$F$611,$C251),INDEX(Dataset3_Raw!$F$2:$F$391,$E251))</f>
        <v>18</v>
      </c>
      <c r="K251" s="23" t="b">
        <f>IF($C251&gt;0,INDEX(Merge_1_2!$G$2:$G$611,$C251),INDEX(Dataset3_Raw!$G$2:$G$391,$E251))</f>
        <v>0</v>
      </c>
      <c r="L251" s="23">
        <f>IF($C251&gt;0,INDEX(Merge_1_2!$H$2:$H$611,$C251),INDEX(Dataset3_Raw!$H$2:$H$391,$E251))</f>
        <v>2</v>
      </c>
      <c r="M251" s="23">
        <f>IF($C251&gt;0,INDEX(Merge_1_2!$I$2:$I$611,$C251),INDEX(Dataset3_Raw!$I$2:$I$391,$E251))</f>
        <v>3</v>
      </c>
      <c r="N251" s="25">
        <f>IF($C251&gt;0,INDEX(Merge_1_2!$J$2:$J$611,$C251),INDEX(Dataset3_Raw!$J$2:$J$391,$E251))</f>
        <v>0.16</v>
      </c>
      <c r="O251" s="25">
        <f>IF($C251&gt;0,IF(ISNUMBER(INDEX(Merge_1_2!$K$2:$K$611,$C251)),INDEX(Merge_1_2!$K$2:$K$611,$C251),""),INDEX(Dataset3_Raw!$K$2:$K$391,$E251))</f>
        <v>0.18179999999999999</v>
      </c>
      <c r="P251" s="25">
        <f>IF(ISNUMBER($O251),$O251,ROUND(Lookups!$B$25+Lookups!$B$24*$N251,4))</f>
        <v>0.18179999999999999</v>
      </c>
      <c r="Q251" s="25">
        <f>IF($C251&gt;0,INDEX(Merge_1_2!$L$2:$L$611,$C251),INDEX(Dataset3_Raw!$L$2:$L$391,$E251))</f>
        <v>0.93</v>
      </c>
      <c r="R251" s="25">
        <f>IF($C251&gt;0,INDEX(Merge_1_2!$M$2:$M$611,$C251),INDEX(Dataset3_Raw!$M$2:$M$391,$E251))</f>
        <v>0.1045</v>
      </c>
      <c r="S251" s="23">
        <f>IF($C251&gt;0,INDEX(Merge_1_2!$N$2:$N$611,$C251),INDEX(Dataset3_Raw!$N$2:$N$391,$E251))</f>
        <v>1</v>
      </c>
      <c r="T251" s="23">
        <f>IF($C251&gt;0,INDEX(Merge_1_2!$O$2:$O$611,$C251),INDEX(Dataset3_Raw!$O$2:$O$391,$E251))</f>
        <v>94</v>
      </c>
      <c r="U251" s="23">
        <f>IF($C251&gt;0,INDEX(Merge_1_2!$P$2:$P$611,$C251),INDEX(Dataset3_Raw!$P$2:$P$391,$E251))</f>
        <v>95</v>
      </c>
      <c r="V251" s="23" t="str">
        <f t="shared" si="19"/>
        <v>Weekday</v>
      </c>
      <c r="W251" s="23" t="str">
        <f>VLOOKUP($M251,Lookups!$A$5:$B$8,2,FALSE())</f>
        <v>Light snow / Light rain</v>
      </c>
      <c r="X251" s="23" t="str">
        <f>VLOOKUP($G251,Lookups!$D$5:$E$8,2,FALSE())</f>
        <v>Winter</v>
      </c>
      <c r="Y251" s="23" t="str">
        <f>VLOOKUP($L251,Lookups!$G$5:$H$11,2,FALSE())</f>
        <v>Tuesday</v>
      </c>
      <c r="Z251" s="23" t="str">
        <f>IF($J251&lt;Lookups!$B$26,"Night",IF($J251&lt;Lookups!$B$27,"Morning",IF($J251&lt;Lookups!$B$28,"Afternoon","Evening")))</f>
        <v>Evening</v>
      </c>
      <c r="AA251" s="26">
        <f>ROUND($N251*(Lookups!$B$16-Lookups!$B$15)+Lookups!$B$15,1)</f>
        <v>-0.5</v>
      </c>
      <c r="AB251" s="26">
        <f>ROUND($P251*(Lookups!$B$18-Lookups!$B$17)+Lookups!$B$17,1)</f>
        <v>-4</v>
      </c>
      <c r="AC251" s="23">
        <f t="shared" si="20"/>
        <v>93</v>
      </c>
      <c r="AD251" s="23">
        <f>ROUND($R251*Lookups!$B$19,1)</f>
        <v>7</v>
      </c>
      <c r="AE251" s="27">
        <f t="shared" si="21"/>
        <v>0.98947368421052628</v>
      </c>
      <c r="AF251" s="23" t="str">
        <f>IF($U251&gt;=Lookups!$B$23,"High",IF($U251&gt;=Lookups!$B$22,"Medium","Low"))</f>
        <v>High</v>
      </c>
      <c r="AG251" s="23">
        <f>ROUND(IF($V251="Weekday",IF(INDEX(Hourly_Analysis!$D$5:$D$28,$J251+1)&gt;0,($U251-INDEX(Hourly_Analysis!$C$5:$C$28,$J251+1))/INDEX(Hourly_Analysis!$D$5:$D$28,$J251+1),0),IF(INDEX(Hourly_Analysis!$G$5:$G$28,$J251+1)&gt;0,($U251-INDEX(Hourly_Analysis!$F$5:$F$28,$J251+1))/INDEX(Hourly_Analysis!$G$5:$G$28,$J251+1),0)),2)</f>
        <v>-2.12</v>
      </c>
      <c r="AH251" s="23" t="str">
        <f>IF(ABS($AG251)&gt;Lookups!$B$20,IF($AG251&gt;0,"High anomaly","Low anomaly"),"")</f>
        <v/>
      </c>
      <c r="AI251" s="23" t="str">
        <f t="shared" si="22"/>
        <v>OK</v>
      </c>
      <c r="AJ251" s="23" t="str">
        <f t="shared" si="23"/>
        <v>No</v>
      </c>
    </row>
    <row r="252" spans="1:36" x14ac:dyDescent="0.35">
      <c r="A252" s="23">
        <v>251</v>
      </c>
      <c r="B252" s="23" t="str">
        <f t="shared" si="18"/>
        <v>Merge 1+2</v>
      </c>
      <c r="C252" s="23">
        <f>IFERROR(MATCH($A252,Merge_1_2!$A$2:$A$611,0),0)</f>
        <v>251</v>
      </c>
      <c r="D252" s="23">
        <f>IF($C252&gt;0,INDEX(Merge_1_2!$Q$2:$Q$611,$C252),0)</f>
        <v>251</v>
      </c>
      <c r="E252" s="23">
        <f>IFERROR(MATCH($A252,Dataset3_Raw!$A$2:$A$391,0),0)</f>
        <v>0</v>
      </c>
      <c r="F252" s="24">
        <f>IF($C252&gt;0,INDEX(Merge_1_2!$B$2:$B$611,$C252),DATE(VALUE(RIGHT(INDEX(Dataset3_Raw!$B$2:$B$391,$E252),4)),VALUE(MID(INDEX(Dataset3_Raw!$B$2:$B$391,$E252),4,2)),VALUE(LEFT(INDEX(Dataset3_Raw!$B$2:$B$391,$E252),2))))</f>
        <v>40554</v>
      </c>
      <c r="G252" s="23">
        <f>IF($C252&gt;0,INDEX(Merge_1_2!$C$2:$C$611,$C252),INDEX(Dataset3_Raw!$C$2:$C$391,$E252))</f>
        <v>1</v>
      </c>
      <c r="H252" s="23">
        <f>IF($C252&gt;0,INDEX(Merge_1_2!$D$2:$D$611,$C252),INDEX(Dataset3_Raw!$D$2:$D$391,$E252))</f>
        <v>0</v>
      </c>
      <c r="I252" s="23">
        <f>IF($C252&gt;0,INDEX(Merge_1_2!$E$2:$E$611,$C252),INDEX(Dataset3_Raw!$E$2:$E$391,$E252))</f>
        <v>1</v>
      </c>
      <c r="J252" s="23">
        <f>IF($C252&gt;0,INDEX(Merge_1_2!$F$2:$F$611,$C252),INDEX(Dataset3_Raw!$F$2:$F$391,$E252))</f>
        <v>19</v>
      </c>
      <c r="K252" s="23" t="b">
        <f>IF($C252&gt;0,INDEX(Merge_1_2!$G$2:$G$611,$C252),INDEX(Dataset3_Raw!$G$2:$G$391,$E252))</f>
        <v>0</v>
      </c>
      <c r="L252" s="23">
        <f>IF($C252&gt;0,INDEX(Merge_1_2!$H$2:$H$611,$C252),INDEX(Dataset3_Raw!$H$2:$H$391,$E252))</f>
        <v>2</v>
      </c>
      <c r="M252" s="23">
        <f>IF($C252&gt;0,INDEX(Merge_1_2!$I$2:$I$611,$C252),INDEX(Dataset3_Raw!$I$2:$I$391,$E252))</f>
        <v>3</v>
      </c>
      <c r="N252" s="25">
        <f>IF($C252&gt;0,INDEX(Merge_1_2!$J$2:$J$611,$C252),INDEX(Dataset3_Raw!$J$2:$J$391,$E252))</f>
        <v>0.16</v>
      </c>
      <c r="O252" s="25">
        <f>IF($C252&gt;0,IF(ISNUMBER(INDEX(Merge_1_2!$K$2:$K$611,$C252)),INDEX(Merge_1_2!$K$2:$K$611,$C252),""),INDEX(Dataset3_Raw!$K$2:$K$391,$E252))</f>
        <v>0.2273</v>
      </c>
      <c r="P252" s="25">
        <f>IF(ISNUMBER($O252),$O252,ROUND(Lookups!$B$25+Lookups!$B$24*$N252,4))</f>
        <v>0.2273</v>
      </c>
      <c r="Q252" s="25">
        <f>IF($C252&gt;0,INDEX(Merge_1_2!$L$2:$L$611,$C252),INDEX(Dataset3_Raw!$L$2:$L$391,$E252))</f>
        <v>0.93</v>
      </c>
      <c r="R252" s="25">
        <f>IF($C252&gt;0,INDEX(Merge_1_2!$M$2:$M$611,$C252),INDEX(Dataset3_Raw!$M$2:$M$391,$E252))</f>
        <v>0</v>
      </c>
      <c r="S252" s="23">
        <f>IF($C252&gt;0,INDEX(Merge_1_2!$N$2:$N$611,$C252),INDEX(Dataset3_Raw!$N$2:$N$391,$E252))</f>
        <v>0</v>
      </c>
      <c r="T252" s="23">
        <f>IF($C252&gt;0,INDEX(Merge_1_2!$O$2:$O$611,$C252),INDEX(Dataset3_Raw!$O$2:$O$391,$E252))</f>
        <v>51</v>
      </c>
      <c r="U252" s="23">
        <f>IF($C252&gt;0,INDEX(Merge_1_2!$P$2:$P$611,$C252),INDEX(Dataset3_Raw!$P$2:$P$391,$E252))</f>
        <v>51</v>
      </c>
      <c r="V252" s="23" t="str">
        <f t="shared" si="19"/>
        <v>Weekday</v>
      </c>
      <c r="W252" s="23" t="str">
        <f>VLOOKUP($M252,Lookups!$A$5:$B$8,2,FALSE())</f>
        <v>Light snow / Light rain</v>
      </c>
      <c r="X252" s="23" t="str">
        <f>VLOOKUP($G252,Lookups!$D$5:$E$8,2,FALSE())</f>
        <v>Winter</v>
      </c>
      <c r="Y252" s="23" t="str">
        <f>VLOOKUP($L252,Lookups!$G$5:$H$11,2,FALSE())</f>
        <v>Tuesday</v>
      </c>
      <c r="Z252" s="23" t="str">
        <f>IF($J252&lt;Lookups!$B$26,"Night",IF($J252&lt;Lookups!$B$27,"Morning",IF($J252&lt;Lookups!$B$28,"Afternoon","Evening")))</f>
        <v>Evening</v>
      </c>
      <c r="AA252" s="26">
        <f>ROUND($N252*(Lookups!$B$16-Lookups!$B$15)+Lookups!$B$15,1)</f>
        <v>-0.5</v>
      </c>
      <c r="AB252" s="26">
        <f>ROUND($P252*(Lookups!$B$18-Lookups!$B$17)+Lookups!$B$17,1)</f>
        <v>-1</v>
      </c>
      <c r="AC252" s="23">
        <f t="shared" si="20"/>
        <v>93</v>
      </c>
      <c r="AD252" s="23">
        <f>ROUND($R252*Lookups!$B$19,1)</f>
        <v>0</v>
      </c>
      <c r="AE252" s="27">
        <f t="shared" si="21"/>
        <v>1</v>
      </c>
      <c r="AF252" s="23" t="str">
        <f>IF($U252&gt;=Lookups!$B$23,"High",IF($U252&gt;=Lookups!$B$22,"Medium","Low"))</f>
        <v>Medium</v>
      </c>
      <c r="AG252" s="23">
        <f>ROUND(IF($V252="Weekday",IF(INDEX(Hourly_Analysis!$D$5:$D$28,$J252+1)&gt;0,($U252-INDEX(Hourly_Analysis!$C$5:$C$28,$J252+1))/INDEX(Hourly_Analysis!$D$5:$D$28,$J252+1),0),IF(INDEX(Hourly_Analysis!$G$5:$G$28,$J252+1)&gt;0,($U252-INDEX(Hourly_Analysis!$F$5:$F$28,$J252+1))/INDEX(Hourly_Analysis!$G$5:$G$28,$J252+1),0)),2)</f>
        <v>-2.63</v>
      </c>
      <c r="AH252" s="23" t="str">
        <f>IF(ABS($AG252)&gt;Lookups!$B$20,IF($AG252&gt;0,"High anomaly","Low anomaly"),"")</f>
        <v/>
      </c>
      <c r="AI252" s="23" t="str">
        <f t="shared" si="22"/>
        <v>OK</v>
      </c>
      <c r="AJ252" s="23" t="str">
        <f t="shared" si="23"/>
        <v>No</v>
      </c>
    </row>
    <row r="253" spans="1:36" x14ac:dyDescent="0.35">
      <c r="A253" s="23">
        <v>252</v>
      </c>
      <c r="B253" s="23" t="str">
        <f t="shared" si="18"/>
        <v>Merge 1+2</v>
      </c>
      <c r="C253" s="23">
        <f>IFERROR(MATCH($A253,Merge_1_2!$A$2:$A$611,0),0)</f>
        <v>252</v>
      </c>
      <c r="D253" s="23">
        <f>IF($C253&gt;0,INDEX(Merge_1_2!$Q$2:$Q$611,$C253),0)</f>
        <v>252</v>
      </c>
      <c r="E253" s="23">
        <f>IFERROR(MATCH($A253,Dataset3_Raw!$A$2:$A$391,0),0)</f>
        <v>0</v>
      </c>
      <c r="F253" s="24">
        <f>IF($C253&gt;0,INDEX(Merge_1_2!$B$2:$B$611,$C253),DATE(VALUE(RIGHT(INDEX(Dataset3_Raw!$B$2:$B$391,$E253),4)),VALUE(MID(INDEX(Dataset3_Raw!$B$2:$B$391,$E253),4,2)),VALUE(LEFT(INDEX(Dataset3_Raw!$B$2:$B$391,$E253),2))))</f>
        <v>40554</v>
      </c>
      <c r="G253" s="23">
        <f>IF($C253&gt;0,INDEX(Merge_1_2!$C$2:$C$611,$C253),INDEX(Dataset3_Raw!$C$2:$C$391,$E253))</f>
        <v>1</v>
      </c>
      <c r="H253" s="23">
        <f>IF($C253&gt;0,INDEX(Merge_1_2!$D$2:$D$611,$C253),INDEX(Dataset3_Raw!$D$2:$D$391,$E253))</f>
        <v>0</v>
      </c>
      <c r="I253" s="23">
        <f>IF($C253&gt;0,INDEX(Merge_1_2!$E$2:$E$611,$C253),INDEX(Dataset3_Raw!$E$2:$E$391,$E253))</f>
        <v>1</v>
      </c>
      <c r="J253" s="23">
        <f>IF($C253&gt;0,INDEX(Merge_1_2!$F$2:$F$611,$C253),INDEX(Dataset3_Raw!$F$2:$F$391,$E253))</f>
        <v>20</v>
      </c>
      <c r="K253" s="23" t="b">
        <f>IF($C253&gt;0,INDEX(Merge_1_2!$G$2:$G$611,$C253),INDEX(Dataset3_Raw!$G$2:$G$391,$E253))</f>
        <v>0</v>
      </c>
      <c r="L253" s="23">
        <f>IF($C253&gt;0,INDEX(Merge_1_2!$H$2:$H$611,$C253),INDEX(Dataset3_Raw!$H$2:$H$391,$E253))</f>
        <v>2</v>
      </c>
      <c r="M253" s="23">
        <f>IF($C253&gt;0,INDEX(Merge_1_2!$I$2:$I$611,$C253),INDEX(Dataset3_Raw!$I$2:$I$391,$E253))</f>
        <v>3</v>
      </c>
      <c r="N253" s="25">
        <f>IF($C253&gt;0,INDEX(Merge_1_2!$J$2:$J$611,$C253),INDEX(Dataset3_Raw!$J$2:$J$391,$E253))</f>
        <v>0.16</v>
      </c>
      <c r="O253" s="25">
        <f>IF($C253&gt;0,IF(ISNUMBER(INDEX(Merge_1_2!$K$2:$K$611,$C253)),INDEX(Merge_1_2!$K$2:$K$611,$C253),""),INDEX(Dataset3_Raw!$K$2:$K$391,$E253))</f>
        <v>0.1515</v>
      </c>
      <c r="P253" s="25">
        <f>IF(ISNUMBER($O253),$O253,ROUND(Lookups!$B$25+Lookups!$B$24*$N253,4))</f>
        <v>0.1515</v>
      </c>
      <c r="Q253" s="25">
        <f>IF($C253&gt;0,INDEX(Merge_1_2!$L$2:$L$611,$C253),INDEX(Dataset3_Raw!$L$2:$L$391,$E253))</f>
        <v>0.93</v>
      </c>
      <c r="R253" s="25">
        <f>IF($C253&gt;0,INDEX(Merge_1_2!$M$2:$M$611,$C253),INDEX(Dataset3_Raw!$M$2:$M$391,$E253))</f>
        <v>0.19400000000000001</v>
      </c>
      <c r="S253" s="23">
        <f>IF($C253&gt;0,INDEX(Merge_1_2!$N$2:$N$611,$C253),INDEX(Dataset3_Raw!$N$2:$N$391,$E253))</f>
        <v>0</v>
      </c>
      <c r="T253" s="23">
        <f>IF($C253&gt;0,INDEX(Merge_1_2!$O$2:$O$611,$C253),INDEX(Dataset3_Raw!$O$2:$O$391,$E253))</f>
        <v>32</v>
      </c>
      <c r="U253" s="23">
        <f>IF($C253&gt;0,INDEX(Merge_1_2!$P$2:$P$611,$C253),INDEX(Dataset3_Raw!$P$2:$P$391,$E253))</f>
        <v>32</v>
      </c>
      <c r="V253" s="23" t="str">
        <f t="shared" si="19"/>
        <v>Weekday</v>
      </c>
      <c r="W253" s="23" t="str">
        <f>VLOOKUP($M253,Lookups!$A$5:$B$8,2,FALSE())</f>
        <v>Light snow / Light rain</v>
      </c>
      <c r="X253" s="23" t="str">
        <f>VLOOKUP($G253,Lookups!$D$5:$E$8,2,FALSE())</f>
        <v>Winter</v>
      </c>
      <c r="Y253" s="23" t="str">
        <f>VLOOKUP($L253,Lookups!$G$5:$H$11,2,FALSE())</f>
        <v>Tuesday</v>
      </c>
      <c r="Z253" s="23" t="str">
        <f>IF($J253&lt;Lookups!$B$26,"Night",IF($J253&lt;Lookups!$B$27,"Morning",IF($J253&lt;Lookups!$B$28,"Afternoon","Evening")))</f>
        <v>Evening</v>
      </c>
      <c r="AA253" s="26">
        <f>ROUND($N253*(Lookups!$B$16-Lookups!$B$15)+Lookups!$B$15,1)</f>
        <v>-0.5</v>
      </c>
      <c r="AB253" s="26">
        <f>ROUND($P253*(Lookups!$B$18-Lookups!$B$17)+Lookups!$B$17,1)</f>
        <v>-6</v>
      </c>
      <c r="AC253" s="23">
        <f t="shared" si="20"/>
        <v>93</v>
      </c>
      <c r="AD253" s="23">
        <f>ROUND($R253*Lookups!$B$19,1)</f>
        <v>13</v>
      </c>
      <c r="AE253" s="27">
        <f t="shared" si="21"/>
        <v>1</v>
      </c>
      <c r="AF253" s="23" t="str">
        <f>IF($U253&gt;=Lookups!$B$23,"High",IF($U253&gt;=Lookups!$B$22,"Medium","Low"))</f>
        <v>Medium</v>
      </c>
      <c r="AG253" s="23">
        <f>ROUND(IF($V253="Weekday",IF(INDEX(Hourly_Analysis!$D$5:$D$28,$J253+1)&gt;0,($U253-INDEX(Hourly_Analysis!$C$5:$C$28,$J253+1))/INDEX(Hourly_Analysis!$D$5:$D$28,$J253+1),0),IF(INDEX(Hourly_Analysis!$G$5:$G$28,$J253+1)&gt;0,($U253-INDEX(Hourly_Analysis!$F$5:$F$28,$J253+1))/INDEX(Hourly_Analysis!$G$5:$G$28,$J253+1),0)),2)</f>
        <v>-1.97</v>
      </c>
      <c r="AH253" s="23" t="str">
        <f>IF(ABS($AG253)&gt;Lookups!$B$20,IF($AG253&gt;0,"High anomaly","Low anomaly"),"")</f>
        <v/>
      </c>
      <c r="AI253" s="23" t="str">
        <f t="shared" si="22"/>
        <v>OK</v>
      </c>
      <c r="AJ253" s="23" t="str">
        <f t="shared" si="23"/>
        <v>No</v>
      </c>
    </row>
    <row r="254" spans="1:36" x14ac:dyDescent="0.35">
      <c r="A254" s="23">
        <v>253</v>
      </c>
      <c r="B254" s="23" t="str">
        <f t="shared" si="18"/>
        <v>Merge 1+2</v>
      </c>
      <c r="C254" s="23">
        <f>IFERROR(MATCH($A254,Merge_1_2!$A$2:$A$611,0),0)</f>
        <v>253</v>
      </c>
      <c r="D254" s="23">
        <f>IF($C254&gt;0,INDEX(Merge_1_2!$Q$2:$Q$611,$C254),0)</f>
        <v>253</v>
      </c>
      <c r="E254" s="23">
        <f>IFERROR(MATCH($A254,Dataset3_Raw!$A$2:$A$391,0),0)</f>
        <v>0</v>
      </c>
      <c r="F254" s="24">
        <f>IF($C254&gt;0,INDEX(Merge_1_2!$B$2:$B$611,$C254),DATE(VALUE(RIGHT(INDEX(Dataset3_Raw!$B$2:$B$391,$E254),4)),VALUE(MID(INDEX(Dataset3_Raw!$B$2:$B$391,$E254),4,2)),VALUE(LEFT(INDEX(Dataset3_Raw!$B$2:$B$391,$E254),2))))</f>
        <v>40554</v>
      </c>
      <c r="G254" s="23">
        <f>IF($C254&gt;0,INDEX(Merge_1_2!$C$2:$C$611,$C254),INDEX(Dataset3_Raw!$C$2:$C$391,$E254))</f>
        <v>1</v>
      </c>
      <c r="H254" s="23">
        <f>IF($C254&gt;0,INDEX(Merge_1_2!$D$2:$D$611,$C254),INDEX(Dataset3_Raw!$D$2:$D$391,$E254))</f>
        <v>0</v>
      </c>
      <c r="I254" s="23">
        <f>IF($C254&gt;0,INDEX(Merge_1_2!$E$2:$E$611,$C254),INDEX(Dataset3_Raw!$E$2:$E$391,$E254))</f>
        <v>1</v>
      </c>
      <c r="J254" s="23">
        <f>IF($C254&gt;0,INDEX(Merge_1_2!$F$2:$F$611,$C254),INDEX(Dataset3_Raw!$F$2:$F$391,$E254))</f>
        <v>21</v>
      </c>
      <c r="K254" s="23" t="b">
        <f>IF($C254&gt;0,INDEX(Merge_1_2!$G$2:$G$611,$C254),INDEX(Dataset3_Raw!$G$2:$G$391,$E254))</f>
        <v>0</v>
      </c>
      <c r="L254" s="23">
        <f>IF($C254&gt;0,INDEX(Merge_1_2!$H$2:$H$611,$C254),INDEX(Dataset3_Raw!$H$2:$H$391,$E254))</f>
        <v>2</v>
      </c>
      <c r="M254" s="23">
        <f>IF($C254&gt;0,INDEX(Merge_1_2!$I$2:$I$611,$C254),INDEX(Dataset3_Raw!$I$2:$I$391,$E254))</f>
        <v>3</v>
      </c>
      <c r="N254" s="25">
        <f>IF($C254&gt;0,INDEX(Merge_1_2!$J$2:$J$611,$C254),INDEX(Dataset3_Raw!$J$2:$J$391,$E254))</f>
        <v>0.16</v>
      </c>
      <c r="O254" s="25">
        <f>IF($C254&gt;0,IF(ISNUMBER(INDEX(Merge_1_2!$K$2:$K$611,$C254)),INDEX(Merge_1_2!$K$2:$K$611,$C254),""),INDEX(Dataset3_Raw!$K$2:$K$391,$E254))</f>
        <v>0.19700000000000001</v>
      </c>
      <c r="P254" s="25">
        <f>IF(ISNUMBER($O254),$O254,ROUND(Lookups!$B$25+Lookups!$B$24*$N254,4))</f>
        <v>0.19700000000000001</v>
      </c>
      <c r="Q254" s="25">
        <f>IF($C254&gt;0,INDEX(Merge_1_2!$L$2:$L$611,$C254),INDEX(Dataset3_Raw!$L$2:$L$391,$E254))</f>
        <v>0.86</v>
      </c>
      <c r="R254" s="25">
        <f>IF($C254&gt;0,INDEX(Merge_1_2!$M$2:$M$611,$C254),INDEX(Dataset3_Raw!$M$2:$M$391,$E254))</f>
        <v>8.9599999999999999E-2</v>
      </c>
      <c r="S254" s="23">
        <f>IF($C254&gt;0,INDEX(Merge_1_2!$N$2:$N$611,$C254),INDEX(Dataset3_Raw!$N$2:$N$391,$E254))</f>
        <v>0</v>
      </c>
      <c r="T254" s="23">
        <f>IF($C254&gt;0,INDEX(Merge_1_2!$O$2:$O$611,$C254),INDEX(Dataset3_Raw!$O$2:$O$391,$E254))</f>
        <v>20</v>
      </c>
      <c r="U254" s="23">
        <f>IF($C254&gt;0,INDEX(Merge_1_2!$P$2:$P$611,$C254),INDEX(Dataset3_Raw!$P$2:$P$391,$E254))</f>
        <v>20</v>
      </c>
      <c r="V254" s="23" t="str">
        <f t="shared" si="19"/>
        <v>Weekday</v>
      </c>
      <c r="W254" s="23" t="str">
        <f>VLOOKUP($M254,Lookups!$A$5:$B$8,2,FALSE())</f>
        <v>Light snow / Light rain</v>
      </c>
      <c r="X254" s="23" t="str">
        <f>VLOOKUP($G254,Lookups!$D$5:$E$8,2,FALSE())</f>
        <v>Winter</v>
      </c>
      <c r="Y254" s="23" t="str">
        <f>VLOOKUP($L254,Lookups!$G$5:$H$11,2,FALSE())</f>
        <v>Tuesday</v>
      </c>
      <c r="Z254" s="23" t="str">
        <f>IF($J254&lt;Lookups!$B$26,"Night",IF($J254&lt;Lookups!$B$27,"Morning",IF($J254&lt;Lookups!$B$28,"Afternoon","Evening")))</f>
        <v>Evening</v>
      </c>
      <c r="AA254" s="26">
        <f>ROUND($N254*(Lookups!$B$16-Lookups!$B$15)+Lookups!$B$15,1)</f>
        <v>-0.5</v>
      </c>
      <c r="AB254" s="26">
        <f>ROUND($P254*(Lookups!$B$18-Lookups!$B$17)+Lookups!$B$17,1)</f>
        <v>-3</v>
      </c>
      <c r="AC254" s="23">
        <f t="shared" si="20"/>
        <v>86</v>
      </c>
      <c r="AD254" s="23">
        <f>ROUND($R254*Lookups!$B$19,1)</f>
        <v>6</v>
      </c>
      <c r="AE254" s="27">
        <f t="shared" si="21"/>
        <v>1</v>
      </c>
      <c r="AF254" s="23" t="str">
        <f>IF($U254&gt;=Lookups!$B$23,"High",IF($U254&gt;=Lookups!$B$22,"Medium","Low"))</f>
        <v>Medium</v>
      </c>
      <c r="AG254" s="23">
        <f>ROUND(IF($V254="Weekday",IF(INDEX(Hourly_Analysis!$D$5:$D$28,$J254+1)&gt;0,($U254-INDEX(Hourly_Analysis!$C$5:$C$28,$J254+1))/INDEX(Hourly_Analysis!$D$5:$D$28,$J254+1),0),IF(INDEX(Hourly_Analysis!$G$5:$G$28,$J254+1)&gt;0,($U254-INDEX(Hourly_Analysis!$F$5:$F$28,$J254+1))/INDEX(Hourly_Analysis!$G$5:$G$28,$J254+1),0)),2)</f>
        <v>-2.39</v>
      </c>
      <c r="AH254" s="23" t="str">
        <f>IF(ABS($AG254)&gt;Lookups!$B$20,IF($AG254&gt;0,"High anomaly","Low anomaly"),"")</f>
        <v/>
      </c>
      <c r="AI254" s="23" t="str">
        <f t="shared" si="22"/>
        <v>OK</v>
      </c>
      <c r="AJ254" s="23" t="str">
        <f t="shared" si="23"/>
        <v>No</v>
      </c>
    </row>
    <row r="255" spans="1:36" x14ac:dyDescent="0.35">
      <c r="A255" s="23">
        <v>254</v>
      </c>
      <c r="B255" s="23" t="str">
        <f t="shared" si="18"/>
        <v>Merge 1+2</v>
      </c>
      <c r="C255" s="23">
        <f>IFERROR(MATCH($A255,Merge_1_2!$A$2:$A$611,0),0)</f>
        <v>254</v>
      </c>
      <c r="D255" s="23">
        <f>IF($C255&gt;0,INDEX(Merge_1_2!$Q$2:$Q$611,$C255),0)</f>
        <v>254</v>
      </c>
      <c r="E255" s="23">
        <f>IFERROR(MATCH($A255,Dataset3_Raw!$A$2:$A$391,0),0)</f>
        <v>0</v>
      </c>
      <c r="F255" s="24">
        <f>IF($C255&gt;0,INDEX(Merge_1_2!$B$2:$B$611,$C255),DATE(VALUE(RIGHT(INDEX(Dataset3_Raw!$B$2:$B$391,$E255),4)),VALUE(MID(INDEX(Dataset3_Raw!$B$2:$B$391,$E255),4,2)),VALUE(LEFT(INDEX(Dataset3_Raw!$B$2:$B$391,$E255),2))))</f>
        <v>40554</v>
      </c>
      <c r="G255" s="23">
        <f>IF($C255&gt;0,INDEX(Merge_1_2!$C$2:$C$611,$C255),INDEX(Dataset3_Raw!$C$2:$C$391,$E255))</f>
        <v>1</v>
      </c>
      <c r="H255" s="23">
        <f>IF($C255&gt;0,INDEX(Merge_1_2!$D$2:$D$611,$C255),INDEX(Dataset3_Raw!$D$2:$D$391,$E255))</f>
        <v>0</v>
      </c>
      <c r="I255" s="23">
        <f>IF($C255&gt;0,INDEX(Merge_1_2!$E$2:$E$611,$C255),INDEX(Dataset3_Raw!$E$2:$E$391,$E255))</f>
        <v>1</v>
      </c>
      <c r="J255" s="23">
        <f>IF($C255&gt;0,INDEX(Merge_1_2!$F$2:$F$611,$C255),INDEX(Dataset3_Raw!$F$2:$F$391,$E255))</f>
        <v>22</v>
      </c>
      <c r="K255" s="23" t="b">
        <f>IF($C255&gt;0,INDEX(Merge_1_2!$G$2:$G$611,$C255),INDEX(Dataset3_Raw!$G$2:$G$391,$E255))</f>
        <v>0</v>
      </c>
      <c r="L255" s="23">
        <f>IF($C255&gt;0,INDEX(Merge_1_2!$H$2:$H$611,$C255),INDEX(Dataset3_Raw!$H$2:$H$391,$E255))</f>
        <v>2</v>
      </c>
      <c r="M255" s="23">
        <f>IF($C255&gt;0,INDEX(Merge_1_2!$I$2:$I$611,$C255),INDEX(Dataset3_Raw!$I$2:$I$391,$E255))</f>
        <v>3</v>
      </c>
      <c r="N255" s="25">
        <f>IF($C255&gt;0,INDEX(Merge_1_2!$J$2:$J$611,$C255),INDEX(Dataset3_Raw!$J$2:$J$391,$E255))</f>
        <v>0.16</v>
      </c>
      <c r="O255" s="25">
        <f>IF($C255&gt;0,IF(ISNUMBER(INDEX(Merge_1_2!$K$2:$K$611,$C255)),INDEX(Merge_1_2!$K$2:$K$611,$C255),""),INDEX(Dataset3_Raw!$K$2:$K$391,$E255))</f>
        <v>0.18179999999999999</v>
      </c>
      <c r="P255" s="25">
        <f>IF(ISNUMBER($O255),$O255,ROUND(Lookups!$B$25+Lookups!$B$24*$N255,4))</f>
        <v>0.18179999999999999</v>
      </c>
      <c r="Q255" s="25">
        <f>IF($C255&gt;0,INDEX(Merge_1_2!$L$2:$L$611,$C255),INDEX(Dataset3_Raw!$L$2:$L$391,$E255))</f>
        <v>0.93</v>
      </c>
      <c r="R255" s="25">
        <f>IF($C255&gt;0,INDEX(Merge_1_2!$M$2:$M$611,$C255),INDEX(Dataset3_Raw!$M$2:$M$391,$E255))</f>
        <v>0.1045</v>
      </c>
      <c r="S255" s="23">
        <f>IF($C255&gt;0,INDEX(Merge_1_2!$N$2:$N$611,$C255),INDEX(Dataset3_Raw!$N$2:$N$391,$E255))</f>
        <v>1</v>
      </c>
      <c r="T255" s="23">
        <f>IF($C255&gt;0,INDEX(Merge_1_2!$O$2:$O$611,$C255),INDEX(Dataset3_Raw!$O$2:$O$391,$E255))</f>
        <v>28</v>
      </c>
      <c r="U255" s="23">
        <f>IF($C255&gt;0,INDEX(Merge_1_2!$P$2:$P$611,$C255),INDEX(Dataset3_Raw!$P$2:$P$391,$E255))</f>
        <v>29</v>
      </c>
      <c r="V255" s="23" t="str">
        <f t="shared" si="19"/>
        <v>Weekday</v>
      </c>
      <c r="W255" s="23" t="str">
        <f>VLOOKUP($M255,Lookups!$A$5:$B$8,2,FALSE())</f>
        <v>Light snow / Light rain</v>
      </c>
      <c r="X255" s="23" t="str">
        <f>VLOOKUP($G255,Lookups!$D$5:$E$8,2,FALSE())</f>
        <v>Winter</v>
      </c>
      <c r="Y255" s="23" t="str">
        <f>VLOOKUP($L255,Lookups!$G$5:$H$11,2,FALSE())</f>
        <v>Tuesday</v>
      </c>
      <c r="Z255" s="23" t="str">
        <f>IF($J255&lt;Lookups!$B$26,"Night",IF($J255&lt;Lookups!$B$27,"Morning",IF($J255&lt;Lookups!$B$28,"Afternoon","Evening")))</f>
        <v>Evening</v>
      </c>
      <c r="AA255" s="26">
        <f>ROUND($N255*(Lookups!$B$16-Lookups!$B$15)+Lookups!$B$15,1)</f>
        <v>-0.5</v>
      </c>
      <c r="AB255" s="26">
        <f>ROUND($P255*(Lookups!$B$18-Lookups!$B$17)+Lookups!$B$17,1)</f>
        <v>-4</v>
      </c>
      <c r="AC255" s="23">
        <f t="shared" si="20"/>
        <v>93</v>
      </c>
      <c r="AD255" s="23">
        <f>ROUND($R255*Lookups!$B$19,1)</f>
        <v>7</v>
      </c>
      <c r="AE255" s="27">
        <f t="shared" si="21"/>
        <v>0.96551724137931039</v>
      </c>
      <c r="AF255" s="23" t="str">
        <f>IF($U255&gt;=Lookups!$B$23,"High",IF($U255&gt;=Lookups!$B$22,"Medium","Low"))</f>
        <v>Medium</v>
      </c>
      <c r="AG255" s="23">
        <f>ROUND(IF($V255="Weekday",IF(INDEX(Hourly_Analysis!$D$5:$D$28,$J255+1)&gt;0,($U255-INDEX(Hourly_Analysis!$C$5:$C$28,$J255+1))/INDEX(Hourly_Analysis!$D$5:$D$28,$J255+1),0),IF(INDEX(Hourly_Analysis!$G$5:$G$28,$J255+1)&gt;0,($U255-INDEX(Hourly_Analysis!$F$5:$F$28,$J255+1))/INDEX(Hourly_Analysis!$G$5:$G$28,$J255+1),0)),2)</f>
        <v>-0.9</v>
      </c>
      <c r="AH255" s="23" t="str">
        <f>IF(ABS($AG255)&gt;Lookups!$B$20,IF($AG255&gt;0,"High anomaly","Low anomaly"),"")</f>
        <v/>
      </c>
      <c r="AI255" s="23" t="str">
        <f t="shared" si="22"/>
        <v>OK</v>
      </c>
      <c r="AJ255" s="23" t="str">
        <f t="shared" si="23"/>
        <v>No</v>
      </c>
    </row>
    <row r="256" spans="1:36" x14ac:dyDescent="0.35">
      <c r="A256" s="23">
        <v>255</v>
      </c>
      <c r="B256" s="23" t="str">
        <f t="shared" si="18"/>
        <v>Merge 1+2</v>
      </c>
      <c r="C256" s="23">
        <f>IFERROR(MATCH($A256,Merge_1_2!$A$2:$A$611,0),0)</f>
        <v>255</v>
      </c>
      <c r="D256" s="23">
        <f>IF($C256&gt;0,INDEX(Merge_1_2!$Q$2:$Q$611,$C256),0)</f>
        <v>255</v>
      </c>
      <c r="E256" s="23">
        <f>IFERROR(MATCH($A256,Dataset3_Raw!$A$2:$A$391,0),0)</f>
        <v>0</v>
      </c>
      <c r="F256" s="24">
        <f>IF($C256&gt;0,INDEX(Merge_1_2!$B$2:$B$611,$C256),DATE(VALUE(RIGHT(INDEX(Dataset3_Raw!$B$2:$B$391,$E256),4)),VALUE(MID(INDEX(Dataset3_Raw!$B$2:$B$391,$E256),4,2)),VALUE(LEFT(INDEX(Dataset3_Raw!$B$2:$B$391,$E256),2))))</f>
        <v>40554</v>
      </c>
      <c r="G256" s="23">
        <f>IF($C256&gt;0,INDEX(Merge_1_2!$C$2:$C$611,$C256),INDEX(Dataset3_Raw!$C$2:$C$391,$E256))</f>
        <v>1</v>
      </c>
      <c r="H256" s="23">
        <f>IF($C256&gt;0,INDEX(Merge_1_2!$D$2:$D$611,$C256),INDEX(Dataset3_Raw!$D$2:$D$391,$E256))</f>
        <v>0</v>
      </c>
      <c r="I256" s="23">
        <f>IF($C256&gt;0,INDEX(Merge_1_2!$E$2:$E$611,$C256),INDEX(Dataset3_Raw!$E$2:$E$391,$E256))</f>
        <v>1</v>
      </c>
      <c r="J256" s="23">
        <f>IF($C256&gt;0,INDEX(Merge_1_2!$F$2:$F$611,$C256),INDEX(Dataset3_Raw!$F$2:$F$391,$E256))</f>
        <v>23</v>
      </c>
      <c r="K256" s="23" t="b">
        <f>IF($C256&gt;0,INDEX(Merge_1_2!$G$2:$G$611,$C256),INDEX(Dataset3_Raw!$G$2:$G$391,$E256))</f>
        <v>0</v>
      </c>
      <c r="L256" s="23">
        <f>IF($C256&gt;0,INDEX(Merge_1_2!$H$2:$H$611,$C256),INDEX(Dataset3_Raw!$H$2:$H$391,$E256))</f>
        <v>2</v>
      </c>
      <c r="M256" s="23">
        <f>IF($C256&gt;0,INDEX(Merge_1_2!$I$2:$I$611,$C256),INDEX(Dataset3_Raw!$I$2:$I$391,$E256))</f>
        <v>3</v>
      </c>
      <c r="N256" s="25">
        <f>IF($C256&gt;0,INDEX(Merge_1_2!$J$2:$J$611,$C256),INDEX(Dataset3_Raw!$J$2:$J$391,$E256))</f>
        <v>0.16</v>
      </c>
      <c r="O256" s="25">
        <f>IF($C256&gt;0,IF(ISNUMBER(INDEX(Merge_1_2!$K$2:$K$611,$C256)),INDEX(Merge_1_2!$K$2:$K$611,$C256),""),INDEX(Dataset3_Raw!$K$2:$K$391,$E256))</f>
        <v>0.19700000000000001</v>
      </c>
      <c r="P256" s="25">
        <f>IF(ISNUMBER($O256),$O256,ROUND(Lookups!$B$25+Lookups!$B$24*$N256,4))</f>
        <v>0.19700000000000001</v>
      </c>
      <c r="Q256" s="25">
        <f>IF($C256&gt;0,INDEX(Merge_1_2!$L$2:$L$611,$C256),INDEX(Dataset3_Raw!$L$2:$L$391,$E256))</f>
        <v>0.93</v>
      </c>
      <c r="R256" s="25">
        <f>IF($C256&gt;0,INDEX(Merge_1_2!$M$2:$M$611,$C256),INDEX(Dataset3_Raw!$M$2:$M$391,$E256))</f>
        <v>8.9599999999999999E-2</v>
      </c>
      <c r="S256" s="23">
        <f>IF($C256&gt;0,INDEX(Merge_1_2!$N$2:$N$611,$C256),INDEX(Dataset3_Raw!$N$2:$N$391,$E256))</f>
        <v>1</v>
      </c>
      <c r="T256" s="23">
        <f>IF($C256&gt;0,INDEX(Merge_1_2!$O$2:$O$611,$C256),INDEX(Dataset3_Raw!$O$2:$O$391,$E256))</f>
        <v>18</v>
      </c>
      <c r="U256" s="23">
        <f>IF($C256&gt;0,INDEX(Merge_1_2!$P$2:$P$611,$C256),INDEX(Dataset3_Raw!$P$2:$P$391,$E256))</f>
        <v>19</v>
      </c>
      <c r="V256" s="23" t="str">
        <f t="shared" si="19"/>
        <v>Weekday</v>
      </c>
      <c r="W256" s="23" t="str">
        <f>VLOOKUP($M256,Lookups!$A$5:$B$8,2,FALSE())</f>
        <v>Light snow / Light rain</v>
      </c>
      <c r="X256" s="23" t="str">
        <f>VLOOKUP($G256,Lookups!$D$5:$E$8,2,FALSE())</f>
        <v>Winter</v>
      </c>
      <c r="Y256" s="23" t="str">
        <f>VLOOKUP($L256,Lookups!$G$5:$H$11,2,FALSE())</f>
        <v>Tuesday</v>
      </c>
      <c r="Z256" s="23" t="str">
        <f>IF($J256&lt;Lookups!$B$26,"Night",IF($J256&lt;Lookups!$B$27,"Morning",IF($J256&lt;Lookups!$B$28,"Afternoon","Evening")))</f>
        <v>Evening</v>
      </c>
      <c r="AA256" s="26">
        <f>ROUND($N256*(Lookups!$B$16-Lookups!$B$15)+Lookups!$B$15,1)</f>
        <v>-0.5</v>
      </c>
      <c r="AB256" s="26">
        <f>ROUND($P256*(Lookups!$B$18-Lookups!$B$17)+Lookups!$B$17,1)</f>
        <v>-3</v>
      </c>
      <c r="AC256" s="23">
        <f t="shared" si="20"/>
        <v>93</v>
      </c>
      <c r="AD256" s="23">
        <f>ROUND($R256*Lookups!$B$19,1)</f>
        <v>6</v>
      </c>
      <c r="AE256" s="27">
        <f t="shared" si="21"/>
        <v>0.94736842105263153</v>
      </c>
      <c r="AF256" s="23" t="str">
        <f>IF($U256&gt;=Lookups!$B$23,"High",IF($U256&gt;=Lookups!$B$22,"Medium","Low"))</f>
        <v>Medium</v>
      </c>
      <c r="AG256" s="23">
        <f>ROUND(IF($V256="Weekday",IF(INDEX(Hourly_Analysis!$D$5:$D$28,$J256+1)&gt;0,($U256-INDEX(Hourly_Analysis!$C$5:$C$28,$J256+1))/INDEX(Hourly_Analysis!$D$5:$D$28,$J256+1),0),IF(INDEX(Hourly_Analysis!$G$5:$G$28,$J256+1)&gt;0,($U256-INDEX(Hourly_Analysis!$F$5:$F$28,$J256+1))/INDEX(Hourly_Analysis!$G$5:$G$28,$J256+1),0)),2)</f>
        <v>-0.54</v>
      </c>
      <c r="AH256" s="23" t="str">
        <f>IF(ABS($AG256)&gt;Lookups!$B$20,IF($AG256&gt;0,"High anomaly","Low anomaly"),"")</f>
        <v/>
      </c>
      <c r="AI256" s="23" t="str">
        <f t="shared" si="22"/>
        <v>OK</v>
      </c>
      <c r="AJ256" s="23" t="str">
        <f t="shared" si="23"/>
        <v>No</v>
      </c>
    </row>
    <row r="257" spans="1:36" x14ac:dyDescent="0.35">
      <c r="A257" s="23">
        <v>256</v>
      </c>
      <c r="B257" s="23" t="str">
        <f t="shared" si="18"/>
        <v>Merge 1+2</v>
      </c>
      <c r="C257" s="23">
        <f>IFERROR(MATCH($A257,Merge_1_2!$A$2:$A$611,0),0)</f>
        <v>256</v>
      </c>
      <c r="D257" s="23">
        <f>IF($C257&gt;0,INDEX(Merge_1_2!$Q$2:$Q$611,$C257),0)</f>
        <v>256</v>
      </c>
      <c r="E257" s="23">
        <f>IFERROR(MATCH($A257,Dataset3_Raw!$A$2:$A$391,0),0)</f>
        <v>0</v>
      </c>
      <c r="F257" s="24">
        <f>IF($C257&gt;0,INDEX(Merge_1_2!$B$2:$B$611,$C257),DATE(VALUE(RIGHT(INDEX(Dataset3_Raw!$B$2:$B$391,$E257),4)),VALUE(MID(INDEX(Dataset3_Raw!$B$2:$B$391,$E257),4,2)),VALUE(LEFT(INDEX(Dataset3_Raw!$B$2:$B$391,$E257),2))))</f>
        <v>40555</v>
      </c>
      <c r="G257" s="23">
        <f>IF($C257&gt;0,INDEX(Merge_1_2!$C$2:$C$611,$C257),INDEX(Dataset3_Raw!$C$2:$C$391,$E257))</f>
        <v>1</v>
      </c>
      <c r="H257" s="23">
        <f>IF($C257&gt;0,INDEX(Merge_1_2!$D$2:$D$611,$C257),INDEX(Dataset3_Raw!$D$2:$D$391,$E257))</f>
        <v>0</v>
      </c>
      <c r="I257" s="23">
        <f>IF($C257&gt;0,INDEX(Merge_1_2!$E$2:$E$611,$C257),INDEX(Dataset3_Raw!$E$2:$E$391,$E257))</f>
        <v>1</v>
      </c>
      <c r="J257" s="23">
        <f>IF($C257&gt;0,INDEX(Merge_1_2!$F$2:$F$611,$C257),INDEX(Dataset3_Raw!$F$2:$F$391,$E257))</f>
        <v>0</v>
      </c>
      <c r="K257" s="23" t="b">
        <f>IF($C257&gt;0,INDEX(Merge_1_2!$G$2:$G$611,$C257),INDEX(Dataset3_Raw!$G$2:$G$391,$E257))</f>
        <v>0</v>
      </c>
      <c r="L257" s="23">
        <f>IF($C257&gt;0,INDEX(Merge_1_2!$H$2:$H$611,$C257),INDEX(Dataset3_Raw!$H$2:$H$391,$E257))</f>
        <v>3</v>
      </c>
      <c r="M257" s="23">
        <f>IF($C257&gt;0,INDEX(Merge_1_2!$I$2:$I$611,$C257),INDEX(Dataset3_Raw!$I$2:$I$391,$E257))</f>
        <v>2</v>
      </c>
      <c r="N257" s="25">
        <f>IF($C257&gt;0,INDEX(Merge_1_2!$J$2:$J$611,$C257),INDEX(Dataset3_Raw!$J$2:$J$391,$E257))</f>
        <v>0.16</v>
      </c>
      <c r="O257" s="25">
        <f>IF($C257&gt;0,IF(ISNUMBER(INDEX(Merge_1_2!$K$2:$K$611,$C257)),INDEX(Merge_1_2!$K$2:$K$611,$C257),""),INDEX(Dataset3_Raw!$K$2:$K$391,$E257))</f>
        <v>0.19700000000000001</v>
      </c>
      <c r="P257" s="25">
        <f>IF(ISNUMBER($O257),$O257,ROUND(Lookups!$B$25+Lookups!$B$24*$N257,4))</f>
        <v>0.19700000000000001</v>
      </c>
      <c r="Q257" s="25">
        <f>IF($C257&gt;0,INDEX(Merge_1_2!$L$2:$L$611,$C257),INDEX(Dataset3_Raw!$L$2:$L$391,$E257))</f>
        <v>0.86</v>
      </c>
      <c r="R257" s="25">
        <f>IF($C257&gt;0,INDEX(Merge_1_2!$M$2:$M$611,$C257),INDEX(Dataset3_Raw!$M$2:$M$391,$E257))</f>
        <v>8.9599999999999999E-2</v>
      </c>
      <c r="S257" s="23">
        <f>IF($C257&gt;0,INDEX(Merge_1_2!$N$2:$N$611,$C257),INDEX(Dataset3_Raw!$N$2:$N$391,$E257))</f>
        <v>0</v>
      </c>
      <c r="T257" s="23">
        <f>IF($C257&gt;0,INDEX(Merge_1_2!$O$2:$O$611,$C257),INDEX(Dataset3_Raw!$O$2:$O$391,$E257))</f>
        <v>7</v>
      </c>
      <c r="U257" s="23">
        <f>IF($C257&gt;0,INDEX(Merge_1_2!$P$2:$P$611,$C257),INDEX(Dataset3_Raw!$P$2:$P$391,$E257))</f>
        <v>7</v>
      </c>
      <c r="V257" s="23" t="str">
        <f t="shared" si="19"/>
        <v>Weekday</v>
      </c>
      <c r="W257" s="23" t="str">
        <f>VLOOKUP($M257,Lookups!$A$5:$B$8,2,FALSE())</f>
        <v>Mist / Cloudy</v>
      </c>
      <c r="X257" s="23" t="str">
        <f>VLOOKUP($G257,Lookups!$D$5:$E$8,2,FALSE())</f>
        <v>Winter</v>
      </c>
      <c r="Y257" s="23" t="str">
        <f>VLOOKUP($L257,Lookups!$G$5:$H$11,2,FALSE())</f>
        <v>Wednesday</v>
      </c>
      <c r="Z257" s="23" t="str">
        <f>IF($J257&lt;Lookups!$B$26,"Night",IF($J257&lt;Lookups!$B$27,"Morning",IF($J257&lt;Lookups!$B$28,"Afternoon","Evening")))</f>
        <v>Night</v>
      </c>
      <c r="AA257" s="26">
        <f>ROUND($N257*(Lookups!$B$16-Lookups!$B$15)+Lookups!$B$15,1)</f>
        <v>-0.5</v>
      </c>
      <c r="AB257" s="26">
        <f>ROUND($P257*(Lookups!$B$18-Lookups!$B$17)+Lookups!$B$17,1)</f>
        <v>-3</v>
      </c>
      <c r="AC257" s="23">
        <f t="shared" si="20"/>
        <v>86</v>
      </c>
      <c r="AD257" s="23">
        <f>ROUND($R257*Lookups!$B$19,1)</f>
        <v>6</v>
      </c>
      <c r="AE257" s="27">
        <f t="shared" si="21"/>
        <v>1</v>
      </c>
      <c r="AF257" s="23" t="str">
        <f>IF($U257&gt;=Lookups!$B$23,"High",IF($U257&gt;=Lookups!$B$22,"Medium","Low"))</f>
        <v>Low</v>
      </c>
      <c r="AG257" s="23">
        <f>ROUND(IF($V257="Weekday",IF(INDEX(Hourly_Analysis!$D$5:$D$28,$J257+1)&gt;0,($U257-INDEX(Hourly_Analysis!$C$5:$C$28,$J257+1))/INDEX(Hourly_Analysis!$D$5:$D$28,$J257+1),0),IF(INDEX(Hourly_Analysis!$G$5:$G$28,$J257+1)&gt;0,($U257-INDEX(Hourly_Analysis!$F$5:$F$28,$J257+1))/INDEX(Hourly_Analysis!$G$5:$G$28,$J257+1),0)),2)</f>
        <v>-0.72</v>
      </c>
      <c r="AH257" s="23" t="str">
        <f>IF(ABS($AG257)&gt;Lookups!$B$20,IF($AG257&gt;0,"High anomaly","Low anomaly"),"")</f>
        <v/>
      </c>
      <c r="AI257" s="23" t="str">
        <f t="shared" si="22"/>
        <v>OK</v>
      </c>
      <c r="AJ257" s="23" t="str">
        <f t="shared" si="23"/>
        <v>No</v>
      </c>
    </row>
    <row r="258" spans="1:36" x14ac:dyDescent="0.35">
      <c r="A258" s="23">
        <v>257</v>
      </c>
      <c r="B258" s="23" t="str">
        <f t="shared" ref="B258:B321" si="24">IF($C258&gt;0,"Merge 1+2","Dataset 3")</f>
        <v>Merge 1+2</v>
      </c>
      <c r="C258" s="23">
        <f>IFERROR(MATCH($A258,Merge_1_2!$A$2:$A$611,0),0)</f>
        <v>257</v>
      </c>
      <c r="D258" s="23">
        <f>IF($C258&gt;0,INDEX(Merge_1_2!$Q$2:$Q$611,$C258),0)</f>
        <v>257</v>
      </c>
      <c r="E258" s="23">
        <f>IFERROR(MATCH($A258,Dataset3_Raw!$A$2:$A$391,0),0)</f>
        <v>0</v>
      </c>
      <c r="F258" s="24">
        <f>IF($C258&gt;0,INDEX(Merge_1_2!$B$2:$B$611,$C258),DATE(VALUE(RIGHT(INDEX(Dataset3_Raw!$B$2:$B$391,$E258),4)),VALUE(MID(INDEX(Dataset3_Raw!$B$2:$B$391,$E258),4,2)),VALUE(LEFT(INDEX(Dataset3_Raw!$B$2:$B$391,$E258),2))))</f>
        <v>40555</v>
      </c>
      <c r="G258" s="23">
        <f>IF($C258&gt;0,INDEX(Merge_1_2!$C$2:$C$611,$C258),INDEX(Dataset3_Raw!$C$2:$C$391,$E258))</f>
        <v>1</v>
      </c>
      <c r="H258" s="23">
        <f>IF($C258&gt;0,INDEX(Merge_1_2!$D$2:$D$611,$C258),INDEX(Dataset3_Raw!$D$2:$D$391,$E258))</f>
        <v>0</v>
      </c>
      <c r="I258" s="23">
        <f>IF($C258&gt;0,INDEX(Merge_1_2!$E$2:$E$611,$C258),INDEX(Dataset3_Raw!$E$2:$E$391,$E258))</f>
        <v>1</v>
      </c>
      <c r="J258" s="23">
        <f>IF($C258&gt;0,INDEX(Merge_1_2!$F$2:$F$611,$C258),INDEX(Dataset3_Raw!$F$2:$F$391,$E258))</f>
        <v>1</v>
      </c>
      <c r="K258" s="23" t="b">
        <f>IF($C258&gt;0,INDEX(Merge_1_2!$G$2:$G$611,$C258),INDEX(Dataset3_Raw!$G$2:$G$391,$E258))</f>
        <v>0</v>
      </c>
      <c r="L258" s="23">
        <f>IF($C258&gt;0,INDEX(Merge_1_2!$H$2:$H$611,$C258),INDEX(Dataset3_Raw!$H$2:$H$391,$E258))</f>
        <v>3</v>
      </c>
      <c r="M258" s="23">
        <f>IF($C258&gt;0,INDEX(Merge_1_2!$I$2:$I$611,$C258),INDEX(Dataset3_Raw!$I$2:$I$391,$E258))</f>
        <v>2</v>
      </c>
      <c r="N258" s="25">
        <f>IF($C258&gt;0,INDEX(Merge_1_2!$J$2:$J$611,$C258),INDEX(Dataset3_Raw!$J$2:$J$391,$E258))</f>
        <v>0.16</v>
      </c>
      <c r="O258" s="25">
        <f>IF($C258&gt;0,IF(ISNUMBER(INDEX(Merge_1_2!$K$2:$K$611,$C258)),INDEX(Merge_1_2!$K$2:$K$611,$C258),""),INDEX(Dataset3_Raw!$K$2:$K$391,$E258))</f>
        <v>0.18179999999999999</v>
      </c>
      <c r="P258" s="25">
        <f>IF(ISNUMBER($O258),$O258,ROUND(Lookups!$B$25+Lookups!$B$24*$N258,4))</f>
        <v>0.18179999999999999</v>
      </c>
      <c r="Q258" s="25">
        <f>IF($C258&gt;0,INDEX(Merge_1_2!$L$2:$L$611,$C258),INDEX(Dataset3_Raw!$L$2:$L$391,$E258))</f>
        <v>0.86</v>
      </c>
      <c r="R258" s="25">
        <f>IF($C258&gt;0,INDEX(Merge_1_2!$M$2:$M$611,$C258),INDEX(Dataset3_Raw!$M$2:$M$391,$E258))</f>
        <v>0.1045</v>
      </c>
      <c r="S258" s="23">
        <f>IF($C258&gt;0,INDEX(Merge_1_2!$N$2:$N$611,$C258),INDEX(Dataset3_Raw!$N$2:$N$391,$E258))</f>
        <v>0</v>
      </c>
      <c r="T258" s="23">
        <f>IF($C258&gt;0,INDEX(Merge_1_2!$O$2:$O$611,$C258),INDEX(Dataset3_Raw!$O$2:$O$391,$E258))</f>
        <v>6</v>
      </c>
      <c r="U258" s="23">
        <f>IF($C258&gt;0,INDEX(Merge_1_2!$P$2:$P$611,$C258),INDEX(Dataset3_Raw!$P$2:$P$391,$E258))</f>
        <v>6</v>
      </c>
      <c r="V258" s="23" t="str">
        <f t="shared" ref="V258:V321" si="25">IF($K258,"Holiday",IF(OR($L258=0,$L258=6),"Weekend","Weekday"))</f>
        <v>Weekday</v>
      </c>
      <c r="W258" s="23" t="str">
        <f>VLOOKUP($M258,Lookups!$A$5:$B$8,2,FALSE())</f>
        <v>Mist / Cloudy</v>
      </c>
      <c r="X258" s="23" t="str">
        <f>VLOOKUP($G258,Lookups!$D$5:$E$8,2,FALSE())</f>
        <v>Winter</v>
      </c>
      <c r="Y258" s="23" t="str">
        <f>VLOOKUP($L258,Lookups!$G$5:$H$11,2,FALSE())</f>
        <v>Wednesday</v>
      </c>
      <c r="Z258" s="23" t="str">
        <f>IF($J258&lt;Lookups!$B$26,"Night",IF($J258&lt;Lookups!$B$27,"Morning",IF($J258&lt;Lookups!$B$28,"Afternoon","Evening")))</f>
        <v>Night</v>
      </c>
      <c r="AA258" s="26">
        <f>ROUND($N258*(Lookups!$B$16-Lookups!$B$15)+Lookups!$B$15,1)</f>
        <v>-0.5</v>
      </c>
      <c r="AB258" s="26">
        <f>ROUND($P258*(Lookups!$B$18-Lookups!$B$17)+Lookups!$B$17,1)</f>
        <v>-4</v>
      </c>
      <c r="AC258" s="23">
        <f t="shared" ref="AC258:AC321" si="26">ROUND($Q258*100,0)</f>
        <v>86</v>
      </c>
      <c r="AD258" s="23">
        <f>ROUND($R258*Lookups!$B$19,1)</f>
        <v>7</v>
      </c>
      <c r="AE258" s="27">
        <f t="shared" ref="AE258:AE321" si="27">IF($U258&gt;0,$T258/$U258,0)</f>
        <v>1</v>
      </c>
      <c r="AF258" s="23" t="str">
        <f>IF($U258&gt;=Lookups!$B$23,"High",IF($U258&gt;=Lookups!$B$22,"Medium","Low"))</f>
        <v>Low</v>
      </c>
      <c r="AG258" s="23">
        <f>ROUND(IF($V258="Weekday",IF(INDEX(Hourly_Analysis!$D$5:$D$28,$J258+1)&gt;0,($U258-INDEX(Hourly_Analysis!$C$5:$C$28,$J258+1))/INDEX(Hourly_Analysis!$D$5:$D$28,$J258+1),0),IF(INDEX(Hourly_Analysis!$G$5:$G$28,$J258+1)&gt;0,($U258-INDEX(Hourly_Analysis!$F$5:$F$28,$J258+1))/INDEX(Hourly_Analysis!$G$5:$G$28,$J258+1),0)),2)</f>
        <v>0.64</v>
      </c>
      <c r="AH258" s="23" t="str">
        <f>IF(ABS($AG258)&gt;Lookups!$B$20,IF($AG258&gt;0,"High anomaly","Low anomaly"),"")</f>
        <v/>
      </c>
      <c r="AI258" s="23" t="str">
        <f t="shared" ref="AI258:AI321" si="28">IF($S258+$T258=$U258,"OK","Mismatch")</f>
        <v>OK</v>
      </c>
      <c r="AJ258" s="23" t="str">
        <f t="shared" ref="AJ258:AJ321" si="29">IF(ISNUMBER($O258),"No","Yes")</f>
        <v>No</v>
      </c>
    </row>
    <row r="259" spans="1:36" x14ac:dyDescent="0.35">
      <c r="A259" s="23">
        <v>258</v>
      </c>
      <c r="B259" s="23" t="str">
        <f t="shared" si="24"/>
        <v>Merge 1+2</v>
      </c>
      <c r="C259" s="23">
        <f>IFERROR(MATCH($A259,Merge_1_2!$A$2:$A$611,0),0)</f>
        <v>258</v>
      </c>
      <c r="D259" s="23">
        <f>IF($C259&gt;0,INDEX(Merge_1_2!$Q$2:$Q$611,$C259),0)</f>
        <v>258</v>
      </c>
      <c r="E259" s="23">
        <f>IFERROR(MATCH($A259,Dataset3_Raw!$A$2:$A$391,0),0)</f>
        <v>0</v>
      </c>
      <c r="F259" s="24">
        <f>IF($C259&gt;0,INDEX(Merge_1_2!$B$2:$B$611,$C259),DATE(VALUE(RIGHT(INDEX(Dataset3_Raw!$B$2:$B$391,$E259),4)),VALUE(MID(INDEX(Dataset3_Raw!$B$2:$B$391,$E259),4,2)),VALUE(LEFT(INDEX(Dataset3_Raw!$B$2:$B$391,$E259),2))))</f>
        <v>40555</v>
      </c>
      <c r="G259" s="23">
        <f>IF($C259&gt;0,INDEX(Merge_1_2!$C$2:$C$611,$C259),INDEX(Dataset3_Raw!$C$2:$C$391,$E259))</f>
        <v>1</v>
      </c>
      <c r="H259" s="23">
        <f>IF($C259&gt;0,INDEX(Merge_1_2!$D$2:$D$611,$C259),INDEX(Dataset3_Raw!$D$2:$D$391,$E259))</f>
        <v>0</v>
      </c>
      <c r="I259" s="23">
        <f>IF($C259&gt;0,INDEX(Merge_1_2!$E$2:$E$611,$C259),INDEX(Dataset3_Raw!$E$2:$E$391,$E259))</f>
        <v>1</v>
      </c>
      <c r="J259" s="23">
        <f>IF($C259&gt;0,INDEX(Merge_1_2!$F$2:$F$611,$C259),INDEX(Dataset3_Raw!$F$2:$F$391,$E259))</f>
        <v>2</v>
      </c>
      <c r="K259" s="23" t="b">
        <f>IF($C259&gt;0,INDEX(Merge_1_2!$G$2:$G$611,$C259),INDEX(Dataset3_Raw!$G$2:$G$391,$E259))</f>
        <v>0</v>
      </c>
      <c r="L259" s="23">
        <f>IF($C259&gt;0,INDEX(Merge_1_2!$H$2:$H$611,$C259),INDEX(Dataset3_Raw!$H$2:$H$391,$E259))</f>
        <v>3</v>
      </c>
      <c r="M259" s="23">
        <f>IF($C259&gt;0,INDEX(Merge_1_2!$I$2:$I$611,$C259),INDEX(Dataset3_Raw!$I$2:$I$391,$E259))</f>
        <v>1</v>
      </c>
      <c r="N259" s="25">
        <f>IF($C259&gt;0,INDEX(Merge_1_2!$J$2:$J$611,$C259),INDEX(Dataset3_Raw!$J$2:$J$391,$E259))</f>
        <v>0.14000000000000001</v>
      </c>
      <c r="O259" s="25">
        <f>IF($C259&gt;0,IF(ISNUMBER(INDEX(Merge_1_2!$K$2:$K$611,$C259)),INDEX(Merge_1_2!$K$2:$K$611,$C259),""),INDEX(Dataset3_Raw!$K$2:$K$391,$E259))</f>
        <v>0.1515</v>
      </c>
      <c r="P259" s="25">
        <f>IF(ISNUMBER($O259),$O259,ROUND(Lookups!$B$25+Lookups!$B$24*$N259,4))</f>
        <v>0.1515</v>
      </c>
      <c r="Q259" s="25">
        <f>IF($C259&gt;0,INDEX(Merge_1_2!$L$2:$L$611,$C259),INDEX(Dataset3_Raw!$L$2:$L$391,$E259))</f>
        <v>0.86</v>
      </c>
      <c r="R259" s="25">
        <f>IF($C259&gt;0,INDEX(Merge_1_2!$M$2:$M$611,$C259),INDEX(Dataset3_Raw!$M$2:$M$391,$E259))</f>
        <v>0.1343</v>
      </c>
      <c r="S259" s="23">
        <f>IF($C259&gt;0,INDEX(Merge_1_2!$N$2:$N$611,$C259),INDEX(Dataset3_Raw!$N$2:$N$391,$E259))</f>
        <v>0</v>
      </c>
      <c r="T259" s="23">
        <f>IF($C259&gt;0,INDEX(Merge_1_2!$O$2:$O$611,$C259),INDEX(Dataset3_Raw!$O$2:$O$391,$E259))</f>
        <v>1</v>
      </c>
      <c r="U259" s="23">
        <f>IF($C259&gt;0,INDEX(Merge_1_2!$P$2:$P$611,$C259),INDEX(Dataset3_Raw!$P$2:$P$391,$E259))</f>
        <v>1</v>
      </c>
      <c r="V259" s="23" t="str">
        <f t="shared" si="25"/>
        <v>Weekday</v>
      </c>
      <c r="W259" s="23" t="str">
        <f>VLOOKUP($M259,Lookups!$A$5:$B$8,2,FALSE())</f>
        <v>Clear / Partly cloudy</v>
      </c>
      <c r="X259" s="23" t="str">
        <f>VLOOKUP($G259,Lookups!$D$5:$E$8,2,FALSE())</f>
        <v>Winter</v>
      </c>
      <c r="Y259" s="23" t="str">
        <f>VLOOKUP($L259,Lookups!$G$5:$H$11,2,FALSE())</f>
        <v>Wednesday</v>
      </c>
      <c r="Z259" s="23" t="str">
        <f>IF($J259&lt;Lookups!$B$26,"Night",IF($J259&lt;Lookups!$B$27,"Morning",IF($J259&lt;Lookups!$B$28,"Afternoon","Evening")))</f>
        <v>Night</v>
      </c>
      <c r="AA259" s="26">
        <f>ROUND($N259*(Lookups!$B$16-Lookups!$B$15)+Lookups!$B$15,1)</f>
        <v>-1.4</v>
      </c>
      <c r="AB259" s="26">
        <f>ROUND($P259*(Lookups!$B$18-Lookups!$B$17)+Lookups!$B$17,1)</f>
        <v>-6</v>
      </c>
      <c r="AC259" s="23">
        <f t="shared" si="26"/>
        <v>86</v>
      </c>
      <c r="AD259" s="23">
        <f>ROUND($R259*Lookups!$B$19,1)</f>
        <v>9</v>
      </c>
      <c r="AE259" s="27">
        <f t="shared" si="27"/>
        <v>1</v>
      </c>
      <c r="AF259" s="23" t="str">
        <f>IF($U259&gt;=Lookups!$B$23,"High",IF($U259&gt;=Lookups!$B$22,"Medium","Low"))</f>
        <v>Low</v>
      </c>
      <c r="AG259" s="23">
        <f>ROUND(IF($V259="Weekday",IF(INDEX(Hourly_Analysis!$D$5:$D$28,$J259+1)&gt;0,($U259-INDEX(Hourly_Analysis!$C$5:$C$28,$J259+1))/INDEX(Hourly_Analysis!$D$5:$D$28,$J259+1),0),IF(INDEX(Hourly_Analysis!$G$5:$G$28,$J259+1)&gt;0,($U259-INDEX(Hourly_Analysis!$F$5:$F$28,$J259+1))/INDEX(Hourly_Analysis!$G$5:$G$28,$J259+1),0)),2)</f>
        <v>-0.81</v>
      </c>
      <c r="AH259" s="23" t="str">
        <f>IF(ABS($AG259)&gt;Lookups!$B$20,IF($AG259&gt;0,"High anomaly","Low anomaly"),"")</f>
        <v/>
      </c>
      <c r="AI259" s="23" t="str">
        <f t="shared" si="28"/>
        <v>OK</v>
      </c>
      <c r="AJ259" s="23" t="str">
        <f t="shared" si="29"/>
        <v>No</v>
      </c>
    </row>
    <row r="260" spans="1:36" x14ac:dyDescent="0.35">
      <c r="A260" s="23">
        <v>259</v>
      </c>
      <c r="B260" s="23" t="str">
        <f t="shared" si="24"/>
        <v>Merge 1+2</v>
      </c>
      <c r="C260" s="23">
        <f>IFERROR(MATCH($A260,Merge_1_2!$A$2:$A$611,0),0)</f>
        <v>259</v>
      </c>
      <c r="D260" s="23">
        <f>IF($C260&gt;0,INDEX(Merge_1_2!$Q$2:$Q$611,$C260),0)</f>
        <v>259</v>
      </c>
      <c r="E260" s="23">
        <f>IFERROR(MATCH($A260,Dataset3_Raw!$A$2:$A$391,0),0)</f>
        <v>0</v>
      </c>
      <c r="F260" s="24">
        <f>IF($C260&gt;0,INDEX(Merge_1_2!$B$2:$B$611,$C260),DATE(VALUE(RIGHT(INDEX(Dataset3_Raw!$B$2:$B$391,$E260),4)),VALUE(MID(INDEX(Dataset3_Raw!$B$2:$B$391,$E260),4,2)),VALUE(LEFT(INDEX(Dataset3_Raw!$B$2:$B$391,$E260),2))))</f>
        <v>40555</v>
      </c>
      <c r="G260" s="23">
        <f>IF($C260&gt;0,INDEX(Merge_1_2!$C$2:$C$611,$C260),INDEX(Dataset3_Raw!$C$2:$C$391,$E260))</f>
        <v>1</v>
      </c>
      <c r="H260" s="23">
        <f>IF($C260&gt;0,INDEX(Merge_1_2!$D$2:$D$611,$C260),INDEX(Dataset3_Raw!$D$2:$D$391,$E260))</f>
        <v>0</v>
      </c>
      <c r="I260" s="23">
        <f>IF($C260&gt;0,INDEX(Merge_1_2!$E$2:$E$611,$C260),INDEX(Dataset3_Raw!$E$2:$E$391,$E260))</f>
        <v>1</v>
      </c>
      <c r="J260" s="23">
        <f>IF($C260&gt;0,INDEX(Merge_1_2!$F$2:$F$611,$C260),INDEX(Dataset3_Raw!$F$2:$F$391,$E260))</f>
        <v>5</v>
      </c>
      <c r="K260" s="23" t="b">
        <f>IF($C260&gt;0,INDEX(Merge_1_2!$G$2:$G$611,$C260),INDEX(Dataset3_Raw!$G$2:$G$391,$E260))</f>
        <v>0</v>
      </c>
      <c r="L260" s="23">
        <f>IF($C260&gt;0,INDEX(Merge_1_2!$H$2:$H$611,$C260),INDEX(Dataset3_Raw!$H$2:$H$391,$E260))</f>
        <v>3</v>
      </c>
      <c r="M260" s="23">
        <f>IF($C260&gt;0,INDEX(Merge_1_2!$I$2:$I$611,$C260),INDEX(Dataset3_Raw!$I$2:$I$391,$E260))</f>
        <v>1</v>
      </c>
      <c r="N260" s="25">
        <f>IF($C260&gt;0,INDEX(Merge_1_2!$J$2:$J$611,$C260),INDEX(Dataset3_Raw!$J$2:$J$391,$E260))</f>
        <v>0.14000000000000001</v>
      </c>
      <c r="O260" s="25">
        <f>IF($C260&gt;0,IF(ISNUMBER(INDEX(Merge_1_2!$K$2:$K$611,$C260)),INDEX(Merge_1_2!$K$2:$K$611,$C260),""),INDEX(Dataset3_Raw!$K$2:$K$391,$E260))</f>
        <v>0.1515</v>
      </c>
      <c r="P260" s="25">
        <f>IF(ISNUMBER($O260),$O260,ROUND(Lookups!$B$25+Lookups!$B$24*$N260,4))</f>
        <v>0.1515</v>
      </c>
      <c r="Q260" s="25">
        <f>IF($C260&gt;0,INDEX(Merge_1_2!$L$2:$L$611,$C260),INDEX(Dataset3_Raw!$L$2:$L$391,$E260))</f>
        <v>0.86</v>
      </c>
      <c r="R260" s="25">
        <f>IF($C260&gt;0,INDEX(Merge_1_2!$M$2:$M$611,$C260),INDEX(Dataset3_Raw!$M$2:$M$391,$E260))</f>
        <v>0.16420000000000001</v>
      </c>
      <c r="S260" s="23">
        <f>IF($C260&gt;0,INDEX(Merge_1_2!$N$2:$N$611,$C260),INDEX(Dataset3_Raw!$N$2:$N$391,$E260))</f>
        <v>0</v>
      </c>
      <c r="T260" s="23">
        <f>IF($C260&gt;0,INDEX(Merge_1_2!$O$2:$O$611,$C260),INDEX(Dataset3_Raw!$O$2:$O$391,$E260))</f>
        <v>5</v>
      </c>
      <c r="U260" s="23">
        <f>IF($C260&gt;0,INDEX(Merge_1_2!$P$2:$P$611,$C260),INDEX(Dataset3_Raw!$P$2:$P$391,$E260))</f>
        <v>5</v>
      </c>
      <c r="V260" s="23" t="str">
        <f t="shared" si="25"/>
        <v>Weekday</v>
      </c>
      <c r="W260" s="23" t="str">
        <f>VLOOKUP($M260,Lookups!$A$5:$B$8,2,FALSE())</f>
        <v>Clear / Partly cloudy</v>
      </c>
      <c r="X260" s="23" t="str">
        <f>VLOOKUP($G260,Lookups!$D$5:$E$8,2,FALSE())</f>
        <v>Winter</v>
      </c>
      <c r="Y260" s="23" t="str">
        <f>VLOOKUP($L260,Lookups!$G$5:$H$11,2,FALSE())</f>
        <v>Wednesday</v>
      </c>
      <c r="Z260" s="23" t="str">
        <f>IF($J260&lt;Lookups!$B$26,"Night",IF($J260&lt;Lookups!$B$27,"Morning",IF($J260&lt;Lookups!$B$28,"Afternoon","Evening")))</f>
        <v>Night</v>
      </c>
      <c r="AA260" s="26">
        <f>ROUND($N260*(Lookups!$B$16-Lookups!$B$15)+Lookups!$B$15,1)</f>
        <v>-1.4</v>
      </c>
      <c r="AB260" s="26">
        <f>ROUND($P260*(Lookups!$B$18-Lookups!$B$17)+Lookups!$B$17,1)</f>
        <v>-6</v>
      </c>
      <c r="AC260" s="23">
        <f t="shared" si="26"/>
        <v>86</v>
      </c>
      <c r="AD260" s="23">
        <f>ROUND($R260*Lookups!$B$19,1)</f>
        <v>11</v>
      </c>
      <c r="AE260" s="27">
        <f t="shared" si="27"/>
        <v>1</v>
      </c>
      <c r="AF260" s="23" t="str">
        <f>IF($U260&gt;=Lookups!$B$23,"High",IF($U260&gt;=Lookups!$B$22,"Medium","Low"))</f>
        <v>Low</v>
      </c>
      <c r="AG260" s="23">
        <f>ROUND(IF($V260="Weekday",IF(INDEX(Hourly_Analysis!$D$5:$D$28,$J260+1)&gt;0,($U260-INDEX(Hourly_Analysis!$C$5:$C$28,$J260+1))/INDEX(Hourly_Analysis!$D$5:$D$28,$J260+1),0),IF(INDEX(Hourly_Analysis!$G$5:$G$28,$J260+1)&gt;0,($U260-INDEX(Hourly_Analysis!$F$5:$F$28,$J260+1))/INDEX(Hourly_Analysis!$G$5:$G$28,$J260+1),0)),2)</f>
        <v>0.06</v>
      </c>
      <c r="AH260" s="23" t="str">
        <f>IF(ABS($AG260)&gt;Lookups!$B$20,IF($AG260&gt;0,"High anomaly","Low anomaly"),"")</f>
        <v/>
      </c>
      <c r="AI260" s="23" t="str">
        <f t="shared" si="28"/>
        <v>OK</v>
      </c>
      <c r="AJ260" s="23" t="str">
        <f t="shared" si="29"/>
        <v>No</v>
      </c>
    </row>
    <row r="261" spans="1:36" x14ac:dyDescent="0.35">
      <c r="A261" s="23">
        <v>260</v>
      </c>
      <c r="B261" s="23" t="str">
        <f t="shared" si="24"/>
        <v>Merge 1+2</v>
      </c>
      <c r="C261" s="23">
        <f>IFERROR(MATCH($A261,Merge_1_2!$A$2:$A$611,0),0)</f>
        <v>260</v>
      </c>
      <c r="D261" s="23">
        <f>IF($C261&gt;0,INDEX(Merge_1_2!$Q$2:$Q$611,$C261),0)</f>
        <v>260</v>
      </c>
      <c r="E261" s="23">
        <f>IFERROR(MATCH($A261,Dataset3_Raw!$A$2:$A$391,0),0)</f>
        <v>0</v>
      </c>
      <c r="F261" s="24">
        <f>IF($C261&gt;0,INDEX(Merge_1_2!$B$2:$B$611,$C261),DATE(VALUE(RIGHT(INDEX(Dataset3_Raw!$B$2:$B$391,$E261),4)),VALUE(MID(INDEX(Dataset3_Raw!$B$2:$B$391,$E261),4,2)),VALUE(LEFT(INDEX(Dataset3_Raw!$B$2:$B$391,$E261),2))))</f>
        <v>40555</v>
      </c>
      <c r="G261" s="23">
        <f>IF($C261&gt;0,INDEX(Merge_1_2!$C$2:$C$611,$C261),INDEX(Dataset3_Raw!$C$2:$C$391,$E261))</f>
        <v>1</v>
      </c>
      <c r="H261" s="23">
        <f>IF($C261&gt;0,INDEX(Merge_1_2!$D$2:$D$611,$C261),INDEX(Dataset3_Raw!$D$2:$D$391,$E261))</f>
        <v>0</v>
      </c>
      <c r="I261" s="23">
        <f>IF($C261&gt;0,INDEX(Merge_1_2!$E$2:$E$611,$C261),INDEX(Dataset3_Raw!$E$2:$E$391,$E261))</f>
        <v>1</v>
      </c>
      <c r="J261" s="23">
        <f>IF($C261&gt;0,INDEX(Merge_1_2!$F$2:$F$611,$C261),INDEX(Dataset3_Raw!$F$2:$F$391,$E261))</f>
        <v>6</v>
      </c>
      <c r="K261" s="23" t="b">
        <f>IF($C261&gt;0,INDEX(Merge_1_2!$G$2:$G$611,$C261),INDEX(Dataset3_Raw!$G$2:$G$391,$E261))</f>
        <v>0</v>
      </c>
      <c r="L261" s="23">
        <f>IF($C261&gt;0,INDEX(Merge_1_2!$H$2:$H$611,$C261),INDEX(Dataset3_Raw!$H$2:$H$391,$E261))</f>
        <v>3</v>
      </c>
      <c r="M261" s="23">
        <f>IF($C261&gt;0,INDEX(Merge_1_2!$I$2:$I$611,$C261),INDEX(Dataset3_Raw!$I$2:$I$391,$E261))</f>
        <v>1</v>
      </c>
      <c r="N261" s="25">
        <f>IF($C261&gt;0,INDEX(Merge_1_2!$J$2:$J$611,$C261),INDEX(Dataset3_Raw!$J$2:$J$391,$E261))</f>
        <v>0.12</v>
      </c>
      <c r="O261" s="25">
        <f>IF($C261&gt;0,IF(ISNUMBER(INDEX(Merge_1_2!$K$2:$K$611,$C261)),INDEX(Merge_1_2!$K$2:$K$611,$C261),""),INDEX(Dataset3_Raw!$K$2:$K$391,$E261))</f>
        <v>0.1515</v>
      </c>
      <c r="P261" s="25">
        <f>IF(ISNUMBER($O261),$O261,ROUND(Lookups!$B$25+Lookups!$B$24*$N261,4))</f>
        <v>0.1515</v>
      </c>
      <c r="Q261" s="25">
        <f>IF($C261&gt;0,INDEX(Merge_1_2!$L$2:$L$611,$C261),INDEX(Dataset3_Raw!$L$2:$L$391,$E261))</f>
        <v>0.93</v>
      </c>
      <c r="R261" s="25">
        <f>IF($C261&gt;0,INDEX(Merge_1_2!$M$2:$M$611,$C261),INDEX(Dataset3_Raw!$M$2:$M$391,$E261))</f>
        <v>0.1343</v>
      </c>
      <c r="S261" s="23">
        <f>IF($C261&gt;0,INDEX(Merge_1_2!$N$2:$N$611,$C261),INDEX(Dataset3_Raw!$N$2:$N$391,$E261))</f>
        <v>0</v>
      </c>
      <c r="T261" s="23">
        <f>IF($C261&gt;0,INDEX(Merge_1_2!$O$2:$O$611,$C261),INDEX(Dataset3_Raw!$O$2:$O$391,$E261))</f>
        <v>16</v>
      </c>
      <c r="U261" s="23">
        <f>IF($C261&gt;0,INDEX(Merge_1_2!$P$2:$P$611,$C261),INDEX(Dataset3_Raw!$P$2:$P$391,$E261))</f>
        <v>16</v>
      </c>
      <c r="V261" s="23" t="str">
        <f t="shared" si="25"/>
        <v>Weekday</v>
      </c>
      <c r="W261" s="23" t="str">
        <f>VLOOKUP($M261,Lookups!$A$5:$B$8,2,FALSE())</f>
        <v>Clear / Partly cloudy</v>
      </c>
      <c r="X261" s="23" t="str">
        <f>VLOOKUP($G261,Lookups!$D$5:$E$8,2,FALSE())</f>
        <v>Winter</v>
      </c>
      <c r="Y261" s="23" t="str">
        <f>VLOOKUP($L261,Lookups!$G$5:$H$11,2,FALSE())</f>
        <v>Wednesday</v>
      </c>
      <c r="Z261" s="23" t="str">
        <f>IF($J261&lt;Lookups!$B$26,"Night",IF($J261&lt;Lookups!$B$27,"Morning",IF($J261&lt;Lookups!$B$28,"Afternoon","Evening")))</f>
        <v>Morning</v>
      </c>
      <c r="AA261" s="26">
        <f>ROUND($N261*(Lookups!$B$16-Lookups!$B$15)+Lookups!$B$15,1)</f>
        <v>-2.4</v>
      </c>
      <c r="AB261" s="26">
        <f>ROUND($P261*(Lookups!$B$18-Lookups!$B$17)+Lookups!$B$17,1)</f>
        <v>-6</v>
      </c>
      <c r="AC261" s="23">
        <f t="shared" si="26"/>
        <v>93</v>
      </c>
      <c r="AD261" s="23">
        <f>ROUND($R261*Lookups!$B$19,1)</f>
        <v>9</v>
      </c>
      <c r="AE261" s="27">
        <f t="shared" si="27"/>
        <v>1</v>
      </c>
      <c r="AF261" s="23" t="str">
        <f>IF($U261&gt;=Lookups!$B$23,"High",IF($U261&gt;=Lookups!$B$22,"Medium","Low"))</f>
        <v>Medium</v>
      </c>
      <c r="AG261" s="23">
        <f>ROUND(IF($V261="Weekday",IF(INDEX(Hourly_Analysis!$D$5:$D$28,$J261+1)&gt;0,($U261-INDEX(Hourly_Analysis!$C$5:$C$28,$J261+1))/INDEX(Hourly_Analysis!$D$5:$D$28,$J261+1),0),IF(INDEX(Hourly_Analysis!$G$5:$G$28,$J261+1)&gt;0,($U261-INDEX(Hourly_Analysis!$F$5:$F$28,$J261+1))/INDEX(Hourly_Analysis!$G$5:$G$28,$J261+1),0)),2)</f>
        <v>-1.41</v>
      </c>
      <c r="AH261" s="23" t="str">
        <f>IF(ABS($AG261)&gt;Lookups!$B$20,IF($AG261&gt;0,"High anomaly","Low anomaly"),"")</f>
        <v/>
      </c>
      <c r="AI261" s="23" t="str">
        <f t="shared" si="28"/>
        <v>OK</v>
      </c>
      <c r="AJ261" s="23" t="str">
        <f t="shared" si="29"/>
        <v>No</v>
      </c>
    </row>
    <row r="262" spans="1:36" x14ac:dyDescent="0.35">
      <c r="A262" s="23">
        <v>261</v>
      </c>
      <c r="B262" s="23" t="str">
        <f t="shared" si="24"/>
        <v>Merge 1+2</v>
      </c>
      <c r="C262" s="23">
        <f>IFERROR(MATCH($A262,Merge_1_2!$A$2:$A$611,0),0)</f>
        <v>261</v>
      </c>
      <c r="D262" s="23">
        <f>IF($C262&gt;0,INDEX(Merge_1_2!$Q$2:$Q$611,$C262),0)</f>
        <v>261</v>
      </c>
      <c r="E262" s="23">
        <f>IFERROR(MATCH($A262,Dataset3_Raw!$A$2:$A$391,0),0)</f>
        <v>0</v>
      </c>
      <c r="F262" s="24">
        <f>IF($C262&gt;0,INDEX(Merge_1_2!$B$2:$B$611,$C262),DATE(VALUE(RIGHT(INDEX(Dataset3_Raw!$B$2:$B$391,$E262),4)),VALUE(MID(INDEX(Dataset3_Raw!$B$2:$B$391,$E262),4,2)),VALUE(LEFT(INDEX(Dataset3_Raw!$B$2:$B$391,$E262),2))))</f>
        <v>40555</v>
      </c>
      <c r="G262" s="23">
        <f>IF($C262&gt;0,INDEX(Merge_1_2!$C$2:$C$611,$C262),INDEX(Dataset3_Raw!$C$2:$C$391,$E262))</f>
        <v>1</v>
      </c>
      <c r="H262" s="23">
        <f>IF($C262&gt;0,INDEX(Merge_1_2!$D$2:$D$611,$C262),INDEX(Dataset3_Raw!$D$2:$D$391,$E262))</f>
        <v>0</v>
      </c>
      <c r="I262" s="23">
        <f>IF($C262&gt;0,INDEX(Merge_1_2!$E$2:$E$611,$C262),INDEX(Dataset3_Raw!$E$2:$E$391,$E262))</f>
        <v>1</v>
      </c>
      <c r="J262" s="23">
        <f>IF($C262&gt;0,INDEX(Merge_1_2!$F$2:$F$611,$C262),INDEX(Dataset3_Raw!$F$2:$F$391,$E262))</f>
        <v>7</v>
      </c>
      <c r="K262" s="23" t="b">
        <f>IF($C262&gt;0,INDEX(Merge_1_2!$G$2:$G$611,$C262),INDEX(Dataset3_Raw!$G$2:$G$391,$E262))</f>
        <v>0</v>
      </c>
      <c r="L262" s="23">
        <f>IF($C262&gt;0,INDEX(Merge_1_2!$H$2:$H$611,$C262),INDEX(Dataset3_Raw!$H$2:$H$391,$E262))</f>
        <v>3</v>
      </c>
      <c r="M262" s="23">
        <f>IF($C262&gt;0,INDEX(Merge_1_2!$I$2:$I$611,$C262),INDEX(Dataset3_Raw!$I$2:$I$391,$E262))</f>
        <v>1</v>
      </c>
      <c r="N262" s="25">
        <f>IF($C262&gt;0,INDEX(Merge_1_2!$J$2:$J$611,$C262),INDEX(Dataset3_Raw!$J$2:$J$391,$E262))</f>
        <v>0.14000000000000001</v>
      </c>
      <c r="O262" s="25">
        <f>IF($C262&gt;0,IF(ISNUMBER(INDEX(Merge_1_2!$K$2:$K$611,$C262)),INDEX(Merge_1_2!$K$2:$K$611,$C262),""),INDEX(Dataset3_Raw!$K$2:$K$391,$E262))</f>
        <v>0.1515</v>
      </c>
      <c r="P262" s="25">
        <f>IF(ISNUMBER($O262),$O262,ROUND(Lookups!$B$25+Lookups!$B$24*$N262,4))</f>
        <v>0.1515</v>
      </c>
      <c r="Q262" s="25">
        <f>IF($C262&gt;0,INDEX(Merge_1_2!$L$2:$L$611,$C262),INDEX(Dataset3_Raw!$L$2:$L$391,$E262))</f>
        <v>0.69</v>
      </c>
      <c r="R262" s="25">
        <f>IF($C262&gt;0,INDEX(Merge_1_2!$M$2:$M$611,$C262),INDEX(Dataset3_Raw!$M$2:$M$391,$E262))</f>
        <v>0.1343</v>
      </c>
      <c r="S262" s="23">
        <f>IF($C262&gt;0,INDEX(Merge_1_2!$N$2:$N$611,$C262),INDEX(Dataset3_Raw!$N$2:$N$391,$E262))</f>
        <v>0</v>
      </c>
      <c r="T262" s="23">
        <f>IF($C262&gt;0,INDEX(Merge_1_2!$O$2:$O$611,$C262),INDEX(Dataset3_Raw!$O$2:$O$391,$E262))</f>
        <v>54</v>
      </c>
      <c r="U262" s="23">
        <f>IF($C262&gt;0,INDEX(Merge_1_2!$P$2:$P$611,$C262),INDEX(Dataset3_Raw!$P$2:$P$391,$E262))</f>
        <v>54</v>
      </c>
      <c r="V262" s="23" t="str">
        <f t="shared" si="25"/>
        <v>Weekday</v>
      </c>
      <c r="W262" s="23" t="str">
        <f>VLOOKUP($M262,Lookups!$A$5:$B$8,2,FALSE())</f>
        <v>Clear / Partly cloudy</v>
      </c>
      <c r="X262" s="23" t="str">
        <f>VLOOKUP($G262,Lookups!$D$5:$E$8,2,FALSE())</f>
        <v>Winter</v>
      </c>
      <c r="Y262" s="23" t="str">
        <f>VLOOKUP($L262,Lookups!$G$5:$H$11,2,FALSE())</f>
        <v>Wednesday</v>
      </c>
      <c r="Z262" s="23" t="str">
        <f>IF($J262&lt;Lookups!$B$26,"Night",IF($J262&lt;Lookups!$B$27,"Morning",IF($J262&lt;Lookups!$B$28,"Afternoon","Evening")))</f>
        <v>Morning</v>
      </c>
      <c r="AA262" s="26">
        <f>ROUND($N262*(Lookups!$B$16-Lookups!$B$15)+Lookups!$B$15,1)</f>
        <v>-1.4</v>
      </c>
      <c r="AB262" s="26">
        <f>ROUND($P262*(Lookups!$B$18-Lookups!$B$17)+Lookups!$B$17,1)</f>
        <v>-6</v>
      </c>
      <c r="AC262" s="23">
        <f t="shared" si="26"/>
        <v>69</v>
      </c>
      <c r="AD262" s="23">
        <f>ROUND($R262*Lookups!$B$19,1)</f>
        <v>9</v>
      </c>
      <c r="AE262" s="27">
        <f t="shared" si="27"/>
        <v>1</v>
      </c>
      <c r="AF262" s="23" t="str">
        <f>IF($U262&gt;=Lookups!$B$23,"High",IF($U262&gt;=Lookups!$B$22,"Medium","Low"))</f>
        <v>Medium</v>
      </c>
      <c r="AG262" s="23">
        <f>ROUND(IF($V262="Weekday",IF(INDEX(Hourly_Analysis!$D$5:$D$28,$J262+1)&gt;0,($U262-INDEX(Hourly_Analysis!$C$5:$C$28,$J262+1))/INDEX(Hourly_Analysis!$D$5:$D$28,$J262+1),0),IF(INDEX(Hourly_Analysis!$G$5:$G$28,$J262+1)&gt;0,($U262-INDEX(Hourly_Analysis!$F$5:$F$28,$J262+1))/INDEX(Hourly_Analysis!$G$5:$G$28,$J262+1),0)),2)</f>
        <v>-1.37</v>
      </c>
      <c r="AH262" s="23" t="str">
        <f>IF(ABS($AG262)&gt;Lookups!$B$20,IF($AG262&gt;0,"High anomaly","Low anomaly"),"")</f>
        <v/>
      </c>
      <c r="AI262" s="23" t="str">
        <f t="shared" si="28"/>
        <v>OK</v>
      </c>
      <c r="AJ262" s="23" t="str">
        <f t="shared" si="29"/>
        <v>No</v>
      </c>
    </row>
    <row r="263" spans="1:36" x14ac:dyDescent="0.35">
      <c r="A263" s="23">
        <v>262</v>
      </c>
      <c r="B263" s="23" t="str">
        <f t="shared" si="24"/>
        <v>Merge 1+2</v>
      </c>
      <c r="C263" s="23">
        <f>IFERROR(MATCH($A263,Merge_1_2!$A$2:$A$611,0),0)</f>
        <v>262</v>
      </c>
      <c r="D263" s="23">
        <f>IF($C263&gt;0,INDEX(Merge_1_2!$Q$2:$Q$611,$C263),0)</f>
        <v>262</v>
      </c>
      <c r="E263" s="23">
        <f>IFERROR(MATCH($A263,Dataset3_Raw!$A$2:$A$391,0),0)</f>
        <v>0</v>
      </c>
      <c r="F263" s="24">
        <f>IF($C263&gt;0,INDEX(Merge_1_2!$B$2:$B$611,$C263),DATE(VALUE(RIGHT(INDEX(Dataset3_Raw!$B$2:$B$391,$E263),4)),VALUE(MID(INDEX(Dataset3_Raw!$B$2:$B$391,$E263),4,2)),VALUE(LEFT(INDEX(Dataset3_Raw!$B$2:$B$391,$E263),2))))</f>
        <v>40555</v>
      </c>
      <c r="G263" s="23">
        <f>IF($C263&gt;0,INDEX(Merge_1_2!$C$2:$C$611,$C263),INDEX(Dataset3_Raw!$C$2:$C$391,$E263))</f>
        <v>1</v>
      </c>
      <c r="H263" s="23">
        <f>IF($C263&gt;0,INDEX(Merge_1_2!$D$2:$D$611,$C263),INDEX(Dataset3_Raw!$D$2:$D$391,$E263))</f>
        <v>0</v>
      </c>
      <c r="I263" s="23">
        <f>IF($C263&gt;0,INDEX(Merge_1_2!$E$2:$E$611,$C263),INDEX(Dataset3_Raw!$E$2:$E$391,$E263))</f>
        <v>1</v>
      </c>
      <c r="J263" s="23">
        <f>IF($C263&gt;0,INDEX(Merge_1_2!$F$2:$F$611,$C263),INDEX(Dataset3_Raw!$F$2:$F$391,$E263))</f>
        <v>8</v>
      </c>
      <c r="K263" s="23" t="b">
        <f>IF($C263&gt;0,INDEX(Merge_1_2!$G$2:$G$611,$C263),INDEX(Dataset3_Raw!$G$2:$G$391,$E263))</f>
        <v>0</v>
      </c>
      <c r="L263" s="23">
        <f>IF($C263&gt;0,INDEX(Merge_1_2!$H$2:$H$611,$C263),INDEX(Dataset3_Raw!$H$2:$H$391,$E263))</f>
        <v>3</v>
      </c>
      <c r="M263" s="23">
        <f>IF($C263&gt;0,INDEX(Merge_1_2!$I$2:$I$611,$C263),INDEX(Dataset3_Raw!$I$2:$I$391,$E263))</f>
        <v>1</v>
      </c>
      <c r="N263" s="25">
        <f>IF($C263&gt;0,INDEX(Merge_1_2!$J$2:$J$611,$C263),INDEX(Dataset3_Raw!$J$2:$J$391,$E263))</f>
        <v>0.16</v>
      </c>
      <c r="O263" s="25">
        <f>IF($C263&gt;0,IF(ISNUMBER(INDEX(Merge_1_2!$K$2:$K$611,$C263)),INDEX(Merge_1_2!$K$2:$K$611,$C263),""),INDEX(Dataset3_Raw!$K$2:$K$391,$E263))</f>
        <v>0.16669999999999999</v>
      </c>
      <c r="P263" s="25">
        <f>IF(ISNUMBER($O263),$O263,ROUND(Lookups!$B$25+Lookups!$B$24*$N263,4))</f>
        <v>0.16669999999999999</v>
      </c>
      <c r="Q263" s="25">
        <f>IF($C263&gt;0,INDEX(Merge_1_2!$L$2:$L$611,$C263),INDEX(Dataset3_Raw!$L$2:$L$391,$E263))</f>
        <v>0.59</v>
      </c>
      <c r="R263" s="25">
        <f>IF($C263&gt;0,INDEX(Merge_1_2!$M$2:$M$611,$C263),INDEX(Dataset3_Raw!$M$2:$M$391,$E263))</f>
        <v>0.16420000000000001</v>
      </c>
      <c r="S263" s="23">
        <f>IF($C263&gt;0,INDEX(Merge_1_2!$N$2:$N$611,$C263),INDEX(Dataset3_Raw!$N$2:$N$391,$E263))</f>
        <v>3</v>
      </c>
      <c r="T263" s="23">
        <f>IF($C263&gt;0,INDEX(Merge_1_2!$O$2:$O$611,$C263),INDEX(Dataset3_Raw!$O$2:$O$391,$E263))</f>
        <v>125</v>
      </c>
      <c r="U263" s="23">
        <f>IF($C263&gt;0,INDEX(Merge_1_2!$P$2:$P$611,$C263),INDEX(Dataset3_Raw!$P$2:$P$391,$E263))</f>
        <v>128</v>
      </c>
      <c r="V263" s="23" t="str">
        <f t="shared" si="25"/>
        <v>Weekday</v>
      </c>
      <c r="W263" s="23" t="str">
        <f>VLOOKUP($M263,Lookups!$A$5:$B$8,2,FALSE())</f>
        <v>Clear / Partly cloudy</v>
      </c>
      <c r="X263" s="23" t="str">
        <f>VLOOKUP($G263,Lookups!$D$5:$E$8,2,FALSE())</f>
        <v>Winter</v>
      </c>
      <c r="Y263" s="23" t="str">
        <f>VLOOKUP($L263,Lookups!$G$5:$H$11,2,FALSE())</f>
        <v>Wednesday</v>
      </c>
      <c r="Z263" s="23" t="str">
        <f>IF($J263&lt;Lookups!$B$26,"Night",IF($J263&lt;Lookups!$B$27,"Morning",IF($J263&lt;Lookups!$B$28,"Afternoon","Evening")))</f>
        <v>Morning</v>
      </c>
      <c r="AA263" s="26">
        <f>ROUND($N263*(Lookups!$B$16-Lookups!$B$15)+Lookups!$B$15,1)</f>
        <v>-0.5</v>
      </c>
      <c r="AB263" s="26">
        <f>ROUND($P263*(Lookups!$B$18-Lookups!$B$17)+Lookups!$B$17,1)</f>
        <v>-5</v>
      </c>
      <c r="AC263" s="23">
        <f t="shared" si="26"/>
        <v>59</v>
      </c>
      <c r="AD263" s="23">
        <f>ROUND($R263*Lookups!$B$19,1)</f>
        <v>11</v>
      </c>
      <c r="AE263" s="27">
        <f t="shared" si="27"/>
        <v>0.9765625</v>
      </c>
      <c r="AF263" s="23" t="str">
        <f>IF($U263&gt;=Lookups!$B$23,"High",IF($U263&gt;=Lookups!$B$22,"Medium","Low"))</f>
        <v>High</v>
      </c>
      <c r="AG263" s="23">
        <f>ROUND(IF($V263="Weekday",IF(INDEX(Hourly_Analysis!$D$5:$D$28,$J263+1)&gt;0,($U263-INDEX(Hourly_Analysis!$C$5:$C$28,$J263+1))/INDEX(Hourly_Analysis!$D$5:$D$28,$J263+1),0),IF(INDEX(Hourly_Analysis!$G$5:$G$28,$J263+1)&gt;0,($U263-INDEX(Hourly_Analysis!$F$5:$F$28,$J263+1))/INDEX(Hourly_Analysis!$G$5:$G$28,$J263+1),0)),2)</f>
        <v>-1.55</v>
      </c>
      <c r="AH263" s="23" t="str">
        <f>IF(ABS($AG263)&gt;Lookups!$B$20,IF($AG263&gt;0,"High anomaly","Low anomaly"),"")</f>
        <v/>
      </c>
      <c r="AI263" s="23" t="str">
        <f t="shared" si="28"/>
        <v>OK</v>
      </c>
      <c r="AJ263" s="23" t="str">
        <f t="shared" si="29"/>
        <v>No</v>
      </c>
    </row>
    <row r="264" spans="1:36" x14ac:dyDescent="0.35">
      <c r="A264" s="23">
        <v>263</v>
      </c>
      <c r="B264" s="23" t="str">
        <f t="shared" si="24"/>
        <v>Merge 1+2</v>
      </c>
      <c r="C264" s="23">
        <f>IFERROR(MATCH($A264,Merge_1_2!$A$2:$A$611,0),0)</f>
        <v>263</v>
      </c>
      <c r="D264" s="23">
        <f>IF($C264&gt;0,INDEX(Merge_1_2!$Q$2:$Q$611,$C264),0)</f>
        <v>263</v>
      </c>
      <c r="E264" s="23">
        <f>IFERROR(MATCH($A264,Dataset3_Raw!$A$2:$A$391,0),0)</f>
        <v>0</v>
      </c>
      <c r="F264" s="24">
        <f>IF($C264&gt;0,INDEX(Merge_1_2!$B$2:$B$611,$C264),DATE(VALUE(RIGHT(INDEX(Dataset3_Raw!$B$2:$B$391,$E264),4)),VALUE(MID(INDEX(Dataset3_Raw!$B$2:$B$391,$E264),4,2)),VALUE(LEFT(INDEX(Dataset3_Raw!$B$2:$B$391,$E264),2))))</f>
        <v>40555</v>
      </c>
      <c r="G264" s="23">
        <f>IF($C264&gt;0,INDEX(Merge_1_2!$C$2:$C$611,$C264),INDEX(Dataset3_Raw!$C$2:$C$391,$E264))</f>
        <v>1</v>
      </c>
      <c r="H264" s="23">
        <f>IF($C264&gt;0,INDEX(Merge_1_2!$D$2:$D$611,$C264),INDEX(Dataset3_Raw!$D$2:$D$391,$E264))</f>
        <v>0</v>
      </c>
      <c r="I264" s="23">
        <f>IF($C264&gt;0,INDEX(Merge_1_2!$E$2:$E$611,$C264),INDEX(Dataset3_Raw!$E$2:$E$391,$E264))</f>
        <v>1</v>
      </c>
      <c r="J264" s="23">
        <f>IF($C264&gt;0,INDEX(Merge_1_2!$F$2:$F$611,$C264),INDEX(Dataset3_Raw!$F$2:$F$391,$E264))</f>
        <v>9</v>
      </c>
      <c r="K264" s="23" t="b">
        <f>IF($C264&gt;0,INDEX(Merge_1_2!$G$2:$G$611,$C264),INDEX(Dataset3_Raw!$G$2:$G$391,$E264))</f>
        <v>0</v>
      </c>
      <c r="L264" s="23">
        <f>IF($C264&gt;0,INDEX(Merge_1_2!$H$2:$H$611,$C264),INDEX(Dataset3_Raw!$H$2:$H$391,$E264))</f>
        <v>3</v>
      </c>
      <c r="M264" s="23">
        <f>IF($C264&gt;0,INDEX(Merge_1_2!$I$2:$I$611,$C264),INDEX(Dataset3_Raw!$I$2:$I$391,$E264))</f>
        <v>1</v>
      </c>
      <c r="N264" s="25">
        <f>IF($C264&gt;0,INDEX(Merge_1_2!$J$2:$J$611,$C264),INDEX(Dataset3_Raw!$J$2:$J$391,$E264))</f>
        <v>0.16</v>
      </c>
      <c r="O264" s="25">
        <f>IF($C264&gt;0,IF(ISNUMBER(INDEX(Merge_1_2!$K$2:$K$611,$C264)),INDEX(Merge_1_2!$K$2:$K$611,$C264),""),INDEX(Dataset3_Raw!$K$2:$K$391,$E264))</f>
        <v>0.13639999999999999</v>
      </c>
      <c r="P264" s="25">
        <f>IF(ISNUMBER($O264),$O264,ROUND(Lookups!$B$25+Lookups!$B$24*$N264,4))</f>
        <v>0.13639999999999999</v>
      </c>
      <c r="Q264" s="25">
        <f>IF($C264&gt;0,INDEX(Merge_1_2!$L$2:$L$611,$C264),INDEX(Dataset3_Raw!$L$2:$L$391,$E264))</f>
        <v>0.59</v>
      </c>
      <c r="R264" s="25">
        <f>IF($C264&gt;0,INDEX(Merge_1_2!$M$2:$M$611,$C264),INDEX(Dataset3_Raw!$M$2:$M$391,$E264))</f>
        <v>0.32840000000000003</v>
      </c>
      <c r="S264" s="23">
        <f>IF($C264&gt;0,INDEX(Merge_1_2!$N$2:$N$611,$C264),INDEX(Dataset3_Raw!$N$2:$N$391,$E264))</f>
        <v>3</v>
      </c>
      <c r="T264" s="23">
        <f>IF($C264&gt;0,INDEX(Merge_1_2!$O$2:$O$611,$C264),INDEX(Dataset3_Raw!$O$2:$O$391,$E264))</f>
        <v>78</v>
      </c>
      <c r="U264" s="23">
        <f>IF($C264&gt;0,INDEX(Merge_1_2!$P$2:$P$611,$C264),INDEX(Dataset3_Raw!$P$2:$P$391,$E264))</f>
        <v>81</v>
      </c>
      <c r="V264" s="23" t="str">
        <f t="shared" si="25"/>
        <v>Weekday</v>
      </c>
      <c r="W264" s="23" t="str">
        <f>VLOOKUP($M264,Lookups!$A$5:$B$8,2,FALSE())</f>
        <v>Clear / Partly cloudy</v>
      </c>
      <c r="X264" s="23" t="str">
        <f>VLOOKUP($G264,Lookups!$D$5:$E$8,2,FALSE())</f>
        <v>Winter</v>
      </c>
      <c r="Y264" s="23" t="str">
        <f>VLOOKUP($L264,Lookups!$G$5:$H$11,2,FALSE())</f>
        <v>Wednesday</v>
      </c>
      <c r="Z264" s="23" t="str">
        <f>IF($J264&lt;Lookups!$B$26,"Night",IF($J264&lt;Lookups!$B$27,"Morning",IF($J264&lt;Lookups!$B$28,"Afternoon","Evening")))</f>
        <v>Morning</v>
      </c>
      <c r="AA264" s="26">
        <f>ROUND($N264*(Lookups!$B$16-Lookups!$B$15)+Lookups!$B$15,1)</f>
        <v>-0.5</v>
      </c>
      <c r="AB264" s="26">
        <f>ROUND($P264*(Lookups!$B$18-Lookups!$B$17)+Lookups!$B$17,1)</f>
        <v>-7</v>
      </c>
      <c r="AC264" s="23">
        <f t="shared" si="26"/>
        <v>59</v>
      </c>
      <c r="AD264" s="23">
        <f>ROUND($R264*Lookups!$B$19,1)</f>
        <v>22</v>
      </c>
      <c r="AE264" s="27">
        <f t="shared" si="27"/>
        <v>0.96296296296296291</v>
      </c>
      <c r="AF264" s="23" t="str">
        <f>IF($U264&gt;=Lookups!$B$23,"High",IF($U264&gt;=Lookups!$B$22,"Medium","Low"))</f>
        <v>Medium</v>
      </c>
      <c r="AG264" s="23">
        <f>ROUND(IF($V264="Weekday",IF(INDEX(Hourly_Analysis!$D$5:$D$28,$J264+1)&gt;0,($U264-INDEX(Hourly_Analysis!$C$5:$C$28,$J264+1))/INDEX(Hourly_Analysis!$D$5:$D$28,$J264+1),0),IF(INDEX(Hourly_Analysis!$G$5:$G$28,$J264+1)&gt;0,($U264-INDEX(Hourly_Analysis!$F$5:$F$28,$J264+1))/INDEX(Hourly_Analysis!$G$5:$G$28,$J264+1),0)),2)</f>
        <v>-1.66</v>
      </c>
      <c r="AH264" s="23" t="str">
        <f>IF(ABS($AG264)&gt;Lookups!$B$20,IF($AG264&gt;0,"High anomaly","Low anomaly"),"")</f>
        <v/>
      </c>
      <c r="AI264" s="23" t="str">
        <f t="shared" si="28"/>
        <v>OK</v>
      </c>
      <c r="AJ264" s="23" t="str">
        <f t="shared" si="29"/>
        <v>No</v>
      </c>
    </row>
    <row r="265" spans="1:36" x14ac:dyDescent="0.35">
      <c r="A265" s="23">
        <v>264</v>
      </c>
      <c r="B265" s="23" t="str">
        <f t="shared" si="24"/>
        <v>Merge 1+2</v>
      </c>
      <c r="C265" s="23">
        <f>IFERROR(MATCH($A265,Merge_1_2!$A$2:$A$611,0),0)</f>
        <v>264</v>
      </c>
      <c r="D265" s="23">
        <f>IF($C265&gt;0,INDEX(Merge_1_2!$Q$2:$Q$611,$C265),0)</f>
        <v>264</v>
      </c>
      <c r="E265" s="23">
        <f>IFERROR(MATCH($A265,Dataset3_Raw!$A$2:$A$391,0),0)</f>
        <v>0</v>
      </c>
      <c r="F265" s="24">
        <f>IF($C265&gt;0,INDEX(Merge_1_2!$B$2:$B$611,$C265),DATE(VALUE(RIGHT(INDEX(Dataset3_Raw!$B$2:$B$391,$E265),4)),VALUE(MID(INDEX(Dataset3_Raw!$B$2:$B$391,$E265),4,2)),VALUE(LEFT(INDEX(Dataset3_Raw!$B$2:$B$391,$E265),2))))</f>
        <v>40555</v>
      </c>
      <c r="G265" s="23">
        <f>IF($C265&gt;0,INDEX(Merge_1_2!$C$2:$C$611,$C265),INDEX(Dataset3_Raw!$C$2:$C$391,$E265))</f>
        <v>1</v>
      </c>
      <c r="H265" s="23">
        <f>IF($C265&gt;0,INDEX(Merge_1_2!$D$2:$D$611,$C265),INDEX(Dataset3_Raw!$D$2:$D$391,$E265))</f>
        <v>0</v>
      </c>
      <c r="I265" s="23">
        <f>IF($C265&gt;0,INDEX(Merge_1_2!$E$2:$E$611,$C265),INDEX(Dataset3_Raw!$E$2:$E$391,$E265))</f>
        <v>1</v>
      </c>
      <c r="J265" s="23">
        <f>IF($C265&gt;0,INDEX(Merge_1_2!$F$2:$F$611,$C265),INDEX(Dataset3_Raw!$F$2:$F$391,$E265))</f>
        <v>10</v>
      </c>
      <c r="K265" s="23" t="b">
        <f>IF($C265&gt;0,INDEX(Merge_1_2!$G$2:$G$611,$C265),INDEX(Dataset3_Raw!$G$2:$G$391,$E265))</f>
        <v>0</v>
      </c>
      <c r="L265" s="23">
        <f>IF($C265&gt;0,INDEX(Merge_1_2!$H$2:$H$611,$C265),INDEX(Dataset3_Raw!$H$2:$H$391,$E265))</f>
        <v>3</v>
      </c>
      <c r="M265" s="23">
        <f>IF($C265&gt;0,INDEX(Merge_1_2!$I$2:$I$611,$C265),INDEX(Dataset3_Raw!$I$2:$I$391,$E265))</f>
        <v>1</v>
      </c>
      <c r="N265" s="25">
        <f>IF($C265&gt;0,INDEX(Merge_1_2!$J$2:$J$611,$C265),INDEX(Dataset3_Raw!$J$2:$J$391,$E265))</f>
        <v>0.18</v>
      </c>
      <c r="O265" s="25">
        <f>IF($C265&gt;0,IF(ISNUMBER(INDEX(Merge_1_2!$K$2:$K$611,$C265)),INDEX(Merge_1_2!$K$2:$K$611,$C265),""),INDEX(Dataset3_Raw!$K$2:$K$391,$E265))</f>
        <v>0.18179999999999999</v>
      </c>
      <c r="P265" s="25">
        <f>IF(ISNUMBER($O265),$O265,ROUND(Lookups!$B$25+Lookups!$B$24*$N265,4))</f>
        <v>0.18179999999999999</v>
      </c>
      <c r="Q265" s="25">
        <f>IF($C265&gt;0,INDEX(Merge_1_2!$L$2:$L$611,$C265),INDEX(Dataset3_Raw!$L$2:$L$391,$E265))</f>
        <v>0.55000000000000004</v>
      </c>
      <c r="R265" s="25">
        <f>IF($C265&gt;0,INDEX(Merge_1_2!$M$2:$M$611,$C265),INDEX(Dataset3_Raw!$M$2:$M$391,$E265))</f>
        <v>0.22389999999999999</v>
      </c>
      <c r="S265" s="23">
        <f>IF($C265&gt;0,INDEX(Merge_1_2!$N$2:$N$611,$C265),INDEX(Dataset3_Raw!$N$2:$N$391,$E265))</f>
        <v>0</v>
      </c>
      <c r="T265" s="23">
        <f>IF($C265&gt;0,INDEX(Merge_1_2!$O$2:$O$611,$C265),INDEX(Dataset3_Raw!$O$2:$O$391,$E265))</f>
        <v>39</v>
      </c>
      <c r="U265" s="23">
        <f>IF($C265&gt;0,INDEX(Merge_1_2!$P$2:$P$611,$C265),INDEX(Dataset3_Raw!$P$2:$P$391,$E265))</f>
        <v>39</v>
      </c>
      <c r="V265" s="23" t="str">
        <f t="shared" si="25"/>
        <v>Weekday</v>
      </c>
      <c r="W265" s="23" t="str">
        <f>VLOOKUP($M265,Lookups!$A$5:$B$8,2,FALSE())</f>
        <v>Clear / Partly cloudy</v>
      </c>
      <c r="X265" s="23" t="str">
        <f>VLOOKUP($G265,Lookups!$D$5:$E$8,2,FALSE())</f>
        <v>Winter</v>
      </c>
      <c r="Y265" s="23" t="str">
        <f>VLOOKUP($L265,Lookups!$G$5:$H$11,2,FALSE())</f>
        <v>Wednesday</v>
      </c>
      <c r="Z265" s="23" t="str">
        <f>IF($J265&lt;Lookups!$B$26,"Night",IF($J265&lt;Lookups!$B$27,"Morning",IF($J265&lt;Lookups!$B$28,"Afternoon","Evening")))</f>
        <v>Morning</v>
      </c>
      <c r="AA265" s="26">
        <f>ROUND($N265*(Lookups!$B$16-Lookups!$B$15)+Lookups!$B$15,1)</f>
        <v>0.5</v>
      </c>
      <c r="AB265" s="26">
        <f>ROUND($P265*(Lookups!$B$18-Lookups!$B$17)+Lookups!$B$17,1)</f>
        <v>-4</v>
      </c>
      <c r="AC265" s="23">
        <f t="shared" si="26"/>
        <v>55</v>
      </c>
      <c r="AD265" s="23">
        <f>ROUND($R265*Lookups!$B$19,1)</f>
        <v>15</v>
      </c>
      <c r="AE265" s="27">
        <f t="shared" si="27"/>
        <v>1</v>
      </c>
      <c r="AF265" s="23" t="str">
        <f>IF($U265&gt;=Lookups!$B$23,"High",IF($U265&gt;=Lookups!$B$22,"Medium","Low"))</f>
        <v>Medium</v>
      </c>
      <c r="AG265" s="23">
        <f>ROUND(IF($V265="Weekday",IF(INDEX(Hourly_Analysis!$D$5:$D$28,$J265+1)&gt;0,($U265-INDEX(Hourly_Analysis!$C$5:$C$28,$J265+1))/INDEX(Hourly_Analysis!$D$5:$D$28,$J265+1),0),IF(INDEX(Hourly_Analysis!$G$5:$G$28,$J265+1)&gt;0,($U265-INDEX(Hourly_Analysis!$F$5:$F$28,$J265+1))/INDEX(Hourly_Analysis!$G$5:$G$28,$J265+1),0)),2)</f>
        <v>-0.96</v>
      </c>
      <c r="AH265" s="23" t="str">
        <f>IF(ABS($AG265)&gt;Lookups!$B$20,IF($AG265&gt;0,"High anomaly","Low anomaly"),"")</f>
        <v/>
      </c>
      <c r="AI265" s="23" t="str">
        <f t="shared" si="28"/>
        <v>OK</v>
      </c>
      <c r="AJ265" s="23" t="str">
        <f t="shared" si="29"/>
        <v>No</v>
      </c>
    </row>
    <row r="266" spans="1:36" x14ac:dyDescent="0.35">
      <c r="A266" s="23">
        <v>265</v>
      </c>
      <c r="B266" s="23" t="str">
        <f t="shared" si="24"/>
        <v>Merge 1+2</v>
      </c>
      <c r="C266" s="23">
        <f>IFERROR(MATCH($A266,Merge_1_2!$A$2:$A$611,0),0)</f>
        <v>265</v>
      </c>
      <c r="D266" s="23">
        <f>IF($C266&gt;0,INDEX(Merge_1_2!$Q$2:$Q$611,$C266),0)</f>
        <v>265</v>
      </c>
      <c r="E266" s="23">
        <f>IFERROR(MATCH($A266,Dataset3_Raw!$A$2:$A$391,0),0)</f>
        <v>0</v>
      </c>
      <c r="F266" s="24">
        <f>IF($C266&gt;0,INDEX(Merge_1_2!$B$2:$B$611,$C266),DATE(VALUE(RIGHT(INDEX(Dataset3_Raw!$B$2:$B$391,$E266),4)),VALUE(MID(INDEX(Dataset3_Raw!$B$2:$B$391,$E266),4,2)),VALUE(LEFT(INDEX(Dataset3_Raw!$B$2:$B$391,$E266),2))))</f>
        <v>40555</v>
      </c>
      <c r="G266" s="23">
        <f>IF($C266&gt;0,INDEX(Merge_1_2!$C$2:$C$611,$C266),INDEX(Dataset3_Raw!$C$2:$C$391,$E266))</f>
        <v>1</v>
      </c>
      <c r="H266" s="23">
        <f>IF($C266&gt;0,INDEX(Merge_1_2!$D$2:$D$611,$C266),INDEX(Dataset3_Raw!$D$2:$D$391,$E266))</f>
        <v>0</v>
      </c>
      <c r="I266" s="23">
        <f>IF($C266&gt;0,INDEX(Merge_1_2!$E$2:$E$611,$C266),INDEX(Dataset3_Raw!$E$2:$E$391,$E266))</f>
        <v>1</v>
      </c>
      <c r="J266" s="23">
        <f>IF($C266&gt;0,INDEX(Merge_1_2!$F$2:$F$611,$C266),INDEX(Dataset3_Raw!$F$2:$F$391,$E266))</f>
        <v>11</v>
      </c>
      <c r="K266" s="23" t="b">
        <f>IF($C266&gt;0,INDEX(Merge_1_2!$G$2:$G$611,$C266),INDEX(Dataset3_Raw!$G$2:$G$391,$E266))</f>
        <v>0</v>
      </c>
      <c r="L266" s="23">
        <f>IF($C266&gt;0,INDEX(Merge_1_2!$H$2:$H$611,$C266),INDEX(Dataset3_Raw!$H$2:$H$391,$E266))</f>
        <v>3</v>
      </c>
      <c r="M266" s="23">
        <f>IF($C266&gt;0,INDEX(Merge_1_2!$I$2:$I$611,$C266),INDEX(Dataset3_Raw!$I$2:$I$391,$E266))</f>
        <v>1</v>
      </c>
      <c r="N266" s="25">
        <f>IF($C266&gt;0,INDEX(Merge_1_2!$J$2:$J$611,$C266),INDEX(Dataset3_Raw!$J$2:$J$391,$E266))</f>
        <v>0.2</v>
      </c>
      <c r="O266" s="25">
        <f>IF($C266&gt;0,IF(ISNUMBER(INDEX(Merge_1_2!$K$2:$K$611,$C266)),INDEX(Merge_1_2!$K$2:$K$611,$C266),""),INDEX(Dataset3_Raw!$K$2:$K$391,$E266))</f>
        <v>0.18179999999999999</v>
      </c>
      <c r="P266" s="25">
        <f>IF(ISNUMBER($O266),$O266,ROUND(Lookups!$B$25+Lookups!$B$24*$N266,4))</f>
        <v>0.18179999999999999</v>
      </c>
      <c r="Q266" s="25">
        <f>IF($C266&gt;0,INDEX(Merge_1_2!$L$2:$L$611,$C266),INDEX(Dataset3_Raw!$L$2:$L$391,$E266))</f>
        <v>0.51</v>
      </c>
      <c r="R266" s="25">
        <f>IF($C266&gt;0,INDEX(Merge_1_2!$M$2:$M$611,$C266),INDEX(Dataset3_Raw!$M$2:$M$391,$E266))</f>
        <v>0.3881</v>
      </c>
      <c r="S266" s="23">
        <f>IF($C266&gt;0,INDEX(Merge_1_2!$N$2:$N$611,$C266),INDEX(Dataset3_Raw!$N$2:$N$391,$E266))</f>
        <v>3</v>
      </c>
      <c r="T266" s="23">
        <f>IF($C266&gt;0,INDEX(Merge_1_2!$O$2:$O$611,$C266),INDEX(Dataset3_Raw!$O$2:$O$391,$E266))</f>
        <v>32</v>
      </c>
      <c r="U266" s="23">
        <f>IF($C266&gt;0,INDEX(Merge_1_2!$P$2:$P$611,$C266),INDEX(Dataset3_Raw!$P$2:$P$391,$E266))</f>
        <v>35</v>
      </c>
      <c r="V266" s="23" t="str">
        <f t="shared" si="25"/>
        <v>Weekday</v>
      </c>
      <c r="W266" s="23" t="str">
        <f>VLOOKUP($M266,Lookups!$A$5:$B$8,2,FALSE())</f>
        <v>Clear / Partly cloudy</v>
      </c>
      <c r="X266" s="23" t="str">
        <f>VLOOKUP($G266,Lookups!$D$5:$E$8,2,FALSE())</f>
        <v>Winter</v>
      </c>
      <c r="Y266" s="23" t="str">
        <f>VLOOKUP($L266,Lookups!$G$5:$H$11,2,FALSE())</f>
        <v>Wednesday</v>
      </c>
      <c r="Z266" s="23" t="str">
        <f>IF($J266&lt;Lookups!$B$26,"Night",IF($J266&lt;Lookups!$B$27,"Morning",IF($J266&lt;Lookups!$B$28,"Afternoon","Evening")))</f>
        <v>Morning</v>
      </c>
      <c r="AA266" s="26">
        <f>ROUND($N266*(Lookups!$B$16-Lookups!$B$15)+Lookups!$B$15,1)</f>
        <v>1.4</v>
      </c>
      <c r="AB266" s="26">
        <f>ROUND($P266*(Lookups!$B$18-Lookups!$B$17)+Lookups!$B$17,1)</f>
        <v>-4</v>
      </c>
      <c r="AC266" s="23">
        <f t="shared" si="26"/>
        <v>51</v>
      </c>
      <c r="AD266" s="23">
        <f>ROUND($R266*Lookups!$B$19,1)</f>
        <v>26</v>
      </c>
      <c r="AE266" s="27">
        <f t="shared" si="27"/>
        <v>0.91428571428571426</v>
      </c>
      <c r="AF266" s="23" t="str">
        <f>IF($U266&gt;=Lookups!$B$23,"High",IF($U266&gt;=Lookups!$B$22,"Medium","Low"))</f>
        <v>Medium</v>
      </c>
      <c r="AG266" s="23">
        <f>ROUND(IF($V266="Weekday",IF(INDEX(Hourly_Analysis!$D$5:$D$28,$J266+1)&gt;0,($U266-INDEX(Hourly_Analysis!$C$5:$C$28,$J266+1))/INDEX(Hourly_Analysis!$D$5:$D$28,$J266+1),0),IF(INDEX(Hourly_Analysis!$G$5:$G$28,$J266+1)&gt;0,($U266-INDEX(Hourly_Analysis!$F$5:$F$28,$J266+1))/INDEX(Hourly_Analysis!$G$5:$G$28,$J266+1),0)),2)</f>
        <v>-1.36</v>
      </c>
      <c r="AH266" s="23" t="str">
        <f>IF(ABS($AG266)&gt;Lookups!$B$20,IF($AG266&gt;0,"High anomaly","Low anomaly"),"")</f>
        <v/>
      </c>
      <c r="AI266" s="23" t="str">
        <f t="shared" si="28"/>
        <v>OK</v>
      </c>
      <c r="AJ266" s="23" t="str">
        <f t="shared" si="29"/>
        <v>No</v>
      </c>
    </row>
    <row r="267" spans="1:36" x14ac:dyDescent="0.35">
      <c r="A267" s="23">
        <v>266</v>
      </c>
      <c r="B267" s="23" t="str">
        <f t="shared" si="24"/>
        <v>Merge 1+2</v>
      </c>
      <c r="C267" s="23">
        <f>IFERROR(MATCH($A267,Merge_1_2!$A$2:$A$611,0),0)</f>
        <v>266</v>
      </c>
      <c r="D267" s="23">
        <f>IF($C267&gt;0,INDEX(Merge_1_2!$Q$2:$Q$611,$C267),0)</f>
        <v>266</v>
      </c>
      <c r="E267" s="23">
        <f>IFERROR(MATCH($A267,Dataset3_Raw!$A$2:$A$391,0),0)</f>
        <v>0</v>
      </c>
      <c r="F267" s="24">
        <f>IF($C267&gt;0,INDEX(Merge_1_2!$B$2:$B$611,$C267),DATE(VALUE(RIGHT(INDEX(Dataset3_Raw!$B$2:$B$391,$E267),4)),VALUE(MID(INDEX(Dataset3_Raw!$B$2:$B$391,$E267),4,2)),VALUE(LEFT(INDEX(Dataset3_Raw!$B$2:$B$391,$E267),2))))</f>
        <v>40555</v>
      </c>
      <c r="G267" s="23">
        <f>IF($C267&gt;0,INDEX(Merge_1_2!$C$2:$C$611,$C267),INDEX(Dataset3_Raw!$C$2:$C$391,$E267))</f>
        <v>1</v>
      </c>
      <c r="H267" s="23">
        <f>IF($C267&gt;0,INDEX(Merge_1_2!$D$2:$D$611,$C267),INDEX(Dataset3_Raw!$D$2:$D$391,$E267))</f>
        <v>0</v>
      </c>
      <c r="I267" s="23">
        <f>IF($C267&gt;0,INDEX(Merge_1_2!$E$2:$E$611,$C267),INDEX(Dataset3_Raw!$E$2:$E$391,$E267))</f>
        <v>1</v>
      </c>
      <c r="J267" s="23">
        <f>IF($C267&gt;0,INDEX(Merge_1_2!$F$2:$F$611,$C267),INDEX(Dataset3_Raw!$F$2:$F$391,$E267))</f>
        <v>12</v>
      </c>
      <c r="K267" s="23" t="b">
        <f>IF($C267&gt;0,INDEX(Merge_1_2!$G$2:$G$611,$C267),INDEX(Dataset3_Raw!$G$2:$G$391,$E267))</f>
        <v>0</v>
      </c>
      <c r="L267" s="23">
        <f>IF($C267&gt;0,INDEX(Merge_1_2!$H$2:$H$611,$C267),INDEX(Dataset3_Raw!$H$2:$H$391,$E267))</f>
        <v>3</v>
      </c>
      <c r="M267" s="23">
        <f>IF($C267&gt;0,INDEX(Merge_1_2!$I$2:$I$611,$C267),INDEX(Dataset3_Raw!$I$2:$I$391,$E267))</f>
        <v>1</v>
      </c>
      <c r="N267" s="25">
        <f>IF($C267&gt;0,INDEX(Merge_1_2!$J$2:$J$611,$C267),INDEX(Dataset3_Raw!$J$2:$J$391,$E267))</f>
        <v>0.2</v>
      </c>
      <c r="O267" s="25">
        <f>IF($C267&gt;0,IF(ISNUMBER(INDEX(Merge_1_2!$K$2:$K$611,$C267)),INDEX(Merge_1_2!$K$2:$K$611,$C267),""),INDEX(Dataset3_Raw!$K$2:$K$391,$E267))</f>
        <v>0.1515</v>
      </c>
      <c r="P267" s="25">
        <f>IF(ISNUMBER($O267),$O267,ROUND(Lookups!$B$25+Lookups!$B$24*$N267,4))</f>
        <v>0.1515</v>
      </c>
      <c r="Q267" s="25">
        <f>IF($C267&gt;0,INDEX(Merge_1_2!$L$2:$L$611,$C267),INDEX(Dataset3_Raw!$L$2:$L$391,$E267))</f>
        <v>0.47</v>
      </c>
      <c r="R267" s="25">
        <f>IF($C267&gt;0,INDEX(Merge_1_2!$M$2:$M$611,$C267),INDEX(Dataset3_Raw!$M$2:$M$391,$E267))</f>
        <v>0.58209999999999995</v>
      </c>
      <c r="S267" s="23">
        <f>IF($C267&gt;0,INDEX(Merge_1_2!$N$2:$N$611,$C267),INDEX(Dataset3_Raw!$N$2:$N$391,$E267))</f>
        <v>3</v>
      </c>
      <c r="T267" s="23">
        <f>IF($C267&gt;0,INDEX(Merge_1_2!$O$2:$O$611,$C267),INDEX(Dataset3_Raw!$O$2:$O$391,$E267))</f>
        <v>52</v>
      </c>
      <c r="U267" s="23">
        <f>IF($C267&gt;0,INDEX(Merge_1_2!$P$2:$P$611,$C267),INDEX(Dataset3_Raw!$P$2:$P$391,$E267))</f>
        <v>55</v>
      </c>
      <c r="V267" s="23" t="str">
        <f t="shared" si="25"/>
        <v>Weekday</v>
      </c>
      <c r="W267" s="23" t="str">
        <f>VLOOKUP($M267,Lookups!$A$5:$B$8,2,FALSE())</f>
        <v>Clear / Partly cloudy</v>
      </c>
      <c r="X267" s="23" t="str">
        <f>VLOOKUP($G267,Lookups!$D$5:$E$8,2,FALSE())</f>
        <v>Winter</v>
      </c>
      <c r="Y267" s="23" t="str">
        <f>VLOOKUP($L267,Lookups!$G$5:$H$11,2,FALSE())</f>
        <v>Wednesday</v>
      </c>
      <c r="Z267" s="23" t="str">
        <f>IF($J267&lt;Lookups!$B$26,"Night",IF($J267&lt;Lookups!$B$27,"Morning",IF($J267&lt;Lookups!$B$28,"Afternoon","Evening")))</f>
        <v>Afternoon</v>
      </c>
      <c r="AA267" s="26">
        <f>ROUND($N267*(Lookups!$B$16-Lookups!$B$15)+Lookups!$B$15,1)</f>
        <v>1.4</v>
      </c>
      <c r="AB267" s="26">
        <f>ROUND($P267*(Lookups!$B$18-Lookups!$B$17)+Lookups!$B$17,1)</f>
        <v>-6</v>
      </c>
      <c r="AC267" s="23">
        <f t="shared" si="26"/>
        <v>47</v>
      </c>
      <c r="AD267" s="23">
        <f>ROUND($R267*Lookups!$B$19,1)</f>
        <v>39</v>
      </c>
      <c r="AE267" s="27">
        <f t="shared" si="27"/>
        <v>0.94545454545454544</v>
      </c>
      <c r="AF267" s="23" t="str">
        <f>IF($U267&gt;=Lookups!$B$23,"High",IF($U267&gt;=Lookups!$B$22,"Medium","Low"))</f>
        <v>Medium</v>
      </c>
      <c r="AG267" s="23">
        <f>ROUND(IF($V267="Weekday",IF(INDEX(Hourly_Analysis!$D$5:$D$28,$J267+1)&gt;0,($U267-INDEX(Hourly_Analysis!$C$5:$C$28,$J267+1))/INDEX(Hourly_Analysis!$D$5:$D$28,$J267+1),0),IF(INDEX(Hourly_Analysis!$G$5:$G$28,$J267+1)&gt;0,($U267-INDEX(Hourly_Analysis!$F$5:$F$28,$J267+1))/INDEX(Hourly_Analysis!$G$5:$G$28,$J267+1),0)),2)</f>
        <v>-0.48</v>
      </c>
      <c r="AH267" s="23" t="str">
        <f>IF(ABS($AG267)&gt;Lookups!$B$20,IF($AG267&gt;0,"High anomaly","Low anomaly"),"")</f>
        <v/>
      </c>
      <c r="AI267" s="23" t="str">
        <f t="shared" si="28"/>
        <v>OK</v>
      </c>
      <c r="AJ267" s="23" t="str">
        <f t="shared" si="29"/>
        <v>No</v>
      </c>
    </row>
    <row r="268" spans="1:36" x14ac:dyDescent="0.35">
      <c r="A268" s="23">
        <v>267</v>
      </c>
      <c r="B268" s="23" t="str">
        <f t="shared" si="24"/>
        <v>Merge 1+2</v>
      </c>
      <c r="C268" s="23">
        <f>IFERROR(MATCH($A268,Merge_1_2!$A$2:$A$611,0),0)</f>
        <v>267</v>
      </c>
      <c r="D268" s="23">
        <f>IF($C268&gt;0,INDEX(Merge_1_2!$Q$2:$Q$611,$C268),0)</f>
        <v>267</v>
      </c>
      <c r="E268" s="23">
        <f>IFERROR(MATCH($A268,Dataset3_Raw!$A$2:$A$391,0),0)</f>
        <v>0</v>
      </c>
      <c r="F268" s="24">
        <f>IF($C268&gt;0,INDEX(Merge_1_2!$B$2:$B$611,$C268),DATE(VALUE(RIGHT(INDEX(Dataset3_Raw!$B$2:$B$391,$E268),4)),VALUE(MID(INDEX(Dataset3_Raw!$B$2:$B$391,$E268),4,2)),VALUE(LEFT(INDEX(Dataset3_Raw!$B$2:$B$391,$E268),2))))</f>
        <v>40555</v>
      </c>
      <c r="G268" s="23">
        <f>IF($C268&gt;0,INDEX(Merge_1_2!$C$2:$C$611,$C268),INDEX(Dataset3_Raw!$C$2:$C$391,$E268))</f>
        <v>1</v>
      </c>
      <c r="H268" s="23">
        <f>IF($C268&gt;0,INDEX(Merge_1_2!$D$2:$D$611,$C268),INDEX(Dataset3_Raw!$D$2:$D$391,$E268))</f>
        <v>0</v>
      </c>
      <c r="I268" s="23">
        <f>IF($C268&gt;0,INDEX(Merge_1_2!$E$2:$E$611,$C268),INDEX(Dataset3_Raw!$E$2:$E$391,$E268))</f>
        <v>1</v>
      </c>
      <c r="J268" s="23">
        <f>IF($C268&gt;0,INDEX(Merge_1_2!$F$2:$F$611,$C268),INDEX(Dataset3_Raw!$F$2:$F$391,$E268))</f>
        <v>13</v>
      </c>
      <c r="K268" s="23" t="b">
        <f>IF($C268&gt;0,INDEX(Merge_1_2!$G$2:$G$611,$C268),INDEX(Dataset3_Raw!$G$2:$G$391,$E268))</f>
        <v>0</v>
      </c>
      <c r="L268" s="23">
        <f>IF($C268&gt;0,INDEX(Merge_1_2!$H$2:$H$611,$C268),INDEX(Dataset3_Raw!$H$2:$H$391,$E268))</f>
        <v>3</v>
      </c>
      <c r="M268" s="23">
        <f>IF($C268&gt;0,INDEX(Merge_1_2!$I$2:$I$611,$C268),INDEX(Dataset3_Raw!$I$2:$I$391,$E268))</f>
        <v>1</v>
      </c>
      <c r="N268" s="25">
        <f>IF($C268&gt;0,INDEX(Merge_1_2!$J$2:$J$611,$C268),INDEX(Dataset3_Raw!$J$2:$J$391,$E268))</f>
        <v>0.22</v>
      </c>
      <c r="O268" s="25">
        <f>IF($C268&gt;0,IF(ISNUMBER(INDEX(Merge_1_2!$K$2:$K$611,$C268)),INDEX(Merge_1_2!$K$2:$K$611,$C268),""),INDEX(Dataset3_Raw!$K$2:$K$391,$E268))</f>
        <v>0.19700000000000001</v>
      </c>
      <c r="P268" s="25">
        <f>IF(ISNUMBER($O268),$O268,ROUND(Lookups!$B$25+Lookups!$B$24*$N268,4))</f>
        <v>0.19700000000000001</v>
      </c>
      <c r="Q268" s="25">
        <f>IF($C268&gt;0,INDEX(Merge_1_2!$L$2:$L$611,$C268),INDEX(Dataset3_Raw!$L$2:$L$391,$E268))</f>
        <v>0.44</v>
      </c>
      <c r="R268" s="25">
        <f>IF($C268&gt;0,INDEX(Merge_1_2!$M$2:$M$611,$C268),INDEX(Dataset3_Raw!$M$2:$M$391,$E268))</f>
        <v>0.35820000000000002</v>
      </c>
      <c r="S268" s="23">
        <f>IF($C268&gt;0,INDEX(Merge_1_2!$N$2:$N$611,$C268),INDEX(Dataset3_Raw!$N$2:$N$391,$E268))</f>
        <v>0</v>
      </c>
      <c r="T268" s="23">
        <f>IF($C268&gt;0,INDEX(Merge_1_2!$O$2:$O$611,$C268),INDEX(Dataset3_Raw!$O$2:$O$391,$E268))</f>
        <v>49</v>
      </c>
      <c r="U268" s="23">
        <f>IF($C268&gt;0,INDEX(Merge_1_2!$P$2:$P$611,$C268),INDEX(Dataset3_Raw!$P$2:$P$391,$E268))</f>
        <v>49</v>
      </c>
      <c r="V268" s="23" t="str">
        <f t="shared" si="25"/>
        <v>Weekday</v>
      </c>
      <c r="W268" s="23" t="str">
        <f>VLOOKUP($M268,Lookups!$A$5:$B$8,2,FALSE())</f>
        <v>Clear / Partly cloudy</v>
      </c>
      <c r="X268" s="23" t="str">
        <f>VLOOKUP($G268,Lookups!$D$5:$E$8,2,FALSE())</f>
        <v>Winter</v>
      </c>
      <c r="Y268" s="23" t="str">
        <f>VLOOKUP($L268,Lookups!$G$5:$H$11,2,FALSE())</f>
        <v>Wednesday</v>
      </c>
      <c r="Z268" s="23" t="str">
        <f>IF($J268&lt;Lookups!$B$26,"Night",IF($J268&lt;Lookups!$B$27,"Morning",IF($J268&lt;Lookups!$B$28,"Afternoon","Evening")))</f>
        <v>Afternoon</v>
      </c>
      <c r="AA268" s="26">
        <f>ROUND($N268*(Lookups!$B$16-Lookups!$B$15)+Lookups!$B$15,1)</f>
        <v>2.2999999999999998</v>
      </c>
      <c r="AB268" s="26">
        <f>ROUND($P268*(Lookups!$B$18-Lookups!$B$17)+Lookups!$B$17,1)</f>
        <v>-3</v>
      </c>
      <c r="AC268" s="23">
        <f t="shared" si="26"/>
        <v>44</v>
      </c>
      <c r="AD268" s="23">
        <f>ROUND($R268*Lookups!$B$19,1)</f>
        <v>24</v>
      </c>
      <c r="AE268" s="27">
        <f t="shared" si="27"/>
        <v>1</v>
      </c>
      <c r="AF268" s="23" t="str">
        <f>IF($U268&gt;=Lookups!$B$23,"High",IF($U268&gt;=Lookups!$B$22,"Medium","Low"))</f>
        <v>Medium</v>
      </c>
      <c r="AG268" s="23">
        <f>ROUND(IF($V268="Weekday",IF(INDEX(Hourly_Analysis!$D$5:$D$28,$J268+1)&gt;0,($U268-INDEX(Hourly_Analysis!$C$5:$C$28,$J268+1))/INDEX(Hourly_Analysis!$D$5:$D$28,$J268+1),0),IF(INDEX(Hourly_Analysis!$G$5:$G$28,$J268+1)&gt;0,($U268-INDEX(Hourly_Analysis!$F$5:$F$28,$J268+1))/INDEX(Hourly_Analysis!$G$5:$G$28,$J268+1),0)),2)</f>
        <v>-0.87</v>
      </c>
      <c r="AH268" s="23" t="str">
        <f>IF(ABS($AG268)&gt;Lookups!$B$20,IF($AG268&gt;0,"High anomaly","Low anomaly"),"")</f>
        <v/>
      </c>
      <c r="AI268" s="23" t="str">
        <f t="shared" si="28"/>
        <v>OK</v>
      </c>
      <c r="AJ268" s="23" t="str">
        <f t="shared" si="29"/>
        <v>No</v>
      </c>
    </row>
    <row r="269" spans="1:36" x14ac:dyDescent="0.35">
      <c r="A269" s="23">
        <v>268</v>
      </c>
      <c r="B269" s="23" t="str">
        <f t="shared" si="24"/>
        <v>Merge 1+2</v>
      </c>
      <c r="C269" s="23">
        <f>IFERROR(MATCH($A269,Merge_1_2!$A$2:$A$611,0),0)</f>
        <v>268</v>
      </c>
      <c r="D269" s="23">
        <f>IF($C269&gt;0,INDEX(Merge_1_2!$Q$2:$Q$611,$C269),0)</f>
        <v>268</v>
      </c>
      <c r="E269" s="23">
        <f>IFERROR(MATCH($A269,Dataset3_Raw!$A$2:$A$391,0),0)</f>
        <v>0</v>
      </c>
      <c r="F269" s="24">
        <f>IF($C269&gt;0,INDEX(Merge_1_2!$B$2:$B$611,$C269),DATE(VALUE(RIGHT(INDEX(Dataset3_Raw!$B$2:$B$391,$E269),4)),VALUE(MID(INDEX(Dataset3_Raw!$B$2:$B$391,$E269),4,2)),VALUE(LEFT(INDEX(Dataset3_Raw!$B$2:$B$391,$E269),2))))</f>
        <v>40555</v>
      </c>
      <c r="G269" s="23">
        <f>IF($C269&gt;0,INDEX(Merge_1_2!$C$2:$C$611,$C269),INDEX(Dataset3_Raw!$C$2:$C$391,$E269))</f>
        <v>1</v>
      </c>
      <c r="H269" s="23">
        <f>IF($C269&gt;0,INDEX(Merge_1_2!$D$2:$D$611,$C269),INDEX(Dataset3_Raw!$D$2:$D$391,$E269))</f>
        <v>0</v>
      </c>
      <c r="I269" s="23">
        <f>IF($C269&gt;0,INDEX(Merge_1_2!$E$2:$E$611,$C269),INDEX(Dataset3_Raw!$E$2:$E$391,$E269))</f>
        <v>1</v>
      </c>
      <c r="J269" s="23">
        <f>IF($C269&gt;0,INDEX(Merge_1_2!$F$2:$F$611,$C269),INDEX(Dataset3_Raw!$F$2:$F$391,$E269))</f>
        <v>14</v>
      </c>
      <c r="K269" s="23" t="b">
        <f>IF($C269&gt;0,INDEX(Merge_1_2!$G$2:$G$611,$C269),INDEX(Dataset3_Raw!$G$2:$G$391,$E269))</f>
        <v>0</v>
      </c>
      <c r="L269" s="23">
        <f>IF($C269&gt;0,INDEX(Merge_1_2!$H$2:$H$611,$C269),INDEX(Dataset3_Raw!$H$2:$H$391,$E269))</f>
        <v>3</v>
      </c>
      <c r="M269" s="23">
        <f>IF($C269&gt;0,INDEX(Merge_1_2!$I$2:$I$611,$C269),INDEX(Dataset3_Raw!$I$2:$I$391,$E269))</f>
        <v>1</v>
      </c>
      <c r="N269" s="25">
        <f>IF($C269&gt;0,INDEX(Merge_1_2!$J$2:$J$611,$C269),INDEX(Dataset3_Raw!$J$2:$J$391,$E269))</f>
        <v>0.2</v>
      </c>
      <c r="O269" s="25">
        <f>IF($C269&gt;0,IF(ISNUMBER(INDEX(Merge_1_2!$K$2:$K$611,$C269)),INDEX(Merge_1_2!$K$2:$K$611,$C269),""),INDEX(Dataset3_Raw!$K$2:$K$391,$E269))</f>
        <v>0.18179999999999999</v>
      </c>
      <c r="P269" s="25">
        <f>IF(ISNUMBER($O269),$O269,ROUND(Lookups!$B$25+Lookups!$B$24*$N269,4))</f>
        <v>0.18179999999999999</v>
      </c>
      <c r="Q269" s="25">
        <f>IF($C269&gt;0,INDEX(Merge_1_2!$L$2:$L$611,$C269),INDEX(Dataset3_Raw!$L$2:$L$391,$E269))</f>
        <v>0.47</v>
      </c>
      <c r="R269" s="25">
        <f>IF($C269&gt;0,INDEX(Merge_1_2!$M$2:$M$611,$C269),INDEX(Dataset3_Raw!$M$2:$M$391,$E269))</f>
        <v>0.32840000000000003</v>
      </c>
      <c r="S269" s="23">
        <f>IF($C269&gt;0,INDEX(Merge_1_2!$N$2:$N$611,$C269),INDEX(Dataset3_Raw!$N$2:$N$391,$E269))</f>
        <v>0</v>
      </c>
      <c r="T269" s="23">
        <f>IF($C269&gt;0,INDEX(Merge_1_2!$O$2:$O$611,$C269),INDEX(Dataset3_Raw!$O$2:$O$391,$E269))</f>
        <v>44</v>
      </c>
      <c r="U269" s="23">
        <f>IF($C269&gt;0,INDEX(Merge_1_2!$P$2:$P$611,$C269),INDEX(Dataset3_Raw!$P$2:$P$391,$E269))</f>
        <v>44</v>
      </c>
      <c r="V269" s="23" t="str">
        <f t="shared" si="25"/>
        <v>Weekday</v>
      </c>
      <c r="W269" s="23" t="str">
        <f>VLOOKUP($M269,Lookups!$A$5:$B$8,2,FALSE())</f>
        <v>Clear / Partly cloudy</v>
      </c>
      <c r="X269" s="23" t="str">
        <f>VLOOKUP($G269,Lookups!$D$5:$E$8,2,FALSE())</f>
        <v>Winter</v>
      </c>
      <c r="Y269" s="23" t="str">
        <f>VLOOKUP($L269,Lookups!$G$5:$H$11,2,FALSE())</f>
        <v>Wednesday</v>
      </c>
      <c r="Z269" s="23" t="str">
        <f>IF($J269&lt;Lookups!$B$26,"Night",IF($J269&lt;Lookups!$B$27,"Morning",IF($J269&lt;Lookups!$B$28,"Afternoon","Evening")))</f>
        <v>Afternoon</v>
      </c>
      <c r="AA269" s="26">
        <f>ROUND($N269*(Lookups!$B$16-Lookups!$B$15)+Lookups!$B$15,1)</f>
        <v>1.4</v>
      </c>
      <c r="AB269" s="26">
        <f>ROUND($P269*(Lookups!$B$18-Lookups!$B$17)+Lookups!$B$17,1)</f>
        <v>-4</v>
      </c>
      <c r="AC269" s="23">
        <f t="shared" si="26"/>
        <v>47</v>
      </c>
      <c r="AD269" s="23">
        <f>ROUND($R269*Lookups!$B$19,1)</f>
        <v>22</v>
      </c>
      <c r="AE269" s="27">
        <f t="shared" si="27"/>
        <v>1</v>
      </c>
      <c r="AF269" s="23" t="str">
        <f>IF($U269&gt;=Lookups!$B$23,"High",IF($U269&gt;=Lookups!$B$22,"Medium","Low"))</f>
        <v>Medium</v>
      </c>
      <c r="AG269" s="23">
        <f>ROUND(IF($V269="Weekday",IF(INDEX(Hourly_Analysis!$D$5:$D$28,$J269+1)&gt;0,($U269-INDEX(Hourly_Analysis!$C$5:$C$28,$J269+1))/INDEX(Hourly_Analysis!$D$5:$D$28,$J269+1),0),IF(INDEX(Hourly_Analysis!$G$5:$G$28,$J269+1)&gt;0,($U269-INDEX(Hourly_Analysis!$F$5:$F$28,$J269+1))/INDEX(Hourly_Analysis!$G$5:$G$28,$J269+1),0)),2)</f>
        <v>-0.98</v>
      </c>
      <c r="AH269" s="23" t="str">
        <f>IF(ABS($AG269)&gt;Lookups!$B$20,IF($AG269&gt;0,"High anomaly","Low anomaly"),"")</f>
        <v/>
      </c>
      <c r="AI269" s="23" t="str">
        <f t="shared" si="28"/>
        <v>OK</v>
      </c>
      <c r="AJ269" s="23" t="str">
        <f t="shared" si="29"/>
        <v>No</v>
      </c>
    </row>
    <row r="270" spans="1:36" x14ac:dyDescent="0.35">
      <c r="A270" s="23">
        <v>269</v>
      </c>
      <c r="B270" s="23" t="str">
        <f t="shared" si="24"/>
        <v>Merge 1+2</v>
      </c>
      <c r="C270" s="23">
        <f>IFERROR(MATCH($A270,Merge_1_2!$A$2:$A$611,0),0)</f>
        <v>269</v>
      </c>
      <c r="D270" s="23">
        <f>IF($C270&gt;0,INDEX(Merge_1_2!$Q$2:$Q$611,$C270),0)</f>
        <v>269</v>
      </c>
      <c r="E270" s="23">
        <f>IFERROR(MATCH($A270,Dataset3_Raw!$A$2:$A$391,0),0)</f>
        <v>0</v>
      </c>
      <c r="F270" s="24">
        <f>IF($C270&gt;0,INDEX(Merge_1_2!$B$2:$B$611,$C270),DATE(VALUE(RIGHT(INDEX(Dataset3_Raw!$B$2:$B$391,$E270),4)),VALUE(MID(INDEX(Dataset3_Raw!$B$2:$B$391,$E270),4,2)),VALUE(LEFT(INDEX(Dataset3_Raw!$B$2:$B$391,$E270),2))))</f>
        <v>40555</v>
      </c>
      <c r="G270" s="23">
        <f>IF($C270&gt;0,INDEX(Merge_1_2!$C$2:$C$611,$C270),INDEX(Dataset3_Raw!$C$2:$C$391,$E270))</f>
        <v>1</v>
      </c>
      <c r="H270" s="23">
        <f>IF($C270&gt;0,INDEX(Merge_1_2!$D$2:$D$611,$C270),INDEX(Dataset3_Raw!$D$2:$D$391,$E270))</f>
        <v>0</v>
      </c>
      <c r="I270" s="23">
        <f>IF($C270&gt;0,INDEX(Merge_1_2!$E$2:$E$611,$C270),INDEX(Dataset3_Raw!$E$2:$E$391,$E270))</f>
        <v>1</v>
      </c>
      <c r="J270" s="23">
        <f>IF($C270&gt;0,INDEX(Merge_1_2!$F$2:$F$611,$C270),INDEX(Dataset3_Raw!$F$2:$F$391,$E270))</f>
        <v>15</v>
      </c>
      <c r="K270" s="23" t="b">
        <f>IF($C270&gt;0,INDEX(Merge_1_2!$G$2:$G$611,$C270),INDEX(Dataset3_Raw!$G$2:$G$391,$E270))</f>
        <v>0</v>
      </c>
      <c r="L270" s="23">
        <f>IF($C270&gt;0,INDEX(Merge_1_2!$H$2:$H$611,$C270),INDEX(Dataset3_Raw!$H$2:$H$391,$E270))</f>
        <v>3</v>
      </c>
      <c r="M270" s="23">
        <f>IF($C270&gt;0,INDEX(Merge_1_2!$I$2:$I$611,$C270),INDEX(Dataset3_Raw!$I$2:$I$391,$E270))</f>
        <v>1</v>
      </c>
      <c r="N270" s="25">
        <f>IF($C270&gt;0,INDEX(Merge_1_2!$J$2:$J$611,$C270),INDEX(Dataset3_Raw!$J$2:$J$391,$E270))</f>
        <v>0.2</v>
      </c>
      <c r="O270" s="25">
        <f>IF($C270&gt;0,IF(ISNUMBER(INDEX(Merge_1_2!$K$2:$K$611,$C270)),INDEX(Merge_1_2!$K$2:$K$611,$C270),""),INDEX(Dataset3_Raw!$K$2:$K$391,$E270))</f>
        <v>0.16669999999999999</v>
      </c>
      <c r="P270" s="25">
        <f>IF(ISNUMBER($O270),$O270,ROUND(Lookups!$B$25+Lookups!$B$24*$N270,4))</f>
        <v>0.16669999999999999</v>
      </c>
      <c r="Q270" s="25">
        <f>IF($C270&gt;0,INDEX(Merge_1_2!$L$2:$L$611,$C270),INDEX(Dataset3_Raw!$L$2:$L$391,$E270))</f>
        <v>0.47</v>
      </c>
      <c r="R270" s="25">
        <f>IF($C270&gt;0,INDEX(Merge_1_2!$M$2:$M$611,$C270),INDEX(Dataset3_Raw!$M$2:$M$391,$E270))</f>
        <v>0.41789999999999999</v>
      </c>
      <c r="S270" s="23">
        <f>IF($C270&gt;0,INDEX(Merge_1_2!$N$2:$N$611,$C270),INDEX(Dataset3_Raw!$N$2:$N$391,$E270))</f>
        <v>1</v>
      </c>
      <c r="T270" s="23">
        <f>IF($C270&gt;0,INDEX(Merge_1_2!$O$2:$O$611,$C270),INDEX(Dataset3_Raw!$O$2:$O$391,$E270))</f>
        <v>48</v>
      </c>
      <c r="U270" s="23">
        <f>IF($C270&gt;0,INDEX(Merge_1_2!$P$2:$P$611,$C270),INDEX(Dataset3_Raw!$P$2:$P$391,$E270))</f>
        <v>49</v>
      </c>
      <c r="V270" s="23" t="str">
        <f t="shared" si="25"/>
        <v>Weekday</v>
      </c>
      <c r="W270" s="23" t="str">
        <f>VLOOKUP($M270,Lookups!$A$5:$B$8,2,FALSE())</f>
        <v>Clear / Partly cloudy</v>
      </c>
      <c r="X270" s="23" t="str">
        <f>VLOOKUP($G270,Lookups!$D$5:$E$8,2,FALSE())</f>
        <v>Winter</v>
      </c>
      <c r="Y270" s="23" t="str">
        <f>VLOOKUP($L270,Lookups!$G$5:$H$11,2,FALSE())</f>
        <v>Wednesday</v>
      </c>
      <c r="Z270" s="23" t="str">
        <f>IF($J270&lt;Lookups!$B$26,"Night",IF($J270&lt;Lookups!$B$27,"Morning",IF($J270&lt;Lookups!$B$28,"Afternoon","Evening")))</f>
        <v>Afternoon</v>
      </c>
      <c r="AA270" s="26">
        <f>ROUND($N270*(Lookups!$B$16-Lookups!$B$15)+Lookups!$B$15,1)</f>
        <v>1.4</v>
      </c>
      <c r="AB270" s="26">
        <f>ROUND($P270*(Lookups!$B$18-Lookups!$B$17)+Lookups!$B$17,1)</f>
        <v>-5</v>
      </c>
      <c r="AC270" s="23">
        <f t="shared" si="26"/>
        <v>47</v>
      </c>
      <c r="AD270" s="23">
        <f>ROUND($R270*Lookups!$B$19,1)</f>
        <v>28</v>
      </c>
      <c r="AE270" s="27">
        <f t="shared" si="27"/>
        <v>0.97959183673469385</v>
      </c>
      <c r="AF270" s="23" t="str">
        <f>IF($U270&gt;=Lookups!$B$23,"High",IF($U270&gt;=Lookups!$B$22,"Medium","Low"))</f>
        <v>Medium</v>
      </c>
      <c r="AG270" s="23">
        <f>ROUND(IF($V270="Weekday",IF(INDEX(Hourly_Analysis!$D$5:$D$28,$J270+1)&gt;0,($U270-INDEX(Hourly_Analysis!$C$5:$C$28,$J270+1))/INDEX(Hourly_Analysis!$D$5:$D$28,$J270+1),0),IF(INDEX(Hourly_Analysis!$G$5:$G$28,$J270+1)&gt;0,($U270-INDEX(Hourly_Analysis!$F$5:$F$28,$J270+1))/INDEX(Hourly_Analysis!$G$5:$G$28,$J270+1),0)),2)</f>
        <v>-0.81</v>
      </c>
      <c r="AH270" s="23" t="str">
        <f>IF(ABS($AG270)&gt;Lookups!$B$20,IF($AG270&gt;0,"High anomaly","Low anomaly"),"")</f>
        <v/>
      </c>
      <c r="AI270" s="23" t="str">
        <f t="shared" si="28"/>
        <v>OK</v>
      </c>
      <c r="AJ270" s="23" t="str">
        <f t="shared" si="29"/>
        <v>No</v>
      </c>
    </row>
    <row r="271" spans="1:36" x14ac:dyDescent="0.35">
      <c r="A271" s="23">
        <v>270</v>
      </c>
      <c r="B271" s="23" t="str">
        <f t="shared" si="24"/>
        <v>Merge 1+2</v>
      </c>
      <c r="C271" s="23">
        <f>IFERROR(MATCH($A271,Merge_1_2!$A$2:$A$611,0),0)</f>
        <v>270</v>
      </c>
      <c r="D271" s="23">
        <f>IF($C271&gt;0,INDEX(Merge_1_2!$Q$2:$Q$611,$C271),0)</f>
        <v>270</v>
      </c>
      <c r="E271" s="23">
        <f>IFERROR(MATCH($A271,Dataset3_Raw!$A$2:$A$391,0),0)</f>
        <v>0</v>
      </c>
      <c r="F271" s="24">
        <f>IF($C271&gt;0,INDEX(Merge_1_2!$B$2:$B$611,$C271),DATE(VALUE(RIGHT(INDEX(Dataset3_Raw!$B$2:$B$391,$E271),4)),VALUE(MID(INDEX(Dataset3_Raw!$B$2:$B$391,$E271),4,2)),VALUE(LEFT(INDEX(Dataset3_Raw!$B$2:$B$391,$E271),2))))</f>
        <v>40555</v>
      </c>
      <c r="G271" s="23">
        <f>IF($C271&gt;0,INDEX(Merge_1_2!$C$2:$C$611,$C271),INDEX(Dataset3_Raw!$C$2:$C$391,$E271))</f>
        <v>1</v>
      </c>
      <c r="H271" s="23">
        <f>IF($C271&gt;0,INDEX(Merge_1_2!$D$2:$D$611,$C271),INDEX(Dataset3_Raw!$D$2:$D$391,$E271))</f>
        <v>0</v>
      </c>
      <c r="I271" s="23">
        <f>IF($C271&gt;0,INDEX(Merge_1_2!$E$2:$E$611,$C271),INDEX(Dataset3_Raw!$E$2:$E$391,$E271))</f>
        <v>1</v>
      </c>
      <c r="J271" s="23">
        <f>IF($C271&gt;0,INDEX(Merge_1_2!$F$2:$F$611,$C271),INDEX(Dataset3_Raw!$F$2:$F$391,$E271))</f>
        <v>16</v>
      </c>
      <c r="K271" s="23" t="b">
        <f>IF($C271&gt;0,INDEX(Merge_1_2!$G$2:$G$611,$C271),INDEX(Dataset3_Raw!$G$2:$G$391,$E271))</f>
        <v>0</v>
      </c>
      <c r="L271" s="23">
        <f>IF($C271&gt;0,INDEX(Merge_1_2!$H$2:$H$611,$C271),INDEX(Dataset3_Raw!$H$2:$H$391,$E271))</f>
        <v>3</v>
      </c>
      <c r="M271" s="23">
        <f>IF($C271&gt;0,INDEX(Merge_1_2!$I$2:$I$611,$C271),INDEX(Dataset3_Raw!$I$2:$I$391,$E271))</f>
        <v>1</v>
      </c>
      <c r="N271" s="25">
        <f>IF($C271&gt;0,INDEX(Merge_1_2!$J$2:$J$611,$C271),INDEX(Dataset3_Raw!$J$2:$J$391,$E271))</f>
        <v>0.22</v>
      </c>
      <c r="O271" s="25">
        <f>IF($C271&gt;0,IF(ISNUMBER(INDEX(Merge_1_2!$K$2:$K$611,$C271)),INDEX(Merge_1_2!$K$2:$K$611,$C271),""),INDEX(Dataset3_Raw!$K$2:$K$391,$E271))</f>
        <v>0.19700000000000001</v>
      </c>
      <c r="P271" s="25">
        <f>IF(ISNUMBER($O271),$O271,ROUND(Lookups!$B$25+Lookups!$B$24*$N271,4))</f>
        <v>0.19700000000000001</v>
      </c>
      <c r="Q271" s="25">
        <f>IF($C271&gt;0,INDEX(Merge_1_2!$L$2:$L$611,$C271),INDEX(Dataset3_Raw!$L$2:$L$391,$E271))</f>
        <v>0.44</v>
      </c>
      <c r="R271" s="25">
        <f>IF($C271&gt;0,INDEX(Merge_1_2!$M$2:$M$611,$C271),INDEX(Dataset3_Raw!$M$2:$M$391,$E271))</f>
        <v>0.32840000000000003</v>
      </c>
      <c r="S271" s="23">
        <f>IF($C271&gt;0,INDEX(Merge_1_2!$N$2:$N$611,$C271),INDEX(Dataset3_Raw!$N$2:$N$391,$E271))</f>
        <v>5</v>
      </c>
      <c r="T271" s="23">
        <f>IF($C271&gt;0,INDEX(Merge_1_2!$O$2:$O$611,$C271),INDEX(Dataset3_Raw!$O$2:$O$391,$E271))</f>
        <v>63</v>
      </c>
      <c r="U271" s="23">
        <f>IF($C271&gt;0,INDEX(Merge_1_2!$P$2:$P$611,$C271),INDEX(Dataset3_Raw!$P$2:$P$391,$E271))</f>
        <v>68</v>
      </c>
      <c r="V271" s="23" t="str">
        <f t="shared" si="25"/>
        <v>Weekday</v>
      </c>
      <c r="W271" s="23" t="str">
        <f>VLOOKUP($M271,Lookups!$A$5:$B$8,2,FALSE())</f>
        <v>Clear / Partly cloudy</v>
      </c>
      <c r="X271" s="23" t="str">
        <f>VLOOKUP($G271,Lookups!$D$5:$E$8,2,FALSE())</f>
        <v>Winter</v>
      </c>
      <c r="Y271" s="23" t="str">
        <f>VLOOKUP($L271,Lookups!$G$5:$H$11,2,FALSE())</f>
        <v>Wednesday</v>
      </c>
      <c r="Z271" s="23" t="str">
        <f>IF($J271&lt;Lookups!$B$26,"Night",IF($J271&lt;Lookups!$B$27,"Morning",IF($J271&lt;Lookups!$B$28,"Afternoon","Evening")))</f>
        <v>Afternoon</v>
      </c>
      <c r="AA271" s="26">
        <f>ROUND($N271*(Lookups!$B$16-Lookups!$B$15)+Lookups!$B$15,1)</f>
        <v>2.2999999999999998</v>
      </c>
      <c r="AB271" s="26">
        <f>ROUND($P271*(Lookups!$B$18-Lookups!$B$17)+Lookups!$B$17,1)</f>
        <v>-3</v>
      </c>
      <c r="AC271" s="23">
        <f t="shared" si="26"/>
        <v>44</v>
      </c>
      <c r="AD271" s="23">
        <f>ROUND($R271*Lookups!$B$19,1)</f>
        <v>22</v>
      </c>
      <c r="AE271" s="27">
        <f t="shared" si="27"/>
        <v>0.92647058823529416</v>
      </c>
      <c r="AF271" s="23" t="str">
        <f>IF($U271&gt;=Lookups!$B$23,"High",IF($U271&gt;=Lookups!$B$22,"Medium","Low"))</f>
        <v>Medium</v>
      </c>
      <c r="AG271" s="23">
        <f>ROUND(IF($V271="Weekday",IF(INDEX(Hourly_Analysis!$D$5:$D$28,$J271+1)&gt;0,($U271-INDEX(Hourly_Analysis!$C$5:$C$28,$J271+1))/INDEX(Hourly_Analysis!$D$5:$D$28,$J271+1),0),IF(INDEX(Hourly_Analysis!$G$5:$G$28,$J271+1)&gt;0,($U271-INDEX(Hourly_Analysis!$F$5:$F$28,$J271+1))/INDEX(Hourly_Analysis!$G$5:$G$28,$J271+1),0)),2)</f>
        <v>-0.69</v>
      </c>
      <c r="AH271" s="23" t="str">
        <f>IF(ABS($AG271)&gt;Lookups!$B$20,IF($AG271&gt;0,"High anomaly","Low anomaly"),"")</f>
        <v/>
      </c>
      <c r="AI271" s="23" t="str">
        <f t="shared" si="28"/>
        <v>OK</v>
      </c>
      <c r="AJ271" s="23" t="str">
        <f t="shared" si="29"/>
        <v>No</v>
      </c>
    </row>
    <row r="272" spans="1:36" x14ac:dyDescent="0.35">
      <c r="A272" s="23">
        <v>271</v>
      </c>
      <c r="B272" s="23" t="str">
        <f t="shared" si="24"/>
        <v>Merge 1+2</v>
      </c>
      <c r="C272" s="23">
        <f>IFERROR(MATCH($A272,Merge_1_2!$A$2:$A$611,0),0)</f>
        <v>271</v>
      </c>
      <c r="D272" s="23">
        <f>IF($C272&gt;0,INDEX(Merge_1_2!$Q$2:$Q$611,$C272),0)</f>
        <v>271</v>
      </c>
      <c r="E272" s="23">
        <f>IFERROR(MATCH($A272,Dataset3_Raw!$A$2:$A$391,0),0)</f>
        <v>0</v>
      </c>
      <c r="F272" s="24">
        <f>IF($C272&gt;0,INDEX(Merge_1_2!$B$2:$B$611,$C272),DATE(VALUE(RIGHT(INDEX(Dataset3_Raw!$B$2:$B$391,$E272),4)),VALUE(MID(INDEX(Dataset3_Raw!$B$2:$B$391,$E272),4,2)),VALUE(LEFT(INDEX(Dataset3_Raw!$B$2:$B$391,$E272),2))))</f>
        <v>40555</v>
      </c>
      <c r="G272" s="23">
        <f>IF($C272&gt;0,INDEX(Merge_1_2!$C$2:$C$611,$C272),INDEX(Dataset3_Raw!$C$2:$C$391,$E272))</f>
        <v>1</v>
      </c>
      <c r="H272" s="23">
        <f>IF($C272&gt;0,INDEX(Merge_1_2!$D$2:$D$611,$C272),INDEX(Dataset3_Raw!$D$2:$D$391,$E272))</f>
        <v>0</v>
      </c>
      <c r="I272" s="23">
        <f>IF($C272&gt;0,INDEX(Merge_1_2!$E$2:$E$611,$C272),INDEX(Dataset3_Raw!$E$2:$E$391,$E272))</f>
        <v>1</v>
      </c>
      <c r="J272" s="23">
        <f>IF($C272&gt;0,INDEX(Merge_1_2!$F$2:$F$611,$C272),INDEX(Dataset3_Raw!$F$2:$F$391,$E272))</f>
        <v>17</v>
      </c>
      <c r="K272" s="23" t="b">
        <f>IF($C272&gt;0,INDEX(Merge_1_2!$G$2:$G$611,$C272),INDEX(Dataset3_Raw!$G$2:$G$391,$E272))</f>
        <v>0</v>
      </c>
      <c r="L272" s="23">
        <f>IF($C272&gt;0,INDEX(Merge_1_2!$H$2:$H$611,$C272),INDEX(Dataset3_Raw!$H$2:$H$391,$E272))</f>
        <v>3</v>
      </c>
      <c r="M272" s="23">
        <f>IF($C272&gt;0,INDEX(Merge_1_2!$I$2:$I$611,$C272),INDEX(Dataset3_Raw!$I$2:$I$391,$E272))</f>
        <v>1</v>
      </c>
      <c r="N272" s="25">
        <f>IF($C272&gt;0,INDEX(Merge_1_2!$J$2:$J$611,$C272),INDEX(Dataset3_Raw!$J$2:$J$391,$E272))</f>
        <v>0.2</v>
      </c>
      <c r="O272" s="25">
        <f>IF($C272&gt;0,IF(ISNUMBER(INDEX(Merge_1_2!$K$2:$K$611,$C272)),INDEX(Merge_1_2!$K$2:$K$611,$C272),""),INDEX(Dataset3_Raw!$K$2:$K$391,$E272))</f>
        <v>0.18179999999999999</v>
      </c>
      <c r="P272" s="25">
        <f>IF(ISNUMBER($O272),$O272,ROUND(Lookups!$B$25+Lookups!$B$24*$N272,4))</f>
        <v>0.18179999999999999</v>
      </c>
      <c r="Q272" s="25">
        <f>IF($C272&gt;0,INDEX(Merge_1_2!$L$2:$L$611,$C272),INDEX(Dataset3_Raw!$L$2:$L$391,$E272))</f>
        <v>0.47</v>
      </c>
      <c r="R272" s="25">
        <f>IF($C272&gt;0,INDEX(Merge_1_2!$M$2:$M$611,$C272),INDEX(Dataset3_Raw!$M$2:$M$391,$E272))</f>
        <v>0.35820000000000002</v>
      </c>
      <c r="S272" s="23">
        <f>IF($C272&gt;0,INDEX(Merge_1_2!$N$2:$N$611,$C272),INDEX(Dataset3_Raw!$N$2:$N$391,$E272))</f>
        <v>0</v>
      </c>
      <c r="T272" s="23">
        <f>IF($C272&gt;0,INDEX(Merge_1_2!$O$2:$O$611,$C272),INDEX(Dataset3_Raw!$O$2:$O$391,$E272))</f>
        <v>139</v>
      </c>
      <c r="U272" s="23">
        <f>IF($C272&gt;0,INDEX(Merge_1_2!$P$2:$P$611,$C272),INDEX(Dataset3_Raw!$P$2:$P$391,$E272))</f>
        <v>139</v>
      </c>
      <c r="V272" s="23" t="str">
        <f t="shared" si="25"/>
        <v>Weekday</v>
      </c>
      <c r="W272" s="23" t="str">
        <f>VLOOKUP($M272,Lookups!$A$5:$B$8,2,FALSE())</f>
        <v>Clear / Partly cloudy</v>
      </c>
      <c r="X272" s="23" t="str">
        <f>VLOOKUP($G272,Lookups!$D$5:$E$8,2,FALSE())</f>
        <v>Winter</v>
      </c>
      <c r="Y272" s="23" t="str">
        <f>VLOOKUP($L272,Lookups!$G$5:$H$11,2,FALSE())</f>
        <v>Wednesday</v>
      </c>
      <c r="Z272" s="23" t="str">
        <f>IF($J272&lt;Lookups!$B$26,"Night",IF($J272&lt;Lookups!$B$27,"Morning",IF($J272&lt;Lookups!$B$28,"Afternoon","Evening")))</f>
        <v>Afternoon</v>
      </c>
      <c r="AA272" s="26">
        <f>ROUND($N272*(Lookups!$B$16-Lookups!$B$15)+Lookups!$B$15,1)</f>
        <v>1.4</v>
      </c>
      <c r="AB272" s="26">
        <f>ROUND($P272*(Lookups!$B$18-Lookups!$B$17)+Lookups!$B$17,1)</f>
        <v>-4</v>
      </c>
      <c r="AC272" s="23">
        <f t="shared" si="26"/>
        <v>47</v>
      </c>
      <c r="AD272" s="23">
        <f>ROUND($R272*Lookups!$B$19,1)</f>
        <v>24</v>
      </c>
      <c r="AE272" s="27">
        <f t="shared" si="27"/>
        <v>1</v>
      </c>
      <c r="AF272" s="23" t="str">
        <f>IF($U272&gt;=Lookups!$B$23,"High",IF($U272&gt;=Lookups!$B$22,"Medium","Low"))</f>
        <v>High</v>
      </c>
      <c r="AG272" s="23">
        <f>ROUND(IF($V272="Weekday",IF(INDEX(Hourly_Analysis!$D$5:$D$28,$J272+1)&gt;0,($U272-INDEX(Hourly_Analysis!$C$5:$C$28,$J272+1))/INDEX(Hourly_Analysis!$D$5:$D$28,$J272+1),0),IF(INDEX(Hourly_Analysis!$G$5:$G$28,$J272+1)&gt;0,($U272-INDEX(Hourly_Analysis!$F$5:$F$28,$J272+1))/INDEX(Hourly_Analysis!$G$5:$G$28,$J272+1),0)),2)</f>
        <v>-0.73</v>
      </c>
      <c r="AH272" s="23" t="str">
        <f>IF(ABS($AG272)&gt;Lookups!$B$20,IF($AG272&gt;0,"High anomaly","Low anomaly"),"")</f>
        <v/>
      </c>
      <c r="AI272" s="23" t="str">
        <f t="shared" si="28"/>
        <v>OK</v>
      </c>
      <c r="AJ272" s="23" t="str">
        <f t="shared" si="29"/>
        <v>No</v>
      </c>
    </row>
    <row r="273" spans="1:36" x14ac:dyDescent="0.35">
      <c r="A273" s="23">
        <v>272</v>
      </c>
      <c r="B273" s="23" t="str">
        <f t="shared" si="24"/>
        <v>Merge 1+2</v>
      </c>
      <c r="C273" s="23">
        <f>IFERROR(MATCH($A273,Merge_1_2!$A$2:$A$611,0),0)</f>
        <v>272</v>
      </c>
      <c r="D273" s="23">
        <f>IF($C273&gt;0,INDEX(Merge_1_2!$Q$2:$Q$611,$C273),0)</f>
        <v>272</v>
      </c>
      <c r="E273" s="23">
        <f>IFERROR(MATCH($A273,Dataset3_Raw!$A$2:$A$391,0),0)</f>
        <v>0</v>
      </c>
      <c r="F273" s="24">
        <f>IF($C273&gt;0,INDEX(Merge_1_2!$B$2:$B$611,$C273),DATE(VALUE(RIGHT(INDEX(Dataset3_Raw!$B$2:$B$391,$E273),4)),VALUE(MID(INDEX(Dataset3_Raw!$B$2:$B$391,$E273),4,2)),VALUE(LEFT(INDEX(Dataset3_Raw!$B$2:$B$391,$E273),2))))</f>
        <v>40555</v>
      </c>
      <c r="G273" s="23">
        <f>IF($C273&gt;0,INDEX(Merge_1_2!$C$2:$C$611,$C273),INDEX(Dataset3_Raw!$C$2:$C$391,$E273))</f>
        <v>1</v>
      </c>
      <c r="H273" s="23">
        <f>IF($C273&gt;0,INDEX(Merge_1_2!$D$2:$D$611,$C273),INDEX(Dataset3_Raw!$D$2:$D$391,$E273))</f>
        <v>0</v>
      </c>
      <c r="I273" s="23">
        <f>IF($C273&gt;0,INDEX(Merge_1_2!$E$2:$E$611,$C273),INDEX(Dataset3_Raw!$E$2:$E$391,$E273))</f>
        <v>1</v>
      </c>
      <c r="J273" s="23">
        <f>IF($C273&gt;0,INDEX(Merge_1_2!$F$2:$F$611,$C273),INDEX(Dataset3_Raw!$F$2:$F$391,$E273))</f>
        <v>18</v>
      </c>
      <c r="K273" s="23" t="b">
        <f>IF($C273&gt;0,INDEX(Merge_1_2!$G$2:$G$611,$C273),INDEX(Dataset3_Raw!$G$2:$G$391,$E273))</f>
        <v>0</v>
      </c>
      <c r="L273" s="23">
        <f>IF($C273&gt;0,INDEX(Merge_1_2!$H$2:$H$611,$C273),INDEX(Dataset3_Raw!$H$2:$H$391,$E273))</f>
        <v>3</v>
      </c>
      <c r="M273" s="23">
        <f>IF($C273&gt;0,INDEX(Merge_1_2!$I$2:$I$611,$C273),INDEX(Dataset3_Raw!$I$2:$I$391,$E273))</f>
        <v>1</v>
      </c>
      <c r="N273" s="25">
        <f>IF($C273&gt;0,INDEX(Merge_1_2!$J$2:$J$611,$C273),INDEX(Dataset3_Raw!$J$2:$J$391,$E273))</f>
        <v>0.2</v>
      </c>
      <c r="O273" s="25">
        <f>IF($C273&gt;0,IF(ISNUMBER(INDEX(Merge_1_2!$K$2:$K$611,$C273)),INDEX(Merge_1_2!$K$2:$K$611,$C273),""),INDEX(Dataset3_Raw!$K$2:$K$391,$E273))</f>
        <v>0.1515</v>
      </c>
      <c r="P273" s="25">
        <f>IF(ISNUMBER($O273),$O273,ROUND(Lookups!$B$25+Lookups!$B$24*$N273,4))</f>
        <v>0.1515</v>
      </c>
      <c r="Q273" s="25">
        <f>IF($C273&gt;0,INDEX(Merge_1_2!$L$2:$L$611,$C273),INDEX(Dataset3_Raw!$L$2:$L$391,$E273))</f>
        <v>0.47</v>
      </c>
      <c r="R273" s="25">
        <f>IF($C273&gt;0,INDEX(Merge_1_2!$M$2:$M$611,$C273),INDEX(Dataset3_Raw!$M$2:$M$391,$E273))</f>
        <v>0.52239999999999998</v>
      </c>
      <c r="S273" s="23">
        <f>IF($C273&gt;0,INDEX(Merge_1_2!$N$2:$N$611,$C273),INDEX(Dataset3_Raw!$N$2:$N$391,$E273))</f>
        <v>2</v>
      </c>
      <c r="T273" s="23">
        <f>IF($C273&gt;0,INDEX(Merge_1_2!$O$2:$O$611,$C273),INDEX(Dataset3_Raw!$O$2:$O$391,$E273))</f>
        <v>135</v>
      </c>
      <c r="U273" s="23">
        <f>IF($C273&gt;0,INDEX(Merge_1_2!$P$2:$P$611,$C273),INDEX(Dataset3_Raw!$P$2:$P$391,$E273))</f>
        <v>137</v>
      </c>
      <c r="V273" s="23" t="str">
        <f t="shared" si="25"/>
        <v>Weekday</v>
      </c>
      <c r="W273" s="23" t="str">
        <f>VLOOKUP($M273,Lookups!$A$5:$B$8,2,FALSE())</f>
        <v>Clear / Partly cloudy</v>
      </c>
      <c r="X273" s="23" t="str">
        <f>VLOOKUP($G273,Lookups!$D$5:$E$8,2,FALSE())</f>
        <v>Winter</v>
      </c>
      <c r="Y273" s="23" t="str">
        <f>VLOOKUP($L273,Lookups!$G$5:$H$11,2,FALSE())</f>
        <v>Wednesday</v>
      </c>
      <c r="Z273" s="23" t="str">
        <f>IF($J273&lt;Lookups!$B$26,"Night",IF($J273&lt;Lookups!$B$27,"Morning",IF($J273&lt;Lookups!$B$28,"Afternoon","Evening")))</f>
        <v>Evening</v>
      </c>
      <c r="AA273" s="26">
        <f>ROUND($N273*(Lookups!$B$16-Lookups!$B$15)+Lookups!$B$15,1)</f>
        <v>1.4</v>
      </c>
      <c r="AB273" s="26">
        <f>ROUND($P273*(Lookups!$B$18-Lookups!$B$17)+Lookups!$B$17,1)</f>
        <v>-6</v>
      </c>
      <c r="AC273" s="23">
        <f t="shared" si="26"/>
        <v>47</v>
      </c>
      <c r="AD273" s="23">
        <f>ROUND($R273*Lookups!$B$19,1)</f>
        <v>35</v>
      </c>
      <c r="AE273" s="27">
        <f t="shared" si="27"/>
        <v>0.98540145985401462</v>
      </c>
      <c r="AF273" s="23" t="str">
        <f>IF($U273&gt;=Lookups!$B$23,"High",IF($U273&gt;=Lookups!$B$22,"Medium","Low"))</f>
        <v>High</v>
      </c>
      <c r="AG273" s="23">
        <f>ROUND(IF($V273="Weekday",IF(INDEX(Hourly_Analysis!$D$5:$D$28,$J273+1)&gt;0,($U273-INDEX(Hourly_Analysis!$C$5:$C$28,$J273+1))/INDEX(Hourly_Analysis!$D$5:$D$28,$J273+1),0),IF(INDEX(Hourly_Analysis!$G$5:$G$28,$J273+1)&gt;0,($U273-INDEX(Hourly_Analysis!$F$5:$F$28,$J273+1))/INDEX(Hourly_Analysis!$G$5:$G$28,$J273+1),0)),2)</f>
        <v>-0.59</v>
      </c>
      <c r="AH273" s="23" t="str">
        <f>IF(ABS($AG273)&gt;Lookups!$B$20,IF($AG273&gt;0,"High anomaly","Low anomaly"),"")</f>
        <v/>
      </c>
      <c r="AI273" s="23" t="str">
        <f t="shared" si="28"/>
        <v>OK</v>
      </c>
      <c r="AJ273" s="23" t="str">
        <f t="shared" si="29"/>
        <v>No</v>
      </c>
    </row>
    <row r="274" spans="1:36" x14ac:dyDescent="0.35">
      <c r="A274" s="23">
        <v>273</v>
      </c>
      <c r="B274" s="23" t="str">
        <f t="shared" si="24"/>
        <v>Merge 1+2</v>
      </c>
      <c r="C274" s="23">
        <f>IFERROR(MATCH($A274,Merge_1_2!$A$2:$A$611,0),0)</f>
        <v>273</v>
      </c>
      <c r="D274" s="23">
        <f>IF($C274&gt;0,INDEX(Merge_1_2!$Q$2:$Q$611,$C274),0)</f>
        <v>273</v>
      </c>
      <c r="E274" s="23">
        <f>IFERROR(MATCH($A274,Dataset3_Raw!$A$2:$A$391,0),0)</f>
        <v>0</v>
      </c>
      <c r="F274" s="24">
        <f>IF($C274&gt;0,INDEX(Merge_1_2!$B$2:$B$611,$C274),DATE(VALUE(RIGHT(INDEX(Dataset3_Raw!$B$2:$B$391,$E274),4)),VALUE(MID(INDEX(Dataset3_Raw!$B$2:$B$391,$E274),4,2)),VALUE(LEFT(INDEX(Dataset3_Raw!$B$2:$B$391,$E274),2))))</f>
        <v>40555</v>
      </c>
      <c r="G274" s="23">
        <f>IF($C274&gt;0,INDEX(Merge_1_2!$C$2:$C$611,$C274),INDEX(Dataset3_Raw!$C$2:$C$391,$E274))</f>
        <v>1</v>
      </c>
      <c r="H274" s="23">
        <f>IF($C274&gt;0,INDEX(Merge_1_2!$D$2:$D$611,$C274),INDEX(Dataset3_Raw!$D$2:$D$391,$E274))</f>
        <v>0</v>
      </c>
      <c r="I274" s="23">
        <f>IF($C274&gt;0,INDEX(Merge_1_2!$E$2:$E$611,$C274),INDEX(Dataset3_Raw!$E$2:$E$391,$E274))</f>
        <v>1</v>
      </c>
      <c r="J274" s="23">
        <f>IF($C274&gt;0,INDEX(Merge_1_2!$F$2:$F$611,$C274),INDEX(Dataset3_Raw!$F$2:$F$391,$E274))</f>
        <v>19</v>
      </c>
      <c r="K274" s="23" t="b">
        <f>IF($C274&gt;0,INDEX(Merge_1_2!$G$2:$G$611,$C274),INDEX(Dataset3_Raw!$G$2:$G$391,$E274))</f>
        <v>0</v>
      </c>
      <c r="L274" s="23">
        <f>IF($C274&gt;0,INDEX(Merge_1_2!$H$2:$H$611,$C274),INDEX(Dataset3_Raw!$H$2:$H$391,$E274))</f>
        <v>3</v>
      </c>
      <c r="M274" s="23">
        <f>IF($C274&gt;0,INDEX(Merge_1_2!$I$2:$I$611,$C274),INDEX(Dataset3_Raw!$I$2:$I$391,$E274))</f>
        <v>1</v>
      </c>
      <c r="N274" s="25">
        <f>IF($C274&gt;0,INDEX(Merge_1_2!$J$2:$J$611,$C274),INDEX(Dataset3_Raw!$J$2:$J$391,$E274))</f>
        <v>0.18</v>
      </c>
      <c r="O274" s="25">
        <f>IF($C274&gt;0,IF(ISNUMBER(INDEX(Merge_1_2!$K$2:$K$611,$C274)),INDEX(Merge_1_2!$K$2:$K$611,$C274),""),INDEX(Dataset3_Raw!$K$2:$K$391,$E274))</f>
        <v>0.1515</v>
      </c>
      <c r="P274" s="25">
        <f>IF(ISNUMBER($O274),$O274,ROUND(Lookups!$B$25+Lookups!$B$24*$N274,4))</f>
        <v>0.1515</v>
      </c>
      <c r="Q274" s="25">
        <f>IF($C274&gt;0,INDEX(Merge_1_2!$L$2:$L$611,$C274),INDEX(Dataset3_Raw!$L$2:$L$391,$E274))</f>
        <v>0.47</v>
      </c>
      <c r="R274" s="25">
        <f>IF($C274&gt;0,INDEX(Merge_1_2!$M$2:$M$611,$C274),INDEX(Dataset3_Raw!$M$2:$M$391,$E274))</f>
        <v>0.41789999999999999</v>
      </c>
      <c r="S274" s="23">
        <f>IF($C274&gt;0,INDEX(Merge_1_2!$N$2:$N$611,$C274),INDEX(Dataset3_Raw!$N$2:$N$391,$E274))</f>
        <v>1</v>
      </c>
      <c r="T274" s="23">
        <f>IF($C274&gt;0,INDEX(Merge_1_2!$O$2:$O$611,$C274),INDEX(Dataset3_Raw!$O$2:$O$391,$E274))</f>
        <v>82</v>
      </c>
      <c r="U274" s="23">
        <f>IF($C274&gt;0,INDEX(Merge_1_2!$P$2:$P$611,$C274),INDEX(Dataset3_Raw!$P$2:$P$391,$E274))</f>
        <v>83</v>
      </c>
      <c r="V274" s="23" t="str">
        <f t="shared" si="25"/>
        <v>Weekday</v>
      </c>
      <c r="W274" s="23" t="str">
        <f>VLOOKUP($M274,Lookups!$A$5:$B$8,2,FALSE())</f>
        <v>Clear / Partly cloudy</v>
      </c>
      <c r="X274" s="23" t="str">
        <f>VLOOKUP($G274,Lookups!$D$5:$E$8,2,FALSE())</f>
        <v>Winter</v>
      </c>
      <c r="Y274" s="23" t="str">
        <f>VLOOKUP($L274,Lookups!$G$5:$H$11,2,FALSE())</f>
        <v>Wednesday</v>
      </c>
      <c r="Z274" s="23" t="str">
        <f>IF($J274&lt;Lookups!$B$26,"Night",IF($J274&lt;Lookups!$B$27,"Morning",IF($J274&lt;Lookups!$B$28,"Afternoon","Evening")))</f>
        <v>Evening</v>
      </c>
      <c r="AA274" s="26">
        <f>ROUND($N274*(Lookups!$B$16-Lookups!$B$15)+Lookups!$B$15,1)</f>
        <v>0.5</v>
      </c>
      <c r="AB274" s="26">
        <f>ROUND($P274*(Lookups!$B$18-Lookups!$B$17)+Lookups!$B$17,1)</f>
        <v>-6</v>
      </c>
      <c r="AC274" s="23">
        <f t="shared" si="26"/>
        <v>47</v>
      </c>
      <c r="AD274" s="23">
        <f>ROUND($R274*Lookups!$B$19,1)</f>
        <v>28</v>
      </c>
      <c r="AE274" s="27">
        <f t="shared" si="27"/>
        <v>0.98795180722891562</v>
      </c>
      <c r="AF274" s="23" t="str">
        <f>IF($U274&gt;=Lookups!$B$23,"High",IF($U274&gt;=Lookups!$B$22,"Medium","Low"))</f>
        <v>High</v>
      </c>
      <c r="AG274" s="23">
        <f>ROUND(IF($V274="Weekday",IF(INDEX(Hourly_Analysis!$D$5:$D$28,$J274+1)&gt;0,($U274-INDEX(Hourly_Analysis!$C$5:$C$28,$J274+1))/INDEX(Hourly_Analysis!$D$5:$D$28,$J274+1),0),IF(INDEX(Hourly_Analysis!$G$5:$G$28,$J274+1)&gt;0,($U274-INDEX(Hourly_Analysis!$F$5:$F$28,$J274+1))/INDEX(Hourly_Analysis!$G$5:$G$28,$J274+1),0)),2)</f>
        <v>-1.03</v>
      </c>
      <c r="AH274" s="23" t="str">
        <f>IF(ABS($AG274)&gt;Lookups!$B$20,IF($AG274&gt;0,"High anomaly","Low anomaly"),"")</f>
        <v/>
      </c>
      <c r="AI274" s="23" t="str">
        <f t="shared" si="28"/>
        <v>OK</v>
      </c>
      <c r="AJ274" s="23" t="str">
        <f t="shared" si="29"/>
        <v>No</v>
      </c>
    </row>
    <row r="275" spans="1:36" x14ac:dyDescent="0.35">
      <c r="A275" s="23">
        <v>274</v>
      </c>
      <c r="B275" s="23" t="str">
        <f t="shared" si="24"/>
        <v>Merge 1+2</v>
      </c>
      <c r="C275" s="23">
        <f>IFERROR(MATCH($A275,Merge_1_2!$A$2:$A$611,0),0)</f>
        <v>274</v>
      </c>
      <c r="D275" s="23">
        <f>IF($C275&gt;0,INDEX(Merge_1_2!$Q$2:$Q$611,$C275),0)</f>
        <v>274</v>
      </c>
      <c r="E275" s="23">
        <f>IFERROR(MATCH($A275,Dataset3_Raw!$A$2:$A$391,0),0)</f>
        <v>0</v>
      </c>
      <c r="F275" s="24">
        <f>IF($C275&gt;0,INDEX(Merge_1_2!$B$2:$B$611,$C275),DATE(VALUE(RIGHT(INDEX(Dataset3_Raw!$B$2:$B$391,$E275),4)),VALUE(MID(INDEX(Dataset3_Raw!$B$2:$B$391,$E275),4,2)),VALUE(LEFT(INDEX(Dataset3_Raw!$B$2:$B$391,$E275),2))))</f>
        <v>40555</v>
      </c>
      <c r="G275" s="23">
        <f>IF($C275&gt;0,INDEX(Merge_1_2!$C$2:$C$611,$C275),INDEX(Dataset3_Raw!$C$2:$C$391,$E275))</f>
        <v>1</v>
      </c>
      <c r="H275" s="23">
        <f>IF($C275&gt;0,INDEX(Merge_1_2!$D$2:$D$611,$C275),INDEX(Dataset3_Raw!$D$2:$D$391,$E275))</f>
        <v>0</v>
      </c>
      <c r="I275" s="23">
        <f>IF($C275&gt;0,INDEX(Merge_1_2!$E$2:$E$611,$C275),INDEX(Dataset3_Raw!$E$2:$E$391,$E275))</f>
        <v>1</v>
      </c>
      <c r="J275" s="23">
        <f>IF($C275&gt;0,INDEX(Merge_1_2!$F$2:$F$611,$C275),INDEX(Dataset3_Raw!$F$2:$F$391,$E275))</f>
        <v>20</v>
      </c>
      <c r="K275" s="23" t="b">
        <f>IF($C275&gt;0,INDEX(Merge_1_2!$G$2:$G$611,$C275),INDEX(Dataset3_Raw!$G$2:$G$391,$E275))</f>
        <v>0</v>
      </c>
      <c r="L275" s="23">
        <f>IF($C275&gt;0,INDEX(Merge_1_2!$H$2:$H$611,$C275),INDEX(Dataset3_Raw!$H$2:$H$391,$E275))</f>
        <v>3</v>
      </c>
      <c r="M275" s="23">
        <f>IF($C275&gt;0,INDEX(Merge_1_2!$I$2:$I$611,$C275),INDEX(Dataset3_Raw!$I$2:$I$391,$E275))</f>
        <v>1</v>
      </c>
      <c r="N275" s="25">
        <f>IF($C275&gt;0,INDEX(Merge_1_2!$J$2:$J$611,$C275),INDEX(Dataset3_Raw!$J$2:$J$391,$E275))</f>
        <v>0.16</v>
      </c>
      <c r="O275" s="25">
        <f>IF($C275&gt;0,IF(ISNUMBER(INDEX(Merge_1_2!$K$2:$K$611,$C275)),INDEX(Merge_1_2!$K$2:$K$611,$C275),""),INDEX(Dataset3_Raw!$K$2:$K$391,$E275))</f>
        <v>0.13639999999999999</v>
      </c>
      <c r="P275" s="25">
        <f>IF(ISNUMBER($O275),$O275,ROUND(Lookups!$B$25+Lookups!$B$24*$N275,4))</f>
        <v>0.13639999999999999</v>
      </c>
      <c r="Q275" s="25">
        <f>IF($C275&gt;0,INDEX(Merge_1_2!$L$2:$L$611,$C275),INDEX(Dataset3_Raw!$L$2:$L$391,$E275))</f>
        <v>0.5</v>
      </c>
      <c r="R275" s="25">
        <f>IF($C275&gt;0,INDEX(Merge_1_2!$M$2:$M$611,$C275),INDEX(Dataset3_Raw!$M$2:$M$391,$E275))</f>
        <v>0.32840000000000003</v>
      </c>
      <c r="S275" s="23">
        <f>IF($C275&gt;0,INDEX(Merge_1_2!$N$2:$N$611,$C275),INDEX(Dataset3_Raw!$N$2:$N$391,$E275))</f>
        <v>2</v>
      </c>
      <c r="T275" s="23">
        <f>IF($C275&gt;0,INDEX(Merge_1_2!$O$2:$O$611,$C275),INDEX(Dataset3_Raw!$O$2:$O$391,$E275))</f>
        <v>54</v>
      </c>
      <c r="U275" s="23">
        <f>IF($C275&gt;0,INDEX(Merge_1_2!$P$2:$P$611,$C275),INDEX(Dataset3_Raw!$P$2:$P$391,$E275))</f>
        <v>56</v>
      </c>
      <c r="V275" s="23" t="str">
        <f t="shared" si="25"/>
        <v>Weekday</v>
      </c>
      <c r="W275" s="23" t="str">
        <f>VLOOKUP($M275,Lookups!$A$5:$B$8,2,FALSE())</f>
        <v>Clear / Partly cloudy</v>
      </c>
      <c r="X275" s="23" t="str">
        <f>VLOOKUP($G275,Lookups!$D$5:$E$8,2,FALSE())</f>
        <v>Winter</v>
      </c>
      <c r="Y275" s="23" t="str">
        <f>VLOOKUP($L275,Lookups!$G$5:$H$11,2,FALSE())</f>
        <v>Wednesday</v>
      </c>
      <c r="Z275" s="23" t="str">
        <f>IF($J275&lt;Lookups!$B$26,"Night",IF($J275&lt;Lookups!$B$27,"Morning",IF($J275&lt;Lookups!$B$28,"Afternoon","Evening")))</f>
        <v>Evening</v>
      </c>
      <c r="AA275" s="26">
        <f>ROUND($N275*(Lookups!$B$16-Lookups!$B$15)+Lookups!$B$15,1)</f>
        <v>-0.5</v>
      </c>
      <c r="AB275" s="26">
        <f>ROUND($P275*(Lookups!$B$18-Lookups!$B$17)+Lookups!$B$17,1)</f>
        <v>-7</v>
      </c>
      <c r="AC275" s="23">
        <f t="shared" si="26"/>
        <v>50</v>
      </c>
      <c r="AD275" s="23">
        <f>ROUND($R275*Lookups!$B$19,1)</f>
        <v>22</v>
      </c>
      <c r="AE275" s="27">
        <f t="shared" si="27"/>
        <v>0.9642857142857143</v>
      </c>
      <c r="AF275" s="23" t="str">
        <f>IF($U275&gt;=Lookups!$B$23,"High",IF($U275&gt;=Lookups!$B$22,"Medium","Low"))</f>
        <v>Medium</v>
      </c>
      <c r="AG275" s="23">
        <f>ROUND(IF($V275="Weekday",IF(INDEX(Hourly_Analysis!$D$5:$D$28,$J275+1)&gt;0,($U275-INDEX(Hourly_Analysis!$C$5:$C$28,$J275+1))/INDEX(Hourly_Analysis!$D$5:$D$28,$J275+1),0),IF(INDEX(Hourly_Analysis!$G$5:$G$28,$J275+1)&gt;0,($U275-INDEX(Hourly_Analysis!$F$5:$F$28,$J275+1))/INDEX(Hourly_Analysis!$G$5:$G$28,$J275+1),0)),2)</f>
        <v>-0.84</v>
      </c>
      <c r="AH275" s="23" t="str">
        <f>IF(ABS($AG275)&gt;Lookups!$B$20,IF($AG275&gt;0,"High anomaly","Low anomaly"),"")</f>
        <v/>
      </c>
      <c r="AI275" s="23" t="str">
        <f t="shared" si="28"/>
        <v>OK</v>
      </c>
      <c r="AJ275" s="23" t="str">
        <f t="shared" si="29"/>
        <v>No</v>
      </c>
    </row>
    <row r="276" spans="1:36" x14ac:dyDescent="0.35">
      <c r="A276" s="23">
        <v>275</v>
      </c>
      <c r="B276" s="23" t="str">
        <f t="shared" si="24"/>
        <v>Merge 1+2</v>
      </c>
      <c r="C276" s="23">
        <f>IFERROR(MATCH($A276,Merge_1_2!$A$2:$A$611,0),0)</f>
        <v>275</v>
      </c>
      <c r="D276" s="23">
        <f>IF($C276&gt;0,INDEX(Merge_1_2!$Q$2:$Q$611,$C276),0)</f>
        <v>275</v>
      </c>
      <c r="E276" s="23">
        <f>IFERROR(MATCH($A276,Dataset3_Raw!$A$2:$A$391,0),0)</f>
        <v>0</v>
      </c>
      <c r="F276" s="24">
        <f>IF($C276&gt;0,INDEX(Merge_1_2!$B$2:$B$611,$C276),DATE(VALUE(RIGHT(INDEX(Dataset3_Raw!$B$2:$B$391,$E276),4)),VALUE(MID(INDEX(Dataset3_Raw!$B$2:$B$391,$E276),4,2)),VALUE(LEFT(INDEX(Dataset3_Raw!$B$2:$B$391,$E276),2))))</f>
        <v>40555</v>
      </c>
      <c r="G276" s="23">
        <f>IF($C276&gt;0,INDEX(Merge_1_2!$C$2:$C$611,$C276),INDEX(Dataset3_Raw!$C$2:$C$391,$E276))</f>
        <v>1</v>
      </c>
      <c r="H276" s="23">
        <f>IF($C276&gt;0,INDEX(Merge_1_2!$D$2:$D$611,$C276),INDEX(Dataset3_Raw!$D$2:$D$391,$E276))</f>
        <v>0</v>
      </c>
      <c r="I276" s="23">
        <f>IF($C276&gt;0,INDEX(Merge_1_2!$E$2:$E$611,$C276),INDEX(Dataset3_Raw!$E$2:$E$391,$E276))</f>
        <v>1</v>
      </c>
      <c r="J276" s="23">
        <f>IF($C276&gt;0,INDEX(Merge_1_2!$F$2:$F$611,$C276),INDEX(Dataset3_Raw!$F$2:$F$391,$E276))</f>
        <v>21</v>
      </c>
      <c r="K276" s="23" t="b">
        <f>IF($C276&gt;0,INDEX(Merge_1_2!$G$2:$G$611,$C276),INDEX(Dataset3_Raw!$G$2:$G$391,$E276))</f>
        <v>0</v>
      </c>
      <c r="L276" s="23">
        <f>IF($C276&gt;0,INDEX(Merge_1_2!$H$2:$H$611,$C276),INDEX(Dataset3_Raw!$H$2:$H$391,$E276))</f>
        <v>3</v>
      </c>
      <c r="M276" s="23">
        <f>IF($C276&gt;0,INDEX(Merge_1_2!$I$2:$I$611,$C276),INDEX(Dataset3_Raw!$I$2:$I$391,$E276))</f>
        <v>1</v>
      </c>
      <c r="N276" s="25">
        <f>IF($C276&gt;0,INDEX(Merge_1_2!$J$2:$J$611,$C276),INDEX(Dataset3_Raw!$J$2:$J$391,$E276))</f>
        <v>0.16</v>
      </c>
      <c r="O276" s="25">
        <f>IF($C276&gt;0,IF(ISNUMBER(INDEX(Merge_1_2!$K$2:$K$611,$C276)),INDEX(Merge_1_2!$K$2:$K$611,$C276),""),INDEX(Dataset3_Raw!$K$2:$K$391,$E276))</f>
        <v>0.13639999999999999</v>
      </c>
      <c r="P276" s="25">
        <f>IF(ISNUMBER($O276),$O276,ROUND(Lookups!$B$25+Lookups!$B$24*$N276,4))</f>
        <v>0.13639999999999999</v>
      </c>
      <c r="Q276" s="25">
        <f>IF($C276&gt;0,INDEX(Merge_1_2!$L$2:$L$611,$C276),INDEX(Dataset3_Raw!$L$2:$L$391,$E276))</f>
        <v>0.55000000000000004</v>
      </c>
      <c r="R276" s="25">
        <f>IF($C276&gt;0,INDEX(Merge_1_2!$M$2:$M$611,$C276),INDEX(Dataset3_Raw!$M$2:$M$391,$E276))</f>
        <v>0.32840000000000003</v>
      </c>
      <c r="S276" s="23">
        <f>IF($C276&gt;0,INDEX(Merge_1_2!$N$2:$N$611,$C276),INDEX(Dataset3_Raw!$N$2:$N$391,$E276))</f>
        <v>0</v>
      </c>
      <c r="T276" s="23">
        <f>IF($C276&gt;0,INDEX(Merge_1_2!$O$2:$O$611,$C276),INDEX(Dataset3_Raw!$O$2:$O$391,$E276))</f>
        <v>57</v>
      </c>
      <c r="U276" s="23">
        <f>IF($C276&gt;0,INDEX(Merge_1_2!$P$2:$P$611,$C276),INDEX(Dataset3_Raw!$P$2:$P$391,$E276))</f>
        <v>57</v>
      </c>
      <c r="V276" s="23" t="str">
        <f t="shared" si="25"/>
        <v>Weekday</v>
      </c>
      <c r="W276" s="23" t="str">
        <f>VLOOKUP($M276,Lookups!$A$5:$B$8,2,FALSE())</f>
        <v>Clear / Partly cloudy</v>
      </c>
      <c r="X276" s="23" t="str">
        <f>VLOOKUP($G276,Lookups!$D$5:$E$8,2,FALSE())</f>
        <v>Winter</v>
      </c>
      <c r="Y276" s="23" t="str">
        <f>VLOOKUP($L276,Lookups!$G$5:$H$11,2,FALSE())</f>
        <v>Wednesday</v>
      </c>
      <c r="Z276" s="23" t="str">
        <f>IF($J276&lt;Lookups!$B$26,"Night",IF($J276&lt;Lookups!$B$27,"Morning",IF($J276&lt;Lookups!$B$28,"Afternoon","Evening")))</f>
        <v>Evening</v>
      </c>
      <c r="AA276" s="26">
        <f>ROUND($N276*(Lookups!$B$16-Lookups!$B$15)+Lookups!$B$15,1)</f>
        <v>-0.5</v>
      </c>
      <c r="AB276" s="26">
        <f>ROUND($P276*(Lookups!$B$18-Lookups!$B$17)+Lookups!$B$17,1)</f>
        <v>-7</v>
      </c>
      <c r="AC276" s="23">
        <f t="shared" si="26"/>
        <v>55</v>
      </c>
      <c r="AD276" s="23">
        <f>ROUND($R276*Lookups!$B$19,1)</f>
        <v>22</v>
      </c>
      <c r="AE276" s="27">
        <f t="shared" si="27"/>
        <v>1</v>
      </c>
      <c r="AF276" s="23" t="str">
        <f>IF($U276&gt;=Lookups!$B$23,"High",IF($U276&gt;=Lookups!$B$22,"Medium","Low"))</f>
        <v>Medium</v>
      </c>
      <c r="AG276" s="23">
        <f>ROUND(IF($V276="Weekday",IF(INDEX(Hourly_Analysis!$D$5:$D$28,$J276+1)&gt;0,($U276-INDEX(Hourly_Analysis!$C$5:$C$28,$J276+1))/INDEX(Hourly_Analysis!$D$5:$D$28,$J276+1),0),IF(INDEX(Hourly_Analysis!$G$5:$G$28,$J276+1)&gt;0,($U276-INDEX(Hourly_Analysis!$F$5:$F$28,$J276+1))/INDEX(Hourly_Analysis!$G$5:$G$28,$J276+1),0)),2)</f>
        <v>0.4</v>
      </c>
      <c r="AH276" s="23" t="str">
        <f>IF(ABS($AG276)&gt;Lookups!$B$20,IF($AG276&gt;0,"High anomaly","Low anomaly"),"")</f>
        <v/>
      </c>
      <c r="AI276" s="23" t="str">
        <f t="shared" si="28"/>
        <v>OK</v>
      </c>
      <c r="AJ276" s="23" t="str">
        <f t="shared" si="29"/>
        <v>No</v>
      </c>
    </row>
    <row r="277" spans="1:36" x14ac:dyDescent="0.35">
      <c r="A277" s="23">
        <v>276</v>
      </c>
      <c r="B277" s="23" t="str">
        <f t="shared" si="24"/>
        <v>Merge 1+2</v>
      </c>
      <c r="C277" s="23">
        <f>IFERROR(MATCH($A277,Merge_1_2!$A$2:$A$611,0),0)</f>
        <v>276</v>
      </c>
      <c r="D277" s="23">
        <f>IF($C277&gt;0,INDEX(Merge_1_2!$Q$2:$Q$611,$C277),0)</f>
        <v>276</v>
      </c>
      <c r="E277" s="23">
        <f>IFERROR(MATCH($A277,Dataset3_Raw!$A$2:$A$391,0),0)</f>
        <v>0</v>
      </c>
      <c r="F277" s="24">
        <f>IF($C277&gt;0,INDEX(Merge_1_2!$B$2:$B$611,$C277),DATE(VALUE(RIGHT(INDEX(Dataset3_Raw!$B$2:$B$391,$E277),4)),VALUE(MID(INDEX(Dataset3_Raw!$B$2:$B$391,$E277),4,2)),VALUE(LEFT(INDEX(Dataset3_Raw!$B$2:$B$391,$E277),2))))</f>
        <v>40555</v>
      </c>
      <c r="G277" s="23">
        <f>IF($C277&gt;0,INDEX(Merge_1_2!$C$2:$C$611,$C277),INDEX(Dataset3_Raw!$C$2:$C$391,$E277))</f>
        <v>1</v>
      </c>
      <c r="H277" s="23">
        <f>IF($C277&gt;0,INDEX(Merge_1_2!$D$2:$D$611,$C277),INDEX(Dataset3_Raw!$D$2:$D$391,$E277))</f>
        <v>0</v>
      </c>
      <c r="I277" s="23">
        <f>IF($C277&gt;0,INDEX(Merge_1_2!$E$2:$E$611,$C277),INDEX(Dataset3_Raw!$E$2:$E$391,$E277))</f>
        <v>1</v>
      </c>
      <c r="J277" s="23">
        <f>IF($C277&gt;0,INDEX(Merge_1_2!$F$2:$F$611,$C277),INDEX(Dataset3_Raw!$F$2:$F$391,$E277))</f>
        <v>22</v>
      </c>
      <c r="K277" s="23" t="b">
        <f>IF($C277&gt;0,INDEX(Merge_1_2!$G$2:$G$611,$C277),INDEX(Dataset3_Raw!$G$2:$G$391,$E277))</f>
        <v>0</v>
      </c>
      <c r="L277" s="23">
        <f>IF($C277&gt;0,INDEX(Merge_1_2!$H$2:$H$611,$C277),INDEX(Dataset3_Raw!$H$2:$H$391,$E277))</f>
        <v>3</v>
      </c>
      <c r="M277" s="23">
        <f>IF($C277&gt;0,INDEX(Merge_1_2!$I$2:$I$611,$C277),INDEX(Dataset3_Raw!$I$2:$I$391,$E277))</f>
        <v>1</v>
      </c>
      <c r="N277" s="25">
        <f>IF($C277&gt;0,INDEX(Merge_1_2!$J$2:$J$611,$C277),INDEX(Dataset3_Raw!$J$2:$J$391,$E277))</f>
        <v>0.16</v>
      </c>
      <c r="O277" s="25">
        <f>IF($C277&gt;0,IF(ISNUMBER(INDEX(Merge_1_2!$K$2:$K$611,$C277)),INDEX(Merge_1_2!$K$2:$K$611,$C277),""),INDEX(Dataset3_Raw!$K$2:$K$391,$E277))</f>
        <v>0.1212</v>
      </c>
      <c r="P277" s="25">
        <f>IF(ISNUMBER($O277),$O277,ROUND(Lookups!$B$25+Lookups!$B$24*$N277,4))</f>
        <v>0.1212</v>
      </c>
      <c r="Q277" s="25">
        <f>IF($C277&gt;0,INDEX(Merge_1_2!$L$2:$L$611,$C277),INDEX(Dataset3_Raw!$L$2:$L$391,$E277))</f>
        <v>0.55000000000000004</v>
      </c>
      <c r="R277" s="25">
        <f>IF($C277&gt;0,INDEX(Merge_1_2!$M$2:$M$611,$C277),INDEX(Dataset3_Raw!$M$2:$M$391,$E277))</f>
        <v>0.44779999999999998</v>
      </c>
      <c r="S277" s="23">
        <f>IF($C277&gt;0,INDEX(Merge_1_2!$N$2:$N$611,$C277),INDEX(Dataset3_Raw!$N$2:$N$391,$E277))</f>
        <v>1</v>
      </c>
      <c r="T277" s="23">
        <f>IF($C277&gt;0,INDEX(Merge_1_2!$O$2:$O$611,$C277),INDEX(Dataset3_Raw!$O$2:$O$391,$E277))</f>
        <v>32</v>
      </c>
      <c r="U277" s="23">
        <f>IF($C277&gt;0,INDEX(Merge_1_2!$P$2:$P$611,$C277),INDEX(Dataset3_Raw!$P$2:$P$391,$E277))</f>
        <v>33</v>
      </c>
      <c r="V277" s="23" t="str">
        <f t="shared" si="25"/>
        <v>Weekday</v>
      </c>
      <c r="W277" s="23" t="str">
        <f>VLOOKUP($M277,Lookups!$A$5:$B$8,2,FALSE())</f>
        <v>Clear / Partly cloudy</v>
      </c>
      <c r="X277" s="23" t="str">
        <f>VLOOKUP($G277,Lookups!$D$5:$E$8,2,FALSE())</f>
        <v>Winter</v>
      </c>
      <c r="Y277" s="23" t="str">
        <f>VLOOKUP($L277,Lookups!$G$5:$H$11,2,FALSE())</f>
        <v>Wednesday</v>
      </c>
      <c r="Z277" s="23" t="str">
        <f>IF($J277&lt;Lookups!$B$26,"Night",IF($J277&lt;Lookups!$B$27,"Morning",IF($J277&lt;Lookups!$B$28,"Afternoon","Evening")))</f>
        <v>Evening</v>
      </c>
      <c r="AA277" s="26">
        <f>ROUND($N277*(Lookups!$B$16-Lookups!$B$15)+Lookups!$B$15,1)</f>
        <v>-0.5</v>
      </c>
      <c r="AB277" s="26">
        <f>ROUND($P277*(Lookups!$B$18-Lookups!$B$17)+Lookups!$B$17,1)</f>
        <v>-8</v>
      </c>
      <c r="AC277" s="23">
        <f t="shared" si="26"/>
        <v>55</v>
      </c>
      <c r="AD277" s="23">
        <f>ROUND($R277*Lookups!$B$19,1)</f>
        <v>30</v>
      </c>
      <c r="AE277" s="27">
        <f t="shared" si="27"/>
        <v>0.96969696969696972</v>
      </c>
      <c r="AF277" s="23" t="str">
        <f>IF($U277&gt;=Lookups!$B$23,"High",IF($U277&gt;=Lookups!$B$22,"Medium","Low"))</f>
        <v>Medium</v>
      </c>
      <c r="AG277" s="23">
        <f>ROUND(IF($V277="Weekday",IF(INDEX(Hourly_Analysis!$D$5:$D$28,$J277+1)&gt;0,($U277-INDEX(Hourly_Analysis!$C$5:$C$28,$J277+1))/INDEX(Hourly_Analysis!$D$5:$D$28,$J277+1),0),IF(INDEX(Hourly_Analysis!$G$5:$G$28,$J277+1)&gt;0,($U277-INDEX(Hourly_Analysis!$F$5:$F$28,$J277+1))/INDEX(Hourly_Analysis!$G$5:$G$28,$J277+1),0)),2)</f>
        <v>-0.5</v>
      </c>
      <c r="AH277" s="23" t="str">
        <f>IF(ABS($AG277)&gt;Lookups!$B$20,IF($AG277&gt;0,"High anomaly","Low anomaly"),"")</f>
        <v/>
      </c>
      <c r="AI277" s="23" t="str">
        <f t="shared" si="28"/>
        <v>OK</v>
      </c>
      <c r="AJ277" s="23" t="str">
        <f t="shared" si="29"/>
        <v>No</v>
      </c>
    </row>
    <row r="278" spans="1:36" x14ac:dyDescent="0.35">
      <c r="A278" s="23">
        <v>277</v>
      </c>
      <c r="B278" s="23" t="str">
        <f t="shared" si="24"/>
        <v>Merge 1+2</v>
      </c>
      <c r="C278" s="23">
        <f>IFERROR(MATCH($A278,Merge_1_2!$A$2:$A$611,0),0)</f>
        <v>277</v>
      </c>
      <c r="D278" s="23">
        <f>IF($C278&gt;0,INDEX(Merge_1_2!$Q$2:$Q$611,$C278),0)</f>
        <v>277</v>
      </c>
      <c r="E278" s="23">
        <f>IFERROR(MATCH($A278,Dataset3_Raw!$A$2:$A$391,0),0)</f>
        <v>0</v>
      </c>
      <c r="F278" s="24">
        <f>IF($C278&gt;0,INDEX(Merge_1_2!$B$2:$B$611,$C278),DATE(VALUE(RIGHT(INDEX(Dataset3_Raw!$B$2:$B$391,$E278),4)),VALUE(MID(INDEX(Dataset3_Raw!$B$2:$B$391,$E278),4,2)),VALUE(LEFT(INDEX(Dataset3_Raw!$B$2:$B$391,$E278),2))))</f>
        <v>40555</v>
      </c>
      <c r="G278" s="23">
        <f>IF($C278&gt;0,INDEX(Merge_1_2!$C$2:$C$611,$C278),INDEX(Dataset3_Raw!$C$2:$C$391,$E278))</f>
        <v>1</v>
      </c>
      <c r="H278" s="23">
        <f>IF($C278&gt;0,INDEX(Merge_1_2!$D$2:$D$611,$C278),INDEX(Dataset3_Raw!$D$2:$D$391,$E278))</f>
        <v>0</v>
      </c>
      <c r="I278" s="23">
        <f>IF($C278&gt;0,INDEX(Merge_1_2!$E$2:$E$611,$C278),INDEX(Dataset3_Raw!$E$2:$E$391,$E278))</f>
        <v>1</v>
      </c>
      <c r="J278" s="23">
        <f>IF($C278&gt;0,INDEX(Merge_1_2!$F$2:$F$611,$C278),INDEX(Dataset3_Raw!$F$2:$F$391,$E278))</f>
        <v>23</v>
      </c>
      <c r="K278" s="23" t="b">
        <f>IF($C278&gt;0,INDEX(Merge_1_2!$G$2:$G$611,$C278),INDEX(Dataset3_Raw!$G$2:$G$391,$E278))</f>
        <v>0</v>
      </c>
      <c r="L278" s="23">
        <f>IF($C278&gt;0,INDEX(Merge_1_2!$H$2:$H$611,$C278),INDEX(Dataset3_Raw!$H$2:$H$391,$E278))</f>
        <v>3</v>
      </c>
      <c r="M278" s="23">
        <f>IF($C278&gt;0,INDEX(Merge_1_2!$I$2:$I$611,$C278),INDEX(Dataset3_Raw!$I$2:$I$391,$E278))</f>
        <v>1</v>
      </c>
      <c r="N278" s="25">
        <f>IF($C278&gt;0,INDEX(Merge_1_2!$J$2:$J$611,$C278),INDEX(Dataset3_Raw!$J$2:$J$391,$E278))</f>
        <v>0.14000000000000001</v>
      </c>
      <c r="O278" s="25">
        <f>IF($C278&gt;0,IF(ISNUMBER(INDEX(Merge_1_2!$K$2:$K$611,$C278)),INDEX(Merge_1_2!$K$2:$K$611,$C278),""),INDEX(Dataset3_Raw!$K$2:$K$391,$E278))</f>
        <v>0.1061</v>
      </c>
      <c r="P278" s="25">
        <f>IF(ISNUMBER($O278),$O278,ROUND(Lookups!$B$25+Lookups!$B$24*$N278,4))</f>
        <v>0.1061</v>
      </c>
      <c r="Q278" s="25">
        <f>IF($C278&gt;0,INDEX(Merge_1_2!$L$2:$L$611,$C278),INDEX(Dataset3_Raw!$L$2:$L$391,$E278))</f>
        <v>0.59</v>
      </c>
      <c r="R278" s="25">
        <f>IF($C278&gt;0,INDEX(Merge_1_2!$M$2:$M$611,$C278),INDEX(Dataset3_Raw!$M$2:$M$391,$E278))</f>
        <v>0.41789999999999999</v>
      </c>
      <c r="S278" s="23">
        <f>IF($C278&gt;0,INDEX(Merge_1_2!$N$2:$N$611,$C278),INDEX(Dataset3_Raw!$N$2:$N$391,$E278))</f>
        <v>1</v>
      </c>
      <c r="T278" s="23">
        <f>IF($C278&gt;0,INDEX(Merge_1_2!$O$2:$O$611,$C278),INDEX(Dataset3_Raw!$O$2:$O$391,$E278))</f>
        <v>19</v>
      </c>
      <c r="U278" s="23">
        <f>IF($C278&gt;0,INDEX(Merge_1_2!$P$2:$P$611,$C278),INDEX(Dataset3_Raw!$P$2:$P$391,$E278))</f>
        <v>20</v>
      </c>
      <c r="V278" s="23" t="str">
        <f t="shared" si="25"/>
        <v>Weekday</v>
      </c>
      <c r="W278" s="23" t="str">
        <f>VLOOKUP($M278,Lookups!$A$5:$B$8,2,FALSE())</f>
        <v>Clear / Partly cloudy</v>
      </c>
      <c r="X278" s="23" t="str">
        <f>VLOOKUP($G278,Lookups!$D$5:$E$8,2,FALSE())</f>
        <v>Winter</v>
      </c>
      <c r="Y278" s="23" t="str">
        <f>VLOOKUP($L278,Lookups!$G$5:$H$11,2,FALSE())</f>
        <v>Wednesday</v>
      </c>
      <c r="Z278" s="23" t="str">
        <f>IF($J278&lt;Lookups!$B$26,"Night",IF($J278&lt;Lookups!$B$27,"Morning",IF($J278&lt;Lookups!$B$28,"Afternoon","Evening")))</f>
        <v>Evening</v>
      </c>
      <c r="AA278" s="26">
        <f>ROUND($N278*(Lookups!$B$16-Lookups!$B$15)+Lookups!$B$15,1)</f>
        <v>-1.4</v>
      </c>
      <c r="AB278" s="26">
        <f>ROUND($P278*(Lookups!$B$18-Lookups!$B$17)+Lookups!$B$17,1)</f>
        <v>-9</v>
      </c>
      <c r="AC278" s="23">
        <f t="shared" si="26"/>
        <v>59</v>
      </c>
      <c r="AD278" s="23">
        <f>ROUND($R278*Lookups!$B$19,1)</f>
        <v>28</v>
      </c>
      <c r="AE278" s="27">
        <f t="shared" si="27"/>
        <v>0.95</v>
      </c>
      <c r="AF278" s="23" t="str">
        <f>IF($U278&gt;=Lookups!$B$23,"High",IF($U278&gt;=Lookups!$B$22,"Medium","Low"))</f>
        <v>Medium</v>
      </c>
      <c r="AG278" s="23">
        <f>ROUND(IF($V278="Weekday",IF(INDEX(Hourly_Analysis!$D$5:$D$28,$J278+1)&gt;0,($U278-INDEX(Hourly_Analysis!$C$5:$C$28,$J278+1))/INDEX(Hourly_Analysis!$D$5:$D$28,$J278+1),0),IF(INDEX(Hourly_Analysis!$G$5:$G$28,$J278+1)&gt;0,($U278-INDEX(Hourly_Analysis!$F$5:$F$28,$J278+1))/INDEX(Hourly_Analysis!$G$5:$G$28,$J278+1),0)),2)</f>
        <v>-0.44</v>
      </c>
      <c r="AH278" s="23" t="str">
        <f>IF(ABS($AG278)&gt;Lookups!$B$20,IF($AG278&gt;0,"High anomaly","Low anomaly"),"")</f>
        <v/>
      </c>
      <c r="AI278" s="23" t="str">
        <f t="shared" si="28"/>
        <v>OK</v>
      </c>
      <c r="AJ278" s="23" t="str">
        <f t="shared" si="29"/>
        <v>No</v>
      </c>
    </row>
    <row r="279" spans="1:36" x14ac:dyDescent="0.35">
      <c r="A279" s="23">
        <v>278</v>
      </c>
      <c r="B279" s="23" t="str">
        <f t="shared" si="24"/>
        <v>Merge 1+2</v>
      </c>
      <c r="C279" s="23">
        <f>IFERROR(MATCH($A279,Merge_1_2!$A$2:$A$611,0),0)</f>
        <v>278</v>
      </c>
      <c r="D279" s="23">
        <f>IF($C279&gt;0,INDEX(Merge_1_2!$Q$2:$Q$611,$C279),0)</f>
        <v>278</v>
      </c>
      <c r="E279" s="23">
        <f>IFERROR(MATCH($A279,Dataset3_Raw!$A$2:$A$391,0),0)</f>
        <v>0</v>
      </c>
      <c r="F279" s="24">
        <f>IF($C279&gt;0,INDEX(Merge_1_2!$B$2:$B$611,$C279),DATE(VALUE(RIGHT(INDEX(Dataset3_Raw!$B$2:$B$391,$E279),4)),VALUE(MID(INDEX(Dataset3_Raw!$B$2:$B$391,$E279),4,2)),VALUE(LEFT(INDEX(Dataset3_Raw!$B$2:$B$391,$E279),2))))</f>
        <v>40556</v>
      </c>
      <c r="G279" s="23">
        <f>IF($C279&gt;0,INDEX(Merge_1_2!$C$2:$C$611,$C279),INDEX(Dataset3_Raw!$C$2:$C$391,$E279))</f>
        <v>1</v>
      </c>
      <c r="H279" s="23">
        <f>IF($C279&gt;0,INDEX(Merge_1_2!$D$2:$D$611,$C279),INDEX(Dataset3_Raw!$D$2:$D$391,$E279))</f>
        <v>0</v>
      </c>
      <c r="I279" s="23">
        <f>IF($C279&gt;0,INDEX(Merge_1_2!$E$2:$E$611,$C279),INDEX(Dataset3_Raw!$E$2:$E$391,$E279))</f>
        <v>1</v>
      </c>
      <c r="J279" s="23">
        <f>IF($C279&gt;0,INDEX(Merge_1_2!$F$2:$F$611,$C279),INDEX(Dataset3_Raw!$F$2:$F$391,$E279))</f>
        <v>0</v>
      </c>
      <c r="K279" s="23" t="b">
        <f>IF($C279&gt;0,INDEX(Merge_1_2!$G$2:$G$611,$C279),INDEX(Dataset3_Raw!$G$2:$G$391,$E279))</f>
        <v>0</v>
      </c>
      <c r="L279" s="23">
        <f>IF($C279&gt;0,INDEX(Merge_1_2!$H$2:$H$611,$C279),INDEX(Dataset3_Raw!$H$2:$H$391,$E279))</f>
        <v>4</v>
      </c>
      <c r="M279" s="23">
        <f>IF($C279&gt;0,INDEX(Merge_1_2!$I$2:$I$611,$C279),INDEX(Dataset3_Raw!$I$2:$I$391,$E279))</f>
        <v>1</v>
      </c>
      <c r="N279" s="25">
        <f>IF($C279&gt;0,INDEX(Merge_1_2!$J$2:$J$611,$C279),INDEX(Dataset3_Raw!$J$2:$J$391,$E279))</f>
        <v>0.14000000000000001</v>
      </c>
      <c r="O279" s="25">
        <f>IF($C279&gt;0,IF(ISNUMBER(INDEX(Merge_1_2!$K$2:$K$611,$C279)),INDEX(Merge_1_2!$K$2:$K$611,$C279),""),INDEX(Dataset3_Raw!$K$2:$K$391,$E279))</f>
        <v>0.1212</v>
      </c>
      <c r="P279" s="25">
        <f>IF(ISNUMBER($O279),$O279,ROUND(Lookups!$B$25+Lookups!$B$24*$N279,4))</f>
        <v>0.1212</v>
      </c>
      <c r="Q279" s="25">
        <f>IF($C279&gt;0,INDEX(Merge_1_2!$L$2:$L$611,$C279),INDEX(Dataset3_Raw!$L$2:$L$391,$E279))</f>
        <v>0.59</v>
      </c>
      <c r="R279" s="25">
        <f>IF($C279&gt;0,INDEX(Merge_1_2!$M$2:$M$611,$C279),INDEX(Dataset3_Raw!$M$2:$M$391,$E279))</f>
        <v>0.28360000000000002</v>
      </c>
      <c r="S279" s="23">
        <f>IF($C279&gt;0,INDEX(Merge_1_2!$N$2:$N$611,$C279),INDEX(Dataset3_Raw!$N$2:$N$391,$E279))</f>
        <v>1</v>
      </c>
      <c r="T279" s="23">
        <f>IF($C279&gt;0,INDEX(Merge_1_2!$O$2:$O$611,$C279),INDEX(Dataset3_Raw!$O$2:$O$391,$E279))</f>
        <v>6</v>
      </c>
      <c r="U279" s="23">
        <f>IF($C279&gt;0,INDEX(Merge_1_2!$P$2:$P$611,$C279),INDEX(Dataset3_Raw!$P$2:$P$391,$E279))</f>
        <v>7</v>
      </c>
      <c r="V279" s="23" t="str">
        <f t="shared" si="25"/>
        <v>Weekday</v>
      </c>
      <c r="W279" s="23" t="str">
        <f>VLOOKUP($M279,Lookups!$A$5:$B$8,2,FALSE())</f>
        <v>Clear / Partly cloudy</v>
      </c>
      <c r="X279" s="23" t="str">
        <f>VLOOKUP($G279,Lookups!$D$5:$E$8,2,FALSE())</f>
        <v>Winter</v>
      </c>
      <c r="Y279" s="23" t="str">
        <f>VLOOKUP($L279,Lookups!$G$5:$H$11,2,FALSE())</f>
        <v>Thursday</v>
      </c>
      <c r="Z279" s="23" t="str">
        <f>IF($J279&lt;Lookups!$B$26,"Night",IF($J279&lt;Lookups!$B$27,"Morning",IF($J279&lt;Lookups!$B$28,"Afternoon","Evening")))</f>
        <v>Night</v>
      </c>
      <c r="AA279" s="26">
        <f>ROUND($N279*(Lookups!$B$16-Lookups!$B$15)+Lookups!$B$15,1)</f>
        <v>-1.4</v>
      </c>
      <c r="AB279" s="26">
        <f>ROUND($P279*(Lookups!$B$18-Lookups!$B$17)+Lookups!$B$17,1)</f>
        <v>-8</v>
      </c>
      <c r="AC279" s="23">
        <f t="shared" si="26"/>
        <v>59</v>
      </c>
      <c r="AD279" s="23">
        <f>ROUND($R279*Lookups!$B$19,1)</f>
        <v>19</v>
      </c>
      <c r="AE279" s="27">
        <f t="shared" si="27"/>
        <v>0.8571428571428571</v>
      </c>
      <c r="AF279" s="23" t="str">
        <f>IF($U279&gt;=Lookups!$B$23,"High",IF($U279&gt;=Lookups!$B$22,"Medium","Low"))</f>
        <v>Low</v>
      </c>
      <c r="AG279" s="23">
        <f>ROUND(IF($V279="Weekday",IF(INDEX(Hourly_Analysis!$D$5:$D$28,$J279+1)&gt;0,($U279-INDEX(Hourly_Analysis!$C$5:$C$28,$J279+1))/INDEX(Hourly_Analysis!$D$5:$D$28,$J279+1),0),IF(INDEX(Hourly_Analysis!$G$5:$G$28,$J279+1)&gt;0,($U279-INDEX(Hourly_Analysis!$F$5:$F$28,$J279+1))/INDEX(Hourly_Analysis!$G$5:$G$28,$J279+1),0)),2)</f>
        <v>-0.72</v>
      </c>
      <c r="AH279" s="23" t="str">
        <f>IF(ABS($AG279)&gt;Lookups!$B$20,IF($AG279&gt;0,"High anomaly","Low anomaly"),"")</f>
        <v/>
      </c>
      <c r="AI279" s="23" t="str">
        <f t="shared" si="28"/>
        <v>OK</v>
      </c>
      <c r="AJ279" s="23" t="str">
        <f t="shared" si="29"/>
        <v>No</v>
      </c>
    </row>
    <row r="280" spans="1:36" x14ac:dyDescent="0.35">
      <c r="A280" s="23">
        <v>279</v>
      </c>
      <c r="B280" s="23" t="str">
        <f t="shared" si="24"/>
        <v>Merge 1+2</v>
      </c>
      <c r="C280" s="23">
        <f>IFERROR(MATCH($A280,Merge_1_2!$A$2:$A$611,0),0)</f>
        <v>279</v>
      </c>
      <c r="D280" s="23">
        <f>IF($C280&gt;0,INDEX(Merge_1_2!$Q$2:$Q$611,$C280),0)</f>
        <v>279</v>
      </c>
      <c r="E280" s="23">
        <f>IFERROR(MATCH($A280,Dataset3_Raw!$A$2:$A$391,0),0)</f>
        <v>0</v>
      </c>
      <c r="F280" s="24">
        <f>IF($C280&gt;0,INDEX(Merge_1_2!$B$2:$B$611,$C280),DATE(VALUE(RIGHT(INDEX(Dataset3_Raw!$B$2:$B$391,$E280),4)),VALUE(MID(INDEX(Dataset3_Raw!$B$2:$B$391,$E280),4,2)),VALUE(LEFT(INDEX(Dataset3_Raw!$B$2:$B$391,$E280),2))))</f>
        <v>40556</v>
      </c>
      <c r="G280" s="23">
        <f>IF($C280&gt;0,INDEX(Merge_1_2!$C$2:$C$611,$C280),INDEX(Dataset3_Raw!$C$2:$C$391,$E280))</f>
        <v>1</v>
      </c>
      <c r="H280" s="23">
        <f>IF($C280&gt;0,INDEX(Merge_1_2!$D$2:$D$611,$C280),INDEX(Dataset3_Raw!$D$2:$D$391,$E280))</f>
        <v>0</v>
      </c>
      <c r="I280" s="23">
        <f>IF($C280&gt;0,INDEX(Merge_1_2!$E$2:$E$611,$C280),INDEX(Dataset3_Raw!$E$2:$E$391,$E280))</f>
        <v>1</v>
      </c>
      <c r="J280" s="23">
        <f>IF($C280&gt;0,INDEX(Merge_1_2!$F$2:$F$611,$C280),INDEX(Dataset3_Raw!$F$2:$F$391,$E280))</f>
        <v>1</v>
      </c>
      <c r="K280" s="23" t="b">
        <f>IF($C280&gt;0,INDEX(Merge_1_2!$G$2:$G$611,$C280),INDEX(Dataset3_Raw!$G$2:$G$391,$E280))</f>
        <v>0</v>
      </c>
      <c r="L280" s="23">
        <f>IF($C280&gt;0,INDEX(Merge_1_2!$H$2:$H$611,$C280),INDEX(Dataset3_Raw!$H$2:$H$391,$E280))</f>
        <v>4</v>
      </c>
      <c r="M280" s="23">
        <f>IF($C280&gt;0,INDEX(Merge_1_2!$I$2:$I$611,$C280),INDEX(Dataset3_Raw!$I$2:$I$391,$E280))</f>
        <v>1</v>
      </c>
      <c r="N280" s="25">
        <f>IF($C280&gt;0,INDEX(Merge_1_2!$J$2:$J$611,$C280),INDEX(Dataset3_Raw!$J$2:$J$391,$E280))</f>
        <v>0.14000000000000001</v>
      </c>
      <c r="O280" s="25">
        <f>IF($C280&gt;0,IF(ISNUMBER(INDEX(Merge_1_2!$K$2:$K$611,$C280)),INDEX(Merge_1_2!$K$2:$K$611,$C280),""),INDEX(Dataset3_Raw!$K$2:$K$391,$E280))</f>
        <v>0.1212</v>
      </c>
      <c r="P280" s="25">
        <f>IF(ISNUMBER($O280),$O280,ROUND(Lookups!$B$25+Lookups!$B$24*$N280,4))</f>
        <v>0.1212</v>
      </c>
      <c r="Q280" s="25">
        <f>IF($C280&gt;0,INDEX(Merge_1_2!$L$2:$L$611,$C280),INDEX(Dataset3_Raw!$L$2:$L$391,$E280))</f>
        <v>0.5</v>
      </c>
      <c r="R280" s="25">
        <f>IF($C280&gt;0,INDEX(Merge_1_2!$M$2:$M$611,$C280),INDEX(Dataset3_Raw!$M$2:$M$391,$E280))</f>
        <v>0.28360000000000002</v>
      </c>
      <c r="S280" s="23">
        <f>IF($C280&gt;0,INDEX(Merge_1_2!$N$2:$N$611,$C280),INDEX(Dataset3_Raw!$N$2:$N$391,$E280))</f>
        <v>0</v>
      </c>
      <c r="T280" s="23">
        <f>IF($C280&gt;0,INDEX(Merge_1_2!$O$2:$O$611,$C280),INDEX(Dataset3_Raw!$O$2:$O$391,$E280))</f>
        <v>2</v>
      </c>
      <c r="U280" s="23">
        <f>IF($C280&gt;0,INDEX(Merge_1_2!$P$2:$P$611,$C280),INDEX(Dataset3_Raw!$P$2:$P$391,$E280))</f>
        <v>2</v>
      </c>
      <c r="V280" s="23" t="str">
        <f t="shared" si="25"/>
        <v>Weekday</v>
      </c>
      <c r="W280" s="23" t="str">
        <f>VLOOKUP($M280,Lookups!$A$5:$B$8,2,FALSE())</f>
        <v>Clear / Partly cloudy</v>
      </c>
      <c r="X280" s="23" t="str">
        <f>VLOOKUP($G280,Lookups!$D$5:$E$8,2,FALSE())</f>
        <v>Winter</v>
      </c>
      <c r="Y280" s="23" t="str">
        <f>VLOOKUP($L280,Lookups!$G$5:$H$11,2,FALSE())</f>
        <v>Thursday</v>
      </c>
      <c r="Z280" s="23" t="str">
        <f>IF($J280&lt;Lookups!$B$26,"Night",IF($J280&lt;Lookups!$B$27,"Morning",IF($J280&lt;Lookups!$B$28,"Afternoon","Evening")))</f>
        <v>Night</v>
      </c>
      <c r="AA280" s="26">
        <f>ROUND($N280*(Lookups!$B$16-Lookups!$B$15)+Lookups!$B$15,1)</f>
        <v>-1.4</v>
      </c>
      <c r="AB280" s="26">
        <f>ROUND($P280*(Lookups!$B$18-Lookups!$B$17)+Lookups!$B$17,1)</f>
        <v>-8</v>
      </c>
      <c r="AC280" s="23">
        <f t="shared" si="26"/>
        <v>50</v>
      </c>
      <c r="AD280" s="23">
        <f>ROUND($R280*Lookups!$B$19,1)</f>
        <v>19</v>
      </c>
      <c r="AE280" s="27">
        <f t="shared" si="27"/>
        <v>1</v>
      </c>
      <c r="AF280" s="23" t="str">
        <f>IF($U280&gt;=Lookups!$B$23,"High",IF($U280&gt;=Lookups!$B$22,"Medium","Low"))</f>
        <v>Low</v>
      </c>
      <c r="AG280" s="23">
        <f>ROUND(IF($V280="Weekday",IF(INDEX(Hourly_Analysis!$D$5:$D$28,$J280+1)&gt;0,($U280-INDEX(Hourly_Analysis!$C$5:$C$28,$J280+1))/INDEX(Hourly_Analysis!$D$5:$D$28,$J280+1),0),IF(INDEX(Hourly_Analysis!$G$5:$G$28,$J280+1)&gt;0,($U280-INDEX(Hourly_Analysis!$F$5:$F$28,$J280+1))/INDEX(Hourly_Analysis!$G$5:$G$28,$J280+1),0)),2)</f>
        <v>-1.35</v>
      </c>
      <c r="AH280" s="23" t="str">
        <f>IF(ABS($AG280)&gt;Lookups!$B$20,IF($AG280&gt;0,"High anomaly","Low anomaly"),"")</f>
        <v/>
      </c>
      <c r="AI280" s="23" t="str">
        <f t="shared" si="28"/>
        <v>OK</v>
      </c>
      <c r="AJ280" s="23" t="str">
        <f t="shared" si="29"/>
        <v>No</v>
      </c>
    </row>
    <row r="281" spans="1:36" x14ac:dyDescent="0.35">
      <c r="A281" s="23">
        <v>280</v>
      </c>
      <c r="B281" s="23" t="str">
        <f t="shared" si="24"/>
        <v>Merge 1+2</v>
      </c>
      <c r="C281" s="23">
        <f>IFERROR(MATCH($A281,Merge_1_2!$A$2:$A$611,0),0)</f>
        <v>280</v>
      </c>
      <c r="D281" s="23">
        <f>IF($C281&gt;0,INDEX(Merge_1_2!$Q$2:$Q$611,$C281),0)</f>
        <v>280</v>
      </c>
      <c r="E281" s="23">
        <f>IFERROR(MATCH($A281,Dataset3_Raw!$A$2:$A$391,0),0)</f>
        <v>0</v>
      </c>
      <c r="F281" s="24">
        <f>IF($C281&gt;0,INDEX(Merge_1_2!$B$2:$B$611,$C281),DATE(VALUE(RIGHT(INDEX(Dataset3_Raw!$B$2:$B$391,$E281),4)),VALUE(MID(INDEX(Dataset3_Raw!$B$2:$B$391,$E281),4,2)),VALUE(LEFT(INDEX(Dataset3_Raw!$B$2:$B$391,$E281),2))))</f>
        <v>40556</v>
      </c>
      <c r="G281" s="23">
        <f>IF($C281&gt;0,INDEX(Merge_1_2!$C$2:$C$611,$C281),INDEX(Dataset3_Raw!$C$2:$C$391,$E281))</f>
        <v>1</v>
      </c>
      <c r="H281" s="23">
        <f>IF($C281&gt;0,INDEX(Merge_1_2!$D$2:$D$611,$C281),INDEX(Dataset3_Raw!$D$2:$D$391,$E281))</f>
        <v>0</v>
      </c>
      <c r="I281" s="23">
        <f>IF($C281&gt;0,INDEX(Merge_1_2!$E$2:$E$611,$C281),INDEX(Dataset3_Raw!$E$2:$E$391,$E281))</f>
        <v>1</v>
      </c>
      <c r="J281" s="23">
        <f>IF($C281&gt;0,INDEX(Merge_1_2!$F$2:$F$611,$C281),INDEX(Dataset3_Raw!$F$2:$F$391,$E281))</f>
        <v>2</v>
      </c>
      <c r="K281" s="23" t="b">
        <f>IF($C281&gt;0,INDEX(Merge_1_2!$G$2:$G$611,$C281),INDEX(Dataset3_Raw!$G$2:$G$391,$E281))</f>
        <v>0</v>
      </c>
      <c r="L281" s="23">
        <f>IF($C281&gt;0,INDEX(Merge_1_2!$H$2:$H$611,$C281),INDEX(Dataset3_Raw!$H$2:$H$391,$E281))</f>
        <v>4</v>
      </c>
      <c r="M281" s="23">
        <f>IF($C281&gt;0,INDEX(Merge_1_2!$I$2:$I$611,$C281),INDEX(Dataset3_Raw!$I$2:$I$391,$E281))</f>
        <v>1</v>
      </c>
      <c r="N281" s="25">
        <f>IF($C281&gt;0,INDEX(Merge_1_2!$J$2:$J$611,$C281),INDEX(Dataset3_Raw!$J$2:$J$391,$E281))</f>
        <v>0.14000000000000001</v>
      </c>
      <c r="O281" s="25">
        <f>IF($C281&gt;0,IF(ISNUMBER(INDEX(Merge_1_2!$K$2:$K$611,$C281)),INDEX(Merge_1_2!$K$2:$K$611,$C281),""),INDEX(Dataset3_Raw!$K$2:$K$391,$E281))</f>
        <v>0.1212</v>
      </c>
      <c r="P281" s="25">
        <f>IF(ISNUMBER($O281),$O281,ROUND(Lookups!$B$25+Lookups!$B$24*$N281,4))</f>
        <v>0.1212</v>
      </c>
      <c r="Q281" s="25">
        <f>IF($C281&gt;0,INDEX(Merge_1_2!$L$2:$L$611,$C281),INDEX(Dataset3_Raw!$L$2:$L$391,$E281))</f>
        <v>0.5</v>
      </c>
      <c r="R281" s="25">
        <f>IF($C281&gt;0,INDEX(Merge_1_2!$M$2:$M$611,$C281),INDEX(Dataset3_Raw!$M$2:$M$391,$E281))</f>
        <v>0.35820000000000002</v>
      </c>
      <c r="S281" s="23">
        <f>IF($C281&gt;0,INDEX(Merge_1_2!$N$2:$N$611,$C281),INDEX(Dataset3_Raw!$N$2:$N$391,$E281))</f>
        <v>0</v>
      </c>
      <c r="T281" s="23">
        <f>IF($C281&gt;0,INDEX(Merge_1_2!$O$2:$O$611,$C281),INDEX(Dataset3_Raw!$O$2:$O$391,$E281))</f>
        <v>2</v>
      </c>
      <c r="U281" s="23">
        <f>IF($C281&gt;0,INDEX(Merge_1_2!$P$2:$P$611,$C281),INDEX(Dataset3_Raw!$P$2:$P$391,$E281))</f>
        <v>2</v>
      </c>
      <c r="V281" s="23" t="str">
        <f t="shared" si="25"/>
        <v>Weekday</v>
      </c>
      <c r="W281" s="23" t="str">
        <f>VLOOKUP($M281,Lookups!$A$5:$B$8,2,FALSE())</f>
        <v>Clear / Partly cloudy</v>
      </c>
      <c r="X281" s="23" t="str">
        <f>VLOOKUP($G281,Lookups!$D$5:$E$8,2,FALSE())</f>
        <v>Winter</v>
      </c>
      <c r="Y281" s="23" t="str">
        <f>VLOOKUP($L281,Lookups!$G$5:$H$11,2,FALSE())</f>
        <v>Thursday</v>
      </c>
      <c r="Z281" s="23" t="str">
        <f>IF($J281&lt;Lookups!$B$26,"Night",IF($J281&lt;Lookups!$B$27,"Morning",IF($J281&lt;Lookups!$B$28,"Afternoon","Evening")))</f>
        <v>Night</v>
      </c>
      <c r="AA281" s="26">
        <f>ROUND($N281*(Lookups!$B$16-Lookups!$B$15)+Lookups!$B$15,1)</f>
        <v>-1.4</v>
      </c>
      <c r="AB281" s="26">
        <f>ROUND($P281*(Lookups!$B$18-Lookups!$B$17)+Lookups!$B$17,1)</f>
        <v>-8</v>
      </c>
      <c r="AC281" s="23">
        <f t="shared" si="26"/>
        <v>50</v>
      </c>
      <c r="AD281" s="23">
        <f>ROUND($R281*Lookups!$B$19,1)</f>
        <v>24</v>
      </c>
      <c r="AE281" s="27">
        <f t="shared" si="27"/>
        <v>1</v>
      </c>
      <c r="AF281" s="23" t="str">
        <f>IF($U281&gt;=Lookups!$B$23,"High",IF($U281&gt;=Lookups!$B$22,"Medium","Low"))</f>
        <v>Low</v>
      </c>
      <c r="AG281" s="23">
        <f>ROUND(IF($V281="Weekday",IF(INDEX(Hourly_Analysis!$D$5:$D$28,$J281+1)&gt;0,($U281-INDEX(Hourly_Analysis!$C$5:$C$28,$J281+1))/INDEX(Hourly_Analysis!$D$5:$D$28,$J281+1),0),IF(INDEX(Hourly_Analysis!$G$5:$G$28,$J281+1)&gt;0,($U281-INDEX(Hourly_Analysis!$F$5:$F$28,$J281+1))/INDEX(Hourly_Analysis!$G$5:$G$28,$J281+1),0)),2)</f>
        <v>-0.24</v>
      </c>
      <c r="AH281" s="23" t="str">
        <f>IF(ABS($AG281)&gt;Lookups!$B$20,IF($AG281&gt;0,"High anomaly","Low anomaly"),"")</f>
        <v/>
      </c>
      <c r="AI281" s="23" t="str">
        <f t="shared" si="28"/>
        <v>OK</v>
      </c>
      <c r="AJ281" s="23" t="str">
        <f t="shared" si="29"/>
        <v>No</v>
      </c>
    </row>
    <row r="282" spans="1:36" x14ac:dyDescent="0.35">
      <c r="A282" s="23">
        <v>281</v>
      </c>
      <c r="B282" s="23" t="str">
        <f t="shared" si="24"/>
        <v>Merge 1+2</v>
      </c>
      <c r="C282" s="23">
        <f>IFERROR(MATCH($A282,Merge_1_2!$A$2:$A$611,0),0)</f>
        <v>281</v>
      </c>
      <c r="D282" s="23">
        <f>IF($C282&gt;0,INDEX(Merge_1_2!$Q$2:$Q$611,$C282),0)</f>
        <v>281</v>
      </c>
      <c r="E282" s="23">
        <f>IFERROR(MATCH($A282,Dataset3_Raw!$A$2:$A$391,0),0)</f>
        <v>0</v>
      </c>
      <c r="F282" s="24">
        <f>IF($C282&gt;0,INDEX(Merge_1_2!$B$2:$B$611,$C282),DATE(VALUE(RIGHT(INDEX(Dataset3_Raw!$B$2:$B$391,$E282),4)),VALUE(MID(INDEX(Dataset3_Raw!$B$2:$B$391,$E282),4,2)),VALUE(LEFT(INDEX(Dataset3_Raw!$B$2:$B$391,$E282),2))))</f>
        <v>40556</v>
      </c>
      <c r="G282" s="23">
        <f>IF($C282&gt;0,INDEX(Merge_1_2!$C$2:$C$611,$C282),INDEX(Dataset3_Raw!$C$2:$C$391,$E282))</f>
        <v>1</v>
      </c>
      <c r="H282" s="23">
        <f>IF($C282&gt;0,INDEX(Merge_1_2!$D$2:$D$611,$C282),INDEX(Dataset3_Raw!$D$2:$D$391,$E282))</f>
        <v>0</v>
      </c>
      <c r="I282" s="23">
        <f>IF($C282&gt;0,INDEX(Merge_1_2!$E$2:$E$611,$C282),INDEX(Dataset3_Raw!$E$2:$E$391,$E282))</f>
        <v>1</v>
      </c>
      <c r="J282" s="23">
        <f>IF($C282&gt;0,INDEX(Merge_1_2!$F$2:$F$611,$C282),INDEX(Dataset3_Raw!$F$2:$F$391,$E282))</f>
        <v>3</v>
      </c>
      <c r="K282" s="23" t="b">
        <f>IF($C282&gt;0,INDEX(Merge_1_2!$G$2:$G$611,$C282),INDEX(Dataset3_Raw!$G$2:$G$391,$E282))</f>
        <v>0</v>
      </c>
      <c r="L282" s="23">
        <f>IF($C282&gt;0,INDEX(Merge_1_2!$H$2:$H$611,$C282),INDEX(Dataset3_Raw!$H$2:$H$391,$E282))</f>
        <v>4</v>
      </c>
      <c r="M282" s="23">
        <f>IF($C282&gt;0,INDEX(Merge_1_2!$I$2:$I$611,$C282),INDEX(Dataset3_Raw!$I$2:$I$391,$E282))</f>
        <v>1</v>
      </c>
      <c r="N282" s="25">
        <f>IF($C282&gt;0,INDEX(Merge_1_2!$J$2:$J$611,$C282),INDEX(Dataset3_Raw!$J$2:$J$391,$E282))</f>
        <v>0.14000000000000001</v>
      </c>
      <c r="O282" s="25">
        <f>IF($C282&gt;0,IF(ISNUMBER(INDEX(Merge_1_2!$K$2:$K$611,$C282)),INDEX(Merge_1_2!$K$2:$K$611,$C282),""),INDEX(Dataset3_Raw!$K$2:$K$391,$E282))</f>
        <v>0.1212</v>
      </c>
      <c r="P282" s="25">
        <f>IF(ISNUMBER($O282),$O282,ROUND(Lookups!$B$25+Lookups!$B$24*$N282,4))</f>
        <v>0.1212</v>
      </c>
      <c r="Q282" s="25">
        <f>IF($C282&gt;0,INDEX(Merge_1_2!$L$2:$L$611,$C282),INDEX(Dataset3_Raw!$L$2:$L$391,$E282))</f>
        <v>0.5</v>
      </c>
      <c r="R282" s="25">
        <f>IF($C282&gt;0,INDEX(Merge_1_2!$M$2:$M$611,$C282),INDEX(Dataset3_Raw!$M$2:$M$391,$E282))</f>
        <v>0.32840000000000003</v>
      </c>
      <c r="S282" s="23">
        <f>IF($C282&gt;0,INDEX(Merge_1_2!$N$2:$N$611,$C282),INDEX(Dataset3_Raw!$N$2:$N$391,$E282))</f>
        <v>0</v>
      </c>
      <c r="T282" s="23">
        <f>IF($C282&gt;0,INDEX(Merge_1_2!$O$2:$O$611,$C282),INDEX(Dataset3_Raw!$O$2:$O$391,$E282))</f>
        <v>3</v>
      </c>
      <c r="U282" s="23">
        <f>IF($C282&gt;0,INDEX(Merge_1_2!$P$2:$P$611,$C282),INDEX(Dataset3_Raw!$P$2:$P$391,$E282))</f>
        <v>3</v>
      </c>
      <c r="V282" s="23" t="str">
        <f t="shared" si="25"/>
        <v>Weekday</v>
      </c>
      <c r="W282" s="23" t="str">
        <f>VLOOKUP($M282,Lookups!$A$5:$B$8,2,FALSE())</f>
        <v>Clear / Partly cloudy</v>
      </c>
      <c r="X282" s="23" t="str">
        <f>VLOOKUP($G282,Lookups!$D$5:$E$8,2,FALSE())</f>
        <v>Winter</v>
      </c>
      <c r="Y282" s="23" t="str">
        <f>VLOOKUP($L282,Lookups!$G$5:$H$11,2,FALSE())</f>
        <v>Thursday</v>
      </c>
      <c r="Z282" s="23" t="str">
        <f>IF($J282&lt;Lookups!$B$26,"Night",IF($J282&lt;Lookups!$B$27,"Morning",IF($J282&lt;Lookups!$B$28,"Afternoon","Evening")))</f>
        <v>Night</v>
      </c>
      <c r="AA282" s="26">
        <f>ROUND($N282*(Lookups!$B$16-Lookups!$B$15)+Lookups!$B$15,1)</f>
        <v>-1.4</v>
      </c>
      <c r="AB282" s="26">
        <f>ROUND($P282*(Lookups!$B$18-Lookups!$B$17)+Lookups!$B$17,1)</f>
        <v>-8</v>
      </c>
      <c r="AC282" s="23">
        <f t="shared" si="26"/>
        <v>50</v>
      </c>
      <c r="AD282" s="23">
        <f>ROUND($R282*Lookups!$B$19,1)</f>
        <v>22</v>
      </c>
      <c r="AE282" s="27">
        <f t="shared" si="27"/>
        <v>1</v>
      </c>
      <c r="AF282" s="23" t="str">
        <f>IF($U282&gt;=Lookups!$B$23,"High",IF($U282&gt;=Lookups!$B$22,"Medium","Low"))</f>
        <v>Low</v>
      </c>
      <c r="AG282" s="23">
        <f>ROUND(IF($V282="Weekday",IF(INDEX(Hourly_Analysis!$D$5:$D$28,$J282+1)&gt;0,($U282-INDEX(Hourly_Analysis!$C$5:$C$28,$J282+1))/INDEX(Hourly_Analysis!$D$5:$D$28,$J282+1),0),IF(INDEX(Hourly_Analysis!$G$5:$G$28,$J282+1)&gt;0,($U282-INDEX(Hourly_Analysis!$F$5:$F$28,$J282+1))/INDEX(Hourly_Analysis!$G$5:$G$28,$J282+1),0)),2)</f>
        <v>2.62</v>
      </c>
      <c r="AH282" s="23" t="str">
        <f>IF(ABS($AG282)&gt;Lookups!$B$20,IF($AG282&gt;0,"High anomaly","Low anomaly"),"")</f>
        <v/>
      </c>
      <c r="AI282" s="23" t="str">
        <f t="shared" si="28"/>
        <v>OK</v>
      </c>
      <c r="AJ282" s="23" t="str">
        <f t="shared" si="29"/>
        <v>No</v>
      </c>
    </row>
    <row r="283" spans="1:36" x14ac:dyDescent="0.35">
      <c r="A283" s="23">
        <v>282</v>
      </c>
      <c r="B283" s="23" t="str">
        <f t="shared" si="24"/>
        <v>Merge 1+2</v>
      </c>
      <c r="C283" s="23">
        <f>IFERROR(MATCH($A283,Merge_1_2!$A$2:$A$611,0),0)</f>
        <v>282</v>
      </c>
      <c r="D283" s="23">
        <f>IF($C283&gt;0,INDEX(Merge_1_2!$Q$2:$Q$611,$C283),0)</f>
        <v>282</v>
      </c>
      <c r="E283" s="23">
        <f>IFERROR(MATCH($A283,Dataset3_Raw!$A$2:$A$391,0),0)</f>
        <v>0</v>
      </c>
      <c r="F283" s="24">
        <f>IF($C283&gt;0,INDEX(Merge_1_2!$B$2:$B$611,$C283),DATE(VALUE(RIGHT(INDEX(Dataset3_Raw!$B$2:$B$391,$E283),4)),VALUE(MID(INDEX(Dataset3_Raw!$B$2:$B$391,$E283),4,2)),VALUE(LEFT(INDEX(Dataset3_Raw!$B$2:$B$391,$E283),2))))</f>
        <v>40556</v>
      </c>
      <c r="G283" s="23">
        <f>IF($C283&gt;0,INDEX(Merge_1_2!$C$2:$C$611,$C283),INDEX(Dataset3_Raw!$C$2:$C$391,$E283))</f>
        <v>1</v>
      </c>
      <c r="H283" s="23">
        <f>IF($C283&gt;0,INDEX(Merge_1_2!$D$2:$D$611,$C283),INDEX(Dataset3_Raw!$D$2:$D$391,$E283))</f>
        <v>0</v>
      </c>
      <c r="I283" s="23">
        <f>IF($C283&gt;0,INDEX(Merge_1_2!$E$2:$E$611,$C283),INDEX(Dataset3_Raw!$E$2:$E$391,$E283))</f>
        <v>1</v>
      </c>
      <c r="J283" s="23">
        <f>IF($C283&gt;0,INDEX(Merge_1_2!$F$2:$F$611,$C283),INDEX(Dataset3_Raw!$F$2:$F$391,$E283))</f>
        <v>4</v>
      </c>
      <c r="K283" s="23" t="b">
        <f>IF($C283&gt;0,INDEX(Merge_1_2!$G$2:$G$611,$C283),INDEX(Dataset3_Raw!$G$2:$G$391,$E283))</f>
        <v>0</v>
      </c>
      <c r="L283" s="23">
        <f>IF($C283&gt;0,INDEX(Merge_1_2!$H$2:$H$611,$C283),INDEX(Dataset3_Raw!$H$2:$H$391,$E283))</f>
        <v>4</v>
      </c>
      <c r="M283" s="23">
        <f>IF($C283&gt;0,INDEX(Merge_1_2!$I$2:$I$611,$C283),INDEX(Dataset3_Raw!$I$2:$I$391,$E283))</f>
        <v>1</v>
      </c>
      <c r="N283" s="25">
        <f>IF($C283&gt;0,INDEX(Merge_1_2!$J$2:$J$611,$C283),INDEX(Dataset3_Raw!$J$2:$J$391,$E283))</f>
        <v>0.14000000000000001</v>
      </c>
      <c r="O283" s="25">
        <f>IF($C283&gt;0,IF(ISNUMBER(INDEX(Merge_1_2!$K$2:$K$611,$C283)),INDEX(Merge_1_2!$K$2:$K$611,$C283),""),INDEX(Dataset3_Raw!$K$2:$K$391,$E283))</f>
        <v>0.1212</v>
      </c>
      <c r="P283" s="25">
        <f>IF(ISNUMBER($O283),$O283,ROUND(Lookups!$B$25+Lookups!$B$24*$N283,4))</f>
        <v>0.1212</v>
      </c>
      <c r="Q283" s="25">
        <f>IF($C283&gt;0,INDEX(Merge_1_2!$L$2:$L$611,$C283),INDEX(Dataset3_Raw!$L$2:$L$391,$E283))</f>
        <v>0.5</v>
      </c>
      <c r="R283" s="25">
        <f>IF($C283&gt;0,INDEX(Merge_1_2!$M$2:$M$611,$C283),INDEX(Dataset3_Raw!$M$2:$M$391,$E283))</f>
        <v>0.25369999999999998</v>
      </c>
      <c r="S283" s="23">
        <f>IF($C283&gt;0,INDEX(Merge_1_2!$N$2:$N$611,$C283),INDEX(Dataset3_Raw!$N$2:$N$391,$E283))</f>
        <v>0</v>
      </c>
      <c r="T283" s="23">
        <f>IF($C283&gt;0,INDEX(Merge_1_2!$O$2:$O$611,$C283),INDEX(Dataset3_Raw!$O$2:$O$391,$E283))</f>
        <v>4</v>
      </c>
      <c r="U283" s="23">
        <f>IF($C283&gt;0,INDEX(Merge_1_2!$P$2:$P$611,$C283),INDEX(Dataset3_Raw!$P$2:$P$391,$E283))</f>
        <v>4</v>
      </c>
      <c r="V283" s="23" t="str">
        <f t="shared" si="25"/>
        <v>Weekday</v>
      </c>
      <c r="W283" s="23" t="str">
        <f>VLOOKUP($M283,Lookups!$A$5:$B$8,2,FALSE())</f>
        <v>Clear / Partly cloudy</v>
      </c>
      <c r="X283" s="23" t="str">
        <f>VLOOKUP($G283,Lookups!$D$5:$E$8,2,FALSE())</f>
        <v>Winter</v>
      </c>
      <c r="Y283" s="23" t="str">
        <f>VLOOKUP($L283,Lookups!$G$5:$H$11,2,FALSE())</f>
        <v>Thursday</v>
      </c>
      <c r="Z283" s="23" t="str">
        <f>IF($J283&lt;Lookups!$B$26,"Night",IF($J283&lt;Lookups!$B$27,"Morning",IF($J283&lt;Lookups!$B$28,"Afternoon","Evening")))</f>
        <v>Night</v>
      </c>
      <c r="AA283" s="26">
        <f>ROUND($N283*(Lookups!$B$16-Lookups!$B$15)+Lookups!$B$15,1)</f>
        <v>-1.4</v>
      </c>
      <c r="AB283" s="26">
        <f>ROUND($P283*(Lookups!$B$18-Lookups!$B$17)+Lookups!$B$17,1)</f>
        <v>-8</v>
      </c>
      <c r="AC283" s="23">
        <f t="shared" si="26"/>
        <v>50</v>
      </c>
      <c r="AD283" s="23">
        <f>ROUND($R283*Lookups!$B$19,1)</f>
        <v>17</v>
      </c>
      <c r="AE283" s="27">
        <f t="shared" si="27"/>
        <v>1</v>
      </c>
      <c r="AF283" s="23" t="str">
        <f>IF($U283&gt;=Lookups!$B$23,"High",IF($U283&gt;=Lookups!$B$22,"Medium","Low"))</f>
        <v>Low</v>
      </c>
      <c r="AG283" s="23">
        <f>ROUND(IF($V283="Weekday",IF(INDEX(Hourly_Analysis!$D$5:$D$28,$J283+1)&gt;0,($U283-INDEX(Hourly_Analysis!$C$5:$C$28,$J283+1))/INDEX(Hourly_Analysis!$D$5:$D$28,$J283+1),0),IF(INDEX(Hourly_Analysis!$G$5:$G$28,$J283+1)&gt;0,($U283-INDEX(Hourly_Analysis!$F$5:$F$28,$J283+1))/INDEX(Hourly_Analysis!$G$5:$G$28,$J283+1),0)),2)</f>
        <v>2.5499999999999998</v>
      </c>
      <c r="AH283" s="23" t="str">
        <f>IF(ABS($AG283)&gt;Lookups!$B$20,IF($AG283&gt;0,"High anomaly","Low anomaly"),"")</f>
        <v/>
      </c>
      <c r="AI283" s="23" t="str">
        <f t="shared" si="28"/>
        <v>OK</v>
      </c>
      <c r="AJ283" s="23" t="str">
        <f t="shared" si="29"/>
        <v>No</v>
      </c>
    </row>
    <row r="284" spans="1:36" x14ac:dyDescent="0.35">
      <c r="A284" s="23">
        <v>283</v>
      </c>
      <c r="B284" s="23" t="str">
        <f t="shared" si="24"/>
        <v>Merge 1+2</v>
      </c>
      <c r="C284" s="23">
        <f>IFERROR(MATCH($A284,Merge_1_2!$A$2:$A$611,0),0)</f>
        <v>283</v>
      </c>
      <c r="D284" s="23">
        <f>IF($C284&gt;0,INDEX(Merge_1_2!$Q$2:$Q$611,$C284),0)</f>
        <v>283</v>
      </c>
      <c r="E284" s="23">
        <f>IFERROR(MATCH($A284,Dataset3_Raw!$A$2:$A$391,0),0)</f>
        <v>0</v>
      </c>
      <c r="F284" s="24">
        <f>IF($C284&gt;0,INDEX(Merge_1_2!$B$2:$B$611,$C284),DATE(VALUE(RIGHT(INDEX(Dataset3_Raw!$B$2:$B$391,$E284),4)),VALUE(MID(INDEX(Dataset3_Raw!$B$2:$B$391,$E284),4,2)),VALUE(LEFT(INDEX(Dataset3_Raw!$B$2:$B$391,$E284),2))))</f>
        <v>40556</v>
      </c>
      <c r="G284" s="23">
        <f>IF($C284&gt;0,INDEX(Merge_1_2!$C$2:$C$611,$C284),INDEX(Dataset3_Raw!$C$2:$C$391,$E284))</f>
        <v>1</v>
      </c>
      <c r="H284" s="23">
        <f>IF($C284&gt;0,INDEX(Merge_1_2!$D$2:$D$611,$C284),INDEX(Dataset3_Raw!$D$2:$D$391,$E284))</f>
        <v>0</v>
      </c>
      <c r="I284" s="23">
        <f>IF($C284&gt;0,INDEX(Merge_1_2!$E$2:$E$611,$C284),INDEX(Dataset3_Raw!$E$2:$E$391,$E284))</f>
        <v>1</v>
      </c>
      <c r="J284" s="23">
        <f>IF($C284&gt;0,INDEX(Merge_1_2!$F$2:$F$611,$C284),INDEX(Dataset3_Raw!$F$2:$F$391,$E284))</f>
        <v>5</v>
      </c>
      <c r="K284" s="23" t="b">
        <f>IF($C284&gt;0,INDEX(Merge_1_2!$G$2:$G$611,$C284),INDEX(Dataset3_Raw!$G$2:$G$391,$E284))</f>
        <v>0</v>
      </c>
      <c r="L284" s="23">
        <f>IF($C284&gt;0,INDEX(Merge_1_2!$H$2:$H$611,$C284),INDEX(Dataset3_Raw!$H$2:$H$391,$E284))</f>
        <v>4</v>
      </c>
      <c r="M284" s="23">
        <f>IF($C284&gt;0,INDEX(Merge_1_2!$I$2:$I$611,$C284),INDEX(Dataset3_Raw!$I$2:$I$391,$E284))</f>
        <v>1</v>
      </c>
      <c r="N284" s="25">
        <f>IF($C284&gt;0,INDEX(Merge_1_2!$J$2:$J$611,$C284),INDEX(Dataset3_Raw!$J$2:$J$391,$E284))</f>
        <v>0.14000000000000001</v>
      </c>
      <c r="O284" s="25">
        <f>IF($C284&gt;0,IF(ISNUMBER(INDEX(Merge_1_2!$K$2:$K$611,$C284)),INDEX(Merge_1_2!$K$2:$K$611,$C284),""),INDEX(Dataset3_Raw!$K$2:$K$391,$E284))</f>
        <v>0.1212</v>
      </c>
      <c r="P284" s="25">
        <f>IF(ISNUMBER($O284),$O284,ROUND(Lookups!$B$25+Lookups!$B$24*$N284,4))</f>
        <v>0.1212</v>
      </c>
      <c r="Q284" s="25">
        <f>IF($C284&gt;0,INDEX(Merge_1_2!$L$2:$L$611,$C284),INDEX(Dataset3_Raw!$L$2:$L$391,$E284))</f>
        <v>0.5</v>
      </c>
      <c r="R284" s="25">
        <f>IF($C284&gt;0,INDEX(Merge_1_2!$M$2:$M$611,$C284),INDEX(Dataset3_Raw!$M$2:$M$391,$E284))</f>
        <v>0.29849999999999999</v>
      </c>
      <c r="S284" s="23">
        <f>IF($C284&gt;0,INDEX(Merge_1_2!$N$2:$N$611,$C284),INDEX(Dataset3_Raw!$N$2:$N$391,$E284))</f>
        <v>0</v>
      </c>
      <c r="T284" s="23">
        <f>IF($C284&gt;0,INDEX(Merge_1_2!$O$2:$O$611,$C284),INDEX(Dataset3_Raw!$O$2:$O$391,$E284))</f>
        <v>3</v>
      </c>
      <c r="U284" s="23">
        <f>IF($C284&gt;0,INDEX(Merge_1_2!$P$2:$P$611,$C284),INDEX(Dataset3_Raw!$P$2:$P$391,$E284))</f>
        <v>3</v>
      </c>
      <c r="V284" s="23" t="str">
        <f t="shared" si="25"/>
        <v>Weekday</v>
      </c>
      <c r="W284" s="23" t="str">
        <f>VLOOKUP($M284,Lookups!$A$5:$B$8,2,FALSE())</f>
        <v>Clear / Partly cloudy</v>
      </c>
      <c r="X284" s="23" t="str">
        <f>VLOOKUP($G284,Lookups!$D$5:$E$8,2,FALSE())</f>
        <v>Winter</v>
      </c>
      <c r="Y284" s="23" t="str">
        <f>VLOOKUP($L284,Lookups!$G$5:$H$11,2,FALSE())</f>
        <v>Thursday</v>
      </c>
      <c r="Z284" s="23" t="str">
        <f>IF($J284&lt;Lookups!$B$26,"Night",IF($J284&lt;Lookups!$B$27,"Morning",IF($J284&lt;Lookups!$B$28,"Afternoon","Evening")))</f>
        <v>Night</v>
      </c>
      <c r="AA284" s="26">
        <f>ROUND($N284*(Lookups!$B$16-Lookups!$B$15)+Lookups!$B$15,1)</f>
        <v>-1.4</v>
      </c>
      <c r="AB284" s="26">
        <f>ROUND($P284*(Lookups!$B$18-Lookups!$B$17)+Lookups!$B$17,1)</f>
        <v>-8</v>
      </c>
      <c r="AC284" s="23">
        <f t="shared" si="26"/>
        <v>50</v>
      </c>
      <c r="AD284" s="23">
        <f>ROUND($R284*Lookups!$B$19,1)</f>
        <v>20</v>
      </c>
      <c r="AE284" s="27">
        <f t="shared" si="27"/>
        <v>1</v>
      </c>
      <c r="AF284" s="23" t="str">
        <f>IF($U284&gt;=Lookups!$B$23,"High",IF($U284&gt;=Lookups!$B$22,"Medium","Low"))</f>
        <v>Low</v>
      </c>
      <c r="AG284" s="23">
        <f>ROUND(IF($V284="Weekday",IF(INDEX(Hourly_Analysis!$D$5:$D$28,$J284+1)&gt;0,($U284-INDEX(Hourly_Analysis!$C$5:$C$28,$J284+1))/INDEX(Hourly_Analysis!$D$5:$D$28,$J284+1),0),IF(INDEX(Hourly_Analysis!$G$5:$G$28,$J284+1)&gt;0,($U284-INDEX(Hourly_Analysis!$F$5:$F$28,$J284+1))/INDEX(Hourly_Analysis!$G$5:$G$28,$J284+1),0)),2)</f>
        <v>-0.82</v>
      </c>
      <c r="AH284" s="23" t="str">
        <f>IF(ABS($AG284)&gt;Lookups!$B$20,IF($AG284&gt;0,"High anomaly","Low anomaly"),"")</f>
        <v/>
      </c>
      <c r="AI284" s="23" t="str">
        <f t="shared" si="28"/>
        <v>OK</v>
      </c>
      <c r="AJ284" s="23" t="str">
        <f t="shared" si="29"/>
        <v>No</v>
      </c>
    </row>
    <row r="285" spans="1:36" x14ac:dyDescent="0.35">
      <c r="A285" s="23">
        <v>284</v>
      </c>
      <c r="B285" s="23" t="str">
        <f t="shared" si="24"/>
        <v>Merge 1+2</v>
      </c>
      <c r="C285" s="23">
        <f>IFERROR(MATCH($A285,Merge_1_2!$A$2:$A$611,0),0)</f>
        <v>284</v>
      </c>
      <c r="D285" s="23">
        <f>IF($C285&gt;0,INDEX(Merge_1_2!$Q$2:$Q$611,$C285),0)</f>
        <v>284</v>
      </c>
      <c r="E285" s="23">
        <f>IFERROR(MATCH($A285,Dataset3_Raw!$A$2:$A$391,0),0)</f>
        <v>0</v>
      </c>
      <c r="F285" s="24">
        <f>IF($C285&gt;0,INDEX(Merge_1_2!$B$2:$B$611,$C285),DATE(VALUE(RIGHT(INDEX(Dataset3_Raw!$B$2:$B$391,$E285),4)),VALUE(MID(INDEX(Dataset3_Raw!$B$2:$B$391,$E285),4,2)),VALUE(LEFT(INDEX(Dataset3_Raw!$B$2:$B$391,$E285),2))))</f>
        <v>40556</v>
      </c>
      <c r="G285" s="23">
        <f>IF($C285&gt;0,INDEX(Merge_1_2!$C$2:$C$611,$C285),INDEX(Dataset3_Raw!$C$2:$C$391,$E285))</f>
        <v>1</v>
      </c>
      <c r="H285" s="23">
        <f>IF($C285&gt;0,INDEX(Merge_1_2!$D$2:$D$611,$C285),INDEX(Dataset3_Raw!$D$2:$D$391,$E285))</f>
        <v>0</v>
      </c>
      <c r="I285" s="23">
        <f>IF($C285&gt;0,INDEX(Merge_1_2!$E$2:$E$611,$C285),INDEX(Dataset3_Raw!$E$2:$E$391,$E285))</f>
        <v>1</v>
      </c>
      <c r="J285" s="23">
        <f>IF($C285&gt;0,INDEX(Merge_1_2!$F$2:$F$611,$C285),INDEX(Dataset3_Raw!$F$2:$F$391,$E285))</f>
        <v>6</v>
      </c>
      <c r="K285" s="23" t="b">
        <f>IF($C285&gt;0,INDEX(Merge_1_2!$G$2:$G$611,$C285),INDEX(Dataset3_Raw!$G$2:$G$391,$E285))</f>
        <v>0</v>
      </c>
      <c r="L285" s="23">
        <f>IF($C285&gt;0,INDEX(Merge_1_2!$H$2:$H$611,$C285),INDEX(Dataset3_Raw!$H$2:$H$391,$E285))</f>
        <v>4</v>
      </c>
      <c r="M285" s="23">
        <f>IF($C285&gt;0,INDEX(Merge_1_2!$I$2:$I$611,$C285),INDEX(Dataset3_Raw!$I$2:$I$391,$E285))</f>
        <v>1</v>
      </c>
      <c r="N285" s="25">
        <f>IF($C285&gt;0,INDEX(Merge_1_2!$J$2:$J$611,$C285),INDEX(Dataset3_Raw!$J$2:$J$391,$E285))</f>
        <v>0.12</v>
      </c>
      <c r="O285" s="25">
        <f>IF($C285&gt;0,IF(ISNUMBER(INDEX(Merge_1_2!$K$2:$K$611,$C285)),INDEX(Merge_1_2!$K$2:$K$611,$C285),""),INDEX(Dataset3_Raw!$K$2:$K$391,$E285))</f>
        <v>0.1515</v>
      </c>
      <c r="P285" s="25">
        <f>IF(ISNUMBER($O285),$O285,ROUND(Lookups!$B$25+Lookups!$B$24*$N285,4))</f>
        <v>0.1515</v>
      </c>
      <c r="Q285" s="25">
        <f>IF($C285&gt;0,INDEX(Merge_1_2!$L$2:$L$611,$C285),INDEX(Dataset3_Raw!$L$2:$L$391,$E285))</f>
        <v>0.54</v>
      </c>
      <c r="R285" s="25">
        <f>IF($C285&gt;0,INDEX(Merge_1_2!$M$2:$M$611,$C285),INDEX(Dataset3_Raw!$M$2:$M$391,$E285))</f>
        <v>0.1343</v>
      </c>
      <c r="S285" s="23">
        <f>IF($C285&gt;0,INDEX(Merge_1_2!$N$2:$N$611,$C285),INDEX(Dataset3_Raw!$N$2:$N$391,$E285))</f>
        <v>0</v>
      </c>
      <c r="T285" s="23">
        <f>IF($C285&gt;0,INDEX(Merge_1_2!$O$2:$O$611,$C285),INDEX(Dataset3_Raw!$O$2:$O$391,$E285))</f>
        <v>28</v>
      </c>
      <c r="U285" s="23">
        <f>IF($C285&gt;0,INDEX(Merge_1_2!$P$2:$P$611,$C285),INDEX(Dataset3_Raw!$P$2:$P$391,$E285))</f>
        <v>28</v>
      </c>
      <c r="V285" s="23" t="str">
        <f t="shared" si="25"/>
        <v>Weekday</v>
      </c>
      <c r="W285" s="23" t="str">
        <f>VLOOKUP($M285,Lookups!$A$5:$B$8,2,FALSE())</f>
        <v>Clear / Partly cloudy</v>
      </c>
      <c r="X285" s="23" t="str">
        <f>VLOOKUP($G285,Lookups!$D$5:$E$8,2,FALSE())</f>
        <v>Winter</v>
      </c>
      <c r="Y285" s="23" t="str">
        <f>VLOOKUP($L285,Lookups!$G$5:$H$11,2,FALSE())</f>
        <v>Thursday</v>
      </c>
      <c r="Z285" s="23" t="str">
        <f>IF($J285&lt;Lookups!$B$26,"Night",IF($J285&lt;Lookups!$B$27,"Morning",IF($J285&lt;Lookups!$B$28,"Afternoon","Evening")))</f>
        <v>Morning</v>
      </c>
      <c r="AA285" s="26">
        <f>ROUND($N285*(Lookups!$B$16-Lookups!$B$15)+Lookups!$B$15,1)</f>
        <v>-2.4</v>
      </c>
      <c r="AB285" s="26">
        <f>ROUND($P285*(Lookups!$B$18-Lookups!$B$17)+Lookups!$B$17,1)</f>
        <v>-6</v>
      </c>
      <c r="AC285" s="23">
        <f t="shared" si="26"/>
        <v>54</v>
      </c>
      <c r="AD285" s="23">
        <f>ROUND($R285*Lookups!$B$19,1)</f>
        <v>9</v>
      </c>
      <c r="AE285" s="27">
        <f t="shared" si="27"/>
        <v>1</v>
      </c>
      <c r="AF285" s="23" t="str">
        <f>IF($U285&gt;=Lookups!$B$23,"High",IF($U285&gt;=Lookups!$B$22,"Medium","Low"))</f>
        <v>Medium</v>
      </c>
      <c r="AG285" s="23">
        <f>ROUND(IF($V285="Weekday",IF(INDEX(Hourly_Analysis!$D$5:$D$28,$J285+1)&gt;0,($U285-INDEX(Hourly_Analysis!$C$5:$C$28,$J285+1))/INDEX(Hourly_Analysis!$D$5:$D$28,$J285+1),0),IF(INDEX(Hourly_Analysis!$G$5:$G$28,$J285+1)&gt;0,($U285-INDEX(Hourly_Analysis!$F$5:$F$28,$J285+1))/INDEX(Hourly_Analysis!$G$5:$G$28,$J285+1),0)),2)</f>
        <v>-0.02</v>
      </c>
      <c r="AH285" s="23" t="str">
        <f>IF(ABS($AG285)&gt;Lookups!$B$20,IF($AG285&gt;0,"High anomaly","Low anomaly"),"")</f>
        <v/>
      </c>
      <c r="AI285" s="23" t="str">
        <f t="shared" si="28"/>
        <v>OK</v>
      </c>
      <c r="AJ285" s="23" t="str">
        <f t="shared" si="29"/>
        <v>No</v>
      </c>
    </row>
    <row r="286" spans="1:36" x14ac:dyDescent="0.35">
      <c r="A286" s="23">
        <v>285</v>
      </c>
      <c r="B286" s="23" t="str">
        <f t="shared" si="24"/>
        <v>Merge 1+2</v>
      </c>
      <c r="C286" s="23">
        <f>IFERROR(MATCH($A286,Merge_1_2!$A$2:$A$611,0),0)</f>
        <v>285</v>
      </c>
      <c r="D286" s="23">
        <f>IF($C286&gt;0,INDEX(Merge_1_2!$Q$2:$Q$611,$C286),0)</f>
        <v>285</v>
      </c>
      <c r="E286" s="23">
        <f>IFERROR(MATCH($A286,Dataset3_Raw!$A$2:$A$391,0),0)</f>
        <v>0</v>
      </c>
      <c r="F286" s="24">
        <f>IF($C286&gt;0,INDEX(Merge_1_2!$B$2:$B$611,$C286),DATE(VALUE(RIGHT(INDEX(Dataset3_Raw!$B$2:$B$391,$E286),4)),VALUE(MID(INDEX(Dataset3_Raw!$B$2:$B$391,$E286),4,2)),VALUE(LEFT(INDEX(Dataset3_Raw!$B$2:$B$391,$E286),2))))</f>
        <v>40556</v>
      </c>
      <c r="G286" s="23">
        <f>IF($C286&gt;0,INDEX(Merge_1_2!$C$2:$C$611,$C286),INDEX(Dataset3_Raw!$C$2:$C$391,$E286))</f>
        <v>1</v>
      </c>
      <c r="H286" s="23">
        <f>IF($C286&gt;0,INDEX(Merge_1_2!$D$2:$D$611,$C286),INDEX(Dataset3_Raw!$D$2:$D$391,$E286))</f>
        <v>0</v>
      </c>
      <c r="I286" s="23">
        <f>IF($C286&gt;0,INDEX(Merge_1_2!$E$2:$E$611,$C286),INDEX(Dataset3_Raw!$E$2:$E$391,$E286))</f>
        <v>1</v>
      </c>
      <c r="J286" s="23">
        <f>IF($C286&gt;0,INDEX(Merge_1_2!$F$2:$F$611,$C286),INDEX(Dataset3_Raw!$F$2:$F$391,$E286))</f>
        <v>7</v>
      </c>
      <c r="K286" s="23" t="b">
        <f>IF($C286&gt;0,INDEX(Merge_1_2!$G$2:$G$611,$C286),INDEX(Dataset3_Raw!$G$2:$G$391,$E286))</f>
        <v>0</v>
      </c>
      <c r="L286" s="23">
        <f>IF($C286&gt;0,INDEX(Merge_1_2!$H$2:$H$611,$C286),INDEX(Dataset3_Raw!$H$2:$H$391,$E286))</f>
        <v>4</v>
      </c>
      <c r="M286" s="23">
        <f>IF($C286&gt;0,INDEX(Merge_1_2!$I$2:$I$611,$C286),INDEX(Dataset3_Raw!$I$2:$I$391,$E286))</f>
        <v>1</v>
      </c>
      <c r="N286" s="25">
        <f>IF($C286&gt;0,INDEX(Merge_1_2!$J$2:$J$611,$C286),INDEX(Dataset3_Raw!$J$2:$J$391,$E286))</f>
        <v>0.12</v>
      </c>
      <c r="O286" s="25">
        <f>IF($C286&gt;0,IF(ISNUMBER(INDEX(Merge_1_2!$K$2:$K$611,$C286)),INDEX(Merge_1_2!$K$2:$K$611,$C286),""),INDEX(Dataset3_Raw!$K$2:$K$391,$E286))</f>
        <v>0.1515</v>
      </c>
      <c r="P286" s="25">
        <f>IF(ISNUMBER($O286),$O286,ROUND(Lookups!$B$25+Lookups!$B$24*$N286,4))</f>
        <v>0.1515</v>
      </c>
      <c r="Q286" s="25">
        <f>IF($C286&gt;0,INDEX(Merge_1_2!$L$2:$L$611,$C286),INDEX(Dataset3_Raw!$L$2:$L$391,$E286))</f>
        <v>0.54</v>
      </c>
      <c r="R286" s="25">
        <f>IF($C286&gt;0,INDEX(Merge_1_2!$M$2:$M$611,$C286),INDEX(Dataset3_Raw!$M$2:$M$391,$E286))</f>
        <v>0.1343</v>
      </c>
      <c r="S286" s="23">
        <f>IF($C286&gt;0,INDEX(Merge_1_2!$N$2:$N$611,$C286),INDEX(Dataset3_Raw!$N$2:$N$391,$E286))</f>
        <v>0</v>
      </c>
      <c r="T286" s="23">
        <f>IF($C286&gt;0,INDEX(Merge_1_2!$O$2:$O$611,$C286),INDEX(Dataset3_Raw!$O$2:$O$391,$E286))</f>
        <v>72</v>
      </c>
      <c r="U286" s="23">
        <f>IF($C286&gt;0,INDEX(Merge_1_2!$P$2:$P$611,$C286),INDEX(Dataset3_Raw!$P$2:$P$391,$E286))</f>
        <v>72</v>
      </c>
      <c r="V286" s="23" t="str">
        <f t="shared" si="25"/>
        <v>Weekday</v>
      </c>
      <c r="W286" s="23" t="str">
        <f>VLOOKUP($M286,Lookups!$A$5:$B$8,2,FALSE())</f>
        <v>Clear / Partly cloudy</v>
      </c>
      <c r="X286" s="23" t="str">
        <f>VLOOKUP($G286,Lookups!$D$5:$E$8,2,FALSE())</f>
        <v>Winter</v>
      </c>
      <c r="Y286" s="23" t="str">
        <f>VLOOKUP($L286,Lookups!$G$5:$H$11,2,FALSE())</f>
        <v>Thursday</v>
      </c>
      <c r="Z286" s="23" t="str">
        <f>IF($J286&lt;Lookups!$B$26,"Night",IF($J286&lt;Lookups!$B$27,"Morning",IF($J286&lt;Lookups!$B$28,"Afternoon","Evening")))</f>
        <v>Morning</v>
      </c>
      <c r="AA286" s="26">
        <f>ROUND($N286*(Lookups!$B$16-Lookups!$B$15)+Lookups!$B$15,1)</f>
        <v>-2.4</v>
      </c>
      <c r="AB286" s="26">
        <f>ROUND($P286*(Lookups!$B$18-Lookups!$B$17)+Lookups!$B$17,1)</f>
        <v>-6</v>
      </c>
      <c r="AC286" s="23">
        <f t="shared" si="26"/>
        <v>54</v>
      </c>
      <c r="AD286" s="23">
        <f>ROUND($R286*Lookups!$B$19,1)</f>
        <v>9</v>
      </c>
      <c r="AE286" s="27">
        <f t="shared" si="27"/>
        <v>1</v>
      </c>
      <c r="AF286" s="23" t="str">
        <f>IF($U286&gt;=Lookups!$B$23,"High",IF($U286&gt;=Lookups!$B$22,"Medium","Low"))</f>
        <v>Medium</v>
      </c>
      <c r="AG286" s="23">
        <f>ROUND(IF($V286="Weekday",IF(INDEX(Hourly_Analysis!$D$5:$D$28,$J286+1)&gt;0,($U286-INDEX(Hourly_Analysis!$C$5:$C$28,$J286+1))/INDEX(Hourly_Analysis!$D$5:$D$28,$J286+1),0),IF(INDEX(Hourly_Analysis!$G$5:$G$28,$J286+1)&gt;0,($U286-INDEX(Hourly_Analysis!$F$5:$F$28,$J286+1))/INDEX(Hourly_Analysis!$G$5:$G$28,$J286+1),0)),2)</f>
        <v>-0.44</v>
      </c>
      <c r="AH286" s="23" t="str">
        <f>IF(ABS($AG286)&gt;Lookups!$B$20,IF($AG286&gt;0,"High anomaly","Low anomaly"),"")</f>
        <v/>
      </c>
      <c r="AI286" s="23" t="str">
        <f t="shared" si="28"/>
        <v>OK</v>
      </c>
      <c r="AJ286" s="23" t="str">
        <f t="shared" si="29"/>
        <v>No</v>
      </c>
    </row>
    <row r="287" spans="1:36" x14ac:dyDescent="0.35">
      <c r="A287" s="23">
        <v>286</v>
      </c>
      <c r="B287" s="23" t="str">
        <f t="shared" si="24"/>
        <v>Merge 1+2</v>
      </c>
      <c r="C287" s="23">
        <f>IFERROR(MATCH($A287,Merge_1_2!$A$2:$A$611,0),0)</f>
        <v>286</v>
      </c>
      <c r="D287" s="23">
        <f>IF($C287&gt;0,INDEX(Merge_1_2!$Q$2:$Q$611,$C287),0)</f>
        <v>286</v>
      </c>
      <c r="E287" s="23">
        <f>IFERROR(MATCH($A287,Dataset3_Raw!$A$2:$A$391,0),0)</f>
        <v>0</v>
      </c>
      <c r="F287" s="24">
        <f>IF($C287&gt;0,INDEX(Merge_1_2!$B$2:$B$611,$C287),DATE(VALUE(RIGHT(INDEX(Dataset3_Raw!$B$2:$B$391,$E287),4)),VALUE(MID(INDEX(Dataset3_Raw!$B$2:$B$391,$E287),4,2)),VALUE(LEFT(INDEX(Dataset3_Raw!$B$2:$B$391,$E287),2))))</f>
        <v>40556</v>
      </c>
      <c r="G287" s="23">
        <f>IF($C287&gt;0,INDEX(Merge_1_2!$C$2:$C$611,$C287),INDEX(Dataset3_Raw!$C$2:$C$391,$E287))</f>
        <v>1</v>
      </c>
      <c r="H287" s="23">
        <f>IF($C287&gt;0,INDEX(Merge_1_2!$D$2:$D$611,$C287),INDEX(Dataset3_Raw!$D$2:$D$391,$E287))</f>
        <v>0</v>
      </c>
      <c r="I287" s="23">
        <f>IF($C287&gt;0,INDEX(Merge_1_2!$E$2:$E$611,$C287),INDEX(Dataset3_Raw!$E$2:$E$391,$E287))</f>
        <v>1</v>
      </c>
      <c r="J287" s="23">
        <f>IF($C287&gt;0,INDEX(Merge_1_2!$F$2:$F$611,$C287),INDEX(Dataset3_Raw!$F$2:$F$391,$E287))</f>
        <v>8</v>
      </c>
      <c r="K287" s="23" t="b">
        <f>IF($C287&gt;0,INDEX(Merge_1_2!$G$2:$G$611,$C287),INDEX(Dataset3_Raw!$G$2:$G$391,$E287))</f>
        <v>0</v>
      </c>
      <c r="L287" s="23">
        <f>IF($C287&gt;0,INDEX(Merge_1_2!$H$2:$H$611,$C287),INDEX(Dataset3_Raw!$H$2:$H$391,$E287))</f>
        <v>4</v>
      </c>
      <c r="M287" s="23">
        <f>IF($C287&gt;0,INDEX(Merge_1_2!$I$2:$I$611,$C287),INDEX(Dataset3_Raw!$I$2:$I$391,$E287))</f>
        <v>1</v>
      </c>
      <c r="N287" s="25">
        <f>IF($C287&gt;0,INDEX(Merge_1_2!$J$2:$J$611,$C287),INDEX(Dataset3_Raw!$J$2:$J$391,$E287))</f>
        <v>0.14000000000000001</v>
      </c>
      <c r="O287" s="25">
        <f>IF($C287&gt;0,IF(ISNUMBER(INDEX(Merge_1_2!$K$2:$K$611,$C287)),INDEX(Merge_1_2!$K$2:$K$611,$C287),""),INDEX(Dataset3_Raw!$K$2:$K$391,$E287))</f>
        <v>0.13639999999999999</v>
      </c>
      <c r="P287" s="25">
        <f>IF(ISNUMBER($O287),$O287,ROUND(Lookups!$B$25+Lookups!$B$24*$N287,4))</f>
        <v>0.13639999999999999</v>
      </c>
      <c r="Q287" s="25">
        <f>IF($C287&gt;0,INDEX(Merge_1_2!$L$2:$L$611,$C287),INDEX(Dataset3_Raw!$L$2:$L$391,$E287))</f>
        <v>0.5</v>
      </c>
      <c r="R287" s="25">
        <f>IF($C287&gt;0,INDEX(Merge_1_2!$M$2:$M$611,$C287),INDEX(Dataset3_Raw!$M$2:$M$391,$E287))</f>
        <v>0.19400000000000001</v>
      </c>
      <c r="S287" s="23">
        <f>IF($C287&gt;0,INDEX(Merge_1_2!$N$2:$N$611,$C287),INDEX(Dataset3_Raw!$N$2:$N$391,$E287))</f>
        <v>5</v>
      </c>
      <c r="T287" s="23">
        <f>IF($C287&gt;0,INDEX(Merge_1_2!$O$2:$O$611,$C287),INDEX(Dataset3_Raw!$O$2:$O$391,$E287))</f>
        <v>197</v>
      </c>
      <c r="U287" s="23">
        <f>IF($C287&gt;0,INDEX(Merge_1_2!$P$2:$P$611,$C287),INDEX(Dataset3_Raw!$P$2:$P$391,$E287))</f>
        <v>202</v>
      </c>
      <c r="V287" s="23" t="str">
        <f t="shared" si="25"/>
        <v>Weekday</v>
      </c>
      <c r="W287" s="23" t="str">
        <f>VLOOKUP($M287,Lookups!$A$5:$B$8,2,FALSE())</f>
        <v>Clear / Partly cloudy</v>
      </c>
      <c r="X287" s="23" t="str">
        <f>VLOOKUP($G287,Lookups!$D$5:$E$8,2,FALSE())</f>
        <v>Winter</v>
      </c>
      <c r="Y287" s="23" t="str">
        <f>VLOOKUP($L287,Lookups!$G$5:$H$11,2,FALSE())</f>
        <v>Thursday</v>
      </c>
      <c r="Z287" s="23" t="str">
        <f>IF($J287&lt;Lookups!$B$26,"Night",IF($J287&lt;Lookups!$B$27,"Morning",IF($J287&lt;Lookups!$B$28,"Afternoon","Evening")))</f>
        <v>Morning</v>
      </c>
      <c r="AA287" s="26">
        <f>ROUND($N287*(Lookups!$B$16-Lookups!$B$15)+Lookups!$B$15,1)</f>
        <v>-1.4</v>
      </c>
      <c r="AB287" s="26">
        <f>ROUND($P287*(Lookups!$B$18-Lookups!$B$17)+Lookups!$B$17,1)</f>
        <v>-7</v>
      </c>
      <c r="AC287" s="23">
        <f t="shared" si="26"/>
        <v>50</v>
      </c>
      <c r="AD287" s="23">
        <f>ROUND($R287*Lookups!$B$19,1)</f>
        <v>13</v>
      </c>
      <c r="AE287" s="27">
        <f t="shared" si="27"/>
        <v>0.97524752475247523</v>
      </c>
      <c r="AF287" s="23" t="str">
        <f>IF($U287&gt;=Lookups!$B$23,"High",IF($U287&gt;=Lookups!$B$22,"Medium","Low"))</f>
        <v>High</v>
      </c>
      <c r="AG287" s="23">
        <f>ROUND(IF($V287="Weekday",IF(INDEX(Hourly_Analysis!$D$5:$D$28,$J287+1)&gt;0,($U287-INDEX(Hourly_Analysis!$C$5:$C$28,$J287+1))/INDEX(Hourly_Analysis!$D$5:$D$28,$J287+1),0),IF(INDEX(Hourly_Analysis!$G$5:$G$28,$J287+1)&gt;0,($U287-INDEX(Hourly_Analysis!$F$5:$F$28,$J287+1))/INDEX(Hourly_Analysis!$G$5:$G$28,$J287+1),0)),2)</f>
        <v>0.33</v>
      </c>
      <c r="AH287" s="23" t="str">
        <f>IF(ABS($AG287)&gt;Lookups!$B$20,IF($AG287&gt;0,"High anomaly","Low anomaly"),"")</f>
        <v/>
      </c>
      <c r="AI287" s="23" t="str">
        <f t="shared" si="28"/>
        <v>OK</v>
      </c>
      <c r="AJ287" s="23" t="str">
        <f t="shared" si="29"/>
        <v>No</v>
      </c>
    </row>
    <row r="288" spans="1:36" x14ac:dyDescent="0.35">
      <c r="A288" s="23">
        <v>287</v>
      </c>
      <c r="B288" s="23" t="str">
        <f t="shared" si="24"/>
        <v>Merge 1+2</v>
      </c>
      <c r="C288" s="23">
        <f>IFERROR(MATCH($A288,Merge_1_2!$A$2:$A$611,0),0)</f>
        <v>287</v>
      </c>
      <c r="D288" s="23">
        <f>IF($C288&gt;0,INDEX(Merge_1_2!$Q$2:$Q$611,$C288),0)</f>
        <v>287</v>
      </c>
      <c r="E288" s="23">
        <f>IFERROR(MATCH($A288,Dataset3_Raw!$A$2:$A$391,0),0)</f>
        <v>0</v>
      </c>
      <c r="F288" s="24">
        <f>IF($C288&gt;0,INDEX(Merge_1_2!$B$2:$B$611,$C288),DATE(VALUE(RIGHT(INDEX(Dataset3_Raw!$B$2:$B$391,$E288),4)),VALUE(MID(INDEX(Dataset3_Raw!$B$2:$B$391,$E288),4,2)),VALUE(LEFT(INDEX(Dataset3_Raw!$B$2:$B$391,$E288),2))))</f>
        <v>40556</v>
      </c>
      <c r="G288" s="23">
        <f>IF($C288&gt;0,INDEX(Merge_1_2!$C$2:$C$611,$C288),INDEX(Dataset3_Raw!$C$2:$C$391,$E288))</f>
        <v>1</v>
      </c>
      <c r="H288" s="23">
        <f>IF($C288&gt;0,INDEX(Merge_1_2!$D$2:$D$611,$C288),INDEX(Dataset3_Raw!$D$2:$D$391,$E288))</f>
        <v>0</v>
      </c>
      <c r="I288" s="23">
        <f>IF($C288&gt;0,INDEX(Merge_1_2!$E$2:$E$611,$C288),INDEX(Dataset3_Raw!$E$2:$E$391,$E288))</f>
        <v>1</v>
      </c>
      <c r="J288" s="23">
        <f>IF($C288&gt;0,INDEX(Merge_1_2!$F$2:$F$611,$C288),INDEX(Dataset3_Raw!$F$2:$F$391,$E288))</f>
        <v>9</v>
      </c>
      <c r="K288" s="23" t="b">
        <f>IF($C288&gt;0,INDEX(Merge_1_2!$G$2:$G$611,$C288),INDEX(Dataset3_Raw!$G$2:$G$391,$E288))</f>
        <v>0</v>
      </c>
      <c r="L288" s="23">
        <f>IF($C288&gt;0,INDEX(Merge_1_2!$H$2:$H$611,$C288),INDEX(Dataset3_Raw!$H$2:$H$391,$E288))</f>
        <v>4</v>
      </c>
      <c r="M288" s="23">
        <f>IF($C288&gt;0,INDEX(Merge_1_2!$I$2:$I$611,$C288),INDEX(Dataset3_Raw!$I$2:$I$391,$E288))</f>
        <v>1</v>
      </c>
      <c r="N288" s="25">
        <f>IF($C288&gt;0,INDEX(Merge_1_2!$J$2:$J$611,$C288),INDEX(Dataset3_Raw!$J$2:$J$391,$E288))</f>
        <v>0.14000000000000001</v>
      </c>
      <c r="O288" s="25">
        <f>IF($C288&gt;0,IF(ISNUMBER(INDEX(Merge_1_2!$K$2:$K$611,$C288)),INDEX(Merge_1_2!$K$2:$K$611,$C288),""),INDEX(Dataset3_Raw!$K$2:$K$391,$E288))</f>
        <v>0.1212</v>
      </c>
      <c r="P288" s="25">
        <f>IF(ISNUMBER($O288),$O288,ROUND(Lookups!$B$25+Lookups!$B$24*$N288,4))</f>
        <v>0.1212</v>
      </c>
      <c r="Q288" s="25">
        <f>IF($C288&gt;0,INDEX(Merge_1_2!$L$2:$L$611,$C288),INDEX(Dataset3_Raw!$L$2:$L$391,$E288))</f>
        <v>0.5</v>
      </c>
      <c r="R288" s="25">
        <f>IF($C288&gt;0,INDEX(Merge_1_2!$M$2:$M$611,$C288),INDEX(Dataset3_Raw!$M$2:$M$391,$E288))</f>
        <v>0.32840000000000003</v>
      </c>
      <c r="S288" s="23">
        <f>IF($C288&gt;0,INDEX(Merge_1_2!$N$2:$N$611,$C288),INDEX(Dataset3_Raw!$N$2:$N$391,$E288))</f>
        <v>2</v>
      </c>
      <c r="T288" s="23">
        <f>IF($C288&gt;0,INDEX(Merge_1_2!$O$2:$O$611,$C288),INDEX(Dataset3_Raw!$O$2:$O$391,$E288))</f>
        <v>137</v>
      </c>
      <c r="U288" s="23">
        <f>IF($C288&gt;0,INDEX(Merge_1_2!$P$2:$P$611,$C288),INDEX(Dataset3_Raw!$P$2:$P$391,$E288))</f>
        <v>139</v>
      </c>
      <c r="V288" s="23" t="str">
        <f t="shared" si="25"/>
        <v>Weekday</v>
      </c>
      <c r="W288" s="23" t="str">
        <f>VLOOKUP($M288,Lookups!$A$5:$B$8,2,FALSE())</f>
        <v>Clear / Partly cloudy</v>
      </c>
      <c r="X288" s="23" t="str">
        <f>VLOOKUP($G288,Lookups!$D$5:$E$8,2,FALSE())</f>
        <v>Winter</v>
      </c>
      <c r="Y288" s="23" t="str">
        <f>VLOOKUP($L288,Lookups!$G$5:$H$11,2,FALSE())</f>
        <v>Thursday</v>
      </c>
      <c r="Z288" s="23" t="str">
        <f>IF($J288&lt;Lookups!$B$26,"Night",IF($J288&lt;Lookups!$B$27,"Morning",IF($J288&lt;Lookups!$B$28,"Afternoon","Evening")))</f>
        <v>Morning</v>
      </c>
      <c r="AA288" s="26">
        <f>ROUND($N288*(Lookups!$B$16-Lookups!$B$15)+Lookups!$B$15,1)</f>
        <v>-1.4</v>
      </c>
      <c r="AB288" s="26">
        <f>ROUND($P288*(Lookups!$B$18-Lookups!$B$17)+Lookups!$B$17,1)</f>
        <v>-8</v>
      </c>
      <c r="AC288" s="23">
        <f t="shared" si="26"/>
        <v>50</v>
      </c>
      <c r="AD288" s="23">
        <f>ROUND($R288*Lookups!$B$19,1)</f>
        <v>22</v>
      </c>
      <c r="AE288" s="27">
        <f t="shared" si="27"/>
        <v>0.98561151079136688</v>
      </c>
      <c r="AF288" s="23" t="str">
        <f>IF($U288&gt;=Lookups!$B$23,"High",IF($U288&gt;=Lookups!$B$22,"Medium","Low"))</f>
        <v>High</v>
      </c>
      <c r="AG288" s="23">
        <f>ROUND(IF($V288="Weekday",IF(INDEX(Hourly_Analysis!$D$5:$D$28,$J288+1)&gt;0,($U288-INDEX(Hourly_Analysis!$C$5:$C$28,$J288+1))/INDEX(Hourly_Analysis!$D$5:$D$28,$J288+1),0),IF(INDEX(Hourly_Analysis!$G$5:$G$28,$J288+1)&gt;0,($U288-INDEX(Hourly_Analysis!$F$5:$F$28,$J288+1))/INDEX(Hourly_Analysis!$G$5:$G$28,$J288+1),0)),2)</f>
        <v>0.93</v>
      </c>
      <c r="AH288" s="23" t="str">
        <f>IF(ABS($AG288)&gt;Lookups!$B$20,IF($AG288&gt;0,"High anomaly","Low anomaly"),"")</f>
        <v/>
      </c>
      <c r="AI288" s="23" t="str">
        <f t="shared" si="28"/>
        <v>OK</v>
      </c>
      <c r="AJ288" s="23" t="str">
        <f t="shared" si="29"/>
        <v>No</v>
      </c>
    </row>
    <row r="289" spans="1:36" x14ac:dyDescent="0.35">
      <c r="A289" s="23">
        <v>288</v>
      </c>
      <c r="B289" s="23" t="str">
        <f t="shared" si="24"/>
        <v>Merge 1+2</v>
      </c>
      <c r="C289" s="23">
        <f>IFERROR(MATCH($A289,Merge_1_2!$A$2:$A$611,0),0)</f>
        <v>288</v>
      </c>
      <c r="D289" s="23">
        <f>IF($C289&gt;0,INDEX(Merge_1_2!$Q$2:$Q$611,$C289),0)</f>
        <v>288</v>
      </c>
      <c r="E289" s="23">
        <f>IFERROR(MATCH($A289,Dataset3_Raw!$A$2:$A$391,0),0)</f>
        <v>0</v>
      </c>
      <c r="F289" s="24">
        <f>IF($C289&gt;0,INDEX(Merge_1_2!$B$2:$B$611,$C289),DATE(VALUE(RIGHT(INDEX(Dataset3_Raw!$B$2:$B$391,$E289),4)),VALUE(MID(INDEX(Dataset3_Raw!$B$2:$B$391,$E289),4,2)),VALUE(LEFT(INDEX(Dataset3_Raw!$B$2:$B$391,$E289),2))))</f>
        <v>40556</v>
      </c>
      <c r="G289" s="23">
        <f>IF($C289&gt;0,INDEX(Merge_1_2!$C$2:$C$611,$C289),INDEX(Dataset3_Raw!$C$2:$C$391,$E289))</f>
        <v>1</v>
      </c>
      <c r="H289" s="23">
        <f>IF($C289&gt;0,INDEX(Merge_1_2!$D$2:$D$611,$C289),INDEX(Dataset3_Raw!$D$2:$D$391,$E289))</f>
        <v>0</v>
      </c>
      <c r="I289" s="23">
        <f>IF($C289&gt;0,INDEX(Merge_1_2!$E$2:$E$611,$C289),INDEX(Dataset3_Raw!$E$2:$E$391,$E289))</f>
        <v>1</v>
      </c>
      <c r="J289" s="23">
        <f>IF($C289&gt;0,INDEX(Merge_1_2!$F$2:$F$611,$C289),INDEX(Dataset3_Raw!$F$2:$F$391,$E289))</f>
        <v>10</v>
      </c>
      <c r="K289" s="23" t="b">
        <f>IF($C289&gt;0,INDEX(Merge_1_2!$G$2:$G$611,$C289),INDEX(Dataset3_Raw!$G$2:$G$391,$E289))</f>
        <v>0</v>
      </c>
      <c r="L289" s="23">
        <f>IF($C289&gt;0,INDEX(Merge_1_2!$H$2:$H$611,$C289),INDEX(Dataset3_Raw!$H$2:$H$391,$E289))</f>
        <v>4</v>
      </c>
      <c r="M289" s="23">
        <f>IF($C289&gt;0,INDEX(Merge_1_2!$I$2:$I$611,$C289),INDEX(Dataset3_Raw!$I$2:$I$391,$E289))</f>
        <v>2</v>
      </c>
      <c r="N289" s="25">
        <f>IF($C289&gt;0,INDEX(Merge_1_2!$J$2:$J$611,$C289),INDEX(Dataset3_Raw!$J$2:$J$391,$E289))</f>
        <v>0.16</v>
      </c>
      <c r="O289" s="25">
        <f>IF($C289&gt;0,IF(ISNUMBER(INDEX(Merge_1_2!$K$2:$K$611,$C289)),INDEX(Merge_1_2!$K$2:$K$611,$C289),""),INDEX(Dataset3_Raw!$K$2:$K$391,$E289))</f>
        <v>0.13639999999999999</v>
      </c>
      <c r="P289" s="25">
        <f>IF(ISNUMBER($O289),$O289,ROUND(Lookups!$B$25+Lookups!$B$24*$N289,4))</f>
        <v>0.13639999999999999</v>
      </c>
      <c r="Q289" s="25">
        <f>IF($C289&gt;0,INDEX(Merge_1_2!$L$2:$L$611,$C289),INDEX(Dataset3_Raw!$L$2:$L$391,$E289))</f>
        <v>0.5</v>
      </c>
      <c r="R289" s="25">
        <f>IF($C289&gt;0,INDEX(Merge_1_2!$M$2:$M$611,$C289),INDEX(Dataset3_Raw!$M$2:$M$391,$E289))</f>
        <v>0.35820000000000002</v>
      </c>
      <c r="S289" s="23">
        <f>IF($C289&gt;0,INDEX(Merge_1_2!$N$2:$N$611,$C289),INDEX(Dataset3_Raw!$N$2:$N$391,$E289))</f>
        <v>2</v>
      </c>
      <c r="T289" s="23">
        <f>IF($C289&gt;0,INDEX(Merge_1_2!$O$2:$O$611,$C289),INDEX(Dataset3_Raw!$O$2:$O$391,$E289))</f>
        <v>36</v>
      </c>
      <c r="U289" s="23">
        <f>IF($C289&gt;0,INDEX(Merge_1_2!$P$2:$P$611,$C289),INDEX(Dataset3_Raw!$P$2:$P$391,$E289))</f>
        <v>38</v>
      </c>
      <c r="V289" s="23" t="str">
        <f t="shared" si="25"/>
        <v>Weekday</v>
      </c>
      <c r="W289" s="23" t="str">
        <f>VLOOKUP($M289,Lookups!$A$5:$B$8,2,FALSE())</f>
        <v>Mist / Cloudy</v>
      </c>
      <c r="X289" s="23" t="str">
        <f>VLOOKUP($G289,Lookups!$D$5:$E$8,2,FALSE())</f>
        <v>Winter</v>
      </c>
      <c r="Y289" s="23" t="str">
        <f>VLOOKUP($L289,Lookups!$G$5:$H$11,2,FALSE())</f>
        <v>Thursday</v>
      </c>
      <c r="Z289" s="23" t="str">
        <f>IF($J289&lt;Lookups!$B$26,"Night",IF($J289&lt;Lookups!$B$27,"Morning",IF($J289&lt;Lookups!$B$28,"Afternoon","Evening")))</f>
        <v>Morning</v>
      </c>
      <c r="AA289" s="26">
        <f>ROUND($N289*(Lookups!$B$16-Lookups!$B$15)+Lookups!$B$15,1)</f>
        <v>-0.5</v>
      </c>
      <c r="AB289" s="26">
        <f>ROUND($P289*(Lookups!$B$18-Lookups!$B$17)+Lookups!$B$17,1)</f>
        <v>-7</v>
      </c>
      <c r="AC289" s="23">
        <f t="shared" si="26"/>
        <v>50</v>
      </c>
      <c r="AD289" s="23">
        <f>ROUND($R289*Lookups!$B$19,1)</f>
        <v>24</v>
      </c>
      <c r="AE289" s="27">
        <f t="shared" si="27"/>
        <v>0.94736842105263153</v>
      </c>
      <c r="AF289" s="23" t="str">
        <f>IF($U289&gt;=Lookups!$B$23,"High",IF($U289&gt;=Lookups!$B$22,"Medium","Low"))</f>
        <v>Medium</v>
      </c>
      <c r="AG289" s="23">
        <f>ROUND(IF($V289="Weekday",IF(INDEX(Hourly_Analysis!$D$5:$D$28,$J289+1)&gt;0,($U289-INDEX(Hourly_Analysis!$C$5:$C$28,$J289+1))/INDEX(Hourly_Analysis!$D$5:$D$28,$J289+1),0),IF(INDEX(Hourly_Analysis!$G$5:$G$28,$J289+1)&gt;0,($U289-INDEX(Hourly_Analysis!$F$5:$F$28,$J289+1))/INDEX(Hourly_Analysis!$G$5:$G$28,$J289+1),0)),2)</f>
        <v>-1.06</v>
      </c>
      <c r="AH289" s="23" t="str">
        <f>IF(ABS($AG289)&gt;Lookups!$B$20,IF($AG289&gt;0,"High anomaly","Low anomaly"),"")</f>
        <v/>
      </c>
      <c r="AI289" s="23" t="str">
        <f t="shared" si="28"/>
        <v>OK</v>
      </c>
      <c r="AJ289" s="23" t="str">
        <f t="shared" si="29"/>
        <v>No</v>
      </c>
    </row>
    <row r="290" spans="1:36" x14ac:dyDescent="0.35">
      <c r="A290" s="23">
        <v>289</v>
      </c>
      <c r="B290" s="23" t="str">
        <f t="shared" si="24"/>
        <v>Merge 1+2</v>
      </c>
      <c r="C290" s="23">
        <f>IFERROR(MATCH($A290,Merge_1_2!$A$2:$A$611,0),0)</f>
        <v>289</v>
      </c>
      <c r="D290" s="23">
        <f>IF($C290&gt;0,INDEX(Merge_1_2!$Q$2:$Q$611,$C290),0)</f>
        <v>289</v>
      </c>
      <c r="E290" s="23">
        <f>IFERROR(MATCH($A290,Dataset3_Raw!$A$2:$A$391,0),0)</f>
        <v>0</v>
      </c>
      <c r="F290" s="24">
        <f>IF($C290&gt;0,INDEX(Merge_1_2!$B$2:$B$611,$C290),DATE(VALUE(RIGHT(INDEX(Dataset3_Raw!$B$2:$B$391,$E290),4)),VALUE(MID(INDEX(Dataset3_Raw!$B$2:$B$391,$E290),4,2)),VALUE(LEFT(INDEX(Dataset3_Raw!$B$2:$B$391,$E290),2))))</f>
        <v>40556</v>
      </c>
      <c r="G290" s="23">
        <f>IF($C290&gt;0,INDEX(Merge_1_2!$C$2:$C$611,$C290),INDEX(Dataset3_Raw!$C$2:$C$391,$E290))</f>
        <v>1</v>
      </c>
      <c r="H290" s="23">
        <f>IF($C290&gt;0,INDEX(Merge_1_2!$D$2:$D$611,$C290),INDEX(Dataset3_Raw!$D$2:$D$391,$E290))</f>
        <v>0</v>
      </c>
      <c r="I290" s="23">
        <f>IF($C290&gt;0,INDEX(Merge_1_2!$E$2:$E$611,$C290),INDEX(Dataset3_Raw!$E$2:$E$391,$E290))</f>
        <v>1</v>
      </c>
      <c r="J290" s="23">
        <f>IF($C290&gt;0,INDEX(Merge_1_2!$F$2:$F$611,$C290),INDEX(Dataset3_Raw!$F$2:$F$391,$E290))</f>
        <v>11</v>
      </c>
      <c r="K290" s="23" t="b">
        <f>IF($C290&gt;0,INDEX(Merge_1_2!$G$2:$G$611,$C290),INDEX(Dataset3_Raw!$G$2:$G$391,$E290))</f>
        <v>0</v>
      </c>
      <c r="L290" s="23">
        <f>IF($C290&gt;0,INDEX(Merge_1_2!$H$2:$H$611,$C290),INDEX(Dataset3_Raw!$H$2:$H$391,$E290))</f>
        <v>4</v>
      </c>
      <c r="M290" s="23">
        <f>IF($C290&gt;0,INDEX(Merge_1_2!$I$2:$I$611,$C290),INDEX(Dataset3_Raw!$I$2:$I$391,$E290))</f>
        <v>2</v>
      </c>
      <c r="N290" s="25">
        <f>IF($C290&gt;0,INDEX(Merge_1_2!$J$2:$J$611,$C290),INDEX(Dataset3_Raw!$J$2:$J$391,$E290))</f>
        <v>0.2</v>
      </c>
      <c r="O290" s="25">
        <f>IF($C290&gt;0,IF(ISNUMBER(INDEX(Merge_1_2!$K$2:$K$611,$C290)),INDEX(Merge_1_2!$K$2:$K$611,$C290),""),INDEX(Dataset3_Raw!$K$2:$K$391,$E290))</f>
        <v>0.16669999999999999</v>
      </c>
      <c r="P290" s="25">
        <f>IF(ISNUMBER($O290),$O290,ROUND(Lookups!$B$25+Lookups!$B$24*$N290,4))</f>
        <v>0.16669999999999999</v>
      </c>
      <c r="Q290" s="25">
        <f>IF($C290&gt;0,INDEX(Merge_1_2!$L$2:$L$611,$C290),INDEX(Dataset3_Raw!$L$2:$L$391,$E290))</f>
        <v>0.44</v>
      </c>
      <c r="R290" s="25">
        <f>IF($C290&gt;0,INDEX(Merge_1_2!$M$2:$M$611,$C290),INDEX(Dataset3_Raw!$M$2:$M$391,$E290))</f>
        <v>0.44779999999999998</v>
      </c>
      <c r="S290" s="23">
        <f>IF($C290&gt;0,INDEX(Merge_1_2!$N$2:$N$611,$C290),INDEX(Dataset3_Raw!$N$2:$N$391,$E290))</f>
        <v>4</v>
      </c>
      <c r="T290" s="23">
        <f>IF($C290&gt;0,INDEX(Merge_1_2!$O$2:$O$611,$C290),INDEX(Dataset3_Raw!$O$2:$O$391,$E290))</f>
        <v>33</v>
      </c>
      <c r="U290" s="23">
        <f>IF($C290&gt;0,INDEX(Merge_1_2!$P$2:$P$611,$C290),INDEX(Dataset3_Raw!$P$2:$P$391,$E290))</f>
        <v>37</v>
      </c>
      <c r="V290" s="23" t="str">
        <f t="shared" si="25"/>
        <v>Weekday</v>
      </c>
      <c r="W290" s="23" t="str">
        <f>VLOOKUP($M290,Lookups!$A$5:$B$8,2,FALSE())</f>
        <v>Mist / Cloudy</v>
      </c>
      <c r="X290" s="23" t="str">
        <f>VLOOKUP($G290,Lookups!$D$5:$E$8,2,FALSE())</f>
        <v>Winter</v>
      </c>
      <c r="Y290" s="23" t="str">
        <f>VLOOKUP($L290,Lookups!$G$5:$H$11,2,FALSE())</f>
        <v>Thursday</v>
      </c>
      <c r="Z290" s="23" t="str">
        <f>IF($J290&lt;Lookups!$B$26,"Night",IF($J290&lt;Lookups!$B$27,"Morning",IF($J290&lt;Lookups!$B$28,"Afternoon","Evening")))</f>
        <v>Morning</v>
      </c>
      <c r="AA290" s="26">
        <f>ROUND($N290*(Lookups!$B$16-Lookups!$B$15)+Lookups!$B$15,1)</f>
        <v>1.4</v>
      </c>
      <c r="AB290" s="26">
        <f>ROUND($P290*(Lookups!$B$18-Lookups!$B$17)+Lookups!$B$17,1)</f>
        <v>-5</v>
      </c>
      <c r="AC290" s="23">
        <f t="shared" si="26"/>
        <v>44</v>
      </c>
      <c r="AD290" s="23">
        <f>ROUND($R290*Lookups!$B$19,1)</f>
        <v>30</v>
      </c>
      <c r="AE290" s="27">
        <f t="shared" si="27"/>
        <v>0.89189189189189189</v>
      </c>
      <c r="AF290" s="23" t="str">
        <f>IF($U290&gt;=Lookups!$B$23,"High",IF($U290&gt;=Lookups!$B$22,"Medium","Low"))</f>
        <v>Medium</v>
      </c>
      <c r="AG290" s="23">
        <f>ROUND(IF($V290="Weekday",IF(INDEX(Hourly_Analysis!$D$5:$D$28,$J290+1)&gt;0,($U290-INDEX(Hourly_Analysis!$C$5:$C$28,$J290+1))/INDEX(Hourly_Analysis!$D$5:$D$28,$J290+1),0),IF(INDEX(Hourly_Analysis!$G$5:$G$28,$J290+1)&gt;0,($U290-INDEX(Hourly_Analysis!$F$5:$F$28,$J290+1))/INDEX(Hourly_Analysis!$G$5:$G$28,$J290+1),0)),2)</f>
        <v>-1.18</v>
      </c>
      <c r="AH290" s="23" t="str">
        <f>IF(ABS($AG290)&gt;Lookups!$B$20,IF($AG290&gt;0,"High anomaly","Low anomaly"),"")</f>
        <v/>
      </c>
      <c r="AI290" s="23" t="str">
        <f t="shared" si="28"/>
        <v>OK</v>
      </c>
      <c r="AJ290" s="23" t="str">
        <f t="shared" si="29"/>
        <v>No</v>
      </c>
    </row>
    <row r="291" spans="1:36" x14ac:dyDescent="0.35">
      <c r="A291" s="23">
        <v>290</v>
      </c>
      <c r="B291" s="23" t="str">
        <f t="shared" si="24"/>
        <v>Merge 1+2</v>
      </c>
      <c r="C291" s="23">
        <f>IFERROR(MATCH($A291,Merge_1_2!$A$2:$A$611,0),0)</f>
        <v>290</v>
      </c>
      <c r="D291" s="23">
        <f>IF($C291&gt;0,INDEX(Merge_1_2!$Q$2:$Q$611,$C291),0)</f>
        <v>290</v>
      </c>
      <c r="E291" s="23">
        <f>IFERROR(MATCH($A291,Dataset3_Raw!$A$2:$A$391,0),0)</f>
        <v>0</v>
      </c>
      <c r="F291" s="24">
        <f>IF($C291&gt;0,INDEX(Merge_1_2!$B$2:$B$611,$C291),DATE(VALUE(RIGHT(INDEX(Dataset3_Raw!$B$2:$B$391,$E291),4)),VALUE(MID(INDEX(Dataset3_Raw!$B$2:$B$391,$E291),4,2)),VALUE(LEFT(INDEX(Dataset3_Raw!$B$2:$B$391,$E291),2))))</f>
        <v>40556</v>
      </c>
      <c r="G291" s="23">
        <f>IF($C291&gt;0,INDEX(Merge_1_2!$C$2:$C$611,$C291),INDEX(Dataset3_Raw!$C$2:$C$391,$E291))</f>
        <v>1</v>
      </c>
      <c r="H291" s="23">
        <f>IF($C291&gt;0,INDEX(Merge_1_2!$D$2:$D$611,$C291),INDEX(Dataset3_Raw!$D$2:$D$391,$E291))</f>
        <v>0</v>
      </c>
      <c r="I291" s="23">
        <f>IF($C291&gt;0,INDEX(Merge_1_2!$E$2:$E$611,$C291),INDEX(Dataset3_Raw!$E$2:$E$391,$E291))</f>
        <v>1</v>
      </c>
      <c r="J291" s="23">
        <f>IF($C291&gt;0,INDEX(Merge_1_2!$F$2:$F$611,$C291),INDEX(Dataset3_Raw!$F$2:$F$391,$E291))</f>
        <v>12</v>
      </c>
      <c r="K291" s="23" t="b">
        <f>IF($C291&gt;0,INDEX(Merge_1_2!$G$2:$G$611,$C291),INDEX(Dataset3_Raw!$G$2:$G$391,$E291))</f>
        <v>0</v>
      </c>
      <c r="L291" s="23">
        <f>IF($C291&gt;0,INDEX(Merge_1_2!$H$2:$H$611,$C291),INDEX(Dataset3_Raw!$H$2:$H$391,$E291))</f>
        <v>4</v>
      </c>
      <c r="M291" s="23">
        <f>IF($C291&gt;0,INDEX(Merge_1_2!$I$2:$I$611,$C291),INDEX(Dataset3_Raw!$I$2:$I$391,$E291))</f>
        <v>1</v>
      </c>
      <c r="N291" s="25">
        <f>IF($C291&gt;0,INDEX(Merge_1_2!$J$2:$J$611,$C291),INDEX(Dataset3_Raw!$J$2:$J$391,$E291))</f>
        <v>0.2</v>
      </c>
      <c r="O291" s="25">
        <f>IF($C291&gt;0,IF(ISNUMBER(INDEX(Merge_1_2!$K$2:$K$611,$C291)),INDEX(Merge_1_2!$K$2:$K$611,$C291),""),INDEX(Dataset3_Raw!$K$2:$K$391,$E291))</f>
        <v>0.16669999999999999</v>
      </c>
      <c r="P291" s="25">
        <f>IF(ISNUMBER($O291),$O291,ROUND(Lookups!$B$25+Lookups!$B$24*$N291,4))</f>
        <v>0.16669999999999999</v>
      </c>
      <c r="Q291" s="25">
        <f>IF($C291&gt;0,INDEX(Merge_1_2!$L$2:$L$611,$C291),INDEX(Dataset3_Raw!$L$2:$L$391,$E291))</f>
        <v>0.44</v>
      </c>
      <c r="R291" s="25">
        <f>IF($C291&gt;0,INDEX(Merge_1_2!$M$2:$M$611,$C291),INDEX(Dataset3_Raw!$M$2:$M$391,$E291))</f>
        <v>0.41789999999999999</v>
      </c>
      <c r="S291" s="23">
        <f>IF($C291&gt;0,INDEX(Merge_1_2!$N$2:$N$611,$C291),INDEX(Dataset3_Raw!$N$2:$N$391,$E291))</f>
        <v>3</v>
      </c>
      <c r="T291" s="23">
        <f>IF($C291&gt;0,INDEX(Merge_1_2!$O$2:$O$611,$C291),INDEX(Dataset3_Raw!$O$2:$O$391,$E291))</f>
        <v>49</v>
      </c>
      <c r="U291" s="23">
        <f>IF($C291&gt;0,INDEX(Merge_1_2!$P$2:$P$611,$C291),INDEX(Dataset3_Raw!$P$2:$P$391,$E291))</f>
        <v>52</v>
      </c>
      <c r="V291" s="23" t="str">
        <f t="shared" si="25"/>
        <v>Weekday</v>
      </c>
      <c r="W291" s="23" t="str">
        <f>VLOOKUP($M291,Lookups!$A$5:$B$8,2,FALSE())</f>
        <v>Clear / Partly cloudy</v>
      </c>
      <c r="X291" s="23" t="str">
        <f>VLOOKUP($G291,Lookups!$D$5:$E$8,2,FALSE())</f>
        <v>Winter</v>
      </c>
      <c r="Y291" s="23" t="str">
        <f>VLOOKUP($L291,Lookups!$G$5:$H$11,2,FALSE())</f>
        <v>Thursday</v>
      </c>
      <c r="Z291" s="23" t="str">
        <f>IF($J291&lt;Lookups!$B$26,"Night",IF($J291&lt;Lookups!$B$27,"Morning",IF($J291&lt;Lookups!$B$28,"Afternoon","Evening")))</f>
        <v>Afternoon</v>
      </c>
      <c r="AA291" s="26">
        <f>ROUND($N291*(Lookups!$B$16-Lookups!$B$15)+Lookups!$B$15,1)</f>
        <v>1.4</v>
      </c>
      <c r="AB291" s="26">
        <f>ROUND($P291*(Lookups!$B$18-Lookups!$B$17)+Lookups!$B$17,1)</f>
        <v>-5</v>
      </c>
      <c r="AC291" s="23">
        <f t="shared" si="26"/>
        <v>44</v>
      </c>
      <c r="AD291" s="23">
        <f>ROUND($R291*Lookups!$B$19,1)</f>
        <v>28</v>
      </c>
      <c r="AE291" s="27">
        <f t="shared" si="27"/>
        <v>0.94230769230769229</v>
      </c>
      <c r="AF291" s="23" t="str">
        <f>IF($U291&gt;=Lookups!$B$23,"High",IF($U291&gt;=Lookups!$B$22,"Medium","Low"))</f>
        <v>Medium</v>
      </c>
      <c r="AG291" s="23">
        <f>ROUND(IF($V291="Weekday",IF(INDEX(Hourly_Analysis!$D$5:$D$28,$J291+1)&gt;0,($U291-INDEX(Hourly_Analysis!$C$5:$C$28,$J291+1))/INDEX(Hourly_Analysis!$D$5:$D$28,$J291+1),0),IF(INDEX(Hourly_Analysis!$G$5:$G$28,$J291+1)&gt;0,($U291-INDEX(Hourly_Analysis!$F$5:$F$28,$J291+1))/INDEX(Hourly_Analysis!$G$5:$G$28,$J291+1),0)),2)</f>
        <v>-0.64</v>
      </c>
      <c r="AH291" s="23" t="str">
        <f>IF(ABS($AG291)&gt;Lookups!$B$20,IF($AG291&gt;0,"High anomaly","Low anomaly"),"")</f>
        <v/>
      </c>
      <c r="AI291" s="23" t="str">
        <f t="shared" si="28"/>
        <v>OK</v>
      </c>
      <c r="AJ291" s="23" t="str">
        <f t="shared" si="29"/>
        <v>No</v>
      </c>
    </row>
    <row r="292" spans="1:36" x14ac:dyDescent="0.35">
      <c r="A292" s="23">
        <v>291</v>
      </c>
      <c r="B292" s="23" t="str">
        <f t="shared" si="24"/>
        <v>Merge 1+2</v>
      </c>
      <c r="C292" s="23">
        <f>IFERROR(MATCH($A292,Merge_1_2!$A$2:$A$611,0),0)</f>
        <v>291</v>
      </c>
      <c r="D292" s="23">
        <f>IF($C292&gt;0,INDEX(Merge_1_2!$Q$2:$Q$611,$C292),0)</f>
        <v>291</v>
      </c>
      <c r="E292" s="23">
        <f>IFERROR(MATCH($A292,Dataset3_Raw!$A$2:$A$391,0),0)</f>
        <v>0</v>
      </c>
      <c r="F292" s="24">
        <f>IF($C292&gt;0,INDEX(Merge_1_2!$B$2:$B$611,$C292),DATE(VALUE(RIGHT(INDEX(Dataset3_Raw!$B$2:$B$391,$E292),4)),VALUE(MID(INDEX(Dataset3_Raw!$B$2:$B$391,$E292),4,2)),VALUE(LEFT(INDEX(Dataset3_Raw!$B$2:$B$391,$E292),2))))</f>
        <v>40556</v>
      </c>
      <c r="G292" s="23">
        <f>IF($C292&gt;0,INDEX(Merge_1_2!$C$2:$C$611,$C292),INDEX(Dataset3_Raw!$C$2:$C$391,$E292))</f>
        <v>1</v>
      </c>
      <c r="H292" s="23">
        <f>IF($C292&gt;0,INDEX(Merge_1_2!$D$2:$D$611,$C292),INDEX(Dataset3_Raw!$D$2:$D$391,$E292))</f>
        <v>0</v>
      </c>
      <c r="I292" s="23">
        <f>IF($C292&gt;0,INDEX(Merge_1_2!$E$2:$E$611,$C292),INDEX(Dataset3_Raw!$E$2:$E$391,$E292))</f>
        <v>1</v>
      </c>
      <c r="J292" s="23">
        <f>IF($C292&gt;0,INDEX(Merge_1_2!$F$2:$F$611,$C292),INDEX(Dataset3_Raw!$F$2:$F$391,$E292))</f>
        <v>13</v>
      </c>
      <c r="K292" s="23" t="b">
        <f>IF($C292&gt;0,INDEX(Merge_1_2!$G$2:$G$611,$C292),INDEX(Dataset3_Raw!$G$2:$G$391,$E292))</f>
        <v>0</v>
      </c>
      <c r="L292" s="23">
        <f>IF($C292&gt;0,INDEX(Merge_1_2!$H$2:$H$611,$C292),INDEX(Dataset3_Raw!$H$2:$H$391,$E292))</f>
        <v>4</v>
      </c>
      <c r="M292" s="23">
        <f>IF($C292&gt;0,INDEX(Merge_1_2!$I$2:$I$611,$C292),INDEX(Dataset3_Raw!$I$2:$I$391,$E292))</f>
        <v>1</v>
      </c>
      <c r="N292" s="25">
        <f>IF($C292&gt;0,INDEX(Merge_1_2!$J$2:$J$611,$C292),INDEX(Dataset3_Raw!$J$2:$J$391,$E292))</f>
        <v>0.22</v>
      </c>
      <c r="O292" s="25">
        <f>IF($C292&gt;0,IF(ISNUMBER(INDEX(Merge_1_2!$K$2:$K$611,$C292)),INDEX(Merge_1_2!$K$2:$K$611,$C292),""),INDEX(Dataset3_Raw!$K$2:$K$391,$E292))</f>
        <v>0.19700000000000001</v>
      </c>
      <c r="P292" s="25">
        <f>IF(ISNUMBER($O292),$O292,ROUND(Lookups!$B$25+Lookups!$B$24*$N292,4))</f>
        <v>0.19700000000000001</v>
      </c>
      <c r="Q292" s="25">
        <f>IF($C292&gt;0,INDEX(Merge_1_2!$L$2:$L$611,$C292),INDEX(Dataset3_Raw!$L$2:$L$391,$E292))</f>
        <v>0.41</v>
      </c>
      <c r="R292" s="25">
        <f>IF($C292&gt;0,INDEX(Merge_1_2!$M$2:$M$611,$C292),INDEX(Dataset3_Raw!$M$2:$M$391,$E292))</f>
        <v>0.44779999999999998</v>
      </c>
      <c r="S292" s="23">
        <f>IF($C292&gt;0,INDEX(Merge_1_2!$N$2:$N$611,$C292),INDEX(Dataset3_Raw!$N$2:$N$391,$E292))</f>
        <v>2</v>
      </c>
      <c r="T292" s="23">
        <f>IF($C292&gt;0,INDEX(Merge_1_2!$O$2:$O$611,$C292),INDEX(Dataset3_Raw!$O$2:$O$391,$E292))</f>
        <v>81</v>
      </c>
      <c r="U292" s="23">
        <f>IF($C292&gt;0,INDEX(Merge_1_2!$P$2:$P$611,$C292),INDEX(Dataset3_Raw!$P$2:$P$391,$E292))</f>
        <v>83</v>
      </c>
      <c r="V292" s="23" t="str">
        <f t="shared" si="25"/>
        <v>Weekday</v>
      </c>
      <c r="W292" s="23" t="str">
        <f>VLOOKUP($M292,Lookups!$A$5:$B$8,2,FALSE())</f>
        <v>Clear / Partly cloudy</v>
      </c>
      <c r="X292" s="23" t="str">
        <f>VLOOKUP($G292,Lookups!$D$5:$E$8,2,FALSE())</f>
        <v>Winter</v>
      </c>
      <c r="Y292" s="23" t="str">
        <f>VLOOKUP($L292,Lookups!$G$5:$H$11,2,FALSE())</f>
        <v>Thursday</v>
      </c>
      <c r="Z292" s="23" t="str">
        <f>IF($J292&lt;Lookups!$B$26,"Night",IF($J292&lt;Lookups!$B$27,"Morning",IF($J292&lt;Lookups!$B$28,"Afternoon","Evening")))</f>
        <v>Afternoon</v>
      </c>
      <c r="AA292" s="26">
        <f>ROUND($N292*(Lookups!$B$16-Lookups!$B$15)+Lookups!$B$15,1)</f>
        <v>2.2999999999999998</v>
      </c>
      <c r="AB292" s="26">
        <f>ROUND($P292*(Lookups!$B$18-Lookups!$B$17)+Lookups!$B$17,1)</f>
        <v>-3</v>
      </c>
      <c r="AC292" s="23">
        <f t="shared" si="26"/>
        <v>41</v>
      </c>
      <c r="AD292" s="23">
        <f>ROUND($R292*Lookups!$B$19,1)</f>
        <v>30</v>
      </c>
      <c r="AE292" s="27">
        <f t="shared" si="27"/>
        <v>0.97590361445783136</v>
      </c>
      <c r="AF292" s="23" t="str">
        <f>IF($U292&gt;=Lookups!$B$23,"High",IF($U292&gt;=Lookups!$B$22,"Medium","Low"))</f>
        <v>High</v>
      </c>
      <c r="AG292" s="23">
        <f>ROUND(IF($V292="Weekday",IF(INDEX(Hourly_Analysis!$D$5:$D$28,$J292+1)&gt;0,($U292-INDEX(Hourly_Analysis!$C$5:$C$28,$J292+1))/INDEX(Hourly_Analysis!$D$5:$D$28,$J292+1),0),IF(INDEX(Hourly_Analysis!$G$5:$G$28,$J292+1)&gt;0,($U292-INDEX(Hourly_Analysis!$F$5:$F$28,$J292+1))/INDEX(Hourly_Analysis!$G$5:$G$28,$J292+1),0)),2)</f>
        <v>0.84</v>
      </c>
      <c r="AH292" s="23" t="str">
        <f>IF(ABS($AG292)&gt;Lookups!$B$20,IF($AG292&gt;0,"High anomaly","Low anomaly"),"")</f>
        <v/>
      </c>
      <c r="AI292" s="23" t="str">
        <f t="shared" si="28"/>
        <v>OK</v>
      </c>
      <c r="AJ292" s="23" t="str">
        <f t="shared" si="29"/>
        <v>No</v>
      </c>
    </row>
    <row r="293" spans="1:36" x14ac:dyDescent="0.35">
      <c r="A293" s="23">
        <v>292</v>
      </c>
      <c r="B293" s="23" t="str">
        <f t="shared" si="24"/>
        <v>Merge 1+2</v>
      </c>
      <c r="C293" s="23">
        <f>IFERROR(MATCH($A293,Merge_1_2!$A$2:$A$611,0),0)</f>
        <v>292</v>
      </c>
      <c r="D293" s="23">
        <f>IF($C293&gt;0,INDEX(Merge_1_2!$Q$2:$Q$611,$C293),0)</f>
        <v>292</v>
      </c>
      <c r="E293" s="23">
        <f>IFERROR(MATCH($A293,Dataset3_Raw!$A$2:$A$391,0),0)</f>
        <v>0</v>
      </c>
      <c r="F293" s="24">
        <f>IF($C293&gt;0,INDEX(Merge_1_2!$B$2:$B$611,$C293),DATE(VALUE(RIGHT(INDEX(Dataset3_Raw!$B$2:$B$391,$E293),4)),VALUE(MID(INDEX(Dataset3_Raw!$B$2:$B$391,$E293),4,2)),VALUE(LEFT(INDEX(Dataset3_Raw!$B$2:$B$391,$E293),2))))</f>
        <v>40556</v>
      </c>
      <c r="G293" s="23">
        <f>IF($C293&gt;0,INDEX(Merge_1_2!$C$2:$C$611,$C293),INDEX(Dataset3_Raw!$C$2:$C$391,$E293))</f>
        <v>1</v>
      </c>
      <c r="H293" s="23">
        <f>IF($C293&gt;0,INDEX(Merge_1_2!$D$2:$D$611,$C293),INDEX(Dataset3_Raw!$D$2:$D$391,$E293))</f>
        <v>0</v>
      </c>
      <c r="I293" s="23">
        <f>IF($C293&gt;0,INDEX(Merge_1_2!$E$2:$E$611,$C293),INDEX(Dataset3_Raw!$E$2:$E$391,$E293))</f>
        <v>1</v>
      </c>
      <c r="J293" s="23">
        <f>IF($C293&gt;0,INDEX(Merge_1_2!$F$2:$F$611,$C293),INDEX(Dataset3_Raw!$F$2:$F$391,$E293))</f>
        <v>14</v>
      </c>
      <c r="K293" s="23" t="b">
        <f>IF($C293&gt;0,INDEX(Merge_1_2!$G$2:$G$611,$C293),INDEX(Dataset3_Raw!$G$2:$G$391,$E293))</f>
        <v>0</v>
      </c>
      <c r="L293" s="23">
        <f>IF($C293&gt;0,INDEX(Merge_1_2!$H$2:$H$611,$C293),INDEX(Dataset3_Raw!$H$2:$H$391,$E293))</f>
        <v>4</v>
      </c>
      <c r="M293" s="23">
        <f>IF($C293&gt;0,INDEX(Merge_1_2!$I$2:$I$611,$C293),INDEX(Dataset3_Raw!$I$2:$I$391,$E293))</f>
        <v>1</v>
      </c>
      <c r="N293" s="25">
        <f>IF($C293&gt;0,INDEX(Merge_1_2!$J$2:$J$611,$C293),INDEX(Dataset3_Raw!$J$2:$J$391,$E293))</f>
        <v>0.22</v>
      </c>
      <c r="O293" s="25">
        <f>IF($C293&gt;0,IF(ISNUMBER(INDEX(Merge_1_2!$K$2:$K$611,$C293)),INDEX(Merge_1_2!$K$2:$K$611,$C293),""),INDEX(Dataset3_Raw!$K$2:$K$391,$E293))</f>
        <v>0.19700000000000001</v>
      </c>
      <c r="P293" s="25">
        <f>IF(ISNUMBER($O293),$O293,ROUND(Lookups!$B$25+Lookups!$B$24*$N293,4))</f>
        <v>0.19700000000000001</v>
      </c>
      <c r="Q293" s="25">
        <f>IF($C293&gt;0,INDEX(Merge_1_2!$L$2:$L$611,$C293),INDEX(Dataset3_Raw!$L$2:$L$391,$E293))</f>
        <v>0.41</v>
      </c>
      <c r="R293" s="25">
        <f>IF($C293&gt;0,INDEX(Merge_1_2!$M$2:$M$611,$C293),INDEX(Dataset3_Raw!$M$2:$M$391,$E293))</f>
        <v>0.3881</v>
      </c>
      <c r="S293" s="23">
        <f>IF($C293&gt;0,INDEX(Merge_1_2!$N$2:$N$611,$C293),INDEX(Dataset3_Raw!$N$2:$N$391,$E293))</f>
        <v>3</v>
      </c>
      <c r="T293" s="23">
        <f>IF($C293&gt;0,INDEX(Merge_1_2!$O$2:$O$611,$C293),INDEX(Dataset3_Raw!$O$2:$O$391,$E293))</f>
        <v>39</v>
      </c>
      <c r="U293" s="23">
        <f>IF($C293&gt;0,INDEX(Merge_1_2!$P$2:$P$611,$C293),INDEX(Dataset3_Raw!$P$2:$P$391,$E293))</f>
        <v>42</v>
      </c>
      <c r="V293" s="23" t="str">
        <f t="shared" si="25"/>
        <v>Weekday</v>
      </c>
      <c r="W293" s="23" t="str">
        <f>VLOOKUP($M293,Lookups!$A$5:$B$8,2,FALSE())</f>
        <v>Clear / Partly cloudy</v>
      </c>
      <c r="X293" s="23" t="str">
        <f>VLOOKUP($G293,Lookups!$D$5:$E$8,2,FALSE())</f>
        <v>Winter</v>
      </c>
      <c r="Y293" s="23" t="str">
        <f>VLOOKUP($L293,Lookups!$G$5:$H$11,2,FALSE())</f>
        <v>Thursday</v>
      </c>
      <c r="Z293" s="23" t="str">
        <f>IF($J293&lt;Lookups!$B$26,"Night",IF($J293&lt;Lookups!$B$27,"Morning",IF($J293&lt;Lookups!$B$28,"Afternoon","Evening")))</f>
        <v>Afternoon</v>
      </c>
      <c r="AA293" s="26">
        <f>ROUND($N293*(Lookups!$B$16-Lookups!$B$15)+Lookups!$B$15,1)</f>
        <v>2.2999999999999998</v>
      </c>
      <c r="AB293" s="26">
        <f>ROUND($P293*(Lookups!$B$18-Lookups!$B$17)+Lookups!$B$17,1)</f>
        <v>-3</v>
      </c>
      <c r="AC293" s="23">
        <f t="shared" si="26"/>
        <v>41</v>
      </c>
      <c r="AD293" s="23">
        <f>ROUND($R293*Lookups!$B$19,1)</f>
        <v>26</v>
      </c>
      <c r="AE293" s="27">
        <f t="shared" si="27"/>
        <v>0.9285714285714286</v>
      </c>
      <c r="AF293" s="23" t="str">
        <f>IF($U293&gt;=Lookups!$B$23,"High",IF($U293&gt;=Lookups!$B$22,"Medium","Low"))</f>
        <v>Medium</v>
      </c>
      <c r="AG293" s="23">
        <f>ROUND(IF($V293="Weekday",IF(INDEX(Hourly_Analysis!$D$5:$D$28,$J293+1)&gt;0,($U293-INDEX(Hourly_Analysis!$C$5:$C$28,$J293+1))/INDEX(Hourly_Analysis!$D$5:$D$28,$J293+1),0),IF(INDEX(Hourly_Analysis!$G$5:$G$28,$J293+1)&gt;0,($U293-INDEX(Hourly_Analysis!$F$5:$F$28,$J293+1))/INDEX(Hourly_Analysis!$G$5:$G$28,$J293+1),0)),2)</f>
        <v>-1.1000000000000001</v>
      </c>
      <c r="AH293" s="23" t="str">
        <f>IF(ABS($AG293)&gt;Lookups!$B$20,IF($AG293&gt;0,"High anomaly","Low anomaly"),"")</f>
        <v/>
      </c>
      <c r="AI293" s="23" t="str">
        <f t="shared" si="28"/>
        <v>OK</v>
      </c>
      <c r="AJ293" s="23" t="str">
        <f t="shared" si="29"/>
        <v>No</v>
      </c>
    </row>
    <row r="294" spans="1:36" x14ac:dyDescent="0.35">
      <c r="A294" s="23">
        <v>293</v>
      </c>
      <c r="B294" s="23" t="str">
        <f t="shared" si="24"/>
        <v>Merge 1+2</v>
      </c>
      <c r="C294" s="23">
        <f>IFERROR(MATCH($A294,Merge_1_2!$A$2:$A$611,0),0)</f>
        <v>293</v>
      </c>
      <c r="D294" s="23">
        <f>IF($C294&gt;0,INDEX(Merge_1_2!$Q$2:$Q$611,$C294),0)</f>
        <v>293</v>
      </c>
      <c r="E294" s="23">
        <f>IFERROR(MATCH($A294,Dataset3_Raw!$A$2:$A$391,0),0)</f>
        <v>0</v>
      </c>
      <c r="F294" s="24">
        <f>IF($C294&gt;0,INDEX(Merge_1_2!$B$2:$B$611,$C294),DATE(VALUE(RIGHT(INDEX(Dataset3_Raw!$B$2:$B$391,$E294),4)),VALUE(MID(INDEX(Dataset3_Raw!$B$2:$B$391,$E294),4,2)),VALUE(LEFT(INDEX(Dataset3_Raw!$B$2:$B$391,$E294),2))))</f>
        <v>40556</v>
      </c>
      <c r="G294" s="23">
        <f>IF($C294&gt;0,INDEX(Merge_1_2!$C$2:$C$611,$C294),INDEX(Dataset3_Raw!$C$2:$C$391,$E294))</f>
        <v>1</v>
      </c>
      <c r="H294" s="23">
        <f>IF($C294&gt;0,INDEX(Merge_1_2!$D$2:$D$611,$C294),INDEX(Dataset3_Raw!$D$2:$D$391,$E294))</f>
        <v>0</v>
      </c>
      <c r="I294" s="23">
        <f>IF($C294&gt;0,INDEX(Merge_1_2!$E$2:$E$611,$C294),INDEX(Dataset3_Raw!$E$2:$E$391,$E294))</f>
        <v>1</v>
      </c>
      <c r="J294" s="23">
        <f>IF($C294&gt;0,INDEX(Merge_1_2!$F$2:$F$611,$C294),INDEX(Dataset3_Raw!$F$2:$F$391,$E294))</f>
        <v>15</v>
      </c>
      <c r="K294" s="23" t="b">
        <f>IF($C294&gt;0,INDEX(Merge_1_2!$G$2:$G$611,$C294),INDEX(Dataset3_Raw!$G$2:$G$391,$E294))</f>
        <v>0</v>
      </c>
      <c r="L294" s="23">
        <f>IF($C294&gt;0,INDEX(Merge_1_2!$H$2:$H$611,$C294),INDEX(Dataset3_Raw!$H$2:$H$391,$E294))</f>
        <v>4</v>
      </c>
      <c r="M294" s="23">
        <f>IF($C294&gt;0,INDEX(Merge_1_2!$I$2:$I$611,$C294),INDEX(Dataset3_Raw!$I$2:$I$391,$E294))</f>
        <v>1</v>
      </c>
      <c r="N294" s="25">
        <f>IF($C294&gt;0,INDEX(Merge_1_2!$J$2:$J$611,$C294),INDEX(Dataset3_Raw!$J$2:$J$391,$E294))</f>
        <v>0.24</v>
      </c>
      <c r="O294" s="25">
        <f>IF($C294&gt;0,IF(ISNUMBER(INDEX(Merge_1_2!$K$2:$K$611,$C294)),INDEX(Merge_1_2!$K$2:$K$611,$C294),""),INDEX(Dataset3_Raw!$K$2:$K$391,$E294))</f>
        <v>0.21210000000000001</v>
      </c>
      <c r="P294" s="25">
        <f>IF(ISNUMBER($O294),$O294,ROUND(Lookups!$B$25+Lookups!$B$24*$N294,4))</f>
        <v>0.21210000000000001</v>
      </c>
      <c r="Q294" s="25">
        <f>IF($C294&gt;0,INDEX(Merge_1_2!$L$2:$L$611,$C294),INDEX(Dataset3_Raw!$L$2:$L$391,$E294))</f>
        <v>0.38</v>
      </c>
      <c r="R294" s="25">
        <f>IF($C294&gt;0,INDEX(Merge_1_2!$M$2:$M$611,$C294),INDEX(Dataset3_Raw!$M$2:$M$391,$E294))</f>
        <v>0.29849999999999999</v>
      </c>
      <c r="S294" s="23">
        <f>IF($C294&gt;0,INDEX(Merge_1_2!$N$2:$N$611,$C294),INDEX(Dataset3_Raw!$N$2:$N$391,$E294))</f>
        <v>5</v>
      </c>
      <c r="T294" s="23">
        <f>IF($C294&gt;0,INDEX(Merge_1_2!$O$2:$O$611,$C294),INDEX(Dataset3_Raw!$O$2:$O$391,$E294))</f>
        <v>55</v>
      </c>
      <c r="U294" s="23">
        <f>IF($C294&gt;0,INDEX(Merge_1_2!$P$2:$P$611,$C294),INDEX(Dataset3_Raw!$P$2:$P$391,$E294))</f>
        <v>60</v>
      </c>
      <c r="V294" s="23" t="str">
        <f t="shared" si="25"/>
        <v>Weekday</v>
      </c>
      <c r="W294" s="23" t="str">
        <f>VLOOKUP($M294,Lookups!$A$5:$B$8,2,FALSE())</f>
        <v>Clear / Partly cloudy</v>
      </c>
      <c r="X294" s="23" t="str">
        <f>VLOOKUP($G294,Lookups!$D$5:$E$8,2,FALSE())</f>
        <v>Winter</v>
      </c>
      <c r="Y294" s="23" t="str">
        <f>VLOOKUP($L294,Lookups!$G$5:$H$11,2,FALSE())</f>
        <v>Thursday</v>
      </c>
      <c r="Z294" s="23" t="str">
        <f>IF($J294&lt;Lookups!$B$26,"Night",IF($J294&lt;Lookups!$B$27,"Morning",IF($J294&lt;Lookups!$B$28,"Afternoon","Evening")))</f>
        <v>Afternoon</v>
      </c>
      <c r="AA294" s="26">
        <f>ROUND($N294*(Lookups!$B$16-Lookups!$B$15)+Lookups!$B$15,1)</f>
        <v>3.3</v>
      </c>
      <c r="AB294" s="26">
        <f>ROUND($P294*(Lookups!$B$18-Lookups!$B$17)+Lookups!$B$17,1)</f>
        <v>-2</v>
      </c>
      <c r="AC294" s="23">
        <f t="shared" si="26"/>
        <v>38</v>
      </c>
      <c r="AD294" s="23">
        <f>ROUND($R294*Lookups!$B$19,1)</f>
        <v>20</v>
      </c>
      <c r="AE294" s="27">
        <f t="shared" si="27"/>
        <v>0.91666666666666663</v>
      </c>
      <c r="AF294" s="23" t="str">
        <f>IF($U294&gt;=Lookups!$B$23,"High",IF($U294&gt;=Lookups!$B$22,"Medium","Low"))</f>
        <v>Medium</v>
      </c>
      <c r="AG294" s="23">
        <f>ROUND(IF($V294="Weekday",IF(INDEX(Hourly_Analysis!$D$5:$D$28,$J294+1)&gt;0,($U294-INDEX(Hourly_Analysis!$C$5:$C$28,$J294+1))/INDEX(Hourly_Analysis!$D$5:$D$28,$J294+1),0),IF(INDEX(Hourly_Analysis!$G$5:$G$28,$J294+1)&gt;0,($U294-INDEX(Hourly_Analysis!$F$5:$F$28,$J294+1))/INDEX(Hourly_Analysis!$G$5:$G$28,$J294+1),0)),2)</f>
        <v>-0.03</v>
      </c>
      <c r="AH294" s="23" t="str">
        <f>IF(ABS($AG294)&gt;Lookups!$B$20,IF($AG294&gt;0,"High anomaly","Low anomaly"),"")</f>
        <v/>
      </c>
      <c r="AI294" s="23" t="str">
        <f t="shared" si="28"/>
        <v>OK</v>
      </c>
      <c r="AJ294" s="23" t="str">
        <f t="shared" si="29"/>
        <v>No</v>
      </c>
    </row>
    <row r="295" spans="1:36" x14ac:dyDescent="0.35">
      <c r="A295" s="23">
        <v>294</v>
      </c>
      <c r="B295" s="23" t="str">
        <f t="shared" si="24"/>
        <v>Merge 1+2</v>
      </c>
      <c r="C295" s="23">
        <f>IFERROR(MATCH($A295,Merge_1_2!$A$2:$A$611,0),0)</f>
        <v>294</v>
      </c>
      <c r="D295" s="23">
        <f>IF($C295&gt;0,INDEX(Merge_1_2!$Q$2:$Q$611,$C295),0)</f>
        <v>294</v>
      </c>
      <c r="E295" s="23">
        <f>IFERROR(MATCH($A295,Dataset3_Raw!$A$2:$A$391,0),0)</f>
        <v>0</v>
      </c>
      <c r="F295" s="24">
        <f>IF($C295&gt;0,INDEX(Merge_1_2!$B$2:$B$611,$C295),DATE(VALUE(RIGHT(INDEX(Dataset3_Raw!$B$2:$B$391,$E295),4)),VALUE(MID(INDEX(Dataset3_Raw!$B$2:$B$391,$E295),4,2)),VALUE(LEFT(INDEX(Dataset3_Raw!$B$2:$B$391,$E295),2))))</f>
        <v>40556</v>
      </c>
      <c r="G295" s="23">
        <f>IF($C295&gt;0,INDEX(Merge_1_2!$C$2:$C$611,$C295),INDEX(Dataset3_Raw!$C$2:$C$391,$E295))</f>
        <v>1</v>
      </c>
      <c r="H295" s="23">
        <f>IF($C295&gt;0,INDEX(Merge_1_2!$D$2:$D$611,$C295),INDEX(Dataset3_Raw!$D$2:$D$391,$E295))</f>
        <v>0</v>
      </c>
      <c r="I295" s="23">
        <f>IF($C295&gt;0,INDEX(Merge_1_2!$E$2:$E$611,$C295),INDEX(Dataset3_Raw!$E$2:$E$391,$E295))</f>
        <v>1</v>
      </c>
      <c r="J295" s="23">
        <f>IF($C295&gt;0,INDEX(Merge_1_2!$F$2:$F$611,$C295),INDEX(Dataset3_Raw!$F$2:$F$391,$E295))</f>
        <v>16</v>
      </c>
      <c r="K295" s="23" t="b">
        <f>IF($C295&gt;0,INDEX(Merge_1_2!$G$2:$G$611,$C295),INDEX(Dataset3_Raw!$G$2:$G$391,$E295))</f>
        <v>0</v>
      </c>
      <c r="L295" s="23">
        <f>IF($C295&gt;0,INDEX(Merge_1_2!$H$2:$H$611,$C295),INDEX(Dataset3_Raw!$H$2:$H$391,$E295))</f>
        <v>4</v>
      </c>
      <c r="M295" s="23">
        <f>IF($C295&gt;0,INDEX(Merge_1_2!$I$2:$I$611,$C295),INDEX(Dataset3_Raw!$I$2:$I$391,$E295))</f>
        <v>1</v>
      </c>
      <c r="N295" s="25">
        <f>IF($C295&gt;0,INDEX(Merge_1_2!$J$2:$J$611,$C295),INDEX(Dataset3_Raw!$J$2:$J$391,$E295))</f>
        <v>0.24</v>
      </c>
      <c r="O295" s="25">
        <f>IF($C295&gt;0,IF(ISNUMBER(INDEX(Merge_1_2!$K$2:$K$611,$C295)),INDEX(Merge_1_2!$K$2:$K$611,$C295),""),INDEX(Dataset3_Raw!$K$2:$K$391,$E295))</f>
        <v>0.21210000000000001</v>
      </c>
      <c r="P295" s="25">
        <f>IF(ISNUMBER($O295),$O295,ROUND(Lookups!$B$25+Lookups!$B$24*$N295,4))</f>
        <v>0.21210000000000001</v>
      </c>
      <c r="Q295" s="25">
        <f>IF($C295&gt;0,INDEX(Merge_1_2!$L$2:$L$611,$C295),INDEX(Dataset3_Raw!$L$2:$L$391,$E295))</f>
        <v>0.38</v>
      </c>
      <c r="R295" s="25">
        <f>IF($C295&gt;0,INDEX(Merge_1_2!$M$2:$M$611,$C295),INDEX(Dataset3_Raw!$M$2:$M$391,$E295))</f>
        <v>0.35820000000000002</v>
      </c>
      <c r="S295" s="23">
        <f>IF($C295&gt;0,INDEX(Merge_1_2!$N$2:$N$611,$C295),INDEX(Dataset3_Raw!$N$2:$N$391,$E295))</f>
        <v>2</v>
      </c>
      <c r="T295" s="23">
        <f>IF($C295&gt;0,INDEX(Merge_1_2!$O$2:$O$611,$C295),INDEX(Dataset3_Raw!$O$2:$O$391,$E295))</f>
        <v>76</v>
      </c>
      <c r="U295" s="23">
        <f>IF($C295&gt;0,INDEX(Merge_1_2!$P$2:$P$611,$C295),INDEX(Dataset3_Raw!$P$2:$P$391,$E295))</f>
        <v>78</v>
      </c>
      <c r="V295" s="23" t="str">
        <f t="shared" si="25"/>
        <v>Weekday</v>
      </c>
      <c r="W295" s="23" t="str">
        <f>VLOOKUP($M295,Lookups!$A$5:$B$8,2,FALSE())</f>
        <v>Clear / Partly cloudy</v>
      </c>
      <c r="X295" s="23" t="str">
        <f>VLOOKUP($G295,Lookups!$D$5:$E$8,2,FALSE())</f>
        <v>Winter</v>
      </c>
      <c r="Y295" s="23" t="str">
        <f>VLOOKUP($L295,Lookups!$G$5:$H$11,2,FALSE())</f>
        <v>Thursday</v>
      </c>
      <c r="Z295" s="23" t="str">
        <f>IF($J295&lt;Lookups!$B$26,"Night",IF($J295&lt;Lookups!$B$27,"Morning",IF($J295&lt;Lookups!$B$28,"Afternoon","Evening")))</f>
        <v>Afternoon</v>
      </c>
      <c r="AA295" s="26">
        <f>ROUND($N295*(Lookups!$B$16-Lookups!$B$15)+Lookups!$B$15,1)</f>
        <v>3.3</v>
      </c>
      <c r="AB295" s="26">
        <f>ROUND($P295*(Lookups!$B$18-Lookups!$B$17)+Lookups!$B$17,1)</f>
        <v>-2</v>
      </c>
      <c r="AC295" s="23">
        <f t="shared" si="26"/>
        <v>38</v>
      </c>
      <c r="AD295" s="23">
        <f>ROUND($R295*Lookups!$B$19,1)</f>
        <v>24</v>
      </c>
      <c r="AE295" s="27">
        <f t="shared" si="27"/>
        <v>0.97435897435897434</v>
      </c>
      <c r="AF295" s="23" t="str">
        <f>IF($U295&gt;=Lookups!$B$23,"High",IF($U295&gt;=Lookups!$B$22,"Medium","Low"))</f>
        <v>Medium</v>
      </c>
      <c r="AG295" s="23">
        <f>ROUND(IF($V295="Weekday",IF(INDEX(Hourly_Analysis!$D$5:$D$28,$J295+1)&gt;0,($U295-INDEX(Hourly_Analysis!$C$5:$C$28,$J295+1))/INDEX(Hourly_Analysis!$D$5:$D$28,$J295+1),0),IF(INDEX(Hourly_Analysis!$G$5:$G$28,$J295+1)&gt;0,($U295-INDEX(Hourly_Analysis!$F$5:$F$28,$J295+1))/INDEX(Hourly_Analysis!$G$5:$G$28,$J295+1),0)),2)</f>
        <v>-0.22</v>
      </c>
      <c r="AH295" s="23" t="str">
        <f>IF(ABS($AG295)&gt;Lookups!$B$20,IF($AG295&gt;0,"High anomaly","Low anomaly"),"")</f>
        <v/>
      </c>
      <c r="AI295" s="23" t="str">
        <f t="shared" si="28"/>
        <v>OK</v>
      </c>
      <c r="AJ295" s="23" t="str">
        <f t="shared" si="29"/>
        <v>No</v>
      </c>
    </row>
    <row r="296" spans="1:36" x14ac:dyDescent="0.35">
      <c r="A296" s="23">
        <v>295</v>
      </c>
      <c r="B296" s="23" t="str">
        <f t="shared" si="24"/>
        <v>Merge 1+2</v>
      </c>
      <c r="C296" s="23">
        <f>IFERROR(MATCH($A296,Merge_1_2!$A$2:$A$611,0),0)</f>
        <v>295</v>
      </c>
      <c r="D296" s="23">
        <f>IF($C296&gt;0,INDEX(Merge_1_2!$Q$2:$Q$611,$C296),0)</f>
        <v>295</v>
      </c>
      <c r="E296" s="23">
        <f>IFERROR(MATCH($A296,Dataset3_Raw!$A$2:$A$391,0),0)</f>
        <v>0</v>
      </c>
      <c r="F296" s="24">
        <f>IF($C296&gt;0,INDEX(Merge_1_2!$B$2:$B$611,$C296),DATE(VALUE(RIGHT(INDEX(Dataset3_Raw!$B$2:$B$391,$E296),4)),VALUE(MID(INDEX(Dataset3_Raw!$B$2:$B$391,$E296),4,2)),VALUE(LEFT(INDEX(Dataset3_Raw!$B$2:$B$391,$E296),2))))</f>
        <v>40556</v>
      </c>
      <c r="G296" s="23">
        <f>IF($C296&gt;0,INDEX(Merge_1_2!$C$2:$C$611,$C296),INDEX(Dataset3_Raw!$C$2:$C$391,$E296))</f>
        <v>1</v>
      </c>
      <c r="H296" s="23">
        <f>IF($C296&gt;0,INDEX(Merge_1_2!$D$2:$D$611,$C296),INDEX(Dataset3_Raw!$D$2:$D$391,$E296))</f>
        <v>0</v>
      </c>
      <c r="I296" s="23">
        <f>IF($C296&gt;0,INDEX(Merge_1_2!$E$2:$E$611,$C296),INDEX(Dataset3_Raw!$E$2:$E$391,$E296))</f>
        <v>1</v>
      </c>
      <c r="J296" s="23">
        <f>IF($C296&gt;0,INDEX(Merge_1_2!$F$2:$F$611,$C296),INDEX(Dataset3_Raw!$F$2:$F$391,$E296))</f>
        <v>17</v>
      </c>
      <c r="K296" s="23" t="b">
        <f>IF($C296&gt;0,INDEX(Merge_1_2!$G$2:$G$611,$C296),INDEX(Dataset3_Raw!$G$2:$G$391,$E296))</f>
        <v>0</v>
      </c>
      <c r="L296" s="23">
        <f>IF($C296&gt;0,INDEX(Merge_1_2!$H$2:$H$611,$C296),INDEX(Dataset3_Raw!$H$2:$H$391,$E296))</f>
        <v>4</v>
      </c>
      <c r="M296" s="23">
        <f>IF($C296&gt;0,INDEX(Merge_1_2!$I$2:$I$611,$C296),INDEX(Dataset3_Raw!$I$2:$I$391,$E296))</f>
        <v>1</v>
      </c>
      <c r="N296" s="25">
        <f>IF($C296&gt;0,INDEX(Merge_1_2!$J$2:$J$611,$C296),INDEX(Dataset3_Raw!$J$2:$J$391,$E296))</f>
        <v>0.2</v>
      </c>
      <c r="O296" s="25">
        <f>IF($C296&gt;0,IF(ISNUMBER(INDEX(Merge_1_2!$K$2:$K$611,$C296)),INDEX(Merge_1_2!$K$2:$K$611,$C296),""),INDEX(Dataset3_Raw!$K$2:$K$391,$E296))</f>
        <v>0.18179999999999999</v>
      </c>
      <c r="P296" s="25">
        <f>IF(ISNUMBER($O296),$O296,ROUND(Lookups!$B$25+Lookups!$B$24*$N296,4))</f>
        <v>0.18179999999999999</v>
      </c>
      <c r="Q296" s="25">
        <f>IF($C296&gt;0,INDEX(Merge_1_2!$L$2:$L$611,$C296),INDEX(Dataset3_Raw!$L$2:$L$391,$E296))</f>
        <v>0.4</v>
      </c>
      <c r="R296" s="25">
        <f>IF($C296&gt;0,INDEX(Merge_1_2!$M$2:$M$611,$C296),INDEX(Dataset3_Raw!$M$2:$M$391,$E296))</f>
        <v>0.28360000000000002</v>
      </c>
      <c r="S296" s="23">
        <f>IF($C296&gt;0,INDEX(Merge_1_2!$N$2:$N$611,$C296),INDEX(Dataset3_Raw!$N$2:$N$391,$E296))</f>
        <v>4</v>
      </c>
      <c r="T296" s="23">
        <f>IF($C296&gt;0,INDEX(Merge_1_2!$O$2:$O$611,$C296),INDEX(Dataset3_Raw!$O$2:$O$391,$E296))</f>
        <v>158</v>
      </c>
      <c r="U296" s="23">
        <f>IF($C296&gt;0,INDEX(Merge_1_2!$P$2:$P$611,$C296),INDEX(Dataset3_Raw!$P$2:$P$391,$E296))</f>
        <v>162</v>
      </c>
      <c r="V296" s="23" t="str">
        <f t="shared" si="25"/>
        <v>Weekday</v>
      </c>
      <c r="W296" s="23" t="str">
        <f>VLOOKUP($M296,Lookups!$A$5:$B$8,2,FALSE())</f>
        <v>Clear / Partly cloudy</v>
      </c>
      <c r="X296" s="23" t="str">
        <f>VLOOKUP($G296,Lookups!$D$5:$E$8,2,FALSE())</f>
        <v>Winter</v>
      </c>
      <c r="Y296" s="23" t="str">
        <f>VLOOKUP($L296,Lookups!$G$5:$H$11,2,FALSE())</f>
        <v>Thursday</v>
      </c>
      <c r="Z296" s="23" t="str">
        <f>IF($J296&lt;Lookups!$B$26,"Night",IF($J296&lt;Lookups!$B$27,"Morning",IF($J296&lt;Lookups!$B$28,"Afternoon","Evening")))</f>
        <v>Afternoon</v>
      </c>
      <c r="AA296" s="26">
        <f>ROUND($N296*(Lookups!$B$16-Lookups!$B$15)+Lookups!$B$15,1)</f>
        <v>1.4</v>
      </c>
      <c r="AB296" s="26">
        <f>ROUND($P296*(Lookups!$B$18-Lookups!$B$17)+Lookups!$B$17,1)</f>
        <v>-4</v>
      </c>
      <c r="AC296" s="23">
        <f t="shared" si="26"/>
        <v>40</v>
      </c>
      <c r="AD296" s="23">
        <f>ROUND($R296*Lookups!$B$19,1)</f>
        <v>19</v>
      </c>
      <c r="AE296" s="27">
        <f t="shared" si="27"/>
        <v>0.97530864197530864</v>
      </c>
      <c r="AF296" s="23" t="str">
        <f>IF($U296&gt;=Lookups!$B$23,"High",IF($U296&gt;=Lookups!$B$22,"Medium","Low"))</f>
        <v>High</v>
      </c>
      <c r="AG296" s="23">
        <f>ROUND(IF($V296="Weekday",IF(INDEX(Hourly_Analysis!$D$5:$D$28,$J296+1)&gt;0,($U296-INDEX(Hourly_Analysis!$C$5:$C$28,$J296+1))/INDEX(Hourly_Analysis!$D$5:$D$28,$J296+1),0),IF(INDEX(Hourly_Analysis!$G$5:$G$28,$J296+1)&gt;0,($U296-INDEX(Hourly_Analysis!$F$5:$F$28,$J296+1))/INDEX(Hourly_Analysis!$G$5:$G$28,$J296+1),0)),2)</f>
        <v>-0.17</v>
      </c>
      <c r="AH296" s="23" t="str">
        <f>IF(ABS($AG296)&gt;Lookups!$B$20,IF($AG296&gt;0,"High anomaly","Low anomaly"),"")</f>
        <v/>
      </c>
      <c r="AI296" s="23" t="str">
        <f t="shared" si="28"/>
        <v>OK</v>
      </c>
      <c r="AJ296" s="23" t="str">
        <f t="shared" si="29"/>
        <v>No</v>
      </c>
    </row>
    <row r="297" spans="1:36" x14ac:dyDescent="0.35">
      <c r="A297" s="23">
        <v>296</v>
      </c>
      <c r="B297" s="23" t="str">
        <f t="shared" si="24"/>
        <v>Merge 1+2</v>
      </c>
      <c r="C297" s="23">
        <f>IFERROR(MATCH($A297,Merge_1_2!$A$2:$A$611,0),0)</f>
        <v>296</v>
      </c>
      <c r="D297" s="23">
        <f>IF($C297&gt;0,INDEX(Merge_1_2!$Q$2:$Q$611,$C297),0)</f>
        <v>296</v>
      </c>
      <c r="E297" s="23">
        <f>IFERROR(MATCH($A297,Dataset3_Raw!$A$2:$A$391,0),0)</f>
        <v>0</v>
      </c>
      <c r="F297" s="24">
        <f>IF($C297&gt;0,INDEX(Merge_1_2!$B$2:$B$611,$C297),DATE(VALUE(RIGHT(INDEX(Dataset3_Raw!$B$2:$B$391,$E297),4)),VALUE(MID(INDEX(Dataset3_Raw!$B$2:$B$391,$E297),4,2)),VALUE(LEFT(INDEX(Dataset3_Raw!$B$2:$B$391,$E297),2))))</f>
        <v>40556</v>
      </c>
      <c r="G297" s="23">
        <f>IF($C297&gt;0,INDEX(Merge_1_2!$C$2:$C$611,$C297),INDEX(Dataset3_Raw!$C$2:$C$391,$E297))</f>
        <v>1</v>
      </c>
      <c r="H297" s="23">
        <f>IF($C297&gt;0,INDEX(Merge_1_2!$D$2:$D$611,$C297),INDEX(Dataset3_Raw!$D$2:$D$391,$E297))</f>
        <v>0</v>
      </c>
      <c r="I297" s="23">
        <f>IF($C297&gt;0,INDEX(Merge_1_2!$E$2:$E$611,$C297),INDEX(Dataset3_Raw!$E$2:$E$391,$E297))</f>
        <v>1</v>
      </c>
      <c r="J297" s="23">
        <f>IF($C297&gt;0,INDEX(Merge_1_2!$F$2:$F$611,$C297),INDEX(Dataset3_Raw!$F$2:$F$391,$E297))</f>
        <v>18</v>
      </c>
      <c r="K297" s="23" t="b">
        <f>IF($C297&gt;0,INDEX(Merge_1_2!$G$2:$G$611,$C297),INDEX(Dataset3_Raw!$G$2:$G$391,$E297))</f>
        <v>0</v>
      </c>
      <c r="L297" s="23">
        <f>IF($C297&gt;0,INDEX(Merge_1_2!$H$2:$H$611,$C297),INDEX(Dataset3_Raw!$H$2:$H$391,$E297))</f>
        <v>4</v>
      </c>
      <c r="M297" s="23">
        <f>IF($C297&gt;0,INDEX(Merge_1_2!$I$2:$I$611,$C297),INDEX(Dataset3_Raw!$I$2:$I$391,$E297))</f>
        <v>1</v>
      </c>
      <c r="N297" s="25">
        <f>IF($C297&gt;0,INDEX(Merge_1_2!$J$2:$J$611,$C297),INDEX(Dataset3_Raw!$J$2:$J$391,$E297))</f>
        <v>0.2</v>
      </c>
      <c r="O297" s="25">
        <f>IF($C297&gt;0,IF(ISNUMBER(INDEX(Merge_1_2!$K$2:$K$611,$C297)),INDEX(Merge_1_2!$K$2:$K$611,$C297),""),INDEX(Dataset3_Raw!$K$2:$K$391,$E297))</f>
        <v>0.18179999999999999</v>
      </c>
      <c r="P297" s="25">
        <f>IF(ISNUMBER($O297),$O297,ROUND(Lookups!$B$25+Lookups!$B$24*$N297,4))</f>
        <v>0.18179999999999999</v>
      </c>
      <c r="Q297" s="25">
        <f>IF($C297&gt;0,INDEX(Merge_1_2!$L$2:$L$611,$C297),INDEX(Dataset3_Raw!$L$2:$L$391,$E297))</f>
        <v>0.4</v>
      </c>
      <c r="R297" s="25">
        <f>IF($C297&gt;0,INDEX(Merge_1_2!$M$2:$M$611,$C297),INDEX(Dataset3_Raw!$M$2:$M$391,$E297))</f>
        <v>0.32840000000000003</v>
      </c>
      <c r="S297" s="23">
        <f>IF($C297&gt;0,INDEX(Merge_1_2!$N$2:$N$611,$C297),INDEX(Dataset3_Raw!$N$2:$N$391,$E297))</f>
        <v>3</v>
      </c>
      <c r="T297" s="23">
        <f>IF($C297&gt;0,INDEX(Merge_1_2!$O$2:$O$611,$C297),INDEX(Dataset3_Raw!$O$2:$O$391,$E297))</f>
        <v>141</v>
      </c>
      <c r="U297" s="23">
        <f>IF($C297&gt;0,INDEX(Merge_1_2!$P$2:$P$611,$C297),INDEX(Dataset3_Raw!$P$2:$P$391,$E297))</f>
        <v>144</v>
      </c>
      <c r="V297" s="23" t="str">
        <f t="shared" si="25"/>
        <v>Weekday</v>
      </c>
      <c r="W297" s="23" t="str">
        <f>VLOOKUP($M297,Lookups!$A$5:$B$8,2,FALSE())</f>
        <v>Clear / Partly cloudy</v>
      </c>
      <c r="X297" s="23" t="str">
        <f>VLOOKUP($G297,Lookups!$D$5:$E$8,2,FALSE())</f>
        <v>Winter</v>
      </c>
      <c r="Y297" s="23" t="str">
        <f>VLOOKUP($L297,Lookups!$G$5:$H$11,2,FALSE())</f>
        <v>Thursday</v>
      </c>
      <c r="Z297" s="23" t="str">
        <f>IF($J297&lt;Lookups!$B$26,"Night",IF($J297&lt;Lookups!$B$27,"Morning",IF($J297&lt;Lookups!$B$28,"Afternoon","Evening")))</f>
        <v>Evening</v>
      </c>
      <c r="AA297" s="26">
        <f>ROUND($N297*(Lookups!$B$16-Lookups!$B$15)+Lookups!$B$15,1)</f>
        <v>1.4</v>
      </c>
      <c r="AB297" s="26">
        <f>ROUND($P297*(Lookups!$B$18-Lookups!$B$17)+Lookups!$B$17,1)</f>
        <v>-4</v>
      </c>
      <c r="AC297" s="23">
        <f t="shared" si="26"/>
        <v>40</v>
      </c>
      <c r="AD297" s="23">
        <f>ROUND($R297*Lookups!$B$19,1)</f>
        <v>22</v>
      </c>
      <c r="AE297" s="27">
        <f t="shared" si="27"/>
        <v>0.97916666666666663</v>
      </c>
      <c r="AF297" s="23" t="str">
        <f>IF($U297&gt;=Lookups!$B$23,"High",IF($U297&gt;=Lookups!$B$22,"Medium","Low"))</f>
        <v>High</v>
      </c>
      <c r="AG297" s="23">
        <f>ROUND(IF($V297="Weekday",IF(INDEX(Hourly_Analysis!$D$5:$D$28,$J297+1)&gt;0,($U297-INDEX(Hourly_Analysis!$C$5:$C$28,$J297+1))/INDEX(Hourly_Analysis!$D$5:$D$28,$J297+1),0),IF(INDEX(Hourly_Analysis!$G$5:$G$28,$J297+1)&gt;0,($U297-INDEX(Hourly_Analysis!$F$5:$F$28,$J297+1))/INDEX(Hourly_Analysis!$G$5:$G$28,$J297+1),0)),2)</f>
        <v>-0.34</v>
      </c>
      <c r="AH297" s="23" t="str">
        <f>IF(ABS($AG297)&gt;Lookups!$B$20,IF($AG297&gt;0,"High anomaly","Low anomaly"),"")</f>
        <v/>
      </c>
      <c r="AI297" s="23" t="str">
        <f t="shared" si="28"/>
        <v>OK</v>
      </c>
      <c r="AJ297" s="23" t="str">
        <f t="shared" si="29"/>
        <v>No</v>
      </c>
    </row>
    <row r="298" spans="1:36" x14ac:dyDescent="0.35">
      <c r="A298" s="23">
        <v>297</v>
      </c>
      <c r="B298" s="23" t="str">
        <f t="shared" si="24"/>
        <v>Merge 1+2</v>
      </c>
      <c r="C298" s="23">
        <f>IFERROR(MATCH($A298,Merge_1_2!$A$2:$A$611,0),0)</f>
        <v>297</v>
      </c>
      <c r="D298" s="23">
        <f>IF($C298&gt;0,INDEX(Merge_1_2!$Q$2:$Q$611,$C298),0)</f>
        <v>297</v>
      </c>
      <c r="E298" s="23">
        <f>IFERROR(MATCH($A298,Dataset3_Raw!$A$2:$A$391,0),0)</f>
        <v>0</v>
      </c>
      <c r="F298" s="24">
        <f>IF($C298&gt;0,INDEX(Merge_1_2!$B$2:$B$611,$C298),DATE(VALUE(RIGHT(INDEX(Dataset3_Raw!$B$2:$B$391,$E298),4)),VALUE(MID(INDEX(Dataset3_Raw!$B$2:$B$391,$E298),4,2)),VALUE(LEFT(INDEX(Dataset3_Raw!$B$2:$B$391,$E298),2))))</f>
        <v>40556</v>
      </c>
      <c r="G298" s="23">
        <f>IF($C298&gt;0,INDEX(Merge_1_2!$C$2:$C$611,$C298),INDEX(Dataset3_Raw!$C$2:$C$391,$E298))</f>
        <v>1</v>
      </c>
      <c r="H298" s="23">
        <f>IF($C298&gt;0,INDEX(Merge_1_2!$D$2:$D$611,$C298),INDEX(Dataset3_Raw!$D$2:$D$391,$E298))</f>
        <v>0</v>
      </c>
      <c r="I298" s="23">
        <f>IF($C298&gt;0,INDEX(Merge_1_2!$E$2:$E$611,$C298),INDEX(Dataset3_Raw!$E$2:$E$391,$E298))</f>
        <v>1</v>
      </c>
      <c r="J298" s="23">
        <f>IF($C298&gt;0,INDEX(Merge_1_2!$F$2:$F$611,$C298),INDEX(Dataset3_Raw!$F$2:$F$391,$E298))</f>
        <v>19</v>
      </c>
      <c r="K298" s="23" t="b">
        <f>IF($C298&gt;0,INDEX(Merge_1_2!$G$2:$G$611,$C298),INDEX(Dataset3_Raw!$G$2:$G$391,$E298))</f>
        <v>0</v>
      </c>
      <c r="L298" s="23">
        <f>IF($C298&gt;0,INDEX(Merge_1_2!$H$2:$H$611,$C298),INDEX(Dataset3_Raw!$H$2:$H$391,$E298))</f>
        <v>4</v>
      </c>
      <c r="M298" s="23">
        <f>IF($C298&gt;0,INDEX(Merge_1_2!$I$2:$I$611,$C298),INDEX(Dataset3_Raw!$I$2:$I$391,$E298))</f>
        <v>1</v>
      </c>
      <c r="N298" s="25">
        <f>IF($C298&gt;0,INDEX(Merge_1_2!$J$2:$J$611,$C298),INDEX(Dataset3_Raw!$J$2:$J$391,$E298))</f>
        <v>0.16</v>
      </c>
      <c r="O298" s="25">
        <f>IF($C298&gt;0,IF(ISNUMBER(INDEX(Merge_1_2!$K$2:$K$611,$C298)),INDEX(Merge_1_2!$K$2:$K$611,$C298),""),INDEX(Dataset3_Raw!$K$2:$K$391,$E298))</f>
        <v>0.1515</v>
      </c>
      <c r="P298" s="25">
        <f>IF(ISNUMBER($O298),$O298,ROUND(Lookups!$B$25+Lookups!$B$24*$N298,4))</f>
        <v>0.1515</v>
      </c>
      <c r="Q298" s="25">
        <f>IF($C298&gt;0,INDEX(Merge_1_2!$L$2:$L$611,$C298),INDEX(Dataset3_Raw!$L$2:$L$391,$E298))</f>
        <v>0.47</v>
      </c>
      <c r="R298" s="25">
        <f>IF($C298&gt;0,INDEX(Merge_1_2!$M$2:$M$611,$C298),INDEX(Dataset3_Raw!$M$2:$M$391,$E298))</f>
        <v>0.25369999999999998</v>
      </c>
      <c r="S298" s="23">
        <f>IF($C298&gt;0,INDEX(Merge_1_2!$N$2:$N$611,$C298),INDEX(Dataset3_Raw!$N$2:$N$391,$E298))</f>
        <v>1</v>
      </c>
      <c r="T298" s="23">
        <f>IF($C298&gt;0,INDEX(Merge_1_2!$O$2:$O$611,$C298),INDEX(Dataset3_Raw!$O$2:$O$391,$E298))</f>
        <v>98</v>
      </c>
      <c r="U298" s="23">
        <f>IF($C298&gt;0,INDEX(Merge_1_2!$P$2:$P$611,$C298),INDEX(Dataset3_Raw!$P$2:$P$391,$E298))</f>
        <v>99</v>
      </c>
      <c r="V298" s="23" t="str">
        <f t="shared" si="25"/>
        <v>Weekday</v>
      </c>
      <c r="W298" s="23" t="str">
        <f>VLOOKUP($M298,Lookups!$A$5:$B$8,2,FALSE())</f>
        <v>Clear / Partly cloudy</v>
      </c>
      <c r="X298" s="23" t="str">
        <f>VLOOKUP($G298,Lookups!$D$5:$E$8,2,FALSE())</f>
        <v>Winter</v>
      </c>
      <c r="Y298" s="23" t="str">
        <f>VLOOKUP($L298,Lookups!$G$5:$H$11,2,FALSE())</f>
        <v>Thursday</v>
      </c>
      <c r="Z298" s="23" t="str">
        <f>IF($J298&lt;Lookups!$B$26,"Night",IF($J298&lt;Lookups!$B$27,"Morning",IF($J298&lt;Lookups!$B$28,"Afternoon","Evening")))</f>
        <v>Evening</v>
      </c>
      <c r="AA298" s="26">
        <f>ROUND($N298*(Lookups!$B$16-Lookups!$B$15)+Lookups!$B$15,1)</f>
        <v>-0.5</v>
      </c>
      <c r="AB298" s="26">
        <f>ROUND($P298*(Lookups!$B$18-Lookups!$B$17)+Lookups!$B$17,1)</f>
        <v>-6</v>
      </c>
      <c r="AC298" s="23">
        <f t="shared" si="26"/>
        <v>47</v>
      </c>
      <c r="AD298" s="23">
        <f>ROUND($R298*Lookups!$B$19,1)</f>
        <v>17</v>
      </c>
      <c r="AE298" s="27">
        <f t="shared" si="27"/>
        <v>0.98989898989898994</v>
      </c>
      <c r="AF298" s="23" t="str">
        <f>IF($U298&gt;=Lookups!$B$23,"High",IF($U298&gt;=Lookups!$B$22,"Medium","Low"))</f>
        <v>High</v>
      </c>
      <c r="AG298" s="23">
        <f>ROUND(IF($V298="Weekday",IF(INDEX(Hourly_Analysis!$D$5:$D$28,$J298+1)&gt;0,($U298-INDEX(Hourly_Analysis!$C$5:$C$28,$J298+1))/INDEX(Hourly_Analysis!$D$5:$D$28,$J298+1),0),IF(INDEX(Hourly_Analysis!$G$5:$G$28,$J298+1)&gt;0,($U298-INDEX(Hourly_Analysis!$F$5:$F$28,$J298+1))/INDEX(Hourly_Analysis!$G$5:$G$28,$J298+1),0)),2)</f>
        <v>-0.23</v>
      </c>
      <c r="AH298" s="23" t="str">
        <f>IF(ABS($AG298)&gt;Lookups!$B$20,IF($AG298&gt;0,"High anomaly","Low anomaly"),"")</f>
        <v/>
      </c>
      <c r="AI298" s="23" t="str">
        <f t="shared" si="28"/>
        <v>OK</v>
      </c>
      <c r="AJ298" s="23" t="str">
        <f t="shared" si="29"/>
        <v>No</v>
      </c>
    </row>
    <row r="299" spans="1:36" x14ac:dyDescent="0.35">
      <c r="A299" s="23">
        <v>298</v>
      </c>
      <c r="B299" s="23" t="str">
        <f t="shared" si="24"/>
        <v>Merge 1+2</v>
      </c>
      <c r="C299" s="23">
        <f>IFERROR(MATCH($A299,Merge_1_2!$A$2:$A$611,0),0)</f>
        <v>298</v>
      </c>
      <c r="D299" s="23">
        <f>IF($C299&gt;0,INDEX(Merge_1_2!$Q$2:$Q$611,$C299),0)</f>
        <v>298</v>
      </c>
      <c r="E299" s="23">
        <f>IFERROR(MATCH($A299,Dataset3_Raw!$A$2:$A$391,0),0)</f>
        <v>0</v>
      </c>
      <c r="F299" s="24">
        <f>IF($C299&gt;0,INDEX(Merge_1_2!$B$2:$B$611,$C299),DATE(VALUE(RIGHT(INDEX(Dataset3_Raw!$B$2:$B$391,$E299),4)),VALUE(MID(INDEX(Dataset3_Raw!$B$2:$B$391,$E299),4,2)),VALUE(LEFT(INDEX(Dataset3_Raw!$B$2:$B$391,$E299),2))))</f>
        <v>40556</v>
      </c>
      <c r="G299" s="23">
        <f>IF($C299&gt;0,INDEX(Merge_1_2!$C$2:$C$611,$C299),INDEX(Dataset3_Raw!$C$2:$C$391,$E299))</f>
        <v>1</v>
      </c>
      <c r="H299" s="23">
        <f>IF($C299&gt;0,INDEX(Merge_1_2!$D$2:$D$611,$C299),INDEX(Dataset3_Raw!$D$2:$D$391,$E299))</f>
        <v>0</v>
      </c>
      <c r="I299" s="23">
        <f>IF($C299&gt;0,INDEX(Merge_1_2!$E$2:$E$611,$C299),INDEX(Dataset3_Raw!$E$2:$E$391,$E299))</f>
        <v>1</v>
      </c>
      <c r="J299" s="23">
        <f>IF($C299&gt;0,INDEX(Merge_1_2!$F$2:$F$611,$C299),INDEX(Dataset3_Raw!$F$2:$F$391,$E299))</f>
        <v>20</v>
      </c>
      <c r="K299" s="23" t="b">
        <f>IF($C299&gt;0,INDEX(Merge_1_2!$G$2:$G$611,$C299),INDEX(Dataset3_Raw!$G$2:$G$391,$E299))</f>
        <v>0</v>
      </c>
      <c r="L299" s="23">
        <f>IF($C299&gt;0,INDEX(Merge_1_2!$H$2:$H$611,$C299),INDEX(Dataset3_Raw!$H$2:$H$391,$E299))</f>
        <v>4</v>
      </c>
      <c r="M299" s="23">
        <f>IF($C299&gt;0,INDEX(Merge_1_2!$I$2:$I$611,$C299),INDEX(Dataset3_Raw!$I$2:$I$391,$E299))</f>
        <v>1</v>
      </c>
      <c r="N299" s="25">
        <f>IF($C299&gt;0,INDEX(Merge_1_2!$J$2:$J$611,$C299),INDEX(Dataset3_Raw!$J$2:$J$391,$E299))</f>
        <v>0.16</v>
      </c>
      <c r="O299" s="25">
        <f>IF($C299&gt;0,IF(ISNUMBER(INDEX(Merge_1_2!$K$2:$K$611,$C299)),INDEX(Merge_1_2!$K$2:$K$611,$C299),""),INDEX(Dataset3_Raw!$K$2:$K$391,$E299))</f>
        <v>0.1515</v>
      </c>
      <c r="P299" s="25">
        <f>IF(ISNUMBER($O299),$O299,ROUND(Lookups!$B$25+Lookups!$B$24*$N299,4))</f>
        <v>0.1515</v>
      </c>
      <c r="Q299" s="25">
        <f>IF($C299&gt;0,INDEX(Merge_1_2!$L$2:$L$611,$C299),INDEX(Dataset3_Raw!$L$2:$L$391,$E299))</f>
        <v>0.47</v>
      </c>
      <c r="R299" s="25">
        <f>IF($C299&gt;0,INDEX(Merge_1_2!$M$2:$M$611,$C299),INDEX(Dataset3_Raw!$M$2:$M$391,$E299))</f>
        <v>0.22389999999999999</v>
      </c>
      <c r="S299" s="23">
        <f>IF($C299&gt;0,INDEX(Merge_1_2!$N$2:$N$611,$C299),INDEX(Dataset3_Raw!$N$2:$N$391,$E299))</f>
        <v>0</v>
      </c>
      <c r="T299" s="23">
        <f>IF($C299&gt;0,INDEX(Merge_1_2!$O$2:$O$611,$C299),INDEX(Dataset3_Raw!$O$2:$O$391,$E299))</f>
        <v>64</v>
      </c>
      <c r="U299" s="23">
        <f>IF($C299&gt;0,INDEX(Merge_1_2!$P$2:$P$611,$C299),INDEX(Dataset3_Raw!$P$2:$P$391,$E299))</f>
        <v>64</v>
      </c>
      <c r="V299" s="23" t="str">
        <f t="shared" si="25"/>
        <v>Weekday</v>
      </c>
      <c r="W299" s="23" t="str">
        <f>VLOOKUP($M299,Lookups!$A$5:$B$8,2,FALSE())</f>
        <v>Clear / Partly cloudy</v>
      </c>
      <c r="X299" s="23" t="str">
        <f>VLOOKUP($G299,Lookups!$D$5:$E$8,2,FALSE())</f>
        <v>Winter</v>
      </c>
      <c r="Y299" s="23" t="str">
        <f>VLOOKUP($L299,Lookups!$G$5:$H$11,2,FALSE())</f>
        <v>Thursday</v>
      </c>
      <c r="Z299" s="23" t="str">
        <f>IF($J299&lt;Lookups!$B$26,"Night",IF($J299&lt;Lookups!$B$27,"Morning",IF($J299&lt;Lookups!$B$28,"Afternoon","Evening")))</f>
        <v>Evening</v>
      </c>
      <c r="AA299" s="26">
        <f>ROUND($N299*(Lookups!$B$16-Lookups!$B$15)+Lookups!$B$15,1)</f>
        <v>-0.5</v>
      </c>
      <c r="AB299" s="26">
        <f>ROUND($P299*(Lookups!$B$18-Lookups!$B$17)+Lookups!$B$17,1)</f>
        <v>-6</v>
      </c>
      <c r="AC299" s="23">
        <f t="shared" si="26"/>
        <v>47</v>
      </c>
      <c r="AD299" s="23">
        <f>ROUND($R299*Lookups!$B$19,1)</f>
        <v>15</v>
      </c>
      <c r="AE299" s="27">
        <f t="shared" si="27"/>
        <v>1</v>
      </c>
      <c r="AF299" s="23" t="str">
        <f>IF($U299&gt;=Lookups!$B$23,"High",IF($U299&gt;=Lookups!$B$22,"Medium","Low"))</f>
        <v>Medium</v>
      </c>
      <c r="AG299" s="23">
        <f>ROUND(IF($V299="Weekday",IF(INDEX(Hourly_Analysis!$D$5:$D$28,$J299+1)&gt;0,($U299-INDEX(Hourly_Analysis!$C$5:$C$28,$J299+1))/INDEX(Hourly_Analysis!$D$5:$D$28,$J299+1),0),IF(INDEX(Hourly_Analysis!$G$5:$G$28,$J299+1)&gt;0,($U299-INDEX(Hourly_Analysis!$F$5:$F$28,$J299+1))/INDEX(Hourly_Analysis!$G$5:$G$28,$J299+1),0)),2)</f>
        <v>-0.46</v>
      </c>
      <c r="AH299" s="23" t="str">
        <f>IF(ABS($AG299)&gt;Lookups!$B$20,IF($AG299&gt;0,"High anomaly","Low anomaly"),"")</f>
        <v/>
      </c>
      <c r="AI299" s="23" t="str">
        <f t="shared" si="28"/>
        <v>OK</v>
      </c>
      <c r="AJ299" s="23" t="str">
        <f t="shared" si="29"/>
        <v>No</v>
      </c>
    </row>
    <row r="300" spans="1:36" x14ac:dyDescent="0.35">
      <c r="A300" s="23">
        <v>299</v>
      </c>
      <c r="B300" s="23" t="str">
        <f t="shared" si="24"/>
        <v>Merge 1+2</v>
      </c>
      <c r="C300" s="23">
        <f>IFERROR(MATCH($A300,Merge_1_2!$A$2:$A$611,0),0)</f>
        <v>299</v>
      </c>
      <c r="D300" s="23">
        <f>IF($C300&gt;0,INDEX(Merge_1_2!$Q$2:$Q$611,$C300),0)</f>
        <v>299</v>
      </c>
      <c r="E300" s="23">
        <f>IFERROR(MATCH($A300,Dataset3_Raw!$A$2:$A$391,0),0)</f>
        <v>0</v>
      </c>
      <c r="F300" s="24">
        <f>IF($C300&gt;0,INDEX(Merge_1_2!$B$2:$B$611,$C300),DATE(VALUE(RIGHT(INDEX(Dataset3_Raw!$B$2:$B$391,$E300),4)),VALUE(MID(INDEX(Dataset3_Raw!$B$2:$B$391,$E300),4,2)),VALUE(LEFT(INDEX(Dataset3_Raw!$B$2:$B$391,$E300),2))))</f>
        <v>40556</v>
      </c>
      <c r="G300" s="23">
        <f>IF($C300&gt;0,INDEX(Merge_1_2!$C$2:$C$611,$C300),INDEX(Dataset3_Raw!$C$2:$C$391,$E300))</f>
        <v>1</v>
      </c>
      <c r="H300" s="23">
        <f>IF($C300&gt;0,INDEX(Merge_1_2!$D$2:$D$611,$C300),INDEX(Dataset3_Raw!$D$2:$D$391,$E300))</f>
        <v>0</v>
      </c>
      <c r="I300" s="23">
        <f>IF($C300&gt;0,INDEX(Merge_1_2!$E$2:$E$611,$C300),INDEX(Dataset3_Raw!$E$2:$E$391,$E300))</f>
        <v>1</v>
      </c>
      <c r="J300" s="23">
        <f>IF($C300&gt;0,INDEX(Merge_1_2!$F$2:$F$611,$C300),INDEX(Dataset3_Raw!$F$2:$F$391,$E300))</f>
        <v>21</v>
      </c>
      <c r="K300" s="23" t="b">
        <f>IF($C300&gt;0,INDEX(Merge_1_2!$G$2:$G$611,$C300),INDEX(Dataset3_Raw!$G$2:$G$391,$E300))</f>
        <v>0</v>
      </c>
      <c r="L300" s="23">
        <f>IF($C300&gt;0,INDEX(Merge_1_2!$H$2:$H$611,$C300),INDEX(Dataset3_Raw!$H$2:$H$391,$E300))</f>
        <v>4</v>
      </c>
      <c r="M300" s="23">
        <f>IF($C300&gt;0,INDEX(Merge_1_2!$I$2:$I$611,$C300),INDEX(Dataset3_Raw!$I$2:$I$391,$E300))</f>
        <v>1</v>
      </c>
      <c r="N300" s="25">
        <f>IF($C300&gt;0,INDEX(Merge_1_2!$J$2:$J$611,$C300),INDEX(Dataset3_Raw!$J$2:$J$391,$E300))</f>
        <v>0.14000000000000001</v>
      </c>
      <c r="O300" s="25">
        <f>IF($C300&gt;0,IF(ISNUMBER(INDEX(Merge_1_2!$K$2:$K$611,$C300)),INDEX(Merge_1_2!$K$2:$K$611,$C300),""),INDEX(Dataset3_Raw!$K$2:$K$391,$E300))</f>
        <v>0.1212</v>
      </c>
      <c r="P300" s="25">
        <f>IF(ISNUMBER($O300),$O300,ROUND(Lookups!$B$25+Lookups!$B$24*$N300,4))</f>
        <v>0.1212</v>
      </c>
      <c r="Q300" s="25">
        <f>IF($C300&gt;0,INDEX(Merge_1_2!$L$2:$L$611,$C300),INDEX(Dataset3_Raw!$L$2:$L$391,$E300))</f>
        <v>0.46</v>
      </c>
      <c r="R300" s="25">
        <f>IF($C300&gt;0,INDEX(Merge_1_2!$M$2:$M$611,$C300),INDEX(Dataset3_Raw!$M$2:$M$391,$E300))</f>
        <v>0.29849999999999999</v>
      </c>
      <c r="S300" s="23">
        <f>IF($C300&gt;0,INDEX(Merge_1_2!$N$2:$N$611,$C300),INDEX(Dataset3_Raw!$N$2:$N$391,$E300))</f>
        <v>0</v>
      </c>
      <c r="T300" s="23">
        <f>IF($C300&gt;0,INDEX(Merge_1_2!$O$2:$O$611,$C300),INDEX(Dataset3_Raw!$O$2:$O$391,$E300))</f>
        <v>40</v>
      </c>
      <c r="U300" s="23">
        <f>IF($C300&gt;0,INDEX(Merge_1_2!$P$2:$P$611,$C300),INDEX(Dataset3_Raw!$P$2:$P$391,$E300))</f>
        <v>40</v>
      </c>
      <c r="V300" s="23" t="str">
        <f t="shared" si="25"/>
        <v>Weekday</v>
      </c>
      <c r="W300" s="23" t="str">
        <f>VLOOKUP($M300,Lookups!$A$5:$B$8,2,FALSE())</f>
        <v>Clear / Partly cloudy</v>
      </c>
      <c r="X300" s="23" t="str">
        <f>VLOOKUP($G300,Lookups!$D$5:$E$8,2,FALSE())</f>
        <v>Winter</v>
      </c>
      <c r="Y300" s="23" t="str">
        <f>VLOOKUP($L300,Lookups!$G$5:$H$11,2,FALSE())</f>
        <v>Thursday</v>
      </c>
      <c r="Z300" s="23" t="str">
        <f>IF($J300&lt;Lookups!$B$26,"Night",IF($J300&lt;Lookups!$B$27,"Morning",IF($J300&lt;Lookups!$B$28,"Afternoon","Evening")))</f>
        <v>Evening</v>
      </c>
      <c r="AA300" s="26">
        <f>ROUND($N300*(Lookups!$B$16-Lookups!$B$15)+Lookups!$B$15,1)</f>
        <v>-1.4</v>
      </c>
      <c r="AB300" s="26">
        <f>ROUND($P300*(Lookups!$B$18-Lookups!$B$17)+Lookups!$B$17,1)</f>
        <v>-8</v>
      </c>
      <c r="AC300" s="23">
        <f t="shared" si="26"/>
        <v>46</v>
      </c>
      <c r="AD300" s="23">
        <f>ROUND($R300*Lookups!$B$19,1)</f>
        <v>20</v>
      </c>
      <c r="AE300" s="27">
        <f t="shared" si="27"/>
        <v>1</v>
      </c>
      <c r="AF300" s="23" t="str">
        <f>IF($U300&gt;=Lookups!$B$23,"High",IF($U300&gt;=Lookups!$B$22,"Medium","Low"))</f>
        <v>Medium</v>
      </c>
      <c r="AG300" s="23">
        <f>ROUND(IF($V300="Weekday",IF(INDEX(Hourly_Analysis!$D$5:$D$28,$J300+1)&gt;0,($U300-INDEX(Hourly_Analysis!$C$5:$C$28,$J300+1))/INDEX(Hourly_Analysis!$D$5:$D$28,$J300+1),0),IF(INDEX(Hourly_Analysis!$G$5:$G$28,$J300+1)&gt;0,($U300-INDEX(Hourly_Analysis!$F$5:$F$28,$J300+1))/INDEX(Hourly_Analysis!$G$5:$G$28,$J300+1),0)),2)</f>
        <v>-0.89</v>
      </c>
      <c r="AH300" s="23" t="str">
        <f>IF(ABS($AG300)&gt;Lookups!$B$20,IF($AG300&gt;0,"High anomaly","Low anomaly"),"")</f>
        <v/>
      </c>
      <c r="AI300" s="23" t="str">
        <f t="shared" si="28"/>
        <v>OK</v>
      </c>
      <c r="AJ300" s="23" t="str">
        <f t="shared" si="29"/>
        <v>No</v>
      </c>
    </row>
    <row r="301" spans="1:36" x14ac:dyDescent="0.35">
      <c r="A301" s="23">
        <v>300</v>
      </c>
      <c r="B301" s="23" t="str">
        <f t="shared" si="24"/>
        <v>Merge 1+2</v>
      </c>
      <c r="C301" s="23">
        <f>IFERROR(MATCH($A301,Merge_1_2!$A$2:$A$611,0),0)</f>
        <v>300</v>
      </c>
      <c r="D301" s="23">
        <f>IF($C301&gt;0,INDEX(Merge_1_2!$Q$2:$Q$611,$C301),0)</f>
        <v>300</v>
      </c>
      <c r="E301" s="23">
        <f>IFERROR(MATCH($A301,Dataset3_Raw!$A$2:$A$391,0),0)</f>
        <v>0</v>
      </c>
      <c r="F301" s="24">
        <f>IF($C301&gt;0,INDEX(Merge_1_2!$B$2:$B$611,$C301),DATE(VALUE(RIGHT(INDEX(Dataset3_Raw!$B$2:$B$391,$E301),4)),VALUE(MID(INDEX(Dataset3_Raw!$B$2:$B$391,$E301),4,2)),VALUE(LEFT(INDEX(Dataset3_Raw!$B$2:$B$391,$E301),2))))</f>
        <v>40556</v>
      </c>
      <c r="G301" s="23">
        <f>IF($C301&gt;0,INDEX(Merge_1_2!$C$2:$C$611,$C301),INDEX(Dataset3_Raw!$C$2:$C$391,$E301))</f>
        <v>1</v>
      </c>
      <c r="H301" s="23">
        <f>IF($C301&gt;0,INDEX(Merge_1_2!$D$2:$D$611,$C301),INDEX(Dataset3_Raw!$D$2:$D$391,$E301))</f>
        <v>0</v>
      </c>
      <c r="I301" s="23">
        <f>IF($C301&gt;0,INDEX(Merge_1_2!$E$2:$E$611,$C301),INDEX(Dataset3_Raw!$E$2:$E$391,$E301))</f>
        <v>1</v>
      </c>
      <c r="J301" s="23">
        <f>IF($C301&gt;0,INDEX(Merge_1_2!$F$2:$F$611,$C301),INDEX(Dataset3_Raw!$F$2:$F$391,$E301))</f>
        <v>22</v>
      </c>
      <c r="K301" s="23" t="b">
        <f>IF($C301&gt;0,INDEX(Merge_1_2!$G$2:$G$611,$C301),INDEX(Dataset3_Raw!$G$2:$G$391,$E301))</f>
        <v>0</v>
      </c>
      <c r="L301" s="23">
        <f>IF($C301&gt;0,INDEX(Merge_1_2!$H$2:$H$611,$C301),INDEX(Dataset3_Raw!$H$2:$H$391,$E301))</f>
        <v>4</v>
      </c>
      <c r="M301" s="23">
        <f>IF($C301&gt;0,INDEX(Merge_1_2!$I$2:$I$611,$C301),INDEX(Dataset3_Raw!$I$2:$I$391,$E301))</f>
        <v>1</v>
      </c>
      <c r="N301" s="25">
        <f>IF($C301&gt;0,INDEX(Merge_1_2!$J$2:$J$611,$C301),INDEX(Dataset3_Raw!$J$2:$J$391,$E301))</f>
        <v>0.14000000000000001</v>
      </c>
      <c r="O301" s="25">
        <f>IF($C301&gt;0,IF(ISNUMBER(INDEX(Merge_1_2!$K$2:$K$611,$C301)),INDEX(Merge_1_2!$K$2:$K$611,$C301),""),INDEX(Dataset3_Raw!$K$2:$K$391,$E301))</f>
        <v>0.1212</v>
      </c>
      <c r="P301" s="25">
        <f>IF(ISNUMBER($O301),$O301,ROUND(Lookups!$B$25+Lookups!$B$24*$N301,4))</f>
        <v>0.1212</v>
      </c>
      <c r="Q301" s="25">
        <f>IF($C301&gt;0,INDEX(Merge_1_2!$L$2:$L$611,$C301),INDEX(Dataset3_Raw!$L$2:$L$391,$E301))</f>
        <v>0.46</v>
      </c>
      <c r="R301" s="25">
        <f>IF($C301&gt;0,INDEX(Merge_1_2!$M$2:$M$611,$C301),INDEX(Dataset3_Raw!$M$2:$M$391,$E301))</f>
        <v>0.32840000000000003</v>
      </c>
      <c r="S301" s="23">
        <f>IF($C301&gt;0,INDEX(Merge_1_2!$N$2:$N$611,$C301),INDEX(Dataset3_Raw!$N$2:$N$391,$E301))</f>
        <v>0</v>
      </c>
      <c r="T301" s="23">
        <f>IF($C301&gt;0,INDEX(Merge_1_2!$O$2:$O$611,$C301),INDEX(Dataset3_Raw!$O$2:$O$391,$E301))</f>
        <v>30</v>
      </c>
      <c r="U301" s="23">
        <f>IF($C301&gt;0,INDEX(Merge_1_2!$P$2:$P$611,$C301),INDEX(Dataset3_Raw!$P$2:$P$391,$E301))</f>
        <v>30</v>
      </c>
      <c r="V301" s="23" t="str">
        <f t="shared" si="25"/>
        <v>Weekday</v>
      </c>
      <c r="W301" s="23" t="str">
        <f>VLOOKUP($M301,Lookups!$A$5:$B$8,2,FALSE())</f>
        <v>Clear / Partly cloudy</v>
      </c>
      <c r="X301" s="23" t="str">
        <f>VLOOKUP($G301,Lookups!$D$5:$E$8,2,FALSE())</f>
        <v>Winter</v>
      </c>
      <c r="Y301" s="23" t="str">
        <f>VLOOKUP($L301,Lookups!$G$5:$H$11,2,FALSE())</f>
        <v>Thursday</v>
      </c>
      <c r="Z301" s="23" t="str">
        <f>IF($J301&lt;Lookups!$B$26,"Night",IF($J301&lt;Lookups!$B$27,"Morning",IF($J301&lt;Lookups!$B$28,"Afternoon","Evening")))</f>
        <v>Evening</v>
      </c>
      <c r="AA301" s="26">
        <f>ROUND($N301*(Lookups!$B$16-Lookups!$B$15)+Lookups!$B$15,1)</f>
        <v>-1.4</v>
      </c>
      <c r="AB301" s="26">
        <f>ROUND($P301*(Lookups!$B$18-Lookups!$B$17)+Lookups!$B$17,1)</f>
        <v>-8</v>
      </c>
      <c r="AC301" s="23">
        <f t="shared" si="26"/>
        <v>46</v>
      </c>
      <c r="AD301" s="23">
        <f>ROUND($R301*Lookups!$B$19,1)</f>
        <v>22</v>
      </c>
      <c r="AE301" s="27">
        <f t="shared" si="27"/>
        <v>1</v>
      </c>
      <c r="AF301" s="23" t="str">
        <f>IF($U301&gt;=Lookups!$B$23,"High",IF($U301&gt;=Lookups!$B$22,"Medium","Low"))</f>
        <v>Medium</v>
      </c>
      <c r="AG301" s="23">
        <f>ROUND(IF($V301="Weekday",IF(INDEX(Hourly_Analysis!$D$5:$D$28,$J301+1)&gt;0,($U301-INDEX(Hourly_Analysis!$C$5:$C$28,$J301+1))/INDEX(Hourly_Analysis!$D$5:$D$28,$J301+1),0),IF(INDEX(Hourly_Analysis!$G$5:$G$28,$J301+1)&gt;0,($U301-INDEX(Hourly_Analysis!$F$5:$F$28,$J301+1))/INDEX(Hourly_Analysis!$G$5:$G$28,$J301+1),0)),2)</f>
        <v>-0.8</v>
      </c>
      <c r="AH301" s="23" t="str">
        <f>IF(ABS($AG301)&gt;Lookups!$B$20,IF($AG301&gt;0,"High anomaly","Low anomaly"),"")</f>
        <v/>
      </c>
      <c r="AI301" s="23" t="str">
        <f t="shared" si="28"/>
        <v>OK</v>
      </c>
      <c r="AJ301" s="23" t="str">
        <f t="shared" si="29"/>
        <v>No</v>
      </c>
    </row>
    <row r="302" spans="1:36" x14ac:dyDescent="0.35">
      <c r="A302" s="23">
        <v>301</v>
      </c>
      <c r="B302" s="23" t="str">
        <f t="shared" si="24"/>
        <v>Merge 1+2</v>
      </c>
      <c r="C302" s="23">
        <f>IFERROR(MATCH($A302,Merge_1_2!$A$2:$A$611,0),0)</f>
        <v>301</v>
      </c>
      <c r="D302" s="23">
        <f>IF($C302&gt;0,INDEX(Merge_1_2!$Q$2:$Q$611,$C302),0)</f>
        <v>301</v>
      </c>
      <c r="E302" s="23">
        <f>IFERROR(MATCH($A302,Dataset3_Raw!$A$2:$A$391,0),0)</f>
        <v>0</v>
      </c>
      <c r="F302" s="24">
        <f>IF($C302&gt;0,INDEX(Merge_1_2!$B$2:$B$611,$C302),DATE(VALUE(RIGHT(INDEX(Dataset3_Raw!$B$2:$B$391,$E302),4)),VALUE(MID(INDEX(Dataset3_Raw!$B$2:$B$391,$E302),4,2)),VALUE(LEFT(INDEX(Dataset3_Raw!$B$2:$B$391,$E302),2))))</f>
        <v>40556</v>
      </c>
      <c r="G302" s="23">
        <f>IF($C302&gt;0,INDEX(Merge_1_2!$C$2:$C$611,$C302),INDEX(Dataset3_Raw!$C$2:$C$391,$E302))</f>
        <v>1</v>
      </c>
      <c r="H302" s="23">
        <f>IF($C302&gt;0,INDEX(Merge_1_2!$D$2:$D$611,$C302),INDEX(Dataset3_Raw!$D$2:$D$391,$E302))</f>
        <v>0</v>
      </c>
      <c r="I302" s="23">
        <f>IF($C302&gt;0,INDEX(Merge_1_2!$E$2:$E$611,$C302),INDEX(Dataset3_Raw!$E$2:$E$391,$E302))</f>
        <v>1</v>
      </c>
      <c r="J302" s="23">
        <f>IF($C302&gt;0,INDEX(Merge_1_2!$F$2:$F$611,$C302),INDEX(Dataset3_Raw!$F$2:$F$391,$E302))</f>
        <v>23</v>
      </c>
      <c r="K302" s="23" t="b">
        <f>IF($C302&gt;0,INDEX(Merge_1_2!$G$2:$G$611,$C302),INDEX(Dataset3_Raw!$G$2:$G$391,$E302))</f>
        <v>0</v>
      </c>
      <c r="L302" s="23">
        <f>IF($C302&gt;0,INDEX(Merge_1_2!$H$2:$H$611,$C302),INDEX(Dataset3_Raw!$H$2:$H$391,$E302))</f>
        <v>4</v>
      </c>
      <c r="M302" s="23">
        <f>IF($C302&gt;0,INDEX(Merge_1_2!$I$2:$I$611,$C302),INDEX(Dataset3_Raw!$I$2:$I$391,$E302))</f>
        <v>1</v>
      </c>
      <c r="N302" s="25">
        <f>IF($C302&gt;0,INDEX(Merge_1_2!$J$2:$J$611,$C302),INDEX(Dataset3_Raw!$J$2:$J$391,$E302))</f>
        <v>0.12</v>
      </c>
      <c r="O302" s="25">
        <f>IF($C302&gt;0,IF(ISNUMBER(INDEX(Merge_1_2!$K$2:$K$611,$C302)),INDEX(Merge_1_2!$K$2:$K$611,$C302),""),INDEX(Dataset3_Raw!$K$2:$K$391,$E302))</f>
        <v>0.13639999999999999</v>
      </c>
      <c r="P302" s="25">
        <f>IF(ISNUMBER($O302),$O302,ROUND(Lookups!$B$25+Lookups!$B$24*$N302,4))</f>
        <v>0.13639999999999999</v>
      </c>
      <c r="Q302" s="25">
        <f>IF($C302&gt;0,INDEX(Merge_1_2!$L$2:$L$611,$C302),INDEX(Dataset3_Raw!$L$2:$L$391,$E302))</f>
        <v>0.5</v>
      </c>
      <c r="R302" s="25">
        <f>IF($C302&gt;0,INDEX(Merge_1_2!$M$2:$M$611,$C302),INDEX(Dataset3_Raw!$M$2:$M$391,$E302))</f>
        <v>0.19400000000000001</v>
      </c>
      <c r="S302" s="23">
        <f>IF($C302&gt;0,INDEX(Merge_1_2!$N$2:$N$611,$C302),INDEX(Dataset3_Raw!$N$2:$N$391,$E302))</f>
        <v>1</v>
      </c>
      <c r="T302" s="23">
        <f>IF($C302&gt;0,INDEX(Merge_1_2!$O$2:$O$611,$C302),INDEX(Dataset3_Raw!$O$2:$O$391,$E302))</f>
        <v>14</v>
      </c>
      <c r="U302" s="23">
        <f>IF($C302&gt;0,INDEX(Merge_1_2!$P$2:$P$611,$C302),INDEX(Dataset3_Raw!$P$2:$P$391,$E302))</f>
        <v>15</v>
      </c>
      <c r="V302" s="23" t="str">
        <f t="shared" si="25"/>
        <v>Weekday</v>
      </c>
      <c r="W302" s="23" t="str">
        <f>VLOOKUP($M302,Lookups!$A$5:$B$8,2,FALSE())</f>
        <v>Clear / Partly cloudy</v>
      </c>
      <c r="X302" s="23" t="str">
        <f>VLOOKUP($G302,Lookups!$D$5:$E$8,2,FALSE())</f>
        <v>Winter</v>
      </c>
      <c r="Y302" s="23" t="str">
        <f>VLOOKUP($L302,Lookups!$G$5:$H$11,2,FALSE())</f>
        <v>Thursday</v>
      </c>
      <c r="Z302" s="23" t="str">
        <f>IF($J302&lt;Lookups!$B$26,"Night",IF($J302&lt;Lookups!$B$27,"Morning",IF($J302&lt;Lookups!$B$28,"Afternoon","Evening")))</f>
        <v>Evening</v>
      </c>
      <c r="AA302" s="26">
        <f>ROUND($N302*(Lookups!$B$16-Lookups!$B$15)+Lookups!$B$15,1)</f>
        <v>-2.4</v>
      </c>
      <c r="AB302" s="26">
        <f>ROUND($P302*(Lookups!$B$18-Lookups!$B$17)+Lookups!$B$17,1)</f>
        <v>-7</v>
      </c>
      <c r="AC302" s="23">
        <f t="shared" si="26"/>
        <v>50</v>
      </c>
      <c r="AD302" s="23">
        <f>ROUND($R302*Lookups!$B$19,1)</f>
        <v>13</v>
      </c>
      <c r="AE302" s="27">
        <f t="shared" si="27"/>
        <v>0.93333333333333335</v>
      </c>
      <c r="AF302" s="23" t="str">
        <f>IF($U302&gt;=Lookups!$B$23,"High",IF($U302&gt;=Lookups!$B$22,"Medium","Low"))</f>
        <v>Low</v>
      </c>
      <c r="AG302" s="23">
        <f>ROUND(IF($V302="Weekday",IF(INDEX(Hourly_Analysis!$D$5:$D$28,$J302+1)&gt;0,($U302-INDEX(Hourly_Analysis!$C$5:$C$28,$J302+1))/INDEX(Hourly_Analysis!$D$5:$D$28,$J302+1),0),IF(INDEX(Hourly_Analysis!$G$5:$G$28,$J302+1)&gt;0,($U302-INDEX(Hourly_Analysis!$F$5:$F$28,$J302+1))/INDEX(Hourly_Analysis!$G$5:$G$28,$J302+1),0)),2)</f>
        <v>-0.94</v>
      </c>
      <c r="AH302" s="23" t="str">
        <f>IF(ABS($AG302)&gt;Lookups!$B$20,IF($AG302&gt;0,"High anomaly","Low anomaly"),"")</f>
        <v/>
      </c>
      <c r="AI302" s="23" t="str">
        <f t="shared" si="28"/>
        <v>OK</v>
      </c>
      <c r="AJ302" s="23" t="str">
        <f t="shared" si="29"/>
        <v>No</v>
      </c>
    </row>
    <row r="303" spans="1:36" x14ac:dyDescent="0.35">
      <c r="A303" s="23">
        <v>302</v>
      </c>
      <c r="B303" s="23" t="str">
        <f t="shared" si="24"/>
        <v>Merge 1+2</v>
      </c>
      <c r="C303" s="23">
        <f>IFERROR(MATCH($A303,Merge_1_2!$A$2:$A$611,0),0)</f>
        <v>302</v>
      </c>
      <c r="D303" s="23">
        <f>IF($C303&gt;0,INDEX(Merge_1_2!$Q$2:$Q$611,$C303),0)</f>
        <v>302</v>
      </c>
      <c r="E303" s="23">
        <f>IFERROR(MATCH($A303,Dataset3_Raw!$A$2:$A$391,0),0)</f>
        <v>0</v>
      </c>
      <c r="F303" s="24">
        <f>IF($C303&gt;0,INDEX(Merge_1_2!$B$2:$B$611,$C303),DATE(VALUE(RIGHT(INDEX(Dataset3_Raw!$B$2:$B$391,$E303),4)),VALUE(MID(INDEX(Dataset3_Raw!$B$2:$B$391,$E303),4,2)),VALUE(LEFT(INDEX(Dataset3_Raw!$B$2:$B$391,$E303),2))))</f>
        <v>40557</v>
      </c>
      <c r="G303" s="23">
        <f>IF($C303&gt;0,INDEX(Merge_1_2!$C$2:$C$611,$C303),INDEX(Dataset3_Raw!$C$2:$C$391,$E303))</f>
        <v>1</v>
      </c>
      <c r="H303" s="23">
        <f>IF($C303&gt;0,INDEX(Merge_1_2!$D$2:$D$611,$C303),INDEX(Dataset3_Raw!$D$2:$D$391,$E303))</f>
        <v>0</v>
      </c>
      <c r="I303" s="23">
        <f>IF($C303&gt;0,INDEX(Merge_1_2!$E$2:$E$611,$C303),INDEX(Dataset3_Raw!$E$2:$E$391,$E303))</f>
        <v>1</v>
      </c>
      <c r="J303" s="23">
        <f>IF($C303&gt;0,INDEX(Merge_1_2!$F$2:$F$611,$C303),INDEX(Dataset3_Raw!$F$2:$F$391,$E303))</f>
        <v>0</v>
      </c>
      <c r="K303" s="23" t="b">
        <f>IF($C303&gt;0,INDEX(Merge_1_2!$G$2:$G$611,$C303),INDEX(Dataset3_Raw!$G$2:$G$391,$E303))</f>
        <v>0</v>
      </c>
      <c r="L303" s="23">
        <f>IF($C303&gt;0,INDEX(Merge_1_2!$H$2:$H$611,$C303),INDEX(Dataset3_Raw!$H$2:$H$391,$E303))</f>
        <v>5</v>
      </c>
      <c r="M303" s="23">
        <f>IF($C303&gt;0,INDEX(Merge_1_2!$I$2:$I$611,$C303),INDEX(Dataset3_Raw!$I$2:$I$391,$E303))</f>
        <v>1</v>
      </c>
      <c r="N303" s="25">
        <f>IF($C303&gt;0,INDEX(Merge_1_2!$J$2:$J$611,$C303),INDEX(Dataset3_Raw!$J$2:$J$391,$E303))</f>
        <v>0.12</v>
      </c>
      <c r="O303" s="25">
        <f>IF($C303&gt;0,IF(ISNUMBER(INDEX(Merge_1_2!$K$2:$K$611,$C303)),INDEX(Merge_1_2!$K$2:$K$611,$C303),""),INDEX(Dataset3_Raw!$K$2:$K$391,$E303))</f>
        <v>0.13639999999999999</v>
      </c>
      <c r="P303" s="25">
        <f>IF(ISNUMBER($O303),$O303,ROUND(Lookups!$B$25+Lookups!$B$24*$N303,4))</f>
        <v>0.13639999999999999</v>
      </c>
      <c r="Q303" s="25">
        <f>IF($C303&gt;0,INDEX(Merge_1_2!$L$2:$L$611,$C303),INDEX(Dataset3_Raw!$L$2:$L$391,$E303))</f>
        <v>0.5</v>
      </c>
      <c r="R303" s="25">
        <f>IF($C303&gt;0,INDEX(Merge_1_2!$M$2:$M$611,$C303),INDEX(Dataset3_Raw!$M$2:$M$391,$E303))</f>
        <v>0.19400000000000001</v>
      </c>
      <c r="S303" s="23">
        <f>IF($C303&gt;0,INDEX(Merge_1_2!$N$2:$N$611,$C303),INDEX(Dataset3_Raw!$N$2:$N$391,$E303))</f>
        <v>0</v>
      </c>
      <c r="T303" s="23">
        <f>IF($C303&gt;0,INDEX(Merge_1_2!$O$2:$O$611,$C303),INDEX(Dataset3_Raw!$O$2:$O$391,$E303))</f>
        <v>14</v>
      </c>
      <c r="U303" s="23">
        <f>IF($C303&gt;0,INDEX(Merge_1_2!$P$2:$P$611,$C303),INDEX(Dataset3_Raw!$P$2:$P$391,$E303))</f>
        <v>14</v>
      </c>
      <c r="V303" s="23" t="str">
        <f t="shared" si="25"/>
        <v>Weekday</v>
      </c>
      <c r="W303" s="23" t="str">
        <f>VLOOKUP($M303,Lookups!$A$5:$B$8,2,FALSE())</f>
        <v>Clear / Partly cloudy</v>
      </c>
      <c r="X303" s="23" t="str">
        <f>VLOOKUP($G303,Lookups!$D$5:$E$8,2,FALSE())</f>
        <v>Winter</v>
      </c>
      <c r="Y303" s="23" t="str">
        <f>VLOOKUP($L303,Lookups!$G$5:$H$11,2,FALSE())</f>
        <v>Friday</v>
      </c>
      <c r="Z303" s="23" t="str">
        <f>IF($J303&lt;Lookups!$B$26,"Night",IF($J303&lt;Lookups!$B$27,"Morning",IF($J303&lt;Lookups!$B$28,"Afternoon","Evening")))</f>
        <v>Night</v>
      </c>
      <c r="AA303" s="26">
        <f>ROUND($N303*(Lookups!$B$16-Lookups!$B$15)+Lookups!$B$15,1)</f>
        <v>-2.4</v>
      </c>
      <c r="AB303" s="26">
        <f>ROUND($P303*(Lookups!$B$18-Lookups!$B$17)+Lookups!$B$17,1)</f>
        <v>-7</v>
      </c>
      <c r="AC303" s="23">
        <f t="shared" si="26"/>
        <v>50</v>
      </c>
      <c r="AD303" s="23">
        <f>ROUND($R303*Lookups!$B$19,1)</f>
        <v>13</v>
      </c>
      <c r="AE303" s="27">
        <f t="shared" si="27"/>
        <v>1</v>
      </c>
      <c r="AF303" s="23" t="str">
        <f>IF($U303&gt;=Lookups!$B$23,"High",IF($U303&gt;=Lookups!$B$22,"Medium","Low"))</f>
        <v>Low</v>
      </c>
      <c r="AG303" s="23">
        <f>ROUND(IF($V303="Weekday",IF(INDEX(Hourly_Analysis!$D$5:$D$28,$J303+1)&gt;0,($U303-INDEX(Hourly_Analysis!$C$5:$C$28,$J303+1))/INDEX(Hourly_Analysis!$D$5:$D$28,$J303+1),0),IF(INDEX(Hourly_Analysis!$G$5:$G$28,$J303+1)&gt;0,($U303-INDEX(Hourly_Analysis!$F$5:$F$28,$J303+1))/INDEX(Hourly_Analysis!$G$5:$G$28,$J303+1),0)),2)</f>
        <v>0.73</v>
      </c>
      <c r="AH303" s="23" t="str">
        <f>IF(ABS($AG303)&gt;Lookups!$B$20,IF($AG303&gt;0,"High anomaly","Low anomaly"),"")</f>
        <v/>
      </c>
      <c r="AI303" s="23" t="str">
        <f t="shared" si="28"/>
        <v>OK</v>
      </c>
      <c r="AJ303" s="23" t="str">
        <f t="shared" si="29"/>
        <v>No</v>
      </c>
    </row>
    <row r="304" spans="1:36" x14ac:dyDescent="0.35">
      <c r="A304" s="23">
        <v>303</v>
      </c>
      <c r="B304" s="23" t="str">
        <f t="shared" si="24"/>
        <v>Merge 1+2</v>
      </c>
      <c r="C304" s="23">
        <f>IFERROR(MATCH($A304,Merge_1_2!$A$2:$A$611,0),0)</f>
        <v>303</v>
      </c>
      <c r="D304" s="23">
        <f>IF($C304&gt;0,INDEX(Merge_1_2!$Q$2:$Q$611,$C304),0)</f>
        <v>303</v>
      </c>
      <c r="E304" s="23">
        <f>IFERROR(MATCH($A304,Dataset3_Raw!$A$2:$A$391,0),0)</f>
        <v>0</v>
      </c>
      <c r="F304" s="24">
        <f>IF($C304&gt;0,INDEX(Merge_1_2!$B$2:$B$611,$C304),DATE(VALUE(RIGHT(INDEX(Dataset3_Raw!$B$2:$B$391,$E304),4)),VALUE(MID(INDEX(Dataset3_Raw!$B$2:$B$391,$E304),4,2)),VALUE(LEFT(INDEX(Dataset3_Raw!$B$2:$B$391,$E304),2))))</f>
        <v>40557</v>
      </c>
      <c r="G304" s="23">
        <f>IF($C304&gt;0,INDEX(Merge_1_2!$C$2:$C$611,$C304),INDEX(Dataset3_Raw!$C$2:$C$391,$E304))</f>
        <v>1</v>
      </c>
      <c r="H304" s="23">
        <f>IF($C304&gt;0,INDEX(Merge_1_2!$D$2:$D$611,$C304),INDEX(Dataset3_Raw!$D$2:$D$391,$E304))</f>
        <v>0</v>
      </c>
      <c r="I304" s="23">
        <f>IF($C304&gt;0,INDEX(Merge_1_2!$E$2:$E$611,$C304),INDEX(Dataset3_Raw!$E$2:$E$391,$E304))</f>
        <v>1</v>
      </c>
      <c r="J304" s="23">
        <f>IF($C304&gt;0,INDEX(Merge_1_2!$F$2:$F$611,$C304),INDEX(Dataset3_Raw!$F$2:$F$391,$E304))</f>
        <v>1</v>
      </c>
      <c r="K304" s="23" t="b">
        <f>IF($C304&gt;0,INDEX(Merge_1_2!$G$2:$G$611,$C304),INDEX(Dataset3_Raw!$G$2:$G$391,$E304))</f>
        <v>0</v>
      </c>
      <c r="L304" s="23">
        <f>IF($C304&gt;0,INDEX(Merge_1_2!$H$2:$H$611,$C304),INDEX(Dataset3_Raw!$H$2:$H$391,$E304))</f>
        <v>5</v>
      </c>
      <c r="M304" s="23">
        <f>IF($C304&gt;0,INDEX(Merge_1_2!$I$2:$I$611,$C304),INDEX(Dataset3_Raw!$I$2:$I$391,$E304))</f>
        <v>1</v>
      </c>
      <c r="N304" s="25">
        <f>IF($C304&gt;0,INDEX(Merge_1_2!$J$2:$J$611,$C304),INDEX(Dataset3_Raw!$J$2:$J$391,$E304))</f>
        <v>0.1</v>
      </c>
      <c r="O304" s="25">
        <f>IF($C304&gt;0,IF(ISNUMBER(INDEX(Merge_1_2!$K$2:$K$611,$C304)),INDEX(Merge_1_2!$K$2:$K$611,$C304),""),INDEX(Dataset3_Raw!$K$2:$K$391,$E304))</f>
        <v>0.1212</v>
      </c>
      <c r="P304" s="25">
        <f>IF(ISNUMBER($O304),$O304,ROUND(Lookups!$B$25+Lookups!$B$24*$N304,4))</f>
        <v>0.1212</v>
      </c>
      <c r="Q304" s="25">
        <f>IF($C304&gt;0,INDEX(Merge_1_2!$L$2:$L$611,$C304),INDEX(Dataset3_Raw!$L$2:$L$391,$E304))</f>
        <v>0.54</v>
      </c>
      <c r="R304" s="25">
        <f>IF($C304&gt;0,INDEX(Merge_1_2!$M$2:$M$611,$C304),INDEX(Dataset3_Raw!$M$2:$M$391,$E304))</f>
        <v>0.16420000000000001</v>
      </c>
      <c r="S304" s="23">
        <f>IF($C304&gt;0,INDEX(Merge_1_2!$N$2:$N$611,$C304),INDEX(Dataset3_Raw!$N$2:$N$391,$E304))</f>
        <v>0</v>
      </c>
      <c r="T304" s="23">
        <f>IF($C304&gt;0,INDEX(Merge_1_2!$O$2:$O$611,$C304),INDEX(Dataset3_Raw!$O$2:$O$391,$E304))</f>
        <v>5</v>
      </c>
      <c r="U304" s="23">
        <f>IF($C304&gt;0,INDEX(Merge_1_2!$P$2:$P$611,$C304),INDEX(Dataset3_Raw!$P$2:$P$391,$E304))</f>
        <v>5</v>
      </c>
      <c r="V304" s="23" t="str">
        <f t="shared" si="25"/>
        <v>Weekday</v>
      </c>
      <c r="W304" s="23" t="str">
        <f>VLOOKUP($M304,Lookups!$A$5:$B$8,2,FALSE())</f>
        <v>Clear / Partly cloudy</v>
      </c>
      <c r="X304" s="23" t="str">
        <f>VLOOKUP($G304,Lookups!$D$5:$E$8,2,FALSE())</f>
        <v>Winter</v>
      </c>
      <c r="Y304" s="23" t="str">
        <f>VLOOKUP($L304,Lookups!$G$5:$H$11,2,FALSE())</f>
        <v>Friday</v>
      </c>
      <c r="Z304" s="23" t="str">
        <f>IF($J304&lt;Lookups!$B$26,"Night",IF($J304&lt;Lookups!$B$27,"Morning",IF($J304&lt;Lookups!$B$28,"Afternoon","Evening")))</f>
        <v>Night</v>
      </c>
      <c r="AA304" s="26">
        <f>ROUND($N304*(Lookups!$B$16-Lookups!$B$15)+Lookups!$B$15,1)</f>
        <v>-3.3</v>
      </c>
      <c r="AB304" s="26">
        <f>ROUND($P304*(Lookups!$B$18-Lookups!$B$17)+Lookups!$B$17,1)</f>
        <v>-8</v>
      </c>
      <c r="AC304" s="23">
        <f t="shared" si="26"/>
        <v>54</v>
      </c>
      <c r="AD304" s="23">
        <f>ROUND($R304*Lookups!$B$19,1)</f>
        <v>11</v>
      </c>
      <c r="AE304" s="27">
        <f t="shared" si="27"/>
        <v>1</v>
      </c>
      <c r="AF304" s="23" t="str">
        <f>IF($U304&gt;=Lookups!$B$23,"High",IF($U304&gt;=Lookups!$B$22,"Medium","Low"))</f>
        <v>Low</v>
      </c>
      <c r="AG304" s="23">
        <f>ROUND(IF($V304="Weekday",IF(INDEX(Hourly_Analysis!$D$5:$D$28,$J304+1)&gt;0,($U304-INDEX(Hourly_Analysis!$C$5:$C$28,$J304+1))/INDEX(Hourly_Analysis!$D$5:$D$28,$J304+1),0),IF(INDEX(Hourly_Analysis!$G$5:$G$28,$J304+1)&gt;0,($U304-INDEX(Hourly_Analysis!$F$5:$F$28,$J304+1))/INDEX(Hourly_Analysis!$G$5:$G$28,$J304+1),0)),2)</f>
        <v>0.14000000000000001</v>
      </c>
      <c r="AH304" s="23" t="str">
        <f>IF(ABS($AG304)&gt;Lookups!$B$20,IF($AG304&gt;0,"High anomaly","Low anomaly"),"")</f>
        <v/>
      </c>
      <c r="AI304" s="23" t="str">
        <f t="shared" si="28"/>
        <v>OK</v>
      </c>
      <c r="AJ304" s="23" t="str">
        <f t="shared" si="29"/>
        <v>No</v>
      </c>
    </row>
    <row r="305" spans="1:36" x14ac:dyDescent="0.35">
      <c r="A305" s="23">
        <v>304</v>
      </c>
      <c r="B305" s="23" t="str">
        <f t="shared" si="24"/>
        <v>Merge 1+2</v>
      </c>
      <c r="C305" s="23">
        <f>IFERROR(MATCH($A305,Merge_1_2!$A$2:$A$611,0),0)</f>
        <v>304</v>
      </c>
      <c r="D305" s="23">
        <f>IF($C305&gt;0,INDEX(Merge_1_2!$Q$2:$Q$611,$C305),0)</f>
        <v>304</v>
      </c>
      <c r="E305" s="23">
        <f>IFERROR(MATCH($A305,Dataset3_Raw!$A$2:$A$391,0),0)</f>
        <v>0</v>
      </c>
      <c r="F305" s="24">
        <f>IF($C305&gt;0,INDEX(Merge_1_2!$B$2:$B$611,$C305),DATE(VALUE(RIGHT(INDEX(Dataset3_Raw!$B$2:$B$391,$E305),4)),VALUE(MID(INDEX(Dataset3_Raw!$B$2:$B$391,$E305),4,2)),VALUE(LEFT(INDEX(Dataset3_Raw!$B$2:$B$391,$E305),2))))</f>
        <v>40557</v>
      </c>
      <c r="G305" s="23">
        <f>IF($C305&gt;0,INDEX(Merge_1_2!$C$2:$C$611,$C305),INDEX(Dataset3_Raw!$C$2:$C$391,$E305))</f>
        <v>1</v>
      </c>
      <c r="H305" s="23">
        <f>IF($C305&gt;0,INDEX(Merge_1_2!$D$2:$D$611,$C305),INDEX(Dataset3_Raw!$D$2:$D$391,$E305))</f>
        <v>0</v>
      </c>
      <c r="I305" s="23">
        <f>IF($C305&gt;0,INDEX(Merge_1_2!$E$2:$E$611,$C305),INDEX(Dataset3_Raw!$E$2:$E$391,$E305))</f>
        <v>1</v>
      </c>
      <c r="J305" s="23">
        <f>IF($C305&gt;0,INDEX(Merge_1_2!$F$2:$F$611,$C305),INDEX(Dataset3_Raw!$F$2:$F$391,$E305))</f>
        <v>2</v>
      </c>
      <c r="K305" s="23" t="b">
        <f>IF($C305&gt;0,INDEX(Merge_1_2!$G$2:$G$611,$C305),INDEX(Dataset3_Raw!$G$2:$G$391,$E305))</f>
        <v>0</v>
      </c>
      <c r="L305" s="23">
        <f>IF($C305&gt;0,INDEX(Merge_1_2!$H$2:$H$611,$C305),INDEX(Dataset3_Raw!$H$2:$H$391,$E305))</f>
        <v>5</v>
      </c>
      <c r="M305" s="23">
        <f>IF($C305&gt;0,INDEX(Merge_1_2!$I$2:$I$611,$C305),INDEX(Dataset3_Raw!$I$2:$I$391,$E305))</f>
        <v>1</v>
      </c>
      <c r="N305" s="25">
        <f>IF($C305&gt;0,INDEX(Merge_1_2!$J$2:$J$611,$C305),INDEX(Dataset3_Raw!$J$2:$J$391,$E305))</f>
        <v>0.1</v>
      </c>
      <c r="O305" s="25">
        <f>IF($C305&gt;0,IF(ISNUMBER(INDEX(Merge_1_2!$K$2:$K$611,$C305)),INDEX(Merge_1_2!$K$2:$K$611,$C305),""),INDEX(Dataset3_Raw!$K$2:$K$391,$E305))</f>
        <v>0.1212</v>
      </c>
      <c r="P305" s="25">
        <f>IF(ISNUMBER($O305),$O305,ROUND(Lookups!$B$25+Lookups!$B$24*$N305,4))</f>
        <v>0.1212</v>
      </c>
      <c r="Q305" s="25">
        <f>IF($C305&gt;0,INDEX(Merge_1_2!$L$2:$L$611,$C305),INDEX(Dataset3_Raw!$L$2:$L$391,$E305))</f>
        <v>0.54</v>
      </c>
      <c r="R305" s="25">
        <f>IF($C305&gt;0,INDEX(Merge_1_2!$M$2:$M$611,$C305),INDEX(Dataset3_Raw!$M$2:$M$391,$E305))</f>
        <v>0.1343</v>
      </c>
      <c r="S305" s="23">
        <f>IF($C305&gt;0,INDEX(Merge_1_2!$N$2:$N$611,$C305),INDEX(Dataset3_Raw!$N$2:$N$391,$E305))</f>
        <v>0</v>
      </c>
      <c r="T305" s="23">
        <f>IF($C305&gt;0,INDEX(Merge_1_2!$O$2:$O$611,$C305),INDEX(Dataset3_Raw!$O$2:$O$391,$E305))</f>
        <v>1</v>
      </c>
      <c r="U305" s="23">
        <f>IF($C305&gt;0,INDEX(Merge_1_2!$P$2:$P$611,$C305),INDEX(Dataset3_Raw!$P$2:$P$391,$E305))</f>
        <v>1</v>
      </c>
      <c r="V305" s="23" t="str">
        <f t="shared" si="25"/>
        <v>Weekday</v>
      </c>
      <c r="W305" s="23" t="str">
        <f>VLOOKUP($M305,Lookups!$A$5:$B$8,2,FALSE())</f>
        <v>Clear / Partly cloudy</v>
      </c>
      <c r="X305" s="23" t="str">
        <f>VLOOKUP($G305,Lookups!$D$5:$E$8,2,FALSE())</f>
        <v>Winter</v>
      </c>
      <c r="Y305" s="23" t="str">
        <f>VLOOKUP($L305,Lookups!$G$5:$H$11,2,FALSE())</f>
        <v>Friday</v>
      </c>
      <c r="Z305" s="23" t="str">
        <f>IF($J305&lt;Lookups!$B$26,"Night",IF($J305&lt;Lookups!$B$27,"Morning",IF($J305&lt;Lookups!$B$28,"Afternoon","Evening")))</f>
        <v>Night</v>
      </c>
      <c r="AA305" s="26">
        <f>ROUND($N305*(Lookups!$B$16-Lookups!$B$15)+Lookups!$B$15,1)</f>
        <v>-3.3</v>
      </c>
      <c r="AB305" s="26">
        <f>ROUND($P305*(Lookups!$B$18-Lookups!$B$17)+Lookups!$B$17,1)</f>
        <v>-8</v>
      </c>
      <c r="AC305" s="23">
        <f t="shared" si="26"/>
        <v>54</v>
      </c>
      <c r="AD305" s="23">
        <f>ROUND($R305*Lookups!$B$19,1)</f>
        <v>9</v>
      </c>
      <c r="AE305" s="27">
        <f t="shared" si="27"/>
        <v>1</v>
      </c>
      <c r="AF305" s="23" t="str">
        <f>IF($U305&gt;=Lookups!$B$23,"High",IF($U305&gt;=Lookups!$B$22,"Medium","Low"))</f>
        <v>Low</v>
      </c>
      <c r="AG305" s="23">
        <f>ROUND(IF($V305="Weekday",IF(INDEX(Hourly_Analysis!$D$5:$D$28,$J305+1)&gt;0,($U305-INDEX(Hourly_Analysis!$C$5:$C$28,$J305+1))/INDEX(Hourly_Analysis!$D$5:$D$28,$J305+1),0),IF(INDEX(Hourly_Analysis!$G$5:$G$28,$J305+1)&gt;0,($U305-INDEX(Hourly_Analysis!$F$5:$F$28,$J305+1))/INDEX(Hourly_Analysis!$G$5:$G$28,$J305+1),0)),2)</f>
        <v>-0.81</v>
      </c>
      <c r="AH305" s="23" t="str">
        <f>IF(ABS($AG305)&gt;Lookups!$B$20,IF($AG305&gt;0,"High anomaly","Low anomaly"),"")</f>
        <v/>
      </c>
      <c r="AI305" s="23" t="str">
        <f t="shared" si="28"/>
        <v>OK</v>
      </c>
      <c r="AJ305" s="23" t="str">
        <f t="shared" si="29"/>
        <v>No</v>
      </c>
    </row>
    <row r="306" spans="1:36" x14ac:dyDescent="0.35">
      <c r="A306" s="23">
        <v>305</v>
      </c>
      <c r="B306" s="23" t="str">
        <f t="shared" si="24"/>
        <v>Merge 1+2</v>
      </c>
      <c r="C306" s="23">
        <f>IFERROR(MATCH($A306,Merge_1_2!$A$2:$A$611,0),0)</f>
        <v>305</v>
      </c>
      <c r="D306" s="23">
        <f>IF($C306&gt;0,INDEX(Merge_1_2!$Q$2:$Q$611,$C306),0)</f>
        <v>305</v>
      </c>
      <c r="E306" s="23">
        <f>IFERROR(MATCH($A306,Dataset3_Raw!$A$2:$A$391,0),0)</f>
        <v>0</v>
      </c>
      <c r="F306" s="24">
        <f>IF($C306&gt;0,INDEX(Merge_1_2!$B$2:$B$611,$C306),DATE(VALUE(RIGHT(INDEX(Dataset3_Raw!$B$2:$B$391,$E306),4)),VALUE(MID(INDEX(Dataset3_Raw!$B$2:$B$391,$E306),4,2)),VALUE(LEFT(INDEX(Dataset3_Raw!$B$2:$B$391,$E306),2))))</f>
        <v>40557</v>
      </c>
      <c r="G306" s="23">
        <f>IF($C306&gt;0,INDEX(Merge_1_2!$C$2:$C$611,$C306),INDEX(Dataset3_Raw!$C$2:$C$391,$E306))</f>
        <v>1</v>
      </c>
      <c r="H306" s="23">
        <f>IF($C306&gt;0,INDEX(Merge_1_2!$D$2:$D$611,$C306),INDEX(Dataset3_Raw!$D$2:$D$391,$E306))</f>
        <v>0</v>
      </c>
      <c r="I306" s="23">
        <f>IF($C306&gt;0,INDEX(Merge_1_2!$E$2:$E$611,$C306),INDEX(Dataset3_Raw!$E$2:$E$391,$E306))</f>
        <v>1</v>
      </c>
      <c r="J306" s="23">
        <f>IF($C306&gt;0,INDEX(Merge_1_2!$F$2:$F$611,$C306),INDEX(Dataset3_Raw!$F$2:$F$391,$E306))</f>
        <v>3</v>
      </c>
      <c r="K306" s="23" t="b">
        <f>IF($C306&gt;0,INDEX(Merge_1_2!$G$2:$G$611,$C306),INDEX(Dataset3_Raw!$G$2:$G$391,$E306))</f>
        <v>0</v>
      </c>
      <c r="L306" s="23">
        <f>IF($C306&gt;0,INDEX(Merge_1_2!$H$2:$H$611,$C306),INDEX(Dataset3_Raw!$H$2:$H$391,$E306))</f>
        <v>5</v>
      </c>
      <c r="M306" s="23">
        <f>IF($C306&gt;0,INDEX(Merge_1_2!$I$2:$I$611,$C306),INDEX(Dataset3_Raw!$I$2:$I$391,$E306))</f>
        <v>1</v>
      </c>
      <c r="N306" s="25">
        <f>IF($C306&gt;0,INDEX(Merge_1_2!$J$2:$J$611,$C306),INDEX(Dataset3_Raw!$J$2:$J$391,$E306))</f>
        <v>0.1</v>
      </c>
      <c r="O306" s="25">
        <f>IF($C306&gt;0,IF(ISNUMBER(INDEX(Merge_1_2!$K$2:$K$611,$C306)),INDEX(Merge_1_2!$K$2:$K$611,$C306),""),INDEX(Dataset3_Raw!$K$2:$K$391,$E306))</f>
        <v>0.13639999999999999</v>
      </c>
      <c r="P306" s="25">
        <f>IF(ISNUMBER($O306),$O306,ROUND(Lookups!$B$25+Lookups!$B$24*$N306,4))</f>
        <v>0.13639999999999999</v>
      </c>
      <c r="Q306" s="25">
        <f>IF($C306&gt;0,INDEX(Merge_1_2!$L$2:$L$611,$C306),INDEX(Dataset3_Raw!$L$2:$L$391,$E306))</f>
        <v>0.54</v>
      </c>
      <c r="R306" s="25">
        <f>IF($C306&gt;0,INDEX(Merge_1_2!$M$2:$M$611,$C306),INDEX(Dataset3_Raw!$M$2:$M$391,$E306))</f>
        <v>0.1045</v>
      </c>
      <c r="S306" s="23">
        <f>IF($C306&gt;0,INDEX(Merge_1_2!$N$2:$N$611,$C306),INDEX(Dataset3_Raw!$N$2:$N$391,$E306))</f>
        <v>0</v>
      </c>
      <c r="T306" s="23">
        <f>IF($C306&gt;0,INDEX(Merge_1_2!$O$2:$O$611,$C306),INDEX(Dataset3_Raw!$O$2:$O$391,$E306))</f>
        <v>1</v>
      </c>
      <c r="U306" s="23">
        <f>IF($C306&gt;0,INDEX(Merge_1_2!$P$2:$P$611,$C306),INDEX(Dataset3_Raw!$P$2:$P$391,$E306))</f>
        <v>1</v>
      </c>
      <c r="V306" s="23" t="str">
        <f t="shared" si="25"/>
        <v>Weekday</v>
      </c>
      <c r="W306" s="23" t="str">
        <f>VLOOKUP($M306,Lookups!$A$5:$B$8,2,FALSE())</f>
        <v>Clear / Partly cloudy</v>
      </c>
      <c r="X306" s="23" t="str">
        <f>VLOOKUP($G306,Lookups!$D$5:$E$8,2,FALSE())</f>
        <v>Winter</v>
      </c>
      <c r="Y306" s="23" t="str">
        <f>VLOOKUP($L306,Lookups!$G$5:$H$11,2,FALSE())</f>
        <v>Friday</v>
      </c>
      <c r="Z306" s="23" t="str">
        <f>IF($J306&lt;Lookups!$B$26,"Night",IF($J306&lt;Lookups!$B$27,"Morning",IF($J306&lt;Lookups!$B$28,"Afternoon","Evening")))</f>
        <v>Night</v>
      </c>
      <c r="AA306" s="26">
        <f>ROUND($N306*(Lookups!$B$16-Lookups!$B$15)+Lookups!$B$15,1)</f>
        <v>-3.3</v>
      </c>
      <c r="AB306" s="26">
        <f>ROUND($P306*(Lookups!$B$18-Lookups!$B$17)+Lookups!$B$17,1)</f>
        <v>-7</v>
      </c>
      <c r="AC306" s="23">
        <f t="shared" si="26"/>
        <v>54</v>
      </c>
      <c r="AD306" s="23">
        <f>ROUND($R306*Lookups!$B$19,1)</f>
        <v>7</v>
      </c>
      <c r="AE306" s="27">
        <f t="shared" si="27"/>
        <v>1</v>
      </c>
      <c r="AF306" s="23" t="str">
        <f>IF($U306&gt;=Lookups!$B$23,"High",IF($U306&gt;=Lookups!$B$22,"Medium","Low"))</f>
        <v>Low</v>
      </c>
      <c r="AG306" s="23">
        <f>ROUND(IF($V306="Weekday",IF(INDEX(Hourly_Analysis!$D$5:$D$28,$J306+1)&gt;0,($U306-INDEX(Hourly_Analysis!$C$5:$C$28,$J306+1))/INDEX(Hourly_Analysis!$D$5:$D$28,$J306+1),0),IF(INDEX(Hourly_Analysis!$G$5:$G$28,$J306+1)&gt;0,($U306-INDEX(Hourly_Analysis!$F$5:$F$28,$J306+1))/INDEX(Hourly_Analysis!$G$5:$G$28,$J306+1),0)),2)</f>
        <v>-0.61</v>
      </c>
      <c r="AH306" s="23" t="str">
        <f>IF(ABS($AG306)&gt;Lookups!$B$20,IF($AG306&gt;0,"High anomaly","Low anomaly"),"")</f>
        <v/>
      </c>
      <c r="AI306" s="23" t="str">
        <f t="shared" si="28"/>
        <v>OK</v>
      </c>
      <c r="AJ306" s="23" t="str">
        <f t="shared" si="29"/>
        <v>No</v>
      </c>
    </row>
    <row r="307" spans="1:36" x14ac:dyDescent="0.35">
      <c r="A307" s="23">
        <v>306</v>
      </c>
      <c r="B307" s="23" t="str">
        <f t="shared" si="24"/>
        <v>Merge 1+2</v>
      </c>
      <c r="C307" s="23">
        <f>IFERROR(MATCH($A307,Merge_1_2!$A$2:$A$611,0),0)</f>
        <v>306</v>
      </c>
      <c r="D307" s="23">
        <f>IF($C307&gt;0,INDEX(Merge_1_2!$Q$2:$Q$611,$C307),0)</f>
        <v>306</v>
      </c>
      <c r="E307" s="23">
        <f>IFERROR(MATCH($A307,Dataset3_Raw!$A$2:$A$391,0),0)</f>
        <v>0</v>
      </c>
      <c r="F307" s="24">
        <f>IF($C307&gt;0,INDEX(Merge_1_2!$B$2:$B$611,$C307),DATE(VALUE(RIGHT(INDEX(Dataset3_Raw!$B$2:$B$391,$E307),4)),VALUE(MID(INDEX(Dataset3_Raw!$B$2:$B$391,$E307),4,2)),VALUE(LEFT(INDEX(Dataset3_Raw!$B$2:$B$391,$E307),2))))</f>
        <v>40557</v>
      </c>
      <c r="G307" s="23">
        <f>IF($C307&gt;0,INDEX(Merge_1_2!$C$2:$C$611,$C307),INDEX(Dataset3_Raw!$C$2:$C$391,$E307))</f>
        <v>1</v>
      </c>
      <c r="H307" s="23">
        <f>IF($C307&gt;0,INDEX(Merge_1_2!$D$2:$D$611,$C307),INDEX(Dataset3_Raw!$D$2:$D$391,$E307))</f>
        <v>0</v>
      </c>
      <c r="I307" s="23">
        <f>IF($C307&gt;0,INDEX(Merge_1_2!$E$2:$E$611,$C307),INDEX(Dataset3_Raw!$E$2:$E$391,$E307))</f>
        <v>1</v>
      </c>
      <c r="J307" s="23">
        <f>IF($C307&gt;0,INDEX(Merge_1_2!$F$2:$F$611,$C307),INDEX(Dataset3_Raw!$F$2:$F$391,$E307))</f>
        <v>5</v>
      </c>
      <c r="K307" s="23" t="b">
        <f>IF($C307&gt;0,INDEX(Merge_1_2!$G$2:$G$611,$C307),INDEX(Dataset3_Raw!$G$2:$G$391,$E307))</f>
        <v>0</v>
      </c>
      <c r="L307" s="23">
        <f>IF($C307&gt;0,INDEX(Merge_1_2!$H$2:$H$611,$C307),INDEX(Dataset3_Raw!$H$2:$H$391,$E307))</f>
        <v>5</v>
      </c>
      <c r="M307" s="23">
        <f>IF($C307&gt;0,INDEX(Merge_1_2!$I$2:$I$611,$C307),INDEX(Dataset3_Raw!$I$2:$I$391,$E307))</f>
        <v>1</v>
      </c>
      <c r="N307" s="25">
        <f>IF($C307&gt;0,INDEX(Merge_1_2!$J$2:$J$611,$C307),INDEX(Dataset3_Raw!$J$2:$J$391,$E307))</f>
        <v>0.1</v>
      </c>
      <c r="O307" s="25">
        <f>IF($C307&gt;0,IF(ISNUMBER(INDEX(Merge_1_2!$K$2:$K$611,$C307)),INDEX(Merge_1_2!$K$2:$K$611,$C307),""),INDEX(Dataset3_Raw!$K$2:$K$391,$E307))</f>
        <v>0.13639999999999999</v>
      </c>
      <c r="P307" s="25">
        <f>IF(ISNUMBER($O307),$O307,ROUND(Lookups!$B$25+Lookups!$B$24*$N307,4))</f>
        <v>0.13639999999999999</v>
      </c>
      <c r="Q307" s="25">
        <f>IF($C307&gt;0,INDEX(Merge_1_2!$L$2:$L$611,$C307),INDEX(Dataset3_Raw!$L$2:$L$391,$E307))</f>
        <v>0.54</v>
      </c>
      <c r="R307" s="25">
        <f>IF($C307&gt;0,INDEX(Merge_1_2!$M$2:$M$611,$C307),INDEX(Dataset3_Raw!$M$2:$M$391,$E307))</f>
        <v>8.9599999999999999E-2</v>
      </c>
      <c r="S307" s="23">
        <f>IF($C307&gt;0,INDEX(Merge_1_2!$N$2:$N$611,$C307),INDEX(Dataset3_Raw!$N$2:$N$391,$E307))</f>
        <v>0</v>
      </c>
      <c r="T307" s="23">
        <f>IF($C307&gt;0,INDEX(Merge_1_2!$O$2:$O$611,$C307),INDEX(Dataset3_Raw!$O$2:$O$391,$E307))</f>
        <v>8</v>
      </c>
      <c r="U307" s="23">
        <f>IF($C307&gt;0,INDEX(Merge_1_2!$P$2:$P$611,$C307),INDEX(Dataset3_Raw!$P$2:$P$391,$E307))</f>
        <v>8</v>
      </c>
      <c r="V307" s="23" t="str">
        <f t="shared" si="25"/>
        <v>Weekday</v>
      </c>
      <c r="W307" s="23" t="str">
        <f>VLOOKUP($M307,Lookups!$A$5:$B$8,2,FALSE())</f>
        <v>Clear / Partly cloudy</v>
      </c>
      <c r="X307" s="23" t="str">
        <f>VLOOKUP($G307,Lookups!$D$5:$E$8,2,FALSE())</f>
        <v>Winter</v>
      </c>
      <c r="Y307" s="23" t="str">
        <f>VLOOKUP($L307,Lookups!$G$5:$H$11,2,FALSE())</f>
        <v>Friday</v>
      </c>
      <c r="Z307" s="23" t="str">
        <f>IF($J307&lt;Lookups!$B$26,"Night",IF($J307&lt;Lookups!$B$27,"Morning",IF($J307&lt;Lookups!$B$28,"Afternoon","Evening")))</f>
        <v>Night</v>
      </c>
      <c r="AA307" s="26">
        <f>ROUND($N307*(Lookups!$B$16-Lookups!$B$15)+Lookups!$B$15,1)</f>
        <v>-3.3</v>
      </c>
      <c r="AB307" s="26">
        <f>ROUND($P307*(Lookups!$B$18-Lookups!$B$17)+Lookups!$B$17,1)</f>
        <v>-7</v>
      </c>
      <c r="AC307" s="23">
        <f t="shared" si="26"/>
        <v>54</v>
      </c>
      <c r="AD307" s="23">
        <f>ROUND($R307*Lookups!$B$19,1)</f>
        <v>6</v>
      </c>
      <c r="AE307" s="27">
        <f t="shared" si="27"/>
        <v>1</v>
      </c>
      <c r="AF307" s="23" t="str">
        <f>IF($U307&gt;=Lookups!$B$23,"High",IF($U307&gt;=Lookups!$B$22,"Medium","Low"))</f>
        <v>Low</v>
      </c>
      <c r="AG307" s="23">
        <f>ROUND(IF($V307="Weekday",IF(INDEX(Hourly_Analysis!$D$5:$D$28,$J307+1)&gt;0,($U307-INDEX(Hourly_Analysis!$C$5:$C$28,$J307+1))/INDEX(Hourly_Analysis!$D$5:$D$28,$J307+1),0),IF(INDEX(Hourly_Analysis!$G$5:$G$28,$J307+1)&gt;0,($U307-INDEX(Hourly_Analysis!$F$5:$F$28,$J307+1))/INDEX(Hourly_Analysis!$G$5:$G$28,$J307+1),0)),2)</f>
        <v>1.38</v>
      </c>
      <c r="AH307" s="23" t="str">
        <f>IF(ABS($AG307)&gt;Lookups!$B$20,IF($AG307&gt;0,"High anomaly","Low anomaly"),"")</f>
        <v/>
      </c>
      <c r="AI307" s="23" t="str">
        <f t="shared" si="28"/>
        <v>OK</v>
      </c>
      <c r="AJ307" s="23" t="str">
        <f t="shared" si="29"/>
        <v>No</v>
      </c>
    </row>
    <row r="308" spans="1:36" x14ac:dyDescent="0.35">
      <c r="A308" s="23">
        <v>307</v>
      </c>
      <c r="B308" s="23" t="str">
        <f t="shared" si="24"/>
        <v>Merge 1+2</v>
      </c>
      <c r="C308" s="23">
        <f>IFERROR(MATCH($A308,Merge_1_2!$A$2:$A$611,0),0)</f>
        <v>307</v>
      </c>
      <c r="D308" s="23">
        <f>IF($C308&gt;0,INDEX(Merge_1_2!$Q$2:$Q$611,$C308),0)</f>
        <v>307</v>
      </c>
      <c r="E308" s="23">
        <f>IFERROR(MATCH($A308,Dataset3_Raw!$A$2:$A$391,0),0)</f>
        <v>0</v>
      </c>
      <c r="F308" s="24">
        <f>IF($C308&gt;0,INDEX(Merge_1_2!$B$2:$B$611,$C308),DATE(VALUE(RIGHT(INDEX(Dataset3_Raw!$B$2:$B$391,$E308),4)),VALUE(MID(INDEX(Dataset3_Raw!$B$2:$B$391,$E308),4,2)),VALUE(LEFT(INDEX(Dataset3_Raw!$B$2:$B$391,$E308),2))))</f>
        <v>40557</v>
      </c>
      <c r="G308" s="23">
        <f>IF($C308&gt;0,INDEX(Merge_1_2!$C$2:$C$611,$C308),INDEX(Dataset3_Raw!$C$2:$C$391,$E308))</f>
        <v>1</v>
      </c>
      <c r="H308" s="23">
        <f>IF($C308&gt;0,INDEX(Merge_1_2!$D$2:$D$611,$C308),INDEX(Dataset3_Raw!$D$2:$D$391,$E308))</f>
        <v>0</v>
      </c>
      <c r="I308" s="23">
        <f>IF($C308&gt;0,INDEX(Merge_1_2!$E$2:$E$611,$C308),INDEX(Dataset3_Raw!$E$2:$E$391,$E308))</f>
        <v>1</v>
      </c>
      <c r="J308" s="23">
        <f>IF($C308&gt;0,INDEX(Merge_1_2!$F$2:$F$611,$C308),INDEX(Dataset3_Raw!$F$2:$F$391,$E308))</f>
        <v>6</v>
      </c>
      <c r="K308" s="23" t="b">
        <f>IF($C308&gt;0,INDEX(Merge_1_2!$G$2:$G$611,$C308),INDEX(Dataset3_Raw!$G$2:$G$391,$E308))</f>
        <v>0</v>
      </c>
      <c r="L308" s="23">
        <f>IF($C308&gt;0,INDEX(Merge_1_2!$H$2:$H$611,$C308),INDEX(Dataset3_Raw!$H$2:$H$391,$E308))</f>
        <v>5</v>
      </c>
      <c r="M308" s="23">
        <f>IF($C308&gt;0,INDEX(Merge_1_2!$I$2:$I$611,$C308),INDEX(Dataset3_Raw!$I$2:$I$391,$E308))</f>
        <v>1</v>
      </c>
      <c r="N308" s="25">
        <f>IF($C308&gt;0,INDEX(Merge_1_2!$J$2:$J$611,$C308),INDEX(Dataset3_Raw!$J$2:$J$391,$E308))</f>
        <v>0.1</v>
      </c>
      <c r="O308" s="25">
        <f>IF($C308&gt;0,IF(ISNUMBER(INDEX(Merge_1_2!$K$2:$K$611,$C308)),INDEX(Merge_1_2!$K$2:$K$611,$C308),""),INDEX(Dataset3_Raw!$K$2:$K$391,$E308))</f>
        <v>0.18179999999999999</v>
      </c>
      <c r="P308" s="25">
        <f>IF(ISNUMBER($O308),$O308,ROUND(Lookups!$B$25+Lookups!$B$24*$N308,4))</f>
        <v>0.18179999999999999</v>
      </c>
      <c r="Q308" s="25">
        <f>IF($C308&gt;0,INDEX(Merge_1_2!$L$2:$L$611,$C308),INDEX(Dataset3_Raw!$L$2:$L$391,$E308))</f>
        <v>0.54</v>
      </c>
      <c r="R308" s="25">
        <f>IF($C308&gt;0,INDEX(Merge_1_2!$M$2:$M$611,$C308),INDEX(Dataset3_Raw!$M$2:$M$391,$E308))</f>
        <v>0</v>
      </c>
      <c r="S308" s="23">
        <f>IF($C308&gt;0,INDEX(Merge_1_2!$N$2:$N$611,$C308),INDEX(Dataset3_Raw!$N$2:$N$391,$E308))</f>
        <v>0</v>
      </c>
      <c r="T308" s="23">
        <f>IF($C308&gt;0,INDEX(Merge_1_2!$O$2:$O$611,$C308),INDEX(Dataset3_Raw!$O$2:$O$391,$E308))</f>
        <v>17</v>
      </c>
      <c r="U308" s="23">
        <f>IF($C308&gt;0,INDEX(Merge_1_2!$P$2:$P$611,$C308),INDEX(Dataset3_Raw!$P$2:$P$391,$E308))</f>
        <v>17</v>
      </c>
      <c r="V308" s="23" t="str">
        <f t="shared" si="25"/>
        <v>Weekday</v>
      </c>
      <c r="W308" s="23" t="str">
        <f>VLOOKUP($M308,Lookups!$A$5:$B$8,2,FALSE())</f>
        <v>Clear / Partly cloudy</v>
      </c>
      <c r="X308" s="23" t="str">
        <f>VLOOKUP($G308,Lookups!$D$5:$E$8,2,FALSE())</f>
        <v>Winter</v>
      </c>
      <c r="Y308" s="23" t="str">
        <f>VLOOKUP($L308,Lookups!$G$5:$H$11,2,FALSE())</f>
        <v>Friday</v>
      </c>
      <c r="Z308" s="23" t="str">
        <f>IF($J308&lt;Lookups!$B$26,"Night",IF($J308&lt;Lookups!$B$27,"Morning",IF($J308&lt;Lookups!$B$28,"Afternoon","Evening")))</f>
        <v>Morning</v>
      </c>
      <c r="AA308" s="26">
        <f>ROUND($N308*(Lookups!$B$16-Lookups!$B$15)+Lookups!$B$15,1)</f>
        <v>-3.3</v>
      </c>
      <c r="AB308" s="26">
        <f>ROUND($P308*(Lookups!$B$18-Lookups!$B$17)+Lookups!$B$17,1)</f>
        <v>-4</v>
      </c>
      <c r="AC308" s="23">
        <f t="shared" si="26"/>
        <v>54</v>
      </c>
      <c r="AD308" s="23">
        <f>ROUND($R308*Lookups!$B$19,1)</f>
        <v>0</v>
      </c>
      <c r="AE308" s="27">
        <f t="shared" si="27"/>
        <v>1</v>
      </c>
      <c r="AF308" s="23" t="str">
        <f>IF($U308&gt;=Lookups!$B$23,"High",IF($U308&gt;=Lookups!$B$22,"Medium","Low"))</f>
        <v>Medium</v>
      </c>
      <c r="AG308" s="23">
        <f>ROUND(IF($V308="Weekday",IF(INDEX(Hourly_Analysis!$D$5:$D$28,$J308+1)&gt;0,($U308-INDEX(Hourly_Analysis!$C$5:$C$28,$J308+1))/INDEX(Hourly_Analysis!$D$5:$D$28,$J308+1),0),IF(INDEX(Hourly_Analysis!$G$5:$G$28,$J308+1)&gt;0,($U308-INDEX(Hourly_Analysis!$F$5:$F$28,$J308+1))/INDEX(Hourly_Analysis!$G$5:$G$28,$J308+1),0)),2)</f>
        <v>-1.29</v>
      </c>
      <c r="AH308" s="23" t="str">
        <f>IF(ABS($AG308)&gt;Lookups!$B$20,IF($AG308&gt;0,"High anomaly","Low anomaly"),"")</f>
        <v/>
      </c>
      <c r="AI308" s="23" t="str">
        <f t="shared" si="28"/>
        <v>OK</v>
      </c>
      <c r="AJ308" s="23" t="str">
        <f t="shared" si="29"/>
        <v>No</v>
      </c>
    </row>
    <row r="309" spans="1:36" x14ac:dyDescent="0.35">
      <c r="A309" s="23">
        <v>308</v>
      </c>
      <c r="B309" s="23" t="str">
        <f t="shared" si="24"/>
        <v>Merge 1+2</v>
      </c>
      <c r="C309" s="23">
        <f>IFERROR(MATCH($A309,Merge_1_2!$A$2:$A$611,0),0)</f>
        <v>308</v>
      </c>
      <c r="D309" s="23">
        <f>IF($C309&gt;0,INDEX(Merge_1_2!$Q$2:$Q$611,$C309),0)</f>
        <v>308</v>
      </c>
      <c r="E309" s="23">
        <f>IFERROR(MATCH($A309,Dataset3_Raw!$A$2:$A$391,0),0)</f>
        <v>0</v>
      </c>
      <c r="F309" s="24">
        <f>IF($C309&gt;0,INDEX(Merge_1_2!$B$2:$B$611,$C309),DATE(VALUE(RIGHT(INDEX(Dataset3_Raw!$B$2:$B$391,$E309),4)),VALUE(MID(INDEX(Dataset3_Raw!$B$2:$B$391,$E309),4,2)),VALUE(LEFT(INDEX(Dataset3_Raw!$B$2:$B$391,$E309),2))))</f>
        <v>40557</v>
      </c>
      <c r="G309" s="23">
        <f>IF($C309&gt;0,INDEX(Merge_1_2!$C$2:$C$611,$C309),INDEX(Dataset3_Raw!$C$2:$C$391,$E309))</f>
        <v>1</v>
      </c>
      <c r="H309" s="23">
        <f>IF($C309&gt;0,INDEX(Merge_1_2!$D$2:$D$611,$C309),INDEX(Dataset3_Raw!$D$2:$D$391,$E309))</f>
        <v>0</v>
      </c>
      <c r="I309" s="23">
        <f>IF($C309&gt;0,INDEX(Merge_1_2!$E$2:$E$611,$C309),INDEX(Dataset3_Raw!$E$2:$E$391,$E309))</f>
        <v>1</v>
      </c>
      <c r="J309" s="23">
        <f>IF($C309&gt;0,INDEX(Merge_1_2!$F$2:$F$611,$C309),INDEX(Dataset3_Raw!$F$2:$F$391,$E309))</f>
        <v>7</v>
      </c>
      <c r="K309" s="23" t="b">
        <f>IF($C309&gt;0,INDEX(Merge_1_2!$G$2:$G$611,$C309),INDEX(Dataset3_Raw!$G$2:$G$391,$E309))</f>
        <v>0</v>
      </c>
      <c r="L309" s="23">
        <f>IF($C309&gt;0,INDEX(Merge_1_2!$H$2:$H$611,$C309),INDEX(Dataset3_Raw!$H$2:$H$391,$E309))</f>
        <v>5</v>
      </c>
      <c r="M309" s="23">
        <f>IF($C309&gt;0,INDEX(Merge_1_2!$I$2:$I$611,$C309),INDEX(Dataset3_Raw!$I$2:$I$391,$E309))</f>
        <v>1</v>
      </c>
      <c r="N309" s="25">
        <f>IF($C309&gt;0,INDEX(Merge_1_2!$J$2:$J$611,$C309),INDEX(Dataset3_Raw!$J$2:$J$391,$E309))</f>
        <v>0.1</v>
      </c>
      <c r="O309" s="25">
        <f>IF($C309&gt;0,IF(ISNUMBER(INDEX(Merge_1_2!$K$2:$K$611,$C309)),INDEX(Merge_1_2!$K$2:$K$611,$C309),""),INDEX(Dataset3_Raw!$K$2:$K$391,$E309))</f>
        <v>0.1212</v>
      </c>
      <c r="P309" s="25">
        <f>IF(ISNUMBER($O309),$O309,ROUND(Lookups!$B$25+Lookups!$B$24*$N309,4))</f>
        <v>0.1212</v>
      </c>
      <c r="Q309" s="25">
        <f>IF($C309&gt;0,INDEX(Merge_1_2!$L$2:$L$611,$C309),INDEX(Dataset3_Raw!$L$2:$L$391,$E309))</f>
        <v>0.74</v>
      </c>
      <c r="R309" s="25">
        <f>IF($C309&gt;0,INDEX(Merge_1_2!$M$2:$M$611,$C309),INDEX(Dataset3_Raw!$M$2:$M$391,$E309))</f>
        <v>0.16420000000000001</v>
      </c>
      <c r="S309" s="23">
        <f>IF($C309&gt;0,INDEX(Merge_1_2!$N$2:$N$611,$C309),INDEX(Dataset3_Raw!$N$2:$N$391,$E309))</f>
        <v>0</v>
      </c>
      <c r="T309" s="23">
        <f>IF($C309&gt;0,INDEX(Merge_1_2!$O$2:$O$611,$C309),INDEX(Dataset3_Raw!$O$2:$O$391,$E309))</f>
        <v>70</v>
      </c>
      <c r="U309" s="23">
        <f>IF($C309&gt;0,INDEX(Merge_1_2!$P$2:$P$611,$C309),INDEX(Dataset3_Raw!$P$2:$P$391,$E309))</f>
        <v>70</v>
      </c>
      <c r="V309" s="23" t="str">
        <f t="shared" si="25"/>
        <v>Weekday</v>
      </c>
      <c r="W309" s="23" t="str">
        <f>VLOOKUP($M309,Lookups!$A$5:$B$8,2,FALSE())</f>
        <v>Clear / Partly cloudy</v>
      </c>
      <c r="X309" s="23" t="str">
        <f>VLOOKUP($G309,Lookups!$D$5:$E$8,2,FALSE())</f>
        <v>Winter</v>
      </c>
      <c r="Y309" s="23" t="str">
        <f>VLOOKUP($L309,Lookups!$G$5:$H$11,2,FALSE())</f>
        <v>Friday</v>
      </c>
      <c r="Z309" s="23" t="str">
        <f>IF($J309&lt;Lookups!$B$26,"Night",IF($J309&lt;Lookups!$B$27,"Morning",IF($J309&lt;Lookups!$B$28,"Afternoon","Evening")))</f>
        <v>Morning</v>
      </c>
      <c r="AA309" s="26">
        <f>ROUND($N309*(Lookups!$B$16-Lookups!$B$15)+Lookups!$B$15,1)</f>
        <v>-3.3</v>
      </c>
      <c r="AB309" s="26">
        <f>ROUND($P309*(Lookups!$B$18-Lookups!$B$17)+Lookups!$B$17,1)</f>
        <v>-8</v>
      </c>
      <c r="AC309" s="23">
        <f t="shared" si="26"/>
        <v>74</v>
      </c>
      <c r="AD309" s="23">
        <f>ROUND($R309*Lookups!$B$19,1)</f>
        <v>11</v>
      </c>
      <c r="AE309" s="27">
        <f t="shared" si="27"/>
        <v>1</v>
      </c>
      <c r="AF309" s="23" t="str">
        <f>IF($U309&gt;=Lookups!$B$23,"High",IF($U309&gt;=Lookups!$B$22,"Medium","Low"))</f>
        <v>Medium</v>
      </c>
      <c r="AG309" s="23">
        <f>ROUND(IF($V309="Weekday",IF(INDEX(Hourly_Analysis!$D$5:$D$28,$J309+1)&gt;0,($U309-INDEX(Hourly_Analysis!$C$5:$C$28,$J309+1))/INDEX(Hourly_Analysis!$D$5:$D$28,$J309+1),0),IF(INDEX(Hourly_Analysis!$G$5:$G$28,$J309+1)&gt;0,($U309-INDEX(Hourly_Analysis!$F$5:$F$28,$J309+1))/INDEX(Hourly_Analysis!$G$5:$G$28,$J309+1),0)),2)</f>
        <v>-0.54</v>
      </c>
      <c r="AH309" s="23" t="str">
        <f>IF(ABS($AG309)&gt;Lookups!$B$20,IF($AG309&gt;0,"High anomaly","Low anomaly"),"")</f>
        <v/>
      </c>
      <c r="AI309" s="23" t="str">
        <f t="shared" si="28"/>
        <v>OK</v>
      </c>
      <c r="AJ309" s="23" t="str">
        <f t="shared" si="29"/>
        <v>No</v>
      </c>
    </row>
    <row r="310" spans="1:36" x14ac:dyDescent="0.35">
      <c r="A310" s="23">
        <v>309</v>
      </c>
      <c r="B310" s="23" t="str">
        <f t="shared" si="24"/>
        <v>Merge 1+2</v>
      </c>
      <c r="C310" s="23">
        <f>IFERROR(MATCH($A310,Merge_1_2!$A$2:$A$611,0),0)</f>
        <v>309</v>
      </c>
      <c r="D310" s="23">
        <f>IF($C310&gt;0,INDEX(Merge_1_2!$Q$2:$Q$611,$C310),0)</f>
        <v>309</v>
      </c>
      <c r="E310" s="23">
        <f>IFERROR(MATCH($A310,Dataset3_Raw!$A$2:$A$391,0),0)</f>
        <v>0</v>
      </c>
      <c r="F310" s="24">
        <f>IF($C310&gt;0,INDEX(Merge_1_2!$B$2:$B$611,$C310),DATE(VALUE(RIGHT(INDEX(Dataset3_Raw!$B$2:$B$391,$E310),4)),VALUE(MID(INDEX(Dataset3_Raw!$B$2:$B$391,$E310),4,2)),VALUE(LEFT(INDEX(Dataset3_Raw!$B$2:$B$391,$E310),2))))</f>
        <v>40557</v>
      </c>
      <c r="G310" s="23">
        <f>IF($C310&gt;0,INDEX(Merge_1_2!$C$2:$C$611,$C310),INDEX(Dataset3_Raw!$C$2:$C$391,$E310))</f>
        <v>1</v>
      </c>
      <c r="H310" s="23">
        <f>IF($C310&gt;0,INDEX(Merge_1_2!$D$2:$D$611,$C310),INDEX(Dataset3_Raw!$D$2:$D$391,$E310))</f>
        <v>0</v>
      </c>
      <c r="I310" s="23">
        <f>IF($C310&gt;0,INDEX(Merge_1_2!$E$2:$E$611,$C310),INDEX(Dataset3_Raw!$E$2:$E$391,$E310))</f>
        <v>1</v>
      </c>
      <c r="J310" s="23">
        <f>IF($C310&gt;0,INDEX(Merge_1_2!$F$2:$F$611,$C310),INDEX(Dataset3_Raw!$F$2:$F$391,$E310))</f>
        <v>8</v>
      </c>
      <c r="K310" s="23" t="b">
        <f>IF($C310&gt;0,INDEX(Merge_1_2!$G$2:$G$611,$C310),INDEX(Dataset3_Raw!$G$2:$G$391,$E310))</f>
        <v>0</v>
      </c>
      <c r="L310" s="23">
        <f>IF($C310&gt;0,INDEX(Merge_1_2!$H$2:$H$611,$C310),INDEX(Dataset3_Raw!$H$2:$H$391,$E310))</f>
        <v>5</v>
      </c>
      <c r="M310" s="23">
        <f>IF($C310&gt;0,INDEX(Merge_1_2!$I$2:$I$611,$C310),INDEX(Dataset3_Raw!$I$2:$I$391,$E310))</f>
        <v>1</v>
      </c>
      <c r="N310" s="25">
        <f>IF($C310&gt;0,INDEX(Merge_1_2!$J$2:$J$611,$C310),INDEX(Dataset3_Raw!$J$2:$J$391,$E310))</f>
        <v>0.12</v>
      </c>
      <c r="O310" s="25">
        <f>IF($C310&gt;0,IF(ISNUMBER(INDEX(Merge_1_2!$K$2:$K$611,$C310)),INDEX(Merge_1_2!$K$2:$K$611,$C310),""),INDEX(Dataset3_Raw!$K$2:$K$391,$E310))</f>
        <v>0.16669999999999999</v>
      </c>
      <c r="P310" s="25">
        <f>IF(ISNUMBER($O310),$O310,ROUND(Lookups!$B$25+Lookups!$B$24*$N310,4))</f>
        <v>0.16669999999999999</v>
      </c>
      <c r="Q310" s="25">
        <f>IF($C310&gt;0,INDEX(Merge_1_2!$L$2:$L$611,$C310),INDEX(Dataset3_Raw!$L$2:$L$391,$E310))</f>
        <v>0.68</v>
      </c>
      <c r="R310" s="25">
        <f>IF($C310&gt;0,INDEX(Merge_1_2!$M$2:$M$611,$C310),INDEX(Dataset3_Raw!$M$2:$M$391,$E310))</f>
        <v>0</v>
      </c>
      <c r="S310" s="23">
        <f>IF($C310&gt;0,INDEX(Merge_1_2!$N$2:$N$611,$C310),INDEX(Dataset3_Raw!$N$2:$N$391,$E310))</f>
        <v>2</v>
      </c>
      <c r="T310" s="23">
        <f>IF($C310&gt;0,INDEX(Merge_1_2!$O$2:$O$611,$C310),INDEX(Dataset3_Raw!$O$2:$O$391,$E310))</f>
        <v>156</v>
      </c>
      <c r="U310" s="23">
        <f>IF($C310&gt;0,INDEX(Merge_1_2!$P$2:$P$611,$C310),INDEX(Dataset3_Raw!$P$2:$P$391,$E310))</f>
        <v>158</v>
      </c>
      <c r="V310" s="23" t="str">
        <f t="shared" si="25"/>
        <v>Weekday</v>
      </c>
      <c r="W310" s="23" t="str">
        <f>VLOOKUP($M310,Lookups!$A$5:$B$8,2,FALSE())</f>
        <v>Clear / Partly cloudy</v>
      </c>
      <c r="X310" s="23" t="str">
        <f>VLOOKUP($G310,Lookups!$D$5:$E$8,2,FALSE())</f>
        <v>Winter</v>
      </c>
      <c r="Y310" s="23" t="str">
        <f>VLOOKUP($L310,Lookups!$G$5:$H$11,2,FALSE())</f>
        <v>Friday</v>
      </c>
      <c r="Z310" s="23" t="str">
        <f>IF($J310&lt;Lookups!$B$26,"Night",IF($J310&lt;Lookups!$B$27,"Morning",IF($J310&lt;Lookups!$B$28,"Afternoon","Evening")))</f>
        <v>Morning</v>
      </c>
      <c r="AA310" s="26">
        <f>ROUND($N310*(Lookups!$B$16-Lookups!$B$15)+Lookups!$B$15,1)</f>
        <v>-2.4</v>
      </c>
      <c r="AB310" s="26">
        <f>ROUND($P310*(Lookups!$B$18-Lookups!$B$17)+Lookups!$B$17,1)</f>
        <v>-5</v>
      </c>
      <c r="AC310" s="23">
        <f t="shared" si="26"/>
        <v>68</v>
      </c>
      <c r="AD310" s="23">
        <f>ROUND($R310*Lookups!$B$19,1)</f>
        <v>0</v>
      </c>
      <c r="AE310" s="27">
        <f t="shared" si="27"/>
        <v>0.98734177215189878</v>
      </c>
      <c r="AF310" s="23" t="str">
        <f>IF($U310&gt;=Lookups!$B$23,"High",IF($U310&gt;=Lookups!$B$22,"Medium","Low"))</f>
        <v>High</v>
      </c>
      <c r="AG310" s="23">
        <f>ROUND(IF($V310="Weekday",IF(INDEX(Hourly_Analysis!$D$5:$D$28,$J310+1)&gt;0,($U310-INDEX(Hourly_Analysis!$C$5:$C$28,$J310+1))/INDEX(Hourly_Analysis!$D$5:$D$28,$J310+1),0),IF(INDEX(Hourly_Analysis!$G$5:$G$28,$J310+1)&gt;0,($U310-INDEX(Hourly_Analysis!$F$5:$F$28,$J310+1))/INDEX(Hourly_Analysis!$G$5:$G$28,$J310+1),0)),2)</f>
        <v>-0.79</v>
      </c>
      <c r="AH310" s="23" t="str">
        <f>IF(ABS($AG310)&gt;Lookups!$B$20,IF($AG310&gt;0,"High anomaly","Low anomaly"),"")</f>
        <v/>
      </c>
      <c r="AI310" s="23" t="str">
        <f t="shared" si="28"/>
        <v>OK</v>
      </c>
      <c r="AJ310" s="23" t="str">
        <f t="shared" si="29"/>
        <v>No</v>
      </c>
    </row>
    <row r="311" spans="1:36" x14ac:dyDescent="0.35">
      <c r="A311" s="23">
        <v>310</v>
      </c>
      <c r="B311" s="23" t="str">
        <f t="shared" si="24"/>
        <v>Merge 1+2</v>
      </c>
      <c r="C311" s="23">
        <f>IFERROR(MATCH($A311,Merge_1_2!$A$2:$A$611,0),0)</f>
        <v>310</v>
      </c>
      <c r="D311" s="23">
        <f>IF($C311&gt;0,INDEX(Merge_1_2!$Q$2:$Q$611,$C311),0)</f>
        <v>310</v>
      </c>
      <c r="E311" s="23">
        <f>IFERROR(MATCH($A311,Dataset3_Raw!$A$2:$A$391,0),0)</f>
        <v>0</v>
      </c>
      <c r="F311" s="24">
        <f>IF($C311&gt;0,INDEX(Merge_1_2!$B$2:$B$611,$C311),DATE(VALUE(RIGHT(INDEX(Dataset3_Raw!$B$2:$B$391,$E311),4)),VALUE(MID(INDEX(Dataset3_Raw!$B$2:$B$391,$E311),4,2)),VALUE(LEFT(INDEX(Dataset3_Raw!$B$2:$B$391,$E311),2))))</f>
        <v>40557</v>
      </c>
      <c r="G311" s="23">
        <f>IF($C311&gt;0,INDEX(Merge_1_2!$C$2:$C$611,$C311),INDEX(Dataset3_Raw!$C$2:$C$391,$E311))</f>
        <v>1</v>
      </c>
      <c r="H311" s="23">
        <f>IF($C311&gt;0,INDEX(Merge_1_2!$D$2:$D$611,$C311),INDEX(Dataset3_Raw!$D$2:$D$391,$E311))</f>
        <v>0</v>
      </c>
      <c r="I311" s="23">
        <f>IF($C311&gt;0,INDEX(Merge_1_2!$E$2:$E$611,$C311),INDEX(Dataset3_Raw!$E$2:$E$391,$E311))</f>
        <v>1</v>
      </c>
      <c r="J311" s="23">
        <f>IF($C311&gt;0,INDEX(Merge_1_2!$F$2:$F$611,$C311),INDEX(Dataset3_Raw!$F$2:$F$391,$E311))</f>
        <v>9</v>
      </c>
      <c r="K311" s="23" t="b">
        <f>IF($C311&gt;0,INDEX(Merge_1_2!$G$2:$G$611,$C311),INDEX(Dataset3_Raw!$G$2:$G$391,$E311))</f>
        <v>0</v>
      </c>
      <c r="L311" s="23">
        <f>IF($C311&gt;0,INDEX(Merge_1_2!$H$2:$H$611,$C311),INDEX(Dataset3_Raw!$H$2:$H$391,$E311))</f>
        <v>5</v>
      </c>
      <c r="M311" s="23">
        <f>IF($C311&gt;0,INDEX(Merge_1_2!$I$2:$I$611,$C311),INDEX(Dataset3_Raw!$I$2:$I$391,$E311))</f>
        <v>1</v>
      </c>
      <c r="N311" s="25">
        <f>IF($C311&gt;0,INDEX(Merge_1_2!$J$2:$J$611,$C311),INDEX(Dataset3_Raw!$J$2:$J$391,$E311))</f>
        <v>0.14000000000000001</v>
      </c>
      <c r="O311" s="25">
        <f>IF($C311&gt;0,IF(ISNUMBER(INDEX(Merge_1_2!$K$2:$K$611,$C311)),INDEX(Merge_1_2!$K$2:$K$611,$C311),""),INDEX(Dataset3_Raw!$K$2:$K$391,$E311))</f>
        <v>0.1515</v>
      </c>
      <c r="P311" s="25">
        <f>IF(ISNUMBER($O311),$O311,ROUND(Lookups!$B$25+Lookups!$B$24*$N311,4))</f>
        <v>0.1515</v>
      </c>
      <c r="Q311" s="25">
        <f>IF($C311&gt;0,INDEX(Merge_1_2!$L$2:$L$611,$C311),INDEX(Dataset3_Raw!$L$2:$L$391,$E311))</f>
        <v>0.69</v>
      </c>
      <c r="R311" s="25">
        <f>IF($C311&gt;0,INDEX(Merge_1_2!$M$2:$M$611,$C311),INDEX(Dataset3_Raw!$M$2:$M$391,$E311))</f>
        <v>0.1343</v>
      </c>
      <c r="S311" s="23">
        <f>IF($C311&gt;0,INDEX(Merge_1_2!$N$2:$N$611,$C311),INDEX(Dataset3_Raw!$N$2:$N$391,$E311))</f>
        <v>0</v>
      </c>
      <c r="T311" s="23">
        <f>IF($C311&gt;0,INDEX(Merge_1_2!$O$2:$O$611,$C311),INDEX(Dataset3_Raw!$O$2:$O$391,$E311))</f>
        <v>117</v>
      </c>
      <c r="U311" s="23">
        <f>IF($C311&gt;0,INDEX(Merge_1_2!$P$2:$P$611,$C311),INDEX(Dataset3_Raw!$P$2:$P$391,$E311))</f>
        <v>117</v>
      </c>
      <c r="V311" s="23" t="str">
        <f t="shared" si="25"/>
        <v>Weekday</v>
      </c>
      <c r="W311" s="23" t="str">
        <f>VLOOKUP($M311,Lookups!$A$5:$B$8,2,FALSE())</f>
        <v>Clear / Partly cloudy</v>
      </c>
      <c r="X311" s="23" t="str">
        <f>VLOOKUP($G311,Lookups!$D$5:$E$8,2,FALSE())</f>
        <v>Winter</v>
      </c>
      <c r="Y311" s="23" t="str">
        <f>VLOOKUP($L311,Lookups!$G$5:$H$11,2,FALSE())</f>
        <v>Friday</v>
      </c>
      <c r="Z311" s="23" t="str">
        <f>IF($J311&lt;Lookups!$B$26,"Night",IF($J311&lt;Lookups!$B$27,"Morning",IF($J311&lt;Lookups!$B$28,"Afternoon","Evening")))</f>
        <v>Morning</v>
      </c>
      <c r="AA311" s="26">
        <f>ROUND($N311*(Lookups!$B$16-Lookups!$B$15)+Lookups!$B$15,1)</f>
        <v>-1.4</v>
      </c>
      <c r="AB311" s="26">
        <f>ROUND($P311*(Lookups!$B$18-Lookups!$B$17)+Lookups!$B$17,1)</f>
        <v>-6</v>
      </c>
      <c r="AC311" s="23">
        <f t="shared" si="26"/>
        <v>69</v>
      </c>
      <c r="AD311" s="23">
        <f>ROUND($R311*Lookups!$B$19,1)</f>
        <v>9</v>
      </c>
      <c r="AE311" s="27">
        <f t="shared" si="27"/>
        <v>1</v>
      </c>
      <c r="AF311" s="23" t="str">
        <f>IF($U311&gt;=Lookups!$B$23,"High",IF($U311&gt;=Lookups!$B$22,"Medium","Low"))</f>
        <v>High</v>
      </c>
      <c r="AG311" s="23">
        <f>ROUND(IF($V311="Weekday",IF(INDEX(Hourly_Analysis!$D$5:$D$28,$J311+1)&gt;0,($U311-INDEX(Hourly_Analysis!$C$5:$C$28,$J311+1))/INDEX(Hourly_Analysis!$D$5:$D$28,$J311+1),0),IF(INDEX(Hourly_Analysis!$G$5:$G$28,$J311+1)&gt;0,($U311-INDEX(Hourly_Analysis!$F$5:$F$28,$J311+1))/INDEX(Hourly_Analysis!$G$5:$G$28,$J311+1),0)),2)</f>
        <v>-0.05</v>
      </c>
      <c r="AH311" s="23" t="str">
        <f>IF(ABS($AG311)&gt;Lookups!$B$20,IF($AG311&gt;0,"High anomaly","Low anomaly"),"")</f>
        <v/>
      </c>
      <c r="AI311" s="23" t="str">
        <f t="shared" si="28"/>
        <v>OK</v>
      </c>
      <c r="AJ311" s="23" t="str">
        <f t="shared" si="29"/>
        <v>No</v>
      </c>
    </row>
    <row r="312" spans="1:36" x14ac:dyDescent="0.35">
      <c r="A312" s="23">
        <v>311</v>
      </c>
      <c r="B312" s="23" t="str">
        <f t="shared" si="24"/>
        <v>Merge 1+2</v>
      </c>
      <c r="C312" s="23">
        <f>IFERROR(MATCH($A312,Merge_1_2!$A$2:$A$611,0),0)</f>
        <v>311</v>
      </c>
      <c r="D312" s="23">
        <f>IF($C312&gt;0,INDEX(Merge_1_2!$Q$2:$Q$611,$C312),0)</f>
        <v>311</v>
      </c>
      <c r="E312" s="23">
        <f>IFERROR(MATCH($A312,Dataset3_Raw!$A$2:$A$391,0),0)</f>
        <v>0</v>
      </c>
      <c r="F312" s="24">
        <f>IF($C312&gt;0,INDEX(Merge_1_2!$B$2:$B$611,$C312),DATE(VALUE(RIGHT(INDEX(Dataset3_Raw!$B$2:$B$391,$E312),4)),VALUE(MID(INDEX(Dataset3_Raw!$B$2:$B$391,$E312),4,2)),VALUE(LEFT(INDEX(Dataset3_Raw!$B$2:$B$391,$E312),2))))</f>
        <v>40557</v>
      </c>
      <c r="G312" s="23">
        <f>IF($C312&gt;0,INDEX(Merge_1_2!$C$2:$C$611,$C312),INDEX(Dataset3_Raw!$C$2:$C$391,$E312))</f>
        <v>1</v>
      </c>
      <c r="H312" s="23">
        <f>IF($C312&gt;0,INDEX(Merge_1_2!$D$2:$D$611,$C312),INDEX(Dataset3_Raw!$D$2:$D$391,$E312))</f>
        <v>0</v>
      </c>
      <c r="I312" s="23">
        <f>IF($C312&gt;0,INDEX(Merge_1_2!$E$2:$E$611,$C312),INDEX(Dataset3_Raw!$E$2:$E$391,$E312))</f>
        <v>1</v>
      </c>
      <c r="J312" s="23">
        <f>IF($C312&gt;0,INDEX(Merge_1_2!$F$2:$F$611,$C312),INDEX(Dataset3_Raw!$F$2:$F$391,$E312))</f>
        <v>10</v>
      </c>
      <c r="K312" s="23" t="b">
        <f>IF($C312&gt;0,INDEX(Merge_1_2!$G$2:$G$611,$C312),INDEX(Dataset3_Raw!$G$2:$G$391,$E312))</f>
        <v>0</v>
      </c>
      <c r="L312" s="23">
        <f>IF($C312&gt;0,INDEX(Merge_1_2!$H$2:$H$611,$C312),INDEX(Dataset3_Raw!$H$2:$H$391,$E312))</f>
        <v>5</v>
      </c>
      <c r="M312" s="23">
        <f>IF($C312&gt;0,INDEX(Merge_1_2!$I$2:$I$611,$C312),INDEX(Dataset3_Raw!$I$2:$I$391,$E312))</f>
        <v>1</v>
      </c>
      <c r="N312" s="25">
        <f>IF($C312&gt;0,INDEX(Merge_1_2!$J$2:$J$611,$C312),INDEX(Dataset3_Raw!$J$2:$J$391,$E312))</f>
        <v>0.18</v>
      </c>
      <c r="O312" s="25">
        <f>IF($C312&gt;0,IF(ISNUMBER(INDEX(Merge_1_2!$K$2:$K$611,$C312)),INDEX(Merge_1_2!$K$2:$K$611,$C312),""),INDEX(Dataset3_Raw!$K$2:$K$391,$E312))</f>
        <v>0.18179999999999999</v>
      </c>
      <c r="P312" s="25">
        <f>IF(ISNUMBER($O312),$O312,ROUND(Lookups!$B$25+Lookups!$B$24*$N312,4))</f>
        <v>0.18179999999999999</v>
      </c>
      <c r="Q312" s="25">
        <f>IF($C312&gt;0,INDEX(Merge_1_2!$L$2:$L$611,$C312),INDEX(Dataset3_Raw!$L$2:$L$391,$E312))</f>
        <v>0.55000000000000004</v>
      </c>
      <c r="R312" s="25">
        <f>IF($C312&gt;0,INDEX(Merge_1_2!$M$2:$M$611,$C312),INDEX(Dataset3_Raw!$M$2:$M$391,$E312))</f>
        <v>0.19400000000000001</v>
      </c>
      <c r="S312" s="23">
        <f>IF($C312&gt;0,INDEX(Merge_1_2!$N$2:$N$611,$C312),INDEX(Dataset3_Raw!$N$2:$N$391,$E312))</f>
        <v>4</v>
      </c>
      <c r="T312" s="23">
        <f>IF($C312&gt;0,INDEX(Merge_1_2!$O$2:$O$611,$C312),INDEX(Dataset3_Raw!$O$2:$O$391,$E312))</f>
        <v>40</v>
      </c>
      <c r="U312" s="23">
        <f>IF($C312&gt;0,INDEX(Merge_1_2!$P$2:$P$611,$C312),INDEX(Dataset3_Raw!$P$2:$P$391,$E312))</f>
        <v>44</v>
      </c>
      <c r="V312" s="23" t="str">
        <f t="shared" si="25"/>
        <v>Weekday</v>
      </c>
      <c r="W312" s="23" t="str">
        <f>VLOOKUP($M312,Lookups!$A$5:$B$8,2,FALSE())</f>
        <v>Clear / Partly cloudy</v>
      </c>
      <c r="X312" s="23" t="str">
        <f>VLOOKUP($G312,Lookups!$D$5:$E$8,2,FALSE())</f>
        <v>Winter</v>
      </c>
      <c r="Y312" s="23" t="str">
        <f>VLOOKUP($L312,Lookups!$G$5:$H$11,2,FALSE())</f>
        <v>Friday</v>
      </c>
      <c r="Z312" s="23" t="str">
        <f>IF($J312&lt;Lookups!$B$26,"Night",IF($J312&lt;Lookups!$B$27,"Morning",IF($J312&lt;Lookups!$B$28,"Afternoon","Evening")))</f>
        <v>Morning</v>
      </c>
      <c r="AA312" s="26">
        <f>ROUND($N312*(Lookups!$B$16-Lookups!$B$15)+Lookups!$B$15,1)</f>
        <v>0.5</v>
      </c>
      <c r="AB312" s="26">
        <f>ROUND($P312*(Lookups!$B$18-Lookups!$B$17)+Lookups!$B$17,1)</f>
        <v>-4</v>
      </c>
      <c r="AC312" s="23">
        <f t="shared" si="26"/>
        <v>55</v>
      </c>
      <c r="AD312" s="23">
        <f>ROUND($R312*Lookups!$B$19,1)</f>
        <v>13</v>
      </c>
      <c r="AE312" s="27">
        <f t="shared" si="27"/>
        <v>0.90909090909090906</v>
      </c>
      <c r="AF312" s="23" t="str">
        <f>IF($U312&gt;=Lookups!$B$23,"High",IF($U312&gt;=Lookups!$B$22,"Medium","Low"))</f>
        <v>Medium</v>
      </c>
      <c r="AG312" s="23">
        <f>ROUND(IF($V312="Weekday",IF(INDEX(Hourly_Analysis!$D$5:$D$28,$J312+1)&gt;0,($U312-INDEX(Hourly_Analysis!$C$5:$C$28,$J312+1))/INDEX(Hourly_Analysis!$D$5:$D$28,$J312+1),0),IF(INDEX(Hourly_Analysis!$G$5:$G$28,$J312+1)&gt;0,($U312-INDEX(Hourly_Analysis!$F$5:$F$28,$J312+1))/INDEX(Hourly_Analysis!$G$5:$G$28,$J312+1),0)),2)</f>
        <v>-0.47</v>
      </c>
      <c r="AH312" s="23" t="str">
        <f>IF(ABS($AG312)&gt;Lookups!$B$20,IF($AG312&gt;0,"High anomaly","Low anomaly"),"")</f>
        <v/>
      </c>
      <c r="AI312" s="23" t="str">
        <f t="shared" si="28"/>
        <v>OK</v>
      </c>
      <c r="AJ312" s="23" t="str">
        <f t="shared" si="29"/>
        <v>No</v>
      </c>
    </row>
    <row r="313" spans="1:36" x14ac:dyDescent="0.35">
      <c r="A313" s="23">
        <v>312</v>
      </c>
      <c r="B313" s="23" t="str">
        <f t="shared" si="24"/>
        <v>Merge 1+2</v>
      </c>
      <c r="C313" s="23">
        <f>IFERROR(MATCH($A313,Merge_1_2!$A$2:$A$611,0),0)</f>
        <v>312</v>
      </c>
      <c r="D313" s="23">
        <f>IF($C313&gt;0,INDEX(Merge_1_2!$Q$2:$Q$611,$C313),0)</f>
        <v>312</v>
      </c>
      <c r="E313" s="23">
        <f>IFERROR(MATCH($A313,Dataset3_Raw!$A$2:$A$391,0),0)</f>
        <v>0</v>
      </c>
      <c r="F313" s="24">
        <f>IF($C313&gt;0,INDEX(Merge_1_2!$B$2:$B$611,$C313),DATE(VALUE(RIGHT(INDEX(Dataset3_Raw!$B$2:$B$391,$E313),4)),VALUE(MID(INDEX(Dataset3_Raw!$B$2:$B$391,$E313),4,2)),VALUE(LEFT(INDEX(Dataset3_Raw!$B$2:$B$391,$E313),2))))</f>
        <v>40557</v>
      </c>
      <c r="G313" s="23">
        <f>IF($C313&gt;0,INDEX(Merge_1_2!$C$2:$C$611,$C313),INDEX(Dataset3_Raw!$C$2:$C$391,$E313))</f>
        <v>1</v>
      </c>
      <c r="H313" s="23">
        <f>IF($C313&gt;0,INDEX(Merge_1_2!$D$2:$D$611,$C313),INDEX(Dataset3_Raw!$D$2:$D$391,$E313))</f>
        <v>0</v>
      </c>
      <c r="I313" s="23">
        <f>IF($C313&gt;0,INDEX(Merge_1_2!$E$2:$E$611,$C313),INDEX(Dataset3_Raw!$E$2:$E$391,$E313))</f>
        <v>1</v>
      </c>
      <c r="J313" s="23">
        <f>IF($C313&gt;0,INDEX(Merge_1_2!$F$2:$F$611,$C313),INDEX(Dataset3_Raw!$F$2:$F$391,$E313))</f>
        <v>11</v>
      </c>
      <c r="K313" s="23" t="b">
        <f>IF($C313&gt;0,INDEX(Merge_1_2!$G$2:$G$611,$C313),INDEX(Dataset3_Raw!$G$2:$G$391,$E313))</f>
        <v>0</v>
      </c>
      <c r="L313" s="23">
        <f>IF($C313&gt;0,INDEX(Merge_1_2!$H$2:$H$611,$C313),INDEX(Dataset3_Raw!$H$2:$H$391,$E313))</f>
        <v>5</v>
      </c>
      <c r="M313" s="23">
        <f>IF($C313&gt;0,INDEX(Merge_1_2!$I$2:$I$611,$C313),INDEX(Dataset3_Raw!$I$2:$I$391,$E313))</f>
        <v>1</v>
      </c>
      <c r="N313" s="25">
        <f>IF($C313&gt;0,INDEX(Merge_1_2!$J$2:$J$611,$C313),INDEX(Dataset3_Raw!$J$2:$J$391,$E313))</f>
        <v>0.18</v>
      </c>
      <c r="O313" s="25">
        <f>IF($C313&gt;0,IF(ISNUMBER(INDEX(Merge_1_2!$K$2:$K$611,$C313)),INDEX(Merge_1_2!$K$2:$K$611,$C313),""),INDEX(Dataset3_Raw!$K$2:$K$391,$E313))</f>
        <v>0.16669999999999999</v>
      </c>
      <c r="P313" s="25">
        <f>IF(ISNUMBER($O313),$O313,ROUND(Lookups!$B$25+Lookups!$B$24*$N313,4))</f>
        <v>0.16669999999999999</v>
      </c>
      <c r="Q313" s="25">
        <f>IF($C313&gt;0,INDEX(Merge_1_2!$L$2:$L$611,$C313),INDEX(Dataset3_Raw!$L$2:$L$391,$E313))</f>
        <v>0.51</v>
      </c>
      <c r="R313" s="25">
        <f>IF($C313&gt;0,INDEX(Merge_1_2!$M$2:$M$611,$C313),INDEX(Dataset3_Raw!$M$2:$M$391,$E313))</f>
        <v>0.28360000000000002</v>
      </c>
      <c r="S313" s="23">
        <f>IF($C313&gt;0,INDEX(Merge_1_2!$N$2:$N$611,$C313),INDEX(Dataset3_Raw!$N$2:$N$391,$E313))</f>
        <v>6</v>
      </c>
      <c r="T313" s="23">
        <f>IF($C313&gt;0,INDEX(Merge_1_2!$O$2:$O$611,$C313),INDEX(Dataset3_Raw!$O$2:$O$391,$E313))</f>
        <v>47</v>
      </c>
      <c r="U313" s="23">
        <f>IF($C313&gt;0,INDEX(Merge_1_2!$P$2:$P$611,$C313),INDEX(Dataset3_Raw!$P$2:$P$391,$E313))</f>
        <v>53</v>
      </c>
      <c r="V313" s="23" t="str">
        <f t="shared" si="25"/>
        <v>Weekday</v>
      </c>
      <c r="W313" s="23" t="str">
        <f>VLOOKUP($M313,Lookups!$A$5:$B$8,2,FALSE())</f>
        <v>Clear / Partly cloudy</v>
      </c>
      <c r="X313" s="23" t="str">
        <f>VLOOKUP($G313,Lookups!$D$5:$E$8,2,FALSE())</f>
        <v>Winter</v>
      </c>
      <c r="Y313" s="23" t="str">
        <f>VLOOKUP($L313,Lookups!$G$5:$H$11,2,FALSE())</f>
        <v>Friday</v>
      </c>
      <c r="Z313" s="23" t="str">
        <f>IF($J313&lt;Lookups!$B$26,"Night",IF($J313&lt;Lookups!$B$27,"Morning",IF($J313&lt;Lookups!$B$28,"Afternoon","Evening")))</f>
        <v>Morning</v>
      </c>
      <c r="AA313" s="26">
        <f>ROUND($N313*(Lookups!$B$16-Lookups!$B$15)+Lookups!$B$15,1)</f>
        <v>0.5</v>
      </c>
      <c r="AB313" s="26">
        <f>ROUND($P313*(Lookups!$B$18-Lookups!$B$17)+Lookups!$B$17,1)</f>
        <v>-5</v>
      </c>
      <c r="AC313" s="23">
        <f t="shared" si="26"/>
        <v>51</v>
      </c>
      <c r="AD313" s="23">
        <f>ROUND($R313*Lookups!$B$19,1)</f>
        <v>19</v>
      </c>
      <c r="AE313" s="27">
        <f t="shared" si="27"/>
        <v>0.8867924528301887</v>
      </c>
      <c r="AF313" s="23" t="str">
        <f>IF($U313&gt;=Lookups!$B$23,"High",IF($U313&gt;=Lookups!$B$22,"Medium","Low"))</f>
        <v>Medium</v>
      </c>
      <c r="AG313" s="23">
        <f>ROUND(IF($V313="Weekday",IF(INDEX(Hourly_Analysis!$D$5:$D$28,$J313+1)&gt;0,($U313-INDEX(Hourly_Analysis!$C$5:$C$28,$J313+1))/INDEX(Hourly_Analysis!$D$5:$D$28,$J313+1),0),IF(INDEX(Hourly_Analysis!$G$5:$G$28,$J313+1)&gt;0,($U313-INDEX(Hourly_Analysis!$F$5:$F$28,$J313+1))/INDEX(Hourly_Analysis!$G$5:$G$28,$J313+1),0)),2)</f>
        <v>0.26</v>
      </c>
      <c r="AH313" s="23" t="str">
        <f>IF(ABS($AG313)&gt;Lookups!$B$20,IF($AG313&gt;0,"High anomaly","Low anomaly"),"")</f>
        <v/>
      </c>
      <c r="AI313" s="23" t="str">
        <f t="shared" si="28"/>
        <v>OK</v>
      </c>
      <c r="AJ313" s="23" t="str">
        <f t="shared" si="29"/>
        <v>No</v>
      </c>
    </row>
    <row r="314" spans="1:36" x14ac:dyDescent="0.35">
      <c r="A314" s="23">
        <v>313</v>
      </c>
      <c r="B314" s="23" t="str">
        <f t="shared" si="24"/>
        <v>Merge 1+2</v>
      </c>
      <c r="C314" s="23">
        <f>IFERROR(MATCH($A314,Merge_1_2!$A$2:$A$611,0),0)</f>
        <v>313</v>
      </c>
      <c r="D314" s="23">
        <f>IF($C314&gt;0,INDEX(Merge_1_2!$Q$2:$Q$611,$C314),0)</f>
        <v>313</v>
      </c>
      <c r="E314" s="23">
        <f>IFERROR(MATCH($A314,Dataset3_Raw!$A$2:$A$391,0),0)</f>
        <v>0</v>
      </c>
      <c r="F314" s="24">
        <f>IF($C314&gt;0,INDEX(Merge_1_2!$B$2:$B$611,$C314),DATE(VALUE(RIGHT(INDEX(Dataset3_Raw!$B$2:$B$391,$E314),4)),VALUE(MID(INDEX(Dataset3_Raw!$B$2:$B$391,$E314),4,2)),VALUE(LEFT(INDEX(Dataset3_Raw!$B$2:$B$391,$E314),2))))</f>
        <v>40557</v>
      </c>
      <c r="G314" s="23">
        <f>IF($C314&gt;0,INDEX(Merge_1_2!$C$2:$C$611,$C314),INDEX(Dataset3_Raw!$C$2:$C$391,$E314))</f>
        <v>1</v>
      </c>
      <c r="H314" s="23">
        <f>IF($C314&gt;0,INDEX(Merge_1_2!$D$2:$D$611,$C314),INDEX(Dataset3_Raw!$D$2:$D$391,$E314))</f>
        <v>0</v>
      </c>
      <c r="I314" s="23">
        <f>IF($C314&gt;0,INDEX(Merge_1_2!$E$2:$E$611,$C314),INDEX(Dataset3_Raw!$E$2:$E$391,$E314))</f>
        <v>1</v>
      </c>
      <c r="J314" s="23">
        <f>IF($C314&gt;0,INDEX(Merge_1_2!$F$2:$F$611,$C314),INDEX(Dataset3_Raw!$F$2:$F$391,$E314))</f>
        <v>12</v>
      </c>
      <c r="K314" s="23" t="b">
        <f>IF($C314&gt;0,INDEX(Merge_1_2!$G$2:$G$611,$C314),INDEX(Dataset3_Raw!$G$2:$G$391,$E314))</f>
        <v>0</v>
      </c>
      <c r="L314" s="23">
        <f>IF($C314&gt;0,INDEX(Merge_1_2!$H$2:$H$611,$C314),INDEX(Dataset3_Raw!$H$2:$H$391,$E314))</f>
        <v>5</v>
      </c>
      <c r="M314" s="23">
        <f>IF($C314&gt;0,INDEX(Merge_1_2!$I$2:$I$611,$C314),INDEX(Dataset3_Raw!$I$2:$I$391,$E314))</f>
        <v>1</v>
      </c>
      <c r="N314" s="25">
        <f>IF($C314&gt;0,INDEX(Merge_1_2!$J$2:$J$611,$C314),INDEX(Dataset3_Raw!$J$2:$J$391,$E314))</f>
        <v>0.2</v>
      </c>
      <c r="O314" s="25">
        <f>IF($C314&gt;0,IF(ISNUMBER(INDEX(Merge_1_2!$K$2:$K$611,$C314)),INDEX(Merge_1_2!$K$2:$K$611,$C314),""),INDEX(Dataset3_Raw!$K$2:$K$391,$E314))</f>
        <v>0.19700000000000001</v>
      </c>
      <c r="P314" s="25">
        <f>IF(ISNUMBER($O314),$O314,ROUND(Lookups!$B$25+Lookups!$B$24*$N314,4))</f>
        <v>0.19700000000000001</v>
      </c>
      <c r="Q314" s="25">
        <f>IF($C314&gt;0,INDEX(Merge_1_2!$L$2:$L$611,$C314),INDEX(Dataset3_Raw!$L$2:$L$391,$E314))</f>
        <v>0.44</v>
      </c>
      <c r="R314" s="25">
        <f>IF($C314&gt;0,INDEX(Merge_1_2!$M$2:$M$611,$C314),INDEX(Dataset3_Raw!$M$2:$M$391,$E314))</f>
        <v>0.25369999999999998</v>
      </c>
      <c r="S314" s="23">
        <f>IF($C314&gt;0,INDEX(Merge_1_2!$N$2:$N$611,$C314),INDEX(Dataset3_Raw!$N$2:$N$391,$E314))</f>
        <v>2</v>
      </c>
      <c r="T314" s="23">
        <f>IF($C314&gt;0,INDEX(Merge_1_2!$O$2:$O$611,$C314),INDEX(Dataset3_Raw!$O$2:$O$391,$E314))</f>
        <v>59</v>
      </c>
      <c r="U314" s="23">
        <f>IF($C314&gt;0,INDEX(Merge_1_2!$P$2:$P$611,$C314),INDEX(Dataset3_Raw!$P$2:$P$391,$E314))</f>
        <v>61</v>
      </c>
      <c r="V314" s="23" t="str">
        <f t="shared" si="25"/>
        <v>Weekday</v>
      </c>
      <c r="W314" s="23" t="str">
        <f>VLOOKUP($M314,Lookups!$A$5:$B$8,2,FALSE())</f>
        <v>Clear / Partly cloudy</v>
      </c>
      <c r="X314" s="23" t="str">
        <f>VLOOKUP($G314,Lookups!$D$5:$E$8,2,FALSE())</f>
        <v>Winter</v>
      </c>
      <c r="Y314" s="23" t="str">
        <f>VLOOKUP($L314,Lookups!$G$5:$H$11,2,FALSE())</f>
        <v>Friday</v>
      </c>
      <c r="Z314" s="23" t="str">
        <f>IF($J314&lt;Lookups!$B$26,"Night",IF($J314&lt;Lookups!$B$27,"Morning",IF($J314&lt;Lookups!$B$28,"Afternoon","Evening")))</f>
        <v>Afternoon</v>
      </c>
      <c r="AA314" s="26">
        <f>ROUND($N314*(Lookups!$B$16-Lookups!$B$15)+Lookups!$B$15,1)</f>
        <v>1.4</v>
      </c>
      <c r="AB314" s="26">
        <f>ROUND($P314*(Lookups!$B$18-Lookups!$B$17)+Lookups!$B$17,1)</f>
        <v>-3</v>
      </c>
      <c r="AC314" s="23">
        <f t="shared" si="26"/>
        <v>44</v>
      </c>
      <c r="AD314" s="23">
        <f>ROUND($R314*Lookups!$B$19,1)</f>
        <v>17</v>
      </c>
      <c r="AE314" s="27">
        <f t="shared" si="27"/>
        <v>0.96721311475409832</v>
      </c>
      <c r="AF314" s="23" t="str">
        <f>IF($U314&gt;=Lookups!$B$23,"High",IF($U314&gt;=Lookups!$B$22,"Medium","Low"))</f>
        <v>Medium</v>
      </c>
      <c r="AG314" s="23">
        <f>ROUND(IF($V314="Weekday",IF(INDEX(Hourly_Analysis!$D$5:$D$28,$J314+1)&gt;0,($U314-INDEX(Hourly_Analysis!$C$5:$C$28,$J314+1))/INDEX(Hourly_Analysis!$D$5:$D$28,$J314+1),0),IF(INDEX(Hourly_Analysis!$G$5:$G$28,$J314+1)&gt;0,($U314-INDEX(Hourly_Analysis!$F$5:$F$28,$J314+1))/INDEX(Hourly_Analysis!$G$5:$G$28,$J314+1),0)),2)</f>
        <v>-0.16</v>
      </c>
      <c r="AH314" s="23" t="str">
        <f>IF(ABS($AG314)&gt;Lookups!$B$20,IF($AG314&gt;0,"High anomaly","Low anomaly"),"")</f>
        <v/>
      </c>
      <c r="AI314" s="23" t="str">
        <f t="shared" si="28"/>
        <v>OK</v>
      </c>
      <c r="AJ314" s="23" t="str">
        <f t="shared" si="29"/>
        <v>No</v>
      </c>
    </row>
    <row r="315" spans="1:36" x14ac:dyDescent="0.35">
      <c r="A315" s="23">
        <v>314</v>
      </c>
      <c r="B315" s="23" t="str">
        <f t="shared" si="24"/>
        <v>Merge 1+2</v>
      </c>
      <c r="C315" s="23">
        <f>IFERROR(MATCH($A315,Merge_1_2!$A$2:$A$611,0),0)</f>
        <v>314</v>
      </c>
      <c r="D315" s="23">
        <f>IF($C315&gt;0,INDEX(Merge_1_2!$Q$2:$Q$611,$C315),0)</f>
        <v>314</v>
      </c>
      <c r="E315" s="23">
        <f>IFERROR(MATCH($A315,Dataset3_Raw!$A$2:$A$391,0),0)</f>
        <v>0</v>
      </c>
      <c r="F315" s="24">
        <f>IF($C315&gt;0,INDEX(Merge_1_2!$B$2:$B$611,$C315),DATE(VALUE(RIGHT(INDEX(Dataset3_Raw!$B$2:$B$391,$E315),4)),VALUE(MID(INDEX(Dataset3_Raw!$B$2:$B$391,$E315),4,2)),VALUE(LEFT(INDEX(Dataset3_Raw!$B$2:$B$391,$E315),2))))</f>
        <v>40557</v>
      </c>
      <c r="G315" s="23">
        <f>IF($C315&gt;0,INDEX(Merge_1_2!$C$2:$C$611,$C315),INDEX(Dataset3_Raw!$C$2:$C$391,$E315))</f>
        <v>1</v>
      </c>
      <c r="H315" s="23">
        <f>IF($C315&gt;0,INDEX(Merge_1_2!$D$2:$D$611,$C315),INDEX(Dataset3_Raw!$D$2:$D$391,$E315))</f>
        <v>0</v>
      </c>
      <c r="I315" s="23">
        <f>IF($C315&gt;0,INDEX(Merge_1_2!$E$2:$E$611,$C315),INDEX(Dataset3_Raw!$E$2:$E$391,$E315))</f>
        <v>1</v>
      </c>
      <c r="J315" s="23">
        <f>IF($C315&gt;0,INDEX(Merge_1_2!$F$2:$F$611,$C315),INDEX(Dataset3_Raw!$F$2:$F$391,$E315))</f>
        <v>13</v>
      </c>
      <c r="K315" s="23" t="b">
        <f>IF($C315&gt;0,INDEX(Merge_1_2!$G$2:$G$611,$C315),INDEX(Dataset3_Raw!$G$2:$G$391,$E315))</f>
        <v>0</v>
      </c>
      <c r="L315" s="23">
        <f>IF($C315&gt;0,INDEX(Merge_1_2!$H$2:$H$611,$C315),INDEX(Dataset3_Raw!$H$2:$H$391,$E315))</f>
        <v>5</v>
      </c>
      <c r="M315" s="23">
        <f>IF($C315&gt;0,INDEX(Merge_1_2!$I$2:$I$611,$C315),INDEX(Dataset3_Raw!$I$2:$I$391,$E315))</f>
        <v>1</v>
      </c>
      <c r="N315" s="25">
        <f>IF($C315&gt;0,INDEX(Merge_1_2!$J$2:$J$611,$C315),INDEX(Dataset3_Raw!$J$2:$J$391,$E315))</f>
        <v>0.22</v>
      </c>
      <c r="O315" s="25">
        <f>IF($C315&gt;0,IF(ISNUMBER(INDEX(Merge_1_2!$K$2:$K$611,$C315)),INDEX(Merge_1_2!$K$2:$K$611,$C315),""),INDEX(Dataset3_Raw!$K$2:$K$391,$E315))</f>
        <v>0.19700000000000001</v>
      </c>
      <c r="P315" s="25">
        <f>IF(ISNUMBER($O315),$O315,ROUND(Lookups!$B$25+Lookups!$B$24*$N315,4))</f>
        <v>0.19700000000000001</v>
      </c>
      <c r="Q315" s="25">
        <f>IF($C315&gt;0,INDEX(Merge_1_2!$L$2:$L$611,$C315),INDEX(Dataset3_Raw!$L$2:$L$391,$E315))</f>
        <v>0.37</v>
      </c>
      <c r="R315" s="25">
        <f>IF($C315&gt;0,INDEX(Merge_1_2!$M$2:$M$611,$C315),INDEX(Dataset3_Raw!$M$2:$M$391,$E315))</f>
        <v>0.3881</v>
      </c>
      <c r="S315" s="23">
        <f>IF($C315&gt;0,INDEX(Merge_1_2!$N$2:$N$611,$C315),INDEX(Dataset3_Raw!$N$2:$N$391,$E315))</f>
        <v>4</v>
      </c>
      <c r="T315" s="23">
        <f>IF($C315&gt;0,INDEX(Merge_1_2!$O$2:$O$611,$C315),INDEX(Dataset3_Raw!$O$2:$O$391,$E315))</f>
        <v>73</v>
      </c>
      <c r="U315" s="23">
        <f>IF($C315&gt;0,INDEX(Merge_1_2!$P$2:$P$611,$C315),INDEX(Dataset3_Raw!$P$2:$P$391,$E315))</f>
        <v>77</v>
      </c>
      <c r="V315" s="23" t="str">
        <f t="shared" si="25"/>
        <v>Weekday</v>
      </c>
      <c r="W315" s="23" t="str">
        <f>VLOOKUP($M315,Lookups!$A$5:$B$8,2,FALSE())</f>
        <v>Clear / Partly cloudy</v>
      </c>
      <c r="X315" s="23" t="str">
        <f>VLOOKUP($G315,Lookups!$D$5:$E$8,2,FALSE())</f>
        <v>Winter</v>
      </c>
      <c r="Y315" s="23" t="str">
        <f>VLOOKUP($L315,Lookups!$G$5:$H$11,2,FALSE())</f>
        <v>Friday</v>
      </c>
      <c r="Z315" s="23" t="str">
        <f>IF($J315&lt;Lookups!$B$26,"Night",IF($J315&lt;Lookups!$B$27,"Morning",IF($J315&lt;Lookups!$B$28,"Afternoon","Evening")))</f>
        <v>Afternoon</v>
      </c>
      <c r="AA315" s="26">
        <f>ROUND($N315*(Lookups!$B$16-Lookups!$B$15)+Lookups!$B$15,1)</f>
        <v>2.2999999999999998</v>
      </c>
      <c r="AB315" s="26">
        <f>ROUND($P315*(Lookups!$B$18-Lookups!$B$17)+Lookups!$B$17,1)</f>
        <v>-3</v>
      </c>
      <c r="AC315" s="23">
        <f t="shared" si="26"/>
        <v>37</v>
      </c>
      <c r="AD315" s="23">
        <f>ROUND($R315*Lookups!$B$19,1)</f>
        <v>26</v>
      </c>
      <c r="AE315" s="27">
        <f t="shared" si="27"/>
        <v>0.94805194805194803</v>
      </c>
      <c r="AF315" s="23" t="str">
        <f>IF($U315&gt;=Lookups!$B$23,"High",IF($U315&gt;=Lookups!$B$22,"Medium","Low"))</f>
        <v>Medium</v>
      </c>
      <c r="AG315" s="23">
        <f>ROUND(IF($V315="Weekday",IF(INDEX(Hourly_Analysis!$D$5:$D$28,$J315+1)&gt;0,($U315-INDEX(Hourly_Analysis!$C$5:$C$28,$J315+1))/INDEX(Hourly_Analysis!$D$5:$D$28,$J315+1),0),IF(INDEX(Hourly_Analysis!$G$5:$G$28,$J315+1)&gt;0,($U315-INDEX(Hourly_Analysis!$F$5:$F$28,$J315+1))/INDEX(Hourly_Analysis!$G$5:$G$28,$J315+1),0)),2)</f>
        <v>0.54</v>
      </c>
      <c r="AH315" s="23" t="str">
        <f>IF(ABS($AG315)&gt;Lookups!$B$20,IF($AG315&gt;0,"High anomaly","Low anomaly"),"")</f>
        <v/>
      </c>
      <c r="AI315" s="23" t="str">
        <f t="shared" si="28"/>
        <v>OK</v>
      </c>
      <c r="AJ315" s="23" t="str">
        <f t="shared" si="29"/>
        <v>No</v>
      </c>
    </row>
    <row r="316" spans="1:36" x14ac:dyDescent="0.35">
      <c r="A316" s="23">
        <v>315</v>
      </c>
      <c r="B316" s="23" t="str">
        <f t="shared" si="24"/>
        <v>Merge 1+2</v>
      </c>
      <c r="C316" s="23">
        <f>IFERROR(MATCH($A316,Merge_1_2!$A$2:$A$611,0),0)</f>
        <v>315</v>
      </c>
      <c r="D316" s="23">
        <f>IF($C316&gt;0,INDEX(Merge_1_2!$Q$2:$Q$611,$C316),0)</f>
        <v>315</v>
      </c>
      <c r="E316" s="23">
        <f>IFERROR(MATCH($A316,Dataset3_Raw!$A$2:$A$391,0),0)</f>
        <v>0</v>
      </c>
      <c r="F316" s="24">
        <f>IF($C316&gt;0,INDEX(Merge_1_2!$B$2:$B$611,$C316),DATE(VALUE(RIGHT(INDEX(Dataset3_Raw!$B$2:$B$391,$E316),4)),VALUE(MID(INDEX(Dataset3_Raw!$B$2:$B$391,$E316),4,2)),VALUE(LEFT(INDEX(Dataset3_Raw!$B$2:$B$391,$E316),2))))</f>
        <v>40557</v>
      </c>
      <c r="G316" s="23">
        <f>IF($C316&gt;0,INDEX(Merge_1_2!$C$2:$C$611,$C316),INDEX(Dataset3_Raw!$C$2:$C$391,$E316))</f>
        <v>1</v>
      </c>
      <c r="H316" s="23">
        <f>IF($C316&gt;0,INDEX(Merge_1_2!$D$2:$D$611,$C316),INDEX(Dataset3_Raw!$D$2:$D$391,$E316))</f>
        <v>0</v>
      </c>
      <c r="I316" s="23">
        <f>IF($C316&gt;0,INDEX(Merge_1_2!$E$2:$E$611,$C316),INDEX(Dataset3_Raw!$E$2:$E$391,$E316))</f>
        <v>1</v>
      </c>
      <c r="J316" s="23">
        <f>IF($C316&gt;0,INDEX(Merge_1_2!$F$2:$F$611,$C316),INDEX(Dataset3_Raw!$F$2:$F$391,$E316))</f>
        <v>14</v>
      </c>
      <c r="K316" s="23" t="b">
        <f>IF($C316&gt;0,INDEX(Merge_1_2!$G$2:$G$611,$C316),INDEX(Dataset3_Raw!$G$2:$G$391,$E316))</f>
        <v>0</v>
      </c>
      <c r="L316" s="23">
        <f>IF($C316&gt;0,INDEX(Merge_1_2!$H$2:$H$611,$C316),INDEX(Dataset3_Raw!$H$2:$H$391,$E316))</f>
        <v>5</v>
      </c>
      <c r="M316" s="23">
        <f>IF($C316&gt;0,INDEX(Merge_1_2!$I$2:$I$611,$C316),INDEX(Dataset3_Raw!$I$2:$I$391,$E316))</f>
        <v>1</v>
      </c>
      <c r="N316" s="25">
        <f>IF($C316&gt;0,INDEX(Merge_1_2!$J$2:$J$611,$C316),INDEX(Dataset3_Raw!$J$2:$J$391,$E316))</f>
        <v>0.22</v>
      </c>
      <c r="O316" s="25">
        <f>IF($C316&gt;0,IF(ISNUMBER(INDEX(Merge_1_2!$K$2:$K$611,$C316)),INDEX(Merge_1_2!$K$2:$K$611,$C316),""),INDEX(Dataset3_Raw!$K$2:$K$391,$E316))</f>
        <v>0.21210000000000001</v>
      </c>
      <c r="P316" s="25">
        <f>IF(ISNUMBER($O316),$O316,ROUND(Lookups!$B$25+Lookups!$B$24*$N316,4))</f>
        <v>0.21210000000000001</v>
      </c>
      <c r="Q316" s="25">
        <f>IF($C316&gt;0,INDEX(Merge_1_2!$L$2:$L$611,$C316),INDEX(Dataset3_Raw!$L$2:$L$391,$E316))</f>
        <v>0.41</v>
      </c>
      <c r="R316" s="25">
        <f>IF($C316&gt;0,INDEX(Merge_1_2!$M$2:$M$611,$C316),INDEX(Dataset3_Raw!$M$2:$M$391,$E316))</f>
        <v>0.28360000000000002</v>
      </c>
      <c r="S316" s="23">
        <f>IF($C316&gt;0,INDEX(Merge_1_2!$N$2:$N$611,$C316),INDEX(Dataset3_Raw!$N$2:$N$391,$E316))</f>
        <v>5</v>
      </c>
      <c r="T316" s="23">
        <f>IF($C316&gt;0,INDEX(Merge_1_2!$O$2:$O$611,$C316),INDEX(Dataset3_Raw!$O$2:$O$391,$E316))</f>
        <v>59</v>
      </c>
      <c r="U316" s="23">
        <f>IF($C316&gt;0,INDEX(Merge_1_2!$P$2:$P$611,$C316),INDEX(Dataset3_Raw!$P$2:$P$391,$E316))</f>
        <v>64</v>
      </c>
      <c r="V316" s="23" t="str">
        <f t="shared" si="25"/>
        <v>Weekday</v>
      </c>
      <c r="W316" s="23" t="str">
        <f>VLOOKUP($M316,Lookups!$A$5:$B$8,2,FALSE())</f>
        <v>Clear / Partly cloudy</v>
      </c>
      <c r="X316" s="23" t="str">
        <f>VLOOKUP($G316,Lookups!$D$5:$E$8,2,FALSE())</f>
        <v>Winter</v>
      </c>
      <c r="Y316" s="23" t="str">
        <f>VLOOKUP($L316,Lookups!$G$5:$H$11,2,FALSE())</f>
        <v>Friday</v>
      </c>
      <c r="Z316" s="23" t="str">
        <f>IF($J316&lt;Lookups!$B$26,"Night",IF($J316&lt;Lookups!$B$27,"Morning",IF($J316&lt;Lookups!$B$28,"Afternoon","Evening")))</f>
        <v>Afternoon</v>
      </c>
      <c r="AA316" s="26">
        <f>ROUND($N316*(Lookups!$B$16-Lookups!$B$15)+Lookups!$B$15,1)</f>
        <v>2.2999999999999998</v>
      </c>
      <c r="AB316" s="26">
        <f>ROUND($P316*(Lookups!$B$18-Lookups!$B$17)+Lookups!$B$17,1)</f>
        <v>-2</v>
      </c>
      <c r="AC316" s="23">
        <f t="shared" si="26"/>
        <v>41</v>
      </c>
      <c r="AD316" s="23">
        <f>ROUND($R316*Lookups!$B$19,1)</f>
        <v>19</v>
      </c>
      <c r="AE316" s="27">
        <f t="shared" si="27"/>
        <v>0.921875</v>
      </c>
      <c r="AF316" s="23" t="str">
        <f>IF($U316&gt;=Lookups!$B$23,"High",IF($U316&gt;=Lookups!$B$22,"Medium","Low"))</f>
        <v>Medium</v>
      </c>
      <c r="AG316" s="23">
        <f>ROUND(IF($V316="Weekday",IF(INDEX(Hourly_Analysis!$D$5:$D$28,$J316+1)&gt;0,($U316-INDEX(Hourly_Analysis!$C$5:$C$28,$J316+1))/INDEX(Hourly_Analysis!$D$5:$D$28,$J316+1),0),IF(INDEX(Hourly_Analysis!$G$5:$G$28,$J316+1)&gt;0,($U316-INDEX(Hourly_Analysis!$F$5:$F$28,$J316+1))/INDEX(Hourly_Analysis!$G$5:$G$28,$J316+1),0)),2)</f>
        <v>0.27</v>
      </c>
      <c r="AH316" s="23" t="str">
        <f>IF(ABS($AG316)&gt;Lookups!$B$20,IF($AG316&gt;0,"High anomaly","Low anomaly"),"")</f>
        <v/>
      </c>
      <c r="AI316" s="23" t="str">
        <f t="shared" si="28"/>
        <v>OK</v>
      </c>
      <c r="AJ316" s="23" t="str">
        <f t="shared" si="29"/>
        <v>No</v>
      </c>
    </row>
    <row r="317" spans="1:36" x14ac:dyDescent="0.35">
      <c r="A317" s="23">
        <v>316</v>
      </c>
      <c r="B317" s="23" t="str">
        <f t="shared" si="24"/>
        <v>Merge 1+2</v>
      </c>
      <c r="C317" s="23">
        <f>IFERROR(MATCH($A317,Merge_1_2!$A$2:$A$611,0),0)</f>
        <v>316</v>
      </c>
      <c r="D317" s="23">
        <f>IF($C317&gt;0,INDEX(Merge_1_2!$Q$2:$Q$611,$C317),0)</f>
        <v>316</v>
      </c>
      <c r="E317" s="23">
        <f>IFERROR(MATCH($A317,Dataset3_Raw!$A$2:$A$391,0),0)</f>
        <v>0</v>
      </c>
      <c r="F317" s="24">
        <f>IF($C317&gt;0,INDEX(Merge_1_2!$B$2:$B$611,$C317),DATE(VALUE(RIGHT(INDEX(Dataset3_Raw!$B$2:$B$391,$E317),4)),VALUE(MID(INDEX(Dataset3_Raw!$B$2:$B$391,$E317),4,2)),VALUE(LEFT(INDEX(Dataset3_Raw!$B$2:$B$391,$E317),2))))</f>
        <v>40557</v>
      </c>
      <c r="G317" s="23">
        <f>IF($C317&gt;0,INDEX(Merge_1_2!$C$2:$C$611,$C317),INDEX(Dataset3_Raw!$C$2:$C$391,$E317))</f>
        <v>1</v>
      </c>
      <c r="H317" s="23">
        <f>IF($C317&gt;0,INDEX(Merge_1_2!$D$2:$D$611,$C317),INDEX(Dataset3_Raw!$D$2:$D$391,$E317))</f>
        <v>0</v>
      </c>
      <c r="I317" s="23">
        <f>IF($C317&gt;0,INDEX(Merge_1_2!$E$2:$E$611,$C317),INDEX(Dataset3_Raw!$E$2:$E$391,$E317))</f>
        <v>1</v>
      </c>
      <c r="J317" s="23">
        <f>IF($C317&gt;0,INDEX(Merge_1_2!$F$2:$F$611,$C317),INDEX(Dataset3_Raw!$F$2:$F$391,$E317))</f>
        <v>15</v>
      </c>
      <c r="K317" s="23" t="b">
        <f>IF($C317&gt;0,INDEX(Merge_1_2!$G$2:$G$611,$C317),INDEX(Dataset3_Raw!$G$2:$G$391,$E317))</f>
        <v>0</v>
      </c>
      <c r="L317" s="23">
        <f>IF($C317&gt;0,INDEX(Merge_1_2!$H$2:$H$611,$C317),INDEX(Dataset3_Raw!$H$2:$H$391,$E317))</f>
        <v>5</v>
      </c>
      <c r="M317" s="23">
        <f>IF($C317&gt;0,INDEX(Merge_1_2!$I$2:$I$611,$C317),INDEX(Dataset3_Raw!$I$2:$I$391,$E317))</f>
        <v>1</v>
      </c>
      <c r="N317" s="25">
        <f>IF($C317&gt;0,INDEX(Merge_1_2!$J$2:$J$611,$C317),INDEX(Dataset3_Raw!$J$2:$J$391,$E317))</f>
        <v>0.24</v>
      </c>
      <c r="O317" s="25">
        <f>IF($C317&gt;0,IF(ISNUMBER(INDEX(Merge_1_2!$K$2:$K$611,$C317)),INDEX(Merge_1_2!$K$2:$K$611,$C317),""),INDEX(Dataset3_Raw!$K$2:$K$391,$E317))</f>
        <v>0.2424</v>
      </c>
      <c r="P317" s="25">
        <f>IF(ISNUMBER($O317),$O317,ROUND(Lookups!$B$25+Lookups!$B$24*$N317,4))</f>
        <v>0.2424</v>
      </c>
      <c r="Q317" s="25">
        <f>IF($C317&gt;0,INDEX(Merge_1_2!$L$2:$L$611,$C317),INDEX(Dataset3_Raw!$L$2:$L$391,$E317))</f>
        <v>0.38</v>
      </c>
      <c r="R317" s="25">
        <f>IF($C317&gt;0,INDEX(Merge_1_2!$M$2:$M$611,$C317),INDEX(Dataset3_Raw!$M$2:$M$391,$E317))</f>
        <v>0.16420000000000001</v>
      </c>
      <c r="S317" s="23">
        <f>IF($C317&gt;0,INDEX(Merge_1_2!$N$2:$N$611,$C317),INDEX(Dataset3_Raw!$N$2:$N$391,$E317))</f>
        <v>9</v>
      </c>
      <c r="T317" s="23">
        <f>IF($C317&gt;0,INDEX(Merge_1_2!$O$2:$O$611,$C317),INDEX(Dataset3_Raw!$O$2:$O$391,$E317))</f>
        <v>59</v>
      </c>
      <c r="U317" s="23">
        <f>IF($C317&gt;0,INDEX(Merge_1_2!$P$2:$P$611,$C317),INDEX(Dataset3_Raw!$P$2:$P$391,$E317))</f>
        <v>68</v>
      </c>
      <c r="V317" s="23" t="str">
        <f t="shared" si="25"/>
        <v>Weekday</v>
      </c>
      <c r="W317" s="23" t="str">
        <f>VLOOKUP($M317,Lookups!$A$5:$B$8,2,FALSE())</f>
        <v>Clear / Partly cloudy</v>
      </c>
      <c r="X317" s="23" t="str">
        <f>VLOOKUP($G317,Lookups!$D$5:$E$8,2,FALSE())</f>
        <v>Winter</v>
      </c>
      <c r="Y317" s="23" t="str">
        <f>VLOOKUP($L317,Lookups!$G$5:$H$11,2,FALSE())</f>
        <v>Friday</v>
      </c>
      <c r="Z317" s="23" t="str">
        <f>IF($J317&lt;Lookups!$B$26,"Night",IF($J317&lt;Lookups!$B$27,"Morning",IF($J317&lt;Lookups!$B$28,"Afternoon","Evening")))</f>
        <v>Afternoon</v>
      </c>
      <c r="AA317" s="26">
        <f>ROUND($N317*(Lookups!$B$16-Lookups!$B$15)+Lookups!$B$15,1)</f>
        <v>3.3</v>
      </c>
      <c r="AB317" s="26">
        <f>ROUND($P317*(Lookups!$B$18-Lookups!$B$17)+Lookups!$B$17,1)</f>
        <v>0</v>
      </c>
      <c r="AC317" s="23">
        <f t="shared" si="26"/>
        <v>38</v>
      </c>
      <c r="AD317" s="23">
        <f>ROUND($R317*Lookups!$B$19,1)</f>
        <v>11</v>
      </c>
      <c r="AE317" s="27">
        <f t="shared" si="27"/>
        <v>0.86764705882352944</v>
      </c>
      <c r="AF317" s="23" t="str">
        <f>IF($U317&gt;=Lookups!$B$23,"High",IF($U317&gt;=Lookups!$B$22,"Medium","Low"))</f>
        <v>Medium</v>
      </c>
      <c r="AG317" s="23">
        <f>ROUND(IF($V317="Weekday",IF(INDEX(Hourly_Analysis!$D$5:$D$28,$J317+1)&gt;0,($U317-INDEX(Hourly_Analysis!$C$5:$C$28,$J317+1))/INDEX(Hourly_Analysis!$D$5:$D$28,$J317+1),0),IF(INDEX(Hourly_Analysis!$G$5:$G$28,$J317+1)&gt;0,($U317-INDEX(Hourly_Analysis!$F$5:$F$28,$J317+1))/INDEX(Hourly_Analysis!$G$5:$G$28,$J317+1),0)),2)</f>
        <v>0.54</v>
      </c>
      <c r="AH317" s="23" t="str">
        <f>IF(ABS($AG317)&gt;Lookups!$B$20,IF($AG317&gt;0,"High anomaly","Low anomaly"),"")</f>
        <v/>
      </c>
      <c r="AI317" s="23" t="str">
        <f t="shared" si="28"/>
        <v>OK</v>
      </c>
      <c r="AJ317" s="23" t="str">
        <f t="shared" si="29"/>
        <v>No</v>
      </c>
    </row>
    <row r="318" spans="1:36" x14ac:dyDescent="0.35">
      <c r="A318" s="23">
        <v>317</v>
      </c>
      <c r="B318" s="23" t="str">
        <f t="shared" si="24"/>
        <v>Merge 1+2</v>
      </c>
      <c r="C318" s="23">
        <f>IFERROR(MATCH($A318,Merge_1_2!$A$2:$A$611,0),0)</f>
        <v>317</v>
      </c>
      <c r="D318" s="23">
        <f>IF($C318&gt;0,INDEX(Merge_1_2!$Q$2:$Q$611,$C318),0)</f>
        <v>317</v>
      </c>
      <c r="E318" s="23">
        <f>IFERROR(MATCH($A318,Dataset3_Raw!$A$2:$A$391,0),0)</f>
        <v>0</v>
      </c>
      <c r="F318" s="24">
        <f>IF($C318&gt;0,INDEX(Merge_1_2!$B$2:$B$611,$C318),DATE(VALUE(RIGHT(INDEX(Dataset3_Raw!$B$2:$B$391,$E318),4)),VALUE(MID(INDEX(Dataset3_Raw!$B$2:$B$391,$E318),4,2)),VALUE(LEFT(INDEX(Dataset3_Raw!$B$2:$B$391,$E318),2))))</f>
        <v>40557</v>
      </c>
      <c r="G318" s="23">
        <f>IF($C318&gt;0,INDEX(Merge_1_2!$C$2:$C$611,$C318),INDEX(Dataset3_Raw!$C$2:$C$391,$E318))</f>
        <v>1</v>
      </c>
      <c r="H318" s="23">
        <f>IF($C318&gt;0,INDEX(Merge_1_2!$D$2:$D$611,$C318),INDEX(Dataset3_Raw!$D$2:$D$391,$E318))</f>
        <v>0</v>
      </c>
      <c r="I318" s="23">
        <f>IF($C318&gt;0,INDEX(Merge_1_2!$E$2:$E$611,$C318),INDEX(Dataset3_Raw!$E$2:$E$391,$E318))</f>
        <v>1</v>
      </c>
      <c r="J318" s="23">
        <f>IF($C318&gt;0,INDEX(Merge_1_2!$F$2:$F$611,$C318),INDEX(Dataset3_Raw!$F$2:$F$391,$E318))</f>
        <v>16</v>
      </c>
      <c r="K318" s="23" t="b">
        <f>IF($C318&gt;0,INDEX(Merge_1_2!$G$2:$G$611,$C318),INDEX(Dataset3_Raw!$G$2:$G$391,$E318))</f>
        <v>0</v>
      </c>
      <c r="L318" s="23">
        <f>IF($C318&gt;0,INDEX(Merge_1_2!$H$2:$H$611,$C318),INDEX(Dataset3_Raw!$H$2:$H$391,$E318))</f>
        <v>5</v>
      </c>
      <c r="M318" s="23">
        <f>IF($C318&gt;0,INDEX(Merge_1_2!$I$2:$I$611,$C318),INDEX(Dataset3_Raw!$I$2:$I$391,$E318))</f>
        <v>1</v>
      </c>
      <c r="N318" s="25">
        <f>IF($C318&gt;0,INDEX(Merge_1_2!$J$2:$J$611,$C318),INDEX(Dataset3_Raw!$J$2:$J$391,$E318))</f>
        <v>0.22</v>
      </c>
      <c r="O318" s="25">
        <f>IF($C318&gt;0,IF(ISNUMBER(INDEX(Merge_1_2!$K$2:$K$611,$C318)),INDEX(Merge_1_2!$K$2:$K$611,$C318),""),INDEX(Dataset3_Raw!$K$2:$K$391,$E318))</f>
        <v>0.2424</v>
      </c>
      <c r="P318" s="25">
        <f>IF(ISNUMBER($O318),$O318,ROUND(Lookups!$B$25+Lookups!$B$24*$N318,4))</f>
        <v>0.2424</v>
      </c>
      <c r="Q318" s="25">
        <f>IF($C318&gt;0,INDEX(Merge_1_2!$L$2:$L$611,$C318),INDEX(Dataset3_Raw!$L$2:$L$391,$E318))</f>
        <v>0.41</v>
      </c>
      <c r="R318" s="25">
        <f>IF($C318&gt;0,INDEX(Merge_1_2!$M$2:$M$611,$C318),INDEX(Dataset3_Raw!$M$2:$M$391,$E318))</f>
        <v>0.1045</v>
      </c>
      <c r="S318" s="23">
        <f>IF($C318&gt;0,INDEX(Merge_1_2!$N$2:$N$611,$C318),INDEX(Dataset3_Raw!$N$2:$N$391,$E318))</f>
        <v>3</v>
      </c>
      <c r="T318" s="23">
        <f>IF($C318&gt;0,INDEX(Merge_1_2!$O$2:$O$611,$C318),INDEX(Dataset3_Raw!$O$2:$O$391,$E318))</f>
        <v>87</v>
      </c>
      <c r="U318" s="23">
        <f>IF($C318&gt;0,INDEX(Merge_1_2!$P$2:$P$611,$C318),INDEX(Dataset3_Raw!$P$2:$P$391,$E318))</f>
        <v>90</v>
      </c>
      <c r="V318" s="23" t="str">
        <f t="shared" si="25"/>
        <v>Weekday</v>
      </c>
      <c r="W318" s="23" t="str">
        <f>VLOOKUP($M318,Lookups!$A$5:$B$8,2,FALSE())</f>
        <v>Clear / Partly cloudy</v>
      </c>
      <c r="X318" s="23" t="str">
        <f>VLOOKUP($G318,Lookups!$D$5:$E$8,2,FALSE())</f>
        <v>Winter</v>
      </c>
      <c r="Y318" s="23" t="str">
        <f>VLOOKUP($L318,Lookups!$G$5:$H$11,2,FALSE())</f>
        <v>Friday</v>
      </c>
      <c r="Z318" s="23" t="str">
        <f>IF($J318&lt;Lookups!$B$26,"Night",IF($J318&lt;Lookups!$B$27,"Morning",IF($J318&lt;Lookups!$B$28,"Afternoon","Evening")))</f>
        <v>Afternoon</v>
      </c>
      <c r="AA318" s="26">
        <f>ROUND($N318*(Lookups!$B$16-Lookups!$B$15)+Lookups!$B$15,1)</f>
        <v>2.2999999999999998</v>
      </c>
      <c r="AB318" s="26">
        <f>ROUND($P318*(Lookups!$B$18-Lookups!$B$17)+Lookups!$B$17,1)</f>
        <v>0</v>
      </c>
      <c r="AC318" s="23">
        <f t="shared" si="26"/>
        <v>41</v>
      </c>
      <c r="AD318" s="23">
        <f>ROUND($R318*Lookups!$B$19,1)</f>
        <v>7</v>
      </c>
      <c r="AE318" s="27">
        <f t="shared" si="27"/>
        <v>0.96666666666666667</v>
      </c>
      <c r="AF318" s="23" t="str">
        <f>IF($U318&gt;=Lookups!$B$23,"High",IF($U318&gt;=Lookups!$B$22,"Medium","Low"))</f>
        <v>High</v>
      </c>
      <c r="AG318" s="23">
        <f>ROUND(IF($V318="Weekday",IF(INDEX(Hourly_Analysis!$D$5:$D$28,$J318+1)&gt;0,($U318-INDEX(Hourly_Analysis!$C$5:$C$28,$J318+1))/INDEX(Hourly_Analysis!$D$5:$D$28,$J318+1),0),IF(INDEX(Hourly_Analysis!$G$5:$G$28,$J318+1)&gt;0,($U318-INDEX(Hourly_Analysis!$F$5:$F$28,$J318+1))/INDEX(Hourly_Analysis!$G$5:$G$28,$J318+1),0)),2)</f>
        <v>0.35</v>
      </c>
      <c r="AH318" s="23" t="str">
        <f>IF(ABS($AG318)&gt;Lookups!$B$20,IF($AG318&gt;0,"High anomaly","Low anomaly"),"")</f>
        <v/>
      </c>
      <c r="AI318" s="23" t="str">
        <f t="shared" si="28"/>
        <v>OK</v>
      </c>
      <c r="AJ318" s="23" t="str">
        <f t="shared" si="29"/>
        <v>No</v>
      </c>
    </row>
    <row r="319" spans="1:36" x14ac:dyDescent="0.35">
      <c r="A319" s="23">
        <v>318</v>
      </c>
      <c r="B319" s="23" t="str">
        <f t="shared" si="24"/>
        <v>Merge 1+2</v>
      </c>
      <c r="C319" s="23">
        <f>IFERROR(MATCH($A319,Merge_1_2!$A$2:$A$611,0),0)</f>
        <v>318</v>
      </c>
      <c r="D319" s="23">
        <f>IF($C319&gt;0,INDEX(Merge_1_2!$Q$2:$Q$611,$C319),0)</f>
        <v>318</v>
      </c>
      <c r="E319" s="23">
        <f>IFERROR(MATCH($A319,Dataset3_Raw!$A$2:$A$391,0),0)</f>
        <v>0</v>
      </c>
      <c r="F319" s="24">
        <f>IF($C319&gt;0,INDEX(Merge_1_2!$B$2:$B$611,$C319),DATE(VALUE(RIGHT(INDEX(Dataset3_Raw!$B$2:$B$391,$E319),4)),VALUE(MID(INDEX(Dataset3_Raw!$B$2:$B$391,$E319),4,2)),VALUE(LEFT(INDEX(Dataset3_Raw!$B$2:$B$391,$E319),2))))</f>
        <v>40557</v>
      </c>
      <c r="G319" s="23">
        <f>IF($C319&gt;0,INDEX(Merge_1_2!$C$2:$C$611,$C319),INDEX(Dataset3_Raw!$C$2:$C$391,$E319))</f>
        <v>1</v>
      </c>
      <c r="H319" s="23">
        <f>IF($C319&gt;0,INDEX(Merge_1_2!$D$2:$D$611,$C319),INDEX(Dataset3_Raw!$D$2:$D$391,$E319))</f>
        <v>0</v>
      </c>
      <c r="I319" s="23">
        <f>IF($C319&gt;0,INDEX(Merge_1_2!$E$2:$E$611,$C319),INDEX(Dataset3_Raw!$E$2:$E$391,$E319))</f>
        <v>1</v>
      </c>
      <c r="J319" s="23">
        <f>IF($C319&gt;0,INDEX(Merge_1_2!$F$2:$F$611,$C319),INDEX(Dataset3_Raw!$F$2:$F$391,$E319))</f>
        <v>17</v>
      </c>
      <c r="K319" s="23" t="b">
        <f>IF($C319&gt;0,INDEX(Merge_1_2!$G$2:$G$611,$C319),INDEX(Dataset3_Raw!$G$2:$G$391,$E319))</f>
        <v>0</v>
      </c>
      <c r="L319" s="23">
        <f>IF($C319&gt;0,INDEX(Merge_1_2!$H$2:$H$611,$C319),INDEX(Dataset3_Raw!$H$2:$H$391,$E319))</f>
        <v>5</v>
      </c>
      <c r="M319" s="23">
        <f>IF($C319&gt;0,INDEX(Merge_1_2!$I$2:$I$611,$C319),INDEX(Dataset3_Raw!$I$2:$I$391,$E319))</f>
        <v>1</v>
      </c>
      <c r="N319" s="25">
        <f>IF($C319&gt;0,INDEX(Merge_1_2!$J$2:$J$611,$C319),INDEX(Dataset3_Raw!$J$2:$J$391,$E319))</f>
        <v>0.22</v>
      </c>
      <c r="O319" s="25">
        <f>IF($C319&gt;0,IF(ISNUMBER(INDEX(Merge_1_2!$K$2:$K$611,$C319)),INDEX(Merge_1_2!$K$2:$K$611,$C319),""),INDEX(Dataset3_Raw!$K$2:$K$391,$E319))</f>
        <v>0.2273</v>
      </c>
      <c r="P319" s="25">
        <f>IF(ISNUMBER($O319),$O319,ROUND(Lookups!$B$25+Lookups!$B$24*$N319,4))</f>
        <v>0.2273</v>
      </c>
      <c r="Q319" s="25">
        <f>IF($C319&gt;0,INDEX(Merge_1_2!$L$2:$L$611,$C319),INDEX(Dataset3_Raw!$L$2:$L$391,$E319))</f>
        <v>0.41</v>
      </c>
      <c r="R319" s="25">
        <f>IF($C319&gt;0,INDEX(Merge_1_2!$M$2:$M$611,$C319),INDEX(Dataset3_Raw!$M$2:$M$391,$E319))</f>
        <v>0.16420000000000001</v>
      </c>
      <c r="S319" s="23">
        <f>IF($C319&gt;0,INDEX(Merge_1_2!$N$2:$N$611,$C319),INDEX(Dataset3_Raw!$N$2:$N$391,$E319))</f>
        <v>4</v>
      </c>
      <c r="T319" s="23">
        <f>IF($C319&gt;0,INDEX(Merge_1_2!$O$2:$O$611,$C319),INDEX(Dataset3_Raw!$O$2:$O$391,$E319))</f>
        <v>155</v>
      </c>
      <c r="U319" s="23">
        <f>IF($C319&gt;0,INDEX(Merge_1_2!$P$2:$P$611,$C319),INDEX(Dataset3_Raw!$P$2:$P$391,$E319))</f>
        <v>159</v>
      </c>
      <c r="V319" s="23" t="str">
        <f t="shared" si="25"/>
        <v>Weekday</v>
      </c>
      <c r="W319" s="23" t="str">
        <f>VLOOKUP($M319,Lookups!$A$5:$B$8,2,FALSE())</f>
        <v>Clear / Partly cloudy</v>
      </c>
      <c r="X319" s="23" t="str">
        <f>VLOOKUP($G319,Lookups!$D$5:$E$8,2,FALSE())</f>
        <v>Winter</v>
      </c>
      <c r="Y319" s="23" t="str">
        <f>VLOOKUP($L319,Lookups!$G$5:$H$11,2,FALSE())</f>
        <v>Friday</v>
      </c>
      <c r="Z319" s="23" t="str">
        <f>IF($J319&lt;Lookups!$B$26,"Night",IF($J319&lt;Lookups!$B$27,"Morning",IF($J319&lt;Lookups!$B$28,"Afternoon","Evening")))</f>
        <v>Afternoon</v>
      </c>
      <c r="AA319" s="26">
        <f>ROUND($N319*(Lookups!$B$16-Lookups!$B$15)+Lookups!$B$15,1)</f>
        <v>2.2999999999999998</v>
      </c>
      <c r="AB319" s="26">
        <f>ROUND($P319*(Lookups!$B$18-Lookups!$B$17)+Lookups!$B$17,1)</f>
        <v>-1</v>
      </c>
      <c r="AC319" s="23">
        <f t="shared" si="26"/>
        <v>41</v>
      </c>
      <c r="AD319" s="23">
        <f>ROUND($R319*Lookups!$B$19,1)</f>
        <v>11</v>
      </c>
      <c r="AE319" s="27">
        <f t="shared" si="27"/>
        <v>0.97484276729559749</v>
      </c>
      <c r="AF319" s="23" t="str">
        <f>IF($U319&gt;=Lookups!$B$23,"High",IF($U319&gt;=Lookups!$B$22,"Medium","Low"))</f>
        <v>High</v>
      </c>
      <c r="AG319" s="23">
        <f>ROUND(IF($V319="Weekday",IF(INDEX(Hourly_Analysis!$D$5:$D$28,$J319+1)&gt;0,($U319-INDEX(Hourly_Analysis!$C$5:$C$28,$J319+1))/INDEX(Hourly_Analysis!$D$5:$D$28,$J319+1),0),IF(INDEX(Hourly_Analysis!$G$5:$G$28,$J319+1)&gt;0,($U319-INDEX(Hourly_Analysis!$F$5:$F$28,$J319+1))/INDEX(Hourly_Analysis!$G$5:$G$28,$J319+1),0)),2)</f>
        <v>-0.24</v>
      </c>
      <c r="AH319" s="23" t="str">
        <f>IF(ABS($AG319)&gt;Lookups!$B$20,IF($AG319&gt;0,"High anomaly","Low anomaly"),"")</f>
        <v/>
      </c>
      <c r="AI319" s="23" t="str">
        <f t="shared" si="28"/>
        <v>OK</v>
      </c>
      <c r="AJ319" s="23" t="str">
        <f t="shared" si="29"/>
        <v>No</v>
      </c>
    </row>
    <row r="320" spans="1:36" x14ac:dyDescent="0.35">
      <c r="A320" s="23">
        <v>319</v>
      </c>
      <c r="B320" s="23" t="str">
        <f t="shared" si="24"/>
        <v>Merge 1+2</v>
      </c>
      <c r="C320" s="23">
        <f>IFERROR(MATCH($A320,Merge_1_2!$A$2:$A$611,0),0)</f>
        <v>319</v>
      </c>
      <c r="D320" s="23">
        <f>IF($C320&gt;0,INDEX(Merge_1_2!$Q$2:$Q$611,$C320),0)</f>
        <v>319</v>
      </c>
      <c r="E320" s="23">
        <f>IFERROR(MATCH($A320,Dataset3_Raw!$A$2:$A$391,0),0)</f>
        <v>0</v>
      </c>
      <c r="F320" s="24">
        <f>IF($C320&gt;0,INDEX(Merge_1_2!$B$2:$B$611,$C320),DATE(VALUE(RIGHT(INDEX(Dataset3_Raw!$B$2:$B$391,$E320),4)),VALUE(MID(INDEX(Dataset3_Raw!$B$2:$B$391,$E320),4,2)),VALUE(LEFT(INDEX(Dataset3_Raw!$B$2:$B$391,$E320),2))))</f>
        <v>40557</v>
      </c>
      <c r="G320" s="23">
        <f>IF($C320&gt;0,INDEX(Merge_1_2!$C$2:$C$611,$C320),INDEX(Dataset3_Raw!$C$2:$C$391,$E320))</f>
        <v>1</v>
      </c>
      <c r="H320" s="23">
        <f>IF($C320&gt;0,INDEX(Merge_1_2!$D$2:$D$611,$C320),INDEX(Dataset3_Raw!$D$2:$D$391,$E320))</f>
        <v>0</v>
      </c>
      <c r="I320" s="23">
        <f>IF($C320&gt;0,INDEX(Merge_1_2!$E$2:$E$611,$C320),INDEX(Dataset3_Raw!$E$2:$E$391,$E320))</f>
        <v>1</v>
      </c>
      <c r="J320" s="23">
        <f>IF($C320&gt;0,INDEX(Merge_1_2!$F$2:$F$611,$C320),INDEX(Dataset3_Raw!$F$2:$F$391,$E320))</f>
        <v>18</v>
      </c>
      <c r="K320" s="23" t="b">
        <f>IF($C320&gt;0,INDEX(Merge_1_2!$G$2:$G$611,$C320),INDEX(Dataset3_Raw!$G$2:$G$391,$E320))</f>
        <v>0</v>
      </c>
      <c r="L320" s="23">
        <f>IF($C320&gt;0,INDEX(Merge_1_2!$H$2:$H$611,$C320),INDEX(Dataset3_Raw!$H$2:$H$391,$E320))</f>
        <v>5</v>
      </c>
      <c r="M320" s="23">
        <f>IF($C320&gt;0,INDEX(Merge_1_2!$I$2:$I$611,$C320),INDEX(Dataset3_Raw!$I$2:$I$391,$E320))</f>
        <v>1</v>
      </c>
      <c r="N320" s="25">
        <f>IF($C320&gt;0,INDEX(Merge_1_2!$J$2:$J$611,$C320),INDEX(Dataset3_Raw!$J$2:$J$391,$E320))</f>
        <v>0.2</v>
      </c>
      <c r="O320" s="25">
        <f>IF($C320&gt;0,IF(ISNUMBER(INDEX(Merge_1_2!$K$2:$K$611,$C320)),INDEX(Merge_1_2!$K$2:$K$611,$C320),""),INDEX(Dataset3_Raw!$K$2:$K$391,$E320))</f>
        <v>0.2576</v>
      </c>
      <c r="P320" s="25">
        <f>IF(ISNUMBER($O320),$O320,ROUND(Lookups!$B$25+Lookups!$B$24*$N320,4))</f>
        <v>0.2576</v>
      </c>
      <c r="Q320" s="25">
        <f>IF($C320&gt;0,INDEX(Merge_1_2!$L$2:$L$611,$C320),INDEX(Dataset3_Raw!$L$2:$L$391,$E320))</f>
        <v>0.47</v>
      </c>
      <c r="R320" s="25">
        <f>IF($C320&gt;0,INDEX(Merge_1_2!$M$2:$M$611,$C320),INDEX(Dataset3_Raw!$M$2:$M$391,$E320))</f>
        <v>0</v>
      </c>
      <c r="S320" s="23">
        <f>IF($C320&gt;0,INDEX(Merge_1_2!$N$2:$N$611,$C320),INDEX(Dataset3_Raw!$N$2:$N$391,$E320))</f>
        <v>5</v>
      </c>
      <c r="T320" s="23">
        <f>IF($C320&gt;0,INDEX(Merge_1_2!$O$2:$O$611,$C320),INDEX(Dataset3_Raw!$O$2:$O$391,$E320))</f>
        <v>134</v>
      </c>
      <c r="U320" s="23">
        <f>IF($C320&gt;0,INDEX(Merge_1_2!$P$2:$P$611,$C320),INDEX(Dataset3_Raw!$P$2:$P$391,$E320))</f>
        <v>139</v>
      </c>
      <c r="V320" s="23" t="str">
        <f t="shared" si="25"/>
        <v>Weekday</v>
      </c>
      <c r="W320" s="23" t="str">
        <f>VLOOKUP($M320,Lookups!$A$5:$B$8,2,FALSE())</f>
        <v>Clear / Partly cloudy</v>
      </c>
      <c r="X320" s="23" t="str">
        <f>VLOOKUP($G320,Lookups!$D$5:$E$8,2,FALSE())</f>
        <v>Winter</v>
      </c>
      <c r="Y320" s="23" t="str">
        <f>VLOOKUP($L320,Lookups!$G$5:$H$11,2,FALSE())</f>
        <v>Friday</v>
      </c>
      <c r="Z320" s="23" t="str">
        <f>IF($J320&lt;Lookups!$B$26,"Night",IF($J320&lt;Lookups!$B$27,"Morning",IF($J320&lt;Lookups!$B$28,"Afternoon","Evening")))</f>
        <v>Evening</v>
      </c>
      <c r="AA320" s="26">
        <f>ROUND($N320*(Lookups!$B$16-Lookups!$B$15)+Lookups!$B$15,1)</f>
        <v>1.4</v>
      </c>
      <c r="AB320" s="26">
        <f>ROUND($P320*(Lookups!$B$18-Lookups!$B$17)+Lookups!$B$17,1)</f>
        <v>1</v>
      </c>
      <c r="AC320" s="23">
        <f t="shared" si="26"/>
        <v>47</v>
      </c>
      <c r="AD320" s="23">
        <f>ROUND($R320*Lookups!$B$19,1)</f>
        <v>0</v>
      </c>
      <c r="AE320" s="27">
        <f t="shared" si="27"/>
        <v>0.96402877697841727</v>
      </c>
      <c r="AF320" s="23" t="str">
        <f>IF($U320&gt;=Lookups!$B$23,"High",IF($U320&gt;=Lookups!$B$22,"Medium","Low"))</f>
        <v>High</v>
      </c>
      <c r="AG320" s="23">
        <f>ROUND(IF($V320="Weekday",IF(INDEX(Hourly_Analysis!$D$5:$D$28,$J320+1)&gt;0,($U320-INDEX(Hourly_Analysis!$C$5:$C$28,$J320+1))/INDEX(Hourly_Analysis!$D$5:$D$28,$J320+1),0),IF(INDEX(Hourly_Analysis!$G$5:$G$28,$J320+1)&gt;0,($U320-INDEX(Hourly_Analysis!$F$5:$F$28,$J320+1))/INDEX(Hourly_Analysis!$G$5:$G$28,$J320+1),0)),2)</f>
        <v>-0.52</v>
      </c>
      <c r="AH320" s="23" t="str">
        <f>IF(ABS($AG320)&gt;Lookups!$B$20,IF($AG320&gt;0,"High anomaly","Low anomaly"),"")</f>
        <v/>
      </c>
      <c r="AI320" s="23" t="str">
        <f t="shared" si="28"/>
        <v>OK</v>
      </c>
      <c r="AJ320" s="23" t="str">
        <f t="shared" si="29"/>
        <v>No</v>
      </c>
    </row>
    <row r="321" spans="1:36" x14ac:dyDescent="0.35">
      <c r="A321" s="23">
        <v>320</v>
      </c>
      <c r="B321" s="23" t="str">
        <f t="shared" si="24"/>
        <v>Merge 1+2</v>
      </c>
      <c r="C321" s="23">
        <f>IFERROR(MATCH($A321,Merge_1_2!$A$2:$A$611,0),0)</f>
        <v>320</v>
      </c>
      <c r="D321" s="23">
        <f>IF($C321&gt;0,INDEX(Merge_1_2!$Q$2:$Q$611,$C321),0)</f>
        <v>320</v>
      </c>
      <c r="E321" s="23">
        <f>IFERROR(MATCH($A321,Dataset3_Raw!$A$2:$A$391,0),0)</f>
        <v>0</v>
      </c>
      <c r="F321" s="24">
        <f>IF($C321&gt;0,INDEX(Merge_1_2!$B$2:$B$611,$C321),DATE(VALUE(RIGHT(INDEX(Dataset3_Raw!$B$2:$B$391,$E321),4)),VALUE(MID(INDEX(Dataset3_Raw!$B$2:$B$391,$E321),4,2)),VALUE(LEFT(INDEX(Dataset3_Raw!$B$2:$B$391,$E321),2))))</f>
        <v>40557</v>
      </c>
      <c r="G321" s="23">
        <f>IF($C321&gt;0,INDEX(Merge_1_2!$C$2:$C$611,$C321),INDEX(Dataset3_Raw!$C$2:$C$391,$E321))</f>
        <v>1</v>
      </c>
      <c r="H321" s="23">
        <f>IF($C321&gt;0,INDEX(Merge_1_2!$D$2:$D$611,$C321),INDEX(Dataset3_Raw!$D$2:$D$391,$E321))</f>
        <v>0</v>
      </c>
      <c r="I321" s="23">
        <f>IF($C321&gt;0,INDEX(Merge_1_2!$E$2:$E$611,$C321),INDEX(Dataset3_Raw!$E$2:$E$391,$E321))</f>
        <v>1</v>
      </c>
      <c r="J321" s="23">
        <f>IF($C321&gt;0,INDEX(Merge_1_2!$F$2:$F$611,$C321),INDEX(Dataset3_Raw!$F$2:$F$391,$E321))</f>
        <v>19</v>
      </c>
      <c r="K321" s="23" t="b">
        <f>IF($C321&gt;0,INDEX(Merge_1_2!$G$2:$G$611,$C321),INDEX(Dataset3_Raw!$G$2:$G$391,$E321))</f>
        <v>0</v>
      </c>
      <c r="L321" s="23">
        <f>IF($C321&gt;0,INDEX(Merge_1_2!$H$2:$H$611,$C321),INDEX(Dataset3_Raw!$H$2:$H$391,$E321))</f>
        <v>5</v>
      </c>
      <c r="M321" s="23">
        <f>IF($C321&gt;0,INDEX(Merge_1_2!$I$2:$I$611,$C321),INDEX(Dataset3_Raw!$I$2:$I$391,$E321))</f>
        <v>1</v>
      </c>
      <c r="N321" s="25">
        <f>IF($C321&gt;0,INDEX(Merge_1_2!$J$2:$J$611,$C321),INDEX(Dataset3_Raw!$J$2:$J$391,$E321))</f>
        <v>0.16</v>
      </c>
      <c r="O321" s="25">
        <f>IF($C321&gt;0,IF(ISNUMBER(INDEX(Merge_1_2!$K$2:$K$611,$C321)),INDEX(Merge_1_2!$K$2:$K$611,$C321),""),INDEX(Dataset3_Raw!$K$2:$K$391,$E321))</f>
        <v>0.19700000000000001</v>
      </c>
      <c r="P321" s="25">
        <f>IF(ISNUMBER($O321),$O321,ROUND(Lookups!$B$25+Lookups!$B$24*$N321,4))</f>
        <v>0.19700000000000001</v>
      </c>
      <c r="Q321" s="25">
        <f>IF($C321&gt;0,INDEX(Merge_1_2!$L$2:$L$611,$C321),INDEX(Dataset3_Raw!$L$2:$L$391,$E321))</f>
        <v>0.59</v>
      </c>
      <c r="R321" s="25">
        <f>IF($C321&gt;0,INDEX(Merge_1_2!$M$2:$M$611,$C321),INDEX(Dataset3_Raw!$M$2:$M$391,$E321))</f>
        <v>8.9599999999999999E-2</v>
      </c>
      <c r="S321" s="23">
        <f>IF($C321&gt;0,INDEX(Merge_1_2!$N$2:$N$611,$C321),INDEX(Dataset3_Raw!$N$2:$N$391,$E321))</f>
        <v>3</v>
      </c>
      <c r="T321" s="23">
        <f>IF($C321&gt;0,INDEX(Merge_1_2!$O$2:$O$611,$C321),INDEX(Dataset3_Raw!$O$2:$O$391,$E321))</f>
        <v>89</v>
      </c>
      <c r="U321" s="23">
        <f>IF($C321&gt;0,INDEX(Merge_1_2!$P$2:$P$611,$C321),INDEX(Dataset3_Raw!$P$2:$P$391,$E321))</f>
        <v>92</v>
      </c>
      <c r="V321" s="23" t="str">
        <f t="shared" si="25"/>
        <v>Weekday</v>
      </c>
      <c r="W321" s="23" t="str">
        <f>VLOOKUP($M321,Lookups!$A$5:$B$8,2,FALSE())</f>
        <v>Clear / Partly cloudy</v>
      </c>
      <c r="X321" s="23" t="str">
        <f>VLOOKUP($G321,Lookups!$D$5:$E$8,2,FALSE())</f>
        <v>Winter</v>
      </c>
      <c r="Y321" s="23" t="str">
        <f>VLOOKUP($L321,Lookups!$G$5:$H$11,2,FALSE())</f>
        <v>Friday</v>
      </c>
      <c r="Z321" s="23" t="str">
        <f>IF($J321&lt;Lookups!$B$26,"Night",IF($J321&lt;Lookups!$B$27,"Morning",IF($J321&lt;Lookups!$B$28,"Afternoon","Evening")))</f>
        <v>Evening</v>
      </c>
      <c r="AA321" s="26">
        <f>ROUND($N321*(Lookups!$B$16-Lookups!$B$15)+Lookups!$B$15,1)</f>
        <v>-0.5</v>
      </c>
      <c r="AB321" s="26">
        <f>ROUND($P321*(Lookups!$B$18-Lookups!$B$17)+Lookups!$B$17,1)</f>
        <v>-3</v>
      </c>
      <c r="AC321" s="23">
        <f t="shared" si="26"/>
        <v>59</v>
      </c>
      <c r="AD321" s="23">
        <f>ROUND($R321*Lookups!$B$19,1)</f>
        <v>6</v>
      </c>
      <c r="AE321" s="27">
        <f t="shared" si="27"/>
        <v>0.96739130434782605</v>
      </c>
      <c r="AF321" s="23" t="str">
        <f>IF($U321&gt;=Lookups!$B$23,"High",IF($U321&gt;=Lookups!$B$22,"Medium","Low"))</f>
        <v>High</v>
      </c>
      <c r="AG321" s="23">
        <f>ROUND(IF($V321="Weekday",IF(INDEX(Hourly_Analysis!$D$5:$D$28,$J321+1)&gt;0,($U321-INDEX(Hourly_Analysis!$C$5:$C$28,$J321+1))/INDEX(Hourly_Analysis!$D$5:$D$28,$J321+1),0),IF(INDEX(Hourly_Analysis!$G$5:$G$28,$J321+1)&gt;0,($U321-INDEX(Hourly_Analysis!$F$5:$F$28,$J321+1))/INDEX(Hourly_Analysis!$G$5:$G$28,$J321+1),0)),2)</f>
        <v>-0.57999999999999996</v>
      </c>
      <c r="AH321" s="23" t="str">
        <f>IF(ABS($AG321)&gt;Lookups!$B$20,IF($AG321&gt;0,"High anomaly","Low anomaly"),"")</f>
        <v/>
      </c>
      <c r="AI321" s="23" t="str">
        <f t="shared" si="28"/>
        <v>OK</v>
      </c>
      <c r="AJ321" s="23" t="str">
        <f t="shared" si="29"/>
        <v>No</v>
      </c>
    </row>
    <row r="322" spans="1:36" x14ac:dyDescent="0.35">
      <c r="A322" s="23">
        <v>321</v>
      </c>
      <c r="B322" s="23" t="str">
        <f t="shared" ref="B322:B385" si="30">IF($C322&gt;0,"Merge 1+2","Dataset 3")</f>
        <v>Merge 1+2</v>
      </c>
      <c r="C322" s="23">
        <f>IFERROR(MATCH($A322,Merge_1_2!$A$2:$A$611,0),0)</f>
        <v>321</v>
      </c>
      <c r="D322" s="23">
        <f>IF($C322&gt;0,INDEX(Merge_1_2!$Q$2:$Q$611,$C322),0)</f>
        <v>321</v>
      </c>
      <c r="E322" s="23">
        <f>IFERROR(MATCH($A322,Dataset3_Raw!$A$2:$A$391,0),0)</f>
        <v>0</v>
      </c>
      <c r="F322" s="24">
        <f>IF($C322&gt;0,INDEX(Merge_1_2!$B$2:$B$611,$C322),DATE(VALUE(RIGHT(INDEX(Dataset3_Raw!$B$2:$B$391,$E322),4)),VALUE(MID(INDEX(Dataset3_Raw!$B$2:$B$391,$E322),4,2)),VALUE(LEFT(INDEX(Dataset3_Raw!$B$2:$B$391,$E322),2))))</f>
        <v>40557</v>
      </c>
      <c r="G322" s="23">
        <f>IF($C322&gt;0,INDEX(Merge_1_2!$C$2:$C$611,$C322),INDEX(Dataset3_Raw!$C$2:$C$391,$E322))</f>
        <v>1</v>
      </c>
      <c r="H322" s="23">
        <f>IF($C322&gt;0,INDEX(Merge_1_2!$D$2:$D$611,$C322),INDEX(Dataset3_Raw!$D$2:$D$391,$E322))</f>
        <v>0</v>
      </c>
      <c r="I322" s="23">
        <f>IF($C322&gt;0,INDEX(Merge_1_2!$E$2:$E$611,$C322),INDEX(Dataset3_Raw!$E$2:$E$391,$E322))</f>
        <v>1</v>
      </c>
      <c r="J322" s="23">
        <f>IF($C322&gt;0,INDEX(Merge_1_2!$F$2:$F$611,$C322),INDEX(Dataset3_Raw!$F$2:$F$391,$E322))</f>
        <v>20</v>
      </c>
      <c r="K322" s="23" t="b">
        <f>IF($C322&gt;0,INDEX(Merge_1_2!$G$2:$G$611,$C322),INDEX(Dataset3_Raw!$G$2:$G$391,$E322))</f>
        <v>0</v>
      </c>
      <c r="L322" s="23">
        <f>IF($C322&gt;0,INDEX(Merge_1_2!$H$2:$H$611,$C322),INDEX(Dataset3_Raw!$H$2:$H$391,$E322))</f>
        <v>5</v>
      </c>
      <c r="M322" s="23">
        <f>IF($C322&gt;0,INDEX(Merge_1_2!$I$2:$I$611,$C322),INDEX(Dataset3_Raw!$I$2:$I$391,$E322))</f>
        <v>1</v>
      </c>
      <c r="N322" s="25">
        <f>IF($C322&gt;0,INDEX(Merge_1_2!$J$2:$J$611,$C322),INDEX(Dataset3_Raw!$J$2:$J$391,$E322))</f>
        <v>0.18</v>
      </c>
      <c r="O322" s="25">
        <f>IF($C322&gt;0,IF(ISNUMBER(INDEX(Merge_1_2!$K$2:$K$611,$C322)),INDEX(Merge_1_2!$K$2:$K$611,$C322),""),INDEX(Dataset3_Raw!$K$2:$K$391,$E322))</f>
        <v>0.2424</v>
      </c>
      <c r="P322" s="25">
        <f>IF(ISNUMBER($O322),$O322,ROUND(Lookups!$B$25+Lookups!$B$24*$N322,4))</f>
        <v>0.2424</v>
      </c>
      <c r="Q322" s="25">
        <f>IF($C322&gt;0,INDEX(Merge_1_2!$L$2:$L$611,$C322),INDEX(Dataset3_Raw!$L$2:$L$391,$E322))</f>
        <v>0.59</v>
      </c>
      <c r="R322" s="25">
        <f>IF($C322&gt;0,INDEX(Merge_1_2!$M$2:$M$611,$C322),INDEX(Dataset3_Raw!$M$2:$M$391,$E322))</f>
        <v>0</v>
      </c>
      <c r="S322" s="23">
        <f>IF($C322&gt;0,INDEX(Merge_1_2!$N$2:$N$611,$C322),INDEX(Dataset3_Raw!$N$2:$N$391,$E322))</f>
        <v>0</v>
      </c>
      <c r="T322" s="23">
        <f>IF($C322&gt;0,INDEX(Merge_1_2!$O$2:$O$611,$C322),INDEX(Dataset3_Raw!$O$2:$O$391,$E322))</f>
        <v>68</v>
      </c>
      <c r="U322" s="23">
        <f>IF($C322&gt;0,INDEX(Merge_1_2!$P$2:$P$611,$C322),INDEX(Dataset3_Raw!$P$2:$P$391,$E322))</f>
        <v>68</v>
      </c>
      <c r="V322" s="23" t="str">
        <f t="shared" ref="V322:V385" si="31">IF($K322,"Holiday",IF(OR($L322=0,$L322=6),"Weekend","Weekday"))</f>
        <v>Weekday</v>
      </c>
      <c r="W322" s="23" t="str">
        <f>VLOOKUP($M322,Lookups!$A$5:$B$8,2,FALSE())</f>
        <v>Clear / Partly cloudy</v>
      </c>
      <c r="X322" s="23" t="str">
        <f>VLOOKUP($G322,Lookups!$D$5:$E$8,2,FALSE())</f>
        <v>Winter</v>
      </c>
      <c r="Y322" s="23" t="str">
        <f>VLOOKUP($L322,Lookups!$G$5:$H$11,2,FALSE())</f>
        <v>Friday</v>
      </c>
      <c r="Z322" s="23" t="str">
        <f>IF($J322&lt;Lookups!$B$26,"Night",IF($J322&lt;Lookups!$B$27,"Morning",IF($J322&lt;Lookups!$B$28,"Afternoon","Evening")))</f>
        <v>Evening</v>
      </c>
      <c r="AA322" s="26">
        <f>ROUND($N322*(Lookups!$B$16-Lookups!$B$15)+Lookups!$B$15,1)</f>
        <v>0.5</v>
      </c>
      <c r="AB322" s="26">
        <f>ROUND($P322*(Lookups!$B$18-Lookups!$B$17)+Lookups!$B$17,1)</f>
        <v>0</v>
      </c>
      <c r="AC322" s="23">
        <f t="shared" ref="AC322:AC385" si="32">ROUND($Q322*100,0)</f>
        <v>59</v>
      </c>
      <c r="AD322" s="23">
        <f>ROUND($R322*Lookups!$B$19,1)</f>
        <v>0</v>
      </c>
      <c r="AE322" s="27">
        <f t="shared" ref="AE322:AE385" si="33">IF($U322&gt;0,$T322/$U322,0)</f>
        <v>1</v>
      </c>
      <c r="AF322" s="23" t="str">
        <f>IF($U322&gt;=Lookups!$B$23,"High",IF($U322&gt;=Lookups!$B$22,"Medium","Low"))</f>
        <v>Medium</v>
      </c>
      <c r="AG322" s="23">
        <f>ROUND(IF($V322="Weekday",IF(INDEX(Hourly_Analysis!$D$5:$D$28,$J322+1)&gt;0,($U322-INDEX(Hourly_Analysis!$C$5:$C$28,$J322+1))/INDEX(Hourly_Analysis!$D$5:$D$28,$J322+1),0),IF(INDEX(Hourly_Analysis!$G$5:$G$28,$J322+1)&gt;0,($U322-INDEX(Hourly_Analysis!$F$5:$F$28,$J322+1))/INDEX(Hourly_Analysis!$G$5:$G$28,$J322+1),0)),2)</f>
        <v>-0.27</v>
      </c>
      <c r="AH322" s="23" t="str">
        <f>IF(ABS($AG322)&gt;Lookups!$B$20,IF($AG322&gt;0,"High anomaly","Low anomaly"),"")</f>
        <v/>
      </c>
      <c r="AI322" s="23" t="str">
        <f t="shared" ref="AI322:AI385" si="34">IF($S322+$T322=$U322,"OK","Mismatch")</f>
        <v>OK</v>
      </c>
      <c r="AJ322" s="23" t="str">
        <f t="shared" ref="AJ322:AJ385" si="35">IF(ISNUMBER($O322),"No","Yes")</f>
        <v>No</v>
      </c>
    </row>
    <row r="323" spans="1:36" x14ac:dyDescent="0.35">
      <c r="A323" s="23">
        <v>322</v>
      </c>
      <c r="B323" s="23" t="str">
        <f t="shared" si="30"/>
        <v>Merge 1+2</v>
      </c>
      <c r="C323" s="23">
        <f>IFERROR(MATCH($A323,Merge_1_2!$A$2:$A$611,0),0)</f>
        <v>322</v>
      </c>
      <c r="D323" s="23">
        <f>IF($C323&gt;0,INDEX(Merge_1_2!$Q$2:$Q$611,$C323),0)</f>
        <v>322</v>
      </c>
      <c r="E323" s="23">
        <f>IFERROR(MATCH($A323,Dataset3_Raw!$A$2:$A$391,0),0)</f>
        <v>0</v>
      </c>
      <c r="F323" s="24">
        <f>IF($C323&gt;0,INDEX(Merge_1_2!$B$2:$B$611,$C323),DATE(VALUE(RIGHT(INDEX(Dataset3_Raw!$B$2:$B$391,$E323),4)),VALUE(MID(INDEX(Dataset3_Raw!$B$2:$B$391,$E323),4,2)),VALUE(LEFT(INDEX(Dataset3_Raw!$B$2:$B$391,$E323),2))))</f>
        <v>40557</v>
      </c>
      <c r="G323" s="23">
        <f>IF($C323&gt;0,INDEX(Merge_1_2!$C$2:$C$611,$C323),INDEX(Dataset3_Raw!$C$2:$C$391,$E323))</f>
        <v>1</v>
      </c>
      <c r="H323" s="23">
        <f>IF($C323&gt;0,INDEX(Merge_1_2!$D$2:$D$611,$C323),INDEX(Dataset3_Raw!$D$2:$D$391,$E323))</f>
        <v>0</v>
      </c>
      <c r="I323" s="23">
        <f>IF($C323&gt;0,INDEX(Merge_1_2!$E$2:$E$611,$C323),INDEX(Dataset3_Raw!$E$2:$E$391,$E323))</f>
        <v>1</v>
      </c>
      <c r="J323" s="23">
        <f>IF($C323&gt;0,INDEX(Merge_1_2!$F$2:$F$611,$C323),INDEX(Dataset3_Raw!$F$2:$F$391,$E323))</f>
        <v>21</v>
      </c>
      <c r="K323" s="23" t="b">
        <f>IF($C323&gt;0,INDEX(Merge_1_2!$G$2:$G$611,$C323),INDEX(Dataset3_Raw!$G$2:$G$391,$E323))</f>
        <v>0</v>
      </c>
      <c r="L323" s="23">
        <f>IF($C323&gt;0,INDEX(Merge_1_2!$H$2:$H$611,$C323),INDEX(Dataset3_Raw!$H$2:$H$391,$E323))</f>
        <v>5</v>
      </c>
      <c r="M323" s="23">
        <f>IF($C323&gt;0,INDEX(Merge_1_2!$I$2:$I$611,$C323),INDEX(Dataset3_Raw!$I$2:$I$391,$E323))</f>
        <v>1</v>
      </c>
      <c r="N323" s="25">
        <f>IF($C323&gt;0,INDEX(Merge_1_2!$J$2:$J$611,$C323),INDEX(Dataset3_Raw!$J$2:$J$391,$E323))</f>
        <v>0.16</v>
      </c>
      <c r="O323" s="25">
        <f>IF($C323&gt;0,IF(ISNUMBER(INDEX(Merge_1_2!$K$2:$K$611,$C323)),INDEX(Merge_1_2!$K$2:$K$611,$C323),""),INDEX(Dataset3_Raw!$K$2:$K$391,$E323))</f>
        <v>0.2273</v>
      </c>
      <c r="P323" s="25">
        <f>IF(ISNUMBER($O323),$O323,ROUND(Lookups!$B$25+Lookups!$B$24*$N323,4))</f>
        <v>0.2273</v>
      </c>
      <c r="Q323" s="25">
        <f>IF($C323&gt;0,INDEX(Merge_1_2!$L$2:$L$611,$C323),INDEX(Dataset3_Raw!$L$2:$L$391,$E323))</f>
        <v>0.69</v>
      </c>
      <c r="R323" s="25">
        <f>IF($C323&gt;0,INDEX(Merge_1_2!$M$2:$M$611,$C323),INDEX(Dataset3_Raw!$M$2:$M$391,$E323))</f>
        <v>0</v>
      </c>
      <c r="S323" s="23">
        <f>IF($C323&gt;0,INDEX(Merge_1_2!$N$2:$N$611,$C323),INDEX(Dataset3_Raw!$N$2:$N$391,$E323))</f>
        <v>4</v>
      </c>
      <c r="T323" s="23">
        <f>IF($C323&gt;0,INDEX(Merge_1_2!$O$2:$O$611,$C323),INDEX(Dataset3_Raw!$O$2:$O$391,$E323))</f>
        <v>48</v>
      </c>
      <c r="U323" s="23">
        <f>IF($C323&gt;0,INDEX(Merge_1_2!$P$2:$P$611,$C323),INDEX(Dataset3_Raw!$P$2:$P$391,$E323))</f>
        <v>52</v>
      </c>
      <c r="V323" s="23" t="str">
        <f t="shared" si="31"/>
        <v>Weekday</v>
      </c>
      <c r="W323" s="23" t="str">
        <f>VLOOKUP($M323,Lookups!$A$5:$B$8,2,FALSE())</f>
        <v>Clear / Partly cloudy</v>
      </c>
      <c r="X323" s="23" t="str">
        <f>VLOOKUP($G323,Lookups!$D$5:$E$8,2,FALSE())</f>
        <v>Winter</v>
      </c>
      <c r="Y323" s="23" t="str">
        <f>VLOOKUP($L323,Lookups!$G$5:$H$11,2,FALSE())</f>
        <v>Friday</v>
      </c>
      <c r="Z323" s="23" t="str">
        <f>IF($J323&lt;Lookups!$B$26,"Night",IF($J323&lt;Lookups!$B$27,"Morning",IF($J323&lt;Lookups!$B$28,"Afternoon","Evening")))</f>
        <v>Evening</v>
      </c>
      <c r="AA323" s="26">
        <f>ROUND($N323*(Lookups!$B$16-Lookups!$B$15)+Lookups!$B$15,1)</f>
        <v>-0.5</v>
      </c>
      <c r="AB323" s="26">
        <f>ROUND($P323*(Lookups!$B$18-Lookups!$B$17)+Lookups!$B$17,1)</f>
        <v>-1</v>
      </c>
      <c r="AC323" s="23">
        <f t="shared" si="32"/>
        <v>69</v>
      </c>
      <c r="AD323" s="23">
        <f>ROUND($R323*Lookups!$B$19,1)</f>
        <v>0</v>
      </c>
      <c r="AE323" s="27">
        <f t="shared" si="33"/>
        <v>0.92307692307692313</v>
      </c>
      <c r="AF323" s="23" t="str">
        <f>IF($U323&gt;=Lookups!$B$23,"High",IF($U323&gt;=Lookups!$B$22,"Medium","Low"))</f>
        <v>Medium</v>
      </c>
      <c r="AG323" s="23">
        <f>ROUND(IF($V323="Weekday",IF(INDEX(Hourly_Analysis!$D$5:$D$28,$J323+1)&gt;0,($U323-INDEX(Hourly_Analysis!$C$5:$C$28,$J323+1))/INDEX(Hourly_Analysis!$D$5:$D$28,$J323+1),0),IF(INDEX(Hourly_Analysis!$G$5:$G$28,$J323+1)&gt;0,($U323-INDEX(Hourly_Analysis!$F$5:$F$28,$J323+1))/INDEX(Hourly_Analysis!$G$5:$G$28,$J323+1),0)),2)</f>
        <v>0.02</v>
      </c>
      <c r="AH323" s="23" t="str">
        <f>IF(ABS($AG323)&gt;Lookups!$B$20,IF($AG323&gt;0,"High anomaly","Low anomaly"),"")</f>
        <v/>
      </c>
      <c r="AI323" s="23" t="str">
        <f t="shared" si="34"/>
        <v>OK</v>
      </c>
      <c r="AJ323" s="23" t="str">
        <f t="shared" si="35"/>
        <v>No</v>
      </c>
    </row>
    <row r="324" spans="1:36" x14ac:dyDescent="0.35">
      <c r="A324" s="23">
        <v>323</v>
      </c>
      <c r="B324" s="23" t="str">
        <f t="shared" si="30"/>
        <v>Merge 1+2</v>
      </c>
      <c r="C324" s="23">
        <f>IFERROR(MATCH($A324,Merge_1_2!$A$2:$A$611,0),0)</f>
        <v>323</v>
      </c>
      <c r="D324" s="23">
        <f>IF($C324&gt;0,INDEX(Merge_1_2!$Q$2:$Q$611,$C324),0)</f>
        <v>323</v>
      </c>
      <c r="E324" s="23">
        <f>IFERROR(MATCH($A324,Dataset3_Raw!$A$2:$A$391,0),0)</f>
        <v>0</v>
      </c>
      <c r="F324" s="24">
        <f>IF($C324&gt;0,INDEX(Merge_1_2!$B$2:$B$611,$C324),DATE(VALUE(RIGHT(INDEX(Dataset3_Raw!$B$2:$B$391,$E324),4)),VALUE(MID(INDEX(Dataset3_Raw!$B$2:$B$391,$E324),4,2)),VALUE(LEFT(INDEX(Dataset3_Raw!$B$2:$B$391,$E324),2))))</f>
        <v>40557</v>
      </c>
      <c r="G324" s="23">
        <f>IF($C324&gt;0,INDEX(Merge_1_2!$C$2:$C$611,$C324),INDEX(Dataset3_Raw!$C$2:$C$391,$E324))</f>
        <v>1</v>
      </c>
      <c r="H324" s="23">
        <f>IF($C324&gt;0,INDEX(Merge_1_2!$D$2:$D$611,$C324),INDEX(Dataset3_Raw!$D$2:$D$391,$E324))</f>
        <v>0</v>
      </c>
      <c r="I324" s="23">
        <f>IF($C324&gt;0,INDEX(Merge_1_2!$E$2:$E$611,$C324),INDEX(Dataset3_Raw!$E$2:$E$391,$E324))</f>
        <v>1</v>
      </c>
      <c r="J324" s="23">
        <f>IF($C324&gt;0,INDEX(Merge_1_2!$F$2:$F$611,$C324),INDEX(Dataset3_Raw!$F$2:$F$391,$E324))</f>
        <v>22</v>
      </c>
      <c r="K324" s="23" t="b">
        <f>IF($C324&gt;0,INDEX(Merge_1_2!$G$2:$G$611,$C324),INDEX(Dataset3_Raw!$G$2:$G$391,$E324))</f>
        <v>0</v>
      </c>
      <c r="L324" s="23">
        <f>IF($C324&gt;0,INDEX(Merge_1_2!$H$2:$H$611,$C324),INDEX(Dataset3_Raw!$H$2:$H$391,$E324))</f>
        <v>5</v>
      </c>
      <c r="M324" s="23">
        <f>IF($C324&gt;0,INDEX(Merge_1_2!$I$2:$I$611,$C324),INDEX(Dataset3_Raw!$I$2:$I$391,$E324))</f>
        <v>2</v>
      </c>
      <c r="N324" s="25">
        <f>IF($C324&gt;0,INDEX(Merge_1_2!$J$2:$J$611,$C324),INDEX(Dataset3_Raw!$J$2:$J$391,$E324))</f>
        <v>0.16</v>
      </c>
      <c r="O324" s="25">
        <f>IF($C324&gt;0,IF(ISNUMBER(INDEX(Merge_1_2!$K$2:$K$611,$C324)),INDEX(Merge_1_2!$K$2:$K$611,$C324),""),INDEX(Dataset3_Raw!$K$2:$K$391,$E324))</f>
        <v>0.2273</v>
      </c>
      <c r="P324" s="25">
        <f>IF(ISNUMBER($O324),$O324,ROUND(Lookups!$B$25+Lookups!$B$24*$N324,4))</f>
        <v>0.2273</v>
      </c>
      <c r="Q324" s="25">
        <f>IF($C324&gt;0,INDEX(Merge_1_2!$L$2:$L$611,$C324),INDEX(Dataset3_Raw!$L$2:$L$391,$E324))</f>
        <v>0.69</v>
      </c>
      <c r="R324" s="25">
        <f>IF($C324&gt;0,INDEX(Merge_1_2!$M$2:$M$611,$C324),INDEX(Dataset3_Raw!$M$2:$M$391,$E324))</f>
        <v>0</v>
      </c>
      <c r="S324" s="23">
        <f>IF($C324&gt;0,INDEX(Merge_1_2!$N$2:$N$611,$C324),INDEX(Dataset3_Raw!$N$2:$N$391,$E324))</f>
        <v>2</v>
      </c>
      <c r="T324" s="23">
        <f>IF($C324&gt;0,INDEX(Merge_1_2!$O$2:$O$611,$C324),INDEX(Dataset3_Raw!$O$2:$O$391,$E324))</f>
        <v>34</v>
      </c>
      <c r="U324" s="23">
        <f>IF($C324&gt;0,INDEX(Merge_1_2!$P$2:$P$611,$C324),INDEX(Dataset3_Raw!$P$2:$P$391,$E324))</f>
        <v>36</v>
      </c>
      <c r="V324" s="23" t="str">
        <f t="shared" si="31"/>
        <v>Weekday</v>
      </c>
      <c r="W324" s="23" t="str">
        <f>VLOOKUP($M324,Lookups!$A$5:$B$8,2,FALSE())</f>
        <v>Mist / Cloudy</v>
      </c>
      <c r="X324" s="23" t="str">
        <f>VLOOKUP($G324,Lookups!$D$5:$E$8,2,FALSE())</f>
        <v>Winter</v>
      </c>
      <c r="Y324" s="23" t="str">
        <f>VLOOKUP($L324,Lookups!$G$5:$H$11,2,FALSE())</f>
        <v>Friday</v>
      </c>
      <c r="Z324" s="23" t="str">
        <f>IF($J324&lt;Lookups!$B$26,"Night",IF($J324&lt;Lookups!$B$27,"Morning",IF($J324&lt;Lookups!$B$28,"Afternoon","Evening")))</f>
        <v>Evening</v>
      </c>
      <c r="AA324" s="26">
        <f>ROUND($N324*(Lookups!$B$16-Lookups!$B$15)+Lookups!$B$15,1)</f>
        <v>-0.5</v>
      </c>
      <c r="AB324" s="26">
        <f>ROUND($P324*(Lookups!$B$18-Lookups!$B$17)+Lookups!$B$17,1)</f>
        <v>-1</v>
      </c>
      <c r="AC324" s="23">
        <f t="shared" si="32"/>
        <v>69</v>
      </c>
      <c r="AD324" s="23">
        <f>ROUND($R324*Lookups!$B$19,1)</f>
        <v>0</v>
      </c>
      <c r="AE324" s="27">
        <f t="shared" si="33"/>
        <v>0.94444444444444442</v>
      </c>
      <c r="AF324" s="23" t="str">
        <f>IF($U324&gt;=Lookups!$B$23,"High",IF($U324&gt;=Lookups!$B$22,"Medium","Low"))</f>
        <v>Medium</v>
      </c>
      <c r="AG324" s="23">
        <f>ROUND(IF($V324="Weekday",IF(INDEX(Hourly_Analysis!$D$5:$D$28,$J324+1)&gt;0,($U324-INDEX(Hourly_Analysis!$C$5:$C$28,$J324+1))/INDEX(Hourly_Analysis!$D$5:$D$28,$J324+1),0),IF(INDEX(Hourly_Analysis!$G$5:$G$28,$J324+1)&gt;0,($U324-INDEX(Hourly_Analysis!$F$5:$F$28,$J324+1))/INDEX(Hourly_Analysis!$G$5:$G$28,$J324+1),0)),2)</f>
        <v>-0.2</v>
      </c>
      <c r="AH324" s="23" t="str">
        <f>IF(ABS($AG324)&gt;Lookups!$B$20,IF($AG324&gt;0,"High anomaly","Low anomaly"),"")</f>
        <v/>
      </c>
      <c r="AI324" s="23" t="str">
        <f t="shared" si="34"/>
        <v>OK</v>
      </c>
      <c r="AJ324" s="23" t="str">
        <f t="shared" si="35"/>
        <v>No</v>
      </c>
    </row>
    <row r="325" spans="1:36" x14ac:dyDescent="0.35">
      <c r="A325" s="23">
        <v>324</v>
      </c>
      <c r="B325" s="23" t="str">
        <f t="shared" si="30"/>
        <v>Merge 1+2</v>
      </c>
      <c r="C325" s="23">
        <f>IFERROR(MATCH($A325,Merge_1_2!$A$2:$A$611,0),0)</f>
        <v>324</v>
      </c>
      <c r="D325" s="23">
        <f>IF($C325&gt;0,INDEX(Merge_1_2!$Q$2:$Q$611,$C325),0)</f>
        <v>324</v>
      </c>
      <c r="E325" s="23">
        <f>IFERROR(MATCH($A325,Dataset3_Raw!$A$2:$A$391,0),0)</f>
        <v>0</v>
      </c>
      <c r="F325" s="24">
        <f>IF($C325&gt;0,INDEX(Merge_1_2!$B$2:$B$611,$C325),DATE(VALUE(RIGHT(INDEX(Dataset3_Raw!$B$2:$B$391,$E325),4)),VALUE(MID(INDEX(Dataset3_Raw!$B$2:$B$391,$E325),4,2)),VALUE(LEFT(INDEX(Dataset3_Raw!$B$2:$B$391,$E325),2))))</f>
        <v>40557</v>
      </c>
      <c r="G325" s="23">
        <f>IF($C325&gt;0,INDEX(Merge_1_2!$C$2:$C$611,$C325),INDEX(Dataset3_Raw!$C$2:$C$391,$E325))</f>
        <v>1</v>
      </c>
      <c r="H325" s="23">
        <f>IF($C325&gt;0,INDEX(Merge_1_2!$D$2:$D$611,$C325),INDEX(Dataset3_Raw!$D$2:$D$391,$E325))</f>
        <v>0</v>
      </c>
      <c r="I325" s="23">
        <f>IF($C325&gt;0,INDEX(Merge_1_2!$E$2:$E$611,$C325),INDEX(Dataset3_Raw!$E$2:$E$391,$E325))</f>
        <v>1</v>
      </c>
      <c r="J325" s="23">
        <f>IF($C325&gt;0,INDEX(Merge_1_2!$F$2:$F$611,$C325),INDEX(Dataset3_Raw!$F$2:$F$391,$E325))</f>
        <v>23</v>
      </c>
      <c r="K325" s="23" t="b">
        <f>IF($C325&gt;0,INDEX(Merge_1_2!$G$2:$G$611,$C325),INDEX(Dataset3_Raw!$G$2:$G$391,$E325))</f>
        <v>0</v>
      </c>
      <c r="L325" s="23">
        <f>IF($C325&gt;0,INDEX(Merge_1_2!$H$2:$H$611,$C325),INDEX(Dataset3_Raw!$H$2:$H$391,$E325))</f>
        <v>5</v>
      </c>
      <c r="M325" s="23">
        <f>IF($C325&gt;0,INDEX(Merge_1_2!$I$2:$I$611,$C325),INDEX(Dataset3_Raw!$I$2:$I$391,$E325))</f>
        <v>2</v>
      </c>
      <c r="N325" s="25">
        <f>IF($C325&gt;0,INDEX(Merge_1_2!$J$2:$J$611,$C325),INDEX(Dataset3_Raw!$J$2:$J$391,$E325))</f>
        <v>0.18</v>
      </c>
      <c r="O325" s="25">
        <f>IF($C325&gt;0,IF(ISNUMBER(INDEX(Merge_1_2!$K$2:$K$611,$C325)),INDEX(Merge_1_2!$K$2:$K$611,$C325),""),INDEX(Dataset3_Raw!$K$2:$K$391,$E325))</f>
        <v>0.2424</v>
      </c>
      <c r="P325" s="25">
        <f>IF(ISNUMBER($O325),$O325,ROUND(Lookups!$B$25+Lookups!$B$24*$N325,4))</f>
        <v>0.2424</v>
      </c>
      <c r="Q325" s="25">
        <f>IF($C325&gt;0,INDEX(Merge_1_2!$L$2:$L$611,$C325),INDEX(Dataset3_Raw!$L$2:$L$391,$E325))</f>
        <v>0.55000000000000004</v>
      </c>
      <c r="R325" s="25">
        <f>IF($C325&gt;0,INDEX(Merge_1_2!$M$2:$M$611,$C325),INDEX(Dataset3_Raw!$M$2:$M$391,$E325))</f>
        <v>0</v>
      </c>
      <c r="S325" s="23">
        <f>IF($C325&gt;0,INDEX(Merge_1_2!$N$2:$N$611,$C325),INDEX(Dataset3_Raw!$N$2:$N$391,$E325))</f>
        <v>1</v>
      </c>
      <c r="T325" s="23">
        <f>IF($C325&gt;0,INDEX(Merge_1_2!$O$2:$O$611,$C325),INDEX(Dataset3_Raw!$O$2:$O$391,$E325))</f>
        <v>26</v>
      </c>
      <c r="U325" s="23">
        <f>IF($C325&gt;0,INDEX(Merge_1_2!$P$2:$P$611,$C325),INDEX(Dataset3_Raw!$P$2:$P$391,$E325))</f>
        <v>27</v>
      </c>
      <c r="V325" s="23" t="str">
        <f t="shared" si="31"/>
        <v>Weekday</v>
      </c>
      <c r="W325" s="23" t="str">
        <f>VLOOKUP($M325,Lookups!$A$5:$B$8,2,FALSE())</f>
        <v>Mist / Cloudy</v>
      </c>
      <c r="X325" s="23" t="str">
        <f>VLOOKUP($G325,Lookups!$D$5:$E$8,2,FALSE())</f>
        <v>Winter</v>
      </c>
      <c r="Y325" s="23" t="str">
        <f>VLOOKUP($L325,Lookups!$G$5:$H$11,2,FALSE())</f>
        <v>Friday</v>
      </c>
      <c r="Z325" s="23" t="str">
        <f>IF($J325&lt;Lookups!$B$26,"Night",IF($J325&lt;Lookups!$B$27,"Morning",IF($J325&lt;Lookups!$B$28,"Afternoon","Evening")))</f>
        <v>Evening</v>
      </c>
      <c r="AA325" s="26">
        <f>ROUND($N325*(Lookups!$B$16-Lookups!$B$15)+Lookups!$B$15,1)</f>
        <v>0.5</v>
      </c>
      <c r="AB325" s="26">
        <f>ROUND($P325*(Lookups!$B$18-Lookups!$B$17)+Lookups!$B$17,1)</f>
        <v>0</v>
      </c>
      <c r="AC325" s="23">
        <f t="shared" si="32"/>
        <v>55</v>
      </c>
      <c r="AD325" s="23">
        <f>ROUND($R325*Lookups!$B$19,1)</f>
        <v>0</v>
      </c>
      <c r="AE325" s="27">
        <f t="shared" si="33"/>
        <v>0.96296296296296291</v>
      </c>
      <c r="AF325" s="23" t="str">
        <f>IF($U325&gt;=Lookups!$B$23,"High",IF($U325&gt;=Lookups!$B$22,"Medium","Low"))</f>
        <v>Medium</v>
      </c>
      <c r="AG325" s="23">
        <f>ROUND(IF($V325="Weekday",IF(INDEX(Hourly_Analysis!$D$5:$D$28,$J325+1)&gt;0,($U325-INDEX(Hourly_Analysis!$C$5:$C$28,$J325+1))/INDEX(Hourly_Analysis!$D$5:$D$28,$J325+1),0),IF(INDEX(Hourly_Analysis!$G$5:$G$28,$J325+1)&gt;0,($U325-INDEX(Hourly_Analysis!$F$5:$F$28,$J325+1))/INDEX(Hourly_Analysis!$G$5:$G$28,$J325+1),0)),2)</f>
        <v>0.26</v>
      </c>
      <c r="AH325" s="23" t="str">
        <f>IF(ABS($AG325)&gt;Lookups!$B$20,IF($AG325&gt;0,"High anomaly","Low anomaly"),"")</f>
        <v/>
      </c>
      <c r="AI325" s="23" t="str">
        <f t="shared" si="34"/>
        <v>OK</v>
      </c>
      <c r="AJ325" s="23" t="str">
        <f t="shared" si="35"/>
        <v>No</v>
      </c>
    </row>
    <row r="326" spans="1:36" x14ac:dyDescent="0.35">
      <c r="A326" s="23">
        <v>325</v>
      </c>
      <c r="B326" s="23" t="str">
        <f t="shared" si="30"/>
        <v>Merge 1+2</v>
      </c>
      <c r="C326" s="23">
        <f>IFERROR(MATCH($A326,Merge_1_2!$A$2:$A$611,0),0)</f>
        <v>325</v>
      </c>
      <c r="D326" s="23">
        <f>IF($C326&gt;0,INDEX(Merge_1_2!$Q$2:$Q$611,$C326),0)</f>
        <v>325</v>
      </c>
      <c r="E326" s="23">
        <f>IFERROR(MATCH($A326,Dataset3_Raw!$A$2:$A$391,0),0)</f>
        <v>0</v>
      </c>
      <c r="F326" s="24">
        <f>IF($C326&gt;0,INDEX(Merge_1_2!$B$2:$B$611,$C326),DATE(VALUE(RIGHT(INDEX(Dataset3_Raw!$B$2:$B$391,$E326),4)),VALUE(MID(INDEX(Dataset3_Raw!$B$2:$B$391,$E326),4,2)),VALUE(LEFT(INDEX(Dataset3_Raw!$B$2:$B$391,$E326),2))))</f>
        <v>40558</v>
      </c>
      <c r="G326" s="23">
        <f>IF($C326&gt;0,INDEX(Merge_1_2!$C$2:$C$611,$C326),INDEX(Dataset3_Raw!$C$2:$C$391,$E326))</f>
        <v>1</v>
      </c>
      <c r="H326" s="23">
        <f>IF($C326&gt;0,INDEX(Merge_1_2!$D$2:$D$611,$C326),INDEX(Dataset3_Raw!$D$2:$D$391,$E326))</f>
        <v>0</v>
      </c>
      <c r="I326" s="23">
        <f>IF($C326&gt;0,INDEX(Merge_1_2!$E$2:$E$611,$C326),INDEX(Dataset3_Raw!$E$2:$E$391,$E326))</f>
        <v>1</v>
      </c>
      <c r="J326" s="23">
        <f>IF($C326&gt;0,INDEX(Merge_1_2!$F$2:$F$611,$C326),INDEX(Dataset3_Raw!$F$2:$F$391,$E326))</f>
        <v>0</v>
      </c>
      <c r="K326" s="23" t="b">
        <f>IF($C326&gt;0,INDEX(Merge_1_2!$G$2:$G$611,$C326),INDEX(Dataset3_Raw!$G$2:$G$391,$E326))</f>
        <v>0</v>
      </c>
      <c r="L326" s="23">
        <f>IF($C326&gt;0,INDEX(Merge_1_2!$H$2:$H$611,$C326),INDEX(Dataset3_Raw!$H$2:$H$391,$E326))</f>
        <v>6</v>
      </c>
      <c r="M326" s="23">
        <f>IF($C326&gt;0,INDEX(Merge_1_2!$I$2:$I$611,$C326),INDEX(Dataset3_Raw!$I$2:$I$391,$E326))</f>
        <v>1</v>
      </c>
      <c r="N326" s="25">
        <f>IF($C326&gt;0,INDEX(Merge_1_2!$J$2:$J$611,$C326),INDEX(Dataset3_Raw!$J$2:$J$391,$E326))</f>
        <v>0.18</v>
      </c>
      <c r="O326" s="25">
        <f>IF($C326&gt;0,IF(ISNUMBER(INDEX(Merge_1_2!$K$2:$K$611,$C326)),INDEX(Merge_1_2!$K$2:$K$611,$C326),""),INDEX(Dataset3_Raw!$K$2:$K$391,$E326))</f>
        <v>0.2424</v>
      </c>
      <c r="P326" s="25">
        <f>IF(ISNUMBER($O326),$O326,ROUND(Lookups!$B$25+Lookups!$B$24*$N326,4))</f>
        <v>0.2424</v>
      </c>
      <c r="Q326" s="25">
        <f>IF($C326&gt;0,INDEX(Merge_1_2!$L$2:$L$611,$C326),INDEX(Dataset3_Raw!$L$2:$L$391,$E326))</f>
        <v>0.55000000000000004</v>
      </c>
      <c r="R326" s="25">
        <f>IF($C326&gt;0,INDEX(Merge_1_2!$M$2:$M$611,$C326),INDEX(Dataset3_Raw!$M$2:$M$391,$E326))</f>
        <v>0</v>
      </c>
      <c r="S326" s="23">
        <f>IF($C326&gt;0,INDEX(Merge_1_2!$N$2:$N$611,$C326),INDEX(Dataset3_Raw!$N$2:$N$391,$E326))</f>
        <v>3</v>
      </c>
      <c r="T326" s="23">
        <f>IF($C326&gt;0,INDEX(Merge_1_2!$O$2:$O$611,$C326),INDEX(Dataset3_Raw!$O$2:$O$391,$E326))</f>
        <v>25</v>
      </c>
      <c r="U326" s="23">
        <f>IF($C326&gt;0,INDEX(Merge_1_2!$P$2:$P$611,$C326),INDEX(Dataset3_Raw!$P$2:$P$391,$E326))</f>
        <v>28</v>
      </c>
      <c r="V326" s="23" t="str">
        <f t="shared" si="31"/>
        <v>Weekend</v>
      </c>
      <c r="W326" s="23" t="str">
        <f>VLOOKUP($M326,Lookups!$A$5:$B$8,2,FALSE())</f>
        <v>Clear / Partly cloudy</v>
      </c>
      <c r="X326" s="23" t="str">
        <f>VLOOKUP($G326,Lookups!$D$5:$E$8,2,FALSE())</f>
        <v>Winter</v>
      </c>
      <c r="Y326" s="23" t="str">
        <f>VLOOKUP($L326,Lookups!$G$5:$H$11,2,FALSE())</f>
        <v>Saturday</v>
      </c>
      <c r="Z326" s="23" t="str">
        <f>IF($J326&lt;Lookups!$B$26,"Night",IF($J326&lt;Lookups!$B$27,"Morning",IF($J326&lt;Lookups!$B$28,"Afternoon","Evening")))</f>
        <v>Night</v>
      </c>
      <c r="AA326" s="26">
        <f>ROUND($N326*(Lookups!$B$16-Lookups!$B$15)+Lookups!$B$15,1)</f>
        <v>0.5</v>
      </c>
      <c r="AB326" s="26">
        <f>ROUND($P326*(Lookups!$B$18-Lookups!$B$17)+Lookups!$B$17,1)</f>
        <v>0</v>
      </c>
      <c r="AC326" s="23">
        <f t="shared" si="32"/>
        <v>55</v>
      </c>
      <c r="AD326" s="23">
        <f>ROUND($R326*Lookups!$B$19,1)</f>
        <v>0</v>
      </c>
      <c r="AE326" s="27">
        <f t="shared" si="33"/>
        <v>0.8928571428571429</v>
      </c>
      <c r="AF326" s="23" t="str">
        <f>IF($U326&gt;=Lookups!$B$23,"High",IF($U326&gt;=Lookups!$B$22,"Medium","Low"))</f>
        <v>Medium</v>
      </c>
      <c r="AG326" s="23">
        <f>ROUND(IF($V326="Weekday",IF(INDEX(Hourly_Analysis!$D$5:$D$28,$J326+1)&gt;0,($U326-INDEX(Hourly_Analysis!$C$5:$C$28,$J326+1))/INDEX(Hourly_Analysis!$D$5:$D$28,$J326+1),0),IF(INDEX(Hourly_Analysis!$G$5:$G$28,$J326+1)&gt;0,($U326-INDEX(Hourly_Analysis!$F$5:$F$28,$J326+1))/INDEX(Hourly_Analysis!$G$5:$G$28,$J326+1),0)),2)</f>
        <v>7.0000000000000007E-2</v>
      </c>
      <c r="AH326" s="23" t="str">
        <f>IF(ABS($AG326)&gt;Lookups!$B$20,IF($AG326&gt;0,"High anomaly","Low anomaly"),"")</f>
        <v/>
      </c>
      <c r="AI326" s="23" t="str">
        <f t="shared" si="34"/>
        <v>OK</v>
      </c>
      <c r="AJ326" s="23" t="str">
        <f t="shared" si="35"/>
        <v>No</v>
      </c>
    </row>
    <row r="327" spans="1:36" x14ac:dyDescent="0.35">
      <c r="A327" s="23">
        <v>326</v>
      </c>
      <c r="B327" s="23" t="str">
        <f t="shared" si="30"/>
        <v>Merge 1+2</v>
      </c>
      <c r="C327" s="23">
        <f>IFERROR(MATCH($A327,Merge_1_2!$A$2:$A$611,0),0)</f>
        <v>326</v>
      </c>
      <c r="D327" s="23">
        <f>IF($C327&gt;0,INDEX(Merge_1_2!$Q$2:$Q$611,$C327),0)</f>
        <v>326</v>
      </c>
      <c r="E327" s="23">
        <f>IFERROR(MATCH($A327,Dataset3_Raw!$A$2:$A$391,0),0)</f>
        <v>0</v>
      </c>
      <c r="F327" s="24">
        <f>IF($C327&gt;0,INDEX(Merge_1_2!$B$2:$B$611,$C327),DATE(VALUE(RIGHT(INDEX(Dataset3_Raw!$B$2:$B$391,$E327),4)),VALUE(MID(INDEX(Dataset3_Raw!$B$2:$B$391,$E327),4,2)),VALUE(LEFT(INDEX(Dataset3_Raw!$B$2:$B$391,$E327),2))))</f>
        <v>40558</v>
      </c>
      <c r="G327" s="23">
        <f>IF($C327&gt;0,INDEX(Merge_1_2!$C$2:$C$611,$C327),INDEX(Dataset3_Raw!$C$2:$C$391,$E327))</f>
        <v>1</v>
      </c>
      <c r="H327" s="23">
        <f>IF($C327&gt;0,INDEX(Merge_1_2!$D$2:$D$611,$C327),INDEX(Dataset3_Raw!$D$2:$D$391,$E327))</f>
        <v>0</v>
      </c>
      <c r="I327" s="23">
        <f>IF($C327&gt;0,INDEX(Merge_1_2!$E$2:$E$611,$C327),INDEX(Dataset3_Raw!$E$2:$E$391,$E327))</f>
        <v>1</v>
      </c>
      <c r="J327" s="23">
        <f>IF($C327&gt;0,INDEX(Merge_1_2!$F$2:$F$611,$C327),INDEX(Dataset3_Raw!$F$2:$F$391,$E327))</f>
        <v>1</v>
      </c>
      <c r="K327" s="23" t="b">
        <f>IF($C327&gt;0,INDEX(Merge_1_2!$G$2:$G$611,$C327),INDEX(Dataset3_Raw!$G$2:$G$391,$E327))</f>
        <v>0</v>
      </c>
      <c r="L327" s="23">
        <f>IF($C327&gt;0,INDEX(Merge_1_2!$H$2:$H$611,$C327),INDEX(Dataset3_Raw!$H$2:$H$391,$E327))</f>
        <v>6</v>
      </c>
      <c r="M327" s="23">
        <f>IF($C327&gt;0,INDEX(Merge_1_2!$I$2:$I$611,$C327),INDEX(Dataset3_Raw!$I$2:$I$391,$E327))</f>
        <v>2</v>
      </c>
      <c r="N327" s="25">
        <f>IF($C327&gt;0,INDEX(Merge_1_2!$J$2:$J$611,$C327),INDEX(Dataset3_Raw!$J$2:$J$391,$E327))</f>
        <v>0.16</v>
      </c>
      <c r="O327" s="25">
        <f>IF($C327&gt;0,IF(ISNUMBER(INDEX(Merge_1_2!$K$2:$K$611,$C327)),INDEX(Merge_1_2!$K$2:$K$611,$C327),""),INDEX(Dataset3_Raw!$K$2:$K$391,$E327))</f>
        <v>0.19700000000000001</v>
      </c>
      <c r="P327" s="25">
        <f>IF(ISNUMBER($O327),$O327,ROUND(Lookups!$B$25+Lookups!$B$24*$N327,4))</f>
        <v>0.19700000000000001</v>
      </c>
      <c r="Q327" s="25">
        <f>IF($C327&gt;0,INDEX(Merge_1_2!$L$2:$L$611,$C327),INDEX(Dataset3_Raw!$L$2:$L$391,$E327))</f>
        <v>0.59</v>
      </c>
      <c r="R327" s="25">
        <f>IF($C327&gt;0,INDEX(Merge_1_2!$M$2:$M$611,$C327),INDEX(Dataset3_Raw!$M$2:$M$391,$E327))</f>
        <v>8.9599999999999999E-2</v>
      </c>
      <c r="S327" s="23">
        <f>IF($C327&gt;0,INDEX(Merge_1_2!$N$2:$N$611,$C327),INDEX(Dataset3_Raw!$N$2:$N$391,$E327))</f>
        <v>2</v>
      </c>
      <c r="T327" s="23">
        <f>IF($C327&gt;0,INDEX(Merge_1_2!$O$2:$O$611,$C327),INDEX(Dataset3_Raw!$O$2:$O$391,$E327))</f>
        <v>18</v>
      </c>
      <c r="U327" s="23">
        <f>IF($C327&gt;0,INDEX(Merge_1_2!$P$2:$P$611,$C327),INDEX(Dataset3_Raw!$P$2:$P$391,$E327))</f>
        <v>20</v>
      </c>
      <c r="V327" s="23" t="str">
        <f t="shared" si="31"/>
        <v>Weekend</v>
      </c>
      <c r="W327" s="23" t="str">
        <f>VLOOKUP($M327,Lookups!$A$5:$B$8,2,FALSE())</f>
        <v>Mist / Cloudy</v>
      </c>
      <c r="X327" s="23" t="str">
        <f>VLOOKUP($G327,Lookups!$D$5:$E$8,2,FALSE())</f>
        <v>Winter</v>
      </c>
      <c r="Y327" s="23" t="str">
        <f>VLOOKUP($L327,Lookups!$G$5:$H$11,2,FALSE())</f>
        <v>Saturday</v>
      </c>
      <c r="Z327" s="23" t="str">
        <f>IF($J327&lt;Lookups!$B$26,"Night",IF($J327&lt;Lookups!$B$27,"Morning",IF($J327&lt;Lookups!$B$28,"Afternoon","Evening")))</f>
        <v>Night</v>
      </c>
      <c r="AA327" s="26">
        <f>ROUND($N327*(Lookups!$B$16-Lookups!$B$15)+Lookups!$B$15,1)</f>
        <v>-0.5</v>
      </c>
      <c r="AB327" s="26">
        <f>ROUND($P327*(Lookups!$B$18-Lookups!$B$17)+Lookups!$B$17,1)</f>
        <v>-3</v>
      </c>
      <c r="AC327" s="23">
        <f t="shared" si="32"/>
        <v>59</v>
      </c>
      <c r="AD327" s="23">
        <f>ROUND($R327*Lookups!$B$19,1)</f>
        <v>6</v>
      </c>
      <c r="AE327" s="27">
        <f t="shared" si="33"/>
        <v>0.9</v>
      </c>
      <c r="AF327" s="23" t="str">
        <f>IF($U327&gt;=Lookups!$B$23,"High",IF($U327&gt;=Lookups!$B$22,"Medium","Low"))</f>
        <v>Medium</v>
      </c>
      <c r="AG327" s="23">
        <f>ROUND(IF($V327="Weekday",IF(INDEX(Hourly_Analysis!$D$5:$D$28,$J327+1)&gt;0,($U327-INDEX(Hourly_Analysis!$C$5:$C$28,$J327+1))/INDEX(Hourly_Analysis!$D$5:$D$28,$J327+1),0),IF(INDEX(Hourly_Analysis!$G$5:$G$28,$J327+1)&gt;0,($U327-INDEX(Hourly_Analysis!$F$5:$F$28,$J327+1))/INDEX(Hourly_Analysis!$G$5:$G$28,$J327+1),0)),2)</f>
        <v>-0.2</v>
      </c>
      <c r="AH327" s="23" t="str">
        <f>IF(ABS($AG327)&gt;Lookups!$B$20,IF($AG327&gt;0,"High anomaly","Low anomaly"),"")</f>
        <v/>
      </c>
      <c r="AI327" s="23" t="str">
        <f t="shared" si="34"/>
        <v>OK</v>
      </c>
      <c r="AJ327" s="23" t="str">
        <f t="shared" si="35"/>
        <v>No</v>
      </c>
    </row>
    <row r="328" spans="1:36" x14ac:dyDescent="0.35">
      <c r="A328" s="23">
        <v>327</v>
      </c>
      <c r="B328" s="23" t="str">
        <f t="shared" si="30"/>
        <v>Merge 1+2</v>
      </c>
      <c r="C328" s="23">
        <f>IFERROR(MATCH($A328,Merge_1_2!$A$2:$A$611,0),0)</f>
        <v>327</v>
      </c>
      <c r="D328" s="23">
        <f>IF($C328&gt;0,INDEX(Merge_1_2!$Q$2:$Q$611,$C328),0)</f>
        <v>327</v>
      </c>
      <c r="E328" s="23">
        <f>IFERROR(MATCH($A328,Dataset3_Raw!$A$2:$A$391,0),0)</f>
        <v>0</v>
      </c>
      <c r="F328" s="24">
        <f>IF($C328&gt;0,INDEX(Merge_1_2!$B$2:$B$611,$C328),DATE(VALUE(RIGHT(INDEX(Dataset3_Raw!$B$2:$B$391,$E328),4)),VALUE(MID(INDEX(Dataset3_Raw!$B$2:$B$391,$E328),4,2)),VALUE(LEFT(INDEX(Dataset3_Raw!$B$2:$B$391,$E328),2))))</f>
        <v>40558</v>
      </c>
      <c r="G328" s="23">
        <f>IF($C328&gt;0,INDEX(Merge_1_2!$C$2:$C$611,$C328),INDEX(Dataset3_Raw!$C$2:$C$391,$E328))</f>
        <v>1</v>
      </c>
      <c r="H328" s="23">
        <f>IF($C328&gt;0,INDEX(Merge_1_2!$D$2:$D$611,$C328),INDEX(Dataset3_Raw!$D$2:$D$391,$E328))</f>
        <v>0</v>
      </c>
      <c r="I328" s="23">
        <f>IF($C328&gt;0,INDEX(Merge_1_2!$E$2:$E$611,$C328),INDEX(Dataset3_Raw!$E$2:$E$391,$E328))</f>
        <v>1</v>
      </c>
      <c r="J328" s="23">
        <f>IF($C328&gt;0,INDEX(Merge_1_2!$F$2:$F$611,$C328),INDEX(Dataset3_Raw!$F$2:$F$391,$E328))</f>
        <v>2</v>
      </c>
      <c r="K328" s="23" t="b">
        <f>IF($C328&gt;0,INDEX(Merge_1_2!$G$2:$G$611,$C328),INDEX(Dataset3_Raw!$G$2:$G$391,$E328))</f>
        <v>0</v>
      </c>
      <c r="L328" s="23">
        <f>IF($C328&gt;0,INDEX(Merge_1_2!$H$2:$H$611,$C328),INDEX(Dataset3_Raw!$H$2:$H$391,$E328))</f>
        <v>6</v>
      </c>
      <c r="M328" s="23">
        <f>IF($C328&gt;0,INDEX(Merge_1_2!$I$2:$I$611,$C328),INDEX(Dataset3_Raw!$I$2:$I$391,$E328))</f>
        <v>2</v>
      </c>
      <c r="N328" s="25">
        <f>IF($C328&gt;0,INDEX(Merge_1_2!$J$2:$J$611,$C328),INDEX(Dataset3_Raw!$J$2:$J$391,$E328))</f>
        <v>0.16</v>
      </c>
      <c r="O328" s="25">
        <f>IF($C328&gt;0,IF(ISNUMBER(INDEX(Merge_1_2!$K$2:$K$611,$C328)),INDEX(Merge_1_2!$K$2:$K$611,$C328),""),INDEX(Dataset3_Raw!$K$2:$K$391,$E328))</f>
        <v>0.19700000000000001</v>
      </c>
      <c r="P328" s="25">
        <f>IF(ISNUMBER($O328),$O328,ROUND(Lookups!$B$25+Lookups!$B$24*$N328,4))</f>
        <v>0.19700000000000001</v>
      </c>
      <c r="Q328" s="25">
        <f>IF($C328&gt;0,INDEX(Merge_1_2!$L$2:$L$611,$C328),INDEX(Dataset3_Raw!$L$2:$L$391,$E328))</f>
        <v>0.59</v>
      </c>
      <c r="R328" s="25">
        <f>IF($C328&gt;0,INDEX(Merge_1_2!$M$2:$M$611,$C328),INDEX(Dataset3_Raw!$M$2:$M$391,$E328))</f>
        <v>8.9599999999999999E-2</v>
      </c>
      <c r="S328" s="23">
        <f>IF($C328&gt;0,INDEX(Merge_1_2!$N$2:$N$611,$C328),INDEX(Dataset3_Raw!$N$2:$N$391,$E328))</f>
        <v>0</v>
      </c>
      <c r="T328" s="23">
        <f>IF($C328&gt;0,INDEX(Merge_1_2!$O$2:$O$611,$C328),INDEX(Dataset3_Raw!$O$2:$O$391,$E328))</f>
        <v>12</v>
      </c>
      <c r="U328" s="23">
        <f>IF($C328&gt;0,INDEX(Merge_1_2!$P$2:$P$611,$C328),INDEX(Dataset3_Raw!$P$2:$P$391,$E328))</f>
        <v>12</v>
      </c>
      <c r="V328" s="23" t="str">
        <f t="shared" si="31"/>
        <v>Weekend</v>
      </c>
      <c r="W328" s="23" t="str">
        <f>VLOOKUP($M328,Lookups!$A$5:$B$8,2,FALSE())</f>
        <v>Mist / Cloudy</v>
      </c>
      <c r="X328" s="23" t="str">
        <f>VLOOKUP($G328,Lookups!$D$5:$E$8,2,FALSE())</f>
        <v>Winter</v>
      </c>
      <c r="Y328" s="23" t="str">
        <f>VLOOKUP($L328,Lookups!$G$5:$H$11,2,FALSE())</f>
        <v>Saturday</v>
      </c>
      <c r="Z328" s="23" t="str">
        <f>IF($J328&lt;Lookups!$B$26,"Night",IF($J328&lt;Lookups!$B$27,"Morning",IF($J328&lt;Lookups!$B$28,"Afternoon","Evening")))</f>
        <v>Night</v>
      </c>
      <c r="AA328" s="26">
        <f>ROUND($N328*(Lookups!$B$16-Lookups!$B$15)+Lookups!$B$15,1)</f>
        <v>-0.5</v>
      </c>
      <c r="AB328" s="26">
        <f>ROUND($P328*(Lookups!$B$18-Lookups!$B$17)+Lookups!$B$17,1)</f>
        <v>-3</v>
      </c>
      <c r="AC328" s="23">
        <f t="shared" si="32"/>
        <v>59</v>
      </c>
      <c r="AD328" s="23">
        <f>ROUND($R328*Lookups!$B$19,1)</f>
        <v>6</v>
      </c>
      <c r="AE328" s="27">
        <f t="shared" si="33"/>
        <v>1</v>
      </c>
      <c r="AF328" s="23" t="str">
        <f>IF($U328&gt;=Lookups!$B$23,"High",IF($U328&gt;=Lookups!$B$22,"Medium","Low"))</f>
        <v>Low</v>
      </c>
      <c r="AG328" s="23">
        <f>ROUND(IF($V328="Weekday",IF(INDEX(Hourly_Analysis!$D$5:$D$28,$J328+1)&gt;0,($U328-INDEX(Hourly_Analysis!$C$5:$C$28,$J328+1))/INDEX(Hourly_Analysis!$D$5:$D$28,$J328+1),0),IF(INDEX(Hourly_Analysis!$G$5:$G$28,$J328+1)&gt;0,($U328-INDEX(Hourly_Analysis!$F$5:$F$28,$J328+1))/INDEX(Hourly_Analysis!$G$5:$G$28,$J328+1),0)),2)</f>
        <v>-0.56999999999999995</v>
      </c>
      <c r="AH328" s="23" t="str">
        <f>IF(ABS($AG328)&gt;Lookups!$B$20,IF($AG328&gt;0,"High anomaly","Low anomaly"),"")</f>
        <v/>
      </c>
      <c r="AI328" s="23" t="str">
        <f t="shared" si="34"/>
        <v>OK</v>
      </c>
      <c r="AJ328" s="23" t="str">
        <f t="shared" si="35"/>
        <v>No</v>
      </c>
    </row>
    <row r="329" spans="1:36" x14ac:dyDescent="0.35">
      <c r="A329" s="23">
        <v>328</v>
      </c>
      <c r="B329" s="23" t="str">
        <f t="shared" si="30"/>
        <v>Merge 1+2</v>
      </c>
      <c r="C329" s="23">
        <f>IFERROR(MATCH($A329,Merge_1_2!$A$2:$A$611,0),0)</f>
        <v>328</v>
      </c>
      <c r="D329" s="23">
        <f>IF($C329&gt;0,INDEX(Merge_1_2!$Q$2:$Q$611,$C329),0)</f>
        <v>328</v>
      </c>
      <c r="E329" s="23">
        <f>IFERROR(MATCH($A329,Dataset3_Raw!$A$2:$A$391,0),0)</f>
        <v>0</v>
      </c>
      <c r="F329" s="24">
        <f>IF($C329&gt;0,INDEX(Merge_1_2!$B$2:$B$611,$C329),DATE(VALUE(RIGHT(INDEX(Dataset3_Raw!$B$2:$B$391,$E329),4)),VALUE(MID(INDEX(Dataset3_Raw!$B$2:$B$391,$E329),4,2)),VALUE(LEFT(INDEX(Dataset3_Raw!$B$2:$B$391,$E329),2))))</f>
        <v>40558</v>
      </c>
      <c r="G329" s="23">
        <f>IF($C329&gt;0,INDEX(Merge_1_2!$C$2:$C$611,$C329),INDEX(Dataset3_Raw!$C$2:$C$391,$E329))</f>
        <v>1</v>
      </c>
      <c r="H329" s="23">
        <f>IF($C329&gt;0,INDEX(Merge_1_2!$D$2:$D$611,$C329),INDEX(Dataset3_Raw!$D$2:$D$391,$E329))</f>
        <v>0</v>
      </c>
      <c r="I329" s="23">
        <f>IF($C329&gt;0,INDEX(Merge_1_2!$E$2:$E$611,$C329),INDEX(Dataset3_Raw!$E$2:$E$391,$E329))</f>
        <v>1</v>
      </c>
      <c r="J329" s="23">
        <f>IF($C329&gt;0,INDEX(Merge_1_2!$F$2:$F$611,$C329),INDEX(Dataset3_Raw!$F$2:$F$391,$E329))</f>
        <v>3</v>
      </c>
      <c r="K329" s="23" t="b">
        <f>IF($C329&gt;0,INDEX(Merge_1_2!$G$2:$G$611,$C329),INDEX(Dataset3_Raw!$G$2:$G$391,$E329))</f>
        <v>0</v>
      </c>
      <c r="L329" s="23">
        <f>IF($C329&gt;0,INDEX(Merge_1_2!$H$2:$H$611,$C329),INDEX(Dataset3_Raw!$H$2:$H$391,$E329))</f>
        <v>6</v>
      </c>
      <c r="M329" s="23">
        <f>IF($C329&gt;0,INDEX(Merge_1_2!$I$2:$I$611,$C329),INDEX(Dataset3_Raw!$I$2:$I$391,$E329))</f>
        <v>2</v>
      </c>
      <c r="N329" s="25">
        <f>IF($C329&gt;0,INDEX(Merge_1_2!$J$2:$J$611,$C329),INDEX(Dataset3_Raw!$J$2:$J$391,$E329))</f>
        <v>0.16</v>
      </c>
      <c r="O329" s="25">
        <f>IF($C329&gt;0,IF(ISNUMBER(INDEX(Merge_1_2!$K$2:$K$611,$C329)),INDEX(Merge_1_2!$K$2:$K$611,$C329),""),INDEX(Dataset3_Raw!$K$2:$K$391,$E329))</f>
        <v>0.2273</v>
      </c>
      <c r="P329" s="25">
        <f>IF(ISNUMBER($O329),$O329,ROUND(Lookups!$B$25+Lookups!$B$24*$N329,4))</f>
        <v>0.2273</v>
      </c>
      <c r="Q329" s="25">
        <f>IF($C329&gt;0,INDEX(Merge_1_2!$L$2:$L$611,$C329),INDEX(Dataset3_Raw!$L$2:$L$391,$E329))</f>
        <v>0.59</v>
      </c>
      <c r="R329" s="25">
        <f>IF($C329&gt;0,INDEX(Merge_1_2!$M$2:$M$611,$C329),INDEX(Dataset3_Raw!$M$2:$M$391,$E329))</f>
        <v>0</v>
      </c>
      <c r="S329" s="23">
        <f>IF($C329&gt;0,INDEX(Merge_1_2!$N$2:$N$611,$C329),INDEX(Dataset3_Raw!$N$2:$N$391,$E329))</f>
        <v>1</v>
      </c>
      <c r="T329" s="23">
        <f>IF($C329&gt;0,INDEX(Merge_1_2!$O$2:$O$611,$C329),INDEX(Dataset3_Raw!$O$2:$O$391,$E329))</f>
        <v>7</v>
      </c>
      <c r="U329" s="23">
        <f>IF($C329&gt;0,INDEX(Merge_1_2!$P$2:$P$611,$C329),INDEX(Dataset3_Raw!$P$2:$P$391,$E329))</f>
        <v>8</v>
      </c>
      <c r="V329" s="23" t="str">
        <f t="shared" si="31"/>
        <v>Weekend</v>
      </c>
      <c r="W329" s="23" t="str">
        <f>VLOOKUP($M329,Lookups!$A$5:$B$8,2,FALSE())</f>
        <v>Mist / Cloudy</v>
      </c>
      <c r="X329" s="23" t="str">
        <f>VLOOKUP($G329,Lookups!$D$5:$E$8,2,FALSE())</f>
        <v>Winter</v>
      </c>
      <c r="Y329" s="23" t="str">
        <f>VLOOKUP($L329,Lookups!$G$5:$H$11,2,FALSE())</f>
        <v>Saturday</v>
      </c>
      <c r="Z329" s="23" t="str">
        <f>IF($J329&lt;Lookups!$B$26,"Night",IF($J329&lt;Lookups!$B$27,"Morning",IF($J329&lt;Lookups!$B$28,"Afternoon","Evening")))</f>
        <v>Night</v>
      </c>
      <c r="AA329" s="26">
        <f>ROUND($N329*(Lookups!$B$16-Lookups!$B$15)+Lookups!$B$15,1)</f>
        <v>-0.5</v>
      </c>
      <c r="AB329" s="26">
        <f>ROUND($P329*(Lookups!$B$18-Lookups!$B$17)+Lookups!$B$17,1)</f>
        <v>-1</v>
      </c>
      <c r="AC329" s="23">
        <f t="shared" si="32"/>
        <v>59</v>
      </c>
      <c r="AD329" s="23">
        <f>ROUND($R329*Lookups!$B$19,1)</f>
        <v>0</v>
      </c>
      <c r="AE329" s="27">
        <f t="shared" si="33"/>
        <v>0.875</v>
      </c>
      <c r="AF329" s="23" t="str">
        <f>IF($U329&gt;=Lookups!$B$23,"High",IF($U329&gt;=Lookups!$B$22,"Medium","Low"))</f>
        <v>Low</v>
      </c>
      <c r="AG329" s="23">
        <f>ROUND(IF($V329="Weekday",IF(INDEX(Hourly_Analysis!$D$5:$D$28,$J329+1)&gt;0,($U329-INDEX(Hourly_Analysis!$C$5:$C$28,$J329+1))/INDEX(Hourly_Analysis!$D$5:$D$28,$J329+1),0),IF(INDEX(Hourly_Analysis!$G$5:$G$28,$J329+1)&gt;0,($U329-INDEX(Hourly_Analysis!$F$5:$F$28,$J329+1))/INDEX(Hourly_Analysis!$G$5:$G$28,$J329+1),0)),2)</f>
        <v>-0.16</v>
      </c>
      <c r="AH329" s="23" t="str">
        <f>IF(ABS($AG329)&gt;Lookups!$B$20,IF($AG329&gt;0,"High anomaly","Low anomaly"),"")</f>
        <v/>
      </c>
      <c r="AI329" s="23" t="str">
        <f t="shared" si="34"/>
        <v>OK</v>
      </c>
      <c r="AJ329" s="23" t="str">
        <f t="shared" si="35"/>
        <v>No</v>
      </c>
    </row>
    <row r="330" spans="1:36" x14ac:dyDescent="0.35">
      <c r="A330" s="23">
        <v>329</v>
      </c>
      <c r="B330" s="23" t="str">
        <f t="shared" si="30"/>
        <v>Merge 1+2</v>
      </c>
      <c r="C330" s="23">
        <f>IFERROR(MATCH($A330,Merge_1_2!$A$2:$A$611,0),0)</f>
        <v>329</v>
      </c>
      <c r="D330" s="23">
        <f>IF($C330&gt;0,INDEX(Merge_1_2!$Q$2:$Q$611,$C330),0)</f>
        <v>329</v>
      </c>
      <c r="E330" s="23">
        <f>IFERROR(MATCH($A330,Dataset3_Raw!$A$2:$A$391,0),0)</f>
        <v>0</v>
      </c>
      <c r="F330" s="24">
        <f>IF($C330&gt;0,INDEX(Merge_1_2!$B$2:$B$611,$C330),DATE(VALUE(RIGHT(INDEX(Dataset3_Raw!$B$2:$B$391,$E330),4)),VALUE(MID(INDEX(Dataset3_Raw!$B$2:$B$391,$E330),4,2)),VALUE(LEFT(INDEX(Dataset3_Raw!$B$2:$B$391,$E330),2))))</f>
        <v>40558</v>
      </c>
      <c r="G330" s="23">
        <f>IF($C330&gt;0,INDEX(Merge_1_2!$C$2:$C$611,$C330),INDEX(Dataset3_Raw!$C$2:$C$391,$E330))</f>
        <v>1</v>
      </c>
      <c r="H330" s="23">
        <f>IF($C330&gt;0,INDEX(Merge_1_2!$D$2:$D$611,$C330),INDEX(Dataset3_Raw!$D$2:$D$391,$E330))</f>
        <v>0</v>
      </c>
      <c r="I330" s="23">
        <f>IF($C330&gt;0,INDEX(Merge_1_2!$E$2:$E$611,$C330),INDEX(Dataset3_Raw!$E$2:$E$391,$E330))</f>
        <v>1</v>
      </c>
      <c r="J330" s="23">
        <f>IF($C330&gt;0,INDEX(Merge_1_2!$F$2:$F$611,$C330),INDEX(Dataset3_Raw!$F$2:$F$391,$E330))</f>
        <v>4</v>
      </c>
      <c r="K330" s="23" t="b">
        <f>IF($C330&gt;0,INDEX(Merge_1_2!$G$2:$G$611,$C330),INDEX(Dataset3_Raw!$G$2:$G$391,$E330))</f>
        <v>0</v>
      </c>
      <c r="L330" s="23">
        <f>IF($C330&gt;0,INDEX(Merge_1_2!$H$2:$H$611,$C330),INDEX(Dataset3_Raw!$H$2:$H$391,$E330))</f>
        <v>6</v>
      </c>
      <c r="M330" s="23">
        <f>IF($C330&gt;0,INDEX(Merge_1_2!$I$2:$I$611,$C330),INDEX(Dataset3_Raw!$I$2:$I$391,$E330))</f>
        <v>2</v>
      </c>
      <c r="N330" s="25">
        <f>IF($C330&gt;0,INDEX(Merge_1_2!$J$2:$J$611,$C330),INDEX(Dataset3_Raw!$J$2:$J$391,$E330))</f>
        <v>0.16</v>
      </c>
      <c r="O330" s="25">
        <f>IF($C330&gt;0,IF(ISNUMBER(INDEX(Merge_1_2!$K$2:$K$611,$C330)),INDEX(Merge_1_2!$K$2:$K$611,$C330),""),INDEX(Dataset3_Raw!$K$2:$K$391,$E330))</f>
        <v>0.2273</v>
      </c>
      <c r="P330" s="25">
        <f>IF(ISNUMBER($O330),$O330,ROUND(Lookups!$B$25+Lookups!$B$24*$N330,4))</f>
        <v>0.2273</v>
      </c>
      <c r="Q330" s="25">
        <f>IF($C330&gt;0,INDEX(Merge_1_2!$L$2:$L$611,$C330),INDEX(Dataset3_Raw!$L$2:$L$391,$E330))</f>
        <v>0.59</v>
      </c>
      <c r="R330" s="25">
        <f>IF($C330&gt;0,INDEX(Merge_1_2!$M$2:$M$611,$C330),INDEX(Dataset3_Raw!$M$2:$M$391,$E330))</f>
        <v>0</v>
      </c>
      <c r="S330" s="23">
        <f>IF($C330&gt;0,INDEX(Merge_1_2!$N$2:$N$611,$C330),INDEX(Dataset3_Raw!$N$2:$N$391,$E330))</f>
        <v>0</v>
      </c>
      <c r="T330" s="23">
        <f>IF($C330&gt;0,INDEX(Merge_1_2!$O$2:$O$611,$C330),INDEX(Dataset3_Raw!$O$2:$O$391,$E330))</f>
        <v>5</v>
      </c>
      <c r="U330" s="23">
        <f>IF($C330&gt;0,INDEX(Merge_1_2!$P$2:$P$611,$C330),INDEX(Dataset3_Raw!$P$2:$P$391,$E330))</f>
        <v>5</v>
      </c>
      <c r="V330" s="23" t="str">
        <f t="shared" si="31"/>
        <v>Weekend</v>
      </c>
      <c r="W330" s="23" t="str">
        <f>VLOOKUP($M330,Lookups!$A$5:$B$8,2,FALSE())</f>
        <v>Mist / Cloudy</v>
      </c>
      <c r="X330" s="23" t="str">
        <f>VLOOKUP($G330,Lookups!$D$5:$E$8,2,FALSE())</f>
        <v>Winter</v>
      </c>
      <c r="Y330" s="23" t="str">
        <f>VLOOKUP($L330,Lookups!$G$5:$H$11,2,FALSE())</f>
        <v>Saturday</v>
      </c>
      <c r="Z330" s="23" t="str">
        <f>IF($J330&lt;Lookups!$B$26,"Night",IF($J330&lt;Lookups!$B$27,"Morning",IF($J330&lt;Lookups!$B$28,"Afternoon","Evening")))</f>
        <v>Night</v>
      </c>
      <c r="AA330" s="26">
        <f>ROUND($N330*(Lookups!$B$16-Lookups!$B$15)+Lookups!$B$15,1)</f>
        <v>-0.5</v>
      </c>
      <c r="AB330" s="26">
        <f>ROUND($P330*(Lookups!$B$18-Lookups!$B$17)+Lookups!$B$17,1)</f>
        <v>-1</v>
      </c>
      <c r="AC330" s="23">
        <f t="shared" si="32"/>
        <v>59</v>
      </c>
      <c r="AD330" s="23">
        <f>ROUND($R330*Lookups!$B$19,1)</f>
        <v>0</v>
      </c>
      <c r="AE330" s="27">
        <f t="shared" si="33"/>
        <v>1</v>
      </c>
      <c r="AF330" s="23" t="str">
        <f>IF($U330&gt;=Lookups!$B$23,"High",IF($U330&gt;=Lookups!$B$22,"Medium","Low"))</f>
        <v>Low</v>
      </c>
      <c r="AG330" s="23">
        <f>ROUND(IF($V330="Weekday",IF(INDEX(Hourly_Analysis!$D$5:$D$28,$J330+1)&gt;0,($U330-INDEX(Hourly_Analysis!$C$5:$C$28,$J330+1))/INDEX(Hourly_Analysis!$D$5:$D$28,$J330+1),0),IF(INDEX(Hourly_Analysis!$G$5:$G$28,$J330+1)&gt;0,($U330-INDEX(Hourly_Analysis!$F$5:$F$28,$J330+1))/INDEX(Hourly_Analysis!$G$5:$G$28,$J330+1),0)),2)</f>
        <v>1.1599999999999999</v>
      </c>
      <c r="AH330" s="23" t="str">
        <f>IF(ABS($AG330)&gt;Lookups!$B$20,IF($AG330&gt;0,"High anomaly","Low anomaly"),"")</f>
        <v/>
      </c>
      <c r="AI330" s="23" t="str">
        <f t="shared" si="34"/>
        <v>OK</v>
      </c>
      <c r="AJ330" s="23" t="str">
        <f t="shared" si="35"/>
        <v>No</v>
      </c>
    </row>
    <row r="331" spans="1:36" x14ac:dyDescent="0.35">
      <c r="A331" s="23">
        <v>330</v>
      </c>
      <c r="B331" s="23" t="str">
        <f t="shared" si="30"/>
        <v>Merge 1+2</v>
      </c>
      <c r="C331" s="23">
        <f>IFERROR(MATCH($A331,Merge_1_2!$A$2:$A$611,0),0)</f>
        <v>330</v>
      </c>
      <c r="D331" s="23">
        <f>IF($C331&gt;0,INDEX(Merge_1_2!$Q$2:$Q$611,$C331),0)</f>
        <v>330</v>
      </c>
      <c r="E331" s="23">
        <f>IFERROR(MATCH($A331,Dataset3_Raw!$A$2:$A$391,0),0)</f>
        <v>0</v>
      </c>
      <c r="F331" s="24">
        <f>IF($C331&gt;0,INDEX(Merge_1_2!$B$2:$B$611,$C331),DATE(VALUE(RIGHT(INDEX(Dataset3_Raw!$B$2:$B$391,$E331),4)),VALUE(MID(INDEX(Dataset3_Raw!$B$2:$B$391,$E331),4,2)),VALUE(LEFT(INDEX(Dataset3_Raw!$B$2:$B$391,$E331),2))))</f>
        <v>40558</v>
      </c>
      <c r="G331" s="23">
        <f>IF($C331&gt;0,INDEX(Merge_1_2!$C$2:$C$611,$C331),INDEX(Dataset3_Raw!$C$2:$C$391,$E331))</f>
        <v>1</v>
      </c>
      <c r="H331" s="23">
        <f>IF($C331&gt;0,INDEX(Merge_1_2!$D$2:$D$611,$C331),INDEX(Dataset3_Raw!$D$2:$D$391,$E331))</f>
        <v>0</v>
      </c>
      <c r="I331" s="23">
        <f>IF($C331&gt;0,INDEX(Merge_1_2!$E$2:$E$611,$C331),INDEX(Dataset3_Raw!$E$2:$E$391,$E331))</f>
        <v>1</v>
      </c>
      <c r="J331" s="23">
        <f>IF($C331&gt;0,INDEX(Merge_1_2!$F$2:$F$611,$C331),INDEX(Dataset3_Raw!$F$2:$F$391,$E331))</f>
        <v>5</v>
      </c>
      <c r="K331" s="23" t="b">
        <f>IF($C331&gt;0,INDEX(Merge_1_2!$G$2:$G$611,$C331),INDEX(Dataset3_Raw!$G$2:$G$391,$E331))</f>
        <v>0</v>
      </c>
      <c r="L331" s="23">
        <f>IF($C331&gt;0,INDEX(Merge_1_2!$H$2:$H$611,$C331),INDEX(Dataset3_Raw!$H$2:$H$391,$E331))</f>
        <v>6</v>
      </c>
      <c r="M331" s="23">
        <f>IF($C331&gt;0,INDEX(Merge_1_2!$I$2:$I$611,$C331),INDEX(Dataset3_Raw!$I$2:$I$391,$E331))</f>
        <v>1</v>
      </c>
      <c r="N331" s="25">
        <f>IF($C331&gt;0,INDEX(Merge_1_2!$J$2:$J$611,$C331),INDEX(Dataset3_Raw!$J$2:$J$391,$E331))</f>
        <v>0.16</v>
      </c>
      <c r="O331" s="25">
        <f>IF($C331&gt;0,IF(ISNUMBER(INDEX(Merge_1_2!$K$2:$K$611,$C331)),INDEX(Merge_1_2!$K$2:$K$611,$C331),""),INDEX(Dataset3_Raw!$K$2:$K$391,$E331))</f>
        <v>0.2273</v>
      </c>
      <c r="P331" s="25">
        <f>IF(ISNUMBER($O331),$O331,ROUND(Lookups!$B$25+Lookups!$B$24*$N331,4))</f>
        <v>0.2273</v>
      </c>
      <c r="Q331" s="25">
        <f>IF($C331&gt;0,INDEX(Merge_1_2!$L$2:$L$611,$C331),INDEX(Dataset3_Raw!$L$2:$L$391,$E331))</f>
        <v>0.59</v>
      </c>
      <c r="R331" s="25">
        <f>IF($C331&gt;0,INDEX(Merge_1_2!$M$2:$M$611,$C331),INDEX(Dataset3_Raw!$M$2:$M$391,$E331))</f>
        <v>0</v>
      </c>
      <c r="S331" s="23">
        <f>IF($C331&gt;0,INDEX(Merge_1_2!$N$2:$N$611,$C331),INDEX(Dataset3_Raw!$N$2:$N$391,$E331))</f>
        <v>0</v>
      </c>
      <c r="T331" s="23">
        <f>IF($C331&gt;0,INDEX(Merge_1_2!$O$2:$O$611,$C331),INDEX(Dataset3_Raw!$O$2:$O$391,$E331))</f>
        <v>1</v>
      </c>
      <c r="U331" s="23">
        <f>IF($C331&gt;0,INDEX(Merge_1_2!$P$2:$P$611,$C331),INDEX(Dataset3_Raw!$P$2:$P$391,$E331))</f>
        <v>1</v>
      </c>
      <c r="V331" s="23" t="str">
        <f t="shared" si="31"/>
        <v>Weekend</v>
      </c>
      <c r="W331" s="23" t="str">
        <f>VLOOKUP($M331,Lookups!$A$5:$B$8,2,FALSE())</f>
        <v>Clear / Partly cloudy</v>
      </c>
      <c r="X331" s="23" t="str">
        <f>VLOOKUP($G331,Lookups!$D$5:$E$8,2,FALSE())</f>
        <v>Winter</v>
      </c>
      <c r="Y331" s="23" t="str">
        <f>VLOOKUP($L331,Lookups!$G$5:$H$11,2,FALSE())</f>
        <v>Saturday</v>
      </c>
      <c r="Z331" s="23" t="str">
        <f>IF($J331&lt;Lookups!$B$26,"Night",IF($J331&lt;Lookups!$B$27,"Morning",IF($J331&lt;Lookups!$B$28,"Afternoon","Evening")))</f>
        <v>Night</v>
      </c>
      <c r="AA331" s="26">
        <f>ROUND($N331*(Lookups!$B$16-Lookups!$B$15)+Lookups!$B$15,1)</f>
        <v>-0.5</v>
      </c>
      <c r="AB331" s="26">
        <f>ROUND($P331*(Lookups!$B$18-Lookups!$B$17)+Lookups!$B$17,1)</f>
        <v>-1</v>
      </c>
      <c r="AC331" s="23">
        <f t="shared" si="32"/>
        <v>59</v>
      </c>
      <c r="AD331" s="23">
        <f>ROUND($R331*Lookups!$B$19,1)</f>
        <v>0</v>
      </c>
      <c r="AE331" s="27">
        <f t="shared" si="33"/>
        <v>1</v>
      </c>
      <c r="AF331" s="23" t="str">
        <f>IF($U331&gt;=Lookups!$B$23,"High",IF($U331&gt;=Lookups!$B$22,"Medium","Low"))</f>
        <v>Low</v>
      </c>
      <c r="AG331" s="23">
        <f>ROUND(IF($V331="Weekday",IF(INDEX(Hourly_Analysis!$D$5:$D$28,$J331+1)&gt;0,($U331-INDEX(Hourly_Analysis!$C$5:$C$28,$J331+1))/INDEX(Hourly_Analysis!$D$5:$D$28,$J331+1),0),IF(INDEX(Hourly_Analysis!$G$5:$G$28,$J331+1)&gt;0,($U331-INDEX(Hourly_Analysis!$F$5:$F$28,$J331+1))/INDEX(Hourly_Analysis!$G$5:$G$28,$J331+1),0)),2)</f>
        <v>-0.62</v>
      </c>
      <c r="AH331" s="23" t="str">
        <f>IF(ABS($AG331)&gt;Lookups!$B$20,IF($AG331&gt;0,"High anomaly","Low anomaly"),"")</f>
        <v/>
      </c>
      <c r="AI331" s="23" t="str">
        <f t="shared" si="34"/>
        <v>OK</v>
      </c>
      <c r="AJ331" s="23" t="str">
        <f t="shared" si="35"/>
        <v>No</v>
      </c>
    </row>
    <row r="332" spans="1:36" x14ac:dyDescent="0.35">
      <c r="A332" s="23">
        <v>331</v>
      </c>
      <c r="B332" s="23" t="str">
        <f t="shared" si="30"/>
        <v>Merge 1+2</v>
      </c>
      <c r="C332" s="23">
        <f>IFERROR(MATCH($A332,Merge_1_2!$A$2:$A$611,0),0)</f>
        <v>331</v>
      </c>
      <c r="D332" s="23">
        <f>IF($C332&gt;0,INDEX(Merge_1_2!$Q$2:$Q$611,$C332),0)</f>
        <v>331</v>
      </c>
      <c r="E332" s="23">
        <f>IFERROR(MATCH($A332,Dataset3_Raw!$A$2:$A$391,0),0)</f>
        <v>0</v>
      </c>
      <c r="F332" s="24">
        <f>IF($C332&gt;0,INDEX(Merge_1_2!$B$2:$B$611,$C332),DATE(VALUE(RIGHT(INDEX(Dataset3_Raw!$B$2:$B$391,$E332),4)),VALUE(MID(INDEX(Dataset3_Raw!$B$2:$B$391,$E332),4,2)),VALUE(LEFT(INDEX(Dataset3_Raw!$B$2:$B$391,$E332),2))))</f>
        <v>40558</v>
      </c>
      <c r="G332" s="23">
        <f>IF($C332&gt;0,INDEX(Merge_1_2!$C$2:$C$611,$C332),INDEX(Dataset3_Raw!$C$2:$C$391,$E332))</f>
        <v>1</v>
      </c>
      <c r="H332" s="23">
        <f>IF($C332&gt;0,INDEX(Merge_1_2!$D$2:$D$611,$C332),INDEX(Dataset3_Raw!$D$2:$D$391,$E332))</f>
        <v>0</v>
      </c>
      <c r="I332" s="23">
        <f>IF($C332&gt;0,INDEX(Merge_1_2!$E$2:$E$611,$C332),INDEX(Dataset3_Raw!$E$2:$E$391,$E332))</f>
        <v>1</v>
      </c>
      <c r="J332" s="23">
        <f>IF($C332&gt;0,INDEX(Merge_1_2!$F$2:$F$611,$C332),INDEX(Dataset3_Raw!$F$2:$F$391,$E332))</f>
        <v>6</v>
      </c>
      <c r="K332" s="23" t="b">
        <f>IF($C332&gt;0,INDEX(Merge_1_2!$G$2:$G$611,$C332),INDEX(Dataset3_Raw!$G$2:$G$391,$E332))</f>
        <v>0</v>
      </c>
      <c r="L332" s="23">
        <f>IF($C332&gt;0,INDEX(Merge_1_2!$H$2:$H$611,$C332),INDEX(Dataset3_Raw!$H$2:$H$391,$E332))</f>
        <v>6</v>
      </c>
      <c r="M332" s="23">
        <f>IF($C332&gt;0,INDEX(Merge_1_2!$I$2:$I$611,$C332),INDEX(Dataset3_Raw!$I$2:$I$391,$E332))</f>
        <v>1</v>
      </c>
      <c r="N332" s="25">
        <f>IF($C332&gt;0,INDEX(Merge_1_2!$J$2:$J$611,$C332),INDEX(Dataset3_Raw!$J$2:$J$391,$E332))</f>
        <v>0.14000000000000001</v>
      </c>
      <c r="O332" s="25">
        <f>IF($C332&gt;0,IF(ISNUMBER(INDEX(Merge_1_2!$K$2:$K$611,$C332)),INDEX(Merge_1_2!$K$2:$K$611,$C332),""),INDEX(Dataset3_Raw!$K$2:$K$391,$E332))</f>
        <v>0.16669999999999999</v>
      </c>
      <c r="P332" s="25">
        <f>IF(ISNUMBER($O332),$O332,ROUND(Lookups!$B$25+Lookups!$B$24*$N332,4))</f>
        <v>0.16669999999999999</v>
      </c>
      <c r="Q332" s="25">
        <f>IF($C332&gt;0,INDEX(Merge_1_2!$L$2:$L$611,$C332),INDEX(Dataset3_Raw!$L$2:$L$391,$E332))</f>
        <v>0.63</v>
      </c>
      <c r="R332" s="25">
        <f>IF($C332&gt;0,INDEX(Merge_1_2!$M$2:$M$611,$C332),INDEX(Dataset3_Raw!$M$2:$M$391,$E332))</f>
        <v>0.1045</v>
      </c>
      <c r="S332" s="23">
        <f>IF($C332&gt;0,INDEX(Merge_1_2!$N$2:$N$611,$C332),INDEX(Dataset3_Raw!$N$2:$N$391,$E332))</f>
        <v>1</v>
      </c>
      <c r="T332" s="23">
        <f>IF($C332&gt;0,INDEX(Merge_1_2!$O$2:$O$611,$C332),INDEX(Dataset3_Raw!$O$2:$O$391,$E332))</f>
        <v>2</v>
      </c>
      <c r="U332" s="23">
        <f>IF($C332&gt;0,INDEX(Merge_1_2!$P$2:$P$611,$C332),INDEX(Dataset3_Raw!$P$2:$P$391,$E332))</f>
        <v>3</v>
      </c>
      <c r="V332" s="23" t="str">
        <f t="shared" si="31"/>
        <v>Weekend</v>
      </c>
      <c r="W332" s="23" t="str">
        <f>VLOOKUP($M332,Lookups!$A$5:$B$8,2,FALSE())</f>
        <v>Clear / Partly cloudy</v>
      </c>
      <c r="X332" s="23" t="str">
        <f>VLOOKUP($G332,Lookups!$D$5:$E$8,2,FALSE())</f>
        <v>Winter</v>
      </c>
      <c r="Y332" s="23" t="str">
        <f>VLOOKUP($L332,Lookups!$G$5:$H$11,2,FALSE())</f>
        <v>Saturday</v>
      </c>
      <c r="Z332" s="23" t="str">
        <f>IF($J332&lt;Lookups!$B$26,"Night",IF($J332&lt;Lookups!$B$27,"Morning",IF($J332&lt;Lookups!$B$28,"Afternoon","Evening")))</f>
        <v>Morning</v>
      </c>
      <c r="AA332" s="26">
        <f>ROUND($N332*(Lookups!$B$16-Lookups!$B$15)+Lookups!$B$15,1)</f>
        <v>-1.4</v>
      </c>
      <c r="AB332" s="26">
        <f>ROUND($P332*(Lookups!$B$18-Lookups!$B$17)+Lookups!$B$17,1)</f>
        <v>-5</v>
      </c>
      <c r="AC332" s="23">
        <f t="shared" si="32"/>
        <v>63</v>
      </c>
      <c r="AD332" s="23">
        <f>ROUND($R332*Lookups!$B$19,1)</f>
        <v>7</v>
      </c>
      <c r="AE332" s="27">
        <f t="shared" si="33"/>
        <v>0.66666666666666663</v>
      </c>
      <c r="AF332" s="23" t="str">
        <f>IF($U332&gt;=Lookups!$B$23,"High",IF($U332&gt;=Lookups!$B$22,"Medium","Low"))</f>
        <v>Low</v>
      </c>
      <c r="AG332" s="23">
        <f>ROUND(IF($V332="Weekday",IF(INDEX(Hourly_Analysis!$D$5:$D$28,$J332+1)&gt;0,($U332-INDEX(Hourly_Analysis!$C$5:$C$28,$J332+1))/INDEX(Hourly_Analysis!$D$5:$D$28,$J332+1),0),IF(INDEX(Hourly_Analysis!$G$5:$G$28,$J332+1)&gt;0,($U332-INDEX(Hourly_Analysis!$F$5:$F$28,$J332+1))/INDEX(Hourly_Analysis!$G$5:$G$28,$J332+1),0)),2)</f>
        <v>0.46</v>
      </c>
      <c r="AH332" s="23" t="str">
        <f>IF(ABS($AG332)&gt;Lookups!$B$20,IF($AG332&gt;0,"High anomaly","Low anomaly"),"")</f>
        <v/>
      </c>
      <c r="AI332" s="23" t="str">
        <f t="shared" si="34"/>
        <v>OK</v>
      </c>
      <c r="AJ332" s="23" t="str">
        <f t="shared" si="35"/>
        <v>No</v>
      </c>
    </row>
    <row r="333" spans="1:36" x14ac:dyDescent="0.35">
      <c r="A333" s="23">
        <v>332</v>
      </c>
      <c r="B333" s="23" t="str">
        <f t="shared" si="30"/>
        <v>Merge 1+2</v>
      </c>
      <c r="C333" s="23">
        <f>IFERROR(MATCH($A333,Merge_1_2!$A$2:$A$611,0),0)</f>
        <v>332</v>
      </c>
      <c r="D333" s="23">
        <f>IF($C333&gt;0,INDEX(Merge_1_2!$Q$2:$Q$611,$C333),0)</f>
        <v>332</v>
      </c>
      <c r="E333" s="23">
        <f>IFERROR(MATCH($A333,Dataset3_Raw!$A$2:$A$391,0),0)</f>
        <v>0</v>
      </c>
      <c r="F333" s="24">
        <f>IF($C333&gt;0,INDEX(Merge_1_2!$B$2:$B$611,$C333),DATE(VALUE(RIGHT(INDEX(Dataset3_Raw!$B$2:$B$391,$E333),4)),VALUE(MID(INDEX(Dataset3_Raw!$B$2:$B$391,$E333),4,2)),VALUE(LEFT(INDEX(Dataset3_Raw!$B$2:$B$391,$E333),2))))</f>
        <v>40558</v>
      </c>
      <c r="G333" s="23">
        <f>IF($C333&gt;0,INDEX(Merge_1_2!$C$2:$C$611,$C333),INDEX(Dataset3_Raw!$C$2:$C$391,$E333))</f>
        <v>1</v>
      </c>
      <c r="H333" s="23">
        <f>IF($C333&gt;0,INDEX(Merge_1_2!$D$2:$D$611,$C333),INDEX(Dataset3_Raw!$D$2:$D$391,$E333))</f>
        <v>0</v>
      </c>
      <c r="I333" s="23">
        <f>IF($C333&gt;0,INDEX(Merge_1_2!$E$2:$E$611,$C333),INDEX(Dataset3_Raw!$E$2:$E$391,$E333))</f>
        <v>1</v>
      </c>
      <c r="J333" s="23">
        <f>IF($C333&gt;0,INDEX(Merge_1_2!$F$2:$F$611,$C333),INDEX(Dataset3_Raw!$F$2:$F$391,$E333))</f>
        <v>7</v>
      </c>
      <c r="K333" s="23" t="b">
        <f>IF($C333&gt;0,INDEX(Merge_1_2!$G$2:$G$611,$C333),INDEX(Dataset3_Raw!$G$2:$G$391,$E333))</f>
        <v>0</v>
      </c>
      <c r="L333" s="23">
        <f>IF($C333&gt;0,INDEX(Merge_1_2!$H$2:$H$611,$C333),INDEX(Dataset3_Raw!$H$2:$H$391,$E333))</f>
        <v>6</v>
      </c>
      <c r="M333" s="23">
        <f>IF($C333&gt;0,INDEX(Merge_1_2!$I$2:$I$611,$C333),INDEX(Dataset3_Raw!$I$2:$I$391,$E333))</f>
        <v>1</v>
      </c>
      <c r="N333" s="25">
        <f>IF($C333&gt;0,INDEX(Merge_1_2!$J$2:$J$611,$C333),INDEX(Dataset3_Raw!$J$2:$J$391,$E333))</f>
        <v>0.14000000000000001</v>
      </c>
      <c r="O333" s="25">
        <f>IF($C333&gt;0,IF(ISNUMBER(INDEX(Merge_1_2!$K$2:$K$611,$C333)),INDEX(Merge_1_2!$K$2:$K$611,$C333),""),INDEX(Dataset3_Raw!$K$2:$K$391,$E333))</f>
        <v>0.21210000000000001</v>
      </c>
      <c r="P333" s="25">
        <f>IF(ISNUMBER($O333),$O333,ROUND(Lookups!$B$25+Lookups!$B$24*$N333,4))</f>
        <v>0.21210000000000001</v>
      </c>
      <c r="Q333" s="25">
        <f>IF($C333&gt;0,INDEX(Merge_1_2!$L$2:$L$611,$C333),INDEX(Dataset3_Raw!$L$2:$L$391,$E333))</f>
        <v>0.63</v>
      </c>
      <c r="R333" s="25">
        <f>IF($C333&gt;0,INDEX(Merge_1_2!$M$2:$M$611,$C333),INDEX(Dataset3_Raw!$M$2:$M$391,$E333))</f>
        <v>0</v>
      </c>
      <c r="S333" s="23">
        <f>IF($C333&gt;0,INDEX(Merge_1_2!$N$2:$N$611,$C333),INDEX(Dataset3_Raw!$N$2:$N$391,$E333))</f>
        <v>1</v>
      </c>
      <c r="T333" s="23">
        <f>IF($C333&gt;0,INDEX(Merge_1_2!$O$2:$O$611,$C333),INDEX(Dataset3_Raw!$O$2:$O$391,$E333))</f>
        <v>9</v>
      </c>
      <c r="U333" s="23">
        <f>IF($C333&gt;0,INDEX(Merge_1_2!$P$2:$P$611,$C333),INDEX(Dataset3_Raw!$P$2:$P$391,$E333))</f>
        <v>10</v>
      </c>
      <c r="V333" s="23" t="str">
        <f t="shared" si="31"/>
        <v>Weekend</v>
      </c>
      <c r="W333" s="23" t="str">
        <f>VLOOKUP($M333,Lookups!$A$5:$B$8,2,FALSE())</f>
        <v>Clear / Partly cloudy</v>
      </c>
      <c r="X333" s="23" t="str">
        <f>VLOOKUP($G333,Lookups!$D$5:$E$8,2,FALSE())</f>
        <v>Winter</v>
      </c>
      <c r="Y333" s="23" t="str">
        <f>VLOOKUP($L333,Lookups!$G$5:$H$11,2,FALSE())</f>
        <v>Saturday</v>
      </c>
      <c r="Z333" s="23" t="str">
        <f>IF($J333&lt;Lookups!$B$26,"Night",IF($J333&lt;Lookups!$B$27,"Morning",IF($J333&lt;Lookups!$B$28,"Afternoon","Evening")))</f>
        <v>Morning</v>
      </c>
      <c r="AA333" s="26">
        <f>ROUND($N333*(Lookups!$B$16-Lookups!$B$15)+Lookups!$B$15,1)</f>
        <v>-1.4</v>
      </c>
      <c r="AB333" s="26">
        <f>ROUND($P333*(Lookups!$B$18-Lookups!$B$17)+Lookups!$B$17,1)</f>
        <v>-2</v>
      </c>
      <c r="AC333" s="23">
        <f t="shared" si="32"/>
        <v>63</v>
      </c>
      <c r="AD333" s="23">
        <f>ROUND($R333*Lookups!$B$19,1)</f>
        <v>0</v>
      </c>
      <c r="AE333" s="27">
        <f t="shared" si="33"/>
        <v>0.9</v>
      </c>
      <c r="AF333" s="23" t="str">
        <f>IF($U333&gt;=Lookups!$B$23,"High",IF($U333&gt;=Lookups!$B$22,"Medium","Low"))</f>
        <v>Low</v>
      </c>
      <c r="AG333" s="23">
        <f>ROUND(IF($V333="Weekday",IF(INDEX(Hourly_Analysis!$D$5:$D$28,$J333+1)&gt;0,($U333-INDEX(Hourly_Analysis!$C$5:$C$28,$J333+1))/INDEX(Hourly_Analysis!$D$5:$D$28,$J333+1),0),IF(INDEX(Hourly_Analysis!$G$5:$G$28,$J333+1)&gt;0,($U333-INDEX(Hourly_Analysis!$F$5:$F$28,$J333+1))/INDEX(Hourly_Analysis!$G$5:$G$28,$J333+1),0)),2)</f>
        <v>1.1100000000000001</v>
      </c>
      <c r="AH333" s="23" t="str">
        <f>IF(ABS($AG333)&gt;Lookups!$B$20,IF($AG333&gt;0,"High anomaly","Low anomaly"),"")</f>
        <v/>
      </c>
      <c r="AI333" s="23" t="str">
        <f t="shared" si="34"/>
        <v>OK</v>
      </c>
      <c r="AJ333" s="23" t="str">
        <f t="shared" si="35"/>
        <v>No</v>
      </c>
    </row>
    <row r="334" spans="1:36" x14ac:dyDescent="0.35">
      <c r="A334" s="23">
        <v>333</v>
      </c>
      <c r="B334" s="23" t="str">
        <f t="shared" si="30"/>
        <v>Merge 1+2</v>
      </c>
      <c r="C334" s="23">
        <f>IFERROR(MATCH($A334,Merge_1_2!$A$2:$A$611,0),0)</f>
        <v>333</v>
      </c>
      <c r="D334" s="23">
        <f>IF($C334&gt;0,INDEX(Merge_1_2!$Q$2:$Q$611,$C334),0)</f>
        <v>333</v>
      </c>
      <c r="E334" s="23">
        <f>IFERROR(MATCH($A334,Dataset3_Raw!$A$2:$A$391,0),0)</f>
        <v>0</v>
      </c>
      <c r="F334" s="24">
        <f>IF($C334&gt;0,INDEX(Merge_1_2!$B$2:$B$611,$C334),DATE(VALUE(RIGHT(INDEX(Dataset3_Raw!$B$2:$B$391,$E334),4)),VALUE(MID(INDEX(Dataset3_Raw!$B$2:$B$391,$E334),4,2)),VALUE(LEFT(INDEX(Dataset3_Raw!$B$2:$B$391,$E334),2))))</f>
        <v>40558</v>
      </c>
      <c r="G334" s="23">
        <f>IF($C334&gt;0,INDEX(Merge_1_2!$C$2:$C$611,$C334),INDEX(Dataset3_Raw!$C$2:$C$391,$E334))</f>
        <v>1</v>
      </c>
      <c r="H334" s="23">
        <f>IF($C334&gt;0,INDEX(Merge_1_2!$D$2:$D$611,$C334),INDEX(Dataset3_Raw!$D$2:$D$391,$E334))</f>
        <v>0</v>
      </c>
      <c r="I334" s="23">
        <f>IF($C334&gt;0,INDEX(Merge_1_2!$E$2:$E$611,$C334),INDEX(Dataset3_Raw!$E$2:$E$391,$E334))</f>
        <v>1</v>
      </c>
      <c r="J334" s="23">
        <f>IF($C334&gt;0,INDEX(Merge_1_2!$F$2:$F$611,$C334),INDEX(Dataset3_Raw!$F$2:$F$391,$E334))</f>
        <v>8</v>
      </c>
      <c r="K334" s="23" t="b">
        <f>IF($C334&gt;0,INDEX(Merge_1_2!$G$2:$G$611,$C334),INDEX(Dataset3_Raw!$G$2:$G$391,$E334))</f>
        <v>0</v>
      </c>
      <c r="L334" s="23">
        <f>IF($C334&gt;0,INDEX(Merge_1_2!$H$2:$H$611,$C334),INDEX(Dataset3_Raw!$H$2:$H$391,$E334))</f>
        <v>6</v>
      </c>
      <c r="M334" s="23">
        <f>IF($C334&gt;0,INDEX(Merge_1_2!$I$2:$I$611,$C334),INDEX(Dataset3_Raw!$I$2:$I$391,$E334))</f>
        <v>1</v>
      </c>
      <c r="N334" s="25">
        <f>IF($C334&gt;0,INDEX(Merge_1_2!$J$2:$J$611,$C334),INDEX(Dataset3_Raw!$J$2:$J$391,$E334))</f>
        <v>0.14000000000000001</v>
      </c>
      <c r="O334" s="25">
        <f>IF($C334&gt;0,IF(ISNUMBER(INDEX(Merge_1_2!$K$2:$K$611,$C334)),INDEX(Merge_1_2!$K$2:$K$611,$C334),""),INDEX(Dataset3_Raw!$K$2:$K$391,$E334))</f>
        <v>0.1515</v>
      </c>
      <c r="P334" s="25">
        <f>IF(ISNUMBER($O334),$O334,ROUND(Lookups!$B$25+Lookups!$B$24*$N334,4))</f>
        <v>0.1515</v>
      </c>
      <c r="Q334" s="25">
        <f>IF($C334&gt;0,INDEX(Merge_1_2!$L$2:$L$611,$C334),INDEX(Dataset3_Raw!$L$2:$L$391,$E334))</f>
        <v>0.63</v>
      </c>
      <c r="R334" s="25">
        <f>IF($C334&gt;0,INDEX(Merge_1_2!$M$2:$M$611,$C334),INDEX(Dataset3_Raw!$M$2:$M$391,$E334))</f>
        <v>0.1343</v>
      </c>
      <c r="S334" s="23">
        <f>IF($C334&gt;0,INDEX(Merge_1_2!$N$2:$N$611,$C334),INDEX(Dataset3_Raw!$N$2:$N$391,$E334))</f>
        <v>1</v>
      </c>
      <c r="T334" s="23">
        <f>IF($C334&gt;0,INDEX(Merge_1_2!$O$2:$O$611,$C334),INDEX(Dataset3_Raw!$O$2:$O$391,$E334))</f>
        <v>22</v>
      </c>
      <c r="U334" s="23">
        <f>IF($C334&gt;0,INDEX(Merge_1_2!$P$2:$P$611,$C334),INDEX(Dataset3_Raw!$P$2:$P$391,$E334))</f>
        <v>23</v>
      </c>
      <c r="V334" s="23" t="str">
        <f t="shared" si="31"/>
        <v>Weekend</v>
      </c>
      <c r="W334" s="23" t="str">
        <f>VLOOKUP($M334,Lookups!$A$5:$B$8,2,FALSE())</f>
        <v>Clear / Partly cloudy</v>
      </c>
      <c r="X334" s="23" t="str">
        <f>VLOOKUP($G334,Lookups!$D$5:$E$8,2,FALSE())</f>
        <v>Winter</v>
      </c>
      <c r="Y334" s="23" t="str">
        <f>VLOOKUP($L334,Lookups!$G$5:$H$11,2,FALSE())</f>
        <v>Saturday</v>
      </c>
      <c r="Z334" s="23" t="str">
        <f>IF($J334&lt;Lookups!$B$26,"Night",IF($J334&lt;Lookups!$B$27,"Morning",IF($J334&lt;Lookups!$B$28,"Afternoon","Evening")))</f>
        <v>Morning</v>
      </c>
      <c r="AA334" s="26">
        <f>ROUND($N334*(Lookups!$B$16-Lookups!$B$15)+Lookups!$B$15,1)</f>
        <v>-1.4</v>
      </c>
      <c r="AB334" s="26">
        <f>ROUND($P334*(Lookups!$B$18-Lookups!$B$17)+Lookups!$B$17,1)</f>
        <v>-6</v>
      </c>
      <c r="AC334" s="23">
        <f t="shared" si="32"/>
        <v>63</v>
      </c>
      <c r="AD334" s="23">
        <f>ROUND($R334*Lookups!$B$19,1)</f>
        <v>9</v>
      </c>
      <c r="AE334" s="27">
        <f t="shared" si="33"/>
        <v>0.95652173913043481</v>
      </c>
      <c r="AF334" s="23" t="str">
        <f>IF($U334&gt;=Lookups!$B$23,"High",IF($U334&gt;=Lookups!$B$22,"Medium","Low"))</f>
        <v>Medium</v>
      </c>
      <c r="AG334" s="23">
        <f>ROUND(IF($V334="Weekday",IF(INDEX(Hourly_Analysis!$D$5:$D$28,$J334+1)&gt;0,($U334-INDEX(Hourly_Analysis!$C$5:$C$28,$J334+1))/INDEX(Hourly_Analysis!$D$5:$D$28,$J334+1),0),IF(INDEX(Hourly_Analysis!$G$5:$G$28,$J334+1)&gt;0,($U334-INDEX(Hourly_Analysis!$F$5:$F$28,$J334+1))/INDEX(Hourly_Analysis!$G$5:$G$28,$J334+1),0)),2)</f>
        <v>0.46</v>
      </c>
      <c r="AH334" s="23" t="str">
        <f>IF(ABS($AG334)&gt;Lookups!$B$20,IF($AG334&gt;0,"High anomaly","Low anomaly"),"")</f>
        <v/>
      </c>
      <c r="AI334" s="23" t="str">
        <f t="shared" si="34"/>
        <v>OK</v>
      </c>
      <c r="AJ334" s="23" t="str">
        <f t="shared" si="35"/>
        <v>No</v>
      </c>
    </row>
    <row r="335" spans="1:36" x14ac:dyDescent="0.35">
      <c r="A335" s="23">
        <v>334</v>
      </c>
      <c r="B335" s="23" t="str">
        <f t="shared" si="30"/>
        <v>Merge 1+2</v>
      </c>
      <c r="C335" s="23">
        <f>IFERROR(MATCH($A335,Merge_1_2!$A$2:$A$611,0),0)</f>
        <v>334</v>
      </c>
      <c r="D335" s="23">
        <f>IF($C335&gt;0,INDEX(Merge_1_2!$Q$2:$Q$611,$C335),0)</f>
        <v>334</v>
      </c>
      <c r="E335" s="23">
        <f>IFERROR(MATCH($A335,Dataset3_Raw!$A$2:$A$391,0),0)</f>
        <v>0</v>
      </c>
      <c r="F335" s="24">
        <f>IF($C335&gt;0,INDEX(Merge_1_2!$B$2:$B$611,$C335),DATE(VALUE(RIGHT(INDEX(Dataset3_Raw!$B$2:$B$391,$E335),4)),VALUE(MID(INDEX(Dataset3_Raw!$B$2:$B$391,$E335),4,2)),VALUE(LEFT(INDEX(Dataset3_Raw!$B$2:$B$391,$E335),2))))</f>
        <v>40558</v>
      </c>
      <c r="G335" s="23">
        <f>IF($C335&gt;0,INDEX(Merge_1_2!$C$2:$C$611,$C335),INDEX(Dataset3_Raw!$C$2:$C$391,$E335))</f>
        <v>1</v>
      </c>
      <c r="H335" s="23">
        <f>IF($C335&gt;0,INDEX(Merge_1_2!$D$2:$D$611,$C335),INDEX(Dataset3_Raw!$D$2:$D$391,$E335))</f>
        <v>0</v>
      </c>
      <c r="I335" s="23">
        <f>IF($C335&gt;0,INDEX(Merge_1_2!$E$2:$E$611,$C335),INDEX(Dataset3_Raw!$E$2:$E$391,$E335))</f>
        <v>1</v>
      </c>
      <c r="J335" s="23">
        <f>IF($C335&gt;0,INDEX(Merge_1_2!$F$2:$F$611,$C335),INDEX(Dataset3_Raw!$F$2:$F$391,$E335))</f>
        <v>9</v>
      </c>
      <c r="K335" s="23" t="b">
        <f>IF($C335&gt;0,INDEX(Merge_1_2!$G$2:$G$611,$C335),INDEX(Dataset3_Raw!$G$2:$G$391,$E335))</f>
        <v>0</v>
      </c>
      <c r="L335" s="23">
        <f>IF($C335&gt;0,INDEX(Merge_1_2!$H$2:$H$611,$C335),INDEX(Dataset3_Raw!$H$2:$H$391,$E335))</f>
        <v>6</v>
      </c>
      <c r="M335" s="23">
        <f>IF($C335&gt;0,INDEX(Merge_1_2!$I$2:$I$611,$C335),INDEX(Dataset3_Raw!$I$2:$I$391,$E335))</f>
        <v>1</v>
      </c>
      <c r="N335" s="25">
        <f>IF($C335&gt;0,INDEX(Merge_1_2!$J$2:$J$611,$C335),INDEX(Dataset3_Raw!$J$2:$J$391,$E335))</f>
        <v>0.16</v>
      </c>
      <c r="O335" s="25">
        <f>IF($C335&gt;0,IF(ISNUMBER(INDEX(Merge_1_2!$K$2:$K$611,$C335)),INDEX(Merge_1_2!$K$2:$K$611,$C335),""),INDEX(Dataset3_Raw!$K$2:$K$391,$E335))</f>
        <v>0.18179999999999999</v>
      </c>
      <c r="P335" s="25">
        <f>IF(ISNUMBER($O335),$O335,ROUND(Lookups!$B$25+Lookups!$B$24*$N335,4))</f>
        <v>0.18179999999999999</v>
      </c>
      <c r="Q335" s="25">
        <f>IF($C335&gt;0,INDEX(Merge_1_2!$L$2:$L$611,$C335),INDEX(Dataset3_Raw!$L$2:$L$391,$E335))</f>
        <v>0.64</v>
      </c>
      <c r="R335" s="25">
        <f>IF($C335&gt;0,INDEX(Merge_1_2!$M$2:$M$611,$C335),INDEX(Dataset3_Raw!$M$2:$M$391,$E335))</f>
        <v>0.1343</v>
      </c>
      <c r="S335" s="23">
        <f>IF($C335&gt;0,INDEX(Merge_1_2!$N$2:$N$611,$C335),INDEX(Dataset3_Raw!$N$2:$N$391,$E335))</f>
        <v>2</v>
      </c>
      <c r="T335" s="23">
        <f>IF($C335&gt;0,INDEX(Merge_1_2!$O$2:$O$611,$C335),INDEX(Dataset3_Raw!$O$2:$O$391,$E335))</f>
        <v>31</v>
      </c>
      <c r="U335" s="23">
        <f>IF($C335&gt;0,INDEX(Merge_1_2!$P$2:$P$611,$C335),INDEX(Dataset3_Raw!$P$2:$P$391,$E335))</f>
        <v>33</v>
      </c>
      <c r="V335" s="23" t="str">
        <f t="shared" si="31"/>
        <v>Weekend</v>
      </c>
      <c r="W335" s="23" t="str">
        <f>VLOOKUP($M335,Lookups!$A$5:$B$8,2,FALSE())</f>
        <v>Clear / Partly cloudy</v>
      </c>
      <c r="X335" s="23" t="str">
        <f>VLOOKUP($G335,Lookups!$D$5:$E$8,2,FALSE())</f>
        <v>Winter</v>
      </c>
      <c r="Y335" s="23" t="str">
        <f>VLOOKUP($L335,Lookups!$G$5:$H$11,2,FALSE())</f>
        <v>Saturday</v>
      </c>
      <c r="Z335" s="23" t="str">
        <f>IF($J335&lt;Lookups!$B$26,"Night",IF($J335&lt;Lookups!$B$27,"Morning",IF($J335&lt;Lookups!$B$28,"Afternoon","Evening")))</f>
        <v>Morning</v>
      </c>
      <c r="AA335" s="26">
        <f>ROUND($N335*(Lookups!$B$16-Lookups!$B$15)+Lookups!$B$15,1)</f>
        <v>-0.5</v>
      </c>
      <c r="AB335" s="26">
        <f>ROUND($P335*(Lookups!$B$18-Lookups!$B$17)+Lookups!$B$17,1)</f>
        <v>-4</v>
      </c>
      <c r="AC335" s="23">
        <f t="shared" si="32"/>
        <v>64</v>
      </c>
      <c r="AD335" s="23">
        <f>ROUND($R335*Lookups!$B$19,1)</f>
        <v>9</v>
      </c>
      <c r="AE335" s="27">
        <f t="shared" si="33"/>
        <v>0.93939393939393945</v>
      </c>
      <c r="AF335" s="23" t="str">
        <f>IF($U335&gt;=Lookups!$B$23,"High",IF($U335&gt;=Lookups!$B$22,"Medium","Low"))</f>
        <v>Medium</v>
      </c>
      <c r="AG335" s="23">
        <f>ROUND(IF($V335="Weekday",IF(INDEX(Hourly_Analysis!$D$5:$D$28,$J335+1)&gt;0,($U335-INDEX(Hourly_Analysis!$C$5:$C$28,$J335+1))/INDEX(Hourly_Analysis!$D$5:$D$28,$J335+1),0),IF(INDEX(Hourly_Analysis!$G$5:$G$28,$J335+1)&gt;0,($U335-INDEX(Hourly_Analysis!$F$5:$F$28,$J335+1))/INDEX(Hourly_Analysis!$G$5:$G$28,$J335+1),0)),2)</f>
        <v>0.09</v>
      </c>
      <c r="AH335" s="23" t="str">
        <f>IF(ABS($AG335)&gt;Lookups!$B$20,IF($AG335&gt;0,"High anomaly","Low anomaly"),"")</f>
        <v/>
      </c>
      <c r="AI335" s="23" t="str">
        <f t="shared" si="34"/>
        <v>OK</v>
      </c>
      <c r="AJ335" s="23" t="str">
        <f t="shared" si="35"/>
        <v>No</v>
      </c>
    </row>
    <row r="336" spans="1:36" x14ac:dyDescent="0.35">
      <c r="A336" s="23">
        <v>335</v>
      </c>
      <c r="B336" s="23" t="str">
        <f t="shared" si="30"/>
        <v>Merge 1+2</v>
      </c>
      <c r="C336" s="23">
        <f>IFERROR(MATCH($A336,Merge_1_2!$A$2:$A$611,0),0)</f>
        <v>335</v>
      </c>
      <c r="D336" s="23">
        <f>IF($C336&gt;0,INDEX(Merge_1_2!$Q$2:$Q$611,$C336),0)</f>
        <v>335</v>
      </c>
      <c r="E336" s="23">
        <f>IFERROR(MATCH($A336,Dataset3_Raw!$A$2:$A$391,0),0)</f>
        <v>0</v>
      </c>
      <c r="F336" s="24">
        <f>IF($C336&gt;0,INDEX(Merge_1_2!$B$2:$B$611,$C336),DATE(VALUE(RIGHT(INDEX(Dataset3_Raw!$B$2:$B$391,$E336),4)),VALUE(MID(INDEX(Dataset3_Raw!$B$2:$B$391,$E336),4,2)),VALUE(LEFT(INDEX(Dataset3_Raw!$B$2:$B$391,$E336),2))))</f>
        <v>40558</v>
      </c>
      <c r="G336" s="23">
        <f>IF($C336&gt;0,INDEX(Merge_1_2!$C$2:$C$611,$C336),INDEX(Dataset3_Raw!$C$2:$C$391,$E336))</f>
        <v>1</v>
      </c>
      <c r="H336" s="23">
        <f>IF($C336&gt;0,INDEX(Merge_1_2!$D$2:$D$611,$C336),INDEX(Dataset3_Raw!$D$2:$D$391,$E336))</f>
        <v>0</v>
      </c>
      <c r="I336" s="23">
        <f>IF($C336&gt;0,INDEX(Merge_1_2!$E$2:$E$611,$C336),INDEX(Dataset3_Raw!$E$2:$E$391,$E336))</f>
        <v>1</v>
      </c>
      <c r="J336" s="23">
        <f>IF($C336&gt;0,INDEX(Merge_1_2!$F$2:$F$611,$C336),INDEX(Dataset3_Raw!$F$2:$F$391,$E336))</f>
        <v>10</v>
      </c>
      <c r="K336" s="23" t="b">
        <f>IF($C336&gt;0,INDEX(Merge_1_2!$G$2:$G$611,$C336),INDEX(Dataset3_Raw!$G$2:$G$391,$E336))</f>
        <v>0</v>
      </c>
      <c r="L336" s="23">
        <f>IF($C336&gt;0,INDEX(Merge_1_2!$H$2:$H$611,$C336),INDEX(Dataset3_Raw!$H$2:$H$391,$E336))</f>
        <v>6</v>
      </c>
      <c r="M336" s="23">
        <f>IF($C336&gt;0,INDEX(Merge_1_2!$I$2:$I$611,$C336),INDEX(Dataset3_Raw!$I$2:$I$391,$E336))</f>
        <v>1</v>
      </c>
      <c r="N336" s="25">
        <f>IF($C336&gt;0,INDEX(Merge_1_2!$J$2:$J$611,$C336),INDEX(Dataset3_Raw!$J$2:$J$391,$E336))</f>
        <v>0.18</v>
      </c>
      <c r="O336" s="25">
        <f>IF($C336&gt;0,IF(ISNUMBER(INDEX(Merge_1_2!$K$2:$K$611,$C336)),INDEX(Merge_1_2!$K$2:$K$611,$C336),""),INDEX(Dataset3_Raw!$K$2:$K$391,$E336))</f>
        <v>0.19700000000000001</v>
      </c>
      <c r="P336" s="25">
        <f>IF(ISNUMBER($O336),$O336,ROUND(Lookups!$B$25+Lookups!$B$24*$N336,4))</f>
        <v>0.19700000000000001</v>
      </c>
      <c r="Q336" s="25">
        <f>IF($C336&gt;0,INDEX(Merge_1_2!$L$2:$L$611,$C336),INDEX(Dataset3_Raw!$L$2:$L$391,$E336))</f>
        <v>0.59</v>
      </c>
      <c r="R336" s="25">
        <f>IF($C336&gt;0,INDEX(Merge_1_2!$M$2:$M$611,$C336),INDEX(Dataset3_Raw!$M$2:$M$391,$E336))</f>
        <v>0.16420000000000001</v>
      </c>
      <c r="S336" s="23">
        <f>IF($C336&gt;0,INDEX(Merge_1_2!$N$2:$N$611,$C336),INDEX(Dataset3_Raw!$N$2:$N$391,$E336))</f>
        <v>2</v>
      </c>
      <c r="T336" s="23">
        <f>IF($C336&gt;0,INDEX(Merge_1_2!$O$2:$O$611,$C336),INDEX(Dataset3_Raw!$O$2:$O$391,$E336))</f>
        <v>57</v>
      </c>
      <c r="U336" s="23">
        <f>IF($C336&gt;0,INDEX(Merge_1_2!$P$2:$P$611,$C336),INDEX(Dataset3_Raw!$P$2:$P$391,$E336))</f>
        <v>59</v>
      </c>
      <c r="V336" s="23" t="str">
        <f t="shared" si="31"/>
        <v>Weekend</v>
      </c>
      <c r="W336" s="23" t="str">
        <f>VLOOKUP($M336,Lookups!$A$5:$B$8,2,FALSE())</f>
        <v>Clear / Partly cloudy</v>
      </c>
      <c r="X336" s="23" t="str">
        <f>VLOOKUP($G336,Lookups!$D$5:$E$8,2,FALSE())</f>
        <v>Winter</v>
      </c>
      <c r="Y336" s="23" t="str">
        <f>VLOOKUP($L336,Lookups!$G$5:$H$11,2,FALSE())</f>
        <v>Saturday</v>
      </c>
      <c r="Z336" s="23" t="str">
        <f>IF($J336&lt;Lookups!$B$26,"Night",IF($J336&lt;Lookups!$B$27,"Morning",IF($J336&lt;Lookups!$B$28,"Afternoon","Evening")))</f>
        <v>Morning</v>
      </c>
      <c r="AA336" s="26">
        <f>ROUND($N336*(Lookups!$B$16-Lookups!$B$15)+Lookups!$B$15,1)</f>
        <v>0.5</v>
      </c>
      <c r="AB336" s="26">
        <f>ROUND($P336*(Lookups!$B$18-Lookups!$B$17)+Lookups!$B$17,1)</f>
        <v>-3</v>
      </c>
      <c r="AC336" s="23">
        <f t="shared" si="32"/>
        <v>59</v>
      </c>
      <c r="AD336" s="23">
        <f>ROUND($R336*Lookups!$B$19,1)</f>
        <v>11</v>
      </c>
      <c r="AE336" s="27">
        <f t="shared" si="33"/>
        <v>0.96610169491525422</v>
      </c>
      <c r="AF336" s="23" t="str">
        <f>IF($U336&gt;=Lookups!$B$23,"High",IF($U336&gt;=Lookups!$B$22,"Medium","Low"))</f>
        <v>Medium</v>
      </c>
      <c r="AG336" s="23">
        <f>ROUND(IF($V336="Weekday",IF(INDEX(Hourly_Analysis!$D$5:$D$28,$J336+1)&gt;0,($U336-INDEX(Hourly_Analysis!$C$5:$C$28,$J336+1))/INDEX(Hourly_Analysis!$D$5:$D$28,$J336+1),0),IF(INDEX(Hourly_Analysis!$G$5:$G$28,$J336+1)&gt;0,($U336-INDEX(Hourly_Analysis!$F$5:$F$28,$J336+1))/INDEX(Hourly_Analysis!$G$5:$G$28,$J336+1),0)),2)</f>
        <v>-0.18</v>
      </c>
      <c r="AH336" s="23" t="str">
        <f>IF(ABS($AG336)&gt;Lookups!$B$20,IF($AG336&gt;0,"High anomaly","Low anomaly"),"")</f>
        <v/>
      </c>
      <c r="AI336" s="23" t="str">
        <f t="shared" si="34"/>
        <v>OK</v>
      </c>
      <c r="AJ336" s="23" t="str">
        <f t="shared" si="35"/>
        <v>No</v>
      </c>
    </row>
    <row r="337" spans="1:36" x14ac:dyDescent="0.35">
      <c r="A337" s="23">
        <v>336</v>
      </c>
      <c r="B337" s="23" t="str">
        <f t="shared" si="30"/>
        <v>Merge 1+2</v>
      </c>
      <c r="C337" s="23">
        <f>IFERROR(MATCH($A337,Merge_1_2!$A$2:$A$611,0),0)</f>
        <v>336</v>
      </c>
      <c r="D337" s="23">
        <f>IF($C337&gt;0,INDEX(Merge_1_2!$Q$2:$Q$611,$C337),0)</f>
        <v>336</v>
      </c>
      <c r="E337" s="23">
        <f>IFERROR(MATCH($A337,Dataset3_Raw!$A$2:$A$391,0),0)</f>
        <v>0</v>
      </c>
      <c r="F337" s="24">
        <f>IF($C337&gt;0,INDEX(Merge_1_2!$B$2:$B$611,$C337),DATE(VALUE(RIGHT(INDEX(Dataset3_Raw!$B$2:$B$391,$E337),4)),VALUE(MID(INDEX(Dataset3_Raw!$B$2:$B$391,$E337),4,2)),VALUE(LEFT(INDEX(Dataset3_Raw!$B$2:$B$391,$E337),2))))</f>
        <v>40558</v>
      </c>
      <c r="G337" s="23">
        <f>IF($C337&gt;0,INDEX(Merge_1_2!$C$2:$C$611,$C337),INDEX(Dataset3_Raw!$C$2:$C$391,$E337))</f>
        <v>1</v>
      </c>
      <c r="H337" s="23">
        <f>IF($C337&gt;0,INDEX(Merge_1_2!$D$2:$D$611,$C337),INDEX(Dataset3_Raw!$D$2:$D$391,$E337))</f>
        <v>0</v>
      </c>
      <c r="I337" s="23">
        <f>IF($C337&gt;0,INDEX(Merge_1_2!$E$2:$E$611,$C337),INDEX(Dataset3_Raw!$E$2:$E$391,$E337))</f>
        <v>1</v>
      </c>
      <c r="J337" s="23">
        <f>IF($C337&gt;0,INDEX(Merge_1_2!$F$2:$F$611,$C337),INDEX(Dataset3_Raw!$F$2:$F$391,$E337))</f>
        <v>11</v>
      </c>
      <c r="K337" s="23" t="b">
        <f>IF($C337&gt;0,INDEX(Merge_1_2!$G$2:$G$611,$C337),INDEX(Dataset3_Raw!$G$2:$G$391,$E337))</f>
        <v>0</v>
      </c>
      <c r="L337" s="23">
        <f>IF($C337&gt;0,INDEX(Merge_1_2!$H$2:$H$611,$C337),INDEX(Dataset3_Raw!$H$2:$H$391,$E337))</f>
        <v>6</v>
      </c>
      <c r="M337" s="23">
        <f>IF($C337&gt;0,INDEX(Merge_1_2!$I$2:$I$611,$C337),INDEX(Dataset3_Raw!$I$2:$I$391,$E337))</f>
        <v>1</v>
      </c>
      <c r="N337" s="25">
        <f>IF($C337&gt;0,INDEX(Merge_1_2!$J$2:$J$611,$C337),INDEX(Dataset3_Raw!$J$2:$J$391,$E337))</f>
        <v>0.2</v>
      </c>
      <c r="O337" s="25">
        <f>IF($C337&gt;0,IF(ISNUMBER(INDEX(Merge_1_2!$K$2:$K$611,$C337)),INDEX(Merge_1_2!$K$2:$K$611,$C337),""),INDEX(Dataset3_Raw!$K$2:$K$391,$E337))</f>
        <v>0.19700000000000001</v>
      </c>
      <c r="P337" s="25">
        <f>IF(ISNUMBER($O337),$O337,ROUND(Lookups!$B$25+Lookups!$B$24*$N337,4))</f>
        <v>0.19700000000000001</v>
      </c>
      <c r="Q337" s="25">
        <f>IF($C337&gt;0,INDEX(Merge_1_2!$L$2:$L$611,$C337),INDEX(Dataset3_Raw!$L$2:$L$391,$E337))</f>
        <v>0.55000000000000004</v>
      </c>
      <c r="R337" s="25">
        <f>IF($C337&gt;0,INDEX(Merge_1_2!$M$2:$M$611,$C337),INDEX(Dataset3_Raw!$M$2:$M$391,$E337))</f>
        <v>0.22389999999999999</v>
      </c>
      <c r="S337" s="23">
        <f>IF($C337&gt;0,INDEX(Merge_1_2!$N$2:$N$611,$C337),INDEX(Dataset3_Raw!$N$2:$N$391,$E337))</f>
        <v>18</v>
      </c>
      <c r="T337" s="23">
        <f>IF($C337&gt;0,INDEX(Merge_1_2!$O$2:$O$611,$C337),INDEX(Dataset3_Raw!$O$2:$O$391,$E337))</f>
        <v>54</v>
      </c>
      <c r="U337" s="23">
        <f>IF($C337&gt;0,INDEX(Merge_1_2!$P$2:$P$611,$C337),INDEX(Dataset3_Raw!$P$2:$P$391,$E337))</f>
        <v>72</v>
      </c>
      <c r="V337" s="23" t="str">
        <f t="shared" si="31"/>
        <v>Weekend</v>
      </c>
      <c r="W337" s="23" t="str">
        <f>VLOOKUP($M337,Lookups!$A$5:$B$8,2,FALSE())</f>
        <v>Clear / Partly cloudy</v>
      </c>
      <c r="X337" s="23" t="str">
        <f>VLOOKUP($G337,Lookups!$D$5:$E$8,2,FALSE())</f>
        <v>Winter</v>
      </c>
      <c r="Y337" s="23" t="str">
        <f>VLOOKUP($L337,Lookups!$G$5:$H$11,2,FALSE())</f>
        <v>Saturday</v>
      </c>
      <c r="Z337" s="23" t="str">
        <f>IF($J337&lt;Lookups!$B$26,"Night",IF($J337&lt;Lookups!$B$27,"Morning",IF($J337&lt;Lookups!$B$28,"Afternoon","Evening")))</f>
        <v>Morning</v>
      </c>
      <c r="AA337" s="26">
        <f>ROUND($N337*(Lookups!$B$16-Lookups!$B$15)+Lookups!$B$15,1)</f>
        <v>1.4</v>
      </c>
      <c r="AB337" s="26">
        <f>ROUND($P337*(Lookups!$B$18-Lookups!$B$17)+Lookups!$B$17,1)</f>
        <v>-3</v>
      </c>
      <c r="AC337" s="23">
        <f t="shared" si="32"/>
        <v>55</v>
      </c>
      <c r="AD337" s="23">
        <f>ROUND($R337*Lookups!$B$19,1)</f>
        <v>15</v>
      </c>
      <c r="AE337" s="27">
        <f t="shared" si="33"/>
        <v>0.75</v>
      </c>
      <c r="AF337" s="23" t="str">
        <f>IF($U337&gt;=Lookups!$B$23,"High",IF($U337&gt;=Lookups!$B$22,"Medium","Low"))</f>
        <v>Medium</v>
      </c>
      <c r="AG337" s="23">
        <f>ROUND(IF($V337="Weekday",IF(INDEX(Hourly_Analysis!$D$5:$D$28,$J337+1)&gt;0,($U337-INDEX(Hourly_Analysis!$C$5:$C$28,$J337+1))/INDEX(Hourly_Analysis!$D$5:$D$28,$J337+1),0),IF(INDEX(Hourly_Analysis!$G$5:$G$28,$J337+1)&gt;0,($U337-INDEX(Hourly_Analysis!$F$5:$F$28,$J337+1))/INDEX(Hourly_Analysis!$G$5:$G$28,$J337+1),0)),2)</f>
        <v>-0.17</v>
      </c>
      <c r="AH337" s="23" t="str">
        <f>IF(ABS($AG337)&gt;Lookups!$B$20,IF($AG337&gt;0,"High anomaly","Low anomaly"),"")</f>
        <v/>
      </c>
      <c r="AI337" s="23" t="str">
        <f t="shared" si="34"/>
        <v>OK</v>
      </c>
      <c r="AJ337" s="23" t="str">
        <f t="shared" si="35"/>
        <v>No</v>
      </c>
    </row>
    <row r="338" spans="1:36" x14ac:dyDescent="0.35">
      <c r="A338" s="23">
        <v>337</v>
      </c>
      <c r="B338" s="23" t="str">
        <f t="shared" si="30"/>
        <v>Merge 1+2</v>
      </c>
      <c r="C338" s="23">
        <f>IFERROR(MATCH($A338,Merge_1_2!$A$2:$A$611,0),0)</f>
        <v>337</v>
      </c>
      <c r="D338" s="23">
        <f>IF($C338&gt;0,INDEX(Merge_1_2!$Q$2:$Q$611,$C338),0)</f>
        <v>337</v>
      </c>
      <c r="E338" s="23">
        <f>IFERROR(MATCH($A338,Dataset3_Raw!$A$2:$A$391,0),0)</f>
        <v>0</v>
      </c>
      <c r="F338" s="24">
        <f>IF($C338&gt;0,INDEX(Merge_1_2!$B$2:$B$611,$C338),DATE(VALUE(RIGHT(INDEX(Dataset3_Raw!$B$2:$B$391,$E338),4)),VALUE(MID(INDEX(Dataset3_Raw!$B$2:$B$391,$E338),4,2)),VALUE(LEFT(INDEX(Dataset3_Raw!$B$2:$B$391,$E338),2))))</f>
        <v>40558</v>
      </c>
      <c r="G338" s="23">
        <f>IF($C338&gt;0,INDEX(Merge_1_2!$C$2:$C$611,$C338),INDEX(Dataset3_Raw!$C$2:$C$391,$E338))</f>
        <v>1</v>
      </c>
      <c r="H338" s="23">
        <f>IF($C338&gt;0,INDEX(Merge_1_2!$D$2:$D$611,$C338),INDEX(Dataset3_Raw!$D$2:$D$391,$E338))</f>
        <v>0</v>
      </c>
      <c r="I338" s="23">
        <f>IF($C338&gt;0,INDEX(Merge_1_2!$E$2:$E$611,$C338),INDEX(Dataset3_Raw!$E$2:$E$391,$E338))</f>
        <v>1</v>
      </c>
      <c r="J338" s="23">
        <f>IF($C338&gt;0,INDEX(Merge_1_2!$F$2:$F$611,$C338),INDEX(Dataset3_Raw!$F$2:$F$391,$E338))</f>
        <v>12</v>
      </c>
      <c r="K338" s="23" t="b">
        <f>IF($C338&gt;0,INDEX(Merge_1_2!$G$2:$G$611,$C338),INDEX(Dataset3_Raw!$G$2:$G$391,$E338))</f>
        <v>0</v>
      </c>
      <c r="L338" s="23">
        <f>IF($C338&gt;0,INDEX(Merge_1_2!$H$2:$H$611,$C338),INDEX(Dataset3_Raw!$H$2:$H$391,$E338))</f>
        <v>6</v>
      </c>
      <c r="M338" s="23">
        <f>IF($C338&gt;0,INDEX(Merge_1_2!$I$2:$I$611,$C338),INDEX(Dataset3_Raw!$I$2:$I$391,$E338))</f>
        <v>1</v>
      </c>
      <c r="N338" s="25">
        <f>IF($C338&gt;0,INDEX(Merge_1_2!$J$2:$J$611,$C338),INDEX(Dataset3_Raw!$J$2:$J$391,$E338))</f>
        <v>0.24</v>
      </c>
      <c r="O338" s="25">
        <f>IF($C338&gt;0,IF(ISNUMBER(INDEX(Merge_1_2!$K$2:$K$611,$C338)),INDEX(Merge_1_2!$K$2:$K$611,$C338),""),INDEX(Dataset3_Raw!$K$2:$K$391,$E338))</f>
        <v>0.2273</v>
      </c>
      <c r="P338" s="25">
        <f>IF(ISNUMBER($O338),$O338,ROUND(Lookups!$B$25+Lookups!$B$24*$N338,4))</f>
        <v>0.2273</v>
      </c>
      <c r="Q338" s="25">
        <f>IF($C338&gt;0,INDEX(Merge_1_2!$L$2:$L$611,$C338),INDEX(Dataset3_Raw!$L$2:$L$391,$E338))</f>
        <v>0.48</v>
      </c>
      <c r="R338" s="25">
        <f>IF($C338&gt;0,INDEX(Merge_1_2!$M$2:$M$611,$C338),INDEX(Dataset3_Raw!$M$2:$M$391,$E338))</f>
        <v>0.22389999999999999</v>
      </c>
      <c r="S338" s="23">
        <f>IF($C338&gt;0,INDEX(Merge_1_2!$N$2:$N$611,$C338),INDEX(Dataset3_Raw!$N$2:$N$391,$E338))</f>
        <v>15</v>
      </c>
      <c r="T338" s="23">
        <f>IF($C338&gt;0,INDEX(Merge_1_2!$O$2:$O$611,$C338),INDEX(Dataset3_Raw!$O$2:$O$391,$E338))</f>
        <v>74</v>
      </c>
      <c r="U338" s="23">
        <f>IF($C338&gt;0,INDEX(Merge_1_2!$P$2:$P$611,$C338),INDEX(Dataset3_Raw!$P$2:$P$391,$E338))</f>
        <v>89</v>
      </c>
      <c r="V338" s="23" t="str">
        <f t="shared" si="31"/>
        <v>Weekend</v>
      </c>
      <c r="W338" s="23" t="str">
        <f>VLOOKUP($M338,Lookups!$A$5:$B$8,2,FALSE())</f>
        <v>Clear / Partly cloudy</v>
      </c>
      <c r="X338" s="23" t="str">
        <f>VLOOKUP($G338,Lookups!$D$5:$E$8,2,FALSE())</f>
        <v>Winter</v>
      </c>
      <c r="Y338" s="23" t="str">
        <f>VLOOKUP($L338,Lookups!$G$5:$H$11,2,FALSE())</f>
        <v>Saturday</v>
      </c>
      <c r="Z338" s="23" t="str">
        <f>IF($J338&lt;Lookups!$B$26,"Night",IF($J338&lt;Lookups!$B$27,"Morning",IF($J338&lt;Lookups!$B$28,"Afternoon","Evening")))</f>
        <v>Afternoon</v>
      </c>
      <c r="AA338" s="26">
        <f>ROUND($N338*(Lookups!$B$16-Lookups!$B$15)+Lookups!$B$15,1)</f>
        <v>3.3</v>
      </c>
      <c r="AB338" s="26">
        <f>ROUND($P338*(Lookups!$B$18-Lookups!$B$17)+Lookups!$B$17,1)</f>
        <v>-1</v>
      </c>
      <c r="AC338" s="23">
        <f t="shared" si="32"/>
        <v>48</v>
      </c>
      <c r="AD338" s="23">
        <f>ROUND($R338*Lookups!$B$19,1)</f>
        <v>15</v>
      </c>
      <c r="AE338" s="27">
        <f t="shared" si="33"/>
        <v>0.8314606741573034</v>
      </c>
      <c r="AF338" s="23" t="str">
        <f>IF($U338&gt;=Lookups!$B$23,"High",IF($U338&gt;=Lookups!$B$22,"Medium","Low"))</f>
        <v>High</v>
      </c>
      <c r="AG338" s="23">
        <f>ROUND(IF($V338="Weekday",IF(INDEX(Hourly_Analysis!$D$5:$D$28,$J338+1)&gt;0,($U338-INDEX(Hourly_Analysis!$C$5:$C$28,$J338+1))/INDEX(Hourly_Analysis!$D$5:$D$28,$J338+1),0),IF(INDEX(Hourly_Analysis!$G$5:$G$28,$J338+1)&gt;0,($U338-INDEX(Hourly_Analysis!$F$5:$F$28,$J338+1))/INDEX(Hourly_Analysis!$G$5:$G$28,$J338+1),0)),2)</f>
        <v>-0.33</v>
      </c>
      <c r="AH338" s="23" t="str">
        <f>IF(ABS($AG338)&gt;Lookups!$B$20,IF($AG338&gt;0,"High anomaly","Low anomaly"),"")</f>
        <v/>
      </c>
      <c r="AI338" s="23" t="str">
        <f t="shared" si="34"/>
        <v>OK</v>
      </c>
      <c r="AJ338" s="23" t="str">
        <f t="shared" si="35"/>
        <v>No</v>
      </c>
    </row>
    <row r="339" spans="1:36" x14ac:dyDescent="0.35">
      <c r="A339" s="23">
        <v>338</v>
      </c>
      <c r="B339" s="23" t="str">
        <f t="shared" si="30"/>
        <v>Merge 1+2</v>
      </c>
      <c r="C339" s="23">
        <f>IFERROR(MATCH($A339,Merge_1_2!$A$2:$A$611,0),0)</f>
        <v>338</v>
      </c>
      <c r="D339" s="23">
        <f>IF($C339&gt;0,INDEX(Merge_1_2!$Q$2:$Q$611,$C339),0)</f>
        <v>338</v>
      </c>
      <c r="E339" s="23">
        <f>IFERROR(MATCH($A339,Dataset3_Raw!$A$2:$A$391,0),0)</f>
        <v>0</v>
      </c>
      <c r="F339" s="24">
        <f>IF($C339&gt;0,INDEX(Merge_1_2!$B$2:$B$611,$C339),DATE(VALUE(RIGHT(INDEX(Dataset3_Raw!$B$2:$B$391,$E339),4)),VALUE(MID(INDEX(Dataset3_Raw!$B$2:$B$391,$E339),4,2)),VALUE(LEFT(INDEX(Dataset3_Raw!$B$2:$B$391,$E339),2))))</f>
        <v>40558</v>
      </c>
      <c r="G339" s="23">
        <f>IF($C339&gt;0,INDEX(Merge_1_2!$C$2:$C$611,$C339),INDEX(Dataset3_Raw!$C$2:$C$391,$E339))</f>
        <v>1</v>
      </c>
      <c r="H339" s="23">
        <f>IF($C339&gt;0,INDEX(Merge_1_2!$D$2:$D$611,$C339),INDEX(Dataset3_Raw!$D$2:$D$391,$E339))</f>
        <v>0</v>
      </c>
      <c r="I339" s="23">
        <f>IF($C339&gt;0,INDEX(Merge_1_2!$E$2:$E$611,$C339),INDEX(Dataset3_Raw!$E$2:$E$391,$E339))</f>
        <v>1</v>
      </c>
      <c r="J339" s="23">
        <f>IF($C339&gt;0,INDEX(Merge_1_2!$F$2:$F$611,$C339),INDEX(Dataset3_Raw!$F$2:$F$391,$E339))</f>
        <v>13</v>
      </c>
      <c r="K339" s="23" t="b">
        <f>IF($C339&gt;0,INDEX(Merge_1_2!$G$2:$G$611,$C339),INDEX(Dataset3_Raw!$G$2:$G$391,$E339))</f>
        <v>0</v>
      </c>
      <c r="L339" s="23">
        <f>IF($C339&gt;0,INDEX(Merge_1_2!$H$2:$H$611,$C339),INDEX(Dataset3_Raw!$H$2:$H$391,$E339))</f>
        <v>6</v>
      </c>
      <c r="M339" s="23">
        <f>IF($C339&gt;0,INDEX(Merge_1_2!$I$2:$I$611,$C339),INDEX(Dataset3_Raw!$I$2:$I$391,$E339))</f>
        <v>1</v>
      </c>
      <c r="N339" s="25">
        <f>IF($C339&gt;0,INDEX(Merge_1_2!$J$2:$J$611,$C339),INDEX(Dataset3_Raw!$J$2:$J$391,$E339))</f>
        <v>0.28000000000000003</v>
      </c>
      <c r="O339" s="25">
        <f>IF($C339&gt;0,IF(ISNUMBER(INDEX(Merge_1_2!$K$2:$K$611,$C339)),INDEX(Merge_1_2!$K$2:$K$611,$C339),""),INDEX(Dataset3_Raw!$K$2:$K$391,$E339))</f>
        <v>0.2576</v>
      </c>
      <c r="P339" s="25">
        <f>IF(ISNUMBER($O339),$O339,ROUND(Lookups!$B$25+Lookups!$B$24*$N339,4))</f>
        <v>0.2576</v>
      </c>
      <c r="Q339" s="25">
        <f>IF($C339&gt;0,INDEX(Merge_1_2!$L$2:$L$611,$C339),INDEX(Dataset3_Raw!$L$2:$L$391,$E339))</f>
        <v>0.38</v>
      </c>
      <c r="R339" s="25">
        <f>IF($C339&gt;0,INDEX(Merge_1_2!$M$2:$M$611,$C339),INDEX(Dataset3_Raw!$M$2:$M$391,$E339))</f>
        <v>0.29849999999999999</v>
      </c>
      <c r="S339" s="23">
        <f>IF($C339&gt;0,INDEX(Merge_1_2!$N$2:$N$611,$C339),INDEX(Dataset3_Raw!$N$2:$N$391,$E339))</f>
        <v>21</v>
      </c>
      <c r="T339" s="23">
        <f>IF($C339&gt;0,INDEX(Merge_1_2!$O$2:$O$611,$C339),INDEX(Dataset3_Raw!$O$2:$O$391,$E339))</f>
        <v>80</v>
      </c>
      <c r="U339" s="23">
        <f>IF($C339&gt;0,INDEX(Merge_1_2!$P$2:$P$611,$C339),INDEX(Dataset3_Raw!$P$2:$P$391,$E339))</f>
        <v>101</v>
      </c>
      <c r="V339" s="23" t="str">
        <f t="shared" si="31"/>
        <v>Weekend</v>
      </c>
      <c r="W339" s="23" t="str">
        <f>VLOOKUP($M339,Lookups!$A$5:$B$8,2,FALSE())</f>
        <v>Clear / Partly cloudy</v>
      </c>
      <c r="X339" s="23" t="str">
        <f>VLOOKUP($G339,Lookups!$D$5:$E$8,2,FALSE())</f>
        <v>Winter</v>
      </c>
      <c r="Y339" s="23" t="str">
        <f>VLOOKUP($L339,Lookups!$G$5:$H$11,2,FALSE())</f>
        <v>Saturday</v>
      </c>
      <c r="Z339" s="23" t="str">
        <f>IF($J339&lt;Lookups!$B$26,"Night",IF($J339&lt;Lookups!$B$27,"Morning",IF($J339&lt;Lookups!$B$28,"Afternoon","Evening")))</f>
        <v>Afternoon</v>
      </c>
      <c r="AA339" s="26">
        <f>ROUND($N339*(Lookups!$B$16-Lookups!$B$15)+Lookups!$B$15,1)</f>
        <v>5.2</v>
      </c>
      <c r="AB339" s="26">
        <f>ROUND($P339*(Lookups!$B$18-Lookups!$B$17)+Lookups!$B$17,1)</f>
        <v>1</v>
      </c>
      <c r="AC339" s="23">
        <f t="shared" si="32"/>
        <v>38</v>
      </c>
      <c r="AD339" s="23">
        <f>ROUND($R339*Lookups!$B$19,1)</f>
        <v>20</v>
      </c>
      <c r="AE339" s="27">
        <f t="shared" si="33"/>
        <v>0.79207920792079212</v>
      </c>
      <c r="AF339" s="23" t="str">
        <f>IF($U339&gt;=Lookups!$B$23,"High",IF($U339&gt;=Lookups!$B$22,"Medium","Low"))</f>
        <v>High</v>
      </c>
      <c r="AG339" s="23">
        <f>ROUND(IF($V339="Weekday",IF(INDEX(Hourly_Analysis!$D$5:$D$28,$J339+1)&gt;0,($U339-INDEX(Hourly_Analysis!$C$5:$C$28,$J339+1))/INDEX(Hourly_Analysis!$D$5:$D$28,$J339+1),0),IF(INDEX(Hourly_Analysis!$G$5:$G$28,$J339+1)&gt;0,($U339-INDEX(Hourly_Analysis!$F$5:$F$28,$J339+1))/INDEX(Hourly_Analysis!$G$5:$G$28,$J339+1),0)),2)</f>
        <v>-0.01</v>
      </c>
      <c r="AH339" s="23" t="str">
        <f>IF(ABS($AG339)&gt;Lookups!$B$20,IF($AG339&gt;0,"High anomaly","Low anomaly"),"")</f>
        <v/>
      </c>
      <c r="AI339" s="23" t="str">
        <f t="shared" si="34"/>
        <v>OK</v>
      </c>
      <c r="AJ339" s="23" t="str">
        <f t="shared" si="35"/>
        <v>No</v>
      </c>
    </row>
    <row r="340" spans="1:36" x14ac:dyDescent="0.35">
      <c r="A340" s="23">
        <v>339</v>
      </c>
      <c r="B340" s="23" t="str">
        <f t="shared" si="30"/>
        <v>Merge 1+2</v>
      </c>
      <c r="C340" s="23">
        <f>IFERROR(MATCH($A340,Merge_1_2!$A$2:$A$611,0),0)</f>
        <v>339</v>
      </c>
      <c r="D340" s="23">
        <f>IF($C340&gt;0,INDEX(Merge_1_2!$Q$2:$Q$611,$C340),0)</f>
        <v>339</v>
      </c>
      <c r="E340" s="23">
        <f>IFERROR(MATCH($A340,Dataset3_Raw!$A$2:$A$391,0),0)</f>
        <v>0</v>
      </c>
      <c r="F340" s="24">
        <f>IF($C340&gt;0,INDEX(Merge_1_2!$B$2:$B$611,$C340),DATE(VALUE(RIGHT(INDEX(Dataset3_Raw!$B$2:$B$391,$E340),4)),VALUE(MID(INDEX(Dataset3_Raw!$B$2:$B$391,$E340),4,2)),VALUE(LEFT(INDEX(Dataset3_Raw!$B$2:$B$391,$E340),2))))</f>
        <v>40558</v>
      </c>
      <c r="G340" s="23">
        <f>IF($C340&gt;0,INDEX(Merge_1_2!$C$2:$C$611,$C340),INDEX(Dataset3_Raw!$C$2:$C$391,$E340))</f>
        <v>1</v>
      </c>
      <c r="H340" s="23">
        <f>IF($C340&gt;0,INDEX(Merge_1_2!$D$2:$D$611,$C340),INDEX(Dataset3_Raw!$D$2:$D$391,$E340))</f>
        <v>0</v>
      </c>
      <c r="I340" s="23">
        <f>IF($C340&gt;0,INDEX(Merge_1_2!$E$2:$E$611,$C340),INDEX(Dataset3_Raw!$E$2:$E$391,$E340))</f>
        <v>1</v>
      </c>
      <c r="J340" s="23">
        <f>IF($C340&gt;0,INDEX(Merge_1_2!$F$2:$F$611,$C340),INDEX(Dataset3_Raw!$F$2:$F$391,$E340))</f>
        <v>14</v>
      </c>
      <c r="K340" s="23" t="b">
        <f>IF($C340&gt;0,INDEX(Merge_1_2!$G$2:$G$611,$C340),INDEX(Dataset3_Raw!$G$2:$G$391,$E340))</f>
        <v>0</v>
      </c>
      <c r="L340" s="23">
        <f>IF($C340&gt;0,INDEX(Merge_1_2!$H$2:$H$611,$C340),INDEX(Dataset3_Raw!$H$2:$H$391,$E340))</f>
        <v>6</v>
      </c>
      <c r="M340" s="23">
        <f>IF($C340&gt;0,INDEX(Merge_1_2!$I$2:$I$611,$C340),INDEX(Dataset3_Raw!$I$2:$I$391,$E340))</f>
        <v>1</v>
      </c>
      <c r="N340" s="25">
        <f>IF($C340&gt;0,INDEX(Merge_1_2!$J$2:$J$611,$C340),INDEX(Dataset3_Raw!$J$2:$J$391,$E340))</f>
        <v>0.3</v>
      </c>
      <c r="O340" s="25">
        <f>IF($C340&gt;0,IF(ISNUMBER(INDEX(Merge_1_2!$K$2:$K$611,$C340)),INDEX(Merge_1_2!$K$2:$K$611,$C340),""),INDEX(Dataset3_Raw!$K$2:$K$391,$E340))</f>
        <v>0.28789999999999999</v>
      </c>
      <c r="P340" s="25">
        <f>IF(ISNUMBER($O340),$O340,ROUND(Lookups!$B$25+Lookups!$B$24*$N340,4))</f>
        <v>0.28789999999999999</v>
      </c>
      <c r="Q340" s="25">
        <f>IF($C340&gt;0,INDEX(Merge_1_2!$L$2:$L$611,$C340),INDEX(Dataset3_Raw!$L$2:$L$391,$E340))</f>
        <v>0.39</v>
      </c>
      <c r="R340" s="25">
        <f>IF($C340&gt;0,INDEX(Merge_1_2!$M$2:$M$611,$C340),INDEX(Dataset3_Raw!$M$2:$M$391,$E340))</f>
        <v>0.28360000000000002</v>
      </c>
      <c r="S340" s="23">
        <f>IF($C340&gt;0,INDEX(Merge_1_2!$N$2:$N$611,$C340),INDEX(Dataset3_Raw!$N$2:$N$391,$E340))</f>
        <v>26</v>
      </c>
      <c r="T340" s="23">
        <f>IF($C340&gt;0,INDEX(Merge_1_2!$O$2:$O$611,$C340),INDEX(Dataset3_Raw!$O$2:$O$391,$E340))</f>
        <v>92</v>
      </c>
      <c r="U340" s="23">
        <f>IF($C340&gt;0,INDEX(Merge_1_2!$P$2:$P$611,$C340),INDEX(Dataset3_Raw!$P$2:$P$391,$E340))</f>
        <v>118</v>
      </c>
      <c r="V340" s="23" t="str">
        <f t="shared" si="31"/>
        <v>Weekend</v>
      </c>
      <c r="W340" s="23" t="str">
        <f>VLOOKUP($M340,Lookups!$A$5:$B$8,2,FALSE())</f>
        <v>Clear / Partly cloudy</v>
      </c>
      <c r="X340" s="23" t="str">
        <f>VLOOKUP($G340,Lookups!$D$5:$E$8,2,FALSE())</f>
        <v>Winter</v>
      </c>
      <c r="Y340" s="23" t="str">
        <f>VLOOKUP($L340,Lookups!$G$5:$H$11,2,FALSE())</f>
        <v>Saturday</v>
      </c>
      <c r="Z340" s="23" t="str">
        <f>IF($J340&lt;Lookups!$B$26,"Night",IF($J340&lt;Lookups!$B$27,"Morning",IF($J340&lt;Lookups!$B$28,"Afternoon","Evening")))</f>
        <v>Afternoon</v>
      </c>
      <c r="AA340" s="26">
        <f>ROUND($N340*(Lookups!$B$16-Lookups!$B$15)+Lookups!$B$15,1)</f>
        <v>6.1</v>
      </c>
      <c r="AB340" s="26">
        <f>ROUND($P340*(Lookups!$B$18-Lookups!$B$17)+Lookups!$B$17,1)</f>
        <v>3</v>
      </c>
      <c r="AC340" s="23">
        <f t="shared" si="32"/>
        <v>39</v>
      </c>
      <c r="AD340" s="23">
        <f>ROUND($R340*Lookups!$B$19,1)</f>
        <v>19</v>
      </c>
      <c r="AE340" s="27">
        <f t="shared" si="33"/>
        <v>0.77966101694915257</v>
      </c>
      <c r="AF340" s="23" t="str">
        <f>IF($U340&gt;=Lookups!$B$23,"High",IF($U340&gt;=Lookups!$B$22,"Medium","Low"))</f>
        <v>High</v>
      </c>
      <c r="AG340" s="23">
        <f>ROUND(IF($V340="Weekday",IF(INDEX(Hourly_Analysis!$D$5:$D$28,$J340+1)&gt;0,($U340-INDEX(Hourly_Analysis!$C$5:$C$28,$J340+1))/INDEX(Hourly_Analysis!$D$5:$D$28,$J340+1),0),IF(INDEX(Hourly_Analysis!$G$5:$G$28,$J340+1)&gt;0,($U340-INDEX(Hourly_Analysis!$F$5:$F$28,$J340+1))/INDEX(Hourly_Analysis!$G$5:$G$28,$J340+1),0)),2)</f>
        <v>0.5</v>
      </c>
      <c r="AH340" s="23" t="str">
        <f>IF(ABS($AG340)&gt;Lookups!$B$20,IF($AG340&gt;0,"High anomaly","Low anomaly"),"")</f>
        <v/>
      </c>
      <c r="AI340" s="23" t="str">
        <f t="shared" si="34"/>
        <v>OK</v>
      </c>
      <c r="AJ340" s="23" t="str">
        <f t="shared" si="35"/>
        <v>No</v>
      </c>
    </row>
    <row r="341" spans="1:36" x14ac:dyDescent="0.35">
      <c r="A341" s="23">
        <v>340</v>
      </c>
      <c r="B341" s="23" t="str">
        <f t="shared" si="30"/>
        <v>Merge 1+2</v>
      </c>
      <c r="C341" s="23">
        <f>IFERROR(MATCH($A341,Merge_1_2!$A$2:$A$611,0),0)</f>
        <v>340</v>
      </c>
      <c r="D341" s="23">
        <f>IF($C341&gt;0,INDEX(Merge_1_2!$Q$2:$Q$611,$C341),0)</f>
        <v>340</v>
      </c>
      <c r="E341" s="23">
        <f>IFERROR(MATCH($A341,Dataset3_Raw!$A$2:$A$391,0),0)</f>
        <v>0</v>
      </c>
      <c r="F341" s="24">
        <f>IF($C341&gt;0,INDEX(Merge_1_2!$B$2:$B$611,$C341),DATE(VALUE(RIGHT(INDEX(Dataset3_Raw!$B$2:$B$391,$E341),4)),VALUE(MID(INDEX(Dataset3_Raw!$B$2:$B$391,$E341),4,2)),VALUE(LEFT(INDEX(Dataset3_Raw!$B$2:$B$391,$E341),2))))</f>
        <v>40558</v>
      </c>
      <c r="G341" s="23">
        <f>IF($C341&gt;0,INDEX(Merge_1_2!$C$2:$C$611,$C341),INDEX(Dataset3_Raw!$C$2:$C$391,$E341))</f>
        <v>1</v>
      </c>
      <c r="H341" s="23">
        <f>IF($C341&gt;0,INDEX(Merge_1_2!$D$2:$D$611,$C341),INDEX(Dataset3_Raw!$D$2:$D$391,$E341))</f>
        <v>0</v>
      </c>
      <c r="I341" s="23">
        <f>IF($C341&gt;0,INDEX(Merge_1_2!$E$2:$E$611,$C341),INDEX(Dataset3_Raw!$E$2:$E$391,$E341))</f>
        <v>1</v>
      </c>
      <c r="J341" s="23">
        <f>IF($C341&gt;0,INDEX(Merge_1_2!$F$2:$F$611,$C341),INDEX(Dataset3_Raw!$F$2:$F$391,$E341))</f>
        <v>15</v>
      </c>
      <c r="K341" s="23" t="b">
        <f>IF($C341&gt;0,INDEX(Merge_1_2!$G$2:$G$611,$C341),INDEX(Dataset3_Raw!$G$2:$G$391,$E341))</f>
        <v>0</v>
      </c>
      <c r="L341" s="23">
        <f>IF($C341&gt;0,INDEX(Merge_1_2!$H$2:$H$611,$C341),INDEX(Dataset3_Raw!$H$2:$H$391,$E341))</f>
        <v>6</v>
      </c>
      <c r="M341" s="23">
        <f>IF($C341&gt;0,INDEX(Merge_1_2!$I$2:$I$611,$C341),INDEX(Dataset3_Raw!$I$2:$I$391,$E341))</f>
        <v>2</v>
      </c>
      <c r="N341" s="25">
        <f>IF($C341&gt;0,INDEX(Merge_1_2!$J$2:$J$611,$C341),INDEX(Dataset3_Raw!$J$2:$J$391,$E341))</f>
        <v>0.32</v>
      </c>
      <c r="O341" s="25">
        <f>IF($C341&gt;0,IF(ISNUMBER(INDEX(Merge_1_2!$K$2:$K$611,$C341)),INDEX(Merge_1_2!$K$2:$K$611,$C341),""),INDEX(Dataset3_Raw!$K$2:$K$391,$E341))</f>
        <v>0.31819999999999998</v>
      </c>
      <c r="P341" s="25">
        <f>IF(ISNUMBER($O341),$O341,ROUND(Lookups!$B$25+Lookups!$B$24*$N341,4))</f>
        <v>0.31819999999999998</v>
      </c>
      <c r="Q341" s="25">
        <f>IF($C341&gt;0,INDEX(Merge_1_2!$L$2:$L$611,$C341),INDEX(Dataset3_Raw!$L$2:$L$391,$E341))</f>
        <v>0.36</v>
      </c>
      <c r="R341" s="25">
        <f>IF($C341&gt;0,INDEX(Merge_1_2!$M$2:$M$611,$C341),INDEX(Dataset3_Raw!$M$2:$M$391,$E341))</f>
        <v>0.19400000000000001</v>
      </c>
      <c r="S341" s="23">
        <f>IF($C341&gt;0,INDEX(Merge_1_2!$N$2:$N$611,$C341),INDEX(Dataset3_Raw!$N$2:$N$391,$E341))</f>
        <v>21</v>
      </c>
      <c r="T341" s="23">
        <f>IF($C341&gt;0,INDEX(Merge_1_2!$O$2:$O$611,$C341),INDEX(Dataset3_Raw!$O$2:$O$391,$E341))</f>
        <v>108</v>
      </c>
      <c r="U341" s="23">
        <f>IF($C341&gt;0,INDEX(Merge_1_2!$P$2:$P$611,$C341),INDEX(Dataset3_Raw!$P$2:$P$391,$E341))</f>
        <v>129</v>
      </c>
      <c r="V341" s="23" t="str">
        <f t="shared" si="31"/>
        <v>Weekend</v>
      </c>
      <c r="W341" s="23" t="str">
        <f>VLOOKUP($M341,Lookups!$A$5:$B$8,2,FALSE())</f>
        <v>Mist / Cloudy</v>
      </c>
      <c r="X341" s="23" t="str">
        <f>VLOOKUP($G341,Lookups!$D$5:$E$8,2,FALSE())</f>
        <v>Winter</v>
      </c>
      <c r="Y341" s="23" t="str">
        <f>VLOOKUP($L341,Lookups!$G$5:$H$11,2,FALSE())</f>
        <v>Saturday</v>
      </c>
      <c r="Z341" s="23" t="str">
        <f>IF($J341&lt;Lookups!$B$26,"Night",IF($J341&lt;Lookups!$B$27,"Morning",IF($J341&lt;Lookups!$B$28,"Afternoon","Evening")))</f>
        <v>Afternoon</v>
      </c>
      <c r="AA341" s="26">
        <f>ROUND($N341*(Lookups!$B$16-Lookups!$B$15)+Lookups!$B$15,1)</f>
        <v>7</v>
      </c>
      <c r="AB341" s="26">
        <f>ROUND($P341*(Lookups!$B$18-Lookups!$B$17)+Lookups!$B$17,1)</f>
        <v>5</v>
      </c>
      <c r="AC341" s="23">
        <f t="shared" si="32"/>
        <v>36</v>
      </c>
      <c r="AD341" s="23">
        <f>ROUND($R341*Lookups!$B$19,1)</f>
        <v>13</v>
      </c>
      <c r="AE341" s="27">
        <f t="shared" si="33"/>
        <v>0.83720930232558144</v>
      </c>
      <c r="AF341" s="23" t="str">
        <f>IF($U341&gt;=Lookups!$B$23,"High",IF($U341&gt;=Lookups!$B$22,"Medium","Low"))</f>
        <v>High</v>
      </c>
      <c r="AG341" s="23">
        <f>ROUND(IF($V341="Weekday",IF(INDEX(Hourly_Analysis!$D$5:$D$28,$J341+1)&gt;0,($U341-INDEX(Hourly_Analysis!$C$5:$C$28,$J341+1))/INDEX(Hourly_Analysis!$D$5:$D$28,$J341+1),0),IF(INDEX(Hourly_Analysis!$G$5:$G$28,$J341+1)&gt;0,($U341-INDEX(Hourly_Analysis!$F$5:$F$28,$J341+1))/INDEX(Hourly_Analysis!$G$5:$G$28,$J341+1),0)),2)</f>
        <v>0.48</v>
      </c>
      <c r="AH341" s="23" t="str">
        <f>IF(ABS($AG341)&gt;Lookups!$B$20,IF($AG341&gt;0,"High anomaly","Low anomaly"),"")</f>
        <v/>
      </c>
      <c r="AI341" s="23" t="str">
        <f t="shared" si="34"/>
        <v>OK</v>
      </c>
      <c r="AJ341" s="23" t="str">
        <f t="shared" si="35"/>
        <v>No</v>
      </c>
    </row>
    <row r="342" spans="1:36" x14ac:dyDescent="0.35">
      <c r="A342" s="23">
        <v>341</v>
      </c>
      <c r="B342" s="23" t="str">
        <f t="shared" si="30"/>
        <v>Merge 1+2</v>
      </c>
      <c r="C342" s="23">
        <f>IFERROR(MATCH($A342,Merge_1_2!$A$2:$A$611,0),0)</f>
        <v>341</v>
      </c>
      <c r="D342" s="23">
        <f>IF($C342&gt;0,INDEX(Merge_1_2!$Q$2:$Q$611,$C342),0)</f>
        <v>341</v>
      </c>
      <c r="E342" s="23">
        <f>IFERROR(MATCH($A342,Dataset3_Raw!$A$2:$A$391,0),0)</f>
        <v>0</v>
      </c>
      <c r="F342" s="24">
        <f>IF($C342&gt;0,INDEX(Merge_1_2!$B$2:$B$611,$C342),DATE(VALUE(RIGHT(INDEX(Dataset3_Raw!$B$2:$B$391,$E342),4)),VALUE(MID(INDEX(Dataset3_Raw!$B$2:$B$391,$E342),4,2)),VALUE(LEFT(INDEX(Dataset3_Raw!$B$2:$B$391,$E342),2))))</f>
        <v>40558</v>
      </c>
      <c r="G342" s="23">
        <f>IF($C342&gt;0,INDEX(Merge_1_2!$C$2:$C$611,$C342),INDEX(Dataset3_Raw!$C$2:$C$391,$E342))</f>
        <v>1</v>
      </c>
      <c r="H342" s="23">
        <f>IF($C342&gt;0,INDEX(Merge_1_2!$D$2:$D$611,$C342),INDEX(Dataset3_Raw!$D$2:$D$391,$E342))</f>
        <v>0</v>
      </c>
      <c r="I342" s="23">
        <f>IF($C342&gt;0,INDEX(Merge_1_2!$E$2:$E$611,$C342),INDEX(Dataset3_Raw!$E$2:$E$391,$E342))</f>
        <v>1</v>
      </c>
      <c r="J342" s="23">
        <f>IF($C342&gt;0,INDEX(Merge_1_2!$F$2:$F$611,$C342),INDEX(Dataset3_Raw!$F$2:$F$391,$E342))</f>
        <v>16</v>
      </c>
      <c r="K342" s="23" t="b">
        <f>IF($C342&gt;0,INDEX(Merge_1_2!$G$2:$G$611,$C342),INDEX(Dataset3_Raw!$G$2:$G$391,$E342))</f>
        <v>0</v>
      </c>
      <c r="L342" s="23">
        <f>IF($C342&gt;0,INDEX(Merge_1_2!$H$2:$H$611,$C342),INDEX(Dataset3_Raw!$H$2:$H$391,$E342))</f>
        <v>6</v>
      </c>
      <c r="M342" s="23">
        <f>IF($C342&gt;0,INDEX(Merge_1_2!$I$2:$I$611,$C342),INDEX(Dataset3_Raw!$I$2:$I$391,$E342))</f>
        <v>2</v>
      </c>
      <c r="N342" s="25">
        <f>IF($C342&gt;0,INDEX(Merge_1_2!$J$2:$J$611,$C342),INDEX(Dataset3_Raw!$J$2:$J$391,$E342))</f>
        <v>0.34</v>
      </c>
      <c r="O342" s="25">
        <f>IF($C342&gt;0,IF(ISNUMBER(INDEX(Merge_1_2!$K$2:$K$611,$C342)),INDEX(Merge_1_2!$K$2:$K$611,$C342),""),INDEX(Dataset3_Raw!$K$2:$K$391,$E342))</f>
        <v>0.33329999999999999</v>
      </c>
      <c r="P342" s="25">
        <f>IF(ISNUMBER($O342),$O342,ROUND(Lookups!$B$25+Lookups!$B$24*$N342,4))</f>
        <v>0.33329999999999999</v>
      </c>
      <c r="Q342" s="25">
        <f>IF($C342&gt;0,INDEX(Merge_1_2!$L$2:$L$611,$C342),INDEX(Dataset3_Raw!$L$2:$L$391,$E342))</f>
        <v>0.34</v>
      </c>
      <c r="R342" s="25">
        <f>IF($C342&gt;0,INDEX(Merge_1_2!$M$2:$M$611,$C342),INDEX(Dataset3_Raw!$M$2:$M$391,$E342))</f>
        <v>0.19400000000000001</v>
      </c>
      <c r="S342" s="23">
        <f>IF($C342&gt;0,INDEX(Merge_1_2!$N$2:$N$611,$C342),INDEX(Dataset3_Raw!$N$2:$N$391,$E342))</f>
        <v>33</v>
      </c>
      <c r="T342" s="23">
        <f>IF($C342&gt;0,INDEX(Merge_1_2!$O$2:$O$611,$C342),INDEX(Dataset3_Raw!$O$2:$O$391,$E342))</f>
        <v>95</v>
      </c>
      <c r="U342" s="23">
        <f>IF($C342&gt;0,INDEX(Merge_1_2!$P$2:$P$611,$C342),INDEX(Dataset3_Raw!$P$2:$P$391,$E342))</f>
        <v>128</v>
      </c>
      <c r="V342" s="23" t="str">
        <f t="shared" si="31"/>
        <v>Weekend</v>
      </c>
      <c r="W342" s="23" t="str">
        <f>VLOOKUP($M342,Lookups!$A$5:$B$8,2,FALSE())</f>
        <v>Mist / Cloudy</v>
      </c>
      <c r="X342" s="23" t="str">
        <f>VLOOKUP($G342,Lookups!$D$5:$E$8,2,FALSE())</f>
        <v>Winter</v>
      </c>
      <c r="Y342" s="23" t="str">
        <f>VLOOKUP($L342,Lookups!$G$5:$H$11,2,FALSE())</f>
        <v>Saturday</v>
      </c>
      <c r="Z342" s="23" t="str">
        <f>IF($J342&lt;Lookups!$B$26,"Night",IF($J342&lt;Lookups!$B$27,"Morning",IF($J342&lt;Lookups!$B$28,"Afternoon","Evening")))</f>
        <v>Afternoon</v>
      </c>
      <c r="AA342" s="26">
        <f>ROUND($N342*(Lookups!$B$16-Lookups!$B$15)+Lookups!$B$15,1)</f>
        <v>8</v>
      </c>
      <c r="AB342" s="26">
        <f>ROUND($P342*(Lookups!$B$18-Lookups!$B$17)+Lookups!$B$17,1)</f>
        <v>6</v>
      </c>
      <c r="AC342" s="23">
        <f t="shared" si="32"/>
        <v>34</v>
      </c>
      <c r="AD342" s="23">
        <f>ROUND($R342*Lookups!$B$19,1)</f>
        <v>13</v>
      </c>
      <c r="AE342" s="27">
        <f t="shared" si="33"/>
        <v>0.7421875</v>
      </c>
      <c r="AF342" s="23" t="str">
        <f>IF($U342&gt;=Lookups!$B$23,"High",IF($U342&gt;=Lookups!$B$22,"Medium","Low"))</f>
        <v>High</v>
      </c>
      <c r="AG342" s="23">
        <f>ROUND(IF($V342="Weekday",IF(INDEX(Hourly_Analysis!$D$5:$D$28,$J342+1)&gt;0,($U342-INDEX(Hourly_Analysis!$C$5:$C$28,$J342+1))/INDEX(Hourly_Analysis!$D$5:$D$28,$J342+1),0),IF(INDEX(Hourly_Analysis!$G$5:$G$28,$J342+1)&gt;0,($U342-INDEX(Hourly_Analysis!$F$5:$F$28,$J342+1))/INDEX(Hourly_Analysis!$G$5:$G$28,$J342+1),0)),2)</f>
        <v>0.9</v>
      </c>
      <c r="AH342" s="23" t="str">
        <f>IF(ABS($AG342)&gt;Lookups!$B$20,IF($AG342&gt;0,"High anomaly","Low anomaly"),"")</f>
        <v/>
      </c>
      <c r="AI342" s="23" t="str">
        <f t="shared" si="34"/>
        <v>OK</v>
      </c>
      <c r="AJ342" s="23" t="str">
        <f t="shared" si="35"/>
        <v>No</v>
      </c>
    </row>
    <row r="343" spans="1:36" x14ac:dyDescent="0.35">
      <c r="A343" s="23">
        <v>342</v>
      </c>
      <c r="B343" s="23" t="str">
        <f t="shared" si="30"/>
        <v>Merge 1+2</v>
      </c>
      <c r="C343" s="23">
        <f>IFERROR(MATCH($A343,Merge_1_2!$A$2:$A$611,0),0)</f>
        <v>342</v>
      </c>
      <c r="D343" s="23">
        <f>IF($C343&gt;0,INDEX(Merge_1_2!$Q$2:$Q$611,$C343),0)</f>
        <v>342</v>
      </c>
      <c r="E343" s="23">
        <f>IFERROR(MATCH($A343,Dataset3_Raw!$A$2:$A$391,0),0)</f>
        <v>0</v>
      </c>
      <c r="F343" s="24">
        <f>IF($C343&gt;0,INDEX(Merge_1_2!$B$2:$B$611,$C343),DATE(VALUE(RIGHT(INDEX(Dataset3_Raw!$B$2:$B$391,$E343),4)),VALUE(MID(INDEX(Dataset3_Raw!$B$2:$B$391,$E343),4,2)),VALUE(LEFT(INDEX(Dataset3_Raw!$B$2:$B$391,$E343),2))))</f>
        <v>40558</v>
      </c>
      <c r="G343" s="23">
        <f>IF($C343&gt;0,INDEX(Merge_1_2!$C$2:$C$611,$C343),INDEX(Dataset3_Raw!$C$2:$C$391,$E343))</f>
        <v>1</v>
      </c>
      <c r="H343" s="23">
        <f>IF($C343&gt;0,INDEX(Merge_1_2!$D$2:$D$611,$C343),INDEX(Dataset3_Raw!$D$2:$D$391,$E343))</f>
        <v>0</v>
      </c>
      <c r="I343" s="23">
        <f>IF($C343&gt;0,INDEX(Merge_1_2!$E$2:$E$611,$C343),INDEX(Dataset3_Raw!$E$2:$E$391,$E343))</f>
        <v>1</v>
      </c>
      <c r="J343" s="23">
        <f>IF($C343&gt;0,INDEX(Merge_1_2!$F$2:$F$611,$C343),INDEX(Dataset3_Raw!$F$2:$F$391,$E343))</f>
        <v>17</v>
      </c>
      <c r="K343" s="23" t="b">
        <f>IF($C343&gt;0,INDEX(Merge_1_2!$G$2:$G$611,$C343),INDEX(Dataset3_Raw!$G$2:$G$391,$E343))</f>
        <v>0</v>
      </c>
      <c r="L343" s="23">
        <f>IF($C343&gt;0,INDEX(Merge_1_2!$H$2:$H$611,$C343),INDEX(Dataset3_Raw!$H$2:$H$391,$E343))</f>
        <v>6</v>
      </c>
      <c r="M343" s="23">
        <f>IF($C343&gt;0,INDEX(Merge_1_2!$I$2:$I$611,$C343),INDEX(Dataset3_Raw!$I$2:$I$391,$E343))</f>
        <v>2</v>
      </c>
      <c r="N343" s="25">
        <f>IF($C343&gt;0,INDEX(Merge_1_2!$J$2:$J$611,$C343),INDEX(Dataset3_Raw!$J$2:$J$391,$E343))</f>
        <v>0.32</v>
      </c>
      <c r="O343" s="25">
        <f>IF($C343&gt;0,IF(ISNUMBER(INDEX(Merge_1_2!$K$2:$K$611,$C343)),INDEX(Merge_1_2!$K$2:$K$611,$C343),""),INDEX(Dataset3_Raw!$K$2:$K$391,$E343))</f>
        <v>0.30299999999999999</v>
      </c>
      <c r="P343" s="25">
        <f>IF(ISNUMBER($O343),$O343,ROUND(Lookups!$B$25+Lookups!$B$24*$N343,4))</f>
        <v>0.30299999999999999</v>
      </c>
      <c r="Q343" s="25">
        <f>IF($C343&gt;0,INDEX(Merge_1_2!$L$2:$L$611,$C343),INDEX(Dataset3_Raw!$L$2:$L$391,$E343))</f>
        <v>0.36</v>
      </c>
      <c r="R343" s="25">
        <f>IF($C343&gt;0,INDEX(Merge_1_2!$M$2:$M$611,$C343),INDEX(Dataset3_Raw!$M$2:$M$391,$E343))</f>
        <v>0.28360000000000002</v>
      </c>
      <c r="S343" s="23">
        <f>IF($C343&gt;0,INDEX(Merge_1_2!$N$2:$N$611,$C343),INDEX(Dataset3_Raw!$N$2:$N$391,$E343))</f>
        <v>29</v>
      </c>
      <c r="T343" s="23">
        <f>IF($C343&gt;0,INDEX(Merge_1_2!$O$2:$O$611,$C343),INDEX(Dataset3_Raw!$O$2:$O$391,$E343))</f>
        <v>54</v>
      </c>
      <c r="U343" s="23">
        <f>IF($C343&gt;0,INDEX(Merge_1_2!$P$2:$P$611,$C343),INDEX(Dataset3_Raw!$P$2:$P$391,$E343))</f>
        <v>83</v>
      </c>
      <c r="V343" s="23" t="str">
        <f t="shared" si="31"/>
        <v>Weekend</v>
      </c>
      <c r="W343" s="23" t="str">
        <f>VLOOKUP($M343,Lookups!$A$5:$B$8,2,FALSE())</f>
        <v>Mist / Cloudy</v>
      </c>
      <c r="X343" s="23" t="str">
        <f>VLOOKUP($G343,Lookups!$D$5:$E$8,2,FALSE())</f>
        <v>Winter</v>
      </c>
      <c r="Y343" s="23" t="str">
        <f>VLOOKUP($L343,Lookups!$G$5:$H$11,2,FALSE())</f>
        <v>Saturday</v>
      </c>
      <c r="Z343" s="23" t="str">
        <f>IF($J343&lt;Lookups!$B$26,"Night",IF($J343&lt;Lookups!$B$27,"Morning",IF($J343&lt;Lookups!$B$28,"Afternoon","Evening")))</f>
        <v>Afternoon</v>
      </c>
      <c r="AA343" s="26">
        <f>ROUND($N343*(Lookups!$B$16-Lookups!$B$15)+Lookups!$B$15,1)</f>
        <v>7</v>
      </c>
      <c r="AB343" s="26">
        <f>ROUND($P343*(Lookups!$B$18-Lookups!$B$17)+Lookups!$B$17,1)</f>
        <v>4</v>
      </c>
      <c r="AC343" s="23">
        <f t="shared" si="32"/>
        <v>36</v>
      </c>
      <c r="AD343" s="23">
        <f>ROUND($R343*Lookups!$B$19,1)</f>
        <v>19</v>
      </c>
      <c r="AE343" s="27">
        <f t="shared" si="33"/>
        <v>0.6506024096385542</v>
      </c>
      <c r="AF343" s="23" t="str">
        <f>IF($U343&gt;=Lookups!$B$23,"High",IF($U343&gt;=Lookups!$B$22,"Medium","Low"))</f>
        <v>High</v>
      </c>
      <c r="AG343" s="23">
        <f>ROUND(IF($V343="Weekday",IF(INDEX(Hourly_Analysis!$D$5:$D$28,$J343+1)&gt;0,($U343-INDEX(Hourly_Analysis!$C$5:$C$28,$J343+1))/INDEX(Hourly_Analysis!$D$5:$D$28,$J343+1),0),IF(INDEX(Hourly_Analysis!$G$5:$G$28,$J343+1)&gt;0,($U343-INDEX(Hourly_Analysis!$F$5:$F$28,$J343+1))/INDEX(Hourly_Analysis!$G$5:$G$28,$J343+1),0)),2)</f>
        <v>-7.0000000000000007E-2</v>
      </c>
      <c r="AH343" s="23" t="str">
        <f>IF(ABS($AG343)&gt;Lookups!$B$20,IF($AG343&gt;0,"High anomaly","Low anomaly"),"")</f>
        <v/>
      </c>
      <c r="AI343" s="23" t="str">
        <f t="shared" si="34"/>
        <v>OK</v>
      </c>
      <c r="AJ343" s="23" t="str">
        <f t="shared" si="35"/>
        <v>No</v>
      </c>
    </row>
    <row r="344" spans="1:36" x14ac:dyDescent="0.35">
      <c r="A344" s="23">
        <v>343</v>
      </c>
      <c r="B344" s="23" t="str">
        <f t="shared" si="30"/>
        <v>Merge 1+2</v>
      </c>
      <c r="C344" s="23">
        <f>IFERROR(MATCH($A344,Merge_1_2!$A$2:$A$611,0),0)</f>
        <v>343</v>
      </c>
      <c r="D344" s="23">
        <f>IF($C344&gt;0,INDEX(Merge_1_2!$Q$2:$Q$611,$C344),0)</f>
        <v>343</v>
      </c>
      <c r="E344" s="23">
        <f>IFERROR(MATCH($A344,Dataset3_Raw!$A$2:$A$391,0),0)</f>
        <v>0</v>
      </c>
      <c r="F344" s="24">
        <f>IF($C344&gt;0,INDEX(Merge_1_2!$B$2:$B$611,$C344),DATE(VALUE(RIGHT(INDEX(Dataset3_Raw!$B$2:$B$391,$E344),4)),VALUE(MID(INDEX(Dataset3_Raw!$B$2:$B$391,$E344),4,2)),VALUE(LEFT(INDEX(Dataset3_Raw!$B$2:$B$391,$E344),2))))</f>
        <v>40558</v>
      </c>
      <c r="G344" s="23">
        <f>IF($C344&gt;0,INDEX(Merge_1_2!$C$2:$C$611,$C344),INDEX(Dataset3_Raw!$C$2:$C$391,$E344))</f>
        <v>1</v>
      </c>
      <c r="H344" s="23">
        <f>IF($C344&gt;0,INDEX(Merge_1_2!$D$2:$D$611,$C344),INDEX(Dataset3_Raw!$D$2:$D$391,$E344))</f>
        <v>0</v>
      </c>
      <c r="I344" s="23">
        <f>IF($C344&gt;0,INDEX(Merge_1_2!$E$2:$E$611,$C344),INDEX(Dataset3_Raw!$E$2:$E$391,$E344))</f>
        <v>1</v>
      </c>
      <c r="J344" s="23">
        <f>IF($C344&gt;0,INDEX(Merge_1_2!$F$2:$F$611,$C344),INDEX(Dataset3_Raw!$F$2:$F$391,$E344))</f>
        <v>18</v>
      </c>
      <c r="K344" s="23" t="b">
        <f>IF($C344&gt;0,INDEX(Merge_1_2!$G$2:$G$611,$C344),INDEX(Dataset3_Raw!$G$2:$G$391,$E344))</f>
        <v>0</v>
      </c>
      <c r="L344" s="23">
        <f>IF($C344&gt;0,INDEX(Merge_1_2!$H$2:$H$611,$C344),INDEX(Dataset3_Raw!$H$2:$H$391,$E344))</f>
        <v>6</v>
      </c>
      <c r="M344" s="23">
        <f>IF($C344&gt;0,INDEX(Merge_1_2!$I$2:$I$611,$C344),INDEX(Dataset3_Raw!$I$2:$I$391,$E344))</f>
        <v>2</v>
      </c>
      <c r="N344" s="25">
        <f>IF($C344&gt;0,INDEX(Merge_1_2!$J$2:$J$611,$C344),INDEX(Dataset3_Raw!$J$2:$J$391,$E344))</f>
        <v>0.3</v>
      </c>
      <c r="O344" s="25">
        <f>IF($C344&gt;0,IF(ISNUMBER(INDEX(Merge_1_2!$K$2:$K$611,$C344)),INDEX(Merge_1_2!$K$2:$K$611,$C344),""),INDEX(Dataset3_Raw!$K$2:$K$391,$E344))</f>
        <v>0.28789999999999999</v>
      </c>
      <c r="P344" s="25">
        <f>IF(ISNUMBER($O344),$O344,ROUND(Lookups!$B$25+Lookups!$B$24*$N344,4))</f>
        <v>0.28789999999999999</v>
      </c>
      <c r="Q344" s="25">
        <f>IF($C344&gt;0,INDEX(Merge_1_2!$L$2:$L$611,$C344),INDEX(Dataset3_Raw!$L$2:$L$391,$E344))</f>
        <v>0.45</v>
      </c>
      <c r="R344" s="25">
        <f>IF($C344&gt;0,INDEX(Merge_1_2!$M$2:$M$611,$C344),INDEX(Dataset3_Raw!$M$2:$M$391,$E344))</f>
        <v>0.25369999999999998</v>
      </c>
      <c r="S344" s="23">
        <f>IF($C344&gt;0,INDEX(Merge_1_2!$N$2:$N$611,$C344),INDEX(Dataset3_Raw!$N$2:$N$391,$E344))</f>
        <v>15</v>
      </c>
      <c r="T344" s="23">
        <f>IF($C344&gt;0,INDEX(Merge_1_2!$O$2:$O$611,$C344),INDEX(Dataset3_Raw!$O$2:$O$391,$E344))</f>
        <v>69</v>
      </c>
      <c r="U344" s="23">
        <f>IF($C344&gt;0,INDEX(Merge_1_2!$P$2:$P$611,$C344),INDEX(Dataset3_Raw!$P$2:$P$391,$E344))</f>
        <v>84</v>
      </c>
      <c r="V344" s="23" t="str">
        <f t="shared" si="31"/>
        <v>Weekend</v>
      </c>
      <c r="W344" s="23" t="str">
        <f>VLOOKUP($M344,Lookups!$A$5:$B$8,2,FALSE())</f>
        <v>Mist / Cloudy</v>
      </c>
      <c r="X344" s="23" t="str">
        <f>VLOOKUP($G344,Lookups!$D$5:$E$8,2,FALSE())</f>
        <v>Winter</v>
      </c>
      <c r="Y344" s="23" t="str">
        <f>VLOOKUP($L344,Lookups!$G$5:$H$11,2,FALSE())</f>
        <v>Saturday</v>
      </c>
      <c r="Z344" s="23" t="str">
        <f>IF($J344&lt;Lookups!$B$26,"Night",IF($J344&lt;Lookups!$B$27,"Morning",IF($J344&lt;Lookups!$B$28,"Afternoon","Evening")))</f>
        <v>Evening</v>
      </c>
      <c r="AA344" s="26">
        <f>ROUND($N344*(Lookups!$B$16-Lookups!$B$15)+Lookups!$B$15,1)</f>
        <v>6.1</v>
      </c>
      <c r="AB344" s="26">
        <f>ROUND($P344*(Lookups!$B$18-Lookups!$B$17)+Lookups!$B$17,1)</f>
        <v>3</v>
      </c>
      <c r="AC344" s="23">
        <f t="shared" si="32"/>
        <v>45</v>
      </c>
      <c r="AD344" s="23">
        <f>ROUND($R344*Lookups!$B$19,1)</f>
        <v>17</v>
      </c>
      <c r="AE344" s="27">
        <f t="shared" si="33"/>
        <v>0.8214285714285714</v>
      </c>
      <c r="AF344" s="23" t="str">
        <f>IF($U344&gt;=Lookups!$B$23,"High",IF($U344&gt;=Lookups!$B$22,"Medium","Low"))</f>
        <v>High</v>
      </c>
      <c r="AG344" s="23">
        <f>ROUND(IF($V344="Weekday",IF(INDEX(Hourly_Analysis!$D$5:$D$28,$J344+1)&gt;0,($U344-INDEX(Hourly_Analysis!$C$5:$C$28,$J344+1))/INDEX(Hourly_Analysis!$D$5:$D$28,$J344+1),0),IF(INDEX(Hourly_Analysis!$G$5:$G$28,$J344+1)&gt;0,($U344-INDEX(Hourly_Analysis!$F$5:$F$28,$J344+1))/INDEX(Hourly_Analysis!$G$5:$G$28,$J344+1),0)),2)</f>
        <v>1.03</v>
      </c>
      <c r="AH344" s="23" t="str">
        <f>IF(ABS($AG344)&gt;Lookups!$B$20,IF($AG344&gt;0,"High anomaly","Low anomaly"),"")</f>
        <v/>
      </c>
      <c r="AI344" s="23" t="str">
        <f t="shared" si="34"/>
        <v>OK</v>
      </c>
      <c r="AJ344" s="23" t="str">
        <f t="shared" si="35"/>
        <v>No</v>
      </c>
    </row>
    <row r="345" spans="1:36" x14ac:dyDescent="0.35">
      <c r="A345" s="23">
        <v>344</v>
      </c>
      <c r="B345" s="23" t="str">
        <f t="shared" si="30"/>
        <v>Merge 1+2</v>
      </c>
      <c r="C345" s="23">
        <f>IFERROR(MATCH($A345,Merge_1_2!$A$2:$A$611,0),0)</f>
        <v>344</v>
      </c>
      <c r="D345" s="23">
        <f>IF($C345&gt;0,INDEX(Merge_1_2!$Q$2:$Q$611,$C345),0)</f>
        <v>344</v>
      </c>
      <c r="E345" s="23">
        <f>IFERROR(MATCH($A345,Dataset3_Raw!$A$2:$A$391,0),0)</f>
        <v>0</v>
      </c>
      <c r="F345" s="24">
        <f>IF($C345&gt;0,INDEX(Merge_1_2!$B$2:$B$611,$C345),DATE(VALUE(RIGHT(INDEX(Dataset3_Raw!$B$2:$B$391,$E345),4)),VALUE(MID(INDEX(Dataset3_Raw!$B$2:$B$391,$E345),4,2)),VALUE(LEFT(INDEX(Dataset3_Raw!$B$2:$B$391,$E345),2))))</f>
        <v>40558</v>
      </c>
      <c r="G345" s="23">
        <f>IF($C345&gt;0,INDEX(Merge_1_2!$C$2:$C$611,$C345),INDEX(Dataset3_Raw!$C$2:$C$391,$E345))</f>
        <v>1</v>
      </c>
      <c r="H345" s="23">
        <f>IF($C345&gt;0,INDEX(Merge_1_2!$D$2:$D$611,$C345),INDEX(Dataset3_Raw!$D$2:$D$391,$E345))</f>
        <v>0</v>
      </c>
      <c r="I345" s="23">
        <f>IF($C345&gt;0,INDEX(Merge_1_2!$E$2:$E$611,$C345),INDEX(Dataset3_Raw!$E$2:$E$391,$E345))</f>
        <v>1</v>
      </c>
      <c r="J345" s="23">
        <f>IF($C345&gt;0,INDEX(Merge_1_2!$F$2:$F$611,$C345),INDEX(Dataset3_Raw!$F$2:$F$391,$E345))</f>
        <v>19</v>
      </c>
      <c r="K345" s="23" t="b">
        <f>IF($C345&gt;0,INDEX(Merge_1_2!$G$2:$G$611,$C345),INDEX(Dataset3_Raw!$G$2:$G$391,$E345))</f>
        <v>0</v>
      </c>
      <c r="L345" s="23">
        <f>IF($C345&gt;0,INDEX(Merge_1_2!$H$2:$H$611,$C345),INDEX(Dataset3_Raw!$H$2:$H$391,$E345))</f>
        <v>6</v>
      </c>
      <c r="M345" s="23">
        <f>IF($C345&gt;0,INDEX(Merge_1_2!$I$2:$I$611,$C345),INDEX(Dataset3_Raw!$I$2:$I$391,$E345))</f>
        <v>2</v>
      </c>
      <c r="N345" s="25">
        <f>IF($C345&gt;0,INDEX(Merge_1_2!$J$2:$J$611,$C345),INDEX(Dataset3_Raw!$J$2:$J$391,$E345))</f>
        <v>0.32</v>
      </c>
      <c r="O345" s="25">
        <f>IF($C345&gt;0,IF(ISNUMBER(INDEX(Merge_1_2!$K$2:$K$611,$C345)),INDEX(Merge_1_2!$K$2:$K$611,$C345),""),INDEX(Dataset3_Raw!$K$2:$K$391,$E345))</f>
        <v>0.30299999999999999</v>
      </c>
      <c r="P345" s="25">
        <f>IF(ISNUMBER($O345),$O345,ROUND(Lookups!$B$25+Lookups!$B$24*$N345,4))</f>
        <v>0.30299999999999999</v>
      </c>
      <c r="Q345" s="25">
        <f>IF($C345&gt;0,INDEX(Merge_1_2!$L$2:$L$611,$C345),INDEX(Dataset3_Raw!$L$2:$L$391,$E345))</f>
        <v>0.39</v>
      </c>
      <c r="R345" s="25">
        <f>IF($C345&gt;0,INDEX(Merge_1_2!$M$2:$M$611,$C345),INDEX(Dataset3_Raw!$M$2:$M$391,$E345))</f>
        <v>0.25369999999999998</v>
      </c>
      <c r="S345" s="23">
        <f>IF($C345&gt;0,INDEX(Merge_1_2!$N$2:$N$611,$C345),INDEX(Dataset3_Raw!$N$2:$N$391,$E345))</f>
        <v>14</v>
      </c>
      <c r="T345" s="23">
        <f>IF($C345&gt;0,INDEX(Merge_1_2!$O$2:$O$611,$C345),INDEX(Dataset3_Raw!$O$2:$O$391,$E345))</f>
        <v>60</v>
      </c>
      <c r="U345" s="23">
        <f>IF($C345&gt;0,INDEX(Merge_1_2!$P$2:$P$611,$C345),INDEX(Dataset3_Raw!$P$2:$P$391,$E345))</f>
        <v>74</v>
      </c>
      <c r="V345" s="23" t="str">
        <f t="shared" si="31"/>
        <v>Weekend</v>
      </c>
      <c r="W345" s="23" t="str">
        <f>VLOOKUP($M345,Lookups!$A$5:$B$8,2,FALSE())</f>
        <v>Mist / Cloudy</v>
      </c>
      <c r="X345" s="23" t="str">
        <f>VLOOKUP($G345,Lookups!$D$5:$E$8,2,FALSE())</f>
        <v>Winter</v>
      </c>
      <c r="Y345" s="23" t="str">
        <f>VLOOKUP($L345,Lookups!$G$5:$H$11,2,FALSE())</f>
        <v>Saturday</v>
      </c>
      <c r="Z345" s="23" t="str">
        <f>IF($J345&lt;Lookups!$B$26,"Night",IF($J345&lt;Lookups!$B$27,"Morning",IF($J345&lt;Lookups!$B$28,"Afternoon","Evening")))</f>
        <v>Evening</v>
      </c>
      <c r="AA345" s="26">
        <f>ROUND($N345*(Lookups!$B$16-Lookups!$B$15)+Lookups!$B$15,1)</f>
        <v>7</v>
      </c>
      <c r="AB345" s="26">
        <f>ROUND($P345*(Lookups!$B$18-Lookups!$B$17)+Lookups!$B$17,1)</f>
        <v>4</v>
      </c>
      <c r="AC345" s="23">
        <f t="shared" si="32"/>
        <v>39</v>
      </c>
      <c r="AD345" s="23">
        <f>ROUND($R345*Lookups!$B$19,1)</f>
        <v>17</v>
      </c>
      <c r="AE345" s="27">
        <f t="shared" si="33"/>
        <v>0.81081081081081086</v>
      </c>
      <c r="AF345" s="23" t="str">
        <f>IF($U345&gt;=Lookups!$B$23,"High",IF($U345&gt;=Lookups!$B$22,"Medium","Low"))</f>
        <v>Medium</v>
      </c>
      <c r="AG345" s="23">
        <f>ROUND(IF($V345="Weekday",IF(INDEX(Hourly_Analysis!$D$5:$D$28,$J345+1)&gt;0,($U345-INDEX(Hourly_Analysis!$C$5:$C$28,$J345+1))/INDEX(Hourly_Analysis!$D$5:$D$28,$J345+1),0),IF(INDEX(Hourly_Analysis!$G$5:$G$28,$J345+1)&gt;0,($U345-INDEX(Hourly_Analysis!$F$5:$F$28,$J345+1))/INDEX(Hourly_Analysis!$G$5:$G$28,$J345+1),0)),2)</f>
        <v>1.34</v>
      </c>
      <c r="AH345" s="23" t="str">
        <f>IF(ABS($AG345)&gt;Lookups!$B$20,IF($AG345&gt;0,"High anomaly","Low anomaly"),"")</f>
        <v/>
      </c>
      <c r="AI345" s="23" t="str">
        <f t="shared" si="34"/>
        <v>OK</v>
      </c>
      <c r="AJ345" s="23" t="str">
        <f t="shared" si="35"/>
        <v>No</v>
      </c>
    </row>
    <row r="346" spans="1:36" x14ac:dyDescent="0.35">
      <c r="A346" s="23">
        <v>345</v>
      </c>
      <c r="B346" s="23" t="str">
        <f t="shared" si="30"/>
        <v>Merge 1+2</v>
      </c>
      <c r="C346" s="23">
        <f>IFERROR(MATCH($A346,Merge_1_2!$A$2:$A$611,0),0)</f>
        <v>345</v>
      </c>
      <c r="D346" s="23">
        <f>IF($C346&gt;0,INDEX(Merge_1_2!$Q$2:$Q$611,$C346),0)</f>
        <v>345</v>
      </c>
      <c r="E346" s="23">
        <f>IFERROR(MATCH($A346,Dataset3_Raw!$A$2:$A$391,0),0)</f>
        <v>0</v>
      </c>
      <c r="F346" s="24">
        <f>IF($C346&gt;0,INDEX(Merge_1_2!$B$2:$B$611,$C346),DATE(VALUE(RIGHT(INDEX(Dataset3_Raw!$B$2:$B$391,$E346),4)),VALUE(MID(INDEX(Dataset3_Raw!$B$2:$B$391,$E346),4,2)),VALUE(LEFT(INDEX(Dataset3_Raw!$B$2:$B$391,$E346),2))))</f>
        <v>40558</v>
      </c>
      <c r="G346" s="23">
        <f>IF($C346&gt;0,INDEX(Merge_1_2!$C$2:$C$611,$C346),INDEX(Dataset3_Raw!$C$2:$C$391,$E346))</f>
        <v>1</v>
      </c>
      <c r="H346" s="23">
        <f>IF($C346&gt;0,INDEX(Merge_1_2!$D$2:$D$611,$C346),INDEX(Dataset3_Raw!$D$2:$D$391,$E346))</f>
        <v>0</v>
      </c>
      <c r="I346" s="23">
        <f>IF($C346&gt;0,INDEX(Merge_1_2!$E$2:$E$611,$C346),INDEX(Dataset3_Raw!$E$2:$E$391,$E346))</f>
        <v>1</v>
      </c>
      <c r="J346" s="23">
        <f>IF($C346&gt;0,INDEX(Merge_1_2!$F$2:$F$611,$C346),INDEX(Dataset3_Raw!$F$2:$F$391,$E346))</f>
        <v>20</v>
      </c>
      <c r="K346" s="23" t="b">
        <f>IF($C346&gt;0,INDEX(Merge_1_2!$G$2:$G$611,$C346),INDEX(Dataset3_Raw!$G$2:$G$391,$E346))</f>
        <v>0</v>
      </c>
      <c r="L346" s="23">
        <f>IF($C346&gt;0,INDEX(Merge_1_2!$H$2:$H$611,$C346),INDEX(Dataset3_Raw!$H$2:$H$391,$E346))</f>
        <v>6</v>
      </c>
      <c r="M346" s="23">
        <f>IF($C346&gt;0,INDEX(Merge_1_2!$I$2:$I$611,$C346),INDEX(Dataset3_Raw!$I$2:$I$391,$E346))</f>
        <v>2</v>
      </c>
      <c r="N346" s="25">
        <f>IF($C346&gt;0,INDEX(Merge_1_2!$J$2:$J$611,$C346),INDEX(Dataset3_Raw!$J$2:$J$391,$E346))</f>
        <v>0.32</v>
      </c>
      <c r="O346" s="25">
        <f>IF($C346&gt;0,IF(ISNUMBER(INDEX(Merge_1_2!$K$2:$K$611,$C346)),INDEX(Merge_1_2!$K$2:$K$611,$C346),""),INDEX(Dataset3_Raw!$K$2:$K$391,$E346))</f>
        <v>0.30299999999999999</v>
      </c>
      <c r="P346" s="25">
        <f>IF(ISNUMBER($O346),$O346,ROUND(Lookups!$B$25+Lookups!$B$24*$N346,4))</f>
        <v>0.30299999999999999</v>
      </c>
      <c r="Q346" s="25">
        <f>IF($C346&gt;0,INDEX(Merge_1_2!$L$2:$L$611,$C346),INDEX(Dataset3_Raw!$L$2:$L$391,$E346))</f>
        <v>0.39</v>
      </c>
      <c r="R346" s="25">
        <f>IF($C346&gt;0,INDEX(Merge_1_2!$M$2:$M$611,$C346),INDEX(Dataset3_Raw!$M$2:$M$391,$E346))</f>
        <v>0.25369999999999998</v>
      </c>
      <c r="S346" s="23">
        <f>IF($C346&gt;0,INDEX(Merge_1_2!$N$2:$N$611,$C346),INDEX(Dataset3_Raw!$N$2:$N$391,$E346))</f>
        <v>6</v>
      </c>
      <c r="T346" s="23">
        <f>IF($C346&gt;0,INDEX(Merge_1_2!$O$2:$O$611,$C346),INDEX(Dataset3_Raw!$O$2:$O$391,$E346))</f>
        <v>35</v>
      </c>
      <c r="U346" s="23">
        <f>IF($C346&gt;0,INDEX(Merge_1_2!$P$2:$P$611,$C346),INDEX(Dataset3_Raw!$P$2:$P$391,$E346))</f>
        <v>41</v>
      </c>
      <c r="V346" s="23" t="str">
        <f t="shared" si="31"/>
        <v>Weekend</v>
      </c>
      <c r="W346" s="23" t="str">
        <f>VLOOKUP($M346,Lookups!$A$5:$B$8,2,FALSE())</f>
        <v>Mist / Cloudy</v>
      </c>
      <c r="X346" s="23" t="str">
        <f>VLOOKUP($G346,Lookups!$D$5:$E$8,2,FALSE())</f>
        <v>Winter</v>
      </c>
      <c r="Y346" s="23" t="str">
        <f>VLOOKUP($L346,Lookups!$G$5:$H$11,2,FALSE())</f>
        <v>Saturday</v>
      </c>
      <c r="Z346" s="23" t="str">
        <f>IF($J346&lt;Lookups!$B$26,"Night",IF($J346&lt;Lookups!$B$27,"Morning",IF($J346&lt;Lookups!$B$28,"Afternoon","Evening")))</f>
        <v>Evening</v>
      </c>
      <c r="AA346" s="26">
        <f>ROUND($N346*(Lookups!$B$16-Lookups!$B$15)+Lookups!$B$15,1)</f>
        <v>7</v>
      </c>
      <c r="AB346" s="26">
        <f>ROUND($P346*(Lookups!$B$18-Lookups!$B$17)+Lookups!$B$17,1)</f>
        <v>4</v>
      </c>
      <c r="AC346" s="23">
        <f t="shared" si="32"/>
        <v>39</v>
      </c>
      <c r="AD346" s="23">
        <f>ROUND($R346*Lookups!$B$19,1)</f>
        <v>17</v>
      </c>
      <c r="AE346" s="27">
        <f t="shared" si="33"/>
        <v>0.85365853658536583</v>
      </c>
      <c r="AF346" s="23" t="str">
        <f>IF($U346&gt;=Lookups!$B$23,"High",IF($U346&gt;=Lookups!$B$22,"Medium","Low"))</f>
        <v>Medium</v>
      </c>
      <c r="AG346" s="23">
        <f>ROUND(IF($V346="Weekday",IF(INDEX(Hourly_Analysis!$D$5:$D$28,$J346+1)&gt;0,($U346-INDEX(Hourly_Analysis!$C$5:$C$28,$J346+1))/INDEX(Hourly_Analysis!$D$5:$D$28,$J346+1),0),IF(INDEX(Hourly_Analysis!$G$5:$G$28,$J346+1)&gt;0,($U346-INDEX(Hourly_Analysis!$F$5:$F$28,$J346+1))/INDEX(Hourly_Analysis!$G$5:$G$28,$J346+1),0)),2)</f>
        <v>0.12</v>
      </c>
      <c r="AH346" s="23" t="str">
        <f>IF(ABS($AG346)&gt;Lookups!$B$20,IF($AG346&gt;0,"High anomaly","Low anomaly"),"")</f>
        <v/>
      </c>
      <c r="AI346" s="23" t="str">
        <f t="shared" si="34"/>
        <v>OK</v>
      </c>
      <c r="AJ346" s="23" t="str">
        <f t="shared" si="35"/>
        <v>No</v>
      </c>
    </row>
    <row r="347" spans="1:36" x14ac:dyDescent="0.35">
      <c r="A347" s="23">
        <v>346</v>
      </c>
      <c r="B347" s="23" t="str">
        <f t="shared" si="30"/>
        <v>Merge 1+2</v>
      </c>
      <c r="C347" s="23">
        <f>IFERROR(MATCH($A347,Merge_1_2!$A$2:$A$611,0),0)</f>
        <v>346</v>
      </c>
      <c r="D347" s="23">
        <f>IF($C347&gt;0,INDEX(Merge_1_2!$Q$2:$Q$611,$C347),0)</f>
        <v>346</v>
      </c>
      <c r="E347" s="23">
        <f>IFERROR(MATCH($A347,Dataset3_Raw!$A$2:$A$391,0),0)</f>
        <v>0</v>
      </c>
      <c r="F347" s="24">
        <f>IF($C347&gt;0,INDEX(Merge_1_2!$B$2:$B$611,$C347),DATE(VALUE(RIGHT(INDEX(Dataset3_Raw!$B$2:$B$391,$E347),4)),VALUE(MID(INDEX(Dataset3_Raw!$B$2:$B$391,$E347),4,2)),VALUE(LEFT(INDEX(Dataset3_Raw!$B$2:$B$391,$E347),2))))</f>
        <v>40558</v>
      </c>
      <c r="G347" s="23">
        <f>IF($C347&gt;0,INDEX(Merge_1_2!$C$2:$C$611,$C347),INDEX(Dataset3_Raw!$C$2:$C$391,$E347))</f>
        <v>1</v>
      </c>
      <c r="H347" s="23">
        <f>IF($C347&gt;0,INDEX(Merge_1_2!$D$2:$D$611,$C347),INDEX(Dataset3_Raw!$D$2:$D$391,$E347))</f>
        <v>0</v>
      </c>
      <c r="I347" s="23">
        <f>IF($C347&gt;0,INDEX(Merge_1_2!$E$2:$E$611,$C347),INDEX(Dataset3_Raw!$E$2:$E$391,$E347))</f>
        <v>1</v>
      </c>
      <c r="J347" s="23">
        <f>IF($C347&gt;0,INDEX(Merge_1_2!$F$2:$F$611,$C347),INDEX(Dataset3_Raw!$F$2:$F$391,$E347))</f>
        <v>21</v>
      </c>
      <c r="K347" s="23" t="b">
        <f>IF($C347&gt;0,INDEX(Merge_1_2!$G$2:$G$611,$C347),INDEX(Dataset3_Raw!$G$2:$G$391,$E347))</f>
        <v>0</v>
      </c>
      <c r="L347" s="23">
        <f>IF($C347&gt;0,INDEX(Merge_1_2!$H$2:$H$611,$C347),INDEX(Dataset3_Raw!$H$2:$H$391,$E347))</f>
        <v>6</v>
      </c>
      <c r="M347" s="23">
        <f>IF($C347&gt;0,INDEX(Merge_1_2!$I$2:$I$611,$C347),INDEX(Dataset3_Raw!$I$2:$I$391,$E347))</f>
        <v>2</v>
      </c>
      <c r="N347" s="25">
        <f>IF($C347&gt;0,INDEX(Merge_1_2!$J$2:$J$611,$C347),INDEX(Dataset3_Raw!$J$2:$J$391,$E347))</f>
        <v>0.32</v>
      </c>
      <c r="O347" s="25">
        <f>IF($C347&gt;0,IF(ISNUMBER(INDEX(Merge_1_2!$K$2:$K$611,$C347)),INDEX(Merge_1_2!$K$2:$K$611,$C347),""),INDEX(Dataset3_Raw!$K$2:$K$391,$E347))</f>
        <v>0.30299999999999999</v>
      </c>
      <c r="P347" s="25">
        <f>IF(ISNUMBER($O347),$O347,ROUND(Lookups!$B$25+Lookups!$B$24*$N347,4))</f>
        <v>0.30299999999999999</v>
      </c>
      <c r="Q347" s="25">
        <f>IF($C347&gt;0,INDEX(Merge_1_2!$L$2:$L$611,$C347),INDEX(Dataset3_Raw!$L$2:$L$391,$E347))</f>
        <v>0.39</v>
      </c>
      <c r="R347" s="25">
        <f>IF($C347&gt;0,INDEX(Merge_1_2!$M$2:$M$611,$C347),INDEX(Dataset3_Raw!$M$2:$M$391,$E347))</f>
        <v>0.22389999999999999</v>
      </c>
      <c r="S347" s="23">
        <f>IF($C347&gt;0,INDEX(Merge_1_2!$N$2:$N$611,$C347),INDEX(Dataset3_Raw!$N$2:$N$391,$E347))</f>
        <v>6</v>
      </c>
      <c r="T347" s="23">
        <f>IF($C347&gt;0,INDEX(Merge_1_2!$O$2:$O$611,$C347),INDEX(Dataset3_Raw!$O$2:$O$391,$E347))</f>
        <v>51</v>
      </c>
      <c r="U347" s="23">
        <f>IF($C347&gt;0,INDEX(Merge_1_2!$P$2:$P$611,$C347),INDEX(Dataset3_Raw!$P$2:$P$391,$E347))</f>
        <v>57</v>
      </c>
      <c r="V347" s="23" t="str">
        <f t="shared" si="31"/>
        <v>Weekend</v>
      </c>
      <c r="W347" s="23" t="str">
        <f>VLOOKUP($M347,Lookups!$A$5:$B$8,2,FALSE())</f>
        <v>Mist / Cloudy</v>
      </c>
      <c r="X347" s="23" t="str">
        <f>VLOOKUP($G347,Lookups!$D$5:$E$8,2,FALSE())</f>
        <v>Winter</v>
      </c>
      <c r="Y347" s="23" t="str">
        <f>VLOOKUP($L347,Lookups!$G$5:$H$11,2,FALSE())</f>
        <v>Saturday</v>
      </c>
      <c r="Z347" s="23" t="str">
        <f>IF($J347&lt;Lookups!$B$26,"Night",IF($J347&lt;Lookups!$B$27,"Morning",IF($J347&lt;Lookups!$B$28,"Afternoon","Evening")))</f>
        <v>Evening</v>
      </c>
      <c r="AA347" s="26">
        <f>ROUND($N347*(Lookups!$B$16-Lookups!$B$15)+Lookups!$B$15,1)</f>
        <v>7</v>
      </c>
      <c r="AB347" s="26">
        <f>ROUND($P347*(Lookups!$B$18-Lookups!$B$17)+Lookups!$B$17,1)</f>
        <v>4</v>
      </c>
      <c r="AC347" s="23">
        <f t="shared" si="32"/>
        <v>39</v>
      </c>
      <c r="AD347" s="23">
        <f>ROUND($R347*Lookups!$B$19,1)</f>
        <v>15</v>
      </c>
      <c r="AE347" s="27">
        <f t="shared" si="33"/>
        <v>0.89473684210526316</v>
      </c>
      <c r="AF347" s="23" t="str">
        <f>IF($U347&gt;=Lookups!$B$23,"High",IF($U347&gt;=Lookups!$B$22,"Medium","Low"))</f>
        <v>Medium</v>
      </c>
      <c r="AG347" s="23">
        <f>ROUND(IF($V347="Weekday",IF(INDEX(Hourly_Analysis!$D$5:$D$28,$J347+1)&gt;0,($U347-INDEX(Hourly_Analysis!$C$5:$C$28,$J347+1))/INDEX(Hourly_Analysis!$D$5:$D$28,$J347+1),0),IF(INDEX(Hourly_Analysis!$G$5:$G$28,$J347+1)&gt;0,($U347-INDEX(Hourly_Analysis!$F$5:$F$28,$J347+1))/INDEX(Hourly_Analysis!$G$5:$G$28,$J347+1),0)),2)</f>
        <v>1.72</v>
      </c>
      <c r="AH347" s="23" t="str">
        <f>IF(ABS($AG347)&gt;Lookups!$B$20,IF($AG347&gt;0,"High anomaly","Low anomaly"),"")</f>
        <v/>
      </c>
      <c r="AI347" s="23" t="str">
        <f t="shared" si="34"/>
        <v>OK</v>
      </c>
      <c r="AJ347" s="23" t="str">
        <f t="shared" si="35"/>
        <v>No</v>
      </c>
    </row>
    <row r="348" spans="1:36" x14ac:dyDescent="0.35">
      <c r="A348" s="23">
        <v>347</v>
      </c>
      <c r="B348" s="23" t="str">
        <f t="shared" si="30"/>
        <v>Merge 1+2</v>
      </c>
      <c r="C348" s="23">
        <f>IFERROR(MATCH($A348,Merge_1_2!$A$2:$A$611,0),0)</f>
        <v>347</v>
      </c>
      <c r="D348" s="23">
        <f>IF($C348&gt;0,INDEX(Merge_1_2!$Q$2:$Q$611,$C348),0)</f>
        <v>347</v>
      </c>
      <c r="E348" s="23">
        <f>IFERROR(MATCH($A348,Dataset3_Raw!$A$2:$A$391,0),0)</f>
        <v>0</v>
      </c>
      <c r="F348" s="24">
        <f>IF($C348&gt;0,INDEX(Merge_1_2!$B$2:$B$611,$C348),DATE(VALUE(RIGHT(INDEX(Dataset3_Raw!$B$2:$B$391,$E348),4)),VALUE(MID(INDEX(Dataset3_Raw!$B$2:$B$391,$E348),4,2)),VALUE(LEFT(INDEX(Dataset3_Raw!$B$2:$B$391,$E348),2))))</f>
        <v>40558</v>
      </c>
      <c r="G348" s="23">
        <f>IF($C348&gt;0,INDEX(Merge_1_2!$C$2:$C$611,$C348),INDEX(Dataset3_Raw!$C$2:$C$391,$E348))</f>
        <v>1</v>
      </c>
      <c r="H348" s="23">
        <f>IF($C348&gt;0,INDEX(Merge_1_2!$D$2:$D$611,$C348),INDEX(Dataset3_Raw!$D$2:$D$391,$E348))</f>
        <v>0</v>
      </c>
      <c r="I348" s="23">
        <f>IF($C348&gt;0,INDEX(Merge_1_2!$E$2:$E$611,$C348),INDEX(Dataset3_Raw!$E$2:$E$391,$E348))</f>
        <v>1</v>
      </c>
      <c r="J348" s="23">
        <f>IF($C348&gt;0,INDEX(Merge_1_2!$F$2:$F$611,$C348),INDEX(Dataset3_Raw!$F$2:$F$391,$E348))</f>
        <v>22</v>
      </c>
      <c r="K348" s="23" t="b">
        <f>IF($C348&gt;0,INDEX(Merge_1_2!$G$2:$G$611,$C348),INDEX(Dataset3_Raw!$G$2:$G$391,$E348))</f>
        <v>0</v>
      </c>
      <c r="L348" s="23">
        <f>IF($C348&gt;0,INDEX(Merge_1_2!$H$2:$H$611,$C348),INDEX(Dataset3_Raw!$H$2:$H$391,$E348))</f>
        <v>6</v>
      </c>
      <c r="M348" s="23">
        <f>IF($C348&gt;0,INDEX(Merge_1_2!$I$2:$I$611,$C348),INDEX(Dataset3_Raw!$I$2:$I$391,$E348))</f>
        <v>2</v>
      </c>
      <c r="N348" s="25">
        <f>IF($C348&gt;0,INDEX(Merge_1_2!$J$2:$J$611,$C348),INDEX(Dataset3_Raw!$J$2:$J$391,$E348))</f>
        <v>0.3</v>
      </c>
      <c r="O348" s="25">
        <f>IF($C348&gt;0,IF(ISNUMBER(INDEX(Merge_1_2!$K$2:$K$611,$C348)),INDEX(Merge_1_2!$K$2:$K$611,$C348),""),INDEX(Dataset3_Raw!$K$2:$K$391,$E348))</f>
        <v>0.31819999999999998</v>
      </c>
      <c r="P348" s="25">
        <f>IF(ISNUMBER($O348),$O348,ROUND(Lookups!$B$25+Lookups!$B$24*$N348,4))</f>
        <v>0.31819999999999998</v>
      </c>
      <c r="Q348" s="25">
        <f>IF($C348&gt;0,INDEX(Merge_1_2!$L$2:$L$611,$C348),INDEX(Dataset3_Raw!$L$2:$L$391,$E348))</f>
        <v>0.42</v>
      </c>
      <c r="R348" s="25">
        <f>IF($C348&gt;0,INDEX(Merge_1_2!$M$2:$M$611,$C348),INDEX(Dataset3_Raw!$M$2:$M$391,$E348))</f>
        <v>0.1045</v>
      </c>
      <c r="S348" s="23">
        <f>IF($C348&gt;0,INDEX(Merge_1_2!$N$2:$N$611,$C348),INDEX(Dataset3_Raw!$N$2:$N$391,$E348))</f>
        <v>0</v>
      </c>
      <c r="T348" s="23">
        <f>IF($C348&gt;0,INDEX(Merge_1_2!$O$2:$O$611,$C348),INDEX(Dataset3_Raw!$O$2:$O$391,$E348))</f>
        <v>26</v>
      </c>
      <c r="U348" s="23">
        <f>IF($C348&gt;0,INDEX(Merge_1_2!$P$2:$P$611,$C348),INDEX(Dataset3_Raw!$P$2:$P$391,$E348))</f>
        <v>26</v>
      </c>
      <c r="V348" s="23" t="str">
        <f t="shared" si="31"/>
        <v>Weekend</v>
      </c>
      <c r="W348" s="23" t="str">
        <f>VLOOKUP($M348,Lookups!$A$5:$B$8,2,FALSE())</f>
        <v>Mist / Cloudy</v>
      </c>
      <c r="X348" s="23" t="str">
        <f>VLOOKUP($G348,Lookups!$D$5:$E$8,2,FALSE())</f>
        <v>Winter</v>
      </c>
      <c r="Y348" s="23" t="str">
        <f>VLOOKUP($L348,Lookups!$G$5:$H$11,2,FALSE())</f>
        <v>Saturday</v>
      </c>
      <c r="Z348" s="23" t="str">
        <f>IF($J348&lt;Lookups!$B$26,"Night",IF($J348&lt;Lookups!$B$27,"Morning",IF($J348&lt;Lookups!$B$28,"Afternoon","Evening")))</f>
        <v>Evening</v>
      </c>
      <c r="AA348" s="26">
        <f>ROUND($N348*(Lookups!$B$16-Lookups!$B$15)+Lookups!$B$15,1)</f>
        <v>6.1</v>
      </c>
      <c r="AB348" s="26">
        <f>ROUND($P348*(Lookups!$B$18-Lookups!$B$17)+Lookups!$B$17,1)</f>
        <v>5</v>
      </c>
      <c r="AC348" s="23">
        <f t="shared" si="32"/>
        <v>42</v>
      </c>
      <c r="AD348" s="23">
        <f>ROUND($R348*Lookups!$B$19,1)</f>
        <v>7</v>
      </c>
      <c r="AE348" s="27">
        <f t="shared" si="33"/>
        <v>1</v>
      </c>
      <c r="AF348" s="23" t="str">
        <f>IF($U348&gt;=Lookups!$B$23,"High",IF($U348&gt;=Lookups!$B$22,"Medium","Low"))</f>
        <v>Medium</v>
      </c>
      <c r="AG348" s="23">
        <f>ROUND(IF($V348="Weekday",IF(INDEX(Hourly_Analysis!$D$5:$D$28,$J348+1)&gt;0,($U348-INDEX(Hourly_Analysis!$C$5:$C$28,$J348+1))/INDEX(Hourly_Analysis!$D$5:$D$28,$J348+1),0),IF(INDEX(Hourly_Analysis!$G$5:$G$28,$J348+1)&gt;0,($U348-INDEX(Hourly_Analysis!$F$5:$F$28,$J348+1))/INDEX(Hourly_Analysis!$G$5:$G$28,$J348+1),0)),2)</f>
        <v>-0.27</v>
      </c>
      <c r="AH348" s="23" t="str">
        <f>IF(ABS($AG348)&gt;Lookups!$B$20,IF($AG348&gt;0,"High anomaly","Low anomaly"),"")</f>
        <v/>
      </c>
      <c r="AI348" s="23" t="str">
        <f t="shared" si="34"/>
        <v>OK</v>
      </c>
      <c r="AJ348" s="23" t="str">
        <f t="shared" si="35"/>
        <v>No</v>
      </c>
    </row>
    <row r="349" spans="1:36" x14ac:dyDescent="0.35">
      <c r="A349" s="23">
        <v>348</v>
      </c>
      <c r="B349" s="23" t="str">
        <f t="shared" si="30"/>
        <v>Merge 1+2</v>
      </c>
      <c r="C349" s="23">
        <f>IFERROR(MATCH($A349,Merge_1_2!$A$2:$A$611,0),0)</f>
        <v>348</v>
      </c>
      <c r="D349" s="23">
        <f>IF($C349&gt;0,INDEX(Merge_1_2!$Q$2:$Q$611,$C349),0)</f>
        <v>348</v>
      </c>
      <c r="E349" s="23">
        <f>IFERROR(MATCH($A349,Dataset3_Raw!$A$2:$A$391,0),0)</f>
        <v>0</v>
      </c>
      <c r="F349" s="24">
        <f>IF($C349&gt;0,INDEX(Merge_1_2!$B$2:$B$611,$C349),DATE(VALUE(RIGHT(INDEX(Dataset3_Raw!$B$2:$B$391,$E349),4)),VALUE(MID(INDEX(Dataset3_Raw!$B$2:$B$391,$E349),4,2)),VALUE(LEFT(INDEX(Dataset3_Raw!$B$2:$B$391,$E349),2))))</f>
        <v>40558</v>
      </c>
      <c r="G349" s="23">
        <f>IF($C349&gt;0,INDEX(Merge_1_2!$C$2:$C$611,$C349),INDEX(Dataset3_Raw!$C$2:$C$391,$E349))</f>
        <v>1</v>
      </c>
      <c r="H349" s="23">
        <f>IF($C349&gt;0,INDEX(Merge_1_2!$D$2:$D$611,$C349),INDEX(Dataset3_Raw!$D$2:$D$391,$E349))</f>
        <v>0</v>
      </c>
      <c r="I349" s="23">
        <f>IF($C349&gt;0,INDEX(Merge_1_2!$E$2:$E$611,$C349),INDEX(Dataset3_Raw!$E$2:$E$391,$E349))</f>
        <v>1</v>
      </c>
      <c r="J349" s="23">
        <f>IF($C349&gt;0,INDEX(Merge_1_2!$F$2:$F$611,$C349),INDEX(Dataset3_Raw!$F$2:$F$391,$E349))</f>
        <v>23</v>
      </c>
      <c r="K349" s="23" t="b">
        <f>IF($C349&gt;0,INDEX(Merge_1_2!$G$2:$G$611,$C349),INDEX(Dataset3_Raw!$G$2:$G$391,$E349))</f>
        <v>0</v>
      </c>
      <c r="L349" s="23">
        <f>IF($C349&gt;0,INDEX(Merge_1_2!$H$2:$H$611,$C349),INDEX(Dataset3_Raw!$H$2:$H$391,$E349))</f>
        <v>6</v>
      </c>
      <c r="M349" s="23">
        <f>IF($C349&gt;0,INDEX(Merge_1_2!$I$2:$I$611,$C349),INDEX(Dataset3_Raw!$I$2:$I$391,$E349))</f>
        <v>1</v>
      </c>
      <c r="N349" s="25">
        <f>IF($C349&gt;0,INDEX(Merge_1_2!$J$2:$J$611,$C349),INDEX(Dataset3_Raw!$J$2:$J$391,$E349))</f>
        <v>0.3</v>
      </c>
      <c r="O349" s="25">
        <f>IF($C349&gt;0,IF(ISNUMBER(INDEX(Merge_1_2!$K$2:$K$611,$C349)),INDEX(Merge_1_2!$K$2:$K$611,$C349),""),INDEX(Dataset3_Raw!$K$2:$K$391,$E349))</f>
        <v>0.28789999999999999</v>
      </c>
      <c r="P349" s="25">
        <f>IF(ISNUMBER($O349),$O349,ROUND(Lookups!$B$25+Lookups!$B$24*$N349,4))</f>
        <v>0.28789999999999999</v>
      </c>
      <c r="Q349" s="25">
        <f>IF($C349&gt;0,INDEX(Merge_1_2!$L$2:$L$611,$C349),INDEX(Dataset3_Raw!$L$2:$L$391,$E349))</f>
        <v>0.45</v>
      </c>
      <c r="R349" s="25">
        <f>IF($C349&gt;0,INDEX(Merge_1_2!$M$2:$M$611,$C349),INDEX(Dataset3_Raw!$M$2:$M$391,$E349))</f>
        <v>0.28360000000000002</v>
      </c>
      <c r="S349" s="23">
        <f>IF($C349&gt;0,INDEX(Merge_1_2!$N$2:$N$611,$C349),INDEX(Dataset3_Raw!$N$2:$N$391,$E349))</f>
        <v>5</v>
      </c>
      <c r="T349" s="23">
        <f>IF($C349&gt;0,INDEX(Merge_1_2!$O$2:$O$611,$C349),INDEX(Dataset3_Raw!$O$2:$O$391,$E349))</f>
        <v>39</v>
      </c>
      <c r="U349" s="23">
        <f>IF($C349&gt;0,INDEX(Merge_1_2!$P$2:$P$611,$C349),INDEX(Dataset3_Raw!$P$2:$P$391,$E349))</f>
        <v>44</v>
      </c>
      <c r="V349" s="23" t="str">
        <f t="shared" si="31"/>
        <v>Weekend</v>
      </c>
      <c r="W349" s="23" t="str">
        <f>VLOOKUP($M349,Lookups!$A$5:$B$8,2,FALSE())</f>
        <v>Clear / Partly cloudy</v>
      </c>
      <c r="X349" s="23" t="str">
        <f>VLOOKUP($G349,Lookups!$D$5:$E$8,2,FALSE())</f>
        <v>Winter</v>
      </c>
      <c r="Y349" s="23" t="str">
        <f>VLOOKUP($L349,Lookups!$G$5:$H$11,2,FALSE())</f>
        <v>Saturday</v>
      </c>
      <c r="Z349" s="23" t="str">
        <f>IF($J349&lt;Lookups!$B$26,"Night",IF($J349&lt;Lookups!$B$27,"Morning",IF($J349&lt;Lookups!$B$28,"Afternoon","Evening")))</f>
        <v>Evening</v>
      </c>
      <c r="AA349" s="26">
        <f>ROUND($N349*(Lookups!$B$16-Lookups!$B$15)+Lookups!$B$15,1)</f>
        <v>6.1</v>
      </c>
      <c r="AB349" s="26">
        <f>ROUND($P349*(Lookups!$B$18-Lookups!$B$17)+Lookups!$B$17,1)</f>
        <v>3</v>
      </c>
      <c r="AC349" s="23">
        <f t="shared" si="32"/>
        <v>45</v>
      </c>
      <c r="AD349" s="23">
        <f>ROUND($R349*Lookups!$B$19,1)</f>
        <v>19</v>
      </c>
      <c r="AE349" s="27">
        <f t="shared" si="33"/>
        <v>0.88636363636363635</v>
      </c>
      <c r="AF349" s="23" t="str">
        <f>IF($U349&gt;=Lookups!$B$23,"High",IF($U349&gt;=Lookups!$B$22,"Medium","Low"))</f>
        <v>Medium</v>
      </c>
      <c r="AG349" s="23">
        <f>ROUND(IF($V349="Weekday",IF(INDEX(Hourly_Analysis!$D$5:$D$28,$J349+1)&gt;0,($U349-INDEX(Hourly_Analysis!$C$5:$C$28,$J349+1))/INDEX(Hourly_Analysis!$D$5:$D$28,$J349+1),0),IF(INDEX(Hourly_Analysis!$G$5:$G$28,$J349+1)&gt;0,($U349-INDEX(Hourly_Analysis!$F$5:$F$28,$J349+1))/INDEX(Hourly_Analysis!$G$5:$G$28,$J349+1),0)),2)</f>
        <v>1.17</v>
      </c>
      <c r="AH349" s="23" t="str">
        <f>IF(ABS($AG349)&gt;Lookups!$B$20,IF($AG349&gt;0,"High anomaly","Low anomaly"),"")</f>
        <v/>
      </c>
      <c r="AI349" s="23" t="str">
        <f t="shared" si="34"/>
        <v>OK</v>
      </c>
      <c r="AJ349" s="23" t="str">
        <f t="shared" si="35"/>
        <v>No</v>
      </c>
    </row>
    <row r="350" spans="1:36" x14ac:dyDescent="0.35">
      <c r="A350" s="23">
        <v>349</v>
      </c>
      <c r="B350" s="23" t="str">
        <f t="shared" si="30"/>
        <v>Merge 1+2</v>
      </c>
      <c r="C350" s="23">
        <f>IFERROR(MATCH($A350,Merge_1_2!$A$2:$A$611,0),0)</f>
        <v>349</v>
      </c>
      <c r="D350" s="23">
        <f>IF($C350&gt;0,INDEX(Merge_1_2!$Q$2:$Q$611,$C350),0)</f>
        <v>349</v>
      </c>
      <c r="E350" s="23">
        <f>IFERROR(MATCH($A350,Dataset3_Raw!$A$2:$A$391,0),0)</f>
        <v>0</v>
      </c>
      <c r="F350" s="24">
        <f>IF($C350&gt;0,INDEX(Merge_1_2!$B$2:$B$611,$C350),DATE(VALUE(RIGHT(INDEX(Dataset3_Raw!$B$2:$B$391,$E350),4)),VALUE(MID(INDEX(Dataset3_Raw!$B$2:$B$391,$E350),4,2)),VALUE(LEFT(INDEX(Dataset3_Raw!$B$2:$B$391,$E350),2))))</f>
        <v>40559</v>
      </c>
      <c r="G350" s="23">
        <f>IF($C350&gt;0,INDEX(Merge_1_2!$C$2:$C$611,$C350),INDEX(Dataset3_Raw!$C$2:$C$391,$E350))</f>
        <v>1</v>
      </c>
      <c r="H350" s="23">
        <f>IF($C350&gt;0,INDEX(Merge_1_2!$D$2:$D$611,$C350),INDEX(Dataset3_Raw!$D$2:$D$391,$E350))</f>
        <v>0</v>
      </c>
      <c r="I350" s="23">
        <f>IF($C350&gt;0,INDEX(Merge_1_2!$E$2:$E$611,$C350),INDEX(Dataset3_Raw!$E$2:$E$391,$E350))</f>
        <v>1</v>
      </c>
      <c r="J350" s="23">
        <f>IF($C350&gt;0,INDEX(Merge_1_2!$F$2:$F$611,$C350),INDEX(Dataset3_Raw!$F$2:$F$391,$E350))</f>
        <v>0</v>
      </c>
      <c r="K350" s="23" t="b">
        <f>IF($C350&gt;0,INDEX(Merge_1_2!$G$2:$G$611,$C350),INDEX(Dataset3_Raw!$G$2:$G$391,$E350))</f>
        <v>0</v>
      </c>
      <c r="L350" s="23">
        <f>IF($C350&gt;0,INDEX(Merge_1_2!$H$2:$H$611,$C350),INDEX(Dataset3_Raw!$H$2:$H$391,$E350))</f>
        <v>0</v>
      </c>
      <c r="M350" s="23">
        <f>IF($C350&gt;0,INDEX(Merge_1_2!$I$2:$I$611,$C350),INDEX(Dataset3_Raw!$I$2:$I$391,$E350))</f>
        <v>1</v>
      </c>
      <c r="N350" s="25">
        <f>IF($C350&gt;0,INDEX(Merge_1_2!$J$2:$J$611,$C350),INDEX(Dataset3_Raw!$J$2:$J$391,$E350))</f>
        <v>0.26</v>
      </c>
      <c r="O350" s="25">
        <f>IF($C350&gt;0,IF(ISNUMBER(INDEX(Merge_1_2!$K$2:$K$611,$C350)),INDEX(Merge_1_2!$K$2:$K$611,$C350),""),INDEX(Dataset3_Raw!$K$2:$K$391,$E350))</f>
        <v>0.30299999999999999</v>
      </c>
      <c r="P350" s="25">
        <f>IF(ISNUMBER($O350),$O350,ROUND(Lookups!$B$25+Lookups!$B$24*$N350,4))</f>
        <v>0.30299999999999999</v>
      </c>
      <c r="Q350" s="25">
        <f>IF($C350&gt;0,INDEX(Merge_1_2!$L$2:$L$611,$C350),INDEX(Dataset3_Raw!$L$2:$L$391,$E350))</f>
        <v>0.56000000000000005</v>
      </c>
      <c r="R350" s="25">
        <f>IF($C350&gt;0,INDEX(Merge_1_2!$M$2:$M$611,$C350),INDEX(Dataset3_Raw!$M$2:$M$391,$E350))</f>
        <v>0</v>
      </c>
      <c r="S350" s="23">
        <f>IF($C350&gt;0,INDEX(Merge_1_2!$N$2:$N$611,$C350),INDEX(Dataset3_Raw!$N$2:$N$391,$E350))</f>
        <v>6</v>
      </c>
      <c r="T350" s="23">
        <f>IF($C350&gt;0,INDEX(Merge_1_2!$O$2:$O$611,$C350),INDEX(Dataset3_Raw!$O$2:$O$391,$E350))</f>
        <v>33</v>
      </c>
      <c r="U350" s="23">
        <f>IF($C350&gt;0,INDEX(Merge_1_2!$P$2:$P$611,$C350),INDEX(Dataset3_Raw!$P$2:$P$391,$E350))</f>
        <v>39</v>
      </c>
      <c r="V350" s="23" t="str">
        <f t="shared" si="31"/>
        <v>Weekend</v>
      </c>
      <c r="W350" s="23" t="str">
        <f>VLOOKUP($M350,Lookups!$A$5:$B$8,2,FALSE())</f>
        <v>Clear / Partly cloudy</v>
      </c>
      <c r="X350" s="23" t="str">
        <f>VLOOKUP($G350,Lookups!$D$5:$E$8,2,FALSE())</f>
        <v>Winter</v>
      </c>
      <c r="Y350" s="23" t="str">
        <f>VLOOKUP($L350,Lookups!$G$5:$H$11,2,FALSE())</f>
        <v>Sunday</v>
      </c>
      <c r="Z350" s="23" t="str">
        <f>IF($J350&lt;Lookups!$B$26,"Night",IF($J350&lt;Lookups!$B$27,"Morning",IF($J350&lt;Lookups!$B$28,"Afternoon","Evening")))</f>
        <v>Night</v>
      </c>
      <c r="AA350" s="26">
        <f>ROUND($N350*(Lookups!$B$16-Lookups!$B$15)+Lookups!$B$15,1)</f>
        <v>4.2</v>
      </c>
      <c r="AB350" s="26">
        <f>ROUND($P350*(Lookups!$B$18-Lookups!$B$17)+Lookups!$B$17,1)</f>
        <v>4</v>
      </c>
      <c r="AC350" s="23">
        <f t="shared" si="32"/>
        <v>56</v>
      </c>
      <c r="AD350" s="23">
        <f>ROUND($R350*Lookups!$B$19,1)</f>
        <v>0</v>
      </c>
      <c r="AE350" s="27">
        <f t="shared" si="33"/>
        <v>0.84615384615384615</v>
      </c>
      <c r="AF350" s="23" t="str">
        <f>IF($U350&gt;=Lookups!$B$23,"High",IF($U350&gt;=Lookups!$B$22,"Medium","Low"))</f>
        <v>Medium</v>
      </c>
      <c r="AG350" s="23">
        <f>ROUND(IF($V350="Weekday",IF(INDEX(Hourly_Analysis!$D$5:$D$28,$J350+1)&gt;0,($U350-INDEX(Hourly_Analysis!$C$5:$C$28,$J350+1))/INDEX(Hourly_Analysis!$D$5:$D$28,$J350+1),0),IF(INDEX(Hourly_Analysis!$G$5:$G$28,$J350+1)&gt;0,($U350-INDEX(Hourly_Analysis!$F$5:$F$28,$J350+1))/INDEX(Hourly_Analysis!$G$5:$G$28,$J350+1),0)),2)</f>
        <v>1.28</v>
      </c>
      <c r="AH350" s="23" t="str">
        <f>IF(ABS($AG350)&gt;Lookups!$B$20,IF($AG350&gt;0,"High anomaly","Low anomaly"),"")</f>
        <v/>
      </c>
      <c r="AI350" s="23" t="str">
        <f t="shared" si="34"/>
        <v>OK</v>
      </c>
      <c r="AJ350" s="23" t="str">
        <f t="shared" si="35"/>
        <v>No</v>
      </c>
    </row>
    <row r="351" spans="1:36" x14ac:dyDescent="0.35">
      <c r="A351" s="23">
        <v>350</v>
      </c>
      <c r="B351" s="23" t="str">
        <f t="shared" si="30"/>
        <v>Merge 1+2</v>
      </c>
      <c r="C351" s="23">
        <f>IFERROR(MATCH($A351,Merge_1_2!$A$2:$A$611,0),0)</f>
        <v>350</v>
      </c>
      <c r="D351" s="23">
        <f>IF($C351&gt;0,INDEX(Merge_1_2!$Q$2:$Q$611,$C351),0)</f>
        <v>350</v>
      </c>
      <c r="E351" s="23">
        <f>IFERROR(MATCH($A351,Dataset3_Raw!$A$2:$A$391,0),0)</f>
        <v>0</v>
      </c>
      <c r="F351" s="24">
        <f>IF($C351&gt;0,INDEX(Merge_1_2!$B$2:$B$611,$C351),DATE(VALUE(RIGHT(INDEX(Dataset3_Raw!$B$2:$B$391,$E351),4)),VALUE(MID(INDEX(Dataset3_Raw!$B$2:$B$391,$E351),4,2)),VALUE(LEFT(INDEX(Dataset3_Raw!$B$2:$B$391,$E351),2))))</f>
        <v>40559</v>
      </c>
      <c r="G351" s="23">
        <f>IF($C351&gt;0,INDEX(Merge_1_2!$C$2:$C$611,$C351),INDEX(Dataset3_Raw!$C$2:$C$391,$E351))</f>
        <v>1</v>
      </c>
      <c r="H351" s="23">
        <f>IF($C351&gt;0,INDEX(Merge_1_2!$D$2:$D$611,$C351),INDEX(Dataset3_Raw!$D$2:$D$391,$E351))</f>
        <v>0</v>
      </c>
      <c r="I351" s="23">
        <f>IF($C351&gt;0,INDEX(Merge_1_2!$E$2:$E$611,$C351),INDEX(Dataset3_Raw!$E$2:$E$391,$E351))</f>
        <v>1</v>
      </c>
      <c r="J351" s="23">
        <f>IF($C351&gt;0,INDEX(Merge_1_2!$F$2:$F$611,$C351),INDEX(Dataset3_Raw!$F$2:$F$391,$E351))</f>
        <v>1</v>
      </c>
      <c r="K351" s="23" t="b">
        <f>IF($C351&gt;0,INDEX(Merge_1_2!$G$2:$G$611,$C351),INDEX(Dataset3_Raw!$G$2:$G$391,$E351))</f>
        <v>0</v>
      </c>
      <c r="L351" s="23">
        <f>IF($C351&gt;0,INDEX(Merge_1_2!$H$2:$H$611,$C351),INDEX(Dataset3_Raw!$H$2:$H$391,$E351))</f>
        <v>0</v>
      </c>
      <c r="M351" s="23">
        <f>IF($C351&gt;0,INDEX(Merge_1_2!$I$2:$I$611,$C351),INDEX(Dataset3_Raw!$I$2:$I$391,$E351))</f>
        <v>1</v>
      </c>
      <c r="N351" s="25">
        <f>IF($C351&gt;0,INDEX(Merge_1_2!$J$2:$J$611,$C351),INDEX(Dataset3_Raw!$J$2:$J$391,$E351))</f>
        <v>0.26</v>
      </c>
      <c r="O351" s="25">
        <f>IF($C351&gt;0,IF(ISNUMBER(INDEX(Merge_1_2!$K$2:$K$611,$C351)),INDEX(Merge_1_2!$K$2:$K$611,$C351),""),INDEX(Dataset3_Raw!$K$2:$K$391,$E351))</f>
        <v>0.2727</v>
      </c>
      <c r="P351" s="25">
        <f>IF(ISNUMBER($O351),$O351,ROUND(Lookups!$B$25+Lookups!$B$24*$N351,4))</f>
        <v>0.2727</v>
      </c>
      <c r="Q351" s="25">
        <f>IF($C351&gt;0,INDEX(Merge_1_2!$L$2:$L$611,$C351),INDEX(Dataset3_Raw!$L$2:$L$391,$E351))</f>
        <v>0.56000000000000005</v>
      </c>
      <c r="R351" s="25">
        <f>IF($C351&gt;0,INDEX(Merge_1_2!$M$2:$M$611,$C351),INDEX(Dataset3_Raw!$M$2:$M$391,$E351))</f>
        <v>0.1343</v>
      </c>
      <c r="S351" s="23">
        <f>IF($C351&gt;0,INDEX(Merge_1_2!$N$2:$N$611,$C351),INDEX(Dataset3_Raw!$N$2:$N$391,$E351))</f>
        <v>4</v>
      </c>
      <c r="T351" s="23">
        <f>IF($C351&gt;0,INDEX(Merge_1_2!$O$2:$O$611,$C351),INDEX(Dataset3_Raw!$O$2:$O$391,$E351))</f>
        <v>19</v>
      </c>
      <c r="U351" s="23">
        <f>IF($C351&gt;0,INDEX(Merge_1_2!$P$2:$P$611,$C351),INDEX(Dataset3_Raw!$P$2:$P$391,$E351))</f>
        <v>23</v>
      </c>
      <c r="V351" s="23" t="str">
        <f t="shared" si="31"/>
        <v>Weekend</v>
      </c>
      <c r="W351" s="23" t="str">
        <f>VLOOKUP($M351,Lookups!$A$5:$B$8,2,FALSE())</f>
        <v>Clear / Partly cloudy</v>
      </c>
      <c r="X351" s="23" t="str">
        <f>VLOOKUP($G351,Lookups!$D$5:$E$8,2,FALSE())</f>
        <v>Winter</v>
      </c>
      <c r="Y351" s="23" t="str">
        <f>VLOOKUP($L351,Lookups!$G$5:$H$11,2,FALSE())</f>
        <v>Sunday</v>
      </c>
      <c r="Z351" s="23" t="str">
        <f>IF($J351&lt;Lookups!$B$26,"Night",IF($J351&lt;Lookups!$B$27,"Morning",IF($J351&lt;Lookups!$B$28,"Afternoon","Evening")))</f>
        <v>Night</v>
      </c>
      <c r="AA351" s="26">
        <f>ROUND($N351*(Lookups!$B$16-Lookups!$B$15)+Lookups!$B$15,1)</f>
        <v>4.2</v>
      </c>
      <c r="AB351" s="26">
        <f>ROUND($P351*(Lookups!$B$18-Lookups!$B$17)+Lookups!$B$17,1)</f>
        <v>2</v>
      </c>
      <c r="AC351" s="23">
        <f t="shared" si="32"/>
        <v>56</v>
      </c>
      <c r="AD351" s="23">
        <f>ROUND($R351*Lookups!$B$19,1)</f>
        <v>9</v>
      </c>
      <c r="AE351" s="27">
        <f t="shared" si="33"/>
        <v>0.82608695652173914</v>
      </c>
      <c r="AF351" s="23" t="str">
        <f>IF($U351&gt;=Lookups!$B$23,"High",IF($U351&gt;=Lookups!$B$22,"Medium","Low"))</f>
        <v>Medium</v>
      </c>
      <c r="AG351" s="23">
        <f>ROUND(IF($V351="Weekday",IF(INDEX(Hourly_Analysis!$D$5:$D$28,$J351+1)&gt;0,($U351-INDEX(Hourly_Analysis!$C$5:$C$28,$J351+1))/INDEX(Hourly_Analysis!$D$5:$D$28,$J351+1),0),IF(INDEX(Hourly_Analysis!$G$5:$G$28,$J351+1)&gt;0,($U351-INDEX(Hourly_Analysis!$F$5:$F$28,$J351+1))/INDEX(Hourly_Analysis!$G$5:$G$28,$J351+1),0)),2)</f>
        <v>0.12</v>
      </c>
      <c r="AH351" s="23" t="str">
        <f>IF(ABS($AG351)&gt;Lookups!$B$20,IF($AG351&gt;0,"High anomaly","Low anomaly"),"")</f>
        <v/>
      </c>
      <c r="AI351" s="23" t="str">
        <f t="shared" si="34"/>
        <v>OK</v>
      </c>
      <c r="AJ351" s="23" t="str">
        <f t="shared" si="35"/>
        <v>No</v>
      </c>
    </row>
    <row r="352" spans="1:36" x14ac:dyDescent="0.35">
      <c r="A352" s="23">
        <v>351</v>
      </c>
      <c r="B352" s="23" t="str">
        <f t="shared" si="30"/>
        <v>Merge 1+2</v>
      </c>
      <c r="C352" s="23">
        <f>IFERROR(MATCH($A352,Merge_1_2!$A$2:$A$611,0),0)</f>
        <v>351</v>
      </c>
      <c r="D352" s="23">
        <f>IF($C352&gt;0,INDEX(Merge_1_2!$Q$2:$Q$611,$C352),0)</f>
        <v>351</v>
      </c>
      <c r="E352" s="23">
        <f>IFERROR(MATCH($A352,Dataset3_Raw!$A$2:$A$391,0),0)</f>
        <v>0</v>
      </c>
      <c r="F352" s="24">
        <f>IF($C352&gt;0,INDEX(Merge_1_2!$B$2:$B$611,$C352),DATE(VALUE(RIGHT(INDEX(Dataset3_Raw!$B$2:$B$391,$E352),4)),VALUE(MID(INDEX(Dataset3_Raw!$B$2:$B$391,$E352),4,2)),VALUE(LEFT(INDEX(Dataset3_Raw!$B$2:$B$391,$E352),2))))</f>
        <v>40559</v>
      </c>
      <c r="G352" s="23">
        <f>IF($C352&gt;0,INDEX(Merge_1_2!$C$2:$C$611,$C352),INDEX(Dataset3_Raw!$C$2:$C$391,$E352))</f>
        <v>1</v>
      </c>
      <c r="H352" s="23">
        <f>IF($C352&gt;0,INDEX(Merge_1_2!$D$2:$D$611,$C352),INDEX(Dataset3_Raw!$D$2:$D$391,$E352))</f>
        <v>0</v>
      </c>
      <c r="I352" s="23">
        <f>IF($C352&gt;0,INDEX(Merge_1_2!$E$2:$E$611,$C352),INDEX(Dataset3_Raw!$E$2:$E$391,$E352))</f>
        <v>1</v>
      </c>
      <c r="J352" s="23">
        <f>IF($C352&gt;0,INDEX(Merge_1_2!$F$2:$F$611,$C352),INDEX(Dataset3_Raw!$F$2:$F$391,$E352))</f>
        <v>2</v>
      </c>
      <c r="K352" s="23" t="b">
        <f>IF($C352&gt;0,INDEX(Merge_1_2!$G$2:$G$611,$C352),INDEX(Dataset3_Raw!$G$2:$G$391,$E352))</f>
        <v>0</v>
      </c>
      <c r="L352" s="23">
        <f>IF($C352&gt;0,INDEX(Merge_1_2!$H$2:$H$611,$C352),INDEX(Dataset3_Raw!$H$2:$H$391,$E352))</f>
        <v>0</v>
      </c>
      <c r="M352" s="23">
        <f>IF($C352&gt;0,INDEX(Merge_1_2!$I$2:$I$611,$C352),INDEX(Dataset3_Raw!$I$2:$I$391,$E352))</f>
        <v>1</v>
      </c>
      <c r="N352" s="25">
        <f>IF($C352&gt;0,INDEX(Merge_1_2!$J$2:$J$611,$C352),INDEX(Dataset3_Raw!$J$2:$J$391,$E352))</f>
        <v>0.26</v>
      </c>
      <c r="O352" s="25">
        <f>IF($C352&gt;0,IF(ISNUMBER(INDEX(Merge_1_2!$K$2:$K$611,$C352)),INDEX(Merge_1_2!$K$2:$K$611,$C352),""),INDEX(Dataset3_Raw!$K$2:$K$391,$E352))</f>
        <v>0.28789999999999999</v>
      </c>
      <c r="P352" s="25">
        <f>IF(ISNUMBER($O352),$O352,ROUND(Lookups!$B$25+Lookups!$B$24*$N352,4))</f>
        <v>0.28789999999999999</v>
      </c>
      <c r="Q352" s="25">
        <f>IF($C352&gt;0,INDEX(Merge_1_2!$L$2:$L$611,$C352),INDEX(Dataset3_Raw!$L$2:$L$391,$E352))</f>
        <v>0.56000000000000005</v>
      </c>
      <c r="R352" s="25">
        <f>IF($C352&gt;0,INDEX(Merge_1_2!$M$2:$M$611,$C352),INDEX(Dataset3_Raw!$M$2:$M$391,$E352))</f>
        <v>8.9599999999999999E-2</v>
      </c>
      <c r="S352" s="23">
        <f>IF($C352&gt;0,INDEX(Merge_1_2!$N$2:$N$611,$C352),INDEX(Dataset3_Raw!$N$2:$N$391,$E352))</f>
        <v>3</v>
      </c>
      <c r="T352" s="23">
        <f>IF($C352&gt;0,INDEX(Merge_1_2!$O$2:$O$611,$C352),INDEX(Dataset3_Raw!$O$2:$O$391,$E352))</f>
        <v>13</v>
      </c>
      <c r="U352" s="23">
        <f>IF($C352&gt;0,INDEX(Merge_1_2!$P$2:$P$611,$C352),INDEX(Dataset3_Raw!$P$2:$P$391,$E352))</f>
        <v>16</v>
      </c>
      <c r="V352" s="23" t="str">
        <f t="shared" si="31"/>
        <v>Weekend</v>
      </c>
      <c r="W352" s="23" t="str">
        <f>VLOOKUP($M352,Lookups!$A$5:$B$8,2,FALSE())</f>
        <v>Clear / Partly cloudy</v>
      </c>
      <c r="X352" s="23" t="str">
        <f>VLOOKUP($G352,Lookups!$D$5:$E$8,2,FALSE())</f>
        <v>Winter</v>
      </c>
      <c r="Y352" s="23" t="str">
        <f>VLOOKUP($L352,Lookups!$G$5:$H$11,2,FALSE())</f>
        <v>Sunday</v>
      </c>
      <c r="Z352" s="23" t="str">
        <f>IF($J352&lt;Lookups!$B$26,"Night",IF($J352&lt;Lookups!$B$27,"Morning",IF($J352&lt;Lookups!$B$28,"Afternoon","Evening")))</f>
        <v>Night</v>
      </c>
      <c r="AA352" s="26">
        <f>ROUND($N352*(Lookups!$B$16-Lookups!$B$15)+Lookups!$B$15,1)</f>
        <v>4.2</v>
      </c>
      <c r="AB352" s="26">
        <f>ROUND($P352*(Lookups!$B$18-Lookups!$B$17)+Lookups!$B$17,1)</f>
        <v>3</v>
      </c>
      <c r="AC352" s="23">
        <f t="shared" si="32"/>
        <v>56</v>
      </c>
      <c r="AD352" s="23">
        <f>ROUND($R352*Lookups!$B$19,1)</f>
        <v>6</v>
      </c>
      <c r="AE352" s="27">
        <f t="shared" si="33"/>
        <v>0.8125</v>
      </c>
      <c r="AF352" s="23" t="str">
        <f>IF($U352&gt;=Lookups!$B$23,"High",IF($U352&gt;=Lookups!$B$22,"Medium","Low"))</f>
        <v>Medium</v>
      </c>
      <c r="AG352" s="23">
        <f>ROUND(IF($V352="Weekday",IF(INDEX(Hourly_Analysis!$D$5:$D$28,$J352+1)&gt;0,($U352-INDEX(Hourly_Analysis!$C$5:$C$28,$J352+1))/INDEX(Hourly_Analysis!$D$5:$D$28,$J352+1),0),IF(INDEX(Hourly_Analysis!$G$5:$G$28,$J352+1)&gt;0,($U352-INDEX(Hourly_Analysis!$F$5:$F$28,$J352+1))/INDEX(Hourly_Analysis!$G$5:$G$28,$J352+1),0)),2)</f>
        <v>0.1</v>
      </c>
      <c r="AH352" s="23" t="str">
        <f>IF(ABS($AG352)&gt;Lookups!$B$20,IF($AG352&gt;0,"High anomaly","Low anomaly"),"")</f>
        <v/>
      </c>
      <c r="AI352" s="23" t="str">
        <f t="shared" si="34"/>
        <v>OK</v>
      </c>
      <c r="AJ352" s="23" t="str">
        <f t="shared" si="35"/>
        <v>No</v>
      </c>
    </row>
    <row r="353" spans="1:36" x14ac:dyDescent="0.35">
      <c r="A353" s="23">
        <v>352</v>
      </c>
      <c r="B353" s="23" t="str">
        <f t="shared" si="30"/>
        <v>Merge 1+2</v>
      </c>
      <c r="C353" s="23">
        <f>IFERROR(MATCH($A353,Merge_1_2!$A$2:$A$611,0),0)</f>
        <v>352</v>
      </c>
      <c r="D353" s="23">
        <f>IF($C353&gt;0,INDEX(Merge_1_2!$Q$2:$Q$611,$C353),0)</f>
        <v>352</v>
      </c>
      <c r="E353" s="23">
        <f>IFERROR(MATCH($A353,Dataset3_Raw!$A$2:$A$391,0),0)</f>
        <v>0</v>
      </c>
      <c r="F353" s="24">
        <f>IF($C353&gt;0,INDEX(Merge_1_2!$B$2:$B$611,$C353),DATE(VALUE(RIGHT(INDEX(Dataset3_Raw!$B$2:$B$391,$E353),4)),VALUE(MID(INDEX(Dataset3_Raw!$B$2:$B$391,$E353),4,2)),VALUE(LEFT(INDEX(Dataset3_Raw!$B$2:$B$391,$E353),2))))</f>
        <v>40559</v>
      </c>
      <c r="G353" s="23">
        <f>IF($C353&gt;0,INDEX(Merge_1_2!$C$2:$C$611,$C353),INDEX(Dataset3_Raw!$C$2:$C$391,$E353))</f>
        <v>1</v>
      </c>
      <c r="H353" s="23">
        <f>IF($C353&gt;0,INDEX(Merge_1_2!$D$2:$D$611,$C353),INDEX(Dataset3_Raw!$D$2:$D$391,$E353))</f>
        <v>0</v>
      </c>
      <c r="I353" s="23">
        <f>IF($C353&gt;0,INDEX(Merge_1_2!$E$2:$E$611,$C353),INDEX(Dataset3_Raw!$E$2:$E$391,$E353))</f>
        <v>1</v>
      </c>
      <c r="J353" s="23">
        <f>IF($C353&gt;0,INDEX(Merge_1_2!$F$2:$F$611,$C353),INDEX(Dataset3_Raw!$F$2:$F$391,$E353))</f>
        <v>3</v>
      </c>
      <c r="K353" s="23" t="b">
        <f>IF($C353&gt;0,INDEX(Merge_1_2!$G$2:$G$611,$C353),INDEX(Dataset3_Raw!$G$2:$G$391,$E353))</f>
        <v>0</v>
      </c>
      <c r="L353" s="23">
        <f>IF($C353&gt;0,INDEX(Merge_1_2!$H$2:$H$611,$C353),INDEX(Dataset3_Raw!$H$2:$H$391,$E353))</f>
        <v>0</v>
      </c>
      <c r="M353" s="23">
        <f>IF($C353&gt;0,INDEX(Merge_1_2!$I$2:$I$611,$C353),INDEX(Dataset3_Raw!$I$2:$I$391,$E353))</f>
        <v>1</v>
      </c>
      <c r="N353" s="25">
        <f>IF($C353&gt;0,INDEX(Merge_1_2!$J$2:$J$611,$C353),INDEX(Dataset3_Raw!$J$2:$J$391,$E353))</f>
        <v>0.22</v>
      </c>
      <c r="O353" s="25">
        <f>IF($C353&gt;0,IF(ISNUMBER(INDEX(Merge_1_2!$K$2:$K$611,$C353)),INDEX(Merge_1_2!$K$2:$K$611,$C353),""),INDEX(Dataset3_Raw!$K$2:$K$391,$E353))</f>
        <v>0.2727</v>
      </c>
      <c r="P353" s="25">
        <f>IF(ISNUMBER($O353),$O353,ROUND(Lookups!$B$25+Lookups!$B$24*$N353,4))</f>
        <v>0.2727</v>
      </c>
      <c r="Q353" s="25">
        <f>IF($C353&gt;0,INDEX(Merge_1_2!$L$2:$L$611,$C353),INDEX(Dataset3_Raw!$L$2:$L$391,$E353))</f>
        <v>0.69</v>
      </c>
      <c r="R353" s="25">
        <f>IF($C353&gt;0,INDEX(Merge_1_2!$M$2:$M$611,$C353),INDEX(Dataset3_Raw!$M$2:$M$391,$E353))</f>
        <v>0</v>
      </c>
      <c r="S353" s="23">
        <f>IF($C353&gt;0,INDEX(Merge_1_2!$N$2:$N$611,$C353),INDEX(Dataset3_Raw!$N$2:$N$391,$E353))</f>
        <v>9</v>
      </c>
      <c r="T353" s="23">
        <f>IF($C353&gt;0,INDEX(Merge_1_2!$O$2:$O$611,$C353),INDEX(Dataset3_Raw!$O$2:$O$391,$E353))</f>
        <v>6</v>
      </c>
      <c r="U353" s="23">
        <f>IF($C353&gt;0,INDEX(Merge_1_2!$P$2:$P$611,$C353),INDEX(Dataset3_Raw!$P$2:$P$391,$E353))</f>
        <v>15</v>
      </c>
      <c r="V353" s="23" t="str">
        <f t="shared" si="31"/>
        <v>Weekend</v>
      </c>
      <c r="W353" s="23" t="str">
        <f>VLOOKUP($M353,Lookups!$A$5:$B$8,2,FALSE())</f>
        <v>Clear / Partly cloudy</v>
      </c>
      <c r="X353" s="23" t="str">
        <f>VLOOKUP($G353,Lookups!$D$5:$E$8,2,FALSE())</f>
        <v>Winter</v>
      </c>
      <c r="Y353" s="23" t="str">
        <f>VLOOKUP($L353,Lookups!$G$5:$H$11,2,FALSE())</f>
        <v>Sunday</v>
      </c>
      <c r="Z353" s="23" t="str">
        <f>IF($J353&lt;Lookups!$B$26,"Night",IF($J353&lt;Lookups!$B$27,"Morning",IF($J353&lt;Lookups!$B$28,"Afternoon","Evening")))</f>
        <v>Night</v>
      </c>
      <c r="AA353" s="26">
        <f>ROUND($N353*(Lookups!$B$16-Lookups!$B$15)+Lookups!$B$15,1)</f>
        <v>2.2999999999999998</v>
      </c>
      <c r="AB353" s="26">
        <f>ROUND($P353*(Lookups!$B$18-Lookups!$B$17)+Lookups!$B$17,1)</f>
        <v>2</v>
      </c>
      <c r="AC353" s="23">
        <f t="shared" si="32"/>
        <v>69</v>
      </c>
      <c r="AD353" s="23">
        <f>ROUND($R353*Lookups!$B$19,1)</f>
        <v>0</v>
      </c>
      <c r="AE353" s="27">
        <f t="shared" si="33"/>
        <v>0.4</v>
      </c>
      <c r="AF353" s="23" t="str">
        <f>IF($U353&gt;=Lookups!$B$23,"High",IF($U353&gt;=Lookups!$B$22,"Medium","Low"))</f>
        <v>Low</v>
      </c>
      <c r="AG353" s="23">
        <f>ROUND(IF($V353="Weekday",IF(INDEX(Hourly_Analysis!$D$5:$D$28,$J353+1)&gt;0,($U353-INDEX(Hourly_Analysis!$C$5:$C$28,$J353+1))/INDEX(Hourly_Analysis!$D$5:$D$28,$J353+1),0),IF(INDEX(Hourly_Analysis!$G$5:$G$28,$J353+1)&gt;0,($U353-INDEX(Hourly_Analysis!$F$5:$F$28,$J353+1))/INDEX(Hourly_Analysis!$G$5:$G$28,$J353+1),0)),2)</f>
        <v>1.74</v>
      </c>
      <c r="AH353" s="23" t="str">
        <f>IF(ABS($AG353)&gt;Lookups!$B$20,IF($AG353&gt;0,"High anomaly","Low anomaly"),"")</f>
        <v/>
      </c>
      <c r="AI353" s="23" t="str">
        <f t="shared" si="34"/>
        <v>OK</v>
      </c>
      <c r="AJ353" s="23" t="str">
        <f t="shared" si="35"/>
        <v>No</v>
      </c>
    </row>
    <row r="354" spans="1:36" x14ac:dyDescent="0.35">
      <c r="A354" s="23">
        <v>353</v>
      </c>
      <c r="B354" s="23" t="str">
        <f t="shared" si="30"/>
        <v>Merge 1+2</v>
      </c>
      <c r="C354" s="23">
        <f>IFERROR(MATCH($A354,Merge_1_2!$A$2:$A$611,0),0)</f>
        <v>353</v>
      </c>
      <c r="D354" s="23">
        <f>IF($C354&gt;0,INDEX(Merge_1_2!$Q$2:$Q$611,$C354),0)</f>
        <v>353</v>
      </c>
      <c r="E354" s="23">
        <f>IFERROR(MATCH($A354,Dataset3_Raw!$A$2:$A$391,0),0)</f>
        <v>0</v>
      </c>
      <c r="F354" s="24">
        <f>IF($C354&gt;0,INDEX(Merge_1_2!$B$2:$B$611,$C354),DATE(VALUE(RIGHT(INDEX(Dataset3_Raw!$B$2:$B$391,$E354),4)),VALUE(MID(INDEX(Dataset3_Raw!$B$2:$B$391,$E354),4,2)),VALUE(LEFT(INDEX(Dataset3_Raw!$B$2:$B$391,$E354),2))))</f>
        <v>40559</v>
      </c>
      <c r="G354" s="23">
        <f>IF($C354&gt;0,INDEX(Merge_1_2!$C$2:$C$611,$C354),INDEX(Dataset3_Raw!$C$2:$C$391,$E354))</f>
        <v>1</v>
      </c>
      <c r="H354" s="23">
        <f>IF($C354&gt;0,INDEX(Merge_1_2!$D$2:$D$611,$C354),INDEX(Dataset3_Raw!$D$2:$D$391,$E354))</f>
        <v>0</v>
      </c>
      <c r="I354" s="23">
        <f>IF($C354&gt;0,INDEX(Merge_1_2!$E$2:$E$611,$C354),INDEX(Dataset3_Raw!$E$2:$E$391,$E354))</f>
        <v>1</v>
      </c>
      <c r="J354" s="23">
        <f>IF($C354&gt;0,INDEX(Merge_1_2!$F$2:$F$611,$C354),INDEX(Dataset3_Raw!$F$2:$F$391,$E354))</f>
        <v>4</v>
      </c>
      <c r="K354" s="23" t="b">
        <f>IF($C354&gt;0,INDEX(Merge_1_2!$G$2:$G$611,$C354),INDEX(Dataset3_Raw!$G$2:$G$391,$E354))</f>
        <v>0</v>
      </c>
      <c r="L354" s="23">
        <f>IF($C354&gt;0,INDEX(Merge_1_2!$H$2:$H$611,$C354),INDEX(Dataset3_Raw!$H$2:$H$391,$E354))</f>
        <v>0</v>
      </c>
      <c r="M354" s="23">
        <f>IF($C354&gt;0,INDEX(Merge_1_2!$I$2:$I$611,$C354),INDEX(Dataset3_Raw!$I$2:$I$391,$E354))</f>
        <v>1</v>
      </c>
      <c r="N354" s="25">
        <f>IF($C354&gt;0,INDEX(Merge_1_2!$J$2:$J$611,$C354),INDEX(Dataset3_Raw!$J$2:$J$391,$E354))</f>
        <v>0.26</v>
      </c>
      <c r="O354" s="25">
        <f>IF($C354&gt;0,IF(ISNUMBER(INDEX(Merge_1_2!$K$2:$K$611,$C354)),INDEX(Merge_1_2!$K$2:$K$611,$C354),""),INDEX(Dataset3_Raw!$K$2:$K$391,$E354))</f>
        <v>0.2576</v>
      </c>
      <c r="P354" s="25">
        <f>IF(ISNUMBER($O354),$O354,ROUND(Lookups!$B$25+Lookups!$B$24*$N354,4))</f>
        <v>0.2576</v>
      </c>
      <c r="Q354" s="25">
        <f>IF($C354&gt;0,INDEX(Merge_1_2!$L$2:$L$611,$C354),INDEX(Dataset3_Raw!$L$2:$L$391,$E354))</f>
        <v>0.56000000000000005</v>
      </c>
      <c r="R354" s="25">
        <f>IF($C354&gt;0,INDEX(Merge_1_2!$M$2:$M$611,$C354),INDEX(Dataset3_Raw!$M$2:$M$391,$E354))</f>
        <v>0.16420000000000001</v>
      </c>
      <c r="S354" s="23">
        <f>IF($C354&gt;0,INDEX(Merge_1_2!$N$2:$N$611,$C354),INDEX(Dataset3_Raw!$N$2:$N$391,$E354))</f>
        <v>0</v>
      </c>
      <c r="T354" s="23">
        <f>IF($C354&gt;0,INDEX(Merge_1_2!$O$2:$O$611,$C354),INDEX(Dataset3_Raw!$O$2:$O$391,$E354))</f>
        <v>1</v>
      </c>
      <c r="U354" s="23">
        <f>IF($C354&gt;0,INDEX(Merge_1_2!$P$2:$P$611,$C354),INDEX(Dataset3_Raw!$P$2:$P$391,$E354))</f>
        <v>1</v>
      </c>
      <c r="V354" s="23" t="str">
        <f t="shared" si="31"/>
        <v>Weekend</v>
      </c>
      <c r="W354" s="23" t="str">
        <f>VLOOKUP($M354,Lookups!$A$5:$B$8,2,FALSE())</f>
        <v>Clear / Partly cloudy</v>
      </c>
      <c r="X354" s="23" t="str">
        <f>VLOOKUP($G354,Lookups!$D$5:$E$8,2,FALSE())</f>
        <v>Winter</v>
      </c>
      <c r="Y354" s="23" t="str">
        <f>VLOOKUP($L354,Lookups!$G$5:$H$11,2,FALSE())</f>
        <v>Sunday</v>
      </c>
      <c r="Z354" s="23" t="str">
        <f>IF($J354&lt;Lookups!$B$26,"Night",IF($J354&lt;Lookups!$B$27,"Morning",IF($J354&lt;Lookups!$B$28,"Afternoon","Evening")))</f>
        <v>Night</v>
      </c>
      <c r="AA354" s="26">
        <f>ROUND($N354*(Lookups!$B$16-Lookups!$B$15)+Lookups!$B$15,1)</f>
        <v>4.2</v>
      </c>
      <c r="AB354" s="26">
        <f>ROUND($P354*(Lookups!$B$18-Lookups!$B$17)+Lookups!$B$17,1)</f>
        <v>1</v>
      </c>
      <c r="AC354" s="23">
        <f t="shared" si="32"/>
        <v>56</v>
      </c>
      <c r="AD354" s="23">
        <f>ROUND($R354*Lookups!$B$19,1)</f>
        <v>11</v>
      </c>
      <c r="AE354" s="27">
        <f t="shared" si="33"/>
        <v>1</v>
      </c>
      <c r="AF354" s="23" t="str">
        <f>IF($U354&gt;=Lookups!$B$23,"High",IF($U354&gt;=Lookups!$B$22,"Medium","Low"))</f>
        <v>Low</v>
      </c>
      <c r="AG354" s="23">
        <f>ROUND(IF($V354="Weekday",IF(INDEX(Hourly_Analysis!$D$5:$D$28,$J354+1)&gt;0,($U354-INDEX(Hourly_Analysis!$C$5:$C$28,$J354+1))/INDEX(Hourly_Analysis!$D$5:$D$28,$J354+1),0),IF(INDEX(Hourly_Analysis!$G$5:$G$28,$J354+1)&gt;0,($U354-INDEX(Hourly_Analysis!$F$5:$F$28,$J354+1))/INDEX(Hourly_Analysis!$G$5:$G$28,$J354+1),0)),2)</f>
        <v>-0.87</v>
      </c>
      <c r="AH354" s="23" t="str">
        <f>IF(ABS($AG354)&gt;Lookups!$B$20,IF($AG354&gt;0,"High anomaly","Low anomaly"),"")</f>
        <v/>
      </c>
      <c r="AI354" s="23" t="str">
        <f t="shared" si="34"/>
        <v>OK</v>
      </c>
      <c r="AJ354" s="23" t="str">
        <f t="shared" si="35"/>
        <v>No</v>
      </c>
    </row>
    <row r="355" spans="1:36" x14ac:dyDescent="0.35">
      <c r="A355" s="23">
        <v>354</v>
      </c>
      <c r="B355" s="23" t="str">
        <f t="shared" si="30"/>
        <v>Merge 1+2</v>
      </c>
      <c r="C355" s="23">
        <f>IFERROR(MATCH($A355,Merge_1_2!$A$2:$A$611,0),0)</f>
        <v>354</v>
      </c>
      <c r="D355" s="23">
        <f>IF($C355&gt;0,INDEX(Merge_1_2!$Q$2:$Q$611,$C355),0)</f>
        <v>354</v>
      </c>
      <c r="E355" s="23">
        <f>IFERROR(MATCH($A355,Dataset3_Raw!$A$2:$A$391,0),0)</f>
        <v>0</v>
      </c>
      <c r="F355" s="24">
        <f>IF($C355&gt;0,INDEX(Merge_1_2!$B$2:$B$611,$C355),DATE(VALUE(RIGHT(INDEX(Dataset3_Raw!$B$2:$B$391,$E355),4)),VALUE(MID(INDEX(Dataset3_Raw!$B$2:$B$391,$E355),4,2)),VALUE(LEFT(INDEX(Dataset3_Raw!$B$2:$B$391,$E355),2))))</f>
        <v>40559</v>
      </c>
      <c r="G355" s="23">
        <f>IF($C355&gt;0,INDEX(Merge_1_2!$C$2:$C$611,$C355),INDEX(Dataset3_Raw!$C$2:$C$391,$E355))</f>
        <v>1</v>
      </c>
      <c r="H355" s="23">
        <f>IF($C355&gt;0,INDEX(Merge_1_2!$D$2:$D$611,$C355),INDEX(Dataset3_Raw!$D$2:$D$391,$E355))</f>
        <v>0</v>
      </c>
      <c r="I355" s="23">
        <f>IF($C355&gt;0,INDEX(Merge_1_2!$E$2:$E$611,$C355),INDEX(Dataset3_Raw!$E$2:$E$391,$E355))</f>
        <v>1</v>
      </c>
      <c r="J355" s="23">
        <f>IF($C355&gt;0,INDEX(Merge_1_2!$F$2:$F$611,$C355),INDEX(Dataset3_Raw!$F$2:$F$391,$E355))</f>
        <v>5</v>
      </c>
      <c r="K355" s="23" t="b">
        <f>IF($C355&gt;0,INDEX(Merge_1_2!$G$2:$G$611,$C355),INDEX(Dataset3_Raw!$G$2:$G$391,$E355))</f>
        <v>0</v>
      </c>
      <c r="L355" s="23">
        <f>IF($C355&gt;0,INDEX(Merge_1_2!$H$2:$H$611,$C355),INDEX(Dataset3_Raw!$H$2:$H$391,$E355))</f>
        <v>0</v>
      </c>
      <c r="M355" s="23">
        <f>IF($C355&gt;0,INDEX(Merge_1_2!$I$2:$I$611,$C355),INDEX(Dataset3_Raw!$I$2:$I$391,$E355))</f>
        <v>2</v>
      </c>
      <c r="N355" s="25">
        <f>IF($C355&gt;0,INDEX(Merge_1_2!$J$2:$J$611,$C355),INDEX(Dataset3_Raw!$J$2:$J$391,$E355))</f>
        <v>0.26</v>
      </c>
      <c r="O355" s="25">
        <f>IF($C355&gt;0,IF(ISNUMBER(INDEX(Merge_1_2!$K$2:$K$611,$C355)),INDEX(Merge_1_2!$K$2:$K$611,$C355),""),INDEX(Dataset3_Raw!$K$2:$K$391,$E355))</f>
        <v>0.2576</v>
      </c>
      <c r="P355" s="25">
        <f>IF(ISNUMBER($O355),$O355,ROUND(Lookups!$B$25+Lookups!$B$24*$N355,4))</f>
        <v>0.2576</v>
      </c>
      <c r="Q355" s="25">
        <f>IF($C355&gt;0,INDEX(Merge_1_2!$L$2:$L$611,$C355),INDEX(Dataset3_Raw!$L$2:$L$391,$E355))</f>
        <v>0.56000000000000005</v>
      </c>
      <c r="R355" s="25">
        <f>IF($C355&gt;0,INDEX(Merge_1_2!$M$2:$M$611,$C355),INDEX(Dataset3_Raw!$M$2:$M$391,$E355))</f>
        <v>0.16420000000000001</v>
      </c>
      <c r="S355" s="23">
        <f>IF($C355&gt;0,INDEX(Merge_1_2!$N$2:$N$611,$C355),INDEX(Dataset3_Raw!$N$2:$N$391,$E355))</f>
        <v>1</v>
      </c>
      <c r="T355" s="23">
        <f>IF($C355&gt;0,INDEX(Merge_1_2!$O$2:$O$611,$C355),INDEX(Dataset3_Raw!$O$2:$O$391,$E355))</f>
        <v>1</v>
      </c>
      <c r="U355" s="23">
        <f>IF($C355&gt;0,INDEX(Merge_1_2!$P$2:$P$611,$C355),INDEX(Dataset3_Raw!$P$2:$P$391,$E355))</f>
        <v>2</v>
      </c>
      <c r="V355" s="23" t="str">
        <f t="shared" si="31"/>
        <v>Weekend</v>
      </c>
      <c r="W355" s="23" t="str">
        <f>VLOOKUP($M355,Lookups!$A$5:$B$8,2,FALSE())</f>
        <v>Mist / Cloudy</v>
      </c>
      <c r="X355" s="23" t="str">
        <f>VLOOKUP($G355,Lookups!$D$5:$E$8,2,FALSE())</f>
        <v>Winter</v>
      </c>
      <c r="Y355" s="23" t="str">
        <f>VLOOKUP($L355,Lookups!$G$5:$H$11,2,FALSE())</f>
        <v>Sunday</v>
      </c>
      <c r="Z355" s="23" t="str">
        <f>IF($J355&lt;Lookups!$B$26,"Night",IF($J355&lt;Lookups!$B$27,"Morning",IF($J355&lt;Lookups!$B$28,"Afternoon","Evening")))</f>
        <v>Night</v>
      </c>
      <c r="AA355" s="26">
        <f>ROUND($N355*(Lookups!$B$16-Lookups!$B$15)+Lookups!$B$15,1)</f>
        <v>4.2</v>
      </c>
      <c r="AB355" s="26">
        <f>ROUND($P355*(Lookups!$B$18-Lookups!$B$17)+Lookups!$B$17,1)</f>
        <v>1</v>
      </c>
      <c r="AC355" s="23">
        <f t="shared" si="32"/>
        <v>56</v>
      </c>
      <c r="AD355" s="23">
        <f>ROUND($R355*Lookups!$B$19,1)</f>
        <v>11</v>
      </c>
      <c r="AE355" s="27">
        <f t="shared" si="33"/>
        <v>0.5</v>
      </c>
      <c r="AF355" s="23" t="str">
        <f>IF($U355&gt;=Lookups!$B$23,"High",IF($U355&gt;=Lookups!$B$22,"Medium","Low"))</f>
        <v>Low</v>
      </c>
      <c r="AG355" s="23">
        <f>ROUND(IF($V355="Weekday",IF(INDEX(Hourly_Analysis!$D$5:$D$28,$J355+1)&gt;0,($U355-INDEX(Hourly_Analysis!$C$5:$C$28,$J355+1))/INDEX(Hourly_Analysis!$D$5:$D$28,$J355+1),0),IF(INDEX(Hourly_Analysis!$G$5:$G$28,$J355+1)&gt;0,($U355-INDEX(Hourly_Analysis!$F$5:$F$28,$J355+1))/INDEX(Hourly_Analysis!$G$5:$G$28,$J355+1),0)),2)</f>
        <v>-0.22</v>
      </c>
      <c r="AH355" s="23" t="str">
        <f>IF(ABS($AG355)&gt;Lookups!$B$20,IF($AG355&gt;0,"High anomaly","Low anomaly"),"")</f>
        <v/>
      </c>
      <c r="AI355" s="23" t="str">
        <f t="shared" si="34"/>
        <v>OK</v>
      </c>
      <c r="AJ355" s="23" t="str">
        <f t="shared" si="35"/>
        <v>No</v>
      </c>
    </row>
    <row r="356" spans="1:36" x14ac:dyDescent="0.35">
      <c r="A356" s="23">
        <v>355</v>
      </c>
      <c r="B356" s="23" t="str">
        <f t="shared" si="30"/>
        <v>Merge 1+2</v>
      </c>
      <c r="C356" s="23">
        <f>IFERROR(MATCH($A356,Merge_1_2!$A$2:$A$611,0),0)</f>
        <v>355</v>
      </c>
      <c r="D356" s="23">
        <f>IF($C356&gt;0,INDEX(Merge_1_2!$Q$2:$Q$611,$C356),0)</f>
        <v>355</v>
      </c>
      <c r="E356" s="23">
        <f>IFERROR(MATCH($A356,Dataset3_Raw!$A$2:$A$391,0),0)</f>
        <v>0</v>
      </c>
      <c r="F356" s="24">
        <f>IF($C356&gt;0,INDEX(Merge_1_2!$B$2:$B$611,$C356),DATE(VALUE(RIGHT(INDEX(Dataset3_Raw!$B$2:$B$391,$E356),4)),VALUE(MID(INDEX(Dataset3_Raw!$B$2:$B$391,$E356),4,2)),VALUE(LEFT(INDEX(Dataset3_Raw!$B$2:$B$391,$E356),2))))</f>
        <v>40559</v>
      </c>
      <c r="G356" s="23">
        <f>IF($C356&gt;0,INDEX(Merge_1_2!$C$2:$C$611,$C356),INDEX(Dataset3_Raw!$C$2:$C$391,$E356))</f>
        <v>1</v>
      </c>
      <c r="H356" s="23">
        <f>IF($C356&gt;0,INDEX(Merge_1_2!$D$2:$D$611,$C356),INDEX(Dataset3_Raw!$D$2:$D$391,$E356))</f>
        <v>0</v>
      </c>
      <c r="I356" s="23">
        <f>IF($C356&gt;0,INDEX(Merge_1_2!$E$2:$E$611,$C356),INDEX(Dataset3_Raw!$E$2:$E$391,$E356))</f>
        <v>1</v>
      </c>
      <c r="J356" s="23">
        <f>IF($C356&gt;0,INDEX(Merge_1_2!$F$2:$F$611,$C356),INDEX(Dataset3_Raw!$F$2:$F$391,$E356))</f>
        <v>6</v>
      </c>
      <c r="K356" s="23" t="b">
        <f>IF($C356&gt;0,INDEX(Merge_1_2!$G$2:$G$611,$C356),INDEX(Dataset3_Raw!$G$2:$G$391,$E356))</f>
        <v>0</v>
      </c>
      <c r="L356" s="23">
        <f>IF($C356&gt;0,INDEX(Merge_1_2!$H$2:$H$611,$C356),INDEX(Dataset3_Raw!$H$2:$H$391,$E356))</f>
        <v>0</v>
      </c>
      <c r="M356" s="23">
        <f>IF($C356&gt;0,INDEX(Merge_1_2!$I$2:$I$611,$C356),INDEX(Dataset3_Raw!$I$2:$I$391,$E356))</f>
        <v>2</v>
      </c>
      <c r="N356" s="25">
        <f>IF($C356&gt;0,INDEX(Merge_1_2!$J$2:$J$611,$C356),INDEX(Dataset3_Raw!$J$2:$J$391,$E356))</f>
        <v>0.26</v>
      </c>
      <c r="O356" s="25">
        <f>IF($C356&gt;0,IF(ISNUMBER(INDEX(Merge_1_2!$K$2:$K$611,$C356)),INDEX(Merge_1_2!$K$2:$K$611,$C356),""),INDEX(Dataset3_Raw!$K$2:$K$391,$E356))</f>
        <v>0.2576</v>
      </c>
      <c r="P356" s="25">
        <f>IF(ISNUMBER($O356),$O356,ROUND(Lookups!$B$25+Lookups!$B$24*$N356,4))</f>
        <v>0.2576</v>
      </c>
      <c r="Q356" s="25">
        <f>IF($C356&gt;0,INDEX(Merge_1_2!$L$2:$L$611,$C356),INDEX(Dataset3_Raw!$L$2:$L$391,$E356))</f>
        <v>0.56000000000000005</v>
      </c>
      <c r="R356" s="25">
        <f>IF($C356&gt;0,INDEX(Merge_1_2!$M$2:$M$611,$C356),INDEX(Dataset3_Raw!$M$2:$M$391,$E356))</f>
        <v>0.16420000000000001</v>
      </c>
      <c r="S356" s="23">
        <f>IF($C356&gt;0,INDEX(Merge_1_2!$N$2:$N$611,$C356),INDEX(Dataset3_Raw!$N$2:$N$391,$E356))</f>
        <v>0</v>
      </c>
      <c r="T356" s="23">
        <f>IF($C356&gt;0,INDEX(Merge_1_2!$O$2:$O$611,$C356),INDEX(Dataset3_Raw!$O$2:$O$391,$E356))</f>
        <v>1</v>
      </c>
      <c r="U356" s="23">
        <f>IF($C356&gt;0,INDEX(Merge_1_2!$P$2:$P$611,$C356),INDEX(Dataset3_Raw!$P$2:$P$391,$E356))</f>
        <v>1</v>
      </c>
      <c r="V356" s="23" t="str">
        <f t="shared" si="31"/>
        <v>Weekend</v>
      </c>
      <c r="W356" s="23" t="str">
        <f>VLOOKUP($M356,Lookups!$A$5:$B$8,2,FALSE())</f>
        <v>Mist / Cloudy</v>
      </c>
      <c r="X356" s="23" t="str">
        <f>VLOOKUP($G356,Lookups!$D$5:$E$8,2,FALSE())</f>
        <v>Winter</v>
      </c>
      <c r="Y356" s="23" t="str">
        <f>VLOOKUP($L356,Lookups!$G$5:$H$11,2,FALSE())</f>
        <v>Sunday</v>
      </c>
      <c r="Z356" s="23" t="str">
        <f>IF($J356&lt;Lookups!$B$26,"Night",IF($J356&lt;Lookups!$B$27,"Morning",IF($J356&lt;Lookups!$B$28,"Afternoon","Evening")))</f>
        <v>Morning</v>
      </c>
      <c r="AA356" s="26">
        <f>ROUND($N356*(Lookups!$B$16-Lookups!$B$15)+Lookups!$B$15,1)</f>
        <v>4.2</v>
      </c>
      <c r="AB356" s="26">
        <f>ROUND($P356*(Lookups!$B$18-Lookups!$B$17)+Lookups!$B$17,1)</f>
        <v>1</v>
      </c>
      <c r="AC356" s="23">
        <f t="shared" si="32"/>
        <v>56</v>
      </c>
      <c r="AD356" s="23">
        <f>ROUND($R356*Lookups!$B$19,1)</f>
        <v>11</v>
      </c>
      <c r="AE356" s="27">
        <f t="shared" si="33"/>
        <v>1</v>
      </c>
      <c r="AF356" s="23" t="str">
        <f>IF($U356&gt;=Lookups!$B$23,"High",IF($U356&gt;=Lookups!$B$22,"Medium","Low"))</f>
        <v>Low</v>
      </c>
      <c r="AG356" s="23">
        <f>ROUND(IF($V356="Weekday",IF(INDEX(Hourly_Analysis!$D$5:$D$28,$J356+1)&gt;0,($U356-INDEX(Hourly_Analysis!$C$5:$C$28,$J356+1))/INDEX(Hourly_Analysis!$D$5:$D$28,$J356+1),0),IF(INDEX(Hourly_Analysis!$G$5:$G$28,$J356+1)&gt;0,($U356-INDEX(Hourly_Analysis!$F$5:$F$28,$J356+1))/INDEX(Hourly_Analysis!$G$5:$G$28,$J356+1),0)),2)</f>
        <v>-0.97</v>
      </c>
      <c r="AH356" s="23" t="str">
        <f>IF(ABS($AG356)&gt;Lookups!$B$20,IF($AG356&gt;0,"High anomaly","Low anomaly"),"")</f>
        <v/>
      </c>
      <c r="AI356" s="23" t="str">
        <f t="shared" si="34"/>
        <v>OK</v>
      </c>
      <c r="AJ356" s="23" t="str">
        <f t="shared" si="35"/>
        <v>No</v>
      </c>
    </row>
    <row r="357" spans="1:36" x14ac:dyDescent="0.35">
      <c r="A357" s="23">
        <v>356</v>
      </c>
      <c r="B357" s="23" t="str">
        <f t="shared" si="30"/>
        <v>Merge 1+2</v>
      </c>
      <c r="C357" s="23">
        <f>IFERROR(MATCH($A357,Merge_1_2!$A$2:$A$611,0),0)</f>
        <v>356</v>
      </c>
      <c r="D357" s="23">
        <f>IF($C357&gt;0,INDEX(Merge_1_2!$Q$2:$Q$611,$C357),0)</f>
        <v>356</v>
      </c>
      <c r="E357" s="23">
        <f>IFERROR(MATCH($A357,Dataset3_Raw!$A$2:$A$391,0),0)</f>
        <v>0</v>
      </c>
      <c r="F357" s="24">
        <f>IF($C357&gt;0,INDEX(Merge_1_2!$B$2:$B$611,$C357),DATE(VALUE(RIGHT(INDEX(Dataset3_Raw!$B$2:$B$391,$E357),4)),VALUE(MID(INDEX(Dataset3_Raw!$B$2:$B$391,$E357),4,2)),VALUE(LEFT(INDEX(Dataset3_Raw!$B$2:$B$391,$E357),2))))</f>
        <v>40559</v>
      </c>
      <c r="G357" s="23">
        <f>IF($C357&gt;0,INDEX(Merge_1_2!$C$2:$C$611,$C357),INDEX(Dataset3_Raw!$C$2:$C$391,$E357))</f>
        <v>1</v>
      </c>
      <c r="H357" s="23">
        <f>IF($C357&gt;0,INDEX(Merge_1_2!$D$2:$D$611,$C357),INDEX(Dataset3_Raw!$D$2:$D$391,$E357))</f>
        <v>0</v>
      </c>
      <c r="I357" s="23">
        <f>IF($C357&gt;0,INDEX(Merge_1_2!$E$2:$E$611,$C357),INDEX(Dataset3_Raw!$E$2:$E$391,$E357))</f>
        <v>1</v>
      </c>
      <c r="J357" s="23">
        <f>IF($C357&gt;0,INDEX(Merge_1_2!$F$2:$F$611,$C357),INDEX(Dataset3_Raw!$F$2:$F$391,$E357))</f>
        <v>7</v>
      </c>
      <c r="K357" s="23" t="b">
        <f>IF($C357&gt;0,INDEX(Merge_1_2!$G$2:$G$611,$C357),INDEX(Dataset3_Raw!$G$2:$G$391,$E357))</f>
        <v>0</v>
      </c>
      <c r="L357" s="23">
        <f>IF($C357&gt;0,INDEX(Merge_1_2!$H$2:$H$611,$C357),INDEX(Dataset3_Raw!$H$2:$H$391,$E357))</f>
        <v>0</v>
      </c>
      <c r="M357" s="23">
        <f>IF($C357&gt;0,INDEX(Merge_1_2!$I$2:$I$611,$C357),INDEX(Dataset3_Raw!$I$2:$I$391,$E357))</f>
        <v>2</v>
      </c>
      <c r="N357" s="25">
        <f>IF($C357&gt;0,INDEX(Merge_1_2!$J$2:$J$611,$C357),INDEX(Dataset3_Raw!$J$2:$J$391,$E357))</f>
        <v>0.24</v>
      </c>
      <c r="O357" s="25">
        <f>IF($C357&gt;0,IF(ISNUMBER(INDEX(Merge_1_2!$K$2:$K$611,$C357)),INDEX(Merge_1_2!$K$2:$K$611,$C357),""),INDEX(Dataset3_Raw!$K$2:$K$391,$E357))</f>
        <v>0.21210000000000001</v>
      </c>
      <c r="P357" s="25">
        <f>IF(ISNUMBER($O357),$O357,ROUND(Lookups!$B$25+Lookups!$B$24*$N357,4))</f>
        <v>0.21210000000000001</v>
      </c>
      <c r="Q357" s="25">
        <f>IF($C357&gt;0,INDEX(Merge_1_2!$L$2:$L$611,$C357),INDEX(Dataset3_Raw!$L$2:$L$391,$E357))</f>
        <v>0.56000000000000005</v>
      </c>
      <c r="R357" s="25">
        <f>IF($C357&gt;0,INDEX(Merge_1_2!$M$2:$M$611,$C357),INDEX(Dataset3_Raw!$M$2:$M$391,$E357))</f>
        <v>0.29849999999999999</v>
      </c>
      <c r="S357" s="23">
        <f>IF($C357&gt;0,INDEX(Merge_1_2!$N$2:$N$611,$C357),INDEX(Dataset3_Raw!$N$2:$N$391,$E357))</f>
        <v>0</v>
      </c>
      <c r="T357" s="23">
        <f>IF($C357&gt;0,INDEX(Merge_1_2!$O$2:$O$611,$C357),INDEX(Dataset3_Raw!$O$2:$O$391,$E357))</f>
        <v>3</v>
      </c>
      <c r="U357" s="23">
        <f>IF($C357&gt;0,INDEX(Merge_1_2!$P$2:$P$611,$C357),INDEX(Dataset3_Raw!$P$2:$P$391,$E357))</f>
        <v>3</v>
      </c>
      <c r="V357" s="23" t="str">
        <f t="shared" si="31"/>
        <v>Weekend</v>
      </c>
      <c r="W357" s="23" t="str">
        <f>VLOOKUP($M357,Lookups!$A$5:$B$8,2,FALSE())</f>
        <v>Mist / Cloudy</v>
      </c>
      <c r="X357" s="23" t="str">
        <f>VLOOKUP($G357,Lookups!$D$5:$E$8,2,FALSE())</f>
        <v>Winter</v>
      </c>
      <c r="Y357" s="23" t="str">
        <f>VLOOKUP($L357,Lookups!$G$5:$H$11,2,FALSE())</f>
        <v>Sunday</v>
      </c>
      <c r="Z357" s="23" t="str">
        <f>IF($J357&lt;Lookups!$B$26,"Night",IF($J357&lt;Lookups!$B$27,"Morning",IF($J357&lt;Lookups!$B$28,"Afternoon","Evening")))</f>
        <v>Morning</v>
      </c>
      <c r="AA357" s="26">
        <f>ROUND($N357*(Lookups!$B$16-Lookups!$B$15)+Lookups!$B$15,1)</f>
        <v>3.3</v>
      </c>
      <c r="AB357" s="26">
        <f>ROUND($P357*(Lookups!$B$18-Lookups!$B$17)+Lookups!$B$17,1)</f>
        <v>-2</v>
      </c>
      <c r="AC357" s="23">
        <f t="shared" si="32"/>
        <v>56</v>
      </c>
      <c r="AD357" s="23">
        <f>ROUND($R357*Lookups!$B$19,1)</f>
        <v>20</v>
      </c>
      <c r="AE357" s="27">
        <f t="shared" si="33"/>
        <v>1</v>
      </c>
      <c r="AF357" s="23" t="str">
        <f>IF($U357&gt;=Lookups!$B$23,"High",IF($U357&gt;=Lookups!$B$22,"Medium","Low"))</f>
        <v>Low</v>
      </c>
      <c r="AG357" s="23">
        <f>ROUND(IF($V357="Weekday",IF(INDEX(Hourly_Analysis!$D$5:$D$28,$J357+1)&gt;0,($U357-INDEX(Hourly_Analysis!$C$5:$C$28,$J357+1))/INDEX(Hourly_Analysis!$D$5:$D$28,$J357+1),0),IF(INDEX(Hourly_Analysis!$G$5:$G$28,$J357+1)&gt;0,($U357-INDEX(Hourly_Analysis!$F$5:$F$28,$J357+1))/INDEX(Hourly_Analysis!$G$5:$G$28,$J357+1),0)),2)</f>
        <v>-0.8</v>
      </c>
      <c r="AH357" s="23" t="str">
        <f>IF(ABS($AG357)&gt;Lookups!$B$20,IF($AG357&gt;0,"High anomaly","Low anomaly"),"")</f>
        <v/>
      </c>
      <c r="AI357" s="23" t="str">
        <f t="shared" si="34"/>
        <v>OK</v>
      </c>
      <c r="AJ357" s="23" t="str">
        <f t="shared" si="35"/>
        <v>No</v>
      </c>
    </row>
    <row r="358" spans="1:36" x14ac:dyDescent="0.35">
      <c r="A358" s="23">
        <v>357</v>
      </c>
      <c r="B358" s="23" t="str">
        <f t="shared" si="30"/>
        <v>Merge 1+2</v>
      </c>
      <c r="C358" s="23">
        <f>IFERROR(MATCH($A358,Merge_1_2!$A$2:$A$611,0),0)</f>
        <v>357</v>
      </c>
      <c r="D358" s="23">
        <f>IF($C358&gt;0,INDEX(Merge_1_2!$Q$2:$Q$611,$C358),0)</f>
        <v>357</v>
      </c>
      <c r="E358" s="23">
        <f>IFERROR(MATCH($A358,Dataset3_Raw!$A$2:$A$391,0),0)</f>
        <v>0</v>
      </c>
      <c r="F358" s="24">
        <f>IF($C358&gt;0,INDEX(Merge_1_2!$B$2:$B$611,$C358),DATE(VALUE(RIGHT(INDEX(Dataset3_Raw!$B$2:$B$391,$E358),4)),VALUE(MID(INDEX(Dataset3_Raw!$B$2:$B$391,$E358),4,2)),VALUE(LEFT(INDEX(Dataset3_Raw!$B$2:$B$391,$E358),2))))</f>
        <v>40559</v>
      </c>
      <c r="G358" s="23">
        <f>IF($C358&gt;0,INDEX(Merge_1_2!$C$2:$C$611,$C358),INDEX(Dataset3_Raw!$C$2:$C$391,$E358))</f>
        <v>1</v>
      </c>
      <c r="H358" s="23">
        <f>IF($C358&gt;0,INDEX(Merge_1_2!$D$2:$D$611,$C358),INDEX(Dataset3_Raw!$D$2:$D$391,$E358))</f>
        <v>0</v>
      </c>
      <c r="I358" s="23">
        <f>IF($C358&gt;0,INDEX(Merge_1_2!$E$2:$E$611,$C358),INDEX(Dataset3_Raw!$E$2:$E$391,$E358))</f>
        <v>1</v>
      </c>
      <c r="J358" s="23">
        <f>IF($C358&gt;0,INDEX(Merge_1_2!$F$2:$F$611,$C358),INDEX(Dataset3_Raw!$F$2:$F$391,$E358))</f>
        <v>8</v>
      </c>
      <c r="K358" s="23" t="b">
        <f>IF($C358&gt;0,INDEX(Merge_1_2!$G$2:$G$611,$C358),INDEX(Dataset3_Raw!$G$2:$G$391,$E358))</f>
        <v>0</v>
      </c>
      <c r="L358" s="23">
        <f>IF($C358&gt;0,INDEX(Merge_1_2!$H$2:$H$611,$C358),INDEX(Dataset3_Raw!$H$2:$H$391,$E358))</f>
        <v>0</v>
      </c>
      <c r="M358" s="23">
        <f>IF($C358&gt;0,INDEX(Merge_1_2!$I$2:$I$611,$C358),INDEX(Dataset3_Raw!$I$2:$I$391,$E358))</f>
        <v>1</v>
      </c>
      <c r="N358" s="25">
        <f>IF($C358&gt;0,INDEX(Merge_1_2!$J$2:$J$611,$C358),INDEX(Dataset3_Raw!$J$2:$J$391,$E358))</f>
        <v>0.22</v>
      </c>
      <c r="O358" s="25">
        <f>IF($C358&gt;0,IF(ISNUMBER(INDEX(Merge_1_2!$K$2:$K$611,$C358)),INDEX(Merge_1_2!$K$2:$K$611,$C358),""),INDEX(Dataset3_Raw!$K$2:$K$391,$E358))</f>
        <v>0.21210000000000001</v>
      </c>
      <c r="P358" s="25">
        <f>IF(ISNUMBER($O358),$O358,ROUND(Lookups!$B$25+Lookups!$B$24*$N358,4))</f>
        <v>0.21210000000000001</v>
      </c>
      <c r="Q358" s="25">
        <f>IF($C358&gt;0,INDEX(Merge_1_2!$L$2:$L$611,$C358),INDEX(Dataset3_Raw!$L$2:$L$391,$E358))</f>
        <v>0.55000000000000004</v>
      </c>
      <c r="R358" s="25">
        <f>IF($C358&gt;0,INDEX(Merge_1_2!$M$2:$M$611,$C358),INDEX(Dataset3_Raw!$M$2:$M$391,$E358))</f>
        <v>0.28360000000000002</v>
      </c>
      <c r="S358" s="23">
        <f>IF($C358&gt;0,INDEX(Merge_1_2!$N$2:$N$611,$C358),INDEX(Dataset3_Raw!$N$2:$N$391,$E358))</f>
        <v>0</v>
      </c>
      <c r="T358" s="23">
        <f>IF($C358&gt;0,INDEX(Merge_1_2!$O$2:$O$611,$C358),INDEX(Dataset3_Raw!$O$2:$O$391,$E358))</f>
        <v>18</v>
      </c>
      <c r="U358" s="23">
        <f>IF($C358&gt;0,INDEX(Merge_1_2!$P$2:$P$611,$C358),INDEX(Dataset3_Raw!$P$2:$P$391,$E358))</f>
        <v>18</v>
      </c>
      <c r="V358" s="23" t="str">
        <f t="shared" si="31"/>
        <v>Weekend</v>
      </c>
      <c r="W358" s="23" t="str">
        <f>VLOOKUP($M358,Lookups!$A$5:$B$8,2,FALSE())</f>
        <v>Clear / Partly cloudy</v>
      </c>
      <c r="X358" s="23" t="str">
        <f>VLOOKUP($G358,Lookups!$D$5:$E$8,2,FALSE())</f>
        <v>Winter</v>
      </c>
      <c r="Y358" s="23" t="str">
        <f>VLOOKUP($L358,Lookups!$G$5:$H$11,2,FALSE())</f>
        <v>Sunday</v>
      </c>
      <c r="Z358" s="23" t="str">
        <f>IF($J358&lt;Lookups!$B$26,"Night",IF($J358&lt;Lookups!$B$27,"Morning",IF($J358&lt;Lookups!$B$28,"Afternoon","Evening")))</f>
        <v>Morning</v>
      </c>
      <c r="AA358" s="26">
        <f>ROUND($N358*(Lookups!$B$16-Lookups!$B$15)+Lookups!$B$15,1)</f>
        <v>2.2999999999999998</v>
      </c>
      <c r="AB358" s="26">
        <f>ROUND($P358*(Lookups!$B$18-Lookups!$B$17)+Lookups!$B$17,1)</f>
        <v>-2</v>
      </c>
      <c r="AC358" s="23">
        <f t="shared" si="32"/>
        <v>55</v>
      </c>
      <c r="AD358" s="23">
        <f>ROUND($R358*Lookups!$B$19,1)</f>
        <v>19</v>
      </c>
      <c r="AE358" s="27">
        <f t="shared" si="33"/>
        <v>1</v>
      </c>
      <c r="AF358" s="23" t="str">
        <f>IF($U358&gt;=Lookups!$B$23,"High",IF($U358&gt;=Lookups!$B$22,"Medium","Low"))</f>
        <v>Medium</v>
      </c>
      <c r="AG358" s="23">
        <f>ROUND(IF($V358="Weekday",IF(INDEX(Hourly_Analysis!$D$5:$D$28,$J358+1)&gt;0,($U358-INDEX(Hourly_Analysis!$C$5:$C$28,$J358+1))/INDEX(Hourly_Analysis!$D$5:$D$28,$J358+1),0),IF(INDEX(Hourly_Analysis!$G$5:$G$28,$J358+1)&gt;0,($U358-INDEX(Hourly_Analysis!$F$5:$F$28,$J358+1))/INDEX(Hourly_Analysis!$G$5:$G$28,$J358+1),0)),2)</f>
        <v>-0.09</v>
      </c>
      <c r="AH358" s="23" t="str">
        <f>IF(ABS($AG358)&gt;Lookups!$B$20,IF($AG358&gt;0,"High anomaly","Low anomaly"),"")</f>
        <v/>
      </c>
      <c r="AI358" s="23" t="str">
        <f t="shared" si="34"/>
        <v>OK</v>
      </c>
      <c r="AJ358" s="23" t="str">
        <f t="shared" si="35"/>
        <v>No</v>
      </c>
    </row>
    <row r="359" spans="1:36" x14ac:dyDescent="0.35">
      <c r="A359" s="23">
        <v>358</v>
      </c>
      <c r="B359" s="23" t="str">
        <f t="shared" si="30"/>
        <v>Merge 1+2</v>
      </c>
      <c r="C359" s="23">
        <f>IFERROR(MATCH($A359,Merge_1_2!$A$2:$A$611,0),0)</f>
        <v>358</v>
      </c>
      <c r="D359" s="23">
        <f>IF($C359&gt;0,INDEX(Merge_1_2!$Q$2:$Q$611,$C359),0)</f>
        <v>358</v>
      </c>
      <c r="E359" s="23">
        <f>IFERROR(MATCH($A359,Dataset3_Raw!$A$2:$A$391,0),0)</f>
        <v>0</v>
      </c>
      <c r="F359" s="24">
        <f>IF($C359&gt;0,INDEX(Merge_1_2!$B$2:$B$611,$C359),DATE(VALUE(RIGHT(INDEX(Dataset3_Raw!$B$2:$B$391,$E359),4)),VALUE(MID(INDEX(Dataset3_Raw!$B$2:$B$391,$E359),4,2)),VALUE(LEFT(INDEX(Dataset3_Raw!$B$2:$B$391,$E359),2))))</f>
        <v>40559</v>
      </c>
      <c r="G359" s="23">
        <f>IF($C359&gt;0,INDEX(Merge_1_2!$C$2:$C$611,$C359),INDEX(Dataset3_Raw!$C$2:$C$391,$E359))</f>
        <v>1</v>
      </c>
      <c r="H359" s="23">
        <f>IF($C359&gt;0,INDEX(Merge_1_2!$D$2:$D$611,$C359),INDEX(Dataset3_Raw!$D$2:$D$391,$E359))</f>
        <v>0</v>
      </c>
      <c r="I359" s="23">
        <f>IF($C359&gt;0,INDEX(Merge_1_2!$E$2:$E$611,$C359),INDEX(Dataset3_Raw!$E$2:$E$391,$E359))</f>
        <v>1</v>
      </c>
      <c r="J359" s="23">
        <f>IF($C359&gt;0,INDEX(Merge_1_2!$F$2:$F$611,$C359),INDEX(Dataset3_Raw!$F$2:$F$391,$E359))</f>
        <v>9</v>
      </c>
      <c r="K359" s="23" t="b">
        <f>IF($C359&gt;0,INDEX(Merge_1_2!$G$2:$G$611,$C359),INDEX(Dataset3_Raw!$G$2:$G$391,$E359))</f>
        <v>0</v>
      </c>
      <c r="L359" s="23">
        <f>IF($C359&gt;0,INDEX(Merge_1_2!$H$2:$H$611,$C359),INDEX(Dataset3_Raw!$H$2:$H$391,$E359))</f>
        <v>0</v>
      </c>
      <c r="M359" s="23">
        <f>IF($C359&gt;0,INDEX(Merge_1_2!$I$2:$I$611,$C359),INDEX(Dataset3_Raw!$I$2:$I$391,$E359))</f>
        <v>1</v>
      </c>
      <c r="N359" s="25">
        <f>IF($C359&gt;0,INDEX(Merge_1_2!$J$2:$J$611,$C359),INDEX(Dataset3_Raw!$J$2:$J$391,$E359))</f>
        <v>0.22</v>
      </c>
      <c r="O359" s="25">
        <f>IF($C359&gt;0,IF(ISNUMBER(INDEX(Merge_1_2!$K$2:$K$611,$C359)),INDEX(Merge_1_2!$K$2:$K$611,$C359),""),INDEX(Dataset3_Raw!$K$2:$K$391,$E359))</f>
        <v>0.21210000000000001</v>
      </c>
      <c r="P359" s="25">
        <f>IF(ISNUMBER($O359),$O359,ROUND(Lookups!$B$25+Lookups!$B$24*$N359,4))</f>
        <v>0.21210000000000001</v>
      </c>
      <c r="Q359" s="25">
        <f>IF($C359&gt;0,INDEX(Merge_1_2!$L$2:$L$611,$C359),INDEX(Dataset3_Raw!$L$2:$L$391,$E359))</f>
        <v>0.51</v>
      </c>
      <c r="R359" s="25">
        <f>IF($C359&gt;0,INDEX(Merge_1_2!$M$2:$M$611,$C359),INDEX(Dataset3_Raw!$M$2:$M$391,$E359))</f>
        <v>0.25369999999999998</v>
      </c>
      <c r="S359" s="23">
        <f>IF($C359&gt;0,INDEX(Merge_1_2!$N$2:$N$611,$C359),INDEX(Dataset3_Raw!$N$2:$N$391,$E359))</f>
        <v>3</v>
      </c>
      <c r="T359" s="23">
        <f>IF($C359&gt;0,INDEX(Merge_1_2!$O$2:$O$611,$C359),INDEX(Dataset3_Raw!$O$2:$O$391,$E359))</f>
        <v>29</v>
      </c>
      <c r="U359" s="23">
        <f>IF($C359&gt;0,INDEX(Merge_1_2!$P$2:$P$611,$C359),INDEX(Dataset3_Raw!$P$2:$P$391,$E359))</f>
        <v>32</v>
      </c>
      <c r="V359" s="23" t="str">
        <f t="shared" si="31"/>
        <v>Weekend</v>
      </c>
      <c r="W359" s="23" t="str">
        <f>VLOOKUP($M359,Lookups!$A$5:$B$8,2,FALSE())</f>
        <v>Clear / Partly cloudy</v>
      </c>
      <c r="X359" s="23" t="str">
        <f>VLOOKUP($G359,Lookups!$D$5:$E$8,2,FALSE())</f>
        <v>Winter</v>
      </c>
      <c r="Y359" s="23" t="str">
        <f>VLOOKUP($L359,Lookups!$G$5:$H$11,2,FALSE())</f>
        <v>Sunday</v>
      </c>
      <c r="Z359" s="23" t="str">
        <f>IF($J359&lt;Lookups!$B$26,"Night",IF($J359&lt;Lookups!$B$27,"Morning",IF($J359&lt;Lookups!$B$28,"Afternoon","Evening")))</f>
        <v>Morning</v>
      </c>
      <c r="AA359" s="26">
        <f>ROUND($N359*(Lookups!$B$16-Lookups!$B$15)+Lookups!$B$15,1)</f>
        <v>2.2999999999999998</v>
      </c>
      <c r="AB359" s="26">
        <f>ROUND($P359*(Lookups!$B$18-Lookups!$B$17)+Lookups!$B$17,1)</f>
        <v>-2</v>
      </c>
      <c r="AC359" s="23">
        <f t="shared" si="32"/>
        <v>51</v>
      </c>
      <c r="AD359" s="23">
        <f>ROUND($R359*Lookups!$B$19,1)</f>
        <v>17</v>
      </c>
      <c r="AE359" s="27">
        <f t="shared" si="33"/>
        <v>0.90625</v>
      </c>
      <c r="AF359" s="23" t="str">
        <f>IF($U359&gt;=Lookups!$B$23,"High",IF($U359&gt;=Lookups!$B$22,"Medium","Low"))</f>
        <v>Medium</v>
      </c>
      <c r="AG359" s="23">
        <f>ROUND(IF($V359="Weekday",IF(INDEX(Hourly_Analysis!$D$5:$D$28,$J359+1)&gt;0,($U359-INDEX(Hourly_Analysis!$C$5:$C$28,$J359+1))/INDEX(Hourly_Analysis!$D$5:$D$28,$J359+1),0),IF(INDEX(Hourly_Analysis!$G$5:$G$28,$J359+1)&gt;0,($U359-INDEX(Hourly_Analysis!$F$5:$F$28,$J359+1))/INDEX(Hourly_Analysis!$G$5:$G$28,$J359+1),0)),2)</f>
        <v>0</v>
      </c>
      <c r="AH359" s="23" t="str">
        <f>IF(ABS($AG359)&gt;Lookups!$B$20,IF($AG359&gt;0,"High anomaly","Low anomaly"),"")</f>
        <v/>
      </c>
      <c r="AI359" s="23" t="str">
        <f t="shared" si="34"/>
        <v>OK</v>
      </c>
      <c r="AJ359" s="23" t="str">
        <f t="shared" si="35"/>
        <v>No</v>
      </c>
    </row>
    <row r="360" spans="1:36" x14ac:dyDescent="0.35">
      <c r="A360" s="23">
        <v>359</v>
      </c>
      <c r="B360" s="23" t="str">
        <f t="shared" si="30"/>
        <v>Merge 1+2</v>
      </c>
      <c r="C360" s="23">
        <f>IFERROR(MATCH($A360,Merge_1_2!$A$2:$A$611,0),0)</f>
        <v>359</v>
      </c>
      <c r="D360" s="23">
        <f>IF($C360&gt;0,INDEX(Merge_1_2!$Q$2:$Q$611,$C360),0)</f>
        <v>359</v>
      </c>
      <c r="E360" s="23">
        <f>IFERROR(MATCH($A360,Dataset3_Raw!$A$2:$A$391,0),0)</f>
        <v>0</v>
      </c>
      <c r="F360" s="24">
        <f>IF($C360&gt;0,INDEX(Merge_1_2!$B$2:$B$611,$C360),DATE(VALUE(RIGHT(INDEX(Dataset3_Raw!$B$2:$B$391,$E360),4)),VALUE(MID(INDEX(Dataset3_Raw!$B$2:$B$391,$E360),4,2)),VALUE(LEFT(INDEX(Dataset3_Raw!$B$2:$B$391,$E360),2))))</f>
        <v>40559</v>
      </c>
      <c r="G360" s="23">
        <f>IF($C360&gt;0,INDEX(Merge_1_2!$C$2:$C$611,$C360),INDEX(Dataset3_Raw!$C$2:$C$391,$E360))</f>
        <v>1</v>
      </c>
      <c r="H360" s="23">
        <f>IF($C360&gt;0,INDEX(Merge_1_2!$D$2:$D$611,$C360),INDEX(Dataset3_Raw!$D$2:$D$391,$E360))</f>
        <v>0</v>
      </c>
      <c r="I360" s="23">
        <f>IF($C360&gt;0,INDEX(Merge_1_2!$E$2:$E$611,$C360),INDEX(Dataset3_Raw!$E$2:$E$391,$E360))</f>
        <v>1</v>
      </c>
      <c r="J360" s="23">
        <f>IF($C360&gt;0,INDEX(Merge_1_2!$F$2:$F$611,$C360),INDEX(Dataset3_Raw!$F$2:$F$391,$E360))</f>
        <v>10</v>
      </c>
      <c r="K360" s="23" t="b">
        <f>IF($C360&gt;0,INDEX(Merge_1_2!$G$2:$G$611,$C360),INDEX(Dataset3_Raw!$G$2:$G$391,$E360))</f>
        <v>0</v>
      </c>
      <c r="L360" s="23">
        <f>IF($C360&gt;0,INDEX(Merge_1_2!$H$2:$H$611,$C360),INDEX(Dataset3_Raw!$H$2:$H$391,$E360))</f>
        <v>0</v>
      </c>
      <c r="M360" s="23">
        <f>IF($C360&gt;0,INDEX(Merge_1_2!$I$2:$I$611,$C360),INDEX(Dataset3_Raw!$I$2:$I$391,$E360))</f>
        <v>1</v>
      </c>
      <c r="N360" s="25">
        <f>IF($C360&gt;0,INDEX(Merge_1_2!$J$2:$J$611,$C360),INDEX(Dataset3_Raw!$J$2:$J$391,$E360))</f>
        <v>0.22</v>
      </c>
      <c r="O360" s="25">
        <f>IF($C360&gt;0,IF(ISNUMBER(INDEX(Merge_1_2!$K$2:$K$611,$C360)),INDEX(Merge_1_2!$K$2:$K$611,$C360),""),INDEX(Dataset3_Raw!$K$2:$K$391,$E360))</f>
        <v>0.21210000000000001</v>
      </c>
      <c r="P360" s="25">
        <f>IF(ISNUMBER($O360),$O360,ROUND(Lookups!$B$25+Lookups!$B$24*$N360,4))</f>
        <v>0.21210000000000001</v>
      </c>
      <c r="Q360" s="25">
        <f>IF($C360&gt;0,INDEX(Merge_1_2!$L$2:$L$611,$C360),INDEX(Dataset3_Raw!$L$2:$L$391,$E360))</f>
        <v>0.51</v>
      </c>
      <c r="R360" s="25">
        <f>IF($C360&gt;0,INDEX(Merge_1_2!$M$2:$M$611,$C360),INDEX(Dataset3_Raw!$M$2:$M$391,$E360))</f>
        <v>0.28360000000000002</v>
      </c>
      <c r="S360" s="23">
        <f>IF($C360&gt;0,INDEX(Merge_1_2!$N$2:$N$611,$C360),INDEX(Dataset3_Raw!$N$2:$N$391,$E360))</f>
        <v>8</v>
      </c>
      <c r="T360" s="23">
        <f>IF($C360&gt;0,INDEX(Merge_1_2!$O$2:$O$611,$C360),INDEX(Dataset3_Raw!$O$2:$O$391,$E360))</f>
        <v>71</v>
      </c>
      <c r="U360" s="23">
        <f>IF($C360&gt;0,INDEX(Merge_1_2!$P$2:$P$611,$C360),INDEX(Dataset3_Raw!$P$2:$P$391,$E360))</f>
        <v>79</v>
      </c>
      <c r="V360" s="23" t="str">
        <f t="shared" si="31"/>
        <v>Weekend</v>
      </c>
      <c r="W360" s="23" t="str">
        <f>VLOOKUP($M360,Lookups!$A$5:$B$8,2,FALSE())</f>
        <v>Clear / Partly cloudy</v>
      </c>
      <c r="X360" s="23" t="str">
        <f>VLOOKUP($G360,Lookups!$D$5:$E$8,2,FALSE())</f>
        <v>Winter</v>
      </c>
      <c r="Y360" s="23" t="str">
        <f>VLOOKUP($L360,Lookups!$G$5:$H$11,2,FALSE())</f>
        <v>Sunday</v>
      </c>
      <c r="Z360" s="23" t="str">
        <f>IF($J360&lt;Lookups!$B$26,"Night",IF($J360&lt;Lookups!$B$27,"Morning",IF($J360&lt;Lookups!$B$28,"Afternoon","Evening")))</f>
        <v>Morning</v>
      </c>
      <c r="AA360" s="26">
        <f>ROUND($N360*(Lookups!$B$16-Lookups!$B$15)+Lookups!$B$15,1)</f>
        <v>2.2999999999999998</v>
      </c>
      <c r="AB360" s="26">
        <f>ROUND($P360*(Lookups!$B$18-Lookups!$B$17)+Lookups!$B$17,1)</f>
        <v>-2</v>
      </c>
      <c r="AC360" s="23">
        <f t="shared" si="32"/>
        <v>51</v>
      </c>
      <c r="AD360" s="23">
        <f>ROUND($R360*Lookups!$B$19,1)</f>
        <v>19</v>
      </c>
      <c r="AE360" s="27">
        <f t="shared" si="33"/>
        <v>0.89873417721518989</v>
      </c>
      <c r="AF360" s="23" t="str">
        <f>IF($U360&gt;=Lookups!$B$23,"High",IF($U360&gt;=Lookups!$B$22,"Medium","Low"))</f>
        <v>Medium</v>
      </c>
      <c r="AG360" s="23">
        <f>ROUND(IF($V360="Weekday",IF(INDEX(Hourly_Analysis!$D$5:$D$28,$J360+1)&gt;0,($U360-INDEX(Hourly_Analysis!$C$5:$C$28,$J360+1))/INDEX(Hourly_Analysis!$D$5:$D$28,$J360+1),0),IF(INDEX(Hourly_Analysis!$G$5:$G$28,$J360+1)&gt;0,($U360-INDEX(Hourly_Analysis!$F$5:$F$28,$J360+1))/INDEX(Hourly_Analysis!$G$5:$G$28,$J360+1),0)),2)</f>
        <v>0.86</v>
      </c>
      <c r="AH360" s="23" t="str">
        <f>IF(ABS($AG360)&gt;Lookups!$B$20,IF($AG360&gt;0,"High anomaly","Low anomaly"),"")</f>
        <v/>
      </c>
      <c r="AI360" s="23" t="str">
        <f t="shared" si="34"/>
        <v>OK</v>
      </c>
      <c r="AJ360" s="23" t="str">
        <f t="shared" si="35"/>
        <v>No</v>
      </c>
    </row>
    <row r="361" spans="1:36" x14ac:dyDescent="0.35">
      <c r="A361" s="23">
        <v>360</v>
      </c>
      <c r="B361" s="23" t="str">
        <f t="shared" si="30"/>
        <v>Merge 1+2</v>
      </c>
      <c r="C361" s="23">
        <f>IFERROR(MATCH($A361,Merge_1_2!$A$2:$A$611,0),0)</f>
        <v>360</v>
      </c>
      <c r="D361" s="23">
        <f>IF($C361&gt;0,INDEX(Merge_1_2!$Q$2:$Q$611,$C361),0)</f>
        <v>360</v>
      </c>
      <c r="E361" s="23">
        <f>IFERROR(MATCH($A361,Dataset3_Raw!$A$2:$A$391,0),0)</f>
        <v>0</v>
      </c>
      <c r="F361" s="24">
        <f>IF($C361&gt;0,INDEX(Merge_1_2!$B$2:$B$611,$C361),DATE(VALUE(RIGHT(INDEX(Dataset3_Raw!$B$2:$B$391,$E361),4)),VALUE(MID(INDEX(Dataset3_Raw!$B$2:$B$391,$E361),4,2)),VALUE(LEFT(INDEX(Dataset3_Raw!$B$2:$B$391,$E361),2))))</f>
        <v>40559</v>
      </c>
      <c r="G361" s="23">
        <f>IF($C361&gt;0,INDEX(Merge_1_2!$C$2:$C$611,$C361),INDEX(Dataset3_Raw!$C$2:$C$391,$E361))</f>
        <v>1</v>
      </c>
      <c r="H361" s="23">
        <f>IF($C361&gt;0,INDEX(Merge_1_2!$D$2:$D$611,$C361),INDEX(Dataset3_Raw!$D$2:$D$391,$E361))</f>
        <v>0</v>
      </c>
      <c r="I361" s="23">
        <f>IF($C361&gt;0,INDEX(Merge_1_2!$E$2:$E$611,$C361),INDEX(Dataset3_Raw!$E$2:$E$391,$E361))</f>
        <v>1</v>
      </c>
      <c r="J361" s="23">
        <f>IF($C361&gt;0,INDEX(Merge_1_2!$F$2:$F$611,$C361),INDEX(Dataset3_Raw!$F$2:$F$391,$E361))</f>
        <v>11</v>
      </c>
      <c r="K361" s="23" t="b">
        <f>IF($C361&gt;0,INDEX(Merge_1_2!$G$2:$G$611,$C361),INDEX(Dataset3_Raw!$G$2:$G$391,$E361))</f>
        <v>0</v>
      </c>
      <c r="L361" s="23">
        <f>IF($C361&gt;0,INDEX(Merge_1_2!$H$2:$H$611,$C361),INDEX(Dataset3_Raw!$H$2:$H$391,$E361))</f>
        <v>0</v>
      </c>
      <c r="M361" s="23">
        <f>IF($C361&gt;0,INDEX(Merge_1_2!$I$2:$I$611,$C361),INDEX(Dataset3_Raw!$I$2:$I$391,$E361))</f>
        <v>1</v>
      </c>
      <c r="N361" s="25">
        <f>IF($C361&gt;0,INDEX(Merge_1_2!$J$2:$J$611,$C361),INDEX(Dataset3_Raw!$J$2:$J$391,$E361))</f>
        <v>0.24</v>
      </c>
      <c r="O361" s="25">
        <f>IF($C361&gt;0,IF(ISNUMBER(INDEX(Merge_1_2!$K$2:$K$611,$C361)),INDEX(Merge_1_2!$K$2:$K$611,$C361),""),INDEX(Dataset3_Raw!$K$2:$K$391,$E361))</f>
        <v>0.2273</v>
      </c>
      <c r="P361" s="25">
        <f>IF(ISNUMBER($O361),$O361,ROUND(Lookups!$B$25+Lookups!$B$24*$N361,4))</f>
        <v>0.2273</v>
      </c>
      <c r="Q361" s="25">
        <f>IF($C361&gt;0,INDEX(Merge_1_2!$L$2:$L$611,$C361),INDEX(Dataset3_Raw!$L$2:$L$391,$E361))</f>
        <v>0.44</v>
      </c>
      <c r="R361" s="25">
        <f>IF($C361&gt;0,INDEX(Merge_1_2!$M$2:$M$611,$C361),INDEX(Dataset3_Raw!$M$2:$M$391,$E361))</f>
        <v>0.25369999999999998</v>
      </c>
      <c r="S361" s="23">
        <f>IF($C361&gt;0,INDEX(Merge_1_2!$N$2:$N$611,$C361),INDEX(Dataset3_Raw!$N$2:$N$391,$E361))</f>
        <v>23</v>
      </c>
      <c r="T361" s="23">
        <f>IF($C361&gt;0,INDEX(Merge_1_2!$O$2:$O$611,$C361),INDEX(Dataset3_Raw!$O$2:$O$391,$E361))</f>
        <v>70</v>
      </c>
      <c r="U361" s="23">
        <f>IF($C361&gt;0,INDEX(Merge_1_2!$P$2:$P$611,$C361),INDEX(Dataset3_Raw!$P$2:$P$391,$E361))</f>
        <v>93</v>
      </c>
      <c r="V361" s="23" t="str">
        <f t="shared" si="31"/>
        <v>Weekend</v>
      </c>
      <c r="W361" s="23" t="str">
        <f>VLOOKUP($M361,Lookups!$A$5:$B$8,2,FALSE())</f>
        <v>Clear / Partly cloudy</v>
      </c>
      <c r="X361" s="23" t="str">
        <f>VLOOKUP($G361,Lookups!$D$5:$E$8,2,FALSE())</f>
        <v>Winter</v>
      </c>
      <c r="Y361" s="23" t="str">
        <f>VLOOKUP($L361,Lookups!$G$5:$H$11,2,FALSE())</f>
        <v>Sunday</v>
      </c>
      <c r="Z361" s="23" t="str">
        <f>IF($J361&lt;Lookups!$B$26,"Night",IF($J361&lt;Lookups!$B$27,"Morning",IF($J361&lt;Lookups!$B$28,"Afternoon","Evening")))</f>
        <v>Morning</v>
      </c>
      <c r="AA361" s="26">
        <f>ROUND($N361*(Lookups!$B$16-Lookups!$B$15)+Lookups!$B$15,1)</f>
        <v>3.3</v>
      </c>
      <c r="AB361" s="26">
        <f>ROUND($P361*(Lookups!$B$18-Lookups!$B$17)+Lookups!$B$17,1)</f>
        <v>-1</v>
      </c>
      <c r="AC361" s="23">
        <f t="shared" si="32"/>
        <v>44</v>
      </c>
      <c r="AD361" s="23">
        <f>ROUND($R361*Lookups!$B$19,1)</f>
        <v>17</v>
      </c>
      <c r="AE361" s="27">
        <f t="shared" si="33"/>
        <v>0.75268817204301075</v>
      </c>
      <c r="AF361" s="23" t="str">
        <f>IF($U361&gt;=Lookups!$B$23,"High",IF($U361&gt;=Lookups!$B$22,"Medium","Low"))</f>
        <v>High</v>
      </c>
      <c r="AG361" s="23">
        <f>ROUND(IF($V361="Weekday",IF(INDEX(Hourly_Analysis!$D$5:$D$28,$J361+1)&gt;0,($U361-INDEX(Hourly_Analysis!$C$5:$C$28,$J361+1))/INDEX(Hourly_Analysis!$D$5:$D$28,$J361+1),0),IF(INDEX(Hourly_Analysis!$G$5:$G$28,$J361+1)&gt;0,($U361-INDEX(Hourly_Analysis!$F$5:$F$28,$J361+1))/INDEX(Hourly_Analysis!$G$5:$G$28,$J361+1),0)),2)</f>
        <v>0.7</v>
      </c>
      <c r="AH361" s="23" t="str">
        <f>IF(ABS($AG361)&gt;Lookups!$B$20,IF($AG361&gt;0,"High anomaly","Low anomaly"),"")</f>
        <v/>
      </c>
      <c r="AI361" s="23" t="str">
        <f t="shared" si="34"/>
        <v>OK</v>
      </c>
      <c r="AJ361" s="23" t="str">
        <f t="shared" si="35"/>
        <v>No</v>
      </c>
    </row>
    <row r="362" spans="1:36" x14ac:dyDescent="0.35">
      <c r="A362" s="23">
        <v>361</v>
      </c>
      <c r="B362" s="23" t="str">
        <f t="shared" si="30"/>
        <v>Merge 1+2</v>
      </c>
      <c r="C362" s="23">
        <f>IFERROR(MATCH($A362,Merge_1_2!$A$2:$A$611,0),0)</f>
        <v>361</v>
      </c>
      <c r="D362" s="23">
        <f>IF($C362&gt;0,INDEX(Merge_1_2!$Q$2:$Q$611,$C362),0)</f>
        <v>361</v>
      </c>
      <c r="E362" s="23">
        <f>IFERROR(MATCH($A362,Dataset3_Raw!$A$2:$A$391,0),0)</f>
        <v>0</v>
      </c>
      <c r="F362" s="24">
        <f>IF($C362&gt;0,INDEX(Merge_1_2!$B$2:$B$611,$C362),DATE(VALUE(RIGHT(INDEX(Dataset3_Raw!$B$2:$B$391,$E362),4)),VALUE(MID(INDEX(Dataset3_Raw!$B$2:$B$391,$E362),4,2)),VALUE(LEFT(INDEX(Dataset3_Raw!$B$2:$B$391,$E362),2))))</f>
        <v>40559</v>
      </c>
      <c r="G362" s="23">
        <f>IF($C362&gt;0,INDEX(Merge_1_2!$C$2:$C$611,$C362),INDEX(Dataset3_Raw!$C$2:$C$391,$E362))</f>
        <v>1</v>
      </c>
      <c r="H362" s="23">
        <f>IF($C362&gt;0,INDEX(Merge_1_2!$D$2:$D$611,$C362),INDEX(Dataset3_Raw!$D$2:$D$391,$E362))</f>
        <v>0</v>
      </c>
      <c r="I362" s="23">
        <f>IF($C362&gt;0,INDEX(Merge_1_2!$E$2:$E$611,$C362),INDEX(Dataset3_Raw!$E$2:$E$391,$E362))</f>
        <v>1</v>
      </c>
      <c r="J362" s="23">
        <f>IF($C362&gt;0,INDEX(Merge_1_2!$F$2:$F$611,$C362),INDEX(Dataset3_Raw!$F$2:$F$391,$E362))</f>
        <v>12</v>
      </c>
      <c r="K362" s="23" t="b">
        <f>IF($C362&gt;0,INDEX(Merge_1_2!$G$2:$G$611,$C362),INDEX(Dataset3_Raw!$G$2:$G$391,$E362))</f>
        <v>0</v>
      </c>
      <c r="L362" s="23">
        <f>IF($C362&gt;0,INDEX(Merge_1_2!$H$2:$H$611,$C362),INDEX(Dataset3_Raw!$H$2:$H$391,$E362))</f>
        <v>0</v>
      </c>
      <c r="M362" s="23">
        <f>IF($C362&gt;0,INDEX(Merge_1_2!$I$2:$I$611,$C362),INDEX(Dataset3_Raw!$I$2:$I$391,$E362))</f>
        <v>1</v>
      </c>
      <c r="N362" s="25">
        <f>IF($C362&gt;0,INDEX(Merge_1_2!$J$2:$J$611,$C362),INDEX(Dataset3_Raw!$J$2:$J$391,$E362))</f>
        <v>0.24</v>
      </c>
      <c r="O362" s="25">
        <f>IF($C362&gt;0,IF(ISNUMBER(INDEX(Merge_1_2!$K$2:$K$611,$C362)),INDEX(Merge_1_2!$K$2:$K$611,$C362),""),INDEX(Dataset3_Raw!$K$2:$K$391,$E362))</f>
        <v>0.21210000000000001</v>
      </c>
      <c r="P362" s="25">
        <f>IF(ISNUMBER($O362),$O362,ROUND(Lookups!$B$25+Lookups!$B$24*$N362,4))</f>
        <v>0.21210000000000001</v>
      </c>
      <c r="Q362" s="25">
        <f>IF($C362&gt;0,INDEX(Merge_1_2!$L$2:$L$611,$C362),INDEX(Dataset3_Raw!$L$2:$L$391,$E362))</f>
        <v>0.41</v>
      </c>
      <c r="R362" s="25">
        <f>IF($C362&gt;0,INDEX(Merge_1_2!$M$2:$M$611,$C362),INDEX(Dataset3_Raw!$M$2:$M$391,$E362))</f>
        <v>0.28360000000000002</v>
      </c>
      <c r="S362" s="23">
        <f>IF($C362&gt;0,INDEX(Merge_1_2!$N$2:$N$611,$C362),INDEX(Dataset3_Raw!$N$2:$N$391,$E362))</f>
        <v>29</v>
      </c>
      <c r="T362" s="23">
        <f>IF($C362&gt;0,INDEX(Merge_1_2!$O$2:$O$611,$C362),INDEX(Dataset3_Raw!$O$2:$O$391,$E362))</f>
        <v>75</v>
      </c>
      <c r="U362" s="23">
        <f>IF($C362&gt;0,INDEX(Merge_1_2!$P$2:$P$611,$C362),INDEX(Dataset3_Raw!$P$2:$P$391,$E362))</f>
        <v>104</v>
      </c>
      <c r="V362" s="23" t="str">
        <f t="shared" si="31"/>
        <v>Weekend</v>
      </c>
      <c r="W362" s="23" t="str">
        <f>VLOOKUP($M362,Lookups!$A$5:$B$8,2,FALSE())</f>
        <v>Clear / Partly cloudy</v>
      </c>
      <c r="X362" s="23" t="str">
        <f>VLOOKUP($G362,Lookups!$D$5:$E$8,2,FALSE())</f>
        <v>Winter</v>
      </c>
      <c r="Y362" s="23" t="str">
        <f>VLOOKUP($L362,Lookups!$G$5:$H$11,2,FALSE())</f>
        <v>Sunday</v>
      </c>
      <c r="Z362" s="23" t="str">
        <f>IF($J362&lt;Lookups!$B$26,"Night",IF($J362&lt;Lookups!$B$27,"Morning",IF($J362&lt;Lookups!$B$28,"Afternoon","Evening")))</f>
        <v>Afternoon</v>
      </c>
      <c r="AA362" s="26">
        <f>ROUND($N362*(Lookups!$B$16-Lookups!$B$15)+Lookups!$B$15,1)</f>
        <v>3.3</v>
      </c>
      <c r="AB362" s="26">
        <f>ROUND($P362*(Lookups!$B$18-Lookups!$B$17)+Lookups!$B$17,1)</f>
        <v>-2</v>
      </c>
      <c r="AC362" s="23">
        <f t="shared" si="32"/>
        <v>41</v>
      </c>
      <c r="AD362" s="23">
        <f>ROUND($R362*Lookups!$B$19,1)</f>
        <v>19</v>
      </c>
      <c r="AE362" s="27">
        <f t="shared" si="33"/>
        <v>0.72115384615384615</v>
      </c>
      <c r="AF362" s="23" t="str">
        <f>IF($U362&gt;=Lookups!$B$23,"High",IF($U362&gt;=Lookups!$B$22,"Medium","Low"))</f>
        <v>High</v>
      </c>
      <c r="AG362" s="23">
        <f>ROUND(IF($V362="Weekday",IF(INDEX(Hourly_Analysis!$D$5:$D$28,$J362+1)&gt;0,($U362-INDEX(Hourly_Analysis!$C$5:$C$28,$J362+1))/INDEX(Hourly_Analysis!$D$5:$D$28,$J362+1),0),IF(INDEX(Hourly_Analysis!$G$5:$G$28,$J362+1)&gt;0,($U362-INDEX(Hourly_Analysis!$F$5:$F$28,$J362+1))/INDEX(Hourly_Analysis!$G$5:$G$28,$J362+1),0)),2)</f>
        <v>0.15</v>
      </c>
      <c r="AH362" s="23" t="str">
        <f>IF(ABS($AG362)&gt;Lookups!$B$20,IF($AG362&gt;0,"High anomaly","Low anomaly"),"")</f>
        <v/>
      </c>
      <c r="AI362" s="23" t="str">
        <f t="shared" si="34"/>
        <v>OK</v>
      </c>
      <c r="AJ362" s="23" t="str">
        <f t="shared" si="35"/>
        <v>No</v>
      </c>
    </row>
    <row r="363" spans="1:36" x14ac:dyDescent="0.35">
      <c r="A363" s="23">
        <v>362</v>
      </c>
      <c r="B363" s="23" t="str">
        <f t="shared" si="30"/>
        <v>Merge 1+2</v>
      </c>
      <c r="C363" s="23">
        <f>IFERROR(MATCH($A363,Merge_1_2!$A$2:$A$611,0),0)</f>
        <v>362</v>
      </c>
      <c r="D363" s="23">
        <f>IF($C363&gt;0,INDEX(Merge_1_2!$Q$2:$Q$611,$C363),0)</f>
        <v>362</v>
      </c>
      <c r="E363" s="23">
        <f>IFERROR(MATCH($A363,Dataset3_Raw!$A$2:$A$391,0),0)</f>
        <v>0</v>
      </c>
      <c r="F363" s="24">
        <f>IF($C363&gt;0,INDEX(Merge_1_2!$B$2:$B$611,$C363),DATE(VALUE(RIGHT(INDEX(Dataset3_Raw!$B$2:$B$391,$E363),4)),VALUE(MID(INDEX(Dataset3_Raw!$B$2:$B$391,$E363),4,2)),VALUE(LEFT(INDEX(Dataset3_Raw!$B$2:$B$391,$E363),2))))</f>
        <v>40559</v>
      </c>
      <c r="G363" s="23">
        <f>IF($C363&gt;0,INDEX(Merge_1_2!$C$2:$C$611,$C363),INDEX(Dataset3_Raw!$C$2:$C$391,$E363))</f>
        <v>1</v>
      </c>
      <c r="H363" s="23">
        <f>IF($C363&gt;0,INDEX(Merge_1_2!$D$2:$D$611,$C363),INDEX(Dataset3_Raw!$D$2:$D$391,$E363))</f>
        <v>0</v>
      </c>
      <c r="I363" s="23">
        <f>IF($C363&gt;0,INDEX(Merge_1_2!$E$2:$E$611,$C363),INDEX(Dataset3_Raw!$E$2:$E$391,$E363))</f>
        <v>1</v>
      </c>
      <c r="J363" s="23">
        <f>IF($C363&gt;0,INDEX(Merge_1_2!$F$2:$F$611,$C363),INDEX(Dataset3_Raw!$F$2:$F$391,$E363))</f>
        <v>13</v>
      </c>
      <c r="K363" s="23" t="b">
        <f>IF($C363&gt;0,INDEX(Merge_1_2!$G$2:$G$611,$C363),INDEX(Dataset3_Raw!$G$2:$G$391,$E363))</f>
        <v>0</v>
      </c>
      <c r="L363" s="23">
        <f>IF($C363&gt;0,INDEX(Merge_1_2!$H$2:$H$611,$C363),INDEX(Dataset3_Raw!$H$2:$H$391,$E363))</f>
        <v>0</v>
      </c>
      <c r="M363" s="23">
        <f>IF($C363&gt;0,INDEX(Merge_1_2!$I$2:$I$611,$C363),INDEX(Dataset3_Raw!$I$2:$I$391,$E363))</f>
        <v>1</v>
      </c>
      <c r="N363" s="25">
        <f>IF($C363&gt;0,INDEX(Merge_1_2!$J$2:$J$611,$C363),INDEX(Dataset3_Raw!$J$2:$J$391,$E363))</f>
        <v>0.26</v>
      </c>
      <c r="O363" s="25">
        <f>IF($C363&gt;0,IF(ISNUMBER(INDEX(Merge_1_2!$K$2:$K$611,$C363)),INDEX(Merge_1_2!$K$2:$K$611,$C363),""),INDEX(Dataset3_Raw!$K$2:$K$391,$E363))</f>
        <v>0.2273</v>
      </c>
      <c r="P363" s="25">
        <f>IF(ISNUMBER($O363),$O363,ROUND(Lookups!$B$25+Lookups!$B$24*$N363,4))</f>
        <v>0.2273</v>
      </c>
      <c r="Q363" s="25">
        <f>IF($C363&gt;0,INDEX(Merge_1_2!$L$2:$L$611,$C363),INDEX(Dataset3_Raw!$L$2:$L$391,$E363))</f>
        <v>0.35</v>
      </c>
      <c r="R363" s="25">
        <f>IF($C363&gt;0,INDEX(Merge_1_2!$M$2:$M$611,$C363),INDEX(Dataset3_Raw!$M$2:$M$391,$E363))</f>
        <v>0.29849999999999999</v>
      </c>
      <c r="S363" s="23">
        <f>IF($C363&gt;0,INDEX(Merge_1_2!$N$2:$N$611,$C363),INDEX(Dataset3_Raw!$N$2:$N$391,$E363))</f>
        <v>23</v>
      </c>
      <c r="T363" s="23">
        <f>IF($C363&gt;0,INDEX(Merge_1_2!$O$2:$O$611,$C363),INDEX(Dataset3_Raw!$O$2:$O$391,$E363))</f>
        <v>95</v>
      </c>
      <c r="U363" s="23">
        <f>IF($C363&gt;0,INDEX(Merge_1_2!$P$2:$P$611,$C363),INDEX(Dataset3_Raw!$P$2:$P$391,$E363))</f>
        <v>118</v>
      </c>
      <c r="V363" s="23" t="str">
        <f t="shared" si="31"/>
        <v>Weekend</v>
      </c>
      <c r="W363" s="23" t="str">
        <f>VLOOKUP($M363,Lookups!$A$5:$B$8,2,FALSE())</f>
        <v>Clear / Partly cloudy</v>
      </c>
      <c r="X363" s="23" t="str">
        <f>VLOOKUP($G363,Lookups!$D$5:$E$8,2,FALSE())</f>
        <v>Winter</v>
      </c>
      <c r="Y363" s="23" t="str">
        <f>VLOOKUP($L363,Lookups!$G$5:$H$11,2,FALSE())</f>
        <v>Sunday</v>
      </c>
      <c r="Z363" s="23" t="str">
        <f>IF($J363&lt;Lookups!$B$26,"Night",IF($J363&lt;Lookups!$B$27,"Morning",IF($J363&lt;Lookups!$B$28,"Afternoon","Evening")))</f>
        <v>Afternoon</v>
      </c>
      <c r="AA363" s="26">
        <f>ROUND($N363*(Lookups!$B$16-Lookups!$B$15)+Lookups!$B$15,1)</f>
        <v>4.2</v>
      </c>
      <c r="AB363" s="26">
        <f>ROUND($P363*(Lookups!$B$18-Lookups!$B$17)+Lookups!$B$17,1)</f>
        <v>-1</v>
      </c>
      <c r="AC363" s="23">
        <f t="shared" si="32"/>
        <v>35</v>
      </c>
      <c r="AD363" s="23">
        <f>ROUND($R363*Lookups!$B$19,1)</f>
        <v>20</v>
      </c>
      <c r="AE363" s="27">
        <f t="shared" si="33"/>
        <v>0.80508474576271183</v>
      </c>
      <c r="AF363" s="23" t="str">
        <f>IF($U363&gt;=Lookups!$B$23,"High",IF($U363&gt;=Lookups!$B$22,"Medium","Low"))</f>
        <v>High</v>
      </c>
      <c r="AG363" s="23">
        <f>ROUND(IF($V363="Weekday",IF(INDEX(Hourly_Analysis!$D$5:$D$28,$J363+1)&gt;0,($U363-INDEX(Hourly_Analysis!$C$5:$C$28,$J363+1))/INDEX(Hourly_Analysis!$D$5:$D$28,$J363+1),0),IF(INDEX(Hourly_Analysis!$G$5:$G$28,$J363+1)&gt;0,($U363-INDEX(Hourly_Analysis!$F$5:$F$28,$J363+1))/INDEX(Hourly_Analysis!$G$5:$G$28,$J363+1),0)),2)</f>
        <v>0.5</v>
      </c>
      <c r="AH363" s="23" t="str">
        <f>IF(ABS($AG363)&gt;Lookups!$B$20,IF($AG363&gt;0,"High anomaly","Low anomaly"),"")</f>
        <v/>
      </c>
      <c r="AI363" s="23" t="str">
        <f t="shared" si="34"/>
        <v>OK</v>
      </c>
      <c r="AJ363" s="23" t="str">
        <f t="shared" si="35"/>
        <v>No</v>
      </c>
    </row>
    <row r="364" spans="1:36" x14ac:dyDescent="0.35">
      <c r="A364" s="23">
        <v>363</v>
      </c>
      <c r="B364" s="23" t="str">
        <f t="shared" si="30"/>
        <v>Merge 1+2</v>
      </c>
      <c r="C364" s="23">
        <f>IFERROR(MATCH($A364,Merge_1_2!$A$2:$A$611,0),0)</f>
        <v>363</v>
      </c>
      <c r="D364" s="23">
        <f>IF($C364&gt;0,INDEX(Merge_1_2!$Q$2:$Q$611,$C364),0)</f>
        <v>363</v>
      </c>
      <c r="E364" s="23">
        <f>IFERROR(MATCH($A364,Dataset3_Raw!$A$2:$A$391,0),0)</f>
        <v>0</v>
      </c>
      <c r="F364" s="24">
        <f>IF($C364&gt;0,INDEX(Merge_1_2!$B$2:$B$611,$C364),DATE(VALUE(RIGHT(INDEX(Dataset3_Raw!$B$2:$B$391,$E364),4)),VALUE(MID(INDEX(Dataset3_Raw!$B$2:$B$391,$E364),4,2)),VALUE(LEFT(INDEX(Dataset3_Raw!$B$2:$B$391,$E364),2))))</f>
        <v>40559</v>
      </c>
      <c r="G364" s="23">
        <f>IF($C364&gt;0,INDEX(Merge_1_2!$C$2:$C$611,$C364),INDEX(Dataset3_Raw!$C$2:$C$391,$E364))</f>
        <v>1</v>
      </c>
      <c r="H364" s="23">
        <f>IF($C364&gt;0,INDEX(Merge_1_2!$D$2:$D$611,$C364),INDEX(Dataset3_Raw!$D$2:$D$391,$E364))</f>
        <v>0</v>
      </c>
      <c r="I364" s="23">
        <f>IF($C364&gt;0,INDEX(Merge_1_2!$E$2:$E$611,$C364),INDEX(Dataset3_Raw!$E$2:$E$391,$E364))</f>
        <v>1</v>
      </c>
      <c r="J364" s="23">
        <f>IF($C364&gt;0,INDEX(Merge_1_2!$F$2:$F$611,$C364),INDEX(Dataset3_Raw!$F$2:$F$391,$E364))</f>
        <v>14</v>
      </c>
      <c r="K364" s="23" t="b">
        <f>IF($C364&gt;0,INDEX(Merge_1_2!$G$2:$G$611,$C364),INDEX(Dataset3_Raw!$G$2:$G$391,$E364))</f>
        <v>0</v>
      </c>
      <c r="L364" s="23">
        <f>IF($C364&gt;0,INDEX(Merge_1_2!$H$2:$H$611,$C364),INDEX(Dataset3_Raw!$H$2:$H$391,$E364))</f>
        <v>0</v>
      </c>
      <c r="M364" s="23">
        <f>IF($C364&gt;0,INDEX(Merge_1_2!$I$2:$I$611,$C364),INDEX(Dataset3_Raw!$I$2:$I$391,$E364))</f>
        <v>1</v>
      </c>
      <c r="N364" s="25">
        <f>IF($C364&gt;0,INDEX(Merge_1_2!$J$2:$J$611,$C364),INDEX(Dataset3_Raw!$J$2:$J$391,$E364))</f>
        <v>0.28000000000000003</v>
      </c>
      <c r="O364" s="25">
        <f>IF($C364&gt;0,IF(ISNUMBER(INDEX(Merge_1_2!$K$2:$K$611,$C364)),INDEX(Merge_1_2!$K$2:$K$611,$C364),""),INDEX(Dataset3_Raw!$K$2:$K$391,$E364))</f>
        <v>0.2727</v>
      </c>
      <c r="P364" s="25">
        <f>IF(ISNUMBER($O364),$O364,ROUND(Lookups!$B$25+Lookups!$B$24*$N364,4))</f>
        <v>0.2727</v>
      </c>
      <c r="Q364" s="25">
        <f>IF($C364&gt;0,INDEX(Merge_1_2!$L$2:$L$611,$C364),INDEX(Dataset3_Raw!$L$2:$L$391,$E364))</f>
        <v>0.36</v>
      </c>
      <c r="R364" s="25">
        <f>IF($C364&gt;0,INDEX(Merge_1_2!$M$2:$M$611,$C364),INDEX(Dataset3_Raw!$M$2:$M$391,$E364))</f>
        <v>0.25369999999999998</v>
      </c>
      <c r="S364" s="23">
        <f>IF($C364&gt;0,INDEX(Merge_1_2!$N$2:$N$611,$C364),INDEX(Dataset3_Raw!$N$2:$N$391,$E364))</f>
        <v>22</v>
      </c>
      <c r="T364" s="23">
        <f>IF($C364&gt;0,INDEX(Merge_1_2!$O$2:$O$611,$C364),INDEX(Dataset3_Raw!$O$2:$O$391,$E364))</f>
        <v>69</v>
      </c>
      <c r="U364" s="23">
        <f>IF($C364&gt;0,INDEX(Merge_1_2!$P$2:$P$611,$C364),INDEX(Dataset3_Raw!$P$2:$P$391,$E364))</f>
        <v>91</v>
      </c>
      <c r="V364" s="23" t="str">
        <f t="shared" si="31"/>
        <v>Weekend</v>
      </c>
      <c r="W364" s="23" t="str">
        <f>VLOOKUP($M364,Lookups!$A$5:$B$8,2,FALSE())</f>
        <v>Clear / Partly cloudy</v>
      </c>
      <c r="X364" s="23" t="str">
        <f>VLOOKUP($G364,Lookups!$D$5:$E$8,2,FALSE())</f>
        <v>Winter</v>
      </c>
      <c r="Y364" s="23" t="str">
        <f>VLOOKUP($L364,Lookups!$G$5:$H$11,2,FALSE())</f>
        <v>Sunday</v>
      </c>
      <c r="Z364" s="23" t="str">
        <f>IF($J364&lt;Lookups!$B$26,"Night",IF($J364&lt;Lookups!$B$27,"Morning",IF($J364&lt;Lookups!$B$28,"Afternoon","Evening")))</f>
        <v>Afternoon</v>
      </c>
      <c r="AA364" s="26">
        <f>ROUND($N364*(Lookups!$B$16-Lookups!$B$15)+Lookups!$B$15,1)</f>
        <v>5.2</v>
      </c>
      <c r="AB364" s="26">
        <f>ROUND($P364*(Lookups!$B$18-Lookups!$B$17)+Lookups!$B$17,1)</f>
        <v>2</v>
      </c>
      <c r="AC364" s="23">
        <f t="shared" si="32"/>
        <v>36</v>
      </c>
      <c r="AD364" s="23">
        <f>ROUND($R364*Lookups!$B$19,1)</f>
        <v>17</v>
      </c>
      <c r="AE364" s="27">
        <f t="shared" si="33"/>
        <v>0.75824175824175821</v>
      </c>
      <c r="AF364" s="23" t="str">
        <f>IF($U364&gt;=Lookups!$B$23,"High",IF($U364&gt;=Lookups!$B$22,"Medium","Low"))</f>
        <v>High</v>
      </c>
      <c r="AG364" s="23">
        <f>ROUND(IF($V364="Weekday",IF(INDEX(Hourly_Analysis!$D$5:$D$28,$J364+1)&gt;0,($U364-INDEX(Hourly_Analysis!$C$5:$C$28,$J364+1))/INDEX(Hourly_Analysis!$D$5:$D$28,$J364+1),0),IF(INDEX(Hourly_Analysis!$G$5:$G$28,$J364+1)&gt;0,($U364-INDEX(Hourly_Analysis!$F$5:$F$28,$J364+1))/INDEX(Hourly_Analysis!$G$5:$G$28,$J364+1),0)),2)</f>
        <v>-0.35</v>
      </c>
      <c r="AH364" s="23" t="str">
        <f>IF(ABS($AG364)&gt;Lookups!$B$20,IF($AG364&gt;0,"High anomaly","Low anomaly"),"")</f>
        <v/>
      </c>
      <c r="AI364" s="23" t="str">
        <f t="shared" si="34"/>
        <v>OK</v>
      </c>
      <c r="AJ364" s="23" t="str">
        <f t="shared" si="35"/>
        <v>No</v>
      </c>
    </row>
    <row r="365" spans="1:36" x14ac:dyDescent="0.35">
      <c r="A365" s="23">
        <v>364</v>
      </c>
      <c r="B365" s="23" t="str">
        <f t="shared" si="30"/>
        <v>Merge 1+2</v>
      </c>
      <c r="C365" s="23">
        <f>IFERROR(MATCH($A365,Merge_1_2!$A$2:$A$611,0),0)</f>
        <v>364</v>
      </c>
      <c r="D365" s="23">
        <f>IF($C365&gt;0,INDEX(Merge_1_2!$Q$2:$Q$611,$C365),0)</f>
        <v>364</v>
      </c>
      <c r="E365" s="23">
        <f>IFERROR(MATCH($A365,Dataset3_Raw!$A$2:$A$391,0),0)</f>
        <v>0</v>
      </c>
      <c r="F365" s="24">
        <f>IF($C365&gt;0,INDEX(Merge_1_2!$B$2:$B$611,$C365),DATE(VALUE(RIGHT(INDEX(Dataset3_Raw!$B$2:$B$391,$E365),4)),VALUE(MID(INDEX(Dataset3_Raw!$B$2:$B$391,$E365),4,2)),VALUE(LEFT(INDEX(Dataset3_Raw!$B$2:$B$391,$E365),2))))</f>
        <v>40559</v>
      </c>
      <c r="G365" s="23">
        <f>IF($C365&gt;0,INDEX(Merge_1_2!$C$2:$C$611,$C365),INDEX(Dataset3_Raw!$C$2:$C$391,$E365))</f>
        <v>1</v>
      </c>
      <c r="H365" s="23">
        <f>IF($C365&gt;0,INDEX(Merge_1_2!$D$2:$D$611,$C365),INDEX(Dataset3_Raw!$D$2:$D$391,$E365))</f>
        <v>0</v>
      </c>
      <c r="I365" s="23">
        <f>IF($C365&gt;0,INDEX(Merge_1_2!$E$2:$E$611,$C365),INDEX(Dataset3_Raw!$E$2:$E$391,$E365))</f>
        <v>1</v>
      </c>
      <c r="J365" s="23">
        <f>IF($C365&gt;0,INDEX(Merge_1_2!$F$2:$F$611,$C365),INDEX(Dataset3_Raw!$F$2:$F$391,$E365))</f>
        <v>15</v>
      </c>
      <c r="K365" s="23" t="b">
        <f>IF($C365&gt;0,INDEX(Merge_1_2!$G$2:$G$611,$C365),INDEX(Dataset3_Raw!$G$2:$G$391,$E365))</f>
        <v>0</v>
      </c>
      <c r="L365" s="23">
        <f>IF($C365&gt;0,INDEX(Merge_1_2!$H$2:$H$611,$C365),INDEX(Dataset3_Raw!$H$2:$H$391,$E365))</f>
        <v>0</v>
      </c>
      <c r="M365" s="23">
        <f>IF($C365&gt;0,INDEX(Merge_1_2!$I$2:$I$611,$C365),INDEX(Dataset3_Raw!$I$2:$I$391,$E365))</f>
        <v>1</v>
      </c>
      <c r="N365" s="25">
        <f>IF($C365&gt;0,INDEX(Merge_1_2!$J$2:$J$611,$C365),INDEX(Dataset3_Raw!$J$2:$J$391,$E365))</f>
        <v>0.26</v>
      </c>
      <c r="O365" s="25">
        <f>IF($C365&gt;0,IF(ISNUMBER(INDEX(Merge_1_2!$K$2:$K$611,$C365)),INDEX(Merge_1_2!$K$2:$K$611,$C365),""),INDEX(Dataset3_Raw!$K$2:$K$391,$E365))</f>
        <v>0.2424</v>
      </c>
      <c r="P365" s="25">
        <f>IF(ISNUMBER($O365),$O365,ROUND(Lookups!$B$25+Lookups!$B$24*$N365,4))</f>
        <v>0.2424</v>
      </c>
      <c r="Q365" s="25">
        <f>IF($C365&gt;0,INDEX(Merge_1_2!$L$2:$L$611,$C365),INDEX(Dataset3_Raw!$L$2:$L$391,$E365))</f>
        <v>0.38</v>
      </c>
      <c r="R365" s="25">
        <f>IF($C365&gt;0,INDEX(Merge_1_2!$M$2:$M$611,$C365),INDEX(Dataset3_Raw!$M$2:$M$391,$E365))</f>
        <v>0.25369999999999998</v>
      </c>
      <c r="S365" s="23">
        <f>IF($C365&gt;0,INDEX(Merge_1_2!$N$2:$N$611,$C365),INDEX(Dataset3_Raw!$N$2:$N$391,$E365))</f>
        <v>35</v>
      </c>
      <c r="T365" s="23">
        <f>IF($C365&gt;0,INDEX(Merge_1_2!$O$2:$O$611,$C365),INDEX(Dataset3_Raw!$O$2:$O$391,$E365))</f>
        <v>78</v>
      </c>
      <c r="U365" s="23">
        <f>IF($C365&gt;0,INDEX(Merge_1_2!$P$2:$P$611,$C365),INDEX(Dataset3_Raw!$P$2:$P$391,$E365))</f>
        <v>113</v>
      </c>
      <c r="V365" s="23" t="str">
        <f t="shared" si="31"/>
        <v>Weekend</v>
      </c>
      <c r="W365" s="23" t="str">
        <f>VLOOKUP($M365,Lookups!$A$5:$B$8,2,FALSE())</f>
        <v>Clear / Partly cloudy</v>
      </c>
      <c r="X365" s="23" t="str">
        <f>VLOOKUP($G365,Lookups!$D$5:$E$8,2,FALSE())</f>
        <v>Winter</v>
      </c>
      <c r="Y365" s="23" t="str">
        <f>VLOOKUP($L365,Lookups!$G$5:$H$11,2,FALSE())</f>
        <v>Sunday</v>
      </c>
      <c r="Z365" s="23" t="str">
        <f>IF($J365&lt;Lookups!$B$26,"Night",IF($J365&lt;Lookups!$B$27,"Morning",IF($J365&lt;Lookups!$B$28,"Afternoon","Evening")))</f>
        <v>Afternoon</v>
      </c>
      <c r="AA365" s="26">
        <f>ROUND($N365*(Lookups!$B$16-Lookups!$B$15)+Lookups!$B$15,1)</f>
        <v>4.2</v>
      </c>
      <c r="AB365" s="26">
        <f>ROUND($P365*(Lookups!$B$18-Lookups!$B$17)+Lookups!$B$17,1)</f>
        <v>0</v>
      </c>
      <c r="AC365" s="23">
        <f t="shared" si="32"/>
        <v>38</v>
      </c>
      <c r="AD365" s="23">
        <f>ROUND($R365*Lookups!$B$19,1)</f>
        <v>17</v>
      </c>
      <c r="AE365" s="27">
        <f t="shared" si="33"/>
        <v>0.69026548672566368</v>
      </c>
      <c r="AF365" s="23" t="str">
        <f>IF($U365&gt;=Lookups!$B$23,"High",IF($U365&gt;=Lookups!$B$22,"Medium","Low"))</f>
        <v>High</v>
      </c>
      <c r="AG365" s="23">
        <f>ROUND(IF($V365="Weekday",IF(INDEX(Hourly_Analysis!$D$5:$D$28,$J365+1)&gt;0,($U365-INDEX(Hourly_Analysis!$C$5:$C$28,$J365+1))/INDEX(Hourly_Analysis!$D$5:$D$28,$J365+1),0),IF(INDEX(Hourly_Analysis!$G$5:$G$28,$J365+1)&gt;0,($U365-INDEX(Hourly_Analysis!$F$5:$F$28,$J365+1))/INDEX(Hourly_Analysis!$G$5:$G$28,$J365+1),0)),2)</f>
        <v>0.06</v>
      </c>
      <c r="AH365" s="23" t="str">
        <f>IF(ABS($AG365)&gt;Lookups!$B$20,IF($AG365&gt;0,"High anomaly","Low anomaly"),"")</f>
        <v/>
      </c>
      <c r="AI365" s="23" t="str">
        <f t="shared" si="34"/>
        <v>OK</v>
      </c>
      <c r="AJ365" s="23" t="str">
        <f t="shared" si="35"/>
        <v>No</v>
      </c>
    </row>
    <row r="366" spans="1:36" x14ac:dyDescent="0.35">
      <c r="A366" s="23">
        <v>365</v>
      </c>
      <c r="B366" s="23" t="str">
        <f t="shared" si="30"/>
        <v>Merge 1+2</v>
      </c>
      <c r="C366" s="23">
        <f>IFERROR(MATCH($A366,Merge_1_2!$A$2:$A$611,0),0)</f>
        <v>365</v>
      </c>
      <c r="D366" s="23">
        <f>IF($C366&gt;0,INDEX(Merge_1_2!$Q$2:$Q$611,$C366),0)</f>
        <v>365</v>
      </c>
      <c r="E366" s="23">
        <f>IFERROR(MATCH($A366,Dataset3_Raw!$A$2:$A$391,0),0)</f>
        <v>0</v>
      </c>
      <c r="F366" s="24">
        <f>IF($C366&gt;0,INDEX(Merge_1_2!$B$2:$B$611,$C366),DATE(VALUE(RIGHT(INDEX(Dataset3_Raw!$B$2:$B$391,$E366),4)),VALUE(MID(INDEX(Dataset3_Raw!$B$2:$B$391,$E366),4,2)),VALUE(LEFT(INDEX(Dataset3_Raw!$B$2:$B$391,$E366),2))))</f>
        <v>40559</v>
      </c>
      <c r="G366" s="23">
        <f>IF($C366&gt;0,INDEX(Merge_1_2!$C$2:$C$611,$C366),INDEX(Dataset3_Raw!$C$2:$C$391,$E366))</f>
        <v>1</v>
      </c>
      <c r="H366" s="23">
        <f>IF($C366&gt;0,INDEX(Merge_1_2!$D$2:$D$611,$C366),INDEX(Dataset3_Raw!$D$2:$D$391,$E366))</f>
        <v>0</v>
      </c>
      <c r="I366" s="23">
        <f>IF($C366&gt;0,INDEX(Merge_1_2!$E$2:$E$611,$C366),INDEX(Dataset3_Raw!$E$2:$E$391,$E366))</f>
        <v>1</v>
      </c>
      <c r="J366" s="23">
        <f>IF($C366&gt;0,INDEX(Merge_1_2!$F$2:$F$611,$C366),INDEX(Dataset3_Raw!$F$2:$F$391,$E366))</f>
        <v>16</v>
      </c>
      <c r="K366" s="23" t="b">
        <f>IF($C366&gt;0,INDEX(Merge_1_2!$G$2:$G$611,$C366),INDEX(Dataset3_Raw!$G$2:$G$391,$E366))</f>
        <v>0</v>
      </c>
      <c r="L366" s="23">
        <f>IF($C366&gt;0,INDEX(Merge_1_2!$H$2:$H$611,$C366),INDEX(Dataset3_Raw!$H$2:$H$391,$E366))</f>
        <v>0</v>
      </c>
      <c r="M366" s="23">
        <f>IF($C366&gt;0,INDEX(Merge_1_2!$I$2:$I$611,$C366),INDEX(Dataset3_Raw!$I$2:$I$391,$E366))</f>
        <v>1</v>
      </c>
      <c r="N366" s="25">
        <f>IF($C366&gt;0,INDEX(Merge_1_2!$J$2:$J$611,$C366),INDEX(Dataset3_Raw!$J$2:$J$391,$E366))</f>
        <v>0.24</v>
      </c>
      <c r="O366" s="25">
        <f>IF($C366&gt;0,IF(ISNUMBER(INDEX(Merge_1_2!$K$2:$K$611,$C366)),INDEX(Merge_1_2!$K$2:$K$611,$C366),""),INDEX(Dataset3_Raw!$K$2:$K$391,$E366))</f>
        <v>0.2273</v>
      </c>
      <c r="P366" s="25">
        <f>IF(ISNUMBER($O366),$O366,ROUND(Lookups!$B$25+Lookups!$B$24*$N366,4))</f>
        <v>0.2273</v>
      </c>
      <c r="Q366" s="25">
        <f>IF($C366&gt;0,INDEX(Merge_1_2!$L$2:$L$611,$C366),INDEX(Dataset3_Raw!$L$2:$L$391,$E366))</f>
        <v>0.38</v>
      </c>
      <c r="R366" s="25">
        <f>IF($C366&gt;0,INDEX(Merge_1_2!$M$2:$M$611,$C366),INDEX(Dataset3_Raw!$M$2:$M$391,$E366))</f>
        <v>0.22389999999999999</v>
      </c>
      <c r="S366" s="23">
        <f>IF($C366&gt;0,INDEX(Merge_1_2!$N$2:$N$611,$C366),INDEX(Dataset3_Raw!$N$2:$N$391,$E366))</f>
        <v>22</v>
      </c>
      <c r="T366" s="23">
        <f>IF($C366&gt;0,INDEX(Merge_1_2!$O$2:$O$611,$C366),INDEX(Dataset3_Raw!$O$2:$O$391,$E366))</f>
        <v>77</v>
      </c>
      <c r="U366" s="23">
        <f>IF($C366&gt;0,INDEX(Merge_1_2!$P$2:$P$611,$C366),INDEX(Dataset3_Raw!$P$2:$P$391,$E366))</f>
        <v>99</v>
      </c>
      <c r="V366" s="23" t="str">
        <f t="shared" si="31"/>
        <v>Weekend</v>
      </c>
      <c r="W366" s="23" t="str">
        <f>VLOOKUP($M366,Lookups!$A$5:$B$8,2,FALSE())</f>
        <v>Clear / Partly cloudy</v>
      </c>
      <c r="X366" s="23" t="str">
        <f>VLOOKUP($G366,Lookups!$D$5:$E$8,2,FALSE())</f>
        <v>Winter</v>
      </c>
      <c r="Y366" s="23" t="str">
        <f>VLOOKUP($L366,Lookups!$G$5:$H$11,2,FALSE())</f>
        <v>Sunday</v>
      </c>
      <c r="Z366" s="23" t="str">
        <f>IF($J366&lt;Lookups!$B$26,"Night",IF($J366&lt;Lookups!$B$27,"Morning",IF($J366&lt;Lookups!$B$28,"Afternoon","Evening")))</f>
        <v>Afternoon</v>
      </c>
      <c r="AA366" s="26">
        <f>ROUND($N366*(Lookups!$B$16-Lookups!$B$15)+Lookups!$B$15,1)</f>
        <v>3.3</v>
      </c>
      <c r="AB366" s="26">
        <f>ROUND($P366*(Lookups!$B$18-Lookups!$B$17)+Lookups!$B$17,1)</f>
        <v>-1</v>
      </c>
      <c r="AC366" s="23">
        <f t="shared" si="32"/>
        <v>38</v>
      </c>
      <c r="AD366" s="23">
        <f>ROUND($R366*Lookups!$B$19,1)</f>
        <v>15</v>
      </c>
      <c r="AE366" s="27">
        <f t="shared" si="33"/>
        <v>0.77777777777777779</v>
      </c>
      <c r="AF366" s="23" t="str">
        <f>IF($U366&gt;=Lookups!$B$23,"High",IF($U366&gt;=Lookups!$B$22,"Medium","Low"))</f>
        <v>High</v>
      </c>
      <c r="AG366" s="23">
        <f>ROUND(IF($V366="Weekday",IF(INDEX(Hourly_Analysis!$D$5:$D$28,$J366+1)&gt;0,($U366-INDEX(Hourly_Analysis!$C$5:$C$28,$J366+1))/INDEX(Hourly_Analysis!$D$5:$D$28,$J366+1),0),IF(INDEX(Hourly_Analysis!$G$5:$G$28,$J366+1)&gt;0,($U366-INDEX(Hourly_Analysis!$F$5:$F$28,$J366+1))/INDEX(Hourly_Analysis!$G$5:$G$28,$J366+1),0)),2)</f>
        <v>-0.11</v>
      </c>
      <c r="AH366" s="23" t="str">
        <f>IF(ABS($AG366)&gt;Lookups!$B$20,IF($AG366&gt;0,"High anomaly","Low anomaly"),"")</f>
        <v/>
      </c>
      <c r="AI366" s="23" t="str">
        <f t="shared" si="34"/>
        <v>OK</v>
      </c>
      <c r="AJ366" s="23" t="str">
        <f t="shared" si="35"/>
        <v>No</v>
      </c>
    </row>
    <row r="367" spans="1:36" x14ac:dyDescent="0.35">
      <c r="A367" s="23">
        <v>366</v>
      </c>
      <c r="B367" s="23" t="str">
        <f t="shared" si="30"/>
        <v>Merge 1+2</v>
      </c>
      <c r="C367" s="23">
        <f>IFERROR(MATCH($A367,Merge_1_2!$A$2:$A$611,0),0)</f>
        <v>366</v>
      </c>
      <c r="D367" s="23">
        <f>IF($C367&gt;0,INDEX(Merge_1_2!$Q$2:$Q$611,$C367),0)</f>
        <v>366</v>
      </c>
      <c r="E367" s="23">
        <f>IFERROR(MATCH($A367,Dataset3_Raw!$A$2:$A$391,0),0)</f>
        <v>0</v>
      </c>
      <c r="F367" s="24">
        <f>IF($C367&gt;0,INDEX(Merge_1_2!$B$2:$B$611,$C367),DATE(VALUE(RIGHT(INDEX(Dataset3_Raw!$B$2:$B$391,$E367),4)),VALUE(MID(INDEX(Dataset3_Raw!$B$2:$B$391,$E367),4,2)),VALUE(LEFT(INDEX(Dataset3_Raw!$B$2:$B$391,$E367),2))))</f>
        <v>40559</v>
      </c>
      <c r="G367" s="23">
        <f>IF($C367&gt;0,INDEX(Merge_1_2!$C$2:$C$611,$C367),INDEX(Dataset3_Raw!$C$2:$C$391,$E367))</f>
        <v>1</v>
      </c>
      <c r="H367" s="23">
        <f>IF($C367&gt;0,INDEX(Merge_1_2!$D$2:$D$611,$C367),INDEX(Dataset3_Raw!$D$2:$D$391,$E367))</f>
        <v>0</v>
      </c>
      <c r="I367" s="23">
        <f>IF($C367&gt;0,INDEX(Merge_1_2!$E$2:$E$611,$C367),INDEX(Dataset3_Raw!$E$2:$E$391,$E367))</f>
        <v>1</v>
      </c>
      <c r="J367" s="23">
        <f>IF($C367&gt;0,INDEX(Merge_1_2!$F$2:$F$611,$C367),INDEX(Dataset3_Raw!$F$2:$F$391,$E367))</f>
        <v>17</v>
      </c>
      <c r="K367" s="23" t="b">
        <f>IF($C367&gt;0,INDEX(Merge_1_2!$G$2:$G$611,$C367),INDEX(Dataset3_Raw!$G$2:$G$391,$E367))</f>
        <v>0</v>
      </c>
      <c r="L367" s="23">
        <f>IF($C367&gt;0,INDEX(Merge_1_2!$H$2:$H$611,$C367),INDEX(Dataset3_Raw!$H$2:$H$391,$E367))</f>
        <v>0</v>
      </c>
      <c r="M367" s="23">
        <f>IF($C367&gt;0,INDEX(Merge_1_2!$I$2:$I$611,$C367),INDEX(Dataset3_Raw!$I$2:$I$391,$E367))</f>
        <v>1</v>
      </c>
      <c r="N367" s="25">
        <f>IF($C367&gt;0,INDEX(Merge_1_2!$J$2:$J$611,$C367),INDEX(Dataset3_Raw!$J$2:$J$391,$E367))</f>
        <v>0.22</v>
      </c>
      <c r="O367" s="25">
        <f>IF($C367&gt;0,IF(ISNUMBER(INDEX(Merge_1_2!$K$2:$K$611,$C367)),INDEX(Merge_1_2!$K$2:$K$611,$C367),""),INDEX(Dataset3_Raw!$K$2:$K$391,$E367))</f>
        <v>0.21210000000000001</v>
      </c>
      <c r="P367" s="25">
        <f>IF(ISNUMBER($O367),$O367,ROUND(Lookups!$B$25+Lookups!$B$24*$N367,4))</f>
        <v>0.21210000000000001</v>
      </c>
      <c r="Q367" s="25">
        <f>IF($C367&gt;0,INDEX(Merge_1_2!$L$2:$L$611,$C367),INDEX(Dataset3_Raw!$L$2:$L$391,$E367))</f>
        <v>0.37</v>
      </c>
      <c r="R367" s="25">
        <f>IF($C367&gt;0,INDEX(Merge_1_2!$M$2:$M$611,$C367),INDEX(Dataset3_Raw!$M$2:$M$391,$E367))</f>
        <v>0.25369999999999998</v>
      </c>
      <c r="S367" s="23">
        <f>IF($C367&gt;0,INDEX(Merge_1_2!$N$2:$N$611,$C367),INDEX(Dataset3_Raw!$N$2:$N$391,$E367))</f>
        <v>23</v>
      </c>
      <c r="T367" s="23">
        <f>IF($C367&gt;0,INDEX(Merge_1_2!$O$2:$O$611,$C367),INDEX(Dataset3_Raw!$O$2:$O$391,$E367))</f>
        <v>82</v>
      </c>
      <c r="U367" s="23">
        <f>IF($C367&gt;0,INDEX(Merge_1_2!$P$2:$P$611,$C367),INDEX(Dataset3_Raw!$P$2:$P$391,$E367))</f>
        <v>105</v>
      </c>
      <c r="V367" s="23" t="str">
        <f t="shared" si="31"/>
        <v>Weekend</v>
      </c>
      <c r="W367" s="23" t="str">
        <f>VLOOKUP($M367,Lookups!$A$5:$B$8,2,FALSE())</f>
        <v>Clear / Partly cloudy</v>
      </c>
      <c r="X367" s="23" t="str">
        <f>VLOOKUP($G367,Lookups!$D$5:$E$8,2,FALSE())</f>
        <v>Winter</v>
      </c>
      <c r="Y367" s="23" t="str">
        <f>VLOOKUP($L367,Lookups!$G$5:$H$11,2,FALSE())</f>
        <v>Sunday</v>
      </c>
      <c r="Z367" s="23" t="str">
        <f>IF($J367&lt;Lookups!$B$26,"Night",IF($J367&lt;Lookups!$B$27,"Morning",IF($J367&lt;Lookups!$B$28,"Afternoon","Evening")))</f>
        <v>Afternoon</v>
      </c>
      <c r="AA367" s="26">
        <f>ROUND($N367*(Lookups!$B$16-Lookups!$B$15)+Lookups!$B$15,1)</f>
        <v>2.2999999999999998</v>
      </c>
      <c r="AB367" s="26">
        <f>ROUND($P367*(Lookups!$B$18-Lookups!$B$17)+Lookups!$B$17,1)</f>
        <v>-2</v>
      </c>
      <c r="AC367" s="23">
        <f t="shared" si="32"/>
        <v>37</v>
      </c>
      <c r="AD367" s="23">
        <f>ROUND($R367*Lookups!$B$19,1)</f>
        <v>17</v>
      </c>
      <c r="AE367" s="27">
        <f t="shared" si="33"/>
        <v>0.78095238095238095</v>
      </c>
      <c r="AF367" s="23" t="str">
        <f>IF($U367&gt;=Lookups!$B$23,"High",IF($U367&gt;=Lookups!$B$22,"Medium","Low"))</f>
        <v>High</v>
      </c>
      <c r="AG367" s="23">
        <f>ROUND(IF($V367="Weekday",IF(INDEX(Hourly_Analysis!$D$5:$D$28,$J367+1)&gt;0,($U367-INDEX(Hourly_Analysis!$C$5:$C$28,$J367+1))/INDEX(Hourly_Analysis!$D$5:$D$28,$J367+1),0),IF(INDEX(Hourly_Analysis!$G$5:$G$28,$J367+1)&gt;0,($U367-INDEX(Hourly_Analysis!$F$5:$F$28,$J367+1))/INDEX(Hourly_Analysis!$G$5:$G$28,$J367+1),0)),2)</f>
        <v>0.79</v>
      </c>
      <c r="AH367" s="23" t="str">
        <f>IF(ABS($AG367)&gt;Lookups!$B$20,IF($AG367&gt;0,"High anomaly","Low anomaly"),"")</f>
        <v/>
      </c>
      <c r="AI367" s="23" t="str">
        <f t="shared" si="34"/>
        <v>OK</v>
      </c>
      <c r="AJ367" s="23" t="str">
        <f t="shared" si="35"/>
        <v>No</v>
      </c>
    </row>
    <row r="368" spans="1:36" x14ac:dyDescent="0.35">
      <c r="A368" s="23">
        <v>367</v>
      </c>
      <c r="B368" s="23" t="str">
        <f t="shared" si="30"/>
        <v>Merge 1+2</v>
      </c>
      <c r="C368" s="23">
        <f>IFERROR(MATCH($A368,Merge_1_2!$A$2:$A$611,0),0)</f>
        <v>367</v>
      </c>
      <c r="D368" s="23">
        <f>IF($C368&gt;0,INDEX(Merge_1_2!$Q$2:$Q$611,$C368),0)</f>
        <v>367</v>
      </c>
      <c r="E368" s="23">
        <f>IFERROR(MATCH($A368,Dataset3_Raw!$A$2:$A$391,0),0)</f>
        <v>0</v>
      </c>
      <c r="F368" s="24">
        <f>IF($C368&gt;0,INDEX(Merge_1_2!$B$2:$B$611,$C368),DATE(VALUE(RIGHT(INDEX(Dataset3_Raw!$B$2:$B$391,$E368),4)),VALUE(MID(INDEX(Dataset3_Raw!$B$2:$B$391,$E368),4,2)),VALUE(LEFT(INDEX(Dataset3_Raw!$B$2:$B$391,$E368),2))))</f>
        <v>40559</v>
      </c>
      <c r="G368" s="23">
        <f>IF($C368&gt;0,INDEX(Merge_1_2!$C$2:$C$611,$C368),INDEX(Dataset3_Raw!$C$2:$C$391,$E368))</f>
        <v>1</v>
      </c>
      <c r="H368" s="23">
        <f>IF($C368&gt;0,INDEX(Merge_1_2!$D$2:$D$611,$C368),INDEX(Dataset3_Raw!$D$2:$D$391,$E368))</f>
        <v>0</v>
      </c>
      <c r="I368" s="23">
        <f>IF($C368&gt;0,INDEX(Merge_1_2!$E$2:$E$611,$C368),INDEX(Dataset3_Raw!$E$2:$E$391,$E368))</f>
        <v>1</v>
      </c>
      <c r="J368" s="23">
        <f>IF($C368&gt;0,INDEX(Merge_1_2!$F$2:$F$611,$C368),INDEX(Dataset3_Raw!$F$2:$F$391,$E368))</f>
        <v>18</v>
      </c>
      <c r="K368" s="23" t="b">
        <f>IF($C368&gt;0,INDEX(Merge_1_2!$G$2:$G$611,$C368),INDEX(Dataset3_Raw!$G$2:$G$391,$E368))</f>
        <v>0</v>
      </c>
      <c r="L368" s="23">
        <f>IF($C368&gt;0,INDEX(Merge_1_2!$H$2:$H$611,$C368),INDEX(Dataset3_Raw!$H$2:$H$391,$E368))</f>
        <v>0</v>
      </c>
      <c r="M368" s="23">
        <f>IF($C368&gt;0,INDEX(Merge_1_2!$I$2:$I$611,$C368),INDEX(Dataset3_Raw!$I$2:$I$391,$E368))</f>
        <v>1</v>
      </c>
      <c r="N368" s="25">
        <f>IF($C368&gt;0,INDEX(Merge_1_2!$J$2:$J$611,$C368),INDEX(Dataset3_Raw!$J$2:$J$391,$E368))</f>
        <v>0.2</v>
      </c>
      <c r="O368" s="25">
        <f>IF($C368&gt;0,IF(ISNUMBER(INDEX(Merge_1_2!$K$2:$K$611,$C368)),INDEX(Merge_1_2!$K$2:$K$611,$C368),""),INDEX(Dataset3_Raw!$K$2:$K$391,$E368))</f>
        <v>0.21210000000000001</v>
      </c>
      <c r="P368" s="25">
        <f>IF(ISNUMBER($O368),$O368,ROUND(Lookups!$B$25+Lookups!$B$24*$N368,4))</f>
        <v>0.21210000000000001</v>
      </c>
      <c r="Q368" s="25">
        <f>IF($C368&gt;0,INDEX(Merge_1_2!$L$2:$L$611,$C368),INDEX(Dataset3_Raw!$L$2:$L$391,$E368))</f>
        <v>0.4</v>
      </c>
      <c r="R368" s="25">
        <f>IF($C368&gt;0,INDEX(Merge_1_2!$M$2:$M$611,$C368),INDEX(Dataset3_Raw!$M$2:$M$391,$E368))</f>
        <v>0.16420000000000001</v>
      </c>
      <c r="S368" s="23">
        <f>IF($C368&gt;0,INDEX(Merge_1_2!$N$2:$N$611,$C368),INDEX(Dataset3_Raw!$N$2:$N$391,$E368))</f>
        <v>11</v>
      </c>
      <c r="T368" s="23">
        <f>IF($C368&gt;0,INDEX(Merge_1_2!$O$2:$O$611,$C368),INDEX(Dataset3_Raw!$O$2:$O$391,$E368))</f>
        <v>56</v>
      </c>
      <c r="U368" s="23">
        <f>IF($C368&gt;0,INDEX(Merge_1_2!$P$2:$P$611,$C368),INDEX(Dataset3_Raw!$P$2:$P$391,$E368))</f>
        <v>67</v>
      </c>
      <c r="V368" s="23" t="str">
        <f t="shared" si="31"/>
        <v>Weekend</v>
      </c>
      <c r="W368" s="23" t="str">
        <f>VLOOKUP($M368,Lookups!$A$5:$B$8,2,FALSE())</f>
        <v>Clear / Partly cloudy</v>
      </c>
      <c r="X368" s="23" t="str">
        <f>VLOOKUP($G368,Lookups!$D$5:$E$8,2,FALSE())</f>
        <v>Winter</v>
      </c>
      <c r="Y368" s="23" t="str">
        <f>VLOOKUP($L368,Lookups!$G$5:$H$11,2,FALSE())</f>
        <v>Sunday</v>
      </c>
      <c r="Z368" s="23" t="str">
        <f>IF($J368&lt;Lookups!$B$26,"Night",IF($J368&lt;Lookups!$B$27,"Morning",IF($J368&lt;Lookups!$B$28,"Afternoon","Evening")))</f>
        <v>Evening</v>
      </c>
      <c r="AA368" s="26">
        <f>ROUND($N368*(Lookups!$B$16-Lookups!$B$15)+Lookups!$B$15,1)</f>
        <v>1.4</v>
      </c>
      <c r="AB368" s="26">
        <f>ROUND($P368*(Lookups!$B$18-Lookups!$B$17)+Lookups!$B$17,1)</f>
        <v>-2</v>
      </c>
      <c r="AC368" s="23">
        <f t="shared" si="32"/>
        <v>40</v>
      </c>
      <c r="AD368" s="23">
        <f>ROUND($R368*Lookups!$B$19,1)</f>
        <v>11</v>
      </c>
      <c r="AE368" s="27">
        <f t="shared" si="33"/>
        <v>0.83582089552238803</v>
      </c>
      <c r="AF368" s="23" t="str">
        <f>IF($U368&gt;=Lookups!$B$23,"High",IF($U368&gt;=Lookups!$B$22,"Medium","Low"))</f>
        <v>Medium</v>
      </c>
      <c r="AG368" s="23">
        <f>ROUND(IF($V368="Weekday",IF(INDEX(Hourly_Analysis!$D$5:$D$28,$J368+1)&gt;0,($U368-INDEX(Hourly_Analysis!$C$5:$C$28,$J368+1))/INDEX(Hourly_Analysis!$D$5:$D$28,$J368+1),0),IF(INDEX(Hourly_Analysis!$G$5:$G$28,$J368+1)&gt;0,($U368-INDEX(Hourly_Analysis!$F$5:$F$28,$J368+1))/INDEX(Hourly_Analysis!$G$5:$G$28,$J368+1),0)),2)</f>
        <v>0.06</v>
      </c>
      <c r="AH368" s="23" t="str">
        <f>IF(ABS($AG368)&gt;Lookups!$B$20,IF($AG368&gt;0,"High anomaly","Low anomaly"),"")</f>
        <v/>
      </c>
      <c r="AI368" s="23" t="str">
        <f t="shared" si="34"/>
        <v>OK</v>
      </c>
      <c r="AJ368" s="23" t="str">
        <f t="shared" si="35"/>
        <v>No</v>
      </c>
    </row>
    <row r="369" spans="1:36" x14ac:dyDescent="0.35">
      <c r="A369" s="23">
        <v>368</v>
      </c>
      <c r="B369" s="23" t="str">
        <f t="shared" si="30"/>
        <v>Merge 1+2</v>
      </c>
      <c r="C369" s="23">
        <f>IFERROR(MATCH($A369,Merge_1_2!$A$2:$A$611,0),0)</f>
        <v>368</v>
      </c>
      <c r="D369" s="23">
        <f>IF($C369&gt;0,INDEX(Merge_1_2!$Q$2:$Q$611,$C369),0)</f>
        <v>368</v>
      </c>
      <c r="E369" s="23">
        <f>IFERROR(MATCH($A369,Dataset3_Raw!$A$2:$A$391,0),0)</f>
        <v>0</v>
      </c>
      <c r="F369" s="24">
        <f>IF($C369&gt;0,INDEX(Merge_1_2!$B$2:$B$611,$C369),DATE(VALUE(RIGHT(INDEX(Dataset3_Raw!$B$2:$B$391,$E369),4)),VALUE(MID(INDEX(Dataset3_Raw!$B$2:$B$391,$E369),4,2)),VALUE(LEFT(INDEX(Dataset3_Raw!$B$2:$B$391,$E369),2))))</f>
        <v>40559</v>
      </c>
      <c r="G369" s="23">
        <f>IF($C369&gt;0,INDEX(Merge_1_2!$C$2:$C$611,$C369),INDEX(Dataset3_Raw!$C$2:$C$391,$E369))</f>
        <v>1</v>
      </c>
      <c r="H369" s="23">
        <f>IF($C369&gt;0,INDEX(Merge_1_2!$D$2:$D$611,$C369),INDEX(Dataset3_Raw!$D$2:$D$391,$E369))</f>
        <v>0</v>
      </c>
      <c r="I369" s="23">
        <f>IF($C369&gt;0,INDEX(Merge_1_2!$E$2:$E$611,$C369),INDEX(Dataset3_Raw!$E$2:$E$391,$E369))</f>
        <v>1</v>
      </c>
      <c r="J369" s="23">
        <f>IF($C369&gt;0,INDEX(Merge_1_2!$F$2:$F$611,$C369),INDEX(Dataset3_Raw!$F$2:$F$391,$E369))</f>
        <v>19</v>
      </c>
      <c r="K369" s="23" t="b">
        <f>IF($C369&gt;0,INDEX(Merge_1_2!$G$2:$G$611,$C369),INDEX(Dataset3_Raw!$G$2:$G$391,$E369))</f>
        <v>0</v>
      </c>
      <c r="L369" s="23">
        <f>IF($C369&gt;0,INDEX(Merge_1_2!$H$2:$H$611,$C369),INDEX(Dataset3_Raw!$H$2:$H$391,$E369))</f>
        <v>0</v>
      </c>
      <c r="M369" s="23">
        <f>IF($C369&gt;0,INDEX(Merge_1_2!$I$2:$I$611,$C369),INDEX(Dataset3_Raw!$I$2:$I$391,$E369))</f>
        <v>1</v>
      </c>
      <c r="N369" s="25">
        <f>IF($C369&gt;0,INDEX(Merge_1_2!$J$2:$J$611,$C369),INDEX(Dataset3_Raw!$J$2:$J$391,$E369))</f>
        <v>0.18</v>
      </c>
      <c r="O369" s="25">
        <f>IF($C369&gt;0,IF(ISNUMBER(INDEX(Merge_1_2!$K$2:$K$611,$C369)),INDEX(Merge_1_2!$K$2:$K$611,$C369),""),INDEX(Dataset3_Raw!$K$2:$K$391,$E369))</f>
        <v>0.19700000000000001</v>
      </c>
      <c r="P369" s="25">
        <f>IF(ISNUMBER($O369),$O369,ROUND(Lookups!$B$25+Lookups!$B$24*$N369,4))</f>
        <v>0.19700000000000001</v>
      </c>
      <c r="Q369" s="25">
        <f>IF($C369&gt;0,INDEX(Merge_1_2!$L$2:$L$611,$C369),INDEX(Dataset3_Raw!$L$2:$L$391,$E369))</f>
        <v>0.47</v>
      </c>
      <c r="R369" s="25">
        <f>IF($C369&gt;0,INDEX(Merge_1_2!$M$2:$M$611,$C369),INDEX(Dataset3_Raw!$M$2:$M$391,$E369))</f>
        <v>0.1343</v>
      </c>
      <c r="S369" s="23">
        <f>IF($C369&gt;0,INDEX(Merge_1_2!$N$2:$N$611,$C369),INDEX(Dataset3_Raw!$N$2:$N$391,$E369))</f>
        <v>14</v>
      </c>
      <c r="T369" s="23">
        <f>IF($C369&gt;0,INDEX(Merge_1_2!$O$2:$O$611,$C369),INDEX(Dataset3_Raw!$O$2:$O$391,$E369))</f>
        <v>47</v>
      </c>
      <c r="U369" s="23">
        <f>IF($C369&gt;0,INDEX(Merge_1_2!$P$2:$P$611,$C369),INDEX(Dataset3_Raw!$P$2:$P$391,$E369))</f>
        <v>61</v>
      </c>
      <c r="V369" s="23" t="str">
        <f t="shared" si="31"/>
        <v>Weekend</v>
      </c>
      <c r="W369" s="23" t="str">
        <f>VLOOKUP($M369,Lookups!$A$5:$B$8,2,FALSE())</f>
        <v>Clear / Partly cloudy</v>
      </c>
      <c r="X369" s="23" t="str">
        <f>VLOOKUP($G369,Lookups!$D$5:$E$8,2,FALSE())</f>
        <v>Winter</v>
      </c>
      <c r="Y369" s="23" t="str">
        <f>VLOOKUP($L369,Lookups!$G$5:$H$11,2,FALSE())</f>
        <v>Sunday</v>
      </c>
      <c r="Z369" s="23" t="str">
        <f>IF($J369&lt;Lookups!$B$26,"Night",IF($J369&lt;Lookups!$B$27,"Morning",IF($J369&lt;Lookups!$B$28,"Afternoon","Evening")))</f>
        <v>Evening</v>
      </c>
      <c r="AA369" s="26">
        <f>ROUND($N369*(Lookups!$B$16-Lookups!$B$15)+Lookups!$B$15,1)</f>
        <v>0.5</v>
      </c>
      <c r="AB369" s="26">
        <f>ROUND($P369*(Lookups!$B$18-Lookups!$B$17)+Lookups!$B$17,1)</f>
        <v>-3</v>
      </c>
      <c r="AC369" s="23">
        <f t="shared" si="32"/>
        <v>47</v>
      </c>
      <c r="AD369" s="23">
        <f>ROUND($R369*Lookups!$B$19,1)</f>
        <v>9</v>
      </c>
      <c r="AE369" s="27">
        <f t="shared" si="33"/>
        <v>0.77049180327868849</v>
      </c>
      <c r="AF369" s="23" t="str">
        <f>IF($U369&gt;=Lookups!$B$23,"High",IF($U369&gt;=Lookups!$B$22,"Medium","Low"))</f>
        <v>Medium</v>
      </c>
      <c r="AG369" s="23">
        <f>ROUND(IF($V369="Weekday",IF(INDEX(Hourly_Analysis!$D$5:$D$28,$J369+1)&gt;0,($U369-INDEX(Hourly_Analysis!$C$5:$C$28,$J369+1))/INDEX(Hourly_Analysis!$D$5:$D$28,$J369+1),0),IF(INDEX(Hourly_Analysis!$G$5:$G$28,$J369+1)&gt;0,($U369-INDEX(Hourly_Analysis!$F$5:$F$28,$J369+1))/INDEX(Hourly_Analysis!$G$5:$G$28,$J369+1),0)),2)</f>
        <v>0.59</v>
      </c>
      <c r="AH369" s="23" t="str">
        <f>IF(ABS($AG369)&gt;Lookups!$B$20,IF($AG369&gt;0,"High anomaly","Low anomaly"),"")</f>
        <v/>
      </c>
      <c r="AI369" s="23" t="str">
        <f t="shared" si="34"/>
        <v>OK</v>
      </c>
      <c r="AJ369" s="23" t="str">
        <f t="shared" si="35"/>
        <v>No</v>
      </c>
    </row>
    <row r="370" spans="1:36" x14ac:dyDescent="0.35">
      <c r="A370" s="23">
        <v>369</v>
      </c>
      <c r="B370" s="23" t="str">
        <f t="shared" si="30"/>
        <v>Merge 1+2</v>
      </c>
      <c r="C370" s="23">
        <f>IFERROR(MATCH($A370,Merge_1_2!$A$2:$A$611,0),0)</f>
        <v>369</v>
      </c>
      <c r="D370" s="23">
        <f>IF($C370&gt;0,INDEX(Merge_1_2!$Q$2:$Q$611,$C370),0)</f>
        <v>369</v>
      </c>
      <c r="E370" s="23">
        <f>IFERROR(MATCH($A370,Dataset3_Raw!$A$2:$A$391,0),0)</f>
        <v>0</v>
      </c>
      <c r="F370" s="24">
        <f>IF($C370&gt;0,INDEX(Merge_1_2!$B$2:$B$611,$C370),DATE(VALUE(RIGHT(INDEX(Dataset3_Raw!$B$2:$B$391,$E370),4)),VALUE(MID(INDEX(Dataset3_Raw!$B$2:$B$391,$E370),4,2)),VALUE(LEFT(INDEX(Dataset3_Raw!$B$2:$B$391,$E370),2))))</f>
        <v>40559</v>
      </c>
      <c r="G370" s="23">
        <f>IF($C370&gt;0,INDEX(Merge_1_2!$C$2:$C$611,$C370),INDEX(Dataset3_Raw!$C$2:$C$391,$E370))</f>
        <v>1</v>
      </c>
      <c r="H370" s="23">
        <f>IF($C370&gt;0,INDEX(Merge_1_2!$D$2:$D$611,$C370),INDEX(Dataset3_Raw!$D$2:$D$391,$E370))</f>
        <v>0</v>
      </c>
      <c r="I370" s="23">
        <f>IF($C370&gt;0,INDEX(Merge_1_2!$E$2:$E$611,$C370),INDEX(Dataset3_Raw!$E$2:$E$391,$E370))</f>
        <v>1</v>
      </c>
      <c r="J370" s="23">
        <f>IF($C370&gt;0,INDEX(Merge_1_2!$F$2:$F$611,$C370),INDEX(Dataset3_Raw!$F$2:$F$391,$E370))</f>
        <v>20</v>
      </c>
      <c r="K370" s="23" t="b">
        <f>IF($C370&gt;0,INDEX(Merge_1_2!$G$2:$G$611,$C370),INDEX(Dataset3_Raw!$G$2:$G$391,$E370))</f>
        <v>0</v>
      </c>
      <c r="L370" s="23">
        <f>IF($C370&gt;0,INDEX(Merge_1_2!$H$2:$H$611,$C370),INDEX(Dataset3_Raw!$H$2:$H$391,$E370))</f>
        <v>0</v>
      </c>
      <c r="M370" s="23">
        <f>IF($C370&gt;0,INDEX(Merge_1_2!$I$2:$I$611,$C370),INDEX(Dataset3_Raw!$I$2:$I$391,$E370))</f>
        <v>1</v>
      </c>
      <c r="N370" s="25">
        <f>IF($C370&gt;0,INDEX(Merge_1_2!$J$2:$J$611,$C370),INDEX(Dataset3_Raw!$J$2:$J$391,$E370))</f>
        <v>0.18</v>
      </c>
      <c r="O370" s="25">
        <f>IF($C370&gt;0,IF(ISNUMBER(INDEX(Merge_1_2!$K$2:$K$611,$C370)),INDEX(Merge_1_2!$K$2:$K$611,$C370),""),INDEX(Dataset3_Raw!$K$2:$K$391,$E370))</f>
        <v>0.19700000000000001</v>
      </c>
      <c r="P370" s="25">
        <f>IF(ISNUMBER($O370),$O370,ROUND(Lookups!$B$25+Lookups!$B$24*$N370,4))</f>
        <v>0.19700000000000001</v>
      </c>
      <c r="Q370" s="25">
        <f>IF($C370&gt;0,INDEX(Merge_1_2!$L$2:$L$611,$C370),INDEX(Dataset3_Raw!$L$2:$L$391,$E370))</f>
        <v>0.47</v>
      </c>
      <c r="R370" s="25">
        <f>IF($C370&gt;0,INDEX(Merge_1_2!$M$2:$M$611,$C370),INDEX(Dataset3_Raw!$M$2:$M$391,$E370))</f>
        <v>0.16420000000000001</v>
      </c>
      <c r="S370" s="23">
        <f>IF($C370&gt;0,INDEX(Merge_1_2!$N$2:$N$611,$C370),INDEX(Dataset3_Raw!$N$2:$N$391,$E370))</f>
        <v>7</v>
      </c>
      <c r="T370" s="23">
        <f>IF($C370&gt;0,INDEX(Merge_1_2!$O$2:$O$611,$C370),INDEX(Dataset3_Raw!$O$2:$O$391,$E370))</f>
        <v>50</v>
      </c>
      <c r="U370" s="23">
        <f>IF($C370&gt;0,INDEX(Merge_1_2!$P$2:$P$611,$C370),INDEX(Dataset3_Raw!$P$2:$P$391,$E370))</f>
        <v>57</v>
      </c>
      <c r="V370" s="23" t="str">
        <f t="shared" si="31"/>
        <v>Weekend</v>
      </c>
      <c r="W370" s="23" t="str">
        <f>VLOOKUP($M370,Lookups!$A$5:$B$8,2,FALSE())</f>
        <v>Clear / Partly cloudy</v>
      </c>
      <c r="X370" s="23" t="str">
        <f>VLOOKUP($G370,Lookups!$D$5:$E$8,2,FALSE())</f>
        <v>Winter</v>
      </c>
      <c r="Y370" s="23" t="str">
        <f>VLOOKUP($L370,Lookups!$G$5:$H$11,2,FALSE())</f>
        <v>Sunday</v>
      </c>
      <c r="Z370" s="23" t="str">
        <f>IF($J370&lt;Lookups!$B$26,"Night",IF($J370&lt;Lookups!$B$27,"Morning",IF($J370&lt;Lookups!$B$28,"Afternoon","Evening")))</f>
        <v>Evening</v>
      </c>
      <c r="AA370" s="26">
        <f>ROUND($N370*(Lookups!$B$16-Lookups!$B$15)+Lookups!$B$15,1)</f>
        <v>0.5</v>
      </c>
      <c r="AB370" s="26">
        <f>ROUND($P370*(Lookups!$B$18-Lookups!$B$17)+Lookups!$B$17,1)</f>
        <v>-3</v>
      </c>
      <c r="AC370" s="23">
        <f t="shared" si="32"/>
        <v>47</v>
      </c>
      <c r="AD370" s="23">
        <f>ROUND($R370*Lookups!$B$19,1)</f>
        <v>11</v>
      </c>
      <c r="AE370" s="27">
        <f t="shared" si="33"/>
        <v>0.8771929824561403</v>
      </c>
      <c r="AF370" s="23" t="str">
        <f>IF($U370&gt;=Lookups!$B$23,"High",IF($U370&gt;=Lookups!$B$22,"Medium","Low"))</f>
        <v>Medium</v>
      </c>
      <c r="AG370" s="23">
        <f>ROUND(IF($V370="Weekday",IF(INDEX(Hourly_Analysis!$D$5:$D$28,$J370+1)&gt;0,($U370-INDEX(Hourly_Analysis!$C$5:$C$28,$J370+1))/INDEX(Hourly_Analysis!$D$5:$D$28,$J370+1),0),IF(INDEX(Hourly_Analysis!$G$5:$G$28,$J370+1)&gt;0,($U370-INDEX(Hourly_Analysis!$F$5:$F$28,$J370+1))/INDEX(Hourly_Analysis!$G$5:$G$28,$J370+1),0)),2)</f>
        <v>1.45</v>
      </c>
      <c r="AH370" s="23" t="str">
        <f>IF(ABS($AG370)&gt;Lookups!$B$20,IF($AG370&gt;0,"High anomaly","Low anomaly"),"")</f>
        <v/>
      </c>
      <c r="AI370" s="23" t="str">
        <f t="shared" si="34"/>
        <v>OK</v>
      </c>
      <c r="AJ370" s="23" t="str">
        <f t="shared" si="35"/>
        <v>No</v>
      </c>
    </row>
    <row r="371" spans="1:36" x14ac:dyDescent="0.35">
      <c r="A371" s="23">
        <v>370</v>
      </c>
      <c r="B371" s="23" t="str">
        <f t="shared" si="30"/>
        <v>Merge 1+2</v>
      </c>
      <c r="C371" s="23">
        <f>IFERROR(MATCH($A371,Merge_1_2!$A$2:$A$611,0),0)</f>
        <v>370</v>
      </c>
      <c r="D371" s="23">
        <f>IF($C371&gt;0,INDEX(Merge_1_2!$Q$2:$Q$611,$C371),0)</f>
        <v>370</v>
      </c>
      <c r="E371" s="23">
        <f>IFERROR(MATCH($A371,Dataset3_Raw!$A$2:$A$391,0),0)</f>
        <v>0</v>
      </c>
      <c r="F371" s="24">
        <f>IF($C371&gt;0,INDEX(Merge_1_2!$B$2:$B$611,$C371),DATE(VALUE(RIGHT(INDEX(Dataset3_Raw!$B$2:$B$391,$E371),4)),VALUE(MID(INDEX(Dataset3_Raw!$B$2:$B$391,$E371),4,2)),VALUE(LEFT(INDEX(Dataset3_Raw!$B$2:$B$391,$E371),2))))</f>
        <v>40559</v>
      </c>
      <c r="G371" s="23">
        <f>IF($C371&gt;0,INDEX(Merge_1_2!$C$2:$C$611,$C371),INDEX(Dataset3_Raw!$C$2:$C$391,$E371))</f>
        <v>1</v>
      </c>
      <c r="H371" s="23">
        <f>IF($C371&gt;0,INDEX(Merge_1_2!$D$2:$D$611,$C371),INDEX(Dataset3_Raw!$D$2:$D$391,$E371))</f>
        <v>0</v>
      </c>
      <c r="I371" s="23">
        <f>IF($C371&gt;0,INDEX(Merge_1_2!$E$2:$E$611,$C371),INDEX(Dataset3_Raw!$E$2:$E$391,$E371))</f>
        <v>1</v>
      </c>
      <c r="J371" s="23">
        <f>IF($C371&gt;0,INDEX(Merge_1_2!$F$2:$F$611,$C371),INDEX(Dataset3_Raw!$F$2:$F$391,$E371))</f>
        <v>21</v>
      </c>
      <c r="K371" s="23" t="b">
        <f>IF($C371&gt;0,INDEX(Merge_1_2!$G$2:$G$611,$C371),INDEX(Dataset3_Raw!$G$2:$G$391,$E371))</f>
        <v>0</v>
      </c>
      <c r="L371" s="23">
        <f>IF($C371&gt;0,INDEX(Merge_1_2!$H$2:$H$611,$C371),INDEX(Dataset3_Raw!$H$2:$H$391,$E371))</f>
        <v>0</v>
      </c>
      <c r="M371" s="23">
        <f>IF($C371&gt;0,INDEX(Merge_1_2!$I$2:$I$611,$C371),INDEX(Dataset3_Raw!$I$2:$I$391,$E371))</f>
        <v>1</v>
      </c>
      <c r="N371" s="25">
        <f>IF($C371&gt;0,INDEX(Merge_1_2!$J$2:$J$611,$C371),INDEX(Dataset3_Raw!$J$2:$J$391,$E371))</f>
        <v>0.18</v>
      </c>
      <c r="O371" s="25">
        <f>IF($C371&gt;0,IF(ISNUMBER(INDEX(Merge_1_2!$K$2:$K$611,$C371)),INDEX(Merge_1_2!$K$2:$K$611,$C371),""),INDEX(Dataset3_Raw!$K$2:$K$391,$E371))</f>
        <v>0.19700000000000001</v>
      </c>
      <c r="P371" s="25">
        <f>IF(ISNUMBER($O371),$O371,ROUND(Lookups!$B$25+Lookups!$B$24*$N371,4))</f>
        <v>0.19700000000000001</v>
      </c>
      <c r="Q371" s="25">
        <f>IF($C371&gt;0,INDEX(Merge_1_2!$L$2:$L$611,$C371),INDEX(Dataset3_Raw!$L$2:$L$391,$E371))</f>
        <v>0.51</v>
      </c>
      <c r="R371" s="25">
        <f>IF($C371&gt;0,INDEX(Merge_1_2!$M$2:$M$611,$C371),INDEX(Dataset3_Raw!$M$2:$M$391,$E371))</f>
        <v>0.16420000000000001</v>
      </c>
      <c r="S371" s="23">
        <f>IF($C371&gt;0,INDEX(Merge_1_2!$N$2:$N$611,$C371),INDEX(Dataset3_Raw!$N$2:$N$391,$E371))</f>
        <v>6</v>
      </c>
      <c r="T371" s="23">
        <f>IF($C371&gt;0,INDEX(Merge_1_2!$O$2:$O$611,$C371),INDEX(Dataset3_Raw!$O$2:$O$391,$E371))</f>
        <v>22</v>
      </c>
      <c r="U371" s="23">
        <f>IF($C371&gt;0,INDEX(Merge_1_2!$P$2:$P$611,$C371),INDEX(Dataset3_Raw!$P$2:$P$391,$E371))</f>
        <v>28</v>
      </c>
      <c r="V371" s="23" t="str">
        <f t="shared" si="31"/>
        <v>Weekend</v>
      </c>
      <c r="W371" s="23" t="str">
        <f>VLOOKUP($M371,Lookups!$A$5:$B$8,2,FALSE())</f>
        <v>Clear / Partly cloudy</v>
      </c>
      <c r="X371" s="23" t="str">
        <f>VLOOKUP($G371,Lookups!$D$5:$E$8,2,FALSE())</f>
        <v>Winter</v>
      </c>
      <c r="Y371" s="23" t="str">
        <f>VLOOKUP($L371,Lookups!$G$5:$H$11,2,FALSE())</f>
        <v>Sunday</v>
      </c>
      <c r="Z371" s="23" t="str">
        <f>IF($J371&lt;Lookups!$B$26,"Night",IF($J371&lt;Lookups!$B$27,"Morning",IF($J371&lt;Lookups!$B$28,"Afternoon","Evening")))</f>
        <v>Evening</v>
      </c>
      <c r="AA371" s="26">
        <f>ROUND($N371*(Lookups!$B$16-Lookups!$B$15)+Lookups!$B$15,1)</f>
        <v>0.5</v>
      </c>
      <c r="AB371" s="26">
        <f>ROUND($P371*(Lookups!$B$18-Lookups!$B$17)+Lookups!$B$17,1)</f>
        <v>-3</v>
      </c>
      <c r="AC371" s="23">
        <f t="shared" si="32"/>
        <v>51</v>
      </c>
      <c r="AD371" s="23">
        <f>ROUND($R371*Lookups!$B$19,1)</f>
        <v>11</v>
      </c>
      <c r="AE371" s="27">
        <f t="shared" si="33"/>
        <v>0.7857142857142857</v>
      </c>
      <c r="AF371" s="23" t="str">
        <f>IF($U371&gt;=Lookups!$B$23,"High",IF($U371&gt;=Lookups!$B$22,"Medium","Low"))</f>
        <v>Medium</v>
      </c>
      <c r="AG371" s="23">
        <f>ROUND(IF($V371="Weekday",IF(INDEX(Hourly_Analysis!$D$5:$D$28,$J371+1)&gt;0,($U371-INDEX(Hourly_Analysis!$C$5:$C$28,$J371+1))/INDEX(Hourly_Analysis!$D$5:$D$28,$J371+1),0),IF(INDEX(Hourly_Analysis!$G$5:$G$28,$J371+1)&gt;0,($U371-INDEX(Hourly_Analysis!$F$5:$F$28,$J371+1))/INDEX(Hourly_Analysis!$G$5:$G$28,$J371+1),0)),2)</f>
        <v>-0.71</v>
      </c>
      <c r="AH371" s="23" t="str">
        <f>IF(ABS($AG371)&gt;Lookups!$B$20,IF($AG371&gt;0,"High anomaly","Low anomaly"),"")</f>
        <v/>
      </c>
      <c r="AI371" s="23" t="str">
        <f t="shared" si="34"/>
        <v>OK</v>
      </c>
      <c r="AJ371" s="23" t="str">
        <f t="shared" si="35"/>
        <v>No</v>
      </c>
    </row>
    <row r="372" spans="1:36" x14ac:dyDescent="0.35">
      <c r="A372" s="23">
        <v>371</v>
      </c>
      <c r="B372" s="23" t="str">
        <f t="shared" si="30"/>
        <v>Merge 1+2</v>
      </c>
      <c r="C372" s="23">
        <f>IFERROR(MATCH($A372,Merge_1_2!$A$2:$A$611,0),0)</f>
        <v>371</v>
      </c>
      <c r="D372" s="23">
        <f>IF($C372&gt;0,INDEX(Merge_1_2!$Q$2:$Q$611,$C372),0)</f>
        <v>371</v>
      </c>
      <c r="E372" s="23">
        <f>IFERROR(MATCH($A372,Dataset3_Raw!$A$2:$A$391,0),0)</f>
        <v>0</v>
      </c>
      <c r="F372" s="24">
        <f>IF($C372&gt;0,INDEX(Merge_1_2!$B$2:$B$611,$C372),DATE(VALUE(RIGHT(INDEX(Dataset3_Raw!$B$2:$B$391,$E372),4)),VALUE(MID(INDEX(Dataset3_Raw!$B$2:$B$391,$E372),4,2)),VALUE(LEFT(INDEX(Dataset3_Raw!$B$2:$B$391,$E372),2))))</f>
        <v>40559</v>
      </c>
      <c r="G372" s="23">
        <f>IF($C372&gt;0,INDEX(Merge_1_2!$C$2:$C$611,$C372),INDEX(Dataset3_Raw!$C$2:$C$391,$E372))</f>
        <v>1</v>
      </c>
      <c r="H372" s="23">
        <f>IF($C372&gt;0,INDEX(Merge_1_2!$D$2:$D$611,$C372),INDEX(Dataset3_Raw!$D$2:$D$391,$E372))</f>
        <v>0</v>
      </c>
      <c r="I372" s="23">
        <f>IF($C372&gt;0,INDEX(Merge_1_2!$E$2:$E$611,$C372),INDEX(Dataset3_Raw!$E$2:$E$391,$E372))</f>
        <v>1</v>
      </c>
      <c r="J372" s="23">
        <f>IF($C372&gt;0,INDEX(Merge_1_2!$F$2:$F$611,$C372),INDEX(Dataset3_Raw!$F$2:$F$391,$E372))</f>
        <v>22</v>
      </c>
      <c r="K372" s="23" t="b">
        <f>IF($C372&gt;0,INDEX(Merge_1_2!$G$2:$G$611,$C372),INDEX(Dataset3_Raw!$G$2:$G$391,$E372))</f>
        <v>0</v>
      </c>
      <c r="L372" s="23">
        <f>IF($C372&gt;0,INDEX(Merge_1_2!$H$2:$H$611,$C372),INDEX(Dataset3_Raw!$H$2:$H$391,$E372))</f>
        <v>0</v>
      </c>
      <c r="M372" s="23">
        <f>IF($C372&gt;0,INDEX(Merge_1_2!$I$2:$I$611,$C372),INDEX(Dataset3_Raw!$I$2:$I$391,$E372))</f>
        <v>2</v>
      </c>
      <c r="N372" s="25">
        <f>IF($C372&gt;0,INDEX(Merge_1_2!$J$2:$J$611,$C372),INDEX(Dataset3_Raw!$J$2:$J$391,$E372))</f>
        <v>0.2</v>
      </c>
      <c r="O372" s="25">
        <f>IF($C372&gt;0,IF(ISNUMBER(INDEX(Merge_1_2!$K$2:$K$611,$C372)),INDEX(Merge_1_2!$K$2:$K$611,$C372),""),INDEX(Dataset3_Raw!$K$2:$K$391,$E372))</f>
        <v>0.21210000000000001</v>
      </c>
      <c r="P372" s="25">
        <f>IF(ISNUMBER($O372),$O372,ROUND(Lookups!$B$25+Lookups!$B$24*$N372,4))</f>
        <v>0.21210000000000001</v>
      </c>
      <c r="Q372" s="25">
        <f>IF($C372&gt;0,INDEX(Merge_1_2!$L$2:$L$611,$C372),INDEX(Dataset3_Raw!$L$2:$L$391,$E372))</f>
        <v>0.49</v>
      </c>
      <c r="R372" s="25">
        <f>IF($C372&gt;0,INDEX(Merge_1_2!$M$2:$M$611,$C372),INDEX(Dataset3_Raw!$M$2:$M$391,$E372))</f>
        <v>0.1343</v>
      </c>
      <c r="S372" s="23">
        <f>IF($C372&gt;0,INDEX(Merge_1_2!$N$2:$N$611,$C372),INDEX(Dataset3_Raw!$N$2:$N$391,$E372))</f>
        <v>2</v>
      </c>
      <c r="T372" s="23">
        <f>IF($C372&gt;0,INDEX(Merge_1_2!$O$2:$O$611,$C372),INDEX(Dataset3_Raw!$O$2:$O$391,$E372))</f>
        <v>19</v>
      </c>
      <c r="U372" s="23">
        <f>IF($C372&gt;0,INDEX(Merge_1_2!$P$2:$P$611,$C372),INDEX(Dataset3_Raw!$P$2:$P$391,$E372))</f>
        <v>21</v>
      </c>
      <c r="V372" s="23" t="str">
        <f t="shared" si="31"/>
        <v>Weekend</v>
      </c>
      <c r="W372" s="23" t="str">
        <f>VLOOKUP($M372,Lookups!$A$5:$B$8,2,FALSE())</f>
        <v>Mist / Cloudy</v>
      </c>
      <c r="X372" s="23" t="str">
        <f>VLOOKUP($G372,Lookups!$D$5:$E$8,2,FALSE())</f>
        <v>Winter</v>
      </c>
      <c r="Y372" s="23" t="str">
        <f>VLOOKUP($L372,Lookups!$G$5:$H$11,2,FALSE())</f>
        <v>Sunday</v>
      </c>
      <c r="Z372" s="23" t="str">
        <f>IF($J372&lt;Lookups!$B$26,"Night",IF($J372&lt;Lookups!$B$27,"Morning",IF($J372&lt;Lookups!$B$28,"Afternoon","Evening")))</f>
        <v>Evening</v>
      </c>
      <c r="AA372" s="26">
        <f>ROUND($N372*(Lookups!$B$16-Lookups!$B$15)+Lookups!$B$15,1)</f>
        <v>1.4</v>
      </c>
      <c r="AB372" s="26">
        <f>ROUND($P372*(Lookups!$B$18-Lookups!$B$17)+Lookups!$B$17,1)</f>
        <v>-2</v>
      </c>
      <c r="AC372" s="23">
        <f t="shared" si="32"/>
        <v>49</v>
      </c>
      <c r="AD372" s="23">
        <f>ROUND($R372*Lookups!$B$19,1)</f>
        <v>9</v>
      </c>
      <c r="AE372" s="27">
        <f t="shared" si="33"/>
        <v>0.90476190476190477</v>
      </c>
      <c r="AF372" s="23" t="str">
        <f>IF($U372&gt;=Lookups!$B$23,"High",IF($U372&gt;=Lookups!$B$22,"Medium","Low"))</f>
        <v>Medium</v>
      </c>
      <c r="AG372" s="23">
        <f>ROUND(IF($V372="Weekday",IF(INDEX(Hourly_Analysis!$D$5:$D$28,$J372+1)&gt;0,($U372-INDEX(Hourly_Analysis!$C$5:$C$28,$J372+1))/INDEX(Hourly_Analysis!$D$5:$D$28,$J372+1),0),IF(INDEX(Hourly_Analysis!$G$5:$G$28,$J372+1)&gt;0,($U372-INDEX(Hourly_Analysis!$F$5:$F$28,$J372+1))/INDEX(Hourly_Analysis!$G$5:$G$28,$J372+1),0)),2)</f>
        <v>-0.63</v>
      </c>
      <c r="AH372" s="23" t="str">
        <f>IF(ABS($AG372)&gt;Lookups!$B$20,IF($AG372&gt;0,"High anomaly","Low anomaly"),"")</f>
        <v/>
      </c>
      <c r="AI372" s="23" t="str">
        <f t="shared" si="34"/>
        <v>OK</v>
      </c>
      <c r="AJ372" s="23" t="str">
        <f t="shared" si="35"/>
        <v>No</v>
      </c>
    </row>
    <row r="373" spans="1:36" x14ac:dyDescent="0.35">
      <c r="A373" s="23">
        <v>372</v>
      </c>
      <c r="B373" s="23" t="str">
        <f t="shared" si="30"/>
        <v>Merge 1+2</v>
      </c>
      <c r="C373" s="23">
        <f>IFERROR(MATCH($A373,Merge_1_2!$A$2:$A$611,0),0)</f>
        <v>372</v>
      </c>
      <c r="D373" s="23">
        <f>IF($C373&gt;0,INDEX(Merge_1_2!$Q$2:$Q$611,$C373),0)</f>
        <v>372</v>
      </c>
      <c r="E373" s="23">
        <f>IFERROR(MATCH($A373,Dataset3_Raw!$A$2:$A$391,0),0)</f>
        <v>0</v>
      </c>
      <c r="F373" s="24">
        <f>IF($C373&gt;0,INDEX(Merge_1_2!$B$2:$B$611,$C373),DATE(VALUE(RIGHT(INDEX(Dataset3_Raw!$B$2:$B$391,$E373),4)),VALUE(MID(INDEX(Dataset3_Raw!$B$2:$B$391,$E373),4,2)),VALUE(LEFT(INDEX(Dataset3_Raw!$B$2:$B$391,$E373),2))))</f>
        <v>40559</v>
      </c>
      <c r="G373" s="23">
        <f>IF($C373&gt;0,INDEX(Merge_1_2!$C$2:$C$611,$C373),INDEX(Dataset3_Raw!$C$2:$C$391,$E373))</f>
        <v>1</v>
      </c>
      <c r="H373" s="23">
        <f>IF($C373&gt;0,INDEX(Merge_1_2!$D$2:$D$611,$C373),INDEX(Dataset3_Raw!$D$2:$D$391,$E373))</f>
        <v>0</v>
      </c>
      <c r="I373" s="23">
        <f>IF($C373&gt;0,INDEX(Merge_1_2!$E$2:$E$611,$C373),INDEX(Dataset3_Raw!$E$2:$E$391,$E373))</f>
        <v>1</v>
      </c>
      <c r="J373" s="23">
        <f>IF($C373&gt;0,INDEX(Merge_1_2!$F$2:$F$611,$C373),INDEX(Dataset3_Raw!$F$2:$F$391,$E373))</f>
        <v>23</v>
      </c>
      <c r="K373" s="23" t="b">
        <f>IF($C373&gt;0,INDEX(Merge_1_2!$G$2:$G$611,$C373),INDEX(Dataset3_Raw!$G$2:$G$391,$E373))</f>
        <v>0</v>
      </c>
      <c r="L373" s="23">
        <f>IF($C373&gt;0,INDEX(Merge_1_2!$H$2:$H$611,$C373),INDEX(Dataset3_Raw!$H$2:$H$391,$E373))</f>
        <v>0</v>
      </c>
      <c r="M373" s="23">
        <f>IF($C373&gt;0,INDEX(Merge_1_2!$I$2:$I$611,$C373),INDEX(Dataset3_Raw!$I$2:$I$391,$E373))</f>
        <v>2</v>
      </c>
      <c r="N373" s="25">
        <f>IF($C373&gt;0,INDEX(Merge_1_2!$J$2:$J$611,$C373),INDEX(Dataset3_Raw!$J$2:$J$391,$E373))</f>
        <v>0.2</v>
      </c>
      <c r="O373" s="25">
        <f>IF($C373&gt;0,IF(ISNUMBER(INDEX(Merge_1_2!$K$2:$K$611,$C373)),INDEX(Merge_1_2!$K$2:$K$611,$C373),""),INDEX(Dataset3_Raw!$K$2:$K$391,$E373))</f>
        <v>0.2273</v>
      </c>
      <c r="P373" s="25">
        <f>IF(ISNUMBER($O373),$O373,ROUND(Lookups!$B$25+Lookups!$B$24*$N373,4))</f>
        <v>0.2273</v>
      </c>
      <c r="Q373" s="25">
        <f>IF($C373&gt;0,INDEX(Merge_1_2!$L$2:$L$611,$C373),INDEX(Dataset3_Raw!$L$2:$L$391,$E373))</f>
        <v>0.4</v>
      </c>
      <c r="R373" s="25">
        <f>IF($C373&gt;0,INDEX(Merge_1_2!$M$2:$M$611,$C373),INDEX(Dataset3_Raw!$M$2:$M$391,$E373))</f>
        <v>0.1045</v>
      </c>
      <c r="S373" s="23">
        <f>IF($C373&gt;0,INDEX(Merge_1_2!$N$2:$N$611,$C373),INDEX(Dataset3_Raw!$N$2:$N$391,$E373))</f>
        <v>0</v>
      </c>
      <c r="T373" s="23">
        <f>IF($C373&gt;0,INDEX(Merge_1_2!$O$2:$O$611,$C373),INDEX(Dataset3_Raw!$O$2:$O$391,$E373))</f>
        <v>18</v>
      </c>
      <c r="U373" s="23">
        <f>IF($C373&gt;0,INDEX(Merge_1_2!$P$2:$P$611,$C373),INDEX(Dataset3_Raw!$P$2:$P$391,$E373))</f>
        <v>18</v>
      </c>
      <c r="V373" s="23" t="str">
        <f t="shared" si="31"/>
        <v>Weekend</v>
      </c>
      <c r="W373" s="23" t="str">
        <f>VLOOKUP($M373,Lookups!$A$5:$B$8,2,FALSE())</f>
        <v>Mist / Cloudy</v>
      </c>
      <c r="X373" s="23" t="str">
        <f>VLOOKUP($G373,Lookups!$D$5:$E$8,2,FALSE())</f>
        <v>Winter</v>
      </c>
      <c r="Y373" s="23" t="str">
        <f>VLOOKUP($L373,Lookups!$G$5:$H$11,2,FALSE())</f>
        <v>Sunday</v>
      </c>
      <c r="Z373" s="23" t="str">
        <f>IF($J373&lt;Lookups!$B$26,"Night",IF($J373&lt;Lookups!$B$27,"Morning",IF($J373&lt;Lookups!$B$28,"Afternoon","Evening")))</f>
        <v>Evening</v>
      </c>
      <c r="AA373" s="26">
        <f>ROUND($N373*(Lookups!$B$16-Lookups!$B$15)+Lookups!$B$15,1)</f>
        <v>1.4</v>
      </c>
      <c r="AB373" s="26">
        <f>ROUND($P373*(Lookups!$B$18-Lookups!$B$17)+Lookups!$B$17,1)</f>
        <v>-1</v>
      </c>
      <c r="AC373" s="23">
        <f t="shared" si="32"/>
        <v>40</v>
      </c>
      <c r="AD373" s="23">
        <f>ROUND($R373*Lookups!$B$19,1)</f>
        <v>7</v>
      </c>
      <c r="AE373" s="27">
        <f t="shared" si="33"/>
        <v>1</v>
      </c>
      <c r="AF373" s="23" t="str">
        <f>IF($U373&gt;=Lookups!$B$23,"High",IF($U373&gt;=Lookups!$B$22,"Medium","Low"))</f>
        <v>Medium</v>
      </c>
      <c r="AG373" s="23">
        <f>ROUND(IF($V373="Weekday",IF(INDEX(Hourly_Analysis!$D$5:$D$28,$J373+1)&gt;0,($U373-INDEX(Hourly_Analysis!$C$5:$C$28,$J373+1))/INDEX(Hourly_Analysis!$D$5:$D$28,$J373+1),0),IF(INDEX(Hourly_Analysis!$G$5:$G$28,$J373+1)&gt;0,($U373-INDEX(Hourly_Analysis!$F$5:$F$28,$J373+1))/INDEX(Hourly_Analysis!$G$5:$G$28,$J373+1),0)),2)</f>
        <v>-0.57999999999999996</v>
      </c>
      <c r="AH373" s="23" t="str">
        <f>IF(ABS($AG373)&gt;Lookups!$B$20,IF($AG373&gt;0,"High anomaly","Low anomaly"),"")</f>
        <v/>
      </c>
      <c r="AI373" s="23" t="str">
        <f t="shared" si="34"/>
        <v>OK</v>
      </c>
      <c r="AJ373" s="23" t="str">
        <f t="shared" si="35"/>
        <v>No</v>
      </c>
    </row>
    <row r="374" spans="1:36" x14ac:dyDescent="0.35">
      <c r="A374" s="23">
        <v>373</v>
      </c>
      <c r="B374" s="23" t="str">
        <f t="shared" si="30"/>
        <v>Merge 1+2</v>
      </c>
      <c r="C374" s="23">
        <f>IFERROR(MATCH($A374,Merge_1_2!$A$2:$A$611,0),0)</f>
        <v>373</v>
      </c>
      <c r="D374" s="23">
        <f>IF($C374&gt;0,INDEX(Merge_1_2!$Q$2:$Q$611,$C374),0)</f>
        <v>373</v>
      </c>
      <c r="E374" s="23">
        <f>IFERROR(MATCH($A374,Dataset3_Raw!$A$2:$A$391,0),0)</f>
        <v>0</v>
      </c>
      <c r="F374" s="24">
        <f>IF($C374&gt;0,INDEX(Merge_1_2!$B$2:$B$611,$C374),DATE(VALUE(RIGHT(INDEX(Dataset3_Raw!$B$2:$B$391,$E374),4)),VALUE(MID(INDEX(Dataset3_Raw!$B$2:$B$391,$E374),4,2)),VALUE(LEFT(INDEX(Dataset3_Raw!$B$2:$B$391,$E374),2))))</f>
        <v>40560</v>
      </c>
      <c r="G374" s="23">
        <f>IF($C374&gt;0,INDEX(Merge_1_2!$C$2:$C$611,$C374),INDEX(Dataset3_Raw!$C$2:$C$391,$E374))</f>
        <v>1</v>
      </c>
      <c r="H374" s="23">
        <f>IF($C374&gt;0,INDEX(Merge_1_2!$D$2:$D$611,$C374),INDEX(Dataset3_Raw!$D$2:$D$391,$E374))</f>
        <v>0</v>
      </c>
      <c r="I374" s="23">
        <f>IF($C374&gt;0,INDEX(Merge_1_2!$E$2:$E$611,$C374),INDEX(Dataset3_Raw!$E$2:$E$391,$E374))</f>
        <v>1</v>
      </c>
      <c r="J374" s="23">
        <f>IF($C374&gt;0,INDEX(Merge_1_2!$F$2:$F$611,$C374),INDEX(Dataset3_Raw!$F$2:$F$391,$E374))</f>
        <v>0</v>
      </c>
      <c r="K374" s="23" t="b">
        <f>IF($C374&gt;0,INDEX(Merge_1_2!$G$2:$G$611,$C374),INDEX(Dataset3_Raw!$G$2:$G$391,$E374))</f>
        <v>1</v>
      </c>
      <c r="L374" s="23">
        <f>IF($C374&gt;0,INDEX(Merge_1_2!$H$2:$H$611,$C374),INDEX(Dataset3_Raw!$H$2:$H$391,$E374))</f>
        <v>1</v>
      </c>
      <c r="M374" s="23">
        <f>IF($C374&gt;0,INDEX(Merge_1_2!$I$2:$I$611,$C374),INDEX(Dataset3_Raw!$I$2:$I$391,$E374))</f>
        <v>2</v>
      </c>
      <c r="N374" s="25">
        <f>IF($C374&gt;0,INDEX(Merge_1_2!$J$2:$J$611,$C374),INDEX(Dataset3_Raw!$J$2:$J$391,$E374))</f>
        <v>0.2</v>
      </c>
      <c r="O374" s="25">
        <f>IF($C374&gt;0,IF(ISNUMBER(INDEX(Merge_1_2!$K$2:$K$611,$C374)),INDEX(Merge_1_2!$K$2:$K$611,$C374),""),INDEX(Dataset3_Raw!$K$2:$K$391,$E374))</f>
        <v>0.19700000000000001</v>
      </c>
      <c r="P374" s="25">
        <f>IF(ISNUMBER($O374),$O374,ROUND(Lookups!$B$25+Lookups!$B$24*$N374,4))</f>
        <v>0.19700000000000001</v>
      </c>
      <c r="Q374" s="25">
        <f>IF($C374&gt;0,INDEX(Merge_1_2!$L$2:$L$611,$C374),INDEX(Dataset3_Raw!$L$2:$L$391,$E374))</f>
        <v>0.47</v>
      </c>
      <c r="R374" s="25">
        <f>IF($C374&gt;0,INDEX(Merge_1_2!$M$2:$M$611,$C374),INDEX(Dataset3_Raw!$M$2:$M$391,$E374))</f>
        <v>0.22389999999999999</v>
      </c>
      <c r="S374" s="23">
        <f>IF($C374&gt;0,INDEX(Merge_1_2!$N$2:$N$611,$C374),INDEX(Dataset3_Raw!$N$2:$N$391,$E374))</f>
        <v>1</v>
      </c>
      <c r="T374" s="23">
        <f>IF($C374&gt;0,INDEX(Merge_1_2!$O$2:$O$611,$C374),INDEX(Dataset3_Raw!$O$2:$O$391,$E374))</f>
        <v>16</v>
      </c>
      <c r="U374" s="23">
        <f>IF($C374&gt;0,INDEX(Merge_1_2!$P$2:$P$611,$C374),INDEX(Dataset3_Raw!$P$2:$P$391,$E374))</f>
        <v>17</v>
      </c>
      <c r="V374" s="23" t="str">
        <f t="shared" si="31"/>
        <v>Holiday</v>
      </c>
      <c r="W374" s="23" t="str">
        <f>VLOOKUP($M374,Lookups!$A$5:$B$8,2,FALSE())</f>
        <v>Mist / Cloudy</v>
      </c>
      <c r="X374" s="23" t="str">
        <f>VLOOKUP($G374,Lookups!$D$5:$E$8,2,FALSE())</f>
        <v>Winter</v>
      </c>
      <c r="Y374" s="23" t="str">
        <f>VLOOKUP($L374,Lookups!$G$5:$H$11,2,FALSE())</f>
        <v>Monday</v>
      </c>
      <c r="Z374" s="23" t="str">
        <f>IF($J374&lt;Lookups!$B$26,"Night",IF($J374&lt;Lookups!$B$27,"Morning",IF($J374&lt;Lookups!$B$28,"Afternoon","Evening")))</f>
        <v>Night</v>
      </c>
      <c r="AA374" s="26">
        <f>ROUND($N374*(Lookups!$B$16-Lookups!$B$15)+Lookups!$B$15,1)</f>
        <v>1.4</v>
      </c>
      <c r="AB374" s="26">
        <f>ROUND($P374*(Lookups!$B$18-Lookups!$B$17)+Lookups!$B$17,1)</f>
        <v>-3</v>
      </c>
      <c r="AC374" s="23">
        <f t="shared" si="32"/>
        <v>47</v>
      </c>
      <c r="AD374" s="23">
        <f>ROUND($R374*Lookups!$B$19,1)</f>
        <v>15</v>
      </c>
      <c r="AE374" s="27">
        <f t="shared" si="33"/>
        <v>0.94117647058823528</v>
      </c>
      <c r="AF374" s="23" t="str">
        <f>IF($U374&gt;=Lookups!$B$23,"High",IF($U374&gt;=Lookups!$B$22,"Medium","Low"))</f>
        <v>Medium</v>
      </c>
      <c r="AG374" s="23">
        <f>ROUND(IF($V374="Weekday",IF(INDEX(Hourly_Analysis!$D$5:$D$28,$J374+1)&gt;0,($U374-INDEX(Hourly_Analysis!$C$5:$C$28,$J374+1))/INDEX(Hourly_Analysis!$D$5:$D$28,$J374+1),0),IF(INDEX(Hourly_Analysis!$G$5:$G$28,$J374+1)&gt;0,($U374-INDEX(Hourly_Analysis!$F$5:$F$28,$J374+1))/INDEX(Hourly_Analysis!$G$5:$G$28,$J374+1),0)),2)</f>
        <v>-1.1299999999999999</v>
      </c>
      <c r="AH374" s="23" t="str">
        <f>IF(ABS($AG374)&gt;Lookups!$B$20,IF($AG374&gt;0,"High anomaly","Low anomaly"),"")</f>
        <v/>
      </c>
      <c r="AI374" s="23" t="str">
        <f t="shared" si="34"/>
        <v>OK</v>
      </c>
      <c r="AJ374" s="23" t="str">
        <f t="shared" si="35"/>
        <v>No</v>
      </c>
    </row>
    <row r="375" spans="1:36" x14ac:dyDescent="0.35">
      <c r="A375" s="23">
        <v>374</v>
      </c>
      <c r="B375" s="23" t="str">
        <f t="shared" si="30"/>
        <v>Merge 1+2</v>
      </c>
      <c r="C375" s="23">
        <f>IFERROR(MATCH($A375,Merge_1_2!$A$2:$A$611,0),0)</f>
        <v>374</v>
      </c>
      <c r="D375" s="23">
        <f>IF($C375&gt;0,INDEX(Merge_1_2!$Q$2:$Q$611,$C375),0)</f>
        <v>374</v>
      </c>
      <c r="E375" s="23">
        <f>IFERROR(MATCH($A375,Dataset3_Raw!$A$2:$A$391,0),0)</f>
        <v>0</v>
      </c>
      <c r="F375" s="24">
        <f>IF($C375&gt;0,INDEX(Merge_1_2!$B$2:$B$611,$C375),DATE(VALUE(RIGHT(INDEX(Dataset3_Raw!$B$2:$B$391,$E375),4)),VALUE(MID(INDEX(Dataset3_Raw!$B$2:$B$391,$E375),4,2)),VALUE(LEFT(INDEX(Dataset3_Raw!$B$2:$B$391,$E375),2))))</f>
        <v>40560</v>
      </c>
      <c r="G375" s="23">
        <f>IF($C375&gt;0,INDEX(Merge_1_2!$C$2:$C$611,$C375),INDEX(Dataset3_Raw!$C$2:$C$391,$E375))</f>
        <v>1</v>
      </c>
      <c r="H375" s="23">
        <f>IF($C375&gt;0,INDEX(Merge_1_2!$D$2:$D$611,$C375),INDEX(Dataset3_Raw!$D$2:$D$391,$E375))</f>
        <v>0</v>
      </c>
      <c r="I375" s="23">
        <f>IF($C375&gt;0,INDEX(Merge_1_2!$E$2:$E$611,$C375),INDEX(Dataset3_Raw!$E$2:$E$391,$E375))</f>
        <v>1</v>
      </c>
      <c r="J375" s="23">
        <f>IF($C375&gt;0,INDEX(Merge_1_2!$F$2:$F$611,$C375),INDEX(Dataset3_Raw!$F$2:$F$391,$E375))</f>
        <v>1</v>
      </c>
      <c r="K375" s="23" t="b">
        <f>IF($C375&gt;0,INDEX(Merge_1_2!$G$2:$G$611,$C375),INDEX(Dataset3_Raw!$G$2:$G$391,$E375))</f>
        <v>1</v>
      </c>
      <c r="L375" s="23">
        <f>IF($C375&gt;0,INDEX(Merge_1_2!$H$2:$H$611,$C375),INDEX(Dataset3_Raw!$H$2:$H$391,$E375))</f>
        <v>1</v>
      </c>
      <c r="M375" s="23">
        <f>IF($C375&gt;0,INDEX(Merge_1_2!$I$2:$I$611,$C375),INDEX(Dataset3_Raw!$I$2:$I$391,$E375))</f>
        <v>2</v>
      </c>
      <c r="N375" s="25">
        <f>IF($C375&gt;0,INDEX(Merge_1_2!$J$2:$J$611,$C375),INDEX(Dataset3_Raw!$J$2:$J$391,$E375))</f>
        <v>0.2</v>
      </c>
      <c r="O375" s="25">
        <f>IF($C375&gt;0,IF(ISNUMBER(INDEX(Merge_1_2!$K$2:$K$611,$C375)),INDEX(Merge_1_2!$K$2:$K$611,$C375),""),INDEX(Dataset3_Raw!$K$2:$K$391,$E375))</f>
        <v>0.19700000000000001</v>
      </c>
      <c r="P375" s="25">
        <f>IF(ISNUMBER($O375),$O375,ROUND(Lookups!$B$25+Lookups!$B$24*$N375,4))</f>
        <v>0.19700000000000001</v>
      </c>
      <c r="Q375" s="25">
        <f>IF($C375&gt;0,INDEX(Merge_1_2!$L$2:$L$611,$C375),INDEX(Dataset3_Raw!$L$2:$L$391,$E375))</f>
        <v>0.44</v>
      </c>
      <c r="R375" s="25">
        <f>IF($C375&gt;0,INDEX(Merge_1_2!$M$2:$M$611,$C375),INDEX(Dataset3_Raw!$M$2:$M$391,$E375))</f>
        <v>0.19400000000000001</v>
      </c>
      <c r="S375" s="23">
        <f>IF($C375&gt;0,INDEX(Merge_1_2!$N$2:$N$611,$C375),INDEX(Dataset3_Raw!$N$2:$N$391,$E375))</f>
        <v>1</v>
      </c>
      <c r="T375" s="23">
        <f>IF($C375&gt;0,INDEX(Merge_1_2!$O$2:$O$611,$C375),INDEX(Dataset3_Raw!$O$2:$O$391,$E375))</f>
        <v>15</v>
      </c>
      <c r="U375" s="23">
        <f>IF($C375&gt;0,INDEX(Merge_1_2!$P$2:$P$611,$C375),INDEX(Dataset3_Raw!$P$2:$P$391,$E375))</f>
        <v>16</v>
      </c>
      <c r="V375" s="23" t="str">
        <f t="shared" si="31"/>
        <v>Holiday</v>
      </c>
      <c r="W375" s="23" t="str">
        <f>VLOOKUP($M375,Lookups!$A$5:$B$8,2,FALSE())</f>
        <v>Mist / Cloudy</v>
      </c>
      <c r="X375" s="23" t="str">
        <f>VLOOKUP($G375,Lookups!$D$5:$E$8,2,FALSE())</f>
        <v>Winter</v>
      </c>
      <c r="Y375" s="23" t="str">
        <f>VLOOKUP($L375,Lookups!$G$5:$H$11,2,FALSE())</f>
        <v>Monday</v>
      </c>
      <c r="Z375" s="23" t="str">
        <f>IF($J375&lt;Lookups!$B$26,"Night",IF($J375&lt;Lookups!$B$27,"Morning",IF($J375&lt;Lookups!$B$28,"Afternoon","Evening")))</f>
        <v>Night</v>
      </c>
      <c r="AA375" s="26">
        <f>ROUND($N375*(Lookups!$B$16-Lookups!$B$15)+Lookups!$B$15,1)</f>
        <v>1.4</v>
      </c>
      <c r="AB375" s="26">
        <f>ROUND($P375*(Lookups!$B$18-Lookups!$B$17)+Lookups!$B$17,1)</f>
        <v>-3</v>
      </c>
      <c r="AC375" s="23">
        <f t="shared" si="32"/>
        <v>44</v>
      </c>
      <c r="AD375" s="23">
        <f>ROUND($R375*Lookups!$B$19,1)</f>
        <v>13</v>
      </c>
      <c r="AE375" s="27">
        <f t="shared" si="33"/>
        <v>0.9375</v>
      </c>
      <c r="AF375" s="23" t="str">
        <f>IF($U375&gt;=Lookups!$B$23,"High",IF($U375&gt;=Lookups!$B$22,"Medium","Low"))</f>
        <v>Medium</v>
      </c>
      <c r="AG375" s="23">
        <f>ROUND(IF($V375="Weekday",IF(INDEX(Hourly_Analysis!$D$5:$D$28,$J375+1)&gt;0,($U375-INDEX(Hourly_Analysis!$C$5:$C$28,$J375+1))/INDEX(Hourly_Analysis!$D$5:$D$28,$J375+1),0),IF(INDEX(Hourly_Analysis!$G$5:$G$28,$J375+1)&gt;0,($U375-INDEX(Hourly_Analysis!$F$5:$F$28,$J375+1))/INDEX(Hourly_Analysis!$G$5:$G$28,$J375+1),0)),2)</f>
        <v>-0.62</v>
      </c>
      <c r="AH375" s="23" t="str">
        <f>IF(ABS($AG375)&gt;Lookups!$B$20,IF($AG375&gt;0,"High anomaly","Low anomaly"),"")</f>
        <v/>
      </c>
      <c r="AI375" s="23" t="str">
        <f t="shared" si="34"/>
        <v>OK</v>
      </c>
      <c r="AJ375" s="23" t="str">
        <f t="shared" si="35"/>
        <v>No</v>
      </c>
    </row>
    <row r="376" spans="1:36" x14ac:dyDescent="0.35">
      <c r="A376" s="23">
        <v>375</v>
      </c>
      <c r="B376" s="23" t="str">
        <f t="shared" si="30"/>
        <v>Merge 1+2</v>
      </c>
      <c r="C376" s="23">
        <f>IFERROR(MATCH($A376,Merge_1_2!$A$2:$A$611,0),0)</f>
        <v>375</v>
      </c>
      <c r="D376" s="23">
        <f>IF($C376&gt;0,INDEX(Merge_1_2!$Q$2:$Q$611,$C376),0)</f>
        <v>375</v>
      </c>
      <c r="E376" s="23">
        <f>IFERROR(MATCH($A376,Dataset3_Raw!$A$2:$A$391,0),0)</f>
        <v>0</v>
      </c>
      <c r="F376" s="24">
        <f>IF($C376&gt;0,INDEX(Merge_1_2!$B$2:$B$611,$C376),DATE(VALUE(RIGHT(INDEX(Dataset3_Raw!$B$2:$B$391,$E376),4)),VALUE(MID(INDEX(Dataset3_Raw!$B$2:$B$391,$E376),4,2)),VALUE(LEFT(INDEX(Dataset3_Raw!$B$2:$B$391,$E376),2))))</f>
        <v>40560</v>
      </c>
      <c r="G376" s="23">
        <f>IF($C376&gt;0,INDEX(Merge_1_2!$C$2:$C$611,$C376),INDEX(Dataset3_Raw!$C$2:$C$391,$E376))</f>
        <v>1</v>
      </c>
      <c r="H376" s="23">
        <f>IF($C376&gt;0,INDEX(Merge_1_2!$D$2:$D$611,$C376),INDEX(Dataset3_Raw!$D$2:$D$391,$E376))</f>
        <v>0</v>
      </c>
      <c r="I376" s="23">
        <f>IF($C376&gt;0,INDEX(Merge_1_2!$E$2:$E$611,$C376),INDEX(Dataset3_Raw!$E$2:$E$391,$E376))</f>
        <v>1</v>
      </c>
      <c r="J376" s="23">
        <f>IF($C376&gt;0,INDEX(Merge_1_2!$F$2:$F$611,$C376),INDEX(Dataset3_Raw!$F$2:$F$391,$E376))</f>
        <v>2</v>
      </c>
      <c r="K376" s="23" t="b">
        <f>IF($C376&gt;0,INDEX(Merge_1_2!$G$2:$G$611,$C376),INDEX(Dataset3_Raw!$G$2:$G$391,$E376))</f>
        <v>1</v>
      </c>
      <c r="L376" s="23">
        <f>IF($C376&gt;0,INDEX(Merge_1_2!$H$2:$H$611,$C376),INDEX(Dataset3_Raw!$H$2:$H$391,$E376))</f>
        <v>1</v>
      </c>
      <c r="M376" s="23">
        <f>IF($C376&gt;0,INDEX(Merge_1_2!$I$2:$I$611,$C376),INDEX(Dataset3_Raw!$I$2:$I$391,$E376))</f>
        <v>2</v>
      </c>
      <c r="N376" s="25">
        <f>IF($C376&gt;0,INDEX(Merge_1_2!$J$2:$J$611,$C376),INDEX(Dataset3_Raw!$J$2:$J$391,$E376))</f>
        <v>0.18</v>
      </c>
      <c r="O376" s="25">
        <f>IF($C376&gt;0,IF(ISNUMBER(INDEX(Merge_1_2!$K$2:$K$611,$C376)),INDEX(Merge_1_2!$K$2:$K$611,$C376),""),INDEX(Dataset3_Raw!$K$2:$K$391,$E376))</f>
        <v>0.16669999999999999</v>
      </c>
      <c r="P376" s="25">
        <f>IF(ISNUMBER($O376),$O376,ROUND(Lookups!$B$25+Lookups!$B$24*$N376,4))</f>
        <v>0.16669999999999999</v>
      </c>
      <c r="Q376" s="25">
        <f>IF($C376&gt;0,INDEX(Merge_1_2!$L$2:$L$611,$C376),INDEX(Dataset3_Raw!$L$2:$L$391,$E376))</f>
        <v>0.43</v>
      </c>
      <c r="R376" s="25">
        <f>IF($C376&gt;0,INDEX(Merge_1_2!$M$2:$M$611,$C376),INDEX(Dataset3_Raw!$M$2:$M$391,$E376))</f>
        <v>0.25369999999999998</v>
      </c>
      <c r="S376" s="23">
        <f>IF($C376&gt;0,INDEX(Merge_1_2!$N$2:$N$611,$C376),INDEX(Dataset3_Raw!$N$2:$N$391,$E376))</f>
        <v>0</v>
      </c>
      <c r="T376" s="23">
        <f>IF($C376&gt;0,INDEX(Merge_1_2!$O$2:$O$611,$C376),INDEX(Dataset3_Raw!$O$2:$O$391,$E376))</f>
        <v>8</v>
      </c>
      <c r="U376" s="23">
        <f>IF($C376&gt;0,INDEX(Merge_1_2!$P$2:$P$611,$C376),INDEX(Dataset3_Raw!$P$2:$P$391,$E376))</f>
        <v>8</v>
      </c>
      <c r="V376" s="23" t="str">
        <f t="shared" si="31"/>
        <v>Holiday</v>
      </c>
      <c r="W376" s="23" t="str">
        <f>VLOOKUP($M376,Lookups!$A$5:$B$8,2,FALSE())</f>
        <v>Mist / Cloudy</v>
      </c>
      <c r="X376" s="23" t="str">
        <f>VLOOKUP($G376,Lookups!$D$5:$E$8,2,FALSE())</f>
        <v>Winter</v>
      </c>
      <c r="Y376" s="23" t="str">
        <f>VLOOKUP($L376,Lookups!$G$5:$H$11,2,FALSE())</f>
        <v>Monday</v>
      </c>
      <c r="Z376" s="23" t="str">
        <f>IF($J376&lt;Lookups!$B$26,"Night",IF($J376&lt;Lookups!$B$27,"Morning",IF($J376&lt;Lookups!$B$28,"Afternoon","Evening")))</f>
        <v>Night</v>
      </c>
      <c r="AA376" s="26">
        <f>ROUND($N376*(Lookups!$B$16-Lookups!$B$15)+Lookups!$B$15,1)</f>
        <v>0.5</v>
      </c>
      <c r="AB376" s="26">
        <f>ROUND($P376*(Lookups!$B$18-Lookups!$B$17)+Lookups!$B$17,1)</f>
        <v>-5</v>
      </c>
      <c r="AC376" s="23">
        <f t="shared" si="32"/>
        <v>43</v>
      </c>
      <c r="AD376" s="23">
        <f>ROUND($R376*Lookups!$B$19,1)</f>
        <v>17</v>
      </c>
      <c r="AE376" s="27">
        <f t="shared" si="33"/>
        <v>1</v>
      </c>
      <c r="AF376" s="23" t="str">
        <f>IF($U376&gt;=Lookups!$B$23,"High",IF($U376&gt;=Lookups!$B$22,"Medium","Low"))</f>
        <v>Low</v>
      </c>
      <c r="AG376" s="23">
        <f>ROUND(IF($V376="Weekday",IF(INDEX(Hourly_Analysis!$D$5:$D$28,$J376+1)&gt;0,($U376-INDEX(Hourly_Analysis!$C$5:$C$28,$J376+1))/INDEX(Hourly_Analysis!$D$5:$D$28,$J376+1),0),IF(INDEX(Hourly_Analysis!$G$5:$G$28,$J376+1)&gt;0,($U376-INDEX(Hourly_Analysis!$F$5:$F$28,$J376+1))/INDEX(Hourly_Analysis!$G$5:$G$28,$J376+1),0)),2)</f>
        <v>-1.25</v>
      </c>
      <c r="AH376" s="23" t="str">
        <f>IF(ABS($AG376)&gt;Lookups!$B$20,IF($AG376&gt;0,"High anomaly","Low anomaly"),"")</f>
        <v/>
      </c>
      <c r="AI376" s="23" t="str">
        <f t="shared" si="34"/>
        <v>OK</v>
      </c>
      <c r="AJ376" s="23" t="str">
        <f t="shared" si="35"/>
        <v>No</v>
      </c>
    </row>
    <row r="377" spans="1:36" x14ac:dyDescent="0.35">
      <c r="A377" s="23">
        <v>376</v>
      </c>
      <c r="B377" s="23" t="str">
        <f t="shared" si="30"/>
        <v>Merge 1+2</v>
      </c>
      <c r="C377" s="23">
        <f>IFERROR(MATCH($A377,Merge_1_2!$A$2:$A$611,0),0)</f>
        <v>376</v>
      </c>
      <c r="D377" s="23">
        <f>IF($C377&gt;0,INDEX(Merge_1_2!$Q$2:$Q$611,$C377),0)</f>
        <v>376</v>
      </c>
      <c r="E377" s="23">
        <f>IFERROR(MATCH($A377,Dataset3_Raw!$A$2:$A$391,0),0)</f>
        <v>0</v>
      </c>
      <c r="F377" s="24">
        <f>IF($C377&gt;0,INDEX(Merge_1_2!$B$2:$B$611,$C377),DATE(VALUE(RIGHT(INDEX(Dataset3_Raw!$B$2:$B$391,$E377),4)),VALUE(MID(INDEX(Dataset3_Raw!$B$2:$B$391,$E377),4,2)),VALUE(LEFT(INDEX(Dataset3_Raw!$B$2:$B$391,$E377),2))))</f>
        <v>40560</v>
      </c>
      <c r="G377" s="23">
        <f>IF($C377&gt;0,INDEX(Merge_1_2!$C$2:$C$611,$C377),INDEX(Dataset3_Raw!$C$2:$C$391,$E377))</f>
        <v>1</v>
      </c>
      <c r="H377" s="23">
        <f>IF($C377&gt;0,INDEX(Merge_1_2!$D$2:$D$611,$C377),INDEX(Dataset3_Raw!$D$2:$D$391,$E377))</f>
        <v>0</v>
      </c>
      <c r="I377" s="23">
        <f>IF($C377&gt;0,INDEX(Merge_1_2!$E$2:$E$611,$C377),INDEX(Dataset3_Raw!$E$2:$E$391,$E377))</f>
        <v>1</v>
      </c>
      <c r="J377" s="23">
        <f>IF($C377&gt;0,INDEX(Merge_1_2!$F$2:$F$611,$C377),INDEX(Dataset3_Raw!$F$2:$F$391,$E377))</f>
        <v>3</v>
      </c>
      <c r="K377" s="23" t="b">
        <f>IF($C377&gt;0,INDEX(Merge_1_2!$G$2:$G$611,$C377),INDEX(Dataset3_Raw!$G$2:$G$391,$E377))</f>
        <v>1</v>
      </c>
      <c r="L377" s="23">
        <f>IF($C377&gt;0,INDEX(Merge_1_2!$H$2:$H$611,$C377),INDEX(Dataset3_Raw!$H$2:$H$391,$E377))</f>
        <v>1</v>
      </c>
      <c r="M377" s="23">
        <f>IF($C377&gt;0,INDEX(Merge_1_2!$I$2:$I$611,$C377),INDEX(Dataset3_Raw!$I$2:$I$391,$E377))</f>
        <v>2</v>
      </c>
      <c r="N377" s="25">
        <f>IF($C377&gt;0,INDEX(Merge_1_2!$J$2:$J$611,$C377),INDEX(Dataset3_Raw!$J$2:$J$391,$E377))</f>
        <v>0.18</v>
      </c>
      <c r="O377" s="25">
        <f>IF($C377&gt;0,IF(ISNUMBER(INDEX(Merge_1_2!$K$2:$K$611,$C377)),INDEX(Merge_1_2!$K$2:$K$611,$C377),""),INDEX(Dataset3_Raw!$K$2:$K$391,$E377))</f>
        <v>0.18179999999999999</v>
      </c>
      <c r="P377" s="25">
        <f>IF(ISNUMBER($O377),$O377,ROUND(Lookups!$B$25+Lookups!$B$24*$N377,4))</f>
        <v>0.18179999999999999</v>
      </c>
      <c r="Q377" s="25">
        <f>IF($C377&gt;0,INDEX(Merge_1_2!$L$2:$L$611,$C377),INDEX(Dataset3_Raw!$L$2:$L$391,$E377))</f>
        <v>0.43</v>
      </c>
      <c r="R377" s="25">
        <f>IF($C377&gt;0,INDEX(Merge_1_2!$M$2:$M$611,$C377),INDEX(Dataset3_Raw!$M$2:$M$391,$E377))</f>
        <v>0.19400000000000001</v>
      </c>
      <c r="S377" s="23">
        <f>IF($C377&gt;0,INDEX(Merge_1_2!$N$2:$N$611,$C377),INDEX(Dataset3_Raw!$N$2:$N$391,$E377))</f>
        <v>0</v>
      </c>
      <c r="T377" s="23">
        <f>IF($C377&gt;0,INDEX(Merge_1_2!$O$2:$O$611,$C377),INDEX(Dataset3_Raw!$O$2:$O$391,$E377))</f>
        <v>2</v>
      </c>
      <c r="U377" s="23">
        <f>IF($C377&gt;0,INDEX(Merge_1_2!$P$2:$P$611,$C377),INDEX(Dataset3_Raw!$P$2:$P$391,$E377))</f>
        <v>2</v>
      </c>
      <c r="V377" s="23" t="str">
        <f t="shared" si="31"/>
        <v>Holiday</v>
      </c>
      <c r="W377" s="23" t="str">
        <f>VLOOKUP($M377,Lookups!$A$5:$B$8,2,FALSE())</f>
        <v>Mist / Cloudy</v>
      </c>
      <c r="X377" s="23" t="str">
        <f>VLOOKUP($G377,Lookups!$D$5:$E$8,2,FALSE())</f>
        <v>Winter</v>
      </c>
      <c r="Y377" s="23" t="str">
        <f>VLOOKUP($L377,Lookups!$G$5:$H$11,2,FALSE())</f>
        <v>Monday</v>
      </c>
      <c r="Z377" s="23" t="str">
        <f>IF($J377&lt;Lookups!$B$26,"Night",IF($J377&lt;Lookups!$B$27,"Morning",IF($J377&lt;Lookups!$B$28,"Afternoon","Evening")))</f>
        <v>Night</v>
      </c>
      <c r="AA377" s="26">
        <f>ROUND($N377*(Lookups!$B$16-Lookups!$B$15)+Lookups!$B$15,1)</f>
        <v>0.5</v>
      </c>
      <c r="AB377" s="26">
        <f>ROUND($P377*(Lookups!$B$18-Lookups!$B$17)+Lookups!$B$17,1)</f>
        <v>-4</v>
      </c>
      <c r="AC377" s="23">
        <f t="shared" si="32"/>
        <v>43</v>
      </c>
      <c r="AD377" s="23">
        <f>ROUND($R377*Lookups!$B$19,1)</f>
        <v>13</v>
      </c>
      <c r="AE377" s="27">
        <f t="shared" si="33"/>
        <v>1</v>
      </c>
      <c r="AF377" s="23" t="str">
        <f>IF($U377&gt;=Lookups!$B$23,"High",IF($U377&gt;=Lookups!$B$22,"Medium","Low"))</f>
        <v>Low</v>
      </c>
      <c r="AG377" s="23">
        <f>ROUND(IF($V377="Weekday",IF(INDEX(Hourly_Analysis!$D$5:$D$28,$J377+1)&gt;0,($U377-INDEX(Hourly_Analysis!$C$5:$C$28,$J377+1))/INDEX(Hourly_Analysis!$D$5:$D$28,$J377+1),0),IF(INDEX(Hourly_Analysis!$G$5:$G$28,$J377+1)&gt;0,($U377-INDEX(Hourly_Analysis!$F$5:$F$28,$J377+1))/INDEX(Hourly_Analysis!$G$5:$G$28,$J377+1),0)),2)</f>
        <v>-1.79</v>
      </c>
      <c r="AH377" s="23" t="str">
        <f>IF(ABS($AG377)&gt;Lookups!$B$20,IF($AG377&gt;0,"High anomaly","Low anomaly"),"")</f>
        <v/>
      </c>
      <c r="AI377" s="23" t="str">
        <f t="shared" si="34"/>
        <v>OK</v>
      </c>
      <c r="AJ377" s="23" t="str">
        <f t="shared" si="35"/>
        <v>No</v>
      </c>
    </row>
    <row r="378" spans="1:36" x14ac:dyDescent="0.35">
      <c r="A378" s="23">
        <v>377</v>
      </c>
      <c r="B378" s="23" t="str">
        <f t="shared" si="30"/>
        <v>Merge 1+2</v>
      </c>
      <c r="C378" s="23">
        <f>IFERROR(MATCH($A378,Merge_1_2!$A$2:$A$611,0),0)</f>
        <v>377</v>
      </c>
      <c r="D378" s="23">
        <f>IF($C378&gt;0,INDEX(Merge_1_2!$Q$2:$Q$611,$C378),0)</f>
        <v>377</v>
      </c>
      <c r="E378" s="23">
        <f>IFERROR(MATCH($A378,Dataset3_Raw!$A$2:$A$391,0),0)</f>
        <v>0</v>
      </c>
      <c r="F378" s="24">
        <f>IF($C378&gt;0,INDEX(Merge_1_2!$B$2:$B$611,$C378),DATE(VALUE(RIGHT(INDEX(Dataset3_Raw!$B$2:$B$391,$E378),4)),VALUE(MID(INDEX(Dataset3_Raw!$B$2:$B$391,$E378),4,2)),VALUE(LEFT(INDEX(Dataset3_Raw!$B$2:$B$391,$E378),2))))</f>
        <v>40560</v>
      </c>
      <c r="G378" s="23">
        <f>IF($C378&gt;0,INDEX(Merge_1_2!$C$2:$C$611,$C378),INDEX(Dataset3_Raw!$C$2:$C$391,$E378))</f>
        <v>1</v>
      </c>
      <c r="H378" s="23">
        <f>IF($C378&gt;0,INDEX(Merge_1_2!$D$2:$D$611,$C378),INDEX(Dataset3_Raw!$D$2:$D$391,$E378))</f>
        <v>0</v>
      </c>
      <c r="I378" s="23">
        <f>IF($C378&gt;0,INDEX(Merge_1_2!$E$2:$E$611,$C378),INDEX(Dataset3_Raw!$E$2:$E$391,$E378))</f>
        <v>1</v>
      </c>
      <c r="J378" s="23">
        <f>IF($C378&gt;0,INDEX(Merge_1_2!$F$2:$F$611,$C378),INDEX(Dataset3_Raw!$F$2:$F$391,$E378))</f>
        <v>4</v>
      </c>
      <c r="K378" s="23" t="b">
        <f>IF($C378&gt;0,INDEX(Merge_1_2!$G$2:$G$611,$C378),INDEX(Dataset3_Raw!$G$2:$G$391,$E378))</f>
        <v>1</v>
      </c>
      <c r="L378" s="23">
        <f>IF($C378&gt;0,INDEX(Merge_1_2!$H$2:$H$611,$C378),INDEX(Dataset3_Raw!$H$2:$H$391,$E378))</f>
        <v>1</v>
      </c>
      <c r="M378" s="23">
        <f>IF($C378&gt;0,INDEX(Merge_1_2!$I$2:$I$611,$C378),INDEX(Dataset3_Raw!$I$2:$I$391,$E378))</f>
        <v>2</v>
      </c>
      <c r="N378" s="25">
        <f>IF($C378&gt;0,INDEX(Merge_1_2!$J$2:$J$611,$C378),INDEX(Dataset3_Raw!$J$2:$J$391,$E378))</f>
        <v>0.18</v>
      </c>
      <c r="O378" s="25">
        <f>IF($C378&gt;0,IF(ISNUMBER(INDEX(Merge_1_2!$K$2:$K$611,$C378)),INDEX(Merge_1_2!$K$2:$K$611,$C378),""),INDEX(Dataset3_Raw!$K$2:$K$391,$E378))</f>
        <v>0.19700000000000001</v>
      </c>
      <c r="P378" s="25">
        <f>IF(ISNUMBER($O378),$O378,ROUND(Lookups!$B$25+Lookups!$B$24*$N378,4))</f>
        <v>0.19700000000000001</v>
      </c>
      <c r="Q378" s="25">
        <f>IF($C378&gt;0,INDEX(Merge_1_2!$L$2:$L$611,$C378),INDEX(Dataset3_Raw!$L$2:$L$391,$E378))</f>
        <v>0.43</v>
      </c>
      <c r="R378" s="25">
        <f>IF($C378&gt;0,INDEX(Merge_1_2!$M$2:$M$611,$C378),INDEX(Dataset3_Raw!$M$2:$M$391,$E378))</f>
        <v>0.1343</v>
      </c>
      <c r="S378" s="23">
        <f>IF($C378&gt;0,INDEX(Merge_1_2!$N$2:$N$611,$C378),INDEX(Dataset3_Raw!$N$2:$N$391,$E378))</f>
        <v>1</v>
      </c>
      <c r="T378" s="23">
        <f>IF($C378&gt;0,INDEX(Merge_1_2!$O$2:$O$611,$C378),INDEX(Dataset3_Raw!$O$2:$O$391,$E378))</f>
        <v>2</v>
      </c>
      <c r="U378" s="23">
        <f>IF($C378&gt;0,INDEX(Merge_1_2!$P$2:$P$611,$C378),INDEX(Dataset3_Raw!$P$2:$P$391,$E378))</f>
        <v>3</v>
      </c>
      <c r="V378" s="23" t="str">
        <f t="shared" si="31"/>
        <v>Holiday</v>
      </c>
      <c r="W378" s="23" t="str">
        <f>VLOOKUP($M378,Lookups!$A$5:$B$8,2,FALSE())</f>
        <v>Mist / Cloudy</v>
      </c>
      <c r="X378" s="23" t="str">
        <f>VLOOKUP($G378,Lookups!$D$5:$E$8,2,FALSE())</f>
        <v>Winter</v>
      </c>
      <c r="Y378" s="23" t="str">
        <f>VLOOKUP($L378,Lookups!$G$5:$H$11,2,FALSE())</f>
        <v>Monday</v>
      </c>
      <c r="Z378" s="23" t="str">
        <f>IF($J378&lt;Lookups!$B$26,"Night",IF($J378&lt;Lookups!$B$27,"Morning",IF($J378&lt;Lookups!$B$28,"Afternoon","Evening")))</f>
        <v>Night</v>
      </c>
      <c r="AA378" s="26">
        <f>ROUND($N378*(Lookups!$B$16-Lookups!$B$15)+Lookups!$B$15,1)</f>
        <v>0.5</v>
      </c>
      <c r="AB378" s="26">
        <f>ROUND($P378*(Lookups!$B$18-Lookups!$B$17)+Lookups!$B$17,1)</f>
        <v>-3</v>
      </c>
      <c r="AC378" s="23">
        <f t="shared" si="32"/>
        <v>43</v>
      </c>
      <c r="AD378" s="23">
        <f>ROUND($R378*Lookups!$B$19,1)</f>
        <v>9</v>
      </c>
      <c r="AE378" s="27">
        <f t="shared" si="33"/>
        <v>0.66666666666666663</v>
      </c>
      <c r="AF378" s="23" t="str">
        <f>IF($U378&gt;=Lookups!$B$23,"High",IF($U378&gt;=Lookups!$B$22,"Medium","Low"))</f>
        <v>Low</v>
      </c>
      <c r="AG378" s="23">
        <f>ROUND(IF($V378="Weekday",IF(INDEX(Hourly_Analysis!$D$5:$D$28,$J378+1)&gt;0,($U378-INDEX(Hourly_Analysis!$C$5:$C$28,$J378+1))/INDEX(Hourly_Analysis!$D$5:$D$28,$J378+1),0),IF(INDEX(Hourly_Analysis!$G$5:$G$28,$J378+1)&gt;0,($U378-INDEX(Hourly_Analysis!$F$5:$F$28,$J378+1))/INDEX(Hourly_Analysis!$G$5:$G$28,$J378+1),0)),2)</f>
        <v>0.14000000000000001</v>
      </c>
      <c r="AH378" s="23" t="str">
        <f>IF(ABS($AG378)&gt;Lookups!$B$20,IF($AG378&gt;0,"High anomaly","Low anomaly"),"")</f>
        <v/>
      </c>
      <c r="AI378" s="23" t="str">
        <f t="shared" si="34"/>
        <v>OK</v>
      </c>
      <c r="AJ378" s="23" t="str">
        <f t="shared" si="35"/>
        <v>No</v>
      </c>
    </row>
    <row r="379" spans="1:36" x14ac:dyDescent="0.35">
      <c r="A379" s="23">
        <v>378</v>
      </c>
      <c r="B379" s="23" t="str">
        <f t="shared" si="30"/>
        <v>Merge 1+2</v>
      </c>
      <c r="C379" s="23">
        <f>IFERROR(MATCH($A379,Merge_1_2!$A$2:$A$611,0),0)</f>
        <v>378</v>
      </c>
      <c r="D379" s="23">
        <f>IF($C379&gt;0,INDEX(Merge_1_2!$Q$2:$Q$611,$C379),0)</f>
        <v>378</v>
      </c>
      <c r="E379" s="23">
        <f>IFERROR(MATCH($A379,Dataset3_Raw!$A$2:$A$391,0),0)</f>
        <v>0</v>
      </c>
      <c r="F379" s="24">
        <f>IF($C379&gt;0,INDEX(Merge_1_2!$B$2:$B$611,$C379),DATE(VALUE(RIGHT(INDEX(Dataset3_Raw!$B$2:$B$391,$E379),4)),VALUE(MID(INDEX(Dataset3_Raw!$B$2:$B$391,$E379),4,2)),VALUE(LEFT(INDEX(Dataset3_Raw!$B$2:$B$391,$E379),2))))</f>
        <v>40560</v>
      </c>
      <c r="G379" s="23">
        <f>IF($C379&gt;0,INDEX(Merge_1_2!$C$2:$C$611,$C379),INDEX(Dataset3_Raw!$C$2:$C$391,$E379))</f>
        <v>1</v>
      </c>
      <c r="H379" s="23">
        <f>IF($C379&gt;0,INDEX(Merge_1_2!$D$2:$D$611,$C379),INDEX(Dataset3_Raw!$D$2:$D$391,$E379))</f>
        <v>0</v>
      </c>
      <c r="I379" s="23">
        <f>IF($C379&gt;0,INDEX(Merge_1_2!$E$2:$E$611,$C379),INDEX(Dataset3_Raw!$E$2:$E$391,$E379))</f>
        <v>1</v>
      </c>
      <c r="J379" s="23">
        <f>IF($C379&gt;0,INDEX(Merge_1_2!$F$2:$F$611,$C379),INDEX(Dataset3_Raw!$F$2:$F$391,$E379))</f>
        <v>5</v>
      </c>
      <c r="K379" s="23" t="b">
        <f>IF($C379&gt;0,INDEX(Merge_1_2!$G$2:$G$611,$C379),INDEX(Dataset3_Raw!$G$2:$G$391,$E379))</f>
        <v>1</v>
      </c>
      <c r="L379" s="23">
        <f>IF($C379&gt;0,INDEX(Merge_1_2!$H$2:$H$611,$C379),INDEX(Dataset3_Raw!$H$2:$H$391,$E379))</f>
        <v>1</v>
      </c>
      <c r="M379" s="23">
        <f>IF($C379&gt;0,INDEX(Merge_1_2!$I$2:$I$611,$C379),INDEX(Dataset3_Raw!$I$2:$I$391,$E379))</f>
        <v>2</v>
      </c>
      <c r="N379" s="25">
        <f>IF($C379&gt;0,INDEX(Merge_1_2!$J$2:$J$611,$C379),INDEX(Dataset3_Raw!$J$2:$J$391,$E379))</f>
        <v>0.18</v>
      </c>
      <c r="O379" s="25">
        <f>IF($C379&gt;0,IF(ISNUMBER(INDEX(Merge_1_2!$K$2:$K$611,$C379)),INDEX(Merge_1_2!$K$2:$K$611,$C379),""),INDEX(Dataset3_Raw!$K$2:$K$391,$E379))</f>
        <v>0.19700000000000001</v>
      </c>
      <c r="P379" s="25">
        <f>IF(ISNUMBER($O379),$O379,ROUND(Lookups!$B$25+Lookups!$B$24*$N379,4))</f>
        <v>0.19700000000000001</v>
      </c>
      <c r="Q379" s="25">
        <f>IF($C379&gt;0,INDEX(Merge_1_2!$L$2:$L$611,$C379),INDEX(Dataset3_Raw!$L$2:$L$391,$E379))</f>
        <v>0.43</v>
      </c>
      <c r="R379" s="25">
        <f>IF($C379&gt;0,INDEX(Merge_1_2!$M$2:$M$611,$C379),INDEX(Dataset3_Raw!$M$2:$M$391,$E379))</f>
        <v>0.16420000000000001</v>
      </c>
      <c r="S379" s="23">
        <f>IF($C379&gt;0,INDEX(Merge_1_2!$N$2:$N$611,$C379),INDEX(Dataset3_Raw!$N$2:$N$391,$E379))</f>
        <v>0</v>
      </c>
      <c r="T379" s="23">
        <f>IF($C379&gt;0,INDEX(Merge_1_2!$O$2:$O$611,$C379),INDEX(Dataset3_Raw!$O$2:$O$391,$E379))</f>
        <v>1</v>
      </c>
      <c r="U379" s="23">
        <f>IF($C379&gt;0,INDEX(Merge_1_2!$P$2:$P$611,$C379),INDEX(Dataset3_Raw!$P$2:$P$391,$E379))</f>
        <v>1</v>
      </c>
      <c r="V379" s="23" t="str">
        <f t="shared" si="31"/>
        <v>Holiday</v>
      </c>
      <c r="W379" s="23" t="str">
        <f>VLOOKUP($M379,Lookups!$A$5:$B$8,2,FALSE())</f>
        <v>Mist / Cloudy</v>
      </c>
      <c r="X379" s="23" t="str">
        <f>VLOOKUP($G379,Lookups!$D$5:$E$8,2,FALSE())</f>
        <v>Winter</v>
      </c>
      <c r="Y379" s="23" t="str">
        <f>VLOOKUP($L379,Lookups!$G$5:$H$11,2,FALSE())</f>
        <v>Monday</v>
      </c>
      <c r="Z379" s="23" t="str">
        <f>IF($J379&lt;Lookups!$B$26,"Night",IF($J379&lt;Lookups!$B$27,"Morning",IF($J379&lt;Lookups!$B$28,"Afternoon","Evening")))</f>
        <v>Night</v>
      </c>
      <c r="AA379" s="26">
        <f>ROUND($N379*(Lookups!$B$16-Lookups!$B$15)+Lookups!$B$15,1)</f>
        <v>0.5</v>
      </c>
      <c r="AB379" s="26">
        <f>ROUND($P379*(Lookups!$B$18-Lookups!$B$17)+Lookups!$B$17,1)</f>
        <v>-3</v>
      </c>
      <c r="AC379" s="23">
        <f t="shared" si="32"/>
        <v>43</v>
      </c>
      <c r="AD379" s="23">
        <f>ROUND($R379*Lookups!$B$19,1)</f>
        <v>11</v>
      </c>
      <c r="AE379" s="27">
        <f t="shared" si="33"/>
        <v>1</v>
      </c>
      <c r="AF379" s="23" t="str">
        <f>IF($U379&gt;=Lookups!$B$23,"High",IF($U379&gt;=Lookups!$B$22,"Medium","Low"))</f>
        <v>Low</v>
      </c>
      <c r="AG379" s="23">
        <f>ROUND(IF($V379="Weekday",IF(INDEX(Hourly_Analysis!$D$5:$D$28,$J379+1)&gt;0,($U379-INDEX(Hourly_Analysis!$C$5:$C$28,$J379+1))/INDEX(Hourly_Analysis!$D$5:$D$28,$J379+1),0),IF(INDEX(Hourly_Analysis!$G$5:$G$28,$J379+1)&gt;0,($U379-INDEX(Hourly_Analysis!$F$5:$F$28,$J379+1))/INDEX(Hourly_Analysis!$G$5:$G$28,$J379+1),0)),2)</f>
        <v>-0.62</v>
      </c>
      <c r="AH379" s="23" t="str">
        <f>IF(ABS($AG379)&gt;Lookups!$B$20,IF($AG379&gt;0,"High anomaly","Low anomaly"),"")</f>
        <v/>
      </c>
      <c r="AI379" s="23" t="str">
        <f t="shared" si="34"/>
        <v>OK</v>
      </c>
      <c r="AJ379" s="23" t="str">
        <f t="shared" si="35"/>
        <v>No</v>
      </c>
    </row>
    <row r="380" spans="1:36" x14ac:dyDescent="0.35">
      <c r="A380" s="23">
        <v>379</v>
      </c>
      <c r="B380" s="23" t="str">
        <f t="shared" si="30"/>
        <v>Merge 1+2</v>
      </c>
      <c r="C380" s="23">
        <f>IFERROR(MATCH($A380,Merge_1_2!$A$2:$A$611,0),0)</f>
        <v>379</v>
      </c>
      <c r="D380" s="23">
        <f>IF($C380&gt;0,INDEX(Merge_1_2!$Q$2:$Q$611,$C380),0)</f>
        <v>379</v>
      </c>
      <c r="E380" s="23">
        <f>IFERROR(MATCH($A380,Dataset3_Raw!$A$2:$A$391,0),0)</f>
        <v>0</v>
      </c>
      <c r="F380" s="24">
        <f>IF($C380&gt;0,INDEX(Merge_1_2!$B$2:$B$611,$C380),DATE(VALUE(RIGHT(INDEX(Dataset3_Raw!$B$2:$B$391,$E380),4)),VALUE(MID(INDEX(Dataset3_Raw!$B$2:$B$391,$E380),4,2)),VALUE(LEFT(INDEX(Dataset3_Raw!$B$2:$B$391,$E380),2))))</f>
        <v>40560</v>
      </c>
      <c r="G380" s="23">
        <f>IF($C380&gt;0,INDEX(Merge_1_2!$C$2:$C$611,$C380),INDEX(Dataset3_Raw!$C$2:$C$391,$E380))</f>
        <v>1</v>
      </c>
      <c r="H380" s="23">
        <f>IF($C380&gt;0,INDEX(Merge_1_2!$D$2:$D$611,$C380),INDEX(Dataset3_Raw!$D$2:$D$391,$E380))</f>
        <v>0</v>
      </c>
      <c r="I380" s="23">
        <f>IF($C380&gt;0,INDEX(Merge_1_2!$E$2:$E$611,$C380),INDEX(Dataset3_Raw!$E$2:$E$391,$E380))</f>
        <v>1</v>
      </c>
      <c r="J380" s="23">
        <f>IF($C380&gt;0,INDEX(Merge_1_2!$F$2:$F$611,$C380),INDEX(Dataset3_Raw!$F$2:$F$391,$E380))</f>
        <v>6</v>
      </c>
      <c r="K380" s="23" t="b">
        <f>IF($C380&gt;0,INDEX(Merge_1_2!$G$2:$G$611,$C380),INDEX(Dataset3_Raw!$G$2:$G$391,$E380))</f>
        <v>1</v>
      </c>
      <c r="L380" s="23">
        <f>IF($C380&gt;0,INDEX(Merge_1_2!$H$2:$H$611,$C380),INDEX(Dataset3_Raw!$H$2:$H$391,$E380))</f>
        <v>1</v>
      </c>
      <c r="M380" s="23">
        <f>IF($C380&gt;0,INDEX(Merge_1_2!$I$2:$I$611,$C380),INDEX(Dataset3_Raw!$I$2:$I$391,$E380))</f>
        <v>2</v>
      </c>
      <c r="N380" s="25">
        <f>IF($C380&gt;0,INDEX(Merge_1_2!$J$2:$J$611,$C380),INDEX(Dataset3_Raw!$J$2:$J$391,$E380))</f>
        <v>0.18</v>
      </c>
      <c r="O380" s="25">
        <f>IF($C380&gt;0,IF(ISNUMBER(INDEX(Merge_1_2!$K$2:$K$611,$C380)),INDEX(Merge_1_2!$K$2:$K$611,$C380),""),INDEX(Dataset3_Raw!$K$2:$K$391,$E380))</f>
        <v>0.18179999999999999</v>
      </c>
      <c r="P380" s="25">
        <f>IF(ISNUMBER($O380),$O380,ROUND(Lookups!$B$25+Lookups!$B$24*$N380,4))</f>
        <v>0.18179999999999999</v>
      </c>
      <c r="Q380" s="25">
        <f>IF($C380&gt;0,INDEX(Merge_1_2!$L$2:$L$611,$C380),INDEX(Dataset3_Raw!$L$2:$L$391,$E380))</f>
        <v>0.43</v>
      </c>
      <c r="R380" s="25">
        <f>IF($C380&gt;0,INDEX(Merge_1_2!$M$2:$M$611,$C380),INDEX(Dataset3_Raw!$M$2:$M$391,$E380))</f>
        <v>0.19400000000000001</v>
      </c>
      <c r="S380" s="23">
        <f>IF($C380&gt;0,INDEX(Merge_1_2!$N$2:$N$611,$C380),INDEX(Dataset3_Raw!$N$2:$N$391,$E380))</f>
        <v>0</v>
      </c>
      <c r="T380" s="23">
        <f>IF($C380&gt;0,INDEX(Merge_1_2!$O$2:$O$611,$C380),INDEX(Dataset3_Raw!$O$2:$O$391,$E380))</f>
        <v>5</v>
      </c>
      <c r="U380" s="23">
        <f>IF($C380&gt;0,INDEX(Merge_1_2!$P$2:$P$611,$C380),INDEX(Dataset3_Raw!$P$2:$P$391,$E380))</f>
        <v>5</v>
      </c>
      <c r="V380" s="23" t="str">
        <f t="shared" si="31"/>
        <v>Holiday</v>
      </c>
      <c r="W380" s="23" t="str">
        <f>VLOOKUP($M380,Lookups!$A$5:$B$8,2,FALSE())</f>
        <v>Mist / Cloudy</v>
      </c>
      <c r="X380" s="23" t="str">
        <f>VLOOKUP($G380,Lookups!$D$5:$E$8,2,FALSE())</f>
        <v>Winter</v>
      </c>
      <c r="Y380" s="23" t="str">
        <f>VLOOKUP($L380,Lookups!$G$5:$H$11,2,FALSE())</f>
        <v>Monday</v>
      </c>
      <c r="Z380" s="23" t="str">
        <f>IF($J380&lt;Lookups!$B$26,"Night",IF($J380&lt;Lookups!$B$27,"Morning",IF($J380&lt;Lookups!$B$28,"Afternoon","Evening")))</f>
        <v>Morning</v>
      </c>
      <c r="AA380" s="26">
        <f>ROUND($N380*(Lookups!$B$16-Lookups!$B$15)+Lookups!$B$15,1)</f>
        <v>0.5</v>
      </c>
      <c r="AB380" s="26">
        <f>ROUND($P380*(Lookups!$B$18-Lookups!$B$17)+Lookups!$B$17,1)</f>
        <v>-4</v>
      </c>
      <c r="AC380" s="23">
        <f t="shared" si="32"/>
        <v>43</v>
      </c>
      <c r="AD380" s="23">
        <f>ROUND($R380*Lookups!$B$19,1)</f>
        <v>13</v>
      </c>
      <c r="AE380" s="27">
        <f t="shared" si="33"/>
        <v>1</v>
      </c>
      <c r="AF380" s="23" t="str">
        <f>IF($U380&gt;=Lookups!$B$23,"High",IF($U380&gt;=Lookups!$B$22,"Medium","Low"))</f>
        <v>Low</v>
      </c>
      <c r="AG380" s="23">
        <f>ROUND(IF($V380="Weekday",IF(INDEX(Hourly_Analysis!$D$5:$D$28,$J380+1)&gt;0,($U380-INDEX(Hourly_Analysis!$C$5:$C$28,$J380+1))/INDEX(Hourly_Analysis!$D$5:$D$28,$J380+1),0),IF(INDEX(Hourly_Analysis!$G$5:$G$28,$J380+1)&gt;0,($U380-INDEX(Hourly_Analysis!$F$5:$F$28,$J380+1))/INDEX(Hourly_Analysis!$G$5:$G$28,$J380+1),0)),2)</f>
        <v>1.9</v>
      </c>
      <c r="AH380" s="23" t="str">
        <f>IF(ABS($AG380)&gt;Lookups!$B$20,IF($AG380&gt;0,"High anomaly","Low anomaly"),"")</f>
        <v/>
      </c>
      <c r="AI380" s="23" t="str">
        <f t="shared" si="34"/>
        <v>OK</v>
      </c>
      <c r="AJ380" s="23" t="str">
        <f t="shared" si="35"/>
        <v>No</v>
      </c>
    </row>
    <row r="381" spans="1:36" x14ac:dyDescent="0.35">
      <c r="A381" s="23">
        <v>380</v>
      </c>
      <c r="B381" s="23" t="str">
        <f t="shared" si="30"/>
        <v>Merge 1+2</v>
      </c>
      <c r="C381" s="23">
        <f>IFERROR(MATCH($A381,Merge_1_2!$A$2:$A$611,0),0)</f>
        <v>380</v>
      </c>
      <c r="D381" s="23">
        <f>IF($C381&gt;0,INDEX(Merge_1_2!$Q$2:$Q$611,$C381),0)</f>
        <v>380</v>
      </c>
      <c r="E381" s="23">
        <f>IFERROR(MATCH($A381,Dataset3_Raw!$A$2:$A$391,0),0)</f>
        <v>0</v>
      </c>
      <c r="F381" s="24">
        <f>IF($C381&gt;0,INDEX(Merge_1_2!$B$2:$B$611,$C381),DATE(VALUE(RIGHT(INDEX(Dataset3_Raw!$B$2:$B$391,$E381),4)),VALUE(MID(INDEX(Dataset3_Raw!$B$2:$B$391,$E381),4,2)),VALUE(LEFT(INDEX(Dataset3_Raw!$B$2:$B$391,$E381),2))))</f>
        <v>40560</v>
      </c>
      <c r="G381" s="23">
        <f>IF($C381&gt;0,INDEX(Merge_1_2!$C$2:$C$611,$C381),INDEX(Dataset3_Raw!$C$2:$C$391,$E381))</f>
        <v>1</v>
      </c>
      <c r="H381" s="23">
        <f>IF($C381&gt;0,INDEX(Merge_1_2!$D$2:$D$611,$C381),INDEX(Dataset3_Raw!$D$2:$D$391,$E381))</f>
        <v>0</v>
      </c>
      <c r="I381" s="23">
        <f>IF($C381&gt;0,INDEX(Merge_1_2!$E$2:$E$611,$C381),INDEX(Dataset3_Raw!$E$2:$E$391,$E381))</f>
        <v>1</v>
      </c>
      <c r="J381" s="23">
        <f>IF($C381&gt;0,INDEX(Merge_1_2!$F$2:$F$611,$C381),INDEX(Dataset3_Raw!$F$2:$F$391,$E381))</f>
        <v>7</v>
      </c>
      <c r="K381" s="23" t="b">
        <f>IF($C381&gt;0,INDEX(Merge_1_2!$G$2:$G$611,$C381),INDEX(Dataset3_Raw!$G$2:$G$391,$E381))</f>
        <v>1</v>
      </c>
      <c r="L381" s="23">
        <f>IF($C381&gt;0,INDEX(Merge_1_2!$H$2:$H$611,$C381),INDEX(Dataset3_Raw!$H$2:$H$391,$E381))</f>
        <v>1</v>
      </c>
      <c r="M381" s="23">
        <f>IF($C381&gt;0,INDEX(Merge_1_2!$I$2:$I$611,$C381),INDEX(Dataset3_Raw!$I$2:$I$391,$E381))</f>
        <v>2</v>
      </c>
      <c r="N381" s="25">
        <f>IF($C381&gt;0,INDEX(Merge_1_2!$J$2:$J$611,$C381),INDEX(Dataset3_Raw!$J$2:$J$391,$E381))</f>
        <v>0.16</v>
      </c>
      <c r="O381" s="25">
        <f>IF($C381&gt;0,IF(ISNUMBER(INDEX(Merge_1_2!$K$2:$K$611,$C381)),INDEX(Merge_1_2!$K$2:$K$611,$C381),""),INDEX(Dataset3_Raw!$K$2:$K$391,$E381))</f>
        <v>0.18179999999999999</v>
      </c>
      <c r="P381" s="25">
        <f>IF(ISNUMBER($O381),$O381,ROUND(Lookups!$B$25+Lookups!$B$24*$N381,4))</f>
        <v>0.18179999999999999</v>
      </c>
      <c r="Q381" s="25">
        <f>IF($C381&gt;0,INDEX(Merge_1_2!$L$2:$L$611,$C381),INDEX(Dataset3_Raw!$L$2:$L$391,$E381))</f>
        <v>0.5</v>
      </c>
      <c r="R381" s="25">
        <f>IF($C381&gt;0,INDEX(Merge_1_2!$M$2:$M$611,$C381),INDEX(Dataset3_Raw!$M$2:$M$391,$E381))</f>
        <v>0.1343</v>
      </c>
      <c r="S381" s="23">
        <f>IF($C381&gt;0,INDEX(Merge_1_2!$N$2:$N$611,$C381),INDEX(Dataset3_Raw!$N$2:$N$391,$E381))</f>
        <v>4</v>
      </c>
      <c r="T381" s="23">
        <f>IF($C381&gt;0,INDEX(Merge_1_2!$O$2:$O$611,$C381),INDEX(Dataset3_Raw!$O$2:$O$391,$E381))</f>
        <v>9</v>
      </c>
      <c r="U381" s="23">
        <f>IF($C381&gt;0,INDEX(Merge_1_2!$P$2:$P$611,$C381),INDEX(Dataset3_Raw!$P$2:$P$391,$E381))</f>
        <v>13</v>
      </c>
      <c r="V381" s="23" t="str">
        <f t="shared" si="31"/>
        <v>Holiday</v>
      </c>
      <c r="W381" s="23" t="str">
        <f>VLOOKUP($M381,Lookups!$A$5:$B$8,2,FALSE())</f>
        <v>Mist / Cloudy</v>
      </c>
      <c r="X381" s="23" t="str">
        <f>VLOOKUP($G381,Lookups!$D$5:$E$8,2,FALSE())</f>
        <v>Winter</v>
      </c>
      <c r="Y381" s="23" t="str">
        <f>VLOOKUP($L381,Lookups!$G$5:$H$11,2,FALSE())</f>
        <v>Monday</v>
      </c>
      <c r="Z381" s="23" t="str">
        <f>IF($J381&lt;Lookups!$B$26,"Night",IF($J381&lt;Lookups!$B$27,"Morning",IF($J381&lt;Lookups!$B$28,"Afternoon","Evening")))</f>
        <v>Morning</v>
      </c>
      <c r="AA381" s="26">
        <f>ROUND($N381*(Lookups!$B$16-Lookups!$B$15)+Lookups!$B$15,1)</f>
        <v>-0.5</v>
      </c>
      <c r="AB381" s="26">
        <f>ROUND($P381*(Lookups!$B$18-Lookups!$B$17)+Lookups!$B$17,1)</f>
        <v>-4</v>
      </c>
      <c r="AC381" s="23">
        <f t="shared" si="32"/>
        <v>50</v>
      </c>
      <c r="AD381" s="23">
        <f>ROUND($R381*Lookups!$B$19,1)</f>
        <v>9</v>
      </c>
      <c r="AE381" s="27">
        <f t="shared" si="33"/>
        <v>0.69230769230769229</v>
      </c>
      <c r="AF381" s="23" t="str">
        <f>IF($U381&gt;=Lookups!$B$23,"High",IF($U381&gt;=Lookups!$B$22,"Medium","Low"))</f>
        <v>Low</v>
      </c>
      <c r="AG381" s="23">
        <f>ROUND(IF($V381="Weekday",IF(INDEX(Hourly_Analysis!$D$5:$D$28,$J381+1)&gt;0,($U381-INDEX(Hourly_Analysis!$C$5:$C$28,$J381+1))/INDEX(Hourly_Analysis!$D$5:$D$28,$J381+1),0),IF(INDEX(Hourly_Analysis!$G$5:$G$28,$J381+1)&gt;0,($U381-INDEX(Hourly_Analysis!$F$5:$F$28,$J381+1))/INDEX(Hourly_Analysis!$G$5:$G$28,$J381+1),0)),2)</f>
        <v>1.92</v>
      </c>
      <c r="AH381" s="23" t="str">
        <f>IF(ABS($AG381)&gt;Lookups!$B$20,IF($AG381&gt;0,"High anomaly","Low anomaly"),"")</f>
        <v/>
      </c>
      <c r="AI381" s="23" t="str">
        <f t="shared" si="34"/>
        <v>OK</v>
      </c>
      <c r="AJ381" s="23" t="str">
        <f t="shared" si="35"/>
        <v>No</v>
      </c>
    </row>
    <row r="382" spans="1:36" x14ac:dyDescent="0.35">
      <c r="A382" s="23">
        <v>381</v>
      </c>
      <c r="B382" s="23" t="str">
        <f t="shared" si="30"/>
        <v>Merge 1+2</v>
      </c>
      <c r="C382" s="23">
        <f>IFERROR(MATCH($A382,Merge_1_2!$A$2:$A$611,0),0)</f>
        <v>381</v>
      </c>
      <c r="D382" s="23">
        <f>IF($C382&gt;0,INDEX(Merge_1_2!$Q$2:$Q$611,$C382),0)</f>
        <v>381</v>
      </c>
      <c r="E382" s="23">
        <f>IFERROR(MATCH($A382,Dataset3_Raw!$A$2:$A$391,0),0)</f>
        <v>0</v>
      </c>
      <c r="F382" s="24">
        <f>IF($C382&gt;0,INDEX(Merge_1_2!$B$2:$B$611,$C382),DATE(VALUE(RIGHT(INDEX(Dataset3_Raw!$B$2:$B$391,$E382),4)),VALUE(MID(INDEX(Dataset3_Raw!$B$2:$B$391,$E382),4,2)),VALUE(LEFT(INDEX(Dataset3_Raw!$B$2:$B$391,$E382),2))))</f>
        <v>40560</v>
      </c>
      <c r="G382" s="23">
        <f>IF($C382&gt;0,INDEX(Merge_1_2!$C$2:$C$611,$C382),INDEX(Dataset3_Raw!$C$2:$C$391,$E382))</f>
        <v>1</v>
      </c>
      <c r="H382" s="23">
        <f>IF($C382&gt;0,INDEX(Merge_1_2!$D$2:$D$611,$C382),INDEX(Dataset3_Raw!$D$2:$D$391,$E382))</f>
        <v>0</v>
      </c>
      <c r="I382" s="23">
        <f>IF($C382&gt;0,INDEX(Merge_1_2!$E$2:$E$611,$C382),INDEX(Dataset3_Raw!$E$2:$E$391,$E382))</f>
        <v>1</v>
      </c>
      <c r="J382" s="23">
        <f>IF($C382&gt;0,INDEX(Merge_1_2!$F$2:$F$611,$C382),INDEX(Dataset3_Raw!$F$2:$F$391,$E382))</f>
        <v>8</v>
      </c>
      <c r="K382" s="23" t="b">
        <f>IF($C382&gt;0,INDEX(Merge_1_2!$G$2:$G$611,$C382),INDEX(Dataset3_Raw!$G$2:$G$391,$E382))</f>
        <v>1</v>
      </c>
      <c r="L382" s="23">
        <f>IF($C382&gt;0,INDEX(Merge_1_2!$H$2:$H$611,$C382),INDEX(Dataset3_Raw!$H$2:$H$391,$E382))</f>
        <v>1</v>
      </c>
      <c r="M382" s="23">
        <f>IF($C382&gt;0,INDEX(Merge_1_2!$I$2:$I$611,$C382),INDEX(Dataset3_Raw!$I$2:$I$391,$E382))</f>
        <v>2</v>
      </c>
      <c r="N382" s="25">
        <f>IF($C382&gt;0,INDEX(Merge_1_2!$J$2:$J$611,$C382),INDEX(Dataset3_Raw!$J$2:$J$391,$E382))</f>
        <v>0.16</v>
      </c>
      <c r="O382" s="25">
        <f>IF($C382&gt;0,IF(ISNUMBER(INDEX(Merge_1_2!$K$2:$K$611,$C382)),INDEX(Merge_1_2!$K$2:$K$611,$C382),""),INDEX(Dataset3_Raw!$K$2:$K$391,$E382))</f>
        <v>0.1515</v>
      </c>
      <c r="P382" s="25">
        <f>IF(ISNUMBER($O382),$O382,ROUND(Lookups!$B$25+Lookups!$B$24*$N382,4))</f>
        <v>0.1515</v>
      </c>
      <c r="Q382" s="25">
        <f>IF($C382&gt;0,INDEX(Merge_1_2!$L$2:$L$611,$C382),INDEX(Dataset3_Raw!$L$2:$L$391,$E382))</f>
        <v>0.47</v>
      </c>
      <c r="R382" s="25">
        <f>IF($C382&gt;0,INDEX(Merge_1_2!$M$2:$M$611,$C382),INDEX(Dataset3_Raw!$M$2:$M$391,$E382))</f>
        <v>0.22389999999999999</v>
      </c>
      <c r="S382" s="23">
        <f>IF($C382&gt;0,INDEX(Merge_1_2!$N$2:$N$611,$C382),INDEX(Dataset3_Raw!$N$2:$N$391,$E382))</f>
        <v>3</v>
      </c>
      <c r="T382" s="23">
        <f>IF($C382&gt;0,INDEX(Merge_1_2!$O$2:$O$611,$C382),INDEX(Dataset3_Raw!$O$2:$O$391,$E382))</f>
        <v>30</v>
      </c>
      <c r="U382" s="23">
        <f>IF($C382&gt;0,INDEX(Merge_1_2!$P$2:$P$611,$C382),INDEX(Dataset3_Raw!$P$2:$P$391,$E382))</f>
        <v>33</v>
      </c>
      <c r="V382" s="23" t="str">
        <f t="shared" si="31"/>
        <v>Holiday</v>
      </c>
      <c r="W382" s="23" t="str">
        <f>VLOOKUP($M382,Lookups!$A$5:$B$8,2,FALSE())</f>
        <v>Mist / Cloudy</v>
      </c>
      <c r="X382" s="23" t="str">
        <f>VLOOKUP($G382,Lookups!$D$5:$E$8,2,FALSE())</f>
        <v>Winter</v>
      </c>
      <c r="Y382" s="23" t="str">
        <f>VLOOKUP($L382,Lookups!$G$5:$H$11,2,FALSE())</f>
        <v>Monday</v>
      </c>
      <c r="Z382" s="23" t="str">
        <f>IF($J382&lt;Lookups!$B$26,"Night",IF($J382&lt;Lookups!$B$27,"Morning",IF($J382&lt;Lookups!$B$28,"Afternoon","Evening")))</f>
        <v>Morning</v>
      </c>
      <c r="AA382" s="26">
        <f>ROUND($N382*(Lookups!$B$16-Lookups!$B$15)+Lookups!$B$15,1)</f>
        <v>-0.5</v>
      </c>
      <c r="AB382" s="26">
        <f>ROUND($P382*(Lookups!$B$18-Lookups!$B$17)+Lookups!$B$17,1)</f>
        <v>-6</v>
      </c>
      <c r="AC382" s="23">
        <f t="shared" si="32"/>
        <v>47</v>
      </c>
      <c r="AD382" s="23">
        <f>ROUND($R382*Lookups!$B$19,1)</f>
        <v>15</v>
      </c>
      <c r="AE382" s="27">
        <f t="shared" si="33"/>
        <v>0.90909090909090906</v>
      </c>
      <c r="AF382" s="23" t="str">
        <f>IF($U382&gt;=Lookups!$B$23,"High",IF($U382&gt;=Lookups!$B$22,"Medium","Low"))</f>
        <v>Medium</v>
      </c>
      <c r="AG382" s="23">
        <f>ROUND(IF($V382="Weekday",IF(INDEX(Hourly_Analysis!$D$5:$D$28,$J382+1)&gt;0,($U382-INDEX(Hourly_Analysis!$C$5:$C$28,$J382+1))/INDEX(Hourly_Analysis!$D$5:$D$28,$J382+1),0),IF(INDEX(Hourly_Analysis!$G$5:$G$28,$J382+1)&gt;0,($U382-INDEX(Hourly_Analysis!$F$5:$F$28,$J382+1))/INDEX(Hourly_Analysis!$G$5:$G$28,$J382+1),0)),2)</f>
        <v>1.56</v>
      </c>
      <c r="AH382" s="23" t="str">
        <f>IF(ABS($AG382)&gt;Lookups!$B$20,IF($AG382&gt;0,"High anomaly","Low anomaly"),"")</f>
        <v/>
      </c>
      <c r="AI382" s="23" t="str">
        <f t="shared" si="34"/>
        <v>OK</v>
      </c>
      <c r="AJ382" s="23" t="str">
        <f t="shared" si="35"/>
        <v>No</v>
      </c>
    </row>
    <row r="383" spans="1:36" x14ac:dyDescent="0.35">
      <c r="A383" s="23">
        <v>382</v>
      </c>
      <c r="B383" s="23" t="str">
        <f t="shared" si="30"/>
        <v>Merge 1+2</v>
      </c>
      <c r="C383" s="23">
        <f>IFERROR(MATCH($A383,Merge_1_2!$A$2:$A$611,0),0)</f>
        <v>382</v>
      </c>
      <c r="D383" s="23">
        <f>IF($C383&gt;0,INDEX(Merge_1_2!$Q$2:$Q$611,$C383),0)</f>
        <v>382</v>
      </c>
      <c r="E383" s="23">
        <f>IFERROR(MATCH($A383,Dataset3_Raw!$A$2:$A$391,0),0)</f>
        <v>0</v>
      </c>
      <c r="F383" s="24">
        <f>IF($C383&gt;0,INDEX(Merge_1_2!$B$2:$B$611,$C383),DATE(VALUE(RIGHT(INDEX(Dataset3_Raw!$B$2:$B$391,$E383),4)),VALUE(MID(INDEX(Dataset3_Raw!$B$2:$B$391,$E383),4,2)),VALUE(LEFT(INDEX(Dataset3_Raw!$B$2:$B$391,$E383),2))))</f>
        <v>40560</v>
      </c>
      <c r="G383" s="23">
        <f>IF($C383&gt;0,INDEX(Merge_1_2!$C$2:$C$611,$C383),INDEX(Dataset3_Raw!$C$2:$C$391,$E383))</f>
        <v>1</v>
      </c>
      <c r="H383" s="23">
        <f>IF($C383&gt;0,INDEX(Merge_1_2!$D$2:$D$611,$C383),INDEX(Dataset3_Raw!$D$2:$D$391,$E383))</f>
        <v>0</v>
      </c>
      <c r="I383" s="23">
        <f>IF($C383&gt;0,INDEX(Merge_1_2!$E$2:$E$611,$C383),INDEX(Dataset3_Raw!$E$2:$E$391,$E383))</f>
        <v>1</v>
      </c>
      <c r="J383" s="23">
        <f>IF($C383&gt;0,INDEX(Merge_1_2!$F$2:$F$611,$C383),INDEX(Dataset3_Raw!$F$2:$F$391,$E383))</f>
        <v>9</v>
      </c>
      <c r="K383" s="23" t="b">
        <f>IF($C383&gt;0,INDEX(Merge_1_2!$G$2:$G$611,$C383),INDEX(Dataset3_Raw!$G$2:$G$391,$E383))</f>
        <v>1</v>
      </c>
      <c r="L383" s="23">
        <f>IF($C383&gt;0,INDEX(Merge_1_2!$H$2:$H$611,$C383),INDEX(Dataset3_Raw!$H$2:$H$391,$E383))</f>
        <v>1</v>
      </c>
      <c r="M383" s="23">
        <f>IF($C383&gt;0,INDEX(Merge_1_2!$I$2:$I$611,$C383),INDEX(Dataset3_Raw!$I$2:$I$391,$E383))</f>
        <v>2</v>
      </c>
      <c r="N383" s="25">
        <f>IF($C383&gt;0,INDEX(Merge_1_2!$J$2:$J$611,$C383),INDEX(Dataset3_Raw!$J$2:$J$391,$E383))</f>
        <v>0.16</v>
      </c>
      <c r="O383" s="25">
        <f>IF($C383&gt;0,IF(ISNUMBER(INDEX(Merge_1_2!$K$2:$K$611,$C383)),INDEX(Merge_1_2!$K$2:$K$611,$C383),""),INDEX(Dataset3_Raw!$K$2:$K$391,$E383))</f>
        <v>0.1515</v>
      </c>
      <c r="P383" s="25">
        <f>IF(ISNUMBER($O383),$O383,ROUND(Lookups!$B$25+Lookups!$B$24*$N383,4))</f>
        <v>0.1515</v>
      </c>
      <c r="Q383" s="25">
        <f>IF($C383&gt;0,INDEX(Merge_1_2!$L$2:$L$611,$C383),INDEX(Dataset3_Raw!$L$2:$L$391,$E383))</f>
        <v>0.47</v>
      </c>
      <c r="R383" s="25">
        <f>IF($C383&gt;0,INDEX(Merge_1_2!$M$2:$M$611,$C383),INDEX(Dataset3_Raw!$M$2:$M$391,$E383))</f>
        <v>0.22389999999999999</v>
      </c>
      <c r="S383" s="23">
        <f>IF($C383&gt;0,INDEX(Merge_1_2!$N$2:$N$611,$C383),INDEX(Dataset3_Raw!$N$2:$N$391,$E383))</f>
        <v>8</v>
      </c>
      <c r="T383" s="23">
        <f>IF($C383&gt;0,INDEX(Merge_1_2!$O$2:$O$611,$C383),INDEX(Dataset3_Raw!$O$2:$O$391,$E383))</f>
        <v>39</v>
      </c>
      <c r="U383" s="23">
        <f>IF($C383&gt;0,INDEX(Merge_1_2!$P$2:$P$611,$C383),INDEX(Dataset3_Raw!$P$2:$P$391,$E383))</f>
        <v>47</v>
      </c>
      <c r="V383" s="23" t="str">
        <f t="shared" si="31"/>
        <v>Holiday</v>
      </c>
      <c r="W383" s="23" t="str">
        <f>VLOOKUP($M383,Lookups!$A$5:$B$8,2,FALSE())</f>
        <v>Mist / Cloudy</v>
      </c>
      <c r="X383" s="23" t="str">
        <f>VLOOKUP($G383,Lookups!$D$5:$E$8,2,FALSE())</f>
        <v>Winter</v>
      </c>
      <c r="Y383" s="23" t="str">
        <f>VLOOKUP($L383,Lookups!$G$5:$H$11,2,FALSE())</f>
        <v>Monday</v>
      </c>
      <c r="Z383" s="23" t="str">
        <f>IF($J383&lt;Lookups!$B$26,"Night",IF($J383&lt;Lookups!$B$27,"Morning",IF($J383&lt;Lookups!$B$28,"Afternoon","Evening")))</f>
        <v>Morning</v>
      </c>
      <c r="AA383" s="26">
        <f>ROUND($N383*(Lookups!$B$16-Lookups!$B$15)+Lookups!$B$15,1)</f>
        <v>-0.5</v>
      </c>
      <c r="AB383" s="26">
        <f>ROUND($P383*(Lookups!$B$18-Lookups!$B$17)+Lookups!$B$17,1)</f>
        <v>-6</v>
      </c>
      <c r="AC383" s="23">
        <f t="shared" si="32"/>
        <v>47</v>
      </c>
      <c r="AD383" s="23">
        <f>ROUND($R383*Lookups!$B$19,1)</f>
        <v>15</v>
      </c>
      <c r="AE383" s="27">
        <f t="shared" si="33"/>
        <v>0.82978723404255317</v>
      </c>
      <c r="AF383" s="23" t="str">
        <f>IF($U383&gt;=Lookups!$B$23,"High",IF($U383&gt;=Lookups!$B$22,"Medium","Low"))</f>
        <v>Medium</v>
      </c>
      <c r="AG383" s="23">
        <f>ROUND(IF($V383="Weekday",IF(INDEX(Hourly_Analysis!$D$5:$D$28,$J383+1)&gt;0,($U383-INDEX(Hourly_Analysis!$C$5:$C$28,$J383+1))/INDEX(Hourly_Analysis!$D$5:$D$28,$J383+1),0),IF(INDEX(Hourly_Analysis!$G$5:$G$28,$J383+1)&gt;0,($U383-INDEX(Hourly_Analysis!$F$5:$F$28,$J383+1))/INDEX(Hourly_Analysis!$G$5:$G$28,$J383+1),0)),2)</f>
        <v>1.33</v>
      </c>
      <c r="AH383" s="23" t="str">
        <f>IF(ABS($AG383)&gt;Lookups!$B$20,IF($AG383&gt;0,"High anomaly","Low anomaly"),"")</f>
        <v/>
      </c>
      <c r="AI383" s="23" t="str">
        <f t="shared" si="34"/>
        <v>OK</v>
      </c>
      <c r="AJ383" s="23" t="str">
        <f t="shared" si="35"/>
        <v>No</v>
      </c>
    </row>
    <row r="384" spans="1:36" x14ac:dyDescent="0.35">
      <c r="A384" s="23">
        <v>383</v>
      </c>
      <c r="B384" s="23" t="str">
        <f t="shared" si="30"/>
        <v>Merge 1+2</v>
      </c>
      <c r="C384" s="23">
        <f>IFERROR(MATCH($A384,Merge_1_2!$A$2:$A$611,0),0)</f>
        <v>383</v>
      </c>
      <c r="D384" s="23">
        <f>IF($C384&gt;0,INDEX(Merge_1_2!$Q$2:$Q$611,$C384),0)</f>
        <v>383</v>
      </c>
      <c r="E384" s="23">
        <f>IFERROR(MATCH($A384,Dataset3_Raw!$A$2:$A$391,0),0)</f>
        <v>0</v>
      </c>
      <c r="F384" s="24">
        <f>IF($C384&gt;0,INDEX(Merge_1_2!$B$2:$B$611,$C384),DATE(VALUE(RIGHT(INDEX(Dataset3_Raw!$B$2:$B$391,$E384),4)),VALUE(MID(INDEX(Dataset3_Raw!$B$2:$B$391,$E384),4,2)),VALUE(LEFT(INDEX(Dataset3_Raw!$B$2:$B$391,$E384),2))))</f>
        <v>40560</v>
      </c>
      <c r="G384" s="23">
        <f>IF($C384&gt;0,INDEX(Merge_1_2!$C$2:$C$611,$C384),INDEX(Dataset3_Raw!$C$2:$C$391,$E384))</f>
        <v>1</v>
      </c>
      <c r="H384" s="23">
        <f>IF($C384&gt;0,INDEX(Merge_1_2!$D$2:$D$611,$C384),INDEX(Dataset3_Raw!$D$2:$D$391,$E384))</f>
        <v>0</v>
      </c>
      <c r="I384" s="23">
        <f>IF($C384&gt;0,INDEX(Merge_1_2!$E$2:$E$611,$C384),INDEX(Dataset3_Raw!$E$2:$E$391,$E384))</f>
        <v>1</v>
      </c>
      <c r="J384" s="23">
        <f>IF($C384&gt;0,INDEX(Merge_1_2!$F$2:$F$611,$C384),INDEX(Dataset3_Raw!$F$2:$F$391,$E384))</f>
        <v>10</v>
      </c>
      <c r="K384" s="23" t="b">
        <f>IF($C384&gt;0,INDEX(Merge_1_2!$G$2:$G$611,$C384),INDEX(Dataset3_Raw!$G$2:$G$391,$E384))</f>
        <v>1</v>
      </c>
      <c r="L384" s="23">
        <f>IF($C384&gt;0,INDEX(Merge_1_2!$H$2:$H$611,$C384),INDEX(Dataset3_Raw!$H$2:$H$391,$E384))</f>
        <v>1</v>
      </c>
      <c r="M384" s="23">
        <f>IF($C384&gt;0,INDEX(Merge_1_2!$I$2:$I$611,$C384),INDEX(Dataset3_Raw!$I$2:$I$391,$E384))</f>
        <v>2</v>
      </c>
      <c r="N384" s="25">
        <f>IF($C384&gt;0,INDEX(Merge_1_2!$J$2:$J$611,$C384),INDEX(Dataset3_Raw!$J$2:$J$391,$E384))</f>
        <v>0.16</v>
      </c>
      <c r="O384" s="25">
        <f>IF($C384&gt;0,IF(ISNUMBER(INDEX(Merge_1_2!$K$2:$K$611,$C384)),INDEX(Merge_1_2!$K$2:$K$611,$C384),""),INDEX(Dataset3_Raw!$K$2:$K$391,$E384))</f>
        <v>0.1515</v>
      </c>
      <c r="P384" s="25">
        <f>IF(ISNUMBER($O384),$O384,ROUND(Lookups!$B$25+Lookups!$B$24*$N384,4))</f>
        <v>0.1515</v>
      </c>
      <c r="Q384" s="25">
        <f>IF($C384&gt;0,INDEX(Merge_1_2!$L$2:$L$611,$C384),INDEX(Dataset3_Raw!$L$2:$L$391,$E384))</f>
        <v>0.5</v>
      </c>
      <c r="R384" s="25">
        <f>IF($C384&gt;0,INDEX(Merge_1_2!$M$2:$M$611,$C384),INDEX(Dataset3_Raw!$M$2:$M$391,$E384))</f>
        <v>0.25369999999999998</v>
      </c>
      <c r="S384" s="23">
        <f>IF($C384&gt;0,INDEX(Merge_1_2!$N$2:$N$611,$C384),INDEX(Dataset3_Raw!$N$2:$N$391,$E384))</f>
        <v>7</v>
      </c>
      <c r="T384" s="23">
        <f>IF($C384&gt;0,INDEX(Merge_1_2!$O$2:$O$611,$C384),INDEX(Dataset3_Raw!$O$2:$O$391,$E384))</f>
        <v>50</v>
      </c>
      <c r="U384" s="23">
        <f>IF($C384&gt;0,INDEX(Merge_1_2!$P$2:$P$611,$C384),INDEX(Dataset3_Raw!$P$2:$P$391,$E384))</f>
        <v>57</v>
      </c>
      <c r="V384" s="23" t="str">
        <f t="shared" si="31"/>
        <v>Holiday</v>
      </c>
      <c r="W384" s="23" t="str">
        <f>VLOOKUP($M384,Lookups!$A$5:$B$8,2,FALSE())</f>
        <v>Mist / Cloudy</v>
      </c>
      <c r="X384" s="23" t="str">
        <f>VLOOKUP($G384,Lookups!$D$5:$E$8,2,FALSE())</f>
        <v>Winter</v>
      </c>
      <c r="Y384" s="23" t="str">
        <f>VLOOKUP($L384,Lookups!$G$5:$H$11,2,FALSE())</f>
        <v>Monday</v>
      </c>
      <c r="Z384" s="23" t="str">
        <f>IF($J384&lt;Lookups!$B$26,"Night",IF($J384&lt;Lookups!$B$27,"Morning",IF($J384&lt;Lookups!$B$28,"Afternoon","Evening")))</f>
        <v>Morning</v>
      </c>
      <c r="AA384" s="26">
        <f>ROUND($N384*(Lookups!$B$16-Lookups!$B$15)+Lookups!$B$15,1)</f>
        <v>-0.5</v>
      </c>
      <c r="AB384" s="26">
        <f>ROUND($P384*(Lookups!$B$18-Lookups!$B$17)+Lookups!$B$17,1)</f>
        <v>-6</v>
      </c>
      <c r="AC384" s="23">
        <f t="shared" si="32"/>
        <v>50</v>
      </c>
      <c r="AD384" s="23">
        <f>ROUND($R384*Lookups!$B$19,1)</f>
        <v>17</v>
      </c>
      <c r="AE384" s="27">
        <f t="shared" si="33"/>
        <v>0.8771929824561403</v>
      </c>
      <c r="AF384" s="23" t="str">
        <f>IF($U384&gt;=Lookups!$B$23,"High",IF($U384&gt;=Lookups!$B$22,"Medium","Low"))</f>
        <v>Medium</v>
      </c>
      <c r="AG384" s="23">
        <f>ROUND(IF($V384="Weekday",IF(INDEX(Hourly_Analysis!$D$5:$D$28,$J384+1)&gt;0,($U384-INDEX(Hourly_Analysis!$C$5:$C$28,$J384+1))/INDEX(Hourly_Analysis!$D$5:$D$28,$J384+1),0),IF(INDEX(Hourly_Analysis!$G$5:$G$28,$J384+1)&gt;0,($U384-INDEX(Hourly_Analysis!$F$5:$F$28,$J384+1))/INDEX(Hourly_Analysis!$G$5:$G$28,$J384+1),0)),2)</f>
        <v>-0.28000000000000003</v>
      </c>
      <c r="AH384" s="23" t="str">
        <f>IF(ABS($AG384)&gt;Lookups!$B$20,IF($AG384&gt;0,"High anomaly","Low anomaly"),"")</f>
        <v/>
      </c>
      <c r="AI384" s="23" t="str">
        <f t="shared" si="34"/>
        <v>OK</v>
      </c>
      <c r="AJ384" s="23" t="str">
        <f t="shared" si="35"/>
        <v>No</v>
      </c>
    </row>
    <row r="385" spans="1:36" x14ac:dyDescent="0.35">
      <c r="A385" s="23">
        <v>384</v>
      </c>
      <c r="B385" s="23" t="str">
        <f t="shared" si="30"/>
        <v>Merge 1+2</v>
      </c>
      <c r="C385" s="23">
        <f>IFERROR(MATCH($A385,Merge_1_2!$A$2:$A$611,0),0)</f>
        <v>384</v>
      </c>
      <c r="D385" s="23">
        <f>IF($C385&gt;0,INDEX(Merge_1_2!$Q$2:$Q$611,$C385),0)</f>
        <v>384</v>
      </c>
      <c r="E385" s="23">
        <f>IFERROR(MATCH($A385,Dataset3_Raw!$A$2:$A$391,0),0)</f>
        <v>0</v>
      </c>
      <c r="F385" s="24">
        <f>IF($C385&gt;0,INDEX(Merge_1_2!$B$2:$B$611,$C385),DATE(VALUE(RIGHT(INDEX(Dataset3_Raw!$B$2:$B$391,$E385),4)),VALUE(MID(INDEX(Dataset3_Raw!$B$2:$B$391,$E385),4,2)),VALUE(LEFT(INDEX(Dataset3_Raw!$B$2:$B$391,$E385),2))))</f>
        <v>40560</v>
      </c>
      <c r="G385" s="23">
        <f>IF($C385&gt;0,INDEX(Merge_1_2!$C$2:$C$611,$C385),INDEX(Dataset3_Raw!$C$2:$C$391,$E385))</f>
        <v>1</v>
      </c>
      <c r="H385" s="23">
        <f>IF($C385&gt;0,INDEX(Merge_1_2!$D$2:$D$611,$C385),INDEX(Dataset3_Raw!$D$2:$D$391,$E385))</f>
        <v>0</v>
      </c>
      <c r="I385" s="23">
        <f>IF($C385&gt;0,INDEX(Merge_1_2!$E$2:$E$611,$C385),INDEX(Dataset3_Raw!$E$2:$E$391,$E385))</f>
        <v>1</v>
      </c>
      <c r="J385" s="23">
        <f>IF($C385&gt;0,INDEX(Merge_1_2!$F$2:$F$611,$C385),INDEX(Dataset3_Raw!$F$2:$F$391,$E385))</f>
        <v>11</v>
      </c>
      <c r="K385" s="23" t="b">
        <f>IF($C385&gt;0,INDEX(Merge_1_2!$G$2:$G$611,$C385),INDEX(Dataset3_Raw!$G$2:$G$391,$E385))</f>
        <v>1</v>
      </c>
      <c r="L385" s="23">
        <f>IF($C385&gt;0,INDEX(Merge_1_2!$H$2:$H$611,$C385),INDEX(Dataset3_Raw!$H$2:$H$391,$E385))</f>
        <v>1</v>
      </c>
      <c r="M385" s="23">
        <f>IF($C385&gt;0,INDEX(Merge_1_2!$I$2:$I$611,$C385),INDEX(Dataset3_Raw!$I$2:$I$391,$E385))</f>
        <v>2</v>
      </c>
      <c r="N385" s="25">
        <f>IF($C385&gt;0,INDEX(Merge_1_2!$J$2:$J$611,$C385),INDEX(Dataset3_Raw!$J$2:$J$391,$E385))</f>
        <v>0.16</v>
      </c>
      <c r="O385" s="25">
        <f>IF($C385&gt;0,IF(ISNUMBER(INDEX(Merge_1_2!$K$2:$K$611,$C385)),INDEX(Merge_1_2!$K$2:$K$611,$C385),""),INDEX(Dataset3_Raw!$K$2:$K$391,$E385))</f>
        <v>0.1515</v>
      </c>
      <c r="P385" s="25">
        <f>IF(ISNUMBER($O385),$O385,ROUND(Lookups!$B$25+Lookups!$B$24*$N385,4))</f>
        <v>0.1515</v>
      </c>
      <c r="Q385" s="25">
        <f>IF($C385&gt;0,INDEX(Merge_1_2!$L$2:$L$611,$C385),INDEX(Dataset3_Raw!$L$2:$L$391,$E385))</f>
        <v>0.55000000000000004</v>
      </c>
      <c r="R385" s="25">
        <f>IF($C385&gt;0,INDEX(Merge_1_2!$M$2:$M$611,$C385),INDEX(Dataset3_Raw!$M$2:$M$391,$E385))</f>
        <v>0.19400000000000001</v>
      </c>
      <c r="S385" s="23">
        <f>IF($C385&gt;0,INDEX(Merge_1_2!$N$2:$N$611,$C385),INDEX(Dataset3_Raw!$N$2:$N$391,$E385))</f>
        <v>9</v>
      </c>
      <c r="T385" s="23">
        <f>IF($C385&gt;0,INDEX(Merge_1_2!$O$2:$O$611,$C385),INDEX(Dataset3_Raw!$O$2:$O$391,$E385))</f>
        <v>55</v>
      </c>
      <c r="U385" s="23">
        <f>IF($C385&gt;0,INDEX(Merge_1_2!$P$2:$P$611,$C385),INDEX(Dataset3_Raw!$P$2:$P$391,$E385))</f>
        <v>64</v>
      </c>
      <c r="V385" s="23" t="str">
        <f t="shared" si="31"/>
        <v>Holiday</v>
      </c>
      <c r="W385" s="23" t="str">
        <f>VLOOKUP($M385,Lookups!$A$5:$B$8,2,FALSE())</f>
        <v>Mist / Cloudy</v>
      </c>
      <c r="X385" s="23" t="str">
        <f>VLOOKUP($G385,Lookups!$D$5:$E$8,2,FALSE())</f>
        <v>Winter</v>
      </c>
      <c r="Y385" s="23" t="str">
        <f>VLOOKUP($L385,Lookups!$G$5:$H$11,2,FALSE())</f>
        <v>Monday</v>
      </c>
      <c r="Z385" s="23" t="str">
        <f>IF($J385&lt;Lookups!$B$26,"Night",IF($J385&lt;Lookups!$B$27,"Morning",IF($J385&lt;Lookups!$B$28,"Afternoon","Evening")))</f>
        <v>Morning</v>
      </c>
      <c r="AA385" s="26">
        <f>ROUND($N385*(Lookups!$B$16-Lookups!$B$15)+Lookups!$B$15,1)</f>
        <v>-0.5</v>
      </c>
      <c r="AB385" s="26">
        <f>ROUND($P385*(Lookups!$B$18-Lookups!$B$17)+Lookups!$B$17,1)</f>
        <v>-6</v>
      </c>
      <c r="AC385" s="23">
        <f t="shared" si="32"/>
        <v>55</v>
      </c>
      <c r="AD385" s="23">
        <f>ROUND($R385*Lookups!$B$19,1)</f>
        <v>13</v>
      </c>
      <c r="AE385" s="27">
        <f t="shared" si="33"/>
        <v>0.859375</v>
      </c>
      <c r="AF385" s="23" t="str">
        <f>IF($U385&gt;=Lookups!$B$23,"High",IF($U385&gt;=Lookups!$B$22,"Medium","Low"))</f>
        <v>Medium</v>
      </c>
      <c r="AG385" s="23">
        <f>ROUND(IF($V385="Weekday",IF(INDEX(Hourly_Analysis!$D$5:$D$28,$J385+1)&gt;0,($U385-INDEX(Hourly_Analysis!$C$5:$C$28,$J385+1))/INDEX(Hourly_Analysis!$D$5:$D$28,$J385+1),0),IF(INDEX(Hourly_Analysis!$G$5:$G$28,$J385+1)&gt;0,($U385-INDEX(Hourly_Analysis!$F$5:$F$28,$J385+1))/INDEX(Hourly_Analysis!$G$5:$G$28,$J385+1),0)),2)</f>
        <v>-0.5</v>
      </c>
      <c r="AH385" s="23" t="str">
        <f>IF(ABS($AG385)&gt;Lookups!$B$20,IF($AG385&gt;0,"High anomaly","Low anomaly"),"")</f>
        <v/>
      </c>
      <c r="AI385" s="23" t="str">
        <f t="shared" si="34"/>
        <v>OK</v>
      </c>
      <c r="AJ385" s="23" t="str">
        <f t="shared" si="35"/>
        <v>No</v>
      </c>
    </row>
    <row r="386" spans="1:36" x14ac:dyDescent="0.35">
      <c r="A386" s="23">
        <v>385</v>
      </c>
      <c r="B386" s="23" t="str">
        <f t="shared" ref="B386:B449" si="36">IF($C386&gt;0,"Merge 1+2","Dataset 3")</f>
        <v>Merge 1+2</v>
      </c>
      <c r="C386" s="23">
        <f>IFERROR(MATCH($A386,Merge_1_2!$A$2:$A$611,0),0)</f>
        <v>385</v>
      </c>
      <c r="D386" s="23">
        <f>IF($C386&gt;0,INDEX(Merge_1_2!$Q$2:$Q$611,$C386),0)</f>
        <v>385</v>
      </c>
      <c r="E386" s="23">
        <f>IFERROR(MATCH($A386,Dataset3_Raw!$A$2:$A$391,0),0)</f>
        <v>0</v>
      </c>
      <c r="F386" s="24">
        <f>IF($C386&gt;0,INDEX(Merge_1_2!$B$2:$B$611,$C386),DATE(VALUE(RIGHT(INDEX(Dataset3_Raw!$B$2:$B$391,$E386),4)),VALUE(MID(INDEX(Dataset3_Raw!$B$2:$B$391,$E386),4,2)),VALUE(LEFT(INDEX(Dataset3_Raw!$B$2:$B$391,$E386),2))))</f>
        <v>40560</v>
      </c>
      <c r="G386" s="23">
        <f>IF($C386&gt;0,INDEX(Merge_1_2!$C$2:$C$611,$C386),INDEX(Dataset3_Raw!$C$2:$C$391,$E386))</f>
        <v>1</v>
      </c>
      <c r="H386" s="23">
        <f>IF($C386&gt;0,INDEX(Merge_1_2!$D$2:$D$611,$C386),INDEX(Dataset3_Raw!$D$2:$D$391,$E386))</f>
        <v>0</v>
      </c>
      <c r="I386" s="23">
        <f>IF($C386&gt;0,INDEX(Merge_1_2!$E$2:$E$611,$C386),INDEX(Dataset3_Raw!$E$2:$E$391,$E386))</f>
        <v>1</v>
      </c>
      <c r="J386" s="23">
        <f>IF($C386&gt;0,INDEX(Merge_1_2!$F$2:$F$611,$C386),INDEX(Dataset3_Raw!$F$2:$F$391,$E386))</f>
        <v>12</v>
      </c>
      <c r="K386" s="23" t="b">
        <f>IF($C386&gt;0,INDEX(Merge_1_2!$G$2:$G$611,$C386),INDEX(Dataset3_Raw!$G$2:$G$391,$E386))</f>
        <v>1</v>
      </c>
      <c r="L386" s="23">
        <f>IF($C386&gt;0,INDEX(Merge_1_2!$H$2:$H$611,$C386),INDEX(Dataset3_Raw!$H$2:$H$391,$E386))</f>
        <v>1</v>
      </c>
      <c r="M386" s="23">
        <f>IF($C386&gt;0,INDEX(Merge_1_2!$I$2:$I$611,$C386),INDEX(Dataset3_Raw!$I$2:$I$391,$E386))</f>
        <v>2</v>
      </c>
      <c r="N386" s="25">
        <f>IF($C386&gt;0,INDEX(Merge_1_2!$J$2:$J$611,$C386),INDEX(Dataset3_Raw!$J$2:$J$391,$E386))</f>
        <v>0.18</v>
      </c>
      <c r="O386" s="25">
        <f>IF($C386&gt;0,IF(ISNUMBER(INDEX(Merge_1_2!$K$2:$K$611,$C386)),INDEX(Merge_1_2!$K$2:$K$611,$C386),""),INDEX(Dataset3_Raw!$K$2:$K$391,$E386))</f>
        <v>0.19700000000000001</v>
      </c>
      <c r="P386" s="25">
        <f>IF(ISNUMBER($O386),$O386,ROUND(Lookups!$B$25+Lookups!$B$24*$N386,4))</f>
        <v>0.19700000000000001</v>
      </c>
      <c r="Q386" s="25">
        <f>IF($C386&gt;0,INDEX(Merge_1_2!$L$2:$L$611,$C386),INDEX(Dataset3_Raw!$L$2:$L$391,$E386))</f>
        <v>0.47</v>
      </c>
      <c r="R386" s="25">
        <f>IF($C386&gt;0,INDEX(Merge_1_2!$M$2:$M$611,$C386),INDEX(Dataset3_Raw!$M$2:$M$391,$E386))</f>
        <v>0.1343</v>
      </c>
      <c r="S386" s="23">
        <f>IF($C386&gt;0,INDEX(Merge_1_2!$N$2:$N$611,$C386),INDEX(Dataset3_Raw!$N$2:$N$391,$E386))</f>
        <v>10</v>
      </c>
      <c r="T386" s="23">
        <f>IF($C386&gt;0,INDEX(Merge_1_2!$O$2:$O$611,$C386),INDEX(Dataset3_Raw!$O$2:$O$391,$E386))</f>
        <v>70</v>
      </c>
      <c r="U386" s="23">
        <f>IF($C386&gt;0,INDEX(Merge_1_2!$P$2:$P$611,$C386),INDEX(Dataset3_Raw!$P$2:$P$391,$E386))</f>
        <v>80</v>
      </c>
      <c r="V386" s="23" t="str">
        <f t="shared" ref="V386:V449" si="37">IF($K386,"Holiday",IF(OR($L386=0,$L386=6),"Weekend","Weekday"))</f>
        <v>Holiday</v>
      </c>
      <c r="W386" s="23" t="str">
        <f>VLOOKUP($M386,Lookups!$A$5:$B$8,2,FALSE())</f>
        <v>Mist / Cloudy</v>
      </c>
      <c r="X386" s="23" t="str">
        <f>VLOOKUP($G386,Lookups!$D$5:$E$8,2,FALSE())</f>
        <v>Winter</v>
      </c>
      <c r="Y386" s="23" t="str">
        <f>VLOOKUP($L386,Lookups!$G$5:$H$11,2,FALSE())</f>
        <v>Monday</v>
      </c>
      <c r="Z386" s="23" t="str">
        <f>IF($J386&lt;Lookups!$B$26,"Night",IF($J386&lt;Lookups!$B$27,"Morning",IF($J386&lt;Lookups!$B$28,"Afternoon","Evening")))</f>
        <v>Afternoon</v>
      </c>
      <c r="AA386" s="26">
        <f>ROUND($N386*(Lookups!$B$16-Lookups!$B$15)+Lookups!$B$15,1)</f>
        <v>0.5</v>
      </c>
      <c r="AB386" s="26">
        <f>ROUND($P386*(Lookups!$B$18-Lookups!$B$17)+Lookups!$B$17,1)</f>
        <v>-3</v>
      </c>
      <c r="AC386" s="23">
        <f t="shared" ref="AC386:AC449" si="38">ROUND($Q386*100,0)</f>
        <v>47</v>
      </c>
      <c r="AD386" s="23">
        <f>ROUND($R386*Lookups!$B$19,1)</f>
        <v>9</v>
      </c>
      <c r="AE386" s="27">
        <f t="shared" ref="AE386:AE449" si="39">IF($U386&gt;0,$T386/$U386,0)</f>
        <v>0.875</v>
      </c>
      <c r="AF386" s="23" t="str">
        <f>IF($U386&gt;=Lookups!$B$23,"High",IF($U386&gt;=Lookups!$B$22,"Medium","Low"))</f>
        <v>Medium</v>
      </c>
      <c r="AG386" s="23">
        <f>ROUND(IF($V386="Weekday",IF(INDEX(Hourly_Analysis!$D$5:$D$28,$J386+1)&gt;0,($U386-INDEX(Hourly_Analysis!$C$5:$C$28,$J386+1))/INDEX(Hourly_Analysis!$D$5:$D$28,$J386+1),0),IF(INDEX(Hourly_Analysis!$G$5:$G$28,$J386+1)&gt;0,($U386-INDEX(Hourly_Analysis!$F$5:$F$28,$J386+1))/INDEX(Hourly_Analysis!$G$5:$G$28,$J386+1),0)),2)</f>
        <v>-0.62</v>
      </c>
      <c r="AH386" s="23" t="str">
        <f>IF(ABS($AG386)&gt;Lookups!$B$20,IF($AG386&gt;0,"High anomaly","Low anomaly"),"")</f>
        <v/>
      </c>
      <c r="AI386" s="23" t="str">
        <f t="shared" ref="AI386:AI449" si="40">IF($S386+$T386=$U386,"OK","Mismatch")</f>
        <v>OK</v>
      </c>
      <c r="AJ386" s="23" t="str">
        <f t="shared" ref="AJ386:AJ449" si="41">IF(ISNUMBER($O386),"No","Yes")</f>
        <v>No</v>
      </c>
    </row>
    <row r="387" spans="1:36" x14ac:dyDescent="0.35">
      <c r="A387" s="23">
        <v>386</v>
      </c>
      <c r="B387" s="23" t="str">
        <f t="shared" si="36"/>
        <v>Merge 1+2</v>
      </c>
      <c r="C387" s="23">
        <f>IFERROR(MATCH($A387,Merge_1_2!$A$2:$A$611,0),0)</f>
        <v>386</v>
      </c>
      <c r="D387" s="23">
        <f>IF($C387&gt;0,INDEX(Merge_1_2!$Q$2:$Q$611,$C387),0)</f>
        <v>386</v>
      </c>
      <c r="E387" s="23">
        <f>IFERROR(MATCH($A387,Dataset3_Raw!$A$2:$A$391,0),0)</f>
        <v>0</v>
      </c>
      <c r="F387" s="24">
        <f>IF($C387&gt;0,INDEX(Merge_1_2!$B$2:$B$611,$C387),DATE(VALUE(RIGHT(INDEX(Dataset3_Raw!$B$2:$B$391,$E387),4)),VALUE(MID(INDEX(Dataset3_Raw!$B$2:$B$391,$E387),4,2)),VALUE(LEFT(INDEX(Dataset3_Raw!$B$2:$B$391,$E387),2))))</f>
        <v>40560</v>
      </c>
      <c r="G387" s="23">
        <f>IF($C387&gt;0,INDEX(Merge_1_2!$C$2:$C$611,$C387),INDEX(Dataset3_Raw!$C$2:$C$391,$E387))</f>
        <v>1</v>
      </c>
      <c r="H387" s="23">
        <f>IF($C387&gt;0,INDEX(Merge_1_2!$D$2:$D$611,$C387),INDEX(Dataset3_Raw!$D$2:$D$391,$E387))</f>
        <v>0</v>
      </c>
      <c r="I387" s="23">
        <f>IF($C387&gt;0,INDEX(Merge_1_2!$E$2:$E$611,$C387),INDEX(Dataset3_Raw!$E$2:$E$391,$E387))</f>
        <v>1</v>
      </c>
      <c r="J387" s="23">
        <f>IF($C387&gt;0,INDEX(Merge_1_2!$F$2:$F$611,$C387),INDEX(Dataset3_Raw!$F$2:$F$391,$E387))</f>
        <v>13</v>
      </c>
      <c r="K387" s="23" t="b">
        <f>IF($C387&gt;0,INDEX(Merge_1_2!$G$2:$G$611,$C387),INDEX(Dataset3_Raw!$G$2:$G$391,$E387))</f>
        <v>1</v>
      </c>
      <c r="L387" s="23">
        <f>IF($C387&gt;0,INDEX(Merge_1_2!$H$2:$H$611,$C387),INDEX(Dataset3_Raw!$H$2:$H$391,$E387))</f>
        <v>1</v>
      </c>
      <c r="M387" s="23">
        <f>IF($C387&gt;0,INDEX(Merge_1_2!$I$2:$I$611,$C387),INDEX(Dataset3_Raw!$I$2:$I$391,$E387))</f>
        <v>2</v>
      </c>
      <c r="N387" s="25">
        <f>IF($C387&gt;0,INDEX(Merge_1_2!$J$2:$J$611,$C387),INDEX(Dataset3_Raw!$J$2:$J$391,$E387))</f>
        <v>0.18</v>
      </c>
      <c r="O387" s="25">
        <f>IF($C387&gt;0,IF(ISNUMBER(INDEX(Merge_1_2!$K$2:$K$611,$C387)),INDEX(Merge_1_2!$K$2:$K$611,$C387),""),INDEX(Dataset3_Raw!$K$2:$K$391,$E387))</f>
        <v>0.19700000000000001</v>
      </c>
      <c r="P387" s="25">
        <f>IF(ISNUMBER($O387),$O387,ROUND(Lookups!$B$25+Lookups!$B$24*$N387,4))</f>
        <v>0.19700000000000001</v>
      </c>
      <c r="Q387" s="25">
        <f>IF($C387&gt;0,INDEX(Merge_1_2!$L$2:$L$611,$C387),INDEX(Dataset3_Raw!$L$2:$L$391,$E387))</f>
        <v>0.47</v>
      </c>
      <c r="R387" s="25">
        <f>IF($C387&gt;0,INDEX(Merge_1_2!$M$2:$M$611,$C387),INDEX(Dataset3_Raw!$M$2:$M$391,$E387))</f>
        <v>0.1343</v>
      </c>
      <c r="S387" s="23">
        <f>IF($C387&gt;0,INDEX(Merge_1_2!$N$2:$N$611,$C387),INDEX(Dataset3_Raw!$N$2:$N$391,$E387))</f>
        <v>13</v>
      </c>
      <c r="T387" s="23">
        <f>IF($C387&gt;0,INDEX(Merge_1_2!$O$2:$O$611,$C387),INDEX(Dataset3_Raw!$O$2:$O$391,$E387))</f>
        <v>80</v>
      </c>
      <c r="U387" s="23">
        <f>IF($C387&gt;0,INDEX(Merge_1_2!$P$2:$P$611,$C387),INDEX(Dataset3_Raw!$P$2:$P$391,$E387))</f>
        <v>93</v>
      </c>
      <c r="V387" s="23" t="str">
        <f t="shared" si="37"/>
        <v>Holiday</v>
      </c>
      <c r="W387" s="23" t="str">
        <f>VLOOKUP($M387,Lookups!$A$5:$B$8,2,FALSE())</f>
        <v>Mist / Cloudy</v>
      </c>
      <c r="X387" s="23" t="str">
        <f>VLOOKUP($G387,Lookups!$D$5:$E$8,2,FALSE())</f>
        <v>Winter</v>
      </c>
      <c r="Y387" s="23" t="str">
        <f>VLOOKUP($L387,Lookups!$G$5:$H$11,2,FALSE())</f>
        <v>Monday</v>
      </c>
      <c r="Z387" s="23" t="str">
        <f>IF($J387&lt;Lookups!$B$26,"Night",IF($J387&lt;Lookups!$B$27,"Morning",IF($J387&lt;Lookups!$B$28,"Afternoon","Evening")))</f>
        <v>Afternoon</v>
      </c>
      <c r="AA387" s="26">
        <f>ROUND($N387*(Lookups!$B$16-Lookups!$B$15)+Lookups!$B$15,1)</f>
        <v>0.5</v>
      </c>
      <c r="AB387" s="26">
        <f>ROUND($P387*(Lookups!$B$18-Lookups!$B$17)+Lookups!$B$17,1)</f>
        <v>-3</v>
      </c>
      <c r="AC387" s="23">
        <f t="shared" si="38"/>
        <v>47</v>
      </c>
      <c r="AD387" s="23">
        <f>ROUND($R387*Lookups!$B$19,1)</f>
        <v>9</v>
      </c>
      <c r="AE387" s="27">
        <f t="shared" si="39"/>
        <v>0.86021505376344087</v>
      </c>
      <c r="AF387" s="23" t="str">
        <f>IF($U387&gt;=Lookups!$B$23,"High",IF($U387&gt;=Lookups!$B$22,"Medium","Low"))</f>
        <v>High</v>
      </c>
      <c r="AG387" s="23">
        <f>ROUND(IF($V387="Weekday",IF(INDEX(Hourly_Analysis!$D$5:$D$28,$J387+1)&gt;0,($U387-INDEX(Hourly_Analysis!$C$5:$C$28,$J387+1))/INDEX(Hourly_Analysis!$D$5:$D$28,$J387+1),0),IF(INDEX(Hourly_Analysis!$G$5:$G$28,$J387+1)&gt;0,($U387-INDEX(Hourly_Analysis!$F$5:$F$28,$J387+1))/INDEX(Hourly_Analysis!$G$5:$G$28,$J387+1),0)),2)</f>
        <v>-0.26</v>
      </c>
      <c r="AH387" s="23" t="str">
        <f>IF(ABS($AG387)&gt;Lookups!$B$20,IF($AG387&gt;0,"High anomaly","Low anomaly"),"")</f>
        <v/>
      </c>
      <c r="AI387" s="23" t="str">
        <f t="shared" si="40"/>
        <v>OK</v>
      </c>
      <c r="AJ387" s="23" t="str">
        <f t="shared" si="41"/>
        <v>No</v>
      </c>
    </row>
    <row r="388" spans="1:36" x14ac:dyDescent="0.35">
      <c r="A388" s="23">
        <v>387</v>
      </c>
      <c r="B388" s="23" t="str">
        <f t="shared" si="36"/>
        <v>Merge 1+2</v>
      </c>
      <c r="C388" s="23">
        <f>IFERROR(MATCH($A388,Merge_1_2!$A$2:$A$611,0),0)</f>
        <v>387</v>
      </c>
      <c r="D388" s="23">
        <f>IF($C388&gt;0,INDEX(Merge_1_2!$Q$2:$Q$611,$C388),0)</f>
        <v>387</v>
      </c>
      <c r="E388" s="23">
        <f>IFERROR(MATCH($A388,Dataset3_Raw!$A$2:$A$391,0),0)</f>
        <v>0</v>
      </c>
      <c r="F388" s="24">
        <f>IF($C388&gt;0,INDEX(Merge_1_2!$B$2:$B$611,$C388),DATE(VALUE(RIGHT(INDEX(Dataset3_Raw!$B$2:$B$391,$E388),4)),VALUE(MID(INDEX(Dataset3_Raw!$B$2:$B$391,$E388),4,2)),VALUE(LEFT(INDEX(Dataset3_Raw!$B$2:$B$391,$E388),2))))</f>
        <v>40560</v>
      </c>
      <c r="G388" s="23">
        <f>IF($C388&gt;0,INDEX(Merge_1_2!$C$2:$C$611,$C388),INDEX(Dataset3_Raw!$C$2:$C$391,$E388))</f>
        <v>1</v>
      </c>
      <c r="H388" s="23">
        <f>IF($C388&gt;0,INDEX(Merge_1_2!$D$2:$D$611,$C388),INDEX(Dataset3_Raw!$D$2:$D$391,$E388))</f>
        <v>0</v>
      </c>
      <c r="I388" s="23">
        <f>IF($C388&gt;0,INDEX(Merge_1_2!$E$2:$E$611,$C388),INDEX(Dataset3_Raw!$E$2:$E$391,$E388))</f>
        <v>1</v>
      </c>
      <c r="J388" s="23">
        <f>IF($C388&gt;0,INDEX(Merge_1_2!$F$2:$F$611,$C388),INDEX(Dataset3_Raw!$F$2:$F$391,$E388))</f>
        <v>14</v>
      </c>
      <c r="K388" s="23" t="b">
        <f>IF($C388&gt;0,INDEX(Merge_1_2!$G$2:$G$611,$C388),INDEX(Dataset3_Raw!$G$2:$G$391,$E388))</f>
        <v>1</v>
      </c>
      <c r="L388" s="23">
        <f>IF($C388&gt;0,INDEX(Merge_1_2!$H$2:$H$611,$C388),INDEX(Dataset3_Raw!$H$2:$H$391,$E388))</f>
        <v>1</v>
      </c>
      <c r="M388" s="23">
        <f>IF($C388&gt;0,INDEX(Merge_1_2!$I$2:$I$611,$C388),INDEX(Dataset3_Raw!$I$2:$I$391,$E388))</f>
        <v>2</v>
      </c>
      <c r="N388" s="25">
        <f>IF($C388&gt;0,INDEX(Merge_1_2!$J$2:$J$611,$C388),INDEX(Dataset3_Raw!$J$2:$J$391,$E388))</f>
        <v>0.18</v>
      </c>
      <c r="O388" s="25">
        <f>IF($C388&gt;0,IF(ISNUMBER(INDEX(Merge_1_2!$K$2:$K$611,$C388)),INDEX(Merge_1_2!$K$2:$K$611,$C388),""),INDEX(Dataset3_Raw!$K$2:$K$391,$E388))</f>
        <v>0.21210000000000001</v>
      </c>
      <c r="P388" s="25">
        <f>IF(ISNUMBER($O388),$O388,ROUND(Lookups!$B$25+Lookups!$B$24*$N388,4))</f>
        <v>0.21210000000000001</v>
      </c>
      <c r="Q388" s="25">
        <f>IF($C388&gt;0,INDEX(Merge_1_2!$L$2:$L$611,$C388),INDEX(Dataset3_Raw!$L$2:$L$391,$E388))</f>
        <v>0.43</v>
      </c>
      <c r="R388" s="25">
        <f>IF($C388&gt;0,INDEX(Merge_1_2!$M$2:$M$611,$C388),INDEX(Dataset3_Raw!$M$2:$M$391,$E388))</f>
        <v>0.1045</v>
      </c>
      <c r="S388" s="23">
        <f>IF($C388&gt;0,INDEX(Merge_1_2!$N$2:$N$611,$C388),INDEX(Dataset3_Raw!$N$2:$N$391,$E388))</f>
        <v>12</v>
      </c>
      <c r="T388" s="23">
        <f>IF($C388&gt;0,INDEX(Merge_1_2!$O$2:$O$611,$C388),INDEX(Dataset3_Raw!$O$2:$O$391,$E388))</f>
        <v>74</v>
      </c>
      <c r="U388" s="23">
        <f>IF($C388&gt;0,INDEX(Merge_1_2!$P$2:$P$611,$C388),INDEX(Dataset3_Raw!$P$2:$P$391,$E388))</f>
        <v>86</v>
      </c>
      <c r="V388" s="23" t="str">
        <f t="shared" si="37"/>
        <v>Holiday</v>
      </c>
      <c r="W388" s="23" t="str">
        <f>VLOOKUP($M388,Lookups!$A$5:$B$8,2,FALSE())</f>
        <v>Mist / Cloudy</v>
      </c>
      <c r="X388" s="23" t="str">
        <f>VLOOKUP($G388,Lookups!$D$5:$E$8,2,FALSE())</f>
        <v>Winter</v>
      </c>
      <c r="Y388" s="23" t="str">
        <f>VLOOKUP($L388,Lookups!$G$5:$H$11,2,FALSE())</f>
        <v>Monday</v>
      </c>
      <c r="Z388" s="23" t="str">
        <f>IF($J388&lt;Lookups!$B$26,"Night",IF($J388&lt;Lookups!$B$27,"Morning",IF($J388&lt;Lookups!$B$28,"Afternoon","Evening")))</f>
        <v>Afternoon</v>
      </c>
      <c r="AA388" s="26">
        <f>ROUND($N388*(Lookups!$B$16-Lookups!$B$15)+Lookups!$B$15,1)</f>
        <v>0.5</v>
      </c>
      <c r="AB388" s="26">
        <f>ROUND($P388*(Lookups!$B$18-Lookups!$B$17)+Lookups!$B$17,1)</f>
        <v>-2</v>
      </c>
      <c r="AC388" s="23">
        <f t="shared" si="38"/>
        <v>43</v>
      </c>
      <c r="AD388" s="23">
        <f>ROUND($R388*Lookups!$B$19,1)</f>
        <v>7</v>
      </c>
      <c r="AE388" s="27">
        <f t="shared" si="39"/>
        <v>0.86046511627906974</v>
      </c>
      <c r="AF388" s="23" t="str">
        <f>IF($U388&gt;=Lookups!$B$23,"High",IF($U388&gt;=Lookups!$B$22,"Medium","Low"))</f>
        <v>High</v>
      </c>
      <c r="AG388" s="23">
        <f>ROUND(IF($V388="Weekday",IF(INDEX(Hourly_Analysis!$D$5:$D$28,$J388+1)&gt;0,($U388-INDEX(Hourly_Analysis!$C$5:$C$28,$J388+1))/INDEX(Hourly_Analysis!$D$5:$D$28,$J388+1),0),IF(INDEX(Hourly_Analysis!$G$5:$G$28,$J388+1)&gt;0,($U388-INDEX(Hourly_Analysis!$F$5:$F$28,$J388+1))/INDEX(Hourly_Analysis!$G$5:$G$28,$J388+1),0)),2)</f>
        <v>-0.5</v>
      </c>
      <c r="AH388" s="23" t="str">
        <f>IF(ABS($AG388)&gt;Lookups!$B$20,IF($AG388&gt;0,"High anomaly","Low anomaly"),"")</f>
        <v/>
      </c>
      <c r="AI388" s="23" t="str">
        <f t="shared" si="40"/>
        <v>OK</v>
      </c>
      <c r="AJ388" s="23" t="str">
        <f t="shared" si="41"/>
        <v>No</v>
      </c>
    </row>
    <row r="389" spans="1:36" x14ac:dyDescent="0.35">
      <c r="A389" s="23">
        <v>388</v>
      </c>
      <c r="B389" s="23" t="str">
        <f t="shared" si="36"/>
        <v>Merge 1+2</v>
      </c>
      <c r="C389" s="23">
        <f>IFERROR(MATCH($A389,Merge_1_2!$A$2:$A$611,0),0)</f>
        <v>388</v>
      </c>
      <c r="D389" s="23">
        <f>IF($C389&gt;0,INDEX(Merge_1_2!$Q$2:$Q$611,$C389),0)</f>
        <v>388</v>
      </c>
      <c r="E389" s="23">
        <f>IFERROR(MATCH($A389,Dataset3_Raw!$A$2:$A$391,0),0)</f>
        <v>0</v>
      </c>
      <c r="F389" s="24">
        <f>IF($C389&gt;0,INDEX(Merge_1_2!$B$2:$B$611,$C389),DATE(VALUE(RIGHT(INDEX(Dataset3_Raw!$B$2:$B$391,$E389),4)),VALUE(MID(INDEX(Dataset3_Raw!$B$2:$B$391,$E389),4,2)),VALUE(LEFT(INDEX(Dataset3_Raw!$B$2:$B$391,$E389),2))))</f>
        <v>40560</v>
      </c>
      <c r="G389" s="23">
        <f>IF($C389&gt;0,INDEX(Merge_1_2!$C$2:$C$611,$C389),INDEX(Dataset3_Raw!$C$2:$C$391,$E389))</f>
        <v>1</v>
      </c>
      <c r="H389" s="23">
        <f>IF($C389&gt;0,INDEX(Merge_1_2!$D$2:$D$611,$C389),INDEX(Dataset3_Raw!$D$2:$D$391,$E389))</f>
        <v>0</v>
      </c>
      <c r="I389" s="23">
        <f>IF($C389&gt;0,INDEX(Merge_1_2!$E$2:$E$611,$C389),INDEX(Dataset3_Raw!$E$2:$E$391,$E389))</f>
        <v>1</v>
      </c>
      <c r="J389" s="23">
        <f>IF($C389&gt;0,INDEX(Merge_1_2!$F$2:$F$611,$C389),INDEX(Dataset3_Raw!$F$2:$F$391,$E389))</f>
        <v>15</v>
      </c>
      <c r="K389" s="23" t="b">
        <f>IF($C389&gt;0,INDEX(Merge_1_2!$G$2:$G$611,$C389),INDEX(Dataset3_Raw!$G$2:$G$391,$E389))</f>
        <v>1</v>
      </c>
      <c r="L389" s="23">
        <f>IF($C389&gt;0,INDEX(Merge_1_2!$H$2:$H$611,$C389),INDEX(Dataset3_Raw!$H$2:$H$391,$E389))</f>
        <v>1</v>
      </c>
      <c r="M389" s="23">
        <f>IF($C389&gt;0,INDEX(Merge_1_2!$I$2:$I$611,$C389),INDEX(Dataset3_Raw!$I$2:$I$391,$E389))</f>
        <v>2</v>
      </c>
      <c r="N389" s="25">
        <f>IF($C389&gt;0,INDEX(Merge_1_2!$J$2:$J$611,$C389),INDEX(Dataset3_Raw!$J$2:$J$391,$E389))</f>
        <v>0.2</v>
      </c>
      <c r="O389" s="25">
        <f>IF($C389&gt;0,IF(ISNUMBER(INDEX(Merge_1_2!$K$2:$K$611,$C389)),INDEX(Merge_1_2!$K$2:$K$611,$C389),""),INDEX(Dataset3_Raw!$K$2:$K$391,$E389))</f>
        <v>0.21210000000000001</v>
      </c>
      <c r="P389" s="25">
        <f>IF(ISNUMBER($O389),$O389,ROUND(Lookups!$B$25+Lookups!$B$24*$N389,4))</f>
        <v>0.21210000000000001</v>
      </c>
      <c r="Q389" s="25">
        <f>IF($C389&gt;0,INDEX(Merge_1_2!$L$2:$L$611,$C389),INDEX(Dataset3_Raw!$L$2:$L$391,$E389))</f>
        <v>0.47</v>
      </c>
      <c r="R389" s="25">
        <f>IF($C389&gt;0,INDEX(Merge_1_2!$M$2:$M$611,$C389),INDEX(Dataset3_Raw!$M$2:$M$391,$E389))</f>
        <v>0.16420000000000001</v>
      </c>
      <c r="S389" s="23">
        <f>IF($C389&gt;0,INDEX(Merge_1_2!$N$2:$N$611,$C389),INDEX(Dataset3_Raw!$N$2:$N$391,$E389))</f>
        <v>21</v>
      </c>
      <c r="T389" s="23">
        <f>IF($C389&gt;0,INDEX(Merge_1_2!$O$2:$O$611,$C389),INDEX(Dataset3_Raw!$O$2:$O$391,$E389))</f>
        <v>72</v>
      </c>
      <c r="U389" s="23">
        <f>IF($C389&gt;0,INDEX(Merge_1_2!$P$2:$P$611,$C389),INDEX(Dataset3_Raw!$P$2:$P$391,$E389))</f>
        <v>93</v>
      </c>
      <c r="V389" s="23" t="str">
        <f t="shared" si="37"/>
        <v>Holiday</v>
      </c>
      <c r="W389" s="23" t="str">
        <f>VLOOKUP($M389,Lookups!$A$5:$B$8,2,FALSE())</f>
        <v>Mist / Cloudy</v>
      </c>
      <c r="X389" s="23" t="str">
        <f>VLOOKUP($G389,Lookups!$D$5:$E$8,2,FALSE())</f>
        <v>Winter</v>
      </c>
      <c r="Y389" s="23" t="str">
        <f>VLOOKUP($L389,Lookups!$G$5:$H$11,2,FALSE())</f>
        <v>Monday</v>
      </c>
      <c r="Z389" s="23" t="str">
        <f>IF($J389&lt;Lookups!$B$26,"Night",IF($J389&lt;Lookups!$B$27,"Morning",IF($J389&lt;Lookups!$B$28,"Afternoon","Evening")))</f>
        <v>Afternoon</v>
      </c>
      <c r="AA389" s="26">
        <f>ROUND($N389*(Lookups!$B$16-Lookups!$B$15)+Lookups!$B$15,1)</f>
        <v>1.4</v>
      </c>
      <c r="AB389" s="26">
        <f>ROUND($P389*(Lookups!$B$18-Lookups!$B$17)+Lookups!$B$17,1)</f>
        <v>-2</v>
      </c>
      <c r="AC389" s="23">
        <f t="shared" si="38"/>
        <v>47</v>
      </c>
      <c r="AD389" s="23">
        <f>ROUND($R389*Lookups!$B$19,1)</f>
        <v>11</v>
      </c>
      <c r="AE389" s="27">
        <f t="shared" si="39"/>
        <v>0.77419354838709675</v>
      </c>
      <c r="AF389" s="23" t="str">
        <f>IF($U389&gt;=Lookups!$B$23,"High",IF($U389&gt;=Lookups!$B$22,"Medium","Low"))</f>
        <v>High</v>
      </c>
      <c r="AG389" s="23">
        <f>ROUND(IF($V389="Weekday",IF(INDEX(Hourly_Analysis!$D$5:$D$28,$J389+1)&gt;0,($U389-INDEX(Hourly_Analysis!$C$5:$C$28,$J389+1))/INDEX(Hourly_Analysis!$D$5:$D$28,$J389+1),0),IF(INDEX(Hourly_Analysis!$G$5:$G$28,$J389+1)&gt;0,($U389-INDEX(Hourly_Analysis!$F$5:$F$28,$J389+1))/INDEX(Hourly_Analysis!$G$5:$G$28,$J389+1),0)),2)</f>
        <v>-0.47</v>
      </c>
      <c r="AH389" s="23" t="str">
        <f>IF(ABS($AG389)&gt;Lookups!$B$20,IF($AG389&gt;0,"High anomaly","Low anomaly"),"")</f>
        <v/>
      </c>
      <c r="AI389" s="23" t="str">
        <f t="shared" si="40"/>
        <v>OK</v>
      </c>
      <c r="AJ389" s="23" t="str">
        <f t="shared" si="41"/>
        <v>No</v>
      </c>
    </row>
    <row r="390" spans="1:36" x14ac:dyDescent="0.35">
      <c r="A390" s="23">
        <v>389</v>
      </c>
      <c r="B390" s="23" t="str">
        <f t="shared" si="36"/>
        <v>Merge 1+2</v>
      </c>
      <c r="C390" s="23">
        <f>IFERROR(MATCH($A390,Merge_1_2!$A$2:$A$611,0),0)</f>
        <v>389</v>
      </c>
      <c r="D390" s="23">
        <f>IF($C390&gt;0,INDEX(Merge_1_2!$Q$2:$Q$611,$C390),0)</f>
        <v>389</v>
      </c>
      <c r="E390" s="23">
        <f>IFERROR(MATCH($A390,Dataset3_Raw!$A$2:$A$391,0),0)</f>
        <v>0</v>
      </c>
      <c r="F390" s="24">
        <f>IF($C390&gt;0,INDEX(Merge_1_2!$B$2:$B$611,$C390),DATE(VALUE(RIGHT(INDEX(Dataset3_Raw!$B$2:$B$391,$E390),4)),VALUE(MID(INDEX(Dataset3_Raw!$B$2:$B$391,$E390),4,2)),VALUE(LEFT(INDEX(Dataset3_Raw!$B$2:$B$391,$E390),2))))</f>
        <v>40560</v>
      </c>
      <c r="G390" s="23">
        <f>IF($C390&gt;0,INDEX(Merge_1_2!$C$2:$C$611,$C390),INDEX(Dataset3_Raw!$C$2:$C$391,$E390))</f>
        <v>1</v>
      </c>
      <c r="H390" s="23">
        <f>IF($C390&gt;0,INDEX(Merge_1_2!$D$2:$D$611,$C390),INDEX(Dataset3_Raw!$D$2:$D$391,$E390))</f>
        <v>0</v>
      </c>
      <c r="I390" s="23">
        <f>IF($C390&gt;0,INDEX(Merge_1_2!$E$2:$E$611,$C390),INDEX(Dataset3_Raw!$E$2:$E$391,$E390))</f>
        <v>1</v>
      </c>
      <c r="J390" s="23">
        <f>IF($C390&gt;0,INDEX(Merge_1_2!$F$2:$F$611,$C390),INDEX(Dataset3_Raw!$F$2:$F$391,$E390))</f>
        <v>16</v>
      </c>
      <c r="K390" s="23" t="b">
        <f>IF($C390&gt;0,INDEX(Merge_1_2!$G$2:$G$611,$C390),INDEX(Dataset3_Raw!$G$2:$G$391,$E390))</f>
        <v>1</v>
      </c>
      <c r="L390" s="23">
        <f>IF($C390&gt;0,INDEX(Merge_1_2!$H$2:$H$611,$C390),INDEX(Dataset3_Raw!$H$2:$H$391,$E390))</f>
        <v>1</v>
      </c>
      <c r="M390" s="23">
        <f>IF($C390&gt;0,INDEX(Merge_1_2!$I$2:$I$611,$C390),INDEX(Dataset3_Raw!$I$2:$I$391,$E390))</f>
        <v>2</v>
      </c>
      <c r="N390" s="25">
        <f>IF($C390&gt;0,INDEX(Merge_1_2!$J$2:$J$611,$C390),INDEX(Dataset3_Raw!$J$2:$J$391,$E390))</f>
        <v>0.2</v>
      </c>
      <c r="O390" s="25">
        <f>IF($C390&gt;0,IF(ISNUMBER(INDEX(Merge_1_2!$K$2:$K$611,$C390)),INDEX(Merge_1_2!$K$2:$K$611,$C390),""),INDEX(Dataset3_Raw!$K$2:$K$391,$E390))</f>
        <v>0.21210000000000001</v>
      </c>
      <c r="P390" s="25">
        <f>IF(ISNUMBER($O390),$O390,ROUND(Lookups!$B$25+Lookups!$B$24*$N390,4))</f>
        <v>0.21210000000000001</v>
      </c>
      <c r="Q390" s="25">
        <f>IF($C390&gt;0,INDEX(Merge_1_2!$L$2:$L$611,$C390),INDEX(Dataset3_Raw!$L$2:$L$391,$E390))</f>
        <v>0.47</v>
      </c>
      <c r="R390" s="25">
        <f>IF($C390&gt;0,INDEX(Merge_1_2!$M$2:$M$611,$C390),INDEX(Dataset3_Raw!$M$2:$M$391,$E390))</f>
        <v>0.16420000000000001</v>
      </c>
      <c r="S390" s="23">
        <f>IF($C390&gt;0,INDEX(Merge_1_2!$N$2:$N$611,$C390),INDEX(Dataset3_Raw!$N$2:$N$391,$E390))</f>
        <v>6</v>
      </c>
      <c r="T390" s="23">
        <f>IF($C390&gt;0,INDEX(Merge_1_2!$O$2:$O$611,$C390),INDEX(Dataset3_Raw!$O$2:$O$391,$E390))</f>
        <v>76</v>
      </c>
      <c r="U390" s="23">
        <f>IF($C390&gt;0,INDEX(Merge_1_2!$P$2:$P$611,$C390),INDEX(Dataset3_Raw!$P$2:$P$391,$E390))</f>
        <v>82</v>
      </c>
      <c r="V390" s="23" t="str">
        <f t="shared" si="37"/>
        <v>Holiday</v>
      </c>
      <c r="W390" s="23" t="str">
        <f>VLOOKUP($M390,Lookups!$A$5:$B$8,2,FALSE())</f>
        <v>Mist / Cloudy</v>
      </c>
      <c r="X390" s="23" t="str">
        <f>VLOOKUP($G390,Lookups!$D$5:$E$8,2,FALSE())</f>
        <v>Winter</v>
      </c>
      <c r="Y390" s="23" t="str">
        <f>VLOOKUP($L390,Lookups!$G$5:$H$11,2,FALSE())</f>
        <v>Monday</v>
      </c>
      <c r="Z390" s="23" t="str">
        <f>IF($J390&lt;Lookups!$B$26,"Night",IF($J390&lt;Lookups!$B$27,"Morning",IF($J390&lt;Lookups!$B$28,"Afternoon","Evening")))</f>
        <v>Afternoon</v>
      </c>
      <c r="AA390" s="26">
        <f>ROUND($N390*(Lookups!$B$16-Lookups!$B$15)+Lookups!$B$15,1)</f>
        <v>1.4</v>
      </c>
      <c r="AB390" s="26">
        <f>ROUND($P390*(Lookups!$B$18-Lookups!$B$17)+Lookups!$B$17,1)</f>
        <v>-2</v>
      </c>
      <c r="AC390" s="23">
        <f t="shared" si="38"/>
        <v>47</v>
      </c>
      <c r="AD390" s="23">
        <f>ROUND($R390*Lookups!$B$19,1)</f>
        <v>11</v>
      </c>
      <c r="AE390" s="27">
        <f t="shared" si="39"/>
        <v>0.92682926829268297</v>
      </c>
      <c r="AF390" s="23" t="str">
        <f>IF($U390&gt;=Lookups!$B$23,"High",IF($U390&gt;=Lookups!$B$22,"Medium","Low"))</f>
        <v>Medium</v>
      </c>
      <c r="AG390" s="23">
        <f>ROUND(IF($V390="Weekday",IF(INDEX(Hourly_Analysis!$D$5:$D$28,$J390+1)&gt;0,($U390-INDEX(Hourly_Analysis!$C$5:$C$28,$J390+1))/INDEX(Hourly_Analysis!$D$5:$D$28,$J390+1),0),IF(INDEX(Hourly_Analysis!$G$5:$G$28,$J390+1)&gt;0,($U390-INDEX(Hourly_Analysis!$F$5:$F$28,$J390+1))/INDEX(Hourly_Analysis!$G$5:$G$28,$J390+1),0)),2)</f>
        <v>-0.69</v>
      </c>
      <c r="AH390" s="23" t="str">
        <f>IF(ABS($AG390)&gt;Lookups!$B$20,IF($AG390&gt;0,"High anomaly","Low anomaly"),"")</f>
        <v/>
      </c>
      <c r="AI390" s="23" t="str">
        <f t="shared" si="40"/>
        <v>OK</v>
      </c>
      <c r="AJ390" s="23" t="str">
        <f t="shared" si="41"/>
        <v>No</v>
      </c>
    </row>
    <row r="391" spans="1:36" x14ac:dyDescent="0.35">
      <c r="A391" s="23">
        <v>390</v>
      </c>
      <c r="B391" s="23" t="str">
        <f t="shared" si="36"/>
        <v>Merge 1+2</v>
      </c>
      <c r="C391" s="23">
        <f>IFERROR(MATCH($A391,Merge_1_2!$A$2:$A$611,0),0)</f>
        <v>390</v>
      </c>
      <c r="D391" s="23">
        <f>IF($C391&gt;0,INDEX(Merge_1_2!$Q$2:$Q$611,$C391),0)</f>
        <v>390</v>
      </c>
      <c r="E391" s="23">
        <f>IFERROR(MATCH($A391,Dataset3_Raw!$A$2:$A$391,0),0)</f>
        <v>0</v>
      </c>
      <c r="F391" s="24">
        <f>IF($C391&gt;0,INDEX(Merge_1_2!$B$2:$B$611,$C391),DATE(VALUE(RIGHT(INDEX(Dataset3_Raw!$B$2:$B$391,$E391),4)),VALUE(MID(INDEX(Dataset3_Raw!$B$2:$B$391,$E391),4,2)),VALUE(LEFT(INDEX(Dataset3_Raw!$B$2:$B$391,$E391),2))))</f>
        <v>40560</v>
      </c>
      <c r="G391" s="23">
        <f>IF($C391&gt;0,INDEX(Merge_1_2!$C$2:$C$611,$C391),INDEX(Dataset3_Raw!$C$2:$C$391,$E391))</f>
        <v>1</v>
      </c>
      <c r="H391" s="23">
        <f>IF($C391&gt;0,INDEX(Merge_1_2!$D$2:$D$611,$C391),INDEX(Dataset3_Raw!$D$2:$D$391,$E391))</f>
        <v>0</v>
      </c>
      <c r="I391" s="23">
        <f>IF($C391&gt;0,INDEX(Merge_1_2!$E$2:$E$611,$C391),INDEX(Dataset3_Raw!$E$2:$E$391,$E391))</f>
        <v>1</v>
      </c>
      <c r="J391" s="23">
        <f>IF($C391&gt;0,INDEX(Merge_1_2!$F$2:$F$611,$C391),INDEX(Dataset3_Raw!$F$2:$F$391,$E391))</f>
        <v>17</v>
      </c>
      <c r="K391" s="23" t="b">
        <f>IF($C391&gt;0,INDEX(Merge_1_2!$G$2:$G$611,$C391),INDEX(Dataset3_Raw!$G$2:$G$391,$E391))</f>
        <v>1</v>
      </c>
      <c r="L391" s="23">
        <f>IF($C391&gt;0,INDEX(Merge_1_2!$H$2:$H$611,$C391),INDEX(Dataset3_Raw!$H$2:$H$391,$E391))</f>
        <v>1</v>
      </c>
      <c r="M391" s="23">
        <f>IF($C391&gt;0,INDEX(Merge_1_2!$I$2:$I$611,$C391),INDEX(Dataset3_Raw!$I$2:$I$391,$E391))</f>
        <v>1</v>
      </c>
      <c r="N391" s="25">
        <f>IF($C391&gt;0,INDEX(Merge_1_2!$J$2:$J$611,$C391),INDEX(Dataset3_Raw!$J$2:$J$391,$E391))</f>
        <v>0.2</v>
      </c>
      <c r="O391" s="25">
        <f>IF($C391&gt;0,IF(ISNUMBER(INDEX(Merge_1_2!$K$2:$K$611,$C391)),INDEX(Merge_1_2!$K$2:$K$611,$C391),""),INDEX(Dataset3_Raw!$K$2:$K$391,$E391))</f>
        <v>0.19700000000000001</v>
      </c>
      <c r="P391" s="25">
        <f>IF(ISNUMBER($O391),$O391,ROUND(Lookups!$B$25+Lookups!$B$24*$N391,4))</f>
        <v>0.19700000000000001</v>
      </c>
      <c r="Q391" s="25">
        <f>IF($C391&gt;0,INDEX(Merge_1_2!$L$2:$L$611,$C391),INDEX(Dataset3_Raw!$L$2:$L$391,$E391))</f>
        <v>0.51</v>
      </c>
      <c r="R391" s="25">
        <f>IF($C391&gt;0,INDEX(Merge_1_2!$M$2:$M$611,$C391),INDEX(Dataset3_Raw!$M$2:$M$391,$E391))</f>
        <v>0.19400000000000001</v>
      </c>
      <c r="S391" s="23">
        <f>IF($C391&gt;0,INDEX(Merge_1_2!$N$2:$N$611,$C391),INDEX(Dataset3_Raw!$N$2:$N$391,$E391))</f>
        <v>4</v>
      </c>
      <c r="T391" s="23">
        <f>IF($C391&gt;0,INDEX(Merge_1_2!$O$2:$O$611,$C391),INDEX(Dataset3_Raw!$O$2:$O$391,$E391))</f>
        <v>67</v>
      </c>
      <c r="U391" s="23">
        <f>IF($C391&gt;0,INDEX(Merge_1_2!$P$2:$P$611,$C391),INDEX(Dataset3_Raw!$P$2:$P$391,$E391))</f>
        <v>71</v>
      </c>
      <c r="V391" s="23" t="str">
        <f t="shared" si="37"/>
        <v>Holiday</v>
      </c>
      <c r="W391" s="23" t="str">
        <f>VLOOKUP($M391,Lookups!$A$5:$B$8,2,FALSE())</f>
        <v>Clear / Partly cloudy</v>
      </c>
      <c r="X391" s="23" t="str">
        <f>VLOOKUP($G391,Lookups!$D$5:$E$8,2,FALSE())</f>
        <v>Winter</v>
      </c>
      <c r="Y391" s="23" t="str">
        <f>VLOOKUP($L391,Lookups!$G$5:$H$11,2,FALSE())</f>
        <v>Monday</v>
      </c>
      <c r="Z391" s="23" t="str">
        <f>IF($J391&lt;Lookups!$B$26,"Night",IF($J391&lt;Lookups!$B$27,"Morning",IF($J391&lt;Lookups!$B$28,"Afternoon","Evening")))</f>
        <v>Afternoon</v>
      </c>
      <c r="AA391" s="26">
        <f>ROUND($N391*(Lookups!$B$16-Lookups!$B$15)+Lookups!$B$15,1)</f>
        <v>1.4</v>
      </c>
      <c r="AB391" s="26">
        <f>ROUND($P391*(Lookups!$B$18-Lookups!$B$17)+Lookups!$B$17,1)</f>
        <v>-3</v>
      </c>
      <c r="AC391" s="23">
        <f t="shared" si="38"/>
        <v>51</v>
      </c>
      <c r="AD391" s="23">
        <f>ROUND($R391*Lookups!$B$19,1)</f>
        <v>13</v>
      </c>
      <c r="AE391" s="27">
        <f t="shared" si="39"/>
        <v>0.94366197183098588</v>
      </c>
      <c r="AF391" s="23" t="str">
        <f>IF($U391&gt;=Lookups!$B$23,"High",IF($U391&gt;=Lookups!$B$22,"Medium","Low"))</f>
        <v>Medium</v>
      </c>
      <c r="AG391" s="23">
        <f>ROUND(IF($V391="Weekday",IF(INDEX(Hourly_Analysis!$D$5:$D$28,$J391+1)&gt;0,($U391-INDEX(Hourly_Analysis!$C$5:$C$28,$J391+1))/INDEX(Hourly_Analysis!$D$5:$D$28,$J391+1),0),IF(INDEX(Hourly_Analysis!$G$5:$G$28,$J391+1)&gt;0,($U391-INDEX(Hourly_Analysis!$F$5:$F$28,$J391+1))/INDEX(Hourly_Analysis!$G$5:$G$28,$J391+1),0)),2)</f>
        <v>-0.54</v>
      </c>
      <c r="AH391" s="23" t="str">
        <f>IF(ABS($AG391)&gt;Lookups!$B$20,IF($AG391&gt;0,"High anomaly","Low anomaly"),"")</f>
        <v/>
      </c>
      <c r="AI391" s="23" t="str">
        <f t="shared" si="40"/>
        <v>OK</v>
      </c>
      <c r="AJ391" s="23" t="str">
        <f t="shared" si="41"/>
        <v>No</v>
      </c>
    </row>
    <row r="392" spans="1:36" x14ac:dyDescent="0.35">
      <c r="A392" s="23">
        <v>391</v>
      </c>
      <c r="B392" s="23" t="str">
        <f t="shared" si="36"/>
        <v>Merge 1+2</v>
      </c>
      <c r="C392" s="23">
        <f>IFERROR(MATCH($A392,Merge_1_2!$A$2:$A$611,0),0)</f>
        <v>391</v>
      </c>
      <c r="D392" s="23">
        <f>IF($C392&gt;0,INDEX(Merge_1_2!$Q$2:$Q$611,$C392),0)</f>
        <v>391</v>
      </c>
      <c r="E392" s="23">
        <f>IFERROR(MATCH($A392,Dataset3_Raw!$A$2:$A$391,0),0)</f>
        <v>0</v>
      </c>
      <c r="F392" s="24">
        <f>IF($C392&gt;0,INDEX(Merge_1_2!$B$2:$B$611,$C392),DATE(VALUE(RIGHT(INDEX(Dataset3_Raw!$B$2:$B$391,$E392),4)),VALUE(MID(INDEX(Dataset3_Raw!$B$2:$B$391,$E392),4,2)),VALUE(LEFT(INDEX(Dataset3_Raw!$B$2:$B$391,$E392),2))))</f>
        <v>40560</v>
      </c>
      <c r="G392" s="23">
        <f>IF($C392&gt;0,INDEX(Merge_1_2!$C$2:$C$611,$C392),INDEX(Dataset3_Raw!$C$2:$C$391,$E392))</f>
        <v>1</v>
      </c>
      <c r="H392" s="23">
        <f>IF($C392&gt;0,INDEX(Merge_1_2!$D$2:$D$611,$C392),INDEX(Dataset3_Raw!$D$2:$D$391,$E392))</f>
        <v>0</v>
      </c>
      <c r="I392" s="23">
        <f>IF($C392&gt;0,INDEX(Merge_1_2!$E$2:$E$611,$C392),INDEX(Dataset3_Raw!$E$2:$E$391,$E392))</f>
        <v>1</v>
      </c>
      <c r="J392" s="23">
        <f>IF($C392&gt;0,INDEX(Merge_1_2!$F$2:$F$611,$C392),INDEX(Dataset3_Raw!$F$2:$F$391,$E392))</f>
        <v>18</v>
      </c>
      <c r="K392" s="23" t="b">
        <f>IF($C392&gt;0,INDEX(Merge_1_2!$G$2:$G$611,$C392),INDEX(Dataset3_Raw!$G$2:$G$391,$E392))</f>
        <v>1</v>
      </c>
      <c r="L392" s="23">
        <f>IF($C392&gt;0,INDEX(Merge_1_2!$H$2:$H$611,$C392),INDEX(Dataset3_Raw!$H$2:$H$391,$E392))</f>
        <v>1</v>
      </c>
      <c r="M392" s="23">
        <f>IF($C392&gt;0,INDEX(Merge_1_2!$I$2:$I$611,$C392),INDEX(Dataset3_Raw!$I$2:$I$391,$E392))</f>
        <v>2</v>
      </c>
      <c r="N392" s="25">
        <f>IF($C392&gt;0,INDEX(Merge_1_2!$J$2:$J$611,$C392),INDEX(Dataset3_Raw!$J$2:$J$391,$E392))</f>
        <v>0.18</v>
      </c>
      <c r="O392" s="25">
        <f>IF($C392&gt;0,IF(ISNUMBER(INDEX(Merge_1_2!$K$2:$K$611,$C392)),INDEX(Merge_1_2!$K$2:$K$611,$C392),""),INDEX(Dataset3_Raw!$K$2:$K$391,$E392))</f>
        <v>0.16669999999999999</v>
      </c>
      <c r="P392" s="25">
        <f>IF(ISNUMBER($O392),$O392,ROUND(Lookups!$B$25+Lookups!$B$24*$N392,4))</f>
        <v>0.16669999999999999</v>
      </c>
      <c r="Q392" s="25">
        <f>IF($C392&gt;0,INDEX(Merge_1_2!$L$2:$L$611,$C392),INDEX(Dataset3_Raw!$L$2:$L$391,$E392))</f>
        <v>0.55000000000000004</v>
      </c>
      <c r="R392" s="25">
        <f>IF($C392&gt;0,INDEX(Merge_1_2!$M$2:$M$611,$C392),INDEX(Dataset3_Raw!$M$2:$M$391,$E392))</f>
        <v>0.25369999999999998</v>
      </c>
      <c r="S392" s="23">
        <f>IF($C392&gt;0,INDEX(Merge_1_2!$N$2:$N$611,$C392),INDEX(Dataset3_Raw!$N$2:$N$391,$E392))</f>
        <v>7</v>
      </c>
      <c r="T392" s="23">
        <f>IF($C392&gt;0,INDEX(Merge_1_2!$O$2:$O$611,$C392),INDEX(Dataset3_Raw!$O$2:$O$391,$E392))</f>
        <v>85</v>
      </c>
      <c r="U392" s="23">
        <f>IF($C392&gt;0,INDEX(Merge_1_2!$P$2:$P$611,$C392),INDEX(Dataset3_Raw!$P$2:$P$391,$E392))</f>
        <v>92</v>
      </c>
      <c r="V392" s="23" t="str">
        <f t="shared" si="37"/>
        <v>Holiday</v>
      </c>
      <c r="W392" s="23" t="str">
        <f>VLOOKUP($M392,Lookups!$A$5:$B$8,2,FALSE())</f>
        <v>Mist / Cloudy</v>
      </c>
      <c r="X392" s="23" t="str">
        <f>VLOOKUP($G392,Lookups!$D$5:$E$8,2,FALSE())</f>
        <v>Winter</v>
      </c>
      <c r="Y392" s="23" t="str">
        <f>VLOOKUP($L392,Lookups!$G$5:$H$11,2,FALSE())</f>
        <v>Monday</v>
      </c>
      <c r="Z392" s="23" t="str">
        <f>IF($J392&lt;Lookups!$B$26,"Night",IF($J392&lt;Lookups!$B$27,"Morning",IF($J392&lt;Lookups!$B$28,"Afternoon","Evening")))</f>
        <v>Evening</v>
      </c>
      <c r="AA392" s="26">
        <f>ROUND($N392*(Lookups!$B$16-Lookups!$B$15)+Lookups!$B$15,1)</f>
        <v>0.5</v>
      </c>
      <c r="AB392" s="26">
        <f>ROUND($P392*(Lookups!$B$18-Lookups!$B$17)+Lookups!$B$17,1)</f>
        <v>-5</v>
      </c>
      <c r="AC392" s="23">
        <f t="shared" si="38"/>
        <v>55</v>
      </c>
      <c r="AD392" s="23">
        <f>ROUND($R392*Lookups!$B$19,1)</f>
        <v>17</v>
      </c>
      <c r="AE392" s="27">
        <f t="shared" si="39"/>
        <v>0.92391304347826086</v>
      </c>
      <c r="AF392" s="23" t="str">
        <f>IF($U392&gt;=Lookups!$B$23,"High",IF($U392&gt;=Lookups!$B$22,"Medium","Low"))</f>
        <v>High</v>
      </c>
      <c r="AG392" s="23">
        <f>ROUND(IF($V392="Weekday",IF(INDEX(Hourly_Analysis!$D$5:$D$28,$J392+1)&gt;0,($U392-INDEX(Hourly_Analysis!$C$5:$C$28,$J392+1))/INDEX(Hourly_Analysis!$D$5:$D$28,$J392+1),0),IF(INDEX(Hourly_Analysis!$G$5:$G$28,$J392+1)&gt;0,($U392-INDEX(Hourly_Analysis!$F$5:$F$28,$J392+1))/INDEX(Hourly_Analysis!$G$5:$G$28,$J392+1),0)),2)</f>
        <v>1.48</v>
      </c>
      <c r="AH392" s="23" t="str">
        <f>IF(ABS($AG392)&gt;Lookups!$B$20,IF($AG392&gt;0,"High anomaly","Low anomaly"),"")</f>
        <v/>
      </c>
      <c r="AI392" s="23" t="str">
        <f t="shared" si="40"/>
        <v>OK</v>
      </c>
      <c r="AJ392" s="23" t="str">
        <f t="shared" si="41"/>
        <v>No</v>
      </c>
    </row>
    <row r="393" spans="1:36" x14ac:dyDescent="0.35">
      <c r="A393" s="23">
        <v>392</v>
      </c>
      <c r="B393" s="23" t="str">
        <f t="shared" si="36"/>
        <v>Merge 1+2</v>
      </c>
      <c r="C393" s="23">
        <f>IFERROR(MATCH($A393,Merge_1_2!$A$2:$A$611,0),0)</f>
        <v>392</v>
      </c>
      <c r="D393" s="23">
        <f>IF($C393&gt;0,INDEX(Merge_1_2!$Q$2:$Q$611,$C393),0)</f>
        <v>392</v>
      </c>
      <c r="E393" s="23">
        <f>IFERROR(MATCH($A393,Dataset3_Raw!$A$2:$A$391,0),0)</f>
        <v>0</v>
      </c>
      <c r="F393" s="24">
        <f>IF($C393&gt;0,INDEX(Merge_1_2!$B$2:$B$611,$C393),DATE(VALUE(RIGHT(INDEX(Dataset3_Raw!$B$2:$B$391,$E393),4)),VALUE(MID(INDEX(Dataset3_Raw!$B$2:$B$391,$E393),4,2)),VALUE(LEFT(INDEX(Dataset3_Raw!$B$2:$B$391,$E393),2))))</f>
        <v>40560</v>
      </c>
      <c r="G393" s="23">
        <f>IF($C393&gt;0,INDEX(Merge_1_2!$C$2:$C$611,$C393),INDEX(Dataset3_Raw!$C$2:$C$391,$E393))</f>
        <v>1</v>
      </c>
      <c r="H393" s="23">
        <f>IF($C393&gt;0,INDEX(Merge_1_2!$D$2:$D$611,$C393),INDEX(Dataset3_Raw!$D$2:$D$391,$E393))</f>
        <v>0</v>
      </c>
      <c r="I393" s="23">
        <f>IF($C393&gt;0,INDEX(Merge_1_2!$E$2:$E$611,$C393),INDEX(Dataset3_Raw!$E$2:$E$391,$E393))</f>
        <v>1</v>
      </c>
      <c r="J393" s="23">
        <f>IF($C393&gt;0,INDEX(Merge_1_2!$F$2:$F$611,$C393),INDEX(Dataset3_Raw!$F$2:$F$391,$E393))</f>
        <v>19</v>
      </c>
      <c r="K393" s="23" t="b">
        <f>IF($C393&gt;0,INDEX(Merge_1_2!$G$2:$G$611,$C393),INDEX(Dataset3_Raw!$G$2:$G$391,$E393))</f>
        <v>1</v>
      </c>
      <c r="L393" s="23">
        <f>IF($C393&gt;0,INDEX(Merge_1_2!$H$2:$H$611,$C393),INDEX(Dataset3_Raw!$H$2:$H$391,$E393))</f>
        <v>1</v>
      </c>
      <c r="M393" s="23">
        <f>IF($C393&gt;0,INDEX(Merge_1_2!$I$2:$I$611,$C393),INDEX(Dataset3_Raw!$I$2:$I$391,$E393))</f>
        <v>3</v>
      </c>
      <c r="N393" s="25">
        <f>IF($C393&gt;0,INDEX(Merge_1_2!$J$2:$J$611,$C393),INDEX(Dataset3_Raw!$J$2:$J$391,$E393))</f>
        <v>0.18</v>
      </c>
      <c r="O393" s="25">
        <f>IF($C393&gt;0,IF(ISNUMBER(INDEX(Merge_1_2!$K$2:$K$611,$C393)),INDEX(Merge_1_2!$K$2:$K$611,$C393),""),INDEX(Dataset3_Raw!$K$2:$K$391,$E393))</f>
        <v>0.18179999999999999</v>
      </c>
      <c r="P393" s="25">
        <f>IF(ISNUMBER($O393),$O393,ROUND(Lookups!$B$25+Lookups!$B$24*$N393,4))</f>
        <v>0.18179999999999999</v>
      </c>
      <c r="Q393" s="25">
        <f>IF($C393&gt;0,INDEX(Merge_1_2!$L$2:$L$611,$C393),INDEX(Dataset3_Raw!$L$2:$L$391,$E393))</f>
        <v>0.59</v>
      </c>
      <c r="R393" s="25">
        <f>IF($C393&gt;0,INDEX(Merge_1_2!$M$2:$M$611,$C393),INDEX(Dataset3_Raw!$M$2:$M$391,$E393))</f>
        <v>0.19400000000000001</v>
      </c>
      <c r="S393" s="23">
        <f>IF($C393&gt;0,INDEX(Merge_1_2!$N$2:$N$611,$C393),INDEX(Dataset3_Raw!$N$2:$N$391,$E393))</f>
        <v>2</v>
      </c>
      <c r="T393" s="23">
        <f>IF($C393&gt;0,INDEX(Merge_1_2!$O$2:$O$611,$C393),INDEX(Dataset3_Raw!$O$2:$O$391,$E393))</f>
        <v>58</v>
      </c>
      <c r="U393" s="23">
        <f>IF($C393&gt;0,INDEX(Merge_1_2!$P$2:$P$611,$C393),INDEX(Dataset3_Raw!$P$2:$P$391,$E393))</f>
        <v>60</v>
      </c>
      <c r="V393" s="23" t="str">
        <f t="shared" si="37"/>
        <v>Holiday</v>
      </c>
      <c r="W393" s="23" t="str">
        <f>VLOOKUP($M393,Lookups!$A$5:$B$8,2,FALSE())</f>
        <v>Light snow / Light rain</v>
      </c>
      <c r="X393" s="23" t="str">
        <f>VLOOKUP($G393,Lookups!$D$5:$E$8,2,FALSE())</f>
        <v>Winter</v>
      </c>
      <c r="Y393" s="23" t="str">
        <f>VLOOKUP($L393,Lookups!$G$5:$H$11,2,FALSE())</f>
        <v>Monday</v>
      </c>
      <c r="Z393" s="23" t="str">
        <f>IF($J393&lt;Lookups!$B$26,"Night",IF($J393&lt;Lookups!$B$27,"Morning",IF($J393&lt;Lookups!$B$28,"Afternoon","Evening")))</f>
        <v>Evening</v>
      </c>
      <c r="AA393" s="26">
        <f>ROUND($N393*(Lookups!$B$16-Lookups!$B$15)+Lookups!$B$15,1)</f>
        <v>0.5</v>
      </c>
      <c r="AB393" s="26">
        <f>ROUND($P393*(Lookups!$B$18-Lookups!$B$17)+Lookups!$B$17,1)</f>
        <v>-4</v>
      </c>
      <c r="AC393" s="23">
        <f t="shared" si="38"/>
        <v>59</v>
      </c>
      <c r="AD393" s="23">
        <f>ROUND($R393*Lookups!$B$19,1)</f>
        <v>13</v>
      </c>
      <c r="AE393" s="27">
        <f t="shared" si="39"/>
        <v>0.96666666666666667</v>
      </c>
      <c r="AF393" s="23" t="str">
        <f>IF($U393&gt;=Lookups!$B$23,"High",IF($U393&gt;=Lookups!$B$22,"Medium","Low"))</f>
        <v>Medium</v>
      </c>
      <c r="AG393" s="23">
        <f>ROUND(IF($V393="Weekday",IF(INDEX(Hourly_Analysis!$D$5:$D$28,$J393+1)&gt;0,($U393-INDEX(Hourly_Analysis!$C$5:$C$28,$J393+1))/INDEX(Hourly_Analysis!$D$5:$D$28,$J393+1),0),IF(INDEX(Hourly_Analysis!$G$5:$G$28,$J393+1)&gt;0,($U393-INDEX(Hourly_Analysis!$F$5:$F$28,$J393+1))/INDEX(Hourly_Analysis!$G$5:$G$28,$J393+1),0)),2)</f>
        <v>0.53</v>
      </c>
      <c r="AH393" s="23" t="str">
        <f>IF(ABS($AG393)&gt;Lookups!$B$20,IF($AG393&gt;0,"High anomaly","Low anomaly"),"")</f>
        <v/>
      </c>
      <c r="AI393" s="23" t="str">
        <f t="shared" si="40"/>
        <v>OK</v>
      </c>
      <c r="AJ393" s="23" t="str">
        <f t="shared" si="41"/>
        <v>No</v>
      </c>
    </row>
    <row r="394" spans="1:36" x14ac:dyDescent="0.35">
      <c r="A394" s="23">
        <v>393</v>
      </c>
      <c r="B394" s="23" t="str">
        <f t="shared" si="36"/>
        <v>Merge 1+2</v>
      </c>
      <c r="C394" s="23">
        <f>IFERROR(MATCH($A394,Merge_1_2!$A$2:$A$611,0),0)</f>
        <v>393</v>
      </c>
      <c r="D394" s="23">
        <f>IF($C394&gt;0,INDEX(Merge_1_2!$Q$2:$Q$611,$C394),0)</f>
        <v>393</v>
      </c>
      <c r="E394" s="23">
        <f>IFERROR(MATCH($A394,Dataset3_Raw!$A$2:$A$391,0),0)</f>
        <v>0</v>
      </c>
      <c r="F394" s="24">
        <f>IF($C394&gt;0,INDEX(Merge_1_2!$B$2:$B$611,$C394),DATE(VALUE(RIGHT(INDEX(Dataset3_Raw!$B$2:$B$391,$E394),4)),VALUE(MID(INDEX(Dataset3_Raw!$B$2:$B$391,$E394),4,2)),VALUE(LEFT(INDEX(Dataset3_Raw!$B$2:$B$391,$E394),2))))</f>
        <v>40560</v>
      </c>
      <c r="G394" s="23">
        <f>IF($C394&gt;0,INDEX(Merge_1_2!$C$2:$C$611,$C394),INDEX(Dataset3_Raw!$C$2:$C$391,$E394))</f>
        <v>1</v>
      </c>
      <c r="H394" s="23">
        <f>IF($C394&gt;0,INDEX(Merge_1_2!$D$2:$D$611,$C394),INDEX(Dataset3_Raw!$D$2:$D$391,$E394))</f>
        <v>0</v>
      </c>
      <c r="I394" s="23">
        <f>IF($C394&gt;0,INDEX(Merge_1_2!$E$2:$E$611,$C394),INDEX(Dataset3_Raw!$E$2:$E$391,$E394))</f>
        <v>1</v>
      </c>
      <c r="J394" s="23">
        <f>IF($C394&gt;0,INDEX(Merge_1_2!$F$2:$F$611,$C394),INDEX(Dataset3_Raw!$F$2:$F$391,$E394))</f>
        <v>20</v>
      </c>
      <c r="K394" s="23" t="b">
        <f>IF($C394&gt;0,INDEX(Merge_1_2!$G$2:$G$611,$C394),INDEX(Dataset3_Raw!$G$2:$G$391,$E394))</f>
        <v>1</v>
      </c>
      <c r="L394" s="23">
        <f>IF($C394&gt;0,INDEX(Merge_1_2!$H$2:$H$611,$C394),INDEX(Dataset3_Raw!$H$2:$H$391,$E394))</f>
        <v>1</v>
      </c>
      <c r="M394" s="23">
        <f>IF($C394&gt;0,INDEX(Merge_1_2!$I$2:$I$611,$C394),INDEX(Dataset3_Raw!$I$2:$I$391,$E394))</f>
        <v>3</v>
      </c>
      <c r="N394" s="25">
        <f>IF($C394&gt;0,INDEX(Merge_1_2!$J$2:$J$611,$C394),INDEX(Dataset3_Raw!$J$2:$J$391,$E394))</f>
        <v>0.16</v>
      </c>
      <c r="O394" s="25">
        <f>IF($C394&gt;0,IF(ISNUMBER(INDEX(Merge_1_2!$K$2:$K$611,$C394)),INDEX(Merge_1_2!$K$2:$K$611,$C394),""),INDEX(Dataset3_Raw!$K$2:$K$391,$E394))</f>
        <v>0.1515</v>
      </c>
      <c r="P394" s="25">
        <f>IF(ISNUMBER($O394),$O394,ROUND(Lookups!$B$25+Lookups!$B$24*$N394,4))</f>
        <v>0.1515</v>
      </c>
      <c r="Q394" s="25">
        <f>IF($C394&gt;0,INDEX(Merge_1_2!$L$2:$L$611,$C394),INDEX(Dataset3_Raw!$L$2:$L$391,$E394))</f>
        <v>0.8</v>
      </c>
      <c r="R394" s="25">
        <f>IF($C394&gt;0,INDEX(Merge_1_2!$M$2:$M$611,$C394),INDEX(Dataset3_Raw!$M$2:$M$391,$E394))</f>
        <v>0.19400000000000001</v>
      </c>
      <c r="S394" s="23">
        <f>IF($C394&gt;0,INDEX(Merge_1_2!$N$2:$N$611,$C394),INDEX(Dataset3_Raw!$N$2:$N$391,$E394))</f>
        <v>4</v>
      </c>
      <c r="T394" s="23">
        <f>IF($C394&gt;0,INDEX(Merge_1_2!$O$2:$O$611,$C394),INDEX(Dataset3_Raw!$O$2:$O$391,$E394))</f>
        <v>29</v>
      </c>
      <c r="U394" s="23">
        <f>IF($C394&gt;0,INDEX(Merge_1_2!$P$2:$P$611,$C394),INDEX(Dataset3_Raw!$P$2:$P$391,$E394))</f>
        <v>33</v>
      </c>
      <c r="V394" s="23" t="str">
        <f t="shared" si="37"/>
        <v>Holiday</v>
      </c>
      <c r="W394" s="23" t="str">
        <f>VLOOKUP($M394,Lookups!$A$5:$B$8,2,FALSE())</f>
        <v>Light snow / Light rain</v>
      </c>
      <c r="X394" s="23" t="str">
        <f>VLOOKUP($G394,Lookups!$D$5:$E$8,2,FALSE())</f>
        <v>Winter</v>
      </c>
      <c r="Y394" s="23" t="str">
        <f>VLOOKUP($L394,Lookups!$G$5:$H$11,2,FALSE())</f>
        <v>Monday</v>
      </c>
      <c r="Z394" s="23" t="str">
        <f>IF($J394&lt;Lookups!$B$26,"Night",IF($J394&lt;Lookups!$B$27,"Morning",IF($J394&lt;Lookups!$B$28,"Afternoon","Evening")))</f>
        <v>Evening</v>
      </c>
      <c r="AA394" s="26">
        <f>ROUND($N394*(Lookups!$B$16-Lookups!$B$15)+Lookups!$B$15,1)</f>
        <v>-0.5</v>
      </c>
      <c r="AB394" s="26">
        <f>ROUND($P394*(Lookups!$B$18-Lookups!$B$17)+Lookups!$B$17,1)</f>
        <v>-6</v>
      </c>
      <c r="AC394" s="23">
        <f t="shared" si="38"/>
        <v>80</v>
      </c>
      <c r="AD394" s="23">
        <f>ROUND($R394*Lookups!$B$19,1)</f>
        <v>13</v>
      </c>
      <c r="AE394" s="27">
        <f t="shared" si="39"/>
        <v>0.87878787878787878</v>
      </c>
      <c r="AF394" s="23" t="str">
        <f>IF($U394&gt;=Lookups!$B$23,"High",IF($U394&gt;=Lookups!$B$22,"Medium","Low"))</f>
        <v>Medium</v>
      </c>
      <c r="AG394" s="23">
        <f>ROUND(IF($V394="Weekday",IF(INDEX(Hourly_Analysis!$D$5:$D$28,$J394+1)&gt;0,($U394-INDEX(Hourly_Analysis!$C$5:$C$28,$J394+1))/INDEX(Hourly_Analysis!$D$5:$D$28,$J394+1),0),IF(INDEX(Hourly_Analysis!$G$5:$G$28,$J394+1)&gt;0,($U394-INDEX(Hourly_Analysis!$F$5:$F$28,$J394+1))/INDEX(Hourly_Analysis!$G$5:$G$28,$J394+1),0)),2)</f>
        <v>-0.54</v>
      </c>
      <c r="AH394" s="23" t="str">
        <f>IF(ABS($AG394)&gt;Lookups!$B$20,IF($AG394&gt;0,"High anomaly","Low anomaly"),"")</f>
        <v/>
      </c>
      <c r="AI394" s="23" t="str">
        <f t="shared" si="40"/>
        <v>OK</v>
      </c>
      <c r="AJ394" s="23" t="str">
        <f t="shared" si="41"/>
        <v>No</v>
      </c>
    </row>
    <row r="395" spans="1:36" x14ac:dyDescent="0.35">
      <c r="A395" s="23">
        <v>394</v>
      </c>
      <c r="B395" s="23" t="str">
        <f t="shared" si="36"/>
        <v>Merge 1+2</v>
      </c>
      <c r="C395" s="23">
        <f>IFERROR(MATCH($A395,Merge_1_2!$A$2:$A$611,0),0)</f>
        <v>394</v>
      </c>
      <c r="D395" s="23">
        <f>IF($C395&gt;0,INDEX(Merge_1_2!$Q$2:$Q$611,$C395),0)</f>
        <v>394</v>
      </c>
      <c r="E395" s="23">
        <f>IFERROR(MATCH($A395,Dataset3_Raw!$A$2:$A$391,0),0)</f>
        <v>0</v>
      </c>
      <c r="F395" s="24">
        <f>IF($C395&gt;0,INDEX(Merge_1_2!$B$2:$B$611,$C395),DATE(VALUE(RIGHT(INDEX(Dataset3_Raw!$B$2:$B$391,$E395),4)),VALUE(MID(INDEX(Dataset3_Raw!$B$2:$B$391,$E395),4,2)),VALUE(LEFT(INDEX(Dataset3_Raw!$B$2:$B$391,$E395),2))))</f>
        <v>40560</v>
      </c>
      <c r="G395" s="23">
        <f>IF($C395&gt;0,INDEX(Merge_1_2!$C$2:$C$611,$C395),INDEX(Dataset3_Raw!$C$2:$C$391,$E395))</f>
        <v>1</v>
      </c>
      <c r="H395" s="23">
        <f>IF($C395&gt;0,INDEX(Merge_1_2!$D$2:$D$611,$C395),INDEX(Dataset3_Raw!$D$2:$D$391,$E395))</f>
        <v>0</v>
      </c>
      <c r="I395" s="23">
        <f>IF($C395&gt;0,INDEX(Merge_1_2!$E$2:$E$611,$C395),INDEX(Dataset3_Raw!$E$2:$E$391,$E395))</f>
        <v>1</v>
      </c>
      <c r="J395" s="23">
        <f>IF($C395&gt;0,INDEX(Merge_1_2!$F$2:$F$611,$C395),INDEX(Dataset3_Raw!$F$2:$F$391,$E395))</f>
        <v>21</v>
      </c>
      <c r="K395" s="23" t="b">
        <f>IF($C395&gt;0,INDEX(Merge_1_2!$G$2:$G$611,$C395),INDEX(Dataset3_Raw!$G$2:$G$391,$E395))</f>
        <v>1</v>
      </c>
      <c r="L395" s="23">
        <f>IF($C395&gt;0,INDEX(Merge_1_2!$H$2:$H$611,$C395),INDEX(Dataset3_Raw!$H$2:$H$391,$E395))</f>
        <v>1</v>
      </c>
      <c r="M395" s="23">
        <f>IF($C395&gt;0,INDEX(Merge_1_2!$I$2:$I$611,$C395),INDEX(Dataset3_Raw!$I$2:$I$391,$E395))</f>
        <v>3</v>
      </c>
      <c r="N395" s="25">
        <f>IF($C395&gt;0,INDEX(Merge_1_2!$J$2:$J$611,$C395),INDEX(Dataset3_Raw!$J$2:$J$391,$E395))</f>
        <v>0.16</v>
      </c>
      <c r="O395" s="25">
        <f>IF($C395&gt;0,IF(ISNUMBER(INDEX(Merge_1_2!$K$2:$K$611,$C395)),INDEX(Merge_1_2!$K$2:$K$611,$C395),""),INDEX(Dataset3_Raw!$K$2:$K$391,$E395))</f>
        <v>0.1515</v>
      </c>
      <c r="P395" s="25">
        <f>IF(ISNUMBER($O395),$O395,ROUND(Lookups!$B$25+Lookups!$B$24*$N395,4))</f>
        <v>0.1515</v>
      </c>
      <c r="Q395" s="25">
        <f>IF($C395&gt;0,INDEX(Merge_1_2!$L$2:$L$611,$C395),INDEX(Dataset3_Raw!$L$2:$L$391,$E395))</f>
        <v>0.8</v>
      </c>
      <c r="R395" s="25">
        <f>IF($C395&gt;0,INDEX(Merge_1_2!$M$2:$M$611,$C395),INDEX(Dataset3_Raw!$M$2:$M$391,$E395))</f>
        <v>0.19400000000000001</v>
      </c>
      <c r="S395" s="23">
        <f>IF($C395&gt;0,INDEX(Merge_1_2!$N$2:$N$611,$C395),INDEX(Dataset3_Raw!$N$2:$N$391,$E395))</f>
        <v>3</v>
      </c>
      <c r="T395" s="23">
        <f>IF($C395&gt;0,INDEX(Merge_1_2!$O$2:$O$611,$C395),INDEX(Dataset3_Raw!$O$2:$O$391,$E395))</f>
        <v>24</v>
      </c>
      <c r="U395" s="23">
        <f>IF($C395&gt;0,INDEX(Merge_1_2!$P$2:$P$611,$C395),INDEX(Dataset3_Raw!$P$2:$P$391,$E395))</f>
        <v>27</v>
      </c>
      <c r="V395" s="23" t="str">
        <f t="shared" si="37"/>
        <v>Holiday</v>
      </c>
      <c r="W395" s="23" t="str">
        <f>VLOOKUP($M395,Lookups!$A$5:$B$8,2,FALSE())</f>
        <v>Light snow / Light rain</v>
      </c>
      <c r="X395" s="23" t="str">
        <f>VLOOKUP($G395,Lookups!$D$5:$E$8,2,FALSE())</f>
        <v>Winter</v>
      </c>
      <c r="Y395" s="23" t="str">
        <f>VLOOKUP($L395,Lookups!$G$5:$H$11,2,FALSE())</f>
        <v>Monday</v>
      </c>
      <c r="Z395" s="23" t="str">
        <f>IF($J395&lt;Lookups!$B$26,"Night",IF($J395&lt;Lookups!$B$27,"Morning",IF($J395&lt;Lookups!$B$28,"Afternoon","Evening")))</f>
        <v>Evening</v>
      </c>
      <c r="AA395" s="26">
        <f>ROUND($N395*(Lookups!$B$16-Lookups!$B$15)+Lookups!$B$15,1)</f>
        <v>-0.5</v>
      </c>
      <c r="AB395" s="26">
        <f>ROUND($P395*(Lookups!$B$18-Lookups!$B$17)+Lookups!$B$17,1)</f>
        <v>-6</v>
      </c>
      <c r="AC395" s="23">
        <f t="shared" si="38"/>
        <v>80</v>
      </c>
      <c r="AD395" s="23">
        <f>ROUND($R395*Lookups!$B$19,1)</f>
        <v>13</v>
      </c>
      <c r="AE395" s="27">
        <f t="shared" si="39"/>
        <v>0.88888888888888884</v>
      </c>
      <c r="AF395" s="23" t="str">
        <f>IF($U395&gt;=Lookups!$B$23,"High",IF($U395&gt;=Lookups!$B$22,"Medium","Low"))</f>
        <v>Medium</v>
      </c>
      <c r="AG395" s="23">
        <f>ROUND(IF($V395="Weekday",IF(INDEX(Hourly_Analysis!$D$5:$D$28,$J395+1)&gt;0,($U395-INDEX(Hourly_Analysis!$C$5:$C$28,$J395+1))/INDEX(Hourly_Analysis!$D$5:$D$28,$J395+1),0),IF(INDEX(Hourly_Analysis!$G$5:$G$28,$J395+1)&gt;0,($U395-INDEX(Hourly_Analysis!$F$5:$F$28,$J395+1))/INDEX(Hourly_Analysis!$G$5:$G$28,$J395+1),0)),2)</f>
        <v>-0.79</v>
      </c>
      <c r="AH395" s="23" t="str">
        <f>IF(ABS($AG395)&gt;Lookups!$B$20,IF($AG395&gt;0,"High anomaly","Low anomaly"),"")</f>
        <v/>
      </c>
      <c r="AI395" s="23" t="str">
        <f t="shared" si="40"/>
        <v>OK</v>
      </c>
      <c r="AJ395" s="23" t="str">
        <f t="shared" si="41"/>
        <v>No</v>
      </c>
    </row>
    <row r="396" spans="1:36" x14ac:dyDescent="0.35">
      <c r="A396" s="23">
        <v>395</v>
      </c>
      <c r="B396" s="23" t="str">
        <f t="shared" si="36"/>
        <v>Merge 1+2</v>
      </c>
      <c r="C396" s="23">
        <f>IFERROR(MATCH($A396,Merge_1_2!$A$2:$A$611,0),0)</f>
        <v>395</v>
      </c>
      <c r="D396" s="23">
        <f>IF($C396&gt;0,INDEX(Merge_1_2!$Q$2:$Q$611,$C396),0)</f>
        <v>395</v>
      </c>
      <c r="E396" s="23">
        <f>IFERROR(MATCH($A396,Dataset3_Raw!$A$2:$A$391,0),0)</f>
        <v>0</v>
      </c>
      <c r="F396" s="24">
        <f>IF($C396&gt;0,INDEX(Merge_1_2!$B$2:$B$611,$C396),DATE(VALUE(RIGHT(INDEX(Dataset3_Raw!$B$2:$B$391,$E396),4)),VALUE(MID(INDEX(Dataset3_Raw!$B$2:$B$391,$E396),4,2)),VALUE(LEFT(INDEX(Dataset3_Raw!$B$2:$B$391,$E396),2))))</f>
        <v>40560</v>
      </c>
      <c r="G396" s="23">
        <f>IF($C396&gt;0,INDEX(Merge_1_2!$C$2:$C$611,$C396),INDEX(Dataset3_Raw!$C$2:$C$391,$E396))</f>
        <v>1</v>
      </c>
      <c r="H396" s="23">
        <f>IF($C396&gt;0,INDEX(Merge_1_2!$D$2:$D$611,$C396),INDEX(Dataset3_Raw!$D$2:$D$391,$E396))</f>
        <v>0</v>
      </c>
      <c r="I396" s="23">
        <f>IF($C396&gt;0,INDEX(Merge_1_2!$E$2:$E$611,$C396),INDEX(Dataset3_Raw!$E$2:$E$391,$E396))</f>
        <v>1</v>
      </c>
      <c r="J396" s="23">
        <f>IF($C396&gt;0,INDEX(Merge_1_2!$F$2:$F$611,$C396),INDEX(Dataset3_Raw!$F$2:$F$391,$E396))</f>
        <v>22</v>
      </c>
      <c r="K396" s="23" t="b">
        <f>IF($C396&gt;0,INDEX(Merge_1_2!$G$2:$G$611,$C396),INDEX(Dataset3_Raw!$G$2:$G$391,$E396))</f>
        <v>1</v>
      </c>
      <c r="L396" s="23">
        <f>IF($C396&gt;0,INDEX(Merge_1_2!$H$2:$H$611,$C396),INDEX(Dataset3_Raw!$H$2:$H$391,$E396))</f>
        <v>1</v>
      </c>
      <c r="M396" s="23">
        <f>IF($C396&gt;0,INDEX(Merge_1_2!$I$2:$I$611,$C396),INDEX(Dataset3_Raw!$I$2:$I$391,$E396))</f>
        <v>3</v>
      </c>
      <c r="N396" s="25">
        <f>IF($C396&gt;0,INDEX(Merge_1_2!$J$2:$J$611,$C396),INDEX(Dataset3_Raw!$J$2:$J$391,$E396))</f>
        <v>0.14000000000000001</v>
      </c>
      <c r="O396" s="25">
        <f>IF($C396&gt;0,IF(ISNUMBER(INDEX(Merge_1_2!$K$2:$K$611,$C396)),INDEX(Merge_1_2!$K$2:$K$611,$C396),""),INDEX(Dataset3_Raw!$K$2:$K$391,$E396))</f>
        <v>0.1212</v>
      </c>
      <c r="P396" s="25">
        <f>IF(ISNUMBER($O396),$O396,ROUND(Lookups!$B$25+Lookups!$B$24*$N396,4))</f>
        <v>0.1212</v>
      </c>
      <c r="Q396" s="25">
        <f>IF($C396&gt;0,INDEX(Merge_1_2!$L$2:$L$611,$C396),INDEX(Dataset3_Raw!$L$2:$L$391,$E396))</f>
        <v>0.93</v>
      </c>
      <c r="R396" s="25">
        <f>IF($C396&gt;0,INDEX(Merge_1_2!$M$2:$M$611,$C396),INDEX(Dataset3_Raw!$M$2:$M$391,$E396))</f>
        <v>0.25369999999999998</v>
      </c>
      <c r="S396" s="23">
        <f>IF($C396&gt;0,INDEX(Merge_1_2!$N$2:$N$611,$C396),INDEX(Dataset3_Raw!$N$2:$N$391,$E396))</f>
        <v>0</v>
      </c>
      <c r="T396" s="23">
        <f>IF($C396&gt;0,INDEX(Merge_1_2!$O$2:$O$611,$C396),INDEX(Dataset3_Raw!$O$2:$O$391,$E396))</f>
        <v>13</v>
      </c>
      <c r="U396" s="23">
        <f>IF($C396&gt;0,INDEX(Merge_1_2!$P$2:$P$611,$C396),INDEX(Dataset3_Raw!$P$2:$P$391,$E396))</f>
        <v>13</v>
      </c>
      <c r="V396" s="23" t="str">
        <f t="shared" si="37"/>
        <v>Holiday</v>
      </c>
      <c r="W396" s="23" t="str">
        <f>VLOOKUP($M396,Lookups!$A$5:$B$8,2,FALSE())</f>
        <v>Light snow / Light rain</v>
      </c>
      <c r="X396" s="23" t="str">
        <f>VLOOKUP($G396,Lookups!$D$5:$E$8,2,FALSE())</f>
        <v>Winter</v>
      </c>
      <c r="Y396" s="23" t="str">
        <f>VLOOKUP($L396,Lookups!$G$5:$H$11,2,FALSE())</f>
        <v>Monday</v>
      </c>
      <c r="Z396" s="23" t="str">
        <f>IF($J396&lt;Lookups!$B$26,"Night",IF($J396&lt;Lookups!$B$27,"Morning",IF($J396&lt;Lookups!$B$28,"Afternoon","Evening")))</f>
        <v>Evening</v>
      </c>
      <c r="AA396" s="26">
        <f>ROUND($N396*(Lookups!$B$16-Lookups!$B$15)+Lookups!$B$15,1)</f>
        <v>-1.4</v>
      </c>
      <c r="AB396" s="26">
        <f>ROUND($P396*(Lookups!$B$18-Lookups!$B$17)+Lookups!$B$17,1)</f>
        <v>-8</v>
      </c>
      <c r="AC396" s="23">
        <f t="shared" si="38"/>
        <v>93</v>
      </c>
      <c r="AD396" s="23">
        <f>ROUND($R396*Lookups!$B$19,1)</f>
        <v>17</v>
      </c>
      <c r="AE396" s="27">
        <f t="shared" si="39"/>
        <v>1</v>
      </c>
      <c r="AF396" s="23" t="str">
        <f>IF($U396&gt;=Lookups!$B$23,"High",IF($U396&gt;=Lookups!$B$22,"Medium","Low"))</f>
        <v>Low</v>
      </c>
      <c r="AG396" s="23">
        <f>ROUND(IF($V396="Weekday",IF(INDEX(Hourly_Analysis!$D$5:$D$28,$J396+1)&gt;0,($U396-INDEX(Hourly_Analysis!$C$5:$C$28,$J396+1))/INDEX(Hourly_Analysis!$D$5:$D$28,$J396+1),0),IF(INDEX(Hourly_Analysis!$G$5:$G$28,$J396+1)&gt;0,($U396-INDEX(Hourly_Analysis!$F$5:$F$28,$J396+1))/INDEX(Hourly_Analysis!$G$5:$G$28,$J396+1),0)),2)</f>
        <v>-1.21</v>
      </c>
      <c r="AH396" s="23" t="str">
        <f>IF(ABS($AG396)&gt;Lookups!$B$20,IF($AG396&gt;0,"High anomaly","Low anomaly"),"")</f>
        <v/>
      </c>
      <c r="AI396" s="23" t="str">
        <f t="shared" si="40"/>
        <v>OK</v>
      </c>
      <c r="AJ396" s="23" t="str">
        <f t="shared" si="41"/>
        <v>No</v>
      </c>
    </row>
    <row r="397" spans="1:36" x14ac:dyDescent="0.35">
      <c r="A397" s="23">
        <v>396</v>
      </c>
      <c r="B397" s="23" t="str">
        <f t="shared" si="36"/>
        <v>Merge 1+2</v>
      </c>
      <c r="C397" s="23">
        <f>IFERROR(MATCH($A397,Merge_1_2!$A$2:$A$611,0),0)</f>
        <v>396</v>
      </c>
      <c r="D397" s="23">
        <f>IF($C397&gt;0,INDEX(Merge_1_2!$Q$2:$Q$611,$C397),0)</f>
        <v>396</v>
      </c>
      <c r="E397" s="23">
        <f>IFERROR(MATCH($A397,Dataset3_Raw!$A$2:$A$391,0),0)</f>
        <v>0</v>
      </c>
      <c r="F397" s="24">
        <f>IF($C397&gt;0,INDEX(Merge_1_2!$B$2:$B$611,$C397),DATE(VALUE(RIGHT(INDEX(Dataset3_Raw!$B$2:$B$391,$E397),4)),VALUE(MID(INDEX(Dataset3_Raw!$B$2:$B$391,$E397),4,2)),VALUE(LEFT(INDEX(Dataset3_Raw!$B$2:$B$391,$E397),2))))</f>
        <v>40560</v>
      </c>
      <c r="G397" s="23">
        <f>IF($C397&gt;0,INDEX(Merge_1_2!$C$2:$C$611,$C397),INDEX(Dataset3_Raw!$C$2:$C$391,$E397))</f>
        <v>1</v>
      </c>
      <c r="H397" s="23">
        <f>IF($C397&gt;0,INDEX(Merge_1_2!$D$2:$D$611,$C397),INDEX(Dataset3_Raw!$D$2:$D$391,$E397))</f>
        <v>0</v>
      </c>
      <c r="I397" s="23">
        <f>IF($C397&gt;0,INDEX(Merge_1_2!$E$2:$E$611,$C397),INDEX(Dataset3_Raw!$E$2:$E$391,$E397))</f>
        <v>1</v>
      </c>
      <c r="J397" s="23">
        <f>IF($C397&gt;0,INDEX(Merge_1_2!$F$2:$F$611,$C397),INDEX(Dataset3_Raw!$F$2:$F$391,$E397))</f>
        <v>23</v>
      </c>
      <c r="K397" s="23" t="b">
        <f>IF($C397&gt;0,INDEX(Merge_1_2!$G$2:$G$611,$C397),INDEX(Dataset3_Raw!$G$2:$G$391,$E397))</f>
        <v>1</v>
      </c>
      <c r="L397" s="23">
        <f>IF($C397&gt;0,INDEX(Merge_1_2!$H$2:$H$611,$C397),INDEX(Dataset3_Raw!$H$2:$H$391,$E397))</f>
        <v>1</v>
      </c>
      <c r="M397" s="23">
        <f>IF($C397&gt;0,INDEX(Merge_1_2!$I$2:$I$611,$C397),INDEX(Dataset3_Raw!$I$2:$I$391,$E397))</f>
        <v>3</v>
      </c>
      <c r="N397" s="25">
        <f>IF($C397&gt;0,INDEX(Merge_1_2!$J$2:$J$611,$C397),INDEX(Dataset3_Raw!$J$2:$J$391,$E397))</f>
        <v>0.16</v>
      </c>
      <c r="O397" s="25">
        <f>IF($C397&gt;0,IF(ISNUMBER(INDEX(Merge_1_2!$K$2:$K$611,$C397)),INDEX(Merge_1_2!$K$2:$K$611,$C397),""),INDEX(Dataset3_Raw!$K$2:$K$391,$E397))</f>
        <v>0.13639999999999999</v>
      </c>
      <c r="P397" s="25">
        <f>IF(ISNUMBER($O397),$O397,ROUND(Lookups!$B$25+Lookups!$B$24*$N397,4))</f>
        <v>0.13639999999999999</v>
      </c>
      <c r="Q397" s="25">
        <f>IF($C397&gt;0,INDEX(Merge_1_2!$L$2:$L$611,$C397),INDEX(Dataset3_Raw!$L$2:$L$391,$E397))</f>
        <v>0.86</v>
      </c>
      <c r="R397" s="25">
        <f>IF($C397&gt;0,INDEX(Merge_1_2!$M$2:$M$611,$C397),INDEX(Dataset3_Raw!$M$2:$M$391,$E397))</f>
        <v>0.28360000000000002</v>
      </c>
      <c r="S397" s="23">
        <f>IF($C397&gt;0,INDEX(Merge_1_2!$N$2:$N$611,$C397),INDEX(Dataset3_Raw!$N$2:$N$391,$E397))</f>
        <v>1</v>
      </c>
      <c r="T397" s="23">
        <f>IF($C397&gt;0,INDEX(Merge_1_2!$O$2:$O$611,$C397),INDEX(Dataset3_Raw!$O$2:$O$391,$E397))</f>
        <v>3</v>
      </c>
      <c r="U397" s="23">
        <f>IF($C397&gt;0,INDEX(Merge_1_2!$P$2:$P$611,$C397),INDEX(Dataset3_Raw!$P$2:$P$391,$E397))</f>
        <v>4</v>
      </c>
      <c r="V397" s="23" t="str">
        <f t="shared" si="37"/>
        <v>Holiday</v>
      </c>
      <c r="W397" s="23" t="str">
        <f>VLOOKUP($M397,Lookups!$A$5:$B$8,2,FALSE())</f>
        <v>Light snow / Light rain</v>
      </c>
      <c r="X397" s="23" t="str">
        <f>VLOOKUP($G397,Lookups!$D$5:$E$8,2,FALSE())</f>
        <v>Winter</v>
      </c>
      <c r="Y397" s="23" t="str">
        <f>VLOOKUP($L397,Lookups!$G$5:$H$11,2,FALSE())</f>
        <v>Monday</v>
      </c>
      <c r="Z397" s="23" t="str">
        <f>IF($J397&lt;Lookups!$B$26,"Night",IF($J397&lt;Lookups!$B$27,"Morning",IF($J397&lt;Lookups!$B$28,"Afternoon","Evening")))</f>
        <v>Evening</v>
      </c>
      <c r="AA397" s="26">
        <f>ROUND($N397*(Lookups!$B$16-Lookups!$B$15)+Lookups!$B$15,1)</f>
        <v>-0.5</v>
      </c>
      <c r="AB397" s="26">
        <f>ROUND($P397*(Lookups!$B$18-Lookups!$B$17)+Lookups!$B$17,1)</f>
        <v>-7</v>
      </c>
      <c r="AC397" s="23">
        <f t="shared" si="38"/>
        <v>86</v>
      </c>
      <c r="AD397" s="23">
        <f>ROUND($R397*Lookups!$B$19,1)</f>
        <v>19</v>
      </c>
      <c r="AE397" s="27">
        <f t="shared" si="39"/>
        <v>0.75</v>
      </c>
      <c r="AF397" s="23" t="str">
        <f>IF($U397&gt;=Lookups!$B$23,"High",IF($U397&gt;=Lookups!$B$22,"Medium","Low"))</f>
        <v>Low</v>
      </c>
      <c r="AG397" s="23">
        <f>ROUND(IF($V397="Weekday",IF(INDEX(Hourly_Analysis!$D$5:$D$28,$J397+1)&gt;0,($U397-INDEX(Hourly_Analysis!$C$5:$C$28,$J397+1))/INDEX(Hourly_Analysis!$D$5:$D$28,$J397+1),0),IF(INDEX(Hourly_Analysis!$G$5:$G$28,$J397+1)&gt;0,($U397-INDEX(Hourly_Analysis!$F$5:$F$28,$J397+1))/INDEX(Hourly_Analysis!$G$5:$G$28,$J397+1),0)),2)</f>
        <v>-1.53</v>
      </c>
      <c r="AH397" s="23" t="str">
        <f>IF(ABS($AG397)&gt;Lookups!$B$20,IF($AG397&gt;0,"High anomaly","Low anomaly"),"")</f>
        <v/>
      </c>
      <c r="AI397" s="23" t="str">
        <f t="shared" si="40"/>
        <v>OK</v>
      </c>
      <c r="AJ397" s="23" t="str">
        <f t="shared" si="41"/>
        <v>No</v>
      </c>
    </row>
    <row r="398" spans="1:36" x14ac:dyDescent="0.35">
      <c r="A398" s="23">
        <v>397</v>
      </c>
      <c r="B398" s="23" t="str">
        <f t="shared" si="36"/>
        <v>Merge 1+2</v>
      </c>
      <c r="C398" s="23">
        <f>IFERROR(MATCH($A398,Merge_1_2!$A$2:$A$611,0),0)</f>
        <v>397</v>
      </c>
      <c r="D398" s="23">
        <f>IF($C398&gt;0,INDEX(Merge_1_2!$Q$2:$Q$611,$C398),0)</f>
        <v>397</v>
      </c>
      <c r="E398" s="23">
        <f>IFERROR(MATCH($A398,Dataset3_Raw!$A$2:$A$391,0),0)</f>
        <v>0</v>
      </c>
      <c r="F398" s="24">
        <f>IF($C398&gt;0,INDEX(Merge_1_2!$B$2:$B$611,$C398),DATE(VALUE(RIGHT(INDEX(Dataset3_Raw!$B$2:$B$391,$E398),4)),VALUE(MID(INDEX(Dataset3_Raw!$B$2:$B$391,$E398),4,2)),VALUE(LEFT(INDEX(Dataset3_Raw!$B$2:$B$391,$E398),2))))</f>
        <v>40561</v>
      </c>
      <c r="G398" s="23">
        <f>IF($C398&gt;0,INDEX(Merge_1_2!$C$2:$C$611,$C398),INDEX(Dataset3_Raw!$C$2:$C$391,$E398))</f>
        <v>1</v>
      </c>
      <c r="H398" s="23">
        <f>IF($C398&gt;0,INDEX(Merge_1_2!$D$2:$D$611,$C398),INDEX(Dataset3_Raw!$D$2:$D$391,$E398))</f>
        <v>0</v>
      </c>
      <c r="I398" s="23">
        <f>IF($C398&gt;0,INDEX(Merge_1_2!$E$2:$E$611,$C398),INDEX(Dataset3_Raw!$E$2:$E$391,$E398))</f>
        <v>1</v>
      </c>
      <c r="J398" s="23">
        <f>IF($C398&gt;0,INDEX(Merge_1_2!$F$2:$F$611,$C398),INDEX(Dataset3_Raw!$F$2:$F$391,$E398))</f>
        <v>12</v>
      </c>
      <c r="K398" s="23" t="b">
        <f>IF($C398&gt;0,INDEX(Merge_1_2!$G$2:$G$611,$C398),INDEX(Dataset3_Raw!$G$2:$G$391,$E398))</f>
        <v>0</v>
      </c>
      <c r="L398" s="23">
        <f>IF($C398&gt;0,INDEX(Merge_1_2!$H$2:$H$611,$C398),INDEX(Dataset3_Raw!$H$2:$H$391,$E398))</f>
        <v>2</v>
      </c>
      <c r="M398" s="23">
        <f>IF($C398&gt;0,INDEX(Merge_1_2!$I$2:$I$611,$C398),INDEX(Dataset3_Raw!$I$2:$I$391,$E398))</f>
        <v>2</v>
      </c>
      <c r="N398" s="25">
        <f>IF($C398&gt;0,INDEX(Merge_1_2!$J$2:$J$611,$C398),INDEX(Dataset3_Raw!$J$2:$J$391,$E398))</f>
        <v>0.2</v>
      </c>
      <c r="O398" s="25">
        <f>IF($C398&gt;0,IF(ISNUMBER(INDEX(Merge_1_2!$K$2:$K$611,$C398)),INDEX(Merge_1_2!$K$2:$K$611,$C398),""),INDEX(Dataset3_Raw!$K$2:$K$391,$E398))</f>
        <v>0.18179999999999999</v>
      </c>
      <c r="P398" s="25">
        <f>IF(ISNUMBER($O398),$O398,ROUND(Lookups!$B$25+Lookups!$B$24*$N398,4))</f>
        <v>0.18179999999999999</v>
      </c>
      <c r="Q398" s="25">
        <f>IF($C398&gt;0,INDEX(Merge_1_2!$L$2:$L$611,$C398),INDEX(Dataset3_Raw!$L$2:$L$391,$E398))</f>
        <v>0.86</v>
      </c>
      <c r="R398" s="25">
        <f>IF($C398&gt;0,INDEX(Merge_1_2!$M$2:$M$611,$C398),INDEX(Dataset3_Raw!$M$2:$M$391,$E398))</f>
        <v>0.32840000000000003</v>
      </c>
      <c r="S398" s="23">
        <f>IF($C398&gt;0,INDEX(Merge_1_2!$N$2:$N$611,$C398),INDEX(Dataset3_Raw!$N$2:$N$391,$E398))</f>
        <v>0</v>
      </c>
      <c r="T398" s="23">
        <f>IF($C398&gt;0,INDEX(Merge_1_2!$O$2:$O$611,$C398),INDEX(Dataset3_Raw!$O$2:$O$391,$E398))</f>
        <v>3</v>
      </c>
      <c r="U398" s="23">
        <f>IF($C398&gt;0,INDEX(Merge_1_2!$P$2:$P$611,$C398),INDEX(Dataset3_Raw!$P$2:$P$391,$E398))</f>
        <v>3</v>
      </c>
      <c r="V398" s="23" t="str">
        <f t="shared" si="37"/>
        <v>Weekday</v>
      </c>
      <c r="W398" s="23" t="str">
        <f>VLOOKUP($M398,Lookups!$A$5:$B$8,2,FALSE())</f>
        <v>Mist / Cloudy</v>
      </c>
      <c r="X398" s="23" t="str">
        <f>VLOOKUP($G398,Lookups!$D$5:$E$8,2,FALSE())</f>
        <v>Winter</v>
      </c>
      <c r="Y398" s="23" t="str">
        <f>VLOOKUP($L398,Lookups!$G$5:$H$11,2,FALSE())</f>
        <v>Tuesday</v>
      </c>
      <c r="Z398" s="23" t="str">
        <f>IF($J398&lt;Lookups!$B$26,"Night",IF($J398&lt;Lookups!$B$27,"Morning",IF($J398&lt;Lookups!$B$28,"Afternoon","Evening")))</f>
        <v>Afternoon</v>
      </c>
      <c r="AA398" s="26">
        <f>ROUND($N398*(Lookups!$B$16-Lookups!$B$15)+Lookups!$B$15,1)</f>
        <v>1.4</v>
      </c>
      <c r="AB398" s="26">
        <f>ROUND($P398*(Lookups!$B$18-Lookups!$B$17)+Lookups!$B$17,1)</f>
        <v>-4</v>
      </c>
      <c r="AC398" s="23">
        <f t="shared" si="38"/>
        <v>86</v>
      </c>
      <c r="AD398" s="23">
        <f>ROUND($R398*Lookups!$B$19,1)</f>
        <v>22</v>
      </c>
      <c r="AE398" s="27">
        <f t="shared" si="39"/>
        <v>1</v>
      </c>
      <c r="AF398" s="23" t="str">
        <f>IF($U398&gt;=Lookups!$B$23,"High",IF($U398&gt;=Lookups!$B$22,"Medium","Low"))</f>
        <v>Low</v>
      </c>
      <c r="AG398" s="23">
        <f>ROUND(IF($V398="Weekday",IF(INDEX(Hourly_Analysis!$D$5:$D$28,$J398+1)&gt;0,($U398-INDEX(Hourly_Analysis!$C$5:$C$28,$J398+1))/INDEX(Hourly_Analysis!$D$5:$D$28,$J398+1),0),IF(INDEX(Hourly_Analysis!$G$5:$G$28,$J398+1)&gt;0,($U398-INDEX(Hourly_Analysis!$F$5:$F$28,$J398+1))/INDEX(Hourly_Analysis!$G$5:$G$28,$J398+1),0)),2)</f>
        <v>-3.24</v>
      </c>
      <c r="AH398" s="23" t="str">
        <f>IF(ABS($AG398)&gt;Lookups!$B$20,IF($AG398&gt;0,"High anomaly","Low anomaly"),"")</f>
        <v>Low anomaly</v>
      </c>
      <c r="AI398" s="23" t="str">
        <f t="shared" si="40"/>
        <v>OK</v>
      </c>
      <c r="AJ398" s="23" t="str">
        <f t="shared" si="41"/>
        <v>No</v>
      </c>
    </row>
    <row r="399" spans="1:36" x14ac:dyDescent="0.35">
      <c r="A399" s="23">
        <v>398</v>
      </c>
      <c r="B399" s="23" t="str">
        <f t="shared" si="36"/>
        <v>Merge 1+2</v>
      </c>
      <c r="C399" s="23">
        <f>IFERROR(MATCH($A399,Merge_1_2!$A$2:$A$611,0),0)</f>
        <v>398</v>
      </c>
      <c r="D399" s="23">
        <f>IF($C399&gt;0,INDEX(Merge_1_2!$Q$2:$Q$611,$C399),0)</f>
        <v>398</v>
      </c>
      <c r="E399" s="23">
        <f>IFERROR(MATCH($A399,Dataset3_Raw!$A$2:$A$391,0),0)</f>
        <v>0</v>
      </c>
      <c r="F399" s="24">
        <f>IF($C399&gt;0,INDEX(Merge_1_2!$B$2:$B$611,$C399),DATE(VALUE(RIGHT(INDEX(Dataset3_Raw!$B$2:$B$391,$E399),4)),VALUE(MID(INDEX(Dataset3_Raw!$B$2:$B$391,$E399),4,2)),VALUE(LEFT(INDEX(Dataset3_Raw!$B$2:$B$391,$E399),2))))</f>
        <v>40561</v>
      </c>
      <c r="G399" s="23">
        <f>IF($C399&gt;0,INDEX(Merge_1_2!$C$2:$C$611,$C399),INDEX(Dataset3_Raw!$C$2:$C$391,$E399))</f>
        <v>1</v>
      </c>
      <c r="H399" s="23">
        <f>IF($C399&gt;0,INDEX(Merge_1_2!$D$2:$D$611,$C399),INDEX(Dataset3_Raw!$D$2:$D$391,$E399))</f>
        <v>0</v>
      </c>
      <c r="I399" s="23">
        <f>IF($C399&gt;0,INDEX(Merge_1_2!$E$2:$E$611,$C399),INDEX(Dataset3_Raw!$E$2:$E$391,$E399))</f>
        <v>1</v>
      </c>
      <c r="J399" s="23">
        <f>IF($C399&gt;0,INDEX(Merge_1_2!$F$2:$F$611,$C399),INDEX(Dataset3_Raw!$F$2:$F$391,$E399))</f>
        <v>13</v>
      </c>
      <c r="K399" s="23" t="b">
        <f>IF($C399&gt;0,INDEX(Merge_1_2!$G$2:$G$611,$C399),INDEX(Dataset3_Raw!$G$2:$G$391,$E399))</f>
        <v>0</v>
      </c>
      <c r="L399" s="23">
        <f>IF($C399&gt;0,INDEX(Merge_1_2!$H$2:$H$611,$C399),INDEX(Dataset3_Raw!$H$2:$H$391,$E399))</f>
        <v>2</v>
      </c>
      <c r="M399" s="23">
        <f>IF($C399&gt;0,INDEX(Merge_1_2!$I$2:$I$611,$C399),INDEX(Dataset3_Raw!$I$2:$I$391,$E399))</f>
        <v>2</v>
      </c>
      <c r="N399" s="25">
        <f>IF($C399&gt;0,INDEX(Merge_1_2!$J$2:$J$611,$C399),INDEX(Dataset3_Raw!$J$2:$J$391,$E399))</f>
        <v>0.2</v>
      </c>
      <c r="O399" s="25">
        <f>IF($C399&gt;0,IF(ISNUMBER(INDEX(Merge_1_2!$K$2:$K$611,$C399)),INDEX(Merge_1_2!$K$2:$K$611,$C399),""),INDEX(Dataset3_Raw!$K$2:$K$391,$E399))</f>
        <v>0.19700000000000001</v>
      </c>
      <c r="P399" s="25">
        <f>IF(ISNUMBER($O399),$O399,ROUND(Lookups!$B$25+Lookups!$B$24*$N399,4))</f>
        <v>0.19700000000000001</v>
      </c>
      <c r="Q399" s="25">
        <f>IF($C399&gt;0,INDEX(Merge_1_2!$L$2:$L$611,$C399),INDEX(Dataset3_Raw!$L$2:$L$391,$E399))</f>
        <v>0.86</v>
      </c>
      <c r="R399" s="25">
        <f>IF($C399&gt;0,INDEX(Merge_1_2!$M$2:$M$611,$C399),INDEX(Dataset3_Raw!$M$2:$M$391,$E399))</f>
        <v>0.22389999999999999</v>
      </c>
      <c r="S399" s="23">
        <f>IF($C399&gt;0,INDEX(Merge_1_2!$N$2:$N$611,$C399),INDEX(Dataset3_Raw!$N$2:$N$391,$E399))</f>
        <v>0</v>
      </c>
      <c r="T399" s="23">
        <f>IF($C399&gt;0,INDEX(Merge_1_2!$O$2:$O$611,$C399),INDEX(Dataset3_Raw!$O$2:$O$391,$E399))</f>
        <v>22</v>
      </c>
      <c r="U399" s="23">
        <f>IF($C399&gt;0,INDEX(Merge_1_2!$P$2:$P$611,$C399),INDEX(Dataset3_Raw!$P$2:$P$391,$E399))</f>
        <v>22</v>
      </c>
      <c r="V399" s="23" t="str">
        <f t="shared" si="37"/>
        <v>Weekday</v>
      </c>
      <c r="W399" s="23" t="str">
        <f>VLOOKUP($M399,Lookups!$A$5:$B$8,2,FALSE())</f>
        <v>Mist / Cloudy</v>
      </c>
      <c r="X399" s="23" t="str">
        <f>VLOOKUP($G399,Lookups!$D$5:$E$8,2,FALSE())</f>
        <v>Winter</v>
      </c>
      <c r="Y399" s="23" t="str">
        <f>VLOOKUP($L399,Lookups!$G$5:$H$11,2,FALSE())</f>
        <v>Tuesday</v>
      </c>
      <c r="Z399" s="23" t="str">
        <f>IF($J399&lt;Lookups!$B$26,"Night",IF($J399&lt;Lookups!$B$27,"Morning",IF($J399&lt;Lookups!$B$28,"Afternoon","Evening")))</f>
        <v>Afternoon</v>
      </c>
      <c r="AA399" s="26">
        <f>ROUND($N399*(Lookups!$B$16-Lookups!$B$15)+Lookups!$B$15,1)</f>
        <v>1.4</v>
      </c>
      <c r="AB399" s="26">
        <f>ROUND($P399*(Lookups!$B$18-Lookups!$B$17)+Lookups!$B$17,1)</f>
        <v>-3</v>
      </c>
      <c r="AC399" s="23">
        <f t="shared" si="38"/>
        <v>86</v>
      </c>
      <c r="AD399" s="23">
        <f>ROUND($R399*Lookups!$B$19,1)</f>
        <v>15</v>
      </c>
      <c r="AE399" s="27">
        <f t="shared" si="39"/>
        <v>1</v>
      </c>
      <c r="AF399" s="23" t="str">
        <f>IF($U399&gt;=Lookups!$B$23,"High",IF($U399&gt;=Lookups!$B$22,"Medium","Low"))</f>
        <v>Medium</v>
      </c>
      <c r="AG399" s="23">
        <f>ROUND(IF($V399="Weekday",IF(INDEX(Hourly_Analysis!$D$5:$D$28,$J399+1)&gt;0,($U399-INDEX(Hourly_Analysis!$C$5:$C$28,$J399+1))/INDEX(Hourly_Analysis!$D$5:$D$28,$J399+1),0),IF(INDEX(Hourly_Analysis!$G$5:$G$28,$J399+1)&gt;0,($U399-INDEX(Hourly_Analysis!$F$5:$F$28,$J399+1))/INDEX(Hourly_Analysis!$G$5:$G$28,$J399+1),0)),2)</f>
        <v>-2.2200000000000002</v>
      </c>
      <c r="AH399" s="23" t="str">
        <f>IF(ABS($AG399)&gt;Lookups!$B$20,IF($AG399&gt;0,"High anomaly","Low anomaly"),"")</f>
        <v/>
      </c>
      <c r="AI399" s="23" t="str">
        <f t="shared" si="40"/>
        <v>OK</v>
      </c>
      <c r="AJ399" s="23" t="str">
        <f t="shared" si="41"/>
        <v>No</v>
      </c>
    </row>
    <row r="400" spans="1:36" x14ac:dyDescent="0.35">
      <c r="A400" s="23">
        <v>399</v>
      </c>
      <c r="B400" s="23" t="str">
        <f t="shared" si="36"/>
        <v>Merge 1+2</v>
      </c>
      <c r="C400" s="23">
        <f>IFERROR(MATCH($A400,Merge_1_2!$A$2:$A$611,0),0)</f>
        <v>399</v>
      </c>
      <c r="D400" s="23">
        <f>IF($C400&gt;0,INDEX(Merge_1_2!$Q$2:$Q$611,$C400),0)</f>
        <v>399</v>
      </c>
      <c r="E400" s="23">
        <f>IFERROR(MATCH($A400,Dataset3_Raw!$A$2:$A$391,0),0)</f>
        <v>0</v>
      </c>
      <c r="F400" s="24">
        <f>IF($C400&gt;0,INDEX(Merge_1_2!$B$2:$B$611,$C400),DATE(VALUE(RIGHT(INDEX(Dataset3_Raw!$B$2:$B$391,$E400),4)),VALUE(MID(INDEX(Dataset3_Raw!$B$2:$B$391,$E400),4,2)),VALUE(LEFT(INDEX(Dataset3_Raw!$B$2:$B$391,$E400),2))))</f>
        <v>40561</v>
      </c>
      <c r="G400" s="23">
        <f>IF($C400&gt;0,INDEX(Merge_1_2!$C$2:$C$611,$C400),INDEX(Dataset3_Raw!$C$2:$C$391,$E400))</f>
        <v>1</v>
      </c>
      <c r="H400" s="23">
        <f>IF($C400&gt;0,INDEX(Merge_1_2!$D$2:$D$611,$C400),INDEX(Dataset3_Raw!$D$2:$D$391,$E400))</f>
        <v>0</v>
      </c>
      <c r="I400" s="23">
        <f>IF($C400&gt;0,INDEX(Merge_1_2!$E$2:$E$611,$C400),INDEX(Dataset3_Raw!$E$2:$E$391,$E400))</f>
        <v>1</v>
      </c>
      <c r="J400" s="23">
        <f>IF($C400&gt;0,INDEX(Merge_1_2!$F$2:$F$611,$C400),INDEX(Dataset3_Raw!$F$2:$F$391,$E400))</f>
        <v>14</v>
      </c>
      <c r="K400" s="23" t="b">
        <f>IF($C400&gt;0,INDEX(Merge_1_2!$G$2:$G$611,$C400),INDEX(Dataset3_Raw!$G$2:$G$391,$E400))</f>
        <v>0</v>
      </c>
      <c r="L400" s="23">
        <f>IF($C400&gt;0,INDEX(Merge_1_2!$H$2:$H$611,$C400),INDEX(Dataset3_Raw!$H$2:$H$391,$E400))</f>
        <v>2</v>
      </c>
      <c r="M400" s="23">
        <f>IF($C400&gt;0,INDEX(Merge_1_2!$I$2:$I$611,$C400),INDEX(Dataset3_Raw!$I$2:$I$391,$E400))</f>
        <v>2</v>
      </c>
      <c r="N400" s="25">
        <f>IF($C400&gt;0,INDEX(Merge_1_2!$J$2:$J$611,$C400),INDEX(Dataset3_Raw!$J$2:$J$391,$E400))</f>
        <v>0.22</v>
      </c>
      <c r="O400" s="25">
        <f>IF($C400&gt;0,IF(ISNUMBER(INDEX(Merge_1_2!$K$2:$K$611,$C400)),INDEX(Merge_1_2!$K$2:$K$611,$C400),""),INDEX(Dataset3_Raw!$K$2:$K$391,$E400))</f>
        <v>0.2273</v>
      </c>
      <c r="P400" s="25">
        <f>IF(ISNUMBER($O400),$O400,ROUND(Lookups!$B$25+Lookups!$B$24*$N400,4))</f>
        <v>0.2273</v>
      </c>
      <c r="Q400" s="25">
        <f>IF($C400&gt;0,INDEX(Merge_1_2!$L$2:$L$611,$C400),INDEX(Dataset3_Raw!$L$2:$L$391,$E400))</f>
        <v>0.8</v>
      </c>
      <c r="R400" s="25">
        <f>IF($C400&gt;0,INDEX(Merge_1_2!$M$2:$M$611,$C400),INDEX(Dataset3_Raw!$M$2:$M$391,$E400))</f>
        <v>0.16420000000000001</v>
      </c>
      <c r="S400" s="23">
        <f>IF($C400&gt;0,INDEX(Merge_1_2!$N$2:$N$611,$C400),INDEX(Dataset3_Raw!$N$2:$N$391,$E400))</f>
        <v>2</v>
      </c>
      <c r="T400" s="23">
        <f>IF($C400&gt;0,INDEX(Merge_1_2!$O$2:$O$611,$C400),INDEX(Dataset3_Raw!$O$2:$O$391,$E400))</f>
        <v>26</v>
      </c>
      <c r="U400" s="23">
        <f>IF($C400&gt;0,INDEX(Merge_1_2!$P$2:$P$611,$C400),INDEX(Dataset3_Raw!$P$2:$P$391,$E400))</f>
        <v>28</v>
      </c>
      <c r="V400" s="23" t="str">
        <f t="shared" si="37"/>
        <v>Weekday</v>
      </c>
      <c r="W400" s="23" t="str">
        <f>VLOOKUP($M400,Lookups!$A$5:$B$8,2,FALSE())</f>
        <v>Mist / Cloudy</v>
      </c>
      <c r="X400" s="23" t="str">
        <f>VLOOKUP($G400,Lookups!$D$5:$E$8,2,FALSE())</f>
        <v>Winter</v>
      </c>
      <c r="Y400" s="23" t="str">
        <f>VLOOKUP($L400,Lookups!$G$5:$H$11,2,FALSE())</f>
        <v>Tuesday</v>
      </c>
      <c r="Z400" s="23" t="str">
        <f>IF($J400&lt;Lookups!$B$26,"Night",IF($J400&lt;Lookups!$B$27,"Morning",IF($J400&lt;Lookups!$B$28,"Afternoon","Evening")))</f>
        <v>Afternoon</v>
      </c>
      <c r="AA400" s="26">
        <f>ROUND($N400*(Lookups!$B$16-Lookups!$B$15)+Lookups!$B$15,1)</f>
        <v>2.2999999999999998</v>
      </c>
      <c r="AB400" s="26">
        <f>ROUND($P400*(Lookups!$B$18-Lookups!$B$17)+Lookups!$B$17,1)</f>
        <v>-1</v>
      </c>
      <c r="AC400" s="23">
        <f t="shared" si="38"/>
        <v>80</v>
      </c>
      <c r="AD400" s="23">
        <f>ROUND($R400*Lookups!$B$19,1)</f>
        <v>11</v>
      </c>
      <c r="AE400" s="27">
        <f t="shared" si="39"/>
        <v>0.9285714285714286</v>
      </c>
      <c r="AF400" s="23" t="str">
        <f>IF($U400&gt;=Lookups!$B$23,"High",IF($U400&gt;=Lookups!$B$22,"Medium","Low"))</f>
        <v>Medium</v>
      </c>
      <c r="AG400" s="23">
        <f>ROUND(IF($V400="Weekday",IF(INDEX(Hourly_Analysis!$D$5:$D$28,$J400+1)&gt;0,($U400-INDEX(Hourly_Analysis!$C$5:$C$28,$J400+1))/INDEX(Hourly_Analysis!$D$5:$D$28,$J400+1),0),IF(INDEX(Hourly_Analysis!$G$5:$G$28,$J400+1)&gt;0,($U400-INDEX(Hourly_Analysis!$F$5:$F$28,$J400+1))/INDEX(Hourly_Analysis!$G$5:$G$28,$J400+1),0)),2)</f>
        <v>-1.98</v>
      </c>
      <c r="AH400" s="23" t="str">
        <f>IF(ABS($AG400)&gt;Lookups!$B$20,IF($AG400&gt;0,"High anomaly","Low anomaly"),"")</f>
        <v/>
      </c>
      <c r="AI400" s="23" t="str">
        <f t="shared" si="40"/>
        <v>OK</v>
      </c>
      <c r="AJ400" s="23" t="str">
        <f t="shared" si="41"/>
        <v>No</v>
      </c>
    </row>
    <row r="401" spans="1:36" x14ac:dyDescent="0.35">
      <c r="A401" s="23">
        <v>400</v>
      </c>
      <c r="B401" s="23" t="str">
        <f t="shared" si="36"/>
        <v>Merge 1+2</v>
      </c>
      <c r="C401" s="23">
        <f>IFERROR(MATCH($A401,Merge_1_2!$A$2:$A$611,0),0)</f>
        <v>400</v>
      </c>
      <c r="D401" s="23">
        <f>IF($C401&gt;0,INDEX(Merge_1_2!$Q$2:$Q$611,$C401),0)</f>
        <v>400</v>
      </c>
      <c r="E401" s="23">
        <f>IFERROR(MATCH($A401,Dataset3_Raw!$A$2:$A$391,0),0)</f>
        <v>0</v>
      </c>
      <c r="F401" s="24">
        <f>IF($C401&gt;0,INDEX(Merge_1_2!$B$2:$B$611,$C401),DATE(VALUE(RIGHT(INDEX(Dataset3_Raw!$B$2:$B$391,$E401),4)),VALUE(MID(INDEX(Dataset3_Raw!$B$2:$B$391,$E401),4,2)),VALUE(LEFT(INDEX(Dataset3_Raw!$B$2:$B$391,$E401),2))))</f>
        <v>40561</v>
      </c>
      <c r="G401" s="23">
        <f>IF($C401&gt;0,INDEX(Merge_1_2!$C$2:$C$611,$C401),INDEX(Dataset3_Raw!$C$2:$C$391,$E401))</f>
        <v>1</v>
      </c>
      <c r="H401" s="23">
        <f>IF($C401&gt;0,INDEX(Merge_1_2!$D$2:$D$611,$C401),INDEX(Dataset3_Raw!$D$2:$D$391,$E401))</f>
        <v>0</v>
      </c>
      <c r="I401" s="23">
        <f>IF($C401&gt;0,INDEX(Merge_1_2!$E$2:$E$611,$C401),INDEX(Dataset3_Raw!$E$2:$E$391,$E401))</f>
        <v>1</v>
      </c>
      <c r="J401" s="23">
        <f>IF($C401&gt;0,INDEX(Merge_1_2!$F$2:$F$611,$C401),INDEX(Dataset3_Raw!$F$2:$F$391,$E401))</f>
        <v>15</v>
      </c>
      <c r="K401" s="23" t="b">
        <f>IF($C401&gt;0,INDEX(Merge_1_2!$G$2:$G$611,$C401),INDEX(Dataset3_Raw!$G$2:$G$391,$E401))</f>
        <v>0</v>
      </c>
      <c r="L401" s="23">
        <f>IF($C401&gt;0,INDEX(Merge_1_2!$H$2:$H$611,$C401),INDEX(Dataset3_Raw!$H$2:$H$391,$E401))</f>
        <v>2</v>
      </c>
      <c r="M401" s="23">
        <f>IF($C401&gt;0,INDEX(Merge_1_2!$I$2:$I$611,$C401),INDEX(Dataset3_Raw!$I$2:$I$391,$E401))</f>
        <v>2</v>
      </c>
      <c r="N401" s="25">
        <f>IF($C401&gt;0,INDEX(Merge_1_2!$J$2:$J$611,$C401),INDEX(Dataset3_Raw!$J$2:$J$391,$E401))</f>
        <v>0.22</v>
      </c>
      <c r="O401" s="25">
        <f>IF($C401&gt;0,IF(ISNUMBER(INDEX(Merge_1_2!$K$2:$K$611,$C401)),INDEX(Merge_1_2!$K$2:$K$611,$C401),""),INDEX(Dataset3_Raw!$K$2:$K$391,$E401))</f>
        <v>0.2273</v>
      </c>
      <c r="P401" s="25">
        <f>IF(ISNUMBER($O401),$O401,ROUND(Lookups!$B$25+Lookups!$B$24*$N401,4))</f>
        <v>0.2273</v>
      </c>
      <c r="Q401" s="25">
        <f>IF($C401&gt;0,INDEX(Merge_1_2!$L$2:$L$611,$C401),INDEX(Dataset3_Raw!$L$2:$L$391,$E401))</f>
        <v>0.87</v>
      </c>
      <c r="R401" s="25">
        <f>IF($C401&gt;0,INDEX(Merge_1_2!$M$2:$M$611,$C401),INDEX(Dataset3_Raw!$M$2:$M$391,$E401))</f>
        <v>0.16420000000000001</v>
      </c>
      <c r="S401" s="23">
        <f>IF($C401&gt;0,INDEX(Merge_1_2!$N$2:$N$611,$C401),INDEX(Dataset3_Raw!$N$2:$N$391,$E401))</f>
        <v>3</v>
      </c>
      <c r="T401" s="23">
        <f>IF($C401&gt;0,INDEX(Merge_1_2!$O$2:$O$611,$C401),INDEX(Dataset3_Raw!$O$2:$O$391,$E401))</f>
        <v>32</v>
      </c>
      <c r="U401" s="23">
        <f>IF($C401&gt;0,INDEX(Merge_1_2!$P$2:$P$611,$C401),INDEX(Dataset3_Raw!$P$2:$P$391,$E401))</f>
        <v>35</v>
      </c>
      <c r="V401" s="23" t="str">
        <f t="shared" si="37"/>
        <v>Weekday</v>
      </c>
      <c r="W401" s="23" t="str">
        <f>VLOOKUP($M401,Lookups!$A$5:$B$8,2,FALSE())</f>
        <v>Mist / Cloudy</v>
      </c>
      <c r="X401" s="23" t="str">
        <f>VLOOKUP($G401,Lookups!$D$5:$E$8,2,FALSE())</f>
        <v>Winter</v>
      </c>
      <c r="Y401" s="23" t="str">
        <f>VLOOKUP($L401,Lookups!$G$5:$H$11,2,FALSE())</f>
        <v>Tuesday</v>
      </c>
      <c r="Z401" s="23" t="str">
        <f>IF($J401&lt;Lookups!$B$26,"Night",IF($J401&lt;Lookups!$B$27,"Morning",IF($J401&lt;Lookups!$B$28,"Afternoon","Evening")))</f>
        <v>Afternoon</v>
      </c>
      <c r="AA401" s="26">
        <f>ROUND($N401*(Lookups!$B$16-Lookups!$B$15)+Lookups!$B$15,1)</f>
        <v>2.2999999999999998</v>
      </c>
      <c r="AB401" s="26">
        <f>ROUND($P401*(Lookups!$B$18-Lookups!$B$17)+Lookups!$B$17,1)</f>
        <v>-1</v>
      </c>
      <c r="AC401" s="23">
        <f t="shared" si="38"/>
        <v>87</v>
      </c>
      <c r="AD401" s="23">
        <f>ROUND($R401*Lookups!$B$19,1)</f>
        <v>11</v>
      </c>
      <c r="AE401" s="27">
        <f t="shared" si="39"/>
        <v>0.91428571428571426</v>
      </c>
      <c r="AF401" s="23" t="str">
        <f>IF($U401&gt;=Lookups!$B$23,"High",IF($U401&gt;=Lookups!$B$22,"Medium","Low"))</f>
        <v>Medium</v>
      </c>
      <c r="AG401" s="23">
        <f>ROUND(IF($V401="Weekday",IF(INDEX(Hourly_Analysis!$D$5:$D$28,$J401+1)&gt;0,($U401-INDEX(Hourly_Analysis!$C$5:$C$28,$J401+1))/INDEX(Hourly_Analysis!$D$5:$D$28,$J401+1),0),IF(INDEX(Hourly_Analysis!$G$5:$G$28,$J401+1)&gt;0,($U401-INDEX(Hourly_Analysis!$F$5:$F$28,$J401+1))/INDEX(Hourly_Analysis!$G$5:$G$28,$J401+1),0)),2)</f>
        <v>-1.8</v>
      </c>
      <c r="AH401" s="23" t="str">
        <f>IF(ABS($AG401)&gt;Lookups!$B$20,IF($AG401&gt;0,"High anomaly","Low anomaly"),"")</f>
        <v/>
      </c>
      <c r="AI401" s="23" t="str">
        <f t="shared" si="40"/>
        <v>OK</v>
      </c>
      <c r="AJ401" s="23" t="str">
        <f t="shared" si="41"/>
        <v>No</v>
      </c>
    </row>
    <row r="402" spans="1:36" x14ac:dyDescent="0.35">
      <c r="A402" s="23">
        <v>401</v>
      </c>
      <c r="B402" s="23" t="str">
        <f t="shared" si="36"/>
        <v>Merge 1+2</v>
      </c>
      <c r="C402" s="23">
        <f>IFERROR(MATCH($A402,Merge_1_2!$A$2:$A$611,0),0)</f>
        <v>401</v>
      </c>
      <c r="D402" s="23">
        <f>IF($C402&gt;0,INDEX(Merge_1_2!$Q$2:$Q$611,$C402),0)</f>
        <v>401</v>
      </c>
      <c r="E402" s="23">
        <f>IFERROR(MATCH($A402,Dataset3_Raw!$A$2:$A$391,0),0)</f>
        <v>0</v>
      </c>
      <c r="F402" s="24">
        <f>IF($C402&gt;0,INDEX(Merge_1_2!$B$2:$B$611,$C402),DATE(VALUE(RIGHT(INDEX(Dataset3_Raw!$B$2:$B$391,$E402),4)),VALUE(MID(INDEX(Dataset3_Raw!$B$2:$B$391,$E402),4,2)),VALUE(LEFT(INDEX(Dataset3_Raw!$B$2:$B$391,$E402),2))))</f>
        <v>40561</v>
      </c>
      <c r="G402" s="23">
        <f>IF($C402&gt;0,INDEX(Merge_1_2!$C$2:$C$611,$C402),INDEX(Dataset3_Raw!$C$2:$C$391,$E402))</f>
        <v>1</v>
      </c>
      <c r="H402" s="23">
        <f>IF($C402&gt;0,INDEX(Merge_1_2!$D$2:$D$611,$C402),INDEX(Dataset3_Raw!$D$2:$D$391,$E402))</f>
        <v>0</v>
      </c>
      <c r="I402" s="23">
        <f>IF($C402&gt;0,INDEX(Merge_1_2!$E$2:$E$611,$C402),INDEX(Dataset3_Raw!$E$2:$E$391,$E402))</f>
        <v>1</v>
      </c>
      <c r="J402" s="23">
        <f>IF($C402&gt;0,INDEX(Merge_1_2!$F$2:$F$611,$C402),INDEX(Dataset3_Raw!$F$2:$F$391,$E402))</f>
        <v>16</v>
      </c>
      <c r="K402" s="23" t="b">
        <f>IF($C402&gt;0,INDEX(Merge_1_2!$G$2:$G$611,$C402),INDEX(Dataset3_Raw!$G$2:$G$391,$E402))</f>
        <v>0</v>
      </c>
      <c r="L402" s="23">
        <f>IF($C402&gt;0,INDEX(Merge_1_2!$H$2:$H$611,$C402),INDEX(Dataset3_Raw!$H$2:$H$391,$E402))</f>
        <v>2</v>
      </c>
      <c r="M402" s="23">
        <f>IF($C402&gt;0,INDEX(Merge_1_2!$I$2:$I$611,$C402),INDEX(Dataset3_Raw!$I$2:$I$391,$E402))</f>
        <v>2</v>
      </c>
      <c r="N402" s="25">
        <f>IF($C402&gt;0,INDEX(Merge_1_2!$J$2:$J$611,$C402),INDEX(Dataset3_Raw!$J$2:$J$391,$E402))</f>
        <v>0.22</v>
      </c>
      <c r="O402" s="25">
        <f>IF($C402&gt;0,IF(ISNUMBER(INDEX(Merge_1_2!$K$2:$K$611,$C402)),INDEX(Merge_1_2!$K$2:$K$611,$C402),""),INDEX(Dataset3_Raw!$K$2:$K$391,$E402))</f>
        <v>0.2273</v>
      </c>
      <c r="P402" s="25">
        <f>IF(ISNUMBER($O402),$O402,ROUND(Lookups!$B$25+Lookups!$B$24*$N402,4))</f>
        <v>0.2273</v>
      </c>
      <c r="Q402" s="25">
        <f>IF($C402&gt;0,INDEX(Merge_1_2!$L$2:$L$611,$C402),INDEX(Dataset3_Raw!$L$2:$L$391,$E402))</f>
        <v>0.87</v>
      </c>
      <c r="R402" s="25">
        <f>IF($C402&gt;0,INDEX(Merge_1_2!$M$2:$M$611,$C402),INDEX(Dataset3_Raw!$M$2:$M$391,$E402))</f>
        <v>0.19400000000000001</v>
      </c>
      <c r="S402" s="23">
        <f>IF($C402&gt;0,INDEX(Merge_1_2!$N$2:$N$611,$C402),INDEX(Dataset3_Raw!$N$2:$N$391,$E402))</f>
        <v>0</v>
      </c>
      <c r="T402" s="23">
        <f>IF($C402&gt;0,INDEX(Merge_1_2!$O$2:$O$611,$C402),INDEX(Dataset3_Raw!$O$2:$O$391,$E402))</f>
        <v>61</v>
      </c>
      <c r="U402" s="23">
        <f>IF($C402&gt;0,INDEX(Merge_1_2!$P$2:$P$611,$C402),INDEX(Dataset3_Raw!$P$2:$P$391,$E402))</f>
        <v>61</v>
      </c>
      <c r="V402" s="23" t="str">
        <f t="shared" si="37"/>
        <v>Weekday</v>
      </c>
      <c r="W402" s="23" t="str">
        <f>VLOOKUP($M402,Lookups!$A$5:$B$8,2,FALSE())</f>
        <v>Mist / Cloudy</v>
      </c>
      <c r="X402" s="23" t="str">
        <f>VLOOKUP($G402,Lookups!$D$5:$E$8,2,FALSE())</f>
        <v>Winter</v>
      </c>
      <c r="Y402" s="23" t="str">
        <f>VLOOKUP($L402,Lookups!$G$5:$H$11,2,FALSE())</f>
        <v>Tuesday</v>
      </c>
      <c r="Z402" s="23" t="str">
        <f>IF($J402&lt;Lookups!$B$26,"Night",IF($J402&lt;Lookups!$B$27,"Morning",IF($J402&lt;Lookups!$B$28,"Afternoon","Evening")))</f>
        <v>Afternoon</v>
      </c>
      <c r="AA402" s="26">
        <f>ROUND($N402*(Lookups!$B$16-Lookups!$B$15)+Lookups!$B$15,1)</f>
        <v>2.2999999999999998</v>
      </c>
      <c r="AB402" s="26">
        <f>ROUND($P402*(Lookups!$B$18-Lookups!$B$17)+Lookups!$B$17,1)</f>
        <v>-1</v>
      </c>
      <c r="AC402" s="23">
        <f t="shared" si="38"/>
        <v>87</v>
      </c>
      <c r="AD402" s="23">
        <f>ROUND($R402*Lookups!$B$19,1)</f>
        <v>13</v>
      </c>
      <c r="AE402" s="27">
        <f t="shared" si="39"/>
        <v>1</v>
      </c>
      <c r="AF402" s="23" t="str">
        <f>IF($U402&gt;=Lookups!$B$23,"High",IF($U402&gt;=Lookups!$B$22,"Medium","Low"))</f>
        <v>Medium</v>
      </c>
      <c r="AG402" s="23">
        <f>ROUND(IF($V402="Weekday",IF(INDEX(Hourly_Analysis!$D$5:$D$28,$J402+1)&gt;0,($U402-INDEX(Hourly_Analysis!$C$5:$C$28,$J402+1))/INDEX(Hourly_Analysis!$D$5:$D$28,$J402+1),0),IF(INDEX(Hourly_Analysis!$G$5:$G$28,$J402+1)&gt;0,($U402-INDEX(Hourly_Analysis!$F$5:$F$28,$J402+1))/INDEX(Hourly_Analysis!$G$5:$G$28,$J402+1),0)),2)</f>
        <v>-1.03</v>
      </c>
      <c r="AH402" s="23" t="str">
        <f>IF(ABS($AG402)&gt;Lookups!$B$20,IF($AG402&gt;0,"High anomaly","Low anomaly"),"")</f>
        <v/>
      </c>
      <c r="AI402" s="23" t="str">
        <f t="shared" si="40"/>
        <v>OK</v>
      </c>
      <c r="AJ402" s="23" t="str">
        <f t="shared" si="41"/>
        <v>No</v>
      </c>
    </row>
    <row r="403" spans="1:36" x14ac:dyDescent="0.35">
      <c r="A403" s="23">
        <v>402</v>
      </c>
      <c r="B403" s="23" t="str">
        <f t="shared" si="36"/>
        <v>Merge 1+2</v>
      </c>
      <c r="C403" s="23">
        <f>IFERROR(MATCH($A403,Merge_1_2!$A$2:$A$611,0),0)</f>
        <v>402</v>
      </c>
      <c r="D403" s="23">
        <f>IF($C403&gt;0,INDEX(Merge_1_2!$Q$2:$Q$611,$C403),0)</f>
        <v>402</v>
      </c>
      <c r="E403" s="23">
        <f>IFERROR(MATCH($A403,Dataset3_Raw!$A$2:$A$391,0),0)</f>
        <v>0</v>
      </c>
      <c r="F403" s="24">
        <f>IF($C403&gt;0,INDEX(Merge_1_2!$B$2:$B$611,$C403),DATE(VALUE(RIGHT(INDEX(Dataset3_Raw!$B$2:$B$391,$E403),4)),VALUE(MID(INDEX(Dataset3_Raw!$B$2:$B$391,$E403),4,2)),VALUE(LEFT(INDEX(Dataset3_Raw!$B$2:$B$391,$E403),2))))</f>
        <v>40561</v>
      </c>
      <c r="G403" s="23">
        <f>IF($C403&gt;0,INDEX(Merge_1_2!$C$2:$C$611,$C403),INDEX(Dataset3_Raw!$C$2:$C$391,$E403))</f>
        <v>1</v>
      </c>
      <c r="H403" s="23">
        <f>IF($C403&gt;0,INDEX(Merge_1_2!$D$2:$D$611,$C403),INDEX(Dataset3_Raw!$D$2:$D$391,$E403))</f>
        <v>0</v>
      </c>
      <c r="I403" s="23">
        <f>IF($C403&gt;0,INDEX(Merge_1_2!$E$2:$E$611,$C403),INDEX(Dataset3_Raw!$E$2:$E$391,$E403))</f>
        <v>1</v>
      </c>
      <c r="J403" s="23">
        <f>IF($C403&gt;0,INDEX(Merge_1_2!$F$2:$F$611,$C403),INDEX(Dataset3_Raw!$F$2:$F$391,$E403))</f>
        <v>17</v>
      </c>
      <c r="K403" s="23" t="b">
        <f>IF($C403&gt;0,INDEX(Merge_1_2!$G$2:$G$611,$C403),INDEX(Dataset3_Raw!$G$2:$G$391,$E403))</f>
        <v>0</v>
      </c>
      <c r="L403" s="23">
        <f>IF($C403&gt;0,INDEX(Merge_1_2!$H$2:$H$611,$C403),INDEX(Dataset3_Raw!$H$2:$H$391,$E403))</f>
        <v>2</v>
      </c>
      <c r="M403" s="23">
        <f>IF($C403&gt;0,INDEX(Merge_1_2!$I$2:$I$611,$C403),INDEX(Dataset3_Raw!$I$2:$I$391,$E403))</f>
        <v>2</v>
      </c>
      <c r="N403" s="25">
        <f>IF($C403&gt;0,INDEX(Merge_1_2!$J$2:$J$611,$C403),INDEX(Dataset3_Raw!$J$2:$J$391,$E403))</f>
        <v>0.22</v>
      </c>
      <c r="O403" s="25">
        <f>IF($C403&gt;0,IF(ISNUMBER(INDEX(Merge_1_2!$K$2:$K$611,$C403)),INDEX(Merge_1_2!$K$2:$K$611,$C403),""),INDEX(Dataset3_Raw!$K$2:$K$391,$E403))</f>
        <v>0.2273</v>
      </c>
      <c r="P403" s="25">
        <f>IF(ISNUMBER($O403),$O403,ROUND(Lookups!$B$25+Lookups!$B$24*$N403,4))</f>
        <v>0.2273</v>
      </c>
      <c r="Q403" s="25">
        <f>IF($C403&gt;0,INDEX(Merge_1_2!$L$2:$L$611,$C403),INDEX(Dataset3_Raw!$L$2:$L$391,$E403))</f>
        <v>0.82</v>
      </c>
      <c r="R403" s="25">
        <f>IF($C403&gt;0,INDEX(Merge_1_2!$M$2:$M$611,$C403),INDEX(Dataset3_Raw!$M$2:$M$391,$E403))</f>
        <v>0.19400000000000001</v>
      </c>
      <c r="S403" s="23">
        <f>IF($C403&gt;0,INDEX(Merge_1_2!$N$2:$N$611,$C403),INDEX(Dataset3_Raw!$N$2:$N$391,$E403))</f>
        <v>1</v>
      </c>
      <c r="T403" s="23">
        <f>IF($C403&gt;0,INDEX(Merge_1_2!$O$2:$O$611,$C403),INDEX(Dataset3_Raw!$O$2:$O$391,$E403))</f>
        <v>124</v>
      </c>
      <c r="U403" s="23">
        <f>IF($C403&gt;0,INDEX(Merge_1_2!$P$2:$P$611,$C403),INDEX(Dataset3_Raw!$P$2:$P$391,$E403))</f>
        <v>125</v>
      </c>
      <c r="V403" s="23" t="str">
        <f t="shared" si="37"/>
        <v>Weekday</v>
      </c>
      <c r="W403" s="23" t="str">
        <f>VLOOKUP($M403,Lookups!$A$5:$B$8,2,FALSE())</f>
        <v>Mist / Cloudy</v>
      </c>
      <c r="X403" s="23" t="str">
        <f>VLOOKUP($G403,Lookups!$D$5:$E$8,2,FALSE())</f>
        <v>Winter</v>
      </c>
      <c r="Y403" s="23" t="str">
        <f>VLOOKUP($L403,Lookups!$G$5:$H$11,2,FALSE())</f>
        <v>Tuesday</v>
      </c>
      <c r="Z403" s="23" t="str">
        <f>IF($J403&lt;Lookups!$B$26,"Night",IF($J403&lt;Lookups!$B$27,"Morning",IF($J403&lt;Lookups!$B$28,"Afternoon","Evening")))</f>
        <v>Afternoon</v>
      </c>
      <c r="AA403" s="26">
        <f>ROUND($N403*(Lookups!$B$16-Lookups!$B$15)+Lookups!$B$15,1)</f>
        <v>2.2999999999999998</v>
      </c>
      <c r="AB403" s="26">
        <f>ROUND($P403*(Lookups!$B$18-Lookups!$B$17)+Lookups!$B$17,1)</f>
        <v>-1</v>
      </c>
      <c r="AC403" s="23">
        <f t="shared" si="38"/>
        <v>82</v>
      </c>
      <c r="AD403" s="23">
        <f>ROUND($R403*Lookups!$B$19,1)</f>
        <v>13</v>
      </c>
      <c r="AE403" s="27">
        <f t="shared" si="39"/>
        <v>0.99199999999999999</v>
      </c>
      <c r="AF403" s="23" t="str">
        <f>IF($U403&gt;=Lookups!$B$23,"High",IF($U403&gt;=Lookups!$B$22,"Medium","Low"))</f>
        <v>High</v>
      </c>
      <c r="AG403" s="23">
        <f>ROUND(IF($V403="Weekday",IF(INDEX(Hourly_Analysis!$D$5:$D$28,$J403+1)&gt;0,($U403-INDEX(Hourly_Analysis!$C$5:$C$28,$J403+1))/INDEX(Hourly_Analysis!$D$5:$D$28,$J403+1),0),IF(INDEX(Hourly_Analysis!$G$5:$G$28,$J403+1)&gt;0,($U403-INDEX(Hourly_Analysis!$F$5:$F$28,$J403+1))/INDEX(Hourly_Analysis!$G$5:$G$28,$J403+1),0)),2)</f>
        <v>-1.07</v>
      </c>
      <c r="AH403" s="23" t="str">
        <f>IF(ABS($AG403)&gt;Lookups!$B$20,IF($AG403&gt;0,"High anomaly","Low anomaly"),"")</f>
        <v/>
      </c>
      <c r="AI403" s="23" t="str">
        <f t="shared" si="40"/>
        <v>OK</v>
      </c>
      <c r="AJ403" s="23" t="str">
        <f t="shared" si="41"/>
        <v>No</v>
      </c>
    </row>
    <row r="404" spans="1:36" x14ac:dyDescent="0.35">
      <c r="A404" s="23">
        <v>403</v>
      </c>
      <c r="B404" s="23" t="str">
        <f t="shared" si="36"/>
        <v>Merge 1+2</v>
      </c>
      <c r="C404" s="23">
        <f>IFERROR(MATCH($A404,Merge_1_2!$A$2:$A$611,0),0)</f>
        <v>403</v>
      </c>
      <c r="D404" s="23">
        <f>IF($C404&gt;0,INDEX(Merge_1_2!$Q$2:$Q$611,$C404),0)</f>
        <v>403</v>
      </c>
      <c r="E404" s="23">
        <f>IFERROR(MATCH($A404,Dataset3_Raw!$A$2:$A$391,0),0)</f>
        <v>0</v>
      </c>
      <c r="F404" s="24">
        <f>IF($C404&gt;0,INDEX(Merge_1_2!$B$2:$B$611,$C404),DATE(VALUE(RIGHT(INDEX(Dataset3_Raw!$B$2:$B$391,$E404),4)),VALUE(MID(INDEX(Dataset3_Raw!$B$2:$B$391,$E404),4,2)),VALUE(LEFT(INDEX(Dataset3_Raw!$B$2:$B$391,$E404),2))))</f>
        <v>40561</v>
      </c>
      <c r="G404" s="23">
        <f>IF($C404&gt;0,INDEX(Merge_1_2!$C$2:$C$611,$C404),INDEX(Dataset3_Raw!$C$2:$C$391,$E404))</f>
        <v>1</v>
      </c>
      <c r="H404" s="23">
        <f>IF($C404&gt;0,INDEX(Merge_1_2!$D$2:$D$611,$C404),INDEX(Dataset3_Raw!$D$2:$D$391,$E404))</f>
        <v>0</v>
      </c>
      <c r="I404" s="23">
        <f>IF($C404&gt;0,INDEX(Merge_1_2!$E$2:$E$611,$C404),INDEX(Dataset3_Raw!$E$2:$E$391,$E404))</f>
        <v>1</v>
      </c>
      <c r="J404" s="23">
        <f>IF($C404&gt;0,INDEX(Merge_1_2!$F$2:$F$611,$C404),INDEX(Dataset3_Raw!$F$2:$F$391,$E404))</f>
        <v>18</v>
      </c>
      <c r="K404" s="23" t="b">
        <f>IF($C404&gt;0,INDEX(Merge_1_2!$G$2:$G$611,$C404),INDEX(Dataset3_Raw!$G$2:$G$391,$E404))</f>
        <v>0</v>
      </c>
      <c r="L404" s="23">
        <f>IF($C404&gt;0,INDEX(Merge_1_2!$H$2:$H$611,$C404),INDEX(Dataset3_Raw!$H$2:$H$391,$E404))</f>
        <v>2</v>
      </c>
      <c r="M404" s="23">
        <f>IF($C404&gt;0,INDEX(Merge_1_2!$I$2:$I$611,$C404),INDEX(Dataset3_Raw!$I$2:$I$391,$E404))</f>
        <v>2</v>
      </c>
      <c r="N404" s="25">
        <f>IF($C404&gt;0,INDEX(Merge_1_2!$J$2:$J$611,$C404),INDEX(Dataset3_Raw!$J$2:$J$391,$E404))</f>
        <v>0.22</v>
      </c>
      <c r="O404" s="25">
        <f>IF($C404&gt;0,IF(ISNUMBER(INDEX(Merge_1_2!$K$2:$K$611,$C404)),INDEX(Merge_1_2!$K$2:$K$611,$C404),""),INDEX(Dataset3_Raw!$K$2:$K$391,$E404))</f>
        <v>0.2273</v>
      </c>
      <c r="P404" s="25">
        <f>IF(ISNUMBER($O404),$O404,ROUND(Lookups!$B$25+Lookups!$B$24*$N404,4))</f>
        <v>0.2273</v>
      </c>
      <c r="Q404" s="25">
        <f>IF($C404&gt;0,INDEX(Merge_1_2!$L$2:$L$611,$C404),INDEX(Dataset3_Raw!$L$2:$L$391,$E404))</f>
        <v>0.8</v>
      </c>
      <c r="R404" s="25">
        <f>IF($C404&gt;0,INDEX(Merge_1_2!$M$2:$M$611,$C404),INDEX(Dataset3_Raw!$M$2:$M$391,$E404))</f>
        <v>0.16420000000000001</v>
      </c>
      <c r="S404" s="23">
        <f>IF($C404&gt;0,INDEX(Merge_1_2!$N$2:$N$611,$C404),INDEX(Dataset3_Raw!$N$2:$N$391,$E404))</f>
        <v>1</v>
      </c>
      <c r="T404" s="23">
        <f>IF($C404&gt;0,INDEX(Merge_1_2!$O$2:$O$611,$C404),INDEX(Dataset3_Raw!$O$2:$O$391,$E404))</f>
        <v>132</v>
      </c>
      <c r="U404" s="23">
        <f>IF($C404&gt;0,INDEX(Merge_1_2!$P$2:$P$611,$C404),INDEX(Dataset3_Raw!$P$2:$P$391,$E404))</f>
        <v>133</v>
      </c>
      <c r="V404" s="23" t="str">
        <f t="shared" si="37"/>
        <v>Weekday</v>
      </c>
      <c r="W404" s="23" t="str">
        <f>VLOOKUP($M404,Lookups!$A$5:$B$8,2,FALSE())</f>
        <v>Mist / Cloudy</v>
      </c>
      <c r="X404" s="23" t="str">
        <f>VLOOKUP($G404,Lookups!$D$5:$E$8,2,FALSE())</f>
        <v>Winter</v>
      </c>
      <c r="Y404" s="23" t="str">
        <f>VLOOKUP($L404,Lookups!$G$5:$H$11,2,FALSE())</f>
        <v>Tuesday</v>
      </c>
      <c r="Z404" s="23" t="str">
        <f>IF($J404&lt;Lookups!$B$26,"Night",IF($J404&lt;Lookups!$B$27,"Morning",IF($J404&lt;Lookups!$B$28,"Afternoon","Evening")))</f>
        <v>Evening</v>
      </c>
      <c r="AA404" s="26">
        <f>ROUND($N404*(Lookups!$B$16-Lookups!$B$15)+Lookups!$B$15,1)</f>
        <v>2.2999999999999998</v>
      </c>
      <c r="AB404" s="26">
        <f>ROUND($P404*(Lookups!$B$18-Lookups!$B$17)+Lookups!$B$17,1)</f>
        <v>-1</v>
      </c>
      <c r="AC404" s="23">
        <f t="shared" si="38"/>
        <v>80</v>
      </c>
      <c r="AD404" s="23">
        <f>ROUND($R404*Lookups!$B$19,1)</f>
        <v>11</v>
      </c>
      <c r="AE404" s="27">
        <f t="shared" si="39"/>
        <v>0.99248120300751874</v>
      </c>
      <c r="AF404" s="23" t="str">
        <f>IF($U404&gt;=Lookups!$B$23,"High",IF($U404&gt;=Lookups!$B$22,"Medium","Low"))</f>
        <v>High</v>
      </c>
      <c r="AG404" s="23">
        <f>ROUND(IF($V404="Weekday",IF(INDEX(Hourly_Analysis!$D$5:$D$28,$J404+1)&gt;0,($U404-INDEX(Hourly_Analysis!$C$5:$C$28,$J404+1))/INDEX(Hourly_Analysis!$D$5:$D$28,$J404+1),0),IF(INDEX(Hourly_Analysis!$G$5:$G$28,$J404+1)&gt;0,($U404-INDEX(Hourly_Analysis!$F$5:$F$28,$J404+1))/INDEX(Hourly_Analysis!$G$5:$G$28,$J404+1),0)),2)</f>
        <v>-0.74</v>
      </c>
      <c r="AH404" s="23" t="str">
        <f>IF(ABS($AG404)&gt;Lookups!$B$20,IF($AG404&gt;0,"High anomaly","Low anomaly"),"")</f>
        <v/>
      </c>
      <c r="AI404" s="23" t="str">
        <f t="shared" si="40"/>
        <v>OK</v>
      </c>
      <c r="AJ404" s="23" t="str">
        <f t="shared" si="41"/>
        <v>No</v>
      </c>
    </row>
    <row r="405" spans="1:36" x14ac:dyDescent="0.35">
      <c r="A405" s="23">
        <v>404</v>
      </c>
      <c r="B405" s="23" t="str">
        <f t="shared" si="36"/>
        <v>Merge 1+2</v>
      </c>
      <c r="C405" s="23">
        <f>IFERROR(MATCH($A405,Merge_1_2!$A$2:$A$611,0),0)</f>
        <v>404</v>
      </c>
      <c r="D405" s="23">
        <f>IF($C405&gt;0,INDEX(Merge_1_2!$Q$2:$Q$611,$C405),0)</f>
        <v>404</v>
      </c>
      <c r="E405" s="23">
        <f>IFERROR(MATCH($A405,Dataset3_Raw!$A$2:$A$391,0),0)</f>
        <v>0</v>
      </c>
      <c r="F405" s="24">
        <f>IF($C405&gt;0,INDEX(Merge_1_2!$B$2:$B$611,$C405),DATE(VALUE(RIGHT(INDEX(Dataset3_Raw!$B$2:$B$391,$E405),4)),VALUE(MID(INDEX(Dataset3_Raw!$B$2:$B$391,$E405),4,2)),VALUE(LEFT(INDEX(Dataset3_Raw!$B$2:$B$391,$E405),2))))</f>
        <v>40561</v>
      </c>
      <c r="G405" s="23">
        <f>IF($C405&gt;0,INDEX(Merge_1_2!$C$2:$C$611,$C405),INDEX(Dataset3_Raw!$C$2:$C$391,$E405))</f>
        <v>1</v>
      </c>
      <c r="H405" s="23">
        <f>IF($C405&gt;0,INDEX(Merge_1_2!$D$2:$D$611,$C405),INDEX(Dataset3_Raw!$D$2:$D$391,$E405))</f>
        <v>0</v>
      </c>
      <c r="I405" s="23">
        <f>IF($C405&gt;0,INDEX(Merge_1_2!$E$2:$E$611,$C405),INDEX(Dataset3_Raw!$E$2:$E$391,$E405))</f>
        <v>1</v>
      </c>
      <c r="J405" s="23">
        <f>IF($C405&gt;0,INDEX(Merge_1_2!$F$2:$F$611,$C405),INDEX(Dataset3_Raw!$F$2:$F$391,$E405))</f>
        <v>19</v>
      </c>
      <c r="K405" s="23" t="b">
        <f>IF($C405&gt;0,INDEX(Merge_1_2!$G$2:$G$611,$C405),INDEX(Dataset3_Raw!$G$2:$G$391,$E405))</f>
        <v>0</v>
      </c>
      <c r="L405" s="23">
        <f>IF($C405&gt;0,INDEX(Merge_1_2!$H$2:$H$611,$C405),INDEX(Dataset3_Raw!$H$2:$H$391,$E405))</f>
        <v>2</v>
      </c>
      <c r="M405" s="23">
        <f>IF($C405&gt;0,INDEX(Merge_1_2!$I$2:$I$611,$C405),INDEX(Dataset3_Raw!$I$2:$I$391,$E405))</f>
        <v>2</v>
      </c>
      <c r="N405" s="25">
        <f>IF($C405&gt;0,INDEX(Merge_1_2!$J$2:$J$611,$C405),INDEX(Dataset3_Raw!$J$2:$J$391,$E405))</f>
        <v>0.22</v>
      </c>
      <c r="O405" s="25">
        <f>IF($C405&gt;0,IF(ISNUMBER(INDEX(Merge_1_2!$K$2:$K$611,$C405)),INDEX(Merge_1_2!$K$2:$K$611,$C405),""),INDEX(Dataset3_Raw!$K$2:$K$391,$E405))</f>
        <v>0.2273</v>
      </c>
      <c r="P405" s="25">
        <f>IF(ISNUMBER($O405),$O405,ROUND(Lookups!$B$25+Lookups!$B$24*$N405,4))</f>
        <v>0.2273</v>
      </c>
      <c r="Q405" s="25">
        <f>IF($C405&gt;0,INDEX(Merge_1_2!$L$2:$L$611,$C405),INDEX(Dataset3_Raw!$L$2:$L$391,$E405))</f>
        <v>0.8</v>
      </c>
      <c r="R405" s="25">
        <f>IF($C405&gt;0,INDEX(Merge_1_2!$M$2:$M$611,$C405),INDEX(Dataset3_Raw!$M$2:$M$391,$E405))</f>
        <v>0.1343</v>
      </c>
      <c r="S405" s="23">
        <f>IF($C405&gt;0,INDEX(Merge_1_2!$N$2:$N$611,$C405),INDEX(Dataset3_Raw!$N$2:$N$391,$E405))</f>
        <v>1</v>
      </c>
      <c r="T405" s="23">
        <f>IF($C405&gt;0,INDEX(Merge_1_2!$O$2:$O$611,$C405),INDEX(Dataset3_Raw!$O$2:$O$391,$E405))</f>
        <v>98</v>
      </c>
      <c r="U405" s="23">
        <f>IF($C405&gt;0,INDEX(Merge_1_2!$P$2:$P$611,$C405),INDEX(Dataset3_Raw!$P$2:$P$391,$E405))</f>
        <v>99</v>
      </c>
      <c r="V405" s="23" t="str">
        <f t="shared" si="37"/>
        <v>Weekday</v>
      </c>
      <c r="W405" s="23" t="str">
        <f>VLOOKUP($M405,Lookups!$A$5:$B$8,2,FALSE())</f>
        <v>Mist / Cloudy</v>
      </c>
      <c r="X405" s="23" t="str">
        <f>VLOOKUP($G405,Lookups!$D$5:$E$8,2,FALSE())</f>
        <v>Winter</v>
      </c>
      <c r="Y405" s="23" t="str">
        <f>VLOOKUP($L405,Lookups!$G$5:$H$11,2,FALSE())</f>
        <v>Tuesday</v>
      </c>
      <c r="Z405" s="23" t="str">
        <f>IF($J405&lt;Lookups!$B$26,"Night",IF($J405&lt;Lookups!$B$27,"Morning",IF($J405&lt;Lookups!$B$28,"Afternoon","Evening")))</f>
        <v>Evening</v>
      </c>
      <c r="AA405" s="26">
        <f>ROUND($N405*(Lookups!$B$16-Lookups!$B$15)+Lookups!$B$15,1)</f>
        <v>2.2999999999999998</v>
      </c>
      <c r="AB405" s="26">
        <f>ROUND($P405*(Lookups!$B$18-Lookups!$B$17)+Lookups!$B$17,1)</f>
        <v>-1</v>
      </c>
      <c r="AC405" s="23">
        <f t="shared" si="38"/>
        <v>80</v>
      </c>
      <c r="AD405" s="23">
        <f>ROUND($R405*Lookups!$B$19,1)</f>
        <v>9</v>
      </c>
      <c r="AE405" s="27">
        <f t="shared" si="39"/>
        <v>0.98989898989898994</v>
      </c>
      <c r="AF405" s="23" t="str">
        <f>IF($U405&gt;=Lookups!$B$23,"High",IF($U405&gt;=Lookups!$B$22,"Medium","Low"))</f>
        <v>High</v>
      </c>
      <c r="AG405" s="23">
        <f>ROUND(IF($V405="Weekday",IF(INDEX(Hourly_Analysis!$D$5:$D$28,$J405+1)&gt;0,($U405-INDEX(Hourly_Analysis!$C$5:$C$28,$J405+1))/INDEX(Hourly_Analysis!$D$5:$D$28,$J405+1),0),IF(INDEX(Hourly_Analysis!$G$5:$G$28,$J405+1)&gt;0,($U405-INDEX(Hourly_Analysis!$F$5:$F$28,$J405+1))/INDEX(Hourly_Analysis!$G$5:$G$28,$J405+1),0)),2)</f>
        <v>-0.23</v>
      </c>
      <c r="AH405" s="23" t="str">
        <f>IF(ABS($AG405)&gt;Lookups!$B$20,IF($AG405&gt;0,"High anomaly","Low anomaly"),"")</f>
        <v/>
      </c>
      <c r="AI405" s="23" t="str">
        <f t="shared" si="40"/>
        <v>OK</v>
      </c>
      <c r="AJ405" s="23" t="str">
        <f t="shared" si="41"/>
        <v>No</v>
      </c>
    </row>
    <row r="406" spans="1:36" x14ac:dyDescent="0.35">
      <c r="A406" s="23">
        <v>405</v>
      </c>
      <c r="B406" s="23" t="str">
        <f t="shared" si="36"/>
        <v>Merge 1+2</v>
      </c>
      <c r="C406" s="23">
        <f>IFERROR(MATCH($A406,Merge_1_2!$A$2:$A$611,0),0)</f>
        <v>405</v>
      </c>
      <c r="D406" s="23">
        <f>IF($C406&gt;0,INDEX(Merge_1_2!$Q$2:$Q$611,$C406),0)</f>
        <v>405</v>
      </c>
      <c r="E406" s="23">
        <f>IFERROR(MATCH($A406,Dataset3_Raw!$A$2:$A$391,0),0)</f>
        <v>0</v>
      </c>
      <c r="F406" s="24">
        <f>IF($C406&gt;0,INDEX(Merge_1_2!$B$2:$B$611,$C406),DATE(VALUE(RIGHT(INDEX(Dataset3_Raw!$B$2:$B$391,$E406),4)),VALUE(MID(INDEX(Dataset3_Raw!$B$2:$B$391,$E406),4,2)),VALUE(LEFT(INDEX(Dataset3_Raw!$B$2:$B$391,$E406),2))))</f>
        <v>40561</v>
      </c>
      <c r="G406" s="23">
        <f>IF($C406&gt;0,INDEX(Merge_1_2!$C$2:$C$611,$C406),INDEX(Dataset3_Raw!$C$2:$C$391,$E406))</f>
        <v>1</v>
      </c>
      <c r="H406" s="23">
        <f>IF($C406&gt;0,INDEX(Merge_1_2!$D$2:$D$611,$C406),INDEX(Dataset3_Raw!$D$2:$D$391,$E406))</f>
        <v>0</v>
      </c>
      <c r="I406" s="23">
        <f>IF($C406&gt;0,INDEX(Merge_1_2!$E$2:$E$611,$C406),INDEX(Dataset3_Raw!$E$2:$E$391,$E406))</f>
        <v>1</v>
      </c>
      <c r="J406" s="23">
        <f>IF($C406&gt;0,INDEX(Merge_1_2!$F$2:$F$611,$C406),INDEX(Dataset3_Raw!$F$2:$F$391,$E406))</f>
        <v>20</v>
      </c>
      <c r="K406" s="23" t="b">
        <f>IF($C406&gt;0,INDEX(Merge_1_2!$G$2:$G$611,$C406),INDEX(Dataset3_Raw!$G$2:$G$391,$E406))</f>
        <v>0</v>
      </c>
      <c r="L406" s="23">
        <f>IF($C406&gt;0,INDEX(Merge_1_2!$H$2:$H$611,$C406),INDEX(Dataset3_Raw!$H$2:$H$391,$E406))</f>
        <v>2</v>
      </c>
      <c r="M406" s="23">
        <f>IF($C406&gt;0,INDEX(Merge_1_2!$I$2:$I$611,$C406),INDEX(Dataset3_Raw!$I$2:$I$391,$E406))</f>
        <v>2</v>
      </c>
      <c r="N406" s="25">
        <f>IF($C406&gt;0,INDEX(Merge_1_2!$J$2:$J$611,$C406),INDEX(Dataset3_Raw!$J$2:$J$391,$E406))</f>
        <v>0.22</v>
      </c>
      <c r="O406" s="25">
        <f>IF($C406&gt;0,IF(ISNUMBER(INDEX(Merge_1_2!$K$2:$K$611,$C406)),INDEX(Merge_1_2!$K$2:$K$611,$C406),""),INDEX(Dataset3_Raw!$K$2:$K$391,$E406))</f>
        <v>0.2727</v>
      </c>
      <c r="P406" s="25">
        <f>IF(ISNUMBER($O406),$O406,ROUND(Lookups!$B$25+Lookups!$B$24*$N406,4))</f>
        <v>0.2727</v>
      </c>
      <c r="Q406" s="25">
        <f>IF($C406&gt;0,INDEX(Merge_1_2!$L$2:$L$611,$C406),INDEX(Dataset3_Raw!$L$2:$L$391,$E406))</f>
        <v>0.87</v>
      </c>
      <c r="R406" s="25">
        <f>IF($C406&gt;0,INDEX(Merge_1_2!$M$2:$M$611,$C406),INDEX(Dataset3_Raw!$M$2:$M$391,$E406))</f>
        <v>0</v>
      </c>
      <c r="S406" s="23">
        <f>IF($C406&gt;0,INDEX(Merge_1_2!$N$2:$N$611,$C406),INDEX(Dataset3_Raw!$N$2:$N$391,$E406))</f>
        <v>0</v>
      </c>
      <c r="T406" s="23">
        <f>IF($C406&gt;0,INDEX(Merge_1_2!$O$2:$O$611,$C406),INDEX(Dataset3_Raw!$O$2:$O$391,$E406))</f>
        <v>83</v>
      </c>
      <c r="U406" s="23">
        <f>IF($C406&gt;0,INDEX(Merge_1_2!$P$2:$P$611,$C406),INDEX(Dataset3_Raw!$P$2:$P$391,$E406))</f>
        <v>83</v>
      </c>
      <c r="V406" s="23" t="str">
        <f t="shared" si="37"/>
        <v>Weekday</v>
      </c>
      <c r="W406" s="23" t="str">
        <f>VLOOKUP($M406,Lookups!$A$5:$B$8,2,FALSE())</f>
        <v>Mist / Cloudy</v>
      </c>
      <c r="X406" s="23" t="str">
        <f>VLOOKUP($G406,Lookups!$D$5:$E$8,2,FALSE())</f>
        <v>Winter</v>
      </c>
      <c r="Y406" s="23" t="str">
        <f>VLOOKUP($L406,Lookups!$G$5:$H$11,2,FALSE())</f>
        <v>Tuesday</v>
      </c>
      <c r="Z406" s="23" t="str">
        <f>IF($J406&lt;Lookups!$B$26,"Night",IF($J406&lt;Lookups!$B$27,"Morning",IF($J406&lt;Lookups!$B$28,"Afternoon","Evening")))</f>
        <v>Evening</v>
      </c>
      <c r="AA406" s="26">
        <f>ROUND($N406*(Lookups!$B$16-Lookups!$B$15)+Lookups!$B$15,1)</f>
        <v>2.2999999999999998</v>
      </c>
      <c r="AB406" s="26">
        <f>ROUND($P406*(Lookups!$B$18-Lookups!$B$17)+Lookups!$B$17,1)</f>
        <v>2</v>
      </c>
      <c r="AC406" s="23">
        <f t="shared" si="38"/>
        <v>87</v>
      </c>
      <c r="AD406" s="23">
        <f>ROUND($R406*Lookups!$B$19,1)</f>
        <v>0</v>
      </c>
      <c r="AE406" s="27">
        <f t="shared" si="39"/>
        <v>1</v>
      </c>
      <c r="AF406" s="23" t="str">
        <f>IF($U406&gt;=Lookups!$B$23,"High",IF($U406&gt;=Lookups!$B$22,"Medium","Low"))</f>
        <v>High</v>
      </c>
      <c r="AG406" s="23">
        <f>ROUND(IF($V406="Weekday",IF(INDEX(Hourly_Analysis!$D$5:$D$28,$J406+1)&gt;0,($U406-INDEX(Hourly_Analysis!$C$5:$C$28,$J406+1))/INDEX(Hourly_Analysis!$D$5:$D$28,$J406+1),0),IF(INDEX(Hourly_Analysis!$G$5:$G$28,$J406+1)&gt;0,($U406-INDEX(Hourly_Analysis!$F$5:$F$28,$J406+1))/INDEX(Hourly_Analysis!$G$5:$G$28,$J406+1),0)),2)</f>
        <v>0.44</v>
      </c>
      <c r="AH406" s="23" t="str">
        <f>IF(ABS($AG406)&gt;Lookups!$B$20,IF($AG406&gt;0,"High anomaly","Low anomaly"),"")</f>
        <v/>
      </c>
      <c r="AI406" s="23" t="str">
        <f t="shared" si="40"/>
        <v>OK</v>
      </c>
      <c r="AJ406" s="23" t="str">
        <f t="shared" si="41"/>
        <v>No</v>
      </c>
    </row>
    <row r="407" spans="1:36" x14ac:dyDescent="0.35">
      <c r="A407" s="23">
        <v>406</v>
      </c>
      <c r="B407" s="23" t="str">
        <f t="shared" si="36"/>
        <v>Merge 1+2</v>
      </c>
      <c r="C407" s="23">
        <f>IFERROR(MATCH($A407,Merge_1_2!$A$2:$A$611,0),0)</f>
        <v>406</v>
      </c>
      <c r="D407" s="23">
        <f>IF($C407&gt;0,INDEX(Merge_1_2!$Q$2:$Q$611,$C407),0)</f>
        <v>406</v>
      </c>
      <c r="E407" s="23">
        <f>IFERROR(MATCH($A407,Dataset3_Raw!$A$2:$A$391,0),0)</f>
        <v>0</v>
      </c>
      <c r="F407" s="24">
        <f>IF($C407&gt;0,INDEX(Merge_1_2!$B$2:$B$611,$C407),DATE(VALUE(RIGHT(INDEX(Dataset3_Raw!$B$2:$B$391,$E407),4)),VALUE(MID(INDEX(Dataset3_Raw!$B$2:$B$391,$E407),4,2)),VALUE(LEFT(INDEX(Dataset3_Raw!$B$2:$B$391,$E407),2))))</f>
        <v>40561</v>
      </c>
      <c r="G407" s="23">
        <f>IF($C407&gt;0,INDEX(Merge_1_2!$C$2:$C$611,$C407),INDEX(Dataset3_Raw!$C$2:$C$391,$E407))</f>
        <v>1</v>
      </c>
      <c r="H407" s="23">
        <f>IF($C407&gt;0,INDEX(Merge_1_2!$D$2:$D$611,$C407),INDEX(Dataset3_Raw!$D$2:$D$391,$E407))</f>
        <v>0</v>
      </c>
      <c r="I407" s="23">
        <f>IF($C407&gt;0,INDEX(Merge_1_2!$E$2:$E$611,$C407),INDEX(Dataset3_Raw!$E$2:$E$391,$E407))</f>
        <v>1</v>
      </c>
      <c r="J407" s="23">
        <f>IF($C407&gt;0,INDEX(Merge_1_2!$F$2:$F$611,$C407),INDEX(Dataset3_Raw!$F$2:$F$391,$E407))</f>
        <v>21</v>
      </c>
      <c r="K407" s="23" t="b">
        <f>IF($C407&gt;0,INDEX(Merge_1_2!$G$2:$G$611,$C407),INDEX(Dataset3_Raw!$G$2:$G$391,$E407))</f>
        <v>0</v>
      </c>
      <c r="L407" s="23">
        <f>IF($C407&gt;0,INDEX(Merge_1_2!$H$2:$H$611,$C407),INDEX(Dataset3_Raw!$H$2:$H$391,$E407))</f>
        <v>2</v>
      </c>
      <c r="M407" s="23">
        <f>IF($C407&gt;0,INDEX(Merge_1_2!$I$2:$I$611,$C407),INDEX(Dataset3_Raw!$I$2:$I$391,$E407))</f>
        <v>2</v>
      </c>
      <c r="N407" s="25">
        <f>IF($C407&gt;0,INDEX(Merge_1_2!$J$2:$J$611,$C407),INDEX(Dataset3_Raw!$J$2:$J$391,$E407))</f>
        <v>0.22</v>
      </c>
      <c r="O407" s="25">
        <f>IF($C407&gt;0,IF(ISNUMBER(INDEX(Merge_1_2!$K$2:$K$611,$C407)),INDEX(Merge_1_2!$K$2:$K$611,$C407),""),INDEX(Dataset3_Raw!$K$2:$K$391,$E407))</f>
        <v>0.2424</v>
      </c>
      <c r="P407" s="25">
        <f>IF(ISNUMBER($O407),$O407,ROUND(Lookups!$B$25+Lookups!$B$24*$N407,4))</f>
        <v>0.2424</v>
      </c>
      <c r="Q407" s="25">
        <f>IF($C407&gt;0,INDEX(Merge_1_2!$L$2:$L$611,$C407),INDEX(Dataset3_Raw!$L$2:$L$391,$E407))</f>
        <v>0.93</v>
      </c>
      <c r="R407" s="25">
        <f>IF($C407&gt;0,INDEX(Merge_1_2!$M$2:$M$611,$C407),INDEX(Dataset3_Raw!$M$2:$M$391,$E407))</f>
        <v>0.1045</v>
      </c>
      <c r="S407" s="23">
        <f>IF($C407&gt;0,INDEX(Merge_1_2!$N$2:$N$611,$C407),INDEX(Dataset3_Raw!$N$2:$N$391,$E407))</f>
        <v>0</v>
      </c>
      <c r="T407" s="23">
        <f>IF($C407&gt;0,INDEX(Merge_1_2!$O$2:$O$611,$C407),INDEX(Dataset3_Raw!$O$2:$O$391,$E407))</f>
        <v>41</v>
      </c>
      <c r="U407" s="23">
        <f>IF($C407&gt;0,INDEX(Merge_1_2!$P$2:$P$611,$C407),INDEX(Dataset3_Raw!$P$2:$P$391,$E407))</f>
        <v>41</v>
      </c>
      <c r="V407" s="23" t="str">
        <f t="shared" si="37"/>
        <v>Weekday</v>
      </c>
      <c r="W407" s="23" t="str">
        <f>VLOOKUP($M407,Lookups!$A$5:$B$8,2,FALSE())</f>
        <v>Mist / Cloudy</v>
      </c>
      <c r="X407" s="23" t="str">
        <f>VLOOKUP($G407,Lookups!$D$5:$E$8,2,FALSE())</f>
        <v>Winter</v>
      </c>
      <c r="Y407" s="23" t="str">
        <f>VLOOKUP($L407,Lookups!$G$5:$H$11,2,FALSE())</f>
        <v>Tuesday</v>
      </c>
      <c r="Z407" s="23" t="str">
        <f>IF($J407&lt;Lookups!$B$26,"Night",IF($J407&lt;Lookups!$B$27,"Morning",IF($J407&lt;Lookups!$B$28,"Afternoon","Evening")))</f>
        <v>Evening</v>
      </c>
      <c r="AA407" s="26">
        <f>ROUND($N407*(Lookups!$B$16-Lookups!$B$15)+Lookups!$B$15,1)</f>
        <v>2.2999999999999998</v>
      </c>
      <c r="AB407" s="26">
        <f>ROUND($P407*(Lookups!$B$18-Lookups!$B$17)+Lookups!$B$17,1)</f>
        <v>0</v>
      </c>
      <c r="AC407" s="23">
        <f t="shared" si="38"/>
        <v>93</v>
      </c>
      <c r="AD407" s="23">
        <f>ROUND($R407*Lookups!$B$19,1)</f>
        <v>7</v>
      </c>
      <c r="AE407" s="27">
        <f t="shared" si="39"/>
        <v>1</v>
      </c>
      <c r="AF407" s="23" t="str">
        <f>IF($U407&gt;=Lookups!$B$23,"High",IF($U407&gt;=Lookups!$B$22,"Medium","Low"))</f>
        <v>Medium</v>
      </c>
      <c r="AG407" s="23">
        <f>ROUND(IF($V407="Weekday",IF(INDEX(Hourly_Analysis!$D$5:$D$28,$J407+1)&gt;0,($U407-INDEX(Hourly_Analysis!$C$5:$C$28,$J407+1))/INDEX(Hourly_Analysis!$D$5:$D$28,$J407+1),0),IF(INDEX(Hourly_Analysis!$G$5:$G$28,$J407+1)&gt;0,($U407-INDEX(Hourly_Analysis!$F$5:$F$28,$J407+1))/INDEX(Hourly_Analysis!$G$5:$G$28,$J407+1),0)),2)</f>
        <v>-0.81</v>
      </c>
      <c r="AH407" s="23" t="str">
        <f>IF(ABS($AG407)&gt;Lookups!$B$20,IF($AG407&gt;0,"High anomaly","Low anomaly"),"")</f>
        <v/>
      </c>
      <c r="AI407" s="23" t="str">
        <f t="shared" si="40"/>
        <v>OK</v>
      </c>
      <c r="AJ407" s="23" t="str">
        <f t="shared" si="41"/>
        <v>No</v>
      </c>
    </row>
    <row r="408" spans="1:36" x14ac:dyDescent="0.35">
      <c r="A408" s="23">
        <v>407</v>
      </c>
      <c r="B408" s="23" t="str">
        <f t="shared" si="36"/>
        <v>Merge 1+2</v>
      </c>
      <c r="C408" s="23">
        <f>IFERROR(MATCH($A408,Merge_1_2!$A$2:$A$611,0),0)</f>
        <v>407</v>
      </c>
      <c r="D408" s="23">
        <f>IF($C408&gt;0,INDEX(Merge_1_2!$Q$2:$Q$611,$C408),0)</f>
        <v>407</v>
      </c>
      <c r="E408" s="23">
        <f>IFERROR(MATCH($A408,Dataset3_Raw!$A$2:$A$391,0),0)</f>
        <v>0</v>
      </c>
      <c r="F408" s="24">
        <f>IF($C408&gt;0,INDEX(Merge_1_2!$B$2:$B$611,$C408),DATE(VALUE(RIGHT(INDEX(Dataset3_Raw!$B$2:$B$391,$E408),4)),VALUE(MID(INDEX(Dataset3_Raw!$B$2:$B$391,$E408),4,2)),VALUE(LEFT(INDEX(Dataset3_Raw!$B$2:$B$391,$E408),2))))</f>
        <v>40561</v>
      </c>
      <c r="G408" s="23">
        <f>IF($C408&gt;0,INDEX(Merge_1_2!$C$2:$C$611,$C408),INDEX(Dataset3_Raw!$C$2:$C$391,$E408))</f>
        <v>1</v>
      </c>
      <c r="H408" s="23">
        <f>IF($C408&gt;0,INDEX(Merge_1_2!$D$2:$D$611,$C408),INDEX(Dataset3_Raw!$D$2:$D$391,$E408))</f>
        <v>0</v>
      </c>
      <c r="I408" s="23">
        <f>IF($C408&gt;0,INDEX(Merge_1_2!$E$2:$E$611,$C408),INDEX(Dataset3_Raw!$E$2:$E$391,$E408))</f>
        <v>1</v>
      </c>
      <c r="J408" s="23">
        <f>IF($C408&gt;0,INDEX(Merge_1_2!$F$2:$F$611,$C408),INDEX(Dataset3_Raw!$F$2:$F$391,$E408))</f>
        <v>22</v>
      </c>
      <c r="K408" s="23" t="b">
        <f>IF($C408&gt;0,INDEX(Merge_1_2!$G$2:$G$611,$C408),INDEX(Dataset3_Raw!$G$2:$G$391,$E408))</f>
        <v>0</v>
      </c>
      <c r="L408" s="23">
        <f>IF($C408&gt;0,INDEX(Merge_1_2!$H$2:$H$611,$C408),INDEX(Dataset3_Raw!$H$2:$H$391,$E408))</f>
        <v>2</v>
      </c>
      <c r="M408" s="23">
        <f>IF($C408&gt;0,INDEX(Merge_1_2!$I$2:$I$611,$C408),INDEX(Dataset3_Raw!$I$2:$I$391,$E408))</f>
        <v>2</v>
      </c>
      <c r="N408" s="25">
        <f>IF($C408&gt;0,INDEX(Merge_1_2!$J$2:$J$611,$C408),INDEX(Dataset3_Raw!$J$2:$J$391,$E408))</f>
        <v>0.22</v>
      </c>
      <c r="O408" s="25">
        <f>IF($C408&gt;0,IF(ISNUMBER(INDEX(Merge_1_2!$K$2:$K$611,$C408)),INDEX(Merge_1_2!$K$2:$K$611,$C408),""),INDEX(Dataset3_Raw!$K$2:$K$391,$E408))</f>
        <v>0.2576</v>
      </c>
      <c r="P408" s="25">
        <f>IF(ISNUMBER($O408),$O408,ROUND(Lookups!$B$25+Lookups!$B$24*$N408,4))</f>
        <v>0.2576</v>
      </c>
      <c r="Q408" s="25">
        <f>IF($C408&gt;0,INDEX(Merge_1_2!$L$2:$L$611,$C408),INDEX(Dataset3_Raw!$L$2:$L$391,$E408))</f>
        <v>0.93</v>
      </c>
      <c r="R408" s="25">
        <f>IF($C408&gt;0,INDEX(Merge_1_2!$M$2:$M$611,$C408),INDEX(Dataset3_Raw!$M$2:$M$391,$E408))</f>
        <v>8.9599999999999999E-2</v>
      </c>
      <c r="S408" s="23">
        <f>IF($C408&gt;0,INDEX(Merge_1_2!$N$2:$N$611,$C408),INDEX(Dataset3_Raw!$N$2:$N$391,$E408))</f>
        <v>0</v>
      </c>
      <c r="T408" s="23">
        <f>IF($C408&gt;0,INDEX(Merge_1_2!$O$2:$O$611,$C408),INDEX(Dataset3_Raw!$O$2:$O$391,$E408))</f>
        <v>33</v>
      </c>
      <c r="U408" s="23">
        <f>IF($C408&gt;0,INDEX(Merge_1_2!$P$2:$P$611,$C408),INDEX(Dataset3_Raw!$P$2:$P$391,$E408))</f>
        <v>33</v>
      </c>
      <c r="V408" s="23" t="str">
        <f t="shared" si="37"/>
        <v>Weekday</v>
      </c>
      <c r="W408" s="23" t="str">
        <f>VLOOKUP($M408,Lookups!$A$5:$B$8,2,FALSE())</f>
        <v>Mist / Cloudy</v>
      </c>
      <c r="X408" s="23" t="str">
        <f>VLOOKUP($G408,Lookups!$D$5:$E$8,2,FALSE())</f>
        <v>Winter</v>
      </c>
      <c r="Y408" s="23" t="str">
        <f>VLOOKUP($L408,Lookups!$G$5:$H$11,2,FALSE())</f>
        <v>Tuesday</v>
      </c>
      <c r="Z408" s="23" t="str">
        <f>IF($J408&lt;Lookups!$B$26,"Night",IF($J408&lt;Lookups!$B$27,"Morning",IF($J408&lt;Lookups!$B$28,"Afternoon","Evening")))</f>
        <v>Evening</v>
      </c>
      <c r="AA408" s="26">
        <f>ROUND($N408*(Lookups!$B$16-Lookups!$B$15)+Lookups!$B$15,1)</f>
        <v>2.2999999999999998</v>
      </c>
      <c r="AB408" s="26">
        <f>ROUND($P408*(Lookups!$B$18-Lookups!$B$17)+Lookups!$B$17,1)</f>
        <v>1</v>
      </c>
      <c r="AC408" s="23">
        <f t="shared" si="38"/>
        <v>93</v>
      </c>
      <c r="AD408" s="23">
        <f>ROUND($R408*Lookups!$B$19,1)</f>
        <v>6</v>
      </c>
      <c r="AE408" s="27">
        <f t="shared" si="39"/>
        <v>1</v>
      </c>
      <c r="AF408" s="23" t="str">
        <f>IF($U408&gt;=Lookups!$B$23,"High",IF($U408&gt;=Lookups!$B$22,"Medium","Low"))</f>
        <v>Medium</v>
      </c>
      <c r="AG408" s="23">
        <f>ROUND(IF($V408="Weekday",IF(INDEX(Hourly_Analysis!$D$5:$D$28,$J408+1)&gt;0,($U408-INDEX(Hourly_Analysis!$C$5:$C$28,$J408+1))/INDEX(Hourly_Analysis!$D$5:$D$28,$J408+1),0),IF(INDEX(Hourly_Analysis!$G$5:$G$28,$J408+1)&gt;0,($U408-INDEX(Hourly_Analysis!$F$5:$F$28,$J408+1))/INDEX(Hourly_Analysis!$G$5:$G$28,$J408+1),0)),2)</f>
        <v>-0.5</v>
      </c>
      <c r="AH408" s="23" t="str">
        <f>IF(ABS($AG408)&gt;Lookups!$B$20,IF($AG408&gt;0,"High anomaly","Low anomaly"),"")</f>
        <v/>
      </c>
      <c r="AI408" s="23" t="str">
        <f t="shared" si="40"/>
        <v>OK</v>
      </c>
      <c r="AJ408" s="23" t="str">
        <f t="shared" si="41"/>
        <v>No</v>
      </c>
    </row>
    <row r="409" spans="1:36" x14ac:dyDescent="0.35">
      <c r="A409" s="23">
        <v>408</v>
      </c>
      <c r="B409" s="23" t="str">
        <f t="shared" si="36"/>
        <v>Merge 1+2</v>
      </c>
      <c r="C409" s="23">
        <f>IFERROR(MATCH($A409,Merge_1_2!$A$2:$A$611,0),0)</f>
        <v>408</v>
      </c>
      <c r="D409" s="23">
        <f>IF($C409&gt;0,INDEX(Merge_1_2!$Q$2:$Q$611,$C409),0)</f>
        <v>408</v>
      </c>
      <c r="E409" s="23">
        <f>IFERROR(MATCH($A409,Dataset3_Raw!$A$2:$A$391,0),0)</f>
        <v>0</v>
      </c>
      <c r="F409" s="24">
        <f>IF($C409&gt;0,INDEX(Merge_1_2!$B$2:$B$611,$C409),DATE(VALUE(RIGHT(INDEX(Dataset3_Raw!$B$2:$B$391,$E409),4)),VALUE(MID(INDEX(Dataset3_Raw!$B$2:$B$391,$E409),4,2)),VALUE(LEFT(INDEX(Dataset3_Raw!$B$2:$B$391,$E409),2))))</f>
        <v>40561</v>
      </c>
      <c r="G409" s="23">
        <f>IF($C409&gt;0,INDEX(Merge_1_2!$C$2:$C$611,$C409),INDEX(Dataset3_Raw!$C$2:$C$391,$E409))</f>
        <v>1</v>
      </c>
      <c r="H409" s="23">
        <f>IF($C409&gt;0,INDEX(Merge_1_2!$D$2:$D$611,$C409),INDEX(Dataset3_Raw!$D$2:$D$391,$E409))</f>
        <v>0</v>
      </c>
      <c r="I409" s="23">
        <f>IF($C409&gt;0,INDEX(Merge_1_2!$E$2:$E$611,$C409),INDEX(Dataset3_Raw!$E$2:$E$391,$E409))</f>
        <v>1</v>
      </c>
      <c r="J409" s="23">
        <f>IF($C409&gt;0,INDEX(Merge_1_2!$F$2:$F$611,$C409),INDEX(Dataset3_Raw!$F$2:$F$391,$E409))</f>
        <v>23</v>
      </c>
      <c r="K409" s="23" t="b">
        <f>IF($C409&gt;0,INDEX(Merge_1_2!$G$2:$G$611,$C409),INDEX(Dataset3_Raw!$G$2:$G$391,$E409))</f>
        <v>0</v>
      </c>
      <c r="L409" s="23">
        <f>IF($C409&gt;0,INDEX(Merge_1_2!$H$2:$H$611,$C409),INDEX(Dataset3_Raw!$H$2:$H$391,$E409))</f>
        <v>2</v>
      </c>
      <c r="M409" s="23">
        <f>IF($C409&gt;0,INDEX(Merge_1_2!$I$2:$I$611,$C409),INDEX(Dataset3_Raw!$I$2:$I$391,$E409))</f>
        <v>2</v>
      </c>
      <c r="N409" s="25">
        <f>IF($C409&gt;0,INDEX(Merge_1_2!$J$2:$J$611,$C409),INDEX(Dataset3_Raw!$J$2:$J$391,$E409))</f>
        <v>0.22</v>
      </c>
      <c r="O409" s="25">
        <f>IF($C409&gt;0,IF(ISNUMBER(INDEX(Merge_1_2!$K$2:$K$611,$C409)),INDEX(Merge_1_2!$K$2:$K$611,$C409),""),INDEX(Dataset3_Raw!$K$2:$K$391,$E409))</f>
        <v>0.2727</v>
      </c>
      <c r="P409" s="25">
        <f>IF(ISNUMBER($O409),$O409,ROUND(Lookups!$B$25+Lookups!$B$24*$N409,4))</f>
        <v>0.2727</v>
      </c>
      <c r="Q409" s="25">
        <f>IF($C409&gt;0,INDEX(Merge_1_2!$L$2:$L$611,$C409),INDEX(Dataset3_Raw!$L$2:$L$391,$E409))</f>
        <v>0.93</v>
      </c>
      <c r="R409" s="25">
        <f>IF($C409&gt;0,INDEX(Merge_1_2!$M$2:$M$611,$C409),INDEX(Dataset3_Raw!$M$2:$M$391,$E409))</f>
        <v>0</v>
      </c>
      <c r="S409" s="23">
        <f>IF($C409&gt;0,INDEX(Merge_1_2!$N$2:$N$611,$C409),INDEX(Dataset3_Raw!$N$2:$N$391,$E409))</f>
        <v>1</v>
      </c>
      <c r="T409" s="23">
        <f>IF($C409&gt;0,INDEX(Merge_1_2!$O$2:$O$611,$C409),INDEX(Dataset3_Raw!$O$2:$O$391,$E409))</f>
        <v>19</v>
      </c>
      <c r="U409" s="23">
        <f>IF($C409&gt;0,INDEX(Merge_1_2!$P$2:$P$611,$C409),INDEX(Dataset3_Raw!$P$2:$P$391,$E409))</f>
        <v>20</v>
      </c>
      <c r="V409" s="23" t="str">
        <f t="shared" si="37"/>
        <v>Weekday</v>
      </c>
      <c r="W409" s="23" t="str">
        <f>VLOOKUP($M409,Lookups!$A$5:$B$8,2,FALSE())</f>
        <v>Mist / Cloudy</v>
      </c>
      <c r="X409" s="23" t="str">
        <f>VLOOKUP($G409,Lookups!$D$5:$E$8,2,FALSE())</f>
        <v>Winter</v>
      </c>
      <c r="Y409" s="23" t="str">
        <f>VLOOKUP($L409,Lookups!$G$5:$H$11,2,FALSE())</f>
        <v>Tuesday</v>
      </c>
      <c r="Z409" s="23" t="str">
        <f>IF($J409&lt;Lookups!$B$26,"Night",IF($J409&lt;Lookups!$B$27,"Morning",IF($J409&lt;Lookups!$B$28,"Afternoon","Evening")))</f>
        <v>Evening</v>
      </c>
      <c r="AA409" s="26">
        <f>ROUND($N409*(Lookups!$B$16-Lookups!$B$15)+Lookups!$B$15,1)</f>
        <v>2.2999999999999998</v>
      </c>
      <c r="AB409" s="26">
        <f>ROUND($P409*(Lookups!$B$18-Lookups!$B$17)+Lookups!$B$17,1)</f>
        <v>2</v>
      </c>
      <c r="AC409" s="23">
        <f t="shared" si="38"/>
        <v>93</v>
      </c>
      <c r="AD409" s="23">
        <f>ROUND($R409*Lookups!$B$19,1)</f>
        <v>0</v>
      </c>
      <c r="AE409" s="27">
        <f t="shared" si="39"/>
        <v>0.95</v>
      </c>
      <c r="AF409" s="23" t="str">
        <f>IF($U409&gt;=Lookups!$B$23,"High",IF($U409&gt;=Lookups!$B$22,"Medium","Low"))</f>
        <v>Medium</v>
      </c>
      <c r="AG409" s="23">
        <f>ROUND(IF($V409="Weekday",IF(INDEX(Hourly_Analysis!$D$5:$D$28,$J409+1)&gt;0,($U409-INDEX(Hourly_Analysis!$C$5:$C$28,$J409+1))/INDEX(Hourly_Analysis!$D$5:$D$28,$J409+1),0),IF(INDEX(Hourly_Analysis!$G$5:$G$28,$J409+1)&gt;0,($U409-INDEX(Hourly_Analysis!$F$5:$F$28,$J409+1))/INDEX(Hourly_Analysis!$G$5:$G$28,$J409+1),0)),2)</f>
        <v>-0.44</v>
      </c>
      <c r="AH409" s="23" t="str">
        <f>IF(ABS($AG409)&gt;Lookups!$B$20,IF($AG409&gt;0,"High anomaly","Low anomaly"),"")</f>
        <v/>
      </c>
      <c r="AI409" s="23" t="str">
        <f t="shared" si="40"/>
        <v>OK</v>
      </c>
      <c r="AJ409" s="23" t="str">
        <f t="shared" si="41"/>
        <v>No</v>
      </c>
    </row>
    <row r="410" spans="1:36" x14ac:dyDescent="0.35">
      <c r="A410" s="23">
        <v>409</v>
      </c>
      <c r="B410" s="23" t="str">
        <f t="shared" si="36"/>
        <v>Merge 1+2</v>
      </c>
      <c r="C410" s="23">
        <f>IFERROR(MATCH($A410,Merge_1_2!$A$2:$A$611,0),0)</f>
        <v>409</v>
      </c>
      <c r="D410" s="23">
        <f>IF($C410&gt;0,INDEX(Merge_1_2!$Q$2:$Q$611,$C410),0)</f>
        <v>409</v>
      </c>
      <c r="E410" s="23">
        <f>IFERROR(MATCH($A410,Dataset3_Raw!$A$2:$A$391,0),0)</f>
        <v>0</v>
      </c>
      <c r="F410" s="24">
        <f>IF($C410&gt;0,INDEX(Merge_1_2!$B$2:$B$611,$C410),DATE(VALUE(RIGHT(INDEX(Dataset3_Raw!$B$2:$B$391,$E410),4)),VALUE(MID(INDEX(Dataset3_Raw!$B$2:$B$391,$E410),4,2)),VALUE(LEFT(INDEX(Dataset3_Raw!$B$2:$B$391,$E410),2))))</f>
        <v>40562</v>
      </c>
      <c r="G410" s="23">
        <f>IF($C410&gt;0,INDEX(Merge_1_2!$C$2:$C$611,$C410),INDEX(Dataset3_Raw!$C$2:$C$391,$E410))</f>
        <v>1</v>
      </c>
      <c r="H410" s="23">
        <f>IF($C410&gt;0,INDEX(Merge_1_2!$D$2:$D$611,$C410),INDEX(Dataset3_Raw!$D$2:$D$391,$E410))</f>
        <v>0</v>
      </c>
      <c r="I410" s="23">
        <f>IF($C410&gt;0,INDEX(Merge_1_2!$E$2:$E$611,$C410),INDEX(Dataset3_Raw!$E$2:$E$391,$E410))</f>
        <v>1</v>
      </c>
      <c r="J410" s="23">
        <f>IF($C410&gt;0,INDEX(Merge_1_2!$F$2:$F$611,$C410),INDEX(Dataset3_Raw!$F$2:$F$391,$E410))</f>
        <v>0</v>
      </c>
      <c r="K410" s="23" t="b">
        <f>IF($C410&gt;0,INDEX(Merge_1_2!$G$2:$G$611,$C410),INDEX(Dataset3_Raw!$G$2:$G$391,$E410))</f>
        <v>0</v>
      </c>
      <c r="L410" s="23">
        <f>IF($C410&gt;0,INDEX(Merge_1_2!$H$2:$H$611,$C410),INDEX(Dataset3_Raw!$H$2:$H$391,$E410))</f>
        <v>3</v>
      </c>
      <c r="M410" s="23">
        <f>IF($C410&gt;0,INDEX(Merge_1_2!$I$2:$I$611,$C410),INDEX(Dataset3_Raw!$I$2:$I$391,$E410))</f>
        <v>2</v>
      </c>
      <c r="N410" s="25">
        <f>IF($C410&gt;0,INDEX(Merge_1_2!$J$2:$J$611,$C410),INDEX(Dataset3_Raw!$J$2:$J$391,$E410))</f>
        <v>0.22</v>
      </c>
      <c r="O410" s="25">
        <f>IF($C410&gt;0,IF(ISNUMBER(INDEX(Merge_1_2!$K$2:$K$611,$C410)),INDEX(Merge_1_2!$K$2:$K$611,$C410),""),INDEX(Dataset3_Raw!$K$2:$K$391,$E410))</f>
        <v>0.2727</v>
      </c>
      <c r="P410" s="25">
        <f>IF(ISNUMBER($O410),$O410,ROUND(Lookups!$B$25+Lookups!$B$24*$N410,4))</f>
        <v>0.2727</v>
      </c>
      <c r="Q410" s="25">
        <f>IF($C410&gt;0,INDEX(Merge_1_2!$L$2:$L$611,$C410),INDEX(Dataset3_Raw!$L$2:$L$391,$E410))</f>
        <v>0.93</v>
      </c>
      <c r="R410" s="25">
        <f>IF($C410&gt;0,INDEX(Merge_1_2!$M$2:$M$611,$C410),INDEX(Dataset3_Raw!$M$2:$M$391,$E410))</f>
        <v>0</v>
      </c>
      <c r="S410" s="23">
        <f>IF($C410&gt;0,INDEX(Merge_1_2!$N$2:$N$611,$C410),INDEX(Dataset3_Raw!$N$2:$N$391,$E410))</f>
        <v>0</v>
      </c>
      <c r="T410" s="23">
        <f>IF($C410&gt;0,INDEX(Merge_1_2!$O$2:$O$611,$C410),INDEX(Dataset3_Raw!$O$2:$O$391,$E410))</f>
        <v>3</v>
      </c>
      <c r="U410" s="23">
        <f>IF($C410&gt;0,INDEX(Merge_1_2!$P$2:$P$611,$C410),INDEX(Dataset3_Raw!$P$2:$P$391,$E410))</f>
        <v>3</v>
      </c>
      <c r="V410" s="23" t="str">
        <f t="shared" si="37"/>
        <v>Weekday</v>
      </c>
      <c r="W410" s="23" t="str">
        <f>VLOOKUP($M410,Lookups!$A$5:$B$8,2,FALSE())</f>
        <v>Mist / Cloudy</v>
      </c>
      <c r="X410" s="23" t="str">
        <f>VLOOKUP($G410,Lookups!$D$5:$E$8,2,FALSE())</f>
        <v>Winter</v>
      </c>
      <c r="Y410" s="23" t="str">
        <f>VLOOKUP($L410,Lookups!$G$5:$H$11,2,FALSE())</f>
        <v>Wednesday</v>
      </c>
      <c r="Z410" s="23" t="str">
        <f>IF($J410&lt;Lookups!$B$26,"Night",IF($J410&lt;Lookups!$B$27,"Morning",IF($J410&lt;Lookups!$B$28,"Afternoon","Evening")))</f>
        <v>Night</v>
      </c>
      <c r="AA410" s="26">
        <f>ROUND($N410*(Lookups!$B$16-Lookups!$B$15)+Lookups!$B$15,1)</f>
        <v>2.2999999999999998</v>
      </c>
      <c r="AB410" s="26">
        <f>ROUND($P410*(Lookups!$B$18-Lookups!$B$17)+Lookups!$B$17,1)</f>
        <v>2</v>
      </c>
      <c r="AC410" s="23">
        <f t="shared" si="38"/>
        <v>93</v>
      </c>
      <c r="AD410" s="23">
        <f>ROUND($R410*Lookups!$B$19,1)</f>
        <v>0</v>
      </c>
      <c r="AE410" s="27">
        <f t="shared" si="39"/>
        <v>1</v>
      </c>
      <c r="AF410" s="23" t="str">
        <f>IF($U410&gt;=Lookups!$B$23,"High",IF($U410&gt;=Lookups!$B$22,"Medium","Low"))</f>
        <v>Low</v>
      </c>
      <c r="AG410" s="23">
        <f>ROUND(IF($V410="Weekday",IF(INDEX(Hourly_Analysis!$D$5:$D$28,$J410+1)&gt;0,($U410-INDEX(Hourly_Analysis!$C$5:$C$28,$J410+1))/INDEX(Hourly_Analysis!$D$5:$D$28,$J410+1),0),IF(INDEX(Hourly_Analysis!$G$5:$G$28,$J410+1)&gt;0,($U410-INDEX(Hourly_Analysis!$F$5:$F$28,$J410+1))/INDEX(Hourly_Analysis!$G$5:$G$28,$J410+1),0)),2)</f>
        <v>-1.55</v>
      </c>
      <c r="AH410" s="23" t="str">
        <f>IF(ABS($AG410)&gt;Lookups!$B$20,IF($AG410&gt;0,"High anomaly","Low anomaly"),"")</f>
        <v/>
      </c>
      <c r="AI410" s="23" t="str">
        <f t="shared" si="40"/>
        <v>OK</v>
      </c>
      <c r="AJ410" s="23" t="str">
        <f t="shared" si="41"/>
        <v>No</v>
      </c>
    </row>
    <row r="411" spans="1:36" x14ac:dyDescent="0.35">
      <c r="A411" s="23">
        <v>410</v>
      </c>
      <c r="B411" s="23" t="str">
        <f t="shared" si="36"/>
        <v>Merge 1+2</v>
      </c>
      <c r="C411" s="23">
        <f>IFERROR(MATCH($A411,Merge_1_2!$A$2:$A$611,0),0)</f>
        <v>410</v>
      </c>
      <c r="D411" s="23">
        <f>IF($C411&gt;0,INDEX(Merge_1_2!$Q$2:$Q$611,$C411),0)</f>
        <v>410</v>
      </c>
      <c r="E411" s="23">
        <f>IFERROR(MATCH($A411,Dataset3_Raw!$A$2:$A$391,0),0)</f>
        <v>0</v>
      </c>
      <c r="F411" s="24">
        <f>IF($C411&gt;0,INDEX(Merge_1_2!$B$2:$B$611,$C411),DATE(VALUE(RIGHT(INDEX(Dataset3_Raw!$B$2:$B$391,$E411),4)),VALUE(MID(INDEX(Dataset3_Raw!$B$2:$B$391,$E411),4,2)),VALUE(LEFT(INDEX(Dataset3_Raw!$B$2:$B$391,$E411),2))))</f>
        <v>40562</v>
      </c>
      <c r="G411" s="23">
        <f>IF($C411&gt;0,INDEX(Merge_1_2!$C$2:$C$611,$C411),INDEX(Dataset3_Raw!$C$2:$C$391,$E411))</f>
        <v>1</v>
      </c>
      <c r="H411" s="23">
        <f>IF($C411&gt;0,INDEX(Merge_1_2!$D$2:$D$611,$C411),INDEX(Dataset3_Raw!$D$2:$D$391,$E411))</f>
        <v>0</v>
      </c>
      <c r="I411" s="23">
        <f>IF($C411&gt;0,INDEX(Merge_1_2!$E$2:$E$611,$C411),INDEX(Dataset3_Raw!$E$2:$E$391,$E411))</f>
        <v>1</v>
      </c>
      <c r="J411" s="23">
        <f>IF($C411&gt;0,INDEX(Merge_1_2!$F$2:$F$611,$C411),INDEX(Dataset3_Raw!$F$2:$F$391,$E411))</f>
        <v>1</v>
      </c>
      <c r="K411" s="23" t="b">
        <f>IF($C411&gt;0,INDEX(Merge_1_2!$G$2:$G$611,$C411),INDEX(Dataset3_Raw!$G$2:$G$391,$E411))</f>
        <v>0</v>
      </c>
      <c r="L411" s="23">
        <f>IF($C411&gt;0,INDEX(Merge_1_2!$H$2:$H$611,$C411),INDEX(Dataset3_Raw!$H$2:$H$391,$E411))</f>
        <v>3</v>
      </c>
      <c r="M411" s="23">
        <f>IF($C411&gt;0,INDEX(Merge_1_2!$I$2:$I$611,$C411),INDEX(Dataset3_Raw!$I$2:$I$391,$E411))</f>
        <v>3</v>
      </c>
      <c r="N411" s="25">
        <f>IF($C411&gt;0,INDEX(Merge_1_2!$J$2:$J$611,$C411),INDEX(Dataset3_Raw!$J$2:$J$391,$E411))</f>
        <v>0.22</v>
      </c>
      <c r="O411" s="25">
        <f>IF($C411&gt;0,IF(ISNUMBER(INDEX(Merge_1_2!$K$2:$K$611,$C411)),INDEX(Merge_1_2!$K$2:$K$611,$C411),""),INDEX(Dataset3_Raw!$K$2:$K$391,$E411))</f>
        <v>0.2273</v>
      </c>
      <c r="P411" s="25">
        <f>IF(ISNUMBER($O411),$O411,ROUND(Lookups!$B$25+Lookups!$B$24*$N411,4))</f>
        <v>0.2273</v>
      </c>
      <c r="Q411" s="25">
        <f>IF($C411&gt;0,INDEX(Merge_1_2!$L$2:$L$611,$C411),INDEX(Dataset3_Raw!$L$2:$L$391,$E411))</f>
        <v>0.93</v>
      </c>
      <c r="R411" s="25">
        <f>IF($C411&gt;0,INDEX(Merge_1_2!$M$2:$M$611,$C411),INDEX(Dataset3_Raw!$M$2:$M$391,$E411))</f>
        <v>0.1343</v>
      </c>
      <c r="S411" s="23">
        <f>IF($C411&gt;0,INDEX(Merge_1_2!$N$2:$N$611,$C411),INDEX(Dataset3_Raw!$N$2:$N$391,$E411))</f>
        <v>1</v>
      </c>
      <c r="T411" s="23">
        <f>IF($C411&gt;0,INDEX(Merge_1_2!$O$2:$O$611,$C411),INDEX(Dataset3_Raw!$O$2:$O$391,$E411))</f>
        <v>6</v>
      </c>
      <c r="U411" s="23">
        <f>IF($C411&gt;0,INDEX(Merge_1_2!$P$2:$P$611,$C411),INDEX(Dataset3_Raw!$P$2:$P$391,$E411))</f>
        <v>7</v>
      </c>
      <c r="V411" s="23" t="str">
        <f t="shared" si="37"/>
        <v>Weekday</v>
      </c>
      <c r="W411" s="23" t="str">
        <f>VLOOKUP($M411,Lookups!$A$5:$B$8,2,FALSE())</f>
        <v>Light snow / Light rain</v>
      </c>
      <c r="X411" s="23" t="str">
        <f>VLOOKUP($G411,Lookups!$D$5:$E$8,2,FALSE())</f>
        <v>Winter</v>
      </c>
      <c r="Y411" s="23" t="str">
        <f>VLOOKUP($L411,Lookups!$G$5:$H$11,2,FALSE())</f>
        <v>Wednesday</v>
      </c>
      <c r="Z411" s="23" t="str">
        <f>IF($J411&lt;Lookups!$B$26,"Night",IF($J411&lt;Lookups!$B$27,"Morning",IF($J411&lt;Lookups!$B$28,"Afternoon","Evening")))</f>
        <v>Night</v>
      </c>
      <c r="AA411" s="26">
        <f>ROUND($N411*(Lookups!$B$16-Lookups!$B$15)+Lookups!$B$15,1)</f>
        <v>2.2999999999999998</v>
      </c>
      <c r="AB411" s="26">
        <f>ROUND($P411*(Lookups!$B$18-Lookups!$B$17)+Lookups!$B$17,1)</f>
        <v>-1</v>
      </c>
      <c r="AC411" s="23">
        <f t="shared" si="38"/>
        <v>93</v>
      </c>
      <c r="AD411" s="23">
        <f>ROUND($R411*Lookups!$B$19,1)</f>
        <v>9</v>
      </c>
      <c r="AE411" s="27">
        <f t="shared" si="39"/>
        <v>0.8571428571428571</v>
      </c>
      <c r="AF411" s="23" t="str">
        <f>IF($U411&gt;=Lookups!$B$23,"High",IF($U411&gt;=Lookups!$B$22,"Medium","Low"))</f>
        <v>Low</v>
      </c>
      <c r="AG411" s="23">
        <f>ROUND(IF($V411="Weekday",IF(INDEX(Hourly_Analysis!$D$5:$D$28,$J411+1)&gt;0,($U411-INDEX(Hourly_Analysis!$C$5:$C$28,$J411+1))/INDEX(Hourly_Analysis!$D$5:$D$28,$J411+1),0),IF(INDEX(Hourly_Analysis!$G$5:$G$28,$J411+1)&gt;0,($U411-INDEX(Hourly_Analysis!$F$5:$F$28,$J411+1))/INDEX(Hourly_Analysis!$G$5:$G$28,$J411+1),0)),2)</f>
        <v>1.1299999999999999</v>
      </c>
      <c r="AH411" s="23" t="str">
        <f>IF(ABS($AG411)&gt;Lookups!$B$20,IF($AG411&gt;0,"High anomaly","Low anomaly"),"")</f>
        <v/>
      </c>
      <c r="AI411" s="23" t="str">
        <f t="shared" si="40"/>
        <v>OK</v>
      </c>
      <c r="AJ411" s="23" t="str">
        <f t="shared" si="41"/>
        <v>No</v>
      </c>
    </row>
    <row r="412" spans="1:36" x14ac:dyDescent="0.35">
      <c r="A412" s="23">
        <v>411</v>
      </c>
      <c r="B412" s="23" t="str">
        <f t="shared" si="36"/>
        <v>Merge 1+2</v>
      </c>
      <c r="C412" s="23">
        <f>IFERROR(MATCH($A412,Merge_1_2!$A$2:$A$611,0),0)</f>
        <v>411</v>
      </c>
      <c r="D412" s="23">
        <f>IF($C412&gt;0,INDEX(Merge_1_2!$Q$2:$Q$611,$C412),0)</f>
        <v>411</v>
      </c>
      <c r="E412" s="23">
        <f>IFERROR(MATCH($A412,Dataset3_Raw!$A$2:$A$391,0),0)</f>
        <v>0</v>
      </c>
      <c r="F412" s="24">
        <f>IF($C412&gt;0,INDEX(Merge_1_2!$B$2:$B$611,$C412),DATE(VALUE(RIGHT(INDEX(Dataset3_Raw!$B$2:$B$391,$E412),4)),VALUE(MID(INDEX(Dataset3_Raw!$B$2:$B$391,$E412),4,2)),VALUE(LEFT(INDEX(Dataset3_Raw!$B$2:$B$391,$E412),2))))</f>
        <v>40562</v>
      </c>
      <c r="G412" s="23">
        <f>IF($C412&gt;0,INDEX(Merge_1_2!$C$2:$C$611,$C412),INDEX(Dataset3_Raw!$C$2:$C$391,$E412))</f>
        <v>1</v>
      </c>
      <c r="H412" s="23">
        <f>IF($C412&gt;0,INDEX(Merge_1_2!$D$2:$D$611,$C412),INDEX(Dataset3_Raw!$D$2:$D$391,$E412))</f>
        <v>0</v>
      </c>
      <c r="I412" s="23">
        <f>IF($C412&gt;0,INDEX(Merge_1_2!$E$2:$E$611,$C412),INDEX(Dataset3_Raw!$E$2:$E$391,$E412))</f>
        <v>1</v>
      </c>
      <c r="J412" s="23">
        <f>IF($C412&gt;0,INDEX(Merge_1_2!$F$2:$F$611,$C412),INDEX(Dataset3_Raw!$F$2:$F$391,$E412))</f>
        <v>2</v>
      </c>
      <c r="K412" s="23" t="b">
        <f>IF($C412&gt;0,INDEX(Merge_1_2!$G$2:$G$611,$C412),INDEX(Dataset3_Raw!$G$2:$G$391,$E412))</f>
        <v>0</v>
      </c>
      <c r="L412" s="23">
        <f>IF($C412&gt;0,INDEX(Merge_1_2!$H$2:$H$611,$C412),INDEX(Dataset3_Raw!$H$2:$H$391,$E412))</f>
        <v>3</v>
      </c>
      <c r="M412" s="23">
        <f>IF($C412&gt;0,INDEX(Merge_1_2!$I$2:$I$611,$C412),INDEX(Dataset3_Raw!$I$2:$I$391,$E412))</f>
        <v>3</v>
      </c>
      <c r="N412" s="25">
        <f>IF($C412&gt;0,INDEX(Merge_1_2!$J$2:$J$611,$C412),INDEX(Dataset3_Raw!$J$2:$J$391,$E412))</f>
        <v>0.22</v>
      </c>
      <c r="O412" s="25">
        <f>IF($C412&gt;0,IF(ISNUMBER(INDEX(Merge_1_2!$K$2:$K$611,$C412)),INDEX(Merge_1_2!$K$2:$K$611,$C412),""),INDEX(Dataset3_Raw!$K$2:$K$391,$E412))</f>
        <v>0.2273</v>
      </c>
      <c r="P412" s="25">
        <f>IF(ISNUMBER($O412),$O412,ROUND(Lookups!$B$25+Lookups!$B$24*$N412,4))</f>
        <v>0.2273</v>
      </c>
      <c r="Q412" s="25">
        <f>IF($C412&gt;0,INDEX(Merge_1_2!$L$2:$L$611,$C412),INDEX(Dataset3_Raw!$L$2:$L$391,$E412))</f>
        <v>0.93</v>
      </c>
      <c r="R412" s="25">
        <f>IF($C412&gt;0,INDEX(Merge_1_2!$M$2:$M$611,$C412),INDEX(Dataset3_Raw!$M$2:$M$391,$E412))</f>
        <v>0.1343</v>
      </c>
      <c r="S412" s="23">
        <f>IF($C412&gt;0,INDEX(Merge_1_2!$N$2:$N$611,$C412),INDEX(Dataset3_Raw!$N$2:$N$391,$E412))</f>
        <v>0</v>
      </c>
      <c r="T412" s="23">
        <f>IF($C412&gt;0,INDEX(Merge_1_2!$O$2:$O$611,$C412),INDEX(Dataset3_Raw!$O$2:$O$391,$E412))</f>
        <v>3</v>
      </c>
      <c r="U412" s="23">
        <f>IF($C412&gt;0,INDEX(Merge_1_2!$P$2:$P$611,$C412),INDEX(Dataset3_Raw!$P$2:$P$391,$E412))</f>
        <v>3</v>
      </c>
      <c r="V412" s="23" t="str">
        <f t="shared" si="37"/>
        <v>Weekday</v>
      </c>
      <c r="W412" s="23" t="str">
        <f>VLOOKUP($M412,Lookups!$A$5:$B$8,2,FALSE())</f>
        <v>Light snow / Light rain</v>
      </c>
      <c r="X412" s="23" t="str">
        <f>VLOOKUP($G412,Lookups!$D$5:$E$8,2,FALSE())</f>
        <v>Winter</v>
      </c>
      <c r="Y412" s="23" t="str">
        <f>VLOOKUP($L412,Lookups!$G$5:$H$11,2,FALSE())</f>
        <v>Wednesday</v>
      </c>
      <c r="Z412" s="23" t="str">
        <f>IF($J412&lt;Lookups!$B$26,"Night",IF($J412&lt;Lookups!$B$27,"Morning",IF($J412&lt;Lookups!$B$28,"Afternoon","Evening")))</f>
        <v>Night</v>
      </c>
      <c r="AA412" s="26">
        <f>ROUND($N412*(Lookups!$B$16-Lookups!$B$15)+Lookups!$B$15,1)</f>
        <v>2.2999999999999998</v>
      </c>
      <c r="AB412" s="26">
        <f>ROUND($P412*(Lookups!$B$18-Lookups!$B$17)+Lookups!$B$17,1)</f>
        <v>-1</v>
      </c>
      <c r="AC412" s="23">
        <f t="shared" si="38"/>
        <v>93</v>
      </c>
      <c r="AD412" s="23">
        <f>ROUND($R412*Lookups!$B$19,1)</f>
        <v>9</v>
      </c>
      <c r="AE412" s="27">
        <f t="shared" si="39"/>
        <v>1</v>
      </c>
      <c r="AF412" s="23" t="str">
        <f>IF($U412&gt;=Lookups!$B$23,"High",IF($U412&gt;=Lookups!$B$22,"Medium","Low"))</f>
        <v>Low</v>
      </c>
      <c r="AG412" s="23">
        <f>ROUND(IF($V412="Weekday",IF(INDEX(Hourly_Analysis!$D$5:$D$28,$J412+1)&gt;0,($U412-INDEX(Hourly_Analysis!$C$5:$C$28,$J412+1))/INDEX(Hourly_Analysis!$D$5:$D$28,$J412+1),0),IF(INDEX(Hourly_Analysis!$G$5:$G$28,$J412+1)&gt;0,($U412-INDEX(Hourly_Analysis!$F$5:$F$28,$J412+1))/INDEX(Hourly_Analysis!$G$5:$G$28,$J412+1),0)),2)</f>
        <v>0.33</v>
      </c>
      <c r="AH412" s="23" t="str">
        <f>IF(ABS($AG412)&gt;Lookups!$B$20,IF($AG412&gt;0,"High anomaly","Low anomaly"),"")</f>
        <v/>
      </c>
      <c r="AI412" s="23" t="str">
        <f t="shared" si="40"/>
        <v>OK</v>
      </c>
      <c r="AJ412" s="23" t="str">
        <f t="shared" si="41"/>
        <v>No</v>
      </c>
    </row>
    <row r="413" spans="1:36" x14ac:dyDescent="0.35">
      <c r="A413" s="23">
        <v>412</v>
      </c>
      <c r="B413" s="23" t="str">
        <f t="shared" si="36"/>
        <v>Merge 1+2</v>
      </c>
      <c r="C413" s="23">
        <f>IFERROR(MATCH($A413,Merge_1_2!$A$2:$A$611,0),0)</f>
        <v>412</v>
      </c>
      <c r="D413" s="23">
        <f>IF($C413&gt;0,INDEX(Merge_1_2!$Q$2:$Q$611,$C413),0)</f>
        <v>412</v>
      </c>
      <c r="E413" s="23">
        <f>IFERROR(MATCH($A413,Dataset3_Raw!$A$2:$A$391,0),0)</f>
        <v>0</v>
      </c>
      <c r="F413" s="24">
        <f>IF($C413&gt;0,INDEX(Merge_1_2!$B$2:$B$611,$C413),DATE(VALUE(RIGHT(INDEX(Dataset3_Raw!$B$2:$B$391,$E413),4)),VALUE(MID(INDEX(Dataset3_Raw!$B$2:$B$391,$E413),4,2)),VALUE(LEFT(INDEX(Dataset3_Raw!$B$2:$B$391,$E413),2))))</f>
        <v>40562</v>
      </c>
      <c r="G413" s="23">
        <f>IF($C413&gt;0,INDEX(Merge_1_2!$C$2:$C$611,$C413),INDEX(Dataset3_Raw!$C$2:$C$391,$E413))</f>
        <v>1</v>
      </c>
      <c r="H413" s="23">
        <f>IF($C413&gt;0,INDEX(Merge_1_2!$D$2:$D$611,$C413),INDEX(Dataset3_Raw!$D$2:$D$391,$E413))</f>
        <v>0</v>
      </c>
      <c r="I413" s="23">
        <f>IF($C413&gt;0,INDEX(Merge_1_2!$E$2:$E$611,$C413),INDEX(Dataset3_Raw!$E$2:$E$391,$E413))</f>
        <v>1</v>
      </c>
      <c r="J413" s="23">
        <f>IF($C413&gt;0,INDEX(Merge_1_2!$F$2:$F$611,$C413),INDEX(Dataset3_Raw!$F$2:$F$391,$E413))</f>
        <v>4</v>
      </c>
      <c r="K413" s="23" t="b">
        <f>IF($C413&gt;0,INDEX(Merge_1_2!$G$2:$G$611,$C413),INDEX(Dataset3_Raw!$G$2:$G$391,$E413))</f>
        <v>0</v>
      </c>
      <c r="L413" s="23">
        <f>IF($C413&gt;0,INDEX(Merge_1_2!$H$2:$H$611,$C413),INDEX(Dataset3_Raw!$H$2:$H$391,$E413))</f>
        <v>3</v>
      </c>
      <c r="M413" s="23">
        <f>IF($C413&gt;0,INDEX(Merge_1_2!$I$2:$I$611,$C413),INDEX(Dataset3_Raw!$I$2:$I$391,$E413))</f>
        <v>3</v>
      </c>
      <c r="N413" s="25">
        <f>IF($C413&gt;0,INDEX(Merge_1_2!$J$2:$J$611,$C413),INDEX(Dataset3_Raw!$J$2:$J$391,$E413))</f>
        <v>0.22</v>
      </c>
      <c r="O413" s="25">
        <f>IF($C413&gt;0,IF(ISNUMBER(INDEX(Merge_1_2!$K$2:$K$611,$C413)),INDEX(Merge_1_2!$K$2:$K$611,$C413),""),INDEX(Dataset3_Raw!$K$2:$K$391,$E413))</f>
        <v>0.2273</v>
      </c>
      <c r="P413" s="25">
        <f>IF(ISNUMBER($O413),$O413,ROUND(Lookups!$B$25+Lookups!$B$24*$N413,4))</f>
        <v>0.2273</v>
      </c>
      <c r="Q413" s="25">
        <f>IF($C413&gt;0,INDEX(Merge_1_2!$L$2:$L$611,$C413),INDEX(Dataset3_Raw!$L$2:$L$391,$E413))</f>
        <v>0.93</v>
      </c>
      <c r="R413" s="25">
        <f>IF($C413&gt;0,INDEX(Merge_1_2!$M$2:$M$611,$C413),INDEX(Dataset3_Raw!$M$2:$M$391,$E413))</f>
        <v>0.1343</v>
      </c>
      <c r="S413" s="23">
        <f>IF($C413&gt;0,INDEX(Merge_1_2!$N$2:$N$611,$C413),INDEX(Dataset3_Raw!$N$2:$N$391,$E413))</f>
        <v>1</v>
      </c>
      <c r="T413" s="23">
        <f>IF($C413&gt;0,INDEX(Merge_1_2!$O$2:$O$611,$C413),INDEX(Dataset3_Raw!$O$2:$O$391,$E413))</f>
        <v>1</v>
      </c>
      <c r="U413" s="23">
        <f>IF($C413&gt;0,INDEX(Merge_1_2!$P$2:$P$611,$C413),INDEX(Dataset3_Raw!$P$2:$P$391,$E413))</f>
        <v>2</v>
      </c>
      <c r="V413" s="23" t="str">
        <f t="shared" si="37"/>
        <v>Weekday</v>
      </c>
      <c r="W413" s="23" t="str">
        <f>VLOOKUP($M413,Lookups!$A$5:$B$8,2,FALSE())</f>
        <v>Light snow / Light rain</v>
      </c>
      <c r="X413" s="23" t="str">
        <f>VLOOKUP($G413,Lookups!$D$5:$E$8,2,FALSE())</f>
        <v>Winter</v>
      </c>
      <c r="Y413" s="23" t="str">
        <f>VLOOKUP($L413,Lookups!$G$5:$H$11,2,FALSE())</f>
        <v>Wednesday</v>
      </c>
      <c r="Z413" s="23" t="str">
        <f>IF($J413&lt;Lookups!$B$26,"Night",IF($J413&lt;Lookups!$B$27,"Morning",IF($J413&lt;Lookups!$B$28,"Afternoon","Evening")))</f>
        <v>Night</v>
      </c>
      <c r="AA413" s="26">
        <f>ROUND($N413*(Lookups!$B$16-Lookups!$B$15)+Lookups!$B$15,1)</f>
        <v>2.2999999999999998</v>
      </c>
      <c r="AB413" s="26">
        <f>ROUND($P413*(Lookups!$B$18-Lookups!$B$17)+Lookups!$B$17,1)</f>
        <v>-1</v>
      </c>
      <c r="AC413" s="23">
        <f t="shared" si="38"/>
        <v>93</v>
      </c>
      <c r="AD413" s="23">
        <f>ROUND($R413*Lookups!$B$19,1)</f>
        <v>9</v>
      </c>
      <c r="AE413" s="27">
        <f t="shared" si="39"/>
        <v>0.5</v>
      </c>
      <c r="AF413" s="23" t="str">
        <f>IF($U413&gt;=Lookups!$B$23,"High",IF($U413&gt;=Lookups!$B$22,"Medium","Low"))</f>
        <v>Low</v>
      </c>
      <c r="AG413" s="23">
        <f>ROUND(IF($V413="Weekday",IF(INDEX(Hourly_Analysis!$D$5:$D$28,$J413+1)&gt;0,($U413-INDEX(Hourly_Analysis!$C$5:$C$28,$J413+1))/INDEX(Hourly_Analysis!$D$5:$D$28,$J413+1),0),IF(INDEX(Hourly_Analysis!$G$5:$G$28,$J413+1)&gt;0,($U413-INDEX(Hourly_Analysis!$F$5:$F$28,$J413+1))/INDEX(Hourly_Analysis!$G$5:$G$28,$J413+1),0)),2)</f>
        <v>0.31</v>
      </c>
      <c r="AH413" s="23" t="str">
        <f>IF(ABS($AG413)&gt;Lookups!$B$20,IF($AG413&gt;0,"High anomaly","Low anomaly"),"")</f>
        <v/>
      </c>
      <c r="AI413" s="23" t="str">
        <f t="shared" si="40"/>
        <v>OK</v>
      </c>
      <c r="AJ413" s="23" t="str">
        <f t="shared" si="41"/>
        <v>No</v>
      </c>
    </row>
    <row r="414" spans="1:36" x14ac:dyDescent="0.35">
      <c r="A414" s="23">
        <v>413</v>
      </c>
      <c r="B414" s="23" t="str">
        <f t="shared" si="36"/>
        <v>Merge 1+2</v>
      </c>
      <c r="C414" s="23">
        <f>IFERROR(MATCH($A414,Merge_1_2!$A$2:$A$611,0),0)</f>
        <v>413</v>
      </c>
      <c r="D414" s="23">
        <f>IF($C414&gt;0,INDEX(Merge_1_2!$Q$2:$Q$611,$C414),0)</f>
        <v>413</v>
      </c>
      <c r="E414" s="23">
        <f>IFERROR(MATCH($A414,Dataset3_Raw!$A$2:$A$391,0),0)</f>
        <v>0</v>
      </c>
      <c r="F414" s="24">
        <f>IF($C414&gt;0,INDEX(Merge_1_2!$B$2:$B$611,$C414),DATE(VALUE(RIGHT(INDEX(Dataset3_Raw!$B$2:$B$391,$E414),4)),VALUE(MID(INDEX(Dataset3_Raw!$B$2:$B$391,$E414),4,2)),VALUE(LEFT(INDEX(Dataset3_Raw!$B$2:$B$391,$E414),2))))</f>
        <v>40562</v>
      </c>
      <c r="G414" s="23">
        <f>IF($C414&gt;0,INDEX(Merge_1_2!$C$2:$C$611,$C414),INDEX(Dataset3_Raw!$C$2:$C$391,$E414))</f>
        <v>1</v>
      </c>
      <c r="H414" s="23">
        <f>IF($C414&gt;0,INDEX(Merge_1_2!$D$2:$D$611,$C414),INDEX(Dataset3_Raw!$D$2:$D$391,$E414))</f>
        <v>0</v>
      </c>
      <c r="I414" s="23">
        <f>IF($C414&gt;0,INDEX(Merge_1_2!$E$2:$E$611,$C414),INDEX(Dataset3_Raw!$E$2:$E$391,$E414))</f>
        <v>1</v>
      </c>
      <c r="J414" s="23">
        <f>IF($C414&gt;0,INDEX(Merge_1_2!$F$2:$F$611,$C414),INDEX(Dataset3_Raw!$F$2:$F$391,$E414))</f>
        <v>5</v>
      </c>
      <c r="K414" s="23" t="b">
        <f>IF($C414&gt;0,INDEX(Merge_1_2!$G$2:$G$611,$C414),INDEX(Dataset3_Raw!$G$2:$G$391,$E414))</f>
        <v>0</v>
      </c>
      <c r="L414" s="23">
        <f>IF($C414&gt;0,INDEX(Merge_1_2!$H$2:$H$611,$C414),INDEX(Dataset3_Raw!$H$2:$H$391,$E414))</f>
        <v>3</v>
      </c>
      <c r="M414" s="23">
        <f>IF($C414&gt;0,INDEX(Merge_1_2!$I$2:$I$611,$C414),INDEX(Dataset3_Raw!$I$2:$I$391,$E414))</f>
        <v>2</v>
      </c>
      <c r="N414" s="25">
        <f>IF($C414&gt;0,INDEX(Merge_1_2!$J$2:$J$611,$C414),INDEX(Dataset3_Raw!$J$2:$J$391,$E414))</f>
        <v>0.22</v>
      </c>
      <c r="O414" s="25">
        <f>IF($C414&gt;0,IF(ISNUMBER(INDEX(Merge_1_2!$K$2:$K$611,$C414)),INDEX(Merge_1_2!$K$2:$K$611,$C414),""),INDEX(Dataset3_Raw!$K$2:$K$391,$E414))</f>
        <v>0.2576</v>
      </c>
      <c r="P414" s="25">
        <f>IF(ISNUMBER($O414),$O414,ROUND(Lookups!$B$25+Lookups!$B$24*$N414,4))</f>
        <v>0.2576</v>
      </c>
      <c r="Q414" s="25">
        <f>IF($C414&gt;0,INDEX(Merge_1_2!$L$2:$L$611,$C414),INDEX(Dataset3_Raw!$L$2:$L$391,$E414))</f>
        <v>0.93</v>
      </c>
      <c r="R414" s="25">
        <f>IF($C414&gt;0,INDEX(Merge_1_2!$M$2:$M$611,$C414),INDEX(Dataset3_Raw!$M$2:$M$391,$E414))</f>
        <v>8.9599999999999999E-2</v>
      </c>
      <c r="S414" s="23">
        <f>IF($C414&gt;0,INDEX(Merge_1_2!$N$2:$N$611,$C414),INDEX(Dataset3_Raw!$N$2:$N$391,$E414))</f>
        <v>0</v>
      </c>
      <c r="T414" s="23">
        <f>IF($C414&gt;0,INDEX(Merge_1_2!$O$2:$O$611,$C414),INDEX(Dataset3_Raw!$O$2:$O$391,$E414))</f>
        <v>7</v>
      </c>
      <c r="U414" s="23">
        <f>IF($C414&gt;0,INDEX(Merge_1_2!$P$2:$P$611,$C414),INDEX(Dataset3_Raw!$P$2:$P$391,$E414))</f>
        <v>7</v>
      </c>
      <c r="V414" s="23" t="str">
        <f t="shared" si="37"/>
        <v>Weekday</v>
      </c>
      <c r="W414" s="23" t="str">
        <f>VLOOKUP($M414,Lookups!$A$5:$B$8,2,FALSE())</f>
        <v>Mist / Cloudy</v>
      </c>
      <c r="X414" s="23" t="str">
        <f>VLOOKUP($G414,Lookups!$D$5:$E$8,2,FALSE())</f>
        <v>Winter</v>
      </c>
      <c r="Y414" s="23" t="str">
        <f>VLOOKUP($L414,Lookups!$G$5:$H$11,2,FALSE())</f>
        <v>Wednesday</v>
      </c>
      <c r="Z414" s="23" t="str">
        <f>IF($J414&lt;Lookups!$B$26,"Night",IF($J414&lt;Lookups!$B$27,"Morning",IF($J414&lt;Lookups!$B$28,"Afternoon","Evening")))</f>
        <v>Night</v>
      </c>
      <c r="AA414" s="26">
        <f>ROUND($N414*(Lookups!$B$16-Lookups!$B$15)+Lookups!$B$15,1)</f>
        <v>2.2999999999999998</v>
      </c>
      <c r="AB414" s="26">
        <f>ROUND($P414*(Lookups!$B$18-Lookups!$B$17)+Lookups!$B$17,1)</f>
        <v>1</v>
      </c>
      <c r="AC414" s="23">
        <f t="shared" si="38"/>
        <v>93</v>
      </c>
      <c r="AD414" s="23">
        <f>ROUND($R414*Lookups!$B$19,1)</f>
        <v>6</v>
      </c>
      <c r="AE414" s="27">
        <f t="shared" si="39"/>
        <v>1</v>
      </c>
      <c r="AF414" s="23" t="str">
        <f>IF($U414&gt;=Lookups!$B$23,"High",IF($U414&gt;=Lookups!$B$22,"Medium","Low"))</f>
        <v>Low</v>
      </c>
      <c r="AG414" s="23">
        <f>ROUND(IF($V414="Weekday",IF(INDEX(Hourly_Analysis!$D$5:$D$28,$J414+1)&gt;0,($U414-INDEX(Hourly_Analysis!$C$5:$C$28,$J414+1))/INDEX(Hourly_Analysis!$D$5:$D$28,$J414+1),0),IF(INDEX(Hourly_Analysis!$G$5:$G$28,$J414+1)&gt;0,($U414-INDEX(Hourly_Analysis!$F$5:$F$28,$J414+1))/INDEX(Hourly_Analysis!$G$5:$G$28,$J414+1),0)),2)</f>
        <v>0.94</v>
      </c>
      <c r="AH414" s="23" t="str">
        <f>IF(ABS($AG414)&gt;Lookups!$B$20,IF($AG414&gt;0,"High anomaly","Low anomaly"),"")</f>
        <v/>
      </c>
      <c r="AI414" s="23" t="str">
        <f t="shared" si="40"/>
        <v>OK</v>
      </c>
      <c r="AJ414" s="23" t="str">
        <f t="shared" si="41"/>
        <v>No</v>
      </c>
    </row>
    <row r="415" spans="1:36" x14ac:dyDescent="0.35">
      <c r="A415" s="23">
        <v>414</v>
      </c>
      <c r="B415" s="23" t="str">
        <f t="shared" si="36"/>
        <v>Merge 1+2</v>
      </c>
      <c r="C415" s="23">
        <f>IFERROR(MATCH($A415,Merge_1_2!$A$2:$A$611,0),0)</f>
        <v>414</v>
      </c>
      <c r="D415" s="23">
        <f>IF($C415&gt;0,INDEX(Merge_1_2!$Q$2:$Q$611,$C415),0)</f>
        <v>414</v>
      </c>
      <c r="E415" s="23">
        <f>IFERROR(MATCH($A415,Dataset3_Raw!$A$2:$A$391,0),0)</f>
        <v>0</v>
      </c>
      <c r="F415" s="24">
        <f>IF($C415&gt;0,INDEX(Merge_1_2!$B$2:$B$611,$C415),DATE(VALUE(RIGHT(INDEX(Dataset3_Raw!$B$2:$B$391,$E415),4)),VALUE(MID(INDEX(Dataset3_Raw!$B$2:$B$391,$E415),4,2)),VALUE(LEFT(INDEX(Dataset3_Raw!$B$2:$B$391,$E415),2))))</f>
        <v>40562</v>
      </c>
      <c r="G415" s="23">
        <f>IF($C415&gt;0,INDEX(Merge_1_2!$C$2:$C$611,$C415),INDEX(Dataset3_Raw!$C$2:$C$391,$E415))</f>
        <v>1</v>
      </c>
      <c r="H415" s="23">
        <f>IF($C415&gt;0,INDEX(Merge_1_2!$D$2:$D$611,$C415),INDEX(Dataset3_Raw!$D$2:$D$391,$E415))</f>
        <v>0</v>
      </c>
      <c r="I415" s="23">
        <f>IF($C415&gt;0,INDEX(Merge_1_2!$E$2:$E$611,$C415),INDEX(Dataset3_Raw!$E$2:$E$391,$E415))</f>
        <v>1</v>
      </c>
      <c r="J415" s="23">
        <f>IF($C415&gt;0,INDEX(Merge_1_2!$F$2:$F$611,$C415),INDEX(Dataset3_Raw!$F$2:$F$391,$E415))</f>
        <v>6</v>
      </c>
      <c r="K415" s="23" t="b">
        <f>IF($C415&gt;0,INDEX(Merge_1_2!$G$2:$G$611,$C415),INDEX(Dataset3_Raw!$G$2:$G$391,$E415))</f>
        <v>0</v>
      </c>
      <c r="L415" s="23">
        <f>IF($C415&gt;0,INDEX(Merge_1_2!$H$2:$H$611,$C415),INDEX(Dataset3_Raw!$H$2:$H$391,$E415))</f>
        <v>3</v>
      </c>
      <c r="M415" s="23">
        <f>IF($C415&gt;0,INDEX(Merge_1_2!$I$2:$I$611,$C415),INDEX(Dataset3_Raw!$I$2:$I$391,$E415))</f>
        <v>2</v>
      </c>
      <c r="N415" s="25">
        <f>IF($C415&gt;0,INDEX(Merge_1_2!$J$2:$J$611,$C415),INDEX(Dataset3_Raw!$J$2:$J$391,$E415))</f>
        <v>0.22</v>
      </c>
      <c r="O415" s="25">
        <f>IF($C415&gt;0,IF(ISNUMBER(INDEX(Merge_1_2!$K$2:$K$611,$C415)),INDEX(Merge_1_2!$K$2:$K$611,$C415),""),INDEX(Dataset3_Raw!$K$2:$K$391,$E415))</f>
        <v>0.2576</v>
      </c>
      <c r="P415" s="25">
        <f>IF(ISNUMBER($O415),$O415,ROUND(Lookups!$B$25+Lookups!$B$24*$N415,4))</f>
        <v>0.2576</v>
      </c>
      <c r="Q415" s="25">
        <f>IF($C415&gt;0,INDEX(Merge_1_2!$L$2:$L$611,$C415),INDEX(Dataset3_Raw!$L$2:$L$391,$E415))</f>
        <v>0.93</v>
      </c>
      <c r="R415" s="25">
        <f>IF($C415&gt;0,INDEX(Merge_1_2!$M$2:$M$611,$C415),INDEX(Dataset3_Raw!$M$2:$M$391,$E415))</f>
        <v>8.9599999999999999E-2</v>
      </c>
      <c r="S415" s="23">
        <f>IF($C415&gt;0,INDEX(Merge_1_2!$N$2:$N$611,$C415),INDEX(Dataset3_Raw!$N$2:$N$391,$E415))</f>
        <v>0</v>
      </c>
      <c r="T415" s="23">
        <f>IF($C415&gt;0,INDEX(Merge_1_2!$O$2:$O$611,$C415),INDEX(Dataset3_Raw!$O$2:$O$391,$E415))</f>
        <v>32</v>
      </c>
      <c r="U415" s="23">
        <f>IF($C415&gt;0,INDEX(Merge_1_2!$P$2:$P$611,$C415),INDEX(Dataset3_Raw!$P$2:$P$391,$E415))</f>
        <v>32</v>
      </c>
      <c r="V415" s="23" t="str">
        <f t="shared" si="37"/>
        <v>Weekday</v>
      </c>
      <c r="W415" s="23" t="str">
        <f>VLOOKUP($M415,Lookups!$A$5:$B$8,2,FALSE())</f>
        <v>Mist / Cloudy</v>
      </c>
      <c r="X415" s="23" t="str">
        <f>VLOOKUP($G415,Lookups!$D$5:$E$8,2,FALSE())</f>
        <v>Winter</v>
      </c>
      <c r="Y415" s="23" t="str">
        <f>VLOOKUP($L415,Lookups!$G$5:$H$11,2,FALSE())</f>
        <v>Wednesday</v>
      </c>
      <c r="Z415" s="23" t="str">
        <f>IF($J415&lt;Lookups!$B$26,"Night",IF($J415&lt;Lookups!$B$27,"Morning",IF($J415&lt;Lookups!$B$28,"Afternoon","Evening")))</f>
        <v>Morning</v>
      </c>
      <c r="AA415" s="26">
        <f>ROUND($N415*(Lookups!$B$16-Lookups!$B$15)+Lookups!$B$15,1)</f>
        <v>2.2999999999999998</v>
      </c>
      <c r="AB415" s="26">
        <f>ROUND($P415*(Lookups!$B$18-Lookups!$B$17)+Lookups!$B$17,1)</f>
        <v>1</v>
      </c>
      <c r="AC415" s="23">
        <f t="shared" si="38"/>
        <v>93</v>
      </c>
      <c r="AD415" s="23">
        <f>ROUND($R415*Lookups!$B$19,1)</f>
        <v>6</v>
      </c>
      <c r="AE415" s="27">
        <f t="shared" si="39"/>
        <v>1</v>
      </c>
      <c r="AF415" s="23" t="str">
        <f>IF($U415&gt;=Lookups!$B$23,"High",IF($U415&gt;=Lookups!$B$22,"Medium","Low"))</f>
        <v>Medium</v>
      </c>
      <c r="AG415" s="23">
        <f>ROUND(IF($V415="Weekday",IF(INDEX(Hourly_Analysis!$D$5:$D$28,$J415+1)&gt;0,($U415-INDEX(Hourly_Analysis!$C$5:$C$28,$J415+1))/INDEX(Hourly_Analysis!$D$5:$D$28,$J415+1),0),IF(INDEX(Hourly_Analysis!$G$5:$G$28,$J415+1)&gt;0,($U415-INDEX(Hourly_Analysis!$F$5:$F$28,$J415+1))/INDEX(Hourly_Analysis!$G$5:$G$28,$J415+1),0)),2)</f>
        <v>0.44</v>
      </c>
      <c r="AH415" s="23" t="str">
        <f>IF(ABS($AG415)&gt;Lookups!$B$20,IF($AG415&gt;0,"High anomaly","Low anomaly"),"")</f>
        <v/>
      </c>
      <c r="AI415" s="23" t="str">
        <f t="shared" si="40"/>
        <v>OK</v>
      </c>
      <c r="AJ415" s="23" t="str">
        <f t="shared" si="41"/>
        <v>No</v>
      </c>
    </row>
    <row r="416" spans="1:36" x14ac:dyDescent="0.35">
      <c r="A416" s="23">
        <v>415</v>
      </c>
      <c r="B416" s="23" t="str">
        <f t="shared" si="36"/>
        <v>Merge 1+2</v>
      </c>
      <c r="C416" s="23">
        <f>IFERROR(MATCH($A416,Merge_1_2!$A$2:$A$611,0),0)</f>
        <v>415</v>
      </c>
      <c r="D416" s="23">
        <f>IF($C416&gt;0,INDEX(Merge_1_2!$Q$2:$Q$611,$C416),0)</f>
        <v>415</v>
      </c>
      <c r="E416" s="23">
        <f>IFERROR(MATCH($A416,Dataset3_Raw!$A$2:$A$391,0),0)</f>
        <v>0</v>
      </c>
      <c r="F416" s="24">
        <f>IF($C416&gt;0,INDEX(Merge_1_2!$B$2:$B$611,$C416),DATE(VALUE(RIGHT(INDEX(Dataset3_Raw!$B$2:$B$391,$E416),4)),VALUE(MID(INDEX(Dataset3_Raw!$B$2:$B$391,$E416),4,2)),VALUE(LEFT(INDEX(Dataset3_Raw!$B$2:$B$391,$E416),2))))</f>
        <v>40562</v>
      </c>
      <c r="G416" s="23">
        <f>IF($C416&gt;0,INDEX(Merge_1_2!$C$2:$C$611,$C416),INDEX(Dataset3_Raw!$C$2:$C$391,$E416))</f>
        <v>1</v>
      </c>
      <c r="H416" s="23">
        <f>IF($C416&gt;0,INDEX(Merge_1_2!$D$2:$D$611,$C416),INDEX(Dataset3_Raw!$D$2:$D$391,$E416))</f>
        <v>0</v>
      </c>
      <c r="I416" s="23">
        <f>IF($C416&gt;0,INDEX(Merge_1_2!$E$2:$E$611,$C416),INDEX(Dataset3_Raw!$E$2:$E$391,$E416))</f>
        <v>1</v>
      </c>
      <c r="J416" s="23">
        <f>IF($C416&gt;0,INDEX(Merge_1_2!$F$2:$F$611,$C416),INDEX(Dataset3_Raw!$F$2:$F$391,$E416))</f>
        <v>7</v>
      </c>
      <c r="K416" s="23" t="b">
        <f>IF($C416&gt;0,INDEX(Merge_1_2!$G$2:$G$611,$C416),INDEX(Dataset3_Raw!$G$2:$G$391,$E416))</f>
        <v>0</v>
      </c>
      <c r="L416" s="23">
        <f>IF($C416&gt;0,INDEX(Merge_1_2!$H$2:$H$611,$C416),INDEX(Dataset3_Raw!$H$2:$H$391,$E416))</f>
        <v>3</v>
      </c>
      <c r="M416" s="23">
        <f>IF($C416&gt;0,INDEX(Merge_1_2!$I$2:$I$611,$C416),INDEX(Dataset3_Raw!$I$2:$I$391,$E416))</f>
        <v>2</v>
      </c>
      <c r="N416" s="25">
        <f>IF($C416&gt;0,INDEX(Merge_1_2!$J$2:$J$611,$C416),INDEX(Dataset3_Raw!$J$2:$J$391,$E416))</f>
        <v>0.24</v>
      </c>
      <c r="O416" s="25">
        <f>IF($C416&gt;0,IF(ISNUMBER(INDEX(Merge_1_2!$K$2:$K$611,$C416)),INDEX(Merge_1_2!$K$2:$K$611,$C416),""),INDEX(Dataset3_Raw!$K$2:$K$391,$E416))</f>
        <v>0.2576</v>
      </c>
      <c r="P416" s="25">
        <f>IF(ISNUMBER($O416),$O416,ROUND(Lookups!$B$25+Lookups!$B$24*$N416,4))</f>
        <v>0.2576</v>
      </c>
      <c r="Q416" s="25">
        <f>IF($C416&gt;0,INDEX(Merge_1_2!$L$2:$L$611,$C416),INDEX(Dataset3_Raw!$L$2:$L$391,$E416))</f>
        <v>0.92</v>
      </c>
      <c r="R416" s="25">
        <f>IF($C416&gt;0,INDEX(Merge_1_2!$M$2:$M$611,$C416),INDEX(Dataset3_Raw!$M$2:$M$391,$E416))</f>
        <v>0.1045</v>
      </c>
      <c r="S416" s="23">
        <f>IF($C416&gt;0,INDEX(Merge_1_2!$N$2:$N$611,$C416),INDEX(Dataset3_Raw!$N$2:$N$391,$E416))</f>
        <v>1</v>
      </c>
      <c r="T416" s="23">
        <f>IF($C416&gt;0,INDEX(Merge_1_2!$O$2:$O$611,$C416),INDEX(Dataset3_Raw!$O$2:$O$391,$E416))</f>
        <v>89</v>
      </c>
      <c r="U416" s="23">
        <f>IF($C416&gt;0,INDEX(Merge_1_2!$P$2:$P$611,$C416),INDEX(Dataset3_Raw!$P$2:$P$391,$E416))</f>
        <v>90</v>
      </c>
      <c r="V416" s="23" t="str">
        <f t="shared" si="37"/>
        <v>Weekday</v>
      </c>
      <c r="W416" s="23" t="str">
        <f>VLOOKUP($M416,Lookups!$A$5:$B$8,2,FALSE())</f>
        <v>Mist / Cloudy</v>
      </c>
      <c r="X416" s="23" t="str">
        <f>VLOOKUP($G416,Lookups!$D$5:$E$8,2,FALSE())</f>
        <v>Winter</v>
      </c>
      <c r="Y416" s="23" t="str">
        <f>VLOOKUP($L416,Lookups!$G$5:$H$11,2,FALSE())</f>
        <v>Wednesday</v>
      </c>
      <c r="Z416" s="23" t="str">
        <f>IF($J416&lt;Lookups!$B$26,"Night",IF($J416&lt;Lookups!$B$27,"Morning",IF($J416&lt;Lookups!$B$28,"Afternoon","Evening")))</f>
        <v>Morning</v>
      </c>
      <c r="AA416" s="26">
        <f>ROUND($N416*(Lookups!$B$16-Lookups!$B$15)+Lookups!$B$15,1)</f>
        <v>3.3</v>
      </c>
      <c r="AB416" s="26">
        <f>ROUND($P416*(Lookups!$B$18-Lookups!$B$17)+Lookups!$B$17,1)</f>
        <v>1</v>
      </c>
      <c r="AC416" s="23">
        <f t="shared" si="38"/>
        <v>92</v>
      </c>
      <c r="AD416" s="23">
        <f>ROUND($R416*Lookups!$B$19,1)</f>
        <v>7</v>
      </c>
      <c r="AE416" s="27">
        <f t="shared" si="39"/>
        <v>0.98888888888888893</v>
      </c>
      <c r="AF416" s="23" t="str">
        <f>IF($U416&gt;=Lookups!$B$23,"High",IF($U416&gt;=Lookups!$B$22,"Medium","Low"))</f>
        <v>High</v>
      </c>
      <c r="AG416" s="23">
        <f>ROUND(IF($V416="Weekday",IF(INDEX(Hourly_Analysis!$D$5:$D$28,$J416+1)&gt;0,($U416-INDEX(Hourly_Analysis!$C$5:$C$28,$J416+1))/INDEX(Hourly_Analysis!$D$5:$D$28,$J416+1),0),IF(INDEX(Hourly_Analysis!$G$5:$G$28,$J416+1)&gt;0,($U416-INDEX(Hourly_Analysis!$F$5:$F$28,$J416+1))/INDEX(Hourly_Analysis!$G$5:$G$28,$J416+1),0)),2)</f>
        <v>0.5</v>
      </c>
      <c r="AH416" s="23" t="str">
        <f>IF(ABS($AG416)&gt;Lookups!$B$20,IF($AG416&gt;0,"High anomaly","Low anomaly"),"")</f>
        <v/>
      </c>
      <c r="AI416" s="23" t="str">
        <f t="shared" si="40"/>
        <v>OK</v>
      </c>
      <c r="AJ416" s="23" t="str">
        <f t="shared" si="41"/>
        <v>No</v>
      </c>
    </row>
    <row r="417" spans="1:36" x14ac:dyDescent="0.35">
      <c r="A417" s="23">
        <v>416</v>
      </c>
      <c r="B417" s="23" t="str">
        <f t="shared" si="36"/>
        <v>Merge 1+2</v>
      </c>
      <c r="C417" s="23">
        <f>IFERROR(MATCH($A417,Merge_1_2!$A$2:$A$611,0),0)</f>
        <v>416</v>
      </c>
      <c r="D417" s="23">
        <f>IF($C417&gt;0,INDEX(Merge_1_2!$Q$2:$Q$611,$C417),0)</f>
        <v>416</v>
      </c>
      <c r="E417" s="23">
        <f>IFERROR(MATCH($A417,Dataset3_Raw!$A$2:$A$391,0),0)</f>
        <v>0</v>
      </c>
      <c r="F417" s="24">
        <f>IF($C417&gt;0,INDEX(Merge_1_2!$B$2:$B$611,$C417),DATE(VALUE(RIGHT(INDEX(Dataset3_Raw!$B$2:$B$391,$E417),4)),VALUE(MID(INDEX(Dataset3_Raw!$B$2:$B$391,$E417),4,2)),VALUE(LEFT(INDEX(Dataset3_Raw!$B$2:$B$391,$E417),2))))</f>
        <v>40562</v>
      </c>
      <c r="G417" s="23">
        <f>IF($C417&gt;0,INDEX(Merge_1_2!$C$2:$C$611,$C417),INDEX(Dataset3_Raw!$C$2:$C$391,$E417))</f>
        <v>1</v>
      </c>
      <c r="H417" s="23">
        <f>IF($C417&gt;0,INDEX(Merge_1_2!$D$2:$D$611,$C417),INDEX(Dataset3_Raw!$D$2:$D$391,$E417))</f>
        <v>0</v>
      </c>
      <c r="I417" s="23">
        <f>IF($C417&gt;0,INDEX(Merge_1_2!$E$2:$E$611,$C417),INDEX(Dataset3_Raw!$E$2:$E$391,$E417))</f>
        <v>1</v>
      </c>
      <c r="J417" s="23">
        <f>IF($C417&gt;0,INDEX(Merge_1_2!$F$2:$F$611,$C417),INDEX(Dataset3_Raw!$F$2:$F$391,$E417))</f>
        <v>8</v>
      </c>
      <c r="K417" s="23" t="b">
        <f>IF($C417&gt;0,INDEX(Merge_1_2!$G$2:$G$611,$C417),INDEX(Dataset3_Raw!$G$2:$G$391,$E417))</f>
        <v>0</v>
      </c>
      <c r="L417" s="23">
        <f>IF($C417&gt;0,INDEX(Merge_1_2!$H$2:$H$611,$C417),INDEX(Dataset3_Raw!$H$2:$H$391,$E417))</f>
        <v>3</v>
      </c>
      <c r="M417" s="23">
        <f>IF($C417&gt;0,INDEX(Merge_1_2!$I$2:$I$611,$C417),INDEX(Dataset3_Raw!$I$2:$I$391,$E417))</f>
        <v>2</v>
      </c>
      <c r="N417" s="25">
        <f>IF($C417&gt;0,INDEX(Merge_1_2!$J$2:$J$611,$C417),INDEX(Dataset3_Raw!$J$2:$J$391,$E417))</f>
        <v>0.24</v>
      </c>
      <c r="O417" s="25">
        <f>IF($C417&gt;0,IF(ISNUMBER(INDEX(Merge_1_2!$K$2:$K$611,$C417)),INDEX(Merge_1_2!$K$2:$K$611,$C417),""),INDEX(Dataset3_Raw!$K$2:$K$391,$E417))</f>
        <v>0.2576</v>
      </c>
      <c r="P417" s="25">
        <f>IF(ISNUMBER($O417),$O417,ROUND(Lookups!$B$25+Lookups!$B$24*$N417,4))</f>
        <v>0.2576</v>
      </c>
      <c r="Q417" s="25">
        <f>IF($C417&gt;0,INDEX(Merge_1_2!$L$2:$L$611,$C417),INDEX(Dataset3_Raw!$L$2:$L$391,$E417))</f>
        <v>0.93</v>
      </c>
      <c r="R417" s="25">
        <f>IF($C417&gt;0,INDEX(Merge_1_2!$M$2:$M$611,$C417),INDEX(Dataset3_Raw!$M$2:$M$391,$E417))</f>
        <v>0.1045</v>
      </c>
      <c r="S417" s="23">
        <f>IF($C417&gt;0,INDEX(Merge_1_2!$N$2:$N$611,$C417),INDEX(Dataset3_Raw!$N$2:$N$391,$E417))</f>
        <v>1</v>
      </c>
      <c r="T417" s="23">
        <f>IF($C417&gt;0,INDEX(Merge_1_2!$O$2:$O$611,$C417),INDEX(Dataset3_Raw!$O$2:$O$391,$E417))</f>
        <v>196</v>
      </c>
      <c r="U417" s="23">
        <f>IF($C417&gt;0,INDEX(Merge_1_2!$P$2:$P$611,$C417),INDEX(Dataset3_Raw!$P$2:$P$391,$E417))</f>
        <v>197</v>
      </c>
      <c r="V417" s="23" t="str">
        <f t="shared" si="37"/>
        <v>Weekday</v>
      </c>
      <c r="W417" s="23" t="str">
        <f>VLOOKUP($M417,Lookups!$A$5:$B$8,2,FALSE())</f>
        <v>Mist / Cloudy</v>
      </c>
      <c r="X417" s="23" t="str">
        <f>VLOOKUP($G417,Lookups!$D$5:$E$8,2,FALSE())</f>
        <v>Winter</v>
      </c>
      <c r="Y417" s="23" t="str">
        <f>VLOOKUP($L417,Lookups!$G$5:$H$11,2,FALSE())</f>
        <v>Wednesday</v>
      </c>
      <c r="Z417" s="23" t="str">
        <f>IF($J417&lt;Lookups!$B$26,"Night",IF($J417&lt;Lookups!$B$27,"Morning",IF($J417&lt;Lookups!$B$28,"Afternoon","Evening")))</f>
        <v>Morning</v>
      </c>
      <c r="AA417" s="26">
        <f>ROUND($N417*(Lookups!$B$16-Lookups!$B$15)+Lookups!$B$15,1)</f>
        <v>3.3</v>
      </c>
      <c r="AB417" s="26">
        <f>ROUND($P417*(Lookups!$B$18-Lookups!$B$17)+Lookups!$B$17,1)</f>
        <v>1</v>
      </c>
      <c r="AC417" s="23">
        <f t="shared" si="38"/>
        <v>93</v>
      </c>
      <c r="AD417" s="23">
        <f>ROUND($R417*Lookups!$B$19,1)</f>
        <v>7</v>
      </c>
      <c r="AE417" s="27">
        <f t="shared" si="39"/>
        <v>0.99492385786802029</v>
      </c>
      <c r="AF417" s="23" t="str">
        <f>IF($U417&gt;=Lookups!$B$23,"High",IF($U417&gt;=Lookups!$B$22,"Medium","Low"))</f>
        <v>High</v>
      </c>
      <c r="AG417" s="23">
        <f>ROUND(IF($V417="Weekday",IF(INDEX(Hourly_Analysis!$D$5:$D$28,$J417+1)&gt;0,($U417-INDEX(Hourly_Analysis!$C$5:$C$28,$J417+1))/INDEX(Hourly_Analysis!$D$5:$D$28,$J417+1),0),IF(INDEX(Hourly_Analysis!$G$5:$G$28,$J417+1)&gt;0,($U417-INDEX(Hourly_Analysis!$F$5:$F$28,$J417+1))/INDEX(Hourly_Analysis!$G$5:$G$28,$J417+1),0)),2)</f>
        <v>0.2</v>
      </c>
      <c r="AH417" s="23" t="str">
        <f>IF(ABS($AG417)&gt;Lookups!$B$20,IF($AG417&gt;0,"High anomaly","Low anomaly"),"")</f>
        <v/>
      </c>
      <c r="AI417" s="23" t="str">
        <f t="shared" si="40"/>
        <v>OK</v>
      </c>
      <c r="AJ417" s="23" t="str">
        <f t="shared" si="41"/>
        <v>No</v>
      </c>
    </row>
    <row r="418" spans="1:36" x14ac:dyDescent="0.35">
      <c r="A418" s="23">
        <v>417</v>
      </c>
      <c r="B418" s="23" t="str">
        <f t="shared" si="36"/>
        <v>Merge 1+2</v>
      </c>
      <c r="C418" s="23">
        <f>IFERROR(MATCH($A418,Merge_1_2!$A$2:$A$611,0),0)</f>
        <v>417</v>
      </c>
      <c r="D418" s="23">
        <f>IF($C418&gt;0,INDEX(Merge_1_2!$Q$2:$Q$611,$C418),0)</f>
        <v>417</v>
      </c>
      <c r="E418" s="23">
        <f>IFERROR(MATCH($A418,Dataset3_Raw!$A$2:$A$391,0),0)</f>
        <v>0</v>
      </c>
      <c r="F418" s="24">
        <f>IF($C418&gt;0,INDEX(Merge_1_2!$B$2:$B$611,$C418),DATE(VALUE(RIGHT(INDEX(Dataset3_Raw!$B$2:$B$391,$E418),4)),VALUE(MID(INDEX(Dataset3_Raw!$B$2:$B$391,$E418),4,2)),VALUE(LEFT(INDEX(Dataset3_Raw!$B$2:$B$391,$E418),2))))</f>
        <v>40562</v>
      </c>
      <c r="G418" s="23">
        <f>IF($C418&gt;0,INDEX(Merge_1_2!$C$2:$C$611,$C418),INDEX(Dataset3_Raw!$C$2:$C$391,$E418))</f>
        <v>1</v>
      </c>
      <c r="H418" s="23">
        <f>IF($C418&gt;0,INDEX(Merge_1_2!$D$2:$D$611,$C418),INDEX(Dataset3_Raw!$D$2:$D$391,$E418))</f>
        <v>0</v>
      </c>
      <c r="I418" s="23">
        <f>IF($C418&gt;0,INDEX(Merge_1_2!$E$2:$E$611,$C418),INDEX(Dataset3_Raw!$E$2:$E$391,$E418))</f>
        <v>1</v>
      </c>
      <c r="J418" s="23">
        <f>IF($C418&gt;0,INDEX(Merge_1_2!$F$2:$F$611,$C418),INDEX(Dataset3_Raw!$F$2:$F$391,$E418))</f>
        <v>9</v>
      </c>
      <c r="K418" s="23" t="b">
        <f>IF($C418&gt;0,INDEX(Merge_1_2!$G$2:$G$611,$C418),INDEX(Dataset3_Raw!$G$2:$G$391,$E418))</f>
        <v>0</v>
      </c>
      <c r="L418" s="23">
        <f>IF($C418&gt;0,INDEX(Merge_1_2!$H$2:$H$611,$C418),INDEX(Dataset3_Raw!$H$2:$H$391,$E418))</f>
        <v>3</v>
      </c>
      <c r="M418" s="23">
        <f>IF($C418&gt;0,INDEX(Merge_1_2!$I$2:$I$611,$C418),INDEX(Dataset3_Raw!$I$2:$I$391,$E418))</f>
        <v>2</v>
      </c>
      <c r="N418" s="25">
        <f>IF($C418&gt;0,INDEX(Merge_1_2!$J$2:$J$611,$C418),INDEX(Dataset3_Raw!$J$2:$J$391,$E418))</f>
        <v>0.24</v>
      </c>
      <c r="O418" s="25">
        <f>IF($C418&gt;0,IF(ISNUMBER(INDEX(Merge_1_2!$K$2:$K$611,$C418)),INDEX(Merge_1_2!$K$2:$K$611,$C418),""),INDEX(Dataset3_Raw!$K$2:$K$391,$E418))</f>
        <v>0.2576</v>
      </c>
      <c r="P418" s="25">
        <f>IF(ISNUMBER($O418),$O418,ROUND(Lookups!$B$25+Lookups!$B$24*$N418,4))</f>
        <v>0.2576</v>
      </c>
      <c r="Q418" s="25">
        <f>IF($C418&gt;0,INDEX(Merge_1_2!$L$2:$L$611,$C418),INDEX(Dataset3_Raw!$L$2:$L$391,$E418))</f>
        <v>0.93</v>
      </c>
      <c r="R418" s="25">
        <f>IF($C418&gt;0,INDEX(Merge_1_2!$M$2:$M$611,$C418),INDEX(Dataset3_Raw!$M$2:$M$391,$E418))</f>
        <v>0.1045</v>
      </c>
      <c r="S418" s="23">
        <f>IF($C418&gt;0,INDEX(Merge_1_2!$N$2:$N$611,$C418),INDEX(Dataset3_Raw!$N$2:$N$391,$E418))</f>
        <v>2</v>
      </c>
      <c r="T418" s="23">
        <f>IF($C418&gt;0,INDEX(Merge_1_2!$O$2:$O$611,$C418),INDEX(Dataset3_Raw!$O$2:$O$391,$E418))</f>
        <v>107</v>
      </c>
      <c r="U418" s="23">
        <f>IF($C418&gt;0,INDEX(Merge_1_2!$P$2:$P$611,$C418),INDEX(Dataset3_Raw!$P$2:$P$391,$E418))</f>
        <v>109</v>
      </c>
      <c r="V418" s="23" t="str">
        <f t="shared" si="37"/>
        <v>Weekday</v>
      </c>
      <c r="W418" s="23" t="str">
        <f>VLOOKUP($M418,Lookups!$A$5:$B$8,2,FALSE())</f>
        <v>Mist / Cloudy</v>
      </c>
      <c r="X418" s="23" t="str">
        <f>VLOOKUP($G418,Lookups!$D$5:$E$8,2,FALSE())</f>
        <v>Winter</v>
      </c>
      <c r="Y418" s="23" t="str">
        <f>VLOOKUP($L418,Lookups!$G$5:$H$11,2,FALSE())</f>
        <v>Wednesday</v>
      </c>
      <c r="Z418" s="23" t="str">
        <f>IF($J418&lt;Lookups!$B$26,"Night",IF($J418&lt;Lookups!$B$27,"Morning",IF($J418&lt;Lookups!$B$28,"Afternoon","Evening")))</f>
        <v>Morning</v>
      </c>
      <c r="AA418" s="26">
        <f>ROUND($N418*(Lookups!$B$16-Lookups!$B$15)+Lookups!$B$15,1)</f>
        <v>3.3</v>
      </c>
      <c r="AB418" s="26">
        <f>ROUND($P418*(Lookups!$B$18-Lookups!$B$17)+Lookups!$B$17,1)</f>
        <v>1</v>
      </c>
      <c r="AC418" s="23">
        <f t="shared" si="38"/>
        <v>93</v>
      </c>
      <c r="AD418" s="23">
        <f>ROUND($R418*Lookups!$B$19,1)</f>
        <v>7</v>
      </c>
      <c r="AE418" s="27">
        <f t="shared" si="39"/>
        <v>0.98165137614678899</v>
      </c>
      <c r="AF418" s="23" t="str">
        <f>IF($U418&gt;=Lookups!$B$23,"High",IF($U418&gt;=Lookups!$B$22,"Medium","Low"))</f>
        <v>High</v>
      </c>
      <c r="AG418" s="23">
        <f>ROUND(IF($V418="Weekday",IF(INDEX(Hourly_Analysis!$D$5:$D$28,$J418+1)&gt;0,($U418-INDEX(Hourly_Analysis!$C$5:$C$28,$J418+1))/INDEX(Hourly_Analysis!$D$5:$D$28,$J418+1),0),IF(INDEX(Hourly_Analysis!$G$5:$G$28,$J418+1)&gt;0,($U418-INDEX(Hourly_Analysis!$F$5:$F$28,$J418+1))/INDEX(Hourly_Analysis!$G$5:$G$28,$J418+1),0)),2)</f>
        <v>-0.41</v>
      </c>
      <c r="AH418" s="23" t="str">
        <f>IF(ABS($AG418)&gt;Lookups!$B$20,IF($AG418&gt;0,"High anomaly","Low anomaly"),"")</f>
        <v/>
      </c>
      <c r="AI418" s="23" t="str">
        <f t="shared" si="40"/>
        <v>OK</v>
      </c>
      <c r="AJ418" s="23" t="str">
        <f t="shared" si="41"/>
        <v>No</v>
      </c>
    </row>
    <row r="419" spans="1:36" x14ac:dyDescent="0.35">
      <c r="A419" s="23">
        <v>418</v>
      </c>
      <c r="B419" s="23" t="str">
        <f t="shared" si="36"/>
        <v>Merge 1+2</v>
      </c>
      <c r="C419" s="23">
        <f>IFERROR(MATCH($A419,Merge_1_2!$A$2:$A$611,0),0)</f>
        <v>418</v>
      </c>
      <c r="D419" s="23">
        <f>IF($C419&gt;0,INDEX(Merge_1_2!$Q$2:$Q$611,$C419),0)</f>
        <v>418</v>
      </c>
      <c r="E419" s="23">
        <f>IFERROR(MATCH($A419,Dataset3_Raw!$A$2:$A$391,0),0)</f>
        <v>0</v>
      </c>
      <c r="F419" s="24">
        <f>IF($C419&gt;0,INDEX(Merge_1_2!$B$2:$B$611,$C419),DATE(VALUE(RIGHT(INDEX(Dataset3_Raw!$B$2:$B$391,$E419),4)),VALUE(MID(INDEX(Dataset3_Raw!$B$2:$B$391,$E419),4,2)),VALUE(LEFT(INDEX(Dataset3_Raw!$B$2:$B$391,$E419),2))))</f>
        <v>40562</v>
      </c>
      <c r="G419" s="23">
        <f>IF($C419&gt;0,INDEX(Merge_1_2!$C$2:$C$611,$C419),INDEX(Dataset3_Raw!$C$2:$C$391,$E419))</f>
        <v>1</v>
      </c>
      <c r="H419" s="23">
        <f>IF($C419&gt;0,INDEX(Merge_1_2!$D$2:$D$611,$C419),INDEX(Dataset3_Raw!$D$2:$D$391,$E419))</f>
        <v>0</v>
      </c>
      <c r="I419" s="23">
        <f>IF($C419&gt;0,INDEX(Merge_1_2!$E$2:$E$611,$C419),INDEX(Dataset3_Raw!$E$2:$E$391,$E419))</f>
        <v>1</v>
      </c>
      <c r="J419" s="23">
        <f>IF($C419&gt;0,INDEX(Merge_1_2!$F$2:$F$611,$C419),INDEX(Dataset3_Raw!$F$2:$F$391,$E419))</f>
        <v>10</v>
      </c>
      <c r="K419" s="23" t="b">
        <f>IF($C419&gt;0,INDEX(Merge_1_2!$G$2:$G$611,$C419),INDEX(Dataset3_Raw!$G$2:$G$391,$E419))</f>
        <v>0</v>
      </c>
      <c r="L419" s="23">
        <f>IF($C419&gt;0,INDEX(Merge_1_2!$H$2:$H$611,$C419),INDEX(Dataset3_Raw!$H$2:$H$391,$E419))</f>
        <v>3</v>
      </c>
      <c r="M419" s="23">
        <f>IF($C419&gt;0,INDEX(Merge_1_2!$I$2:$I$611,$C419),INDEX(Dataset3_Raw!$I$2:$I$391,$E419))</f>
        <v>2</v>
      </c>
      <c r="N419" s="25">
        <f>IF($C419&gt;0,INDEX(Merge_1_2!$J$2:$J$611,$C419),INDEX(Dataset3_Raw!$J$2:$J$391,$E419))</f>
        <v>0.26</v>
      </c>
      <c r="O419" s="25">
        <f>IF($C419&gt;0,IF(ISNUMBER(INDEX(Merge_1_2!$K$2:$K$611,$C419)),INDEX(Merge_1_2!$K$2:$K$611,$C419),""),INDEX(Dataset3_Raw!$K$2:$K$391,$E419))</f>
        <v>0.2727</v>
      </c>
      <c r="P419" s="25">
        <f>IF(ISNUMBER($O419),$O419,ROUND(Lookups!$B$25+Lookups!$B$24*$N419,4))</f>
        <v>0.2727</v>
      </c>
      <c r="Q419" s="25">
        <f>IF($C419&gt;0,INDEX(Merge_1_2!$L$2:$L$611,$C419),INDEX(Dataset3_Raw!$L$2:$L$391,$E419))</f>
        <v>0.93</v>
      </c>
      <c r="R419" s="25">
        <f>IF($C419&gt;0,INDEX(Merge_1_2!$M$2:$M$611,$C419),INDEX(Dataset3_Raw!$M$2:$M$391,$E419))</f>
        <v>0.1343</v>
      </c>
      <c r="S419" s="23">
        <f>IF($C419&gt;0,INDEX(Merge_1_2!$N$2:$N$611,$C419),INDEX(Dataset3_Raw!$N$2:$N$391,$E419))</f>
        <v>1</v>
      </c>
      <c r="T419" s="23">
        <f>IF($C419&gt;0,INDEX(Merge_1_2!$O$2:$O$611,$C419),INDEX(Dataset3_Raw!$O$2:$O$391,$E419))</f>
        <v>46</v>
      </c>
      <c r="U419" s="23">
        <f>IF($C419&gt;0,INDEX(Merge_1_2!$P$2:$P$611,$C419),INDEX(Dataset3_Raw!$P$2:$P$391,$E419))</f>
        <v>47</v>
      </c>
      <c r="V419" s="23" t="str">
        <f t="shared" si="37"/>
        <v>Weekday</v>
      </c>
      <c r="W419" s="23" t="str">
        <f>VLOOKUP($M419,Lookups!$A$5:$B$8,2,FALSE())</f>
        <v>Mist / Cloudy</v>
      </c>
      <c r="X419" s="23" t="str">
        <f>VLOOKUP($G419,Lookups!$D$5:$E$8,2,FALSE())</f>
        <v>Winter</v>
      </c>
      <c r="Y419" s="23" t="str">
        <f>VLOOKUP($L419,Lookups!$G$5:$H$11,2,FALSE())</f>
        <v>Wednesday</v>
      </c>
      <c r="Z419" s="23" t="str">
        <f>IF($J419&lt;Lookups!$B$26,"Night",IF($J419&lt;Lookups!$B$27,"Morning",IF($J419&lt;Lookups!$B$28,"Afternoon","Evening")))</f>
        <v>Morning</v>
      </c>
      <c r="AA419" s="26">
        <f>ROUND($N419*(Lookups!$B$16-Lookups!$B$15)+Lookups!$B$15,1)</f>
        <v>4.2</v>
      </c>
      <c r="AB419" s="26">
        <f>ROUND($P419*(Lookups!$B$18-Lookups!$B$17)+Lookups!$B$17,1)</f>
        <v>2</v>
      </c>
      <c r="AC419" s="23">
        <f t="shared" si="38"/>
        <v>93</v>
      </c>
      <c r="AD419" s="23">
        <f>ROUND($R419*Lookups!$B$19,1)</f>
        <v>9</v>
      </c>
      <c r="AE419" s="27">
        <f t="shared" si="39"/>
        <v>0.97872340425531912</v>
      </c>
      <c r="AF419" s="23" t="str">
        <f>IF($U419&gt;=Lookups!$B$23,"High",IF($U419&gt;=Lookups!$B$22,"Medium","Low"))</f>
        <v>Medium</v>
      </c>
      <c r="AG419" s="23">
        <f>ROUND(IF($V419="Weekday",IF(INDEX(Hourly_Analysis!$D$5:$D$28,$J419+1)&gt;0,($U419-INDEX(Hourly_Analysis!$C$5:$C$28,$J419+1))/INDEX(Hourly_Analysis!$D$5:$D$28,$J419+1),0),IF(INDEX(Hourly_Analysis!$G$5:$G$28,$J419+1)&gt;0,($U419-INDEX(Hourly_Analysis!$F$5:$F$28,$J419+1))/INDEX(Hourly_Analysis!$G$5:$G$28,$J419+1),0)),2)</f>
        <v>-0.17</v>
      </c>
      <c r="AH419" s="23" t="str">
        <f>IF(ABS($AG419)&gt;Lookups!$B$20,IF($AG419&gt;0,"High anomaly","Low anomaly"),"")</f>
        <v/>
      </c>
      <c r="AI419" s="23" t="str">
        <f t="shared" si="40"/>
        <v>OK</v>
      </c>
      <c r="AJ419" s="23" t="str">
        <f t="shared" si="41"/>
        <v>No</v>
      </c>
    </row>
    <row r="420" spans="1:36" x14ac:dyDescent="0.35">
      <c r="A420" s="23">
        <v>419</v>
      </c>
      <c r="B420" s="23" t="str">
        <f t="shared" si="36"/>
        <v>Merge 1+2</v>
      </c>
      <c r="C420" s="23">
        <f>IFERROR(MATCH($A420,Merge_1_2!$A$2:$A$611,0),0)</f>
        <v>419</v>
      </c>
      <c r="D420" s="23">
        <f>IF($C420&gt;0,INDEX(Merge_1_2!$Q$2:$Q$611,$C420),0)</f>
        <v>419</v>
      </c>
      <c r="E420" s="23">
        <f>IFERROR(MATCH($A420,Dataset3_Raw!$A$2:$A$391,0),0)</f>
        <v>0</v>
      </c>
      <c r="F420" s="24">
        <f>IF($C420&gt;0,INDEX(Merge_1_2!$B$2:$B$611,$C420),DATE(VALUE(RIGHT(INDEX(Dataset3_Raw!$B$2:$B$391,$E420),4)),VALUE(MID(INDEX(Dataset3_Raw!$B$2:$B$391,$E420),4,2)),VALUE(LEFT(INDEX(Dataset3_Raw!$B$2:$B$391,$E420),2))))</f>
        <v>40562</v>
      </c>
      <c r="G420" s="23">
        <f>IF($C420&gt;0,INDEX(Merge_1_2!$C$2:$C$611,$C420),INDEX(Dataset3_Raw!$C$2:$C$391,$E420))</f>
        <v>1</v>
      </c>
      <c r="H420" s="23">
        <f>IF($C420&gt;0,INDEX(Merge_1_2!$D$2:$D$611,$C420),INDEX(Dataset3_Raw!$D$2:$D$391,$E420))</f>
        <v>0</v>
      </c>
      <c r="I420" s="23">
        <f>IF($C420&gt;0,INDEX(Merge_1_2!$E$2:$E$611,$C420),INDEX(Dataset3_Raw!$E$2:$E$391,$E420))</f>
        <v>1</v>
      </c>
      <c r="J420" s="23">
        <f>IF($C420&gt;0,INDEX(Merge_1_2!$F$2:$F$611,$C420),INDEX(Dataset3_Raw!$F$2:$F$391,$E420))</f>
        <v>11</v>
      </c>
      <c r="K420" s="23" t="b">
        <f>IF($C420&gt;0,INDEX(Merge_1_2!$G$2:$G$611,$C420),INDEX(Dataset3_Raw!$G$2:$G$391,$E420))</f>
        <v>0</v>
      </c>
      <c r="L420" s="23">
        <f>IF($C420&gt;0,INDEX(Merge_1_2!$H$2:$H$611,$C420),INDEX(Dataset3_Raw!$H$2:$H$391,$E420))</f>
        <v>3</v>
      </c>
      <c r="M420" s="23">
        <f>IF($C420&gt;0,INDEX(Merge_1_2!$I$2:$I$611,$C420),INDEX(Dataset3_Raw!$I$2:$I$391,$E420))</f>
        <v>2</v>
      </c>
      <c r="N420" s="25">
        <f>IF($C420&gt;0,INDEX(Merge_1_2!$J$2:$J$611,$C420),INDEX(Dataset3_Raw!$J$2:$J$391,$E420))</f>
        <v>0.28000000000000003</v>
      </c>
      <c r="O420" s="25">
        <f>IF($C420&gt;0,IF(ISNUMBER(INDEX(Merge_1_2!$K$2:$K$611,$C420)),INDEX(Merge_1_2!$K$2:$K$611,$C420),""),INDEX(Dataset3_Raw!$K$2:$K$391,$E420))</f>
        <v>0.30299999999999999</v>
      </c>
      <c r="P420" s="25">
        <f>IF(ISNUMBER($O420),$O420,ROUND(Lookups!$B$25+Lookups!$B$24*$N420,4))</f>
        <v>0.30299999999999999</v>
      </c>
      <c r="Q420" s="25">
        <f>IF($C420&gt;0,INDEX(Merge_1_2!$L$2:$L$611,$C420),INDEX(Dataset3_Raw!$L$2:$L$391,$E420))</f>
        <v>0.87</v>
      </c>
      <c r="R420" s="25">
        <f>IF($C420&gt;0,INDEX(Merge_1_2!$M$2:$M$611,$C420),INDEX(Dataset3_Raw!$M$2:$M$391,$E420))</f>
        <v>8.9599999999999999E-2</v>
      </c>
      <c r="S420" s="23">
        <f>IF($C420&gt;0,INDEX(Merge_1_2!$N$2:$N$611,$C420),INDEX(Dataset3_Raw!$N$2:$N$391,$E420))</f>
        <v>5</v>
      </c>
      <c r="T420" s="23">
        <f>IF($C420&gt;0,INDEX(Merge_1_2!$O$2:$O$611,$C420),INDEX(Dataset3_Raw!$O$2:$O$391,$E420))</f>
        <v>47</v>
      </c>
      <c r="U420" s="23">
        <f>IF($C420&gt;0,INDEX(Merge_1_2!$P$2:$P$611,$C420),INDEX(Dataset3_Raw!$P$2:$P$391,$E420))</f>
        <v>52</v>
      </c>
      <c r="V420" s="23" t="str">
        <f t="shared" si="37"/>
        <v>Weekday</v>
      </c>
      <c r="W420" s="23" t="str">
        <f>VLOOKUP($M420,Lookups!$A$5:$B$8,2,FALSE())</f>
        <v>Mist / Cloudy</v>
      </c>
      <c r="X420" s="23" t="str">
        <f>VLOOKUP($G420,Lookups!$D$5:$E$8,2,FALSE())</f>
        <v>Winter</v>
      </c>
      <c r="Y420" s="23" t="str">
        <f>VLOOKUP($L420,Lookups!$G$5:$H$11,2,FALSE())</f>
        <v>Wednesday</v>
      </c>
      <c r="Z420" s="23" t="str">
        <f>IF($J420&lt;Lookups!$B$26,"Night",IF($J420&lt;Lookups!$B$27,"Morning",IF($J420&lt;Lookups!$B$28,"Afternoon","Evening")))</f>
        <v>Morning</v>
      </c>
      <c r="AA420" s="26">
        <f>ROUND($N420*(Lookups!$B$16-Lookups!$B$15)+Lookups!$B$15,1)</f>
        <v>5.2</v>
      </c>
      <c r="AB420" s="26">
        <f>ROUND($P420*(Lookups!$B$18-Lookups!$B$17)+Lookups!$B$17,1)</f>
        <v>4</v>
      </c>
      <c r="AC420" s="23">
        <f t="shared" si="38"/>
        <v>87</v>
      </c>
      <c r="AD420" s="23">
        <f>ROUND($R420*Lookups!$B$19,1)</f>
        <v>6</v>
      </c>
      <c r="AE420" s="27">
        <f t="shared" si="39"/>
        <v>0.90384615384615385</v>
      </c>
      <c r="AF420" s="23" t="str">
        <f>IF($U420&gt;=Lookups!$B$23,"High",IF($U420&gt;=Lookups!$B$22,"Medium","Low"))</f>
        <v>Medium</v>
      </c>
      <c r="AG420" s="23">
        <f>ROUND(IF($V420="Weekday",IF(INDEX(Hourly_Analysis!$D$5:$D$28,$J420+1)&gt;0,($U420-INDEX(Hourly_Analysis!$C$5:$C$28,$J420+1))/INDEX(Hourly_Analysis!$D$5:$D$28,$J420+1),0),IF(INDEX(Hourly_Analysis!$G$5:$G$28,$J420+1)&gt;0,($U420-INDEX(Hourly_Analysis!$F$5:$F$28,$J420+1))/INDEX(Hourly_Analysis!$G$5:$G$28,$J420+1),0)),2)</f>
        <v>0.17</v>
      </c>
      <c r="AH420" s="23" t="str">
        <f>IF(ABS($AG420)&gt;Lookups!$B$20,IF($AG420&gt;0,"High anomaly","Low anomaly"),"")</f>
        <v/>
      </c>
      <c r="AI420" s="23" t="str">
        <f t="shared" si="40"/>
        <v>OK</v>
      </c>
      <c r="AJ420" s="23" t="str">
        <f t="shared" si="41"/>
        <v>No</v>
      </c>
    </row>
    <row r="421" spans="1:36" x14ac:dyDescent="0.35">
      <c r="A421" s="23">
        <v>420</v>
      </c>
      <c r="B421" s="23" t="str">
        <f t="shared" si="36"/>
        <v>Merge 1+2</v>
      </c>
      <c r="C421" s="23">
        <f>IFERROR(MATCH($A421,Merge_1_2!$A$2:$A$611,0),0)</f>
        <v>420</v>
      </c>
      <c r="D421" s="23">
        <f>IF($C421&gt;0,INDEX(Merge_1_2!$Q$2:$Q$611,$C421),0)</f>
        <v>420</v>
      </c>
      <c r="E421" s="23">
        <f>IFERROR(MATCH($A421,Dataset3_Raw!$A$2:$A$391,0),0)</f>
        <v>0</v>
      </c>
      <c r="F421" s="24">
        <f>IF($C421&gt;0,INDEX(Merge_1_2!$B$2:$B$611,$C421),DATE(VALUE(RIGHT(INDEX(Dataset3_Raw!$B$2:$B$391,$E421),4)),VALUE(MID(INDEX(Dataset3_Raw!$B$2:$B$391,$E421),4,2)),VALUE(LEFT(INDEX(Dataset3_Raw!$B$2:$B$391,$E421),2))))</f>
        <v>40562</v>
      </c>
      <c r="G421" s="23">
        <f>IF($C421&gt;0,INDEX(Merge_1_2!$C$2:$C$611,$C421),INDEX(Dataset3_Raw!$C$2:$C$391,$E421))</f>
        <v>1</v>
      </c>
      <c r="H421" s="23">
        <f>IF($C421&gt;0,INDEX(Merge_1_2!$D$2:$D$611,$C421),INDEX(Dataset3_Raw!$D$2:$D$391,$E421))</f>
        <v>0</v>
      </c>
      <c r="I421" s="23">
        <f>IF($C421&gt;0,INDEX(Merge_1_2!$E$2:$E$611,$C421),INDEX(Dataset3_Raw!$E$2:$E$391,$E421))</f>
        <v>1</v>
      </c>
      <c r="J421" s="23">
        <f>IF($C421&gt;0,INDEX(Merge_1_2!$F$2:$F$611,$C421),INDEX(Dataset3_Raw!$F$2:$F$391,$E421))</f>
        <v>12</v>
      </c>
      <c r="K421" s="23" t="b">
        <f>IF($C421&gt;0,INDEX(Merge_1_2!$G$2:$G$611,$C421),INDEX(Dataset3_Raw!$G$2:$G$391,$E421))</f>
        <v>0</v>
      </c>
      <c r="L421" s="23">
        <f>IF($C421&gt;0,INDEX(Merge_1_2!$H$2:$H$611,$C421),INDEX(Dataset3_Raw!$H$2:$H$391,$E421))</f>
        <v>3</v>
      </c>
      <c r="M421" s="23">
        <f>IF($C421&gt;0,INDEX(Merge_1_2!$I$2:$I$611,$C421),INDEX(Dataset3_Raw!$I$2:$I$391,$E421))</f>
        <v>2</v>
      </c>
      <c r="N421" s="25">
        <f>IF($C421&gt;0,INDEX(Merge_1_2!$J$2:$J$611,$C421),INDEX(Dataset3_Raw!$J$2:$J$391,$E421))</f>
        <v>0.3</v>
      </c>
      <c r="O421" s="25">
        <f>IF($C421&gt;0,IF(ISNUMBER(INDEX(Merge_1_2!$K$2:$K$611,$C421)),INDEX(Merge_1_2!$K$2:$K$611,$C421),""),INDEX(Dataset3_Raw!$K$2:$K$391,$E421))</f>
        <v>0.31819999999999998</v>
      </c>
      <c r="P421" s="25">
        <f>IF(ISNUMBER($O421),$O421,ROUND(Lookups!$B$25+Lookups!$B$24*$N421,4))</f>
        <v>0.31819999999999998</v>
      </c>
      <c r="Q421" s="25">
        <f>IF($C421&gt;0,INDEX(Merge_1_2!$L$2:$L$611,$C421),INDEX(Dataset3_Raw!$L$2:$L$391,$E421))</f>
        <v>0.81</v>
      </c>
      <c r="R421" s="25">
        <f>IF($C421&gt;0,INDEX(Merge_1_2!$M$2:$M$611,$C421),INDEX(Dataset3_Raw!$M$2:$M$391,$E421))</f>
        <v>8.9599999999999999E-2</v>
      </c>
      <c r="S421" s="23">
        <f>IF($C421&gt;0,INDEX(Merge_1_2!$N$2:$N$611,$C421),INDEX(Dataset3_Raw!$N$2:$N$391,$E421))</f>
        <v>5</v>
      </c>
      <c r="T421" s="23">
        <f>IF($C421&gt;0,INDEX(Merge_1_2!$O$2:$O$611,$C421),INDEX(Dataset3_Raw!$O$2:$O$391,$E421))</f>
        <v>65</v>
      </c>
      <c r="U421" s="23">
        <f>IF($C421&gt;0,INDEX(Merge_1_2!$P$2:$P$611,$C421),INDEX(Dataset3_Raw!$P$2:$P$391,$E421))</f>
        <v>70</v>
      </c>
      <c r="V421" s="23" t="str">
        <f t="shared" si="37"/>
        <v>Weekday</v>
      </c>
      <c r="W421" s="23" t="str">
        <f>VLOOKUP($M421,Lookups!$A$5:$B$8,2,FALSE())</f>
        <v>Mist / Cloudy</v>
      </c>
      <c r="X421" s="23" t="str">
        <f>VLOOKUP($G421,Lookups!$D$5:$E$8,2,FALSE())</f>
        <v>Winter</v>
      </c>
      <c r="Y421" s="23" t="str">
        <f>VLOOKUP($L421,Lookups!$G$5:$H$11,2,FALSE())</f>
        <v>Wednesday</v>
      </c>
      <c r="Z421" s="23" t="str">
        <f>IF($J421&lt;Lookups!$B$26,"Night",IF($J421&lt;Lookups!$B$27,"Morning",IF($J421&lt;Lookups!$B$28,"Afternoon","Evening")))</f>
        <v>Afternoon</v>
      </c>
      <c r="AA421" s="26">
        <f>ROUND($N421*(Lookups!$B$16-Lookups!$B$15)+Lookups!$B$15,1)</f>
        <v>6.1</v>
      </c>
      <c r="AB421" s="26">
        <f>ROUND($P421*(Lookups!$B$18-Lookups!$B$17)+Lookups!$B$17,1)</f>
        <v>5</v>
      </c>
      <c r="AC421" s="23">
        <f t="shared" si="38"/>
        <v>81</v>
      </c>
      <c r="AD421" s="23">
        <f>ROUND($R421*Lookups!$B$19,1)</f>
        <v>6</v>
      </c>
      <c r="AE421" s="27">
        <f t="shared" si="39"/>
        <v>0.9285714285714286</v>
      </c>
      <c r="AF421" s="23" t="str">
        <f>IF($U421&gt;=Lookups!$B$23,"High",IF($U421&gt;=Lookups!$B$22,"Medium","Low"))</f>
        <v>Medium</v>
      </c>
      <c r="AG421" s="23">
        <f>ROUND(IF($V421="Weekday",IF(INDEX(Hourly_Analysis!$D$5:$D$28,$J421+1)&gt;0,($U421-INDEX(Hourly_Analysis!$C$5:$C$28,$J421+1))/INDEX(Hourly_Analysis!$D$5:$D$28,$J421+1),0),IF(INDEX(Hourly_Analysis!$G$5:$G$28,$J421+1)&gt;0,($U421-INDEX(Hourly_Analysis!$F$5:$F$28,$J421+1))/INDEX(Hourly_Analysis!$G$5:$G$28,$J421+1),0)),2)</f>
        <v>0.32</v>
      </c>
      <c r="AH421" s="23" t="str">
        <f>IF(ABS($AG421)&gt;Lookups!$B$20,IF($AG421&gt;0,"High anomaly","Low anomaly"),"")</f>
        <v/>
      </c>
      <c r="AI421" s="23" t="str">
        <f t="shared" si="40"/>
        <v>OK</v>
      </c>
      <c r="AJ421" s="23" t="str">
        <f t="shared" si="41"/>
        <v>No</v>
      </c>
    </row>
    <row r="422" spans="1:36" x14ac:dyDescent="0.35">
      <c r="A422" s="23">
        <v>421</v>
      </c>
      <c r="B422" s="23" t="str">
        <f t="shared" si="36"/>
        <v>Merge 1+2</v>
      </c>
      <c r="C422" s="23">
        <f>IFERROR(MATCH($A422,Merge_1_2!$A$2:$A$611,0),0)</f>
        <v>421</v>
      </c>
      <c r="D422" s="23">
        <f>IF($C422&gt;0,INDEX(Merge_1_2!$Q$2:$Q$611,$C422),0)</f>
        <v>421</v>
      </c>
      <c r="E422" s="23">
        <f>IFERROR(MATCH($A422,Dataset3_Raw!$A$2:$A$391,0),0)</f>
        <v>0</v>
      </c>
      <c r="F422" s="24">
        <f>IF($C422&gt;0,INDEX(Merge_1_2!$B$2:$B$611,$C422),DATE(VALUE(RIGHT(INDEX(Dataset3_Raw!$B$2:$B$391,$E422),4)),VALUE(MID(INDEX(Dataset3_Raw!$B$2:$B$391,$E422),4,2)),VALUE(LEFT(INDEX(Dataset3_Raw!$B$2:$B$391,$E422),2))))</f>
        <v>40562</v>
      </c>
      <c r="G422" s="23">
        <f>IF($C422&gt;0,INDEX(Merge_1_2!$C$2:$C$611,$C422),INDEX(Dataset3_Raw!$C$2:$C$391,$E422))</f>
        <v>1</v>
      </c>
      <c r="H422" s="23">
        <f>IF($C422&gt;0,INDEX(Merge_1_2!$D$2:$D$611,$C422),INDEX(Dataset3_Raw!$D$2:$D$391,$E422))</f>
        <v>0</v>
      </c>
      <c r="I422" s="23">
        <f>IF($C422&gt;0,INDEX(Merge_1_2!$E$2:$E$611,$C422),INDEX(Dataset3_Raw!$E$2:$E$391,$E422))</f>
        <v>1</v>
      </c>
      <c r="J422" s="23">
        <f>IF($C422&gt;0,INDEX(Merge_1_2!$F$2:$F$611,$C422),INDEX(Dataset3_Raw!$F$2:$F$391,$E422))</f>
        <v>13</v>
      </c>
      <c r="K422" s="23" t="b">
        <f>IF($C422&gt;0,INDEX(Merge_1_2!$G$2:$G$611,$C422),INDEX(Dataset3_Raw!$G$2:$G$391,$E422))</f>
        <v>0</v>
      </c>
      <c r="L422" s="23">
        <f>IF($C422&gt;0,INDEX(Merge_1_2!$H$2:$H$611,$C422),INDEX(Dataset3_Raw!$H$2:$H$391,$E422))</f>
        <v>3</v>
      </c>
      <c r="M422" s="23">
        <f>IF($C422&gt;0,INDEX(Merge_1_2!$I$2:$I$611,$C422),INDEX(Dataset3_Raw!$I$2:$I$391,$E422))</f>
        <v>1</v>
      </c>
      <c r="N422" s="25">
        <f>IF($C422&gt;0,INDEX(Merge_1_2!$J$2:$J$611,$C422),INDEX(Dataset3_Raw!$J$2:$J$391,$E422))</f>
        <v>0.4</v>
      </c>
      <c r="O422" s="25">
        <f>IF($C422&gt;0,IF(ISNUMBER(INDEX(Merge_1_2!$K$2:$K$611,$C422)),INDEX(Merge_1_2!$K$2:$K$611,$C422),""),INDEX(Dataset3_Raw!$K$2:$K$391,$E422))</f>
        <v>0.40910000000000002</v>
      </c>
      <c r="P422" s="25">
        <f>IF(ISNUMBER($O422),$O422,ROUND(Lookups!$B$25+Lookups!$B$24*$N422,4))</f>
        <v>0.40910000000000002</v>
      </c>
      <c r="Q422" s="25">
        <f>IF($C422&gt;0,INDEX(Merge_1_2!$L$2:$L$611,$C422),INDEX(Dataset3_Raw!$L$2:$L$391,$E422))</f>
        <v>0.62</v>
      </c>
      <c r="R422" s="25">
        <f>IF($C422&gt;0,INDEX(Merge_1_2!$M$2:$M$611,$C422),INDEX(Dataset3_Raw!$M$2:$M$391,$E422))</f>
        <v>0.28360000000000002</v>
      </c>
      <c r="S422" s="23">
        <f>IF($C422&gt;0,INDEX(Merge_1_2!$N$2:$N$611,$C422),INDEX(Dataset3_Raw!$N$2:$N$391,$E422))</f>
        <v>11</v>
      </c>
      <c r="T422" s="23">
        <f>IF($C422&gt;0,INDEX(Merge_1_2!$O$2:$O$611,$C422),INDEX(Dataset3_Raw!$O$2:$O$391,$E422))</f>
        <v>67</v>
      </c>
      <c r="U422" s="23">
        <f>IF($C422&gt;0,INDEX(Merge_1_2!$P$2:$P$611,$C422),INDEX(Dataset3_Raw!$P$2:$P$391,$E422))</f>
        <v>78</v>
      </c>
      <c r="V422" s="23" t="str">
        <f t="shared" si="37"/>
        <v>Weekday</v>
      </c>
      <c r="W422" s="23" t="str">
        <f>VLOOKUP($M422,Lookups!$A$5:$B$8,2,FALSE())</f>
        <v>Clear / Partly cloudy</v>
      </c>
      <c r="X422" s="23" t="str">
        <f>VLOOKUP($G422,Lookups!$D$5:$E$8,2,FALSE())</f>
        <v>Winter</v>
      </c>
      <c r="Y422" s="23" t="str">
        <f>VLOOKUP($L422,Lookups!$G$5:$H$11,2,FALSE())</f>
        <v>Wednesday</v>
      </c>
      <c r="Z422" s="23" t="str">
        <f>IF($J422&lt;Lookups!$B$26,"Night",IF($J422&lt;Lookups!$B$27,"Morning",IF($J422&lt;Lookups!$B$28,"Afternoon","Evening")))</f>
        <v>Afternoon</v>
      </c>
      <c r="AA422" s="26">
        <f>ROUND($N422*(Lookups!$B$16-Lookups!$B$15)+Lookups!$B$15,1)</f>
        <v>10.8</v>
      </c>
      <c r="AB422" s="26">
        <f>ROUND($P422*(Lookups!$B$18-Lookups!$B$17)+Lookups!$B$17,1)</f>
        <v>11</v>
      </c>
      <c r="AC422" s="23">
        <f t="shared" si="38"/>
        <v>62</v>
      </c>
      <c r="AD422" s="23">
        <f>ROUND($R422*Lookups!$B$19,1)</f>
        <v>19</v>
      </c>
      <c r="AE422" s="27">
        <f t="shared" si="39"/>
        <v>0.85897435897435892</v>
      </c>
      <c r="AF422" s="23" t="str">
        <f>IF($U422&gt;=Lookups!$B$23,"High",IF($U422&gt;=Lookups!$B$22,"Medium","Low"))</f>
        <v>Medium</v>
      </c>
      <c r="AG422" s="23">
        <f>ROUND(IF($V422="Weekday",IF(INDEX(Hourly_Analysis!$D$5:$D$28,$J422+1)&gt;0,($U422-INDEX(Hourly_Analysis!$C$5:$C$28,$J422+1))/INDEX(Hourly_Analysis!$D$5:$D$28,$J422+1),0),IF(INDEX(Hourly_Analysis!$G$5:$G$28,$J422+1)&gt;0,($U422-INDEX(Hourly_Analysis!$F$5:$F$28,$J422+1))/INDEX(Hourly_Analysis!$G$5:$G$28,$J422+1),0)),2)</f>
        <v>0.59</v>
      </c>
      <c r="AH422" s="23" t="str">
        <f>IF(ABS($AG422)&gt;Lookups!$B$20,IF($AG422&gt;0,"High anomaly","Low anomaly"),"")</f>
        <v/>
      </c>
      <c r="AI422" s="23" t="str">
        <f t="shared" si="40"/>
        <v>OK</v>
      </c>
      <c r="AJ422" s="23" t="str">
        <f t="shared" si="41"/>
        <v>No</v>
      </c>
    </row>
    <row r="423" spans="1:36" x14ac:dyDescent="0.35">
      <c r="A423" s="23">
        <v>422</v>
      </c>
      <c r="B423" s="23" t="str">
        <f t="shared" si="36"/>
        <v>Merge 1+2</v>
      </c>
      <c r="C423" s="23">
        <f>IFERROR(MATCH($A423,Merge_1_2!$A$2:$A$611,0),0)</f>
        <v>422</v>
      </c>
      <c r="D423" s="23">
        <f>IF($C423&gt;0,INDEX(Merge_1_2!$Q$2:$Q$611,$C423),0)</f>
        <v>422</v>
      </c>
      <c r="E423" s="23">
        <f>IFERROR(MATCH($A423,Dataset3_Raw!$A$2:$A$391,0),0)</f>
        <v>0</v>
      </c>
      <c r="F423" s="24">
        <f>IF($C423&gt;0,INDEX(Merge_1_2!$B$2:$B$611,$C423),DATE(VALUE(RIGHT(INDEX(Dataset3_Raw!$B$2:$B$391,$E423),4)),VALUE(MID(INDEX(Dataset3_Raw!$B$2:$B$391,$E423),4,2)),VALUE(LEFT(INDEX(Dataset3_Raw!$B$2:$B$391,$E423),2))))</f>
        <v>40562</v>
      </c>
      <c r="G423" s="23">
        <f>IF($C423&gt;0,INDEX(Merge_1_2!$C$2:$C$611,$C423),INDEX(Dataset3_Raw!$C$2:$C$391,$E423))</f>
        <v>1</v>
      </c>
      <c r="H423" s="23">
        <f>IF($C423&gt;0,INDEX(Merge_1_2!$D$2:$D$611,$C423),INDEX(Dataset3_Raw!$D$2:$D$391,$E423))</f>
        <v>0</v>
      </c>
      <c r="I423" s="23">
        <f>IF($C423&gt;0,INDEX(Merge_1_2!$E$2:$E$611,$C423),INDEX(Dataset3_Raw!$E$2:$E$391,$E423))</f>
        <v>1</v>
      </c>
      <c r="J423" s="23">
        <f>IF($C423&gt;0,INDEX(Merge_1_2!$F$2:$F$611,$C423),INDEX(Dataset3_Raw!$F$2:$F$391,$E423))</f>
        <v>14</v>
      </c>
      <c r="K423" s="23" t="b">
        <f>IF($C423&gt;0,INDEX(Merge_1_2!$G$2:$G$611,$C423),INDEX(Dataset3_Raw!$G$2:$G$391,$E423))</f>
        <v>0</v>
      </c>
      <c r="L423" s="23">
        <f>IF($C423&gt;0,INDEX(Merge_1_2!$H$2:$H$611,$C423),INDEX(Dataset3_Raw!$H$2:$H$391,$E423))</f>
        <v>3</v>
      </c>
      <c r="M423" s="23">
        <f>IF($C423&gt;0,INDEX(Merge_1_2!$I$2:$I$611,$C423),INDEX(Dataset3_Raw!$I$2:$I$391,$E423))</f>
        <v>1</v>
      </c>
      <c r="N423" s="25">
        <f>IF($C423&gt;0,INDEX(Merge_1_2!$J$2:$J$611,$C423),INDEX(Dataset3_Raw!$J$2:$J$391,$E423))</f>
        <v>0.4</v>
      </c>
      <c r="O423" s="25">
        <f>IF($C423&gt;0,IF(ISNUMBER(INDEX(Merge_1_2!$K$2:$K$611,$C423)),INDEX(Merge_1_2!$K$2:$K$611,$C423),""),INDEX(Dataset3_Raw!$K$2:$K$391,$E423))</f>
        <v>0.40910000000000002</v>
      </c>
      <c r="P423" s="25">
        <f>IF(ISNUMBER($O423),$O423,ROUND(Lookups!$B$25+Lookups!$B$24*$N423,4))</f>
        <v>0.40910000000000002</v>
      </c>
      <c r="Q423" s="25">
        <f>IF($C423&gt;0,INDEX(Merge_1_2!$L$2:$L$611,$C423),INDEX(Dataset3_Raw!$L$2:$L$391,$E423))</f>
        <v>0.57999999999999996</v>
      </c>
      <c r="R423" s="25">
        <f>IF($C423&gt;0,INDEX(Merge_1_2!$M$2:$M$611,$C423),INDEX(Dataset3_Raw!$M$2:$M$391,$E423))</f>
        <v>0.25369999999999998</v>
      </c>
      <c r="S423" s="23">
        <f>IF($C423&gt;0,INDEX(Merge_1_2!$N$2:$N$611,$C423),INDEX(Dataset3_Raw!$N$2:$N$391,$E423))</f>
        <v>7</v>
      </c>
      <c r="T423" s="23">
        <f>IF($C423&gt;0,INDEX(Merge_1_2!$O$2:$O$611,$C423),INDEX(Dataset3_Raw!$O$2:$O$391,$E423))</f>
        <v>68</v>
      </c>
      <c r="U423" s="23">
        <f>IF($C423&gt;0,INDEX(Merge_1_2!$P$2:$P$611,$C423),INDEX(Dataset3_Raw!$P$2:$P$391,$E423))</f>
        <v>75</v>
      </c>
      <c r="V423" s="23" t="str">
        <f t="shared" si="37"/>
        <v>Weekday</v>
      </c>
      <c r="W423" s="23" t="str">
        <f>VLOOKUP($M423,Lookups!$A$5:$B$8,2,FALSE())</f>
        <v>Clear / Partly cloudy</v>
      </c>
      <c r="X423" s="23" t="str">
        <f>VLOOKUP($G423,Lookups!$D$5:$E$8,2,FALSE())</f>
        <v>Winter</v>
      </c>
      <c r="Y423" s="23" t="str">
        <f>VLOOKUP($L423,Lookups!$G$5:$H$11,2,FALSE())</f>
        <v>Wednesday</v>
      </c>
      <c r="Z423" s="23" t="str">
        <f>IF($J423&lt;Lookups!$B$26,"Night",IF($J423&lt;Lookups!$B$27,"Morning",IF($J423&lt;Lookups!$B$28,"Afternoon","Evening")))</f>
        <v>Afternoon</v>
      </c>
      <c r="AA423" s="26">
        <f>ROUND($N423*(Lookups!$B$16-Lookups!$B$15)+Lookups!$B$15,1)</f>
        <v>10.8</v>
      </c>
      <c r="AB423" s="26">
        <f>ROUND($P423*(Lookups!$B$18-Lookups!$B$17)+Lookups!$B$17,1)</f>
        <v>11</v>
      </c>
      <c r="AC423" s="23">
        <f t="shared" si="38"/>
        <v>58</v>
      </c>
      <c r="AD423" s="23">
        <f>ROUND($R423*Lookups!$B$19,1)</f>
        <v>17</v>
      </c>
      <c r="AE423" s="27">
        <f t="shared" si="39"/>
        <v>0.90666666666666662</v>
      </c>
      <c r="AF423" s="23" t="str">
        <f>IF($U423&gt;=Lookups!$B$23,"High",IF($U423&gt;=Lookups!$B$22,"Medium","Low"))</f>
        <v>Medium</v>
      </c>
      <c r="AG423" s="23">
        <f>ROUND(IF($V423="Weekday",IF(INDEX(Hourly_Analysis!$D$5:$D$28,$J423+1)&gt;0,($U423-INDEX(Hourly_Analysis!$C$5:$C$28,$J423+1))/INDEX(Hourly_Analysis!$D$5:$D$28,$J423+1),0),IF(INDEX(Hourly_Analysis!$G$5:$G$28,$J423+1)&gt;0,($U423-INDEX(Hourly_Analysis!$F$5:$F$28,$J423+1))/INDEX(Hourly_Analysis!$G$5:$G$28,$J423+1),0)),2)</f>
        <v>0.96</v>
      </c>
      <c r="AH423" s="23" t="str">
        <f>IF(ABS($AG423)&gt;Lookups!$B$20,IF($AG423&gt;0,"High anomaly","Low anomaly"),"")</f>
        <v/>
      </c>
      <c r="AI423" s="23" t="str">
        <f t="shared" si="40"/>
        <v>OK</v>
      </c>
      <c r="AJ423" s="23" t="str">
        <f t="shared" si="41"/>
        <v>No</v>
      </c>
    </row>
    <row r="424" spans="1:36" x14ac:dyDescent="0.35">
      <c r="A424" s="23">
        <v>423</v>
      </c>
      <c r="B424" s="23" t="str">
        <f t="shared" si="36"/>
        <v>Merge 1+2</v>
      </c>
      <c r="C424" s="23">
        <f>IFERROR(MATCH($A424,Merge_1_2!$A$2:$A$611,0),0)</f>
        <v>423</v>
      </c>
      <c r="D424" s="23">
        <f>IF($C424&gt;0,INDEX(Merge_1_2!$Q$2:$Q$611,$C424),0)</f>
        <v>423</v>
      </c>
      <c r="E424" s="23">
        <f>IFERROR(MATCH($A424,Dataset3_Raw!$A$2:$A$391,0),0)</f>
        <v>0</v>
      </c>
      <c r="F424" s="24">
        <f>IF($C424&gt;0,INDEX(Merge_1_2!$B$2:$B$611,$C424),DATE(VALUE(RIGHT(INDEX(Dataset3_Raw!$B$2:$B$391,$E424),4)),VALUE(MID(INDEX(Dataset3_Raw!$B$2:$B$391,$E424),4,2)),VALUE(LEFT(INDEX(Dataset3_Raw!$B$2:$B$391,$E424),2))))</f>
        <v>40562</v>
      </c>
      <c r="G424" s="23">
        <f>IF($C424&gt;0,INDEX(Merge_1_2!$C$2:$C$611,$C424),INDEX(Dataset3_Raw!$C$2:$C$391,$E424))</f>
        <v>1</v>
      </c>
      <c r="H424" s="23">
        <f>IF($C424&gt;0,INDEX(Merge_1_2!$D$2:$D$611,$C424),INDEX(Dataset3_Raw!$D$2:$D$391,$E424))</f>
        <v>0</v>
      </c>
      <c r="I424" s="23">
        <f>IF($C424&gt;0,INDEX(Merge_1_2!$E$2:$E$611,$C424),INDEX(Dataset3_Raw!$E$2:$E$391,$E424))</f>
        <v>1</v>
      </c>
      <c r="J424" s="23">
        <f>IF($C424&gt;0,INDEX(Merge_1_2!$F$2:$F$611,$C424),INDEX(Dataset3_Raw!$F$2:$F$391,$E424))</f>
        <v>15</v>
      </c>
      <c r="K424" s="23" t="b">
        <f>IF($C424&gt;0,INDEX(Merge_1_2!$G$2:$G$611,$C424),INDEX(Dataset3_Raw!$G$2:$G$391,$E424))</f>
        <v>0</v>
      </c>
      <c r="L424" s="23">
        <f>IF($C424&gt;0,INDEX(Merge_1_2!$H$2:$H$611,$C424),INDEX(Dataset3_Raw!$H$2:$H$391,$E424))</f>
        <v>3</v>
      </c>
      <c r="M424" s="23">
        <f>IF($C424&gt;0,INDEX(Merge_1_2!$I$2:$I$611,$C424),INDEX(Dataset3_Raw!$I$2:$I$391,$E424))</f>
        <v>1</v>
      </c>
      <c r="N424" s="25">
        <f>IF($C424&gt;0,INDEX(Merge_1_2!$J$2:$J$611,$C424),INDEX(Dataset3_Raw!$J$2:$J$391,$E424))</f>
        <v>0.4</v>
      </c>
      <c r="O424" s="25">
        <f>IF($C424&gt;0,IF(ISNUMBER(INDEX(Merge_1_2!$K$2:$K$611,$C424)),INDEX(Merge_1_2!$K$2:$K$611,$C424),""),INDEX(Dataset3_Raw!$K$2:$K$391,$E424))</f>
        <v>0.40910000000000002</v>
      </c>
      <c r="P424" s="25">
        <f>IF(ISNUMBER($O424),$O424,ROUND(Lookups!$B$25+Lookups!$B$24*$N424,4))</f>
        <v>0.40910000000000002</v>
      </c>
      <c r="Q424" s="25">
        <f>IF($C424&gt;0,INDEX(Merge_1_2!$L$2:$L$611,$C424),INDEX(Dataset3_Raw!$L$2:$L$391,$E424))</f>
        <v>0.54</v>
      </c>
      <c r="R424" s="25">
        <f>IF($C424&gt;0,INDEX(Merge_1_2!$M$2:$M$611,$C424),INDEX(Dataset3_Raw!$M$2:$M$391,$E424))</f>
        <v>0.28360000000000002</v>
      </c>
      <c r="S424" s="23">
        <f>IF($C424&gt;0,INDEX(Merge_1_2!$N$2:$N$611,$C424),INDEX(Dataset3_Raw!$N$2:$N$391,$E424))</f>
        <v>4</v>
      </c>
      <c r="T424" s="23">
        <f>IF($C424&gt;0,INDEX(Merge_1_2!$O$2:$O$611,$C424),INDEX(Dataset3_Raw!$O$2:$O$391,$E424))</f>
        <v>78</v>
      </c>
      <c r="U424" s="23">
        <f>IF($C424&gt;0,INDEX(Merge_1_2!$P$2:$P$611,$C424),INDEX(Dataset3_Raw!$P$2:$P$391,$E424))</f>
        <v>82</v>
      </c>
      <c r="V424" s="23" t="str">
        <f t="shared" si="37"/>
        <v>Weekday</v>
      </c>
      <c r="W424" s="23" t="str">
        <f>VLOOKUP($M424,Lookups!$A$5:$B$8,2,FALSE())</f>
        <v>Clear / Partly cloudy</v>
      </c>
      <c r="X424" s="23" t="str">
        <f>VLOOKUP($G424,Lookups!$D$5:$E$8,2,FALSE())</f>
        <v>Winter</v>
      </c>
      <c r="Y424" s="23" t="str">
        <f>VLOOKUP($L424,Lookups!$G$5:$H$11,2,FALSE())</f>
        <v>Wednesday</v>
      </c>
      <c r="Z424" s="23" t="str">
        <f>IF($J424&lt;Lookups!$B$26,"Night",IF($J424&lt;Lookups!$B$27,"Morning",IF($J424&lt;Lookups!$B$28,"Afternoon","Evening")))</f>
        <v>Afternoon</v>
      </c>
      <c r="AA424" s="26">
        <f>ROUND($N424*(Lookups!$B$16-Lookups!$B$15)+Lookups!$B$15,1)</f>
        <v>10.8</v>
      </c>
      <c r="AB424" s="26">
        <f>ROUND($P424*(Lookups!$B$18-Lookups!$B$17)+Lookups!$B$17,1)</f>
        <v>11</v>
      </c>
      <c r="AC424" s="23">
        <f t="shared" si="38"/>
        <v>54</v>
      </c>
      <c r="AD424" s="23">
        <f>ROUND($R424*Lookups!$B$19,1)</f>
        <v>19</v>
      </c>
      <c r="AE424" s="27">
        <f t="shared" si="39"/>
        <v>0.95121951219512191</v>
      </c>
      <c r="AF424" s="23" t="str">
        <f>IF($U424&gt;=Lookups!$B$23,"High",IF($U424&gt;=Lookups!$B$22,"Medium","Low"))</f>
        <v>Medium</v>
      </c>
      <c r="AG424" s="23">
        <f>ROUND(IF($V424="Weekday",IF(INDEX(Hourly_Analysis!$D$5:$D$28,$J424+1)&gt;0,($U424-INDEX(Hourly_Analysis!$C$5:$C$28,$J424+1))/INDEX(Hourly_Analysis!$D$5:$D$28,$J424+1),0),IF(INDEX(Hourly_Analysis!$G$5:$G$28,$J424+1)&gt;0,($U424-INDEX(Hourly_Analysis!$F$5:$F$28,$J424+1))/INDEX(Hourly_Analysis!$G$5:$G$28,$J424+1),0)),2)</f>
        <v>1.54</v>
      </c>
      <c r="AH424" s="23" t="str">
        <f>IF(ABS($AG424)&gt;Lookups!$B$20,IF($AG424&gt;0,"High anomaly","Low anomaly"),"")</f>
        <v/>
      </c>
      <c r="AI424" s="23" t="str">
        <f t="shared" si="40"/>
        <v>OK</v>
      </c>
      <c r="AJ424" s="23" t="str">
        <f t="shared" si="41"/>
        <v>No</v>
      </c>
    </row>
    <row r="425" spans="1:36" x14ac:dyDescent="0.35">
      <c r="A425" s="23">
        <v>424</v>
      </c>
      <c r="B425" s="23" t="str">
        <f t="shared" si="36"/>
        <v>Merge 1+2</v>
      </c>
      <c r="C425" s="23">
        <f>IFERROR(MATCH($A425,Merge_1_2!$A$2:$A$611,0),0)</f>
        <v>424</v>
      </c>
      <c r="D425" s="23">
        <f>IF($C425&gt;0,INDEX(Merge_1_2!$Q$2:$Q$611,$C425),0)</f>
        <v>424</v>
      </c>
      <c r="E425" s="23">
        <f>IFERROR(MATCH($A425,Dataset3_Raw!$A$2:$A$391,0),0)</f>
        <v>0</v>
      </c>
      <c r="F425" s="24">
        <f>IF($C425&gt;0,INDEX(Merge_1_2!$B$2:$B$611,$C425),DATE(VALUE(RIGHT(INDEX(Dataset3_Raw!$B$2:$B$391,$E425),4)),VALUE(MID(INDEX(Dataset3_Raw!$B$2:$B$391,$E425),4,2)),VALUE(LEFT(INDEX(Dataset3_Raw!$B$2:$B$391,$E425),2))))</f>
        <v>40562</v>
      </c>
      <c r="G425" s="23">
        <f>IF($C425&gt;0,INDEX(Merge_1_2!$C$2:$C$611,$C425),INDEX(Dataset3_Raw!$C$2:$C$391,$E425))</f>
        <v>1</v>
      </c>
      <c r="H425" s="23">
        <f>IF($C425&gt;0,INDEX(Merge_1_2!$D$2:$D$611,$C425),INDEX(Dataset3_Raw!$D$2:$D$391,$E425))</f>
        <v>0</v>
      </c>
      <c r="I425" s="23">
        <f>IF($C425&gt;0,INDEX(Merge_1_2!$E$2:$E$611,$C425),INDEX(Dataset3_Raw!$E$2:$E$391,$E425))</f>
        <v>1</v>
      </c>
      <c r="J425" s="23">
        <f>IF($C425&gt;0,INDEX(Merge_1_2!$F$2:$F$611,$C425),INDEX(Dataset3_Raw!$F$2:$F$391,$E425))</f>
        <v>16</v>
      </c>
      <c r="K425" s="23" t="b">
        <f>IF($C425&gt;0,INDEX(Merge_1_2!$G$2:$G$611,$C425),INDEX(Dataset3_Raw!$G$2:$G$391,$E425))</f>
        <v>0</v>
      </c>
      <c r="L425" s="23">
        <f>IF($C425&gt;0,INDEX(Merge_1_2!$H$2:$H$611,$C425),INDEX(Dataset3_Raw!$H$2:$H$391,$E425))</f>
        <v>3</v>
      </c>
      <c r="M425" s="23">
        <f>IF($C425&gt;0,INDEX(Merge_1_2!$I$2:$I$611,$C425),INDEX(Dataset3_Raw!$I$2:$I$391,$E425))</f>
        <v>1</v>
      </c>
      <c r="N425" s="25">
        <f>IF($C425&gt;0,INDEX(Merge_1_2!$J$2:$J$611,$C425),INDEX(Dataset3_Raw!$J$2:$J$391,$E425))</f>
        <v>0.38</v>
      </c>
      <c r="O425" s="25">
        <f>IF($C425&gt;0,IF(ISNUMBER(INDEX(Merge_1_2!$K$2:$K$611,$C425)),INDEX(Merge_1_2!$K$2:$K$611,$C425),""),INDEX(Dataset3_Raw!$K$2:$K$391,$E425))</f>
        <v>0.39389999999999997</v>
      </c>
      <c r="P425" s="25">
        <f>IF(ISNUMBER($O425),$O425,ROUND(Lookups!$B$25+Lookups!$B$24*$N425,4))</f>
        <v>0.39389999999999997</v>
      </c>
      <c r="Q425" s="25">
        <f>IF($C425&gt;0,INDEX(Merge_1_2!$L$2:$L$611,$C425),INDEX(Dataset3_Raw!$L$2:$L$391,$E425))</f>
        <v>0.57999999999999996</v>
      </c>
      <c r="R425" s="25">
        <f>IF($C425&gt;0,INDEX(Merge_1_2!$M$2:$M$611,$C425),INDEX(Dataset3_Raw!$M$2:$M$391,$E425))</f>
        <v>0.3881</v>
      </c>
      <c r="S425" s="23">
        <f>IF($C425&gt;0,INDEX(Merge_1_2!$N$2:$N$611,$C425),INDEX(Dataset3_Raw!$N$2:$N$391,$E425))</f>
        <v>10</v>
      </c>
      <c r="T425" s="23">
        <f>IF($C425&gt;0,INDEX(Merge_1_2!$O$2:$O$611,$C425),INDEX(Dataset3_Raw!$O$2:$O$391,$E425))</f>
        <v>94</v>
      </c>
      <c r="U425" s="23">
        <f>IF($C425&gt;0,INDEX(Merge_1_2!$P$2:$P$611,$C425),INDEX(Dataset3_Raw!$P$2:$P$391,$E425))</f>
        <v>104</v>
      </c>
      <c r="V425" s="23" t="str">
        <f t="shared" si="37"/>
        <v>Weekday</v>
      </c>
      <c r="W425" s="23" t="str">
        <f>VLOOKUP($M425,Lookups!$A$5:$B$8,2,FALSE())</f>
        <v>Clear / Partly cloudy</v>
      </c>
      <c r="X425" s="23" t="str">
        <f>VLOOKUP($G425,Lookups!$D$5:$E$8,2,FALSE())</f>
        <v>Winter</v>
      </c>
      <c r="Y425" s="23" t="str">
        <f>VLOOKUP($L425,Lookups!$G$5:$H$11,2,FALSE())</f>
        <v>Wednesday</v>
      </c>
      <c r="Z425" s="23" t="str">
        <f>IF($J425&lt;Lookups!$B$26,"Night",IF($J425&lt;Lookups!$B$27,"Morning",IF($J425&lt;Lookups!$B$28,"Afternoon","Evening")))</f>
        <v>Afternoon</v>
      </c>
      <c r="AA425" s="26">
        <f>ROUND($N425*(Lookups!$B$16-Lookups!$B$15)+Lookups!$B$15,1)</f>
        <v>9.9</v>
      </c>
      <c r="AB425" s="26">
        <f>ROUND($P425*(Lookups!$B$18-Lookups!$B$17)+Lookups!$B$17,1)</f>
        <v>10</v>
      </c>
      <c r="AC425" s="23">
        <f t="shared" si="38"/>
        <v>58</v>
      </c>
      <c r="AD425" s="23">
        <f>ROUND($R425*Lookups!$B$19,1)</f>
        <v>26</v>
      </c>
      <c r="AE425" s="27">
        <f t="shared" si="39"/>
        <v>0.90384615384615385</v>
      </c>
      <c r="AF425" s="23" t="str">
        <f>IF($U425&gt;=Lookups!$B$23,"High",IF($U425&gt;=Lookups!$B$22,"Medium","Low"))</f>
        <v>High</v>
      </c>
      <c r="AG425" s="23">
        <f>ROUND(IF($V425="Weekday",IF(INDEX(Hourly_Analysis!$D$5:$D$28,$J425+1)&gt;0,($U425-INDEX(Hourly_Analysis!$C$5:$C$28,$J425+1))/INDEX(Hourly_Analysis!$D$5:$D$28,$J425+1),0),IF(INDEX(Hourly_Analysis!$G$5:$G$28,$J425+1)&gt;0,($U425-INDEX(Hourly_Analysis!$F$5:$F$28,$J425+1))/INDEX(Hourly_Analysis!$G$5:$G$28,$J425+1),0)),2)</f>
        <v>1.01</v>
      </c>
      <c r="AH425" s="23" t="str">
        <f>IF(ABS($AG425)&gt;Lookups!$B$20,IF($AG425&gt;0,"High anomaly","Low anomaly"),"")</f>
        <v/>
      </c>
      <c r="AI425" s="23" t="str">
        <f t="shared" si="40"/>
        <v>OK</v>
      </c>
      <c r="AJ425" s="23" t="str">
        <f t="shared" si="41"/>
        <v>No</v>
      </c>
    </row>
    <row r="426" spans="1:36" x14ac:dyDescent="0.35">
      <c r="A426" s="23">
        <v>425</v>
      </c>
      <c r="B426" s="23" t="str">
        <f t="shared" si="36"/>
        <v>Merge 1+2</v>
      </c>
      <c r="C426" s="23">
        <f>IFERROR(MATCH($A426,Merge_1_2!$A$2:$A$611,0),0)</f>
        <v>425</v>
      </c>
      <c r="D426" s="23">
        <f>IF($C426&gt;0,INDEX(Merge_1_2!$Q$2:$Q$611,$C426),0)</f>
        <v>425</v>
      </c>
      <c r="E426" s="23">
        <f>IFERROR(MATCH($A426,Dataset3_Raw!$A$2:$A$391,0),0)</f>
        <v>0</v>
      </c>
      <c r="F426" s="24">
        <f>IF($C426&gt;0,INDEX(Merge_1_2!$B$2:$B$611,$C426),DATE(VALUE(RIGHT(INDEX(Dataset3_Raw!$B$2:$B$391,$E426),4)),VALUE(MID(INDEX(Dataset3_Raw!$B$2:$B$391,$E426),4,2)),VALUE(LEFT(INDEX(Dataset3_Raw!$B$2:$B$391,$E426),2))))</f>
        <v>40562</v>
      </c>
      <c r="G426" s="23">
        <f>IF($C426&gt;0,INDEX(Merge_1_2!$C$2:$C$611,$C426),INDEX(Dataset3_Raw!$C$2:$C$391,$E426))</f>
        <v>1</v>
      </c>
      <c r="H426" s="23">
        <f>IF($C426&gt;0,INDEX(Merge_1_2!$D$2:$D$611,$C426),INDEX(Dataset3_Raw!$D$2:$D$391,$E426))</f>
        <v>0</v>
      </c>
      <c r="I426" s="23">
        <f>IF($C426&gt;0,INDEX(Merge_1_2!$E$2:$E$611,$C426),INDEX(Dataset3_Raw!$E$2:$E$391,$E426))</f>
        <v>1</v>
      </c>
      <c r="J426" s="23">
        <f>IF($C426&gt;0,INDEX(Merge_1_2!$F$2:$F$611,$C426),INDEX(Dataset3_Raw!$F$2:$F$391,$E426))</f>
        <v>17</v>
      </c>
      <c r="K426" s="23" t="b">
        <f>IF($C426&gt;0,INDEX(Merge_1_2!$G$2:$G$611,$C426),INDEX(Dataset3_Raw!$G$2:$G$391,$E426))</f>
        <v>0</v>
      </c>
      <c r="L426" s="23">
        <f>IF($C426&gt;0,INDEX(Merge_1_2!$H$2:$H$611,$C426),INDEX(Dataset3_Raw!$H$2:$H$391,$E426))</f>
        <v>3</v>
      </c>
      <c r="M426" s="23">
        <f>IF($C426&gt;0,INDEX(Merge_1_2!$I$2:$I$611,$C426),INDEX(Dataset3_Raw!$I$2:$I$391,$E426))</f>
        <v>1</v>
      </c>
      <c r="N426" s="25">
        <f>IF($C426&gt;0,INDEX(Merge_1_2!$J$2:$J$611,$C426),INDEX(Dataset3_Raw!$J$2:$J$391,$E426))</f>
        <v>0.36</v>
      </c>
      <c r="O426" s="25">
        <f>IF($C426&gt;0,IF(ISNUMBER(INDEX(Merge_1_2!$K$2:$K$611,$C426)),INDEX(Merge_1_2!$K$2:$K$611,$C426),""),INDEX(Dataset3_Raw!$K$2:$K$391,$E426))</f>
        <v>0.33329999999999999</v>
      </c>
      <c r="P426" s="25">
        <f>IF(ISNUMBER($O426),$O426,ROUND(Lookups!$B$25+Lookups!$B$24*$N426,4))</f>
        <v>0.33329999999999999</v>
      </c>
      <c r="Q426" s="25">
        <f>IF($C426&gt;0,INDEX(Merge_1_2!$L$2:$L$611,$C426),INDEX(Dataset3_Raw!$L$2:$L$391,$E426))</f>
        <v>0.56999999999999995</v>
      </c>
      <c r="R426" s="25">
        <f>IF($C426&gt;0,INDEX(Merge_1_2!$M$2:$M$611,$C426),INDEX(Dataset3_Raw!$M$2:$M$391,$E426))</f>
        <v>0.32840000000000003</v>
      </c>
      <c r="S426" s="23">
        <f>IF($C426&gt;0,INDEX(Merge_1_2!$N$2:$N$611,$C426),INDEX(Dataset3_Raw!$N$2:$N$391,$E426))</f>
        <v>7</v>
      </c>
      <c r="T426" s="23">
        <f>IF($C426&gt;0,INDEX(Merge_1_2!$O$2:$O$611,$C426),INDEX(Dataset3_Raw!$O$2:$O$391,$E426))</f>
        <v>190</v>
      </c>
      <c r="U426" s="23">
        <f>IF($C426&gt;0,INDEX(Merge_1_2!$P$2:$P$611,$C426),INDEX(Dataset3_Raw!$P$2:$P$391,$E426))</f>
        <v>197</v>
      </c>
      <c r="V426" s="23" t="str">
        <f t="shared" si="37"/>
        <v>Weekday</v>
      </c>
      <c r="W426" s="23" t="str">
        <f>VLOOKUP($M426,Lookups!$A$5:$B$8,2,FALSE())</f>
        <v>Clear / Partly cloudy</v>
      </c>
      <c r="X426" s="23" t="str">
        <f>VLOOKUP($G426,Lookups!$D$5:$E$8,2,FALSE())</f>
        <v>Winter</v>
      </c>
      <c r="Y426" s="23" t="str">
        <f>VLOOKUP($L426,Lookups!$G$5:$H$11,2,FALSE())</f>
        <v>Wednesday</v>
      </c>
      <c r="Z426" s="23" t="str">
        <f>IF($J426&lt;Lookups!$B$26,"Night",IF($J426&lt;Lookups!$B$27,"Morning",IF($J426&lt;Lookups!$B$28,"Afternoon","Evening")))</f>
        <v>Afternoon</v>
      </c>
      <c r="AA426" s="26">
        <f>ROUND($N426*(Lookups!$B$16-Lookups!$B$15)+Lookups!$B$15,1)</f>
        <v>8.9</v>
      </c>
      <c r="AB426" s="26">
        <f>ROUND($P426*(Lookups!$B$18-Lookups!$B$17)+Lookups!$B$17,1)</f>
        <v>6</v>
      </c>
      <c r="AC426" s="23">
        <f t="shared" si="38"/>
        <v>57</v>
      </c>
      <c r="AD426" s="23">
        <f>ROUND($R426*Lookups!$B$19,1)</f>
        <v>22</v>
      </c>
      <c r="AE426" s="27">
        <f t="shared" si="39"/>
        <v>0.96446700507614214</v>
      </c>
      <c r="AF426" s="23" t="str">
        <f>IF($U426&gt;=Lookups!$B$23,"High",IF($U426&gt;=Lookups!$B$22,"Medium","Low"))</f>
        <v>High</v>
      </c>
      <c r="AG426" s="23">
        <f>ROUND(IF($V426="Weekday",IF(INDEX(Hourly_Analysis!$D$5:$D$28,$J426+1)&gt;0,($U426-INDEX(Hourly_Analysis!$C$5:$C$28,$J426+1))/INDEX(Hourly_Analysis!$D$5:$D$28,$J426+1),0),IF(INDEX(Hourly_Analysis!$G$5:$G$28,$J426+1)&gt;0,($U426-INDEX(Hourly_Analysis!$F$5:$F$28,$J426+1))/INDEX(Hourly_Analysis!$G$5:$G$28,$J426+1),0)),2)</f>
        <v>0.69</v>
      </c>
      <c r="AH426" s="23" t="str">
        <f>IF(ABS($AG426)&gt;Lookups!$B$20,IF($AG426&gt;0,"High anomaly","Low anomaly"),"")</f>
        <v/>
      </c>
      <c r="AI426" s="23" t="str">
        <f t="shared" si="40"/>
        <v>OK</v>
      </c>
      <c r="AJ426" s="23" t="str">
        <f t="shared" si="41"/>
        <v>No</v>
      </c>
    </row>
    <row r="427" spans="1:36" x14ac:dyDescent="0.35">
      <c r="A427" s="23">
        <v>426</v>
      </c>
      <c r="B427" s="23" t="str">
        <f t="shared" si="36"/>
        <v>Merge 1+2</v>
      </c>
      <c r="C427" s="23">
        <f>IFERROR(MATCH($A427,Merge_1_2!$A$2:$A$611,0),0)</f>
        <v>426</v>
      </c>
      <c r="D427" s="23">
        <f>IF($C427&gt;0,INDEX(Merge_1_2!$Q$2:$Q$611,$C427),0)</f>
        <v>426</v>
      </c>
      <c r="E427" s="23">
        <f>IFERROR(MATCH($A427,Dataset3_Raw!$A$2:$A$391,0),0)</f>
        <v>0</v>
      </c>
      <c r="F427" s="24">
        <f>IF($C427&gt;0,INDEX(Merge_1_2!$B$2:$B$611,$C427),DATE(VALUE(RIGHT(INDEX(Dataset3_Raw!$B$2:$B$391,$E427),4)),VALUE(MID(INDEX(Dataset3_Raw!$B$2:$B$391,$E427),4,2)),VALUE(LEFT(INDEX(Dataset3_Raw!$B$2:$B$391,$E427),2))))</f>
        <v>40562</v>
      </c>
      <c r="G427" s="23">
        <f>IF($C427&gt;0,INDEX(Merge_1_2!$C$2:$C$611,$C427),INDEX(Dataset3_Raw!$C$2:$C$391,$E427))</f>
        <v>1</v>
      </c>
      <c r="H427" s="23">
        <f>IF($C427&gt;0,INDEX(Merge_1_2!$D$2:$D$611,$C427),INDEX(Dataset3_Raw!$D$2:$D$391,$E427))</f>
        <v>0</v>
      </c>
      <c r="I427" s="23">
        <f>IF($C427&gt;0,INDEX(Merge_1_2!$E$2:$E$611,$C427),INDEX(Dataset3_Raw!$E$2:$E$391,$E427))</f>
        <v>1</v>
      </c>
      <c r="J427" s="23">
        <f>IF($C427&gt;0,INDEX(Merge_1_2!$F$2:$F$611,$C427),INDEX(Dataset3_Raw!$F$2:$F$391,$E427))</f>
        <v>18</v>
      </c>
      <c r="K427" s="23" t="b">
        <f>IF($C427&gt;0,INDEX(Merge_1_2!$G$2:$G$611,$C427),INDEX(Dataset3_Raw!$G$2:$G$391,$E427))</f>
        <v>0</v>
      </c>
      <c r="L427" s="23">
        <f>IF($C427&gt;0,INDEX(Merge_1_2!$H$2:$H$611,$C427),INDEX(Dataset3_Raw!$H$2:$H$391,$E427))</f>
        <v>3</v>
      </c>
      <c r="M427" s="23">
        <f>IF($C427&gt;0,INDEX(Merge_1_2!$I$2:$I$611,$C427),INDEX(Dataset3_Raw!$I$2:$I$391,$E427))</f>
        <v>1</v>
      </c>
      <c r="N427" s="25">
        <f>IF($C427&gt;0,INDEX(Merge_1_2!$J$2:$J$611,$C427),INDEX(Dataset3_Raw!$J$2:$J$391,$E427))</f>
        <v>0.34</v>
      </c>
      <c r="O427" s="25">
        <f>IF($C427&gt;0,IF(ISNUMBER(INDEX(Merge_1_2!$K$2:$K$611,$C427)),INDEX(Merge_1_2!$K$2:$K$611,$C427),""),INDEX(Dataset3_Raw!$K$2:$K$391,$E427))</f>
        <v>0.31819999999999998</v>
      </c>
      <c r="P427" s="25">
        <f>IF(ISNUMBER($O427),$O427,ROUND(Lookups!$B$25+Lookups!$B$24*$N427,4))</f>
        <v>0.31819999999999998</v>
      </c>
      <c r="Q427" s="25">
        <f>IF($C427&gt;0,INDEX(Merge_1_2!$L$2:$L$611,$C427),INDEX(Dataset3_Raw!$L$2:$L$391,$E427))</f>
        <v>0.61</v>
      </c>
      <c r="R427" s="25">
        <f>IF($C427&gt;0,INDEX(Merge_1_2!$M$2:$M$611,$C427),INDEX(Dataset3_Raw!$M$2:$M$391,$E427))</f>
        <v>0.28360000000000002</v>
      </c>
      <c r="S427" s="23">
        <f>IF($C427&gt;0,INDEX(Merge_1_2!$N$2:$N$611,$C427),INDEX(Dataset3_Raw!$N$2:$N$391,$E427))</f>
        <v>5</v>
      </c>
      <c r="T427" s="23">
        <f>IF($C427&gt;0,INDEX(Merge_1_2!$O$2:$O$611,$C427),INDEX(Dataset3_Raw!$O$2:$O$391,$E427))</f>
        <v>156</v>
      </c>
      <c r="U427" s="23">
        <f>IF($C427&gt;0,INDEX(Merge_1_2!$P$2:$P$611,$C427),INDEX(Dataset3_Raw!$P$2:$P$391,$E427))</f>
        <v>161</v>
      </c>
      <c r="V427" s="23" t="str">
        <f t="shared" si="37"/>
        <v>Weekday</v>
      </c>
      <c r="W427" s="23" t="str">
        <f>VLOOKUP($M427,Lookups!$A$5:$B$8,2,FALSE())</f>
        <v>Clear / Partly cloudy</v>
      </c>
      <c r="X427" s="23" t="str">
        <f>VLOOKUP($G427,Lookups!$D$5:$E$8,2,FALSE())</f>
        <v>Winter</v>
      </c>
      <c r="Y427" s="23" t="str">
        <f>VLOOKUP($L427,Lookups!$G$5:$H$11,2,FALSE())</f>
        <v>Wednesday</v>
      </c>
      <c r="Z427" s="23" t="str">
        <f>IF($J427&lt;Lookups!$B$26,"Night",IF($J427&lt;Lookups!$B$27,"Morning",IF($J427&lt;Lookups!$B$28,"Afternoon","Evening")))</f>
        <v>Evening</v>
      </c>
      <c r="AA427" s="26">
        <f>ROUND($N427*(Lookups!$B$16-Lookups!$B$15)+Lookups!$B$15,1)</f>
        <v>8</v>
      </c>
      <c r="AB427" s="26">
        <f>ROUND($P427*(Lookups!$B$18-Lookups!$B$17)+Lookups!$B$17,1)</f>
        <v>5</v>
      </c>
      <c r="AC427" s="23">
        <f t="shared" si="38"/>
        <v>61</v>
      </c>
      <c r="AD427" s="23">
        <f>ROUND($R427*Lookups!$B$19,1)</f>
        <v>19</v>
      </c>
      <c r="AE427" s="27">
        <f t="shared" si="39"/>
        <v>0.96894409937888204</v>
      </c>
      <c r="AF427" s="23" t="str">
        <f>IF($U427&gt;=Lookups!$B$23,"High",IF($U427&gt;=Lookups!$B$22,"Medium","Low"))</f>
        <v>High</v>
      </c>
      <c r="AG427" s="23">
        <f>ROUND(IF($V427="Weekday",IF(INDEX(Hourly_Analysis!$D$5:$D$28,$J427+1)&gt;0,($U427-INDEX(Hourly_Analysis!$C$5:$C$28,$J427+1))/INDEX(Hourly_Analysis!$D$5:$D$28,$J427+1),0),IF(INDEX(Hourly_Analysis!$G$5:$G$28,$J427+1)&gt;0,($U427-INDEX(Hourly_Analysis!$F$5:$F$28,$J427+1))/INDEX(Hourly_Analysis!$G$5:$G$28,$J427+1),0)),2)</f>
        <v>0.28000000000000003</v>
      </c>
      <c r="AH427" s="23" t="str">
        <f>IF(ABS($AG427)&gt;Lookups!$B$20,IF($AG427&gt;0,"High anomaly","Low anomaly"),"")</f>
        <v/>
      </c>
      <c r="AI427" s="23" t="str">
        <f t="shared" si="40"/>
        <v>OK</v>
      </c>
      <c r="AJ427" s="23" t="str">
        <f t="shared" si="41"/>
        <v>No</v>
      </c>
    </row>
    <row r="428" spans="1:36" x14ac:dyDescent="0.35">
      <c r="A428" s="23">
        <v>427</v>
      </c>
      <c r="B428" s="23" t="str">
        <f t="shared" si="36"/>
        <v>Merge 1+2</v>
      </c>
      <c r="C428" s="23">
        <f>IFERROR(MATCH($A428,Merge_1_2!$A$2:$A$611,0),0)</f>
        <v>427</v>
      </c>
      <c r="D428" s="23">
        <f>IF($C428&gt;0,INDEX(Merge_1_2!$Q$2:$Q$611,$C428),0)</f>
        <v>427</v>
      </c>
      <c r="E428" s="23">
        <f>IFERROR(MATCH($A428,Dataset3_Raw!$A$2:$A$391,0),0)</f>
        <v>0</v>
      </c>
      <c r="F428" s="24">
        <f>IF($C428&gt;0,INDEX(Merge_1_2!$B$2:$B$611,$C428),DATE(VALUE(RIGHT(INDEX(Dataset3_Raw!$B$2:$B$391,$E428),4)),VALUE(MID(INDEX(Dataset3_Raw!$B$2:$B$391,$E428),4,2)),VALUE(LEFT(INDEX(Dataset3_Raw!$B$2:$B$391,$E428),2))))</f>
        <v>40562</v>
      </c>
      <c r="G428" s="23">
        <f>IF($C428&gt;0,INDEX(Merge_1_2!$C$2:$C$611,$C428),INDEX(Dataset3_Raw!$C$2:$C$391,$E428))</f>
        <v>1</v>
      </c>
      <c r="H428" s="23">
        <f>IF($C428&gt;0,INDEX(Merge_1_2!$D$2:$D$611,$C428),INDEX(Dataset3_Raw!$D$2:$D$391,$E428))</f>
        <v>0</v>
      </c>
      <c r="I428" s="23">
        <f>IF($C428&gt;0,INDEX(Merge_1_2!$E$2:$E$611,$C428),INDEX(Dataset3_Raw!$E$2:$E$391,$E428))</f>
        <v>1</v>
      </c>
      <c r="J428" s="23">
        <f>IF($C428&gt;0,INDEX(Merge_1_2!$F$2:$F$611,$C428),INDEX(Dataset3_Raw!$F$2:$F$391,$E428))</f>
        <v>19</v>
      </c>
      <c r="K428" s="23" t="b">
        <f>IF($C428&gt;0,INDEX(Merge_1_2!$G$2:$G$611,$C428),INDEX(Dataset3_Raw!$G$2:$G$391,$E428))</f>
        <v>0</v>
      </c>
      <c r="L428" s="23">
        <f>IF($C428&gt;0,INDEX(Merge_1_2!$H$2:$H$611,$C428),INDEX(Dataset3_Raw!$H$2:$H$391,$E428))</f>
        <v>3</v>
      </c>
      <c r="M428" s="23">
        <f>IF($C428&gt;0,INDEX(Merge_1_2!$I$2:$I$611,$C428),INDEX(Dataset3_Raw!$I$2:$I$391,$E428))</f>
        <v>1</v>
      </c>
      <c r="N428" s="25">
        <f>IF($C428&gt;0,INDEX(Merge_1_2!$J$2:$J$611,$C428),INDEX(Dataset3_Raw!$J$2:$J$391,$E428))</f>
        <v>0.32</v>
      </c>
      <c r="O428" s="25">
        <f>IF($C428&gt;0,IF(ISNUMBER(INDEX(Merge_1_2!$K$2:$K$611,$C428)),INDEX(Merge_1_2!$K$2:$K$611,$C428),""),INDEX(Dataset3_Raw!$K$2:$K$391,$E428))</f>
        <v>0.28789999999999999</v>
      </c>
      <c r="P428" s="25">
        <f>IF(ISNUMBER($O428),$O428,ROUND(Lookups!$B$25+Lookups!$B$24*$N428,4))</f>
        <v>0.28789999999999999</v>
      </c>
      <c r="Q428" s="25">
        <f>IF($C428&gt;0,INDEX(Merge_1_2!$L$2:$L$611,$C428),INDEX(Dataset3_Raw!$L$2:$L$391,$E428))</f>
        <v>0.56999999999999995</v>
      </c>
      <c r="R428" s="25">
        <f>IF($C428&gt;0,INDEX(Merge_1_2!$M$2:$M$611,$C428),INDEX(Dataset3_Raw!$M$2:$M$391,$E428))</f>
        <v>0.41789999999999999</v>
      </c>
      <c r="S428" s="23">
        <f>IF($C428&gt;0,INDEX(Merge_1_2!$N$2:$N$611,$C428),INDEX(Dataset3_Raw!$N$2:$N$391,$E428))</f>
        <v>4</v>
      </c>
      <c r="T428" s="23">
        <f>IF($C428&gt;0,INDEX(Merge_1_2!$O$2:$O$611,$C428),INDEX(Dataset3_Raw!$O$2:$O$391,$E428))</f>
        <v>108</v>
      </c>
      <c r="U428" s="23">
        <f>IF($C428&gt;0,INDEX(Merge_1_2!$P$2:$P$611,$C428),INDEX(Dataset3_Raw!$P$2:$P$391,$E428))</f>
        <v>112</v>
      </c>
      <c r="V428" s="23" t="str">
        <f t="shared" si="37"/>
        <v>Weekday</v>
      </c>
      <c r="W428" s="23" t="str">
        <f>VLOOKUP($M428,Lookups!$A$5:$B$8,2,FALSE())</f>
        <v>Clear / Partly cloudy</v>
      </c>
      <c r="X428" s="23" t="str">
        <f>VLOOKUP($G428,Lookups!$D$5:$E$8,2,FALSE())</f>
        <v>Winter</v>
      </c>
      <c r="Y428" s="23" t="str">
        <f>VLOOKUP($L428,Lookups!$G$5:$H$11,2,FALSE())</f>
        <v>Wednesday</v>
      </c>
      <c r="Z428" s="23" t="str">
        <f>IF($J428&lt;Lookups!$B$26,"Night",IF($J428&lt;Lookups!$B$27,"Morning",IF($J428&lt;Lookups!$B$28,"Afternoon","Evening")))</f>
        <v>Evening</v>
      </c>
      <c r="AA428" s="26">
        <f>ROUND($N428*(Lookups!$B$16-Lookups!$B$15)+Lookups!$B$15,1)</f>
        <v>7</v>
      </c>
      <c r="AB428" s="26">
        <f>ROUND($P428*(Lookups!$B$18-Lookups!$B$17)+Lookups!$B$17,1)</f>
        <v>3</v>
      </c>
      <c r="AC428" s="23">
        <f t="shared" si="38"/>
        <v>57</v>
      </c>
      <c r="AD428" s="23">
        <f>ROUND($R428*Lookups!$B$19,1)</f>
        <v>28</v>
      </c>
      <c r="AE428" s="27">
        <f t="shared" si="39"/>
        <v>0.9642857142857143</v>
      </c>
      <c r="AF428" s="23" t="str">
        <f>IF($U428&gt;=Lookups!$B$23,"High",IF($U428&gt;=Lookups!$B$22,"Medium","Low"))</f>
        <v>High</v>
      </c>
      <c r="AG428" s="23">
        <f>ROUND(IF($V428="Weekday",IF(INDEX(Hourly_Analysis!$D$5:$D$28,$J428+1)&gt;0,($U428-INDEX(Hourly_Analysis!$C$5:$C$28,$J428+1))/INDEX(Hourly_Analysis!$D$5:$D$28,$J428+1),0),IF(INDEX(Hourly_Analysis!$G$5:$G$28,$J428+1)&gt;0,($U428-INDEX(Hourly_Analysis!$F$5:$F$28,$J428+1))/INDEX(Hourly_Analysis!$G$5:$G$28,$J428+1),0)),2)</f>
        <v>0.42</v>
      </c>
      <c r="AH428" s="23" t="str">
        <f>IF(ABS($AG428)&gt;Lookups!$B$20,IF($AG428&gt;0,"High anomaly","Low anomaly"),"")</f>
        <v/>
      </c>
      <c r="AI428" s="23" t="str">
        <f t="shared" si="40"/>
        <v>OK</v>
      </c>
      <c r="AJ428" s="23" t="str">
        <f t="shared" si="41"/>
        <v>No</v>
      </c>
    </row>
    <row r="429" spans="1:36" x14ac:dyDescent="0.35">
      <c r="A429" s="23">
        <v>428</v>
      </c>
      <c r="B429" s="23" t="str">
        <f t="shared" si="36"/>
        <v>Merge 1+2</v>
      </c>
      <c r="C429" s="23">
        <f>IFERROR(MATCH($A429,Merge_1_2!$A$2:$A$611,0),0)</f>
        <v>428</v>
      </c>
      <c r="D429" s="23">
        <f>IF($C429&gt;0,INDEX(Merge_1_2!$Q$2:$Q$611,$C429),0)</f>
        <v>428</v>
      </c>
      <c r="E429" s="23">
        <f>IFERROR(MATCH($A429,Dataset3_Raw!$A$2:$A$391,0),0)</f>
        <v>0</v>
      </c>
      <c r="F429" s="24">
        <f>IF($C429&gt;0,INDEX(Merge_1_2!$B$2:$B$611,$C429),DATE(VALUE(RIGHT(INDEX(Dataset3_Raw!$B$2:$B$391,$E429),4)),VALUE(MID(INDEX(Dataset3_Raw!$B$2:$B$391,$E429),4,2)),VALUE(LEFT(INDEX(Dataset3_Raw!$B$2:$B$391,$E429),2))))</f>
        <v>40562</v>
      </c>
      <c r="G429" s="23">
        <f>IF($C429&gt;0,INDEX(Merge_1_2!$C$2:$C$611,$C429),INDEX(Dataset3_Raw!$C$2:$C$391,$E429))</f>
        <v>1</v>
      </c>
      <c r="H429" s="23">
        <f>IF($C429&gt;0,INDEX(Merge_1_2!$D$2:$D$611,$C429),INDEX(Dataset3_Raw!$D$2:$D$391,$E429))</f>
        <v>0</v>
      </c>
      <c r="I429" s="23">
        <f>IF($C429&gt;0,INDEX(Merge_1_2!$E$2:$E$611,$C429),INDEX(Dataset3_Raw!$E$2:$E$391,$E429))</f>
        <v>1</v>
      </c>
      <c r="J429" s="23">
        <f>IF($C429&gt;0,INDEX(Merge_1_2!$F$2:$F$611,$C429),INDEX(Dataset3_Raw!$F$2:$F$391,$E429))</f>
        <v>20</v>
      </c>
      <c r="K429" s="23" t="b">
        <f>IF($C429&gt;0,INDEX(Merge_1_2!$G$2:$G$611,$C429),INDEX(Dataset3_Raw!$G$2:$G$391,$E429))</f>
        <v>0</v>
      </c>
      <c r="L429" s="23">
        <f>IF($C429&gt;0,INDEX(Merge_1_2!$H$2:$H$611,$C429),INDEX(Dataset3_Raw!$H$2:$H$391,$E429))</f>
        <v>3</v>
      </c>
      <c r="M429" s="23">
        <f>IF($C429&gt;0,INDEX(Merge_1_2!$I$2:$I$611,$C429),INDEX(Dataset3_Raw!$I$2:$I$391,$E429))</f>
        <v>1</v>
      </c>
      <c r="N429" s="25">
        <f>IF($C429&gt;0,INDEX(Merge_1_2!$J$2:$J$611,$C429),INDEX(Dataset3_Raw!$J$2:$J$391,$E429))</f>
        <v>0.32</v>
      </c>
      <c r="O429" s="25">
        <f>IF($C429&gt;0,IF(ISNUMBER(INDEX(Merge_1_2!$K$2:$K$611,$C429)),INDEX(Merge_1_2!$K$2:$K$611,$C429),""),INDEX(Dataset3_Raw!$K$2:$K$391,$E429))</f>
        <v>0.30299999999999999</v>
      </c>
      <c r="P429" s="25">
        <f>IF(ISNUMBER($O429),$O429,ROUND(Lookups!$B$25+Lookups!$B$24*$N429,4))</f>
        <v>0.30299999999999999</v>
      </c>
      <c r="Q429" s="25">
        <f>IF($C429&gt;0,INDEX(Merge_1_2!$L$2:$L$611,$C429),INDEX(Dataset3_Raw!$L$2:$L$391,$E429))</f>
        <v>0.49</v>
      </c>
      <c r="R429" s="25">
        <f>IF($C429&gt;0,INDEX(Merge_1_2!$M$2:$M$611,$C429),INDEX(Dataset3_Raw!$M$2:$M$391,$E429))</f>
        <v>0.29849999999999999</v>
      </c>
      <c r="S429" s="23">
        <f>IF($C429&gt;0,INDEX(Merge_1_2!$N$2:$N$611,$C429),INDEX(Dataset3_Raw!$N$2:$N$391,$E429))</f>
        <v>2</v>
      </c>
      <c r="T429" s="23">
        <f>IF($C429&gt;0,INDEX(Merge_1_2!$O$2:$O$611,$C429),INDEX(Dataset3_Raw!$O$2:$O$391,$E429))</f>
        <v>74</v>
      </c>
      <c r="U429" s="23">
        <f>IF($C429&gt;0,INDEX(Merge_1_2!$P$2:$P$611,$C429),INDEX(Dataset3_Raw!$P$2:$P$391,$E429))</f>
        <v>76</v>
      </c>
      <c r="V429" s="23" t="str">
        <f t="shared" si="37"/>
        <v>Weekday</v>
      </c>
      <c r="W429" s="23" t="str">
        <f>VLOOKUP($M429,Lookups!$A$5:$B$8,2,FALSE())</f>
        <v>Clear / Partly cloudy</v>
      </c>
      <c r="X429" s="23" t="str">
        <f>VLOOKUP($G429,Lookups!$D$5:$E$8,2,FALSE())</f>
        <v>Winter</v>
      </c>
      <c r="Y429" s="23" t="str">
        <f>VLOOKUP($L429,Lookups!$G$5:$H$11,2,FALSE())</f>
        <v>Wednesday</v>
      </c>
      <c r="Z429" s="23" t="str">
        <f>IF($J429&lt;Lookups!$B$26,"Night",IF($J429&lt;Lookups!$B$27,"Morning",IF($J429&lt;Lookups!$B$28,"Afternoon","Evening")))</f>
        <v>Evening</v>
      </c>
      <c r="AA429" s="26">
        <f>ROUND($N429*(Lookups!$B$16-Lookups!$B$15)+Lookups!$B$15,1)</f>
        <v>7</v>
      </c>
      <c r="AB429" s="26">
        <f>ROUND($P429*(Lookups!$B$18-Lookups!$B$17)+Lookups!$B$17,1)</f>
        <v>4</v>
      </c>
      <c r="AC429" s="23">
        <f t="shared" si="38"/>
        <v>49</v>
      </c>
      <c r="AD429" s="23">
        <f>ROUND($R429*Lookups!$B$19,1)</f>
        <v>20</v>
      </c>
      <c r="AE429" s="27">
        <f t="shared" si="39"/>
        <v>0.97368421052631582</v>
      </c>
      <c r="AF429" s="23" t="str">
        <f>IF($U429&gt;=Lookups!$B$23,"High",IF($U429&gt;=Lookups!$B$22,"Medium","Low"))</f>
        <v>Medium</v>
      </c>
      <c r="AG429" s="23">
        <f>ROUND(IF($V429="Weekday",IF(INDEX(Hourly_Analysis!$D$5:$D$28,$J429+1)&gt;0,($U429-INDEX(Hourly_Analysis!$C$5:$C$28,$J429+1))/INDEX(Hourly_Analysis!$D$5:$D$28,$J429+1),0),IF(INDEX(Hourly_Analysis!$G$5:$G$28,$J429+1)&gt;0,($U429-INDEX(Hourly_Analysis!$F$5:$F$28,$J429+1))/INDEX(Hourly_Analysis!$G$5:$G$28,$J429+1),0)),2)</f>
        <v>0.11</v>
      </c>
      <c r="AH429" s="23" t="str">
        <f>IF(ABS($AG429)&gt;Lookups!$B$20,IF($AG429&gt;0,"High anomaly","Low anomaly"),"")</f>
        <v/>
      </c>
      <c r="AI429" s="23" t="str">
        <f t="shared" si="40"/>
        <v>OK</v>
      </c>
      <c r="AJ429" s="23" t="str">
        <f t="shared" si="41"/>
        <v>No</v>
      </c>
    </row>
    <row r="430" spans="1:36" x14ac:dyDescent="0.35">
      <c r="A430" s="23">
        <v>429</v>
      </c>
      <c r="B430" s="23" t="str">
        <f t="shared" si="36"/>
        <v>Merge 1+2</v>
      </c>
      <c r="C430" s="23">
        <f>IFERROR(MATCH($A430,Merge_1_2!$A$2:$A$611,0),0)</f>
        <v>429</v>
      </c>
      <c r="D430" s="23">
        <f>IF($C430&gt;0,INDEX(Merge_1_2!$Q$2:$Q$611,$C430),0)</f>
        <v>429</v>
      </c>
      <c r="E430" s="23">
        <f>IFERROR(MATCH($A430,Dataset3_Raw!$A$2:$A$391,0),0)</f>
        <v>0</v>
      </c>
      <c r="F430" s="24">
        <f>IF($C430&gt;0,INDEX(Merge_1_2!$B$2:$B$611,$C430),DATE(VALUE(RIGHT(INDEX(Dataset3_Raw!$B$2:$B$391,$E430),4)),VALUE(MID(INDEX(Dataset3_Raw!$B$2:$B$391,$E430),4,2)),VALUE(LEFT(INDEX(Dataset3_Raw!$B$2:$B$391,$E430),2))))</f>
        <v>40562</v>
      </c>
      <c r="G430" s="23">
        <f>IF($C430&gt;0,INDEX(Merge_1_2!$C$2:$C$611,$C430),INDEX(Dataset3_Raw!$C$2:$C$391,$E430))</f>
        <v>1</v>
      </c>
      <c r="H430" s="23">
        <f>IF($C430&gt;0,INDEX(Merge_1_2!$D$2:$D$611,$C430),INDEX(Dataset3_Raw!$D$2:$D$391,$E430))</f>
        <v>0</v>
      </c>
      <c r="I430" s="23">
        <f>IF($C430&gt;0,INDEX(Merge_1_2!$E$2:$E$611,$C430),INDEX(Dataset3_Raw!$E$2:$E$391,$E430))</f>
        <v>1</v>
      </c>
      <c r="J430" s="23">
        <f>IF($C430&gt;0,INDEX(Merge_1_2!$F$2:$F$611,$C430),INDEX(Dataset3_Raw!$F$2:$F$391,$E430))</f>
        <v>21</v>
      </c>
      <c r="K430" s="23" t="b">
        <f>IF($C430&gt;0,INDEX(Merge_1_2!$G$2:$G$611,$C430),INDEX(Dataset3_Raw!$G$2:$G$391,$E430))</f>
        <v>0</v>
      </c>
      <c r="L430" s="23">
        <f>IF($C430&gt;0,INDEX(Merge_1_2!$H$2:$H$611,$C430),INDEX(Dataset3_Raw!$H$2:$H$391,$E430))</f>
        <v>3</v>
      </c>
      <c r="M430" s="23">
        <f>IF($C430&gt;0,INDEX(Merge_1_2!$I$2:$I$611,$C430),INDEX(Dataset3_Raw!$I$2:$I$391,$E430))</f>
        <v>1</v>
      </c>
      <c r="N430" s="25">
        <f>IF($C430&gt;0,INDEX(Merge_1_2!$J$2:$J$611,$C430),INDEX(Dataset3_Raw!$J$2:$J$391,$E430))</f>
        <v>0.32</v>
      </c>
      <c r="O430" s="25">
        <f>IF($C430&gt;0,IF(ISNUMBER(INDEX(Merge_1_2!$K$2:$K$611,$C430)),INDEX(Merge_1_2!$K$2:$K$611,$C430),""),INDEX(Dataset3_Raw!$K$2:$K$391,$E430))</f>
        <v>0.28789999999999999</v>
      </c>
      <c r="P430" s="25">
        <f>IF(ISNUMBER($O430),$O430,ROUND(Lookups!$B$25+Lookups!$B$24*$N430,4))</f>
        <v>0.28789999999999999</v>
      </c>
      <c r="Q430" s="25">
        <f>IF($C430&gt;0,INDEX(Merge_1_2!$L$2:$L$611,$C430),INDEX(Dataset3_Raw!$L$2:$L$391,$E430))</f>
        <v>0.49</v>
      </c>
      <c r="R430" s="25">
        <f>IF($C430&gt;0,INDEX(Merge_1_2!$M$2:$M$611,$C430),INDEX(Dataset3_Raw!$M$2:$M$391,$E430))</f>
        <v>0.41789999999999999</v>
      </c>
      <c r="S430" s="23">
        <f>IF($C430&gt;0,INDEX(Merge_1_2!$N$2:$N$611,$C430),INDEX(Dataset3_Raw!$N$2:$N$391,$E430))</f>
        <v>4</v>
      </c>
      <c r="T430" s="23">
        <f>IF($C430&gt;0,INDEX(Merge_1_2!$O$2:$O$611,$C430),INDEX(Dataset3_Raw!$O$2:$O$391,$E430))</f>
        <v>55</v>
      </c>
      <c r="U430" s="23">
        <f>IF($C430&gt;0,INDEX(Merge_1_2!$P$2:$P$611,$C430),INDEX(Dataset3_Raw!$P$2:$P$391,$E430))</f>
        <v>59</v>
      </c>
      <c r="V430" s="23" t="str">
        <f t="shared" si="37"/>
        <v>Weekday</v>
      </c>
      <c r="W430" s="23" t="str">
        <f>VLOOKUP($M430,Lookups!$A$5:$B$8,2,FALSE())</f>
        <v>Clear / Partly cloudy</v>
      </c>
      <c r="X430" s="23" t="str">
        <f>VLOOKUP($G430,Lookups!$D$5:$E$8,2,FALSE())</f>
        <v>Winter</v>
      </c>
      <c r="Y430" s="23" t="str">
        <f>VLOOKUP($L430,Lookups!$G$5:$H$11,2,FALSE())</f>
        <v>Wednesday</v>
      </c>
      <c r="Z430" s="23" t="str">
        <f>IF($J430&lt;Lookups!$B$26,"Night",IF($J430&lt;Lookups!$B$27,"Morning",IF($J430&lt;Lookups!$B$28,"Afternoon","Evening")))</f>
        <v>Evening</v>
      </c>
      <c r="AA430" s="26">
        <f>ROUND($N430*(Lookups!$B$16-Lookups!$B$15)+Lookups!$B$15,1)</f>
        <v>7</v>
      </c>
      <c r="AB430" s="26">
        <f>ROUND($P430*(Lookups!$B$18-Lookups!$B$17)+Lookups!$B$17,1)</f>
        <v>3</v>
      </c>
      <c r="AC430" s="23">
        <f t="shared" si="38"/>
        <v>49</v>
      </c>
      <c r="AD430" s="23">
        <f>ROUND($R430*Lookups!$B$19,1)</f>
        <v>28</v>
      </c>
      <c r="AE430" s="27">
        <f t="shared" si="39"/>
        <v>0.93220338983050843</v>
      </c>
      <c r="AF430" s="23" t="str">
        <f>IF($U430&gt;=Lookups!$B$23,"High",IF($U430&gt;=Lookups!$B$22,"Medium","Low"))</f>
        <v>Medium</v>
      </c>
      <c r="AG430" s="23">
        <f>ROUND(IF($V430="Weekday",IF(INDEX(Hourly_Analysis!$D$5:$D$28,$J430+1)&gt;0,($U430-INDEX(Hourly_Analysis!$C$5:$C$28,$J430+1))/INDEX(Hourly_Analysis!$D$5:$D$28,$J430+1),0),IF(INDEX(Hourly_Analysis!$G$5:$G$28,$J430+1)&gt;0,($U430-INDEX(Hourly_Analysis!$F$5:$F$28,$J430+1))/INDEX(Hourly_Analysis!$G$5:$G$28,$J430+1),0)),2)</f>
        <v>0.55000000000000004</v>
      </c>
      <c r="AH430" s="23" t="str">
        <f>IF(ABS($AG430)&gt;Lookups!$B$20,IF($AG430&gt;0,"High anomaly","Low anomaly"),"")</f>
        <v/>
      </c>
      <c r="AI430" s="23" t="str">
        <f t="shared" si="40"/>
        <v>OK</v>
      </c>
      <c r="AJ430" s="23" t="str">
        <f t="shared" si="41"/>
        <v>No</v>
      </c>
    </row>
    <row r="431" spans="1:36" x14ac:dyDescent="0.35">
      <c r="A431" s="23">
        <v>430</v>
      </c>
      <c r="B431" s="23" t="str">
        <f t="shared" si="36"/>
        <v>Merge 1+2</v>
      </c>
      <c r="C431" s="23">
        <f>IFERROR(MATCH($A431,Merge_1_2!$A$2:$A$611,0),0)</f>
        <v>430</v>
      </c>
      <c r="D431" s="23">
        <f>IF($C431&gt;0,INDEX(Merge_1_2!$Q$2:$Q$611,$C431),0)</f>
        <v>430</v>
      </c>
      <c r="E431" s="23">
        <f>IFERROR(MATCH($A431,Dataset3_Raw!$A$2:$A$391,0),0)</f>
        <v>0</v>
      </c>
      <c r="F431" s="24">
        <f>IF($C431&gt;0,INDEX(Merge_1_2!$B$2:$B$611,$C431),DATE(VALUE(RIGHT(INDEX(Dataset3_Raw!$B$2:$B$391,$E431),4)),VALUE(MID(INDEX(Dataset3_Raw!$B$2:$B$391,$E431),4,2)),VALUE(LEFT(INDEX(Dataset3_Raw!$B$2:$B$391,$E431),2))))</f>
        <v>40562</v>
      </c>
      <c r="G431" s="23">
        <f>IF($C431&gt;0,INDEX(Merge_1_2!$C$2:$C$611,$C431),INDEX(Dataset3_Raw!$C$2:$C$391,$E431))</f>
        <v>1</v>
      </c>
      <c r="H431" s="23">
        <f>IF($C431&gt;0,INDEX(Merge_1_2!$D$2:$D$611,$C431),INDEX(Dataset3_Raw!$D$2:$D$391,$E431))</f>
        <v>0</v>
      </c>
      <c r="I431" s="23">
        <f>IF($C431&gt;0,INDEX(Merge_1_2!$E$2:$E$611,$C431),INDEX(Dataset3_Raw!$E$2:$E$391,$E431))</f>
        <v>1</v>
      </c>
      <c r="J431" s="23">
        <f>IF($C431&gt;0,INDEX(Merge_1_2!$F$2:$F$611,$C431),INDEX(Dataset3_Raw!$F$2:$F$391,$E431))</f>
        <v>22</v>
      </c>
      <c r="K431" s="23" t="b">
        <f>IF($C431&gt;0,INDEX(Merge_1_2!$G$2:$G$611,$C431),INDEX(Dataset3_Raw!$G$2:$G$391,$E431))</f>
        <v>0</v>
      </c>
      <c r="L431" s="23">
        <f>IF($C431&gt;0,INDEX(Merge_1_2!$H$2:$H$611,$C431),INDEX(Dataset3_Raw!$H$2:$H$391,$E431))</f>
        <v>3</v>
      </c>
      <c r="M431" s="23">
        <f>IF($C431&gt;0,INDEX(Merge_1_2!$I$2:$I$611,$C431),INDEX(Dataset3_Raw!$I$2:$I$391,$E431))</f>
        <v>1</v>
      </c>
      <c r="N431" s="25">
        <f>IF($C431&gt;0,INDEX(Merge_1_2!$J$2:$J$611,$C431),INDEX(Dataset3_Raw!$J$2:$J$391,$E431))</f>
        <v>0.3</v>
      </c>
      <c r="O431" s="25">
        <f>IF($C431&gt;0,IF(ISNUMBER(INDEX(Merge_1_2!$K$2:$K$611,$C431)),INDEX(Merge_1_2!$K$2:$K$611,$C431),""),INDEX(Dataset3_Raw!$K$2:$K$391,$E431))</f>
        <v>0.30299999999999999</v>
      </c>
      <c r="P431" s="25">
        <f>IF(ISNUMBER($O431),$O431,ROUND(Lookups!$B$25+Lookups!$B$24*$N431,4))</f>
        <v>0.30299999999999999</v>
      </c>
      <c r="Q431" s="25">
        <f>IF($C431&gt;0,INDEX(Merge_1_2!$L$2:$L$611,$C431),INDEX(Dataset3_Raw!$L$2:$L$391,$E431))</f>
        <v>0.52</v>
      </c>
      <c r="R431" s="25">
        <f>IF($C431&gt;0,INDEX(Merge_1_2!$M$2:$M$611,$C431),INDEX(Dataset3_Raw!$M$2:$M$391,$E431))</f>
        <v>0.16420000000000001</v>
      </c>
      <c r="S431" s="23">
        <f>IF($C431&gt;0,INDEX(Merge_1_2!$N$2:$N$611,$C431),INDEX(Dataset3_Raw!$N$2:$N$391,$E431))</f>
        <v>6</v>
      </c>
      <c r="T431" s="23">
        <f>IF($C431&gt;0,INDEX(Merge_1_2!$O$2:$O$611,$C431),INDEX(Dataset3_Raw!$O$2:$O$391,$E431))</f>
        <v>53</v>
      </c>
      <c r="U431" s="23">
        <f>IF($C431&gt;0,INDEX(Merge_1_2!$P$2:$P$611,$C431),INDEX(Dataset3_Raw!$P$2:$P$391,$E431))</f>
        <v>59</v>
      </c>
      <c r="V431" s="23" t="str">
        <f t="shared" si="37"/>
        <v>Weekday</v>
      </c>
      <c r="W431" s="23" t="str">
        <f>VLOOKUP($M431,Lookups!$A$5:$B$8,2,FALSE())</f>
        <v>Clear / Partly cloudy</v>
      </c>
      <c r="X431" s="23" t="str">
        <f>VLOOKUP($G431,Lookups!$D$5:$E$8,2,FALSE())</f>
        <v>Winter</v>
      </c>
      <c r="Y431" s="23" t="str">
        <f>VLOOKUP($L431,Lookups!$G$5:$H$11,2,FALSE())</f>
        <v>Wednesday</v>
      </c>
      <c r="Z431" s="23" t="str">
        <f>IF($J431&lt;Lookups!$B$26,"Night",IF($J431&lt;Lookups!$B$27,"Morning",IF($J431&lt;Lookups!$B$28,"Afternoon","Evening")))</f>
        <v>Evening</v>
      </c>
      <c r="AA431" s="26">
        <f>ROUND($N431*(Lookups!$B$16-Lookups!$B$15)+Lookups!$B$15,1)</f>
        <v>6.1</v>
      </c>
      <c r="AB431" s="26">
        <f>ROUND($P431*(Lookups!$B$18-Lookups!$B$17)+Lookups!$B$17,1)</f>
        <v>4</v>
      </c>
      <c r="AC431" s="23">
        <f t="shared" si="38"/>
        <v>52</v>
      </c>
      <c r="AD431" s="23">
        <f>ROUND($R431*Lookups!$B$19,1)</f>
        <v>11</v>
      </c>
      <c r="AE431" s="27">
        <f t="shared" si="39"/>
        <v>0.89830508474576276</v>
      </c>
      <c r="AF431" s="23" t="str">
        <f>IF($U431&gt;=Lookups!$B$23,"High",IF($U431&gt;=Lookups!$B$22,"Medium","Low"))</f>
        <v>Medium</v>
      </c>
      <c r="AG431" s="23">
        <f>ROUND(IF($V431="Weekday",IF(INDEX(Hourly_Analysis!$D$5:$D$28,$J431+1)&gt;0,($U431-INDEX(Hourly_Analysis!$C$5:$C$28,$J431+1))/INDEX(Hourly_Analysis!$D$5:$D$28,$J431+1),0),IF(INDEX(Hourly_Analysis!$G$5:$G$28,$J431+1)&gt;0,($U431-INDEX(Hourly_Analysis!$F$5:$F$28,$J431+1))/INDEX(Hourly_Analysis!$G$5:$G$28,$J431+1),0)),2)</f>
        <v>2.12</v>
      </c>
      <c r="AH431" s="23" t="str">
        <f>IF(ABS($AG431)&gt;Lookups!$B$20,IF($AG431&gt;0,"High anomaly","Low anomaly"),"")</f>
        <v/>
      </c>
      <c r="AI431" s="23" t="str">
        <f t="shared" si="40"/>
        <v>OK</v>
      </c>
      <c r="AJ431" s="23" t="str">
        <f t="shared" si="41"/>
        <v>No</v>
      </c>
    </row>
    <row r="432" spans="1:36" x14ac:dyDescent="0.35">
      <c r="A432" s="23">
        <v>431</v>
      </c>
      <c r="B432" s="23" t="str">
        <f t="shared" si="36"/>
        <v>Merge 1+2</v>
      </c>
      <c r="C432" s="23">
        <f>IFERROR(MATCH($A432,Merge_1_2!$A$2:$A$611,0),0)</f>
        <v>431</v>
      </c>
      <c r="D432" s="23">
        <f>IF($C432&gt;0,INDEX(Merge_1_2!$Q$2:$Q$611,$C432),0)</f>
        <v>431</v>
      </c>
      <c r="E432" s="23">
        <f>IFERROR(MATCH($A432,Dataset3_Raw!$A$2:$A$391,0),0)</f>
        <v>0</v>
      </c>
      <c r="F432" s="24">
        <f>IF($C432&gt;0,INDEX(Merge_1_2!$B$2:$B$611,$C432),DATE(VALUE(RIGHT(INDEX(Dataset3_Raw!$B$2:$B$391,$E432),4)),VALUE(MID(INDEX(Dataset3_Raw!$B$2:$B$391,$E432),4,2)),VALUE(LEFT(INDEX(Dataset3_Raw!$B$2:$B$391,$E432),2))))</f>
        <v>40562</v>
      </c>
      <c r="G432" s="23">
        <f>IF($C432&gt;0,INDEX(Merge_1_2!$C$2:$C$611,$C432),INDEX(Dataset3_Raw!$C$2:$C$391,$E432))</f>
        <v>1</v>
      </c>
      <c r="H432" s="23">
        <f>IF($C432&gt;0,INDEX(Merge_1_2!$D$2:$D$611,$C432),INDEX(Dataset3_Raw!$D$2:$D$391,$E432))</f>
        <v>0</v>
      </c>
      <c r="I432" s="23">
        <f>IF($C432&gt;0,INDEX(Merge_1_2!$E$2:$E$611,$C432),INDEX(Dataset3_Raw!$E$2:$E$391,$E432))</f>
        <v>1</v>
      </c>
      <c r="J432" s="23">
        <f>IF($C432&gt;0,INDEX(Merge_1_2!$F$2:$F$611,$C432),INDEX(Dataset3_Raw!$F$2:$F$391,$E432))</f>
        <v>23</v>
      </c>
      <c r="K432" s="23" t="b">
        <f>IF($C432&gt;0,INDEX(Merge_1_2!$G$2:$G$611,$C432),INDEX(Dataset3_Raw!$G$2:$G$391,$E432))</f>
        <v>0</v>
      </c>
      <c r="L432" s="23">
        <f>IF($C432&gt;0,INDEX(Merge_1_2!$H$2:$H$611,$C432),INDEX(Dataset3_Raw!$H$2:$H$391,$E432))</f>
        <v>3</v>
      </c>
      <c r="M432" s="23">
        <f>IF($C432&gt;0,INDEX(Merge_1_2!$I$2:$I$611,$C432),INDEX(Dataset3_Raw!$I$2:$I$391,$E432))</f>
        <v>1</v>
      </c>
      <c r="N432" s="25">
        <f>IF($C432&gt;0,INDEX(Merge_1_2!$J$2:$J$611,$C432),INDEX(Dataset3_Raw!$J$2:$J$391,$E432))</f>
        <v>0.3</v>
      </c>
      <c r="O432" s="25">
        <f>IF($C432&gt;0,IF(ISNUMBER(INDEX(Merge_1_2!$K$2:$K$611,$C432)),INDEX(Merge_1_2!$K$2:$K$611,$C432),""),INDEX(Dataset3_Raw!$K$2:$K$391,$E432))</f>
        <v>0.2727</v>
      </c>
      <c r="P432" s="25">
        <f>IF(ISNUMBER($O432),$O432,ROUND(Lookups!$B$25+Lookups!$B$24*$N432,4))</f>
        <v>0.2727</v>
      </c>
      <c r="Q432" s="25">
        <f>IF($C432&gt;0,INDEX(Merge_1_2!$L$2:$L$611,$C432),INDEX(Dataset3_Raw!$L$2:$L$391,$E432))</f>
        <v>0.52</v>
      </c>
      <c r="R432" s="25">
        <f>IF($C432&gt;0,INDEX(Merge_1_2!$M$2:$M$611,$C432),INDEX(Dataset3_Raw!$M$2:$M$391,$E432))</f>
        <v>0.4627</v>
      </c>
      <c r="S432" s="23">
        <f>IF($C432&gt;0,INDEX(Merge_1_2!$N$2:$N$611,$C432),INDEX(Dataset3_Raw!$N$2:$N$391,$E432))</f>
        <v>1</v>
      </c>
      <c r="T432" s="23">
        <f>IF($C432&gt;0,INDEX(Merge_1_2!$O$2:$O$611,$C432),INDEX(Dataset3_Raw!$O$2:$O$391,$E432))</f>
        <v>27</v>
      </c>
      <c r="U432" s="23">
        <f>IF($C432&gt;0,INDEX(Merge_1_2!$P$2:$P$611,$C432),INDEX(Dataset3_Raw!$P$2:$P$391,$E432))</f>
        <v>28</v>
      </c>
      <c r="V432" s="23" t="str">
        <f t="shared" si="37"/>
        <v>Weekday</v>
      </c>
      <c r="W432" s="23" t="str">
        <f>VLOOKUP($M432,Lookups!$A$5:$B$8,2,FALSE())</f>
        <v>Clear / Partly cloudy</v>
      </c>
      <c r="X432" s="23" t="str">
        <f>VLOOKUP($G432,Lookups!$D$5:$E$8,2,FALSE())</f>
        <v>Winter</v>
      </c>
      <c r="Y432" s="23" t="str">
        <f>VLOOKUP($L432,Lookups!$G$5:$H$11,2,FALSE())</f>
        <v>Wednesday</v>
      </c>
      <c r="Z432" s="23" t="str">
        <f>IF($J432&lt;Lookups!$B$26,"Night",IF($J432&lt;Lookups!$B$27,"Morning",IF($J432&lt;Lookups!$B$28,"Afternoon","Evening")))</f>
        <v>Evening</v>
      </c>
      <c r="AA432" s="26">
        <f>ROUND($N432*(Lookups!$B$16-Lookups!$B$15)+Lookups!$B$15,1)</f>
        <v>6.1</v>
      </c>
      <c r="AB432" s="26">
        <f>ROUND($P432*(Lookups!$B$18-Lookups!$B$17)+Lookups!$B$17,1)</f>
        <v>2</v>
      </c>
      <c r="AC432" s="23">
        <f t="shared" si="38"/>
        <v>52</v>
      </c>
      <c r="AD432" s="23">
        <f>ROUND($R432*Lookups!$B$19,1)</f>
        <v>31</v>
      </c>
      <c r="AE432" s="27">
        <f t="shared" si="39"/>
        <v>0.9642857142857143</v>
      </c>
      <c r="AF432" s="23" t="str">
        <f>IF($U432&gt;=Lookups!$B$23,"High",IF($U432&gt;=Lookups!$B$22,"Medium","Low"))</f>
        <v>Medium</v>
      </c>
      <c r="AG432" s="23">
        <f>ROUND(IF($V432="Weekday",IF(INDEX(Hourly_Analysis!$D$5:$D$28,$J432+1)&gt;0,($U432-INDEX(Hourly_Analysis!$C$5:$C$28,$J432+1))/INDEX(Hourly_Analysis!$D$5:$D$28,$J432+1),0),IF(INDEX(Hourly_Analysis!$G$5:$G$28,$J432+1)&gt;0,($U432-INDEX(Hourly_Analysis!$F$5:$F$28,$J432+1))/INDEX(Hourly_Analysis!$G$5:$G$28,$J432+1),0)),2)</f>
        <v>0.36</v>
      </c>
      <c r="AH432" s="23" t="str">
        <f>IF(ABS($AG432)&gt;Lookups!$B$20,IF($AG432&gt;0,"High anomaly","Low anomaly"),"")</f>
        <v/>
      </c>
      <c r="AI432" s="23" t="str">
        <f t="shared" si="40"/>
        <v>OK</v>
      </c>
      <c r="AJ432" s="23" t="str">
        <f t="shared" si="41"/>
        <v>No</v>
      </c>
    </row>
    <row r="433" spans="1:36" x14ac:dyDescent="0.35">
      <c r="A433" s="23">
        <v>432</v>
      </c>
      <c r="B433" s="23" t="str">
        <f t="shared" si="36"/>
        <v>Merge 1+2</v>
      </c>
      <c r="C433" s="23">
        <f>IFERROR(MATCH($A433,Merge_1_2!$A$2:$A$611,0),0)</f>
        <v>432</v>
      </c>
      <c r="D433" s="23">
        <f>IF($C433&gt;0,INDEX(Merge_1_2!$Q$2:$Q$611,$C433),0)</f>
        <v>432</v>
      </c>
      <c r="E433" s="23">
        <f>IFERROR(MATCH($A433,Dataset3_Raw!$A$2:$A$391,0),0)</f>
        <v>0</v>
      </c>
      <c r="F433" s="24">
        <f>IF($C433&gt;0,INDEX(Merge_1_2!$B$2:$B$611,$C433),DATE(VALUE(RIGHT(INDEX(Dataset3_Raw!$B$2:$B$391,$E433),4)),VALUE(MID(INDEX(Dataset3_Raw!$B$2:$B$391,$E433),4,2)),VALUE(LEFT(INDEX(Dataset3_Raw!$B$2:$B$391,$E433),2))))</f>
        <v>40563</v>
      </c>
      <c r="G433" s="23">
        <f>IF($C433&gt;0,INDEX(Merge_1_2!$C$2:$C$611,$C433),INDEX(Dataset3_Raw!$C$2:$C$391,$E433))</f>
        <v>1</v>
      </c>
      <c r="H433" s="23">
        <f>IF($C433&gt;0,INDEX(Merge_1_2!$D$2:$D$611,$C433),INDEX(Dataset3_Raw!$D$2:$D$391,$E433))</f>
        <v>0</v>
      </c>
      <c r="I433" s="23">
        <f>IF($C433&gt;0,INDEX(Merge_1_2!$E$2:$E$611,$C433),INDEX(Dataset3_Raw!$E$2:$E$391,$E433))</f>
        <v>1</v>
      </c>
      <c r="J433" s="23">
        <f>IF($C433&gt;0,INDEX(Merge_1_2!$F$2:$F$611,$C433),INDEX(Dataset3_Raw!$F$2:$F$391,$E433))</f>
        <v>0</v>
      </c>
      <c r="K433" s="23" t="b">
        <f>IF($C433&gt;0,INDEX(Merge_1_2!$G$2:$G$611,$C433),INDEX(Dataset3_Raw!$G$2:$G$391,$E433))</f>
        <v>0</v>
      </c>
      <c r="L433" s="23">
        <f>IF($C433&gt;0,INDEX(Merge_1_2!$H$2:$H$611,$C433),INDEX(Dataset3_Raw!$H$2:$H$391,$E433))</f>
        <v>4</v>
      </c>
      <c r="M433" s="23">
        <f>IF($C433&gt;0,INDEX(Merge_1_2!$I$2:$I$611,$C433),INDEX(Dataset3_Raw!$I$2:$I$391,$E433))</f>
        <v>1</v>
      </c>
      <c r="N433" s="25">
        <f>IF($C433&gt;0,INDEX(Merge_1_2!$J$2:$J$611,$C433),INDEX(Dataset3_Raw!$J$2:$J$391,$E433))</f>
        <v>0.26</v>
      </c>
      <c r="O433" s="25">
        <f>IF($C433&gt;0,IF(ISNUMBER(INDEX(Merge_1_2!$K$2:$K$611,$C433)),INDEX(Merge_1_2!$K$2:$K$611,$C433),""),INDEX(Dataset3_Raw!$K$2:$K$391,$E433))</f>
        <v>0.2273</v>
      </c>
      <c r="P433" s="25">
        <f>IF(ISNUMBER($O433),$O433,ROUND(Lookups!$B$25+Lookups!$B$24*$N433,4))</f>
        <v>0.2273</v>
      </c>
      <c r="Q433" s="25">
        <f>IF($C433&gt;0,INDEX(Merge_1_2!$L$2:$L$611,$C433),INDEX(Dataset3_Raw!$L$2:$L$391,$E433))</f>
        <v>0.56000000000000005</v>
      </c>
      <c r="R433" s="25">
        <f>IF($C433&gt;0,INDEX(Merge_1_2!$M$2:$M$611,$C433),INDEX(Dataset3_Raw!$M$2:$M$391,$E433))</f>
        <v>0.3881</v>
      </c>
      <c r="S433" s="23">
        <f>IF($C433&gt;0,INDEX(Merge_1_2!$N$2:$N$611,$C433),INDEX(Dataset3_Raw!$N$2:$N$391,$E433))</f>
        <v>5</v>
      </c>
      <c r="T433" s="23">
        <f>IF($C433&gt;0,INDEX(Merge_1_2!$O$2:$O$611,$C433),INDEX(Dataset3_Raw!$O$2:$O$391,$E433))</f>
        <v>8</v>
      </c>
      <c r="U433" s="23">
        <f>IF($C433&gt;0,INDEX(Merge_1_2!$P$2:$P$611,$C433),INDEX(Dataset3_Raw!$P$2:$P$391,$E433))</f>
        <v>13</v>
      </c>
      <c r="V433" s="23" t="str">
        <f t="shared" si="37"/>
        <v>Weekday</v>
      </c>
      <c r="W433" s="23" t="str">
        <f>VLOOKUP($M433,Lookups!$A$5:$B$8,2,FALSE())</f>
        <v>Clear / Partly cloudy</v>
      </c>
      <c r="X433" s="23" t="str">
        <f>VLOOKUP($G433,Lookups!$D$5:$E$8,2,FALSE())</f>
        <v>Winter</v>
      </c>
      <c r="Y433" s="23" t="str">
        <f>VLOOKUP($L433,Lookups!$G$5:$H$11,2,FALSE())</f>
        <v>Thursday</v>
      </c>
      <c r="Z433" s="23" t="str">
        <f>IF($J433&lt;Lookups!$B$26,"Night",IF($J433&lt;Lookups!$B$27,"Morning",IF($J433&lt;Lookups!$B$28,"Afternoon","Evening")))</f>
        <v>Night</v>
      </c>
      <c r="AA433" s="26">
        <f>ROUND($N433*(Lookups!$B$16-Lookups!$B$15)+Lookups!$B$15,1)</f>
        <v>4.2</v>
      </c>
      <c r="AB433" s="26">
        <f>ROUND($P433*(Lookups!$B$18-Lookups!$B$17)+Lookups!$B$17,1)</f>
        <v>-1</v>
      </c>
      <c r="AC433" s="23">
        <f t="shared" si="38"/>
        <v>56</v>
      </c>
      <c r="AD433" s="23">
        <f>ROUND($R433*Lookups!$B$19,1)</f>
        <v>26</v>
      </c>
      <c r="AE433" s="27">
        <f t="shared" si="39"/>
        <v>0.61538461538461542</v>
      </c>
      <c r="AF433" s="23" t="str">
        <f>IF($U433&gt;=Lookups!$B$23,"High",IF($U433&gt;=Lookups!$B$22,"Medium","Low"))</f>
        <v>Low</v>
      </c>
      <c r="AG433" s="23">
        <f>ROUND(IF($V433="Weekday",IF(INDEX(Hourly_Analysis!$D$5:$D$28,$J433+1)&gt;0,($U433-INDEX(Hourly_Analysis!$C$5:$C$28,$J433+1))/INDEX(Hourly_Analysis!$D$5:$D$28,$J433+1),0),IF(INDEX(Hourly_Analysis!$G$5:$G$28,$J433+1)&gt;0,($U433-INDEX(Hourly_Analysis!$F$5:$F$28,$J433+1))/INDEX(Hourly_Analysis!$G$5:$G$28,$J433+1),0)),2)</f>
        <v>0.53</v>
      </c>
      <c r="AH433" s="23" t="str">
        <f>IF(ABS($AG433)&gt;Lookups!$B$20,IF($AG433&gt;0,"High anomaly","Low anomaly"),"")</f>
        <v/>
      </c>
      <c r="AI433" s="23" t="str">
        <f t="shared" si="40"/>
        <v>OK</v>
      </c>
      <c r="AJ433" s="23" t="str">
        <f t="shared" si="41"/>
        <v>No</v>
      </c>
    </row>
    <row r="434" spans="1:36" x14ac:dyDescent="0.35">
      <c r="A434" s="23">
        <v>433</v>
      </c>
      <c r="B434" s="23" t="str">
        <f t="shared" si="36"/>
        <v>Merge 1+2</v>
      </c>
      <c r="C434" s="23">
        <f>IFERROR(MATCH($A434,Merge_1_2!$A$2:$A$611,0),0)</f>
        <v>433</v>
      </c>
      <c r="D434" s="23">
        <f>IF($C434&gt;0,INDEX(Merge_1_2!$Q$2:$Q$611,$C434),0)</f>
        <v>433</v>
      </c>
      <c r="E434" s="23">
        <f>IFERROR(MATCH($A434,Dataset3_Raw!$A$2:$A$391,0),0)</f>
        <v>0</v>
      </c>
      <c r="F434" s="24">
        <f>IF($C434&gt;0,INDEX(Merge_1_2!$B$2:$B$611,$C434),DATE(VALUE(RIGHT(INDEX(Dataset3_Raw!$B$2:$B$391,$E434),4)),VALUE(MID(INDEX(Dataset3_Raw!$B$2:$B$391,$E434),4,2)),VALUE(LEFT(INDEX(Dataset3_Raw!$B$2:$B$391,$E434),2))))</f>
        <v>40563</v>
      </c>
      <c r="G434" s="23">
        <f>IF($C434&gt;0,INDEX(Merge_1_2!$C$2:$C$611,$C434),INDEX(Dataset3_Raw!$C$2:$C$391,$E434))</f>
        <v>1</v>
      </c>
      <c r="H434" s="23">
        <f>IF($C434&gt;0,INDEX(Merge_1_2!$D$2:$D$611,$C434),INDEX(Dataset3_Raw!$D$2:$D$391,$E434))</f>
        <v>0</v>
      </c>
      <c r="I434" s="23">
        <f>IF($C434&gt;0,INDEX(Merge_1_2!$E$2:$E$611,$C434),INDEX(Dataset3_Raw!$E$2:$E$391,$E434))</f>
        <v>1</v>
      </c>
      <c r="J434" s="23">
        <f>IF($C434&gt;0,INDEX(Merge_1_2!$F$2:$F$611,$C434),INDEX(Dataset3_Raw!$F$2:$F$391,$E434))</f>
        <v>1</v>
      </c>
      <c r="K434" s="23" t="b">
        <f>IF($C434&gt;0,INDEX(Merge_1_2!$G$2:$G$611,$C434),INDEX(Dataset3_Raw!$G$2:$G$391,$E434))</f>
        <v>0</v>
      </c>
      <c r="L434" s="23">
        <f>IF($C434&gt;0,INDEX(Merge_1_2!$H$2:$H$611,$C434),INDEX(Dataset3_Raw!$H$2:$H$391,$E434))</f>
        <v>4</v>
      </c>
      <c r="M434" s="23">
        <f>IF($C434&gt;0,INDEX(Merge_1_2!$I$2:$I$611,$C434),INDEX(Dataset3_Raw!$I$2:$I$391,$E434))</f>
        <v>1</v>
      </c>
      <c r="N434" s="25">
        <f>IF($C434&gt;0,INDEX(Merge_1_2!$J$2:$J$611,$C434),INDEX(Dataset3_Raw!$J$2:$J$391,$E434))</f>
        <v>0.26</v>
      </c>
      <c r="O434" s="25">
        <f>IF($C434&gt;0,IF(ISNUMBER(INDEX(Merge_1_2!$K$2:$K$611,$C434)),INDEX(Merge_1_2!$K$2:$K$611,$C434),""),INDEX(Dataset3_Raw!$K$2:$K$391,$E434))</f>
        <v>0.2727</v>
      </c>
      <c r="P434" s="25">
        <f>IF(ISNUMBER($O434),$O434,ROUND(Lookups!$B$25+Lookups!$B$24*$N434,4))</f>
        <v>0.2727</v>
      </c>
      <c r="Q434" s="25">
        <f>IF($C434&gt;0,INDEX(Merge_1_2!$L$2:$L$611,$C434),INDEX(Dataset3_Raw!$L$2:$L$391,$E434))</f>
        <v>0.56000000000000005</v>
      </c>
      <c r="R434" s="25">
        <f>IF($C434&gt;0,INDEX(Merge_1_2!$M$2:$M$611,$C434),INDEX(Dataset3_Raw!$M$2:$M$391,$E434))</f>
        <v>0</v>
      </c>
      <c r="S434" s="23">
        <f>IF($C434&gt;0,INDEX(Merge_1_2!$N$2:$N$611,$C434),INDEX(Dataset3_Raw!$N$2:$N$391,$E434))</f>
        <v>2</v>
      </c>
      <c r="T434" s="23">
        <f>IF($C434&gt;0,INDEX(Merge_1_2!$O$2:$O$611,$C434),INDEX(Dataset3_Raw!$O$2:$O$391,$E434))</f>
        <v>3</v>
      </c>
      <c r="U434" s="23">
        <f>IF($C434&gt;0,INDEX(Merge_1_2!$P$2:$P$611,$C434),INDEX(Dataset3_Raw!$P$2:$P$391,$E434))</f>
        <v>5</v>
      </c>
      <c r="V434" s="23" t="str">
        <f t="shared" si="37"/>
        <v>Weekday</v>
      </c>
      <c r="W434" s="23" t="str">
        <f>VLOOKUP($M434,Lookups!$A$5:$B$8,2,FALSE())</f>
        <v>Clear / Partly cloudy</v>
      </c>
      <c r="X434" s="23" t="str">
        <f>VLOOKUP($G434,Lookups!$D$5:$E$8,2,FALSE())</f>
        <v>Winter</v>
      </c>
      <c r="Y434" s="23" t="str">
        <f>VLOOKUP($L434,Lookups!$G$5:$H$11,2,FALSE())</f>
        <v>Thursday</v>
      </c>
      <c r="Z434" s="23" t="str">
        <f>IF($J434&lt;Lookups!$B$26,"Night",IF($J434&lt;Lookups!$B$27,"Morning",IF($J434&lt;Lookups!$B$28,"Afternoon","Evening")))</f>
        <v>Night</v>
      </c>
      <c r="AA434" s="26">
        <f>ROUND($N434*(Lookups!$B$16-Lookups!$B$15)+Lookups!$B$15,1)</f>
        <v>4.2</v>
      </c>
      <c r="AB434" s="26">
        <f>ROUND($P434*(Lookups!$B$18-Lookups!$B$17)+Lookups!$B$17,1)</f>
        <v>2</v>
      </c>
      <c r="AC434" s="23">
        <f t="shared" si="38"/>
        <v>56</v>
      </c>
      <c r="AD434" s="23">
        <f>ROUND($R434*Lookups!$B$19,1)</f>
        <v>0</v>
      </c>
      <c r="AE434" s="27">
        <f t="shared" si="39"/>
        <v>0.6</v>
      </c>
      <c r="AF434" s="23" t="str">
        <f>IF($U434&gt;=Lookups!$B$23,"High",IF($U434&gt;=Lookups!$B$22,"Medium","Low"))</f>
        <v>Low</v>
      </c>
      <c r="AG434" s="23">
        <f>ROUND(IF($V434="Weekday",IF(INDEX(Hourly_Analysis!$D$5:$D$28,$J434+1)&gt;0,($U434-INDEX(Hourly_Analysis!$C$5:$C$28,$J434+1))/INDEX(Hourly_Analysis!$D$5:$D$28,$J434+1),0),IF(INDEX(Hourly_Analysis!$G$5:$G$28,$J434+1)&gt;0,($U434-INDEX(Hourly_Analysis!$F$5:$F$28,$J434+1))/INDEX(Hourly_Analysis!$G$5:$G$28,$J434+1),0)),2)</f>
        <v>0.14000000000000001</v>
      </c>
      <c r="AH434" s="23" t="str">
        <f>IF(ABS($AG434)&gt;Lookups!$B$20,IF($AG434&gt;0,"High anomaly","Low anomaly"),"")</f>
        <v/>
      </c>
      <c r="AI434" s="23" t="str">
        <f t="shared" si="40"/>
        <v>OK</v>
      </c>
      <c r="AJ434" s="23" t="str">
        <f t="shared" si="41"/>
        <v>No</v>
      </c>
    </row>
    <row r="435" spans="1:36" x14ac:dyDescent="0.35">
      <c r="A435" s="23">
        <v>434</v>
      </c>
      <c r="B435" s="23" t="str">
        <f t="shared" si="36"/>
        <v>Merge 1+2</v>
      </c>
      <c r="C435" s="23">
        <f>IFERROR(MATCH($A435,Merge_1_2!$A$2:$A$611,0),0)</f>
        <v>434</v>
      </c>
      <c r="D435" s="23">
        <f>IF($C435&gt;0,INDEX(Merge_1_2!$Q$2:$Q$611,$C435),0)</f>
        <v>434</v>
      </c>
      <c r="E435" s="23">
        <f>IFERROR(MATCH($A435,Dataset3_Raw!$A$2:$A$391,0),0)</f>
        <v>0</v>
      </c>
      <c r="F435" s="24">
        <f>IF($C435&gt;0,INDEX(Merge_1_2!$B$2:$B$611,$C435),DATE(VALUE(RIGHT(INDEX(Dataset3_Raw!$B$2:$B$391,$E435),4)),VALUE(MID(INDEX(Dataset3_Raw!$B$2:$B$391,$E435),4,2)),VALUE(LEFT(INDEX(Dataset3_Raw!$B$2:$B$391,$E435),2))))</f>
        <v>40563</v>
      </c>
      <c r="G435" s="23">
        <f>IF($C435&gt;0,INDEX(Merge_1_2!$C$2:$C$611,$C435),INDEX(Dataset3_Raw!$C$2:$C$391,$E435))</f>
        <v>1</v>
      </c>
      <c r="H435" s="23">
        <f>IF($C435&gt;0,INDEX(Merge_1_2!$D$2:$D$611,$C435),INDEX(Dataset3_Raw!$D$2:$D$391,$E435))</f>
        <v>0</v>
      </c>
      <c r="I435" s="23">
        <f>IF($C435&gt;0,INDEX(Merge_1_2!$E$2:$E$611,$C435),INDEX(Dataset3_Raw!$E$2:$E$391,$E435))</f>
        <v>1</v>
      </c>
      <c r="J435" s="23">
        <f>IF($C435&gt;0,INDEX(Merge_1_2!$F$2:$F$611,$C435),INDEX(Dataset3_Raw!$F$2:$F$391,$E435))</f>
        <v>2</v>
      </c>
      <c r="K435" s="23" t="b">
        <f>IF($C435&gt;0,INDEX(Merge_1_2!$G$2:$G$611,$C435),INDEX(Dataset3_Raw!$G$2:$G$391,$E435))</f>
        <v>0</v>
      </c>
      <c r="L435" s="23">
        <f>IF($C435&gt;0,INDEX(Merge_1_2!$H$2:$H$611,$C435),INDEX(Dataset3_Raw!$H$2:$H$391,$E435))</f>
        <v>4</v>
      </c>
      <c r="M435" s="23">
        <f>IF($C435&gt;0,INDEX(Merge_1_2!$I$2:$I$611,$C435),INDEX(Dataset3_Raw!$I$2:$I$391,$E435))</f>
        <v>1</v>
      </c>
      <c r="N435" s="25">
        <f>IF($C435&gt;0,INDEX(Merge_1_2!$J$2:$J$611,$C435),INDEX(Dataset3_Raw!$J$2:$J$391,$E435))</f>
        <v>0.26</v>
      </c>
      <c r="O435" s="25">
        <f>IF($C435&gt;0,IF(ISNUMBER(INDEX(Merge_1_2!$K$2:$K$611,$C435)),INDEX(Merge_1_2!$K$2:$K$611,$C435),""),INDEX(Dataset3_Raw!$K$2:$K$391,$E435))</f>
        <v>0.2727</v>
      </c>
      <c r="P435" s="25">
        <f>IF(ISNUMBER($O435),$O435,ROUND(Lookups!$B$25+Lookups!$B$24*$N435,4))</f>
        <v>0.2727</v>
      </c>
      <c r="Q435" s="25">
        <f>IF($C435&gt;0,INDEX(Merge_1_2!$L$2:$L$611,$C435),INDEX(Dataset3_Raw!$L$2:$L$391,$E435))</f>
        <v>0.56000000000000005</v>
      </c>
      <c r="R435" s="25">
        <f>IF($C435&gt;0,INDEX(Merge_1_2!$M$2:$M$611,$C435),INDEX(Dataset3_Raw!$M$2:$M$391,$E435))</f>
        <v>0</v>
      </c>
      <c r="S435" s="23">
        <f>IF($C435&gt;0,INDEX(Merge_1_2!$N$2:$N$611,$C435),INDEX(Dataset3_Raw!$N$2:$N$391,$E435))</f>
        <v>0</v>
      </c>
      <c r="T435" s="23">
        <f>IF($C435&gt;0,INDEX(Merge_1_2!$O$2:$O$611,$C435),INDEX(Dataset3_Raw!$O$2:$O$391,$E435))</f>
        <v>2</v>
      </c>
      <c r="U435" s="23">
        <f>IF($C435&gt;0,INDEX(Merge_1_2!$P$2:$P$611,$C435),INDEX(Dataset3_Raw!$P$2:$P$391,$E435))</f>
        <v>2</v>
      </c>
      <c r="V435" s="23" t="str">
        <f t="shared" si="37"/>
        <v>Weekday</v>
      </c>
      <c r="W435" s="23" t="str">
        <f>VLOOKUP($M435,Lookups!$A$5:$B$8,2,FALSE())</f>
        <v>Clear / Partly cloudy</v>
      </c>
      <c r="X435" s="23" t="str">
        <f>VLOOKUP($G435,Lookups!$D$5:$E$8,2,FALSE())</f>
        <v>Winter</v>
      </c>
      <c r="Y435" s="23" t="str">
        <f>VLOOKUP($L435,Lookups!$G$5:$H$11,2,FALSE())</f>
        <v>Thursday</v>
      </c>
      <c r="Z435" s="23" t="str">
        <f>IF($J435&lt;Lookups!$B$26,"Night",IF($J435&lt;Lookups!$B$27,"Morning",IF($J435&lt;Lookups!$B$28,"Afternoon","Evening")))</f>
        <v>Night</v>
      </c>
      <c r="AA435" s="26">
        <f>ROUND($N435*(Lookups!$B$16-Lookups!$B$15)+Lookups!$B$15,1)</f>
        <v>4.2</v>
      </c>
      <c r="AB435" s="26">
        <f>ROUND($P435*(Lookups!$B$18-Lookups!$B$17)+Lookups!$B$17,1)</f>
        <v>2</v>
      </c>
      <c r="AC435" s="23">
        <f t="shared" si="38"/>
        <v>56</v>
      </c>
      <c r="AD435" s="23">
        <f>ROUND($R435*Lookups!$B$19,1)</f>
        <v>0</v>
      </c>
      <c r="AE435" s="27">
        <f t="shared" si="39"/>
        <v>1</v>
      </c>
      <c r="AF435" s="23" t="str">
        <f>IF($U435&gt;=Lookups!$B$23,"High",IF($U435&gt;=Lookups!$B$22,"Medium","Low"))</f>
        <v>Low</v>
      </c>
      <c r="AG435" s="23">
        <f>ROUND(IF($V435="Weekday",IF(INDEX(Hourly_Analysis!$D$5:$D$28,$J435+1)&gt;0,($U435-INDEX(Hourly_Analysis!$C$5:$C$28,$J435+1))/INDEX(Hourly_Analysis!$D$5:$D$28,$J435+1),0),IF(INDEX(Hourly_Analysis!$G$5:$G$28,$J435+1)&gt;0,($U435-INDEX(Hourly_Analysis!$F$5:$F$28,$J435+1))/INDEX(Hourly_Analysis!$G$5:$G$28,$J435+1),0)),2)</f>
        <v>-0.24</v>
      </c>
      <c r="AH435" s="23" t="str">
        <f>IF(ABS($AG435)&gt;Lookups!$B$20,IF($AG435&gt;0,"High anomaly","Low anomaly"),"")</f>
        <v/>
      </c>
      <c r="AI435" s="23" t="str">
        <f t="shared" si="40"/>
        <v>OK</v>
      </c>
      <c r="AJ435" s="23" t="str">
        <f t="shared" si="41"/>
        <v>No</v>
      </c>
    </row>
    <row r="436" spans="1:36" x14ac:dyDescent="0.35">
      <c r="A436" s="23">
        <v>435</v>
      </c>
      <c r="B436" s="23" t="str">
        <f t="shared" si="36"/>
        <v>Merge 1+2</v>
      </c>
      <c r="C436" s="23">
        <f>IFERROR(MATCH($A436,Merge_1_2!$A$2:$A$611,0),0)</f>
        <v>435</v>
      </c>
      <c r="D436" s="23">
        <f>IF($C436&gt;0,INDEX(Merge_1_2!$Q$2:$Q$611,$C436),0)</f>
        <v>435</v>
      </c>
      <c r="E436" s="23">
        <f>IFERROR(MATCH($A436,Dataset3_Raw!$A$2:$A$391,0),0)</f>
        <v>0</v>
      </c>
      <c r="F436" s="24">
        <f>IF($C436&gt;0,INDEX(Merge_1_2!$B$2:$B$611,$C436),DATE(VALUE(RIGHT(INDEX(Dataset3_Raw!$B$2:$B$391,$E436),4)),VALUE(MID(INDEX(Dataset3_Raw!$B$2:$B$391,$E436),4,2)),VALUE(LEFT(INDEX(Dataset3_Raw!$B$2:$B$391,$E436),2))))</f>
        <v>40563</v>
      </c>
      <c r="G436" s="23">
        <f>IF($C436&gt;0,INDEX(Merge_1_2!$C$2:$C$611,$C436),INDEX(Dataset3_Raw!$C$2:$C$391,$E436))</f>
        <v>1</v>
      </c>
      <c r="H436" s="23">
        <f>IF($C436&gt;0,INDEX(Merge_1_2!$D$2:$D$611,$C436),INDEX(Dataset3_Raw!$D$2:$D$391,$E436))</f>
        <v>0</v>
      </c>
      <c r="I436" s="23">
        <f>IF($C436&gt;0,INDEX(Merge_1_2!$E$2:$E$611,$C436),INDEX(Dataset3_Raw!$E$2:$E$391,$E436))</f>
        <v>1</v>
      </c>
      <c r="J436" s="23">
        <f>IF($C436&gt;0,INDEX(Merge_1_2!$F$2:$F$611,$C436),INDEX(Dataset3_Raw!$F$2:$F$391,$E436))</f>
        <v>3</v>
      </c>
      <c r="K436" s="23" t="b">
        <f>IF($C436&gt;0,INDEX(Merge_1_2!$G$2:$G$611,$C436),INDEX(Dataset3_Raw!$G$2:$G$391,$E436))</f>
        <v>0</v>
      </c>
      <c r="L436" s="23">
        <f>IF($C436&gt;0,INDEX(Merge_1_2!$H$2:$H$611,$C436),INDEX(Dataset3_Raw!$H$2:$H$391,$E436))</f>
        <v>4</v>
      </c>
      <c r="M436" s="23">
        <f>IF($C436&gt;0,INDEX(Merge_1_2!$I$2:$I$611,$C436),INDEX(Dataset3_Raw!$I$2:$I$391,$E436))</f>
        <v>1</v>
      </c>
      <c r="N436" s="25">
        <f>IF($C436&gt;0,INDEX(Merge_1_2!$J$2:$J$611,$C436),INDEX(Dataset3_Raw!$J$2:$J$391,$E436))</f>
        <v>0.26</v>
      </c>
      <c r="O436" s="25">
        <f>IF($C436&gt;0,IF(ISNUMBER(INDEX(Merge_1_2!$K$2:$K$611,$C436)),INDEX(Merge_1_2!$K$2:$K$611,$C436),""),INDEX(Dataset3_Raw!$K$2:$K$391,$E436))</f>
        <v>0.2576</v>
      </c>
      <c r="P436" s="25">
        <f>IF(ISNUMBER($O436),$O436,ROUND(Lookups!$B$25+Lookups!$B$24*$N436,4))</f>
        <v>0.2576</v>
      </c>
      <c r="Q436" s="25">
        <f>IF($C436&gt;0,INDEX(Merge_1_2!$L$2:$L$611,$C436),INDEX(Dataset3_Raw!$L$2:$L$391,$E436))</f>
        <v>0.56000000000000005</v>
      </c>
      <c r="R436" s="25">
        <f>IF($C436&gt;0,INDEX(Merge_1_2!$M$2:$M$611,$C436),INDEX(Dataset3_Raw!$M$2:$M$391,$E436))</f>
        <v>0.16420000000000001</v>
      </c>
      <c r="S436" s="23">
        <f>IF($C436&gt;0,INDEX(Merge_1_2!$N$2:$N$611,$C436),INDEX(Dataset3_Raw!$N$2:$N$391,$E436))</f>
        <v>0</v>
      </c>
      <c r="T436" s="23">
        <f>IF($C436&gt;0,INDEX(Merge_1_2!$O$2:$O$611,$C436),INDEX(Dataset3_Raw!$O$2:$O$391,$E436))</f>
        <v>1</v>
      </c>
      <c r="U436" s="23">
        <f>IF($C436&gt;0,INDEX(Merge_1_2!$P$2:$P$611,$C436),INDEX(Dataset3_Raw!$P$2:$P$391,$E436))</f>
        <v>1</v>
      </c>
      <c r="V436" s="23" t="str">
        <f t="shared" si="37"/>
        <v>Weekday</v>
      </c>
      <c r="W436" s="23" t="str">
        <f>VLOOKUP($M436,Lookups!$A$5:$B$8,2,FALSE())</f>
        <v>Clear / Partly cloudy</v>
      </c>
      <c r="X436" s="23" t="str">
        <f>VLOOKUP($G436,Lookups!$D$5:$E$8,2,FALSE())</f>
        <v>Winter</v>
      </c>
      <c r="Y436" s="23" t="str">
        <f>VLOOKUP($L436,Lookups!$G$5:$H$11,2,FALSE())</f>
        <v>Thursday</v>
      </c>
      <c r="Z436" s="23" t="str">
        <f>IF($J436&lt;Lookups!$B$26,"Night",IF($J436&lt;Lookups!$B$27,"Morning",IF($J436&lt;Lookups!$B$28,"Afternoon","Evening")))</f>
        <v>Night</v>
      </c>
      <c r="AA436" s="26">
        <f>ROUND($N436*(Lookups!$B$16-Lookups!$B$15)+Lookups!$B$15,1)</f>
        <v>4.2</v>
      </c>
      <c r="AB436" s="26">
        <f>ROUND($P436*(Lookups!$B$18-Lookups!$B$17)+Lookups!$B$17,1)</f>
        <v>1</v>
      </c>
      <c r="AC436" s="23">
        <f t="shared" si="38"/>
        <v>56</v>
      </c>
      <c r="AD436" s="23">
        <f>ROUND($R436*Lookups!$B$19,1)</f>
        <v>11</v>
      </c>
      <c r="AE436" s="27">
        <f t="shared" si="39"/>
        <v>1</v>
      </c>
      <c r="AF436" s="23" t="str">
        <f>IF($U436&gt;=Lookups!$B$23,"High",IF($U436&gt;=Lookups!$B$22,"Medium","Low"))</f>
        <v>Low</v>
      </c>
      <c r="AG436" s="23">
        <f>ROUND(IF($V436="Weekday",IF(INDEX(Hourly_Analysis!$D$5:$D$28,$J436+1)&gt;0,($U436-INDEX(Hourly_Analysis!$C$5:$C$28,$J436+1))/INDEX(Hourly_Analysis!$D$5:$D$28,$J436+1),0),IF(INDEX(Hourly_Analysis!$G$5:$G$28,$J436+1)&gt;0,($U436-INDEX(Hourly_Analysis!$F$5:$F$28,$J436+1))/INDEX(Hourly_Analysis!$G$5:$G$28,$J436+1),0)),2)</f>
        <v>-0.61</v>
      </c>
      <c r="AH436" s="23" t="str">
        <f>IF(ABS($AG436)&gt;Lookups!$B$20,IF($AG436&gt;0,"High anomaly","Low anomaly"),"")</f>
        <v/>
      </c>
      <c r="AI436" s="23" t="str">
        <f t="shared" si="40"/>
        <v>OK</v>
      </c>
      <c r="AJ436" s="23" t="str">
        <f t="shared" si="41"/>
        <v>No</v>
      </c>
    </row>
    <row r="437" spans="1:36" x14ac:dyDescent="0.35">
      <c r="A437" s="23">
        <v>436</v>
      </c>
      <c r="B437" s="23" t="str">
        <f t="shared" si="36"/>
        <v>Merge 1+2</v>
      </c>
      <c r="C437" s="23">
        <f>IFERROR(MATCH($A437,Merge_1_2!$A$2:$A$611,0),0)</f>
        <v>436</v>
      </c>
      <c r="D437" s="23">
        <f>IF($C437&gt;0,INDEX(Merge_1_2!$Q$2:$Q$611,$C437),0)</f>
        <v>436</v>
      </c>
      <c r="E437" s="23">
        <f>IFERROR(MATCH($A437,Dataset3_Raw!$A$2:$A$391,0),0)</f>
        <v>0</v>
      </c>
      <c r="F437" s="24">
        <f>IF($C437&gt;0,INDEX(Merge_1_2!$B$2:$B$611,$C437),DATE(VALUE(RIGHT(INDEX(Dataset3_Raw!$B$2:$B$391,$E437),4)),VALUE(MID(INDEX(Dataset3_Raw!$B$2:$B$391,$E437),4,2)),VALUE(LEFT(INDEX(Dataset3_Raw!$B$2:$B$391,$E437),2))))</f>
        <v>40563</v>
      </c>
      <c r="G437" s="23">
        <f>IF($C437&gt;0,INDEX(Merge_1_2!$C$2:$C$611,$C437),INDEX(Dataset3_Raw!$C$2:$C$391,$E437))</f>
        <v>1</v>
      </c>
      <c r="H437" s="23">
        <f>IF($C437&gt;0,INDEX(Merge_1_2!$D$2:$D$611,$C437),INDEX(Dataset3_Raw!$D$2:$D$391,$E437))</f>
        <v>0</v>
      </c>
      <c r="I437" s="23">
        <f>IF($C437&gt;0,INDEX(Merge_1_2!$E$2:$E$611,$C437),INDEX(Dataset3_Raw!$E$2:$E$391,$E437))</f>
        <v>1</v>
      </c>
      <c r="J437" s="23">
        <f>IF($C437&gt;0,INDEX(Merge_1_2!$F$2:$F$611,$C437),INDEX(Dataset3_Raw!$F$2:$F$391,$E437))</f>
        <v>4</v>
      </c>
      <c r="K437" s="23" t="b">
        <f>IF($C437&gt;0,INDEX(Merge_1_2!$G$2:$G$611,$C437),INDEX(Dataset3_Raw!$G$2:$G$391,$E437))</f>
        <v>0</v>
      </c>
      <c r="L437" s="23">
        <f>IF($C437&gt;0,INDEX(Merge_1_2!$H$2:$H$611,$C437),INDEX(Dataset3_Raw!$H$2:$H$391,$E437))</f>
        <v>4</v>
      </c>
      <c r="M437" s="23">
        <f>IF($C437&gt;0,INDEX(Merge_1_2!$I$2:$I$611,$C437),INDEX(Dataset3_Raw!$I$2:$I$391,$E437))</f>
        <v>1</v>
      </c>
      <c r="N437" s="25">
        <f>IF($C437&gt;0,INDEX(Merge_1_2!$J$2:$J$611,$C437),INDEX(Dataset3_Raw!$J$2:$J$391,$E437))</f>
        <v>0.26</v>
      </c>
      <c r="O437" s="25">
        <f>IF($C437&gt;0,IF(ISNUMBER(INDEX(Merge_1_2!$K$2:$K$611,$C437)),INDEX(Merge_1_2!$K$2:$K$611,$C437),""),INDEX(Dataset3_Raw!$K$2:$K$391,$E437))</f>
        <v>0.2576</v>
      </c>
      <c r="P437" s="25">
        <f>IF(ISNUMBER($O437),$O437,ROUND(Lookups!$B$25+Lookups!$B$24*$N437,4))</f>
        <v>0.2576</v>
      </c>
      <c r="Q437" s="25">
        <f>IF($C437&gt;0,INDEX(Merge_1_2!$L$2:$L$611,$C437),INDEX(Dataset3_Raw!$L$2:$L$391,$E437))</f>
        <v>0.56000000000000005</v>
      </c>
      <c r="R437" s="25">
        <f>IF($C437&gt;0,INDEX(Merge_1_2!$M$2:$M$611,$C437),INDEX(Dataset3_Raw!$M$2:$M$391,$E437))</f>
        <v>0.16420000000000001</v>
      </c>
      <c r="S437" s="23">
        <f>IF($C437&gt;0,INDEX(Merge_1_2!$N$2:$N$611,$C437),INDEX(Dataset3_Raw!$N$2:$N$391,$E437))</f>
        <v>0</v>
      </c>
      <c r="T437" s="23">
        <f>IF($C437&gt;0,INDEX(Merge_1_2!$O$2:$O$611,$C437),INDEX(Dataset3_Raw!$O$2:$O$391,$E437))</f>
        <v>1</v>
      </c>
      <c r="U437" s="23">
        <f>IF($C437&gt;0,INDEX(Merge_1_2!$P$2:$P$611,$C437),INDEX(Dataset3_Raw!$P$2:$P$391,$E437))</f>
        <v>1</v>
      </c>
      <c r="V437" s="23" t="str">
        <f t="shared" si="37"/>
        <v>Weekday</v>
      </c>
      <c r="W437" s="23" t="str">
        <f>VLOOKUP($M437,Lookups!$A$5:$B$8,2,FALSE())</f>
        <v>Clear / Partly cloudy</v>
      </c>
      <c r="X437" s="23" t="str">
        <f>VLOOKUP($G437,Lookups!$D$5:$E$8,2,FALSE())</f>
        <v>Winter</v>
      </c>
      <c r="Y437" s="23" t="str">
        <f>VLOOKUP($L437,Lookups!$G$5:$H$11,2,FALSE())</f>
        <v>Thursday</v>
      </c>
      <c r="Z437" s="23" t="str">
        <f>IF($J437&lt;Lookups!$B$26,"Night",IF($J437&lt;Lookups!$B$27,"Morning",IF($J437&lt;Lookups!$B$28,"Afternoon","Evening")))</f>
        <v>Night</v>
      </c>
      <c r="AA437" s="26">
        <f>ROUND($N437*(Lookups!$B$16-Lookups!$B$15)+Lookups!$B$15,1)</f>
        <v>4.2</v>
      </c>
      <c r="AB437" s="26">
        <f>ROUND($P437*(Lookups!$B$18-Lookups!$B$17)+Lookups!$B$17,1)</f>
        <v>1</v>
      </c>
      <c r="AC437" s="23">
        <f t="shared" si="38"/>
        <v>56</v>
      </c>
      <c r="AD437" s="23">
        <f>ROUND($R437*Lookups!$B$19,1)</f>
        <v>11</v>
      </c>
      <c r="AE437" s="27">
        <f t="shared" si="39"/>
        <v>1</v>
      </c>
      <c r="AF437" s="23" t="str">
        <f>IF($U437&gt;=Lookups!$B$23,"High",IF($U437&gt;=Lookups!$B$22,"Medium","Low"))</f>
        <v>Low</v>
      </c>
      <c r="AG437" s="23">
        <f>ROUND(IF($V437="Weekday",IF(INDEX(Hourly_Analysis!$D$5:$D$28,$J437+1)&gt;0,($U437-INDEX(Hourly_Analysis!$C$5:$C$28,$J437+1))/INDEX(Hourly_Analysis!$D$5:$D$28,$J437+1),0),IF(INDEX(Hourly_Analysis!$G$5:$G$28,$J437+1)&gt;0,($U437-INDEX(Hourly_Analysis!$F$5:$F$28,$J437+1))/INDEX(Hourly_Analysis!$G$5:$G$28,$J437+1),0)),2)</f>
        <v>-0.81</v>
      </c>
      <c r="AH437" s="23" t="str">
        <f>IF(ABS($AG437)&gt;Lookups!$B$20,IF($AG437&gt;0,"High anomaly","Low anomaly"),"")</f>
        <v/>
      </c>
      <c r="AI437" s="23" t="str">
        <f t="shared" si="40"/>
        <v>OK</v>
      </c>
      <c r="AJ437" s="23" t="str">
        <f t="shared" si="41"/>
        <v>No</v>
      </c>
    </row>
    <row r="438" spans="1:36" x14ac:dyDescent="0.35">
      <c r="A438" s="23">
        <v>437</v>
      </c>
      <c r="B438" s="23" t="str">
        <f t="shared" si="36"/>
        <v>Merge 1+2</v>
      </c>
      <c r="C438" s="23">
        <f>IFERROR(MATCH($A438,Merge_1_2!$A$2:$A$611,0),0)</f>
        <v>437</v>
      </c>
      <c r="D438" s="23">
        <f>IF($C438&gt;0,INDEX(Merge_1_2!$Q$2:$Q$611,$C438),0)</f>
        <v>437</v>
      </c>
      <c r="E438" s="23">
        <f>IFERROR(MATCH($A438,Dataset3_Raw!$A$2:$A$391,0),0)</f>
        <v>0</v>
      </c>
      <c r="F438" s="24">
        <f>IF($C438&gt;0,INDEX(Merge_1_2!$B$2:$B$611,$C438),DATE(VALUE(RIGHT(INDEX(Dataset3_Raw!$B$2:$B$391,$E438),4)),VALUE(MID(INDEX(Dataset3_Raw!$B$2:$B$391,$E438),4,2)),VALUE(LEFT(INDEX(Dataset3_Raw!$B$2:$B$391,$E438),2))))</f>
        <v>40563</v>
      </c>
      <c r="G438" s="23">
        <f>IF($C438&gt;0,INDEX(Merge_1_2!$C$2:$C$611,$C438),INDEX(Dataset3_Raw!$C$2:$C$391,$E438))</f>
        <v>1</v>
      </c>
      <c r="H438" s="23">
        <f>IF($C438&gt;0,INDEX(Merge_1_2!$D$2:$D$611,$C438),INDEX(Dataset3_Raw!$D$2:$D$391,$E438))</f>
        <v>0</v>
      </c>
      <c r="I438" s="23">
        <f>IF($C438&gt;0,INDEX(Merge_1_2!$E$2:$E$611,$C438),INDEX(Dataset3_Raw!$E$2:$E$391,$E438))</f>
        <v>1</v>
      </c>
      <c r="J438" s="23">
        <f>IF($C438&gt;0,INDEX(Merge_1_2!$F$2:$F$611,$C438),INDEX(Dataset3_Raw!$F$2:$F$391,$E438))</f>
        <v>5</v>
      </c>
      <c r="K438" s="23" t="b">
        <f>IF($C438&gt;0,INDEX(Merge_1_2!$G$2:$G$611,$C438),INDEX(Dataset3_Raw!$G$2:$G$391,$E438))</f>
        <v>0</v>
      </c>
      <c r="L438" s="23">
        <f>IF($C438&gt;0,INDEX(Merge_1_2!$H$2:$H$611,$C438),INDEX(Dataset3_Raw!$H$2:$H$391,$E438))</f>
        <v>4</v>
      </c>
      <c r="M438" s="23">
        <f>IF($C438&gt;0,INDEX(Merge_1_2!$I$2:$I$611,$C438),INDEX(Dataset3_Raw!$I$2:$I$391,$E438))</f>
        <v>1</v>
      </c>
      <c r="N438" s="25">
        <f>IF($C438&gt;0,INDEX(Merge_1_2!$J$2:$J$611,$C438),INDEX(Dataset3_Raw!$J$2:$J$391,$E438))</f>
        <v>0.24</v>
      </c>
      <c r="O438" s="25">
        <f>IF($C438&gt;0,IF(ISNUMBER(INDEX(Merge_1_2!$K$2:$K$611,$C438)),INDEX(Merge_1_2!$K$2:$K$611,$C438),""),INDEX(Dataset3_Raw!$K$2:$K$391,$E438))</f>
        <v>0.2273</v>
      </c>
      <c r="P438" s="25">
        <f>IF(ISNUMBER($O438),$O438,ROUND(Lookups!$B$25+Lookups!$B$24*$N438,4))</f>
        <v>0.2273</v>
      </c>
      <c r="Q438" s="25">
        <f>IF($C438&gt;0,INDEX(Merge_1_2!$L$2:$L$611,$C438),INDEX(Dataset3_Raw!$L$2:$L$391,$E438))</f>
        <v>0.6</v>
      </c>
      <c r="R438" s="25">
        <f>IF($C438&gt;0,INDEX(Merge_1_2!$M$2:$M$611,$C438),INDEX(Dataset3_Raw!$M$2:$M$391,$E438))</f>
        <v>0.22389999999999999</v>
      </c>
      <c r="S438" s="23">
        <f>IF($C438&gt;0,INDEX(Merge_1_2!$N$2:$N$611,$C438),INDEX(Dataset3_Raw!$N$2:$N$391,$E438))</f>
        <v>0</v>
      </c>
      <c r="T438" s="23">
        <f>IF($C438&gt;0,INDEX(Merge_1_2!$O$2:$O$611,$C438),INDEX(Dataset3_Raw!$O$2:$O$391,$E438))</f>
        <v>6</v>
      </c>
      <c r="U438" s="23">
        <f>IF($C438&gt;0,INDEX(Merge_1_2!$P$2:$P$611,$C438),INDEX(Dataset3_Raw!$P$2:$P$391,$E438))</f>
        <v>6</v>
      </c>
      <c r="V438" s="23" t="str">
        <f t="shared" si="37"/>
        <v>Weekday</v>
      </c>
      <c r="W438" s="23" t="str">
        <f>VLOOKUP($M438,Lookups!$A$5:$B$8,2,FALSE())</f>
        <v>Clear / Partly cloudy</v>
      </c>
      <c r="X438" s="23" t="str">
        <f>VLOOKUP($G438,Lookups!$D$5:$E$8,2,FALSE())</f>
        <v>Winter</v>
      </c>
      <c r="Y438" s="23" t="str">
        <f>VLOOKUP($L438,Lookups!$G$5:$H$11,2,FALSE())</f>
        <v>Thursday</v>
      </c>
      <c r="Z438" s="23" t="str">
        <f>IF($J438&lt;Lookups!$B$26,"Night",IF($J438&lt;Lookups!$B$27,"Morning",IF($J438&lt;Lookups!$B$28,"Afternoon","Evening")))</f>
        <v>Night</v>
      </c>
      <c r="AA438" s="26">
        <f>ROUND($N438*(Lookups!$B$16-Lookups!$B$15)+Lookups!$B$15,1)</f>
        <v>3.3</v>
      </c>
      <c r="AB438" s="26">
        <f>ROUND($P438*(Lookups!$B$18-Lookups!$B$17)+Lookups!$B$17,1)</f>
        <v>-1</v>
      </c>
      <c r="AC438" s="23">
        <f t="shared" si="38"/>
        <v>60</v>
      </c>
      <c r="AD438" s="23">
        <f>ROUND($R438*Lookups!$B$19,1)</f>
        <v>15</v>
      </c>
      <c r="AE438" s="27">
        <f t="shared" si="39"/>
        <v>1</v>
      </c>
      <c r="AF438" s="23" t="str">
        <f>IF($U438&gt;=Lookups!$B$23,"High",IF($U438&gt;=Lookups!$B$22,"Medium","Low"))</f>
        <v>Low</v>
      </c>
      <c r="AG438" s="23">
        <f>ROUND(IF($V438="Weekday",IF(INDEX(Hourly_Analysis!$D$5:$D$28,$J438+1)&gt;0,($U438-INDEX(Hourly_Analysis!$C$5:$C$28,$J438+1))/INDEX(Hourly_Analysis!$D$5:$D$28,$J438+1),0),IF(INDEX(Hourly_Analysis!$G$5:$G$28,$J438+1)&gt;0,($U438-INDEX(Hourly_Analysis!$F$5:$F$28,$J438+1))/INDEX(Hourly_Analysis!$G$5:$G$28,$J438+1),0)),2)</f>
        <v>0.5</v>
      </c>
      <c r="AH438" s="23" t="str">
        <f>IF(ABS($AG438)&gt;Lookups!$B$20,IF($AG438&gt;0,"High anomaly","Low anomaly"),"")</f>
        <v/>
      </c>
      <c r="AI438" s="23" t="str">
        <f t="shared" si="40"/>
        <v>OK</v>
      </c>
      <c r="AJ438" s="23" t="str">
        <f t="shared" si="41"/>
        <v>No</v>
      </c>
    </row>
    <row r="439" spans="1:36" x14ac:dyDescent="0.35">
      <c r="A439" s="23">
        <v>438</v>
      </c>
      <c r="B439" s="23" t="str">
        <f t="shared" si="36"/>
        <v>Merge 1+2</v>
      </c>
      <c r="C439" s="23">
        <f>IFERROR(MATCH($A439,Merge_1_2!$A$2:$A$611,0),0)</f>
        <v>438</v>
      </c>
      <c r="D439" s="23">
        <f>IF($C439&gt;0,INDEX(Merge_1_2!$Q$2:$Q$611,$C439),0)</f>
        <v>438</v>
      </c>
      <c r="E439" s="23">
        <f>IFERROR(MATCH($A439,Dataset3_Raw!$A$2:$A$391,0),0)</f>
        <v>0</v>
      </c>
      <c r="F439" s="24">
        <f>IF($C439&gt;0,INDEX(Merge_1_2!$B$2:$B$611,$C439),DATE(VALUE(RIGHT(INDEX(Dataset3_Raw!$B$2:$B$391,$E439),4)),VALUE(MID(INDEX(Dataset3_Raw!$B$2:$B$391,$E439),4,2)),VALUE(LEFT(INDEX(Dataset3_Raw!$B$2:$B$391,$E439),2))))</f>
        <v>40563</v>
      </c>
      <c r="G439" s="23">
        <f>IF($C439&gt;0,INDEX(Merge_1_2!$C$2:$C$611,$C439),INDEX(Dataset3_Raw!$C$2:$C$391,$E439))</f>
        <v>1</v>
      </c>
      <c r="H439" s="23">
        <f>IF($C439&gt;0,INDEX(Merge_1_2!$D$2:$D$611,$C439),INDEX(Dataset3_Raw!$D$2:$D$391,$E439))</f>
        <v>0</v>
      </c>
      <c r="I439" s="23">
        <f>IF($C439&gt;0,INDEX(Merge_1_2!$E$2:$E$611,$C439),INDEX(Dataset3_Raw!$E$2:$E$391,$E439))</f>
        <v>1</v>
      </c>
      <c r="J439" s="23">
        <f>IF($C439&gt;0,INDEX(Merge_1_2!$F$2:$F$611,$C439),INDEX(Dataset3_Raw!$F$2:$F$391,$E439))</f>
        <v>6</v>
      </c>
      <c r="K439" s="23" t="b">
        <f>IF($C439&gt;0,INDEX(Merge_1_2!$G$2:$G$611,$C439),INDEX(Dataset3_Raw!$G$2:$G$391,$E439))</f>
        <v>0</v>
      </c>
      <c r="L439" s="23">
        <f>IF($C439&gt;0,INDEX(Merge_1_2!$H$2:$H$611,$C439),INDEX(Dataset3_Raw!$H$2:$H$391,$E439))</f>
        <v>4</v>
      </c>
      <c r="M439" s="23">
        <f>IF($C439&gt;0,INDEX(Merge_1_2!$I$2:$I$611,$C439),INDEX(Dataset3_Raw!$I$2:$I$391,$E439))</f>
        <v>1</v>
      </c>
      <c r="N439" s="25">
        <f>IF($C439&gt;0,INDEX(Merge_1_2!$J$2:$J$611,$C439),INDEX(Dataset3_Raw!$J$2:$J$391,$E439))</f>
        <v>0.22</v>
      </c>
      <c r="O439" s="25">
        <f>IF($C439&gt;0,IF(ISNUMBER(INDEX(Merge_1_2!$K$2:$K$611,$C439)),INDEX(Merge_1_2!$K$2:$K$611,$C439),""),INDEX(Dataset3_Raw!$K$2:$K$391,$E439))</f>
        <v>0.21210000000000001</v>
      </c>
      <c r="P439" s="25">
        <f>IF(ISNUMBER($O439),$O439,ROUND(Lookups!$B$25+Lookups!$B$24*$N439,4))</f>
        <v>0.21210000000000001</v>
      </c>
      <c r="Q439" s="25">
        <f>IF($C439&gt;0,INDEX(Merge_1_2!$L$2:$L$611,$C439),INDEX(Dataset3_Raw!$L$2:$L$391,$E439))</f>
        <v>0.6</v>
      </c>
      <c r="R439" s="25">
        <f>IF($C439&gt;0,INDEX(Merge_1_2!$M$2:$M$611,$C439),INDEX(Dataset3_Raw!$M$2:$M$391,$E439))</f>
        <v>0.22389999999999999</v>
      </c>
      <c r="S439" s="23">
        <f>IF($C439&gt;0,INDEX(Merge_1_2!$N$2:$N$611,$C439),INDEX(Dataset3_Raw!$N$2:$N$391,$E439))</f>
        <v>0</v>
      </c>
      <c r="T439" s="23">
        <f>IF($C439&gt;0,INDEX(Merge_1_2!$O$2:$O$611,$C439),INDEX(Dataset3_Raw!$O$2:$O$391,$E439))</f>
        <v>35</v>
      </c>
      <c r="U439" s="23">
        <f>IF($C439&gt;0,INDEX(Merge_1_2!$P$2:$P$611,$C439),INDEX(Dataset3_Raw!$P$2:$P$391,$E439))</f>
        <v>35</v>
      </c>
      <c r="V439" s="23" t="str">
        <f t="shared" si="37"/>
        <v>Weekday</v>
      </c>
      <c r="W439" s="23" t="str">
        <f>VLOOKUP($M439,Lookups!$A$5:$B$8,2,FALSE())</f>
        <v>Clear / Partly cloudy</v>
      </c>
      <c r="X439" s="23" t="str">
        <f>VLOOKUP($G439,Lookups!$D$5:$E$8,2,FALSE())</f>
        <v>Winter</v>
      </c>
      <c r="Y439" s="23" t="str">
        <f>VLOOKUP($L439,Lookups!$G$5:$H$11,2,FALSE())</f>
        <v>Thursday</v>
      </c>
      <c r="Z439" s="23" t="str">
        <f>IF($J439&lt;Lookups!$B$26,"Night",IF($J439&lt;Lookups!$B$27,"Morning",IF($J439&lt;Lookups!$B$28,"Afternoon","Evening")))</f>
        <v>Morning</v>
      </c>
      <c r="AA439" s="26">
        <f>ROUND($N439*(Lookups!$B$16-Lookups!$B$15)+Lookups!$B$15,1)</f>
        <v>2.2999999999999998</v>
      </c>
      <c r="AB439" s="26">
        <f>ROUND($P439*(Lookups!$B$18-Lookups!$B$17)+Lookups!$B$17,1)</f>
        <v>-2</v>
      </c>
      <c r="AC439" s="23">
        <f t="shared" si="38"/>
        <v>60</v>
      </c>
      <c r="AD439" s="23">
        <f>ROUND($R439*Lookups!$B$19,1)</f>
        <v>15</v>
      </c>
      <c r="AE439" s="27">
        <f t="shared" si="39"/>
        <v>1</v>
      </c>
      <c r="AF439" s="23" t="str">
        <f>IF($U439&gt;=Lookups!$B$23,"High",IF($U439&gt;=Lookups!$B$22,"Medium","Low"))</f>
        <v>Medium</v>
      </c>
      <c r="AG439" s="23">
        <f>ROUND(IF($V439="Weekday",IF(INDEX(Hourly_Analysis!$D$5:$D$28,$J439+1)&gt;0,($U439-INDEX(Hourly_Analysis!$C$5:$C$28,$J439+1))/INDEX(Hourly_Analysis!$D$5:$D$28,$J439+1),0),IF(INDEX(Hourly_Analysis!$G$5:$G$28,$J439+1)&gt;0,($U439-INDEX(Hourly_Analysis!$F$5:$F$28,$J439+1))/INDEX(Hourly_Analysis!$G$5:$G$28,$J439+1),0)),2)</f>
        <v>0.79</v>
      </c>
      <c r="AH439" s="23" t="str">
        <f>IF(ABS($AG439)&gt;Lookups!$B$20,IF($AG439&gt;0,"High anomaly","Low anomaly"),"")</f>
        <v/>
      </c>
      <c r="AI439" s="23" t="str">
        <f t="shared" si="40"/>
        <v>OK</v>
      </c>
      <c r="AJ439" s="23" t="str">
        <f t="shared" si="41"/>
        <v>No</v>
      </c>
    </row>
    <row r="440" spans="1:36" x14ac:dyDescent="0.35">
      <c r="A440" s="23">
        <v>439</v>
      </c>
      <c r="B440" s="23" t="str">
        <f t="shared" si="36"/>
        <v>Merge 1+2</v>
      </c>
      <c r="C440" s="23">
        <f>IFERROR(MATCH($A440,Merge_1_2!$A$2:$A$611,0),0)</f>
        <v>439</v>
      </c>
      <c r="D440" s="23">
        <f>IF($C440&gt;0,INDEX(Merge_1_2!$Q$2:$Q$611,$C440),0)</f>
        <v>439</v>
      </c>
      <c r="E440" s="23">
        <f>IFERROR(MATCH($A440,Dataset3_Raw!$A$2:$A$391,0),0)</f>
        <v>0</v>
      </c>
      <c r="F440" s="24">
        <f>IF($C440&gt;0,INDEX(Merge_1_2!$B$2:$B$611,$C440),DATE(VALUE(RIGHT(INDEX(Dataset3_Raw!$B$2:$B$391,$E440),4)),VALUE(MID(INDEX(Dataset3_Raw!$B$2:$B$391,$E440),4,2)),VALUE(LEFT(INDEX(Dataset3_Raw!$B$2:$B$391,$E440),2))))</f>
        <v>40563</v>
      </c>
      <c r="G440" s="23">
        <f>IF($C440&gt;0,INDEX(Merge_1_2!$C$2:$C$611,$C440),INDEX(Dataset3_Raw!$C$2:$C$391,$E440))</f>
        <v>1</v>
      </c>
      <c r="H440" s="23">
        <f>IF($C440&gt;0,INDEX(Merge_1_2!$D$2:$D$611,$C440),INDEX(Dataset3_Raw!$D$2:$D$391,$E440))</f>
        <v>0</v>
      </c>
      <c r="I440" s="23">
        <f>IF($C440&gt;0,INDEX(Merge_1_2!$E$2:$E$611,$C440),INDEX(Dataset3_Raw!$E$2:$E$391,$E440))</f>
        <v>1</v>
      </c>
      <c r="J440" s="23">
        <f>IF($C440&gt;0,INDEX(Merge_1_2!$F$2:$F$611,$C440),INDEX(Dataset3_Raw!$F$2:$F$391,$E440))</f>
        <v>7</v>
      </c>
      <c r="K440" s="23" t="b">
        <f>IF($C440&gt;0,INDEX(Merge_1_2!$G$2:$G$611,$C440),INDEX(Dataset3_Raw!$G$2:$G$391,$E440))</f>
        <v>0</v>
      </c>
      <c r="L440" s="23">
        <f>IF($C440&gt;0,INDEX(Merge_1_2!$H$2:$H$611,$C440),INDEX(Dataset3_Raw!$H$2:$H$391,$E440))</f>
        <v>4</v>
      </c>
      <c r="M440" s="23">
        <f>IF($C440&gt;0,INDEX(Merge_1_2!$I$2:$I$611,$C440),INDEX(Dataset3_Raw!$I$2:$I$391,$E440))</f>
        <v>1</v>
      </c>
      <c r="N440" s="25">
        <f>IF($C440&gt;0,INDEX(Merge_1_2!$J$2:$J$611,$C440),INDEX(Dataset3_Raw!$J$2:$J$391,$E440))</f>
        <v>0.22</v>
      </c>
      <c r="O440" s="25">
        <f>IF($C440&gt;0,IF(ISNUMBER(INDEX(Merge_1_2!$K$2:$K$611,$C440)),INDEX(Merge_1_2!$K$2:$K$611,$C440),""),INDEX(Dataset3_Raw!$K$2:$K$391,$E440))</f>
        <v>0.21210000000000001</v>
      </c>
      <c r="P440" s="25">
        <f>IF(ISNUMBER($O440),$O440,ROUND(Lookups!$B$25+Lookups!$B$24*$N440,4))</f>
        <v>0.21210000000000001</v>
      </c>
      <c r="Q440" s="25">
        <f>IF($C440&gt;0,INDEX(Merge_1_2!$L$2:$L$611,$C440),INDEX(Dataset3_Raw!$L$2:$L$391,$E440))</f>
        <v>0.55000000000000004</v>
      </c>
      <c r="R440" s="25">
        <f>IF($C440&gt;0,INDEX(Merge_1_2!$M$2:$M$611,$C440),INDEX(Dataset3_Raw!$M$2:$M$391,$E440))</f>
        <v>0.22389999999999999</v>
      </c>
      <c r="S440" s="23">
        <f>IF($C440&gt;0,INDEX(Merge_1_2!$N$2:$N$611,$C440),INDEX(Dataset3_Raw!$N$2:$N$391,$E440))</f>
        <v>1</v>
      </c>
      <c r="T440" s="23">
        <f>IF($C440&gt;0,INDEX(Merge_1_2!$O$2:$O$611,$C440),INDEX(Dataset3_Raw!$O$2:$O$391,$E440))</f>
        <v>100</v>
      </c>
      <c r="U440" s="23">
        <f>IF($C440&gt;0,INDEX(Merge_1_2!$P$2:$P$611,$C440),INDEX(Dataset3_Raw!$P$2:$P$391,$E440))</f>
        <v>101</v>
      </c>
      <c r="V440" s="23" t="str">
        <f t="shared" si="37"/>
        <v>Weekday</v>
      </c>
      <c r="W440" s="23" t="str">
        <f>VLOOKUP($M440,Lookups!$A$5:$B$8,2,FALSE())</f>
        <v>Clear / Partly cloudy</v>
      </c>
      <c r="X440" s="23" t="str">
        <f>VLOOKUP($G440,Lookups!$D$5:$E$8,2,FALSE())</f>
        <v>Winter</v>
      </c>
      <c r="Y440" s="23" t="str">
        <f>VLOOKUP($L440,Lookups!$G$5:$H$11,2,FALSE())</f>
        <v>Thursday</v>
      </c>
      <c r="Z440" s="23" t="str">
        <f>IF($J440&lt;Lookups!$B$26,"Night",IF($J440&lt;Lookups!$B$27,"Morning",IF($J440&lt;Lookups!$B$28,"Afternoon","Evening")))</f>
        <v>Morning</v>
      </c>
      <c r="AA440" s="26">
        <f>ROUND($N440*(Lookups!$B$16-Lookups!$B$15)+Lookups!$B$15,1)</f>
        <v>2.2999999999999998</v>
      </c>
      <c r="AB440" s="26">
        <f>ROUND($P440*(Lookups!$B$18-Lookups!$B$17)+Lookups!$B$17,1)</f>
        <v>-2</v>
      </c>
      <c r="AC440" s="23">
        <f t="shared" si="38"/>
        <v>55</v>
      </c>
      <c r="AD440" s="23">
        <f>ROUND($R440*Lookups!$B$19,1)</f>
        <v>15</v>
      </c>
      <c r="AE440" s="27">
        <f t="shared" si="39"/>
        <v>0.99009900990099009</v>
      </c>
      <c r="AF440" s="23" t="str">
        <f>IF($U440&gt;=Lookups!$B$23,"High",IF($U440&gt;=Lookups!$B$22,"Medium","Low"))</f>
        <v>High</v>
      </c>
      <c r="AG440" s="23">
        <f>ROUND(IF($V440="Weekday",IF(INDEX(Hourly_Analysis!$D$5:$D$28,$J440+1)&gt;0,($U440-INDEX(Hourly_Analysis!$C$5:$C$28,$J440+1))/INDEX(Hourly_Analysis!$D$5:$D$28,$J440+1),0),IF(INDEX(Hourly_Analysis!$G$5:$G$28,$J440+1)&gt;0,($U440-INDEX(Hourly_Analysis!$F$5:$F$28,$J440+1))/INDEX(Hourly_Analysis!$G$5:$G$28,$J440+1),0)),2)</f>
        <v>1.07</v>
      </c>
      <c r="AH440" s="23" t="str">
        <f>IF(ABS($AG440)&gt;Lookups!$B$20,IF($AG440&gt;0,"High anomaly","Low anomaly"),"")</f>
        <v/>
      </c>
      <c r="AI440" s="23" t="str">
        <f t="shared" si="40"/>
        <v>OK</v>
      </c>
      <c r="AJ440" s="23" t="str">
        <f t="shared" si="41"/>
        <v>No</v>
      </c>
    </row>
    <row r="441" spans="1:36" x14ac:dyDescent="0.35">
      <c r="A441" s="23">
        <v>440</v>
      </c>
      <c r="B441" s="23" t="str">
        <f t="shared" si="36"/>
        <v>Merge 1+2</v>
      </c>
      <c r="C441" s="23">
        <f>IFERROR(MATCH($A441,Merge_1_2!$A$2:$A$611,0),0)</f>
        <v>440</v>
      </c>
      <c r="D441" s="23">
        <f>IF($C441&gt;0,INDEX(Merge_1_2!$Q$2:$Q$611,$C441),0)</f>
        <v>440</v>
      </c>
      <c r="E441" s="23">
        <f>IFERROR(MATCH($A441,Dataset3_Raw!$A$2:$A$391,0),0)</f>
        <v>0</v>
      </c>
      <c r="F441" s="24">
        <f>IF($C441&gt;0,INDEX(Merge_1_2!$B$2:$B$611,$C441),DATE(VALUE(RIGHT(INDEX(Dataset3_Raw!$B$2:$B$391,$E441),4)),VALUE(MID(INDEX(Dataset3_Raw!$B$2:$B$391,$E441),4,2)),VALUE(LEFT(INDEX(Dataset3_Raw!$B$2:$B$391,$E441),2))))</f>
        <v>40563</v>
      </c>
      <c r="G441" s="23">
        <f>IF($C441&gt;0,INDEX(Merge_1_2!$C$2:$C$611,$C441),INDEX(Dataset3_Raw!$C$2:$C$391,$E441))</f>
        <v>1</v>
      </c>
      <c r="H441" s="23">
        <f>IF($C441&gt;0,INDEX(Merge_1_2!$D$2:$D$611,$C441),INDEX(Dataset3_Raw!$D$2:$D$391,$E441))</f>
        <v>0</v>
      </c>
      <c r="I441" s="23">
        <f>IF($C441&gt;0,INDEX(Merge_1_2!$E$2:$E$611,$C441),INDEX(Dataset3_Raw!$E$2:$E$391,$E441))</f>
        <v>1</v>
      </c>
      <c r="J441" s="23">
        <f>IF($C441&gt;0,INDEX(Merge_1_2!$F$2:$F$611,$C441),INDEX(Dataset3_Raw!$F$2:$F$391,$E441))</f>
        <v>8</v>
      </c>
      <c r="K441" s="23" t="b">
        <f>IF($C441&gt;0,INDEX(Merge_1_2!$G$2:$G$611,$C441),INDEX(Dataset3_Raw!$G$2:$G$391,$E441))</f>
        <v>0</v>
      </c>
      <c r="L441" s="23">
        <f>IF($C441&gt;0,INDEX(Merge_1_2!$H$2:$H$611,$C441),INDEX(Dataset3_Raw!$H$2:$H$391,$E441))</f>
        <v>4</v>
      </c>
      <c r="M441" s="23">
        <f>IF($C441&gt;0,INDEX(Merge_1_2!$I$2:$I$611,$C441),INDEX(Dataset3_Raw!$I$2:$I$391,$E441))</f>
        <v>1</v>
      </c>
      <c r="N441" s="25">
        <f>IF($C441&gt;0,INDEX(Merge_1_2!$J$2:$J$611,$C441),INDEX(Dataset3_Raw!$J$2:$J$391,$E441))</f>
        <v>0.22</v>
      </c>
      <c r="O441" s="25">
        <f>IF($C441&gt;0,IF(ISNUMBER(INDEX(Merge_1_2!$K$2:$K$611,$C441)),INDEX(Merge_1_2!$K$2:$K$611,$C441),""),INDEX(Dataset3_Raw!$K$2:$K$391,$E441))</f>
        <v>0.21210000000000001</v>
      </c>
      <c r="P441" s="25">
        <f>IF(ISNUMBER($O441),$O441,ROUND(Lookups!$B$25+Lookups!$B$24*$N441,4))</f>
        <v>0.21210000000000001</v>
      </c>
      <c r="Q441" s="25">
        <f>IF($C441&gt;0,INDEX(Merge_1_2!$L$2:$L$611,$C441),INDEX(Dataset3_Raw!$L$2:$L$391,$E441))</f>
        <v>0.55000000000000004</v>
      </c>
      <c r="R441" s="25">
        <f>IF($C441&gt;0,INDEX(Merge_1_2!$M$2:$M$611,$C441),INDEX(Dataset3_Raw!$M$2:$M$391,$E441))</f>
        <v>0.28360000000000002</v>
      </c>
      <c r="S441" s="23">
        <f>IF($C441&gt;0,INDEX(Merge_1_2!$N$2:$N$611,$C441),INDEX(Dataset3_Raw!$N$2:$N$391,$E441))</f>
        <v>2</v>
      </c>
      <c r="T441" s="23">
        <f>IF($C441&gt;0,INDEX(Merge_1_2!$O$2:$O$611,$C441),INDEX(Dataset3_Raw!$O$2:$O$391,$E441))</f>
        <v>247</v>
      </c>
      <c r="U441" s="23">
        <f>IF($C441&gt;0,INDEX(Merge_1_2!$P$2:$P$611,$C441),INDEX(Dataset3_Raw!$P$2:$P$391,$E441))</f>
        <v>249</v>
      </c>
      <c r="V441" s="23" t="str">
        <f t="shared" si="37"/>
        <v>Weekday</v>
      </c>
      <c r="W441" s="23" t="str">
        <f>VLOOKUP($M441,Lookups!$A$5:$B$8,2,FALSE())</f>
        <v>Clear / Partly cloudy</v>
      </c>
      <c r="X441" s="23" t="str">
        <f>VLOOKUP($G441,Lookups!$D$5:$E$8,2,FALSE())</f>
        <v>Winter</v>
      </c>
      <c r="Y441" s="23" t="str">
        <f>VLOOKUP($L441,Lookups!$G$5:$H$11,2,FALSE())</f>
        <v>Thursday</v>
      </c>
      <c r="Z441" s="23" t="str">
        <f>IF($J441&lt;Lookups!$B$26,"Night",IF($J441&lt;Lookups!$B$27,"Morning",IF($J441&lt;Lookups!$B$28,"Afternoon","Evening")))</f>
        <v>Morning</v>
      </c>
      <c r="AA441" s="26">
        <f>ROUND($N441*(Lookups!$B$16-Lookups!$B$15)+Lookups!$B$15,1)</f>
        <v>2.2999999999999998</v>
      </c>
      <c r="AB441" s="26">
        <f>ROUND($P441*(Lookups!$B$18-Lookups!$B$17)+Lookups!$B$17,1)</f>
        <v>-2</v>
      </c>
      <c r="AC441" s="23">
        <f t="shared" si="38"/>
        <v>55</v>
      </c>
      <c r="AD441" s="23">
        <f>ROUND($R441*Lookups!$B$19,1)</f>
        <v>19</v>
      </c>
      <c r="AE441" s="27">
        <f t="shared" si="39"/>
        <v>0.99196787148594379</v>
      </c>
      <c r="AF441" s="23" t="str">
        <f>IF($U441&gt;=Lookups!$B$23,"High",IF($U441&gt;=Lookups!$B$22,"Medium","Low"))</f>
        <v>High</v>
      </c>
      <c r="AG441" s="23">
        <f>ROUND(IF($V441="Weekday",IF(INDEX(Hourly_Analysis!$D$5:$D$28,$J441+1)&gt;0,($U441-INDEX(Hourly_Analysis!$C$5:$C$28,$J441+1))/INDEX(Hourly_Analysis!$D$5:$D$28,$J441+1),0),IF(INDEX(Hourly_Analysis!$G$5:$G$28,$J441+1)&gt;0,($U441-INDEX(Hourly_Analysis!$F$5:$F$28,$J441+1))/INDEX(Hourly_Analysis!$G$5:$G$28,$J441+1),0)),2)</f>
        <v>1.51</v>
      </c>
      <c r="AH441" s="23" t="str">
        <f>IF(ABS($AG441)&gt;Lookups!$B$20,IF($AG441&gt;0,"High anomaly","Low anomaly"),"")</f>
        <v/>
      </c>
      <c r="AI441" s="23" t="str">
        <f t="shared" si="40"/>
        <v>OK</v>
      </c>
      <c r="AJ441" s="23" t="str">
        <f t="shared" si="41"/>
        <v>No</v>
      </c>
    </row>
    <row r="442" spans="1:36" x14ac:dyDescent="0.35">
      <c r="A442" s="23">
        <v>441</v>
      </c>
      <c r="B442" s="23" t="str">
        <f t="shared" si="36"/>
        <v>Merge 1+2</v>
      </c>
      <c r="C442" s="23">
        <f>IFERROR(MATCH($A442,Merge_1_2!$A$2:$A$611,0),0)</f>
        <v>441</v>
      </c>
      <c r="D442" s="23">
        <f>IF($C442&gt;0,INDEX(Merge_1_2!$Q$2:$Q$611,$C442),0)</f>
        <v>441</v>
      </c>
      <c r="E442" s="23">
        <f>IFERROR(MATCH($A442,Dataset3_Raw!$A$2:$A$391,0),0)</f>
        <v>0</v>
      </c>
      <c r="F442" s="24">
        <f>IF($C442&gt;0,INDEX(Merge_1_2!$B$2:$B$611,$C442),DATE(VALUE(RIGHT(INDEX(Dataset3_Raw!$B$2:$B$391,$E442),4)),VALUE(MID(INDEX(Dataset3_Raw!$B$2:$B$391,$E442),4,2)),VALUE(LEFT(INDEX(Dataset3_Raw!$B$2:$B$391,$E442),2))))</f>
        <v>40563</v>
      </c>
      <c r="G442" s="23">
        <f>IF($C442&gt;0,INDEX(Merge_1_2!$C$2:$C$611,$C442),INDEX(Dataset3_Raw!$C$2:$C$391,$E442))</f>
        <v>1</v>
      </c>
      <c r="H442" s="23">
        <f>IF($C442&gt;0,INDEX(Merge_1_2!$D$2:$D$611,$C442),INDEX(Dataset3_Raw!$D$2:$D$391,$E442))</f>
        <v>0</v>
      </c>
      <c r="I442" s="23">
        <f>IF($C442&gt;0,INDEX(Merge_1_2!$E$2:$E$611,$C442),INDEX(Dataset3_Raw!$E$2:$E$391,$E442))</f>
        <v>1</v>
      </c>
      <c r="J442" s="23">
        <f>IF($C442&gt;0,INDEX(Merge_1_2!$F$2:$F$611,$C442),INDEX(Dataset3_Raw!$F$2:$F$391,$E442))</f>
        <v>9</v>
      </c>
      <c r="K442" s="23" t="b">
        <f>IF($C442&gt;0,INDEX(Merge_1_2!$G$2:$G$611,$C442),INDEX(Dataset3_Raw!$G$2:$G$391,$E442))</f>
        <v>0</v>
      </c>
      <c r="L442" s="23">
        <f>IF($C442&gt;0,INDEX(Merge_1_2!$H$2:$H$611,$C442),INDEX(Dataset3_Raw!$H$2:$H$391,$E442))</f>
        <v>4</v>
      </c>
      <c r="M442" s="23">
        <f>IF($C442&gt;0,INDEX(Merge_1_2!$I$2:$I$611,$C442),INDEX(Dataset3_Raw!$I$2:$I$391,$E442))</f>
        <v>2</v>
      </c>
      <c r="N442" s="25">
        <f>IF($C442&gt;0,INDEX(Merge_1_2!$J$2:$J$611,$C442),INDEX(Dataset3_Raw!$J$2:$J$391,$E442))</f>
        <v>0.24</v>
      </c>
      <c r="O442" s="25">
        <f>IF($C442&gt;0,IF(ISNUMBER(INDEX(Merge_1_2!$K$2:$K$611,$C442)),INDEX(Merge_1_2!$K$2:$K$611,$C442),""),INDEX(Dataset3_Raw!$K$2:$K$391,$E442))</f>
        <v>0.2273</v>
      </c>
      <c r="P442" s="25">
        <f>IF(ISNUMBER($O442),$O442,ROUND(Lookups!$B$25+Lookups!$B$24*$N442,4))</f>
        <v>0.2273</v>
      </c>
      <c r="Q442" s="25">
        <f>IF($C442&gt;0,INDEX(Merge_1_2!$L$2:$L$611,$C442),INDEX(Dataset3_Raw!$L$2:$L$391,$E442))</f>
        <v>0.52</v>
      </c>
      <c r="R442" s="25">
        <f>IF($C442&gt;0,INDEX(Merge_1_2!$M$2:$M$611,$C442),INDEX(Dataset3_Raw!$M$2:$M$391,$E442))</f>
        <v>0.22389999999999999</v>
      </c>
      <c r="S442" s="23">
        <f>IF($C442&gt;0,INDEX(Merge_1_2!$N$2:$N$611,$C442),INDEX(Dataset3_Raw!$N$2:$N$391,$E442))</f>
        <v>3</v>
      </c>
      <c r="T442" s="23">
        <f>IF($C442&gt;0,INDEX(Merge_1_2!$O$2:$O$611,$C442),INDEX(Dataset3_Raw!$O$2:$O$391,$E442))</f>
        <v>140</v>
      </c>
      <c r="U442" s="23">
        <f>IF($C442&gt;0,INDEX(Merge_1_2!$P$2:$P$611,$C442),INDEX(Dataset3_Raw!$P$2:$P$391,$E442))</f>
        <v>143</v>
      </c>
      <c r="V442" s="23" t="str">
        <f t="shared" si="37"/>
        <v>Weekday</v>
      </c>
      <c r="W442" s="23" t="str">
        <f>VLOOKUP($M442,Lookups!$A$5:$B$8,2,FALSE())</f>
        <v>Mist / Cloudy</v>
      </c>
      <c r="X442" s="23" t="str">
        <f>VLOOKUP($G442,Lookups!$D$5:$E$8,2,FALSE())</f>
        <v>Winter</v>
      </c>
      <c r="Y442" s="23" t="str">
        <f>VLOOKUP($L442,Lookups!$G$5:$H$11,2,FALSE())</f>
        <v>Thursday</v>
      </c>
      <c r="Z442" s="23" t="str">
        <f>IF($J442&lt;Lookups!$B$26,"Night",IF($J442&lt;Lookups!$B$27,"Morning",IF($J442&lt;Lookups!$B$28,"Afternoon","Evening")))</f>
        <v>Morning</v>
      </c>
      <c r="AA442" s="26">
        <f>ROUND($N442*(Lookups!$B$16-Lookups!$B$15)+Lookups!$B$15,1)</f>
        <v>3.3</v>
      </c>
      <c r="AB442" s="26">
        <f>ROUND($P442*(Lookups!$B$18-Lookups!$B$17)+Lookups!$B$17,1)</f>
        <v>-1</v>
      </c>
      <c r="AC442" s="23">
        <f t="shared" si="38"/>
        <v>52</v>
      </c>
      <c r="AD442" s="23">
        <f>ROUND($R442*Lookups!$B$19,1)</f>
        <v>15</v>
      </c>
      <c r="AE442" s="27">
        <f t="shared" si="39"/>
        <v>0.97902097902097907</v>
      </c>
      <c r="AF442" s="23" t="str">
        <f>IF($U442&gt;=Lookups!$B$23,"High",IF($U442&gt;=Lookups!$B$22,"Medium","Low"))</f>
        <v>High</v>
      </c>
      <c r="AG442" s="23">
        <f>ROUND(IF($V442="Weekday",IF(INDEX(Hourly_Analysis!$D$5:$D$28,$J442+1)&gt;0,($U442-INDEX(Hourly_Analysis!$C$5:$C$28,$J442+1))/INDEX(Hourly_Analysis!$D$5:$D$28,$J442+1),0),IF(INDEX(Hourly_Analysis!$G$5:$G$28,$J442+1)&gt;0,($U442-INDEX(Hourly_Analysis!$F$5:$F$28,$J442+1))/INDEX(Hourly_Analysis!$G$5:$G$28,$J442+1),0)),2)</f>
        <v>1.1100000000000001</v>
      </c>
      <c r="AH442" s="23" t="str">
        <f>IF(ABS($AG442)&gt;Lookups!$B$20,IF($AG442&gt;0,"High anomaly","Low anomaly"),"")</f>
        <v/>
      </c>
      <c r="AI442" s="23" t="str">
        <f t="shared" si="40"/>
        <v>OK</v>
      </c>
      <c r="AJ442" s="23" t="str">
        <f t="shared" si="41"/>
        <v>No</v>
      </c>
    </row>
    <row r="443" spans="1:36" x14ac:dyDescent="0.35">
      <c r="A443" s="23">
        <v>442</v>
      </c>
      <c r="B443" s="23" t="str">
        <f t="shared" si="36"/>
        <v>Merge 1+2</v>
      </c>
      <c r="C443" s="23">
        <f>IFERROR(MATCH($A443,Merge_1_2!$A$2:$A$611,0),0)</f>
        <v>442</v>
      </c>
      <c r="D443" s="23">
        <f>IF($C443&gt;0,INDEX(Merge_1_2!$Q$2:$Q$611,$C443),0)</f>
        <v>442</v>
      </c>
      <c r="E443" s="23">
        <f>IFERROR(MATCH($A443,Dataset3_Raw!$A$2:$A$391,0),0)</f>
        <v>0</v>
      </c>
      <c r="F443" s="24">
        <f>IF($C443&gt;0,INDEX(Merge_1_2!$B$2:$B$611,$C443),DATE(VALUE(RIGHT(INDEX(Dataset3_Raw!$B$2:$B$391,$E443),4)),VALUE(MID(INDEX(Dataset3_Raw!$B$2:$B$391,$E443),4,2)),VALUE(LEFT(INDEX(Dataset3_Raw!$B$2:$B$391,$E443),2))))</f>
        <v>40563</v>
      </c>
      <c r="G443" s="23">
        <f>IF($C443&gt;0,INDEX(Merge_1_2!$C$2:$C$611,$C443),INDEX(Dataset3_Raw!$C$2:$C$391,$E443))</f>
        <v>1</v>
      </c>
      <c r="H443" s="23">
        <f>IF($C443&gt;0,INDEX(Merge_1_2!$D$2:$D$611,$C443),INDEX(Dataset3_Raw!$D$2:$D$391,$E443))</f>
        <v>0</v>
      </c>
      <c r="I443" s="23">
        <f>IF($C443&gt;0,INDEX(Merge_1_2!$E$2:$E$611,$C443),INDEX(Dataset3_Raw!$E$2:$E$391,$E443))</f>
        <v>1</v>
      </c>
      <c r="J443" s="23">
        <f>IF($C443&gt;0,INDEX(Merge_1_2!$F$2:$F$611,$C443),INDEX(Dataset3_Raw!$F$2:$F$391,$E443))</f>
        <v>10</v>
      </c>
      <c r="K443" s="23" t="b">
        <f>IF($C443&gt;0,INDEX(Merge_1_2!$G$2:$G$611,$C443),INDEX(Dataset3_Raw!$G$2:$G$391,$E443))</f>
        <v>0</v>
      </c>
      <c r="L443" s="23">
        <f>IF($C443&gt;0,INDEX(Merge_1_2!$H$2:$H$611,$C443),INDEX(Dataset3_Raw!$H$2:$H$391,$E443))</f>
        <v>4</v>
      </c>
      <c r="M443" s="23">
        <f>IF($C443&gt;0,INDEX(Merge_1_2!$I$2:$I$611,$C443),INDEX(Dataset3_Raw!$I$2:$I$391,$E443))</f>
        <v>1</v>
      </c>
      <c r="N443" s="25">
        <f>IF($C443&gt;0,INDEX(Merge_1_2!$J$2:$J$611,$C443),INDEX(Dataset3_Raw!$J$2:$J$391,$E443))</f>
        <v>0.26</v>
      </c>
      <c r="O443" s="25">
        <f>IF($C443&gt;0,IF(ISNUMBER(INDEX(Merge_1_2!$K$2:$K$611,$C443)),INDEX(Merge_1_2!$K$2:$K$611,$C443),""),INDEX(Dataset3_Raw!$K$2:$K$391,$E443))</f>
        <v>0.2273</v>
      </c>
      <c r="P443" s="25">
        <f>IF(ISNUMBER($O443),$O443,ROUND(Lookups!$B$25+Lookups!$B$24*$N443,4))</f>
        <v>0.2273</v>
      </c>
      <c r="Q443" s="25">
        <f>IF($C443&gt;0,INDEX(Merge_1_2!$L$2:$L$611,$C443),INDEX(Dataset3_Raw!$L$2:$L$391,$E443))</f>
        <v>0.48</v>
      </c>
      <c r="R443" s="25">
        <f>IF($C443&gt;0,INDEX(Merge_1_2!$M$2:$M$611,$C443),INDEX(Dataset3_Raw!$M$2:$M$391,$E443))</f>
        <v>0.29849999999999999</v>
      </c>
      <c r="S443" s="23">
        <f>IF($C443&gt;0,INDEX(Merge_1_2!$N$2:$N$611,$C443),INDEX(Dataset3_Raw!$N$2:$N$391,$E443))</f>
        <v>1</v>
      </c>
      <c r="T443" s="23">
        <f>IF($C443&gt;0,INDEX(Merge_1_2!$O$2:$O$611,$C443),INDEX(Dataset3_Raw!$O$2:$O$391,$E443))</f>
        <v>56</v>
      </c>
      <c r="U443" s="23">
        <f>IF($C443&gt;0,INDEX(Merge_1_2!$P$2:$P$611,$C443),INDEX(Dataset3_Raw!$P$2:$P$391,$E443))</f>
        <v>57</v>
      </c>
      <c r="V443" s="23" t="str">
        <f t="shared" si="37"/>
        <v>Weekday</v>
      </c>
      <c r="W443" s="23" t="str">
        <f>VLOOKUP($M443,Lookups!$A$5:$B$8,2,FALSE())</f>
        <v>Clear / Partly cloudy</v>
      </c>
      <c r="X443" s="23" t="str">
        <f>VLOOKUP($G443,Lookups!$D$5:$E$8,2,FALSE())</f>
        <v>Winter</v>
      </c>
      <c r="Y443" s="23" t="str">
        <f>VLOOKUP($L443,Lookups!$G$5:$H$11,2,FALSE())</f>
        <v>Thursday</v>
      </c>
      <c r="Z443" s="23" t="str">
        <f>IF($J443&lt;Lookups!$B$26,"Night",IF($J443&lt;Lookups!$B$27,"Morning",IF($J443&lt;Lookups!$B$28,"Afternoon","Evening")))</f>
        <v>Morning</v>
      </c>
      <c r="AA443" s="26">
        <f>ROUND($N443*(Lookups!$B$16-Lookups!$B$15)+Lookups!$B$15,1)</f>
        <v>4.2</v>
      </c>
      <c r="AB443" s="26">
        <f>ROUND($P443*(Lookups!$B$18-Lookups!$B$17)+Lookups!$B$17,1)</f>
        <v>-1</v>
      </c>
      <c r="AC443" s="23">
        <f t="shared" si="38"/>
        <v>48</v>
      </c>
      <c r="AD443" s="23">
        <f>ROUND($R443*Lookups!$B$19,1)</f>
        <v>20</v>
      </c>
      <c r="AE443" s="27">
        <f t="shared" si="39"/>
        <v>0.98245614035087714</v>
      </c>
      <c r="AF443" s="23" t="str">
        <f>IF($U443&gt;=Lookups!$B$23,"High",IF($U443&gt;=Lookups!$B$22,"Medium","Low"))</f>
        <v>Medium</v>
      </c>
      <c r="AG443" s="23">
        <f>ROUND(IF($V443="Weekday",IF(INDEX(Hourly_Analysis!$D$5:$D$28,$J443+1)&gt;0,($U443-INDEX(Hourly_Analysis!$C$5:$C$28,$J443+1))/INDEX(Hourly_Analysis!$D$5:$D$28,$J443+1),0),IF(INDEX(Hourly_Analysis!$G$5:$G$28,$J443+1)&gt;0,($U443-INDEX(Hourly_Analysis!$F$5:$F$28,$J443+1))/INDEX(Hourly_Analysis!$G$5:$G$28,$J443+1),0)),2)</f>
        <v>0.81</v>
      </c>
      <c r="AH443" s="23" t="str">
        <f>IF(ABS($AG443)&gt;Lookups!$B$20,IF($AG443&gt;0,"High anomaly","Low anomaly"),"")</f>
        <v/>
      </c>
      <c r="AI443" s="23" t="str">
        <f t="shared" si="40"/>
        <v>OK</v>
      </c>
      <c r="AJ443" s="23" t="str">
        <f t="shared" si="41"/>
        <v>No</v>
      </c>
    </row>
    <row r="444" spans="1:36" x14ac:dyDescent="0.35">
      <c r="A444" s="23">
        <v>443</v>
      </c>
      <c r="B444" s="23" t="str">
        <f t="shared" si="36"/>
        <v>Merge 1+2</v>
      </c>
      <c r="C444" s="23">
        <f>IFERROR(MATCH($A444,Merge_1_2!$A$2:$A$611,0),0)</f>
        <v>443</v>
      </c>
      <c r="D444" s="23">
        <f>IF($C444&gt;0,INDEX(Merge_1_2!$Q$2:$Q$611,$C444),0)</f>
        <v>443</v>
      </c>
      <c r="E444" s="23">
        <f>IFERROR(MATCH($A444,Dataset3_Raw!$A$2:$A$391,0),0)</f>
        <v>0</v>
      </c>
      <c r="F444" s="24">
        <f>IF($C444&gt;0,INDEX(Merge_1_2!$B$2:$B$611,$C444),DATE(VALUE(RIGHT(INDEX(Dataset3_Raw!$B$2:$B$391,$E444),4)),VALUE(MID(INDEX(Dataset3_Raw!$B$2:$B$391,$E444),4,2)),VALUE(LEFT(INDEX(Dataset3_Raw!$B$2:$B$391,$E444),2))))</f>
        <v>40563</v>
      </c>
      <c r="G444" s="23">
        <f>IF($C444&gt;0,INDEX(Merge_1_2!$C$2:$C$611,$C444),INDEX(Dataset3_Raw!$C$2:$C$391,$E444))</f>
        <v>1</v>
      </c>
      <c r="H444" s="23">
        <f>IF($C444&gt;0,INDEX(Merge_1_2!$D$2:$D$611,$C444),INDEX(Dataset3_Raw!$D$2:$D$391,$E444))</f>
        <v>0</v>
      </c>
      <c r="I444" s="23">
        <f>IF($C444&gt;0,INDEX(Merge_1_2!$E$2:$E$611,$C444),INDEX(Dataset3_Raw!$E$2:$E$391,$E444))</f>
        <v>1</v>
      </c>
      <c r="J444" s="23">
        <f>IF($C444&gt;0,INDEX(Merge_1_2!$F$2:$F$611,$C444),INDEX(Dataset3_Raw!$F$2:$F$391,$E444))</f>
        <v>11</v>
      </c>
      <c r="K444" s="23" t="b">
        <f>IF($C444&gt;0,INDEX(Merge_1_2!$G$2:$G$611,$C444),INDEX(Dataset3_Raw!$G$2:$G$391,$E444))</f>
        <v>0</v>
      </c>
      <c r="L444" s="23">
        <f>IF($C444&gt;0,INDEX(Merge_1_2!$H$2:$H$611,$C444),INDEX(Dataset3_Raw!$H$2:$H$391,$E444))</f>
        <v>4</v>
      </c>
      <c r="M444" s="23">
        <f>IF($C444&gt;0,INDEX(Merge_1_2!$I$2:$I$611,$C444),INDEX(Dataset3_Raw!$I$2:$I$391,$E444))</f>
        <v>2</v>
      </c>
      <c r="N444" s="25">
        <f>IF($C444&gt;0,INDEX(Merge_1_2!$J$2:$J$611,$C444),INDEX(Dataset3_Raw!$J$2:$J$391,$E444))</f>
        <v>0.28000000000000003</v>
      </c>
      <c r="O444" s="25">
        <f>IF($C444&gt;0,IF(ISNUMBER(INDEX(Merge_1_2!$K$2:$K$611,$C444)),INDEX(Merge_1_2!$K$2:$K$611,$C444),""),INDEX(Dataset3_Raw!$K$2:$K$391,$E444))</f>
        <v>0.2727</v>
      </c>
      <c r="P444" s="25">
        <f>IF(ISNUMBER($O444),$O444,ROUND(Lookups!$B$25+Lookups!$B$24*$N444,4))</f>
        <v>0.2727</v>
      </c>
      <c r="Q444" s="25">
        <f>IF($C444&gt;0,INDEX(Merge_1_2!$L$2:$L$611,$C444),INDEX(Dataset3_Raw!$L$2:$L$391,$E444))</f>
        <v>0.45</v>
      </c>
      <c r="R444" s="25">
        <f>IF($C444&gt;0,INDEX(Merge_1_2!$M$2:$M$611,$C444),INDEX(Dataset3_Raw!$M$2:$M$391,$E444))</f>
        <v>0.16420000000000001</v>
      </c>
      <c r="S444" s="23">
        <f>IF($C444&gt;0,INDEX(Merge_1_2!$N$2:$N$611,$C444),INDEX(Dataset3_Raw!$N$2:$N$391,$E444))</f>
        <v>5</v>
      </c>
      <c r="T444" s="23">
        <f>IF($C444&gt;0,INDEX(Merge_1_2!$O$2:$O$611,$C444),INDEX(Dataset3_Raw!$O$2:$O$391,$E444))</f>
        <v>63</v>
      </c>
      <c r="U444" s="23">
        <f>IF($C444&gt;0,INDEX(Merge_1_2!$P$2:$P$611,$C444),INDEX(Dataset3_Raw!$P$2:$P$391,$E444))</f>
        <v>68</v>
      </c>
      <c r="V444" s="23" t="str">
        <f t="shared" si="37"/>
        <v>Weekday</v>
      </c>
      <c r="W444" s="23" t="str">
        <f>VLOOKUP($M444,Lookups!$A$5:$B$8,2,FALSE())</f>
        <v>Mist / Cloudy</v>
      </c>
      <c r="X444" s="23" t="str">
        <f>VLOOKUP($G444,Lookups!$D$5:$E$8,2,FALSE())</f>
        <v>Winter</v>
      </c>
      <c r="Y444" s="23" t="str">
        <f>VLOOKUP($L444,Lookups!$G$5:$H$11,2,FALSE())</f>
        <v>Thursday</v>
      </c>
      <c r="Z444" s="23" t="str">
        <f>IF($J444&lt;Lookups!$B$26,"Night",IF($J444&lt;Lookups!$B$27,"Morning",IF($J444&lt;Lookups!$B$28,"Afternoon","Evening")))</f>
        <v>Morning</v>
      </c>
      <c r="AA444" s="26">
        <f>ROUND($N444*(Lookups!$B$16-Lookups!$B$15)+Lookups!$B$15,1)</f>
        <v>5.2</v>
      </c>
      <c r="AB444" s="26">
        <f>ROUND($P444*(Lookups!$B$18-Lookups!$B$17)+Lookups!$B$17,1)</f>
        <v>2</v>
      </c>
      <c r="AC444" s="23">
        <f t="shared" si="38"/>
        <v>45</v>
      </c>
      <c r="AD444" s="23">
        <f>ROUND($R444*Lookups!$B$19,1)</f>
        <v>11</v>
      </c>
      <c r="AE444" s="27">
        <f t="shared" si="39"/>
        <v>0.92647058823529416</v>
      </c>
      <c r="AF444" s="23" t="str">
        <f>IF($U444&gt;=Lookups!$B$23,"High",IF($U444&gt;=Lookups!$B$22,"Medium","Low"))</f>
        <v>Medium</v>
      </c>
      <c r="AG444" s="23">
        <f>ROUND(IF($V444="Weekday",IF(INDEX(Hourly_Analysis!$D$5:$D$28,$J444+1)&gt;0,($U444-INDEX(Hourly_Analysis!$C$5:$C$28,$J444+1))/INDEX(Hourly_Analysis!$D$5:$D$28,$J444+1),0),IF(INDEX(Hourly_Analysis!$G$5:$G$28,$J444+1)&gt;0,($U444-INDEX(Hourly_Analysis!$F$5:$F$28,$J444+1))/INDEX(Hourly_Analysis!$G$5:$G$28,$J444+1),0)),2)</f>
        <v>1.61</v>
      </c>
      <c r="AH444" s="23" t="str">
        <f>IF(ABS($AG444)&gt;Lookups!$B$20,IF($AG444&gt;0,"High anomaly","Low anomaly"),"")</f>
        <v/>
      </c>
      <c r="AI444" s="23" t="str">
        <f t="shared" si="40"/>
        <v>OK</v>
      </c>
      <c r="AJ444" s="23" t="str">
        <f t="shared" si="41"/>
        <v>No</v>
      </c>
    </row>
    <row r="445" spans="1:36" x14ac:dyDescent="0.35">
      <c r="A445" s="23">
        <v>444</v>
      </c>
      <c r="B445" s="23" t="str">
        <f t="shared" si="36"/>
        <v>Merge 1+2</v>
      </c>
      <c r="C445" s="23">
        <f>IFERROR(MATCH($A445,Merge_1_2!$A$2:$A$611,0),0)</f>
        <v>444</v>
      </c>
      <c r="D445" s="23">
        <f>IF($C445&gt;0,INDEX(Merge_1_2!$Q$2:$Q$611,$C445),0)</f>
        <v>444</v>
      </c>
      <c r="E445" s="23">
        <f>IFERROR(MATCH($A445,Dataset3_Raw!$A$2:$A$391,0),0)</f>
        <v>0</v>
      </c>
      <c r="F445" s="24">
        <f>IF($C445&gt;0,INDEX(Merge_1_2!$B$2:$B$611,$C445),DATE(VALUE(RIGHT(INDEX(Dataset3_Raw!$B$2:$B$391,$E445),4)),VALUE(MID(INDEX(Dataset3_Raw!$B$2:$B$391,$E445),4,2)),VALUE(LEFT(INDEX(Dataset3_Raw!$B$2:$B$391,$E445),2))))</f>
        <v>40563</v>
      </c>
      <c r="G445" s="23">
        <f>IF($C445&gt;0,INDEX(Merge_1_2!$C$2:$C$611,$C445),INDEX(Dataset3_Raw!$C$2:$C$391,$E445))</f>
        <v>1</v>
      </c>
      <c r="H445" s="23">
        <f>IF($C445&gt;0,INDEX(Merge_1_2!$D$2:$D$611,$C445),INDEX(Dataset3_Raw!$D$2:$D$391,$E445))</f>
        <v>0</v>
      </c>
      <c r="I445" s="23">
        <f>IF($C445&gt;0,INDEX(Merge_1_2!$E$2:$E$611,$C445),INDEX(Dataset3_Raw!$E$2:$E$391,$E445))</f>
        <v>1</v>
      </c>
      <c r="J445" s="23">
        <f>IF($C445&gt;0,INDEX(Merge_1_2!$F$2:$F$611,$C445),INDEX(Dataset3_Raw!$F$2:$F$391,$E445))</f>
        <v>12</v>
      </c>
      <c r="K445" s="23" t="b">
        <f>IF($C445&gt;0,INDEX(Merge_1_2!$G$2:$G$611,$C445),INDEX(Dataset3_Raw!$G$2:$G$391,$E445))</f>
        <v>0</v>
      </c>
      <c r="L445" s="23">
        <f>IF($C445&gt;0,INDEX(Merge_1_2!$H$2:$H$611,$C445),INDEX(Dataset3_Raw!$H$2:$H$391,$E445))</f>
        <v>4</v>
      </c>
      <c r="M445" s="23">
        <f>IF($C445&gt;0,INDEX(Merge_1_2!$I$2:$I$611,$C445),INDEX(Dataset3_Raw!$I$2:$I$391,$E445))</f>
        <v>2</v>
      </c>
      <c r="N445" s="25">
        <f>IF($C445&gt;0,INDEX(Merge_1_2!$J$2:$J$611,$C445),INDEX(Dataset3_Raw!$J$2:$J$391,$E445))</f>
        <v>0.3</v>
      </c>
      <c r="O445" s="25">
        <f>IF($C445&gt;0,IF(ISNUMBER(INDEX(Merge_1_2!$K$2:$K$611,$C445)),INDEX(Merge_1_2!$K$2:$K$611,$C445),""),INDEX(Dataset3_Raw!$K$2:$K$391,$E445))</f>
        <v>0.33329999999999999</v>
      </c>
      <c r="P445" s="25">
        <f>IF(ISNUMBER($O445),$O445,ROUND(Lookups!$B$25+Lookups!$B$24*$N445,4))</f>
        <v>0.33329999999999999</v>
      </c>
      <c r="Q445" s="25">
        <f>IF($C445&gt;0,INDEX(Merge_1_2!$L$2:$L$611,$C445),INDEX(Dataset3_Raw!$L$2:$L$391,$E445))</f>
        <v>0.42</v>
      </c>
      <c r="R445" s="25">
        <f>IF($C445&gt;0,INDEX(Merge_1_2!$M$2:$M$611,$C445),INDEX(Dataset3_Raw!$M$2:$M$391,$E445))</f>
        <v>0</v>
      </c>
      <c r="S445" s="23">
        <f>IF($C445&gt;0,INDEX(Merge_1_2!$N$2:$N$611,$C445),INDEX(Dataset3_Raw!$N$2:$N$391,$E445))</f>
        <v>7</v>
      </c>
      <c r="T445" s="23">
        <f>IF($C445&gt;0,INDEX(Merge_1_2!$O$2:$O$611,$C445),INDEX(Dataset3_Raw!$O$2:$O$391,$E445))</f>
        <v>77</v>
      </c>
      <c r="U445" s="23">
        <f>IF($C445&gt;0,INDEX(Merge_1_2!$P$2:$P$611,$C445),INDEX(Dataset3_Raw!$P$2:$P$391,$E445))</f>
        <v>84</v>
      </c>
      <c r="V445" s="23" t="str">
        <f t="shared" si="37"/>
        <v>Weekday</v>
      </c>
      <c r="W445" s="23" t="str">
        <f>VLOOKUP($M445,Lookups!$A$5:$B$8,2,FALSE())</f>
        <v>Mist / Cloudy</v>
      </c>
      <c r="X445" s="23" t="str">
        <f>VLOOKUP($G445,Lookups!$D$5:$E$8,2,FALSE())</f>
        <v>Winter</v>
      </c>
      <c r="Y445" s="23" t="str">
        <f>VLOOKUP($L445,Lookups!$G$5:$H$11,2,FALSE())</f>
        <v>Thursday</v>
      </c>
      <c r="Z445" s="23" t="str">
        <f>IF($J445&lt;Lookups!$B$26,"Night",IF($J445&lt;Lookups!$B$27,"Morning",IF($J445&lt;Lookups!$B$28,"Afternoon","Evening")))</f>
        <v>Afternoon</v>
      </c>
      <c r="AA445" s="26">
        <f>ROUND($N445*(Lookups!$B$16-Lookups!$B$15)+Lookups!$B$15,1)</f>
        <v>6.1</v>
      </c>
      <c r="AB445" s="26">
        <f>ROUND($P445*(Lookups!$B$18-Lookups!$B$17)+Lookups!$B$17,1)</f>
        <v>6</v>
      </c>
      <c r="AC445" s="23">
        <f t="shared" si="38"/>
        <v>42</v>
      </c>
      <c r="AD445" s="23">
        <f>ROUND($R445*Lookups!$B$19,1)</f>
        <v>0</v>
      </c>
      <c r="AE445" s="27">
        <f t="shared" si="39"/>
        <v>0.91666666666666663</v>
      </c>
      <c r="AF445" s="23" t="str">
        <f>IF($U445&gt;=Lookups!$B$23,"High",IF($U445&gt;=Lookups!$B$22,"Medium","Low"))</f>
        <v>High</v>
      </c>
      <c r="AG445" s="23">
        <f>ROUND(IF($V445="Weekday",IF(INDEX(Hourly_Analysis!$D$5:$D$28,$J445+1)&gt;0,($U445-INDEX(Hourly_Analysis!$C$5:$C$28,$J445+1))/INDEX(Hourly_Analysis!$D$5:$D$28,$J445+1),0),IF(INDEX(Hourly_Analysis!$G$5:$G$28,$J445+1)&gt;0,($U445-INDEX(Hourly_Analysis!$F$5:$F$28,$J445+1))/INDEX(Hourly_Analysis!$G$5:$G$28,$J445+1),0)),2)</f>
        <v>1.06</v>
      </c>
      <c r="AH445" s="23" t="str">
        <f>IF(ABS($AG445)&gt;Lookups!$B$20,IF($AG445&gt;0,"High anomaly","Low anomaly"),"")</f>
        <v/>
      </c>
      <c r="AI445" s="23" t="str">
        <f t="shared" si="40"/>
        <v>OK</v>
      </c>
      <c r="AJ445" s="23" t="str">
        <f t="shared" si="41"/>
        <v>No</v>
      </c>
    </row>
    <row r="446" spans="1:36" x14ac:dyDescent="0.35">
      <c r="A446" s="23">
        <v>445</v>
      </c>
      <c r="B446" s="23" t="str">
        <f t="shared" si="36"/>
        <v>Merge 1+2</v>
      </c>
      <c r="C446" s="23">
        <f>IFERROR(MATCH($A446,Merge_1_2!$A$2:$A$611,0),0)</f>
        <v>445</v>
      </c>
      <c r="D446" s="23">
        <f>IF($C446&gt;0,INDEX(Merge_1_2!$Q$2:$Q$611,$C446),0)</f>
        <v>445</v>
      </c>
      <c r="E446" s="23">
        <f>IFERROR(MATCH($A446,Dataset3_Raw!$A$2:$A$391,0),0)</f>
        <v>0</v>
      </c>
      <c r="F446" s="24">
        <f>IF($C446&gt;0,INDEX(Merge_1_2!$B$2:$B$611,$C446),DATE(VALUE(RIGHT(INDEX(Dataset3_Raw!$B$2:$B$391,$E446),4)),VALUE(MID(INDEX(Dataset3_Raw!$B$2:$B$391,$E446),4,2)),VALUE(LEFT(INDEX(Dataset3_Raw!$B$2:$B$391,$E446),2))))</f>
        <v>40563</v>
      </c>
      <c r="G446" s="23">
        <f>IF($C446&gt;0,INDEX(Merge_1_2!$C$2:$C$611,$C446),INDEX(Dataset3_Raw!$C$2:$C$391,$E446))</f>
        <v>1</v>
      </c>
      <c r="H446" s="23">
        <f>IF($C446&gt;0,INDEX(Merge_1_2!$D$2:$D$611,$C446),INDEX(Dataset3_Raw!$D$2:$D$391,$E446))</f>
        <v>0</v>
      </c>
      <c r="I446" s="23">
        <f>IF($C446&gt;0,INDEX(Merge_1_2!$E$2:$E$611,$C446),INDEX(Dataset3_Raw!$E$2:$E$391,$E446))</f>
        <v>1</v>
      </c>
      <c r="J446" s="23">
        <f>IF($C446&gt;0,INDEX(Merge_1_2!$F$2:$F$611,$C446),INDEX(Dataset3_Raw!$F$2:$F$391,$E446))</f>
        <v>13</v>
      </c>
      <c r="K446" s="23" t="b">
        <f>IF($C446&gt;0,INDEX(Merge_1_2!$G$2:$G$611,$C446),INDEX(Dataset3_Raw!$G$2:$G$391,$E446))</f>
        <v>0</v>
      </c>
      <c r="L446" s="23">
        <f>IF($C446&gt;0,INDEX(Merge_1_2!$H$2:$H$611,$C446),INDEX(Dataset3_Raw!$H$2:$H$391,$E446))</f>
        <v>4</v>
      </c>
      <c r="M446" s="23">
        <f>IF($C446&gt;0,INDEX(Merge_1_2!$I$2:$I$611,$C446),INDEX(Dataset3_Raw!$I$2:$I$391,$E446))</f>
        <v>2</v>
      </c>
      <c r="N446" s="25">
        <f>IF($C446&gt;0,INDEX(Merge_1_2!$J$2:$J$611,$C446),INDEX(Dataset3_Raw!$J$2:$J$391,$E446))</f>
        <v>0.28000000000000003</v>
      </c>
      <c r="O446" s="25">
        <f>IF($C446&gt;0,IF(ISNUMBER(INDEX(Merge_1_2!$K$2:$K$611,$C446)),INDEX(Merge_1_2!$K$2:$K$611,$C446),""),INDEX(Dataset3_Raw!$K$2:$K$391,$E446))</f>
        <v>0.28789999999999999</v>
      </c>
      <c r="P446" s="25">
        <f>IF(ISNUMBER($O446),$O446,ROUND(Lookups!$B$25+Lookups!$B$24*$N446,4))</f>
        <v>0.28789999999999999</v>
      </c>
      <c r="Q446" s="25">
        <f>IF($C446&gt;0,INDEX(Merge_1_2!$L$2:$L$611,$C446),INDEX(Dataset3_Raw!$L$2:$L$391,$E446))</f>
        <v>0.45</v>
      </c>
      <c r="R446" s="25">
        <f>IF($C446&gt;0,INDEX(Merge_1_2!$M$2:$M$611,$C446),INDEX(Dataset3_Raw!$M$2:$M$391,$E446))</f>
        <v>0.1045</v>
      </c>
      <c r="S446" s="23">
        <f>IF($C446&gt;0,INDEX(Merge_1_2!$N$2:$N$611,$C446),INDEX(Dataset3_Raw!$N$2:$N$391,$E446))</f>
        <v>12</v>
      </c>
      <c r="T446" s="23">
        <f>IF($C446&gt;0,INDEX(Merge_1_2!$O$2:$O$611,$C446),INDEX(Dataset3_Raw!$O$2:$O$391,$E446))</f>
        <v>86</v>
      </c>
      <c r="U446" s="23">
        <f>IF($C446&gt;0,INDEX(Merge_1_2!$P$2:$P$611,$C446),INDEX(Dataset3_Raw!$P$2:$P$391,$E446))</f>
        <v>98</v>
      </c>
      <c r="V446" s="23" t="str">
        <f t="shared" si="37"/>
        <v>Weekday</v>
      </c>
      <c r="W446" s="23" t="str">
        <f>VLOOKUP($M446,Lookups!$A$5:$B$8,2,FALSE())</f>
        <v>Mist / Cloudy</v>
      </c>
      <c r="X446" s="23" t="str">
        <f>VLOOKUP($G446,Lookups!$D$5:$E$8,2,FALSE())</f>
        <v>Winter</v>
      </c>
      <c r="Y446" s="23" t="str">
        <f>VLOOKUP($L446,Lookups!$G$5:$H$11,2,FALSE())</f>
        <v>Thursday</v>
      </c>
      <c r="Z446" s="23" t="str">
        <f>IF($J446&lt;Lookups!$B$26,"Night",IF($J446&lt;Lookups!$B$27,"Morning",IF($J446&lt;Lookups!$B$28,"Afternoon","Evening")))</f>
        <v>Afternoon</v>
      </c>
      <c r="AA446" s="26">
        <f>ROUND($N446*(Lookups!$B$16-Lookups!$B$15)+Lookups!$B$15,1)</f>
        <v>5.2</v>
      </c>
      <c r="AB446" s="26">
        <f>ROUND($P446*(Lookups!$B$18-Lookups!$B$17)+Lookups!$B$17,1)</f>
        <v>3</v>
      </c>
      <c r="AC446" s="23">
        <f t="shared" si="38"/>
        <v>45</v>
      </c>
      <c r="AD446" s="23">
        <f>ROUND($R446*Lookups!$B$19,1)</f>
        <v>7</v>
      </c>
      <c r="AE446" s="27">
        <f t="shared" si="39"/>
        <v>0.87755102040816324</v>
      </c>
      <c r="AF446" s="23" t="str">
        <f>IF($U446&gt;=Lookups!$B$23,"High",IF($U446&gt;=Lookups!$B$22,"Medium","Low"))</f>
        <v>High</v>
      </c>
      <c r="AG446" s="23">
        <f>ROUND(IF($V446="Weekday",IF(INDEX(Hourly_Analysis!$D$5:$D$28,$J446+1)&gt;0,($U446-INDEX(Hourly_Analysis!$C$5:$C$28,$J446+1))/INDEX(Hourly_Analysis!$D$5:$D$28,$J446+1),0),IF(INDEX(Hourly_Analysis!$G$5:$G$28,$J446+1)&gt;0,($U446-INDEX(Hourly_Analysis!$F$5:$F$28,$J446+1))/INDEX(Hourly_Analysis!$G$5:$G$28,$J446+1),0)),2)</f>
        <v>1.59</v>
      </c>
      <c r="AH446" s="23" t="str">
        <f>IF(ABS($AG446)&gt;Lookups!$B$20,IF($AG446&gt;0,"High anomaly","Low anomaly"),"")</f>
        <v/>
      </c>
      <c r="AI446" s="23" t="str">
        <f t="shared" si="40"/>
        <v>OK</v>
      </c>
      <c r="AJ446" s="23" t="str">
        <f t="shared" si="41"/>
        <v>No</v>
      </c>
    </row>
    <row r="447" spans="1:36" x14ac:dyDescent="0.35">
      <c r="A447" s="23">
        <v>446</v>
      </c>
      <c r="B447" s="23" t="str">
        <f t="shared" si="36"/>
        <v>Merge 1+2</v>
      </c>
      <c r="C447" s="23">
        <f>IFERROR(MATCH($A447,Merge_1_2!$A$2:$A$611,0),0)</f>
        <v>446</v>
      </c>
      <c r="D447" s="23">
        <f>IF($C447&gt;0,INDEX(Merge_1_2!$Q$2:$Q$611,$C447),0)</f>
        <v>446</v>
      </c>
      <c r="E447" s="23">
        <f>IFERROR(MATCH($A447,Dataset3_Raw!$A$2:$A$391,0),0)</f>
        <v>0</v>
      </c>
      <c r="F447" s="24">
        <f>IF($C447&gt;0,INDEX(Merge_1_2!$B$2:$B$611,$C447),DATE(VALUE(RIGHT(INDEX(Dataset3_Raw!$B$2:$B$391,$E447),4)),VALUE(MID(INDEX(Dataset3_Raw!$B$2:$B$391,$E447),4,2)),VALUE(LEFT(INDEX(Dataset3_Raw!$B$2:$B$391,$E447),2))))</f>
        <v>40563</v>
      </c>
      <c r="G447" s="23">
        <f>IF($C447&gt;0,INDEX(Merge_1_2!$C$2:$C$611,$C447),INDEX(Dataset3_Raw!$C$2:$C$391,$E447))</f>
        <v>1</v>
      </c>
      <c r="H447" s="23">
        <f>IF($C447&gt;0,INDEX(Merge_1_2!$D$2:$D$611,$C447),INDEX(Dataset3_Raw!$D$2:$D$391,$E447))</f>
        <v>0</v>
      </c>
      <c r="I447" s="23">
        <f>IF($C447&gt;0,INDEX(Merge_1_2!$E$2:$E$611,$C447),INDEX(Dataset3_Raw!$E$2:$E$391,$E447))</f>
        <v>1</v>
      </c>
      <c r="J447" s="23">
        <f>IF($C447&gt;0,INDEX(Merge_1_2!$F$2:$F$611,$C447),INDEX(Dataset3_Raw!$F$2:$F$391,$E447))</f>
        <v>14</v>
      </c>
      <c r="K447" s="23" t="b">
        <f>IF($C447&gt;0,INDEX(Merge_1_2!$G$2:$G$611,$C447),INDEX(Dataset3_Raw!$G$2:$G$391,$E447))</f>
        <v>0</v>
      </c>
      <c r="L447" s="23">
        <f>IF($C447&gt;0,INDEX(Merge_1_2!$H$2:$H$611,$C447),INDEX(Dataset3_Raw!$H$2:$H$391,$E447))</f>
        <v>4</v>
      </c>
      <c r="M447" s="23">
        <f>IF($C447&gt;0,INDEX(Merge_1_2!$I$2:$I$611,$C447),INDEX(Dataset3_Raw!$I$2:$I$391,$E447))</f>
        <v>2</v>
      </c>
      <c r="N447" s="25">
        <f>IF($C447&gt;0,INDEX(Merge_1_2!$J$2:$J$611,$C447),INDEX(Dataset3_Raw!$J$2:$J$391,$E447))</f>
        <v>0.3</v>
      </c>
      <c r="O447" s="25">
        <f>IF($C447&gt;0,IF(ISNUMBER(INDEX(Merge_1_2!$K$2:$K$611,$C447)),INDEX(Merge_1_2!$K$2:$K$611,$C447),""),INDEX(Dataset3_Raw!$K$2:$K$391,$E447))</f>
        <v>0.30299999999999999</v>
      </c>
      <c r="P447" s="25">
        <f>IF(ISNUMBER($O447),$O447,ROUND(Lookups!$B$25+Lookups!$B$24*$N447,4))</f>
        <v>0.30299999999999999</v>
      </c>
      <c r="Q447" s="25">
        <f>IF($C447&gt;0,INDEX(Merge_1_2!$L$2:$L$611,$C447),INDEX(Dataset3_Raw!$L$2:$L$391,$E447))</f>
        <v>0.45</v>
      </c>
      <c r="R447" s="25">
        <f>IF($C447&gt;0,INDEX(Merge_1_2!$M$2:$M$611,$C447),INDEX(Dataset3_Raw!$M$2:$M$391,$E447))</f>
        <v>0.1343</v>
      </c>
      <c r="S447" s="23">
        <f>IF($C447&gt;0,INDEX(Merge_1_2!$N$2:$N$611,$C447),INDEX(Dataset3_Raw!$N$2:$N$391,$E447))</f>
        <v>6</v>
      </c>
      <c r="T447" s="23">
        <f>IF($C447&gt;0,INDEX(Merge_1_2!$O$2:$O$611,$C447),INDEX(Dataset3_Raw!$O$2:$O$391,$E447))</f>
        <v>75</v>
      </c>
      <c r="U447" s="23">
        <f>IF($C447&gt;0,INDEX(Merge_1_2!$P$2:$P$611,$C447),INDEX(Dataset3_Raw!$P$2:$P$391,$E447))</f>
        <v>81</v>
      </c>
      <c r="V447" s="23" t="str">
        <f t="shared" si="37"/>
        <v>Weekday</v>
      </c>
      <c r="W447" s="23" t="str">
        <f>VLOOKUP($M447,Lookups!$A$5:$B$8,2,FALSE())</f>
        <v>Mist / Cloudy</v>
      </c>
      <c r="X447" s="23" t="str">
        <f>VLOOKUP($G447,Lookups!$D$5:$E$8,2,FALSE())</f>
        <v>Winter</v>
      </c>
      <c r="Y447" s="23" t="str">
        <f>VLOOKUP($L447,Lookups!$G$5:$H$11,2,FALSE())</f>
        <v>Thursday</v>
      </c>
      <c r="Z447" s="23" t="str">
        <f>IF($J447&lt;Lookups!$B$26,"Night",IF($J447&lt;Lookups!$B$27,"Morning",IF($J447&lt;Lookups!$B$28,"Afternoon","Evening")))</f>
        <v>Afternoon</v>
      </c>
      <c r="AA447" s="26">
        <f>ROUND($N447*(Lookups!$B$16-Lookups!$B$15)+Lookups!$B$15,1)</f>
        <v>6.1</v>
      </c>
      <c r="AB447" s="26">
        <f>ROUND($P447*(Lookups!$B$18-Lookups!$B$17)+Lookups!$B$17,1)</f>
        <v>4</v>
      </c>
      <c r="AC447" s="23">
        <f t="shared" si="38"/>
        <v>45</v>
      </c>
      <c r="AD447" s="23">
        <f>ROUND($R447*Lookups!$B$19,1)</f>
        <v>9</v>
      </c>
      <c r="AE447" s="27">
        <f t="shared" si="39"/>
        <v>0.92592592592592593</v>
      </c>
      <c r="AF447" s="23" t="str">
        <f>IF($U447&gt;=Lookups!$B$23,"High",IF($U447&gt;=Lookups!$B$22,"Medium","Low"))</f>
        <v>Medium</v>
      </c>
      <c r="AG447" s="23">
        <f>ROUND(IF($V447="Weekday",IF(INDEX(Hourly_Analysis!$D$5:$D$28,$J447+1)&gt;0,($U447-INDEX(Hourly_Analysis!$C$5:$C$28,$J447+1))/INDEX(Hourly_Analysis!$D$5:$D$28,$J447+1),0),IF(INDEX(Hourly_Analysis!$G$5:$G$28,$J447+1)&gt;0,($U447-INDEX(Hourly_Analysis!$F$5:$F$28,$J447+1))/INDEX(Hourly_Analysis!$G$5:$G$28,$J447+1),0)),2)</f>
        <v>1.34</v>
      </c>
      <c r="AH447" s="23" t="str">
        <f>IF(ABS($AG447)&gt;Lookups!$B$20,IF($AG447&gt;0,"High anomaly","Low anomaly"),"")</f>
        <v/>
      </c>
      <c r="AI447" s="23" t="str">
        <f t="shared" si="40"/>
        <v>OK</v>
      </c>
      <c r="AJ447" s="23" t="str">
        <f t="shared" si="41"/>
        <v>No</v>
      </c>
    </row>
    <row r="448" spans="1:36" x14ac:dyDescent="0.35">
      <c r="A448" s="23">
        <v>447</v>
      </c>
      <c r="B448" s="23" t="str">
        <f t="shared" si="36"/>
        <v>Merge 1+2</v>
      </c>
      <c r="C448" s="23">
        <f>IFERROR(MATCH($A448,Merge_1_2!$A$2:$A$611,0),0)</f>
        <v>447</v>
      </c>
      <c r="D448" s="23">
        <f>IF($C448&gt;0,INDEX(Merge_1_2!$Q$2:$Q$611,$C448),0)</f>
        <v>447</v>
      </c>
      <c r="E448" s="23">
        <f>IFERROR(MATCH($A448,Dataset3_Raw!$A$2:$A$391,0),0)</f>
        <v>0</v>
      </c>
      <c r="F448" s="24">
        <f>IF($C448&gt;0,INDEX(Merge_1_2!$B$2:$B$611,$C448),DATE(VALUE(RIGHT(INDEX(Dataset3_Raw!$B$2:$B$391,$E448),4)),VALUE(MID(INDEX(Dataset3_Raw!$B$2:$B$391,$E448),4,2)),VALUE(LEFT(INDEX(Dataset3_Raw!$B$2:$B$391,$E448),2))))</f>
        <v>40563</v>
      </c>
      <c r="G448" s="23">
        <f>IF($C448&gt;0,INDEX(Merge_1_2!$C$2:$C$611,$C448),INDEX(Dataset3_Raw!$C$2:$C$391,$E448))</f>
        <v>1</v>
      </c>
      <c r="H448" s="23">
        <f>IF($C448&gt;0,INDEX(Merge_1_2!$D$2:$D$611,$C448),INDEX(Dataset3_Raw!$D$2:$D$391,$E448))</f>
        <v>0</v>
      </c>
      <c r="I448" s="23">
        <f>IF($C448&gt;0,INDEX(Merge_1_2!$E$2:$E$611,$C448),INDEX(Dataset3_Raw!$E$2:$E$391,$E448))</f>
        <v>1</v>
      </c>
      <c r="J448" s="23">
        <f>IF($C448&gt;0,INDEX(Merge_1_2!$F$2:$F$611,$C448),INDEX(Dataset3_Raw!$F$2:$F$391,$E448))</f>
        <v>15</v>
      </c>
      <c r="K448" s="23" t="b">
        <f>IF($C448&gt;0,INDEX(Merge_1_2!$G$2:$G$611,$C448),INDEX(Dataset3_Raw!$G$2:$G$391,$E448))</f>
        <v>0</v>
      </c>
      <c r="L448" s="23">
        <f>IF($C448&gt;0,INDEX(Merge_1_2!$H$2:$H$611,$C448),INDEX(Dataset3_Raw!$H$2:$H$391,$E448))</f>
        <v>4</v>
      </c>
      <c r="M448" s="23">
        <f>IF($C448&gt;0,INDEX(Merge_1_2!$I$2:$I$611,$C448),INDEX(Dataset3_Raw!$I$2:$I$391,$E448))</f>
        <v>2</v>
      </c>
      <c r="N448" s="25">
        <f>IF($C448&gt;0,INDEX(Merge_1_2!$J$2:$J$611,$C448),INDEX(Dataset3_Raw!$J$2:$J$391,$E448))</f>
        <v>0.32</v>
      </c>
      <c r="O448" s="25">
        <f>IF($C448&gt;0,IF(ISNUMBER(INDEX(Merge_1_2!$K$2:$K$611,$C448)),INDEX(Merge_1_2!$K$2:$K$611,$C448),""),INDEX(Dataset3_Raw!$K$2:$K$391,$E448))</f>
        <v>0.31819999999999998</v>
      </c>
      <c r="P448" s="25">
        <f>IF(ISNUMBER($O448),$O448,ROUND(Lookups!$B$25+Lookups!$B$24*$N448,4))</f>
        <v>0.31819999999999998</v>
      </c>
      <c r="Q448" s="25">
        <f>IF($C448&gt;0,INDEX(Merge_1_2!$L$2:$L$611,$C448),INDEX(Dataset3_Raw!$L$2:$L$391,$E448))</f>
        <v>0.45</v>
      </c>
      <c r="R448" s="25">
        <f>IF($C448&gt;0,INDEX(Merge_1_2!$M$2:$M$611,$C448),INDEX(Dataset3_Raw!$M$2:$M$391,$E448))</f>
        <v>0.19400000000000001</v>
      </c>
      <c r="S448" s="23">
        <f>IF($C448&gt;0,INDEX(Merge_1_2!$N$2:$N$611,$C448),INDEX(Dataset3_Raw!$N$2:$N$391,$E448))</f>
        <v>8</v>
      </c>
      <c r="T448" s="23">
        <f>IF($C448&gt;0,INDEX(Merge_1_2!$O$2:$O$611,$C448),INDEX(Dataset3_Raw!$O$2:$O$391,$E448))</f>
        <v>62</v>
      </c>
      <c r="U448" s="23">
        <f>IF($C448&gt;0,INDEX(Merge_1_2!$P$2:$P$611,$C448),INDEX(Dataset3_Raw!$P$2:$P$391,$E448))</f>
        <v>70</v>
      </c>
      <c r="V448" s="23" t="str">
        <f t="shared" si="37"/>
        <v>Weekday</v>
      </c>
      <c r="W448" s="23" t="str">
        <f>VLOOKUP($M448,Lookups!$A$5:$B$8,2,FALSE())</f>
        <v>Mist / Cloudy</v>
      </c>
      <c r="X448" s="23" t="str">
        <f>VLOOKUP($G448,Lookups!$D$5:$E$8,2,FALSE())</f>
        <v>Winter</v>
      </c>
      <c r="Y448" s="23" t="str">
        <f>VLOOKUP($L448,Lookups!$G$5:$H$11,2,FALSE())</f>
        <v>Thursday</v>
      </c>
      <c r="Z448" s="23" t="str">
        <f>IF($J448&lt;Lookups!$B$26,"Night",IF($J448&lt;Lookups!$B$27,"Morning",IF($J448&lt;Lookups!$B$28,"Afternoon","Evening")))</f>
        <v>Afternoon</v>
      </c>
      <c r="AA448" s="26">
        <f>ROUND($N448*(Lookups!$B$16-Lookups!$B$15)+Lookups!$B$15,1)</f>
        <v>7</v>
      </c>
      <c r="AB448" s="26">
        <f>ROUND($P448*(Lookups!$B$18-Lookups!$B$17)+Lookups!$B$17,1)</f>
        <v>5</v>
      </c>
      <c r="AC448" s="23">
        <f t="shared" si="38"/>
        <v>45</v>
      </c>
      <c r="AD448" s="23">
        <f>ROUND($R448*Lookups!$B$19,1)</f>
        <v>13</v>
      </c>
      <c r="AE448" s="27">
        <f t="shared" si="39"/>
        <v>0.88571428571428568</v>
      </c>
      <c r="AF448" s="23" t="str">
        <f>IF($U448&gt;=Lookups!$B$23,"High",IF($U448&gt;=Lookups!$B$22,"Medium","Low"))</f>
        <v>Medium</v>
      </c>
      <c r="AG448" s="23">
        <f>ROUND(IF($V448="Weekday",IF(INDEX(Hourly_Analysis!$D$5:$D$28,$J448+1)&gt;0,($U448-INDEX(Hourly_Analysis!$C$5:$C$28,$J448+1))/INDEX(Hourly_Analysis!$D$5:$D$28,$J448+1),0),IF(INDEX(Hourly_Analysis!$G$5:$G$28,$J448+1)&gt;0,($U448-INDEX(Hourly_Analysis!$F$5:$F$28,$J448+1))/INDEX(Hourly_Analysis!$G$5:$G$28,$J448+1),0)),2)</f>
        <v>0.69</v>
      </c>
      <c r="AH448" s="23" t="str">
        <f>IF(ABS($AG448)&gt;Lookups!$B$20,IF($AG448&gt;0,"High anomaly","Low anomaly"),"")</f>
        <v/>
      </c>
      <c r="AI448" s="23" t="str">
        <f t="shared" si="40"/>
        <v>OK</v>
      </c>
      <c r="AJ448" s="23" t="str">
        <f t="shared" si="41"/>
        <v>No</v>
      </c>
    </row>
    <row r="449" spans="1:36" x14ac:dyDescent="0.35">
      <c r="A449" s="23">
        <v>448</v>
      </c>
      <c r="B449" s="23" t="str">
        <f t="shared" si="36"/>
        <v>Merge 1+2</v>
      </c>
      <c r="C449" s="23">
        <f>IFERROR(MATCH($A449,Merge_1_2!$A$2:$A$611,0),0)</f>
        <v>448</v>
      </c>
      <c r="D449" s="23">
        <f>IF($C449&gt;0,INDEX(Merge_1_2!$Q$2:$Q$611,$C449),0)</f>
        <v>448</v>
      </c>
      <c r="E449" s="23">
        <f>IFERROR(MATCH($A449,Dataset3_Raw!$A$2:$A$391,0),0)</f>
        <v>0</v>
      </c>
      <c r="F449" s="24">
        <f>IF($C449&gt;0,INDEX(Merge_1_2!$B$2:$B$611,$C449),DATE(VALUE(RIGHT(INDEX(Dataset3_Raw!$B$2:$B$391,$E449),4)),VALUE(MID(INDEX(Dataset3_Raw!$B$2:$B$391,$E449),4,2)),VALUE(LEFT(INDEX(Dataset3_Raw!$B$2:$B$391,$E449),2))))</f>
        <v>40563</v>
      </c>
      <c r="G449" s="23">
        <f>IF($C449&gt;0,INDEX(Merge_1_2!$C$2:$C$611,$C449),INDEX(Dataset3_Raw!$C$2:$C$391,$E449))</f>
        <v>1</v>
      </c>
      <c r="H449" s="23">
        <f>IF($C449&gt;0,INDEX(Merge_1_2!$D$2:$D$611,$C449),INDEX(Dataset3_Raw!$D$2:$D$391,$E449))</f>
        <v>0</v>
      </c>
      <c r="I449" s="23">
        <f>IF($C449&gt;0,INDEX(Merge_1_2!$E$2:$E$611,$C449),INDEX(Dataset3_Raw!$E$2:$E$391,$E449))</f>
        <v>1</v>
      </c>
      <c r="J449" s="23">
        <f>IF($C449&gt;0,INDEX(Merge_1_2!$F$2:$F$611,$C449),INDEX(Dataset3_Raw!$F$2:$F$391,$E449))</f>
        <v>16</v>
      </c>
      <c r="K449" s="23" t="b">
        <f>IF($C449&gt;0,INDEX(Merge_1_2!$G$2:$G$611,$C449),INDEX(Dataset3_Raw!$G$2:$G$391,$E449))</f>
        <v>0</v>
      </c>
      <c r="L449" s="23">
        <f>IF($C449&gt;0,INDEX(Merge_1_2!$H$2:$H$611,$C449),INDEX(Dataset3_Raw!$H$2:$H$391,$E449))</f>
        <v>4</v>
      </c>
      <c r="M449" s="23">
        <f>IF($C449&gt;0,INDEX(Merge_1_2!$I$2:$I$611,$C449),INDEX(Dataset3_Raw!$I$2:$I$391,$E449))</f>
        <v>2</v>
      </c>
      <c r="N449" s="25">
        <f>IF($C449&gt;0,INDEX(Merge_1_2!$J$2:$J$611,$C449),INDEX(Dataset3_Raw!$J$2:$J$391,$E449))</f>
        <v>0.3</v>
      </c>
      <c r="O449" s="25">
        <f>IF($C449&gt;0,IF(ISNUMBER(INDEX(Merge_1_2!$K$2:$K$611,$C449)),INDEX(Merge_1_2!$K$2:$K$611,$C449),""),INDEX(Dataset3_Raw!$K$2:$K$391,$E449))</f>
        <v>0.30299999999999999</v>
      </c>
      <c r="P449" s="25">
        <f>IF(ISNUMBER($O449),$O449,ROUND(Lookups!$B$25+Lookups!$B$24*$N449,4))</f>
        <v>0.30299999999999999</v>
      </c>
      <c r="Q449" s="25">
        <f>IF($C449&gt;0,INDEX(Merge_1_2!$L$2:$L$611,$C449),INDEX(Dataset3_Raw!$L$2:$L$391,$E449))</f>
        <v>0.49</v>
      </c>
      <c r="R449" s="25">
        <f>IF($C449&gt;0,INDEX(Merge_1_2!$M$2:$M$611,$C449),INDEX(Dataset3_Raw!$M$2:$M$391,$E449))</f>
        <v>0.1343</v>
      </c>
      <c r="S449" s="23">
        <f>IF($C449&gt;0,INDEX(Merge_1_2!$N$2:$N$611,$C449),INDEX(Dataset3_Raw!$N$2:$N$391,$E449))</f>
        <v>8</v>
      </c>
      <c r="T449" s="23">
        <f>IF($C449&gt;0,INDEX(Merge_1_2!$O$2:$O$611,$C449),INDEX(Dataset3_Raw!$O$2:$O$391,$E449))</f>
        <v>83</v>
      </c>
      <c r="U449" s="23">
        <f>IF($C449&gt;0,INDEX(Merge_1_2!$P$2:$P$611,$C449),INDEX(Dataset3_Raw!$P$2:$P$391,$E449))</f>
        <v>91</v>
      </c>
      <c r="V449" s="23" t="str">
        <f t="shared" si="37"/>
        <v>Weekday</v>
      </c>
      <c r="W449" s="23" t="str">
        <f>VLOOKUP($M449,Lookups!$A$5:$B$8,2,FALSE())</f>
        <v>Mist / Cloudy</v>
      </c>
      <c r="X449" s="23" t="str">
        <f>VLOOKUP($G449,Lookups!$D$5:$E$8,2,FALSE())</f>
        <v>Winter</v>
      </c>
      <c r="Y449" s="23" t="str">
        <f>VLOOKUP($L449,Lookups!$G$5:$H$11,2,FALSE())</f>
        <v>Thursday</v>
      </c>
      <c r="Z449" s="23" t="str">
        <f>IF($J449&lt;Lookups!$B$26,"Night",IF($J449&lt;Lookups!$B$27,"Morning",IF($J449&lt;Lookups!$B$28,"Afternoon","Evening")))</f>
        <v>Afternoon</v>
      </c>
      <c r="AA449" s="26">
        <f>ROUND($N449*(Lookups!$B$16-Lookups!$B$15)+Lookups!$B$15,1)</f>
        <v>6.1</v>
      </c>
      <c r="AB449" s="26">
        <f>ROUND($P449*(Lookups!$B$18-Lookups!$B$17)+Lookups!$B$17,1)</f>
        <v>4</v>
      </c>
      <c r="AC449" s="23">
        <f t="shared" si="38"/>
        <v>49</v>
      </c>
      <c r="AD449" s="23">
        <f>ROUND($R449*Lookups!$B$19,1)</f>
        <v>9</v>
      </c>
      <c r="AE449" s="27">
        <f t="shared" si="39"/>
        <v>0.91208791208791207</v>
      </c>
      <c r="AF449" s="23" t="str">
        <f>IF($U449&gt;=Lookups!$B$23,"High",IF($U449&gt;=Lookups!$B$22,"Medium","Low"))</f>
        <v>High</v>
      </c>
      <c r="AG449" s="23">
        <f>ROUND(IF($V449="Weekday",IF(INDEX(Hourly_Analysis!$D$5:$D$28,$J449+1)&gt;0,($U449-INDEX(Hourly_Analysis!$C$5:$C$28,$J449+1))/INDEX(Hourly_Analysis!$D$5:$D$28,$J449+1),0),IF(INDEX(Hourly_Analysis!$G$5:$G$28,$J449+1)&gt;0,($U449-INDEX(Hourly_Analysis!$F$5:$F$28,$J449+1))/INDEX(Hourly_Analysis!$G$5:$G$28,$J449+1),0)),2)</f>
        <v>0.4</v>
      </c>
      <c r="AH449" s="23" t="str">
        <f>IF(ABS($AG449)&gt;Lookups!$B$20,IF($AG449&gt;0,"High anomaly","Low anomaly"),"")</f>
        <v/>
      </c>
      <c r="AI449" s="23" t="str">
        <f t="shared" si="40"/>
        <v>OK</v>
      </c>
      <c r="AJ449" s="23" t="str">
        <f t="shared" si="41"/>
        <v>No</v>
      </c>
    </row>
    <row r="450" spans="1:36" x14ac:dyDescent="0.35">
      <c r="A450" s="23">
        <v>449</v>
      </c>
      <c r="B450" s="23" t="str">
        <f t="shared" ref="B450:B513" si="42">IF($C450&gt;0,"Merge 1+2","Dataset 3")</f>
        <v>Merge 1+2</v>
      </c>
      <c r="C450" s="23">
        <f>IFERROR(MATCH($A450,Merge_1_2!$A$2:$A$611,0),0)</f>
        <v>449</v>
      </c>
      <c r="D450" s="23">
        <f>IF($C450&gt;0,INDEX(Merge_1_2!$Q$2:$Q$611,$C450),0)</f>
        <v>449</v>
      </c>
      <c r="E450" s="23">
        <f>IFERROR(MATCH($A450,Dataset3_Raw!$A$2:$A$391,0),0)</f>
        <v>0</v>
      </c>
      <c r="F450" s="24">
        <f>IF($C450&gt;0,INDEX(Merge_1_2!$B$2:$B$611,$C450),DATE(VALUE(RIGHT(INDEX(Dataset3_Raw!$B$2:$B$391,$E450),4)),VALUE(MID(INDEX(Dataset3_Raw!$B$2:$B$391,$E450),4,2)),VALUE(LEFT(INDEX(Dataset3_Raw!$B$2:$B$391,$E450),2))))</f>
        <v>40563</v>
      </c>
      <c r="G450" s="23">
        <f>IF($C450&gt;0,INDEX(Merge_1_2!$C$2:$C$611,$C450),INDEX(Dataset3_Raw!$C$2:$C$391,$E450))</f>
        <v>1</v>
      </c>
      <c r="H450" s="23">
        <f>IF($C450&gt;0,INDEX(Merge_1_2!$D$2:$D$611,$C450),INDEX(Dataset3_Raw!$D$2:$D$391,$E450))</f>
        <v>0</v>
      </c>
      <c r="I450" s="23">
        <f>IF($C450&gt;0,INDEX(Merge_1_2!$E$2:$E$611,$C450),INDEX(Dataset3_Raw!$E$2:$E$391,$E450))</f>
        <v>1</v>
      </c>
      <c r="J450" s="23">
        <f>IF($C450&gt;0,INDEX(Merge_1_2!$F$2:$F$611,$C450),INDEX(Dataset3_Raw!$F$2:$F$391,$E450))</f>
        <v>17</v>
      </c>
      <c r="K450" s="23" t="b">
        <f>IF($C450&gt;0,INDEX(Merge_1_2!$G$2:$G$611,$C450),INDEX(Dataset3_Raw!$G$2:$G$391,$E450))</f>
        <v>0</v>
      </c>
      <c r="L450" s="23">
        <f>IF($C450&gt;0,INDEX(Merge_1_2!$H$2:$H$611,$C450),INDEX(Dataset3_Raw!$H$2:$H$391,$E450))</f>
        <v>4</v>
      </c>
      <c r="M450" s="23">
        <f>IF($C450&gt;0,INDEX(Merge_1_2!$I$2:$I$611,$C450),INDEX(Dataset3_Raw!$I$2:$I$391,$E450))</f>
        <v>2</v>
      </c>
      <c r="N450" s="25">
        <f>IF($C450&gt;0,INDEX(Merge_1_2!$J$2:$J$611,$C450),INDEX(Dataset3_Raw!$J$2:$J$391,$E450))</f>
        <v>0.3</v>
      </c>
      <c r="O450" s="25">
        <f>IF($C450&gt;0,IF(ISNUMBER(INDEX(Merge_1_2!$K$2:$K$611,$C450)),INDEX(Merge_1_2!$K$2:$K$611,$C450),""),INDEX(Dataset3_Raw!$K$2:$K$391,$E450))</f>
        <v>0.31819999999999998</v>
      </c>
      <c r="P450" s="25">
        <f>IF(ISNUMBER($O450),$O450,ROUND(Lookups!$B$25+Lookups!$B$24*$N450,4))</f>
        <v>0.31819999999999998</v>
      </c>
      <c r="Q450" s="25">
        <f>IF($C450&gt;0,INDEX(Merge_1_2!$L$2:$L$611,$C450),INDEX(Dataset3_Raw!$L$2:$L$391,$E450))</f>
        <v>0.49</v>
      </c>
      <c r="R450" s="25">
        <f>IF($C450&gt;0,INDEX(Merge_1_2!$M$2:$M$611,$C450),INDEX(Dataset3_Raw!$M$2:$M$391,$E450))</f>
        <v>0.1045</v>
      </c>
      <c r="S450" s="23">
        <f>IF($C450&gt;0,INDEX(Merge_1_2!$N$2:$N$611,$C450),INDEX(Dataset3_Raw!$N$2:$N$391,$E450))</f>
        <v>8</v>
      </c>
      <c r="T450" s="23">
        <f>IF($C450&gt;0,INDEX(Merge_1_2!$O$2:$O$611,$C450),INDEX(Dataset3_Raw!$O$2:$O$391,$E450))</f>
        <v>207</v>
      </c>
      <c r="U450" s="23">
        <f>IF($C450&gt;0,INDEX(Merge_1_2!$P$2:$P$611,$C450),INDEX(Dataset3_Raw!$P$2:$P$391,$E450))</f>
        <v>215</v>
      </c>
      <c r="V450" s="23" t="str">
        <f t="shared" ref="V450:V513" si="43">IF($K450,"Holiday",IF(OR($L450=0,$L450=6),"Weekend","Weekday"))</f>
        <v>Weekday</v>
      </c>
      <c r="W450" s="23" t="str">
        <f>VLOOKUP($M450,Lookups!$A$5:$B$8,2,FALSE())</f>
        <v>Mist / Cloudy</v>
      </c>
      <c r="X450" s="23" t="str">
        <f>VLOOKUP($G450,Lookups!$D$5:$E$8,2,FALSE())</f>
        <v>Winter</v>
      </c>
      <c r="Y450" s="23" t="str">
        <f>VLOOKUP($L450,Lookups!$G$5:$H$11,2,FALSE())</f>
        <v>Thursday</v>
      </c>
      <c r="Z450" s="23" t="str">
        <f>IF($J450&lt;Lookups!$B$26,"Night",IF($J450&lt;Lookups!$B$27,"Morning",IF($J450&lt;Lookups!$B$28,"Afternoon","Evening")))</f>
        <v>Afternoon</v>
      </c>
      <c r="AA450" s="26">
        <f>ROUND($N450*(Lookups!$B$16-Lookups!$B$15)+Lookups!$B$15,1)</f>
        <v>6.1</v>
      </c>
      <c r="AB450" s="26">
        <f>ROUND($P450*(Lookups!$B$18-Lookups!$B$17)+Lookups!$B$17,1)</f>
        <v>5</v>
      </c>
      <c r="AC450" s="23">
        <f t="shared" ref="AC450:AC513" si="44">ROUND($Q450*100,0)</f>
        <v>49</v>
      </c>
      <c r="AD450" s="23">
        <f>ROUND($R450*Lookups!$B$19,1)</f>
        <v>7</v>
      </c>
      <c r="AE450" s="27">
        <f t="shared" ref="AE450:AE513" si="45">IF($U450&gt;0,$T450/$U450,0)</f>
        <v>0.96279069767441861</v>
      </c>
      <c r="AF450" s="23" t="str">
        <f>IF($U450&gt;=Lookups!$B$23,"High",IF($U450&gt;=Lookups!$B$22,"Medium","Low"))</f>
        <v>High</v>
      </c>
      <c r="AG450" s="23">
        <f>ROUND(IF($V450="Weekday",IF(INDEX(Hourly_Analysis!$D$5:$D$28,$J450+1)&gt;0,($U450-INDEX(Hourly_Analysis!$C$5:$C$28,$J450+1))/INDEX(Hourly_Analysis!$D$5:$D$28,$J450+1),0),IF(INDEX(Hourly_Analysis!$G$5:$G$28,$J450+1)&gt;0,($U450-INDEX(Hourly_Analysis!$F$5:$F$28,$J450+1))/INDEX(Hourly_Analysis!$G$5:$G$28,$J450+1),0)),2)</f>
        <v>1.1299999999999999</v>
      </c>
      <c r="AH450" s="23" t="str">
        <f>IF(ABS($AG450)&gt;Lookups!$B$20,IF($AG450&gt;0,"High anomaly","Low anomaly"),"")</f>
        <v/>
      </c>
      <c r="AI450" s="23" t="str">
        <f t="shared" ref="AI450:AI513" si="46">IF($S450+$T450=$U450,"OK","Mismatch")</f>
        <v>OK</v>
      </c>
      <c r="AJ450" s="23" t="str">
        <f t="shared" ref="AJ450:AJ513" si="47">IF(ISNUMBER($O450),"No","Yes")</f>
        <v>No</v>
      </c>
    </row>
    <row r="451" spans="1:36" x14ac:dyDescent="0.35">
      <c r="A451" s="23">
        <v>450</v>
      </c>
      <c r="B451" s="23" t="str">
        <f t="shared" si="42"/>
        <v>Merge 1+2</v>
      </c>
      <c r="C451" s="23">
        <f>IFERROR(MATCH($A451,Merge_1_2!$A$2:$A$611,0),0)</f>
        <v>450</v>
      </c>
      <c r="D451" s="23">
        <f>IF($C451&gt;0,INDEX(Merge_1_2!$Q$2:$Q$611,$C451),0)</f>
        <v>450</v>
      </c>
      <c r="E451" s="23">
        <f>IFERROR(MATCH($A451,Dataset3_Raw!$A$2:$A$391,0),0)</f>
        <v>0</v>
      </c>
      <c r="F451" s="24">
        <f>IF($C451&gt;0,INDEX(Merge_1_2!$B$2:$B$611,$C451),DATE(VALUE(RIGHT(INDEX(Dataset3_Raw!$B$2:$B$391,$E451),4)),VALUE(MID(INDEX(Dataset3_Raw!$B$2:$B$391,$E451),4,2)),VALUE(LEFT(INDEX(Dataset3_Raw!$B$2:$B$391,$E451),2))))</f>
        <v>40563</v>
      </c>
      <c r="G451" s="23">
        <f>IF($C451&gt;0,INDEX(Merge_1_2!$C$2:$C$611,$C451),INDEX(Dataset3_Raw!$C$2:$C$391,$E451))</f>
        <v>1</v>
      </c>
      <c r="H451" s="23">
        <f>IF($C451&gt;0,INDEX(Merge_1_2!$D$2:$D$611,$C451),INDEX(Dataset3_Raw!$D$2:$D$391,$E451))</f>
        <v>0</v>
      </c>
      <c r="I451" s="23">
        <f>IF($C451&gt;0,INDEX(Merge_1_2!$E$2:$E$611,$C451),INDEX(Dataset3_Raw!$E$2:$E$391,$E451))</f>
        <v>1</v>
      </c>
      <c r="J451" s="23">
        <f>IF($C451&gt;0,INDEX(Merge_1_2!$F$2:$F$611,$C451),INDEX(Dataset3_Raw!$F$2:$F$391,$E451))</f>
        <v>18</v>
      </c>
      <c r="K451" s="23" t="b">
        <f>IF($C451&gt;0,INDEX(Merge_1_2!$G$2:$G$611,$C451),INDEX(Dataset3_Raw!$G$2:$G$391,$E451))</f>
        <v>0</v>
      </c>
      <c r="L451" s="23">
        <f>IF($C451&gt;0,INDEX(Merge_1_2!$H$2:$H$611,$C451),INDEX(Dataset3_Raw!$H$2:$H$391,$E451))</f>
        <v>4</v>
      </c>
      <c r="M451" s="23">
        <f>IF($C451&gt;0,INDEX(Merge_1_2!$I$2:$I$611,$C451),INDEX(Dataset3_Raw!$I$2:$I$391,$E451))</f>
        <v>2</v>
      </c>
      <c r="N451" s="25">
        <f>IF($C451&gt;0,INDEX(Merge_1_2!$J$2:$J$611,$C451),INDEX(Dataset3_Raw!$J$2:$J$391,$E451))</f>
        <v>0.26</v>
      </c>
      <c r="O451" s="25">
        <f>IF($C451&gt;0,IF(ISNUMBER(INDEX(Merge_1_2!$K$2:$K$611,$C451)),INDEX(Merge_1_2!$K$2:$K$611,$C451),""),INDEX(Dataset3_Raw!$K$2:$K$391,$E451))</f>
        <v>0.2576</v>
      </c>
      <c r="P451" s="25">
        <f>IF(ISNUMBER($O451),$O451,ROUND(Lookups!$B$25+Lookups!$B$24*$N451,4))</f>
        <v>0.2576</v>
      </c>
      <c r="Q451" s="25">
        <f>IF($C451&gt;0,INDEX(Merge_1_2!$L$2:$L$611,$C451),INDEX(Dataset3_Raw!$L$2:$L$391,$E451))</f>
        <v>0.56000000000000005</v>
      </c>
      <c r="R451" s="25">
        <f>IF($C451&gt;0,INDEX(Merge_1_2!$M$2:$M$611,$C451),INDEX(Dataset3_Raw!$M$2:$M$391,$E451))</f>
        <v>0.19400000000000001</v>
      </c>
      <c r="S451" s="23">
        <f>IF($C451&gt;0,INDEX(Merge_1_2!$N$2:$N$611,$C451),INDEX(Dataset3_Raw!$N$2:$N$391,$E451))</f>
        <v>1</v>
      </c>
      <c r="T451" s="23">
        <f>IF($C451&gt;0,INDEX(Merge_1_2!$O$2:$O$611,$C451),INDEX(Dataset3_Raw!$O$2:$O$391,$E451))</f>
        <v>184</v>
      </c>
      <c r="U451" s="23">
        <f>IF($C451&gt;0,INDEX(Merge_1_2!$P$2:$P$611,$C451),INDEX(Dataset3_Raw!$P$2:$P$391,$E451))</f>
        <v>185</v>
      </c>
      <c r="V451" s="23" t="str">
        <f t="shared" si="43"/>
        <v>Weekday</v>
      </c>
      <c r="W451" s="23" t="str">
        <f>VLOOKUP($M451,Lookups!$A$5:$B$8,2,FALSE())</f>
        <v>Mist / Cloudy</v>
      </c>
      <c r="X451" s="23" t="str">
        <f>VLOOKUP($G451,Lookups!$D$5:$E$8,2,FALSE())</f>
        <v>Winter</v>
      </c>
      <c r="Y451" s="23" t="str">
        <f>VLOOKUP($L451,Lookups!$G$5:$H$11,2,FALSE())</f>
        <v>Thursday</v>
      </c>
      <c r="Z451" s="23" t="str">
        <f>IF($J451&lt;Lookups!$B$26,"Night",IF($J451&lt;Lookups!$B$27,"Morning",IF($J451&lt;Lookups!$B$28,"Afternoon","Evening")))</f>
        <v>Evening</v>
      </c>
      <c r="AA451" s="26">
        <f>ROUND($N451*(Lookups!$B$16-Lookups!$B$15)+Lookups!$B$15,1)</f>
        <v>4.2</v>
      </c>
      <c r="AB451" s="26">
        <f>ROUND($P451*(Lookups!$B$18-Lookups!$B$17)+Lookups!$B$17,1)</f>
        <v>1</v>
      </c>
      <c r="AC451" s="23">
        <f t="shared" si="44"/>
        <v>56</v>
      </c>
      <c r="AD451" s="23">
        <f>ROUND($R451*Lookups!$B$19,1)</f>
        <v>13</v>
      </c>
      <c r="AE451" s="27">
        <f t="shared" si="45"/>
        <v>0.99459459459459465</v>
      </c>
      <c r="AF451" s="23" t="str">
        <f>IF($U451&gt;=Lookups!$B$23,"High",IF($U451&gt;=Lookups!$B$22,"Medium","Low"))</f>
        <v>High</v>
      </c>
      <c r="AG451" s="23">
        <f>ROUND(IF($V451="Weekday",IF(INDEX(Hourly_Analysis!$D$5:$D$28,$J451+1)&gt;0,($U451-INDEX(Hourly_Analysis!$C$5:$C$28,$J451+1))/INDEX(Hourly_Analysis!$D$5:$D$28,$J451+1),0),IF(INDEX(Hourly_Analysis!$G$5:$G$28,$J451+1)&gt;0,($U451-INDEX(Hourly_Analysis!$F$5:$F$28,$J451+1))/INDEX(Hourly_Analysis!$G$5:$G$28,$J451+1),0)),2)</f>
        <v>1.1499999999999999</v>
      </c>
      <c r="AH451" s="23" t="str">
        <f>IF(ABS($AG451)&gt;Lookups!$B$20,IF($AG451&gt;0,"High anomaly","Low anomaly"),"")</f>
        <v/>
      </c>
      <c r="AI451" s="23" t="str">
        <f t="shared" si="46"/>
        <v>OK</v>
      </c>
      <c r="AJ451" s="23" t="str">
        <f t="shared" si="47"/>
        <v>No</v>
      </c>
    </row>
    <row r="452" spans="1:36" x14ac:dyDescent="0.35">
      <c r="A452" s="23">
        <v>451</v>
      </c>
      <c r="B452" s="23" t="str">
        <f t="shared" si="42"/>
        <v>Merge 1+2</v>
      </c>
      <c r="C452" s="23">
        <f>IFERROR(MATCH($A452,Merge_1_2!$A$2:$A$611,0),0)</f>
        <v>451</v>
      </c>
      <c r="D452" s="23">
        <f>IF($C452&gt;0,INDEX(Merge_1_2!$Q$2:$Q$611,$C452),0)</f>
        <v>451</v>
      </c>
      <c r="E452" s="23">
        <f>IFERROR(MATCH($A452,Dataset3_Raw!$A$2:$A$391,0),0)</f>
        <v>0</v>
      </c>
      <c r="F452" s="24">
        <f>IF($C452&gt;0,INDEX(Merge_1_2!$B$2:$B$611,$C452),DATE(VALUE(RIGHT(INDEX(Dataset3_Raw!$B$2:$B$391,$E452),4)),VALUE(MID(INDEX(Dataset3_Raw!$B$2:$B$391,$E452),4,2)),VALUE(LEFT(INDEX(Dataset3_Raw!$B$2:$B$391,$E452),2))))</f>
        <v>40563</v>
      </c>
      <c r="G452" s="23">
        <f>IF($C452&gt;0,INDEX(Merge_1_2!$C$2:$C$611,$C452),INDEX(Dataset3_Raw!$C$2:$C$391,$E452))</f>
        <v>1</v>
      </c>
      <c r="H452" s="23">
        <f>IF($C452&gt;0,INDEX(Merge_1_2!$D$2:$D$611,$C452),INDEX(Dataset3_Raw!$D$2:$D$391,$E452))</f>
        <v>0</v>
      </c>
      <c r="I452" s="23">
        <f>IF($C452&gt;0,INDEX(Merge_1_2!$E$2:$E$611,$C452),INDEX(Dataset3_Raw!$E$2:$E$391,$E452))</f>
        <v>1</v>
      </c>
      <c r="J452" s="23">
        <f>IF($C452&gt;0,INDEX(Merge_1_2!$F$2:$F$611,$C452),INDEX(Dataset3_Raw!$F$2:$F$391,$E452))</f>
        <v>19</v>
      </c>
      <c r="K452" s="23" t="b">
        <f>IF($C452&gt;0,INDEX(Merge_1_2!$G$2:$G$611,$C452),INDEX(Dataset3_Raw!$G$2:$G$391,$E452))</f>
        <v>0</v>
      </c>
      <c r="L452" s="23">
        <f>IF($C452&gt;0,INDEX(Merge_1_2!$H$2:$H$611,$C452),INDEX(Dataset3_Raw!$H$2:$H$391,$E452))</f>
        <v>4</v>
      </c>
      <c r="M452" s="23">
        <f>IF($C452&gt;0,INDEX(Merge_1_2!$I$2:$I$611,$C452),INDEX(Dataset3_Raw!$I$2:$I$391,$E452))</f>
        <v>1</v>
      </c>
      <c r="N452" s="25">
        <f>IF($C452&gt;0,INDEX(Merge_1_2!$J$2:$J$611,$C452),INDEX(Dataset3_Raw!$J$2:$J$391,$E452))</f>
        <v>0.26</v>
      </c>
      <c r="O452" s="25">
        <f>IF($C452&gt;0,IF(ISNUMBER(INDEX(Merge_1_2!$K$2:$K$611,$C452)),INDEX(Merge_1_2!$K$2:$K$611,$C452),""),INDEX(Dataset3_Raw!$K$2:$K$391,$E452))</f>
        <v>0.2273</v>
      </c>
      <c r="P452" s="25">
        <f>IF(ISNUMBER($O452),$O452,ROUND(Lookups!$B$25+Lookups!$B$24*$N452,4))</f>
        <v>0.2273</v>
      </c>
      <c r="Q452" s="25">
        <f>IF($C452&gt;0,INDEX(Merge_1_2!$L$2:$L$611,$C452),INDEX(Dataset3_Raw!$L$2:$L$391,$E452))</f>
        <v>0.56000000000000005</v>
      </c>
      <c r="R452" s="25">
        <f>IF($C452&gt;0,INDEX(Merge_1_2!$M$2:$M$611,$C452),INDEX(Dataset3_Raw!$M$2:$M$391,$E452))</f>
        <v>0.32840000000000003</v>
      </c>
      <c r="S452" s="23">
        <f>IF($C452&gt;0,INDEX(Merge_1_2!$N$2:$N$611,$C452),INDEX(Dataset3_Raw!$N$2:$N$391,$E452))</f>
        <v>6</v>
      </c>
      <c r="T452" s="23">
        <f>IF($C452&gt;0,INDEX(Merge_1_2!$O$2:$O$611,$C452),INDEX(Dataset3_Raw!$O$2:$O$391,$E452))</f>
        <v>146</v>
      </c>
      <c r="U452" s="23">
        <f>IF($C452&gt;0,INDEX(Merge_1_2!$P$2:$P$611,$C452),INDEX(Dataset3_Raw!$P$2:$P$391,$E452))</f>
        <v>152</v>
      </c>
      <c r="V452" s="23" t="str">
        <f t="shared" si="43"/>
        <v>Weekday</v>
      </c>
      <c r="W452" s="23" t="str">
        <f>VLOOKUP($M452,Lookups!$A$5:$B$8,2,FALSE())</f>
        <v>Clear / Partly cloudy</v>
      </c>
      <c r="X452" s="23" t="str">
        <f>VLOOKUP($G452,Lookups!$D$5:$E$8,2,FALSE())</f>
        <v>Winter</v>
      </c>
      <c r="Y452" s="23" t="str">
        <f>VLOOKUP($L452,Lookups!$G$5:$H$11,2,FALSE())</f>
        <v>Thursday</v>
      </c>
      <c r="Z452" s="23" t="str">
        <f>IF($J452&lt;Lookups!$B$26,"Night",IF($J452&lt;Lookups!$B$27,"Morning",IF($J452&lt;Lookups!$B$28,"Afternoon","Evening")))</f>
        <v>Evening</v>
      </c>
      <c r="AA452" s="26">
        <f>ROUND($N452*(Lookups!$B$16-Lookups!$B$15)+Lookups!$B$15,1)</f>
        <v>4.2</v>
      </c>
      <c r="AB452" s="26">
        <f>ROUND($P452*(Lookups!$B$18-Lookups!$B$17)+Lookups!$B$17,1)</f>
        <v>-1</v>
      </c>
      <c r="AC452" s="23">
        <f t="shared" si="44"/>
        <v>56</v>
      </c>
      <c r="AD452" s="23">
        <f>ROUND($R452*Lookups!$B$19,1)</f>
        <v>22</v>
      </c>
      <c r="AE452" s="27">
        <f t="shared" si="45"/>
        <v>0.96052631578947367</v>
      </c>
      <c r="AF452" s="23" t="str">
        <f>IF($U452&gt;=Lookups!$B$23,"High",IF($U452&gt;=Lookups!$B$22,"Medium","Low"))</f>
        <v>High</v>
      </c>
      <c r="AG452" s="23">
        <f>ROUND(IF($V452="Weekday",IF(INDEX(Hourly_Analysis!$D$5:$D$28,$J452+1)&gt;0,($U452-INDEX(Hourly_Analysis!$C$5:$C$28,$J452+1))/INDEX(Hourly_Analysis!$D$5:$D$28,$J452+1),0),IF(INDEX(Hourly_Analysis!$G$5:$G$28,$J452+1)&gt;0,($U452-INDEX(Hourly_Analysis!$F$5:$F$28,$J452+1))/INDEX(Hourly_Analysis!$G$5:$G$28,$J452+1),0)),2)</f>
        <v>2.42</v>
      </c>
      <c r="AH452" s="23" t="str">
        <f>IF(ABS($AG452)&gt;Lookups!$B$20,IF($AG452&gt;0,"High anomaly","Low anomaly"),"")</f>
        <v/>
      </c>
      <c r="AI452" s="23" t="str">
        <f t="shared" si="46"/>
        <v>OK</v>
      </c>
      <c r="AJ452" s="23" t="str">
        <f t="shared" si="47"/>
        <v>No</v>
      </c>
    </row>
    <row r="453" spans="1:36" x14ac:dyDescent="0.35">
      <c r="A453" s="23">
        <v>452</v>
      </c>
      <c r="B453" s="23" t="str">
        <f t="shared" si="42"/>
        <v>Merge 1+2</v>
      </c>
      <c r="C453" s="23">
        <f>IFERROR(MATCH($A453,Merge_1_2!$A$2:$A$611,0),0)</f>
        <v>452</v>
      </c>
      <c r="D453" s="23">
        <f>IF($C453&gt;0,INDEX(Merge_1_2!$Q$2:$Q$611,$C453),0)</f>
        <v>452</v>
      </c>
      <c r="E453" s="23">
        <f>IFERROR(MATCH($A453,Dataset3_Raw!$A$2:$A$391,0),0)</f>
        <v>0</v>
      </c>
      <c r="F453" s="24">
        <f>IF($C453&gt;0,INDEX(Merge_1_2!$B$2:$B$611,$C453),DATE(VALUE(RIGHT(INDEX(Dataset3_Raw!$B$2:$B$391,$E453),4)),VALUE(MID(INDEX(Dataset3_Raw!$B$2:$B$391,$E453),4,2)),VALUE(LEFT(INDEX(Dataset3_Raw!$B$2:$B$391,$E453),2))))</f>
        <v>40563</v>
      </c>
      <c r="G453" s="23">
        <f>IF($C453&gt;0,INDEX(Merge_1_2!$C$2:$C$611,$C453),INDEX(Dataset3_Raw!$C$2:$C$391,$E453))</f>
        <v>1</v>
      </c>
      <c r="H453" s="23">
        <f>IF($C453&gt;0,INDEX(Merge_1_2!$D$2:$D$611,$C453),INDEX(Dataset3_Raw!$D$2:$D$391,$E453))</f>
        <v>0</v>
      </c>
      <c r="I453" s="23">
        <f>IF($C453&gt;0,INDEX(Merge_1_2!$E$2:$E$611,$C453),INDEX(Dataset3_Raw!$E$2:$E$391,$E453))</f>
        <v>1</v>
      </c>
      <c r="J453" s="23">
        <f>IF($C453&gt;0,INDEX(Merge_1_2!$F$2:$F$611,$C453),INDEX(Dataset3_Raw!$F$2:$F$391,$E453))</f>
        <v>20</v>
      </c>
      <c r="K453" s="23" t="b">
        <f>IF($C453&gt;0,INDEX(Merge_1_2!$G$2:$G$611,$C453),INDEX(Dataset3_Raw!$G$2:$G$391,$E453))</f>
        <v>0</v>
      </c>
      <c r="L453" s="23">
        <f>IF($C453&gt;0,INDEX(Merge_1_2!$H$2:$H$611,$C453),INDEX(Dataset3_Raw!$H$2:$H$391,$E453))</f>
        <v>4</v>
      </c>
      <c r="M453" s="23">
        <f>IF($C453&gt;0,INDEX(Merge_1_2!$I$2:$I$611,$C453),INDEX(Dataset3_Raw!$I$2:$I$391,$E453))</f>
        <v>2</v>
      </c>
      <c r="N453" s="25">
        <f>IF($C453&gt;0,INDEX(Merge_1_2!$J$2:$J$611,$C453),INDEX(Dataset3_Raw!$J$2:$J$391,$E453))</f>
        <v>0.26</v>
      </c>
      <c r="O453" s="25">
        <f>IF($C453&gt;0,IF(ISNUMBER(INDEX(Merge_1_2!$K$2:$K$611,$C453)),INDEX(Merge_1_2!$K$2:$K$611,$C453),""),INDEX(Dataset3_Raw!$K$2:$K$391,$E453))</f>
        <v>0.2424</v>
      </c>
      <c r="P453" s="25">
        <f>IF(ISNUMBER($O453),$O453,ROUND(Lookups!$B$25+Lookups!$B$24*$N453,4))</f>
        <v>0.2424</v>
      </c>
      <c r="Q453" s="25">
        <f>IF($C453&gt;0,INDEX(Merge_1_2!$L$2:$L$611,$C453),INDEX(Dataset3_Raw!$L$2:$L$391,$E453))</f>
        <v>0.6</v>
      </c>
      <c r="R453" s="25">
        <f>IF($C453&gt;0,INDEX(Merge_1_2!$M$2:$M$611,$C453),INDEX(Dataset3_Raw!$M$2:$M$391,$E453))</f>
        <v>0.28360000000000002</v>
      </c>
      <c r="S453" s="23">
        <f>IF($C453&gt;0,INDEX(Merge_1_2!$N$2:$N$611,$C453),INDEX(Dataset3_Raw!$N$2:$N$391,$E453))</f>
        <v>2</v>
      </c>
      <c r="T453" s="23">
        <f>IF($C453&gt;0,INDEX(Merge_1_2!$O$2:$O$611,$C453),INDEX(Dataset3_Raw!$O$2:$O$391,$E453))</f>
        <v>124</v>
      </c>
      <c r="U453" s="23">
        <f>IF($C453&gt;0,INDEX(Merge_1_2!$P$2:$P$611,$C453),INDEX(Dataset3_Raw!$P$2:$P$391,$E453))</f>
        <v>126</v>
      </c>
      <c r="V453" s="23" t="str">
        <f t="shared" si="43"/>
        <v>Weekday</v>
      </c>
      <c r="W453" s="23" t="str">
        <f>VLOOKUP($M453,Lookups!$A$5:$B$8,2,FALSE())</f>
        <v>Mist / Cloudy</v>
      </c>
      <c r="X453" s="23" t="str">
        <f>VLOOKUP($G453,Lookups!$D$5:$E$8,2,FALSE())</f>
        <v>Winter</v>
      </c>
      <c r="Y453" s="23" t="str">
        <f>VLOOKUP($L453,Lookups!$G$5:$H$11,2,FALSE())</f>
        <v>Thursday</v>
      </c>
      <c r="Z453" s="23" t="str">
        <f>IF($J453&lt;Lookups!$B$26,"Night",IF($J453&lt;Lookups!$B$27,"Morning",IF($J453&lt;Lookups!$B$28,"Afternoon","Evening")))</f>
        <v>Evening</v>
      </c>
      <c r="AA453" s="26">
        <f>ROUND($N453*(Lookups!$B$16-Lookups!$B$15)+Lookups!$B$15,1)</f>
        <v>4.2</v>
      </c>
      <c r="AB453" s="26">
        <f>ROUND($P453*(Lookups!$B$18-Lookups!$B$17)+Lookups!$B$17,1)</f>
        <v>0</v>
      </c>
      <c r="AC453" s="23">
        <f t="shared" si="44"/>
        <v>60</v>
      </c>
      <c r="AD453" s="23">
        <f>ROUND($R453*Lookups!$B$19,1)</f>
        <v>19</v>
      </c>
      <c r="AE453" s="27">
        <f t="shared" si="45"/>
        <v>0.98412698412698407</v>
      </c>
      <c r="AF453" s="23" t="str">
        <f>IF($U453&gt;=Lookups!$B$23,"High",IF($U453&gt;=Lookups!$B$22,"Medium","Low"))</f>
        <v>High</v>
      </c>
      <c r="AG453" s="23">
        <f>ROUND(IF($V453="Weekday",IF(INDEX(Hourly_Analysis!$D$5:$D$28,$J453+1)&gt;0,($U453-INDEX(Hourly_Analysis!$C$5:$C$28,$J453+1))/INDEX(Hourly_Analysis!$D$5:$D$28,$J453+1),0),IF(INDEX(Hourly_Analysis!$G$5:$G$28,$J453+1)&gt;0,($U453-INDEX(Hourly_Analysis!$F$5:$F$28,$J453+1))/INDEX(Hourly_Analysis!$G$5:$G$28,$J453+1),0)),2)</f>
        <v>2.4700000000000002</v>
      </c>
      <c r="AH453" s="23" t="str">
        <f>IF(ABS($AG453)&gt;Lookups!$B$20,IF($AG453&gt;0,"High anomaly","Low anomaly"),"")</f>
        <v/>
      </c>
      <c r="AI453" s="23" t="str">
        <f t="shared" si="46"/>
        <v>OK</v>
      </c>
      <c r="AJ453" s="23" t="str">
        <f t="shared" si="47"/>
        <v>No</v>
      </c>
    </row>
    <row r="454" spans="1:36" x14ac:dyDescent="0.35">
      <c r="A454" s="23">
        <v>453</v>
      </c>
      <c r="B454" s="23" t="str">
        <f t="shared" si="42"/>
        <v>Merge 1+2</v>
      </c>
      <c r="C454" s="23">
        <f>IFERROR(MATCH($A454,Merge_1_2!$A$2:$A$611,0),0)</f>
        <v>453</v>
      </c>
      <c r="D454" s="23">
        <f>IF($C454&gt;0,INDEX(Merge_1_2!$Q$2:$Q$611,$C454),0)</f>
        <v>453</v>
      </c>
      <c r="E454" s="23">
        <f>IFERROR(MATCH($A454,Dataset3_Raw!$A$2:$A$391,0),0)</f>
        <v>0</v>
      </c>
      <c r="F454" s="24">
        <f>IF($C454&gt;0,INDEX(Merge_1_2!$B$2:$B$611,$C454),DATE(VALUE(RIGHT(INDEX(Dataset3_Raw!$B$2:$B$391,$E454),4)),VALUE(MID(INDEX(Dataset3_Raw!$B$2:$B$391,$E454),4,2)),VALUE(LEFT(INDEX(Dataset3_Raw!$B$2:$B$391,$E454),2))))</f>
        <v>40563</v>
      </c>
      <c r="G454" s="23">
        <f>IF($C454&gt;0,INDEX(Merge_1_2!$C$2:$C$611,$C454),INDEX(Dataset3_Raw!$C$2:$C$391,$E454))</f>
        <v>1</v>
      </c>
      <c r="H454" s="23">
        <f>IF($C454&gt;0,INDEX(Merge_1_2!$D$2:$D$611,$C454),INDEX(Dataset3_Raw!$D$2:$D$391,$E454))</f>
        <v>0</v>
      </c>
      <c r="I454" s="23">
        <f>IF($C454&gt;0,INDEX(Merge_1_2!$E$2:$E$611,$C454),INDEX(Dataset3_Raw!$E$2:$E$391,$E454))</f>
        <v>1</v>
      </c>
      <c r="J454" s="23">
        <f>IF($C454&gt;0,INDEX(Merge_1_2!$F$2:$F$611,$C454),INDEX(Dataset3_Raw!$F$2:$F$391,$E454))</f>
        <v>21</v>
      </c>
      <c r="K454" s="23" t="b">
        <f>IF($C454&gt;0,INDEX(Merge_1_2!$G$2:$G$611,$C454),INDEX(Dataset3_Raw!$G$2:$G$391,$E454))</f>
        <v>0</v>
      </c>
      <c r="L454" s="23">
        <f>IF($C454&gt;0,INDEX(Merge_1_2!$H$2:$H$611,$C454),INDEX(Dataset3_Raw!$H$2:$H$391,$E454))</f>
        <v>4</v>
      </c>
      <c r="M454" s="23">
        <f>IF($C454&gt;0,INDEX(Merge_1_2!$I$2:$I$611,$C454),INDEX(Dataset3_Raw!$I$2:$I$391,$E454))</f>
        <v>2</v>
      </c>
      <c r="N454" s="25">
        <f>IF($C454&gt;0,INDEX(Merge_1_2!$J$2:$J$611,$C454),INDEX(Dataset3_Raw!$J$2:$J$391,$E454))</f>
        <v>0.24</v>
      </c>
      <c r="O454" s="25">
        <f>IF($C454&gt;0,IF(ISNUMBER(INDEX(Merge_1_2!$K$2:$K$611,$C454)),INDEX(Merge_1_2!$K$2:$K$611,$C454),""),INDEX(Dataset3_Raw!$K$2:$K$391,$E454))</f>
        <v>0.2273</v>
      </c>
      <c r="P454" s="25">
        <f>IF(ISNUMBER($O454),$O454,ROUND(Lookups!$B$25+Lookups!$B$24*$N454,4))</f>
        <v>0.2273</v>
      </c>
      <c r="Q454" s="25">
        <f>IF($C454&gt;0,INDEX(Merge_1_2!$L$2:$L$611,$C454),INDEX(Dataset3_Raw!$L$2:$L$391,$E454))</f>
        <v>0.6</v>
      </c>
      <c r="R454" s="25">
        <f>IF($C454&gt;0,INDEX(Merge_1_2!$M$2:$M$611,$C454),INDEX(Dataset3_Raw!$M$2:$M$391,$E454))</f>
        <v>0.25369999999999998</v>
      </c>
      <c r="S454" s="23">
        <f>IF($C454&gt;0,INDEX(Merge_1_2!$N$2:$N$611,$C454),INDEX(Dataset3_Raw!$N$2:$N$391,$E454))</f>
        <v>3</v>
      </c>
      <c r="T454" s="23">
        <f>IF($C454&gt;0,INDEX(Merge_1_2!$O$2:$O$611,$C454),INDEX(Dataset3_Raw!$O$2:$O$391,$E454))</f>
        <v>54</v>
      </c>
      <c r="U454" s="23">
        <f>IF($C454&gt;0,INDEX(Merge_1_2!$P$2:$P$611,$C454),INDEX(Dataset3_Raw!$P$2:$P$391,$E454))</f>
        <v>57</v>
      </c>
      <c r="V454" s="23" t="str">
        <f t="shared" si="43"/>
        <v>Weekday</v>
      </c>
      <c r="W454" s="23" t="str">
        <f>VLOOKUP($M454,Lookups!$A$5:$B$8,2,FALSE())</f>
        <v>Mist / Cloudy</v>
      </c>
      <c r="X454" s="23" t="str">
        <f>VLOOKUP($G454,Lookups!$D$5:$E$8,2,FALSE())</f>
        <v>Winter</v>
      </c>
      <c r="Y454" s="23" t="str">
        <f>VLOOKUP($L454,Lookups!$G$5:$H$11,2,FALSE())</f>
        <v>Thursday</v>
      </c>
      <c r="Z454" s="23" t="str">
        <f>IF($J454&lt;Lookups!$B$26,"Night",IF($J454&lt;Lookups!$B$27,"Morning",IF($J454&lt;Lookups!$B$28,"Afternoon","Evening")))</f>
        <v>Evening</v>
      </c>
      <c r="AA454" s="26">
        <f>ROUND($N454*(Lookups!$B$16-Lookups!$B$15)+Lookups!$B$15,1)</f>
        <v>3.3</v>
      </c>
      <c r="AB454" s="26">
        <f>ROUND($P454*(Lookups!$B$18-Lookups!$B$17)+Lookups!$B$17,1)</f>
        <v>-1</v>
      </c>
      <c r="AC454" s="23">
        <f t="shared" si="44"/>
        <v>60</v>
      </c>
      <c r="AD454" s="23">
        <f>ROUND($R454*Lookups!$B$19,1)</f>
        <v>17</v>
      </c>
      <c r="AE454" s="27">
        <f t="shared" si="45"/>
        <v>0.94736842105263153</v>
      </c>
      <c r="AF454" s="23" t="str">
        <f>IF($U454&gt;=Lookups!$B$23,"High",IF($U454&gt;=Lookups!$B$22,"Medium","Low"))</f>
        <v>Medium</v>
      </c>
      <c r="AG454" s="23">
        <f>ROUND(IF($V454="Weekday",IF(INDEX(Hourly_Analysis!$D$5:$D$28,$J454+1)&gt;0,($U454-INDEX(Hourly_Analysis!$C$5:$C$28,$J454+1))/INDEX(Hourly_Analysis!$D$5:$D$28,$J454+1),0),IF(INDEX(Hourly_Analysis!$G$5:$G$28,$J454+1)&gt;0,($U454-INDEX(Hourly_Analysis!$F$5:$F$28,$J454+1))/INDEX(Hourly_Analysis!$G$5:$G$28,$J454+1),0)),2)</f>
        <v>0.4</v>
      </c>
      <c r="AH454" s="23" t="str">
        <f>IF(ABS($AG454)&gt;Lookups!$B$20,IF($AG454&gt;0,"High anomaly","Low anomaly"),"")</f>
        <v/>
      </c>
      <c r="AI454" s="23" t="str">
        <f t="shared" si="46"/>
        <v>OK</v>
      </c>
      <c r="AJ454" s="23" t="str">
        <f t="shared" si="47"/>
        <v>No</v>
      </c>
    </row>
    <row r="455" spans="1:36" x14ac:dyDescent="0.35">
      <c r="A455" s="23">
        <v>454</v>
      </c>
      <c r="B455" s="23" t="str">
        <f t="shared" si="42"/>
        <v>Merge 1+2</v>
      </c>
      <c r="C455" s="23">
        <f>IFERROR(MATCH($A455,Merge_1_2!$A$2:$A$611,0),0)</f>
        <v>454</v>
      </c>
      <c r="D455" s="23">
        <f>IF($C455&gt;0,INDEX(Merge_1_2!$Q$2:$Q$611,$C455),0)</f>
        <v>454</v>
      </c>
      <c r="E455" s="23">
        <f>IFERROR(MATCH($A455,Dataset3_Raw!$A$2:$A$391,0),0)</f>
        <v>0</v>
      </c>
      <c r="F455" s="24">
        <f>IF($C455&gt;0,INDEX(Merge_1_2!$B$2:$B$611,$C455),DATE(VALUE(RIGHT(INDEX(Dataset3_Raw!$B$2:$B$391,$E455),4)),VALUE(MID(INDEX(Dataset3_Raw!$B$2:$B$391,$E455),4,2)),VALUE(LEFT(INDEX(Dataset3_Raw!$B$2:$B$391,$E455),2))))</f>
        <v>40563</v>
      </c>
      <c r="G455" s="23">
        <f>IF($C455&gt;0,INDEX(Merge_1_2!$C$2:$C$611,$C455),INDEX(Dataset3_Raw!$C$2:$C$391,$E455))</f>
        <v>1</v>
      </c>
      <c r="H455" s="23">
        <f>IF($C455&gt;0,INDEX(Merge_1_2!$D$2:$D$611,$C455),INDEX(Dataset3_Raw!$D$2:$D$391,$E455))</f>
        <v>0</v>
      </c>
      <c r="I455" s="23">
        <f>IF($C455&gt;0,INDEX(Merge_1_2!$E$2:$E$611,$C455),INDEX(Dataset3_Raw!$E$2:$E$391,$E455))</f>
        <v>1</v>
      </c>
      <c r="J455" s="23">
        <f>IF($C455&gt;0,INDEX(Merge_1_2!$F$2:$F$611,$C455),INDEX(Dataset3_Raw!$F$2:$F$391,$E455))</f>
        <v>22</v>
      </c>
      <c r="K455" s="23" t="b">
        <f>IF($C455&gt;0,INDEX(Merge_1_2!$G$2:$G$611,$C455),INDEX(Dataset3_Raw!$G$2:$G$391,$E455))</f>
        <v>0</v>
      </c>
      <c r="L455" s="23">
        <f>IF($C455&gt;0,INDEX(Merge_1_2!$H$2:$H$611,$C455),INDEX(Dataset3_Raw!$H$2:$H$391,$E455))</f>
        <v>4</v>
      </c>
      <c r="M455" s="23">
        <f>IF($C455&gt;0,INDEX(Merge_1_2!$I$2:$I$611,$C455),INDEX(Dataset3_Raw!$I$2:$I$391,$E455))</f>
        <v>2</v>
      </c>
      <c r="N455" s="25">
        <f>IF($C455&gt;0,INDEX(Merge_1_2!$J$2:$J$611,$C455),INDEX(Dataset3_Raw!$J$2:$J$391,$E455))</f>
        <v>0.24</v>
      </c>
      <c r="O455" s="25">
        <f>IF($C455&gt;0,IF(ISNUMBER(INDEX(Merge_1_2!$K$2:$K$611,$C455)),INDEX(Merge_1_2!$K$2:$K$611,$C455),""),INDEX(Dataset3_Raw!$K$2:$K$391,$E455))</f>
        <v>0.21210000000000001</v>
      </c>
      <c r="P455" s="25">
        <f>IF(ISNUMBER($O455),$O455,ROUND(Lookups!$B$25+Lookups!$B$24*$N455,4))</f>
        <v>0.21210000000000001</v>
      </c>
      <c r="Q455" s="25">
        <f>IF($C455&gt;0,INDEX(Merge_1_2!$L$2:$L$611,$C455),INDEX(Dataset3_Raw!$L$2:$L$391,$E455))</f>
        <v>0.65</v>
      </c>
      <c r="R455" s="25">
        <f>IF($C455&gt;0,INDEX(Merge_1_2!$M$2:$M$611,$C455),INDEX(Dataset3_Raw!$M$2:$M$391,$E455))</f>
        <v>0.28360000000000002</v>
      </c>
      <c r="S455" s="23">
        <f>IF($C455&gt;0,INDEX(Merge_1_2!$N$2:$N$611,$C455),INDEX(Dataset3_Raw!$N$2:$N$391,$E455))</f>
        <v>0</v>
      </c>
      <c r="T455" s="23">
        <f>IF($C455&gt;0,INDEX(Merge_1_2!$O$2:$O$611,$C455),INDEX(Dataset3_Raw!$O$2:$O$391,$E455))</f>
        <v>56</v>
      </c>
      <c r="U455" s="23">
        <f>IF($C455&gt;0,INDEX(Merge_1_2!$P$2:$P$611,$C455),INDEX(Dataset3_Raw!$P$2:$P$391,$E455))</f>
        <v>56</v>
      </c>
      <c r="V455" s="23" t="str">
        <f t="shared" si="43"/>
        <v>Weekday</v>
      </c>
      <c r="W455" s="23" t="str">
        <f>VLOOKUP($M455,Lookups!$A$5:$B$8,2,FALSE())</f>
        <v>Mist / Cloudy</v>
      </c>
      <c r="X455" s="23" t="str">
        <f>VLOOKUP($G455,Lookups!$D$5:$E$8,2,FALSE())</f>
        <v>Winter</v>
      </c>
      <c r="Y455" s="23" t="str">
        <f>VLOOKUP($L455,Lookups!$G$5:$H$11,2,FALSE())</f>
        <v>Thursday</v>
      </c>
      <c r="Z455" s="23" t="str">
        <f>IF($J455&lt;Lookups!$B$26,"Night",IF($J455&lt;Lookups!$B$27,"Morning",IF($J455&lt;Lookups!$B$28,"Afternoon","Evening")))</f>
        <v>Evening</v>
      </c>
      <c r="AA455" s="26">
        <f>ROUND($N455*(Lookups!$B$16-Lookups!$B$15)+Lookups!$B$15,1)</f>
        <v>3.3</v>
      </c>
      <c r="AB455" s="26">
        <f>ROUND($P455*(Lookups!$B$18-Lookups!$B$17)+Lookups!$B$17,1)</f>
        <v>-2</v>
      </c>
      <c r="AC455" s="23">
        <f t="shared" si="44"/>
        <v>65</v>
      </c>
      <c r="AD455" s="23">
        <f>ROUND($R455*Lookups!$B$19,1)</f>
        <v>19</v>
      </c>
      <c r="AE455" s="27">
        <f t="shared" si="45"/>
        <v>1</v>
      </c>
      <c r="AF455" s="23" t="str">
        <f>IF($U455&gt;=Lookups!$B$23,"High",IF($U455&gt;=Lookups!$B$22,"Medium","Low"))</f>
        <v>Medium</v>
      </c>
      <c r="AG455" s="23">
        <f>ROUND(IF($V455="Weekday",IF(INDEX(Hourly_Analysis!$D$5:$D$28,$J455+1)&gt;0,($U455-INDEX(Hourly_Analysis!$C$5:$C$28,$J455+1))/INDEX(Hourly_Analysis!$D$5:$D$28,$J455+1),0),IF(INDEX(Hourly_Analysis!$G$5:$G$28,$J455+1)&gt;0,($U455-INDEX(Hourly_Analysis!$F$5:$F$28,$J455+1))/INDEX(Hourly_Analysis!$G$5:$G$28,$J455+1),0)),2)</f>
        <v>1.82</v>
      </c>
      <c r="AH455" s="23" t="str">
        <f>IF(ABS($AG455)&gt;Lookups!$B$20,IF($AG455&gt;0,"High anomaly","Low anomaly"),"")</f>
        <v/>
      </c>
      <c r="AI455" s="23" t="str">
        <f t="shared" si="46"/>
        <v>OK</v>
      </c>
      <c r="AJ455" s="23" t="str">
        <f t="shared" si="47"/>
        <v>No</v>
      </c>
    </row>
    <row r="456" spans="1:36" x14ac:dyDescent="0.35">
      <c r="A456" s="23">
        <v>455</v>
      </c>
      <c r="B456" s="23" t="str">
        <f t="shared" si="42"/>
        <v>Merge 1+2</v>
      </c>
      <c r="C456" s="23">
        <f>IFERROR(MATCH($A456,Merge_1_2!$A$2:$A$611,0),0)</f>
        <v>455</v>
      </c>
      <c r="D456" s="23">
        <f>IF($C456&gt;0,INDEX(Merge_1_2!$Q$2:$Q$611,$C456),0)</f>
        <v>455</v>
      </c>
      <c r="E456" s="23">
        <f>IFERROR(MATCH($A456,Dataset3_Raw!$A$2:$A$391,0),0)</f>
        <v>0</v>
      </c>
      <c r="F456" s="24">
        <f>IF($C456&gt;0,INDEX(Merge_1_2!$B$2:$B$611,$C456),DATE(VALUE(RIGHT(INDEX(Dataset3_Raw!$B$2:$B$391,$E456),4)),VALUE(MID(INDEX(Dataset3_Raw!$B$2:$B$391,$E456),4,2)),VALUE(LEFT(INDEX(Dataset3_Raw!$B$2:$B$391,$E456),2))))</f>
        <v>40563</v>
      </c>
      <c r="G456" s="23">
        <f>IF($C456&gt;0,INDEX(Merge_1_2!$C$2:$C$611,$C456),INDEX(Dataset3_Raw!$C$2:$C$391,$E456))</f>
        <v>1</v>
      </c>
      <c r="H456" s="23">
        <f>IF($C456&gt;0,INDEX(Merge_1_2!$D$2:$D$611,$C456),INDEX(Dataset3_Raw!$D$2:$D$391,$E456))</f>
        <v>0</v>
      </c>
      <c r="I456" s="23">
        <f>IF($C456&gt;0,INDEX(Merge_1_2!$E$2:$E$611,$C456),INDEX(Dataset3_Raw!$E$2:$E$391,$E456))</f>
        <v>1</v>
      </c>
      <c r="J456" s="23">
        <f>IF($C456&gt;0,INDEX(Merge_1_2!$F$2:$F$611,$C456),INDEX(Dataset3_Raw!$F$2:$F$391,$E456))</f>
        <v>23</v>
      </c>
      <c r="K456" s="23" t="b">
        <f>IF($C456&gt;0,INDEX(Merge_1_2!$G$2:$G$611,$C456),INDEX(Dataset3_Raw!$G$2:$G$391,$E456))</f>
        <v>0</v>
      </c>
      <c r="L456" s="23">
        <f>IF($C456&gt;0,INDEX(Merge_1_2!$H$2:$H$611,$C456),INDEX(Dataset3_Raw!$H$2:$H$391,$E456))</f>
        <v>4</v>
      </c>
      <c r="M456" s="23">
        <f>IF($C456&gt;0,INDEX(Merge_1_2!$I$2:$I$611,$C456),INDEX(Dataset3_Raw!$I$2:$I$391,$E456))</f>
        <v>2</v>
      </c>
      <c r="N456" s="25">
        <f>IF($C456&gt;0,INDEX(Merge_1_2!$J$2:$J$611,$C456),INDEX(Dataset3_Raw!$J$2:$J$391,$E456))</f>
        <v>0.24</v>
      </c>
      <c r="O456" s="25">
        <f>IF($C456&gt;0,IF(ISNUMBER(INDEX(Merge_1_2!$K$2:$K$611,$C456)),INDEX(Merge_1_2!$K$2:$K$611,$C456),""),INDEX(Dataset3_Raw!$K$2:$K$391,$E456))</f>
        <v>0.21210000000000001</v>
      </c>
      <c r="P456" s="25">
        <f>IF(ISNUMBER($O456),$O456,ROUND(Lookups!$B$25+Lookups!$B$24*$N456,4))</f>
        <v>0.21210000000000001</v>
      </c>
      <c r="Q456" s="25">
        <f>IF($C456&gt;0,INDEX(Merge_1_2!$L$2:$L$611,$C456),INDEX(Dataset3_Raw!$L$2:$L$391,$E456))</f>
        <v>0.65</v>
      </c>
      <c r="R456" s="25">
        <f>IF($C456&gt;0,INDEX(Merge_1_2!$M$2:$M$611,$C456),INDEX(Dataset3_Raw!$M$2:$M$391,$E456))</f>
        <v>0.32840000000000003</v>
      </c>
      <c r="S456" s="23">
        <f>IF($C456&gt;0,INDEX(Merge_1_2!$N$2:$N$611,$C456),INDEX(Dataset3_Raw!$N$2:$N$391,$E456))</f>
        <v>3</v>
      </c>
      <c r="T456" s="23">
        <f>IF($C456&gt;0,INDEX(Merge_1_2!$O$2:$O$611,$C456),INDEX(Dataset3_Raw!$O$2:$O$391,$E456))</f>
        <v>28</v>
      </c>
      <c r="U456" s="23">
        <f>IF($C456&gt;0,INDEX(Merge_1_2!$P$2:$P$611,$C456),INDEX(Dataset3_Raw!$P$2:$P$391,$E456))</f>
        <v>31</v>
      </c>
      <c r="V456" s="23" t="str">
        <f t="shared" si="43"/>
        <v>Weekday</v>
      </c>
      <c r="W456" s="23" t="str">
        <f>VLOOKUP($M456,Lookups!$A$5:$B$8,2,FALSE())</f>
        <v>Mist / Cloudy</v>
      </c>
      <c r="X456" s="23" t="str">
        <f>VLOOKUP($G456,Lookups!$D$5:$E$8,2,FALSE())</f>
        <v>Winter</v>
      </c>
      <c r="Y456" s="23" t="str">
        <f>VLOOKUP($L456,Lookups!$G$5:$H$11,2,FALSE())</f>
        <v>Thursday</v>
      </c>
      <c r="Z456" s="23" t="str">
        <f>IF($J456&lt;Lookups!$B$26,"Night",IF($J456&lt;Lookups!$B$27,"Morning",IF($J456&lt;Lookups!$B$28,"Afternoon","Evening")))</f>
        <v>Evening</v>
      </c>
      <c r="AA456" s="26">
        <f>ROUND($N456*(Lookups!$B$16-Lookups!$B$15)+Lookups!$B$15,1)</f>
        <v>3.3</v>
      </c>
      <c r="AB456" s="26">
        <f>ROUND($P456*(Lookups!$B$18-Lookups!$B$17)+Lookups!$B$17,1)</f>
        <v>-2</v>
      </c>
      <c r="AC456" s="23">
        <f t="shared" si="44"/>
        <v>65</v>
      </c>
      <c r="AD456" s="23">
        <f>ROUND($R456*Lookups!$B$19,1)</f>
        <v>22</v>
      </c>
      <c r="AE456" s="27">
        <f t="shared" si="45"/>
        <v>0.90322580645161288</v>
      </c>
      <c r="AF456" s="23" t="str">
        <f>IF($U456&gt;=Lookups!$B$23,"High",IF($U456&gt;=Lookups!$B$22,"Medium","Low"))</f>
        <v>Medium</v>
      </c>
      <c r="AG456" s="23">
        <f>ROUND(IF($V456="Weekday",IF(INDEX(Hourly_Analysis!$D$5:$D$28,$J456+1)&gt;0,($U456-INDEX(Hourly_Analysis!$C$5:$C$28,$J456+1))/INDEX(Hourly_Analysis!$D$5:$D$28,$J456+1),0),IF(INDEX(Hourly_Analysis!$G$5:$G$28,$J456+1)&gt;0,($U456-INDEX(Hourly_Analysis!$F$5:$F$28,$J456+1))/INDEX(Hourly_Analysis!$G$5:$G$28,$J456+1),0)),2)</f>
        <v>0.66</v>
      </c>
      <c r="AH456" s="23" t="str">
        <f>IF(ABS($AG456)&gt;Lookups!$B$20,IF($AG456&gt;0,"High anomaly","Low anomaly"),"")</f>
        <v/>
      </c>
      <c r="AI456" s="23" t="str">
        <f t="shared" si="46"/>
        <v>OK</v>
      </c>
      <c r="AJ456" s="23" t="str">
        <f t="shared" si="47"/>
        <v>No</v>
      </c>
    </row>
    <row r="457" spans="1:36" x14ac:dyDescent="0.35">
      <c r="A457" s="23">
        <v>456</v>
      </c>
      <c r="B457" s="23" t="str">
        <f t="shared" si="42"/>
        <v>Merge 1+2</v>
      </c>
      <c r="C457" s="23">
        <f>IFERROR(MATCH($A457,Merge_1_2!$A$2:$A$611,0),0)</f>
        <v>456</v>
      </c>
      <c r="D457" s="23">
        <f>IF($C457&gt;0,INDEX(Merge_1_2!$Q$2:$Q$611,$C457),0)</f>
        <v>456</v>
      </c>
      <c r="E457" s="23">
        <f>IFERROR(MATCH($A457,Dataset3_Raw!$A$2:$A$391,0),0)</f>
        <v>0</v>
      </c>
      <c r="F457" s="24">
        <f>IF($C457&gt;0,INDEX(Merge_1_2!$B$2:$B$611,$C457),DATE(VALUE(RIGHT(INDEX(Dataset3_Raw!$B$2:$B$391,$E457),4)),VALUE(MID(INDEX(Dataset3_Raw!$B$2:$B$391,$E457),4,2)),VALUE(LEFT(INDEX(Dataset3_Raw!$B$2:$B$391,$E457),2))))</f>
        <v>40564</v>
      </c>
      <c r="G457" s="23">
        <f>IF($C457&gt;0,INDEX(Merge_1_2!$C$2:$C$611,$C457),INDEX(Dataset3_Raw!$C$2:$C$391,$E457))</f>
        <v>1</v>
      </c>
      <c r="H457" s="23">
        <f>IF($C457&gt;0,INDEX(Merge_1_2!$D$2:$D$611,$C457),INDEX(Dataset3_Raw!$D$2:$D$391,$E457))</f>
        <v>0</v>
      </c>
      <c r="I457" s="23">
        <f>IF($C457&gt;0,INDEX(Merge_1_2!$E$2:$E$611,$C457),INDEX(Dataset3_Raw!$E$2:$E$391,$E457))</f>
        <v>1</v>
      </c>
      <c r="J457" s="23">
        <f>IF($C457&gt;0,INDEX(Merge_1_2!$F$2:$F$611,$C457),INDEX(Dataset3_Raw!$F$2:$F$391,$E457))</f>
        <v>0</v>
      </c>
      <c r="K457" s="23" t="b">
        <f>IF($C457&gt;0,INDEX(Merge_1_2!$G$2:$G$611,$C457),INDEX(Dataset3_Raw!$G$2:$G$391,$E457))</f>
        <v>0</v>
      </c>
      <c r="L457" s="23">
        <f>IF($C457&gt;0,INDEX(Merge_1_2!$H$2:$H$611,$C457),INDEX(Dataset3_Raw!$H$2:$H$391,$E457))</f>
        <v>5</v>
      </c>
      <c r="M457" s="23">
        <f>IF($C457&gt;0,INDEX(Merge_1_2!$I$2:$I$611,$C457),INDEX(Dataset3_Raw!$I$2:$I$391,$E457))</f>
        <v>2</v>
      </c>
      <c r="N457" s="25">
        <f>IF($C457&gt;0,INDEX(Merge_1_2!$J$2:$J$611,$C457),INDEX(Dataset3_Raw!$J$2:$J$391,$E457))</f>
        <v>0.24</v>
      </c>
      <c r="O457" s="25">
        <f>IF($C457&gt;0,IF(ISNUMBER(INDEX(Merge_1_2!$K$2:$K$611,$C457)),INDEX(Merge_1_2!$K$2:$K$611,$C457),""),INDEX(Dataset3_Raw!$K$2:$K$391,$E457))</f>
        <v>0.2273</v>
      </c>
      <c r="P457" s="25">
        <f>IF(ISNUMBER($O457),$O457,ROUND(Lookups!$B$25+Lookups!$B$24*$N457,4))</f>
        <v>0.2273</v>
      </c>
      <c r="Q457" s="25">
        <f>IF($C457&gt;0,INDEX(Merge_1_2!$L$2:$L$611,$C457),INDEX(Dataset3_Raw!$L$2:$L$391,$E457))</f>
        <v>0.7</v>
      </c>
      <c r="R457" s="25">
        <f>IF($C457&gt;0,INDEX(Merge_1_2!$M$2:$M$611,$C457),INDEX(Dataset3_Raw!$M$2:$M$391,$E457))</f>
        <v>0.25369999999999998</v>
      </c>
      <c r="S457" s="23">
        <f>IF($C457&gt;0,INDEX(Merge_1_2!$N$2:$N$611,$C457),INDEX(Dataset3_Raw!$N$2:$N$391,$E457))</f>
        <v>1</v>
      </c>
      <c r="T457" s="23">
        <f>IF($C457&gt;0,INDEX(Merge_1_2!$O$2:$O$611,$C457),INDEX(Dataset3_Raw!$O$2:$O$391,$E457))</f>
        <v>20</v>
      </c>
      <c r="U457" s="23">
        <f>IF($C457&gt;0,INDEX(Merge_1_2!$P$2:$P$611,$C457),INDEX(Dataset3_Raw!$P$2:$P$391,$E457))</f>
        <v>21</v>
      </c>
      <c r="V457" s="23" t="str">
        <f t="shared" si="43"/>
        <v>Weekday</v>
      </c>
      <c r="W457" s="23" t="str">
        <f>VLOOKUP($M457,Lookups!$A$5:$B$8,2,FALSE())</f>
        <v>Mist / Cloudy</v>
      </c>
      <c r="X457" s="23" t="str">
        <f>VLOOKUP($G457,Lookups!$D$5:$E$8,2,FALSE())</f>
        <v>Winter</v>
      </c>
      <c r="Y457" s="23" t="str">
        <f>VLOOKUP($L457,Lookups!$G$5:$H$11,2,FALSE())</f>
        <v>Friday</v>
      </c>
      <c r="Z457" s="23" t="str">
        <f>IF($J457&lt;Lookups!$B$26,"Night",IF($J457&lt;Lookups!$B$27,"Morning",IF($J457&lt;Lookups!$B$28,"Afternoon","Evening")))</f>
        <v>Night</v>
      </c>
      <c r="AA457" s="26">
        <f>ROUND($N457*(Lookups!$B$16-Lookups!$B$15)+Lookups!$B$15,1)</f>
        <v>3.3</v>
      </c>
      <c r="AB457" s="26">
        <f>ROUND($P457*(Lookups!$B$18-Lookups!$B$17)+Lookups!$B$17,1)</f>
        <v>-1</v>
      </c>
      <c r="AC457" s="23">
        <f t="shared" si="44"/>
        <v>70</v>
      </c>
      <c r="AD457" s="23">
        <f>ROUND($R457*Lookups!$B$19,1)</f>
        <v>17</v>
      </c>
      <c r="AE457" s="27">
        <f t="shared" si="45"/>
        <v>0.95238095238095233</v>
      </c>
      <c r="AF457" s="23" t="str">
        <f>IF($U457&gt;=Lookups!$B$23,"High",IF($U457&gt;=Lookups!$B$22,"Medium","Low"))</f>
        <v>Medium</v>
      </c>
      <c r="AG457" s="23">
        <f>ROUND(IF($V457="Weekday",IF(INDEX(Hourly_Analysis!$D$5:$D$28,$J457+1)&gt;0,($U457-INDEX(Hourly_Analysis!$C$5:$C$28,$J457+1))/INDEX(Hourly_Analysis!$D$5:$D$28,$J457+1),0),IF(INDEX(Hourly_Analysis!$G$5:$G$28,$J457+1)&gt;0,($U457-INDEX(Hourly_Analysis!$F$5:$F$28,$J457+1))/INDEX(Hourly_Analysis!$G$5:$G$28,$J457+1),0)),2)</f>
        <v>2.1800000000000002</v>
      </c>
      <c r="AH457" s="23" t="str">
        <f>IF(ABS($AG457)&gt;Lookups!$B$20,IF($AG457&gt;0,"High anomaly","Low anomaly"),"")</f>
        <v/>
      </c>
      <c r="AI457" s="23" t="str">
        <f t="shared" si="46"/>
        <v>OK</v>
      </c>
      <c r="AJ457" s="23" t="str">
        <f t="shared" si="47"/>
        <v>No</v>
      </c>
    </row>
    <row r="458" spans="1:36" x14ac:dyDescent="0.35">
      <c r="A458" s="23">
        <v>457</v>
      </c>
      <c r="B458" s="23" t="str">
        <f t="shared" si="42"/>
        <v>Merge 1+2</v>
      </c>
      <c r="C458" s="23">
        <f>IFERROR(MATCH($A458,Merge_1_2!$A$2:$A$611,0),0)</f>
        <v>457</v>
      </c>
      <c r="D458" s="23">
        <f>IF($C458&gt;0,INDEX(Merge_1_2!$Q$2:$Q$611,$C458),0)</f>
        <v>457</v>
      </c>
      <c r="E458" s="23">
        <f>IFERROR(MATCH($A458,Dataset3_Raw!$A$2:$A$391,0),0)</f>
        <v>0</v>
      </c>
      <c r="F458" s="24">
        <f>IF($C458&gt;0,INDEX(Merge_1_2!$B$2:$B$611,$C458),DATE(VALUE(RIGHT(INDEX(Dataset3_Raw!$B$2:$B$391,$E458),4)),VALUE(MID(INDEX(Dataset3_Raw!$B$2:$B$391,$E458),4,2)),VALUE(LEFT(INDEX(Dataset3_Raw!$B$2:$B$391,$E458),2))))</f>
        <v>40564</v>
      </c>
      <c r="G458" s="23">
        <f>IF($C458&gt;0,INDEX(Merge_1_2!$C$2:$C$611,$C458),INDEX(Dataset3_Raw!$C$2:$C$391,$E458))</f>
        <v>1</v>
      </c>
      <c r="H458" s="23">
        <f>IF($C458&gt;0,INDEX(Merge_1_2!$D$2:$D$611,$C458),INDEX(Dataset3_Raw!$D$2:$D$391,$E458))</f>
        <v>0</v>
      </c>
      <c r="I458" s="23">
        <f>IF($C458&gt;0,INDEX(Merge_1_2!$E$2:$E$611,$C458),INDEX(Dataset3_Raw!$E$2:$E$391,$E458))</f>
        <v>1</v>
      </c>
      <c r="J458" s="23">
        <f>IF($C458&gt;0,INDEX(Merge_1_2!$F$2:$F$611,$C458),INDEX(Dataset3_Raw!$F$2:$F$391,$E458))</f>
        <v>1</v>
      </c>
      <c r="K458" s="23" t="b">
        <f>IF($C458&gt;0,INDEX(Merge_1_2!$G$2:$G$611,$C458),INDEX(Dataset3_Raw!$G$2:$G$391,$E458))</f>
        <v>0</v>
      </c>
      <c r="L458" s="23">
        <f>IF($C458&gt;0,INDEX(Merge_1_2!$H$2:$H$611,$C458),INDEX(Dataset3_Raw!$H$2:$H$391,$E458))</f>
        <v>5</v>
      </c>
      <c r="M458" s="23">
        <f>IF($C458&gt;0,INDEX(Merge_1_2!$I$2:$I$611,$C458),INDEX(Dataset3_Raw!$I$2:$I$391,$E458))</f>
        <v>2</v>
      </c>
      <c r="N458" s="25">
        <f>IF($C458&gt;0,INDEX(Merge_1_2!$J$2:$J$611,$C458),INDEX(Dataset3_Raw!$J$2:$J$391,$E458))</f>
        <v>0.24</v>
      </c>
      <c r="O458" s="25">
        <f>IF($C458&gt;0,IF(ISNUMBER(INDEX(Merge_1_2!$K$2:$K$611,$C458)),INDEX(Merge_1_2!$K$2:$K$611,$C458),""),INDEX(Dataset3_Raw!$K$2:$K$391,$E458))</f>
        <v>0.2273</v>
      </c>
      <c r="P458" s="25">
        <f>IF(ISNUMBER($O458),$O458,ROUND(Lookups!$B$25+Lookups!$B$24*$N458,4))</f>
        <v>0.2273</v>
      </c>
      <c r="Q458" s="25">
        <f>IF($C458&gt;0,INDEX(Merge_1_2!$L$2:$L$611,$C458),INDEX(Dataset3_Raw!$L$2:$L$391,$E458))</f>
        <v>0.7</v>
      </c>
      <c r="R458" s="25">
        <f>IF($C458&gt;0,INDEX(Merge_1_2!$M$2:$M$611,$C458),INDEX(Dataset3_Raw!$M$2:$M$391,$E458))</f>
        <v>0.25369999999999998</v>
      </c>
      <c r="S458" s="23">
        <f>IF($C458&gt;0,INDEX(Merge_1_2!$N$2:$N$611,$C458),INDEX(Dataset3_Raw!$N$2:$N$391,$E458))</f>
        <v>0</v>
      </c>
      <c r="T458" s="23">
        <f>IF($C458&gt;0,INDEX(Merge_1_2!$O$2:$O$611,$C458),INDEX(Dataset3_Raw!$O$2:$O$391,$E458))</f>
        <v>6</v>
      </c>
      <c r="U458" s="23">
        <f>IF($C458&gt;0,INDEX(Merge_1_2!$P$2:$P$611,$C458),INDEX(Dataset3_Raw!$P$2:$P$391,$E458))</f>
        <v>6</v>
      </c>
      <c r="V458" s="23" t="str">
        <f t="shared" si="43"/>
        <v>Weekday</v>
      </c>
      <c r="W458" s="23" t="str">
        <f>VLOOKUP($M458,Lookups!$A$5:$B$8,2,FALSE())</f>
        <v>Mist / Cloudy</v>
      </c>
      <c r="X458" s="23" t="str">
        <f>VLOOKUP($G458,Lookups!$D$5:$E$8,2,FALSE())</f>
        <v>Winter</v>
      </c>
      <c r="Y458" s="23" t="str">
        <f>VLOOKUP($L458,Lookups!$G$5:$H$11,2,FALSE())</f>
        <v>Friday</v>
      </c>
      <c r="Z458" s="23" t="str">
        <f>IF($J458&lt;Lookups!$B$26,"Night",IF($J458&lt;Lookups!$B$27,"Morning",IF($J458&lt;Lookups!$B$28,"Afternoon","Evening")))</f>
        <v>Night</v>
      </c>
      <c r="AA458" s="26">
        <f>ROUND($N458*(Lookups!$B$16-Lookups!$B$15)+Lookups!$B$15,1)</f>
        <v>3.3</v>
      </c>
      <c r="AB458" s="26">
        <f>ROUND($P458*(Lookups!$B$18-Lookups!$B$17)+Lookups!$B$17,1)</f>
        <v>-1</v>
      </c>
      <c r="AC458" s="23">
        <f t="shared" si="44"/>
        <v>70</v>
      </c>
      <c r="AD458" s="23">
        <f>ROUND($R458*Lookups!$B$19,1)</f>
        <v>17</v>
      </c>
      <c r="AE458" s="27">
        <f t="shared" si="45"/>
        <v>1</v>
      </c>
      <c r="AF458" s="23" t="str">
        <f>IF($U458&gt;=Lookups!$B$23,"High",IF($U458&gt;=Lookups!$B$22,"Medium","Low"))</f>
        <v>Low</v>
      </c>
      <c r="AG458" s="23">
        <f>ROUND(IF($V458="Weekday",IF(INDEX(Hourly_Analysis!$D$5:$D$28,$J458+1)&gt;0,($U458-INDEX(Hourly_Analysis!$C$5:$C$28,$J458+1))/INDEX(Hourly_Analysis!$D$5:$D$28,$J458+1),0),IF(INDEX(Hourly_Analysis!$G$5:$G$28,$J458+1)&gt;0,($U458-INDEX(Hourly_Analysis!$F$5:$F$28,$J458+1))/INDEX(Hourly_Analysis!$G$5:$G$28,$J458+1),0)),2)</f>
        <v>0.64</v>
      </c>
      <c r="AH458" s="23" t="str">
        <f>IF(ABS($AG458)&gt;Lookups!$B$20,IF($AG458&gt;0,"High anomaly","Low anomaly"),"")</f>
        <v/>
      </c>
      <c r="AI458" s="23" t="str">
        <f t="shared" si="46"/>
        <v>OK</v>
      </c>
      <c r="AJ458" s="23" t="str">
        <f t="shared" si="47"/>
        <v>No</v>
      </c>
    </row>
    <row r="459" spans="1:36" x14ac:dyDescent="0.35">
      <c r="A459" s="23">
        <v>458</v>
      </c>
      <c r="B459" s="23" t="str">
        <f t="shared" si="42"/>
        <v>Merge 1+2</v>
      </c>
      <c r="C459" s="23">
        <f>IFERROR(MATCH($A459,Merge_1_2!$A$2:$A$611,0),0)</f>
        <v>458</v>
      </c>
      <c r="D459" s="23">
        <f>IF($C459&gt;0,INDEX(Merge_1_2!$Q$2:$Q$611,$C459),0)</f>
        <v>458</v>
      </c>
      <c r="E459" s="23">
        <f>IFERROR(MATCH($A459,Dataset3_Raw!$A$2:$A$391,0),0)</f>
        <v>0</v>
      </c>
      <c r="F459" s="24">
        <f>IF($C459&gt;0,INDEX(Merge_1_2!$B$2:$B$611,$C459),DATE(VALUE(RIGHT(INDEX(Dataset3_Raw!$B$2:$B$391,$E459),4)),VALUE(MID(INDEX(Dataset3_Raw!$B$2:$B$391,$E459),4,2)),VALUE(LEFT(INDEX(Dataset3_Raw!$B$2:$B$391,$E459),2))))</f>
        <v>40564</v>
      </c>
      <c r="G459" s="23">
        <f>IF($C459&gt;0,INDEX(Merge_1_2!$C$2:$C$611,$C459),INDEX(Dataset3_Raw!$C$2:$C$391,$E459))</f>
        <v>1</v>
      </c>
      <c r="H459" s="23">
        <f>IF($C459&gt;0,INDEX(Merge_1_2!$D$2:$D$611,$C459),INDEX(Dataset3_Raw!$D$2:$D$391,$E459))</f>
        <v>0</v>
      </c>
      <c r="I459" s="23">
        <f>IF($C459&gt;0,INDEX(Merge_1_2!$E$2:$E$611,$C459),INDEX(Dataset3_Raw!$E$2:$E$391,$E459))</f>
        <v>1</v>
      </c>
      <c r="J459" s="23">
        <f>IF($C459&gt;0,INDEX(Merge_1_2!$F$2:$F$611,$C459),INDEX(Dataset3_Raw!$F$2:$F$391,$E459))</f>
        <v>2</v>
      </c>
      <c r="K459" s="23" t="b">
        <f>IF($C459&gt;0,INDEX(Merge_1_2!$G$2:$G$611,$C459),INDEX(Dataset3_Raw!$G$2:$G$391,$E459))</f>
        <v>0</v>
      </c>
      <c r="L459" s="23">
        <f>IF($C459&gt;0,INDEX(Merge_1_2!$H$2:$H$611,$C459),INDEX(Dataset3_Raw!$H$2:$H$391,$E459))</f>
        <v>5</v>
      </c>
      <c r="M459" s="23">
        <f>IF($C459&gt;0,INDEX(Merge_1_2!$I$2:$I$611,$C459),INDEX(Dataset3_Raw!$I$2:$I$391,$E459))</f>
        <v>3</v>
      </c>
      <c r="N459" s="25">
        <f>IF($C459&gt;0,INDEX(Merge_1_2!$J$2:$J$611,$C459),INDEX(Dataset3_Raw!$J$2:$J$391,$E459))</f>
        <v>0.24</v>
      </c>
      <c r="O459" s="25">
        <f>IF($C459&gt;0,IF(ISNUMBER(INDEX(Merge_1_2!$K$2:$K$611,$C459)),INDEX(Merge_1_2!$K$2:$K$611,$C459),""),INDEX(Dataset3_Raw!$K$2:$K$391,$E459))</f>
        <v>0.2424</v>
      </c>
      <c r="P459" s="25">
        <f>IF(ISNUMBER($O459),$O459,ROUND(Lookups!$B$25+Lookups!$B$24*$N459,4))</f>
        <v>0.2424</v>
      </c>
      <c r="Q459" s="25">
        <f>IF($C459&gt;0,INDEX(Merge_1_2!$L$2:$L$611,$C459),INDEX(Dataset3_Raw!$L$2:$L$391,$E459))</f>
        <v>0.75</v>
      </c>
      <c r="R459" s="25">
        <f>IF($C459&gt;0,INDEX(Merge_1_2!$M$2:$M$611,$C459),INDEX(Dataset3_Raw!$M$2:$M$391,$E459))</f>
        <v>0.16420000000000001</v>
      </c>
      <c r="S459" s="23">
        <f>IF($C459&gt;0,INDEX(Merge_1_2!$N$2:$N$611,$C459),INDEX(Dataset3_Raw!$N$2:$N$391,$E459))</f>
        <v>0</v>
      </c>
      <c r="T459" s="23">
        <f>IF($C459&gt;0,INDEX(Merge_1_2!$O$2:$O$611,$C459),INDEX(Dataset3_Raw!$O$2:$O$391,$E459))</f>
        <v>2</v>
      </c>
      <c r="U459" s="23">
        <f>IF($C459&gt;0,INDEX(Merge_1_2!$P$2:$P$611,$C459),INDEX(Dataset3_Raw!$P$2:$P$391,$E459))</f>
        <v>2</v>
      </c>
      <c r="V459" s="23" t="str">
        <f t="shared" si="43"/>
        <v>Weekday</v>
      </c>
      <c r="W459" s="23" t="str">
        <f>VLOOKUP($M459,Lookups!$A$5:$B$8,2,FALSE())</f>
        <v>Light snow / Light rain</v>
      </c>
      <c r="X459" s="23" t="str">
        <f>VLOOKUP($G459,Lookups!$D$5:$E$8,2,FALSE())</f>
        <v>Winter</v>
      </c>
      <c r="Y459" s="23" t="str">
        <f>VLOOKUP($L459,Lookups!$G$5:$H$11,2,FALSE())</f>
        <v>Friday</v>
      </c>
      <c r="Z459" s="23" t="str">
        <f>IF($J459&lt;Lookups!$B$26,"Night",IF($J459&lt;Lookups!$B$27,"Morning",IF($J459&lt;Lookups!$B$28,"Afternoon","Evening")))</f>
        <v>Night</v>
      </c>
      <c r="AA459" s="26">
        <f>ROUND($N459*(Lookups!$B$16-Lookups!$B$15)+Lookups!$B$15,1)</f>
        <v>3.3</v>
      </c>
      <c r="AB459" s="26">
        <f>ROUND($P459*(Lookups!$B$18-Lookups!$B$17)+Lookups!$B$17,1)</f>
        <v>0</v>
      </c>
      <c r="AC459" s="23">
        <f t="shared" si="44"/>
        <v>75</v>
      </c>
      <c r="AD459" s="23">
        <f>ROUND($R459*Lookups!$B$19,1)</f>
        <v>11</v>
      </c>
      <c r="AE459" s="27">
        <f t="shared" si="45"/>
        <v>1</v>
      </c>
      <c r="AF459" s="23" t="str">
        <f>IF($U459&gt;=Lookups!$B$23,"High",IF($U459&gt;=Lookups!$B$22,"Medium","Low"))</f>
        <v>Low</v>
      </c>
      <c r="AG459" s="23">
        <f>ROUND(IF($V459="Weekday",IF(INDEX(Hourly_Analysis!$D$5:$D$28,$J459+1)&gt;0,($U459-INDEX(Hourly_Analysis!$C$5:$C$28,$J459+1))/INDEX(Hourly_Analysis!$D$5:$D$28,$J459+1),0),IF(INDEX(Hourly_Analysis!$G$5:$G$28,$J459+1)&gt;0,($U459-INDEX(Hourly_Analysis!$F$5:$F$28,$J459+1))/INDEX(Hourly_Analysis!$G$5:$G$28,$J459+1),0)),2)</f>
        <v>-0.24</v>
      </c>
      <c r="AH459" s="23" t="str">
        <f>IF(ABS($AG459)&gt;Lookups!$B$20,IF($AG459&gt;0,"High anomaly","Low anomaly"),"")</f>
        <v/>
      </c>
      <c r="AI459" s="23" t="str">
        <f t="shared" si="46"/>
        <v>OK</v>
      </c>
      <c r="AJ459" s="23" t="str">
        <f t="shared" si="47"/>
        <v>No</v>
      </c>
    </row>
    <row r="460" spans="1:36" x14ac:dyDescent="0.35">
      <c r="A460" s="23">
        <v>459</v>
      </c>
      <c r="B460" s="23" t="str">
        <f t="shared" si="42"/>
        <v>Merge 1+2</v>
      </c>
      <c r="C460" s="23">
        <f>IFERROR(MATCH($A460,Merge_1_2!$A$2:$A$611,0),0)</f>
        <v>459</v>
      </c>
      <c r="D460" s="23">
        <f>IF($C460&gt;0,INDEX(Merge_1_2!$Q$2:$Q$611,$C460),0)</f>
        <v>459</v>
      </c>
      <c r="E460" s="23">
        <f>IFERROR(MATCH($A460,Dataset3_Raw!$A$2:$A$391,0),0)</f>
        <v>0</v>
      </c>
      <c r="F460" s="24">
        <f>IF($C460&gt;0,INDEX(Merge_1_2!$B$2:$B$611,$C460),DATE(VALUE(RIGHT(INDEX(Dataset3_Raw!$B$2:$B$391,$E460),4)),VALUE(MID(INDEX(Dataset3_Raw!$B$2:$B$391,$E460),4,2)),VALUE(LEFT(INDEX(Dataset3_Raw!$B$2:$B$391,$E460),2))))</f>
        <v>40564</v>
      </c>
      <c r="G460" s="23">
        <f>IF($C460&gt;0,INDEX(Merge_1_2!$C$2:$C$611,$C460),INDEX(Dataset3_Raw!$C$2:$C$391,$E460))</f>
        <v>1</v>
      </c>
      <c r="H460" s="23">
        <f>IF($C460&gt;0,INDEX(Merge_1_2!$D$2:$D$611,$C460),INDEX(Dataset3_Raw!$D$2:$D$391,$E460))</f>
        <v>0</v>
      </c>
      <c r="I460" s="23">
        <f>IF($C460&gt;0,INDEX(Merge_1_2!$E$2:$E$611,$C460),INDEX(Dataset3_Raw!$E$2:$E$391,$E460))</f>
        <v>1</v>
      </c>
      <c r="J460" s="23">
        <f>IF($C460&gt;0,INDEX(Merge_1_2!$F$2:$F$611,$C460),INDEX(Dataset3_Raw!$F$2:$F$391,$E460))</f>
        <v>3</v>
      </c>
      <c r="K460" s="23" t="b">
        <f>IF($C460&gt;0,INDEX(Merge_1_2!$G$2:$G$611,$C460),INDEX(Dataset3_Raw!$G$2:$G$391,$E460))</f>
        <v>0</v>
      </c>
      <c r="L460" s="23">
        <f>IF($C460&gt;0,INDEX(Merge_1_2!$H$2:$H$611,$C460),INDEX(Dataset3_Raw!$H$2:$H$391,$E460))</f>
        <v>5</v>
      </c>
      <c r="M460" s="23">
        <f>IF($C460&gt;0,INDEX(Merge_1_2!$I$2:$I$611,$C460),INDEX(Dataset3_Raw!$I$2:$I$391,$E460))</f>
        <v>3</v>
      </c>
      <c r="N460" s="25">
        <f>IF($C460&gt;0,INDEX(Merge_1_2!$J$2:$J$611,$C460),INDEX(Dataset3_Raw!$J$2:$J$391,$E460))</f>
        <v>0.22</v>
      </c>
      <c r="O460" s="25">
        <f>IF($C460&gt;0,IF(ISNUMBER(INDEX(Merge_1_2!$K$2:$K$611,$C460)),INDEX(Merge_1_2!$K$2:$K$611,$C460),""),INDEX(Dataset3_Raw!$K$2:$K$391,$E460))</f>
        <v>0.21210000000000001</v>
      </c>
      <c r="P460" s="25">
        <f>IF(ISNUMBER($O460),$O460,ROUND(Lookups!$B$25+Lookups!$B$24*$N460,4))</f>
        <v>0.21210000000000001</v>
      </c>
      <c r="Q460" s="25">
        <f>IF($C460&gt;0,INDEX(Merge_1_2!$L$2:$L$611,$C460),INDEX(Dataset3_Raw!$L$2:$L$391,$E460))</f>
        <v>0.8</v>
      </c>
      <c r="R460" s="25">
        <f>IF($C460&gt;0,INDEX(Merge_1_2!$M$2:$M$611,$C460),INDEX(Dataset3_Raw!$M$2:$M$391,$E460))</f>
        <v>0.29849999999999999</v>
      </c>
      <c r="S460" s="23">
        <f>IF($C460&gt;0,INDEX(Merge_1_2!$N$2:$N$611,$C460),INDEX(Dataset3_Raw!$N$2:$N$391,$E460))</f>
        <v>0</v>
      </c>
      <c r="T460" s="23">
        <f>IF($C460&gt;0,INDEX(Merge_1_2!$O$2:$O$611,$C460),INDEX(Dataset3_Raw!$O$2:$O$391,$E460))</f>
        <v>1</v>
      </c>
      <c r="U460" s="23">
        <f>IF($C460&gt;0,INDEX(Merge_1_2!$P$2:$P$611,$C460),INDEX(Dataset3_Raw!$P$2:$P$391,$E460))</f>
        <v>1</v>
      </c>
      <c r="V460" s="23" t="str">
        <f t="shared" si="43"/>
        <v>Weekday</v>
      </c>
      <c r="W460" s="23" t="str">
        <f>VLOOKUP($M460,Lookups!$A$5:$B$8,2,FALSE())</f>
        <v>Light snow / Light rain</v>
      </c>
      <c r="X460" s="23" t="str">
        <f>VLOOKUP($G460,Lookups!$D$5:$E$8,2,FALSE())</f>
        <v>Winter</v>
      </c>
      <c r="Y460" s="23" t="str">
        <f>VLOOKUP($L460,Lookups!$G$5:$H$11,2,FALSE())</f>
        <v>Friday</v>
      </c>
      <c r="Z460" s="23" t="str">
        <f>IF($J460&lt;Lookups!$B$26,"Night",IF($J460&lt;Lookups!$B$27,"Morning",IF($J460&lt;Lookups!$B$28,"Afternoon","Evening")))</f>
        <v>Night</v>
      </c>
      <c r="AA460" s="26">
        <f>ROUND($N460*(Lookups!$B$16-Lookups!$B$15)+Lookups!$B$15,1)</f>
        <v>2.2999999999999998</v>
      </c>
      <c r="AB460" s="26">
        <f>ROUND($P460*(Lookups!$B$18-Lookups!$B$17)+Lookups!$B$17,1)</f>
        <v>-2</v>
      </c>
      <c r="AC460" s="23">
        <f t="shared" si="44"/>
        <v>80</v>
      </c>
      <c r="AD460" s="23">
        <f>ROUND($R460*Lookups!$B$19,1)</f>
        <v>20</v>
      </c>
      <c r="AE460" s="27">
        <f t="shared" si="45"/>
        <v>1</v>
      </c>
      <c r="AF460" s="23" t="str">
        <f>IF($U460&gt;=Lookups!$B$23,"High",IF($U460&gt;=Lookups!$B$22,"Medium","Low"))</f>
        <v>Low</v>
      </c>
      <c r="AG460" s="23">
        <f>ROUND(IF($V460="Weekday",IF(INDEX(Hourly_Analysis!$D$5:$D$28,$J460+1)&gt;0,($U460-INDEX(Hourly_Analysis!$C$5:$C$28,$J460+1))/INDEX(Hourly_Analysis!$D$5:$D$28,$J460+1),0),IF(INDEX(Hourly_Analysis!$G$5:$G$28,$J460+1)&gt;0,($U460-INDEX(Hourly_Analysis!$F$5:$F$28,$J460+1))/INDEX(Hourly_Analysis!$G$5:$G$28,$J460+1),0)),2)</f>
        <v>-0.61</v>
      </c>
      <c r="AH460" s="23" t="str">
        <f>IF(ABS($AG460)&gt;Lookups!$B$20,IF($AG460&gt;0,"High anomaly","Low anomaly"),"")</f>
        <v/>
      </c>
      <c r="AI460" s="23" t="str">
        <f t="shared" si="46"/>
        <v>OK</v>
      </c>
      <c r="AJ460" s="23" t="str">
        <f t="shared" si="47"/>
        <v>No</v>
      </c>
    </row>
    <row r="461" spans="1:36" x14ac:dyDescent="0.35">
      <c r="A461" s="23">
        <v>460</v>
      </c>
      <c r="B461" s="23" t="str">
        <f t="shared" si="42"/>
        <v>Merge 1+2</v>
      </c>
      <c r="C461" s="23">
        <f>IFERROR(MATCH($A461,Merge_1_2!$A$2:$A$611,0),0)</f>
        <v>460</v>
      </c>
      <c r="D461" s="23">
        <f>IF($C461&gt;0,INDEX(Merge_1_2!$Q$2:$Q$611,$C461),0)</f>
        <v>460</v>
      </c>
      <c r="E461" s="23">
        <f>IFERROR(MATCH($A461,Dataset3_Raw!$A$2:$A$391,0),0)</f>
        <v>0</v>
      </c>
      <c r="F461" s="24">
        <f>IF($C461&gt;0,INDEX(Merge_1_2!$B$2:$B$611,$C461),DATE(VALUE(RIGHT(INDEX(Dataset3_Raw!$B$2:$B$391,$E461),4)),VALUE(MID(INDEX(Dataset3_Raw!$B$2:$B$391,$E461),4,2)),VALUE(LEFT(INDEX(Dataset3_Raw!$B$2:$B$391,$E461),2))))</f>
        <v>40564</v>
      </c>
      <c r="G461" s="23">
        <f>IF($C461&gt;0,INDEX(Merge_1_2!$C$2:$C$611,$C461),INDEX(Dataset3_Raw!$C$2:$C$391,$E461))</f>
        <v>1</v>
      </c>
      <c r="H461" s="23">
        <f>IF($C461&gt;0,INDEX(Merge_1_2!$D$2:$D$611,$C461),INDEX(Dataset3_Raw!$D$2:$D$391,$E461))</f>
        <v>0</v>
      </c>
      <c r="I461" s="23">
        <f>IF($C461&gt;0,INDEX(Merge_1_2!$E$2:$E$611,$C461),INDEX(Dataset3_Raw!$E$2:$E$391,$E461))</f>
        <v>1</v>
      </c>
      <c r="J461" s="23">
        <f>IF($C461&gt;0,INDEX(Merge_1_2!$F$2:$F$611,$C461),INDEX(Dataset3_Raw!$F$2:$F$391,$E461))</f>
        <v>4</v>
      </c>
      <c r="K461" s="23" t="b">
        <f>IF($C461&gt;0,INDEX(Merge_1_2!$G$2:$G$611,$C461),INDEX(Dataset3_Raw!$G$2:$G$391,$E461))</f>
        <v>0</v>
      </c>
      <c r="L461" s="23">
        <f>IF($C461&gt;0,INDEX(Merge_1_2!$H$2:$H$611,$C461),INDEX(Dataset3_Raw!$H$2:$H$391,$E461))</f>
        <v>5</v>
      </c>
      <c r="M461" s="23">
        <f>IF($C461&gt;0,INDEX(Merge_1_2!$I$2:$I$611,$C461),INDEX(Dataset3_Raw!$I$2:$I$391,$E461))</f>
        <v>2</v>
      </c>
      <c r="N461" s="25">
        <f>IF($C461&gt;0,INDEX(Merge_1_2!$J$2:$J$611,$C461),INDEX(Dataset3_Raw!$J$2:$J$391,$E461))</f>
        <v>0.22</v>
      </c>
      <c r="O461" s="25">
        <f>IF($C461&gt;0,IF(ISNUMBER(INDEX(Merge_1_2!$K$2:$K$611,$C461)),INDEX(Merge_1_2!$K$2:$K$611,$C461),""),INDEX(Dataset3_Raw!$K$2:$K$391,$E461))</f>
        <v>0.2576</v>
      </c>
      <c r="P461" s="25">
        <f>IF(ISNUMBER($O461),$O461,ROUND(Lookups!$B$25+Lookups!$B$24*$N461,4))</f>
        <v>0.2576</v>
      </c>
      <c r="Q461" s="25">
        <f>IF($C461&gt;0,INDEX(Merge_1_2!$L$2:$L$611,$C461),INDEX(Dataset3_Raw!$L$2:$L$391,$E461))</f>
        <v>0.87</v>
      </c>
      <c r="R461" s="25">
        <f>IF($C461&gt;0,INDEX(Merge_1_2!$M$2:$M$611,$C461),INDEX(Dataset3_Raw!$M$2:$M$391,$E461))</f>
        <v>8.9599999999999999E-2</v>
      </c>
      <c r="S461" s="23">
        <f>IF($C461&gt;0,INDEX(Merge_1_2!$N$2:$N$611,$C461),INDEX(Dataset3_Raw!$N$2:$N$391,$E461))</f>
        <v>0</v>
      </c>
      <c r="T461" s="23">
        <f>IF($C461&gt;0,INDEX(Merge_1_2!$O$2:$O$611,$C461),INDEX(Dataset3_Raw!$O$2:$O$391,$E461))</f>
        <v>1</v>
      </c>
      <c r="U461" s="23">
        <f>IF($C461&gt;0,INDEX(Merge_1_2!$P$2:$P$611,$C461),INDEX(Dataset3_Raw!$P$2:$P$391,$E461))</f>
        <v>1</v>
      </c>
      <c r="V461" s="23" t="str">
        <f t="shared" si="43"/>
        <v>Weekday</v>
      </c>
      <c r="W461" s="23" t="str">
        <f>VLOOKUP($M461,Lookups!$A$5:$B$8,2,FALSE())</f>
        <v>Mist / Cloudy</v>
      </c>
      <c r="X461" s="23" t="str">
        <f>VLOOKUP($G461,Lookups!$D$5:$E$8,2,FALSE())</f>
        <v>Winter</v>
      </c>
      <c r="Y461" s="23" t="str">
        <f>VLOOKUP($L461,Lookups!$G$5:$H$11,2,FALSE())</f>
        <v>Friday</v>
      </c>
      <c r="Z461" s="23" t="str">
        <f>IF($J461&lt;Lookups!$B$26,"Night",IF($J461&lt;Lookups!$B$27,"Morning",IF($J461&lt;Lookups!$B$28,"Afternoon","Evening")))</f>
        <v>Night</v>
      </c>
      <c r="AA461" s="26">
        <f>ROUND($N461*(Lookups!$B$16-Lookups!$B$15)+Lookups!$B$15,1)</f>
        <v>2.2999999999999998</v>
      </c>
      <c r="AB461" s="26">
        <f>ROUND($P461*(Lookups!$B$18-Lookups!$B$17)+Lookups!$B$17,1)</f>
        <v>1</v>
      </c>
      <c r="AC461" s="23">
        <f t="shared" si="44"/>
        <v>87</v>
      </c>
      <c r="AD461" s="23">
        <f>ROUND($R461*Lookups!$B$19,1)</f>
        <v>6</v>
      </c>
      <c r="AE461" s="27">
        <f t="shared" si="45"/>
        <v>1</v>
      </c>
      <c r="AF461" s="23" t="str">
        <f>IF($U461&gt;=Lookups!$B$23,"High",IF($U461&gt;=Lookups!$B$22,"Medium","Low"))</f>
        <v>Low</v>
      </c>
      <c r="AG461" s="23">
        <f>ROUND(IF($V461="Weekday",IF(INDEX(Hourly_Analysis!$D$5:$D$28,$J461+1)&gt;0,($U461-INDEX(Hourly_Analysis!$C$5:$C$28,$J461+1))/INDEX(Hourly_Analysis!$D$5:$D$28,$J461+1),0),IF(INDEX(Hourly_Analysis!$G$5:$G$28,$J461+1)&gt;0,($U461-INDEX(Hourly_Analysis!$F$5:$F$28,$J461+1))/INDEX(Hourly_Analysis!$G$5:$G$28,$J461+1),0)),2)</f>
        <v>-0.81</v>
      </c>
      <c r="AH461" s="23" t="str">
        <f>IF(ABS($AG461)&gt;Lookups!$B$20,IF($AG461&gt;0,"High anomaly","Low anomaly"),"")</f>
        <v/>
      </c>
      <c r="AI461" s="23" t="str">
        <f t="shared" si="46"/>
        <v>OK</v>
      </c>
      <c r="AJ461" s="23" t="str">
        <f t="shared" si="47"/>
        <v>No</v>
      </c>
    </row>
    <row r="462" spans="1:36" x14ac:dyDescent="0.35">
      <c r="A462" s="23">
        <v>461</v>
      </c>
      <c r="B462" s="23" t="str">
        <f t="shared" si="42"/>
        <v>Merge 1+2</v>
      </c>
      <c r="C462" s="23">
        <f>IFERROR(MATCH($A462,Merge_1_2!$A$2:$A$611,0),0)</f>
        <v>461</v>
      </c>
      <c r="D462" s="23">
        <f>IF($C462&gt;0,INDEX(Merge_1_2!$Q$2:$Q$611,$C462),0)</f>
        <v>461</v>
      </c>
      <c r="E462" s="23">
        <f>IFERROR(MATCH($A462,Dataset3_Raw!$A$2:$A$391,0),0)</f>
        <v>0</v>
      </c>
      <c r="F462" s="24">
        <f>IF($C462&gt;0,INDEX(Merge_1_2!$B$2:$B$611,$C462),DATE(VALUE(RIGHT(INDEX(Dataset3_Raw!$B$2:$B$391,$E462),4)),VALUE(MID(INDEX(Dataset3_Raw!$B$2:$B$391,$E462),4,2)),VALUE(LEFT(INDEX(Dataset3_Raw!$B$2:$B$391,$E462),2))))</f>
        <v>40564</v>
      </c>
      <c r="G462" s="23">
        <f>IF($C462&gt;0,INDEX(Merge_1_2!$C$2:$C$611,$C462),INDEX(Dataset3_Raw!$C$2:$C$391,$E462))</f>
        <v>1</v>
      </c>
      <c r="H462" s="23">
        <f>IF($C462&gt;0,INDEX(Merge_1_2!$D$2:$D$611,$C462),INDEX(Dataset3_Raw!$D$2:$D$391,$E462))</f>
        <v>0</v>
      </c>
      <c r="I462" s="23">
        <f>IF($C462&gt;0,INDEX(Merge_1_2!$E$2:$E$611,$C462),INDEX(Dataset3_Raw!$E$2:$E$391,$E462))</f>
        <v>1</v>
      </c>
      <c r="J462" s="23">
        <f>IF($C462&gt;0,INDEX(Merge_1_2!$F$2:$F$611,$C462),INDEX(Dataset3_Raw!$F$2:$F$391,$E462))</f>
        <v>5</v>
      </c>
      <c r="K462" s="23" t="b">
        <f>IF($C462&gt;0,INDEX(Merge_1_2!$G$2:$G$611,$C462),INDEX(Dataset3_Raw!$G$2:$G$391,$E462))</f>
        <v>0</v>
      </c>
      <c r="L462" s="23">
        <f>IF($C462&gt;0,INDEX(Merge_1_2!$H$2:$H$611,$C462),INDEX(Dataset3_Raw!$H$2:$H$391,$E462))</f>
        <v>5</v>
      </c>
      <c r="M462" s="23">
        <f>IF($C462&gt;0,INDEX(Merge_1_2!$I$2:$I$611,$C462),INDEX(Dataset3_Raw!$I$2:$I$391,$E462))</f>
        <v>1</v>
      </c>
      <c r="N462" s="25">
        <f>IF($C462&gt;0,INDEX(Merge_1_2!$J$2:$J$611,$C462),INDEX(Dataset3_Raw!$J$2:$J$391,$E462))</f>
        <v>0.24</v>
      </c>
      <c r="O462" s="25">
        <f>IF($C462&gt;0,IF(ISNUMBER(INDEX(Merge_1_2!$K$2:$K$611,$C462)),INDEX(Merge_1_2!$K$2:$K$611,$C462),""),INDEX(Dataset3_Raw!$K$2:$K$391,$E462))</f>
        <v>0.19700000000000001</v>
      </c>
      <c r="P462" s="25">
        <f>IF(ISNUMBER($O462),$O462,ROUND(Lookups!$B$25+Lookups!$B$24*$N462,4))</f>
        <v>0.19700000000000001</v>
      </c>
      <c r="Q462" s="25">
        <f>IF($C462&gt;0,INDEX(Merge_1_2!$L$2:$L$611,$C462),INDEX(Dataset3_Raw!$L$2:$L$391,$E462))</f>
        <v>0.6</v>
      </c>
      <c r="R462" s="25">
        <f>IF($C462&gt;0,INDEX(Merge_1_2!$M$2:$M$611,$C462),INDEX(Dataset3_Raw!$M$2:$M$391,$E462))</f>
        <v>0.41789999999999999</v>
      </c>
      <c r="S462" s="23">
        <f>IF($C462&gt;0,INDEX(Merge_1_2!$N$2:$N$611,$C462),INDEX(Dataset3_Raw!$N$2:$N$391,$E462))</f>
        <v>1</v>
      </c>
      <c r="T462" s="23">
        <f>IF($C462&gt;0,INDEX(Merge_1_2!$O$2:$O$611,$C462),INDEX(Dataset3_Raw!$O$2:$O$391,$E462))</f>
        <v>4</v>
      </c>
      <c r="U462" s="23">
        <f>IF($C462&gt;0,INDEX(Merge_1_2!$P$2:$P$611,$C462),INDEX(Dataset3_Raw!$P$2:$P$391,$E462))</f>
        <v>5</v>
      </c>
      <c r="V462" s="23" t="str">
        <f t="shared" si="43"/>
        <v>Weekday</v>
      </c>
      <c r="W462" s="23" t="str">
        <f>VLOOKUP($M462,Lookups!$A$5:$B$8,2,FALSE())</f>
        <v>Clear / Partly cloudy</v>
      </c>
      <c r="X462" s="23" t="str">
        <f>VLOOKUP($G462,Lookups!$D$5:$E$8,2,FALSE())</f>
        <v>Winter</v>
      </c>
      <c r="Y462" s="23" t="str">
        <f>VLOOKUP($L462,Lookups!$G$5:$H$11,2,FALSE())</f>
        <v>Friday</v>
      </c>
      <c r="Z462" s="23" t="str">
        <f>IF($J462&lt;Lookups!$B$26,"Night",IF($J462&lt;Lookups!$B$27,"Morning",IF($J462&lt;Lookups!$B$28,"Afternoon","Evening")))</f>
        <v>Night</v>
      </c>
      <c r="AA462" s="26">
        <f>ROUND($N462*(Lookups!$B$16-Lookups!$B$15)+Lookups!$B$15,1)</f>
        <v>3.3</v>
      </c>
      <c r="AB462" s="26">
        <f>ROUND($P462*(Lookups!$B$18-Lookups!$B$17)+Lookups!$B$17,1)</f>
        <v>-3</v>
      </c>
      <c r="AC462" s="23">
        <f t="shared" si="44"/>
        <v>60</v>
      </c>
      <c r="AD462" s="23">
        <f>ROUND($R462*Lookups!$B$19,1)</f>
        <v>28</v>
      </c>
      <c r="AE462" s="27">
        <f t="shared" si="45"/>
        <v>0.8</v>
      </c>
      <c r="AF462" s="23" t="str">
        <f>IF($U462&gt;=Lookups!$B$23,"High",IF($U462&gt;=Lookups!$B$22,"Medium","Low"))</f>
        <v>Low</v>
      </c>
      <c r="AG462" s="23">
        <f>ROUND(IF($V462="Weekday",IF(INDEX(Hourly_Analysis!$D$5:$D$28,$J462+1)&gt;0,($U462-INDEX(Hourly_Analysis!$C$5:$C$28,$J462+1))/INDEX(Hourly_Analysis!$D$5:$D$28,$J462+1),0),IF(INDEX(Hourly_Analysis!$G$5:$G$28,$J462+1)&gt;0,($U462-INDEX(Hourly_Analysis!$F$5:$F$28,$J462+1))/INDEX(Hourly_Analysis!$G$5:$G$28,$J462+1),0)),2)</f>
        <v>0.06</v>
      </c>
      <c r="AH462" s="23" t="str">
        <f>IF(ABS($AG462)&gt;Lookups!$B$20,IF($AG462&gt;0,"High anomaly","Low anomaly"),"")</f>
        <v/>
      </c>
      <c r="AI462" s="23" t="str">
        <f t="shared" si="46"/>
        <v>OK</v>
      </c>
      <c r="AJ462" s="23" t="str">
        <f t="shared" si="47"/>
        <v>No</v>
      </c>
    </row>
    <row r="463" spans="1:36" x14ac:dyDescent="0.35">
      <c r="A463" s="23">
        <v>462</v>
      </c>
      <c r="B463" s="23" t="str">
        <f t="shared" si="42"/>
        <v>Merge 1+2</v>
      </c>
      <c r="C463" s="23">
        <f>IFERROR(MATCH($A463,Merge_1_2!$A$2:$A$611,0),0)</f>
        <v>462</v>
      </c>
      <c r="D463" s="23">
        <f>IF($C463&gt;0,INDEX(Merge_1_2!$Q$2:$Q$611,$C463),0)</f>
        <v>462</v>
      </c>
      <c r="E463" s="23">
        <f>IFERROR(MATCH($A463,Dataset3_Raw!$A$2:$A$391,0),0)</f>
        <v>0</v>
      </c>
      <c r="F463" s="24">
        <f>IF($C463&gt;0,INDEX(Merge_1_2!$B$2:$B$611,$C463),DATE(VALUE(RIGHT(INDEX(Dataset3_Raw!$B$2:$B$391,$E463),4)),VALUE(MID(INDEX(Dataset3_Raw!$B$2:$B$391,$E463),4,2)),VALUE(LEFT(INDEX(Dataset3_Raw!$B$2:$B$391,$E463),2))))</f>
        <v>40564</v>
      </c>
      <c r="G463" s="23">
        <f>IF($C463&gt;0,INDEX(Merge_1_2!$C$2:$C$611,$C463),INDEX(Dataset3_Raw!$C$2:$C$391,$E463))</f>
        <v>1</v>
      </c>
      <c r="H463" s="23">
        <f>IF($C463&gt;0,INDEX(Merge_1_2!$D$2:$D$611,$C463),INDEX(Dataset3_Raw!$D$2:$D$391,$E463))</f>
        <v>0</v>
      </c>
      <c r="I463" s="23">
        <f>IF($C463&gt;0,INDEX(Merge_1_2!$E$2:$E$611,$C463),INDEX(Dataset3_Raw!$E$2:$E$391,$E463))</f>
        <v>1</v>
      </c>
      <c r="J463" s="23">
        <f>IF($C463&gt;0,INDEX(Merge_1_2!$F$2:$F$611,$C463),INDEX(Dataset3_Raw!$F$2:$F$391,$E463))</f>
        <v>6</v>
      </c>
      <c r="K463" s="23" t="b">
        <f>IF($C463&gt;0,INDEX(Merge_1_2!$G$2:$G$611,$C463),INDEX(Dataset3_Raw!$G$2:$G$391,$E463))</f>
        <v>0</v>
      </c>
      <c r="L463" s="23">
        <f>IF($C463&gt;0,INDEX(Merge_1_2!$H$2:$H$611,$C463),INDEX(Dataset3_Raw!$H$2:$H$391,$E463))</f>
        <v>5</v>
      </c>
      <c r="M463" s="23">
        <f>IF($C463&gt;0,INDEX(Merge_1_2!$I$2:$I$611,$C463),INDEX(Dataset3_Raw!$I$2:$I$391,$E463))</f>
        <v>1</v>
      </c>
      <c r="N463" s="25">
        <f>IF($C463&gt;0,INDEX(Merge_1_2!$J$2:$J$611,$C463),INDEX(Dataset3_Raw!$J$2:$J$391,$E463))</f>
        <v>0.22</v>
      </c>
      <c r="O463" s="25">
        <f>IF($C463&gt;0,IF(ISNUMBER(INDEX(Merge_1_2!$K$2:$K$611,$C463)),INDEX(Merge_1_2!$K$2:$K$611,$C463),""),INDEX(Dataset3_Raw!$K$2:$K$391,$E463))</f>
        <v>0.21210000000000001</v>
      </c>
      <c r="P463" s="25">
        <f>IF(ISNUMBER($O463),$O463,ROUND(Lookups!$B$25+Lookups!$B$24*$N463,4))</f>
        <v>0.21210000000000001</v>
      </c>
      <c r="Q463" s="25">
        <f>IF($C463&gt;0,INDEX(Merge_1_2!$L$2:$L$611,$C463),INDEX(Dataset3_Raw!$L$2:$L$391,$E463))</f>
        <v>0.55000000000000004</v>
      </c>
      <c r="R463" s="25">
        <f>IF($C463&gt;0,INDEX(Merge_1_2!$M$2:$M$611,$C463),INDEX(Dataset3_Raw!$M$2:$M$391,$E463))</f>
        <v>0.25369999999999998</v>
      </c>
      <c r="S463" s="23">
        <f>IF($C463&gt;0,INDEX(Merge_1_2!$N$2:$N$611,$C463),INDEX(Dataset3_Raw!$N$2:$N$391,$E463))</f>
        <v>0</v>
      </c>
      <c r="T463" s="23">
        <f>IF($C463&gt;0,INDEX(Merge_1_2!$O$2:$O$611,$C463),INDEX(Dataset3_Raw!$O$2:$O$391,$E463))</f>
        <v>27</v>
      </c>
      <c r="U463" s="23">
        <f>IF($C463&gt;0,INDEX(Merge_1_2!$P$2:$P$611,$C463),INDEX(Dataset3_Raw!$P$2:$P$391,$E463))</f>
        <v>27</v>
      </c>
      <c r="V463" s="23" t="str">
        <f t="shared" si="43"/>
        <v>Weekday</v>
      </c>
      <c r="W463" s="23" t="str">
        <f>VLOOKUP($M463,Lookups!$A$5:$B$8,2,FALSE())</f>
        <v>Clear / Partly cloudy</v>
      </c>
      <c r="X463" s="23" t="str">
        <f>VLOOKUP($G463,Lookups!$D$5:$E$8,2,FALSE())</f>
        <v>Winter</v>
      </c>
      <c r="Y463" s="23" t="str">
        <f>VLOOKUP($L463,Lookups!$G$5:$H$11,2,FALSE())</f>
        <v>Friday</v>
      </c>
      <c r="Z463" s="23" t="str">
        <f>IF($J463&lt;Lookups!$B$26,"Night",IF($J463&lt;Lookups!$B$27,"Morning",IF($J463&lt;Lookups!$B$28,"Afternoon","Evening")))</f>
        <v>Morning</v>
      </c>
      <c r="AA463" s="26">
        <f>ROUND($N463*(Lookups!$B$16-Lookups!$B$15)+Lookups!$B$15,1)</f>
        <v>2.2999999999999998</v>
      </c>
      <c r="AB463" s="26">
        <f>ROUND($P463*(Lookups!$B$18-Lookups!$B$17)+Lookups!$B$17,1)</f>
        <v>-2</v>
      </c>
      <c r="AC463" s="23">
        <f t="shared" si="44"/>
        <v>55</v>
      </c>
      <c r="AD463" s="23">
        <f>ROUND($R463*Lookups!$B$19,1)</f>
        <v>17</v>
      </c>
      <c r="AE463" s="27">
        <f t="shared" si="45"/>
        <v>1</v>
      </c>
      <c r="AF463" s="23" t="str">
        <f>IF($U463&gt;=Lookups!$B$23,"High",IF($U463&gt;=Lookups!$B$22,"Medium","Low"))</f>
        <v>Medium</v>
      </c>
      <c r="AG463" s="23">
        <f>ROUND(IF($V463="Weekday",IF(INDEX(Hourly_Analysis!$D$5:$D$28,$J463+1)&gt;0,($U463-INDEX(Hourly_Analysis!$C$5:$C$28,$J463+1))/INDEX(Hourly_Analysis!$D$5:$D$28,$J463+1),0),IF(INDEX(Hourly_Analysis!$G$5:$G$28,$J463+1)&gt;0,($U463-INDEX(Hourly_Analysis!$F$5:$F$28,$J463+1))/INDEX(Hourly_Analysis!$G$5:$G$28,$J463+1),0)),2)</f>
        <v>-0.14000000000000001</v>
      </c>
      <c r="AH463" s="23" t="str">
        <f>IF(ABS($AG463)&gt;Lookups!$B$20,IF($AG463&gt;0,"High anomaly","Low anomaly"),"")</f>
        <v/>
      </c>
      <c r="AI463" s="23" t="str">
        <f t="shared" si="46"/>
        <v>OK</v>
      </c>
      <c r="AJ463" s="23" t="str">
        <f t="shared" si="47"/>
        <v>No</v>
      </c>
    </row>
    <row r="464" spans="1:36" x14ac:dyDescent="0.35">
      <c r="A464" s="23">
        <v>463</v>
      </c>
      <c r="B464" s="23" t="str">
        <f t="shared" si="42"/>
        <v>Merge 1+2</v>
      </c>
      <c r="C464" s="23">
        <f>IFERROR(MATCH($A464,Merge_1_2!$A$2:$A$611,0),0)</f>
        <v>463</v>
      </c>
      <c r="D464" s="23">
        <f>IF($C464&gt;0,INDEX(Merge_1_2!$Q$2:$Q$611,$C464),0)</f>
        <v>463</v>
      </c>
      <c r="E464" s="23">
        <f>IFERROR(MATCH($A464,Dataset3_Raw!$A$2:$A$391,0),0)</f>
        <v>0</v>
      </c>
      <c r="F464" s="24">
        <f>IF($C464&gt;0,INDEX(Merge_1_2!$B$2:$B$611,$C464),DATE(VALUE(RIGHT(INDEX(Dataset3_Raw!$B$2:$B$391,$E464),4)),VALUE(MID(INDEX(Dataset3_Raw!$B$2:$B$391,$E464),4,2)),VALUE(LEFT(INDEX(Dataset3_Raw!$B$2:$B$391,$E464),2))))</f>
        <v>40564</v>
      </c>
      <c r="G464" s="23">
        <f>IF($C464&gt;0,INDEX(Merge_1_2!$C$2:$C$611,$C464),INDEX(Dataset3_Raw!$C$2:$C$391,$E464))</f>
        <v>1</v>
      </c>
      <c r="H464" s="23">
        <f>IF($C464&gt;0,INDEX(Merge_1_2!$D$2:$D$611,$C464),INDEX(Dataset3_Raw!$D$2:$D$391,$E464))</f>
        <v>0</v>
      </c>
      <c r="I464" s="23">
        <f>IF($C464&gt;0,INDEX(Merge_1_2!$E$2:$E$611,$C464),INDEX(Dataset3_Raw!$E$2:$E$391,$E464))</f>
        <v>1</v>
      </c>
      <c r="J464" s="23">
        <f>IF($C464&gt;0,INDEX(Merge_1_2!$F$2:$F$611,$C464),INDEX(Dataset3_Raw!$F$2:$F$391,$E464))</f>
        <v>7</v>
      </c>
      <c r="K464" s="23" t="b">
        <f>IF($C464&gt;0,INDEX(Merge_1_2!$G$2:$G$611,$C464),INDEX(Dataset3_Raw!$G$2:$G$391,$E464))</f>
        <v>0</v>
      </c>
      <c r="L464" s="23">
        <f>IF($C464&gt;0,INDEX(Merge_1_2!$H$2:$H$611,$C464),INDEX(Dataset3_Raw!$H$2:$H$391,$E464))</f>
        <v>5</v>
      </c>
      <c r="M464" s="23">
        <f>IF($C464&gt;0,INDEX(Merge_1_2!$I$2:$I$611,$C464),INDEX(Dataset3_Raw!$I$2:$I$391,$E464))</f>
        <v>1</v>
      </c>
      <c r="N464" s="25">
        <f>IF($C464&gt;0,INDEX(Merge_1_2!$J$2:$J$611,$C464),INDEX(Dataset3_Raw!$J$2:$J$391,$E464))</f>
        <v>0.2</v>
      </c>
      <c r="O464" s="25">
        <f>IF($C464&gt;0,IF(ISNUMBER(INDEX(Merge_1_2!$K$2:$K$611,$C464)),INDEX(Merge_1_2!$K$2:$K$611,$C464),""),INDEX(Dataset3_Raw!$K$2:$K$391,$E464))</f>
        <v>0.18179999999999999</v>
      </c>
      <c r="P464" s="25">
        <f>IF(ISNUMBER($O464),$O464,ROUND(Lookups!$B$25+Lookups!$B$24*$N464,4))</f>
        <v>0.18179999999999999</v>
      </c>
      <c r="Q464" s="25">
        <f>IF($C464&gt;0,INDEX(Merge_1_2!$L$2:$L$611,$C464),INDEX(Dataset3_Raw!$L$2:$L$391,$E464))</f>
        <v>0.51</v>
      </c>
      <c r="R464" s="25">
        <f>IF($C464&gt;0,INDEX(Merge_1_2!$M$2:$M$611,$C464),INDEX(Dataset3_Raw!$M$2:$M$391,$E464))</f>
        <v>0.28360000000000002</v>
      </c>
      <c r="S464" s="23">
        <f>IF($C464&gt;0,INDEX(Merge_1_2!$N$2:$N$611,$C464),INDEX(Dataset3_Raw!$N$2:$N$391,$E464))</f>
        <v>2</v>
      </c>
      <c r="T464" s="23">
        <f>IF($C464&gt;0,INDEX(Merge_1_2!$O$2:$O$611,$C464),INDEX(Dataset3_Raw!$O$2:$O$391,$E464))</f>
        <v>66</v>
      </c>
      <c r="U464" s="23">
        <f>IF($C464&gt;0,INDEX(Merge_1_2!$P$2:$P$611,$C464),INDEX(Dataset3_Raw!$P$2:$P$391,$E464))</f>
        <v>68</v>
      </c>
      <c r="V464" s="23" t="str">
        <f t="shared" si="43"/>
        <v>Weekday</v>
      </c>
      <c r="W464" s="23" t="str">
        <f>VLOOKUP($M464,Lookups!$A$5:$B$8,2,FALSE())</f>
        <v>Clear / Partly cloudy</v>
      </c>
      <c r="X464" s="23" t="str">
        <f>VLOOKUP($G464,Lookups!$D$5:$E$8,2,FALSE())</f>
        <v>Winter</v>
      </c>
      <c r="Y464" s="23" t="str">
        <f>VLOOKUP($L464,Lookups!$G$5:$H$11,2,FALSE())</f>
        <v>Friday</v>
      </c>
      <c r="Z464" s="23" t="str">
        <f>IF($J464&lt;Lookups!$B$26,"Night",IF($J464&lt;Lookups!$B$27,"Morning",IF($J464&lt;Lookups!$B$28,"Afternoon","Evening")))</f>
        <v>Morning</v>
      </c>
      <c r="AA464" s="26">
        <f>ROUND($N464*(Lookups!$B$16-Lookups!$B$15)+Lookups!$B$15,1)</f>
        <v>1.4</v>
      </c>
      <c r="AB464" s="26">
        <f>ROUND($P464*(Lookups!$B$18-Lookups!$B$17)+Lookups!$B$17,1)</f>
        <v>-4</v>
      </c>
      <c r="AC464" s="23">
        <f t="shared" si="44"/>
        <v>51</v>
      </c>
      <c r="AD464" s="23">
        <f>ROUND($R464*Lookups!$B$19,1)</f>
        <v>19</v>
      </c>
      <c r="AE464" s="27">
        <f t="shared" si="45"/>
        <v>0.97058823529411764</v>
      </c>
      <c r="AF464" s="23" t="str">
        <f>IF($U464&gt;=Lookups!$B$23,"High",IF($U464&gt;=Lookups!$B$22,"Medium","Low"))</f>
        <v>Medium</v>
      </c>
      <c r="AG464" s="23">
        <f>ROUND(IF($V464="Weekday",IF(INDEX(Hourly_Analysis!$D$5:$D$28,$J464+1)&gt;0,($U464-INDEX(Hourly_Analysis!$C$5:$C$28,$J464+1))/INDEX(Hourly_Analysis!$D$5:$D$28,$J464+1),0),IF(INDEX(Hourly_Analysis!$G$5:$G$28,$J464+1)&gt;0,($U464-INDEX(Hourly_Analysis!$F$5:$F$28,$J464+1))/INDEX(Hourly_Analysis!$G$5:$G$28,$J464+1),0)),2)</f>
        <v>-0.64</v>
      </c>
      <c r="AH464" s="23" t="str">
        <f>IF(ABS($AG464)&gt;Lookups!$B$20,IF($AG464&gt;0,"High anomaly","Low anomaly"),"")</f>
        <v/>
      </c>
      <c r="AI464" s="23" t="str">
        <f t="shared" si="46"/>
        <v>OK</v>
      </c>
      <c r="AJ464" s="23" t="str">
        <f t="shared" si="47"/>
        <v>No</v>
      </c>
    </row>
    <row r="465" spans="1:36" x14ac:dyDescent="0.35">
      <c r="A465" s="23">
        <v>464</v>
      </c>
      <c r="B465" s="23" t="str">
        <f t="shared" si="42"/>
        <v>Merge 1+2</v>
      </c>
      <c r="C465" s="23">
        <f>IFERROR(MATCH($A465,Merge_1_2!$A$2:$A$611,0),0)</f>
        <v>464</v>
      </c>
      <c r="D465" s="23">
        <f>IF($C465&gt;0,INDEX(Merge_1_2!$Q$2:$Q$611,$C465),0)</f>
        <v>464</v>
      </c>
      <c r="E465" s="23">
        <f>IFERROR(MATCH($A465,Dataset3_Raw!$A$2:$A$391,0),0)</f>
        <v>0</v>
      </c>
      <c r="F465" s="24">
        <f>IF($C465&gt;0,INDEX(Merge_1_2!$B$2:$B$611,$C465),DATE(VALUE(RIGHT(INDEX(Dataset3_Raw!$B$2:$B$391,$E465),4)),VALUE(MID(INDEX(Dataset3_Raw!$B$2:$B$391,$E465),4,2)),VALUE(LEFT(INDEX(Dataset3_Raw!$B$2:$B$391,$E465),2))))</f>
        <v>40564</v>
      </c>
      <c r="G465" s="23">
        <f>IF($C465&gt;0,INDEX(Merge_1_2!$C$2:$C$611,$C465),INDEX(Dataset3_Raw!$C$2:$C$391,$E465))</f>
        <v>1</v>
      </c>
      <c r="H465" s="23">
        <f>IF($C465&gt;0,INDEX(Merge_1_2!$D$2:$D$611,$C465),INDEX(Dataset3_Raw!$D$2:$D$391,$E465))</f>
        <v>0</v>
      </c>
      <c r="I465" s="23">
        <f>IF($C465&gt;0,INDEX(Merge_1_2!$E$2:$E$611,$C465),INDEX(Dataset3_Raw!$E$2:$E$391,$E465))</f>
        <v>1</v>
      </c>
      <c r="J465" s="23">
        <f>IF($C465&gt;0,INDEX(Merge_1_2!$F$2:$F$611,$C465),INDEX(Dataset3_Raw!$F$2:$F$391,$E465))</f>
        <v>8</v>
      </c>
      <c r="K465" s="23" t="b">
        <f>IF($C465&gt;0,INDEX(Merge_1_2!$G$2:$G$611,$C465),INDEX(Dataset3_Raw!$G$2:$G$391,$E465))</f>
        <v>0</v>
      </c>
      <c r="L465" s="23">
        <f>IF($C465&gt;0,INDEX(Merge_1_2!$H$2:$H$611,$C465),INDEX(Dataset3_Raw!$H$2:$H$391,$E465))</f>
        <v>5</v>
      </c>
      <c r="M465" s="23">
        <f>IF($C465&gt;0,INDEX(Merge_1_2!$I$2:$I$611,$C465),INDEX(Dataset3_Raw!$I$2:$I$391,$E465))</f>
        <v>1</v>
      </c>
      <c r="N465" s="25">
        <f>IF($C465&gt;0,INDEX(Merge_1_2!$J$2:$J$611,$C465),INDEX(Dataset3_Raw!$J$2:$J$391,$E465))</f>
        <v>0.2</v>
      </c>
      <c r="O465" s="25">
        <f>IF($C465&gt;0,IF(ISNUMBER(INDEX(Merge_1_2!$K$2:$K$611,$C465)),INDEX(Merge_1_2!$K$2:$K$611,$C465),""),INDEX(Dataset3_Raw!$K$2:$K$391,$E465))</f>
        <v>0.18179999999999999</v>
      </c>
      <c r="P465" s="25">
        <f>IF(ISNUMBER($O465),$O465,ROUND(Lookups!$B$25+Lookups!$B$24*$N465,4))</f>
        <v>0.18179999999999999</v>
      </c>
      <c r="Q465" s="25">
        <f>IF($C465&gt;0,INDEX(Merge_1_2!$L$2:$L$611,$C465),INDEX(Dataset3_Raw!$L$2:$L$391,$E465))</f>
        <v>0.47</v>
      </c>
      <c r="R465" s="25">
        <f>IF($C465&gt;0,INDEX(Merge_1_2!$M$2:$M$611,$C465),INDEX(Dataset3_Raw!$M$2:$M$391,$E465))</f>
        <v>0.32840000000000003</v>
      </c>
      <c r="S465" s="23">
        <f>IF($C465&gt;0,INDEX(Merge_1_2!$N$2:$N$611,$C465),INDEX(Dataset3_Raw!$N$2:$N$391,$E465))</f>
        <v>7</v>
      </c>
      <c r="T465" s="23">
        <f>IF($C465&gt;0,INDEX(Merge_1_2!$O$2:$O$611,$C465),INDEX(Dataset3_Raw!$O$2:$O$391,$E465))</f>
        <v>210</v>
      </c>
      <c r="U465" s="23">
        <f>IF($C465&gt;0,INDEX(Merge_1_2!$P$2:$P$611,$C465),INDEX(Dataset3_Raw!$P$2:$P$391,$E465))</f>
        <v>217</v>
      </c>
      <c r="V465" s="23" t="str">
        <f t="shared" si="43"/>
        <v>Weekday</v>
      </c>
      <c r="W465" s="23" t="str">
        <f>VLOOKUP($M465,Lookups!$A$5:$B$8,2,FALSE())</f>
        <v>Clear / Partly cloudy</v>
      </c>
      <c r="X465" s="23" t="str">
        <f>VLOOKUP($G465,Lookups!$D$5:$E$8,2,FALSE())</f>
        <v>Winter</v>
      </c>
      <c r="Y465" s="23" t="str">
        <f>VLOOKUP($L465,Lookups!$G$5:$H$11,2,FALSE())</f>
        <v>Friday</v>
      </c>
      <c r="Z465" s="23" t="str">
        <f>IF($J465&lt;Lookups!$B$26,"Night",IF($J465&lt;Lookups!$B$27,"Morning",IF($J465&lt;Lookups!$B$28,"Afternoon","Evening")))</f>
        <v>Morning</v>
      </c>
      <c r="AA465" s="26">
        <f>ROUND($N465*(Lookups!$B$16-Lookups!$B$15)+Lookups!$B$15,1)</f>
        <v>1.4</v>
      </c>
      <c r="AB465" s="26">
        <f>ROUND($P465*(Lookups!$B$18-Lookups!$B$17)+Lookups!$B$17,1)</f>
        <v>-4</v>
      </c>
      <c r="AC465" s="23">
        <f t="shared" si="44"/>
        <v>47</v>
      </c>
      <c r="AD465" s="23">
        <f>ROUND($R465*Lookups!$B$19,1)</f>
        <v>22</v>
      </c>
      <c r="AE465" s="27">
        <f t="shared" si="45"/>
        <v>0.967741935483871</v>
      </c>
      <c r="AF465" s="23" t="str">
        <f>IF($U465&gt;=Lookups!$B$23,"High",IF($U465&gt;=Lookups!$B$22,"Medium","Low"))</f>
        <v>High</v>
      </c>
      <c r="AG465" s="23">
        <f>ROUND(IF($V465="Weekday",IF(INDEX(Hourly_Analysis!$D$5:$D$28,$J465+1)&gt;0,($U465-INDEX(Hourly_Analysis!$C$5:$C$28,$J465+1))/INDEX(Hourly_Analysis!$D$5:$D$28,$J465+1),0),IF(INDEX(Hourly_Analysis!$G$5:$G$28,$J465+1)&gt;0,($U465-INDEX(Hourly_Analysis!$F$5:$F$28,$J465+1))/INDEX(Hourly_Analysis!$G$5:$G$28,$J465+1),0)),2)</f>
        <v>0.71</v>
      </c>
      <c r="AH465" s="23" t="str">
        <f>IF(ABS($AG465)&gt;Lookups!$B$20,IF($AG465&gt;0,"High anomaly","Low anomaly"),"")</f>
        <v/>
      </c>
      <c r="AI465" s="23" t="str">
        <f t="shared" si="46"/>
        <v>OK</v>
      </c>
      <c r="AJ465" s="23" t="str">
        <f t="shared" si="47"/>
        <v>No</v>
      </c>
    </row>
    <row r="466" spans="1:36" x14ac:dyDescent="0.35">
      <c r="A466" s="23">
        <v>465</v>
      </c>
      <c r="B466" s="23" t="str">
        <f t="shared" si="42"/>
        <v>Merge 1+2</v>
      </c>
      <c r="C466" s="23">
        <f>IFERROR(MATCH($A466,Merge_1_2!$A$2:$A$611,0),0)</f>
        <v>465</v>
      </c>
      <c r="D466" s="23">
        <f>IF($C466&gt;0,INDEX(Merge_1_2!$Q$2:$Q$611,$C466),0)</f>
        <v>465</v>
      </c>
      <c r="E466" s="23">
        <f>IFERROR(MATCH($A466,Dataset3_Raw!$A$2:$A$391,0),0)</f>
        <v>0</v>
      </c>
      <c r="F466" s="24">
        <f>IF($C466&gt;0,INDEX(Merge_1_2!$B$2:$B$611,$C466),DATE(VALUE(RIGHT(INDEX(Dataset3_Raw!$B$2:$B$391,$E466),4)),VALUE(MID(INDEX(Dataset3_Raw!$B$2:$B$391,$E466),4,2)),VALUE(LEFT(INDEX(Dataset3_Raw!$B$2:$B$391,$E466),2))))</f>
        <v>40564</v>
      </c>
      <c r="G466" s="23">
        <f>IF($C466&gt;0,INDEX(Merge_1_2!$C$2:$C$611,$C466),INDEX(Dataset3_Raw!$C$2:$C$391,$E466))</f>
        <v>1</v>
      </c>
      <c r="H466" s="23">
        <f>IF($C466&gt;0,INDEX(Merge_1_2!$D$2:$D$611,$C466),INDEX(Dataset3_Raw!$D$2:$D$391,$E466))</f>
        <v>0</v>
      </c>
      <c r="I466" s="23">
        <f>IF($C466&gt;0,INDEX(Merge_1_2!$E$2:$E$611,$C466),INDEX(Dataset3_Raw!$E$2:$E$391,$E466))</f>
        <v>1</v>
      </c>
      <c r="J466" s="23">
        <f>IF($C466&gt;0,INDEX(Merge_1_2!$F$2:$F$611,$C466),INDEX(Dataset3_Raw!$F$2:$F$391,$E466))</f>
        <v>9</v>
      </c>
      <c r="K466" s="23" t="b">
        <f>IF($C466&gt;0,INDEX(Merge_1_2!$G$2:$G$611,$C466),INDEX(Dataset3_Raw!$G$2:$G$391,$E466))</f>
        <v>0</v>
      </c>
      <c r="L466" s="23">
        <f>IF($C466&gt;0,INDEX(Merge_1_2!$H$2:$H$611,$C466),INDEX(Dataset3_Raw!$H$2:$H$391,$E466))</f>
        <v>5</v>
      </c>
      <c r="M466" s="23">
        <f>IF($C466&gt;0,INDEX(Merge_1_2!$I$2:$I$611,$C466),INDEX(Dataset3_Raw!$I$2:$I$391,$E466))</f>
        <v>1</v>
      </c>
      <c r="N466" s="25">
        <f>IF($C466&gt;0,INDEX(Merge_1_2!$J$2:$J$611,$C466),INDEX(Dataset3_Raw!$J$2:$J$391,$E466))</f>
        <v>0.2</v>
      </c>
      <c r="O466" s="25">
        <f>IF($C466&gt;0,IF(ISNUMBER(INDEX(Merge_1_2!$K$2:$K$611,$C466)),INDEX(Merge_1_2!$K$2:$K$611,$C466),""),INDEX(Dataset3_Raw!$K$2:$K$391,$E466))</f>
        <v>0.18179999999999999</v>
      </c>
      <c r="P466" s="25">
        <f>IF(ISNUMBER($O466),$O466,ROUND(Lookups!$B$25+Lookups!$B$24*$N466,4))</f>
        <v>0.18179999999999999</v>
      </c>
      <c r="Q466" s="25">
        <f>IF($C466&gt;0,INDEX(Merge_1_2!$L$2:$L$611,$C466),INDEX(Dataset3_Raw!$L$2:$L$391,$E466))</f>
        <v>0.51</v>
      </c>
      <c r="R466" s="25">
        <f>IF($C466&gt;0,INDEX(Merge_1_2!$M$2:$M$611,$C466),INDEX(Dataset3_Raw!$M$2:$M$391,$E466))</f>
        <v>0.35820000000000002</v>
      </c>
      <c r="S466" s="23">
        <f>IF($C466&gt;0,INDEX(Merge_1_2!$N$2:$N$611,$C466),INDEX(Dataset3_Raw!$N$2:$N$391,$E466))</f>
        <v>7</v>
      </c>
      <c r="T466" s="23">
        <f>IF($C466&gt;0,INDEX(Merge_1_2!$O$2:$O$611,$C466),INDEX(Dataset3_Raw!$O$2:$O$391,$E466))</f>
        <v>159</v>
      </c>
      <c r="U466" s="23">
        <f>IF($C466&gt;0,INDEX(Merge_1_2!$P$2:$P$611,$C466),INDEX(Dataset3_Raw!$P$2:$P$391,$E466))</f>
        <v>166</v>
      </c>
      <c r="V466" s="23" t="str">
        <f t="shared" si="43"/>
        <v>Weekday</v>
      </c>
      <c r="W466" s="23" t="str">
        <f>VLOOKUP($M466,Lookups!$A$5:$B$8,2,FALSE())</f>
        <v>Clear / Partly cloudy</v>
      </c>
      <c r="X466" s="23" t="str">
        <f>VLOOKUP($G466,Lookups!$D$5:$E$8,2,FALSE())</f>
        <v>Winter</v>
      </c>
      <c r="Y466" s="23" t="str">
        <f>VLOOKUP($L466,Lookups!$G$5:$H$11,2,FALSE())</f>
        <v>Friday</v>
      </c>
      <c r="Z466" s="23" t="str">
        <f>IF($J466&lt;Lookups!$B$26,"Night",IF($J466&lt;Lookups!$B$27,"Morning",IF($J466&lt;Lookups!$B$28,"Afternoon","Evening")))</f>
        <v>Morning</v>
      </c>
      <c r="AA466" s="26">
        <f>ROUND($N466*(Lookups!$B$16-Lookups!$B$15)+Lookups!$B$15,1)</f>
        <v>1.4</v>
      </c>
      <c r="AB466" s="26">
        <f>ROUND($P466*(Lookups!$B$18-Lookups!$B$17)+Lookups!$B$17,1)</f>
        <v>-4</v>
      </c>
      <c r="AC466" s="23">
        <f t="shared" si="44"/>
        <v>51</v>
      </c>
      <c r="AD466" s="23">
        <f>ROUND($R466*Lookups!$B$19,1)</f>
        <v>24</v>
      </c>
      <c r="AE466" s="27">
        <f t="shared" si="45"/>
        <v>0.95783132530120485</v>
      </c>
      <c r="AF466" s="23" t="str">
        <f>IF($U466&gt;=Lookups!$B$23,"High",IF($U466&gt;=Lookups!$B$22,"Medium","Low"))</f>
        <v>High</v>
      </c>
      <c r="AG466" s="23">
        <f>ROUND(IF($V466="Weekday",IF(INDEX(Hourly_Analysis!$D$5:$D$28,$J466+1)&gt;0,($U466-INDEX(Hourly_Analysis!$C$5:$C$28,$J466+1))/INDEX(Hourly_Analysis!$D$5:$D$28,$J466+1),0),IF(INDEX(Hourly_Analysis!$G$5:$G$28,$J466+1)&gt;0,($U466-INDEX(Hourly_Analysis!$F$5:$F$28,$J466+1))/INDEX(Hourly_Analysis!$G$5:$G$28,$J466+1),0)),2)</f>
        <v>2.13</v>
      </c>
      <c r="AH466" s="23" t="str">
        <f>IF(ABS($AG466)&gt;Lookups!$B$20,IF($AG466&gt;0,"High anomaly","Low anomaly"),"")</f>
        <v/>
      </c>
      <c r="AI466" s="23" t="str">
        <f t="shared" si="46"/>
        <v>OK</v>
      </c>
      <c r="AJ466" s="23" t="str">
        <f t="shared" si="47"/>
        <v>No</v>
      </c>
    </row>
    <row r="467" spans="1:36" x14ac:dyDescent="0.35">
      <c r="A467" s="23">
        <v>466</v>
      </c>
      <c r="B467" s="23" t="str">
        <f t="shared" si="42"/>
        <v>Merge 1+2</v>
      </c>
      <c r="C467" s="23">
        <f>IFERROR(MATCH($A467,Merge_1_2!$A$2:$A$611,0),0)</f>
        <v>466</v>
      </c>
      <c r="D467" s="23">
        <f>IF($C467&gt;0,INDEX(Merge_1_2!$Q$2:$Q$611,$C467),0)</f>
        <v>466</v>
      </c>
      <c r="E467" s="23">
        <f>IFERROR(MATCH($A467,Dataset3_Raw!$A$2:$A$391,0),0)</f>
        <v>0</v>
      </c>
      <c r="F467" s="24">
        <f>IF($C467&gt;0,INDEX(Merge_1_2!$B$2:$B$611,$C467),DATE(VALUE(RIGHT(INDEX(Dataset3_Raw!$B$2:$B$391,$E467),4)),VALUE(MID(INDEX(Dataset3_Raw!$B$2:$B$391,$E467),4,2)),VALUE(LEFT(INDEX(Dataset3_Raw!$B$2:$B$391,$E467),2))))</f>
        <v>40564</v>
      </c>
      <c r="G467" s="23">
        <f>IF($C467&gt;0,INDEX(Merge_1_2!$C$2:$C$611,$C467),INDEX(Dataset3_Raw!$C$2:$C$391,$E467))</f>
        <v>1</v>
      </c>
      <c r="H467" s="23">
        <f>IF($C467&gt;0,INDEX(Merge_1_2!$D$2:$D$611,$C467),INDEX(Dataset3_Raw!$D$2:$D$391,$E467))</f>
        <v>0</v>
      </c>
      <c r="I467" s="23">
        <f>IF($C467&gt;0,INDEX(Merge_1_2!$E$2:$E$611,$C467),INDEX(Dataset3_Raw!$E$2:$E$391,$E467))</f>
        <v>1</v>
      </c>
      <c r="J467" s="23">
        <f>IF($C467&gt;0,INDEX(Merge_1_2!$F$2:$F$611,$C467),INDEX(Dataset3_Raw!$F$2:$F$391,$E467))</f>
        <v>10</v>
      </c>
      <c r="K467" s="23" t="b">
        <f>IF($C467&gt;0,INDEX(Merge_1_2!$G$2:$G$611,$C467),INDEX(Dataset3_Raw!$G$2:$G$391,$E467))</f>
        <v>0</v>
      </c>
      <c r="L467" s="23">
        <f>IF($C467&gt;0,INDEX(Merge_1_2!$H$2:$H$611,$C467),INDEX(Dataset3_Raw!$H$2:$H$391,$E467))</f>
        <v>5</v>
      </c>
      <c r="M467" s="23">
        <f>IF($C467&gt;0,INDEX(Merge_1_2!$I$2:$I$611,$C467),INDEX(Dataset3_Raw!$I$2:$I$391,$E467))</f>
        <v>1</v>
      </c>
      <c r="N467" s="25">
        <f>IF($C467&gt;0,INDEX(Merge_1_2!$J$2:$J$611,$C467),INDEX(Dataset3_Raw!$J$2:$J$391,$E467))</f>
        <v>0.2</v>
      </c>
      <c r="O467" s="25">
        <f>IF($C467&gt;0,IF(ISNUMBER(INDEX(Merge_1_2!$K$2:$K$611,$C467)),INDEX(Merge_1_2!$K$2:$K$611,$C467),""),INDEX(Dataset3_Raw!$K$2:$K$391,$E467))</f>
        <v>0.16669999999999999</v>
      </c>
      <c r="P467" s="25">
        <f>IF(ISNUMBER($O467),$O467,ROUND(Lookups!$B$25+Lookups!$B$24*$N467,4))</f>
        <v>0.16669999999999999</v>
      </c>
      <c r="Q467" s="25">
        <f>IF($C467&gt;0,INDEX(Merge_1_2!$L$2:$L$611,$C467),INDEX(Dataset3_Raw!$L$2:$L$391,$E467))</f>
        <v>0.47</v>
      </c>
      <c r="R467" s="25">
        <f>IF($C467&gt;0,INDEX(Merge_1_2!$M$2:$M$611,$C467),INDEX(Dataset3_Raw!$M$2:$M$391,$E467))</f>
        <v>0.4627</v>
      </c>
      <c r="S467" s="23">
        <f>IF($C467&gt;0,INDEX(Merge_1_2!$N$2:$N$611,$C467),INDEX(Dataset3_Raw!$N$2:$N$391,$E467))</f>
        <v>6</v>
      </c>
      <c r="T467" s="23">
        <f>IF($C467&gt;0,INDEX(Merge_1_2!$O$2:$O$611,$C467),INDEX(Dataset3_Raw!$O$2:$O$391,$E467))</f>
        <v>57</v>
      </c>
      <c r="U467" s="23">
        <f>IF($C467&gt;0,INDEX(Merge_1_2!$P$2:$P$611,$C467),INDEX(Dataset3_Raw!$P$2:$P$391,$E467))</f>
        <v>63</v>
      </c>
      <c r="V467" s="23" t="str">
        <f t="shared" si="43"/>
        <v>Weekday</v>
      </c>
      <c r="W467" s="23" t="str">
        <f>VLOOKUP($M467,Lookups!$A$5:$B$8,2,FALSE())</f>
        <v>Clear / Partly cloudy</v>
      </c>
      <c r="X467" s="23" t="str">
        <f>VLOOKUP($G467,Lookups!$D$5:$E$8,2,FALSE())</f>
        <v>Winter</v>
      </c>
      <c r="Y467" s="23" t="str">
        <f>VLOOKUP($L467,Lookups!$G$5:$H$11,2,FALSE())</f>
        <v>Friday</v>
      </c>
      <c r="Z467" s="23" t="str">
        <f>IF($J467&lt;Lookups!$B$26,"Night",IF($J467&lt;Lookups!$B$27,"Morning",IF($J467&lt;Lookups!$B$28,"Afternoon","Evening")))</f>
        <v>Morning</v>
      </c>
      <c r="AA467" s="26">
        <f>ROUND($N467*(Lookups!$B$16-Lookups!$B$15)+Lookups!$B$15,1)</f>
        <v>1.4</v>
      </c>
      <c r="AB467" s="26">
        <f>ROUND($P467*(Lookups!$B$18-Lookups!$B$17)+Lookups!$B$17,1)</f>
        <v>-5</v>
      </c>
      <c r="AC467" s="23">
        <f t="shared" si="44"/>
        <v>47</v>
      </c>
      <c r="AD467" s="23">
        <f>ROUND($R467*Lookups!$B$19,1)</f>
        <v>31</v>
      </c>
      <c r="AE467" s="27">
        <f t="shared" si="45"/>
        <v>0.90476190476190477</v>
      </c>
      <c r="AF467" s="23" t="str">
        <f>IF($U467&gt;=Lookups!$B$23,"High",IF($U467&gt;=Lookups!$B$22,"Medium","Low"))</f>
        <v>Medium</v>
      </c>
      <c r="AG467" s="23">
        <f>ROUND(IF($V467="Weekday",IF(INDEX(Hourly_Analysis!$D$5:$D$28,$J467+1)&gt;0,($U467-INDEX(Hourly_Analysis!$C$5:$C$28,$J467+1))/INDEX(Hourly_Analysis!$D$5:$D$28,$J467+1),0),IF(INDEX(Hourly_Analysis!$G$5:$G$28,$J467+1)&gt;0,($U467-INDEX(Hourly_Analysis!$F$5:$F$28,$J467+1))/INDEX(Hourly_Analysis!$G$5:$G$28,$J467+1),0)),2)</f>
        <v>1.4</v>
      </c>
      <c r="AH467" s="23" t="str">
        <f>IF(ABS($AG467)&gt;Lookups!$B$20,IF($AG467&gt;0,"High anomaly","Low anomaly"),"")</f>
        <v/>
      </c>
      <c r="AI467" s="23" t="str">
        <f t="shared" si="46"/>
        <v>OK</v>
      </c>
      <c r="AJ467" s="23" t="str">
        <f t="shared" si="47"/>
        <v>No</v>
      </c>
    </row>
    <row r="468" spans="1:36" x14ac:dyDescent="0.35">
      <c r="A468" s="23">
        <v>467</v>
      </c>
      <c r="B468" s="23" t="str">
        <f t="shared" si="42"/>
        <v>Merge 1+2</v>
      </c>
      <c r="C468" s="23">
        <f>IFERROR(MATCH($A468,Merge_1_2!$A$2:$A$611,0),0)</f>
        <v>467</v>
      </c>
      <c r="D468" s="23">
        <f>IF($C468&gt;0,INDEX(Merge_1_2!$Q$2:$Q$611,$C468),0)</f>
        <v>467</v>
      </c>
      <c r="E468" s="23">
        <f>IFERROR(MATCH($A468,Dataset3_Raw!$A$2:$A$391,0),0)</f>
        <v>0</v>
      </c>
      <c r="F468" s="24">
        <f>IF($C468&gt;0,INDEX(Merge_1_2!$B$2:$B$611,$C468),DATE(VALUE(RIGHT(INDEX(Dataset3_Raw!$B$2:$B$391,$E468),4)),VALUE(MID(INDEX(Dataset3_Raw!$B$2:$B$391,$E468),4,2)),VALUE(LEFT(INDEX(Dataset3_Raw!$B$2:$B$391,$E468),2))))</f>
        <v>40564</v>
      </c>
      <c r="G468" s="23">
        <f>IF($C468&gt;0,INDEX(Merge_1_2!$C$2:$C$611,$C468),INDEX(Dataset3_Raw!$C$2:$C$391,$E468))</f>
        <v>1</v>
      </c>
      <c r="H468" s="23">
        <f>IF($C468&gt;0,INDEX(Merge_1_2!$D$2:$D$611,$C468),INDEX(Dataset3_Raw!$D$2:$D$391,$E468))</f>
        <v>0</v>
      </c>
      <c r="I468" s="23">
        <f>IF($C468&gt;0,INDEX(Merge_1_2!$E$2:$E$611,$C468),INDEX(Dataset3_Raw!$E$2:$E$391,$E468))</f>
        <v>1</v>
      </c>
      <c r="J468" s="23">
        <f>IF($C468&gt;0,INDEX(Merge_1_2!$F$2:$F$611,$C468),INDEX(Dataset3_Raw!$F$2:$F$391,$E468))</f>
        <v>11</v>
      </c>
      <c r="K468" s="23" t="b">
        <f>IF($C468&gt;0,INDEX(Merge_1_2!$G$2:$G$611,$C468),INDEX(Dataset3_Raw!$G$2:$G$391,$E468))</f>
        <v>0</v>
      </c>
      <c r="L468" s="23">
        <f>IF($C468&gt;0,INDEX(Merge_1_2!$H$2:$H$611,$C468),INDEX(Dataset3_Raw!$H$2:$H$391,$E468))</f>
        <v>5</v>
      </c>
      <c r="M468" s="23">
        <f>IF($C468&gt;0,INDEX(Merge_1_2!$I$2:$I$611,$C468),INDEX(Dataset3_Raw!$I$2:$I$391,$E468))</f>
        <v>1</v>
      </c>
      <c r="N468" s="25">
        <f>IF($C468&gt;0,INDEX(Merge_1_2!$J$2:$J$611,$C468),INDEX(Dataset3_Raw!$J$2:$J$391,$E468))</f>
        <v>0.22</v>
      </c>
      <c r="O468" s="25">
        <f>IF($C468&gt;0,IF(ISNUMBER(INDEX(Merge_1_2!$K$2:$K$611,$C468)),INDEX(Merge_1_2!$K$2:$K$611,$C468),""),INDEX(Dataset3_Raw!$K$2:$K$391,$E468))</f>
        <v>0.18179999999999999</v>
      </c>
      <c r="P468" s="25">
        <f>IF(ISNUMBER($O468),$O468,ROUND(Lookups!$B$25+Lookups!$B$24*$N468,4))</f>
        <v>0.18179999999999999</v>
      </c>
      <c r="Q468" s="25">
        <f>IF($C468&gt;0,INDEX(Merge_1_2!$L$2:$L$611,$C468),INDEX(Dataset3_Raw!$L$2:$L$391,$E468))</f>
        <v>0.41</v>
      </c>
      <c r="R468" s="25">
        <f>IF($C468&gt;0,INDEX(Merge_1_2!$M$2:$M$611,$C468),INDEX(Dataset3_Raw!$M$2:$M$391,$E468))</f>
        <v>0.4627</v>
      </c>
      <c r="S468" s="23">
        <f>IF($C468&gt;0,INDEX(Merge_1_2!$N$2:$N$611,$C468),INDEX(Dataset3_Raw!$N$2:$N$391,$E468))</f>
        <v>6</v>
      </c>
      <c r="T468" s="23">
        <f>IF($C468&gt;0,INDEX(Merge_1_2!$O$2:$O$611,$C468),INDEX(Dataset3_Raw!$O$2:$O$391,$E468))</f>
        <v>53</v>
      </c>
      <c r="U468" s="23">
        <f>IF($C468&gt;0,INDEX(Merge_1_2!$P$2:$P$611,$C468),INDEX(Dataset3_Raw!$P$2:$P$391,$E468))</f>
        <v>59</v>
      </c>
      <c r="V468" s="23" t="str">
        <f t="shared" si="43"/>
        <v>Weekday</v>
      </c>
      <c r="W468" s="23" t="str">
        <f>VLOOKUP($M468,Lookups!$A$5:$B$8,2,FALSE())</f>
        <v>Clear / Partly cloudy</v>
      </c>
      <c r="X468" s="23" t="str">
        <f>VLOOKUP($G468,Lookups!$D$5:$E$8,2,FALSE())</f>
        <v>Winter</v>
      </c>
      <c r="Y468" s="23" t="str">
        <f>VLOOKUP($L468,Lookups!$G$5:$H$11,2,FALSE())</f>
        <v>Friday</v>
      </c>
      <c r="Z468" s="23" t="str">
        <f>IF($J468&lt;Lookups!$B$26,"Night",IF($J468&lt;Lookups!$B$27,"Morning",IF($J468&lt;Lookups!$B$28,"Afternoon","Evening")))</f>
        <v>Morning</v>
      </c>
      <c r="AA468" s="26">
        <f>ROUND($N468*(Lookups!$B$16-Lookups!$B$15)+Lookups!$B$15,1)</f>
        <v>2.2999999999999998</v>
      </c>
      <c r="AB468" s="26">
        <f>ROUND($P468*(Lookups!$B$18-Lookups!$B$17)+Lookups!$B$17,1)</f>
        <v>-4</v>
      </c>
      <c r="AC468" s="23">
        <f t="shared" si="44"/>
        <v>41</v>
      </c>
      <c r="AD468" s="23">
        <f>ROUND($R468*Lookups!$B$19,1)</f>
        <v>31</v>
      </c>
      <c r="AE468" s="27">
        <f t="shared" si="45"/>
        <v>0.89830508474576276</v>
      </c>
      <c r="AF468" s="23" t="str">
        <f>IF($U468&gt;=Lookups!$B$23,"High",IF($U468&gt;=Lookups!$B$22,"Medium","Low"))</f>
        <v>Medium</v>
      </c>
      <c r="AG468" s="23">
        <f>ROUND(IF($V468="Weekday",IF(INDEX(Hourly_Analysis!$D$5:$D$28,$J468+1)&gt;0,($U468-INDEX(Hourly_Analysis!$C$5:$C$28,$J468+1))/INDEX(Hourly_Analysis!$D$5:$D$28,$J468+1),0),IF(INDEX(Hourly_Analysis!$G$5:$G$28,$J468+1)&gt;0,($U468-INDEX(Hourly_Analysis!$F$5:$F$28,$J468+1))/INDEX(Hourly_Analysis!$G$5:$G$28,$J468+1),0)),2)</f>
        <v>0.8</v>
      </c>
      <c r="AH468" s="23" t="str">
        <f>IF(ABS($AG468)&gt;Lookups!$B$20,IF($AG468&gt;0,"High anomaly","Low anomaly"),"")</f>
        <v/>
      </c>
      <c r="AI468" s="23" t="str">
        <f t="shared" si="46"/>
        <v>OK</v>
      </c>
      <c r="AJ468" s="23" t="str">
        <f t="shared" si="47"/>
        <v>No</v>
      </c>
    </row>
    <row r="469" spans="1:36" x14ac:dyDescent="0.35">
      <c r="A469" s="23">
        <v>468</v>
      </c>
      <c r="B469" s="23" t="str">
        <f t="shared" si="42"/>
        <v>Merge 1+2</v>
      </c>
      <c r="C469" s="23">
        <f>IFERROR(MATCH($A469,Merge_1_2!$A$2:$A$611,0),0)</f>
        <v>468</v>
      </c>
      <c r="D469" s="23">
        <f>IF($C469&gt;0,INDEX(Merge_1_2!$Q$2:$Q$611,$C469),0)</f>
        <v>468</v>
      </c>
      <c r="E469" s="23">
        <f>IFERROR(MATCH($A469,Dataset3_Raw!$A$2:$A$391,0),0)</f>
        <v>0</v>
      </c>
      <c r="F469" s="24">
        <f>IF($C469&gt;0,INDEX(Merge_1_2!$B$2:$B$611,$C469),DATE(VALUE(RIGHT(INDEX(Dataset3_Raw!$B$2:$B$391,$E469),4)),VALUE(MID(INDEX(Dataset3_Raw!$B$2:$B$391,$E469),4,2)),VALUE(LEFT(INDEX(Dataset3_Raw!$B$2:$B$391,$E469),2))))</f>
        <v>40564</v>
      </c>
      <c r="G469" s="23">
        <f>IF($C469&gt;0,INDEX(Merge_1_2!$C$2:$C$611,$C469),INDEX(Dataset3_Raw!$C$2:$C$391,$E469))</f>
        <v>1</v>
      </c>
      <c r="H469" s="23">
        <f>IF($C469&gt;0,INDEX(Merge_1_2!$D$2:$D$611,$C469),INDEX(Dataset3_Raw!$D$2:$D$391,$E469))</f>
        <v>0</v>
      </c>
      <c r="I469" s="23">
        <f>IF($C469&gt;0,INDEX(Merge_1_2!$E$2:$E$611,$C469),INDEX(Dataset3_Raw!$E$2:$E$391,$E469))</f>
        <v>1</v>
      </c>
      <c r="J469" s="23">
        <f>IF($C469&gt;0,INDEX(Merge_1_2!$F$2:$F$611,$C469),INDEX(Dataset3_Raw!$F$2:$F$391,$E469))</f>
        <v>12</v>
      </c>
      <c r="K469" s="23" t="b">
        <f>IF($C469&gt;0,INDEX(Merge_1_2!$G$2:$G$611,$C469),INDEX(Dataset3_Raw!$G$2:$G$391,$E469))</f>
        <v>0</v>
      </c>
      <c r="L469" s="23">
        <f>IF($C469&gt;0,INDEX(Merge_1_2!$H$2:$H$611,$C469),INDEX(Dataset3_Raw!$H$2:$H$391,$E469))</f>
        <v>5</v>
      </c>
      <c r="M469" s="23">
        <f>IF($C469&gt;0,INDEX(Merge_1_2!$I$2:$I$611,$C469),INDEX(Dataset3_Raw!$I$2:$I$391,$E469))</f>
        <v>1</v>
      </c>
      <c r="N469" s="25">
        <f>IF($C469&gt;0,INDEX(Merge_1_2!$J$2:$J$611,$C469),INDEX(Dataset3_Raw!$J$2:$J$391,$E469))</f>
        <v>0.22</v>
      </c>
      <c r="O469" s="25">
        <f>IF($C469&gt;0,IF(ISNUMBER(INDEX(Merge_1_2!$K$2:$K$611,$C469)),INDEX(Merge_1_2!$K$2:$K$611,$C469),""),INDEX(Dataset3_Raw!$K$2:$K$391,$E469))</f>
        <v>0.18179999999999999</v>
      </c>
      <c r="P469" s="25">
        <f>IF(ISNUMBER($O469),$O469,ROUND(Lookups!$B$25+Lookups!$B$24*$N469,4))</f>
        <v>0.18179999999999999</v>
      </c>
      <c r="Q469" s="25">
        <f>IF($C469&gt;0,INDEX(Merge_1_2!$L$2:$L$611,$C469),INDEX(Dataset3_Raw!$L$2:$L$391,$E469))</f>
        <v>0.27</v>
      </c>
      <c r="R469" s="25">
        <f>IF($C469&gt;0,INDEX(Merge_1_2!$M$2:$M$611,$C469),INDEX(Dataset3_Raw!$M$2:$M$391,$E469))</f>
        <v>0.58209999999999995</v>
      </c>
      <c r="S469" s="23">
        <f>IF($C469&gt;0,INDEX(Merge_1_2!$N$2:$N$611,$C469),INDEX(Dataset3_Raw!$N$2:$N$391,$E469))</f>
        <v>11</v>
      </c>
      <c r="T469" s="23">
        <f>IF($C469&gt;0,INDEX(Merge_1_2!$O$2:$O$611,$C469),INDEX(Dataset3_Raw!$O$2:$O$391,$E469))</f>
        <v>67</v>
      </c>
      <c r="U469" s="23">
        <f>IF($C469&gt;0,INDEX(Merge_1_2!$P$2:$P$611,$C469),INDEX(Dataset3_Raw!$P$2:$P$391,$E469))</f>
        <v>78</v>
      </c>
      <c r="V469" s="23" t="str">
        <f t="shared" si="43"/>
        <v>Weekday</v>
      </c>
      <c r="W469" s="23" t="str">
        <f>VLOOKUP($M469,Lookups!$A$5:$B$8,2,FALSE())</f>
        <v>Clear / Partly cloudy</v>
      </c>
      <c r="X469" s="23" t="str">
        <f>VLOOKUP($G469,Lookups!$D$5:$E$8,2,FALSE())</f>
        <v>Winter</v>
      </c>
      <c r="Y469" s="23" t="str">
        <f>VLOOKUP($L469,Lookups!$G$5:$H$11,2,FALSE())</f>
        <v>Friday</v>
      </c>
      <c r="Z469" s="23" t="str">
        <f>IF($J469&lt;Lookups!$B$26,"Night",IF($J469&lt;Lookups!$B$27,"Morning",IF($J469&lt;Lookups!$B$28,"Afternoon","Evening")))</f>
        <v>Afternoon</v>
      </c>
      <c r="AA469" s="26">
        <f>ROUND($N469*(Lookups!$B$16-Lookups!$B$15)+Lookups!$B$15,1)</f>
        <v>2.2999999999999998</v>
      </c>
      <c r="AB469" s="26">
        <f>ROUND($P469*(Lookups!$B$18-Lookups!$B$17)+Lookups!$B$17,1)</f>
        <v>-4</v>
      </c>
      <c r="AC469" s="23">
        <f t="shared" si="44"/>
        <v>27</v>
      </c>
      <c r="AD469" s="23">
        <f>ROUND($R469*Lookups!$B$19,1)</f>
        <v>39</v>
      </c>
      <c r="AE469" s="27">
        <f t="shared" si="45"/>
        <v>0.85897435897435892</v>
      </c>
      <c r="AF469" s="23" t="str">
        <f>IF($U469&gt;=Lookups!$B$23,"High",IF($U469&gt;=Lookups!$B$22,"Medium","Low"))</f>
        <v>Medium</v>
      </c>
      <c r="AG469" s="23">
        <f>ROUND(IF($V469="Weekday",IF(INDEX(Hourly_Analysis!$D$5:$D$28,$J469+1)&gt;0,($U469-INDEX(Hourly_Analysis!$C$5:$C$28,$J469+1))/INDEX(Hourly_Analysis!$D$5:$D$28,$J469+1),0),IF(INDEX(Hourly_Analysis!$G$5:$G$28,$J469+1)&gt;0,($U469-INDEX(Hourly_Analysis!$F$5:$F$28,$J469+1))/INDEX(Hourly_Analysis!$G$5:$G$28,$J469+1),0)),2)</f>
        <v>0.74</v>
      </c>
      <c r="AH469" s="23" t="str">
        <f>IF(ABS($AG469)&gt;Lookups!$B$20,IF($AG469&gt;0,"High anomaly","Low anomaly"),"")</f>
        <v/>
      </c>
      <c r="AI469" s="23" t="str">
        <f t="shared" si="46"/>
        <v>OK</v>
      </c>
      <c r="AJ469" s="23" t="str">
        <f t="shared" si="47"/>
        <v>No</v>
      </c>
    </row>
    <row r="470" spans="1:36" x14ac:dyDescent="0.35">
      <c r="A470" s="23">
        <v>469</v>
      </c>
      <c r="B470" s="23" t="str">
        <f t="shared" si="42"/>
        <v>Merge 1+2</v>
      </c>
      <c r="C470" s="23">
        <f>IFERROR(MATCH($A470,Merge_1_2!$A$2:$A$611,0),0)</f>
        <v>469</v>
      </c>
      <c r="D470" s="23">
        <f>IF($C470&gt;0,INDEX(Merge_1_2!$Q$2:$Q$611,$C470),0)</f>
        <v>469</v>
      </c>
      <c r="E470" s="23">
        <f>IFERROR(MATCH($A470,Dataset3_Raw!$A$2:$A$391,0),0)</f>
        <v>0</v>
      </c>
      <c r="F470" s="24">
        <f>IF($C470&gt;0,INDEX(Merge_1_2!$B$2:$B$611,$C470),DATE(VALUE(RIGHT(INDEX(Dataset3_Raw!$B$2:$B$391,$E470),4)),VALUE(MID(INDEX(Dataset3_Raw!$B$2:$B$391,$E470),4,2)),VALUE(LEFT(INDEX(Dataset3_Raw!$B$2:$B$391,$E470),2))))</f>
        <v>40564</v>
      </c>
      <c r="G470" s="23">
        <f>IF($C470&gt;0,INDEX(Merge_1_2!$C$2:$C$611,$C470),INDEX(Dataset3_Raw!$C$2:$C$391,$E470))</f>
        <v>1</v>
      </c>
      <c r="H470" s="23">
        <f>IF($C470&gt;0,INDEX(Merge_1_2!$D$2:$D$611,$C470),INDEX(Dataset3_Raw!$D$2:$D$391,$E470))</f>
        <v>0</v>
      </c>
      <c r="I470" s="23">
        <f>IF($C470&gt;0,INDEX(Merge_1_2!$E$2:$E$611,$C470),INDEX(Dataset3_Raw!$E$2:$E$391,$E470))</f>
        <v>1</v>
      </c>
      <c r="J470" s="23">
        <f>IF($C470&gt;0,INDEX(Merge_1_2!$F$2:$F$611,$C470),INDEX(Dataset3_Raw!$F$2:$F$391,$E470))</f>
        <v>13</v>
      </c>
      <c r="K470" s="23" t="b">
        <f>IF($C470&gt;0,INDEX(Merge_1_2!$G$2:$G$611,$C470),INDEX(Dataset3_Raw!$G$2:$G$391,$E470))</f>
        <v>0</v>
      </c>
      <c r="L470" s="23">
        <f>IF($C470&gt;0,INDEX(Merge_1_2!$H$2:$H$611,$C470),INDEX(Dataset3_Raw!$H$2:$H$391,$E470))</f>
        <v>5</v>
      </c>
      <c r="M470" s="23">
        <f>IF($C470&gt;0,INDEX(Merge_1_2!$I$2:$I$611,$C470),INDEX(Dataset3_Raw!$I$2:$I$391,$E470))</f>
        <v>1</v>
      </c>
      <c r="N470" s="25">
        <f>IF($C470&gt;0,INDEX(Merge_1_2!$J$2:$J$611,$C470),INDEX(Dataset3_Raw!$J$2:$J$391,$E470))</f>
        <v>0.2</v>
      </c>
      <c r="O470" s="25">
        <f>IF($C470&gt;0,IF(ISNUMBER(INDEX(Merge_1_2!$K$2:$K$611,$C470)),INDEX(Merge_1_2!$K$2:$K$611,$C470),""),INDEX(Dataset3_Raw!$K$2:$K$391,$E470))</f>
        <v>0.1515</v>
      </c>
      <c r="P470" s="25">
        <f>IF(ISNUMBER($O470),$O470,ROUND(Lookups!$B$25+Lookups!$B$24*$N470,4))</f>
        <v>0.1515</v>
      </c>
      <c r="Q470" s="25">
        <f>IF($C470&gt;0,INDEX(Merge_1_2!$L$2:$L$611,$C470),INDEX(Dataset3_Raw!$L$2:$L$391,$E470))</f>
        <v>0.21</v>
      </c>
      <c r="R470" s="25">
        <f>IF($C470&gt;0,INDEX(Merge_1_2!$M$2:$M$611,$C470),INDEX(Dataset3_Raw!$M$2:$M$391,$E470))</f>
        <v>0.58209999999999995</v>
      </c>
      <c r="S470" s="23">
        <f>IF($C470&gt;0,INDEX(Merge_1_2!$N$2:$N$611,$C470),INDEX(Dataset3_Raw!$N$2:$N$391,$E470))</f>
        <v>8</v>
      </c>
      <c r="T470" s="23">
        <f>IF($C470&gt;0,INDEX(Merge_1_2!$O$2:$O$611,$C470),INDEX(Dataset3_Raw!$O$2:$O$391,$E470))</f>
        <v>65</v>
      </c>
      <c r="U470" s="23">
        <f>IF($C470&gt;0,INDEX(Merge_1_2!$P$2:$P$611,$C470),INDEX(Dataset3_Raw!$P$2:$P$391,$E470))</f>
        <v>73</v>
      </c>
      <c r="V470" s="23" t="str">
        <f t="shared" si="43"/>
        <v>Weekday</v>
      </c>
      <c r="W470" s="23" t="str">
        <f>VLOOKUP($M470,Lookups!$A$5:$B$8,2,FALSE())</f>
        <v>Clear / Partly cloudy</v>
      </c>
      <c r="X470" s="23" t="str">
        <f>VLOOKUP($G470,Lookups!$D$5:$E$8,2,FALSE())</f>
        <v>Winter</v>
      </c>
      <c r="Y470" s="23" t="str">
        <f>VLOOKUP($L470,Lookups!$G$5:$H$11,2,FALSE())</f>
        <v>Friday</v>
      </c>
      <c r="Z470" s="23" t="str">
        <f>IF($J470&lt;Lookups!$B$26,"Night",IF($J470&lt;Lookups!$B$27,"Morning",IF($J470&lt;Lookups!$B$28,"Afternoon","Evening")))</f>
        <v>Afternoon</v>
      </c>
      <c r="AA470" s="26">
        <f>ROUND($N470*(Lookups!$B$16-Lookups!$B$15)+Lookups!$B$15,1)</f>
        <v>1.4</v>
      </c>
      <c r="AB470" s="26">
        <f>ROUND($P470*(Lookups!$B$18-Lookups!$B$17)+Lookups!$B$17,1)</f>
        <v>-6</v>
      </c>
      <c r="AC470" s="23">
        <f t="shared" si="44"/>
        <v>21</v>
      </c>
      <c r="AD470" s="23">
        <f>ROUND($R470*Lookups!$B$19,1)</f>
        <v>39</v>
      </c>
      <c r="AE470" s="27">
        <f t="shared" si="45"/>
        <v>0.8904109589041096</v>
      </c>
      <c r="AF470" s="23" t="str">
        <f>IF($U470&gt;=Lookups!$B$23,"High",IF($U470&gt;=Lookups!$B$22,"Medium","Low"))</f>
        <v>Medium</v>
      </c>
      <c r="AG470" s="23">
        <f>ROUND(IF($V470="Weekday",IF(INDEX(Hourly_Analysis!$D$5:$D$28,$J470+1)&gt;0,($U470-INDEX(Hourly_Analysis!$C$5:$C$28,$J470+1))/INDEX(Hourly_Analysis!$D$5:$D$28,$J470+1),0),IF(INDEX(Hourly_Analysis!$G$5:$G$28,$J470+1)&gt;0,($U470-INDEX(Hourly_Analysis!$F$5:$F$28,$J470+1))/INDEX(Hourly_Analysis!$G$5:$G$28,$J470+1),0)),2)</f>
        <v>0.34</v>
      </c>
      <c r="AH470" s="23" t="str">
        <f>IF(ABS($AG470)&gt;Lookups!$B$20,IF($AG470&gt;0,"High anomaly","Low anomaly"),"")</f>
        <v/>
      </c>
      <c r="AI470" s="23" t="str">
        <f t="shared" si="46"/>
        <v>OK</v>
      </c>
      <c r="AJ470" s="23" t="str">
        <f t="shared" si="47"/>
        <v>No</v>
      </c>
    </row>
    <row r="471" spans="1:36" x14ac:dyDescent="0.35">
      <c r="A471" s="23">
        <v>470</v>
      </c>
      <c r="B471" s="23" t="str">
        <f t="shared" si="42"/>
        <v>Merge 1+2</v>
      </c>
      <c r="C471" s="23">
        <f>IFERROR(MATCH($A471,Merge_1_2!$A$2:$A$611,0),0)</f>
        <v>470</v>
      </c>
      <c r="D471" s="23">
        <f>IF($C471&gt;0,INDEX(Merge_1_2!$Q$2:$Q$611,$C471),0)</f>
        <v>470</v>
      </c>
      <c r="E471" s="23">
        <f>IFERROR(MATCH($A471,Dataset3_Raw!$A$2:$A$391,0),0)</f>
        <v>0</v>
      </c>
      <c r="F471" s="24">
        <f>IF($C471&gt;0,INDEX(Merge_1_2!$B$2:$B$611,$C471),DATE(VALUE(RIGHT(INDEX(Dataset3_Raw!$B$2:$B$391,$E471),4)),VALUE(MID(INDEX(Dataset3_Raw!$B$2:$B$391,$E471),4,2)),VALUE(LEFT(INDEX(Dataset3_Raw!$B$2:$B$391,$E471),2))))</f>
        <v>40564</v>
      </c>
      <c r="G471" s="23">
        <f>IF($C471&gt;0,INDEX(Merge_1_2!$C$2:$C$611,$C471),INDEX(Dataset3_Raw!$C$2:$C$391,$E471))</f>
        <v>1</v>
      </c>
      <c r="H471" s="23">
        <f>IF($C471&gt;0,INDEX(Merge_1_2!$D$2:$D$611,$C471),INDEX(Dataset3_Raw!$D$2:$D$391,$E471))</f>
        <v>0</v>
      </c>
      <c r="I471" s="23">
        <f>IF($C471&gt;0,INDEX(Merge_1_2!$E$2:$E$611,$C471),INDEX(Dataset3_Raw!$E$2:$E$391,$E471))</f>
        <v>1</v>
      </c>
      <c r="J471" s="23">
        <f>IF($C471&gt;0,INDEX(Merge_1_2!$F$2:$F$611,$C471),INDEX(Dataset3_Raw!$F$2:$F$391,$E471))</f>
        <v>14</v>
      </c>
      <c r="K471" s="23" t="b">
        <f>IF($C471&gt;0,INDEX(Merge_1_2!$G$2:$G$611,$C471),INDEX(Dataset3_Raw!$G$2:$G$391,$E471))</f>
        <v>0</v>
      </c>
      <c r="L471" s="23">
        <f>IF($C471&gt;0,INDEX(Merge_1_2!$H$2:$H$611,$C471),INDEX(Dataset3_Raw!$H$2:$H$391,$E471))</f>
        <v>5</v>
      </c>
      <c r="M471" s="23">
        <f>IF($C471&gt;0,INDEX(Merge_1_2!$I$2:$I$611,$C471),INDEX(Dataset3_Raw!$I$2:$I$391,$E471))</f>
        <v>1</v>
      </c>
      <c r="N471" s="25">
        <f>IF($C471&gt;0,INDEX(Merge_1_2!$J$2:$J$611,$C471),INDEX(Dataset3_Raw!$J$2:$J$391,$E471))</f>
        <v>0.2</v>
      </c>
      <c r="O471" s="25">
        <f>IF($C471&gt;0,IF(ISNUMBER(INDEX(Merge_1_2!$K$2:$K$611,$C471)),INDEX(Merge_1_2!$K$2:$K$611,$C471),""),INDEX(Dataset3_Raw!$K$2:$K$391,$E471))</f>
        <v>0.1515</v>
      </c>
      <c r="P471" s="25">
        <f>IF(ISNUMBER($O471),$O471,ROUND(Lookups!$B$25+Lookups!$B$24*$N471,4))</f>
        <v>0.1515</v>
      </c>
      <c r="Q471" s="25">
        <f>IF($C471&gt;0,INDEX(Merge_1_2!$L$2:$L$611,$C471),INDEX(Dataset3_Raw!$L$2:$L$391,$E471))</f>
        <v>0.25</v>
      </c>
      <c r="R471" s="25">
        <f>IF($C471&gt;0,INDEX(Merge_1_2!$M$2:$M$611,$C471),INDEX(Dataset3_Raw!$M$2:$M$391,$E471))</f>
        <v>0.52239999999999998</v>
      </c>
      <c r="S471" s="23">
        <f>IF($C471&gt;0,INDEX(Merge_1_2!$N$2:$N$611,$C471),INDEX(Dataset3_Raw!$N$2:$N$391,$E471))</f>
        <v>6</v>
      </c>
      <c r="T471" s="23">
        <f>IF($C471&gt;0,INDEX(Merge_1_2!$O$2:$O$611,$C471),INDEX(Dataset3_Raw!$O$2:$O$391,$E471))</f>
        <v>56</v>
      </c>
      <c r="U471" s="23">
        <f>IF($C471&gt;0,INDEX(Merge_1_2!$P$2:$P$611,$C471),INDEX(Dataset3_Raw!$P$2:$P$391,$E471))</f>
        <v>62</v>
      </c>
      <c r="V471" s="23" t="str">
        <f t="shared" si="43"/>
        <v>Weekday</v>
      </c>
      <c r="W471" s="23" t="str">
        <f>VLOOKUP($M471,Lookups!$A$5:$B$8,2,FALSE())</f>
        <v>Clear / Partly cloudy</v>
      </c>
      <c r="X471" s="23" t="str">
        <f>VLOOKUP($G471,Lookups!$D$5:$E$8,2,FALSE())</f>
        <v>Winter</v>
      </c>
      <c r="Y471" s="23" t="str">
        <f>VLOOKUP($L471,Lookups!$G$5:$H$11,2,FALSE())</f>
        <v>Friday</v>
      </c>
      <c r="Z471" s="23" t="str">
        <f>IF($J471&lt;Lookups!$B$26,"Night",IF($J471&lt;Lookups!$B$27,"Morning",IF($J471&lt;Lookups!$B$28,"Afternoon","Evening")))</f>
        <v>Afternoon</v>
      </c>
      <c r="AA471" s="26">
        <f>ROUND($N471*(Lookups!$B$16-Lookups!$B$15)+Lookups!$B$15,1)</f>
        <v>1.4</v>
      </c>
      <c r="AB471" s="26">
        <f>ROUND($P471*(Lookups!$B$18-Lookups!$B$17)+Lookups!$B$17,1)</f>
        <v>-6</v>
      </c>
      <c r="AC471" s="23">
        <f t="shared" si="44"/>
        <v>25</v>
      </c>
      <c r="AD471" s="23">
        <f>ROUND($R471*Lookups!$B$19,1)</f>
        <v>35</v>
      </c>
      <c r="AE471" s="27">
        <f t="shared" si="45"/>
        <v>0.90322580645161288</v>
      </c>
      <c r="AF471" s="23" t="str">
        <f>IF($U471&gt;=Lookups!$B$23,"High",IF($U471&gt;=Lookups!$B$22,"Medium","Low"))</f>
        <v>Medium</v>
      </c>
      <c r="AG471" s="23">
        <f>ROUND(IF($V471="Weekday",IF(INDEX(Hourly_Analysis!$D$5:$D$28,$J471+1)&gt;0,($U471-INDEX(Hourly_Analysis!$C$5:$C$28,$J471+1))/INDEX(Hourly_Analysis!$D$5:$D$28,$J471+1),0),IF(INDEX(Hourly_Analysis!$G$5:$G$28,$J471+1)&gt;0,($U471-INDEX(Hourly_Analysis!$F$5:$F$28,$J471+1))/INDEX(Hourly_Analysis!$G$5:$G$28,$J471+1),0)),2)</f>
        <v>0.15</v>
      </c>
      <c r="AH471" s="23" t="str">
        <f>IF(ABS($AG471)&gt;Lookups!$B$20,IF($AG471&gt;0,"High anomaly","Low anomaly"),"")</f>
        <v/>
      </c>
      <c r="AI471" s="23" t="str">
        <f t="shared" si="46"/>
        <v>OK</v>
      </c>
      <c r="AJ471" s="23" t="str">
        <f t="shared" si="47"/>
        <v>No</v>
      </c>
    </row>
    <row r="472" spans="1:36" x14ac:dyDescent="0.35">
      <c r="A472" s="23">
        <v>471</v>
      </c>
      <c r="B472" s="23" t="str">
        <f t="shared" si="42"/>
        <v>Merge 1+2</v>
      </c>
      <c r="C472" s="23">
        <f>IFERROR(MATCH($A472,Merge_1_2!$A$2:$A$611,0),0)</f>
        <v>471</v>
      </c>
      <c r="D472" s="23">
        <f>IF($C472&gt;0,INDEX(Merge_1_2!$Q$2:$Q$611,$C472),0)</f>
        <v>471</v>
      </c>
      <c r="E472" s="23">
        <f>IFERROR(MATCH($A472,Dataset3_Raw!$A$2:$A$391,0),0)</f>
        <v>0</v>
      </c>
      <c r="F472" s="24">
        <f>IF($C472&gt;0,INDEX(Merge_1_2!$B$2:$B$611,$C472),DATE(VALUE(RIGHT(INDEX(Dataset3_Raw!$B$2:$B$391,$E472),4)),VALUE(MID(INDEX(Dataset3_Raw!$B$2:$B$391,$E472),4,2)),VALUE(LEFT(INDEX(Dataset3_Raw!$B$2:$B$391,$E472),2))))</f>
        <v>40564</v>
      </c>
      <c r="G472" s="23">
        <f>IF($C472&gt;0,INDEX(Merge_1_2!$C$2:$C$611,$C472),INDEX(Dataset3_Raw!$C$2:$C$391,$E472))</f>
        <v>1</v>
      </c>
      <c r="H472" s="23">
        <f>IF($C472&gt;0,INDEX(Merge_1_2!$D$2:$D$611,$C472),INDEX(Dataset3_Raw!$D$2:$D$391,$E472))</f>
        <v>0</v>
      </c>
      <c r="I472" s="23">
        <f>IF($C472&gt;0,INDEX(Merge_1_2!$E$2:$E$611,$C472),INDEX(Dataset3_Raw!$E$2:$E$391,$E472))</f>
        <v>1</v>
      </c>
      <c r="J472" s="23">
        <f>IF($C472&gt;0,INDEX(Merge_1_2!$F$2:$F$611,$C472),INDEX(Dataset3_Raw!$F$2:$F$391,$E472))</f>
        <v>15</v>
      </c>
      <c r="K472" s="23" t="b">
        <f>IF($C472&gt;0,INDEX(Merge_1_2!$G$2:$G$611,$C472),INDEX(Dataset3_Raw!$G$2:$G$391,$E472))</f>
        <v>0</v>
      </c>
      <c r="L472" s="23">
        <f>IF($C472&gt;0,INDEX(Merge_1_2!$H$2:$H$611,$C472),INDEX(Dataset3_Raw!$H$2:$H$391,$E472))</f>
        <v>5</v>
      </c>
      <c r="M472" s="23">
        <f>IF($C472&gt;0,INDEX(Merge_1_2!$I$2:$I$611,$C472),INDEX(Dataset3_Raw!$I$2:$I$391,$E472))</f>
        <v>1</v>
      </c>
      <c r="N472" s="25">
        <f>IF($C472&gt;0,INDEX(Merge_1_2!$J$2:$J$611,$C472),INDEX(Dataset3_Raw!$J$2:$J$391,$E472))</f>
        <v>0.16</v>
      </c>
      <c r="O472" s="25">
        <f>IF($C472&gt;0,IF(ISNUMBER(INDEX(Merge_1_2!$K$2:$K$611,$C472)),INDEX(Merge_1_2!$K$2:$K$611,$C472),""),INDEX(Dataset3_Raw!$K$2:$K$391,$E472))</f>
        <v>0.1212</v>
      </c>
      <c r="P472" s="25">
        <f>IF(ISNUMBER($O472),$O472,ROUND(Lookups!$B$25+Lookups!$B$24*$N472,4))</f>
        <v>0.1212</v>
      </c>
      <c r="Q472" s="25">
        <f>IF($C472&gt;0,INDEX(Merge_1_2!$L$2:$L$611,$C472),INDEX(Dataset3_Raw!$L$2:$L$391,$E472))</f>
        <v>0.26</v>
      </c>
      <c r="R472" s="25">
        <f>IF($C472&gt;0,INDEX(Merge_1_2!$M$2:$M$611,$C472),INDEX(Dataset3_Raw!$M$2:$M$391,$E472))</f>
        <v>0.44779999999999998</v>
      </c>
      <c r="S472" s="23">
        <f>IF($C472&gt;0,INDEX(Merge_1_2!$N$2:$N$611,$C472),INDEX(Dataset3_Raw!$N$2:$N$391,$E472))</f>
        <v>4</v>
      </c>
      <c r="T472" s="23">
        <f>IF($C472&gt;0,INDEX(Merge_1_2!$O$2:$O$611,$C472),INDEX(Dataset3_Raw!$O$2:$O$391,$E472))</f>
        <v>61</v>
      </c>
      <c r="U472" s="23">
        <f>IF($C472&gt;0,INDEX(Merge_1_2!$P$2:$P$611,$C472),INDEX(Dataset3_Raw!$P$2:$P$391,$E472))</f>
        <v>65</v>
      </c>
      <c r="V472" s="23" t="str">
        <f t="shared" si="43"/>
        <v>Weekday</v>
      </c>
      <c r="W472" s="23" t="str">
        <f>VLOOKUP($M472,Lookups!$A$5:$B$8,2,FALSE())</f>
        <v>Clear / Partly cloudy</v>
      </c>
      <c r="X472" s="23" t="str">
        <f>VLOOKUP($G472,Lookups!$D$5:$E$8,2,FALSE())</f>
        <v>Winter</v>
      </c>
      <c r="Y472" s="23" t="str">
        <f>VLOOKUP($L472,Lookups!$G$5:$H$11,2,FALSE())</f>
        <v>Friday</v>
      </c>
      <c r="Z472" s="23" t="str">
        <f>IF($J472&lt;Lookups!$B$26,"Night",IF($J472&lt;Lookups!$B$27,"Morning",IF($J472&lt;Lookups!$B$28,"Afternoon","Evening")))</f>
        <v>Afternoon</v>
      </c>
      <c r="AA472" s="26">
        <f>ROUND($N472*(Lookups!$B$16-Lookups!$B$15)+Lookups!$B$15,1)</f>
        <v>-0.5</v>
      </c>
      <c r="AB472" s="26">
        <f>ROUND($P472*(Lookups!$B$18-Lookups!$B$17)+Lookups!$B$17,1)</f>
        <v>-8</v>
      </c>
      <c r="AC472" s="23">
        <f t="shared" si="44"/>
        <v>26</v>
      </c>
      <c r="AD472" s="23">
        <f>ROUND($R472*Lookups!$B$19,1)</f>
        <v>30</v>
      </c>
      <c r="AE472" s="27">
        <f t="shared" si="45"/>
        <v>0.93846153846153846</v>
      </c>
      <c r="AF472" s="23" t="str">
        <f>IF($U472&gt;=Lookups!$B$23,"High",IF($U472&gt;=Lookups!$B$22,"Medium","Low"))</f>
        <v>Medium</v>
      </c>
      <c r="AG472" s="23">
        <f>ROUND(IF($V472="Weekday",IF(INDEX(Hourly_Analysis!$D$5:$D$28,$J472+1)&gt;0,($U472-INDEX(Hourly_Analysis!$C$5:$C$28,$J472+1))/INDEX(Hourly_Analysis!$D$5:$D$28,$J472+1),0),IF(INDEX(Hourly_Analysis!$G$5:$G$28,$J472+1)&gt;0,($U472-INDEX(Hourly_Analysis!$F$5:$F$28,$J472+1))/INDEX(Hourly_Analysis!$G$5:$G$28,$J472+1),0)),2)</f>
        <v>0.33</v>
      </c>
      <c r="AH472" s="23" t="str">
        <f>IF(ABS($AG472)&gt;Lookups!$B$20,IF($AG472&gt;0,"High anomaly","Low anomaly"),"")</f>
        <v/>
      </c>
      <c r="AI472" s="23" t="str">
        <f t="shared" si="46"/>
        <v>OK</v>
      </c>
      <c r="AJ472" s="23" t="str">
        <f t="shared" si="47"/>
        <v>No</v>
      </c>
    </row>
    <row r="473" spans="1:36" x14ac:dyDescent="0.35">
      <c r="A473" s="23">
        <v>472</v>
      </c>
      <c r="B473" s="23" t="str">
        <f t="shared" si="42"/>
        <v>Merge 1+2</v>
      </c>
      <c r="C473" s="23">
        <f>IFERROR(MATCH($A473,Merge_1_2!$A$2:$A$611,0),0)</f>
        <v>472</v>
      </c>
      <c r="D473" s="23">
        <f>IF($C473&gt;0,INDEX(Merge_1_2!$Q$2:$Q$611,$C473),0)</f>
        <v>472</v>
      </c>
      <c r="E473" s="23">
        <f>IFERROR(MATCH($A473,Dataset3_Raw!$A$2:$A$391,0),0)</f>
        <v>0</v>
      </c>
      <c r="F473" s="24">
        <f>IF($C473&gt;0,INDEX(Merge_1_2!$B$2:$B$611,$C473),DATE(VALUE(RIGHT(INDEX(Dataset3_Raw!$B$2:$B$391,$E473),4)),VALUE(MID(INDEX(Dataset3_Raw!$B$2:$B$391,$E473),4,2)),VALUE(LEFT(INDEX(Dataset3_Raw!$B$2:$B$391,$E473),2))))</f>
        <v>40564</v>
      </c>
      <c r="G473" s="23">
        <f>IF($C473&gt;0,INDEX(Merge_1_2!$C$2:$C$611,$C473),INDEX(Dataset3_Raw!$C$2:$C$391,$E473))</f>
        <v>1</v>
      </c>
      <c r="H473" s="23">
        <f>IF($C473&gt;0,INDEX(Merge_1_2!$D$2:$D$611,$C473),INDEX(Dataset3_Raw!$D$2:$D$391,$E473))</f>
        <v>0</v>
      </c>
      <c r="I473" s="23">
        <f>IF($C473&gt;0,INDEX(Merge_1_2!$E$2:$E$611,$C473),INDEX(Dataset3_Raw!$E$2:$E$391,$E473))</f>
        <v>1</v>
      </c>
      <c r="J473" s="23">
        <f>IF($C473&gt;0,INDEX(Merge_1_2!$F$2:$F$611,$C473),INDEX(Dataset3_Raw!$F$2:$F$391,$E473))</f>
        <v>16</v>
      </c>
      <c r="K473" s="23" t="b">
        <f>IF($C473&gt;0,INDEX(Merge_1_2!$G$2:$G$611,$C473),INDEX(Dataset3_Raw!$G$2:$G$391,$E473))</f>
        <v>0</v>
      </c>
      <c r="L473" s="23">
        <f>IF($C473&gt;0,INDEX(Merge_1_2!$H$2:$H$611,$C473),INDEX(Dataset3_Raw!$H$2:$H$391,$E473))</f>
        <v>5</v>
      </c>
      <c r="M473" s="23">
        <f>IF($C473&gt;0,INDEX(Merge_1_2!$I$2:$I$611,$C473),INDEX(Dataset3_Raw!$I$2:$I$391,$E473))</f>
        <v>1</v>
      </c>
      <c r="N473" s="25">
        <f>IF($C473&gt;0,INDEX(Merge_1_2!$J$2:$J$611,$C473),INDEX(Dataset3_Raw!$J$2:$J$391,$E473))</f>
        <v>0.16</v>
      </c>
      <c r="O473" s="25">
        <f>IF($C473&gt;0,IF(ISNUMBER(INDEX(Merge_1_2!$K$2:$K$611,$C473)),INDEX(Merge_1_2!$K$2:$K$611,$C473),""),INDEX(Dataset3_Raw!$K$2:$K$391,$E473))</f>
        <v>0.13639999999999999</v>
      </c>
      <c r="P473" s="25">
        <f>IF(ISNUMBER($O473),$O473,ROUND(Lookups!$B$25+Lookups!$B$24*$N473,4))</f>
        <v>0.13639999999999999</v>
      </c>
      <c r="Q473" s="25">
        <f>IF($C473&gt;0,INDEX(Merge_1_2!$L$2:$L$611,$C473),INDEX(Dataset3_Raw!$L$2:$L$391,$E473))</f>
        <v>0.26</v>
      </c>
      <c r="R473" s="25">
        <f>IF($C473&gt;0,INDEX(Merge_1_2!$M$2:$M$611,$C473),INDEX(Dataset3_Raw!$M$2:$M$391,$E473))</f>
        <v>0.35820000000000002</v>
      </c>
      <c r="S473" s="23">
        <f>IF($C473&gt;0,INDEX(Merge_1_2!$N$2:$N$611,$C473),INDEX(Dataset3_Raw!$N$2:$N$391,$E473))</f>
        <v>0</v>
      </c>
      <c r="T473" s="23">
        <f>IF($C473&gt;0,INDEX(Merge_1_2!$O$2:$O$611,$C473),INDEX(Dataset3_Raw!$O$2:$O$391,$E473))</f>
        <v>97</v>
      </c>
      <c r="U473" s="23">
        <f>IF($C473&gt;0,INDEX(Merge_1_2!$P$2:$P$611,$C473),INDEX(Dataset3_Raw!$P$2:$P$391,$E473))</f>
        <v>97</v>
      </c>
      <c r="V473" s="23" t="str">
        <f t="shared" si="43"/>
        <v>Weekday</v>
      </c>
      <c r="W473" s="23" t="str">
        <f>VLOOKUP($M473,Lookups!$A$5:$B$8,2,FALSE())</f>
        <v>Clear / Partly cloudy</v>
      </c>
      <c r="X473" s="23" t="str">
        <f>VLOOKUP($G473,Lookups!$D$5:$E$8,2,FALSE())</f>
        <v>Winter</v>
      </c>
      <c r="Y473" s="23" t="str">
        <f>VLOOKUP($L473,Lookups!$G$5:$H$11,2,FALSE())</f>
        <v>Friday</v>
      </c>
      <c r="Z473" s="23" t="str">
        <f>IF($J473&lt;Lookups!$B$26,"Night",IF($J473&lt;Lookups!$B$27,"Morning",IF($J473&lt;Lookups!$B$28,"Afternoon","Evening")))</f>
        <v>Afternoon</v>
      </c>
      <c r="AA473" s="26">
        <f>ROUND($N473*(Lookups!$B$16-Lookups!$B$15)+Lookups!$B$15,1)</f>
        <v>-0.5</v>
      </c>
      <c r="AB473" s="26">
        <f>ROUND($P473*(Lookups!$B$18-Lookups!$B$17)+Lookups!$B$17,1)</f>
        <v>-7</v>
      </c>
      <c r="AC473" s="23">
        <f t="shared" si="44"/>
        <v>26</v>
      </c>
      <c r="AD473" s="23">
        <f>ROUND($R473*Lookups!$B$19,1)</f>
        <v>24</v>
      </c>
      <c r="AE473" s="27">
        <f t="shared" si="45"/>
        <v>1</v>
      </c>
      <c r="AF473" s="23" t="str">
        <f>IF($U473&gt;=Lookups!$B$23,"High",IF($U473&gt;=Lookups!$B$22,"Medium","Low"))</f>
        <v>High</v>
      </c>
      <c r="AG473" s="23">
        <f>ROUND(IF($V473="Weekday",IF(INDEX(Hourly_Analysis!$D$5:$D$28,$J473+1)&gt;0,($U473-INDEX(Hourly_Analysis!$C$5:$C$28,$J473+1))/INDEX(Hourly_Analysis!$D$5:$D$28,$J473+1),0),IF(INDEX(Hourly_Analysis!$G$5:$G$28,$J473+1)&gt;0,($U473-INDEX(Hourly_Analysis!$F$5:$F$28,$J473+1))/INDEX(Hourly_Analysis!$G$5:$G$28,$J473+1),0)),2)</f>
        <v>0.68</v>
      </c>
      <c r="AH473" s="23" t="str">
        <f>IF(ABS($AG473)&gt;Lookups!$B$20,IF($AG473&gt;0,"High anomaly","Low anomaly"),"")</f>
        <v/>
      </c>
      <c r="AI473" s="23" t="str">
        <f t="shared" si="46"/>
        <v>OK</v>
      </c>
      <c r="AJ473" s="23" t="str">
        <f t="shared" si="47"/>
        <v>No</v>
      </c>
    </row>
    <row r="474" spans="1:36" x14ac:dyDescent="0.35">
      <c r="A474" s="23">
        <v>473</v>
      </c>
      <c r="B474" s="23" t="str">
        <f t="shared" si="42"/>
        <v>Merge 1+2</v>
      </c>
      <c r="C474" s="23">
        <f>IFERROR(MATCH($A474,Merge_1_2!$A$2:$A$611,0),0)</f>
        <v>473</v>
      </c>
      <c r="D474" s="23">
        <f>IF($C474&gt;0,INDEX(Merge_1_2!$Q$2:$Q$611,$C474),0)</f>
        <v>473</v>
      </c>
      <c r="E474" s="23">
        <f>IFERROR(MATCH($A474,Dataset3_Raw!$A$2:$A$391,0),0)</f>
        <v>0</v>
      </c>
      <c r="F474" s="24">
        <f>IF($C474&gt;0,INDEX(Merge_1_2!$B$2:$B$611,$C474),DATE(VALUE(RIGHT(INDEX(Dataset3_Raw!$B$2:$B$391,$E474),4)),VALUE(MID(INDEX(Dataset3_Raw!$B$2:$B$391,$E474),4,2)),VALUE(LEFT(INDEX(Dataset3_Raw!$B$2:$B$391,$E474),2))))</f>
        <v>40564</v>
      </c>
      <c r="G474" s="23">
        <f>IF($C474&gt;0,INDEX(Merge_1_2!$C$2:$C$611,$C474),INDEX(Dataset3_Raw!$C$2:$C$391,$E474))</f>
        <v>1</v>
      </c>
      <c r="H474" s="23">
        <f>IF($C474&gt;0,INDEX(Merge_1_2!$D$2:$D$611,$C474),INDEX(Dataset3_Raw!$D$2:$D$391,$E474))</f>
        <v>0</v>
      </c>
      <c r="I474" s="23">
        <f>IF($C474&gt;0,INDEX(Merge_1_2!$E$2:$E$611,$C474),INDEX(Dataset3_Raw!$E$2:$E$391,$E474))</f>
        <v>1</v>
      </c>
      <c r="J474" s="23">
        <f>IF($C474&gt;0,INDEX(Merge_1_2!$F$2:$F$611,$C474),INDEX(Dataset3_Raw!$F$2:$F$391,$E474))</f>
        <v>17</v>
      </c>
      <c r="K474" s="23" t="b">
        <f>IF($C474&gt;0,INDEX(Merge_1_2!$G$2:$G$611,$C474),INDEX(Dataset3_Raw!$G$2:$G$391,$E474))</f>
        <v>0</v>
      </c>
      <c r="L474" s="23">
        <f>IF($C474&gt;0,INDEX(Merge_1_2!$H$2:$H$611,$C474),INDEX(Dataset3_Raw!$H$2:$H$391,$E474))</f>
        <v>5</v>
      </c>
      <c r="M474" s="23">
        <f>IF($C474&gt;0,INDEX(Merge_1_2!$I$2:$I$611,$C474),INDEX(Dataset3_Raw!$I$2:$I$391,$E474))</f>
        <v>1</v>
      </c>
      <c r="N474" s="25">
        <f>IF($C474&gt;0,INDEX(Merge_1_2!$J$2:$J$611,$C474),INDEX(Dataset3_Raw!$J$2:$J$391,$E474))</f>
        <v>0.14000000000000001</v>
      </c>
      <c r="O474" s="25">
        <f>IF($C474&gt;0,IF(ISNUMBER(INDEX(Merge_1_2!$K$2:$K$611,$C474)),INDEX(Merge_1_2!$K$2:$K$611,$C474),""),INDEX(Dataset3_Raw!$K$2:$K$391,$E474))</f>
        <v>0.1212</v>
      </c>
      <c r="P474" s="25">
        <f>IF(ISNUMBER($O474),$O474,ROUND(Lookups!$B$25+Lookups!$B$24*$N474,4))</f>
        <v>0.1212</v>
      </c>
      <c r="Q474" s="25">
        <f>IF($C474&gt;0,INDEX(Merge_1_2!$L$2:$L$611,$C474),INDEX(Dataset3_Raw!$L$2:$L$391,$E474))</f>
        <v>0.28000000000000003</v>
      </c>
      <c r="R474" s="25">
        <f>IF($C474&gt;0,INDEX(Merge_1_2!$M$2:$M$611,$C474),INDEX(Dataset3_Raw!$M$2:$M$391,$E474))</f>
        <v>0.35820000000000002</v>
      </c>
      <c r="S474" s="23">
        <f>IF($C474&gt;0,INDEX(Merge_1_2!$N$2:$N$611,$C474),INDEX(Dataset3_Raw!$N$2:$N$391,$E474))</f>
        <v>10</v>
      </c>
      <c r="T474" s="23">
        <f>IF($C474&gt;0,INDEX(Merge_1_2!$O$2:$O$611,$C474),INDEX(Dataset3_Raw!$O$2:$O$391,$E474))</f>
        <v>151</v>
      </c>
      <c r="U474" s="23">
        <f>IF($C474&gt;0,INDEX(Merge_1_2!$P$2:$P$611,$C474),INDEX(Dataset3_Raw!$P$2:$P$391,$E474))</f>
        <v>161</v>
      </c>
      <c r="V474" s="23" t="str">
        <f t="shared" si="43"/>
        <v>Weekday</v>
      </c>
      <c r="W474" s="23" t="str">
        <f>VLOOKUP($M474,Lookups!$A$5:$B$8,2,FALSE())</f>
        <v>Clear / Partly cloudy</v>
      </c>
      <c r="X474" s="23" t="str">
        <f>VLOOKUP($G474,Lookups!$D$5:$E$8,2,FALSE())</f>
        <v>Winter</v>
      </c>
      <c r="Y474" s="23" t="str">
        <f>VLOOKUP($L474,Lookups!$G$5:$H$11,2,FALSE())</f>
        <v>Friday</v>
      </c>
      <c r="Z474" s="23" t="str">
        <f>IF($J474&lt;Lookups!$B$26,"Night",IF($J474&lt;Lookups!$B$27,"Morning",IF($J474&lt;Lookups!$B$28,"Afternoon","Evening")))</f>
        <v>Afternoon</v>
      </c>
      <c r="AA474" s="26">
        <f>ROUND($N474*(Lookups!$B$16-Lookups!$B$15)+Lookups!$B$15,1)</f>
        <v>-1.4</v>
      </c>
      <c r="AB474" s="26">
        <f>ROUND($P474*(Lookups!$B$18-Lookups!$B$17)+Lookups!$B$17,1)</f>
        <v>-8</v>
      </c>
      <c r="AC474" s="23">
        <f t="shared" si="44"/>
        <v>28</v>
      </c>
      <c r="AD474" s="23">
        <f>ROUND($R474*Lookups!$B$19,1)</f>
        <v>24</v>
      </c>
      <c r="AE474" s="27">
        <f t="shared" si="45"/>
        <v>0.93788819875776397</v>
      </c>
      <c r="AF474" s="23" t="str">
        <f>IF($U474&gt;=Lookups!$B$23,"High",IF($U474&gt;=Lookups!$B$22,"Medium","Low"))</f>
        <v>High</v>
      </c>
      <c r="AG474" s="23">
        <f>ROUND(IF($V474="Weekday",IF(INDEX(Hourly_Analysis!$D$5:$D$28,$J474+1)&gt;0,($U474-INDEX(Hourly_Analysis!$C$5:$C$28,$J474+1))/INDEX(Hourly_Analysis!$D$5:$D$28,$J474+1),0),IF(INDEX(Hourly_Analysis!$G$5:$G$28,$J474+1)&gt;0,($U474-INDEX(Hourly_Analysis!$F$5:$F$28,$J474+1))/INDEX(Hourly_Analysis!$G$5:$G$28,$J474+1),0)),2)</f>
        <v>-0.19</v>
      </c>
      <c r="AH474" s="23" t="str">
        <f>IF(ABS($AG474)&gt;Lookups!$B$20,IF($AG474&gt;0,"High anomaly","Low anomaly"),"")</f>
        <v/>
      </c>
      <c r="AI474" s="23" t="str">
        <f t="shared" si="46"/>
        <v>OK</v>
      </c>
      <c r="AJ474" s="23" t="str">
        <f t="shared" si="47"/>
        <v>No</v>
      </c>
    </row>
    <row r="475" spans="1:36" x14ac:dyDescent="0.35">
      <c r="A475" s="23">
        <v>474</v>
      </c>
      <c r="B475" s="23" t="str">
        <f t="shared" si="42"/>
        <v>Merge 1+2</v>
      </c>
      <c r="C475" s="23">
        <f>IFERROR(MATCH($A475,Merge_1_2!$A$2:$A$611,0),0)</f>
        <v>474</v>
      </c>
      <c r="D475" s="23">
        <f>IF($C475&gt;0,INDEX(Merge_1_2!$Q$2:$Q$611,$C475),0)</f>
        <v>474</v>
      </c>
      <c r="E475" s="23">
        <f>IFERROR(MATCH($A475,Dataset3_Raw!$A$2:$A$391,0),0)</f>
        <v>0</v>
      </c>
      <c r="F475" s="24">
        <f>IF($C475&gt;0,INDEX(Merge_1_2!$B$2:$B$611,$C475),DATE(VALUE(RIGHT(INDEX(Dataset3_Raw!$B$2:$B$391,$E475),4)),VALUE(MID(INDEX(Dataset3_Raw!$B$2:$B$391,$E475),4,2)),VALUE(LEFT(INDEX(Dataset3_Raw!$B$2:$B$391,$E475),2))))</f>
        <v>40564</v>
      </c>
      <c r="G475" s="23">
        <f>IF($C475&gt;0,INDEX(Merge_1_2!$C$2:$C$611,$C475),INDEX(Dataset3_Raw!$C$2:$C$391,$E475))</f>
        <v>1</v>
      </c>
      <c r="H475" s="23">
        <f>IF($C475&gt;0,INDEX(Merge_1_2!$D$2:$D$611,$C475),INDEX(Dataset3_Raw!$D$2:$D$391,$E475))</f>
        <v>0</v>
      </c>
      <c r="I475" s="23">
        <f>IF($C475&gt;0,INDEX(Merge_1_2!$E$2:$E$611,$C475),INDEX(Dataset3_Raw!$E$2:$E$391,$E475))</f>
        <v>1</v>
      </c>
      <c r="J475" s="23">
        <f>IF($C475&gt;0,INDEX(Merge_1_2!$F$2:$F$611,$C475),INDEX(Dataset3_Raw!$F$2:$F$391,$E475))</f>
        <v>18</v>
      </c>
      <c r="K475" s="23" t="b">
        <f>IF($C475&gt;0,INDEX(Merge_1_2!$G$2:$G$611,$C475),INDEX(Dataset3_Raw!$G$2:$G$391,$E475))</f>
        <v>0</v>
      </c>
      <c r="L475" s="23">
        <f>IF($C475&gt;0,INDEX(Merge_1_2!$H$2:$H$611,$C475),INDEX(Dataset3_Raw!$H$2:$H$391,$E475))</f>
        <v>5</v>
      </c>
      <c r="M475" s="23">
        <f>IF($C475&gt;0,INDEX(Merge_1_2!$I$2:$I$611,$C475),INDEX(Dataset3_Raw!$I$2:$I$391,$E475))</f>
        <v>1</v>
      </c>
      <c r="N475" s="25">
        <f>IF($C475&gt;0,INDEX(Merge_1_2!$J$2:$J$611,$C475),INDEX(Dataset3_Raw!$J$2:$J$391,$E475))</f>
        <v>0.12</v>
      </c>
      <c r="O475" s="25">
        <f>IF($C475&gt;0,IF(ISNUMBER(INDEX(Merge_1_2!$K$2:$K$611,$C475)),INDEX(Merge_1_2!$K$2:$K$611,$C475),""),INDEX(Dataset3_Raw!$K$2:$K$391,$E475))</f>
        <v>0.1212</v>
      </c>
      <c r="P475" s="25">
        <f>IF(ISNUMBER($O475),$O475,ROUND(Lookups!$B$25+Lookups!$B$24*$N475,4))</f>
        <v>0.1212</v>
      </c>
      <c r="Q475" s="25">
        <f>IF($C475&gt;0,INDEX(Merge_1_2!$L$2:$L$611,$C475),INDEX(Dataset3_Raw!$L$2:$L$391,$E475))</f>
        <v>0.3</v>
      </c>
      <c r="R475" s="25">
        <f>IF($C475&gt;0,INDEX(Merge_1_2!$M$2:$M$611,$C475),INDEX(Dataset3_Raw!$M$2:$M$391,$E475))</f>
        <v>0.25369999999999998</v>
      </c>
      <c r="S475" s="23">
        <f>IF($C475&gt;0,INDEX(Merge_1_2!$N$2:$N$611,$C475),INDEX(Dataset3_Raw!$N$2:$N$391,$E475))</f>
        <v>1</v>
      </c>
      <c r="T475" s="23">
        <f>IF($C475&gt;0,INDEX(Merge_1_2!$O$2:$O$611,$C475),INDEX(Dataset3_Raw!$O$2:$O$391,$E475))</f>
        <v>119</v>
      </c>
      <c r="U475" s="23">
        <f>IF($C475&gt;0,INDEX(Merge_1_2!$P$2:$P$611,$C475),INDEX(Dataset3_Raw!$P$2:$P$391,$E475))</f>
        <v>120</v>
      </c>
      <c r="V475" s="23" t="str">
        <f t="shared" si="43"/>
        <v>Weekday</v>
      </c>
      <c r="W475" s="23" t="str">
        <f>VLOOKUP($M475,Lookups!$A$5:$B$8,2,FALSE())</f>
        <v>Clear / Partly cloudy</v>
      </c>
      <c r="X475" s="23" t="str">
        <f>VLOOKUP($G475,Lookups!$D$5:$E$8,2,FALSE())</f>
        <v>Winter</v>
      </c>
      <c r="Y475" s="23" t="str">
        <f>VLOOKUP($L475,Lookups!$G$5:$H$11,2,FALSE())</f>
        <v>Friday</v>
      </c>
      <c r="Z475" s="23" t="str">
        <f>IF($J475&lt;Lookups!$B$26,"Night",IF($J475&lt;Lookups!$B$27,"Morning",IF($J475&lt;Lookups!$B$28,"Afternoon","Evening")))</f>
        <v>Evening</v>
      </c>
      <c r="AA475" s="26">
        <f>ROUND($N475*(Lookups!$B$16-Lookups!$B$15)+Lookups!$B$15,1)</f>
        <v>-2.4</v>
      </c>
      <c r="AB475" s="26">
        <f>ROUND($P475*(Lookups!$B$18-Lookups!$B$17)+Lookups!$B$17,1)</f>
        <v>-8</v>
      </c>
      <c r="AC475" s="23">
        <f t="shared" si="44"/>
        <v>30</v>
      </c>
      <c r="AD475" s="23">
        <f>ROUND($R475*Lookups!$B$19,1)</f>
        <v>17</v>
      </c>
      <c r="AE475" s="27">
        <f t="shared" si="45"/>
        <v>0.9916666666666667</v>
      </c>
      <c r="AF475" s="23" t="str">
        <f>IF($U475&gt;=Lookups!$B$23,"High",IF($U475&gt;=Lookups!$B$22,"Medium","Low"))</f>
        <v>High</v>
      </c>
      <c r="AG475" s="23">
        <f>ROUND(IF($V475="Weekday",IF(INDEX(Hourly_Analysis!$D$5:$D$28,$J475+1)&gt;0,($U475-INDEX(Hourly_Analysis!$C$5:$C$28,$J475+1))/INDEX(Hourly_Analysis!$D$5:$D$28,$J475+1),0),IF(INDEX(Hourly_Analysis!$G$5:$G$28,$J475+1)&gt;0,($U475-INDEX(Hourly_Analysis!$F$5:$F$28,$J475+1))/INDEX(Hourly_Analysis!$G$5:$G$28,$J475+1),0)),2)</f>
        <v>-1.21</v>
      </c>
      <c r="AH475" s="23" t="str">
        <f>IF(ABS($AG475)&gt;Lookups!$B$20,IF($AG475&gt;0,"High anomaly","Low anomaly"),"")</f>
        <v/>
      </c>
      <c r="AI475" s="23" t="str">
        <f t="shared" si="46"/>
        <v>OK</v>
      </c>
      <c r="AJ475" s="23" t="str">
        <f t="shared" si="47"/>
        <v>No</v>
      </c>
    </row>
    <row r="476" spans="1:36" x14ac:dyDescent="0.35">
      <c r="A476" s="23">
        <v>475</v>
      </c>
      <c r="B476" s="23" t="str">
        <f t="shared" si="42"/>
        <v>Merge 1+2</v>
      </c>
      <c r="C476" s="23">
        <f>IFERROR(MATCH($A476,Merge_1_2!$A$2:$A$611,0),0)</f>
        <v>475</v>
      </c>
      <c r="D476" s="23">
        <f>IF($C476&gt;0,INDEX(Merge_1_2!$Q$2:$Q$611,$C476),0)</f>
        <v>475</v>
      </c>
      <c r="E476" s="23">
        <f>IFERROR(MATCH($A476,Dataset3_Raw!$A$2:$A$391,0),0)</f>
        <v>0</v>
      </c>
      <c r="F476" s="24">
        <f>IF($C476&gt;0,INDEX(Merge_1_2!$B$2:$B$611,$C476),DATE(VALUE(RIGHT(INDEX(Dataset3_Raw!$B$2:$B$391,$E476),4)),VALUE(MID(INDEX(Dataset3_Raw!$B$2:$B$391,$E476),4,2)),VALUE(LEFT(INDEX(Dataset3_Raw!$B$2:$B$391,$E476),2))))</f>
        <v>40564</v>
      </c>
      <c r="G476" s="23">
        <f>IF($C476&gt;0,INDEX(Merge_1_2!$C$2:$C$611,$C476),INDEX(Dataset3_Raw!$C$2:$C$391,$E476))</f>
        <v>1</v>
      </c>
      <c r="H476" s="23">
        <f>IF($C476&gt;0,INDEX(Merge_1_2!$D$2:$D$611,$C476),INDEX(Dataset3_Raw!$D$2:$D$391,$E476))</f>
        <v>0</v>
      </c>
      <c r="I476" s="23">
        <f>IF($C476&gt;0,INDEX(Merge_1_2!$E$2:$E$611,$C476),INDEX(Dataset3_Raw!$E$2:$E$391,$E476))</f>
        <v>1</v>
      </c>
      <c r="J476" s="23">
        <f>IF($C476&gt;0,INDEX(Merge_1_2!$F$2:$F$611,$C476),INDEX(Dataset3_Raw!$F$2:$F$391,$E476))</f>
        <v>19</v>
      </c>
      <c r="K476" s="23" t="b">
        <f>IF($C476&gt;0,INDEX(Merge_1_2!$G$2:$G$611,$C476),INDEX(Dataset3_Raw!$G$2:$G$391,$E476))</f>
        <v>0</v>
      </c>
      <c r="L476" s="23">
        <f>IF($C476&gt;0,INDEX(Merge_1_2!$H$2:$H$611,$C476),INDEX(Dataset3_Raw!$H$2:$H$391,$E476))</f>
        <v>5</v>
      </c>
      <c r="M476" s="23">
        <f>IF($C476&gt;0,INDEX(Merge_1_2!$I$2:$I$611,$C476),INDEX(Dataset3_Raw!$I$2:$I$391,$E476))</f>
        <v>1</v>
      </c>
      <c r="N476" s="25">
        <f>IF($C476&gt;0,INDEX(Merge_1_2!$J$2:$J$611,$C476),INDEX(Dataset3_Raw!$J$2:$J$391,$E476))</f>
        <v>0.12</v>
      </c>
      <c r="O476" s="25">
        <f>IF($C476&gt;0,IF(ISNUMBER(INDEX(Merge_1_2!$K$2:$K$611,$C476)),INDEX(Merge_1_2!$K$2:$K$611,$C476),""),INDEX(Dataset3_Raw!$K$2:$K$391,$E476))</f>
        <v>0.1061</v>
      </c>
      <c r="P476" s="25">
        <f>IF(ISNUMBER($O476),$O476,ROUND(Lookups!$B$25+Lookups!$B$24*$N476,4))</f>
        <v>0.1061</v>
      </c>
      <c r="Q476" s="25">
        <f>IF($C476&gt;0,INDEX(Merge_1_2!$L$2:$L$611,$C476),INDEX(Dataset3_Raw!$L$2:$L$391,$E476))</f>
        <v>0.3</v>
      </c>
      <c r="R476" s="25">
        <f>IF($C476&gt;0,INDEX(Merge_1_2!$M$2:$M$611,$C476),INDEX(Dataset3_Raw!$M$2:$M$391,$E476))</f>
        <v>0.32840000000000003</v>
      </c>
      <c r="S476" s="23">
        <f>IF($C476&gt;0,INDEX(Merge_1_2!$N$2:$N$611,$C476),INDEX(Dataset3_Raw!$N$2:$N$391,$E476))</f>
        <v>3</v>
      </c>
      <c r="T476" s="23">
        <f>IF($C476&gt;0,INDEX(Merge_1_2!$O$2:$O$611,$C476),INDEX(Dataset3_Raw!$O$2:$O$391,$E476))</f>
        <v>93</v>
      </c>
      <c r="U476" s="23">
        <f>IF($C476&gt;0,INDEX(Merge_1_2!$P$2:$P$611,$C476),INDEX(Dataset3_Raw!$P$2:$P$391,$E476))</f>
        <v>96</v>
      </c>
      <c r="V476" s="23" t="str">
        <f t="shared" si="43"/>
        <v>Weekday</v>
      </c>
      <c r="W476" s="23" t="str">
        <f>VLOOKUP($M476,Lookups!$A$5:$B$8,2,FALSE())</f>
        <v>Clear / Partly cloudy</v>
      </c>
      <c r="X476" s="23" t="str">
        <f>VLOOKUP($G476,Lookups!$D$5:$E$8,2,FALSE())</f>
        <v>Winter</v>
      </c>
      <c r="Y476" s="23" t="str">
        <f>VLOOKUP($L476,Lookups!$G$5:$H$11,2,FALSE())</f>
        <v>Friday</v>
      </c>
      <c r="Z476" s="23" t="str">
        <f>IF($J476&lt;Lookups!$B$26,"Night",IF($J476&lt;Lookups!$B$27,"Morning",IF($J476&lt;Lookups!$B$28,"Afternoon","Evening")))</f>
        <v>Evening</v>
      </c>
      <c r="AA476" s="26">
        <f>ROUND($N476*(Lookups!$B$16-Lookups!$B$15)+Lookups!$B$15,1)</f>
        <v>-2.4</v>
      </c>
      <c r="AB476" s="26">
        <f>ROUND($P476*(Lookups!$B$18-Lookups!$B$17)+Lookups!$B$17,1)</f>
        <v>-9</v>
      </c>
      <c r="AC476" s="23">
        <f t="shared" si="44"/>
        <v>30</v>
      </c>
      <c r="AD476" s="23">
        <f>ROUND($R476*Lookups!$B$19,1)</f>
        <v>22</v>
      </c>
      <c r="AE476" s="27">
        <f t="shared" si="45"/>
        <v>0.96875</v>
      </c>
      <c r="AF476" s="23" t="str">
        <f>IF($U476&gt;=Lookups!$B$23,"High",IF($U476&gt;=Lookups!$B$22,"Medium","Low"))</f>
        <v>High</v>
      </c>
      <c r="AG476" s="23">
        <f>ROUND(IF($V476="Weekday",IF(INDEX(Hourly_Analysis!$D$5:$D$28,$J476+1)&gt;0,($U476-INDEX(Hourly_Analysis!$C$5:$C$28,$J476+1))/INDEX(Hourly_Analysis!$D$5:$D$28,$J476+1),0),IF(INDEX(Hourly_Analysis!$G$5:$G$28,$J476+1)&gt;0,($U476-INDEX(Hourly_Analysis!$F$5:$F$28,$J476+1))/INDEX(Hourly_Analysis!$G$5:$G$28,$J476+1),0)),2)</f>
        <v>-0.38</v>
      </c>
      <c r="AH476" s="23" t="str">
        <f>IF(ABS($AG476)&gt;Lookups!$B$20,IF($AG476&gt;0,"High anomaly","Low anomaly"),"")</f>
        <v/>
      </c>
      <c r="AI476" s="23" t="str">
        <f t="shared" si="46"/>
        <v>OK</v>
      </c>
      <c r="AJ476" s="23" t="str">
        <f t="shared" si="47"/>
        <v>No</v>
      </c>
    </row>
    <row r="477" spans="1:36" x14ac:dyDescent="0.35">
      <c r="A477" s="23">
        <v>476</v>
      </c>
      <c r="B477" s="23" t="str">
        <f t="shared" si="42"/>
        <v>Merge 1+2</v>
      </c>
      <c r="C477" s="23">
        <f>IFERROR(MATCH($A477,Merge_1_2!$A$2:$A$611,0),0)</f>
        <v>476</v>
      </c>
      <c r="D477" s="23">
        <f>IF($C477&gt;0,INDEX(Merge_1_2!$Q$2:$Q$611,$C477),0)</f>
        <v>476</v>
      </c>
      <c r="E477" s="23">
        <f>IFERROR(MATCH($A477,Dataset3_Raw!$A$2:$A$391,0),0)</f>
        <v>0</v>
      </c>
      <c r="F477" s="24">
        <f>IF($C477&gt;0,INDEX(Merge_1_2!$B$2:$B$611,$C477),DATE(VALUE(RIGHT(INDEX(Dataset3_Raw!$B$2:$B$391,$E477),4)),VALUE(MID(INDEX(Dataset3_Raw!$B$2:$B$391,$E477),4,2)),VALUE(LEFT(INDEX(Dataset3_Raw!$B$2:$B$391,$E477),2))))</f>
        <v>40564</v>
      </c>
      <c r="G477" s="23">
        <f>IF($C477&gt;0,INDEX(Merge_1_2!$C$2:$C$611,$C477),INDEX(Dataset3_Raw!$C$2:$C$391,$E477))</f>
        <v>1</v>
      </c>
      <c r="H477" s="23">
        <f>IF($C477&gt;0,INDEX(Merge_1_2!$D$2:$D$611,$C477),INDEX(Dataset3_Raw!$D$2:$D$391,$E477))</f>
        <v>0</v>
      </c>
      <c r="I477" s="23">
        <f>IF($C477&gt;0,INDEX(Merge_1_2!$E$2:$E$611,$C477),INDEX(Dataset3_Raw!$E$2:$E$391,$E477))</f>
        <v>1</v>
      </c>
      <c r="J477" s="23">
        <f>IF($C477&gt;0,INDEX(Merge_1_2!$F$2:$F$611,$C477),INDEX(Dataset3_Raw!$F$2:$F$391,$E477))</f>
        <v>20</v>
      </c>
      <c r="K477" s="23" t="b">
        <f>IF($C477&gt;0,INDEX(Merge_1_2!$G$2:$G$611,$C477),INDEX(Dataset3_Raw!$G$2:$G$391,$E477))</f>
        <v>0</v>
      </c>
      <c r="L477" s="23">
        <f>IF($C477&gt;0,INDEX(Merge_1_2!$H$2:$H$611,$C477),INDEX(Dataset3_Raw!$H$2:$H$391,$E477))</f>
        <v>5</v>
      </c>
      <c r="M477" s="23">
        <f>IF($C477&gt;0,INDEX(Merge_1_2!$I$2:$I$611,$C477),INDEX(Dataset3_Raw!$I$2:$I$391,$E477))</f>
        <v>1</v>
      </c>
      <c r="N477" s="25">
        <f>IF($C477&gt;0,INDEX(Merge_1_2!$J$2:$J$611,$C477),INDEX(Dataset3_Raw!$J$2:$J$391,$E477))</f>
        <v>0.1</v>
      </c>
      <c r="O477" s="25">
        <f>IF($C477&gt;0,IF(ISNUMBER(INDEX(Merge_1_2!$K$2:$K$611,$C477)),INDEX(Merge_1_2!$K$2:$K$611,$C477),""),INDEX(Dataset3_Raw!$K$2:$K$391,$E477))</f>
        <v>7.5800000000000006E-2</v>
      </c>
      <c r="P477" s="25">
        <f>IF(ISNUMBER($O477),$O477,ROUND(Lookups!$B$25+Lookups!$B$24*$N477,4))</f>
        <v>7.5800000000000006E-2</v>
      </c>
      <c r="Q477" s="25">
        <f>IF($C477&gt;0,INDEX(Merge_1_2!$L$2:$L$611,$C477),INDEX(Dataset3_Raw!$L$2:$L$391,$E477))</f>
        <v>0.33</v>
      </c>
      <c r="R477" s="25">
        <f>IF($C477&gt;0,INDEX(Merge_1_2!$M$2:$M$611,$C477),INDEX(Dataset3_Raw!$M$2:$M$391,$E477))</f>
        <v>0.41789999999999999</v>
      </c>
      <c r="S477" s="23">
        <f>IF($C477&gt;0,INDEX(Merge_1_2!$N$2:$N$611,$C477),INDEX(Dataset3_Raw!$N$2:$N$391,$E477))</f>
        <v>1</v>
      </c>
      <c r="T477" s="23">
        <f>IF($C477&gt;0,INDEX(Merge_1_2!$O$2:$O$611,$C477),INDEX(Dataset3_Raw!$O$2:$O$391,$E477))</f>
        <v>52</v>
      </c>
      <c r="U477" s="23">
        <f>IF($C477&gt;0,INDEX(Merge_1_2!$P$2:$P$611,$C477),INDEX(Dataset3_Raw!$P$2:$P$391,$E477))</f>
        <v>53</v>
      </c>
      <c r="V477" s="23" t="str">
        <f t="shared" si="43"/>
        <v>Weekday</v>
      </c>
      <c r="W477" s="23" t="str">
        <f>VLOOKUP($M477,Lookups!$A$5:$B$8,2,FALSE())</f>
        <v>Clear / Partly cloudy</v>
      </c>
      <c r="X477" s="23" t="str">
        <f>VLOOKUP($G477,Lookups!$D$5:$E$8,2,FALSE())</f>
        <v>Winter</v>
      </c>
      <c r="Y477" s="23" t="str">
        <f>VLOOKUP($L477,Lookups!$G$5:$H$11,2,FALSE())</f>
        <v>Friday</v>
      </c>
      <c r="Z477" s="23" t="str">
        <f>IF($J477&lt;Lookups!$B$26,"Night",IF($J477&lt;Lookups!$B$27,"Morning",IF($J477&lt;Lookups!$B$28,"Afternoon","Evening")))</f>
        <v>Evening</v>
      </c>
      <c r="AA477" s="26">
        <f>ROUND($N477*(Lookups!$B$16-Lookups!$B$15)+Lookups!$B$15,1)</f>
        <v>-3.3</v>
      </c>
      <c r="AB477" s="26">
        <f>ROUND($P477*(Lookups!$B$18-Lookups!$B$17)+Lookups!$B$17,1)</f>
        <v>-11</v>
      </c>
      <c r="AC477" s="23">
        <f t="shared" si="44"/>
        <v>33</v>
      </c>
      <c r="AD477" s="23">
        <f>ROUND($R477*Lookups!$B$19,1)</f>
        <v>28</v>
      </c>
      <c r="AE477" s="27">
        <f t="shared" si="45"/>
        <v>0.98113207547169812</v>
      </c>
      <c r="AF477" s="23" t="str">
        <f>IF($U477&gt;=Lookups!$B$23,"High",IF($U477&gt;=Lookups!$B$22,"Medium","Low"))</f>
        <v>Medium</v>
      </c>
      <c r="AG477" s="23">
        <f>ROUND(IF($V477="Weekday",IF(INDEX(Hourly_Analysis!$D$5:$D$28,$J477+1)&gt;0,($U477-INDEX(Hourly_Analysis!$C$5:$C$28,$J477+1))/INDEX(Hourly_Analysis!$D$5:$D$28,$J477+1),0),IF(INDEX(Hourly_Analysis!$G$5:$G$28,$J477+1)&gt;0,($U477-INDEX(Hourly_Analysis!$F$5:$F$28,$J477+1))/INDEX(Hourly_Analysis!$G$5:$G$28,$J477+1),0)),2)</f>
        <v>-0.98</v>
      </c>
      <c r="AH477" s="23" t="str">
        <f>IF(ABS($AG477)&gt;Lookups!$B$20,IF($AG477&gt;0,"High anomaly","Low anomaly"),"")</f>
        <v/>
      </c>
      <c r="AI477" s="23" t="str">
        <f t="shared" si="46"/>
        <v>OK</v>
      </c>
      <c r="AJ477" s="23" t="str">
        <f t="shared" si="47"/>
        <v>No</v>
      </c>
    </row>
    <row r="478" spans="1:36" x14ac:dyDescent="0.35">
      <c r="A478" s="23">
        <v>477</v>
      </c>
      <c r="B478" s="23" t="str">
        <f t="shared" si="42"/>
        <v>Merge 1+2</v>
      </c>
      <c r="C478" s="23">
        <f>IFERROR(MATCH($A478,Merge_1_2!$A$2:$A$611,0),0)</f>
        <v>477</v>
      </c>
      <c r="D478" s="23">
        <f>IF($C478&gt;0,INDEX(Merge_1_2!$Q$2:$Q$611,$C478),0)</f>
        <v>477</v>
      </c>
      <c r="E478" s="23">
        <f>IFERROR(MATCH($A478,Dataset3_Raw!$A$2:$A$391,0),0)</f>
        <v>0</v>
      </c>
      <c r="F478" s="24">
        <f>IF($C478&gt;0,INDEX(Merge_1_2!$B$2:$B$611,$C478),DATE(VALUE(RIGHT(INDEX(Dataset3_Raw!$B$2:$B$391,$E478),4)),VALUE(MID(INDEX(Dataset3_Raw!$B$2:$B$391,$E478),4,2)),VALUE(LEFT(INDEX(Dataset3_Raw!$B$2:$B$391,$E478),2))))</f>
        <v>40564</v>
      </c>
      <c r="G478" s="23">
        <f>IF($C478&gt;0,INDEX(Merge_1_2!$C$2:$C$611,$C478),INDEX(Dataset3_Raw!$C$2:$C$391,$E478))</f>
        <v>1</v>
      </c>
      <c r="H478" s="23">
        <f>IF($C478&gt;0,INDEX(Merge_1_2!$D$2:$D$611,$C478),INDEX(Dataset3_Raw!$D$2:$D$391,$E478))</f>
        <v>0</v>
      </c>
      <c r="I478" s="23">
        <f>IF($C478&gt;0,INDEX(Merge_1_2!$E$2:$E$611,$C478),INDEX(Dataset3_Raw!$E$2:$E$391,$E478))</f>
        <v>1</v>
      </c>
      <c r="J478" s="23">
        <f>IF($C478&gt;0,INDEX(Merge_1_2!$F$2:$F$611,$C478),INDEX(Dataset3_Raw!$F$2:$F$391,$E478))</f>
        <v>21</v>
      </c>
      <c r="K478" s="23" t="b">
        <f>IF($C478&gt;0,INDEX(Merge_1_2!$G$2:$G$611,$C478),INDEX(Dataset3_Raw!$G$2:$G$391,$E478))</f>
        <v>0</v>
      </c>
      <c r="L478" s="23">
        <f>IF($C478&gt;0,INDEX(Merge_1_2!$H$2:$H$611,$C478),INDEX(Dataset3_Raw!$H$2:$H$391,$E478))</f>
        <v>5</v>
      </c>
      <c r="M478" s="23">
        <f>IF($C478&gt;0,INDEX(Merge_1_2!$I$2:$I$611,$C478),INDEX(Dataset3_Raw!$I$2:$I$391,$E478))</f>
        <v>1</v>
      </c>
      <c r="N478" s="25">
        <f>IF($C478&gt;0,INDEX(Merge_1_2!$J$2:$J$611,$C478),INDEX(Dataset3_Raw!$J$2:$J$391,$E478))</f>
        <v>0.08</v>
      </c>
      <c r="O478" s="25">
        <f>IF($C478&gt;0,IF(ISNUMBER(INDEX(Merge_1_2!$K$2:$K$611,$C478)),INDEX(Merge_1_2!$K$2:$K$611,$C478),""),INDEX(Dataset3_Raw!$K$2:$K$391,$E478))</f>
        <v>7.5800000000000006E-2</v>
      </c>
      <c r="P478" s="25">
        <f>IF(ISNUMBER($O478),$O478,ROUND(Lookups!$B$25+Lookups!$B$24*$N478,4))</f>
        <v>7.5800000000000006E-2</v>
      </c>
      <c r="Q478" s="25">
        <f>IF($C478&gt;0,INDEX(Merge_1_2!$L$2:$L$611,$C478),INDEX(Dataset3_Raw!$L$2:$L$391,$E478))</f>
        <v>0.38</v>
      </c>
      <c r="R478" s="25">
        <f>IF($C478&gt;0,INDEX(Merge_1_2!$M$2:$M$611,$C478),INDEX(Dataset3_Raw!$M$2:$M$391,$E478))</f>
        <v>0.28360000000000002</v>
      </c>
      <c r="S478" s="23">
        <f>IF($C478&gt;0,INDEX(Merge_1_2!$N$2:$N$611,$C478),INDEX(Dataset3_Raw!$N$2:$N$391,$E478))</f>
        <v>0</v>
      </c>
      <c r="T478" s="23">
        <f>IF($C478&gt;0,INDEX(Merge_1_2!$O$2:$O$611,$C478),INDEX(Dataset3_Raw!$O$2:$O$391,$E478))</f>
        <v>41</v>
      </c>
      <c r="U478" s="23">
        <f>IF($C478&gt;0,INDEX(Merge_1_2!$P$2:$P$611,$C478),INDEX(Dataset3_Raw!$P$2:$P$391,$E478))</f>
        <v>41</v>
      </c>
      <c r="V478" s="23" t="str">
        <f t="shared" si="43"/>
        <v>Weekday</v>
      </c>
      <c r="W478" s="23" t="str">
        <f>VLOOKUP($M478,Lookups!$A$5:$B$8,2,FALSE())</f>
        <v>Clear / Partly cloudy</v>
      </c>
      <c r="X478" s="23" t="str">
        <f>VLOOKUP($G478,Lookups!$D$5:$E$8,2,FALSE())</f>
        <v>Winter</v>
      </c>
      <c r="Y478" s="23" t="str">
        <f>VLOOKUP($L478,Lookups!$G$5:$H$11,2,FALSE())</f>
        <v>Friday</v>
      </c>
      <c r="Z478" s="23" t="str">
        <f>IF($J478&lt;Lookups!$B$26,"Night",IF($J478&lt;Lookups!$B$27,"Morning",IF($J478&lt;Lookups!$B$28,"Afternoon","Evening")))</f>
        <v>Evening</v>
      </c>
      <c r="AA478" s="26">
        <f>ROUND($N478*(Lookups!$B$16-Lookups!$B$15)+Lookups!$B$15,1)</f>
        <v>-4.2</v>
      </c>
      <c r="AB478" s="26">
        <f>ROUND($P478*(Lookups!$B$18-Lookups!$B$17)+Lookups!$B$17,1)</f>
        <v>-11</v>
      </c>
      <c r="AC478" s="23">
        <f t="shared" si="44"/>
        <v>38</v>
      </c>
      <c r="AD478" s="23">
        <f>ROUND($R478*Lookups!$B$19,1)</f>
        <v>19</v>
      </c>
      <c r="AE478" s="27">
        <f t="shared" si="45"/>
        <v>1</v>
      </c>
      <c r="AF478" s="23" t="str">
        <f>IF($U478&gt;=Lookups!$B$23,"High",IF($U478&gt;=Lookups!$B$22,"Medium","Low"))</f>
        <v>Medium</v>
      </c>
      <c r="AG478" s="23">
        <f>ROUND(IF($V478="Weekday",IF(INDEX(Hourly_Analysis!$D$5:$D$28,$J478+1)&gt;0,($U478-INDEX(Hourly_Analysis!$C$5:$C$28,$J478+1))/INDEX(Hourly_Analysis!$D$5:$D$28,$J478+1),0),IF(INDEX(Hourly_Analysis!$G$5:$G$28,$J478+1)&gt;0,($U478-INDEX(Hourly_Analysis!$F$5:$F$28,$J478+1))/INDEX(Hourly_Analysis!$G$5:$G$28,$J478+1),0)),2)</f>
        <v>-0.81</v>
      </c>
      <c r="AH478" s="23" t="str">
        <f>IF(ABS($AG478)&gt;Lookups!$B$20,IF($AG478&gt;0,"High anomaly","Low anomaly"),"")</f>
        <v/>
      </c>
      <c r="AI478" s="23" t="str">
        <f t="shared" si="46"/>
        <v>OK</v>
      </c>
      <c r="AJ478" s="23" t="str">
        <f t="shared" si="47"/>
        <v>No</v>
      </c>
    </row>
    <row r="479" spans="1:36" x14ac:dyDescent="0.35">
      <c r="A479" s="23">
        <v>478</v>
      </c>
      <c r="B479" s="23" t="str">
        <f t="shared" si="42"/>
        <v>Merge 1+2</v>
      </c>
      <c r="C479" s="23">
        <f>IFERROR(MATCH($A479,Merge_1_2!$A$2:$A$611,0),0)</f>
        <v>478</v>
      </c>
      <c r="D479" s="23">
        <f>IF($C479&gt;0,INDEX(Merge_1_2!$Q$2:$Q$611,$C479),0)</f>
        <v>478</v>
      </c>
      <c r="E479" s="23">
        <f>IFERROR(MATCH($A479,Dataset3_Raw!$A$2:$A$391,0),0)</f>
        <v>0</v>
      </c>
      <c r="F479" s="24">
        <f>IF($C479&gt;0,INDEX(Merge_1_2!$B$2:$B$611,$C479),DATE(VALUE(RIGHT(INDEX(Dataset3_Raw!$B$2:$B$391,$E479),4)),VALUE(MID(INDEX(Dataset3_Raw!$B$2:$B$391,$E479),4,2)),VALUE(LEFT(INDEX(Dataset3_Raw!$B$2:$B$391,$E479),2))))</f>
        <v>40564</v>
      </c>
      <c r="G479" s="23">
        <f>IF($C479&gt;0,INDEX(Merge_1_2!$C$2:$C$611,$C479),INDEX(Dataset3_Raw!$C$2:$C$391,$E479))</f>
        <v>1</v>
      </c>
      <c r="H479" s="23">
        <f>IF($C479&gt;0,INDEX(Merge_1_2!$D$2:$D$611,$C479),INDEX(Dataset3_Raw!$D$2:$D$391,$E479))</f>
        <v>0</v>
      </c>
      <c r="I479" s="23">
        <f>IF($C479&gt;0,INDEX(Merge_1_2!$E$2:$E$611,$C479),INDEX(Dataset3_Raw!$E$2:$E$391,$E479))</f>
        <v>1</v>
      </c>
      <c r="J479" s="23">
        <f>IF($C479&gt;0,INDEX(Merge_1_2!$F$2:$F$611,$C479),INDEX(Dataset3_Raw!$F$2:$F$391,$E479))</f>
        <v>22</v>
      </c>
      <c r="K479" s="23" t="b">
        <f>IF($C479&gt;0,INDEX(Merge_1_2!$G$2:$G$611,$C479),INDEX(Dataset3_Raw!$G$2:$G$391,$E479))</f>
        <v>0</v>
      </c>
      <c r="L479" s="23">
        <f>IF($C479&gt;0,INDEX(Merge_1_2!$H$2:$H$611,$C479),INDEX(Dataset3_Raw!$H$2:$H$391,$E479))</f>
        <v>5</v>
      </c>
      <c r="M479" s="23">
        <f>IF($C479&gt;0,INDEX(Merge_1_2!$I$2:$I$611,$C479),INDEX(Dataset3_Raw!$I$2:$I$391,$E479))</f>
        <v>1</v>
      </c>
      <c r="N479" s="25">
        <f>IF($C479&gt;0,INDEX(Merge_1_2!$J$2:$J$611,$C479),INDEX(Dataset3_Raw!$J$2:$J$391,$E479))</f>
        <v>0.06</v>
      </c>
      <c r="O479" s="25">
        <f>IF($C479&gt;0,IF(ISNUMBER(INDEX(Merge_1_2!$K$2:$K$611,$C479)),INDEX(Merge_1_2!$K$2:$K$611,$C479),""),INDEX(Dataset3_Raw!$K$2:$K$391,$E479))</f>
        <v>3.0300000000000001E-2</v>
      </c>
      <c r="P479" s="25">
        <f>IF(ISNUMBER($O479),$O479,ROUND(Lookups!$B$25+Lookups!$B$24*$N479,4))</f>
        <v>3.0300000000000001E-2</v>
      </c>
      <c r="Q479" s="25">
        <f>IF($C479&gt;0,INDEX(Merge_1_2!$L$2:$L$611,$C479),INDEX(Dataset3_Raw!$L$2:$L$391,$E479))</f>
        <v>0.41</v>
      </c>
      <c r="R479" s="25">
        <f>IF($C479&gt;0,INDEX(Merge_1_2!$M$2:$M$611,$C479),INDEX(Dataset3_Raw!$M$2:$M$391,$E479))</f>
        <v>0.3881</v>
      </c>
      <c r="S479" s="23">
        <f>IF($C479&gt;0,INDEX(Merge_1_2!$N$2:$N$611,$C479),INDEX(Dataset3_Raw!$N$2:$N$391,$E479))</f>
        <v>1</v>
      </c>
      <c r="T479" s="23">
        <f>IF($C479&gt;0,INDEX(Merge_1_2!$O$2:$O$611,$C479),INDEX(Dataset3_Raw!$O$2:$O$391,$E479))</f>
        <v>33</v>
      </c>
      <c r="U479" s="23">
        <f>IF($C479&gt;0,INDEX(Merge_1_2!$P$2:$P$611,$C479),INDEX(Dataset3_Raw!$P$2:$P$391,$E479))</f>
        <v>34</v>
      </c>
      <c r="V479" s="23" t="str">
        <f t="shared" si="43"/>
        <v>Weekday</v>
      </c>
      <c r="W479" s="23" t="str">
        <f>VLOOKUP($M479,Lookups!$A$5:$B$8,2,FALSE())</f>
        <v>Clear / Partly cloudy</v>
      </c>
      <c r="X479" s="23" t="str">
        <f>VLOOKUP($G479,Lookups!$D$5:$E$8,2,FALSE())</f>
        <v>Winter</v>
      </c>
      <c r="Y479" s="23" t="str">
        <f>VLOOKUP($L479,Lookups!$G$5:$H$11,2,FALSE())</f>
        <v>Friday</v>
      </c>
      <c r="Z479" s="23" t="str">
        <f>IF($J479&lt;Lookups!$B$26,"Night",IF($J479&lt;Lookups!$B$27,"Morning",IF($J479&lt;Lookups!$B$28,"Afternoon","Evening")))</f>
        <v>Evening</v>
      </c>
      <c r="AA479" s="26">
        <f>ROUND($N479*(Lookups!$B$16-Lookups!$B$15)+Lookups!$B$15,1)</f>
        <v>-5.2</v>
      </c>
      <c r="AB479" s="26">
        <f>ROUND($P479*(Lookups!$B$18-Lookups!$B$17)+Lookups!$B$17,1)</f>
        <v>-14</v>
      </c>
      <c r="AC479" s="23">
        <f t="shared" si="44"/>
        <v>41</v>
      </c>
      <c r="AD479" s="23">
        <f>ROUND($R479*Lookups!$B$19,1)</f>
        <v>26</v>
      </c>
      <c r="AE479" s="27">
        <f t="shared" si="45"/>
        <v>0.97058823529411764</v>
      </c>
      <c r="AF479" s="23" t="str">
        <f>IF($U479&gt;=Lookups!$B$23,"High",IF($U479&gt;=Lookups!$B$22,"Medium","Low"))</f>
        <v>Medium</v>
      </c>
      <c r="AG479" s="23">
        <f>ROUND(IF($V479="Weekday",IF(INDEX(Hourly_Analysis!$D$5:$D$28,$J479+1)&gt;0,($U479-INDEX(Hourly_Analysis!$C$5:$C$28,$J479+1))/INDEX(Hourly_Analysis!$D$5:$D$28,$J479+1),0),IF(INDEX(Hourly_Analysis!$G$5:$G$28,$J479+1)&gt;0,($U479-INDEX(Hourly_Analysis!$F$5:$F$28,$J479+1))/INDEX(Hourly_Analysis!$G$5:$G$28,$J479+1),0)),2)</f>
        <v>-0.4</v>
      </c>
      <c r="AH479" s="23" t="str">
        <f>IF(ABS($AG479)&gt;Lookups!$B$20,IF($AG479&gt;0,"High anomaly","Low anomaly"),"")</f>
        <v/>
      </c>
      <c r="AI479" s="23" t="str">
        <f t="shared" si="46"/>
        <v>OK</v>
      </c>
      <c r="AJ479" s="23" t="str">
        <f t="shared" si="47"/>
        <v>No</v>
      </c>
    </row>
    <row r="480" spans="1:36" x14ac:dyDescent="0.35">
      <c r="A480" s="23">
        <v>479</v>
      </c>
      <c r="B480" s="23" t="str">
        <f t="shared" si="42"/>
        <v>Merge 1+2</v>
      </c>
      <c r="C480" s="23">
        <f>IFERROR(MATCH($A480,Merge_1_2!$A$2:$A$611,0),0)</f>
        <v>479</v>
      </c>
      <c r="D480" s="23">
        <f>IF($C480&gt;0,INDEX(Merge_1_2!$Q$2:$Q$611,$C480),0)</f>
        <v>479</v>
      </c>
      <c r="E480" s="23">
        <f>IFERROR(MATCH($A480,Dataset3_Raw!$A$2:$A$391,0),0)</f>
        <v>0</v>
      </c>
      <c r="F480" s="24">
        <f>IF($C480&gt;0,INDEX(Merge_1_2!$B$2:$B$611,$C480),DATE(VALUE(RIGHT(INDEX(Dataset3_Raw!$B$2:$B$391,$E480),4)),VALUE(MID(INDEX(Dataset3_Raw!$B$2:$B$391,$E480),4,2)),VALUE(LEFT(INDEX(Dataset3_Raw!$B$2:$B$391,$E480),2))))</f>
        <v>40564</v>
      </c>
      <c r="G480" s="23">
        <f>IF($C480&gt;0,INDEX(Merge_1_2!$C$2:$C$611,$C480),INDEX(Dataset3_Raw!$C$2:$C$391,$E480))</f>
        <v>1</v>
      </c>
      <c r="H480" s="23">
        <f>IF($C480&gt;0,INDEX(Merge_1_2!$D$2:$D$611,$C480),INDEX(Dataset3_Raw!$D$2:$D$391,$E480))</f>
        <v>0</v>
      </c>
      <c r="I480" s="23">
        <f>IF($C480&gt;0,INDEX(Merge_1_2!$E$2:$E$611,$C480),INDEX(Dataset3_Raw!$E$2:$E$391,$E480))</f>
        <v>1</v>
      </c>
      <c r="J480" s="23">
        <f>IF($C480&gt;0,INDEX(Merge_1_2!$F$2:$F$611,$C480),INDEX(Dataset3_Raw!$F$2:$F$391,$E480))</f>
        <v>23</v>
      </c>
      <c r="K480" s="23" t="b">
        <f>IF($C480&gt;0,INDEX(Merge_1_2!$G$2:$G$611,$C480),INDEX(Dataset3_Raw!$G$2:$G$391,$E480))</f>
        <v>0</v>
      </c>
      <c r="L480" s="23">
        <f>IF($C480&gt;0,INDEX(Merge_1_2!$H$2:$H$611,$C480),INDEX(Dataset3_Raw!$H$2:$H$391,$E480))</f>
        <v>5</v>
      </c>
      <c r="M480" s="23">
        <f>IF($C480&gt;0,INDEX(Merge_1_2!$I$2:$I$611,$C480),INDEX(Dataset3_Raw!$I$2:$I$391,$E480))</f>
        <v>1</v>
      </c>
      <c r="N480" s="25">
        <f>IF($C480&gt;0,INDEX(Merge_1_2!$J$2:$J$611,$C480),INDEX(Dataset3_Raw!$J$2:$J$391,$E480))</f>
        <v>0.06</v>
      </c>
      <c r="O480" s="25">
        <f>IF($C480&gt;0,IF(ISNUMBER(INDEX(Merge_1_2!$K$2:$K$611,$C480)),INDEX(Merge_1_2!$K$2:$K$611,$C480),""),INDEX(Dataset3_Raw!$K$2:$K$391,$E480))</f>
        <v>4.5499999999999999E-2</v>
      </c>
      <c r="P480" s="25">
        <f>IF(ISNUMBER($O480),$O480,ROUND(Lookups!$B$25+Lookups!$B$24*$N480,4))</f>
        <v>4.5499999999999999E-2</v>
      </c>
      <c r="Q480" s="25">
        <f>IF($C480&gt;0,INDEX(Merge_1_2!$L$2:$L$611,$C480),INDEX(Dataset3_Raw!$L$2:$L$391,$E480))</f>
        <v>0.38</v>
      </c>
      <c r="R480" s="25">
        <f>IF($C480&gt;0,INDEX(Merge_1_2!$M$2:$M$611,$C480),INDEX(Dataset3_Raw!$M$2:$M$391,$E480))</f>
        <v>0.32840000000000003</v>
      </c>
      <c r="S480" s="23">
        <f>IF($C480&gt;0,INDEX(Merge_1_2!$N$2:$N$611,$C480),INDEX(Dataset3_Raw!$N$2:$N$391,$E480))</f>
        <v>0</v>
      </c>
      <c r="T480" s="23">
        <f>IF($C480&gt;0,INDEX(Merge_1_2!$O$2:$O$611,$C480),INDEX(Dataset3_Raw!$O$2:$O$391,$E480))</f>
        <v>27</v>
      </c>
      <c r="U480" s="23">
        <f>IF($C480&gt;0,INDEX(Merge_1_2!$P$2:$P$611,$C480),INDEX(Dataset3_Raw!$P$2:$P$391,$E480))</f>
        <v>27</v>
      </c>
      <c r="V480" s="23" t="str">
        <f t="shared" si="43"/>
        <v>Weekday</v>
      </c>
      <c r="W480" s="23" t="str">
        <f>VLOOKUP($M480,Lookups!$A$5:$B$8,2,FALSE())</f>
        <v>Clear / Partly cloudy</v>
      </c>
      <c r="X480" s="23" t="str">
        <f>VLOOKUP($G480,Lookups!$D$5:$E$8,2,FALSE())</f>
        <v>Winter</v>
      </c>
      <c r="Y480" s="23" t="str">
        <f>VLOOKUP($L480,Lookups!$G$5:$H$11,2,FALSE())</f>
        <v>Friday</v>
      </c>
      <c r="Z480" s="23" t="str">
        <f>IF($J480&lt;Lookups!$B$26,"Night",IF($J480&lt;Lookups!$B$27,"Morning",IF($J480&lt;Lookups!$B$28,"Afternoon","Evening")))</f>
        <v>Evening</v>
      </c>
      <c r="AA480" s="26">
        <f>ROUND($N480*(Lookups!$B$16-Lookups!$B$15)+Lookups!$B$15,1)</f>
        <v>-5.2</v>
      </c>
      <c r="AB480" s="26">
        <f>ROUND($P480*(Lookups!$B$18-Lookups!$B$17)+Lookups!$B$17,1)</f>
        <v>-13</v>
      </c>
      <c r="AC480" s="23">
        <f t="shared" si="44"/>
        <v>38</v>
      </c>
      <c r="AD480" s="23">
        <f>ROUND($R480*Lookups!$B$19,1)</f>
        <v>22</v>
      </c>
      <c r="AE480" s="27">
        <f t="shared" si="45"/>
        <v>1</v>
      </c>
      <c r="AF480" s="23" t="str">
        <f>IF($U480&gt;=Lookups!$B$23,"High",IF($U480&gt;=Lookups!$B$22,"Medium","Low"))</f>
        <v>Medium</v>
      </c>
      <c r="AG480" s="23">
        <f>ROUND(IF($V480="Weekday",IF(INDEX(Hourly_Analysis!$D$5:$D$28,$J480+1)&gt;0,($U480-INDEX(Hourly_Analysis!$C$5:$C$28,$J480+1))/INDEX(Hourly_Analysis!$D$5:$D$28,$J480+1),0),IF(INDEX(Hourly_Analysis!$G$5:$G$28,$J480+1)&gt;0,($U480-INDEX(Hourly_Analysis!$F$5:$F$28,$J480+1))/INDEX(Hourly_Analysis!$G$5:$G$28,$J480+1),0)),2)</f>
        <v>0.26</v>
      </c>
      <c r="AH480" s="23" t="str">
        <f>IF(ABS($AG480)&gt;Lookups!$B$20,IF($AG480&gt;0,"High anomaly","Low anomaly"),"")</f>
        <v/>
      </c>
      <c r="AI480" s="23" t="str">
        <f t="shared" si="46"/>
        <v>OK</v>
      </c>
      <c r="AJ480" s="23" t="str">
        <f t="shared" si="47"/>
        <v>No</v>
      </c>
    </row>
    <row r="481" spans="1:36" x14ac:dyDescent="0.35">
      <c r="A481" s="23">
        <v>480</v>
      </c>
      <c r="B481" s="23" t="str">
        <f t="shared" si="42"/>
        <v>Merge 1+2</v>
      </c>
      <c r="C481" s="23">
        <f>IFERROR(MATCH($A481,Merge_1_2!$A$2:$A$611,0),0)</f>
        <v>480</v>
      </c>
      <c r="D481" s="23">
        <f>IF($C481&gt;0,INDEX(Merge_1_2!$Q$2:$Q$611,$C481),0)</f>
        <v>480</v>
      </c>
      <c r="E481" s="23">
        <f>IFERROR(MATCH($A481,Dataset3_Raw!$A$2:$A$391,0),0)</f>
        <v>0</v>
      </c>
      <c r="F481" s="24">
        <f>IF($C481&gt;0,INDEX(Merge_1_2!$B$2:$B$611,$C481),DATE(VALUE(RIGHT(INDEX(Dataset3_Raw!$B$2:$B$391,$E481),4)),VALUE(MID(INDEX(Dataset3_Raw!$B$2:$B$391,$E481),4,2)),VALUE(LEFT(INDEX(Dataset3_Raw!$B$2:$B$391,$E481),2))))</f>
        <v>40565</v>
      </c>
      <c r="G481" s="23">
        <f>IF($C481&gt;0,INDEX(Merge_1_2!$C$2:$C$611,$C481),INDEX(Dataset3_Raw!$C$2:$C$391,$E481))</f>
        <v>1</v>
      </c>
      <c r="H481" s="23">
        <f>IF($C481&gt;0,INDEX(Merge_1_2!$D$2:$D$611,$C481),INDEX(Dataset3_Raw!$D$2:$D$391,$E481))</f>
        <v>0</v>
      </c>
      <c r="I481" s="23">
        <f>IF($C481&gt;0,INDEX(Merge_1_2!$E$2:$E$611,$C481),INDEX(Dataset3_Raw!$E$2:$E$391,$E481))</f>
        <v>1</v>
      </c>
      <c r="J481" s="23">
        <f>IF($C481&gt;0,INDEX(Merge_1_2!$F$2:$F$611,$C481),INDEX(Dataset3_Raw!$F$2:$F$391,$E481))</f>
        <v>0</v>
      </c>
      <c r="K481" s="23" t="b">
        <f>IF($C481&gt;0,INDEX(Merge_1_2!$G$2:$G$611,$C481),INDEX(Dataset3_Raw!$G$2:$G$391,$E481))</f>
        <v>0</v>
      </c>
      <c r="L481" s="23">
        <f>IF($C481&gt;0,INDEX(Merge_1_2!$H$2:$H$611,$C481),INDEX(Dataset3_Raw!$H$2:$H$391,$E481))</f>
        <v>6</v>
      </c>
      <c r="M481" s="23">
        <f>IF($C481&gt;0,INDEX(Merge_1_2!$I$2:$I$611,$C481),INDEX(Dataset3_Raw!$I$2:$I$391,$E481))</f>
        <v>1</v>
      </c>
      <c r="N481" s="25">
        <f>IF($C481&gt;0,INDEX(Merge_1_2!$J$2:$J$611,$C481),INDEX(Dataset3_Raw!$J$2:$J$391,$E481))</f>
        <v>0.04</v>
      </c>
      <c r="O481" s="25">
        <f>IF($C481&gt;0,IF(ISNUMBER(INDEX(Merge_1_2!$K$2:$K$611,$C481)),INDEX(Merge_1_2!$K$2:$K$611,$C481),""),INDEX(Dataset3_Raw!$K$2:$K$391,$E481))</f>
        <v>3.0300000000000001E-2</v>
      </c>
      <c r="P481" s="25">
        <f>IF(ISNUMBER($O481),$O481,ROUND(Lookups!$B$25+Lookups!$B$24*$N481,4))</f>
        <v>3.0300000000000001E-2</v>
      </c>
      <c r="Q481" s="25">
        <f>IF($C481&gt;0,INDEX(Merge_1_2!$L$2:$L$611,$C481),INDEX(Dataset3_Raw!$L$2:$L$391,$E481))</f>
        <v>0.45</v>
      </c>
      <c r="R481" s="25">
        <f>IF($C481&gt;0,INDEX(Merge_1_2!$M$2:$M$611,$C481),INDEX(Dataset3_Raw!$M$2:$M$391,$E481))</f>
        <v>0.25369999999999998</v>
      </c>
      <c r="S481" s="23">
        <f>IF($C481&gt;0,INDEX(Merge_1_2!$N$2:$N$611,$C481),INDEX(Dataset3_Raw!$N$2:$N$391,$E481))</f>
        <v>0</v>
      </c>
      <c r="T481" s="23">
        <f>IF($C481&gt;0,INDEX(Merge_1_2!$O$2:$O$611,$C481),INDEX(Dataset3_Raw!$O$2:$O$391,$E481))</f>
        <v>13</v>
      </c>
      <c r="U481" s="23">
        <f>IF($C481&gt;0,INDEX(Merge_1_2!$P$2:$P$611,$C481),INDEX(Dataset3_Raw!$P$2:$P$391,$E481))</f>
        <v>13</v>
      </c>
      <c r="V481" s="23" t="str">
        <f t="shared" si="43"/>
        <v>Weekend</v>
      </c>
      <c r="W481" s="23" t="str">
        <f>VLOOKUP($M481,Lookups!$A$5:$B$8,2,FALSE())</f>
        <v>Clear / Partly cloudy</v>
      </c>
      <c r="X481" s="23" t="str">
        <f>VLOOKUP($G481,Lookups!$D$5:$E$8,2,FALSE())</f>
        <v>Winter</v>
      </c>
      <c r="Y481" s="23" t="str">
        <f>VLOOKUP($L481,Lookups!$G$5:$H$11,2,FALSE())</f>
        <v>Saturday</v>
      </c>
      <c r="Z481" s="23" t="str">
        <f>IF($J481&lt;Lookups!$B$26,"Night",IF($J481&lt;Lookups!$B$27,"Morning",IF($J481&lt;Lookups!$B$28,"Afternoon","Evening")))</f>
        <v>Night</v>
      </c>
      <c r="AA481" s="26">
        <f>ROUND($N481*(Lookups!$B$16-Lookups!$B$15)+Lookups!$B$15,1)</f>
        <v>-6.1</v>
      </c>
      <c r="AB481" s="26">
        <f>ROUND($P481*(Lookups!$B$18-Lookups!$B$17)+Lookups!$B$17,1)</f>
        <v>-14</v>
      </c>
      <c r="AC481" s="23">
        <f t="shared" si="44"/>
        <v>45</v>
      </c>
      <c r="AD481" s="23">
        <f>ROUND($R481*Lookups!$B$19,1)</f>
        <v>17</v>
      </c>
      <c r="AE481" s="27">
        <f t="shared" si="45"/>
        <v>1</v>
      </c>
      <c r="AF481" s="23" t="str">
        <f>IF($U481&gt;=Lookups!$B$23,"High",IF($U481&gt;=Lookups!$B$22,"Medium","Low"))</f>
        <v>Low</v>
      </c>
      <c r="AG481" s="23">
        <f>ROUND(IF($V481="Weekday",IF(INDEX(Hourly_Analysis!$D$5:$D$28,$J481+1)&gt;0,($U481-INDEX(Hourly_Analysis!$C$5:$C$28,$J481+1))/INDEX(Hourly_Analysis!$D$5:$D$28,$J481+1),0),IF(INDEX(Hourly_Analysis!$G$5:$G$28,$J481+1)&gt;0,($U481-INDEX(Hourly_Analysis!$F$5:$F$28,$J481+1))/INDEX(Hourly_Analysis!$G$5:$G$28,$J481+1),0)),2)</f>
        <v>-1.57</v>
      </c>
      <c r="AH481" s="23" t="str">
        <f>IF(ABS($AG481)&gt;Lookups!$B$20,IF($AG481&gt;0,"High anomaly","Low anomaly"),"")</f>
        <v/>
      </c>
      <c r="AI481" s="23" t="str">
        <f t="shared" si="46"/>
        <v>OK</v>
      </c>
      <c r="AJ481" s="23" t="str">
        <f t="shared" si="47"/>
        <v>No</v>
      </c>
    </row>
    <row r="482" spans="1:36" x14ac:dyDescent="0.35">
      <c r="A482" s="23">
        <v>481</v>
      </c>
      <c r="B482" s="23" t="str">
        <f t="shared" si="42"/>
        <v>Merge 1+2</v>
      </c>
      <c r="C482" s="23">
        <f>IFERROR(MATCH($A482,Merge_1_2!$A$2:$A$611,0),0)</f>
        <v>481</v>
      </c>
      <c r="D482" s="23">
        <f>IF($C482&gt;0,INDEX(Merge_1_2!$Q$2:$Q$611,$C482),0)</f>
        <v>481</v>
      </c>
      <c r="E482" s="23">
        <f>IFERROR(MATCH($A482,Dataset3_Raw!$A$2:$A$391,0),0)</f>
        <v>0</v>
      </c>
      <c r="F482" s="24">
        <f>IF($C482&gt;0,INDEX(Merge_1_2!$B$2:$B$611,$C482),DATE(VALUE(RIGHT(INDEX(Dataset3_Raw!$B$2:$B$391,$E482),4)),VALUE(MID(INDEX(Dataset3_Raw!$B$2:$B$391,$E482),4,2)),VALUE(LEFT(INDEX(Dataset3_Raw!$B$2:$B$391,$E482),2))))</f>
        <v>40565</v>
      </c>
      <c r="G482" s="23">
        <f>IF($C482&gt;0,INDEX(Merge_1_2!$C$2:$C$611,$C482),INDEX(Dataset3_Raw!$C$2:$C$391,$E482))</f>
        <v>1</v>
      </c>
      <c r="H482" s="23">
        <f>IF($C482&gt;0,INDEX(Merge_1_2!$D$2:$D$611,$C482),INDEX(Dataset3_Raw!$D$2:$D$391,$E482))</f>
        <v>0</v>
      </c>
      <c r="I482" s="23">
        <f>IF($C482&gt;0,INDEX(Merge_1_2!$E$2:$E$611,$C482),INDEX(Dataset3_Raw!$E$2:$E$391,$E482))</f>
        <v>1</v>
      </c>
      <c r="J482" s="23">
        <f>IF($C482&gt;0,INDEX(Merge_1_2!$F$2:$F$611,$C482),INDEX(Dataset3_Raw!$F$2:$F$391,$E482))</f>
        <v>1</v>
      </c>
      <c r="K482" s="23" t="b">
        <f>IF($C482&gt;0,INDEX(Merge_1_2!$G$2:$G$611,$C482),INDEX(Dataset3_Raw!$G$2:$G$391,$E482))</f>
        <v>0</v>
      </c>
      <c r="L482" s="23">
        <f>IF($C482&gt;0,INDEX(Merge_1_2!$H$2:$H$611,$C482),INDEX(Dataset3_Raw!$H$2:$H$391,$E482))</f>
        <v>6</v>
      </c>
      <c r="M482" s="23">
        <f>IF($C482&gt;0,INDEX(Merge_1_2!$I$2:$I$611,$C482),INDEX(Dataset3_Raw!$I$2:$I$391,$E482))</f>
        <v>2</v>
      </c>
      <c r="N482" s="25">
        <f>IF($C482&gt;0,INDEX(Merge_1_2!$J$2:$J$611,$C482),INDEX(Dataset3_Raw!$J$2:$J$391,$E482))</f>
        <v>0.04</v>
      </c>
      <c r="O482" s="25">
        <f>IF($C482&gt;0,IF(ISNUMBER(INDEX(Merge_1_2!$K$2:$K$611,$C482)),INDEX(Merge_1_2!$K$2:$K$611,$C482),""),INDEX(Dataset3_Raw!$K$2:$K$391,$E482))</f>
        <v>0</v>
      </c>
      <c r="P482" s="25">
        <f>IF(ISNUMBER($O482),$O482,ROUND(Lookups!$B$25+Lookups!$B$24*$N482,4))</f>
        <v>0</v>
      </c>
      <c r="Q482" s="25">
        <f>IF($C482&gt;0,INDEX(Merge_1_2!$L$2:$L$611,$C482),INDEX(Dataset3_Raw!$L$2:$L$391,$E482))</f>
        <v>0.41</v>
      </c>
      <c r="R482" s="25">
        <f>IF($C482&gt;0,INDEX(Merge_1_2!$M$2:$M$611,$C482),INDEX(Dataset3_Raw!$M$2:$M$391,$E482))</f>
        <v>0.3881</v>
      </c>
      <c r="S482" s="23">
        <f>IF($C482&gt;0,INDEX(Merge_1_2!$N$2:$N$611,$C482),INDEX(Dataset3_Raw!$N$2:$N$391,$E482))</f>
        <v>3</v>
      </c>
      <c r="T482" s="23">
        <f>IF($C482&gt;0,INDEX(Merge_1_2!$O$2:$O$611,$C482),INDEX(Dataset3_Raw!$O$2:$O$391,$E482))</f>
        <v>9</v>
      </c>
      <c r="U482" s="23">
        <f>IF($C482&gt;0,INDEX(Merge_1_2!$P$2:$P$611,$C482),INDEX(Dataset3_Raw!$P$2:$P$391,$E482))</f>
        <v>12</v>
      </c>
      <c r="V482" s="23" t="str">
        <f t="shared" si="43"/>
        <v>Weekend</v>
      </c>
      <c r="W482" s="23" t="str">
        <f>VLOOKUP($M482,Lookups!$A$5:$B$8,2,FALSE())</f>
        <v>Mist / Cloudy</v>
      </c>
      <c r="X482" s="23" t="str">
        <f>VLOOKUP($G482,Lookups!$D$5:$E$8,2,FALSE())</f>
        <v>Winter</v>
      </c>
      <c r="Y482" s="23" t="str">
        <f>VLOOKUP($L482,Lookups!$G$5:$H$11,2,FALSE())</f>
        <v>Saturday</v>
      </c>
      <c r="Z482" s="23" t="str">
        <f>IF($J482&lt;Lookups!$B$26,"Night",IF($J482&lt;Lookups!$B$27,"Morning",IF($J482&lt;Lookups!$B$28,"Afternoon","Evening")))</f>
        <v>Night</v>
      </c>
      <c r="AA482" s="26">
        <f>ROUND($N482*(Lookups!$B$16-Lookups!$B$15)+Lookups!$B$15,1)</f>
        <v>-6.1</v>
      </c>
      <c r="AB482" s="26">
        <f>ROUND($P482*(Lookups!$B$18-Lookups!$B$17)+Lookups!$B$17,1)</f>
        <v>-16</v>
      </c>
      <c r="AC482" s="23">
        <f t="shared" si="44"/>
        <v>41</v>
      </c>
      <c r="AD482" s="23">
        <f>ROUND($R482*Lookups!$B$19,1)</f>
        <v>26</v>
      </c>
      <c r="AE482" s="27">
        <f t="shared" si="45"/>
        <v>0.75</v>
      </c>
      <c r="AF482" s="23" t="str">
        <f>IF($U482&gt;=Lookups!$B$23,"High",IF($U482&gt;=Lookups!$B$22,"Medium","Low"))</f>
        <v>Low</v>
      </c>
      <c r="AG482" s="23">
        <f>ROUND(IF($V482="Weekday",IF(INDEX(Hourly_Analysis!$D$5:$D$28,$J482+1)&gt;0,($U482-INDEX(Hourly_Analysis!$C$5:$C$28,$J482+1))/INDEX(Hourly_Analysis!$D$5:$D$28,$J482+1),0),IF(INDEX(Hourly_Analysis!$G$5:$G$28,$J482+1)&gt;0,($U482-INDEX(Hourly_Analysis!$F$5:$F$28,$J482+1))/INDEX(Hourly_Analysis!$G$5:$G$28,$J482+1),0)),2)</f>
        <v>-1.04</v>
      </c>
      <c r="AH482" s="23" t="str">
        <f>IF(ABS($AG482)&gt;Lookups!$B$20,IF($AG482&gt;0,"High anomaly","Low anomaly"),"")</f>
        <v/>
      </c>
      <c r="AI482" s="23" t="str">
        <f t="shared" si="46"/>
        <v>OK</v>
      </c>
      <c r="AJ482" s="23" t="str">
        <f t="shared" si="47"/>
        <v>No</v>
      </c>
    </row>
    <row r="483" spans="1:36" x14ac:dyDescent="0.35">
      <c r="A483" s="23">
        <v>482</v>
      </c>
      <c r="B483" s="23" t="str">
        <f t="shared" si="42"/>
        <v>Merge 1+2</v>
      </c>
      <c r="C483" s="23">
        <f>IFERROR(MATCH($A483,Merge_1_2!$A$2:$A$611,0),0)</f>
        <v>482</v>
      </c>
      <c r="D483" s="23">
        <f>IF($C483&gt;0,INDEX(Merge_1_2!$Q$2:$Q$611,$C483),0)</f>
        <v>482</v>
      </c>
      <c r="E483" s="23">
        <f>IFERROR(MATCH($A483,Dataset3_Raw!$A$2:$A$391,0),0)</f>
        <v>0</v>
      </c>
      <c r="F483" s="24">
        <f>IF($C483&gt;0,INDEX(Merge_1_2!$B$2:$B$611,$C483),DATE(VALUE(RIGHT(INDEX(Dataset3_Raw!$B$2:$B$391,$E483),4)),VALUE(MID(INDEX(Dataset3_Raw!$B$2:$B$391,$E483),4,2)),VALUE(LEFT(INDEX(Dataset3_Raw!$B$2:$B$391,$E483),2))))</f>
        <v>40565</v>
      </c>
      <c r="G483" s="23">
        <f>IF($C483&gt;0,INDEX(Merge_1_2!$C$2:$C$611,$C483),INDEX(Dataset3_Raw!$C$2:$C$391,$E483))</f>
        <v>1</v>
      </c>
      <c r="H483" s="23">
        <f>IF($C483&gt;0,INDEX(Merge_1_2!$D$2:$D$611,$C483),INDEX(Dataset3_Raw!$D$2:$D$391,$E483))</f>
        <v>0</v>
      </c>
      <c r="I483" s="23">
        <f>IF($C483&gt;0,INDEX(Merge_1_2!$E$2:$E$611,$C483),INDEX(Dataset3_Raw!$E$2:$E$391,$E483))</f>
        <v>1</v>
      </c>
      <c r="J483" s="23">
        <f>IF($C483&gt;0,INDEX(Merge_1_2!$F$2:$F$611,$C483),INDEX(Dataset3_Raw!$F$2:$F$391,$E483))</f>
        <v>2</v>
      </c>
      <c r="K483" s="23" t="b">
        <f>IF($C483&gt;0,INDEX(Merge_1_2!$G$2:$G$611,$C483),INDEX(Dataset3_Raw!$G$2:$G$391,$E483))</f>
        <v>0</v>
      </c>
      <c r="L483" s="23">
        <f>IF($C483&gt;0,INDEX(Merge_1_2!$H$2:$H$611,$C483),INDEX(Dataset3_Raw!$H$2:$H$391,$E483))</f>
        <v>6</v>
      </c>
      <c r="M483" s="23">
        <f>IF($C483&gt;0,INDEX(Merge_1_2!$I$2:$I$611,$C483),INDEX(Dataset3_Raw!$I$2:$I$391,$E483))</f>
        <v>2</v>
      </c>
      <c r="N483" s="25">
        <f>IF($C483&gt;0,INDEX(Merge_1_2!$J$2:$J$611,$C483),INDEX(Dataset3_Raw!$J$2:$J$391,$E483))</f>
        <v>0.04</v>
      </c>
      <c r="O483" s="25">
        <f>IF($C483&gt;0,IF(ISNUMBER(INDEX(Merge_1_2!$K$2:$K$611,$C483)),INDEX(Merge_1_2!$K$2:$K$611,$C483),""),INDEX(Dataset3_Raw!$K$2:$K$391,$E483))</f>
        <v>3.0300000000000001E-2</v>
      </c>
      <c r="P483" s="25">
        <f>IF(ISNUMBER($O483),$O483,ROUND(Lookups!$B$25+Lookups!$B$24*$N483,4))</f>
        <v>3.0300000000000001E-2</v>
      </c>
      <c r="Q483" s="25">
        <f>IF($C483&gt;0,INDEX(Merge_1_2!$L$2:$L$611,$C483),INDEX(Dataset3_Raw!$L$2:$L$391,$E483))</f>
        <v>0.41</v>
      </c>
      <c r="R483" s="25">
        <f>IF($C483&gt;0,INDEX(Merge_1_2!$M$2:$M$611,$C483),INDEX(Dataset3_Raw!$M$2:$M$391,$E483))</f>
        <v>0.25369999999999998</v>
      </c>
      <c r="S483" s="23">
        <f>IF($C483&gt;0,INDEX(Merge_1_2!$N$2:$N$611,$C483),INDEX(Dataset3_Raw!$N$2:$N$391,$E483))</f>
        <v>0</v>
      </c>
      <c r="T483" s="23">
        <f>IF($C483&gt;0,INDEX(Merge_1_2!$O$2:$O$611,$C483),INDEX(Dataset3_Raw!$O$2:$O$391,$E483))</f>
        <v>11</v>
      </c>
      <c r="U483" s="23">
        <f>IF($C483&gt;0,INDEX(Merge_1_2!$P$2:$P$611,$C483),INDEX(Dataset3_Raw!$P$2:$P$391,$E483))</f>
        <v>11</v>
      </c>
      <c r="V483" s="23" t="str">
        <f t="shared" si="43"/>
        <v>Weekend</v>
      </c>
      <c r="W483" s="23" t="str">
        <f>VLOOKUP($M483,Lookups!$A$5:$B$8,2,FALSE())</f>
        <v>Mist / Cloudy</v>
      </c>
      <c r="X483" s="23" t="str">
        <f>VLOOKUP($G483,Lookups!$D$5:$E$8,2,FALSE())</f>
        <v>Winter</v>
      </c>
      <c r="Y483" s="23" t="str">
        <f>VLOOKUP($L483,Lookups!$G$5:$H$11,2,FALSE())</f>
        <v>Saturday</v>
      </c>
      <c r="Z483" s="23" t="str">
        <f>IF($J483&lt;Lookups!$B$26,"Night",IF($J483&lt;Lookups!$B$27,"Morning",IF($J483&lt;Lookups!$B$28,"Afternoon","Evening")))</f>
        <v>Night</v>
      </c>
      <c r="AA483" s="26">
        <f>ROUND($N483*(Lookups!$B$16-Lookups!$B$15)+Lookups!$B$15,1)</f>
        <v>-6.1</v>
      </c>
      <c r="AB483" s="26">
        <f>ROUND($P483*(Lookups!$B$18-Lookups!$B$17)+Lookups!$B$17,1)</f>
        <v>-14</v>
      </c>
      <c r="AC483" s="23">
        <f t="shared" si="44"/>
        <v>41</v>
      </c>
      <c r="AD483" s="23">
        <f>ROUND($R483*Lookups!$B$19,1)</f>
        <v>17</v>
      </c>
      <c r="AE483" s="27">
        <f t="shared" si="45"/>
        <v>1</v>
      </c>
      <c r="AF483" s="23" t="str">
        <f>IF($U483&gt;=Lookups!$B$23,"High",IF($U483&gt;=Lookups!$B$22,"Medium","Low"))</f>
        <v>Low</v>
      </c>
      <c r="AG483" s="23">
        <f>ROUND(IF($V483="Weekday",IF(INDEX(Hourly_Analysis!$D$5:$D$28,$J483+1)&gt;0,($U483-INDEX(Hourly_Analysis!$C$5:$C$28,$J483+1))/INDEX(Hourly_Analysis!$D$5:$D$28,$J483+1),0),IF(INDEX(Hourly_Analysis!$G$5:$G$28,$J483+1)&gt;0,($U483-INDEX(Hourly_Analysis!$F$5:$F$28,$J483+1))/INDEX(Hourly_Analysis!$G$5:$G$28,$J483+1),0)),2)</f>
        <v>-0.74</v>
      </c>
      <c r="AH483" s="23" t="str">
        <f>IF(ABS($AG483)&gt;Lookups!$B$20,IF($AG483&gt;0,"High anomaly","Low anomaly"),"")</f>
        <v/>
      </c>
      <c r="AI483" s="23" t="str">
        <f t="shared" si="46"/>
        <v>OK</v>
      </c>
      <c r="AJ483" s="23" t="str">
        <f t="shared" si="47"/>
        <v>No</v>
      </c>
    </row>
    <row r="484" spans="1:36" x14ac:dyDescent="0.35">
      <c r="A484" s="23">
        <v>483</v>
      </c>
      <c r="B484" s="23" t="str">
        <f t="shared" si="42"/>
        <v>Merge 1+2</v>
      </c>
      <c r="C484" s="23">
        <f>IFERROR(MATCH($A484,Merge_1_2!$A$2:$A$611,0),0)</f>
        <v>483</v>
      </c>
      <c r="D484" s="23">
        <f>IF($C484&gt;0,INDEX(Merge_1_2!$Q$2:$Q$611,$C484),0)</f>
        <v>483</v>
      </c>
      <c r="E484" s="23">
        <f>IFERROR(MATCH($A484,Dataset3_Raw!$A$2:$A$391,0),0)</f>
        <v>0</v>
      </c>
      <c r="F484" s="24">
        <f>IF($C484&gt;0,INDEX(Merge_1_2!$B$2:$B$611,$C484),DATE(VALUE(RIGHT(INDEX(Dataset3_Raw!$B$2:$B$391,$E484),4)),VALUE(MID(INDEX(Dataset3_Raw!$B$2:$B$391,$E484),4,2)),VALUE(LEFT(INDEX(Dataset3_Raw!$B$2:$B$391,$E484),2))))</f>
        <v>40565</v>
      </c>
      <c r="G484" s="23">
        <f>IF($C484&gt;0,INDEX(Merge_1_2!$C$2:$C$611,$C484),INDEX(Dataset3_Raw!$C$2:$C$391,$E484))</f>
        <v>1</v>
      </c>
      <c r="H484" s="23">
        <f>IF($C484&gt;0,INDEX(Merge_1_2!$D$2:$D$611,$C484),INDEX(Dataset3_Raw!$D$2:$D$391,$E484))</f>
        <v>0</v>
      </c>
      <c r="I484" s="23">
        <f>IF($C484&gt;0,INDEX(Merge_1_2!$E$2:$E$611,$C484),INDEX(Dataset3_Raw!$E$2:$E$391,$E484))</f>
        <v>1</v>
      </c>
      <c r="J484" s="23">
        <f>IF($C484&gt;0,INDEX(Merge_1_2!$F$2:$F$611,$C484),INDEX(Dataset3_Raw!$F$2:$F$391,$E484))</f>
        <v>3</v>
      </c>
      <c r="K484" s="23" t="b">
        <f>IF($C484&gt;0,INDEX(Merge_1_2!$G$2:$G$611,$C484),INDEX(Dataset3_Raw!$G$2:$G$391,$E484))</f>
        <v>0</v>
      </c>
      <c r="L484" s="23">
        <f>IF($C484&gt;0,INDEX(Merge_1_2!$H$2:$H$611,$C484),INDEX(Dataset3_Raw!$H$2:$H$391,$E484))</f>
        <v>6</v>
      </c>
      <c r="M484" s="23">
        <f>IF($C484&gt;0,INDEX(Merge_1_2!$I$2:$I$611,$C484),INDEX(Dataset3_Raw!$I$2:$I$391,$E484))</f>
        <v>2</v>
      </c>
      <c r="N484" s="25">
        <f>IF($C484&gt;0,INDEX(Merge_1_2!$J$2:$J$611,$C484),INDEX(Dataset3_Raw!$J$2:$J$391,$E484))</f>
        <v>0.04</v>
      </c>
      <c r="O484" s="25">
        <f>IF($C484&gt;0,IF(ISNUMBER(INDEX(Merge_1_2!$K$2:$K$611,$C484)),INDEX(Merge_1_2!$K$2:$K$611,$C484),""),INDEX(Dataset3_Raw!$K$2:$K$391,$E484))</f>
        <v>3.0300000000000001E-2</v>
      </c>
      <c r="P484" s="25">
        <f>IF(ISNUMBER($O484),$O484,ROUND(Lookups!$B$25+Lookups!$B$24*$N484,4))</f>
        <v>3.0300000000000001E-2</v>
      </c>
      <c r="Q484" s="25">
        <f>IF($C484&gt;0,INDEX(Merge_1_2!$L$2:$L$611,$C484),INDEX(Dataset3_Raw!$L$2:$L$391,$E484))</f>
        <v>0.41</v>
      </c>
      <c r="R484" s="25">
        <f>IF($C484&gt;0,INDEX(Merge_1_2!$M$2:$M$611,$C484),INDEX(Dataset3_Raw!$M$2:$M$391,$E484))</f>
        <v>0.28360000000000002</v>
      </c>
      <c r="S484" s="23">
        <f>IF($C484&gt;0,INDEX(Merge_1_2!$N$2:$N$611,$C484),INDEX(Dataset3_Raw!$N$2:$N$391,$E484))</f>
        <v>1</v>
      </c>
      <c r="T484" s="23">
        <f>IF($C484&gt;0,INDEX(Merge_1_2!$O$2:$O$611,$C484),INDEX(Dataset3_Raw!$O$2:$O$391,$E484))</f>
        <v>6</v>
      </c>
      <c r="U484" s="23">
        <f>IF($C484&gt;0,INDEX(Merge_1_2!$P$2:$P$611,$C484),INDEX(Dataset3_Raw!$P$2:$P$391,$E484))</f>
        <v>7</v>
      </c>
      <c r="V484" s="23" t="str">
        <f t="shared" si="43"/>
        <v>Weekend</v>
      </c>
      <c r="W484" s="23" t="str">
        <f>VLOOKUP($M484,Lookups!$A$5:$B$8,2,FALSE())</f>
        <v>Mist / Cloudy</v>
      </c>
      <c r="X484" s="23" t="str">
        <f>VLOOKUP($G484,Lookups!$D$5:$E$8,2,FALSE())</f>
        <v>Winter</v>
      </c>
      <c r="Y484" s="23" t="str">
        <f>VLOOKUP($L484,Lookups!$G$5:$H$11,2,FALSE())</f>
        <v>Saturday</v>
      </c>
      <c r="Z484" s="23" t="str">
        <f>IF($J484&lt;Lookups!$B$26,"Night",IF($J484&lt;Lookups!$B$27,"Morning",IF($J484&lt;Lookups!$B$28,"Afternoon","Evening")))</f>
        <v>Night</v>
      </c>
      <c r="AA484" s="26">
        <f>ROUND($N484*(Lookups!$B$16-Lookups!$B$15)+Lookups!$B$15,1)</f>
        <v>-6.1</v>
      </c>
      <c r="AB484" s="26">
        <f>ROUND($P484*(Lookups!$B$18-Lookups!$B$17)+Lookups!$B$17,1)</f>
        <v>-14</v>
      </c>
      <c r="AC484" s="23">
        <f t="shared" si="44"/>
        <v>41</v>
      </c>
      <c r="AD484" s="23">
        <f>ROUND($R484*Lookups!$B$19,1)</f>
        <v>19</v>
      </c>
      <c r="AE484" s="27">
        <f t="shared" si="45"/>
        <v>0.8571428571428571</v>
      </c>
      <c r="AF484" s="23" t="str">
        <f>IF($U484&gt;=Lookups!$B$23,"High",IF($U484&gt;=Lookups!$B$22,"Medium","Low"))</f>
        <v>Low</v>
      </c>
      <c r="AG484" s="23">
        <f>ROUND(IF($V484="Weekday",IF(INDEX(Hourly_Analysis!$D$5:$D$28,$J484+1)&gt;0,($U484-INDEX(Hourly_Analysis!$C$5:$C$28,$J484+1))/INDEX(Hourly_Analysis!$D$5:$D$28,$J484+1),0),IF(INDEX(Hourly_Analysis!$G$5:$G$28,$J484+1)&gt;0,($U484-INDEX(Hourly_Analysis!$F$5:$F$28,$J484+1))/INDEX(Hourly_Analysis!$G$5:$G$28,$J484+1),0)),2)</f>
        <v>-0.43</v>
      </c>
      <c r="AH484" s="23" t="str">
        <f>IF(ABS($AG484)&gt;Lookups!$B$20,IF($AG484&gt;0,"High anomaly","Low anomaly"),"")</f>
        <v/>
      </c>
      <c r="AI484" s="23" t="str">
        <f t="shared" si="46"/>
        <v>OK</v>
      </c>
      <c r="AJ484" s="23" t="str">
        <f t="shared" si="47"/>
        <v>No</v>
      </c>
    </row>
    <row r="485" spans="1:36" x14ac:dyDescent="0.35">
      <c r="A485" s="23">
        <v>484</v>
      </c>
      <c r="B485" s="23" t="str">
        <f t="shared" si="42"/>
        <v>Merge 1+2</v>
      </c>
      <c r="C485" s="23">
        <f>IFERROR(MATCH($A485,Merge_1_2!$A$2:$A$611,0),0)</f>
        <v>484</v>
      </c>
      <c r="D485" s="23">
        <f>IF($C485&gt;0,INDEX(Merge_1_2!$Q$2:$Q$611,$C485),0)</f>
        <v>484</v>
      </c>
      <c r="E485" s="23">
        <f>IFERROR(MATCH($A485,Dataset3_Raw!$A$2:$A$391,0),0)</f>
        <v>0</v>
      </c>
      <c r="F485" s="24">
        <f>IF($C485&gt;0,INDEX(Merge_1_2!$B$2:$B$611,$C485),DATE(VALUE(RIGHT(INDEX(Dataset3_Raw!$B$2:$B$391,$E485),4)),VALUE(MID(INDEX(Dataset3_Raw!$B$2:$B$391,$E485),4,2)),VALUE(LEFT(INDEX(Dataset3_Raw!$B$2:$B$391,$E485),2))))</f>
        <v>40565</v>
      </c>
      <c r="G485" s="23">
        <f>IF($C485&gt;0,INDEX(Merge_1_2!$C$2:$C$611,$C485),INDEX(Dataset3_Raw!$C$2:$C$391,$E485))</f>
        <v>1</v>
      </c>
      <c r="H485" s="23">
        <f>IF($C485&gt;0,INDEX(Merge_1_2!$D$2:$D$611,$C485),INDEX(Dataset3_Raw!$D$2:$D$391,$E485))</f>
        <v>0</v>
      </c>
      <c r="I485" s="23">
        <f>IF($C485&gt;0,INDEX(Merge_1_2!$E$2:$E$611,$C485),INDEX(Dataset3_Raw!$E$2:$E$391,$E485))</f>
        <v>1</v>
      </c>
      <c r="J485" s="23">
        <f>IF($C485&gt;0,INDEX(Merge_1_2!$F$2:$F$611,$C485),INDEX(Dataset3_Raw!$F$2:$F$391,$E485))</f>
        <v>4</v>
      </c>
      <c r="K485" s="23" t="b">
        <f>IF($C485&gt;0,INDEX(Merge_1_2!$G$2:$G$611,$C485),INDEX(Dataset3_Raw!$G$2:$G$391,$E485))</f>
        <v>0</v>
      </c>
      <c r="L485" s="23">
        <f>IF($C485&gt;0,INDEX(Merge_1_2!$H$2:$H$611,$C485),INDEX(Dataset3_Raw!$H$2:$H$391,$E485))</f>
        <v>6</v>
      </c>
      <c r="M485" s="23">
        <f>IF($C485&gt;0,INDEX(Merge_1_2!$I$2:$I$611,$C485),INDEX(Dataset3_Raw!$I$2:$I$391,$E485))</f>
        <v>2</v>
      </c>
      <c r="N485" s="25">
        <f>IF($C485&gt;0,INDEX(Merge_1_2!$J$2:$J$611,$C485),INDEX(Dataset3_Raw!$J$2:$J$391,$E485))</f>
        <v>0.02</v>
      </c>
      <c r="O485" s="25">
        <f>IF($C485&gt;0,IF(ISNUMBER(INDEX(Merge_1_2!$K$2:$K$611,$C485)),INDEX(Merge_1_2!$K$2:$K$611,$C485),""),INDEX(Dataset3_Raw!$K$2:$K$391,$E485))</f>
        <v>1.52E-2</v>
      </c>
      <c r="P485" s="25">
        <f>IF(ISNUMBER($O485),$O485,ROUND(Lookups!$B$25+Lookups!$B$24*$N485,4))</f>
        <v>1.52E-2</v>
      </c>
      <c r="Q485" s="25">
        <f>IF($C485&gt;0,INDEX(Merge_1_2!$L$2:$L$611,$C485),INDEX(Dataset3_Raw!$L$2:$L$391,$E485))</f>
        <v>0.48</v>
      </c>
      <c r="R485" s="25">
        <f>IF($C485&gt;0,INDEX(Merge_1_2!$M$2:$M$611,$C485),INDEX(Dataset3_Raw!$M$2:$M$391,$E485))</f>
        <v>0.29849999999999999</v>
      </c>
      <c r="S485" s="23">
        <f>IF($C485&gt;0,INDEX(Merge_1_2!$N$2:$N$611,$C485),INDEX(Dataset3_Raw!$N$2:$N$391,$E485))</f>
        <v>0</v>
      </c>
      <c r="T485" s="23">
        <f>IF($C485&gt;0,INDEX(Merge_1_2!$O$2:$O$611,$C485),INDEX(Dataset3_Raw!$O$2:$O$391,$E485))</f>
        <v>3</v>
      </c>
      <c r="U485" s="23">
        <f>IF($C485&gt;0,INDEX(Merge_1_2!$P$2:$P$611,$C485),INDEX(Dataset3_Raw!$P$2:$P$391,$E485))</f>
        <v>3</v>
      </c>
      <c r="V485" s="23" t="str">
        <f t="shared" si="43"/>
        <v>Weekend</v>
      </c>
      <c r="W485" s="23" t="str">
        <f>VLOOKUP($M485,Lookups!$A$5:$B$8,2,FALSE())</f>
        <v>Mist / Cloudy</v>
      </c>
      <c r="X485" s="23" t="str">
        <f>VLOOKUP($G485,Lookups!$D$5:$E$8,2,FALSE())</f>
        <v>Winter</v>
      </c>
      <c r="Y485" s="23" t="str">
        <f>VLOOKUP($L485,Lookups!$G$5:$H$11,2,FALSE())</f>
        <v>Saturday</v>
      </c>
      <c r="Z485" s="23" t="str">
        <f>IF($J485&lt;Lookups!$B$26,"Night",IF($J485&lt;Lookups!$B$27,"Morning",IF($J485&lt;Lookups!$B$28,"Afternoon","Evening")))</f>
        <v>Night</v>
      </c>
      <c r="AA485" s="26">
        <f>ROUND($N485*(Lookups!$B$16-Lookups!$B$15)+Lookups!$B$15,1)</f>
        <v>-7.1</v>
      </c>
      <c r="AB485" s="26">
        <f>ROUND($P485*(Lookups!$B$18-Lookups!$B$17)+Lookups!$B$17,1)</f>
        <v>-15</v>
      </c>
      <c r="AC485" s="23">
        <f t="shared" si="44"/>
        <v>48</v>
      </c>
      <c r="AD485" s="23">
        <f>ROUND($R485*Lookups!$B$19,1)</f>
        <v>20</v>
      </c>
      <c r="AE485" s="27">
        <f t="shared" si="45"/>
        <v>1</v>
      </c>
      <c r="AF485" s="23" t="str">
        <f>IF($U485&gt;=Lookups!$B$23,"High",IF($U485&gt;=Lookups!$B$22,"Medium","Low"))</f>
        <v>Low</v>
      </c>
      <c r="AG485" s="23">
        <f>ROUND(IF($V485="Weekday",IF(INDEX(Hourly_Analysis!$D$5:$D$28,$J485+1)&gt;0,($U485-INDEX(Hourly_Analysis!$C$5:$C$28,$J485+1))/INDEX(Hourly_Analysis!$D$5:$D$28,$J485+1),0),IF(INDEX(Hourly_Analysis!$G$5:$G$28,$J485+1)&gt;0,($U485-INDEX(Hourly_Analysis!$F$5:$F$28,$J485+1))/INDEX(Hourly_Analysis!$G$5:$G$28,$J485+1),0)),2)</f>
        <v>0.14000000000000001</v>
      </c>
      <c r="AH485" s="23" t="str">
        <f>IF(ABS($AG485)&gt;Lookups!$B$20,IF($AG485&gt;0,"High anomaly","Low anomaly"),"")</f>
        <v/>
      </c>
      <c r="AI485" s="23" t="str">
        <f t="shared" si="46"/>
        <v>OK</v>
      </c>
      <c r="AJ485" s="23" t="str">
        <f t="shared" si="47"/>
        <v>No</v>
      </c>
    </row>
    <row r="486" spans="1:36" x14ac:dyDescent="0.35">
      <c r="A486" s="23">
        <v>485</v>
      </c>
      <c r="B486" s="23" t="str">
        <f t="shared" si="42"/>
        <v>Merge 1+2</v>
      </c>
      <c r="C486" s="23">
        <f>IFERROR(MATCH($A486,Merge_1_2!$A$2:$A$611,0),0)</f>
        <v>485</v>
      </c>
      <c r="D486" s="23">
        <f>IF($C486&gt;0,INDEX(Merge_1_2!$Q$2:$Q$611,$C486),0)</f>
        <v>485</v>
      </c>
      <c r="E486" s="23">
        <f>IFERROR(MATCH($A486,Dataset3_Raw!$A$2:$A$391,0),0)</f>
        <v>0</v>
      </c>
      <c r="F486" s="24">
        <f>IF($C486&gt;0,INDEX(Merge_1_2!$B$2:$B$611,$C486),DATE(VALUE(RIGHT(INDEX(Dataset3_Raw!$B$2:$B$391,$E486),4)),VALUE(MID(INDEX(Dataset3_Raw!$B$2:$B$391,$E486),4,2)),VALUE(LEFT(INDEX(Dataset3_Raw!$B$2:$B$391,$E486),2))))</f>
        <v>40565</v>
      </c>
      <c r="G486" s="23">
        <f>IF($C486&gt;0,INDEX(Merge_1_2!$C$2:$C$611,$C486),INDEX(Dataset3_Raw!$C$2:$C$391,$E486))</f>
        <v>1</v>
      </c>
      <c r="H486" s="23">
        <f>IF($C486&gt;0,INDEX(Merge_1_2!$D$2:$D$611,$C486),INDEX(Dataset3_Raw!$D$2:$D$391,$E486))</f>
        <v>0</v>
      </c>
      <c r="I486" s="23">
        <f>IF($C486&gt;0,INDEX(Merge_1_2!$E$2:$E$611,$C486),INDEX(Dataset3_Raw!$E$2:$E$391,$E486))</f>
        <v>1</v>
      </c>
      <c r="J486" s="23">
        <f>IF($C486&gt;0,INDEX(Merge_1_2!$F$2:$F$611,$C486),INDEX(Dataset3_Raw!$F$2:$F$391,$E486))</f>
        <v>6</v>
      </c>
      <c r="K486" s="23" t="b">
        <f>IF($C486&gt;0,INDEX(Merge_1_2!$G$2:$G$611,$C486),INDEX(Dataset3_Raw!$G$2:$G$391,$E486))</f>
        <v>0</v>
      </c>
      <c r="L486" s="23">
        <f>IF($C486&gt;0,INDEX(Merge_1_2!$H$2:$H$611,$C486),INDEX(Dataset3_Raw!$H$2:$H$391,$E486))</f>
        <v>6</v>
      </c>
      <c r="M486" s="23">
        <f>IF($C486&gt;0,INDEX(Merge_1_2!$I$2:$I$611,$C486),INDEX(Dataset3_Raw!$I$2:$I$391,$E486))</f>
        <v>2</v>
      </c>
      <c r="N486" s="25">
        <f>IF($C486&gt;0,INDEX(Merge_1_2!$J$2:$J$611,$C486),INDEX(Dataset3_Raw!$J$2:$J$391,$E486))</f>
        <v>0.02</v>
      </c>
      <c r="O486" s="25">
        <f>IF($C486&gt;0,IF(ISNUMBER(INDEX(Merge_1_2!$K$2:$K$611,$C486)),INDEX(Merge_1_2!$K$2:$K$611,$C486),""),INDEX(Dataset3_Raw!$K$2:$K$391,$E486))</f>
        <v>3.0300000000000001E-2</v>
      </c>
      <c r="P486" s="25">
        <f>IF(ISNUMBER($O486),$O486,ROUND(Lookups!$B$25+Lookups!$B$24*$N486,4))</f>
        <v>3.0300000000000001E-2</v>
      </c>
      <c r="Q486" s="25">
        <f>IF($C486&gt;0,INDEX(Merge_1_2!$L$2:$L$611,$C486),INDEX(Dataset3_Raw!$L$2:$L$391,$E486))</f>
        <v>0.44</v>
      </c>
      <c r="R486" s="25">
        <f>IF($C486&gt;0,INDEX(Merge_1_2!$M$2:$M$611,$C486),INDEX(Dataset3_Raw!$M$2:$M$391,$E486))</f>
        <v>0.22389999999999999</v>
      </c>
      <c r="S486" s="23">
        <f>IF($C486&gt;0,INDEX(Merge_1_2!$N$2:$N$611,$C486),INDEX(Dataset3_Raw!$N$2:$N$391,$E486))</f>
        <v>0</v>
      </c>
      <c r="T486" s="23">
        <f>IF($C486&gt;0,INDEX(Merge_1_2!$O$2:$O$611,$C486),INDEX(Dataset3_Raw!$O$2:$O$391,$E486))</f>
        <v>2</v>
      </c>
      <c r="U486" s="23">
        <f>IF($C486&gt;0,INDEX(Merge_1_2!$P$2:$P$611,$C486),INDEX(Dataset3_Raw!$P$2:$P$391,$E486))</f>
        <v>2</v>
      </c>
      <c r="V486" s="23" t="str">
        <f t="shared" si="43"/>
        <v>Weekend</v>
      </c>
      <c r="W486" s="23" t="str">
        <f>VLOOKUP($M486,Lookups!$A$5:$B$8,2,FALSE())</f>
        <v>Mist / Cloudy</v>
      </c>
      <c r="X486" s="23" t="str">
        <f>VLOOKUP($G486,Lookups!$D$5:$E$8,2,FALSE())</f>
        <v>Winter</v>
      </c>
      <c r="Y486" s="23" t="str">
        <f>VLOOKUP($L486,Lookups!$G$5:$H$11,2,FALSE())</f>
        <v>Saturday</v>
      </c>
      <c r="Z486" s="23" t="str">
        <f>IF($J486&lt;Lookups!$B$26,"Night",IF($J486&lt;Lookups!$B$27,"Morning",IF($J486&lt;Lookups!$B$28,"Afternoon","Evening")))</f>
        <v>Morning</v>
      </c>
      <c r="AA486" s="26">
        <f>ROUND($N486*(Lookups!$B$16-Lookups!$B$15)+Lookups!$B$15,1)</f>
        <v>-7.1</v>
      </c>
      <c r="AB486" s="26">
        <f>ROUND($P486*(Lookups!$B$18-Lookups!$B$17)+Lookups!$B$17,1)</f>
        <v>-14</v>
      </c>
      <c r="AC486" s="23">
        <f t="shared" si="44"/>
        <v>44</v>
      </c>
      <c r="AD486" s="23">
        <f>ROUND($R486*Lookups!$B$19,1)</f>
        <v>15</v>
      </c>
      <c r="AE486" s="27">
        <f t="shared" si="45"/>
        <v>1</v>
      </c>
      <c r="AF486" s="23" t="str">
        <f>IF($U486&gt;=Lookups!$B$23,"High",IF($U486&gt;=Lookups!$B$22,"Medium","Low"))</f>
        <v>Low</v>
      </c>
      <c r="AG486" s="23">
        <f>ROUND(IF($V486="Weekday",IF(INDEX(Hourly_Analysis!$D$5:$D$28,$J486+1)&gt;0,($U486-INDEX(Hourly_Analysis!$C$5:$C$28,$J486+1))/INDEX(Hourly_Analysis!$D$5:$D$28,$J486+1),0),IF(INDEX(Hourly_Analysis!$G$5:$G$28,$J486+1)&gt;0,($U486-INDEX(Hourly_Analysis!$F$5:$F$28,$J486+1))/INDEX(Hourly_Analysis!$G$5:$G$28,$J486+1),0)),2)</f>
        <v>-0.26</v>
      </c>
      <c r="AH486" s="23" t="str">
        <f>IF(ABS($AG486)&gt;Lookups!$B$20,IF($AG486&gt;0,"High anomaly","Low anomaly"),"")</f>
        <v/>
      </c>
      <c r="AI486" s="23" t="str">
        <f t="shared" si="46"/>
        <v>OK</v>
      </c>
      <c r="AJ486" s="23" t="str">
        <f t="shared" si="47"/>
        <v>No</v>
      </c>
    </row>
    <row r="487" spans="1:36" x14ac:dyDescent="0.35">
      <c r="A487" s="23">
        <v>486</v>
      </c>
      <c r="B487" s="23" t="str">
        <f t="shared" si="42"/>
        <v>Merge 1+2</v>
      </c>
      <c r="C487" s="23">
        <f>IFERROR(MATCH($A487,Merge_1_2!$A$2:$A$611,0),0)</f>
        <v>486</v>
      </c>
      <c r="D487" s="23">
        <f>IF($C487&gt;0,INDEX(Merge_1_2!$Q$2:$Q$611,$C487),0)</f>
        <v>486</v>
      </c>
      <c r="E487" s="23">
        <f>IFERROR(MATCH($A487,Dataset3_Raw!$A$2:$A$391,0),0)</f>
        <v>0</v>
      </c>
      <c r="F487" s="24">
        <f>IF($C487&gt;0,INDEX(Merge_1_2!$B$2:$B$611,$C487),DATE(VALUE(RIGHT(INDEX(Dataset3_Raw!$B$2:$B$391,$E487),4)),VALUE(MID(INDEX(Dataset3_Raw!$B$2:$B$391,$E487),4,2)),VALUE(LEFT(INDEX(Dataset3_Raw!$B$2:$B$391,$E487),2))))</f>
        <v>40565</v>
      </c>
      <c r="G487" s="23">
        <f>IF($C487&gt;0,INDEX(Merge_1_2!$C$2:$C$611,$C487),INDEX(Dataset3_Raw!$C$2:$C$391,$E487))</f>
        <v>1</v>
      </c>
      <c r="H487" s="23">
        <f>IF($C487&gt;0,INDEX(Merge_1_2!$D$2:$D$611,$C487),INDEX(Dataset3_Raw!$D$2:$D$391,$E487))</f>
        <v>0</v>
      </c>
      <c r="I487" s="23">
        <f>IF($C487&gt;0,INDEX(Merge_1_2!$E$2:$E$611,$C487),INDEX(Dataset3_Raw!$E$2:$E$391,$E487))</f>
        <v>1</v>
      </c>
      <c r="J487" s="23">
        <f>IF($C487&gt;0,INDEX(Merge_1_2!$F$2:$F$611,$C487),INDEX(Dataset3_Raw!$F$2:$F$391,$E487))</f>
        <v>7</v>
      </c>
      <c r="K487" s="23" t="b">
        <f>IF($C487&gt;0,INDEX(Merge_1_2!$G$2:$G$611,$C487),INDEX(Dataset3_Raw!$G$2:$G$391,$E487))</f>
        <v>0</v>
      </c>
      <c r="L487" s="23">
        <f>IF($C487&gt;0,INDEX(Merge_1_2!$H$2:$H$611,$C487),INDEX(Dataset3_Raw!$H$2:$H$391,$E487))</f>
        <v>6</v>
      </c>
      <c r="M487" s="23">
        <f>IF($C487&gt;0,INDEX(Merge_1_2!$I$2:$I$611,$C487),INDEX(Dataset3_Raw!$I$2:$I$391,$E487))</f>
        <v>1</v>
      </c>
      <c r="N487" s="25">
        <f>IF($C487&gt;0,INDEX(Merge_1_2!$J$2:$J$611,$C487),INDEX(Dataset3_Raw!$J$2:$J$391,$E487))</f>
        <v>0.02</v>
      </c>
      <c r="O487" s="25">
        <f>IF($C487&gt;0,IF(ISNUMBER(INDEX(Merge_1_2!$K$2:$K$611,$C487)),INDEX(Merge_1_2!$K$2:$K$611,$C487),""),INDEX(Dataset3_Raw!$K$2:$K$391,$E487))</f>
        <v>1.52E-2</v>
      </c>
      <c r="P487" s="25">
        <f>IF(ISNUMBER($O487),$O487,ROUND(Lookups!$B$25+Lookups!$B$24*$N487,4))</f>
        <v>1.52E-2</v>
      </c>
      <c r="Q487" s="25">
        <f>IF($C487&gt;0,INDEX(Merge_1_2!$L$2:$L$611,$C487),INDEX(Dataset3_Raw!$L$2:$L$391,$E487))</f>
        <v>0.44</v>
      </c>
      <c r="R487" s="25">
        <f>IF($C487&gt;0,INDEX(Merge_1_2!$M$2:$M$611,$C487),INDEX(Dataset3_Raw!$M$2:$M$391,$E487))</f>
        <v>0.28360000000000002</v>
      </c>
      <c r="S487" s="23">
        <f>IF($C487&gt;0,INDEX(Merge_1_2!$N$2:$N$611,$C487),INDEX(Dataset3_Raw!$N$2:$N$391,$E487))</f>
        <v>0</v>
      </c>
      <c r="T487" s="23">
        <f>IF($C487&gt;0,INDEX(Merge_1_2!$O$2:$O$611,$C487),INDEX(Dataset3_Raw!$O$2:$O$391,$E487))</f>
        <v>8</v>
      </c>
      <c r="U487" s="23">
        <f>IF($C487&gt;0,INDEX(Merge_1_2!$P$2:$P$611,$C487),INDEX(Dataset3_Raw!$P$2:$P$391,$E487))</f>
        <v>8</v>
      </c>
      <c r="V487" s="23" t="str">
        <f t="shared" si="43"/>
        <v>Weekend</v>
      </c>
      <c r="W487" s="23" t="str">
        <f>VLOOKUP($M487,Lookups!$A$5:$B$8,2,FALSE())</f>
        <v>Clear / Partly cloudy</v>
      </c>
      <c r="X487" s="23" t="str">
        <f>VLOOKUP($G487,Lookups!$D$5:$E$8,2,FALSE())</f>
        <v>Winter</v>
      </c>
      <c r="Y487" s="23" t="str">
        <f>VLOOKUP($L487,Lookups!$G$5:$H$11,2,FALSE())</f>
        <v>Saturday</v>
      </c>
      <c r="Z487" s="23" t="str">
        <f>IF($J487&lt;Lookups!$B$26,"Night",IF($J487&lt;Lookups!$B$27,"Morning",IF($J487&lt;Lookups!$B$28,"Afternoon","Evening")))</f>
        <v>Morning</v>
      </c>
      <c r="AA487" s="26">
        <f>ROUND($N487*(Lookups!$B$16-Lookups!$B$15)+Lookups!$B$15,1)</f>
        <v>-7.1</v>
      </c>
      <c r="AB487" s="26">
        <f>ROUND($P487*(Lookups!$B$18-Lookups!$B$17)+Lookups!$B$17,1)</f>
        <v>-15</v>
      </c>
      <c r="AC487" s="23">
        <f t="shared" si="44"/>
        <v>44</v>
      </c>
      <c r="AD487" s="23">
        <f>ROUND($R487*Lookups!$B$19,1)</f>
        <v>19</v>
      </c>
      <c r="AE487" s="27">
        <f t="shared" si="45"/>
        <v>1</v>
      </c>
      <c r="AF487" s="23" t="str">
        <f>IF($U487&gt;=Lookups!$B$23,"High",IF($U487&gt;=Lookups!$B$22,"Medium","Low"))</f>
        <v>Low</v>
      </c>
      <c r="AG487" s="23">
        <f>ROUND(IF($V487="Weekday",IF(INDEX(Hourly_Analysis!$D$5:$D$28,$J487+1)&gt;0,($U487-INDEX(Hourly_Analysis!$C$5:$C$28,$J487+1))/INDEX(Hourly_Analysis!$D$5:$D$28,$J487+1),0),IF(INDEX(Hourly_Analysis!$G$5:$G$28,$J487+1)&gt;0,($U487-INDEX(Hourly_Analysis!$F$5:$F$28,$J487+1))/INDEX(Hourly_Analysis!$G$5:$G$28,$J487+1),0)),2)</f>
        <v>0.56000000000000005</v>
      </c>
      <c r="AH487" s="23" t="str">
        <f>IF(ABS($AG487)&gt;Lookups!$B$20,IF($AG487&gt;0,"High anomaly","Low anomaly"),"")</f>
        <v/>
      </c>
      <c r="AI487" s="23" t="str">
        <f t="shared" si="46"/>
        <v>OK</v>
      </c>
      <c r="AJ487" s="23" t="str">
        <f t="shared" si="47"/>
        <v>No</v>
      </c>
    </row>
    <row r="488" spans="1:36" x14ac:dyDescent="0.35">
      <c r="A488" s="23">
        <v>487</v>
      </c>
      <c r="B488" s="23" t="str">
        <f t="shared" si="42"/>
        <v>Merge 1+2</v>
      </c>
      <c r="C488" s="23">
        <f>IFERROR(MATCH($A488,Merge_1_2!$A$2:$A$611,0),0)</f>
        <v>487</v>
      </c>
      <c r="D488" s="23">
        <f>IF($C488&gt;0,INDEX(Merge_1_2!$Q$2:$Q$611,$C488),0)</f>
        <v>487</v>
      </c>
      <c r="E488" s="23">
        <f>IFERROR(MATCH($A488,Dataset3_Raw!$A$2:$A$391,0),0)</f>
        <v>0</v>
      </c>
      <c r="F488" s="24">
        <f>IF($C488&gt;0,INDEX(Merge_1_2!$B$2:$B$611,$C488),DATE(VALUE(RIGHT(INDEX(Dataset3_Raw!$B$2:$B$391,$E488),4)),VALUE(MID(INDEX(Dataset3_Raw!$B$2:$B$391,$E488),4,2)),VALUE(LEFT(INDEX(Dataset3_Raw!$B$2:$B$391,$E488),2))))</f>
        <v>40565</v>
      </c>
      <c r="G488" s="23">
        <f>IF($C488&gt;0,INDEX(Merge_1_2!$C$2:$C$611,$C488),INDEX(Dataset3_Raw!$C$2:$C$391,$E488))</f>
        <v>1</v>
      </c>
      <c r="H488" s="23">
        <f>IF($C488&gt;0,INDEX(Merge_1_2!$D$2:$D$611,$C488),INDEX(Dataset3_Raw!$D$2:$D$391,$E488))</f>
        <v>0</v>
      </c>
      <c r="I488" s="23">
        <f>IF($C488&gt;0,INDEX(Merge_1_2!$E$2:$E$611,$C488),INDEX(Dataset3_Raw!$E$2:$E$391,$E488))</f>
        <v>1</v>
      </c>
      <c r="J488" s="23">
        <f>IF($C488&gt;0,INDEX(Merge_1_2!$F$2:$F$611,$C488),INDEX(Dataset3_Raw!$F$2:$F$391,$E488))</f>
        <v>8</v>
      </c>
      <c r="K488" s="23" t="b">
        <f>IF($C488&gt;0,INDEX(Merge_1_2!$G$2:$G$611,$C488),INDEX(Dataset3_Raw!$G$2:$G$391,$E488))</f>
        <v>0</v>
      </c>
      <c r="L488" s="23">
        <f>IF($C488&gt;0,INDEX(Merge_1_2!$H$2:$H$611,$C488),INDEX(Dataset3_Raw!$H$2:$H$391,$E488))</f>
        <v>6</v>
      </c>
      <c r="M488" s="23">
        <f>IF($C488&gt;0,INDEX(Merge_1_2!$I$2:$I$611,$C488),INDEX(Dataset3_Raw!$I$2:$I$391,$E488))</f>
        <v>1</v>
      </c>
      <c r="N488" s="25">
        <f>IF($C488&gt;0,INDEX(Merge_1_2!$J$2:$J$611,$C488),INDEX(Dataset3_Raw!$J$2:$J$391,$E488))</f>
        <v>0.02</v>
      </c>
      <c r="O488" s="25">
        <f>IF($C488&gt;0,IF(ISNUMBER(INDEX(Merge_1_2!$K$2:$K$611,$C488)),INDEX(Merge_1_2!$K$2:$K$611,$C488),""),INDEX(Dataset3_Raw!$K$2:$K$391,$E488))</f>
        <v>0</v>
      </c>
      <c r="P488" s="25">
        <f>IF(ISNUMBER($O488),$O488,ROUND(Lookups!$B$25+Lookups!$B$24*$N488,4))</f>
        <v>0</v>
      </c>
      <c r="Q488" s="25">
        <f>IF($C488&gt;0,INDEX(Merge_1_2!$L$2:$L$611,$C488),INDEX(Dataset3_Raw!$L$2:$L$391,$E488))</f>
        <v>0.44</v>
      </c>
      <c r="R488" s="25">
        <f>IF($C488&gt;0,INDEX(Merge_1_2!$M$2:$M$611,$C488),INDEX(Dataset3_Raw!$M$2:$M$391,$E488))</f>
        <v>0.32840000000000003</v>
      </c>
      <c r="S488" s="23">
        <f>IF($C488&gt;0,INDEX(Merge_1_2!$N$2:$N$611,$C488),INDEX(Dataset3_Raw!$N$2:$N$391,$E488))</f>
        <v>1</v>
      </c>
      <c r="T488" s="23">
        <f>IF($C488&gt;0,INDEX(Merge_1_2!$O$2:$O$611,$C488),INDEX(Dataset3_Raw!$O$2:$O$391,$E488))</f>
        <v>26</v>
      </c>
      <c r="U488" s="23">
        <f>IF($C488&gt;0,INDEX(Merge_1_2!$P$2:$P$611,$C488),INDEX(Dataset3_Raw!$P$2:$P$391,$E488))</f>
        <v>27</v>
      </c>
      <c r="V488" s="23" t="str">
        <f t="shared" si="43"/>
        <v>Weekend</v>
      </c>
      <c r="W488" s="23" t="str">
        <f>VLOOKUP($M488,Lookups!$A$5:$B$8,2,FALSE())</f>
        <v>Clear / Partly cloudy</v>
      </c>
      <c r="X488" s="23" t="str">
        <f>VLOOKUP($G488,Lookups!$D$5:$E$8,2,FALSE())</f>
        <v>Winter</v>
      </c>
      <c r="Y488" s="23" t="str">
        <f>VLOOKUP($L488,Lookups!$G$5:$H$11,2,FALSE())</f>
        <v>Saturday</v>
      </c>
      <c r="Z488" s="23" t="str">
        <f>IF($J488&lt;Lookups!$B$26,"Night",IF($J488&lt;Lookups!$B$27,"Morning",IF($J488&lt;Lookups!$B$28,"Afternoon","Evening")))</f>
        <v>Morning</v>
      </c>
      <c r="AA488" s="26">
        <f>ROUND($N488*(Lookups!$B$16-Lookups!$B$15)+Lookups!$B$15,1)</f>
        <v>-7.1</v>
      </c>
      <c r="AB488" s="26">
        <f>ROUND($P488*(Lookups!$B$18-Lookups!$B$17)+Lookups!$B$17,1)</f>
        <v>-16</v>
      </c>
      <c r="AC488" s="23">
        <f t="shared" si="44"/>
        <v>44</v>
      </c>
      <c r="AD488" s="23">
        <f>ROUND($R488*Lookups!$B$19,1)</f>
        <v>22</v>
      </c>
      <c r="AE488" s="27">
        <f t="shared" si="45"/>
        <v>0.96296296296296291</v>
      </c>
      <c r="AF488" s="23" t="str">
        <f>IF($U488&gt;=Lookups!$B$23,"High",IF($U488&gt;=Lookups!$B$22,"Medium","Low"))</f>
        <v>Medium</v>
      </c>
      <c r="AG488" s="23">
        <f>ROUND(IF($V488="Weekday",IF(INDEX(Hourly_Analysis!$D$5:$D$28,$J488+1)&gt;0,($U488-INDEX(Hourly_Analysis!$C$5:$C$28,$J488+1))/INDEX(Hourly_Analysis!$D$5:$D$28,$J488+1),0),IF(INDEX(Hourly_Analysis!$G$5:$G$28,$J488+1)&gt;0,($U488-INDEX(Hourly_Analysis!$F$5:$F$28,$J488+1))/INDEX(Hourly_Analysis!$G$5:$G$28,$J488+1),0)),2)</f>
        <v>0.9</v>
      </c>
      <c r="AH488" s="23" t="str">
        <f>IF(ABS($AG488)&gt;Lookups!$B$20,IF($AG488&gt;0,"High anomaly","Low anomaly"),"")</f>
        <v/>
      </c>
      <c r="AI488" s="23" t="str">
        <f t="shared" si="46"/>
        <v>OK</v>
      </c>
      <c r="AJ488" s="23" t="str">
        <f t="shared" si="47"/>
        <v>No</v>
      </c>
    </row>
    <row r="489" spans="1:36" x14ac:dyDescent="0.35">
      <c r="A489" s="23">
        <v>488</v>
      </c>
      <c r="B489" s="23" t="str">
        <f t="shared" si="42"/>
        <v>Merge 1+2</v>
      </c>
      <c r="C489" s="23">
        <f>IFERROR(MATCH($A489,Merge_1_2!$A$2:$A$611,0),0)</f>
        <v>488</v>
      </c>
      <c r="D489" s="23">
        <f>IF($C489&gt;0,INDEX(Merge_1_2!$Q$2:$Q$611,$C489),0)</f>
        <v>488</v>
      </c>
      <c r="E489" s="23">
        <f>IFERROR(MATCH($A489,Dataset3_Raw!$A$2:$A$391,0),0)</f>
        <v>0</v>
      </c>
      <c r="F489" s="24">
        <f>IF($C489&gt;0,INDEX(Merge_1_2!$B$2:$B$611,$C489),DATE(VALUE(RIGHT(INDEX(Dataset3_Raw!$B$2:$B$391,$E489),4)),VALUE(MID(INDEX(Dataset3_Raw!$B$2:$B$391,$E489),4,2)),VALUE(LEFT(INDEX(Dataset3_Raw!$B$2:$B$391,$E489),2))))</f>
        <v>40565</v>
      </c>
      <c r="G489" s="23">
        <f>IF($C489&gt;0,INDEX(Merge_1_2!$C$2:$C$611,$C489),INDEX(Dataset3_Raw!$C$2:$C$391,$E489))</f>
        <v>1</v>
      </c>
      <c r="H489" s="23">
        <f>IF($C489&gt;0,INDEX(Merge_1_2!$D$2:$D$611,$C489),INDEX(Dataset3_Raw!$D$2:$D$391,$E489))</f>
        <v>0</v>
      </c>
      <c r="I489" s="23">
        <f>IF($C489&gt;0,INDEX(Merge_1_2!$E$2:$E$611,$C489),INDEX(Dataset3_Raw!$E$2:$E$391,$E489))</f>
        <v>1</v>
      </c>
      <c r="J489" s="23">
        <f>IF($C489&gt;0,INDEX(Merge_1_2!$F$2:$F$611,$C489),INDEX(Dataset3_Raw!$F$2:$F$391,$E489))</f>
        <v>9</v>
      </c>
      <c r="K489" s="23" t="b">
        <f>IF($C489&gt;0,INDEX(Merge_1_2!$G$2:$G$611,$C489),INDEX(Dataset3_Raw!$G$2:$G$391,$E489))</f>
        <v>0</v>
      </c>
      <c r="L489" s="23">
        <f>IF($C489&gt;0,INDEX(Merge_1_2!$H$2:$H$611,$C489),INDEX(Dataset3_Raw!$H$2:$H$391,$E489))</f>
        <v>6</v>
      </c>
      <c r="M489" s="23">
        <f>IF($C489&gt;0,INDEX(Merge_1_2!$I$2:$I$611,$C489),INDEX(Dataset3_Raw!$I$2:$I$391,$E489))</f>
        <v>1</v>
      </c>
      <c r="N489" s="25">
        <f>IF($C489&gt;0,INDEX(Merge_1_2!$J$2:$J$611,$C489),INDEX(Dataset3_Raw!$J$2:$J$391,$E489))</f>
        <v>0.04</v>
      </c>
      <c r="O489" s="25">
        <f>IF($C489&gt;0,IF(ISNUMBER(INDEX(Merge_1_2!$K$2:$K$611,$C489)),INDEX(Merge_1_2!$K$2:$K$611,$C489),""),INDEX(Dataset3_Raw!$K$2:$K$391,$E489))</f>
        <v>3.0300000000000001E-2</v>
      </c>
      <c r="P489" s="25">
        <f>IF(ISNUMBER($O489),$O489,ROUND(Lookups!$B$25+Lookups!$B$24*$N489,4))</f>
        <v>3.0300000000000001E-2</v>
      </c>
      <c r="Q489" s="25">
        <f>IF($C489&gt;0,INDEX(Merge_1_2!$L$2:$L$611,$C489),INDEX(Dataset3_Raw!$L$2:$L$391,$E489))</f>
        <v>0.41</v>
      </c>
      <c r="R489" s="25">
        <f>IF($C489&gt;0,INDEX(Merge_1_2!$M$2:$M$611,$C489),INDEX(Dataset3_Raw!$M$2:$M$391,$E489))</f>
        <v>0.25369999999999998</v>
      </c>
      <c r="S489" s="23">
        <f>IF($C489&gt;0,INDEX(Merge_1_2!$N$2:$N$611,$C489),INDEX(Dataset3_Raw!$N$2:$N$391,$E489))</f>
        <v>3</v>
      </c>
      <c r="T489" s="23">
        <f>IF($C489&gt;0,INDEX(Merge_1_2!$O$2:$O$611,$C489),INDEX(Dataset3_Raw!$O$2:$O$391,$E489))</f>
        <v>37</v>
      </c>
      <c r="U489" s="23">
        <f>IF($C489&gt;0,INDEX(Merge_1_2!$P$2:$P$611,$C489),INDEX(Dataset3_Raw!$P$2:$P$391,$E489))</f>
        <v>40</v>
      </c>
      <c r="V489" s="23" t="str">
        <f t="shared" si="43"/>
        <v>Weekend</v>
      </c>
      <c r="W489" s="23" t="str">
        <f>VLOOKUP($M489,Lookups!$A$5:$B$8,2,FALSE())</f>
        <v>Clear / Partly cloudy</v>
      </c>
      <c r="X489" s="23" t="str">
        <f>VLOOKUP($G489,Lookups!$D$5:$E$8,2,FALSE())</f>
        <v>Winter</v>
      </c>
      <c r="Y489" s="23" t="str">
        <f>VLOOKUP($L489,Lookups!$G$5:$H$11,2,FALSE())</f>
        <v>Saturday</v>
      </c>
      <c r="Z489" s="23" t="str">
        <f>IF($J489&lt;Lookups!$B$26,"Night",IF($J489&lt;Lookups!$B$27,"Morning",IF($J489&lt;Lookups!$B$28,"Afternoon","Evening")))</f>
        <v>Morning</v>
      </c>
      <c r="AA489" s="26">
        <f>ROUND($N489*(Lookups!$B$16-Lookups!$B$15)+Lookups!$B$15,1)</f>
        <v>-6.1</v>
      </c>
      <c r="AB489" s="26">
        <f>ROUND($P489*(Lookups!$B$18-Lookups!$B$17)+Lookups!$B$17,1)</f>
        <v>-14</v>
      </c>
      <c r="AC489" s="23">
        <f t="shared" si="44"/>
        <v>41</v>
      </c>
      <c r="AD489" s="23">
        <f>ROUND($R489*Lookups!$B$19,1)</f>
        <v>17</v>
      </c>
      <c r="AE489" s="27">
        <f t="shared" si="45"/>
        <v>0.92500000000000004</v>
      </c>
      <c r="AF489" s="23" t="str">
        <f>IF($U489&gt;=Lookups!$B$23,"High",IF($U489&gt;=Lookups!$B$22,"Medium","Low"))</f>
        <v>Medium</v>
      </c>
      <c r="AG489" s="23">
        <f>ROUND(IF($V489="Weekday",IF(INDEX(Hourly_Analysis!$D$5:$D$28,$J489+1)&gt;0,($U489-INDEX(Hourly_Analysis!$C$5:$C$28,$J489+1))/INDEX(Hourly_Analysis!$D$5:$D$28,$J489+1),0),IF(INDEX(Hourly_Analysis!$G$5:$G$28,$J489+1)&gt;0,($U489-INDEX(Hourly_Analysis!$F$5:$F$28,$J489+1))/INDEX(Hourly_Analysis!$G$5:$G$28,$J489+1),0)),2)</f>
        <v>0.71</v>
      </c>
      <c r="AH489" s="23" t="str">
        <f>IF(ABS($AG489)&gt;Lookups!$B$20,IF($AG489&gt;0,"High anomaly","Low anomaly"),"")</f>
        <v/>
      </c>
      <c r="AI489" s="23" t="str">
        <f t="shared" si="46"/>
        <v>OK</v>
      </c>
      <c r="AJ489" s="23" t="str">
        <f t="shared" si="47"/>
        <v>No</v>
      </c>
    </row>
    <row r="490" spans="1:36" x14ac:dyDescent="0.35">
      <c r="A490" s="23">
        <v>489</v>
      </c>
      <c r="B490" s="23" t="str">
        <f t="shared" si="42"/>
        <v>Merge 1+2</v>
      </c>
      <c r="C490" s="23">
        <f>IFERROR(MATCH($A490,Merge_1_2!$A$2:$A$611,0),0)</f>
        <v>489</v>
      </c>
      <c r="D490" s="23">
        <f>IF($C490&gt;0,INDEX(Merge_1_2!$Q$2:$Q$611,$C490),0)</f>
        <v>489</v>
      </c>
      <c r="E490" s="23">
        <f>IFERROR(MATCH($A490,Dataset3_Raw!$A$2:$A$391,0),0)</f>
        <v>0</v>
      </c>
      <c r="F490" s="24">
        <f>IF($C490&gt;0,INDEX(Merge_1_2!$B$2:$B$611,$C490),DATE(VALUE(RIGHT(INDEX(Dataset3_Raw!$B$2:$B$391,$E490),4)),VALUE(MID(INDEX(Dataset3_Raw!$B$2:$B$391,$E490),4,2)),VALUE(LEFT(INDEX(Dataset3_Raw!$B$2:$B$391,$E490),2))))</f>
        <v>40565</v>
      </c>
      <c r="G490" s="23">
        <f>IF($C490&gt;0,INDEX(Merge_1_2!$C$2:$C$611,$C490),INDEX(Dataset3_Raw!$C$2:$C$391,$E490))</f>
        <v>1</v>
      </c>
      <c r="H490" s="23">
        <f>IF($C490&gt;0,INDEX(Merge_1_2!$D$2:$D$611,$C490),INDEX(Dataset3_Raw!$D$2:$D$391,$E490))</f>
        <v>0</v>
      </c>
      <c r="I490" s="23">
        <f>IF($C490&gt;0,INDEX(Merge_1_2!$E$2:$E$611,$C490),INDEX(Dataset3_Raw!$E$2:$E$391,$E490))</f>
        <v>1</v>
      </c>
      <c r="J490" s="23">
        <f>IF($C490&gt;0,INDEX(Merge_1_2!$F$2:$F$611,$C490),INDEX(Dataset3_Raw!$F$2:$F$391,$E490))</f>
        <v>10</v>
      </c>
      <c r="K490" s="23" t="b">
        <f>IF($C490&gt;0,INDEX(Merge_1_2!$G$2:$G$611,$C490),INDEX(Dataset3_Raw!$G$2:$G$391,$E490))</f>
        <v>0</v>
      </c>
      <c r="L490" s="23">
        <f>IF($C490&gt;0,INDEX(Merge_1_2!$H$2:$H$611,$C490),INDEX(Dataset3_Raw!$H$2:$H$391,$E490))</f>
        <v>6</v>
      </c>
      <c r="M490" s="23">
        <f>IF($C490&gt;0,INDEX(Merge_1_2!$I$2:$I$611,$C490),INDEX(Dataset3_Raw!$I$2:$I$391,$E490))</f>
        <v>2</v>
      </c>
      <c r="N490" s="25">
        <f>IF($C490&gt;0,INDEX(Merge_1_2!$J$2:$J$611,$C490),INDEX(Dataset3_Raw!$J$2:$J$391,$E490))</f>
        <v>0.04</v>
      </c>
      <c r="O490" s="25">
        <f>IF($C490&gt;0,IF(ISNUMBER(INDEX(Merge_1_2!$K$2:$K$611,$C490)),INDEX(Merge_1_2!$K$2:$K$611,$C490),""),INDEX(Dataset3_Raw!$K$2:$K$391,$E490))</f>
        <v>6.0600000000000001E-2</v>
      </c>
      <c r="P490" s="25">
        <f>IF(ISNUMBER($O490),$O490,ROUND(Lookups!$B$25+Lookups!$B$24*$N490,4))</f>
        <v>6.0600000000000001E-2</v>
      </c>
      <c r="Q490" s="25">
        <f>IF($C490&gt;0,INDEX(Merge_1_2!$L$2:$L$611,$C490),INDEX(Dataset3_Raw!$L$2:$L$391,$E490))</f>
        <v>0.41</v>
      </c>
      <c r="R490" s="25">
        <f>IF($C490&gt;0,INDEX(Merge_1_2!$M$2:$M$611,$C490),INDEX(Dataset3_Raw!$M$2:$M$391,$E490))</f>
        <v>0.16420000000000001</v>
      </c>
      <c r="S490" s="23">
        <f>IF($C490&gt;0,INDEX(Merge_1_2!$N$2:$N$611,$C490),INDEX(Dataset3_Raw!$N$2:$N$391,$E490))</f>
        <v>3</v>
      </c>
      <c r="T490" s="23">
        <f>IF($C490&gt;0,INDEX(Merge_1_2!$O$2:$O$611,$C490),INDEX(Dataset3_Raw!$O$2:$O$391,$E490))</f>
        <v>50</v>
      </c>
      <c r="U490" s="23">
        <f>IF($C490&gt;0,INDEX(Merge_1_2!$P$2:$P$611,$C490),INDEX(Dataset3_Raw!$P$2:$P$391,$E490))</f>
        <v>53</v>
      </c>
      <c r="V490" s="23" t="str">
        <f t="shared" si="43"/>
        <v>Weekend</v>
      </c>
      <c r="W490" s="23" t="str">
        <f>VLOOKUP($M490,Lookups!$A$5:$B$8,2,FALSE())</f>
        <v>Mist / Cloudy</v>
      </c>
      <c r="X490" s="23" t="str">
        <f>VLOOKUP($G490,Lookups!$D$5:$E$8,2,FALSE())</f>
        <v>Winter</v>
      </c>
      <c r="Y490" s="23" t="str">
        <f>VLOOKUP($L490,Lookups!$G$5:$H$11,2,FALSE())</f>
        <v>Saturday</v>
      </c>
      <c r="Z490" s="23" t="str">
        <f>IF($J490&lt;Lookups!$B$26,"Night",IF($J490&lt;Lookups!$B$27,"Morning",IF($J490&lt;Lookups!$B$28,"Afternoon","Evening")))</f>
        <v>Morning</v>
      </c>
      <c r="AA490" s="26">
        <f>ROUND($N490*(Lookups!$B$16-Lookups!$B$15)+Lookups!$B$15,1)</f>
        <v>-6.1</v>
      </c>
      <c r="AB490" s="26">
        <f>ROUND($P490*(Lookups!$B$18-Lookups!$B$17)+Lookups!$B$17,1)</f>
        <v>-12</v>
      </c>
      <c r="AC490" s="23">
        <f t="shared" si="44"/>
        <v>41</v>
      </c>
      <c r="AD490" s="23">
        <f>ROUND($R490*Lookups!$B$19,1)</f>
        <v>11</v>
      </c>
      <c r="AE490" s="27">
        <f t="shared" si="45"/>
        <v>0.94339622641509435</v>
      </c>
      <c r="AF490" s="23" t="str">
        <f>IF($U490&gt;=Lookups!$B$23,"High",IF($U490&gt;=Lookups!$B$22,"Medium","Low"))</f>
        <v>Medium</v>
      </c>
      <c r="AG490" s="23">
        <f>ROUND(IF($V490="Weekday",IF(INDEX(Hourly_Analysis!$D$5:$D$28,$J490+1)&gt;0,($U490-INDEX(Hourly_Analysis!$C$5:$C$28,$J490+1))/INDEX(Hourly_Analysis!$D$5:$D$28,$J490+1),0),IF(INDEX(Hourly_Analysis!$G$5:$G$28,$J490+1)&gt;0,($U490-INDEX(Hourly_Analysis!$F$5:$F$28,$J490+1))/INDEX(Hourly_Analysis!$G$5:$G$28,$J490+1),0)),2)</f>
        <v>-0.49</v>
      </c>
      <c r="AH490" s="23" t="str">
        <f>IF(ABS($AG490)&gt;Lookups!$B$20,IF($AG490&gt;0,"High anomaly","Low anomaly"),"")</f>
        <v/>
      </c>
      <c r="AI490" s="23" t="str">
        <f t="shared" si="46"/>
        <v>OK</v>
      </c>
      <c r="AJ490" s="23" t="str">
        <f t="shared" si="47"/>
        <v>No</v>
      </c>
    </row>
    <row r="491" spans="1:36" x14ac:dyDescent="0.35">
      <c r="A491" s="23">
        <v>490</v>
      </c>
      <c r="B491" s="23" t="str">
        <f t="shared" si="42"/>
        <v>Merge 1+2</v>
      </c>
      <c r="C491" s="23">
        <f>IFERROR(MATCH($A491,Merge_1_2!$A$2:$A$611,0),0)</f>
        <v>490</v>
      </c>
      <c r="D491" s="23">
        <f>IF($C491&gt;0,INDEX(Merge_1_2!$Q$2:$Q$611,$C491),0)</f>
        <v>490</v>
      </c>
      <c r="E491" s="23">
        <f>IFERROR(MATCH($A491,Dataset3_Raw!$A$2:$A$391,0),0)</f>
        <v>0</v>
      </c>
      <c r="F491" s="24">
        <f>IF($C491&gt;0,INDEX(Merge_1_2!$B$2:$B$611,$C491),DATE(VALUE(RIGHT(INDEX(Dataset3_Raw!$B$2:$B$391,$E491),4)),VALUE(MID(INDEX(Dataset3_Raw!$B$2:$B$391,$E491),4,2)),VALUE(LEFT(INDEX(Dataset3_Raw!$B$2:$B$391,$E491),2))))</f>
        <v>40565</v>
      </c>
      <c r="G491" s="23">
        <f>IF($C491&gt;0,INDEX(Merge_1_2!$C$2:$C$611,$C491),INDEX(Dataset3_Raw!$C$2:$C$391,$E491))</f>
        <v>1</v>
      </c>
      <c r="H491" s="23">
        <f>IF($C491&gt;0,INDEX(Merge_1_2!$D$2:$D$611,$C491),INDEX(Dataset3_Raw!$D$2:$D$391,$E491))</f>
        <v>0</v>
      </c>
      <c r="I491" s="23">
        <f>IF($C491&gt;0,INDEX(Merge_1_2!$E$2:$E$611,$C491),INDEX(Dataset3_Raw!$E$2:$E$391,$E491))</f>
        <v>1</v>
      </c>
      <c r="J491" s="23">
        <f>IF($C491&gt;0,INDEX(Merge_1_2!$F$2:$F$611,$C491),INDEX(Dataset3_Raw!$F$2:$F$391,$E491))</f>
        <v>11</v>
      </c>
      <c r="K491" s="23" t="b">
        <f>IF($C491&gt;0,INDEX(Merge_1_2!$G$2:$G$611,$C491),INDEX(Dataset3_Raw!$G$2:$G$391,$E491))</f>
        <v>0</v>
      </c>
      <c r="L491" s="23">
        <f>IF($C491&gt;0,INDEX(Merge_1_2!$H$2:$H$611,$C491),INDEX(Dataset3_Raw!$H$2:$H$391,$E491))</f>
        <v>6</v>
      </c>
      <c r="M491" s="23">
        <f>IF($C491&gt;0,INDEX(Merge_1_2!$I$2:$I$611,$C491),INDEX(Dataset3_Raw!$I$2:$I$391,$E491))</f>
        <v>2</v>
      </c>
      <c r="N491" s="25">
        <f>IF($C491&gt;0,INDEX(Merge_1_2!$J$2:$J$611,$C491),INDEX(Dataset3_Raw!$J$2:$J$391,$E491))</f>
        <v>0.06</v>
      </c>
      <c r="O491" s="25">
        <f>IF($C491&gt;0,IF(ISNUMBER(INDEX(Merge_1_2!$K$2:$K$611,$C491)),INDEX(Merge_1_2!$K$2:$K$611,$C491),""),INDEX(Dataset3_Raw!$K$2:$K$391,$E491))</f>
        <v>7.5800000000000006E-2</v>
      </c>
      <c r="P491" s="25">
        <f>IF(ISNUMBER($O491),$O491,ROUND(Lookups!$B$25+Lookups!$B$24*$N491,4))</f>
        <v>7.5800000000000006E-2</v>
      </c>
      <c r="Q491" s="25">
        <f>IF($C491&gt;0,INDEX(Merge_1_2!$L$2:$L$611,$C491),INDEX(Dataset3_Raw!$L$2:$L$391,$E491))</f>
        <v>0.38</v>
      </c>
      <c r="R491" s="25">
        <f>IF($C491&gt;0,INDEX(Merge_1_2!$M$2:$M$611,$C491),INDEX(Dataset3_Raw!$M$2:$M$391,$E491))</f>
        <v>0.1343</v>
      </c>
      <c r="S491" s="23">
        <f>IF($C491&gt;0,INDEX(Merge_1_2!$N$2:$N$611,$C491),INDEX(Dataset3_Raw!$N$2:$N$391,$E491))</f>
        <v>4</v>
      </c>
      <c r="T491" s="23">
        <f>IF($C491&gt;0,INDEX(Merge_1_2!$O$2:$O$611,$C491),INDEX(Dataset3_Raw!$O$2:$O$391,$E491))</f>
        <v>59</v>
      </c>
      <c r="U491" s="23">
        <f>IF($C491&gt;0,INDEX(Merge_1_2!$P$2:$P$611,$C491),INDEX(Dataset3_Raw!$P$2:$P$391,$E491))</f>
        <v>63</v>
      </c>
      <c r="V491" s="23" t="str">
        <f t="shared" si="43"/>
        <v>Weekend</v>
      </c>
      <c r="W491" s="23" t="str">
        <f>VLOOKUP($M491,Lookups!$A$5:$B$8,2,FALSE())</f>
        <v>Mist / Cloudy</v>
      </c>
      <c r="X491" s="23" t="str">
        <f>VLOOKUP($G491,Lookups!$D$5:$E$8,2,FALSE())</f>
        <v>Winter</v>
      </c>
      <c r="Y491" s="23" t="str">
        <f>VLOOKUP($L491,Lookups!$G$5:$H$11,2,FALSE())</f>
        <v>Saturday</v>
      </c>
      <c r="Z491" s="23" t="str">
        <f>IF($J491&lt;Lookups!$B$26,"Night",IF($J491&lt;Lookups!$B$27,"Morning",IF($J491&lt;Lookups!$B$28,"Afternoon","Evening")))</f>
        <v>Morning</v>
      </c>
      <c r="AA491" s="26">
        <f>ROUND($N491*(Lookups!$B$16-Lookups!$B$15)+Lookups!$B$15,1)</f>
        <v>-5.2</v>
      </c>
      <c r="AB491" s="26">
        <f>ROUND($P491*(Lookups!$B$18-Lookups!$B$17)+Lookups!$B$17,1)</f>
        <v>-11</v>
      </c>
      <c r="AC491" s="23">
        <f t="shared" si="44"/>
        <v>38</v>
      </c>
      <c r="AD491" s="23">
        <f>ROUND($R491*Lookups!$B$19,1)</f>
        <v>9</v>
      </c>
      <c r="AE491" s="27">
        <f t="shared" si="45"/>
        <v>0.93650793650793651</v>
      </c>
      <c r="AF491" s="23" t="str">
        <f>IF($U491&gt;=Lookups!$B$23,"High",IF($U491&gt;=Lookups!$B$22,"Medium","Low"))</f>
        <v>Medium</v>
      </c>
      <c r="AG491" s="23">
        <f>ROUND(IF($V491="Weekday",IF(INDEX(Hourly_Analysis!$D$5:$D$28,$J491+1)&gt;0,($U491-INDEX(Hourly_Analysis!$C$5:$C$28,$J491+1))/INDEX(Hourly_Analysis!$D$5:$D$28,$J491+1),0),IF(INDEX(Hourly_Analysis!$G$5:$G$28,$J491+1)&gt;0,($U491-INDEX(Hourly_Analysis!$F$5:$F$28,$J491+1))/INDEX(Hourly_Analysis!$G$5:$G$28,$J491+1),0)),2)</f>
        <v>-0.54</v>
      </c>
      <c r="AH491" s="23" t="str">
        <f>IF(ABS($AG491)&gt;Lookups!$B$20,IF($AG491&gt;0,"High anomaly","Low anomaly"),"")</f>
        <v/>
      </c>
      <c r="AI491" s="23" t="str">
        <f t="shared" si="46"/>
        <v>OK</v>
      </c>
      <c r="AJ491" s="23" t="str">
        <f t="shared" si="47"/>
        <v>No</v>
      </c>
    </row>
    <row r="492" spans="1:36" x14ac:dyDescent="0.35">
      <c r="A492" s="23">
        <v>491</v>
      </c>
      <c r="B492" s="23" t="str">
        <f t="shared" si="42"/>
        <v>Merge 1+2</v>
      </c>
      <c r="C492" s="23">
        <f>IFERROR(MATCH($A492,Merge_1_2!$A$2:$A$611,0),0)</f>
        <v>491</v>
      </c>
      <c r="D492" s="23">
        <f>IF($C492&gt;0,INDEX(Merge_1_2!$Q$2:$Q$611,$C492),0)</f>
        <v>491</v>
      </c>
      <c r="E492" s="23">
        <f>IFERROR(MATCH($A492,Dataset3_Raw!$A$2:$A$391,0),0)</f>
        <v>0</v>
      </c>
      <c r="F492" s="24">
        <f>IF($C492&gt;0,INDEX(Merge_1_2!$B$2:$B$611,$C492),DATE(VALUE(RIGHT(INDEX(Dataset3_Raw!$B$2:$B$391,$E492),4)),VALUE(MID(INDEX(Dataset3_Raw!$B$2:$B$391,$E492),4,2)),VALUE(LEFT(INDEX(Dataset3_Raw!$B$2:$B$391,$E492),2))))</f>
        <v>40565</v>
      </c>
      <c r="G492" s="23">
        <f>IF($C492&gt;0,INDEX(Merge_1_2!$C$2:$C$611,$C492),INDEX(Dataset3_Raw!$C$2:$C$391,$E492))</f>
        <v>1</v>
      </c>
      <c r="H492" s="23">
        <f>IF($C492&gt;0,INDEX(Merge_1_2!$D$2:$D$611,$C492),INDEX(Dataset3_Raw!$D$2:$D$391,$E492))</f>
        <v>0</v>
      </c>
      <c r="I492" s="23">
        <f>IF($C492&gt;0,INDEX(Merge_1_2!$E$2:$E$611,$C492),INDEX(Dataset3_Raw!$E$2:$E$391,$E492))</f>
        <v>1</v>
      </c>
      <c r="J492" s="23">
        <f>IF($C492&gt;0,INDEX(Merge_1_2!$F$2:$F$611,$C492),INDEX(Dataset3_Raw!$F$2:$F$391,$E492))</f>
        <v>12</v>
      </c>
      <c r="K492" s="23" t="b">
        <f>IF($C492&gt;0,INDEX(Merge_1_2!$G$2:$G$611,$C492),INDEX(Dataset3_Raw!$G$2:$G$391,$E492))</f>
        <v>0</v>
      </c>
      <c r="L492" s="23">
        <f>IF($C492&gt;0,INDEX(Merge_1_2!$H$2:$H$611,$C492),INDEX(Dataset3_Raw!$H$2:$H$391,$E492))</f>
        <v>6</v>
      </c>
      <c r="M492" s="23">
        <f>IF($C492&gt;0,INDEX(Merge_1_2!$I$2:$I$611,$C492),INDEX(Dataset3_Raw!$I$2:$I$391,$E492))</f>
        <v>2</v>
      </c>
      <c r="N492" s="25">
        <f>IF($C492&gt;0,INDEX(Merge_1_2!$J$2:$J$611,$C492),INDEX(Dataset3_Raw!$J$2:$J$391,$E492))</f>
        <v>0.06</v>
      </c>
      <c r="O492" s="25">
        <f>IF($C492&gt;0,IF(ISNUMBER(INDEX(Merge_1_2!$K$2:$K$611,$C492)),INDEX(Merge_1_2!$K$2:$K$611,$C492),""),INDEX(Dataset3_Raw!$K$2:$K$391,$E492))</f>
        <v>0.1061</v>
      </c>
      <c r="P492" s="25">
        <f>IF(ISNUMBER($O492),$O492,ROUND(Lookups!$B$25+Lookups!$B$24*$N492,4))</f>
        <v>0.1061</v>
      </c>
      <c r="Q492" s="25">
        <f>IF($C492&gt;0,INDEX(Merge_1_2!$L$2:$L$611,$C492),INDEX(Dataset3_Raw!$L$2:$L$391,$E492))</f>
        <v>0.38</v>
      </c>
      <c r="R492" s="25">
        <f>IF($C492&gt;0,INDEX(Merge_1_2!$M$2:$M$611,$C492),INDEX(Dataset3_Raw!$M$2:$M$391,$E492))</f>
        <v>0.1045</v>
      </c>
      <c r="S492" s="23">
        <f>IF($C492&gt;0,INDEX(Merge_1_2!$N$2:$N$611,$C492),INDEX(Dataset3_Raw!$N$2:$N$391,$E492))</f>
        <v>10</v>
      </c>
      <c r="T492" s="23">
        <f>IF($C492&gt;0,INDEX(Merge_1_2!$O$2:$O$611,$C492),INDEX(Dataset3_Raw!$O$2:$O$391,$E492))</f>
        <v>60</v>
      </c>
      <c r="U492" s="23">
        <f>IF($C492&gt;0,INDEX(Merge_1_2!$P$2:$P$611,$C492),INDEX(Dataset3_Raw!$P$2:$P$391,$E492))</f>
        <v>70</v>
      </c>
      <c r="V492" s="23" t="str">
        <f t="shared" si="43"/>
        <v>Weekend</v>
      </c>
      <c r="W492" s="23" t="str">
        <f>VLOOKUP($M492,Lookups!$A$5:$B$8,2,FALSE())</f>
        <v>Mist / Cloudy</v>
      </c>
      <c r="X492" s="23" t="str">
        <f>VLOOKUP($G492,Lookups!$D$5:$E$8,2,FALSE())</f>
        <v>Winter</v>
      </c>
      <c r="Y492" s="23" t="str">
        <f>VLOOKUP($L492,Lookups!$G$5:$H$11,2,FALSE())</f>
        <v>Saturday</v>
      </c>
      <c r="Z492" s="23" t="str">
        <f>IF($J492&lt;Lookups!$B$26,"Night",IF($J492&lt;Lookups!$B$27,"Morning",IF($J492&lt;Lookups!$B$28,"Afternoon","Evening")))</f>
        <v>Afternoon</v>
      </c>
      <c r="AA492" s="26">
        <f>ROUND($N492*(Lookups!$B$16-Lookups!$B$15)+Lookups!$B$15,1)</f>
        <v>-5.2</v>
      </c>
      <c r="AB492" s="26">
        <f>ROUND($P492*(Lookups!$B$18-Lookups!$B$17)+Lookups!$B$17,1)</f>
        <v>-9</v>
      </c>
      <c r="AC492" s="23">
        <f t="shared" si="44"/>
        <v>38</v>
      </c>
      <c r="AD492" s="23">
        <f>ROUND($R492*Lookups!$B$19,1)</f>
        <v>7</v>
      </c>
      <c r="AE492" s="27">
        <f t="shared" si="45"/>
        <v>0.8571428571428571</v>
      </c>
      <c r="AF492" s="23" t="str">
        <f>IF($U492&gt;=Lookups!$B$23,"High",IF($U492&gt;=Lookups!$B$22,"Medium","Low"))</f>
        <v>Medium</v>
      </c>
      <c r="AG492" s="23">
        <f>ROUND(IF($V492="Weekday",IF(INDEX(Hourly_Analysis!$D$5:$D$28,$J492+1)&gt;0,($U492-INDEX(Hourly_Analysis!$C$5:$C$28,$J492+1))/INDEX(Hourly_Analysis!$D$5:$D$28,$J492+1),0),IF(INDEX(Hourly_Analysis!$G$5:$G$28,$J492+1)&gt;0,($U492-INDEX(Hourly_Analysis!$F$5:$F$28,$J492+1))/INDEX(Hourly_Analysis!$G$5:$G$28,$J492+1),0)),2)</f>
        <v>-0.94</v>
      </c>
      <c r="AH492" s="23" t="str">
        <f>IF(ABS($AG492)&gt;Lookups!$B$20,IF($AG492&gt;0,"High anomaly","Low anomaly"),"")</f>
        <v/>
      </c>
      <c r="AI492" s="23" t="str">
        <f t="shared" si="46"/>
        <v>OK</v>
      </c>
      <c r="AJ492" s="23" t="str">
        <f t="shared" si="47"/>
        <v>No</v>
      </c>
    </row>
    <row r="493" spans="1:36" x14ac:dyDescent="0.35">
      <c r="A493" s="23">
        <v>492</v>
      </c>
      <c r="B493" s="23" t="str">
        <f t="shared" si="42"/>
        <v>Merge 1+2</v>
      </c>
      <c r="C493" s="23">
        <f>IFERROR(MATCH($A493,Merge_1_2!$A$2:$A$611,0),0)</f>
        <v>492</v>
      </c>
      <c r="D493" s="23">
        <f>IF($C493&gt;0,INDEX(Merge_1_2!$Q$2:$Q$611,$C493),0)</f>
        <v>492</v>
      </c>
      <c r="E493" s="23">
        <f>IFERROR(MATCH($A493,Dataset3_Raw!$A$2:$A$391,0),0)</f>
        <v>0</v>
      </c>
      <c r="F493" s="24">
        <f>IF($C493&gt;0,INDEX(Merge_1_2!$B$2:$B$611,$C493),DATE(VALUE(RIGHT(INDEX(Dataset3_Raw!$B$2:$B$391,$E493),4)),VALUE(MID(INDEX(Dataset3_Raw!$B$2:$B$391,$E493),4,2)),VALUE(LEFT(INDEX(Dataset3_Raw!$B$2:$B$391,$E493),2))))</f>
        <v>40565</v>
      </c>
      <c r="G493" s="23">
        <f>IF($C493&gt;0,INDEX(Merge_1_2!$C$2:$C$611,$C493),INDEX(Dataset3_Raw!$C$2:$C$391,$E493))</f>
        <v>1</v>
      </c>
      <c r="H493" s="23">
        <f>IF($C493&gt;0,INDEX(Merge_1_2!$D$2:$D$611,$C493),INDEX(Dataset3_Raw!$D$2:$D$391,$E493))</f>
        <v>0</v>
      </c>
      <c r="I493" s="23">
        <f>IF($C493&gt;0,INDEX(Merge_1_2!$E$2:$E$611,$C493),INDEX(Dataset3_Raw!$E$2:$E$391,$E493))</f>
        <v>1</v>
      </c>
      <c r="J493" s="23">
        <f>IF($C493&gt;0,INDEX(Merge_1_2!$F$2:$F$611,$C493),INDEX(Dataset3_Raw!$F$2:$F$391,$E493))</f>
        <v>13</v>
      </c>
      <c r="K493" s="23" t="b">
        <f>IF($C493&gt;0,INDEX(Merge_1_2!$G$2:$G$611,$C493),INDEX(Dataset3_Raw!$G$2:$G$391,$E493))</f>
        <v>0</v>
      </c>
      <c r="L493" s="23">
        <f>IF($C493&gt;0,INDEX(Merge_1_2!$H$2:$H$611,$C493),INDEX(Dataset3_Raw!$H$2:$H$391,$E493))</f>
        <v>6</v>
      </c>
      <c r="M493" s="23">
        <f>IF($C493&gt;0,INDEX(Merge_1_2!$I$2:$I$611,$C493),INDEX(Dataset3_Raw!$I$2:$I$391,$E493))</f>
        <v>1</v>
      </c>
      <c r="N493" s="25">
        <f>IF($C493&gt;0,INDEX(Merge_1_2!$J$2:$J$611,$C493),INDEX(Dataset3_Raw!$J$2:$J$391,$E493))</f>
        <v>0.08</v>
      </c>
      <c r="O493" s="25">
        <f>IF($C493&gt;0,IF(ISNUMBER(INDEX(Merge_1_2!$K$2:$K$611,$C493)),INDEX(Merge_1_2!$K$2:$K$611,$C493),""),INDEX(Dataset3_Raw!$K$2:$K$391,$E493))</f>
        <v>0.16669999999999999</v>
      </c>
      <c r="P493" s="25">
        <f>IF(ISNUMBER($O493),$O493,ROUND(Lookups!$B$25+Lookups!$B$24*$N493,4))</f>
        <v>0.16669999999999999</v>
      </c>
      <c r="Q493" s="25">
        <f>IF($C493&gt;0,INDEX(Merge_1_2!$L$2:$L$611,$C493),INDEX(Dataset3_Raw!$L$2:$L$391,$E493))</f>
        <v>0.35</v>
      </c>
      <c r="R493" s="25">
        <f>IF($C493&gt;0,INDEX(Merge_1_2!$M$2:$M$611,$C493),INDEX(Dataset3_Raw!$M$2:$M$391,$E493))</f>
        <v>0</v>
      </c>
      <c r="S493" s="23">
        <f>IF($C493&gt;0,INDEX(Merge_1_2!$N$2:$N$611,$C493),INDEX(Dataset3_Raw!$N$2:$N$391,$E493))</f>
        <v>12</v>
      </c>
      <c r="T493" s="23">
        <f>IF($C493&gt;0,INDEX(Merge_1_2!$O$2:$O$611,$C493),INDEX(Dataset3_Raw!$O$2:$O$391,$E493))</f>
        <v>72</v>
      </c>
      <c r="U493" s="23">
        <f>IF($C493&gt;0,INDEX(Merge_1_2!$P$2:$P$611,$C493),INDEX(Dataset3_Raw!$P$2:$P$391,$E493))</f>
        <v>84</v>
      </c>
      <c r="V493" s="23" t="str">
        <f t="shared" si="43"/>
        <v>Weekend</v>
      </c>
      <c r="W493" s="23" t="str">
        <f>VLOOKUP($M493,Lookups!$A$5:$B$8,2,FALSE())</f>
        <v>Clear / Partly cloudy</v>
      </c>
      <c r="X493" s="23" t="str">
        <f>VLOOKUP($G493,Lookups!$D$5:$E$8,2,FALSE())</f>
        <v>Winter</v>
      </c>
      <c r="Y493" s="23" t="str">
        <f>VLOOKUP($L493,Lookups!$G$5:$H$11,2,FALSE())</f>
        <v>Saturday</v>
      </c>
      <c r="Z493" s="23" t="str">
        <f>IF($J493&lt;Lookups!$B$26,"Night",IF($J493&lt;Lookups!$B$27,"Morning",IF($J493&lt;Lookups!$B$28,"Afternoon","Evening")))</f>
        <v>Afternoon</v>
      </c>
      <c r="AA493" s="26">
        <f>ROUND($N493*(Lookups!$B$16-Lookups!$B$15)+Lookups!$B$15,1)</f>
        <v>-4.2</v>
      </c>
      <c r="AB493" s="26">
        <f>ROUND($P493*(Lookups!$B$18-Lookups!$B$17)+Lookups!$B$17,1)</f>
        <v>-5</v>
      </c>
      <c r="AC493" s="23">
        <f t="shared" si="44"/>
        <v>35</v>
      </c>
      <c r="AD493" s="23">
        <f>ROUND($R493*Lookups!$B$19,1)</f>
        <v>0</v>
      </c>
      <c r="AE493" s="27">
        <f t="shared" si="45"/>
        <v>0.8571428571428571</v>
      </c>
      <c r="AF493" s="23" t="str">
        <f>IF($U493&gt;=Lookups!$B$23,"High",IF($U493&gt;=Lookups!$B$22,"Medium","Low"))</f>
        <v>High</v>
      </c>
      <c r="AG493" s="23">
        <f>ROUND(IF($V493="Weekday",IF(INDEX(Hourly_Analysis!$D$5:$D$28,$J493+1)&gt;0,($U493-INDEX(Hourly_Analysis!$C$5:$C$28,$J493+1))/INDEX(Hourly_Analysis!$D$5:$D$28,$J493+1),0),IF(INDEX(Hourly_Analysis!$G$5:$G$28,$J493+1)&gt;0,($U493-INDEX(Hourly_Analysis!$F$5:$F$28,$J493+1))/INDEX(Hourly_Analysis!$G$5:$G$28,$J493+1),0)),2)</f>
        <v>-0.53</v>
      </c>
      <c r="AH493" s="23" t="str">
        <f>IF(ABS($AG493)&gt;Lookups!$B$20,IF($AG493&gt;0,"High anomaly","Low anomaly"),"")</f>
        <v/>
      </c>
      <c r="AI493" s="23" t="str">
        <f t="shared" si="46"/>
        <v>OK</v>
      </c>
      <c r="AJ493" s="23" t="str">
        <f t="shared" si="47"/>
        <v>No</v>
      </c>
    </row>
    <row r="494" spans="1:36" x14ac:dyDescent="0.35">
      <c r="A494" s="23">
        <v>493</v>
      </c>
      <c r="B494" s="23" t="str">
        <f t="shared" si="42"/>
        <v>Merge 1+2</v>
      </c>
      <c r="C494" s="23">
        <f>IFERROR(MATCH($A494,Merge_1_2!$A$2:$A$611,0),0)</f>
        <v>493</v>
      </c>
      <c r="D494" s="23">
        <f>IF($C494&gt;0,INDEX(Merge_1_2!$Q$2:$Q$611,$C494),0)</f>
        <v>493</v>
      </c>
      <c r="E494" s="23">
        <f>IFERROR(MATCH($A494,Dataset3_Raw!$A$2:$A$391,0),0)</f>
        <v>0</v>
      </c>
      <c r="F494" s="24">
        <f>IF($C494&gt;0,INDEX(Merge_1_2!$B$2:$B$611,$C494),DATE(VALUE(RIGHT(INDEX(Dataset3_Raw!$B$2:$B$391,$E494),4)),VALUE(MID(INDEX(Dataset3_Raw!$B$2:$B$391,$E494),4,2)),VALUE(LEFT(INDEX(Dataset3_Raw!$B$2:$B$391,$E494),2))))</f>
        <v>40565</v>
      </c>
      <c r="G494" s="23">
        <f>IF($C494&gt;0,INDEX(Merge_1_2!$C$2:$C$611,$C494),INDEX(Dataset3_Raw!$C$2:$C$391,$E494))</f>
        <v>1</v>
      </c>
      <c r="H494" s="23">
        <f>IF($C494&gt;0,INDEX(Merge_1_2!$D$2:$D$611,$C494),INDEX(Dataset3_Raw!$D$2:$D$391,$E494))</f>
        <v>0</v>
      </c>
      <c r="I494" s="23">
        <f>IF($C494&gt;0,INDEX(Merge_1_2!$E$2:$E$611,$C494),INDEX(Dataset3_Raw!$E$2:$E$391,$E494))</f>
        <v>1</v>
      </c>
      <c r="J494" s="23">
        <f>IF($C494&gt;0,INDEX(Merge_1_2!$F$2:$F$611,$C494),INDEX(Dataset3_Raw!$F$2:$F$391,$E494))</f>
        <v>14</v>
      </c>
      <c r="K494" s="23" t="b">
        <f>IF($C494&gt;0,INDEX(Merge_1_2!$G$2:$G$611,$C494),INDEX(Dataset3_Raw!$G$2:$G$391,$E494))</f>
        <v>0</v>
      </c>
      <c r="L494" s="23">
        <f>IF($C494&gt;0,INDEX(Merge_1_2!$H$2:$H$611,$C494),INDEX(Dataset3_Raw!$H$2:$H$391,$E494))</f>
        <v>6</v>
      </c>
      <c r="M494" s="23">
        <f>IF($C494&gt;0,INDEX(Merge_1_2!$I$2:$I$611,$C494),INDEX(Dataset3_Raw!$I$2:$I$391,$E494))</f>
        <v>1</v>
      </c>
      <c r="N494" s="25">
        <f>IF($C494&gt;0,INDEX(Merge_1_2!$J$2:$J$611,$C494),INDEX(Dataset3_Raw!$J$2:$J$391,$E494))</f>
        <v>0.1</v>
      </c>
      <c r="O494" s="25">
        <f>IF($C494&gt;0,IF(ISNUMBER(INDEX(Merge_1_2!$K$2:$K$611,$C494)),INDEX(Merge_1_2!$K$2:$K$611,$C494),""),INDEX(Dataset3_Raw!$K$2:$K$391,$E494))</f>
        <v>0.13639999999999999</v>
      </c>
      <c r="P494" s="25">
        <f>IF(ISNUMBER($O494),$O494,ROUND(Lookups!$B$25+Lookups!$B$24*$N494,4))</f>
        <v>0.13639999999999999</v>
      </c>
      <c r="Q494" s="25">
        <f>IF($C494&gt;0,INDEX(Merge_1_2!$L$2:$L$611,$C494),INDEX(Dataset3_Raw!$L$2:$L$391,$E494))</f>
        <v>0.33</v>
      </c>
      <c r="R494" s="25">
        <f>IF($C494&gt;0,INDEX(Merge_1_2!$M$2:$M$611,$C494),INDEX(Dataset3_Raw!$M$2:$M$391,$E494))</f>
        <v>0.1045</v>
      </c>
      <c r="S494" s="23">
        <f>IF($C494&gt;0,INDEX(Merge_1_2!$N$2:$N$611,$C494),INDEX(Dataset3_Raw!$N$2:$N$391,$E494))</f>
        <v>11</v>
      </c>
      <c r="T494" s="23">
        <f>IF($C494&gt;0,INDEX(Merge_1_2!$O$2:$O$611,$C494),INDEX(Dataset3_Raw!$O$2:$O$391,$E494))</f>
        <v>64</v>
      </c>
      <c r="U494" s="23">
        <f>IF($C494&gt;0,INDEX(Merge_1_2!$P$2:$P$611,$C494),INDEX(Dataset3_Raw!$P$2:$P$391,$E494))</f>
        <v>75</v>
      </c>
      <c r="V494" s="23" t="str">
        <f t="shared" si="43"/>
        <v>Weekend</v>
      </c>
      <c r="W494" s="23" t="str">
        <f>VLOOKUP($M494,Lookups!$A$5:$B$8,2,FALSE())</f>
        <v>Clear / Partly cloudy</v>
      </c>
      <c r="X494" s="23" t="str">
        <f>VLOOKUP($G494,Lookups!$D$5:$E$8,2,FALSE())</f>
        <v>Winter</v>
      </c>
      <c r="Y494" s="23" t="str">
        <f>VLOOKUP($L494,Lookups!$G$5:$H$11,2,FALSE())</f>
        <v>Saturday</v>
      </c>
      <c r="Z494" s="23" t="str">
        <f>IF($J494&lt;Lookups!$B$26,"Night",IF($J494&lt;Lookups!$B$27,"Morning",IF($J494&lt;Lookups!$B$28,"Afternoon","Evening")))</f>
        <v>Afternoon</v>
      </c>
      <c r="AA494" s="26">
        <f>ROUND($N494*(Lookups!$B$16-Lookups!$B$15)+Lookups!$B$15,1)</f>
        <v>-3.3</v>
      </c>
      <c r="AB494" s="26">
        <f>ROUND($P494*(Lookups!$B$18-Lookups!$B$17)+Lookups!$B$17,1)</f>
        <v>-7</v>
      </c>
      <c r="AC494" s="23">
        <f t="shared" si="44"/>
        <v>33</v>
      </c>
      <c r="AD494" s="23">
        <f>ROUND($R494*Lookups!$B$19,1)</f>
        <v>7</v>
      </c>
      <c r="AE494" s="27">
        <f t="shared" si="45"/>
        <v>0.85333333333333339</v>
      </c>
      <c r="AF494" s="23" t="str">
        <f>IF($U494&gt;=Lookups!$B$23,"High",IF($U494&gt;=Lookups!$B$22,"Medium","Low"))</f>
        <v>Medium</v>
      </c>
      <c r="AG494" s="23">
        <f>ROUND(IF($V494="Weekday",IF(INDEX(Hourly_Analysis!$D$5:$D$28,$J494+1)&gt;0,($U494-INDEX(Hourly_Analysis!$C$5:$C$28,$J494+1))/INDEX(Hourly_Analysis!$D$5:$D$28,$J494+1),0),IF(INDEX(Hourly_Analysis!$G$5:$G$28,$J494+1)&gt;0,($U494-INDEX(Hourly_Analysis!$F$5:$F$28,$J494+1))/INDEX(Hourly_Analysis!$G$5:$G$28,$J494+1),0)),2)</f>
        <v>-0.85</v>
      </c>
      <c r="AH494" s="23" t="str">
        <f>IF(ABS($AG494)&gt;Lookups!$B$20,IF($AG494&gt;0,"High anomaly","Low anomaly"),"")</f>
        <v/>
      </c>
      <c r="AI494" s="23" t="str">
        <f t="shared" si="46"/>
        <v>OK</v>
      </c>
      <c r="AJ494" s="23" t="str">
        <f t="shared" si="47"/>
        <v>No</v>
      </c>
    </row>
    <row r="495" spans="1:36" x14ac:dyDescent="0.35">
      <c r="A495" s="23">
        <v>494</v>
      </c>
      <c r="B495" s="23" t="str">
        <f t="shared" si="42"/>
        <v>Merge 1+2</v>
      </c>
      <c r="C495" s="23">
        <f>IFERROR(MATCH($A495,Merge_1_2!$A$2:$A$611,0),0)</f>
        <v>494</v>
      </c>
      <c r="D495" s="23">
        <f>IF($C495&gt;0,INDEX(Merge_1_2!$Q$2:$Q$611,$C495),0)</f>
        <v>494</v>
      </c>
      <c r="E495" s="23">
        <f>IFERROR(MATCH($A495,Dataset3_Raw!$A$2:$A$391,0),0)</f>
        <v>0</v>
      </c>
      <c r="F495" s="24">
        <f>IF($C495&gt;0,INDEX(Merge_1_2!$B$2:$B$611,$C495),DATE(VALUE(RIGHT(INDEX(Dataset3_Raw!$B$2:$B$391,$E495),4)),VALUE(MID(INDEX(Dataset3_Raw!$B$2:$B$391,$E495),4,2)),VALUE(LEFT(INDEX(Dataset3_Raw!$B$2:$B$391,$E495),2))))</f>
        <v>40565</v>
      </c>
      <c r="G495" s="23">
        <f>IF($C495&gt;0,INDEX(Merge_1_2!$C$2:$C$611,$C495),INDEX(Dataset3_Raw!$C$2:$C$391,$E495))</f>
        <v>1</v>
      </c>
      <c r="H495" s="23">
        <f>IF($C495&gt;0,INDEX(Merge_1_2!$D$2:$D$611,$C495),INDEX(Dataset3_Raw!$D$2:$D$391,$E495))</f>
        <v>0</v>
      </c>
      <c r="I495" s="23">
        <f>IF($C495&gt;0,INDEX(Merge_1_2!$E$2:$E$611,$C495),INDEX(Dataset3_Raw!$E$2:$E$391,$E495))</f>
        <v>1</v>
      </c>
      <c r="J495" s="23">
        <f>IF($C495&gt;0,INDEX(Merge_1_2!$F$2:$F$611,$C495),INDEX(Dataset3_Raw!$F$2:$F$391,$E495))</f>
        <v>15</v>
      </c>
      <c r="K495" s="23" t="b">
        <f>IF($C495&gt;0,INDEX(Merge_1_2!$G$2:$G$611,$C495),INDEX(Dataset3_Raw!$G$2:$G$391,$E495))</f>
        <v>0</v>
      </c>
      <c r="L495" s="23">
        <f>IF($C495&gt;0,INDEX(Merge_1_2!$H$2:$H$611,$C495),INDEX(Dataset3_Raw!$H$2:$H$391,$E495))</f>
        <v>6</v>
      </c>
      <c r="M495" s="23">
        <f>IF($C495&gt;0,INDEX(Merge_1_2!$I$2:$I$611,$C495),INDEX(Dataset3_Raw!$I$2:$I$391,$E495))</f>
        <v>1</v>
      </c>
      <c r="N495" s="25">
        <f>IF($C495&gt;0,INDEX(Merge_1_2!$J$2:$J$611,$C495),INDEX(Dataset3_Raw!$J$2:$J$391,$E495))</f>
        <v>0.12</v>
      </c>
      <c r="O495" s="25">
        <f>IF($C495&gt;0,IF(ISNUMBER(INDEX(Merge_1_2!$K$2:$K$611,$C495)),INDEX(Merge_1_2!$K$2:$K$611,$C495),""),INDEX(Dataset3_Raw!$K$2:$K$391,$E495))</f>
        <v>0.1515</v>
      </c>
      <c r="P495" s="25">
        <f>IF(ISNUMBER($O495),$O495,ROUND(Lookups!$B$25+Lookups!$B$24*$N495,4))</f>
        <v>0.1515</v>
      </c>
      <c r="Q495" s="25">
        <f>IF($C495&gt;0,INDEX(Merge_1_2!$L$2:$L$611,$C495),INDEX(Dataset3_Raw!$L$2:$L$391,$E495))</f>
        <v>0.28000000000000003</v>
      </c>
      <c r="R495" s="25">
        <f>IF($C495&gt;0,INDEX(Merge_1_2!$M$2:$M$611,$C495),INDEX(Dataset3_Raw!$M$2:$M$391,$E495))</f>
        <v>0</v>
      </c>
      <c r="S495" s="23">
        <f>IF($C495&gt;0,INDEX(Merge_1_2!$N$2:$N$611,$C495),INDEX(Dataset3_Raw!$N$2:$N$391,$E495))</f>
        <v>10</v>
      </c>
      <c r="T495" s="23">
        <f>IF($C495&gt;0,INDEX(Merge_1_2!$O$2:$O$611,$C495),INDEX(Dataset3_Raw!$O$2:$O$391,$E495))</f>
        <v>93</v>
      </c>
      <c r="U495" s="23">
        <f>IF($C495&gt;0,INDEX(Merge_1_2!$P$2:$P$611,$C495),INDEX(Dataset3_Raw!$P$2:$P$391,$E495))</f>
        <v>103</v>
      </c>
      <c r="V495" s="23" t="str">
        <f t="shared" si="43"/>
        <v>Weekend</v>
      </c>
      <c r="W495" s="23" t="str">
        <f>VLOOKUP($M495,Lookups!$A$5:$B$8,2,FALSE())</f>
        <v>Clear / Partly cloudy</v>
      </c>
      <c r="X495" s="23" t="str">
        <f>VLOOKUP($G495,Lookups!$D$5:$E$8,2,FALSE())</f>
        <v>Winter</v>
      </c>
      <c r="Y495" s="23" t="str">
        <f>VLOOKUP($L495,Lookups!$G$5:$H$11,2,FALSE())</f>
        <v>Saturday</v>
      </c>
      <c r="Z495" s="23" t="str">
        <f>IF($J495&lt;Lookups!$B$26,"Night",IF($J495&lt;Lookups!$B$27,"Morning",IF($J495&lt;Lookups!$B$28,"Afternoon","Evening")))</f>
        <v>Afternoon</v>
      </c>
      <c r="AA495" s="26">
        <f>ROUND($N495*(Lookups!$B$16-Lookups!$B$15)+Lookups!$B$15,1)</f>
        <v>-2.4</v>
      </c>
      <c r="AB495" s="26">
        <f>ROUND($P495*(Lookups!$B$18-Lookups!$B$17)+Lookups!$B$17,1)</f>
        <v>-6</v>
      </c>
      <c r="AC495" s="23">
        <f t="shared" si="44"/>
        <v>28</v>
      </c>
      <c r="AD495" s="23">
        <f>ROUND($R495*Lookups!$B$19,1)</f>
        <v>0</v>
      </c>
      <c r="AE495" s="27">
        <f t="shared" si="45"/>
        <v>0.90291262135922334</v>
      </c>
      <c r="AF495" s="23" t="str">
        <f>IF($U495&gt;=Lookups!$B$23,"High",IF($U495&gt;=Lookups!$B$22,"Medium","Low"))</f>
        <v>High</v>
      </c>
      <c r="AG495" s="23">
        <f>ROUND(IF($V495="Weekday",IF(INDEX(Hourly_Analysis!$D$5:$D$28,$J495+1)&gt;0,($U495-INDEX(Hourly_Analysis!$C$5:$C$28,$J495+1))/INDEX(Hourly_Analysis!$D$5:$D$28,$J495+1),0),IF(INDEX(Hourly_Analysis!$G$5:$G$28,$J495+1)&gt;0,($U495-INDEX(Hourly_Analysis!$F$5:$F$28,$J495+1))/INDEX(Hourly_Analysis!$G$5:$G$28,$J495+1),0)),2)</f>
        <v>-0.21</v>
      </c>
      <c r="AH495" s="23" t="str">
        <f>IF(ABS($AG495)&gt;Lookups!$B$20,IF($AG495&gt;0,"High anomaly","Low anomaly"),"")</f>
        <v/>
      </c>
      <c r="AI495" s="23" t="str">
        <f t="shared" si="46"/>
        <v>OK</v>
      </c>
      <c r="AJ495" s="23" t="str">
        <f t="shared" si="47"/>
        <v>No</v>
      </c>
    </row>
    <row r="496" spans="1:36" x14ac:dyDescent="0.35">
      <c r="A496" s="23">
        <v>495</v>
      </c>
      <c r="B496" s="23" t="str">
        <f t="shared" si="42"/>
        <v>Merge 1+2</v>
      </c>
      <c r="C496" s="23">
        <f>IFERROR(MATCH($A496,Merge_1_2!$A$2:$A$611,0),0)</f>
        <v>495</v>
      </c>
      <c r="D496" s="23">
        <f>IF($C496&gt;0,INDEX(Merge_1_2!$Q$2:$Q$611,$C496),0)</f>
        <v>495</v>
      </c>
      <c r="E496" s="23">
        <f>IFERROR(MATCH($A496,Dataset3_Raw!$A$2:$A$391,0),0)</f>
        <v>0</v>
      </c>
      <c r="F496" s="24">
        <f>IF($C496&gt;0,INDEX(Merge_1_2!$B$2:$B$611,$C496),DATE(VALUE(RIGHT(INDEX(Dataset3_Raw!$B$2:$B$391,$E496),4)),VALUE(MID(INDEX(Dataset3_Raw!$B$2:$B$391,$E496),4,2)),VALUE(LEFT(INDEX(Dataset3_Raw!$B$2:$B$391,$E496),2))))</f>
        <v>40565</v>
      </c>
      <c r="G496" s="23">
        <f>IF($C496&gt;0,INDEX(Merge_1_2!$C$2:$C$611,$C496),INDEX(Dataset3_Raw!$C$2:$C$391,$E496))</f>
        <v>1</v>
      </c>
      <c r="H496" s="23">
        <f>IF($C496&gt;0,INDEX(Merge_1_2!$D$2:$D$611,$C496),INDEX(Dataset3_Raw!$D$2:$D$391,$E496))</f>
        <v>0</v>
      </c>
      <c r="I496" s="23">
        <f>IF($C496&gt;0,INDEX(Merge_1_2!$E$2:$E$611,$C496),INDEX(Dataset3_Raw!$E$2:$E$391,$E496))</f>
        <v>1</v>
      </c>
      <c r="J496" s="23">
        <f>IF($C496&gt;0,INDEX(Merge_1_2!$F$2:$F$611,$C496),INDEX(Dataset3_Raw!$F$2:$F$391,$E496))</f>
        <v>16</v>
      </c>
      <c r="K496" s="23" t="b">
        <f>IF($C496&gt;0,INDEX(Merge_1_2!$G$2:$G$611,$C496),INDEX(Dataset3_Raw!$G$2:$G$391,$E496))</f>
        <v>0</v>
      </c>
      <c r="L496" s="23">
        <f>IF($C496&gt;0,INDEX(Merge_1_2!$H$2:$H$611,$C496),INDEX(Dataset3_Raw!$H$2:$H$391,$E496))</f>
        <v>6</v>
      </c>
      <c r="M496" s="23">
        <f>IF($C496&gt;0,INDEX(Merge_1_2!$I$2:$I$611,$C496),INDEX(Dataset3_Raw!$I$2:$I$391,$E496))</f>
        <v>1</v>
      </c>
      <c r="N496" s="25">
        <f>IF($C496&gt;0,INDEX(Merge_1_2!$J$2:$J$611,$C496),INDEX(Dataset3_Raw!$J$2:$J$391,$E496))</f>
        <v>0.12</v>
      </c>
      <c r="O496" s="25">
        <f>IF($C496&gt;0,IF(ISNUMBER(INDEX(Merge_1_2!$K$2:$K$611,$C496)),INDEX(Merge_1_2!$K$2:$K$611,$C496),""),INDEX(Dataset3_Raw!$K$2:$K$391,$E496))</f>
        <v>0.13639999999999999</v>
      </c>
      <c r="P496" s="25">
        <f>IF(ISNUMBER($O496),$O496,ROUND(Lookups!$B$25+Lookups!$B$24*$N496,4))</f>
        <v>0.13639999999999999</v>
      </c>
      <c r="Q496" s="25">
        <f>IF($C496&gt;0,INDEX(Merge_1_2!$L$2:$L$611,$C496),INDEX(Dataset3_Raw!$L$2:$L$391,$E496))</f>
        <v>0.28000000000000003</v>
      </c>
      <c r="R496" s="25">
        <f>IF($C496&gt;0,INDEX(Merge_1_2!$M$2:$M$611,$C496),INDEX(Dataset3_Raw!$M$2:$M$391,$E496))</f>
        <v>0.19400000000000001</v>
      </c>
      <c r="S496" s="23">
        <f>IF($C496&gt;0,INDEX(Merge_1_2!$N$2:$N$611,$C496),INDEX(Dataset3_Raw!$N$2:$N$391,$E496))</f>
        <v>11</v>
      </c>
      <c r="T496" s="23">
        <f>IF($C496&gt;0,INDEX(Merge_1_2!$O$2:$O$611,$C496),INDEX(Dataset3_Raw!$O$2:$O$391,$E496))</f>
        <v>72</v>
      </c>
      <c r="U496" s="23">
        <f>IF($C496&gt;0,INDEX(Merge_1_2!$P$2:$P$611,$C496),INDEX(Dataset3_Raw!$P$2:$P$391,$E496))</f>
        <v>83</v>
      </c>
      <c r="V496" s="23" t="str">
        <f t="shared" si="43"/>
        <v>Weekend</v>
      </c>
      <c r="W496" s="23" t="str">
        <f>VLOOKUP($M496,Lookups!$A$5:$B$8,2,FALSE())</f>
        <v>Clear / Partly cloudy</v>
      </c>
      <c r="X496" s="23" t="str">
        <f>VLOOKUP($G496,Lookups!$D$5:$E$8,2,FALSE())</f>
        <v>Winter</v>
      </c>
      <c r="Y496" s="23" t="str">
        <f>VLOOKUP($L496,Lookups!$G$5:$H$11,2,FALSE())</f>
        <v>Saturday</v>
      </c>
      <c r="Z496" s="23" t="str">
        <f>IF($J496&lt;Lookups!$B$26,"Night",IF($J496&lt;Lookups!$B$27,"Morning",IF($J496&lt;Lookups!$B$28,"Afternoon","Evening")))</f>
        <v>Afternoon</v>
      </c>
      <c r="AA496" s="26">
        <f>ROUND($N496*(Lookups!$B$16-Lookups!$B$15)+Lookups!$B$15,1)</f>
        <v>-2.4</v>
      </c>
      <c r="AB496" s="26">
        <f>ROUND($P496*(Lookups!$B$18-Lookups!$B$17)+Lookups!$B$17,1)</f>
        <v>-7</v>
      </c>
      <c r="AC496" s="23">
        <f t="shared" si="44"/>
        <v>28</v>
      </c>
      <c r="AD496" s="23">
        <f>ROUND($R496*Lookups!$B$19,1)</f>
        <v>13</v>
      </c>
      <c r="AE496" s="27">
        <f t="shared" si="45"/>
        <v>0.86746987951807231</v>
      </c>
      <c r="AF496" s="23" t="str">
        <f>IF($U496&gt;=Lookups!$B$23,"High",IF($U496&gt;=Lookups!$B$22,"Medium","Low"))</f>
        <v>High</v>
      </c>
      <c r="AG496" s="23">
        <f>ROUND(IF($V496="Weekday",IF(INDEX(Hourly_Analysis!$D$5:$D$28,$J496+1)&gt;0,($U496-INDEX(Hourly_Analysis!$C$5:$C$28,$J496+1))/INDEX(Hourly_Analysis!$D$5:$D$28,$J496+1),0),IF(INDEX(Hourly_Analysis!$G$5:$G$28,$J496+1)&gt;0,($U496-INDEX(Hourly_Analysis!$F$5:$F$28,$J496+1))/INDEX(Hourly_Analysis!$G$5:$G$28,$J496+1),0)),2)</f>
        <v>-0.66</v>
      </c>
      <c r="AH496" s="23" t="str">
        <f>IF(ABS($AG496)&gt;Lookups!$B$20,IF($AG496&gt;0,"High anomaly","Low anomaly"),"")</f>
        <v/>
      </c>
      <c r="AI496" s="23" t="str">
        <f t="shared" si="46"/>
        <v>OK</v>
      </c>
      <c r="AJ496" s="23" t="str">
        <f t="shared" si="47"/>
        <v>No</v>
      </c>
    </row>
    <row r="497" spans="1:36" x14ac:dyDescent="0.35">
      <c r="A497" s="23">
        <v>496</v>
      </c>
      <c r="B497" s="23" t="str">
        <f t="shared" si="42"/>
        <v>Merge 1+2</v>
      </c>
      <c r="C497" s="23">
        <f>IFERROR(MATCH($A497,Merge_1_2!$A$2:$A$611,0),0)</f>
        <v>496</v>
      </c>
      <c r="D497" s="23">
        <f>IF($C497&gt;0,INDEX(Merge_1_2!$Q$2:$Q$611,$C497),0)</f>
        <v>496</v>
      </c>
      <c r="E497" s="23">
        <f>IFERROR(MATCH($A497,Dataset3_Raw!$A$2:$A$391,0),0)</f>
        <v>0</v>
      </c>
      <c r="F497" s="24">
        <f>IF($C497&gt;0,INDEX(Merge_1_2!$B$2:$B$611,$C497),DATE(VALUE(RIGHT(INDEX(Dataset3_Raw!$B$2:$B$391,$E497),4)),VALUE(MID(INDEX(Dataset3_Raw!$B$2:$B$391,$E497),4,2)),VALUE(LEFT(INDEX(Dataset3_Raw!$B$2:$B$391,$E497),2))))</f>
        <v>40565</v>
      </c>
      <c r="G497" s="23">
        <f>IF($C497&gt;0,INDEX(Merge_1_2!$C$2:$C$611,$C497),INDEX(Dataset3_Raw!$C$2:$C$391,$E497))</f>
        <v>1</v>
      </c>
      <c r="H497" s="23">
        <f>IF($C497&gt;0,INDEX(Merge_1_2!$D$2:$D$611,$C497),INDEX(Dataset3_Raw!$D$2:$D$391,$E497))</f>
        <v>0</v>
      </c>
      <c r="I497" s="23">
        <f>IF($C497&gt;0,INDEX(Merge_1_2!$E$2:$E$611,$C497),INDEX(Dataset3_Raw!$E$2:$E$391,$E497))</f>
        <v>1</v>
      </c>
      <c r="J497" s="23">
        <f>IF($C497&gt;0,INDEX(Merge_1_2!$F$2:$F$611,$C497),INDEX(Dataset3_Raw!$F$2:$F$391,$E497))</f>
        <v>17</v>
      </c>
      <c r="K497" s="23" t="b">
        <f>IF($C497&gt;0,INDEX(Merge_1_2!$G$2:$G$611,$C497),INDEX(Dataset3_Raw!$G$2:$G$391,$E497))</f>
        <v>0</v>
      </c>
      <c r="L497" s="23">
        <f>IF($C497&gt;0,INDEX(Merge_1_2!$H$2:$H$611,$C497),INDEX(Dataset3_Raw!$H$2:$H$391,$E497))</f>
        <v>6</v>
      </c>
      <c r="M497" s="23">
        <f>IF($C497&gt;0,INDEX(Merge_1_2!$I$2:$I$611,$C497),INDEX(Dataset3_Raw!$I$2:$I$391,$E497))</f>
        <v>1</v>
      </c>
      <c r="N497" s="25">
        <f>IF($C497&gt;0,INDEX(Merge_1_2!$J$2:$J$611,$C497),INDEX(Dataset3_Raw!$J$2:$J$391,$E497))</f>
        <v>0.12</v>
      </c>
      <c r="O497" s="25">
        <f>IF($C497&gt;0,IF(ISNUMBER(INDEX(Merge_1_2!$K$2:$K$611,$C497)),INDEX(Merge_1_2!$K$2:$K$611,$C497),""),INDEX(Dataset3_Raw!$K$2:$K$391,$E497))</f>
        <v>0.19700000000000001</v>
      </c>
      <c r="P497" s="25">
        <f>IF(ISNUMBER($O497),$O497,ROUND(Lookups!$B$25+Lookups!$B$24*$N497,4))</f>
        <v>0.19700000000000001</v>
      </c>
      <c r="Q497" s="25">
        <f>IF($C497&gt;0,INDEX(Merge_1_2!$L$2:$L$611,$C497),INDEX(Dataset3_Raw!$L$2:$L$391,$E497))</f>
        <v>0.28000000000000003</v>
      </c>
      <c r="R497" s="25">
        <f>IF($C497&gt;0,INDEX(Merge_1_2!$M$2:$M$611,$C497),INDEX(Dataset3_Raw!$M$2:$M$391,$E497))</f>
        <v>0</v>
      </c>
      <c r="S497" s="23">
        <f>IF($C497&gt;0,INDEX(Merge_1_2!$N$2:$N$611,$C497),INDEX(Dataset3_Raw!$N$2:$N$391,$E497))</f>
        <v>8</v>
      </c>
      <c r="T497" s="23">
        <f>IF($C497&gt;0,INDEX(Merge_1_2!$O$2:$O$611,$C497),INDEX(Dataset3_Raw!$O$2:$O$391,$E497))</f>
        <v>59</v>
      </c>
      <c r="U497" s="23">
        <f>IF($C497&gt;0,INDEX(Merge_1_2!$P$2:$P$611,$C497),INDEX(Dataset3_Raw!$P$2:$P$391,$E497))</f>
        <v>67</v>
      </c>
      <c r="V497" s="23" t="str">
        <f t="shared" si="43"/>
        <v>Weekend</v>
      </c>
      <c r="W497" s="23" t="str">
        <f>VLOOKUP($M497,Lookups!$A$5:$B$8,2,FALSE())</f>
        <v>Clear / Partly cloudy</v>
      </c>
      <c r="X497" s="23" t="str">
        <f>VLOOKUP($G497,Lookups!$D$5:$E$8,2,FALSE())</f>
        <v>Winter</v>
      </c>
      <c r="Y497" s="23" t="str">
        <f>VLOOKUP($L497,Lookups!$G$5:$H$11,2,FALSE())</f>
        <v>Saturday</v>
      </c>
      <c r="Z497" s="23" t="str">
        <f>IF($J497&lt;Lookups!$B$26,"Night",IF($J497&lt;Lookups!$B$27,"Morning",IF($J497&lt;Lookups!$B$28,"Afternoon","Evening")))</f>
        <v>Afternoon</v>
      </c>
      <c r="AA497" s="26">
        <f>ROUND($N497*(Lookups!$B$16-Lookups!$B$15)+Lookups!$B$15,1)</f>
        <v>-2.4</v>
      </c>
      <c r="AB497" s="26">
        <f>ROUND($P497*(Lookups!$B$18-Lookups!$B$17)+Lookups!$B$17,1)</f>
        <v>-3</v>
      </c>
      <c r="AC497" s="23">
        <f t="shared" si="44"/>
        <v>28</v>
      </c>
      <c r="AD497" s="23">
        <f>ROUND($R497*Lookups!$B$19,1)</f>
        <v>0</v>
      </c>
      <c r="AE497" s="27">
        <f t="shared" si="45"/>
        <v>0.88059701492537312</v>
      </c>
      <c r="AF497" s="23" t="str">
        <f>IF($U497&gt;=Lookups!$B$23,"High",IF($U497&gt;=Lookups!$B$22,"Medium","Low"))</f>
        <v>Medium</v>
      </c>
      <c r="AG497" s="23">
        <f>ROUND(IF($V497="Weekday",IF(INDEX(Hourly_Analysis!$D$5:$D$28,$J497+1)&gt;0,($U497-INDEX(Hourly_Analysis!$C$5:$C$28,$J497+1))/INDEX(Hourly_Analysis!$D$5:$D$28,$J497+1),0),IF(INDEX(Hourly_Analysis!$G$5:$G$28,$J497+1)&gt;0,($U497-INDEX(Hourly_Analysis!$F$5:$F$28,$J497+1))/INDEX(Hourly_Analysis!$G$5:$G$28,$J497+1),0)),2)</f>
        <v>-0.7</v>
      </c>
      <c r="AH497" s="23" t="str">
        <f>IF(ABS($AG497)&gt;Lookups!$B$20,IF($AG497&gt;0,"High anomaly","Low anomaly"),"")</f>
        <v/>
      </c>
      <c r="AI497" s="23" t="str">
        <f t="shared" si="46"/>
        <v>OK</v>
      </c>
      <c r="AJ497" s="23" t="str">
        <f t="shared" si="47"/>
        <v>No</v>
      </c>
    </row>
    <row r="498" spans="1:36" x14ac:dyDescent="0.35">
      <c r="A498" s="23">
        <v>497</v>
      </c>
      <c r="B498" s="23" t="str">
        <f t="shared" si="42"/>
        <v>Merge 1+2</v>
      </c>
      <c r="C498" s="23">
        <f>IFERROR(MATCH($A498,Merge_1_2!$A$2:$A$611,0),0)</f>
        <v>497</v>
      </c>
      <c r="D498" s="23">
        <f>IF($C498&gt;0,INDEX(Merge_1_2!$Q$2:$Q$611,$C498),0)</f>
        <v>497</v>
      </c>
      <c r="E498" s="23">
        <f>IFERROR(MATCH($A498,Dataset3_Raw!$A$2:$A$391,0),0)</f>
        <v>0</v>
      </c>
      <c r="F498" s="24">
        <f>IF($C498&gt;0,INDEX(Merge_1_2!$B$2:$B$611,$C498),DATE(VALUE(RIGHT(INDEX(Dataset3_Raw!$B$2:$B$391,$E498),4)),VALUE(MID(INDEX(Dataset3_Raw!$B$2:$B$391,$E498),4,2)),VALUE(LEFT(INDEX(Dataset3_Raw!$B$2:$B$391,$E498),2))))</f>
        <v>40565</v>
      </c>
      <c r="G498" s="23">
        <f>IF($C498&gt;0,INDEX(Merge_1_2!$C$2:$C$611,$C498),INDEX(Dataset3_Raw!$C$2:$C$391,$E498))</f>
        <v>1</v>
      </c>
      <c r="H498" s="23">
        <f>IF($C498&gt;0,INDEX(Merge_1_2!$D$2:$D$611,$C498),INDEX(Dataset3_Raw!$D$2:$D$391,$E498))</f>
        <v>0</v>
      </c>
      <c r="I498" s="23">
        <f>IF($C498&gt;0,INDEX(Merge_1_2!$E$2:$E$611,$C498),INDEX(Dataset3_Raw!$E$2:$E$391,$E498))</f>
        <v>1</v>
      </c>
      <c r="J498" s="23">
        <f>IF($C498&gt;0,INDEX(Merge_1_2!$F$2:$F$611,$C498),INDEX(Dataset3_Raw!$F$2:$F$391,$E498))</f>
        <v>18</v>
      </c>
      <c r="K498" s="23" t="b">
        <f>IF($C498&gt;0,INDEX(Merge_1_2!$G$2:$G$611,$C498),INDEX(Dataset3_Raw!$G$2:$G$391,$E498))</f>
        <v>0</v>
      </c>
      <c r="L498" s="23">
        <f>IF($C498&gt;0,INDEX(Merge_1_2!$H$2:$H$611,$C498),INDEX(Dataset3_Raw!$H$2:$H$391,$E498))</f>
        <v>6</v>
      </c>
      <c r="M498" s="23">
        <f>IF($C498&gt;0,INDEX(Merge_1_2!$I$2:$I$611,$C498),INDEX(Dataset3_Raw!$I$2:$I$391,$E498))</f>
        <v>1</v>
      </c>
      <c r="N498" s="25">
        <f>IF($C498&gt;0,INDEX(Merge_1_2!$J$2:$J$611,$C498),INDEX(Dataset3_Raw!$J$2:$J$391,$E498))</f>
        <v>0.08</v>
      </c>
      <c r="O498" s="25">
        <f>IF($C498&gt;0,IF(ISNUMBER(INDEX(Merge_1_2!$K$2:$K$611,$C498)),INDEX(Merge_1_2!$K$2:$K$611,$C498),""),INDEX(Dataset3_Raw!$K$2:$K$391,$E498))</f>
        <v>9.0899999999999995E-2</v>
      </c>
      <c r="P498" s="25">
        <f>IF(ISNUMBER($O498),$O498,ROUND(Lookups!$B$25+Lookups!$B$24*$N498,4))</f>
        <v>9.0899999999999995E-2</v>
      </c>
      <c r="Q498" s="25">
        <f>IF($C498&gt;0,INDEX(Merge_1_2!$L$2:$L$611,$C498),INDEX(Dataset3_Raw!$L$2:$L$391,$E498))</f>
        <v>0.35</v>
      </c>
      <c r="R498" s="25">
        <f>IF($C498&gt;0,INDEX(Merge_1_2!$M$2:$M$611,$C498),INDEX(Dataset3_Raw!$M$2:$M$391,$E498))</f>
        <v>0.19400000000000001</v>
      </c>
      <c r="S498" s="23">
        <f>IF($C498&gt;0,INDEX(Merge_1_2!$N$2:$N$611,$C498),INDEX(Dataset3_Raw!$N$2:$N$391,$E498))</f>
        <v>0</v>
      </c>
      <c r="T498" s="23">
        <f>IF($C498&gt;0,INDEX(Merge_1_2!$O$2:$O$611,$C498),INDEX(Dataset3_Raw!$O$2:$O$391,$E498))</f>
        <v>54</v>
      </c>
      <c r="U498" s="23">
        <f>IF($C498&gt;0,INDEX(Merge_1_2!$P$2:$P$611,$C498),INDEX(Dataset3_Raw!$P$2:$P$391,$E498))</f>
        <v>54</v>
      </c>
      <c r="V498" s="23" t="str">
        <f t="shared" si="43"/>
        <v>Weekend</v>
      </c>
      <c r="W498" s="23" t="str">
        <f>VLOOKUP($M498,Lookups!$A$5:$B$8,2,FALSE())</f>
        <v>Clear / Partly cloudy</v>
      </c>
      <c r="X498" s="23" t="str">
        <f>VLOOKUP($G498,Lookups!$D$5:$E$8,2,FALSE())</f>
        <v>Winter</v>
      </c>
      <c r="Y498" s="23" t="str">
        <f>VLOOKUP($L498,Lookups!$G$5:$H$11,2,FALSE())</f>
        <v>Saturday</v>
      </c>
      <c r="Z498" s="23" t="str">
        <f>IF($J498&lt;Lookups!$B$26,"Night",IF($J498&lt;Lookups!$B$27,"Morning",IF($J498&lt;Lookups!$B$28,"Afternoon","Evening")))</f>
        <v>Evening</v>
      </c>
      <c r="AA498" s="26">
        <f>ROUND($N498*(Lookups!$B$16-Lookups!$B$15)+Lookups!$B$15,1)</f>
        <v>-4.2</v>
      </c>
      <c r="AB498" s="26">
        <f>ROUND($P498*(Lookups!$B$18-Lookups!$B$17)+Lookups!$B$17,1)</f>
        <v>-10</v>
      </c>
      <c r="AC498" s="23">
        <f t="shared" si="44"/>
        <v>35</v>
      </c>
      <c r="AD498" s="23">
        <f>ROUND($R498*Lookups!$B$19,1)</f>
        <v>13</v>
      </c>
      <c r="AE498" s="27">
        <f t="shared" si="45"/>
        <v>1</v>
      </c>
      <c r="AF498" s="23" t="str">
        <f>IF($U498&gt;=Lookups!$B$23,"High",IF($U498&gt;=Lookups!$B$22,"Medium","Low"))</f>
        <v>Medium</v>
      </c>
      <c r="AG498" s="23">
        <f>ROUND(IF($V498="Weekday",IF(INDEX(Hourly_Analysis!$D$5:$D$28,$J498+1)&gt;0,($U498-INDEX(Hourly_Analysis!$C$5:$C$28,$J498+1))/INDEX(Hourly_Analysis!$D$5:$D$28,$J498+1),0),IF(INDEX(Hourly_Analysis!$G$5:$G$28,$J498+1)&gt;0,($U498-INDEX(Hourly_Analysis!$F$5:$F$28,$J498+1))/INDEX(Hourly_Analysis!$G$5:$G$28,$J498+1),0)),2)</f>
        <v>-0.69</v>
      </c>
      <c r="AH498" s="23" t="str">
        <f>IF(ABS($AG498)&gt;Lookups!$B$20,IF($AG498&gt;0,"High anomaly","Low anomaly"),"")</f>
        <v/>
      </c>
      <c r="AI498" s="23" t="str">
        <f t="shared" si="46"/>
        <v>OK</v>
      </c>
      <c r="AJ498" s="23" t="str">
        <f t="shared" si="47"/>
        <v>No</v>
      </c>
    </row>
    <row r="499" spans="1:36" x14ac:dyDescent="0.35">
      <c r="A499" s="23">
        <v>498</v>
      </c>
      <c r="B499" s="23" t="str">
        <f t="shared" si="42"/>
        <v>Merge 1+2</v>
      </c>
      <c r="C499" s="23">
        <f>IFERROR(MATCH($A499,Merge_1_2!$A$2:$A$611,0),0)</f>
        <v>498</v>
      </c>
      <c r="D499" s="23">
        <f>IF($C499&gt;0,INDEX(Merge_1_2!$Q$2:$Q$611,$C499),0)</f>
        <v>498</v>
      </c>
      <c r="E499" s="23">
        <f>IFERROR(MATCH($A499,Dataset3_Raw!$A$2:$A$391,0),0)</f>
        <v>0</v>
      </c>
      <c r="F499" s="24">
        <f>IF($C499&gt;0,INDEX(Merge_1_2!$B$2:$B$611,$C499),DATE(VALUE(RIGHT(INDEX(Dataset3_Raw!$B$2:$B$391,$E499),4)),VALUE(MID(INDEX(Dataset3_Raw!$B$2:$B$391,$E499),4,2)),VALUE(LEFT(INDEX(Dataset3_Raw!$B$2:$B$391,$E499),2))))</f>
        <v>40565</v>
      </c>
      <c r="G499" s="23">
        <f>IF($C499&gt;0,INDEX(Merge_1_2!$C$2:$C$611,$C499),INDEX(Dataset3_Raw!$C$2:$C$391,$E499))</f>
        <v>1</v>
      </c>
      <c r="H499" s="23">
        <f>IF($C499&gt;0,INDEX(Merge_1_2!$D$2:$D$611,$C499),INDEX(Dataset3_Raw!$D$2:$D$391,$E499))</f>
        <v>0</v>
      </c>
      <c r="I499" s="23">
        <f>IF($C499&gt;0,INDEX(Merge_1_2!$E$2:$E$611,$C499),INDEX(Dataset3_Raw!$E$2:$E$391,$E499))</f>
        <v>1</v>
      </c>
      <c r="J499" s="23">
        <f>IF($C499&gt;0,INDEX(Merge_1_2!$F$2:$F$611,$C499),INDEX(Dataset3_Raw!$F$2:$F$391,$E499))</f>
        <v>19</v>
      </c>
      <c r="K499" s="23" t="b">
        <f>IF($C499&gt;0,INDEX(Merge_1_2!$G$2:$G$611,$C499),INDEX(Dataset3_Raw!$G$2:$G$391,$E499))</f>
        <v>0</v>
      </c>
      <c r="L499" s="23">
        <f>IF($C499&gt;0,INDEX(Merge_1_2!$H$2:$H$611,$C499),INDEX(Dataset3_Raw!$H$2:$H$391,$E499))</f>
        <v>6</v>
      </c>
      <c r="M499" s="23">
        <f>IF($C499&gt;0,INDEX(Merge_1_2!$I$2:$I$611,$C499),INDEX(Dataset3_Raw!$I$2:$I$391,$E499))</f>
        <v>1</v>
      </c>
      <c r="N499" s="25">
        <f>IF($C499&gt;0,INDEX(Merge_1_2!$J$2:$J$611,$C499),INDEX(Dataset3_Raw!$J$2:$J$391,$E499))</f>
        <v>0.08</v>
      </c>
      <c r="O499" s="25">
        <f>IF($C499&gt;0,IF(ISNUMBER(INDEX(Merge_1_2!$K$2:$K$611,$C499)),INDEX(Merge_1_2!$K$2:$K$611,$C499),""),INDEX(Dataset3_Raw!$K$2:$K$391,$E499))</f>
        <v>0.1061</v>
      </c>
      <c r="P499" s="25">
        <f>IF(ISNUMBER($O499),$O499,ROUND(Lookups!$B$25+Lookups!$B$24*$N499,4))</f>
        <v>0.1061</v>
      </c>
      <c r="Q499" s="25">
        <f>IF($C499&gt;0,INDEX(Merge_1_2!$L$2:$L$611,$C499),INDEX(Dataset3_Raw!$L$2:$L$391,$E499))</f>
        <v>0.35</v>
      </c>
      <c r="R499" s="25">
        <f>IF($C499&gt;0,INDEX(Merge_1_2!$M$2:$M$611,$C499),INDEX(Dataset3_Raw!$M$2:$M$391,$E499))</f>
        <v>0.1343</v>
      </c>
      <c r="S499" s="23">
        <f>IF($C499&gt;0,INDEX(Merge_1_2!$N$2:$N$611,$C499),INDEX(Dataset3_Raw!$N$2:$N$391,$E499))</f>
        <v>6</v>
      </c>
      <c r="T499" s="23">
        <f>IF($C499&gt;0,INDEX(Merge_1_2!$O$2:$O$611,$C499),INDEX(Dataset3_Raw!$O$2:$O$391,$E499))</f>
        <v>53</v>
      </c>
      <c r="U499" s="23">
        <f>IF($C499&gt;0,INDEX(Merge_1_2!$P$2:$P$611,$C499),INDEX(Dataset3_Raw!$P$2:$P$391,$E499))</f>
        <v>59</v>
      </c>
      <c r="V499" s="23" t="str">
        <f t="shared" si="43"/>
        <v>Weekend</v>
      </c>
      <c r="W499" s="23" t="str">
        <f>VLOOKUP($M499,Lookups!$A$5:$B$8,2,FALSE())</f>
        <v>Clear / Partly cloudy</v>
      </c>
      <c r="X499" s="23" t="str">
        <f>VLOOKUP($G499,Lookups!$D$5:$E$8,2,FALSE())</f>
        <v>Winter</v>
      </c>
      <c r="Y499" s="23" t="str">
        <f>VLOOKUP($L499,Lookups!$G$5:$H$11,2,FALSE())</f>
        <v>Saturday</v>
      </c>
      <c r="Z499" s="23" t="str">
        <f>IF($J499&lt;Lookups!$B$26,"Night",IF($J499&lt;Lookups!$B$27,"Morning",IF($J499&lt;Lookups!$B$28,"Afternoon","Evening")))</f>
        <v>Evening</v>
      </c>
      <c r="AA499" s="26">
        <f>ROUND($N499*(Lookups!$B$16-Lookups!$B$15)+Lookups!$B$15,1)</f>
        <v>-4.2</v>
      </c>
      <c r="AB499" s="26">
        <f>ROUND($P499*(Lookups!$B$18-Lookups!$B$17)+Lookups!$B$17,1)</f>
        <v>-9</v>
      </c>
      <c r="AC499" s="23">
        <f t="shared" si="44"/>
        <v>35</v>
      </c>
      <c r="AD499" s="23">
        <f>ROUND($R499*Lookups!$B$19,1)</f>
        <v>9</v>
      </c>
      <c r="AE499" s="27">
        <f t="shared" si="45"/>
        <v>0.89830508474576276</v>
      </c>
      <c r="AF499" s="23" t="str">
        <f>IF($U499&gt;=Lookups!$B$23,"High",IF($U499&gt;=Lookups!$B$22,"Medium","Low"))</f>
        <v>Medium</v>
      </c>
      <c r="AG499" s="23">
        <f>ROUND(IF($V499="Weekday",IF(INDEX(Hourly_Analysis!$D$5:$D$28,$J499+1)&gt;0,($U499-INDEX(Hourly_Analysis!$C$5:$C$28,$J499+1))/INDEX(Hourly_Analysis!$D$5:$D$28,$J499+1),0),IF(INDEX(Hourly_Analysis!$G$5:$G$28,$J499+1)&gt;0,($U499-INDEX(Hourly_Analysis!$F$5:$F$28,$J499+1))/INDEX(Hourly_Analysis!$G$5:$G$28,$J499+1),0)),2)</f>
        <v>0.47</v>
      </c>
      <c r="AH499" s="23" t="str">
        <f>IF(ABS($AG499)&gt;Lookups!$B$20,IF($AG499&gt;0,"High anomaly","Low anomaly"),"")</f>
        <v/>
      </c>
      <c r="AI499" s="23" t="str">
        <f t="shared" si="46"/>
        <v>OK</v>
      </c>
      <c r="AJ499" s="23" t="str">
        <f t="shared" si="47"/>
        <v>No</v>
      </c>
    </row>
    <row r="500" spans="1:36" x14ac:dyDescent="0.35">
      <c r="A500" s="23">
        <v>499</v>
      </c>
      <c r="B500" s="23" t="str">
        <f t="shared" si="42"/>
        <v>Merge 1+2</v>
      </c>
      <c r="C500" s="23">
        <f>IFERROR(MATCH($A500,Merge_1_2!$A$2:$A$611,0),0)</f>
        <v>499</v>
      </c>
      <c r="D500" s="23">
        <f>IF($C500&gt;0,INDEX(Merge_1_2!$Q$2:$Q$611,$C500),0)</f>
        <v>499</v>
      </c>
      <c r="E500" s="23">
        <f>IFERROR(MATCH($A500,Dataset3_Raw!$A$2:$A$391,0),0)</f>
        <v>0</v>
      </c>
      <c r="F500" s="24">
        <f>IF($C500&gt;0,INDEX(Merge_1_2!$B$2:$B$611,$C500),DATE(VALUE(RIGHT(INDEX(Dataset3_Raw!$B$2:$B$391,$E500),4)),VALUE(MID(INDEX(Dataset3_Raw!$B$2:$B$391,$E500),4,2)),VALUE(LEFT(INDEX(Dataset3_Raw!$B$2:$B$391,$E500),2))))</f>
        <v>40565</v>
      </c>
      <c r="G500" s="23">
        <f>IF($C500&gt;0,INDEX(Merge_1_2!$C$2:$C$611,$C500),INDEX(Dataset3_Raw!$C$2:$C$391,$E500))</f>
        <v>1</v>
      </c>
      <c r="H500" s="23">
        <f>IF($C500&gt;0,INDEX(Merge_1_2!$D$2:$D$611,$C500),INDEX(Dataset3_Raw!$D$2:$D$391,$E500))</f>
        <v>0</v>
      </c>
      <c r="I500" s="23">
        <f>IF($C500&gt;0,INDEX(Merge_1_2!$E$2:$E$611,$C500),INDEX(Dataset3_Raw!$E$2:$E$391,$E500))</f>
        <v>1</v>
      </c>
      <c r="J500" s="23">
        <f>IF($C500&gt;0,INDEX(Merge_1_2!$F$2:$F$611,$C500),INDEX(Dataset3_Raw!$F$2:$F$391,$E500))</f>
        <v>20</v>
      </c>
      <c r="K500" s="23" t="b">
        <f>IF($C500&gt;0,INDEX(Merge_1_2!$G$2:$G$611,$C500),INDEX(Dataset3_Raw!$G$2:$G$391,$E500))</f>
        <v>0</v>
      </c>
      <c r="L500" s="23">
        <f>IF($C500&gt;0,INDEX(Merge_1_2!$H$2:$H$611,$C500),INDEX(Dataset3_Raw!$H$2:$H$391,$E500))</f>
        <v>6</v>
      </c>
      <c r="M500" s="23">
        <f>IF($C500&gt;0,INDEX(Merge_1_2!$I$2:$I$611,$C500),INDEX(Dataset3_Raw!$I$2:$I$391,$E500))</f>
        <v>1</v>
      </c>
      <c r="N500" s="25">
        <f>IF($C500&gt;0,INDEX(Merge_1_2!$J$2:$J$611,$C500),INDEX(Dataset3_Raw!$J$2:$J$391,$E500))</f>
        <v>0.06</v>
      </c>
      <c r="O500" s="25">
        <f>IF($C500&gt;0,IF(ISNUMBER(INDEX(Merge_1_2!$K$2:$K$611,$C500)),INDEX(Merge_1_2!$K$2:$K$611,$C500),""),INDEX(Dataset3_Raw!$K$2:$K$391,$E500))</f>
        <v>7.5800000000000006E-2</v>
      </c>
      <c r="P500" s="25">
        <f>IF(ISNUMBER($O500),$O500,ROUND(Lookups!$B$25+Lookups!$B$24*$N500,4))</f>
        <v>7.5800000000000006E-2</v>
      </c>
      <c r="Q500" s="25">
        <f>IF($C500&gt;0,INDEX(Merge_1_2!$L$2:$L$611,$C500),INDEX(Dataset3_Raw!$L$2:$L$391,$E500))</f>
        <v>0.45</v>
      </c>
      <c r="R500" s="25">
        <f>IF($C500&gt;0,INDEX(Merge_1_2!$M$2:$M$611,$C500),INDEX(Dataset3_Raw!$M$2:$M$391,$E500))</f>
        <v>0.16420000000000001</v>
      </c>
      <c r="S500" s="23">
        <f>IF($C500&gt;0,INDEX(Merge_1_2!$N$2:$N$611,$C500),INDEX(Dataset3_Raw!$N$2:$N$391,$E500))</f>
        <v>1</v>
      </c>
      <c r="T500" s="23">
        <f>IF($C500&gt;0,INDEX(Merge_1_2!$O$2:$O$611,$C500),INDEX(Dataset3_Raw!$O$2:$O$391,$E500))</f>
        <v>44</v>
      </c>
      <c r="U500" s="23">
        <f>IF($C500&gt;0,INDEX(Merge_1_2!$P$2:$P$611,$C500),INDEX(Dataset3_Raw!$P$2:$P$391,$E500))</f>
        <v>45</v>
      </c>
      <c r="V500" s="23" t="str">
        <f t="shared" si="43"/>
        <v>Weekend</v>
      </c>
      <c r="W500" s="23" t="str">
        <f>VLOOKUP($M500,Lookups!$A$5:$B$8,2,FALSE())</f>
        <v>Clear / Partly cloudy</v>
      </c>
      <c r="X500" s="23" t="str">
        <f>VLOOKUP($G500,Lookups!$D$5:$E$8,2,FALSE())</f>
        <v>Winter</v>
      </c>
      <c r="Y500" s="23" t="str">
        <f>VLOOKUP($L500,Lookups!$G$5:$H$11,2,FALSE())</f>
        <v>Saturday</v>
      </c>
      <c r="Z500" s="23" t="str">
        <f>IF($J500&lt;Lookups!$B$26,"Night",IF($J500&lt;Lookups!$B$27,"Morning",IF($J500&lt;Lookups!$B$28,"Afternoon","Evening")))</f>
        <v>Evening</v>
      </c>
      <c r="AA500" s="26">
        <f>ROUND($N500*(Lookups!$B$16-Lookups!$B$15)+Lookups!$B$15,1)</f>
        <v>-5.2</v>
      </c>
      <c r="AB500" s="26">
        <f>ROUND($P500*(Lookups!$B$18-Lookups!$B$17)+Lookups!$B$17,1)</f>
        <v>-11</v>
      </c>
      <c r="AC500" s="23">
        <f t="shared" si="44"/>
        <v>45</v>
      </c>
      <c r="AD500" s="23">
        <f>ROUND($R500*Lookups!$B$19,1)</f>
        <v>11</v>
      </c>
      <c r="AE500" s="27">
        <f t="shared" si="45"/>
        <v>0.97777777777777775</v>
      </c>
      <c r="AF500" s="23" t="str">
        <f>IF($U500&gt;=Lookups!$B$23,"High",IF($U500&gt;=Lookups!$B$22,"Medium","Low"))</f>
        <v>Medium</v>
      </c>
      <c r="AG500" s="23">
        <f>ROUND(IF($V500="Weekday",IF(INDEX(Hourly_Analysis!$D$5:$D$28,$J500+1)&gt;0,($U500-INDEX(Hourly_Analysis!$C$5:$C$28,$J500+1))/INDEX(Hourly_Analysis!$D$5:$D$28,$J500+1),0),IF(INDEX(Hourly_Analysis!$G$5:$G$28,$J500+1)&gt;0,($U500-INDEX(Hourly_Analysis!$F$5:$F$28,$J500+1))/INDEX(Hourly_Analysis!$G$5:$G$28,$J500+1),0)),2)</f>
        <v>0.46</v>
      </c>
      <c r="AH500" s="23" t="str">
        <f>IF(ABS($AG500)&gt;Lookups!$B$20,IF($AG500&gt;0,"High anomaly","Low anomaly"),"")</f>
        <v/>
      </c>
      <c r="AI500" s="23" t="str">
        <f t="shared" si="46"/>
        <v>OK</v>
      </c>
      <c r="AJ500" s="23" t="str">
        <f t="shared" si="47"/>
        <v>No</v>
      </c>
    </row>
    <row r="501" spans="1:36" x14ac:dyDescent="0.35">
      <c r="A501" s="23">
        <v>500</v>
      </c>
      <c r="B501" s="23" t="str">
        <f t="shared" si="42"/>
        <v>Merge 1+2</v>
      </c>
      <c r="C501" s="23">
        <f>IFERROR(MATCH($A501,Merge_1_2!$A$2:$A$611,0),0)</f>
        <v>500</v>
      </c>
      <c r="D501" s="23">
        <f>IF($C501&gt;0,INDEX(Merge_1_2!$Q$2:$Q$611,$C501),0)</f>
        <v>500</v>
      </c>
      <c r="E501" s="23">
        <f>IFERROR(MATCH($A501,Dataset3_Raw!$A$2:$A$391,0),0)</f>
        <v>0</v>
      </c>
      <c r="F501" s="24">
        <f>IF($C501&gt;0,INDEX(Merge_1_2!$B$2:$B$611,$C501),DATE(VALUE(RIGHT(INDEX(Dataset3_Raw!$B$2:$B$391,$E501),4)),VALUE(MID(INDEX(Dataset3_Raw!$B$2:$B$391,$E501),4,2)),VALUE(LEFT(INDEX(Dataset3_Raw!$B$2:$B$391,$E501),2))))</f>
        <v>40565</v>
      </c>
      <c r="G501" s="23">
        <f>IF($C501&gt;0,INDEX(Merge_1_2!$C$2:$C$611,$C501),INDEX(Dataset3_Raw!$C$2:$C$391,$E501))</f>
        <v>1</v>
      </c>
      <c r="H501" s="23">
        <f>IF($C501&gt;0,INDEX(Merge_1_2!$D$2:$D$611,$C501),INDEX(Dataset3_Raw!$D$2:$D$391,$E501))</f>
        <v>0</v>
      </c>
      <c r="I501" s="23">
        <f>IF($C501&gt;0,INDEX(Merge_1_2!$E$2:$E$611,$C501),INDEX(Dataset3_Raw!$E$2:$E$391,$E501))</f>
        <v>1</v>
      </c>
      <c r="J501" s="23">
        <f>IF($C501&gt;0,INDEX(Merge_1_2!$F$2:$F$611,$C501),INDEX(Dataset3_Raw!$F$2:$F$391,$E501))</f>
        <v>21</v>
      </c>
      <c r="K501" s="23" t="b">
        <f>IF($C501&gt;0,INDEX(Merge_1_2!$G$2:$G$611,$C501),INDEX(Dataset3_Raw!$G$2:$G$391,$E501))</f>
        <v>0</v>
      </c>
      <c r="L501" s="23">
        <f>IF($C501&gt;0,INDEX(Merge_1_2!$H$2:$H$611,$C501),INDEX(Dataset3_Raw!$H$2:$H$391,$E501))</f>
        <v>6</v>
      </c>
      <c r="M501" s="23">
        <f>IF($C501&gt;0,INDEX(Merge_1_2!$I$2:$I$611,$C501),INDEX(Dataset3_Raw!$I$2:$I$391,$E501))</f>
        <v>1</v>
      </c>
      <c r="N501" s="25">
        <f>IF($C501&gt;0,INDEX(Merge_1_2!$J$2:$J$611,$C501),INDEX(Dataset3_Raw!$J$2:$J$391,$E501))</f>
        <v>0.06</v>
      </c>
      <c r="O501" s="25">
        <f>IF($C501&gt;0,IF(ISNUMBER(INDEX(Merge_1_2!$K$2:$K$611,$C501)),INDEX(Merge_1_2!$K$2:$K$611,$C501),""),INDEX(Dataset3_Raw!$K$2:$K$391,$E501))</f>
        <v>0.1061</v>
      </c>
      <c r="P501" s="25">
        <f>IF(ISNUMBER($O501),$O501,ROUND(Lookups!$B$25+Lookups!$B$24*$N501,4))</f>
        <v>0.1061</v>
      </c>
      <c r="Q501" s="25">
        <f>IF($C501&gt;0,INDEX(Merge_1_2!$L$2:$L$611,$C501),INDEX(Dataset3_Raw!$L$2:$L$391,$E501))</f>
        <v>0.41</v>
      </c>
      <c r="R501" s="25">
        <f>IF($C501&gt;0,INDEX(Merge_1_2!$M$2:$M$611,$C501),INDEX(Dataset3_Raw!$M$2:$M$391,$E501))</f>
        <v>8.9599999999999999E-2</v>
      </c>
      <c r="S501" s="23">
        <f>IF($C501&gt;0,INDEX(Merge_1_2!$N$2:$N$611,$C501),INDEX(Dataset3_Raw!$N$2:$N$391,$E501))</f>
        <v>0</v>
      </c>
      <c r="T501" s="23">
        <f>IF($C501&gt;0,INDEX(Merge_1_2!$O$2:$O$611,$C501),INDEX(Dataset3_Raw!$O$2:$O$391,$E501))</f>
        <v>39</v>
      </c>
      <c r="U501" s="23">
        <f>IF($C501&gt;0,INDEX(Merge_1_2!$P$2:$P$611,$C501),INDEX(Dataset3_Raw!$P$2:$P$391,$E501))</f>
        <v>39</v>
      </c>
      <c r="V501" s="23" t="str">
        <f t="shared" si="43"/>
        <v>Weekend</v>
      </c>
      <c r="W501" s="23" t="str">
        <f>VLOOKUP($M501,Lookups!$A$5:$B$8,2,FALSE())</f>
        <v>Clear / Partly cloudy</v>
      </c>
      <c r="X501" s="23" t="str">
        <f>VLOOKUP($G501,Lookups!$D$5:$E$8,2,FALSE())</f>
        <v>Winter</v>
      </c>
      <c r="Y501" s="23" t="str">
        <f>VLOOKUP($L501,Lookups!$G$5:$H$11,2,FALSE())</f>
        <v>Saturday</v>
      </c>
      <c r="Z501" s="23" t="str">
        <f>IF($J501&lt;Lookups!$B$26,"Night",IF($J501&lt;Lookups!$B$27,"Morning",IF($J501&lt;Lookups!$B$28,"Afternoon","Evening")))</f>
        <v>Evening</v>
      </c>
      <c r="AA501" s="26">
        <f>ROUND($N501*(Lookups!$B$16-Lookups!$B$15)+Lookups!$B$15,1)</f>
        <v>-5.2</v>
      </c>
      <c r="AB501" s="26">
        <f>ROUND($P501*(Lookups!$B$18-Lookups!$B$17)+Lookups!$B$17,1)</f>
        <v>-9</v>
      </c>
      <c r="AC501" s="23">
        <f t="shared" si="44"/>
        <v>41</v>
      </c>
      <c r="AD501" s="23">
        <f>ROUND($R501*Lookups!$B$19,1)</f>
        <v>6</v>
      </c>
      <c r="AE501" s="27">
        <f t="shared" si="45"/>
        <v>1</v>
      </c>
      <c r="AF501" s="23" t="str">
        <f>IF($U501&gt;=Lookups!$B$23,"High",IF($U501&gt;=Lookups!$B$22,"Medium","Low"))</f>
        <v>Medium</v>
      </c>
      <c r="AG501" s="23">
        <f>ROUND(IF($V501="Weekday",IF(INDEX(Hourly_Analysis!$D$5:$D$28,$J501+1)&gt;0,($U501-INDEX(Hourly_Analysis!$C$5:$C$28,$J501+1))/INDEX(Hourly_Analysis!$D$5:$D$28,$J501+1),0),IF(INDEX(Hourly_Analysis!$G$5:$G$28,$J501+1)&gt;0,($U501-INDEX(Hourly_Analysis!$F$5:$F$28,$J501+1))/INDEX(Hourly_Analysis!$G$5:$G$28,$J501+1),0)),2)</f>
        <v>0.21</v>
      </c>
      <c r="AH501" s="23" t="str">
        <f>IF(ABS($AG501)&gt;Lookups!$B$20,IF($AG501&gt;0,"High anomaly","Low anomaly"),"")</f>
        <v/>
      </c>
      <c r="AI501" s="23" t="str">
        <f t="shared" si="46"/>
        <v>OK</v>
      </c>
      <c r="AJ501" s="23" t="str">
        <f t="shared" si="47"/>
        <v>No</v>
      </c>
    </row>
    <row r="502" spans="1:36" x14ac:dyDescent="0.35">
      <c r="A502" s="23">
        <v>501</v>
      </c>
      <c r="B502" s="23" t="str">
        <f t="shared" si="42"/>
        <v>Merge 1+2</v>
      </c>
      <c r="C502" s="23">
        <f>IFERROR(MATCH($A502,Merge_1_2!$A$2:$A$611,0),0)</f>
        <v>501</v>
      </c>
      <c r="D502" s="23">
        <f>IF($C502&gt;0,INDEX(Merge_1_2!$Q$2:$Q$611,$C502),0)</f>
        <v>501</v>
      </c>
      <c r="E502" s="23">
        <f>IFERROR(MATCH($A502,Dataset3_Raw!$A$2:$A$391,0),0)</f>
        <v>0</v>
      </c>
      <c r="F502" s="24">
        <f>IF($C502&gt;0,INDEX(Merge_1_2!$B$2:$B$611,$C502),DATE(VALUE(RIGHT(INDEX(Dataset3_Raw!$B$2:$B$391,$E502),4)),VALUE(MID(INDEX(Dataset3_Raw!$B$2:$B$391,$E502),4,2)),VALUE(LEFT(INDEX(Dataset3_Raw!$B$2:$B$391,$E502),2))))</f>
        <v>40565</v>
      </c>
      <c r="G502" s="23">
        <f>IF($C502&gt;0,INDEX(Merge_1_2!$C$2:$C$611,$C502),INDEX(Dataset3_Raw!$C$2:$C$391,$E502))</f>
        <v>1</v>
      </c>
      <c r="H502" s="23">
        <f>IF($C502&gt;0,INDEX(Merge_1_2!$D$2:$D$611,$C502),INDEX(Dataset3_Raw!$D$2:$D$391,$E502))</f>
        <v>0</v>
      </c>
      <c r="I502" s="23">
        <f>IF($C502&gt;0,INDEX(Merge_1_2!$E$2:$E$611,$C502),INDEX(Dataset3_Raw!$E$2:$E$391,$E502))</f>
        <v>1</v>
      </c>
      <c r="J502" s="23">
        <f>IF($C502&gt;0,INDEX(Merge_1_2!$F$2:$F$611,$C502),INDEX(Dataset3_Raw!$F$2:$F$391,$E502))</f>
        <v>22</v>
      </c>
      <c r="K502" s="23" t="b">
        <f>IF($C502&gt;0,INDEX(Merge_1_2!$G$2:$G$611,$C502),INDEX(Dataset3_Raw!$G$2:$G$391,$E502))</f>
        <v>0</v>
      </c>
      <c r="L502" s="23">
        <f>IF($C502&gt;0,INDEX(Merge_1_2!$H$2:$H$611,$C502),INDEX(Dataset3_Raw!$H$2:$H$391,$E502))</f>
        <v>6</v>
      </c>
      <c r="M502" s="23">
        <f>IF($C502&gt;0,INDEX(Merge_1_2!$I$2:$I$611,$C502),INDEX(Dataset3_Raw!$I$2:$I$391,$E502))</f>
        <v>1</v>
      </c>
      <c r="N502" s="25">
        <f>IF($C502&gt;0,INDEX(Merge_1_2!$J$2:$J$611,$C502),INDEX(Dataset3_Raw!$J$2:$J$391,$E502))</f>
        <v>0.06</v>
      </c>
      <c r="O502" s="25">
        <f>IF($C502&gt;0,IF(ISNUMBER(INDEX(Merge_1_2!$K$2:$K$611,$C502)),INDEX(Merge_1_2!$K$2:$K$611,$C502),""),INDEX(Dataset3_Raw!$K$2:$K$391,$E502))</f>
        <v>0.1515</v>
      </c>
      <c r="P502" s="25">
        <f>IF(ISNUMBER($O502),$O502,ROUND(Lookups!$B$25+Lookups!$B$24*$N502,4))</f>
        <v>0.1515</v>
      </c>
      <c r="Q502" s="25">
        <f>IF($C502&gt;0,INDEX(Merge_1_2!$L$2:$L$611,$C502),INDEX(Dataset3_Raw!$L$2:$L$391,$E502))</f>
        <v>0.49</v>
      </c>
      <c r="R502" s="25">
        <f>IF($C502&gt;0,INDEX(Merge_1_2!$M$2:$M$611,$C502),INDEX(Dataset3_Raw!$M$2:$M$391,$E502))</f>
        <v>0</v>
      </c>
      <c r="S502" s="23">
        <f>IF($C502&gt;0,INDEX(Merge_1_2!$N$2:$N$611,$C502),INDEX(Dataset3_Raw!$N$2:$N$391,$E502))</f>
        <v>7</v>
      </c>
      <c r="T502" s="23">
        <f>IF($C502&gt;0,INDEX(Merge_1_2!$O$2:$O$611,$C502),INDEX(Dataset3_Raw!$O$2:$O$391,$E502))</f>
        <v>23</v>
      </c>
      <c r="U502" s="23">
        <f>IF($C502&gt;0,INDEX(Merge_1_2!$P$2:$P$611,$C502),INDEX(Dataset3_Raw!$P$2:$P$391,$E502))</f>
        <v>30</v>
      </c>
      <c r="V502" s="23" t="str">
        <f t="shared" si="43"/>
        <v>Weekend</v>
      </c>
      <c r="W502" s="23" t="str">
        <f>VLOOKUP($M502,Lookups!$A$5:$B$8,2,FALSE())</f>
        <v>Clear / Partly cloudy</v>
      </c>
      <c r="X502" s="23" t="str">
        <f>VLOOKUP($G502,Lookups!$D$5:$E$8,2,FALSE())</f>
        <v>Winter</v>
      </c>
      <c r="Y502" s="23" t="str">
        <f>VLOOKUP($L502,Lookups!$G$5:$H$11,2,FALSE())</f>
        <v>Saturday</v>
      </c>
      <c r="Z502" s="23" t="str">
        <f>IF($J502&lt;Lookups!$B$26,"Night",IF($J502&lt;Lookups!$B$27,"Morning",IF($J502&lt;Lookups!$B$28,"Afternoon","Evening")))</f>
        <v>Evening</v>
      </c>
      <c r="AA502" s="26">
        <f>ROUND($N502*(Lookups!$B$16-Lookups!$B$15)+Lookups!$B$15,1)</f>
        <v>-5.2</v>
      </c>
      <c r="AB502" s="26">
        <f>ROUND($P502*(Lookups!$B$18-Lookups!$B$17)+Lookups!$B$17,1)</f>
        <v>-6</v>
      </c>
      <c r="AC502" s="23">
        <f t="shared" si="44"/>
        <v>49</v>
      </c>
      <c r="AD502" s="23">
        <f>ROUND($R502*Lookups!$B$19,1)</f>
        <v>0</v>
      </c>
      <c r="AE502" s="27">
        <f t="shared" si="45"/>
        <v>0.76666666666666672</v>
      </c>
      <c r="AF502" s="23" t="str">
        <f>IF($U502&gt;=Lookups!$B$23,"High",IF($U502&gt;=Lookups!$B$22,"Medium","Low"))</f>
        <v>Medium</v>
      </c>
      <c r="AG502" s="23">
        <f>ROUND(IF($V502="Weekday",IF(INDEX(Hourly_Analysis!$D$5:$D$28,$J502+1)&gt;0,($U502-INDEX(Hourly_Analysis!$C$5:$C$28,$J502+1))/INDEX(Hourly_Analysis!$D$5:$D$28,$J502+1),0),IF(INDEX(Hourly_Analysis!$G$5:$G$28,$J502+1)&gt;0,($U502-INDEX(Hourly_Analysis!$F$5:$F$28,$J502+1))/INDEX(Hourly_Analysis!$G$5:$G$28,$J502+1),0)),2)</f>
        <v>0.02</v>
      </c>
      <c r="AH502" s="23" t="str">
        <f>IF(ABS($AG502)&gt;Lookups!$B$20,IF($AG502&gt;0,"High anomaly","Low anomaly"),"")</f>
        <v/>
      </c>
      <c r="AI502" s="23" t="str">
        <f t="shared" si="46"/>
        <v>OK</v>
      </c>
      <c r="AJ502" s="23" t="str">
        <f t="shared" si="47"/>
        <v>No</v>
      </c>
    </row>
    <row r="503" spans="1:36" x14ac:dyDescent="0.35">
      <c r="A503" s="23">
        <v>502</v>
      </c>
      <c r="B503" s="23" t="str">
        <f t="shared" si="42"/>
        <v>Merge 1+2</v>
      </c>
      <c r="C503" s="23">
        <f>IFERROR(MATCH($A503,Merge_1_2!$A$2:$A$611,0),0)</f>
        <v>502</v>
      </c>
      <c r="D503" s="23">
        <f>IF($C503&gt;0,INDEX(Merge_1_2!$Q$2:$Q$611,$C503),0)</f>
        <v>502</v>
      </c>
      <c r="E503" s="23">
        <f>IFERROR(MATCH($A503,Dataset3_Raw!$A$2:$A$391,0),0)</f>
        <v>0</v>
      </c>
      <c r="F503" s="24">
        <f>IF($C503&gt;0,INDEX(Merge_1_2!$B$2:$B$611,$C503),DATE(VALUE(RIGHT(INDEX(Dataset3_Raw!$B$2:$B$391,$E503),4)),VALUE(MID(INDEX(Dataset3_Raw!$B$2:$B$391,$E503),4,2)),VALUE(LEFT(INDEX(Dataset3_Raw!$B$2:$B$391,$E503),2))))</f>
        <v>40565</v>
      </c>
      <c r="G503" s="23">
        <f>IF($C503&gt;0,INDEX(Merge_1_2!$C$2:$C$611,$C503),INDEX(Dataset3_Raw!$C$2:$C$391,$E503))</f>
        <v>1</v>
      </c>
      <c r="H503" s="23">
        <f>IF($C503&gt;0,INDEX(Merge_1_2!$D$2:$D$611,$C503),INDEX(Dataset3_Raw!$D$2:$D$391,$E503))</f>
        <v>0</v>
      </c>
      <c r="I503" s="23">
        <f>IF($C503&gt;0,INDEX(Merge_1_2!$E$2:$E$611,$C503),INDEX(Dataset3_Raw!$E$2:$E$391,$E503))</f>
        <v>1</v>
      </c>
      <c r="J503" s="23">
        <f>IF($C503&gt;0,INDEX(Merge_1_2!$F$2:$F$611,$C503),INDEX(Dataset3_Raw!$F$2:$F$391,$E503))</f>
        <v>23</v>
      </c>
      <c r="K503" s="23" t="b">
        <f>IF($C503&gt;0,INDEX(Merge_1_2!$G$2:$G$611,$C503),INDEX(Dataset3_Raw!$G$2:$G$391,$E503))</f>
        <v>0</v>
      </c>
      <c r="L503" s="23">
        <f>IF($C503&gt;0,INDEX(Merge_1_2!$H$2:$H$611,$C503),INDEX(Dataset3_Raw!$H$2:$H$391,$E503))</f>
        <v>6</v>
      </c>
      <c r="M503" s="23">
        <f>IF($C503&gt;0,INDEX(Merge_1_2!$I$2:$I$611,$C503),INDEX(Dataset3_Raw!$I$2:$I$391,$E503))</f>
        <v>1</v>
      </c>
      <c r="N503" s="25">
        <f>IF($C503&gt;0,INDEX(Merge_1_2!$J$2:$J$611,$C503),INDEX(Dataset3_Raw!$J$2:$J$391,$E503))</f>
        <v>0.04</v>
      </c>
      <c r="O503" s="25">
        <f>IF($C503&gt;0,IF(ISNUMBER(INDEX(Merge_1_2!$K$2:$K$611,$C503)),INDEX(Merge_1_2!$K$2:$K$611,$C503),""),INDEX(Dataset3_Raw!$K$2:$K$391,$E503))</f>
        <v>7.5800000000000006E-2</v>
      </c>
      <c r="P503" s="25">
        <f>IF(ISNUMBER($O503),$O503,ROUND(Lookups!$B$25+Lookups!$B$24*$N503,4))</f>
        <v>7.5800000000000006E-2</v>
      </c>
      <c r="Q503" s="25">
        <f>IF($C503&gt;0,INDEX(Merge_1_2!$L$2:$L$611,$C503),INDEX(Dataset3_Raw!$L$2:$L$391,$E503))</f>
        <v>0.56999999999999995</v>
      </c>
      <c r="R503" s="25">
        <f>IF($C503&gt;0,INDEX(Merge_1_2!$M$2:$M$611,$C503),INDEX(Dataset3_Raw!$M$2:$M$391,$E503))</f>
        <v>0.1045</v>
      </c>
      <c r="S503" s="23">
        <f>IF($C503&gt;0,INDEX(Merge_1_2!$N$2:$N$611,$C503),INDEX(Dataset3_Raw!$N$2:$N$391,$E503))</f>
        <v>2</v>
      </c>
      <c r="T503" s="23">
        <f>IF($C503&gt;0,INDEX(Merge_1_2!$O$2:$O$611,$C503),INDEX(Dataset3_Raw!$O$2:$O$391,$E503))</f>
        <v>31</v>
      </c>
      <c r="U503" s="23">
        <f>IF($C503&gt;0,INDEX(Merge_1_2!$P$2:$P$611,$C503),INDEX(Dataset3_Raw!$P$2:$P$391,$E503))</f>
        <v>33</v>
      </c>
      <c r="V503" s="23" t="str">
        <f t="shared" si="43"/>
        <v>Weekend</v>
      </c>
      <c r="W503" s="23" t="str">
        <f>VLOOKUP($M503,Lookups!$A$5:$B$8,2,FALSE())</f>
        <v>Clear / Partly cloudy</v>
      </c>
      <c r="X503" s="23" t="str">
        <f>VLOOKUP($G503,Lookups!$D$5:$E$8,2,FALSE())</f>
        <v>Winter</v>
      </c>
      <c r="Y503" s="23" t="str">
        <f>VLOOKUP($L503,Lookups!$G$5:$H$11,2,FALSE())</f>
        <v>Saturday</v>
      </c>
      <c r="Z503" s="23" t="str">
        <f>IF($J503&lt;Lookups!$B$26,"Night",IF($J503&lt;Lookups!$B$27,"Morning",IF($J503&lt;Lookups!$B$28,"Afternoon","Evening")))</f>
        <v>Evening</v>
      </c>
      <c r="AA503" s="26">
        <f>ROUND($N503*(Lookups!$B$16-Lookups!$B$15)+Lookups!$B$15,1)</f>
        <v>-6.1</v>
      </c>
      <c r="AB503" s="26">
        <f>ROUND($P503*(Lookups!$B$18-Lookups!$B$17)+Lookups!$B$17,1)</f>
        <v>-11</v>
      </c>
      <c r="AC503" s="23">
        <f t="shared" si="44"/>
        <v>57</v>
      </c>
      <c r="AD503" s="23">
        <f>ROUND($R503*Lookups!$B$19,1)</f>
        <v>7</v>
      </c>
      <c r="AE503" s="27">
        <f t="shared" si="45"/>
        <v>0.93939393939393945</v>
      </c>
      <c r="AF503" s="23" t="str">
        <f>IF($U503&gt;=Lookups!$B$23,"High",IF($U503&gt;=Lookups!$B$22,"Medium","Low"))</f>
        <v>Medium</v>
      </c>
      <c r="AG503" s="23">
        <f>ROUND(IF($V503="Weekday",IF(INDEX(Hourly_Analysis!$D$5:$D$28,$J503+1)&gt;0,($U503-INDEX(Hourly_Analysis!$C$5:$C$28,$J503+1))/INDEX(Hourly_Analysis!$D$5:$D$28,$J503+1),0),IF(INDEX(Hourly_Analysis!$G$5:$G$28,$J503+1)&gt;0,($U503-INDEX(Hourly_Analysis!$F$5:$F$28,$J503+1))/INDEX(Hourly_Analysis!$G$5:$G$28,$J503+1),0)),2)</f>
        <v>0.43</v>
      </c>
      <c r="AH503" s="23" t="str">
        <f>IF(ABS($AG503)&gt;Lookups!$B$20,IF($AG503&gt;0,"High anomaly","Low anomaly"),"")</f>
        <v/>
      </c>
      <c r="AI503" s="23" t="str">
        <f t="shared" si="46"/>
        <v>OK</v>
      </c>
      <c r="AJ503" s="23" t="str">
        <f t="shared" si="47"/>
        <v>No</v>
      </c>
    </row>
    <row r="504" spans="1:36" x14ac:dyDescent="0.35">
      <c r="A504" s="23">
        <v>503</v>
      </c>
      <c r="B504" s="23" t="str">
        <f t="shared" si="42"/>
        <v>Merge 1+2</v>
      </c>
      <c r="C504" s="23">
        <f>IFERROR(MATCH($A504,Merge_1_2!$A$2:$A$611,0),0)</f>
        <v>503</v>
      </c>
      <c r="D504" s="23">
        <f>IF($C504&gt;0,INDEX(Merge_1_2!$Q$2:$Q$611,$C504),0)</f>
        <v>503</v>
      </c>
      <c r="E504" s="23">
        <f>IFERROR(MATCH($A504,Dataset3_Raw!$A$2:$A$391,0),0)</f>
        <v>0</v>
      </c>
      <c r="F504" s="24">
        <f>IF($C504&gt;0,INDEX(Merge_1_2!$B$2:$B$611,$C504),DATE(VALUE(RIGHT(INDEX(Dataset3_Raw!$B$2:$B$391,$E504),4)),VALUE(MID(INDEX(Dataset3_Raw!$B$2:$B$391,$E504),4,2)),VALUE(LEFT(INDEX(Dataset3_Raw!$B$2:$B$391,$E504),2))))</f>
        <v>40566</v>
      </c>
      <c r="G504" s="23">
        <f>IF($C504&gt;0,INDEX(Merge_1_2!$C$2:$C$611,$C504),INDEX(Dataset3_Raw!$C$2:$C$391,$E504))</f>
        <v>1</v>
      </c>
      <c r="H504" s="23">
        <f>IF($C504&gt;0,INDEX(Merge_1_2!$D$2:$D$611,$C504),INDEX(Dataset3_Raw!$D$2:$D$391,$E504))</f>
        <v>0</v>
      </c>
      <c r="I504" s="23">
        <f>IF($C504&gt;0,INDEX(Merge_1_2!$E$2:$E$611,$C504),INDEX(Dataset3_Raw!$E$2:$E$391,$E504))</f>
        <v>1</v>
      </c>
      <c r="J504" s="23">
        <f>IF($C504&gt;0,INDEX(Merge_1_2!$F$2:$F$611,$C504),INDEX(Dataset3_Raw!$F$2:$F$391,$E504))</f>
        <v>0</v>
      </c>
      <c r="K504" s="23" t="b">
        <f>IF($C504&gt;0,INDEX(Merge_1_2!$G$2:$G$611,$C504),INDEX(Dataset3_Raw!$G$2:$G$391,$E504))</f>
        <v>0</v>
      </c>
      <c r="L504" s="23">
        <f>IF($C504&gt;0,INDEX(Merge_1_2!$H$2:$H$611,$C504),INDEX(Dataset3_Raw!$H$2:$H$391,$E504))</f>
        <v>0</v>
      </c>
      <c r="M504" s="23">
        <f>IF($C504&gt;0,INDEX(Merge_1_2!$I$2:$I$611,$C504),INDEX(Dataset3_Raw!$I$2:$I$391,$E504))</f>
        <v>1</v>
      </c>
      <c r="N504" s="25">
        <f>IF($C504&gt;0,INDEX(Merge_1_2!$J$2:$J$611,$C504),INDEX(Dataset3_Raw!$J$2:$J$391,$E504))</f>
        <v>0.04</v>
      </c>
      <c r="O504" s="25">
        <f>IF($C504&gt;0,IF(ISNUMBER(INDEX(Merge_1_2!$K$2:$K$611,$C504)),INDEX(Merge_1_2!$K$2:$K$611,$C504),""),INDEX(Dataset3_Raw!$K$2:$K$391,$E504))</f>
        <v>7.5800000000000006E-2</v>
      </c>
      <c r="P504" s="25">
        <f>IF(ISNUMBER($O504),$O504,ROUND(Lookups!$B$25+Lookups!$B$24*$N504,4))</f>
        <v>7.5800000000000006E-2</v>
      </c>
      <c r="Q504" s="25">
        <f>IF($C504&gt;0,INDEX(Merge_1_2!$L$2:$L$611,$C504),INDEX(Dataset3_Raw!$L$2:$L$391,$E504))</f>
        <v>0.56999999999999995</v>
      </c>
      <c r="R504" s="25">
        <f>IF($C504&gt;0,INDEX(Merge_1_2!$M$2:$M$611,$C504),INDEX(Dataset3_Raw!$M$2:$M$391,$E504))</f>
        <v>0.1045</v>
      </c>
      <c r="S504" s="23">
        <f>IF($C504&gt;0,INDEX(Merge_1_2!$N$2:$N$611,$C504),INDEX(Dataset3_Raw!$N$2:$N$391,$E504))</f>
        <v>2</v>
      </c>
      <c r="T504" s="23">
        <f>IF($C504&gt;0,INDEX(Merge_1_2!$O$2:$O$611,$C504),INDEX(Dataset3_Raw!$O$2:$O$391,$E504))</f>
        <v>20</v>
      </c>
      <c r="U504" s="23">
        <f>IF($C504&gt;0,INDEX(Merge_1_2!$P$2:$P$611,$C504),INDEX(Dataset3_Raw!$P$2:$P$391,$E504))</f>
        <v>22</v>
      </c>
      <c r="V504" s="23" t="str">
        <f t="shared" si="43"/>
        <v>Weekend</v>
      </c>
      <c r="W504" s="23" t="str">
        <f>VLOOKUP($M504,Lookups!$A$5:$B$8,2,FALSE())</f>
        <v>Clear / Partly cloudy</v>
      </c>
      <c r="X504" s="23" t="str">
        <f>VLOOKUP($G504,Lookups!$D$5:$E$8,2,FALSE())</f>
        <v>Winter</v>
      </c>
      <c r="Y504" s="23" t="str">
        <f>VLOOKUP($L504,Lookups!$G$5:$H$11,2,FALSE())</f>
        <v>Sunday</v>
      </c>
      <c r="Z504" s="23" t="str">
        <f>IF($J504&lt;Lookups!$B$26,"Night",IF($J504&lt;Lookups!$B$27,"Morning",IF($J504&lt;Lookups!$B$28,"Afternoon","Evening")))</f>
        <v>Night</v>
      </c>
      <c r="AA504" s="26">
        <f>ROUND($N504*(Lookups!$B$16-Lookups!$B$15)+Lookups!$B$15,1)</f>
        <v>-6.1</v>
      </c>
      <c r="AB504" s="26">
        <f>ROUND($P504*(Lookups!$B$18-Lookups!$B$17)+Lookups!$B$17,1)</f>
        <v>-11</v>
      </c>
      <c r="AC504" s="23">
        <f t="shared" si="44"/>
        <v>57</v>
      </c>
      <c r="AD504" s="23">
        <f>ROUND($R504*Lookups!$B$19,1)</f>
        <v>7</v>
      </c>
      <c r="AE504" s="27">
        <f t="shared" si="45"/>
        <v>0.90909090909090906</v>
      </c>
      <c r="AF504" s="23" t="str">
        <f>IF($U504&gt;=Lookups!$B$23,"High",IF($U504&gt;=Lookups!$B$22,"Medium","Low"))</f>
        <v>Medium</v>
      </c>
      <c r="AG504" s="23">
        <f>ROUND(IF($V504="Weekday",IF(INDEX(Hourly_Analysis!$D$5:$D$28,$J504+1)&gt;0,($U504-INDEX(Hourly_Analysis!$C$5:$C$28,$J504+1))/INDEX(Hourly_Analysis!$D$5:$D$28,$J504+1),0),IF(INDEX(Hourly_Analysis!$G$5:$G$28,$J504+1)&gt;0,($U504-INDEX(Hourly_Analysis!$F$5:$F$28,$J504+1))/INDEX(Hourly_Analysis!$G$5:$G$28,$J504+1),0)),2)</f>
        <v>-0.57999999999999996</v>
      </c>
      <c r="AH504" s="23" t="str">
        <f>IF(ABS($AG504)&gt;Lookups!$B$20,IF($AG504&gt;0,"High anomaly","Low anomaly"),"")</f>
        <v/>
      </c>
      <c r="AI504" s="23" t="str">
        <f t="shared" si="46"/>
        <v>OK</v>
      </c>
      <c r="AJ504" s="23" t="str">
        <f t="shared" si="47"/>
        <v>No</v>
      </c>
    </row>
    <row r="505" spans="1:36" x14ac:dyDescent="0.35">
      <c r="A505" s="23">
        <v>504</v>
      </c>
      <c r="B505" s="23" t="str">
        <f t="shared" si="42"/>
        <v>Merge 1+2</v>
      </c>
      <c r="C505" s="23">
        <f>IFERROR(MATCH($A505,Merge_1_2!$A$2:$A$611,0),0)</f>
        <v>504</v>
      </c>
      <c r="D505" s="23">
        <f>IF($C505&gt;0,INDEX(Merge_1_2!$Q$2:$Q$611,$C505),0)</f>
        <v>504</v>
      </c>
      <c r="E505" s="23">
        <f>IFERROR(MATCH($A505,Dataset3_Raw!$A$2:$A$391,0),0)</f>
        <v>0</v>
      </c>
      <c r="F505" s="24">
        <f>IF($C505&gt;0,INDEX(Merge_1_2!$B$2:$B$611,$C505),DATE(VALUE(RIGHT(INDEX(Dataset3_Raw!$B$2:$B$391,$E505),4)),VALUE(MID(INDEX(Dataset3_Raw!$B$2:$B$391,$E505),4,2)),VALUE(LEFT(INDEX(Dataset3_Raw!$B$2:$B$391,$E505),2))))</f>
        <v>40566</v>
      </c>
      <c r="G505" s="23">
        <f>IF($C505&gt;0,INDEX(Merge_1_2!$C$2:$C$611,$C505),INDEX(Dataset3_Raw!$C$2:$C$391,$E505))</f>
        <v>1</v>
      </c>
      <c r="H505" s="23">
        <f>IF($C505&gt;0,INDEX(Merge_1_2!$D$2:$D$611,$C505),INDEX(Dataset3_Raw!$D$2:$D$391,$E505))</f>
        <v>0</v>
      </c>
      <c r="I505" s="23">
        <f>IF($C505&gt;0,INDEX(Merge_1_2!$E$2:$E$611,$C505),INDEX(Dataset3_Raw!$E$2:$E$391,$E505))</f>
        <v>1</v>
      </c>
      <c r="J505" s="23">
        <f>IF($C505&gt;0,INDEX(Merge_1_2!$F$2:$F$611,$C505),INDEX(Dataset3_Raw!$F$2:$F$391,$E505))</f>
        <v>1</v>
      </c>
      <c r="K505" s="23" t="b">
        <f>IF($C505&gt;0,INDEX(Merge_1_2!$G$2:$G$611,$C505),INDEX(Dataset3_Raw!$G$2:$G$391,$E505))</f>
        <v>0</v>
      </c>
      <c r="L505" s="23">
        <f>IF($C505&gt;0,INDEX(Merge_1_2!$H$2:$H$611,$C505),INDEX(Dataset3_Raw!$H$2:$H$391,$E505))</f>
        <v>0</v>
      </c>
      <c r="M505" s="23">
        <f>IF($C505&gt;0,INDEX(Merge_1_2!$I$2:$I$611,$C505),INDEX(Dataset3_Raw!$I$2:$I$391,$E505))</f>
        <v>1</v>
      </c>
      <c r="N505" s="25">
        <f>IF($C505&gt;0,INDEX(Merge_1_2!$J$2:$J$611,$C505),INDEX(Dataset3_Raw!$J$2:$J$391,$E505))</f>
        <v>0.04</v>
      </c>
      <c r="O505" s="25">
        <f>IF($C505&gt;0,IF(ISNUMBER(INDEX(Merge_1_2!$K$2:$K$611,$C505)),INDEX(Merge_1_2!$K$2:$K$611,$C505),""),INDEX(Dataset3_Raw!$K$2:$K$391,$E505))</f>
        <v>7.5800000000000006E-2</v>
      </c>
      <c r="P505" s="25">
        <f>IF(ISNUMBER($O505),$O505,ROUND(Lookups!$B$25+Lookups!$B$24*$N505,4))</f>
        <v>7.5800000000000006E-2</v>
      </c>
      <c r="Q505" s="25">
        <f>IF($C505&gt;0,INDEX(Merge_1_2!$L$2:$L$611,$C505),INDEX(Dataset3_Raw!$L$2:$L$391,$E505))</f>
        <v>0.56999999999999995</v>
      </c>
      <c r="R505" s="25">
        <f>IF($C505&gt;0,INDEX(Merge_1_2!$M$2:$M$611,$C505),INDEX(Dataset3_Raw!$M$2:$M$391,$E505))</f>
        <v>0.1045</v>
      </c>
      <c r="S505" s="23">
        <f>IF($C505&gt;0,INDEX(Merge_1_2!$N$2:$N$611,$C505),INDEX(Dataset3_Raw!$N$2:$N$391,$E505))</f>
        <v>1</v>
      </c>
      <c r="T505" s="23">
        <f>IF($C505&gt;0,INDEX(Merge_1_2!$O$2:$O$611,$C505),INDEX(Dataset3_Raw!$O$2:$O$391,$E505))</f>
        <v>12</v>
      </c>
      <c r="U505" s="23">
        <f>IF($C505&gt;0,INDEX(Merge_1_2!$P$2:$P$611,$C505),INDEX(Dataset3_Raw!$P$2:$P$391,$E505))</f>
        <v>13</v>
      </c>
      <c r="V505" s="23" t="str">
        <f t="shared" si="43"/>
        <v>Weekend</v>
      </c>
      <c r="W505" s="23" t="str">
        <f>VLOOKUP($M505,Lookups!$A$5:$B$8,2,FALSE())</f>
        <v>Clear / Partly cloudy</v>
      </c>
      <c r="X505" s="23" t="str">
        <f>VLOOKUP($G505,Lookups!$D$5:$E$8,2,FALSE())</f>
        <v>Winter</v>
      </c>
      <c r="Y505" s="23" t="str">
        <f>VLOOKUP($L505,Lookups!$G$5:$H$11,2,FALSE())</f>
        <v>Sunday</v>
      </c>
      <c r="Z505" s="23" t="str">
        <f>IF($J505&lt;Lookups!$B$26,"Night",IF($J505&lt;Lookups!$B$27,"Morning",IF($J505&lt;Lookups!$B$28,"Afternoon","Evening")))</f>
        <v>Night</v>
      </c>
      <c r="AA505" s="26">
        <f>ROUND($N505*(Lookups!$B$16-Lookups!$B$15)+Lookups!$B$15,1)</f>
        <v>-6.1</v>
      </c>
      <c r="AB505" s="26">
        <f>ROUND($P505*(Lookups!$B$18-Lookups!$B$17)+Lookups!$B$17,1)</f>
        <v>-11</v>
      </c>
      <c r="AC505" s="23">
        <f t="shared" si="44"/>
        <v>57</v>
      </c>
      <c r="AD505" s="23">
        <f>ROUND($R505*Lookups!$B$19,1)</f>
        <v>7</v>
      </c>
      <c r="AE505" s="27">
        <f t="shared" si="45"/>
        <v>0.92307692307692313</v>
      </c>
      <c r="AF505" s="23" t="str">
        <f>IF($U505&gt;=Lookups!$B$23,"High",IF($U505&gt;=Lookups!$B$22,"Medium","Low"))</f>
        <v>Low</v>
      </c>
      <c r="AG505" s="23">
        <f>ROUND(IF($V505="Weekday",IF(INDEX(Hourly_Analysis!$D$5:$D$28,$J505+1)&gt;0,($U505-INDEX(Hourly_Analysis!$C$5:$C$28,$J505+1))/INDEX(Hourly_Analysis!$D$5:$D$28,$J505+1),0),IF(INDEX(Hourly_Analysis!$G$5:$G$28,$J505+1)&gt;0,($U505-INDEX(Hourly_Analysis!$F$5:$F$28,$J505+1))/INDEX(Hourly_Analysis!$G$5:$G$28,$J505+1),0)),2)</f>
        <v>-0.93</v>
      </c>
      <c r="AH505" s="23" t="str">
        <f>IF(ABS($AG505)&gt;Lookups!$B$20,IF($AG505&gt;0,"High anomaly","Low anomaly"),"")</f>
        <v/>
      </c>
      <c r="AI505" s="23" t="str">
        <f t="shared" si="46"/>
        <v>OK</v>
      </c>
      <c r="AJ505" s="23" t="str">
        <f t="shared" si="47"/>
        <v>No</v>
      </c>
    </row>
    <row r="506" spans="1:36" x14ac:dyDescent="0.35">
      <c r="A506" s="23">
        <v>505</v>
      </c>
      <c r="B506" s="23" t="str">
        <f t="shared" si="42"/>
        <v>Merge 1+2</v>
      </c>
      <c r="C506" s="23">
        <f>IFERROR(MATCH($A506,Merge_1_2!$A$2:$A$611,0),0)</f>
        <v>505</v>
      </c>
      <c r="D506" s="23">
        <f>IF($C506&gt;0,INDEX(Merge_1_2!$Q$2:$Q$611,$C506),0)</f>
        <v>505</v>
      </c>
      <c r="E506" s="23">
        <f>IFERROR(MATCH($A506,Dataset3_Raw!$A$2:$A$391,0),0)</f>
        <v>0</v>
      </c>
      <c r="F506" s="24">
        <f>IF($C506&gt;0,INDEX(Merge_1_2!$B$2:$B$611,$C506),DATE(VALUE(RIGHT(INDEX(Dataset3_Raw!$B$2:$B$391,$E506),4)),VALUE(MID(INDEX(Dataset3_Raw!$B$2:$B$391,$E506),4,2)),VALUE(LEFT(INDEX(Dataset3_Raw!$B$2:$B$391,$E506),2))))</f>
        <v>40566</v>
      </c>
      <c r="G506" s="23">
        <f>IF($C506&gt;0,INDEX(Merge_1_2!$C$2:$C$611,$C506),INDEX(Dataset3_Raw!$C$2:$C$391,$E506))</f>
        <v>1</v>
      </c>
      <c r="H506" s="23">
        <f>IF($C506&gt;0,INDEX(Merge_1_2!$D$2:$D$611,$C506),INDEX(Dataset3_Raw!$D$2:$D$391,$E506))</f>
        <v>0</v>
      </c>
      <c r="I506" s="23">
        <f>IF($C506&gt;0,INDEX(Merge_1_2!$E$2:$E$611,$C506),INDEX(Dataset3_Raw!$E$2:$E$391,$E506))</f>
        <v>1</v>
      </c>
      <c r="J506" s="23">
        <f>IF($C506&gt;0,INDEX(Merge_1_2!$F$2:$F$611,$C506),INDEX(Dataset3_Raw!$F$2:$F$391,$E506))</f>
        <v>2</v>
      </c>
      <c r="K506" s="23" t="b">
        <f>IF($C506&gt;0,INDEX(Merge_1_2!$G$2:$G$611,$C506),INDEX(Dataset3_Raw!$G$2:$G$391,$E506))</f>
        <v>0</v>
      </c>
      <c r="L506" s="23">
        <f>IF($C506&gt;0,INDEX(Merge_1_2!$H$2:$H$611,$C506),INDEX(Dataset3_Raw!$H$2:$H$391,$E506))</f>
        <v>0</v>
      </c>
      <c r="M506" s="23">
        <f>IF($C506&gt;0,INDEX(Merge_1_2!$I$2:$I$611,$C506),INDEX(Dataset3_Raw!$I$2:$I$391,$E506))</f>
        <v>1</v>
      </c>
      <c r="N506" s="25">
        <f>IF($C506&gt;0,INDEX(Merge_1_2!$J$2:$J$611,$C506),INDEX(Dataset3_Raw!$J$2:$J$391,$E506))</f>
        <v>0.02</v>
      </c>
      <c r="O506" s="25">
        <f>IF($C506&gt;0,IF(ISNUMBER(INDEX(Merge_1_2!$K$2:$K$611,$C506)),INDEX(Merge_1_2!$K$2:$K$611,$C506),""),INDEX(Dataset3_Raw!$K$2:$K$391,$E506))</f>
        <v>6.0600000000000001E-2</v>
      </c>
      <c r="P506" s="25">
        <f>IF(ISNUMBER($O506),$O506,ROUND(Lookups!$B$25+Lookups!$B$24*$N506,4))</f>
        <v>6.0600000000000001E-2</v>
      </c>
      <c r="Q506" s="25">
        <f>IF($C506&gt;0,INDEX(Merge_1_2!$L$2:$L$611,$C506),INDEX(Dataset3_Raw!$L$2:$L$391,$E506))</f>
        <v>0.62</v>
      </c>
      <c r="R506" s="25">
        <f>IF($C506&gt;0,INDEX(Merge_1_2!$M$2:$M$611,$C506),INDEX(Dataset3_Raw!$M$2:$M$391,$E506))</f>
        <v>0.1343</v>
      </c>
      <c r="S506" s="23">
        <f>IF($C506&gt;0,INDEX(Merge_1_2!$N$2:$N$611,$C506),INDEX(Dataset3_Raw!$N$2:$N$391,$E506))</f>
        <v>3</v>
      </c>
      <c r="T506" s="23">
        <f>IF($C506&gt;0,INDEX(Merge_1_2!$O$2:$O$611,$C506),INDEX(Dataset3_Raw!$O$2:$O$391,$E506))</f>
        <v>15</v>
      </c>
      <c r="U506" s="23">
        <f>IF($C506&gt;0,INDEX(Merge_1_2!$P$2:$P$611,$C506),INDEX(Dataset3_Raw!$P$2:$P$391,$E506))</f>
        <v>18</v>
      </c>
      <c r="V506" s="23" t="str">
        <f t="shared" si="43"/>
        <v>Weekend</v>
      </c>
      <c r="W506" s="23" t="str">
        <f>VLOOKUP($M506,Lookups!$A$5:$B$8,2,FALSE())</f>
        <v>Clear / Partly cloudy</v>
      </c>
      <c r="X506" s="23" t="str">
        <f>VLOOKUP($G506,Lookups!$D$5:$E$8,2,FALSE())</f>
        <v>Winter</v>
      </c>
      <c r="Y506" s="23" t="str">
        <f>VLOOKUP($L506,Lookups!$G$5:$H$11,2,FALSE())</f>
        <v>Sunday</v>
      </c>
      <c r="Z506" s="23" t="str">
        <f>IF($J506&lt;Lookups!$B$26,"Night",IF($J506&lt;Lookups!$B$27,"Morning",IF($J506&lt;Lookups!$B$28,"Afternoon","Evening")))</f>
        <v>Night</v>
      </c>
      <c r="AA506" s="26">
        <f>ROUND($N506*(Lookups!$B$16-Lookups!$B$15)+Lookups!$B$15,1)</f>
        <v>-7.1</v>
      </c>
      <c r="AB506" s="26">
        <f>ROUND($P506*(Lookups!$B$18-Lookups!$B$17)+Lookups!$B$17,1)</f>
        <v>-12</v>
      </c>
      <c r="AC506" s="23">
        <f t="shared" si="44"/>
        <v>62</v>
      </c>
      <c r="AD506" s="23">
        <f>ROUND($R506*Lookups!$B$19,1)</f>
        <v>9</v>
      </c>
      <c r="AE506" s="27">
        <f t="shared" si="45"/>
        <v>0.83333333333333337</v>
      </c>
      <c r="AF506" s="23" t="str">
        <f>IF($U506&gt;=Lookups!$B$23,"High",IF($U506&gt;=Lookups!$B$22,"Medium","Low"))</f>
        <v>Medium</v>
      </c>
      <c r="AG506" s="23">
        <f>ROUND(IF($V506="Weekday",IF(INDEX(Hourly_Analysis!$D$5:$D$28,$J506+1)&gt;0,($U506-INDEX(Hourly_Analysis!$C$5:$C$28,$J506+1))/INDEX(Hourly_Analysis!$D$5:$D$28,$J506+1),0),IF(INDEX(Hourly_Analysis!$G$5:$G$28,$J506+1)&gt;0,($U506-INDEX(Hourly_Analysis!$F$5:$F$28,$J506+1))/INDEX(Hourly_Analysis!$G$5:$G$28,$J506+1),0)),2)</f>
        <v>0.44</v>
      </c>
      <c r="AH506" s="23" t="str">
        <f>IF(ABS($AG506)&gt;Lookups!$B$20,IF($AG506&gt;0,"High anomaly","Low anomaly"),"")</f>
        <v/>
      </c>
      <c r="AI506" s="23" t="str">
        <f t="shared" si="46"/>
        <v>OK</v>
      </c>
      <c r="AJ506" s="23" t="str">
        <f t="shared" si="47"/>
        <v>No</v>
      </c>
    </row>
    <row r="507" spans="1:36" x14ac:dyDescent="0.35">
      <c r="A507" s="23">
        <v>506</v>
      </c>
      <c r="B507" s="23" t="str">
        <f t="shared" si="42"/>
        <v>Merge 1+2</v>
      </c>
      <c r="C507" s="23">
        <f>IFERROR(MATCH($A507,Merge_1_2!$A$2:$A$611,0),0)</f>
        <v>506</v>
      </c>
      <c r="D507" s="23">
        <f>IF($C507&gt;0,INDEX(Merge_1_2!$Q$2:$Q$611,$C507),0)</f>
        <v>506</v>
      </c>
      <c r="E507" s="23">
        <f>IFERROR(MATCH($A507,Dataset3_Raw!$A$2:$A$391,0),0)</f>
        <v>0</v>
      </c>
      <c r="F507" s="24">
        <f>IF($C507&gt;0,INDEX(Merge_1_2!$B$2:$B$611,$C507),DATE(VALUE(RIGHT(INDEX(Dataset3_Raw!$B$2:$B$391,$E507),4)),VALUE(MID(INDEX(Dataset3_Raw!$B$2:$B$391,$E507),4,2)),VALUE(LEFT(INDEX(Dataset3_Raw!$B$2:$B$391,$E507),2))))</f>
        <v>40566</v>
      </c>
      <c r="G507" s="23">
        <f>IF($C507&gt;0,INDEX(Merge_1_2!$C$2:$C$611,$C507),INDEX(Dataset3_Raw!$C$2:$C$391,$E507))</f>
        <v>1</v>
      </c>
      <c r="H507" s="23">
        <f>IF($C507&gt;0,INDEX(Merge_1_2!$D$2:$D$611,$C507),INDEX(Dataset3_Raw!$D$2:$D$391,$E507))</f>
        <v>0</v>
      </c>
      <c r="I507" s="23">
        <f>IF($C507&gt;0,INDEX(Merge_1_2!$E$2:$E$611,$C507),INDEX(Dataset3_Raw!$E$2:$E$391,$E507))</f>
        <v>1</v>
      </c>
      <c r="J507" s="23">
        <f>IF($C507&gt;0,INDEX(Merge_1_2!$F$2:$F$611,$C507),INDEX(Dataset3_Raw!$F$2:$F$391,$E507))</f>
        <v>3</v>
      </c>
      <c r="K507" s="23" t="b">
        <f>IF($C507&gt;0,INDEX(Merge_1_2!$G$2:$G$611,$C507),INDEX(Dataset3_Raw!$G$2:$G$391,$E507))</f>
        <v>0</v>
      </c>
      <c r="L507" s="23">
        <f>IF($C507&gt;0,INDEX(Merge_1_2!$H$2:$H$611,$C507),INDEX(Dataset3_Raw!$H$2:$H$391,$E507))</f>
        <v>0</v>
      </c>
      <c r="M507" s="23">
        <f>IF($C507&gt;0,INDEX(Merge_1_2!$I$2:$I$611,$C507),INDEX(Dataset3_Raw!$I$2:$I$391,$E507))</f>
        <v>1</v>
      </c>
      <c r="N507" s="25">
        <f>IF($C507&gt;0,INDEX(Merge_1_2!$J$2:$J$611,$C507),INDEX(Dataset3_Raw!$J$2:$J$391,$E507))</f>
        <v>0.02</v>
      </c>
      <c r="O507" s="25">
        <f>IF($C507&gt;0,IF(ISNUMBER(INDEX(Merge_1_2!$K$2:$K$611,$C507)),INDEX(Merge_1_2!$K$2:$K$611,$C507),""),INDEX(Dataset3_Raw!$K$2:$K$391,$E507))</f>
        <v>6.0600000000000001E-2</v>
      </c>
      <c r="P507" s="25">
        <f>IF(ISNUMBER($O507),$O507,ROUND(Lookups!$B$25+Lookups!$B$24*$N507,4))</f>
        <v>6.0600000000000001E-2</v>
      </c>
      <c r="Q507" s="25">
        <f>IF($C507&gt;0,INDEX(Merge_1_2!$L$2:$L$611,$C507),INDEX(Dataset3_Raw!$L$2:$L$391,$E507))</f>
        <v>0.62</v>
      </c>
      <c r="R507" s="25">
        <f>IF($C507&gt;0,INDEX(Merge_1_2!$M$2:$M$611,$C507),INDEX(Dataset3_Raw!$M$2:$M$391,$E507))</f>
        <v>0.1343</v>
      </c>
      <c r="S507" s="23">
        <f>IF($C507&gt;0,INDEX(Merge_1_2!$N$2:$N$611,$C507),INDEX(Dataset3_Raw!$N$2:$N$391,$E507))</f>
        <v>1</v>
      </c>
      <c r="T507" s="23">
        <f>IF($C507&gt;0,INDEX(Merge_1_2!$O$2:$O$611,$C507),INDEX(Dataset3_Raw!$O$2:$O$391,$E507))</f>
        <v>4</v>
      </c>
      <c r="U507" s="23">
        <f>IF($C507&gt;0,INDEX(Merge_1_2!$P$2:$P$611,$C507),INDEX(Dataset3_Raw!$P$2:$P$391,$E507))</f>
        <v>5</v>
      </c>
      <c r="V507" s="23" t="str">
        <f t="shared" si="43"/>
        <v>Weekend</v>
      </c>
      <c r="W507" s="23" t="str">
        <f>VLOOKUP($M507,Lookups!$A$5:$B$8,2,FALSE())</f>
        <v>Clear / Partly cloudy</v>
      </c>
      <c r="X507" s="23" t="str">
        <f>VLOOKUP($G507,Lookups!$D$5:$E$8,2,FALSE())</f>
        <v>Winter</v>
      </c>
      <c r="Y507" s="23" t="str">
        <f>VLOOKUP($L507,Lookups!$G$5:$H$11,2,FALSE())</f>
        <v>Sunday</v>
      </c>
      <c r="Z507" s="23" t="str">
        <f>IF($J507&lt;Lookups!$B$26,"Night",IF($J507&lt;Lookups!$B$27,"Morning",IF($J507&lt;Lookups!$B$28,"Afternoon","Evening")))</f>
        <v>Night</v>
      </c>
      <c r="AA507" s="26">
        <f>ROUND($N507*(Lookups!$B$16-Lookups!$B$15)+Lookups!$B$15,1)</f>
        <v>-7.1</v>
      </c>
      <c r="AB507" s="26">
        <f>ROUND($P507*(Lookups!$B$18-Lookups!$B$17)+Lookups!$B$17,1)</f>
        <v>-12</v>
      </c>
      <c r="AC507" s="23">
        <f t="shared" si="44"/>
        <v>62</v>
      </c>
      <c r="AD507" s="23">
        <f>ROUND($R507*Lookups!$B$19,1)</f>
        <v>9</v>
      </c>
      <c r="AE507" s="27">
        <f t="shared" si="45"/>
        <v>0.8</v>
      </c>
      <c r="AF507" s="23" t="str">
        <f>IF($U507&gt;=Lookups!$B$23,"High",IF($U507&gt;=Lookups!$B$22,"Medium","Low"))</f>
        <v>Low</v>
      </c>
      <c r="AG507" s="23">
        <f>ROUND(IF($V507="Weekday",IF(INDEX(Hourly_Analysis!$D$5:$D$28,$J507+1)&gt;0,($U507-INDEX(Hourly_Analysis!$C$5:$C$28,$J507+1))/INDEX(Hourly_Analysis!$D$5:$D$28,$J507+1),0),IF(INDEX(Hourly_Analysis!$G$5:$G$28,$J507+1)&gt;0,($U507-INDEX(Hourly_Analysis!$F$5:$F$28,$J507+1))/INDEX(Hourly_Analysis!$G$5:$G$28,$J507+1),0)),2)</f>
        <v>-0.98</v>
      </c>
      <c r="AH507" s="23" t="str">
        <f>IF(ABS($AG507)&gt;Lookups!$B$20,IF($AG507&gt;0,"High anomaly","Low anomaly"),"")</f>
        <v/>
      </c>
      <c r="AI507" s="23" t="str">
        <f t="shared" si="46"/>
        <v>OK</v>
      </c>
      <c r="AJ507" s="23" t="str">
        <f t="shared" si="47"/>
        <v>No</v>
      </c>
    </row>
    <row r="508" spans="1:36" x14ac:dyDescent="0.35">
      <c r="A508" s="23">
        <v>507</v>
      </c>
      <c r="B508" s="23" t="str">
        <f t="shared" si="42"/>
        <v>Merge 1+2</v>
      </c>
      <c r="C508" s="23">
        <f>IFERROR(MATCH($A508,Merge_1_2!$A$2:$A$611,0),0)</f>
        <v>507</v>
      </c>
      <c r="D508" s="23">
        <f>IF($C508&gt;0,INDEX(Merge_1_2!$Q$2:$Q$611,$C508),0)</f>
        <v>507</v>
      </c>
      <c r="E508" s="23">
        <f>IFERROR(MATCH($A508,Dataset3_Raw!$A$2:$A$391,0),0)</f>
        <v>0</v>
      </c>
      <c r="F508" s="24">
        <f>IF($C508&gt;0,INDEX(Merge_1_2!$B$2:$B$611,$C508),DATE(VALUE(RIGHT(INDEX(Dataset3_Raw!$B$2:$B$391,$E508),4)),VALUE(MID(INDEX(Dataset3_Raw!$B$2:$B$391,$E508),4,2)),VALUE(LEFT(INDEX(Dataset3_Raw!$B$2:$B$391,$E508),2))))</f>
        <v>40566</v>
      </c>
      <c r="G508" s="23">
        <f>IF($C508&gt;0,INDEX(Merge_1_2!$C$2:$C$611,$C508),INDEX(Dataset3_Raw!$C$2:$C$391,$E508))</f>
        <v>1</v>
      </c>
      <c r="H508" s="23">
        <f>IF($C508&gt;0,INDEX(Merge_1_2!$D$2:$D$611,$C508),INDEX(Dataset3_Raw!$D$2:$D$391,$E508))</f>
        <v>0</v>
      </c>
      <c r="I508" s="23">
        <f>IF($C508&gt;0,INDEX(Merge_1_2!$E$2:$E$611,$C508),INDEX(Dataset3_Raw!$E$2:$E$391,$E508))</f>
        <v>1</v>
      </c>
      <c r="J508" s="23">
        <f>IF($C508&gt;0,INDEX(Merge_1_2!$F$2:$F$611,$C508),INDEX(Dataset3_Raw!$F$2:$F$391,$E508))</f>
        <v>5</v>
      </c>
      <c r="K508" s="23" t="b">
        <f>IF($C508&gt;0,INDEX(Merge_1_2!$G$2:$G$611,$C508),INDEX(Dataset3_Raw!$G$2:$G$391,$E508))</f>
        <v>0</v>
      </c>
      <c r="L508" s="23">
        <f>IF($C508&gt;0,INDEX(Merge_1_2!$H$2:$H$611,$C508),INDEX(Dataset3_Raw!$H$2:$H$391,$E508))</f>
        <v>0</v>
      </c>
      <c r="M508" s="23">
        <f>IF($C508&gt;0,INDEX(Merge_1_2!$I$2:$I$611,$C508),INDEX(Dataset3_Raw!$I$2:$I$391,$E508))</f>
        <v>2</v>
      </c>
      <c r="N508" s="25">
        <f>IF($C508&gt;0,INDEX(Merge_1_2!$J$2:$J$611,$C508),INDEX(Dataset3_Raw!$J$2:$J$391,$E508))</f>
        <v>0.04</v>
      </c>
      <c r="O508" s="25">
        <f>IF($C508&gt;0,IF(ISNUMBER(INDEX(Merge_1_2!$K$2:$K$611,$C508)),INDEX(Merge_1_2!$K$2:$K$611,$C508),""),INDEX(Dataset3_Raw!$K$2:$K$391,$E508))</f>
        <v>7.5800000000000006E-2</v>
      </c>
      <c r="P508" s="25">
        <f>IF(ISNUMBER($O508),$O508,ROUND(Lookups!$B$25+Lookups!$B$24*$N508,4))</f>
        <v>7.5800000000000006E-2</v>
      </c>
      <c r="Q508" s="25">
        <f>IF($C508&gt;0,INDEX(Merge_1_2!$L$2:$L$611,$C508),INDEX(Dataset3_Raw!$L$2:$L$391,$E508))</f>
        <v>0.56999999999999995</v>
      </c>
      <c r="R508" s="25">
        <f>IF($C508&gt;0,INDEX(Merge_1_2!$M$2:$M$611,$C508),INDEX(Dataset3_Raw!$M$2:$M$391,$E508))</f>
        <v>0.1045</v>
      </c>
      <c r="S508" s="23">
        <f>IF($C508&gt;0,INDEX(Merge_1_2!$N$2:$N$611,$C508),INDEX(Dataset3_Raw!$N$2:$N$391,$E508))</f>
        <v>0</v>
      </c>
      <c r="T508" s="23">
        <f>IF($C508&gt;0,INDEX(Merge_1_2!$O$2:$O$611,$C508),INDEX(Dataset3_Raw!$O$2:$O$391,$E508))</f>
        <v>3</v>
      </c>
      <c r="U508" s="23">
        <f>IF($C508&gt;0,INDEX(Merge_1_2!$P$2:$P$611,$C508),INDEX(Dataset3_Raw!$P$2:$P$391,$E508))</f>
        <v>3</v>
      </c>
      <c r="V508" s="23" t="str">
        <f t="shared" si="43"/>
        <v>Weekend</v>
      </c>
      <c r="W508" s="23" t="str">
        <f>VLOOKUP($M508,Lookups!$A$5:$B$8,2,FALSE())</f>
        <v>Mist / Cloudy</v>
      </c>
      <c r="X508" s="23" t="str">
        <f>VLOOKUP($G508,Lookups!$D$5:$E$8,2,FALSE())</f>
        <v>Winter</v>
      </c>
      <c r="Y508" s="23" t="str">
        <f>VLOOKUP($L508,Lookups!$G$5:$H$11,2,FALSE())</f>
        <v>Sunday</v>
      </c>
      <c r="Z508" s="23" t="str">
        <f>IF($J508&lt;Lookups!$B$26,"Night",IF($J508&lt;Lookups!$B$27,"Morning",IF($J508&lt;Lookups!$B$28,"Afternoon","Evening")))</f>
        <v>Night</v>
      </c>
      <c r="AA508" s="26">
        <f>ROUND($N508*(Lookups!$B$16-Lookups!$B$15)+Lookups!$B$15,1)</f>
        <v>-6.1</v>
      </c>
      <c r="AB508" s="26">
        <f>ROUND($P508*(Lookups!$B$18-Lookups!$B$17)+Lookups!$B$17,1)</f>
        <v>-11</v>
      </c>
      <c r="AC508" s="23">
        <f t="shared" si="44"/>
        <v>57</v>
      </c>
      <c r="AD508" s="23">
        <f>ROUND($R508*Lookups!$B$19,1)</f>
        <v>7</v>
      </c>
      <c r="AE508" s="27">
        <f t="shared" si="45"/>
        <v>1</v>
      </c>
      <c r="AF508" s="23" t="str">
        <f>IF($U508&gt;=Lookups!$B$23,"High",IF($U508&gt;=Lookups!$B$22,"Medium","Low"))</f>
        <v>Low</v>
      </c>
      <c r="AG508" s="23">
        <f>ROUND(IF($V508="Weekday",IF(INDEX(Hourly_Analysis!$D$5:$D$28,$J508+1)&gt;0,($U508-INDEX(Hourly_Analysis!$C$5:$C$28,$J508+1))/INDEX(Hourly_Analysis!$D$5:$D$28,$J508+1),0),IF(INDEX(Hourly_Analysis!$G$5:$G$28,$J508+1)&gt;0,($U508-INDEX(Hourly_Analysis!$F$5:$F$28,$J508+1))/INDEX(Hourly_Analysis!$G$5:$G$28,$J508+1),0)),2)</f>
        <v>0.18</v>
      </c>
      <c r="AH508" s="23" t="str">
        <f>IF(ABS($AG508)&gt;Lookups!$B$20,IF($AG508&gt;0,"High anomaly","Low anomaly"),"")</f>
        <v/>
      </c>
      <c r="AI508" s="23" t="str">
        <f t="shared" si="46"/>
        <v>OK</v>
      </c>
      <c r="AJ508" s="23" t="str">
        <f t="shared" si="47"/>
        <v>No</v>
      </c>
    </row>
    <row r="509" spans="1:36" x14ac:dyDescent="0.35">
      <c r="A509" s="23">
        <v>508</v>
      </c>
      <c r="B509" s="23" t="str">
        <f t="shared" si="42"/>
        <v>Merge 1+2</v>
      </c>
      <c r="C509" s="23">
        <f>IFERROR(MATCH($A509,Merge_1_2!$A$2:$A$611,0),0)</f>
        <v>508</v>
      </c>
      <c r="D509" s="23">
        <f>IF($C509&gt;0,INDEX(Merge_1_2!$Q$2:$Q$611,$C509),0)</f>
        <v>508</v>
      </c>
      <c r="E509" s="23">
        <f>IFERROR(MATCH($A509,Dataset3_Raw!$A$2:$A$391,0),0)</f>
        <v>0</v>
      </c>
      <c r="F509" s="24">
        <f>IF($C509&gt;0,INDEX(Merge_1_2!$B$2:$B$611,$C509),DATE(VALUE(RIGHT(INDEX(Dataset3_Raw!$B$2:$B$391,$E509),4)),VALUE(MID(INDEX(Dataset3_Raw!$B$2:$B$391,$E509),4,2)),VALUE(LEFT(INDEX(Dataset3_Raw!$B$2:$B$391,$E509),2))))</f>
        <v>40566</v>
      </c>
      <c r="G509" s="23">
        <f>IF($C509&gt;0,INDEX(Merge_1_2!$C$2:$C$611,$C509),INDEX(Dataset3_Raw!$C$2:$C$391,$E509))</f>
        <v>1</v>
      </c>
      <c r="H509" s="23">
        <f>IF($C509&gt;0,INDEX(Merge_1_2!$D$2:$D$611,$C509),INDEX(Dataset3_Raw!$D$2:$D$391,$E509))</f>
        <v>0</v>
      </c>
      <c r="I509" s="23">
        <f>IF($C509&gt;0,INDEX(Merge_1_2!$E$2:$E$611,$C509),INDEX(Dataset3_Raw!$E$2:$E$391,$E509))</f>
        <v>1</v>
      </c>
      <c r="J509" s="23">
        <f>IF($C509&gt;0,INDEX(Merge_1_2!$F$2:$F$611,$C509),INDEX(Dataset3_Raw!$F$2:$F$391,$E509))</f>
        <v>6</v>
      </c>
      <c r="K509" s="23" t="b">
        <f>IF($C509&gt;0,INDEX(Merge_1_2!$G$2:$G$611,$C509),INDEX(Dataset3_Raw!$G$2:$G$391,$E509))</f>
        <v>0</v>
      </c>
      <c r="L509" s="23">
        <f>IF($C509&gt;0,INDEX(Merge_1_2!$H$2:$H$611,$C509),INDEX(Dataset3_Raw!$H$2:$H$391,$E509))</f>
        <v>0</v>
      </c>
      <c r="M509" s="23">
        <f>IF($C509&gt;0,INDEX(Merge_1_2!$I$2:$I$611,$C509),INDEX(Dataset3_Raw!$I$2:$I$391,$E509))</f>
        <v>2</v>
      </c>
      <c r="N509" s="25">
        <f>IF($C509&gt;0,INDEX(Merge_1_2!$J$2:$J$611,$C509),INDEX(Dataset3_Raw!$J$2:$J$391,$E509))</f>
        <v>0.04</v>
      </c>
      <c r="O509" s="25">
        <f>IF($C509&gt;0,IF(ISNUMBER(INDEX(Merge_1_2!$K$2:$K$611,$C509)),INDEX(Merge_1_2!$K$2:$K$611,$C509),""),INDEX(Dataset3_Raw!$K$2:$K$391,$E509))</f>
        <v>7.5800000000000006E-2</v>
      </c>
      <c r="P509" s="25">
        <f>IF(ISNUMBER($O509),$O509,ROUND(Lookups!$B$25+Lookups!$B$24*$N509,4))</f>
        <v>7.5800000000000006E-2</v>
      </c>
      <c r="Q509" s="25">
        <f>IF($C509&gt;0,INDEX(Merge_1_2!$L$2:$L$611,$C509),INDEX(Dataset3_Raw!$L$2:$L$391,$E509))</f>
        <v>0.56999999999999995</v>
      </c>
      <c r="R509" s="25">
        <f>IF($C509&gt;0,INDEX(Merge_1_2!$M$2:$M$611,$C509),INDEX(Dataset3_Raw!$M$2:$M$391,$E509))</f>
        <v>0.1045</v>
      </c>
      <c r="S509" s="23">
        <f>IF($C509&gt;0,INDEX(Merge_1_2!$N$2:$N$611,$C509),INDEX(Dataset3_Raw!$N$2:$N$391,$E509))</f>
        <v>0</v>
      </c>
      <c r="T509" s="23">
        <f>IF($C509&gt;0,INDEX(Merge_1_2!$O$2:$O$611,$C509),INDEX(Dataset3_Raw!$O$2:$O$391,$E509))</f>
        <v>1</v>
      </c>
      <c r="U509" s="23">
        <f>IF($C509&gt;0,INDEX(Merge_1_2!$P$2:$P$611,$C509),INDEX(Dataset3_Raw!$P$2:$P$391,$E509))</f>
        <v>1</v>
      </c>
      <c r="V509" s="23" t="str">
        <f t="shared" si="43"/>
        <v>Weekend</v>
      </c>
      <c r="W509" s="23" t="str">
        <f>VLOOKUP($M509,Lookups!$A$5:$B$8,2,FALSE())</f>
        <v>Mist / Cloudy</v>
      </c>
      <c r="X509" s="23" t="str">
        <f>VLOOKUP($G509,Lookups!$D$5:$E$8,2,FALSE())</f>
        <v>Winter</v>
      </c>
      <c r="Y509" s="23" t="str">
        <f>VLOOKUP($L509,Lookups!$G$5:$H$11,2,FALSE())</f>
        <v>Sunday</v>
      </c>
      <c r="Z509" s="23" t="str">
        <f>IF($J509&lt;Lookups!$B$26,"Night",IF($J509&lt;Lookups!$B$27,"Morning",IF($J509&lt;Lookups!$B$28,"Afternoon","Evening")))</f>
        <v>Morning</v>
      </c>
      <c r="AA509" s="26">
        <f>ROUND($N509*(Lookups!$B$16-Lookups!$B$15)+Lookups!$B$15,1)</f>
        <v>-6.1</v>
      </c>
      <c r="AB509" s="26">
        <f>ROUND($P509*(Lookups!$B$18-Lookups!$B$17)+Lookups!$B$17,1)</f>
        <v>-11</v>
      </c>
      <c r="AC509" s="23">
        <f t="shared" si="44"/>
        <v>57</v>
      </c>
      <c r="AD509" s="23">
        <f>ROUND($R509*Lookups!$B$19,1)</f>
        <v>7</v>
      </c>
      <c r="AE509" s="27">
        <f t="shared" si="45"/>
        <v>1</v>
      </c>
      <c r="AF509" s="23" t="str">
        <f>IF($U509&gt;=Lookups!$B$23,"High",IF($U509&gt;=Lookups!$B$22,"Medium","Low"))</f>
        <v>Low</v>
      </c>
      <c r="AG509" s="23">
        <f>ROUND(IF($V509="Weekday",IF(INDEX(Hourly_Analysis!$D$5:$D$28,$J509+1)&gt;0,($U509-INDEX(Hourly_Analysis!$C$5:$C$28,$J509+1))/INDEX(Hourly_Analysis!$D$5:$D$28,$J509+1),0),IF(INDEX(Hourly_Analysis!$G$5:$G$28,$J509+1)&gt;0,($U509-INDEX(Hourly_Analysis!$F$5:$F$28,$J509+1))/INDEX(Hourly_Analysis!$G$5:$G$28,$J509+1),0)),2)</f>
        <v>-0.97</v>
      </c>
      <c r="AH509" s="23" t="str">
        <f>IF(ABS($AG509)&gt;Lookups!$B$20,IF($AG509&gt;0,"High anomaly","Low anomaly"),"")</f>
        <v/>
      </c>
      <c r="AI509" s="23" t="str">
        <f t="shared" si="46"/>
        <v>OK</v>
      </c>
      <c r="AJ509" s="23" t="str">
        <f t="shared" si="47"/>
        <v>No</v>
      </c>
    </row>
    <row r="510" spans="1:36" x14ac:dyDescent="0.35">
      <c r="A510" s="23">
        <v>509</v>
      </c>
      <c r="B510" s="23" t="str">
        <f t="shared" si="42"/>
        <v>Merge 1+2</v>
      </c>
      <c r="C510" s="23">
        <f>IFERROR(MATCH($A510,Merge_1_2!$A$2:$A$611,0),0)</f>
        <v>509</v>
      </c>
      <c r="D510" s="23">
        <f>IF($C510&gt;0,INDEX(Merge_1_2!$Q$2:$Q$611,$C510),0)</f>
        <v>509</v>
      </c>
      <c r="E510" s="23">
        <f>IFERROR(MATCH($A510,Dataset3_Raw!$A$2:$A$391,0),0)</f>
        <v>0</v>
      </c>
      <c r="F510" s="24">
        <f>IF($C510&gt;0,INDEX(Merge_1_2!$B$2:$B$611,$C510),DATE(VALUE(RIGHT(INDEX(Dataset3_Raw!$B$2:$B$391,$E510),4)),VALUE(MID(INDEX(Dataset3_Raw!$B$2:$B$391,$E510),4,2)),VALUE(LEFT(INDEX(Dataset3_Raw!$B$2:$B$391,$E510),2))))</f>
        <v>40566</v>
      </c>
      <c r="G510" s="23">
        <f>IF($C510&gt;0,INDEX(Merge_1_2!$C$2:$C$611,$C510),INDEX(Dataset3_Raw!$C$2:$C$391,$E510))</f>
        <v>1</v>
      </c>
      <c r="H510" s="23">
        <f>IF($C510&gt;0,INDEX(Merge_1_2!$D$2:$D$611,$C510),INDEX(Dataset3_Raw!$D$2:$D$391,$E510))</f>
        <v>0</v>
      </c>
      <c r="I510" s="23">
        <f>IF($C510&gt;0,INDEX(Merge_1_2!$E$2:$E$611,$C510),INDEX(Dataset3_Raw!$E$2:$E$391,$E510))</f>
        <v>1</v>
      </c>
      <c r="J510" s="23">
        <f>IF($C510&gt;0,INDEX(Merge_1_2!$F$2:$F$611,$C510),INDEX(Dataset3_Raw!$F$2:$F$391,$E510))</f>
        <v>7</v>
      </c>
      <c r="K510" s="23" t="b">
        <f>IF($C510&gt;0,INDEX(Merge_1_2!$G$2:$G$611,$C510),INDEX(Dataset3_Raw!$G$2:$G$391,$E510))</f>
        <v>0</v>
      </c>
      <c r="L510" s="23">
        <f>IF($C510&gt;0,INDEX(Merge_1_2!$H$2:$H$611,$C510),INDEX(Dataset3_Raw!$H$2:$H$391,$E510))</f>
        <v>0</v>
      </c>
      <c r="M510" s="23">
        <f>IF($C510&gt;0,INDEX(Merge_1_2!$I$2:$I$611,$C510),INDEX(Dataset3_Raw!$I$2:$I$391,$E510))</f>
        <v>1</v>
      </c>
      <c r="N510" s="25">
        <f>IF($C510&gt;0,INDEX(Merge_1_2!$J$2:$J$611,$C510),INDEX(Dataset3_Raw!$J$2:$J$391,$E510))</f>
        <v>0.08</v>
      </c>
      <c r="O510" s="25">
        <f>IF($C510&gt;0,IF(ISNUMBER(INDEX(Merge_1_2!$K$2:$K$611,$C510)),INDEX(Merge_1_2!$K$2:$K$611,$C510),""),INDEX(Dataset3_Raw!$K$2:$K$391,$E510))</f>
        <v>0.1061</v>
      </c>
      <c r="P510" s="25">
        <f>IF(ISNUMBER($O510),$O510,ROUND(Lookups!$B$25+Lookups!$B$24*$N510,4))</f>
        <v>0.1061</v>
      </c>
      <c r="Q510" s="25">
        <f>IF($C510&gt;0,INDEX(Merge_1_2!$L$2:$L$611,$C510),INDEX(Dataset3_Raw!$L$2:$L$391,$E510))</f>
        <v>0.57999999999999996</v>
      </c>
      <c r="R510" s="25">
        <f>IF($C510&gt;0,INDEX(Merge_1_2!$M$2:$M$611,$C510),INDEX(Dataset3_Raw!$M$2:$M$391,$E510))</f>
        <v>0.16420000000000001</v>
      </c>
      <c r="S510" s="23">
        <f>IF($C510&gt;0,INDEX(Merge_1_2!$N$2:$N$611,$C510),INDEX(Dataset3_Raw!$N$2:$N$391,$E510))</f>
        <v>1</v>
      </c>
      <c r="T510" s="23">
        <f>IF($C510&gt;0,INDEX(Merge_1_2!$O$2:$O$611,$C510),INDEX(Dataset3_Raw!$O$2:$O$391,$E510))</f>
        <v>1</v>
      </c>
      <c r="U510" s="23">
        <f>IF($C510&gt;0,INDEX(Merge_1_2!$P$2:$P$611,$C510),INDEX(Dataset3_Raw!$P$2:$P$391,$E510))</f>
        <v>2</v>
      </c>
      <c r="V510" s="23" t="str">
        <f t="shared" si="43"/>
        <v>Weekend</v>
      </c>
      <c r="W510" s="23" t="str">
        <f>VLOOKUP($M510,Lookups!$A$5:$B$8,2,FALSE())</f>
        <v>Clear / Partly cloudy</v>
      </c>
      <c r="X510" s="23" t="str">
        <f>VLOOKUP($G510,Lookups!$D$5:$E$8,2,FALSE())</f>
        <v>Winter</v>
      </c>
      <c r="Y510" s="23" t="str">
        <f>VLOOKUP($L510,Lookups!$G$5:$H$11,2,FALSE())</f>
        <v>Sunday</v>
      </c>
      <c r="Z510" s="23" t="str">
        <f>IF($J510&lt;Lookups!$B$26,"Night",IF($J510&lt;Lookups!$B$27,"Morning",IF($J510&lt;Lookups!$B$28,"Afternoon","Evening")))</f>
        <v>Morning</v>
      </c>
      <c r="AA510" s="26">
        <f>ROUND($N510*(Lookups!$B$16-Lookups!$B$15)+Lookups!$B$15,1)</f>
        <v>-4.2</v>
      </c>
      <c r="AB510" s="26">
        <f>ROUND($P510*(Lookups!$B$18-Lookups!$B$17)+Lookups!$B$17,1)</f>
        <v>-9</v>
      </c>
      <c r="AC510" s="23">
        <f t="shared" si="44"/>
        <v>58</v>
      </c>
      <c r="AD510" s="23">
        <f>ROUND($R510*Lookups!$B$19,1)</f>
        <v>11</v>
      </c>
      <c r="AE510" s="27">
        <f t="shared" si="45"/>
        <v>0.5</v>
      </c>
      <c r="AF510" s="23" t="str">
        <f>IF($U510&gt;=Lookups!$B$23,"High",IF($U510&gt;=Lookups!$B$22,"Medium","Low"))</f>
        <v>Low</v>
      </c>
      <c r="AG510" s="23">
        <f>ROUND(IF($V510="Weekday",IF(INDEX(Hourly_Analysis!$D$5:$D$28,$J510+1)&gt;0,($U510-INDEX(Hourly_Analysis!$C$5:$C$28,$J510+1))/INDEX(Hourly_Analysis!$D$5:$D$28,$J510+1),0),IF(INDEX(Hourly_Analysis!$G$5:$G$28,$J510+1)&gt;0,($U510-INDEX(Hourly_Analysis!$F$5:$F$28,$J510+1))/INDEX(Hourly_Analysis!$G$5:$G$28,$J510+1),0)),2)</f>
        <v>-1.07</v>
      </c>
      <c r="AH510" s="23" t="str">
        <f>IF(ABS($AG510)&gt;Lookups!$B$20,IF($AG510&gt;0,"High anomaly","Low anomaly"),"")</f>
        <v/>
      </c>
      <c r="AI510" s="23" t="str">
        <f t="shared" si="46"/>
        <v>OK</v>
      </c>
      <c r="AJ510" s="23" t="str">
        <f t="shared" si="47"/>
        <v>No</v>
      </c>
    </row>
    <row r="511" spans="1:36" x14ac:dyDescent="0.35">
      <c r="A511" s="23">
        <v>510</v>
      </c>
      <c r="B511" s="23" t="str">
        <f t="shared" si="42"/>
        <v>Merge 1+2</v>
      </c>
      <c r="C511" s="23">
        <f>IFERROR(MATCH($A511,Merge_1_2!$A$2:$A$611,0),0)</f>
        <v>510</v>
      </c>
      <c r="D511" s="23">
        <f>IF($C511&gt;0,INDEX(Merge_1_2!$Q$2:$Q$611,$C511),0)</f>
        <v>510</v>
      </c>
      <c r="E511" s="23">
        <f>IFERROR(MATCH($A511,Dataset3_Raw!$A$2:$A$391,0),0)</f>
        <v>0</v>
      </c>
      <c r="F511" s="24">
        <f>IF($C511&gt;0,INDEX(Merge_1_2!$B$2:$B$611,$C511),DATE(VALUE(RIGHT(INDEX(Dataset3_Raw!$B$2:$B$391,$E511),4)),VALUE(MID(INDEX(Dataset3_Raw!$B$2:$B$391,$E511),4,2)),VALUE(LEFT(INDEX(Dataset3_Raw!$B$2:$B$391,$E511),2))))</f>
        <v>40566</v>
      </c>
      <c r="G511" s="23">
        <f>IF($C511&gt;0,INDEX(Merge_1_2!$C$2:$C$611,$C511),INDEX(Dataset3_Raw!$C$2:$C$391,$E511))</f>
        <v>1</v>
      </c>
      <c r="H511" s="23">
        <f>IF($C511&gt;0,INDEX(Merge_1_2!$D$2:$D$611,$C511),INDEX(Dataset3_Raw!$D$2:$D$391,$E511))</f>
        <v>0</v>
      </c>
      <c r="I511" s="23">
        <f>IF($C511&gt;0,INDEX(Merge_1_2!$E$2:$E$611,$C511),INDEX(Dataset3_Raw!$E$2:$E$391,$E511))</f>
        <v>1</v>
      </c>
      <c r="J511" s="23">
        <f>IF($C511&gt;0,INDEX(Merge_1_2!$F$2:$F$611,$C511),INDEX(Dataset3_Raw!$F$2:$F$391,$E511))</f>
        <v>8</v>
      </c>
      <c r="K511" s="23" t="b">
        <f>IF($C511&gt;0,INDEX(Merge_1_2!$G$2:$G$611,$C511),INDEX(Dataset3_Raw!$G$2:$G$391,$E511))</f>
        <v>0</v>
      </c>
      <c r="L511" s="23">
        <f>IF($C511&gt;0,INDEX(Merge_1_2!$H$2:$H$611,$C511),INDEX(Dataset3_Raw!$H$2:$H$391,$E511))</f>
        <v>0</v>
      </c>
      <c r="M511" s="23">
        <f>IF($C511&gt;0,INDEX(Merge_1_2!$I$2:$I$611,$C511),INDEX(Dataset3_Raw!$I$2:$I$391,$E511))</f>
        <v>1</v>
      </c>
      <c r="N511" s="25">
        <f>IF($C511&gt;0,INDEX(Merge_1_2!$J$2:$J$611,$C511),INDEX(Dataset3_Raw!$J$2:$J$391,$E511))</f>
        <v>0.06</v>
      </c>
      <c r="O511" s="25">
        <f>IF($C511&gt;0,IF(ISNUMBER(INDEX(Merge_1_2!$K$2:$K$611,$C511)),INDEX(Merge_1_2!$K$2:$K$611,$C511),""),INDEX(Dataset3_Raw!$K$2:$K$391,$E511))</f>
        <v>7.5800000000000006E-2</v>
      </c>
      <c r="P511" s="25">
        <f>IF(ISNUMBER($O511),$O511,ROUND(Lookups!$B$25+Lookups!$B$24*$N511,4))</f>
        <v>7.5800000000000006E-2</v>
      </c>
      <c r="Q511" s="25">
        <f>IF($C511&gt;0,INDEX(Merge_1_2!$L$2:$L$611,$C511),INDEX(Dataset3_Raw!$L$2:$L$391,$E511))</f>
        <v>0.62</v>
      </c>
      <c r="R511" s="25">
        <f>IF($C511&gt;0,INDEX(Merge_1_2!$M$2:$M$611,$C511),INDEX(Dataset3_Raw!$M$2:$M$391,$E511))</f>
        <v>0.16420000000000001</v>
      </c>
      <c r="S511" s="23">
        <f>IF($C511&gt;0,INDEX(Merge_1_2!$N$2:$N$611,$C511),INDEX(Dataset3_Raw!$N$2:$N$391,$E511))</f>
        <v>2</v>
      </c>
      <c r="T511" s="23">
        <f>IF($C511&gt;0,INDEX(Merge_1_2!$O$2:$O$611,$C511),INDEX(Dataset3_Raw!$O$2:$O$391,$E511))</f>
        <v>17</v>
      </c>
      <c r="U511" s="23">
        <f>IF($C511&gt;0,INDEX(Merge_1_2!$P$2:$P$611,$C511),INDEX(Dataset3_Raw!$P$2:$P$391,$E511))</f>
        <v>19</v>
      </c>
      <c r="V511" s="23" t="str">
        <f t="shared" si="43"/>
        <v>Weekend</v>
      </c>
      <c r="W511" s="23" t="str">
        <f>VLOOKUP($M511,Lookups!$A$5:$B$8,2,FALSE())</f>
        <v>Clear / Partly cloudy</v>
      </c>
      <c r="X511" s="23" t="str">
        <f>VLOOKUP($G511,Lookups!$D$5:$E$8,2,FALSE())</f>
        <v>Winter</v>
      </c>
      <c r="Y511" s="23" t="str">
        <f>VLOOKUP($L511,Lookups!$G$5:$H$11,2,FALSE())</f>
        <v>Sunday</v>
      </c>
      <c r="Z511" s="23" t="str">
        <f>IF($J511&lt;Lookups!$B$26,"Night",IF($J511&lt;Lookups!$B$27,"Morning",IF($J511&lt;Lookups!$B$28,"Afternoon","Evening")))</f>
        <v>Morning</v>
      </c>
      <c r="AA511" s="26">
        <f>ROUND($N511*(Lookups!$B$16-Lookups!$B$15)+Lookups!$B$15,1)</f>
        <v>-5.2</v>
      </c>
      <c r="AB511" s="26">
        <f>ROUND($P511*(Lookups!$B$18-Lookups!$B$17)+Lookups!$B$17,1)</f>
        <v>-11</v>
      </c>
      <c r="AC511" s="23">
        <f t="shared" si="44"/>
        <v>62</v>
      </c>
      <c r="AD511" s="23">
        <f>ROUND($R511*Lookups!$B$19,1)</f>
        <v>11</v>
      </c>
      <c r="AE511" s="27">
        <f t="shared" si="45"/>
        <v>0.89473684210526316</v>
      </c>
      <c r="AF511" s="23" t="str">
        <f>IF($U511&gt;=Lookups!$B$23,"High",IF($U511&gt;=Lookups!$B$22,"Medium","Low"))</f>
        <v>Medium</v>
      </c>
      <c r="AG511" s="23">
        <f>ROUND(IF($V511="Weekday",IF(INDEX(Hourly_Analysis!$D$5:$D$28,$J511+1)&gt;0,($U511-INDEX(Hourly_Analysis!$C$5:$C$28,$J511+1))/INDEX(Hourly_Analysis!$D$5:$D$28,$J511+1),0),IF(INDEX(Hourly_Analysis!$G$5:$G$28,$J511+1)&gt;0,($U511-INDEX(Hourly_Analysis!$F$5:$F$28,$J511+1))/INDEX(Hourly_Analysis!$G$5:$G$28,$J511+1),0)),2)</f>
        <v>0.02</v>
      </c>
      <c r="AH511" s="23" t="str">
        <f>IF(ABS($AG511)&gt;Lookups!$B$20,IF($AG511&gt;0,"High anomaly","Low anomaly"),"")</f>
        <v/>
      </c>
      <c r="AI511" s="23" t="str">
        <f t="shared" si="46"/>
        <v>OK</v>
      </c>
      <c r="AJ511" s="23" t="str">
        <f t="shared" si="47"/>
        <v>No</v>
      </c>
    </row>
    <row r="512" spans="1:36" x14ac:dyDescent="0.35">
      <c r="A512" s="23">
        <v>511</v>
      </c>
      <c r="B512" s="23" t="str">
        <f t="shared" si="42"/>
        <v>Merge 1+2</v>
      </c>
      <c r="C512" s="23">
        <f>IFERROR(MATCH($A512,Merge_1_2!$A$2:$A$611,0),0)</f>
        <v>511</v>
      </c>
      <c r="D512" s="23">
        <f>IF($C512&gt;0,INDEX(Merge_1_2!$Q$2:$Q$611,$C512),0)</f>
        <v>511</v>
      </c>
      <c r="E512" s="23">
        <f>IFERROR(MATCH($A512,Dataset3_Raw!$A$2:$A$391,0),0)</f>
        <v>0</v>
      </c>
      <c r="F512" s="24">
        <f>IF($C512&gt;0,INDEX(Merge_1_2!$B$2:$B$611,$C512),DATE(VALUE(RIGHT(INDEX(Dataset3_Raw!$B$2:$B$391,$E512),4)),VALUE(MID(INDEX(Dataset3_Raw!$B$2:$B$391,$E512),4,2)),VALUE(LEFT(INDEX(Dataset3_Raw!$B$2:$B$391,$E512),2))))</f>
        <v>40566</v>
      </c>
      <c r="G512" s="23">
        <f>IF($C512&gt;0,INDEX(Merge_1_2!$C$2:$C$611,$C512),INDEX(Dataset3_Raw!$C$2:$C$391,$E512))</f>
        <v>1</v>
      </c>
      <c r="H512" s="23">
        <f>IF($C512&gt;0,INDEX(Merge_1_2!$D$2:$D$611,$C512),INDEX(Dataset3_Raw!$D$2:$D$391,$E512))</f>
        <v>0</v>
      </c>
      <c r="I512" s="23">
        <f>IF($C512&gt;0,INDEX(Merge_1_2!$E$2:$E$611,$C512),INDEX(Dataset3_Raw!$E$2:$E$391,$E512))</f>
        <v>1</v>
      </c>
      <c r="J512" s="23">
        <f>IF($C512&gt;0,INDEX(Merge_1_2!$F$2:$F$611,$C512),INDEX(Dataset3_Raw!$F$2:$F$391,$E512))</f>
        <v>9</v>
      </c>
      <c r="K512" s="23" t="b">
        <f>IF($C512&gt;0,INDEX(Merge_1_2!$G$2:$G$611,$C512),INDEX(Dataset3_Raw!$G$2:$G$391,$E512))</f>
        <v>0</v>
      </c>
      <c r="L512" s="23">
        <f>IF($C512&gt;0,INDEX(Merge_1_2!$H$2:$H$611,$C512),INDEX(Dataset3_Raw!$H$2:$H$391,$E512))</f>
        <v>0</v>
      </c>
      <c r="M512" s="23">
        <f>IF($C512&gt;0,INDEX(Merge_1_2!$I$2:$I$611,$C512),INDEX(Dataset3_Raw!$I$2:$I$391,$E512))</f>
        <v>1</v>
      </c>
      <c r="N512" s="25">
        <f>IF($C512&gt;0,INDEX(Merge_1_2!$J$2:$J$611,$C512),INDEX(Dataset3_Raw!$J$2:$J$391,$E512))</f>
        <v>0.1</v>
      </c>
      <c r="O512" s="25">
        <f>IF($C512&gt;0,IF(ISNUMBER(INDEX(Merge_1_2!$K$2:$K$611,$C512)),INDEX(Merge_1_2!$K$2:$K$611,$C512),""),INDEX(Dataset3_Raw!$K$2:$K$391,$E512))</f>
        <v>7.5800000000000006E-2</v>
      </c>
      <c r="P512" s="25">
        <f>IF(ISNUMBER($O512),$O512,ROUND(Lookups!$B$25+Lookups!$B$24*$N512,4))</f>
        <v>7.5800000000000006E-2</v>
      </c>
      <c r="Q512" s="25">
        <f>IF($C512&gt;0,INDEX(Merge_1_2!$L$2:$L$611,$C512),INDEX(Dataset3_Raw!$L$2:$L$391,$E512))</f>
        <v>0.54</v>
      </c>
      <c r="R512" s="25">
        <f>IF($C512&gt;0,INDEX(Merge_1_2!$M$2:$M$611,$C512),INDEX(Dataset3_Raw!$M$2:$M$391,$E512))</f>
        <v>0.35820000000000002</v>
      </c>
      <c r="S512" s="23">
        <f>IF($C512&gt;0,INDEX(Merge_1_2!$N$2:$N$611,$C512),INDEX(Dataset3_Raw!$N$2:$N$391,$E512))</f>
        <v>3</v>
      </c>
      <c r="T512" s="23">
        <f>IF($C512&gt;0,INDEX(Merge_1_2!$O$2:$O$611,$C512),INDEX(Dataset3_Raw!$O$2:$O$391,$E512))</f>
        <v>25</v>
      </c>
      <c r="U512" s="23">
        <f>IF($C512&gt;0,INDEX(Merge_1_2!$P$2:$P$611,$C512),INDEX(Dataset3_Raw!$P$2:$P$391,$E512))</f>
        <v>28</v>
      </c>
      <c r="V512" s="23" t="str">
        <f t="shared" si="43"/>
        <v>Weekend</v>
      </c>
      <c r="W512" s="23" t="str">
        <f>VLOOKUP($M512,Lookups!$A$5:$B$8,2,FALSE())</f>
        <v>Clear / Partly cloudy</v>
      </c>
      <c r="X512" s="23" t="str">
        <f>VLOOKUP($G512,Lookups!$D$5:$E$8,2,FALSE())</f>
        <v>Winter</v>
      </c>
      <c r="Y512" s="23" t="str">
        <f>VLOOKUP($L512,Lookups!$G$5:$H$11,2,FALSE())</f>
        <v>Sunday</v>
      </c>
      <c r="Z512" s="23" t="str">
        <f>IF($J512&lt;Lookups!$B$26,"Night",IF($J512&lt;Lookups!$B$27,"Morning",IF($J512&lt;Lookups!$B$28,"Afternoon","Evening")))</f>
        <v>Morning</v>
      </c>
      <c r="AA512" s="26">
        <f>ROUND($N512*(Lookups!$B$16-Lookups!$B$15)+Lookups!$B$15,1)</f>
        <v>-3.3</v>
      </c>
      <c r="AB512" s="26">
        <f>ROUND($P512*(Lookups!$B$18-Lookups!$B$17)+Lookups!$B$17,1)</f>
        <v>-11</v>
      </c>
      <c r="AC512" s="23">
        <f t="shared" si="44"/>
        <v>54</v>
      </c>
      <c r="AD512" s="23">
        <f>ROUND($R512*Lookups!$B$19,1)</f>
        <v>24</v>
      </c>
      <c r="AE512" s="27">
        <f t="shared" si="45"/>
        <v>0.8928571428571429</v>
      </c>
      <c r="AF512" s="23" t="str">
        <f>IF($U512&gt;=Lookups!$B$23,"High",IF($U512&gt;=Lookups!$B$22,"Medium","Low"))</f>
        <v>Medium</v>
      </c>
      <c r="AG512" s="23">
        <f>ROUND(IF($V512="Weekday",IF(INDEX(Hourly_Analysis!$D$5:$D$28,$J512+1)&gt;0,($U512-INDEX(Hourly_Analysis!$C$5:$C$28,$J512+1))/INDEX(Hourly_Analysis!$D$5:$D$28,$J512+1),0),IF(INDEX(Hourly_Analysis!$G$5:$G$28,$J512+1)&gt;0,($U512-INDEX(Hourly_Analysis!$F$5:$F$28,$J512+1))/INDEX(Hourly_Analysis!$G$5:$G$28,$J512+1),0)),2)</f>
        <v>-0.35</v>
      </c>
      <c r="AH512" s="23" t="str">
        <f>IF(ABS($AG512)&gt;Lookups!$B$20,IF($AG512&gt;0,"High anomaly","Low anomaly"),"")</f>
        <v/>
      </c>
      <c r="AI512" s="23" t="str">
        <f t="shared" si="46"/>
        <v>OK</v>
      </c>
      <c r="AJ512" s="23" t="str">
        <f t="shared" si="47"/>
        <v>No</v>
      </c>
    </row>
    <row r="513" spans="1:36" x14ac:dyDescent="0.35">
      <c r="A513" s="23">
        <v>512</v>
      </c>
      <c r="B513" s="23" t="str">
        <f t="shared" si="42"/>
        <v>Merge 1+2</v>
      </c>
      <c r="C513" s="23">
        <f>IFERROR(MATCH($A513,Merge_1_2!$A$2:$A$611,0),0)</f>
        <v>512</v>
      </c>
      <c r="D513" s="23">
        <f>IF($C513&gt;0,INDEX(Merge_1_2!$Q$2:$Q$611,$C513),0)</f>
        <v>512</v>
      </c>
      <c r="E513" s="23">
        <f>IFERROR(MATCH($A513,Dataset3_Raw!$A$2:$A$391,0),0)</f>
        <v>0</v>
      </c>
      <c r="F513" s="24">
        <f>IF($C513&gt;0,INDEX(Merge_1_2!$B$2:$B$611,$C513),DATE(VALUE(RIGHT(INDEX(Dataset3_Raw!$B$2:$B$391,$E513),4)),VALUE(MID(INDEX(Dataset3_Raw!$B$2:$B$391,$E513),4,2)),VALUE(LEFT(INDEX(Dataset3_Raw!$B$2:$B$391,$E513),2))))</f>
        <v>40566</v>
      </c>
      <c r="G513" s="23">
        <f>IF($C513&gt;0,INDEX(Merge_1_2!$C$2:$C$611,$C513),INDEX(Dataset3_Raw!$C$2:$C$391,$E513))</f>
        <v>1</v>
      </c>
      <c r="H513" s="23">
        <f>IF($C513&gt;0,INDEX(Merge_1_2!$D$2:$D$611,$C513),INDEX(Dataset3_Raw!$D$2:$D$391,$E513))</f>
        <v>0</v>
      </c>
      <c r="I513" s="23">
        <f>IF($C513&gt;0,INDEX(Merge_1_2!$E$2:$E$611,$C513),INDEX(Dataset3_Raw!$E$2:$E$391,$E513))</f>
        <v>1</v>
      </c>
      <c r="J513" s="23">
        <f>IF($C513&gt;0,INDEX(Merge_1_2!$F$2:$F$611,$C513),INDEX(Dataset3_Raw!$F$2:$F$391,$E513))</f>
        <v>10</v>
      </c>
      <c r="K513" s="23" t="b">
        <f>IF($C513&gt;0,INDEX(Merge_1_2!$G$2:$G$611,$C513),INDEX(Dataset3_Raw!$G$2:$G$391,$E513))</f>
        <v>0</v>
      </c>
      <c r="L513" s="23">
        <f>IF($C513&gt;0,INDEX(Merge_1_2!$H$2:$H$611,$C513),INDEX(Dataset3_Raw!$H$2:$H$391,$E513))</f>
        <v>0</v>
      </c>
      <c r="M513" s="23">
        <f>IF($C513&gt;0,INDEX(Merge_1_2!$I$2:$I$611,$C513),INDEX(Dataset3_Raw!$I$2:$I$391,$E513))</f>
        <v>1</v>
      </c>
      <c r="N513" s="25">
        <f>IF($C513&gt;0,INDEX(Merge_1_2!$J$2:$J$611,$C513),INDEX(Dataset3_Raw!$J$2:$J$391,$E513))</f>
        <v>0.14000000000000001</v>
      </c>
      <c r="O513" s="25">
        <f>IF($C513&gt;0,IF(ISNUMBER(INDEX(Merge_1_2!$K$2:$K$611,$C513)),INDEX(Merge_1_2!$K$2:$K$611,$C513),""),INDEX(Dataset3_Raw!$K$2:$K$391,$E513))</f>
        <v>0.1061</v>
      </c>
      <c r="P513" s="25">
        <f>IF(ISNUMBER($O513),$O513,ROUND(Lookups!$B$25+Lookups!$B$24*$N513,4))</f>
        <v>0.1061</v>
      </c>
      <c r="Q513" s="25">
        <f>IF($C513&gt;0,INDEX(Merge_1_2!$L$2:$L$611,$C513),INDEX(Dataset3_Raw!$L$2:$L$391,$E513))</f>
        <v>0.46</v>
      </c>
      <c r="R513" s="25">
        <f>IF($C513&gt;0,INDEX(Merge_1_2!$M$2:$M$611,$C513),INDEX(Dataset3_Raw!$M$2:$M$391,$E513))</f>
        <v>0.3881</v>
      </c>
      <c r="S513" s="23">
        <f>IF($C513&gt;0,INDEX(Merge_1_2!$N$2:$N$611,$C513),INDEX(Dataset3_Raw!$N$2:$N$391,$E513))</f>
        <v>7</v>
      </c>
      <c r="T513" s="23">
        <f>IF($C513&gt;0,INDEX(Merge_1_2!$O$2:$O$611,$C513),INDEX(Dataset3_Raw!$O$2:$O$391,$E513))</f>
        <v>51</v>
      </c>
      <c r="U513" s="23">
        <f>IF($C513&gt;0,INDEX(Merge_1_2!$P$2:$P$611,$C513),INDEX(Dataset3_Raw!$P$2:$P$391,$E513))</f>
        <v>58</v>
      </c>
      <c r="V513" s="23" t="str">
        <f t="shared" si="43"/>
        <v>Weekend</v>
      </c>
      <c r="W513" s="23" t="str">
        <f>VLOOKUP($M513,Lookups!$A$5:$B$8,2,FALSE())</f>
        <v>Clear / Partly cloudy</v>
      </c>
      <c r="X513" s="23" t="str">
        <f>VLOOKUP($G513,Lookups!$D$5:$E$8,2,FALSE())</f>
        <v>Winter</v>
      </c>
      <c r="Y513" s="23" t="str">
        <f>VLOOKUP($L513,Lookups!$G$5:$H$11,2,FALSE())</f>
        <v>Sunday</v>
      </c>
      <c r="Z513" s="23" t="str">
        <f>IF($J513&lt;Lookups!$B$26,"Night",IF($J513&lt;Lookups!$B$27,"Morning",IF($J513&lt;Lookups!$B$28,"Afternoon","Evening")))</f>
        <v>Morning</v>
      </c>
      <c r="AA513" s="26">
        <f>ROUND($N513*(Lookups!$B$16-Lookups!$B$15)+Lookups!$B$15,1)</f>
        <v>-1.4</v>
      </c>
      <c r="AB513" s="26">
        <f>ROUND($P513*(Lookups!$B$18-Lookups!$B$17)+Lookups!$B$17,1)</f>
        <v>-9</v>
      </c>
      <c r="AC513" s="23">
        <f t="shared" si="44"/>
        <v>46</v>
      </c>
      <c r="AD513" s="23">
        <f>ROUND($R513*Lookups!$B$19,1)</f>
        <v>26</v>
      </c>
      <c r="AE513" s="27">
        <f t="shared" si="45"/>
        <v>0.87931034482758619</v>
      </c>
      <c r="AF513" s="23" t="str">
        <f>IF($U513&gt;=Lookups!$B$23,"High",IF($U513&gt;=Lookups!$B$22,"Medium","Low"))</f>
        <v>Medium</v>
      </c>
      <c r="AG513" s="23">
        <f>ROUND(IF($V513="Weekday",IF(INDEX(Hourly_Analysis!$D$5:$D$28,$J513+1)&gt;0,($U513-INDEX(Hourly_Analysis!$C$5:$C$28,$J513+1))/INDEX(Hourly_Analysis!$D$5:$D$28,$J513+1),0),IF(INDEX(Hourly_Analysis!$G$5:$G$28,$J513+1)&gt;0,($U513-INDEX(Hourly_Analysis!$F$5:$F$28,$J513+1))/INDEX(Hourly_Analysis!$G$5:$G$28,$J513+1),0)),2)</f>
        <v>-0.23</v>
      </c>
      <c r="AH513" s="23" t="str">
        <f>IF(ABS($AG513)&gt;Lookups!$B$20,IF($AG513&gt;0,"High anomaly","Low anomaly"),"")</f>
        <v/>
      </c>
      <c r="AI513" s="23" t="str">
        <f t="shared" si="46"/>
        <v>OK</v>
      </c>
      <c r="AJ513" s="23" t="str">
        <f t="shared" si="47"/>
        <v>No</v>
      </c>
    </row>
    <row r="514" spans="1:36" x14ac:dyDescent="0.35">
      <c r="A514" s="23">
        <v>513</v>
      </c>
      <c r="B514" s="23" t="str">
        <f t="shared" ref="B514:B577" si="48">IF($C514&gt;0,"Merge 1+2","Dataset 3")</f>
        <v>Merge 1+2</v>
      </c>
      <c r="C514" s="23">
        <f>IFERROR(MATCH($A514,Merge_1_2!$A$2:$A$611,0),0)</f>
        <v>513</v>
      </c>
      <c r="D514" s="23">
        <f>IF($C514&gt;0,INDEX(Merge_1_2!$Q$2:$Q$611,$C514),0)</f>
        <v>513</v>
      </c>
      <c r="E514" s="23">
        <f>IFERROR(MATCH($A514,Dataset3_Raw!$A$2:$A$391,0),0)</f>
        <v>0</v>
      </c>
      <c r="F514" s="24">
        <f>IF($C514&gt;0,INDEX(Merge_1_2!$B$2:$B$611,$C514),DATE(VALUE(RIGHT(INDEX(Dataset3_Raw!$B$2:$B$391,$E514),4)),VALUE(MID(INDEX(Dataset3_Raw!$B$2:$B$391,$E514),4,2)),VALUE(LEFT(INDEX(Dataset3_Raw!$B$2:$B$391,$E514),2))))</f>
        <v>40566</v>
      </c>
      <c r="G514" s="23">
        <f>IF($C514&gt;0,INDEX(Merge_1_2!$C$2:$C$611,$C514),INDEX(Dataset3_Raw!$C$2:$C$391,$E514))</f>
        <v>1</v>
      </c>
      <c r="H514" s="23">
        <f>IF($C514&gt;0,INDEX(Merge_1_2!$D$2:$D$611,$C514),INDEX(Dataset3_Raw!$D$2:$D$391,$E514))</f>
        <v>0</v>
      </c>
      <c r="I514" s="23">
        <f>IF($C514&gt;0,INDEX(Merge_1_2!$E$2:$E$611,$C514),INDEX(Dataset3_Raw!$E$2:$E$391,$E514))</f>
        <v>1</v>
      </c>
      <c r="J514" s="23">
        <f>IF($C514&gt;0,INDEX(Merge_1_2!$F$2:$F$611,$C514),INDEX(Dataset3_Raw!$F$2:$F$391,$E514))</f>
        <v>11</v>
      </c>
      <c r="K514" s="23" t="b">
        <f>IF($C514&gt;0,INDEX(Merge_1_2!$G$2:$G$611,$C514),INDEX(Dataset3_Raw!$G$2:$G$391,$E514))</f>
        <v>0</v>
      </c>
      <c r="L514" s="23">
        <f>IF($C514&gt;0,INDEX(Merge_1_2!$H$2:$H$611,$C514),INDEX(Dataset3_Raw!$H$2:$H$391,$E514))</f>
        <v>0</v>
      </c>
      <c r="M514" s="23">
        <f>IF($C514&gt;0,INDEX(Merge_1_2!$I$2:$I$611,$C514),INDEX(Dataset3_Raw!$I$2:$I$391,$E514))</f>
        <v>1</v>
      </c>
      <c r="N514" s="25">
        <f>IF($C514&gt;0,INDEX(Merge_1_2!$J$2:$J$611,$C514),INDEX(Dataset3_Raw!$J$2:$J$391,$E514))</f>
        <v>0.14000000000000001</v>
      </c>
      <c r="O514" s="25">
        <f>IF($C514&gt;0,IF(ISNUMBER(INDEX(Merge_1_2!$K$2:$K$611,$C514)),INDEX(Merge_1_2!$K$2:$K$611,$C514),""),INDEX(Dataset3_Raw!$K$2:$K$391,$E514))</f>
        <v>0.13639999999999999</v>
      </c>
      <c r="P514" s="25">
        <f>IF(ISNUMBER($O514),$O514,ROUND(Lookups!$B$25+Lookups!$B$24*$N514,4))</f>
        <v>0.13639999999999999</v>
      </c>
      <c r="Q514" s="25">
        <f>IF($C514&gt;0,INDEX(Merge_1_2!$L$2:$L$611,$C514),INDEX(Dataset3_Raw!$L$2:$L$391,$E514))</f>
        <v>0.43</v>
      </c>
      <c r="R514" s="25">
        <f>IF($C514&gt;0,INDEX(Merge_1_2!$M$2:$M$611,$C514),INDEX(Dataset3_Raw!$M$2:$M$391,$E514))</f>
        <v>0.22389999999999999</v>
      </c>
      <c r="S514" s="23">
        <f>IF($C514&gt;0,INDEX(Merge_1_2!$N$2:$N$611,$C514),INDEX(Dataset3_Raw!$N$2:$N$391,$E514))</f>
        <v>22</v>
      </c>
      <c r="T514" s="23">
        <f>IF($C514&gt;0,INDEX(Merge_1_2!$O$2:$O$611,$C514),INDEX(Dataset3_Raw!$O$2:$O$391,$E514))</f>
        <v>77</v>
      </c>
      <c r="U514" s="23">
        <f>IF($C514&gt;0,INDEX(Merge_1_2!$P$2:$P$611,$C514),INDEX(Dataset3_Raw!$P$2:$P$391,$E514))</f>
        <v>99</v>
      </c>
      <c r="V514" s="23" t="str">
        <f t="shared" ref="V514:V577" si="49">IF($K514,"Holiday",IF(OR($L514=0,$L514=6),"Weekend","Weekday"))</f>
        <v>Weekend</v>
      </c>
      <c r="W514" s="23" t="str">
        <f>VLOOKUP($M514,Lookups!$A$5:$B$8,2,FALSE())</f>
        <v>Clear / Partly cloudy</v>
      </c>
      <c r="X514" s="23" t="str">
        <f>VLOOKUP($G514,Lookups!$D$5:$E$8,2,FALSE())</f>
        <v>Winter</v>
      </c>
      <c r="Y514" s="23" t="str">
        <f>VLOOKUP($L514,Lookups!$G$5:$H$11,2,FALSE())</f>
        <v>Sunday</v>
      </c>
      <c r="Z514" s="23" t="str">
        <f>IF($J514&lt;Lookups!$B$26,"Night",IF($J514&lt;Lookups!$B$27,"Morning",IF($J514&lt;Lookups!$B$28,"Afternoon","Evening")))</f>
        <v>Morning</v>
      </c>
      <c r="AA514" s="26">
        <f>ROUND($N514*(Lookups!$B$16-Lookups!$B$15)+Lookups!$B$15,1)</f>
        <v>-1.4</v>
      </c>
      <c r="AB514" s="26">
        <f>ROUND($P514*(Lookups!$B$18-Lookups!$B$17)+Lookups!$B$17,1)</f>
        <v>-7</v>
      </c>
      <c r="AC514" s="23">
        <f t="shared" ref="AC514:AC577" si="50">ROUND($Q514*100,0)</f>
        <v>43</v>
      </c>
      <c r="AD514" s="23">
        <f>ROUND($R514*Lookups!$B$19,1)</f>
        <v>15</v>
      </c>
      <c r="AE514" s="27">
        <f t="shared" ref="AE514:AE577" si="51">IF($U514&gt;0,$T514/$U514,0)</f>
        <v>0.77777777777777779</v>
      </c>
      <c r="AF514" s="23" t="str">
        <f>IF($U514&gt;=Lookups!$B$23,"High",IF($U514&gt;=Lookups!$B$22,"Medium","Low"))</f>
        <v>High</v>
      </c>
      <c r="AG514" s="23">
        <f>ROUND(IF($V514="Weekday",IF(INDEX(Hourly_Analysis!$D$5:$D$28,$J514+1)&gt;0,($U514-INDEX(Hourly_Analysis!$C$5:$C$28,$J514+1))/INDEX(Hourly_Analysis!$D$5:$D$28,$J514+1),0),IF(INDEX(Hourly_Analysis!$G$5:$G$28,$J514+1)&gt;0,($U514-INDEX(Hourly_Analysis!$F$5:$F$28,$J514+1))/INDEX(Hourly_Analysis!$G$5:$G$28,$J514+1),0)),2)</f>
        <v>0.95</v>
      </c>
      <c r="AH514" s="23" t="str">
        <f>IF(ABS($AG514)&gt;Lookups!$B$20,IF($AG514&gt;0,"High anomaly","Low anomaly"),"")</f>
        <v/>
      </c>
      <c r="AI514" s="23" t="str">
        <f t="shared" ref="AI514:AI577" si="52">IF($S514+$T514=$U514,"OK","Mismatch")</f>
        <v>OK</v>
      </c>
      <c r="AJ514" s="23" t="str">
        <f t="shared" ref="AJ514:AJ577" si="53">IF(ISNUMBER($O514),"No","Yes")</f>
        <v>No</v>
      </c>
    </row>
    <row r="515" spans="1:36" x14ac:dyDescent="0.35">
      <c r="A515" s="23">
        <v>514</v>
      </c>
      <c r="B515" s="23" t="str">
        <f t="shared" si="48"/>
        <v>Merge 1+2</v>
      </c>
      <c r="C515" s="23">
        <f>IFERROR(MATCH($A515,Merge_1_2!$A$2:$A$611,0),0)</f>
        <v>514</v>
      </c>
      <c r="D515" s="23">
        <f>IF($C515&gt;0,INDEX(Merge_1_2!$Q$2:$Q$611,$C515),0)</f>
        <v>514</v>
      </c>
      <c r="E515" s="23">
        <f>IFERROR(MATCH($A515,Dataset3_Raw!$A$2:$A$391,0),0)</f>
        <v>0</v>
      </c>
      <c r="F515" s="24">
        <f>IF($C515&gt;0,INDEX(Merge_1_2!$B$2:$B$611,$C515),DATE(VALUE(RIGHT(INDEX(Dataset3_Raw!$B$2:$B$391,$E515),4)),VALUE(MID(INDEX(Dataset3_Raw!$B$2:$B$391,$E515),4,2)),VALUE(LEFT(INDEX(Dataset3_Raw!$B$2:$B$391,$E515),2))))</f>
        <v>40566</v>
      </c>
      <c r="G515" s="23">
        <f>IF($C515&gt;0,INDEX(Merge_1_2!$C$2:$C$611,$C515),INDEX(Dataset3_Raw!$C$2:$C$391,$E515))</f>
        <v>1</v>
      </c>
      <c r="H515" s="23">
        <f>IF($C515&gt;0,INDEX(Merge_1_2!$D$2:$D$611,$C515),INDEX(Dataset3_Raw!$D$2:$D$391,$E515))</f>
        <v>0</v>
      </c>
      <c r="I515" s="23">
        <f>IF($C515&gt;0,INDEX(Merge_1_2!$E$2:$E$611,$C515),INDEX(Dataset3_Raw!$E$2:$E$391,$E515))</f>
        <v>1</v>
      </c>
      <c r="J515" s="23">
        <f>IF($C515&gt;0,INDEX(Merge_1_2!$F$2:$F$611,$C515),INDEX(Dataset3_Raw!$F$2:$F$391,$E515))</f>
        <v>12</v>
      </c>
      <c r="K515" s="23" t="b">
        <f>IF($C515&gt;0,INDEX(Merge_1_2!$G$2:$G$611,$C515),INDEX(Dataset3_Raw!$G$2:$G$391,$E515))</f>
        <v>0</v>
      </c>
      <c r="L515" s="23">
        <f>IF($C515&gt;0,INDEX(Merge_1_2!$H$2:$H$611,$C515),INDEX(Dataset3_Raw!$H$2:$H$391,$E515))</f>
        <v>0</v>
      </c>
      <c r="M515" s="23">
        <f>IF($C515&gt;0,INDEX(Merge_1_2!$I$2:$I$611,$C515),INDEX(Dataset3_Raw!$I$2:$I$391,$E515))</f>
        <v>1</v>
      </c>
      <c r="N515" s="25">
        <f>IF($C515&gt;0,INDEX(Merge_1_2!$J$2:$J$611,$C515),INDEX(Dataset3_Raw!$J$2:$J$391,$E515))</f>
        <v>0.16</v>
      </c>
      <c r="O515" s="25">
        <f>IF($C515&gt;0,IF(ISNUMBER(INDEX(Merge_1_2!$K$2:$K$611,$C515)),INDEX(Merge_1_2!$K$2:$K$611,$C515),""),INDEX(Dataset3_Raw!$K$2:$K$391,$E515))</f>
        <v>0.1212</v>
      </c>
      <c r="P515" s="25">
        <f>IF(ISNUMBER($O515),$O515,ROUND(Lookups!$B$25+Lookups!$B$24*$N515,4))</f>
        <v>0.1212</v>
      </c>
      <c r="Q515" s="25">
        <f>IF($C515&gt;0,INDEX(Merge_1_2!$L$2:$L$611,$C515),INDEX(Dataset3_Raw!$L$2:$L$391,$E515))</f>
        <v>0.37</v>
      </c>
      <c r="R515" s="25">
        <f>IF($C515&gt;0,INDEX(Merge_1_2!$M$2:$M$611,$C515),INDEX(Dataset3_Raw!$M$2:$M$391,$E515))</f>
        <v>0.4627</v>
      </c>
      <c r="S515" s="23">
        <f>IF($C515&gt;0,INDEX(Merge_1_2!$N$2:$N$611,$C515),INDEX(Dataset3_Raw!$N$2:$N$391,$E515))</f>
        <v>24</v>
      </c>
      <c r="T515" s="23">
        <f>IF($C515&gt;0,INDEX(Merge_1_2!$O$2:$O$611,$C515),INDEX(Dataset3_Raw!$O$2:$O$391,$E515))</f>
        <v>92</v>
      </c>
      <c r="U515" s="23">
        <f>IF($C515&gt;0,INDEX(Merge_1_2!$P$2:$P$611,$C515),INDEX(Dataset3_Raw!$P$2:$P$391,$E515))</f>
        <v>116</v>
      </c>
      <c r="V515" s="23" t="str">
        <f t="shared" si="49"/>
        <v>Weekend</v>
      </c>
      <c r="W515" s="23" t="str">
        <f>VLOOKUP($M515,Lookups!$A$5:$B$8,2,FALSE())</f>
        <v>Clear / Partly cloudy</v>
      </c>
      <c r="X515" s="23" t="str">
        <f>VLOOKUP($G515,Lookups!$D$5:$E$8,2,FALSE())</f>
        <v>Winter</v>
      </c>
      <c r="Y515" s="23" t="str">
        <f>VLOOKUP($L515,Lookups!$G$5:$H$11,2,FALSE())</f>
        <v>Sunday</v>
      </c>
      <c r="Z515" s="23" t="str">
        <f>IF($J515&lt;Lookups!$B$26,"Night",IF($J515&lt;Lookups!$B$27,"Morning",IF($J515&lt;Lookups!$B$28,"Afternoon","Evening")))</f>
        <v>Afternoon</v>
      </c>
      <c r="AA515" s="26">
        <f>ROUND($N515*(Lookups!$B$16-Lookups!$B$15)+Lookups!$B$15,1)</f>
        <v>-0.5</v>
      </c>
      <c r="AB515" s="26">
        <f>ROUND($P515*(Lookups!$B$18-Lookups!$B$17)+Lookups!$B$17,1)</f>
        <v>-8</v>
      </c>
      <c r="AC515" s="23">
        <f t="shared" si="50"/>
        <v>37</v>
      </c>
      <c r="AD515" s="23">
        <f>ROUND($R515*Lookups!$B$19,1)</f>
        <v>31</v>
      </c>
      <c r="AE515" s="27">
        <f t="shared" si="51"/>
        <v>0.7931034482758621</v>
      </c>
      <c r="AF515" s="23" t="str">
        <f>IF($U515&gt;=Lookups!$B$23,"High",IF($U515&gt;=Lookups!$B$22,"Medium","Low"))</f>
        <v>High</v>
      </c>
      <c r="AG515" s="23">
        <f>ROUND(IF($V515="Weekday",IF(INDEX(Hourly_Analysis!$D$5:$D$28,$J515+1)&gt;0,($U515-INDEX(Hourly_Analysis!$C$5:$C$28,$J515+1))/INDEX(Hourly_Analysis!$D$5:$D$28,$J515+1),0),IF(INDEX(Hourly_Analysis!$G$5:$G$28,$J515+1)&gt;0,($U515-INDEX(Hourly_Analysis!$F$5:$F$28,$J515+1))/INDEX(Hourly_Analysis!$G$5:$G$28,$J515+1),0)),2)</f>
        <v>0.53</v>
      </c>
      <c r="AH515" s="23" t="str">
        <f>IF(ABS($AG515)&gt;Lookups!$B$20,IF($AG515&gt;0,"High anomaly","Low anomaly"),"")</f>
        <v/>
      </c>
      <c r="AI515" s="23" t="str">
        <f t="shared" si="52"/>
        <v>OK</v>
      </c>
      <c r="AJ515" s="23" t="str">
        <f t="shared" si="53"/>
        <v>No</v>
      </c>
    </row>
    <row r="516" spans="1:36" x14ac:dyDescent="0.35">
      <c r="A516" s="23">
        <v>515</v>
      </c>
      <c r="B516" s="23" t="str">
        <f t="shared" si="48"/>
        <v>Merge 1+2</v>
      </c>
      <c r="C516" s="23">
        <f>IFERROR(MATCH($A516,Merge_1_2!$A$2:$A$611,0),0)</f>
        <v>515</v>
      </c>
      <c r="D516" s="23">
        <f>IF($C516&gt;0,INDEX(Merge_1_2!$Q$2:$Q$611,$C516),0)</f>
        <v>515</v>
      </c>
      <c r="E516" s="23">
        <f>IFERROR(MATCH($A516,Dataset3_Raw!$A$2:$A$391,0),0)</f>
        <v>0</v>
      </c>
      <c r="F516" s="24">
        <f>IF($C516&gt;0,INDEX(Merge_1_2!$B$2:$B$611,$C516),DATE(VALUE(RIGHT(INDEX(Dataset3_Raw!$B$2:$B$391,$E516),4)),VALUE(MID(INDEX(Dataset3_Raw!$B$2:$B$391,$E516),4,2)),VALUE(LEFT(INDEX(Dataset3_Raw!$B$2:$B$391,$E516),2))))</f>
        <v>40566</v>
      </c>
      <c r="G516" s="23">
        <f>IF($C516&gt;0,INDEX(Merge_1_2!$C$2:$C$611,$C516),INDEX(Dataset3_Raw!$C$2:$C$391,$E516))</f>
        <v>1</v>
      </c>
      <c r="H516" s="23">
        <f>IF($C516&gt;0,INDEX(Merge_1_2!$D$2:$D$611,$C516),INDEX(Dataset3_Raw!$D$2:$D$391,$E516))</f>
        <v>0</v>
      </c>
      <c r="I516" s="23">
        <f>IF($C516&gt;0,INDEX(Merge_1_2!$E$2:$E$611,$C516),INDEX(Dataset3_Raw!$E$2:$E$391,$E516))</f>
        <v>1</v>
      </c>
      <c r="J516" s="23">
        <f>IF($C516&gt;0,INDEX(Merge_1_2!$F$2:$F$611,$C516),INDEX(Dataset3_Raw!$F$2:$F$391,$E516))</f>
        <v>13</v>
      </c>
      <c r="K516" s="23" t="b">
        <f>IF($C516&gt;0,INDEX(Merge_1_2!$G$2:$G$611,$C516),INDEX(Dataset3_Raw!$G$2:$G$391,$E516))</f>
        <v>0</v>
      </c>
      <c r="L516" s="23">
        <f>IF($C516&gt;0,INDEX(Merge_1_2!$H$2:$H$611,$C516),INDEX(Dataset3_Raw!$H$2:$H$391,$E516))</f>
        <v>0</v>
      </c>
      <c r="M516" s="23">
        <f>IF($C516&gt;0,INDEX(Merge_1_2!$I$2:$I$611,$C516),INDEX(Dataset3_Raw!$I$2:$I$391,$E516))</f>
        <v>1</v>
      </c>
      <c r="N516" s="25">
        <f>IF($C516&gt;0,INDEX(Merge_1_2!$J$2:$J$611,$C516),INDEX(Dataset3_Raw!$J$2:$J$391,$E516))</f>
        <v>0.14000000000000001</v>
      </c>
      <c r="O516" s="25">
        <f>IF($C516&gt;0,IF(ISNUMBER(INDEX(Merge_1_2!$K$2:$K$611,$C516)),INDEX(Merge_1_2!$K$2:$K$611,$C516),""),INDEX(Dataset3_Raw!$K$2:$K$391,$E516))</f>
        <v>0.1061</v>
      </c>
      <c r="P516" s="25">
        <f>IF(ISNUMBER($O516),$O516,ROUND(Lookups!$B$25+Lookups!$B$24*$N516,4))</f>
        <v>0.1061</v>
      </c>
      <c r="Q516" s="25">
        <f>IF($C516&gt;0,INDEX(Merge_1_2!$L$2:$L$611,$C516),INDEX(Dataset3_Raw!$L$2:$L$391,$E516))</f>
        <v>0.33</v>
      </c>
      <c r="R516" s="25">
        <f>IF($C516&gt;0,INDEX(Merge_1_2!$M$2:$M$611,$C516),INDEX(Dataset3_Raw!$M$2:$M$391,$E516))</f>
        <v>0.3881</v>
      </c>
      <c r="S516" s="23">
        <f>IF($C516&gt;0,INDEX(Merge_1_2!$N$2:$N$611,$C516),INDEX(Dataset3_Raw!$N$2:$N$391,$E516))</f>
        <v>12</v>
      </c>
      <c r="T516" s="23">
        <f>IF($C516&gt;0,INDEX(Merge_1_2!$O$2:$O$611,$C516),INDEX(Dataset3_Raw!$O$2:$O$391,$E516))</f>
        <v>75</v>
      </c>
      <c r="U516" s="23">
        <f>IF($C516&gt;0,INDEX(Merge_1_2!$P$2:$P$611,$C516),INDEX(Dataset3_Raw!$P$2:$P$391,$E516))</f>
        <v>87</v>
      </c>
      <c r="V516" s="23" t="str">
        <f t="shared" si="49"/>
        <v>Weekend</v>
      </c>
      <c r="W516" s="23" t="str">
        <f>VLOOKUP($M516,Lookups!$A$5:$B$8,2,FALSE())</f>
        <v>Clear / Partly cloudy</v>
      </c>
      <c r="X516" s="23" t="str">
        <f>VLOOKUP($G516,Lookups!$D$5:$E$8,2,FALSE())</f>
        <v>Winter</v>
      </c>
      <c r="Y516" s="23" t="str">
        <f>VLOOKUP($L516,Lookups!$G$5:$H$11,2,FALSE())</f>
        <v>Sunday</v>
      </c>
      <c r="Z516" s="23" t="str">
        <f>IF($J516&lt;Lookups!$B$26,"Night",IF($J516&lt;Lookups!$B$27,"Morning",IF($J516&lt;Lookups!$B$28,"Afternoon","Evening")))</f>
        <v>Afternoon</v>
      </c>
      <c r="AA516" s="26">
        <f>ROUND($N516*(Lookups!$B$16-Lookups!$B$15)+Lookups!$B$15,1)</f>
        <v>-1.4</v>
      </c>
      <c r="AB516" s="26">
        <f>ROUND($P516*(Lookups!$B$18-Lookups!$B$17)+Lookups!$B$17,1)</f>
        <v>-9</v>
      </c>
      <c r="AC516" s="23">
        <f t="shared" si="50"/>
        <v>33</v>
      </c>
      <c r="AD516" s="23">
        <f>ROUND($R516*Lookups!$B$19,1)</f>
        <v>26</v>
      </c>
      <c r="AE516" s="27">
        <f t="shared" si="51"/>
        <v>0.86206896551724133</v>
      </c>
      <c r="AF516" s="23" t="str">
        <f>IF($U516&gt;=Lookups!$B$23,"High",IF($U516&gt;=Lookups!$B$22,"Medium","Low"))</f>
        <v>High</v>
      </c>
      <c r="AG516" s="23">
        <f>ROUND(IF($V516="Weekday",IF(INDEX(Hourly_Analysis!$D$5:$D$28,$J516+1)&gt;0,($U516-INDEX(Hourly_Analysis!$C$5:$C$28,$J516+1))/INDEX(Hourly_Analysis!$D$5:$D$28,$J516+1),0),IF(INDEX(Hourly_Analysis!$G$5:$G$28,$J516+1)&gt;0,($U516-INDEX(Hourly_Analysis!$F$5:$F$28,$J516+1))/INDEX(Hourly_Analysis!$G$5:$G$28,$J516+1),0)),2)</f>
        <v>-0.44</v>
      </c>
      <c r="AH516" s="23" t="str">
        <f>IF(ABS($AG516)&gt;Lookups!$B$20,IF($AG516&gt;0,"High anomaly","Low anomaly"),"")</f>
        <v/>
      </c>
      <c r="AI516" s="23" t="str">
        <f t="shared" si="52"/>
        <v>OK</v>
      </c>
      <c r="AJ516" s="23" t="str">
        <f t="shared" si="53"/>
        <v>No</v>
      </c>
    </row>
    <row r="517" spans="1:36" x14ac:dyDescent="0.35">
      <c r="A517" s="23">
        <v>516</v>
      </c>
      <c r="B517" s="23" t="str">
        <f t="shared" si="48"/>
        <v>Merge 1+2</v>
      </c>
      <c r="C517" s="23">
        <f>IFERROR(MATCH($A517,Merge_1_2!$A$2:$A$611,0),0)</f>
        <v>516</v>
      </c>
      <c r="D517" s="23">
        <f>IF($C517&gt;0,INDEX(Merge_1_2!$Q$2:$Q$611,$C517),0)</f>
        <v>516</v>
      </c>
      <c r="E517" s="23">
        <f>IFERROR(MATCH($A517,Dataset3_Raw!$A$2:$A$391,0),0)</f>
        <v>0</v>
      </c>
      <c r="F517" s="24">
        <f>IF($C517&gt;0,INDEX(Merge_1_2!$B$2:$B$611,$C517),DATE(VALUE(RIGHT(INDEX(Dataset3_Raw!$B$2:$B$391,$E517),4)),VALUE(MID(INDEX(Dataset3_Raw!$B$2:$B$391,$E517),4,2)),VALUE(LEFT(INDEX(Dataset3_Raw!$B$2:$B$391,$E517),2))))</f>
        <v>40566</v>
      </c>
      <c r="G517" s="23">
        <f>IF($C517&gt;0,INDEX(Merge_1_2!$C$2:$C$611,$C517),INDEX(Dataset3_Raw!$C$2:$C$391,$E517))</f>
        <v>1</v>
      </c>
      <c r="H517" s="23">
        <f>IF($C517&gt;0,INDEX(Merge_1_2!$D$2:$D$611,$C517),INDEX(Dataset3_Raw!$D$2:$D$391,$E517))</f>
        <v>0</v>
      </c>
      <c r="I517" s="23">
        <f>IF($C517&gt;0,INDEX(Merge_1_2!$E$2:$E$611,$C517),INDEX(Dataset3_Raw!$E$2:$E$391,$E517))</f>
        <v>1</v>
      </c>
      <c r="J517" s="23">
        <f>IF($C517&gt;0,INDEX(Merge_1_2!$F$2:$F$611,$C517),INDEX(Dataset3_Raw!$F$2:$F$391,$E517))</f>
        <v>14</v>
      </c>
      <c r="K517" s="23" t="b">
        <f>IF($C517&gt;0,INDEX(Merge_1_2!$G$2:$G$611,$C517),INDEX(Dataset3_Raw!$G$2:$G$391,$E517))</f>
        <v>0</v>
      </c>
      <c r="L517" s="23">
        <f>IF($C517&gt;0,INDEX(Merge_1_2!$H$2:$H$611,$C517),INDEX(Dataset3_Raw!$H$2:$H$391,$E517))</f>
        <v>0</v>
      </c>
      <c r="M517" s="23">
        <f>IF($C517&gt;0,INDEX(Merge_1_2!$I$2:$I$611,$C517),INDEX(Dataset3_Raw!$I$2:$I$391,$E517))</f>
        <v>1</v>
      </c>
      <c r="N517" s="25">
        <f>IF($C517&gt;0,INDEX(Merge_1_2!$J$2:$J$611,$C517),INDEX(Dataset3_Raw!$J$2:$J$391,$E517))</f>
        <v>0.16</v>
      </c>
      <c r="O517" s="25">
        <f>IF($C517&gt;0,IF(ISNUMBER(INDEX(Merge_1_2!$K$2:$K$611,$C517)),INDEX(Merge_1_2!$K$2:$K$611,$C517),""),INDEX(Dataset3_Raw!$K$2:$K$391,$E517))</f>
        <v>0.13639999999999999</v>
      </c>
      <c r="P517" s="25">
        <f>IF(ISNUMBER($O517),$O517,ROUND(Lookups!$B$25+Lookups!$B$24*$N517,4))</f>
        <v>0.13639999999999999</v>
      </c>
      <c r="Q517" s="25">
        <f>IF($C517&gt;0,INDEX(Merge_1_2!$L$2:$L$611,$C517),INDEX(Dataset3_Raw!$L$2:$L$391,$E517))</f>
        <v>0.28000000000000003</v>
      </c>
      <c r="R517" s="25">
        <f>IF($C517&gt;0,INDEX(Merge_1_2!$M$2:$M$611,$C517),INDEX(Dataset3_Raw!$M$2:$M$391,$E517))</f>
        <v>0.35820000000000002</v>
      </c>
      <c r="S517" s="23">
        <f>IF($C517&gt;0,INDEX(Merge_1_2!$N$2:$N$611,$C517),INDEX(Dataset3_Raw!$N$2:$N$391,$E517))</f>
        <v>17</v>
      </c>
      <c r="T517" s="23">
        <f>IF($C517&gt;0,INDEX(Merge_1_2!$O$2:$O$611,$C517),INDEX(Dataset3_Raw!$O$2:$O$391,$E517))</f>
        <v>93</v>
      </c>
      <c r="U517" s="23">
        <f>IF($C517&gt;0,INDEX(Merge_1_2!$P$2:$P$611,$C517),INDEX(Dataset3_Raw!$P$2:$P$391,$E517))</f>
        <v>110</v>
      </c>
      <c r="V517" s="23" t="str">
        <f t="shared" si="49"/>
        <v>Weekend</v>
      </c>
      <c r="W517" s="23" t="str">
        <f>VLOOKUP($M517,Lookups!$A$5:$B$8,2,FALSE())</f>
        <v>Clear / Partly cloudy</v>
      </c>
      <c r="X517" s="23" t="str">
        <f>VLOOKUP($G517,Lookups!$D$5:$E$8,2,FALSE())</f>
        <v>Winter</v>
      </c>
      <c r="Y517" s="23" t="str">
        <f>VLOOKUP($L517,Lookups!$G$5:$H$11,2,FALSE())</f>
        <v>Sunday</v>
      </c>
      <c r="Z517" s="23" t="str">
        <f>IF($J517&lt;Lookups!$B$26,"Night",IF($J517&lt;Lookups!$B$27,"Morning",IF($J517&lt;Lookups!$B$28,"Afternoon","Evening")))</f>
        <v>Afternoon</v>
      </c>
      <c r="AA517" s="26">
        <f>ROUND($N517*(Lookups!$B$16-Lookups!$B$15)+Lookups!$B$15,1)</f>
        <v>-0.5</v>
      </c>
      <c r="AB517" s="26">
        <f>ROUND($P517*(Lookups!$B$18-Lookups!$B$17)+Lookups!$B$17,1)</f>
        <v>-7</v>
      </c>
      <c r="AC517" s="23">
        <f t="shared" si="50"/>
        <v>28</v>
      </c>
      <c r="AD517" s="23">
        <f>ROUND($R517*Lookups!$B$19,1)</f>
        <v>24</v>
      </c>
      <c r="AE517" s="27">
        <f t="shared" si="51"/>
        <v>0.84545454545454546</v>
      </c>
      <c r="AF517" s="23" t="str">
        <f>IF($U517&gt;=Lookups!$B$23,"High",IF($U517&gt;=Lookups!$B$22,"Medium","Low"))</f>
        <v>High</v>
      </c>
      <c r="AG517" s="23">
        <f>ROUND(IF($V517="Weekday",IF(INDEX(Hourly_Analysis!$D$5:$D$28,$J517+1)&gt;0,($U517-INDEX(Hourly_Analysis!$C$5:$C$28,$J517+1))/INDEX(Hourly_Analysis!$D$5:$D$28,$J517+1),0),IF(INDEX(Hourly_Analysis!$G$5:$G$28,$J517+1)&gt;0,($U517-INDEX(Hourly_Analysis!$F$5:$F$28,$J517+1))/INDEX(Hourly_Analysis!$G$5:$G$28,$J517+1),0)),2)</f>
        <v>0.25</v>
      </c>
      <c r="AH517" s="23" t="str">
        <f>IF(ABS($AG517)&gt;Lookups!$B$20,IF($AG517&gt;0,"High anomaly","Low anomaly"),"")</f>
        <v/>
      </c>
      <c r="AI517" s="23" t="str">
        <f t="shared" si="52"/>
        <v>OK</v>
      </c>
      <c r="AJ517" s="23" t="str">
        <f t="shared" si="53"/>
        <v>No</v>
      </c>
    </row>
    <row r="518" spans="1:36" x14ac:dyDescent="0.35">
      <c r="A518" s="23">
        <v>517</v>
      </c>
      <c r="B518" s="23" t="str">
        <f t="shared" si="48"/>
        <v>Merge 1+2</v>
      </c>
      <c r="C518" s="23">
        <f>IFERROR(MATCH($A518,Merge_1_2!$A$2:$A$611,0),0)</f>
        <v>517</v>
      </c>
      <c r="D518" s="23">
        <f>IF($C518&gt;0,INDEX(Merge_1_2!$Q$2:$Q$611,$C518),0)</f>
        <v>517</v>
      </c>
      <c r="E518" s="23">
        <f>IFERROR(MATCH($A518,Dataset3_Raw!$A$2:$A$391,0),0)</f>
        <v>0</v>
      </c>
      <c r="F518" s="24">
        <f>IF($C518&gt;0,INDEX(Merge_1_2!$B$2:$B$611,$C518),DATE(VALUE(RIGHT(INDEX(Dataset3_Raw!$B$2:$B$391,$E518),4)),VALUE(MID(INDEX(Dataset3_Raw!$B$2:$B$391,$E518),4,2)),VALUE(LEFT(INDEX(Dataset3_Raw!$B$2:$B$391,$E518),2))))</f>
        <v>40566</v>
      </c>
      <c r="G518" s="23">
        <f>IF($C518&gt;0,INDEX(Merge_1_2!$C$2:$C$611,$C518),INDEX(Dataset3_Raw!$C$2:$C$391,$E518))</f>
        <v>1</v>
      </c>
      <c r="H518" s="23">
        <f>IF($C518&gt;0,INDEX(Merge_1_2!$D$2:$D$611,$C518),INDEX(Dataset3_Raw!$D$2:$D$391,$E518))</f>
        <v>0</v>
      </c>
      <c r="I518" s="23">
        <f>IF($C518&gt;0,INDEX(Merge_1_2!$E$2:$E$611,$C518),INDEX(Dataset3_Raw!$E$2:$E$391,$E518))</f>
        <v>1</v>
      </c>
      <c r="J518" s="23">
        <f>IF($C518&gt;0,INDEX(Merge_1_2!$F$2:$F$611,$C518),INDEX(Dataset3_Raw!$F$2:$F$391,$E518))</f>
        <v>15</v>
      </c>
      <c r="K518" s="23" t="b">
        <f>IF($C518&gt;0,INDEX(Merge_1_2!$G$2:$G$611,$C518),INDEX(Dataset3_Raw!$G$2:$G$391,$E518))</f>
        <v>0</v>
      </c>
      <c r="L518" s="23">
        <f>IF($C518&gt;0,INDEX(Merge_1_2!$H$2:$H$611,$C518),INDEX(Dataset3_Raw!$H$2:$H$391,$E518))</f>
        <v>0</v>
      </c>
      <c r="M518" s="23">
        <f>IF($C518&gt;0,INDEX(Merge_1_2!$I$2:$I$611,$C518),INDEX(Dataset3_Raw!$I$2:$I$391,$E518))</f>
        <v>1</v>
      </c>
      <c r="N518" s="25">
        <f>IF($C518&gt;0,INDEX(Merge_1_2!$J$2:$J$611,$C518),INDEX(Dataset3_Raw!$J$2:$J$391,$E518))</f>
        <v>0.16</v>
      </c>
      <c r="O518" s="25">
        <f>IF($C518&gt;0,IF(ISNUMBER(INDEX(Merge_1_2!$K$2:$K$611,$C518)),INDEX(Merge_1_2!$K$2:$K$611,$C518),""),INDEX(Dataset3_Raw!$K$2:$K$391,$E518))</f>
        <v>0.13639999999999999</v>
      </c>
      <c r="P518" s="25">
        <f>IF(ISNUMBER($O518),$O518,ROUND(Lookups!$B$25+Lookups!$B$24*$N518,4))</f>
        <v>0.13639999999999999</v>
      </c>
      <c r="Q518" s="25">
        <f>IF($C518&gt;0,INDEX(Merge_1_2!$L$2:$L$611,$C518),INDEX(Dataset3_Raw!$L$2:$L$391,$E518))</f>
        <v>0.28000000000000003</v>
      </c>
      <c r="R518" s="25">
        <f>IF($C518&gt;0,INDEX(Merge_1_2!$M$2:$M$611,$C518),INDEX(Dataset3_Raw!$M$2:$M$391,$E518))</f>
        <v>0.35820000000000002</v>
      </c>
      <c r="S518" s="23">
        <f>IF($C518&gt;0,INDEX(Merge_1_2!$N$2:$N$611,$C518),INDEX(Dataset3_Raw!$N$2:$N$391,$E518))</f>
        <v>13</v>
      </c>
      <c r="T518" s="23">
        <f>IF($C518&gt;0,INDEX(Merge_1_2!$O$2:$O$611,$C518),INDEX(Dataset3_Raw!$O$2:$O$391,$E518))</f>
        <v>64</v>
      </c>
      <c r="U518" s="23">
        <f>IF($C518&gt;0,INDEX(Merge_1_2!$P$2:$P$611,$C518),INDEX(Dataset3_Raw!$P$2:$P$391,$E518))</f>
        <v>77</v>
      </c>
      <c r="V518" s="23" t="str">
        <f t="shared" si="49"/>
        <v>Weekend</v>
      </c>
      <c r="W518" s="23" t="str">
        <f>VLOOKUP($M518,Lookups!$A$5:$B$8,2,FALSE())</f>
        <v>Clear / Partly cloudy</v>
      </c>
      <c r="X518" s="23" t="str">
        <f>VLOOKUP($G518,Lookups!$D$5:$E$8,2,FALSE())</f>
        <v>Winter</v>
      </c>
      <c r="Y518" s="23" t="str">
        <f>VLOOKUP($L518,Lookups!$G$5:$H$11,2,FALSE())</f>
        <v>Sunday</v>
      </c>
      <c r="Z518" s="23" t="str">
        <f>IF($J518&lt;Lookups!$B$26,"Night",IF($J518&lt;Lookups!$B$27,"Morning",IF($J518&lt;Lookups!$B$28,"Afternoon","Evening")))</f>
        <v>Afternoon</v>
      </c>
      <c r="AA518" s="26">
        <f>ROUND($N518*(Lookups!$B$16-Lookups!$B$15)+Lookups!$B$15,1)</f>
        <v>-0.5</v>
      </c>
      <c r="AB518" s="26">
        <f>ROUND($P518*(Lookups!$B$18-Lookups!$B$17)+Lookups!$B$17,1)</f>
        <v>-7</v>
      </c>
      <c r="AC518" s="23">
        <f t="shared" si="50"/>
        <v>28</v>
      </c>
      <c r="AD518" s="23">
        <f>ROUND($R518*Lookups!$B$19,1)</f>
        <v>24</v>
      </c>
      <c r="AE518" s="27">
        <f t="shared" si="51"/>
        <v>0.83116883116883122</v>
      </c>
      <c r="AF518" s="23" t="str">
        <f>IF($U518&gt;=Lookups!$B$23,"High",IF($U518&gt;=Lookups!$B$22,"Medium","Low"))</f>
        <v>Medium</v>
      </c>
      <c r="AG518" s="23">
        <f>ROUND(IF($V518="Weekday",IF(INDEX(Hourly_Analysis!$D$5:$D$28,$J518+1)&gt;0,($U518-INDEX(Hourly_Analysis!$C$5:$C$28,$J518+1))/INDEX(Hourly_Analysis!$D$5:$D$28,$J518+1),0),IF(INDEX(Hourly_Analysis!$G$5:$G$28,$J518+1)&gt;0,($U518-INDEX(Hourly_Analysis!$F$5:$F$28,$J518+1))/INDEX(Hourly_Analysis!$G$5:$G$28,$J518+1),0)),2)</f>
        <v>-0.9</v>
      </c>
      <c r="AH518" s="23" t="str">
        <f>IF(ABS($AG518)&gt;Lookups!$B$20,IF($AG518&gt;0,"High anomaly","Low anomaly"),"")</f>
        <v/>
      </c>
      <c r="AI518" s="23" t="str">
        <f t="shared" si="52"/>
        <v>OK</v>
      </c>
      <c r="AJ518" s="23" t="str">
        <f t="shared" si="53"/>
        <v>No</v>
      </c>
    </row>
    <row r="519" spans="1:36" x14ac:dyDescent="0.35">
      <c r="A519" s="23">
        <v>518</v>
      </c>
      <c r="B519" s="23" t="str">
        <f t="shared" si="48"/>
        <v>Merge 1+2</v>
      </c>
      <c r="C519" s="23">
        <f>IFERROR(MATCH($A519,Merge_1_2!$A$2:$A$611,0),0)</f>
        <v>518</v>
      </c>
      <c r="D519" s="23">
        <f>IF($C519&gt;0,INDEX(Merge_1_2!$Q$2:$Q$611,$C519),0)</f>
        <v>518</v>
      </c>
      <c r="E519" s="23">
        <f>IFERROR(MATCH($A519,Dataset3_Raw!$A$2:$A$391,0),0)</f>
        <v>0</v>
      </c>
      <c r="F519" s="24">
        <f>IF($C519&gt;0,INDEX(Merge_1_2!$B$2:$B$611,$C519),DATE(VALUE(RIGHT(INDEX(Dataset3_Raw!$B$2:$B$391,$E519),4)),VALUE(MID(INDEX(Dataset3_Raw!$B$2:$B$391,$E519),4,2)),VALUE(LEFT(INDEX(Dataset3_Raw!$B$2:$B$391,$E519),2))))</f>
        <v>40566</v>
      </c>
      <c r="G519" s="23">
        <f>IF($C519&gt;0,INDEX(Merge_1_2!$C$2:$C$611,$C519),INDEX(Dataset3_Raw!$C$2:$C$391,$E519))</f>
        <v>1</v>
      </c>
      <c r="H519" s="23">
        <f>IF($C519&gt;0,INDEX(Merge_1_2!$D$2:$D$611,$C519),INDEX(Dataset3_Raw!$D$2:$D$391,$E519))</f>
        <v>0</v>
      </c>
      <c r="I519" s="23">
        <f>IF($C519&gt;0,INDEX(Merge_1_2!$E$2:$E$611,$C519),INDEX(Dataset3_Raw!$E$2:$E$391,$E519))</f>
        <v>1</v>
      </c>
      <c r="J519" s="23">
        <f>IF($C519&gt;0,INDEX(Merge_1_2!$F$2:$F$611,$C519),INDEX(Dataset3_Raw!$F$2:$F$391,$E519))</f>
        <v>16</v>
      </c>
      <c r="K519" s="23" t="b">
        <f>IF($C519&gt;0,INDEX(Merge_1_2!$G$2:$G$611,$C519),INDEX(Dataset3_Raw!$G$2:$G$391,$E519))</f>
        <v>0</v>
      </c>
      <c r="L519" s="23">
        <f>IF($C519&gt;0,INDEX(Merge_1_2!$H$2:$H$611,$C519),INDEX(Dataset3_Raw!$H$2:$H$391,$E519))</f>
        <v>0</v>
      </c>
      <c r="M519" s="23">
        <f>IF($C519&gt;0,INDEX(Merge_1_2!$I$2:$I$611,$C519),INDEX(Dataset3_Raw!$I$2:$I$391,$E519))</f>
        <v>1</v>
      </c>
      <c r="N519" s="25">
        <f>IF($C519&gt;0,INDEX(Merge_1_2!$J$2:$J$611,$C519),INDEX(Dataset3_Raw!$J$2:$J$391,$E519))</f>
        <v>0.16</v>
      </c>
      <c r="O519" s="25">
        <f>IF($C519&gt;0,IF(ISNUMBER(INDEX(Merge_1_2!$K$2:$K$611,$C519)),INDEX(Merge_1_2!$K$2:$K$611,$C519),""),INDEX(Dataset3_Raw!$K$2:$K$391,$E519))</f>
        <v>0.13639999999999999</v>
      </c>
      <c r="P519" s="25">
        <f>IF(ISNUMBER($O519),$O519,ROUND(Lookups!$B$25+Lookups!$B$24*$N519,4))</f>
        <v>0.13639999999999999</v>
      </c>
      <c r="Q519" s="25">
        <f>IF($C519&gt;0,INDEX(Merge_1_2!$L$2:$L$611,$C519),INDEX(Dataset3_Raw!$L$2:$L$391,$E519))</f>
        <v>0.26</v>
      </c>
      <c r="R519" s="25">
        <f>IF($C519&gt;0,INDEX(Merge_1_2!$M$2:$M$611,$C519),INDEX(Dataset3_Raw!$M$2:$M$391,$E519))</f>
        <v>0.32840000000000003</v>
      </c>
      <c r="S519" s="23">
        <f>IF($C519&gt;0,INDEX(Merge_1_2!$N$2:$N$611,$C519),INDEX(Dataset3_Raw!$N$2:$N$391,$E519))</f>
        <v>9</v>
      </c>
      <c r="T519" s="23">
        <f>IF($C519&gt;0,INDEX(Merge_1_2!$O$2:$O$611,$C519),INDEX(Dataset3_Raw!$O$2:$O$391,$E519))</f>
        <v>56</v>
      </c>
      <c r="U519" s="23">
        <f>IF($C519&gt;0,INDEX(Merge_1_2!$P$2:$P$611,$C519),INDEX(Dataset3_Raw!$P$2:$P$391,$E519))</f>
        <v>65</v>
      </c>
      <c r="V519" s="23" t="str">
        <f t="shared" si="49"/>
        <v>Weekend</v>
      </c>
      <c r="W519" s="23" t="str">
        <f>VLOOKUP($M519,Lookups!$A$5:$B$8,2,FALSE())</f>
        <v>Clear / Partly cloudy</v>
      </c>
      <c r="X519" s="23" t="str">
        <f>VLOOKUP($G519,Lookups!$D$5:$E$8,2,FALSE())</f>
        <v>Winter</v>
      </c>
      <c r="Y519" s="23" t="str">
        <f>VLOOKUP($L519,Lookups!$G$5:$H$11,2,FALSE())</f>
        <v>Sunday</v>
      </c>
      <c r="Z519" s="23" t="str">
        <f>IF($J519&lt;Lookups!$B$26,"Night",IF($J519&lt;Lookups!$B$27,"Morning",IF($J519&lt;Lookups!$B$28,"Afternoon","Evening")))</f>
        <v>Afternoon</v>
      </c>
      <c r="AA519" s="26">
        <f>ROUND($N519*(Lookups!$B$16-Lookups!$B$15)+Lookups!$B$15,1)</f>
        <v>-0.5</v>
      </c>
      <c r="AB519" s="26">
        <f>ROUND($P519*(Lookups!$B$18-Lookups!$B$17)+Lookups!$B$17,1)</f>
        <v>-7</v>
      </c>
      <c r="AC519" s="23">
        <f t="shared" si="50"/>
        <v>26</v>
      </c>
      <c r="AD519" s="23">
        <f>ROUND($R519*Lookups!$B$19,1)</f>
        <v>22</v>
      </c>
      <c r="AE519" s="27">
        <f t="shared" si="51"/>
        <v>0.86153846153846159</v>
      </c>
      <c r="AF519" s="23" t="str">
        <f>IF($U519&gt;=Lookups!$B$23,"High",IF($U519&gt;=Lookups!$B$22,"Medium","Low"))</f>
        <v>Medium</v>
      </c>
      <c r="AG519" s="23">
        <f>ROUND(IF($V519="Weekday",IF(INDEX(Hourly_Analysis!$D$5:$D$28,$J519+1)&gt;0,($U519-INDEX(Hourly_Analysis!$C$5:$C$28,$J519+1))/INDEX(Hourly_Analysis!$D$5:$D$28,$J519+1),0),IF(INDEX(Hourly_Analysis!$G$5:$G$28,$J519+1)&gt;0,($U519-INDEX(Hourly_Analysis!$F$5:$F$28,$J519+1))/INDEX(Hourly_Analysis!$G$5:$G$28,$J519+1),0)),2)</f>
        <v>-1.28</v>
      </c>
      <c r="AH519" s="23" t="str">
        <f>IF(ABS($AG519)&gt;Lookups!$B$20,IF($AG519&gt;0,"High anomaly","Low anomaly"),"")</f>
        <v/>
      </c>
      <c r="AI519" s="23" t="str">
        <f t="shared" si="52"/>
        <v>OK</v>
      </c>
      <c r="AJ519" s="23" t="str">
        <f t="shared" si="53"/>
        <v>No</v>
      </c>
    </row>
    <row r="520" spans="1:36" x14ac:dyDescent="0.35">
      <c r="A520" s="23">
        <v>519</v>
      </c>
      <c r="B520" s="23" t="str">
        <f t="shared" si="48"/>
        <v>Merge 1+2</v>
      </c>
      <c r="C520" s="23">
        <f>IFERROR(MATCH($A520,Merge_1_2!$A$2:$A$611,0),0)</f>
        <v>519</v>
      </c>
      <c r="D520" s="23">
        <f>IF($C520&gt;0,INDEX(Merge_1_2!$Q$2:$Q$611,$C520),0)</f>
        <v>519</v>
      </c>
      <c r="E520" s="23">
        <f>IFERROR(MATCH($A520,Dataset3_Raw!$A$2:$A$391,0),0)</f>
        <v>0</v>
      </c>
      <c r="F520" s="24">
        <f>IF($C520&gt;0,INDEX(Merge_1_2!$B$2:$B$611,$C520),DATE(VALUE(RIGHT(INDEX(Dataset3_Raw!$B$2:$B$391,$E520),4)),VALUE(MID(INDEX(Dataset3_Raw!$B$2:$B$391,$E520),4,2)),VALUE(LEFT(INDEX(Dataset3_Raw!$B$2:$B$391,$E520),2))))</f>
        <v>40566</v>
      </c>
      <c r="G520" s="23">
        <f>IF($C520&gt;0,INDEX(Merge_1_2!$C$2:$C$611,$C520),INDEX(Dataset3_Raw!$C$2:$C$391,$E520))</f>
        <v>1</v>
      </c>
      <c r="H520" s="23">
        <f>IF($C520&gt;0,INDEX(Merge_1_2!$D$2:$D$611,$C520),INDEX(Dataset3_Raw!$D$2:$D$391,$E520))</f>
        <v>0</v>
      </c>
      <c r="I520" s="23">
        <f>IF($C520&gt;0,INDEX(Merge_1_2!$E$2:$E$611,$C520),INDEX(Dataset3_Raw!$E$2:$E$391,$E520))</f>
        <v>1</v>
      </c>
      <c r="J520" s="23">
        <f>IF($C520&gt;0,INDEX(Merge_1_2!$F$2:$F$611,$C520),INDEX(Dataset3_Raw!$F$2:$F$391,$E520))</f>
        <v>17</v>
      </c>
      <c r="K520" s="23" t="b">
        <f>IF($C520&gt;0,INDEX(Merge_1_2!$G$2:$G$611,$C520),INDEX(Dataset3_Raw!$G$2:$G$391,$E520))</f>
        <v>0</v>
      </c>
      <c r="L520" s="23">
        <f>IF($C520&gt;0,INDEX(Merge_1_2!$H$2:$H$611,$C520),INDEX(Dataset3_Raw!$H$2:$H$391,$E520))</f>
        <v>0</v>
      </c>
      <c r="M520" s="23">
        <f>IF($C520&gt;0,INDEX(Merge_1_2!$I$2:$I$611,$C520),INDEX(Dataset3_Raw!$I$2:$I$391,$E520))</f>
        <v>1</v>
      </c>
      <c r="N520" s="25">
        <f>IF($C520&gt;0,INDEX(Merge_1_2!$J$2:$J$611,$C520),INDEX(Dataset3_Raw!$J$2:$J$391,$E520))</f>
        <v>0.14000000000000001</v>
      </c>
      <c r="O520" s="25">
        <f>IF($C520&gt;0,IF(ISNUMBER(INDEX(Merge_1_2!$K$2:$K$611,$C520)),INDEX(Merge_1_2!$K$2:$K$611,$C520),""),INDEX(Dataset3_Raw!$K$2:$K$391,$E520))</f>
        <v>0.1061</v>
      </c>
      <c r="P520" s="25">
        <f>IF(ISNUMBER($O520),$O520,ROUND(Lookups!$B$25+Lookups!$B$24*$N520,4))</f>
        <v>0.1061</v>
      </c>
      <c r="Q520" s="25">
        <f>IF($C520&gt;0,INDEX(Merge_1_2!$L$2:$L$611,$C520),INDEX(Dataset3_Raw!$L$2:$L$391,$E520))</f>
        <v>0.26</v>
      </c>
      <c r="R520" s="25">
        <f>IF($C520&gt;0,INDEX(Merge_1_2!$M$2:$M$611,$C520),INDEX(Dataset3_Raw!$M$2:$M$391,$E520))</f>
        <v>0.3881</v>
      </c>
      <c r="S520" s="23">
        <f>IF($C520&gt;0,INDEX(Merge_1_2!$N$2:$N$611,$C520),INDEX(Dataset3_Raw!$N$2:$N$391,$E520))</f>
        <v>5</v>
      </c>
      <c r="T520" s="23">
        <f>IF($C520&gt;0,INDEX(Merge_1_2!$O$2:$O$611,$C520),INDEX(Dataset3_Raw!$O$2:$O$391,$E520))</f>
        <v>50</v>
      </c>
      <c r="U520" s="23">
        <f>IF($C520&gt;0,INDEX(Merge_1_2!$P$2:$P$611,$C520),INDEX(Dataset3_Raw!$P$2:$P$391,$E520))</f>
        <v>55</v>
      </c>
      <c r="V520" s="23" t="str">
        <f t="shared" si="49"/>
        <v>Weekend</v>
      </c>
      <c r="W520" s="23" t="str">
        <f>VLOOKUP($M520,Lookups!$A$5:$B$8,2,FALSE())</f>
        <v>Clear / Partly cloudy</v>
      </c>
      <c r="X520" s="23" t="str">
        <f>VLOOKUP($G520,Lookups!$D$5:$E$8,2,FALSE())</f>
        <v>Winter</v>
      </c>
      <c r="Y520" s="23" t="str">
        <f>VLOOKUP($L520,Lookups!$G$5:$H$11,2,FALSE())</f>
        <v>Sunday</v>
      </c>
      <c r="Z520" s="23" t="str">
        <f>IF($J520&lt;Lookups!$B$26,"Night",IF($J520&lt;Lookups!$B$27,"Morning",IF($J520&lt;Lookups!$B$28,"Afternoon","Evening")))</f>
        <v>Afternoon</v>
      </c>
      <c r="AA520" s="26">
        <f>ROUND($N520*(Lookups!$B$16-Lookups!$B$15)+Lookups!$B$15,1)</f>
        <v>-1.4</v>
      </c>
      <c r="AB520" s="26">
        <f>ROUND($P520*(Lookups!$B$18-Lookups!$B$17)+Lookups!$B$17,1)</f>
        <v>-9</v>
      </c>
      <c r="AC520" s="23">
        <f t="shared" si="50"/>
        <v>26</v>
      </c>
      <c r="AD520" s="23">
        <f>ROUND($R520*Lookups!$B$19,1)</f>
        <v>26</v>
      </c>
      <c r="AE520" s="27">
        <f t="shared" si="51"/>
        <v>0.90909090909090906</v>
      </c>
      <c r="AF520" s="23" t="str">
        <f>IF($U520&gt;=Lookups!$B$23,"High",IF($U520&gt;=Lookups!$B$22,"Medium","Low"))</f>
        <v>Medium</v>
      </c>
      <c r="AG520" s="23">
        <f>ROUND(IF($V520="Weekday",IF(INDEX(Hourly_Analysis!$D$5:$D$28,$J520+1)&gt;0,($U520-INDEX(Hourly_Analysis!$C$5:$C$28,$J520+1))/INDEX(Hourly_Analysis!$D$5:$D$28,$J520+1),0),IF(INDEX(Hourly_Analysis!$G$5:$G$28,$J520+1)&gt;0,($U520-INDEX(Hourly_Analysis!$F$5:$F$28,$J520+1))/INDEX(Hourly_Analysis!$G$5:$G$28,$J520+1),0)),2)</f>
        <v>-1.17</v>
      </c>
      <c r="AH520" s="23" t="str">
        <f>IF(ABS($AG520)&gt;Lookups!$B$20,IF($AG520&gt;0,"High anomaly","Low anomaly"),"")</f>
        <v/>
      </c>
      <c r="AI520" s="23" t="str">
        <f t="shared" si="52"/>
        <v>OK</v>
      </c>
      <c r="AJ520" s="23" t="str">
        <f t="shared" si="53"/>
        <v>No</v>
      </c>
    </row>
    <row r="521" spans="1:36" x14ac:dyDescent="0.35">
      <c r="A521" s="23">
        <v>520</v>
      </c>
      <c r="B521" s="23" t="str">
        <f t="shared" si="48"/>
        <v>Merge 1+2</v>
      </c>
      <c r="C521" s="23">
        <f>IFERROR(MATCH($A521,Merge_1_2!$A$2:$A$611,0),0)</f>
        <v>520</v>
      </c>
      <c r="D521" s="23">
        <f>IF($C521&gt;0,INDEX(Merge_1_2!$Q$2:$Q$611,$C521),0)</f>
        <v>520</v>
      </c>
      <c r="E521" s="23">
        <f>IFERROR(MATCH($A521,Dataset3_Raw!$A$2:$A$391,0),0)</f>
        <v>0</v>
      </c>
      <c r="F521" s="24">
        <f>IF($C521&gt;0,INDEX(Merge_1_2!$B$2:$B$611,$C521),DATE(VALUE(RIGHT(INDEX(Dataset3_Raw!$B$2:$B$391,$E521),4)),VALUE(MID(INDEX(Dataset3_Raw!$B$2:$B$391,$E521),4,2)),VALUE(LEFT(INDEX(Dataset3_Raw!$B$2:$B$391,$E521),2))))</f>
        <v>40566</v>
      </c>
      <c r="G521" s="23">
        <f>IF($C521&gt;0,INDEX(Merge_1_2!$C$2:$C$611,$C521),INDEX(Dataset3_Raw!$C$2:$C$391,$E521))</f>
        <v>1</v>
      </c>
      <c r="H521" s="23">
        <f>IF($C521&gt;0,INDEX(Merge_1_2!$D$2:$D$611,$C521),INDEX(Dataset3_Raw!$D$2:$D$391,$E521))</f>
        <v>0</v>
      </c>
      <c r="I521" s="23">
        <f>IF($C521&gt;0,INDEX(Merge_1_2!$E$2:$E$611,$C521),INDEX(Dataset3_Raw!$E$2:$E$391,$E521))</f>
        <v>1</v>
      </c>
      <c r="J521" s="23">
        <f>IF($C521&gt;0,INDEX(Merge_1_2!$F$2:$F$611,$C521),INDEX(Dataset3_Raw!$F$2:$F$391,$E521))</f>
        <v>18</v>
      </c>
      <c r="K521" s="23" t="b">
        <f>IF($C521&gt;0,INDEX(Merge_1_2!$G$2:$G$611,$C521),INDEX(Dataset3_Raw!$G$2:$G$391,$E521))</f>
        <v>0</v>
      </c>
      <c r="L521" s="23">
        <f>IF($C521&gt;0,INDEX(Merge_1_2!$H$2:$H$611,$C521),INDEX(Dataset3_Raw!$H$2:$H$391,$E521))</f>
        <v>0</v>
      </c>
      <c r="M521" s="23">
        <f>IF($C521&gt;0,INDEX(Merge_1_2!$I$2:$I$611,$C521),INDEX(Dataset3_Raw!$I$2:$I$391,$E521))</f>
        <v>1</v>
      </c>
      <c r="N521" s="25">
        <f>IF($C521&gt;0,INDEX(Merge_1_2!$J$2:$J$611,$C521),INDEX(Dataset3_Raw!$J$2:$J$391,$E521))</f>
        <v>0.12</v>
      </c>
      <c r="O521" s="25">
        <f>IF($C521&gt;0,IF(ISNUMBER(INDEX(Merge_1_2!$K$2:$K$611,$C521)),INDEX(Merge_1_2!$K$2:$K$611,$C521),""),INDEX(Dataset3_Raw!$K$2:$K$391,$E521))</f>
        <v>0.1212</v>
      </c>
      <c r="P521" s="25">
        <f>IF(ISNUMBER($O521),$O521,ROUND(Lookups!$B$25+Lookups!$B$24*$N521,4))</f>
        <v>0.1212</v>
      </c>
      <c r="Q521" s="25">
        <f>IF($C521&gt;0,INDEX(Merge_1_2!$L$2:$L$611,$C521),INDEX(Dataset3_Raw!$L$2:$L$391,$E521))</f>
        <v>0.3</v>
      </c>
      <c r="R521" s="25">
        <f>IF($C521&gt;0,INDEX(Merge_1_2!$M$2:$M$611,$C521),INDEX(Dataset3_Raw!$M$2:$M$391,$E521))</f>
        <v>0.25369999999999998</v>
      </c>
      <c r="S521" s="23">
        <f>IF($C521&gt;0,INDEX(Merge_1_2!$N$2:$N$611,$C521),INDEX(Dataset3_Raw!$N$2:$N$391,$E521))</f>
        <v>5</v>
      </c>
      <c r="T521" s="23">
        <f>IF($C521&gt;0,INDEX(Merge_1_2!$O$2:$O$611,$C521),INDEX(Dataset3_Raw!$O$2:$O$391,$E521))</f>
        <v>44</v>
      </c>
      <c r="U521" s="23">
        <f>IF($C521&gt;0,INDEX(Merge_1_2!$P$2:$P$611,$C521),INDEX(Dataset3_Raw!$P$2:$P$391,$E521))</f>
        <v>49</v>
      </c>
      <c r="V521" s="23" t="str">
        <f t="shared" si="49"/>
        <v>Weekend</v>
      </c>
      <c r="W521" s="23" t="str">
        <f>VLOOKUP($M521,Lookups!$A$5:$B$8,2,FALSE())</f>
        <v>Clear / Partly cloudy</v>
      </c>
      <c r="X521" s="23" t="str">
        <f>VLOOKUP($G521,Lookups!$D$5:$E$8,2,FALSE())</f>
        <v>Winter</v>
      </c>
      <c r="Y521" s="23" t="str">
        <f>VLOOKUP($L521,Lookups!$G$5:$H$11,2,FALSE())</f>
        <v>Sunday</v>
      </c>
      <c r="Z521" s="23" t="str">
        <f>IF($J521&lt;Lookups!$B$26,"Night",IF($J521&lt;Lookups!$B$27,"Morning",IF($J521&lt;Lookups!$B$28,"Afternoon","Evening")))</f>
        <v>Evening</v>
      </c>
      <c r="AA521" s="26">
        <f>ROUND($N521*(Lookups!$B$16-Lookups!$B$15)+Lookups!$B$15,1)</f>
        <v>-2.4</v>
      </c>
      <c r="AB521" s="26">
        <f>ROUND($P521*(Lookups!$B$18-Lookups!$B$17)+Lookups!$B$17,1)</f>
        <v>-8</v>
      </c>
      <c r="AC521" s="23">
        <f t="shared" si="50"/>
        <v>30</v>
      </c>
      <c r="AD521" s="23">
        <f>ROUND($R521*Lookups!$B$19,1)</f>
        <v>17</v>
      </c>
      <c r="AE521" s="27">
        <f t="shared" si="51"/>
        <v>0.89795918367346939</v>
      </c>
      <c r="AF521" s="23" t="str">
        <f>IF($U521&gt;=Lookups!$B$23,"High",IF($U521&gt;=Lookups!$B$22,"Medium","Low"))</f>
        <v>Medium</v>
      </c>
      <c r="AG521" s="23">
        <f>ROUND(IF($V521="Weekday",IF(INDEX(Hourly_Analysis!$D$5:$D$28,$J521+1)&gt;0,($U521-INDEX(Hourly_Analysis!$C$5:$C$28,$J521+1))/INDEX(Hourly_Analysis!$D$5:$D$28,$J521+1),0),IF(INDEX(Hourly_Analysis!$G$5:$G$28,$J521+1)&gt;0,($U521-INDEX(Hourly_Analysis!$F$5:$F$28,$J521+1))/INDEX(Hourly_Analysis!$G$5:$G$28,$J521+1),0)),2)</f>
        <v>-0.97</v>
      </c>
      <c r="AH521" s="23" t="str">
        <f>IF(ABS($AG521)&gt;Lookups!$B$20,IF($AG521&gt;0,"High anomaly","Low anomaly"),"")</f>
        <v/>
      </c>
      <c r="AI521" s="23" t="str">
        <f t="shared" si="52"/>
        <v>OK</v>
      </c>
      <c r="AJ521" s="23" t="str">
        <f t="shared" si="53"/>
        <v>No</v>
      </c>
    </row>
    <row r="522" spans="1:36" x14ac:dyDescent="0.35">
      <c r="A522" s="23">
        <v>521</v>
      </c>
      <c r="B522" s="23" t="str">
        <f t="shared" si="48"/>
        <v>Merge 1+2</v>
      </c>
      <c r="C522" s="23">
        <f>IFERROR(MATCH($A522,Merge_1_2!$A$2:$A$611,0),0)</f>
        <v>521</v>
      </c>
      <c r="D522" s="23">
        <f>IF($C522&gt;0,INDEX(Merge_1_2!$Q$2:$Q$611,$C522),0)</f>
        <v>521</v>
      </c>
      <c r="E522" s="23">
        <f>IFERROR(MATCH($A522,Dataset3_Raw!$A$2:$A$391,0),0)</f>
        <v>0</v>
      </c>
      <c r="F522" s="24">
        <f>IF($C522&gt;0,INDEX(Merge_1_2!$B$2:$B$611,$C522),DATE(VALUE(RIGHT(INDEX(Dataset3_Raw!$B$2:$B$391,$E522),4)),VALUE(MID(INDEX(Dataset3_Raw!$B$2:$B$391,$E522),4,2)),VALUE(LEFT(INDEX(Dataset3_Raw!$B$2:$B$391,$E522),2))))</f>
        <v>40566</v>
      </c>
      <c r="G522" s="23">
        <f>IF($C522&gt;0,INDEX(Merge_1_2!$C$2:$C$611,$C522),INDEX(Dataset3_Raw!$C$2:$C$391,$E522))</f>
        <v>1</v>
      </c>
      <c r="H522" s="23">
        <f>IF($C522&gt;0,INDEX(Merge_1_2!$D$2:$D$611,$C522),INDEX(Dataset3_Raw!$D$2:$D$391,$E522))</f>
        <v>0</v>
      </c>
      <c r="I522" s="23">
        <f>IF($C522&gt;0,INDEX(Merge_1_2!$E$2:$E$611,$C522),INDEX(Dataset3_Raw!$E$2:$E$391,$E522))</f>
        <v>1</v>
      </c>
      <c r="J522" s="23">
        <f>IF($C522&gt;0,INDEX(Merge_1_2!$F$2:$F$611,$C522),INDEX(Dataset3_Raw!$F$2:$F$391,$E522))</f>
        <v>19</v>
      </c>
      <c r="K522" s="23" t="b">
        <f>IF($C522&gt;0,INDEX(Merge_1_2!$G$2:$G$611,$C522),INDEX(Dataset3_Raw!$G$2:$G$391,$E522))</f>
        <v>0</v>
      </c>
      <c r="L522" s="23">
        <f>IF($C522&gt;0,INDEX(Merge_1_2!$H$2:$H$611,$C522),INDEX(Dataset3_Raw!$H$2:$H$391,$E522))</f>
        <v>0</v>
      </c>
      <c r="M522" s="23">
        <f>IF($C522&gt;0,INDEX(Merge_1_2!$I$2:$I$611,$C522),INDEX(Dataset3_Raw!$I$2:$I$391,$E522))</f>
        <v>1</v>
      </c>
      <c r="N522" s="25">
        <f>IF($C522&gt;0,INDEX(Merge_1_2!$J$2:$J$611,$C522),INDEX(Dataset3_Raw!$J$2:$J$391,$E522))</f>
        <v>0.12</v>
      </c>
      <c r="O522" s="25">
        <f>IF($C522&gt;0,IF(ISNUMBER(INDEX(Merge_1_2!$K$2:$K$611,$C522)),INDEX(Merge_1_2!$K$2:$K$611,$C522),""),INDEX(Dataset3_Raw!$K$2:$K$391,$E522))</f>
        <v>0.1212</v>
      </c>
      <c r="P522" s="25">
        <f>IF(ISNUMBER($O522),$O522,ROUND(Lookups!$B$25+Lookups!$B$24*$N522,4))</f>
        <v>0.1212</v>
      </c>
      <c r="Q522" s="25">
        <f>IF($C522&gt;0,INDEX(Merge_1_2!$L$2:$L$611,$C522),INDEX(Dataset3_Raw!$L$2:$L$391,$E522))</f>
        <v>0.3</v>
      </c>
      <c r="R522" s="25">
        <f>IF($C522&gt;0,INDEX(Merge_1_2!$M$2:$M$611,$C522),INDEX(Dataset3_Raw!$M$2:$M$391,$E522))</f>
        <v>0.28360000000000002</v>
      </c>
      <c r="S522" s="23">
        <f>IF($C522&gt;0,INDEX(Merge_1_2!$N$2:$N$611,$C522),INDEX(Dataset3_Raw!$N$2:$N$391,$E522))</f>
        <v>5</v>
      </c>
      <c r="T522" s="23">
        <f>IF($C522&gt;0,INDEX(Merge_1_2!$O$2:$O$611,$C522),INDEX(Dataset3_Raw!$O$2:$O$391,$E522))</f>
        <v>45</v>
      </c>
      <c r="U522" s="23">
        <f>IF($C522&gt;0,INDEX(Merge_1_2!$P$2:$P$611,$C522),INDEX(Dataset3_Raw!$P$2:$P$391,$E522))</f>
        <v>50</v>
      </c>
      <c r="V522" s="23" t="str">
        <f t="shared" si="49"/>
        <v>Weekend</v>
      </c>
      <c r="W522" s="23" t="str">
        <f>VLOOKUP($M522,Lookups!$A$5:$B$8,2,FALSE())</f>
        <v>Clear / Partly cloudy</v>
      </c>
      <c r="X522" s="23" t="str">
        <f>VLOOKUP($G522,Lookups!$D$5:$E$8,2,FALSE())</f>
        <v>Winter</v>
      </c>
      <c r="Y522" s="23" t="str">
        <f>VLOOKUP($L522,Lookups!$G$5:$H$11,2,FALSE())</f>
        <v>Sunday</v>
      </c>
      <c r="Z522" s="23" t="str">
        <f>IF($J522&lt;Lookups!$B$26,"Night",IF($J522&lt;Lookups!$B$27,"Morning",IF($J522&lt;Lookups!$B$28,"Afternoon","Evening")))</f>
        <v>Evening</v>
      </c>
      <c r="AA522" s="26">
        <f>ROUND($N522*(Lookups!$B$16-Lookups!$B$15)+Lookups!$B$15,1)</f>
        <v>-2.4</v>
      </c>
      <c r="AB522" s="26">
        <f>ROUND($P522*(Lookups!$B$18-Lookups!$B$17)+Lookups!$B$17,1)</f>
        <v>-8</v>
      </c>
      <c r="AC522" s="23">
        <f t="shared" si="50"/>
        <v>30</v>
      </c>
      <c r="AD522" s="23">
        <f>ROUND($R522*Lookups!$B$19,1)</f>
        <v>19</v>
      </c>
      <c r="AE522" s="27">
        <f t="shared" si="51"/>
        <v>0.9</v>
      </c>
      <c r="AF522" s="23" t="str">
        <f>IF($U522&gt;=Lookups!$B$23,"High",IF($U522&gt;=Lookups!$B$22,"Medium","Low"))</f>
        <v>Medium</v>
      </c>
      <c r="AG522" s="23">
        <f>ROUND(IF($V522="Weekday",IF(INDEX(Hourly_Analysis!$D$5:$D$28,$J522+1)&gt;0,($U522-INDEX(Hourly_Analysis!$C$5:$C$28,$J522+1))/INDEX(Hourly_Analysis!$D$5:$D$28,$J522+1),0),IF(INDEX(Hourly_Analysis!$G$5:$G$28,$J522+1)&gt;0,($U522-INDEX(Hourly_Analysis!$F$5:$F$28,$J522+1))/INDEX(Hourly_Analysis!$G$5:$G$28,$J522+1),0)),2)</f>
        <v>-0.05</v>
      </c>
      <c r="AH522" s="23" t="str">
        <f>IF(ABS($AG522)&gt;Lookups!$B$20,IF($AG522&gt;0,"High anomaly","Low anomaly"),"")</f>
        <v/>
      </c>
      <c r="AI522" s="23" t="str">
        <f t="shared" si="52"/>
        <v>OK</v>
      </c>
      <c r="AJ522" s="23" t="str">
        <f t="shared" si="53"/>
        <v>No</v>
      </c>
    </row>
    <row r="523" spans="1:36" x14ac:dyDescent="0.35">
      <c r="A523" s="23">
        <v>522</v>
      </c>
      <c r="B523" s="23" t="str">
        <f t="shared" si="48"/>
        <v>Merge 1+2</v>
      </c>
      <c r="C523" s="23">
        <f>IFERROR(MATCH($A523,Merge_1_2!$A$2:$A$611,0),0)</f>
        <v>522</v>
      </c>
      <c r="D523" s="23">
        <f>IF($C523&gt;0,INDEX(Merge_1_2!$Q$2:$Q$611,$C523),0)</f>
        <v>522</v>
      </c>
      <c r="E523" s="23">
        <f>IFERROR(MATCH($A523,Dataset3_Raw!$A$2:$A$391,0),0)</f>
        <v>0</v>
      </c>
      <c r="F523" s="24">
        <f>IF($C523&gt;0,INDEX(Merge_1_2!$B$2:$B$611,$C523),DATE(VALUE(RIGHT(INDEX(Dataset3_Raw!$B$2:$B$391,$E523),4)),VALUE(MID(INDEX(Dataset3_Raw!$B$2:$B$391,$E523),4,2)),VALUE(LEFT(INDEX(Dataset3_Raw!$B$2:$B$391,$E523),2))))</f>
        <v>40566</v>
      </c>
      <c r="G523" s="23">
        <f>IF($C523&gt;0,INDEX(Merge_1_2!$C$2:$C$611,$C523),INDEX(Dataset3_Raw!$C$2:$C$391,$E523))</f>
        <v>1</v>
      </c>
      <c r="H523" s="23">
        <f>IF($C523&gt;0,INDEX(Merge_1_2!$D$2:$D$611,$C523),INDEX(Dataset3_Raw!$D$2:$D$391,$E523))</f>
        <v>0</v>
      </c>
      <c r="I523" s="23">
        <f>IF($C523&gt;0,INDEX(Merge_1_2!$E$2:$E$611,$C523),INDEX(Dataset3_Raw!$E$2:$E$391,$E523))</f>
        <v>1</v>
      </c>
      <c r="J523" s="23">
        <f>IF($C523&gt;0,INDEX(Merge_1_2!$F$2:$F$611,$C523),INDEX(Dataset3_Raw!$F$2:$F$391,$E523))</f>
        <v>20</v>
      </c>
      <c r="K523" s="23" t="b">
        <f>IF($C523&gt;0,INDEX(Merge_1_2!$G$2:$G$611,$C523),INDEX(Dataset3_Raw!$G$2:$G$391,$E523))</f>
        <v>0</v>
      </c>
      <c r="L523" s="23">
        <f>IF($C523&gt;0,INDEX(Merge_1_2!$H$2:$H$611,$C523),INDEX(Dataset3_Raw!$H$2:$H$391,$E523))</f>
        <v>0</v>
      </c>
      <c r="M523" s="23">
        <f>IF($C523&gt;0,INDEX(Merge_1_2!$I$2:$I$611,$C523),INDEX(Dataset3_Raw!$I$2:$I$391,$E523))</f>
        <v>1</v>
      </c>
      <c r="N523" s="25">
        <f>IF($C523&gt;0,INDEX(Merge_1_2!$J$2:$J$611,$C523),INDEX(Dataset3_Raw!$J$2:$J$391,$E523))</f>
        <v>0.1</v>
      </c>
      <c r="O523" s="25">
        <f>IF($C523&gt;0,IF(ISNUMBER(INDEX(Merge_1_2!$K$2:$K$611,$C523)),INDEX(Merge_1_2!$K$2:$K$611,$C523),""),INDEX(Dataset3_Raw!$K$2:$K$391,$E523))</f>
        <v>0.1061</v>
      </c>
      <c r="P523" s="25">
        <f>IF(ISNUMBER($O523),$O523,ROUND(Lookups!$B$25+Lookups!$B$24*$N523,4))</f>
        <v>0.1061</v>
      </c>
      <c r="Q523" s="25">
        <f>IF($C523&gt;0,INDEX(Merge_1_2!$L$2:$L$611,$C523),INDEX(Dataset3_Raw!$L$2:$L$391,$E523))</f>
        <v>0.36</v>
      </c>
      <c r="R523" s="25">
        <f>IF($C523&gt;0,INDEX(Merge_1_2!$M$2:$M$611,$C523),INDEX(Dataset3_Raw!$M$2:$M$391,$E523))</f>
        <v>0.25369999999999998</v>
      </c>
      <c r="S523" s="23">
        <f>IF($C523&gt;0,INDEX(Merge_1_2!$N$2:$N$611,$C523),INDEX(Dataset3_Raw!$N$2:$N$391,$E523))</f>
        <v>4</v>
      </c>
      <c r="T523" s="23">
        <f>IF($C523&gt;0,INDEX(Merge_1_2!$O$2:$O$611,$C523),INDEX(Dataset3_Raw!$O$2:$O$391,$E523))</f>
        <v>31</v>
      </c>
      <c r="U523" s="23">
        <f>IF($C523&gt;0,INDEX(Merge_1_2!$P$2:$P$611,$C523),INDEX(Dataset3_Raw!$P$2:$P$391,$E523))</f>
        <v>35</v>
      </c>
      <c r="V523" s="23" t="str">
        <f t="shared" si="49"/>
        <v>Weekend</v>
      </c>
      <c r="W523" s="23" t="str">
        <f>VLOOKUP($M523,Lookups!$A$5:$B$8,2,FALSE())</f>
        <v>Clear / Partly cloudy</v>
      </c>
      <c r="X523" s="23" t="str">
        <f>VLOOKUP($G523,Lookups!$D$5:$E$8,2,FALSE())</f>
        <v>Winter</v>
      </c>
      <c r="Y523" s="23" t="str">
        <f>VLOOKUP($L523,Lookups!$G$5:$H$11,2,FALSE())</f>
        <v>Sunday</v>
      </c>
      <c r="Z523" s="23" t="str">
        <f>IF($J523&lt;Lookups!$B$26,"Night",IF($J523&lt;Lookups!$B$27,"Morning",IF($J523&lt;Lookups!$B$28,"Afternoon","Evening")))</f>
        <v>Evening</v>
      </c>
      <c r="AA523" s="26">
        <f>ROUND($N523*(Lookups!$B$16-Lookups!$B$15)+Lookups!$B$15,1)</f>
        <v>-3.3</v>
      </c>
      <c r="AB523" s="26">
        <f>ROUND($P523*(Lookups!$B$18-Lookups!$B$17)+Lookups!$B$17,1)</f>
        <v>-9</v>
      </c>
      <c r="AC523" s="23">
        <f t="shared" si="50"/>
        <v>36</v>
      </c>
      <c r="AD523" s="23">
        <f>ROUND($R523*Lookups!$B$19,1)</f>
        <v>17</v>
      </c>
      <c r="AE523" s="27">
        <f t="shared" si="51"/>
        <v>0.88571428571428568</v>
      </c>
      <c r="AF523" s="23" t="str">
        <f>IF($U523&gt;=Lookups!$B$23,"High",IF($U523&gt;=Lookups!$B$22,"Medium","Low"))</f>
        <v>Medium</v>
      </c>
      <c r="AG523" s="23">
        <f>ROUND(IF($V523="Weekday",IF(INDEX(Hourly_Analysis!$D$5:$D$28,$J523+1)&gt;0,($U523-INDEX(Hourly_Analysis!$C$5:$C$28,$J523+1))/INDEX(Hourly_Analysis!$D$5:$D$28,$J523+1),0),IF(INDEX(Hourly_Analysis!$G$5:$G$28,$J523+1)&gt;0,($U523-INDEX(Hourly_Analysis!$F$5:$F$28,$J523+1))/INDEX(Hourly_Analysis!$G$5:$G$28,$J523+1),0)),2)</f>
        <v>-0.38</v>
      </c>
      <c r="AH523" s="23" t="str">
        <f>IF(ABS($AG523)&gt;Lookups!$B$20,IF($AG523&gt;0,"High anomaly","Low anomaly"),"")</f>
        <v/>
      </c>
      <c r="AI523" s="23" t="str">
        <f t="shared" si="52"/>
        <v>OK</v>
      </c>
      <c r="AJ523" s="23" t="str">
        <f t="shared" si="53"/>
        <v>No</v>
      </c>
    </row>
    <row r="524" spans="1:36" x14ac:dyDescent="0.35">
      <c r="A524" s="23">
        <v>523</v>
      </c>
      <c r="B524" s="23" t="str">
        <f t="shared" si="48"/>
        <v>Merge 1+2</v>
      </c>
      <c r="C524" s="23">
        <f>IFERROR(MATCH($A524,Merge_1_2!$A$2:$A$611,0),0)</f>
        <v>523</v>
      </c>
      <c r="D524" s="23">
        <f>IF($C524&gt;0,INDEX(Merge_1_2!$Q$2:$Q$611,$C524),0)</f>
        <v>523</v>
      </c>
      <c r="E524" s="23">
        <f>IFERROR(MATCH($A524,Dataset3_Raw!$A$2:$A$391,0),0)</f>
        <v>0</v>
      </c>
      <c r="F524" s="24">
        <f>IF($C524&gt;0,INDEX(Merge_1_2!$B$2:$B$611,$C524),DATE(VALUE(RIGHT(INDEX(Dataset3_Raw!$B$2:$B$391,$E524),4)),VALUE(MID(INDEX(Dataset3_Raw!$B$2:$B$391,$E524),4,2)),VALUE(LEFT(INDEX(Dataset3_Raw!$B$2:$B$391,$E524),2))))</f>
        <v>40566</v>
      </c>
      <c r="G524" s="23">
        <f>IF($C524&gt;0,INDEX(Merge_1_2!$C$2:$C$611,$C524),INDEX(Dataset3_Raw!$C$2:$C$391,$E524))</f>
        <v>1</v>
      </c>
      <c r="H524" s="23">
        <f>IF($C524&gt;0,INDEX(Merge_1_2!$D$2:$D$611,$C524),INDEX(Dataset3_Raw!$D$2:$D$391,$E524))</f>
        <v>0</v>
      </c>
      <c r="I524" s="23">
        <f>IF($C524&gt;0,INDEX(Merge_1_2!$E$2:$E$611,$C524),INDEX(Dataset3_Raw!$E$2:$E$391,$E524))</f>
        <v>1</v>
      </c>
      <c r="J524" s="23">
        <f>IF($C524&gt;0,INDEX(Merge_1_2!$F$2:$F$611,$C524),INDEX(Dataset3_Raw!$F$2:$F$391,$E524))</f>
        <v>21</v>
      </c>
      <c r="K524" s="23" t="b">
        <f>IF($C524&gt;0,INDEX(Merge_1_2!$G$2:$G$611,$C524),INDEX(Dataset3_Raw!$G$2:$G$391,$E524))</f>
        <v>0</v>
      </c>
      <c r="L524" s="23">
        <f>IF($C524&gt;0,INDEX(Merge_1_2!$H$2:$H$611,$C524),INDEX(Dataset3_Raw!$H$2:$H$391,$E524))</f>
        <v>0</v>
      </c>
      <c r="M524" s="23">
        <f>IF($C524&gt;0,INDEX(Merge_1_2!$I$2:$I$611,$C524),INDEX(Dataset3_Raw!$I$2:$I$391,$E524))</f>
        <v>1</v>
      </c>
      <c r="N524" s="25">
        <f>IF($C524&gt;0,INDEX(Merge_1_2!$J$2:$J$611,$C524),INDEX(Dataset3_Raw!$J$2:$J$391,$E524))</f>
        <v>0.1</v>
      </c>
      <c r="O524" s="25">
        <f>IF($C524&gt;0,IF(ISNUMBER(INDEX(Merge_1_2!$K$2:$K$611,$C524)),INDEX(Merge_1_2!$K$2:$K$611,$C524),""),INDEX(Dataset3_Raw!$K$2:$K$391,$E524))</f>
        <v>0.1061</v>
      </c>
      <c r="P524" s="25">
        <f>IF(ISNUMBER($O524),$O524,ROUND(Lookups!$B$25+Lookups!$B$24*$N524,4))</f>
        <v>0.1061</v>
      </c>
      <c r="Q524" s="25">
        <f>IF($C524&gt;0,INDEX(Merge_1_2!$L$2:$L$611,$C524),INDEX(Dataset3_Raw!$L$2:$L$391,$E524))</f>
        <v>0.36</v>
      </c>
      <c r="R524" s="25">
        <f>IF($C524&gt;0,INDEX(Merge_1_2!$M$2:$M$611,$C524),INDEX(Dataset3_Raw!$M$2:$M$391,$E524))</f>
        <v>0.19400000000000001</v>
      </c>
      <c r="S524" s="23">
        <f>IF($C524&gt;0,INDEX(Merge_1_2!$N$2:$N$611,$C524),INDEX(Dataset3_Raw!$N$2:$N$391,$E524))</f>
        <v>5</v>
      </c>
      <c r="T524" s="23">
        <f>IF($C524&gt;0,INDEX(Merge_1_2!$O$2:$O$611,$C524),INDEX(Dataset3_Raw!$O$2:$O$391,$E524))</f>
        <v>20</v>
      </c>
      <c r="U524" s="23">
        <f>IF($C524&gt;0,INDEX(Merge_1_2!$P$2:$P$611,$C524),INDEX(Dataset3_Raw!$P$2:$P$391,$E524))</f>
        <v>25</v>
      </c>
      <c r="V524" s="23" t="str">
        <f t="shared" si="49"/>
        <v>Weekend</v>
      </c>
      <c r="W524" s="23" t="str">
        <f>VLOOKUP($M524,Lookups!$A$5:$B$8,2,FALSE())</f>
        <v>Clear / Partly cloudy</v>
      </c>
      <c r="X524" s="23" t="str">
        <f>VLOOKUP($G524,Lookups!$D$5:$E$8,2,FALSE())</f>
        <v>Winter</v>
      </c>
      <c r="Y524" s="23" t="str">
        <f>VLOOKUP($L524,Lookups!$G$5:$H$11,2,FALSE())</f>
        <v>Sunday</v>
      </c>
      <c r="Z524" s="23" t="str">
        <f>IF($J524&lt;Lookups!$B$26,"Night",IF($J524&lt;Lookups!$B$27,"Morning",IF($J524&lt;Lookups!$B$28,"Afternoon","Evening")))</f>
        <v>Evening</v>
      </c>
      <c r="AA524" s="26">
        <f>ROUND($N524*(Lookups!$B$16-Lookups!$B$15)+Lookups!$B$15,1)</f>
        <v>-3.3</v>
      </c>
      <c r="AB524" s="26">
        <f>ROUND($P524*(Lookups!$B$18-Lookups!$B$17)+Lookups!$B$17,1)</f>
        <v>-9</v>
      </c>
      <c r="AC524" s="23">
        <f t="shared" si="50"/>
        <v>36</v>
      </c>
      <c r="AD524" s="23">
        <f>ROUND($R524*Lookups!$B$19,1)</f>
        <v>13</v>
      </c>
      <c r="AE524" s="27">
        <f t="shared" si="51"/>
        <v>0.8</v>
      </c>
      <c r="AF524" s="23" t="str">
        <f>IF($U524&gt;=Lookups!$B$23,"High",IF($U524&gt;=Lookups!$B$22,"Medium","Low"))</f>
        <v>Medium</v>
      </c>
      <c r="AG524" s="23">
        <f>ROUND(IF($V524="Weekday",IF(INDEX(Hourly_Analysis!$D$5:$D$28,$J524+1)&gt;0,($U524-INDEX(Hourly_Analysis!$C$5:$C$28,$J524+1))/INDEX(Hourly_Analysis!$D$5:$D$28,$J524+1),0),IF(INDEX(Hourly_Analysis!$G$5:$G$28,$J524+1)&gt;0,($U524-INDEX(Hourly_Analysis!$F$5:$F$28,$J524+1))/INDEX(Hourly_Analysis!$G$5:$G$28,$J524+1),0)),2)</f>
        <v>-0.96</v>
      </c>
      <c r="AH524" s="23" t="str">
        <f>IF(ABS($AG524)&gt;Lookups!$B$20,IF($AG524&gt;0,"High anomaly","Low anomaly"),"")</f>
        <v/>
      </c>
      <c r="AI524" s="23" t="str">
        <f t="shared" si="52"/>
        <v>OK</v>
      </c>
      <c r="AJ524" s="23" t="str">
        <f t="shared" si="53"/>
        <v>No</v>
      </c>
    </row>
    <row r="525" spans="1:36" x14ac:dyDescent="0.35">
      <c r="A525" s="23">
        <v>524</v>
      </c>
      <c r="B525" s="23" t="str">
        <f t="shared" si="48"/>
        <v>Merge 1+2</v>
      </c>
      <c r="C525" s="23">
        <f>IFERROR(MATCH($A525,Merge_1_2!$A$2:$A$611,0),0)</f>
        <v>524</v>
      </c>
      <c r="D525" s="23">
        <f>IF($C525&gt;0,INDEX(Merge_1_2!$Q$2:$Q$611,$C525),0)</f>
        <v>524</v>
      </c>
      <c r="E525" s="23">
        <f>IFERROR(MATCH($A525,Dataset3_Raw!$A$2:$A$391,0),0)</f>
        <v>0</v>
      </c>
      <c r="F525" s="24">
        <f>IF($C525&gt;0,INDEX(Merge_1_2!$B$2:$B$611,$C525),DATE(VALUE(RIGHT(INDEX(Dataset3_Raw!$B$2:$B$391,$E525),4)),VALUE(MID(INDEX(Dataset3_Raw!$B$2:$B$391,$E525),4,2)),VALUE(LEFT(INDEX(Dataset3_Raw!$B$2:$B$391,$E525),2))))</f>
        <v>40566</v>
      </c>
      <c r="G525" s="23">
        <f>IF($C525&gt;0,INDEX(Merge_1_2!$C$2:$C$611,$C525),INDEX(Dataset3_Raw!$C$2:$C$391,$E525))</f>
        <v>1</v>
      </c>
      <c r="H525" s="23">
        <f>IF($C525&gt;0,INDEX(Merge_1_2!$D$2:$D$611,$C525),INDEX(Dataset3_Raw!$D$2:$D$391,$E525))</f>
        <v>0</v>
      </c>
      <c r="I525" s="23">
        <f>IF($C525&gt;0,INDEX(Merge_1_2!$E$2:$E$611,$C525),INDEX(Dataset3_Raw!$E$2:$E$391,$E525))</f>
        <v>1</v>
      </c>
      <c r="J525" s="23">
        <f>IF($C525&gt;0,INDEX(Merge_1_2!$F$2:$F$611,$C525),INDEX(Dataset3_Raw!$F$2:$F$391,$E525))</f>
        <v>22</v>
      </c>
      <c r="K525" s="23" t="b">
        <f>IF($C525&gt;0,INDEX(Merge_1_2!$G$2:$G$611,$C525),INDEX(Dataset3_Raw!$G$2:$G$391,$E525))</f>
        <v>0</v>
      </c>
      <c r="L525" s="23">
        <f>IF($C525&gt;0,INDEX(Merge_1_2!$H$2:$H$611,$C525),INDEX(Dataset3_Raw!$H$2:$H$391,$E525))</f>
        <v>0</v>
      </c>
      <c r="M525" s="23">
        <f>IF($C525&gt;0,INDEX(Merge_1_2!$I$2:$I$611,$C525),INDEX(Dataset3_Raw!$I$2:$I$391,$E525))</f>
        <v>1</v>
      </c>
      <c r="N525" s="25">
        <f>IF($C525&gt;0,INDEX(Merge_1_2!$J$2:$J$611,$C525),INDEX(Dataset3_Raw!$J$2:$J$391,$E525))</f>
        <v>0.08</v>
      </c>
      <c r="O525" s="25">
        <f>IF($C525&gt;0,IF(ISNUMBER(INDEX(Merge_1_2!$K$2:$K$611,$C525)),INDEX(Merge_1_2!$K$2:$K$611,$C525),""),INDEX(Dataset3_Raw!$K$2:$K$391,$E525))</f>
        <v>9.0899999999999995E-2</v>
      </c>
      <c r="P525" s="25">
        <f>IF(ISNUMBER($O525),$O525,ROUND(Lookups!$B$25+Lookups!$B$24*$N525,4))</f>
        <v>9.0899999999999995E-2</v>
      </c>
      <c r="Q525" s="25">
        <f>IF($C525&gt;0,INDEX(Merge_1_2!$L$2:$L$611,$C525),INDEX(Dataset3_Raw!$L$2:$L$391,$E525))</f>
        <v>0.38</v>
      </c>
      <c r="R525" s="25">
        <f>IF($C525&gt;0,INDEX(Merge_1_2!$M$2:$M$611,$C525),INDEX(Dataset3_Raw!$M$2:$M$391,$E525))</f>
        <v>0.19400000000000001</v>
      </c>
      <c r="S525" s="23">
        <f>IF($C525&gt;0,INDEX(Merge_1_2!$N$2:$N$611,$C525),INDEX(Dataset3_Raw!$N$2:$N$391,$E525))</f>
        <v>5</v>
      </c>
      <c r="T525" s="23">
        <f>IF($C525&gt;0,INDEX(Merge_1_2!$O$2:$O$611,$C525),INDEX(Dataset3_Raw!$O$2:$O$391,$E525))</f>
        <v>23</v>
      </c>
      <c r="U525" s="23">
        <f>IF($C525&gt;0,INDEX(Merge_1_2!$P$2:$P$611,$C525),INDEX(Dataset3_Raw!$P$2:$P$391,$E525))</f>
        <v>28</v>
      </c>
      <c r="V525" s="23" t="str">
        <f t="shared" si="49"/>
        <v>Weekend</v>
      </c>
      <c r="W525" s="23" t="str">
        <f>VLOOKUP($M525,Lookups!$A$5:$B$8,2,FALSE())</f>
        <v>Clear / Partly cloudy</v>
      </c>
      <c r="X525" s="23" t="str">
        <f>VLOOKUP($G525,Lookups!$D$5:$E$8,2,FALSE())</f>
        <v>Winter</v>
      </c>
      <c r="Y525" s="23" t="str">
        <f>VLOOKUP($L525,Lookups!$G$5:$H$11,2,FALSE())</f>
        <v>Sunday</v>
      </c>
      <c r="Z525" s="23" t="str">
        <f>IF($J525&lt;Lookups!$B$26,"Night",IF($J525&lt;Lookups!$B$27,"Morning",IF($J525&lt;Lookups!$B$28,"Afternoon","Evening")))</f>
        <v>Evening</v>
      </c>
      <c r="AA525" s="26">
        <f>ROUND($N525*(Lookups!$B$16-Lookups!$B$15)+Lookups!$B$15,1)</f>
        <v>-4.2</v>
      </c>
      <c r="AB525" s="26">
        <f>ROUND($P525*(Lookups!$B$18-Lookups!$B$17)+Lookups!$B$17,1)</f>
        <v>-10</v>
      </c>
      <c r="AC525" s="23">
        <f t="shared" si="50"/>
        <v>38</v>
      </c>
      <c r="AD525" s="23">
        <f>ROUND($R525*Lookups!$B$19,1)</f>
        <v>13</v>
      </c>
      <c r="AE525" s="27">
        <f t="shared" si="51"/>
        <v>0.8214285714285714</v>
      </c>
      <c r="AF525" s="23" t="str">
        <f>IF($U525&gt;=Lookups!$B$23,"High",IF($U525&gt;=Lookups!$B$22,"Medium","Low"))</f>
        <v>Medium</v>
      </c>
      <c r="AG525" s="23">
        <f>ROUND(IF($V525="Weekday",IF(INDEX(Hourly_Analysis!$D$5:$D$28,$J525+1)&gt;0,($U525-INDEX(Hourly_Analysis!$C$5:$C$28,$J525+1))/INDEX(Hourly_Analysis!$D$5:$D$28,$J525+1),0),IF(INDEX(Hourly_Analysis!$G$5:$G$28,$J525+1)&gt;0,($U525-INDEX(Hourly_Analysis!$F$5:$F$28,$J525+1))/INDEX(Hourly_Analysis!$G$5:$G$28,$J525+1),0)),2)</f>
        <v>-0.12</v>
      </c>
      <c r="AH525" s="23" t="str">
        <f>IF(ABS($AG525)&gt;Lookups!$B$20,IF($AG525&gt;0,"High anomaly","Low anomaly"),"")</f>
        <v/>
      </c>
      <c r="AI525" s="23" t="str">
        <f t="shared" si="52"/>
        <v>OK</v>
      </c>
      <c r="AJ525" s="23" t="str">
        <f t="shared" si="53"/>
        <v>No</v>
      </c>
    </row>
    <row r="526" spans="1:36" x14ac:dyDescent="0.35">
      <c r="A526" s="23">
        <v>525</v>
      </c>
      <c r="B526" s="23" t="str">
        <f t="shared" si="48"/>
        <v>Merge 1+2</v>
      </c>
      <c r="C526" s="23">
        <f>IFERROR(MATCH($A526,Merge_1_2!$A$2:$A$611,0),0)</f>
        <v>525</v>
      </c>
      <c r="D526" s="23">
        <f>IF($C526&gt;0,INDEX(Merge_1_2!$Q$2:$Q$611,$C526),0)</f>
        <v>525</v>
      </c>
      <c r="E526" s="23">
        <f>IFERROR(MATCH($A526,Dataset3_Raw!$A$2:$A$391,0),0)</f>
        <v>0</v>
      </c>
      <c r="F526" s="24">
        <f>IF($C526&gt;0,INDEX(Merge_1_2!$B$2:$B$611,$C526),DATE(VALUE(RIGHT(INDEX(Dataset3_Raw!$B$2:$B$391,$E526),4)),VALUE(MID(INDEX(Dataset3_Raw!$B$2:$B$391,$E526),4,2)),VALUE(LEFT(INDEX(Dataset3_Raw!$B$2:$B$391,$E526),2))))</f>
        <v>40566</v>
      </c>
      <c r="G526" s="23">
        <f>IF($C526&gt;0,INDEX(Merge_1_2!$C$2:$C$611,$C526),INDEX(Dataset3_Raw!$C$2:$C$391,$E526))</f>
        <v>1</v>
      </c>
      <c r="H526" s="23">
        <f>IF($C526&gt;0,INDEX(Merge_1_2!$D$2:$D$611,$C526),INDEX(Dataset3_Raw!$D$2:$D$391,$E526))</f>
        <v>0</v>
      </c>
      <c r="I526" s="23">
        <f>IF($C526&gt;0,INDEX(Merge_1_2!$E$2:$E$611,$C526),INDEX(Dataset3_Raw!$E$2:$E$391,$E526))</f>
        <v>1</v>
      </c>
      <c r="J526" s="23">
        <f>IF($C526&gt;0,INDEX(Merge_1_2!$F$2:$F$611,$C526),INDEX(Dataset3_Raw!$F$2:$F$391,$E526))</f>
        <v>23</v>
      </c>
      <c r="K526" s="23" t="b">
        <f>IF($C526&gt;0,INDEX(Merge_1_2!$G$2:$G$611,$C526),INDEX(Dataset3_Raw!$G$2:$G$391,$E526))</f>
        <v>0</v>
      </c>
      <c r="L526" s="23">
        <f>IF($C526&gt;0,INDEX(Merge_1_2!$H$2:$H$611,$C526),INDEX(Dataset3_Raw!$H$2:$H$391,$E526))</f>
        <v>0</v>
      </c>
      <c r="M526" s="23">
        <f>IF($C526&gt;0,INDEX(Merge_1_2!$I$2:$I$611,$C526),INDEX(Dataset3_Raw!$I$2:$I$391,$E526))</f>
        <v>1</v>
      </c>
      <c r="N526" s="25">
        <f>IF($C526&gt;0,INDEX(Merge_1_2!$J$2:$J$611,$C526),INDEX(Dataset3_Raw!$J$2:$J$391,$E526))</f>
        <v>0.06</v>
      </c>
      <c r="O526" s="25">
        <f>IF($C526&gt;0,IF(ISNUMBER(INDEX(Merge_1_2!$K$2:$K$611,$C526)),INDEX(Merge_1_2!$K$2:$K$611,$C526),""),INDEX(Dataset3_Raw!$K$2:$K$391,$E526))</f>
        <v>6.0600000000000001E-2</v>
      </c>
      <c r="P526" s="25">
        <f>IF(ISNUMBER($O526),$O526,ROUND(Lookups!$B$25+Lookups!$B$24*$N526,4))</f>
        <v>6.0600000000000001E-2</v>
      </c>
      <c r="Q526" s="25">
        <f>IF($C526&gt;0,INDEX(Merge_1_2!$L$2:$L$611,$C526),INDEX(Dataset3_Raw!$L$2:$L$391,$E526))</f>
        <v>0.41</v>
      </c>
      <c r="R526" s="25">
        <f>IF($C526&gt;0,INDEX(Merge_1_2!$M$2:$M$611,$C526),INDEX(Dataset3_Raw!$M$2:$M$391,$E526))</f>
        <v>0.22389999999999999</v>
      </c>
      <c r="S526" s="23">
        <f>IF($C526&gt;0,INDEX(Merge_1_2!$N$2:$N$611,$C526),INDEX(Dataset3_Raw!$N$2:$N$391,$E526))</f>
        <v>4</v>
      </c>
      <c r="T526" s="23">
        <f>IF($C526&gt;0,INDEX(Merge_1_2!$O$2:$O$611,$C526),INDEX(Dataset3_Raw!$O$2:$O$391,$E526))</f>
        <v>17</v>
      </c>
      <c r="U526" s="23">
        <f>IF($C526&gt;0,INDEX(Merge_1_2!$P$2:$P$611,$C526),INDEX(Dataset3_Raw!$P$2:$P$391,$E526))</f>
        <v>21</v>
      </c>
      <c r="V526" s="23" t="str">
        <f t="shared" si="49"/>
        <v>Weekend</v>
      </c>
      <c r="W526" s="23" t="str">
        <f>VLOOKUP($M526,Lookups!$A$5:$B$8,2,FALSE())</f>
        <v>Clear / Partly cloudy</v>
      </c>
      <c r="X526" s="23" t="str">
        <f>VLOOKUP($G526,Lookups!$D$5:$E$8,2,FALSE())</f>
        <v>Winter</v>
      </c>
      <c r="Y526" s="23" t="str">
        <f>VLOOKUP($L526,Lookups!$G$5:$H$11,2,FALSE())</f>
        <v>Sunday</v>
      </c>
      <c r="Z526" s="23" t="str">
        <f>IF($J526&lt;Lookups!$B$26,"Night",IF($J526&lt;Lookups!$B$27,"Morning",IF($J526&lt;Lookups!$B$28,"Afternoon","Evening")))</f>
        <v>Evening</v>
      </c>
      <c r="AA526" s="26">
        <f>ROUND($N526*(Lookups!$B$16-Lookups!$B$15)+Lookups!$B$15,1)</f>
        <v>-5.2</v>
      </c>
      <c r="AB526" s="26">
        <f>ROUND($P526*(Lookups!$B$18-Lookups!$B$17)+Lookups!$B$17,1)</f>
        <v>-12</v>
      </c>
      <c r="AC526" s="23">
        <f t="shared" si="50"/>
        <v>41</v>
      </c>
      <c r="AD526" s="23">
        <f>ROUND($R526*Lookups!$B$19,1)</f>
        <v>15</v>
      </c>
      <c r="AE526" s="27">
        <f t="shared" si="51"/>
        <v>0.80952380952380953</v>
      </c>
      <c r="AF526" s="23" t="str">
        <f>IF($U526&gt;=Lookups!$B$23,"High",IF($U526&gt;=Lookups!$B$22,"Medium","Low"))</f>
        <v>Medium</v>
      </c>
      <c r="AG526" s="23">
        <f>ROUND(IF($V526="Weekday",IF(INDEX(Hourly_Analysis!$D$5:$D$28,$J526+1)&gt;0,($U526-INDEX(Hourly_Analysis!$C$5:$C$28,$J526+1))/INDEX(Hourly_Analysis!$D$5:$D$28,$J526+1),0),IF(INDEX(Hourly_Analysis!$G$5:$G$28,$J526+1)&gt;0,($U526-INDEX(Hourly_Analysis!$F$5:$F$28,$J526+1))/INDEX(Hourly_Analysis!$G$5:$G$28,$J526+1),0)),2)</f>
        <v>-0.38</v>
      </c>
      <c r="AH526" s="23" t="str">
        <f>IF(ABS($AG526)&gt;Lookups!$B$20,IF($AG526&gt;0,"High anomaly","Low anomaly"),"")</f>
        <v/>
      </c>
      <c r="AI526" s="23" t="str">
        <f t="shared" si="52"/>
        <v>OK</v>
      </c>
      <c r="AJ526" s="23" t="str">
        <f t="shared" si="53"/>
        <v>No</v>
      </c>
    </row>
    <row r="527" spans="1:36" x14ac:dyDescent="0.35">
      <c r="A527" s="23">
        <v>526</v>
      </c>
      <c r="B527" s="23" t="str">
        <f t="shared" si="48"/>
        <v>Merge 1+2</v>
      </c>
      <c r="C527" s="23">
        <f>IFERROR(MATCH($A527,Merge_1_2!$A$2:$A$611,0),0)</f>
        <v>526</v>
      </c>
      <c r="D527" s="23">
        <f>IF($C527&gt;0,INDEX(Merge_1_2!$Q$2:$Q$611,$C527),0)</f>
        <v>526</v>
      </c>
      <c r="E527" s="23">
        <f>IFERROR(MATCH($A527,Dataset3_Raw!$A$2:$A$391,0),0)</f>
        <v>0</v>
      </c>
      <c r="F527" s="24">
        <f>IF($C527&gt;0,INDEX(Merge_1_2!$B$2:$B$611,$C527),DATE(VALUE(RIGHT(INDEX(Dataset3_Raw!$B$2:$B$391,$E527),4)),VALUE(MID(INDEX(Dataset3_Raw!$B$2:$B$391,$E527),4,2)),VALUE(LEFT(INDEX(Dataset3_Raw!$B$2:$B$391,$E527),2))))</f>
        <v>40567</v>
      </c>
      <c r="G527" s="23">
        <f>IF($C527&gt;0,INDEX(Merge_1_2!$C$2:$C$611,$C527),INDEX(Dataset3_Raw!$C$2:$C$391,$E527))</f>
        <v>1</v>
      </c>
      <c r="H527" s="23">
        <f>IF($C527&gt;0,INDEX(Merge_1_2!$D$2:$D$611,$C527),INDEX(Dataset3_Raw!$D$2:$D$391,$E527))</f>
        <v>0</v>
      </c>
      <c r="I527" s="23">
        <f>IF($C527&gt;0,INDEX(Merge_1_2!$E$2:$E$611,$C527),INDEX(Dataset3_Raw!$E$2:$E$391,$E527))</f>
        <v>1</v>
      </c>
      <c r="J527" s="23">
        <f>IF($C527&gt;0,INDEX(Merge_1_2!$F$2:$F$611,$C527),INDEX(Dataset3_Raw!$F$2:$F$391,$E527))</f>
        <v>0</v>
      </c>
      <c r="K527" s="23" t="b">
        <f>IF($C527&gt;0,INDEX(Merge_1_2!$G$2:$G$611,$C527),INDEX(Dataset3_Raw!$G$2:$G$391,$E527))</f>
        <v>0</v>
      </c>
      <c r="L527" s="23">
        <f>IF($C527&gt;0,INDEX(Merge_1_2!$H$2:$H$611,$C527),INDEX(Dataset3_Raw!$H$2:$H$391,$E527))</f>
        <v>1</v>
      </c>
      <c r="M527" s="23">
        <f>IF($C527&gt;0,INDEX(Merge_1_2!$I$2:$I$611,$C527),INDEX(Dataset3_Raw!$I$2:$I$391,$E527))</f>
        <v>1</v>
      </c>
      <c r="N527" s="25">
        <f>IF($C527&gt;0,INDEX(Merge_1_2!$J$2:$J$611,$C527),INDEX(Dataset3_Raw!$J$2:$J$391,$E527))</f>
        <v>0.06</v>
      </c>
      <c r="O527" s="25">
        <f>IF($C527&gt;0,IF(ISNUMBER(INDEX(Merge_1_2!$K$2:$K$611,$C527)),INDEX(Merge_1_2!$K$2:$K$611,$C527),""),INDEX(Dataset3_Raw!$K$2:$K$391,$E527))</f>
        <v>6.0600000000000001E-2</v>
      </c>
      <c r="P527" s="25">
        <f>IF(ISNUMBER($O527),$O527,ROUND(Lookups!$B$25+Lookups!$B$24*$N527,4))</f>
        <v>6.0600000000000001E-2</v>
      </c>
      <c r="Q527" s="25">
        <f>IF($C527&gt;0,INDEX(Merge_1_2!$L$2:$L$611,$C527),INDEX(Dataset3_Raw!$L$2:$L$391,$E527))</f>
        <v>0.41</v>
      </c>
      <c r="R527" s="25">
        <f>IF($C527&gt;0,INDEX(Merge_1_2!$M$2:$M$611,$C527),INDEX(Dataset3_Raw!$M$2:$M$391,$E527))</f>
        <v>0.19400000000000001</v>
      </c>
      <c r="S527" s="23">
        <f>IF($C527&gt;0,INDEX(Merge_1_2!$N$2:$N$611,$C527),INDEX(Dataset3_Raw!$N$2:$N$391,$E527))</f>
        <v>0</v>
      </c>
      <c r="T527" s="23">
        <f>IF($C527&gt;0,INDEX(Merge_1_2!$O$2:$O$611,$C527),INDEX(Dataset3_Raw!$O$2:$O$391,$E527))</f>
        <v>7</v>
      </c>
      <c r="U527" s="23">
        <f>IF($C527&gt;0,INDEX(Merge_1_2!$P$2:$P$611,$C527),INDEX(Dataset3_Raw!$P$2:$P$391,$E527))</f>
        <v>7</v>
      </c>
      <c r="V527" s="23" t="str">
        <f t="shared" si="49"/>
        <v>Weekday</v>
      </c>
      <c r="W527" s="23" t="str">
        <f>VLOOKUP($M527,Lookups!$A$5:$B$8,2,FALSE())</f>
        <v>Clear / Partly cloudy</v>
      </c>
      <c r="X527" s="23" t="str">
        <f>VLOOKUP($G527,Lookups!$D$5:$E$8,2,FALSE())</f>
        <v>Winter</v>
      </c>
      <c r="Y527" s="23" t="str">
        <f>VLOOKUP($L527,Lookups!$G$5:$H$11,2,FALSE())</f>
        <v>Monday</v>
      </c>
      <c r="Z527" s="23" t="str">
        <f>IF($J527&lt;Lookups!$B$26,"Night",IF($J527&lt;Lookups!$B$27,"Morning",IF($J527&lt;Lookups!$B$28,"Afternoon","Evening")))</f>
        <v>Night</v>
      </c>
      <c r="AA527" s="26">
        <f>ROUND($N527*(Lookups!$B$16-Lookups!$B$15)+Lookups!$B$15,1)</f>
        <v>-5.2</v>
      </c>
      <c r="AB527" s="26">
        <f>ROUND($P527*(Lookups!$B$18-Lookups!$B$17)+Lookups!$B$17,1)</f>
        <v>-12</v>
      </c>
      <c r="AC527" s="23">
        <f t="shared" si="50"/>
        <v>41</v>
      </c>
      <c r="AD527" s="23">
        <f>ROUND($R527*Lookups!$B$19,1)</f>
        <v>13</v>
      </c>
      <c r="AE527" s="27">
        <f t="shared" si="51"/>
        <v>1</v>
      </c>
      <c r="AF527" s="23" t="str">
        <f>IF($U527&gt;=Lookups!$B$23,"High",IF($U527&gt;=Lookups!$B$22,"Medium","Low"))</f>
        <v>Low</v>
      </c>
      <c r="AG527" s="23">
        <f>ROUND(IF($V527="Weekday",IF(INDEX(Hourly_Analysis!$D$5:$D$28,$J527+1)&gt;0,($U527-INDEX(Hourly_Analysis!$C$5:$C$28,$J527+1))/INDEX(Hourly_Analysis!$D$5:$D$28,$J527+1),0),IF(INDEX(Hourly_Analysis!$G$5:$G$28,$J527+1)&gt;0,($U527-INDEX(Hourly_Analysis!$F$5:$F$28,$J527+1))/INDEX(Hourly_Analysis!$G$5:$G$28,$J527+1),0)),2)</f>
        <v>-0.72</v>
      </c>
      <c r="AH527" s="23" t="str">
        <f>IF(ABS($AG527)&gt;Lookups!$B$20,IF($AG527&gt;0,"High anomaly","Low anomaly"),"")</f>
        <v/>
      </c>
      <c r="AI527" s="23" t="str">
        <f t="shared" si="52"/>
        <v>OK</v>
      </c>
      <c r="AJ527" s="23" t="str">
        <f t="shared" si="53"/>
        <v>No</v>
      </c>
    </row>
    <row r="528" spans="1:36" x14ac:dyDescent="0.35">
      <c r="A528" s="23">
        <v>527</v>
      </c>
      <c r="B528" s="23" t="str">
        <f t="shared" si="48"/>
        <v>Merge 1+2</v>
      </c>
      <c r="C528" s="23">
        <f>IFERROR(MATCH($A528,Merge_1_2!$A$2:$A$611,0),0)</f>
        <v>527</v>
      </c>
      <c r="D528" s="23">
        <f>IF($C528&gt;0,INDEX(Merge_1_2!$Q$2:$Q$611,$C528),0)</f>
        <v>527</v>
      </c>
      <c r="E528" s="23">
        <f>IFERROR(MATCH($A528,Dataset3_Raw!$A$2:$A$391,0),0)</f>
        <v>0</v>
      </c>
      <c r="F528" s="24">
        <f>IF($C528&gt;0,INDEX(Merge_1_2!$B$2:$B$611,$C528),DATE(VALUE(RIGHT(INDEX(Dataset3_Raw!$B$2:$B$391,$E528),4)),VALUE(MID(INDEX(Dataset3_Raw!$B$2:$B$391,$E528),4,2)),VALUE(LEFT(INDEX(Dataset3_Raw!$B$2:$B$391,$E528),2))))</f>
        <v>40567</v>
      </c>
      <c r="G528" s="23">
        <f>IF($C528&gt;0,INDEX(Merge_1_2!$C$2:$C$611,$C528),INDEX(Dataset3_Raw!$C$2:$C$391,$E528))</f>
        <v>1</v>
      </c>
      <c r="H528" s="23">
        <f>IF($C528&gt;0,INDEX(Merge_1_2!$D$2:$D$611,$C528),INDEX(Dataset3_Raw!$D$2:$D$391,$E528))</f>
        <v>0</v>
      </c>
      <c r="I528" s="23">
        <f>IF($C528&gt;0,INDEX(Merge_1_2!$E$2:$E$611,$C528),INDEX(Dataset3_Raw!$E$2:$E$391,$E528))</f>
        <v>1</v>
      </c>
      <c r="J528" s="23">
        <f>IF($C528&gt;0,INDEX(Merge_1_2!$F$2:$F$611,$C528),INDEX(Dataset3_Raw!$F$2:$F$391,$E528))</f>
        <v>1</v>
      </c>
      <c r="K528" s="23" t="b">
        <f>IF($C528&gt;0,INDEX(Merge_1_2!$G$2:$G$611,$C528),INDEX(Dataset3_Raw!$G$2:$G$391,$E528))</f>
        <v>0</v>
      </c>
      <c r="L528" s="23">
        <f>IF($C528&gt;0,INDEX(Merge_1_2!$H$2:$H$611,$C528),INDEX(Dataset3_Raw!$H$2:$H$391,$E528))</f>
        <v>1</v>
      </c>
      <c r="M528" s="23">
        <f>IF($C528&gt;0,INDEX(Merge_1_2!$I$2:$I$611,$C528),INDEX(Dataset3_Raw!$I$2:$I$391,$E528))</f>
        <v>1</v>
      </c>
      <c r="N528" s="25">
        <f>IF($C528&gt;0,INDEX(Merge_1_2!$J$2:$J$611,$C528),INDEX(Dataset3_Raw!$J$2:$J$391,$E528))</f>
        <v>0.04</v>
      </c>
      <c r="O528" s="25">
        <f>IF($C528&gt;0,IF(ISNUMBER(INDEX(Merge_1_2!$K$2:$K$611,$C528)),INDEX(Merge_1_2!$K$2:$K$611,$C528),""),INDEX(Dataset3_Raw!$K$2:$K$391,$E528))</f>
        <v>4.5499999999999999E-2</v>
      </c>
      <c r="P528" s="25">
        <f>IF(ISNUMBER($O528),$O528,ROUND(Lookups!$B$25+Lookups!$B$24*$N528,4))</f>
        <v>4.5499999999999999E-2</v>
      </c>
      <c r="Q528" s="25">
        <f>IF($C528&gt;0,INDEX(Merge_1_2!$L$2:$L$611,$C528),INDEX(Dataset3_Raw!$L$2:$L$391,$E528))</f>
        <v>0.45</v>
      </c>
      <c r="R528" s="25">
        <f>IF($C528&gt;0,INDEX(Merge_1_2!$M$2:$M$611,$C528),INDEX(Dataset3_Raw!$M$2:$M$391,$E528))</f>
        <v>0.19400000000000001</v>
      </c>
      <c r="S528" s="23">
        <f>IF($C528&gt;0,INDEX(Merge_1_2!$N$2:$N$611,$C528),INDEX(Dataset3_Raw!$N$2:$N$391,$E528))</f>
        <v>0</v>
      </c>
      <c r="T528" s="23">
        <f>IF($C528&gt;0,INDEX(Merge_1_2!$O$2:$O$611,$C528),INDEX(Dataset3_Raw!$O$2:$O$391,$E528))</f>
        <v>1</v>
      </c>
      <c r="U528" s="23">
        <f>IF($C528&gt;0,INDEX(Merge_1_2!$P$2:$P$611,$C528),INDEX(Dataset3_Raw!$P$2:$P$391,$E528))</f>
        <v>1</v>
      </c>
      <c r="V528" s="23" t="str">
        <f t="shared" si="49"/>
        <v>Weekday</v>
      </c>
      <c r="W528" s="23" t="str">
        <f>VLOOKUP($M528,Lookups!$A$5:$B$8,2,FALSE())</f>
        <v>Clear / Partly cloudy</v>
      </c>
      <c r="X528" s="23" t="str">
        <f>VLOOKUP($G528,Lookups!$D$5:$E$8,2,FALSE())</f>
        <v>Winter</v>
      </c>
      <c r="Y528" s="23" t="str">
        <f>VLOOKUP($L528,Lookups!$G$5:$H$11,2,FALSE())</f>
        <v>Monday</v>
      </c>
      <c r="Z528" s="23" t="str">
        <f>IF($J528&lt;Lookups!$B$26,"Night",IF($J528&lt;Lookups!$B$27,"Morning",IF($J528&lt;Lookups!$B$28,"Afternoon","Evening")))</f>
        <v>Night</v>
      </c>
      <c r="AA528" s="26">
        <f>ROUND($N528*(Lookups!$B$16-Lookups!$B$15)+Lookups!$B$15,1)</f>
        <v>-6.1</v>
      </c>
      <c r="AB528" s="26">
        <f>ROUND($P528*(Lookups!$B$18-Lookups!$B$17)+Lookups!$B$17,1)</f>
        <v>-13</v>
      </c>
      <c r="AC528" s="23">
        <f t="shared" si="50"/>
        <v>45</v>
      </c>
      <c r="AD528" s="23">
        <f>ROUND($R528*Lookups!$B$19,1)</f>
        <v>13</v>
      </c>
      <c r="AE528" s="27">
        <f t="shared" si="51"/>
        <v>1</v>
      </c>
      <c r="AF528" s="23" t="str">
        <f>IF($U528&gt;=Lookups!$B$23,"High",IF($U528&gt;=Lookups!$B$22,"Medium","Low"))</f>
        <v>Low</v>
      </c>
      <c r="AG528" s="23">
        <f>ROUND(IF($V528="Weekday",IF(INDEX(Hourly_Analysis!$D$5:$D$28,$J528+1)&gt;0,($U528-INDEX(Hourly_Analysis!$C$5:$C$28,$J528+1))/INDEX(Hourly_Analysis!$D$5:$D$28,$J528+1),0),IF(INDEX(Hourly_Analysis!$G$5:$G$28,$J528+1)&gt;0,($U528-INDEX(Hourly_Analysis!$F$5:$F$28,$J528+1))/INDEX(Hourly_Analysis!$G$5:$G$28,$J528+1),0)),2)</f>
        <v>-1.84</v>
      </c>
      <c r="AH528" s="23" t="str">
        <f>IF(ABS($AG528)&gt;Lookups!$B$20,IF($AG528&gt;0,"High anomaly","Low anomaly"),"")</f>
        <v/>
      </c>
      <c r="AI528" s="23" t="str">
        <f t="shared" si="52"/>
        <v>OK</v>
      </c>
      <c r="AJ528" s="23" t="str">
        <f t="shared" si="53"/>
        <v>No</v>
      </c>
    </row>
    <row r="529" spans="1:36" x14ac:dyDescent="0.35">
      <c r="A529" s="23">
        <v>528</v>
      </c>
      <c r="B529" s="23" t="str">
        <f t="shared" si="48"/>
        <v>Merge 1+2</v>
      </c>
      <c r="C529" s="23">
        <f>IFERROR(MATCH($A529,Merge_1_2!$A$2:$A$611,0),0)</f>
        <v>528</v>
      </c>
      <c r="D529" s="23">
        <f>IF($C529&gt;0,INDEX(Merge_1_2!$Q$2:$Q$611,$C529),0)</f>
        <v>528</v>
      </c>
      <c r="E529" s="23">
        <f>IFERROR(MATCH($A529,Dataset3_Raw!$A$2:$A$391,0),0)</f>
        <v>0</v>
      </c>
      <c r="F529" s="24">
        <f>IF($C529&gt;0,INDEX(Merge_1_2!$B$2:$B$611,$C529),DATE(VALUE(RIGHT(INDEX(Dataset3_Raw!$B$2:$B$391,$E529),4)),VALUE(MID(INDEX(Dataset3_Raw!$B$2:$B$391,$E529),4,2)),VALUE(LEFT(INDEX(Dataset3_Raw!$B$2:$B$391,$E529),2))))</f>
        <v>40567</v>
      </c>
      <c r="G529" s="23">
        <f>IF($C529&gt;0,INDEX(Merge_1_2!$C$2:$C$611,$C529),INDEX(Dataset3_Raw!$C$2:$C$391,$E529))</f>
        <v>1</v>
      </c>
      <c r="H529" s="23">
        <f>IF($C529&gt;0,INDEX(Merge_1_2!$D$2:$D$611,$C529),INDEX(Dataset3_Raw!$D$2:$D$391,$E529))</f>
        <v>0</v>
      </c>
      <c r="I529" s="23">
        <f>IF($C529&gt;0,INDEX(Merge_1_2!$E$2:$E$611,$C529),INDEX(Dataset3_Raw!$E$2:$E$391,$E529))</f>
        <v>1</v>
      </c>
      <c r="J529" s="23">
        <f>IF($C529&gt;0,INDEX(Merge_1_2!$F$2:$F$611,$C529),INDEX(Dataset3_Raw!$F$2:$F$391,$E529))</f>
        <v>3</v>
      </c>
      <c r="K529" s="23" t="b">
        <f>IF($C529&gt;0,INDEX(Merge_1_2!$G$2:$G$611,$C529),INDEX(Dataset3_Raw!$G$2:$G$391,$E529))</f>
        <v>0</v>
      </c>
      <c r="L529" s="23">
        <f>IF($C529&gt;0,INDEX(Merge_1_2!$H$2:$H$611,$C529),INDEX(Dataset3_Raw!$H$2:$H$391,$E529))</f>
        <v>1</v>
      </c>
      <c r="M529" s="23">
        <f>IF($C529&gt;0,INDEX(Merge_1_2!$I$2:$I$611,$C529),INDEX(Dataset3_Raw!$I$2:$I$391,$E529))</f>
        <v>1</v>
      </c>
      <c r="N529" s="25">
        <f>IF($C529&gt;0,INDEX(Merge_1_2!$J$2:$J$611,$C529),INDEX(Dataset3_Raw!$J$2:$J$391,$E529))</f>
        <v>0.04</v>
      </c>
      <c r="O529" s="25">
        <f>IF($C529&gt;0,IF(ISNUMBER(INDEX(Merge_1_2!$K$2:$K$611,$C529)),INDEX(Merge_1_2!$K$2:$K$611,$C529),""),INDEX(Dataset3_Raw!$K$2:$K$391,$E529))</f>
        <v>3.0300000000000001E-2</v>
      </c>
      <c r="P529" s="25">
        <f>IF(ISNUMBER($O529),$O529,ROUND(Lookups!$B$25+Lookups!$B$24*$N529,4))</f>
        <v>3.0300000000000001E-2</v>
      </c>
      <c r="Q529" s="25">
        <f>IF($C529&gt;0,INDEX(Merge_1_2!$L$2:$L$611,$C529),INDEX(Dataset3_Raw!$L$2:$L$391,$E529))</f>
        <v>0.45</v>
      </c>
      <c r="R529" s="25">
        <f>IF($C529&gt;0,INDEX(Merge_1_2!$M$2:$M$611,$C529),INDEX(Dataset3_Raw!$M$2:$M$391,$E529))</f>
        <v>0.25369999999999998</v>
      </c>
      <c r="S529" s="23">
        <f>IF($C529&gt;0,INDEX(Merge_1_2!$N$2:$N$611,$C529),INDEX(Dataset3_Raw!$N$2:$N$391,$E529))</f>
        <v>0</v>
      </c>
      <c r="T529" s="23">
        <f>IF($C529&gt;0,INDEX(Merge_1_2!$O$2:$O$611,$C529),INDEX(Dataset3_Raw!$O$2:$O$391,$E529))</f>
        <v>1</v>
      </c>
      <c r="U529" s="23">
        <f>IF($C529&gt;0,INDEX(Merge_1_2!$P$2:$P$611,$C529),INDEX(Dataset3_Raw!$P$2:$P$391,$E529))</f>
        <v>1</v>
      </c>
      <c r="V529" s="23" t="str">
        <f t="shared" si="49"/>
        <v>Weekday</v>
      </c>
      <c r="W529" s="23" t="str">
        <f>VLOOKUP($M529,Lookups!$A$5:$B$8,2,FALSE())</f>
        <v>Clear / Partly cloudy</v>
      </c>
      <c r="X529" s="23" t="str">
        <f>VLOOKUP($G529,Lookups!$D$5:$E$8,2,FALSE())</f>
        <v>Winter</v>
      </c>
      <c r="Y529" s="23" t="str">
        <f>VLOOKUP($L529,Lookups!$G$5:$H$11,2,FALSE())</f>
        <v>Monday</v>
      </c>
      <c r="Z529" s="23" t="str">
        <f>IF($J529&lt;Lookups!$B$26,"Night",IF($J529&lt;Lookups!$B$27,"Morning",IF($J529&lt;Lookups!$B$28,"Afternoon","Evening")))</f>
        <v>Night</v>
      </c>
      <c r="AA529" s="26">
        <f>ROUND($N529*(Lookups!$B$16-Lookups!$B$15)+Lookups!$B$15,1)</f>
        <v>-6.1</v>
      </c>
      <c r="AB529" s="26">
        <f>ROUND($P529*(Lookups!$B$18-Lookups!$B$17)+Lookups!$B$17,1)</f>
        <v>-14</v>
      </c>
      <c r="AC529" s="23">
        <f t="shared" si="50"/>
        <v>45</v>
      </c>
      <c r="AD529" s="23">
        <f>ROUND($R529*Lookups!$B$19,1)</f>
        <v>17</v>
      </c>
      <c r="AE529" s="27">
        <f t="shared" si="51"/>
        <v>1</v>
      </c>
      <c r="AF529" s="23" t="str">
        <f>IF($U529&gt;=Lookups!$B$23,"High",IF($U529&gt;=Lookups!$B$22,"Medium","Low"))</f>
        <v>Low</v>
      </c>
      <c r="AG529" s="23">
        <f>ROUND(IF($V529="Weekday",IF(INDEX(Hourly_Analysis!$D$5:$D$28,$J529+1)&gt;0,($U529-INDEX(Hourly_Analysis!$C$5:$C$28,$J529+1))/INDEX(Hourly_Analysis!$D$5:$D$28,$J529+1),0),IF(INDEX(Hourly_Analysis!$G$5:$G$28,$J529+1)&gt;0,($U529-INDEX(Hourly_Analysis!$F$5:$F$28,$J529+1))/INDEX(Hourly_Analysis!$G$5:$G$28,$J529+1),0)),2)</f>
        <v>-0.61</v>
      </c>
      <c r="AH529" s="23" t="str">
        <f>IF(ABS($AG529)&gt;Lookups!$B$20,IF($AG529&gt;0,"High anomaly","Low anomaly"),"")</f>
        <v/>
      </c>
      <c r="AI529" s="23" t="str">
        <f t="shared" si="52"/>
        <v>OK</v>
      </c>
      <c r="AJ529" s="23" t="str">
        <f t="shared" si="53"/>
        <v>No</v>
      </c>
    </row>
    <row r="530" spans="1:36" x14ac:dyDescent="0.35">
      <c r="A530" s="23">
        <v>529</v>
      </c>
      <c r="B530" s="23" t="str">
        <f t="shared" si="48"/>
        <v>Merge 1+2</v>
      </c>
      <c r="C530" s="23">
        <f>IFERROR(MATCH($A530,Merge_1_2!$A$2:$A$611,0),0)</f>
        <v>529</v>
      </c>
      <c r="D530" s="23">
        <f>IF($C530&gt;0,INDEX(Merge_1_2!$Q$2:$Q$611,$C530),0)</f>
        <v>529</v>
      </c>
      <c r="E530" s="23">
        <f>IFERROR(MATCH($A530,Dataset3_Raw!$A$2:$A$391,0),0)</f>
        <v>0</v>
      </c>
      <c r="F530" s="24">
        <f>IF($C530&gt;0,INDEX(Merge_1_2!$B$2:$B$611,$C530),DATE(VALUE(RIGHT(INDEX(Dataset3_Raw!$B$2:$B$391,$E530),4)),VALUE(MID(INDEX(Dataset3_Raw!$B$2:$B$391,$E530),4,2)),VALUE(LEFT(INDEX(Dataset3_Raw!$B$2:$B$391,$E530),2))))</f>
        <v>40567</v>
      </c>
      <c r="G530" s="23">
        <f>IF($C530&gt;0,INDEX(Merge_1_2!$C$2:$C$611,$C530),INDEX(Dataset3_Raw!$C$2:$C$391,$E530))</f>
        <v>1</v>
      </c>
      <c r="H530" s="23">
        <f>IF($C530&gt;0,INDEX(Merge_1_2!$D$2:$D$611,$C530),INDEX(Dataset3_Raw!$D$2:$D$391,$E530))</f>
        <v>0</v>
      </c>
      <c r="I530" s="23">
        <f>IF($C530&gt;0,INDEX(Merge_1_2!$E$2:$E$611,$C530),INDEX(Dataset3_Raw!$E$2:$E$391,$E530))</f>
        <v>1</v>
      </c>
      <c r="J530" s="23">
        <f>IF($C530&gt;0,INDEX(Merge_1_2!$F$2:$F$611,$C530),INDEX(Dataset3_Raw!$F$2:$F$391,$E530))</f>
        <v>4</v>
      </c>
      <c r="K530" s="23" t="b">
        <f>IF($C530&gt;0,INDEX(Merge_1_2!$G$2:$G$611,$C530),INDEX(Dataset3_Raw!$G$2:$G$391,$E530))</f>
        <v>0</v>
      </c>
      <c r="L530" s="23">
        <f>IF($C530&gt;0,INDEX(Merge_1_2!$H$2:$H$611,$C530),INDEX(Dataset3_Raw!$H$2:$H$391,$E530))</f>
        <v>1</v>
      </c>
      <c r="M530" s="23">
        <f>IF($C530&gt;0,INDEX(Merge_1_2!$I$2:$I$611,$C530),INDEX(Dataset3_Raw!$I$2:$I$391,$E530))</f>
        <v>1</v>
      </c>
      <c r="N530" s="25">
        <f>IF($C530&gt;0,INDEX(Merge_1_2!$J$2:$J$611,$C530),INDEX(Dataset3_Raw!$J$2:$J$391,$E530))</f>
        <v>0.02</v>
      </c>
      <c r="O530" s="25">
        <f>IF($C530&gt;0,IF(ISNUMBER(INDEX(Merge_1_2!$K$2:$K$611,$C530)),INDEX(Merge_1_2!$K$2:$K$611,$C530),""),INDEX(Dataset3_Raw!$K$2:$K$391,$E530))</f>
        <v>6.0600000000000001E-2</v>
      </c>
      <c r="P530" s="25">
        <f>IF(ISNUMBER($O530),$O530,ROUND(Lookups!$B$25+Lookups!$B$24*$N530,4))</f>
        <v>6.0600000000000001E-2</v>
      </c>
      <c r="Q530" s="25">
        <f>IF($C530&gt;0,INDEX(Merge_1_2!$L$2:$L$611,$C530),INDEX(Dataset3_Raw!$L$2:$L$391,$E530))</f>
        <v>0.48</v>
      </c>
      <c r="R530" s="25">
        <f>IF($C530&gt;0,INDEX(Merge_1_2!$M$2:$M$611,$C530),INDEX(Dataset3_Raw!$M$2:$M$391,$E530))</f>
        <v>0.1343</v>
      </c>
      <c r="S530" s="23">
        <f>IF($C530&gt;0,INDEX(Merge_1_2!$N$2:$N$611,$C530),INDEX(Dataset3_Raw!$N$2:$N$391,$E530))</f>
        <v>0</v>
      </c>
      <c r="T530" s="23">
        <f>IF($C530&gt;0,INDEX(Merge_1_2!$O$2:$O$611,$C530),INDEX(Dataset3_Raw!$O$2:$O$391,$E530))</f>
        <v>1</v>
      </c>
      <c r="U530" s="23">
        <f>IF($C530&gt;0,INDEX(Merge_1_2!$P$2:$P$611,$C530),INDEX(Dataset3_Raw!$P$2:$P$391,$E530))</f>
        <v>1</v>
      </c>
      <c r="V530" s="23" t="str">
        <f t="shared" si="49"/>
        <v>Weekday</v>
      </c>
      <c r="W530" s="23" t="str">
        <f>VLOOKUP($M530,Lookups!$A$5:$B$8,2,FALSE())</f>
        <v>Clear / Partly cloudy</v>
      </c>
      <c r="X530" s="23" t="str">
        <f>VLOOKUP($G530,Lookups!$D$5:$E$8,2,FALSE())</f>
        <v>Winter</v>
      </c>
      <c r="Y530" s="23" t="str">
        <f>VLOOKUP($L530,Lookups!$G$5:$H$11,2,FALSE())</f>
        <v>Monday</v>
      </c>
      <c r="Z530" s="23" t="str">
        <f>IF($J530&lt;Lookups!$B$26,"Night",IF($J530&lt;Lookups!$B$27,"Morning",IF($J530&lt;Lookups!$B$28,"Afternoon","Evening")))</f>
        <v>Night</v>
      </c>
      <c r="AA530" s="26">
        <f>ROUND($N530*(Lookups!$B$16-Lookups!$B$15)+Lookups!$B$15,1)</f>
        <v>-7.1</v>
      </c>
      <c r="AB530" s="26">
        <f>ROUND($P530*(Lookups!$B$18-Lookups!$B$17)+Lookups!$B$17,1)</f>
        <v>-12</v>
      </c>
      <c r="AC530" s="23">
        <f t="shared" si="50"/>
        <v>48</v>
      </c>
      <c r="AD530" s="23">
        <f>ROUND($R530*Lookups!$B$19,1)</f>
        <v>9</v>
      </c>
      <c r="AE530" s="27">
        <f t="shared" si="51"/>
        <v>1</v>
      </c>
      <c r="AF530" s="23" t="str">
        <f>IF($U530&gt;=Lookups!$B$23,"High",IF($U530&gt;=Lookups!$B$22,"Medium","Low"))</f>
        <v>Low</v>
      </c>
      <c r="AG530" s="23">
        <f>ROUND(IF($V530="Weekday",IF(INDEX(Hourly_Analysis!$D$5:$D$28,$J530+1)&gt;0,($U530-INDEX(Hourly_Analysis!$C$5:$C$28,$J530+1))/INDEX(Hourly_Analysis!$D$5:$D$28,$J530+1),0),IF(INDEX(Hourly_Analysis!$G$5:$G$28,$J530+1)&gt;0,($U530-INDEX(Hourly_Analysis!$F$5:$F$28,$J530+1))/INDEX(Hourly_Analysis!$G$5:$G$28,$J530+1),0)),2)</f>
        <v>-0.81</v>
      </c>
      <c r="AH530" s="23" t="str">
        <f>IF(ABS($AG530)&gt;Lookups!$B$20,IF($AG530&gt;0,"High anomaly","Low anomaly"),"")</f>
        <v/>
      </c>
      <c r="AI530" s="23" t="str">
        <f t="shared" si="52"/>
        <v>OK</v>
      </c>
      <c r="AJ530" s="23" t="str">
        <f t="shared" si="53"/>
        <v>No</v>
      </c>
    </row>
    <row r="531" spans="1:36" x14ac:dyDescent="0.35">
      <c r="A531" s="23">
        <v>530</v>
      </c>
      <c r="B531" s="23" t="str">
        <f t="shared" si="48"/>
        <v>Merge 1+2</v>
      </c>
      <c r="C531" s="23">
        <f>IFERROR(MATCH($A531,Merge_1_2!$A$2:$A$611,0),0)</f>
        <v>530</v>
      </c>
      <c r="D531" s="23">
        <f>IF($C531&gt;0,INDEX(Merge_1_2!$Q$2:$Q$611,$C531),0)</f>
        <v>530</v>
      </c>
      <c r="E531" s="23">
        <f>IFERROR(MATCH($A531,Dataset3_Raw!$A$2:$A$391,0),0)</f>
        <v>0</v>
      </c>
      <c r="F531" s="24">
        <f>IF($C531&gt;0,INDEX(Merge_1_2!$B$2:$B$611,$C531),DATE(VALUE(RIGHT(INDEX(Dataset3_Raw!$B$2:$B$391,$E531),4)),VALUE(MID(INDEX(Dataset3_Raw!$B$2:$B$391,$E531),4,2)),VALUE(LEFT(INDEX(Dataset3_Raw!$B$2:$B$391,$E531),2))))</f>
        <v>40567</v>
      </c>
      <c r="G531" s="23">
        <f>IF($C531&gt;0,INDEX(Merge_1_2!$C$2:$C$611,$C531),INDEX(Dataset3_Raw!$C$2:$C$391,$E531))</f>
        <v>1</v>
      </c>
      <c r="H531" s="23">
        <f>IF($C531&gt;0,INDEX(Merge_1_2!$D$2:$D$611,$C531),INDEX(Dataset3_Raw!$D$2:$D$391,$E531))</f>
        <v>0</v>
      </c>
      <c r="I531" s="23">
        <f>IF($C531&gt;0,INDEX(Merge_1_2!$E$2:$E$611,$C531),INDEX(Dataset3_Raw!$E$2:$E$391,$E531))</f>
        <v>1</v>
      </c>
      <c r="J531" s="23">
        <f>IF($C531&gt;0,INDEX(Merge_1_2!$F$2:$F$611,$C531),INDEX(Dataset3_Raw!$F$2:$F$391,$E531))</f>
        <v>5</v>
      </c>
      <c r="K531" s="23" t="b">
        <f>IF($C531&gt;0,INDEX(Merge_1_2!$G$2:$G$611,$C531),INDEX(Dataset3_Raw!$G$2:$G$391,$E531))</f>
        <v>0</v>
      </c>
      <c r="L531" s="23">
        <f>IF($C531&gt;0,INDEX(Merge_1_2!$H$2:$H$611,$C531),INDEX(Dataset3_Raw!$H$2:$H$391,$E531))</f>
        <v>1</v>
      </c>
      <c r="M531" s="23">
        <f>IF($C531&gt;0,INDEX(Merge_1_2!$I$2:$I$611,$C531),INDEX(Dataset3_Raw!$I$2:$I$391,$E531))</f>
        <v>1</v>
      </c>
      <c r="N531" s="25">
        <f>IF($C531&gt;0,INDEX(Merge_1_2!$J$2:$J$611,$C531),INDEX(Dataset3_Raw!$J$2:$J$391,$E531))</f>
        <v>0.02</v>
      </c>
      <c r="O531" s="25">
        <f>IF($C531&gt;0,IF(ISNUMBER(INDEX(Merge_1_2!$K$2:$K$611,$C531)),INDEX(Merge_1_2!$K$2:$K$611,$C531),""),INDEX(Dataset3_Raw!$K$2:$K$391,$E531))</f>
        <v>6.0600000000000001E-2</v>
      </c>
      <c r="P531" s="25">
        <f>IF(ISNUMBER($O531),$O531,ROUND(Lookups!$B$25+Lookups!$B$24*$N531,4))</f>
        <v>6.0600000000000001E-2</v>
      </c>
      <c r="Q531" s="25">
        <f>IF($C531&gt;0,INDEX(Merge_1_2!$L$2:$L$611,$C531),INDEX(Dataset3_Raw!$L$2:$L$391,$E531))</f>
        <v>0.48</v>
      </c>
      <c r="R531" s="25">
        <f>IF($C531&gt;0,INDEX(Merge_1_2!$M$2:$M$611,$C531),INDEX(Dataset3_Raw!$M$2:$M$391,$E531))</f>
        <v>0.1343</v>
      </c>
      <c r="S531" s="23">
        <f>IF($C531&gt;0,INDEX(Merge_1_2!$N$2:$N$611,$C531),INDEX(Dataset3_Raw!$N$2:$N$391,$E531))</f>
        <v>0</v>
      </c>
      <c r="T531" s="23">
        <f>IF($C531&gt;0,INDEX(Merge_1_2!$O$2:$O$611,$C531),INDEX(Dataset3_Raw!$O$2:$O$391,$E531))</f>
        <v>5</v>
      </c>
      <c r="U531" s="23">
        <f>IF($C531&gt;0,INDEX(Merge_1_2!$P$2:$P$611,$C531),INDEX(Dataset3_Raw!$P$2:$P$391,$E531))</f>
        <v>5</v>
      </c>
      <c r="V531" s="23" t="str">
        <f t="shared" si="49"/>
        <v>Weekday</v>
      </c>
      <c r="W531" s="23" t="str">
        <f>VLOOKUP($M531,Lookups!$A$5:$B$8,2,FALSE())</f>
        <v>Clear / Partly cloudy</v>
      </c>
      <c r="X531" s="23" t="str">
        <f>VLOOKUP($G531,Lookups!$D$5:$E$8,2,FALSE())</f>
        <v>Winter</v>
      </c>
      <c r="Y531" s="23" t="str">
        <f>VLOOKUP($L531,Lookups!$G$5:$H$11,2,FALSE())</f>
        <v>Monday</v>
      </c>
      <c r="Z531" s="23" t="str">
        <f>IF($J531&lt;Lookups!$B$26,"Night",IF($J531&lt;Lookups!$B$27,"Morning",IF($J531&lt;Lookups!$B$28,"Afternoon","Evening")))</f>
        <v>Night</v>
      </c>
      <c r="AA531" s="26">
        <f>ROUND($N531*(Lookups!$B$16-Lookups!$B$15)+Lookups!$B$15,1)</f>
        <v>-7.1</v>
      </c>
      <c r="AB531" s="26">
        <f>ROUND($P531*(Lookups!$B$18-Lookups!$B$17)+Lookups!$B$17,1)</f>
        <v>-12</v>
      </c>
      <c r="AC531" s="23">
        <f t="shared" si="50"/>
        <v>48</v>
      </c>
      <c r="AD531" s="23">
        <f>ROUND($R531*Lookups!$B$19,1)</f>
        <v>9</v>
      </c>
      <c r="AE531" s="27">
        <f t="shared" si="51"/>
        <v>1</v>
      </c>
      <c r="AF531" s="23" t="str">
        <f>IF($U531&gt;=Lookups!$B$23,"High",IF($U531&gt;=Lookups!$B$22,"Medium","Low"))</f>
        <v>Low</v>
      </c>
      <c r="AG531" s="23">
        <f>ROUND(IF($V531="Weekday",IF(INDEX(Hourly_Analysis!$D$5:$D$28,$J531+1)&gt;0,($U531-INDEX(Hourly_Analysis!$C$5:$C$28,$J531+1))/INDEX(Hourly_Analysis!$D$5:$D$28,$J531+1),0),IF(INDEX(Hourly_Analysis!$G$5:$G$28,$J531+1)&gt;0,($U531-INDEX(Hourly_Analysis!$F$5:$F$28,$J531+1))/INDEX(Hourly_Analysis!$G$5:$G$28,$J531+1),0)),2)</f>
        <v>0.06</v>
      </c>
      <c r="AH531" s="23" t="str">
        <f>IF(ABS($AG531)&gt;Lookups!$B$20,IF($AG531&gt;0,"High anomaly","Low anomaly"),"")</f>
        <v/>
      </c>
      <c r="AI531" s="23" t="str">
        <f t="shared" si="52"/>
        <v>OK</v>
      </c>
      <c r="AJ531" s="23" t="str">
        <f t="shared" si="53"/>
        <v>No</v>
      </c>
    </row>
    <row r="532" spans="1:36" x14ac:dyDescent="0.35">
      <c r="A532" s="23">
        <v>531</v>
      </c>
      <c r="B532" s="23" t="str">
        <f t="shared" si="48"/>
        <v>Merge 1+2</v>
      </c>
      <c r="C532" s="23">
        <f>IFERROR(MATCH($A532,Merge_1_2!$A$2:$A$611,0),0)</f>
        <v>531</v>
      </c>
      <c r="D532" s="23">
        <f>IF($C532&gt;0,INDEX(Merge_1_2!$Q$2:$Q$611,$C532),0)</f>
        <v>531</v>
      </c>
      <c r="E532" s="23">
        <f>IFERROR(MATCH($A532,Dataset3_Raw!$A$2:$A$391,0),0)</f>
        <v>0</v>
      </c>
      <c r="F532" s="24">
        <f>IF($C532&gt;0,INDEX(Merge_1_2!$B$2:$B$611,$C532),DATE(VALUE(RIGHT(INDEX(Dataset3_Raw!$B$2:$B$391,$E532),4)),VALUE(MID(INDEX(Dataset3_Raw!$B$2:$B$391,$E532),4,2)),VALUE(LEFT(INDEX(Dataset3_Raw!$B$2:$B$391,$E532),2))))</f>
        <v>40567</v>
      </c>
      <c r="G532" s="23">
        <f>IF($C532&gt;0,INDEX(Merge_1_2!$C$2:$C$611,$C532),INDEX(Dataset3_Raw!$C$2:$C$391,$E532))</f>
        <v>1</v>
      </c>
      <c r="H532" s="23">
        <f>IF($C532&gt;0,INDEX(Merge_1_2!$D$2:$D$611,$C532),INDEX(Dataset3_Raw!$D$2:$D$391,$E532))</f>
        <v>0</v>
      </c>
      <c r="I532" s="23">
        <f>IF($C532&gt;0,INDEX(Merge_1_2!$E$2:$E$611,$C532),INDEX(Dataset3_Raw!$E$2:$E$391,$E532))</f>
        <v>1</v>
      </c>
      <c r="J532" s="23">
        <f>IF($C532&gt;0,INDEX(Merge_1_2!$F$2:$F$611,$C532),INDEX(Dataset3_Raw!$F$2:$F$391,$E532))</f>
        <v>6</v>
      </c>
      <c r="K532" s="23" t="b">
        <f>IF($C532&gt;0,INDEX(Merge_1_2!$G$2:$G$611,$C532),INDEX(Dataset3_Raw!$G$2:$G$391,$E532))</f>
        <v>0</v>
      </c>
      <c r="L532" s="23">
        <f>IF($C532&gt;0,INDEX(Merge_1_2!$H$2:$H$611,$C532),INDEX(Dataset3_Raw!$H$2:$H$391,$E532))</f>
        <v>1</v>
      </c>
      <c r="M532" s="23">
        <f>IF($C532&gt;0,INDEX(Merge_1_2!$I$2:$I$611,$C532),INDEX(Dataset3_Raw!$I$2:$I$391,$E532))</f>
        <v>1</v>
      </c>
      <c r="N532" s="25">
        <f>IF($C532&gt;0,INDEX(Merge_1_2!$J$2:$J$611,$C532),INDEX(Dataset3_Raw!$J$2:$J$391,$E532))</f>
        <v>0.02</v>
      </c>
      <c r="O532" s="25">
        <f>IF($C532&gt;0,IF(ISNUMBER(INDEX(Merge_1_2!$K$2:$K$611,$C532)),INDEX(Merge_1_2!$K$2:$K$611,$C532),""),INDEX(Dataset3_Raw!$K$2:$K$391,$E532))</f>
        <v>7.5800000000000006E-2</v>
      </c>
      <c r="P532" s="25">
        <f>IF(ISNUMBER($O532),$O532,ROUND(Lookups!$B$25+Lookups!$B$24*$N532,4))</f>
        <v>7.5800000000000006E-2</v>
      </c>
      <c r="Q532" s="25">
        <f>IF($C532&gt;0,INDEX(Merge_1_2!$L$2:$L$611,$C532),INDEX(Dataset3_Raw!$L$2:$L$391,$E532))</f>
        <v>0.48</v>
      </c>
      <c r="R532" s="25">
        <f>IF($C532&gt;0,INDEX(Merge_1_2!$M$2:$M$611,$C532),INDEX(Dataset3_Raw!$M$2:$M$391,$E532))</f>
        <v>8.9599999999999999E-2</v>
      </c>
      <c r="S532" s="23">
        <f>IF($C532&gt;0,INDEX(Merge_1_2!$N$2:$N$611,$C532),INDEX(Dataset3_Raw!$N$2:$N$391,$E532))</f>
        <v>0</v>
      </c>
      <c r="T532" s="23">
        <f>IF($C532&gt;0,INDEX(Merge_1_2!$O$2:$O$611,$C532),INDEX(Dataset3_Raw!$O$2:$O$391,$E532))</f>
        <v>15</v>
      </c>
      <c r="U532" s="23">
        <f>IF($C532&gt;0,INDEX(Merge_1_2!$P$2:$P$611,$C532),INDEX(Dataset3_Raw!$P$2:$P$391,$E532))</f>
        <v>15</v>
      </c>
      <c r="V532" s="23" t="str">
        <f t="shared" si="49"/>
        <v>Weekday</v>
      </c>
      <c r="W532" s="23" t="str">
        <f>VLOOKUP($M532,Lookups!$A$5:$B$8,2,FALSE())</f>
        <v>Clear / Partly cloudy</v>
      </c>
      <c r="X532" s="23" t="str">
        <f>VLOOKUP($G532,Lookups!$D$5:$E$8,2,FALSE())</f>
        <v>Winter</v>
      </c>
      <c r="Y532" s="23" t="str">
        <f>VLOOKUP($L532,Lookups!$G$5:$H$11,2,FALSE())</f>
        <v>Monday</v>
      </c>
      <c r="Z532" s="23" t="str">
        <f>IF($J532&lt;Lookups!$B$26,"Night",IF($J532&lt;Lookups!$B$27,"Morning",IF($J532&lt;Lookups!$B$28,"Afternoon","Evening")))</f>
        <v>Morning</v>
      </c>
      <c r="AA532" s="26">
        <f>ROUND($N532*(Lookups!$B$16-Lookups!$B$15)+Lookups!$B$15,1)</f>
        <v>-7.1</v>
      </c>
      <c r="AB532" s="26">
        <f>ROUND($P532*(Lookups!$B$18-Lookups!$B$17)+Lookups!$B$17,1)</f>
        <v>-11</v>
      </c>
      <c r="AC532" s="23">
        <f t="shared" si="50"/>
        <v>48</v>
      </c>
      <c r="AD532" s="23">
        <f>ROUND($R532*Lookups!$B$19,1)</f>
        <v>6</v>
      </c>
      <c r="AE532" s="27">
        <f t="shared" si="51"/>
        <v>1</v>
      </c>
      <c r="AF532" s="23" t="str">
        <f>IF($U532&gt;=Lookups!$B$23,"High",IF($U532&gt;=Lookups!$B$22,"Medium","Low"))</f>
        <v>Low</v>
      </c>
      <c r="AG532" s="23">
        <f>ROUND(IF($V532="Weekday",IF(INDEX(Hourly_Analysis!$D$5:$D$28,$J532+1)&gt;0,($U532-INDEX(Hourly_Analysis!$C$5:$C$28,$J532+1))/INDEX(Hourly_Analysis!$D$5:$D$28,$J532+1),0),IF(INDEX(Hourly_Analysis!$G$5:$G$28,$J532+1)&gt;0,($U532-INDEX(Hourly_Analysis!$F$5:$F$28,$J532+1))/INDEX(Hourly_Analysis!$G$5:$G$28,$J532+1),0)),2)</f>
        <v>-1.52</v>
      </c>
      <c r="AH532" s="23" t="str">
        <f>IF(ABS($AG532)&gt;Lookups!$B$20,IF($AG532&gt;0,"High anomaly","Low anomaly"),"")</f>
        <v/>
      </c>
      <c r="AI532" s="23" t="str">
        <f t="shared" si="52"/>
        <v>OK</v>
      </c>
      <c r="AJ532" s="23" t="str">
        <f t="shared" si="53"/>
        <v>No</v>
      </c>
    </row>
    <row r="533" spans="1:36" x14ac:dyDescent="0.35">
      <c r="A533" s="23">
        <v>532</v>
      </c>
      <c r="B533" s="23" t="str">
        <f t="shared" si="48"/>
        <v>Merge 1+2</v>
      </c>
      <c r="C533" s="23">
        <f>IFERROR(MATCH($A533,Merge_1_2!$A$2:$A$611,0),0)</f>
        <v>532</v>
      </c>
      <c r="D533" s="23">
        <f>IF($C533&gt;0,INDEX(Merge_1_2!$Q$2:$Q$611,$C533),0)</f>
        <v>532</v>
      </c>
      <c r="E533" s="23">
        <f>IFERROR(MATCH($A533,Dataset3_Raw!$A$2:$A$391,0),0)</f>
        <v>0</v>
      </c>
      <c r="F533" s="24">
        <f>IF($C533&gt;0,INDEX(Merge_1_2!$B$2:$B$611,$C533),DATE(VALUE(RIGHT(INDEX(Dataset3_Raw!$B$2:$B$391,$E533),4)),VALUE(MID(INDEX(Dataset3_Raw!$B$2:$B$391,$E533),4,2)),VALUE(LEFT(INDEX(Dataset3_Raw!$B$2:$B$391,$E533),2))))</f>
        <v>40567</v>
      </c>
      <c r="G533" s="23">
        <f>IF($C533&gt;0,INDEX(Merge_1_2!$C$2:$C$611,$C533),INDEX(Dataset3_Raw!$C$2:$C$391,$E533))</f>
        <v>1</v>
      </c>
      <c r="H533" s="23">
        <f>IF($C533&gt;0,INDEX(Merge_1_2!$D$2:$D$611,$C533),INDEX(Dataset3_Raw!$D$2:$D$391,$E533))</f>
        <v>0</v>
      </c>
      <c r="I533" s="23">
        <f>IF($C533&gt;0,INDEX(Merge_1_2!$E$2:$E$611,$C533),INDEX(Dataset3_Raw!$E$2:$E$391,$E533))</f>
        <v>1</v>
      </c>
      <c r="J533" s="23">
        <f>IF($C533&gt;0,INDEX(Merge_1_2!$F$2:$F$611,$C533),INDEX(Dataset3_Raw!$F$2:$F$391,$E533))</f>
        <v>7</v>
      </c>
      <c r="K533" s="23" t="b">
        <f>IF($C533&gt;0,INDEX(Merge_1_2!$G$2:$G$611,$C533),INDEX(Dataset3_Raw!$G$2:$G$391,$E533))</f>
        <v>0</v>
      </c>
      <c r="L533" s="23">
        <f>IF($C533&gt;0,INDEX(Merge_1_2!$H$2:$H$611,$C533),INDEX(Dataset3_Raw!$H$2:$H$391,$E533))</f>
        <v>1</v>
      </c>
      <c r="M533" s="23">
        <f>IF($C533&gt;0,INDEX(Merge_1_2!$I$2:$I$611,$C533),INDEX(Dataset3_Raw!$I$2:$I$391,$E533))</f>
        <v>1</v>
      </c>
      <c r="N533" s="25">
        <f>IF($C533&gt;0,INDEX(Merge_1_2!$J$2:$J$611,$C533),INDEX(Dataset3_Raw!$J$2:$J$391,$E533))</f>
        <v>0.02</v>
      </c>
      <c r="O533" s="25">
        <f>IF($C533&gt;0,IF(ISNUMBER(INDEX(Merge_1_2!$K$2:$K$611,$C533)),INDEX(Merge_1_2!$K$2:$K$611,$C533),""),INDEX(Dataset3_Raw!$K$2:$K$391,$E533))</f>
        <v>0.1212</v>
      </c>
      <c r="P533" s="25">
        <f>IF(ISNUMBER($O533),$O533,ROUND(Lookups!$B$25+Lookups!$B$24*$N533,4))</f>
        <v>0.1212</v>
      </c>
      <c r="Q533" s="25">
        <f>IF($C533&gt;0,INDEX(Merge_1_2!$L$2:$L$611,$C533),INDEX(Dataset3_Raw!$L$2:$L$391,$E533))</f>
        <v>0.48</v>
      </c>
      <c r="R533" s="25">
        <f>IF($C533&gt;0,INDEX(Merge_1_2!$M$2:$M$611,$C533),INDEX(Dataset3_Raw!$M$2:$M$391,$E533))</f>
        <v>0</v>
      </c>
      <c r="S533" s="23">
        <f>IF($C533&gt;0,INDEX(Merge_1_2!$N$2:$N$611,$C533),INDEX(Dataset3_Raw!$N$2:$N$391,$E533))</f>
        <v>5</v>
      </c>
      <c r="T533" s="23">
        <f>IF($C533&gt;0,INDEX(Merge_1_2!$O$2:$O$611,$C533),INDEX(Dataset3_Raw!$O$2:$O$391,$E533))</f>
        <v>79</v>
      </c>
      <c r="U533" s="23">
        <f>IF($C533&gt;0,INDEX(Merge_1_2!$P$2:$P$611,$C533),INDEX(Dataset3_Raw!$P$2:$P$391,$E533))</f>
        <v>84</v>
      </c>
      <c r="V533" s="23" t="str">
        <f t="shared" si="49"/>
        <v>Weekday</v>
      </c>
      <c r="W533" s="23" t="str">
        <f>VLOOKUP($M533,Lookups!$A$5:$B$8,2,FALSE())</f>
        <v>Clear / Partly cloudy</v>
      </c>
      <c r="X533" s="23" t="str">
        <f>VLOOKUP($G533,Lookups!$D$5:$E$8,2,FALSE())</f>
        <v>Winter</v>
      </c>
      <c r="Y533" s="23" t="str">
        <f>VLOOKUP($L533,Lookups!$G$5:$H$11,2,FALSE())</f>
        <v>Monday</v>
      </c>
      <c r="Z533" s="23" t="str">
        <f>IF($J533&lt;Lookups!$B$26,"Night",IF($J533&lt;Lookups!$B$27,"Morning",IF($J533&lt;Lookups!$B$28,"Afternoon","Evening")))</f>
        <v>Morning</v>
      </c>
      <c r="AA533" s="26">
        <f>ROUND($N533*(Lookups!$B$16-Lookups!$B$15)+Lookups!$B$15,1)</f>
        <v>-7.1</v>
      </c>
      <c r="AB533" s="26">
        <f>ROUND($P533*(Lookups!$B$18-Lookups!$B$17)+Lookups!$B$17,1)</f>
        <v>-8</v>
      </c>
      <c r="AC533" s="23">
        <f t="shared" si="50"/>
        <v>48</v>
      </c>
      <c r="AD533" s="23">
        <f>ROUND($R533*Lookups!$B$19,1)</f>
        <v>0</v>
      </c>
      <c r="AE533" s="27">
        <f t="shared" si="51"/>
        <v>0.94047619047619047</v>
      </c>
      <c r="AF533" s="23" t="str">
        <f>IF($U533&gt;=Lookups!$B$23,"High",IF($U533&gt;=Lookups!$B$22,"Medium","Low"))</f>
        <v>High</v>
      </c>
      <c r="AG533" s="23">
        <f>ROUND(IF($V533="Weekday",IF(INDEX(Hourly_Analysis!$D$5:$D$28,$J533+1)&gt;0,($U533-INDEX(Hourly_Analysis!$C$5:$C$28,$J533+1))/INDEX(Hourly_Analysis!$D$5:$D$28,$J533+1),0),IF(INDEX(Hourly_Analysis!$G$5:$G$28,$J533+1)&gt;0,($U533-INDEX(Hourly_Analysis!$F$5:$F$28,$J533+1))/INDEX(Hourly_Analysis!$G$5:$G$28,$J533+1),0)),2)</f>
        <v>0.19</v>
      </c>
      <c r="AH533" s="23" t="str">
        <f>IF(ABS($AG533)&gt;Lookups!$B$20,IF($AG533&gt;0,"High anomaly","Low anomaly"),"")</f>
        <v/>
      </c>
      <c r="AI533" s="23" t="str">
        <f t="shared" si="52"/>
        <v>OK</v>
      </c>
      <c r="AJ533" s="23" t="str">
        <f t="shared" si="53"/>
        <v>No</v>
      </c>
    </row>
    <row r="534" spans="1:36" x14ac:dyDescent="0.35">
      <c r="A534" s="23">
        <v>533</v>
      </c>
      <c r="B534" s="23" t="str">
        <f t="shared" si="48"/>
        <v>Merge 1+2</v>
      </c>
      <c r="C534" s="23">
        <f>IFERROR(MATCH($A534,Merge_1_2!$A$2:$A$611,0),0)</f>
        <v>533</v>
      </c>
      <c r="D534" s="23">
        <f>IF($C534&gt;0,INDEX(Merge_1_2!$Q$2:$Q$611,$C534),0)</f>
        <v>533</v>
      </c>
      <c r="E534" s="23">
        <f>IFERROR(MATCH($A534,Dataset3_Raw!$A$2:$A$391,0),0)</f>
        <v>0</v>
      </c>
      <c r="F534" s="24">
        <f>IF($C534&gt;0,INDEX(Merge_1_2!$B$2:$B$611,$C534),DATE(VALUE(RIGHT(INDEX(Dataset3_Raw!$B$2:$B$391,$E534),4)),VALUE(MID(INDEX(Dataset3_Raw!$B$2:$B$391,$E534),4,2)),VALUE(LEFT(INDEX(Dataset3_Raw!$B$2:$B$391,$E534),2))))</f>
        <v>40567</v>
      </c>
      <c r="G534" s="23">
        <f>IF($C534&gt;0,INDEX(Merge_1_2!$C$2:$C$611,$C534),INDEX(Dataset3_Raw!$C$2:$C$391,$E534))</f>
        <v>1</v>
      </c>
      <c r="H534" s="23">
        <f>IF($C534&gt;0,INDEX(Merge_1_2!$D$2:$D$611,$C534),INDEX(Dataset3_Raw!$D$2:$D$391,$E534))</f>
        <v>0</v>
      </c>
      <c r="I534" s="23">
        <f>IF($C534&gt;0,INDEX(Merge_1_2!$E$2:$E$611,$C534),INDEX(Dataset3_Raw!$E$2:$E$391,$E534))</f>
        <v>1</v>
      </c>
      <c r="J534" s="23">
        <f>IF($C534&gt;0,INDEX(Merge_1_2!$F$2:$F$611,$C534),INDEX(Dataset3_Raw!$F$2:$F$391,$E534))</f>
        <v>8</v>
      </c>
      <c r="K534" s="23" t="b">
        <f>IF($C534&gt;0,INDEX(Merge_1_2!$G$2:$G$611,$C534),INDEX(Dataset3_Raw!$G$2:$G$391,$E534))</f>
        <v>0</v>
      </c>
      <c r="L534" s="23">
        <f>IF($C534&gt;0,INDEX(Merge_1_2!$H$2:$H$611,$C534),INDEX(Dataset3_Raw!$H$2:$H$391,$E534))</f>
        <v>1</v>
      </c>
      <c r="M534" s="23">
        <f>IF($C534&gt;0,INDEX(Merge_1_2!$I$2:$I$611,$C534),INDEX(Dataset3_Raw!$I$2:$I$391,$E534))</f>
        <v>1</v>
      </c>
      <c r="N534" s="25">
        <f>IF($C534&gt;0,INDEX(Merge_1_2!$J$2:$J$611,$C534),INDEX(Dataset3_Raw!$J$2:$J$391,$E534))</f>
        <v>0.04</v>
      </c>
      <c r="O534" s="25">
        <f>IF($C534&gt;0,IF(ISNUMBER(INDEX(Merge_1_2!$K$2:$K$611,$C534)),INDEX(Merge_1_2!$K$2:$K$611,$C534),""),INDEX(Dataset3_Raw!$K$2:$K$391,$E534))</f>
        <v>0.13639999999999999</v>
      </c>
      <c r="P534" s="25">
        <f>IF(ISNUMBER($O534),$O534,ROUND(Lookups!$B$25+Lookups!$B$24*$N534,4))</f>
        <v>0.13639999999999999</v>
      </c>
      <c r="Q534" s="25">
        <f>IF($C534&gt;0,INDEX(Merge_1_2!$L$2:$L$611,$C534),INDEX(Dataset3_Raw!$L$2:$L$391,$E534))</f>
        <v>0.49</v>
      </c>
      <c r="R534" s="25">
        <f>IF($C534&gt;0,INDEX(Merge_1_2!$M$2:$M$611,$C534),INDEX(Dataset3_Raw!$M$2:$M$391,$E534))</f>
        <v>0</v>
      </c>
      <c r="S534" s="23">
        <f>IF($C534&gt;0,INDEX(Merge_1_2!$N$2:$N$611,$C534),INDEX(Dataset3_Raw!$N$2:$N$391,$E534))</f>
        <v>6</v>
      </c>
      <c r="T534" s="23">
        <f>IF($C534&gt;0,INDEX(Merge_1_2!$O$2:$O$611,$C534),INDEX(Dataset3_Raw!$O$2:$O$391,$E534))</f>
        <v>171</v>
      </c>
      <c r="U534" s="23">
        <f>IF($C534&gt;0,INDEX(Merge_1_2!$P$2:$P$611,$C534),INDEX(Dataset3_Raw!$P$2:$P$391,$E534))</f>
        <v>177</v>
      </c>
      <c r="V534" s="23" t="str">
        <f t="shared" si="49"/>
        <v>Weekday</v>
      </c>
      <c r="W534" s="23" t="str">
        <f>VLOOKUP($M534,Lookups!$A$5:$B$8,2,FALSE())</f>
        <v>Clear / Partly cloudy</v>
      </c>
      <c r="X534" s="23" t="str">
        <f>VLOOKUP($G534,Lookups!$D$5:$E$8,2,FALSE())</f>
        <v>Winter</v>
      </c>
      <c r="Y534" s="23" t="str">
        <f>VLOOKUP($L534,Lookups!$G$5:$H$11,2,FALSE())</f>
        <v>Monday</v>
      </c>
      <c r="Z534" s="23" t="str">
        <f>IF($J534&lt;Lookups!$B$26,"Night",IF($J534&lt;Lookups!$B$27,"Morning",IF($J534&lt;Lookups!$B$28,"Afternoon","Evening")))</f>
        <v>Morning</v>
      </c>
      <c r="AA534" s="26">
        <f>ROUND($N534*(Lookups!$B$16-Lookups!$B$15)+Lookups!$B$15,1)</f>
        <v>-6.1</v>
      </c>
      <c r="AB534" s="26">
        <f>ROUND($P534*(Lookups!$B$18-Lookups!$B$17)+Lookups!$B$17,1)</f>
        <v>-7</v>
      </c>
      <c r="AC534" s="23">
        <f t="shared" si="50"/>
        <v>49</v>
      </c>
      <c r="AD534" s="23">
        <f>ROUND($R534*Lookups!$B$19,1)</f>
        <v>0</v>
      </c>
      <c r="AE534" s="27">
        <f t="shared" si="51"/>
        <v>0.96610169491525422</v>
      </c>
      <c r="AF534" s="23" t="str">
        <f>IF($U534&gt;=Lookups!$B$23,"High",IF($U534&gt;=Lookups!$B$22,"Medium","Low"))</f>
        <v>High</v>
      </c>
      <c r="AG534" s="23">
        <f>ROUND(IF($V534="Weekday",IF(INDEX(Hourly_Analysis!$D$5:$D$28,$J534+1)&gt;0,($U534-INDEX(Hourly_Analysis!$C$5:$C$28,$J534+1))/INDEX(Hourly_Analysis!$D$5:$D$28,$J534+1),0),IF(INDEX(Hourly_Analysis!$G$5:$G$28,$J534+1)&gt;0,($U534-INDEX(Hourly_Analysis!$F$5:$F$28,$J534+1))/INDEX(Hourly_Analysis!$G$5:$G$28,$J534+1),0)),2)</f>
        <v>-0.31</v>
      </c>
      <c r="AH534" s="23" t="str">
        <f>IF(ABS($AG534)&gt;Lookups!$B$20,IF($AG534&gt;0,"High anomaly","Low anomaly"),"")</f>
        <v/>
      </c>
      <c r="AI534" s="23" t="str">
        <f t="shared" si="52"/>
        <v>OK</v>
      </c>
      <c r="AJ534" s="23" t="str">
        <f t="shared" si="53"/>
        <v>No</v>
      </c>
    </row>
    <row r="535" spans="1:36" x14ac:dyDescent="0.35">
      <c r="A535" s="23">
        <v>534</v>
      </c>
      <c r="B535" s="23" t="str">
        <f t="shared" si="48"/>
        <v>Merge 1+2</v>
      </c>
      <c r="C535" s="23">
        <f>IFERROR(MATCH($A535,Merge_1_2!$A$2:$A$611,0),0)</f>
        <v>534</v>
      </c>
      <c r="D535" s="23">
        <f>IF($C535&gt;0,INDEX(Merge_1_2!$Q$2:$Q$611,$C535),0)</f>
        <v>534</v>
      </c>
      <c r="E535" s="23">
        <f>IFERROR(MATCH($A535,Dataset3_Raw!$A$2:$A$391,0),0)</f>
        <v>0</v>
      </c>
      <c r="F535" s="24">
        <f>IF($C535&gt;0,INDEX(Merge_1_2!$B$2:$B$611,$C535),DATE(VALUE(RIGHT(INDEX(Dataset3_Raw!$B$2:$B$391,$E535),4)),VALUE(MID(INDEX(Dataset3_Raw!$B$2:$B$391,$E535),4,2)),VALUE(LEFT(INDEX(Dataset3_Raw!$B$2:$B$391,$E535),2))))</f>
        <v>40567</v>
      </c>
      <c r="G535" s="23">
        <f>IF($C535&gt;0,INDEX(Merge_1_2!$C$2:$C$611,$C535),INDEX(Dataset3_Raw!$C$2:$C$391,$E535))</f>
        <v>1</v>
      </c>
      <c r="H535" s="23">
        <f>IF($C535&gt;0,INDEX(Merge_1_2!$D$2:$D$611,$C535),INDEX(Dataset3_Raw!$D$2:$D$391,$E535))</f>
        <v>0</v>
      </c>
      <c r="I535" s="23">
        <f>IF($C535&gt;0,INDEX(Merge_1_2!$E$2:$E$611,$C535),INDEX(Dataset3_Raw!$E$2:$E$391,$E535))</f>
        <v>1</v>
      </c>
      <c r="J535" s="23">
        <f>IF($C535&gt;0,INDEX(Merge_1_2!$F$2:$F$611,$C535),INDEX(Dataset3_Raw!$F$2:$F$391,$E535))</f>
        <v>9</v>
      </c>
      <c r="K535" s="23" t="b">
        <f>IF($C535&gt;0,INDEX(Merge_1_2!$G$2:$G$611,$C535),INDEX(Dataset3_Raw!$G$2:$G$391,$E535))</f>
        <v>0</v>
      </c>
      <c r="L535" s="23">
        <f>IF($C535&gt;0,INDEX(Merge_1_2!$H$2:$H$611,$C535),INDEX(Dataset3_Raw!$H$2:$H$391,$E535))</f>
        <v>1</v>
      </c>
      <c r="M535" s="23">
        <f>IF($C535&gt;0,INDEX(Merge_1_2!$I$2:$I$611,$C535),INDEX(Dataset3_Raw!$I$2:$I$391,$E535))</f>
        <v>1</v>
      </c>
      <c r="N535" s="25">
        <f>IF($C535&gt;0,INDEX(Merge_1_2!$J$2:$J$611,$C535),INDEX(Dataset3_Raw!$J$2:$J$391,$E535))</f>
        <v>0.06</v>
      </c>
      <c r="O535" s="25">
        <f>IF($C535&gt;0,IF(ISNUMBER(INDEX(Merge_1_2!$K$2:$K$611,$C535)),INDEX(Merge_1_2!$K$2:$K$611,$C535),""),INDEX(Dataset3_Raw!$K$2:$K$391,$E535))</f>
        <v>0.1515</v>
      </c>
      <c r="P535" s="25">
        <f>IF(ISNUMBER($O535),$O535,ROUND(Lookups!$B$25+Lookups!$B$24*$N535,4))</f>
        <v>0.1515</v>
      </c>
      <c r="Q535" s="25">
        <f>IF($C535&gt;0,INDEX(Merge_1_2!$L$2:$L$611,$C535),INDEX(Dataset3_Raw!$L$2:$L$391,$E535))</f>
        <v>0.41</v>
      </c>
      <c r="R535" s="25">
        <f>IF($C535&gt;0,INDEX(Merge_1_2!$M$2:$M$611,$C535),INDEX(Dataset3_Raw!$M$2:$M$391,$E535))</f>
        <v>0</v>
      </c>
      <c r="S535" s="23">
        <f>IF($C535&gt;0,INDEX(Merge_1_2!$N$2:$N$611,$C535),INDEX(Dataset3_Raw!$N$2:$N$391,$E535))</f>
        <v>4</v>
      </c>
      <c r="T535" s="23">
        <f>IF($C535&gt;0,INDEX(Merge_1_2!$O$2:$O$611,$C535),INDEX(Dataset3_Raw!$O$2:$O$391,$E535))</f>
        <v>98</v>
      </c>
      <c r="U535" s="23">
        <f>IF($C535&gt;0,INDEX(Merge_1_2!$P$2:$P$611,$C535),INDEX(Dataset3_Raw!$P$2:$P$391,$E535))</f>
        <v>102</v>
      </c>
      <c r="V535" s="23" t="str">
        <f t="shared" si="49"/>
        <v>Weekday</v>
      </c>
      <c r="W535" s="23" t="str">
        <f>VLOOKUP($M535,Lookups!$A$5:$B$8,2,FALSE())</f>
        <v>Clear / Partly cloudy</v>
      </c>
      <c r="X535" s="23" t="str">
        <f>VLOOKUP($G535,Lookups!$D$5:$E$8,2,FALSE())</f>
        <v>Winter</v>
      </c>
      <c r="Y535" s="23" t="str">
        <f>VLOOKUP($L535,Lookups!$G$5:$H$11,2,FALSE())</f>
        <v>Monday</v>
      </c>
      <c r="Z535" s="23" t="str">
        <f>IF($J535&lt;Lookups!$B$26,"Night",IF($J535&lt;Lookups!$B$27,"Morning",IF($J535&lt;Lookups!$B$28,"Afternoon","Evening")))</f>
        <v>Morning</v>
      </c>
      <c r="AA535" s="26">
        <f>ROUND($N535*(Lookups!$B$16-Lookups!$B$15)+Lookups!$B$15,1)</f>
        <v>-5.2</v>
      </c>
      <c r="AB535" s="26">
        <f>ROUND($P535*(Lookups!$B$18-Lookups!$B$17)+Lookups!$B$17,1)</f>
        <v>-6</v>
      </c>
      <c r="AC535" s="23">
        <f t="shared" si="50"/>
        <v>41</v>
      </c>
      <c r="AD535" s="23">
        <f>ROUND($R535*Lookups!$B$19,1)</f>
        <v>0</v>
      </c>
      <c r="AE535" s="27">
        <f t="shared" si="51"/>
        <v>0.96078431372549022</v>
      </c>
      <c r="AF535" s="23" t="str">
        <f>IF($U535&gt;=Lookups!$B$23,"High",IF($U535&gt;=Lookups!$B$22,"Medium","Low"))</f>
        <v>High</v>
      </c>
      <c r="AG535" s="23">
        <f>ROUND(IF($V535="Weekday",IF(INDEX(Hourly_Analysis!$D$5:$D$28,$J535+1)&gt;0,($U535-INDEX(Hourly_Analysis!$C$5:$C$28,$J535+1))/INDEX(Hourly_Analysis!$D$5:$D$28,$J535+1),0),IF(INDEX(Hourly_Analysis!$G$5:$G$28,$J535+1)&gt;0,($U535-INDEX(Hourly_Analysis!$F$5:$F$28,$J535+1))/INDEX(Hourly_Analysis!$G$5:$G$28,$J535+1),0)),2)</f>
        <v>-0.72</v>
      </c>
      <c r="AH535" s="23" t="str">
        <f>IF(ABS($AG535)&gt;Lookups!$B$20,IF($AG535&gt;0,"High anomaly","Low anomaly"),"")</f>
        <v/>
      </c>
      <c r="AI535" s="23" t="str">
        <f t="shared" si="52"/>
        <v>OK</v>
      </c>
      <c r="AJ535" s="23" t="str">
        <f t="shared" si="53"/>
        <v>No</v>
      </c>
    </row>
    <row r="536" spans="1:36" x14ac:dyDescent="0.35">
      <c r="A536" s="23">
        <v>535</v>
      </c>
      <c r="B536" s="23" t="str">
        <f t="shared" si="48"/>
        <v>Merge 1+2</v>
      </c>
      <c r="C536" s="23">
        <f>IFERROR(MATCH($A536,Merge_1_2!$A$2:$A$611,0),0)</f>
        <v>535</v>
      </c>
      <c r="D536" s="23">
        <f>IF($C536&gt;0,INDEX(Merge_1_2!$Q$2:$Q$611,$C536),0)</f>
        <v>535</v>
      </c>
      <c r="E536" s="23">
        <f>IFERROR(MATCH($A536,Dataset3_Raw!$A$2:$A$391,0),0)</f>
        <v>0</v>
      </c>
      <c r="F536" s="24">
        <f>IF($C536&gt;0,INDEX(Merge_1_2!$B$2:$B$611,$C536),DATE(VALUE(RIGHT(INDEX(Dataset3_Raw!$B$2:$B$391,$E536),4)),VALUE(MID(INDEX(Dataset3_Raw!$B$2:$B$391,$E536),4,2)),VALUE(LEFT(INDEX(Dataset3_Raw!$B$2:$B$391,$E536),2))))</f>
        <v>40567</v>
      </c>
      <c r="G536" s="23">
        <f>IF($C536&gt;0,INDEX(Merge_1_2!$C$2:$C$611,$C536),INDEX(Dataset3_Raw!$C$2:$C$391,$E536))</f>
        <v>1</v>
      </c>
      <c r="H536" s="23">
        <f>IF($C536&gt;0,INDEX(Merge_1_2!$D$2:$D$611,$C536),INDEX(Dataset3_Raw!$D$2:$D$391,$E536))</f>
        <v>0</v>
      </c>
      <c r="I536" s="23">
        <f>IF($C536&gt;0,INDEX(Merge_1_2!$E$2:$E$611,$C536),INDEX(Dataset3_Raw!$E$2:$E$391,$E536))</f>
        <v>1</v>
      </c>
      <c r="J536" s="23">
        <f>IF($C536&gt;0,INDEX(Merge_1_2!$F$2:$F$611,$C536),INDEX(Dataset3_Raw!$F$2:$F$391,$E536))</f>
        <v>10</v>
      </c>
      <c r="K536" s="23" t="b">
        <f>IF($C536&gt;0,INDEX(Merge_1_2!$G$2:$G$611,$C536),INDEX(Dataset3_Raw!$G$2:$G$391,$E536))</f>
        <v>0</v>
      </c>
      <c r="L536" s="23">
        <f>IF($C536&gt;0,INDEX(Merge_1_2!$H$2:$H$611,$C536),INDEX(Dataset3_Raw!$H$2:$H$391,$E536))</f>
        <v>1</v>
      </c>
      <c r="M536" s="23">
        <f>IF($C536&gt;0,INDEX(Merge_1_2!$I$2:$I$611,$C536),INDEX(Dataset3_Raw!$I$2:$I$391,$E536))</f>
        <v>1</v>
      </c>
      <c r="N536" s="25">
        <f>IF($C536&gt;0,INDEX(Merge_1_2!$J$2:$J$611,$C536),INDEX(Dataset3_Raw!$J$2:$J$391,$E536))</f>
        <v>0.1</v>
      </c>
      <c r="O536" s="25">
        <f>IF($C536&gt;0,IF(ISNUMBER(INDEX(Merge_1_2!$K$2:$K$611,$C536)),INDEX(Merge_1_2!$K$2:$K$611,$C536),""),INDEX(Dataset3_Raw!$K$2:$K$391,$E536))</f>
        <v>0.13639999999999999</v>
      </c>
      <c r="P536" s="25">
        <f>IF(ISNUMBER($O536),$O536,ROUND(Lookups!$B$25+Lookups!$B$24*$N536,4))</f>
        <v>0.13639999999999999</v>
      </c>
      <c r="Q536" s="25">
        <f>IF($C536&gt;0,INDEX(Merge_1_2!$L$2:$L$611,$C536),INDEX(Dataset3_Raw!$L$2:$L$391,$E536))</f>
        <v>0.42</v>
      </c>
      <c r="R536" s="25">
        <f>IF($C536&gt;0,INDEX(Merge_1_2!$M$2:$M$611,$C536),INDEX(Dataset3_Raw!$M$2:$M$391,$E536))</f>
        <v>0</v>
      </c>
      <c r="S536" s="23">
        <f>IF($C536&gt;0,INDEX(Merge_1_2!$N$2:$N$611,$C536),INDEX(Dataset3_Raw!$N$2:$N$391,$E536))</f>
        <v>6</v>
      </c>
      <c r="T536" s="23">
        <f>IF($C536&gt;0,INDEX(Merge_1_2!$O$2:$O$611,$C536),INDEX(Dataset3_Raw!$O$2:$O$391,$E536))</f>
        <v>34</v>
      </c>
      <c r="U536" s="23">
        <f>IF($C536&gt;0,INDEX(Merge_1_2!$P$2:$P$611,$C536),INDEX(Dataset3_Raw!$P$2:$P$391,$E536))</f>
        <v>40</v>
      </c>
      <c r="V536" s="23" t="str">
        <f t="shared" si="49"/>
        <v>Weekday</v>
      </c>
      <c r="W536" s="23" t="str">
        <f>VLOOKUP($M536,Lookups!$A$5:$B$8,2,FALSE())</f>
        <v>Clear / Partly cloudy</v>
      </c>
      <c r="X536" s="23" t="str">
        <f>VLOOKUP($G536,Lookups!$D$5:$E$8,2,FALSE())</f>
        <v>Winter</v>
      </c>
      <c r="Y536" s="23" t="str">
        <f>VLOOKUP($L536,Lookups!$G$5:$H$11,2,FALSE())</f>
        <v>Monday</v>
      </c>
      <c r="Z536" s="23" t="str">
        <f>IF($J536&lt;Lookups!$B$26,"Night",IF($J536&lt;Lookups!$B$27,"Morning",IF($J536&lt;Lookups!$B$28,"Afternoon","Evening")))</f>
        <v>Morning</v>
      </c>
      <c r="AA536" s="26">
        <f>ROUND($N536*(Lookups!$B$16-Lookups!$B$15)+Lookups!$B$15,1)</f>
        <v>-3.3</v>
      </c>
      <c r="AB536" s="26">
        <f>ROUND($P536*(Lookups!$B$18-Lookups!$B$17)+Lookups!$B$17,1)</f>
        <v>-7</v>
      </c>
      <c r="AC536" s="23">
        <f t="shared" si="50"/>
        <v>42</v>
      </c>
      <c r="AD536" s="23">
        <f>ROUND($R536*Lookups!$B$19,1)</f>
        <v>0</v>
      </c>
      <c r="AE536" s="27">
        <f t="shared" si="51"/>
        <v>0.85</v>
      </c>
      <c r="AF536" s="23" t="str">
        <f>IF($U536&gt;=Lookups!$B$23,"High",IF($U536&gt;=Lookups!$B$22,"Medium","Low"))</f>
        <v>Medium</v>
      </c>
      <c r="AG536" s="23">
        <f>ROUND(IF($V536="Weekday",IF(INDEX(Hourly_Analysis!$D$5:$D$28,$J536+1)&gt;0,($U536-INDEX(Hourly_Analysis!$C$5:$C$28,$J536+1))/INDEX(Hourly_Analysis!$D$5:$D$28,$J536+1),0),IF(INDEX(Hourly_Analysis!$G$5:$G$28,$J536+1)&gt;0,($U536-INDEX(Hourly_Analysis!$F$5:$F$28,$J536+1))/INDEX(Hourly_Analysis!$G$5:$G$28,$J536+1),0)),2)</f>
        <v>-0.86</v>
      </c>
      <c r="AH536" s="23" t="str">
        <f>IF(ABS($AG536)&gt;Lookups!$B$20,IF($AG536&gt;0,"High anomaly","Low anomaly"),"")</f>
        <v/>
      </c>
      <c r="AI536" s="23" t="str">
        <f t="shared" si="52"/>
        <v>OK</v>
      </c>
      <c r="AJ536" s="23" t="str">
        <f t="shared" si="53"/>
        <v>No</v>
      </c>
    </row>
    <row r="537" spans="1:36" x14ac:dyDescent="0.35">
      <c r="A537" s="23">
        <v>536</v>
      </c>
      <c r="B537" s="23" t="str">
        <f t="shared" si="48"/>
        <v>Merge 1+2</v>
      </c>
      <c r="C537" s="23">
        <f>IFERROR(MATCH($A537,Merge_1_2!$A$2:$A$611,0),0)</f>
        <v>536</v>
      </c>
      <c r="D537" s="23">
        <f>IF($C537&gt;0,INDEX(Merge_1_2!$Q$2:$Q$611,$C537),0)</f>
        <v>536</v>
      </c>
      <c r="E537" s="23">
        <f>IFERROR(MATCH($A537,Dataset3_Raw!$A$2:$A$391,0),0)</f>
        <v>0</v>
      </c>
      <c r="F537" s="24">
        <f>IF($C537&gt;0,INDEX(Merge_1_2!$B$2:$B$611,$C537),DATE(VALUE(RIGHT(INDEX(Dataset3_Raw!$B$2:$B$391,$E537),4)),VALUE(MID(INDEX(Dataset3_Raw!$B$2:$B$391,$E537),4,2)),VALUE(LEFT(INDEX(Dataset3_Raw!$B$2:$B$391,$E537),2))))</f>
        <v>40567</v>
      </c>
      <c r="G537" s="23">
        <f>IF($C537&gt;0,INDEX(Merge_1_2!$C$2:$C$611,$C537),INDEX(Dataset3_Raw!$C$2:$C$391,$E537))</f>
        <v>1</v>
      </c>
      <c r="H537" s="23">
        <f>IF($C537&gt;0,INDEX(Merge_1_2!$D$2:$D$611,$C537),INDEX(Dataset3_Raw!$D$2:$D$391,$E537))</f>
        <v>0</v>
      </c>
      <c r="I537" s="23">
        <f>IF($C537&gt;0,INDEX(Merge_1_2!$E$2:$E$611,$C537),INDEX(Dataset3_Raw!$E$2:$E$391,$E537))</f>
        <v>1</v>
      </c>
      <c r="J537" s="23">
        <f>IF($C537&gt;0,INDEX(Merge_1_2!$F$2:$F$611,$C537),INDEX(Dataset3_Raw!$F$2:$F$391,$E537))</f>
        <v>11</v>
      </c>
      <c r="K537" s="23" t="b">
        <f>IF($C537&gt;0,INDEX(Merge_1_2!$G$2:$G$611,$C537),INDEX(Dataset3_Raw!$G$2:$G$391,$E537))</f>
        <v>0</v>
      </c>
      <c r="L537" s="23">
        <f>IF($C537&gt;0,INDEX(Merge_1_2!$H$2:$H$611,$C537),INDEX(Dataset3_Raw!$H$2:$H$391,$E537))</f>
        <v>1</v>
      </c>
      <c r="M537" s="23">
        <f>IF($C537&gt;0,INDEX(Merge_1_2!$I$2:$I$611,$C537),INDEX(Dataset3_Raw!$I$2:$I$391,$E537))</f>
        <v>1</v>
      </c>
      <c r="N537" s="25">
        <f>IF($C537&gt;0,INDEX(Merge_1_2!$J$2:$J$611,$C537),INDEX(Dataset3_Raw!$J$2:$J$391,$E537))</f>
        <v>0.1</v>
      </c>
      <c r="O537" s="25">
        <f>IF($C537&gt;0,IF(ISNUMBER(INDEX(Merge_1_2!$K$2:$K$611,$C537)),INDEX(Merge_1_2!$K$2:$K$611,$C537),""),INDEX(Dataset3_Raw!$K$2:$K$391,$E537))</f>
        <v>0.1212</v>
      </c>
      <c r="P537" s="25">
        <f>IF(ISNUMBER($O537),$O537,ROUND(Lookups!$B$25+Lookups!$B$24*$N537,4))</f>
        <v>0.1212</v>
      </c>
      <c r="Q537" s="25">
        <f>IF($C537&gt;0,INDEX(Merge_1_2!$L$2:$L$611,$C537),INDEX(Dataset3_Raw!$L$2:$L$391,$E537))</f>
        <v>0.46</v>
      </c>
      <c r="R537" s="25">
        <f>IF($C537&gt;0,INDEX(Merge_1_2!$M$2:$M$611,$C537),INDEX(Dataset3_Raw!$M$2:$M$391,$E537))</f>
        <v>0.1343</v>
      </c>
      <c r="S537" s="23">
        <f>IF($C537&gt;0,INDEX(Merge_1_2!$N$2:$N$611,$C537),INDEX(Dataset3_Raw!$N$2:$N$391,$E537))</f>
        <v>3</v>
      </c>
      <c r="T537" s="23">
        <f>IF($C537&gt;0,INDEX(Merge_1_2!$O$2:$O$611,$C537),INDEX(Dataset3_Raw!$O$2:$O$391,$E537))</f>
        <v>43</v>
      </c>
      <c r="U537" s="23">
        <f>IF($C537&gt;0,INDEX(Merge_1_2!$P$2:$P$611,$C537),INDEX(Dataset3_Raw!$P$2:$P$391,$E537))</f>
        <v>46</v>
      </c>
      <c r="V537" s="23" t="str">
        <f t="shared" si="49"/>
        <v>Weekday</v>
      </c>
      <c r="W537" s="23" t="str">
        <f>VLOOKUP($M537,Lookups!$A$5:$B$8,2,FALSE())</f>
        <v>Clear / Partly cloudy</v>
      </c>
      <c r="X537" s="23" t="str">
        <f>VLOOKUP($G537,Lookups!$D$5:$E$8,2,FALSE())</f>
        <v>Winter</v>
      </c>
      <c r="Y537" s="23" t="str">
        <f>VLOOKUP($L537,Lookups!$G$5:$H$11,2,FALSE())</f>
        <v>Monday</v>
      </c>
      <c r="Z537" s="23" t="str">
        <f>IF($J537&lt;Lookups!$B$26,"Night",IF($J537&lt;Lookups!$B$27,"Morning",IF($J537&lt;Lookups!$B$28,"Afternoon","Evening")))</f>
        <v>Morning</v>
      </c>
      <c r="AA537" s="26">
        <f>ROUND($N537*(Lookups!$B$16-Lookups!$B$15)+Lookups!$B$15,1)</f>
        <v>-3.3</v>
      </c>
      <c r="AB537" s="26">
        <f>ROUND($P537*(Lookups!$B$18-Lookups!$B$17)+Lookups!$B$17,1)</f>
        <v>-8</v>
      </c>
      <c r="AC537" s="23">
        <f t="shared" si="50"/>
        <v>46</v>
      </c>
      <c r="AD537" s="23">
        <f>ROUND($R537*Lookups!$B$19,1)</f>
        <v>9</v>
      </c>
      <c r="AE537" s="27">
        <f t="shared" si="51"/>
        <v>0.93478260869565222</v>
      </c>
      <c r="AF537" s="23" t="str">
        <f>IF($U537&gt;=Lookups!$B$23,"High",IF($U537&gt;=Lookups!$B$22,"Medium","Low"))</f>
        <v>Medium</v>
      </c>
      <c r="AG537" s="23">
        <f>ROUND(IF($V537="Weekday",IF(INDEX(Hourly_Analysis!$D$5:$D$28,$J537+1)&gt;0,($U537-INDEX(Hourly_Analysis!$C$5:$C$28,$J537+1))/INDEX(Hourly_Analysis!$D$5:$D$28,$J537+1),0),IF(INDEX(Hourly_Analysis!$G$5:$G$28,$J537+1)&gt;0,($U537-INDEX(Hourly_Analysis!$F$5:$F$28,$J537+1))/INDEX(Hourly_Analysis!$G$5:$G$28,$J537+1),0)),2)</f>
        <v>-0.37</v>
      </c>
      <c r="AH537" s="23" t="str">
        <f>IF(ABS($AG537)&gt;Lookups!$B$20,IF($AG537&gt;0,"High anomaly","Low anomaly"),"")</f>
        <v/>
      </c>
      <c r="AI537" s="23" t="str">
        <f t="shared" si="52"/>
        <v>OK</v>
      </c>
      <c r="AJ537" s="23" t="str">
        <f t="shared" si="53"/>
        <v>No</v>
      </c>
    </row>
    <row r="538" spans="1:36" x14ac:dyDescent="0.35">
      <c r="A538" s="23">
        <v>537</v>
      </c>
      <c r="B538" s="23" t="str">
        <f t="shared" si="48"/>
        <v>Merge 1+2</v>
      </c>
      <c r="C538" s="23">
        <f>IFERROR(MATCH($A538,Merge_1_2!$A$2:$A$611,0),0)</f>
        <v>537</v>
      </c>
      <c r="D538" s="23">
        <f>IF($C538&gt;0,INDEX(Merge_1_2!$Q$2:$Q$611,$C538),0)</f>
        <v>537</v>
      </c>
      <c r="E538" s="23">
        <f>IFERROR(MATCH($A538,Dataset3_Raw!$A$2:$A$391,0),0)</f>
        <v>0</v>
      </c>
      <c r="F538" s="24">
        <f>IF($C538&gt;0,INDEX(Merge_1_2!$B$2:$B$611,$C538),DATE(VALUE(RIGHT(INDEX(Dataset3_Raw!$B$2:$B$391,$E538),4)),VALUE(MID(INDEX(Dataset3_Raw!$B$2:$B$391,$E538),4,2)),VALUE(LEFT(INDEX(Dataset3_Raw!$B$2:$B$391,$E538),2))))</f>
        <v>40567</v>
      </c>
      <c r="G538" s="23">
        <f>IF($C538&gt;0,INDEX(Merge_1_2!$C$2:$C$611,$C538),INDEX(Dataset3_Raw!$C$2:$C$391,$E538))</f>
        <v>1</v>
      </c>
      <c r="H538" s="23">
        <f>IF($C538&gt;0,INDEX(Merge_1_2!$D$2:$D$611,$C538),INDEX(Dataset3_Raw!$D$2:$D$391,$E538))</f>
        <v>0</v>
      </c>
      <c r="I538" s="23">
        <f>IF($C538&gt;0,INDEX(Merge_1_2!$E$2:$E$611,$C538),INDEX(Dataset3_Raw!$E$2:$E$391,$E538))</f>
        <v>1</v>
      </c>
      <c r="J538" s="23">
        <f>IF($C538&gt;0,INDEX(Merge_1_2!$F$2:$F$611,$C538),INDEX(Dataset3_Raw!$F$2:$F$391,$E538))</f>
        <v>12</v>
      </c>
      <c r="K538" s="23" t="b">
        <f>IF($C538&gt;0,INDEX(Merge_1_2!$G$2:$G$611,$C538),INDEX(Dataset3_Raw!$G$2:$G$391,$E538))</f>
        <v>0</v>
      </c>
      <c r="L538" s="23">
        <f>IF($C538&gt;0,INDEX(Merge_1_2!$H$2:$H$611,$C538),INDEX(Dataset3_Raw!$H$2:$H$391,$E538))</f>
        <v>1</v>
      </c>
      <c r="M538" s="23">
        <f>IF($C538&gt;0,INDEX(Merge_1_2!$I$2:$I$611,$C538),INDEX(Dataset3_Raw!$I$2:$I$391,$E538))</f>
        <v>2</v>
      </c>
      <c r="N538" s="25">
        <f>IF($C538&gt;0,INDEX(Merge_1_2!$J$2:$J$611,$C538),INDEX(Dataset3_Raw!$J$2:$J$391,$E538))</f>
        <v>0.12</v>
      </c>
      <c r="O538" s="25">
        <f>IF($C538&gt;0,IF(ISNUMBER(INDEX(Merge_1_2!$K$2:$K$611,$C538)),INDEX(Merge_1_2!$K$2:$K$611,$C538),""),INDEX(Dataset3_Raw!$K$2:$K$391,$E538))</f>
        <v>0.13639999999999999</v>
      </c>
      <c r="P538" s="25">
        <f>IF(ISNUMBER($O538),$O538,ROUND(Lookups!$B$25+Lookups!$B$24*$N538,4))</f>
        <v>0.13639999999999999</v>
      </c>
      <c r="Q538" s="25">
        <f>IF($C538&gt;0,INDEX(Merge_1_2!$L$2:$L$611,$C538),INDEX(Dataset3_Raw!$L$2:$L$391,$E538))</f>
        <v>0.42</v>
      </c>
      <c r="R538" s="25">
        <f>IF($C538&gt;0,INDEX(Merge_1_2!$M$2:$M$611,$C538),INDEX(Dataset3_Raw!$M$2:$M$391,$E538))</f>
        <v>0.19400000000000001</v>
      </c>
      <c r="S538" s="23">
        <f>IF($C538&gt;0,INDEX(Merge_1_2!$N$2:$N$611,$C538),INDEX(Dataset3_Raw!$N$2:$N$391,$E538))</f>
        <v>11</v>
      </c>
      <c r="T538" s="23">
        <f>IF($C538&gt;0,INDEX(Merge_1_2!$O$2:$O$611,$C538),INDEX(Dataset3_Raw!$O$2:$O$391,$E538))</f>
        <v>52</v>
      </c>
      <c r="U538" s="23">
        <f>IF($C538&gt;0,INDEX(Merge_1_2!$P$2:$P$611,$C538),INDEX(Dataset3_Raw!$P$2:$P$391,$E538))</f>
        <v>63</v>
      </c>
      <c r="V538" s="23" t="str">
        <f t="shared" si="49"/>
        <v>Weekday</v>
      </c>
      <c r="W538" s="23" t="str">
        <f>VLOOKUP($M538,Lookups!$A$5:$B$8,2,FALSE())</f>
        <v>Mist / Cloudy</v>
      </c>
      <c r="X538" s="23" t="str">
        <f>VLOOKUP($G538,Lookups!$D$5:$E$8,2,FALSE())</f>
        <v>Winter</v>
      </c>
      <c r="Y538" s="23" t="str">
        <f>VLOOKUP($L538,Lookups!$G$5:$H$11,2,FALSE())</f>
        <v>Monday</v>
      </c>
      <c r="Z538" s="23" t="str">
        <f>IF($J538&lt;Lookups!$B$26,"Night",IF($J538&lt;Lookups!$B$27,"Morning",IF($J538&lt;Lookups!$B$28,"Afternoon","Evening")))</f>
        <v>Afternoon</v>
      </c>
      <c r="AA538" s="26">
        <f>ROUND($N538*(Lookups!$B$16-Lookups!$B$15)+Lookups!$B$15,1)</f>
        <v>-2.4</v>
      </c>
      <c r="AB538" s="26">
        <f>ROUND($P538*(Lookups!$B$18-Lookups!$B$17)+Lookups!$B$17,1)</f>
        <v>-7</v>
      </c>
      <c r="AC538" s="23">
        <f t="shared" si="50"/>
        <v>42</v>
      </c>
      <c r="AD538" s="23">
        <f>ROUND($R538*Lookups!$B$19,1)</f>
        <v>13</v>
      </c>
      <c r="AE538" s="27">
        <f t="shared" si="51"/>
        <v>0.82539682539682535</v>
      </c>
      <c r="AF538" s="23" t="str">
        <f>IF($U538&gt;=Lookups!$B$23,"High",IF($U538&gt;=Lookups!$B$22,"Medium","Low"))</f>
        <v>Medium</v>
      </c>
      <c r="AG538" s="23">
        <f>ROUND(IF($V538="Weekday",IF(INDEX(Hourly_Analysis!$D$5:$D$28,$J538+1)&gt;0,($U538-INDEX(Hourly_Analysis!$C$5:$C$28,$J538+1))/INDEX(Hourly_Analysis!$D$5:$D$28,$J538+1),0),IF(INDEX(Hourly_Analysis!$G$5:$G$28,$J538+1)&gt;0,($U538-INDEX(Hourly_Analysis!$F$5:$F$28,$J538+1))/INDEX(Hourly_Analysis!$G$5:$G$28,$J538+1),0)),2)</f>
        <v>-0.05</v>
      </c>
      <c r="AH538" s="23" t="str">
        <f>IF(ABS($AG538)&gt;Lookups!$B$20,IF($AG538&gt;0,"High anomaly","Low anomaly"),"")</f>
        <v/>
      </c>
      <c r="AI538" s="23" t="str">
        <f t="shared" si="52"/>
        <v>OK</v>
      </c>
      <c r="AJ538" s="23" t="str">
        <f t="shared" si="53"/>
        <v>No</v>
      </c>
    </row>
    <row r="539" spans="1:36" x14ac:dyDescent="0.35">
      <c r="A539" s="23">
        <v>538</v>
      </c>
      <c r="B539" s="23" t="str">
        <f t="shared" si="48"/>
        <v>Merge 1+2</v>
      </c>
      <c r="C539" s="23">
        <f>IFERROR(MATCH($A539,Merge_1_2!$A$2:$A$611,0),0)</f>
        <v>538</v>
      </c>
      <c r="D539" s="23">
        <f>IF($C539&gt;0,INDEX(Merge_1_2!$Q$2:$Q$611,$C539),0)</f>
        <v>538</v>
      </c>
      <c r="E539" s="23">
        <f>IFERROR(MATCH($A539,Dataset3_Raw!$A$2:$A$391,0),0)</f>
        <v>0</v>
      </c>
      <c r="F539" s="24">
        <f>IF($C539&gt;0,INDEX(Merge_1_2!$B$2:$B$611,$C539),DATE(VALUE(RIGHT(INDEX(Dataset3_Raw!$B$2:$B$391,$E539),4)),VALUE(MID(INDEX(Dataset3_Raw!$B$2:$B$391,$E539),4,2)),VALUE(LEFT(INDEX(Dataset3_Raw!$B$2:$B$391,$E539),2))))</f>
        <v>40567</v>
      </c>
      <c r="G539" s="23">
        <f>IF($C539&gt;0,INDEX(Merge_1_2!$C$2:$C$611,$C539),INDEX(Dataset3_Raw!$C$2:$C$391,$E539))</f>
        <v>1</v>
      </c>
      <c r="H539" s="23">
        <f>IF($C539&gt;0,INDEX(Merge_1_2!$D$2:$D$611,$C539),INDEX(Dataset3_Raw!$D$2:$D$391,$E539))</f>
        <v>0</v>
      </c>
      <c r="I539" s="23">
        <f>IF($C539&gt;0,INDEX(Merge_1_2!$E$2:$E$611,$C539),INDEX(Dataset3_Raw!$E$2:$E$391,$E539))</f>
        <v>1</v>
      </c>
      <c r="J539" s="23">
        <f>IF($C539&gt;0,INDEX(Merge_1_2!$F$2:$F$611,$C539),INDEX(Dataset3_Raw!$F$2:$F$391,$E539))</f>
        <v>13</v>
      </c>
      <c r="K539" s="23" t="b">
        <f>IF($C539&gt;0,INDEX(Merge_1_2!$G$2:$G$611,$C539),INDEX(Dataset3_Raw!$G$2:$G$391,$E539))</f>
        <v>0</v>
      </c>
      <c r="L539" s="23">
        <f>IF($C539&gt;0,INDEX(Merge_1_2!$H$2:$H$611,$C539),INDEX(Dataset3_Raw!$H$2:$H$391,$E539))</f>
        <v>1</v>
      </c>
      <c r="M539" s="23">
        <f>IF($C539&gt;0,INDEX(Merge_1_2!$I$2:$I$611,$C539),INDEX(Dataset3_Raw!$I$2:$I$391,$E539))</f>
        <v>2</v>
      </c>
      <c r="N539" s="25">
        <f>IF($C539&gt;0,INDEX(Merge_1_2!$J$2:$J$611,$C539),INDEX(Dataset3_Raw!$J$2:$J$391,$E539))</f>
        <v>0.14000000000000001</v>
      </c>
      <c r="O539" s="25">
        <f>IF($C539&gt;0,IF(ISNUMBER(INDEX(Merge_1_2!$K$2:$K$611,$C539)),INDEX(Merge_1_2!$K$2:$K$611,$C539),""),INDEX(Dataset3_Raw!$K$2:$K$391,$E539))</f>
        <v>0.13639999999999999</v>
      </c>
      <c r="P539" s="25">
        <f>IF(ISNUMBER($O539),$O539,ROUND(Lookups!$B$25+Lookups!$B$24*$N539,4))</f>
        <v>0.13639999999999999</v>
      </c>
      <c r="Q539" s="25">
        <f>IF($C539&gt;0,INDEX(Merge_1_2!$L$2:$L$611,$C539),INDEX(Dataset3_Raw!$L$2:$L$391,$E539))</f>
        <v>0.43</v>
      </c>
      <c r="R539" s="25">
        <f>IF($C539&gt;0,INDEX(Merge_1_2!$M$2:$M$611,$C539),INDEX(Dataset3_Raw!$M$2:$M$391,$E539))</f>
        <v>0.22389999999999999</v>
      </c>
      <c r="S539" s="23">
        <f>IF($C539&gt;0,INDEX(Merge_1_2!$N$2:$N$611,$C539),INDEX(Dataset3_Raw!$N$2:$N$391,$E539))</f>
        <v>6</v>
      </c>
      <c r="T539" s="23">
        <f>IF($C539&gt;0,INDEX(Merge_1_2!$O$2:$O$611,$C539),INDEX(Dataset3_Raw!$O$2:$O$391,$E539))</f>
        <v>54</v>
      </c>
      <c r="U539" s="23">
        <f>IF($C539&gt;0,INDEX(Merge_1_2!$P$2:$P$611,$C539),INDEX(Dataset3_Raw!$P$2:$P$391,$E539))</f>
        <v>60</v>
      </c>
      <c r="V539" s="23" t="str">
        <f t="shared" si="49"/>
        <v>Weekday</v>
      </c>
      <c r="W539" s="23" t="str">
        <f>VLOOKUP($M539,Lookups!$A$5:$B$8,2,FALSE())</f>
        <v>Mist / Cloudy</v>
      </c>
      <c r="X539" s="23" t="str">
        <f>VLOOKUP($G539,Lookups!$D$5:$E$8,2,FALSE())</f>
        <v>Winter</v>
      </c>
      <c r="Y539" s="23" t="str">
        <f>VLOOKUP($L539,Lookups!$G$5:$H$11,2,FALSE())</f>
        <v>Monday</v>
      </c>
      <c r="Z539" s="23" t="str">
        <f>IF($J539&lt;Lookups!$B$26,"Night",IF($J539&lt;Lookups!$B$27,"Morning",IF($J539&lt;Lookups!$B$28,"Afternoon","Evening")))</f>
        <v>Afternoon</v>
      </c>
      <c r="AA539" s="26">
        <f>ROUND($N539*(Lookups!$B$16-Lookups!$B$15)+Lookups!$B$15,1)</f>
        <v>-1.4</v>
      </c>
      <c r="AB539" s="26">
        <f>ROUND($P539*(Lookups!$B$18-Lookups!$B$17)+Lookups!$B$17,1)</f>
        <v>-7</v>
      </c>
      <c r="AC539" s="23">
        <f t="shared" si="50"/>
        <v>43</v>
      </c>
      <c r="AD539" s="23">
        <f>ROUND($R539*Lookups!$B$19,1)</f>
        <v>15</v>
      </c>
      <c r="AE539" s="27">
        <f t="shared" si="51"/>
        <v>0.9</v>
      </c>
      <c r="AF539" s="23" t="str">
        <f>IF($U539&gt;=Lookups!$B$23,"High",IF($U539&gt;=Lookups!$B$22,"Medium","Low"))</f>
        <v>Medium</v>
      </c>
      <c r="AG539" s="23">
        <f>ROUND(IF($V539="Weekday",IF(INDEX(Hourly_Analysis!$D$5:$D$28,$J539+1)&gt;0,($U539-INDEX(Hourly_Analysis!$C$5:$C$28,$J539+1))/INDEX(Hourly_Analysis!$D$5:$D$28,$J539+1),0),IF(INDEX(Hourly_Analysis!$G$5:$G$28,$J539+1)&gt;0,($U539-INDEX(Hourly_Analysis!$F$5:$F$28,$J539+1))/INDEX(Hourly_Analysis!$G$5:$G$28,$J539+1),0)),2)</f>
        <v>-0.31</v>
      </c>
      <c r="AH539" s="23" t="str">
        <f>IF(ABS($AG539)&gt;Lookups!$B$20,IF($AG539&gt;0,"High anomaly","Low anomaly"),"")</f>
        <v/>
      </c>
      <c r="AI539" s="23" t="str">
        <f t="shared" si="52"/>
        <v>OK</v>
      </c>
      <c r="AJ539" s="23" t="str">
        <f t="shared" si="53"/>
        <v>No</v>
      </c>
    </row>
    <row r="540" spans="1:36" x14ac:dyDescent="0.35">
      <c r="A540" s="23">
        <v>539</v>
      </c>
      <c r="B540" s="23" t="str">
        <f t="shared" si="48"/>
        <v>Merge 1+2</v>
      </c>
      <c r="C540" s="23">
        <f>IFERROR(MATCH($A540,Merge_1_2!$A$2:$A$611,0),0)</f>
        <v>539</v>
      </c>
      <c r="D540" s="23">
        <f>IF($C540&gt;0,INDEX(Merge_1_2!$Q$2:$Q$611,$C540),0)</f>
        <v>539</v>
      </c>
      <c r="E540" s="23">
        <f>IFERROR(MATCH($A540,Dataset3_Raw!$A$2:$A$391,0),0)</f>
        <v>0</v>
      </c>
      <c r="F540" s="24">
        <f>IF($C540&gt;0,INDEX(Merge_1_2!$B$2:$B$611,$C540),DATE(VALUE(RIGHT(INDEX(Dataset3_Raw!$B$2:$B$391,$E540),4)),VALUE(MID(INDEX(Dataset3_Raw!$B$2:$B$391,$E540),4,2)),VALUE(LEFT(INDEX(Dataset3_Raw!$B$2:$B$391,$E540),2))))</f>
        <v>40567</v>
      </c>
      <c r="G540" s="23">
        <f>IF($C540&gt;0,INDEX(Merge_1_2!$C$2:$C$611,$C540),INDEX(Dataset3_Raw!$C$2:$C$391,$E540))</f>
        <v>1</v>
      </c>
      <c r="H540" s="23">
        <f>IF($C540&gt;0,INDEX(Merge_1_2!$D$2:$D$611,$C540),INDEX(Dataset3_Raw!$D$2:$D$391,$E540))</f>
        <v>0</v>
      </c>
      <c r="I540" s="23">
        <f>IF($C540&gt;0,INDEX(Merge_1_2!$E$2:$E$611,$C540),INDEX(Dataset3_Raw!$E$2:$E$391,$E540))</f>
        <v>1</v>
      </c>
      <c r="J540" s="23">
        <f>IF($C540&gt;0,INDEX(Merge_1_2!$F$2:$F$611,$C540),INDEX(Dataset3_Raw!$F$2:$F$391,$E540))</f>
        <v>14</v>
      </c>
      <c r="K540" s="23" t="b">
        <f>IF($C540&gt;0,INDEX(Merge_1_2!$G$2:$G$611,$C540),INDEX(Dataset3_Raw!$G$2:$G$391,$E540))</f>
        <v>0</v>
      </c>
      <c r="L540" s="23">
        <f>IF($C540&gt;0,INDEX(Merge_1_2!$H$2:$H$611,$C540),INDEX(Dataset3_Raw!$H$2:$H$391,$E540))</f>
        <v>1</v>
      </c>
      <c r="M540" s="23">
        <f>IF($C540&gt;0,INDEX(Merge_1_2!$I$2:$I$611,$C540),INDEX(Dataset3_Raw!$I$2:$I$391,$E540))</f>
        <v>2</v>
      </c>
      <c r="N540" s="25">
        <f>IF($C540&gt;0,INDEX(Merge_1_2!$J$2:$J$611,$C540),INDEX(Dataset3_Raw!$J$2:$J$391,$E540))</f>
        <v>0.14000000000000001</v>
      </c>
      <c r="O540" s="25">
        <f>IF($C540&gt;0,IF(ISNUMBER(INDEX(Merge_1_2!$K$2:$K$611,$C540)),INDEX(Merge_1_2!$K$2:$K$611,$C540),""),INDEX(Dataset3_Raw!$K$2:$K$391,$E540))</f>
        <v>0.13639999999999999</v>
      </c>
      <c r="P540" s="25">
        <f>IF(ISNUMBER($O540),$O540,ROUND(Lookups!$B$25+Lookups!$B$24*$N540,4))</f>
        <v>0.13639999999999999</v>
      </c>
      <c r="Q540" s="25">
        <f>IF($C540&gt;0,INDEX(Merge_1_2!$L$2:$L$611,$C540),INDEX(Dataset3_Raw!$L$2:$L$391,$E540))</f>
        <v>0.46</v>
      </c>
      <c r="R540" s="25">
        <f>IF($C540&gt;0,INDEX(Merge_1_2!$M$2:$M$611,$C540),INDEX(Dataset3_Raw!$M$2:$M$391,$E540))</f>
        <v>0.22389999999999999</v>
      </c>
      <c r="S540" s="23">
        <f>IF($C540&gt;0,INDEX(Merge_1_2!$N$2:$N$611,$C540),INDEX(Dataset3_Raw!$N$2:$N$391,$E540))</f>
        <v>2</v>
      </c>
      <c r="T540" s="23">
        <f>IF($C540&gt;0,INDEX(Merge_1_2!$O$2:$O$611,$C540),INDEX(Dataset3_Raw!$O$2:$O$391,$E540))</f>
        <v>43</v>
      </c>
      <c r="U540" s="23">
        <f>IF($C540&gt;0,INDEX(Merge_1_2!$P$2:$P$611,$C540),INDEX(Dataset3_Raw!$P$2:$P$391,$E540))</f>
        <v>45</v>
      </c>
      <c r="V540" s="23" t="str">
        <f t="shared" si="49"/>
        <v>Weekday</v>
      </c>
      <c r="W540" s="23" t="str">
        <f>VLOOKUP($M540,Lookups!$A$5:$B$8,2,FALSE())</f>
        <v>Mist / Cloudy</v>
      </c>
      <c r="X540" s="23" t="str">
        <f>VLOOKUP($G540,Lookups!$D$5:$E$8,2,FALSE())</f>
        <v>Winter</v>
      </c>
      <c r="Y540" s="23" t="str">
        <f>VLOOKUP($L540,Lookups!$G$5:$H$11,2,FALSE())</f>
        <v>Monday</v>
      </c>
      <c r="Z540" s="23" t="str">
        <f>IF($J540&lt;Lookups!$B$26,"Night",IF($J540&lt;Lookups!$B$27,"Morning",IF($J540&lt;Lookups!$B$28,"Afternoon","Evening")))</f>
        <v>Afternoon</v>
      </c>
      <c r="AA540" s="26">
        <f>ROUND($N540*(Lookups!$B$16-Lookups!$B$15)+Lookups!$B$15,1)</f>
        <v>-1.4</v>
      </c>
      <c r="AB540" s="26">
        <f>ROUND($P540*(Lookups!$B$18-Lookups!$B$17)+Lookups!$B$17,1)</f>
        <v>-7</v>
      </c>
      <c r="AC540" s="23">
        <f t="shared" si="50"/>
        <v>46</v>
      </c>
      <c r="AD540" s="23">
        <f>ROUND($R540*Lookups!$B$19,1)</f>
        <v>15</v>
      </c>
      <c r="AE540" s="27">
        <f t="shared" si="51"/>
        <v>0.9555555555555556</v>
      </c>
      <c r="AF540" s="23" t="str">
        <f>IF($U540&gt;=Lookups!$B$23,"High",IF($U540&gt;=Lookups!$B$22,"Medium","Low"))</f>
        <v>Medium</v>
      </c>
      <c r="AG540" s="23">
        <f>ROUND(IF($V540="Weekday",IF(INDEX(Hourly_Analysis!$D$5:$D$28,$J540+1)&gt;0,($U540-INDEX(Hourly_Analysis!$C$5:$C$28,$J540+1))/INDEX(Hourly_Analysis!$D$5:$D$28,$J540+1),0),IF(INDEX(Hourly_Analysis!$G$5:$G$28,$J540+1)&gt;0,($U540-INDEX(Hourly_Analysis!$F$5:$F$28,$J540+1))/INDEX(Hourly_Analysis!$G$5:$G$28,$J540+1),0)),2)</f>
        <v>-0.92</v>
      </c>
      <c r="AH540" s="23" t="str">
        <f>IF(ABS($AG540)&gt;Lookups!$B$20,IF($AG540&gt;0,"High anomaly","Low anomaly"),"")</f>
        <v/>
      </c>
      <c r="AI540" s="23" t="str">
        <f t="shared" si="52"/>
        <v>OK</v>
      </c>
      <c r="AJ540" s="23" t="str">
        <f t="shared" si="53"/>
        <v>No</v>
      </c>
    </row>
    <row r="541" spans="1:36" x14ac:dyDescent="0.35">
      <c r="A541" s="23">
        <v>540</v>
      </c>
      <c r="B541" s="23" t="str">
        <f t="shared" si="48"/>
        <v>Merge 1+2</v>
      </c>
      <c r="C541" s="23">
        <f>IFERROR(MATCH($A541,Merge_1_2!$A$2:$A$611,0),0)</f>
        <v>540</v>
      </c>
      <c r="D541" s="23">
        <f>IF($C541&gt;0,INDEX(Merge_1_2!$Q$2:$Q$611,$C541),0)</f>
        <v>540</v>
      </c>
      <c r="E541" s="23">
        <f>IFERROR(MATCH($A541,Dataset3_Raw!$A$2:$A$391,0),0)</f>
        <v>0</v>
      </c>
      <c r="F541" s="24">
        <f>IF($C541&gt;0,INDEX(Merge_1_2!$B$2:$B$611,$C541),DATE(VALUE(RIGHT(INDEX(Dataset3_Raw!$B$2:$B$391,$E541),4)),VALUE(MID(INDEX(Dataset3_Raw!$B$2:$B$391,$E541),4,2)),VALUE(LEFT(INDEX(Dataset3_Raw!$B$2:$B$391,$E541),2))))</f>
        <v>40567</v>
      </c>
      <c r="G541" s="23">
        <f>IF($C541&gt;0,INDEX(Merge_1_2!$C$2:$C$611,$C541),INDEX(Dataset3_Raw!$C$2:$C$391,$E541))</f>
        <v>1</v>
      </c>
      <c r="H541" s="23">
        <f>IF($C541&gt;0,INDEX(Merge_1_2!$D$2:$D$611,$C541),INDEX(Dataset3_Raw!$D$2:$D$391,$E541))</f>
        <v>0</v>
      </c>
      <c r="I541" s="23">
        <f>IF($C541&gt;0,INDEX(Merge_1_2!$E$2:$E$611,$C541),INDEX(Dataset3_Raw!$E$2:$E$391,$E541))</f>
        <v>1</v>
      </c>
      <c r="J541" s="23">
        <f>IF($C541&gt;0,INDEX(Merge_1_2!$F$2:$F$611,$C541),INDEX(Dataset3_Raw!$F$2:$F$391,$E541))</f>
        <v>15</v>
      </c>
      <c r="K541" s="23" t="b">
        <f>IF($C541&gt;0,INDEX(Merge_1_2!$G$2:$G$611,$C541),INDEX(Dataset3_Raw!$G$2:$G$391,$E541))</f>
        <v>0</v>
      </c>
      <c r="L541" s="23">
        <f>IF($C541&gt;0,INDEX(Merge_1_2!$H$2:$H$611,$C541),INDEX(Dataset3_Raw!$H$2:$H$391,$E541))</f>
        <v>1</v>
      </c>
      <c r="M541" s="23">
        <f>IF($C541&gt;0,INDEX(Merge_1_2!$I$2:$I$611,$C541),INDEX(Dataset3_Raw!$I$2:$I$391,$E541))</f>
        <v>1</v>
      </c>
      <c r="N541" s="25">
        <f>IF($C541&gt;0,INDEX(Merge_1_2!$J$2:$J$611,$C541),INDEX(Dataset3_Raw!$J$2:$J$391,$E541))</f>
        <v>0.16</v>
      </c>
      <c r="O541" s="25">
        <f>IF($C541&gt;0,IF(ISNUMBER(INDEX(Merge_1_2!$K$2:$K$611,$C541)),INDEX(Merge_1_2!$K$2:$K$611,$C541),""),INDEX(Dataset3_Raw!$K$2:$K$391,$E541))</f>
        <v>0.16669999999999999</v>
      </c>
      <c r="P541" s="25">
        <f>IF(ISNUMBER($O541),$O541,ROUND(Lookups!$B$25+Lookups!$B$24*$N541,4))</f>
        <v>0.16669999999999999</v>
      </c>
      <c r="Q541" s="25">
        <f>IF($C541&gt;0,INDEX(Merge_1_2!$L$2:$L$611,$C541),INDEX(Dataset3_Raw!$L$2:$L$391,$E541))</f>
        <v>0.4</v>
      </c>
      <c r="R541" s="25">
        <f>IF($C541&gt;0,INDEX(Merge_1_2!$M$2:$M$611,$C541),INDEX(Dataset3_Raw!$M$2:$M$391,$E541))</f>
        <v>0.16420000000000001</v>
      </c>
      <c r="S541" s="23">
        <f>IF($C541&gt;0,INDEX(Merge_1_2!$N$2:$N$611,$C541),INDEX(Dataset3_Raw!$N$2:$N$391,$E541))</f>
        <v>7</v>
      </c>
      <c r="T541" s="23">
        <f>IF($C541&gt;0,INDEX(Merge_1_2!$O$2:$O$611,$C541),INDEX(Dataset3_Raw!$O$2:$O$391,$E541))</f>
        <v>50</v>
      </c>
      <c r="U541" s="23">
        <f>IF($C541&gt;0,INDEX(Merge_1_2!$P$2:$P$611,$C541),INDEX(Dataset3_Raw!$P$2:$P$391,$E541))</f>
        <v>57</v>
      </c>
      <c r="V541" s="23" t="str">
        <f t="shared" si="49"/>
        <v>Weekday</v>
      </c>
      <c r="W541" s="23" t="str">
        <f>VLOOKUP($M541,Lookups!$A$5:$B$8,2,FALSE())</f>
        <v>Clear / Partly cloudy</v>
      </c>
      <c r="X541" s="23" t="str">
        <f>VLOOKUP($G541,Lookups!$D$5:$E$8,2,FALSE())</f>
        <v>Winter</v>
      </c>
      <c r="Y541" s="23" t="str">
        <f>VLOOKUP($L541,Lookups!$G$5:$H$11,2,FALSE())</f>
        <v>Monday</v>
      </c>
      <c r="Z541" s="23" t="str">
        <f>IF($J541&lt;Lookups!$B$26,"Night",IF($J541&lt;Lookups!$B$27,"Morning",IF($J541&lt;Lookups!$B$28,"Afternoon","Evening")))</f>
        <v>Afternoon</v>
      </c>
      <c r="AA541" s="26">
        <f>ROUND($N541*(Lookups!$B$16-Lookups!$B$15)+Lookups!$B$15,1)</f>
        <v>-0.5</v>
      </c>
      <c r="AB541" s="26">
        <f>ROUND($P541*(Lookups!$B$18-Lookups!$B$17)+Lookups!$B$17,1)</f>
        <v>-5</v>
      </c>
      <c r="AC541" s="23">
        <f t="shared" si="50"/>
        <v>40</v>
      </c>
      <c r="AD541" s="23">
        <f>ROUND($R541*Lookups!$B$19,1)</f>
        <v>11</v>
      </c>
      <c r="AE541" s="27">
        <f t="shared" si="51"/>
        <v>0.8771929824561403</v>
      </c>
      <c r="AF541" s="23" t="str">
        <f>IF($U541&gt;=Lookups!$B$23,"High",IF($U541&gt;=Lookups!$B$22,"Medium","Low"))</f>
        <v>Medium</v>
      </c>
      <c r="AG541" s="23">
        <f>ROUND(IF($V541="Weekday",IF(INDEX(Hourly_Analysis!$D$5:$D$28,$J541+1)&gt;0,($U541-INDEX(Hourly_Analysis!$C$5:$C$28,$J541+1))/INDEX(Hourly_Analysis!$D$5:$D$28,$J541+1),0),IF(INDEX(Hourly_Analysis!$G$5:$G$28,$J541+1)&gt;0,($U541-INDEX(Hourly_Analysis!$F$5:$F$28,$J541+1))/INDEX(Hourly_Analysis!$G$5:$G$28,$J541+1),0)),2)</f>
        <v>-0.24</v>
      </c>
      <c r="AH541" s="23" t="str">
        <f>IF(ABS($AG541)&gt;Lookups!$B$20,IF($AG541&gt;0,"High anomaly","Low anomaly"),"")</f>
        <v/>
      </c>
      <c r="AI541" s="23" t="str">
        <f t="shared" si="52"/>
        <v>OK</v>
      </c>
      <c r="AJ541" s="23" t="str">
        <f t="shared" si="53"/>
        <v>No</v>
      </c>
    </row>
    <row r="542" spans="1:36" x14ac:dyDescent="0.35">
      <c r="A542" s="23">
        <v>541</v>
      </c>
      <c r="B542" s="23" t="str">
        <f t="shared" si="48"/>
        <v>Merge 1+2</v>
      </c>
      <c r="C542" s="23">
        <f>IFERROR(MATCH($A542,Merge_1_2!$A$2:$A$611,0),0)</f>
        <v>541</v>
      </c>
      <c r="D542" s="23">
        <f>IF($C542&gt;0,INDEX(Merge_1_2!$Q$2:$Q$611,$C542),0)</f>
        <v>541</v>
      </c>
      <c r="E542" s="23">
        <f>IFERROR(MATCH($A542,Dataset3_Raw!$A$2:$A$391,0),0)</f>
        <v>0</v>
      </c>
      <c r="F542" s="24">
        <f>IF($C542&gt;0,INDEX(Merge_1_2!$B$2:$B$611,$C542),DATE(VALUE(RIGHT(INDEX(Dataset3_Raw!$B$2:$B$391,$E542),4)),VALUE(MID(INDEX(Dataset3_Raw!$B$2:$B$391,$E542),4,2)),VALUE(LEFT(INDEX(Dataset3_Raw!$B$2:$B$391,$E542),2))))</f>
        <v>40567</v>
      </c>
      <c r="G542" s="23">
        <f>IF($C542&gt;0,INDEX(Merge_1_2!$C$2:$C$611,$C542),INDEX(Dataset3_Raw!$C$2:$C$391,$E542))</f>
        <v>1</v>
      </c>
      <c r="H542" s="23">
        <f>IF($C542&gt;0,INDEX(Merge_1_2!$D$2:$D$611,$C542),INDEX(Dataset3_Raw!$D$2:$D$391,$E542))</f>
        <v>0</v>
      </c>
      <c r="I542" s="23">
        <f>IF($C542&gt;0,INDEX(Merge_1_2!$E$2:$E$611,$C542),INDEX(Dataset3_Raw!$E$2:$E$391,$E542))</f>
        <v>1</v>
      </c>
      <c r="J542" s="23">
        <f>IF($C542&gt;0,INDEX(Merge_1_2!$F$2:$F$611,$C542),INDEX(Dataset3_Raw!$F$2:$F$391,$E542))</f>
        <v>16</v>
      </c>
      <c r="K542" s="23" t="b">
        <f>IF($C542&gt;0,INDEX(Merge_1_2!$G$2:$G$611,$C542),INDEX(Dataset3_Raw!$G$2:$G$391,$E542))</f>
        <v>0</v>
      </c>
      <c r="L542" s="23">
        <f>IF($C542&gt;0,INDEX(Merge_1_2!$H$2:$H$611,$C542),INDEX(Dataset3_Raw!$H$2:$H$391,$E542))</f>
        <v>1</v>
      </c>
      <c r="M542" s="23">
        <f>IF($C542&gt;0,INDEX(Merge_1_2!$I$2:$I$611,$C542),INDEX(Dataset3_Raw!$I$2:$I$391,$E542))</f>
        <v>1</v>
      </c>
      <c r="N542" s="25">
        <f>IF($C542&gt;0,INDEX(Merge_1_2!$J$2:$J$611,$C542),INDEX(Dataset3_Raw!$J$2:$J$391,$E542))</f>
        <v>0.16</v>
      </c>
      <c r="O542" s="25">
        <f>IF($C542&gt;0,IF(ISNUMBER(INDEX(Merge_1_2!$K$2:$K$611,$C542)),INDEX(Merge_1_2!$K$2:$K$611,$C542),""),INDEX(Dataset3_Raw!$K$2:$K$391,$E542))</f>
        <v>0.1515</v>
      </c>
      <c r="P542" s="25">
        <f>IF(ISNUMBER($O542),$O542,ROUND(Lookups!$B$25+Lookups!$B$24*$N542,4))</f>
        <v>0.1515</v>
      </c>
      <c r="Q542" s="25">
        <f>IF($C542&gt;0,INDEX(Merge_1_2!$L$2:$L$611,$C542),INDEX(Dataset3_Raw!$L$2:$L$391,$E542))</f>
        <v>0.47</v>
      </c>
      <c r="R542" s="25">
        <f>IF($C542&gt;0,INDEX(Merge_1_2!$M$2:$M$611,$C542),INDEX(Dataset3_Raw!$M$2:$M$391,$E542))</f>
        <v>0.25369999999999998</v>
      </c>
      <c r="S542" s="23">
        <f>IF($C542&gt;0,INDEX(Merge_1_2!$N$2:$N$611,$C542),INDEX(Dataset3_Raw!$N$2:$N$391,$E542))</f>
        <v>4</v>
      </c>
      <c r="T542" s="23">
        <f>IF($C542&gt;0,INDEX(Merge_1_2!$O$2:$O$611,$C542),INDEX(Dataset3_Raw!$O$2:$O$391,$E542))</f>
        <v>66</v>
      </c>
      <c r="U542" s="23">
        <f>IF($C542&gt;0,INDEX(Merge_1_2!$P$2:$P$611,$C542),INDEX(Dataset3_Raw!$P$2:$P$391,$E542))</f>
        <v>70</v>
      </c>
      <c r="V542" s="23" t="str">
        <f t="shared" si="49"/>
        <v>Weekday</v>
      </c>
      <c r="W542" s="23" t="str">
        <f>VLOOKUP($M542,Lookups!$A$5:$B$8,2,FALSE())</f>
        <v>Clear / Partly cloudy</v>
      </c>
      <c r="X542" s="23" t="str">
        <f>VLOOKUP($G542,Lookups!$D$5:$E$8,2,FALSE())</f>
        <v>Winter</v>
      </c>
      <c r="Y542" s="23" t="str">
        <f>VLOOKUP($L542,Lookups!$G$5:$H$11,2,FALSE())</f>
        <v>Monday</v>
      </c>
      <c r="Z542" s="23" t="str">
        <f>IF($J542&lt;Lookups!$B$26,"Night",IF($J542&lt;Lookups!$B$27,"Morning",IF($J542&lt;Lookups!$B$28,"Afternoon","Evening")))</f>
        <v>Afternoon</v>
      </c>
      <c r="AA542" s="26">
        <f>ROUND($N542*(Lookups!$B$16-Lookups!$B$15)+Lookups!$B$15,1)</f>
        <v>-0.5</v>
      </c>
      <c r="AB542" s="26">
        <f>ROUND($P542*(Lookups!$B$18-Lookups!$B$17)+Lookups!$B$17,1)</f>
        <v>-6</v>
      </c>
      <c r="AC542" s="23">
        <f t="shared" si="50"/>
        <v>47</v>
      </c>
      <c r="AD542" s="23">
        <f>ROUND($R542*Lookups!$B$19,1)</f>
        <v>17</v>
      </c>
      <c r="AE542" s="27">
        <f t="shared" si="51"/>
        <v>0.94285714285714284</v>
      </c>
      <c r="AF542" s="23" t="str">
        <f>IF($U542&gt;=Lookups!$B$23,"High",IF($U542&gt;=Lookups!$B$22,"Medium","Low"))</f>
        <v>Medium</v>
      </c>
      <c r="AG542" s="23">
        <f>ROUND(IF($V542="Weekday",IF(INDEX(Hourly_Analysis!$D$5:$D$28,$J542+1)&gt;0,($U542-INDEX(Hourly_Analysis!$C$5:$C$28,$J542+1))/INDEX(Hourly_Analysis!$D$5:$D$28,$J542+1),0),IF(INDEX(Hourly_Analysis!$G$5:$G$28,$J542+1)&gt;0,($U542-INDEX(Hourly_Analysis!$F$5:$F$28,$J542+1))/INDEX(Hourly_Analysis!$G$5:$G$28,$J542+1),0)),2)</f>
        <v>-0.6</v>
      </c>
      <c r="AH542" s="23" t="str">
        <f>IF(ABS($AG542)&gt;Lookups!$B$20,IF($AG542&gt;0,"High anomaly","Low anomaly"),"")</f>
        <v/>
      </c>
      <c r="AI542" s="23" t="str">
        <f t="shared" si="52"/>
        <v>OK</v>
      </c>
      <c r="AJ542" s="23" t="str">
        <f t="shared" si="53"/>
        <v>No</v>
      </c>
    </row>
    <row r="543" spans="1:36" x14ac:dyDescent="0.35">
      <c r="A543" s="23">
        <v>542</v>
      </c>
      <c r="B543" s="23" t="str">
        <f t="shared" si="48"/>
        <v>Merge 1+2</v>
      </c>
      <c r="C543" s="23">
        <f>IFERROR(MATCH($A543,Merge_1_2!$A$2:$A$611,0),0)</f>
        <v>542</v>
      </c>
      <c r="D543" s="23">
        <f>IF($C543&gt;0,INDEX(Merge_1_2!$Q$2:$Q$611,$C543),0)</f>
        <v>542</v>
      </c>
      <c r="E543" s="23">
        <f>IFERROR(MATCH($A543,Dataset3_Raw!$A$2:$A$391,0),0)</f>
        <v>0</v>
      </c>
      <c r="F543" s="24">
        <f>IF($C543&gt;0,INDEX(Merge_1_2!$B$2:$B$611,$C543),DATE(VALUE(RIGHT(INDEX(Dataset3_Raw!$B$2:$B$391,$E543),4)),VALUE(MID(INDEX(Dataset3_Raw!$B$2:$B$391,$E543),4,2)),VALUE(LEFT(INDEX(Dataset3_Raw!$B$2:$B$391,$E543),2))))</f>
        <v>40567</v>
      </c>
      <c r="G543" s="23">
        <f>IF($C543&gt;0,INDEX(Merge_1_2!$C$2:$C$611,$C543),INDEX(Dataset3_Raw!$C$2:$C$391,$E543))</f>
        <v>1</v>
      </c>
      <c r="H543" s="23">
        <f>IF($C543&gt;0,INDEX(Merge_1_2!$D$2:$D$611,$C543),INDEX(Dataset3_Raw!$D$2:$D$391,$E543))</f>
        <v>0</v>
      </c>
      <c r="I543" s="23">
        <f>IF($C543&gt;0,INDEX(Merge_1_2!$E$2:$E$611,$C543),INDEX(Dataset3_Raw!$E$2:$E$391,$E543))</f>
        <v>1</v>
      </c>
      <c r="J543" s="23">
        <f>IF($C543&gt;0,INDEX(Merge_1_2!$F$2:$F$611,$C543),INDEX(Dataset3_Raw!$F$2:$F$391,$E543))</f>
        <v>17</v>
      </c>
      <c r="K543" s="23" t="b">
        <f>IF($C543&gt;0,INDEX(Merge_1_2!$G$2:$G$611,$C543),INDEX(Dataset3_Raw!$G$2:$G$391,$E543))</f>
        <v>0</v>
      </c>
      <c r="L543" s="23">
        <f>IF($C543&gt;0,INDEX(Merge_1_2!$H$2:$H$611,$C543),INDEX(Dataset3_Raw!$H$2:$H$391,$E543))</f>
        <v>1</v>
      </c>
      <c r="M543" s="23">
        <f>IF($C543&gt;0,INDEX(Merge_1_2!$I$2:$I$611,$C543),INDEX(Dataset3_Raw!$I$2:$I$391,$E543))</f>
        <v>1</v>
      </c>
      <c r="N543" s="25">
        <f>IF($C543&gt;0,INDEX(Merge_1_2!$J$2:$J$611,$C543),INDEX(Dataset3_Raw!$J$2:$J$391,$E543))</f>
        <v>0.14000000000000001</v>
      </c>
      <c r="O543" s="25">
        <f>IF($C543&gt;0,IF(ISNUMBER(INDEX(Merge_1_2!$K$2:$K$611,$C543)),INDEX(Merge_1_2!$K$2:$K$611,$C543),""),INDEX(Dataset3_Raw!$K$2:$K$391,$E543))</f>
        <v>0.1212</v>
      </c>
      <c r="P543" s="25">
        <f>IF(ISNUMBER($O543),$O543,ROUND(Lookups!$B$25+Lookups!$B$24*$N543,4))</f>
        <v>0.1212</v>
      </c>
      <c r="Q543" s="25">
        <f>IF($C543&gt;0,INDEX(Merge_1_2!$L$2:$L$611,$C543),INDEX(Dataset3_Raw!$L$2:$L$391,$E543))</f>
        <v>0.5</v>
      </c>
      <c r="R543" s="25">
        <f>IF($C543&gt;0,INDEX(Merge_1_2!$M$2:$M$611,$C543),INDEX(Dataset3_Raw!$M$2:$M$391,$E543))</f>
        <v>0.25369999999999998</v>
      </c>
      <c r="S543" s="23">
        <f>IF($C543&gt;0,INDEX(Merge_1_2!$N$2:$N$611,$C543),INDEX(Dataset3_Raw!$N$2:$N$391,$E543))</f>
        <v>6</v>
      </c>
      <c r="T543" s="23">
        <f>IF($C543&gt;0,INDEX(Merge_1_2!$O$2:$O$611,$C543),INDEX(Dataset3_Raw!$O$2:$O$391,$E543))</f>
        <v>178</v>
      </c>
      <c r="U543" s="23">
        <f>IF($C543&gt;0,INDEX(Merge_1_2!$P$2:$P$611,$C543),INDEX(Dataset3_Raw!$P$2:$P$391,$E543))</f>
        <v>184</v>
      </c>
      <c r="V543" s="23" t="str">
        <f t="shared" si="49"/>
        <v>Weekday</v>
      </c>
      <c r="W543" s="23" t="str">
        <f>VLOOKUP($M543,Lookups!$A$5:$B$8,2,FALSE())</f>
        <v>Clear / Partly cloudy</v>
      </c>
      <c r="X543" s="23" t="str">
        <f>VLOOKUP($G543,Lookups!$D$5:$E$8,2,FALSE())</f>
        <v>Winter</v>
      </c>
      <c r="Y543" s="23" t="str">
        <f>VLOOKUP($L543,Lookups!$G$5:$H$11,2,FALSE())</f>
        <v>Monday</v>
      </c>
      <c r="Z543" s="23" t="str">
        <f>IF($J543&lt;Lookups!$B$26,"Night",IF($J543&lt;Lookups!$B$27,"Morning",IF($J543&lt;Lookups!$B$28,"Afternoon","Evening")))</f>
        <v>Afternoon</v>
      </c>
      <c r="AA543" s="26">
        <f>ROUND($N543*(Lookups!$B$16-Lookups!$B$15)+Lookups!$B$15,1)</f>
        <v>-1.4</v>
      </c>
      <c r="AB543" s="26">
        <f>ROUND($P543*(Lookups!$B$18-Lookups!$B$17)+Lookups!$B$17,1)</f>
        <v>-8</v>
      </c>
      <c r="AC543" s="23">
        <f t="shared" si="50"/>
        <v>50</v>
      </c>
      <c r="AD543" s="23">
        <f>ROUND($R543*Lookups!$B$19,1)</f>
        <v>17</v>
      </c>
      <c r="AE543" s="27">
        <f t="shared" si="51"/>
        <v>0.96739130434782605</v>
      </c>
      <c r="AF543" s="23" t="str">
        <f>IF($U543&gt;=Lookups!$B$23,"High",IF($U543&gt;=Lookups!$B$22,"Medium","Low"))</f>
        <v>High</v>
      </c>
      <c r="AG543" s="23">
        <f>ROUND(IF($V543="Weekday",IF(INDEX(Hourly_Analysis!$D$5:$D$28,$J543+1)&gt;0,($U543-INDEX(Hourly_Analysis!$C$5:$C$28,$J543+1))/INDEX(Hourly_Analysis!$D$5:$D$28,$J543+1),0),IF(INDEX(Hourly_Analysis!$G$5:$G$28,$J543+1)&gt;0,($U543-INDEX(Hourly_Analysis!$F$5:$F$28,$J543+1))/INDEX(Hourly_Analysis!$G$5:$G$28,$J543+1),0)),2)</f>
        <v>0.37</v>
      </c>
      <c r="AH543" s="23" t="str">
        <f>IF(ABS($AG543)&gt;Lookups!$B$20,IF($AG543&gt;0,"High anomaly","Low anomaly"),"")</f>
        <v/>
      </c>
      <c r="AI543" s="23" t="str">
        <f t="shared" si="52"/>
        <v>OK</v>
      </c>
      <c r="AJ543" s="23" t="str">
        <f t="shared" si="53"/>
        <v>No</v>
      </c>
    </row>
    <row r="544" spans="1:36" x14ac:dyDescent="0.35">
      <c r="A544" s="23">
        <v>543</v>
      </c>
      <c r="B544" s="23" t="str">
        <f t="shared" si="48"/>
        <v>Merge 1+2</v>
      </c>
      <c r="C544" s="23">
        <f>IFERROR(MATCH($A544,Merge_1_2!$A$2:$A$611,0),0)</f>
        <v>543</v>
      </c>
      <c r="D544" s="23">
        <f>IF($C544&gt;0,INDEX(Merge_1_2!$Q$2:$Q$611,$C544),0)</f>
        <v>543</v>
      </c>
      <c r="E544" s="23">
        <f>IFERROR(MATCH($A544,Dataset3_Raw!$A$2:$A$391,0),0)</f>
        <v>0</v>
      </c>
      <c r="F544" s="24">
        <f>IF($C544&gt;0,INDEX(Merge_1_2!$B$2:$B$611,$C544),DATE(VALUE(RIGHT(INDEX(Dataset3_Raw!$B$2:$B$391,$E544),4)),VALUE(MID(INDEX(Dataset3_Raw!$B$2:$B$391,$E544),4,2)),VALUE(LEFT(INDEX(Dataset3_Raw!$B$2:$B$391,$E544),2))))</f>
        <v>40567</v>
      </c>
      <c r="G544" s="23">
        <f>IF($C544&gt;0,INDEX(Merge_1_2!$C$2:$C$611,$C544),INDEX(Dataset3_Raw!$C$2:$C$391,$E544))</f>
        <v>1</v>
      </c>
      <c r="H544" s="23">
        <f>IF($C544&gt;0,INDEX(Merge_1_2!$D$2:$D$611,$C544),INDEX(Dataset3_Raw!$D$2:$D$391,$E544))</f>
        <v>0</v>
      </c>
      <c r="I544" s="23">
        <f>IF($C544&gt;0,INDEX(Merge_1_2!$E$2:$E$611,$C544),INDEX(Dataset3_Raw!$E$2:$E$391,$E544))</f>
        <v>1</v>
      </c>
      <c r="J544" s="23">
        <f>IF($C544&gt;0,INDEX(Merge_1_2!$F$2:$F$611,$C544),INDEX(Dataset3_Raw!$F$2:$F$391,$E544))</f>
        <v>18</v>
      </c>
      <c r="K544" s="23" t="b">
        <f>IF($C544&gt;0,INDEX(Merge_1_2!$G$2:$G$611,$C544),INDEX(Dataset3_Raw!$G$2:$G$391,$E544))</f>
        <v>0</v>
      </c>
      <c r="L544" s="23">
        <f>IF($C544&gt;0,INDEX(Merge_1_2!$H$2:$H$611,$C544),INDEX(Dataset3_Raw!$H$2:$H$391,$E544))</f>
        <v>1</v>
      </c>
      <c r="M544" s="23">
        <f>IF($C544&gt;0,INDEX(Merge_1_2!$I$2:$I$611,$C544),INDEX(Dataset3_Raw!$I$2:$I$391,$E544))</f>
        <v>1</v>
      </c>
      <c r="N544" s="25">
        <f>IF($C544&gt;0,INDEX(Merge_1_2!$J$2:$J$611,$C544),INDEX(Dataset3_Raw!$J$2:$J$391,$E544))</f>
        <v>0.14000000000000001</v>
      </c>
      <c r="O544" s="25">
        <f>IF($C544&gt;0,IF(ISNUMBER(INDEX(Merge_1_2!$K$2:$K$611,$C544)),INDEX(Merge_1_2!$K$2:$K$611,$C544),""),INDEX(Dataset3_Raw!$K$2:$K$391,$E544))</f>
        <v>0.13639999999999999</v>
      </c>
      <c r="P544" s="25">
        <f>IF(ISNUMBER($O544),$O544,ROUND(Lookups!$B$25+Lookups!$B$24*$N544,4))</f>
        <v>0.13639999999999999</v>
      </c>
      <c r="Q544" s="25">
        <f>IF($C544&gt;0,INDEX(Merge_1_2!$L$2:$L$611,$C544),INDEX(Dataset3_Raw!$L$2:$L$391,$E544))</f>
        <v>0.59</v>
      </c>
      <c r="R544" s="25">
        <f>IF($C544&gt;0,INDEX(Merge_1_2!$M$2:$M$611,$C544),INDEX(Dataset3_Raw!$M$2:$M$391,$E544))</f>
        <v>0.19400000000000001</v>
      </c>
      <c r="S544" s="23">
        <f>IF($C544&gt;0,INDEX(Merge_1_2!$N$2:$N$611,$C544),INDEX(Dataset3_Raw!$N$2:$N$391,$E544))</f>
        <v>8</v>
      </c>
      <c r="T544" s="23">
        <f>IF($C544&gt;0,INDEX(Merge_1_2!$O$2:$O$611,$C544),INDEX(Dataset3_Raw!$O$2:$O$391,$E544))</f>
        <v>145</v>
      </c>
      <c r="U544" s="23">
        <f>IF($C544&gt;0,INDEX(Merge_1_2!$P$2:$P$611,$C544),INDEX(Dataset3_Raw!$P$2:$P$391,$E544))</f>
        <v>153</v>
      </c>
      <c r="V544" s="23" t="str">
        <f t="shared" si="49"/>
        <v>Weekday</v>
      </c>
      <c r="W544" s="23" t="str">
        <f>VLOOKUP($M544,Lookups!$A$5:$B$8,2,FALSE())</f>
        <v>Clear / Partly cloudy</v>
      </c>
      <c r="X544" s="23" t="str">
        <f>VLOOKUP($G544,Lookups!$D$5:$E$8,2,FALSE())</f>
        <v>Winter</v>
      </c>
      <c r="Y544" s="23" t="str">
        <f>VLOOKUP($L544,Lookups!$G$5:$H$11,2,FALSE())</f>
        <v>Monday</v>
      </c>
      <c r="Z544" s="23" t="str">
        <f>IF($J544&lt;Lookups!$B$26,"Night",IF($J544&lt;Lookups!$B$27,"Morning",IF($J544&lt;Lookups!$B$28,"Afternoon","Evening")))</f>
        <v>Evening</v>
      </c>
      <c r="AA544" s="26">
        <f>ROUND($N544*(Lookups!$B$16-Lookups!$B$15)+Lookups!$B$15,1)</f>
        <v>-1.4</v>
      </c>
      <c r="AB544" s="26">
        <f>ROUND($P544*(Lookups!$B$18-Lookups!$B$17)+Lookups!$B$17,1)</f>
        <v>-7</v>
      </c>
      <c r="AC544" s="23">
        <f t="shared" si="50"/>
        <v>59</v>
      </c>
      <c r="AD544" s="23">
        <f>ROUND($R544*Lookups!$B$19,1)</f>
        <v>13</v>
      </c>
      <c r="AE544" s="27">
        <f t="shared" si="51"/>
        <v>0.94771241830065356</v>
      </c>
      <c r="AF544" s="23" t="str">
        <f>IF($U544&gt;=Lookups!$B$23,"High",IF($U544&gt;=Lookups!$B$22,"Medium","Low"))</f>
        <v>High</v>
      </c>
      <c r="AG544" s="23">
        <f>ROUND(IF($V544="Weekday",IF(INDEX(Hourly_Analysis!$D$5:$D$28,$J544+1)&gt;0,($U544-INDEX(Hourly_Analysis!$C$5:$C$28,$J544+1))/INDEX(Hourly_Analysis!$D$5:$D$28,$J544+1),0),IF(INDEX(Hourly_Analysis!$G$5:$G$28,$J544+1)&gt;0,($U544-INDEX(Hourly_Analysis!$F$5:$F$28,$J544+1))/INDEX(Hourly_Analysis!$G$5:$G$28,$J544+1),0)),2)</f>
        <v>-0.01</v>
      </c>
      <c r="AH544" s="23" t="str">
        <f>IF(ABS($AG544)&gt;Lookups!$B$20,IF($AG544&gt;0,"High anomaly","Low anomaly"),"")</f>
        <v/>
      </c>
      <c r="AI544" s="23" t="str">
        <f t="shared" si="52"/>
        <v>OK</v>
      </c>
      <c r="AJ544" s="23" t="str">
        <f t="shared" si="53"/>
        <v>No</v>
      </c>
    </row>
    <row r="545" spans="1:36" x14ac:dyDescent="0.35">
      <c r="A545" s="23">
        <v>544</v>
      </c>
      <c r="B545" s="23" t="str">
        <f t="shared" si="48"/>
        <v>Merge 1+2</v>
      </c>
      <c r="C545" s="23">
        <f>IFERROR(MATCH($A545,Merge_1_2!$A$2:$A$611,0),0)</f>
        <v>544</v>
      </c>
      <c r="D545" s="23">
        <f>IF($C545&gt;0,INDEX(Merge_1_2!$Q$2:$Q$611,$C545),0)</f>
        <v>544</v>
      </c>
      <c r="E545" s="23">
        <f>IFERROR(MATCH($A545,Dataset3_Raw!$A$2:$A$391,0),0)</f>
        <v>0</v>
      </c>
      <c r="F545" s="24">
        <f>IF($C545&gt;0,INDEX(Merge_1_2!$B$2:$B$611,$C545),DATE(VALUE(RIGHT(INDEX(Dataset3_Raw!$B$2:$B$391,$E545),4)),VALUE(MID(INDEX(Dataset3_Raw!$B$2:$B$391,$E545),4,2)),VALUE(LEFT(INDEX(Dataset3_Raw!$B$2:$B$391,$E545),2))))</f>
        <v>40567</v>
      </c>
      <c r="G545" s="23">
        <f>IF($C545&gt;0,INDEX(Merge_1_2!$C$2:$C$611,$C545),INDEX(Dataset3_Raw!$C$2:$C$391,$E545))</f>
        <v>1</v>
      </c>
      <c r="H545" s="23">
        <f>IF($C545&gt;0,INDEX(Merge_1_2!$D$2:$D$611,$C545),INDEX(Dataset3_Raw!$D$2:$D$391,$E545))</f>
        <v>0</v>
      </c>
      <c r="I545" s="23">
        <f>IF($C545&gt;0,INDEX(Merge_1_2!$E$2:$E$611,$C545),INDEX(Dataset3_Raw!$E$2:$E$391,$E545))</f>
        <v>1</v>
      </c>
      <c r="J545" s="23">
        <f>IF($C545&gt;0,INDEX(Merge_1_2!$F$2:$F$611,$C545),INDEX(Dataset3_Raw!$F$2:$F$391,$E545))</f>
        <v>19</v>
      </c>
      <c r="K545" s="23" t="b">
        <f>IF($C545&gt;0,INDEX(Merge_1_2!$G$2:$G$611,$C545),INDEX(Dataset3_Raw!$G$2:$G$391,$E545))</f>
        <v>0</v>
      </c>
      <c r="L545" s="23">
        <f>IF($C545&gt;0,INDEX(Merge_1_2!$H$2:$H$611,$C545),INDEX(Dataset3_Raw!$H$2:$H$391,$E545))</f>
        <v>1</v>
      </c>
      <c r="M545" s="23">
        <f>IF($C545&gt;0,INDEX(Merge_1_2!$I$2:$I$611,$C545),INDEX(Dataset3_Raw!$I$2:$I$391,$E545))</f>
        <v>1</v>
      </c>
      <c r="N545" s="25">
        <f>IF($C545&gt;0,INDEX(Merge_1_2!$J$2:$J$611,$C545),INDEX(Dataset3_Raw!$J$2:$J$391,$E545))</f>
        <v>0.14000000000000001</v>
      </c>
      <c r="O545" s="25">
        <f>IF($C545&gt;0,IF(ISNUMBER(INDEX(Merge_1_2!$K$2:$K$611,$C545)),INDEX(Merge_1_2!$K$2:$K$611,$C545),""),INDEX(Dataset3_Raw!$K$2:$K$391,$E545))</f>
        <v>0.1515</v>
      </c>
      <c r="P545" s="25">
        <f>IF(ISNUMBER($O545),$O545,ROUND(Lookups!$B$25+Lookups!$B$24*$N545,4))</f>
        <v>0.1515</v>
      </c>
      <c r="Q545" s="25">
        <f>IF($C545&gt;0,INDEX(Merge_1_2!$L$2:$L$611,$C545),INDEX(Dataset3_Raw!$L$2:$L$391,$E545))</f>
        <v>0.54</v>
      </c>
      <c r="R545" s="25">
        <f>IF($C545&gt;0,INDEX(Merge_1_2!$M$2:$M$611,$C545),INDEX(Dataset3_Raw!$M$2:$M$391,$E545))</f>
        <v>0.16420000000000001</v>
      </c>
      <c r="S545" s="23">
        <f>IF($C545&gt;0,INDEX(Merge_1_2!$N$2:$N$611,$C545),INDEX(Dataset3_Raw!$N$2:$N$391,$E545))</f>
        <v>5</v>
      </c>
      <c r="T545" s="23">
        <f>IF($C545&gt;0,INDEX(Merge_1_2!$O$2:$O$611,$C545),INDEX(Dataset3_Raw!$O$2:$O$391,$E545))</f>
        <v>101</v>
      </c>
      <c r="U545" s="23">
        <f>IF($C545&gt;0,INDEX(Merge_1_2!$P$2:$P$611,$C545),INDEX(Dataset3_Raw!$P$2:$P$391,$E545))</f>
        <v>106</v>
      </c>
      <c r="V545" s="23" t="str">
        <f t="shared" si="49"/>
        <v>Weekday</v>
      </c>
      <c r="W545" s="23" t="str">
        <f>VLOOKUP($M545,Lookups!$A$5:$B$8,2,FALSE())</f>
        <v>Clear / Partly cloudy</v>
      </c>
      <c r="X545" s="23" t="str">
        <f>VLOOKUP($G545,Lookups!$D$5:$E$8,2,FALSE())</f>
        <v>Winter</v>
      </c>
      <c r="Y545" s="23" t="str">
        <f>VLOOKUP($L545,Lookups!$G$5:$H$11,2,FALSE())</f>
        <v>Monday</v>
      </c>
      <c r="Z545" s="23" t="str">
        <f>IF($J545&lt;Lookups!$B$26,"Night",IF($J545&lt;Lookups!$B$27,"Morning",IF($J545&lt;Lookups!$B$28,"Afternoon","Evening")))</f>
        <v>Evening</v>
      </c>
      <c r="AA545" s="26">
        <f>ROUND($N545*(Lookups!$B$16-Lookups!$B$15)+Lookups!$B$15,1)</f>
        <v>-1.4</v>
      </c>
      <c r="AB545" s="26">
        <f>ROUND($P545*(Lookups!$B$18-Lookups!$B$17)+Lookups!$B$17,1)</f>
        <v>-6</v>
      </c>
      <c r="AC545" s="23">
        <f t="shared" si="50"/>
        <v>54</v>
      </c>
      <c r="AD545" s="23">
        <f>ROUND($R545*Lookups!$B$19,1)</f>
        <v>11</v>
      </c>
      <c r="AE545" s="27">
        <f t="shared" si="51"/>
        <v>0.95283018867924529</v>
      </c>
      <c r="AF545" s="23" t="str">
        <f>IF($U545&gt;=Lookups!$B$23,"High",IF($U545&gt;=Lookups!$B$22,"Medium","Low"))</f>
        <v>High</v>
      </c>
      <c r="AG545" s="23">
        <f>ROUND(IF($V545="Weekday",IF(INDEX(Hourly_Analysis!$D$5:$D$28,$J545+1)&gt;0,($U545-INDEX(Hourly_Analysis!$C$5:$C$28,$J545+1))/INDEX(Hourly_Analysis!$D$5:$D$28,$J545+1),0),IF(INDEX(Hourly_Analysis!$G$5:$G$28,$J545+1)&gt;0,($U545-INDEX(Hourly_Analysis!$F$5:$F$28,$J545+1))/INDEX(Hourly_Analysis!$G$5:$G$28,$J545+1),0)),2)</f>
        <v>0.12</v>
      </c>
      <c r="AH545" s="23" t="str">
        <f>IF(ABS($AG545)&gt;Lookups!$B$20,IF($AG545&gt;0,"High anomaly","Low anomaly"),"")</f>
        <v/>
      </c>
      <c r="AI545" s="23" t="str">
        <f t="shared" si="52"/>
        <v>OK</v>
      </c>
      <c r="AJ545" s="23" t="str">
        <f t="shared" si="53"/>
        <v>No</v>
      </c>
    </row>
    <row r="546" spans="1:36" x14ac:dyDescent="0.35">
      <c r="A546" s="23">
        <v>545</v>
      </c>
      <c r="B546" s="23" t="str">
        <f t="shared" si="48"/>
        <v>Merge 1+2</v>
      </c>
      <c r="C546" s="23">
        <f>IFERROR(MATCH($A546,Merge_1_2!$A$2:$A$611,0),0)</f>
        <v>545</v>
      </c>
      <c r="D546" s="23">
        <f>IF($C546&gt;0,INDEX(Merge_1_2!$Q$2:$Q$611,$C546),0)</f>
        <v>545</v>
      </c>
      <c r="E546" s="23">
        <f>IFERROR(MATCH($A546,Dataset3_Raw!$A$2:$A$391,0),0)</f>
        <v>0</v>
      </c>
      <c r="F546" s="24">
        <f>IF($C546&gt;0,INDEX(Merge_1_2!$B$2:$B$611,$C546),DATE(VALUE(RIGHT(INDEX(Dataset3_Raw!$B$2:$B$391,$E546),4)),VALUE(MID(INDEX(Dataset3_Raw!$B$2:$B$391,$E546),4,2)),VALUE(LEFT(INDEX(Dataset3_Raw!$B$2:$B$391,$E546),2))))</f>
        <v>40567</v>
      </c>
      <c r="G546" s="23">
        <f>IF($C546&gt;0,INDEX(Merge_1_2!$C$2:$C$611,$C546),INDEX(Dataset3_Raw!$C$2:$C$391,$E546))</f>
        <v>1</v>
      </c>
      <c r="H546" s="23">
        <f>IF($C546&gt;0,INDEX(Merge_1_2!$D$2:$D$611,$C546),INDEX(Dataset3_Raw!$D$2:$D$391,$E546))</f>
        <v>0</v>
      </c>
      <c r="I546" s="23">
        <f>IF($C546&gt;0,INDEX(Merge_1_2!$E$2:$E$611,$C546),INDEX(Dataset3_Raw!$E$2:$E$391,$E546))</f>
        <v>1</v>
      </c>
      <c r="J546" s="23">
        <f>IF($C546&gt;0,INDEX(Merge_1_2!$F$2:$F$611,$C546),INDEX(Dataset3_Raw!$F$2:$F$391,$E546))</f>
        <v>20</v>
      </c>
      <c r="K546" s="23" t="b">
        <f>IF($C546&gt;0,INDEX(Merge_1_2!$G$2:$G$611,$C546),INDEX(Dataset3_Raw!$G$2:$G$391,$E546))</f>
        <v>0</v>
      </c>
      <c r="L546" s="23">
        <f>IF($C546&gt;0,INDEX(Merge_1_2!$H$2:$H$611,$C546),INDEX(Dataset3_Raw!$H$2:$H$391,$E546))</f>
        <v>1</v>
      </c>
      <c r="M546" s="23">
        <f>IF($C546&gt;0,INDEX(Merge_1_2!$I$2:$I$611,$C546),INDEX(Dataset3_Raw!$I$2:$I$391,$E546))</f>
        <v>1</v>
      </c>
      <c r="N546" s="25">
        <f>IF($C546&gt;0,INDEX(Merge_1_2!$J$2:$J$611,$C546),INDEX(Dataset3_Raw!$J$2:$J$391,$E546))</f>
        <v>0.14000000000000001</v>
      </c>
      <c r="O546" s="25">
        <f>IF($C546&gt;0,IF(ISNUMBER(INDEX(Merge_1_2!$K$2:$K$611,$C546)),INDEX(Merge_1_2!$K$2:$K$611,$C546),""),INDEX(Dataset3_Raw!$K$2:$K$391,$E546))</f>
        <v>0.13639999999999999</v>
      </c>
      <c r="P546" s="25">
        <f>IF(ISNUMBER($O546),$O546,ROUND(Lookups!$B$25+Lookups!$B$24*$N546,4))</f>
        <v>0.13639999999999999</v>
      </c>
      <c r="Q546" s="25">
        <f>IF($C546&gt;0,INDEX(Merge_1_2!$L$2:$L$611,$C546),INDEX(Dataset3_Raw!$L$2:$L$391,$E546))</f>
        <v>0.59</v>
      </c>
      <c r="R546" s="25">
        <f>IF($C546&gt;0,INDEX(Merge_1_2!$M$2:$M$611,$C546),INDEX(Dataset3_Raw!$M$2:$M$391,$E546))</f>
        <v>0.19400000000000001</v>
      </c>
      <c r="S546" s="23">
        <f>IF($C546&gt;0,INDEX(Merge_1_2!$N$2:$N$611,$C546),INDEX(Dataset3_Raw!$N$2:$N$391,$E546))</f>
        <v>1</v>
      </c>
      <c r="T546" s="23">
        <f>IF($C546&gt;0,INDEX(Merge_1_2!$O$2:$O$611,$C546),INDEX(Dataset3_Raw!$O$2:$O$391,$E546))</f>
        <v>80</v>
      </c>
      <c r="U546" s="23">
        <f>IF($C546&gt;0,INDEX(Merge_1_2!$P$2:$P$611,$C546),INDEX(Dataset3_Raw!$P$2:$P$391,$E546))</f>
        <v>81</v>
      </c>
      <c r="V546" s="23" t="str">
        <f t="shared" si="49"/>
        <v>Weekday</v>
      </c>
      <c r="W546" s="23" t="str">
        <f>VLOOKUP($M546,Lookups!$A$5:$B$8,2,FALSE())</f>
        <v>Clear / Partly cloudy</v>
      </c>
      <c r="X546" s="23" t="str">
        <f>VLOOKUP($G546,Lookups!$D$5:$E$8,2,FALSE())</f>
        <v>Winter</v>
      </c>
      <c r="Y546" s="23" t="str">
        <f>VLOOKUP($L546,Lookups!$G$5:$H$11,2,FALSE())</f>
        <v>Monday</v>
      </c>
      <c r="Z546" s="23" t="str">
        <f>IF($J546&lt;Lookups!$B$26,"Night",IF($J546&lt;Lookups!$B$27,"Morning",IF($J546&lt;Lookups!$B$28,"Afternoon","Evening")))</f>
        <v>Evening</v>
      </c>
      <c r="AA546" s="26">
        <f>ROUND($N546*(Lookups!$B$16-Lookups!$B$15)+Lookups!$B$15,1)</f>
        <v>-1.4</v>
      </c>
      <c r="AB546" s="26">
        <f>ROUND($P546*(Lookups!$B$18-Lookups!$B$17)+Lookups!$B$17,1)</f>
        <v>-7</v>
      </c>
      <c r="AC546" s="23">
        <f t="shared" si="50"/>
        <v>59</v>
      </c>
      <c r="AD546" s="23">
        <f>ROUND($R546*Lookups!$B$19,1)</f>
        <v>13</v>
      </c>
      <c r="AE546" s="27">
        <f t="shared" si="51"/>
        <v>0.98765432098765427</v>
      </c>
      <c r="AF546" s="23" t="str">
        <f>IF($U546&gt;=Lookups!$B$23,"High",IF($U546&gt;=Lookups!$B$22,"Medium","Low"))</f>
        <v>Medium</v>
      </c>
      <c r="AG546" s="23">
        <f>ROUND(IF($V546="Weekday",IF(INDEX(Hourly_Analysis!$D$5:$D$28,$J546+1)&gt;0,($U546-INDEX(Hourly_Analysis!$C$5:$C$28,$J546+1))/INDEX(Hourly_Analysis!$D$5:$D$28,$J546+1),0),IF(INDEX(Hourly_Analysis!$G$5:$G$28,$J546+1)&gt;0,($U546-INDEX(Hourly_Analysis!$F$5:$F$28,$J546+1))/INDEX(Hourly_Analysis!$G$5:$G$28,$J546+1),0)),2)</f>
        <v>0.35</v>
      </c>
      <c r="AH546" s="23" t="str">
        <f>IF(ABS($AG546)&gt;Lookups!$B$20,IF($AG546&gt;0,"High anomaly","Low anomaly"),"")</f>
        <v/>
      </c>
      <c r="AI546" s="23" t="str">
        <f t="shared" si="52"/>
        <v>OK</v>
      </c>
      <c r="AJ546" s="23" t="str">
        <f t="shared" si="53"/>
        <v>No</v>
      </c>
    </row>
    <row r="547" spans="1:36" x14ac:dyDescent="0.35">
      <c r="A547" s="23">
        <v>546</v>
      </c>
      <c r="B547" s="23" t="str">
        <f t="shared" si="48"/>
        <v>Merge 1+2</v>
      </c>
      <c r="C547" s="23">
        <f>IFERROR(MATCH($A547,Merge_1_2!$A$2:$A$611,0),0)</f>
        <v>546</v>
      </c>
      <c r="D547" s="23">
        <f>IF($C547&gt;0,INDEX(Merge_1_2!$Q$2:$Q$611,$C547),0)</f>
        <v>546</v>
      </c>
      <c r="E547" s="23">
        <f>IFERROR(MATCH($A547,Dataset3_Raw!$A$2:$A$391,0),0)</f>
        <v>0</v>
      </c>
      <c r="F547" s="24">
        <f>IF($C547&gt;0,INDEX(Merge_1_2!$B$2:$B$611,$C547),DATE(VALUE(RIGHT(INDEX(Dataset3_Raw!$B$2:$B$391,$E547),4)),VALUE(MID(INDEX(Dataset3_Raw!$B$2:$B$391,$E547),4,2)),VALUE(LEFT(INDEX(Dataset3_Raw!$B$2:$B$391,$E547),2))))</f>
        <v>40567</v>
      </c>
      <c r="G547" s="23">
        <f>IF($C547&gt;0,INDEX(Merge_1_2!$C$2:$C$611,$C547),INDEX(Dataset3_Raw!$C$2:$C$391,$E547))</f>
        <v>1</v>
      </c>
      <c r="H547" s="23">
        <f>IF($C547&gt;0,INDEX(Merge_1_2!$D$2:$D$611,$C547),INDEX(Dataset3_Raw!$D$2:$D$391,$E547))</f>
        <v>0</v>
      </c>
      <c r="I547" s="23">
        <f>IF($C547&gt;0,INDEX(Merge_1_2!$E$2:$E$611,$C547),INDEX(Dataset3_Raw!$E$2:$E$391,$E547))</f>
        <v>1</v>
      </c>
      <c r="J547" s="23">
        <f>IF($C547&gt;0,INDEX(Merge_1_2!$F$2:$F$611,$C547),INDEX(Dataset3_Raw!$F$2:$F$391,$E547))</f>
        <v>21</v>
      </c>
      <c r="K547" s="23" t="b">
        <f>IF($C547&gt;0,INDEX(Merge_1_2!$G$2:$G$611,$C547),INDEX(Dataset3_Raw!$G$2:$G$391,$E547))</f>
        <v>0</v>
      </c>
      <c r="L547" s="23">
        <f>IF($C547&gt;0,INDEX(Merge_1_2!$H$2:$H$611,$C547),INDEX(Dataset3_Raw!$H$2:$H$391,$E547))</f>
        <v>1</v>
      </c>
      <c r="M547" s="23">
        <f>IF($C547&gt;0,INDEX(Merge_1_2!$I$2:$I$611,$C547),INDEX(Dataset3_Raw!$I$2:$I$391,$E547))</f>
        <v>1</v>
      </c>
      <c r="N547" s="25">
        <f>IF($C547&gt;0,INDEX(Merge_1_2!$J$2:$J$611,$C547),INDEX(Dataset3_Raw!$J$2:$J$391,$E547))</f>
        <v>0.14000000000000001</v>
      </c>
      <c r="O547" s="25">
        <f>IF($C547&gt;0,IF(ISNUMBER(INDEX(Merge_1_2!$K$2:$K$611,$C547)),INDEX(Merge_1_2!$K$2:$K$611,$C547),""),INDEX(Dataset3_Raw!$K$2:$K$391,$E547))</f>
        <v>0.1515</v>
      </c>
      <c r="P547" s="25">
        <f>IF(ISNUMBER($O547),$O547,ROUND(Lookups!$B$25+Lookups!$B$24*$N547,4))</f>
        <v>0.1515</v>
      </c>
      <c r="Q547" s="25">
        <f>IF($C547&gt;0,INDEX(Merge_1_2!$L$2:$L$611,$C547),INDEX(Dataset3_Raw!$L$2:$L$391,$E547))</f>
        <v>0.63</v>
      </c>
      <c r="R547" s="25">
        <f>IF($C547&gt;0,INDEX(Merge_1_2!$M$2:$M$611,$C547),INDEX(Dataset3_Raw!$M$2:$M$391,$E547))</f>
        <v>0.16420000000000001</v>
      </c>
      <c r="S547" s="23">
        <f>IF($C547&gt;0,INDEX(Merge_1_2!$N$2:$N$611,$C547),INDEX(Dataset3_Raw!$N$2:$N$391,$E547))</f>
        <v>6</v>
      </c>
      <c r="T547" s="23">
        <f>IF($C547&gt;0,INDEX(Merge_1_2!$O$2:$O$611,$C547),INDEX(Dataset3_Raw!$O$2:$O$391,$E547))</f>
        <v>53</v>
      </c>
      <c r="U547" s="23">
        <f>IF($C547&gt;0,INDEX(Merge_1_2!$P$2:$P$611,$C547),INDEX(Dataset3_Raw!$P$2:$P$391,$E547))</f>
        <v>59</v>
      </c>
      <c r="V547" s="23" t="str">
        <f t="shared" si="49"/>
        <v>Weekday</v>
      </c>
      <c r="W547" s="23" t="str">
        <f>VLOOKUP($M547,Lookups!$A$5:$B$8,2,FALSE())</f>
        <v>Clear / Partly cloudy</v>
      </c>
      <c r="X547" s="23" t="str">
        <f>VLOOKUP($G547,Lookups!$D$5:$E$8,2,FALSE())</f>
        <v>Winter</v>
      </c>
      <c r="Y547" s="23" t="str">
        <f>VLOOKUP($L547,Lookups!$G$5:$H$11,2,FALSE())</f>
        <v>Monday</v>
      </c>
      <c r="Z547" s="23" t="str">
        <f>IF($J547&lt;Lookups!$B$26,"Night",IF($J547&lt;Lookups!$B$27,"Morning",IF($J547&lt;Lookups!$B$28,"Afternoon","Evening")))</f>
        <v>Evening</v>
      </c>
      <c r="AA547" s="26">
        <f>ROUND($N547*(Lookups!$B$16-Lookups!$B$15)+Lookups!$B$15,1)</f>
        <v>-1.4</v>
      </c>
      <c r="AB547" s="26">
        <f>ROUND($P547*(Lookups!$B$18-Lookups!$B$17)+Lookups!$B$17,1)</f>
        <v>-6</v>
      </c>
      <c r="AC547" s="23">
        <f t="shared" si="50"/>
        <v>63</v>
      </c>
      <c r="AD547" s="23">
        <f>ROUND($R547*Lookups!$B$19,1)</f>
        <v>11</v>
      </c>
      <c r="AE547" s="27">
        <f t="shared" si="51"/>
        <v>0.89830508474576276</v>
      </c>
      <c r="AF547" s="23" t="str">
        <f>IF($U547&gt;=Lookups!$B$23,"High",IF($U547&gt;=Lookups!$B$22,"Medium","Low"))</f>
        <v>Medium</v>
      </c>
      <c r="AG547" s="23">
        <f>ROUND(IF($V547="Weekday",IF(INDEX(Hourly_Analysis!$D$5:$D$28,$J547+1)&gt;0,($U547-INDEX(Hourly_Analysis!$C$5:$C$28,$J547+1))/INDEX(Hourly_Analysis!$D$5:$D$28,$J547+1),0),IF(INDEX(Hourly_Analysis!$G$5:$G$28,$J547+1)&gt;0,($U547-INDEX(Hourly_Analysis!$F$5:$F$28,$J547+1))/INDEX(Hourly_Analysis!$G$5:$G$28,$J547+1),0)),2)</f>
        <v>0.55000000000000004</v>
      </c>
      <c r="AH547" s="23" t="str">
        <f>IF(ABS($AG547)&gt;Lookups!$B$20,IF($AG547&gt;0,"High anomaly","Low anomaly"),"")</f>
        <v/>
      </c>
      <c r="AI547" s="23" t="str">
        <f t="shared" si="52"/>
        <v>OK</v>
      </c>
      <c r="AJ547" s="23" t="str">
        <f t="shared" si="53"/>
        <v>No</v>
      </c>
    </row>
    <row r="548" spans="1:36" x14ac:dyDescent="0.35">
      <c r="A548" s="23">
        <v>547</v>
      </c>
      <c r="B548" s="23" t="str">
        <f t="shared" si="48"/>
        <v>Merge 1+2</v>
      </c>
      <c r="C548" s="23">
        <f>IFERROR(MATCH($A548,Merge_1_2!$A$2:$A$611,0),0)</f>
        <v>547</v>
      </c>
      <c r="D548" s="23">
        <f>IF($C548&gt;0,INDEX(Merge_1_2!$Q$2:$Q$611,$C548),0)</f>
        <v>547</v>
      </c>
      <c r="E548" s="23">
        <f>IFERROR(MATCH($A548,Dataset3_Raw!$A$2:$A$391,0),0)</f>
        <v>0</v>
      </c>
      <c r="F548" s="24">
        <f>IF($C548&gt;0,INDEX(Merge_1_2!$B$2:$B$611,$C548),DATE(VALUE(RIGHT(INDEX(Dataset3_Raw!$B$2:$B$391,$E548),4)),VALUE(MID(INDEX(Dataset3_Raw!$B$2:$B$391,$E548),4,2)),VALUE(LEFT(INDEX(Dataset3_Raw!$B$2:$B$391,$E548),2))))</f>
        <v>40567</v>
      </c>
      <c r="G548" s="23">
        <f>IF($C548&gt;0,INDEX(Merge_1_2!$C$2:$C$611,$C548),INDEX(Dataset3_Raw!$C$2:$C$391,$E548))</f>
        <v>1</v>
      </c>
      <c r="H548" s="23">
        <f>IF($C548&gt;0,INDEX(Merge_1_2!$D$2:$D$611,$C548),INDEX(Dataset3_Raw!$D$2:$D$391,$E548))</f>
        <v>0</v>
      </c>
      <c r="I548" s="23">
        <f>IF($C548&gt;0,INDEX(Merge_1_2!$E$2:$E$611,$C548),INDEX(Dataset3_Raw!$E$2:$E$391,$E548))</f>
        <v>1</v>
      </c>
      <c r="J548" s="23">
        <f>IF($C548&gt;0,INDEX(Merge_1_2!$F$2:$F$611,$C548),INDEX(Dataset3_Raw!$F$2:$F$391,$E548))</f>
        <v>22</v>
      </c>
      <c r="K548" s="23" t="b">
        <f>IF($C548&gt;0,INDEX(Merge_1_2!$G$2:$G$611,$C548),INDEX(Dataset3_Raw!$G$2:$G$391,$E548))</f>
        <v>0</v>
      </c>
      <c r="L548" s="23">
        <f>IF($C548&gt;0,INDEX(Merge_1_2!$H$2:$H$611,$C548),INDEX(Dataset3_Raw!$H$2:$H$391,$E548))</f>
        <v>1</v>
      </c>
      <c r="M548" s="23">
        <f>IF($C548&gt;0,INDEX(Merge_1_2!$I$2:$I$611,$C548),INDEX(Dataset3_Raw!$I$2:$I$391,$E548))</f>
        <v>2</v>
      </c>
      <c r="N548" s="25">
        <f>IF($C548&gt;0,INDEX(Merge_1_2!$J$2:$J$611,$C548),INDEX(Dataset3_Raw!$J$2:$J$391,$E548))</f>
        <v>0.14000000000000001</v>
      </c>
      <c r="O548" s="25">
        <f>IF($C548&gt;0,IF(ISNUMBER(INDEX(Merge_1_2!$K$2:$K$611,$C548)),INDEX(Merge_1_2!$K$2:$K$611,$C548),""),INDEX(Dataset3_Raw!$K$2:$K$391,$E548))</f>
        <v>0.13639999999999999</v>
      </c>
      <c r="P548" s="25">
        <f>IF(ISNUMBER($O548),$O548,ROUND(Lookups!$B$25+Lookups!$B$24*$N548,4))</f>
        <v>0.13639999999999999</v>
      </c>
      <c r="Q548" s="25">
        <f>IF($C548&gt;0,INDEX(Merge_1_2!$L$2:$L$611,$C548),INDEX(Dataset3_Raw!$L$2:$L$391,$E548))</f>
        <v>0.63</v>
      </c>
      <c r="R548" s="25">
        <f>IF($C548&gt;0,INDEX(Merge_1_2!$M$2:$M$611,$C548),INDEX(Dataset3_Raw!$M$2:$M$391,$E548))</f>
        <v>0.22389999999999999</v>
      </c>
      <c r="S548" s="23">
        <f>IF($C548&gt;0,INDEX(Merge_1_2!$N$2:$N$611,$C548),INDEX(Dataset3_Raw!$N$2:$N$391,$E548))</f>
        <v>3</v>
      </c>
      <c r="T548" s="23">
        <f>IF($C548&gt;0,INDEX(Merge_1_2!$O$2:$O$611,$C548),INDEX(Dataset3_Raw!$O$2:$O$391,$E548))</f>
        <v>32</v>
      </c>
      <c r="U548" s="23">
        <f>IF($C548&gt;0,INDEX(Merge_1_2!$P$2:$P$611,$C548),INDEX(Dataset3_Raw!$P$2:$P$391,$E548))</f>
        <v>35</v>
      </c>
      <c r="V548" s="23" t="str">
        <f t="shared" si="49"/>
        <v>Weekday</v>
      </c>
      <c r="W548" s="23" t="str">
        <f>VLOOKUP($M548,Lookups!$A$5:$B$8,2,FALSE())</f>
        <v>Mist / Cloudy</v>
      </c>
      <c r="X548" s="23" t="str">
        <f>VLOOKUP($G548,Lookups!$D$5:$E$8,2,FALSE())</f>
        <v>Winter</v>
      </c>
      <c r="Y548" s="23" t="str">
        <f>VLOOKUP($L548,Lookups!$G$5:$H$11,2,FALSE())</f>
        <v>Monday</v>
      </c>
      <c r="Z548" s="23" t="str">
        <f>IF($J548&lt;Lookups!$B$26,"Night",IF($J548&lt;Lookups!$B$27,"Morning",IF($J548&lt;Lookups!$B$28,"Afternoon","Evening")))</f>
        <v>Evening</v>
      </c>
      <c r="AA548" s="26">
        <f>ROUND($N548*(Lookups!$B$16-Lookups!$B$15)+Lookups!$B$15,1)</f>
        <v>-1.4</v>
      </c>
      <c r="AB548" s="26">
        <f>ROUND($P548*(Lookups!$B$18-Lookups!$B$17)+Lookups!$B$17,1)</f>
        <v>-7</v>
      </c>
      <c r="AC548" s="23">
        <f t="shared" si="50"/>
        <v>63</v>
      </c>
      <c r="AD548" s="23">
        <f>ROUND($R548*Lookups!$B$19,1)</f>
        <v>15</v>
      </c>
      <c r="AE548" s="27">
        <f t="shared" si="51"/>
        <v>0.91428571428571426</v>
      </c>
      <c r="AF548" s="23" t="str">
        <f>IF($U548&gt;=Lookups!$B$23,"High",IF($U548&gt;=Lookups!$B$22,"Medium","Low"))</f>
        <v>Medium</v>
      </c>
      <c r="AG548" s="23">
        <f>ROUND(IF($V548="Weekday",IF(INDEX(Hourly_Analysis!$D$5:$D$28,$J548+1)&gt;0,($U548-INDEX(Hourly_Analysis!$C$5:$C$28,$J548+1))/INDEX(Hourly_Analysis!$D$5:$D$28,$J548+1),0),IF(INDEX(Hourly_Analysis!$G$5:$G$28,$J548+1)&gt;0,($U548-INDEX(Hourly_Analysis!$F$5:$F$28,$J548+1))/INDEX(Hourly_Analysis!$G$5:$G$28,$J548+1),0)),2)</f>
        <v>-0.3</v>
      </c>
      <c r="AH548" s="23" t="str">
        <f>IF(ABS($AG548)&gt;Lookups!$B$20,IF($AG548&gt;0,"High anomaly","Low anomaly"),"")</f>
        <v/>
      </c>
      <c r="AI548" s="23" t="str">
        <f t="shared" si="52"/>
        <v>OK</v>
      </c>
      <c r="AJ548" s="23" t="str">
        <f t="shared" si="53"/>
        <v>No</v>
      </c>
    </row>
    <row r="549" spans="1:36" x14ac:dyDescent="0.35">
      <c r="A549" s="23">
        <v>548</v>
      </c>
      <c r="B549" s="23" t="str">
        <f t="shared" si="48"/>
        <v>Merge 1+2</v>
      </c>
      <c r="C549" s="23">
        <f>IFERROR(MATCH($A549,Merge_1_2!$A$2:$A$611,0),0)</f>
        <v>548</v>
      </c>
      <c r="D549" s="23">
        <f>IF($C549&gt;0,INDEX(Merge_1_2!$Q$2:$Q$611,$C549),0)</f>
        <v>548</v>
      </c>
      <c r="E549" s="23">
        <f>IFERROR(MATCH($A549,Dataset3_Raw!$A$2:$A$391,0),0)</f>
        <v>0</v>
      </c>
      <c r="F549" s="24">
        <f>IF($C549&gt;0,INDEX(Merge_1_2!$B$2:$B$611,$C549),DATE(VALUE(RIGHT(INDEX(Dataset3_Raw!$B$2:$B$391,$E549),4)),VALUE(MID(INDEX(Dataset3_Raw!$B$2:$B$391,$E549),4,2)),VALUE(LEFT(INDEX(Dataset3_Raw!$B$2:$B$391,$E549),2))))</f>
        <v>40567</v>
      </c>
      <c r="G549" s="23">
        <f>IF($C549&gt;0,INDEX(Merge_1_2!$C$2:$C$611,$C549),INDEX(Dataset3_Raw!$C$2:$C$391,$E549))</f>
        <v>1</v>
      </c>
      <c r="H549" s="23">
        <f>IF($C549&gt;0,INDEX(Merge_1_2!$D$2:$D$611,$C549),INDEX(Dataset3_Raw!$D$2:$D$391,$E549))</f>
        <v>0</v>
      </c>
      <c r="I549" s="23">
        <f>IF($C549&gt;0,INDEX(Merge_1_2!$E$2:$E$611,$C549),INDEX(Dataset3_Raw!$E$2:$E$391,$E549))</f>
        <v>1</v>
      </c>
      <c r="J549" s="23">
        <f>IF($C549&gt;0,INDEX(Merge_1_2!$F$2:$F$611,$C549),INDEX(Dataset3_Raw!$F$2:$F$391,$E549))</f>
        <v>23</v>
      </c>
      <c r="K549" s="23" t="b">
        <f>IF($C549&gt;0,INDEX(Merge_1_2!$G$2:$G$611,$C549),INDEX(Dataset3_Raw!$G$2:$G$391,$E549))</f>
        <v>0</v>
      </c>
      <c r="L549" s="23">
        <f>IF($C549&gt;0,INDEX(Merge_1_2!$H$2:$H$611,$C549),INDEX(Dataset3_Raw!$H$2:$H$391,$E549))</f>
        <v>1</v>
      </c>
      <c r="M549" s="23">
        <f>IF($C549&gt;0,INDEX(Merge_1_2!$I$2:$I$611,$C549),INDEX(Dataset3_Raw!$I$2:$I$391,$E549))</f>
        <v>2</v>
      </c>
      <c r="N549" s="25">
        <f>IF($C549&gt;0,INDEX(Merge_1_2!$J$2:$J$611,$C549),INDEX(Dataset3_Raw!$J$2:$J$391,$E549))</f>
        <v>0.16</v>
      </c>
      <c r="O549" s="25">
        <f>IF($C549&gt;0,IF(ISNUMBER(INDEX(Merge_1_2!$K$2:$K$611,$C549)),INDEX(Merge_1_2!$K$2:$K$611,$C549),""),INDEX(Dataset3_Raw!$K$2:$K$391,$E549))</f>
        <v>0.1515</v>
      </c>
      <c r="P549" s="25">
        <f>IF(ISNUMBER($O549),$O549,ROUND(Lookups!$B$25+Lookups!$B$24*$N549,4))</f>
        <v>0.1515</v>
      </c>
      <c r="Q549" s="25">
        <f>IF($C549&gt;0,INDEX(Merge_1_2!$L$2:$L$611,$C549),INDEX(Dataset3_Raw!$L$2:$L$391,$E549))</f>
        <v>0.64</v>
      </c>
      <c r="R549" s="25">
        <f>IF($C549&gt;0,INDEX(Merge_1_2!$M$2:$M$611,$C549),INDEX(Dataset3_Raw!$M$2:$M$391,$E549))</f>
        <v>0.25369999999999998</v>
      </c>
      <c r="S549" s="23">
        <f>IF($C549&gt;0,INDEX(Merge_1_2!$N$2:$N$611,$C549),INDEX(Dataset3_Raw!$N$2:$N$391,$E549))</f>
        <v>3</v>
      </c>
      <c r="T549" s="23">
        <f>IF($C549&gt;0,INDEX(Merge_1_2!$O$2:$O$611,$C549),INDEX(Dataset3_Raw!$O$2:$O$391,$E549))</f>
        <v>21</v>
      </c>
      <c r="U549" s="23">
        <f>IF($C549&gt;0,INDEX(Merge_1_2!$P$2:$P$611,$C549),INDEX(Dataset3_Raw!$P$2:$P$391,$E549))</f>
        <v>24</v>
      </c>
      <c r="V549" s="23" t="str">
        <f t="shared" si="49"/>
        <v>Weekday</v>
      </c>
      <c r="W549" s="23" t="str">
        <f>VLOOKUP($M549,Lookups!$A$5:$B$8,2,FALSE())</f>
        <v>Mist / Cloudy</v>
      </c>
      <c r="X549" s="23" t="str">
        <f>VLOOKUP($G549,Lookups!$D$5:$E$8,2,FALSE())</f>
        <v>Winter</v>
      </c>
      <c r="Y549" s="23" t="str">
        <f>VLOOKUP($L549,Lookups!$G$5:$H$11,2,FALSE())</f>
        <v>Monday</v>
      </c>
      <c r="Z549" s="23" t="str">
        <f>IF($J549&lt;Lookups!$B$26,"Night",IF($J549&lt;Lookups!$B$27,"Morning",IF($J549&lt;Lookups!$B$28,"Afternoon","Evening")))</f>
        <v>Evening</v>
      </c>
      <c r="AA549" s="26">
        <f>ROUND($N549*(Lookups!$B$16-Lookups!$B$15)+Lookups!$B$15,1)</f>
        <v>-0.5</v>
      </c>
      <c r="AB549" s="26">
        <f>ROUND($P549*(Lookups!$B$18-Lookups!$B$17)+Lookups!$B$17,1)</f>
        <v>-6</v>
      </c>
      <c r="AC549" s="23">
        <f t="shared" si="50"/>
        <v>64</v>
      </c>
      <c r="AD549" s="23">
        <f>ROUND($R549*Lookups!$B$19,1)</f>
        <v>17</v>
      </c>
      <c r="AE549" s="27">
        <f t="shared" si="51"/>
        <v>0.875</v>
      </c>
      <c r="AF549" s="23" t="str">
        <f>IF($U549&gt;=Lookups!$B$23,"High",IF($U549&gt;=Lookups!$B$22,"Medium","Low"))</f>
        <v>Medium</v>
      </c>
      <c r="AG549" s="23">
        <f>ROUND(IF($V549="Weekday",IF(INDEX(Hourly_Analysis!$D$5:$D$28,$J549+1)&gt;0,($U549-INDEX(Hourly_Analysis!$C$5:$C$28,$J549+1))/INDEX(Hourly_Analysis!$D$5:$D$28,$J549+1),0),IF(INDEX(Hourly_Analysis!$G$5:$G$28,$J549+1)&gt;0,($U549-INDEX(Hourly_Analysis!$F$5:$F$28,$J549+1))/INDEX(Hourly_Analysis!$G$5:$G$28,$J549+1),0)),2)</f>
        <v>-0.04</v>
      </c>
      <c r="AH549" s="23" t="str">
        <f>IF(ABS($AG549)&gt;Lookups!$B$20,IF($AG549&gt;0,"High anomaly","Low anomaly"),"")</f>
        <v/>
      </c>
      <c r="AI549" s="23" t="str">
        <f t="shared" si="52"/>
        <v>OK</v>
      </c>
      <c r="AJ549" s="23" t="str">
        <f t="shared" si="53"/>
        <v>No</v>
      </c>
    </row>
    <row r="550" spans="1:36" x14ac:dyDescent="0.35">
      <c r="A550" s="23">
        <v>549</v>
      </c>
      <c r="B550" s="23" t="str">
        <f t="shared" si="48"/>
        <v>Merge 1+2</v>
      </c>
      <c r="C550" s="23">
        <f>IFERROR(MATCH($A550,Merge_1_2!$A$2:$A$611,0),0)</f>
        <v>549</v>
      </c>
      <c r="D550" s="23">
        <f>IF($C550&gt;0,INDEX(Merge_1_2!$Q$2:$Q$611,$C550),0)</f>
        <v>549</v>
      </c>
      <c r="E550" s="23">
        <f>IFERROR(MATCH($A550,Dataset3_Raw!$A$2:$A$391,0),0)</f>
        <v>0</v>
      </c>
      <c r="F550" s="24">
        <f>IF($C550&gt;0,INDEX(Merge_1_2!$B$2:$B$611,$C550),DATE(VALUE(RIGHT(INDEX(Dataset3_Raw!$B$2:$B$391,$E550),4)),VALUE(MID(INDEX(Dataset3_Raw!$B$2:$B$391,$E550),4,2)),VALUE(LEFT(INDEX(Dataset3_Raw!$B$2:$B$391,$E550),2))))</f>
        <v>40568</v>
      </c>
      <c r="G550" s="23">
        <f>IF($C550&gt;0,INDEX(Merge_1_2!$C$2:$C$611,$C550),INDEX(Dataset3_Raw!$C$2:$C$391,$E550))</f>
        <v>1</v>
      </c>
      <c r="H550" s="23">
        <f>IF($C550&gt;0,INDEX(Merge_1_2!$D$2:$D$611,$C550),INDEX(Dataset3_Raw!$D$2:$D$391,$E550))</f>
        <v>0</v>
      </c>
      <c r="I550" s="23">
        <f>IF($C550&gt;0,INDEX(Merge_1_2!$E$2:$E$611,$C550),INDEX(Dataset3_Raw!$E$2:$E$391,$E550))</f>
        <v>1</v>
      </c>
      <c r="J550" s="23">
        <f>IF($C550&gt;0,INDEX(Merge_1_2!$F$2:$F$611,$C550),INDEX(Dataset3_Raw!$F$2:$F$391,$E550))</f>
        <v>0</v>
      </c>
      <c r="K550" s="23" t="b">
        <f>IF($C550&gt;0,INDEX(Merge_1_2!$G$2:$G$611,$C550),INDEX(Dataset3_Raw!$G$2:$G$391,$E550))</f>
        <v>0</v>
      </c>
      <c r="L550" s="23">
        <f>IF($C550&gt;0,INDEX(Merge_1_2!$H$2:$H$611,$C550),INDEX(Dataset3_Raw!$H$2:$H$391,$E550))</f>
        <v>2</v>
      </c>
      <c r="M550" s="23">
        <f>IF($C550&gt;0,INDEX(Merge_1_2!$I$2:$I$611,$C550),INDEX(Dataset3_Raw!$I$2:$I$391,$E550))</f>
        <v>2</v>
      </c>
      <c r="N550" s="25">
        <f>IF($C550&gt;0,INDEX(Merge_1_2!$J$2:$J$611,$C550),INDEX(Dataset3_Raw!$J$2:$J$391,$E550))</f>
        <v>0.16</v>
      </c>
      <c r="O550" s="25">
        <f>IF($C550&gt;0,IF(ISNUMBER(INDEX(Merge_1_2!$K$2:$K$611,$C550)),INDEX(Merge_1_2!$K$2:$K$611,$C550),""),INDEX(Dataset3_Raw!$K$2:$K$391,$E550))</f>
        <v>0.13639999999999999</v>
      </c>
      <c r="P550" s="25">
        <f>IF(ISNUMBER($O550),$O550,ROUND(Lookups!$B$25+Lookups!$B$24*$N550,4))</f>
        <v>0.13639999999999999</v>
      </c>
      <c r="Q550" s="25">
        <f>IF($C550&gt;0,INDEX(Merge_1_2!$L$2:$L$611,$C550),INDEX(Dataset3_Raw!$L$2:$L$391,$E550))</f>
        <v>0.69</v>
      </c>
      <c r="R550" s="25">
        <f>IF($C550&gt;0,INDEX(Merge_1_2!$M$2:$M$611,$C550),INDEX(Dataset3_Raw!$M$2:$M$391,$E550))</f>
        <v>0.28360000000000002</v>
      </c>
      <c r="S550" s="23">
        <f>IF($C550&gt;0,INDEX(Merge_1_2!$N$2:$N$611,$C550),INDEX(Dataset3_Raw!$N$2:$N$391,$E550))</f>
        <v>3</v>
      </c>
      <c r="T550" s="23">
        <f>IF($C550&gt;0,INDEX(Merge_1_2!$O$2:$O$611,$C550),INDEX(Dataset3_Raw!$O$2:$O$391,$E550))</f>
        <v>6</v>
      </c>
      <c r="U550" s="23">
        <f>IF($C550&gt;0,INDEX(Merge_1_2!$P$2:$P$611,$C550),INDEX(Dataset3_Raw!$P$2:$P$391,$E550))</f>
        <v>9</v>
      </c>
      <c r="V550" s="23" t="str">
        <f t="shared" si="49"/>
        <v>Weekday</v>
      </c>
      <c r="W550" s="23" t="str">
        <f>VLOOKUP($M550,Lookups!$A$5:$B$8,2,FALSE())</f>
        <v>Mist / Cloudy</v>
      </c>
      <c r="X550" s="23" t="str">
        <f>VLOOKUP($G550,Lookups!$D$5:$E$8,2,FALSE())</f>
        <v>Winter</v>
      </c>
      <c r="Y550" s="23" t="str">
        <f>VLOOKUP($L550,Lookups!$G$5:$H$11,2,FALSE())</f>
        <v>Tuesday</v>
      </c>
      <c r="Z550" s="23" t="str">
        <f>IF($J550&lt;Lookups!$B$26,"Night",IF($J550&lt;Lookups!$B$27,"Morning",IF($J550&lt;Lookups!$B$28,"Afternoon","Evening")))</f>
        <v>Night</v>
      </c>
      <c r="AA550" s="26">
        <f>ROUND($N550*(Lookups!$B$16-Lookups!$B$15)+Lookups!$B$15,1)</f>
        <v>-0.5</v>
      </c>
      <c r="AB550" s="26">
        <f>ROUND($P550*(Lookups!$B$18-Lookups!$B$17)+Lookups!$B$17,1)</f>
        <v>-7</v>
      </c>
      <c r="AC550" s="23">
        <f t="shared" si="50"/>
        <v>69</v>
      </c>
      <c r="AD550" s="23">
        <f>ROUND($R550*Lookups!$B$19,1)</f>
        <v>19</v>
      </c>
      <c r="AE550" s="27">
        <f t="shared" si="51"/>
        <v>0.66666666666666663</v>
      </c>
      <c r="AF550" s="23" t="str">
        <f>IF($U550&gt;=Lookups!$B$23,"High",IF($U550&gt;=Lookups!$B$22,"Medium","Low"))</f>
        <v>Low</v>
      </c>
      <c r="AG550" s="23">
        <f>ROUND(IF($V550="Weekday",IF(INDEX(Hourly_Analysis!$D$5:$D$28,$J550+1)&gt;0,($U550-INDEX(Hourly_Analysis!$C$5:$C$28,$J550+1))/INDEX(Hourly_Analysis!$D$5:$D$28,$J550+1),0),IF(INDEX(Hourly_Analysis!$G$5:$G$28,$J550+1)&gt;0,($U550-INDEX(Hourly_Analysis!$F$5:$F$28,$J550+1))/INDEX(Hourly_Analysis!$G$5:$G$28,$J550+1),0)),2)</f>
        <v>-0.3</v>
      </c>
      <c r="AH550" s="23" t="str">
        <f>IF(ABS($AG550)&gt;Lookups!$B$20,IF($AG550&gt;0,"High anomaly","Low anomaly"),"")</f>
        <v/>
      </c>
      <c r="AI550" s="23" t="str">
        <f t="shared" si="52"/>
        <v>OK</v>
      </c>
      <c r="AJ550" s="23" t="str">
        <f t="shared" si="53"/>
        <v>No</v>
      </c>
    </row>
    <row r="551" spans="1:36" x14ac:dyDescent="0.35">
      <c r="A551" s="23">
        <v>550</v>
      </c>
      <c r="B551" s="23" t="str">
        <f t="shared" si="48"/>
        <v>Merge 1+2</v>
      </c>
      <c r="C551" s="23">
        <f>IFERROR(MATCH($A551,Merge_1_2!$A$2:$A$611,0),0)</f>
        <v>550</v>
      </c>
      <c r="D551" s="23">
        <f>IF($C551&gt;0,INDEX(Merge_1_2!$Q$2:$Q$611,$C551),0)</f>
        <v>550</v>
      </c>
      <c r="E551" s="23">
        <f>IFERROR(MATCH($A551,Dataset3_Raw!$A$2:$A$391,0),0)</f>
        <v>0</v>
      </c>
      <c r="F551" s="24">
        <f>IF($C551&gt;0,INDEX(Merge_1_2!$B$2:$B$611,$C551),DATE(VALUE(RIGHT(INDEX(Dataset3_Raw!$B$2:$B$391,$E551),4)),VALUE(MID(INDEX(Dataset3_Raw!$B$2:$B$391,$E551),4,2)),VALUE(LEFT(INDEX(Dataset3_Raw!$B$2:$B$391,$E551),2))))</f>
        <v>40568</v>
      </c>
      <c r="G551" s="23">
        <f>IF($C551&gt;0,INDEX(Merge_1_2!$C$2:$C$611,$C551),INDEX(Dataset3_Raw!$C$2:$C$391,$E551))</f>
        <v>1</v>
      </c>
      <c r="H551" s="23">
        <f>IF($C551&gt;0,INDEX(Merge_1_2!$D$2:$D$611,$C551),INDEX(Dataset3_Raw!$D$2:$D$391,$E551))</f>
        <v>0</v>
      </c>
      <c r="I551" s="23">
        <f>IF($C551&gt;0,INDEX(Merge_1_2!$E$2:$E$611,$C551),INDEX(Dataset3_Raw!$E$2:$E$391,$E551))</f>
        <v>1</v>
      </c>
      <c r="J551" s="23">
        <f>IF($C551&gt;0,INDEX(Merge_1_2!$F$2:$F$611,$C551),INDEX(Dataset3_Raw!$F$2:$F$391,$E551))</f>
        <v>1</v>
      </c>
      <c r="K551" s="23" t="b">
        <f>IF($C551&gt;0,INDEX(Merge_1_2!$G$2:$G$611,$C551),INDEX(Dataset3_Raw!$G$2:$G$391,$E551))</f>
        <v>0</v>
      </c>
      <c r="L551" s="23">
        <f>IF($C551&gt;0,INDEX(Merge_1_2!$H$2:$H$611,$C551),INDEX(Dataset3_Raw!$H$2:$H$391,$E551))</f>
        <v>2</v>
      </c>
      <c r="M551" s="23">
        <f>IF($C551&gt;0,INDEX(Merge_1_2!$I$2:$I$611,$C551),INDEX(Dataset3_Raw!$I$2:$I$391,$E551))</f>
        <v>2</v>
      </c>
      <c r="N551" s="25">
        <f>IF($C551&gt;0,INDEX(Merge_1_2!$J$2:$J$611,$C551),INDEX(Dataset3_Raw!$J$2:$J$391,$E551))</f>
        <v>0.16</v>
      </c>
      <c r="O551" s="25">
        <f>IF($C551&gt;0,IF(ISNUMBER(INDEX(Merge_1_2!$K$2:$K$611,$C551)),INDEX(Merge_1_2!$K$2:$K$611,$C551),""),INDEX(Dataset3_Raw!$K$2:$K$391,$E551))</f>
        <v>0.16669999999999999</v>
      </c>
      <c r="P551" s="25">
        <f>IF(ISNUMBER($O551),$O551,ROUND(Lookups!$B$25+Lookups!$B$24*$N551,4))</f>
        <v>0.16669999999999999</v>
      </c>
      <c r="Q551" s="25">
        <f>IF($C551&gt;0,INDEX(Merge_1_2!$L$2:$L$611,$C551),INDEX(Dataset3_Raw!$L$2:$L$391,$E551))</f>
        <v>0.69</v>
      </c>
      <c r="R551" s="25">
        <f>IF($C551&gt;0,INDEX(Merge_1_2!$M$2:$M$611,$C551),INDEX(Dataset3_Raw!$M$2:$M$391,$E551))</f>
        <v>0.16420000000000001</v>
      </c>
      <c r="S551" s="23">
        <f>IF($C551&gt;0,INDEX(Merge_1_2!$N$2:$N$611,$C551),INDEX(Dataset3_Raw!$N$2:$N$391,$E551))</f>
        <v>0</v>
      </c>
      <c r="T551" s="23">
        <f>IF($C551&gt;0,INDEX(Merge_1_2!$O$2:$O$611,$C551),INDEX(Dataset3_Raw!$O$2:$O$391,$E551))</f>
        <v>5</v>
      </c>
      <c r="U551" s="23">
        <f>IF($C551&gt;0,INDEX(Merge_1_2!$P$2:$P$611,$C551),INDEX(Dataset3_Raw!$P$2:$P$391,$E551))</f>
        <v>5</v>
      </c>
      <c r="V551" s="23" t="str">
        <f t="shared" si="49"/>
        <v>Weekday</v>
      </c>
      <c r="W551" s="23" t="str">
        <f>VLOOKUP($M551,Lookups!$A$5:$B$8,2,FALSE())</f>
        <v>Mist / Cloudy</v>
      </c>
      <c r="X551" s="23" t="str">
        <f>VLOOKUP($G551,Lookups!$D$5:$E$8,2,FALSE())</f>
        <v>Winter</v>
      </c>
      <c r="Y551" s="23" t="str">
        <f>VLOOKUP($L551,Lookups!$G$5:$H$11,2,FALSE())</f>
        <v>Tuesday</v>
      </c>
      <c r="Z551" s="23" t="str">
        <f>IF($J551&lt;Lookups!$B$26,"Night",IF($J551&lt;Lookups!$B$27,"Morning",IF($J551&lt;Lookups!$B$28,"Afternoon","Evening")))</f>
        <v>Night</v>
      </c>
      <c r="AA551" s="26">
        <f>ROUND($N551*(Lookups!$B$16-Lookups!$B$15)+Lookups!$B$15,1)</f>
        <v>-0.5</v>
      </c>
      <c r="AB551" s="26">
        <f>ROUND($P551*(Lookups!$B$18-Lookups!$B$17)+Lookups!$B$17,1)</f>
        <v>-5</v>
      </c>
      <c r="AC551" s="23">
        <f t="shared" si="50"/>
        <v>69</v>
      </c>
      <c r="AD551" s="23">
        <f>ROUND($R551*Lookups!$B$19,1)</f>
        <v>11</v>
      </c>
      <c r="AE551" s="27">
        <f t="shared" si="51"/>
        <v>1</v>
      </c>
      <c r="AF551" s="23" t="str">
        <f>IF($U551&gt;=Lookups!$B$23,"High",IF($U551&gt;=Lookups!$B$22,"Medium","Low"))</f>
        <v>Low</v>
      </c>
      <c r="AG551" s="23">
        <f>ROUND(IF($V551="Weekday",IF(INDEX(Hourly_Analysis!$D$5:$D$28,$J551+1)&gt;0,($U551-INDEX(Hourly_Analysis!$C$5:$C$28,$J551+1))/INDEX(Hourly_Analysis!$D$5:$D$28,$J551+1),0),IF(INDEX(Hourly_Analysis!$G$5:$G$28,$J551+1)&gt;0,($U551-INDEX(Hourly_Analysis!$F$5:$F$28,$J551+1))/INDEX(Hourly_Analysis!$G$5:$G$28,$J551+1),0)),2)</f>
        <v>0.14000000000000001</v>
      </c>
      <c r="AH551" s="23" t="str">
        <f>IF(ABS($AG551)&gt;Lookups!$B$20,IF($AG551&gt;0,"High anomaly","Low anomaly"),"")</f>
        <v/>
      </c>
      <c r="AI551" s="23" t="str">
        <f t="shared" si="52"/>
        <v>OK</v>
      </c>
      <c r="AJ551" s="23" t="str">
        <f t="shared" si="53"/>
        <v>No</v>
      </c>
    </row>
    <row r="552" spans="1:36" x14ac:dyDescent="0.35">
      <c r="A552" s="23">
        <v>551</v>
      </c>
      <c r="B552" s="23" t="str">
        <f t="shared" si="48"/>
        <v>Merge 1+2</v>
      </c>
      <c r="C552" s="23">
        <f>IFERROR(MATCH($A552,Merge_1_2!$A$2:$A$611,0),0)</f>
        <v>551</v>
      </c>
      <c r="D552" s="23">
        <f>IF($C552&gt;0,INDEX(Merge_1_2!$Q$2:$Q$611,$C552),0)</f>
        <v>551</v>
      </c>
      <c r="E552" s="23">
        <f>IFERROR(MATCH($A552,Dataset3_Raw!$A$2:$A$391,0),0)</f>
        <v>0</v>
      </c>
      <c r="F552" s="24">
        <f>IF($C552&gt;0,INDEX(Merge_1_2!$B$2:$B$611,$C552),DATE(VALUE(RIGHT(INDEX(Dataset3_Raw!$B$2:$B$391,$E552),4)),VALUE(MID(INDEX(Dataset3_Raw!$B$2:$B$391,$E552),4,2)),VALUE(LEFT(INDEX(Dataset3_Raw!$B$2:$B$391,$E552),2))))</f>
        <v>40568</v>
      </c>
      <c r="G552" s="23">
        <f>IF($C552&gt;0,INDEX(Merge_1_2!$C$2:$C$611,$C552),INDEX(Dataset3_Raw!$C$2:$C$391,$E552))</f>
        <v>1</v>
      </c>
      <c r="H552" s="23">
        <f>IF($C552&gt;0,INDEX(Merge_1_2!$D$2:$D$611,$C552),INDEX(Dataset3_Raw!$D$2:$D$391,$E552))</f>
        <v>0</v>
      </c>
      <c r="I552" s="23">
        <f>IF($C552&gt;0,INDEX(Merge_1_2!$E$2:$E$611,$C552),INDEX(Dataset3_Raw!$E$2:$E$391,$E552))</f>
        <v>1</v>
      </c>
      <c r="J552" s="23">
        <f>IF($C552&gt;0,INDEX(Merge_1_2!$F$2:$F$611,$C552),INDEX(Dataset3_Raw!$F$2:$F$391,$E552))</f>
        <v>2</v>
      </c>
      <c r="K552" s="23" t="b">
        <f>IF($C552&gt;0,INDEX(Merge_1_2!$G$2:$G$611,$C552),INDEX(Dataset3_Raw!$G$2:$G$391,$E552))</f>
        <v>0</v>
      </c>
      <c r="L552" s="23">
        <f>IF($C552&gt;0,INDEX(Merge_1_2!$H$2:$H$611,$C552),INDEX(Dataset3_Raw!$H$2:$H$391,$E552))</f>
        <v>2</v>
      </c>
      <c r="M552" s="23">
        <f>IF($C552&gt;0,INDEX(Merge_1_2!$I$2:$I$611,$C552),INDEX(Dataset3_Raw!$I$2:$I$391,$E552))</f>
        <v>1</v>
      </c>
      <c r="N552" s="25">
        <f>IF($C552&gt;0,INDEX(Merge_1_2!$J$2:$J$611,$C552),INDEX(Dataset3_Raw!$J$2:$J$391,$E552))</f>
        <v>0.16</v>
      </c>
      <c r="O552" s="25">
        <f>IF($C552&gt;0,IF(ISNUMBER(INDEX(Merge_1_2!$K$2:$K$611,$C552)),INDEX(Merge_1_2!$K$2:$K$611,$C552),""),INDEX(Dataset3_Raw!$K$2:$K$391,$E552))</f>
        <v>0.1515</v>
      </c>
      <c r="P552" s="25">
        <f>IF(ISNUMBER($O552),$O552,ROUND(Lookups!$B$25+Lookups!$B$24*$N552,4))</f>
        <v>0.1515</v>
      </c>
      <c r="Q552" s="25">
        <f>IF($C552&gt;0,INDEX(Merge_1_2!$L$2:$L$611,$C552),INDEX(Dataset3_Raw!$L$2:$L$391,$E552))</f>
        <v>0.69</v>
      </c>
      <c r="R552" s="25">
        <f>IF($C552&gt;0,INDEX(Merge_1_2!$M$2:$M$611,$C552),INDEX(Dataset3_Raw!$M$2:$M$391,$E552))</f>
        <v>0.22389999999999999</v>
      </c>
      <c r="S552" s="23">
        <f>IF($C552&gt;0,INDEX(Merge_1_2!$N$2:$N$611,$C552),INDEX(Dataset3_Raw!$N$2:$N$391,$E552))</f>
        <v>0</v>
      </c>
      <c r="T552" s="23">
        <f>IF($C552&gt;0,INDEX(Merge_1_2!$O$2:$O$611,$C552),INDEX(Dataset3_Raw!$O$2:$O$391,$E552))</f>
        <v>2</v>
      </c>
      <c r="U552" s="23">
        <f>IF($C552&gt;0,INDEX(Merge_1_2!$P$2:$P$611,$C552),INDEX(Dataset3_Raw!$P$2:$P$391,$E552))</f>
        <v>2</v>
      </c>
      <c r="V552" s="23" t="str">
        <f t="shared" si="49"/>
        <v>Weekday</v>
      </c>
      <c r="W552" s="23" t="str">
        <f>VLOOKUP($M552,Lookups!$A$5:$B$8,2,FALSE())</f>
        <v>Clear / Partly cloudy</v>
      </c>
      <c r="X552" s="23" t="str">
        <f>VLOOKUP($G552,Lookups!$D$5:$E$8,2,FALSE())</f>
        <v>Winter</v>
      </c>
      <c r="Y552" s="23" t="str">
        <f>VLOOKUP($L552,Lookups!$G$5:$H$11,2,FALSE())</f>
        <v>Tuesday</v>
      </c>
      <c r="Z552" s="23" t="str">
        <f>IF($J552&lt;Lookups!$B$26,"Night",IF($J552&lt;Lookups!$B$27,"Morning",IF($J552&lt;Lookups!$B$28,"Afternoon","Evening")))</f>
        <v>Night</v>
      </c>
      <c r="AA552" s="26">
        <f>ROUND($N552*(Lookups!$B$16-Lookups!$B$15)+Lookups!$B$15,1)</f>
        <v>-0.5</v>
      </c>
      <c r="AB552" s="26">
        <f>ROUND($P552*(Lookups!$B$18-Lookups!$B$17)+Lookups!$B$17,1)</f>
        <v>-6</v>
      </c>
      <c r="AC552" s="23">
        <f t="shared" si="50"/>
        <v>69</v>
      </c>
      <c r="AD552" s="23">
        <f>ROUND($R552*Lookups!$B$19,1)</f>
        <v>15</v>
      </c>
      <c r="AE552" s="27">
        <f t="shared" si="51"/>
        <v>1</v>
      </c>
      <c r="AF552" s="23" t="str">
        <f>IF($U552&gt;=Lookups!$B$23,"High",IF($U552&gt;=Lookups!$B$22,"Medium","Low"))</f>
        <v>Low</v>
      </c>
      <c r="AG552" s="23">
        <f>ROUND(IF($V552="Weekday",IF(INDEX(Hourly_Analysis!$D$5:$D$28,$J552+1)&gt;0,($U552-INDEX(Hourly_Analysis!$C$5:$C$28,$J552+1))/INDEX(Hourly_Analysis!$D$5:$D$28,$J552+1),0),IF(INDEX(Hourly_Analysis!$G$5:$G$28,$J552+1)&gt;0,($U552-INDEX(Hourly_Analysis!$F$5:$F$28,$J552+1))/INDEX(Hourly_Analysis!$G$5:$G$28,$J552+1),0)),2)</f>
        <v>-0.24</v>
      </c>
      <c r="AH552" s="23" t="str">
        <f>IF(ABS($AG552)&gt;Lookups!$B$20,IF($AG552&gt;0,"High anomaly","Low anomaly"),"")</f>
        <v/>
      </c>
      <c r="AI552" s="23" t="str">
        <f t="shared" si="52"/>
        <v>OK</v>
      </c>
      <c r="AJ552" s="23" t="str">
        <f t="shared" si="53"/>
        <v>No</v>
      </c>
    </row>
    <row r="553" spans="1:36" x14ac:dyDescent="0.35">
      <c r="A553" s="23">
        <v>552</v>
      </c>
      <c r="B553" s="23" t="str">
        <f t="shared" si="48"/>
        <v>Merge 1+2</v>
      </c>
      <c r="C553" s="23">
        <f>IFERROR(MATCH($A553,Merge_1_2!$A$2:$A$611,0),0)</f>
        <v>552</v>
      </c>
      <c r="D553" s="23">
        <f>IF($C553&gt;0,INDEX(Merge_1_2!$Q$2:$Q$611,$C553),0)</f>
        <v>552</v>
      </c>
      <c r="E553" s="23">
        <f>IFERROR(MATCH($A553,Dataset3_Raw!$A$2:$A$391,0),0)</f>
        <v>0</v>
      </c>
      <c r="F553" s="24">
        <f>IF($C553&gt;0,INDEX(Merge_1_2!$B$2:$B$611,$C553),DATE(VALUE(RIGHT(INDEX(Dataset3_Raw!$B$2:$B$391,$E553),4)),VALUE(MID(INDEX(Dataset3_Raw!$B$2:$B$391,$E553),4,2)),VALUE(LEFT(INDEX(Dataset3_Raw!$B$2:$B$391,$E553),2))))</f>
        <v>40568</v>
      </c>
      <c r="G553" s="23">
        <f>IF($C553&gt;0,INDEX(Merge_1_2!$C$2:$C$611,$C553),INDEX(Dataset3_Raw!$C$2:$C$391,$E553))</f>
        <v>1</v>
      </c>
      <c r="H553" s="23">
        <f>IF($C553&gt;0,INDEX(Merge_1_2!$D$2:$D$611,$C553),INDEX(Dataset3_Raw!$D$2:$D$391,$E553))</f>
        <v>0</v>
      </c>
      <c r="I553" s="23">
        <f>IF($C553&gt;0,INDEX(Merge_1_2!$E$2:$E$611,$C553),INDEX(Dataset3_Raw!$E$2:$E$391,$E553))</f>
        <v>1</v>
      </c>
      <c r="J553" s="23">
        <f>IF($C553&gt;0,INDEX(Merge_1_2!$F$2:$F$611,$C553),INDEX(Dataset3_Raw!$F$2:$F$391,$E553))</f>
        <v>4</v>
      </c>
      <c r="K553" s="23" t="b">
        <f>IF($C553&gt;0,INDEX(Merge_1_2!$G$2:$G$611,$C553),INDEX(Dataset3_Raw!$G$2:$G$391,$E553))</f>
        <v>0</v>
      </c>
      <c r="L553" s="23">
        <f>IF($C553&gt;0,INDEX(Merge_1_2!$H$2:$H$611,$C553),INDEX(Dataset3_Raw!$H$2:$H$391,$E553))</f>
        <v>2</v>
      </c>
      <c r="M553" s="23">
        <f>IF($C553&gt;0,INDEX(Merge_1_2!$I$2:$I$611,$C553),INDEX(Dataset3_Raw!$I$2:$I$391,$E553))</f>
        <v>1</v>
      </c>
      <c r="N553" s="25">
        <f>IF($C553&gt;0,INDEX(Merge_1_2!$J$2:$J$611,$C553),INDEX(Dataset3_Raw!$J$2:$J$391,$E553))</f>
        <v>0.14000000000000001</v>
      </c>
      <c r="O553" s="25">
        <f>IF($C553&gt;0,IF(ISNUMBER(INDEX(Merge_1_2!$K$2:$K$611,$C553)),INDEX(Merge_1_2!$K$2:$K$611,$C553),""),INDEX(Dataset3_Raw!$K$2:$K$391,$E553))</f>
        <v>0.16669999999999999</v>
      </c>
      <c r="P553" s="25">
        <f>IF(ISNUMBER($O553),$O553,ROUND(Lookups!$B$25+Lookups!$B$24*$N553,4))</f>
        <v>0.16669999999999999</v>
      </c>
      <c r="Q553" s="25">
        <f>IF($C553&gt;0,INDEX(Merge_1_2!$L$2:$L$611,$C553),INDEX(Dataset3_Raw!$L$2:$L$391,$E553))</f>
        <v>0.74</v>
      </c>
      <c r="R553" s="25">
        <f>IF($C553&gt;0,INDEX(Merge_1_2!$M$2:$M$611,$C553),INDEX(Dataset3_Raw!$M$2:$M$391,$E553))</f>
        <v>0.1045</v>
      </c>
      <c r="S553" s="23">
        <f>IF($C553&gt;0,INDEX(Merge_1_2!$N$2:$N$611,$C553),INDEX(Dataset3_Raw!$N$2:$N$391,$E553))</f>
        <v>0</v>
      </c>
      <c r="T553" s="23">
        <f>IF($C553&gt;0,INDEX(Merge_1_2!$O$2:$O$611,$C553),INDEX(Dataset3_Raw!$O$2:$O$391,$E553))</f>
        <v>1</v>
      </c>
      <c r="U553" s="23">
        <f>IF($C553&gt;0,INDEX(Merge_1_2!$P$2:$P$611,$C553),INDEX(Dataset3_Raw!$P$2:$P$391,$E553))</f>
        <v>1</v>
      </c>
      <c r="V553" s="23" t="str">
        <f t="shared" si="49"/>
        <v>Weekday</v>
      </c>
      <c r="W553" s="23" t="str">
        <f>VLOOKUP($M553,Lookups!$A$5:$B$8,2,FALSE())</f>
        <v>Clear / Partly cloudy</v>
      </c>
      <c r="X553" s="23" t="str">
        <f>VLOOKUP($G553,Lookups!$D$5:$E$8,2,FALSE())</f>
        <v>Winter</v>
      </c>
      <c r="Y553" s="23" t="str">
        <f>VLOOKUP($L553,Lookups!$G$5:$H$11,2,FALSE())</f>
        <v>Tuesday</v>
      </c>
      <c r="Z553" s="23" t="str">
        <f>IF($J553&lt;Lookups!$B$26,"Night",IF($J553&lt;Lookups!$B$27,"Morning",IF($J553&lt;Lookups!$B$28,"Afternoon","Evening")))</f>
        <v>Night</v>
      </c>
      <c r="AA553" s="26">
        <f>ROUND($N553*(Lookups!$B$16-Lookups!$B$15)+Lookups!$B$15,1)</f>
        <v>-1.4</v>
      </c>
      <c r="AB553" s="26">
        <f>ROUND($P553*(Lookups!$B$18-Lookups!$B$17)+Lookups!$B$17,1)</f>
        <v>-5</v>
      </c>
      <c r="AC553" s="23">
        <f t="shared" si="50"/>
        <v>74</v>
      </c>
      <c r="AD553" s="23">
        <f>ROUND($R553*Lookups!$B$19,1)</f>
        <v>7</v>
      </c>
      <c r="AE553" s="27">
        <f t="shared" si="51"/>
        <v>1</v>
      </c>
      <c r="AF553" s="23" t="str">
        <f>IF($U553&gt;=Lookups!$B$23,"High",IF($U553&gt;=Lookups!$B$22,"Medium","Low"))</f>
        <v>Low</v>
      </c>
      <c r="AG553" s="23">
        <f>ROUND(IF($V553="Weekday",IF(INDEX(Hourly_Analysis!$D$5:$D$28,$J553+1)&gt;0,($U553-INDEX(Hourly_Analysis!$C$5:$C$28,$J553+1))/INDEX(Hourly_Analysis!$D$5:$D$28,$J553+1),0),IF(INDEX(Hourly_Analysis!$G$5:$G$28,$J553+1)&gt;0,($U553-INDEX(Hourly_Analysis!$F$5:$F$28,$J553+1))/INDEX(Hourly_Analysis!$G$5:$G$28,$J553+1),0)),2)</f>
        <v>-0.81</v>
      </c>
      <c r="AH553" s="23" t="str">
        <f>IF(ABS($AG553)&gt;Lookups!$B$20,IF($AG553&gt;0,"High anomaly","Low anomaly"),"")</f>
        <v/>
      </c>
      <c r="AI553" s="23" t="str">
        <f t="shared" si="52"/>
        <v>OK</v>
      </c>
      <c r="AJ553" s="23" t="str">
        <f t="shared" si="53"/>
        <v>No</v>
      </c>
    </row>
    <row r="554" spans="1:36" x14ac:dyDescent="0.35">
      <c r="A554" s="23">
        <v>553</v>
      </c>
      <c r="B554" s="23" t="str">
        <f t="shared" si="48"/>
        <v>Merge 1+2</v>
      </c>
      <c r="C554" s="23">
        <f>IFERROR(MATCH($A554,Merge_1_2!$A$2:$A$611,0),0)</f>
        <v>553</v>
      </c>
      <c r="D554" s="23">
        <f>IF($C554&gt;0,INDEX(Merge_1_2!$Q$2:$Q$611,$C554),0)</f>
        <v>553</v>
      </c>
      <c r="E554" s="23">
        <f>IFERROR(MATCH($A554,Dataset3_Raw!$A$2:$A$391,0),0)</f>
        <v>0</v>
      </c>
      <c r="F554" s="24">
        <f>IF($C554&gt;0,INDEX(Merge_1_2!$B$2:$B$611,$C554),DATE(VALUE(RIGHT(INDEX(Dataset3_Raw!$B$2:$B$391,$E554),4)),VALUE(MID(INDEX(Dataset3_Raw!$B$2:$B$391,$E554),4,2)),VALUE(LEFT(INDEX(Dataset3_Raw!$B$2:$B$391,$E554),2))))</f>
        <v>40568</v>
      </c>
      <c r="G554" s="23">
        <f>IF($C554&gt;0,INDEX(Merge_1_2!$C$2:$C$611,$C554),INDEX(Dataset3_Raw!$C$2:$C$391,$E554))</f>
        <v>1</v>
      </c>
      <c r="H554" s="23">
        <f>IF($C554&gt;0,INDEX(Merge_1_2!$D$2:$D$611,$C554),INDEX(Dataset3_Raw!$D$2:$D$391,$E554))</f>
        <v>0</v>
      </c>
      <c r="I554" s="23">
        <f>IF($C554&gt;0,INDEX(Merge_1_2!$E$2:$E$611,$C554),INDEX(Dataset3_Raw!$E$2:$E$391,$E554))</f>
        <v>1</v>
      </c>
      <c r="J554" s="23">
        <f>IF($C554&gt;0,INDEX(Merge_1_2!$F$2:$F$611,$C554),INDEX(Dataset3_Raw!$F$2:$F$391,$E554))</f>
        <v>5</v>
      </c>
      <c r="K554" s="23" t="b">
        <f>IF($C554&gt;0,INDEX(Merge_1_2!$G$2:$G$611,$C554),INDEX(Dataset3_Raw!$G$2:$G$391,$E554))</f>
        <v>0</v>
      </c>
      <c r="L554" s="23">
        <f>IF($C554&gt;0,INDEX(Merge_1_2!$H$2:$H$611,$C554),INDEX(Dataset3_Raw!$H$2:$H$391,$E554))</f>
        <v>2</v>
      </c>
      <c r="M554" s="23">
        <f>IF($C554&gt;0,INDEX(Merge_1_2!$I$2:$I$611,$C554),INDEX(Dataset3_Raw!$I$2:$I$391,$E554))</f>
        <v>1</v>
      </c>
      <c r="N554" s="25">
        <f>IF($C554&gt;0,INDEX(Merge_1_2!$J$2:$J$611,$C554),INDEX(Dataset3_Raw!$J$2:$J$391,$E554))</f>
        <v>0.14000000000000001</v>
      </c>
      <c r="O554" s="25">
        <f>IF($C554&gt;0,IF(ISNUMBER(INDEX(Merge_1_2!$K$2:$K$611,$C554)),INDEX(Merge_1_2!$K$2:$K$611,$C554),""),INDEX(Dataset3_Raw!$K$2:$K$391,$E554))</f>
        <v>0.13639999999999999</v>
      </c>
      <c r="P554" s="25">
        <f>IF(ISNUMBER($O554),$O554,ROUND(Lookups!$B$25+Lookups!$B$24*$N554,4))</f>
        <v>0.13639999999999999</v>
      </c>
      <c r="Q554" s="25">
        <f>IF($C554&gt;0,INDEX(Merge_1_2!$L$2:$L$611,$C554),INDEX(Dataset3_Raw!$L$2:$L$391,$E554))</f>
        <v>0.74</v>
      </c>
      <c r="R554" s="25">
        <f>IF($C554&gt;0,INDEX(Merge_1_2!$M$2:$M$611,$C554),INDEX(Dataset3_Raw!$M$2:$M$391,$E554))</f>
        <v>0.22389999999999999</v>
      </c>
      <c r="S554" s="23">
        <f>IF($C554&gt;0,INDEX(Merge_1_2!$N$2:$N$611,$C554),INDEX(Dataset3_Raw!$N$2:$N$391,$E554))</f>
        <v>0</v>
      </c>
      <c r="T554" s="23">
        <f>IF($C554&gt;0,INDEX(Merge_1_2!$O$2:$O$611,$C554),INDEX(Dataset3_Raw!$O$2:$O$391,$E554))</f>
        <v>9</v>
      </c>
      <c r="U554" s="23">
        <f>IF($C554&gt;0,INDEX(Merge_1_2!$P$2:$P$611,$C554),INDEX(Dataset3_Raw!$P$2:$P$391,$E554))</f>
        <v>9</v>
      </c>
      <c r="V554" s="23" t="str">
        <f t="shared" si="49"/>
        <v>Weekday</v>
      </c>
      <c r="W554" s="23" t="str">
        <f>VLOOKUP($M554,Lookups!$A$5:$B$8,2,FALSE())</f>
        <v>Clear / Partly cloudy</v>
      </c>
      <c r="X554" s="23" t="str">
        <f>VLOOKUP($G554,Lookups!$D$5:$E$8,2,FALSE())</f>
        <v>Winter</v>
      </c>
      <c r="Y554" s="23" t="str">
        <f>VLOOKUP($L554,Lookups!$G$5:$H$11,2,FALSE())</f>
        <v>Tuesday</v>
      </c>
      <c r="Z554" s="23" t="str">
        <f>IF($J554&lt;Lookups!$B$26,"Night",IF($J554&lt;Lookups!$B$27,"Morning",IF($J554&lt;Lookups!$B$28,"Afternoon","Evening")))</f>
        <v>Night</v>
      </c>
      <c r="AA554" s="26">
        <f>ROUND($N554*(Lookups!$B$16-Lookups!$B$15)+Lookups!$B$15,1)</f>
        <v>-1.4</v>
      </c>
      <c r="AB554" s="26">
        <f>ROUND($P554*(Lookups!$B$18-Lookups!$B$17)+Lookups!$B$17,1)</f>
        <v>-7</v>
      </c>
      <c r="AC554" s="23">
        <f t="shared" si="50"/>
        <v>74</v>
      </c>
      <c r="AD554" s="23">
        <f>ROUND($R554*Lookups!$B$19,1)</f>
        <v>15</v>
      </c>
      <c r="AE554" s="27">
        <f t="shared" si="51"/>
        <v>1</v>
      </c>
      <c r="AF554" s="23" t="str">
        <f>IF($U554&gt;=Lookups!$B$23,"High",IF($U554&gt;=Lookups!$B$22,"Medium","Low"))</f>
        <v>Low</v>
      </c>
      <c r="AG554" s="23">
        <f>ROUND(IF($V554="Weekday",IF(INDEX(Hourly_Analysis!$D$5:$D$28,$J554+1)&gt;0,($U554-INDEX(Hourly_Analysis!$C$5:$C$28,$J554+1))/INDEX(Hourly_Analysis!$D$5:$D$28,$J554+1),0),IF(INDEX(Hourly_Analysis!$G$5:$G$28,$J554+1)&gt;0,($U554-INDEX(Hourly_Analysis!$F$5:$F$28,$J554+1))/INDEX(Hourly_Analysis!$G$5:$G$28,$J554+1),0)),2)</f>
        <v>1.82</v>
      </c>
      <c r="AH554" s="23" t="str">
        <f>IF(ABS($AG554)&gt;Lookups!$B$20,IF($AG554&gt;0,"High anomaly","Low anomaly"),"")</f>
        <v/>
      </c>
      <c r="AI554" s="23" t="str">
        <f t="shared" si="52"/>
        <v>OK</v>
      </c>
      <c r="AJ554" s="23" t="str">
        <f t="shared" si="53"/>
        <v>No</v>
      </c>
    </row>
    <row r="555" spans="1:36" x14ac:dyDescent="0.35">
      <c r="A555" s="23">
        <v>554</v>
      </c>
      <c r="B555" s="23" t="str">
        <f t="shared" si="48"/>
        <v>Merge 1+2</v>
      </c>
      <c r="C555" s="23">
        <f>IFERROR(MATCH($A555,Merge_1_2!$A$2:$A$611,0),0)</f>
        <v>554</v>
      </c>
      <c r="D555" s="23">
        <f>IF($C555&gt;0,INDEX(Merge_1_2!$Q$2:$Q$611,$C555),0)</f>
        <v>554</v>
      </c>
      <c r="E555" s="23">
        <f>IFERROR(MATCH($A555,Dataset3_Raw!$A$2:$A$391,0),0)</f>
        <v>0</v>
      </c>
      <c r="F555" s="24">
        <f>IF($C555&gt;0,INDEX(Merge_1_2!$B$2:$B$611,$C555),DATE(VALUE(RIGHT(INDEX(Dataset3_Raw!$B$2:$B$391,$E555),4)),VALUE(MID(INDEX(Dataset3_Raw!$B$2:$B$391,$E555),4,2)),VALUE(LEFT(INDEX(Dataset3_Raw!$B$2:$B$391,$E555),2))))</f>
        <v>40568</v>
      </c>
      <c r="G555" s="23">
        <f>IF($C555&gt;0,INDEX(Merge_1_2!$C$2:$C$611,$C555),INDEX(Dataset3_Raw!$C$2:$C$391,$E555))</f>
        <v>1</v>
      </c>
      <c r="H555" s="23">
        <f>IF($C555&gt;0,INDEX(Merge_1_2!$D$2:$D$611,$C555),INDEX(Dataset3_Raw!$D$2:$D$391,$E555))</f>
        <v>0</v>
      </c>
      <c r="I555" s="23">
        <f>IF($C555&gt;0,INDEX(Merge_1_2!$E$2:$E$611,$C555),INDEX(Dataset3_Raw!$E$2:$E$391,$E555))</f>
        <v>1</v>
      </c>
      <c r="J555" s="23">
        <f>IF($C555&gt;0,INDEX(Merge_1_2!$F$2:$F$611,$C555),INDEX(Dataset3_Raw!$F$2:$F$391,$E555))</f>
        <v>6</v>
      </c>
      <c r="K555" s="23" t="b">
        <f>IF($C555&gt;0,INDEX(Merge_1_2!$G$2:$G$611,$C555),INDEX(Dataset3_Raw!$G$2:$G$391,$E555))</f>
        <v>0</v>
      </c>
      <c r="L555" s="23">
        <f>IF($C555&gt;0,INDEX(Merge_1_2!$H$2:$H$611,$C555),INDEX(Dataset3_Raw!$H$2:$H$391,$E555))</f>
        <v>2</v>
      </c>
      <c r="M555" s="23">
        <f>IF($C555&gt;0,INDEX(Merge_1_2!$I$2:$I$611,$C555),INDEX(Dataset3_Raw!$I$2:$I$391,$E555))</f>
        <v>1</v>
      </c>
      <c r="N555" s="25">
        <f>IF($C555&gt;0,INDEX(Merge_1_2!$J$2:$J$611,$C555),INDEX(Dataset3_Raw!$J$2:$J$391,$E555))</f>
        <v>0.16</v>
      </c>
      <c r="O555" s="25">
        <f>IF($C555&gt;0,IF(ISNUMBER(INDEX(Merge_1_2!$K$2:$K$611,$C555)),INDEX(Merge_1_2!$K$2:$K$611,$C555),""),INDEX(Dataset3_Raw!$K$2:$K$391,$E555))</f>
        <v>0.18179999999999999</v>
      </c>
      <c r="P555" s="25">
        <f>IF(ISNUMBER($O555),$O555,ROUND(Lookups!$B$25+Lookups!$B$24*$N555,4))</f>
        <v>0.18179999999999999</v>
      </c>
      <c r="Q555" s="25">
        <f>IF($C555&gt;0,INDEX(Merge_1_2!$L$2:$L$611,$C555),INDEX(Dataset3_Raw!$L$2:$L$391,$E555))</f>
        <v>0.74</v>
      </c>
      <c r="R555" s="25">
        <f>IF($C555&gt;0,INDEX(Merge_1_2!$M$2:$M$611,$C555),INDEX(Dataset3_Raw!$M$2:$M$391,$E555))</f>
        <v>0.1045</v>
      </c>
      <c r="S555" s="23">
        <f>IF($C555&gt;0,INDEX(Merge_1_2!$N$2:$N$611,$C555),INDEX(Dataset3_Raw!$N$2:$N$391,$E555))</f>
        <v>1</v>
      </c>
      <c r="T555" s="23">
        <f>IF($C555&gt;0,INDEX(Merge_1_2!$O$2:$O$611,$C555),INDEX(Dataset3_Raw!$O$2:$O$391,$E555))</f>
        <v>35</v>
      </c>
      <c r="U555" s="23">
        <f>IF($C555&gt;0,INDEX(Merge_1_2!$P$2:$P$611,$C555),INDEX(Dataset3_Raw!$P$2:$P$391,$E555))</f>
        <v>36</v>
      </c>
      <c r="V555" s="23" t="str">
        <f t="shared" si="49"/>
        <v>Weekday</v>
      </c>
      <c r="W555" s="23" t="str">
        <f>VLOOKUP($M555,Lookups!$A$5:$B$8,2,FALSE())</f>
        <v>Clear / Partly cloudy</v>
      </c>
      <c r="X555" s="23" t="str">
        <f>VLOOKUP($G555,Lookups!$D$5:$E$8,2,FALSE())</f>
        <v>Winter</v>
      </c>
      <c r="Y555" s="23" t="str">
        <f>VLOOKUP($L555,Lookups!$G$5:$H$11,2,FALSE())</f>
        <v>Tuesday</v>
      </c>
      <c r="Z555" s="23" t="str">
        <f>IF($J555&lt;Lookups!$B$26,"Night",IF($J555&lt;Lookups!$B$27,"Morning",IF($J555&lt;Lookups!$B$28,"Afternoon","Evening")))</f>
        <v>Morning</v>
      </c>
      <c r="AA555" s="26">
        <f>ROUND($N555*(Lookups!$B$16-Lookups!$B$15)+Lookups!$B$15,1)</f>
        <v>-0.5</v>
      </c>
      <c r="AB555" s="26">
        <f>ROUND($P555*(Lookups!$B$18-Lookups!$B$17)+Lookups!$B$17,1)</f>
        <v>-4</v>
      </c>
      <c r="AC555" s="23">
        <f t="shared" si="50"/>
        <v>74</v>
      </c>
      <c r="AD555" s="23">
        <f>ROUND($R555*Lookups!$B$19,1)</f>
        <v>7</v>
      </c>
      <c r="AE555" s="27">
        <f t="shared" si="51"/>
        <v>0.97222222222222221</v>
      </c>
      <c r="AF555" s="23" t="str">
        <f>IF($U555&gt;=Lookups!$B$23,"High",IF($U555&gt;=Lookups!$B$22,"Medium","Low"))</f>
        <v>Medium</v>
      </c>
      <c r="AG555" s="23">
        <f>ROUND(IF($V555="Weekday",IF(INDEX(Hourly_Analysis!$D$5:$D$28,$J555+1)&gt;0,($U555-INDEX(Hourly_Analysis!$C$5:$C$28,$J555+1))/INDEX(Hourly_Analysis!$D$5:$D$28,$J555+1),0),IF(INDEX(Hourly_Analysis!$G$5:$G$28,$J555+1)&gt;0,($U555-INDEX(Hourly_Analysis!$F$5:$F$28,$J555+1))/INDEX(Hourly_Analysis!$G$5:$G$28,$J555+1),0)),2)</f>
        <v>0.9</v>
      </c>
      <c r="AH555" s="23" t="str">
        <f>IF(ABS($AG555)&gt;Lookups!$B$20,IF($AG555&gt;0,"High anomaly","Low anomaly"),"")</f>
        <v/>
      </c>
      <c r="AI555" s="23" t="str">
        <f t="shared" si="52"/>
        <v>OK</v>
      </c>
      <c r="AJ555" s="23" t="str">
        <f t="shared" si="53"/>
        <v>No</v>
      </c>
    </row>
    <row r="556" spans="1:36" x14ac:dyDescent="0.35">
      <c r="A556" s="23">
        <v>555</v>
      </c>
      <c r="B556" s="23" t="str">
        <f t="shared" si="48"/>
        <v>Merge 1+2</v>
      </c>
      <c r="C556" s="23">
        <f>IFERROR(MATCH($A556,Merge_1_2!$A$2:$A$611,0),0)</f>
        <v>555</v>
      </c>
      <c r="D556" s="23">
        <f>IF($C556&gt;0,INDEX(Merge_1_2!$Q$2:$Q$611,$C556),0)</f>
        <v>555</v>
      </c>
      <c r="E556" s="23">
        <f>IFERROR(MATCH($A556,Dataset3_Raw!$A$2:$A$391,0),0)</f>
        <v>0</v>
      </c>
      <c r="F556" s="24">
        <f>IF($C556&gt;0,INDEX(Merge_1_2!$B$2:$B$611,$C556),DATE(VALUE(RIGHT(INDEX(Dataset3_Raw!$B$2:$B$391,$E556),4)),VALUE(MID(INDEX(Dataset3_Raw!$B$2:$B$391,$E556),4,2)),VALUE(LEFT(INDEX(Dataset3_Raw!$B$2:$B$391,$E556),2))))</f>
        <v>40568</v>
      </c>
      <c r="G556" s="23">
        <f>IF($C556&gt;0,INDEX(Merge_1_2!$C$2:$C$611,$C556),INDEX(Dataset3_Raw!$C$2:$C$391,$E556))</f>
        <v>1</v>
      </c>
      <c r="H556" s="23">
        <f>IF($C556&gt;0,INDEX(Merge_1_2!$D$2:$D$611,$C556),INDEX(Dataset3_Raw!$D$2:$D$391,$E556))</f>
        <v>0</v>
      </c>
      <c r="I556" s="23">
        <f>IF($C556&gt;0,INDEX(Merge_1_2!$E$2:$E$611,$C556),INDEX(Dataset3_Raw!$E$2:$E$391,$E556))</f>
        <v>1</v>
      </c>
      <c r="J556" s="23">
        <f>IF($C556&gt;0,INDEX(Merge_1_2!$F$2:$F$611,$C556),INDEX(Dataset3_Raw!$F$2:$F$391,$E556))</f>
        <v>7</v>
      </c>
      <c r="K556" s="23" t="b">
        <f>IF($C556&gt;0,INDEX(Merge_1_2!$G$2:$G$611,$C556),INDEX(Dataset3_Raw!$G$2:$G$391,$E556))</f>
        <v>0</v>
      </c>
      <c r="L556" s="23">
        <f>IF($C556&gt;0,INDEX(Merge_1_2!$H$2:$H$611,$C556),INDEX(Dataset3_Raw!$H$2:$H$391,$E556))</f>
        <v>2</v>
      </c>
      <c r="M556" s="23">
        <f>IF($C556&gt;0,INDEX(Merge_1_2!$I$2:$I$611,$C556),INDEX(Dataset3_Raw!$I$2:$I$391,$E556))</f>
        <v>1</v>
      </c>
      <c r="N556" s="25">
        <f>IF($C556&gt;0,INDEX(Merge_1_2!$J$2:$J$611,$C556),INDEX(Dataset3_Raw!$J$2:$J$391,$E556))</f>
        <v>0.16</v>
      </c>
      <c r="O556" s="25">
        <f>IF($C556&gt;0,IF(ISNUMBER(INDEX(Merge_1_2!$K$2:$K$611,$C556)),INDEX(Merge_1_2!$K$2:$K$611,$C556),""),INDEX(Dataset3_Raw!$K$2:$K$391,$E556))</f>
        <v>0.1515</v>
      </c>
      <c r="P556" s="25">
        <f>IF(ISNUMBER($O556),$O556,ROUND(Lookups!$B$25+Lookups!$B$24*$N556,4))</f>
        <v>0.1515</v>
      </c>
      <c r="Q556" s="25">
        <f>IF($C556&gt;0,INDEX(Merge_1_2!$L$2:$L$611,$C556),INDEX(Dataset3_Raw!$L$2:$L$391,$E556))</f>
        <v>0.74</v>
      </c>
      <c r="R556" s="25">
        <f>IF($C556&gt;0,INDEX(Merge_1_2!$M$2:$M$611,$C556),INDEX(Dataset3_Raw!$M$2:$M$391,$E556))</f>
        <v>0.22389999999999999</v>
      </c>
      <c r="S556" s="23">
        <f>IF($C556&gt;0,INDEX(Merge_1_2!$N$2:$N$611,$C556),INDEX(Dataset3_Raw!$N$2:$N$391,$E556))</f>
        <v>5</v>
      </c>
      <c r="T556" s="23">
        <f>IF($C556&gt;0,INDEX(Merge_1_2!$O$2:$O$611,$C556),INDEX(Dataset3_Raw!$O$2:$O$391,$E556))</f>
        <v>103</v>
      </c>
      <c r="U556" s="23">
        <f>IF($C556&gt;0,INDEX(Merge_1_2!$P$2:$P$611,$C556),INDEX(Dataset3_Raw!$P$2:$P$391,$E556))</f>
        <v>108</v>
      </c>
      <c r="V556" s="23" t="str">
        <f t="shared" si="49"/>
        <v>Weekday</v>
      </c>
      <c r="W556" s="23" t="str">
        <f>VLOOKUP($M556,Lookups!$A$5:$B$8,2,FALSE())</f>
        <v>Clear / Partly cloudy</v>
      </c>
      <c r="X556" s="23" t="str">
        <f>VLOOKUP($G556,Lookups!$D$5:$E$8,2,FALSE())</f>
        <v>Winter</v>
      </c>
      <c r="Y556" s="23" t="str">
        <f>VLOOKUP($L556,Lookups!$G$5:$H$11,2,FALSE())</f>
        <v>Tuesday</v>
      </c>
      <c r="Z556" s="23" t="str">
        <f>IF($J556&lt;Lookups!$B$26,"Night",IF($J556&lt;Lookups!$B$27,"Morning",IF($J556&lt;Lookups!$B$28,"Afternoon","Evening")))</f>
        <v>Morning</v>
      </c>
      <c r="AA556" s="26">
        <f>ROUND($N556*(Lookups!$B$16-Lookups!$B$15)+Lookups!$B$15,1)</f>
        <v>-0.5</v>
      </c>
      <c r="AB556" s="26">
        <f>ROUND($P556*(Lookups!$B$18-Lookups!$B$17)+Lookups!$B$17,1)</f>
        <v>-6</v>
      </c>
      <c r="AC556" s="23">
        <f t="shared" si="50"/>
        <v>74</v>
      </c>
      <c r="AD556" s="23">
        <f>ROUND($R556*Lookups!$B$19,1)</f>
        <v>15</v>
      </c>
      <c r="AE556" s="27">
        <f t="shared" si="51"/>
        <v>0.95370370370370372</v>
      </c>
      <c r="AF556" s="23" t="str">
        <f>IF($U556&gt;=Lookups!$B$23,"High",IF($U556&gt;=Lookups!$B$22,"Medium","Low"))</f>
        <v>High</v>
      </c>
      <c r="AG556" s="23">
        <f>ROUND(IF($V556="Weekday",IF(INDEX(Hourly_Analysis!$D$5:$D$28,$J556+1)&gt;0,($U556-INDEX(Hourly_Analysis!$C$5:$C$28,$J556+1))/INDEX(Hourly_Analysis!$D$5:$D$28,$J556+1),0),IF(INDEX(Hourly_Analysis!$G$5:$G$28,$J556+1)&gt;0,($U556-INDEX(Hourly_Analysis!$F$5:$F$28,$J556+1))/INDEX(Hourly_Analysis!$G$5:$G$28,$J556+1),0)),2)</f>
        <v>1.44</v>
      </c>
      <c r="AH556" s="23" t="str">
        <f>IF(ABS($AG556)&gt;Lookups!$B$20,IF($AG556&gt;0,"High anomaly","Low anomaly"),"")</f>
        <v/>
      </c>
      <c r="AI556" s="23" t="str">
        <f t="shared" si="52"/>
        <v>OK</v>
      </c>
      <c r="AJ556" s="23" t="str">
        <f t="shared" si="53"/>
        <v>No</v>
      </c>
    </row>
    <row r="557" spans="1:36" x14ac:dyDescent="0.35">
      <c r="A557" s="23">
        <v>556</v>
      </c>
      <c r="B557" s="23" t="str">
        <f t="shared" si="48"/>
        <v>Merge 1+2</v>
      </c>
      <c r="C557" s="23">
        <f>IFERROR(MATCH($A557,Merge_1_2!$A$2:$A$611,0),0)</f>
        <v>556</v>
      </c>
      <c r="D557" s="23">
        <f>IF($C557&gt;0,INDEX(Merge_1_2!$Q$2:$Q$611,$C557),0)</f>
        <v>556</v>
      </c>
      <c r="E557" s="23">
        <f>IFERROR(MATCH($A557,Dataset3_Raw!$A$2:$A$391,0),0)</f>
        <v>0</v>
      </c>
      <c r="F557" s="24">
        <f>IF($C557&gt;0,INDEX(Merge_1_2!$B$2:$B$611,$C557),DATE(VALUE(RIGHT(INDEX(Dataset3_Raw!$B$2:$B$391,$E557),4)),VALUE(MID(INDEX(Dataset3_Raw!$B$2:$B$391,$E557),4,2)),VALUE(LEFT(INDEX(Dataset3_Raw!$B$2:$B$391,$E557),2))))</f>
        <v>40568</v>
      </c>
      <c r="G557" s="23">
        <f>IF($C557&gt;0,INDEX(Merge_1_2!$C$2:$C$611,$C557),INDEX(Dataset3_Raw!$C$2:$C$391,$E557))</f>
        <v>1</v>
      </c>
      <c r="H557" s="23">
        <f>IF($C557&gt;0,INDEX(Merge_1_2!$D$2:$D$611,$C557),INDEX(Dataset3_Raw!$D$2:$D$391,$E557))</f>
        <v>0</v>
      </c>
      <c r="I557" s="23">
        <f>IF($C557&gt;0,INDEX(Merge_1_2!$E$2:$E$611,$C557),INDEX(Dataset3_Raw!$E$2:$E$391,$E557))</f>
        <v>1</v>
      </c>
      <c r="J557" s="23">
        <f>IF($C557&gt;0,INDEX(Merge_1_2!$F$2:$F$611,$C557),INDEX(Dataset3_Raw!$F$2:$F$391,$E557))</f>
        <v>8</v>
      </c>
      <c r="K557" s="23" t="b">
        <f>IF($C557&gt;0,INDEX(Merge_1_2!$G$2:$G$611,$C557),INDEX(Dataset3_Raw!$G$2:$G$391,$E557))</f>
        <v>0</v>
      </c>
      <c r="L557" s="23">
        <f>IF($C557&gt;0,INDEX(Merge_1_2!$H$2:$H$611,$C557),INDEX(Dataset3_Raw!$H$2:$H$391,$E557))</f>
        <v>2</v>
      </c>
      <c r="M557" s="23">
        <f>IF($C557&gt;0,INDEX(Merge_1_2!$I$2:$I$611,$C557),INDEX(Dataset3_Raw!$I$2:$I$391,$E557))</f>
        <v>2</v>
      </c>
      <c r="N557" s="25">
        <f>IF($C557&gt;0,INDEX(Merge_1_2!$J$2:$J$611,$C557),INDEX(Dataset3_Raw!$J$2:$J$391,$E557))</f>
        <v>0.16</v>
      </c>
      <c r="O557" s="25">
        <f>IF($C557&gt;0,IF(ISNUMBER(INDEX(Merge_1_2!$K$2:$K$611,$C557)),INDEX(Merge_1_2!$K$2:$K$611,$C557),""),INDEX(Dataset3_Raw!$K$2:$K$391,$E557))</f>
        <v>0.18179999999999999</v>
      </c>
      <c r="P557" s="25">
        <f>IF(ISNUMBER($O557),$O557,ROUND(Lookups!$B$25+Lookups!$B$24*$N557,4))</f>
        <v>0.18179999999999999</v>
      </c>
      <c r="Q557" s="25">
        <f>IF($C557&gt;0,INDEX(Merge_1_2!$L$2:$L$611,$C557),INDEX(Dataset3_Raw!$L$2:$L$391,$E557))</f>
        <v>0.74</v>
      </c>
      <c r="R557" s="25">
        <f>IF($C557&gt;0,INDEX(Merge_1_2!$M$2:$M$611,$C557),INDEX(Dataset3_Raw!$M$2:$M$391,$E557))</f>
        <v>0.1343</v>
      </c>
      <c r="S557" s="23">
        <f>IF($C557&gt;0,INDEX(Merge_1_2!$N$2:$N$611,$C557),INDEX(Dataset3_Raw!$N$2:$N$391,$E557))</f>
        <v>5</v>
      </c>
      <c r="T557" s="23">
        <f>IF($C557&gt;0,INDEX(Merge_1_2!$O$2:$O$611,$C557),INDEX(Dataset3_Raw!$O$2:$O$391,$E557))</f>
        <v>233</v>
      </c>
      <c r="U557" s="23">
        <f>IF($C557&gt;0,INDEX(Merge_1_2!$P$2:$P$611,$C557),INDEX(Dataset3_Raw!$P$2:$P$391,$E557))</f>
        <v>238</v>
      </c>
      <c r="V557" s="23" t="str">
        <f t="shared" si="49"/>
        <v>Weekday</v>
      </c>
      <c r="W557" s="23" t="str">
        <f>VLOOKUP($M557,Lookups!$A$5:$B$8,2,FALSE())</f>
        <v>Mist / Cloudy</v>
      </c>
      <c r="X557" s="23" t="str">
        <f>VLOOKUP($G557,Lookups!$D$5:$E$8,2,FALSE())</f>
        <v>Winter</v>
      </c>
      <c r="Y557" s="23" t="str">
        <f>VLOOKUP($L557,Lookups!$G$5:$H$11,2,FALSE())</f>
        <v>Tuesday</v>
      </c>
      <c r="Z557" s="23" t="str">
        <f>IF($J557&lt;Lookups!$B$26,"Night",IF($J557&lt;Lookups!$B$27,"Morning",IF($J557&lt;Lookups!$B$28,"Afternoon","Evening")))</f>
        <v>Morning</v>
      </c>
      <c r="AA557" s="26">
        <f>ROUND($N557*(Lookups!$B$16-Lookups!$B$15)+Lookups!$B$15,1)</f>
        <v>-0.5</v>
      </c>
      <c r="AB557" s="26">
        <f>ROUND($P557*(Lookups!$B$18-Lookups!$B$17)+Lookups!$B$17,1)</f>
        <v>-4</v>
      </c>
      <c r="AC557" s="23">
        <f t="shared" si="50"/>
        <v>74</v>
      </c>
      <c r="AD557" s="23">
        <f>ROUND($R557*Lookups!$B$19,1)</f>
        <v>9</v>
      </c>
      <c r="AE557" s="27">
        <f t="shared" si="51"/>
        <v>0.97899159663865543</v>
      </c>
      <c r="AF557" s="23" t="str">
        <f>IF($U557&gt;=Lookups!$B$23,"High",IF($U557&gt;=Lookups!$B$22,"Medium","Low"))</f>
        <v>High</v>
      </c>
      <c r="AG557" s="23">
        <f>ROUND(IF($V557="Weekday",IF(INDEX(Hourly_Analysis!$D$5:$D$28,$J557+1)&gt;0,($U557-INDEX(Hourly_Analysis!$C$5:$C$28,$J557+1))/INDEX(Hourly_Analysis!$D$5:$D$28,$J557+1),0),IF(INDEX(Hourly_Analysis!$G$5:$G$28,$J557+1)&gt;0,($U557-INDEX(Hourly_Analysis!$F$5:$F$28,$J557+1))/INDEX(Hourly_Analysis!$G$5:$G$28,$J557+1),0)),2)</f>
        <v>1.24</v>
      </c>
      <c r="AH557" s="23" t="str">
        <f>IF(ABS($AG557)&gt;Lookups!$B$20,IF($AG557&gt;0,"High anomaly","Low anomaly"),"")</f>
        <v/>
      </c>
      <c r="AI557" s="23" t="str">
        <f t="shared" si="52"/>
        <v>OK</v>
      </c>
      <c r="AJ557" s="23" t="str">
        <f t="shared" si="53"/>
        <v>No</v>
      </c>
    </row>
    <row r="558" spans="1:36" x14ac:dyDescent="0.35">
      <c r="A558" s="23">
        <v>557</v>
      </c>
      <c r="B558" s="23" t="str">
        <f t="shared" si="48"/>
        <v>Merge 1+2</v>
      </c>
      <c r="C558" s="23">
        <f>IFERROR(MATCH($A558,Merge_1_2!$A$2:$A$611,0),0)</f>
        <v>557</v>
      </c>
      <c r="D558" s="23">
        <f>IF($C558&gt;0,INDEX(Merge_1_2!$Q$2:$Q$611,$C558),0)</f>
        <v>557</v>
      </c>
      <c r="E558" s="23">
        <f>IFERROR(MATCH($A558,Dataset3_Raw!$A$2:$A$391,0),0)</f>
        <v>0</v>
      </c>
      <c r="F558" s="24">
        <f>IF($C558&gt;0,INDEX(Merge_1_2!$B$2:$B$611,$C558),DATE(VALUE(RIGHT(INDEX(Dataset3_Raw!$B$2:$B$391,$E558),4)),VALUE(MID(INDEX(Dataset3_Raw!$B$2:$B$391,$E558),4,2)),VALUE(LEFT(INDEX(Dataset3_Raw!$B$2:$B$391,$E558),2))))</f>
        <v>40568</v>
      </c>
      <c r="G558" s="23">
        <f>IF($C558&gt;0,INDEX(Merge_1_2!$C$2:$C$611,$C558),INDEX(Dataset3_Raw!$C$2:$C$391,$E558))</f>
        <v>1</v>
      </c>
      <c r="H558" s="23">
        <f>IF($C558&gt;0,INDEX(Merge_1_2!$D$2:$D$611,$C558),INDEX(Dataset3_Raw!$D$2:$D$391,$E558))</f>
        <v>0</v>
      </c>
      <c r="I558" s="23">
        <f>IF($C558&gt;0,INDEX(Merge_1_2!$E$2:$E$611,$C558),INDEX(Dataset3_Raw!$E$2:$E$391,$E558))</f>
        <v>1</v>
      </c>
      <c r="J558" s="23">
        <f>IF($C558&gt;0,INDEX(Merge_1_2!$F$2:$F$611,$C558),INDEX(Dataset3_Raw!$F$2:$F$391,$E558))</f>
        <v>9</v>
      </c>
      <c r="K558" s="23" t="b">
        <f>IF($C558&gt;0,INDEX(Merge_1_2!$G$2:$G$611,$C558),INDEX(Dataset3_Raw!$G$2:$G$391,$E558))</f>
        <v>0</v>
      </c>
      <c r="L558" s="23">
        <f>IF($C558&gt;0,INDEX(Merge_1_2!$H$2:$H$611,$C558),INDEX(Dataset3_Raw!$H$2:$H$391,$E558))</f>
        <v>2</v>
      </c>
      <c r="M558" s="23">
        <f>IF($C558&gt;0,INDEX(Merge_1_2!$I$2:$I$611,$C558),INDEX(Dataset3_Raw!$I$2:$I$391,$E558))</f>
        <v>2</v>
      </c>
      <c r="N558" s="25">
        <f>IF($C558&gt;0,INDEX(Merge_1_2!$J$2:$J$611,$C558),INDEX(Dataset3_Raw!$J$2:$J$391,$E558))</f>
        <v>0.2</v>
      </c>
      <c r="O558" s="25">
        <f>IF($C558&gt;0,IF(ISNUMBER(INDEX(Merge_1_2!$K$2:$K$611,$C558)),INDEX(Merge_1_2!$K$2:$K$611,$C558),""),INDEX(Dataset3_Raw!$K$2:$K$391,$E558))</f>
        <v>0.2273</v>
      </c>
      <c r="P558" s="25">
        <f>IF(ISNUMBER($O558),$O558,ROUND(Lookups!$B$25+Lookups!$B$24*$N558,4))</f>
        <v>0.2273</v>
      </c>
      <c r="Q558" s="25">
        <f>IF($C558&gt;0,INDEX(Merge_1_2!$L$2:$L$611,$C558),INDEX(Dataset3_Raw!$L$2:$L$391,$E558))</f>
        <v>0.64</v>
      </c>
      <c r="R558" s="25">
        <f>IF($C558&gt;0,INDEX(Merge_1_2!$M$2:$M$611,$C558),INDEX(Dataset3_Raw!$M$2:$M$391,$E558))</f>
        <v>8.9599999999999999E-2</v>
      </c>
      <c r="S558" s="23">
        <f>IF($C558&gt;0,INDEX(Merge_1_2!$N$2:$N$611,$C558),INDEX(Dataset3_Raw!$N$2:$N$391,$E558))</f>
        <v>10</v>
      </c>
      <c r="T558" s="23">
        <f>IF($C558&gt;0,INDEX(Merge_1_2!$O$2:$O$611,$C558),INDEX(Dataset3_Raw!$O$2:$O$391,$E558))</f>
        <v>134</v>
      </c>
      <c r="U558" s="23">
        <f>IF($C558&gt;0,INDEX(Merge_1_2!$P$2:$P$611,$C558),INDEX(Dataset3_Raw!$P$2:$P$391,$E558))</f>
        <v>144</v>
      </c>
      <c r="V558" s="23" t="str">
        <f t="shared" si="49"/>
        <v>Weekday</v>
      </c>
      <c r="W558" s="23" t="str">
        <f>VLOOKUP($M558,Lookups!$A$5:$B$8,2,FALSE())</f>
        <v>Mist / Cloudy</v>
      </c>
      <c r="X558" s="23" t="str">
        <f>VLOOKUP($G558,Lookups!$D$5:$E$8,2,FALSE())</f>
        <v>Winter</v>
      </c>
      <c r="Y558" s="23" t="str">
        <f>VLOOKUP($L558,Lookups!$G$5:$H$11,2,FALSE())</f>
        <v>Tuesday</v>
      </c>
      <c r="Z558" s="23" t="str">
        <f>IF($J558&lt;Lookups!$B$26,"Night",IF($J558&lt;Lookups!$B$27,"Morning",IF($J558&lt;Lookups!$B$28,"Afternoon","Evening")))</f>
        <v>Morning</v>
      </c>
      <c r="AA558" s="26">
        <f>ROUND($N558*(Lookups!$B$16-Lookups!$B$15)+Lookups!$B$15,1)</f>
        <v>1.4</v>
      </c>
      <c r="AB558" s="26">
        <f>ROUND($P558*(Lookups!$B$18-Lookups!$B$17)+Lookups!$B$17,1)</f>
        <v>-1</v>
      </c>
      <c r="AC558" s="23">
        <f t="shared" si="50"/>
        <v>64</v>
      </c>
      <c r="AD558" s="23">
        <f>ROUND($R558*Lookups!$B$19,1)</f>
        <v>6</v>
      </c>
      <c r="AE558" s="27">
        <f t="shared" si="51"/>
        <v>0.93055555555555558</v>
      </c>
      <c r="AF558" s="23" t="str">
        <f>IF($U558&gt;=Lookups!$B$23,"High",IF($U558&gt;=Lookups!$B$22,"Medium","Low"))</f>
        <v>High</v>
      </c>
      <c r="AG558" s="23">
        <f>ROUND(IF($V558="Weekday",IF(INDEX(Hourly_Analysis!$D$5:$D$28,$J558+1)&gt;0,($U558-INDEX(Hourly_Analysis!$C$5:$C$28,$J558+1))/INDEX(Hourly_Analysis!$D$5:$D$28,$J558+1),0),IF(INDEX(Hourly_Analysis!$G$5:$G$28,$J558+1)&gt;0,($U558-INDEX(Hourly_Analysis!$F$5:$F$28,$J558+1))/INDEX(Hourly_Analysis!$G$5:$G$28,$J558+1),0)),2)</f>
        <v>1.1499999999999999</v>
      </c>
      <c r="AH558" s="23" t="str">
        <f>IF(ABS($AG558)&gt;Lookups!$B$20,IF($AG558&gt;0,"High anomaly","Low anomaly"),"")</f>
        <v/>
      </c>
      <c r="AI558" s="23" t="str">
        <f t="shared" si="52"/>
        <v>OK</v>
      </c>
      <c r="AJ558" s="23" t="str">
        <f t="shared" si="53"/>
        <v>No</v>
      </c>
    </row>
    <row r="559" spans="1:36" x14ac:dyDescent="0.35">
      <c r="A559" s="23">
        <v>558</v>
      </c>
      <c r="B559" s="23" t="str">
        <f t="shared" si="48"/>
        <v>Merge 1+2</v>
      </c>
      <c r="C559" s="23">
        <f>IFERROR(MATCH($A559,Merge_1_2!$A$2:$A$611,0),0)</f>
        <v>558</v>
      </c>
      <c r="D559" s="23">
        <f>IF($C559&gt;0,INDEX(Merge_1_2!$Q$2:$Q$611,$C559),0)</f>
        <v>558</v>
      </c>
      <c r="E559" s="23">
        <f>IFERROR(MATCH($A559,Dataset3_Raw!$A$2:$A$391,0),0)</f>
        <v>0</v>
      </c>
      <c r="F559" s="24">
        <f>IF($C559&gt;0,INDEX(Merge_1_2!$B$2:$B$611,$C559),DATE(VALUE(RIGHT(INDEX(Dataset3_Raw!$B$2:$B$391,$E559),4)),VALUE(MID(INDEX(Dataset3_Raw!$B$2:$B$391,$E559),4,2)),VALUE(LEFT(INDEX(Dataset3_Raw!$B$2:$B$391,$E559),2))))</f>
        <v>40568</v>
      </c>
      <c r="G559" s="23">
        <f>IF($C559&gt;0,INDEX(Merge_1_2!$C$2:$C$611,$C559),INDEX(Dataset3_Raw!$C$2:$C$391,$E559))</f>
        <v>1</v>
      </c>
      <c r="H559" s="23">
        <f>IF($C559&gt;0,INDEX(Merge_1_2!$D$2:$D$611,$C559),INDEX(Dataset3_Raw!$D$2:$D$391,$E559))</f>
        <v>0</v>
      </c>
      <c r="I559" s="23">
        <f>IF($C559&gt;0,INDEX(Merge_1_2!$E$2:$E$611,$C559),INDEX(Dataset3_Raw!$E$2:$E$391,$E559))</f>
        <v>1</v>
      </c>
      <c r="J559" s="23">
        <f>IF($C559&gt;0,INDEX(Merge_1_2!$F$2:$F$611,$C559),INDEX(Dataset3_Raw!$F$2:$F$391,$E559))</f>
        <v>10</v>
      </c>
      <c r="K559" s="23" t="b">
        <f>IF($C559&gt;0,INDEX(Merge_1_2!$G$2:$G$611,$C559),INDEX(Dataset3_Raw!$G$2:$G$391,$E559))</f>
        <v>0</v>
      </c>
      <c r="L559" s="23">
        <f>IF($C559&gt;0,INDEX(Merge_1_2!$H$2:$H$611,$C559),INDEX(Dataset3_Raw!$H$2:$H$391,$E559))</f>
        <v>2</v>
      </c>
      <c r="M559" s="23">
        <f>IF($C559&gt;0,INDEX(Merge_1_2!$I$2:$I$611,$C559),INDEX(Dataset3_Raw!$I$2:$I$391,$E559))</f>
        <v>2</v>
      </c>
      <c r="N559" s="25">
        <f>IF($C559&gt;0,INDEX(Merge_1_2!$J$2:$J$611,$C559),INDEX(Dataset3_Raw!$J$2:$J$391,$E559))</f>
        <v>0.22</v>
      </c>
      <c r="O559" s="25">
        <f>IF($C559&gt;0,IF(ISNUMBER(INDEX(Merge_1_2!$K$2:$K$611,$C559)),INDEX(Merge_1_2!$K$2:$K$611,$C559),""),INDEX(Dataset3_Raw!$K$2:$K$391,$E559))</f>
        <v>0.2424</v>
      </c>
      <c r="P559" s="25">
        <f>IF(ISNUMBER($O559),$O559,ROUND(Lookups!$B$25+Lookups!$B$24*$N559,4))</f>
        <v>0.2424</v>
      </c>
      <c r="Q559" s="25">
        <f>IF($C559&gt;0,INDEX(Merge_1_2!$L$2:$L$611,$C559),INDEX(Dataset3_Raw!$L$2:$L$391,$E559))</f>
        <v>0.6</v>
      </c>
      <c r="R559" s="25">
        <f>IF($C559&gt;0,INDEX(Merge_1_2!$M$2:$M$611,$C559),INDEX(Dataset3_Raw!$M$2:$M$391,$E559))</f>
        <v>0.1045</v>
      </c>
      <c r="S559" s="23">
        <f>IF($C559&gt;0,INDEX(Merge_1_2!$N$2:$N$611,$C559),INDEX(Dataset3_Raw!$N$2:$N$391,$E559))</f>
        <v>6</v>
      </c>
      <c r="T559" s="23">
        <f>IF($C559&gt;0,INDEX(Merge_1_2!$O$2:$O$611,$C559),INDEX(Dataset3_Raw!$O$2:$O$391,$E559))</f>
        <v>49</v>
      </c>
      <c r="U559" s="23">
        <f>IF($C559&gt;0,INDEX(Merge_1_2!$P$2:$P$611,$C559),INDEX(Dataset3_Raw!$P$2:$P$391,$E559))</f>
        <v>55</v>
      </c>
      <c r="V559" s="23" t="str">
        <f t="shared" si="49"/>
        <v>Weekday</v>
      </c>
      <c r="W559" s="23" t="str">
        <f>VLOOKUP($M559,Lookups!$A$5:$B$8,2,FALSE())</f>
        <v>Mist / Cloudy</v>
      </c>
      <c r="X559" s="23" t="str">
        <f>VLOOKUP($G559,Lookups!$D$5:$E$8,2,FALSE())</f>
        <v>Winter</v>
      </c>
      <c r="Y559" s="23" t="str">
        <f>VLOOKUP($L559,Lookups!$G$5:$H$11,2,FALSE())</f>
        <v>Tuesday</v>
      </c>
      <c r="Z559" s="23" t="str">
        <f>IF($J559&lt;Lookups!$B$26,"Night",IF($J559&lt;Lookups!$B$27,"Morning",IF($J559&lt;Lookups!$B$28,"Afternoon","Evening")))</f>
        <v>Morning</v>
      </c>
      <c r="AA559" s="26">
        <f>ROUND($N559*(Lookups!$B$16-Lookups!$B$15)+Lookups!$B$15,1)</f>
        <v>2.2999999999999998</v>
      </c>
      <c r="AB559" s="26">
        <f>ROUND($P559*(Lookups!$B$18-Lookups!$B$17)+Lookups!$B$17,1)</f>
        <v>0</v>
      </c>
      <c r="AC559" s="23">
        <f t="shared" si="50"/>
        <v>60</v>
      </c>
      <c r="AD559" s="23">
        <f>ROUND($R559*Lookups!$B$19,1)</f>
        <v>7</v>
      </c>
      <c r="AE559" s="27">
        <f t="shared" si="51"/>
        <v>0.89090909090909087</v>
      </c>
      <c r="AF559" s="23" t="str">
        <f>IF($U559&gt;=Lookups!$B$23,"High",IF($U559&gt;=Lookups!$B$22,"Medium","Low"))</f>
        <v>Medium</v>
      </c>
      <c r="AG559" s="23">
        <f>ROUND(IF($V559="Weekday",IF(INDEX(Hourly_Analysis!$D$5:$D$28,$J559+1)&gt;0,($U559-INDEX(Hourly_Analysis!$C$5:$C$28,$J559+1))/INDEX(Hourly_Analysis!$D$5:$D$28,$J559+1),0),IF(INDEX(Hourly_Analysis!$G$5:$G$28,$J559+1)&gt;0,($U559-INDEX(Hourly_Analysis!$F$5:$F$28,$J559+1))/INDEX(Hourly_Analysis!$G$5:$G$28,$J559+1),0)),2)</f>
        <v>0.61</v>
      </c>
      <c r="AH559" s="23" t="str">
        <f>IF(ABS($AG559)&gt;Lookups!$B$20,IF($AG559&gt;0,"High anomaly","Low anomaly"),"")</f>
        <v/>
      </c>
      <c r="AI559" s="23" t="str">
        <f t="shared" si="52"/>
        <v>OK</v>
      </c>
      <c r="AJ559" s="23" t="str">
        <f t="shared" si="53"/>
        <v>No</v>
      </c>
    </row>
    <row r="560" spans="1:36" x14ac:dyDescent="0.35">
      <c r="A560" s="23">
        <v>559</v>
      </c>
      <c r="B560" s="23" t="str">
        <f t="shared" si="48"/>
        <v>Merge 1+2</v>
      </c>
      <c r="C560" s="23">
        <f>IFERROR(MATCH($A560,Merge_1_2!$A$2:$A$611,0),0)</f>
        <v>559</v>
      </c>
      <c r="D560" s="23">
        <f>IF($C560&gt;0,INDEX(Merge_1_2!$Q$2:$Q$611,$C560),0)</f>
        <v>559</v>
      </c>
      <c r="E560" s="23">
        <f>IFERROR(MATCH($A560,Dataset3_Raw!$A$2:$A$391,0),0)</f>
        <v>0</v>
      </c>
      <c r="F560" s="24">
        <f>IF($C560&gt;0,INDEX(Merge_1_2!$B$2:$B$611,$C560),DATE(VALUE(RIGHT(INDEX(Dataset3_Raw!$B$2:$B$391,$E560),4)),VALUE(MID(INDEX(Dataset3_Raw!$B$2:$B$391,$E560),4,2)),VALUE(LEFT(INDEX(Dataset3_Raw!$B$2:$B$391,$E560),2))))</f>
        <v>40568</v>
      </c>
      <c r="G560" s="23">
        <f>IF($C560&gt;0,INDEX(Merge_1_2!$C$2:$C$611,$C560),INDEX(Dataset3_Raw!$C$2:$C$391,$E560))</f>
        <v>1</v>
      </c>
      <c r="H560" s="23">
        <f>IF($C560&gt;0,INDEX(Merge_1_2!$D$2:$D$611,$C560),INDEX(Dataset3_Raw!$D$2:$D$391,$E560))</f>
        <v>0</v>
      </c>
      <c r="I560" s="23">
        <f>IF($C560&gt;0,INDEX(Merge_1_2!$E$2:$E$611,$C560),INDEX(Dataset3_Raw!$E$2:$E$391,$E560))</f>
        <v>1</v>
      </c>
      <c r="J560" s="23">
        <f>IF($C560&gt;0,INDEX(Merge_1_2!$F$2:$F$611,$C560),INDEX(Dataset3_Raw!$F$2:$F$391,$E560))</f>
        <v>11</v>
      </c>
      <c r="K560" s="23" t="b">
        <f>IF($C560&gt;0,INDEX(Merge_1_2!$G$2:$G$611,$C560),INDEX(Dataset3_Raw!$G$2:$G$391,$E560))</f>
        <v>0</v>
      </c>
      <c r="L560" s="23">
        <f>IF($C560&gt;0,INDEX(Merge_1_2!$H$2:$H$611,$C560),INDEX(Dataset3_Raw!$H$2:$H$391,$E560))</f>
        <v>2</v>
      </c>
      <c r="M560" s="23">
        <f>IF($C560&gt;0,INDEX(Merge_1_2!$I$2:$I$611,$C560),INDEX(Dataset3_Raw!$I$2:$I$391,$E560))</f>
        <v>2</v>
      </c>
      <c r="N560" s="25">
        <f>IF($C560&gt;0,INDEX(Merge_1_2!$J$2:$J$611,$C560),INDEX(Dataset3_Raw!$J$2:$J$391,$E560))</f>
        <v>0.24</v>
      </c>
      <c r="O560" s="25">
        <f>IF($C560&gt;0,IF(ISNUMBER(INDEX(Merge_1_2!$K$2:$K$611,$C560)),INDEX(Merge_1_2!$K$2:$K$611,$C560),""),INDEX(Dataset3_Raw!$K$2:$K$391,$E560))</f>
        <v>0.2424</v>
      </c>
      <c r="P560" s="25">
        <f>IF(ISNUMBER($O560),$O560,ROUND(Lookups!$B$25+Lookups!$B$24*$N560,4))</f>
        <v>0.2424</v>
      </c>
      <c r="Q560" s="25">
        <f>IF($C560&gt;0,INDEX(Merge_1_2!$L$2:$L$611,$C560),INDEX(Dataset3_Raw!$L$2:$L$391,$E560))</f>
        <v>0.6</v>
      </c>
      <c r="R560" s="25">
        <f>IF($C560&gt;0,INDEX(Merge_1_2!$M$2:$M$611,$C560),INDEX(Dataset3_Raw!$M$2:$M$391,$E560))</f>
        <v>0.1343</v>
      </c>
      <c r="S560" s="23">
        <f>IF($C560&gt;0,INDEX(Merge_1_2!$N$2:$N$611,$C560),INDEX(Dataset3_Raw!$N$2:$N$391,$E560))</f>
        <v>6</v>
      </c>
      <c r="T560" s="23">
        <f>IF($C560&gt;0,INDEX(Merge_1_2!$O$2:$O$611,$C560),INDEX(Dataset3_Raw!$O$2:$O$391,$E560))</f>
        <v>55</v>
      </c>
      <c r="U560" s="23">
        <f>IF($C560&gt;0,INDEX(Merge_1_2!$P$2:$P$611,$C560),INDEX(Dataset3_Raw!$P$2:$P$391,$E560))</f>
        <v>61</v>
      </c>
      <c r="V560" s="23" t="str">
        <f t="shared" si="49"/>
        <v>Weekday</v>
      </c>
      <c r="W560" s="23" t="str">
        <f>VLOOKUP($M560,Lookups!$A$5:$B$8,2,FALSE())</f>
        <v>Mist / Cloudy</v>
      </c>
      <c r="X560" s="23" t="str">
        <f>VLOOKUP($G560,Lookups!$D$5:$E$8,2,FALSE())</f>
        <v>Winter</v>
      </c>
      <c r="Y560" s="23" t="str">
        <f>VLOOKUP($L560,Lookups!$G$5:$H$11,2,FALSE())</f>
        <v>Tuesday</v>
      </c>
      <c r="Z560" s="23" t="str">
        <f>IF($J560&lt;Lookups!$B$26,"Night",IF($J560&lt;Lookups!$B$27,"Morning",IF($J560&lt;Lookups!$B$28,"Afternoon","Evening")))</f>
        <v>Morning</v>
      </c>
      <c r="AA560" s="26">
        <f>ROUND($N560*(Lookups!$B$16-Lookups!$B$15)+Lookups!$B$15,1)</f>
        <v>3.3</v>
      </c>
      <c r="AB560" s="26">
        <f>ROUND($P560*(Lookups!$B$18-Lookups!$B$17)+Lookups!$B$17,1)</f>
        <v>0</v>
      </c>
      <c r="AC560" s="23">
        <f t="shared" si="50"/>
        <v>60</v>
      </c>
      <c r="AD560" s="23">
        <f>ROUND($R560*Lookups!$B$19,1)</f>
        <v>9</v>
      </c>
      <c r="AE560" s="27">
        <f t="shared" si="51"/>
        <v>0.90163934426229508</v>
      </c>
      <c r="AF560" s="23" t="str">
        <f>IF($U560&gt;=Lookups!$B$23,"High",IF($U560&gt;=Lookups!$B$22,"Medium","Low"))</f>
        <v>Medium</v>
      </c>
      <c r="AG560" s="23">
        <f>ROUND(IF($V560="Weekday",IF(INDEX(Hourly_Analysis!$D$5:$D$28,$J560+1)&gt;0,($U560-INDEX(Hourly_Analysis!$C$5:$C$28,$J560+1))/INDEX(Hourly_Analysis!$D$5:$D$28,$J560+1),0),IF(INDEX(Hourly_Analysis!$G$5:$G$28,$J560+1)&gt;0,($U560-INDEX(Hourly_Analysis!$F$5:$F$28,$J560+1))/INDEX(Hourly_Analysis!$G$5:$G$28,$J560+1),0)),2)</f>
        <v>0.98</v>
      </c>
      <c r="AH560" s="23" t="str">
        <f>IF(ABS($AG560)&gt;Lookups!$B$20,IF($AG560&gt;0,"High anomaly","Low anomaly"),"")</f>
        <v/>
      </c>
      <c r="AI560" s="23" t="str">
        <f t="shared" si="52"/>
        <v>OK</v>
      </c>
      <c r="AJ560" s="23" t="str">
        <f t="shared" si="53"/>
        <v>No</v>
      </c>
    </row>
    <row r="561" spans="1:36" x14ac:dyDescent="0.35">
      <c r="A561" s="23">
        <v>560</v>
      </c>
      <c r="B561" s="23" t="str">
        <f t="shared" si="48"/>
        <v>Merge 1+2</v>
      </c>
      <c r="C561" s="23">
        <f>IFERROR(MATCH($A561,Merge_1_2!$A$2:$A$611,0),0)</f>
        <v>560</v>
      </c>
      <c r="D561" s="23">
        <f>IF($C561&gt;0,INDEX(Merge_1_2!$Q$2:$Q$611,$C561),0)</f>
        <v>560</v>
      </c>
      <c r="E561" s="23">
        <f>IFERROR(MATCH($A561,Dataset3_Raw!$A$2:$A$391,0),0)</f>
        <v>0</v>
      </c>
      <c r="F561" s="24">
        <f>IF($C561&gt;0,INDEX(Merge_1_2!$B$2:$B$611,$C561),DATE(VALUE(RIGHT(INDEX(Dataset3_Raw!$B$2:$B$391,$E561),4)),VALUE(MID(INDEX(Dataset3_Raw!$B$2:$B$391,$E561),4,2)),VALUE(LEFT(INDEX(Dataset3_Raw!$B$2:$B$391,$E561),2))))</f>
        <v>40568</v>
      </c>
      <c r="G561" s="23">
        <f>IF($C561&gt;0,INDEX(Merge_1_2!$C$2:$C$611,$C561),INDEX(Dataset3_Raw!$C$2:$C$391,$E561))</f>
        <v>1</v>
      </c>
      <c r="H561" s="23">
        <f>IF($C561&gt;0,INDEX(Merge_1_2!$D$2:$D$611,$C561),INDEX(Dataset3_Raw!$D$2:$D$391,$E561))</f>
        <v>0</v>
      </c>
      <c r="I561" s="23">
        <f>IF($C561&gt;0,INDEX(Merge_1_2!$E$2:$E$611,$C561),INDEX(Dataset3_Raw!$E$2:$E$391,$E561))</f>
        <v>1</v>
      </c>
      <c r="J561" s="23">
        <f>IF($C561&gt;0,INDEX(Merge_1_2!$F$2:$F$611,$C561),INDEX(Dataset3_Raw!$F$2:$F$391,$E561))</f>
        <v>12</v>
      </c>
      <c r="K561" s="23" t="b">
        <f>IF($C561&gt;0,INDEX(Merge_1_2!$G$2:$G$611,$C561),INDEX(Dataset3_Raw!$G$2:$G$391,$E561))</f>
        <v>0</v>
      </c>
      <c r="L561" s="23">
        <f>IF($C561&gt;0,INDEX(Merge_1_2!$H$2:$H$611,$C561),INDEX(Dataset3_Raw!$H$2:$H$391,$E561))</f>
        <v>2</v>
      </c>
      <c r="M561" s="23">
        <f>IF($C561&gt;0,INDEX(Merge_1_2!$I$2:$I$611,$C561),INDEX(Dataset3_Raw!$I$2:$I$391,$E561))</f>
        <v>2</v>
      </c>
      <c r="N561" s="25">
        <f>IF($C561&gt;0,INDEX(Merge_1_2!$J$2:$J$611,$C561),INDEX(Dataset3_Raw!$J$2:$J$391,$E561))</f>
        <v>0.26</v>
      </c>
      <c r="O561" s="25">
        <f>IF($C561&gt;0,IF(ISNUMBER(INDEX(Merge_1_2!$K$2:$K$611,$C561)),INDEX(Merge_1_2!$K$2:$K$611,$C561),""),INDEX(Dataset3_Raw!$K$2:$K$391,$E561))</f>
        <v>0.28789999999999999</v>
      </c>
      <c r="P561" s="25">
        <f>IF(ISNUMBER($O561),$O561,ROUND(Lookups!$B$25+Lookups!$B$24*$N561,4))</f>
        <v>0.28789999999999999</v>
      </c>
      <c r="Q561" s="25">
        <f>IF($C561&gt;0,INDEX(Merge_1_2!$L$2:$L$611,$C561),INDEX(Dataset3_Raw!$L$2:$L$391,$E561))</f>
        <v>0.56000000000000005</v>
      </c>
      <c r="R561" s="25">
        <f>IF($C561&gt;0,INDEX(Merge_1_2!$M$2:$M$611,$C561),INDEX(Dataset3_Raw!$M$2:$M$391,$E561))</f>
        <v>8.9599999999999999E-2</v>
      </c>
      <c r="S561" s="23">
        <f>IF($C561&gt;0,INDEX(Merge_1_2!$N$2:$N$611,$C561),INDEX(Dataset3_Raw!$N$2:$N$391,$E561))</f>
        <v>21</v>
      </c>
      <c r="T561" s="23">
        <f>IF($C561&gt;0,INDEX(Merge_1_2!$O$2:$O$611,$C561),INDEX(Dataset3_Raw!$O$2:$O$391,$E561))</f>
        <v>85</v>
      </c>
      <c r="U561" s="23">
        <f>IF($C561&gt;0,INDEX(Merge_1_2!$P$2:$P$611,$C561),INDEX(Dataset3_Raw!$P$2:$P$391,$E561))</f>
        <v>106</v>
      </c>
      <c r="V561" s="23" t="str">
        <f t="shared" si="49"/>
        <v>Weekday</v>
      </c>
      <c r="W561" s="23" t="str">
        <f>VLOOKUP($M561,Lookups!$A$5:$B$8,2,FALSE())</f>
        <v>Mist / Cloudy</v>
      </c>
      <c r="X561" s="23" t="str">
        <f>VLOOKUP($G561,Lookups!$D$5:$E$8,2,FALSE())</f>
        <v>Winter</v>
      </c>
      <c r="Y561" s="23" t="str">
        <f>VLOOKUP($L561,Lookups!$G$5:$H$11,2,FALSE())</f>
        <v>Tuesday</v>
      </c>
      <c r="Z561" s="23" t="str">
        <f>IF($J561&lt;Lookups!$B$26,"Night",IF($J561&lt;Lookups!$B$27,"Morning",IF($J561&lt;Lookups!$B$28,"Afternoon","Evening")))</f>
        <v>Afternoon</v>
      </c>
      <c r="AA561" s="26">
        <f>ROUND($N561*(Lookups!$B$16-Lookups!$B$15)+Lookups!$B$15,1)</f>
        <v>4.2</v>
      </c>
      <c r="AB561" s="26">
        <f>ROUND($P561*(Lookups!$B$18-Lookups!$B$17)+Lookups!$B$17,1)</f>
        <v>3</v>
      </c>
      <c r="AC561" s="23">
        <f t="shared" si="50"/>
        <v>56</v>
      </c>
      <c r="AD561" s="23">
        <f>ROUND($R561*Lookups!$B$19,1)</f>
        <v>6</v>
      </c>
      <c r="AE561" s="27">
        <f t="shared" si="51"/>
        <v>0.80188679245283023</v>
      </c>
      <c r="AF561" s="23" t="str">
        <f>IF($U561&gt;=Lookups!$B$23,"High",IF($U561&gt;=Lookups!$B$22,"Medium","Low"))</f>
        <v>High</v>
      </c>
      <c r="AG561" s="23">
        <f>ROUND(IF($V561="Weekday",IF(INDEX(Hourly_Analysis!$D$5:$D$28,$J561+1)&gt;0,($U561-INDEX(Hourly_Analysis!$C$5:$C$28,$J561+1))/INDEX(Hourly_Analysis!$D$5:$D$28,$J561+1),0),IF(INDEX(Hourly_Analysis!$G$5:$G$28,$J561+1)&gt;0,($U561-INDEX(Hourly_Analysis!$F$5:$F$28,$J561+1))/INDEX(Hourly_Analysis!$G$5:$G$28,$J561+1),0)),2)</f>
        <v>2.23</v>
      </c>
      <c r="AH561" s="23" t="str">
        <f>IF(ABS($AG561)&gt;Lookups!$B$20,IF($AG561&gt;0,"High anomaly","Low anomaly"),"")</f>
        <v/>
      </c>
      <c r="AI561" s="23" t="str">
        <f t="shared" si="52"/>
        <v>OK</v>
      </c>
      <c r="AJ561" s="23" t="str">
        <f t="shared" si="53"/>
        <v>No</v>
      </c>
    </row>
    <row r="562" spans="1:36" x14ac:dyDescent="0.35">
      <c r="A562" s="23">
        <v>561</v>
      </c>
      <c r="B562" s="23" t="str">
        <f t="shared" si="48"/>
        <v>Merge 1+2</v>
      </c>
      <c r="C562" s="23">
        <f>IFERROR(MATCH($A562,Merge_1_2!$A$2:$A$611,0),0)</f>
        <v>561</v>
      </c>
      <c r="D562" s="23">
        <f>IF($C562&gt;0,INDEX(Merge_1_2!$Q$2:$Q$611,$C562),0)</f>
        <v>561</v>
      </c>
      <c r="E562" s="23">
        <f>IFERROR(MATCH($A562,Dataset3_Raw!$A$2:$A$391,0),0)</f>
        <v>0</v>
      </c>
      <c r="F562" s="24">
        <f>IF($C562&gt;0,INDEX(Merge_1_2!$B$2:$B$611,$C562),DATE(VALUE(RIGHT(INDEX(Dataset3_Raw!$B$2:$B$391,$E562),4)),VALUE(MID(INDEX(Dataset3_Raw!$B$2:$B$391,$E562),4,2)),VALUE(LEFT(INDEX(Dataset3_Raw!$B$2:$B$391,$E562),2))))</f>
        <v>40568</v>
      </c>
      <c r="G562" s="23">
        <f>IF($C562&gt;0,INDEX(Merge_1_2!$C$2:$C$611,$C562),INDEX(Dataset3_Raw!$C$2:$C$391,$E562))</f>
        <v>1</v>
      </c>
      <c r="H562" s="23">
        <f>IF($C562&gt;0,INDEX(Merge_1_2!$D$2:$D$611,$C562),INDEX(Dataset3_Raw!$D$2:$D$391,$E562))</f>
        <v>0</v>
      </c>
      <c r="I562" s="23">
        <f>IF($C562&gt;0,INDEX(Merge_1_2!$E$2:$E$611,$C562),INDEX(Dataset3_Raw!$E$2:$E$391,$E562))</f>
        <v>1</v>
      </c>
      <c r="J562" s="23">
        <f>IF($C562&gt;0,INDEX(Merge_1_2!$F$2:$F$611,$C562),INDEX(Dataset3_Raw!$F$2:$F$391,$E562))</f>
        <v>13</v>
      </c>
      <c r="K562" s="23" t="b">
        <f>IF($C562&gt;0,INDEX(Merge_1_2!$G$2:$G$611,$C562),INDEX(Dataset3_Raw!$G$2:$G$391,$E562))</f>
        <v>0</v>
      </c>
      <c r="L562" s="23">
        <f>IF($C562&gt;0,INDEX(Merge_1_2!$H$2:$H$611,$C562),INDEX(Dataset3_Raw!$H$2:$H$391,$E562))</f>
        <v>2</v>
      </c>
      <c r="M562" s="23">
        <f>IF($C562&gt;0,INDEX(Merge_1_2!$I$2:$I$611,$C562),INDEX(Dataset3_Raw!$I$2:$I$391,$E562))</f>
        <v>2</v>
      </c>
      <c r="N562" s="25">
        <f>IF($C562&gt;0,INDEX(Merge_1_2!$J$2:$J$611,$C562),INDEX(Dataset3_Raw!$J$2:$J$391,$E562))</f>
        <v>0.26</v>
      </c>
      <c r="O562" s="25">
        <f>IF($C562&gt;0,IF(ISNUMBER(INDEX(Merge_1_2!$K$2:$K$611,$C562)),INDEX(Merge_1_2!$K$2:$K$611,$C562),""),INDEX(Dataset3_Raw!$K$2:$K$391,$E562))</f>
        <v>0.2727</v>
      </c>
      <c r="P562" s="25">
        <f>IF(ISNUMBER($O562),$O562,ROUND(Lookups!$B$25+Lookups!$B$24*$N562,4))</f>
        <v>0.2727</v>
      </c>
      <c r="Q562" s="25">
        <f>IF($C562&gt;0,INDEX(Merge_1_2!$L$2:$L$611,$C562),INDEX(Dataset3_Raw!$L$2:$L$391,$E562))</f>
        <v>0.56000000000000005</v>
      </c>
      <c r="R562" s="25">
        <f>IF($C562&gt;0,INDEX(Merge_1_2!$M$2:$M$611,$C562),INDEX(Dataset3_Raw!$M$2:$M$391,$E562))</f>
        <v>0.1343</v>
      </c>
      <c r="S562" s="23">
        <f>IF($C562&gt;0,INDEX(Merge_1_2!$N$2:$N$611,$C562),INDEX(Dataset3_Raw!$N$2:$N$391,$E562))</f>
        <v>21</v>
      </c>
      <c r="T562" s="23">
        <f>IF($C562&gt;0,INDEX(Merge_1_2!$O$2:$O$611,$C562),INDEX(Dataset3_Raw!$O$2:$O$391,$E562))</f>
        <v>72</v>
      </c>
      <c r="U562" s="23">
        <f>IF($C562&gt;0,INDEX(Merge_1_2!$P$2:$P$611,$C562),INDEX(Dataset3_Raw!$P$2:$P$391,$E562))</f>
        <v>93</v>
      </c>
      <c r="V562" s="23" t="str">
        <f t="shared" si="49"/>
        <v>Weekday</v>
      </c>
      <c r="W562" s="23" t="str">
        <f>VLOOKUP($M562,Lookups!$A$5:$B$8,2,FALSE())</f>
        <v>Mist / Cloudy</v>
      </c>
      <c r="X562" s="23" t="str">
        <f>VLOOKUP($G562,Lookups!$D$5:$E$8,2,FALSE())</f>
        <v>Winter</v>
      </c>
      <c r="Y562" s="23" t="str">
        <f>VLOOKUP($L562,Lookups!$G$5:$H$11,2,FALSE())</f>
        <v>Tuesday</v>
      </c>
      <c r="Z562" s="23" t="str">
        <f>IF($J562&lt;Lookups!$B$26,"Night",IF($J562&lt;Lookups!$B$27,"Morning",IF($J562&lt;Lookups!$B$28,"Afternoon","Evening")))</f>
        <v>Afternoon</v>
      </c>
      <c r="AA562" s="26">
        <f>ROUND($N562*(Lookups!$B$16-Lookups!$B$15)+Lookups!$B$15,1)</f>
        <v>4.2</v>
      </c>
      <c r="AB562" s="26">
        <f>ROUND($P562*(Lookups!$B$18-Lookups!$B$17)+Lookups!$B$17,1)</f>
        <v>2</v>
      </c>
      <c r="AC562" s="23">
        <f t="shared" si="50"/>
        <v>56</v>
      </c>
      <c r="AD562" s="23">
        <f>ROUND($R562*Lookups!$B$19,1)</f>
        <v>9</v>
      </c>
      <c r="AE562" s="27">
        <f t="shared" si="51"/>
        <v>0.77419354838709675</v>
      </c>
      <c r="AF562" s="23" t="str">
        <f>IF($U562&gt;=Lookups!$B$23,"High",IF($U562&gt;=Lookups!$B$22,"Medium","Low"))</f>
        <v>High</v>
      </c>
      <c r="AG562" s="23">
        <f>ROUND(IF($V562="Weekday",IF(INDEX(Hourly_Analysis!$D$5:$D$28,$J562+1)&gt;0,($U562-INDEX(Hourly_Analysis!$C$5:$C$28,$J562+1))/INDEX(Hourly_Analysis!$D$5:$D$28,$J562+1),0),IF(INDEX(Hourly_Analysis!$G$5:$G$28,$J562+1)&gt;0,($U562-INDEX(Hourly_Analysis!$F$5:$F$28,$J562+1))/INDEX(Hourly_Analysis!$G$5:$G$28,$J562+1),0)),2)</f>
        <v>1.34</v>
      </c>
      <c r="AH562" s="23" t="str">
        <f>IF(ABS($AG562)&gt;Lookups!$B$20,IF($AG562&gt;0,"High anomaly","Low anomaly"),"")</f>
        <v/>
      </c>
      <c r="AI562" s="23" t="str">
        <f t="shared" si="52"/>
        <v>OK</v>
      </c>
      <c r="AJ562" s="23" t="str">
        <f t="shared" si="53"/>
        <v>No</v>
      </c>
    </row>
    <row r="563" spans="1:36" x14ac:dyDescent="0.35">
      <c r="A563" s="23">
        <v>562</v>
      </c>
      <c r="B563" s="23" t="str">
        <f t="shared" si="48"/>
        <v>Merge 1+2</v>
      </c>
      <c r="C563" s="23">
        <f>IFERROR(MATCH($A563,Merge_1_2!$A$2:$A$611,0),0)</f>
        <v>562</v>
      </c>
      <c r="D563" s="23">
        <f>IF($C563&gt;0,INDEX(Merge_1_2!$Q$2:$Q$611,$C563),0)</f>
        <v>562</v>
      </c>
      <c r="E563" s="23">
        <f>IFERROR(MATCH($A563,Dataset3_Raw!$A$2:$A$391,0),0)</f>
        <v>0</v>
      </c>
      <c r="F563" s="24">
        <f>IF($C563&gt;0,INDEX(Merge_1_2!$B$2:$B$611,$C563),DATE(VALUE(RIGHT(INDEX(Dataset3_Raw!$B$2:$B$391,$E563),4)),VALUE(MID(INDEX(Dataset3_Raw!$B$2:$B$391,$E563),4,2)),VALUE(LEFT(INDEX(Dataset3_Raw!$B$2:$B$391,$E563),2))))</f>
        <v>40568</v>
      </c>
      <c r="G563" s="23">
        <f>IF($C563&gt;0,INDEX(Merge_1_2!$C$2:$C$611,$C563),INDEX(Dataset3_Raw!$C$2:$C$391,$E563))</f>
        <v>1</v>
      </c>
      <c r="H563" s="23">
        <f>IF($C563&gt;0,INDEX(Merge_1_2!$D$2:$D$611,$C563),INDEX(Dataset3_Raw!$D$2:$D$391,$E563))</f>
        <v>0</v>
      </c>
      <c r="I563" s="23">
        <f>IF($C563&gt;0,INDEX(Merge_1_2!$E$2:$E$611,$C563),INDEX(Dataset3_Raw!$E$2:$E$391,$E563))</f>
        <v>1</v>
      </c>
      <c r="J563" s="23">
        <f>IF($C563&gt;0,INDEX(Merge_1_2!$F$2:$F$611,$C563),INDEX(Dataset3_Raw!$F$2:$F$391,$E563))</f>
        <v>14</v>
      </c>
      <c r="K563" s="23" t="b">
        <f>IF($C563&gt;0,INDEX(Merge_1_2!$G$2:$G$611,$C563),INDEX(Dataset3_Raw!$G$2:$G$391,$E563))</f>
        <v>0</v>
      </c>
      <c r="L563" s="23">
        <f>IF($C563&gt;0,INDEX(Merge_1_2!$H$2:$H$611,$C563),INDEX(Dataset3_Raw!$H$2:$H$391,$E563))</f>
        <v>2</v>
      </c>
      <c r="M563" s="23">
        <f>IF($C563&gt;0,INDEX(Merge_1_2!$I$2:$I$611,$C563),INDEX(Dataset3_Raw!$I$2:$I$391,$E563))</f>
        <v>2</v>
      </c>
      <c r="N563" s="25">
        <f>IF($C563&gt;0,INDEX(Merge_1_2!$J$2:$J$611,$C563),INDEX(Dataset3_Raw!$J$2:$J$391,$E563))</f>
        <v>0.3</v>
      </c>
      <c r="O563" s="25">
        <f>IF($C563&gt;0,IF(ISNUMBER(INDEX(Merge_1_2!$K$2:$K$611,$C563)),INDEX(Merge_1_2!$K$2:$K$611,$C563),""),INDEX(Dataset3_Raw!$K$2:$K$391,$E563))</f>
        <v>0.33329999999999999</v>
      </c>
      <c r="P563" s="25">
        <f>IF(ISNUMBER($O563),$O563,ROUND(Lookups!$B$25+Lookups!$B$24*$N563,4))</f>
        <v>0.33329999999999999</v>
      </c>
      <c r="Q563" s="25">
        <f>IF($C563&gt;0,INDEX(Merge_1_2!$L$2:$L$611,$C563),INDEX(Dataset3_Raw!$L$2:$L$391,$E563))</f>
        <v>0.45</v>
      </c>
      <c r="R563" s="25">
        <f>IF($C563&gt;0,INDEX(Merge_1_2!$M$2:$M$611,$C563),INDEX(Dataset3_Raw!$M$2:$M$391,$E563))</f>
        <v>0</v>
      </c>
      <c r="S563" s="23">
        <f>IF($C563&gt;0,INDEX(Merge_1_2!$N$2:$N$611,$C563),INDEX(Dataset3_Raw!$N$2:$N$391,$E563))</f>
        <v>11</v>
      </c>
      <c r="T563" s="23">
        <f>IF($C563&gt;0,INDEX(Merge_1_2!$O$2:$O$611,$C563),INDEX(Dataset3_Raw!$O$2:$O$391,$E563))</f>
        <v>57</v>
      </c>
      <c r="U563" s="23">
        <f>IF($C563&gt;0,INDEX(Merge_1_2!$P$2:$P$611,$C563),INDEX(Dataset3_Raw!$P$2:$P$391,$E563))</f>
        <v>68</v>
      </c>
      <c r="V563" s="23" t="str">
        <f t="shared" si="49"/>
        <v>Weekday</v>
      </c>
      <c r="W563" s="23" t="str">
        <f>VLOOKUP($M563,Lookups!$A$5:$B$8,2,FALSE())</f>
        <v>Mist / Cloudy</v>
      </c>
      <c r="X563" s="23" t="str">
        <f>VLOOKUP($G563,Lookups!$D$5:$E$8,2,FALSE())</f>
        <v>Winter</v>
      </c>
      <c r="Y563" s="23" t="str">
        <f>VLOOKUP($L563,Lookups!$G$5:$H$11,2,FALSE())</f>
        <v>Tuesday</v>
      </c>
      <c r="Z563" s="23" t="str">
        <f>IF($J563&lt;Lookups!$B$26,"Night",IF($J563&lt;Lookups!$B$27,"Morning",IF($J563&lt;Lookups!$B$28,"Afternoon","Evening")))</f>
        <v>Afternoon</v>
      </c>
      <c r="AA563" s="26">
        <f>ROUND($N563*(Lookups!$B$16-Lookups!$B$15)+Lookups!$B$15,1)</f>
        <v>6.1</v>
      </c>
      <c r="AB563" s="26">
        <f>ROUND($P563*(Lookups!$B$18-Lookups!$B$17)+Lookups!$B$17,1)</f>
        <v>6</v>
      </c>
      <c r="AC563" s="23">
        <f t="shared" si="50"/>
        <v>45</v>
      </c>
      <c r="AD563" s="23">
        <f>ROUND($R563*Lookups!$B$19,1)</f>
        <v>0</v>
      </c>
      <c r="AE563" s="27">
        <f t="shared" si="51"/>
        <v>0.83823529411764708</v>
      </c>
      <c r="AF563" s="23" t="str">
        <f>IF($U563&gt;=Lookups!$B$23,"High",IF($U563&gt;=Lookups!$B$22,"Medium","Low"))</f>
        <v>Medium</v>
      </c>
      <c r="AG563" s="23">
        <f>ROUND(IF($V563="Weekday",IF(INDEX(Hourly_Analysis!$D$5:$D$28,$J563+1)&gt;0,($U563-INDEX(Hourly_Analysis!$C$5:$C$28,$J563+1))/INDEX(Hourly_Analysis!$D$5:$D$28,$J563+1),0),IF(INDEX(Hourly_Analysis!$G$5:$G$28,$J563+1)&gt;0,($U563-INDEX(Hourly_Analysis!$F$5:$F$28,$J563+1))/INDEX(Hourly_Analysis!$G$5:$G$28,$J563+1),0)),2)</f>
        <v>0.52</v>
      </c>
      <c r="AH563" s="23" t="str">
        <f>IF(ABS($AG563)&gt;Lookups!$B$20,IF($AG563&gt;0,"High anomaly","Low anomaly"),"")</f>
        <v/>
      </c>
      <c r="AI563" s="23" t="str">
        <f t="shared" si="52"/>
        <v>OK</v>
      </c>
      <c r="AJ563" s="23" t="str">
        <f t="shared" si="53"/>
        <v>No</v>
      </c>
    </row>
    <row r="564" spans="1:36" x14ac:dyDescent="0.35">
      <c r="A564" s="23">
        <v>563</v>
      </c>
      <c r="B564" s="23" t="str">
        <f t="shared" si="48"/>
        <v>Merge 1+2</v>
      </c>
      <c r="C564" s="23">
        <f>IFERROR(MATCH($A564,Merge_1_2!$A$2:$A$611,0),0)</f>
        <v>563</v>
      </c>
      <c r="D564" s="23">
        <f>IF($C564&gt;0,INDEX(Merge_1_2!$Q$2:$Q$611,$C564),0)</f>
        <v>563</v>
      </c>
      <c r="E564" s="23">
        <f>IFERROR(MATCH($A564,Dataset3_Raw!$A$2:$A$391,0),0)</f>
        <v>0</v>
      </c>
      <c r="F564" s="24">
        <f>IF($C564&gt;0,INDEX(Merge_1_2!$B$2:$B$611,$C564),DATE(VALUE(RIGHT(INDEX(Dataset3_Raw!$B$2:$B$391,$E564),4)),VALUE(MID(INDEX(Dataset3_Raw!$B$2:$B$391,$E564),4,2)),VALUE(LEFT(INDEX(Dataset3_Raw!$B$2:$B$391,$E564),2))))</f>
        <v>40568</v>
      </c>
      <c r="G564" s="23">
        <f>IF($C564&gt;0,INDEX(Merge_1_2!$C$2:$C$611,$C564),INDEX(Dataset3_Raw!$C$2:$C$391,$E564))</f>
        <v>1</v>
      </c>
      <c r="H564" s="23">
        <f>IF($C564&gt;0,INDEX(Merge_1_2!$D$2:$D$611,$C564),INDEX(Dataset3_Raw!$D$2:$D$391,$E564))</f>
        <v>0</v>
      </c>
      <c r="I564" s="23">
        <f>IF($C564&gt;0,INDEX(Merge_1_2!$E$2:$E$611,$C564),INDEX(Dataset3_Raw!$E$2:$E$391,$E564))</f>
        <v>1</v>
      </c>
      <c r="J564" s="23">
        <f>IF($C564&gt;0,INDEX(Merge_1_2!$F$2:$F$611,$C564),INDEX(Dataset3_Raw!$F$2:$F$391,$E564))</f>
        <v>15</v>
      </c>
      <c r="K564" s="23" t="b">
        <f>IF($C564&gt;0,INDEX(Merge_1_2!$G$2:$G$611,$C564),INDEX(Dataset3_Raw!$G$2:$G$391,$E564))</f>
        <v>0</v>
      </c>
      <c r="L564" s="23">
        <f>IF($C564&gt;0,INDEX(Merge_1_2!$H$2:$H$611,$C564),INDEX(Dataset3_Raw!$H$2:$H$391,$E564))</f>
        <v>2</v>
      </c>
      <c r="M564" s="23">
        <f>IF($C564&gt;0,INDEX(Merge_1_2!$I$2:$I$611,$C564),INDEX(Dataset3_Raw!$I$2:$I$391,$E564))</f>
        <v>2</v>
      </c>
      <c r="N564" s="25">
        <f>IF($C564&gt;0,INDEX(Merge_1_2!$J$2:$J$611,$C564),INDEX(Dataset3_Raw!$J$2:$J$391,$E564))</f>
        <v>0.32</v>
      </c>
      <c r="O564" s="25">
        <f>IF($C564&gt;0,IF(ISNUMBER(INDEX(Merge_1_2!$K$2:$K$611,$C564)),INDEX(Merge_1_2!$K$2:$K$611,$C564),""),INDEX(Dataset3_Raw!$K$2:$K$391,$E564))</f>
        <v>0.34849999999999998</v>
      </c>
      <c r="P564" s="25">
        <f>IF(ISNUMBER($O564),$O564,ROUND(Lookups!$B$25+Lookups!$B$24*$N564,4))</f>
        <v>0.34849999999999998</v>
      </c>
      <c r="Q564" s="25">
        <f>IF($C564&gt;0,INDEX(Merge_1_2!$L$2:$L$611,$C564),INDEX(Dataset3_Raw!$L$2:$L$391,$E564))</f>
        <v>0.42</v>
      </c>
      <c r="R564" s="25">
        <f>IF($C564&gt;0,INDEX(Merge_1_2!$M$2:$M$611,$C564),INDEX(Dataset3_Raw!$M$2:$M$391,$E564))</f>
        <v>0</v>
      </c>
      <c r="S564" s="23">
        <f>IF($C564&gt;0,INDEX(Merge_1_2!$N$2:$N$611,$C564),INDEX(Dataset3_Raw!$N$2:$N$391,$E564))</f>
        <v>21</v>
      </c>
      <c r="T564" s="23">
        <f>IF($C564&gt;0,INDEX(Merge_1_2!$O$2:$O$611,$C564),INDEX(Dataset3_Raw!$O$2:$O$391,$E564))</f>
        <v>63</v>
      </c>
      <c r="U564" s="23">
        <f>IF($C564&gt;0,INDEX(Merge_1_2!$P$2:$P$611,$C564),INDEX(Dataset3_Raw!$P$2:$P$391,$E564))</f>
        <v>84</v>
      </c>
      <c r="V564" s="23" t="str">
        <f t="shared" si="49"/>
        <v>Weekday</v>
      </c>
      <c r="W564" s="23" t="str">
        <f>VLOOKUP($M564,Lookups!$A$5:$B$8,2,FALSE())</f>
        <v>Mist / Cloudy</v>
      </c>
      <c r="X564" s="23" t="str">
        <f>VLOOKUP($G564,Lookups!$D$5:$E$8,2,FALSE())</f>
        <v>Winter</v>
      </c>
      <c r="Y564" s="23" t="str">
        <f>VLOOKUP($L564,Lookups!$G$5:$H$11,2,FALSE())</f>
        <v>Tuesday</v>
      </c>
      <c r="Z564" s="23" t="str">
        <f>IF($J564&lt;Lookups!$B$26,"Night",IF($J564&lt;Lookups!$B$27,"Morning",IF($J564&lt;Lookups!$B$28,"Afternoon","Evening")))</f>
        <v>Afternoon</v>
      </c>
      <c r="AA564" s="26">
        <f>ROUND($N564*(Lookups!$B$16-Lookups!$B$15)+Lookups!$B$15,1)</f>
        <v>7</v>
      </c>
      <c r="AB564" s="26">
        <f>ROUND($P564*(Lookups!$B$18-Lookups!$B$17)+Lookups!$B$17,1)</f>
        <v>7</v>
      </c>
      <c r="AC564" s="23">
        <f t="shared" si="50"/>
        <v>42</v>
      </c>
      <c r="AD564" s="23">
        <f>ROUND($R564*Lookups!$B$19,1)</f>
        <v>0</v>
      </c>
      <c r="AE564" s="27">
        <f t="shared" si="51"/>
        <v>0.75</v>
      </c>
      <c r="AF564" s="23" t="str">
        <f>IF($U564&gt;=Lookups!$B$23,"High",IF($U564&gt;=Lookups!$B$22,"Medium","Low"))</f>
        <v>High</v>
      </c>
      <c r="AG564" s="23">
        <f>ROUND(IF($V564="Weekday",IF(INDEX(Hourly_Analysis!$D$5:$D$28,$J564+1)&gt;0,($U564-INDEX(Hourly_Analysis!$C$5:$C$28,$J564+1))/INDEX(Hourly_Analysis!$D$5:$D$28,$J564+1),0),IF(INDEX(Hourly_Analysis!$G$5:$G$28,$J564+1)&gt;0,($U564-INDEX(Hourly_Analysis!$F$5:$F$28,$J564+1))/INDEX(Hourly_Analysis!$G$5:$G$28,$J564+1),0)),2)</f>
        <v>1.68</v>
      </c>
      <c r="AH564" s="23" t="str">
        <f>IF(ABS($AG564)&gt;Lookups!$B$20,IF($AG564&gt;0,"High anomaly","Low anomaly"),"")</f>
        <v/>
      </c>
      <c r="AI564" s="23" t="str">
        <f t="shared" si="52"/>
        <v>OK</v>
      </c>
      <c r="AJ564" s="23" t="str">
        <f t="shared" si="53"/>
        <v>No</v>
      </c>
    </row>
    <row r="565" spans="1:36" x14ac:dyDescent="0.35">
      <c r="A565" s="23">
        <v>564</v>
      </c>
      <c r="B565" s="23" t="str">
        <f t="shared" si="48"/>
        <v>Merge 1+2</v>
      </c>
      <c r="C565" s="23">
        <f>IFERROR(MATCH($A565,Merge_1_2!$A$2:$A$611,0),0)</f>
        <v>564</v>
      </c>
      <c r="D565" s="23">
        <f>IF($C565&gt;0,INDEX(Merge_1_2!$Q$2:$Q$611,$C565),0)</f>
        <v>564</v>
      </c>
      <c r="E565" s="23">
        <f>IFERROR(MATCH($A565,Dataset3_Raw!$A$2:$A$391,0),0)</f>
        <v>0</v>
      </c>
      <c r="F565" s="24">
        <f>IF($C565&gt;0,INDEX(Merge_1_2!$B$2:$B$611,$C565),DATE(VALUE(RIGHT(INDEX(Dataset3_Raw!$B$2:$B$391,$E565),4)),VALUE(MID(INDEX(Dataset3_Raw!$B$2:$B$391,$E565),4,2)),VALUE(LEFT(INDEX(Dataset3_Raw!$B$2:$B$391,$E565),2))))</f>
        <v>40568</v>
      </c>
      <c r="G565" s="23">
        <f>IF($C565&gt;0,INDEX(Merge_1_2!$C$2:$C$611,$C565),INDEX(Dataset3_Raw!$C$2:$C$391,$E565))</f>
        <v>1</v>
      </c>
      <c r="H565" s="23">
        <f>IF($C565&gt;0,INDEX(Merge_1_2!$D$2:$D$611,$C565),INDEX(Dataset3_Raw!$D$2:$D$391,$E565))</f>
        <v>0</v>
      </c>
      <c r="I565" s="23">
        <f>IF($C565&gt;0,INDEX(Merge_1_2!$E$2:$E$611,$C565),INDEX(Dataset3_Raw!$E$2:$E$391,$E565))</f>
        <v>1</v>
      </c>
      <c r="J565" s="23">
        <f>IF($C565&gt;0,INDEX(Merge_1_2!$F$2:$F$611,$C565),INDEX(Dataset3_Raw!$F$2:$F$391,$E565))</f>
        <v>16</v>
      </c>
      <c r="K565" s="23" t="b">
        <f>IF($C565&gt;0,INDEX(Merge_1_2!$G$2:$G$611,$C565),INDEX(Dataset3_Raw!$G$2:$G$391,$E565))</f>
        <v>0</v>
      </c>
      <c r="L565" s="23">
        <f>IF($C565&gt;0,INDEX(Merge_1_2!$H$2:$H$611,$C565),INDEX(Dataset3_Raw!$H$2:$H$391,$E565))</f>
        <v>2</v>
      </c>
      <c r="M565" s="23">
        <f>IF($C565&gt;0,INDEX(Merge_1_2!$I$2:$I$611,$C565),INDEX(Dataset3_Raw!$I$2:$I$391,$E565))</f>
        <v>2</v>
      </c>
      <c r="N565" s="25">
        <f>IF($C565&gt;0,INDEX(Merge_1_2!$J$2:$J$611,$C565),INDEX(Dataset3_Raw!$J$2:$J$391,$E565))</f>
        <v>0.32</v>
      </c>
      <c r="O565" s="25">
        <f>IF($C565&gt;0,IF(ISNUMBER(INDEX(Merge_1_2!$K$2:$K$611,$C565)),INDEX(Merge_1_2!$K$2:$K$611,$C565),""),INDEX(Dataset3_Raw!$K$2:$K$391,$E565))</f>
        <v>0.34849999999999998</v>
      </c>
      <c r="P565" s="25">
        <f>IF(ISNUMBER($O565),$O565,ROUND(Lookups!$B$25+Lookups!$B$24*$N565,4))</f>
        <v>0.34849999999999998</v>
      </c>
      <c r="Q565" s="25">
        <f>IF($C565&gt;0,INDEX(Merge_1_2!$L$2:$L$611,$C565),INDEX(Dataset3_Raw!$L$2:$L$391,$E565))</f>
        <v>0.42</v>
      </c>
      <c r="R565" s="25">
        <f>IF($C565&gt;0,INDEX(Merge_1_2!$M$2:$M$611,$C565),INDEX(Dataset3_Raw!$M$2:$M$391,$E565))</f>
        <v>0</v>
      </c>
      <c r="S565" s="23">
        <f>IF($C565&gt;0,INDEX(Merge_1_2!$N$2:$N$611,$C565),INDEX(Dataset3_Raw!$N$2:$N$391,$E565))</f>
        <v>14</v>
      </c>
      <c r="T565" s="23">
        <f>IF($C565&gt;0,INDEX(Merge_1_2!$O$2:$O$611,$C565),INDEX(Dataset3_Raw!$O$2:$O$391,$E565))</f>
        <v>102</v>
      </c>
      <c r="U565" s="23">
        <f>IF($C565&gt;0,INDEX(Merge_1_2!$P$2:$P$611,$C565),INDEX(Dataset3_Raw!$P$2:$P$391,$E565))</f>
        <v>116</v>
      </c>
      <c r="V565" s="23" t="str">
        <f t="shared" si="49"/>
        <v>Weekday</v>
      </c>
      <c r="W565" s="23" t="str">
        <f>VLOOKUP($M565,Lookups!$A$5:$B$8,2,FALSE())</f>
        <v>Mist / Cloudy</v>
      </c>
      <c r="X565" s="23" t="str">
        <f>VLOOKUP($G565,Lookups!$D$5:$E$8,2,FALSE())</f>
        <v>Winter</v>
      </c>
      <c r="Y565" s="23" t="str">
        <f>VLOOKUP($L565,Lookups!$G$5:$H$11,2,FALSE())</f>
        <v>Tuesday</v>
      </c>
      <c r="Z565" s="23" t="str">
        <f>IF($J565&lt;Lookups!$B$26,"Night",IF($J565&lt;Lookups!$B$27,"Morning",IF($J565&lt;Lookups!$B$28,"Afternoon","Evening")))</f>
        <v>Afternoon</v>
      </c>
      <c r="AA565" s="26">
        <f>ROUND($N565*(Lookups!$B$16-Lookups!$B$15)+Lookups!$B$15,1)</f>
        <v>7</v>
      </c>
      <c r="AB565" s="26">
        <f>ROUND($P565*(Lookups!$B$18-Lookups!$B$17)+Lookups!$B$17,1)</f>
        <v>7</v>
      </c>
      <c r="AC565" s="23">
        <f t="shared" si="50"/>
        <v>42</v>
      </c>
      <c r="AD565" s="23">
        <f>ROUND($R565*Lookups!$B$19,1)</f>
        <v>0</v>
      </c>
      <c r="AE565" s="27">
        <f t="shared" si="51"/>
        <v>0.87931034482758619</v>
      </c>
      <c r="AF565" s="23" t="str">
        <f>IF($U565&gt;=Lookups!$B$23,"High",IF($U565&gt;=Lookups!$B$22,"Medium","Low"))</f>
        <v>High</v>
      </c>
      <c r="AG565" s="23">
        <f>ROUND(IF($V565="Weekday",IF(INDEX(Hourly_Analysis!$D$5:$D$28,$J565+1)&gt;0,($U565-INDEX(Hourly_Analysis!$C$5:$C$28,$J565+1))/INDEX(Hourly_Analysis!$D$5:$D$28,$J565+1),0),IF(INDEX(Hourly_Analysis!$G$5:$G$28,$J565+1)&gt;0,($U565-INDEX(Hourly_Analysis!$F$5:$F$28,$J565+1))/INDEX(Hourly_Analysis!$G$5:$G$28,$J565+1),0)),2)</f>
        <v>1.58</v>
      </c>
      <c r="AH565" s="23" t="str">
        <f>IF(ABS($AG565)&gt;Lookups!$B$20,IF($AG565&gt;0,"High anomaly","Low anomaly"),"")</f>
        <v/>
      </c>
      <c r="AI565" s="23" t="str">
        <f t="shared" si="52"/>
        <v>OK</v>
      </c>
      <c r="AJ565" s="23" t="str">
        <f t="shared" si="53"/>
        <v>No</v>
      </c>
    </row>
    <row r="566" spans="1:36" x14ac:dyDescent="0.35">
      <c r="A566" s="23">
        <v>565</v>
      </c>
      <c r="B566" s="23" t="str">
        <f t="shared" si="48"/>
        <v>Merge 1+2</v>
      </c>
      <c r="C566" s="23">
        <f>IFERROR(MATCH($A566,Merge_1_2!$A$2:$A$611,0),0)</f>
        <v>565</v>
      </c>
      <c r="D566" s="23">
        <f>IF($C566&gt;0,INDEX(Merge_1_2!$Q$2:$Q$611,$C566),0)</f>
        <v>565</v>
      </c>
      <c r="E566" s="23">
        <f>IFERROR(MATCH($A566,Dataset3_Raw!$A$2:$A$391,0),0)</f>
        <v>0</v>
      </c>
      <c r="F566" s="24">
        <f>IF($C566&gt;0,INDEX(Merge_1_2!$B$2:$B$611,$C566),DATE(VALUE(RIGHT(INDEX(Dataset3_Raw!$B$2:$B$391,$E566),4)),VALUE(MID(INDEX(Dataset3_Raw!$B$2:$B$391,$E566),4,2)),VALUE(LEFT(INDEX(Dataset3_Raw!$B$2:$B$391,$E566),2))))</f>
        <v>40568</v>
      </c>
      <c r="G566" s="23">
        <f>IF($C566&gt;0,INDEX(Merge_1_2!$C$2:$C$611,$C566),INDEX(Dataset3_Raw!$C$2:$C$391,$E566))</f>
        <v>1</v>
      </c>
      <c r="H566" s="23">
        <f>IF($C566&gt;0,INDEX(Merge_1_2!$D$2:$D$611,$C566),INDEX(Dataset3_Raw!$D$2:$D$391,$E566))</f>
        <v>0</v>
      </c>
      <c r="I566" s="23">
        <f>IF($C566&gt;0,INDEX(Merge_1_2!$E$2:$E$611,$C566),INDEX(Dataset3_Raw!$E$2:$E$391,$E566))</f>
        <v>1</v>
      </c>
      <c r="J566" s="23">
        <f>IF($C566&gt;0,INDEX(Merge_1_2!$F$2:$F$611,$C566),INDEX(Dataset3_Raw!$F$2:$F$391,$E566))</f>
        <v>17</v>
      </c>
      <c r="K566" s="23" t="b">
        <f>IF($C566&gt;0,INDEX(Merge_1_2!$G$2:$G$611,$C566),INDEX(Dataset3_Raw!$G$2:$G$391,$E566))</f>
        <v>0</v>
      </c>
      <c r="L566" s="23">
        <f>IF($C566&gt;0,INDEX(Merge_1_2!$H$2:$H$611,$C566),INDEX(Dataset3_Raw!$H$2:$H$391,$E566))</f>
        <v>2</v>
      </c>
      <c r="M566" s="23">
        <f>IF($C566&gt;0,INDEX(Merge_1_2!$I$2:$I$611,$C566),INDEX(Dataset3_Raw!$I$2:$I$391,$E566))</f>
        <v>1</v>
      </c>
      <c r="N566" s="25">
        <f>IF($C566&gt;0,INDEX(Merge_1_2!$J$2:$J$611,$C566),INDEX(Dataset3_Raw!$J$2:$J$391,$E566))</f>
        <v>0.3</v>
      </c>
      <c r="O566" s="25">
        <f>IF($C566&gt;0,IF(ISNUMBER(INDEX(Merge_1_2!$K$2:$K$611,$C566)),INDEX(Merge_1_2!$K$2:$K$611,$C566),""),INDEX(Dataset3_Raw!$K$2:$K$391,$E566))</f>
        <v>0.33329999999999999</v>
      </c>
      <c r="P566" s="25">
        <f>IF(ISNUMBER($O566),$O566,ROUND(Lookups!$B$25+Lookups!$B$24*$N566,4))</f>
        <v>0.33329999999999999</v>
      </c>
      <c r="Q566" s="25">
        <f>IF($C566&gt;0,INDEX(Merge_1_2!$L$2:$L$611,$C566),INDEX(Dataset3_Raw!$L$2:$L$391,$E566))</f>
        <v>0.45</v>
      </c>
      <c r="R566" s="25">
        <f>IF($C566&gt;0,INDEX(Merge_1_2!$M$2:$M$611,$C566),INDEX(Dataset3_Raw!$M$2:$M$391,$E566))</f>
        <v>0</v>
      </c>
      <c r="S566" s="23">
        <f>IF($C566&gt;0,INDEX(Merge_1_2!$N$2:$N$611,$C566),INDEX(Dataset3_Raw!$N$2:$N$391,$E566))</f>
        <v>14</v>
      </c>
      <c r="T566" s="23">
        <f>IF($C566&gt;0,INDEX(Merge_1_2!$O$2:$O$611,$C566),INDEX(Dataset3_Raw!$O$2:$O$391,$E566))</f>
        <v>208</v>
      </c>
      <c r="U566" s="23">
        <f>IF($C566&gt;0,INDEX(Merge_1_2!$P$2:$P$611,$C566),INDEX(Dataset3_Raw!$P$2:$P$391,$E566))</f>
        <v>222</v>
      </c>
      <c r="V566" s="23" t="str">
        <f t="shared" si="49"/>
        <v>Weekday</v>
      </c>
      <c r="W566" s="23" t="str">
        <f>VLOOKUP($M566,Lookups!$A$5:$B$8,2,FALSE())</f>
        <v>Clear / Partly cloudy</v>
      </c>
      <c r="X566" s="23" t="str">
        <f>VLOOKUP($G566,Lookups!$D$5:$E$8,2,FALSE())</f>
        <v>Winter</v>
      </c>
      <c r="Y566" s="23" t="str">
        <f>VLOOKUP($L566,Lookups!$G$5:$H$11,2,FALSE())</f>
        <v>Tuesday</v>
      </c>
      <c r="Z566" s="23" t="str">
        <f>IF($J566&lt;Lookups!$B$26,"Night",IF($J566&lt;Lookups!$B$27,"Morning",IF($J566&lt;Lookups!$B$28,"Afternoon","Evening")))</f>
        <v>Afternoon</v>
      </c>
      <c r="AA566" s="26">
        <f>ROUND($N566*(Lookups!$B$16-Lookups!$B$15)+Lookups!$B$15,1)</f>
        <v>6.1</v>
      </c>
      <c r="AB566" s="26">
        <f>ROUND($P566*(Lookups!$B$18-Lookups!$B$17)+Lookups!$B$17,1)</f>
        <v>6</v>
      </c>
      <c r="AC566" s="23">
        <f t="shared" si="50"/>
        <v>45</v>
      </c>
      <c r="AD566" s="23">
        <f>ROUND($R566*Lookups!$B$19,1)</f>
        <v>0</v>
      </c>
      <c r="AE566" s="27">
        <f t="shared" si="51"/>
        <v>0.93693693693693691</v>
      </c>
      <c r="AF566" s="23" t="str">
        <f>IF($U566&gt;=Lookups!$B$23,"High",IF($U566&gt;=Lookups!$B$22,"Medium","Low"))</f>
        <v>High</v>
      </c>
      <c r="AG566" s="23">
        <f>ROUND(IF($V566="Weekday",IF(INDEX(Hourly_Analysis!$D$5:$D$28,$J566+1)&gt;0,($U566-INDEX(Hourly_Analysis!$C$5:$C$28,$J566+1))/INDEX(Hourly_Analysis!$D$5:$D$28,$J566+1),0),IF(INDEX(Hourly_Analysis!$G$5:$G$28,$J566+1)&gt;0,($U566-INDEX(Hourly_Analysis!$F$5:$F$28,$J566+1))/INDEX(Hourly_Analysis!$G$5:$G$28,$J566+1),0)),2)</f>
        <v>1.3</v>
      </c>
      <c r="AH566" s="23" t="str">
        <f>IF(ABS($AG566)&gt;Lookups!$B$20,IF($AG566&gt;0,"High anomaly","Low anomaly"),"")</f>
        <v/>
      </c>
      <c r="AI566" s="23" t="str">
        <f t="shared" si="52"/>
        <v>OK</v>
      </c>
      <c r="AJ566" s="23" t="str">
        <f t="shared" si="53"/>
        <v>No</v>
      </c>
    </row>
    <row r="567" spans="1:36" x14ac:dyDescent="0.35">
      <c r="A567" s="23">
        <v>566</v>
      </c>
      <c r="B567" s="23" t="str">
        <f t="shared" si="48"/>
        <v>Merge 1+2</v>
      </c>
      <c r="C567" s="23">
        <f>IFERROR(MATCH($A567,Merge_1_2!$A$2:$A$611,0),0)</f>
        <v>566</v>
      </c>
      <c r="D567" s="23">
        <f>IF($C567&gt;0,INDEX(Merge_1_2!$Q$2:$Q$611,$C567),0)</f>
        <v>566</v>
      </c>
      <c r="E567" s="23">
        <f>IFERROR(MATCH($A567,Dataset3_Raw!$A$2:$A$391,0),0)</f>
        <v>0</v>
      </c>
      <c r="F567" s="24">
        <f>IF($C567&gt;0,INDEX(Merge_1_2!$B$2:$B$611,$C567),DATE(VALUE(RIGHT(INDEX(Dataset3_Raw!$B$2:$B$391,$E567),4)),VALUE(MID(INDEX(Dataset3_Raw!$B$2:$B$391,$E567),4,2)),VALUE(LEFT(INDEX(Dataset3_Raw!$B$2:$B$391,$E567),2))))</f>
        <v>40568</v>
      </c>
      <c r="G567" s="23">
        <f>IF($C567&gt;0,INDEX(Merge_1_2!$C$2:$C$611,$C567),INDEX(Dataset3_Raw!$C$2:$C$391,$E567))</f>
        <v>1</v>
      </c>
      <c r="H567" s="23">
        <f>IF($C567&gt;0,INDEX(Merge_1_2!$D$2:$D$611,$C567),INDEX(Dataset3_Raw!$D$2:$D$391,$E567))</f>
        <v>0</v>
      </c>
      <c r="I567" s="23">
        <f>IF($C567&gt;0,INDEX(Merge_1_2!$E$2:$E$611,$C567),INDEX(Dataset3_Raw!$E$2:$E$391,$E567))</f>
        <v>1</v>
      </c>
      <c r="J567" s="23">
        <f>IF($C567&gt;0,INDEX(Merge_1_2!$F$2:$F$611,$C567),INDEX(Dataset3_Raw!$F$2:$F$391,$E567))</f>
        <v>18</v>
      </c>
      <c r="K567" s="23" t="b">
        <f>IF($C567&gt;0,INDEX(Merge_1_2!$G$2:$G$611,$C567),INDEX(Dataset3_Raw!$G$2:$G$391,$E567))</f>
        <v>0</v>
      </c>
      <c r="L567" s="23">
        <f>IF($C567&gt;0,INDEX(Merge_1_2!$H$2:$H$611,$C567),INDEX(Dataset3_Raw!$H$2:$H$391,$E567))</f>
        <v>2</v>
      </c>
      <c r="M567" s="23">
        <f>IF($C567&gt;0,INDEX(Merge_1_2!$I$2:$I$611,$C567),INDEX(Dataset3_Raw!$I$2:$I$391,$E567))</f>
        <v>2</v>
      </c>
      <c r="N567" s="25">
        <f>IF($C567&gt;0,INDEX(Merge_1_2!$J$2:$J$611,$C567),INDEX(Dataset3_Raw!$J$2:$J$391,$E567))</f>
        <v>0.3</v>
      </c>
      <c r="O567" s="25">
        <f>IF($C567&gt;0,IF(ISNUMBER(INDEX(Merge_1_2!$K$2:$K$611,$C567)),INDEX(Merge_1_2!$K$2:$K$611,$C567),""),INDEX(Dataset3_Raw!$K$2:$K$391,$E567))</f>
        <v>0.31819999999999998</v>
      </c>
      <c r="P567" s="25">
        <f>IF(ISNUMBER($O567),$O567,ROUND(Lookups!$B$25+Lookups!$B$24*$N567,4))</f>
        <v>0.31819999999999998</v>
      </c>
      <c r="Q567" s="25">
        <f>IF($C567&gt;0,INDEX(Merge_1_2!$L$2:$L$611,$C567),INDEX(Dataset3_Raw!$L$2:$L$391,$E567))</f>
        <v>0.49</v>
      </c>
      <c r="R567" s="25">
        <f>IF($C567&gt;0,INDEX(Merge_1_2!$M$2:$M$611,$C567),INDEX(Dataset3_Raw!$M$2:$M$391,$E567))</f>
        <v>8.9599999999999999E-2</v>
      </c>
      <c r="S567" s="23">
        <f>IF($C567&gt;0,INDEX(Merge_1_2!$N$2:$N$611,$C567),INDEX(Dataset3_Raw!$N$2:$N$391,$E567))</f>
        <v>7</v>
      </c>
      <c r="T567" s="23">
        <f>IF($C567&gt;0,INDEX(Merge_1_2!$O$2:$O$611,$C567),INDEX(Dataset3_Raw!$O$2:$O$391,$E567))</f>
        <v>218</v>
      </c>
      <c r="U567" s="23">
        <f>IF($C567&gt;0,INDEX(Merge_1_2!$P$2:$P$611,$C567),INDEX(Dataset3_Raw!$P$2:$P$391,$E567))</f>
        <v>225</v>
      </c>
      <c r="V567" s="23" t="str">
        <f t="shared" si="49"/>
        <v>Weekday</v>
      </c>
      <c r="W567" s="23" t="str">
        <f>VLOOKUP($M567,Lookups!$A$5:$B$8,2,FALSE())</f>
        <v>Mist / Cloudy</v>
      </c>
      <c r="X567" s="23" t="str">
        <f>VLOOKUP($G567,Lookups!$D$5:$E$8,2,FALSE())</f>
        <v>Winter</v>
      </c>
      <c r="Y567" s="23" t="str">
        <f>VLOOKUP($L567,Lookups!$G$5:$H$11,2,FALSE())</f>
        <v>Tuesday</v>
      </c>
      <c r="Z567" s="23" t="str">
        <f>IF($J567&lt;Lookups!$B$26,"Night",IF($J567&lt;Lookups!$B$27,"Morning",IF($J567&lt;Lookups!$B$28,"Afternoon","Evening")))</f>
        <v>Evening</v>
      </c>
      <c r="AA567" s="26">
        <f>ROUND($N567*(Lookups!$B$16-Lookups!$B$15)+Lookups!$B$15,1)</f>
        <v>6.1</v>
      </c>
      <c r="AB567" s="26">
        <f>ROUND($P567*(Lookups!$B$18-Lookups!$B$17)+Lookups!$B$17,1)</f>
        <v>5</v>
      </c>
      <c r="AC567" s="23">
        <f t="shared" si="50"/>
        <v>49</v>
      </c>
      <c r="AD567" s="23">
        <f>ROUND($R567*Lookups!$B$19,1)</f>
        <v>6</v>
      </c>
      <c r="AE567" s="27">
        <f t="shared" si="51"/>
        <v>0.96888888888888891</v>
      </c>
      <c r="AF567" s="23" t="str">
        <f>IF($U567&gt;=Lookups!$B$23,"High",IF($U567&gt;=Lookups!$B$22,"Medium","Low"))</f>
        <v>High</v>
      </c>
      <c r="AG567" s="23">
        <f>ROUND(IF($V567="Weekday",IF(INDEX(Hourly_Analysis!$D$5:$D$28,$J567+1)&gt;0,($U567-INDEX(Hourly_Analysis!$C$5:$C$28,$J567+1))/INDEX(Hourly_Analysis!$D$5:$D$28,$J567+1),0),IF(INDEX(Hourly_Analysis!$G$5:$G$28,$J567+1)&gt;0,($U567-INDEX(Hourly_Analysis!$F$5:$F$28,$J567+1))/INDEX(Hourly_Analysis!$G$5:$G$28,$J567+1),0)),2)</f>
        <v>2.6</v>
      </c>
      <c r="AH567" s="23" t="str">
        <f>IF(ABS($AG567)&gt;Lookups!$B$20,IF($AG567&gt;0,"High anomaly","Low anomaly"),"")</f>
        <v/>
      </c>
      <c r="AI567" s="23" t="str">
        <f t="shared" si="52"/>
        <v>OK</v>
      </c>
      <c r="AJ567" s="23" t="str">
        <f t="shared" si="53"/>
        <v>No</v>
      </c>
    </row>
    <row r="568" spans="1:36" x14ac:dyDescent="0.35">
      <c r="A568" s="23">
        <v>567</v>
      </c>
      <c r="B568" s="23" t="str">
        <f t="shared" si="48"/>
        <v>Merge 1+2</v>
      </c>
      <c r="C568" s="23">
        <f>IFERROR(MATCH($A568,Merge_1_2!$A$2:$A$611,0),0)</f>
        <v>567</v>
      </c>
      <c r="D568" s="23">
        <f>IF($C568&gt;0,INDEX(Merge_1_2!$Q$2:$Q$611,$C568),0)</f>
        <v>567</v>
      </c>
      <c r="E568" s="23">
        <f>IFERROR(MATCH($A568,Dataset3_Raw!$A$2:$A$391,0),0)</f>
        <v>0</v>
      </c>
      <c r="F568" s="24">
        <f>IF($C568&gt;0,INDEX(Merge_1_2!$B$2:$B$611,$C568),DATE(VALUE(RIGHT(INDEX(Dataset3_Raw!$B$2:$B$391,$E568),4)),VALUE(MID(INDEX(Dataset3_Raw!$B$2:$B$391,$E568),4,2)),VALUE(LEFT(INDEX(Dataset3_Raw!$B$2:$B$391,$E568),2))))</f>
        <v>40568</v>
      </c>
      <c r="G568" s="23">
        <f>IF($C568&gt;0,INDEX(Merge_1_2!$C$2:$C$611,$C568),INDEX(Dataset3_Raw!$C$2:$C$391,$E568))</f>
        <v>1</v>
      </c>
      <c r="H568" s="23">
        <f>IF($C568&gt;0,INDEX(Merge_1_2!$D$2:$D$611,$C568),INDEX(Dataset3_Raw!$D$2:$D$391,$E568))</f>
        <v>0</v>
      </c>
      <c r="I568" s="23">
        <f>IF($C568&gt;0,INDEX(Merge_1_2!$E$2:$E$611,$C568),INDEX(Dataset3_Raw!$E$2:$E$391,$E568))</f>
        <v>1</v>
      </c>
      <c r="J568" s="23">
        <f>IF($C568&gt;0,INDEX(Merge_1_2!$F$2:$F$611,$C568),INDEX(Dataset3_Raw!$F$2:$F$391,$E568))</f>
        <v>19</v>
      </c>
      <c r="K568" s="23" t="b">
        <f>IF($C568&gt;0,INDEX(Merge_1_2!$G$2:$G$611,$C568),INDEX(Dataset3_Raw!$G$2:$G$391,$E568))</f>
        <v>0</v>
      </c>
      <c r="L568" s="23">
        <f>IF($C568&gt;0,INDEX(Merge_1_2!$H$2:$H$611,$C568),INDEX(Dataset3_Raw!$H$2:$H$391,$E568))</f>
        <v>2</v>
      </c>
      <c r="M568" s="23">
        <f>IF($C568&gt;0,INDEX(Merge_1_2!$I$2:$I$611,$C568),INDEX(Dataset3_Raw!$I$2:$I$391,$E568))</f>
        <v>2</v>
      </c>
      <c r="N568" s="25">
        <f>IF($C568&gt;0,INDEX(Merge_1_2!$J$2:$J$611,$C568),INDEX(Dataset3_Raw!$J$2:$J$391,$E568))</f>
        <v>0.26</v>
      </c>
      <c r="O568" s="25">
        <f>IF($C568&gt;0,IF(ISNUMBER(INDEX(Merge_1_2!$K$2:$K$611,$C568)),INDEX(Merge_1_2!$K$2:$K$611,$C568),""),INDEX(Dataset3_Raw!$K$2:$K$391,$E568))</f>
        <v>0.2576</v>
      </c>
      <c r="P568" s="25">
        <f>IF(ISNUMBER($O568),$O568,ROUND(Lookups!$B$25+Lookups!$B$24*$N568,4))</f>
        <v>0.2576</v>
      </c>
      <c r="Q568" s="25">
        <f>IF($C568&gt;0,INDEX(Merge_1_2!$L$2:$L$611,$C568),INDEX(Dataset3_Raw!$L$2:$L$391,$E568))</f>
        <v>0.65</v>
      </c>
      <c r="R568" s="25">
        <f>IF($C568&gt;0,INDEX(Merge_1_2!$M$2:$M$611,$C568),INDEX(Dataset3_Raw!$M$2:$M$391,$E568))</f>
        <v>0.16420000000000001</v>
      </c>
      <c r="S568" s="23">
        <f>IF($C568&gt;0,INDEX(Merge_1_2!$N$2:$N$611,$C568),INDEX(Dataset3_Raw!$N$2:$N$391,$E568))</f>
        <v>13</v>
      </c>
      <c r="T568" s="23">
        <f>IF($C568&gt;0,INDEX(Merge_1_2!$O$2:$O$611,$C568),INDEX(Dataset3_Raw!$O$2:$O$391,$E568))</f>
        <v>133</v>
      </c>
      <c r="U568" s="23">
        <f>IF($C568&gt;0,INDEX(Merge_1_2!$P$2:$P$611,$C568),INDEX(Dataset3_Raw!$P$2:$P$391,$E568))</f>
        <v>146</v>
      </c>
      <c r="V568" s="23" t="str">
        <f t="shared" si="49"/>
        <v>Weekday</v>
      </c>
      <c r="W568" s="23" t="str">
        <f>VLOOKUP($M568,Lookups!$A$5:$B$8,2,FALSE())</f>
        <v>Mist / Cloudy</v>
      </c>
      <c r="X568" s="23" t="str">
        <f>VLOOKUP($G568,Lookups!$D$5:$E$8,2,FALSE())</f>
        <v>Winter</v>
      </c>
      <c r="Y568" s="23" t="str">
        <f>VLOOKUP($L568,Lookups!$G$5:$H$11,2,FALSE())</f>
        <v>Tuesday</v>
      </c>
      <c r="Z568" s="23" t="str">
        <f>IF($J568&lt;Lookups!$B$26,"Night",IF($J568&lt;Lookups!$B$27,"Morning",IF($J568&lt;Lookups!$B$28,"Afternoon","Evening")))</f>
        <v>Evening</v>
      </c>
      <c r="AA568" s="26">
        <f>ROUND($N568*(Lookups!$B$16-Lookups!$B$15)+Lookups!$B$15,1)</f>
        <v>4.2</v>
      </c>
      <c r="AB568" s="26">
        <f>ROUND($P568*(Lookups!$B$18-Lookups!$B$17)+Lookups!$B$17,1)</f>
        <v>1</v>
      </c>
      <c r="AC568" s="23">
        <f t="shared" si="50"/>
        <v>65</v>
      </c>
      <c r="AD568" s="23">
        <f>ROUND($R568*Lookups!$B$19,1)</f>
        <v>11</v>
      </c>
      <c r="AE568" s="27">
        <f t="shared" si="51"/>
        <v>0.91095890410958902</v>
      </c>
      <c r="AF568" s="23" t="str">
        <f>IF($U568&gt;=Lookups!$B$23,"High",IF($U568&gt;=Lookups!$B$22,"Medium","Low"))</f>
        <v>High</v>
      </c>
      <c r="AG568" s="23">
        <f>ROUND(IF($V568="Weekday",IF(INDEX(Hourly_Analysis!$D$5:$D$28,$J568+1)&gt;0,($U568-INDEX(Hourly_Analysis!$C$5:$C$28,$J568+1))/INDEX(Hourly_Analysis!$D$5:$D$28,$J568+1),0),IF(INDEX(Hourly_Analysis!$G$5:$G$28,$J568+1)&gt;0,($U568-INDEX(Hourly_Analysis!$F$5:$F$28,$J568+1))/INDEX(Hourly_Analysis!$G$5:$G$28,$J568+1),0)),2)</f>
        <v>2.12</v>
      </c>
      <c r="AH568" s="23" t="str">
        <f>IF(ABS($AG568)&gt;Lookups!$B$20,IF($AG568&gt;0,"High anomaly","Low anomaly"),"")</f>
        <v/>
      </c>
      <c r="AI568" s="23" t="str">
        <f t="shared" si="52"/>
        <v>OK</v>
      </c>
      <c r="AJ568" s="23" t="str">
        <f t="shared" si="53"/>
        <v>No</v>
      </c>
    </row>
    <row r="569" spans="1:36" x14ac:dyDescent="0.35">
      <c r="A569" s="23">
        <v>568</v>
      </c>
      <c r="B569" s="23" t="str">
        <f t="shared" si="48"/>
        <v>Merge 1+2</v>
      </c>
      <c r="C569" s="23">
        <f>IFERROR(MATCH($A569,Merge_1_2!$A$2:$A$611,0),0)</f>
        <v>568</v>
      </c>
      <c r="D569" s="23">
        <f>IF($C569&gt;0,INDEX(Merge_1_2!$Q$2:$Q$611,$C569),0)</f>
        <v>568</v>
      </c>
      <c r="E569" s="23">
        <f>IFERROR(MATCH($A569,Dataset3_Raw!$A$2:$A$391,0),0)</f>
        <v>0</v>
      </c>
      <c r="F569" s="24">
        <f>IF($C569&gt;0,INDEX(Merge_1_2!$B$2:$B$611,$C569),DATE(VALUE(RIGHT(INDEX(Dataset3_Raw!$B$2:$B$391,$E569),4)),VALUE(MID(INDEX(Dataset3_Raw!$B$2:$B$391,$E569),4,2)),VALUE(LEFT(INDEX(Dataset3_Raw!$B$2:$B$391,$E569),2))))</f>
        <v>40568</v>
      </c>
      <c r="G569" s="23">
        <f>IF($C569&gt;0,INDEX(Merge_1_2!$C$2:$C$611,$C569),INDEX(Dataset3_Raw!$C$2:$C$391,$E569))</f>
        <v>1</v>
      </c>
      <c r="H569" s="23">
        <f>IF($C569&gt;0,INDEX(Merge_1_2!$D$2:$D$611,$C569),INDEX(Dataset3_Raw!$D$2:$D$391,$E569))</f>
        <v>0</v>
      </c>
      <c r="I569" s="23">
        <f>IF($C569&gt;0,INDEX(Merge_1_2!$E$2:$E$611,$C569),INDEX(Dataset3_Raw!$E$2:$E$391,$E569))</f>
        <v>1</v>
      </c>
      <c r="J569" s="23">
        <f>IF($C569&gt;0,INDEX(Merge_1_2!$F$2:$F$611,$C569),INDEX(Dataset3_Raw!$F$2:$F$391,$E569))</f>
        <v>20</v>
      </c>
      <c r="K569" s="23" t="b">
        <f>IF($C569&gt;0,INDEX(Merge_1_2!$G$2:$G$611,$C569),INDEX(Dataset3_Raw!$G$2:$G$391,$E569))</f>
        <v>0</v>
      </c>
      <c r="L569" s="23">
        <f>IF($C569&gt;0,INDEX(Merge_1_2!$H$2:$H$611,$C569),INDEX(Dataset3_Raw!$H$2:$H$391,$E569))</f>
        <v>2</v>
      </c>
      <c r="M569" s="23">
        <f>IF($C569&gt;0,INDEX(Merge_1_2!$I$2:$I$611,$C569),INDEX(Dataset3_Raw!$I$2:$I$391,$E569))</f>
        <v>1</v>
      </c>
      <c r="N569" s="25">
        <f>IF($C569&gt;0,INDEX(Merge_1_2!$J$2:$J$611,$C569),INDEX(Dataset3_Raw!$J$2:$J$391,$E569))</f>
        <v>0.24</v>
      </c>
      <c r="O569" s="25">
        <f>IF($C569&gt;0,IF(ISNUMBER(INDEX(Merge_1_2!$K$2:$K$611,$C569)),INDEX(Merge_1_2!$K$2:$K$611,$C569),""),INDEX(Dataset3_Raw!$K$2:$K$391,$E569))</f>
        <v>0.2273</v>
      </c>
      <c r="P569" s="25">
        <f>IF(ISNUMBER($O569),$O569,ROUND(Lookups!$B$25+Lookups!$B$24*$N569,4))</f>
        <v>0.2273</v>
      </c>
      <c r="Q569" s="25">
        <f>IF($C569&gt;0,INDEX(Merge_1_2!$L$2:$L$611,$C569),INDEX(Dataset3_Raw!$L$2:$L$391,$E569))</f>
        <v>0.65</v>
      </c>
      <c r="R569" s="25">
        <f>IF($C569&gt;0,INDEX(Merge_1_2!$M$2:$M$611,$C569),INDEX(Dataset3_Raw!$M$2:$M$391,$E569))</f>
        <v>0.19400000000000001</v>
      </c>
      <c r="S569" s="23">
        <f>IF($C569&gt;0,INDEX(Merge_1_2!$N$2:$N$611,$C569),INDEX(Dataset3_Raw!$N$2:$N$391,$E569))</f>
        <v>16</v>
      </c>
      <c r="T569" s="23">
        <f>IF($C569&gt;0,INDEX(Merge_1_2!$O$2:$O$611,$C569),INDEX(Dataset3_Raw!$O$2:$O$391,$E569))</f>
        <v>103</v>
      </c>
      <c r="U569" s="23">
        <f>IF($C569&gt;0,INDEX(Merge_1_2!$P$2:$P$611,$C569),INDEX(Dataset3_Raw!$P$2:$P$391,$E569))</f>
        <v>119</v>
      </c>
      <c r="V569" s="23" t="str">
        <f t="shared" si="49"/>
        <v>Weekday</v>
      </c>
      <c r="W569" s="23" t="str">
        <f>VLOOKUP($M569,Lookups!$A$5:$B$8,2,FALSE())</f>
        <v>Clear / Partly cloudy</v>
      </c>
      <c r="X569" s="23" t="str">
        <f>VLOOKUP($G569,Lookups!$D$5:$E$8,2,FALSE())</f>
        <v>Winter</v>
      </c>
      <c r="Y569" s="23" t="str">
        <f>VLOOKUP($L569,Lookups!$G$5:$H$11,2,FALSE())</f>
        <v>Tuesday</v>
      </c>
      <c r="Z569" s="23" t="str">
        <f>IF($J569&lt;Lookups!$B$26,"Night",IF($J569&lt;Lookups!$B$27,"Morning",IF($J569&lt;Lookups!$B$28,"Afternoon","Evening")))</f>
        <v>Evening</v>
      </c>
      <c r="AA569" s="26">
        <f>ROUND($N569*(Lookups!$B$16-Lookups!$B$15)+Lookups!$B$15,1)</f>
        <v>3.3</v>
      </c>
      <c r="AB569" s="26">
        <f>ROUND($P569*(Lookups!$B$18-Lookups!$B$17)+Lookups!$B$17,1)</f>
        <v>-1</v>
      </c>
      <c r="AC569" s="23">
        <f t="shared" si="50"/>
        <v>65</v>
      </c>
      <c r="AD569" s="23">
        <f>ROUND($R569*Lookups!$B$19,1)</f>
        <v>13</v>
      </c>
      <c r="AE569" s="27">
        <f t="shared" si="51"/>
        <v>0.86554621848739499</v>
      </c>
      <c r="AF569" s="23" t="str">
        <f>IF($U569&gt;=Lookups!$B$23,"High",IF($U569&gt;=Lookups!$B$22,"Medium","Low"))</f>
        <v>High</v>
      </c>
      <c r="AG569" s="23">
        <f>ROUND(IF($V569="Weekday",IF(INDEX(Hourly_Analysis!$D$5:$D$28,$J569+1)&gt;0,($U569-INDEX(Hourly_Analysis!$C$5:$C$28,$J569+1))/INDEX(Hourly_Analysis!$D$5:$D$28,$J569+1),0),IF(INDEX(Hourly_Analysis!$G$5:$G$28,$J569+1)&gt;0,($U569-INDEX(Hourly_Analysis!$F$5:$F$28,$J569+1))/INDEX(Hourly_Analysis!$G$5:$G$28,$J569+1),0)),2)</f>
        <v>2.14</v>
      </c>
      <c r="AH569" s="23" t="str">
        <f>IF(ABS($AG569)&gt;Lookups!$B$20,IF($AG569&gt;0,"High anomaly","Low anomaly"),"")</f>
        <v/>
      </c>
      <c r="AI569" s="23" t="str">
        <f t="shared" si="52"/>
        <v>OK</v>
      </c>
      <c r="AJ569" s="23" t="str">
        <f t="shared" si="53"/>
        <v>No</v>
      </c>
    </row>
    <row r="570" spans="1:36" x14ac:dyDescent="0.35">
      <c r="A570" s="23">
        <v>569</v>
      </c>
      <c r="B570" s="23" t="str">
        <f t="shared" si="48"/>
        <v>Merge 1+2</v>
      </c>
      <c r="C570" s="23">
        <f>IFERROR(MATCH($A570,Merge_1_2!$A$2:$A$611,0),0)</f>
        <v>569</v>
      </c>
      <c r="D570" s="23">
        <f>IF($C570&gt;0,INDEX(Merge_1_2!$Q$2:$Q$611,$C570),0)</f>
        <v>569</v>
      </c>
      <c r="E570" s="23">
        <f>IFERROR(MATCH($A570,Dataset3_Raw!$A$2:$A$391,0),0)</f>
        <v>0</v>
      </c>
      <c r="F570" s="24">
        <f>IF($C570&gt;0,INDEX(Merge_1_2!$B$2:$B$611,$C570),DATE(VALUE(RIGHT(INDEX(Dataset3_Raw!$B$2:$B$391,$E570),4)),VALUE(MID(INDEX(Dataset3_Raw!$B$2:$B$391,$E570),4,2)),VALUE(LEFT(INDEX(Dataset3_Raw!$B$2:$B$391,$E570),2))))</f>
        <v>40568</v>
      </c>
      <c r="G570" s="23">
        <f>IF($C570&gt;0,INDEX(Merge_1_2!$C$2:$C$611,$C570),INDEX(Dataset3_Raw!$C$2:$C$391,$E570))</f>
        <v>1</v>
      </c>
      <c r="H570" s="23">
        <f>IF($C570&gt;0,INDEX(Merge_1_2!$D$2:$D$611,$C570),INDEX(Dataset3_Raw!$D$2:$D$391,$E570))</f>
        <v>0</v>
      </c>
      <c r="I570" s="23">
        <f>IF($C570&gt;0,INDEX(Merge_1_2!$E$2:$E$611,$C570),INDEX(Dataset3_Raw!$E$2:$E$391,$E570))</f>
        <v>1</v>
      </c>
      <c r="J570" s="23">
        <f>IF($C570&gt;0,INDEX(Merge_1_2!$F$2:$F$611,$C570),INDEX(Dataset3_Raw!$F$2:$F$391,$E570))</f>
        <v>21</v>
      </c>
      <c r="K570" s="23" t="b">
        <f>IF($C570&gt;0,INDEX(Merge_1_2!$G$2:$G$611,$C570),INDEX(Dataset3_Raw!$G$2:$G$391,$E570))</f>
        <v>0</v>
      </c>
      <c r="L570" s="23">
        <f>IF($C570&gt;0,INDEX(Merge_1_2!$H$2:$H$611,$C570),INDEX(Dataset3_Raw!$H$2:$H$391,$E570))</f>
        <v>2</v>
      </c>
      <c r="M570" s="23">
        <f>IF($C570&gt;0,INDEX(Merge_1_2!$I$2:$I$611,$C570),INDEX(Dataset3_Raw!$I$2:$I$391,$E570))</f>
        <v>1</v>
      </c>
      <c r="N570" s="25">
        <f>IF($C570&gt;0,INDEX(Merge_1_2!$J$2:$J$611,$C570),INDEX(Dataset3_Raw!$J$2:$J$391,$E570))</f>
        <v>0.24</v>
      </c>
      <c r="O570" s="25">
        <f>IF($C570&gt;0,IF(ISNUMBER(INDEX(Merge_1_2!$K$2:$K$611,$C570)),INDEX(Merge_1_2!$K$2:$K$611,$C570),""),INDEX(Dataset3_Raw!$K$2:$K$391,$E570))</f>
        <v>0.2273</v>
      </c>
      <c r="P570" s="25">
        <f>IF(ISNUMBER($O570),$O570,ROUND(Lookups!$B$25+Lookups!$B$24*$N570,4))</f>
        <v>0.2273</v>
      </c>
      <c r="Q570" s="25">
        <f>IF($C570&gt;0,INDEX(Merge_1_2!$L$2:$L$611,$C570),INDEX(Dataset3_Raw!$L$2:$L$391,$E570))</f>
        <v>0.65</v>
      </c>
      <c r="R570" s="25">
        <f>IF($C570&gt;0,INDEX(Merge_1_2!$M$2:$M$611,$C570),INDEX(Dataset3_Raw!$M$2:$M$391,$E570))</f>
        <v>0.19400000000000001</v>
      </c>
      <c r="S570" s="23">
        <f>IF($C570&gt;0,INDEX(Merge_1_2!$N$2:$N$611,$C570),INDEX(Dataset3_Raw!$N$2:$N$391,$E570))</f>
        <v>5</v>
      </c>
      <c r="T570" s="23">
        <f>IF($C570&gt;0,INDEX(Merge_1_2!$O$2:$O$611,$C570),INDEX(Dataset3_Raw!$O$2:$O$391,$E570))</f>
        <v>40</v>
      </c>
      <c r="U570" s="23">
        <f>IF($C570&gt;0,INDEX(Merge_1_2!$P$2:$P$611,$C570),INDEX(Dataset3_Raw!$P$2:$P$391,$E570))</f>
        <v>45</v>
      </c>
      <c r="V570" s="23" t="str">
        <f t="shared" si="49"/>
        <v>Weekday</v>
      </c>
      <c r="W570" s="23" t="str">
        <f>VLOOKUP($M570,Lookups!$A$5:$B$8,2,FALSE())</f>
        <v>Clear / Partly cloudy</v>
      </c>
      <c r="X570" s="23" t="str">
        <f>VLOOKUP($G570,Lookups!$D$5:$E$8,2,FALSE())</f>
        <v>Winter</v>
      </c>
      <c r="Y570" s="23" t="str">
        <f>VLOOKUP($L570,Lookups!$G$5:$H$11,2,FALSE())</f>
        <v>Tuesday</v>
      </c>
      <c r="Z570" s="23" t="str">
        <f>IF($J570&lt;Lookups!$B$26,"Night",IF($J570&lt;Lookups!$B$27,"Morning",IF($J570&lt;Lookups!$B$28,"Afternoon","Evening")))</f>
        <v>Evening</v>
      </c>
      <c r="AA570" s="26">
        <f>ROUND($N570*(Lookups!$B$16-Lookups!$B$15)+Lookups!$B$15,1)</f>
        <v>3.3</v>
      </c>
      <c r="AB570" s="26">
        <f>ROUND($P570*(Lookups!$B$18-Lookups!$B$17)+Lookups!$B$17,1)</f>
        <v>-1</v>
      </c>
      <c r="AC570" s="23">
        <f t="shared" si="50"/>
        <v>65</v>
      </c>
      <c r="AD570" s="23">
        <f>ROUND($R570*Lookups!$B$19,1)</f>
        <v>13</v>
      </c>
      <c r="AE570" s="27">
        <f t="shared" si="51"/>
        <v>0.88888888888888884</v>
      </c>
      <c r="AF570" s="23" t="str">
        <f>IF($U570&gt;=Lookups!$B$23,"High",IF($U570&gt;=Lookups!$B$22,"Medium","Low"))</f>
        <v>Medium</v>
      </c>
      <c r="AG570" s="23">
        <f>ROUND(IF($V570="Weekday",IF(INDEX(Hourly_Analysis!$D$5:$D$28,$J570+1)&gt;0,($U570-INDEX(Hourly_Analysis!$C$5:$C$28,$J570+1))/INDEX(Hourly_Analysis!$D$5:$D$28,$J570+1),0),IF(INDEX(Hourly_Analysis!$G$5:$G$28,$J570+1)&gt;0,($U570-INDEX(Hourly_Analysis!$F$5:$F$28,$J570+1))/INDEX(Hourly_Analysis!$G$5:$G$28,$J570+1),0)),2)</f>
        <v>-0.51</v>
      </c>
      <c r="AH570" s="23" t="str">
        <f>IF(ABS($AG570)&gt;Lookups!$B$20,IF($AG570&gt;0,"High anomaly","Low anomaly"),"")</f>
        <v/>
      </c>
      <c r="AI570" s="23" t="str">
        <f t="shared" si="52"/>
        <v>OK</v>
      </c>
      <c r="AJ570" s="23" t="str">
        <f t="shared" si="53"/>
        <v>No</v>
      </c>
    </row>
    <row r="571" spans="1:36" x14ac:dyDescent="0.35">
      <c r="A571" s="23">
        <v>570</v>
      </c>
      <c r="B571" s="23" t="str">
        <f t="shared" si="48"/>
        <v>Merge 1+2</v>
      </c>
      <c r="C571" s="23">
        <f>IFERROR(MATCH($A571,Merge_1_2!$A$2:$A$611,0),0)</f>
        <v>570</v>
      </c>
      <c r="D571" s="23">
        <f>IF($C571&gt;0,INDEX(Merge_1_2!$Q$2:$Q$611,$C571),0)</f>
        <v>570</v>
      </c>
      <c r="E571" s="23">
        <f>IFERROR(MATCH($A571,Dataset3_Raw!$A$2:$A$391,0),0)</f>
        <v>0</v>
      </c>
      <c r="F571" s="24">
        <f>IF($C571&gt;0,INDEX(Merge_1_2!$B$2:$B$611,$C571),DATE(VALUE(RIGHT(INDEX(Dataset3_Raw!$B$2:$B$391,$E571),4)),VALUE(MID(INDEX(Dataset3_Raw!$B$2:$B$391,$E571),4,2)),VALUE(LEFT(INDEX(Dataset3_Raw!$B$2:$B$391,$E571),2))))</f>
        <v>40568</v>
      </c>
      <c r="G571" s="23">
        <f>IF($C571&gt;0,INDEX(Merge_1_2!$C$2:$C$611,$C571),INDEX(Dataset3_Raw!$C$2:$C$391,$E571))</f>
        <v>1</v>
      </c>
      <c r="H571" s="23">
        <f>IF($C571&gt;0,INDEX(Merge_1_2!$D$2:$D$611,$C571),INDEX(Dataset3_Raw!$D$2:$D$391,$E571))</f>
        <v>0</v>
      </c>
      <c r="I571" s="23">
        <f>IF($C571&gt;0,INDEX(Merge_1_2!$E$2:$E$611,$C571),INDEX(Dataset3_Raw!$E$2:$E$391,$E571))</f>
        <v>1</v>
      </c>
      <c r="J571" s="23">
        <f>IF($C571&gt;0,INDEX(Merge_1_2!$F$2:$F$611,$C571),INDEX(Dataset3_Raw!$F$2:$F$391,$E571))</f>
        <v>22</v>
      </c>
      <c r="K571" s="23" t="b">
        <f>IF($C571&gt;0,INDEX(Merge_1_2!$G$2:$G$611,$C571),INDEX(Dataset3_Raw!$G$2:$G$391,$E571))</f>
        <v>0</v>
      </c>
      <c r="L571" s="23">
        <f>IF($C571&gt;0,INDEX(Merge_1_2!$H$2:$H$611,$C571),INDEX(Dataset3_Raw!$H$2:$H$391,$E571))</f>
        <v>2</v>
      </c>
      <c r="M571" s="23">
        <f>IF($C571&gt;0,INDEX(Merge_1_2!$I$2:$I$611,$C571),INDEX(Dataset3_Raw!$I$2:$I$391,$E571))</f>
        <v>1</v>
      </c>
      <c r="N571" s="25">
        <f>IF($C571&gt;0,INDEX(Merge_1_2!$J$2:$J$611,$C571),INDEX(Dataset3_Raw!$J$2:$J$391,$E571))</f>
        <v>0.22</v>
      </c>
      <c r="O571" s="25">
        <f>IF($C571&gt;0,IF(ISNUMBER(INDEX(Merge_1_2!$K$2:$K$611,$C571)),INDEX(Merge_1_2!$K$2:$K$611,$C571),""),INDEX(Dataset3_Raw!$K$2:$K$391,$E571))</f>
        <v>0.2273</v>
      </c>
      <c r="P571" s="25">
        <f>IF(ISNUMBER($O571),$O571,ROUND(Lookups!$B$25+Lookups!$B$24*$N571,4))</f>
        <v>0.2273</v>
      </c>
      <c r="Q571" s="25">
        <f>IF($C571&gt;0,INDEX(Merge_1_2!$L$2:$L$611,$C571),INDEX(Dataset3_Raw!$L$2:$L$391,$E571))</f>
        <v>0.64</v>
      </c>
      <c r="R571" s="25">
        <f>IF($C571&gt;0,INDEX(Merge_1_2!$M$2:$M$611,$C571),INDEX(Dataset3_Raw!$M$2:$M$391,$E571))</f>
        <v>0.16420000000000001</v>
      </c>
      <c r="S571" s="23">
        <f>IF($C571&gt;0,INDEX(Merge_1_2!$N$2:$N$611,$C571),INDEX(Dataset3_Raw!$N$2:$N$391,$E571))</f>
        <v>4</v>
      </c>
      <c r="T571" s="23">
        <f>IF($C571&gt;0,INDEX(Merge_1_2!$O$2:$O$611,$C571),INDEX(Dataset3_Raw!$O$2:$O$391,$E571))</f>
        <v>49</v>
      </c>
      <c r="U571" s="23">
        <f>IF($C571&gt;0,INDEX(Merge_1_2!$P$2:$P$611,$C571),INDEX(Dataset3_Raw!$P$2:$P$391,$E571))</f>
        <v>53</v>
      </c>
      <c r="V571" s="23" t="str">
        <f t="shared" si="49"/>
        <v>Weekday</v>
      </c>
      <c r="W571" s="23" t="str">
        <f>VLOOKUP($M571,Lookups!$A$5:$B$8,2,FALSE())</f>
        <v>Clear / Partly cloudy</v>
      </c>
      <c r="X571" s="23" t="str">
        <f>VLOOKUP($G571,Lookups!$D$5:$E$8,2,FALSE())</f>
        <v>Winter</v>
      </c>
      <c r="Y571" s="23" t="str">
        <f>VLOOKUP($L571,Lookups!$G$5:$H$11,2,FALSE())</f>
        <v>Tuesday</v>
      </c>
      <c r="Z571" s="23" t="str">
        <f>IF($J571&lt;Lookups!$B$26,"Night",IF($J571&lt;Lookups!$B$27,"Morning",IF($J571&lt;Lookups!$B$28,"Afternoon","Evening")))</f>
        <v>Evening</v>
      </c>
      <c r="AA571" s="26">
        <f>ROUND($N571*(Lookups!$B$16-Lookups!$B$15)+Lookups!$B$15,1)</f>
        <v>2.2999999999999998</v>
      </c>
      <c r="AB571" s="26">
        <f>ROUND($P571*(Lookups!$B$18-Lookups!$B$17)+Lookups!$B$17,1)</f>
        <v>-1</v>
      </c>
      <c r="AC571" s="23">
        <f t="shared" si="50"/>
        <v>64</v>
      </c>
      <c r="AD571" s="23">
        <f>ROUND($R571*Lookups!$B$19,1)</f>
        <v>11</v>
      </c>
      <c r="AE571" s="27">
        <f t="shared" si="51"/>
        <v>0.92452830188679247</v>
      </c>
      <c r="AF571" s="23" t="str">
        <f>IF($U571&gt;=Lookups!$B$23,"High",IF($U571&gt;=Lookups!$B$22,"Medium","Low"))</f>
        <v>Medium</v>
      </c>
      <c r="AG571" s="23">
        <f>ROUND(IF($V571="Weekday",IF(INDEX(Hourly_Analysis!$D$5:$D$28,$J571+1)&gt;0,($U571-INDEX(Hourly_Analysis!$C$5:$C$28,$J571+1))/INDEX(Hourly_Analysis!$D$5:$D$28,$J571+1),0),IF(INDEX(Hourly_Analysis!$G$5:$G$28,$J571+1)&gt;0,($U571-INDEX(Hourly_Analysis!$F$5:$F$28,$J571+1))/INDEX(Hourly_Analysis!$G$5:$G$28,$J571+1),0)),2)</f>
        <v>1.51</v>
      </c>
      <c r="AH571" s="23" t="str">
        <f>IF(ABS($AG571)&gt;Lookups!$B$20,IF($AG571&gt;0,"High anomaly","Low anomaly"),"")</f>
        <v/>
      </c>
      <c r="AI571" s="23" t="str">
        <f t="shared" si="52"/>
        <v>OK</v>
      </c>
      <c r="AJ571" s="23" t="str">
        <f t="shared" si="53"/>
        <v>No</v>
      </c>
    </row>
    <row r="572" spans="1:36" x14ac:dyDescent="0.35">
      <c r="A572" s="23">
        <v>571</v>
      </c>
      <c r="B572" s="23" t="str">
        <f t="shared" si="48"/>
        <v>Merge 1+2</v>
      </c>
      <c r="C572" s="23">
        <f>IFERROR(MATCH($A572,Merge_1_2!$A$2:$A$611,0),0)</f>
        <v>571</v>
      </c>
      <c r="D572" s="23">
        <f>IF($C572&gt;0,INDEX(Merge_1_2!$Q$2:$Q$611,$C572),0)</f>
        <v>571</v>
      </c>
      <c r="E572" s="23">
        <f>IFERROR(MATCH($A572,Dataset3_Raw!$A$2:$A$391,0),0)</f>
        <v>0</v>
      </c>
      <c r="F572" s="24">
        <f>IF($C572&gt;0,INDEX(Merge_1_2!$B$2:$B$611,$C572),DATE(VALUE(RIGHT(INDEX(Dataset3_Raw!$B$2:$B$391,$E572),4)),VALUE(MID(INDEX(Dataset3_Raw!$B$2:$B$391,$E572),4,2)),VALUE(LEFT(INDEX(Dataset3_Raw!$B$2:$B$391,$E572),2))))</f>
        <v>40568</v>
      </c>
      <c r="G572" s="23">
        <f>IF($C572&gt;0,INDEX(Merge_1_2!$C$2:$C$611,$C572),INDEX(Dataset3_Raw!$C$2:$C$391,$E572))</f>
        <v>1</v>
      </c>
      <c r="H572" s="23">
        <f>IF($C572&gt;0,INDEX(Merge_1_2!$D$2:$D$611,$C572),INDEX(Dataset3_Raw!$D$2:$D$391,$E572))</f>
        <v>0</v>
      </c>
      <c r="I572" s="23">
        <f>IF($C572&gt;0,INDEX(Merge_1_2!$E$2:$E$611,$C572),INDEX(Dataset3_Raw!$E$2:$E$391,$E572))</f>
        <v>1</v>
      </c>
      <c r="J572" s="23">
        <f>IF($C572&gt;0,INDEX(Merge_1_2!$F$2:$F$611,$C572),INDEX(Dataset3_Raw!$F$2:$F$391,$E572))</f>
        <v>23</v>
      </c>
      <c r="K572" s="23" t="b">
        <f>IF($C572&gt;0,INDEX(Merge_1_2!$G$2:$G$611,$C572),INDEX(Dataset3_Raw!$G$2:$G$391,$E572))</f>
        <v>0</v>
      </c>
      <c r="L572" s="23">
        <f>IF($C572&gt;0,INDEX(Merge_1_2!$H$2:$H$611,$C572),INDEX(Dataset3_Raw!$H$2:$H$391,$E572))</f>
        <v>2</v>
      </c>
      <c r="M572" s="23">
        <f>IF($C572&gt;0,INDEX(Merge_1_2!$I$2:$I$611,$C572),INDEX(Dataset3_Raw!$I$2:$I$391,$E572))</f>
        <v>2</v>
      </c>
      <c r="N572" s="25">
        <f>IF($C572&gt;0,INDEX(Merge_1_2!$J$2:$J$611,$C572),INDEX(Dataset3_Raw!$J$2:$J$391,$E572))</f>
        <v>0.22</v>
      </c>
      <c r="O572" s="25">
        <f>IF($C572&gt;0,IF(ISNUMBER(INDEX(Merge_1_2!$K$2:$K$611,$C572)),INDEX(Merge_1_2!$K$2:$K$611,$C572),""),INDEX(Dataset3_Raw!$K$2:$K$391,$E572))</f>
        <v>0.2273</v>
      </c>
      <c r="P572" s="25">
        <f>IF(ISNUMBER($O572),$O572,ROUND(Lookups!$B$25+Lookups!$B$24*$N572,4))</f>
        <v>0.2273</v>
      </c>
      <c r="Q572" s="25">
        <f>IF($C572&gt;0,INDEX(Merge_1_2!$L$2:$L$611,$C572),INDEX(Dataset3_Raw!$L$2:$L$391,$E572))</f>
        <v>0.64</v>
      </c>
      <c r="R572" s="25">
        <f>IF($C572&gt;0,INDEX(Merge_1_2!$M$2:$M$611,$C572),INDEX(Dataset3_Raw!$M$2:$M$391,$E572))</f>
        <v>0.16420000000000001</v>
      </c>
      <c r="S572" s="23">
        <f>IF($C572&gt;0,INDEX(Merge_1_2!$N$2:$N$611,$C572),INDEX(Dataset3_Raw!$N$2:$N$391,$E572))</f>
        <v>3</v>
      </c>
      <c r="T572" s="23">
        <f>IF($C572&gt;0,INDEX(Merge_1_2!$O$2:$O$611,$C572),INDEX(Dataset3_Raw!$O$2:$O$391,$E572))</f>
        <v>37</v>
      </c>
      <c r="U572" s="23">
        <f>IF($C572&gt;0,INDEX(Merge_1_2!$P$2:$P$611,$C572),INDEX(Dataset3_Raw!$P$2:$P$391,$E572))</f>
        <v>40</v>
      </c>
      <c r="V572" s="23" t="str">
        <f t="shared" si="49"/>
        <v>Weekday</v>
      </c>
      <c r="W572" s="23" t="str">
        <f>VLOOKUP($M572,Lookups!$A$5:$B$8,2,FALSE())</f>
        <v>Mist / Cloudy</v>
      </c>
      <c r="X572" s="23" t="str">
        <f>VLOOKUP($G572,Lookups!$D$5:$E$8,2,FALSE())</f>
        <v>Winter</v>
      </c>
      <c r="Y572" s="23" t="str">
        <f>VLOOKUP($L572,Lookups!$G$5:$H$11,2,FALSE())</f>
        <v>Tuesday</v>
      </c>
      <c r="Z572" s="23" t="str">
        <f>IF($J572&lt;Lookups!$B$26,"Night",IF($J572&lt;Lookups!$B$27,"Morning",IF($J572&lt;Lookups!$B$28,"Afternoon","Evening")))</f>
        <v>Evening</v>
      </c>
      <c r="AA572" s="26">
        <f>ROUND($N572*(Lookups!$B$16-Lookups!$B$15)+Lookups!$B$15,1)</f>
        <v>2.2999999999999998</v>
      </c>
      <c r="AB572" s="26">
        <f>ROUND($P572*(Lookups!$B$18-Lookups!$B$17)+Lookups!$B$17,1)</f>
        <v>-1</v>
      </c>
      <c r="AC572" s="23">
        <f t="shared" si="50"/>
        <v>64</v>
      </c>
      <c r="AD572" s="23">
        <f>ROUND($R572*Lookups!$B$19,1)</f>
        <v>11</v>
      </c>
      <c r="AE572" s="27">
        <f t="shared" si="51"/>
        <v>0.92500000000000004</v>
      </c>
      <c r="AF572" s="23" t="str">
        <f>IF($U572&gt;=Lookups!$B$23,"High",IF($U572&gt;=Lookups!$B$22,"Medium","Low"))</f>
        <v>Medium</v>
      </c>
      <c r="AG572" s="23">
        <f>ROUND(IF($V572="Weekday",IF(INDEX(Hourly_Analysis!$D$5:$D$28,$J572+1)&gt;0,($U572-INDEX(Hourly_Analysis!$C$5:$C$28,$J572+1))/INDEX(Hourly_Analysis!$D$5:$D$28,$J572+1),0),IF(INDEX(Hourly_Analysis!$G$5:$G$28,$J572+1)&gt;0,($U572-INDEX(Hourly_Analysis!$F$5:$F$28,$J572+1))/INDEX(Hourly_Analysis!$G$5:$G$28,$J572+1),0)),2)</f>
        <v>1.57</v>
      </c>
      <c r="AH572" s="23" t="str">
        <f>IF(ABS($AG572)&gt;Lookups!$B$20,IF($AG572&gt;0,"High anomaly","Low anomaly"),"")</f>
        <v/>
      </c>
      <c r="AI572" s="23" t="str">
        <f t="shared" si="52"/>
        <v>OK</v>
      </c>
      <c r="AJ572" s="23" t="str">
        <f t="shared" si="53"/>
        <v>No</v>
      </c>
    </row>
    <row r="573" spans="1:36" x14ac:dyDescent="0.35">
      <c r="A573" s="23">
        <v>572</v>
      </c>
      <c r="B573" s="23" t="str">
        <f t="shared" si="48"/>
        <v>Merge 1+2</v>
      </c>
      <c r="C573" s="23">
        <f>IFERROR(MATCH($A573,Merge_1_2!$A$2:$A$611,0),0)</f>
        <v>572</v>
      </c>
      <c r="D573" s="23">
        <f>IF($C573&gt;0,INDEX(Merge_1_2!$Q$2:$Q$611,$C573),0)</f>
        <v>572</v>
      </c>
      <c r="E573" s="23">
        <f>IFERROR(MATCH($A573,Dataset3_Raw!$A$2:$A$391,0),0)</f>
        <v>0</v>
      </c>
      <c r="F573" s="24">
        <f>IF($C573&gt;0,INDEX(Merge_1_2!$B$2:$B$611,$C573),DATE(VALUE(RIGHT(INDEX(Dataset3_Raw!$B$2:$B$391,$E573),4)),VALUE(MID(INDEX(Dataset3_Raw!$B$2:$B$391,$E573),4,2)),VALUE(LEFT(INDEX(Dataset3_Raw!$B$2:$B$391,$E573),2))))</f>
        <v>40569</v>
      </c>
      <c r="G573" s="23">
        <f>IF($C573&gt;0,INDEX(Merge_1_2!$C$2:$C$611,$C573),INDEX(Dataset3_Raw!$C$2:$C$391,$E573))</f>
        <v>1</v>
      </c>
      <c r="H573" s="23">
        <f>IF($C573&gt;0,INDEX(Merge_1_2!$D$2:$D$611,$C573),INDEX(Dataset3_Raw!$D$2:$D$391,$E573))</f>
        <v>0</v>
      </c>
      <c r="I573" s="23">
        <f>IF($C573&gt;0,INDEX(Merge_1_2!$E$2:$E$611,$C573),INDEX(Dataset3_Raw!$E$2:$E$391,$E573))</f>
        <v>1</v>
      </c>
      <c r="J573" s="23">
        <f>IF($C573&gt;0,INDEX(Merge_1_2!$F$2:$F$611,$C573),INDEX(Dataset3_Raw!$F$2:$F$391,$E573))</f>
        <v>0</v>
      </c>
      <c r="K573" s="23" t="b">
        <f>IF($C573&gt;0,INDEX(Merge_1_2!$G$2:$G$611,$C573),INDEX(Dataset3_Raw!$G$2:$G$391,$E573))</f>
        <v>0</v>
      </c>
      <c r="L573" s="23">
        <f>IF($C573&gt;0,INDEX(Merge_1_2!$H$2:$H$611,$C573),INDEX(Dataset3_Raw!$H$2:$H$391,$E573))</f>
        <v>3</v>
      </c>
      <c r="M573" s="23">
        <f>IF($C573&gt;0,INDEX(Merge_1_2!$I$2:$I$611,$C573),INDEX(Dataset3_Raw!$I$2:$I$391,$E573))</f>
        <v>2</v>
      </c>
      <c r="N573" s="25">
        <f>IF($C573&gt;0,INDEX(Merge_1_2!$J$2:$J$611,$C573),INDEX(Dataset3_Raw!$J$2:$J$391,$E573))</f>
        <v>0.22</v>
      </c>
      <c r="O573" s="25">
        <f>IF($C573&gt;0,IF(ISNUMBER(INDEX(Merge_1_2!$K$2:$K$611,$C573)),INDEX(Merge_1_2!$K$2:$K$611,$C573),""),INDEX(Dataset3_Raw!$K$2:$K$391,$E573))</f>
        <v>0.2273</v>
      </c>
      <c r="P573" s="25">
        <f>IF(ISNUMBER($O573),$O573,ROUND(Lookups!$B$25+Lookups!$B$24*$N573,4))</f>
        <v>0.2273</v>
      </c>
      <c r="Q573" s="25">
        <f>IF($C573&gt;0,INDEX(Merge_1_2!$L$2:$L$611,$C573),INDEX(Dataset3_Raw!$L$2:$L$391,$E573))</f>
        <v>0.69</v>
      </c>
      <c r="R573" s="25">
        <f>IF($C573&gt;0,INDEX(Merge_1_2!$M$2:$M$611,$C573),INDEX(Dataset3_Raw!$M$2:$M$391,$E573))</f>
        <v>0.1343</v>
      </c>
      <c r="S573" s="23">
        <f>IF($C573&gt;0,INDEX(Merge_1_2!$N$2:$N$611,$C573),INDEX(Dataset3_Raw!$N$2:$N$391,$E573))</f>
        <v>3</v>
      </c>
      <c r="T573" s="23">
        <f>IF($C573&gt;0,INDEX(Merge_1_2!$O$2:$O$611,$C573),INDEX(Dataset3_Raw!$O$2:$O$391,$E573))</f>
        <v>14</v>
      </c>
      <c r="U573" s="23">
        <f>IF($C573&gt;0,INDEX(Merge_1_2!$P$2:$P$611,$C573),INDEX(Dataset3_Raw!$P$2:$P$391,$E573))</f>
        <v>17</v>
      </c>
      <c r="V573" s="23" t="str">
        <f t="shared" si="49"/>
        <v>Weekday</v>
      </c>
      <c r="W573" s="23" t="str">
        <f>VLOOKUP($M573,Lookups!$A$5:$B$8,2,FALSE())</f>
        <v>Mist / Cloudy</v>
      </c>
      <c r="X573" s="23" t="str">
        <f>VLOOKUP($G573,Lookups!$D$5:$E$8,2,FALSE())</f>
        <v>Winter</v>
      </c>
      <c r="Y573" s="23" t="str">
        <f>VLOOKUP($L573,Lookups!$G$5:$H$11,2,FALSE())</f>
        <v>Wednesday</v>
      </c>
      <c r="Z573" s="23" t="str">
        <f>IF($J573&lt;Lookups!$B$26,"Night",IF($J573&lt;Lookups!$B$27,"Morning",IF($J573&lt;Lookups!$B$28,"Afternoon","Evening")))</f>
        <v>Night</v>
      </c>
      <c r="AA573" s="26">
        <f>ROUND($N573*(Lookups!$B$16-Lookups!$B$15)+Lookups!$B$15,1)</f>
        <v>2.2999999999999998</v>
      </c>
      <c r="AB573" s="26">
        <f>ROUND($P573*(Lookups!$B$18-Lookups!$B$17)+Lookups!$B$17,1)</f>
        <v>-1</v>
      </c>
      <c r="AC573" s="23">
        <f t="shared" si="50"/>
        <v>69</v>
      </c>
      <c r="AD573" s="23">
        <f>ROUND($R573*Lookups!$B$19,1)</f>
        <v>9</v>
      </c>
      <c r="AE573" s="27">
        <f t="shared" si="51"/>
        <v>0.82352941176470584</v>
      </c>
      <c r="AF573" s="23" t="str">
        <f>IF($U573&gt;=Lookups!$B$23,"High",IF($U573&gt;=Lookups!$B$22,"Medium","Low"))</f>
        <v>Medium</v>
      </c>
      <c r="AG573" s="23">
        <f>ROUND(IF($V573="Weekday",IF(INDEX(Hourly_Analysis!$D$5:$D$28,$J573+1)&gt;0,($U573-INDEX(Hourly_Analysis!$C$5:$C$28,$J573+1))/INDEX(Hourly_Analysis!$D$5:$D$28,$J573+1),0),IF(INDEX(Hourly_Analysis!$G$5:$G$28,$J573+1)&gt;0,($U573-INDEX(Hourly_Analysis!$F$5:$F$28,$J573+1))/INDEX(Hourly_Analysis!$G$5:$G$28,$J573+1),0)),2)</f>
        <v>1.35</v>
      </c>
      <c r="AH573" s="23" t="str">
        <f>IF(ABS($AG573)&gt;Lookups!$B$20,IF($AG573&gt;0,"High anomaly","Low anomaly"),"")</f>
        <v/>
      </c>
      <c r="AI573" s="23" t="str">
        <f t="shared" si="52"/>
        <v>OK</v>
      </c>
      <c r="AJ573" s="23" t="str">
        <f t="shared" si="53"/>
        <v>No</v>
      </c>
    </row>
    <row r="574" spans="1:36" x14ac:dyDescent="0.35">
      <c r="A574" s="23">
        <v>573</v>
      </c>
      <c r="B574" s="23" t="str">
        <f t="shared" si="48"/>
        <v>Merge 1+2</v>
      </c>
      <c r="C574" s="23">
        <f>IFERROR(MATCH($A574,Merge_1_2!$A$2:$A$611,0),0)</f>
        <v>573</v>
      </c>
      <c r="D574" s="23">
        <f>IF($C574&gt;0,INDEX(Merge_1_2!$Q$2:$Q$611,$C574),0)</f>
        <v>573</v>
      </c>
      <c r="E574" s="23">
        <f>IFERROR(MATCH($A574,Dataset3_Raw!$A$2:$A$391,0),0)</f>
        <v>0</v>
      </c>
      <c r="F574" s="24">
        <f>IF($C574&gt;0,INDEX(Merge_1_2!$B$2:$B$611,$C574),DATE(VALUE(RIGHT(INDEX(Dataset3_Raw!$B$2:$B$391,$E574),4)),VALUE(MID(INDEX(Dataset3_Raw!$B$2:$B$391,$E574),4,2)),VALUE(LEFT(INDEX(Dataset3_Raw!$B$2:$B$391,$E574),2))))</f>
        <v>40569</v>
      </c>
      <c r="G574" s="23">
        <f>IF($C574&gt;0,INDEX(Merge_1_2!$C$2:$C$611,$C574),INDEX(Dataset3_Raw!$C$2:$C$391,$E574))</f>
        <v>1</v>
      </c>
      <c r="H574" s="23">
        <f>IF($C574&gt;0,INDEX(Merge_1_2!$D$2:$D$611,$C574),INDEX(Dataset3_Raw!$D$2:$D$391,$E574))</f>
        <v>0</v>
      </c>
      <c r="I574" s="23">
        <f>IF($C574&gt;0,INDEX(Merge_1_2!$E$2:$E$611,$C574),INDEX(Dataset3_Raw!$E$2:$E$391,$E574))</f>
        <v>1</v>
      </c>
      <c r="J574" s="23">
        <f>IF($C574&gt;0,INDEX(Merge_1_2!$F$2:$F$611,$C574),INDEX(Dataset3_Raw!$F$2:$F$391,$E574))</f>
        <v>1</v>
      </c>
      <c r="K574" s="23" t="b">
        <f>IF($C574&gt;0,INDEX(Merge_1_2!$G$2:$G$611,$C574),INDEX(Dataset3_Raw!$G$2:$G$391,$E574))</f>
        <v>0</v>
      </c>
      <c r="L574" s="23">
        <f>IF($C574&gt;0,INDEX(Merge_1_2!$H$2:$H$611,$C574),INDEX(Dataset3_Raw!$H$2:$H$391,$E574))</f>
        <v>3</v>
      </c>
      <c r="M574" s="23">
        <f>IF($C574&gt;0,INDEX(Merge_1_2!$I$2:$I$611,$C574),INDEX(Dataset3_Raw!$I$2:$I$391,$E574))</f>
        <v>2</v>
      </c>
      <c r="N574" s="25">
        <f>IF($C574&gt;0,INDEX(Merge_1_2!$J$2:$J$611,$C574),INDEX(Dataset3_Raw!$J$2:$J$391,$E574))</f>
        <v>0.24</v>
      </c>
      <c r="O574" s="25">
        <f>IF($C574&gt;0,IF(ISNUMBER(INDEX(Merge_1_2!$K$2:$K$611,$C574)),INDEX(Merge_1_2!$K$2:$K$611,$C574),""),INDEX(Dataset3_Raw!$K$2:$K$391,$E574))</f>
        <v>0.2424</v>
      </c>
      <c r="P574" s="25">
        <f>IF(ISNUMBER($O574),$O574,ROUND(Lookups!$B$25+Lookups!$B$24*$N574,4))</f>
        <v>0.2424</v>
      </c>
      <c r="Q574" s="25">
        <f>IF($C574&gt;0,INDEX(Merge_1_2!$L$2:$L$611,$C574),INDEX(Dataset3_Raw!$L$2:$L$391,$E574))</f>
        <v>0.65</v>
      </c>
      <c r="R574" s="25">
        <f>IF($C574&gt;0,INDEX(Merge_1_2!$M$2:$M$611,$C574),INDEX(Dataset3_Raw!$M$2:$M$391,$E574))</f>
        <v>0.1343</v>
      </c>
      <c r="S574" s="23">
        <f>IF($C574&gt;0,INDEX(Merge_1_2!$N$2:$N$611,$C574),INDEX(Dataset3_Raw!$N$2:$N$391,$E574))</f>
        <v>0</v>
      </c>
      <c r="T574" s="23">
        <f>IF($C574&gt;0,INDEX(Merge_1_2!$O$2:$O$611,$C574),INDEX(Dataset3_Raw!$O$2:$O$391,$E574))</f>
        <v>5</v>
      </c>
      <c r="U574" s="23">
        <f>IF($C574&gt;0,INDEX(Merge_1_2!$P$2:$P$611,$C574),INDEX(Dataset3_Raw!$P$2:$P$391,$E574))</f>
        <v>5</v>
      </c>
      <c r="V574" s="23" t="str">
        <f t="shared" si="49"/>
        <v>Weekday</v>
      </c>
      <c r="W574" s="23" t="str">
        <f>VLOOKUP($M574,Lookups!$A$5:$B$8,2,FALSE())</f>
        <v>Mist / Cloudy</v>
      </c>
      <c r="X574" s="23" t="str">
        <f>VLOOKUP($G574,Lookups!$D$5:$E$8,2,FALSE())</f>
        <v>Winter</v>
      </c>
      <c r="Y574" s="23" t="str">
        <f>VLOOKUP($L574,Lookups!$G$5:$H$11,2,FALSE())</f>
        <v>Wednesday</v>
      </c>
      <c r="Z574" s="23" t="str">
        <f>IF($J574&lt;Lookups!$B$26,"Night",IF($J574&lt;Lookups!$B$27,"Morning",IF($J574&lt;Lookups!$B$28,"Afternoon","Evening")))</f>
        <v>Night</v>
      </c>
      <c r="AA574" s="26">
        <f>ROUND($N574*(Lookups!$B$16-Lookups!$B$15)+Lookups!$B$15,1)</f>
        <v>3.3</v>
      </c>
      <c r="AB574" s="26">
        <f>ROUND($P574*(Lookups!$B$18-Lookups!$B$17)+Lookups!$B$17,1)</f>
        <v>0</v>
      </c>
      <c r="AC574" s="23">
        <f t="shared" si="50"/>
        <v>65</v>
      </c>
      <c r="AD574" s="23">
        <f>ROUND($R574*Lookups!$B$19,1)</f>
        <v>9</v>
      </c>
      <c r="AE574" s="27">
        <f t="shared" si="51"/>
        <v>1</v>
      </c>
      <c r="AF574" s="23" t="str">
        <f>IF($U574&gt;=Lookups!$B$23,"High",IF($U574&gt;=Lookups!$B$22,"Medium","Low"))</f>
        <v>Low</v>
      </c>
      <c r="AG574" s="23">
        <f>ROUND(IF($V574="Weekday",IF(INDEX(Hourly_Analysis!$D$5:$D$28,$J574+1)&gt;0,($U574-INDEX(Hourly_Analysis!$C$5:$C$28,$J574+1))/INDEX(Hourly_Analysis!$D$5:$D$28,$J574+1),0),IF(INDEX(Hourly_Analysis!$G$5:$G$28,$J574+1)&gt;0,($U574-INDEX(Hourly_Analysis!$F$5:$F$28,$J574+1))/INDEX(Hourly_Analysis!$G$5:$G$28,$J574+1),0)),2)</f>
        <v>0.14000000000000001</v>
      </c>
      <c r="AH574" s="23" t="str">
        <f>IF(ABS($AG574)&gt;Lookups!$B$20,IF($AG574&gt;0,"High anomaly","Low anomaly"),"")</f>
        <v/>
      </c>
      <c r="AI574" s="23" t="str">
        <f t="shared" si="52"/>
        <v>OK</v>
      </c>
      <c r="AJ574" s="23" t="str">
        <f t="shared" si="53"/>
        <v>No</v>
      </c>
    </row>
    <row r="575" spans="1:36" x14ac:dyDescent="0.35">
      <c r="A575" s="23">
        <v>574</v>
      </c>
      <c r="B575" s="23" t="str">
        <f t="shared" si="48"/>
        <v>Merge 1+2</v>
      </c>
      <c r="C575" s="23">
        <f>IFERROR(MATCH($A575,Merge_1_2!$A$2:$A$611,0),0)</f>
        <v>574</v>
      </c>
      <c r="D575" s="23">
        <f>IF($C575&gt;0,INDEX(Merge_1_2!$Q$2:$Q$611,$C575),0)</f>
        <v>574</v>
      </c>
      <c r="E575" s="23">
        <f>IFERROR(MATCH($A575,Dataset3_Raw!$A$2:$A$391,0),0)</f>
        <v>0</v>
      </c>
      <c r="F575" s="24">
        <f>IF($C575&gt;0,INDEX(Merge_1_2!$B$2:$B$611,$C575),DATE(VALUE(RIGHT(INDEX(Dataset3_Raw!$B$2:$B$391,$E575),4)),VALUE(MID(INDEX(Dataset3_Raw!$B$2:$B$391,$E575),4,2)),VALUE(LEFT(INDEX(Dataset3_Raw!$B$2:$B$391,$E575),2))))</f>
        <v>40569</v>
      </c>
      <c r="G575" s="23">
        <f>IF($C575&gt;0,INDEX(Merge_1_2!$C$2:$C$611,$C575),INDEX(Dataset3_Raw!$C$2:$C$391,$E575))</f>
        <v>1</v>
      </c>
      <c r="H575" s="23">
        <f>IF($C575&gt;0,INDEX(Merge_1_2!$D$2:$D$611,$C575),INDEX(Dataset3_Raw!$D$2:$D$391,$E575))</f>
        <v>0</v>
      </c>
      <c r="I575" s="23">
        <f>IF($C575&gt;0,INDEX(Merge_1_2!$E$2:$E$611,$C575),INDEX(Dataset3_Raw!$E$2:$E$391,$E575))</f>
        <v>1</v>
      </c>
      <c r="J575" s="23">
        <f>IF($C575&gt;0,INDEX(Merge_1_2!$F$2:$F$611,$C575),INDEX(Dataset3_Raw!$F$2:$F$391,$E575))</f>
        <v>2</v>
      </c>
      <c r="K575" s="23" t="b">
        <f>IF($C575&gt;0,INDEX(Merge_1_2!$G$2:$G$611,$C575),INDEX(Dataset3_Raw!$G$2:$G$391,$E575))</f>
        <v>0</v>
      </c>
      <c r="L575" s="23">
        <f>IF($C575&gt;0,INDEX(Merge_1_2!$H$2:$H$611,$C575),INDEX(Dataset3_Raw!$H$2:$H$391,$E575))</f>
        <v>3</v>
      </c>
      <c r="M575" s="23">
        <f>IF($C575&gt;0,INDEX(Merge_1_2!$I$2:$I$611,$C575),INDEX(Dataset3_Raw!$I$2:$I$391,$E575))</f>
        <v>3</v>
      </c>
      <c r="N575" s="25">
        <f>IF($C575&gt;0,INDEX(Merge_1_2!$J$2:$J$611,$C575),INDEX(Dataset3_Raw!$J$2:$J$391,$E575))</f>
        <v>0.22</v>
      </c>
      <c r="O575" s="25">
        <f>IF($C575&gt;0,IF(ISNUMBER(INDEX(Merge_1_2!$K$2:$K$611,$C575)),INDEX(Merge_1_2!$K$2:$K$611,$C575),""),INDEX(Dataset3_Raw!$K$2:$K$391,$E575))</f>
        <v>0.2273</v>
      </c>
      <c r="P575" s="25">
        <f>IF(ISNUMBER($O575),$O575,ROUND(Lookups!$B$25+Lookups!$B$24*$N575,4))</f>
        <v>0.2273</v>
      </c>
      <c r="Q575" s="25">
        <f>IF($C575&gt;0,INDEX(Merge_1_2!$L$2:$L$611,$C575),INDEX(Dataset3_Raw!$L$2:$L$391,$E575))</f>
        <v>0.69</v>
      </c>
      <c r="R575" s="25">
        <f>IF($C575&gt;0,INDEX(Merge_1_2!$M$2:$M$611,$C575),INDEX(Dataset3_Raw!$M$2:$M$391,$E575))</f>
        <v>0.19400000000000001</v>
      </c>
      <c r="S575" s="23">
        <f>IF($C575&gt;0,INDEX(Merge_1_2!$N$2:$N$611,$C575),INDEX(Dataset3_Raw!$N$2:$N$391,$E575))</f>
        <v>3</v>
      </c>
      <c r="T575" s="23">
        <f>IF($C575&gt;0,INDEX(Merge_1_2!$O$2:$O$611,$C575),INDEX(Dataset3_Raw!$O$2:$O$391,$E575))</f>
        <v>7</v>
      </c>
      <c r="U575" s="23">
        <f>IF($C575&gt;0,INDEX(Merge_1_2!$P$2:$P$611,$C575),INDEX(Dataset3_Raw!$P$2:$P$391,$E575))</f>
        <v>10</v>
      </c>
      <c r="V575" s="23" t="str">
        <f t="shared" si="49"/>
        <v>Weekday</v>
      </c>
      <c r="W575" s="23" t="str">
        <f>VLOOKUP($M575,Lookups!$A$5:$B$8,2,FALSE())</f>
        <v>Light snow / Light rain</v>
      </c>
      <c r="X575" s="23" t="str">
        <f>VLOOKUP($G575,Lookups!$D$5:$E$8,2,FALSE())</f>
        <v>Winter</v>
      </c>
      <c r="Y575" s="23" t="str">
        <f>VLOOKUP($L575,Lookups!$G$5:$H$11,2,FALSE())</f>
        <v>Wednesday</v>
      </c>
      <c r="Z575" s="23" t="str">
        <f>IF($J575&lt;Lookups!$B$26,"Night",IF($J575&lt;Lookups!$B$27,"Morning",IF($J575&lt;Lookups!$B$28,"Afternoon","Evening")))</f>
        <v>Night</v>
      </c>
      <c r="AA575" s="26">
        <f>ROUND($N575*(Lookups!$B$16-Lookups!$B$15)+Lookups!$B$15,1)</f>
        <v>2.2999999999999998</v>
      </c>
      <c r="AB575" s="26">
        <f>ROUND($P575*(Lookups!$B$18-Lookups!$B$17)+Lookups!$B$17,1)</f>
        <v>-1</v>
      </c>
      <c r="AC575" s="23">
        <f t="shared" si="50"/>
        <v>69</v>
      </c>
      <c r="AD575" s="23">
        <f>ROUND($R575*Lookups!$B$19,1)</f>
        <v>13</v>
      </c>
      <c r="AE575" s="27">
        <f t="shared" si="51"/>
        <v>0.7</v>
      </c>
      <c r="AF575" s="23" t="str">
        <f>IF($U575&gt;=Lookups!$B$23,"High",IF($U575&gt;=Lookups!$B$22,"Medium","Low"))</f>
        <v>Low</v>
      </c>
      <c r="AG575" s="23">
        <f>ROUND(IF($V575="Weekday",IF(INDEX(Hourly_Analysis!$D$5:$D$28,$J575+1)&gt;0,($U575-INDEX(Hourly_Analysis!$C$5:$C$28,$J575+1))/INDEX(Hourly_Analysis!$D$5:$D$28,$J575+1),0),IF(INDEX(Hourly_Analysis!$G$5:$G$28,$J575+1)&gt;0,($U575-INDEX(Hourly_Analysis!$F$5:$F$28,$J575+1))/INDEX(Hourly_Analysis!$G$5:$G$28,$J575+1),0)),2)</f>
        <v>4.34</v>
      </c>
      <c r="AH575" s="23" t="str">
        <f>IF(ABS($AG575)&gt;Lookups!$B$20,IF($AG575&gt;0,"High anomaly","Low anomaly"),"")</f>
        <v>High anomaly</v>
      </c>
      <c r="AI575" s="23" t="str">
        <f t="shared" si="52"/>
        <v>OK</v>
      </c>
      <c r="AJ575" s="23" t="str">
        <f t="shared" si="53"/>
        <v>No</v>
      </c>
    </row>
    <row r="576" spans="1:36" x14ac:dyDescent="0.35">
      <c r="A576" s="23">
        <v>575</v>
      </c>
      <c r="B576" s="23" t="str">
        <f t="shared" si="48"/>
        <v>Merge 1+2</v>
      </c>
      <c r="C576" s="23">
        <f>IFERROR(MATCH($A576,Merge_1_2!$A$2:$A$611,0),0)</f>
        <v>575</v>
      </c>
      <c r="D576" s="23">
        <f>IF($C576&gt;0,INDEX(Merge_1_2!$Q$2:$Q$611,$C576),0)</f>
        <v>575</v>
      </c>
      <c r="E576" s="23">
        <f>IFERROR(MATCH($A576,Dataset3_Raw!$A$2:$A$391,0),0)</f>
        <v>0</v>
      </c>
      <c r="F576" s="24">
        <f>IF($C576&gt;0,INDEX(Merge_1_2!$B$2:$B$611,$C576),DATE(VALUE(RIGHT(INDEX(Dataset3_Raw!$B$2:$B$391,$E576),4)),VALUE(MID(INDEX(Dataset3_Raw!$B$2:$B$391,$E576),4,2)),VALUE(LEFT(INDEX(Dataset3_Raw!$B$2:$B$391,$E576),2))))</f>
        <v>40569</v>
      </c>
      <c r="G576" s="23">
        <f>IF($C576&gt;0,INDEX(Merge_1_2!$C$2:$C$611,$C576),INDEX(Dataset3_Raw!$C$2:$C$391,$E576))</f>
        <v>1</v>
      </c>
      <c r="H576" s="23">
        <f>IF($C576&gt;0,INDEX(Merge_1_2!$D$2:$D$611,$C576),INDEX(Dataset3_Raw!$D$2:$D$391,$E576))</f>
        <v>0</v>
      </c>
      <c r="I576" s="23">
        <f>IF($C576&gt;0,INDEX(Merge_1_2!$E$2:$E$611,$C576),INDEX(Dataset3_Raw!$E$2:$E$391,$E576))</f>
        <v>1</v>
      </c>
      <c r="J576" s="23">
        <f>IF($C576&gt;0,INDEX(Merge_1_2!$F$2:$F$611,$C576),INDEX(Dataset3_Raw!$F$2:$F$391,$E576))</f>
        <v>5</v>
      </c>
      <c r="K576" s="23" t="b">
        <f>IF($C576&gt;0,INDEX(Merge_1_2!$G$2:$G$611,$C576),INDEX(Dataset3_Raw!$G$2:$G$391,$E576))</f>
        <v>0</v>
      </c>
      <c r="L576" s="23">
        <f>IF($C576&gt;0,INDEX(Merge_1_2!$H$2:$H$611,$C576),INDEX(Dataset3_Raw!$H$2:$H$391,$E576))</f>
        <v>3</v>
      </c>
      <c r="M576" s="23">
        <f>IF($C576&gt;0,INDEX(Merge_1_2!$I$2:$I$611,$C576),INDEX(Dataset3_Raw!$I$2:$I$391,$E576))</f>
        <v>3</v>
      </c>
      <c r="N576" s="25">
        <f>IF($C576&gt;0,INDEX(Merge_1_2!$J$2:$J$611,$C576),INDEX(Dataset3_Raw!$J$2:$J$391,$E576))</f>
        <v>0.2</v>
      </c>
      <c r="O576" s="25">
        <f>IF($C576&gt;0,IF(ISNUMBER(INDEX(Merge_1_2!$K$2:$K$611,$C576)),INDEX(Merge_1_2!$K$2:$K$611,$C576),""),INDEX(Dataset3_Raw!$K$2:$K$391,$E576))</f>
        <v>0.18179999999999999</v>
      </c>
      <c r="P576" s="25">
        <f>IF(ISNUMBER($O576),$O576,ROUND(Lookups!$B$25+Lookups!$B$24*$N576,4))</f>
        <v>0.18179999999999999</v>
      </c>
      <c r="Q576" s="25">
        <f>IF($C576&gt;0,INDEX(Merge_1_2!$L$2:$L$611,$C576),INDEX(Dataset3_Raw!$L$2:$L$391,$E576))</f>
        <v>0.86</v>
      </c>
      <c r="R576" s="25">
        <f>IF($C576&gt;0,INDEX(Merge_1_2!$M$2:$M$611,$C576),INDEX(Dataset3_Raw!$M$2:$M$391,$E576))</f>
        <v>0.28360000000000002</v>
      </c>
      <c r="S576" s="23">
        <f>IF($C576&gt;0,INDEX(Merge_1_2!$N$2:$N$611,$C576),INDEX(Dataset3_Raw!$N$2:$N$391,$E576))</f>
        <v>0</v>
      </c>
      <c r="T576" s="23">
        <f>IF($C576&gt;0,INDEX(Merge_1_2!$O$2:$O$611,$C576),INDEX(Dataset3_Raw!$O$2:$O$391,$E576))</f>
        <v>1</v>
      </c>
      <c r="U576" s="23">
        <f>IF($C576&gt;0,INDEX(Merge_1_2!$P$2:$P$611,$C576),INDEX(Dataset3_Raw!$P$2:$P$391,$E576))</f>
        <v>1</v>
      </c>
      <c r="V576" s="23" t="str">
        <f t="shared" si="49"/>
        <v>Weekday</v>
      </c>
      <c r="W576" s="23" t="str">
        <f>VLOOKUP($M576,Lookups!$A$5:$B$8,2,FALSE())</f>
        <v>Light snow / Light rain</v>
      </c>
      <c r="X576" s="23" t="str">
        <f>VLOOKUP($G576,Lookups!$D$5:$E$8,2,FALSE())</f>
        <v>Winter</v>
      </c>
      <c r="Y576" s="23" t="str">
        <f>VLOOKUP($L576,Lookups!$G$5:$H$11,2,FALSE())</f>
        <v>Wednesday</v>
      </c>
      <c r="Z576" s="23" t="str">
        <f>IF($J576&lt;Lookups!$B$26,"Night",IF($J576&lt;Lookups!$B$27,"Morning",IF($J576&lt;Lookups!$B$28,"Afternoon","Evening")))</f>
        <v>Night</v>
      </c>
      <c r="AA576" s="26">
        <f>ROUND($N576*(Lookups!$B$16-Lookups!$B$15)+Lookups!$B$15,1)</f>
        <v>1.4</v>
      </c>
      <c r="AB576" s="26">
        <f>ROUND($P576*(Lookups!$B$18-Lookups!$B$17)+Lookups!$B$17,1)</f>
        <v>-4</v>
      </c>
      <c r="AC576" s="23">
        <f t="shared" si="50"/>
        <v>86</v>
      </c>
      <c r="AD576" s="23">
        <f>ROUND($R576*Lookups!$B$19,1)</f>
        <v>19</v>
      </c>
      <c r="AE576" s="27">
        <f t="shared" si="51"/>
        <v>1</v>
      </c>
      <c r="AF576" s="23" t="str">
        <f>IF($U576&gt;=Lookups!$B$23,"High",IF($U576&gt;=Lookups!$B$22,"Medium","Low"))</f>
        <v>Low</v>
      </c>
      <c r="AG576" s="23">
        <f>ROUND(IF($V576="Weekday",IF(INDEX(Hourly_Analysis!$D$5:$D$28,$J576+1)&gt;0,($U576-INDEX(Hourly_Analysis!$C$5:$C$28,$J576+1))/INDEX(Hourly_Analysis!$D$5:$D$28,$J576+1),0),IF(INDEX(Hourly_Analysis!$G$5:$G$28,$J576+1)&gt;0,($U576-INDEX(Hourly_Analysis!$F$5:$F$28,$J576+1))/INDEX(Hourly_Analysis!$G$5:$G$28,$J576+1),0)),2)</f>
        <v>-1.7</v>
      </c>
      <c r="AH576" s="23" t="str">
        <f>IF(ABS($AG576)&gt;Lookups!$B$20,IF($AG576&gt;0,"High anomaly","Low anomaly"),"")</f>
        <v/>
      </c>
      <c r="AI576" s="23" t="str">
        <f t="shared" si="52"/>
        <v>OK</v>
      </c>
      <c r="AJ576" s="23" t="str">
        <f t="shared" si="53"/>
        <v>No</v>
      </c>
    </row>
    <row r="577" spans="1:36" x14ac:dyDescent="0.35">
      <c r="A577" s="23">
        <v>576</v>
      </c>
      <c r="B577" s="23" t="str">
        <f t="shared" si="48"/>
        <v>Merge 1+2</v>
      </c>
      <c r="C577" s="23">
        <f>IFERROR(MATCH($A577,Merge_1_2!$A$2:$A$611,0),0)</f>
        <v>576</v>
      </c>
      <c r="D577" s="23">
        <f>IF($C577&gt;0,INDEX(Merge_1_2!$Q$2:$Q$611,$C577),0)</f>
        <v>576</v>
      </c>
      <c r="E577" s="23">
        <f>IFERROR(MATCH($A577,Dataset3_Raw!$A$2:$A$391,0),0)</f>
        <v>0</v>
      </c>
      <c r="F577" s="24">
        <f>IF($C577&gt;0,INDEX(Merge_1_2!$B$2:$B$611,$C577),DATE(VALUE(RIGHT(INDEX(Dataset3_Raw!$B$2:$B$391,$E577),4)),VALUE(MID(INDEX(Dataset3_Raw!$B$2:$B$391,$E577),4,2)),VALUE(LEFT(INDEX(Dataset3_Raw!$B$2:$B$391,$E577),2))))</f>
        <v>40569</v>
      </c>
      <c r="G577" s="23">
        <f>IF($C577&gt;0,INDEX(Merge_1_2!$C$2:$C$611,$C577),INDEX(Dataset3_Raw!$C$2:$C$391,$E577))</f>
        <v>1</v>
      </c>
      <c r="H577" s="23">
        <f>IF($C577&gt;0,INDEX(Merge_1_2!$D$2:$D$611,$C577),INDEX(Dataset3_Raw!$D$2:$D$391,$E577))</f>
        <v>0</v>
      </c>
      <c r="I577" s="23">
        <f>IF($C577&gt;0,INDEX(Merge_1_2!$E$2:$E$611,$C577),INDEX(Dataset3_Raw!$E$2:$E$391,$E577))</f>
        <v>1</v>
      </c>
      <c r="J577" s="23">
        <f>IF($C577&gt;0,INDEX(Merge_1_2!$F$2:$F$611,$C577),INDEX(Dataset3_Raw!$F$2:$F$391,$E577))</f>
        <v>6</v>
      </c>
      <c r="K577" s="23" t="b">
        <f>IF($C577&gt;0,INDEX(Merge_1_2!$G$2:$G$611,$C577),INDEX(Dataset3_Raw!$G$2:$G$391,$E577))</f>
        <v>0</v>
      </c>
      <c r="L577" s="23">
        <f>IF($C577&gt;0,INDEX(Merge_1_2!$H$2:$H$611,$C577),INDEX(Dataset3_Raw!$H$2:$H$391,$E577))</f>
        <v>3</v>
      </c>
      <c r="M577" s="23">
        <f>IF($C577&gt;0,INDEX(Merge_1_2!$I$2:$I$611,$C577),INDEX(Dataset3_Raw!$I$2:$I$391,$E577))</f>
        <v>3</v>
      </c>
      <c r="N577" s="25">
        <f>IF($C577&gt;0,INDEX(Merge_1_2!$J$2:$J$611,$C577),INDEX(Dataset3_Raw!$J$2:$J$391,$E577))</f>
        <v>0.2</v>
      </c>
      <c r="O577" s="25">
        <f>IF($C577&gt;0,IF(ISNUMBER(INDEX(Merge_1_2!$K$2:$K$611,$C577)),INDEX(Merge_1_2!$K$2:$K$611,$C577),""),INDEX(Dataset3_Raw!$K$2:$K$391,$E577))</f>
        <v>0.18179999999999999</v>
      </c>
      <c r="P577" s="25">
        <f>IF(ISNUMBER($O577),$O577,ROUND(Lookups!$B$25+Lookups!$B$24*$N577,4))</f>
        <v>0.18179999999999999</v>
      </c>
      <c r="Q577" s="25">
        <f>IF($C577&gt;0,INDEX(Merge_1_2!$L$2:$L$611,$C577),INDEX(Dataset3_Raw!$L$2:$L$391,$E577))</f>
        <v>0.86</v>
      </c>
      <c r="R577" s="25">
        <f>IF($C577&gt;0,INDEX(Merge_1_2!$M$2:$M$611,$C577),INDEX(Dataset3_Raw!$M$2:$M$391,$E577))</f>
        <v>0.28360000000000002</v>
      </c>
      <c r="S577" s="23">
        <f>IF($C577&gt;0,INDEX(Merge_1_2!$N$2:$N$611,$C577),INDEX(Dataset3_Raw!$N$2:$N$391,$E577))</f>
        <v>0</v>
      </c>
      <c r="T577" s="23">
        <f>IF($C577&gt;0,INDEX(Merge_1_2!$O$2:$O$611,$C577),INDEX(Dataset3_Raw!$O$2:$O$391,$E577))</f>
        <v>8</v>
      </c>
      <c r="U577" s="23">
        <f>IF($C577&gt;0,INDEX(Merge_1_2!$P$2:$P$611,$C577),INDEX(Dataset3_Raw!$P$2:$P$391,$E577))</f>
        <v>8</v>
      </c>
      <c r="V577" s="23" t="str">
        <f t="shared" si="49"/>
        <v>Weekday</v>
      </c>
      <c r="W577" s="23" t="str">
        <f>VLOOKUP($M577,Lookups!$A$5:$B$8,2,FALSE())</f>
        <v>Light snow / Light rain</v>
      </c>
      <c r="X577" s="23" t="str">
        <f>VLOOKUP($G577,Lookups!$D$5:$E$8,2,FALSE())</f>
        <v>Winter</v>
      </c>
      <c r="Y577" s="23" t="str">
        <f>VLOOKUP($L577,Lookups!$G$5:$H$11,2,FALSE())</f>
        <v>Wednesday</v>
      </c>
      <c r="Z577" s="23" t="str">
        <f>IF($J577&lt;Lookups!$B$26,"Night",IF($J577&lt;Lookups!$B$27,"Morning",IF($J577&lt;Lookups!$B$28,"Afternoon","Evening")))</f>
        <v>Morning</v>
      </c>
      <c r="AA577" s="26">
        <f>ROUND($N577*(Lookups!$B$16-Lookups!$B$15)+Lookups!$B$15,1)</f>
        <v>1.4</v>
      </c>
      <c r="AB577" s="26">
        <f>ROUND($P577*(Lookups!$B$18-Lookups!$B$17)+Lookups!$B$17,1)</f>
        <v>-4</v>
      </c>
      <c r="AC577" s="23">
        <f t="shared" si="50"/>
        <v>86</v>
      </c>
      <c r="AD577" s="23">
        <f>ROUND($R577*Lookups!$B$19,1)</f>
        <v>19</v>
      </c>
      <c r="AE577" s="27">
        <f t="shared" si="51"/>
        <v>1</v>
      </c>
      <c r="AF577" s="23" t="str">
        <f>IF($U577&gt;=Lookups!$B$23,"High",IF($U577&gt;=Lookups!$B$22,"Medium","Low"))</f>
        <v>Low</v>
      </c>
      <c r="AG577" s="23">
        <f>ROUND(IF($V577="Weekday",IF(INDEX(Hourly_Analysis!$D$5:$D$28,$J577+1)&gt;0,($U577-INDEX(Hourly_Analysis!$C$5:$C$28,$J577+1))/INDEX(Hourly_Analysis!$D$5:$D$28,$J577+1),0),IF(INDEX(Hourly_Analysis!$G$5:$G$28,$J577+1)&gt;0,($U577-INDEX(Hourly_Analysis!$F$5:$F$28,$J577+1))/INDEX(Hourly_Analysis!$G$5:$G$28,$J577+1),0)),2)</f>
        <v>-2.33</v>
      </c>
      <c r="AH577" s="23" t="str">
        <f>IF(ABS($AG577)&gt;Lookups!$B$20,IF($AG577&gt;0,"High anomaly","Low anomaly"),"")</f>
        <v/>
      </c>
      <c r="AI577" s="23" t="str">
        <f t="shared" si="52"/>
        <v>OK</v>
      </c>
      <c r="AJ577" s="23" t="str">
        <f t="shared" si="53"/>
        <v>No</v>
      </c>
    </row>
    <row r="578" spans="1:36" x14ac:dyDescent="0.35">
      <c r="A578" s="23">
        <v>577</v>
      </c>
      <c r="B578" s="23" t="str">
        <f t="shared" ref="B578:B641" si="54">IF($C578&gt;0,"Merge 1+2","Dataset 3")</f>
        <v>Merge 1+2</v>
      </c>
      <c r="C578" s="23">
        <f>IFERROR(MATCH($A578,Merge_1_2!$A$2:$A$611,0),0)</f>
        <v>577</v>
      </c>
      <c r="D578" s="23">
        <f>IF($C578&gt;0,INDEX(Merge_1_2!$Q$2:$Q$611,$C578),0)</f>
        <v>577</v>
      </c>
      <c r="E578" s="23">
        <f>IFERROR(MATCH($A578,Dataset3_Raw!$A$2:$A$391,0),0)</f>
        <v>0</v>
      </c>
      <c r="F578" s="24">
        <f>IF($C578&gt;0,INDEX(Merge_1_2!$B$2:$B$611,$C578),DATE(VALUE(RIGHT(INDEX(Dataset3_Raw!$B$2:$B$391,$E578),4)),VALUE(MID(INDEX(Dataset3_Raw!$B$2:$B$391,$E578),4,2)),VALUE(LEFT(INDEX(Dataset3_Raw!$B$2:$B$391,$E578),2))))</f>
        <v>40569</v>
      </c>
      <c r="G578" s="23">
        <f>IF($C578&gt;0,INDEX(Merge_1_2!$C$2:$C$611,$C578),INDEX(Dataset3_Raw!$C$2:$C$391,$E578))</f>
        <v>1</v>
      </c>
      <c r="H578" s="23">
        <f>IF($C578&gt;0,INDEX(Merge_1_2!$D$2:$D$611,$C578),INDEX(Dataset3_Raw!$D$2:$D$391,$E578))</f>
        <v>0</v>
      </c>
      <c r="I578" s="23">
        <f>IF($C578&gt;0,INDEX(Merge_1_2!$E$2:$E$611,$C578),INDEX(Dataset3_Raw!$E$2:$E$391,$E578))</f>
        <v>1</v>
      </c>
      <c r="J578" s="23">
        <f>IF($C578&gt;0,INDEX(Merge_1_2!$F$2:$F$611,$C578),INDEX(Dataset3_Raw!$F$2:$F$391,$E578))</f>
        <v>7</v>
      </c>
      <c r="K578" s="23" t="b">
        <f>IF($C578&gt;0,INDEX(Merge_1_2!$G$2:$G$611,$C578),INDEX(Dataset3_Raw!$G$2:$G$391,$E578))</f>
        <v>0</v>
      </c>
      <c r="L578" s="23">
        <f>IF($C578&gt;0,INDEX(Merge_1_2!$H$2:$H$611,$C578),INDEX(Dataset3_Raw!$H$2:$H$391,$E578))</f>
        <v>3</v>
      </c>
      <c r="M578" s="23">
        <f>IF($C578&gt;0,INDEX(Merge_1_2!$I$2:$I$611,$C578),INDEX(Dataset3_Raw!$I$2:$I$391,$E578))</f>
        <v>3</v>
      </c>
      <c r="N578" s="25">
        <f>IF($C578&gt;0,INDEX(Merge_1_2!$J$2:$J$611,$C578),INDEX(Dataset3_Raw!$J$2:$J$391,$E578))</f>
        <v>0.22</v>
      </c>
      <c r="O578" s="25">
        <f>IF($C578&gt;0,IF(ISNUMBER(INDEX(Merge_1_2!$K$2:$K$611,$C578)),INDEX(Merge_1_2!$K$2:$K$611,$C578),""),INDEX(Dataset3_Raw!$K$2:$K$391,$E578))</f>
        <v>0.21210000000000001</v>
      </c>
      <c r="P578" s="25">
        <f>IF(ISNUMBER($O578),$O578,ROUND(Lookups!$B$25+Lookups!$B$24*$N578,4))</f>
        <v>0.21210000000000001</v>
      </c>
      <c r="Q578" s="25">
        <f>IF($C578&gt;0,INDEX(Merge_1_2!$L$2:$L$611,$C578),INDEX(Dataset3_Raw!$L$2:$L$391,$E578))</f>
        <v>0.87</v>
      </c>
      <c r="R578" s="25">
        <f>IF($C578&gt;0,INDEX(Merge_1_2!$M$2:$M$611,$C578),INDEX(Dataset3_Raw!$M$2:$M$391,$E578))</f>
        <v>0.29849999999999999</v>
      </c>
      <c r="S578" s="23">
        <f>IF($C578&gt;0,INDEX(Merge_1_2!$N$2:$N$611,$C578),INDEX(Dataset3_Raw!$N$2:$N$391,$E578))</f>
        <v>1</v>
      </c>
      <c r="T578" s="23">
        <f>IF($C578&gt;0,INDEX(Merge_1_2!$O$2:$O$611,$C578),INDEX(Dataset3_Raw!$O$2:$O$391,$E578))</f>
        <v>29</v>
      </c>
      <c r="U578" s="23">
        <f>IF($C578&gt;0,INDEX(Merge_1_2!$P$2:$P$611,$C578),INDEX(Dataset3_Raw!$P$2:$P$391,$E578))</f>
        <v>30</v>
      </c>
      <c r="V578" s="23" t="str">
        <f t="shared" ref="V578:V641" si="55">IF($K578,"Holiday",IF(OR($L578=0,$L578=6),"Weekend","Weekday"))</f>
        <v>Weekday</v>
      </c>
      <c r="W578" s="23" t="str">
        <f>VLOOKUP($M578,Lookups!$A$5:$B$8,2,FALSE())</f>
        <v>Light snow / Light rain</v>
      </c>
      <c r="X578" s="23" t="str">
        <f>VLOOKUP($G578,Lookups!$D$5:$E$8,2,FALSE())</f>
        <v>Winter</v>
      </c>
      <c r="Y578" s="23" t="str">
        <f>VLOOKUP($L578,Lookups!$G$5:$H$11,2,FALSE())</f>
        <v>Wednesday</v>
      </c>
      <c r="Z578" s="23" t="str">
        <f>IF($J578&lt;Lookups!$B$26,"Night",IF($J578&lt;Lookups!$B$27,"Morning",IF($J578&lt;Lookups!$B$28,"Afternoon","Evening")))</f>
        <v>Morning</v>
      </c>
      <c r="AA578" s="26">
        <f>ROUND($N578*(Lookups!$B$16-Lookups!$B$15)+Lookups!$B$15,1)</f>
        <v>2.2999999999999998</v>
      </c>
      <c r="AB578" s="26">
        <f>ROUND($P578*(Lookups!$B$18-Lookups!$B$17)+Lookups!$B$17,1)</f>
        <v>-2</v>
      </c>
      <c r="AC578" s="23">
        <f t="shared" ref="AC578:AC641" si="56">ROUND($Q578*100,0)</f>
        <v>87</v>
      </c>
      <c r="AD578" s="23">
        <f>ROUND($R578*Lookups!$B$19,1)</f>
        <v>20</v>
      </c>
      <c r="AE578" s="27">
        <f t="shared" ref="AE578:AE641" si="57">IF($U578&gt;0,$T578/$U578,0)</f>
        <v>0.96666666666666667</v>
      </c>
      <c r="AF578" s="23" t="str">
        <f>IF($U578&gt;=Lookups!$B$23,"High",IF($U578&gt;=Lookups!$B$22,"Medium","Low"))</f>
        <v>Medium</v>
      </c>
      <c r="AG578" s="23">
        <f>ROUND(IF($V578="Weekday",IF(INDEX(Hourly_Analysis!$D$5:$D$28,$J578+1)&gt;0,($U578-INDEX(Hourly_Analysis!$C$5:$C$28,$J578+1))/INDEX(Hourly_Analysis!$D$5:$D$28,$J578+1),0),IF(INDEX(Hourly_Analysis!$G$5:$G$28,$J578+1)&gt;0,($U578-INDEX(Hourly_Analysis!$F$5:$F$28,$J578+1))/INDEX(Hourly_Analysis!$G$5:$G$28,$J578+1),0)),2)</f>
        <v>-2.62</v>
      </c>
      <c r="AH578" s="23" t="str">
        <f>IF(ABS($AG578)&gt;Lookups!$B$20,IF($AG578&gt;0,"High anomaly","Low anomaly"),"")</f>
        <v/>
      </c>
      <c r="AI578" s="23" t="str">
        <f t="shared" ref="AI578:AI641" si="58">IF($S578+$T578=$U578,"OK","Mismatch")</f>
        <v>OK</v>
      </c>
      <c r="AJ578" s="23" t="str">
        <f t="shared" ref="AJ578:AJ641" si="59">IF(ISNUMBER($O578),"No","Yes")</f>
        <v>No</v>
      </c>
    </row>
    <row r="579" spans="1:36" x14ac:dyDescent="0.35">
      <c r="A579" s="23">
        <v>578</v>
      </c>
      <c r="B579" s="23" t="str">
        <f t="shared" si="54"/>
        <v>Merge 1+2</v>
      </c>
      <c r="C579" s="23">
        <f>IFERROR(MATCH($A579,Merge_1_2!$A$2:$A$611,0),0)</f>
        <v>578</v>
      </c>
      <c r="D579" s="23">
        <f>IF($C579&gt;0,INDEX(Merge_1_2!$Q$2:$Q$611,$C579),0)</f>
        <v>578</v>
      </c>
      <c r="E579" s="23">
        <f>IFERROR(MATCH($A579,Dataset3_Raw!$A$2:$A$391,0),0)</f>
        <v>0</v>
      </c>
      <c r="F579" s="24">
        <f>IF($C579&gt;0,INDEX(Merge_1_2!$B$2:$B$611,$C579),DATE(VALUE(RIGHT(INDEX(Dataset3_Raw!$B$2:$B$391,$E579),4)),VALUE(MID(INDEX(Dataset3_Raw!$B$2:$B$391,$E579),4,2)),VALUE(LEFT(INDEX(Dataset3_Raw!$B$2:$B$391,$E579),2))))</f>
        <v>40569</v>
      </c>
      <c r="G579" s="23">
        <f>IF($C579&gt;0,INDEX(Merge_1_2!$C$2:$C$611,$C579),INDEX(Dataset3_Raw!$C$2:$C$391,$E579))</f>
        <v>1</v>
      </c>
      <c r="H579" s="23">
        <f>IF($C579&gt;0,INDEX(Merge_1_2!$D$2:$D$611,$C579),INDEX(Dataset3_Raw!$D$2:$D$391,$E579))</f>
        <v>0</v>
      </c>
      <c r="I579" s="23">
        <f>IF($C579&gt;0,INDEX(Merge_1_2!$E$2:$E$611,$C579),INDEX(Dataset3_Raw!$E$2:$E$391,$E579))</f>
        <v>1</v>
      </c>
      <c r="J579" s="23">
        <f>IF($C579&gt;0,INDEX(Merge_1_2!$F$2:$F$611,$C579),INDEX(Dataset3_Raw!$F$2:$F$391,$E579))</f>
        <v>8</v>
      </c>
      <c r="K579" s="23" t="b">
        <f>IF($C579&gt;0,INDEX(Merge_1_2!$G$2:$G$611,$C579),INDEX(Dataset3_Raw!$G$2:$G$391,$E579))</f>
        <v>0</v>
      </c>
      <c r="L579" s="23">
        <f>IF($C579&gt;0,INDEX(Merge_1_2!$H$2:$H$611,$C579),INDEX(Dataset3_Raw!$H$2:$H$391,$E579))</f>
        <v>3</v>
      </c>
      <c r="M579" s="23">
        <f>IF($C579&gt;0,INDEX(Merge_1_2!$I$2:$I$611,$C579),INDEX(Dataset3_Raw!$I$2:$I$391,$E579))</f>
        <v>3</v>
      </c>
      <c r="N579" s="25">
        <f>IF($C579&gt;0,INDEX(Merge_1_2!$J$2:$J$611,$C579),INDEX(Dataset3_Raw!$J$2:$J$391,$E579))</f>
        <v>0.22</v>
      </c>
      <c r="O579" s="25">
        <f>IF($C579&gt;0,IF(ISNUMBER(INDEX(Merge_1_2!$K$2:$K$611,$C579)),INDEX(Merge_1_2!$K$2:$K$611,$C579),""),INDEX(Dataset3_Raw!$K$2:$K$391,$E579))</f>
        <v>0.21210000000000001</v>
      </c>
      <c r="P579" s="25">
        <f>IF(ISNUMBER($O579),$O579,ROUND(Lookups!$B$25+Lookups!$B$24*$N579,4))</f>
        <v>0.21210000000000001</v>
      </c>
      <c r="Q579" s="25">
        <f>IF($C579&gt;0,INDEX(Merge_1_2!$L$2:$L$611,$C579),INDEX(Dataset3_Raw!$L$2:$L$391,$E579))</f>
        <v>0.87</v>
      </c>
      <c r="R579" s="25">
        <f>IF($C579&gt;0,INDEX(Merge_1_2!$M$2:$M$611,$C579),INDEX(Dataset3_Raw!$M$2:$M$391,$E579))</f>
        <v>0.29849999999999999</v>
      </c>
      <c r="S579" s="23">
        <f>IF($C579&gt;0,INDEX(Merge_1_2!$N$2:$N$611,$C579),INDEX(Dataset3_Raw!$N$2:$N$391,$E579))</f>
        <v>3</v>
      </c>
      <c r="T579" s="23">
        <f>IF($C579&gt;0,INDEX(Merge_1_2!$O$2:$O$611,$C579),INDEX(Dataset3_Raw!$O$2:$O$391,$E579))</f>
        <v>69</v>
      </c>
      <c r="U579" s="23">
        <f>IF($C579&gt;0,INDEX(Merge_1_2!$P$2:$P$611,$C579),INDEX(Dataset3_Raw!$P$2:$P$391,$E579))</f>
        <v>72</v>
      </c>
      <c r="V579" s="23" t="str">
        <f t="shared" si="55"/>
        <v>Weekday</v>
      </c>
      <c r="W579" s="23" t="str">
        <f>VLOOKUP($M579,Lookups!$A$5:$B$8,2,FALSE())</f>
        <v>Light snow / Light rain</v>
      </c>
      <c r="X579" s="23" t="str">
        <f>VLOOKUP($G579,Lookups!$D$5:$E$8,2,FALSE())</f>
        <v>Winter</v>
      </c>
      <c r="Y579" s="23" t="str">
        <f>VLOOKUP($L579,Lookups!$G$5:$H$11,2,FALSE())</f>
        <v>Wednesday</v>
      </c>
      <c r="Z579" s="23" t="str">
        <f>IF($J579&lt;Lookups!$B$26,"Night",IF($J579&lt;Lookups!$B$27,"Morning",IF($J579&lt;Lookups!$B$28,"Afternoon","Evening")))</f>
        <v>Morning</v>
      </c>
      <c r="AA579" s="26">
        <f>ROUND($N579*(Lookups!$B$16-Lookups!$B$15)+Lookups!$B$15,1)</f>
        <v>2.2999999999999998</v>
      </c>
      <c r="AB579" s="26">
        <f>ROUND($P579*(Lookups!$B$18-Lookups!$B$17)+Lookups!$B$17,1)</f>
        <v>-2</v>
      </c>
      <c r="AC579" s="23">
        <f t="shared" si="56"/>
        <v>87</v>
      </c>
      <c r="AD579" s="23">
        <f>ROUND($R579*Lookups!$B$19,1)</f>
        <v>20</v>
      </c>
      <c r="AE579" s="27">
        <f t="shared" si="57"/>
        <v>0.95833333333333337</v>
      </c>
      <c r="AF579" s="23" t="str">
        <f>IF($U579&gt;=Lookups!$B$23,"High",IF($U579&gt;=Lookups!$B$22,"Medium","Low"))</f>
        <v>Medium</v>
      </c>
      <c r="AG579" s="23">
        <f>ROUND(IF($V579="Weekday",IF(INDEX(Hourly_Analysis!$D$5:$D$28,$J579+1)&gt;0,($U579-INDEX(Hourly_Analysis!$C$5:$C$28,$J579+1))/INDEX(Hourly_Analysis!$D$5:$D$28,$J579+1),0),IF(INDEX(Hourly_Analysis!$G$5:$G$28,$J579+1)&gt;0,($U579-INDEX(Hourly_Analysis!$F$5:$F$28,$J579+1))/INDEX(Hourly_Analysis!$G$5:$G$28,$J579+1),0)),2)</f>
        <v>-2.96</v>
      </c>
      <c r="AH579" s="23" t="str">
        <f>IF(ABS($AG579)&gt;Lookups!$B$20,IF($AG579&gt;0,"High anomaly","Low anomaly"),"")</f>
        <v/>
      </c>
      <c r="AI579" s="23" t="str">
        <f t="shared" si="58"/>
        <v>OK</v>
      </c>
      <c r="AJ579" s="23" t="str">
        <f t="shared" si="59"/>
        <v>No</v>
      </c>
    </row>
    <row r="580" spans="1:36" x14ac:dyDescent="0.35">
      <c r="A580" s="23">
        <v>579</v>
      </c>
      <c r="B580" s="23" t="str">
        <f t="shared" si="54"/>
        <v>Merge 1+2</v>
      </c>
      <c r="C580" s="23">
        <f>IFERROR(MATCH($A580,Merge_1_2!$A$2:$A$611,0),0)</f>
        <v>579</v>
      </c>
      <c r="D580" s="23">
        <f>IF($C580&gt;0,INDEX(Merge_1_2!$Q$2:$Q$611,$C580),0)</f>
        <v>579</v>
      </c>
      <c r="E580" s="23">
        <f>IFERROR(MATCH($A580,Dataset3_Raw!$A$2:$A$391,0),0)</f>
        <v>0</v>
      </c>
      <c r="F580" s="24">
        <f>IF($C580&gt;0,INDEX(Merge_1_2!$B$2:$B$611,$C580),DATE(VALUE(RIGHT(INDEX(Dataset3_Raw!$B$2:$B$391,$E580),4)),VALUE(MID(INDEX(Dataset3_Raw!$B$2:$B$391,$E580),4,2)),VALUE(LEFT(INDEX(Dataset3_Raw!$B$2:$B$391,$E580),2))))</f>
        <v>40569</v>
      </c>
      <c r="G580" s="23">
        <f>IF($C580&gt;0,INDEX(Merge_1_2!$C$2:$C$611,$C580),INDEX(Dataset3_Raw!$C$2:$C$391,$E580))</f>
        <v>1</v>
      </c>
      <c r="H580" s="23">
        <f>IF($C580&gt;0,INDEX(Merge_1_2!$D$2:$D$611,$C580),INDEX(Dataset3_Raw!$D$2:$D$391,$E580))</f>
        <v>0</v>
      </c>
      <c r="I580" s="23">
        <f>IF($C580&gt;0,INDEX(Merge_1_2!$E$2:$E$611,$C580),INDEX(Dataset3_Raw!$E$2:$E$391,$E580))</f>
        <v>1</v>
      </c>
      <c r="J580" s="23">
        <f>IF($C580&gt;0,INDEX(Merge_1_2!$F$2:$F$611,$C580),INDEX(Dataset3_Raw!$F$2:$F$391,$E580))</f>
        <v>9</v>
      </c>
      <c r="K580" s="23" t="b">
        <f>IF($C580&gt;0,INDEX(Merge_1_2!$G$2:$G$611,$C580),INDEX(Dataset3_Raw!$G$2:$G$391,$E580))</f>
        <v>0</v>
      </c>
      <c r="L580" s="23">
        <f>IF($C580&gt;0,INDEX(Merge_1_2!$H$2:$H$611,$C580),INDEX(Dataset3_Raw!$H$2:$H$391,$E580))</f>
        <v>3</v>
      </c>
      <c r="M580" s="23">
        <f>IF($C580&gt;0,INDEX(Merge_1_2!$I$2:$I$611,$C580),INDEX(Dataset3_Raw!$I$2:$I$391,$E580))</f>
        <v>3</v>
      </c>
      <c r="N580" s="25">
        <f>IF($C580&gt;0,INDEX(Merge_1_2!$J$2:$J$611,$C580),INDEX(Dataset3_Raw!$J$2:$J$391,$E580))</f>
        <v>0.22</v>
      </c>
      <c r="O580" s="25">
        <f>IF($C580&gt;0,IF(ISNUMBER(INDEX(Merge_1_2!$K$2:$K$611,$C580)),INDEX(Merge_1_2!$K$2:$K$611,$C580),""),INDEX(Dataset3_Raw!$K$2:$K$391,$E580))</f>
        <v>0.21210000000000001</v>
      </c>
      <c r="P580" s="25">
        <f>IF(ISNUMBER($O580),$O580,ROUND(Lookups!$B$25+Lookups!$B$24*$N580,4))</f>
        <v>0.21210000000000001</v>
      </c>
      <c r="Q580" s="25">
        <f>IF($C580&gt;0,INDEX(Merge_1_2!$L$2:$L$611,$C580),INDEX(Dataset3_Raw!$L$2:$L$391,$E580))</f>
        <v>0.87</v>
      </c>
      <c r="R580" s="25">
        <f>IF($C580&gt;0,INDEX(Merge_1_2!$M$2:$M$611,$C580),INDEX(Dataset3_Raw!$M$2:$M$391,$E580))</f>
        <v>0.29849999999999999</v>
      </c>
      <c r="S580" s="23">
        <f>IF($C580&gt;0,INDEX(Merge_1_2!$N$2:$N$611,$C580),INDEX(Dataset3_Raw!$N$2:$N$391,$E580))</f>
        <v>3</v>
      </c>
      <c r="T580" s="23">
        <f>IF($C580&gt;0,INDEX(Merge_1_2!$O$2:$O$611,$C580),INDEX(Dataset3_Raw!$O$2:$O$391,$E580))</f>
        <v>55</v>
      </c>
      <c r="U580" s="23">
        <f>IF($C580&gt;0,INDEX(Merge_1_2!$P$2:$P$611,$C580),INDEX(Dataset3_Raw!$P$2:$P$391,$E580))</f>
        <v>58</v>
      </c>
      <c r="V580" s="23" t="str">
        <f t="shared" si="55"/>
        <v>Weekday</v>
      </c>
      <c r="W580" s="23" t="str">
        <f>VLOOKUP($M580,Lookups!$A$5:$B$8,2,FALSE())</f>
        <v>Light snow / Light rain</v>
      </c>
      <c r="X580" s="23" t="str">
        <f>VLOOKUP($G580,Lookups!$D$5:$E$8,2,FALSE())</f>
        <v>Winter</v>
      </c>
      <c r="Y580" s="23" t="str">
        <f>VLOOKUP($L580,Lookups!$G$5:$H$11,2,FALSE())</f>
        <v>Wednesday</v>
      </c>
      <c r="Z580" s="23" t="str">
        <f>IF($J580&lt;Lookups!$B$26,"Night",IF($J580&lt;Lookups!$B$27,"Morning",IF($J580&lt;Lookups!$B$28,"Afternoon","Evening")))</f>
        <v>Morning</v>
      </c>
      <c r="AA580" s="26">
        <f>ROUND($N580*(Lookups!$B$16-Lookups!$B$15)+Lookups!$B$15,1)</f>
        <v>2.2999999999999998</v>
      </c>
      <c r="AB580" s="26">
        <f>ROUND($P580*(Lookups!$B$18-Lookups!$B$17)+Lookups!$B$17,1)</f>
        <v>-2</v>
      </c>
      <c r="AC580" s="23">
        <f t="shared" si="56"/>
        <v>87</v>
      </c>
      <c r="AD580" s="23">
        <f>ROUND($R580*Lookups!$B$19,1)</f>
        <v>20</v>
      </c>
      <c r="AE580" s="27">
        <f t="shared" si="57"/>
        <v>0.94827586206896552</v>
      </c>
      <c r="AF580" s="23" t="str">
        <f>IF($U580&gt;=Lookups!$B$23,"High",IF($U580&gt;=Lookups!$B$22,"Medium","Low"))</f>
        <v>Medium</v>
      </c>
      <c r="AG580" s="23">
        <f>ROUND(IF($V580="Weekday",IF(INDEX(Hourly_Analysis!$D$5:$D$28,$J580+1)&gt;0,($U580-INDEX(Hourly_Analysis!$C$5:$C$28,$J580+1))/INDEX(Hourly_Analysis!$D$5:$D$28,$J580+1),0),IF(INDEX(Hourly_Analysis!$G$5:$G$28,$J580+1)&gt;0,($U580-INDEX(Hourly_Analysis!$F$5:$F$28,$J580+1))/INDEX(Hourly_Analysis!$G$5:$G$28,$J580+1),0)),2)</f>
        <v>-2.69</v>
      </c>
      <c r="AH580" s="23" t="str">
        <f>IF(ABS($AG580)&gt;Lookups!$B$20,IF($AG580&gt;0,"High anomaly","Low anomaly"),"")</f>
        <v/>
      </c>
      <c r="AI580" s="23" t="str">
        <f t="shared" si="58"/>
        <v>OK</v>
      </c>
      <c r="AJ580" s="23" t="str">
        <f t="shared" si="59"/>
        <v>No</v>
      </c>
    </row>
    <row r="581" spans="1:36" x14ac:dyDescent="0.35">
      <c r="A581" s="23">
        <v>580</v>
      </c>
      <c r="B581" s="23" t="str">
        <f t="shared" si="54"/>
        <v>Merge 1+2</v>
      </c>
      <c r="C581" s="23">
        <f>IFERROR(MATCH($A581,Merge_1_2!$A$2:$A$611,0),0)</f>
        <v>580</v>
      </c>
      <c r="D581" s="23">
        <f>IF($C581&gt;0,INDEX(Merge_1_2!$Q$2:$Q$611,$C581),0)</f>
        <v>580</v>
      </c>
      <c r="E581" s="23">
        <f>IFERROR(MATCH($A581,Dataset3_Raw!$A$2:$A$391,0),0)</f>
        <v>0</v>
      </c>
      <c r="F581" s="24">
        <f>IF($C581&gt;0,INDEX(Merge_1_2!$B$2:$B$611,$C581),DATE(VALUE(RIGHT(INDEX(Dataset3_Raw!$B$2:$B$391,$E581),4)),VALUE(MID(INDEX(Dataset3_Raw!$B$2:$B$391,$E581),4,2)),VALUE(LEFT(INDEX(Dataset3_Raw!$B$2:$B$391,$E581),2))))</f>
        <v>40569</v>
      </c>
      <c r="G581" s="23">
        <f>IF($C581&gt;0,INDEX(Merge_1_2!$C$2:$C$611,$C581),INDEX(Dataset3_Raw!$C$2:$C$391,$E581))</f>
        <v>1</v>
      </c>
      <c r="H581" s="23">
        <f>IF($C581&gt;0,INDEX(Merge_1_2!$D$2:$D$611,$C581),INDEX(Dataset3_Raw!$D$2:$D$391,$E581))</f>
        <v>0</v>
      </c>
      <c r="I581" s="23">
        <f>IF($C581&gt;0,INDEX(Merge_1_2!$E$2:$E$611,$C581),INDEX(Dataset3_Raw!$E$2:$E$391,$E581))</f>
        <v>1</v>
      </c>
      <c r="J581" s="23">
        <f>IF($C581&gt;0,INDEX(Merge_1_2!$F$2:$F$611,$C581),INDEX(Dataset3_Raw!$F$2:$F$391,$E581))</f>
        <v>10</v>
      </c>
      <c r="K581" s="23" t="b">
        <f>IF($C581&gt;0,INDEX(Merge_1_2!$G$2:$G$611,$C581),INDEX(Dataset3_Raw!$G$2:$G$391,$E581))</f>
        <v>0</v>
      </c>
      <c r="L581" s="23">
        <f>IF($C581&gt;0,INDEX(Merge_1_2!$H$2:$H$611,$C581),INDEX(Dataset3_Raw!$H$2:$H$391,$E581))</f>
        <v>3</v>
      </c>
      <c r="M581" s="23">
        <f>IF($C581&gt;0,INDEX(Merge_1_2!$I$2:$I$611,$C581),INDEX(Dataset3_Raw!$I$2:$I$391,$E581))</f>
        <v>3</v>
      </c>
      <c r="N581" s="25">
        <f>IF($C581&gt;0,INDEX(Merge_1_2!$J$2:$J$611,$C581),INDEX(Dataset3_Raw!$J$2:$J$391,$E581))</f>
        <v>0.22</v>
      </c>
      <c r="O581" s="25">
        <f>IF($C581&gt;0,IF(ISNUMBER(INDEX(Merge_1_2!$K$2:$K$611,$C581)),INDEX(Merge_1_2!$K$2:$K$611,$C581),""),INDEX(Dataset3_Raw!$K$2:$K$391,$E581))</f>
        <v>0.21210000000000001</v>
      </c>
      <c r="P581" s="25">
        <f>IF(ISNUMBER($O581),$O581,ROUND(Lookups!$B$25+Lookups!$B$24*$N581,4))</f>
        <v>0.21210000000000001</v>
      </c>
      <c r="Q581" s="25">
        <f>IF($C581&gt;0,INDEX(Merge_1_2!$L$2:$L$611,$C581),INDEX(Dataset3_Raw!$L$2:$L$391,$E581))</f>
        <v>0.93</v>
      </c>
      <c r="R581" s="25">
        <f>IF($C581&gt;0,INDEX(Merge_1_2!$M$2:$M$611,$C581),INDEX(Dataset3_Raw!$M$2:$M$391,$E581))</f>
        <v>0.28360000000000002</v>
      </c>
      <c r="S581" s="23">
        <f>IF($C581&gt;0,INDEX(Merge_1_2!$N$2:$N$611,$C581),INDEX(Dataset3_Raw!$N$2:$N$391,$E581))</f>
        <v>2</v>
      </c>
      <c r="T581" s="23">
        <f>IF($C581&gt;0,INDEX(Merge_1_2!$O$2:$O$611,$C581),INDEX(Dataset3_Raw!$O$2:$O$391,$E581))</f>
        <v>26</v>
      </c>
      <c r="U581" s="23">
        <f>IF($C581&gt;0,INDEX(Merge_1_2!$P$2:$P$611,$C581),INDEX(Dataset3_Raw!$P$2:$P$391,$E581))</f>
        <v>28</v>
      </c>
      <c r="V581" s="23" t="str">
        <f t="shared" si="55"/>
        <v>Weekday</v>
      </c>
      <c r="W581" s="23" t="str">
        <f>VLOOKUP($M581,Lookups!$A$5:$B$8,2,FALSE())</f>
        <v>Light snow / Light rain</v>
      </c>
      <c r="X581" s="23" t="str">
        <f>VLOOKUP($G581,Lookups!$D$5:$E$8,2,FALSE())</f>
        <v>Winter</v>
      </c>
      <c r="Y581" s="23" t="str">
        <f>VLOOKUP($L581,Lookups!$G$5:$H$11,2,FALSE())</f>
        <v>Wednesday</v>
      </c>
      <c r="Z581" s="23" t="str">
        <f>IF($J581&lt;Lookups!$B$26,"Night",IF($J581&lt;Lookups!$B$27,"Morning",IF($J581&lt;Lookups!$B$28,"Afternoon","Evening")))</f>
        <v>Morning</v>
      </c>
      <c r="AA581" s="26">
        <f>ROUND($N581*(Lookups!$B$16-Lookups!$B$15)+Lookups!$B$15,1)</f>
        <v>2.2999999999999998</v>
      </c>
      <c r="AB581" s="26">
        <f>ROUND($P581*(Lookups!$B$18-Lookups!$B$17)+Lookups!$B$17,1)</f>
        <v>-2</v>
      </c>
      <c r="AC581" s="23">
        <f t="shared" si="56"/>
        <v>93</v>
      </c>
      <c r="AD581" s="23">
        <f>ROUND($R581*Lookups!$B$19,1)</f>
        <v>19</v>
      </c>
      <c r="AE581" s="27">
        <f t="shared" si="57"/>
        <v>0.9285714285714286</v>
      </c>
      <c r="AF581" s="23" t="str">
        <f>IF($U581&gt;=Lookups!$B$23,"High",IF($U581&gt;=Lookups!$B$22,"Medium","Low"))</f>
        <v>Medium</v>
      </c>
      <c r="AG581" s="23">
        <f>ROUND(IF($V581="Weekday",IF(INDEX(Hourly_Analysis!$D$5:$D$28,$J581+1)&gt;0,($U581-INDEX(Hourly_Analysis!$C$5:$C$28,$J581+1))/INDEX(Hourly_Analysis!$D$5:$D$28,$J581+1),0),IF(INDEX(Hourly_Analysis!$G$5:$G$28,$J581+1)&gt;0,($U581-INDEX(Hourly_Analysis!$F$5:$F$28,$J581+1))/INDEX(Hourly_Analysis!$G$5:$G$28,$J581+1),0)),2)</f>
        <v>-2.04</v>
      </c>
      <c r="AH581" s="23" t="str">
        <f>IF(ABS($AG581)&gt;Lookups!$B$20,IF($AG581&gt;0,"High anomaly","Low anomaly"),"")</f>
        <v/>
      </c>
      <c r="AI581" s="23" t="str">
        <f t="shared" si="58"/>
        <v>OK</v>
      </c>
      <c r="AJ581" s="23" t="str">
        <f t="shared" si="59"/>
        <v>No</v>
      </c>
    </row>
    <row r="582" spans="1:36" x14ac:dyDescent="0.35">
      <c r="A582" s="23">
        <v>581</v>
      </c>
      <c r="B582" s="23" t="str">
        <f t="shared" si="54"/>
        <v>Merge 1+2</v>
      </c>
      <c r="C582" s="23">
        <f>IFERROR(MATCH($A582,Merge_1_2!$A$2:$A$611,0),0)</f>
        <v>581</v>
      </c>
      <c r="D582" s="23">
        <f>IF($C582&gt;0,INDEX(Merge_1_2!$Q$2:$Q$611,$C582),0)</f>
        <v>581</v>
      </c>
      <c r="E582" s="23">
        <f>IFERROR(MATCH($A582,Dataset3_Raw!$A$2:$A$391,0),0)</f>
        <v>0</v>
      </c>
      <c r="F582" s="24">
        <f>IF($C582&gt;0,INDEX(Merge_1_2!$B$2:$B$611,$C582),DATE(VALUE(RIGHT(INDEX(Dataset3_Raw!$B$2:$B$391,$E582),4)),VALUE(MID(INDEX(Dataset3_Raw!$B$2:$B$391,$E582),4,2)),VALUE(LEFT(INDEX(Dataset3_Raw!$B$2:$B$391,$E582),2))))</f>
        <v>40569</v>
      </c>
      <c r="G582" s="23">
        <f>IF($C582&gt;0,INDEX(Merge_1_2!$C$2:$C$611,$C582),INDEX(Dataset3_Raw!$C$2:$C$391,$E582))</f>
        <v>1</v>
      </c>
      <c r="H582" s="23">
        <f>IF($C582&gt;0,INDEX(Merge_1_2!$D$2:$D$611,$C582),INDEX(Dataset3_Raw!$D$2:$D$391,$E582))</f>
        <v>0</v>
      </c>
      <c r="I582" s="23">
        <f>IF($C582&gt;0,INDEX(Merge_1_2!$E$2:$E$611,$C582),INDEX(Dataset3_Raw!$E$2:$E$391,$E582))</f>
        <v>1</v>
      </c>
      <c r="J582" s="23">
        <f>IF($C582&gt;0,INDEX(Merge_1_2!$F$2:$F$611,$C582),INDEX(Dataset3_Raw!$F$2:$F$391,$E582))</f>
        <v>11</v>
      </c>
      <c r="K582" s="23" t="b">
        <f>IF($C582&gt;0,INDEX(Merge_1_2!$G$2:$G$611,$C582),INDEX(Dataset3_Raw!$G$2:$G$391,$E582))</f>
        <v>0</v>
      </c>
      <c r="L582" s="23">
        <f>IF($C582&gt;0,INDEX(Merge_1_2!$H$2:$H$611,$C582),INDEX(Dataset3_Raw!$H$2:$H$391,$E582))</f>
        <v>3</v>
      </c>
      <c r="M582" s="23">
        <f>IF($C582&gt;0,INDEX(Merge_1_2!$I$2:$I$611,$C582),INDEX(Dataset3_Raw!$I$2:$I$391,$E582))</f>
        <v>3</v>
      </c>
      <c r="N582" s="25">
        <f>IF($C582&gt;0,INDEX(Merge_1_2!$J$2:$J$611,$C582),INDEX(Dataset3_Raw!$J$2:$J$391,$E582))</f>
        <v>0.22</v>
      </c>
      <c r="O582" s="25">
        <f>IF($C582&gt;0,IF(ISNUMBER(INDEX(Merge_1_2!$K$2:$K$611,$C582)),INDEX(Merge_1_2!$K$2:$K$611,$C582),""),INDEX(Dataset3_Raw!$K$2:$K$391,$E582))</f>
        <v>0.19700000000000001</v>
      </c>
      <c r="P582" s="25">
        <f>IF(ISNUMBER($O582),$O582,ROUND(Lookups!$B$25+Lookups!$B$24*$N582,4))</f>
        <v>0.19700000000000001</v>
      </c>
      <c r="Q582" s="25">
        <f>IF($C582&gt;0,INDEX(Merge_1_2!$L$2:$L$611,$C582),INDEX(Dataset3_Raw!$L$2:$L$391,$E582))</f>
        <v>0.93</v>
      </c>
      <c r="R582" s="25">
        <f>IF($C582&gt;0,INDEX(Merge_1_2!$M$2:$M$611,$C582),INDEX(Dataset3_Raw!$M$2:$M$391,$E582))</f>
        <v>0.32840000000000003</v>
      </c>
      <c r="S582" s="23">
        <f>IF($C582&gt;0,INDEX(Merge_1_2!$N$2:$N$611,$C582),INDEX(Dataset3_Raw!$N$2:$N$391,$E582))</f>
        <v>6</v>
      </c>
      <c r="T582" s="23">
        <f>IF($C582&gt;0,INDEX(Merge_1_2!$O$2:$O$611,$C582),INDEX(Dataset3_Raw!$O$2:$O$391,$E582))</f>
        <v>35</v>
      </c>
      <c r="U582" s="23">
        <f>IF($C582&gt;0,INDEX(Merge_1_2!$P$2:$P$611,$C582),INDEX(Dataset3_Raw!$P$2:$P$391,$E582))</f>
        <v>41</v>
      </c>
      <c r="V582" s="23" t="str">
        <f t="shared" si="55"/>
        <v>Weekday</v>
      </c>
      <c r="W582" s="23" t="str">
        <f>VLOOKUP($M582,Lookups!$A$5:$B$8,2,FALSE())</f>
        <v>Light snow / Light rain</v>
      </c>
      <c r="X582" s="23" t="str">
        <f>VLOOKUP($G582,Lookups!$D$5:$E$8,2,FALSE())</f>
        <v>Winter</v>
      </c>
      <c r="Y582" s="23" t="str">
        <f>VLOOKUP($L582,Lookups!$G$5:$H$11,2,FALSE())</f>
        <v>Wednesday</v>
      </c>
      <c r="Z582" s="23" t="str">
        <f>IF($J582&lt;Lookups!$B$26,"Night",IF($J582&lt;Lookups!$B$27,"Morning",IF($J582&lt;Lookups!$B$28,"Afternoon","Evening")))</f>
        <v>Morning</v>
      </c>
      <c r="AA582" s="26">
        <f>ROUND($N582*(Lookups!$B$16-Lookups!$B$15)+Lookups!$B$15,1)</f>
        <v>2.2999999999999998</v>
      </c>
      <c r="AB582" s="26">
        <f>ROUND($P582*(Lookups!$B$18-Lookups!$B$17)+Lookups!$B$17,1)</f>
        <v>-3</v>
      </c>
      <c r="AC582" s="23">
        <f t="shared" si="56"/>
        <v>93</v>
      </c>
      <c r="AD582" s="23">
        <f>ROUND($R582*Lookups!$B$19,1)</f>
        <v>22</v>
      </c>
      <c r="AE582" s="27">
        <f t="shared" si="57"/>
        <v>0.85365853658536583</v>
      </c>
      <c r="AF582" s="23" t="str">
        <f>IF($U582&gt;=Lookups!$B$23,"High",IF($U582&gt;=Lookups!$B$22,"Medium","Low"))</f>
        <v>Medium</v>
      </c>
      <c r="AG582" s="23">
        <f>ROUND(IF($V582="Weekday",IF(INDEX(Hourly_Analysis!$D$5:$D$28,$J582+1)&gt;0,($U582-INDEX(Hourly_Analysis!$C$5:$C$28,$J582+1))/INDEX(Hourly_Analysis!$D$5:$D$28,$J582+1),0),IF(INDEX(Hourly_Analysis!$G$5:$G$28,$J582+1)&gt;0,($U582-INDEX(Hourly_Analysis!$F$5:$F$28,$J582+1))/INDEX(Hourly_Analysis!$G$5:$G$28,$J582+1),0)),2)</f>
        <v>-0.82</v>
      </c>
      <c r="AH582" s="23" t="str">
        <f>IF(ABS($AG582)&gt;Lookups!$B$20,IF($AG582&gt;0,"High anomaly","Low anomaly"),"")</f>
        <v/>
      </c>
      <c r="AI582" s="23" t="str">
        <f t="shared" si="58"/>
        <v>OK</v>
      </c>
      <c r="AJ582" s="23" t="str">
        <f t="shared" si="59"/>
        <v>No</v>
      </c>
    </row>
    <row r="583" spans="1:36" x14ac:dyDescent="0.35">
      <c r="A583" s="23">
        <v>582</v>
      </c>
      <c r="B583" s="23" t="str">
        <f t="shared" si="54"/>
        <v>Merge 1+2</v>
      </c>
      <c r="C583" s="23">
        <f>IFERROR(MATCH($A583,Merge_1_2!$A$2:$A$611,0),0)</f>
        <v>582</v>
      </c>
      <c r="D583" s="23">
        <f>IF($C583&gt;0,INDEX(Merge_1_2!$Q$2:$Q$611,$C583),0)</f>
        <v>582</v>
      </c>
      <c r="E583" s="23">
        <f>IFERROR(MATCH($A583,Dataset3_Raw!$A$2:$A$391,0),0)</f>
        <v>0</v>
      </c>
      <c r="F583" s="24">
        <f>IF($C583&gt;0,INDEX(Merge_1_2!$B$2:$B$611,$C583),DATE(VALUE(RIGHT(INDEX(Dataset3_Raw!$B$2:$B$391,$E583),4)),VALUE(MID(INDEX(Dataset3_Raw!$B$2:$B$391,$E583),4,2)),VALUE(LEFT(INDEX(Dataset3_Raw!$B$2:$B$391,$E583),2))))</f>
        <v>40569</v>
      </c>
      <c r="G583" s="23">
        <f>IF($C583&gt;0,INDEX(Merge_1_2!$C$2:$C$611,$C583),INDEX(Dataset3_Raw!$C$2:$C$391,$E583))</f>
        <v>1</v>
      </c>
      <c r="H583" s="23">
        <f>IF($C583&gt;0,INDEX(Merge_1_2!$D$2:$D$611,$C583),INDEX(Dataset3_Raw!$D$2:$D$391,$E583))</f>
        <v>0</v>
      </c>
      <c r="I583" s="23">
        <f>IF($C583&gt;0,INDEX(Merge_1_2!$E$2:$E$611,$C583),INDEX(Dataset3_Raw!$E$2:$E$391,$E583))</f>
        <v>1</v>
      </c>
      <c r="J583" s="23">
        <f>IF($C583&gt;0,INDEX(Merge_1_2!$F$2:$F$611,$C583),INDEX(Dataset3_Raw!$F$2:$F$391,$E583))</f>
        <v>12</v>
      </c>
      <c r="K583" s="23" t="b">
        <f>IF($C583&gt;0,INDEX(Merge_1_2!$G$2:$G$611,$C583),INDEX(Dataset3_Raw!$G$2:$G$391,$E583))</f>
        <v>0</v>
      </c>
      <c r="L583" s="23">
        <f>IF($C583&gt;0,INDEX(Merge_1_2!$H$2:$H$611,$C583),INDEX(Dataset3_Raw!$H$2:$H$391,$E583))</f>
        <v>3</v>
      </c>
      <c r="M583" s="23">
        <f>IF($C583&gt;0,INDEX(Merge_1_2!$I$2:$I$611,$C583),INDEX(Dataset3_Raw!$I$2:$I$391,$E583))</f>
        <v>3</v>
      </c>
      <c r="N583" s="25">
        <f>IF($C583&gt;0,INDEX(Merge_1_2!$J$2:$J$611,$C583),INDEX(Dataset3_Raw!$J$2:$J$391,$E583))</f>
        <v>0.22</v>
      </c>
      <c r="O583" s="25">
        <f>IF($C583&gt;0,IF(ISNUMBER(INDEX(Merge_1_2!$K$2:$K$611,$C583)),INDEX(Merge_1_2!$K$2:$K$611,$C583),""),INDEX(Dataset3_Raw!$K$2:$K$391,$E583))</f>
        <v>0.19700000000000001</v>
      </c>
      <c r="P583" s="25">
        <f>IF(ISNUMBER($O583),$O583,ROUND(Lookups!$B$25+Lookups!$B$24*$N583,4))</f>
        <v>0.19700000000000001</v>
      </c>
      <c r="Q583" s="25">
        <f>IF($C583&gt;0,INDEX(Merge_1_2!$L$2:$L$611,$C583),INDEX(Dataset3_Raw!$L$2:$L$391,$E583))</f>
        <v>0.93</v>
      </c>
      <c r="R583" s="25">
        <f>IF($C583&gt;0,INDEX(Merge_1_2!$M$2:$M$611,$C583),INDEX(Dataset3_Raw!$M$2:$M$391,$E583))</f>
        <v>0.32840000000000003</v>
      </c>
      <c r="S583" s="23">
        <f>IF($C583&gt;0,INDEX(Merge_1_2!$N$2:$N$611,$C583),INDEX(Dataset3_Raw!$N$2:$N$391,$E583))</f>
        <v>7</v>
      </c>
      <c r="T583" s="23">
        <f>IF($C583&gt;0,INDEX(Merge_1_2!$O$2:$O$611,$C583),INDEX(Dataset3_Raw!$O$2:$O$391,$E583))</f>
        <v>41</v>
      </c>
      <c r="U583" s="23">
        <f>IF($C583&gt;0,INDEX(Merge_1_2!$P$2:$P$611,$C583),INDEX(Dataset3_Raw!$P$2:$P$391,$E583))</f>
        <v>48</v>
      </c>
      <c r="V583" s="23" t="str">
        <f t="shared" si="55"/>
        <v>Weekday</v>
      </c>
      <c r="W583" s="23" t="str">
        <f>VLOOKUP($M583,Lookups!$A$5:$B$8,2,FALSE())</f>
        <v>Light snow / Light rain</v>
      </c>
      <c r="X583" s="23" t="str">
        <f>VLOOKUP($G583,Lookups!$D$5:$E$8,2,FALSE())</f>
        <v>Winter</v>
      </c>
      <c r="Y583" s="23" t="str">
        <f>VLOOKUP($L583,Lookups!$G$5:$H$11,2,FALSE())</f>
        <v>Wednesday</v>
      </c>
      <c r="Z583" s="23" t="str">
        <f>IF($J583&lt;Lookups!$B$26,"Night",IF($J583&lt;Lookups!$B$27,"Morning",IF($J583&lt;Lookups!$B$28,"Afternoon","Evening")))</f>
        <v>Afternoon</v>
      </c>
      <c r="AA583" s="26">
        <f>ROUND($N583*(Lookups!$B$16-Lookups!$B$15)+Lookups!$B$15,1)</f>
        <v>2.2999999999999998</v>
      </c>
      <c r="AB583" s="26">
        <f>ROUND($P583*(Lookups!$B$18-Lookups!$B$17)+Lookups!$B$17,1)</f>
        <v>-3</v>
      </c>
      <c r="AC583" s="23">
        <f t="shared" si="56"/>
        <v>93</v>
      </c>
      <c r="AD583" s="23">
        <f>ROUND($R583*Lookups!$B$19,1)</f>
        <v>22</v>
      </c>
      <c r="AE583" s="27">
        <f t="shared" si="57"/>
        <v>0.85416666666666663</v>
      </c>
      <c r="AF583" s="23" t="str">
        <f>IF($U583&gt;=Lookups!$B$23,"High",IF($U583&gt;=Lookups!$B$22,"Medium","Low"))</f>
        <v>Medium</v>
      </c>
      <c r="AG583" s="23">
        <f>ROUND(IF($V583="Weekday",IF(INDEX(Hourly_Analysis!$D$5:$D$28,$J583+1)&gt;0,($U583-INDEX(Hourly_Analysis!$C$5:$C$28,$J583+1))/INDEX(Hourly_Analysis!$D$5:$D$28,$J583+1),0),IF(INDEX(Hourly_Analysis!$G$5:$G$28,$J583+1)&gt;0,($U583-INDEX(Hourly_Analysis!$F$5:$F$28,$J583+1))/INDEX(Hourly_Analysis!$G$5:$G$28,$J583+1),0)),2)</f>
        <v>-0.85</v>
      </c>
      <c r="AH583" s="23" t="str">
        <f>IF(ABS($AG583)&gt;Lookups!$B$20,IF($AG583&gt;0,"High anomaly","Low anomaly"),"")</f>
        <v/>
      </c>
      <c r="AI583" s="23" t="str">
        <f t="shared" si="58"/>
        <v>OK</v>
      </c>
      <c r="AJ583" s="23" t="str">
        <f t="shared" si="59"/>
        <v>No</v>
      </c>
    </row>
    <row r="584" spans="1:36" x14ac:dyDescent="0.35">
      <c r="A584" s="23">
        <v>583</v>
      </c>
      <c r="B584" s="23" t="str">
        <f t="shared" si="54"/>
        <v>Merge 1+2</v>
      </c>
      <c r="C584" s="23">
        <f>IFERROR(MATCH($A584,Merge_1_2!$A$2:$A$611,0),0)</f>
        <v>583</v>
      </c>
      <c r="D584" s="23">
        <f>IF($C584&gt;0,INDEX(Merge_1_2!$Q$2:$Q$611,$C584),0)</f>
        <v>583</v>
      </c>
      <c r="E584" s="23">
        <f>IFERROR(MATCH($A584,Dataset3_Raw!$A$2:$A$391,0),0)</f>
        <v>0</v>
      </c>
      <c r="F584" s="24">
        <f>IF($C584&gt;0,INDEX(Merge_1_2!$B$2:$B$611,$C584),DATE(VALUE(RIGHT(INDEX(Dataset3_Raw!$B$2:$B$391,$E584),4)),VALUE(MID(INDEX(Dataset3_Raw!$B$2:$B$391,$E584),4,2)),VALUE(LEFT(INDEX(Dataset3_Raw!$B$2:$B$391,$E584),2))))</f>
        <v>40569</v>
      </c>
      <c r="G584" s="23">
        <f>IF($C584&gt;0,INDEX(Merge_1_2!$C$2:$C$611,$C584),INDEX(Dataset3_Raw!$C$2:$C$391,$E584))</f>
        <v>1</v>
      </c>
      <c r="H584" s="23">
        <f>IF($C584&gt;0,INDEX(Merge_1_2!$D$2:$D$611,$C584),INDEX(Dataset3_Raw!$D$2:$D$391,$E584))</f>
        <v>0</v>
      </c>
      <c r="I584" s="23">
        <f>IF($C584&gt;0,INDEX(Merge_1_2!$E$2:$E$611,$C584),INDEX(Dataset3_Raw!$E$2:$E$391,$E584))</f>
        <v>1</v>
      </c>
      <c r="J584" s="23">
        <f>IF($C584&gt;0,INDEX(Merge_1_2!$F$2:$F$611,$C584),INDEX(Dataset3_Raw!$F$2:$F$391,$E584))</f>
        <v>13</v>
      </c>
      <c r="K584" s="23" t="b">
        <f>IF($C584&gt;0,INDEX(Merge_1_2!$G$2:$G$611,$C584),INDEX(Dataset3_Raw!$G$2:$G$391,$E584))</f>
        <v>0</v>
      </c>
      <c r="L584" s="23">
        <f>IF($C584&gt;0,INDEX(Merge_1_2!$H$2:$H$611,$C584),INDEX(Dataset3_Raw!$H$2:$H$391,$E584))</f>
        <v>3</v>
      </c>
      <c r="M584" s="23">
        <f>IF($C584&gt;0,INDEX(Merge_1_2!$I$2:$I$611,$C584),INDEX(Dataset3_Raw!$I$2:$I$391,$E584))</f>
        <v>3</v>
      </c>
      <c r="N584" s="25">
        <f>IF($C584&gt;0,INDEX(Merge_1_2!$J$2:$J$611,$C584),INDEX(Dataset3_Raw!$J$2:$J$391,$E584))</f>
        <v>0.22</v>
      </c>
      <c r="O584" s="25">
        <f>IF($C584&gt;0,IF(ISNUMBER(INDEX(Merge_1_2!$K$2:$K$611,$C584)),INDEX(Merge_1_2!$K$2:$K$611,$C584),""),INDEX(Dataset3_Raw!$K$2:$K$391,$E584))</f>
        <v>0.19700000000000001</v>
      </c>
      <c r="P584" s="25">
        <f>IF(ISNUMBER($O584),$O584,ROUND(Lookups!$B$25+Lookups!$B$24*$N584,4))</f>
        <v>0.19700000000000001</v>
      </c>
      <c r="Q584" s="25">
        <f>IF($C584&gt;0,INDEX(Merge_1_2!$L$2:$L$611,$C584),INDEX(Dataset3_Raw!$L$2:$L$391,$E584))</f>
        <v>0.93</v>
      </c>
      <c r="R584" s="25">
        <f>IF($C584&gt;0,INDEX(Merge_1_2!$M$2:$M$611,$C584),INDEX(Dataset3_Raw!$M$2:$M$391,$E584))</f>
        <v>0.32840000000000003</v>
      </c>
      <c r="S584" s="23">
        <f>IF($C584&gt;0,INDEX(Merge_1_2!$N$2:$N$611,$C584),INDEX(Dataset3_Raw!$N$2:$N$391,$E584))</f>
        <v>4</v>
      </c>
      <c r="T584" s="23">
        <f>IF($C584&gt;0,INDEX(Merge_1_2!$O$2:$O$611,$C584),INDEX(Dataset3_Raw!$O$2:$O$391,$E584))</f>
        <v>43</v>
      </c>
      <c r="U584" s="23">
        <f>IF($C584&gt;0,INDEX(Merge_1_2!$P$2:$P$611,$C584),INDEX(Dataset3_Raw!$P$2:$P$391,$E584))</f>
        <v>47</v>
      </c>
      <c r="V584" s="23" t="str">
        <f t="shared" si="55"/>
        <v>Weekday</v>
      </c>
      <c r="W584" s="23" t="str">
        <f>VLOOKUP($M584,Lookups!$A$5:$B$8,2,FALSE())</f>
        <v>Light snow / Light rain</v>
      </c>
      <c r="X584" s="23" t="str">
        <f>VLOOKUP($G584,Lookups!$D$5:$E$8,2,FALSE())</f>
        <v>Winter</v>
      </c>
      <c r="Y584" s="23" t="str">
        <f>VLOOKUP($L584,Lookups!$G$5:$H$11,2,FALSE())</f>
        <v>Wednesday</v>
      </c>
      <c r="Z584" s="23" t="str">
        <f>IF($J584&lt;Lookups!$B$26,"Night",IF($J584&lt;Lookups!$B$27,"Morning",IF($J584&lt;Lookups!$B$28,"Afternoon","Evening")))</f>
        <v>Afternoon</v>
      </c>
      <c r="AA584" s="26">
        <f>ROUND($N584*(Lookups!$B$16-Lookups!$B$15)+Lookups!$B$15,1)</f>
        <v>2.2999999999999998</v>
      </c>
      <c r="AB584" s="26">
        <f>ROUND($P584*(Lookups!$B$18-Lookups!$B$17)+Lookups!$B$17,1)</f>
        <v>-3</v>
      </c>
      <c r="AC584" s="23">
        <f t="shared" si="56"/>
        <v>93</v>
      </c>
      <c r="AD584" s="23">
        <f>ROUND($R584*Lookups!$B$19,1)</f>
        <v>22</v>
      </c>
      <c r="AE584" s="27">
        <f t="shared" si="57"/>
        <v>0.91489361702127658</v>
      </c>
      <c r="AF584" s="23" t="str">
        <f>IF($U584&gt;=Lookups!$B$23,"High",IF($U584&gt;=Lookups!$B$22,"Medium","Low"))</f>
        <v>Medium</v>
      </c>
      <c r="AG584" s="23">
        <f>ROUND(IF($V584="Weekday",IF(INDEX(Hourly_Analysis!$D$5:$D$28,$J584+1)&gt;0,($U584-INDEX(Hourly_Analysis!$C$5:$C$28,$J584+1))/INDEX(Hourly_Analysis!$D$5:$D$28,$J584+1),0),IF(INDEX(Hourly_Analysis!$G$5:$G$28,$J584+1)&gt;0,($U584-INDEX(Hourly_Analysis!$F$5:$F$28,$J584+1))/INDEX(Hourly_Analysis!$G$5:$G$28,$J584+1),0)),2)</f>
        <v>-0.97</v>
      </c>
      <c r="AH584" s="23" t="str">
        <f>IF(ABS($AG584)&gt;Lookups!$B$20,IF($AG584&gt;0,"High anomaly","Low anomaly"),"")</f>
        <v/>
      </c>
      <c r="AI584" s="23" t="str">
        <f t="shared" si="58"/>
        <v>OK</v>
      </c>
      <c r="AJ584" s="23" t="str">
        <f t="shared" si="59"/>
        <v>No</v>
      </c>
    </row>
    <row r="585" spans="1:36" x14ac:dyDescent="0.35">
      <c r="A585" s="23">
        <v>584</v>
      </c>
      <c r="B585" s="23" t="str">
        <f t="shared" si="54"/>
        <v>Merge 1+2</v>
      </c>
      <c r="C585" s="23">
        <f>IFERROR(MATCH($A585,Merge_1_2!$A$2:$A$611,0),0)</f>
        <v>584</v>
      </c>
      <c r="D585" s="23">
        <f>IF($C585&gt;0,INDEX(Merge_1_2!$Q$2:$Q$611,$C585),0)</f>
        <v>584</v>
      </c>
      <c r="E585" s="23">
        <f>IFERROR(MATCH($A585,Dataset3_Raw!$A$2:$A$391,0),0)</f>
        <v>0</v>
      </c>
      <c r="F585" s="24">
        <f>IF($C585&gt;0,INDEX(Merge_1_2!$B$2:$B$611,$C585),DATE(VALUE(RIGHT(INDEX(Dataset3_Raw!$B$2:$B$391,$E585),4)),VALUE(MID(INDEX(Dataset3_Raw!$B$2:$B$391,$E585),4,2)),VALUE(LEFT(INDEX(Dataset3_Raw!$B$2:$B$391,$E585),2))))</f>
        <v>40569</v>
      </c>
      <c r="G585" s="23">
        <f>IF($C585&gt;0,INDEX(Merge_1_2!$C$2:$C$611,$C585),INDEX(Dataset3_Raw!$C$2:$C$391,$E585))</f>
        <v>1</v>
      </c>
      <c r="H585" s="23">
        <f>IF($C585&gt;0,INDEX(Merge_1_2!$D$2:$D$611,$C585),INDEX(Dataset3_Raw!$D$2:$D$391,$E585))</f>
        <v>0</v>
      </c>
      <c r="I585" s="23">
        <f>IF($C585&gt;0,INDEX(Merge_1_2!$E$2:$E$611,$C585),INDEX(Dataset3_Raw!$E$2:$E$391,$E585))</f>
        <v>1</v>
      </c>
      <c r="J585" s="23">
        <f>IF($C585&gt;0,INDEX(Merge_1_2!$F$2:$F$611,$C585),INDEX(Dataset3_Raw!$F$2:$F$391,$E585))</f>
        <v>14</v>
      </c>
      <c r="K585" s="23" t="b">
        <f>IF($C585&gt;0,INDEX(Merge_1_2!$G$2:$G$611,$C585),INDEX(Dataset3_Raw!$G$2:$G$391,$E585))</f>
        <v>0</v>
      </c>
      <c r="L585" s="23">
        <f>IF($C585&gt;0,INDEX(Merge_1_2!$H$2:$H$611,$C585),INDEX(Dataset3_Raw!$H$2:$H$391,$E585))</f>
        <v>3</v>
      </c>
      <c r="M585" s="23">
        <f>IF($C585&gt;0,INDEX(Merge_1_2!$I$2:$I$611,$C585),INDEX(Dataset3_Raw!$I$2:$I$391,$E585))</f>
        <v>3</v>
      </c>
      <c r="N585" s="25">
        <f>IF($C585&gt;0,INDEX(Merge_1_2!$J$2:$J$611,$C585),INDEX(Dataset3_Raw!$J$2:$J$391,$E585))</f>
        <v>0.22</v>
      </c>
      <c r="O585" s="25">
        <f>IF($C585&gt;0,IF(ISNUMBER(INDEX(Merge_1_2!$K$2:$K$611,$C585)),INDEX(Merge_1_2!$K$2:$K$611,$C585),""),INDEX(Dataset3_Raw!$K$2:$K$391,$E585))</f>
        <v>0.19700000000000001</v>
      </c>
      <c r="P585" s="25">
        <f>IF(ISNUMBER($O585),$O585,ROUND(Lookups!$B$25+Lookups!$B$24*$N585,4))</f>
        <v>0.19700000000000001</v>
      </c>
      <c r="Q585" s="25">
        <f>IF($C585&gt;0,INDEX(Merge_1_2!$L$2:$L$611,$C585),INDEX(Dataset3_Raw!$L$2:$L$391,$E585))</f>
        <v>0.93</v>
      </c>
      <c r="R585" s="25">
        <f>IF($C585&gt;0,INDEX(Merge_1_2!$M$2:$M$611,$C585),INDEX(Dataset3_Raw!$M$2:$M$391,$E585))</f>
        <v>0.35820000000000002</v>
      </c>
      <c r="S585" s="23">
        <f>IF($C585&gt;0,INDEX(Merge_1_2!$N$2:$N$611,$C585),INDEX(Dataset3_Raw!$N$2:$N$391,$E585))</f>
        <v>0</v>
      </c>
      <c r="T585" s="23">
        <f>IF($C585&gt;0,INDEX(Merge_1_2!$O$2:$O$611,$C585),INDEX(Dataset3_Raw!$O$2:$O$391,$E585))</f>
        <v>36</v>
      </c>
      <c r="U585" s="23">
        <f>IF($C585&gt;0,INDEX(Merge_1_2!$P$2:$P$611,$C585),INDEX(Dataset3_Raw!$P$2:$P$391,$E585))</f>
        <v>36</v>
      </c>
      <c r="V585" s="23" t="str">
        <f t="shared" si="55"/>
        <v>Weekday</v>
      </c>
      <c r="W585" s="23" t="str">
        <f>VLOOKUP($M585,Lookups!$A$5:$B$8,2,FALSE())</f>
        <v>Light snow / Light rain</v>
      </c>
      <c r="X585" s="23" t="str">
        <f>VLOOKUP($G585,Lookups!$D$5:$E$8,2,FALSE())</f>
        <v>Winter</v>
      </c>
      <c r="Y585" s="23" t="str">
        <f>VLOOKUP($L585,Lookups!$G$5:$H$11,2,FALSE())</f>
        <v>Wednesday</v>
      </c>
      <c r="Z585" s="23" t="str">
        <f>IF($J585&lt;Lookups!$B$26,"Night",IF($J585&lt;Lookups!$B$27,"Morning",IF($J585&lt;Lookups!$B$28,"Afternoon","Evening")))</f>
        <v>Afternoon</v>
      </c>
      <c r="AA585" s="26">
        <f>ROUND($N585*(Lookups!$B$16-Lookups!$B$15)+Lookups!$B$15,1)</f>
        <v>2.2999999999999998</v>
      </c>
      <c r="AB585" s="26">
        <f>ROUND($P585*(Lookups!$B$18-Lookups!$B$17)+Lookups!$B$17,1)</f>
        <v>-3</v>
      </c>
      <c r="AC585" s="23">
        <f t="shared" si="56"/>
        <v>93</v>
      </c>
      <c r="AD585" s="23">
        <f>ROUND($R585*Lookups!$B$19,1)</f>
        <v>24</v>
      </c>
      <c r="AE585" s="27">
        <f t="shared" si="57"/>
        <v>1</v>
      </c>
      <c r="AF585" s="23" t="str">
        <f>IF($U585&gt;=Lookups!$B$23,"High",IF($U585&gt;=Lookups!$B$22,"Medium","Low"))</f>
        <v>Medium</v>
      </c>
      <c r="AG585" s="23">
        <f>ROUND(IF($V585="Weekday",IF(INDEX(Hourly_Analysis!$D$5:$D$28,$J585+1)&gt;0,($U585-INDEX(Hourly_Analysis!$C$5:$C$28,$J585+1))/INDEX(Hourly_Analysis!$D$5:$D$28,$J585+1),0),IF(INDEX(Hourly_Analysis!$G$5:$G$28,$J585+1)&gt;0,($U585-INDEX(Hourly_Analysis!$F$5:$F$28,$J585+1))/INDEX(Hourly_Analysis!$G$5:$G$28,$J585+1),0)),2)</f>
        <v>-1.48</v>
      </c>
      <c r="AH585" s="23" t="str">
        <f>IF(ABS($AG585)&gt;Lookups!$B$20,IF($AG585&gt;0,"High anomaly","Low anomaly"),"")</f>
        <v/>
      </c>
      <c r="AI585" s="23" t="str">
        <f t="shared" si="58"/>
        <v>OK</v>
      </c>
      <c r="AJ585" s="23" t="str">
        <f t="shared" si="59"/>
        <v>No</v>
      </c>
    </row>
    <row r="586" spans="1:36" x14ac:dyDescent="0.35">
      <c r="A586" s="23">
        <v>585</v>
      </c>
      <c r="B586" s="23" t="str">
        <f t="shared" si="54"/>
        <v>Merge 1+2</v>
      </c>
      <c r="C586" s="23">
        <f>IFERROR(MATCH($A586,Merge_1_2!$A$2:$A$611,0),0)</f>
        <v>585</v>
      </c>
      <c r="D586" s="23">
        <f>IF($C586&gt;0,INDEX(Merge_1_2!$Q$2:$Q$611,$C586),0)</f>
        <v>585</v>
      </c>
      <c r="E586" s="23">
        <f>IFERROR(MATCH($A586,Dataset3_Raw!$A$2:$A$391,0),0)</f>
        <v>0</v>
      </c>
      <c r="F586" s="24">
        <f>IF($C586&gt;0,INDEX(Merge_1_2!$B$2:$B$611,$C586),DATE(VALUE(RIGHT(INDEX(Dataset3_Raw!$B$2:$B$391,$E586),4)),VALUE(MID(INDEX(Dataset3_Raw!$B$2:$B$391,$E586),4,2)),VALUE(LEFT(INDEX(Dataset3_Raw!$B$2:$B$391,$E586),2))))</f>
        <v>40569</v>
      </c>
      <c r="G586" s="23">
        <f>IF($C586&gt;0,INDEX(Merge_1_2!$C$2:$C$611,$C586),INDEX(Dataset3_Raw!$C$2:$C$391,$E586))</f>
        <v>1</v>
      </c>
      <c r="H586" s="23">
        <f>IF($C586&gt;0,INDEX(Merge_1_2!$D$2:$D$611,$C586),INDEX(Dataset3_Raw!$D$2:$D$391,$E586))</f>
        <v>0</v>
      </c>
      <c r="I586" s="23">
        <f>IF($C586&gt;0,INDEX(Merge_1_2!$E$2:$E$611,$C586),INDEX(Dataset3_Raw!$E$2:$E$391,$E586))</f>
        <v>1</v>
      </c>
      <c r="J586" s="23">
        <f>IF($C586&gt;0,INDEX(Merge_1_2!$F$2:$F$611,$C586),INDEX(Dataset3_Raw!$F$2:$F$391,$E586))</f>
        <v>15</v>
      </c>
      <c r="K586" s="23" t="b">
        <f>IF($C586&gt;0,INDEX(Merge_1_2!$G$2:$G$611,$C586),INDEX(Dataset3_Raw!$G$2:$G$391,$E586))</f>
        <v>0</v>
      </c>
      <c r="L586" s="23">
        <f>IF($C586&gt;0,INDEX(Merge_1_2!$H$2:$H$611,$C586),INDEX(Dataset3_Raw!$H$2:$H$391,$E586))</f>
        <v>3</v>
      </c>
      <c r="M586" s="23">
        <f>IF($C586&gt;0,INDEX(Merge_1_2!$I$2:$I$611,$C586),INDEX(Dataset3_Raw!$I$2:$I$391,$E586))</f>
        <v>3</v>
      </c>
      <c r="N586" s="25">
        <f>IF($C586&gt;0,INDEX(Merge_1_2!$J$2:$J$611,$C586),INDEX(Dataset3_Raw!$J$2:$J$391,$E586))</f>
        <v>0.22</v>
      </c>
      <c r="O586" s="25">
        <f>IF($C586&gt;0,IF(ISNUMBER(INDEX(Merge_1_2!$K$2:$K$611,$C586)),INDEX(Merge_1_2!$K$2:$K$611,$C586),""),INDEX(Dataset3_Raw!$K$2:$K$391,$E586))</f>
        <v>0.18179999999999999</v>
      </c>
      <c r="P586" s="25">
        <f>IF(ISNUMBER($O586),$O586,ROUND(Lookups!$B$25+Lookups!$B$24*$N586,4))</f>
        <v>0.18179999999999999</v>
      </c>
      <c r="Q586" s="25">
        <f>IF($C586&gt;0,INDEX(Merge_1_2!$L$2:$L$611,$C586),INDEX(Dataset3_Raw!$L$2:$L$391,$E586))</f>
        <v>0.93</v>
      </c>
      <c r="R586" s="25">
        <f>IF($C586&gt;0,INDEX(Merge_1_2!$M$2:$M$611,$C586),INDEX(Dataset3_Raw!$M$2:$M$391,$E586))</f>
        <v>0.4627</v>
      </c>
      <c r="S586" s="23">
        <f>IF($C586&gt;0,INDEX(Merge_1_2!$N$2:$N$611,$C586),INDEX(Dataset3_Raw!$N$2:$N$391,$E586))</f>
        <v>1</v>
      </c>
      <c r="T586" s="23">
        <f>IF($C586&gt;0,INDEX(Merge_1_2!$O$2:$O$611,$C586),INDEX(Dataset3_Raw!$O$2:$O$391,$E586))</f>
        <v>42</v>
      </c>
      <c r="U586" s="23">
        <f>IF($C586&gt;0,INDEX(Merge_1_2!$P$2:$P$611,$C586),INDEX(Dataset3_Raw!$P$2:$P$391,$E586))</f>
        <v>43</v>
      </c>
      <c r="V586" s="23" t="str">
        <f t="shared" si="55"/>
        <v>Weekday</v>
      </c>
      <c r="W586" s="23" t="str">
        <f>VLOOKUP($M586,Lookups!$A$5:$B$8,2,FALSE())</f>
        <v>Light snow / Light rain</v>
      </c>
      <c r="X586" s="23" t="str">
        <f>VLOOKUP($G586,Lookups!$D$5:$E$8,2,FALSE())</f>
        <v>Winter</v>
      </c>
      <c r="Y586" s="23" t="str">
        <f>VLOOKUP($L586,Lookups!$G$5:$H$11,2,FALSE())</f>
        <v>Wednesday</v>
      </c>
      <c r="Z586" s="23" t="str">
        <f>IF($J586&lt;Lookups!$B$26,"Night",IF($J586&lt;Lookups!$B$27,"Morning",IF($J586&lt;Lookups!$B$28,"Afternoon","Evening")))</f>
        <v>Afternoon</v>
      </c>
      <c r="AA586" s="26">
        <f>ROUND($N586*(Lookups!$B$16-Lookups!$B$15)+Lookups!$B$15,1)</f>
        <v>2.2999999999999998</v>
      </c>
      <c r="AB586" s="26">
        <f>ROUND($P586*(Lookups!$B$18-Lookups!$B$17)+Lookups!$B$17,1)</f>
        <v>-4</v>
      </c>
      <c r="AC586" s="23">
        <f t="shared" si="56"/>
        <v>93</v>
      </c>
      <c r="AD586" s="23">
        <f>ROUND($R586*Lookups!$B$19,1)</f>
        <v>31</v>
      </c>
      <c r="AE586" s="27">
        <f t="shared" si="57"/>
        <v>0.97674418604651159</v>
      </c>
      <c r="AF586" s="23" t="str">
        <f>IF($U586&gt;=Lookups!$B$23,"High",IF($U586&gt;=Lookups!$B$22,"Medium","Low"))</f>
        <v>Medium</v>
      </c>
      <c r="AG586" s="23">
        <f>ROUND(IF($V586="Weekday",IF(INDEX(Hourly_Analysis!$D$5:$D$28,$J586+1)&gt;0,($U586-INDEX(Hourly_Analysis!$C$5:$C$28,$J586+1))/INDEX(Hourly_Analysis!$D$5:$D$28,$J586+1),0),IF(INDEX(Hourly_Analysis!$G$5:$G$28,$J586+1)&gt;0,($U586-INDEX(Hourly_Analysis!$F$5:$F$28,$J586+1))/INDEX(Hourly_Analysis!$G$5:$G$28,$J586+1),0)),2)</f>
        <v>-1.23</v>
      </c>
      <c r="AH586" s="23" t="str">
        <f>IF(ABS($AG586)&gt;Lookups!$B$20,IF($AG586&gt;0,"High anomaly","Low anomaly"),"")</f>
        <v/>
      </c>
      <c r="AI586" s="23" t="str">
        <f t="shared" si="58"/>
        <v>OK</v>
      </c>
      <c r="AJ586" s="23" t="str">
        <f t="shared" si="59"/>
        <v>No</v>
      </c>
    </row>
    <row r="587" spans="1:36" x14ac:dyDescent="0.35">
      <c r="A587" s="23">
        <v>586</v>
      </c>
      <c r="B587" s="23" t="str">
        <f t="shared" si="54"/>
        <v>Merge 1+2</v>
      </c>
      <c r="C587" s="23">
        <f>IFERROR(MATCH($A587,Merge_1_2!$A$2:$A$611,0),0)</f>
        <v>586</v>
      </c>
      <c r="D587" s="23">
        <f>IF($C587&gt;0,INDEX(Merge_1_2!$Q$2:$Q$611,$C587),0)</f>
        <v>586</v>
      </c>
      <c r="E587" s="23">
        <f>IFERROR(MATCH($A587,Dataset3_Raw!$A$2:$A$391,0),0)</f>
        <v>0</v>
      </c>
      <c r="F587" s="24">
        <f>IF($C587&gt;0,INDEX(Merge_1_2!$B$2:$B$611,$C587),DATE(VALUE(RIGHT(INDEX(Dataset3_Raw!$B$2:$B$391,$E587),4)),VALUE(MID(INDEX(Dataset3_Raw!$B$2:$B$391,$E587),4,2)),VALUE(LEFT(INDEX(Dataset3_Raw!$B$2:$B$391,$E587),2))))</f>
        <v>40569</v>
      </c>
      <c r="G587" s="23">
        <f>IF($C587&gt;0,INDEX(Merge_1_2!$C$2:$C$611,$C587),INDEX(Dataset3_Raw!$C$2:$C$391,$E587))</f>
        <v>1</v>
      </c>
      <c r="H587" s="23">
        <f>IF($C587&gt;0,INDEX(Merge_1_2!$D$2:$D$611,$C587),INDEX(Dataset3_Raw!$D$2:$D$391,$E587))</f>
        <v>0</v>
      </c>
      <c r="I587" s="23">
        <f>IF($C587&gt;0,INDEX(Merge_1_2!$E$2:$E$611,$C587),INDEX(Dataset3_Raw!$E$2:$E$391,$E587))</f>
        <v>1</v>
      </c>
      <c r="J587" s="23">
        <f>IF($C587&gt;0,INDEX(Merge_1_2!$F$2:$F$611,$C587),INDEX(Dataset3_Raw!$F$2:$F$391,$E587))</f>
        <v>16</v>
      </c>
      <c r="K587" s="23" t="b">
        <f>IF($C587&gt;0,INDEX(Merge_1_2!$G$2:$G$611,$C587),INDEX(Dataset3_Raw!$G$2:$G$391,$E587))</f>
        <v>0</v>
      </c>
      <c r="L587" s="23">
        <f>IF($C587&gt;0,INDEX(Merge_1_2!$H$2:$H$611,$C587),INDEX(Dataset3_Raw!$H$2:$H$391,$E587))</f>
        <v>3</v>
      </c>
      <c r="M587" s="23">
        <f>IF($C587&gt;0,INDEX(Merge_1_2!$I$2:$I$611,$C587),INDEX(Dataset3_Raw!$I$2:$I$391,$E587))</f>
        <v>4</v>
      </c>
      <c r="N587" s="25">
        <f>IF($C587&gt;0,INDEX(Merge_1_2!$J$2:$J$611,$C587),INDEX(Dataset3_Raw!$J$2:$J$391,$E587))</f>
        <v>0.22</v>
      </c>
      <c r="O587" s="25">
        <f>IF($C587&gt;0,IF(ISNUMBER(INDEX(Merge_1_2!$K$2:$K$611,$C587)),INDEX(Merge_1_2!$K$2:$K$611,$C587),""),INDEX(Dataset3_Raw!$K$2:$K$391,$E587))</f>
        <v>0.19700000000000001</v>
      </c>
      <c r="P587" s="25">
        <f>IF(ISNUMBER($O587),$O587,ROUND(Lookups!$B$25+Lookups!$B$24*$N587,4))</f>
        <v>0.19700000000000001</v>
      </c>
      <c r="Q587" s="25">
        <f>IF($C587&gt;0,INDEX(Merge_1_2!$L$2:$L$611,$C587),INDEX(Dataset3_Raw!$L$2:$L$391,$E587))</f>
        <v>0.93</v>
      </c>
      <c r="R587" s="25">
        <f>IF($C587&gt;0,INDEX(Merge_1_2!$M$2:$M$611,$C587),INDEX(Dataset3_Raw!$M$2:$M$391,$E587))</f>
        <v>0.32840000000000003</v>
      </c>
      <c r="S587" s="23">
        <f>IF($C587&gt;0,INDEX(Merge_1_2!$N$2:$N$611,$C587),INDEX(Dataset3_Raw!$N$2:$N$391,$E587))</f>
        <v>1</v>
      </c>
      <c r="T587" s="23">
        <f>IF($C587&gt;0,INDEX(Merge_1_2!$O$2:$O$611,$C587),INDEX(Dataset3_Raw!$O$2:$O$391,$E587))</f>
        <v>35</v>
      </c>
      <c r="U587" s="23">
        <f>IF($C587&gt;0,INDEX(Merge_1_2!$P$2:$P$611,$C587),INDEX(Dataset3_Raw!$P$2:$P$391,$E587))</f>
        <v>36</v>
      </c>
      <c r="V587" s="23" t="str">
        <f t="shared" si="55"/>
        <v>Weekday</v>
      </c>
      <c r="W587" s="23" t="str">
        <f>VLOOKUP($M587,Lookups!$A$5:$B$8,2,FALSE())</f>
        <v>Heavy rain / Snow / Fog</v>
      </c>
      <c r="X587" s="23" t="str">
        <f>VLOOKUP($G587,Lookups!$D$5:$E$8,2,FALSE())</f>
        <v>Winter</v>
      </c>
      <c r="Y587" s="23" t="str">
        <f>VLOOKUP($L587,Lookups!$G$5:$H$11,2,FALSE())</f>
        <v>Wednesday</v>
      </c>
      <c r="Z587" s="23" t="str">
        <f>IF($J587&lt;Lookups!$B$26,"Night",IF($J587&lt;Lookups!$B$27,"Morning",IF($J587&lt;Lookups!$B$28,"Afternoon","Evening")))</f>
        <v>Afternoon</v>
      </c>
      <c r="AA587" s="26">
        <f>ROUND($N587*(Lookups!$B$16-Lookups!$B$15)+Lookups!$B$15,1)</f>
        <v>2.2999999999999998</v>
      </c>
      <c r="AB587" s="26">
        <f>ROUND($P587*(Lookups!$B$18-Lookups!$B$17)+Lookups!$B$17,1)</f>
        <v>-3</v>
      </c>
      <c r="AC587" s="23">
        <f t="shared" si="56"/>
        <v>93</v>
      </c>
      <c r="AD587" s="23">
        <f>ROUND($R587*Lookups!$B$19,1)</f>
        <v>22</v>
      </c>
      <c r="AE587" s="27">
        <f t="shared" si="57"/>
        <v>0.97222222222222221</v>
      </c>
      <c r="AF587" s="23" t="str">
        <f>IF($U587&gt;=Lookups!$B$23,"High",IF($U587&gt;=Lookups!$B$22,"Medium","Low"))</f>
        <v>Medium</v>
      </c>
      <c r="AG587" s="23">
        <f>ROUND(IF($V587="Weekday",IF(INDEX(Hourly_Analysis!$D$5:$D$28,$J587+1)&gt;0,($U587-INDEX(Hourly_Analysis!$C$5:$C$28,$J587+1))/INDEX(Hourly_Analysis!$D$5:$D$28,$J587+1),0),IF(INDEX(Hourly_Analysis!$G$5:$G$28,$J587+1)&gt;0,($U587-INDEX(Hourly_Analysis!$F$5:$F$28,$J587+1))/INDEX(Hourly_Analysis!$G$5:$G$28,$J587+1),0)),2)</f>
        <v>-2.21</v>
      </c>
      <c r="AH587" s="23" t="str">
        <f>IF(ABS($AG587)&gt;Lookups!$B$20,IF($AG587&gt;0,"High anomaly","Low anomaly"),"")</f>
        <v/>
      </c>
      <c r="AI587" s="23" t="str">
        <f t="shared" si="58"/>
        <v>OK</v>
      </c>
      <c r="AJ587" s="23" t="str">
        <f t="shared" si="59"/>
        <v>No</v>
      </c>
    </row>
    <row r="588" spans="1:36" x14ac:dyDescent="0.35">
      <c r="A588" s="23">
        <v>587</v>
      </c>
      <c r="B588" s="23" t="str">
        <f t="shared" si="54"/>
        <v>Merge 1+2</v>
      </c>
      <c r="C588" s="23">
        <f>IFERROR(MATCH($A588,Merge_1_2!$A$2:$A$611,0),0)</f>
        <v>587</v>
      </c>
      <c r="D588" s="23">
        <f>IF($C588&gt;0,INDEX(Merge_1_2!$Q$2:$Q$611,$C588),0)</f>
        <v>587</v>
      </c>
      <c r="E588" s="23">
        <f>IFERROR(MATCH($A588,Dataset3_Raw!$A$2:$A$391,0),0)</f>
        <v>0</v>
      </c>
      <c r="F588" s="24">
        <f>IF($C588&gt;0,INDEX(Merge_1_2!$B$2:$B$611,$C588),DATE(VALUE(RIGHT(INDEX(Dataset3_Raw!$B$2:$B$391,$E588),4)),VALUE(MID(INDEX(Dataset3_Raw!$B$2:$B$391,$E588),4,2)),VALUE(LEFT(INDEX(Dataset3_Raw!$B$2:$B$391,$E588),2))))</f>
        <v>40569</v>
      </c>
      <c r="G588" s="23">
        <f>IF($C588&gt;0,INDEX(Merge_1_2!$C$2:$C$611,$C588),INDEX(Dataset3_Raw!$C$2:$C$391,$E588))</f>
        <v>1</v>
      </c>
      <c r="H588" s="23">
        <f>IF($C588&gt;0,INDEX(Merge_1_2!$D$2:$D$611,$C588),INDEX(Dataset3_Raw!$D$2:$D$391,$E588))</f>
        <v>0</v>
      </c>
      <c r="I588" s="23">
        <f>IF($C588&gt;0,INDEX(Merge_1_2!$E$2:$E$611,$C588),INDEX(Dataset3_Raw!$E$2:$E$391,$E588))</f>
        <v>1</v>
      </c>
      <c r="J588" s="23">
        <f>IF($C588&gt;0,INDEX(Merge_1_2!$F$2:$F$611,$C588),INDEX(Dataset3_Raw!$F$2:$F$391,$E588))</f>
        <v>17</v>
      </c>
      <c r="K588" s="23" t="b">
        <f>IF($C588&gt;0,INDEX(Merge_1_2!$G$2:$G$611,$C588),INDEX(Dataset3_Raw!$G$2:$G$391,$E588))</f>
        <v>0</v>
      </c>
      <c r="L588" s="23">
        <f>IF($C588&gt;0,INDEX(Merge_1_2!$H$2:$H$611,$C588),INDEX(Dataset3_Raw!$H$2:$H$391,$E588))</f>
        <v>3</v>
      </c>
      <c r="M588" s="23">
        <f>IF($C588&gt;0,INDEX(Merge_1_2!$I$2:$I$611,$C588),INDEX(Dataset3_Raw!$I$2:$I$391,$E588))</f>
        <v>3</v>
      </c>
      <c r="N588" s="25">
        <f>IF($C588&gt;0,INDEX(Merge_1_2!$J$2:$J$611,$C588),INDEX(Dataset3_Raw!$J$2:$J$391,$E588))</f>
        <v>0.2</v>
      </c>
      <c r="O588" s="25">
        <f>IF($C588&gt;0,IF(ISNUMBER(INDEX(Merge_1_2!$K$2:$K$611,$C588)),INDEX(Merge_1_2!$K$2:$K$611,$C588),""),INDEX(Dataset3_Raw!$K$2:$K$391,$E588))</f>
        <v>0.18179999999999999</v>
      </c>
      <c r="P588" s="25">
        <f>IF(ISNUMBER($O588),$O588,ROUND(Lookups!$B$25+Lookups!$B$24*$N588,4))</f>
        <v>0.18179999999999999</v>
      </c>
      <c r="Q588" s="25">
        <f>IF($C588&gt;0,INDEX(Merge_1_2!$L$2:$L$611,$C588),INDEX(Dataset3_Raw!$L$2:$L$391,$E588))</f>
        <v>0.93</v>
      </c>
      <c r="R588" s="25">
        <f>IF($C588&gt;0,INDEX(Merge_1_2!$M$2:$M$611,$C588),INDEX(Dataset3_Raw!$M$2:$M$391,$E588))</f>
        <v>0.35820000000000002</v>
      </c>
      <c r="S588" s="23">
        <f>IF($C588&gt;0,INDEX(Merge_1_2!$N$2:$N$611,$C588),INDEX(Dataset3_Raw!$N$2:$N$391,$E588))</f>
        <v>0</v>
      </c>
      <c r="T588" s="23">
        <f>IF($C588&gt;0,INDEX(Merge_1_2!$O$2:$O$611,$C588),INDEX(Dataset3_Raw!$O$2:$O$391,$E588))</f>
        <v>26</v>
      </c>
      <c r="U588" s="23">
        <f>IF($C588&gt;0,INDEX(Merge_1_2!$P$2:$P$611,$C588),INDEX(Dataset3_Raw!$P$2:$P$391,$E588))</f>
        <v>26</v>
      </c>
      <c r="V588" s="23" t="str">
        <f t="shared" si="55"/>
        <v>Weekday</v>
      </c>
      <c r="W588" s="23" t="str">
        <f>VLOOKUP($M588,Lookups!$A$5:$B$8,2,FALSE())</f>
        <v>Light snow / Light rain</v>
      </c>
      <c r="X588" s="23" t="str">
        <f>VLOOKUP($G588,Lookups!$D$5:$E$8,2,FALSE())</f>
        <v>Winter</v>
      </c>
      <c r="Y588" s="23" t="str">
        <f>VLOOKUP($L588,Lookups!$G$5:$H$11,2,FALSE())</f>
        <v>Wednesday</v>
      </c>
      <c r="Z588" s="23" t="str">
        <f>IF($J588&lt;Lookups!$B$26,"Night",IF($J588&lt;Lookups!$B$27,"Morning",IF($J588&lt;Lookups!$B$28,"Afternoon","Evening")))</f>
        <v>Afternoon</v>
      </c>
      <c r="AA588" s="26">
        <f>ROUND($N588*(Lookups!$B$16-Lookups!$B$15)+Lookups!$B$15,1)</f>
        <v>1.4</v>
      </c>
      <c r="AB588" s="26">
        <f>ROUND($P588*(Lookups!$B$18-Lookups!$B$17)+Lookups!$B$17,1)</f>
        <v>-4</v>
      </c>
      <c r="AC588" s="23">
        <f t="shared" si="56"/>
        <v>93</v>
      </c>
      <c r="AD588" s="23">
        <f>ROUND($R588*Lookups!$B$19,1)</f>
        <v>24</v>
      </c>
      <c r="AE588" s="27">
        <f t="shared" si="57"/>
        <v>1</v>
      </c>
      <c r="AF588" s="23" t="str">
        <f>IF($U588&gt;=Lookups!$B$23,"High",IF($U588&gt;=Lookups!$B$22,"Medium","Low"))</f>
        <v>Medium</v>
      </c>
      <c r="AG588" s="23">
        <f>ROUND(IF($V588="Weekday",IF(INDEX(Hourly_Analysis!$D$5:$D$28,$J588+1)&gt;0,($U588-INDEX(Hourly_Analysis!$C$5:$C$28,$J588+1))/INDEX(Hourly_Analysis!$D$5:$D$28,$J588+1),0),IF(INDEX(Hourly_Analysis!$G$5:$G$28,$J588+1)&gt;0,($U588-INDEX(Hourly_Analysis!$F$5:$F$28,$J588+1))/INDEX(Hourly_Analysis!$G$5:$G$28,$J588+1),0)),2)</f>
        <v>-3.49</v>
      </c>
      <c r="AH588" s="23" t="str">
        <f>IF(ABS($AG588)&gt;Lookups!$B$20,IF($AG588&gt;0,"High anomaly","Low anomaly"),"")</f>
        <v>Low anomaly</v>
      </c>
      <c r="AI588" s="23" t="str">
        <f t="shared" si="58"/>
        <v>OK</v>
      </c>
      <c r="AJ588" s="23" t="str">
        <f t="shared" si="59"/>
        <v>No</v>
      </c>
    </row>
    <row r="589" spans="1:36" x14ac:dyDescent="0.35">
      <c r="A589" s="23">
        <v>588</v>
      </c>
      <c r="B589" s="23" t="str">
        <f t="shared" si="54"/>
        <v>Merge 1+2</v>
      </c>
      <c r="C589" s="23">
        <f>IFERROR(MATCH($A589,Merge_1_2!$A$2:$A$611,0),0)</f>
        <v>588</v>
      </c>
      <c r="D589" s="23">
        <f>IF($C589&gt;0,INDEX(Merge_1_2!$Q$2:$Q$611,$C589),0)</f>
        <v>588</v>
      </c>
      <c r="E589" s="23">
        <f>IFERROR(MATCH($A589,Dataset3_Raw!$A$2:$A$391,0),0)</f>
        <v>0</v>
      </c>
      <c r="F589" s="24">
        <f>IF($C589&gt;0,INDEX(Merge_1_2!$B$2:$B$611,$C589),DATE(VALUE(RIGHT(INDEX(Dataset3_Raw!$B$2:$B$391,$E589),4)),VALUE(MID(INDEX(Dataset3_Raw!$B$2:$B$391,$E589),4,2)),VALUE(LEFT(INDEX(Dataset3_Raw!$B$2:$B$391,$E589),2))))</f>
        <v>40570</v>
      </c>
      <c r="G589" s="23">
        <f>IF($C589&gt;0,INDEX(Merge_1_2!$C$2:$C$611,$C589),INDEX(Dataset3_Raw!$C$2:$C$391,$E589))</f>
        <v>1</v>
      </c>
      <c r="H589" s="23">
        <f>IF($C589&gt;0,INDEX(Merge_1_2!$D$2:$D$611,$C589),INDEX(Dataset3_Raw!$D$2:$D$391,$E589))</f>
        <v>0</v>
      </c>
      <c r="I589" s="23">
        <f>IF($C589&gt;0,INDEX(Merge_1_2!$E$2:$E$611,$C589),INDEX(Dataset3_Raw!$E$2:$E$391,$E589))</f>
        <v>1</v>
      </c>
      <c r="J589" s="23">
        <f>IF($C589&gt;0,INDEX(Merge_1_2!$F$2:$F$611,$C589),INDEX(Dataset3_Raw!$F$2:$F$391,$E589))</f>
        <v>16</v>
      </c>
      <c r="K589" s="23" t="b">
        <f>IF($C589&gt;0,INDEX(Merge_1_2!$G$2:$G$611,$C589),INDEX(Dataset3_Raw!$G$2:$G$391,$E589))</f>
        <v>0</v>
      </c>
      <c r="L589" s="23">
        <f>IF($C589&gt;0,INDEX(Merge_1_2!$H$2:$H$611,$C589),INDEX(Dataset3_Raw!$H$2:$H$391,$E589))</f>
        <v>4</v>
      </c>
      <c r="M589" s="23">
        <f>IF($C589&gt;0,INDEX(Merge_1_2!$I$2:$I$611,$C589),INDEX(Dataset3_Raw!$I$2:$I$391,$E589))</f>
        <v>1</v>
      </c>
      <c r="N589" s="25">
        <f>IF($C589&gt;0,INDEX(Merge_1_2!$J$2:$J$611,$C589),INDEX(Dataset3_Raw!$J$2:$J$391,$E589))</f>
        <v>0.22</v>
      </c>
      <c r="O589" s="25">
        <f>IF($C589&gt;0,IF(ISNUMBER(INDEX(Merge_1_2!$K$2:$K$611,$C589)),INDEX(Merge_1_2!$K$2:$K$611,$C589),""),INDEX(Dataset3_Raw!$K$2:$K$391,$E589))</f>
        <v>0.2273</v>
      </c>
      <c r="P589" s="25">
        <f>IF(ISNUMBER($O589),$O589,ROUND(Lookups!$B$25+Lookups!$B$24*$N589,4))</f>
        <v>0.2273</v>
      </c>
      <c r="Q589" s="25">
        <f>IF($C589&gt;0,INDEX(Merge_1_2!$L$2:$L$611,$C589),INDEX(Dataset3_Raw!$L$2:$L$391,$E589))</f>
        <v>0.55000000000000004</v>
      </c>
      <c r="R589" s="25">
        <f>IF($C589&gt;0,INDEX(Merge_1_2!$M$2:$M$611,$C589),INDEX(Dataset3_Raw!$M$2:$M$391,$E589))</f>
        <v>0.19400000000000001</v>
      </c>
      <c r="S589" s="23">
        <f>IF($C589&gt;0,INDEX(Merge_1_2!$N$2:$N$611,$C589),INDEX(Dataset3_Raw!$N$2:$N$391,$E589))</f>
        <v>1</v>
      </c>
      <c r="T589" s="23">
        <f>IF($C589&gt;0,INDEX(Merge_1_2!$O$2:$O$611,$C589),INDEX(Dataset3_Raw!$O$2:$O$391,$E589))</f>
        <v>23</v>
      </c>
      <c r="U589" s="23">
        <f>IF($C589&gt;0,INDEX(Merge_1_2!$P$2:$P$611,$C589),INDEX(Dataset3_Raw!$P$2:$P$391,$E589))</f>
        <v>24</v>
      </c>
      <c r="V589" s="23" t="str">
        <f t="shared" si="55"/>
        <v>Weekday</v>
      </c>
      <c r="W589" s="23" t="str">
        <f>VLOOKUP($M589,Lookups!$A$5:$B$8,2,FALSE())</f>
        <v>Clear / Partly cloudy</v>
      </c>
      <c r="X589" s="23" t="str">
        <f>VLOOKUP($G589,Lookups!$D$5:$E$8,2,FALSE())</f>
        <v>Winter</v>
      </c>
      <c r="Y589" s="23" t="str">
        <f>VLOOKUP($L589,Lookups!$G$5:$H$11,2,FALSE())</f>
        <v>Thursday</v>
      </c>
      <c r="Z589" s="23" t="str">
        <f>IF($J589&lt;Lookups!$B$26,"Night",IF($J589&lt;Lookups!$B$27,"Morning",IF($J589&lt;Lookups!$B$28,"Afternoon","Evening")))</f>
        <v>Afternoon</v>
      </c>
      <c r="AA589" s="26">
        <f>ROUND($N589*(Lookups!$B$16-Lookups!$B$15)+Lookups!$B$15,1)</f>
        <v>2.2999999999999998</v>
      </c>
      <c r="AB589" s="26">
        <f>ROUND($P589*(Lookups!$B$18-Lookups!$B$17)+Lookups!$B$17,1)</f>
        <v>-1</v>
      </c>
      <c r="AC589" s="23">
        <f t="shared" si="56"/>
        <v>55</v>
      </c>
      <c r="AD589" s="23">
        <f>ROUND($R589*Lookups!$B$19,1)</f>
        <v>13</v>
      </c>
      <c r="AE589" s="27">
        <f t="shared" si="57"/>
        <v>0.95833333333333337</v>
      </c>
      <c r="AF589" s="23" t="str">
        <f>IF($U589&gt;=Lookups!$B$23,"High",IF($U589&gt;=Lookups!$B$22,"Medium","Low"))</f>
        <v>Medium</v>
      </c>
      <c r="AG589" s="23">
        <f>ROUND(IF($V589="Weekday",IF(INDEX(Hourly_Analysis!$D$5:$D$28,$J589+1)&gt;0,($U589-INDEX(Hourly_Analysis!$C$5:$C$28,$J589+1))/INDEX(Hourly_Analysis!$D$5:$D$28,$J589+1),0),IF(INDEX(Hourly_Analysis!$G$5:$G$28,$J589+1)&gt;0,($U589-INDEX(Hourly_Analysis!$F$5:$F$28,$J589+1))/INDEX(Hourly_Analysis!$G$5:$G$28,$J589+1),0)),2)</f>
        <v>-2.78</v>
      </c>
      <c r="AH589" s="23" t="str">
        <f>IF(ABS($AG589)&gt;Lookups!$B$20,IF($AG589&gt;0,"High anomaly","Low anomaly"),"")</f>
        <v/>
      </c>
      <c r="AI589" s="23" t="str">
        <f t="shared" si="58"/>
        <v>OK</v>
      </c>
      <c r="AJ589" s="23" t="str">
        <f t="shared" si="59"/>
        <v>No</v>
      </c>
    </row>
    <row r="590" spans="1:36" x14ac:dyDescent="0.35">
      <c r="A590" s="23">
        <v>589</v>
      </c>
      <c r="B590" s="23" t="str">
        <f t="shared" si="54"/>
        <v>Merge 1+2</v>
      </c>
      <c r="C590" s="23">
        <f>IFERROR(MATCH($A590,Merge_1_2!$A$2:$A$611,0),0)</f>
        <v>589</v>
      </c>
      <c r="D590" s="23">
        <f>IF($C590&gt;0,INDEX(Merge_1_2!$Q$2:$Q$611,$C590),0)</f>
        <v>589</v>
      </c>
      <c r="E590" s="23">
        <f>IFERROR(MATCH($A590,Dataset3_Raw!$A$2:$A$391,0),0)</f>
        <v>0</v>
      </c>
      <c r="F590" s="24">
        <f>IF($C590&gt;0,INDEX(Merge_1_2!$B$2:$B$611,$C590),DATE(VALUE(RIGHT(INDEX(Dataset3_Raw!$B$2:$B$391,$E590),4)),VALUE(MID(INDEX(Dataset3_Raw!$B$2:$B$391,$E590),4,2)),VALUE(LEFT(INDEX(Dataset3_Raw!$B$2:$B$391,$E590),2))))</f>
        <v>40570</v>
      </c>
      <c r="G590" s="23">
        <f>IF($C590&gt;0,INDEX(Merge_1_2!$C$2:$C$611,$C590),INDEX(Dataset3_Raw!$C$2:$C$391,$E590))</f>
        <v>1</v>
      </c>
      <c r="H590" s="23">
        <f>IF($C590&gt;0,INDEX(Merge_1_2!$D$2:$D$611,$C590),INDEX(Dataset3_Raw!$D$2:$D$391,$E590))</f>
        <v>0</v>
      </c>
      <c r="I590" s="23">
        <f>IF($C590&gt;0,INDEX(Merge_1_2!$E$2:$E$611,$C590),INDEX(Dataset3_Raw!$E$2:$E$391,$E590))</f>
        <v>1</v>
      </c>
      <c r="J590" s="23">
        <f>IF($C590&gt;0,INDEX(Merge_1_2!$F$2:$F$611,$C590),INDEX(Dataset3_Raw!$F$2:$F$391,$E590))</f>
        <v>17</v>
      </c>
      <c r="K590" s="23" t="b">
        <f>IF($C590&gt;0,INDEX(Merge_1_2!$G$2:$G$611,$C590),INDEX(Dataset3_Raw!$G$2:$G$391,$E590))</f>
        <v>0</v>
      </c>
      <c r="L590" s="23">
        <f>IF($C590&gt;0,INDEX(Merge_1_2!$H$2:$H$611,$C590),INDEX(Dataset3_Raw!$H$2:$H$391,$E590))</f>
        <v>4</v>
      </c>
      <c r="M590" s="23">
        <f>IF($C590&gt;0,INDEX(Merge_1_2!$I$2:$I$611,$C590),INDEX(Dataset3_Raw!$I$2:$I$391,$E590))</f>
        <v>1</v>
      </c>
      <c r="N590" s="25">
        <f>IF($C590&gt;0,INDEX(Merge_1_2!$J$2:$J$611,$C590),INDEX(Dataset3_Raw!$J$2:$J$391,$E590))</f>
        <v>0.22</v>
      </c>
      <c r="O590" s="25">
        <f>IF($C590&gt;0,IF(ISNUMBER(INDEX(Merge_1_2!$K$2:$K$611,$C590)),INDEX(Merge_1_2!$K$2:$K$611,$C590),""),INDEX(Dataset3_Raw!$K$2:$K$391,$E590))</f>
        <v>0.2424</v>
      </c>
      <c r="P590" s="25">
        <f>IF(ISNUMBER($O590),$O590,ROUND(Lookups!$B$25+Lookups!$B$24*$N590,4))</f>
        <v>0.2424</v>
      </c>
      <c r="Q590" s="25">
        <f>IF($C590&gt;0,INDEX(Merge_1_2!$L$2:$L$611,$C590),INDEX(Dataset3_Raw!$L$2:$L$391,$E590))</f>
        <v>0.55000000000000004</v>
      </c>
      <c r="R590" s="25">
        <f>IF($C590&gt;0,INDEX(Merge_1_2!$M$2:$M$611,$C590),INDEX(Dataset3_Raw!$M$2:$M$391,$E590))</f>
        <v>0.1045</v>
      </c>
      <c r="S590" s="23">
        <f>IF($C590&gt;0,INDEX(Merge_1_2!$N$2:$N$611,$C590),INDEX(Dataset3_Raw!$N$2:$N$391,$E590))</f>
        <v>2</v>
      </c>
      <c r="T590" s="23">
        <f>IF($C590&gt;0,INDEX(Merge_1_2!$O$2:$O$611,$C590),INDEX(Dataset3_Raw!$O$2:$O$391,$E590))</f>
        <v>82</v>
      </c>
      <c r="U590" s="23">
        <f>IF($C590&gt;0,INDEX(Merge_1_2!$P$2:$P$611,$C590),INDEX(Dataset3_Raw!$P$2:$P$391,$E590))</f>
        <v>84</v>
      </c>
      <c r="V590" s="23" t="str">
        <f t="shared" si="55"/>
        <v>Weekday</v>
      </c>
      <c r="W590" s="23" t="str">
        <f>VLOOKUP($M590,Lookups!$A$5:$B$8,2,FALSE())</f>
        <v>Clear / Partly cloudy</v>
      </c>
      <c r="X590" s="23" t="str">
        <f>VLOOKUP($G590,Lookups!$D$5:$E$8,2,FALSE())</f>
        <v>Winter</v>
      </c>
      <c r="Y590" s="23" t="str">
        <f>VLOOKUP($L590,Lookups!$G$5:$H$11,2,FALSE())</f>
        <v>Thursday</v>
      </c>
      <c r="Z590" s="23" t="str">
        <f>IF($J590&lt;Lookups!$B$26,"Night",IF($J590&lt;Lookups!$B$27,"Morning",IF($J590&lt;Lookups!$B$28,"Afternoon","Evening")))</f>
        <v>Afternoon</v>
      </c>
      <c r="AA590" s="26">
        <f>ROUND($N590*(Lookups!$B$16-Lookups!$B$15)+Lookups!$B$15,1)</f>
        <v>2.2999999999999998</v>
      </c>
      <c r="AB590" s="26">
        <f>ROUND($P590*(Lookups!$B$18-Lookups!$B$17)+Lookups!$B$17,1)</f>
        <v>0</v>
      </c>
      <c r="AC590" s="23">
        <f t="shared" si="56"/>
        <v>55</v>
      </c>
      <c r="AD590" s="23">
        <f>ROUND($R590*Lookups!$B$19,1)</f>
        <v>7</v>
      </c>
      <c r="AE590" s="27">
        <f t="shared" si="57"/>
        <v>0.97619047619047616</v>
      </c>
      <c r="AF590" s="23" t="str">
        <f>IF($U590&gt;=Lookups!$B$23,"High",IF($U590&gt;=Lookups!$B$22,"Medium","Low"))</f>
        <v>High</v>
      </c>
      <c r="AG590" s="23">
        <f>ROUND(IF($V590="Weekday",IF(INDEX(Hourly_Analysis!$D$5:$D$28,$J590+1)&gt;0,($U590-INDEX(Hourly_Analysis!$C$5:$C$28,$J590+1))/INDEX(Hourly_Analysis!$D$5:$D$28,$J590+1),0),IF(INDEX(Hourly_Analysis!$G$5:$G$28,$J590+1)&gt;0,($U590-INDEX(Hourly_Analysis!$F$5:$F$28,$J590+1))/INDEX(Hourly_Analysis!$G$5:$G$28,$J590+1),0)),2)</f>
        <v>-2.0699999999999998</v>
      </c>
      <c r="AH590" s="23" t="str">
        <f>IF(ABS($AG590)&gt;Lookups!$B$20,IF($AG590&gt;0,"High anomaly","Low anomaly"),"")</f>
        <v/>
      </c>
      <c r="AI590" s="23" t="str">
        <f t="shared" si="58"/>
        <v>OK</v>
      </c>
      <c r="AJ590" s="23" t="str">
        <f t="shared" si="59"/>
        <v>No</v>
      </c>
    </row>
    <row r="591" spans="1:36" x14ac:dyDescent="0.35">
      <c r="A591" s="23">
        <v>590</v>
      </c>
      <c r="B591" s="23" t="str">
        <f t="shared" si="54"/>
        <v>Merge 1+2</v>
      </c>
      <c r="C591" s="23">
        <f>IFERROR(MATCH($A591,Merge_1_2!$A$2:$A$611,0),0)</f>
        <v>590</v>
      </c>
      <c r="D591" s="23">
        <f>IF($C591&gt;0,INDEX(Merge_1_2!$Q$2:$Q$611,$C591),0)</f>
        <v>590</v>
      </c>
      <c r="E591" s="23">
        <f>IFERROR(MATCH($A591,Dataset3_Raw!$A$2:$A$391,0),0)</f>
        <v>0</v>
      </c>
      <c r="F591" s="24">
        <f>IF($C591&gt;0,INDEX(Merge_1_2!$B$2:$B$611,$C591),DATE(VALUE(RIGHT(INDEX(Dataset3_Raw!$B$2:$B$391,$E591),4)),VALUE(MID(INDEX(Dataset3_Raw!$B$2:$B$391,$E591),4,2)),VALUE(LEFT(INDEX(Dataset3_Raw!$B$2:$B$391,$E591),2))))</f>
        <v>40570</v>
      </c>
      <c r="G591" s="23">
        <f>IF($C591&gt;0,INDEX(Merge_1_2!$C$2:$C$611,$C591),INDEX(Dataset3_Raw!$C$2:$C$391,$E591))</f>
        <v>1</v>
      </c>
      <c r="H591" s="23">
        <f>IF($C591&gt;0,INDEX(Merge_1_2!$D$2:$D$611,$C591),INDEX(Dataset3_Raw!$D$2:$D$391,$E591))</f>
        <v>0</v>
      </c>
      <c r="I591" s="23">
        <f>IF($C591&gt;0,INDEX(Merge_1_2!$E$2:$E$611,$C591),INDEX(Dataset3_Raw!$E$2:$E$391,$E591))</f>
        <v>1</v>
      </c>
      <c r="J591" s="23">
        <f>IF($C591&gt;0,INDEX(Merge_1_2!$F$2:$F$611,$C591),INDEX(Dataset3_Raw!$F$2:$F$391,$E591))</f>
        <v>18</v>
      </c>
      <c r="K591" s="23" t="b">
        <f>IF($C591&gt;0,INDEX(Merge_1_2!$G$2:$G$611,$C591),INDEX(Dataset3_Raw!$G$2:$G$391,$E591))</f>
        <v>0</v>
      </c>
      <c r="L591" s="23">
        <f>IF($C591&gt;0,INDEX(Merge_1_2!$H$2:$H$611,$C591),INDEX(Dataset3_Raw!$H$2:$H$391,$E591))</f>
        <v>4</v>
      </c>
      <c r="M591" s="23">
        <f>IF($C591&gt;0,INDEX(Merge_1_2!$I$2:$I$611,$C591),INDEX(Dataset3_Raw!$I$2:$I$391,$E591))</f>
        <v>1</v>
      </c>
      <c r="N591" s="25">
        <f>IF($C591&gt;0,INDEX(Merge_1_2!$J$2:$J$611,$C591),INDEX(Dataset3_Raw!$J$2:$J$391,$E591))</f>
        <v>0.2</v>
      </c>
      <c r="O591" s="25">
        <f>IF($C591&gt;0,IF(ISNUMBER(INDEX(Merge_1_2!$K$2:$K$611,$C591)),INDEX(Merge_1_2!$K$2:$K$611,$C591),""),INDEX(Dataset3_Raw!$K$2:$K$391,$E591))</f>
        <v>0.2273</v>
      </c>
      <c r="P591" s="25">
        <f>IF(ISNUMBER($O591),$O591,ROUND(Lookups!$B$25+Lookups!$B$24*$N591,4))</f>
        <v>0.2273</v>
      </c>
      <c r="Q591" s="25">
        <f>IF($C591&gt;0,INDEX(Merge_1_2!$L$2:$L$611,$C591),INDEX(Dataset3_Raw!$L$2:$L$391,$E591))</f>
        <v>0.69</v>
      </c>
      <c r="R591" s="25">
        <f>IF($C591&gt;0,INDEX(Merge_1_2!$M$2:$M$611,$C591),INDEX(Dataset3_Raw!$M$2:$M$391,$E591))</f>
        <v>8.9599999999999999E-2</v>
      </c>
      <c r="S591" s="23">
        <f>IF($C591&gt;0,INDEX(Merge_1_2!$N$2:$N$611,$C591),INDEX(Dataset3_Raw!$N$2:$N$391,$E591))</f>
        <v>3</v>
      </c>
      <c r="T591" s="23">
        <f>IF($C591&gt;0,INDEX(Merge_1_2!$O$2:$O$611,$C591),INDEX(Dataset3_Raw!$O$2:$O$391,$E591))</f>
        <v>101</v>
      </c>
      <c r="U591" s="23">
        <f>IF($C591&gt;0,INDEX(Merge_1_2!$P$2:$P$611,$C591),INDEX(Dataset3_Raw!$P$2:$P$391,$E591))</f>
        <v>104</v>
      </c>
      <c r="V591" s="23" t="str">
        <f t="shared" si="55"/>
        <v>Weekday</v>
      </c>
      <c r="W591" s="23" t="str">
        <f>VLOOKUP($M591,Lookups!$A$5:$B$8,2,FALSE())</f>
        <v>Clear / Partly cloudy</v>
      </c>
      <c r="X591" s="23" t="str">
        <f>VLOOKUP($G591,Lookups!$D$5:$E$8,2,FALSE())</f>
        <v>Winter</v>
      </c>
      <c r="Y591" s="23" t="str">
        <f>VLOOKUP($L591,Lookups!$G$5:$H$11,2,FALSE())</f>
        <v>Thursday</v>
      </c>
      <c r="Z591" s="23" t="str">
        <f>IF($J591&lt;Lookups!$B$26,"Night",IF($J591&lt;Lookups!$B$27,"Morning",IF($J591&lt;Lookups!$B$28,"Afternoon","Evening")))</f>
        <v>Evening</v>
      </c>
      <c r="AA591" s="26">
        <f>ROUND($N591*(Lookups!$B$16-Lookups!$B$15)+Lookups!$B$15,1)</f>
        <v>1.4</v>
      </c>
      <c r="AB591" s="26">
        <f>ROUND($P591*(Lookups!$B$18-Lookups!$B$17)+Lookups!$B$17,1)</f>
        <v>-1</v>
      </c>
      <c r="AC591" s="23">
        <f t="shared" si="56"/>
        <v>69</v>
      </c>
      <c r="AD591" s="23">
        <f>ROUND($R591*Lookups!$B$19,1)</f>
        <v>6</v>
      </c>
      <c r="AE591" s="27">
        <f t="shared" si="57"/>
        <v>0.97115384615384615</v>
      </c>
      <c r="AF591" s="23" t="str">
        <f>IF($U591&gt;=Lookups!$B$23,"High",IF($U591&gt;=Lookups!$B$22,"Medium","Low"))</f>
        <v>High</v>
      </c>
      <c r="AG591" s="23">
        <f>ROUND(IF($V591="Weekday",IF(INDEX(Hourly_Analysis!$D$5:$D$28,$J591+1)&gt;0,($U591-INDEX(Hourly_Analysis!$C$5:$C$28,$J591+1))/INDEX(Hourly_Analysis!$D$5:$D$28,$J591+1),0),IF(INDEX(Hourly_Analysis!$G$5:$G$28,$J591+1)&gt;0,($U591-INDEX(Hourly_Analysis!$F$5:$F$28,$J591+1))/INDEX(Hourly_Analysis!$G$5:$G$28,$J591+1),0)),2)</f>
        <v>-1.79</v>
      </c>
      <c r="AH591" s="23" t="str">
        <f>IF(ABS($AG591)&gt;Lookups!$B$20,IF($AG591&gt;0,"High anomaly","Low anomaly"),"")</f>
        <v/>
      </c>
      <c r="AI591" s="23" t="str">
        <f t="shared" si="58"/>
        <v>OK</v>
      </c>
      <c r="AJ591" s="23" t="str">
        <f t="shared" si="59"/>
        <v>No</v>
      </c>
    </row>
    <row r="592" spans="1:36" x14ac:dyDescent="0.35">
      <c r="A592" s="23">
        <v>591</v>
      </c>
      <c r="B592" s="23" t="str">
        <f t="shared" si="54"/>
        <v>Merge 1+2</v>
      </c>
      <c r="C592" s="23">
        <f>IFERROR(MATCH($A592,Merge_1_2!$A$2:$A$611,0),0)</f>
        <v>591</v>
      </c>
      <c r="D592" s="23">
        <f>IF($C592&gt;0,INDEX(Merge_1_2!$Q$2:$Q$611,$C592),0)</f>
        <v>591</v>
      </c>
      <c r="E592" s="23">
        <f>IFERROR(MATCH($A592,Dataset3_Raw!$A$2:$A$391,0),0)</f>
        <v>0</v>
      </c>
      <c r="F592" s="24">
        <f>IF($C592&gt;0,INDEX(Merge_1_2!$B$2:$B$611,$C592),DATE(VALUE(RIGHT(INDEX(Dataset3_Raw!$B$2:$B$391,$E592),4)),VALUE(MID(INDEX(Dataset3_Raw!$B$2:$B$391,$E592),4,2)),VALUE(LEFT(INDEX(Dataset3_Raw!$B$2:$B$391,$E592),2))))</f>
        <v>40570</v>
      </c>
      <c r="G592" s="23">
        <f>IF($C592&gt;0,INDEX(Merge_1_2!$C$2:$C$611,$C592),INDEX(Dataset3_Raw!$C$2:$C$391,$E592))</f>
        <v>1</v>
      </c>
      <c r="H592" s="23">
        <f>IF($C592&gt;0,INDEX(Merge_1_2!$D$2:$D$611,$C592),INDEX(Dataset3_Raw!$D$2:$D$391,$E592))</f>
        <v>0</v>
      </c>
      <c r="I592" s="23">
        <f>IF($C592&gt;0,INDEX(Merge_1_2!$E$2:$E$611,$C592),INDEX(Dataset3_Raw!$E$2:$E$391,$E592))</f>
        <v>1</v>
      </c>
      <c r="J592" s="23">
        <f>IF($C592&gt;0,INDEX(Merge_1_2!$F$2:$F$611,$C592),INDEX(Dataset3_Raw!$F$2:$F$391,$E592))</f>
        <v>19</v>
      </c>
      <c r="K592" s="23" t="b">
        <f>IF($C592&gt;0,INDEX(Merge_1_2!$G$2:$G$611,$C592),INDEX(Dataset3_Raw!$G$2:$G$391,$E592))</f>
        <v>0</v>
      </c>
      <c r="L592" s="23">
        <f>IF($C592&gt;0,INDEX(Merge_1_2!$H$2:$H$611,$C592),INDEX(Dataset3_Raw!$H$2:$H$391,$E592))</f>
        <v>4</v>
      </c>
      <c r="M592" s="23">
        <f>IF($C592&gt;0,INDEX(Merge_1_2!$I$2:$I$611,$C592),INDEX(Dataset3_Raw!$I$2:$I$391,$E592))</f>
        <v>1</v>
      </c>
      <c r="N592" s="25">
        <f>IF($C592&gt;0,INDEX(Merge_1_2!$J$2:$J$611,$C592),INDEX(Dataset3_Raw!$J$2:$J$391,$E592))</f>
        <v>0.2</v>
      </c>
      <c r="O592" s="25">
        <f>IF($C592&gt;0,IF(ISNUMBER(INDEX(Merge_1_2!$K$2:$K$611,$C592)),INDEX(Merge_1_2!$K$2:$K$611,$C592),""),INDEX(Dataset3_Raw!$K$2:$K$391,$E592))</f>
        <v>0.2273</v>
      </c>
      <c r="P592" s="25">
        <f>IF(ISNUMBER($O592),$O592,ROUND(Lookups!$B$25+Lookups!$B$24*$N592,4))</f>
        <v>0.2273</v>
      </c>
      <c r="Q592" s="25">
        <f>IF($C592&gt;0,INDEX(Merge_1_2!$L$2:$L$611,$C592),INDEX(Dataset3_Raw!$L$2:$L$391,$E592))</f>
        <v>0.69</v>
      </c>
      <c r="R592" s="25">
        <f>IF($C592&gt;0,INDEX(Merge_1_2!$M$2:$M$611,$C592),INDEX(Dataset3_Raw!$M$2:$M$391,$E592))</f>
        <v>8.9599999999999999E-2</v>
      </c>
      <c r="S592" s="23">
        <f>IF($C592&gt;0,INDEX(Merge_1_2!$N$2:$N$611,$C592),INDEX(Dataset3_Raw!$N$2:$N$391,$E592))</f>
        <v>3</v>
      </c>
      <c r="T592" s="23">
        <f>IF($C592&gt;0,INDEX(Merge_1_2!$O$2:$O$611,$C592),INDEX(Dataset3_Raw!$O$2:$O$391,$E592))</f>
        <v>76</v>
      </c>
      <c r="U592" s="23">
        <f>IF($C592&gt;0,INDEX(Merge_1_2!$P$2:$P$611,$C592),INDEX(Dataset3_Raw!$P$2:$P$391,$E592))</f>
        <v>79</v>
      </c>
      <c r="V592" s="23" t="str">
        <f t="shared" si="55"/>
        <v>Weekday</v>
      </c>
      <c r="W592" s="23" t="str">
        <f>VLOOKUP($M592,Lookups!$A$5:$B$8,2,FALSE())</f>
        <v>Clear / Partly cloudy</v>
      </c>
      <c r="X592" s="23" t="str">
        <f>VLOOKUP($G592,Lookups!$D$5:$E$8,2,FALSE())</f>
        <v>Winter</v>
      </c>
      <c r="Y592" s="23" t="str">
        <f>VLOOKUP($L592,Lookups!$G$5:$H$11,2,FALSE())</f>
        <v>Thursday</v>
      </c>
      <c r="Z592" s="23" t="str">
        <f>IF($J592&lt;Lookups!$B$26,"Night",IF($J592&lt;Lookups!$B$27,"Morning",IF($J592&lt;Lookups!$B$28,"Afternoon","Evening")))</f>
        <v>Evening</v>
      </c>
      <c r="AA592" s="26">
        <f>ROUND($N592*(Lookups!$B$16-Lookups!$B$15)+Lookups!$B$15,1)</f>
        <v>1.4</v>
      </c>
      <c r="AB592" s="26">
        <f>ROUND($P592*(Lookups!$B$18-Lookups!$B$17)+Lookups!$B$17,1)</f>
        <v>-1</v>
      </c>
      <c r="AC592" s="23">
        <f t="shared" si="56"/>
        <v>69</v>
      </c>
      <c r="AD592" s="23">
        <f>ROUND($R592*Lookups!$B$19,1)</f>
        <v>6</v>
      </c>
      <c r="AE592" s="27">
        <f t="shared" si="57"/>
        <v>0.96202531645569622</v>
      </c>
      <c r="AF592" s="23" t="str">
        <f>IF($U592&gt;=Lookups!$B$23,"High",IF($U592&gt;=Lookups!$B$22,"Medium","Low"))</f>
        <v>Medium</v>
      </c>
      <c r="AG592" s="23">
        <f>ROUND(IF($V592="Weekday",IF(INDEX(Hourly_Analysis!$D$5:$D$28,$J592+1)&gt;0,($U592-INDEX(Hourly_Analysis!$C$5:$C$28,$J592+1))/INDEX(Hourly_Analysis!$D$5:$D$28,$J592+1),0),IF(INDEX(Hourly_Analysis!$G$5:$G$28,$J592+1)&gt;0,($U592-INDEX(Hourly_Analysis!$F$5:$F$28,$J592+1))/INDEX(Hourly_Analysis!$G$5:$G$28,$J592+1),0)),2)</f>
        <v>-1.23</v>
      </c>
      <c r="AH592" s="23" t="str">
        <f>IF(ABS($AG592)&gt;Lookups!$B$20,IF($AG592&gt;0,"High anomaly","Low anomaly"),"")</f>
        <v/>
      </c>
      <c r="AI592" s="23" t="str">
        <f t="shared" si="58"/>
        <v>OK</v>
      </c>
      <c r="AJ592" s="23" t="str">
        <f t="shared" si="59"/>
        <v>No</v>
      </c>
    </row>
    <row r="593" spans="1:36" x14ac:dyDescent="0.35">
      <c r="A593" s="23">
        <v>592</v>
      </c>
      <c r="B593" s="23" t="str">
        <f t="shared" si="54"/>
        <v>Merge 1+2</v>
      </c>
      <c r="C593" s="23">
        <f>IFERROR(MATCH($A593,Merge_1_2!$A$2:$A$611,0),0)</f>
        <v>592</v>
      </c>
      <c r="D593" s="23">
        <f>IF($C593&gt;0,INDEX(Merge_1_2!$Q$2:$Q$611,$C593),0)</f>
        <v>592</v>
      </c>
      <c r="E593" s="23">
        <f>IFERROR(MATCH($A593,Dataset3_Raw!$A$2:$A$391,0),0)</f>
        <v>0</v>
      </c>
      <c r="F593" s="24">
        <f>IF($C593&gt;0,INDEX(Merge_1_2!$B$2:$B$611,$C593),DATE(VALUE(RIGHT(INDEX(Dataset3_Raw!$B$2:$B$391,$E593),4)),VALUE(MID(INDEX(Dataset3_Raw!$B$2:$B$391,$E593),4,2)),VALUE(LEFT(INDEX(Dataset3_Raw!$B$2:$B$391,$E593),2))))</f>
        <v>40570</v>
      </c>
      <c r="G593" s="23">
        <f>IF($C593&gt;0,INDEX(Merge_1_2!$C$2:$C$611,$C593),INDEX(Dataset3_Raw!$C$2:$C$391,$E593))</f>
        <v>1</v>
      </c>
      <c r="H593" s="23">
        <f>IF($C593&gt;0,INDEX(Merge_1_2!$D$2:$D$611,$C593),INDEX(Dataset3_Raw!$D$2:$D$391,$E593))</f>
        <v>0</v>
      </c>
      <c r="I593" s="23">
        <f>IF($C593&gt;0,INDEX(Merge_1_2!$E$2:$E$611,$C593),INDEX(Dataset3_Raw!$E$2:$E$391,$E593))</f>
        <v>1</v>
      </c>
      <c r="J593" s="23">
        <f>IF($C593&gt;0,INDEX(Merge_1_2!$F$2:$F$611,$C593),INDEX(Dataset3_Raw!$F$2:$F$391,$E593))</f>
        <v>20</v>
      </c>
      <c r="K593" s="23" t="b">
        <f>IF($C593&gt;0,INDEX(Merge_1_2!$G$2:$G$611,$C593),INDEX(Dataset3_Raw!$G$2:$G$391,$E593))</f>
        <v>0</v>
      </c>
      <c r="L593" s="23">
        <f>IF($C593&gt;0,INDEX(Merge_1_2!$H$2:$H$611,$C593),INDEX(Dataset3_Raw!$H$2:$H$391,$E593))</f>
        <v>4</v>
      </c>
      <c r="M593" s="23">
        <f>IF($C593&gt;0,INDEX(Merge_1_2!$I$2:$I$611,$C593),INDEX(Dataset3_Raw!$I$2:$I$391,$E593))</f>
        <v>1</v>
      </c>
      <c r="N593" s="25">
        <f>IF($C593&gt;0,INDEX(Merge_1_2!$J$2:$J$611,$C593),INDEX(Dataset3_Raw!$J$2:$J$391,$E593))</f>
        <v>0.18</v>
      </c>
      <c r="O593" s="25">
        <f>IF($C593&gt;0,IF(ISNUMBER(INDEX(Merge_1_2!$K$2:$K$611,$C593)),INDEX(Merge_1_2!$K$2:$K$611,$C593),""),INDEX(Dataset3_Raw!$K$2:$K$391,$E593))</f>
        <v>0.21210000000000001</v>
      </c>
      <c r="P593" s="25">
        <f>IF(ISNUMBER($O593),$O593,ROUND(Lookups!$B$25+Lookups!$B$24*$N593,4))</f>
        <v>0.21210000000000001</v>
      </c>
      <c r="Q593" s="25">
        <f>IF($C593&gt;0,INDEX(Merge_1_2!$L$2:$L$611,$C593),INDEX(Dataset3_Raw!$L$2:$L$391,$E593))</f>
        <v>0.74</v>
      </c>
      <c r="R593" s="25">
        <f>IF($C593&gt;0,INDEX(Merge_1_2!$M$2:$M$611,$C593),INDEX(Dataset3_Raw!$M$2:$M$391,$E593))</f>
        <v>8.9599999999999999E-2</v>
      </c>
      <c r="S593" s="23">
        <f>IF($C593&gt;0,INDEX(Merge_1_2!$N$2:$N$611,$C593),INDEX(Dataset3_Raw!$N$2:$N$391,$E593))</f>
        <v>4</v>
      </c>
      <c r="T593" s="23">
        <f>IF($C593&gt;0,INDEX(Merge_1_2!$O$2:$O$611,$C593),INDEX(Dataset3_Raw!$O$2:$O$391,$E593))</f>
        <v>55</v>
      </c>
      <c r="U593" s="23">
        <f>IF($C593&gt;0,INDEX(Merge_1_2!$P$2:$P$611,$C593),INDEX(Dataset3_Raw!$P$2:$P$391,$E593))</f>
        <v>59</v>
      </c>
      <c r="V593" s="23" t="str">
        <f t="shared" si="55"/>
        <v>Weekday</v>
      </c>
      <c r="W593" s="23" t="str">
        <f>VLOOKUP($M593,Lookups!$A$5:$B$8,2,FALSE())</f>
        <v>Clear / Partly cloudy</v>
      </c>
      <c r="X593" s="23" t="str">
        <f>VLOOKUP($G593,Lookups!$D$5:$E$8,2,FALSE())</f>
        <v>Winter</v>
      </c>
      <c r="Y593" s="23" t="str">
        <f>VLOOKUP($L593,Lookups!$G$5:$H$11,2,FALSE())</f>
        <v>Thursday</v>
      </c>
      <c r="Z593" s="23" t="str">
        <f>IF($J593&lt;Lookups!$B$26,"Night",IF($J593&lt;Lookups!$B$27,"Morning",IF($J593&lt;Lookups!$B$28,"Afternoon","Evening")))</f>
        <v>Evening</v>
      </c>
      <c r="AA593" s="26">
        <f>ROUND($N593*(Lookups!$B$16-Lookups!$B$15)+Lookups!$B$15,1)</f>
        <v>0.5</v>
      </c>
      <c r="AB593" s="26">
        <f>ROUND($P593*(Lookups!$B$18-Lookups!$B$17)+Lookups!$B$17,1)</f>
        <v>-2</v>
      </c>
      <c r="AC593" s="23">
        <f t="shared" si="56"/>
        <v>74</v>
      </c>
      <c r="AD593" s="23">
        <f>ROUND($R593*Lookups!$B$19,1)</f>
        <v>6</v>
      </c>
      <c r="AE593" s="27">
        <f t="shared" si="57"/>
        <v>0.93220338983050843</v>
      </c>
      <c r="AF593" s="23" t="str">
        <f>IF($U593&gt;=Lookups!$B$23,"High",IF($U593&gt;=Lookups!$B$22,"Medium","Low"))</f>
        <v>Medium</v>
      </c>
      <c r="AG593" s="23">
        <f>ROUND(IF($V593="Weekday",IF(INDEX(Hourly_Analysis!$D$5:$D$28,$J593+1)&gt;0,($U593-INDEX(Hourly_Analysis!$C$5:$C$28,$J593+1))/INDEX(Hourly_Analysis!$D$5:$D$28,$J593+1),0),IF(INDEX(Hourly_Analysis!$G$5:$G$28,$J593+1)&gt;0,($U593-INDEX(Hourly_Analysis!$F$5:$F$28,$J593+1))/INDEX(Hourly_Analysis!$G$5:$G$28,$J593+1),0)),2)</f>
        <v>-0.69</v>
      </c>
      <c r="AH593" s="23" t="str">
        <f>IF(ABS($AG593)&gt;Lookups!$B$20,IF($AG593&gt;0,"High anomaly","Low anomaly"),"")</f>
        <v/>
      </c>
      <c r="AI593" s="23" t="str">
        <f t="shared" si="58"/>
        <v>OK</v>
      </c>
      <c r="AJ593" s="23" t="str">
        <f t="shared" si="59"/>
        <v>No</v>
      </c>
    </row>
    <row r="594" spans="1:36" x14ac:dyDescent="0.35">
      <c r="A594" s="23">
        <v>593</v>
      </c>
      <c r="B594" s="23" t="str">
        <f t="shared" si="54"/>
        <v>Merge 1+2</v>
      </c>
      <c r="C594" s="23">
        <f>IFERROR(MATCH($A594,Merge_1_2!$A$2:$A$611,0),0)</f>
        <v>593</v>
      </c>
      <c r="D594" s="23">
        <f>IF($C594&gt;0,INDEX(Merge_1_2!$Q$2:$Q$611,$C594),0)</f>
        <v>593</v>
      </c>
      <c r="E594" s="23">
        <f>IFERROR(MATCH($A594,Dataset3_Raw!$A$2:$A$391,0),0)</f>
        <v>0</v>
      </c>
      <c r="F594" s="24">
        <f>IF($C594&gt;0,INDEX(Merge_1_2!$B$2:$B$611,$C594),DATE(VALUE(RIGHT(INDEX(Dataset3_Raw!$B$2:$B$391,$E594),4)),VALUE(MID(INDEX(Dataset3_Raw!$B$2:$B$391,$E594),4,2)),VALUE(LEFT(INDEX(Dataset3_Raw!$B$2:$B$391,$E594),2))))</f>
        <v>40570</v>
      </c>
      <c r="G594" s="23">
        <f>IF($C594&gt;0,INDEX(Merge_1_2!$C$2:$C$611,$C594),INDEX(Dataset3_Raw!$C$2:$C$391,$E594))</f>
        <v>1</v>
      </c>
      <c r="H594" s="23">
        <f>IF($C594&gt;0,INDEX(Merge_1_2!$D$2:$D$611,$C594),INDEX(Dataset3_Raw!$D$2:$D$391,$E594))</f>
        <v>0</v>
      </c>
      <c r="I594" s="23">
        <f>IF($C594&gt;0,INDEX(Merge_1_2!$E$2:$E$611,$C594),INDEX(Dataset3_Raw!$E$2:$E$391,$E594))</f>
        <v>1</v>
      </c>
      <c r="J594" s="23">
        <f>IF($C594&gt;0,INDEX(Merge_1_2!$F$2:$F$611,$C594),INDEX(Dataset3_Raw!$F$2:$F$391,$E594))</f>
        <v>21</v>
      </c>
      <c r="K594" s="23" t="b">
        <f>IF($C594&gt;0,INDEX(Merge_1_2!$G$2:$G$611,$C594),INDEX(Dataset3_Raw!$G$2:$G$391,$E594))</f>
        <v>0</v>
      </c>
      <c r="L594" s="23">
        <f>IF($C594&gt;0,INDEX(Merge_1_2!$H$2:$H$611,$C594),INDEX(Dataset3_Raw!$H$2:$H$391,$E594))</f>
        <v>4</v>
      </c>
      <c r="M594" s="23">
        <f>IF($C594&gt;0,INDEX(Merge_1_2!$I$2:$I$611,$C594),INDEX(Dataset3_Raw!$I$2:$I$391,$E594))</f>
        <v>1</v>
      </c>
      <c r="N594" s="25">
        <f>IF($C594&gt;0,INDEX(Merge_1_2!$J$2:$J$611,$C594),INDEX(Dataset3_Raw!$J$2:$J$391,$E594))</f>
        <v>0.18</v>
      </c>
      <c r="O594" s="25">
        <f>IF($C594&gt;0,IF(ISNUMBER(INDEX(Merge_1_2!$K$2:$K$611,$C594)),INDEX(Merge_1_2!$K$2:$K$611,$C594),""),INDEX(Dataset3_Raw!$K$2:$K$391,$E594))</f>
        <v>0.21210000000000001</v>
      </c>
      <c r="P594" s="25">
        <f>IF(ISNUMBER($O594),$O594,ROUND(Lookups!$B$25+Lookups!$B$24*$N594,4))</f>
        <v>0.21210000000000001</v>
      </c>
      <c r="Q594" s="25">
        <f>IF($C594&gt;0,INDEX(Merge_1_2!$L$2:$L$611,$C594),INDEX(Dataset3_Raw!$L$2:$L$391,$E594))</f>
        <v>0.74</v>
      </c>
      <c r="R594" s="25">
        <f>IF($C594&gt;0,INDEX(Merge_1_2!$M$2:$M$611,$C594),INDEX(Dataset3_Raw!$M$2:$M$391,$E594))</f>
        <v>8.9599999999999999E-2</v>
      </c>
      <c r="S594" s="23">
        <f>IF($C594&gt;0,INDEX(Merge_1_2!$N$2:$N$611,$C594),INDEX(Dataset3_Raw!$N$2:$N$391,$E594))</f>
        <v>2</v>
      </c>
      <c r="T594" s="23">
        <f>IF($C594&gt;0,INDEX(Merge_1_2!$O$2:$O$611,$C594),INDEX(Dataset3_Raw!$O$2:$O$391,$E594))</f>
        <v>36</v>
      </c>
      <c r="U594" s="23">
        <f>IF($C594&gt;0,INDEX(Merge_1_2!$P$2:$P$611,$C594),INDEX(Dataset3_Raw!$P$2:$P$391,$E594))</f>
        <v>38</v>
      </c>
      <c r="V594" s="23" t="str">
        <f t="shared" si="55"/>
        <v>Weekday</v>
      </c>
      <c r="W594" s="23" t="str">
        <f>VLOOKUP($M594,Lookups!$A$5:$B$8,2,FALSE())</f>
        <v>Clear / Partly cloudy</v>
      </c>
      <c r="X594" s="23" t="str">
        <f>VLOOKUP($G594,Lookups!$D$5:$E$8,2,FALSE())</f>
        <v>Winter</v>
      </c>
      <c r="Y594" s="23" t="str">
        <f>VLOOKUP($L594,Lookups!$G$5:$H$11,2,FALSE())</f>
        <v>Thursday</v>
      </c>
      <c r="Z594" s="23" t="str">
        <f>IF($J594&lt;Lookups!$B$26,"Night",IF($J594&lt;Lookups!$B$27,"Morning",IF($J594&lt;Lookups!$B$28,"Afternoon","Evening")))</f>
        <v>Evening</v>
      </c>
      <c r="AA594" s="26">
        <f>ROUND($N594*(Lookups!$B$16-Lookups!$B$15)+Lookups!$B$15,1)</f>
        <v>0.5</v>
      </c>
      <c r="AB594" s="26">
        <f>ROUND($P594*(Lookups!$B$18-Lookups!$B$17)+Lookups!$B$17,1)</f>
        <v>-2</v>
      </c>
      <c r="AC594" s="23">
        <f t="shared" si="56"/>
        <v>74</v>
      </c>
      <c r="AD594" s="23">
        <f>ROUND($R594*Lookups!$B$19,1)</f>
        <v>6</v>
      </c>
      <c r="AE594" s="27">
        <f t="shared" si="57"/>
        <v>0.94736842105263153</v>
      </c>
      <c r="AF594" s="23" t="str">
        <f>IF($U594&gt;=Lookups!$B$23,"High",IF($U594&gt;=Lookups!$B$22,"Medium","Low"))</f>
        <v>Medium</v>
      </c>
      <c r="AG594" s="23">
        <f>ROUND(IF($V594="Weekday",IF(INDEX(Hourly_Analysis!$D$5:$D$28,$J594+1)&gt;0,($U594-INDEX(Hourly_Analysis!$C$5:$C$28,$J594+1))/INDEX(Hourly_Analysis!$D$5:$D$28,$J594+1),0),IF(INDEX(Hourly_Analysis!$G$5:$G$28,$J594+1)&gt;0,($U594-INDEX(Hourly_Analysis!$F$5:$F$28,$J594+1))/INDEX(Hourly_Analysis!$G$5:$G$28,$J594+1),0)),2)</f>
        <v>-1.04</v>
      </c>
      <c r="AH594" s="23" t="str">
        <f>IF(ABS($AG594)&gt;Lookups!$B$20,IF($AG594&gt;0,"High anomaly","Low anomaly"),"")</f>
        <v/>
      </c>
      <c r="AI594" s="23" t="str">
        <f t="shared" si="58"/>
        <v>OK</v>
      </c>
      <c r="AJ594" s="23" t="str">
        <f t="shared" si="59"/>
        <v>No</v>
      </c>
    </row>
    <row r="595" spans="1:36" x14ac:dyDescent="0.35">
      <c r="A595" s="23">
        <v>594</v>
      </c>
      <c r="B595" s="23" t="str">
        <f t="shared" si="54"/>
        <v>Merge 1+2</v>
      </c>
      <c r="C595" s="23">
        <f>IFERROR(MATCH($A595,Merge_1_2!$A$2:$A$611,0),0)</f>
        <v>594</v>
      </c>
      <c r="D595" s="23">
        <f>IF($C595&gt;0,INDEX(Merge_1_2!$Q$2:$Q$611,$C595),0)</f>
        <v>594</v>
      </c>
      <c r="E595" s="23">
        <f>IFERROR(MATCH($A595,Dataset3_Raw!$A$2:$A$391,0),0)</f>
        <v>0</v>
      </c>
      <c r="F595" s="24">
        <f>IF($C595&gt;0,INDEX(Merge_1_2!$B$2:$B$611,$C595),DATE(VALUE(RIGHT(INDEX(Dataset3_Raw!$B$2:$B$391,$E595),4)),VALUE(MID(INDEX(Dataset3_Raw!$B$2:$B$391,$E595),4,2)),VALUE(LEFT(INDEX(Dataset3_Raw!$B$2:$B$391,$E595),2))))</f>
        <v>40570</v>
      </c>
      <c r="G595" s="23">
        <f>IF($C595&gt;0,INDEX(Merge_1_2!$C$2:$C$611,$C595),INDEX(Dataset3_Raw!$C$2:$C$391,$E595))</f>
        <v>1</v>
      </c>
      <c r="H595" s="23">
        <f>IF($C595&gt;0,INDEX(Merge_1_2!$D$2:$D$611,$C595),INDEX(Dataset3_Raw!$D$2:$D$391,$E595))</f>
        <v>0</v>
      </c>
      <c r="I595" s="23">
        <f>IF($C595&gt;0,INDEX(Merge_1_2!$E$2:$E$611,$C595),INDEX(Dataset3_Raw!$E$2:$E$391,$E595))</f>
        <v>1</v>
      </c>
      <c r="J595" s="23">
        <f>IF($C595&gt;0,INDEX(Merge_1_2!$F$2:$F$611,$C595),INDEX(Dataset3_Raw!$F$2:$F$391,$E595))</f>
        <v>22</v>
      </c>
      <c r="K595" s="23" t="b">
        <f>IF($C595&gt;0,INDEX(Merge_1_2!$G$2:$G$611,$C595),INDEX(Dataset3_Raw!$G$2:$G$391,$E595))</f>
        <v>0</v>
      </c>
      <c r="L595" s="23">
        <f>IF($C595&gt;0,INDEX(Merge_1_2!$H$2:$H$611,$C595),INDEX(Dataset3_Raw!$H$2:$H$391,$E595))</f>
        <v>4</v>
      </c>
      <c r="M595" s="23">
        <f>IF($C595&gt;0,INDEX(Merge_1_2!$I$2:$I$611,$C595),INDEX(Dataset3_Raw!$I$2:$I$391,$E595))</f>
        <v>1</v>
      </c>
      <c r="N595" s="25">
        <f>IF($C595&gt;0,INDEX(Merge_1_2!$J$2:$J$611,$C595),INDEX(Dataset3_Raw!$J$2:$J$391,$E595))</f>
        <v>0.18</v>
      </c>
      <c r="O595" s="25">
        <f>IF($C595&gt;0,IF(ISNUMBER(INDEX(Merge_1_2!$K$2:$K$611,$C595)),INDEX(Merge_1_2!$K$2:$K$611,$C595),""),INDEX(Dataset3_Raw!$K$2:$K$391,$E595))</f>
        <v>0.21210000000000001</v>
      </c>
      <c r="P595" s="25">
        <f>IF(ISNUMBER($O595),$O595,ROUND(Lookups!$B$25+Lookups!$B$24*$N595,4))</f>
        <v>0.21210000000000001</v>
      </c>
      <c r="Q595" s="25">
        <f>IF($C595&gt;0,INDEX(Merge_1_2!$L$2:$L$611,$C595),INDEX(Dataset3_Raw!$L$2:$L$391,$E595))</f>
        <v>0.74</v>
      </c>
      <c r="R595" s="25">
        <f>IF($C595&gt;0,INDEX(Merge_1_2!$M$2:$M$611,$C595),INDEX(Dataset3_Raw!$M$2:$M$391,$E595))</f>
        <v>8.9599999999999999E-2</v>
      </c>
      <c r="S595" s="23">
        <f>IF($C595&gt;0,INDEX(Merge_1_2!$N$2:$N$611,$C595),INDEX(Dataset3_Raw!$N$2:$N$391,$E595))</f>
        <v>0</v>
      </c>
      <c r="T595" s="23">
        <f>IF($C595&gt;0,INDEX(Merge_1_2!$O$2:$O$611,$C595),INDEX(Dataset3_Raw!$O$2:$O$391,$E595))</f>
        <v>27</v>
      </c>
      <c r="U595" s="23">
        <f>IF($C595&gt;0,INDEX(Merge_1_2!$P$2:$P$611,$C595),INDEX(Dataset3_Raw!$P$2:$P$391,$E595))</f>
        <v>27</v>
      </c>
      <c r="V595" s="23" t="str">
        <f t="shared" si="55"/>
        <v>Weekday</v>
      </c>
      <c r="W595" s="23" t="str">
        <f>VLOOKUP($M595,Lookups!$A$5:$B$8,2,FALSE())</f>
        <v>Clear / Partly cloudy</v>
      </c>
      <c r="X595" s="23" t="str">
        <f>VLOOKUP($G595,Lookups!$D$5:$E$8,2,FALSE())</f>
        <v>Winter</v>
      </c>
      <c r="Y595" s="23" t="str">
        <f>VLOOKUP($L595,Lookups!$G$5:$H$11,2,FALSE())</f>
        <v>Thursday</v>
      </c>
      <c r="Z595" s="23" t="str">
        <f>IF($J595&lt;Lookups!$B$26,"Night",IF($J595&lt;Lookups!$B$27,"Morning",IF($J595&lt;Lookups!$B$28,"Afternoon","Evening")))</f>
        <v>Evening</v>
      </c>
      <c r="AA595" s="26">
        <f>ROUND($N595*(Lookups!$B$16-Lookups!$B$15)+Lookups!$B$15,1)</f>
        <v>0.5</v>
      </c>
      <c r="AB595" s="26">
        <f>ROUND($P595*(Lookups!$B$18-Lookups!$B$17)+Lookups!$B$17,1)</f>
        <v>-2</v>
      </c>
      <c r="AC595" s="23">
        <f t="shared" si="56"/>
        <v>74</v>
      </c>
      <c r="AD595" s="23">
        <f>ROUND($R595*Lookups!$B$19,1)</f>
        <v>6</v>
      </c>
      <c r="AE595" s="27">
        <f t="shared" si="57"/>
        <v>1</v>
      </c>
      <c r="AF595" s="23" t="str">
        <f>IF($U595&gt;=Lookups!$B$23,"High",IF($U595&gt;=Lookups!$B$22,"Medium","Low"))</f>
        <v>Medium</v>
      </c>
      <c r="AG595" s="23">
        <f>ROUND(IF($V595="Weekday",IF(INDEX(Hourly_Analysis!$D$5:$D$28,$J595+1)&gt;0,($U595-INDEX(Hourly_Analysis!$C$5:$C$28,$J595+1))/INDEX(Hourly_Analysis!$D$5:$D$28,$J595+1),0),IF(INDEX(Hourly_Analysis!$G$5:$G$28,$J595+1)&gt;0,($U595-INDEX(Hourly_Analysis!$F$5:$F$28,$J595+1))/INDEX(Hourly_Analysis!$G$5:$G$28,$J595+1),0)),2)</f>
        <v>-1.1000000000000001</v>
      </c>
      <c r="AH595" s="23" t="str">
        <f>IF(ABS($AG595)&gt;Lookups!$B$20,IF($AG595&gt;0,"High anomaly","Low anomaly"),"")</f>
        <v/>
      </c>
      <c r="AI595" s="23" t="str">
        <f t="shared" si="58"/>
        <v>OK</v>
      </c>
      <c r="AJ595" s="23" t="str">
        <f t="shared" si="59"/>
        <v>No</v>
      </c>
    </row>
    <row r="596" spans="1:36" x14ac:dyDescent="0.35">
      <c r="A596" s="23">
        <v>595</v>
      </c>
      <c r="B596" s="23" t="str">
        <f t="shared" si="54"/>
        <v>Merge 1+2</v>
      </c>
      <c r="C596" s="23">
        <f>IFERROR(MATCH($A596,Merge_1_2!$A$2:$A$611,0),0)</f>
        <v>595</v>
      </c>
      <c r="D596" s="23">
        <f>IF($C596&gt;0,INDEX(Merge_1_2!$Q$2:$Q$611,$C596),0)</f>
        <v>595</v>
      </c>
      <c r="E596" s="23">
        <f>IFERROR(MATCH($A596,Dataset3_Raw!$A$2:$A$391,0),0)</f>
        <v>0</v>
      </c>
      <c r="F596" s="24">
        <f>IF($C596&gt;0,INDEX(Merge_1_2!$B$2:$B$611,$C596),DATE(VALUE(RIGHT(INDEX(Dataset3_Raw!$B$2:$B$391,$E596),4)),VALUE(MID(INDEX(Dataset3_Raw!$B$2:$B$391,$E596),4,2)),VALUE(LEFT(INDEX(Dataset3_Raw!$B$2:$B$391,$E596),2))))</f>
        <v>40570</v>
      </c>
      <c r="G596" s="23">
        <f>IF($C596&gt;0,INDEX(Merge_1_2!$C$2:$C$611,$C596),INDEX(Dataset3_Raw!$C$2:$C$391,$E596))</f>
        <v>1</v>
      </c>
      <c r="H596" s="23">
        <f>IF($C596&gt;0,INDEX(Merge_1_2!$D$2:$D$611,$C596),INDEX(Dataset3_Raw!$D$2:$D$391,$E596))</f>
        <v>0</v>
      </c>
      <c r="I596" s="23">
        <f>IF($C596&gt;0,INDEX(Merge_1_2!$E$2:$E$611,$C596),INDEX(Dataset3_Raw!$E$2:$E$391,$E596))</f>
        <v>1</v>
      </c>
      <c r="J596" s="23">
        <f>IF($C596&gt;0,INDEX(Merge_1_2!$F$2:$F$611,$C596),INDEX(Dataset3_Raw!$F$2:$F$391,$E596))</f>
        <v>23</v>
      </c>
      <c r="K596" s="23" t="b">
        <f>IF($C596&gt;0,INDEX(Merge_1_2!$G$2:$G$611,$C596),INDEX(Dataset3_Raw!$G$2:$G$391,$E596))</f>
        <v>0</v>
      </c>
      <c r="L596" s="23">
        <f>IF($C596&gt;0,INDEX(Merge_1_2!$H$2:$H$611,$C596),INDEX(Dataset3_Raw!$H$2:$H$391,$E596))</f>
        <v>4</v>
      </c>
      <c r="M596" s="23">
        <f>IF($C596&gt;0,INDEX(Merge_1_2!$I$2:$I$611,$C596),INDEX(Dataset3_Raw!$I$2:$I$391,$E596))</f>
        <v>1</v>
      </c>
      <c r="N596" s="25">
        <f>IF($C596&gt;0,INDEX(Merge_1_2!$J$2:$J$611,$C596),INDEX(Dataset3_Raw!$J$2:$J$391,$E596))</f>
        <v>0.18</v>
      </c>
      <c r="O596" s="25">
        <f>IF($C596&gt;0,IF(ISNUMBER(INDEX(Merge_1_2!$K$2:$K$611,$C596)),INDEX(Merge_1_2!$K$2:$K$611,$C596),""),INDEX(Dataset3_Raw!$K$2:$K$391,$E596))</f>
        <v>0.19700000000000001</v>
      </c>
      <c r="P596" s="25">
        <f>IF(ISNUMBER($O596),$O596,ROUND(Lookups!$B$25+Lookups!$B$24*$N596,4))</f>
        <v>0.19700000000000001</v>
      </c>
      <c r="Q596" s="25">
        <f>IF($C596&gt;0,INDEX(Merge_1_2!$L$2:$L$611,$C596),INDEX(Dataset3_Raw!$L$2:$L$391,$E596))</f>
        <v>0.8</v>
      </c>
      <c r="R596" s="25">
        <f>IF($C596&gt;0,INDEX(Merge_1_2!$M$2:$M$611,$C596),INDEX(Dataset3_Raw!$M$2:$M$391,$E596))</f>
        <v>0.16420000000000001</v>
      </c>
      <c r="S596" s="23">
        <f>IF($C596&gt;0,INDEX(Merge_1_2!$N$2:$N$611,$C596),INDEX(Dataset3_Raw!$N$2:$N$391,$E596))</f>
        <v>0</v>
      </c>
      <c r="T596" s="23">
        <f>IF($C596&gt;0,INDEX(Merge_1_2!$O$2:$O$611,$C596),INDEX(Dataset3_Raw!$O$2:$O$391,$E596))</f>
        <v>16</v>
      </c>
      <c r="U596" s="23">
        <f>IF($C596&gt;0,INDEX(Merge_1_2!$P$2:$P$611,$C596),INDEX(Dataset3_Raw!$P$2:$P$391,$E596))</f>
        <v>16</v>
      </c>
      <c r="V596" s="23" t="str">
        <f t="shared" si="55"/>
        <v>Weekday</v>
      </c>
      <c r="W596" s="23" t="str">
        <f>VLOOKUP($M596,Lookups!$A$5:$B$8,2,FALSE())</f>
        <v>Clear / Partly cloudy</v>
      </c>
      <c r="X596" s="23" t="str">
        <f>VLOOKUP($G596,Lookups!$D$5:$E$8,2,FALSE())</f>
        <v>Winter</v>
      </c>
      <c r="Y596" s="23" t="str">
        <f>VLOOKUP($L596,Lookups!$G$5:$H$11,2,FALSE())</f>
        <v>Thursday</v>
      </c>
      <c r="Z596" s="23" t="str">
        <f>IF($J596&lt;Lookups!$B$26,"Night",IF($J596&lt;Lookups!$B$27,"Morning",IF($J596&lt;Lookups!$B$28,"Afternoon","Evening")))</f>
        <v>Evening</v>
      </c>
      <c r="AA596" s="26">
        <f>ROUND($N596*(Lookups!$B$16-Lookups!$B$15)+Lookups!$B$15,1)</f>
        <v>0.5</v>
      </c>
      <c r="AB596" s="26">
        <f>ROUND($P596*(Lookups!$B$18-Lookups!$B$17)+Lookups!$B$17,1)</f>
        <v>-3</v>
      </c>
      <c r="AC596" s="23">
        <f t="shared" si="56"/>
        <v>80</v>
      </c>
      <c r="AD596" s="23">
        <f>ROUND($R596*Lookups!$B$19,1)</f>
        <v>11</v>
      </c>
      <c r="AE596" s="27">
        <f t="shared" si="57"/>
        <v>1</v>
      </c>
      <c r="AF596" s="23" t="str">
        <f>IF($U596&gt;=Lookups!$B$23,"High",IF($U596&gt;=Lookups!$B$22,"Medium","Low"))</f>
        <v>Medium</v>
      </c>
      <c r="AG596" s="23">
        <f>ROUND(IF($V596="Weekday",IF(INDEX(Hourly_Analysis!$D$5:$D$28,$J596+1)&gt;0,($U596-INDEX(Hourly_Analysis!$C$5:$C$28,$J596+1))/INDEX(Hourly_Analysis!$D$5:$D$28,$J596+1),0),IF(INDEX(Hourly_Analysis!$G$5:$G$28,$J596+1)&gt;0,($U596-INDEX(Hourly_Analysis!$F$5:$F$28,$J596+1))/INDEX(Hourly_Analysis!$G$5:$G$28,$J596+1),0)),2)</f>
        <v>-0.84</v>
      </c>
      <c r="AH596" s="23" t="str">
        <f>IF(ABS($AG596)&gt;Lookups!$B$20,IF($AG596&gt;0,"High anomaly","Low anomaly"),"")</f>
        <v/>
      </c>
      <c r="AI596" s="23" t="str">
        <f t="shared" si="58"/>
        <v>OK</v>
      </c>
      <c r="AJ596" s="23" t="str">
        <f t="shared" si="59"/>
        <v>No</v>
      </c>
    </row>
    <row r="597" spans="1:36" x14ac:dyDescent="0.35">
      <c r="A597" s="23">
        <v>596</v>
      </c>
      <c r="B597" s="23" t="str">
        <f t="shared" si="54"/>
        <v>Merge 1+2</v>
      </c>
      <c r="C597" s="23">
        <f>IFERROR(MATCH($A597,Merge_1_2!$A$2:$A$611,0),0)</f>
        <v>596</v>
      </c>
      <c r="D597" s="23">
        <f>IF($C597&gt;0,INDEX(Merge_1_2!$Q$2:$Q$611,$C597),0)</f>
        <v>596</v>
      </c>
      <c r="E597" s="23">
        <f>IFERROR(MATCH($A597,Dataset3_Raw!$A$2:$A$391,0),0)</f>
        <v>0</v>
      </c>
      <c r="F597" s="24">
        <f>IF($C597&gt;0,INDEX(Merge_1_2!$B$2:$B$611,$C597),DATE(VALUE(RIGHT(INDEX(Dataset3_Raw!$B$2:$B$391,$E597),4)),VALUE(MID(INDEX(Dataset3_Raw!$B$2:$B$391,$E597),4,2)),VALUE(LEFT(INDEX(Dataset3_Raw!$B$2:$B$391,$E597),2))))</f>
        <v>40571</v>
      </c>
      <c r="G597" s="23">
        <f>IF($C597&gt;0,INDEX(Merge_1_2!$C$2:$C$611,$C597),INDEX(Dataset3_Raw!$C$2:$C$391,$E597))</f>
        <v>1</v>
      </c>
      <c r="H597" s="23">
        <f>IF($C597&gt;0,INDEX(Merge_1_2!$D$2:$D$611,$C597),INDEX(Dataset3_Raw!$D$2:$D$391,$E597))</f>
        <v>0</v>
      </c>
      <c r="I597" s="23">
        <f>IF($C597&gt;0,INDEX(Merge_1_2!$E$2:$E$611,$C597),INDEX(Dataset3_Raw!$E$2:$E$391,$E597))</f>
        <v>1</v>
      </c>
      <c r="J597" s="23">
        <f>IF($C597&gt;0,INDEX(Merge_1_2!$F$2:$F$611,$C597),INDEX(Dataset3_Raw!$F$2:$F$391,$E597))</f>
        <v>0</v>
      </c>
      <c r="K597" s="23" t="b">
        <f>IF($C597&gt;0,INDEX(Merge_1_2!$G$2:$G$611,$C597),INDEX(Dataset3_Raw!$G$2:$G$391,$E597))</f>
        <v>0</v>
      </c>
      <c r="L597" s="23">
        <f>IF($C597&gt;0,INDEX(Merge_1_2!$H$2:$H$611,$C597),INDEX(Dataset3_Raw!$H$2:$H$391,$E597))</f>
        <v>5</v>
      </c>
      <c r="M597" s="23">
        <f>IF($C597&gt;0,INDEX(Merge_1_2!$I$2:$I$611,$C597),INDEX(Dataset3_Raw!$I$2:$I$391,$E597))</f>
        <v>2</v>
      </c>
      <c r="N597" s="25">
        <f>IF($C597&gt;0,INDEX(Merge_1_2!$J$2:$J$611,$C597),INDEX(Dataset3_Raw!$J$2:$J$391,$E597))</f>
        <v>0.2</v>
      </c>
      <c r="O597" s="25">
        <f>IF($C597&gt;0,IF(ISNUMBER(INDEX(Merge_1_2!$K$2:$K$611,$C597)),INDEX(Merge_1_2!$K$2:$K$611,$C597),""),INDEX(Dataset3_Raw!$K$2:$K$391,$E597))</f>
        <v>0.21210000000000001</v>
      </c>
      <c r="P597" s="25">
        <f>IF(ISNUMBER($O597),$O597,ROUND(Lookups!$B$25+Lookups!$B$24*$N597,4))</f>
        <v>0.21210000000000001</v>
      </c>
      <c r="Q597" s="25">
        <f>IF($C597&gt;0,INDEX(Merge_1_2!$L$2:$L$611,$C597),INDEX(Dataset3_Raw!$L$2:$L$391,$E597))</f>
        <v>0.75</v>
      </c>
      <c r="R597" s="25">
        <f>IF($C597&gt;0,INDEX(Merge_1_2!$M$2:$M$611,$C597),INDEX(Dataset3_Raw!$M$2:$M$391,$E597))</f>
        <v>0.1343</v>
      </c>
      <c r="S597" s="23">
        <f>IF($C597&gt;0,INDEX(Merge_1_2!$N$2:$N$611,$C597),INDEX(Dataset3_Raw!$N$2:$N$391,$E597))</f>
        <v>0</v>
      </c>
      <c r="T597" s="23">
        <f>IF($C597&gt;0,INDEX(Merge_1_2!$O$2:$O$611,$C597),INDEX(Dataset3_Raw!$O$2:$O$391,$E597))</f>
        <v>9</v>
      </c>
      <c r="U597" s="23">
        <f>IF($C597&gt;0,INDEX(Merge_1_2!$P$2:$P$611,$C597),INDEX(Dataset3_Raw!$P$2:$P$391,$E597))</f>
        <v>9</v>
      </c>
      <c r="V597" s="23" t="str">
        <f t="shared" si="55"/>
        <v>Weekday</v>
      </c>
      <c r="W597" s="23" t="str">
        <f>VLOOKUP($M597,Lookups!$A$5:$B$8,2,FALSE())</f>
        <v>Mist / Cloudy</v>
      </c>
      <c r="X597" s="23" t="str">
        <f>VLOOKUP($G597,Lookups!$D$5:$E$8,2,FALSE())</f>
        <v>Winter</v>
      </c>
      <c r="Y597" s="23" t="str">
        <f>VLOOKUP($L597,Lookups!$G$5:$H$11,2,FALSE())</f>
        <v>Friday</v>
      </c>
      <c r="Z597" s="23" t="str">
        <f>IF($J597&lt;Lookups!$B$26,"Night",IF($J597&lt;Lookups!$B$27,"Morning",IF($J597&lt;Lookups!$B$28,"Afternoon","Evening")))</f>
        <v>Night</v>
      </c>
      <c r="AA597" s="26">
        <f>ROUND($N597*(Lookups!$B$16-Lookups!$B$15)+Lookups!$B$15,1)</f>
        <v>1.4</v>
      </c>
      <c r="AB597" s="26">
        <f>ROUND($P597*(Lookups!$B$18-Lookups!$B$17)+Lookups!$B$17,1)</f>
        <v>-2</v>
      </c>
      <c r="AC597" s="23">
        <f t="shared" si="56"/>
        <v>75</v>
      </c>
      <c r="AD597" s="23">
        <f>ROUND($R597*Lookups!$B$19,1)</f>
        <v>9</v>
      </c>
      <c r="AE597" s="27">
        <f t="shared" si="57"/>
        <v>1</v>
      </c>
      <c r="AF597" s="23" t="str">
        <f>IF($U597&gt;=Lookups!$B$23,"High",IF($U597&gt;=Lookups!$B$22,"Medium","Low"))</f>
        <v>Low</v>
      </c>
      <c r="AG597" s="23">
        <f>ROUND(IF($V597="Weekday",IF(INDEX(Hourly_Analysis!$D$5:$D$28,$J597+1)&gt;0,($U597-INDEX(Hourly_Analysis!$C$5:$C$28,$J597+1))/INDEX(Hourly_Analysis!$D$5:$D$28,$J597+1),0),IF(INDEX(Hourly_Analysis!$G$5:$G$28,$J597+1)&gt;0,($U597-INDEX(Hourly_Analysis!$F$5:$F$28,$J597+1))/INDEX(Hourly_Analysis!$G$5:$G$28,$J597+1),0)),2)</f>
        <v>-0.3</v>
      </c>
      <c r="AH597" s="23" t="str">
        <f>IF(ABS($AG597)&gt;Lookups!$B$20,IF($AG597&gt;0,"High anomaly","Low anomaly"),"")</f>
        <v/>
      </c>
      <c r="AI597" s="23" t="str">
        <f t="shared" si="58"/>
        <v>OK</v>
      </c>
      <c r="AJ597" s="23" t="str">
        <f t="shared" si="59"/>
        <v>No</v>
      </c>
    </row>
    <row r="598" spans="1:36" x14ac:dyDescent="0.35">
      <c r="A598" s="23">
        <v>597</v>
      </c>
      <c r="B598" s="23" t="str">
        <f t="shared" si="54"/>
        <v>Merge 1+2</v>
      </c>
      <c r="C598" s="23">
        <f>IFERROR(MATCH($A598,Merge_1_2!$A$2:$A$611,0),0)</f>
        <v>597</v>
      </c>
      <c r="D598" s="23">
        <f>IF($C598&gt;0,INDEX(Merge_1_2!$Q$2:$Q$611,$C598),0)</f>
        <v>597</v>
      </c>
      <c r="E598" s="23">
        <f>IFERROR(MATCH($A598,Dataset3_Raw!$A$2:$A$391,0),0)</f>
        <v>0</v>
      </c>
      <c r="F598" s="24">
        <f>IF($C598&gt;0,INDEX(Merge_1_2!$B$2:$B$611,$C598),DATE(VALUE(RIGHT(INDEX(Dataset3_Raw!$B$2:$B$391,$E598),4)),VALUE(MID(INDEX(Dataset3_Raw!$B$2:$B$391,$E598),4,2)),VALUE(LEFT(INDEX(Dataset3_Raw!$B$2:$B$391,$E598),2))))</f>
        <v>40571</v>
      </c>
      <c r="G598" s="23">
        <f>IF($C598&gt;0,INDEX(Merge_1_2!$C$2:$C$611,$C598),INDEX(Dataset3_Raw!$C$2:$C$391,$E598))</f>
        <v>1</v>
      </c>
      <c r="H598" s="23">
        <f>IF($C598&gt;0,INDEX(Merge_1_2!$D$2:$D$611,$C598),INDEX(Dataset3_Raw!$D$2:$D$391,$E598))</f>
        <v>0</v>
      </c>
      <c r="I598" s="23">
        <f>IF($C598&gt;0,INDEX(Merge_1_2!$E$2:$E$611,$C598),INDEX(Dataset3_Raw!$E$2:$E$391,$E598))</f>
        <v>1</v>
      </c>
      <c r="J598" s="23">
        <f>IF($C598&gt;0,INDEX(Merge_1_2!$F$2:$F$611,$C598),INDEX(Dataset3_Raw!$F$2:$F$391,$E598))</f>
        <v>1</v>
      </c>
      <c r="K598" s="23" t="b">
        <f>IF($C598&gt;0,INDEX(Merge_1_2!$G$2:$G$611,$C598),INDEX(Dataset3_Raw!$G$2:$G$391,$E598))</f>
        <v>0</v>
      </c>
      <c r="L598" s="23">
        <f>IF($C598&gt;0,INDEX(Merge_1_2!$H$2:$H$611,$C598),INDEX(Dataset3_Raw!$H$2:$H$391,$E598))</f>
        <v>5</v>
      </c>
      <c r="M598" s="23">
        <f>IF($C598&gt;0,INDEX(Merge_1_2!$I$2:$I$611,$C598),INDEX(Dataset3_Raw!$I$2:$I$391,$E598))</f>
        <v>2</v>
      </c>
      <c r="N598" s="25">
        <f>IF($C598&gt;0,INDEX(Merge_1_2!$J$2:$J$611,$C598),INDEX(Dataset3_Raw!$J$2:$J$391,$E598))</f>
        <v>0.2</v>
      </c>
      <c r="O598" s="25">
        <f>IF($C598&gt;0,IF(ISNUMBER(INDEX(Merge_1_2!$K$2:$K$611,$C598)),INDEX(Merge_1_2!$K$2:$K$611,$C598),""),INDEX(Dataset3_Raw!$K$2:$K$391,$E598))</f>
        <v>0.21210000000000001</v>
      </c>
      <c r="P598" s="25">
        <f>IF(ISNUMBER($O598),$O598,ROUND(Lookups!$B$25+Lookups!$B$24*$N598,4))</f>
        <v>0.21210000000000001</v>
      </c>
      <c r="Q598" s="25">
        <f>IF($C598&gt;0,INDEX(Merge_1_2!$L$2:$L$611,$C598),INDEX(Dataset3_Raw!$L$2:$L$391,$E598))</f>
        <v>0.75</v>
      </c>
      <c r="R598" s="25">
        <f>IF($C598&gt;0,INDEX(Merge_1_2!$M$2:$M$611,$C598),INDEX(Dataset3_Raw!$M$2:$M$391,$E598))</f>
        <v>0.1343</v>
      </c>
      <c r="S598" s="23">
        <f>IF($C598&gt;0,INDEX(Merge_1_2!$N$2:$N$611,$C598),INDEX(Dataset3_Raw!$N$2:$N$391,$E598))</f>
        <v>1</v>
      </c>
      <c r="T598" s="23">
        <f>IF($C598&gt;0,INDEX(Merge_1_2!$O$2:$O$611,$C598),INDEX(Dataset3_Raw!$O$2:$O$391,$E598))</f>
        <v>2</v>
      </c>
      <c r="U598" s="23">
        <f>IF($C598&gt;0,INDEX(Merge_1_2!$P$2:$P$611,$C598),INDEX(Dataset3_Raw!$P$2:$P$391,$E598))</f>
        <v>3</v>
      </c>
      <c r="V598" s="23" t="str">
        <f t="shared" si="55"/>
        <v>Weekday</v>
      </c>
      <c r="W598" s="23" t="str">
        <f>VLOOKUP($M598,Lookups!$A$5:$B$8,2,FALSE())</f>
        <v>Mist / Cloudy</v>
      </c>
      <c r="X598" s="23" t="str">
        <f>VLOOKUP($G598,Lookups!$D$5:$E$8,2,FALSE())</f>
        <v>Winter</v>
      </c>
      <c r="Y598" s="23" t="str">
        <f>VLOOKUP($L598,Lookups!$G$5:$H$11,2,FALSE())</f>
        <v>Friday</v>
      </c>
      <c r="Z598" s="23" t="str">
        <f>IF($J598&lt;Lookups!$B$26,"Night",IF($J598&lt;Lookups!$B$27,"Morning",IF($J598&lt;Lookups!$B$28,"Afternoon","Evening")))</f>
        <v>Night</v>
      </c>
      <c r="AA598" s="26">
        <f>ROUND($N598*(Lookups!$B$16-Lookups!$B$15)+Lookups!$B$15,1)</f>
        <v>1.4</v>
      </c>
      <c r="AB598" s="26">
        <f>ROUND($P598*(Lookups!$B$18-Lookups!$B$17)+Lookups!$B$17,1)</f>
        <v>-2</v>
      </c>
      <c r="AC598" s="23">
        <f t="shared" si="56"/>
        <v>75</v>
      </c>
      <c r="AD598" s="23">
        <f>ROUND($R598*Lookups!$B$19,1)</f>
        <v>9</v>
      </c>
      <c r="AE598" s="27">
        <f t="shared" si="57"/>
        <v>0.66666666666666663</v>
      </c>
      <c r="AF598" s="23" t="str">
        <f>IF($U598&gt;=Lookups!$B$23,"High",IF($U598&gt;=Lookups!$B$22,"Medium","Low"))</f>
        <v>Low</v>
      </c>
      <c r="AG598" s="23">
        <f>ROUND(IF($V598="Weekday",IF(INDEX(Hourly_Analysis!$D$5:$D$28,$J598+1)&gt;0,($U598-INDEX(Hourly_Analysis!$C$5:$C$28,$J598+1))/INDEX(Hourly_Analysis!$D$5:$D$28,$J598+1),0),IF(INDEX(Hourly_Analysis!$G$5:$G$28,$J598+1)&gt;0,($U598-INDEX(Hourly_Analysis!$F$5:$F$28,$J598+1))/INDEX(Hourly_Analysis!$G$5:$G$28,$J598+1),0)),2)</f>
        <v>-0.85</v>
      </c>
      <c r="AH598" s="23" t="str">
        <f>IF(ABS($AG598)&gt;Lookups!$B$20,IF($AG598&gt;0,"High anomaly","Low anomaly"),"")</f>
        <v/>
      </c>
      <c r="AI598" s="23" t="str">
        <f t="shared" si="58"/>
        <v>OK</v>
      </c>
      <c r="AJ598" s="23" t="str">
        <f t="shared" si="59"/>
        <v>No</v>
      </c>
    </row>
    <row r="599" spans="1:36" x14ac:dyDescent="0.35">
      <c r="A599" s="23">
        <v>598</v>
      </c>
      <c r="B599" s="23" t="str">
        <f t="shared" si="54"/>
        <v>Merge 1+2</v>
      </c>
      <c r="C599" s="23">
        <f>IFERROR(MATCH($A599,Merge_1_2!$A$2:$A$611,0),0)</f>
        <v>598</v>
      </c>
      <c r="D599" s="23">
        <f>IF($C599&gt;0,INDEX(Merge_1_2!$Q$2:$Q$611,$C599),0)</f>
        <v>598</v>
      </c>
      <c r="E599" s="23">
        <f>IFERROR(MATCH($A599,Dataset3_Raw!$A$2:$A$391,0),0)</f>
        <v>0</v>
      </c>
      <c r="F599" s="24">
        <f>IF($C599&gt;0,INDEX(Merge_1_2!$B$2:$B$611,$C599),DATE(VALUE(RIGHT(INDEX(Dataset3_Raw!$B$2:$B$391,$E599),4)),VALUE(MID(INDEX(Dataset3_Raw!$B$2:$B$391,$E599),4,2)),VALUE(LEFT(INDEX(Dataset3_Raw!$B$2:$B$391,$E599),2))))</f>
        <v>40571</v>
      </c>
      <c r="G599" s="23">
        <f>IF($C599&gt;0,INDEX(Merge_1_2!$C$2:$C$611,$C599),INDEX(Dataset3_Raw!$C$2:$C$391,$E599))</f>
        <v>1</v>
      </c>
      <c r="H599" s="23">
        <f>IF($C599&gt;0,INDEX(Merge_1_2!$D$2:$D$611,$C599),INDEX(Dataset3_Raw!$D$2:$D$391,$E599))</f>
        <v>0</v>
      </c>
      <c r="I599" s="23">
        <f>IF($C599&gt;0,INDEX(Merge_1_2!$E$2:$E$611,$C599),INDEX(Dataset3_Raw!$E$2:$E$391,$E599))</f>
        <v>1</v>
      </c>
      <c r="J599" s="23">
        <f>IF($C599&gt;0,INDEX(Merge_1_2!$F$2:$F$611,$C599),INDEX(Dataset3_Raw!$F$2:$F$391,$E599))</f>
        <v>2</v>
      </c>
      <c r="K599" s="23" t="b">
        <f>IF($C599&gt;0,INDEX(Merge_1_2!$G$2:$G$611,$C599),INDEX(Dataset3_Raw!$G$2:$G$391,$E599))</f>
        <v>0</v>
      </c>
      <c r="L599" s="23">
        <f>IF($C599&gt;0,INDEX(Merge_1_2!$H$2:$H$611,$C599),INDEX(Dataset3_Raw!$H$2:$H$391,$E599))</f>
        <v>5</v>
      </c>
      <c r="M599" s="23">
        <f>IF($C599&gt;0,INDEX(Merge_1_2!$I$2:$I$611,$C599),INDEX(Dataset3_Raw!$I$2:$I$391,$E599))</f>
        <v>2</v>
      </c>
      <c r="N599" s="25">
        <f>IF($C599&gt;0,INDEX(Merge_1_2!$J$2:$J$611,$C599),INDEX(Dataset3_Raw!$J$2:$J$391,$E599))</f>
        <v>0.2</v>
      </c>
      <c r="O599" s="25">
        <f>IF($C599&gt;0,IF(ISNUMBER(INDEX(Merge_1_2!$K$2:$K$611,$C599)),INDEX(Merge_1_2!$K$2:$K$611,$C599),""),INDEX(Dataset3_Raw!$K$2:$K$391,$E599))</f>
        <v>0.21210000000000001</v>
      </c>
      <c r="P599" s="25">
        <f>IF(ISNUMBER($O599),$O599,ROUND(Lookups!$B$25+Lookups!$B$24*$N599,4))</f>
        <v>0.21210000000000001</v>
      </c>
      <c r="Q599" s="25">
        <f>IF($C599&gt;0,INDEX(Merge_1_2!$L$2:$L$611,$C599),INDEX(Dataset3_Raw!$L$2:$L$391,$E599))</f>
        <v>0.75</v>
      </c>
      <c r="R599" s="25">
        <f>IF($C599&gt;0,INDEX(Merge_1_2!$M$2:$M$611,$C599),INDEX(Dataset3_Raw!$M$2:$M$391,$E599))</f>
        <v>0.16420000000000001</v>
      </c>
      <c r="S599" s="23">
        <f>IF($C599&gt;0,INDEX(Merge_1_2!$N$2:$N$611,$C599),INDEX(Dataset3_Raw!$N$2:$N$391,$E599))</f>
        <v>0</v>
      </c>
      <c r="T599" s="23">
        <f>IF($C599&gt;0,INDEX(Merge_1_2!$O$2:$O$611,$C599),INDEX(Dataset3_Raw!$O$2:$O$391,$E599))</f>
        <v>2</v>
      </c>
      <c r="U599" s="23">
        <f>IF($C599&gt;0,INDEX(Merge_1_2!$P$2:$P$611,$C599),INDEX(Dataset3_Raw!$P$2:$P$391,$E599))</f>
        <v>2</v>
      </c>
      <c r="V599" s="23" t="str">
        <f t="shared" si="55"/>
        <v>Weekday</v>
      </c>
      <c r="W599" s="23" t="str">
        <f>VLOOKUP($M599,Lookups!$A$5:$B$8,2,FALSE())</f>
        <v>Mist / Cloudy</v>
      </c>
      <c r="X599" s="23" t="str">
        <f>VLOOKUP($G599,Lookups!$D$5:$E$8,2,FALSE())</f>
        <v>Winter</v>
      </c>
      <c r="Y599" s="23" t="str">
        <f>VLOOKUP($L599,Lookups!$G$5:$H$11,2,FALSE())</f>
        <v>Friday</v>
      </c>
      <c r="Z599" s="23" t="str">
        <f>IF($J599&lt;Lookups!$B$26,"Night",IF($J599&lt;Lookups!$B$27,"Morning",IF($J599&lt;Lookups!$B$28,"Afternoon","Evening")))</f>
        <v>Night</v>
      </c>
      <c r="AA599" s="26">
        <f>ROUND($N599*(Lookups!$B$16-Lookups!$B$15)+Lookups!$B$15,1)</f>
        <v>1.4</v>
      </c>
      <c r="AB599" s="26">
        <f>ROUND($P599*(Lookups!$B$18-Lookups!$B$17)+Lookups!$B$17,1)</f>
        <v>-2</v>
      </c>
      <c r="AC599" s="23">
        <f t="shared" si="56"/>
        <v>75</v>
      </c>
      <c r="AD599" s="23">
        <f>ROUND($R599*Lookups!$B$19,1)</f>
        <v>11</v>
      </c>
      <c r="AE599" s="27">
        <f t="shared" si="57"/>
        <v>1</v>
      </c>
      <c r="AF599" s="23" t="str">
        <f>IF($U599&gt;=Lookups!$B$23,"High",IF($U599&gt;=Lookups!$B$22,"Medium","Low"))</f>
        <v>Low</v>
      </c>
      <c r="AG599" s="23">
        <f>ROUND(IF($V599="Weekday",IF(INDEX(Hourly_Analysis!$D$5:$D$28,$J599+1)&gt;0,($U599-INDEX(Hourly_Analysis!$C$5:$C$28,$J599+1))/INDEX(Hourly_Analysis!$D$5:$D$28,$J599+1),0),IF(INDEX(Hourly_Analysis!$G$5:$G$28,$J599+1)&gt;0,($U599-INDEX(Hourly_Analysis!$F$5:$F$28,$J599+1))/INDEX(Hourly_Analysis!$G$5:$G$28,$J599+1),0)),2)</f>
        <v>-0.24</v>
      </c>
      <c r="AH599" s="23" t="str">
        <f>IF(ABS($AG599)&gt;Lookups!$B$20,IF($AG599&gt;0,"High anomaly","Low anomaly"),"")</f>
        <v/>
      </c>
      <c r="AI599" s="23" t="str">
        <f t="shared" si="58"/>
        <v>OK</v>
      </c>
      <c r="AJ599" s="23" t="str">
        <f t="shared" si="59"/>
        <v>No</v>
      </c>
    </row>
    <row r="600" spans="1:36" x14ac:dyDescent="0.35">
      <c r="A600" s="23">
        <v>599</v>
      </c>
      <c r="B600" s="23" t="str">
        <f t="shared" si="54"/>
        <v>Merge 1+2</v>
      </c>
      <c r="C600" s="23">
        <f>IFERROR(MATCH($A600,Merge_1_2!$A$2:$A$611,0),0)</f>
        <v>599</v>
      </c>
      <c r="D600" s="23">
        <f>IF($C600&gt;0,INDEX(Merge_1_2!$Q$2:$Q$611,$C600),0)</f>
        <v>599</v>
      </c>
      <c r="E600" s="23">
        <f>IFERROR(MATCH($A600,Dataset3_Raw!$A$2:$A$391,0),0)</f>
        <v>0</v>
      </c>
      <c r="F600" s="24">
        <f>IF($C600&gt;0,INDEX(Merge_1_2!$B$2:$B$611,$C600),DATE(VALUE(RIGHT(INDEX(Dataset3_Raw!$B$2:$B$391,$E600),4)),VALUE(MID(INDEX(Dataset3_Raw!$B$2:$B$391,$E600),4,2)),VALUE(LEFT(INDEX(Dataset3_Raw!$B$2:$B$391,$E600),2))))</f>
        <v>40571</v>
      </c>
      <c r="G600" s="23">
        <f>IF($C600&gt;0,INDEX(Merge_1_2!$C$2:$C$611,$C600),INDEX(Dataset3_Raw!$C$2:$C$391,$E600))</f>
        <v>1</v>
      </c>
      <c r="H600" s="23">
        <f>IF($C600&gt;0,INDEX(Merge_1_2!$D$2:$D$611,$C600),INDEX(Dataset3_Raw!$D$2:$D$391,$E600))</f>
        <v>0</v>
      </c>
      <c r="I600" s="23">
        <f>IF($C600&gt;0,INDEX(Merge_1_2!$E$2:$E$611,$C600),INDEX(Dataset3_Raw!$E$2:$E$391,$E600))</f>
        <v>1</v>
      </c>
      <c r="J600" s="23">
        <f>IF($C600&gt;0,INDEX(Merge_1_2!$F$2:$F$611,$C600),INDEX(Dataset3_Raw!$F$2:$F$391,$E600))</f>
        <v>3</v>
      </c>
      <c r="K600" s="23" t="b">
        <f>IF($C600&gt;0,INDEX(Merge_1_2!$G$2:$G$611,$C600),INDEX(Dataset3_Raw!$G$2:$G$391,$E600))</f>
        <v>0</v>
      </c>
      <c r="L600" s="23">
        <f>IF($C600&gt;0,INDEX(Merge_1_2!$H$2:$H$611,$C600),INDEX(Dataset3_Raw!$H$2:$H$391,$E600))</f>
        <v>5</v>
      </c>
      <c r="M600" s="23">
        <f>IF($C600&gt;0,INDEX(Merge_1_2!$I$2:$I$611,$C600),INDEX(Dataset3_Raw!$I$2:$I$391,$E600))</f>
        <v>2</v>
      </c>
      <c r="N600" s="25">
        <f>IF($C600&gt;0,INDEX(Merge_1_2!$J$2:$J$611,$C600),INDEX(Dataset3_Raw!$J$2:$J$391,$E600))</f>
        <v>0.2</v>
      </c>
      <c r="O600" s="25">
        <f>IF($C600&gt;0,IF(ISNUMBER(INDEX(Merge_1_2!$K$2:$K$611,$C600)),INDEX(Merge_1_2!$K$2:$K$611,$C600),""),INDEX(Dataset3_Raw!$K$2:$K$391,$E600))</f>
        <v>0.2273</v>
      </c>
      <c r="P600" s="25">
        <f>IF(ISNUMBER($O600),$O600,ROUND(Lookups!$B$25+Lookups!$B$24*$N600,4))</f>
        <v>0.2273</v>
      </c>
      <c r="Q600" s="25">
        <f>IF($C600&gt;0,INDEX(Merge_1_2!$L$2:$L$611,$C600),INDEX(Dataset3_Raw!$L$2:$L$391,$E600))</f>
        <v>0.75</v>
      </c>
      <c r="R600" s="25">
        <f>IF($C600&gt;0,INDEX(Merge_1_2!$M$2:$M$611,$C600),INDEX(Dataset3_Raw!$M$2:$M$391,$E600))</f>
        <v>0.1045</v>
      </c>
      <c r="S600" s="23">
        <f>IF($C600&gt;0,INDEX(Merge_1_2!$N$2:$N$611,$C600),INDEX(Dataset3_Raw!$N$2:$N$391,$E600))</f>
        <v>1</v>
      </c>
      <c r="T600" s="23">
        <f>IF($C600&gt;0,INDEX(Merge_1_2!$O$2:$O$611,$C600),INDEX(Dataset3_Raw!$O$2:$O$391,$E600))</f>
        <v>0</v>
      </c>
      <c r="U600" s="23">
        <f>IF($C600&gt;0,INDEX(Merge_1_2!$P$2:$P$611,$C600),INDEX(Dataset3_Raw!$P$2:$P$391,$E600))</f>
        <v>1</v>
      </c>
      <c r="V600" s="23" t="str">
        <f t="shared" si="55"/>
        <v>Weekday</v>
      </c>
      <c r="W600" s="23" t="str">
        <f>VLOOKUP($M600,Lookups!$A$5:$B$8,2,FALSE())</f>
        <v>Mist / Cloudy</v>
      </c>
      <c r="X600" s="23" t="str">
        <f>VLOOKUP($G600,Lookups!$D$5:$E$8,2,FALSE())</f>
        <v>Winter</v>
      </c>
      <c r="Y600" s="23" t="str">
        <f>VLOOKUP($L600,Lookups!$G$5:$H$11,2,FALSE())</f>
        <v>Friday</v>
      </c>
      <c r="Z600" s="23" t="str">
        <f>IF($J600&lt;Lookups!$B$26,"Night",IF($J600&lt;Lookups!$B$27,"Morning",IF($J600&lt;Lookups!$B$28,"Afternoon","Evening")))</f>
        <v>Night</v>
      </c>
      <c r="AA600" s="26">
        <f>ROUND($N600*(Lookups!$B$16-Lookups!$B$15)+Lookups!$B$15,1)</f>
        <v>1.4</v>
      </c>
      <c r="AB600" s="26">
        <f>ROUND($P600*(Lookups!$B$18-Lookups!$B$17)+Lookups!$B$17,1)</f>
        <v>-1</v>
      </c>
      <c r="AC600" s="23">
        <f t="shared" si="56"/>
        <v>75</v>
      </c>
      <c r="AD600" s="23">
        <f>ROUND($R600*Lookups!$B$19,1)</f>
        <v>7</v>
      </c>
      <c r="AE600" s="27">
        <f t="shared" si="57"/>
        <v>0</v>
      </c>
      <c r="AF600" s="23" t="str">
        <f>IF($U600&gt;=Lookups!$B$23,"High",IF($U600&gt;=Lookups!$B$22,"Medium","Low"))</f>
        <v>Low</v>
      </c>
      <c r="AG600" s="23">
        <f>ROUND(IF($V600="Weekday",IF(INDEX(Hourly_Analysis!$D$5:$D$28,$J600+1)&gt;0,($U600-INDEX(Hourly_Analysis!$C$5:$C$28,$J600+1))/INDEX(Hourly_Analysis!$D$5:$D$28,$J600+1),0),IF(INDEX(Hourly_Analysis!$G$5:$G$28,$J600+1)&gt;0,($U600-INDEX(Hourly_Analysis!$F$5:$F$28,$J600+1))/INDEX(Hourly_Analysis!$G$5:$G$28,$J600+1),0)),2)</f>
        <v>-0.61</v>
      </c>
      <c r="AH600" s="23" t="str">
        <f>IF(ABS($AG600)&gt;Lookups!$B$20,IF($AG600&gt;0,"High anomaly","Low anomaly"),"")</f>
        <v/>
      </c>
      <c r="AI600" s="23" t="str">
        <f t="shared" si="58"/>
        <v>OK</v>
      </c>
      <c r="AJ600" s="23" t="str">
        <f t="shared" si="59"/>
        <v>No</v>
      </c>
    </row>
    <row r="601" spans="1:36" x14ac:dyDescent="0.35">
      <c r="A601" s="23">
        <v>600</v>
      </c>
      <c r="B601" s="23" t="str">
        <f t="shared" si="54"/>
        <v>Merge 1+2</v>
      </c>
      <c r="C601" s="23">
        <f>IFERROR(MATCH($A601,Merge_1_2!$A$2:$A$611,0),0)</f>
        <v>600</v>
      </c>
      <c r="D601" s="23">
        <f>IF($C601&gt;0,INDEX(Merge_1_2!$Q$2:$Q$611,$C601),0)</f>
        <v>600</v>
      </c>
      <c r="E601" s="23">
        <f>IFERROR(MATCH($A601,Dataset3_Raw!$A$2:$A$391,0),0)</f>
        <v>0</v>
      </c>
      <c r="F601" s="24">
        <f>IF($C601&gt;0,INDEX(Merge_1_2!$B$2:$B$611,$C601),DATE(VALUE(RIGHT(INDEX(Dataset3_Raw!$B$2:$B$391,$E601),4)),VALUE(MID(INDEX(Dataset3_Raw!$B$2:$B$391,$E601),4,2)),VALUE(LEFT(INDEX(Dataset3_Raw!$B$2:$B$391,$E601),2))))</f>
        <v>40571</v>
      </c>
      <c r="G601" s="23">
        <f>IF($C601&gt;0,INDEX(Merge_1_2!$C$2:$C$611,$C601),INDEX(Dataset3_Raw!$C$2:$C$391,$E601))</f>
        <v>1</v>
      </c>
      <c r="H601" s="23">
        <f>IF($C601&gt;0,INDEX(Merge_1_2!$D$2:$D$611,$C601),INDEX(Dataset3_Raw!$D$2:$D$391,$E601))</f>
        <v>0</v>
      </c>
      <c r="I601" s="23">
        <f>IF($C601&gt;0,INDEX(Merge_1_2!$E$2:$E$611,$C601),INDEX(Dataset3_Raw!$E$2:$E$391,$E601))</f>
        <v>1</v>
      </c>
      <c r="J601" s="23">
        <f>IF($C601&gt;0,INDEX(Merge_1_2!$F$2:$F$611,$C601),INDEX(Dataset3_Raw!$F$2:$F$391,$E601))</f>
        <v>5</v>
      </c>
      <c r="K601" s="23" t="b">
        <f>IF($C601&gt;0,INDEX(Merge_1_2!$G$2:$G$611,$C601),INDEX(Dataset3_Raw!$G$2:$G$391,$E601))</f>
        <v>0</v>
      </c>
      <c r="L601" s="23">
        <f>IF($C601&gt;0,INDEX(Merge_1_2!$H$2:$H$611,$C601),INDEX(Dataset3_Raw!$H$2:$H$391,$E601))</f>
        <v>5</v>
      </c>
      <c r="M601" s="23">
        <f>IF($C601&gt;0,INDEX(Merge_1_2!$I$2:$I$611,$C601),INDEX(Dataset3_Raw!$I$2:$I$391,$E601))</f>
        <v>2</v>
      </c>
      <c r="N601" s="25">
        <f>IF($C601&gt;0,INDEX(Merge_1_2!$J$2:$J$611,$C601),INDEX(Dataset3_Raw!$J$2:$J$391,$E601))</f>
        <v>0.18</v>
      </c>
      <c r="O601" s="25">
        <f>IF($C601&gt;0,IF(ISNUMBER(INDEX(Merge_1_2!$K$2:$K$611,$C601)),INDEX(Merge_1_2!$K$2:$K$611,$C601),""),INDEX(Dataset3_Raw!$K$2:$K$391,$E601))</f>
        <v>0.21210000000000001</v>
      </c>
      <c r="P601" s="25">
        <f>IF(ISNUMBER($O601),$O601,ROUND(Lookups!$B$25+Lookups!$B$24*$N601,4))</f>
        <v>0.21210000000000001</v>
      </c>
      <c r="Q601" s="25">
        <f>IF($C601&gt;0,INDEX(Merge_1_2!$L$2:$L$611,$C601),INDEX(Dataset3_Raw!$L$2:$L$391,$E601))</f>
        <v>0.8</v>
      </c>
      <c r="R601" s="25">
        <f>IF($C601&gt;0,INDEX(Merge_1_2!$M$2:$M$611,$C601),INDEX(Dataset3_Raw!$M$2:$M$391,$E601))</f>
        <v>0.1045</v>
      </c>
      <c r="S601" s="23">
        <f>IF($C601&gt;0,INDEX(Merge_1_2!$N$2:$N$611,$C601),INDEX(Dataset3_Raw!$N$2:$N$391,$E601))</f>
        <v>0</v>
      </c>
      <c r="T601" s="23">
        <f>IF($C601&gt;0,INDEX(Merge_1_2!$O$2:$O$611,$C601),INDEX(Dataset3_Raw!$O$2:$O$391,$E601))</f>
        <v>4</v>
      </c>
      <c r="U601" s="23">
        <f>IF($C601&gt;0,INDEX(Merge_1_2!$P$2:$P$611,$C601),INDEX(Dataset3_Raw!$P$2:$P$391,$E601))</f>
        <v>4</v>
      </c>
      <c r="V601" s="23" t="str">
        <f t="shared" si="55"/>
        <v>Weekday</v>
      </c>
      <c r="W601" s="23" t="str">
        <f>VLOOKUP($M601,Lookups!$A$5:$B$8,2,FALSE())</f>
        <v>Mist / Cloudy</v>
      </c>
      <c r="X601" s="23" t="str">
        <f>VLOOKUP($G601,Lookups!$D$5:$E$8,2,FALSE())</f>
        <v>Winter</v>
      </c>
      <c r="Y601" s="23" t="str">
        <f>VLOOKUP($L601,Lookups!$G$5:$H$11,2,FALSE())</f>
        <v>Friday</v>
      </c>
      <c r="Z601" s="23" t="str">
        <f>IF($J601&lt;Lookups!$B$26,"Night",IF($J601&lt;Lookups!$B$27,"Morning",IF($J601&lt;Lookups!$B$28,"Afternoon","Evening")))</f>
        <v>Night</v>
      </c>
      <c r="AA601" s="26">
        <f>ROUND($N601*(Lookups!$B$16-Lookups!$B$15)+Lookups!$B$15,1)</f>
        <v>0.5</v>
      </c>
      <c r="AB601" s="26">
        <f>ROUND($P601*(Lookups!$B$18-Lookups!$B$17)+Lookups!$B$17,1)</f>
        <v>-2</v>
      </c>
      <c r="AC601" s="23">
        <f t="shared" si="56"/>
        <v>80</v>
      </c>
      <c r="AD601" s="23">
        <f>ROUND($R601*Lookups!$B$19,1)</f>
        <v>7</v>
      </c>
      <c r="AE601" s="27">
        <f t="shared" si="57"/>
        <v>1</v>
      </c>
      <c r="AF601" s="23" t="str">
        <f>IF($U601&gt;=Lookups!$B$23,"High",IF($U601&gt;=Lookups!$B$22,"Medium","Low"))</f>
        <v>Low</v>
      </c>
      <c r="AG601" s="23">
        <f>ROUND(IF($V601="Weekday",IF(INDEX(Hourly_Analysis!$D$5:$D$28,$J601+1)&gt;0,($U601-INDEX(Hourly_Analysis!$C$5:$C$28,$J601+1))/INDEX(Hourly_Analysis!$D$5:$D$28,$J601+1),0),IF(INDEX(Hourly_Analysis!$G$5:$G$28,$J601+1)&gt;0,($U601-INDEX(Hourly_Analysis!$F$5:$F$28,$J601+1))/INDEX(Hourly_Analysis!$G$5:$G$28,$J601+1),0)),2)</f>
        <v>-0.38</v>
      </c>
      <c r="AH601" s="23" t="str">
        <f>IF(ABS($AG601)&gt;Lookups!$B$20,IF($AG601&gt;0,"High anomaly","Low anomaly"),"")</f>
        <v/>
      </c>
      <c r="AI601" s="23" t="str">
        <f t="shared" si="58"/>
        <v>OK</v>
      </c>
      <c r="AJ601" s="23" t="str">
        <f t="shared" si="59"/>
        <v>No</v>
      </c>
    </row>
    <row r="602" spans="1:36" x14ac:dyDescent="0.35">
      <c r="A602" s="23">
        <v>601</v>
      </c>
      <c r="B602" s="23" t="str">
        <f t="shared" si="54"/>
        <v>Merge 1+2</v>
      </c>
      <c r="C602" s="23">
        <f>IFERROR(MATCH($A602,Merge_1_2!$A$2:$A$611,0),0)</f>
        <v>601</v>
      </c>
      <c r="D602" s="23">
        <f>IF($C602&gt;0,INDEX(Merge_1_2!$Q$2:$Q$611,$C602),0)</f>
        <v>601</v>
      </c>
      <c r="E602" s="23">
        <f>IFERROR(MATCH($A602,Dataset3_Raw!$A$2:$A$391,0),0)</f>
        <v>0</v>
      </c>
      <c r="F602" s="24">
        <f>IF($C602&gt;0,INDEX(Merge_1_2!$B$2:$B$611,$C602),DATE(VALUE(RIGHT(INDEX(Dataset3_Raw!$B$2:$B$391,$E602),4)),VALUE(MID(INDEX(Dataset3_Raw!$B$2:$B$391,$E602),4,2)),VALUE(LEFT(INDEX(Dataset3_Raw!$B$2:$B$391,$E602),2))))</f>
        <v>40571</v>
      </c>
      <c r="G602" s="23">
        <f>IF($C602&gt;0,INDEX(Merge_1_2!$C$2:$C$611,$C602),INDEX(Dataset3_Raw!$C$2:$C$391,$E602))</f>
        <v>1</v>
      </c>
      <c r="H602" s="23">
        <f>IF($C602&gt;0,INDEX(Merge_1_2!$D$2:$D$611,$C602),INDEX(Dataset3_Raw!$D$2:$D$391,$E602))</f>
        <v>0</v>
      </c>
      <c r="I602" s="23">
        <f>IF($C602&gt;0,INDEX(Merge_1_2!$E$2:$E$611,$C602),INDEX(Dataset3_Raw!$E$2:$E$391,$E602))</f>
        <v>1</v>
      </c>
      <c r="J602" s="23">
        <f>IF($C602&gt;0,INDEX(Merge_1_2!$F$2:$F$611,$C602),INDEX(Dataset3_Raw!$F$2:$F$391,$E602))</f>
        <v>6</v>
      </c>
      <c r="K602" s="23" t="b">
        <f>IF($C602&gt;0,INDEX(Merge_1_2!$G$2:$G$611,$C602),INDEX(Dataset3_Raw!$G$2:$G$391,$E602))</f>
        <v>0</v>
      </c>
      <c r="L602" s="23">
        <f>IF($C602&gt;0,INDEX(Merge_1_2!$H$2:$H$611,$C602),INDEX(Dataset3_Raw!$H$2:$H$391,$E602))</f>
        <v>5</v>
      </c>
      <c r="M602" s="23">
        <f>IF($C602&gt;0,INDEX(Merge_1_2!$I$2:$I$611,$C602),INDEX(Dataset3_Raw!$I$2:$I$391,$E602))</f>
        <v>2</v>
      </c>
      <c r="N602" s="25">
        <f>IF($C602&gt;0,INDEX(Merge_1_2!$J$2:$J$611,$C602),INDEX(Dataset3_Raw!$J$2:$J$391,$E602))</f>
        <v>0.18</v>
      </c>
      <c r="O602" s="25">
        <f>IF($C602&gt;0,IF(ISNUMBER(INDEX(Merge_1_2!$K$2:$K$611,$C602)),INDEX(Merge_1_2!$K$2:$K$611,$C602),""),INDEX(Dataset3_Raw!$K$2:$K$391,$E602))</f>
        <v>0.19700000000000001</v>
      </c>
      <c r="P602" s="25">
        <f>IF(ISNUMBER($O602),$O602,ROUND(Lookups!$B$25+Lookups!$B$24*$N602,4))</f>
        <v>0.19700000000000001</v>
      </c>
      <c r="Q602" s="25">
        <f>IF($C602&gt;0,INDEX(Merge_1_2!$L$2:$L$611,$C602),INDEX(Dataset3_Raw!$L$2:$L$391,$E602))</f>
        <v>0.8</v>
      </c>
      <c r="R602" s="25">
        <f>IF($C602&gt;0,INDEX(Merge_1_2!$M$2:$M$611,$C602),INDEX(Dataset3_Raw!$M$2:$M$391,$E602))</f>
        <v>0.1343</v>
      </c>
      <c r="S602" s="23">
        <f>IF($C602&gt;0,INDEX(Merge_1_2!$N$2:$N$611,$C602),INDEX(Dataset3_Raw!$N$2:$N$391,$E602))</f>
        <v>0</v>
      </c>
      <c r="T602" s="23">
        <f>IF($C602&gt;0,INDEX(Merge_1_2!$O$2:$O$611,$C602),INDEX(Dataset3_Raw!$O$2:$O$391,$E602))</f>
        <v>16</v>
      </c>
      <c r="U602" s="23">
        <f>IF($C602&gt;0,INDEX(Merge_1_2!$P$2:$P$611,$C602),INDEX(Dataset3_Raw!$P$2:$P$391,$E602))</f>
        <v>16</v>
      </c>
      <c r="V602" s="23" t="str">
        <f t="shared" si="55"/>
        <v>Weekday</v>
      </c>
      <c r="W602" s="23" t="str">
        <f>VLOOKUP($M602,Lookups!$A$5:$B$8,2,FALSE())</f>
        <v>Mist / Cloudy</v>
      </c>
      <c r="X602" s="23" t="str">
        <f>VLOOKUP($G602,Lookups!$D$5:$E$8,2,FALSE())</f>
        <v>Winter</v>
      </c>
      <c r="Y602" s="23" t="str">
        <f>VLOOKUP($L602,Lookups!$G$5:$H$11,2,FALSE())</f>
        <v>Friday</v>
      </c>
      <c r="Z602" s="23" t="str">
        <f>IF($J602&lt;Lookups!$B$26,"Night",IF($J602&lt;Lookups!$B$27,"Morning",IF($J602&lt;Lookups!$B$28,"Afternoon","Evening")))</f>
        <v>Morning</v>
      </c>
      <c r="AA602" s="26">
        <f>ROUND($N602*(Lookups!$B$16-Lookups!$B$15)+Lookups!$B$15,1)</f>
        <v>0.5</v>
      </c>
      <c r="AB602" s="26">
        <f>ROUND($P602*(Lookups!$B$18-Lookups!$B$17)+Lookups!$B$17,1)</f>
        <v>-3</v>
      </c>
      <c r="AC602" s="23">
        <f t="shared" si="56"/>
        <v>80</v>
      </c>
      <c r="AD602" s="23">
        <f>ROUND($R602*Lookups!$B$19,1)</f>
        <v>9</v>
      </c>
      <c r="AE602" s="27">
        <f t="shared" si="57"/>
        <v>1</v>
      </c>
      <c r="AF602" s="23" t="str">
        <f>IF($U602&gt;=Lookups!$B$23,"High",IF($U602&gt;=Lookups!$B$22,"Medium","Low"))</f>
        <v>Medium</v>
      </c>
      <c r="AG602" s="23">
        <f>ROUND(IF($V602="Weekday",IF(INDEX(Hourly_Analysis!$D$5:$D$28,$J602+1)&gt;0,($U602-INDEX(Hourly_Analysis!$C$5:$C$28,$J602+1))/INDEX(Hourly_Analysis!$D$5:$D$28,$J602+1),0),IF(INDEX(Hourly_Analysis!$G$5:$G$28,$J602+1)&gt;0,($U602-INDEX(Hourly_Analysis!$F$5:$F$28,$J602+1))/INDEX(Hourly_Analysis!$G$5:$G$28,$J602+1),0)),2)</f>
        <v>-1.41</v>
      </c>
      <c r="AH602" s="23" t="str">
        <f>IF(ABS($AG602)&gt;Lookups!$B$20,IF($AG602&gt;0,"High anomaly","Low anomaly"),"")</f>
        <v/>
      </c>
      <c r="AI602" s="23" t="str">
        <f t="shared" si="58"/>
        <v>OK</v>
      </c>
      <c r="AJ602" s="23" t="str">
        <f t="shared" si="59"/>
        <v>No</v>
      </c>
    </row>
    <row r="603" spans="1:36" x14ac:dyDescent="0.35">
      <c r="A603" s="23">
        <v>602</v>
      </c>
      <c r="B603" s="23" t="str">
        <f t="shared" si="54"/>
        <v>Merge 1+2</v>
      </c>
      <c r="C603" s="23">
        <f>IFERROR(MATCH($A603,Merge_1_2!$A$2:$A$611,0),0)</f>
        <v>602</v>
      </c>
      <c r="D603" s="23">
        <f>IF($C603&gt;0,INDEX(Merge_1_2!$Q$2:$Q$611,$C603),0)</f>
        <v>602</v>
      </c>
      <c r="E603" s="23">
        <f>IFERROR(MATCH($A603,Dataset3_Raw!$A$2:$A$391,0),0)</f>
        <v>0</v>
      </c>
      <c r="F603" s="24">
        <f>IF($C603&gt;0,INDEX(Merge_1_2!$B$2:$B$611,$C603),DATE(VALUE(RIGHT(INDEX(Dataset3_Raw!$B$2:$B$391,$E603),4)),VALUE(MID(INDEX(Dataset3_Raw!$B$2:$B$391,$E603),4,2)),VALUE(LEFT(INDEX(Dataset3_Raw!$B$2:$B$391,$E603),2))))</f>
        <v>40571</v>
      </c>
      <c r="G603" s="23">
        <f>IF($C603&gt;0,INDEX(Merge_1_2!$C$2:$C$611,$C603),INDEX(Dataset3_Raw!$C$2:$C$391,$E603))</f>
        <v>1</v>
      </c>
      <c r="H603" s="23">
        <f>IF($C603&gt;0,INDEX(Merge_1_2!$D$2:$D$611,$C603),INDEX(Dataset3_Raw!$D$2:$D$391,$E603))</f>
        <v>0</v>
      </c>
      <c r="I603" s="23">
        <f>IF($C603&gt;0,INDEX(Merge_1_2!$E$2:$E$611,$C603),INDEX(Dataset3_Raw!$E$2:$E$391,$E603))</f>
        <v>1</v>
      </c>
      <c r="J603" s="23">
        <f>IF($C603&gt;0,INDEX(Merge_1_2!$F$2:$F$611,$C603),INDEX(Dataset3_Raw!$F$2:$F$391,$E603))</f>
        <v>7</v>
      </c>
      <c r="K603" s="23" t="b">
        <f>IF($C603&gt;0,INDEX(Merge_1_2!$G$2:$G$611,$C603),INDEX(Dataset3_Raw!$G$2:$G$391,$E603))</f>
        <v>0</v>
      </c>
      <c r="L603" s="23">
        <f>IF($C603&gt;0,INDEX(Merge_1_2!$H$2:$H$611,$C603),INDEX(Dataset3_Raw!$H$2:$H$391,$E603))</f>
        <v>5</v>
      </c>
      <c r="M603" s="23">
        <f>IF($C603&gt;0,INDEX(Merge_1_2!$I$2:$I$611,$C603),INDEX(Dataset3_Raw!$I$2:$I$391,$E603))</f>
        <v>2</v>
      </c>
      <c r="N603" s="25">
        <f>IF($C603&gt;0,INDEX(Merge_1_2!$J$2:$J$611,$C603),INDEX(Dataset3_Raw!$J$2:$J$391,$E603))</f>
        <v>0.16</v>
      </c>
      <c r="O603" s="25">
        <f>IF($C603&gt;0,IF(ISNUMBER(INDEX(Merge_1_2!$K$2:$K$611,$C603)),INDEX(Merge_1_2!$K$2:$K$611,$C603),""),INDEX(Dataset3_Raw!$K$2:$K$391,$E603))</f>
        <v>0.19700000000000001</v>
      </c>
      <c r="P603" s="25">
        <f>IF(ISNUMBER($O603),$O603,ROUND(Lookups!$B$25+Lookups!$B$24*$N603,4))</f>
        <v>0.19700000000000001</v>
      </c>
      <c r="Q603" s="25">
        <f>IF($C603&gt;0,INDEX(Merge_1_2!$L$2:$L$611,$C603),INDEX(Dataset3_Raw!$L$2:$L$391,$E603))</f>
        <v>0.86</v>
      </c>
      <c r="R603" s="25">
        <f>IF($C603&gt;0,INDEX(Merge_1_2!$M$2:$M$611,$C603),INDEX(Dataset3_Raw!$M$2:$M$391,$E603))</f>
        <v>8.9599999999999999E-2</v>
      </c>
      <c r="S603" s="23">
        <f>IF($C603&gt;0,INDEX(Merge_1_2!$N$2:$N$611,$C603),INDEX(Dataset3_Raw!$N$2:$N$391,$E603))</f>
        <v>2</v>
      </c>
      <c r="T603" s="23">
        <f>IF($C603&gt;0,INDEX(Merge_1_2!$O$2:$O$611,$C603),INDEX(Dataset3_Raw!$O$2:$O$391,$E603))</f>
        <v>58</v>
      </c>
      <c r="U603" s="23">
        <f>IF($C603&gt;0,INDEX(Merge_1_2!$P$2:$P$611,$C603),INDEX(Dataset3_Raw!$P$2:$P$391,$E603))</f>
        <v>60</v>
      </c>
      <c r="V603" s="23" t="str">
        <f t="shared" si="55"/>
        <v>Weekday</v>
      </c>
      <c r="W603" s="23" t="str">
        <f>VLOOKUP($M603,Lookups!$A$5:$B$8,2,FALSE())</f>
        <v>Mist / Cloudy</v>
      </c>
      <c r="X603" s="23" t="str">
        <f>VLOOKUP($G603,Lookups!$D$5:$E$8,2,FALSE())</f>
        <v>Winter</v>
      </c>
      <c r="Y603" s="23" t="str">
        <f>VLOOKUP($L603,Lookups!$G$5:$H$11,2,FALSE())</f>
        <v>Friday</v>
      </c>
      <c r="Z603" s="23" t="str">
        <f>IF($J603&lt;Lookups!$B$26,"Night",IF($J603&lt;Lookups!$B$27,"Morning",IF($J603&lt;Lookups!$B$28,"Afternoon","Evening")))</f>
        <v>Morning</v>
      </c>
      <c r="AA603" s="26">
        <f>ROUND($N603*(Lookups!$B$16-Lookups!$B$15)+Lookups!$B$15,1)</f>
        <v>-0.5</v>
      </c>
      <c r="AB603" s="26">
        <f>ROUND($P603*(Lookups!$B$18-Lookups!$B$17)+Lookups!$B$17,1)</f>
        <v>-3</v>
      </c>
      <c r="AC603" s="23">
        <f t="shared" si="56"/>
        <v>86</v>
      </c>
      <c r="AD603" s="23">
        <f>ROUND($R603*Lookups!$B$19,1)</f>
        <v>6</v>
      </c>
      <c r="AE603" s="27">
        <f t="shared" si="57"/>
        <v>0.96666666666666667</v>
      </c>
      <c r="AF603" s="23" t="str">
        <f>IF($U603&gt;=Lookups!$B$23,"High",IF($U603&gt;=Lookups!$B$22,"Medium","Low"))</f>
        <v>Medium</v>
      </c>
      <c r="AG603" s="23">
        <f>ROUND(IF($V603="Weekday",IF(INDEX(Hourly_Analysis!$D$5:$D$28,$J603+1)&gt;0,($U603-INDEX(Hourly_Analysis!$C$5:$C$28,$J603+1))/INDEX(Hourly_Analysis!$D$5:$D$28,$J603+1),0),IF(INDEX(Hourly_Analysis!$G$5:$G$28,$J603+1)&gt;0,($U603-INDEX(Hourly_Analysis!$F$5:$F$28,$J603+1))/INDEX(Hourly_Analysis!$G$5:$G$28,$J603+1),0)),2)</f>
        <v>-1.06</v>
      </c>
      <c r="AH603" s="23" t="str">
        <f>IF(ABS($AG603)&gt;Lookups!$B$20,IF($AG603&gt;0,"High anomaly","Low anomaly"),"")</f>
        <v/>
      </c>
      <c r="AI603" s="23" t="str">
        <f t="shared" si="58"/>
        <v>OK</v>
      </c>
      <c r="AJ603" s="23" t="str">
        <f t="shared" si="59"/>
        <v>No</v>
      </c>
    </row>
    <row r="604" spans="1:36" x14ac:dyDescent="0.35">
      <c r="A604" s="23">
        <v>603</v>
      </c>
      <c r="B604" s="23" t="str">
        <f t="shared" si="54"/>
        <v>Merge 1+2</v>
      </c>
      <c r="C604" s="23">
        <f>IFERROR(MATCH($A604,Merge_1_2!$A$2:$A$611,0),0)</f>
        <v>603</v>
      </c>
      <c r="D604" s="23">
        <f>IF($C604&gt;0,INDEX(Merge_1_2!$Q$2:$Q$611,$C604),0)</f>
        <v>603</v>
      </c>
      <c r="E604" s="23">
        <f>IFERROR(MATCH($A604,Dataset3_Raw!$A$2:$A$391,0),0)</f>
        <v>0</v>
      </c>
      <c r="F604" s="24">
        <f>IF($C604&gt;0,INDEX(Merge_1_2!$B$2:$B$611,$C604),DATE(VALUE(RIGHT(INDEX(Dataset3_Raw!$B$2:$B$391,$E604),4)),VALUE(MID(INDEX(Dataset3_Raw!$B$2:$B$391,$E604),4,2)),VALUE(LEFT(INDEX(Dataset3_Raw!$B$2:$B$391,$E604),2))))</f>
        <v>40571</v>
      </c>
      <c r="G604" s="23">
        <f>IF($C604&gt;0,INDEX(Merge_1_2!$C$2:$C$611,$C604),INDEX(Dataset3_Raw!$C$2:$C$391,$E604))</f>
        <v>1</v>
      </c>
      <c r="H604" s="23">
        <f>IF($C604&gt;0,INDEX(Merge_1_2!$D$2:$D$611,$C604),INDEX(Dataset3_Raw!$D$2:$D$391,$E604))</f>
        <v>0</v>
      </c>
      <c r="I604" s="23">
        <f>IF($C604&gt;0,INDEX(Merge_1_2!$E$2:$E$611,$C604),INDEX(Dataset3_Raw!$E$2:$E$391,$E604))</f>
        <v>1</v>
      </c>
      <c r="J604" s="23">
        <f>IF($C604&gt;0,INDEX(Merge_1_2!$F$2:$F$611,$C604),INDEX(Dataset3_Raw!$F$2:$F$391,$E604))</f>
        <v>8</v>
      </c>
      <c r="K604" s="23" t="b">
        <f>IF($C604&gt;0,INDEX(Merge_1_2!$G$2:$G$611,$C604),INDEX(Dataset3_Raw!$G$2:$G$391,$E604))</f>
        <v>0</v>
      </c>
      <c r="L604" s="23">
        <f>IF($C604&gt;0,INDEX(Merge_1_2!$H$2:$H$611,$C604),INDEX(Dataset3_Raw!$H$2:$H$391,$E604))</f>
        <v>5</v>
      </c>
      <c r="M604" s="23">
        <f>IF($C604&gt;0,INDEX(Merge_1_2!$I$2:$I$611,$C604),INDEX(Dataset3_Raw!$I$2:$I$391,$E604))</f>
        <v>2</v>
      </c>
      <c r="N604" s="25">
        <f>IF($C604&gt;0,INDEX(Merge_1_2!$J$2:$J$611,$C604),INDEX(Dataset3_Raw!$J$2:$J$391,$E604))</f>
        <v>0.16</v>
      </c>
      <c r="O604" s="25">
        <f>IF($C604&gt;0,IF(ISNUMBER(INDEX(Merge_1_2!$K$2:$K$611,$C604)),INDEX(Merge_1_2!$K$2:$K$611,$C604),""),INDEX(Dataset3_Raw!$K$2:$K$391,$E604))</f>
        <v>0.19700000000000001</v>
      </c>
      <c r="P604" s="25">
        <f>IF(ISNUMBER($O604),$O604,ROUND(Lookups!$B$25+Lookups!$B$24*$N604,4))</f>
        <v>0.19700000000000001</v>
      </c>
      <c r="Q604" s="25">
        <f>IF($C604&gt;0,INDEX(Merge_1_2!$L$2:$L$611,$C604),INDEX(Dataset3_Raw!$L$2:$L$391,$E604))</f>
        <v>0.86</v>
      </c>
      <c r="R604" s="25">
        <f>IF($C604&gt;0,INDEX(Merge_1_2!$M$2:$M$611,$C604),INDEX(Dataset3_Raw!$M$2:$M$391,$E604))</f>
        <v>8.9599999999999999E-2</v>
      </c>
      <c r="S604" s="23">
        <f>IF($C604&gt;0,INDEX(Merge_1_2!$N$2:$N$611,$C604),INDEX(Dataset3_Raw!$N$2:$N$391,$E604))</f>
        <v>2</v>
      </c>
      <c r="T604" s="23">
        <f>IF($C604&gt;0,INDEX(Merge_1_2!$O$2:$O$611,$C604),INDEX(Dataset3_Raw!$O$2:$O$391,$E604))</f>
        <v>155</v>
      </c>
      <c r="U604" s="23">
        <f>IF($C604&gt;0,INDEX(Merge_1_2!$P$2:$P$611,$C604),INDEX(Dataset3_Raw!$P$2:$P$391,$E604))</f>
        <v>157</v>
      </c>
      <c r="V604" s="23" t="str">
        <f t="shared" si="55"/>
        <v>Weekday</v>
      </c>
      <c r="W604" s="23" t="str">
        <f>VLOOKUP($M604,Lookups!$A$5:$B$8,2,FALSE())</f>
        <v>Mist / Cloudy</v>
      </c>
      <c r="X604" s="23" t="str">
        <f>VLOOKUP($G604,Lookups!$D$5:$E$8,2,FALSE())</f>
        <v>Winter</v>
      </c>
      <c r="Y604" s="23" t="str">
        <f>VLOOKUP($L604,Lookups!$G$5:$H$11,2,FALSE())</f>
        <v>Friday</v>
      </c>
      <c r="Z604" s="23" t="str">
        <f>IF($J604&lt;Lookups!$B$26,"Night",IF($J604&lt;Lookups!$B$27,"Morning",IF($J604&lt;Lookups!$B$28,"Afternoon","Evening")))</f>
        <v>Morning</v>
      </c>
      <c r="AA604" s="26">
        <f>ROUND($N604*(Lookups!$B$16-Lookups!$B$15)+Lookups!$B$15,1)</f>
        <v>-0.5</v>
      </c>
      <c r="AB604" s="26">
        <f>ROUND($P604*(Lookups!$B$18-Lookups!$B$17)+Lookups!$B$17,1)</f>
        <v>-3</v>
      </c>
      <c r="AC604" s="23">
        <f t="shared" si="56"/>
        <v>86</v>
      </c>
      <c r="AD604" s="23">
        <f>ROUND($R604*Lookups!$B$19,1)</f>
        <v>6</v>
      </c>
      <c r="AE604" s="27">
        <f t="shared" si="57"/>
        <v>0.98726114649681529</v>
      </c>
      <c r="AF604" s="23" t="str">
        <f>IF($U604&gt;=Lookups!$B$23,"High",IF($U604&gt;=Lookups!$B$22,"Medium","Low"))</f>
        <v>High</v>
      </c>
      <c r="AG604" s="23">
        <f>ROUND(IF($V604="Weekday",IF(INDEX(Hourly_Analysis!$D$5:$D$28,$J604+1)&gt;0,($U604-INDEX(Hourly_Analysis!$C$5:$C$28,$J604+1))/INDEX(Hourly_Analysis!$D$5:$D$28,$J604+1),0),IF(INDEX(Hourly_Analysis!$G$5:$G$28,$J604+1)&gt;0,($U604-INDEX(Hourly_Analysis!$F$5:$F$28,$J604+1))/INDEX(Hourly_Analysis!$G$5:$G$28,$J604+1),0)),2)</f>
        <v>-0.81</v>
      </c>
      <c r="AH604" s="23" t="str">
        <f>IF(ABS($AG604)&gt;Lookups!$B$20,IF($AG604&gt;0,"High anomaly","Low anomaly"),"")</f>
        <v/>
      </c>
      <c r="AI604" s="23" t="str">
        <f t="shared" si="58"/>
        <v>OK</v>
      </c>
      <c r="AJ604" s="23" t="str">
        <f t="shared" si="59"/>
        <v>No</v>
      </c>
    </row>
    <row r="605" spans="1:36" x14ac:dyDescent="0.35">
      <c r="A605" s="23">
        <v>604</v>
      </c>
      <c r="B605" s="23" t="str">
        <f t="shared" si="54"/>
        <v>Merge 1+2</v>
      </c>
      <c r="C605" s="23">
        <f>IFERROR(MATCH($A605,Merge_1_2!$A$2:$A$611,0),0)</f>
        <v>604</v>
      </c>
      <c r="D605" s="23">
        <f>IF($C605&gt;0,INDEX(Merge_1_2!$Q$2:$Q$611,$C605),0)</f>
        <v>604</v>
      </c>
      <c r="E605" s="23">
        <f>IFERROR(MATCH($A605,Dataset3_Raw!$A$2:$A$391,0),0)</f>
        <v>0</v>
      </c>
      <c r="F605" s="24">
        <f>IF($C605&gt;0,INDEX(Merge_1_2!$B$2:$B$611,$C605),DATE(VALUE(RIGHT(INDEX(Dataset3_Raw!$B$2:$B$391,$E605),4)),VALUE(MID(INDEX(Dataset3_Raw!$B$2:$B$391,$E605),4,2)),VALUE(LEFT(INDEX(Dataset3_Raw!$B$2:$B$391,$E605),2))))</f>
        <v>40571</v>
      </c>
      <c r="G605" s="23">
        <f>IF($C605&gt;0,INDEX(Merge_1_2!$C$2:$C$611,$C605),INDEX(Dataset3_Raw!$C$2:$C$391,$E605))</f>
        <v>1</v>
      </c>
      <c r="H605" s="23">
        <f>IF($C605&gt;0,INDEX(Merge_1_2!$D$2:$D$611,$C605),INDEX(Dataset3_Raw!$D$2:$D$391,$E605))</f>
        <v>0</v>
      </c>
      <c r="I605" s="23">
        <f>IF($C605&gt;0,INDEX(Merge_1_2!$E$2:$E$611,$C605),INDEX(Dataset3_Raw!$E$2:$E$391,$E605))</f>
        <v>1</v>
      </c>
      <c r="J605" s="23">
        <f>IF($C605&gt;0,INDEX(Merge_1_2!$F$2:$F$611,$C605),INDEX(Dataset3_Raw!$F$2:$F$391,$E605))</f>
        <v>9</v>
      </c>
      <c r="K605" s="23" t="b">
        <f>IF($C605&gt;0,INDEX(Merge_1_2!$G$2:$G$611,$C605),INDEX(Dataset3_Raw!$G$2:$G$391,$E605))</f>
        <v>0</v>
      </c>
      <c r="L605" s="23">
        <f>IF($C605&gt;0,INDEX(Merge_1_2!$H$2:$H$611,$C605),INDEX(Dataset3_Raw!$H$2:$H$391,$E605))</f>
        <v>5</v>
      </c>
      <c r="M605" s="23">
        <f>IF($C605&gt;0,INDEX(Merge_1_2!$I$2:$I$611,$C605),INDEX(Dataset3_Raw!$I$2:$I$391,$E605))</f>
        <v>3</v>
      </c>
      <c r="N605" s="25">
        <f>IF($C605&gt;0,INDEX(Merge_1_2!$J$2:$J$611,$C605),INDEX(Dataset3_Raw!$J$2:$J$391,$E605))</f>
        <v>0.18</v>
      </c>
      <c r="O605" s="25">
        <f>IF($C605&gt;0,IF(ISNUMBER(INDEX(Merge_1_2!$K$2:$K$611,$C605)),INDEX(Merge_1_2!$K$2:$K$611,$C605),""),INDEX(Dataset3_Raw!$K$2:$K$391,$E605))</f>
        <v>0.21210000000000001</v>
      </c>
      <c r="P605" s="25">
        <f>IF(ISNUMBER($O605),$O605,ROUND(Lookups!$B$25+Lookups!$B$24*$N605,4))</f>
        <v>0.21210000000000001</v>
      </c>
      <c r="Q605" s="25">
        <f>IF($C605&gt;0,INDEX(Merge_1_2!$L$2:$L$611,$C605),INDEX(Dataset3_Raw!$L$2:$L$391,$E605))</f>
        <v>0.86</v>
      </c>
      <c r="R605" s="25">
        <f>IF($C605&gt;0,INDEX(Merge_1_2!$M$2:$M$611,$C605),INDEX(Dataset3_Raw!$M$2:$M$391,$E605))</f>
        <v>8.9599999999999999E-2</v>
      </c>
      <c r="S605" s="23">
        <f>IF($C605&gt;0,INDEX(Merge_1_2!$N$2:$N$611,$C605),INDEX(Dataset3_Raw!$N$2:$N$391,$E605))</f>
        <v>6</v>
      </c>
      <c r="T605" s="23">
        <f>IF($C605&gt;0,INDEX(Merge_1_2!$O$2:$O$611,$C605),INDEX(Dataset3_Raw!$O$2:$O$391,$E605))</f>
        <v>95</v>
      </c>
      <c r="U605" s="23">
        <f>IF($C605&gt;0,INDEX(Merge_1_2!$P$2:$P$611,$C605),INDEX(Dataset3_Raw!$P$2:$P$391,$E605))</f>
        <v>101</v>
      </c>
      <c r="V605" s="23" t="str">
        <f t="shared" si="55"/>
        <v>Weekday</v>
      </c>
      <c r="W605" s="23" t="str">
        <f>VLOOKUP($M605,Lookups!$A$5:$B$8,2,FALSE())</f>
        <v>Light snow / Light rain</v>
      </c>
      <c r="X605" s="23" t="str">
        <f>VLOOKUP($G605,Lookups!$D$5:$E$8,2,FALSE())</f>
        <v>Winter</v>
      </c>
      <c r="Y605" s="23" t="str">
        <f>VLOOKUP($L605,Lookups!$G$5:$H$11,2,FALSE())</f>
        <v>Friday</v>
      </c>
      <c r="Z605" s="23" t="str">
        <f>IF($J605&lt;Lookups!$B$26,"Night",IF($J605&lt;Lookups!$B$27,"Morning",IF($J605&lt;Lookups!$B$28,"Afternoon","Evening")))</f>
        <v>Morning</v>
      </c>
      <c r="AA605" s="26">
        <f>ROUND($N605*(Lookups!$B$16-Lookups!$B$15)+Lookups!$B$15,1)</f>
        <v>0.5</v>
      </c>
      <c r="AB605" s="26">
        <f>ROUND($P605*(Lookups!$B$18-Lookups!$B$17)+Lookups!$B$17,1)</f>
        <v>-2</v>
      </c>
      <c r="AC605" s="23">
        <f t="shared" si="56"/>
        <v>86</v>
      </c>
      <c r="AD605" s="23">
        <f>ROUND($R605*Lookups!$B$19,1)</f>
        <v>6</v>
      </c>
      <c r="AE605" s="27">
        <f t="shared" si="57"/>
        <v>0.94059405940594054</v>
      </c>
      <c r="AF605" s="23" t="str">
        <f>IF($U605&gt;=Lookups!$B$23,"High",IF($U605&gt;=Lookups!$B$22,"Medium","Low"))</f>
        <v>High</v>
      </c>
      <c r="AG605" s="23">
        <f>ROUND(IF($V605="Weekday",IF(INDEX(Hourly_Analysis!$D$5:$D$28,$J605+1)&gt;0,($U605-INDEX(Hourly_Analysis!$C$5:$C$28,$J605+1))/INDEX(Hourly_Analysis!$D$5:$D$28,$J605+1),0),IF(INDEX(Hourly_Analysis!$G$5:$G$28,$J605+1)&gt;0,($U605-INDEX(Hourly_Analysis!$F$5:$F$28,$J605+1))/INDEX(Hourly_Analysis!$G$5:$G$28,$J605+1),0)),2)</f>
        <v>-0.77</v>
      </c>
      <c r="AH605" s="23" t="str">
        <f>IF(ABS($AG605)&gt;Lookups!$B$20,IF($AG605&gt;0,"High anomaly","Low anomaly"),"")</f>
        <v/>
      </c>
      <c r="AI605" s="23" t="str">
        <f t="shared" si="58"/>
        <v>OK</v>
      </c>
      <c r="AJ605" s="23" t="str">
        <f t="shared" si="59"/>
        <v>No</v>
      </c>
    </row>
    <row r="606" spans="1:36" x14ac:dyDescent="0.35">
      <c r="A606" s="23">
        <v>605</v>
      </c>
      <c r="B606" s="23" t="str">
        <f t="shared" si="54"/>
        <v>Merge 1+2</v>
      </c>
      <c r="C606" s="23">
        <f>IFERROR(MATCH($A606,Merge_1_2!$A$2:$A$611,0),0)</f>
        <v>605</v>
      </c>
      <c r="D606" s="23">
        <f>IF($C606&gt;0,INDEX(Merge_1_2!$Q$2:$Q$611,$C606),0)</f>
        <v>605</v>
      </c>
      <c r="E606" s="23">
        <f>IFERROR(MATCH($A606,Dataset3_Raw!$A$2:$A$391,0),0)</f>
        <v>0</v>
      </c>
      <c r="F606" s="24">
        <f>IF($C606&gt;0,INDEX(Merge_1_2!$B$2:$B$611,$C606),DATE(VALUE(RIGHT(INDEX(Dataset3_Raw!$B$2:$B$391,$E606),4)),VALUE(MID(INDEX(Dataset3_Raw!$B$2:$B$391,$E606),4,2)),VALUE(LEFT(INDEX(Dataset3_Raw!$B$2:$B$391,$E606),2))))</f>
        <v>40571</v>
      </c>
      <c r="G606" s="23">
        <f>IF($C606&gt;0,INDEX(Merge_1_2!$C$2:$C$611,$C606),INDEX(Dataset3_Raw!$C$2:$C$391,$E606))</f>
        <v>1</v>
      </c>
      <c r="H606" s="23">
        <f>IF($C606&gt;0,INDEX(Merge_1_2!$D$2:$D$611,$C606),INDEX(Dataset3_Raw!$D$2:$D$391,$E606))</f>
        <v>0</v>
      </c>
      <c r="I606" s="23">
        <f>IF($C606&gt;0,INDEX(Merge_1_2!$E$2:$E$611,$C606),INDEX(Dataset3_Raw!$E$2:$E$391,$E606))</f>
        <v>1</v>
      </c>
      <c r="J606" s="23">
        <f>IF($C606&gt;0,INDEX(Merge_1_2!$F$2:$F$611,$C606),INDEX(Dataset3_Raw!$F$2:$F$391,$E606))</f>
        <v>10</v>
      </c>
      <c r="K606" s="23" t="b">
        <f>IF($C606&gt;0,INDEX(Merge_1_2!$G$2:$G$611,$C606),INDEX(Dataset3_Raw!$G$2:$G$391,$E606))</f>
        <v>0</v>
      </c>
      <c r="L606" s="23">
        <f>IF($C606&gt;0,INDEX(Merge_1_2!$H$2:$H$611,$C606),INDEX(Dataset3_Raw!$H$2:$H$391,$E606))</f>
        <v>5</v>
      </c>
      <c r="M606" s="23">
        <f>IF($C606&gt;0,INDEX(Merge_1_2!$I$2:$I$611,$C606),INDEX(Dataset3_Raw!$I$2:$I$391,$E606))</f>
        <v>3</v>
      </c>
      <c r="N606" s="25">
        <f>IF($C606&gt;0,INDEX(Merge_1_2!$J$2:$J$611,$C606),INDEX(Dataset3_Raw!$J$2:$J$391,$E606))</f>
        <v>0.18</v>
      </c>
      <c r="O606" s="25">
        <f>IF($C606&gt;0,IF(ISNUMBER(INDEX(Merge_1_2!$K$2:$K$611,$C606)),INDEX(Merge_1_2!$K$2:$K$611,$C606),""),INDEX(Dataset3_Raw!$K$2:$K$391,$E606))</f>
        <v>0.21210000000000001</v>
      </c>
      <c r="P606" s="25">
        <f>IF(ISNUMBER($O606),$O606,ROUND(Lookups!$B$25+Lookups!$B$24*$N606,4))</f>
        <v>0.21210000000000001</v>
      </c>
      <c r="Q606" s="25">
        <f>IF($C606&gt;0,INDEX(Merge_1_2!$L$2:$L$611,$C606),INDEX(Dataset3_Raw!$L$2:$L$391,$E606))</f>
        <v>0.86</v>
      </c>
      <c r="R606" s="25">
        <f>IF($C606&gt;0,INDEX(Merge_1_2!$M$2:$M$611,$C606),INDEX(Dataset3_Raw!$M$2:$M$391,$E606))</f>
        <v>0.1045</v>
      </c>
      <c r="S606" s="23">
        <f>IF($C606&gt;0,INDEX(Merge_1_2!$N$2:$N$611,$C606),INDEX(Dataset3_Raw!$N$2:$N$391,$E606))</f>
        <v>0</v>
      </c>
      <c r="T606" s="23">
        <f>IF($C606&gt;0,INDEX(Merge_1_2!$O$2:$O$611,$C606),INDEX(Dataset3_Raw!$O$2:$O$391,$E606))</f>
        <v>49</v>
      </c>
      <c r="U606" s="23">
        <f>IF($C606&gt;0,INDEX(Merge_1_2!$P$2:$P$611,$C606),INDEX(Dataset3_Raw!$P$2:$P$391,$E606))</f>
        <v>49</v>
      </c>
      <c r="V606" s="23" t="str">
        <f t="shared" si="55"/>
        <v>Weekday</v>
      </c>
      <c r="W606" s="23" t="str">
        <f>VLOOKUP($M606,Lookups!$A$5:$B$8,2,FALSE())</f>
        <v>Light snow / Light rain</v>
      </c>
      <c r="X606" s="23" t="str">
        <f>VLOOKUP($G606,Lookups!$D$5:$E$8,2,FALSE())</f>
        <v>Winter</v>
      </c>
      <c r="Y606" s="23" t="str">
        <f>VLOOKUP($L606,Lookups!$G$5:$H$11,2,FALSE())</f>
        <v>Friday</v>
      </c>
      <c r="Z606" s="23" t="str">
        <f>IF($J606&lt;Lookups!$B$26,"Night",IF($J606&lt;Lookups!$B$27,"Morning",IF($J606&lt;Lookups!$B$28,"Afternoon","Evening")))</f>
        <v>Morning</v>
      </c>
      <c r="AA606" s="26">
        <f>ROUND($N606*(Lookups!$B$16-Lookups!$B$15)+Lookups!$B$15,1)</f>
        <v>0.5</v>
      </c>
      <c r="AB606" s="26">
        <f>ROUND($P606*(Lookups!$B$18-Lookups!$B$17)+Lookups!$B$17,1)</f>
        <v>-2</v>
      </c>
      <c r="AC606" s="23">
        <f t="shared" si="56"/>
        <v>86</v>
      </c>
      <c r="AD606" s="23">
        <f>ROUND($R606*Lookups!$B$19,1)</f>
        <v>7</v>
      </c>
      <c r="AE606" s="27">
        <f t="shared" si="57"/>
        <v>1</v>
      </c>
      <c r="AF606" s="23" t="str">
        <f>IF($U606&gt;=Lookups!$B$23,"High",IF($U606&gt;=Lookups!$B$22,"Medium","Low"))</f>
        <v>Medium</v>
      </c>
      <c r="AG606" s="23">
        <f>ROUND(IF($V606="Weekday",IF(INDEX(Hourly_Analysis!$D$5:$D$28,$J606+1)&gt;0,($U606-INDEX(Hourly_Analysis!$C$5:$C$28,$J606+1))/INDEX(Hourly_Analysis!$D$5:$D$28,$J606+1),0),IF(INDEX(Hourly_Analysis!$G$5:$G$28,$J606+1)&gt;0,($U606-INDEX(Hourly_Analysis!$F$5:$F$28,$J606+1))/INDEX(Hourly_Analysis!$G$5:$G$28,$J606+1),0)),2)</f>
        <v>0.02</v>
      </c>
      <c r="AH606" s="23" t="str">
        <f>IF(ABS($AG606)&gt;Lookups!$B$20,IF($AG606&gt;0,"High anomaly","Low anomaly"),"")</f>
        <v/>
      </c>
      <c r="AI606" s="23" t="str">
        <f t="shared" si="58"/>
        <v>OK</v>
      </c>
      <c r="AJ606" s="23" t="str">
        <f t="shared" si="59"/>
        <v>No</v>
      </c>
    </row>
    <row r="607" spans="1:36" x14ac:dyDescent="0.35">
      <c r="A607" s="23">
        <v>606</v>
      </c>
      <c r="B607" s="23" t="str">
        <f t="shared" si="54"/>
        <v>Merge 1+2</v>
      </c>
      <c r="C607" s="23">
        <f>IFERROR(MATCH($A607,Merge_1_2!$A$2:$A$611,0),0)</f>
        <v>606</v>
      </c>
      <c r="D607" s="23">
        <f>IF($C607&gt;0,INDEX(Merge_1_2!$Q$2:$Q$611,$C607),0)</f>
        <v>606</v>
      </c>
      <c r="E607" s="23">
        <f>IFERROR(MATCH($A607,Dataset3_Raw!$A$2:$A$391,0),0)</f>
        <v>0</v>
      </c>
      <c r="F607" s="24">
        <f>IF($C607&gt;0,INDEX(Merge_1_2!$B$2:$B$611,$C607),DATE(VALUE(RIGHT(INDEX(Dataset3_Raw!$B$2:$B$391,$E607),4)),VALUE(MID(INDEX(Dataset3_Raw!$B$2:$B$391,$E607),4,2)),VALUE(LEFT(INDEX(Dataset3_Raw!$B$2:$B$391,$E607),2))))</f>
        <v>40571</v>
      </c>
      <c r="G607" s="23">
        <f>IF($C607&gt;0,INDEX(Merge_1_2!$C$2:$C$611,$C607),INDEX(Dataset3_Raw!$C$2:$C$391,$E607))</f>
        <v>1</v>
      </c>
      <c r="H607" s="23">
        <f>IF($C607&gt;0,INDEX(Merge_1_2!$D$2:$D$611,$C607),INDEX(Dataset3_Raw!$D$2:$D$391,$E607))</f>
        <v>0</v>
      </c>
      <c r="I607" s="23">
        <f>IF($C607&gt;0,INDEX(Merge_1_2!$E$2:$E$611,$C607),INDEX(Dataset3_Raw!$E$2:$E$391,$E607))</f>
        <v>1</v>
      </c>
      <c r="J607" s="23">
        <f>IF($C607&gt;0,INDEX(Merge_1_2!$F$2:$F$611,$C607),INDEX(Dataset3_Raw!$F$2:$F$391,$E607))</f>
        <v>11</v>
      </c>
      <c r="K607" s="23" t="b">
        <f>IF($C607&gt;0,INDEX(Merge_1_2!$G$2:$G$611,$C607),INDEX(Dataset3_Raw!$G$2:$G$391,$E607))</f>
        <v>0</v>
      </c>
      <c r="L607" s="23">
        <f>IF($C607&gt;0,INDEX(Merge_1_2!$H$2:$H$611,$C607),INDEX(Dataset3_Raw!$H$2:$H$391,$E607))</f>
        <v>5</v>
      </c>
      <c r="M607" s="23">
        <f>IF($C607&gt;0,INDEX(Merge_1_2!$I$2:$I$611,$C607),INDEX(Dataset3_Raw!$I$2:$I$391,$E607))</f>
        <v>3</v>
      </c>
      <c r="N607" s="25">
        <f>IF($C607&gt;0,INDEX(Merge_1_2!$J$2:$J$611,$C607),INDEX(Dataset3_Raw!$J$2:$J$391,$E607))</f>
        <v>0.18</v>
      </c>
      <c r="O607" s="25">
        <f>IF($C607&gt;0,IF(ISNUMBER(INDEX(Merge_1_2!$K$2:$K$611,$C607)),INDEX(Merge_1_2!$K$2:$K$611,$C607),""),INDEX(Dataset3_Raw!$K$2:$K$391,$E607))</f>
        <v>0.21210000000000001</v>
      </c>
      <c r="P607" s="25">
        <f>IF(ISNUMBER($O607),$O607,ROUND(Lookups!$B$25+Lookups!$B$24*$N607,4))</f>
        <v>0.21210000000000001</v>
      </c>
      <c r="Q607" s="25">
        <f>IF($C607&gt;0,INDEX(Merge_1_2!$L$2:$L$611,$C607),INDEX(Dataset3_Raw!$L$2:$L$391,$E607))</f>
        <v>0.93</v>
      </c>
      <c r="R607" s="25">
        <f>IF($C607&gt;0,INDEX(Merge_1_2!$M$2:$M$611,$C607),INDEX(Dataset3_Raw!$M$2:$M$391,$E607))</f>
        <v>0.1045</v>
      </c>
      <c r="S607" s="23">
        <f>IF($C607&gt;0,INDEX(Merge_1_2!$N$2:$N$611,$C607),INDEX(Dataset3_Raw!$N$2:$N$391,$E607))</f>
        <v>0</v>
      </c>
      <c r="T607" s="23">
        <f>IF($C607&gt;0,INDEX(Merge_1_2!$O$2:$O$611,$C607),INDEX(Dataset3_Raw!$O$2:$O$391,$E607))</f>
        <v>30</v>
      </c>
      <c r="U607" s="23">
        <f>IF($C607&gt;0,INDEX(Merge_1_2!$P$2:$P$611,$C607),INDEX(Dataset3_Raw!$P$2:$P$391,$E607))</f>
        <v>30</v>
      </c>
      <c r="V607" s="23" t="str">
        <f t="shared" si="55"/>
        <v>Weekday</v>
      </c>
      <c r="W607" s="23" t="str">
        <f>VLOOKUP($M607,Lookups!$A$5:$B$8,2,FALSE())</f>
        <v>Light snow / Light rain</v>
      </c>
      <c r="X607" s="23" t="str">
        <f>VLOOKUP($G607,Lookups!$D$5:$E$8,2,FALSE())</f>
        <v>Winter</v>
      </c>
      <c r="Y607" s="23" t="str">
        <f>VLOOKUP($L607,Lookups!$G$5:$H$11,2,FALSE())</f>
        <v>Friday</v>
      </c>
      <c r="Z607" s="23" t="str">
        <f>IF($J607&lt;Lookups!$B$26,"Night",IF($J607&lt;Lookups!$B$27,"Morning",IF($J607&lt;Lookups!$B$28,"Afternoon","Evening")))</f>
        <v>Morning</v>
      </c>
      <c r="AA607" s="26">
        <f>ROUND($N607*(Lookups!$B$16-Lookups!$B$15)+Lookups!$B$15,1)</f>
        <v>0.5</v>
      </c>
      <c r="AB607" s="26">
        <f>ROUND($P607*(Lookups!$B$18-Lookups!$B$17)+Lookups!$B$17,1)</f>
        <v>-2</v>
      </c>
      <c r="AC607" s="23">
        <f t="shared" si="56"/>
        <v>93</v>
      </c>
      <c r="AD607" s="23">
        <f>ROUND($R607*Lookups!$B$19,1)</f>
        <v>7</v>
      </c>
      <c r="AE607" s="27">
        <f t="shared" si="57"/>
        <v>1</v>
      </c>
      <c r="AF607" s="23" t="str">
        <f>IF($U607&gt;=Lookups!$B$23,"High",IF($U607&gt;=Lookups!$B$22,"Medium","Low"))</f>
        <v>Medium</v>
      </c>
      <c r="AG607" s="23">
        <f>ROUND(IF($V607="Weekday",IF(INDEX(Hourly_Analysis!$D$5:$D$28,$J607+1)&gt;0,($U607-INDEX(Hourly_Analysis!$C$5:$C$28,$J607+1))/INDEX(Hourly_Analysis!$D$5:$D$28,$J607+1),0),IF(INDEX(Hourly_Analysis!$G$5:$G$28,$J607+1)&gt;0,($U607-INDEX(Hourly_Analysis!$F$5:$F$28,$J607+1))/INDEX(Hourly_Analysis!$G$5:$G$28,$J607+1),0)),2)</f>
        <v>-1.81</v>
      </c>
      <c r="AH607" s="23" t="str">
        <f>IF(ABS($AG607)&gt;Lookups!$B$20,IF($AG607&gt;0,"High anomaly","Low anomaly"),"")</f>
        <v/>
      </c>
      <c r="AI607" s="23" t="str">
        <f t="shared" si="58"/>
        <v>OK</v>
      </c>
      <c r="AJ607" s="23" t="str">
        <f t="shared" si="59"/>
        <v>No</v>
      </c>
    </row>
    <row r="608" spans="1:36" x14ac:dyDescent="0.35">
      <c r="A608" s="23">
        <v>607</v>
      </c>
      <c r="B608" s="23" t="str">
        <f t="shared" si="54"/>
        <v>Merge 1+2</v>
      </c>
      <c r="C608" s="23">
        <f>IFERROR(MATCH($A608,Merge_1_2!$A$2:$A$611,0),0)</f>
        <v>607</v>
      </c>
      <c r="D608" s="23">
        <f>IF($C608&gt;0,INDEX(Merge_1_2!$Q$2:$Q$611,$C608),0)</f>
        <v>607</v>
      </c>
      <c r="E608" s="23">
        <f>IFERROR(MATCH($A608,Dataset3_Raw!$A$2:$A$391,0),0)</f>
        <v>0</v>
      </c>
      <c r="F608" s="24">
        <f>IF($C608&gt;0,INDEX(Merge_1_2!$B$2:$B$611,$C608),DATE(VALUE(RIGHT(INDEX(Dataset3_Raw!$B$2:$B$391,$E608),4)),VALUE(MID(INDEX(Dataset3_Raw!$B$2:$B$391,$E608),4,2)),VALUE(LEFT(INDEX(Dataset3_Raw!$B$2:$B$391,$E608),2))))</f>
        <v>40571</v>
      </c>
      <c r="G608" s="23">
        <f>IF($C608&gt;0,INDEX(Merge_1_2!$C$2:$C$611,$C608),INDEX(Dataset3_Raw!$C$2:$C$391,$E608))</f>
        <v>1</v>
      </c>
      <c r="H608" s="23">
        <f>IF($C608&gt;0,INDEX(Merge_1_2!$D$2:$D$611,$C608),INDEX(Dataset3_Raw!$D$2:$D$391,$E608))</f>
        <v>0</v>
      </c>
      <c r="I608" s="23">
        <f>IF($C608&gt;0,INDEX(Merge_1_2!$E$2:$E$611,$C608),INDEX(Dataset3_Raw!$E$2:$E$391,$E608))</f>
        <v>1</v>
      </c>
      <c r="J608" s="23">
        <f>IF($C608&gt;0,INDEX(Merge_1_2!$F$2:$F$611,$C608),INDEX(Dataset3_Raw!$F$2:$F$391,$E608))</f>
        <v>12</v>
      </c>
      <c r="K608" s="23" t="b">
        <f>IF($C608&gt;0,INDEX(Merge_1_2!$G$2:$G$611,$C608),INDEX(Dataset3_Raw!$G$2:$G$391,$E608))</f>
        <v>0</v>
      </c>
      <c r="L608" s="23">
        <f>IF($C608&gt;0,INDEX(Merge_1_2!$H$2:$H$611,$C608),INDEX(Dataset3_Raw!$H$2:$H$391,$E608))</f>
        <v>5</v>
      </c>
      <c r="M608" s="23">
        <f>IF($C608&gt;0,INDEX(Merge_1_2!$I$2:$I$611,$C608),INDEX(Dataset3_Raw!$I$2:$I$391,$E608))</f>
        <v>3</v>
      </c>
      <c r="N608" s="25">
        <f>IF($C608&gt;0,INDEX(Merge_1_2!$J$2:$J$611,$C608),INDEX(Dataset3_Raw!$J$2:$J$391,$E608))</f>
        <v>0.18</v>
      </c>
      <c r="O608" s="25">
        <f>IF($C608&gt;0,IF(ISNUMBER(INDEX(Merge_1_2!$K$2:$K$611,$C608)),INDEX(Merge_1_2!$K$2:$K$611,$C608),""),INDEX(Dataset3_Raw!$K$2:$K$391,$E608))</f>
        <v>0.21210000000000001</v>
      </c>
      <c r="P608" s="25">
        <f>IF(ISNUMBER($O608),$O608,ROUND(Lookups!$B$25+Lookups!$B$24*$N608,4))</f>
        <v>0.21210000000000001</v>
      </c>
      <c r="Q608" s="25">
        <f>IF($C608&gt;0,INDEX(Merge_1_2!$L$2:$L$611,$C608),INDEX(Dataset3_Raw!$L$2:$L$391,$E608))</f>
        <v>0.93</v>
      </c>
      <c r="R608" s="25">
        <f>IF($C608&gt;0,INDEX(Merge_1_2!$M$2:$M$611,$C608),INDEX(Dataset3_Raw!$M$2:$M$391,$E608))</f>
        <v>0.1045</v>
      </c>
      <c r="S608" s="23">
        <f>IF($C608&gt;0,INDEX(Merge_1_2!$N$2:$N$611,$C608),INDEX(Dataset3_Raw!$N$2:$N$391,$E608))</f>
        <v>1</v>
      </c>
      <c r="T608" s="23">
        <f>IF($C608&gt;0,INDEX(Merge_1_2!$O$2:$O$611,$C608),INDEX(Dataset3_Raw!$O$2:$O$391,$E608))</f>
        <v>28</v>
      </c>
      <c r="U608" s="23">
        <f>IF($C608&gt;0,INDEX(Merge_1_2!$P$2:$P$611,$C608),INDEX(Dataset3_Raw!$P$2:$P$391,$E608))</f>
        <v>29</v>
      </c>
      <c r="V608" s="23" t="str">
        <f t="shared" si="55"/>
        <v>Weekday</v>
      </c>
      <c r="W608" s="23" t="str">
        <f>VLOOKUP($M608,Lookups!$A$5:$B$8,2,FALSE())</f>
        <v>Light snow / Light rain</v>
      </c>
      <c r="X608" s="23" t="str">
        <f>VLOOKUP($G608,Lookups!$D$5:$E$8,2,FALSE())</f>
        <v>Winter</v>
      </c>
      <c r="Y608" s="23" t="str">
        <f>VLOOKUP($L608,Lookups!$G$5:$H$11,2,FALSE())</f>
        <v>Friday</v>
      </c>
      <c r="Z608" s="23" t="str">
        <f>IF($J608&lt;Lookups!$B$26,"Night",IF($J608&lt;Lookups!$B$27,"Morning",IF($J608&lt;Lookups!$B$28,"Afternoon","Evening")))</f>
        <v>Afternoon</v>
      </c>
      <c r="AA608" s="26">
        <f>ROUND($N608*(Lookups!$B$16-Lookups!$B$15)+Lookups!$B$15,1)</f>
        <v>0.5</v>
      </c>
      <c r="AB608" s="26">
        <f>ROUND($P608*(Lookups!$B$18-Lookups!$B$17)+Lookups!$B$17,1)</f>
        <v>-2</v>
      </c>
      <c r="AC608" s="23">
        <f t="shared" si="56"/>
        <v>93</v>
      </c>
      <c r="AD608" s="23">
        <f>ROUND($R608*Lookups!$B$19,1)</f>
        <v>7</v>
      </c>
      <c r="AE608" s="27">
        <f t="shared" si="57"/>
        <v>0.96551724137931039</v>
      </c>
      <c r="AF608" s="23" t="str">
        <f>IF($U608&gt;=Lookups!$B$23,"High",IF($U608&gt;=Lookups!$B$22,"Medium","Low"))</f>
        <v>Medium</v>
      </c>
      <c r="AG608" s="23">
        <f>ROUND(IF($V608="Weekday",IF(INDEX(Hourly_Analysis!$D$5:$D$28,$J608+1)&gt;0,($U608-INDEX(Hourly_Analysis!$C$5:$C$28,$J608+1))/INDEX(Hourly_Analysis!$D$5:$D$28,$J608+1),0),IF(INDEX(Hourly_Analysis!$G$5:$G$28,$J608+1)&gt;0,($U608-INDEX(Hourly_Analysis!$F$5:$F$28,$J608+1))/INDEX(Hourly_Analysis!$G$5:$G$28,$J608+1),0)),2)</f>
        <v>-1.86</v>
      </c>
      <c r="AH608" s="23" t="str">
        <f>IF(ABS($AG608)&gt;Lookups!$B$20,IF($AG608&gt;0,"High anomaly","Low anomaly"),"")</f>
        <v/>
      </c>
      <c r="AI608" s="23" t="str">
        <f t="shared" si="58"/>
        <v>OK</v>
      </c>
      <c r="AJ608" s="23" t="str">
        <f t="shared" si="59"/>
        <v>No</v>
      </c>
    </row>
    <row r="609" spans="1:36" x14ac:dyDescent="0.35">
      <c r="A609" s="23">
        <v>608</v>
      </c>
      <c r="B609" s="23" t="str">
        <f t="shared" si="54"/>
        <v>Merge 1+2</v>
      </c>
      <c r="C609" s="23">
        <f>IFERROR(MATCH($A609,Merge_1_2!$A$2:$A$611,0),0)</f>
        <v>608</v>
      </c>
      <c r="D609" s="23">
        <f>IF($C609&gt;0,INDEX(Merge_1_2!$Q$2:$Q$611,$C609),0)</f>
        <v>608</v>
      </c>
      <c r="E609" s="23">
        <f>IFERROR(MATCH($A609,Dataset3_Raw!$A$2:$A$391,0),0)</f>
        <v>0</v>
      </c>
      <c r="F609" s="24">
        <f>IF($C609&gt;0,INDEX(Merge_1_2!$B$2:$B$611,$C609),DATE(VALUE(RIGHT(INDEX(Dataset3_Raw!$B$2:$B$391,$E609),4)),VALUE(MID(INDEX(Dataset3_Raw!$B$2:$B$391,$E609),4,2)),VALUE(LEFT(INDEX(Dataset3_Raw!$B$2:$B$391,$E609),2))))</f>
        <v>40571</v>
      </c>
      <c r="G609" s="23">
        <f>IF($C609&gt;0,INDEX(Merge_1_2!$C$2:$C$611,$C609),INDEX(Dataset3_Raw!$C$2:$C$391,$E609))</f>
        <v>1</v>
      </c>
      <c r="H609" s="23">
        <f>IF($C609&gt;0,INDEX(Merge_1_2!$D$2:$D$611,$C609),INDEX(Dataset3_Raw!$D$2:$D$391,$E609))</f>
        <v>0</v>
      </c>
      <c r="I609" s="23">
        <f>IF($C609&gt;0,INDEX(Merge_1_2!$E$2:$E$611,$C609),INDEX(Dataset3_Raw!$E$2:$E$391,$E609))</f>
        <v>1</v>
      </c>
      <c r="J609" s="23">
        <f>IF($C609&gt;0,INDEX(Merge_1_2!$F$2:$F$611,$C609),INDEX(Dataset3_Raw!$F$2:$F$391,$E609))</f>
        <v>13</v>
      </c>
      <c r="K609" s="23" t="b">
        <f>IF($C609&gt;0,INDEX(Merge_1_2!$G$2:$G$611,$C609),INDEX(Dataset3_Raw!$G$2:$G$391,$E609))</f>
        <v>0</v>
      </c>
      <c r="L609" s="23">
        <f>IF($C609&gt;0,INDEX(Merge_1_2!$H$2:$H$611,$C609),INDEX(Dataset3_Raw!$H$2:$H$391,$E609))</f>
        <v>5</v>
      </c>
      <c r="M609" s="23">
        <f>IF($C609&gt;0,INDEX(Merge_1_2!$I$2:$I$611,$C609),INDEX(Dataset3_Raw!$I$2:$I$391,$E609))</f>
        <v>3</v>
      </c>
      <c r="N609" s="25">
        <f>IF($C609&gt;0,INDEX(Merge_1_2!$J$2:$J$611,$C609),INDEX(Dataset3_Raw!$J$2:$J$391,$E609))</f>
        <v>0.18</v>
      </c>
      <c r="O609" s="25">
        <f>IF($C609&gt;0,IF(ISNUMBER(INDEX(Merge_1_2!$K$2:$K$611,$C609)),INDEX(Merge_1_2!$K$2:$K$611,$C609),""),INDEX(Dataset3_Raw!$K$2:$K$391,$E609))</f>
        <v>0.21210000000000001</v>
      </c>
      <c r="P609" s="25">
        <f>IF(ISNUMBER($O609),$O609,ROUND(Lookups!$B$25+Lookups!$B$24*$N609,4))</f>
        <v>0.21210000000000001</v>
      </c>
      <c r="Q609" s="25">
        <f>IF($C609&gt;0,INDEX(Merge_1_2!$L$2:$L$611,$C609),INDEX(Dataset3_Raw!$L$2:$L$391,$E609))</f>
        <v>0.93</v>
      </c>
      <c r="R609" s="25">
        <f>IF($C609&gt;0,INDEX(Merge_1_2!$M$2:$M$611,$C609),INDEX(Dataset3_Raw!$M$2:$M$391,$E609))</f>
        <v>0.1045</v>
      </c>
      <c r="S609" s="23">
        <f>IF($C609&gt;0,INDEX(Merge_1_2!$N$2:$N$611,$C609),INDEX(Dataset3_Raw!$N$2:$N$391,$E609))</f>
        <v>0</v>
      </c>
      <c r="T609" s="23">
        <f>IF($C609&gt;0,INDEX(Merge_1_2!$O$2:$O$611,$C609),INDEX(Dataset3_Raw!$O$2:$O$391,$E609))</f>
        <v>31</v>
      </c>
      <c r="U609" s="23">
        <f>IF($C609&gt;0,INDEX(Merge_1_2!$P$2:$P$611,$C609),INDEX(Dataset3_Raw!$P$2:$P$391,$E609))</f>
        <v>31</v>
      </c>
      <c r="V609" s="23" t="str">
        <f t="shared" si="55"/>
        <v>Weekday</v>
      </c>
      <c r="W609" s="23" t="str">
        <f>VLOOKUP($M609,Lookups!$A$5:$B$8,2,FALSE())</f>
        <v>Light snow / Light rain</v>
      </c>
      <c r="X609" s="23" t="str">
        <f>VLOOKUP($G609,Lookups!$D$5:$E$8,2,FALSE())</f>
        <v>Winter</v>
      </c>
      <c r="Y609" s="23" t="str">
        <f>VLOOKUP($L609,Lookups!$G$5:$H$11,2,FALSE())</f>
        <v>Friday</v>
      </c>
      <c r="Z609" s="23" t="str">
        <f>IF($J609&lt;Lookups!$B$26,"Night",IF($J609&lt;Lookups!$B$27,"Morning",IF($J609&lt;Lookups!$B$28,"Afternoon","Evening")))</f>
        <v>Afternoon</v>
      </c>
      <c r="AA609" s="26">
        <f>ROUND($N609*(Lookups!$B$16-Lookups!$B$15)+Lookups!$B$15,1)</f>
        <v>0.5</v>
      </c>
      <c r="AB609" s="26">
        <f>ROUND($P609*(Lookups!$B$18-Lookups!$B$17)+Lookups!$B$17,1)</f>
        <v>-2</v>
      </c>
      <c r="AC609" s="23">
        <f t="shared" si="56"/>
        <v>93</v>
      </c>
      <c r="AD609" s="23">
        <f>ROUND($R609*Lookups!$B$19,1)</f>
        <v>7</v>
      </c>
      <c r="AE609" s="27">
        <f t="shared" si="57"/>
        <v>1</v>
      </c>
      <c r="AF609" s="23" t="str">
        <f>IF($U609&gt;=Lookups!$B$23,"High",IF($U609&gt;=Lookups!$B$22,"Medium","Low"))</f>
        <v>Medium</v>
      </c>
      <c r="AG609" s="23">
        <f>ROUND(IF($V609="Weekday",IF(INDEX(Hourly_Analysis!$D$5:$D$28,$J609+1)&gt;0,($U609-INDEX(Hourly_Analysis!$C$5:$C$28,$J609+1))/INDEX(Hourly_Analysis!$D$5:$D$28,$J609+1),0),IF(INDEX(Hourly_Analysis!$G$5:$G$28,$J609+1)&gt;0,($U609-INDEX(Hourly_Analysis!$F$5:$F$28,$J609+1))/INDEX(Hourly_Analysis!$G$5:$G$28,$J609+1),0)),2)</f>
        <v>-1.77</v>
      </c>
      <c r="AH609" s="23" t="str">
        <f>IF(ABS($AG609)&gt;Lookups!$B$20,IF($AG609&gt;0,"High anomaly","Low anomaly"),"")</f>
        <v/>
      </c>
      <c r="AI609" s="23" t="str">
        <f t="shared" si="58"/>
        <v>OK</v>
      </c>
      <c r="AJ609" s="23" t="str">
        <f t="shared" si="59"/>
        <v>No</v>
      </c>
    </row>
    <row r="610" spans="1:36" x14ac:dyDescent="0.35">
      <c r="A610" s="23">
        <v>609</v>
      </c>
      <c r="B610" s="23" t="str">
        <f t="shared" si="54"/>
        <v>Merge 1+2</v>
      </c>
      <c r="C610" s="23">
        <f>IFERROR(MATCH($A610,Merge_1_2!$A$2:$A$611,0),0)</f>
        <v>609</v>
      </c>
      <c r="D610" s="23">
        <f>IF($C610&gt;0,INDEX(Merge_1_2!$Q$2:$Q$611,$C610),0)</f>
        <v>609</v>
      </c>
      <c r="E610" s="23">
        <f>IFERROR(MATCH($A610,Dataset3_Raw!$A$2:$A$391,0),0)</f>
        <v>0</v>
      </c>
      <c r="F610" s="24">
        <f>IF($C610&gt;0,INDEX(Merge_1_2!$B$2:$B$611,$C610),DATE(VALUE(RIGHT(INDEX(Dataset3_Raw!$B$2:$B$391,$E610),4)),VALUE(MID(INDEX(Dataset3_Raw!$B$2:$B$391,$E610),4,2)),VALUE(LEFT(INDEX(Dataset3_Raw!$B$2:$B$391,$E610),2))))</f>
        <v>40571</v>
      </c>
      <c r="G610" s="23">
        <f>IF($C610&gt;0,INDEX(Merge_1_2!$C$2:$C$611,$C610),INDEX(Dataset3_Raw!$C$2:$C$391,$E610))</f>
        <v>1</v>
      </c>
      <c r="H610" s="23">
        <f>IF($C610&gt;0,INDEX(Merge_1_2!$D$2:$D$611,$C610),INDEX(Dataset3_Raw!$D$2:$D$391,$E610))</f>
        <v>0</v>
      </c>
      <c r="I610" s="23">
        <f>IF($C610&gt;0,INDEX(Merge_1_2!$E$2:$E$611,$C610),INDEX(Dataset3_Raw!$E$2:$E$391,$E610))</f>
        <v>1</v>
      </c>
      <c r="J610" s="23">
        <f>IF($C610&gt;0,INDEX(Merge_1_2!$F$2:$F$611,$C610),INDEX(Dataset3_Raw!$F$2:$F$391,$E610))</f>
        <v>14</v>
      </c>
      <c r="K610" s="23" t="b">
        <f>IF($C610&gt;0,INDEX(Merge_1_2!$G$2:$G$611,$C610),INDEX(Dataset3_Raw!$G$2:$G$391,$E610))</f>
        <v>0</v>
      </c>
      <c r="L610" s="23">
        <f>IF($C610&gt;0,INDEX(Merge_1_2!$H$2:$H$611,$C610),INDEX(Dataset3_Raw!$H$2:$H$391,$E610))</f>
        <v>5</v>
      </c>
      <c r="M610" s="23">
        <f>IF($C610&gt;0,INDEX(Merge_1_2!$I$2:$I$611,$C610),INDEX(Dataset3_Raw!$I$2:$I$391,$E610))</f>
        <v>3</v>
      </c>
      <c r="N610" s="25">
        <f>IF($C610&gt;0,INDEX(Merge_1_2!$J$2:$J$611,$C610),INDEX(Dataset3_Raw!$J$2:$J$391,$E610))</f>
        <v>0.22</v>
      </c>
      <c r="O610" s="25">
        <f>IF($C610&gt;0,IF(ISNUMBER(INDEX(Merge_1_2!$K$2:$K$611,$C610)),INDEX(Merge_1_2!$K$2:$K$611,$C610),""),INDEX(Dataset3_Raw!$K$2:$K$391,$E610))</f>
        <v>0.2727</v>
      </c>
      <c r="P610" s="25">
        <f>IF(ISNUMBER($O610),$O610,ROUND(Lookups!$B$25+Lookups!$B$24*$N610,4))</f>
        <v>0.2727</v>
      </c>
      <c r="Q610" s="25">
        <f>IF($C610&gt;0,INDEX(Merge_1_2!$L$2:$L$611,$C610),INDEX(Dataset3_Raw!$L$2:$L$391,$E610))</f>
        <v>0.8</v>
      </c>
      <c r="R610" s="25">
        <f>IF($C610&gt;0,INDEX(Merge_1_2!$M$2:$M$611,$C610),INDEX(Dataset3_Raw!$M$2:$M$391,$E610))</f>
        <v>0</v>
      </c>
      <c r="S610" s="23">
        <f>IF($C610&gt;0,INDEX(Merge_1_2!$N$2:$N$611,$C610),INDEX(Dataset3_Raw!$N$2:$N$391,$E610))</f>
        <v>2</v>
      </c>
      <c r="T610" s="23">
        <f>IF($C610&gt;0,INDEX(Merge_1_2!$O$2:$O$611,$C610),INDEX(Dataset3_Raw!$O$2:$O$391,$E610))</f>
        <v>36</v>
      </c>
      <c r="U610" s="23">
        <f>IF($C610&gt;0,INDEX(Merge_1_2!$P$2:$P$611,$C610),INDEX(Dataset3_Raw!$P$2:$P$391,$E610))</f>
        <v>38</v>
      </c>
      <c r="V610" s="23" t="str">
        <f t="shared" si="55"/>
        <v>Weekday</v>
      </c>
      <c r="W610" s="23" t="str">
        <f>VLOOKUP($M610,Lookups!$A$5:$B$8,2,FALSE())</f>
        <v>Light snow / Light rain</v>
      </c>
      <c r="X610" s="23" t="str">
        <f>VLOOKUP($G610,Lookups!$D$5:$E$8,2,FALSE())</f>
        <v>Winter</v>
      </c>
      <c r="Y610" s="23" t="str">
        <f>VLOOKUP($L610,Lookups!$G$5:$H$11,2,FALSE())</f>
        <v>Friday</v>
      </c>
      <c r="Z610" s="23" t="str">
        <f>IF($J610&lt;Lookups!$B$26,"Night",IF($J610&lt;Lookups!$B$27,"Morning",IF($J610&lt;Lookups!$B$28,"Afternoon","Evening")))</f>
        <v>Afternoon</v>
      </c>
      <c r="AA610" s="26">
        <f>ROUND($N610*(Lookups!$B$16-Lookups!$B$15)+Lookups!$B$15,1)</f>
        <v>2.2999999999999998</v>
      </c>
      <c r="AB610" s="26">
        <f>ROUND($P610*(Lookups!$B$18-Lookups!$B$17)+Lookups!$B$17,1)</f>
        <v>2</v>
      </c>
      <c r="AC610" s="23">
        <f t="shared" si="56"/>
        <v>80</v>
      </c>
      <c r="AD610" s="23">
        <f>ROUND($R610*Lookups!$B$19,1)</f>
        <v>0</v>
      </c>
      <c r="AE610" s="27">
        <f t="shared" si="57"/>
        <v>0.94736842105263153</v>
      </c>
      <c r="AF610" s="23" t="str">
        <f>IF($U610&gt;=Lookups!$B$23,"High",IF($U610&gt;=Lookups!$B$22,"Medium","Low"))</f>
        <v>Medium</v>
      </c>
      <c r="AG610" s="23">
        <f>ROUND(IF($V610="Weekday",IF(INDEX(Hourly_Analysis!$D$5:$D$28,$J610+1)&gt;0,($U610-INDEX(Hourly_Analysis!$C$5:$C$28,$J610+1))/INDEX(Hourly_Analysis!$D$5:$D$28,$J610+1),0),IF(INDEX(Hourly_Analysis!$G$5:$G$28,$J610+1)&gt;0,($U610-INDEX(Hourly_Analysis!$F$5:$F$28,$J610+1))/INDEX(Hourly_Analysis!$G$5:$G$28,$J610+1),0)),2)</f>
        <v>-1.35</v>
      </c>
      <c r="AH610" s="23" t="str">
        <f>IF(ABS($AG610)&gt;Lookups!$B$20,IF($AG610&gt;0,"High anomaly","Low anomaly"),"")</f>
        <v/>
      </c>
      <c r="AI610" s="23" t="str">
        <f t="shared" si="58"/>
        <v>OK</v>
      </c>
      <c r="AJ610" s="23" t="str">
        <f t="shared" si="59"/>
        <v>No</v>
      </c>
    </row>
    <row r="611" spans="1:36" x14ac:dyDescent="0.35">
      <c r="A611" s="23">
        <v>610</v>
      </c>
      <c r="B611" s="23" t="str">
        <f t="shared" si="54"/>
        <v>Merge 1+2</v>
      </c>
      <c r="C611" s="23">
        <f>IFERROR(MATCH($A611,Merge_1_2!$A$2:$A$611,0),0)</f>
        <v>610</v>
      </c>
      <c r="D611" s="23">
        <f>IF($C611&gt;0,INDEX(Merge_1_2!$Q$2:$Q$611,$C611),0)</f>
        <v>610</v>
      </c>
      <c r="E611" s="23">
        <f>IFERROR(MATCH($A611,Dataset3_Raw!$A$2:$A$391,0),0)</f>
        <v>0</v>
      </c>
      <c r="F611" s="24">
        <f>IF($C611&gt;0,INDEX(Merge_1_2!$B$2:$B$611,$C611),DATE(VALUE(RIGHT(INDEX(Dataset3_Raw!$B$2:$B$391,$E611),4)),VALUE(MID(INDEX(Dataset3_Raw!$B$2:$B$391,$E611),4,2)),VALUE(LEFT(INDEX(Dataset3_Raw!$B$2:$B$391,$E611),2))))</f>
        <v>40571</v>
      </c>
      <c r="G611" s="23">
        <f>IF($C611&gt;0,INDEX(Merge_1_2!$C$2:$C$611,$C611),INDEX(Dataset3_Raw!$C$2:$C$391,$E611))</f>
        <v>1</v>
      </c>
      <c r="H611" s="23">
        <f>IF($C611&gt;0,INDEX(Merge_1_2!$D$2:$D$611,$C611),INDEX(Dataset3_Raw!$D$2:$D$391,$E611))</f>
        <v>0</v>
      </c>
      <c r="I611" s="23">
        <f>IF($C611&gt;0,INDEX(Merge_1_2!$E$2:$E$611,$C611),INDEX(Dataset3_Raw!$E$2:$E$391,$E611))</f>
        <v>1</v>
      </c>
      <c r="J611" s="23">
        <f>IF($C611&gt;0,INDEX(Merge_1_2!$F$2:$F$611,$C611),INDEX(Dataset3_Raw!$F$2:$F$391,$E611))</f>
        <v>15</v>
      </c>
      <c r="K611" s="23" t="b">
        <f>IF($C611&gt;0,INDEX(Merge_1_2!$G$2:$G$611,$C611),INDEX(Dataset3_Raw!$G$2:$G$391,$E611))</f>
        <v>0</v>
      </c>
      <c r="L611" s="23">
        <f>IF($C611&gt;0,INDEX(Merge_1_2!$H$2:$H$611,$C611),INDEX(Dataset3_Raw!$H$2:$H$391,$E611))</f>
        <v>5</v>
      </c>
      <c r="M611" s="23">
        <f>IF($C611&gt;0,INDEX(Merge_1_2!$I$2:$I$611,$C611),INDEX(Dataset3_Raw!$I$2:$I$391,$E611))</f>
        <v>2</v>
      </c>
      <c r="N611" s="25">
        <f>IF($C611&gt;0,INDEX(Merge_1_2!$J$2:$J$611,$C611),INDEX(Dataset3_Raw!$J$2:$J$391,$E611))</f>
        <v>0.2</v>
      </c>
      <c r="O611" s="25">
        <f>IF($C611&gt;0,IF(ISNUMBER(INDEX(Merge_1_2!$K$2:$K$611,$C611)),INDEX(Merge_1_2!$K$2:$K$611,$C611),""),INDEX(Dataset3_Raw!$K$2:$K$391,$E611))</f>
        <v>0.2576</v>
      </c>
      <c r="P611" s="25">
        <f>IF(ISNUMBER($O611),$O611,ROUND(Lookups!$B$25+Lookups!$B$24*$N611,4))</f>
        <v>0.2576</v>
      </c>
      <c r="Q611" s="25">
        <f>IF($C611&gt;0,INDEX(Merge_1_2!$L$2:$L$611,$C611),INDEX(Dataset3_Raw!$L$2:$L$391,$E611))</f>
        <v>0.86</v>
      </c>
      <c r="R611" s="25">
        <f>IF($C611&gt;0,INDEX(Merge_1_2!$M$2:$M$611,$C611),INDEX(Dataset3_Raw!$M$2:$M$391,$E611))</f>
        <v>0</v>
      </c>
      <c r="S611" s="23">
        <f>IF($C611&gt;0,INDEX(Merge_1_2!$N$2:$N$611,$C611),INDEX(Dataset3_Raw!$N$2:$N$391,$E611))</f>
        <v>1</v>
      </c>
      <c r="T611" s="23">
        <f>IF($C611&gt;0,INDEX(Merge_1_2!$O$2:$O$611,$C611),INDEX(Dataset3_Raw!$O$2:$O$391,$E611))</f>
        <v>40</v>
      </c>
      <c r="U611" s="23">
        <f>IF($C611&gt;0,INDEX(Merge_1_2!$P$2:$P$611,$C611),INDEX(Dataset3_Raw!$P$2:$P$391,$E611))</f>
        <v>41</v>
      </c>
      <c r="V611" s="23" t="str">
        <f t="shared" si="55"/>
        <v>Weekday</v>
      </c>
      <c r="W611" s="23" t="str">
        <f>VLOOKUP($M611,Lookups!$A$5:$B$8,2,FALSE())</f>
        <v>Mist / Cloudy</v>
      </c>
      <c r="X611" s="23" t="str">
        <f>VLOOKUP($G611,Lookups!$D$5:$E$8,2,FALSE())</f>
        <v>Winter</v>
      </c>
      <c r="Y611" s="23" t="str">
        <f>VLOOKUP($L611,Lookups!$G$5:$H$11,2,FALSE())</f>
        <v>Friday</v>
      </c>
      <c r="Z611" s="23" t="str">
        <f>IF($J611&lt;Lookups!$B$26,"Night",IF($J611&lt;Lookups!$B$27,"Morning",IF($J611&lt;Lookups!$B$28,"Afternoon","Evening")))</f>
        <v>Afternoon</v>
      </c>
      <c r="AA611" s="26">
        <f>ROUND($N611*(Lookups!$B$16-Lookups!$B$15)+Lookups!$B$15,1)</f>
        <v>1.4</v>
      </c>
      <c r="AB611" s="26">
        <f>ROUND($P611*(Lookups!$B$18-Lookups!$B$17)+Lookups!$B$17,1)</f>
        <v>1</v>
      </c>
      <c r="AC611" s="23">
        <f t="shared" si="56"/>
        <v>86</v>
      </c>
      <c r="AD611" s="23">
        <f>ROUND($R611*Lookups!$B$19,1)</f>
        <v>0</v>
      </c>
      <c r="AE611" s="27">
        <f t="shared" si="57"/>
        <v>0.97560975609756095</v>
      </c>
      <c r="AF611" s="23" t="str">
        <f>IF($U611&gt;=Lookups!$B$23,"High",IF($U611&gt;=Lookups!$B$22,"Medium","Low"))</f>
        <v>Medium</v>
      </c>
      <c r="AG611" s="23">
        <f>ROUND(IF($V611="Weekday",IF(INDEX(Hourly_Analysis!$D$5:$D$28,$J611+1)&gt;0,($U611-INDEX(Hourly_Analysis!$C$5:$C$28,$J611+1))/INDEX(Hourly_Analysis!$D$5:$D$28,$J611+1),0),IF(INDEX(Hourly_Analysis!$G$5:$G$28,$J611+1)&gt;0,($U611-INDEX(Hourly_Analysis!$F$5:$F$28,$J611+1))/INDEX(Hourly_Analysis!$G$5:$G$28,$J611+1),0)),2)</f>
        <v>-1.38</v>
      </c>
      <c r="AH611" s="23" t="str">
        <f>IF(ABS($AG611)&gt;Lookups!$B$20,IF($AG611&gt;0,"High anomaly","Low anomaly"),"")</f>
        <v/>
      </c>
      <c r="AI611" s="23" t="str">
        <f t="shared" si="58"/>
        <v>OK</v>
      </c>
      <c r="AJ611" s="23" t="str">
        <f t="shared" si="59"/>
        <v>No</v>
      </c>
    </row>
    <row r="612" spans="1:36" x14ac:dyDescent="0.35">
      <c r="A612" s="23">
        <v>611</v>
      </c>
      <c r="B612" s="23" t="str">
        <f t="shared" si="54"/>
        <v>Dataset 3</v>
      </c>
      <c r="C612" s="23">
        <f>IFERROR(MATCH($A612,Merge_1_2!$A$2:$A$611,0),0)</f>
        <v>0</v>
      </c>
      <c r="D612" s="23">
        <f>IF($C612&gt;0,INDEX(Merge_1_2!$Q$2:$Q$611,$C612),0)</f>
        <v>0</v>
      </c>
      <c r="E612" s="23">
        <f>IFERROR(MATCH($A612,Dataset3_Raw!$A$2:$A$391,0),0)</f>
        <v>1</v>
      </c>
      <c r="F612" s="24">
        <f>IF($C612&gt;0,INDEX(Merge_1_2!$B$2:$B$611,$C612),DATE(VALUE(RIGHT(INDEX(Dataset3_Raw!$B$2:$B$391,$E612),4)),VALUE(MID(INDEX(Dataset3_Raw!$B$2:$B$391,$E612),4,2)),VALUE(LEFT(INDEX(Dataset3_Raw!$B$2:$B$391,$E612),2))))</f>
        <v>40571</v>
      </c>
      <c r="G612" s="23">
        <f>IF($C612&gt;0,INDEX(Merge_1_2!$C$2:$C$611,$C612),INDEX(Dataset3_Raw!$C$2:$C$391,$E612))</f>
        <v>1</v>
      </c>
      <c r="H612" s="23">
        <f>IF($C612&gt;0,INDEX(Merge_1_2!$D$2:$D$611,$C612),INDEX(Dataset3_Raw!$D$2:$D$391,$E612))</f>
        <v>0</v>
      </c>
      <c r="I612" s="23">
        <f>IF($C612&gt;0,INDEX(Merge_1_2!$E$2:$E$611,$C612),INDEX(Dataset3_Raw!$E$2:$E$391,$E612))</f>
        <v>1</v>
      </c>
      <c r="J612" s="23">
        <f>IF($C612&gt;0,INDEX(Merge_1_2!$F$2:$F$611,$C612),INDEX(Dataset3_Raw!$F$2:$F$391,$E612))</f>
        <v>16</v>
      </c>
      <c r="K612" s="23" t="b">
        <f>IF($C612&gt;0,INDEX(Merge_1_2!$G$2:$G$611,$C612),INDEX(Dataset3_Raw!$G$2:$G$391,$E612))</f>
        <v>0</v>
      </c>
      <c r="L612" s="23">
        <f>IF($C612&gt;0,INDEX(Merge_1_2!$H$2:$H$611,$C612),INDEX(Dataset3_Raw!$H$2:$H$391,$E612))</f>
        <v>5</v>
      </c>
      <c r="M612" s="23">
        <f>IF($C612&gt;0,INDEX(Merge_1_2!$I$2:$I$611,$C612),INDEX(Dataset3_Raw!$I$2:$I$391,$E612))</f>
        <v>1</v>
      </c>
      <c r="N612" s="25">
        <f>IF($C612&gt;0,INDEX(Merge_1_2!$J$2:$J$611,$C612),INDEX(Dataset3_Raw!$J$2:$J$391,$E612))</f>
        <v>0.22</v>
      </c>
      <c r="O612" s="25">
        <f>IF($C612&gt;0,IF(ISNUMBER(INDEX(Merge_1_2!$K$2:$K$611,$C612)),INDEX(Merge_1_2!$K$2:$K$611,$C612),""),INDEX(Dataset3_Raw!$K$2:$K$391,$E612))</f>
        <v>0.2727</v>
      </c>
      <c r="P612" s="25">
        <f>IF(ISNUMBER($O612),$O612,ROUND(Lookups!$B$25+Lookups!$B$24*$N612,4))</f>
        <v>0.2727</v>
      </c>
      <c r="Q612" s="25">
        <f>IF($C612&gt;0,INDEX(Merge_1_2!$L$2:$L$611,$C612),INDEX(Dataset3_Raw!$L$2:$L$391,$E612))</f>
        <v>0.8</v>
      </c>
      <c r="R612" s="25">
        <f>IF($C612&gt;0,INDEX(Merge_1_2!$M$2:$M$611,$C612),INDEX(Dataset3_Raw!$M$2:$M$391,$E612))</f>
        <v>0</v>
      </c>
      <c r="S612" s="23">
        <f>IF($C612&gt;0,INDEX(Merge_1_2!$N$2:$N$611,$C612),INDEX(Dataset3_Raw!$N$2:$N$391,$E612))</f>
        <v>10</v>
      </c>
      <c r="T612" s="23">
        <f>IF($C612&gt;0,INDEX(Merge_1_2!$O$2:$O$611,$C612),INDEX(Dataset3_Raw!$O$2:$O$391,$E612))</f>
        <v>70</v>
      </c>
      <c r="U612" s="23">
        <f>IF($C612&gt;0,INDEX(Merge_1_2!$P$2:$P$611,$C612),INDEX(Dataset3_Raw!$P$2:$P$391,$E612))</f>
        <v>80</v>
      </c>
      <c r="V612" s="23" t="str">
        <f t="shared" si="55"/>
        <v>Weekday</v>
      </c>
      <c r="W612" s="23" t="str">
        <f>VLOOKUP($M612,Lookups!$A$5:$B$8,2,FALSE())</f>
        <v>Clear / Partly cloudy</v>
      </c>
      <c r="X612" s="23" t="str">
        <f>VLOOKUP($G612,Lookups!$D$5:$E$8,2,FALSE())</f>
        <v>Winter</v>
      </c>
      <c r="Y612" s="23" t="str">
        <f>VLOOKUP($L612,Lookups!$G$5:$H$11,2,FALSE())</f>
        <v>Friday</v>
      </c>
      <c r="Z612" s="23" t="str">
        <f>IF($J612&lt;Lookups!$B$26,"Night",IF($J612&lt;Lookups!$B$27,"Morning",IF($J612&lt;Lookups!$B$28,"Afternoon","Evening")))</f>
        <v>Afternoon</v>
      </c>
      <c r="AA612" s="26">
        <f>ROUND($N612*(Lookups!$B$16-Lookups!$B$15)+Lookups!$B$15,1)</f>
        <v>2.2999999999999998</v>
      </c>
      <c r="AB612" s="26">
        <f>ROUND($P612*(Lookups!$B$18-Lookups!$B$17)+Lookups!$B$17,1)</f>
        <v>2</v>
      </c>
      <c r="AC612" s="23">
        <f t="shared" si="56"/>
        <v>80</v>
      </c>
      <c r="AD612" s="23">
        <f>ROUND($R612*Lookups!$B$19,1)</f>
        <v>0</v>
      </c>
      <c r="AE612" s="27">
        <f t="shared" si="57"/>
        <v>0.875</v>
      </c>
      <c r="AF612" s="23" t="str">
        <f>IF($U612&gt;=Lookups!$B$23,"High",IF($U612&gt;=Lookups!$B$22,"Medium","Low"))</f>
        <v>Medium</v>
      </c>
      <c r="AG612" s="23">
        <f>ROUND(IF($V612="Weekday",IF(INDEX(Hourly_Analysis!$D$5:$D$28,$J612+1)&gt;0,($U612-INDEX(Hourly_Analysis!$C$5:$C$28,$J612+1))/INDEX(Hourly_Analysis!$D$5:$D$28,$J612+1),0),IF(INDEX(Hourly_Analysis!$G$5:$G$28,$J612+1)&gt;0,($U612-INDEX(Hourly_Analysis!$F$5:$F$28,$J612+1))/INDEX(Hourly_Analysis!$G$5:$G$28,$J612+1),0)),2)</f>
        <v>-0.13</v>
      </c>
      <c r="AH612" s="23" t="str">
        <f>IF(ABS($AG612)&gt;Lookups!$B$20,IF($AG612&gt;0,"High anomaly","Low anomaly"),"")</f>
        <v/>
      </c>
      <c r="AI612" s="23" t="str">
        <f t="shared" si="58"/>
        <v>OK</v>
      </c>
      <c r="AJ612" s="23" t="str">
        <f t="shared" si="59"/>
        <v>No</v>
      </c>
    </row>
    <row r="613" spans="1:36" x14ac:dyDescent="0.35">
      <c r="A613" s="23">
        <v>612</v>
      </c>
      <c r="B613" s="23" t="str">
        <f t="shared" si="54"/>
        <v>Dataset 3</v>
      </c>
      <c r="C613" s="23">
        <f>IFERROR(MATCH($A613,Merge_1_2!$A$2:$A$611,0),0)</f>
        <v>0</v>
      </c>
      <c r="D613" s="23">
        <f>IF($C613&gt;0,INDEX(Merge_1_2!$Q$2:$Q$611,$C613),0)</f>
        <v>0</v>
      </c>
      <c r="E613" s="23">
        <f>IFERROR(MATCH($A613,Dataset3_Raw!$A$2:$A$391,0),0)</f>
        <v>2</v>
      </c>
      <c r="F613" s="24">
        <f>IF($C613&gt;0,INDEX(Merge_1_2!$B$2:$B$611,$C613),DATE(VALUE(RIGHT(INDEX(Dataset3_Raw!$B$2:$B$391,$E613),4)),VALUE(MID(INDEX(Dataset3_Raw!$B$2:$B$391,$E613),4,2)),VALUE(LEFT(INDEX(Dataset3_Raw!$B$2:$B$391,$E613),2))))</f>
        <v>40571</v>
      </c>
      <c r="G613" s="23">
        <f>IF($C613&gt;0,INDEX(Merge_1_2!$C$2:$C$611,$C613),INDEX(Dataset3_Raw!$C$2:$C$391,$E613))</f>
        <v>1</v>
      </c>
      <c r="H613" s="23">
        <f>IF($C613&gt;0,INDEX(Merge_1_2!$D$2:$D$611,$C613),INDEX(Dataset3_Raw!$D$2:$D$391,$E613))</f>
        <v>0</v>
      </c>
      <c r="I613" s="23">
        <f>IF($C613&gt;0,INDEX(Merge_1_2!$E$2:$E$611,$C613),INDEX(Dataset3_Raw!$E$2:$E$391,$E613))</f>
        <v>1</v>
      </c>
      <c r="J613" s="23">
        <f>IF($C613&gt;0,INDEX(Merge_1_2!$F$2:$F$611,$C613),INDEX(Dataset3_Raw!$F$2:$F$391,$E613))</f>
        <v>17</v>
      </c>
      <c r="K613" s="23" t="b">
        <f>IF($C613&gt;0,INDEX(Merge_1_2!$G$2:$G$611,$C613),INDEX(Dataset3_Raw!$G$2:$G$391,$E613))</f>
        <v>0</v>
      </c>
      <c r="L613" s="23">
        <f>IF($C613&gt;0,INDEX(Merge_1_2!$H$2:$H$611,$C613),INDEX(Dataset3_Raw!$H$2:$H$391,$E613))</f>
        <v>5</v>
      </c>
      <c r="M613" s="23">
        <f>IF($C613&gt;0,INDEX(Merge_1_2!$I$2:$I$611,$C613),INDEX(Dataset3_Raw!$I$2:$I$391,$E613))</f>
        <v>1</v>
      </c>
      <c r="N613" s="25">
        <f>IF($C613&gt;0,INDEX(Merge_1_2!$J$2:$J$611,$C613),INDEX(Dataset3_Raw!$J$2:$J$391,$E613))</f>
        <v>0.24</v>
      </c>
      <c r="O613" s="25">
        <f>IF($C613&gt;0,IF(ISNUMBER(INDEX(Merge_1_2!$K$2:$K$611,$C613)),INDEX(Merge_1_2!$K$2:$K$611,$C613),""),INDEX(Dataset3_Raw!$K$2:$K$391,$E613))</f>
        <v>0.2424</v>
      </c>
      <c r="P613" s="25">
        <f>IF(ISNUMBER($O613),$O613,ROUND(Lookups!$B$25+Lookups!$B$24*$N613,4))</f>
        <v>0.2424</v>
      </c>
      <c r="Q613" s="25">
        <f>IF($C613&gt;0,INDEX(Merge_1_2!$L$2:$L$611,$C613),INDEX(Dataset3_Raw!$L$2:$L$391,$E613))</f>
        <v>0.75</v>
      </c>
      <c r="R613" s="25">
        <f>IF($C613&gt;0,INDEX(Merge_1_2!$M$2:$M$611,$C613),INDEX(Dataset3_Raw!$M$2:$M$391,$E613))</f>
        <v>0.1343</v>
      </c>
      <c r="S613" s="23">
        <f>IF($C613&gt;0,INDEX(Merge_1_2!$N$2:$N$611,$C613),INDEX(Dataset3_Raw!$N$2:$N$391,$E613))</f>
        <v>2</v>
      </c>
      <c r="T613" s="23">
        <f>IF($C613&gt;0,INDEX(Merge_1_2!$O$2:$O$611,$C613),INDEX(Dataset3_Raw!$O$2:$O$391,$E613))</f>
        <v>147</v>
      </c>
      <c r="U613" s="23">
        <f>IF($C613&gt;0,INDEX(Merge_1_2!$P$2:$P$611,$C613),INDEX(Dataset3_Raw!$P$2:$P$391,$E613))</f>
        <v>149</v>
      </c>
      <c r="V613" s="23" t="str">
        <f t="shared" si="55"/>
        <v>Weekday</v>
      </c>
      <c r="W613" s="23" t="str">
        <f>VLOOKUP($M613,Lookups!$A$5:$B$8,2,FALSE())</f>
        <v>Clear / Partly cloudy</v>
      </c>
      <c r="X613" s="23" t="str">
        <f>VLOOKUP($G613,Lookups!$D$5:$E$8,2,FALSE())</f>
        <v>Winter</v>
      </c>
      <c r="Y613" s="23" t="str">
        <f>VLOOKUP($L613,Lookups!$G$5:$H$11,2,FALSE())</f>
        <v>Friday</v>
      </c>
      <c r="Z613" s="23" t="str">
        <f>IF($J613&lt;Lookups!$B$26,"Night",IF($J613&lt;Lookups!$B$27,"Morning",IF($J613&lt;Lookups!$B$28,"Afternoon","Evening")))</f>
        <v>Afternoon</v>
      </c>
      <c r="AA613" s="26">
        <f>ROUND($N613*(Lookups!$B$16-Lookups!$B$15)+Lookups!$B$15,1)</f>
        <v>3.3</v>
      </c>
      <c r="AB613" s="26">
        <f>ROUND($P613*(Lookups!$B$18-Lookups!$B$17)+Lookups!$B$17,1)</f>
        <v>0</v>
      </c>
      <c r="AC613" s="23">
        <f t="shared" si="56"/>
        <v>75</v>
      </c>
      <c r="AD613" s="23">
        <f>ROUND($R613*Lookups!$B$19,1)</f>
        <v>9</v>
      </c>
      <c r="AE613" s="27">
        <f t="shared" si="57"/>
        <v>0.98657718120805371</v>
      </c>
      <c r="AF613" s="23" t="str">
        <f>IF($U613&gt;=Lookups!$B$23,"High",IF($U613&gt;=Lookups!$B$22,"Medium","Low"))</f>
        <v>High</v>
      </c>
      <c r="AG613" s="23">
        <f>ROUND(IF($V613="Weekday",IF(INDEX(Hourly_Analysis!$D$5:$D$28,$J613+1)&gt;0,($U613-INDEX(Hourly_Analysis!$C$5:$C$28,$J613+1))/INDEX(Hourly_Analysis!$D$5:$D$28,$J613+1),0),IF(INDEX(Hourly_Analysis!$G$5:$G$28,$J613+1)&gt;0,($U613-INDEX(Hourly_Analysis!$F$5:$F$28,$J613+1))/INDEX(Hourly_Analysis!$G$5:$G$28,$J613+1),0)),2)</f>
        <v>-0.48</v>
      </c>
      <c r="AH613" s="23" t="str">
        <f>IF(ABS($AG613)&gt;Lookups!$B$20,IF($AG613&gt;0,"High anomaly","Low anomaly"),"")</f>
        <v/>
      </c>
      <c r="AI613" s="23" t="str">
        <f t="shared" si="58"/>
        <v>OK</v>
      </c>
      <c r="AJ613" s="23" t="str">
        <f t="shared" si="59"/>
        <v>No</v>
      </c>
    </row>
    <row r="614" spans="1:36" x14ac:dyDescent="0.35">
      <c r="A614" s="23">
        <v>613</v>
      </c>
      <c r="B614" s="23" t="str">
        <f t="shared" si="54"/>
        <v>Dataset 3</v>
      </c>
      <c r="C614" s="23">
        <f>IFERROR(MATCH($A614,Merge_1_2!$A$2:$A$611,0),0)</f>
        <v>0</v>
      </c>
      <c r="D614" s="23">
        <f>IF($C614&gt;0,INDEX(Merge_1_2!$Q$2:$Q$611,$C614),0)</f>
        <v>0</v>
      </c>
      <c r="E614" s="23">
        <f>IFERROR(MATCH($A614,Dataset3_Raw!$A$2:$A$391,0),0)</f>
        <v>3</v>
      </c>
      <c r="F614" s="24">
        <f>IF($C614&gt;0,INDEX(Merge_1_2!$B$2:$B$611,$C614),DATE(VALUE(RIGHT(INDEX(Dataset3_Raw!$B$2:$B$391,$E614),4)),VALUE(MID(INDEX(Dataset3_Raw!$B$2:$B$391,$E614),4,2)),VALUE(LEFT(INDEX(Dataset3_Raw!$B$2:$B$391,$E614),2))))</f>
        <v>40571</v>
      </c>
      <c r="G614" s="23">
        <f>IF($C614&gt;0,INDEX(Merge_1_2!$C$2:$C$611,$C614),INDEX(Dataset3_Raw!$C$2:$C$391,$E614))</f>
        <v>1</v>
      </c>
      <c r="H614" s="23">
        <f>IF($C614&gt;0,INDEX(Merge_1_2!$D$2:$D$611,$C614),INDEX(Dataset3_Raw!$D$2:$D$391,$E614))</f>
        <v>0</v>
      </c>
      <c r="I614" s="23">
        <f>IF($C614&gt;0,INDEX(Merge_1_2!$E$2:$E$611,$C614),INDEX(Dataset3_Raw!$E$2:$E$391,$E614))</f>
        <v>1</v>
      </c>
      <c r="J614" s="23">
        <f>IF($C614&gt;0,INDEX(Merge_1_2!$F$2:$F$611,$C614),INDEX(Dataset3_Raw!$F$2:$F$391,$E614))</f>
        <v>18</v>
      </c>
      <c r="K614" s="23" t="b">
        <f>IF($C614&gt;0,INDEX(Merge_1_2!$G$2:$G$611,$C614),INDEX(Dataset3_Raw!$G$2:$G$391,$E614))</f>
        <v>0</v>
      </c>
      <c r="L614" s="23">
        <f>IF($C614&gt;0,INDEX(Merge_1_2!$H$2:$H$611,$C614),INDEX(Dataset3_Raw!$H$2:$H$391,$E614))</f>
        <v>5</v>
      </c>
      <c r="M614" s="23">
        <f>IF($C614&gt;0,INDEX(Merge_1_2!$I$2:$I$611,$C614),INDEX(Dataset3_Raw!$I$2:$I$391,$E614))</f>
        <v>1</v>
      </c>
      <c r="N614" s="25">
        <f>IF($C614&gt;0,INDEX(Merge_1_2!$J$2:$J$611,$C614),INDEX(Dataset3_Raw!$J$2:$J$391,$E614))</f>
        <v>0.24</v>
      </c>
      <c r="O614" s="25">
        <f>IF($C614&gt;0,IF(ISNUMBER(INDEX(Merge_1_2!$K$2:$K$611,$C614)),INDEX(Merge_1_2!$K$2:$K$611,$C614),""),INDEX(Dataset3_Raw!$K$2:$K$391,$E614))</f>
        <v>0.2273</v>
      </c>
      <c r="P614" s="25">
        <f>IF(ISNUMBER($O614),$O614,ROUND(Lookups!$B$25+Lookups!$B$24*$N614,4))</f>
        <v>0.2273</v>
      </c>
      <c r="Q614" s="25">
        <f>IF($C614&gt;0,INDEX(Merge_1_2!$L$2:$L$611,$C614),INDEX(Dataset3_Raw!$L$2:$L$391,$E614))</f>
        <v>0.75</v>
      </c>
      <c r="R614" s="25">
        <f>IF($C614&gt;0,INDEX(Merge_1_2!$M$2:$M$611,$C614),INDEX(Dataset3_Raw!$M$2:$M$391,$E614))</f>
        <v>0.19400000000000001</v>
      </c>
      <c r="S614" s="23">
        <f>IF($C614&gt;0,INDEX(Merge_1_2!$N$2:$N$611,$C614),INDEX(Dataset3_Raw!$N$2:$N$391,$E614))</f>
        <v>2</v>
      </c>
      <c r="T614" s="23">
        <f>IF($C614&gt;0,INDEX(Merge_1_2!$O$2:$O$611,$C614),INDEX(Dataset3_Raw!$O$2:$O$391,$E614))</f>
        <v>107</v>
      </c>
      <c r="U614" s="23">
        <f>IF($C614&gt;0,INDEX(Merge_1_2!$P$2:$P$611,$C614),INDEX(Dataset3_Raw!$P$2:$P$391,$E614))</f>
        <v>109</v>
      </c>
      <c r="V614" s="23" t="str">
        <f t="shared" si="55"/>
        <v>Weekday</v>
      </c>
      <c r="W614" s="23" t="str">
        <f>VLOOKUP($M614,Lookups!$A$5:$B$8,2,FALSE())</f>
        <v>Clear / Partly cloudy</v>
      </c>
      <c r="X614" s="23" t="str">
        <f>VLOOKUP($G614,Lookups!$D$5:$E$8,2,FALSE())</f>
        <v>Winter</v>
      </c>
      <c r="Y614" s="23" t="str">
        <f>VLOOKUP($L614,Lookups!$G$5:$H$11,2,FALSE())</f>
        <v>Friday</v>
      </c>
      <c r="Z614" s="23" t="str">
        <f>IF($J614&lt;Lookups!$B$26,"Night",IF($J614&lt;Lookups!$B$27,"Morning",IF($J614&lt;Lookups!$B$28,"Afternoon","Evening")))</f>
        <v>Evening</v>
      </c>
      <c r="AA614" s="26">
        <f>ROUND($N614*(Lookups!$B$16-Lookups!$B$15)+Lookups!$B$15,1)</f>
        <v>3.3</v>
      </c>
      <c r="AB614" s="26">
        <f>ROUND($P614*(Lookups!$B$18-Lookups!$B$17)+Lookups!$B$17,1)</f>
        <v>-1</v>
      </c>
      <c r="AC614" s="23">
        <f t="shared" si="56"/>
        <v>75</v>
      </c>
      <c r="AD614" s="23">
        <f>ROUND($R614*Lookups!$B$19,1)</f>
        <v>13</v>
      </c>
      <c r="AE614" s="27">
        <f t="shared" si="57"/>
        <v>0.98165137614678899</v>
      </c>
      <c r="AF614" s="23" t="str">
        <f>IF($U614&gt;=Lookups!$B$23,"High",IF($U614&gt;=Lookups!$B$22,"Medium","Low"))</f>
        <v>High</v>
      </c>
      <c r="AG614" s="23">
        <f>ROUND(IF($V614="Weekday",IF(INDEX(Hourly_Analysis!$D$5:$D$28,$J614+1)&gt;0,($U614-INDEX(Hourly_Analysis!$C$5:$C$28,$J614+1))/INDEX(Hourly_Analysis!$D$5:$D$28,$J614+1),0),IF(INDEX(Hourly_Analysis!$G$5:$G$28,$J614+1)&gt;0,($U614-INDEX(Hourly_Analysis!$F$5:$F$28,$J614+1))/INDEX(Hourly_Analysis!$G$5:$G$28,$J614+1),0)),2)</f>
        <v>-1.61</v>
      </c>
      <c r="AH614" s="23" t="str">
        <f>IF(ABS($AG614)&gt;Lookups!$B$20,IF($AG614&gt;0,"High anomaly","Low anomaly"),"")</f>
        <v/>
      </c>
      <c r="AI614" s="23" t="str">
        <f t="shared" si="58"/>
        <v>OK</v>
      </c>
      <c r="AJ614" s="23" t="str">
        <f t="shared" si="59"/>
        <v>No</v>
      </c>
    </row>
    <row r="615" spans="1:36" x14ac:dyDescent="0.35">
      <c r="A615" s="23">
        <v>614</v>
      </c>
      <c r="B615" s="23" t="str">
        <f t="shared" si="54"/>
        <v>Dataset 3</v>
      </c>
      <c r="C615" s="23">
        <f>IFERROR(MATCH($A615,Merge_1_2!$A$2:$A$611,0),0)</f>
        <v>0</v>
      </c>
      <c r="D615" s="23">
        <f>IF($C615&gt;0,INDEX(Merge_1_2!$Q$2:$Q$611,$C615),0)</f>
        <v>0</v>
      </c>
      <c r="E615" s="23">
        <f>IFERROR(MATCH($A615,Dataset3_Raw!$A$2:$A$391,0),0)</f>
        <v>4</v>
      </c>
      <c r="F615" s="24">
        <f>IF($C615&gt;0,INDEX(Merge_1_2!$B$2:$B$611,$C615),DATE(VALUE(RIGHT(INDEX(Dataset3_Raw!$B$2:$B$391,$E615),4)),VALUE(MID(INDEX(Dataset3_Raw!$B$2:$B$391,$E615),4,2)),VALUE(LEFT(INDEX(Dataset3_Raw!$B$2:$B$391,$E615),2))))</f>
        <v>40571</v>
      </c>
      <c r="G615" s="23">
        <f>IF($C615&gt;0,INDEX(Merge_1_2!$C$2:$C$611,$C615),INDEX(Dataset3_Raw!$C$2:$C$391,$E615))</f>
        <v>1</v>
      </c>
      <c r="H615" s="23">
        <f>IF($C615&gt;0,INDEX(Merge_1_2!$D$2:$D$611,$C615),INDEX(Dataset3_Raw!$D$2:$D$391,$E615))</f>
        <v>0</v>
      </c>
      <c r="I615" s="23">
        <f>IF($C615&gt;0,INDEX(Merge_1_2!$E$2:$E$611,$C615),INDEX(Dataset3_Raw!$E$2:$E$391,$E615))</f>
        <v>1</v>
      </c>
      <c r="J615" s="23">
        <f>IF($C615&gt;0,INDEX(Merge_1_2!$F$2:$F$611,$C615),INDEX(Dataset3_Raw!$F$2:$F$391,$E615))</f>
        <v>19</v>
      </c>
      <c r="K615" s="23" t="b">
        <f>IF($C615&gt;0,INDEX(Merge_1_2!$G$2:$G$611,$C615),INDEX(Dataset3_Raw!$G$2:$G$391,$E615))</f>
        <v>0</v>
      </c>
      <c r="L615" s="23">
        <f>IF($C615&gt;0,INDEX(Merge_1_2!$H$2:$H$611,$C615),INDEX(Dataset3_Raw!$H$2:$H$391,$E615))</f>
        <v>5</v>
      </c>
      <c r="M615" s="23">
        <f>IF($C615&gt;0,INDEX(Merge_1_2!$I$2:$I$611,$C615),INDEX(Dataset3_Raw!$I$2:$I$391,$E615))</f>
        <v>2</v>
      </c>
      <c r="N615" s="25">
        <f>IF($C615&gt;0,INDEX(Merge_1_2!$J$2:$J$611,$C615),INDEX(Dataset3_Raw!$J$2:$J$391,$E615))</f>
        <v>0.24</v>
      </c>
      <c r="O615" s="25">
        <f>IF($C615&gt;0,IF(ISNUMBER(INDEX(Merge_1_2!$K$2:$K$611,$C615)),INDEX(Merge_1_2!$K$2:$K$611,$C615),""),INDEX(Dataset3_Raw!$K$2:$K$391,$E615))</f>
        <v>0.2424</v>
      </c>
      <c r="P615" s="25">
        <f>IF(ISNUMBER($O615),$O615,ROUND(Lookups!$B$25+Lookups!$B$24*$N615,4))</f>
        <v>0.2424</v>
      </c>
      <c r="Q615" s="25">
        <f>IF($C615&gt;0,INDEX(Merge_1_2!$L$2:$L$611,$C615),INDEX(Dataset3_Raw!$L$2:$L$391,$E615))</f>
        <v>0.75</v>
      </c>
      <c r="R615" s="25">
        <f>IF($C615&gt;0,INDEX(Merge_1_2!$M$2:$M$611,$C615),INDEX(Dataset3_Raw!$M$2:$M$391,$E615))</f>
        <v>0.1343</v>
      </c>
      <c r="S615" s="23">
        <f>IF($C615&gt;0,INDEX(Merge_1_2!$N$2:$N$611,$C615),INDEX(Dataset3_Raw!$N$2:$N$391,$E615))</f>
        <v>5</v>
      </c>
      <c r="T615" s="23">
        <f>IF($C615&gt;0,INDEX(Merge_1_2!$O$2:$O$611,$C615),INDEX(Dataset3_Raw!$O$2:$O$391,$E615))</f>
        <v>84</v>
      </c>
      <c r="U615" s="23">
        <f>IF($C615&gt;0,INDEX(Merge_1_2!$P$2:$P$611,$C615),INDEX(Dataset3_Raw!$P$2:$P$391,$E615))</f>
        <v>89</v>
      </c>
      <c r="V615" s="23" t="str">
        <f t="shared" si="55"/>
        <v>Weekday</v>
      </c>
      <c r="W615" s="23" t="str">
        <f>VLOOKUP($M615,Lookups!$A$5:$B$8,2,FALSE())</f>
        <v>Mist / Cloudy</v>
      </c>
      <c r="X615" s="23" t="str">
        <f>VLOOKUP($G615,Lookups!$D$5:$E$8,2,FALSE())</f>
        <v>Winter</v>
      </c>
      <c r="Y615" s="23" t="str">
        <f>VLOOKUP($L615,Lookups!$G$5:$H$11,2,FALSE())</f>
        <v>Friday</v>
      </c>
      <c r="Z615" s="23" t="str">
        <f>IF($J615&lt;Lookups!$B$26,"Night",IF($J615&lt;Lookups!$B$27,"Morning",IF($J615&lt;Lookups!$B$28,"Afternoon","Evening")))</f>
        <v>Evening</v>
      </c>
      <c r="AA615" s="26">
        <f>ROUND($N615*(Lookups!$B$16-Lookups!$B$15)+Lookups!$B$15,1)</f>
        <v>3.3</v>
      </c>
      <c r="AB615" s="26">
        <f>ROUND($P615*(Lookups!$B$18-Lookups!$B$17)+Lookups!$B$17,1)</f>
        <v>0</v>
      </c>
      <c r="AC615" s="23">
        <f t="shared" si="56"/>
        <v>75</v>
      </c>
      <c r="AD615" s="23">
        <f>ROUND($R615*Lookups!$B$19,1)</f>
        <v>9</v>
      </c>
      <c r="AE615" s="27">
        <f t="shared" si="57"/>
        <v>0.9438202247191011</v>
      </c>
      <c r="AF615" s="23" t="str">
        <f>IF($U615&gt;=Lookups!$B$23,"High",IF($U615&gt;=Lookups!$B$22,"Medium","Low"))</f>
        <v>High</v>
      </c>
      <c r="AG615" s="23">
        <f>ROUND(IF($V615="Weekday",IF(INDEX(Hourly_Analysis!$D$5:$D$28,$J615+1)&gt;0,($U615-INDEX(Hourly_Analysis!$C$5:$C$28,$J615+1))/INDEX(Hourly_Analysis!$D$5:$D$28,$J615+1),0),IF(INDEX(Hourly_Analysis!$G$5:$G$28,$J615+1)&gt;0,($U615-INDEX(Hourly_Analysis!$F$5:$F$28,$J615+1))/INDEX(Hourly_Analysis!$G$5:$G$28,$J615+1),0)),2)</f>
        <v>-0.73</v>
      </c>
      <c r="AH615" s="23" t="str">
        <f>IF(ABS($AG615)&gt;Lookups!$B$20,IF($AG615&gt;0,"High anomaly","Low anomaly"),"")</f>
        <v/>
      </c>
      <c r="AI615" s="23" t="str">
        <f t="shared" si="58"/>
        <v>OK</v>
      </c>
      <c r="AJ615" s="23" t="str">
        <f t="shared" si="59"/>
        <v>No</v>
      </c>
    </row>
    <row r="616" spans="1:36" x14ac:dyDescent="0.35">
      <c r="A616" s="23">
        <v>615</v>
      </c>
      <c r="B616" s="23" t="str">
        <f t="shared" si="54"/>
        <v>Dataset 3</v>
      </c>
      <c r="C616" s="23">
        <f>IFERROR(MATCH($A616,Merge_1_2!$A$2:$A$611,0),0)</f>
        <v>0</v>
      </c>
      <c r="D616" s="23">
        <f>IF($C616&gt;0,INDEX(Merge_1_2!$Q$2:$Q$611,$C616),0)</f>
        <v>0</v>
      </c>
      <c r="E616" s="23">
        <f>IFERROR(MATCH($A616,Dataset3_Raw!$A$2:$A$391,0),0)</f>
        <v>5</v>
      </c>
      <c r="F616" s="24">
        <f>IF($C616&gt;0,INDEX(Merge_1_2!$B$2:$B$611,$C616),DATE(VALUE(RIGHT(INDEX(Dataset3_Raw!$B$2:$B$391,$E616),4)),VALUE(MID(INDEX(Dataset3_Raw!$B$2:$B$391,$E616),4,2)),VALUE(LEFT(INDEX(Dataset3_Raw!$B$2:$B$391,$E616),2))))</f>
        <v>40571</v>
      </c>
      <c r="G616" s="23">
        <f>IF($C616&gt;0,INDEX(Merge_1_2!$C$2:$C$611,$C616),INDEX(Dataset3_Raw!$C$2:$C$391,$E616))</f>
        <v>1</v>
      </c>
      <c r="H616" s="23">
        <f>IF($C616&gt;0,INDEX(Merge_1_2!$D$2:$D$611,$C616),INDEX(Dataset3_Raw!$D$2:$D$391,$E616))</f>
        <v>0</v>
      </c>
      <c r="I616" s="23">
        <f>IF($C616&gt;0,INDEX(Merge_1_2!$E$2:$E$611,$C616),INDEX(Dataset3_Raw!$E$2:$E$391,$E616))</f>
        <v>1</v>
      </c>
      <c r="J616" s="23">
        <f>IF($C616&gt;0,INDEX(Merge_1_2!$F$2:$F$611,$C616),INDEX(Dataset3_Raw!$F$2:$F$391,$E616))</f>
        <v>20</v>
      </c>
      <c r="K616" s="23" t="b">
        <f>IF($C616&gt;0,INDEX(Merge_1_2!$G$2:$G$611,$C616),INDEX(Dataset3_Raw!$G$2:$G$391,$E616))</f>
        <v>0</v>
      </c>
      <c r="L616" s="23">
        <f>IF($C616&gt;0,INDEX(Merge_1_2!$H$2:$H$611,$C616),INDEX(Dataset3_Raw!$H$2:$H$391,$E616))</f>
        <v>5</v>
      </c>
      <c r="M616" s="23">
        <f>IF($C616&gt;0,INDEX(Merge_1_2!$I$2:$I$611,$C616),INDEX(Dataset3_Raw!$I$2:$I$391,$E616))</f>
        <v>2</v>
      </c>
      <c r="N616" s="25">
        <f>IF($C616&gt;0,INDEX(Merge_1_2!$J$2:$J$611,$C616),INDEX(Dataset3_Raw!$J$2:$J$391,$E616))</f>
        <v>0.24</v>
      </c>
      <c r="O616" s="25">
        <f>IF($C616&gt;0,IF(ISNUMBER(INDEX(Merge_1_2!$K$2:$K$611,$C616)),INDEX(Merge_1_2!$K$2:$K$611,$C616),""),INDEX(Dataset3_Raw!$K$2:$K$391,$E616))</f>
        <v>0.2273</v>
      </c>
      <c r="P616" s="25">
        <f>IF(ISNUMBER($O616),$O616,ROUND(Lookups!$B$25+Lookups!$B$24*$N616,4))</f>
        <v>0.2273</v>
      </c>
      <c r="Q616" s="25">
        <f>IF($C616&gt;0,INDEX(Merge_1_2!$L$2:$L$611,$C616),INDEX(Dataset3_Raw!$L$2:$L$391,$E616))</f>
        <v>0.7</v>
      </c>
      <c r="R616" s="25">
        <f>IF($C616&gt;0,INDEX(Merge_1_2!$M$2:$M$611,$C616),INDEX(Dataset3_Raw!$M$2:$M$391,$E616))</f>
        <v>0.19400000000000001</v>
      </c>
      <c r="S616" s="23">
        <f>IF($C616&gt;0,INDEX(Merge_1_2!$N$2:$N$611,$C616),INDEX(Dataset3_Raw!$N$2:$N$391,$E616))</f>
        <v>1</v>
      </c>
      <c r="T616" s="23">
        <f>IF($C616&gt;0,INDEX(Merge_1_2!$O$2:$O$611,$C616),INDEX(Dataset3_Raw!$O$2:$O$391,$E616))</f>
        <v>61</v>
      </c>
      <c r="U616" s="23">
        <f>IF($C616&gt;0,INDEX(Merge_1_2!$P$2:$P$611,$C616),INDEX(Dataset3_Raw!$P$2:$P$391,$E616))</f>
        <v>62</v>
      </c>
      <c r="V616" s="23" t="str">
        <f t="shared" si="55"/>
        <v>Weekday</v>
      </c>
      <c r="W616" s="23" t="str">
        <f>VLOOKUP($M616,Lookups!$A$5:$B$8,2,FALSE())</f>
        <v>Mist / Cloudy</v>
      </c>
      <c r="X616" s="23" t="str">
        <f>VLOOKUP($G616,Lookups!$D$5:$E$8,2,FALSE())</f>
        <v>Winter</v>
      </c>
      <c r="Y616" s="23" t="str">
        <f>VLOOKUP($L616,Lookups!$G$5:$H$11,2,FALSE())</f>
        <v>Friday</v>
      </c>
      <c r="Z616" s="23" t="str">
        <f>IF($J616&lt;Lookups!$B$26,"Night",IF($J616&lt;Lookups!$B$27,"Morning",IF($J616&lt;Lookups!$B$28,"Afternoon","Evening")))</f>
        <v>Evening</v>
      </c>
      <c r="AA616" s="26">
        <f>ROUND($N616*(Lookups!$B$16-Lookups!$B$15)+Lookups!$B$15,1)</f>
        <v>3.3</v>
      </c>
      <c r="AB616" s="26">
        <f>ROUND($P616*(Lookups!$B$18-Lookups!$B$17)+Lookups!$B$17,1)</f>
        <v>-1</v>
      </c>
      <c r="AC616" s="23">
        <f t="shared" si="56"/>
        <v>70</v>
      </c>
      <c r="AD616" s="23">
        <f>ROUND($R616*Lookups!$B$19,1)</f>
        <v>13</v>
      </c>
      <c r="AE616" s="27">
        <f t="shared" si="57"/>
        <v>0.9838709677419355</v>
      </c>
      <c r="AF616" s="23" t="str">
        <f>IF($U616&gt;=Lookups!$B$23,"High",IF($U616&gt;=Lookups!$B$22,"Medium","Low"))</f>
        <v>Medium</v>
      </c>
      <c r="AG616" s="23">
        <f>ROUND(IF($V616="Weekday",IF(INDEX(Hourly_Analysis!$D$5:$D$28,$J616+1)&gt;0,($U616-INDEX(Hourly_Analysis!$C$5:$C$28,$J616+1))/INDEX(Hourly_Analysis!$D$5:$D$28,$J616+1),0),IF(INDEX(Hourly_Analysis!$G$5:$G$28,$J616+1)&gt;0,($U616-INDEX(Hourly_Analysis!$F$5:$F$28,$J616+1))/INDEX(Hourly_Analysis!$G$5:$G$28,$J616+1),0)),2)</f>
        <v>-0.55000000000000004</v>
      </c>
      <c r="AH616" s="23" t="str">
        <f>IF(ABS($AG616)&gt;Lookups!$B$20,IF($AG616&gt;0,"High anomaly","Low anomaly"),"")</f>
        <v/>
      </c>
      <c r="AI616" s="23" t="str">
        <f t="shared" si="58"/>
        <v>OK</v>
      </c>
      <c r="AJ616" s="23" t="str">
        <f t="shared" si="59"/>
        <v>No</v>
      </c>
    </row>
    <row r="617" spans="1:36" x14ac:dyDescent="0.35">
      <c r="A617" s="23">
        <v>616</v>
      </c>
      <c r="B617" s="23" t="str">
        <f t="shared" si="54"/>
        <v>Dataset 3</v>
      </c>
      <c r="C617" s="23">
        <f>IFERROR(MATCH($A617,Merge_1_2!$A$2:$A$611,0),0)</f>
        <v>0</v>
      </c>
      <c r="D617" s="23">
        <f>IF($C617&gt;0,INDEX(Merge_1_2!$Q$2:$Q$611,$C617),0)</f>
        <v>0</v>
      </c>
      <c r="E617" s="23">
        <f>IFERROR(MATCH($A617,Dataset3_Raw!$A$2:$A$391,0),0)</f>
        <v>6</v>
      </c>
      <c r="F617" s="24">
        <f>IF($C617&gt;0,INDEX(Merge_1_2!$B$2:$B$611,$C617),DATE(VALUE(RIGHT(INDEX(Dataset3_Raw!$B$2:$B$391,$E617),4)),VALUE(MID(INDEX(Dataset3_Raw!$B$2:$B$391,$E617),4,2)),VALUE(LEFT(INDEX(Dataset3_Raw!$B$2:$B$391,$E617),2))))</f>
        <v>40571</v>
      </c>
      <c r="G617" s="23">
        <f>IF($C617&gt;0,INDEX(Merge_1_2!$C$2:$C$611,$C617),INDEX(Dataset3_Raw!$C$2:$C$391,$E617))</f>
        <v>1</v>
      </c>
      <c r="H617" s="23">
        <f>IF($C617&gt;0,INDEX(Merge_1_2!$D$2:$D$611,$C617),INDEX(Dataset3_Raw!$D$2:$D$391,$E617))</f>
        <v>0</v>
      </c>
      <c r="I617" s="23">
        <f>IF($C617&gt;0,INDEX(Merge_1_2!$E$2:$E$611,$C617),INDEX(Dataset3_Raw!$E$2:$E$391,$E617))</f>
        <v>1</v>
      </c>
      <c r="J617" s="23">
        <f>IF($C617&gt;0,INDEX(Merge_1_2!$F$2:$F$611,$C617),INDEX(Dataset3_Raw!$F$2:$F$391,$E617))</f>
        <v>21</v>
      </c>
      <c r="K617" s="23" t="b">
        <f>IF($C617&gt;0,INDEX(Merge_1_2!$G$2:$G$611,$C617),INDEX(Dataset3_Raw!$G$2:$G$391,$E617))</f>
        <v>0</v>
      </c>
      <c r="L617" s="23">
        <f>IF($C617&gt;0,INDEX(Merge_1_2!$H$2:$H$611,$C617),INDEX(Dataset3_Raw!$H$2:$H$391,$E617))</f>
        <v>5</v>
      </c>
      <c r="M617" s="23">
        <f>IF($C617&gt;0,INDEX(Merge_1_2!$I$2:$I$611,$C617),INDEX(Dataset3_Raw!$I$2:$I$391,$E617))</f>
        <v>2</v>
      </c>
      <c r="N617" s="25">
        <f>IF($C617&gt;0,INDEX(Merge_1_2!$J$2:$J$611,$C617),INDEX(Dataset3_Raw!$J$2:$J$391,$E617))</f>
        <v>0.22</v>
      </c>
      <c r="O617" s="25">
        <f>IF($C617&gt;0,IF(ISNUMBER(INDEX(Merge_1_2!$K$2:$K$611,$C617)),INDEX(Merge_1_2!$K$2:$K$611,$C617),""),INDEX(Dataset3_Raw!$K$2:$K$391,$E617))</f>
        <v>0.2273</v>
      </c>
      <c r="P617" s="25">
        <f>IF(ISNUMBER($O617),$O617,ROUND(Lookups!$B$25+Lookups!$B$24*$N617,4))</f>
        <v>0.2273</v>
      </c>
      <c r="Q617" s="25">
        <f>IF($C617&gt;0,INDEX(Merge_1_2!$L$2:$L$611,$C617),INDEX(Dataset3_Raw!$L$2:$L$391,$E617))</f>
        <v>0.75</v>
      </c>
      <c r="R617" s="25">
        <f>IF($C617&gt;0,INDEX(Merge_1_2!$M$2:$M$611,$C617),INDEX(Dataset3_Raw!$M$2:$M$391,$E617))</f>
        <v>0.1343</v>
      </c>
      <c r="S617" s="23">
        <f>IF($C617&gt;0,INDEX(Merge_1_2!$N$2:$N$611,$C617),INDEX(Dataset3_Raw!$N$2:$N$391,$E617))</f>
        <v>1</v>
      </c>
      <c r="T617" s="23">
        <f>IF($C617&gt;0,INDEX(Merge_1_2!$O$2:$O$611,$C617),INDEX(Dataset3_Raw!$O$2:$O$391,$E617))</f>
        <v>57</v>
      </c>
      <c r="U617" s="23">
        <f>IF($C617&gt;0,INDEX(Merge_1_2!$P$2:$P$611,$C617),INDEX(Dataset3_Raw!$P$2:$P$391,$E617))</f>
        <v>58</v>
      </c>
      <c r="V617" s="23" t="str">
        <f t="shared" si="55"/>
        <v>Weekday</v>
      </c>
      <c r="W617" s="23" t="str">
        <f>VLOOKUP($M617,Lookups!$A$5:$B$8,2,FALSE())</f>
        <v>Mist / Cloudy</v>
      </c>
      <c r="X617" s="23" t="str">
        <f>VLOOKUP($G617,Lookups!$D$5:$E$8,2,FALSE())</f>
        <v>Winter</v>
      </c>
      <c r="Y617" s="23" t="str">
        <f>VLOOKUP($L617,Lookups!$G$5:$H$11,2,FALSE())</f>
        <v>Friday</v>
      </c>
      <c r="Z617" s="23" t="str">
        <f>IF($J617&lt;Lookups!$B$26,"Night",IF($J617&lt;Lookups!$B$27,"Morning",IF($J617&lt;Lookups!$B$28,"Afternoon","Evening")))</f>
        <v>Evening</v>
      </c>
      <c r="AA617" s="26">
        <f>ROUND($N617*(Lookups!$B$16-Lookups!$B$15)+Lookups!$B$15,1)</f>
        <v>2.2999999999999998</v>
      </c>
      <c r="AB617" s="26">
        <f>ROUND($P617*(Lookups!$B$18-Lookups!$B$17)+Lookups!$B$17,1)</f>
        <v>-1</v>
      </c>
      <c r="AC617" s="23">
        <f t="shared" si="56"/>
        <v>75</v>
      </c>
      <c r="AD617" s="23">
        <f>ROUND($R617*Lookups!$B$19,1)</f>
        <v>9</v>
      </c>
      <c r="AE617" s="27">
        <f t="shared" si="57"/>
        <v>0.98275862068965514</v>
      </c>
      <c r="AF617" s="23" t="str">
        <f>IF($U617&gt;=Lookups!$B$23,"High",IF($U617&gt;=Lookups!$B$22,"Medium","Low"))</f>
        <v>Medium</v>
      </c>
      <c r="AG617" s="23">
        <f>ROUND(IF($V617="Weekday",IF(INDEX(Hourly_Analysis!$D$5:$D$28,$J617+1)&gt;0,($U617-INDEX(Hourly_Analysis!$C$5:$C$28,$J617+1))/INDEX(Hourly_Analysis!$D$5:$D$28,$J617+1),0),IF(INDEX(Hourly_Analysis!$G$5:$G$28,$J617+1)&gt;0,($U617-INDEX(Hourly_Analysis!$F$5:$F$28,$J617+1))/INDEX(Hourly_Analysis!$G$5:$G$28,$J617+1),0)),2)</f>
        <v>0.47</v>
      </c>
      <c r="AH617" s="23" t="str">
        <f>IF(ABS($AG617)&gt;Lookups!$B$20,IF($AG617&gt;0,"High anomaly","Low anomaly"),"")</f>
        <v/>
      </c>
      <c r="AI617" s="23" t="str">
        <f t="shared" si="58"/>
        <v>OK</v>
      </c>
      <c r="AJ617" s="23" t="str">
        <f t="shared" si="59"/>
        <v>No</v>
      </c>
    </row>
    <row r="618" spans="1:36" x14ac:dyDescent="0.35">
      <c r="A618" s="23">
        <v>617</v>
      </c>
      <c r="B618" s="23" t="str">
        <f t="shared" si="54"/>
        <v>Dataset 3</v>
      </c>
      <c r="C618" s="23">
        <f>IFERROR(MATCH($A618,Merge_1_2!$A$2:$A$611,0),0)</f>
        <v>0</v>
      </c>
      <c r="D618" s="23">
        <f>IF($C618&gt;0,INDEX(Merge_1_2!$Q$2:$Q$611,$C618),0)</f>
        <v>0</v>
      </c>
      <c r="E618" s="23">
        <f>IFERROR(MATCH($A618,Dataset3_Raw!$A$2:$A$391,0),0)</f>
        <v>7</v>
      </c>
      <c r="F618" s="24">
        <f>IF($C618&gt;0,INDEX(Merge_1_2!$B$2:$B$611,$C618),DATE(VALUE(RIGHT(INDEX(Dataset3_Raw!$B$2:$B$391,$E618),4)),VALUE(MID(INDEX(Dataset3_Raw!$B$2:$B$391,$E618),4,2)),VALUE(LEFT(INDEX(Dataset3_Raw!$B$2:$B$391,$E618),2))))</f>
        <v>40571</v>
      </c>
      <c r="G618" s="23">
        <f>IF($C618&gt;0,INDEX(Merge_1_2!$C$2:$C$611,$C618),INDEX(Dataset3_Raw!$C$2:$C$391,$E618))</f>
        <v>1</v>
      </c>
      <c r="H618" s="23">
        <f>IF($C618&gt;0,INDEX(Merge_1_2!$D$2:$D$611,$C618),INDEX(Dataset3_Raw!$D$2:$D$391,$E618))</f>
        <v>0</v>
      </c>
      <c r="I618" s="23">
        <f>IF($C618&gt;0,INDEX(Merge_1_2!$E$2:$E$611,$C618),INDEX(Dataset3_Raw!$E$2:$E$391,$E618))</f>
        <v>1</v>
      </c>
      <c r="J618" s="23">
        <f>IF($C618&gt;0,INDEX(Merge_1_2!$F$2:$F$611,$C618),INDEX(Dataset3_Raw!$F$2:$F$391,$E618))</f>
        <v>22</v>
      </c>
      <c r="K618" s="23" t="b">
        <f>IF($C618&gt;0,INDEX(Merge_1_2!$G$2:$G$611,$C618),INDEX(Dataset3_Raw!$G$2:$G$391,$E618))</f>
        <v>0</v>
      </c>
      <c r="L618" s="23">
        <f>IF($C618&gt;0,INDEX(Merge_1_2!$H$2:$H$611,$C618),INDEX(Dataset3_Raw!$H$2:$H$391,$E618))</f>
        <v>5</v>
      </c>
      <c r="M618" s="23">
        <f>IF($C618&gt;0,INDEX(Merge_1_2!$I$2:$I$611,$C618),INDEX(Dataset3_Raw!$I$2:$I$391,$E618))</f>
        <v>1</v>
      </c>
      <c r="N618" s="25">
        <f>IF($C618&gt;0,INDEX(Merge_1_2!$J$2:$J$611,$C618),INDEX(Dataset3_Raw!$J$2:$J$391,$E618))</f>
        <v>0.24</v>
      </c>
      <c r="O618" s="25">
        <f>IF($C618&gt;0,IF(ISNUMBER(INDEX(Merge_1_2!$K$2:$K$611,$C618)),INDEX(Merge_1_2!$K$2:$K$611,$C618),""),INDEX(Dataset3_Raw!$K$2:$K$391,$E618))</f>
        <v>0.21210000000000001</v>
      </c>
      <c r="P618" s="25">
        <f>IF(ISNUMBER($O618),$O618,ROUND(Lookups!$B$25+Lookups!$B$24*$N618,4))</f>
        <v>0.21210000000000001</v>
      </c>
      <c r="Q618" s="25">
        <f>IF($C618&gt;0,INDEX(Merge_1_2!$L$2:$L$611,$C618),INDEX(Dataset3_Raw!$L$2:$L$391,$E618))</f>
        <v>0.65</v>
      </c>
      <c r="R618" s="25">
        <f>IF($C618&gt;0,INDEX(Merge_1_2!$M$2:$M$611,$C618),INDEX(Dataset3_Raw!$M$2:$M$391,$E618))</f>
        <v>0.35820000000000002</v>
      </c>
      <c r="S618" s="23">
        <f>IF($C618&gt;0,INDEX(Merge_1_2!$N$2:$N$611,$C618),INDEX(Dataset3_Raw!$N$2:$N$391,$E618))</f>
        <v>0</v>
      </c>
      <c r="T618" s="23">
        <f>IF($C618&gt;0,INDEX(Merge_1_2!$O$2:$O$611,$C618),INDEX(Dataset3_Raw!$O$2:$O$391,$E618))</f>
        <v>26</v>
      </c>
      <c r="U618" s="23">
        <f>IF($C618&gt;0,INDEX(Merge_1_2!$P$2:$P$611,$C618),INDEX(Dataset3_Raw!$P$2:$P$391,$E618))</f>
        <v>26</v>
      </c>
      <c r="V618" s="23" t="str">
        <f t="shared" si="55"/>
        <v>Weekday</v>
      </c>
      <c r="W618" s="23" t="str">
        <f>VLOOKUP($M618,Lookups!$A$5:$B$8,2,FALSE())</f>
        <v>Clear / Partly cloudy</v>
      </c>
      <c r="X618" s="23" t="str">
        <f>VLOOKUP($G618,Lookups!$D$5:$E$8,2,FALSE())</f>
        <v>Winter</v>
      </c>
      <c r="Y618" s="23" t="str">
        <f>VLOOKUP($L618,Lookups!$G$5:$H$11,2,FALSE())</f>
        <v>Friday</v>
      </c>
      <c r="Z618" s="23" t="str">
        <f>IF($J618&lt;Lookups!$B$26,"Night",IF($J618&lt;Lookups!$B$27,"Morning",IF($J618&lt;Lookups!$B$28,"Afternoon","Evening")))</f>
        <v>Evening</v>
      </c>
      <c r="AA618" s="26">
        <f>ROUND($N618*(Lookups!$B$16-Lookups!$B$15)+Lookups!$B$15,1)</f>
        <v>3.3</v>
      </c>
      <c r="AB618" s="26">
        <f>ROUND($P618*(Lookups!$B$18-Lookups!$B$17)+Lookups!$B$17,1)</f>
        <v>-2</v>
      </c>
      <c r="AC618" s="23">
        <f t="shared" si="56"/>
        <v>65</v>
      </c>
      <c r="AD618" s="23">
        <f>ROUND($R618*Lookups!$B$19,1)</f>
        <v>24</v>
      </c>
      <c r="AE618" s="27">
        <f t="shared" si="57"/>
        <v>1</v>
      </c>
      <c r="AF618" s="23" t="str">
        <f>IF($U618&gt;=Lookups!$B$23,"High",IF($U618&gt;=Lookups!$B$22,"Medium","Low"))</f>
        <v>Medium</v>
      </c>
      <c r="AG618" s="23">
        <f>ROUND(IF($V618="Weekday",IF(INDEX(Hourly_Analysis!$D$5:$D$28,$J618+1)&gt;0,($U618-INDEX(Hourly_Analysis!$C$5:$C$28,$J618+1))/INDEX(Hourly_Analysis!$D$5:$D$28,$J618+1),0),IF(INDEX(Hourly_Analysis!$G$5:$G$28,$J618+1)&gt;0,($U618-INDEX(Hourly_Analysis!$F$5:$F$28,$J618+1))/INDEX(Hourly_Analysis!$G$5:$G$28,$J618+1),0)),2)</f>
        <v>-1.21</v>
      </c>
      <c r="AH618" s="23" t="str">
        <f>IF(ABS($AG618)&gt;Lookups!$B$20,IF($AG618&gt;0,"High anomaly","Low anomaly"),"")</f>
        <v/>
      </c>
      <c r="AI618" s="23" t="str">
        <f t="shared" si="58"/>
        <v>OK</v>
      </c>
      <c r="AJ618" s="23" t="str">
        <f t="shared" si="59"/>
        <v>No</v>
      </c>
    </row>
    <row r="619" spans="1:36" x14ac:dyDescent="0.35">
      <c r="A619" s="23">
        <v>618</v>
      </c>
      <c r="B619" s="23" t="str">
        <f t="shared" si="54"/>
        <v>Dataset 3</v>
      </c>
      <c r="C619" s="23">
        <f>IFERROR(MATCH($A619,Merge_1_2!$A$2:$A$611,0),0)</f>
        <v>0</v>
      </c>
      <c r="D619" s="23">
        <f>IF($C619&gt;0,INDEX(Merge_1_2!$Q$2:$Q$611,$C619),0)</f>
        <v>0</v>
      </c>
      <c r="E619" s="23">
        <f>IFERROR(MATCH($A619,Dataset3_Raw!$A$2:$A$391,0),0)</f>
        <v>8</v>
      </c>
      <c r="F619" s="24">
        <f>IF($C619&gt;0,INDEX(Merge_1_2!$B$2:$B$611,$C619),DATE(VALUE(RIGHT(INDEX(Dataset3_Raw!$B$2:$B$391,$E619),4)),VALUE(MID(INDEX(Dataset3_Raw!$B$2:$B$391,$E619),4,2)),VALUE(LEFT(INDEX(Dataset3_Raw!$B$2:$B$391,$E619),2))))</f>
        <v>40571</v>
      </c>
      <c r="G619" s="23">
        <f>IF($C619&gt;0,INDEX(Merge_1_2!$C$2:$C$611,$C619),INDEX(Dataset3_Raw!$C$2:$C$391,$E619))</f>
        <v>1</v>
      </c>
      <c r="H619" s="23">
        <f>IF($C619&gt;0,INDEX(Merge_1_2!$D$2:$D$611,$C619),INDEX(Dataset3_Raw!$D$2:$D$391,$E619))</f>
        <v>0</v>
      </c>
      <c r="I619" s="23">
        <f>IF($C619&gt;0,INDEX(Merge_1_2!$E$2:$E$611,$C619),INDEX(Dataset3_Raw!$E$2:$E$391,$E619))</f>
        <v>1</v>
      </c>
      <c r="J619" s="23">
        <f>IF($C619&gt;0,INDEX(Merge_1_2!$F$2:$F$611,$C619),INDEX(Dataset3_Raw!$F$2:$F$391,$E619))</f>
        <v>23</v>
      </c>
      <c r="K619" s="23" t="b">
        <f>IF($C619&gt;0,INDEX(Merge_1_2!$G$2:$G$611,$C619),INDEX(Dataset3_Raw!$G$2:$G$391,$E619))</f>
        <v>0</v>
      </c>
      <c r="L619" s="23">
        <f>IF($C619&gt;0,INDEX(Merge_1_2!$H$2:$H$611,$C619),INDEX(Dataset3_Raw!$H$2:$H$391,$E619))</f>
        <v>5</v>
      </c>
      <c r="M619" s="23">
        <f>IF($C619&gt;0,INDEX(Merge_1_2!$I$2:$I$611,$C619),INDEX(Dataset3_Raw!$I$2:$I$391,$E619))</f>
        <v>1</v>
      </c>
      <c r="N619" s="25">
        <f>IF($C619&gt;0,INDEX(Merge_1_2!$J$2:$J$611,$C619),INDEX(Dataset3_Raw!$J$2:$J$391,$E619))</f>
        <v>0.24</v>
      </c>
      <c r="O619" s="25">
        <f>IF($C619&gt;0,IF(ISNUMBER(INDEX(Merge_1_2!$K$2:$K$611,$C619)),INDEX(Merge_1_2!$K$2:$K$611,$C619),""),INDEX(Dataset3_Raw!$K$2:$K$391,$E619))</f>
        <v>0.2273</v>
      </c>
      <c r="P619" s="25">
        <f>IF(ISNUMBER($O619),$O619,ROUND(Lookups!$B$25+Lookups!$B$24*$N619,4))</f>
        <v>0.2273</v>
      </c>
      <c r="Q619" s="25">
        <f>IF($C619&gt;0,INDEX(Merge_1_2!$L$2:$L$611,$C619),INDEX(Dataset3_Raw!$L$2:$L$391,$E619))</f>
        <v>0.6</v>
      </c>
      <c r="R619" s="25">
        <f>IF($C619&gt;0,INDEX(Merge_1_2!$M$2:$M$611,$C619),INDEX(Dataset3_Raw!$M$2:$M$391,$E619))</f>
        <v>0.22389999999999999</v>
      </c>
      <c r="S619" s="23">
        <f>IF($C619&gt;0,INDEX(Merge_1_2!$N$2:$N$611,$C619),INDEX(Dataset3_Raw!$N$2:$N$391,$E619))</f>
        <v>1</v>
      </c>
      <c r="T619" s="23">
        <f>IF($C619&gt;0,INDEX(Merge_1_2!$O$2:$O$611,$C619),INDEX(Dataset3_Raw!$O$2:$O$391,$E619))</f>
        <v>22</v>
      </c>
      <c r="U619" s="23">
        <f>IF($C619&gt;0,INDEX(Merge_1_2!$P$2:$P$611,$C619),INDEX(Dataset3_Raw!$P$2:$P$391,$E619))</f>
        <v>23</v>
      </c>
      <c r="V619" s="23" t="str">
        <f t="shared" si="55"/>
        <v>Weekday</v>
      </c>
      <c r="W619" s="23" t="str">
        <f>VLOOKUP($M619,Lookups!$A$5:$B$8,2,FALSE())</f>
        <v>Clear / Partly cloudy</v>
      </c>
      <c r="X619" s="23" t="str">
        <f>VLOOKUP($G619,Lookups!$D$5:$E$8,2,FALSE())</f>
        <v>Winter</v>
      </c>
      <c r="Y619" s="23" t="str">
        <f>VLOOKUP($L619,Lookups!$G$5:$H$11,2,FALSE())</f>
        <v>Friday</v>
      </c>
      <c r="Z619" s="23" t="str">
        <f>IF($J619&lt;Lookups!$B$26,"Night",IF($J619&lt;Lookups!$B$27,"Morning",IF($J619&lt;Lookups!$B$28,"Afternoon","Evening")))</f>
        <v>Evening</v>
      </c>
      <c r="AA619" s="26">
        <f>ROUND($N619*(Lookups!$B$16-Lookups!$B$15)+Lookups!$B$15,1)</f>
        <v>3.3</v>
      </c>
      <c r="AB619" s="26">
        <f>ROUND($P619*(Lookups!$B$18-Lookups!$B$17)+Lookups!$B$17,1)</f>
        <v>-1</v>
      </c>
      <c r="AC619" s="23">
        <f t="shared" si="56"/>
        <v>60</v>
      </c>
      <c r="AD619" s="23">
        <f>ROUND($R619*Lookups!$B$19,1)</f>
        <v>15</v>
      </c>
      <c r="AE619" s="27">
        <f t="shared" si="57"/>
        <v>0.95652173913043481</v>
      </c>
      <c r="AF619" s="23" t="str">
        <f>IF($U619&gt;=Lookups!$B$23,"High",IF($U619&gt;=Lookups!$B$22,"Medium","Low"))</f>
        <v>Medium</v>
      </c>
      <c r="AG619" s="23">
        <f>ROUND(IF($V619="Weekday",IF(INDEX(Hourly_Analysis!$D$5:$D$28,$J619+1)&gt;0,($U619-INDEX(Hourly_Analysis!$C$5:$C$28,$J619+1))/INDEX(Hourly_Analysis!$D$5:$D$28,$J619+1),0),IF(INDEX(Hourly_Analysis!$G$5:$G$28,$J619+1)&gt;0,($U619-INDEX(Hourly_Analysis!$F$5:$F$28,$J619+1))/INDEX(Hourly_Analysis!$G$5:$G$28,$J619+1),0)),2)</f>
        <v>-0.14000000000000001</v>
      </c>
      <c r="AH619" s="23" t="str">
        <f>IF(ABS($AG619)&gt;Lookups!$B$20,IF($AG619&gt;0,"High anomaly","Low anomaly"),"")</f>
        <v/>
      </c>
      <c r="AI619" s="23" t="str">
        <f t="shared" si="58"/>
        <v>OK</v>
      </c>
      <c r="AJ619" s="23" t="str">
        <f t="shared" si="59"/>
        <v>No</v>
      </c>
    </row>
    <row r="620" spans="1:36" x14ac:dyDescent="0.35">
      <c r="A620" s="23">
        <v>619</v>
      </c>
      <c r="B620" s="23" t="str">
        <f t="shared" si="54"/>
        <v>Dataset 3</v>
      </c>
      <c r="C620" s="23">
        <f>IFERROR(MATCH($A620,Merge_1_2!$A$2:$A$611,0),0)</f>
        <v>0</v>
      </c>
      <c r="D620" s="23">
        <f>IF($C620&gt;0,INDEX(Merge_1_2!$Q$2:$Q$611,$C620),0)</f>
        <v>0</v>
      </c>
      <c r="E620" s="23">
        <f>IFERROR(MATCH($A620,Dataset3_Raw!$A$2:$A$391,0),0)</f>
        <v>9</v>
      </c>
      <c r="F620" s="24">
        <f>IF($C620&gt;0,INDEX(Merge_1_2!$B$2:$B$611,$C620),DATE(VALUE(RIGHT(INDEX(Dataset3_Raw!$B$2:$B$391,$E620),4)),VALUE(MID(INDEX(Dataset3_Raw!$B$2:$B$391,$E620),4,2)),VALUE(LEFT(INDEX(Dataset3_Raw!$B$2:$B$391,$E620),2))))</f>
        <v>40572</v>
      </c>
      <c r="G620" s="23">
        <f>IF($C620&gt;0,INDEX(Merge_1_2!$C$2:$C$611,$C620),INDEX(Dataset3_Raw!$C$2:$C$391,$E620))</f>
        <v>1</v>
      </c>
      <c r="H620" s="23">
        <f>IF($C620&gt;0,INDEX(Merge_1_2!$D$2:$D$611,$C620),INDEX(Dataset3_Raw!$D$2:$D$391,$E620))</f>
        <v>0</v>
      </c>
      <c r="I620" s="23">
        <f>IF($C620&gt;0,INDEX(Merge_1_2!$E$2:$E$611,$C620),INDEX(Dataset3_Raw!$E$2:$E$391,$E620))</f>
        <v>1</v>
      </c>
      <c r="J620" s="23">
        <f>IF($C620&gt;0,INDEX(Merge_1_2!$F$2:$F$611,$C620),INDEX(Dataset3_Raw!$F$2:$F$391,$E620))</f>
        <v>0</v>
      </c>
      <c r="K620" s="23" t="b">
        <f>IF($C620&gt;0,INDEX(Merge_1_2!$G$2:$G$611,$C620),INDEX(Dataset3_Raw!$G$2:$G$391,$E620))</f>
        <v>0</v>
      </c>
      <c r="L620" s="23">
        <f>IF($C620&gt;0,INDEX(Merge_1_2!$H$2:$H$611,$C620),INDEX(Dataset3_Raw!$H$2:$H$391,$E620))</f>
        <v>6</v>
      </c>
      <c r="M620" s="23">
        <f>IF($C620&gt;0,INDEX(Merge_1_2!$I$2:$I$611,$C620),INDEX(Dataset3_Raw!$I$2:$I$391,$E620))</f>
        <v>1</v>
      </c>
      <c r="N620" s="25">
        <f>IF($C620&gt;0,INDEX(Merge_1_2!$J$2:$J$611,$C620),INDEX(Dataset3_Raw!$J$2:$J$391,$E620))</f>
        <v>0.22</v>
      </c>
      <c r="O620" s="25">
        <f>IF($C620&gt;0,IF(ISNUMBER(INDEX(Merge_1_2!$K$2:$K$611,$C620)),INDEX(Merge_1_2!$K$2:$K$611,$C620),""),INDEX(Dataset3_Raw!$K$2:$K$391,$E620))</f>
        <v>0.19700000000000001</v>
      </c>
      <c r="P620" s="25">
        <f>IF(ISNUMBER($O620),$O620,ROUND(Lookups!$B$25+Lookups!$B$24*$N620,4))</f>
        <v>0.19700000000000001</v>
      </c>
      <c r="Q620" s="25">
        <f>IF($C620&gt;0,INDEX(Merge_1_2!$L$2:$L$611,$C620),INDEX(Dataset3_Raw!$L$2:$L$391,$E620))</f>
        <v>0.64</v>
      </c>
      <c r="R620" s="25">
        <f>IF($C620&gt;0,INDEX(Merge_1_2!$M$2:$M$611,$C620),INDEX(Dataset3_Raw!$M$2:$M$391,$E620))</f>
        <v>0.35820000000000002</v>
      </c>
      <c r="S620" s="23">
        <f>IF($C620&gt;0,INDEX(Merge_1_2!$N$2:$N$611,$C620),INDEX(Dataset3_Raw!$N$2:$N$391,$E620))</f>
        <v>2</v>
      </c>
      <c r="T620" s="23">
        <f>IF($C620&gt;0,INDEX(Merge_1_2!$O$2:$O$611,$C620),INDEX(Dataset3_Raw!$O$2:$O$391,$E620))</f>
        <v>26</v>
      </c>
      <c r="U620" s="23">
        <f>IF($C620&gt;0,INDEX(Merge_1_2!$P$2:$P$611,$C620),INDEX(Dataset3_Raw!$P$2:$P$391,$E620))</f>
        <v>28</v>
      </c>
      <c r="V620" s="23" t="str">
        <f t="shared" si="55"/>
        <v>Weekend</v>
      </c>
      <c r="W620" s="23" t="str">
        <f>VLOOKUP($M620,Lookups!$A$5:$B$8,2,FALSE())</f>
        <v>Clear / Partly cloudy</v>
      </c>
      <c r="X620" s="23" t="str">
        <f>VLOOKUP($G620,Lookups!$D$5:$E$8,2,FALSE())</f>
        <v>Winter</v>
      </c>
      <c r="Y620" s="23" t="str">
        <f>VLOOKUP($L620,Lookups!$G$5:$H$11,2,FALSE())</f>
        <v>Saturday</v>
      </c>
      <c r="Z620" s="23" t="str">
        <f>IF($J620&lt;Lookups!$B$26,"Night",IF($J620&lt;Lookups!$B$27,"Morning",IF($J620&lt;Lookups!$B$28,"Afternoon","Evening")))</f>
        <v>Night</v>
      </c>
      <c r="AA620" s="26">
        <f>ROUND($N620*(Lookups!$B$16-Lookups!$B$15)+Lookups!$B$15,1)</f>
        <v>2.2999999999999998</v>
      </c>
      <c r="AB620" s="26">
        <f>ROUND($P620*(Lookups!$B$18-Lookups!$B$17)+Lookups!$B$17,1)</f>
        <v>-3</v>
      </c>
      <c r="AC620" s="23">
        <f t="shared" si="56"/>
        <v>64</v>
      </c>
      <c r="AD620" s="23">
        <f>ROUND($R620*Lookups!$B$19,1)</f>
        <v>24</v>
      </c>
      <c r="AE620" s="27">
        <f t="shared" si="57"/>
        <v>0.9285714285714286</v>
      </c>
      <c r="AF620" s="23" t="str">
        <f>IF($U620&gt;=Lookups!$B$23,"High",IF($U620&gt;=Lookups!$B$22,"Medium","Low"))</f>
        <v>Medium</v>
      </c>
      <c r="AG620" s="23">
        <f>ROUND(IF($V620="Weekday",IF(INDEX(Hourly_Analysis!$D$5:$D$28,$J620+1)&gt;0,($U620-INDEX(Hourly_Analysis!$C$5:$C$28,$J620+1))/INDEX(Hourly_Analysis!$D$5:$D$28,$J620+1),0),IF(INDEX(Hourly_Analysis!$G$5:$G$28,$J620+1)&gt;0,($U620-INDEX(Hourly_Analysis!$F$5:$F$28,$J620+1))/INDEX(Hourly_Analysis!$G$5:$G$28,$J620+1),0)),2)</f>
        <v>7.0000000000000007E-2</v>
      </c>
      <c r="AH620" s="23" t="str">
        <f>IF(ABS($AG620)&gt;Lookups!$B$20,IF($AG620&gt;0,"High anomaly","Low anomaly"),"")</f>
        <v/>
      </c>
      <c r="AI620" s="23" t="str">
        <f t="shared" si="58"/>
        <v>OK</v>
      </c>
      <c r="AJ620" s="23" t="str">
        <f t="shared" si="59"/>
        <v>No</v>
      </c>
    </row>
    <row r="621" spans="1:36" x14ac:dyDescent="0.35">
      <c r="A621" s="23">
        <v>620</v>
      </c>
      <c r="B621" s="23" t="str">
        <f t="shared" si="54"/>
        <v>Dataset 3</v>
      </c>
      <c r="C621" s="23">
        <f>IFERROR(MATCH($A621,Merge_1_2!$A$2:$A$611,0),0)</f>
        <v>0</v>
      </c>
      <c r="D621" s="23">
        <f>IF($C621&gt;0,INDEX(Merge_1_2!$Q$2:$Q$611,$C621),0)</f>
        <v>0</v>
      </c>
      <c r="E621" s="23">
        <f>IFERROR(MATCH($A621,Dataset3_Raw!$A$2:$A$391,0),0)</f>
        <v>10</v>
      </c>
      <c r="F621" s="24">
        <f>IF($C621&gt;0,INDEX(Merge_1_2!$B$2:$B$611,$C621),DATE(VALUE(RIGHT(INDEX(Dataset3_Raw!$B$2:$B$391,$E621),4)),VALUE(MID(INDEX(Dataset3_Raw!$B$2:$B$391,$E621),4,2)),VALUE(LEFT(INDEX(Dataset3_Raw!$B$2:$B$391,$E621),2))))</f>
        <v>40572</v>
      </c>
      <c r="G621" s="23">
        <f>IF($C621&gt;0,INDEX(Merge_1_2!$C$2:$C$611,$C621),INDEX(Dataset3_Raw!$C$2:$C$391,$E621))</f>
        <v>1</v>
      </c>
      <c r="H621" s="23">
        <f>IF($C621&gt;0,INDEX(Merge_1_2!$D$2:$D$611,$C621),INDEX(Dataset3_Raw!$D$2:$D$391,$E621))</f>
        <v>0</v>
      </c>
      <c r="I621" s="23">
        <f>IF($C621&gt;0,INDEX(Merge_1_2!$E$2:$E$611,$C621),INDEX(Dataset3_Raw!$E$2:$E$391,$E621))</f>
        <v>1</v>
      </c>
      <c r="J621" s="23">
        <f>IF($C621&gt;0,INDEX(Merge_1_2!$F$2:$F$611,$C621),INDEX(Dataset3_Raw!$F$2:$F$391,$E621))</f>
        <v>1</v>
      </c>
      <c r="K621" s="23" t="b">
        <f>IF($C621&gt;0,INDEX(Merge_1_2!$G$2:$G$611,$C621),INDEX(Dataset3_Raw!$G$2:$G$391,$E621))</f>
        <v>0</v>
      </c>
      <c r="L621" s="23">
        <f>IF($C621&gt;0,INDEX(Merge_1_2!$H$2:$H$611,$C621),INDEX(Dataset3_Raw!$H$2:$H$391,$E621))</f>
        <v>6</v>
      </c>
      <c r="M621" s="23">
        <f>IF($C621&gt;0,INDEX(Merge_1_2!$I$2:$I$611,$C621),INDEX(Dataset3_Raw!$I$2:$I$391,$E621))</f>
        <v>1</v>
      </c>
      <c r="N621" s="25">
        <f>IF($C621&gt;0,INDEX(Merge_1_2!$J$2:$J$611,$C621),INDEX(Dataset3_Raw!$J$2:$J$391,$E621))</f>
        <v>0.22</v>
      </c>
      <c r="O621" s="25">
        <f>IF($C621&gt;0,IF(ISNUMBER(INDEX(Merge_1_2!$K$2:$K$611,$C621)),INDEX(Merge_1_2!$K$2:$K$611,$C621),""),INDEX(Dataset3_Raw!$K$2:$K$391,$E621))</f>
        <v>0.2273</v>
      </c>
      <c r="P621" s="25">
        <f>IF(ISNUMBER($O621),$O621,ROUND(Lookups!$B$25+Lookups!$B$24*$N621,4))</f>
        <v>0.2273</v>
      </c>
      <c r="Q621" s="25">
        <f>IF($C621&gt;0,INDEX(Merge_1_2!$L$2:$L$611,$C621),INDEX(Dataset3_Raw!$L$2:$L$391,$E621))</f>
        <v>0.64</v>
      </c>
      <c r="R621" s="25">
        <f>IF($C621&gt;0,INDEX(Merge_1_2!$M$2:$M$611,$C621),INDEX(Dataset3_Raw!$M$2:$M$391,$E621))</f>
        <v>0.19400000000000001</v>
      </c>
      <c r="S621" s="23">
        <f>IF($C621&gt;0,INDEX(Merge_1_2!$N$2:$N$611,$C621),INDEX(Dataset3_Raw!$N$2:$N$391,$E621))</f>
        <v>0</v>
      </c>
      <c r="T621" s="23">
        <f>IF($C621&gt;0,INDEX(Merge_1_2!$O$2:$O$611,$C621),INDEX(Dataset3_Raw!$O$2:$O$391,$E621))</f>
        <v>20</v>
      </c>
      <c r="U621" s="23">
        <f>IF($C621&gt;0,INDEX(Merge_1_2!$P$2:$P$611,$C621),INDEX(Dataset3_Raw!$P$2:$P$391,$E621))</f>
        <v>20</v>
      </c>
      <c r="V621" s="23" t="str">
        <f t="shared" si="55"/>
        <v>Weekend</v>
      </c>
      <c r="W621" s="23" t="str">
        <f>VLOOKUP($M621,Lookups!$A$5:$B$8,2,FALSE())</f>
        <v>Clear / Partly cloudy</v>
      </c>
      <c r="X621" s="23" t="str">
        <f>VLOOKUP($G621,Lookups!$D$5:$E$8,2,FALSE())</f>
        <v>Winter</v>
      </c>
      <c r="Y621" s="23" t="str">
        <f>VLOOKUP($L621,Lookups!$G$5:$H$11,2,FALSE())</f>
        <v>Saturday</v>
      </c>
      <c r="Z621" s="23" t="str">
        <f>IF($J621&lt;Lookups!$B$26,"Night",IF($J621&lt;Lookups!$B$27,"Morning",IF($J621&lt;Lookups!$B$28,"Afternoon","Evening")))</f>
        <v>Night</v>
      </c>
      <c r="AA621" s="26">
        <f>ROUND($N621*(Lookups!$B$16-Lookups!$B$15)+Lookups!$B$15,1)</f>
        <v>2.2999999999999998</v>
      </c>
      <c r="AB621" s="26">
        <f>ROUND($P621*(Lookups!$B$18-Lookups!$B$17)+Lookups!$B$17,1)</f>
        <v>-1</v>
      </c>
      <c r="AC621" s="23">
        <f t="shared" si="56"/>
        <v>64</v>
      </c>
      <c r="AD621" s="23">
        <f>ROUND($R621*Lookups!$B$19,1)</f>
        <v>13</v>
      </c>
      <c r="AE621" s="27">
        <f t="shared" si="57"/>
        <v>1</v>
      </c>
      <c r="AF621" s="23" t="str">
        <f>IF($U621&gt;=Lookups!$B$23,"High",IF($U621&gt;=Lookups!$B$22,"Medium","Low"))</f>
        <v>Medium</v>
      </c>
      <c r="AG621" s="23">
        <f>ROUND(IF($V621="Weekday",IF(INDEX(Hourly_Analysis!$D$5:$D$28,$J621+1)&gt;0,($U621-INDEX(Hourly_Analysis!$C$5:$C$28,$J621+1))/INDEX(Hourly_Analysis!$D$5:$D$28,$J621+1),0),IF(INDEX(Hourly_Analysis!$G$5:$G$28,$J621+1)&gt;0,($U621-INDEX(Hourly_Analysis!$F$5:$F$28,$J621+1))/INDEX(Hourly_Analysis!$G$5:$G$28,$J621+1),0)),2)</f>
        <v>-0.2</v>
      </c>
      <c r="AH621" s="23" t="str">
        <f>IF(ABS($AG621)&gt;Lookups!$B$20,IF($AG621&gt;0,"High anomaly","Low anomaly"),"")</f>
        <v/>
      </c>
      <c r="AI621" s="23" t="str">
        <f t="shared" si="58"/>
        <v>OK</v>
      </c>
      <c r="AJ621" s="23" t="str">
        <f t="shared" si="59"/>
        <v>No</v>
      </c>
    </row>
    <row r="622" spans="1:36" x14ac:dyDescent="0.35">
      <c r="A622" s="23">
        <v>621</v>
      </c>
      <c r="B622" s="23" t="str">
        <f t="shared" si="54"/>
        <v>Dataset 3</v>
      </c>
      <c r="C622" s="23">
        <f>IFERROR(MATCH($A622,Merge_1_2!$A$2:$A$611,0),0)</f>
        <v>0</v>
      </c>
      <c r="D622" s="23">
        <f>IF($C622&gt;0,INDEX(Merge_1_2!$Q$2:$Q$611,$C622),0)</f>
        <v>0</v>
      </c>
      <c r="E622" s="23">
        <f>IFERROR(MATCH($A622,Dataset3_Raw!$A$2:$A$391,0),0)</f>
        <v>11</v>
      </c>
      <c r="F622" s="24">
        <f>IF($C622&gt;0,INDEX(Merge_1_2!$B$2:$B$611,$C622),DATE(VALUE(RIGHT(INDEX(Dataset3_Raw!$B$2:$B$391,$E622),4)),VALUE(MID(INDEX(Dataset3_Raw!$B$2:$B$391,$E622),4,2)),VALUE(LEFT(INDEX(Dataset3_Raw!$B$2:$B$391,$E622),2))))</f>
        <v>40572</v>
      </c>
      <c r="G622" s="23">
        <f>IF($C622&gt;0,INDEX(Merge_1_2!$C$2:$C$611,$C622),INDEX(Dataset3_Raw!$C$2:$C$391,$E622))</f>
        <v>1</v>
      </c>
      <c r="H622" s="23">
        <f>IF($C622&gt;0,INDEX(Merge_1_2!$D$2:$D$611,$C622),INDEX(Dataset3_Raw!$D$2:$D$391,$E622))</f>
        <v>0</v>
      </c>
      <c r="I622" s="23">
        <f>IF($C622&gt;0,INDEX(Merge_1_2!$E$2:$E$611,$C622),INDEX(Dataset3_Raw!$E$2:$E$391,$E622))</f>
        <v>1</v>
      </c>
      <c r="J622" s="23">
        <f>IF($C622&gt;0,INDEX(Merge_1_2!$F$2:$F$611,$C622),INDEX(Dataset3_Raw!$F$2:$F$391,$E622))</f>
        <v>2</v>
      </c>
      <c r="K622" s="23" t="b">
        <f>IF($C622&gt;0,INDEX(Merge_1_2!$G$2:$G$611,$C622),INDEX(Dataset3_Raw!$G$2:$G$391,$E622))</f>
        <v>0</v>
      </c>
      <c r="L622" s="23">
        <f>IF($C622&gt;0,INDEX(Merge_1_2!$H$2:$H$611,$C622),INDEX(Dataset3_Raw!$H$2:$H$391,$E622))</f>
        <v>6</v>
      </c>
      <c r="M622" s="23">
        <f>IF($C622&gt;0,INDEX(Merge_1_2!$I$2:$I$611,$C622),INDEX(Dataset3_Raw!$I$2:$I$391,$E622))</f>
        <v>1</v>
      </c>
      <c r="N622" s="25">
        <f>IF($C622&gt;0,INDEX(Merge_1_2!$J$2:$J$611,$C622),INDEX(Dataset3_Raw!$J$2:$J$391,$E622))</f>
        <v>0.22</v>
      </c>
      <c r="O622" s="25">
        <f>IF($C622&gt;0,IF(ISNUMBER(INDEX(Merge_1_2!$K$2:$K$611,$C622)),INDEX(Merge_1_2!$K$2:$K$611,$C622),""),INDEX(Dataset3_Raw!$K$2:$K$391,$E622))</f>
        <v>0.2273</v>
      </c>
      <c r="P622" s="25">
        <f>IF(ISNUMBER($O622),$O622,ROUND(Lookups!$B$25+Lookups!$B$24*$N622,4))</f>
        <v>0.2273</v>
      </c>
      <c r="Q622" s="25">
        <f>IF($C622&gt;0,INDEX(Merge_1_2!$L$2:$L$611,$C622),INDEX(Dataset3_Raw!$L$2:$L$391,$E622))</f>
        <v>0.64</v>
      </c>
      <c r="R622" s="25">
        <f>IF($C622&gt;0,INDEX(Merge_1_2!$M$2:$M$611,$C622),INDEX(Dataset3_Raw!$M$2:$M$391,$E622))</f>
        <v>0.16420000000000001</v>
      </c>
      <c r="S622" s="23">
        <f>IF($C622&gt;0,INDEX(Merge_1_2!$N$2:$N$611,$C622),INDEX(Dataset3_Raw!$N$2:$N$391,$E622))</f>
        <v>0</v>
      </c>
      <c r="T622" s="23">
        <f>IF($C622&gt;0,INDEX(Merge_1_2!$O$2:$O$611,$C622),INDEX(Dataset3_Raw!$O$2:$O$391,$E622))</f>
        <v>15</v>
      </c>
      <c r="U622" s="23">
        <f>IF($C622&gt;0,INDEX(Merge_1_2!$P$2:$P$611,$C622),INDEX(Dataset3_Raw!$P$2:$P$391,$E622))</f>
        <v>15</v>
      </c>
      <c r="V622" s="23" t="str">
        <f t="shared" si="55"/>
        <v>Weekend</v>
      </c>
      <c r="W622" s="23" t="str">
        <f>VLOOKUP($M622,Lookups!$A$5:$B$8,2,FALSE())</f>
        <v>Clear / Partly cloudy</v>
      </c>
      <c r="X622" s="23" t="str">
        <f>VLOOKUP($G622,Lookups!$D$5:$E$8,2,FALSE())</f>
        <v>Winter</v>
      </c>
      <c r="Y622" s="23" t="str">
        <f>VLOOKUP($L622,Lookups!$G$5:$H$11,2,FALSE())</f>
        <v>Saturday</v>
      </c>
      <c r="Z622" s="23" t="str">
        <f>IF($J622&lt;Lookups!$B$26,"Night",IF($J622&lt;Lookups!$B$27,"Morning",IF($J622&lt;Lookups!$B$28,"Afternoon","Evening")))</f>
        <v>Night</v>
      </c>
      <c r="AA622" s="26">
        <f>ROUND($N622*(Lookups!$B$16-Lookups!$B$15)+Lookups!$B$15,1)</f>
        <v>2.2999999999999998</v>
      </c>
      <c r="AB622" s="26">
        <f>ROUND($P622*(Lookups!$B$18-Lookups!$B$17)+Lookups!$B$17,1)</f>
        <v>-1</v>
      </c>
      <c r="AC622" s="23">
        <f t="shared" si="56"/>
        <v>64</v>
      </c>
      <c r="AD622" s="23">
        <f>ROUND($R622*Lookups!$B$19,1)</f>
        <v>11</v>
      </c>
      <c r="AE622" s="27">
        <f t="shared" si="57"/>
        <v>1</v>
      </c>
      <c r="AF622" s="23" t="str">
        <f>IF($U622&gt;=Lookups!$B$23,"High",IF($U622&gt;=Lookups!$B$22,"Medium","Low"))</f>
        <v>Low</v>
      </c>
      <c r="AG622" s="23">
        <f>ROUND(IF($V622="Weekday",IF(INDEX(Hourly_Analysis!$D$5:$D$28,$J622+1)&gt;0,($U622-INDEX(Hourly_Analysis!$C$5:$C$28,$J622+1))/INDEX(Hourly_Analysis!$D$5:$D$28,$J622+1),0),IF(INDEX(Hourly_Analysis!$G$5:$G$28,$J622+1)&gt;0,($U622-INDEX(Hourly_Analysis!$F$5:$F$28,$J622+1))/INDEX(Hourly_Analysis!$G$5:$G$28,$J622+1),0)),2)</f>
        <v>-7.0000000000000007E-2</v>
      </c>
      <c r="AH622" s="23" t="str">
        <f>IF(ABS($AG622)&gt;Lookups!$B$20,IF($AG622&gt;0,"High anomaly","Low anomaly"),"")</f>
        <v/>
      </c>
      <c r="AI622" s="23" t="str">
        <f t="shared" si="58"/>
        <v>OK</v>
      </c>
      <c r="AJ622" s="23" t="str">
        <f t="shared" si="59"/>
        <v>No</v>
      </c>
    </row>
    <row r="623" spans="1:36" x14ac:dyDescent="0.35">
      <c r="A623" s="23">
        <v>622</v>
      </c>
      <c r="B623" s="23" t="str">
        <f t="shared" si="54"/>
        <v>Dataset 3</v>
      </c>
      <c r="C623" s="23">
        <f>IFERROR(MATCH($A623,Merge_1_2!$A$2:$A$611,0),0)</f>
        <v>0</v>
      </c>
      <c r="D623" s="23">
        <f>IF($C623&gt;0,INDEX(Merge_1_2!$Q$2:$Q$611,$C623),0)</f>
        <v>0</v>
      </c>
      <c r="E623" s="23">
        <f>IFERROR(MATCH($A623,Dataset3_Raw!$A$2:$A$391,0),0)</f>
        <v>12</v>
      </c>
      <c r="F623" s="24">
        <f>IF($C623&gt;0,INDEX(Merge_1_2!$B$2:$B$611,$C623),DATE(VALUE(RIGHT(INDEX(Dataset3_Raw!$B$2:$B$391,$E623),4)),VALUE(MID(INDEX(Dataset3_Raw!$B$2:$B$391,$E623),4,2)),VALUE(LEFT(INDEX(Dataset3_Raw!$B$2:$B$391,$E623),2))))</f>
        <v>40572</v>
      </c>
      <c r="G623" s="23">
        <f>IF($C623&gt;0,INDEX(Merge_1_2!$C$2:$C$611,$C623),INDEX(Dataset3_Raw!$C$2:$C$391,$E623))</f>
        <v>1</v>
      </c>
      <c r="H623" s="23">
        <f>IF($C623&gt;0,INDEX(Merge_1_2!$D$2:$D$611,$C623),INDEX(Dataset3_Raw!$D$2:$D$391,$E623))</f>
        <v>0</v>
      </c>
      <c r="I623" s="23">
        <f>IF($C623&gt;0,INDEX(Merge_1_2!$E$2:$E$611,$C623),INDEX(Dataset3_Raw!$E$2:$E$391,$E623))</f>
        <v>1</v>
      </c>
      <c r="J623" s="23">
        <f>IF($C623&gt;0,INDEX(Merge_1_2!$F$2:$F$611,$C623),INDEX(Dataset3_Raw!$F$2:$F$391,$E623))</f>
        <v>3</v>
      </c>
      <c r="K623" s="23" t="b">
        <f>IF($C623&gt;0,INDEX(Merge_1_2!$G$2:$G$611,$C623),INDEX(Dataset3_Raw!$G$2:$G$391,$E623))</f>
        <v>0</v>
      </c>
      <c r="L623" s="23">
        <f>IF($C623&gt;0,INDEX(Merge_1_2!$H$2:$H$611,$C623),INDEX(Dataset3_Raw!$H$2:$H$391,$E623))</f>
        <v>6</v>
      </c>
      <c r="M623" s="23">
        <f>IF($C623&gt;0,INDEX(Merge_1_2!$I$2:$I$611,$C623),INDEX(Dataset3_Raw!$I$2:$I$391,$E623))</f>
        <v>1</v>
      </c>
      <c r="N623" s="25">
        <f>IF($C623&gt;0,INDEX(Merge_1_2!$J$2:$J$611,$C623),INDEX(Dataset3_Raw!$J$2:$J$391,$E623))</f>
        <v>0.2</v>
      </c>
      <c r="O623" s="25">
        <f>IF($C623&gt;0,IF(ISNUMBER(INDEX(Merge_1_2!$K$2:$K$611,$C623)),INDEX(Merge_1_2!$K$2:$K$611,$C623),""),INDEX(Dataset3_Raw!$K$2:$K$391,$E623))</f>
        <v>0.21210000000000001</v>
      </c>
      <c r="P623" s="25">
        <f>IF(ISNUMBER($O623),$O623,ROUND(Lookups!$B$25+Lookups!$B$24*$N623,4))</f>
        <v>0.21210000000000001</v>
      </c>
      <c r="Q623" s="25">
        <f>IF($C623&gt;0,INDEX(Merge_1_2!$L$2:$L$611,$C623),INDEX(Dataset3_Raw!$L$2:$L$391,$E623))</f>
        <v>0.64</v>
      </c>
      <c r="R623" s="25">
        <f>IF($C623&gt;0,INDEX(Merge_1_2!$M$2:$M$611,$C623),INDEX(Dataset3_Raw!$M$2:$M$391,$E623))</f>
        <v>0.1343</v>
      </c>
      <c r="S623" s="23">
        <f>IF($C623&gt;0,INDEX(Merge_1_2!$N$2:$N$611,$C623),INDEX(Dataset3_Raw!$N$2:$N$391,$E623))</f>
        <v>3</v>
      </c>
      <c r="T623" s="23">
        <f>IF($C623&gt;0,INDEX(Merge_1_2!$O$2:$O$611,$C623),INDEX(Dataset3_Raw!$O$2:$O$391,$E623))</f>
        <v>5</v>
      </c>
      <c r="U623" s="23">
        <f>IF($C623&gt;0,INDEX(Merge_1_2!$P$2:$P$611,$C623),INDEX(Dataset3_Raw!$P$2:$P$391,$E623))</f>
        <v>8</v>
      </c>
      <c r="V623" s="23" t="str">
        <f t="shared" si="55"/>
        <v>Weekend</v>
      </c>
      <c r="W623" s="23" t="str">
        <f>VLOOKUP($M623,Lookups!$A$5:$B$8,2,FALSE())</f>
        <v>Clear / Partly cloudy</v>
      </c>
      <c r="X623" s="23" t="str">
        <f>VLOOKUP($G623,Lookups!$D$5:$E$8,2,FALSE())</f>
        <v>Winter</v>
      </c>
      <c r="Y623" s="23" t="str">
        <f>VLOOKUP($L623,Lookups!$G$5:$H$11,2,FALSE())</f>
        <v>Saturday</v>
      </c>
      <c r="Z623" s="23" t="str">
        <f>IF($J623&lt;Lookups!$B$26,"Night",IF($J623&lt;Lookups!$B$27,"Morning",IF($J623&lt;Lookups!$B$28,"Afternoon","Evening")))</f>
        <v>Night</v>
      </c>
      <c r="AA623" s="26">
        <f>ROUND($N623*(Lookups!$B$16-Lookups!$B$15)+Lookups!$B$15,1)</f>
        <v>1.4</v>
      </c>
      <c r="AB623" s="26">
        <f>ROUND($P623*(Lookups!$B$18-Lookups!$B$17)+Lookups!$B$17,1)</f>
        <v>-2</v>
      </c>
      <c r="AC623" s="23">
        <f t="shared" si="56"/>
        <v>64</v>
      </c>
      <c r="AD623" s="23">
        <f>ROUND($R623*Lookups!$B$19,1)</f>
        <v>9</v>
      </c>
      <c r="AE623" s="27">
        <f t="shared" si="57"/>
        <v>0.625</v>
      </c>
      <c r="AF623" s="23" t="str">
        <f>IF($U623&gt;=Lookups!$B$23,"High",IF($U623&gt;=Lookups!$B$22,"Medium","Low"))</f>
        <v>Low</v>
      </c>
      <c r="AG623" s="23">
        <f>ROUND(IF($V623="Weekday",IF(INDEX(Hourly_Analysis!$D$5:$D$28,$J623+1)&gt;0,($U623-INDEX(Hourly_Analysis!$C$5:$C$28,$J623+1))/INDEX(Hourly_Analysis!$D$5:$D$28,$J623+1),0),IF(INDEX(Hourly_Analysis!$G$5:$G$28,$J623+1)&gt;0,($U623-INDEX(Hourly_Analysis!$F$5:$F$28,$J623+1))/INDEX(Hourly_Analysis!$G$5:$G$28,$J623+1),0)),2)</f>
        <v>-0.16</v>
      </c>
      <c r="AH623" s="23" t="str">
        <f>IF(ABS($AG623)&gt;Lookups!$B$20,IF($AG623&gt;0,"High anomaly","Low anomaly"),"")</f>
        <v/>
      </c>
      <c r="AI623" s="23" t="str">
        <f t="shared" si="58"/>
        <v>OK</v>
      </c>
      <c r="AJ623" s="23" t="str">
        <f t="shared" si="59"/>
        <v>No</v>
      </c>
    </row>
    <row r="624" spans="1:36" x14ac:dyDescent="0.35">
      <c r="A624" s="23">
        <v>623</v>
      </c>
      <c r="B624" s="23" t="str">
        <f t="shared" si="54"/>
        <v>Dataset 3</v>
      </c>
      <c r="C624" s="23">
        <f>IFERROR(MATCH($A624,Merge_1_2!$A$2:$A$611,0),0)</f>
        <v>0</v>
      </c>
      <c r="D624" s="23">
        <f>IF($C624&gt;0,INDEX(Merge_1_2!$Q$2:$Q$611,$C624),0)</f>
        <v>0</v>
      </c>
      <c r="E624" s="23">
        <f>IFERROR(MATCH($A624,Dataset3_Raw!$A$2:$A$391,0),0)</f>
        <v>13</v>
      </c>
      <c r="F624" s="24">
        <f>IF($C624&gt;0,INDEX(Merge_1_2!$B$2:$B$611,$C624),DATE(VALUE(RIGHT(INDEX(Dataset3_Raw!$B$2:$B$391,$E624),4)),VALUE(MID(INDEX(Dataset3_Raw!$B$2:$B$391,$E624),4,2)),VALUE(LEFT(INDEX(Dataset3_Raw!$B$2:$B$391,$E624),2))))</f>
        <v>40572</v>
      </c>
      <c r="G624" s="23">
        <f>IF($C624&gt;0,INDEX(Merge_1_2!$C$2:$C$611,$C624),INDEX(Dataset3_Raw!$C$2:$C$391,$E624))</f>
        <v>1</v>
      </c>
      <c r="H624" s="23">
        <f>IF($C624&gt;0,INDEX(Merge_1_2!$D$2:$D$611,$C624),INDEX(Dataset3_Raw!$D$2:$D$391,$E624))</f>
        <v>0</v>
      </c>
      <c r="I624" s="23">
        <f>IF($C624&gt;0,INDEX(Merge_1_2!$E$2:$E$611,$C624),INDEX(Dataset3_Raw!$E$2:$E$391,$E624))</f>
        <v>1</v>
      </c>
      <c r="J624" s="23">
        <f>IF($C624&gt;0,INDEX(Merge_1_2!$F$2:$F$611,$C624),INDEX(Dataset3_Raw!$F$2:$F$391,$E624))</f>
        <v>4</v>
      </c>
      <c r="K624" s="23" t="b">
        <f>IF($C624&gt;0,INDEX(Merge_1_2!$G$2:$G$611,$C624),INDEX(Dataset3_Raw!$G$2:$G$391,$E624))</f>
        <v>0</v>
      </c>
      <c r="L624" s="23">
        <f>IF($C624&gt;0,INDEX(Merge_1_2!$H$2:$H$611,$C624),INDEX(Dataset3_Raw!$H$2:$H$391,$E624))</f>
        <v>6</v>
      </c>
      <c r="M624" s="23">
        <f>IF($C624&gt;0,INDEX(Merge_1_2!$I$2:$I$611,$C624),INDEX(Dataset3_Raw!$I$2:$I$391,$E624))</f>
        <v>1</v>
      </c>
      <c r="N624" s="25">
        <f>IF($C624&gt;0,INDEX(Merge_1_2!$J$2:$J$611,$C624),INDEX(Dataset3_Raw!$J$2:$J$391,$E624))</f>
        <v>0.16</v>
      </c>
      <c r="O624" s="25">
        <f>IF($C624&gt;0,IF(ISNUMBER(INDEX(Merge_1_2!$K$2:$K$611,$C624)),INDEX(Merge_1_2!$K$2:$K$611,$C624),""),INDEX(Dataset3_Raw!$K$2:$K$391,$E624))</f>
        <v>0.18179999999999999</v>
      </c>
      <c r="P624" s="25">
        <f>IF(ISNUMBER($O624),$O624,ROUND(Lookups!$B$25+Lookups!$B$24*$N624,4))</f>
        <v>0.18179999999999999</v>
      </c>
      <c r="Q624" s="25">
        <f>IF($C624&gt;0,INDEX(Merge_1_2!$L$2:$L$611,$C624),INDEX(Dataset3_Raw!$L$2:$L$391,$E624))</f>
        <v>0.69</v>
      </c>
      <c r="R624" s="25">
        <f>IF($C624&gt;0,INDEX(Merge_1_2!$M$2:$M$611,$C624),INDEX(Dataset3_Raw!$M$2:$M$391,$E624))</f>
        <v>0.1045</v>
      </c>
      <c r="S624" s="23">
        <f>IF($C624&gt;0,INDEX(Merge_1_2!$N$2:$N$611,$C624),INDEX(Dataset3_Raw!$N$2:$N$391,$E624))</f>
        <v>1</v>
      </c>
      <c r="T624" s="23">
        <f>IF($C624&gt;0,INDEX(Merge_1_2!$O$2:$O$611,$C624),INDEX(Dataset3_Raw!$O$2:$O$391,$E624))</f>
        <v>2</v>
      </c>
      <c r="U624" s="23">
        <f>IF($C624&gt;0,INDEX(Merge_1_2!$P$2:$P$611,$C624),INDEX(Dataset3_Raw!$P$2:$P$391,$E624))</f>
        <v>3</v>
      </c>
      <c r="V624" s="23" t="str">
        <f t="shared" si="55"/>
        <v>Weekend</v>
      </c>
      <c r="W624" s="23" t="str">
        <f>VLOOKUP($M624,Lookups!$A$5:$B$8,2,FALSE())</f>
        <v>Clear / Partly cloudy</v>
      </c>
      <c r="X624" s="23" t="str">
        <f>VLOOKUP($G624,Lookups!$D$5:$E$8,2,FALSE())</f>
        <v>Winter</v>
      </c>
      <c r="Y624" s="23" t="str">
        <f>VLOOKUP($L624,Lookups!$G$5:$H$11,2,FALSE())</f>
        <v>Saturday</v>
      </c>
      <c r="Z624" s="23" t="str">
        <f>IF($J624&lt;Lookups!$B$26,"Night",IF($J624&lt;Lookups!$B$27,"Morning",IF($J624&lt;Lookups!$B$28,"Afternoon","Evening")))</f>
        <v>Night</v>
      </c>
      <c r="AA624" s="26">
        <f>ROUND($N624*(Lookups!$B$16-Lookups!$B$15)+Lookups!$B$15,1)</f>
        <v>-0.5</v>
      </c>
      <c r="AB624" s="26">
        <f>ROUND($P624*(Lookups!$B$18-Lookups!$B$17)+Lookups!$B$17,1)</f>
        <v>-4</v>
      </c>
      <c r="AC624" s="23">
        <f t="shared" si="56"/>
        <v>69</v>
      </c>
      <c r="AD624" s="23">
        <f>ROUND($R624*Lookups!$B$19,1)</f>
        <v>7</v>
      </c>
      <c r="AE624" s="27">
        <f t="shared" si="57"/>
        <v>0.66666666666666663</v>
      </c>
      <c r="AF624" s="23" t="str">
        <f>IF($U624&gt;=Lookups!$B$23,"High",IF($U624&gt;=Lookups!$B$22,"Medium","Low"))</f>
        <v>Low</v>
      </c>
      <c r="AG624" s="23">
        <f>ROUND(IF($V624="Weekday",IF(INDEX(Hourly_Analysis!$D$5:$D$28,$J624+1)&gt;0,($U624-INDEX(Hourly_Analysis!$C$5:$C$28,$J624+1))/INDEX(Hourly_Analysis!$D$5:$D$28,$J624+1),0),IF(INDEX(Hourly_Analysis!$G$5:$G$28,$J624+1)&gt;0,($U624-INDEX(Hourly_Analysis!$F$5:$F$28,$J624+1))/INDEX(Hourly_Analysis!$G$5:$G$28,$J624+1),0)),2)</f>
        <v>0.14000000000000001</v>
      </c>
      <c r="AH624" s="23" t="str">
        <f>IF(ABS($AG624)&gt;Lookups!$B$20,IF($AG624&gt;0,"High anomaly","Low anomaly"),"")</f>
        <v/>
      </c>
      <c r="AI624" s="23" t="str">
        <f t="shared" si="58"/>
        <v>OK</v>
      </c>
      <c r="AJ624" s="23" t="str">
        <f t="shared" si="59"/>
        <v>No</v>
      </c>
    </row>
    <row r="625" spans="1:36" x14ac:dyDescent="0.35">
      <c r="A625" s="23">
        <v>624</v>
      </c>
      <c r="B625" s="23" t="str">
        <f t="shared" si="54"/>
        <v>Dataset 3</v>
      </c>
      <c r="C625" s="23">
        <f>IFERROR(MATCH($A625,Merge_1_2!$A$2:$A$611,0),0)</f>
        <v>0</v>
      </c>
      <c r="D625" s="23">
        <f>IF($C625&gt;0,INDEX(Merge_1_2!$Q$2:$Q$611,$C625),0)</f>
        <v>0</v>
      </c>
      <c r="E625" s="23">
        <f>IFERROR(MATCH($A625,Dataset3_Raw!$A$2:$A$391,0),0)</f>
        <v>14</v>
      </c>
      <c r="F625" s="24">
        <f>IF($C625&gt;0,INDEX(Merge_1_2!$B$2:$B$611,$C625),DATE(VALUE(RIGHT(INDEX(Dataset3_Raw!$B$2:$B$391,$E625),4)),VALUE(MID(INDEX(Dataset3_Raw!$B$2:$B$391,$E625),4,2)),VALUE(LEFT(INDEX(Dataset3_Raw!$B$2:$B$391,$E625),2))))</f>
        <v>40572</v>
      </c>
      <c r="G625" s="23">
        <f>IF($C625&gt;0,INDEX(Merge_1_2!$C$2:$C$611,$C625),INDEX(Dataset3_Raw!$C$2:$C$391,$E625))</f>
        <v>1</v>
      </c>
      <c r="H625" s="23">
        <f>IF($C625&gt;0,INDEX(Merge_1_2!$D$2:$D$611,$C625),INDEX(Dataset3_Raw!$D$2:$D$391,$E625))</f>
        <v>0</v>
      </c>
      <c r="I625" s="23">
        <f>IF($C625&gt;0,INDEX(Merge_1_2!$E$2:$E$611,$C625),INDEX(Dataset3_Raw!$E$2:$E$391,$E625))</f>
        <v>1</v>
      </c>
      <c r="J625" s="23">
        <f>IF($C625&gt;0,INDEX(Merge_1_2!$F$2:$F$611,$C625),INDEX(Dataset3_Raw!$F$2:$F$391,$E625))</f>
        <v>6</v>
      </c>
      <c r="K625" s="23" t="b">
        <f>IF($C625&gt;0,INDEX(Merge_1_2!$G$2:$G$611,$C625),INDEX(Dataset3_Raw!$G$2:$G$391,$E625))</f>
        <v>0</v>
      </c>
      <c r="L625" s="23">
        <f>IF($C625&gt;0,INDEX(Merge_1_2!$H$2:$H$611,$C625),INDEX(Dataset3_Raw!$H$2:$H$391,$E625))</f>
        <v>6</v>
      </c>
      <c r="M625" s="23">
        <f>IF($C625&gt;0,INDEX(Merge_1_2!$I$2:$I$611,$C625),INDEX(Dataset3_Raw!$I$2:$I$391,$E625))</f>
        <v>1</v>
      </c>
      <c r="N625" s="25">
        <f>IF($C625&gt;0,INDEX(Merge_1_2!$J$2:$J$611,$C625),INDEX(Dataset3_Raw!$J$2:$J$391,$E625))</f>
        <v>0.16</v>
      </c>
      <c r="O625" s="25">
        <f>IF($C625&gt;0,IF(ISNUMBER(INDEX(Merge_1_2!$K$2:$K$611,$C625)),INDEX(Merge_1_2!$K$2:$K$611,$C625),""),INDEX(Dataset3_Raw!$K$2:$K$391,$E625))</f>
        <v>0.18179999999999999</v>
      </c>
      <c r="P625" s="25">
        <f>IF(ISNUMBER($O625),$O625,ROUND(Lookups!$B$25+Lookups!$B$24*$N625,4))</f>
        <v>0.18179999999999999</v>
      </c>
      <c r="Q625" s="25">
        <f>IF($C625&gt;0,INDEX(Merge_1_2!$L$2:$L$611,$C625),INDEX(Dataset3_Raw!$L$2:$L$391,$E625))</f>
        <v>0.64</v>
      </c>
      <c r="R625" s="25">
        <f>IF($C625&gt;0,INDEX(Merge_1_2!$M$2:$M$611,$C625),INDEX(Dataset3_Raw!$M$2:$M$391,$E625))</f>
        <v>0.1343</v>
      </c>
      <c r="S625" s="23">
        <f>IF($C625&gt;0,INDEX(Merge_1_2!$N$2:$N$611,$C625),INDEX(Dataset3_Raw!$N$2:$N$391,$E625))</f>
        <v>0</v>
      </c>
      <c r="T625" s="23">
        <f>IF($C625&gt;0,INDEX(Merge_1_2!$O$2:$O$611,$C625),INDEX(Dataset3_Raw!$O$2:$O$391,$E625))</f>
        <v>2</v>
      </c>
      <c r="U625" s="23">
        <f>IF($C625&gt;0,INDEX(Merge_1_2!$P$2:$P$611,$C625),INDEX(Dataset3_Raw!$P$2:$P$391,$E625))</f>
        <v>2</v>
      </c>
      <c r="V625" s="23" t="str">
        <f t="shared" si="55"/>
        <v>Weekend</v>
      </c>
      <c r="W625" s="23" t="str">
        <f>VLOOKUP($M625,Lookups!$A$5:$B$8,2,FALSE())</f>
        <v>Clear / Partly cloudy</v>
      </c>
      <c r="X625" s="23" t="str">
        <f>VLOOKUP($G625,Lookups!$D$5:$E$8,2,FALSE())</f>
        <v>Winter</v>
      </c>
      <c r="Y625" s="23" t="str">
        <f>VLOOKUP($L625,Lookups!$G$5:$H$11,2,FALSE())</f>
        <v>Saturday</v>
      </c>
      <c r="Z625" s="23" t="str">
        <f>IF($J625&lt;Lookups!$B$26,"Night",IF($J625&lt;Lookups!$B$27,"Morning",IF($J625&lt;Lookups!$B$28,"Afternoon","Evening")))</f>
        <v>Morning</v>
      </c>
      <c r="AA625" s="26">
        <f>ROUND($N625*(Lookups!$B$16-Lookups!$B$15)+Lookups!$B$15,1)</f>
        <v>-0.5</v>
      </c>
      <c r="AB625" s="26">
        <f>ROUND($P625*(Lookups!$B$18-Lookups!$B$17)+Lookups!$B$17,1)</f>
        <v>-4</v>
      </c>
      <c r="AC625" s="23">
        <f t="shared" si="56"/>
        <v>64</v>
      </c>
      <c r="AD625" s="23">
        <f>ROUND($R625*Lookups!$B$19,1)</f>
        <v>9</v>
      </c>
      <c r="AE625" s="27">
        <f t="shared" si="57"/>
        <v>1</v>
      </c>
      <c r="AF625" s="23" t="str">
        <f>IF($U625&gt;=Lookups!$B$23,"High",IF($U625&gt;=Lookups!$B$22,"Medium","Low"))</f>
        <v>Low</v>
      </c>
      <c r="AG625" s="23">
        <f>ROUND(IF($V625="Weekday",IF(INDEX(Hourly_Analysis!$D$5:$D$28,$J625+1)&gt;0,($U625-INDEX(Hourly_Analysis!$C$5:$C$28,$J625+1))/INDEX(Hourly_Analysis!$D$5:$D$28,$J625+1),0),IF(INDEX(Hourly_Analysis!$G$5:$G$28,$J625+1)&gt;0,($U625-INDEX(Hourly_Analysis!$F$5:$F$28,$J625+1))/INDEX(Hourly_Analysis!$G$5:$G$28,$J625+1),0)),2)</f>
        <v>-0.26</v>
      </c>
      <c r="AH625" s="23" t="str">
        <f>IF(ABS($AG625)&gt;Lookups!$B$20,IF($AG625&gt;0,"High anomaly","Low anomaly"),"")</f>
        <v/>
      </c>
      <c r="AI625" s="23" t="str">
        <f t="shared" si="58"/>
        <v>OK</v>
      </c>
      <c r="AJ625" s="23" t="str">
        <f t="shared" si="59"/>
        <v>No</v>
      </c>
    </row>
    <row r="626" spans="1:36" x14ac:dyDescent="0.35">
      <c r="A626" s="23">
        <v>625</v>
      </c>
      <c r="B626" s="23" t="str">
        <f t="shared" si="54"/>
        <v>Dataset 3</v>
      </c>
      <c r="C626" s="23">
        <f>IFERROR(MATCH($A626,Merge_1_2!$A$2:$A$611,0),0)</f>
        <v>0</v>
      </c>
      <c r="D626" s="23">
        <f>IF($C626&gt;0,INDEX(Merge_1_2!$Q$2:$Q$611,$C626),0)</f>
        <v>0</v>
      </c>
      <c r="E626" s="23">
        <f>IFERROR(MATCH($A626,Dataset3_Raw!$A$2:$A$391,0),0)</f>
        <v>15</v>
      </c>
      <c r="F626" s="24">
        <f>IF($C626&gt;0,INDEX(Merge_1_2!$B$2:$B$611,$C626),DATE(VALUE(RIGHT(INDEX(Dataset3_Raw!$B$2:$B$391,$E626),4)),VALUE(MID(INDEX(Dataset3_Raw!$B$2:$B$391,$E626),4,2)),VALUE(LEFT(INDEX(Dataset3_Raw!$B$2:$B$391,$E626),2))))</f>
        <v>40572</v>
      </c>
      <c r="G626" s="23">
        <f>IF($C626&gt;0,INDEX(Merge_1_2!$C$2:$C$611,$C626),INDEX(Dataset3_Raw!$C$2:$C$391,$E626))</f>
        <v>1</v>
      </c>
      <c r="H626" s="23">
        <f>IF($C626&gt;0,INDEX(Merge_1_2!$D$2:$D$611,$C626),INDEX(Dataset3_Raw!$D$2:$D$391,$E626))</f>
        <v>0</v>
      </c>
      <c r="I626" s="23">
        <f>IF($C626&gt;0,INDEX(Merge_1_2!$E$2:$E$611,$C626),INDEX(Dataset3_Raw!$E$2:$E$391,$E626))</f>
        <v>1</v>
      </c>
      <c r="J626" s="23">
        <f>IF($C626&gt;0,INDEX(Merge_1_2!$F$2:$F$611,$C626),INDEX(Dataset3_Raw!$F$2:$F$391,$E626))</f>
        <v>7</v>
      </c>
      <c r="K626" s="23" t="b">
        <f>IF($C626&gt;0,INDEX(Merge_1_2!$G$2:$G$611,$C626),INDEX(Dataset3_Raw!$G$2:$G$391,$E626))</f>
        <v>0</v>
      </c>
      <c r="L626" s="23">
        <f>IF($C626&gt;0,INDEX(Merge_1_2!$H$2:$H$611,$C626),INDEX(Dataset3_Raw!$H$2:$H$391,$E626))</f>
        <v>6</v>
      </c>
      <c r="M626" s="23">
        <f>IF($C626&gt;0,INDEX(Merge_1_2!$I$2:$I$611,$C626),INDEX(Dataset3_Raw!$I$2:$I$391,$E626))</f>
        <v>1</v>
      </c>
      <c r="N626" s="25">
        <f>IF($C626&gt;0,INDEX(Merge_1_2!$J$2:$J$611,$C626),INDEX(Dataset3_Raw!$J$2:$J$391,$E626))</f>
        <v>0.16</v>
      </c>
      <c r="O626" s="25">
        <f>IF($C626&gt;0,IF(ISNUMBER(INDEX(Merge_1_2!$K$2:$K$611,$C626)),INDEX(Merge_1_2!$K$2:$K$611,$C626),""),INDEX(Dataset3_Raw!$K$2:$K$391,$E626))</f>
        <v>0.18179999999999999</v>
      </c>
      <c r="P626" s="25">
        <f>IF(ISNUMBER($O626),$O626,ROUND(Lookups!$B$25+Lookups!$B$24*$N626,4))</f>
        <v>0.18179999999999999</v>
      </c>
      <c r="Q626" s="25">
        <f>IF($C626&gt;0,INDEX(Merge_1_2!$L$2:$L$611,$C626),INDEX(Dataset3_Raw!$L$2:$L$391,$E626))</f>
        <v>0.59</v>
      </c>
      <c r="R626" s="25">
        <f>IF($C626&gt;0,INDEX(Merge_1_2!$M$2:$M$611,$C626),INDEX(Dataset3_Raw!$M$2:$M$391,$E626))</f>
        <v>0.1045</v>
      </c>
      <c r="S626" s="23">
        <f>IF($C626&gt;0,INDEX(Merge_1_2!$N$2:$N$611,$C626),INDEX(Dataset3_Raw!$N$2:$N$391,$E626))</f>
        <v>1</v>
      </c>
      <c r="T626" s="23">
        <f>IF($C626&gt;0,INDEX(Merge_1_2!$O$2:$O$611,$C626),INDEX(Dataset3_Raw!$O$2:$O$391,$E626))</f>
        <v>4</v>
      </c>
      <c r="U626" s="23">
        <f>IF($C626&gt;0,INDEX(Merge_1_2!$P$2:$P$611,$C626),INDEX(Dataset3_Raw!$P$2:$P$391,$E626))</f>
        <v>5</v>
      </c>
      <c r="V626" s="23" t="str">
        <f t="shared" si="55"/>
        <v>Weekend</v>
      </c>
      <c r="W626" s="23" t="str">
        <f>VLOOKUP($M626,Lookups!$A$5:$B$8,2,FALSE())</f>
        <v>Clear / Partly cloudy</v>
      </c>
      <c r="X626" s="23" t="str">
        <f>VLOOKUP($G626,Lookups!$D$5:$E$8,2,FALSE())</f>
        <v>Winter</v>
      </c>
      <c r="Y626" s="23" t="str">
        <f>VLOOKUP($L626,Lookups!$G$5:$H$11,2,FALSE())</f>
        <v>Saturday</v>
      </c>
      <c r="Z626" s="23" t="str">
        <f>IF($J626&lt;Lookups!$B$26,"Night",IF($J626&lt;Lookups!$B$27,"Morning",IF($J626&lt;Lookups!$B$28,"Afternoon","Evening")))</f>
        <v>Morning</v>
      </c>
      <c r="AA626" s="26">
        <f>ROUND($N626*(Lookups!$B$16-Lookups!$B$15)+Lookups!$B$15,1)</f>
        <v>-0.5</v>
      </c>
      <c r="AB626" s="26">
        <f>ROUND($P626*(Lookups!$B$18-Lookups!$B$17)+Lookups!$B$17,1)</f>
        <v>-4</v>
      </c>
      <c r="AC626" s="23">
        <f t="shared" si="56"/>
        <v>59</v>
      </c>
      <c r="AD626" s="23">
        <f>ROUND($R626*Lookups!$B$19,1)</f>
        <v>7</v>
      </c>
      <c r="AE626" s="27">
        <f t="shared" si="57"/>
        <v>0.8</v>
      </c>
      <c r="AF626" s="23" t="str">
        <f>IF($U626&gt;=Lookups!$B$23,"High",IF($U626&gt;=Lookups!$B$22,"Medium","Low"))</f>
        <v>Low</v>
      </c>
      <c r="AG626" s="23">
        <f>ROUND(IF($V626="Weekday",IF(INDEX(Hourly_Analysis!$D$5:$D$28,$J626+1)&gt;0,($U626-INDEX(Hourly_Analysis!$C$5:$C$28,$J626+1))/INDEX(Hourly_Analysis!$D$5:$D$28,$J626+1),0),IF(INDEX(Hourly_Analysis!$G$5:$G$28,$J626+1)&gt;0,($U626-INDEX(Hourly_Analysis!$F$5:$F$28,$J626+1))/INDEX(Hourly_Analysis!$G$5:$G$28,$J626+1),0)),2)</f>
        <v>-0.25</v>
      </c>
      <c r="AH626" s="23" t="str">
        <f>IF(ABS($AG626)&gt;Lookups!$B$20,IF($AG626&gt;0,"High anomaly","Low anomaly"),"")</f>
        <v/>
      </c>
      <c r="AI626" s="23" t="str">
        <f t="shared" si="58"/>
        <v>OK</v>
      </c>
      <c r="AJ626" s="23" t="str">
        <f t="shared" si="59"/>
        <v>No</v>
      </c>
    </row>
    <row r="627" spans="1:36" x14ac:dyDescent="0.35">
      <c r="A627" s="23">
        <v>626</v>
      </c>
      <c r="B627" s="23" t="str">
        <f t="shared" si="54"/>
        <v>Dataset 3</v>
      </c>
      <c r="C627" s="23">
        <f>IFERROR(MATCH($A627,Merge_1_2!$A$2:$A$611,0),0)</f>
        <v>0</v>
      </c>
      <c r="D627" s="23">
        <f>IF($C627&gt;0,INDEX(Merge_1_2!$Q$2:$Q$611,$C627),0)</f>
        <v>0</v>
      </c>
      <c r="E627" s="23">
        <f>IFERROR(MATCH($A627,Dataset3_Raw!$A$2:$A$391,0),0)</f>
        <v>16</v>
      </c>
      <c r="F627" s="24">
        <f>IF($C627&gt;0,INDEX(Merge_1_2!$B$2:$B$611,$C627),DATE(VALUE(RIGHT(INDEX(Dataset3_Raw!$B$2:$B$391,$E627),4)),VALUE(MID(INDEX(Dataset3_Raw!$B$2:$B$391,$E627),4,2)),VALUE(LEFT(INDEX(Dataset3_Raw!$B$2:$B$391,$E627),2))))</f>
        <v>40572</v>
      </c>
      <c r="G627" s="23">
        <f>IF($C627&gt;0,INDEX(Merge_1_2!$C$2:$C$611,$C627),INDEX(Dataset3_Raw!$C$2:$C$391,$E627))</f>
        <v>1</v>
      </c>
      <c r="H627" s="23">
        <f>IF($C627&gt;0,INDEX(Merge_1_2!$D$2:$D$611,$C627),INDEX(Dataset3_Raw!$D$2:$D$391,$E627))</f>
        <v>0</v>
      </c>
      <c r="I627" s="23">
        <f>IF($C627&gt;0,INDEX(Merge_1_2!$E$2:$E$611,$C627),INDEX(Dataset3_Raw!$E$2:$E$391,$E627))</f>
        <v>1</v>
      </c>
      <c r="J627" s="23">
        <f>IF($C627&gt;0,INDEX(Merge_1_2!$F$2:$F$611,$C627),INDEX(Dataset3_Raw!$F$2:$F$391,$E627))</f>
        <v>8</v>
      </c>
      <c r="K627" s="23" t="b">
        <f>IF($C627&gt;0,INDEX(Merge_1_2!$G$2:$G$611,$C627),INDEX(Dataset3_Raw!$G$2:$G$391,$E627))</f>
        <v>0</v>
      </c>
      <c r="L627" s="23">
        <f>IF($C627&gt;0,INDEX(Merge_1_2!$H$2:$H$611,$C627),INDEX(Dataset3_Raw!$H$2:$H$391,$E627))</f>
        <v>6</v>
      </c>
      <c r="M627" s="23">
        <f>IF($C627&gt;0,INDEX(Merge_1_2!$I$2:$I$611,$C627),INDEX(Dataset3_Raw!$I$2:$I$391,$E627))</f>
        <v>1</v>
      </c>
      <c r="N627" s="25">
        <f>IF($C627&gt;0,INDEX(Merge_1_2!$J$2:$J$611,$C627),INDEX(Dataset3_Raw!$J$2:$J$391,$E627))</f>
        <v>0.18</v>
      </c>
      <c r="O627" s="25">
        <f>IF($C627&gt;0,IF(ISNUMBER(INDEX(Merge_1_2!$K$2:$K$611,$C627)),INDEX(Merge_1_2!$K$2:$K$611,$C627),""),INDEX(Dataset3_Raw!$K$2:$K$391,$E627))</f>
        <v>0.19700000000000001</v>
      </c>
      <c r="P627" s="25">
        <f>IF(ISNUMBER($O627),$O627,ROUND(Lookups!$B$25+Lookups!$B$24*$N627,4))</f>
        <v>0.19700000000000001</v>
      </c>
      <c r="Q627" s="25">
        <f>IF($C627&gt;0,INDEX(Merge_1_2!$L$2:$L$611,$C627),INDEX(Dataset3_Raw!$L$2:$L$391,$E627))</f>
        <v>0.55000000000000004</v>
      </c>
      <c r="R627" s="25">
        <f>IF($C627&gt;0,INDEX(Merge_1_2!$M$2:$M$611,$C627),INDEX(Dataset3_Raw!$M$2:$M$391,$E627))</f>
        <v>0.16420000000000001</v>
      </c>
      <c r="S627" s="23">
        <f>IF($C627&gt;0,INDEX(Merge_1_2!$N$2:$N$611,$C627),INDEX(Dataset3_Raw!$N$2:$N$391,$E627))</f>
        <v>3</v>
      </c>
      <c r="T627" s="23">
        <f>IF($C627&gt;0,INDEX(Merge_1_2!$O$2:$O$611,$C627),INDEX(Dataset3_Raw!$O$2:$O$391,$E627))</f>
        <v>31</v>
      </c>
      <c r="U627" s="23">
        <f>IF($C627&gt;0,INDEX(Merge_1_2!$P$2:$P$611,$C627),INDEX(Dataset3_Raw!$P$2:$P$391,$E627))</f>
        <v>34</v>
      </c>
      <c r="V627" s="23" t="str">
        <f t="shared" si="55"/>
        <v>Weekend</v>
      </c>
      <c r="W627" s="23" t="str">
        <f>VLOOKUP($M627,Lookups!$A$5:$B$8,2,FALSE())</f>
        <v>Clear / Partly cloudy</v>
      </c>
      <c r="X627" s="23" t="str">
        <f>VLOOKUP($G627,Lookups!$D$5:$E$8,2,FALSE())</f>
        <v>Winter</v>
      </c>
      <c r="Y627" s="23" t="str">
        <f>VLOOKUP($L627,Lookups!$G$5:$H$11,2,FALSE())</f>
        <v>Saturday</v>
      </c>
      <c r="Z627" s="23" t="str">
        <f>IF($J627&lt;Lookups!$B$26,"Night",IF($J627&lt;Lookups!$B$27,"Morning",IF($J627&lt;Lookups!$B$28,"Afternoon","Evening")))</f>
        <v>Morning</v>
      </c>
      <c r="AA627" s="26">
        <f>ROUND($N627*(Lookups!$B$16-Lookups!$B$15)+Lookups!$B$15,1)</f>
        <v>0.5</v>
      </c>
      <c r="AB627" s="26">
        <f>ROUND($P627*(Lookups!$B$18-Lookups!$B$17)+Lookups!$B$17,1)</f>
        <v>-3</v>
      </c>
      <c r="AC627" s="23">
        <f t="shared" si="56"/>
        <v>55</v>
      </c>
      <c r="AD627" s="23">
        <f>ROUND($R627*Lookups!$B$19,1)</f>
        <v>11</v>
      </c>
      <c r="AE627" s="27">
        <f t="shared" si="57"/>
        <v>0.91176470588235292</v>
      </c>
      <c r="AF627" s="23" t="str">
        <f>IF($U627&gt;=Lookups!$B$23,"High",IF($U627&gt;=Lookups!$B$22,"Medium","Low"))</f>
        <v>Medium</v>
      </c>
      <c r="AG627" s="23">
        <f>ROUND(IF($V627="Weekday",IF(INDEX(Hourly_Analysis!$D$5:$D$28,$J627+1)&gt;0,($U627-INDEX(Hourly_Analysis!$C$5:$C$28,$J627+1))/INDEX(Hourly_Analysis!$D$5:$D$28,$J627+1),0),IF(INDEX(Hourly_Analysis!$G$5:$G$28,$J627+1)&gt;0,($U627-INDEX(Hourly_Analysis!$F$5:$F$28,$J627+1))/INDEX(Hourly_Analysis!$G$5:$G$28,$J627+1),0)),2)</f>
        <v>1.67</v>
      </c>
      <c r="AH627" s="23" t="str">
        <f>IF(ABS($AG627)&gt;Lookups!$B$20,IF($AG627&gt;0,"High anomaly","Low anomaly"),"")</f>
        <v/>
      </c>
      <c r="AI627" s="23" t="str">
        <f t="shared" si="58"/>
        <v>OK</v>
      </c>
      <c r="AJ627" s="23" t="str">
        <f t="shared" si="59"/>
        <v>No</v>
      </c>
    </row>
    <row r="628" spans="1:36" x14ac:dyDescent="0.35">
      <c r="A628" s="23">
        <v>627</v>
      </c>
      <c r="B628" s="23" t="str">
        <f t="shared" si="54"/>
        <v>Dataset 3</v>
      </c>
      <c r="C628" s="23">
        <f>IFERROR(MATCH($A628,Merge_1_2!$A$2:$A$611,0),0)</f>
        <v>0</v>
      </c>
      <c r="D628" s="23">
        <f>IF($C628&gt;0,INDEX(Merge_1_2!$Q$2:$Q$611,$C628),0)</f>
        <v>0</v>
      </c>
      <c r="E628" s="23">
        <f>IFERROR(MATCH($A628,Dataset3_Raw!$A$2:$A$391,0),0)</f>
        <v>17</v>
      </c>
      <c r="F628" s="24">
        <f>IF($C628&gt;0,INDEX(Merge_1_2!$B$2:$B$611,$C628),DATE(VALUE(RIGHT(INDEX(Dataset3_Raw!$B$2:$B$391,$E628),4)),VALUE(MID(INDEX(Dataset3_Raw!$B$2:$B$391,$E628),4,2)),VALUE(LEFT(INDEX(Dataset3_Raw!$B$2:$B$391,$E628),2))))</f>
        <v>40572</v>
      </c>
      <c r="G628" s="23">
        <f>IF($C628&gt;0,INDEX(Merge_1_2!$C$2:$C$611,$C628),INDEX(Dataset3_Raw!$C$2:$C$391,$E628))</f>
        <v>1</v>
      </c>
      <c r="H628" s="23">
        <f>IF($C628&gt;0,INDEX(Merge_1_2!$D$2:$D$611,$C628),INDEX(Dataset3_Raw!$D$2:$D$391,$E628))</f>
        <v>0</v>
      </c>
      <c r="I628" s="23">
        <f>IF($C628&gt;0,INDEX(Merge_1_2!$E$2:$E$611,$C628),INDEX(Dataset3_Raw!$E$2:$E$391,$E628))</f>
        <v>1</v>
      </c>
      <c r="J628" s="23">
        <f>IF($C628&gt;0,INDEX(Merge_1_2!$F$2:$F$611,$C628),INDEX(Dataset3_Raw!$F$2:$F$391,$E628))</f>
        <v>9</v>
      </c>
      <c r="K628" s="23" t="b">
        <f>IF($C628&gt;0,INDEX(Merge_1_2!$G$2:$G$611,$C628),INDEX(Dataset3_Raw!$G$2:$G$391,$E628))</f>
        <v>0</v>
      </c>
      <c r="L628" s="23">
        <f>IF($C628&gt;0,INDEX(Merge_1_2!$H$2:$H$611,$C628),INDEX(Dataset3_Raw!$H$2:$H$391,$E628))</f>
        <v>6</v>
      </c>
      <c r="M628" s="23">
        <f>IF($C628&gt;0,INDEX(Merge_1_2!$I$2:$I$611,$C628),INDEX(Dataset3_Raw!$I$2:$I$391,$E628))</f>
        <v>1</v>
      </c>
      <c r="N628" s="25">
        <f>IF($C628&gt;0,INDEX(Merge_1_2!$J$2:$J$611,$C628),INDEX(Dataset3_Raw!$J$2:$J$391,$E628))</f>
        <v>0.18</v>
      </c>
      <c r="O628" s="25">
        <f>IF($C628&gt;0,IF(ISNUMBER(INDEX(Merge_1_2!$K$2:$K$611,$C628)),INDEX(Merge_1_2!$K$2:$K$611,$C628),""),INDEX(Dataset3_Raw!$K$2:$K$391,$E628))</f>
        <v>0.21210000000000001</v>
      </c>
      <c r="P628" s="25">
        <f>IF(ISNUMBER($O628),$O628,ROUND(Lookups!$B$25+Lookups!$B$24*$N628,4))</f>
        <v>0.21210000000000001</v>
      </c>
      <c r="Q628" s="25">
        <f>IF($C628&gt;0,INDEX(Merge_1_2!$L$2:$L$611,$C628),INDEX(Dataset3_Raw!$L$2:$L$391,$E628))</f>
        <v>0.59</v>
      </c>
      <c r="R628" s="25">
        <f>IF($C628&gt;0,INDEX(Merge_1_2!$M$2:$M$611,$C628),INDEX(Dataset3_Raw!$M$2:$M$391,$E628))</f>
        <v>8.9599999999999999E-2</v>
      </c>
      <c r="S628" s="23">
        <f>IF($C628&gt;0,INDEX(Merge_1_2!$N$2:$N$611,$C628),INDEX(Dataset3_Raw!$N$2:$N$391,$E628))</f>
        <v>0</v>
      </c>
      <c r="T628" s="23">
        <f>IF($C628&gt;0,INDEX(Merge_1_2!$O$2:$O$611,$C628),INDEX(Dataset3_Raw!$O$2:$O$391,$E628))</f>
        <v>34</v>
      </c>
      <c r="U628" s="23">
        <f>IF($C628&gt;0,INDEX(Merge_1_2!$P$2:$P$611,$C628),INDEX(Dataset3_Raw!$P$2:$P$391,$E628))</f>
        <v>34</v>
      </c>
      <c r="V628" s="23" t="str">
        <f t="shared" si="55"/>
        <v>Weekend</v>
      </c>
      <c r="W628" s="23" t="str">
        <f>VLOOKUP($M628,Lookups!$A$5:$B$8,2,FALSE())</f>
        <v>Clear / Partly cloudy</v>
      </c>
      <c r="X628" s="23" t="str">
        <f>VLOOKUP($G628,Lookups!$D$5:$E$8,2,FALSE())</f>
        <v>Winter</v>
      </c>
      <c r="Y628" s="23" t="str">
        <f>VLOOKUP($L628,Lookups!$G$5:$H$11,2,FALSE())</f>
        <v>Saturday</v>
      </c>
      <c r="Z628" s="23" t="str">
        <f>IF($J628&lt;Lookups!$B$26,"Night",IF($J628&lt;Lookups!$B$27,"Morning",IF($J628&lt;Lookups!$B$28,"Afternoon","Evening")))</f>
        <v>Morning</v>
      </c>
      <c r="AA628" s="26">
        <f>ROUND($N628*(Lookups!$B$16-Lookups!$B$15)+Lookups!$B$15,1)</f>
        <v>0.5</v>
      </c>
      <c r="AB628" s="26">
        <f>ROUND($P628*(Lookups!$B$18-Lookups!$B$17)+Lookups!$B$17,1)</f>
        <v>-2</v>
      </c>
      <c r="AC628" s="23">
        <f t="shared" si="56"/>
        <v>59</v>
      </c>
      <c r="AD628" s="23">
        <f>ROUND($R628*Lookups!$B$19,1)</f>
        <v>6</v>
      </c>
      <c r="AE628" s="27">
        <f t="shared" si="57"/>
        <v>1</v>
      </c>
      <c r="AF628" s="23" t="str">
        <f>IF($U628&gt;=Lookups!$B$23,"High",IF($U628&gt;=Lookups!$B$22,"Medium","Low"))</f>
        <v>Medium</v>
      </c>
      <c r="AG628" s="23">
        <f>ROUND(IF($V628="Weekday",IF(INDEX(Hourly_Analysis!$D$5:$D$28,$J628+1)&gt;0,($U628-INDEX(Hourly_Analysis!$C$5:$C$28,$J628+1))/INDEX(Hourly_Analysis!$D$5:$D$28,$J628+1),0),IF(INDEX(Hourly_Analysis!$G$5:$G$28,$J628+1)&gt;0,($U628-INDEX(Hourly_Analysis!$F$5:$F$28,$J628+1))/INDEX(Hourly_Analysis!$G$5:$G$28,$J628+1),0)),2)</f>
        <v>0.18</v>
      </c>
      <c r="AH628" s="23" t="str">
        <f>IF(ABS($AG628)&gt;Lookups!$B$20,IF($AG628&gt;0,"High anomaly","Low anomaly"),"")</f>
        <v/>
      </c>
      <c r="AI628" s="23" t="str">
        <f t="shared" si="58"/>
        <v>OK</v>
      </c>
      <c r="AJ628" s="23" t="str">
        <f t="shared" si="59"/>
        <v>No</v>
      </c>
    </row>
    <row r="629" spans="1:36" x14ac:dyDescent="0.35">
      <c r="A629" s="23">
        <v>628</v>
      </c>
      <c r="B629" s="23" t="str">
        <f t="shared" si="54"/>
        <v>Dataset 3</v>
      </c>
      <c r="C629" s="23">
        <f>IFERROR(MATCH($A629,Merge_1_2!$A$2:$A$611,0),0)</f>
        <v>0</v>
      </c>
      <c r="D629" s="23">
        <f>IF($C629&gt;0,INDEX(Merge_1_2!$Q$2:$Q$611,$C629),0)</f>
        <v>0</v>
      </c>
      <c r="E629" s="23">
        <f>IFERROR(MATCH($A629,Dataset3_Raw!$A$2:$A$391,0),0)</f>
        <v>18</v>
      </c>
      <c r="F629" s="24">
        <f>IF($C629&gt;0,INDEX(Merge_1_2!$B$2:$B$611,$C629),DATE(VALUE(RIGHT(INDEX(Dataset3_Raw!$B$2:$B$391,$E629),4)),VALUE(MID(INDEX(Dataset3_Raw!$B$2:$B$391,$E629),4,2)),VALUE(LEFT(INDEX(Dataset3_Raw!$B$2:$B$391,$E629),2))))</f>
        <v>40572</v>
      </c>
      <c r="G629" s="23">
        <f>IF($C629&gt;0,INDEX(Merge_1_2!$C$2:$C$611,$C629),INDEX(Dataset3_Raw!$C$2:$C$391,$E629))</f>
        <v>1</v>
      </c>
      <c r="H629" s="23">
        <f>IF($C629&gt;0,INDEX(Merge_1_2!$D$2:$D$611,$C629),INDEX(Dataset3_Raw!$D$2:$D$391,$E629))</f>
        <v>0</v>
      </c>
      <c r="I629" s="23">
        <f>IF($C629&gt;0,INDEX(Merge_1_2!$E$2:$E$611,$C629),INDEX(Dataset3_Raw!$E$2:$E$391,$E629))</f>
        <v>1</v>
      </c>
      <c r="J629" s="23">
        <f>IF($C629&gt;0,INDEX(Merge_1_2!$F$2:$F$611,$C629),INDEX(Dataset3_Raw!$F$2:$F$391,$E629))</f>
        <v>10</v>
      </c>
      <c r="K629" s="23" t="b">
        <f>IF($C629&gt;0,INDEX(Merge_1_2!$G$2:$G$611,$C629),INDEX(Dataset3_Raw!$G$2:$G$391,$E629))</f>
        <v>0</v>
      </c>
      <c r="L629" s="23">
        <f>IF($C629&gt;0,INDEX(Merge_1_2!$H$2:$H$611,$C629),INDEX(Dataset3_Raw!$H$2:$H$391,$E629))</f>
        <v>6</v>
      </c>
      <c r="M629" s="23">
        <f>IF($C629&gt;0,INDEX(Merge_1_2!$I$2:$I$611,$C629),INDEX(Dataset3_Raw!$I$2:$I$391,$E629))</f>
        <v>2</v>
      </c>
      <c r="N629" s="25">
        <f>IF($C629&gt;0,INDEX(Merge_1_2!$J$2:$J$611,$C629),INDEX(Dataset3_Raw!$J$2:$J$391,$E629))</f>
        <v>0.18</v>
      </c>
      <c r="O629" s="25">
        <f>IF($C629&gt;0,IF(ISNUMBER(INDEX(Merge_1_2!$K$2:$K$611,$C629)),INDEX(Merge_1_2!$K$2:$K$611,$C629),""),INDEX(Dataset3_Raw!$K$2:$K$391,$E629))</f>
        <v>0.21210000000000001</v>
      </c>
      <c r="P629" s="25">
        <f>IF(ISNUMBER($O629),$O629,ROUND(Lookups!$B$25+Lookups!$B$24*$N629,4))</f>
        <v>0.21210000000000001</v>
      </c>
      <c r="Q629" s="25">
        <f>IF($C629&gt;0,INDEX(Merge_1_2!$L$2:$L$611,$C629),INDEX(Dataset3_Raw!$L$2:$L$391,$E629))</f>
        <v>0.64</v>
      </c>
      <c r="R629" s="25">
        <f>IF($C629&gt;0,INDEX(Merge_1_2!$M$2:$M$611,$C629),INDEX(Dataset3_Raw!$M$2:$M$391,$E629))</f>
        <v>0.1045</v>
      </c>
      <c r="S629" s="23">
        <f>IF($C629&gt;0,INDEX(Merge_1_2!$N$2:$N$611,$C629),INDEX(Dataset3_Raw!$N$2:$N$391,$E629))</f>
        <v>4</v>
      </c>
      <c r="T629" s="23">
        <f>IF($C629&gt;0,INDEX(Merge_1_2!$O$2:$O$611,$C629),INDEX(Dataset3_Raw!$O$2:$O$391,$E629))</f>
        <v>51</v>
      </c>
      <c r="U629" s="23">
        <f>IF($C629&gt;0,INDEX(Merge_1_2!$P$2:$P$611,$C629),INDEX(Dataset3_Raw!$P$2:$P$391,$E629))</f>
        <v>55</v>
      </c>
      <c r="V629" s="23" t="str">
        <f t="shared" si="55"/>
        <v>Weekend</v>
      </c>
      <c r="W629" s="23" t="str">
        <f>VLOOKUP($M629,Lookups!$A$5:$B$8,2,FALSE())</f>
        <v>Mist / Cloudy</v>
      </c>
      <c r="X629" s="23" t="str">
        <f>VLOOKUP($G629,Lookups!$D$5:$E$8,2,FALSE())</f>
        <v>Winter</v>
      </c>
      <c r="Y629" s="23" t="str">
        <f>VLOOKUP($L629,Lookups!$G$5:$H$11,2,FALSE())</f>
        <v>Saturday</v>
      </c>
      <c r="Z629" s="23" t="str">
        <f>IF($J629&lt;Lookups!$B$26,"Night",IF($J629&lt;Lookups!$B$27,"Morning",IF($J629&lt;Lookups!$B$28,"Afternoon","Evening")))</f>
        <v>Morning</v>
      </c>
      <c r="AA629" s="26">
        <f>ROUND($N629*(Lookups!$B$16-Lookups!$B$15)+Lookups!$B$15,1)</f>
        <v>0.5</v>
      </c>
      <c r="AB629" s="26">
        <f>ROUND($P629*(Lookups!$B$18-Lookups!$B$17)+Lookups!$B$17,1)</f>
        <v>-2</v>
      </c>
      <c r="AC629" s="23">
        <f t="shared" si="56"/>
        <v>64</v>
      </c>
      <c r="AD629" s="23">
        <f>ROUND($R629*Lookups!$B$19,1)</f>
        <v>7</v>
      </c>
      <c r="AE629" s="27">
        <f t="shared" si="57"/>
        <v>0.92727272727272725</v>
      </c>
      <c r="AF629" s="23" t="str">
        <f>IF($U629&gt;=Lookups!$B$23,"High",IF($U629&gt;=Lookups!$B$22,"Medium","Low"))</f>
        <v>Medium</v>
      </c>
      <c r="AG629" s="23">
        <f>ROUND(IF($V629="Weekday",IF(INDEX(Hourly_Analysis!$D$5:$D$28,$J629+1)&gt;0,($U629-INDEX(Hourly_Analysis!$C$5:$C$28,$J629+1))/INDEX(Hourly_Analysis!$D$5:$D$28,$J629+1),0),IF(INDEX(Hourly_Analysis!$G$5:$G$28,$J629+1)&gt;0,($U629-INDEX(Hourly_Analysis!$F$5:$F$28,$J629+1))/INDEX(Hourly_Analysis!$G$5:$G$28,$J629+1),0)),2)</f>
        <v>-0.38</v>
      </c>
      <c r="AH629" s="23" t="str">
        <f>IF(ABS($AG629)&gt;Lookups!$B$20,IF($AG629&gt;0,"High anomaly","Low anomaly"),"")</f>
        <v/>
      </c>
      <c r="AI629" s="23" t="str">
        <f t="shared" si="58"/>
        <v>OK</v>
      </c>
      <c r="AJ629" s="23" t="str">
        <f t="shared" si="59"/>
        <v>No</v>
      </c>
    </row>
    <row r="630" spans="1:36" x14ac:dyDescent="0.35">
      <c r="A630" s="23">
        <v>629</v>
      </c>
      <c r="B630" s="23" t="str">
        <f t="shared" si="54"/>
        <v>Dataset 3</v>
      </c>
      <c r="C630" s="23">
        <f>IFERROR(MATCH($A630,Merge_1_2!$A$2:$A$611,0),0)</f>
        <v>0</v>
      </c>
      <c r="D630" s="23">
        <f>IF($C630&gt;0,INDEX(Merge_1_2!$Q$2:$Q$611,$C630),0)</f>
        <v>0</v>
      </c>
      <c r="E630" s="23">
        <f>IFERROR(MATCH($A630,Dataset3_Raw!$A$2:$A$391,0),0)</f>
        <v>19</v>
      </c>
      <c r="F630" s="24">
        <f>IF($C630&gt;0,INDEX(Merge_1_2!$B$2:$B$611,$C630),DATE(VALUE(RIGHT(INDEX(Dataset3_Raw!$B$2:$B$391,$E630),4)),VALUE(MID(INDEX(Dataset3_Raw!$B$2:$B$391,$E630),4,2)),VALUE(LEFT(INDEX(Dataset3_Raw!$B$2:$B$391,$E630),2))))</f>
        <v>40572</v>
      </c>
      <c r="G630" s="23">
        <f>IF($C630&gt;0,INDEX(Merge_1_2!$C$2:$C$611,$C630),INDEX(Dataset3_Raw!$C$2:$C$391,$E630))</f>
        <v>1</v>
      </c>
      <c r="H630" s="23">
        <f>IF($C630&gt;0,INDEX(Merge_1_2!$D$2:$D$611,$C630),INDEX(Dataset3_Raw!$D$2:$D$391,$E630))</f>
        <v>0</v>
      </c>
      <c r="I630" s="23">
        <f>IF($C630&gt;0,INDEX(Merge_1_2!$E$2:$E$611,$C630),INDEX(Dataset3_Raw!$E$2:$E$391,$E630))</f>
        <v>1</v>
      </c>
      <c r="J630" s="23">
        <f>IF($C630&gt;0,INDEX(Merge_1_2!$F$2:$F$611,$C630),INDEX(Dataset3_Raw!$F$2:$F$391,$E630))</f>
        <v>11</v>
      </c>
      <c r="K630" s="23" t="b">
        <f>IF($C630&gt;0,INDEX(Merge_1_2!$G$2:$G$611,$C630),INDEX(Dataset3_Raw!$G$2:$G$391,$E630))</f>
        <v>0</v>
      </c>
      <c r="L630" s="23">
        <f>IF($C630&gt;0,INDEX(Merge_1_2!$H$2:$H$611,$C630),INDEX(Dataset3_Raw!$H$2:$H$391,$E630))</f>
        <v>6</v>
      </c>
      <c r="M630" s="23">
        <f>IF($C630&gt;0,INDEX(Merge_1_2!$I$2:$I$611,$C630),INDEX(Dataset3_Raw!$I$2:$I$391,$E630))</f>
        <v>2</v>
      </c>
      <c r="N630" s="25">
        <f>IF($C630&gt;0,INDEX(Merge_1_2!$J$2:$J$611,$C630),INDEX(Dataset3_Raw!$J$2:$J$391,$E630))</f>
        <v>0.18</v>
      </c>
      <c r="O630" s="25">
        <f>IF($C630&gt;0,IF(ISNUMBER(INDEX(Merge_1_2!$K$2:$K$611,$C630)),INDEX(Merge_1_2!$K$2:$K$611,$C630),""),INDEX(Dataset3_Raw!$K$2:$K$391,$E630))</f>
        <v>0.19700000000000001</v>
      </c>
      <c r="P630" s="25">
        <f>IF(ISNUMBER($O630),$O630,ROUND(Lookups!$B$25+Lookups!$B$24*$N630,4))</f>
        <v>0.19700000000000001</v>
      </c>
      <c r="Q630" s="25">
        <f>IF($C630&gt;0,INDEX(Merge_1_2!$L$2:$L$611,$C630),INDEX(Dataset3_Raw!$L$2:$L$391,$E630))</f>
        <v>0.64</v>
      </c>
      <c r="R630" s="25">
        <f>IF($C630&gt;0,INDEX(Merge_1_2!$M$2:$M$611,$C630),INDEX(Dataset3_Raw!$M$2:$M$391,$E630))</f>
        <v>0.1343</v>
      </c>
      <c r="S630" s="23">
        <f>IF($C630&gt;0,INDEX(Merge_1_2!$N$2:$N$611,$C630),INDEX(Dataset3_Raw!$N$2:$N$391,$E630))</f>
        <v>4</v>
      </c>
      <c r="T630" s="23">
        <f>IF($C630&gt;0,INDEX(Merge_1_2!$O$2:$O$611,$C630),INDEX(Dataset3_Raw!$O$2:$O$391,$E630))</f>
        <v>60</v>
      </c>
      <c r="U630" s="23">
        <f>IF($C630&gt;0,INDEX(Merge_1_2!$P$2:$P$611,$C630),INDEX(Dataset3_Raw!$P$2:$P$391,$E630))</f>
        <v>64</v>
      </c>
      <c r="V630" s="23" t="str">
        <f t="shared" si="55"/>
        <v>Weekend</v>
      </c>
      <c r="W630" s="23" t="str">
        <f>VLOOKUP($M630,Lookups!$A$5:$B$8,2,FALSE())</f>
        <v>Mist / Cloudy</v>
      </c>
      <c r="X630" s="23" t="str">
        <f>VLOOKUP($G630,Lookups!$D$5:$E$8,2,FALSE())</f>
        <v>Winter</v>
      </c>
      <c r="Y630" s="23" t="str">
        <f>VLOOKUP($L630,Lookups!$G$5:$H$11,2,FALSE())</f>
        <v>Saturday</v>
      </c>
      <c r="Z630" s="23" t="str">
        <f>IF($J630&lt;Lookups!$B$26,"Night",IF($J630&lt;Lookups!$B$27,"Morning",IF($J630&lt;Lookups!$B$28,"Afternoon","Evening")))</f>
        <v>Morning</v>
      </c>
      <c r="AA630" s="26">
        <f>ROUND($N630*(Lookups!$B$16-Lookups!$B$15)+Lookups!$B$15,1)</f>
        <v>0.5</v>
      </c>
      <c r="AB630" s="26">
        <f>ROUND($P630*(Lookups!$B$18-Lookups!$B$17)+Lookups!$B$17,1)</f>
        <v>-3</v>
      </c>
      <c r="AC630" s="23">
        <f t="shared" si="56"/>
        <v>64</v>
      </c>
      <c r="AD630" s="23">
        <f>ROUND($R630*Lookups!$B$19,1)</f>
        <v>9</v>
      </c>
      <c r="AE630" s="27">
        <f t="shared" si="57"/>
        <v>0.9375</v>
      </c>
      <c r="AF630" s="23" t="str">
        <f>IF($U630&gt;=Lookups!$B$23,"High",IF($U630&gt;=Lookups!$B$22,"Medium","Low"))</f>
        <v>Medium</v>
      </c>
      <c r="AG630" s="23">
        <f>ROUND(IF($V630="Weekday",IF(INDEX(Hourly_Analysis!$D$5:$D$28,$J630+1)&gt;0,($U630-INDEX(Hourly_Analysis!$C$5:$C$28,$J630+1))/INDEX(Hourly_Analysis!$D$5:$D$28,$J630+1),0),IF(INDEX(Hourly_Analysis!$G$5:$G$28,$J630+1)&gt;0,($U630-INDEX(Hourly_Analysis!$F$5:$F$28,$J630+1))/INDEX(Hourly_Analysis!$G$5:$G$28,$J630+1),0)),2)</f>
        <v>-0.5</v>
      </c>
      <c r="AH630" s="23" t="str">
        <f>IF(ABS($AG630)&gt;Lookups!$B$20,IF($AG630&gt;0,"High anomaly","Low anomaly"),"")</f>
        <v/>
      </c>
      <c r="AI630" s="23" t="str">
        <f t="shared" si="58"/>
        <v>OK</v>
      </c>
      <c r="AJ630" s="23" t="str">
        <f t="shared" si="59"/>
        <v>No</v>
      </c>
    </row>
    <row r="631" spans="1:36" x14ac:dyDescent="0.35">
      <c r="A631" s="23">
        <v>630</v>
      </c>
      <c r="B631" s="23" t="str">
        <f t="shared" si="54"/>
        <v>Dataset 3</v>
      </c>
      <c r="C631" s="23">
        <f>IFERROR(MATCH($A631,Merge_1_2!$A$2:$A$611,0),0)</f>
        <v>0</v>
      </c>
      <c r="D631" s="23">
        <f>IF($C631&gt;0,INDEX(Merge_1_2!$Q$2:$Q$611,$C631),0)</f>
        <v>0</v>
      </c>
      <c r="E631" s="23">
        <f>IFERROR(MATCH($A631,Dataset3_Raw!$A$2:$A$391,0),0)</f>
        <v>20</v>
      </c>
      <c r="F631" s="24">
        <f>IF($C631&gt;0,INDEX(Merge_1_2!$B$2:$B$611,$C631),DATE(VALUE(RIGHT(INDEX(Dataset3_Raw!$B$2:$B$391,$E631),4)),VALUE(MID(INDEX(Dataset3_Raw!$B$2:$B$391,$E631),4,2)),VALUE(LEFT(INDEX(Dataset3_Raw!$B$2:$B$391,$E631),2))))</f>
        <v>40572</v>
      </c>
      <c r="G631" s="23">
        <f>IF($C631&gt;0,INDEX(Merge_1_2!$C$2:$C$611,$C631),INDEX(Dataset3_Raw!$C$2:$C$391,$E631))</f>
        <v>1</v>
      </c>
      <c r="H631" s="23">
        <f>IF($C631&gt;0,INDEX(Merge_1_2!$D$2:$D$611,$C631),INDEX(Dataset3_Raw!$D$2:$D$391,$E631))</f>
        <v>0</v>
      </c>
      <c r="I631" s="23">
        <f>IF($C631&gt;0,INDEX(Merge_1_2!$E$2:$E$611,$C631),INDEX(Dataset3_Raw!$E$2:$E$391,$E631))</f>
        <v>1</v>
      </c>
      <c r="J631" s="23">
        <f>IF($C631&gt;0,INDEX(Merge_1_2!$F$2:$F$611,$C631),INDEX(Dataset3_Raw!$F$2:$F$391,$E631))</f>
        <v>12</v>
      </c>
      <c r="K631" s="23" t="b">
        <f>IF($C631&gt;0,INDEX(Merge_1_2!$G$2:$G$611,$C631),INDEX(Dataset3_Raw!$G$2:$G$391,$E631))</f>
        <v>0</v>
      </c>
      <c r="L631" s="23">
        <f>IF($C631&gt;0,INDEX(Merge_1_2!$H$2:$H$611,$C631),INDEX(Dataset3_Raw!$H$2:$H$391,$E631))</f>
        <v>6</v>
      </c>
      <c r="M631" s="23">
        <f>IF($C631&gt;0,INDEX(Merge_1_2!$I$2:$I$611,$C631),INDEX(Dataset3_Raw!$I$2:$I$391,$E631))</f>
        <v>2</v>
      </c>
      <c r="N631" s="25">
        <f>IF($C631&gt;0,INDEX(Merge_1_2!$J$2:$J$611,$C631),INDEX(Dataset3_Raw!$J$2:$J$391,$E631))</f>
        <v>0.2</v>
      </c>
      <c r="O631" s="25">
        <f>IF($C631&gt;0,IF(ISNUMBER(INDEX(Merge_1_2!$K$2:$K$611,$C631)),INDEX(Merge_1_2!$K$2:$K$611,$C631),""),INDEX(Dataset3_Raw!$K$2:$K$391,$E631))</f>
        <v>0.19700000000000001</v>
      </c>
      <c r="P631" s="25">
        <f>IF(ISNUMBER($O631),$O631,ROUND(Lookups!$B$25+Lookups!$B$24*$N631,4))</f>
        <v>0.19700000000000001</v>
      </c>
      <c r="Q631" s="25">
        <f>IF($C631&gt;0,INDEX(Merge_1_2!$L$2:$L$611,$C631),INDEX(Dataset3_Raw!$L$2:$L$391,$E631))</f>
        <v>0.59</v>
      </c>
      <c r="R631" s="25">
        <f>IF($C631&gt;0,INDEX(Merge_1_2!$M$2:$M$611,$C631),INDEX(Dataset3_Raw!$M$2:$M$391,$E631))</f>
        <v>0.19400000000000001</v>
      </c>
      <c r="S631" s="23">
        <f>IF($C631&gt;0,INDEX(Merge_1_2!$N$2:$N$611,$C631),INDEX(Dataset3_Raw!$N$2:$N$391,$E631))</f>
        <v>12</v>
      </c>
      <c r="T631" s="23">
        <f>IF($C631&gt;0,INDEX(Merge_1_2!$O$2:$O$611,$C631),INDEX(Dataset3_Raw!$O$2:$O$391,$E631))</f>
        <v>66</v>
      </c>
      <c r="U631" s="23">
        <f>IF($C631&gt;0,INDEX(Merge_1_2!$P$2:$P$611,$C631),INDEX(Dataset3_Raw!$P$2:$P$391,$E631))</f>
        <v>78</v>
      </c>
      <c r="V631" s="23" t="str">
        <f t="shared" si="55"/>
        <v>Weekend</v>
      </c>
      <c r="W631" s="23" t="str">
        <f>VLOOKUP($M631,Lookups!$A$5:$B$8,2,FALSE())</f>
        <v>Mist / Cloudy</v>
      </c>
      <c r="X631" s="23" t="str">
        <f>VLOOKUP($G631,Lookups!$D$5:$E$8,2,FALSE())</f>
        <v>Winter</v>
      </c>
      <c r="Y631" s="23" t="str">
        <f>VLOOKUP($L631,Lookups!$G$5:$H$11,2,FALSE())</f>
        <v>Saturday</v>
      </c>
      <c r="Z631" s="23" t="str">
        <f>IF($J631&lt;Lookups!$B$26,"Night",IF($J631&lt;Lookups!$B$27,"Morning",IF($J631&lt;Lookups!$B$28,"Afternoon","Evening")))</f>
        <v>Afternoon</v>
      </c>
      <c r="AA631" s="26">
        <f>ROUND($N631*(Lookups!$B$16-Lookups!$B$15)+Lookups!$B$15,1)</f>
        <v>1.4</v>
      </c>
      <c r="AB631" s="26">
        <f>ROUND($P631*(Lookups!$B$18-Lookups!$B$17)+Lookups!$B$17,1)</f>
        <v>-3</v>
      </c>
      <c r="AC631" s="23">
        <f t="shared" si="56"/>
        <v>59</v>
      </c>
      <c r="AD631" s="23">
        <f>ROUND($R631*Lookups!$B$19,1)</f>
        <v>13</v>
      </c>
      <c r="AE631" s="27">
        <f t="shared" si="57"/>
        <v>0.84615384615384615</v>
      </c>
      <c r="AF631" s="23" t="str">
        <f>IF($U631&gt;=Lookups!$B$23,"High",IF($U631&gt;=Lookups!$B$22,"Medium","Low"))</f>
        <v>Medium</v>
      </c>
      <c r="AG631" s="23">
        <f>ROUND(IF($V631="Weekday",IF(INDEX(Hourly_Analysis!$D$5:$D$28,$J631+1)&gt;0,($U631-INDEX(Hourly_Analysis!$C$5:$C$28,$J631+1))/INDEX(Hourly_Analysis!$D$5:$D$28,$J631+1),0),IF(INDEX(Hourly_Analysis!$G$5:$G$28,$J631+1)&gt;0,($U631-INDEX(Hourly_Analysis!$F$5:$F$28,$J631+1))/INDEX(Hourly_Analysis!$G$5:$G$28,$J631+1),0)),2)</f>
        <v>-0.68</v>
      </c>
      <c r="AH631" s="23" t="str">
        <f>IF(ABS($AG631)&gt;Lookups!$B$20,IF($AG631&gt;0,"High anomaly","Low anomaly"),"")</f>
        <v/>
      </c>
      <c r="AI631" s="23" t="str">
        <f t="shared" si="58"/>
        <v>OK</v>
      </c>
      <c r="AJ631" s="23" t="str">
        <f t="shared" si="59"/>
        <v>No</v>
      </c>
    </row>
    <row r="632" spans="1:36" x14ac:dyDescent="0.35">
      <c r="A632" s="23">
        <v>631</v>
      </c>
      <c r="B632" s="23" t="str">
        <f t="shared" si="54"/>
        <v>Dataset 3</v>
      </c>
      <c r="C632" s="23">
        <f>IFERROR(MATCH($A632,Merge_1_2!$A$2:$A$611,0),0)</f>
        <v>0</v>
      </c>
      <c r="D632" s="23">
        <f>IF($C632&gt;0,INDEX(Merge_1_2!$Q$2:$Q$611,$C632),0)</f>
        <v>0</v>
      </c>
      <c r="E632" s="23">
        <f>IFERROR(MATCH($A632,Dataset3_Raw!$A$2:$A$391,0),0)</f>
        <v>21</v>
      </c>
      <c r="F632" s="24">
        <f>IF($C632&gt;0,INDEX(Merge_1_2!$B$2:$B$611,$C632),DATE(VALUE(RIGHT(INDEX(Dataset3_Raw!$B$2:$B$391,$E632),4)),VALUE(MID(INDEX(Dataset3_Raw!$B$2:$B$391,$E632),4,2)),VALUE(LEFT(INDEX(Dataset3_Raw!$B$2:$B$391,$E632),2))))</f>
        <v>40572</v>
      </c>
      <c r="G632" s="23">
        <f>IF($C632&gt;0,INDEX(Merge_1_2!$C$2:$C$611,$C632),INDEX(Dataset3_Raw!$C$2:$C$391,$E632))</f>
        <v>1</v>
      </c>
      <c r="H632" s="23">
        <f>IF($C632&gt;0,INDEX(Merge_1_2!$D$2:$D$611,$C632),INDEX(Dataset3_Raw!$D$2:$D$391,$E632))</f>
        <v>0</v>
      </c>
      <c r="I632" s="23">
        <f>IF($C632&gt;0,INDEX(Merge_1_2!$E$2:$E$611,$C632),INDEX(Dataset3_Raw!$E$2:$E$391,$E632))</f>
        <v>1</v>
      </c>
      <c r="J632" s="23">
        <f>IF($C632&gt;0,INDEX(Merge_1_2!$F$2:$F$611,$C632),INDEX(Dataset3_Raw!$F$2:$F$391,$E632))</f>
        <v>13</v>
      </c>
      <c r="K632" s="23" t="b">
        <f>IF($C632&gt;0,INDEX(Merge_1_2!$G$2:$G$611,$C632),INDEX(Dataset3_Raw!$G$2:$G$391,$E632))</f>
        <v>0</v>
      </c>
      <c r="L632" s="23">
        <f>IF($C632&gt;0,INDEX(Merge_1_2!$H$2:$H$611,$C632),INDEX(Dataset3_Raw!$H$2:$H$391,$E632))</f>
        <v>6</v>
      </c>
      <c r="M632" s="23">
        <f>IF($C632&gt;0,INDEX(Merge_1_2!$I$2:$I$611,$C632),INDEX(Dataset3_Raw!$I$2:$I$391,$E632))</f>
        <v>2</v>
      </c>
      <c r="N632" s="25">
        <f>IF($C632&gt;0,INDEX(Merge_1_2!$J$2:$J$611,$C632),INDEX(Dataset3_Raw!$J$2:$J$391,$E632))</f>
        <v>0.22</v>
      </c>
      <c r="O632" s="25">
        <f>IF($C632&gt;0,IF(ISNUMBER(INDEX(Merge_1_2!$K$2:$K$611,$C632)),INDEX(Merge_1_2!$K$2:$K$611,$C632),""),INDEX(Dataset3_Raw!$K$2:$K$391,$E632))</f>
        <v>0.2273</v>
      </c>
      <c r="P632" s="25">
        <f>IF(ISNUMBER($O632),$O632,ROUND(Lookups!$B$25+Lookups!$B$24*$N632,4))</f>
        <v>0.2273</v>
      </c>
      <c r="Q632" s="25">
        <f>IF($C632&gt;0,INDEX(Merge_1_2!$L$2:$L$611,$C632),INDEX(Dataset3_Raw!$L$2:$L$391,$E632))</f>
        <v>0.55000000000000004</v>
      </c>
      <c r="R632" s="25">
        <f>IF($C632&gt;0,INDEX(Merge_1_2!$M$2:$M$611,$C632),INDEX(Dataset3_Raw!$M$2:$M$391,$E632))</f>
        <v>0.16420000000000001</v>
      </c>
      <c r="S632" s="23">
        <f>IF($C632&gt;0,INDEX(Merge_1_2!$N$2:$N$611,$C632),INDEX(Dataset3_Raw!$N$2:$N$391,$E632))</f>
        <v>9</v>
      </c>
      <c r="T632" s="23">
        <f>IF($C632&gt;0,INDEX(Merge_1_2!$O$2:$O$611,$C632),INDEX(Dataset3_Raw!$O$2:$O$391,$E632))</f>
        <v>56</v>
      </c>
      <c r="U632" s="23">
        <f>IF($C632&gt;0,INDEX(Merge_1_2!$P$2:$P$611,$C632),INDEX(Dataset3_Raw!$P$2:$P$391,$E632))</f>
        <v>65</v>
      </c>
      <c r="V632" s="23" t="str">
        <f t="shared" si="55"/>
        <v>Weekend</v>
      </c>
      <c r="W632" s="23" t="str">
        <f>VLOOKUP($M632,Lookups!$A$5:$B$8,2,FALSE())</f>
        <v>Mist / Cloudy</v>
      </c>
      <c r="X632" s="23" t="str">
        <f>VLOOKUP($G632,Lookups!$D$5:$E$8,2,FALSE())</f>
        <v>Winter</v>
      </c>
      <c r="Y632" s="23" t="str">
        <f>VLOOKUP($L632,Lookups!$G$5:$H$11,2,FALSE())</f>
        <v>Saturday</v>
      </c>
      <c r="Z632" s="23" t="str">
        <f>IF($J632&lt;Lookups!$B$26,"Night",IF($J632&lt;Lookups!$B$27,"Morning",IF($J632&lt;Lookups!$B$28,"Afternoon","Evening")))</f>
        <v>Afternoon</v>
      </c>
      <c r="AA632" s="26">
        <f>ROUND($N632*(Lookups!$B$16-Lookups!$B$15)+Lookups!$B$15,1)</f>
        <v>2.2999999999999998</v>
      </c>
      <c r="AB632" s="26">
        <f>ROUND($P632*(Lookups!$B$18-Lookups!$B$17)+Lookups!$B$17,1)</f>
        <v>-1</v>
      </c>
      <c r="AC632" s="23">
        <f t="shared" si="56"/>
        <v>55</v>
      </c>
      <c r="AD632" s="23">
        <f>ROUND($R632*Lookups!$B$19,1)</f>
        <v>11</v>
      </c>
      <c r="AE632" s="27">
        <f t="shared" si="57"/>
        <v>0.86153846153846159</v>
      </c>
      <c r="AF632" s="23" t="str">
        <f>IF($U632&gt;=Lookups!$B$23,"High",IF($U632&gt;=Lookups!$B$22,"Medium","Low"))</f>
        <v>Medium</v>
      </c>
      <c r="AG632" s="23">
        <f>ROUND(IF($V632="Weekday",IF(INDEX(Hourly_Analysis!$D$5:$D$28,$J632+1)&gt;0,($U632-INDEX(Hourly_Analysis!$C$5:$C$28,$J632+1))/INDEX(Hourly_Analysis!$D$5:$D$28,$J632+1),0),IF(INDEX(Hourly_Analysis!$G$5:$G$28,$J632+1)&gt;0,($U632-INDEX(Hourly_Analysis!$F$5:$F$28,$J632+1))/INDEX(Hourly_Analysis!$G$5:$G$28,$J632+1),0)),2)</f>
        <v>-1.1100000000000001</v>
      </c>
      <c r="AH632" s="23" t="str">
        <f>IF(ABS($AG632)&gt;Lookups!$B$20,IF($AG632&gt;0,"High anomaly","Low anomaly"),"")</f>
        <v/>
      </c>
      <c r="AI632" s="23" t="str">
        <f t="shared" si="58"/>
        <v>OK</v>
      </c>
      <c r="AJ632" s="23" t="str">
        <f t="shared" si="59"/>
        <v>No</v>
      </c>
    </row>
    <row r="633" spans="1:36" x14ac:dyDescent="0.35">
      <c r="A633" s="23">
        <v>632</v>
      </c>
      <c r="B633" s="23" t="str">
        <f t="shared" si="54"/>
        <v>Dataset 3</v>
      </c>
      <c r="C633" s="23">
        <f>IFERROR(MATCH($A633,Merge_1_2!$A$2:$A$611,0),0)</f>
        <v>0</v>
      </c>
      <c r="D633" s="23">
        <f>IF($C633&gt;0,INDEX(Merge_1_2!$Q$2:$Q$611,$C633),0)</f>
        <v>0</v>
      </c>
      <c r="E633" s="23">
        <f>IFERROR(MATCH($A633,Dataset3_Raw!$A$2:$A$391,0),0)</f>
        <v>22</v>
      </c>
      <c r="F633" s="24">
        <f>IF($C633&gt;0,INDEX(Merge_1_2!$B$2:$B$611,$C633),DATE(VALUE(RIGHT(INDEX(Dataset3_Raw!$B$2:$B$391,$E633),4)),VALUE(MID(INDEX(Dataset3_Raw!$B$2:$B$391,$E633),4,2)),VALUE(LEFT(INDEX(Dataset3_Raw!$B$2:$B$391,$E633),2))))</f>
        <v>40572</v>
      </c>
      <c r="G633" s="23">
        <f>IF($C633&gt;0,INDEX(Merge_1_2!$C$2:$C$611,$C633),INDEX(Dataset3_Raw!$C$2:$C$391,$E633))</f>
        <v>1</v>
      </c>
      <c r="H633" s="23">
        <f>IF($C633&gt;0,INDEX(Merge_1_2!$D$2:$D$611,$C633),INDEX(Dataset3_Raw!$D$2:$D$391,$E633))</f>
        <v>0</v>
      </c>
      <c r="I633" s="23">
        <f>IF($C633&gt;0,INDEX(Merge_1_2!$E$2:$E$611,$C633),INDEX(Dataset3_Raw!$E$2:$E$391,$E633))</f>
        <v>1</v>
      </c>
      <c r="J633" s="23">
        <f>IF($C633&gt;0,INDEX(Merge_1_2!$F$2:$F$611,$C633),INDEX(Dataset3_Raw!$F$2:$F$391,$E633))</f>
        <v>14</v>
      </c>
      <c r="K633" s="23" t="b">
        <f>IF($C633&gt;0,INDEX(Merge_1_2!$G$2:$G$611,$C633),INDEX(Dataset3_Raw!$G$2:$G$391,$E633))</f>
        <v>0</v>
      </c>
      <c r="L633" s="23">
        <f>IF($C633&gt;0,INDEX(Merge_1_2!$H$2:$H$611,$C633),INDEX(Dataset3_Raw!$H$2:$H$391,$E633))</f>
        <v>6</v>
      </c>
      <c r="M633" s="23">
        <f>IF($C633&gt;0,INDEX(Merge_1_2!$I$2:$I$611,$C633),INDEX(Dataset3_Raw!$I$2:$I$391,$E633))</f>
        <v>2</v>
      </c>
      <c r="N633" s="25">
        <f>IF($C633&gt;0,INDEX(Merge_1_2!$J$2:$J$611,$C633),INDEX(Dataset3_Raw!$J$2:$J$391,$E633))</f>
        <v>0.22</v>
      </c>
      <c r="O633" s="25">
        <f>IF($C633&gt;0,IF(ISNUMBER(INDEX(Merge_1_2!$K$2:$K$611,$C633)),INDEX(Merge_1_2!$K$2:$K$611,$C633),""),INDEX(Dataset3_Raw!$K$2:$K$391,$E633))</f>
        <v>0.2273</v>
      </c>
      <c r="P633" s="25">
        <f>IF(ISNUMBER($O633),$O633,ROUND(Lookups!$B$25+Lookups!$B$24*$N633,4))</f>
        <v>0.2273</v>
      </c>
      <c r="Q633" s="25">
        <f>IF($C633&gt;0,INDEX(Merge_1_2!$L$2:$L$611,$C633),INDEX(Dataset3_Raw!$L$2:$L$391,$E633))</f>
        <v>0.6</v>
      </c>
      <c r="R633" s="25">
        <f>IF($C633&gt;0,INDEX(Merge_1_2!$M$2:$M$611,$C633),INDEX(Dataset3_Raw!$M$2:$M$391,$E633))</f>
        <v>0.1343</v>
      </c>
      <c r="S633" s="23">
        <f>IF($C633&gt;0,INDEX(Merge_1_2!$N$2:$N$611,$C633),INDEX(Dataset3_Raw!$N$2:$N$391,$E633))</f>
        <v>10</v>
      </c>
      <c r="T633" s="23">
        <f>IF($C633&gt;0,INDEX(Merge_1_2!$O$2:$O$611,$C633),INDEX(Dataset3_Raw!$O$2:$O$391,$E633))</f>
        <v>89</v>
      </c>
      <c r="U633" s="23">
        <f>IF($C633&gt;0,INDEX(Merge_1_2!$P$2:$P$611,$C633),INDEX(Dataset3_Raw!$P$2:$P$391,$E633))</f>
        <v>99</v>
      </c>
      <c r="V633" s="23" t="str">
        <f t="shared" si="55"/>
        <v>Weekend</v>
      </c>
      <c r="W633" s="23" t="str">
        <f>VLOOKUP($M633,Lookups!$A$5:$B$8,2,FALSE())</f>
        <v>Mist / Cloudy</v>
      </c>
      <c r="X633" s="23" t="str">
        <f>VLOOKUP($G633,Lookups!$D$5:$E$8,2,FALSE())</f>
        <v>Winter</v>
      </c>
      <c r="Y633" s="23" t="str">
        <f>VLOOKUP($L633,Lookups!$G$5:$H$11,2,FALSE())</f>
        <v>Saturday</v>
      </c>
      <c r="Z633" s="23" t="str">
        <f>IF($J633&lt;Lookups!$B$26,"Night",IF($J633&lt;Lookups!$B$27,"Morning",IF($J633&lt;Lookups!$B$28,"Afternoon","Evening")))</f>
        <v>Afternoon</v>
      </c>
      <c r="AA633" s="26">
        <f>ROUND($N633*(Lookups!$B$16-Lookups!$B$15)+Lookups!$B$15,1)</f>
        <v>2.2999999999999998</v>
      </c>
      <c r="AB633" s="26">
        <f>ROUND($P633*(Lookups!$B$18-Lookups!$B$17)+Lookups!$B$17,1)</f>
        <v>-1</v>
      </c>
      <c r="AC633" s="23">
        <f t="shared" si="56"/>
        <v>60</v>
      </c>
      <c r="AD633" s="23">
        <f>ROUND($R633*Lookups!$B$19,1)</f>
        <v>9</v>
      </c>
      <c r="AE633" s="27">
        <f t="shared" si="57"/>
        <v>0.89898989898989901</v>
      </c>
      <c r="AF633" s="23" t="str">
        <f>IF($U633&gt;=Lookups!$B$23,"High",IF($U633&gt;=Lookups!$B$22,"Medium","Low"))</f>
        <v>High</v>
      </c>
      <c r="AG633" s="23">
        <f>ROUND(IF($V633="Weekday",IF(INDEX(Hourly_Analysis!$D$5:$D$28,$J633+1)&gt;0,($U633-INDEX(Hourly_Analysis!$C$5:$C$28,$J633+1))/INDEX(Hourly_Analysis!$D$5:$D$28,$J633+1),0),IF(INDEX(Hourly_Analysis!$G$5:$G$28,$J633+1)&gt;0,($U633-INDEX(Hourly_Analysis!$F$5:$F$28,$J633+1))/INDEX(Hourly_Analysis!$G$5:$G$28,$J633+1),0)),2)</f>
        <v>-0.09</v>
      </c>
      <c r="AH633" s="23" t="str">
        <f>IF(ABS($AG633)&gt;Lookups!$B$20,IF($AG633&gt;0,"High anomaly","Low anomaly"),"")</f>
        <v/>
      </c>
      <c r="AI633" s="23" t="str">
        <f t="shared" si="58"/>
        <v>OK</v>
      </c>
      <c r="AJ633" s="23" t="str">
        <f t="shared" si="59"/>
        <v>No</v>
      </c>
    </row>
    <row r="634" spans="1:36" x14ac:dyDescent="0.35">
      <c r="A634" s="23">
        <v>633</v>
      </c>
      <c r="B634" s="23" t="str">
        <f t="shared" si="54"/>
        <v>Dataset 3</v>
      </c>
      <c r="C634" s="23">
        <f>IFERROR(MATCH($A634,Merge_1_2!$A$2:$A$611,0),0)</f>
        <v>0</v>
      </c>
      <c r="D634" s="23">
        <f>IF($C634&gt;0,INDEX(Merge_1_2!$Q$2:$Q$611,$C634),0)</f>
        <v>0</v>
      </c>
      <c r="E634" s="23">
        <f>IFERROR(MATCH($A634,Dataset3_Raw!$A$2:$A$391,0),0)</f>
        <v>23</v>
      </c>
      <c r="F634" s="24">
        <f>IF($C634&gt;0,INDEX(Merge_1_2!$B$2:$B$611,$C634),DATE(VALUE(RIGHT(INDEX(Dataset3_Raw!$B$2:$B$391,$E634),4)),VALUE(MID(INDEX(Dataset3_Raw!$B$2:$B$391,$E634),4,2)),VALUE(LEFT(INDEX(Dataset3_Raw!$B$2:$B$391,$E634),2))))</f>
        <v>40572</v>
      </c>
      <c r="G634" s="23">
        <f>IF($C634&gt;0,INDEX(Merge_1_2!$C$2:$C$611,$C634),INDEX(Dataset3_Raw!$C$2:$C$391,$E634))</f>
        <v>1</v>
      </c>
      <c r="H634" s="23">
        <f>IF($C634&gt;0,INDEX(Merge_1_2!$D$2:$D$611,$C634),INDEX(Dataset3_Raw!$D$2:$D$391,$E634))</f>
        <v>0</v>
      </c>
      <c r="I634" s="23">
        <f>IF($C634&gt;0,INDEX(Merge_1_2!$E$2:$E$611,$C634),INDEX(Dataset3_Raw!$E$2:$E$391,$E634))</f>
        <v>1</v>
      </c>
      <c r="J634" s="23">
        <f>IF($C634&gt;0,INDEX(Merge_1_2!$F$2:$F$611,$C634),INDEX(Dataset3_Raw!$F$2:$F$391,$E634))</f>
        <v>15</v>
      </c>
      <c r="K634" s="23" t="b">
        <f>IF($C634&gt;0,INDEX(Merge_1_2!$G$2:$G$611,$C634),INDEX(Dataset3_Raw!$G$2:$G$391,$E634))</f>
        <v>0</v>
      </c>
      <c r="L634" s="23">
        <f>IF($C634&gt;0,INDEX(Merge_1_2!$H$2:$H$611,$C634),INDEX(Dataset3_Raw!$H$2:$H$391,$E634))</f>
        <v>6</v>
      </c>
      <c r="M634" s="23">
        <f>IF($C634&gt;0,INDEX(Merge_1_2!$I$2:$I$611,$C634),INDEX(Dataset3_Raw!$I$2:$I$391,$E634))</f>
        <v>1</v>
      </c>
      <c r="N634" s="25">
        <f>IF($C634&gt;0,INDEX(Merge_1_2!$J$2:$J$611,$C634),INDEX(Dataset3_Raw!$J$2:$J$391,$E634))</f>
        <v>0.22</v>
      </c>
      <c r="O634" s="25">
        <f>IF($C634&gt;0,IF(ISNUMBER(INDEX(Merge_1_2!$K$2:$K$611,$C634)),INDEX(Merge_1_2!$K$2:$K$611,$C634),""),INDEX(Dataset3_Raw!$K$2:$K$391,$E634))</f>
        <v>0.21210000000000001</v>
      </c>
      <c r="P634" s="25">
        <f>IF(ISNUMBER($O634),$O634,ROUND(Lookups!$B$25+Lookups!$B$24*$N634,4))</f>
        <v>0.21210000000000001</v>
      </c>
      <c r="Q634" s="25">
        <f>IF($C634&gt;0,INDEX(Merge_1_2!$L$2:$L$611,$C634),INDEX(Dataset3_Raw!$L$2:$L$391,$E634))</f>
        <v>0.69</v>
      </c>
      <c r="R634" s="25">
        <f>IF($C634&gt;0,INDEX(Merge_1_2!$M$2:$M$611,$C634),INDEX(Dataset3_Raw!$M$2:$M$391,$E634))</f>
        <v>0.25369999999999998</v>
      </c>
      <c r="S634" s="23">
        <f>IF($C634&gt;0,INDEX(Merge_1_2!$N$2:$N$611,$C634),INDEX(Dataset3_Raw!$N$2:$N$391,$E634))</f>
        <v>22</v>
      </c>
      <c r="T634" s="23">
        <f>IF($C634&gt;0,INDEX(Merge_1_2!$O$2:$O$611,$C634),INDEX(Dataset3_Raw!$O$2:$O$391,$E634))</f>
        <v>98</v>
      </c>
      <c r="U634" s="23">
        <f>IF($C634&gt;0,INDEX(Merge_1_2!$P$2:$P$611,$C634),INDEX(Dataset3_Raw!$P$2:$P$391,$E634))</f>
        <v>120</v>
      </c>
      <c r="V634" s="23" t="str">
        <f t="shared" si="55"/>
        <v>Weekend</v>
      </c>
      <c r="W634" s="23" t="str">
        <f>VLOOKUP($M634,Lookups!$A$5:$B$8,2,FALSE())</f>
        <v>Clear / Partly cloudy</v>
      </c>
      <c r="X634" s="23" t="str">
        <f>VLOOKUP($G634,Lookups!$D$5:$E$8,2,FALSE())</f>
        <v>Winter</v>
      </c>
      <c r="Y634" s="23" t="str">
        <f>VLOOKUP($L634,Lookups!$G$5:$H$11,2,FALSE())</f>
        <v>Saturday</v>
      </c>
      <c r="Z634" s="23" t="str">
        <f>IF($J634&lt;Lookups!$B$26,"Night",IF($J634&lt;Lookups!$B$27,"Morning",IF($J634&lt;Lookups!$B$28,"Afternoon","Evening")))</f>
        <v>Afternoon</v>
      </c>
      <c r="AA634" s="26">
        <f>ROUND($N634*(Lookups!$B$16-Lookups!$B$15)+Lookups!$B$15,1)</f>
        <v>2.2999999999999998</v>
      </c>
      <c r="AB634" s="26">
        <f>ROUND($P634*(Lookups!$B$18-Lookups!$B$17)+Lookups!$B$17,1)</f>
        <v>-2</v>
      </c>
      <c r="AC634" s="23">
        <f t="shared" si="56"/>
        <v>69</v>
      </c>
      <c r="AD634" s="23">
        <f>ROUND($R634*Lookups!$B$19,1)</f>
        <v>17</v>
      </c>
      <c r="AE634" s="27">
        <f t="shared" si="57"/>
        <v>0.81666666666666665</v>
      </c>
      <c r="AF634" s="23" t="str">
        <f>IF($U634&gt;=Lookups!$B$23,"High",IF($U634&gt;=Lookups!$B$22,"Medium","Low"))</f>
        <v>High</v>
      </c>
      <c r="AG634" s="23">
        <f>ROUND(IF($V634="Weekday",IF(INDEX(Hourly_Analysis!$D$5:$D$28,$J634+1)&gt;0,($U634-INDEX(Hourly_Analysis!$C$5:$C$28,$J634+1))/INDEX(Hourly_Analysis!$D$5:$D$28,$J634+1),0),IF(INDEX(Hourly_Analysis!$G$5:$G$28,$J634+1)&gt;0,($U634-INDEX(Hourly_Analysis!$F$5:$F$28,$J634+1))/INDEX(Hourly_Analysis!$G$5:$G$28,$J634+1),0)),2)</f>
        <v>0.24</v>
      </c>
      <c r="AH634" s="23" t="str">
        <f>IF(ABS($AG634)&gt;Lookups!$B$20,IF($AG634&gt;0,"High anomaly","Low anomaly"),"")</f>
        <v/>
      </c>
      <c r="AI634" s="23" t="str">
        <f t="shared" si="58"/>
        <v>OK</v>
      </c>
      <c r="AJ634" s="23" t="str">
        <f t="shared" si="59"/>
        <v>No</v>
      </c>
    </row>
    <row r="635" spans="1:36" x14ac:dyDescent="0.35">
      <c r="A635" s="23">
        <v>634</v>
      </c>
      <c r="B635" s="23" t="str">
        <f t="shared" si="54"/>
        <v>Dataset 3</v>
      </c>
      <c r="C635" s="23">
        <f>IFERROR(MATCH($A635,Merge_1_2!$A$2:$A$611,0),0)</f>
        <v>0</v>
      </c>
      <c r="D635" s="23">
        <f>IF($C635&gt;0,INDEX(Merge_1_2!$Q$2:$Q$611,$C635),0)</f>
        <v>0</v>
      </c>
      <c r="E635" s="23">
        <f>IFERROR(MATCH($A635,Dataset3_Raw!$A$2:$A$391,0),0)</f>
        <v>24</v>
      </c>
      <c r="F635" s="24">
        <f>IF($C635&gt;0,INDEX(Merge_1_2!$B$2:$B$611,$C635),DATE(VALUE(RIGHT(INDEX(Dataset3_Raw!$B$2:$B$391,$E635),4)),VALUE(MID(INDEX(Dataset3_Raw!$B$2:$B$391,$E635),4,2)),VALUE(LEFT(INDEX(Dataset3_Raw!$B$2:$B$391,$E635),2))))</f>
        <v>40572</v>
      </c>
      <c r="G635" s="23">
        <f>IF($C635&gt;0,INDEX(Merge_1_2!$C$2:$C$611,$C635),INDEX(Dataset3_Raw!$C$2:$C$391,$E635))</f>
        <v>1</v>
      </c>
      <c r="H635" s="23">
        <f>IF($C635&gt;0,INDEX(Merge_1_2!$D$2:$D$611,$C635),INDEX(Dataset3_Raw!$D$2:$D$391,$E635))</f>
        <v>0</v>
      </c>
      <c r="I635" s="23">
        <f>IF($C635&gt;0,INDEX(Merge_1_2!$E$2:$E$611,$C635),INDEX(Dataset3_Raw!$E$2:$E$391,$E635))</f>
        <v>1</v>
      </c>
      <c r="J635" s="23">
        <f>IF($C635&gt;0,INDEX(Merge_1_2!$F$2:$F$611,$C635),INDEX(Dataset3_Raw!$F$2:$F$391,$E635))</f>
        <v>16</v>
      </c>
      <c r="K635" s="23" t="b">
        <f>IF($C635&gt;0,INDEX(Merge_1_2!$G$2:$G$611,$C635),INDEX(Dataset3_Raw!$G$2:$G$391,$E635))</f>
        <v>0</v>
      </c>
      <c r="L635" s="23">
        <f>IF($C635&gt;0,INDEX(Merge_1_2!$H$2:$H$611,$C635),INDEX(Dataset3_Raw!$H$2:$H$391,$E635))</f>
        <v>6</v>
      </c>
      <c r="M635" s="23">
        <f>IF($C635&gt;0,INDEX(Merge_1_2!$I$2:$I$611,$C635),INDEX(Dataset3_Raw!$I$2:$I$391,$E635))</f>
        <v>1</v>
      </c>
      <c r="N635" s="25">
        <f>IF($C635&gt;0,INDEX(Merge_1_2!$J$2:$J$611,$C635),INDEX(Dataset3_Raw!$J$2:$J$391,$E635))</f>
        <v>0.24</v>
      </c>
      <c r="O635" s="25">
        <f>IF($C635&gt;0,IF(ISNUMBER(INDEX(Merge_1_2!$K$2:$K$611,$C635)),INDEX(Merge_1_2!$K$2:$K$611,$C635),""),INDEX(Dataset3_Raw!$K$2:$K$391,$E635))</f>
        <v>0.2424</v>
      </c>
      <c r="P635" s="25">
        <f>IF(ISNUMBER($O635),$O635,ROUND(Lookups!$B$25+Lookups!$B$24*$N635,4))</f>
        <v>0.2424</v>
      </c>
      <c r="Q635" s="25">
        <f>IF($C635&gt;0,INDEX(Merge_1_2!$L$2:$L$611,$C635),INDEX(Dataset3_Raw!$L$2:$L$391,$E635))</f>
        <v>0.6</v>
      </c>
      <c r="R635" s="25">
        <f>IF($C635&gt;0,INDEX(Merge_1_2!$M$2:$M$611,$C635),INDEX(Dataset3_Raw!$M$2:$M$391,$E635))</f>
        <v>0.16420000000000001</v>
      </c>
      <c r="S635" s="23">
        <f>IF($C635&gt;0,INDEX(Merge_1_2!$N$2:$N$611,$C635),INDEX(Dataset3_Raw!$N$2:$N$391,$E635))</f>
        <v>19</v>
      </c>
      <c r="T635" s="23">
        <f>IF($C635&gt;0,INDEX(Merge_1_2!$O$2:$O$611,$C635),INDEX(Dataset3_Raw!$O$2:$O$391,$E635))</f>
        <v>88</v>
      </c>
      <c r="U635" s="23">
        <f>IF($C635&gt;0,INDEX(Merge_1_2!$P$2:$P$611,$C635),INDEX(Dataset3_Raw!$P$2:$P$391,$E635))</f>
        <v>107</v>
      </c>
      <c r="V635" s="23" t="str">
        <f t="shared" si="55"/>
        <v>Weekend</v>
      </c>
      <c r="W635" s="23" t="str">
        <f>VLOOKUP($M635,Lookups!$A$5:$B$8,2,FALSE())</f>
        <v>Clear / Partly cloudy</v>
      </c>
      <c r="X635" s="23" t="str">
        <f>VLOOKUP($G635,Lookups!$D$5:$E$8,2,FALSE())</f>
        <v>Winter</v>
      </c>
      <c r="Y635" s="23" t="str">
        <f>VLOOKUP($L635,Lookups!$G$5:$H$11,2,FALSE())</f>
        <v>Saturday</v>
      </c>
      <c r="Z635" s="23" t="str">
        <f>IF($J635&lt;Lookups!$B$26,"Night",IF($J635&lt;Lookups!$B$27,"Morning",IF($J635&lt;Lookups!$B$28,"Afternoon","Evening")))</f>
        <v>Afternoon</v>
      </c>
      <c r="AA635" s="26">
        <f>ROUND($N635*(Lookups!$B$16-Lookups!$B$15)+Lookups!$B$15,1)</f>
        <v>3.3</v>
      </c>
      <c r="AB635" s="26">
        <f>ROUND($P635*(Lookups!$B$18-Lookups!$B$17)+Lookups!$B$17,1)</f>
        <v>0</v>
      </c>
      <c r="AC635" s="23">
        <f t="shared" si="56"/>
        <v>60</v>
      </c>
      <c r="AD635" s="23">
        <f>ROUND($R635*Lookups!$B$19,1)</f>
        <v>11</v>
      </c>
      <c r="AE635" s="27">
        <f t="shared" si="57"/>
        <v>0.82242990654205606</v>
      </c>
      <c r="AF635" s="23" t="str">
        <f>IF($U635&gt;=Lookups!$B$23,"High",IF($U635&gt;=Lookups!$B$22,"Medium","Low"))</f>
        <v>High</v>
      </c>
      <c r="AG635" s="23">
        <f>ROUND(IF($V635="Weekday",IF(INDEX(Hourly_Analysis!$D$5:$D$28,$J635+1)&gt;0,($U635-INDEX(Hourly_Analysis!$C$5:$C$28,$J635+1))/INDEX(Hourly_Analysis!$D$5:$D$28,$J635+1),0),IF(INDEX(Hourly_Analysis!$G$5:$G$28,$J635+1)&gt;0,($U635-INDEX(Hourly_Analysis!$F$5:$F$28,$J635+1))/INDEX(Hourly_Analysis!$G$5:$G$28,$J635+1),0)),2)</f>
        <v>0.17</v>
      </c>
      <c r="AH635" s="23" t="str">
        <f>IF(ABS($AG635)&gt;Lookups!$B$20,IF($AG635&gt;0,"High anomaly","Low anomaly"),"")</f>
        <v/>
      </c>
      <c r="AI635" s="23" t="str">
        <f t="shared" si="58"/>
        <v>OK</v>
      </c>
      <c r="AJ635" s="23" t="str">
        <f t="shared" si="59"/>
        <v>No</v>
      </c>
    </row>
    <row r="636" spans="1:36" x14ac:dyDescent="0.35">
      <c r="A636" s="23">
        <v>635</v>
      </c>
      <c r="B636" s="23" t="str">
        <f t="shared" si="54"/>
        <v>Dataset 3</v>
      </c>
      <c r="C636" s="23">
        <f>IFERROR(MATCH($A636,Merge_1_2!$A$2:$A$611,0),0)</f>
        <v>0</v>
      </c>
      <c r="D636" s="23">
        <f>IF($C636&gt;0,INDEX(Merge_1_2!$Q$2:$Q$611,$C636),0)</f>
        <v>0</v>
      </c>
      <c r="E636" s="23">
        <f>IFERROR(MATCH($A636,Dataset3_Raw!$A$2:$A$391,0),0)</f>
        <v>25</v>
      </c>
      <c r="F636" s="24">
        <f>IF($C636&gt;0,INDEX(Merge_1_2!$B$2:$B$611,$C636),DATE(VALUE(RIGHT(INDEX(Dataset3_Raw!$B$2:$B$391,$E636),4)),VALUE(MID(INDEX(Dataset3_Raw!$B$2:$B$391,$E636),4,2)),VALUE(LEFT(INDEX(Dataset3_Raw!$B$2:$B$391,$E636),2))))</f>
        <v>40572</v>
      </c>
      <c r="G636" s="23">
        <f>IF($C636&gt;0,INDEX(Merge_1_2!$C$2:$C$611,$C636),INDEX(Dataset3_Raw!$C$2:$C$391,$E636))</f>
        <v>1</v>
      </c>
      <c r="H636" s="23">
        <f>IF($C636&gt;0,INDEX(Merge_1_2!$D$2:$D$611,$C636),INDEX(Dataset3_Raw!$D$2:$D$391,$E636))</f>
        <v>0</v>
      </c>
      <c r="I636" s="23">
        <f>IF($C636&gt;0,INDEX(Merge_1_2!$E$2:$E$611,$C636),INDEX(Dataset3_Raw!$E$2:$E$391,$E636))</f>
        <v>1</v>
      </c>
      <c r="J636" s="23">
        <f>IF($C636&gt;0,INDEX(Merge_1_2!$F$2:$F$611,$C636),INDEX(Dataset3_Raw!$F$2:$F$391,$E636))</f>
        <v>17</v>
      </c>
      <c r="K636" s="23" t="b">
        <f>IF($C636&gt;0,INDEX(Merge_1_2!$G$2:$G$611,$C636),INDEX(Dataset3_Raw!$G$2:$G$391,$E636))</f>
        <v>0</v>
      </c>
      <c r="L636" s="23">
        <f>IF($C636&gt;0,INDEX(Merge_1_2!$H$2:$H$611,$C636),INDEX(Dataset3_Raw!$H$2:$H$391,$E636))</f>
        <v>6</v>
      </c>
      <c r="M636" s="23">
        <f>IF($C636&gt;0,INDEX(Merge_1_2!$I$2:$I$611,$C636),INDEX(Dataset3_Raw!$I$2:$I$391,$E636))</f>
        <v>1</v>
      </c>
      <c r="N636" s="25">
        <f>IF($C636&gt;0,INDEX(Merge_1_2!$J$2:$J$611,$C636),INDEX(Dataset3_Raw!$J$2:$J$391,$E636))</f>
        <v>0.24</v>
      </c>
      <c r="O636" s="25">
        <f>IF($C636&gt;0,IF(ISNUMBER(INDEX(Merge_1_2!$K$2:$K$611,$C636)),INDEX(Merge_1_2!$K$2:$K$611,$C636),""),INDEX(Dataset3_Raw!$K$2:$K$391,$E636))</f>
        <v>0.28789999999999999</v>
      </c>
      <c r="P636" s="25">
        <f>IF(ISNUMBER($O636),$O636,ROUND(Lookups!$B$25+Lookups!$B$24*$N636,4))</f>
        <v>0.28789999999999999</v>
      </c>
      <c r="Q636" s="25">
        <f>IF($C636&gt;0,INDEX(Merge_1_2!$L$2:$L$611,$C636),INDEX(Dataset3_Raw!$L$2:$L$391,$E636))</f>
        <v>0.6</v>
      </c>
      <c r="R636" s="25">
        <f>IF($C636&gt;0,INDEX(Merge_1_2!$M$2:$M$611,$C636),INDEX(Dataset3_Raw!$M$2:$M$391,$E636))</f>
        <v>0</v>
      </c>
      <c r="S636" s="23">
        <f>IF($C636&gt;0,INDEX(Merge_1_2!$N$2:$N$611,$C636),INDEX(Dataset3_Raw!$N$2:$N$391,$E636))</f>
        <v>9</v>
      </c>
      <c r="T636" s="23">
        <f>IF($C636&gt;0,INDEX(Merge_1_2!$O$2:$O$611,$C636),INDEX(Dataset3_Raw!$O$2:$O$391,$E636))</f>
        <v>82</v>
      </c>
      <c r="U636" s="23">
        <f>IF($C636&gt;0,INDEX(Merge_1_2!$P$2:$P$611,$C636),INDEX(Dataset3_Raw!$P$2:$P$391,$E636))</f>
        <v>91</v>
      </c>
      <c r="V636" s="23" t="str">
        <f t="shared" si="55"/>
        <v>Weekend</v>
      </c>
      <c r="W636" s="23" t="str">
        <f>VLOOKUP($M636,Lookups!$A$5:$B$8,2,FALSE())</f>
        <v>Clear / Partly cloudy</v>
      </c>
      <c r="X636" s="23" t="str">
        <f>VLOOKUP($G636,Lookups!$D$5:$E$8,2,FALSE())</f>
        <v>Winter</v>
      </c>
      <c r="Y636" s="23" t="str">
        <f>VLOOKUP($L636,Lookups!$G$5:$H$11,2,FALSE())</f>
        <v>Saturday</v>
      </c>
      <c r="Z636" s="23" t="str">
        <f>IF($J636&lt;Lookups!$B$26,"Night",IF($J636&lt;Lookups!$B$27,"Morning",IF($J636&lt;Lookups!$B$28,"Afternoon","Evening")))</f>
        <v>Afternoon</v>
      </c>
      <c r="AA636" s="26">
        <f>ROUND($N636*(Lookups!$B$16-Lookups!$B$15)+Lookups!$B$15,1)</f>
        <v>3.3</v>
      </c>
      <c r="AB636" s="26">
        <f>ROUND($P636*(Lookups!$B$18-Lookups!$B$17)+Lookups!$B$17,1)</f>
        <v>3</v>
      </c>
      <c r="AC636" s="23">
        <f t="shared" si="56"/>
        <v>60</v>
      </c>
      <c r="AD636" s="23">
        <f>ROUND($R636*Lookups!$B$19,1)</f>
        <v>0</v>
      </c>
      <c r="AE636" s="27">
        <f t="shared" si="57"/>
        <v>0.90109890109890112</v>
      </c>
      <c r="AF636" s="23" t="str">
        <f>IF($U636&gt;=Lookups!$B$23,"High",IF($U636&gt;=Lookups!$B$22,"Medium","Low"))</f>
        <v>High</v>
      </c>
      <c r="AG636" s="23">
        <f>ROUND(IF($V636="Weekday",IF(INDEX(Hourly_Analysis!$D$5:$D$28,$J636+1)&gt;0,($U636-INDEX(Hourly_Analysis!$C$5:$C$28,$J636+1))/INDEX(Hourly_Analysis!$D$5:$D$28,$J636+1),0),IF(INDEX(Hourly_Analysis!$G$5:$G$28,$J636+1)&gt;0,($U636-INDEX(Hourly_Analysis!$F$5:$F$28,$J636+1))/INDEX(Hourly_Analysis!$G$5:$G$28,$J636+1),0)),2)</f>
        <v>0.24</v>
      </c>
      <c r="AH636" s="23" t="str">
        <f>IF(ABS($AG636)&gt;Lookups!$B$20,IF($AG636&gt;0,"High anomaly","Low anomaly"),"")</f>
        <v/>
      </c>
      <c r="AI636" s="23" t="str">
        <f t="shared" si="58"/>
        <v>OK</v>
      </c>
      <c r="AJ636" s="23" t="str">
        <f t="shared" si="59"/>
        <v>No</v>
      </c>
    </row>
    <row r="637" spans="1:36" x14ac:dyDescent="0.35">
      <c r="A637" s="23">
        <v>636</v>
      </c>
      <c r="B637" s="23" t="str">
        <f t="shared" si="54"/>
        <v>Dataset 3</v>
      </c>
      <c r="C637" s="23">
        <f>IFERROR(MATCH($A637,Merge_1_2!$A$2:$A$611,0),0)</f>
        <v>0</v>
      </c>
      <c r="D637" s="23">
        <f>IF($C637&gt;0,INDEX(Merge_1_2!$Q$2:$Q$611,$C637),0)</f>
        <v>0</v>
      </c>
      <c r="E637" s="23">
        <f>IFERROR(MATCH($A637,Dataset3_Raw!$A$2:$A$391,0),0)</f>
        <v>26</v>
      </c>
      <c r="F637" s="24">
        <f>IF($C637&gt;0,INDEX(Merge_1_2!$B$2:$B$611,$C637),DATE(VALUE(RIGHT(INDEX(Dataset3_Raw!$B$2:$B$391,$E637),4)),VALUE(MID(INDEX(Dataset3_Raw!$B$2:$B$391,$E637),4,2)),VALUE(LEFT(INDEX(Dataset3_Raw!$B$2:$B$391,$E637),2))))</f>
        <v>40572</v>
      </c>
      <c r="G637" s="23">
        <f>IF($C637&gt;0,INDEX(Merge_1_2!$C$2:$C$611,$C637),INDEX(Dataset3_Raw!$C$2:$C$391,$E637))</f>
        <v>1</v>
      </c>
      <c r="H637" s="23">
        <f>IF($C637&gt;0,INDEX(Merge_1_2!$D$2:$D$611,$C637),INDEX(Dataset3_Raw!$D$2:$D$391,$E637))</f>
        <v>0</v>
      </c>
      <c r="I637" s="23">
        <f>IF($C637&gt;0,INDEX(Merge_1_2!$E$2:$E$611,$C637),INDEX(Dataset3_Raw!$E$2:$E$391,$E637))</f>
        <v>1</v>
      </c>
      <c r="J637" s="23">
        <f>IF($C637&gt;0,INDEX(Merge_1_2!$F$2:$F$611,$C637),INDEX(Dataset3_Raw!$F$2:$F$391,$E637))</f>
        <v>18</v>
      </c>
      <c r="K637" s="23" t="b">
        <f>IF($C637&gt;0,INDEX(Merge_1_2!$G$2:$G$611,$C637),INDEX(Dataset3_Raw!$G$2:$G$391,$E637))</f>
        <v>0</v>
      </c>
      <c r="L637" s="23">
        <f>IF($C637&gt;0,INDEX(Merge_1_2!$H$2:$H$611,$C637),INDEX(Dataset3_Raw!$H$2:$H$391,$E637))</f>
        <v>6</v>
      </c>
      <c r="M637" s="23">
        <f>IF($C637&gt;0,INDEX(Merge_1_2!$I$2:$I$611,$C637),INDEX(Dataset3_Raw!$I$2:$I$391,$E637))</f>
        <v>1</v>
      </c>
      <c r="N637" s="25">
        <f>IF($C637&gt;0,INDEX(Merge_1_2!$J$2:$J$611,$C637),INDEX(Dataset3_Raw!$J$2:$J$391,$E637))</f>
        <v>0.22</v>
      </c>
      <c r="O637" s="25">
        <f>IF($C637&gt;0,IF(ISNUMBER(INDEX(Merge_1_2!$K$2:$K$611,$C637)),INDEX(Merge_1_2!$K$2:$K$611,$C637),""),INDEX(Dataset3_Raw!$K$2:$K$391,$E637))</f>
        <v>0.2273</v>
      </c>
      <c r="P637" s="25">
        <f>IF(ISNUMBER($O637),$O637,ROUND(Lookups!$B$25+Lookups!$B$24*$N637,4))</f>
        <v>0.2273</v>
      </c>
      <c r="Q637" s="25">
        <f>IF($C637&gt;0,INDEX(Merge_1_2!$L$2:$L$611,$C637),INDEX(Dataset3_Raw!$L$2:$L$391,$E637))</f>
        <v>0.69</v>
      </c>
      <c r="R637" s="25">
        <f>IF($C637&gt;0,INDEX(Merge_1_2!$M$2:$M$611,$C637),INDEX(Dataset3_Raw!$M$2:$M$391,$E637))</f>
        <v>0.1343</v>
      </c>
      <c r="S637" s="23">
        <f>IF($C637&gt;0,INDEX(Merge_1_2!$N$2:$N$611,$C637),INDEX(Dataset3_Raw!$N$2:$N$391,$E637))</f>
        <v>9</v>
      </c>
      <c r="T637" s="23">
        <f>IF($C637&gt;0,INDEX(Merge_1_2!$O$2:$O$611,$C637),INDEX(Dataset3_Raw!$O$2:$O$391,$E637))</f>
        <v>59</v>
      </c>
      <c r="U637" s="23">
        <f>IF($C637&gt;0,INDEX(Merge_1_2!$P$2:$P$611,$C637),INDEX(Dataset3_Raw!$P$2:$P$391,$E637))</f>
        <v>68</v>
      </c>
      <c r="V637" s="23" t="str">
        <f t="shared" si="55"/>
        <v>Weekend</v>
      </c>
      <c r="W637" s="23" t="str">
        <f>VLOOKUP($M637,Lookups!$A$5:$B$8,2,FALSE())</f>
        <v>Clear / Partly cloudy</v>
      </c>
      <c r="X637" s="23" t="str">
        <f>VLOOKUP($G637,Lookups!$D$5:$E$8,2,FALSE())</f>
        <v>Winter</v>
      </c>
      <c r="Y637" s="23" t="str">
        <f>VLOOKUP($L637,Lookups!$G$5:$H$11,2,FALSE())</f>
        <v>Saturday</v>
      </c>
      <c r="Z637" s="23" t="str">
        <f>IF($J637&lt;Lookups!$B$26,"Night",IF($J637&lt;Lookups!$B$27,"Morning",IF($J637&lt;Lookups!$B$28,"Afternoon","Evening")))</f>
        <v>Evening</v>
      </c>
      <c r="AA637" s="26">
        <f>ROUND($N637*(Lookups!$B$16-Lookups!$B$15)+Lookups!$B$15,1)</f>
        <v>2.2999999999999998</v>
      </c>
      <c r="AB637" s="26">
        <f>ROUND($P637*(Lookups!$B$18-Lookups!$B$17)+Lookups!$B$17,1)</f>
        <v>-1</v>
      </c>
      <c r="AC637" s="23">
        <f t="shared" si="56"/>
        <v>69</v>
      </c>
      <c r="AD637" s="23">
        <f>ROUND($R637*Lookups!$B$19,1)</f>
        <v>9</v>
      </c>
      <c r="AE637" s="27">
        <f t="shared" si="57"/>
        <v>0.86764705882352944</v>
      </c>
      <c r="AF637" s="23" t="str">
        <f>IF($U637&gt;=Lookups!$B$23,"High",IF($U637&gt;=Lookups!$B$22,"Medium","Low"))</f>
        <v>Medium</v>
      </c>
      <c r="AG637" s="23">
        <f>ROUND(IF($V637="Weekday",IF(INDEX(Hourly_Analysis!$D$5:$D$28,$J637+1)&gt;0,($U637-INDEX(Hourly_Analysis!$C$5:$C$28,$J637+1))/INDEX(Hourly_Analysis!$D$5:$D$28,$J637+1),0),IF(INDEX(Hourly_Analysis!$G$5:$G$28,$J637+1)&gt;0,($U637-INDEX(Hourly_Analysis!$F$5:$F$28,$J637+1))/INDEX(Hourly_Analysis!$G$5:$G$28,$J637+1),0)),2)</f>
        <v>0.11</v>
      </c>
      <c r="AH637" s="23" t="str">
        <f>IF(ABS($AG637)&gt;Lookups!$B$20,IF($AG637&gt;0,"High anomaly","Low anomaly"),"")</f>
        <v/>
      </c>
      <c r="AI637" s="23" t="str">
        <f t="shared" si="58"/>
        <v>OK</v>
      </c>
      <c r="AJ637" s="23" t="str">
        <f t="shared" si="59"/>
        <v>No</v>
      </c>
    </row>
    <row r="638" spans="1:36" x14ac:dyDescent="0.35">
      <c r="A638" s="23">
        <v>637</v>
      </c>
      <c r="B638" s="23" t="str">
        <f t="shared" si="54"/>
        <v>Dataset 3</v>
      </c>
      <c r="C638" s="23">
        <f>IFERROR(MATCH($A638,Merge_1_2!$A$2:$A$611,0),0)</f>
        <v>0</v>
      </c>
      <c r="D638" s="23">
        <f>IF($C638&gt;0,INDEX(Merge_1_2!$Q$2:$Q$611,$C638),0)</f>
        <v>0</v>
      </c>
      <c r="E638" s="23">
        <f>IFERROR(MATCH($A638,Dataset3_Raw!$A$2:$A$391,0),0)</f>
        <v>27</v>
      </c>
      <c r="F638" s="24">
        <f>IF($C638&gt;0,INDEX(Merge_1_2!$B$2:$B$611,$C638),DATE(VALUE(RIGHT(INDEX(Dataset3_Raw!$B$2:$B$391,$E638),4)),VALUE(MID(INDEX(Dataset3_Raw!$B$2:$B$391,$E638),4,2)),VALUE(LEFT(INDEX(Dataset3_Raw!$B$2:$B$391,$E638),2))))</f>
        <v>40572</v>
      </c>
      <c r="G638" s="23">
        <f>IF($C638&gt;0,INDEX(Merge_1_2!$C$2:$C$611,$C638),INDEX(Dataset3_Raw!$C$2:$C$391,$E638))</f>
        <v>1</v>
      </c>
      <c r="H638" s="23">
        <f>IF($C638&gt;0,INDEX(Merge_1_2!$D$2:$D$611,$C638),INDEX(Dataset3_Raw!$D$2:$D$391,$E638))</f>
        <v>0</v>
      </c>
      <c r="I638" s="23">
        <f>IF($C638&gt;0,INDEX(Merge_1_2!$E$2:$E$611,$C638),INDEX(Dataset3_Raw!$E$2:$E$391,$E638))</f>
        <v>1</v>
      </c>
      <c r="J638" s="23">
        <f>IF($C638&gt;0,INDEX(Merge_1_2!$F$2:$F$611,$C638),INDEX(Dataset3_Raw!$F$2:$F$391,$E638))</f>
        <v>19</v>
      </c>
      <c r="K638" s="23" t="b">
        <f>IF($C638&gt;0,INDEX(Merge_1_2!$G$2:$G$611,$C638),INDEX(Dataset3_Raw!$G$2:$G$391,$E638))</f>
        <v>0</v>
      </c>
      <c r="L638" s="23">
        <f>IF($C638&gt;0,INDEX(Merge_1_2!$H$2:$H$611,$C638),INDEX(Dataset3_Raw!$H$2:$H$391,$E638))</f>
        <v>6</v>
      </c>
      <c r="M638" s="23">
        <f>IF($C638&gt;0,INDEX(Merge_1_2!$I$2:$I$611,$C638),INDEX(Dataset3_Raw!$I$2:$I$391,$E638))</f>
        <v>2</v>
      </c>
      <c r="N638" s="25">
        <f>IF($C638&gt;0,INDEX(Merge_1_2!$J$2:$J$611,$C638),INDEX(Dataset3_Raw!$J$2:$J$391,$E638))</f>
        <v>0.22</v>
      </c>
      <c r="O638" s="25">
        <f>IF($C638&gt;0,IF(ISNUMBER(INDEX(Merge_1_2!$K$2:$K$611,$C638)),INDEX(Merge_1_2!$K$2:$K$611,$C638),""),INDEX(Dataset3_Raw!$K$2:$K$391,$E638))</f>
        <v>0.21210000000000001</v>
      </c>
      <c r="P638" s="25">
        <f>IF(ISNUMBER($O638),$O638,ROUND(Lookups!$B$25+Lookups!$B$24*$N638,4))</f>
        <v>0.21210000000000001</v>
      </c>
      <c r="Q638" s="25">
        <f>IF($C638&gt;0,INDEX(Merge_1_2!$L$2:$L$611,$C638),INDEX(Dataset3_Raw!$L$2:$L$391,$E638))</f>
        <v>0.69</v>
      </c>
      <c r="R638" s="25">
        <f>IF($C638&gt;0,INDEX(Merge_1_2!$M$2:$M$611,$C638),INDEX(Dataset3_Raw!$M$2:$M$391,$E638))</f>
        <v>0.25369999999999998</v>
      </c>
      <c r="S638" s="23">
        <f>IF($C638&gt;0,INDEX(Merge_1_2!$N$2:$N$611,$C638),INDEX(Dataset3_Raw!$N$2:$N$391,$E638))</f>
        <v>6</v>
      </c>
      <c r="T638" s="23">
        <f>IF($C638&gt;0,INDEX(Merge_1_2!$O$2:$O$611,$C638),INDEX(Dataset3_Raw!$O$2:$O$391,$E638))</f>
        <v>52</v>
      </c>
      <c r="U638" s="23">
        <f>IF($C638&gt;0,INDEX(Merge_1_2!$P$2:$P$611,$C638),INDEX(Dataset3_Raw!$P$2:$P$391,$E638))</f>
        <v>58</v>
      </c>
      <c r="V638" s="23" t="str">
        <f t="shared" si="55"/>
        <v>Weekend</v>
      </c>
      <c r="W638" s="23" t="str">
        <f>VLOOKUP($M638,Lookups!$A$5:$B$8,2,FALSE())</f>
        <v>Mist / Cloudy</v>
      </c>
      <c r="X638" s="23" t="str">
        <f>VLOOKUP($G638,Lookups!$D$5:$E$8,2,FALSE())</f>
        <v>Winter</v>
      </c>
      <c r="Y638" s="23" t="str">
        <f>VLOOKUP($L638,Lookups!$G$5:$H$11,2,FALSE())</f>
        <v>Saturday</v>
      </c>
      <c r="Z638" s="23" t="str">
        <f>IF($J638&lt;Lookups!$B$26,"Night",IF($J638&lt;Lookups!$B$27,"Morning",IF($J638&lt;Lookups!$B$28,"Afternoon","Evening")))</f>
        <v>Evening</v>
      </c>
      <c r="AA638" s="26">
        <f>ROUND($N638*(Lookups!$B$16-Lookups!$B$15)+Lookups!$B$15,1)</f>
        <v>2.2999999999999998</v>
      </c>
      <c r="AB638" s="26">
        <f>ROUND($P638*(Lookups!$B$18-Lookups!$B$17)+Lookups!$B$17,1)</f>
        <v>-2</v>
      </c>
      <c r="AC638" s="23">
        <f t="shared" si="56"/>
        <v>69</v>
      </c>
      <c r="AD638" s="23">
        <f>ROUND($R638*Lookups!$B$19,1)</f>
        <v>17</v>
      </c>
      <c r="AE638" s="27">
        <f t="shared" si="57"/>
        <v>0.89655172413793105</v>
      </c>
      <c r="AF638" s="23" t="str">
        <f>IF($U638&gt;=Lookups!$B$23,"High",IF($U638&gt;=Lookups!$B$22,"Medium","Low"))</f>
        <v>Medium</v>
      </c>
      <c r="AG638" s="23">
        <f>ROUND(IF($V638="Weekday",IF(INDEX(Hourly_Analysis!$D$5:$D$28,$J638+1)&gt;0,($U638-INDEX(Hourly_Analysis!$C$5:$C$28,$J638+1))/INDEX(Hourly_Analysis!$D$5:$D$28,$J638+1),0),IF(INDEX(Hourly_Analysis!$G$5:$G$28,$J638+1)&gt;0,($U638-INDEX(Hourly_Analysis!$F$5:$F$28,$J638+1))/INDEX(Hourly_Analysis!$G$5:$G$28,$J638+1),0)),2)</f>
        <v>0.42</v>
      </c>
      <c r="AH638" s="23" t="str">
        <f>IF(ABS($AG638)&gt;Lookups!$B$20,IF($AG638&gt;0,"High anomaly","Low anomaly"),"")</f>
        <v/>
      </c>
      <c r="AI638" s="23" t="str">
        <f t="shared" si="58"/>
        <v>OK</v>
      </c>
      <c r="AJ638" s="23" t="str">
        <f t="shared" si="59"/>
        <v>No</v>
      </c>
    </row>
    <row r="639" spans="1:36" x14ac:dyDescent="0.35">
      <c r="A639" s="23">
        <v>638</v>
      </c>
      <c r="B639" s="23" t="str">
        <f t="shared" si="54"/>
        <v>Dataset 3</v>
      </c>
      <c r="C639" s="23">
        <f>IFERROR(MATCH($A639,Merge_1_2!$A$2:$A$611,0),0)</f>
        <v>0</v>
      </c>
      <c r="D639" s="23">
        <f>IF($C639&gt;0,INDEX(Merge_1_2!$Q$2:$Q$611,$C639),0)</f>
        <v>0</v>
      </c>
      <c r="E639" s="23">
        <f>IFERROR(MATCH($A639,Dataset3_Raw!$A$2:$A$391,0),0)</f>
        <v>28</v>
      </c>
      <c r="F639" s="24">
        <f>IF($C639&gt;0,INDEX(Merge_1_2!$B$2:$B$611,$C639),DATE(VALUE(RIGHT(INDEX(Dataset3_Raw!$B$2:$B$391,$E639),4)),VALUE(MID(INDEX(Dataset3_Raw!$B$2:$B$391,$E639),4,2)),VALUE(LEFT(INDEX(Dataset3_Raw!$B$2:$B$391,$E639),2))))</f>
        <v>40572</v>
      </c>
      <c r="G639" s="23">
        <f>IF($C639&gt;0,INDEX(Merge_1_2!$C$2:$C$611,$C639),INDEX(Dataset3_Raw!$C$2:$C$391,$E639))</f>
        <v>1</v>
      </c>
      <c r="H639" s="23">
        <f>IF($C639&gt;0,INDEX(Merge_1_2!$D$2:$D$611,$C639),INDEX(Dataset3_Raw!$D$2:$D$391,$E639))</f>
        <v>0</v>
      </c>
      <c r="I639" s="23">
        <f>IF($C639&gt;0,INDEX(Merge_1_2!$E$2:$E$611,$C639),INDEX(Dataset3_Raw!$E$2:$E$391,$E639))</f>
        <v>1</v>
      </c>
      <c r="J639" s="23">
        <f>IF($C639&gt;0,INDEX(Merge_1_2!$F$2:$F$611,$C639),INDEX(Dataset3_Raw!$F$2:$F$391,$E639))</f>
        <v>20</v>
      </c>
      <c r="K639" s="23" t="b">
        <f>IF($C639&gt;0,INDEX(Merge_1_2!$G$2:$G$611,$C639),INDEX(Dataset3_Raw!$G$2:$G$391,$E639))</f>
        <v>0</v>
      </c>
      <c r="L639" s="23">
        <f>IF($C639&gt;0,INDEX(Merge_1_2!$H$2:$H$611,$C639),INDEX(Dataset3_Raw!$H$2:$H$391,$E639))</f>
        <v>6</v>
      </c>
      <c r="M639" s="23">
        <f>IF($C639&gt;0,INDEX(Merge_1_2!$I$2:$I$611,$C639),INDEX(Dataset3_Raw!$I$2:$I$391,$E639))</f>
        <v>1</v>
      </c>
      <c r="N639" s="25">
        <f>IF($C639&gt;0,INDEX(Merge_1_2!$J$2:$J$611,$C639),INDEX(Dataset3_Raw!$J$2:$J$391,$E639))</f>
        <v>0.18</v>
      </c>
      <c r="O639" s="25">
        <f>IF($C639&gt;0,IF(ISNUMBER(INDEX(Merge_1_2!$K$2:$K$611,$C639)),INDEX(Merge_1_2!$K$2:$K$611,$C639),""),INDEX(Dataset3_Raw!$K$2:$K$391,$E639))</f>
        <v>0.21210000000000001</v>
      </c>
      <c r="P639" s="25">
        <f>IF(ISNUMBER($O639),$O639,ROUND(Lookups!$B$25+Lookups!$B$24*$N639,4))</f>
        <v>0.21210000000000001</v>
      </c>
      <c r="Q639" s="25">
        <f>IF($C639&gt;0,INDEX(Merge_1_2!$L$2:$L$611,$C639),INDEX(Dataset3_Raw!$L$2:$L$391,$E639))</f>
        <v>0.74</v>
      </c>
      <c r="R639" s="25">
        <f>IF($C639&gt;0,INDEX(Merge_1_2!$M$2:$M$611,$C639),INDEX(Dataset3_Raw!$M$2:$M$391,$E639))</f>
        <v>8.9599999999999999E-2</v>
      </c>
      <c r="S639" s="23">
        <f>IF($C639&gt;0,INDEX(Merge_1_2!$N$2:$N$611,$C639),INDEX(Dataset3_Raw!$N$2:$N$391,$E639))</f>
        <v>1</v>
      </c>
      <c r="T639" s="23">
        <f>IF($C639&gt;0,INDEX(Merge_1_2!$O$2:$O$611,$C639),INDEX(Dataset3_Raw!$O$2:$O$391,$E639))</f>
        <v>42</v>
      </c>
      <c r="U639" s="23">
        <f>IF($C639&gt;0,INDEX(Merge_1_2!$P$2:$P$611,$C639),INDEX(Dataset3_Raw!$P$2:$P$391,$E639))</f>
        <v>43</v>
      </c>
      <c r="V639" s="23" t="str">
        <f t="shared" si="55"/>
        <v>Weekend</v>
      </c>
      <c r="W639" s="23" t="str">
        <f>VLOOKUP($M639,Lookups!$A$5:$B$8,2,FALSE())</f>
        <v>Clear / Partly cloudy</v>
      </c>
      <c r="X639" s="23" t="str">
        <f>VLOOKUP($G639,Lookups!$D$5:$E$8,2,FALSE())</f>
        <v>Winter</v>
      </c>
      <c r="Y639" s="23" t="str">
        <f>VLOOKUP($L639,Lookups!$G$5:$H$11,2,FALSE())</f>
        <v>Saturday</v>
      </c>
      <c r="Z639" s="23" t="str">
        <f>IF($J639&lt;Lookups!$B$26,"Night",IF($J639&lt;Lookups!$B$27,"Morning",IF($J639&lt;Lookups!$B$28,"Afternoon","Evening")))</f>
        <v>Evening</v>
      </c>
      <c r="AA639" s="26">
        <f>ROUND($N639*(Lookups!$B$16-Lookups!$B$15)+Lookups!$B$15,1)</f>
        <v>0.5</v>
      </c>
      <c r="AB639" s="26">
        <f>ROUND($P639*(Lookups!$B$18-Lookups!$B$17)+Lookups!$B$17,1)</f>
        <v>-2</v>
      </c>
      <c r="AC639" s="23">
        <f t="shared" si="56"/>
        <v>74</v>
      </c>
      <c r="AD639" s="23">
        <f>ROUND($R639*Lookups!$B$19,1)</f>
        <v>6</v>
      </c>
      <c r="AE639" s="27">
        <f t="shared" si="57"/>
        <v>0.97674418604651159</v>
      </c>
      <c r="AF639" s="23" t="str">
        <f>IF($U639&gt;=Lookups!$B$23,"High",IF($U639&gt;=Lookups!$B$22,"Medium","Low"))</f>
        <v>Medium</v>
      </c>
      <c r="AG639" s="23">
        <f>ROUND(IF($V639="Weekday",IF(INDEX(Hourly_Analysis!$D$5:$D$28,$J639+1)&gt;0,($U639-INDEX(Hourly_Analysis!$C$5:$C$28,$J639+1))/INDEX(Hourly_Analysis!$D$5:$D$28,$J639+1),0),IF(INDEX(Hourly_Analysis!$G$5:$G$28,$J639+1)&gt;0,($U639-INDEX(Hourly_Analysis!$F$5:$F$28,$J639+1))/INDEX(Hourly_Analysis!$G$5:$G$28,$J639+1),0)),2)</f>
        <v>0.28999999999999998</v>
      </c>
      <c r="AH639" s="23" t="str">
        <f>IF(ABS($AG639)&gt;Lookups!$B$20,IF($AG639&gt;0,"High anomaly","Low anomaly"),"")</f>
        <v/>
      </c>
      <c r="AI639" s="23" t="str">
        <f t="shared" si="58"/>
        <v>OK</v>
      </c>
      <c r="AJ639" s="23" t="str">
        <f t="shared" si="59"/>
        <v>No</v>
      </c>
    </row>
    <row r="640" spans="1:36" x14ac:dyDescent="0.35">
      <c r="A640" s="23">
        <v>639</v>
      </c>
      <c r="B640" s="23" t="str">
        <f t="shared" si="54"/>
        <v>Dataset 3</v>
      </c>
      <c r="C640" s="23">
        <f>IFERROR(MATCH($A640,Merge_1_2!$A$2:$A$611,0),0)</f>
        <v>0</v>
      </c>
      <c r="D640" s="23">
        <f>IF($C640&gt;0,INDEX(Merge_1_2!$Q$2:$Q$611,$C640),0)</f>
        <v>0</v>
      </c>
      <c r="E640" s="23">
        <f>IFERROR(MATCH($A640,Dataset3_Raw!$A$2:$A$391,0),0)</f>
        <v>29</v>
      </c>
      <c r="F640" s="24">
        <f>IF($C640&gt;0,INDEX(Merge_1_2!$B$2:$B$611,$C640),DATE(VALUE(RIGHT(INDEX(Dataset3_Raw!$B$2:$B$391,$E640),4)),VALUE(MID(INDEX(Dataset3_Raw!$B$2:$B$391,$E640),4,2)),VALUE(LEFT(INDEX(Dataset3_Raw!$B$2:$B$391,$E640),2))))</f>
        <v>40572</v>
      </c>
      <c r="G640" s="23">
        <f>IF($C640&gt;0,INDEX(Merge_1_2!$C$2:$C$611,$C640),INDEX(Dataset3_Raw!$C$2:$C$391,$E640))</f>
        <v>1</v>
      </c>
      <c r="H640" s="23">
        <f>IF($C640&gt;0,INDEX(Merge_1_2!$D$2:$D$611,$C640),INDEX(Dataset3_Raw!$D$2:$D$391,$E640))</f>
        <v>0</v>
      </c>
      <c r="I640" s="23">
        <f>IF($C640&gt;0,INDEX(Merge_1_2!$E$2:$E$611,$C640),INDEX(Dataset3_Raw!$E$2:$E$391,$E640))</f>
        <v>1</v>
      </c>
      <c r="J640" s="23">
        <f>IF($C640&gt;0,INDEX(Merge_1_2!$F$2:$F$611,$C640),INDEX(Dataset3_Raw!$F$2:$F$391,$E640))</f>
        <v>21</v>
      </c>
      <c r="K640" s="23" t="b">
        <f>IF($C640&gt;0,INDEX(Merge_1_2!$G$2:$G$611,$C640),INDEX(Dataset3_Raw!$G$2:$G$391,$E640))</f>
        <v>0</v>
      </c>
      <c r="L640" s="23">
        <f>IF($C640&gt;0,INDEX(Merge_1_2!$H$2:$H$611,$C640),INDEX(Dataset3_Raw!$H$2:$H$391,$E640))</f>
        <v>6</v>
      </c>
      <c r="M640" s="23">
        <f>IF($C640&gt;0,INDEX(Merge_1_2!$I$2:$I$611,$C640),INDEX(Dataset3_Raw!$I$2:$I$391,$E640))</f>
        <v>1</v>
      </c>
      <c r="N640" s="25">
        <f>IF($C640&gt;0,INDEX(Merge_1_2!$J$2:$J$611,$C640),INDEX(Dataset3_Raw!$J$2:$J$391,$E640))</f>
        <v>0.18</v>
      </c>
      <c r="O640" s="25">
        <f>IF($C640&gt;0,IF(ISNUMBER(INDEX(Merge_1_2!$K$2:$K$611,$C640)),INDEX(Merge_1_2!$K$2:$K$611,$C640),""),INDEX(Dataset3_Raw!$K$2:$K$391,$E640))</f>
        <v>0.21210000000000001</v>
      </c>
      <c r="P640" s="25">
        <f>IF(ISNUMBER($O640),$O640,ROUND(Lookups!$B$25+Lookups!$B$24*$N640,4))</f>
        <v>0.21210000000000001</v>
      </c>
      <c r="Q640" s="25">
        <f>IF($C640&gt;0,INDEX(Merge_1_2!$L$2:$L$611,$C640),INDEX(Dataset3_Raw!$L$2:$L$391,$E640))</f>
        <v>0.74</v>
      </c>
      <c r="R640" s="25">
        <f>IF($C640&gt;0,INDEX(Merge_1_2!$M$2:$M$611,$C640),INDEX(Dataset3_Raw!$M$2:$M$391,$E640))</f>
        <v>8.9599999999999999E-2</v>
      </c>
      <c r="S640" s="23">
        <f>IF($C640&gt;0,INDEX(Merge_1_2!$N$2:$N$611,$C640),INDEX(Dataset3_Raw!$N$2:$N$391,$E640))</f>
        <v>1</v>
      </c>
      <c r="T640" s="23">
        <f>IF($C640&gt;0,INDEX(Merge_1_2!$O$2:$O$611,$C640),INDEX(Dataset3_Raw!$O$2:$O$391,$E640))</f>
        <v>35</v>
      </c>
      <c r="U640" s="23">
        <f>IF($C640&gt;0,INDEX(Merge_1_2!$P$2:$P$611,$C640),INDEX(Dataset3_Raw!$P$2:$P$391,$E640))</f>
        <v>36</v>
      </c>
      <c r="V640" s="23" t="str">
        <f t="shared" si="55"/>
        <v>Weekend</v>
      </c>
      <c r="W640" s="23" t="str">
        <f>VLOOKUP($M640,Lookups!$A$5:$B$8,2,FALSE())</f>
        <v>Clear / Partly cloudy</v>
      </c>
      <c r="X640" s="23" t="str">
        <f>VLOOKUP($G640,Lookups!$D$5:$E$8,2,FALSE())</f>
        <v>Winter</v>
      </c>
      <c r="Y640" s="23" t="str">
        <f>VLOOKUP($L640,Lookups!$G$5:$H$11,2,FALSE())</f>
        <v>Saturday</v>
      </c>
      <c r="Z640" s="23" t="str">
        <f>IF($J640&lt;Lookups!$B$26,"Night",IF($J640&lt;Lookups!$B$27,"Morning",IF($J640&lt;Lookups!$B$28,"Afternoon","Evening")))</f>
        <v>Evening</v>
      </c>
      <c r="AA640" s="26">
        <f>ROUND($N640*(Lookups!$B$16-Lookups!$B$15)+Lookups!$B$15,1)</f>
        <v>0.5</v>
      </c>
      <c r="AB640" s="26">
        <f>ROUND($P640*(Lookups!$B$18-Lookups!$B$17)+Lookups!$B$17,1)</f>
        <v>-2</v>
      </c>
      <c r="AC640" s="23">
        <f t="shared" si="56"/>
        <v>74</v>
      </c>
      <c r="AD640" s="23">
        <f>ROUND($R640*Lookups!$B$19,1)</f>
        <v>6</v>
      </c>
      <c r="AE640" s="27">
        <f t="shared" si="57"/>
        <v>0.97222222222222221</v>
      </c>
      <c r="AF640" s="23" t="str">
        <f>IF($U640&gt;=Lookups!$B$23,"High",IF($U640&gt;=Lookups!$B$22,"Medium","Low"))</f>
        <v>Medium</v>
      </c>
      <c r="AG640" s="23">
        <f>ROUND(IF($V640="Weekday",IF(INDEX(Hourly_Analysis!$D$5:$D$28,$J640+1)&gt;0,($U640-INDEX(Hourly_Analysis!$C$5:$C$28,$J640+1))/INDEX(Hourly_Analysis!$D$5:$D$28,$J640+1),0),IF(INDEX(Hourly_Analysis!$G$5:$G$28,$J640+1)&gt;0,($U640-INDEX(Hourly_Analysis!$F$5:$F$28,$J640+1))/INDEX(Hourly_Analysis!$G$5:$G$28,$J640+1),0)),2)</f>
        <v>-0.04</v>
      </c>
      <c r="AH640" s="23" t="str">
        <f>IF(ABS($AG640)&gt;Lookups!$B$20,IF($AG640&gt;0,"High anomaly","Low anomaly"),"")</f>
        <v/>
      </c>
      <c r="AI640" s="23" t="str">
        <f t="shared" si="58"/>
        <v>OK</v>
      </c>
      <c r="AJ640" s="23" t="str">
        <f t="shared" si="59"/>
        <v>No</v>
      </c>
    </row>
    <row r="641" spans="1:36" x14ac:dyDescent="0.35">
      <c r="A641" s="23">
        <v>640</v>
      </c>
      <c r="B641" s="23" t="str">
        <f t="shared" si="54"/>
        <v>Dataset 3</v>
      </c>
      <c r="C641" s="23">
        <f>IFERROR(MATCH($A641,Merge_1_2!$A$2:$A$611,0),0)</f>
        <v>0</v>
      </c>
      <c r="D641" s="23">
        <f>IF($C641&gt;0,INDEX(Merge_1_2!$Q$2:$Q$611,$C641),0)</f>
        <v>0</v>
      </c>
      <c r="E641" s="23">
        <f>IFERROR(MATCH($A641,Dataset3_Raw!$A$2:$A$391,0),0)</f>
        <v>30</v>
      </c>
      <c r="F641" s="24">
        <f>IF($C641&gt;0,INDEX(Merge_1_2!$B$2:$B$611,$C641),DATE(VALUE(RIGHT(INDEX(Dataset3_Raw!$B$2:$B$391,$E641),4)),VALUE(MID(INDEX(Dataset3_Raw!$B$2:$B$391,$E641),4,2)),VALUE(LEFT(INDEX(Dataset3_Raw!$B$2:$B$391,$E641),2))))</f>
        <v>40572</v>
      </c>
      <c r="G641" s="23">
        <f>IF($C641&gt;0,INDEX(Merge_1_2!$C$2:$C$611,$C641),INDEX(Dataset3_Raw!$C$2:$C$391,$E641))</f>
        <v>1</v>
      </c>
      <c r="H641" s="23">
        <f>IF($C641&gt;0,INDEX(Merge_1_2!$D$2:$D$611,$C641),INDEX(Dataset3_Raw!$D$2:$D$391,$E641))</f>
        <v>0</v>
      </c>
      <c r="I641" s="23">
        <f>IF($C641&gt;0,INDEX(Merge_1_2!$E$2:$E$611,$C641),INDEX(Dataset3_Raw!$E$2:$E$391,$E641))</f>
        <v>1</v>
      </c>
      <c r="J641" s="23">
        <f>IF($C641&gt;0,INDEX(Merge_1_2!$F$2:$F$611,$C641),INDEX(Dataset3_Raw!$F$2:$F$391,$E641))</f>
        <v>22</v>
      </c>
      <c r="K641" s="23" t="b">
        <f>IF($C641&gt;0,INDEX(Merge_1_2!$G$2:$G$611,$C641),INDEX(Dataset3_Raw!$G$2:$G$391,$E641))</f>
        <v>0</v>
      </c>
      <c r="L641" s="23">
        <f>IF($C641&gt;0,INDEX(Merge_1_2!$H$2:$H$611,$C641),INDEX(Dataset3_Raw!$H$2:$H$391,$E641))</f>
        <v>6</v>
      </c>
      <c r="M641" s="23">
        <f>IF($C641&gt;0,INDEX(Merge_1_2!$I$2:$I$611,$C641),INDEX(Dataset3_Raw!$I$2:$I$391,$E641))</f>
        <v>1</v>
      </c>
      <c r="N641" s="25">
        <f>IF($C641&gt;0,INDEX(Merge_1_2!$J$2:$J$611,$C641),INDEX(Dataset3_Raw!$J$2:$J$391,$E641))</f>
        <v>0.16</v>
      </c>
      <c r="O641" s="25">
        <f>IF($C641&gt;0,IF(ISNUMBER(INDEX(Merge_1_2!$K$2:$K$611,$C641)),INDEX(Merge_1_2!$K$2:$K$611,$C641),""),INDEX(Dataset3_Raw!$K$2:$K$391,$E641))</f>
        <v>0.19700000000000001</v>
      </c>
      <c r="P641" s="25">
        <f>IF(ISNUMBER($O641),$O641,ROUND(Lookups!$B$25+Lookups!$B$24*$N641,4))</f>
        <v>0.19700000000000001</v>
      </c>
      <c r="Q641" s="25">
        <f>IF($C641&gt;0,INDEX(Merge_1_2!$L$2:$L$611,$C641),INDEX(Dataset3_Raw!$L$2:$L$391,$E641))</f>
        <v>0.8</v>
      </c>
      <c r="R641" s="25">
        <f>IF($C641&gt;0,INDEX(Merge_1_2!$M$2:$M$611,$C641),INDEX(Dataset3_Raw!$M$2:$M$391,$E641))</f>
        <v>8.9599999999999999E-2</v>
      </c>
      <c r="S641" s="23">
        <f>IF($C641&gt;0,INDEX(Merge_1_2!$N$2:$N$611,$C641),INDEX(Dataset3_Raw!$N$2:$N$391,$E641))</f>
        <v>4</v>
      </c>
      <c r="T641" s="23">
        <f>IF($C641&gt;0,INDEX(Merge_1_2!$O$2:$O$611,$C641),INDEX(Dataset3_Raw!$O$2:$O$391,$E641))</f>
        <v>28</v>
      </c>
      <c r="U641" s="23">
        <f>IF($C641&gt;0,INDEX(Merge_1_2!$P$2:$P$611,$C641),INDEX(Dataset3_Raw!$P$2:$P$391,$E641))</f>
        <v>32</v>
      </c>
      <c r="V641" s="23" t="str">
        <f t="shared" si="55"/>
        <v>Weekend</v>
      </c>
      <c r="W641" s="23" t="str">
        <f>VLOOKUP($M641,Lookups!$A$5:$B$8,2,FALSE())</f>
        <v>Clear / Partly cloudy</v>
      </c>
      <c r="X641" s="23" t="str">
        <f>VLOOKUP($G641,Lookups!$D$5:$E$8,2,FALSE())</f>
        <v>Winter</v>
      </c>
      <c r="Y641" s="23" t="str">
        <f>VLOOKUP($L641,Lookups!$G$5:$H$11,2,FALSE())</f>
        <v>Saturday</v>
      </c>
      <c r="Z641" s="23" t="str">
        <f>IF($J641&lt;Lookups!$B$26,"Night",IF($J641&lt;Lookups!$B$27,"Morning",IF($J641&lt;Lookups!$B$28,"Afternoon","Evening")))</f>
        <v>Evening</v>
      </c>
      <c r="AA641" s="26">
        <f>ROUND($N641*(Lookups!$B$16-Lookups!$B$15)+Lookups!$B$15,1)</f>
        <v>-0.5</v>
      </c>
      <c r="AB641" s="26">
        <f>ROUND($P641*(Lookups!$B$18-Lookups!$B$17)+Lookups!$B$17,1)</f>
        <v>-3</v>
      </c>
      <c r="AC641" s="23">
        <f t="shared" si="56"/>
        <v>80</v>
      </c>
      <c r="AD641" s="23">
        <f>ROUND($R641*Lookups!$B$19,1)</f>
        <v>6</v>
      </c>
      <c r="AE641" s="27">
        <f t="shared" si="57"/>
        <v>0.875</v>
      </c>
      <c r="AF641" s="23" t="str">
        <f>IF($U641&gt;=Lookups!$B$23,"High",IF($U641&gt;=Lookups!$B$22,"Medium","Low"))</f>
        <v>Medium</v>
      </c>
      <c r="AG641" s="23">
        <f>ROUND(IF($V641="Weekday",IF(INDEX(Hourly_Analysis!$D$5:$D$28,$J641+1)&gt;0,($U641-INDEX(Hourly_Analysis!$C$5:$C$28,$J641+1))/INDEX(Hourly_Analysis!$D$5:$D$28,$J641+1),0),IF(INDEX(Hourly_Analysis!$G$5:$G$28,$J641+1)&gt;0,($U641-INDEX(Hourly_Analysis!$F$5:$F$28,$J641+1))/INDEX(Hourly_Analysis!$G$5:$G$28,$J641+1),0)),2)</f>
        <v>0.17</v>
      </c>
      <c r="AH641" s="23" t="str">
        <f>IF(ABS($AG641)&gt;Lookups!$B$20,IF($AG641&gt;0,"High anomaly","Low anomaly"),"")</f>
        <v/>
      </c>
      <c r="AI641" s="23" t="str">
        <f t="shared" si="58"/>
        <v>OK</v>
      </c>
      <c r="AJ641" s="23" t="str">
        <f t="shared" si="59"/>
        <v>No</v>
      </c>
    </row>
    <row r="642" spans="1:36" x14ac:dyDescent="0.35">
      <c r="A642" s="23">
        <v>641</v>
      </c>
      <c r="B642" s="23" t="str">
        <f t="shared" ref="B642:B705" si="60">IF($C642&gt;0,"Merge 1+2","Dataset 3")</f>
        <v>Dataset 3</v>
      </c>
      <c r="C642" s="23">
        <f>IFERROR(MATCH($A642,Merge_1_2!$A$2:$A$611,0),0)</f>
        <v>0</v>
      </c>
      <c r="D642" s="23">
        <f>IF($C642&gt;0,INDEX(Merge_1_2!$Q$2:$Q$611,$C642),0)</f>
        <v>0</v>
      </c>
      <c r="E642" s="23">
        <f>IFERROR(MATCH($A642,Dataset3_Raw!$A$2:$A$391,0),0)</f>
        <v>31</v>
      </c>
      <c r="F642" s="24">
        <f>IF($C642&gt;0,INDEX(Merge_1_2!$B$2:$B$611,$C642),DATE(VALUE(RIGHT(INDEX(Dataset3_Raw!$B$2:$B$391,$E642),4)),VALUE(MID(INDEX(Dataset3_Raw!$B$2:$B$391,$E642),4,2)),VALUE(LEFT(INDEX(Dataset3_Raw!$B$2:$B$391,$E642),2))))</f>
        <v>40572</v>
      </c>
      <c r="G642" s="23">
        <f>IF($C642&gt;0,INDEX(Merge_1_2!$C$2:$C$611,$C642),INDEX(Dataset3_Raw!$C$2:$C$391,$E642))</f>
        <v>1</v>
      </c>
      <c r="H642" s="23">
        <f>IF($C642&gt;0,INDEX(Merge_1_2!$D$2:$D$611,$C642),INDEX(Dataset3_Raw!$D$2:$D$391,$E642))</f>
        <v>0</v>
      </c>
      <c r="I642" s="23">
        <f>IF($C642&gt;0,INDEX(Merge_1_2!$E$2:$E$611,$C642),INDEX(Dataset3_Raw!$E$2:$E$391,$E642))</f>
        <v>1</v>
      </c>
      <c r="J642" s="23">
        <f>IF($C642&gt;0,INDEX(Merge_1_2!$F$2:$F$611,$C642),INDEX(Dataset3_Raw!$F$2:$F$391,$E642))</f>
        <v>23</v>
      </c>
      <c r="K642" s="23" t="b">
        <f>IF($C642&gt;0,INDEX(Merge_1_2!$G$2:$G$611,$C642),INDEX(Dataset3_Raw!$G$2:$G$391,$E642))</f>
        <v>0</v>
      </c>
      <c r="L642" s="23">
        <f>IF($C642&gt;0,INDEX(Merge_1_2!$H$2:$H$611,$C642),INDEX(Dataset3_Raw!$H$2:$H$391,$E642))</f>
        <v>6</v>
      </c>
      <c r="M642" s="23">
        <f>IF($C642&gt;0,INDEX(Merge_1_2!$I$2:$I$611,$C642),INDEX(Dataset3_Raw!$I$2:$I$391,$E642))</f>
        <v>1</v>
      </c>
      <c r="N642" s="25">
        <f>IF($C642&gt;0,INDEX(Merge_1_2!$J$2:$J$611,$C642),INDEX(Dataset3_Raw!$J$2:$J$391,$E642))</f>
        <v>0.16</v>
      </c>
      <c r="O642" s="25">
        <f>IF($C642&gt;0,IF(ISNUMBER(INDEX(Merge_1_2!$K$2:$K$611,$C642)),INDEX(Merge_1_2!$K$2:$K$611,$C642),""),INDEX(Dataset3_Raw!$K$2:$K$391,$E642))</f>
        <v>0.19700000000000001</v>
      </c>
      <c r="P642" s="25">
        <f>IF(ISNUMBER($O642),$O642,ROUND(Lookups!$B$25+Lookups!$B$24*$N642,4))</f>
        <v>0.19700000000000001</v>
      </c>
      <c r="Q642" s="25">
        <f>IF($C642&gt;0,INDEX(Merge_1_2!$L$2:$L$611,$C642),INDEX(Dataset3_Raw!$L$2:$L$391,$E642))</f>
        <v>0.8</v>
      </c>
      <c r="R642" s="25">
        <f>IF($C642&gt;0,INDEX(Merge_1_2!$M$2:$M$611,$C642),INDEX(Dataset3_Raw!$M$2:$M$391,$E642))</f>
        <v>8.9599999999999999E-2</v>
      </c>
      <c r="S642" s="23">
        <f>IF($C642&gt;0,INDEX(Merge_1_2!$N$2:$N$611,$C642),INDEX(Dataset3_Raw!$N$2:$N$391,$E642))</f>
        <v>3</v>
      </c>
      <c r="T642" s="23">
        <f>IF($C642&gt;0,INDEX(Merge_1_2!$O$2:$O$611,$C642),INDEX(Dataset3_Raw!$O$2:$O$391,$E642))</f>
        <v>30</v>
      </c>
      <c r="U642" s="23">
        <f>IF($C642&gt;0,INDEX(Merge_1_2!$P$2:$P$611,$C642),INDEX(Dataset3_Raw!$P$2:$P$391,$E642))</f>
        <v>33</v>
      </c>
      <c r="V642" s="23" t="str">
        <f t="shared" ref="V642:V705" si="61">IF($K642,"Holiday",IF(OR($L642=0,$L642=6),"Weekend","Weekday"))</f>
        <v>Weekend</v>
      </c>
      <c r="W642" s="23" t="str">
        <f>VLOOKUP($M642,Lookups!$A$5:$B$8,2,FALSE())</f>
        <v>Clear / Partly cloudy</v>
      </c>
      <c r="X642" s="23" t="str">
        <f>VLOOKUP($G642,Lookups!$D$5:$E$8,2,FALSE())</f>
        <v>Winter</v>
      </c>
      <c r="Y642" s="23" t="str">
        <f>VLOOKUP($L642,Lookups!$G$5:$H$11,2,FALSE())</f>
        <v>Saturday</v>
      </c>
      <c r="Z642" s="23" t="str">
        <f>IF($J642&lt;Lookups!$B$26,"Night",IF($J642&lt;Lookups!$B$27,"Morning",IF($J642&lt;Lookups!$B$28,"Afternoon","Evening")))</f>
        <v>Evening</v>
      </c>
      <c r="AA642" s="26">
        <f>ROUND($N642*(Lookups!$B$16-Lookups!$B$15)+Lookups!$B$15,1)</f>
        <v>-0.5</v>
      </c>
      <c r="AB642" s="26">
        <f>ROUND($P642*(Lookups!$B$18-Lookups!$B$17)+Lookups!$B$17,1)</f>
        <v>-3</v>
      </c>
      <c r="AC642" s="23">
        <f t="shared" ref="AC642:AC705" si="62">ROUND($Q642*100,0)</f>
        <v>80</v>
      </c>
      <c r="AD642" s="23">
        <f>ROUND($R642*Lookups!$B$19,1)</f>
        <v>6</v>
      </c>
      <c r="AE642" s="27">
        <f t="shared" ref="AE642:AE705" si="63">IF($U642&gt;0,$T642/$U642,0)</f>
        <v>0.90909090909090906</v>
      </c>
      <c r="AF642" s="23" t="str">
        <f>IF($U642&gt;=Lookups!$B$23,"High",IF($U642&gt;=Lookups!$B$22,"Medium","Low"))</f>
        <v>Medium</v>
      </c>
      <c r="AG642" s="23">
        <f>ROUND(IF($V642="Weekday",IF(INDEX(Hourly_Analysis!$D$5:$D$28,$J642+1)&gt;0,($U642-INDEX(Hourly_Analysis!$C$5:$C$28,$J642+1))/INDEX(Hourly_Analysis!$D$5:$D$28,$J642+1),0),IF(INDEX(Hourly_Analysis!$G$5:$G$28,$J642+1)&gt;0,($U642-INDEX(Hourly_Analysis!$F$5:$F$28,$J642+1))/INDEX(Hourly_Analysis!$G$5:$G$28,$J642+1),0)),2)</f>
        <v>0.43</v>
      </c>
      <c r="AH642" s="23" t="str">
        <f>IF(ABS($AG642)&gt;Lookups!$B$20,IF($AG642&gt;0,"High anomaly","Low anomaly"),"")</f>
        <v/>
      </c>
      <c r="AI642" s="23" t="str">
        <f t="shared" ref="AI642:AI705" si="64">IF($S642+$T642=$U642,"OK","Mismatch")</f>
        <v>OK</v>
      </c>
      <c r="AJ642" s="23" t="str">
        <f t="shared" ref="AJ642:AJ705" si="65">IF(ISNUMBER($O642),"No","Yes")</f>
        <v>No</v>
      </c>
    </row>
    <row r="643" spans="1:36" x14ac:dyDescent="0.35">
      <c r="A643" s="23">
        <v>642</v>
      </c>
      <c r="B643" s="23" t="str">
        <f t="shared" si="60"/>
        <v>Dataset 3</v>
      </c>
      <c r="C643" s="23">
        <f>IFERROR(MATCH($A643,Merge_1_2!$A$2:$A$611,0),0)</f>
        <v>0</v>
      </c>
      <c r="D643" s="23">
        <f>IF($C643&gt;0,INDEX(Merge_1_2!$Q$2:$Q$611,$C643),0)</f>
        <v>0</v>
      </c>
      <c r="E643" s="23">
        <f>IFERROR(MATCH($A643,Dataset3_Raw!$A$2:$A$391,0),0)</f>
        <v>32</v>
      </c>
      <c r="F643" s="24">
        <f>IF($C643&gt;0,INDEX(Merge_1_2!$B$2:$B$611,$C643),DATE(VALUE(RIGHT(INDEX(Dataset3_Raw!$B$2:$B$391,$E643),4)),VALUE(MID(INDEX(Dataset3_Raw!$B$2:$B$391,$E643),4,2)),VALUE(LEFT(INDEX(Dataset3_Raw!$B$2:$B$391,$E643),2))))</f>
        <v>40573</v>
      </c>
      <c r="G643" s="23">
        <f>IF($C643&gt;0,INDEX(Merge_1_2!$C$2:$C$611,$C643),INDEX(Dataset3_Raw!$C$2:$C$391,$E643))</f>
        <v>1</v>
      </c>
      <c r="H643" s="23">
        <f>IF($C643&gt;0,INDEX(Merge_1_2!$D$2:$D$611,$C643),INDEX(Dataset3_Raw!$D$2:$D$391,$E643))</f>
        <v>0</v>
      </c>
      <c r="I643" s="23">
        <f>IF($C643&gt;0,INDEX(Merge_1_2!$E$2:$E$611,$C643),INDEX(Dataset3_Raw!$E$2:$E$391,$E643))</f>
        <v>1</v>
      </c>
      <c r="J643" s="23">
        <f>IF($C643&gt;0,INDEX(Merge_1_2!$F$2:$F$611,$C643),INDEX(Dataset3_Raw!$F$2:$F$391,$E643))</f>
        <v>0</v>
      </c>
      <c r="K643" s="23" t="b">
        <f>IF($C643&gt;0,INDEX(Merge_1_2!$G$2:$G$611,$C643),INDEX(Dataset3_Raw!$G$2:$G$391,$E643))</f>
        <v>0</v>
      </c>
      <c r="L643" s="23">
        <f>IF($C643&gt;0,INDEX(Merge_1_2!$H$2:$H$611,$C643),INDEX(Dataset3_Raw!$H$2:$H$391,$E643))</f>
        <v>0</v>
      </c>
      <c r="M643" s="23">
        <f>IF($C643&gt;0,INDEX(Merge_1_2!$I$2:$I$611,$C643),INDEX(Dataset3_Raw!$I$2:$I$391,$E643))</f>
        <v>1</v>
      </c>
      <c r="N643" s="25">
        <f>IF($C643&gt;0,INDEX(Merge_1_2!$J$2:$J$611,$C643),INDEX(Dataset3_Raw!$J$2:$J$391,$E643))</f>
        <v>0.16</v>
      </c>
      <c r="O643" s="25">
        <f>IF($C643&gt;0,IF(ISNUMBER(INDEX(Merge_1_2!$K$2:$K$611,$C643)),INDEX(Merge_1_2!$K$2:$K$611,$C643),""),INDEX(Dataset3_Raw!$K$2:$K$391,$E643))</f>
        <v>0.18179999999999999</v>
      </c>
      <c r="P643" s="25">
        <f>IF(ISNUMBER($O643),$O643,ROUND(Lookups!$B$25+Lookups!$B$24*$N643,4))</f>
        <v>0.18179999999999999</v>
      </c>
      <c r="Q643" s="25">
        <f>IF($C643&gt;0,INDEX(Merge_1_2!$L$2:$L$611,$C643),INDEX(Dataset3_Raw!$L$2:$L$391,$E643))</f>
        <v>0.8</v>
      </c>
      <c r="R643" s="25">
        <f>IF($C643&gt;0,INDEX(Merge_1_2!$M$2:$M$611,$C643),INDEX(Dataset3_Raw!$M$2:$M$391,$E643))</f>
        <v>0.1045</v>
      </c>
      <c r="S643" s="23">
        <f>IF($C643&gt;0,INDEX(Merge_1_2!$N$2:$N$611,$C643),INDEX(Dataset3_Raw!$N$2:$N$391,$E643))</f>
        <v>0</v>
      </c>
      <c r="T643" s="23">
        <f>IF($C643&gt;0,INDEX(Merge_1_2!$O$2:$O$611,$C643),INDEX(Dataset3_Raw!$O$2:$O$391,$E643))</f>
        <v>33</v>
      </c>
      <c r="U643" s="23">
        <f>IF($C643&gt;0,INDEX(Merge_1_2!$P$2:$P$611,$C643),INDEX(Dataset3_Raw!$P$2:$P$391,$E643))</f>
        <v>33</v>
      </c>
      <c r="V643" s="23" t="str">
        <f t="shared" si="61"/>
        <v>Weekend</v>
      </c>
      <c r="W643" s="23" t="str">
        <f>VLOOKUP($M643,Lookups!$A$5:$B$8,2,FALSE())</f>
        <v>Clear / Partly cloudy</v>
      </c>
      <c r="X643" s="23" t="str">
        <f>VLOOKUP($G643,Lookups!$D$5:$E$8,2,FALSE())</f>
        <v>Winter</v>
      </c>
      <c r="Y643" s="23" t="str">
        <f>VLOOKUP($L643,Lookups!$G$5:$H$11,2,FALSE())</f>
        <v>Sunday</v>
      </c>
      <c r="Z643" s="23" t="str">
        <f>IF($J643&lt;Lookups!$B$26,"Night",IF($J643&lt;Lookups!$B$27,"Morning",IF($J643&lt;Lookups!$B$28,"Afternoon","Evening")))</f>
        <v>Night</v>
      </c>
      <c r="AA643" s="26">
        <f>ROUND($N643*(Lookups!$B$16-Lookups!$B$15)+Lookups!$B$15,1)</f>
        <v>-0.5</v>
      </c>
      <c r="AB643" s="26">
        <f>ROUND($P643*(Lookups!$B$18-Lookups!$B$17)+Lookups!$B$17,1)</f>
        <v>-4</v>
      </c>
      <c r="AC643" s="23">
        <f t="shared" si="62"/>
        <v>80</v>
      </c>
      <c r="AD643" s="23">
        <f>ROUND($R643*Lookups!$B$19,1)</f>
        <v>7</v>
      </c>
      <c r="AE643" s="27">
        <f t="shared" si="63"/>
        <v>1</v>
      </c>
      <c r="AF643" s="23" t="str">
        <f>IF($U643&gt;=Lookups!$B$23,"High",IF($U643&gt;=Lookups!$B$22,"Medium","Low"))</f>
        <v>Medium</v>
      </c>
      <c r="AG643" s="23">
        <f>ROUND(IF($V643="Weekday",IF(INDEX(Hourly_Analysis!$D$5:$D$28,$J643+1)&gt;0,($U643-INDEX(Hourly_Analysis!$C$5:$C$28,$J643+1))/INDEX(Hourly_Analysis!$D$5:$D$28,$J643+1),0),IF(INDEX(Hourly_Analysis!$G$5:$G$28,$J643+1)&gt;0,($U643-INDEX(Hourly_Analysis!$F$5:$F$28,$J643+1))/INDEX(Hourly_Analysis!$G$5:$G$28,$J643+1),0)),2)</f>
        <v>0.62</v>
      </c>
      <c r="AH643" s="23" t="str">
        <f>IF(ABS($AG643)&gt;Lookups!$B$20,IF($AG643&gt;0,"High anomaly","Low anomaly"),"")</f>
        <v/>
      </c>
      <c r="AI643" s="23" t="str">
        <f t="shared" si="64"/>
        <v>OK</v>
      </c>
      <c r="AJ643" s="23" t="str">
        <f t="shared" si="65"/>
        <v>No</v>
      </c>
    </row>
    <row r="644" spans="1:36" x14ac:dyDescent="0.35">
      <c r="A644" s="23">
        <v>643</v>
      </c>
      <c r="B644" s="23" t="str">
        <f t="shared" si="60"/>
        <v>Dataset 3</v>
      </c>
      <c r="C644" s="23">
        <f>IFERROR(MATCH($A644,Merge_1_2!$A$2:$A$611,0),0)</f>
        <v>0</v>
      </c>
      <c r="D644" s="23">
        <f>IF($C644&gt;0,INDEX(Merge_1_2!$Q$2:$Q$611,$C644),0)</f>
        <v>0</v>
      </c>
      <c r="E644" s="23">
        <f>IFERROR(MATCH($A644,Dataset3_Raw!$A$2:$A$391,0),0)</f>
        <v>33</v>
      </c>
      <c r="F644" s="24">
        <f>IF($C644&gt;0,INDEX(Merge_1_2!$B$2:$B$611,$C644),DATE(VALUE(RIGHT(INDEX(Dataset3_Raw!$B$2:$B$391,$E644),4)),VALUE(MID(INDEX(Dataset3_Raw!$B$2:$B$391,$E644),4,2)),VALUE(LEFT(INDEX(Dataset3_Raw!$B$2:$B$391,$E644),2))))</f>
        <v>40573</v>
      </c>
      <c r="G644" s="23">
        <f>IF($C644&gt;0,INDEX(Merge_1_2!$C$2:$C$611,$C644),INDEX(Dataset3_Raw!$C$2:$C$391,$E644))</f>
        <v>1</v>
      </c>
      <c r="H644" s="23">
        <f>IF($C644&gt;0,INDEX(Merge_1_2!$D$2:$D$611,$C644),INDEX(Dataset3_Raw!$D$2:$D$391,$E644))</f>
        <v>0</v>
      </c>
      <c r="I644" s="23">
        <f>IF($C644&gt;0,INDEX(Merge_1_2!$E$2:$E$611,$C644),INDEX(Dataset3_Raw!$E$2:$E$391,$E644))</f>
        <v>1</v>
      </c>
      <c r="J644" s="23">
        <f>IF($C644&gt;0,INDEX(Merge_1_2!$F$2:$F$611,$C644),INDEX(Dataset3_Raw!$F$2:$F$391,$E644))</f>
        <v>1</v>
      </c>
      <c r="K644" s="23" t="b">
        <f>IF($C644&gt;0,INDEX(Merge_1_2!$G$2:$G$611,$C644),INDEX(Dataset3_Raw!$G$2:$G$391,$E644))</f>
        <v>0</v>
      </c>
      <c r="L644" s="23">
        <f>IF($C644&gt;0,INDEX(Merge_1_2!$H$2:$H$611,$C644),INDEX(Dataset3_Raw!$H$2:$H$391,$E644))</f>
        <v>0</v>
      </c>
      <c r="M644" s="23">
        <f>IF($C644&gt;0,INDEX(Merge_1_2!$I$2:$I$611,$C644),INDEX(Dataset3_Raw!$I$2:$I$391,$E644))</f>
        <v>1</v>
      </c>
      <c r="N644" s="25">
        <f>IF($C644&gt;0,INDEX(Merge_1_2!$J$2:$J$611,$C644),INDEX(Dataset3_Raw!$J$2:$J$391,$E644))</f>
        <v>0.14000000000000001</v>
      </c>
      <c r="O644" s="25">
        <f>IF($C644&gt;0,IF(ISNUMBER(INDEX(Merge_1_2!$K$2:$K$611,$C644)),INDEX(Merge_1_2!$K$2:$K$611,$C644),""),INDEX(Dataset3_Raw!$K$2:$K$391,$E644))</f>
        <v>0.21210000000000001</v>
      </c>
      <c r="P644" s="25">
        <f>IF(ISNUMBER($O644),$O644,ROUND(Lookups!$B$25+Lookups!$B$24*$N644,4))</f>
        <v>0.21210000000000001</v>
      </c>
      <c r="Q644" s="25">
        <f>IF($C644&gt;0,INDEX(Merge_1_2!$L$2:$L$611,$C644),INDEX(Dataset3_Raw!$L$2:$L$391,$E644))</f>
        <v>0.8</v>
      </c>
      <c r="R644" s="25">
        <f>IF($C644&gt;0,INDEX(Merge_1_2!$M$2:$M$611,$C644),INDEX(Dataset3_Raw!$M$2:$M$391,$E644))</f>
        <v>0</v>
      </c>
      <c r="S644" s="23">
        <f>IF($C644&gt;0,INDEX(Merge_1_2!$N$2:$N$611,$C644),INDEX(Dataset3_Raw!$N$2:$N$391,$E644))</f>
        <v>7</v>
      </c>
      <c r="T644" s="23">
        <f>IF($C644&gt;0,INDEX(Merge_1_2!$O$2:$O$611,$C644),INDEX(Dataset3_Raw!$O$2:$O$391,$E644))</f>
        <v>22</v>
      </c>
      <c r="U644" s="23">
        <f>IF($C644&gt;0,INDEX(Merge_1_2!$P$2:$P$611,$C644),INDEX(Dataset3_Raw!$P$2:$P$391,$E644))</f>
        <v>29</v>
      </c>
      <c r="V644" s="23" t="str">
        <f t="shared" si="61"/>
        <v>Weekend</v>
      </c>
      <c r="W644" s="23" t="str">
        <f>VLOOKUP($M644,Lookups!$A$5:$B$8,2,FALSE())</f>
        <v>Clear / Partly cloudy</v>
      </c>
      <c r="X644" s="23" t="str">
        <f>VLOOKUP($G644,Lookups!$D$5:$E$8,2,FALSE())</f>
        <v>Winter</v>
      </c>
      <c r="Y644" s="23" t="str">
        <f>VLOOKUP($L644,Lookups!$G$5:$H$11,2,FALSE())</f>
        <v>Sunday</v>
      </c>
      <c r="Z644" s="23" t="str">
        <f>IF($J644&lt;Lookups!$B$26,"Night",IF($J644&lt;Lookups!$B$27,"Morning",IF($J644&lt;Lookups!$B$28,"Afternoon","Evening")))</f>
        <v>Night</v>
      </c>
      <c r="AA644" s="26">
        <f>ROUND($N644*(Lookups!$B$16-Lookups!$B$15)+Lookups!$B$15,1)</f>
        <v>-1.4</v>
      </c>
      <c r="AB644" s="26">
        <f>ROUND($P644*(Lookups!$B$18-Lookups!$B$17)+Lookups!$B$17,1)</f>
        <v>-2</v>
      </c>
      <c r="AC644" s="23">
        <f t="shared" si="62"/>
        <v>80</v>
      </c>
      <c r="AD644" s="23">
        <f>ROUND($R644*Lookups!$B$19,1)</f>
        <v>0</v>
      </c>
      <c r="AE644" s="27">
        <f t="shared" si="63"/>
        <v>0.75862068965517238</v>
      </c>
      <c r="AF644" s="23" t="str">
        <f>IF($U644&gt;=Lookups!$B$23,"High",IF($U644&gt;=Lookups!$B$22,"Medium","Low"))</f>
        <v>Medium</v>
      </c>
      <c r="AG644" s="23">
        <f>ROUND(IF($V644="Weekday",IF(INDEX(Hourly_Analysis!$D$5:$D$28,$J644+1)&gt;0,($U644-INDEX(Hourly_Analysis!$C$5:$C$28,$J644+1))/INDEX(Hourly_Analysis!$D$5:$D$28,$J644+1),0),IF(INDEX(Hourly_Analysis!$G$5:$G$28,$J644+1)&gt;0,($U644-INDEX(Hourly_Analysis!$F$5:$F$28,$J644+1))/INDEX(Hourly_Analysis!$G$5:$G$28,$J644+1),0)),2)</f>
        <v>0.75</v>
      </c>
      <c r="AH644" s="23" t="str">
        <f>IF(ABS($AG644)&gt;Lookups!$B$20,IF($AG644&gt;0,"High anomaly","Low anomaly"),"")</f>
        <v/>
      </c>
      <c r="AI644" s="23" t="str">
        <f t="shared" si="64"/>
        <v>OK</v>
      </c>
      <c r="AJ644" s="23" t="str">
        <f t="shared" si="65"/>
        <v>No</v>
      </c>
    </row>
    <row r="645" spans="1:36" x14ac:dyDescent="0.35">
      <c r="A645" s="23">
        <v>644</v>
      </c>
      <c r="B645" s="23" t="str">
        <f t="shared" si="60"/>
        <v>Dataset 3</v>
      </c>
      <c r="C645" s="23">
        <f>IFERROR(MATCH($A645,Merge_1_2!$A$2:$A$611,0),0)</f>
        <v>0</v>
      </c>
      <c r="D645" s="23">
        <f>IF($C645&gt;0,INDEX(Merge_1_2!$Q$2:$Q$611,$C645),0)</f>
        <v>0</v>
      </c>
      <c r="E645" s="23">
        <f>IFERROR(MATCH($A645,Dataset3_Raw!$A$2:$A$391,0),0)</f>
        <v>34</v>
      </c>
      <c r="F645" s="24">
        <f>IF($C645&gt;0,INDEX(Merge_1_2!$B$2:$B$611,$C645),DATE(VALUE(RIGHT(INDEX(Dataset3_Raw!$B$2:$B$391,$E645),4)),VALUE(MID(INDEX(Dataset3_Raw!$B$2:$B$391,$E645),4,2)),VALUE(LEFT(INDEX(Dataset3_Raw!$B$2:$B$391,$E645),2))))</f>
        <v>40573</v>
      </c>
      <c r="G645" s="23">
        <f>IF($C645&gt;0,INDEX(Merge_1_2!$C$2:$C$611,$C645),INDEX(Dataset3_Raw!$C$2:$C$391,$E645))</f>
        <v>1</v>
      </c>
      <c r="H645" s="23">
        <f>IF($C645&gt;0,INDEX(Merge_1_2!$D$2:$D$611,$C645),INDEX(Dataset3_Raw!$D$2:$D$391,$E645))</f>
        <v>0</v>
      </c>
      <c r="I645" s="23">
        <f>IF($C645&gt;0,INDEX(Merge_1_2!$E$2:$E$611,$C645),INDEX(Dataset3_Raw!$E$2:$E$391,$E645))</f>
        <v>1</v>
      </c>
      <c r="J645" s="23">
        <f>IF($C645&gt;0,INDEX(Merge_1_2!$F$2:$F$611,$C645),INDEX(Dataset3_Raw!$F$2:$F$391,$E645))</f>
        <v>2</v>
      </c>
      <c r="K645" s="23" t="b">
        <f>IF($C645&gt;0,INDEX(Merge_1_2!$G$2:$G$611,$C645),INDEX(Dataset3_Raw!$G$2:$G$391,$E645))</f>
        <v>0</v>
      </c>
      <c r="L645" s="23">
        <f>IF($C645&gt;0,INDEX(Merge_1_2!$H$2:$H$611,$C645),INDEX(Dataset3_Raw!$H$2:$H$391,$E645))</f>
        <v>0</v>
      </c>
      <c r="M645" s="23">
        <f>IF($C645&gt;0,INDEX(Merge_1_2!$I$2:$I$611,$C645),INDEX(Dataset3_Raw!$I$2:$I$391,$E645))</f>
        <v>1</v>
      </c>
      <c r="N645" s="25">
        <f>IF($C645&gt;0,INDEX(Merge_1_2!$J$2:$J$611,$C645),INDEX(Dataset3_Raw!$J$2:$J$391,$E645))</f>
        <v>0.16</v>
      </c>
      <c r="O645" s="25">
        <f>IF($C645&gt;0,IF(ISNUMBER(INDEX(Merge_1_2!$K$2:$K$611,$C645)),INDEX(Merge_1_2!$K$2:$K$611,$C645),""),INDEX(Dataset3_Raw!$K$2:$K$391,$E645))</f>
        <v>0.2273</v>
      </c>
      <c r="P645" s="25">
        <f>IF(ISNUMBER($O645),$O645,ROUND(Lookups!$B$25+Lookups!$B$24*$N645,4))</f>
        <v>0.2273</v>
      </c>
      <c r="Q645" s="25">
        <f>IF($C645&gt;0,INDEX(Merge_1_2!$L$2:$L$611,$C645),INDEX(Dataset3_Raw!$L$2:$L$391,$E645))</f>
        <v>0.8</v>
      </c>
      <c r="R645" s="25">
        <f>IF($C645&gt;0,INDEX(Merge_1_2!$M$2:$M$611,$C645),INDEX(Dataset3_Raw!$M$2:$M$391,$E645))</f>
        <v>0</v>
      </c>
      <c r="S645" s="23">
        <f>IF($C645&gt;0,INDEX(Merge_1_2!$N$2:$N$611,$C645),INDEX(Dataset3_Raw!$N$2:$N$391,$E645))</f>
        <v>1</v>
      </c>
      <c r="T645" s="23">
        <f>IF($C645&gt;0,INDEX(Merge_1_2!$O$2:$O$611,$C645),INDEX(Dataset3_Raw!$O$2:$O$391,$E645))</f>
        <v>10</v>
      </c>
      <c r="U645" s="23">
        <f>IF($C645&gt;0,INDEX(Merge_1_2!$P$2:$P$611,$C645),INDEX(Dataset3_Raw!$P$2:$P$391,$E645))</f>
        <v>11</v>
      </c>
      <c r="V645" s="23" t="str">
        <f t="shared" si="61"/>
        <v>Weekend</v>
      </c>
      <c r="W645" s="23" t="str">
        <f>VLOOKUP($M645,Lookups!$A$5:$B$8,2,FALSE())</f>
        <v>Clear / Partly cloudy</v>
      </c>
      <c r="X645" s="23" t="str">
        <f>VLOOKUP($G645,Lookups!$D$5:$E$8,2,FALSE())</f>
        <v>Winter</v>
      </c>
      <c r="Y645" s="23" t="str">
        <f>VLOOKUP($L645,Lookups!$G$5:$H$11,2,FALSE())</f>
        <v>Sunday</v>
      </c>
      <c r="Z645" s="23" t="str">
        <f>IF($J645&lt;Lookups!$B$26,"Night",IF($J645&lt;Lookups!$B$27,"Morning",IF($J645&lt;Lookups!$B$28,"Afternoon","Evening")))</f>
        <v>Night</v>
      </c>
      <c r="AA645" s="26">
        <f>ROUND($N645*(Lookups!$B$16-Lookups!$B$15)+Lookups!$B$15,1)</f>
        <v>-0.5</v>
      </c>
      <c r="AB645" s="26">
        <f>ROUND($P645*(Lookups!$B$18-Lookups!$B$17)+Lookups!$B$17,1)</f>
        <v>-1</v>
      </c>
      <c r="AC645" s="23">
        <f t="shared" si="62"/>
        <v>80</v>
      </c>
      <c r="AD645" s="23">
        <f>ROUND($R645*Lookups!$B$19,1)</f>
        <v>0</v>
      </c>
      <c r="AE645" s="27">
        <f t="shared" si="63"/>
        <v>0.90909090909090906</v>
      </c>
      <c r="AF645" s="23" t="str">
        <f>IF($U645&gt;=Lookups!$B$23,"High",IF($U645&gt;=Lookups!$B$22,"Medium","Low"))</f>
        <v>Low</v>
      </c>
      <c r="AG645" s="23">
        <f>ROUND(IF($V645="Weekday",IF(INDEX(Hourly_Analysis!$D$5:$D$28,$J645+1)&gt;0,($U645-INDEX(Hourly_Analysis!$C$5:$C$28,$J645+1))/INDEX(Hourly_Analysis!$D$5:$D$28,$J645+1),0),IF(INDEX(Hourly_Analysis!$G$5:$G$28,$J645+1)&gt;0,($U645-INDEX(Hourly_Analysis!$F$5:$F$28,$J645+1))/INDEX(Hourly_Analysis!$G$5:$G$28,$J645+1),0)),2)</f>
        <v>-0.74</v>
      </c>
      <c r="AH645" s="23" t="str">
        <f>IF(ABS($AG645)&gt;Lookups!$B$20,IF($AG645&gt;0,"High anomaly","Low anomaly"),"")</f>
        <v/>
      </c>
      <c r="AI645" s="23" t="str">
        <f t="shared" si="64"/>
        <v>OK</v>
      </c>
      <c r="AJ645" s="23" t="str">
        <f t="shared" si="65"/>
        <v>No</v>
      </c>
    </row>
    <row r="646" spans="1:36" x14ac:dyDescent="0.35">
      <c r="A646" s="23">
        <v>645</v>
      </c>
      <c r="B646" s="23" t="str">
        <f t="shared" si="60"/>
        <v>Dataset 3</v>
      </c>
      <c r="C646" s="23">
        <f>IFERROR(MATCH($A646,Merge_1_2!$A$2:$A$611,0),0)</f>
        <v>0</v>
      </c>
      <c r="D646" s="23">
        <f>IF($C646&gt;0,INDEX(Merge_1_2!$Q$2:$Q$611,$C646),0)</f>
        <v>0</v>
      </c>
      <c r="E646" s="23">
        <f>IFERROR(MATCH($A646,Dataset3_Raw!$A$2:$A$391,0),0)</f>
        <v>35</v>
      </c>
      <c r="F646" s="24">
        <f>IF($C646&gt;0,INDEX(Merge_1_2!$B$2:$B$611,$C646),DATE(VALUE(RIGHT(INDEX(Dataset3_Raw!$B$2:$B$391,$E646),4)),VALUE(MID(INDEX(Dataset3_Raw!$B$2:$B$391,$E646),4,2)),VALUE(LEFT(INDEX(Dataset3_Raw!$B$2:$B$391,$E646),2))))</f>
        <v>40573</v>
      </c>
      <c r="G646" s="23">
        <f>IF($C646&gt;0,INDEX(Merge_1_2!$C$2:$C$611,$C646),INDEX(Dataset3_Raw!$C$2:$C$391,$E646))</f>
        <v>1</v>
      </c>
      <c r="H646" s="23">
        <f>IF($C646&gt;0,INDEX(Merge_1_2!$D$2:$D$611,$C646),INDEX(Dataset3_Raw!$D$2:$D$391,$E646))</f>
        <v>0</v>
      </c>
      <c r="I646" s="23">
        <f>IF($C646&gt;0,INDEX(Merge_1_2!$E$2:$E$611,$C646),INDEX(Dataset3_Raw!$E$2:$E$391,$E646))</f>
        <v>1</v>
      </c>
      <c r="J646" s="23">
        <f>IF($C646&gt;0,INDEX(Merge_1_2!$F$2:$F$611,$C646),INDEX(Dataset3_Raw!$F$2:$F$391,$E646))</f>
        <v>3</v>
      </c>
      <c r="K646" s="23" t="b">
        <f>IF($C646&gt;0,INDEX(Merge_1_2!$G$2:$G$611,$C646),INDEX(Dataset3_Raw!$G$2:$G$391,$E646))</f>
        <v>0</v>
      </c>
      <c r="L646" s="23">
        <f>IF($C646&gt;0,INDEX(Merge_1_2!$H$2:$H$611,$C646),INDEX(Dataset3_Raw!$H$2:$H$391,$E646))</f>
        <v>0</v>
      </c>
      <c r="M646" s="23">
        <f>IF($C646&gt;0,INDEX(Merge_1_2!$I$2:$I$611,$C646),INDEX(Dataset3_Raw!$I$2:$I$391,$E646))</f>
        <v>1</v>
      </c>
      <c r="N646" s="25">
        <f>IF($C646&gt;0,INDEX(Merge_1_2!$J$2:$J$611,$C646),INDEX(Dataset3_Raw!$J$2:$J$391,$E646))</f>
        <v>0.14000000000000001</v>
      </c>
      <c r="O646" s="25">
        <f>IF($C646&gt;0,IF(ISNUMBER(INDEX(Merge_1_2!$K$2:$K$611,$C646)),INDEX(Merge_1_2!$K$2:$K$611,$C646),""),INDEX(Dataset3_Raw!$K$2:$K$391,$E646))</f>
        <v>0.21210000000000001</v>
      </c>
      <c r="P646" s="25">
        <f>IF(ISNUMBER($O646),$O646,ROUND(Lookups!$B$25+Lookups!$B$24*$N646,4))</f>
        <v>0.21210000000000001</v>
      </c>
      <c r="Q646" s="25">
        <f>IF($C646&gt;0,INDEX(Merge_1_2!$L$2:$L$611,$C646),INDEX(Dataset3_Raw!$L$2:$L$391,$E646))</f>
        <v>0.93</v>
      </c>
      <c r="R646" s="25">
        <f>IF($C646&gt;0,INDEX(Merge_1_2!$M$2:$M$611,$C646),INDEX(Dataset3_Raw!$M$2:$M$391,$E646))</f>
        <v>0</v>
      </c>
      <c r="S646" s="23">
        <f>IF($C646&gt;0,INDEX(Merge_1_2!$N$2:$N$611,$C646),INDEX(Dataset3_Raw!$N$2:$N$391,$E646))</f>
        <v>1</v>
      </c>
      <c r="T646" s="23">
        <f>IF($C646&gt;0,INDEX(Merge_1_2!$O$2:$O$611,$C646),INDEX(Dataset3_Raw!$O$2:$O$391,$E646))</f>
        <v>7</v>
      </c>
      <c r="U646" s="23">
        <f>IF($C646&gt;0,INDEX(Merge_1_2!$P$2:$P$611,$C646),INDEX(Dataset3_Raw!$P$2:$P$391,$E646))</f>
        <v>8</v>
      </c>
      <c r="V646" s="23" t="str">
        <f t="shared" si="61"/>
        <v>Weekend</v>
      </c>
      <c r="W646" s="23" t="str">
        <f>VLOOKUP($M646,Lookups!$A$5:$B$8,2,FALSE())</f>
        <v>Clear / Partly cloudy</v>
      </c>
      <c r="X646" s="23" t="str">
        <f>VLOOKUP($G646,Lookups!$D$5:$E$8,2,FALSE())</f>
        <v>Winter</v>
      </c>
      <c r="Y646" s="23" t="str">
        <f>VLOOKUP($L646,Lookups!$G$5:$H$11,2,FALSE())</f>
        <v>Sunday</v>
      </c>
      <c r="Z646" s="23" t="str">
        <f>IF($J646&lt;Lookups!$B$26,"Night",IF($J646&lt;Lookups!$B$27,"Morning",IF($J646&lt;Lookups!$B$28,"Afternoon","Evening")))</f>
        <v>Night</v>
      </c>
      <c r="AA646" s="26">
        <f>ROUND($N646*(Lookups!$B$16-Lookups!$B$15)+Lookups!$B$15,1)</f>
        <v>-1.4</v>
      </c>
      <c r="AB646" s="26">
        <f>ROUND($P646*(Lookups!$B$18-Lookups!$B$17)+Lookups!$B$17,1)</f>
        <v>-2</v>
      </c>
      <c r="AC646" s="23">
        <f t="shared" si="62"/>
        <v>93</v>
      </c>
      <c r="AD646" s="23">
        <f>ROUND($R646*Lookups!$B$19,1)</f>
        <v>0</v>
      </c>
      <c r="AE646" s="27">
        <f t="shared" si="63"/>
        <v>0.875</v>
      </c>
      <c r="AF646" s="23" t="str">
        <f>IF($U646&gt;=Lookups!$B$23,"High",IF($U646&gt;=Lookups!$B$22,"Medium","Low"))</f>
        <v>Low</v>
      </c>
      <c r="AG646" s="23">
        <f>ROUND(IF($V646="Weekday",IF(INDEX(Hourly_Analysis!$D$5:$D$28,$J646+1)&gt;0,($U646-INDEX(Hourly_Analysis!$C$5:$C$28,$J646+1))/INDEX(Hourly_Analysis!$D$5:$D$28,$J646+1),0),IF(INDEX(Hourly_Analysis!$G$5:$G$28,$J646+1)&gt;0,($U646-INDEX(Hourly_Analysis!$F$5:$F$28,$J646+1))/INDEX(Hourly_Analysis!$G$5:$G$28,$J646+1),0)),2)</f>
        <v>-0.16</v>
      </c>
      <c r="AH646" s="23" t="str">
        <f>IF(ABS($AG646)&gt;Lookups!$B$20,IF($AG646&gt;0,"High anomaly","Low anomaly"),"")</f>
        <v/>
      </c>
      <c r="AI646" s="23" t="str">
        <f t="shared" si="64"/>
        <v>OK</v>
      </c>
      <c r="AJ646" s="23" t="str">
        <f t="shared" si="65"/>
        <v>No</v>
      </c>
    </row>
    <row r="647" spans="1:36" x14ac:dyDescent="0.35">
      <c r="A647" s="23">
        <v>646</v>
      </c>
      <c r="B647" s="23" t="str">
        <f t="shared" si="60"/>
        <v>Dataset 3</v>
      </c>
      <c r="C647" s="23">
        <f>IFERROR(MATCH($A647,Merge_1_2!$A$2:$A$611,0),0)</f>
        <v>0</v>
      </c>
      <c r="D647" s="23">
        <f>IF($C647&gt;0,INDEX(Merge_1_2!$Q$2:$Q$611,$C647),0)</f>
        <v>0</v>
      </c>
      <c r="E647" s="23">
        <f>IFERROR(MATCH($A647,Dataset3_Raw!$A$2:$A$391,0),0)</f>
        <v>36</v>
      </c>
      <c r="F647" s="24">
        <f>IF($C647&gt;0,INDEX(Merge_1_2!$B$2:$B$611,$C647),DATE(VALUE(RIGHT(INDEX(Dataset3_Raw!$B$2:$B$391,$E647),4)),VALUE(MID(INDEX(Dataset3_Raw!$B$2:$B$391,$E647),4,2)),VALUE(LEFT(INDEX(Dataset3_Raw!$B$2:$B$391,$E647),2))))</f>
        <v>40573</v>
      </c>
      <c r="G647" s="23">
        <f>IF($C647&gt;0,INDEX(Merge_1_2!$C$2:$C$611,$C647),INDEX(Dataset3_Raw!$C$2:$C$391,$E647))</f>
        <v>1</v>
      </c>
      <c r="H647" s="23">
        <f>IF($C647&gt;0,INDEX(Merge_1_2!$D$2:$D$611,$C647),INDEX(Dataset3_Raw!$D$2:$D$391,$E647))</f>
        <v>0</v>
      </c>
      <c r="I647" s="23">
        <f>IF($C647&gt;0,INDEX(Merge_1_2!$E$2:$E$611,$C647),INDEX(Dataset3_Raw!$E$2:$E$391,$E647))</f>
        <v>1</v>
      </c>
      <c r="J647" s="23">
        <f>IF($C647&gt;0,INDEX(Merge_1_2!$F$2:$F$611,$C647),INDEX(Dataset3_Raw!$F$2:$F$391,$E647))</f>
        <v>4</v>
      </c>
      <c r="K647" s="23" t="b">
        <f>IF($C647&gt;0,INDEX(Merge_1_2!$G$2:$G$611,$C647),INDEX(Dataset3_Raw!$G$2:$G$391,$E647))</f>
        <v>0</v>
      </c>
      <c r="L647" s="23">
        <f>IF($C647&gt;0,INDEX(Merge_1_2!$H$2:$H$611,$C647),INDEX(Dataset3_Raw!$H$2:$H$391,$E647))</f>
        <v>0</v>
      </c>
      <c r="M647" s="23">
        <f>IF($C647&gt;0,INDEX(Merge_1_2!$I$2:$I$611,$C647),INDEX(Dataset3_Raw!$I$2:$I$391,$E647))</f>
        <v>1</v>
      </c>
      <c r="N647" s="25">
        <f>IF($C647&gt;0,INDEX(Merge_1_2!$J$2:$J$611,$C647),INDEX(Dataset3_Raw!$J$2:$J$391,$E647))</f>
        <v>0.14000000000000001</v>
      </c>
      <c r="O647" s="25">
        <f>IF($C647&gt;0,IF(ISNUMBER(INDEX(Merge_1_2!$K$2:$K$611,$C647)),INDEX(Merge_1_2!$K$2:$K$611,$C647),""),INDEX(Dataset3_Raw!$K$2:$K$391,$E647))</f>
        <v>0.21210000000000001</v>
      </c>
      <c r="P647" s="25">
        <f>IF(ISNUMBER($O647),$O647,ROUND(Lookups!$B$25+Lookups!$B$24*$N647,4))</f>
        <v>0.21210000000000001</v>
      </c>
      <c r="Q647" s="25">
        <f>IF($C647&gt;0,INDEX(Merge_1_2!$L$2:$L$611,$C647),INDEX(Dataset3_Raw!$L$2:$L$391,$E647))</f>
        <v>0.93</v>
      </c>
      <c r="R647" s="25">
        <f>IF($C647&gt;0,INDEX(Merge_1_2!$M$2:$M$611,$C647),INDEX(Dataset3_Raw!$M$2:$M$391,$E647))</f>
        <v>0</v>
      </c>
      <c r="S647" s="23">
        <f>IF($C647&gt;0,INDEX(Merge_1_2!$N$2:$N$611,$C647),INDEX(Dataset3_Raw!$N$2:$N$391,$E647))</f>
        <v>0</v>
      </c>
      <c r="T647" s="23">
        <f>IF($C647&gt;0,INDEX(Merge_1_2!$O$2:$O$611,$C647),INDEX(Dataset3_Raw!$O$2:$O$391,$E647))</f>
        <v>1</v>
      </c>
      <c r="U647" s="23">
        <f>IF($C647&gt;0,INDEX(Merge_1_2!$P$2:$P$611,$C647),INDEX(Dataset3_Raw!$P$2:$P$391,$E647))</f>
        <v>1</v>
      </c>
      <c r="V647" s="23" t="str">
        <f t="shared" si="61"/>
        <v>Weekend</v>
      </c>
      <c r="W647" s="23" t="str">
        <f>VLOOKUP($M647,Lookups!$A$5:$B$8,2,FALSE())</f>
        <v>Clear / Partly cloudy</v>
      </c>
      <c r="X647" s="23" t="str">
        <f>VLOOKUP($G647,Lookups!$D$5:$E$8,2,FALSE())</f>
        <v>Winter</v>
      </c>
      <c r="Y647" s="23" t="str">
        <f>VLOOKUP($L647,Lookups!$G$5:$H$11,2,FALSE())</f>
        <v>Sunday</v>
      </c>
      <c r="Z647" s="23" t="str">
        <f>IF($J647&lt;Lookups!$B$26,"Night",IF($J647&lt;Lookups!$B$27,"Morning",IF($J647&lt;Lookups!$B$28,"Afternoon","Evening")))</f>
        <v>Night</v>
      </c>
      <c r="AA647" s="26">
        <f>ROUND($N647*(Lookups!$B$16-Lookups!$B$15)+Lookups!$B$15,1)</f>
        <v>-1.4</v>
      </c>
      <c r="AB647" s="26">
        <f>ROUND($P647*(Lookups!$B$18-Lookups!$B$17)+Lookups!$B$17,1)</f>
        <v>-2</v>
      </c>
      <c r="AC647" s="23">
        <f t="shared" si="62"/>
        <v>93</v>
      </c>
      <c r="AD647" s="23">
        <f>ROUND($R647*Lookups!$B$19,1)</f>
        <v>0</v>
      </c>
      <c r="AE647" s="27">
        <f t="shared" si="63"/>
        <v>1</v>
      </c>
      <c r="AF647" s="23" t="str">
        <f>IF($U647&gt;=Lookups!$B$23,"High",IF($U647&gt;=Lookups!$B$22,"Medium","Low"))</f>
        <v>Low</v>
      </c>
      <c r="AG647" s="23">
        <f>ROUND(IF($V647="Weekday",IF(INDEX(Hourly_Analysis!$D$5:$D$28,$J647+1)&gt;0,($U647-INDEX(Hourly_Analysis!$C$5:$C$28,$J647+1))/INDEX(Hourly_Analysis!$D$5:$D$28,$J647+1),0),IF(INDEX(Hourly_Analysis!$G$5:$G$28,$J647+1)&gt;0,($U647-INDEX(Hourly_Analysis!$F$5:$F$28,$J647+1))/INDEX(Hourly_Analysis!$G$5:$G$28,$J647+1),0)),2)</f>
        <v>-0.87</v>
      </c>
      <c r="AH647" s="23" t="str">
        <f>IF(ABS($AG647)&gt;Lookups!$B$20,IF($AG647&gt;0,"High anomaly","Low anomaly"),"")</f>
        <v/>
      </c>
      <c r="AI647" s="23" t="str">
        <f t="shared" si="64"/>
        <v>OK</v>
      </c>
      <c r="AJ647" s="23" t="str">
        <f t="shared" si="65"/>
        <v>No</v>
      </c>
    </row>
    <row r="648" spans="1:36" x14ac:dyDescent="0.35">
      <c r="A648" s="23">
        <v>647</v>
      </c>
      <c r="B648" s="23" t="str">
        <f t="shared" si="60"/>
        <v>Dataset 3</v>
      </c>
      <c r="C648" s="23">
        <f>IFERROR(MATCH($A648,Merge_1_2!$A$2:$A$611,0),0)</f>
        <v>0</v>
      </c>
      <c r="D648" s="23">
        <f>IF($C648&gt;0,INDEX(Merge_1_2!$Q$2:$Q$611,$C648),0)</f>
        <v>0</v>
      </c>
      <c r="E648" s="23">
        <f>IFERROR(MATCH($A648,Dataset3_Raw!$A$2:$A$391,0),0)</f>
        <v>37</v>
      </c>
      <c r="F648" s="24">
        <f>IF($C648&gt;0,INDEX(Merge_1_2!$B$2:$B$611,$C648),DATE(VALUE(RIGHT(INDEX(Dataset3_Raw!$B$2:$B$391,$E648),4)),VALUE(MID(INDEX(Dataset3_Raw!$B$2:$B$391,$E648),4,2)),VALUE(LEFT(INDEX(Dataset3_Raw!$B$2:$B$391,$E648),2))))</f>
        <v>40573</v>
      </c>
      <c r="G648" s="23">
        <f>IF($C648&gt;0,INDEX(Merge_1_2!$C$2:$C$611,$C648),INDEX(Dataset3_Raw!$C$2:$C$391,$E648))</f>
        <v>1</v>
      </c>
      <c r="H648" s="23">
        <f>IF($C648&gt;0,INDEX(Merge_1_2!$D$2:$D$611,$C648),INDEX(Dataset3_Raw!$D$2:$D$391,$E648))</f>
        <v>0</v>
      </c>
      <c r="I648" s="23">
        <f>IF($C648&gt;0,INDEX(Merge_1_2!$E$2:$E$611,$C648),INDEX(Dataset3_Raw!$E$2:$E$391,$E648))</f>
        <v>1</v>
      </c>
      <c r="J648" s="23">
        <f>IF($C648&gt;0,INDEX(Merge_1_2!$F$2:$F$611,$C648),INDEX(Dataset3_Raw!$F$2:$F$391,$E648))</f>
        <v>5</v>
      </c>
      <c r="K648" s="23" t="b">
        <f>IF($C648&gt;0,INDEX(Merge_1_2!$G$2:$G$611,$C648),INDEX(Dataset3_Raw!$G$2:$G$391,$E648))</f>
        <v>0</v>
      </c>
      <c r="L648" s="23">
        <f>IF($C648&gt;0,INDEX(Merge_1_2!$H$2:$H$611,$C648),INDEX(Dataset3_Raw!$H$2:$H$391,$E648))</f>
        <v>0</v>
      </c>
      <c r="M648" s="23">
        <f>IF($C648&gt;0,INDEX(Merge_1_2!$I$2:$I$611,$C648),INDEX(Dataset3_Raw!$I$2:$I$391,$E648))</f>
        <v>1</v>
      </c>
      <c r="N648" s="25">
        <f>IF($C648&gt;0,INDEX(Merge_1_2!$J$2:$J$611,$C648),INDEX(Dataset3_Raw!$J$2:$J$391,$E648))</f>
        <v>0.14000000000000001</v>
      </c>
      <c r="O648" s="25">
        <f>IF($C648&gt;0,IF(ISNUMBER(INDEX(Merge_1_2!$K$2:$K$611,$C648)),INDEX(Merge_1_2!$K$2:$K$611,$C648),""),INDEX(Dataset3_Raw!$K$2:$K$391,$E648))</f>
        <v>0.21210000000000001</v>
      </c>
      <c r="P648" s="25">
        <f>IF(ISNUMBER($O648),$O648,ROUND(Lookups!$B$25+Lookups!$B$24*$N648,4))</f>
        <v>0.21210000000000001</v>
      </c>
      <c r="Q648" s="25">
        <f>IF($C648&gt;0,INDEX(Merge_1_2!$L$2:$L$611,$C648),INDEX(Dataset3_Raw!$L$2:$L$391,$E648))</f>
        <v>0.86</v>
      </c>
      <c r="R648" s="25">
        <f>IF($C648&gt;0,INDEX(Merge_1_2!$M$2:$M$611,$C648),INDEX(Dataset3_Raw!$M$2:$M$391,$E648))</f>
        <v>0</v>
      </c>
      <c r="S648" s="23">
        <f>IF($C648&gt;0,INDEX(Merge_1_2!$N$2:$N$611,$C648),INDEX(Dataset3_Raw!$N$2:$N$391,$E648))</f>
        <v>0</v>
      </c>
      <c r="T648" s="23">
        <f>IF($C648&gt;0,INDEX(Merge_1_2!$O$2:$O$611,$C648),INDEX(Dataset3_Raw!$O$2:$O$391,$E648))</f>
        <v>3</v>
      </c>
      <c r="U648" s="23">
        <f>IF($C648&gt;0,INDEX(Merge_1_2!$P$2:$P$611,$C648),INDEX(Dataset3_Raw!$P$2:$P$391,$E648))</f>
        <v>3</v>
      </c>
      <c r="V648" s="23" t="str">
        <f t="shared" si="61"/>
        <v>Weekend</v>
      </c>
      <c r="W648" s="23" t="str">
        <f>VLOOKUP($M648,Lookups!$A$5:$B$8,2,FALSE())</f>
        <v>Clear / Partly cloudy</v>
      </c>
      <c r="X648" s="23" t="str">
        <f>VLOOKUP($G648,Lookups!$D$5:$E$8,2,FALSE())</f>
        <v>Winter</v>
      </c>
      <c r="Y648" s="23" t="str">
        <f>VLOOKUP($L648,Lookups!$G$5:$H$11,2,FALSE())</f>
        <v>Sunday</v>
      </c>
      <c r="Z648" s="23" t="str">
        <f>IF($J648&lt;Lookups!$B$26,"Night",IF($J648&lt;Lookups!$B$27,"Morning",IF($J648&lt;Lookups!$B$28,"Afternoon","Evening")))</f>
        <v>Night</v>
      </c>
      <c r="AA648" s="26">
        <f>ROUND($N648*(Lookups!$B$16-Lookups!$B$15)+Lookups!$B$15,1)</f>
        <v>-1.4</v>
      </c>
      <c r="AB648" s="26">
        <f>ROUND($P648*(Lookups!$B$18-Lookups!$B$17)+Lookups!$B$17,1)</f>
        <v>-2</v>
      </c>
      <c r="AC648" s="23">
        <f t="shared" si="62"/>
        <v>86</v>
      </c>
      <c r="AD648" s="23">
        <f>ROUND($R648*Lookups!$B$19,1)</f>
        <v>0</v>
      </c>
      <c r="AE648" s="27">
        <f t="shared" si="63"/>
        <v>1</v>
      </c>
      <c r="AF648" s="23" t="str">
        <f>IF($U648&gt;=Lookups!$B$23,"High",IF($U648&gt;=Lookups!$B$22,"Medium","Low"))</f>
        <v>Low</v>
      </c>
      <c r="AG648" s="23">
        <f>ROUND(IF($V648="Weekday",IF(INDEX(Hourly_Analysis!$D$5:$D$28,$J648+1)&gt;0,($U648-INDEX(Hourly_Analysis!$C$5:$C$28,$J648+1))/INDEX(Hourly_Analysis!$D$5:$D$28,$J648+1),0),IF(INDEX(Hourly_Analysis!$G$5:$G$28,$J648+1)&gt;0,($U648-INDEX(Hourly_Analysis!$F$5:$F$28,$J648+1))/INDEX(Hourly_Analysis!$G$5:$G$28,$J648+1),0)),2)</f>
        <v>0.18</v>
      </c>
      <c r="AH648" s="23" t="str">
        <f>IF(ABS($AG648)&gt;Lookups!$B$20,IF($AG648&gt;0,"High anomaly","Low anomaly"),"")</f>
        <v/>
      </c>
      <c r="AI648" s="23" t="str">
        <f t="shared" si="64"/>
        <v>OK</v>
      </c>
      <c r="AJ648" s="23" t="str">
        <f t="shared" si="65"/>
        <v>No</v>
      </c>
    </row>
    <row r="649" spans="1:36" x14ac:dyDescent="0.35">
      <c r="A649" s="23">
        <v>648</v>
      </c>
      <c r="B649" s="23" t="str">
        <f t="shared" si="60"/>
        <v>Dataset 3</v>
      </c>
      <c r="C649" s="23">
        <f>IFERROR(MATCH($A649,Merge_1_2!$A$2:$A$611,0),0)</f>
        <v>0</v>
      </c>
      <c r="D649" s="23">
        <f>IF($C649&gt;0,INDEX(Merge_1_2!$Q$2:$Q$611,$C649),0)</f>
        <v>0</v>
      </c>
      <c r="E649" s="23">
        <f>IFERROR(MATCH($A649,Dataset3_Raw!$A$2:$A$391,0),0)</f>
        <v>38</v>
      </c>
      <c r="F649" s="24">
        <f>IF($C649&gt;0,INDEX(Merge_1_2!$B$2:$B$611,$C649),DATE(VALUE(RIGHT(INDEX(Dataset3_Raw!$B$2:$B$391,$E649),4)),VALUE(MID(INDEX(Dataset3_Raw!$B$2:$B$391,$E649),4,2)),VALUE(LEFT(INDEX(Dataset3_Raw!$B$2:$B$391,$E649),2))))</f>
        <v>40573</v>
      </c>
      <c r="G649" s="23">
        <f>IF($C649&gt;0,INDEX(Merge_1_2!$C$2:$C$611,$C649),INDEX(Dataset3_Raw!$C$2:$C$391,$E649))</f>
        <v>1</v>
      </c>
      <c r="H649" s="23">
        <f>IF($C649&gt;0,INDEX(Merge_1_2!$D$2:$D$611,$C649),INDEX(Dataset3_Raw!$D$2:$D$391,$E649))</f>
        <v>0</v>
      </c>
      <c r="I649" s="23">
        <f>IF($C649&gt;0,INDEX(Merge_1_2!$E$2:$E$611,$C649),INDEX(Dataset3_Raw!$E$2:$E$391,$E649))</f>
        <v>1</v>
      </c>
      <c r="J649" s="23">
        <f>IF($C649&gt;0,INDEX(Merge_1_2!$F$2:$F$611,$C649),INDEX(Dataset3_Raw!$F$2:$F$391,$E649))</f>
        <v>7</v>
      </c>
      <c r="K649" s="23" t="b">
        <f>IF($C649&gt;0,INDEX(Merge_1_2!$G$2:$G$611,$C649),INDEX(Dataset3_Raw!$G$2:$G$391,$E649))</f>
        <v>0</v>
      </c>
      <c r="L649" s="23">
        <f>IF($C649&gt;0,INDEX(Merge_1_2!$H$2:$H$611,$C649),INDEX(Dataset3_Raw!$H$2:$H$391,$E649))</f>
        <v>0</v>
      </c>
      <c r="M649" s="23">
        <f>IF($C649&gt;0,INDEX(Merge_1_2!$I$2:$I$611,$C649),INDEX(Dataset3_Raw!$I$2:$I$391,$E649))</f>
        <v>1</v>
      </c>
      <c r="N649" s="25">
        <f>IF($C649&gt;0,INDEX(Merge_1_2!$J$2:$J$611,$C649),INDEX(Dataset3_Raw!$J$2:$J$391,$E649))</f>
        <v>0.14000000000000001</v>
      </c>
      <c r="O649" s="25">
        <f>IF($C649&gt;0,IF(ISNUMBER(INDEX(Merge_1_2!$K$2:$K$611,$C649)),INDEX(Merge_1_2!$K$2:$K$611,$C649),""),INDEX(Dataset3_Raw!$K$2:$K$391,$E649))</f>
        <v>0.21210000000000001</v>
      </c>
      <c r="P649" s="25">
        <f>IF(ISNUMBER($O649),$O649,ROUND(Lookups!$B$25+Lookups!$B$24*$N649,4))</f>
        <v>0.21210000000000001</v>
      </c>
      <c r="Q649" s="25">
        <f>IF($C649&gt;0,INDEX(Merge_1_2!$L$2:$L$611,$C649),INDEX(Dataset3_Raw!$L$2:$L$391,$E649))</f>
        <v>0.86</v>
      </c>
      <c r="R649" s="25">
        <f>IF($C649&gt;0,INDEX(Merge_1_2!$M$2:$M$611,$C649),INDEX(Dataset3_Raw!$M$2:$M$391,$E649))</f>
        <v>0</v>
      </c>
      <c r="S649" s="23">
        <f>IF($C649&gt;0,INDEX(Merge_1_2!$N$2:$N$611,$C649),INDEX(Dataset3_Raw!$N$2:$N$391,$E649))</f>
        <v>0</v>
      </c>
      <c r="T649" s="23">
        <f>IF($C649&gt;0,INDEX(Merge_1_2!$O$2:$O$611,$C649),INDEX(Dataset3_Raw!$O$2:$O$391,$E649))</f>
        <v>3</v>
      </c>
      <c r="U649" s="23">
        <f>IF($C649&gt;0,INDEX(Merge_1_2!$P$2:$P$611,$C649),INDEX(Dataset3_Raw!$P$2:$P$391,$E649))</f>
        <v>3</v>
      </c>
      <c r="V649" s="23" t="str">
        <f t="shared" si="61"/>
        <v>Weekend</v>
      </c>
      <c r="W649" s="23" t="str">
        <f>VLOOKUP($M649,Lookups!$A$5:$B$8,2,FALSE())</f>
        <v>Clear / Partly cloudy</v>
      </c>
      <c r="X649" s="23" t="str">
        <f>VLOOKUP($G649,Lookups!$D$5:$E$8,2,FALSE())</f>
        <v>Winter</v>
      </c>
      <c r="Y649" s="23" t="str">
        <f>VLOOKUP($L649,Lookups!$G$5:$H$11,2,FALSE())</f>
        <v>Sunday</v>
      </c>
      <c r="Z649" s="23" t="str">
        <f>IF($J649&lt;Lookups!$B$26,"Night",IF($J649&lt;Lookups!$B$27,"Morning",IF($J649&lt;Lookups!$B$28,"Afternoon","Evening")))</f>
        <v>Morning</v>
      </c>
      <c r="AA649" s="26">
        <f>ROUND($N649*(Lookups!$B$16-Lookups!$B$15)+Lookups!$B$15,1)</f>
        <v>-1.4</v>
      </c>
      <c r="AB649" s="26">
        <f>ROUND($P649*(Lookups!$B$18-Lookups!$B$17)+Lookups!$B$17,1)</f>
        <v>-2</v>
      </c>
      <c r="AC649" s="23">
        <f t="shared" si="62"/>
        <v>86</v>
      </c>
      <c r="AD649" s="23">
        <f>ROUND($R649*Lookups!$B$19,1)</f>
        <v>0</v>
      </c>
      <c r="AE649" s="27">
        <f t="shared" si="63"/>
        <v>1</v>
      </c>
      <c r="AF649" s="23" t="str">
        <f>IF($U649&gt;=Lookups!$B$23,"High",IF($U649&gt;=Lookups!$B$22,"Medium","Low"))</f>
        <v>Low</v>
      </c>
      <c r="AG649" s="23">
        <f>ROUND(IF($V649="Weekday",IF(INDEX(Hourly_Analysis!$D$5:$D$28,$J649+1)&gt;0,($U649-INDEX(Hourly_Analysis!$C$5:$C$28,$J649+1))/INDEX(Hourly_Analysis!$D$5:$D$28,$J649+1),0),IF(INDEX(Hourly_Analysis!$G$5:$G$28,$J649+1)&gt;0,($U649-INDEX(Hourly_Analysis!$F$5:$F$28,$J649+1))/INDEX(Hourly_Analysis!$G$5:$G$28,$J649+1),0)),2)</f>
        <v>-0.8</v>
      </c>
      <c r="AH649" s="23" t="str">
        <f>IF(ABS($AG649)&gt;Lookups!$B$20,IF($AG649&gt;0,"High anomaly","Low anomaly"),"")</f>
        <v/>
      </c>
      <c r="AI649" s="23" t="str">
        <f t="shared" si="64"/>
        <v>OK</v>
      </c>
      <c r="AJ649" s="23" t="str">
        <f t="shared" si="65"/>
        <v>No</v>
      </c>
    </row>
    <row r="650" spans="1:36" x14ac:dyDescent="0.35">
      <c r="A650" s="23">
        <v>649</v>
      </c>
      <c r="B650" s="23" t="str">
        <f t="shared" si="60"/>
        <v>Dataset 3</v>
      </c>
      <c r="C650" s="23">
        <f>IFERROR(MATCH($A650,Merge_1_2!$A$2:$A$611,0),0)</f>
        <v>0</v>
      </c>
      <c r="D650" s="23">
        <f>IF($C650&gt;0,INDEX(Merge_1_2!$Q$2:$Q$611,$C650),0)</f>
        <v>0</v>
      </c>
      <c r="E650" s="23">
        <f>IFERROR(MATCH($A650,Dataset3_Raw!$A$2:$A$391,0),0)</f>
        <v>39</v>
      </c>
      <c r="F650" s="24">
        <f>IF($C650&gt;0,INDEX(Merge_1_2!$B$2:$B$611,$C650),DATE(VALUE(RIGHT(INDEX(Dataset3_Raw!$B$2:$B$391,$E650),4)),VALUE(MID(INDEX(Dataset3_Raw!$B$2:$B$391,$E650),4,2)),VALUE(LEFT(INDEX(Dataset3_Raw!$B$2:$B$391,$E650),2))))</f>
        <v>40573</v>
      </c>
      <c r="G650" s="23">
        <f>IF($C650&gt;0,INDEX(Merge_1_2!$C$2:$C$611,$C650),INDEX(Dataset3_Raw!$C$2:$C$391,$E650))</f>
        <v>1</v>
      </c>
      <c r="H650" s="23">
        <f>IF($C650&gt;0,INDEX(Merge_1_2!$D$2:$D$611,$C650),INDEX(Dataset3_Raw!$D$2:$D$391,$E650))</f>
        <v>0</v>
      </c>
      <c r="I650" s="23">
        <f>IF($C650&gt;0,INDEX(Merge_1_2!$E$2:$E$611,$C650),INDEX(Dataset3_Raw!$E$2:$E$391,$E650))</f>
        <v>1</v>
      </c>
      <c r="J650" s="23">
        <f>IF($C650&gt;0,INDEX(Merge_1_2!$F$2:$F$611,$C650),INDEX(Dataset3_Raw!$F$2:$F$391,$E650))</f>
        <v>8</v>
      </c>
      <c r="K650" s="23" t="b">
        <f>IF($C650&gt;0,INDEX(Merge_1_2!$G$2:$G$611,$C650),INDEX(Dataset3_Raw!$G$2:$G$391,$E650))</f>
        <v>0</v>
      </c>
      <c r="L650" s="23">
        <f>IF($C650&gt;0,INDEX(Merge_1_2!$H$2:$H$611,$C650),INDEX(Dataset3_Raw!$H$2:$H$391,$E650))</f>
        <v>0</v>
      </c>
      <c r="M650" s="23">
        <f>IF($C650&gt;0,INDEX(Merge_1_2!$I$2:$I$611,$C650),INDEX(Dataset3_Raw!$I$2:$I$391,$E650))</f>
        <v>2</v>
      </c>
      <c r="N650" s="25">
        <f>IF($C650&gt;0,INDEX(Merge_1_2!$J$2:$J$611,$C650),INDEX(Dataset3_Raw!$J$2:$J$391,$E650))</f>
        <v>0.14000000000000001</v>
      </c>
      <c r="O650" s="25">
        <f>IF($C650&gt;0,IF(ISNUMBER(INDEX(Merge_1_2!$K$2:$K$611,$C650)),INDEX(Merge_1_2!$K$2:$K$611,$C650),""),INDEX(Dataset3_Raw!$K$2:$K$391,$E650))</f>
        <v>0.21210000000000001</v>
      </c>
      <c r="P650" s="25">
        <f>IF(ISNUMBER($O650),$O650,ROUND(Lookups!$B$25+Lookups!$B$24*$N650,4))</f>
        <v>0.21210000000000001</v>
      </c>
      <c r="Q650" s="25">
        <f>IF($C650&gt;0,INDEX(Merge_1_2!$L$2:$L$611,$C650),INDEX(Dataset3_Raw!$L$2:$L$391,$E650))</f>
        <v>0.86</v>
      </c>
      <c r="R650" s="25">
        <f>IF($C650&gt;0,INDEX(Merge_1_2!$M$2:$M$611,$C650),INDEX(Dataset3_Raw!$M$2:$M$391,$E650))</f>
        <v>0</v>
      </c>
      <c r="S650" s="23">
        <f>IF($C650&gt;0,INDEX(Merge_1_2!$N$2:$N$611,$C650),INDEX(Dataset3_Raw!$N$2:$N$391,$E650))</f>
        <v>1</v>
      </c>
      <c r="T650" s="23">
        <f>IF($C650&gt;0,INDEX(Merge_1_2!$O$2:$O$611,$C650),INDEX(Dataset3_Raw!$O$2:$O$391,$E650))</f>
        <v>11</v>
      </c>
      <c r="U650" s="23">
        <f>IF($C650&gt;0,INDEX(Merge_1_2!$P$2:$P$611,$C650),INDEX(Dataset3_Raw!$P$2:$P$391,$E650))</f>
        <v>12</v>
      </c>
      <c r="V650" s="23" t="str">
        <f t="shared" si="61"/>
        <v>Weekend</v>
      </c>
      <c r="W650" s="23" t="str">
        <f>VLOOKUP($M650,Lookups!$A$5:$B$8,2,FALSE())</f>
        <v>Mist / Cloudy</v>
      </c>
      <c r="X650" s="23" t="str">
        <f>VLOOKUP($G650,Lookups!$D$5:$E$8,2,FALSE())</f>
        <v>Winter</v>
      </c>
      <c r="Y650" s="23" t="str">
        <f>VLOOKUP($L650,Lookups!$G$5:$H$11,2,FALSE())</f>
        <v>Sunday</v>
      </c>
      <c r="Z650" s="23" t="str">
        <f>IF($J650&lt;Lookups!$B$26,"Night",IF($J650&lt;Lookups!$B$27,"Morning",IF($J650&lt;Lookups!$B$28,"Afternoon","Evening")))</f>
        <v>Morning</v>
      </c>
      <c r="AA650" s="26">
        <f>ROUND($N650*(Lookups!$B$16-Lookups!$B$15)+Lookups!$B$15,1)</f>
        <v>-1.4</v>
      </c>
      <c r="AB650" s="26">
        <f>ROUND($P650*(Lookups!$B$18-Lookups!$B$17)+Lookups!$B$17,1)</f>
        <v>-2</v>
      </c>
      <c r="AC650" s="23">
        <f t="shared" si="62"/>
        <v>86</v>
      </c>
      <c r="AD650" s="23">
        <f>ROUND($R650*Lookups!$B$19,1)</f>
        <v>0</v>
      </c>
      <c r="AE650" s="27">
        <f t="shared" si="63"/>
        <v>0.91666666666666663</v>
      </c>
      <c r="AF650" s="23" t="str">
        <f>IF($U650&gt;=Lookups!$B$23,"High",IF($U650&gt;=Lookups!$B$22,"Medium","Low"))</f>
        <v>Low</v>
      </c>
      <c r="AG650" s="23">
        <f>ROUND(IF($V650="Weekday",IF(INDEX(Hourly_Analysis!$D$5:$D$28,$J650+1)&gt;0,($U650-INDEX(Hourly_Analysis!$C$5:$C$28,$J650+1))/INDEX(Hourly_Analysis!$D$5:$D$28,$J650+1),0),IF(INDEX(Hourly_Analysis!$G$5:$G$28,$J650+1)&gt;0,($U650-INDEX(Hourly_Analysis!$F$5:$F$28,$J650+1))/INDEX(Hourly_Analysis!$G$5:$G$28,$J650+1),0)),2)</f>
        <v>-0.75</v>
      </c>
      <c r="AH650" s="23" t="str">
        <f>IF(ABS($AG650)&gt;Lookups!$B$20,IF($AG650&gt;0,"High anomaly","Low anomaly"),"")</f>
        <v/>
      </c>
      <c r="AI650" s="23" t="str">
        <f t="shared" si="64"/>
        <v>OK</v>
      </c>
      <c r="AJ650" s="23" t="str">
        <f t="shared" si="65"/>
        <v>No</v>
      </c>
    </row>
    <row r="651" spans="1:36" x14ac:dyDescent="0.35">
      <c r="A651" s="23">
        <v>650</v>
      </c>
      <c r="B651" s="23" t="str">
        <f t="shared" si="60"/>
        <v>Dataset 3</v>
      </c>
      <c r="C651" s="23">
        <f>IFERROR(MATCH($A651,Merge_1_2!$A$2:$A$611,0),0)</f>
        <v>0</v>
      </c>
      <c r="D651" s="23">
        <f>IF($C651&gt;0,INDEX(Merge_1_2!$Q$2:$Q$611,$C651),0)</f>
        <v>0</v>
      </c>
      <c r="E651" s="23">
        <f>IFERROR(MATCH($A651,Dataset3_Raw!$A$2:$A$391,0),0)</f>
        <v>40</v>
      </c>
      <c r="F651" s="24">
        <f>IF($C651&gt;0,INDEX(Merge_1_2!$B$2:$B$611,$C651),DATE(VALUE(RIGHT(INDEX(Dataset3_Raw!$B$2:$B$391,$E651),4)),VALUE(MID(INDEX(Dataset3_Raw!$B$2:$B$391,$E651),4,2)),VALUE(LEFT(INDEX(Dataset3_Raw!$B$2:$B$391,$E651),2))))</f>
        <v>40573</v>
      </c>
      <c r="G651" s="23">
        <f>IF($C651&gt;0,INDEX(Merge_1_2!$C$2:$C$611,$C651),INDEX(Dataset3_Raw!$C$2:$C$391,$E651))</f>
        <v>1</v>
      </c>
      <c r="H651" s="23">
        <f>IF($C651&gt;0,INDEX(Merge_1_2!$D$2:$D$611,$C651),INDEX(Dataset3_Raw!$D$2:$D$391,$E651))</f>
        <v>0</v>
      </c>
      <c r="I651" s="23">
        <f>IF($C651&gt;0,INDEX(Merge_1_2!$E$2:$E$611,$C651),INDEX(Dataset3_Raw!$E$2:$E$391,$E651))</f>
        <v>1</v>
      </c>
      <c r="J651" s="23">
        <f>IF($C651&gt;0,INDEX(Merge_1_2!$F$2:$F$611,$C651),INDEX(Dataset3_Raw!$F$2:$F$391,$E651))</f>
        <v>9</v>
      </c>
      <c r="K651" s="23" t="b">
        <f>IF($C651&gt;0,INDEX(Merge_1_2!$G$2:$G$611,$C651),INDEX(Dataset3_Raw!$G$2:$G$391,$E651))</f>
        <v>0</v>
      </c>
      <c r="L651" s="23">
        <f>IF($C651&gt;0,INDEX(Merge_1_2!$H$2:$H$611,$C651),INDEX(Dataset3_Raw!$H$2:$H$391,$E651))</f>
        <v>0</v>
      </c>
      <c r="M651" s="23">
        <f>IF($C651&gt;0,INDEX(Merge_1_2!$I$2:$I$611,$C651),INDEX(Dataset3_Raw!$I$2:$I$391,$E651))</f>
        <v>2</v>
      </c>
      <c r="N651" s="25">
        <f>IF($C651&gt;0,INDEX(Merge_1_2!$J$2:$J$611,$C651),INDEX(Dataset3_Raw!$J$2:$J$391,$E651))</f>
        <v>0.16</v>
      </c>
      <c r="O651" s="25">
        <f>IF($C651&gt;0,IF(ISNUMBER(INDEX(Merge_1_2!$K$2:$K$611,$C651)),INDEX(Merge_1_2!$K$2:$K$611,$C651),""),INDEX(Dataset3_Raw!$K$2:$K$391,$E651))</f>
        <v>0.2273</v>
      </c>
      <c r="P651" s="25">
        <f>IF(ISNUMBER($O651),$O651,ROUND(Lookups!$B$25+Lookups!$B$24*$N651,4))</f>
        <v>0.2273</v>
      </c>
      <c r="Q651" s="25">
        <f>IF($C651&gt;0,INDEX(Merge_1_2!$L$2:$L$611,$C651),INDEX(Dataset3_Raw!$L$2:$L$391,$E651))</f>
        <v>0.8</v>
      </c>
      <c r="R651" s="25">
        <f>IF($C651&gt;0,INDEX(Merge_1_2!$M$2:$M$611,$C651),INDEX(Dataset3_Raw!$M$2:$M$391,$E651))</f>
        <v>0</v>
      </c>
      <c r="S651" s="23">
        <f>IF($C651&gt;0,INDEX(Merge_1_2!$N$2:$N$611,$C651),INDEX(Dataset3_Raw!$N$2:$N$391,$E651))</f>
        <v>4</v>
      </c>
      <c r="T651" s="23">
        <f>IF($C651&gt;0,INDEX(Merge_1_2!$O$2:$O$611,$C651),INDEX(Dataset3_Raw!$O$2:$O$391,$E651))</f>
        <v>34</v>
      </c>
      <c r="U651" s="23">
        <f>IF($C651&gt;0,INDEX(Merge_1_2!$P$2:$P$611,$C651),INDEX(Dataset3_Raw!$P$2:$P$391,$E651))</f>
        <v>38</v>
      </c>
      <c r="V651" s="23" t="str">
        <f t="shared" si="61"/>
        <v>Weekend</v>
      </c>
      <c r="W651" s="23" t="str">
        <f>VLOOKUP($M651,Lookups!$A$5:$B$8,2,FALSE())</f>
        <v>Mist / Cloudy</v>
      </c>
      <c r="X651" s="23" t="str">
        <f>VLOOKUP($G651,Lookups!$D$5:$E$8,2,FALSE())</f>
        <v>Winter</v>
      </c>
      <c r="Y651" s="23" t="str">
        <f>VLOOKUP($L651,Lookups!$G$5:$H$11,2,FALSE())</f>
        <v>Sunday</v>
      </c>
      <c r="Z651" s="23" t="str">
        <f>IF($J651&lt;Lookups!$B$26,"Night",IF($J651&lt;Lookups!$B$27,"Morning",IF($J651&lt;Lookups!$B$28,"Afternoon","Evening")))</f>
        <v>Morning</v>
      </c>
      <c r="AA651" s="26">
        <f>ROUND($N651*(Lookups!$B$16-Lookups!$B$15)+Lookups!$B$15,1)</f>
        <v>-0.5</v>
      </c>
      <c r="AB651" s="26">
        <f>ROUND($P651*(Lookups!$B$18-Lookups!$B$17)+Lookups!$B$17,1)</f>
        <v>-1</v>
      </c>
      <c r="AC651" s="23">
        <f t="shared" si="62"/>
        <v>80</v>
      </c>
      <c r="AD651" s="23">
        <f>ROUND($R651*Lookups!$B$19,1)</f>
        <v>0</v>
      </c>
      <c r="AE651" s="27">
        <f t="shared" si="63"/>
        <v>0.89473684210526316</v>
      </c>
      <c r="AF651" s="23" t="str">
        <f>IF($U651&gt;=Lookups!$B$23,"High",IF($U651&gt;=Lookups!$B$22,"Medium","Low"))</f>
        <v>Medium</v>
      </c>
      <c r="AG651" s="23">
        <f>ROUND(IF($V651="Weekday",IF(INDEX(Hourly_Analysis!$D$5:$D$28,$J651+1)&gt;0,($U651-INDEX(Hourly_Analysis!$C$5:$C$28,$J651+1))/INDEX(Hourly_Analysis!$D$5:$D$28,$J651+1),0),IF(INDEX(Hourly_Analysis!$G$5:$G$28,$J651+1)&gt;0,($U651-INDEX(Hourly_Analysis!$F$5:$F$28,$J651+1))/INDEX(Hourly_Analysis!$G$5:$G$28,$J651+1),0)),2)</f>
        <v>0.53</v>
      </c>
      <c r="AH651" s="23" t="str">
        <f>IF(ABS($AG651)&gt;Lookups!$B$20,IF($AG651&gt;0,"High anomaly","Low anomaly"),"")</f>
        <v/>
      </c>
      <c r="AI651" s="23" t="str">
        <f t="shared" si="64"/>
        <v>OK</v>
      </c>
      <c r="AJ651" s="23" t="str">
        <f t="shared" si="65"/>
        <v>No</v>
      </c>
    </row>
    <row r="652" spans="1:36" x14ac:dyDescent="0.35">
      <c r="A652" s="23">
        <v>651</v>
      </c>
      <c r="B652" s="23" t="str">
        <f t="shared" si="60"/>
        <v>Dataset 3</v>
      </c>
      <c r="C652" s="23">
        <f>IFERROR(MATCH($A652,Merge_1_2!$A$2:$A$611,0),0)</f>
        <v>0</v>
      </c>
      <c r="D652" s="23">
        <f>IF($C652&gt;0,INDEX(Merge_1_2!$Q$2:$Q$611,$C652),0)</f>
        <v>0</v>
      </c>
      <c r="E652" s="23">
        <f>IFERROR(MATCH($A652,Dataset3_Raw!$A$2:$A$391,0),0)</f>
        <v>41</v>
      </c>
      <c r="F652" s="24">
        <f>IF($C652&gt;0,INDEX(Merge_1_2!$B$2:$B$611,$C652),DATE(VALUE(RIGHT(INDEX(Dataset3_Raw!$B$2:$B$391,$E652),4)),VALUE(MID(INDEX(Dataset3_Raw!$B$2:$B$391,$E652),4,2)),VALUE(LEFT(INDEX(Dataset3_Raw!$B$2:$B$391,$E652),2))))</f>
        <v>40573</v>
      </c>
      <c r="G652" s="23">
        <f>IF($C652&gt;0,INDEX(Merge_1_2!$C$2:$C$611,$C652),INDEX(Dataset3_Raw!$C$2:$C$391,$E652))</f>
        <v>1</v>
      </c>
      <c r="H652" s="23">
        <f>IF($C652&gt;0,INDEX(Merge_1_2!$D$2:$D$611,$C652),INDEX(Dataset3_Raw!$D$2:$D$391,$E652))</f>
        <v>0</v>
      </c>
      <c r="I652" s="23">
        <f>IF($C652&gt;0,INDEX(Merge_1_2!$E$2:$E$611,$C652),INDEX(Dataset3_Raw!$E$2:$E$391,$E652))</f>
        <v>1</v>
      </c>
      <c r="J652" s="23">
        <f>IF($C652&gt;0,INDEX(Merge_1_2!$F$2:$F$611,$C652),INDEX(Dataset3_Raw!$F$2:$F$391,$E652))</f>
        <v>10</v>
      </c>
      <c r="K652" s="23" t="b">
        <f>IF($C652&gt;0,INDEX(Merge_1_2!$G$2:$G$611,$C652),INDEX(Dataset3_Raw!$G$2:$G$391,$E652))</f>
        <v>0</v>
      </c>
      <c r="L652" s="23">
        <f>IF($C652&gt;0,INDEX(Merge_1_2!$H$2:$H$611,$C652),INDEX(Dataset3_Raw!$H$2:$H$391,$E652))</f>
        <v>0</v>
      </c>
      <c r="M652" s="23">
        <f>IF($C652&gt;0,INDEX(Merge_1_2!$I$2:$I$611,$C652),INDEX(Dataset3_Raw!$I$2:$I$391,$E652))</f>
        <v>2</v>
      </c>
      <c r="N652" s="25">
        <f>IF($C652&gt;0,INDEX(Merge_1_2!$J$2:$J$611,$C652),INDEX(Dataset3_Raw!$J$2:$J$391,$E652))</f>
        <v>0.18</v>
      </c>
      <c r="O652" s="25">
        <f>IF($C652&gt;0,IF(ISNUMBER(INDEX(Merge_1_2!$K$2:$K$611,$C652)),INDEX(Merge_1_2!$K$2:$K$611,$C652),""),INDEX(Dataset3_Raw!$K$2:$K$391,$E652))</f>
        <v>0.2424</v>
      </c>
      <c r="P652" s="25">
        <f>IF(ISNUMBER($O652),$O652,ROUND(Lookups!$B$25+Lookups!$B$24*$N652,4))</f>
        <v>0.2424</v>
      </c>
      <c r="Q652" s="25">
        <f>IF($C652&gt;0,INDEX(Merge_1_2!$L$2:$L$611,$C652),INDEX(Dataset3_Raw!$L$2:$L$391,$E652))</f>
        <v>0.8</v>
      </c>
      <c r="R652" s="25">
        <f>IF($C652&gt;0,INDEX(Merge_1_2!$M$2:$M$611,$C652),INDEX(Dataset3_Raw!$M$2:$M$391,$E652))</f>
        <v>0</v>
      </c>
      <c r="S652" s="23">
        <f>IF($C652&gt;0,INDEX(Merge_1_2!$N$2:$N$611,$C652),INDEX(Dataset3_Raw!$N$2:$N$391,$E652))</f>
        <v>7</v>
      </c>
      <c r="T652" s="23">
        <f>IF($C652&gt;0,INDEX(Merge_1_2!$O$2:$O$611,$C652),INDEX(Dataset3_Raw!$O$2:$O$391,$E652))</f>
        <v>57</v>
      </c>
      <c r="U652" s="23">
        <f>IF($C652&gt;0,INDEX(Merge_1_2!$P$2:$P$611,$C652),INDEX(Dataset3_Raw!$P$2:$P$391,$E652))</f>
        <v>64</v>
      </c>
      <c r="V652" s="23" t="str">
        <f t="shared" si="61"/>
        <v>Weekend</v>
      </c>
      <c r="W652" s="23" t="str">
        <f>VLOOKUP($M652,Lookups!$A$5:$B$8,2,FALSE())</f>
        <v>Mist / Cloudy</v>
      </c>
      <c r="X652" s="23" t="str">
        <f>VLOOKUP($G652,Lookups!$D$5:$E$8,2,FALSE())</f>
        <v>Winter</v>
      </c>
      <c r="Y652" s="23" t="str">
        <f>VLOOKUP($L652,Lookups!$G$5:$H$11,2,FALSE())</f>
        <v>Sunday</v>
      </c>
      <c r="Z652" s="23" t="str">
        <f>IF($J652&lt;Lookups!$B$26,"Night",IF($J652&lt;Lookups!$B$27,"Morning",IF($J652&lt;Lookups!$B$28,"Afternoon","Evening")))</f>
        <v>Morning</v>
      </c>
      <c r="AA652" s="26">
        <f>ROUND($N652*(Lookups!$B$16-Lookups!$B$15)+Lookups!$B$15,1)</f>
        <v>0.5</v>
      </c>
      <c r="AB652" s="26">
        <f>ROUND($P652*(Lookups!$B$18-Lookups!$B$17)+Lookups!$B$17,1)</f>
        <v>0</v>
      </c>
      <c r="AC652" s="23">
        <f t="shared" si="62"/>
        <v>80</v>
      </c>
      <c r="AD652" s="23">
        <f>ROUND($R652*Lookups!$B$19,1)</f>
        <v>0</v>
      </c>
      <c r="AE652" s="27">
        <f t="shared" si="63"/>
        <v>0.890625</v>
      </c>
      <c r="AF652" s="23" t="str">
        <f>IF($U652&gt;=Lookups!$B$23,"High",IF($U652&gt;=Lookups!$B$22,"Medium","Low"))</f>
        <v>Medium</v>
      </c>
      <c r="AG652" s="23">
        <f>ROUND(IF($V652="Weekday",IF(INDEX(Hourly_Analysis!$D$5:$D$28,$J652+1)&gt;0,($U652-INDEX(Hourly_Analysis!$C$5:$C$28,$J652+1))/INDEX(Hourly_Analysis!$D$5:$D$28,$J652+1),0),IF(INDEX(Hourly_Analysis!$G$5:$G$28,$J652+1)&gt;0,($U652-INDEX(Hourly_Analysis!$F$5:$F$28,$J652+1))/INDEX(Hourly_Analysis!$G$5:$G$28,$J652+1),0)),2)</f>
        <v>0.08</v>
      </c>
      <c r="AH652" s="23" t="str">
        <f>IF(ABS($AG652)&gt;Lookups!$B$20,IF($AG652&gt;0,"High anomaly","Low anomaly"),"")</f>
        <v/>
      </c>
      <c r="AI652" s="23" t="str">
        <f t="shared" si="64"/>
        <v>OK</v>
      </c>
      <c r="AJ652" s="23" t="str">
        <f t="shared" si="65"/>
        <v>No</v>
      </c>
    </row>
    <row r="653" spans="1:36" x14ac:dyDescent="0.35">
      <c r="A653" s="23">
        <v>652</v>
      </c>
      <c r="B653" s="23" t="str">
        <f t="shared" si="60"/>
        <v>Dataset 3</v>
      </c>
      <c r="C653" s="23">
        <f>IFERROR(MATCH($A653,Merge_1_2!$A$2:$A$611,0),0)</f>
        <v>0</v>
      </c>
      <c r="D653" s="23">
        <f>IF($C653&gt;0,INDEX(Merge_1_2!$Q$2:$Q$611,$C653),0)</f>
        <v>0</v>
      </c>
      <c r="E653" s="23">
        <f>IFERROR(MATCH($A653,Dataset3_Raw!$A$2:$A$391,0),0)</f>
        <v>42</v>
      </c>
      <c r="F653" s="24">
        <f>IF($C653&gt;0,INDEX(Merge_1_2!$B$2:$B$611,$C653),DATE(VALUE(RIGHT(INDEX(Dataset3_Raw!$B$2:$B$391,$E653),4)),VALUE(MID(INDEX(Dataset3_Raw!$B$2:$B$391,$E653),4,2)),VALUE(LEFT(INDEX(Dataset3_Raw!$B$2:$B$391,$E653),2))))</f>
        <v>40573</v>
      </c>
      <c r="G653" s="23">
        <f>IF($C653&gt;0,INDEX(Merge_1_2!$C$2:$C$611,$C653),INDEX(Dataset3_Raw!$C$2:$C$391,$E653))</f>
        <v>1</v>
      </c>
      <c r="H653" s="23">
        <f>IF($C653&gt;0,INDEX(Merge_1_2!$D$2:$D$611,$C653),INDEX(Dataset3_Raw!$D$2:$D$391,$E653))</f>
        <v>0</v>
      </c>
      <c r="I653" s="23">
        <f>IF($C653&gt;0,INDEX(Merge_1_2!$E$2:$E$611,$C653),INDEX(Dataset3_Raw!$E$2:$E$391,$E653))</f>
        <v>1</v>
      </c>
      <c r="J653" s="23">
        <f>IF($C653&gt;0,INDEX(Merge_1_2!$F$2:$F$611,$C653),INDEX(Dataset3_Raw!$F$2:$F$391,$E653))</f>
        <v>11</v>
      </c>
      <c r="K653" s="23" t="b">
        <f>IF($C653&gt;0,INDEX(Merge_1_2!$G$2:$G$611,$C653),INDEX(Dataset3_Raw!$G$2:$G$391,$E653))</f>
        <v>0</v>
      </c>
      <c r="L653" s="23">
        <f>IF($C653&gt;0,INDEX(Merge_1_2!$H$2:$H$611,$C653),INDEX(Dataset3_Raw!$H$2:$H$391,$E653))</f>
        <v>0</v>
      </c>
      <c r="M653" s="23">
        <f>IF($C653&gt;0,INDEX(Merge_1_2!$I$2:$I$611,$C653),INDEX(Dataset3_Raw!$I$2:$I$391,$E653))</f>
        <v>1</v>
      </c>
      <c r="N653" s="25">
        <f>IF($C653&gt;0,INDEX(Merge_1_2!$J$2:$J$611,$C653),INDEX(Dataset3_Raw!$J$2:$J$391,$E653))</f>
        <v>0.22</v>
      </c>
      <c r="O653" s="25">
        <f>IF($C653&gt;0,IF(ISNUMBER(INDEX(Merge_1_2!$K$2:$K$611,$C653)),INDEX(Merge_1_2!$K$2:$K$611,$C653),""),INDEX(Dataset3_Raw!$K$2:$K$391,$E653))</f>
        <v>0.2727</v>
      </c>
      <c r="P653" s="25">
        <f>IF(ISNUMBER($O653),$O653,ROUND(Lookups!$B$25+Lookups!$B$24*$N653,4))</f>
        <v>0.2727</v>
      </c>
      <c r="Q653" s="25">
        <f>IF($C653&gt;0,INDEX(Merge_1_2!$L$2:$L$611,$C653),INDEX(Dataset3_Raw!$L$2:$L$391,$E653))</f>
        <v>0.75</v>
      </c>
      <c r="R653" s="25">
        <f>IF($C653&gt;0,INDEX(Merge_1_2!$M$2:$M$611,$C653),INDEX(Dataset3_Raw!$M$2:$M$391,$E653))</f>
        <v>0</v>
      </c>
      <c r="S653" s="23">
        <f>IF($C653&gt;0,INDEX(Merge_1_2!$N$2:$N$611,$C653),INDEX(Dataset3_Raw!$N$2:$N$391,$E653))</f>
        <v>9</v>
      </c>
      <c r="T653" s="23">
        <f>IF($C653&gt;0,INDEX(Merge_1_2!$O$2:$O$611,$C653),INDEX(Dataset3_Raw!$O$2:$O$391,$E653))</f>
        <v>50</v>
      </c>
      <c r="U653" s="23">
        <f>IF($C653&gt;0,INDEX(Merge_1_2!$P$2:$P$611,$C653),INDEX(Dataset3_Raw!$P$2:$P$391,$E653))</f>
        <v>59</v>
      </c>
      <c r="V653" s="23" t="str">
        <f t="shared" si="61"/>
        <v>Weekend</v>
      </c>
      <c r="W653" s="23" t="str">
        <f>VLOOKUP($M653,Lookups!$A$5:$B$8,2,FALSE())</f>
        <v>Clear / Partly cloudy</v>
      </c>
      <c r="X653" s="23" t="str">
        <f>VLOOKUP($G653,Lookups!$D$5:$E$8,2,FALSE())</f>
        <v>Winter</v>
      </c>
      <c r="Y653" s="23" t="str">
        <f>VLOOKUP($L653,Lookups!$G$5:$H$11,2,FALSE())</f>
        <v>Sunday</v>
      </c>
      <c r="Z653" s="23" t="str">
        <f>IF($J653&lt;Lookups!$B$26,"Night",IF($J653&lt;Lookups!$B$27,"Morning",IF($J653&lt;Lookups!$B$28,"Afternoon","Evening")))</f>
        <v>Morning</v>
      </c>
      <c r="AA653" s="26">
        <f>ROUND($N653*(Lookups!$B$16-Lookups!$B$15)+Lookups!$B$15,1)</f>
        <v>2.2999999999999998</v>
      </c>
      <c r="AB653" s="26">
        <f>ROUND($P653*(Lookups!$B$18-Lookups!$B$17)+Lookups!$B$17,1)</f>
        <v>2</v>
      </c>
      <c r="AC653" s="23">
        <f t="shared" si="62"/>
        <v>75</v>
      </c>
      <c r="AD653" s="23">
        <f>ROUND($R653*Lookups!$B$19,1)</f>
        <v>0</v>
      </c>
      <c r="AE653" s="27">
        <f t="shared" si="63"/>
        <v>0.84745762711864403</v>
      </c>
      <c r="AF653" s="23" t="str">
        <f>IF($U653&gt;=Lookups!$B$23,"High",IF($U653&gt;=Lookups!$B$22,"Medium","Low"))</f>
        <v>Medium</v>
      </c>
      <c r="AG653" s="23">
        <f>ROUND(IF($V653="Weekday",IF(INDEX(Hourly_Analysis!$D$5:$D$28,$J653+1)&gt;0,($U653-INDEX(Hourly_Analysis!$C$5:$C$28,$J653+1))/INDEX(Hourly_Analysis!$D$5:$D$28,$J653+1),0),IF(INDEX(Hourly_Analysis!$G$5:$G$28,$J653+1)&gt;0,($U653-INDEX(Hourly_Analysis!$F$5:$F$28,$J653+1))/INDEX(Hourly_Analysis!$G$5:$G$28,$J653+1),0)),2)</f>
        <v>-0.71</v>
      </c>
      <c r="AH653" s="23" t="str">
        <f>IF(ABS($AG653)&gt;Lookups!$B$20,IF($AG653&gt;0,"High anomaly","Low anomaly"),"")</f>
        <v/>
      </c>
      <c r="AI653" s="23" t="str">
        <f t="shared" si="64"/>
        <v>OK</v>
      </c>
      <c r="AJ653" s="23" t="str">
        <f t="shared" si="65"/>
        <v>No</v>
      </c>
    </row>
    <row r="654" spans="1:36" x14ac:dyDescent="0.35">
      <c r="A654" s="23">
        <v>653</v>
      </c>
      <c r="B654" s="23" t="str">
        <f t="shared" si="60"/>
        <v>Dataset 3</v>
      </c>
      <c r="C654" s="23">
        <f>IFERROR(MATCH($A654,Merge_1_2!$A$2:$A$611,0),0)</f>
        <v>0</v>
      </c>
      <c r="D654" s="23">
        <f>IF($C654&gt;0,INDEX(Merge_1_2!$Q$2:$Q$611,$C654),0)</f>
        <v>0</v>
      </c>
      <c r="E654" s="23">
        <f>IFERROR(MATCH($A654,Dataset3_Raw!$A$2:$A$391,0),0)</f>
        <v>43</v>
      </c>
      <c r="F654" s="24">
        <f>IF($C654&gt;0,INDEX(Merge_1_2!$B$2:$B$611,$C654),DATE(VALUE(RIGHT(INDEX(Dataset3_Raw!$B$2:$B$391,$E654),4)),VALUE(MID(INDEX(Dataset3_Raw!$B$2:$B$391,$E654),4,2)),VALUE(LEFT(INDEX(Dataset3_Raw!$B$2:$B$391,$E654),2))))</f>
        <v>40573</v>
      </c>
      <c r="G654" s="23">
        <f>IF($C654&gt;0,INDEX(Merge_1_2!$C$2:$C$611,$C654),INDEX(Dataset3_Raw!$C$2:$C$391,$E654))</f>
        <v>1</v>
      </c>
      <c r="H654" s="23">
        <f>IF($C654&gt;0,INDEX(Merge_1_2!$D$2:$D$611,$C654),INDEX(Dataset3_Raw!$D$2:$D$391,$E654))</f>
        <v>0</v>
      </c>
      <c r="I654" s="23">
        <f>IF($C654&gt;0,INDEX(Merge_1_2!$E$2:$E$611,$C654),INDEX(Dataset3_Raw!$E$2:$E$391,$E654))</f>
        <v>1</v>
      </c>
      <c r="J654" s="23">
        <f>IF($C654&gt;0,INDEX(Merge_1_2!$F$2:$F$611,$C654),INDEX(Dataset3_Raw!$F$2:$F$391,$E654))</f>
        <v>12</v>
      </c>
      <c r="K654" s="23" t="b">
        <f>IF($C654&gt;0,INDEX(Merge_1_2!$G$2:$G$611,$C654),INDEX(Dataset3_Raw!$G$2:$G$391,$E654))</f>
        <v>0</v>
      </c>
      <c r="L654" s="23">
        <f>IF($C654&gt;0,INDEX(Merge_1_2!$H$2:$H$611,$C654),INDEX(Dataset3_Raw!$H$2:$H$391,$E654))</f>
        <v>0</v>
      </c>
      <c r="M654" s="23">
        <f>IF($C654&gt;0,INDEX(Merge_1_2!$I$2:$I$611,$C654),INDEX(Dataset3_Raw!$I$2:$I$391,$E654))</f>
        <v>1</v>
      </c>
      <c r="N654" s="25">
        <f>IF($C654&gt;0,INDEX(Merge_1_2!$J$2:$J$611,$C654),INDEX(Dataset3_Raw!$J$2:$J$391,$E654))</f>
        <v>0.3</v>
      </c>
      <c r="O654" s="25">
        <f>IF($C654&gt;0,IF(ISNUMBER(INDEX(Merge_1_2!$K$2:$K$611,$C654)),INDEX(Merge_1_2!$K$2:$K$611,$C654),""),INDEX(Dataset3_Raw!$K$2:$K$391,$E654))</f>
        <v>0.31819999999999998</v>
      </c>
      <c r="P654" s="25">
        <f>IF(ISNUMBER($O654),$O654,ROUND(Lookups!$B$25+Lookups!$B$24*$N654,4))</f>
        <v>0.31819999999999998</v>
      </c>
      <c r="Q654" s="25">
        <f>IF($C654&gt;0,INDEX(Merge_1_2!$L$2:$L$611,$C654),INDEX(Dataset3_Raw!$L$2:$L$391,$E654))</f>
        <v>0.52</v>
      </c>
      <c r="R654" s="25">
        <f>IF($C654&gt;0,INDEX(Merge_1_2!$M$2:$M$611,$C654),INDEX(Dataset3_Raw!$M$2:$M$391,$E654))</f>
        <v>0.1045</v>
      </c>
      <c r="S654" s="23">
        <f>IF($C654&gt;0,INDEX(Merge_1_2!$N$2:$N$611,$C654),INDEX(Dataset3_Raw!$N$2:$N$391,$E654))</f>
        <v>10</v>
      </c>
      <c r="T654" s="23">
        <f>IF($C654&gt;0,INDEX(Merge_1_2!$O$2:$O$611,$C654),INDEX(Dataset3_Raw!$O$2:$O$391,$E654))</f>
        <v>87</v>
      </c>
      <c r="U654" s="23">
        <f>IF($C654&gt;0,INDEX(Merge_1_2!$P$2:$P$611,$C654),INDEX(Dataset3_Raw!$P$2:$P$391,$E654))</f>
        <v>97</v>
      </c>
      <c r="V654" s="23" t="str">
        <f t="shared" si="61"/>
        <v>Weekend</v>
      </c>
      <c r="W654" s="23" t="str">
        <f>VLOOKUP($M654,Lookups!$A$5:$B$8,2,FALSE())</f>
        <v>Clear / Partly cloudy</v>
      </c>
      <c r="X654" s="23" t="str">
        <f>VLOOKUP($G654,Lookups!$D$5:$E$8,2,FALSE())</f>
        <v>Winter</v>
      </c>
      <c r="Y654" s="23" t="str">
        <f>VLOOKUP($L654,Lookups!$G$5:$H$11,2,FALSE())</f>
        <v>Sunday</v>
      </c>
      <c r="Z654" s="23" t="str">
        <f>IF($J654&lt;Lookups!$B$26,"Night",IF($J654&lt;Lookups!$B$27,"Morning",IF($J654&lt;Lookups!$B$28,"Afternoon","Evening")))</f>
        <v>Afternoon</v>
      </c>
      <c r="AA654" s="26">
        <f>ROUND($N654*(Lookups!$B$16-Lookups!$B$15)+Lookups!$B$15,1)</f>
        <v>6.1</v>
      </c>
      <c r="AB654" s="26">
        <f>ROUND($P654*(Lookups!$B$18-Lookups!$B$17)+Lookups!$B$17,1)</f>
        <v>5</v>
      </c>
      <c r="AC654" s="23">
        <f t="shared" si="62"/>
        <v>52</v>
      </c>
      <c r="AD654" s="23">
        <f>ROUND($R654*Lookups!$B$19,1)</f>
        <v>7</v>
      </c>
      <c r="AE654" s="27">
        <f t="shared" si="63"/>
        <v>0.89690721649484539</v>
      </c>
      <c r="AF654" s="23" t="str">
        <f>IF($U654&gt;=Lookups!$B$23,"High",IF($U654&gt;=Lookups!$B$22,"Medium","Low"))</f>
        <v>High</v>
      </c>
      <c r="AG654" s="23">
        <f>ROUND(IF($V654="Weekday",IF(INDEX(Hourly_Analysis!$D$5:$D$28,$J654+1)&gt;0,($U654-INDEX(Hourly_Analysis!$C$5:$C$28,$J654+1))/INDEX(Hourly_Analysis!$D$5:$D$28,$J654+1),0),IF(INDEX(Hourly_Analysis!$G$5:$G$28,$J654+1)&gt;0,($U654-INDEX(Hourly_Analysis!$F$5:$F$28,$J654+1))/INDEX(Hourly_Analysis!$G$5:$G$28,$J654+1),0)),2)</f>
        <v>-7.0000000000000007E-2</v>
      </c>
      <c r="AH654" s="23" t="str">
        <f>IF(ABS($AG654)&gt;Lookups!$B$20,IF($AG654&gt;0,"High anomaly","Low anomaly"),"")</f>
        <v/>
      </c>
      <c r="AI654" s="23" t="str">
        <f t="shared" si="64"/>
        <v>OK</v>
      </c>
      <c r="AJ654" s="23" t="str">
        <f t="shared" si="65"/>
        <v>No</v>
      </c>
    </row>
    <row r="655" spans="1:36" x14ac:dyDescent="0.35">
      <c r="A655" s="23">
        <v>654</v>
      </c>
      <c r="B655" s="23" t="str">
        <f t="shared" si="60"/>
        <v>Dataset 3</v>
      </c>
      <c r="C655" s="23">
        <f>IFERROR(MATCH($A655,Merge_1_2!$A$2:$A$611,0),0)</f>
        <v>0</v>
      </c>
      <c r="D655" s="23">
        <f>IF($C655&gt;0,INDEX(Merge_1_2!$Q$2:$Q$611,$C655),0)</f>
        <v>0</v>
      </c>
      <c r="E655" s="23">
        <f>IFERROR(MATCH($A655,Dataset3_Raw!$A$2:$A$391,0),0)</f>
        <v>44</v>
      </c>
      <c r="F655" s="24">
        <f>IF($C655&gt;0,INDEX(Merge_1_2!$B$2:$B$611,$C655),DATE(VALUE(RIGHT(INDEX(Dataset3_Raw!$B$2:$B$391,$E655),4)),VALUE(MID(INDEX(Dataset3_Raw!$B$2:$B$391,$E655),4,2)),VALUE(LEFT(INDEX(Dataset3_Raw!$B$2:$B$391,$E655),2))))</f>
        <v>40573</v>
      </c>
      <c r="G655" s="23">
        <f>IF($C655&gt;0,INDEX(Merge_1_2!$C$2:$C$611,$C655),INDEX(Dataset3_Raw!$C$2:$C$391,$E655))</f>
        <v>1</v>
      </c>
      <c r="H655" s="23">
        <f>IF($C655&gt;0,INDEX(Merge_1_2!$D$2:$D$611,$C655),INDEX(Dataset3_Raw!$D$2:$D$391,$E655))</f>
        <v>0</v>
      </c>
      <c r="I655" s="23">
        <f>IF($C655&gt;0,INDEX(Merge_1_2!$E$2:$E$611,$C655),INDEX(Dataset3_Raw!$E$2:$E$391,$E655))</f>
        <v>1</v>
      </c>
      <c r="J655" s="23">
        <f>IF($C655&gt;0,INDEX(Merge_1_2!$F$2:$F$611,$C655),INDEX(Dataset3_Raw!$F$2:$F$391,$E655))</f>
        <v>13</v>
      </c>
      <c r="K655" s="23" t="b">
        <f>IF($C655&gt;0,INDEX(Merge_1_2!$G$2:$G$611,$C655),INDEX(Dataset3_Raw!$G$2:$G$391,$E655))</f>
        <v>0</v>
      </c>
      <c r="L655" s="23">
        <f>IF($C655&gt;0,INDEX(Merge_1_2!$H$2:$H$611,$C655),INDEX(Dataset3_Raw!$H$2:$H$391,$E655))</f>
        <v>0</v>
      </c>
      <c r="M655" s="23">
        <f>IF($C655&gt;0,INDEX(Merge_1_2!$I$2:$I$611,$C655),INDEX(Dataset3_Raw!$I$2:$I$391,$E655))</f>
        <v>1</v>
      </c>
      <c r="N655" s="25">
        <f>IF($C655&gt;0,INDEX(Merge_1_2!$J$2:$J$611,$C655),INDEX(Dataset3_Raw!$J$2:$J$391,$E655))</f>
        <v>0.28000000000000003</v>
      </c>
      <c r="O655" s="25">
        <f>IF($C655&gt;0,IF(ISNUMBER(INDEX(Merge_1_2!$K$2:$K$611,$C655)),INDEX(Merge_1_2!$K$2:$K$611,$C655),""),INDEX(Dataset3_Raw!$K$2:$K$391,$E655))</f>
        <v>0.28789999999999999</v>
      </c>
      <c r="P655" s="25">
        <f>IF(ISNUMBER($O655),$O655,ROUND(Lookups!$B$25+Lookups!$B$24*$N655,4))</f>
        <v>0.28789999999999999</v>
      </c>
      <c r="Q655" s="25">
        <f>IF($C655&gt;0,INDEX(Merge_1_2!$L$2:$L$611,$C655),INDEX(Dataset3_Raw!$L$2:$L$391,$E655))</f>
        <v>0.61</v>
      </c>
      <c r="R655" s="25">
        <f>IF($C655&gt;0,INDEX(Merge_1_2!$M$2:$M$611,$C655),INDEX(Dataset3_Raw!$M$2:$M$391,$E655))</f>
        <v>0.1045</v>
      </c>
      <c r="S655" s="23">
        <f>IF($C655&gt;0,INDEX(Merge_1_2!$N$2:$N$611,$C655),INDEX(Dataset3_Raw!$N$2:$N$391,$E655))</f>
        <v>13</v>
      </c>
      <c r="T655" s="23">
        <f>IF($C655&gt;0,INDEX(Merge_1_2!$O$2:$O$611,$C655),INDEX(Dataset3_Raw!$O$2:$O$391,$E655))</f>
        <v>71</v>
      </c>
      <c r="U655" s="23">
        <f>IF($C655&gt;0,INDEX(Merge_1_2!$P$2:$P$611,$C655),INDEX(Dataset3_Raw!$P$2:$P$391,$E655))</f>
        <v>84</v>
      </c>
      <c r="V655" s="23" t="str">
        <f t="shared" si="61"/>
        <v>Weekend</v>
      </c>
      <c r="W655" s="23" t="str">
        <f>VLOOKUP($M655,Lookups!$A$5:$B$8,2,FALSE())</f>
        <v>Clear / Partly cloudy</v>
      </c>
      <c r="X655" s="23" t="str">
        <f>VLOOKUP($G655,Lookups!$D$5:$E$8,2,FALSE())</f>
        <v>Winter</v>
      </c>
      <c r="Y655" s="23" t="str">
        <f>VLOOKUP($L655,Lookups!$G$5:$H$11,2,FALSE())</f>
        <v>Sunday</v>
      </c>
      <c r="Z655" s="23" t="str">
        <f>IF($J655&lt;Lookups!$B$26,"Night",IF($J655&lt;Lookups!$B$27,"Morning",IF($J655&lt;Lookups!$B$28,"Afternoon","Evening")))</f>
        <v>Afternoon</v>
      </c>
      <c r="AA655" s="26">
        <f>ROUND($N655*(Lookups!$B$16-Lookups!$B$15)+Lookups!$B$15,1)</f>
        <v>5.2</v>
      </c>
      <c r="AB655" s="26">
        <f>ROUND($P655*(Lookups!$B$18-Lookups!$B$17)+Lookups!$B$17,1)</f>
        <v>3</v>
      </c>
      <c r="AC655" s="23">
        <f t="shared" si="62"/>
        <v>61</v>
      </c>
      <c r="AD655" s="23">
        <f>ROUND($R655*Lookups!$B$19,1)</f>
        <v>7</v>
      </c>
      <c r="AE655" s="27">
        <f t="shared" si="63"/>
        <v>0.84523809523809523</v>
      </c>
      <c r="AF655" s="23" t="str">
        <f>IF($U655&gt;=Lookups!$B$23,"High",IF($U655&gt;=Lookups!$B$22,"Medium","Low"))</f>
        <v>High</v>
      </c>
      <c r="AG655" s="23">
        <f>ROUND(IF($V655="Weekday",IF(INDEX(Hourly_Analysis!$D$5:$D$28,$J655+1)&gt;0,($U655-INDEX(Hourly_Analysis!$C$5:$C$28,$J655+1))/INDEX(Hourly_Analysis!$D$5:$D$28,$J655+1),0),IF(INDEX(Hourly_Analysis!$G$5:$G$28,$J655+1)&gt;0,($U655-INDEX(Hourly_Analysis!$F$5:$F$28,$J655+1))/INDEX(Hourly_Analysis!$G$5:$G$28,$J655+1),0)),2)</f>
        <v>-0.53</v>
      </c>
      <c r="AH655" s="23" t="str">
        <f>IF(ABS($AG655)&gt;Lookups!$B$20,IF($AG655&gt;0,"High anomaly","Low anomaly"),"")</f>
        <v/>
      </c>
      <c r="AI655" s="23" t="str">
        <f t="shared" si="64"/>
        <v>OK</v>
      </c>
      <c r="AJ655" s="23" t="str">
        <f t="shared" si="65"/>
        <v>No</v>
      </c>
    </row>
    <row r="656" spans="1:36" x14ac:dyDescent="0.35">
      <c r="A656" s="23">
        <v>655</v>
      </c>
      <c r="B656" s="23" t="str">
        <f t="shared" si="60"/>
        <v>Dataset 3</v>
      </c>
      <c r="C656" s="23">
        <f>IFERROR(MATCH($A656,Merge_1_2!$A$2:$A$611,0),0)</f>
        <v>0</v>
      </c>
      <c r="D656" s="23">
        <f>IF($C656&gt;0,INDEX(Merge_1_2!$Q$2:$Q$611,$C656),0)</f>
        <v>0</v>
      </c>
      <c r="E656" s="23">
        <f>IFERROR(MATCH($A656,Dataset3_Raw!$A$2:$A$391,0),0)</f>
        <v>45</v>
      </c>
      <c r="F656" s="24">
        <f>IF($C656&gt;0,INDEX(Merge_1_2!$B$2:$B$611,$C656),DATE(VALUE(RIGHT(INDEX(Dataset3_Raw!$B$2:$B$391,$E656),4)),VALUE(MID(INDEX(Dataset3_Raw!$B$2:$B$391,$E656),4,2)),VALUE(LEFT(INDEX(Dataset3_Raw!$B$2:$B$391,$E656),2))))</f>
        <v>40573</v>
      </c>
      <c r="G656" s="23">
        <f>IF($C656&gt;0,INDEX(Merge_1_2!$C$2:$C$611,$C656),INDEX(Dataset3_Raw!$C$2:$C$391,$E656))</f>
        <v>1</v>
      </c>
      <c r="H656" s="23">
        <f>IF($C656&gt;0,INDEX(Merge_1_2!$D$2:$D$611,$C656),INDEX(Dataset3_Raw!$D$2:$D$391,$E656))</f>
        <v>0</v>
      </c>
      <c r="I656" s="23">
        <f>IF($C656&gt;0,INDEX(Merge_1_2!$E$2:$E$611,$C656),INDEX(Dataset3_Raw!$E$2:$E$391,$E656))</f>
        <v>1</v>
      </c>
      <c r="J656" s="23">
        <f>IF($C656&gt;0,INDEX(Merge_1_2!$F$2:$F$611,$C656),INDEX(Dataset3_Raw!$F$2:$F$391,$E656))</f>
        <v>14</v>
      </c>
      <c r="K656" s="23" t="b">
        <f>IF($C656&gt;0,INDEX(Merge_1_2!$G$2:$G$611,$C656),INDEX(Dataset3_Raw!$G$2:$G$391,$E656))</f>
        <v>0</v>
      </c>
      <c r="L656" s="23">
        <f>IF($C656&gt;0,INDEX(Merge_1_2!$H$2:$H$611,$C656),INDEX(Dataset3_Raw!$H$2:$H$391,$E656))</f>
        <v>0</v>
      </c>
      <c r="M656" s="23">
        <f>IF($C656&gt;0,INDEX(Merge_1_2!$I$2:$I$611,$C656),INDEX(Dataset3_Raw!$I$2:$I$391,$E656))</f>
        <v>1</v>
      </c>
      <c r="N656" s="25">
        <f>IF($C656&gt;0,INDEX(Merge_1_2!$J$2:$J$611,$C656),INDEX(Dataset3_Raw!$J$2:$J$391,$E656))</f>
        <v>0.28000000000000003</v>
      </c>
      <c r="O656" s="25">
        <f>IF($C656&gt;0,IF(ISNUMBER(INDEX(Merge_1_2!$K$2:$K$611,$C656)),INDEX(Merge_1_2!$K$2:$K$611,$C656),""),INDEX(Dataset3_Raw!$K$2:$K$391,$E656))</f>
        <v>0.30299999999999999</v>
      </c>
      <c r="P656" s="25">
        <f>IF(ISNUMBER($O656),$O656,ROUND(Lookups!$B$25+Lookups!$B$24*$N656,4))</f>
        <v>0.30299999999999999</v>
      </c>
      <c r="Q656" s="25">
        <f>IF($C656&gt;0,INDEX(Merge_1_2!$L$2:$L$611,$C656),INDEX(Dataset3_Raw!$L$2:$L$391,$E656))</f>
        <v>0.61</v>
      </c>
      <c r="R656" s="25">
        <f>IF($C656&gt;0,INDEX(Merge_1_2!$M$2:$M$611,$C656),INDEX(Dataset3_Raw!$M$2:$M$391,$E656))</f>
        <v>8.9599999999999999E-2</v>
      </c>
      <c r="S656" s="23">
        <f>IF($C656&gt;0,INDEX(Merge_1_2!$N$2:$N$611,$C656),INDEX(Dataset3_Raw!$N$2:$N$391,$E656))</f>
        <v>18</v>
      </c>
      <c r="T656" s="23">
        <f>IF($C656&gt;0,INDEX(Merge_1_2!$O$2:$O$611,$C656),INDEX(Dataset3_Raw!$O$2:$O$391,$E656))</f>
        <v>104</v>
      </c>
      <c r="U656" s="23">
        <f>IF($C656&gt;0,INDEX(Merge_1_2!$P$2:$P$611,$C656),INDEX(Dataset3_Raw!$P$2:$P$391,$E656))</f>
        <v>122</v>
      </c>
      <c r="V656" s="23" t="str">
        <f t="shared" si="61"/>
        <v>Weekend</v>
      </c>
      <c r="W656" s="23" t="str">
        <f>VLOOKUP($M656,Lookups!$A$5:$B$8,2,FALSE())</f>
        <v>Clear / Partly cloudy</v>
      </c>
      <c r="X656" s="23" t="str">
        <f>VLOOKUP($G656,Lookups!$D$5:$E$8,2,FALSE())</f>
        <v>Winter</v>
      </c>
      <c r="Y656" s="23" t="str">
        <f>VLOOKUP($L656,Lookups!$G$5:$H$11,2,FALSE())</f>
        <v>Sunday</v>
      </c>
      <c r="Z656" s="23" t="str">
        <f>IF($J656&lt;Lookups!$B$26,"Night",IF($J656&lt;Lookups!$B$27,"Morning",IF($J656&lt;Lookups!$B$28,"Afternoon","Evening")))</f>
        <v>Afternoon</v>
      </c>
      <c r="AA656" s="26">
        <f>ROUND($N656*(Lookups!$B$16-Lookups!$B$15)+Lookups!$B$15,1)</f>
        <v>5.2</v>
      </c>
      <c r="AB656" s="26">
        <f>ROUND($P656*(Lookups!$B$18-Lookups!$B$17)+Lookups!$B$17,1)</f>
        <v>4</v>
      </c>
      <c r="AC656" s="23">
        <f t="shared" si="62"/>
        <v>61</v>
      </c>
      <c r="AD656" s="23">
        <f>ROUND($R656*Lookups!$B$19,1)</f>
        <v>6</v>
      </c>
      <c r="AE656" s="27">
        <f t="shared" si="63"/>
        <v>0.85245901639344257</v>
      </c>
      <c r="AF656" s="23" t="str">
        <f>IF($U656&gt;=Lookups!$B$23,"High",IF($U656&gt;=Lookups!$B$22,"Medium","Low"))</f>
        <v>High</v>
      </c>
      <c r="AG656" s="23">
        <f>ROUND(IF($V656="Weekday",IF(INDEX(Hourly_Analysis!$D$5:$D$28,$J656+1)&gt;0,($U656-INDEX(Hourly_Analysis!$C$5:$C$28,$J656+1))/INDEX(Hourly_Analysis!$D$5:$D$28,$J656+1),0),IF(INDEX(Hourly_Analysis!$G$5:$G$28,$J656+1)&gt;0,($U656-INDEX(Hourly_Analysis!$F$5:$F$28,$J656+1))/INDEX(Hourly_Analysis!$G$5:$G$28,$J656+1),0)),2)</f>
        <v>0.63</v>
      </c>
      <c r="AH656" s="23" t="str">
        <f>IF(ABS($AG656)&gt;Lookups!$B$20,IF($AG656&gt;0,"High anomaly","Low anomaly"),"")</f>
        <v/>
      </c>
      <c r="AI656" s="23" t="str">
        <f t="shared" si="64"/>
        <v>OK</v>
      </c>
      <c r="AJ656" s="23" t="str">
        <f t="shared" si="65"/>
        <v>No</v>
      </c>
    </row>
    <row r="657" spans="1:36" x14ac:dyDescent="0.35">
      <c r="A657" s="23">
        <v>656</v>
      </c>
      <c r="B657" s="23" t="str">
        <f t="shared" si="60"/>
        <v>Dataset 3</v>
      </c>
      <c r="C657" s="23">
        <f>IFERROR(MATCH($A657,Merge_1_2!$A$2:$A$611,0),0)</f>
        <v>0</v>
      </c>
      <c r="D657" s="23">
        <f>IF($C657&gt;0,INDEX(Merge_1_2!$Q$2:$Q$611,$C657),0)</f>
        <v>0</v>
      </c>
      <c r="E657" s="23">
        <f>IFERROR(MATCH($A657,Dataset3_Raw!$A$2:$A$391,0),0)</f>
        <v>46</v>
      </c>
      <c r="F657" s="24">
        <f>IF($C657&gt;0,INDEX(Merge_1_2!$B$2:$B$611,$C657),DATE(VALUE(RIGHT(INDEX(Dataset3_Raw!$B$2:$B$391,$E657),4)),VALUE(MID(INDEX(Dataset3_Raw!$B$2:$B$391,$E657),4,2)),VALUE(LEFT(INDEX(Dataset3_Raw!$B$2:$B$391,$E657),2))))</f>
        <v>40573</v>
      </c>
      <c r="G657" s="23">
        <f>IF($C657&gt;0,INDEX(Merge_1_2!$C$2:$C$611,$C657),INDEX(Dataset3_Raw!$C$2:$C$391,$E657))</f>
        <v>1</v>
      </c>
      <c r="H657" s="23">
        <f>IF($C657&gt;0,INDEX(Merge_1_2!$D$2:$D$611,$C657),INDEX(Dataset3_Raw!$D$2:$D$391,$E657))</f>
        <v>0</v>
      </c>
      <c r="I657" s="23">
        <f>IF($C657&gt;0,INDEX(Merge_1_2!$E$2:$E$611,$C657),INDEX(Dataset3_Raw!$E$2:$E$391,$E657))</f>
        <v>1</v>
      </c>
      <c r="J657" s="23">
        <f>IF($C657&gt;0,INDEX(Merge_1_2!$F$2:$F$611,$C657),INDEX(Dataset3_Raw!$F$2:$F$391,$E657))</f>
        <v>15</v>
      </c>
      <c r="K657" s="23" t="b">
        <f>IF($C657&gt;0,INDEX(Merge_1_2!$G$2:$G$611,$C657),INDEX(Dataset3_Raw!$G$2:$G$391,$E657))</f>
        <v>0</v>
      </c>
      <c r="L657" s="23">
        <f>IF($C657&gt;0,INDEX(Merge_1_2!$H$2:$H$611,$C657),INDEX(Dataset3_Raw!$H$2:$H$391,$E657))</f>
        <v>0</v>
      </c>
      <c r="M657" s="23">
        <f>IF($C657&gt;0,INDEX(Merge_1_2!$I$2:$I$611,$C657),INDEX(Dataset3_Raw!$I$2:$I$391,$E657))</f>
        <v>1</v>
      </c>
      <c r="N657" s="25">
        <f>IF($C657&gt;0,INDEX(Merge_1_2!$J$2:$J$611,$C657),INDEX(Dataset3_Raw!$J$2:$J$391,$E657))</f>
        <v>0.3</v>
      </c>
      <c r="O657" s="25">
        <f>IF($C657&gt;0,IF(ISNUMBER(INDEX(Merge_1_2!$K$2:$K$611,$C657)),INDEX(Merge_1_2!$K$2:$K$611,$C657),""),INDEX(Dataset3_Raw!$K$2:$K$391,$E657))</f>
        <v>0.33329999999999999</v>
      </c>
      <c r="P657" s="25">
        <f>IF(ISNUMBER($O657),$O657,ROUND(Lookups!$B$25+Lookups!$B$24*$N657,4))</f>
        <v>0.33329999999999999</v>
      </c>
      <c r="Q657" s="25">
        <f>IF($C657&gt;0,INDEX(Merge_1_2!$L$2:$L$611,$C657),INDEX(Dataset3_Raw!$L$2:$L$391,$E657))</f>
        <v>0.56000000000000005</v>
      </c>
      <c r="R657" s="25">
        <f>IF($C657&gt;0,INDEX(Merge_1_2!$M$2:$M$611,$C657),INDEX(Dataset3_Raw!$M$2:$M$391,$E657))</f>
        <v>0</v>
      </c>
      <c r="S657" s="23">
        <f>IF($C657&gt;0,INDEX(Merge_1_2!$N$2:$N$611,$C657),INDEX(Dataset3_Raw!$N$2:$N$391,$E657))</f>
        <v>14</v>
      </c>
      <c r="T657" s="23">
        <f>IF($C657&gt;0,INDEX(Merge_1_2!$O$2:$O$611,$C657),INDEX(Dataset3_Raw!$O$2:$O$391,$E657))</f>
        <v>95</v>
      </c>
      <c r="U657" s="23">
        <f>IF($C657&gt;0,INDEX(Merge_1_2!$P$2:$P$611,$C657),INDEX(Dataset3_Raw!$P$2:$P$391,$E657))</f>
        <v>109</v>
      </c>
      <c r="V657" s="23" t="str">
        <f t="shared" si="61"/>
        <v>Weekend</v>
      </c>
      <c r="W657" s="23" t="str">
        <f>VLOOKUP($M657,Lookups!$A$5:$B$8,2,FALSE())</f>
        <v>Clear / Partly cloudy</v>
      </c>
      <c r="X657" s="23" t="str">
        <f>VLOOKUP($G657,Lookups!$D$5:$E$8,2,FALSE())</f>
        <v>Winter</v>
      </c>
      <c r="Y657" s="23" t="str">
        <f>VLOOKUP($L657,Lookups!$G$5:$H$11,2,FALSE())</f>
        <v>Sunday</v>
      </c>
      <c r="Z657" s="23" t="str">
        <f>IF($J657&lt;Lookups!$B$26,"Night",IF($J657&lt;Lookups!$B$27,"Morning",IF($J657&lt;Lookups!$B$28,"Afternoon","Evening")))</f>
        <v>Afternoon</v>
      </c>
      <c r="AA657" s="26">
        <f>ROUND($N657*(Lookups!$B$16-Lookups!$B$15)+Lookups!$B$15,1)</f>
        <v>6.1</v>
      </c>
      <c r="AB657" s="26">
        <f>ROUND($P657*(Lookups!$B$18-Lookups!$B$17)+Lookups!$B$17,1)</f>
        <v>6</v>
      </c>
      <c r="AC657" s="23">
        <f t="shared" si="62"/>
        <v>56</v>
      </c>
      <c r="AD657" s="23">
        <f>ROUND($R657*Lookups!$B$19,1)</f>
        <v>0</v>
      </c>
      <c r="AE657" s="27">
        <f t="shared" si="63"/>
        <v>0.87155963302752293</v>
      </c>
      <c r="AF657" s="23" t="str">
        <f>IF($U657&gt;=Lookups!$B$23,"High",IF($U657&gt;=Lookups!$B$22,"Medium","Low"))</f>
        <v>High</v>
      </c>
      <c r="AG657" s="23">
        <f>ROUND(IF($V657="Weekday",IF(INDEX(Hourly_Analysis!$D$5:$D$28,$J657+1)&gt;0,($U657-INDEX(Hourly_Analysis!$C$5:$C$28,$J657+1))/INDEX(Hourly_Analysis!$D$5:$D$28,$J657+1),0),IF(INDEX(Hourly_Analysis!$G$5:$G$28,$J657+1)&gt;0,($U657-INDEX(Hourly_Analysis!$F$5:$F$28,$J657+1))/INDEX(Hourly_Analysis!$G$5:$G$28,$J657+1),0)),2)</f>
        <v>-0.05</v>
      </c>
      <c r="AH657" s="23" t="str">
        <f>IF(ABS($AG657)&gt;Lookups!$B$20,IF($AG657&gt;0,"High anomaly","Low anomaly"),"")</f>
        <v/>
      </c>
      <c r="AI657" s="23" t="str">
        <f t="shared" si="64"/>
        <v>OK</v>
      </c>
      <c r="AJ657" s="23" t="str">
        <f t="shared" si="65"/>
        <v>No</v>
      </c>
    </row>
    <row r="658" spans="1:36" x14ac:dyDescent="0.35">
      <c r="A658" s="23">
        <v>657</v>
      </c>
      <c r="B658" s="23" t="str">
        <f t="shared" si="60"/>
        <v>Dataset 3</v>
      </c>
      <c r="C658" s="23">
        <f>IFERROR(MATCH($A658,Merge_1_2!$A$2:$A$611,0),0)</f>
        <v>0</v>
      </c>
      <c r="D658" s="23">
        <f>IF($C658&gt;0,INDEX(Merge_1_2!$Q$2:$Q$611,$C658),0)</f>
        <v>0</v>
      </c>
      <c r="E658" s="23">
        <f>IFERROR(MATCH($A658,Dataset3_Raw!$A$2:$A$391,0),0)</f>
        <v>47</v>
      </c>
      <c r="F658" s="24">
        <f>IF($C658&gt;0,INDEX(Merge_1_2!$B$2:$B$611,$C658),DATE(VALUE(RIGHT(INDEX(Dataset3_Raw!$B$2:$B$391,$E658),4)),VALUE(MID(INDEX(Dataset3_Raw!$B$2:$B$391,$E658),4,2)),VALUE(LEFT(INDEX(Dataset3_Raw!$B$2:$B$391,$E658),2))))</f>
        <v>40573</v>
      </c>
      <c r="G658" s="23">
        <f>IF($C658&gt;0,INDEX(Merge_1_2!$C$2:$C$611,$C658),INDEX(Dataset3_Raw!$C$2:$C$391,$E658))</f>
        <v>1</v>
      </c>
      <c r="H658" s="23">
        <f>IF($C658&gt;0,INDEX(Merge_1_2!$D$2:$D$611,$C658),INDEX(Dataset3_Raw!$D$2:$D$391,$E658))</f>
        <v>0</v>
      </c>
      <c r="I658" s="23">
        <f>IF($C658&gt;0,INDEX(Merge_1_2!$E$2:$E$611,$C658),INDEX(Dataset3_Raw!$E$2:$E$391,$E658))</f>
        <v>1</v>
      </c>
      <c r="J658" s="23">
        <f>IF($C658&gt;0,INDEX(Merge_1_2!$F$2:$F$611,$C658),INDEX(Dataset3_Raw!$F$2:$F$391,$E658))</f>
        <v>16</v>
      </c>
      <c r="K658" s="23" t="b">
        <f>IF($C658&gt;0,INDEX(Merge_1_2!$G$2:$G$611,$C658),INDEX(Dataset3_Raw!$G$2:$G$391,$E658))</f>
        <v>0</v>
      </c>
      <c r="L658" s="23">
        <f>IF($C658&gt;0,INDEX(Merge_1_2!$H$2:$H$611,$C658),INDEX(Dataset3_Raw!$H$2:$H$391,$E658))</f>
        <v>0</v>
      </c>
      <c r="M658" s="23">
        <f>IF($C658&gt;0,INDEX(Merge_1_2!$I$2:$I$611,$C658),INDEX(Dataset3_Raw!$I$2:$I$391,$E658))</f>
        <v>1</v>
      </c>
      <c r="N658" s="25">
        <f>IF($C658&gt;0,INDEX(Merge_1_2!$J$2:$J$611,$C658),INDEX(Dataset3_Raw!$J$2:$J$391,$E658))</f>
        <v>0.3</v>
      </c>
      <c r="O658" s="25">
        <f>IF($C658&gt;0,IF(ISNUMBER(INDEX(Merge_1_2!$K$2:$K$611,$C658)),INDEX(Merge_1_2!$K$2:$K$611,$C658),""),INDEX(Dataset3_Raw!$K$2:$K$391,$E658))</f>
        <v>0.33329999999999999</v>
      </c>
      <c r="P658" s="25">
        <f>IF(ISNUMBER($O658),$O658,ROUND(Lookups!$B$25+Lookups!$B$24*$N658,4))</f>
        <v>0.33329999999999999</v>
      </c>
      <c r="Q658" s="25">
        <f>IF($C658&gt;0,INDEX(Merge_1_2!$L$2:$L$611,$C658),INDEX(Dataset3_Raw!$L$2:$L$391,$E658))</f>
        <v>0.56000000000000005</v>
      </c>
      <c r="R658" s="25">
        <f>IF($C658&gt;0,INDEX(Merge_1_2!$M$2:$M$611,$C658),INDEX(Dataset3_Raw!$M$2:$M$391,$E658))</f>
        <v>0</v>
      </c>
      <c r="S658" s="23">
        <f>IF($C658&gt;0,INDEX(Merge_1_2!$N$2:$N$611,$C658),INDEX(Dataset3_Raw!$N$2:$N$391,$E658))</f>
        <v>19</v>
      </c>
      <c r="T658" s="23">
        <f>IF($C658&gt;0,INDEX(Merge_1_2!$O$2:$O$611,$C658),INDEX(Dataset3_Raw!$O$2:$O$391,$E658))</f>
        <v>104</v>
      </c>
      <c r="U658" s="23">
        <f>IF($C658&gt;0,INDEX(Merge_1_2!$P$2:$P$611,$C658),INDEX(Dataset3_Raw!$P$2:$P$391,$E658))</f>
        <v>123</v>
      </c>
      <c r="V658" s="23" t="str">
        <f t="shared" si="61"/>
        <v>Weekend</v>
      </c>
      <c r="W658" s="23" t="str">
        <f>VLOOKUP($M658,Lookups!$A$5:$B$8,2,FALSE())</f>
        <v>Clear / Partly cloudy</v>
      </c>
      <c r="X658" s="23" t="str">
        <f>VLOOKUP($G658,Lookups!$D$5:$E$8,2,FALSE())</f>
        <v>Winter</v>
      </c>
      <c r="Y658" s="23" t="str">
        <f>VLOOKUP($L658,Lookups!$G$5:$H$11,2,FALSE())</f>
        <v>Sunday</v>
      </c>
      <c r="Z658" s="23" t="str">
        <f>IF($J658&lt;Lookups!$B$26,"Night",IF($J658&lt;Lookups!$B$27,"Morning",IF($J658&lt;Lookups!$B$28,"Afternoon","Evening")))</f>
        <v>Afternoon</v>
      </c>
      <c r="AA658" s="26">
        <f>ROUND($N658*(Lookups!$B$16-Lookups!$B$15)+Lookups!$B$15,1)</f>
        <v>6.1</v>
      </c>
      <c r="AB658" s="26">
        <f>ROUND($P658*(Lookups!$B$18-Lookups!$B$17)+Lookups!$B$17,1)</f>
        <v>6</v>
      </c>
      <c r="AC658" s="23">
        <f t="shared" si="62"/>
        <v>56</v>
      </c>
      <c r="AD658" s="23">
        <f>ROUND($R658*Lookups!$B$19,1)</f>
        <v>0</v>
      </c>
      <c r="AE658" s="27">
        <f t="shared" si="63"/>
        <v>0.84552845528455289</v>
      </c>
      <c r="AF658" s="23" t="str">
        <f>IF($U658&gt;=Lookups!$B$23,"High",IF($U658&gt;=Lookups!$B$22,"Medium","Low"))</f>
        <v>High</v>
      </c>
      <c r="AG658" s="23">
        <f>ROUND(IF($V658="Weekday",IF(INDEX(Hourly_Analysis!$D$5:$D$28,$J658+1)&gt;0,($U658-INDEX(Hourly_Analysis!$C$5:$C$28,$J658+1))/INDEX(Hourly_Analysis!$D$5:$D$28,$J658+1),0),IF(INDEX(Hourly_Analysis!$G$5:$G$28,$J658+1)&gt;0,($U658-INDEX(Hourly_Analysis!$F$5:$F$28,$J658+1))/INDEX(Hourly_Analysis!$G$5:$G$28,$J658+1),0)),2)</f>
        <v>0.72</v>
      </c>
      <c r="AH658" s="23" t="str">
        <f>IF(ABS($AG658)&gt;Lookups!$B$20,IF($AG658&gt;0,"High anomaly","Low anomaly"),"")</f>
        <v/>
      </c>
      <c r="AI658" s="23" t="str">
        <f t="shared" si="64"/>
        <v>OK</v>
      </c>
      <c r="AJ658" s="23" t="str">
        <f t="shared" si="65"/>
        <v>No</v>
      </c>
    </row>
    <row r="659" spans="1:36" x14ac:dyDescent="0.35">
      <c r="A659" s="23">
        <v>658</v>
      </c>
      <c r="B659" s="23" t="str">
        <f t="shared" si="60"/>
        <v>Dataset 3</v>
      </c>
      <c r="C659" s="23">
        <f>IFERROR(MATCH($A659,Merge_1_2!$A$2:$A$611,0),0)</f>
        <v>0</v>
      </c>
      <c r="D659" s="23">
        <f>IF($C659&gt;0,INDEX(Merge_1_2!$Q$2:$Q$611,$C659),0)</f>
        <v>0</v>
      </c>
      <c r="E659" s="23">
        <f>IFERROR(MATCH($A659,Dataset3_Raw!$A$2:$A$391,0),0)</f>
        <v>48</v>
      </c>
      <c r="F659" s="24">
        <f>IF($C659&gt;0,INDEX(Merge_1_2!$B$2:$B$611,$C659),DATE(VALUE(RIGHT(INDEX(Dataset3_Raw!$B$2:$B$391,$E659),4)),VALUE(MID(INDEX(Dataset3_Raw!$B$2:$B$391,$E659),4,2)),VALUE(LEFT(INDEX(Dataset3_Raw!$B$2:$B$391,$E659),2))))</f>
        <v>40573</v>
      </c>
      <c r="G659" s="23">
        <f>IF($C659&gt;0,INDEX(Merge_1_2!$C$2:$C$611,$C659),INDEX(Dataset3_Raw!$C$2:$C$391,$E659))</f>
        <v>1</v>
      </c>
      <c r="H659" s="23">
        <f>IF($C659&gt;0,INDEX(Merge_1_2!$D$2:$D$611,$C659),INDEX(Dataset3_Raw!$D$2:$D$391,$E659))</f>
        <v>0</v>
      </c>
      <c r="I659" s="23">
        <f>IF($C659&gt;0,INDEX(Merge_1_2!$E$2:$E$611,$C659),INDEX(Dataset3_Raw!$E$2:$E$391,$E659))</f>
        <v>1</v>
      </c>
      <c r="J659" s="23">
        <f>IF($C659&gt;0,INDEX(Merge_1_2!$F$2:$F$611,$C659),INDEX(Dataset3_Raw!$F$2:$F$391,$E659))</f>
        <v>17</v>
      </c>
      <c r="K659" s="23" t="b">
        <f>IF($C659&gt;0,INDEX(Merge_1_2!$G$2:$G$611,$C659),INDEX(Dataset3_Raw!$G$2:$G$391,$E659))</f>
        <v>0</v>
      </c>
      <c r="L659" s="23">
        <f>IF($C659&gt;0,INDEX(Merge_1_2!$H$2:$H$611,$C659),INDEX(Dataset3_Raw!$H$2:$H$391,$E659))</f>
        <v>0</v>
      </c>
      <c r="M659" s="23">
        <f>IF($C659&gt;0,INDEX(Merge_1_2!$I$2:$I$611,$C659),INDEX(Dataset3_Raw!$I$2:$I$391,$E659))</f>
        <v>1</v>
      </c>
      <c r="N659" s="25">
        <f>IF($C659&gt;0,INDEX(Merge_1_2!$J$2:$J$611,$C659),INDEX(Dataset3_Raw!$J$2:$J$391,$E659))</f>
        <v>0.3</v>
      </c>
      <c r="O659" s="25">
        <f>IF($C659&gt;0,IF(ISNUMBER(INDEX(Merge_1_2!$K$2:$K$611,$C659)),INDEX(Merge_1_2!$K$2:$K$611,$C659),""),INDEX(Dataset3_Raw!$K$2:$K$391,$E659))</f>
        <v>0.28789999999999999</v>
      </c>
      <c r="P659" s="25">
        <f>IF(ISNUMBER($O659),$O659,ROUND(Lookups!$B$25+Lookups!$B$24*$N659,4))</f>
        <v>0.28789999999999999</v>
      </c>
      <c r="Q659" s="25">
        <f>IF($C659&gt;0,INDEX(Merge_1_2!$L$2:$L$611,$C659),INDEX(Dataset3_Raw!$L$2:$L$391,$E659))</f>
        <v>0.56000000000000005</v>
      </c>
      <c r="R659" s="25">
        <f>IF($C659&gt;0,INDEX(Merge_1_2!$M$2:$M$611,$C659),INDEX(Dataset3_Raw!$M$2:$M$391,$E659))</f>
        <v>0.19400000000000001</v>
      </c>
      <c r="S659" s="23">
        <f>IF($C659&gt;0,INDEX(Merge_1_2!$N$2:$N$611,$C659),INDEX(Dataset3_Raw!$N$2:$N$391,$E659))</f>
        <v>6</v>
      </c>
      <c r="T659" s="23">
        <f>IF($C659&gt;0,INDEX(Merge_1_2!$O$2:$O$611,$C659),INDEX(Dataset3_Raw!$O$2:$O$391,$E659))</f>
        <v>71</v>
      </c>
      <c r="U659" s="23">
        <f>IF($C659&gt;0,INDEX(Merge_1_2!$P$2:$P$611,$C659),INDEX(Dataset3_Raw!$P$2:$P$391,$E659))</f>
        <v>77</v>
      </c>
      <c r="V659" s="23" t="str">
        <f t="shared" si="61"/>
        <v>Weekend</v>
      </c>
      <c r="W659" s="23" t="str">
        <f>VLOOKUP($M659,Lookups!$A$5:$B$8,2,FALSE())</f>
        <v>Clear / Partly cloudy</v>
      </c>
      <c r="X659" s="23" t="str">
        <f>VLOOKUP($G659,Lookups!$D$5:$E$8,2,FALSE())</f>
        <v>Winter</v>
      </c>
      <c r="Y659" s="23" t="str">
        <f>VLOOKUP($L659,Lookups!$G$5:$H$11,2,FALSE())</f>
        <v>Sunday</v>
      </c>
      <c r="Z659" s="23" t="str">
        <f>IF($J659&lt;Lookups!$B$26,"Night",IF($J659&lt;Lookups!$B$27,"Morning",IF($J659&lt;Lookups!$B$28,"Afternoon","Evening")))</f>
        <v>Afternoon</v>
      </c>
      <c r="AA659" s="26">
        <f>ROUND($N659*(Lookups!$B$16-Lookups!$B$15)+Lookups!$B$15,1)</f>
        <v>6.1</v>
      </c>
      <c r="AB659" s="26">
        <f>ROUND($P659*(Lookups!$B$18-Lookups!$B$17)+Lookups!$B$17,1)</f>
        <v>3</v>
      </c>
      <c r="AC659" s="23">
        <f t="shared" si="62"/>
        <v>56</v>
      </c>
      <c r="AD659" s="23">
        <f>ROUND($R659*Lookups!$B$19,1)</f>
        <v>13</v>
      </c>
      <c r="AE659" s="27">
        <f t="shared" si="63"/>
        <v>0.92207792207792205</v>
      </c>
      <c r="AF659" s="23" t="str">
        <f>IF($U659&gt;=Lookups!$B$23,"High",IF($U659&gt;=Lookups!$B$22,"Medium","Low"))</f>
        <v>Medium</v>
      </c>
      <c r="AG659" s="23">
        <f>ROUND(IF($V659="Weekday",IF(INDEX(Hourly_Analysis!$D$5:$D$28,$J659+1)&gt;0,($U659-INDEX(Hourly_Analysis!$C$5:$C$28,$J659+1))/INDEX(Hourly_Analysis!$D$5:$D$28,$J659+1),0),IF(INDEX(Hourly_Analysis!$G$5:$G$28,$J659+1)&gt;0,($U659-INDEX(Hourly_Analysis!$F$5:$F$28,$J659+1))/INDEX(Hourly_Analysis!$G$5:$G$28,$J659+1),0)),2)</f>
        <v>-0.31</v>
      </c>
      <c r="AH659" s="23" t="str">
        <f>IF(ABS($AG659)&gt;Lookups!$B$20,IF($AG659&gt;0,"High anomaly","Low anomaly"),"")</f>
        <v/>
      </c>
      <c r="AI659" s="23" t="str">
        <f t="shared" si="64"/>
        <v>OK</v>
      </c>
      <c r="AJ659" s="23" t="str">
        <f t="shared" si="65"/>
        <v>No</v>
      </c>
    </row>
    <row r="660" spans="1:36" x14ac:dyDescent="0.35">
      <c r="A660" s="23">
        <v>659</v>
      </c>
      <c r="B660" s="23" t="str">
        <f t="shared" si="60"/>
        <v>Dataset 3</v>
      </c>
      <c r="C660" s="23">
        <f>IFERROR(MATCH($A660,Merge_1_2!$A$2:$A$611,0),0)</f>
        <v>0</v>
      </c>
      <c r="D660" s="23">
        <f>IF($C660&gt;0,INDEX(Merge_1_2!$Q$2:$Q$611,$C660),0)</f>
        <v>0</v>
      </c>
      <c r="E660" s="23">
        <f>IFERROR(MATCH($A660,Dataset3_Raw!$A$2:$A$391,0),0)</f>
        <v>49</v>
      </c>
      <c r="F660" s="24">
        <f>IF($C660&gt;0,INDEX(Merge_1_2!$B$2:$B$611,$C660),DATE(VALUE(RIGHT(INDEX(Dataset3_Raw!$B$2:$B$391,$E660),4)),VALUE(MID(INDEX(Dataset3_Raw!$B$2:$B$391,$E660),4,2)),VALUE(LEFT(INDEX(Dataset3_Raw!$B$2:$B$391,$E660),2))))</f>
        <v>40573</v>
      </c>
      <c r="G660" s="23">
        <f>IF($C660&gt;0,INDEX(Merge_1_2!$C$2:$C$611,$C660),INDEX(Dataset3_Raw!$C$2:$C$391,$E660))</f>
        <v>1</v>
      </c>
      <c r="H660" s="23">
        <f>IF($C660&gt;0,INDEX(Merge_1_2!$D$2:$D$611,$C660),INDEX(Dataset3_Raw!$D$2:$D$391,$E660))</f>
        <v>0</v>
      </c>
      <c r="I660" s="23">
        <f>IF($C660&gt;0,INDEX(Merge_1_2!$E$2:$E$611,$C660),INDEX(Dataset3_Raw!$E$2:$E$391,$E660))</f>
        <v>1</v>
      </c>
      <c r="J660" s="23">
        <f>IF($C660&gt;0,INDEX(Merge_1_2!$F$2:$F$611,$C660),INDEX(Dataset3_Raw!$F$2:$F$391,$E660))</f>
        <v>18</v>
      </c>
      <c r="K660" s="23" t="b">
        <f>IF($C660&gt;0,INDEX(Merge_1_2!$G$2:$G$611,$C660),INDEX(Dataset3_Raw!$G$2:$G$391,$E660))</f>
        <v>0</v>
      </c>
      <c r="L660" s="23">
        <f>IF($C660&gt;0,INDEX(Merge_1_2!$H$2:$H$611,$C660),INDEX(Dataset3_Raw!$H$2:$H$391,$E660))</f>
        <v>0</v>
      </c>
      <c r="M660" s="23">
        <f>IF($C660&gt;0,INDEX(Merge_1_2!$I$2:$I$611,$C660),INDEX(Dataset3_Raw!$I$2:$I$391,$E660))</f>
        <v>1</v>
      </c>
      <c r="N660" s="25">
        <f>IF($C660&gt;0,INDEX(Merge_1_2!$J$2:$J$611,$C660),INDEX(Dataset3_Raw!$J$2:$J$391,$E660))</f>
        <v>0.26</v>
      </c>
      <c r="O660" s="25">
        <f>IF($C660&gt;0,IF(ISNUMBER(INDEX(Merge_1_2!$K$2:$K$611,$C660)),INDEX(Merge_1_2!$K$2:$K$611,$C660),""),INDEX(Dataset3_Raw!$K$2:$K$391,$E660))</f>
        <v>0.2576</v>
      </c>
      <c r="P660" s="25">
        <f>IF(ISNUMBER($O660),$O660,ROUND(Lookups!$B$25+Lookups!$B$24*$N660,4))</f>
        <v>0.2576</v>
      </c>
      <c r="Q660" s="25">
        <f>IF($C660&gt;0,INDEX(Merge_1_2!$L$2:$L$611,$C660),INDEX(Dataset3_Raw!$L$2:$L$391,$E660))</f>
        <v>0.65</v>
      </c>
      <c r="R660" s="25">
        <f>IF($C660&gt;0,INDEX(Merge_1_2!$M$2:$M$611,$C660),INDEX(Dataset3_Raw!$M$2:$M$391,$E660))</f>
        <v>0.16420000000000001</v>
      </c>
      <c r="S660" s="23">
        <f>IF($C660&gt;0,INDEX(Merge_1_2!$N$2:$N$611,$C660),INDEX(Dataset3_Raw!$N$2:$N$391,$E660))</f>
        <v>8</v>
      </c>
      <c r="T660" s="23">
        <f>IF($C660&gt;0,INDEX(Merge_1_2!$O$2:$O$611,$C660),INDEX(Dataset3_Raw!$O$2:$O$391,$E660))</f>
        <v>57</v>
      </c>
      <c r="U660" s="23">
        <f>IF($C660&gt;0,INDEX(Merge_1_2!$P$2:$P$611,$C660),INDEX(Dataset3_Raw!$P$2:$P$391,$E660))</f>
        <v>65</v>
      </c>
      <c r="V660" s="23" t="str">
        <f t="shared" si="61"/>
        <v>Weekend</v>
      </c>
      <c r="W660" s="23" t="str">
        <f>VLOOKUP($M660,Lookups!$A$5:$B$8,2,FALSE())</f>
        <v>Clear / Partly cloudy</v>
      </c>
      <c r="X660" s="23" t="str">
        <f>VLOOKUP($G660,Lookups!$D$5:$E$8,2,FALSE())</f>
        <v>Winter</v>
      </c>
      <c r="Y660" s="23" t="str">
        <f>VLOOKUP($L660,Lookups!$G$5:$H$11,2,FALSE())</f>
        <v>Sunday</v>
      </c>
      <c r="Z660" s="23" t="str">
        <f>IF($J660&lt;Lookups!$B$26,"Night",IF($J660&lt;Lookups!$B$27,"Morning",IF($J660&lt;Lookups!$B$28,"Afternoon","Evening")))</f>
        <v>Evening</v>
      </c>
      <c r="AA660" s="26">
        <f>ROUND($N660*(Lookups!$B$16-Lookups!$B$15)+Lookups!$B$15,1)</f>
        <v>4.2</v>
      </c>
      <c r="AB660" s="26">
        <f>ROUND($P660*(Lookups!$B$18-Lookups!$B$17)+Lookups!$B$17,1)</f>
        <v>1</v>
      </c>
      <c r="AC660" s="23">
        <f t="shared" si="62"/>
        <v>65</v>
      </c>
      <c r="AD660" s="23">
        <f>ROUND($R660*Lookups!$B$19,1)</f>
        <v>11</v>
      </c>
      <c r="AE660" s="27">
        <f t="shared" si="63"/>
        <v>0.87692307692307692</v>
      </c>
      <c r="AF660" s="23" t="str">
        <f>IF($U660&gt;=Lookups!$B$23,"High",IF($U660&gt;=Lookups!$B$22,"Medium","Low"))</f>
        <v>Medium</v>
      </c>
      <c r="AG660" s="23">
        <f>ROUND(IF($V660="Weekday",IF(INDEX(Hourly_Analysis!$D$5:$D$28,$J660+1)&gt;0,($U660-INDEX(Hourly_Analysis!$C$5:$C$28,$J660+1))/INDEX(Hourly_Analysis!$D$5:$D$28,$J660+1),0),IF(INDEX(Hourly_Analysis!$G$5:$G$28,$J660+1)&gt;0,($U660-INDEX(Hourly_Analysis!$F$5:$F$28,$J660+1))/INDEX(Hourly_Analysis!$G$5:$G$28,$J660+1),0)),2)</f>
        <v>-0.06</v>
      </c>
      <c r="AH660" s="23" t="str">
        <f>IF(ABS($AG660)&gt;Lookups!$B$20,IF($AG660&gt;0,"High anomaly","Low anomaly"),"")</f>
        <v/>
      </c>
      <c r="AI660" s="23" t="str">
        <f t="shared" si="64"/>
        <v>OK</v>
      </c>
      <c r="AJ660" s="23" t="str">
        <f t="shared" si="65"/>
        <v>No</v>
      </c>
    </row>
    <row r="661" spans="1:36" x14ac:dyDescent="0.35">
      <c r="A661" s="23">
        <v>660</v>
      </c>
      <c r="B661" s="23" t="str">
        <f t="shared" si="60"/>
        <v>Dataset 3</v>
      </c>
      <c r="C661" s="23">
        <f>IFERROR(MATCH($A661,Merge_1_2!$A$2:$A$611,0),0)</f>
        <v>0</v>
      </c>
      <c r="D661" s="23">
        <f>IF($C661&gt;0,INDEX(Merge_1_2!$Q$2:$Q$611,$C661),0)</f>
        <v>0</v>
      </c>
      <c r="E661" s="23">
        <f>IFERROR(MATCH($A661,Dataset3_Raw!$A$2:$A$391,0),0)</f>
        <v>50</v>
      </c>
      <c r="F661" s="24">
        <f>IF($C661&gt;0,INDEX(Merge_1_2!$B$2:$B$611,$C661),DATE(VALUE(RIGHT(INDEX(Dataset3_Raw!$B$2:$B$391,$E661),4)),VALUE(MID(INDEX(Dataset3_Raw!$B$2:$B$391,$E661),4,2)),VALUE(LEFT(INDEX(Dataset3_Raw!$B$2:$B$391,$E661),2))))</f>
        <v>40573</v>
      </c>
      <c r="G661" s="23">
        <f>IF($C661&gt;0,INDEX(Merge_1_2!$C$2:$C$611,$C661),INDEX(Dataset3_Raw!$C$2:$C$391,$E661))</f>
        <v>1</v>
      </c>
      <c r="H661" s="23">
        <f>IF($C661&gt;0,INDEX(Merge_1_2!$D$2:$D$611,$C661),INDEX(Dataset3_Raw!$D$2:$D$391,$E661))</f>
        <v>0</v>
      </c>
      <c r="I661" s="23">
        <f>IF($C661&gt;0,INDEX(Merge_1_2!$E$2:$E$611,$C661),INDEX(Dataset3_Raw!$E$2:$E$391,$E661))</f>
        <v>1</v>
      </c>
      <c r="J661" s="23">
        <f>IF($C661&gt;0,INDEX(Merge_1_2!$F$2:$F$611,$C661),INDEX(Dataset3_Raw!$F$2:$F$391,$E661))</f>
        <v>19</v>
      </c>
      <c r="K661" s="23" t="b">
        <f>IF($C661&gt;0,INDEX(Merge_1_2!$G$2:$G$611,$C661),INDEX(Dataset3_Raw!$G$2:$G$391,$E661))</f>
        <v>0</v>
      </c>
      <c r="L661" s="23">
        <f>IF($C661&gt;0,INDEX(Merge_1_2!$H$2:$H$611,$C661),INDEX(Dataset3_Raw!$H$2:$H$391,$E661))</f>
        <v>0</v>
      </c>
      <c r="M661" s="23">
        <f>IF($C661&gt;0,INDEX(Merge_1_2!$I$2:$I$611,$C661),INDEX(Dataset3_Raw!$I$2:$I$391,$E661))</f>
        <v>1</v>
      </c>
      <c r="N661" s="25">
        <f>IF($C661&gt;0,INDEX(Merge_1_2!$J$2:$J$611,$C661),INDEX(Dataset3_Raw!$J$2:$J$391,$E661))</f>
        <v>0.26</v>
      </c>
      <c r="O661" s="25">
        <f>IF($C661&gt;0,IF(ISNUMBER(INDEX(Merge_1_2!$K$2:$K$611,$C661)),INDEX(Merge_1_2!$K$2:$K$611,$C661),""),INDEX(Dataset3_Raw!$K$2:$K$391,$E661))</f>
        <v>0.2576</v>
      </c>
      <c r="P661" s="25">
        <f>IF(ISNUMBER($O661),$O661,ROUND(Lookups!$B$25+Lookups!$B$24*$N661,4))</f>
        <v>0.2576</v>
      </c>
      <c r="Q661" s="25">
        <f>IF($C661&gt;0,INDEX(Merge_1_2!$L$2:$L$611,$C661),INDEX(Dataset3_Raw!$L$2:$L$391,$E661))</f>
        <v>0.65</v>
      </c>
      <c r="R661" s="25">
        <f>IF($C661&gt;0,INDEX(Merge_1_2!$M$2:$M$611,$C661),INDEX(Dataset3_Raw!$M$2:$M$391,$E661))</f>
        <v>0.19400000000000001</v>
      </c>
      <c r="S661" s="23">
        <f>IF($C661&gt;0,INDEX(Merge_1_2!$N$2:$N$611,$C661),INDEX(Dataset3_Raw!$N$2:$N$391,$E661))</f>
        <v>9</v>
      </c>
      <c r="T661" s="23">
        <f>IF($C661&gt;0,INDEX(Merge_1_2!$O$2:$O$611,$C661),INDEX(Dataset3_Raw!$O$2:$O$391,$E661))</f>
        <v>46</v>
      </c>
      <c r="U661" s="23">
        <f>IF($C661&gt;0,INDEX(Merge_1_2!$P$2:$P$611,$C661),INDEX(Dataset3_Raw!$P$2:$P$391,$E661))</f>
        <v>55</v>
      </c>
      <c r="V661" s="23" t="str">
        <f t="shared" si="61"/>
        <v>Weekend</v>
      </c>
      <c r="W661" s="23" t="str">
        <f>VLOOKUP($M661,Lookups!$A$5:$B$8,2,FALSE())</f>
        <v>Clear / Partly cloudy</v>
      </c>
      <c r="X661" s="23" t="str">
        <f>VLOOKUP($G661,Lookups!$D$5:$E$8,2,FALSE())</f>
        <v>Winter</v>
      </c>
      <c r="Y661" s="23" t="str">
        <f>VLOOKUP($L661,Lookups!$G$5:$H$11,2,FALSE())</f>
        <v>Sunday</v>
      </c>
      <c r="Z661" s="23" t="str">
        <f>IF($J661&lt;Lookups!$B$26,"Night",IF($J661&lt;Lookups!$B$27,"Morning",IF($J661&lt;Lookups!$B$28,"Afternoon","Evening")))</f>
        <v>Evening</v>
      </c>
      <c r="AA661" s="26">
        <f>ROUND($N661*(Lookups!$B$16-Lookups!$B$15)+Lookups!$B$15,1)</f>
        <v>4.2</v>
      </c>
      <c r="AB661" s="26">
        <f>ROUND($P661*(Lookups!$B$18-Lookups!$B$17)+Lookups!$B$17,1)</f>
        <v>1</v>
      </c>
      <c r="AC661" s="23">
        <f t="shared" si="62"/>
        <v>65</v>
      </c>
      <c r="AD661" s="23">
        <f>ROUND($R661*Lookups!$B$19,1)</f>
        <v>13</v>
      </c>
      <c r="AE661" s="27">
        <f t="shared" si="63"/>
        <v>0.83636363636363631</v>
      </c>
      <c r="AF661" s="23" t="str">
        <f>IF($U661&gt;=Lookups!$B$23,"High",IF($U661&gt;=Lookups!$B$22,"Medium","Low"))</f>
        <v>Medium</v>
      </c>
      <c r="AG661" s="23">
        <f>ROUND(IF($V661="Weekday",IF(INDEX(Hourly_Analysis!$D$5:$D$28,$J661+1)&gt;0,($U661-INDEX(Hourly_Analysis!$C$5:$C$28,$J661+1))/INDEX(Hourly_Analysis!$D$5:$D$28,$J661+1),0),IF(INDEX(Hourly_Analysis!$G$5:$G$28,$J661+1)&gt;0,($U661-INDEX(Hourly_Analysis!$F$5:$F$28,$J661+1))/INDEX(Hourly_Analysis!$G$5:$G$28,$J661+1),0)),2)</f>
        <v>0.24</v>
      </c>
      <c r="AH661" s="23" t="str">
        <f>IF(ABS($AG661)&gt;Lookups!$B$20,IF($AG661&gt;0,"High anomaly","Low anomaly"),"")</f>
        <v/>
      </c>
      <c r="AI661" s="23" t="str">
        <f t="shared" si="64"/>
        <v>OK</v>
      </c>
      <c r="AJ661" s="23" t="str">
        <f t="shared" si="65"/>
        <v>No</v>
      </c>
    </row>
    <row r="662" spans="1:36" x14ac:dyDescent="0.35">
      <c r="A662" s="23">
        <v>661</v>
      </c>
      <c r="B662" s="23" t="str">
        <f t="shared" si="60"/>
        <v>Dataset 3</v>
      </c>
      <c r="C662" s="23">
        <f>IFERROR(MATCH($A662,Merge_1_2!$A$2:$A$611,0),0)</f>
        <v>0</v>
      </c>
      <c r="D662" s="23">
        <f>IF($C662&gt;0,INDEX(Merge_1_2!$Q$2:$Q$611,$C662),0)</f>
        <v>0</v>
      </c>
      <c r="E662" s="23">
        <f>IFERROR(MATCH($A662,Dataset3_Raw!$A$2:$A$391,0),0)</f>
        <v>51</v>
      </c>
      <c r="F662" s="24">
        <f>IF($C662&gt;0,INDEX(Merge_1_2!$B$2:$B$611,$C662),DATE(VALUE(RIGHT(INDEX(Dataset3_Raw!$B$2:$B$391,$E662),4)),VALUE(MID(INDEX(Dataset3_Raw!$B$2:$B$391,$E662),4,2)),VALUE(LEFT(INDEX(Dataset3_Raw!$B$2:$B$391,$E662),2))))</f>
        <v>40573</v>
      </c>
      <c r="G662" s="23">
        <f>IF($C662&gt;0,INDEX(Merge_1_2!$C$2:$C$611,$C662),INDEX(Dataset3_Raw!$C$2:$C$391,$E662))</f>
        <v>1</v>
      </c>
      <c r="H662" s="23">
        <f>IF($C662&gt;0,INDEX(Merge_1_2!$D$2:$D$611,$C662),INDEX(Dataset3_Raw!$D$2:$D$391,$E662))</f>
        <v>0</v>
      </c>
      <c r="I662" s="23">
        <f>IF($C662&gt;0,INDEX(Merge_1_2!$E$2:$E$611,$C662),INDEX(Dataset3_Raw!$E$2:$E$391,$E662))</f>
        <v>1</v>
      </c>
      <c r="J662" s="23">
        <f>IF($C662&gt;0,INDEX(Merge_1_2!$F$2:$F$611,$C662),INDEX(Dataset3_Raw!$F$2:$F$391,$E662))</f>
        <v>20</v>
      </c>
      <c r="K662" s="23" t="b">
        <f>IF($C662&gt;0,INDEX(Merge_1_2!$G$2:$G$611,$C662),INDEX(Dataset3_Raw!$G$2:$G$391,$E662))</f>
        <v>0</v>
      </c>
      <c r="L662" s="23">
        <f>IF($C662&gt;0,INDEX(Merge_1_2!$H$2:$H$611,$C662),INDEX(Dataset3_Raw!$H$2:$H$391,$E662))</f>
        <v>0</v>
      </c>
      <c r="M662" s="23">
        <f>IF($C662&gt;0,INDEX(Merge_1_2!$I$2:$I$611,$C662),INDEX(Dataset3_Raw!$I$2:$I$391,$E662))</f>
        <v>2</v>
      </c>
      <c r="N662" s="25">
        <f>IF($C662&gt;0,INDEX(Merge_1_2!$J$2:$J$611,$C662),INDEX(Dataset3_Raw!$J$2:$J$391,$E662))</f>
        <v>0.26</v>
      </c>
      <c r="O662" s="25">
        <f>IF($C662&gt;0,IF(ISNUMBER(INDEX(Merge_1_2!$K$2:$K$611,$C662)),INDEX(Merge_1_2!$K$2:$K$611,$C662),""),INDEX(Dataset3_Raw!$K$2:$K$391,$E662))</f>
        <v>0.2727</v>
      </c>
      <c r="P662" s="25">
        <f>IF(ISNUMBER($O662),$O662,ROUND(Lookups!$B$25+Lookups!$B$24*$N662,4))</f>
        <v>0.2727</v>
      </c>
      <c r="Q662" s="25">
        <f>IF($C662&gt;0,INDEX(Merge_1_2!$L$2:$L$611,$C662),INDEX(Dataset3_Raw!$L$2:$L$391,$E662))</f>
        <v>0.65</v>
      </c>
      <c r="R662" s="25">
        <f>IF($C662&gt;0,INDEX(Merge_1_2!$M$2:$M$611,$C662),INDEX(Dataset3_Raw!$M$2:$M$391,$E662))</f>
        <v>0.1045</v>
      </c>
      <c r="S662" s="23">
        <f>IF($C662&gt;0,INDEX(Merge_1_2!$N$2:$N$611,$C662),INDEX(Dataset3_Raw!$N$2:$N$391,$E662))</f>
        <v>3</v>
      </c>
      <c r="T662" s="23">
        <f>IF($C662&gt;0,INDEX(Merge_1_2!$O$2:$O$611,$C662),INDEX(Dataset3_Raw!$O$2:$O$391,$E662))</f>
        <v>30</v>
      </c>
      <c r="U662" s="23">
        <f>IF($C662&gt;0,INDEX(Merge_1_2!$P$2:$P$611,$C662),INDEX(Dataset3_Raw!$P$2:$P$391,$E662))</f>
        <v>33</v>
      </c>
      <c r="V662" s="23" t="str">
        <f t="shared" si="61"/>
        <v>Weekend</v>
      </c>
      <c r="W662" s="23" t="str">
        <f>VLOOKUP($M662,Lookups!$A$5:$B$8,2,FALSE())</f>
        <v>Mist / Cloudy</v>
      </c>
      <c r="X662" s="23" t="str">
        <f>VLOOKUP($G662,Lookups!$D$5:$E$8,2,FALSE())</f>
        <v>Winter</v>
      </c>
      <c r="Y662" s="23" t="str">
        <f>VLOOKUP($L662,Lookups!$G$5:$H$11,2,FALSE())</f>
        <v>Sunday</v>
      </c>
      <c r="Z662" s="23" t="str">
        <f>IF($J662&lt;Lookups!$B$26,"Night",IF($J662&lt;Lookups!$B$27,"Morning",IF($J662&lt;Lookups!$B$28,"Afternoon","Evening")))</f>
        <v>Evening</v>
      </c>
      <c r="AA662" s="26">
        <f>ROUND($N662*(Lookups!$B$16-Lookups!$B$15)+Lookups!$B$15,1)</f>
        <v>4.2</v>
      </c>
      <c r="AB662" s="26">
        <f>ROUND($P662*(Lookups!$B$18-Lookups!$B$17)+Lookups!$B$17,1)</f>
        <v>2</v>
      </c>
      <c r="AC662" s="23">
        <f t="shared" si="62"/>
        <v>65</v>
      </c>
      <c r="AD662" s="23">
        <f>ROUND($R662*Lookups!$B$19,1)</f>
        <v>7</v>
      </c>
      <c r="AE662" s="27">
        <f t="shared" si="63"/>
        <v>0.90909090909090906</v>
      </c>
      <c r="AF662" s="23" t="str">
        <f>IF($U662&gt;=Lookups!$B$23,"High",IF($U662&gt;=Lookups!$B$22,"Medium","Low"))</f>
        <v>Medium</v>
      </c>
      <c r="AG662" s="23">
        <f>ROUND(IF($V662="Weekday",IF(INDEX(Hourly_Analysis!$D$5:$D$28,$J662+1)&gt;0,($U662-INDEX(Hourly_Analysis!$C$5:$C$28,$J662+1))/INDEX(Hourly_Analysis!$D$5:$D$28,$J662+1),0),IF(INDEX(Hourly_Analysis!$G$5:$G$28,$J662+1)&gt;0,($U662-INDEX(Hourly_Analysis!$F$5:$F$28,$J662+1))/INDEX(Hourly_Analysis!$G$5:$G$28,$J662+1),0)),2)</f>
        <v>-0.54</v>
      </c>
      <c r="AH662" s="23" t="str">
        <f>IF(ABS($AG662)&gt;Lookups!$B$20,IF($AG662&gt;0,"High anomaly","Low anomaly"),"")</f>
        <v/>
      </c>
      <c r="AI662" s="23" t="str">
        <f t="shared" si="64"/>
        <v>OK</v>
      </c>
      <c r="AJ662" s="23" t="str">
        <f t="shared" si="65"/>
        <v>No</v>
      </c>
    </row>
    <row r="663" spans="1:36" x14ac:dyDescent="0.35">
      <c r="A663" s="23">
        <v>662</v>
      </c>
      <c r="B663" s="23" t="str">
        <f t="shared" si="60"/>
        <v>Dataset 3</v>
      </c>
      <c r="C663" s="23">
        <f>IFERROR(MATCH($A663,Merge_1_2!$A$2:$A$611,0),0)</f>
        <v>0</v>
      </c>
      <c r="D663" s="23">
        <f>IF($C663&gt;0,INDEX(Merge_1_2!$Q$2:$Q$611,$C663),0)</f>
        <v>0</v>
      </c>
      <c r="E663" s="23">
        <f>IFERROR(MATCH($A663,Dataset3_Raw!$A$2:$A$391,0),0)</f>
        <v>52</v>
      </c>
      <c r="F663" s="24">
        <f>IF($C663&gt;0,INDEX(Merge_1_2!$B$2:$B$611,$C663),DATE(VALUE(RIGHT(INDEX(Dataset3_Raw!$B$2:$B$391,$E663),4)),VALUE(MID(INDEX(Dataset3_Raw!$B$2:$B$391,$E663),4,2)),VALUE(LEFT(INDEX(Dataset3_Raw!$B$2:$B$391,$E663),2))))</f>
        <v>40573</v>
      </c>
      <c r="G663" s="23">
        <f>IF($C663&gt;0,INDEX(Merge_1_2!$C$2:$C$611,$C663),INDEX(Dataset3_Raw!$C$2:$C$391,$E663))</f>
        <v>1</v>
      </c>
      <c r="H663" s="23">
        <f>IF($C663&gt;0,INDEX(Merge_1_2!$D$2:$D$611,$C663),INDEX(Dataset3_Raw!$D$2:$D$391,$E663))</f>
        <v>0</v>
      </c>
      <c r="I663" s="23">
        <f>IF($C663&gt;0,INDEX(Merge_1_2!$E$2:$E$611,$C663),INDEX(Dataset3_Raw!$E$2:$E$391,$E663))</f>
        <v>1</v>
      </c>
      <c r="J663" s="23">
        <f>IF($C663&gt;0,INDEX(Merge_1_2!$F$2:$F$611,$C663),INDEX(Dataset3_Raw!$F$2:$F$391,$E663))</f>
        <v>21</v>
      </c>
      <c r="K663" s="23" t="b">
        <f>IF($C663&gt;0,INDEX(Merge_1_2!$G$2:$G$611,$C663),INDEX(Dataset3_Raw!$G$2:$G$391,$E663))</f>
        <v>0</v>
      </c>
      <c r="L663" s="23">
        <f>IF($C663&gt;0,INDEX(Merge_1_2!$H$2:$H$611,$C663),INDEX(Dataset3_Raw!$H$2:$H$391,$E663))</f>
        <v>0</v>
      </c>
      <c r="M663" s="23">
        <f>IF($C663&gt;0,INDEX(Merge_1_2!$I$2:$I$611,$C663),INDEX(Dataset3_Raw!$I$2:$I$391,$E663))</f>
        <v>2</v>
      </c>
      <c r="N663" s="25">
        <f>IF($C663&gt;0,INDEX(Merge_1_2!$J$2:$J$611,$C663),INDEX(Dataset3_Raw!$J$2:$J$391,$E663))</f>
        <v>0.24</v>
      </c>
      <c r="O663" s="25">
        <f>IF($C663&gt;0,IF(ISNUMBER(INDEX(Merge_1_2!$K$2:$K$611,$C663)),INDEX(Merge_1_2!$K$2:$K$611,$C663),""),INDEX(Dataset3_Raw!$K$2:$K$391,$E663))</f>
        <v>0.2424</v>
      </c>
      <c r="P663" s="25">
        <f>IF(ISNUMBER($O663),$O663,ROUND(Lookups!$B$25+Lookups!$B$24*$N663,4))</f>
        <v>0.2424</v>
      </c>
      <c r="Q663" s="25">
        <f>IF($C663&gt;0,INDEX(Merge_1_2!$L$2:$L$611,$C663),INDEX(Dataset3_Raw!$L$2:$L$391,$E663))</f>
        <v>0.7</v>
      </c>
      <c r="R663" s="25">
        <f>IF($C663&gt;0,INDEX(Merge_1_2!$M$2:$M$611,$C663),INDEX(Dataset3_Raw!$M$2:$M$391,$E663))</f>
        <v>0.16420000000000001</v>
      </c>
      <c r="S663" s="23">
        <f>IF($C663&gt;0,INDEX(Merge_1_2!$N$2:$N$611,$C663),INDEX(Dataset3_Raw!$N$2:$N$391,$E663))</f>
        <v>3</v>
      </c>
      <c r="T663" s="23">
        <f>IF($C663&gt;0,INDEX(Merge_1_2!$O$2:$O$611,$C663),INDEX(Dataset3_Raw!$O$2:$O$391,$E663))</f>
        <v>25</v>
      </c>
      <c r="U663" s="23">
        <f>IF($C663&gt;0,INDEX(Merge_1_2!$P$2:$P$611,$C663),INDEX(Dataset3_Raw!$P$2:$P$391,$E663))</f>
        <v>28</v>
      </c>
      <c r="V663" s="23" t="str">
        <f t="shared" si="61"/>
        <v>Weekend</v>
      </c>
      <c r="W663" s="23" t="str">
        <f>VLOOKUP($M663,Lookups!$A$5:$B$8,2,FALSE())</f>
        <v>Mist / Cloudy</v>
      </c>
      <c r="X663" s="23" t="str">
        <f>VLOOKUP($G663,Lookups!$D$5:$E$8,2,FALSE())</f>
        <v>Winter</v>
      </c>
      <c r="Y663" s="23" t="str">
        <f>VLOOKUP($L663,Lookups!$G$5:$H$11,2,FALSE())</f>
        <v>Sunday</v>
      </c>
      <c r="Z663" s="23" t="str">
        <f>IF($J663&lt;Lookups!$B$26,"Night",IF($J663&lt;Lookups!$B$27,"Morning",IF($J663&lt;Lookups!$B$28,"Afternoon","Evening")))</f>
        <v>Evening</v>
      </c>
      <c r="AA663" s="26">
        <f>ROUND($N663*(Lookups!$B$16-Lookups!$B$15)+Lookups!$B$15,1)</f>
        <v>3.3</v>
      </c>
      <c r="AB663" s="26">
        <f>ROUND($P663*(Lookups!$B$18-Lookups!$B$17)+Lookups!$B$17,1)</f>
        <v>0</v>
      </c>
      <c r="AC663" s="23">
        <f t="shared" si="62"/>
        <v>70</v>
      </c>
      <c r="AD663" s="23">
        <f>ROUND($R663*Lookups!$B$19,1)</f>
        <v>11</v>
      </c>
      <c r="AE663" s="27">
        <f t="shared" si="63"/>
        <v>0.8928571428571429</v>
      </c>
      <c r="AF663" s="23" t="str">
        <f>IF($U663&gt;=Lookups!$B$23,"High",IF($U663&gt;=Lookups!$B$22,"Medium","Low"))</f>
        <v>Medium</v>
      </c>
      <c r="AG663" s="23">
        <f>ROUND(IF($V663="Weekday",IF(INDEX(Hourly_Analysis!$D$5:$D$28,$J663+1)&gt;0,($U663-INDEX(Hourly_Analysis!$C$5:$C$28,$J663+1))/INDEX(Hourly_Analysis!$D$5:$D$28,$J663+1),0),IF(INDEX(Hourly_Analysis!$G$5:$G$28,$J663+1)&gt;0,($U663-INDEX(Hourly_Analysis!$F$5:$F$28,$J663+1))/INDEX(Hourly_Analysis!$G$5:$G$28,$J663+1),0)),2)</f>
        <v>-0.71</v>
      </c>
      <c r="AH663" s="23" t="str">
        <f>IF(ABS($AG663)&gt;Lookups!$B$20,IF($AG663&gt;0,"High anomaly","Low anomaly"),"")</f>
        <v/>
      </c>
      <c r="AI663" s="23" t="str">
        <f t="shared" si="64"/>
        <v>OK</v>
      </c>
      <c r="AJ663" s="23" t="str">
        <f t="shared" si="65"/>
        <v>No</v>
      </c>
    </row>
    <row r="664" spans="1:36" x14ac:dyDescent="0.35">
      <c r="A664" s="23">
        <v>663</v>
      </c>
      <c r="B664" s="23" t="str">
        <f t="shared" si="60"/>
        <v>Dataset 3</v>
      </c>
      <c r="C664" s="23">
        <f>IFERROR(MATCH($A664,Merge_1_2!$A$2:$A$611,0),0)</f>
        <v>0</v>
      </c>
      <c r="D664" s="23">
        <f>IF($C664&gt;0,INDEX(Merge_1_2!$Q$2:$Q$611,$C664),0)</f>
        <v>0</v>
      </c>
      <c r="E664" s="23">
        <f>IFERROR(MATCH($A664,Dataset3_Raw!$A$2:$A$391,0),0)</f>
        <v>53</v>
      </c>
      <c r="F664" s="24">
        <f>IF($C664&gt;0,INDEX(Merge_1_2!$B$2:$B$611,$C664),DATE(VALUE(RIGHT(INDEX(Dataset3_Raw!$B$2:$B$391,$E664),4)),VALUE(MID(INDEX(Dataset3_Raw!$B$2:$B$391,$E664),4,2)),VALUE(LEFT(INDEX(Dataset3_Raw!$B$2:$B$391,$E664),2))))</f>
        <v>40573</v>
      </c>
      <c r="G664" s="23">
        <f>IF($C664&gt;0,INDEX(Merge_1_2!$C$2:$C$611,$C664),INDEX(Dataset3_Raw!$C$2:$C$391,$E664))</f>
        <v>1</v>
      </c>
      <c r="H664" s="23">
        <f>IF($C664&gt;0,INDEX(Merge_1_2!$D$2:$D$611,$C664),INDEX(Dataset3_Raw!$D$2:$D$391,$E664))</f>
        <v>0</v>
      </c>
      <c r="I664" s="23">
        <f>IF($C664&gt;0,INDEX(Merge_1_2!$E$2:$E$611,$C664),INDEX(Dataset3_Raw!$E$2:$E$391,$E664))</f>
        <v>1</v>
      </c>
      <c r="J664" s="23">
        <f>IF($C664&gt;0,INDEX(Merge_1_2!$F$2:$F$611,$C664),INDEX(Dataset3_Raw!$F$2:$F$391,$E664))</f>
        <v>22</v>
      </c>
      <c r="K664" s="23" t="b">
        <f>IF($C664&gt;0,INDEX(Merge_1_2!$G$2:$G$611,$C664),INDEX(Dataset3_Raw!$G$2:$G$391,$E664))</f>
        <v>0</v>
      </c>
      <c r="L664" s="23">
        <f>IF($C664&gt;0,INDEX(Merge_1_2!$H$2:$H$611,$C664),INDEX(Dataset3_Raw!$H$2:$H$391,$E664))</f>
        <v>0</v>
      </c>
      <c r="M664" s="23">
        <f>IF($C664&gt;0,INDEX(Merge_1_2!$I$2:$I$611,$C664),INDEX(Dataset3_Raw!$I$2:$I$391,$E664))</f>
        <v>2</v>
      </c>
      <c r="N664" s="25">
        <f>IF($C664&gt;0,INDEX(Merge_1_2!$J$2:$J$611,$C664),INDEX(Dataset3_Raw!$J$2:$J$391,$E664))</f>
        <v>0.24</v>
      </c>
      <c r="O664" s="25">
        <f>IF($C664&gt;0,IF(ISNUMBER(INDEX(Merge_1_2!$K$2:$K$611,$C664)),INDEX(Merge_1_2!$K$2:$K$611,$C664),""),INDEX(Dataset3_Raw!$K$2:$K$391,$E664))</f>
        <v>0.2273</v>
      </c>
      <c r="P664" s="25">
        <f>IF(ISNUMBER($O664),$O664,ROUND(Lookups!$B$25+Lookups!$B$24*$N664,4))</f>
        <v>0.2273</v>
      </c>
      <c r="Q664" s="25">
        <f>IF($C664&gt;0,INDEX(Merge_1_2!$L$2:$L$611,$C664),INDEX(Dataset3_Raw!$L$2:$L$391,$E664))</f>
        <v>0.7</v>
      </c>
      <c r="R664" s="25">
        <f>IF($C664&gt;0,INDEX(Merge_1_2!$M$2:$M$611,$C664),INDEX(Dataset3_Raw!$M$2:$M$391,$E664))</f>
        <v>0.19400000000000001</v>
      </c>
      <c r="S664" s="23">
        <f>IF($C664&gt;0,INDEX(Merge_1_2!$N$2:$N$611,$C664),INDEX(Dataset3_Raw!$N$2:$N$391,$E664))</f>
        <v>2</v>
      </c>
      <c r="T664" s="23">
        <f>IF($C664&gt;0,INDEX(Merge_1_2!$O$2:$O$611,$C664),INDEX(Dataset3_Raw!$O$2:$O$391,$E664))</f>
        <v>19</v>
      </c>
      <c r="U664" s="23">
        <f>IF($C664&gt;0,INDEX(Merge_1_2!$P$2:$P$611,$C664),INDEX(Dataset3_Raw!$P$2:$P$391,$E664))</f>
        <v>21</v>
      </c>
      <c r="V664" s="23" t="str">
        <f t="shared" si="61"/>
        <v>Weekend</v>
      </c>
      <c r="W664" s="23" t="str">
        <f>VLOOKUP($M664,Lookups!$A$5:$B$8,2,FALSE())</f>
        <v>Mist / Cloudy</v>
      </c>
      <c r="X664" s="23" t="str">
        <f>VLOOKUP($G664,Lookups!$D$5:$E$8,2,FALSE())</f>
        <v>Winter</v>
      </c>
      <c r="Y664" s="23" t="str">
        <f>VLOOKUP($L664,Lookups!$G$5:$H$11,2,FALSE())</f>
        <v>Sunday</v>
      </c>
      <c r="Z664" s="23" t="str">
        <f>IF($J664&lt;Lookups!$B$26,"Night",IF($J664&lt;Lookups!$B$27,"Morning",IF($J664&lt;Lookups!$B$28,"Afternoon","Evening")))</f>
        <v>Evening</v>
      </c>
      <c r="AA664" s="26">
        <f>ROUND($N664*(Lookups!$B$16-Lookups!$B$15)+Lookups!$B$15,1)</f>
        <v>3.3</v>
      </c>
      <c r="AB664" s="26">
        <f>ROUND($P664*(Lookups!$B$18-Lookups!$B$17)+Lookups!$B$17,1)</f>
        <v>-1</v>
      </c>
      <c r="AC664" s="23">
        <f t="shared" si="62"/>
        <v>70</v>
      </c>
      <c r="AD664" s="23">
        <f>ROUND($R664*Lookups!$B$19,1)</f>
        <v>13</v>
      </c>
      <c r="AE664" s="27">
        <f t="shared" si="63"/>
        <v>0.90476190476190477</v>
      </c>
      <c r="AF664" s="23" t="str">
        <f>IF($U664&gt;=Lookups!$B$23,"High",IF($U664&gt;=Lookups!$B$22,"Medium","Low"))</f>
        <v>Medium</v>
      </c>
      <c r="AG664" s="23">
        <f>ROUND(IF($V664="Weekday",IF(INDEX(Hourly_Analysis!$D$5:$D$28,$J664+1)&gt;0,($U664-INDEX(Hourly_Analysis!$C$5:$C$28,$J664+1))/INDEX(Hourly_Analysis!$D$5:$D$28,$J664+1),0),IF(INDEX(Hourly_Analysis!$G$5:$G$28,$J664+1)&gt;0,($U664-INDEX(Hourly_Analysis!$F$5:$F$28,$J664+1))/INDEX(Hourly_Analysis!$G$5:$G$28,$J664+1),0)),2)</f>
        <v>-0.63</v>
      </c>
      <c r="AH664" s="23" t="str">
        <f>IF(ABS($AG664)&gt;Lookups!$B$20,IF($AG664&gt;0,"High anomaly","Low anomaly"),"")</f>
        <v/>
      </c>
      <c r="AI664" s="23" t="str">
        <f t="shared" si="64"/>
        <v>OK</v>
      </c>
      <c r="AJ664" s="23" t="str">
        <f t="shared" si="65"/>
        <v>No</v>
      </c>
    </row>
    <row r="665" spans="1:36" x14ac:dyDescent="0.35">
      <c r="A665" s="23">
        <v>664</v>
      </c>
      <c r="B665" s="23" t="str">
        <f t="shared" si="60"/>
        <v>Dataset 3</v>
      </c>
      <c r="C665" s="23">
        <f>IFERROR(MATCH($A665,Merge_1_2!$A$2:$A$611,0),0)</f>
        <v>0</v>
      </c>
      <c r="D665" s="23">
        <f>IF($C665&gt;0,INDEX(Merge_1_2!$Q$2:$Q$611,$C665),0)</f>
        <v>0</v>
      </c>
      <c r="E665" s="23">
        <f>IFERROR(MATCH($A665,Dataset3_Raw!$A$2:$A$391,0),0)</f>
        <v>54</v>
      </c>
      <c r="F665" s="24">
        <f>IF($C665&gt;0,INDEX(Merge_1_2!$B$2:$B$611,$C665),DATE(VALUE(RIGHT(INDEX(Dataset3_Raw!$B$2:$B$391,$E665),4)),VALUE(MID(INDEX(Dataset3_Raw!$B$2:$B$391,$E665),4,2)),VALUE(LEFT(INDEX(Dataset3_Raw!$B$2:$B$391,$E665),2))))</f>
        <v>40573</v>
      </c>
      <c r="G665" s="23">
        <f>IF($C665&gt;0,INDEX(Merge_1_2!$C$2:$C$611,$C665),INDEX(Dataset3_Raw!$C$2:$C$391,$E665))</f>
        <v>1</v>
      </c>
      <c r="H665" s="23">
        <f>IF($C665&gt;0,INDEX(Merge_1_2!$D$2:$D$611,$C665),INDEX(Dataset3_Raw!$D$2:$D$391,$E665))</f>
        <v>0</v>
      </c>
      <c r="I665" s="23">
        <f>IF($C665&gt;0,INDEX(Merge_1_2!$E$2:$E$611,$C665),INDEX(Dataset3_Raw!$E$2:$E$391,$E665))</f>
        <v>1</v>
      </c>
      <c r="J665" s="23">
        <f>IF($C665&gt;0,INDEX(Merge_1_2!$F$2:$F$611,$C665),INDEX(Dataset3_Raw!$F$2:$F$391,$E665))</f>
        <v>23</v>
      </c>
      <c r="K665" s="23" t="b">
        <f>IF($C665&gt;0,INDEX(Merge_1_2!$G$2:$G$611,$C665),INDEX(Dataset3_Raw!$G$2:$G$391,$E665))</f>
        <v>0</v>
      </c>
      <c r="L665" s="23">
        <f>IF($C665&gt;0,INDEX(Merge_1_2!$H$2:$H$611,$C665),INDEX(Dataset3_Raw!$H$2:$H$391,$E665))</f>
        <v>0</v>
      </c>
      <c r="M665" s="23">
        <f>IF($C665&gt;0,INDEX(Merge_1_2!$I$2:$I$611,$C665),INDEX(Dataset3_Raw!$I$2:$I$391,$E665))</f>
        <v>2</v>
      </c>
      <c r="N665" s="25">
        <f>IF($C665&gt;0,INDEX(Merge_1_2!$J$2:$J$611,$C665),INDEX(Dataset3_Raw!$J$2:$J$391,$E665))</f>
        <v>0.24</v>
      </c>
      <c r="O665" s="25">
        <f>IF($C665&gt;0,IF(ISNUMBER(INDEX(Merge_1_2!$K$2:$K$611,$C665)),INDEX(Merge_1_2!$K$2:$K$611,$C665),""),INDEX(Dataset3_Raw!$K$2:$K$391,$E665))</f>
        <v>0.21210000000000001</v>
      </c>
      <c r="P665" s="25">
        <f>IF(ISNUMBER($O665),$O665,ROUND(Lookups!$B$25+Lookups!$B$24*$N665,4))</f>
        <v>0.21210000000000001</v>
      </c>
      <c r="Q665" s="25">
        <f>IF($C665&gt;0,INDEX(Merge_1_2!$L$2:$L$611,$C665),INDEX(Dataset3_Raw!$L$2:$L$391,$E665))</f>
        <v>0.65</v>
      </c>
      <c r="R665" s="25">
        <f>IF($C665&gt;0,INDEX(Merge_1_2!$M$2:$M$611,$C665),INDEX(Dataset3_Raw!$M$2:$M$391,$E665))</f>
        <v>0.28360000000000002</v>
      </c>
      <c r="S665" s="23">
        <f>IF($C665&gt;0,INDEX(Merge_1_2!$N$2:$N$611,$C665),INDEX(Dataset3_Raw!$N$2:$N$391,$E665))</f>
        <v>5</v>
      </c>
      <c r="T665" s="23">
        <f>IF($C665&gt;0,INDEX(Merge_1_2!$O$2:$O$611,$C665),INDEX(Dataset3_Raw!$O$2:$O$391,$E665))</f>
        <v>16</v>
      </c>
      <c r="U665" s="23">
        <f>IF($C665&gt;0,INDEX(Merge_1_2!$P$2:$P$611,$C665),INDEX(Dataset3_Raw!$P$2:$P$391,$E665))</f>
        <v>21</v>
      </c>
      <c r="V665" s="23" t="str">
        <f t="shared" si="61"/>
        <v>Weekend</v>
      </c>
      <c r="W665" s="23" t="str">
        <f>VLOOKUP($M665,Lookups!$A$5:$B$8,2,FALSE())</f>
        <v>Mist / Cloudy</v>
      </c>
      <c r="X665" s="23" t="str">
        <f>VLOOKUP($G665,Lookups!$D$5:$E$8,2,FALSE())</f>
        <v>Winter</v>
      </c>
      <c r="Y665" s="23" t="str">
        <f>VLOOKUP($L665,Lookups!$G$5:$H$11,2,FALSE())</f>
        <v>Sunday</v>
      </c>
      <c r="Z665" s="23" t="str">
        <f>IF($J665&lt;Lookups!$B$26,"Night",IF($J665&lt;Lookups!$B$27,"Morning",IF($J665&lt;Lookups!$B$28,"Afternoon","Evening")))</f>
        <v>Evening</v>
      </c>
      <c r="AA665" s="26">
        <f>ROUND($N665*(Lookups!$B$16-Lookups!$B$15)+Lookups!$B$15,1)</f>
        <v>3.3</v>
      </c>
      <c r="AB665" s="26">
        <f>ROUND($P665*(Lookups!$B$18-Lookups!$B$17)+Lookups!$B$17,1)</f>
        <v>-2</v>
      </c>
      <c r="AC665" s="23">
        <f t="shared" si="62"/>
        <v>65</v>
      </c>
      <c r="AD665" s="23">
        <f>ROUND($R665*Lookups!$B$19,1)</f>
        <v>19</v>
      </c>
      <c r="AE665" s="27">
        <f t="shared" si="63"/>
        <v>0.76190476190476186</v>
      </c>
      <c r="AF665" s="23" t="str">
        <f>IF($U665&gt;=Lookups!$B$23,"High",IF($U665&gt;=Lookups!$B$22,"Medium","Low"))</f>
        <v>Medium</v>
      </c>
      <c r="AG665" s="23">
        <f>ROUND(IF($V665="Weekday",IF(INDEX(Hourly_Analysis!$D$5:$D$28,$J665+1)&gt;0,($U665-INDEX(Hourly_Analysis!$C$5:$C$28,$J665+1))/INDEX(Hourly_Analysis!$D$5:$D$28,$J665+1),0),IF(INDEX(Hourly_Analysis!$G$5:$G$28,$J665+1)&gt;0,($U665-INDEX(Hourly_Analysis!$F$5:$F$28,$J665+1))/INDEX(Hourly_Analysis!$G$5:$G$28,$J665+1),0)),2)</f>
        <v>-0.38</v>
      </c>
      <c r="AH665" s="23" t="str">
        <f>IF(ABS($AG665)&gt;Lookups!$B$20,IF($AG665&gt;0,"High anomaly","Low anomaly"),"")</f>
        <v/>
      </c>
      <c r="AI665" s="23" t="str">
        <f t="shared" si="64"/>
        <v>OK</v>
      </c>
      <c r="AJ665" s="23" t="str">
        <f t="shared" si="65"/>
        <v>No</v>
      </c>
    </row>
    <row r="666" spans="1:36" x14ac:dyDescent="0.35">
      <c r="A666" s="23">
        <v>665</v>
      </c>
      <c r="B666" s="23" t="str">
        <f t="shared" si="60"/>
        <v>Dataset 3</v>
      </c>
      <c r="C666" s="23">
        <f>IFERROR(MATCH($A666,Merge_1_2!$A$2:$A$611,0),0)</f>
        <v>0</v>
      </c>
      <c r="D666" s="23">
        <f>IF($C666&gt;0,INDEX(Merge_1_2!$Q$2:$Q$611,$C666),0)</f>
        <v>0</v>
      </c>
      <c r="E666" s="23">
        <f>IFERROR(MATCH($A666,Dataset3_Raw!$A$2:$A$391,0),0)</f>
        <v>55</v>
      </c>
      <c r="F666" s="24">
        <f>IF($C666&gt;0,INDEX(Merge_1_2!$B$2:$B$611,$C666),DATE(VALUE(RIGHT(INDEX(Dataset3_Raw!$B$2:$B$391,$E666),4)),VALUE(MID(INDEX(Dataset3_Raw!$B$2:$B$391,$E666),4,2)),VALUE(LEFT(INDEX(Dataset3_Raw!$B$2:$B$391,$E666),2))))</f>
        <v>40574</v>
      </c>
      <c r="G666" s="23">
        <f>IF($C666&gt;0,INDEX(Merge_1_2!$C$2:$C$611,$C666),INDEX(Dataset3_Raw!$C$2:$C$391,$E666))</f>
        <v>1</v>
      </c>
      <c r="H666" s="23">
        <f>IF($C666&gt;0,INDEX(Merge_1_2!$D$2:$D$611,$C666),INDEX(Dataset3_Raw!$D$2:$D$391,$E666))</f>
        <v>0</v>
      </c>
      <c r="I666" s="23">
        <f>IF($C666&gt;0,INDEX(Merge_1_2!$E$2:$E$611,$C666),INDEX(Dataset3_Raw!$E$2:$E$391,$E666))</f>
        <v>1</v>
      </c>
      <c r="J666" s="23">
        <f>IF($C666&gt;0,INDEX(Merge_1_2!$F$2:$F$611,$C666),INDEX(Dataset3_Raw!$F$2:$F$391,$E666))</f>
        <v>0</v>
      </c>
      <c r="K666" s="23" t="b">
        <f>IF($C666&gt;0,INDEX(Merge_1_2!$G$2:$G$611,$C666),INDEX(Dataset3_Raw!$G$2:$G$391,$E666))</f>
        <v>0</v>
      </c>
      <c r="L666" s="23">
        <f>IF($C666&gt;0,INDEX(Merge_1_2!$H$2:$H$611,$C666),INDEX(Dataset3_Raw!$H$2:$H$391,$E666))</f>
        <v>1</v>
      </c>
      <c r="M666" s="23">
        <f>IF($C666&gt;0,INDEX(Merge_1_2!$I$2:$I$611,$C666),INDEX(Dataset3_Raw!$I$2:$I$391,$E666))</f>
        <v>2</v>
      </c>
      <c r="N666" s="25">
        <f>IF($C666&gt;0,INDEX(Merge_1_2!$J$2:$J$611,$C666),INDEX(Dataset3_Raw!$J$2:$J$391,$E666))</f>
        <v>0.24</v>
      </c>
      <c r="O666" s="25">
        <f>IF($C666&gt;0,IF(ISNUMBER(INDEX(Merge_1_2!$K$2:$K$611,$C666)),INDEX(Merge_1_2!$K$2:$K$611,$C666),""),INDEX(Dataset3_Raw!$K$2:$K$391,$E666))</f>
        <v>0.2273</v>
      </c>
      <c r="P666" s="25">
        <f>IF(ISNUMBER($O666),$O666,ROUND(Lookups!$B$25+Lookups!$B$24*$N666,4))</f>
        <v>0.2273</v>
      </c>
      <c r="Q666" s="25">
        <f>IF($C666&gt;0,INDEX(Merge_1_2!$L$2:$L$611,$C666),INDEX(Dataset3_Raw!$L$2:$L$391,$E666))</f>
        <v>0.65</v>
      </c>
      <c r="R666" s="25">
        <f>IF($C666&gt;0,INDEX(Merge_1_2!$M$2:$M$611,$C666),INDEX(Dataset3_Raw!$M$2:$M$391,$E666))</f>
        <v>0.22389999999999999</v>
      </c>
      <c r="S666" s="23">
        <f>IF($C666&gt;0,INDEX(Merge_1_2!$N$2:$N$611,$C666),INDEX(Dataset3_Raw!$N$2:$N$391,$E666))</f>
        <v>1</v>
      </c>
      <c r="T666" s="23">
        <f>IF($C666&gt;0,INDEX(Merge_1_2!$O$2:$O$611,$C666),INDEX(Dataset3_Raw!$O$2:$O$391,$E666))</f>
        <v>6</v>
      </c>
      <c r="U666" s="23">
        <f>IF($C666&gt;0,INDEX(Merge_1_2!$P$2:$P$611,$C666),INDEX(Dataset3_Raw!$P$2:$P$391,$E666))</f>
        <v>7</v>
      </c>
      <c r="V666" s="23" t="str">
        <f t="shared" si="61"/>
        <v>Weekday</v>
      </c>
      <c r="W666" s="23" t="str">
        <f>VLOOKUP($M666,Lookups!$A$5:$B$8,2,FALSE())</f>
        <v>Mist / Cloudy</v>
      </c>
      <c r="X666" s="23" t="str">
        <f>VLOOKUP($G666,Lookups!$D$5:$E$8,2,FALSE())</f>
        <v>Winter</v>
      </c>
      <c r="Y666" s="23" t="str">
        <f>VLOOKUP($L666,Lookups!$G$5:$H$11,2,FALSE())</f>
        <v>Monday</v>
      </c>
      <c r="Z666" s="23" t="str">
        <f>IF($J666&lt;Lookups!$B$26,"Night",IF($J666&lt;Lookups!$B$27,"Morning",IF($J666&lt;Lookups!$B$28,"Afternoon","Evening")))</f>
        <v>Night</v>
      </c>
      <c r="AA666" s="26">
        <f>ROUND($N666*(Lookups!$B$16-Lookups!$B$15)+Lookups!$B$15,1)</f>
        <v>3.3</v>
      </c>
      <c r="AB666" s="26">
        <f>ROUND($P666*(Lookups!$B$18-Lookups!$B$17)+Lookups!$B$17,1)</f>
        <v>-1</v>
      </c>
      <c r="AC666" s="23">
        <f t="shared" si="62"/>
        <v>65</v>
      </c>
      <c r="AD666" s="23">
        <f>ROUND($R666*Lookups!$B$19,1)</f>
        <v>15</v>
      </c>
      <c r="AE666" s="27">
        <f t="shared" si="63"/>
        <v>0.8571428571428571</v>
      </c>
      <c r="AF666" s="23" t="str">
        <f>IF($U666&gt;=Lookups!$B$23,"High",IF($U666&gt;=Lookups!$B$22,"Medium","Low"))</f>
        <v>Low</v>
      </c>
      <c r="AG666" s="23">
        <f>ROUND(IF($V666="Weekday",IF(INDEX(Hourly_Analysis!$D$5:$D$28,$J666+1)&gt;0,($U666-INDEX(Hourly_Analysis!$C$5:$C$28,$J666+1))/INDEX(Hourly_Analysis!$D$5:$D$28,$J666+1),0),IF(INDEX(Hourly_Analysis!$G$5:$G$28,$J666+1)&gt;0,($U666-INDEX(Hourly_Analysis!$F$5:$F$28,$J666+1))/INDEX(Hourly_Analysis!$G$5:$G$28,$J666+1),0)),2)</f>
        <v>-0.72</v>
      </c>
      <c r="AH666" s="23" t="str">
        <f>IF(ABS($AG666)&gt;Lookups!$B$20,IF($AG666&gt;0,"High anomaly","Low anomaly"),"")</f>
        <v/>
      </c>
      <c r="AI666" s="23" t="str">
        <f t="shared" si="64"/>
        <v>OK</v>
      </c>
      <c r="AJ666" s="23" t="str">
        <f t="shared" si="65"/>
        <v>No</v>
      </c>
    </row>
    <row r="667" spans="1:36" x14ac:dyDescent="0.35">
      <c r="A667" s="23">
        <v>666</v>
      </c>
      <c r="B667" s="23" t="str">
        <f t="shared" si="60"/>
        <v>Dataset 3</v>
      </c>
      <c r="C667" s="23">
        <f>IFERROR(MATCH($A667,Merge_1_2!$A$2:$A$611,0),0)</f>
        <v>0</v>
      </c>
      <c r="D667" s="23">
        <f>IF($C667&gt;0,INDEX(Merge_1_2!$Q$2:$Q$611,$C667),0)</f>
        <v>0</v>
      </c>
      <c r="E667" s="23">
        <f>IFERROR(MATCH($A667,Dataset3_Raw!$A$2:$A$391,0),0)</f>
        <v>56</v>
      </c>
      <c r="F667" s="24">
        <f>IF($C667&gt;0,INDEX(Merge_1_2!$B$2:$B$611,$C667),DATE(VALUE(RIGHT(INDEX(Dataset3_Raw!$B$2:$B$391,$E667),4)),VALUE(MID(INDEX(Dataset3_Raw!$B$2:$B$391,$E667),4,2)),VALUE(LEFT(INDEX(Dataset3_Raw!$B$2:$B$391,$E667),2))))</f>
        <v>40574</v>
      </c>
      <c r="G667" s="23">
        <f>IF($C667&gt;0,INDEX(Merge_1_2!$C$2:$C$611,$C667),INDEX(Dataset3_Raw!$C$2:$C$391,$E667))</f>
        <v>1</v>
      </c>
      <c r="H667" s="23">
        <f>IF($C667&gt;0,INDEX(Merge_1_2!$D$2:$D$611,$C667),INDEX(Dataset3_Raw!$D$2:$D$391,$E667))</f>
        <v>0</v>
      </c>
      <c r="I667" s="23">
        <f>IF($C667&gt;0,INDEX(Merge_1_2!$E$2:$E$611,$C667),INDEX(Dataset3_Raw!$E$2:$E$391,$E667))</f>
        <v>1</v>
      </c>
      <c r="J667" s="23">
        <f>IF($C667&gt;0,INDEX(Merge_1_2!$F$2:$F$611,$C667),INDEX(Dataset3_Raw!$F$2:$F$391,$E667))</f>
        <v>1</v>
      </c>
      <c r="K667" s="23" t="b">
        <f>IF($C667&gt;0,INDEX(Merge_1_2!$G$2:$G$611,$C667),INDEX(Dataset3_Raw!$G$2:$G$391,$E667))</f>
        <v>0</v>
      </c>
      <c r="L667" s="23">
        <f>IF($C667&gt;0,INDEX(Merge_1_2!$H$2:$H$611,$C667),INDEX(Dataset3_Raw!$H$2:$H$391,$E667))</f>
        <v>1</v>
      </c>
      <c r="M667" s="23">
        <f>IF($C667&gt;0,INDEX(Merge_1_2!$I$2:$I$611,$C667),INDEX(Dataset3_Raw!$I$2:$I$391,$E667))</f>
        <v>1</v>
      </c>
      <c r="N667" s="25">
        <f>IF($C667&gt;0,INDEX(Merge_1_2!$J$2:$J$611,$C667),INDEX(Dataset3_Raw!$J$2:$J$391,$E667))</f>
        <v>0.22</v>
      </c>
      <c r="O667" s="25">
        <f>IF($C667&gt;0,IF(ISNUMBER(INDEX(Merge_1_2!$K$2:$K$611,$C667)),INDEX(Merge_1_2!$K$2:$K$611,$C667),""),INDEX(Dataset3_Raw!$K$2:$K$391,$E667))</f>
        <v>0.21210000000000001</v>
      </c>
      <c r="P667" s="25">
        <f>IF(ISNUMBER($O667),$O667,ROUND(Lookups!$B$25+Lookups!$B$24*$N667,4))</f>
        <v>0.21210000000000001</v>
      </c>
      <c r="Q667" s="25">
        <f>IF($C667&gt;0,INDEX(Merge_1_2!$L$2:$L$611,$C667),INDEX(Dataset3_Raw!$L$2:$L$391,$E667))</f>
        <v>0.64</v>
      </c>
      <c r="R667" s="25">
        <f>IF($C667&gt;0,INDEX(Merge_1_2!$M$2:$M$611,$C667),INDEX(Dataset3_Raw!$M$2:$M$391,$E667))</f>
        <v>0.25369999999999998</v>
      </c>
      <c r="S667" s="23">
        <f>IF($C667&gt;0,INDEX(Merge_1_2!$N$2:$N$611,$C667),INDEX(Dataset3_Raw!$N$2:$N$391,$E667))</f>
        <v>2</v>
      </c>
      <c r="T667" s="23">
        <f>IF($C667&gt;0,INDEX(Merge_1_2!$O$2:$O$611,$C667),INDEX(Dataset3_Raw!$O$2:$O$391,$E667))</f>
        <v>5</v>
      </c>
      <c r="U667" s="23">
        <f>IF($C667&gt;0,INDEX(Merge_1_2!$P$2:$P$611,$C667),INDEX(Dataset3_Raw!$P$2:$P$391,$E667))</f>
        <v>7</v>
      </c>
      <c r="V667" s="23" t="str">
        <f t="shared" si="61"/>
        <v>Weekday</v>
      </c>
      <c r="W667" s="23" t="str">
        <f>VLOOKUP($M667,Lookups!$A$5:$B$8,2,FALSE())</f>
        <v>Clear / Partly cloudy</v>
      </c>
      <c r="X667" s="23" t="str">
        <f>VLOOKUP($G667,Lookups!$D$5:$E$8,2,FALSE())</f>
        <v>Winter</v>
      </c>
      <c r="Y667" s="23" t="str">
        <f>VLOOKUP($L667,Lookups!$G$5:$H$11,2,FALSE())</f>
        <v>Monday</v>
      </c>
      <c r="Z667" s="23" t="str">
        <f>IF($J667&lt;Lookups!$B$26,"Night",IF($J667&lt;Lookups!$B$27,"Morning",IF($J667&lt;Lookups!$B$28,"Afternoon","Evening")))</f>
        <v>Night</v>
      </c>
      <c r="AA667" s="26">
        <f>ROUND($N667*(Lookups!$B$16-Lookups!$B$15)+Lookups!$B$15,1)</f>
        <v>2.2999999999999998</v>
      </c>
      <c r="AB667" s="26">
        <f>ROUND($P667*(Lookups!$B$18-Lookups!$B$17)+Lookups!$B$17,1)</f>
        <v>-2</v>
      </c>
      <c r="AC667" s="23">
        <f t="shared" si="62"/>
        <v>64</v>
      </c>
      <c r="AD667" s="23">
        <f>ROUND($R667*Lookups!$B$19,1)</f>
        <v>17</v>
      </c>
      <c r="AE667" s="27">
        <f t="shared" si="63"/>
        <v>0.7142857142857143</v>
      </c>
      <c r="AF667" s="23" t="str">
        <f>IF($U667&gt;=Lookups!$B$23,"High",IF($U667&gt;=Lookups!$B$22,"Medium","Low"))</f>
        <v>Low</v>
      </c>
      <c r="AG667" s="23">
        <f>ROUND(IF($V667="Weekday",IF(INDEX(Hourly_Analysis!$D$5:$D$28,$J667+1)&gt;0,($U667-INDEX(Hourly_Analysis!$C$5:$C$28,$J667+1))/INDEX(Hourly_Analysis!$D$5:$D$28,$J667+1),0),IF(INDEX(Hourly_Analysis!$G$5:$G$28,$J667+1)&gt;0,($U667-INDEX(Hourly_Analysis!$F$5:$F$28,$J667+1))/INDEX(Hourly_Analysis!$G$5:$G$28,$J667+1),0)),2)</f>
        <v>1.1299999999999999</v>
      </c>
      <c r="AH667" s="23" t="str">
        <f>IF(ABS($AG667)&gt;Lookups!$B$20,IF($AG667&gt;0,"High anomaly","Low anomaly"),"")</f>
        <v/>
      </c>
      <c r="AI667" s="23" t="str">
        <f t="shared" si="64"/>
        <v>OK</v>
      </c>
      <c r="AJ667" s="23" t="str">
        <f t="shared" si="65"/>
        <v>No</v>
      </c>
    </row>
    <row r="668" spans="1:36" x14ac:dyDescent="0.35">
      <c r="A668" s="23">
        <v>667</v>
      </c>
      <c r="B668" s="23" t="str">
        <f t="shared" si="60"/>
        <v>Dataset 3</v>
      </c>
      <c r="C668" s="23">
        <f>IFERROR(MATCH($A668,Merge_1_2!$A$2:$A$611,0),0)</f>
        <v>0</v>
      </c>
      <c r="D668" s="23">
        <f>IF($C668&gt;0,INDEX(Merge_1_2!$Q$2:$Q$611,$C668),0)</f>
        <v>0</v>
      </c>
      <c r="E668" s="23">
        <f>IFERROR(MATCH($A668,Dataset3_Raw!$A$2:$A$391,0),0)</f>
        <v>57</v>
      </c>
      <c r="F668" s="24">
        <f>IF($C668&gt;0,INDEX(Merge_1_2!$B$2:$B$611,$C668),DATE(VALUE(RIGHT(INDEX(Dataset3_Raw!$B$2:$B$391,$E668),4)),VALUE(MID(INDEX(Dataset3_Raw!$B$2:$B$391,$E668),4,2)),VALUE(LEFT(INDEX(Dataset3_Raw!$B$2:$B$391,$E668),2))))</f>
        <v>40574</v>
      </c>
      <c r="G668" s="23">
        <f>IF($C668&gt;0,INDEX(Merge_1_2!$C$2:$C$611,$C668),INDEX(Dataset3_Raw!$C$2:$C$391,$E668))</f>
        <v>1</v>
      </c>
      <c r="H668" s="23">
        <f>IF($C668&gt;0,INDEX(Merge_1_2!$D$2:$D$611,$C668),INDEX(Dataset3_Raw!$D$2:$D$391,$E668))</f>
        <v>0</v>
      </c>
      <c r="I668" s="23">
        <f>IF($C668&gt;0,INDEX(Merge_1_2!$E$2:$E$611,$C668),INDEX(Dataset3_Raw!$E$2:$E$391,$E668))</f>
        <v>1</v>
      </c>
      <c r="J668" s="23">
        <f>IF($C668&gt;0,INDEX(Merge_1_2!$F$2:$F$611,$C668),INDEX(Dataset3_Raw!$F$2:$F$391,$E668))</f>
        <v>2</v>
      </c>
      <c r="K668" s="23" t="b">
        <f>IF($C668&gt;0,INDEX(Merge_1_2!$G$2:$G$611,$C668),INDEX(Dataset3_Raw!$G$2:$G$391,$E668))</f>
        <v>0</v>
      </c>
      <c r="L668" s="23">
        <f>IF($C668&gt;0,INDEX(Merge_1_2!$H$2:$H$611,$C668),INDEX(Dataset3_Raw!$H$2:$H$391,$E668))</f>
        <v>1</v>
      </c>
      <c r="M668" s="23">
        <f>IF($C668&gt;0,INDEX(Merge_1_2!$I$2:$I$611,$C668),INDEX(Dataset3_Raw!$I$2:$I$391,$E668))</f>
        <v>1</v>
      </c>
      <c r="N668" s="25">
        <f>IF($C668&gt;0,INDEX(Merge_1_2!$J$2:$J$611,$C668),INDEX(Dataset3_Raw!$J$2:$J$391,$E668))</f>
        <v>0.22</v>
      </c>
      <c r="O668" s="25">
        <f>IF($C668&gt;0,IF(ISNUMBER(INDEX(Merge_1_2!$K$2:$K$611,$C668)),INDEX(Merge_1_2!$K$2:$K$611,$C668),""),INDEX(Dataset3_Raw!$K$2:$K$391,$E668))</f>
        <v>0.2273</v>
      </c>
      <c r="P668" s="25">
        <f>IF(ISNUMBER($O668),$O668,ROUND(Lookups!$B$25+Lookups!$B$24*$N668,4))</f>
        <v>0.2273</v>
      </c>
      <c r="Q668" s="25">
        <f>IF($C668&gt;0,INDEX(Merge_1_2!$L$2:$L$611,$C668),INDEX(Dataset3_Raw!$L$2:$L$391,$E668))</f>
        <v>0.64</v>
      </c>
      <c r="R668" s="25">
        <f>IF($C668&gt;0,INDEX(Merge_1_2!$M$2:$M$611,$C668),INDEX(Dataset3_Raw!$M$2:$M$391,$E668))</f>
        <v>0.19400000000000001</v>
      </c>
      <c r="S668" s="23">
        <f>IF($C668&gt;0,INDEX(Merge_1_2!$N$2:$N$611,$C668),INDEX(Dataset3_Raw!$N$2:$N$391,$E668))</f>
        <v>0</v>
      </c>
      <c r="T668" s="23">
        <f>IF($C668&gt;0,INDEX(Merge_1_2!$O$2:$O$611,$C668),INDEX(Dataset3_Raw!$O$2:$O$391,$E668))</f>
        <v>1</v>
      </c>
      <c r="U668" s="23">
        <f>IF($C668&gt;0,INDEX(Merge_1_2!$P$2:$P$611,$C668),INDEX(Dataset3_Raw!$P$2:$P$391,$E668))</f>
        <v>1</v>
      </c>
      <c r="V668" s="23" t="str">
        <f t="shared" si="61"/>
        <v>Weekday</v>
      </c>
      <c r="W668" s="23" t="str">
        <f>VLOOKUP($M668,Lookups!$A$5:$B$8,2,FALSE())</f>
        <v>Clear / Partly cloudy</v>
      </c>
      <c r="X668" s="23" t="str">
        <f>VLOOKUP($G668,Lookups!$D$5:$E$8,2,FALSE())</f>
        <v>Winter</v>
      </c>
      <c r="Y668" s="23" t="str">
        <f>VLOOKUP($L668,Lookups!$G$5:$H$11,2,FALSE())</f>
        <v>Monday</v>
      </c>
      <c r="Z668" s="23" t="str">
        <f>IF($J668&lt;Lookups!$B$26,"Night",IF($J668&lt;Lookups!$B$27,"Morning",IF($J668&lt;Lookups!$B$28,"Afternoon","Evening")))</f>
        <v>Night</v>
      </c>
      <c r="AA668" s="26">
        <f>ROUND($N668*(Lookups!$B$16-Lookups!$B$15)+Lookups!$B$15,1)</f>
        <v>2.2999999999999998</v>
      </c>
      <c r="AB668" s="26">
        <f>ROUND($P668*(Lookups!$B$18-Lookups!$B$17)+Lookups!$B$17,1)</f>
        <v>-1</v>
      </c>
      <c r="AC668" s="23">
        <f t="shared" si="62"/>
        <v>64</v>
      </c>
      <c r="AD668" s="23">
        <f>ROUND($R668*Lookups!$B$19,1)</f>
        <v>13</v>
      </c>
      <c r="AE668" s="27">
        <f t="shared" si="63"/>
        <v>1</v>
      </c>
      <c r="AF668" s="23" t="str">
        <f>IF($U668&gt;=Lookups!$B$23,"High",IF($U668&gt;=Lookups!$B$22,"Medium","Low"))</f>
        <v>Low</v>
      </c>
      <c r="AG668" s="23">
        <f>ROUND(IF($V668="Weekday",IF(INDEX(Hourly_Analysis!$D$5:$D$28,$J668+1)&gt;0,($U668-INDEX(Hourly_Analysis!$C$5:$C$28,$J668+1))/INDEX(Hourly_Analysis!$D$5:$D$28,$J668+1),0),IF(INDEX(Hourly_Analysis!$G$5:$G$28,$J668+1)&gt;0,($U668-INDEX(Hourly_Analysis!$F$5:$F$28,$J668+1))/INDEX(Hourly_Analysis!$G$5:$G$28,$J668+1),0)),2)</f>
        <v>-0.81</v>
      </c>
      <c r="AH668" s="23" t="str">
        <f>IF(ABS($AG668)&gt;Lookups!$B$20,IF($AG668&gt;0,"High anomaly","Low anomaly"),"")</f>
        <v/>
      </c>
      <c r="AI668" s="23" t="str">
        <f t="shared" si="64"/>
        <v>OK</v>
      </c>
      <c r="AJ668" s="23" t="str">
        <f t="shared" si="65"/>
        <v>No</v>
      </c>
    </row>
    <row r="669" spans="1:36" x14ac:dyDescent="0.35">
      <c r="A669" s="23">
        <v>668</v>
      </c>
      <c r="B669" s="23" t="str">
        <f t="shared" si="60"/>
        <v>Dataset 3</v>
      </c>
      <c r="C669" s="23">
        <f>IFERROR(MATCH($A669,Merge_1_2!$A$2:$A$611,0),0)</f>
        <v>0</v>
      </c>
      <c r="D669" s="23">
        <f>IF($C669&gt;0,INDEX(Merge_1_2!$Q$2:$Q$611,$C669),0)</f>
        <v>0</v>
      </c>
      <c r="E669" s="23">
        <f>IFERROR(MATCH($A669,Dataset3_Raw!$A$2:$A$391,0),0)</f>
        <v>58</v>
      </c>
      <c r="F669" s="24">
        <f>IF($C669&gt;0,INDEX(Merge_1_2!$B$2:$B$611,$C669),DATE(VALUE(RIGHT(INDEX(Dataset3_Raw!$B$2:$B$391,$E669),4)),VALUE(MID(INDEX(Dataset3_Raw!$B$2:$B$391,$E669),4,2)),VALUE(LEFT(INDEX(Dataset3_Raw!$B$2:$B$391,$E669),2))))</f>
        <v>40574</v>
      </c>
      <c r="G669" s="23">
        <f>IF($C669&gt;0,INDEX(Merge_1_2!$C$2:$C$611,$C669),INDEX(Dataset3_Raw!$C$2:$C$391,$E669))</f>
        <v>1</v>
      </c>
      <c r="H669" s="23">
        <f>IF($C669&gt;0,INDEX(Merge_1_2!$D$2:$D$611,$C669),INDEX(Dataset3_Raw!$D$2:$D$391,$E669))</f>
        <v>0</v>
      </c>
      <c r="I669" s="23">
        <f>IF($C669&gt;0,INDEX(Merge_1_2!$E$2:$E$611,$C669),INDEX(Dataset3_Raw!$E$2:$E$391,$E669))</f>
        <v>1</v>
      </c>
      <c r="J669" s="23">
        <f>IF($C669&gt;0,INDEX(Merge_1_2!$F$2:$F$611,$C669),INDEX(Dataset3_Raw!$F$2:$F$391,$E669))</f>
        <v>3</v>
      </c>
      <c r="K669" s="23" t="b">
        <f>IF($C669&gt;0,INDEX(Merge_1_2!$G$2:$G$611,$C669),INDEX(Dataset3_Raw!$G$2:$G$391,$E669))</f>
        <v>0</v>
      </c>
      <c r="L669" s="23">
        <f>IF($C669&gt;0,INDEX(Merge_1_2!$H$2:$H$611,$C669),INDEX(Dataset3_Raw!$H$2:$H$391,$E669))</f>
        <v>1</v>
      </c>
      <c r="M669" s="23">
        <f>IF($C669&gt;0,INDEX(Merge_1_2!$I$2:$I$611,$C669),INDEX(Dataset3_Raw!$I$2:$I$391,$E669))</f>
        <v>1</v>
      </c>
      <c r="N669" s="25">
        <f>IF($C669&gt;0,INDEX(Merge_1_2!$J$2:$J$611,$C669),INDEX(Dataset3_Raw!$J$2:$J$391,$E669))</f>
        <v>0.22</v>
      </c>
      <c r="O669" s="25">
        <f>IF($C669&gt;0,IF(ISNUMBER(INDEX(Merge_1_2!$K$2:$K$611,$C669)),INDEX(Merge_1_2!$K$2:$K$611,$C669),""),INDEX(Dataset3_Raw!$K$2:$K$391,$E669))</f>
        <v>0.2273</v>
      </c>
      <c r="P669" s="25">
        <f>IF(ISNUMBER($O669),$O669,ROUND(Lookups!$B$25+Lookups!$B$24*$N669,4))</f>
        <v>0.2273</v>
      </c>
      <c r="Q669" s="25">
        <f>IF($C669&gt;0,INDEX(Merge_1_2!$L$2:$L$611,$C669),INDEX(Dataset3_Raw!$L$2:$L$391,$E669))</f>
        <v>0.64</v>
      </c>
      <c r="R669" s="25">
        <f>IF($C669&gt;0,INDEX(Merge_1_2!$M$2:$M$611,$C669),INDEX(Dataset3_Raw!$M$2:$M$391,$E669))</f>
        <v>0.19400000000000001</v>
      </c>
      <c r="S669" s="23">
        <f>IF($C669&gt;0,INDEX(Merge_1_2!$N$2:$N$611,$C669),INDEX(Dataset3_Raw!$N$2:$N$391,$E669))</f>
        <v>0</v>
      </c>
      <c r="T669" s="23">
        <f>IF($C669&gt;0,INDEX(Merge_1_2!$O$2:$O$611,$C669),INDEX(Dataset3_Raw!$O$2:$O$391,$E669))</f>
        <v>2</v>
      </c>
      <c r="U669" s="23">
        <f>IF($C669&gt;0,INDEX(Merge_1_2!$P$2:$P$611,$C669),INDEX(Dataset3_Raw!$P$2:$P$391,$E669))</f>
        <v>2</v>
      </c>
      <c r="V669" s="23" t="str">
        <f t="shared" si="61"/>
        <v>Weekday</v>
      </c>
      <c r="W669" s="23" t="str">
        <f>VLOOKUP($M669,Lookups!$A$5:$B$8,2,FALSE())</f>
        <v>Clear / Partly cloudy</v>
      </c>
      <c r="X669" s="23" t="str">
        <f>VLOOKUP($G669,Lookups!$D$5:$E$8,2,FALSE())</f>
        <v>Winter</v>
      </c>
      <c r="Y669" s="23" t="str">
        <f>VLOOKUP($L669,Lookups!$G$5:$H$11,2,FALSE())</f>
        <v>Monday</v>
      </c>
      <c r="Z669" s="23" t="str">
        <f>IF($J669&lt;Lookups!$B$26,"Night",IF($J669&lt;Lookups!$B$27,"Morning",IF($J669&lt;Lookups!$B$28,"Afternoon","Evening")))</f>
        <v>Night</v>
      </c>
      <c r="AA669" s="26">
        <f>ROUND($N669*(Lookups!$B$16-Lookups!$B$15)+Lookups!$B$15,1)</f>
        <v>2.2999999999999998</v>
      </c>
      <c r="AB669" s="26">
        <f>ROUND($P669*(Lookups!$B$18-Lookups!$B$17)+Lookups!$B$17,1)</f>
        <v>-1</v>
      </c>
      <c r="AC669" s="23">
        <f t="shared" si="62"/>
        <v>64</v>
      </c>
      <c r="AD669" s="23">
        <f>ROUND($R669*Lookups!$B$19,1)</f>
        <v>13</v>
      </c>
      <c r="AE669" s="27">
        <f t="shared" si="63"/>
        <v>1</v>
      </c>
      <c r="AF669" s="23" t="str">
        <f>IF($U669&gt;=Lookups!$B$23,"High",IF($U669&gt;=Lookups!$B$22,"Medium","Low"))</f>
        <v>Low</v>
      </c>
      <c r="AG669" s="23">
        <f>ROUND(IF($V669="Weekday",IF(INDEX(Hourly_Analysis!$D$5:$D$28,$J669+1)&gt;0,($U669-INDEX(Hourly_Analysis!$C$5:$C$28,$J669+1))/INDEX(Hourly_Analysis!$D$5:$D$28,$J669+1),0),IF(INDEX(Hourly_Analysis!$G$5:$G$28,$J669+1)&gt;0,($U669-INDEX(Hourly_Analysis!$F$5:$F$28,$J669+1))/INDEX(Hourly_Analysis!$G$5:$G$28,$J669+1),0)),2)</f>
        <v>1.01</v>
      </c>
      <c r="AH669" s="23" t="str">
        <f>IF(ABS($AG669)&gt;Lookups!$B$20,IF($AG669&gt;0,"High anomaly","Low anomaly"),"")</f>
        <v/>
      </c>
      <c r="AI669" s="23" t="str">
        <f t="shared" si="64"/>
        <v>OK</v>
      </c>
      <c r="AJ669" s="23" t="str">
        <f t="shared" si="65"/>
        <v>No</v>
      </c>
    </row>
    <row r="670" spans="1:36" x14ac:dyDescent="0.35">
      <c r="A670" s="23">
        <v>669</v>
      </c>
      <c r="B670" s="23" t="str">
        <f t="shared" si="60"/>
        <v>Dataset 3</v>
      </c>
      <c r="C670" s="23">
        <f>IFERROR(MATCH($A670,Merge_1_2!$A$2:$A$611,0),0)</f>
        <v>0</v>
      </c>
      <c r="D670" s="23">
        <f>IF($C670&gt;0,INDEX(Merge_1_2!$Q$2:$Q$611,$C670),0)</f>
        <v>0</v>
      </c>
      <c r="E670" s="23">
        <f>IFERROR(MATCH($A670,Dataset3_Raw!$A$2:$A$391,0),0)</f>
        <v>59</v>
      </c>
      <c r="F670" s="24">
        <f>IF($C670&gt;0,INDEX(Merge_1_2!$B$2:$B$611,$C670),DATE(VALUE(RIGHT(INDEX(Dataset3_Raw!$B$2:$B$391,$E670),4)),VALUE(MID(INDEX(Dataset3_Raw!$B$2:$B$391,$E670),4,2)),VALUE(LEFT(INDEX(Dataset3_Raw!$B$2:$B$391,$E670),2))))</f>
        <v>40574</v>
      </c>
      <c r="G670" s="23">
        <f>IF($C670&gt;0,INDEX(Merge_1_2!$C$2:$C$611,$C670),INDEX(Dataset3_Raw!$C$2:$C$391,$E670))</f>
        <v>1</v>
      </c>
      <c r="H670" s="23">
        <f>IF($C670&gt;0,INDEX(Merge_1_2!$D$2:$D$611,$C670),INDEX(Dataset3_Raw!$D$2:$D$391,$E670))</f>
        <v>0</v>
      </c>
      <c r="I670" s="23">
        <f>IF($C670&gt;0,INDEX(Merge_1_2!$E$2:$E$611,$C670),INDEX(Dataset3_Raw!$E$2:$E$391,$E670))</f>
        <v>1</v>
      </c>
      <c r="J670" s="23">
        <f>IF($C670&gt;0,INDEX(Merge_1_2!$F$2:$F$611,$C670),INDEX(Dataset3_Raw!$F$2:$F$391,$E670))</f>
        <v>4</v>
      </c>
      <c r="K670" s="23" t="b">
        <f>IF($C670&gt;0,INDEX(Merge_1_2!$G$2:$G$611,$C670),INDEX(Dataset3_Raw!$G$2:$G$391,$E670))</f>
        <v>0</v>
      </c>
      <c r="L670" s="23">
        <f>IF($C670&gt;0,INDEX(Merge_1_2!$H$2:$H$611,$C670),INDEX(Dataset3_Raw!$H$2:$H$391,$E670))</f>
        <v>1</v>
      </c>
      <c r="M670" s="23">
        <f>IF($C670&gt;0,INDEX(Merge_1_2!$I$2:$I$611,$C670),INDEX(Dataset3_Raw!$I$2:$I$391,$E670))</f>
        <v>1</v>
      </c>
      <c r="N670" s="25">
        <f>IF($C670&gt;0,INDEX(Merge_1_2!$J$2:$J$611,$C670),INDEX(Dataset3_Raw!$J$2:$J$391,$E670))</f>
        <v>0.2</v>
      </c>
      <c r="O670" s="25">
        <f>IF($C670&gt;0,IF(ISNUMBER(INDEX(Merge_1_2!$K$2:$K$611,$C670)),INDEX(Merge_1_2!$K$2:$K$611,$C670),""),INDEX(Dataset3_Raw!$K$2:$K$391,$E670))</f>
        <v>0.19700000000000001</v>
      </c>
      <c r="P670" s="25">
        <f>IF(ISNUMBER($O670),$O670,ROUND(Lookups!$B$25+Lookups!$B$24*$N670,4))</f>
        <v>0.19700000000000001</v>
      </c>
      <c r="Q670" s="25">
        <f>IF($C670&gt;0,INDEX(Merge_1_2!$L$2:$L$611,$C670),INDEX(Dataset3_Raw!$L$2:$L$391,$E670))</f>
        <v>0.59</v>
      </c>
      <c r="R670" s="25">
        <f>IF($C670&gt;0,INDEX(Merge_1_2!$M$2:$M$611,$C670),INDEX(Dataset3_Raw!$M$2:$M$391,$E670))</f>
        <v>0.22389999999999999</v>
      </c>
      <c r="S670" s="23">
        <f>IF($C670&gt;0,INDEX(Merge_1_2!$N$2:$N$611,$C670),INDEX(Dataset3_Raw!$N$2:$N$391,$E670))</f>
        <v>0</v>
      </c>
      <c r="T670" s="23">
        <f>IF($C670&gt;0,INDEX(Merge_1_2!$O$2:$O$611,$C670),INDEX(Dataset3_Raw!$O$2:$O$391,$E670))</f>
        <v>2</v>
      </c>
      <c r="U670" s="23">
        <f>IF($C670&gt;0,INDEX(Merge_1_2!$P$2:$P$611,$C670),INDEX(Dataset3_Raw!$P$2:$P$391,$E670))</f>
        <v>2</v>
      </c>
      <c r="V670" s="23" t="str">
        <f t="shared" si="61"/>
        <v>Weekday</v>
      </c>
      <c r="W670" s="23" t="str">
        <f>VLOOKUP($M670,Lookups!$A$5:$B$8,2,FALSE())</f>
        <v>Clear / Partly cloudy</v>
      </c>
      <c r="X670" s="23" t="str">
        <f>VLOOKUP($G670,Lookups!$D$5:$E$8,2,FALSE())</f>
        <v>Winter</v>
      </c>
      <c r="Y670" s="23" t="str">
        <f>VLOOKUP($L670,Lookups!$G$5:$H$11,2,FALSE())</f>
        <v>Monday</v>
      </c>
      <c r="Z670" s="23" t="str">
        <f>IF($J670&lt;Lookups!$B$26,"Night",IF($J670&lt;Lookups!$B$27,"Morning",IF($J670&lt;Lookups!$B$28,"Afternoon","Evening")))</f>
        <v>Night</v>
      </c>
      <c r="AA670" s="26">
        <f>ROUND($N670*(Lookups!$B$16-Lookups!$B$15)+Lookups!$B$15,1)</f>
        <v>1.4</v>
      </c>
      <c r="AB670" s="26">
        <f>ROUND($P670*(Lookups!$B$18-Lookups!$B$17)+Lookups!$B$17,1)</f>
        <v>-3</v>
      </c>
      <c r="AC670" s="23">
        <f t="shared" si="62"/>
        <v>59</v>
      </c>
      <c r="AD670" s="23">
        <f>ROUND($R670*Lookups!$B$19,1)</f>
        <v>15</v>
      </c>
      <c r="AE670" s="27">
        <f t="shared" si="63"/>
        <v>1</v>
      </c>
      <c r="AF670" s="23" t="str">
        <f>IF($U670&gt;=Lookups!$B$23,"High",IF($U670&gt;=Lookups!$B$22,"Medium","Low"))</f>
        <v>Low</v>
      </c>
      <c r="AG670" s="23">
        <f>ROUND(IF($V670="Weekday",IF(INDEX(Hourly_Analysis!$D$5:$D$28,$J670+1)&gt;0,($U670-INDEX(Hourly_Analysis!$C$5:$C$28,$J670+1))/INDEX(Hourly_Analysis!$D$5:$D$28,$J670+1),0),IF(INDEX(Hourly_Analysis!$G$5:$G$28,$J670+1)&gt;0,($U670-INDEX(Hourly_Analysis!$F$5:$F$28,$J670+1))/INDEX(Hourly_Analysis!$G$5:$G$28,$J670+1),0)),2)</f>
        <v>0.31</v>
      </c>
      <c r="AH670" s="23" t="str">
        <f>IF(ABS($AG670)&gt;Lookups!$B$20,IF($AG670&gt;0,"High anomaly","Low anomaly"),"")</f>
        <v/>
      </c>
      <c r="AI670" s="23" t="str">
        <f t="shared" si="64"/>
        <v>OK</v>
      </c>
      <c r="AJ670" s="23" t="str">
        <f t="shared" si="65"/>
        <v>No</v>
      </c>
    </row>
    <row r="671" spans="1:36" x14ac:dyDescent="0.35">
      <c r="A671" s="23">
        <v>670</v>
      </c>
      <c r="B671" s="23" t="str">
        <f t="shared" si="60"/>
        <v>Dataset 3</v>
      </c>
      <c r="C671" s="23">
        <f>IFERROR(MATCH($A671,Merge_1_2!$A$2:$A$611,0),0)</f>
        <v>0</v>
      </c>
      <c r="D671" s="23">
        <f>IF($C671&gt;0,INDEX(Merge_1_2!$Q$2:$Q$611,$C671),0)</f>
        <v>0</v>
      </c>
      <c r="E671" s="23">
        <f>IFERROR(MATCH($A671,Dataset3_Raw!$A$2:$A$391,0),0)</f>
        <v>60</v>
      </c>
      <c r="F671" s="24">
        <f>IF($C671&gt;0,INDEX(Merge_1_2!$B$2:$B$611,$C671),DATE(VALUE(RIGHT(INDEX(Dataset3_Raw!$B$2:$B$391,$E671),4)),VALUE(MID(INDEX(Dataset3_Raw!$B$2:$B$391,$E671),4,2)),VALUE(LEFT(INDEX(Dataset3_Raw!$B$2:$B$391,$E671),2))))</f>
        <v>40574</v>
      </c>
      <c r="G671" s="23">
        <f>IF($C671&gt;0,INDEX(Merge_1_2!$C$2:$C$611,$C671),INDEX(Dataset3_Raw!$C$2:$C$391,$E671))</f>
        <v>1</v>
      </c>
      <c r="H671" s="23">
        <f>IF($C671&gt;0,INDEX(Merge_1_2!$D$2:$D$611,$C671),INDEX(Dataset3_Raw!$D$2:$D$391,$E671))</f>
        <v>0</v>
      </c>
      <c r="I671" s="23">
        <f>IF($C671&gt;0,INDEX(Merge_1_2!$E$2:$E$611,$C671),INDEX(Dataset3_Raw!$E$2:$E$391,$E671))</f>
        <v>1</v>
      </c>
      <c r="J671" s="23">
        <f>IF($C671&gt;0,INDEX(Merge_1_2!$F$2:$F$611,$C671),INDEX(Dataset3_Raw!$F$2:$F$391,$E671))</f>
        <v>5</v>
      </c>
      <c r="K671" s="23" t="b">
        <f>IF($C671&gt;0,INDEX(Merge_1_2!$G$2:$G$611,$C671),INDEX(Dataset3_Raw!$G$2:$G$391,$E671))</f>
        <v>0</v>
      </c>
      <c r="L671" s="23">
        <f>IF($C671&gt;0,INDEX(Merge_1_2!$H$2:$H$611,$C671),INDEX(Dataset3_Raw!$H$2:$H$391,$E671))</f>
        <v>1</v>
      </c>
      <c r="M671" s="23">
        <f>IF($C671&gt;0,INDEX(Merge_1_2!$I$2:$I$611,$C671),INDEX(Dataset3_Raw!$I$2:$I$391,$E671))</f>
        <v>1</v>
      </c>
      <c r="N671" s="25">
        <f>IF($C671&gt;0,INDEX(Merge_1_2!$J$2:$J$611,$C671),INDEX(Dataset3_Raw!$J$2:$J$391,$E671))</f>
        <v>0.18</v>
      </c>
      <c r="O671" s="25">
        <f>IF($C671&gt;0,IF(ISNUMBER(INDEX(Merge_1_2!$K$2:$K$611,$C671)),INDEX(Merge_1_2!$K$2:$K$611,$C671),""),INDEX(Dataset3_Raw!$K$2:$K$391,$E671))</f>
        <v>0.16669999999999999</v>
      </c>
      <c r="P671" s="25">
        <f>IF(ISNUMBER($O671),$O671,ROUND(Lookups!$B$25+Lookups!$B$24*$N671,4))</f>
        <v>0.16669999999999999</v>
      </c>
      <c r="Q671" s="25">
        <f>IF($C671&gt;0,INDEX(Merge_1_2!$L$2:$L$611,$C671),INDEX(Dataset3_Raw!$L$2:$L$391,$E671))</f>
        <v>0.64</v>
      </c>
      <c r="R671" s="25">
        <f>IF($C671&gt;0,INDEX(Merge_1_2!$M$2:$M$611,$C671),INDEX(Dataset3_Raw!$M$2:$M$391,$E671))</f>
        <v>0.28360000000000002</v>
      </c>
      <c r="S671" s="23">
        <f>IF($C671&gt;0,INDEX(Merge_1_2!$N$2:$N$611,$C671),INDEX(Dataset3_Raw!$N$2:$N$391,$E671))</f>
        <v>0</v>
      </c>
      <c r="T671" s="23">
        <f>IF($C671&gt;0,INDEX(Merge_1_2!$O$2:$O$611,$C671),INDEX(Dataset3_Raw!$O$2:$O$391,$E671))</f>
        <v>8</v>
      </c>
      <c r="U671" s="23">
        <f>IF($C671&gt;0,INDEX(Merge_1_2!$P$2:$P$611,$C671),INDEX(Dataset3_Raw!$P$2:$P$391,$E671))</f>
        <v>8</v>
      </c>
      <c r="V671" s="23" t="str">
        <f t="shared" si="61"/>
        <v>Weekday</v>
      </c>
      <c r="W671" s="23" t="str">
        <f>VLOOKUP($M671,Lookups!$A$5:$B$8,2,FALSE())</f>
        <v>Clear / Partly cloudy</v>
      </c>
      <c r="X671" s="23" t="str">
        <f>VLOOKUP($G671,Lookups!$D$5:$E$8,2,FALSE())</f>
        <v>Winter</v>
      </c>
      <c r="Y671" s="23" t="str">
        <f>VLOOKUP($L671,Lookups!$G$5:$H$11,2,FALSE())</f>
        <v>Monday</v>
      </c>
      <c r="Z671" s="23" t="str">
        <f>IF($J671&lt;Lookups!$B$26,"Night",IF($J671&lt;Lookups!$B$27,"Morning",IF($J671&lt;Lookups!$B$28,"Afternoon","Evening")))</f>
        <v>Night</v>
      </c>
      <c r="AA671" s="26">
        <f>ROUND($N671*(Lookups!$B$16-Lookups!$B$15)+Lookups!$B$15,1)</f>
        <v>0.5</v>
      </c>
      <c r="AB671" s="26">
        <f>ROUND($P671*(Lookups!$B$18-Lookups!$B$17)+Lookups!$B$17,1)</f>
        <v>-5</v>
      </c>
      <c r="AC671" s="23">
        <f t="shared" si="62"/>
        <v>64</v>
      </c>
      <c r="AD671" s="23">
        <f>ROUND($R671*Lookups!$B$19,1)</f>
        <v>19</v>
      </c>
      <c r="AE671" s="27">
        <f t="shared" si="63"/>
        <v>1</v>
      </c>
      <c r="AF671" s="23" t="str">
        <f>IF($U671&gt;=Lookups!$B$23,"High",IF($U671&gt;=Lookups!$B$22,"Medium","Low"))</f>
        <v>Low</v>
      </c>
      <c r="AG671" s="23">
        <f>ROUND(IF($V671="Weekday",IF(INDEX(Hourly_Analysis!$D$5:$D$28,$J671+1)&gt;0,($U671-INDEX(Hourly_Analysis!$C$5:$C$28,$J671+1))/INDEX(Hourly_Analysis!$D$5:$D$28,$J671+1),0),IF(INDEX(Hourly_Analysis!$G$5:$G$28,$J671+1)&gt;0,($U671-INDEX(Hourly_Analysis!$F$5:$F$28,$J671+1))/INDEX(Hourly_Analysis!$G$5:$G$28,$J671+1),0)),2)</f>
        <v>1.38</v>
      </c>
      <c r="AH671" s="23" t="str">
        <f>IF(ABS($AG671)&gt;Lookups!$B$20,IF($AG671&gt;0,"High anomaly","Low anomaly"),"")</f>
        <v/>
      </c>
      <c r="AI671" s="23" t="str">
        <f t="shared" si="64"/>
        <v>OK</v>
      </c>
      <c r="AJ671" s="23" t="str">
        <f t="shared" si="65"/>
        <v>No</v>
      </c>
    </row>
    <row r="672" spans="1:36" x14ac:dyDescent="0.35">
      <c r="A672" s="23">
        <v>671</v>
      </c>
      <c r="B672" s="23" t="str">
        <f t="shared" si="60"/>
        <v>Dataset 3</v>
      </c>
      <c r="C672" s="23">
        <f>IFERROR(MATCH($A672,Merge_1_2!$A$2:$A$611,0),0)</f>
        <v>0</v>
      </c>
      <c r="D672" s="23">
        <f>IF($C672&gt;0,INDEX(Merge_1_2!$Q$2:$Q$611,$C672),0)</f>
        <v>0</v>
      </c>
      <c r="E672" s="23">
        <f>IFERROR(MATCH($A672,Dataset3_Raw!$A$2:$A$391,0),0)</f>
        <v>61</v>
      </c>
      <c r="F672" s="24">
        <f>IF($C672&gt;0,INDEX(Merge_1_2!$B$2:$B$611,$C672),DATE(VALUE(RIGHT(INDEX(Dataset3_Raw!$B$2:$B$391,$E672),4)),VALUE(MID(INDEX(Dataset3_Raw!$B$2:$B$391,$E672),4,2)),VALUE(LEFT(INDEX(Dataset3_Raw!$B$2:$B$391,$E672),2))))</f>
        <v>40574</v>
      </c>
      <c r="G672" s="23">
        <f>IF($C672&gt;0,INDEX(Merge_1_2!$C$2:$C$611,$C672),INDEX(Dataset3_Raw!$C$2:$C$391,$E672))</f>
        <v>1</v>
      </c>
      <c r="H672" s="23">
        <f>IF($C672&gt;0,INDEX(Merge_1_2!$D$2:$D$611,$C672),INDEX(Dataset3_Raw!$D$2:$D$391,$E672))</f>
        <v>0</v>
      </c>
      <c r="I672" s="23">
        <f>IF($C672&gt;0,INDEX(Merge_1_2!$E$2:$E$611,$C672),INDEX(Dataset3_Raw!$E$2:$E$391,$E672))</f>
        <v>1</v>
      </c>
      <c r="J672" s="23">
        <f>IF($C672&gt;0,INDEX(Merge_1_2!$F$2:$F$611,$C672),INDEX(Dataset3_Raw!$F$2:$F$391,$E672))</f>
        <v>6</v>
      </c>
      <c r="K672" s="23" t="b">
        <f>IF($C672&gt;0,INDEX(Merge_1_2!$G$2:$G$611,$C672),INDEX(Dataset3_Raw!$G$2:$G$391,$E672))</f>
        <v>0</v>
      </c>
      <c r="L672" s="23">
        <f>IF($C672&gt;0,INDEX(Merge_1_2!$H$2:$H$611,$C672),INDEX(Dataset3_Raw!$H$2:$H$391,$E672))</f>
        <v>1</v>
      </c>
      <c r="M672" s="23">
        <f>IF($C672&gt;0,INDEX(Merge_1_2!$I$2:$I$611,$C672),INDEX(Dataset3_Raw!$I$2:$I$391,$E672))</f>
        <v>1</v>
      </c>
      <c r="N672" s="25">
        <f>IF($C672&gt;0,INDEX(Merge_1_2!$J$2:$J$611,$C672),INDEX(Dataset3_Raw!$J$2:$J$391,$E672))</f>
        <v>0.16</v>
      </c>
      <c r="O672" s="25">
        <f>IF($C672&gt;0,IF(ISNUMBER(INDEX(Merge_1_2!$K$2:$K$611,$C672)),INDEX(Merge_1_2!$K$2:$K$611,$C672),""),INDEX(Dataset3_Raw!$K$2:$K$391,$E672))</f>
        <v>0.13639999999999999</v>
      </c>
      <c r="P672" s="25">
        <f>IF(ISNUMBER($O672),$O672,ROUND(Lookups!$B$25+Lookups!$B$24*$N672,4))</f>
        <v>0.13639999999999999</v>
      </c>
      <c r="Q672" s="25">
        <f>IF($C672&gt;0,INDEX(Merge_1_2!$L$2:$L$611,$C672),INDEX(Dataset3_Raw!$L$2:$L$391,$E672))</f>
        <v>0.69</v>
      </c>
      <c r="R672" s="25">
        <f>IF($C672&gt;0,INDEX(Merge_1_2!$M$2:$M$611,$C672),INDEX(Dataset3_Raw!$M$2:$M$391,$E672))</f>
        <v>0.32840000000000003</v>
      </c>
      <c r="S672" s="23">
        <f>IF($C672&gt;0,INDEX(Merge_1_2!$N$2:$N$611,$C672),INDEX(Dataset3_Raw!$N$2:$N$391,$E672))</f>
        <v>0</v>
      </c>
      <c r="T672" s="23">
        <f>IF($C672&gt;0,INDEX(Merge_1_2!$O$2:$O$611,$C672),INDEX(Dataset3_Raw!$O$2:$O$391,$E672))</f>
        <v>37</v>
      </c>
      <c r="U672" s="23">
        <f>IF($C672&gt;0,INDEX(Merge_1_2!$P$2:$P$611,$C672),INDEX(Dataset3_Raw!$P$2:$P$391,$E672))</f>
        <v>37</v>
      </c>
      <c r="V672" s="23" t="str">
        <f t="shared" si="61"/>
        <v>Weekday</v>
      </c>
      <c r="W672" s="23" t="str">
        <f>VLOOKUP($M672,Lookups!$A$5:$B$8,2,FALSE())</f>
        <v>Clear / Partly cloudy</v>
      </c>
      <c r="X672" s="23" t="str">
        <f>VLOOKUP($G672,Lookups!$D$5:$E$8,2,FALSE())</f>
        <v>Winter</v>
      </c>
      <c r="Y672" s="23" t="str">
        <f>VLOOKUP($L672,Lookups!$G$5:$H$11,2,FALSE())</f>
        <v>Monday</v>
      </c>
      <c r="Z672" s="23" t="str">
        <f>IF($J672&lt;Lookups!$B$26,"Night",IF($J672&lt;Lookups!$B$27,"Morning",IF($J672&lt;Lookups!$B$28,"Afternoon","Evening")))</f>
        <v>Morning</v>
      </c>
      <c r="AA672" s="26">
        <f>ROUND($N672*(Lookups!$B$16-Lookups!$B$15)+Lookups!$B$15,1)</f>
        <v>-0.5</v>
      </c>
      <c r="AB672" s="26">
        <f>ROUND($P672*(Lookups!$B$18-Lookups!$B$17)+Lookups!$B$17,1)</f>
        <v>-7</v>
      </c>
      <c r="AC672" s="23">
        <f t="shared" si="62"/>
        <v>69</v>
      </c>
      <c r="AD672" s="23">
        <f>ROUND($R672*Lookups!$B$19,1)</f>
        <v>22</v>
      </c>
      <c r="AE672" s="27">
        <f t="shared" si="63"/>
        <v>1</v>
      </c>
      <c r="AF672" s="23" t="str">
        <f>IF($U672&gt;=Lookups!$B$23,"High",IF($U672&gt;=Lookups!$B$22,"Medium","Low"))</f>
        <v>Medium</v>
      </c>
      <c r="AG672" s="23">
        <f>ROUND(IF($V672="Weekday",IF(INDEX(Hourly_Analysis!$D$5:$D$28,$J672+1)&gt;0,($U672-INDEX(Hourly_Analysis!$C$5:$C$28,$J672+1))/INDEX(Hourly_Analysis!$D$5:$D$28,$J672+1),0),IF(INDEX(Hourly_Analysis!$G$5:$G$28,$J672+1)&gt;0,($U672-INDEX(Hourly_Analysis!$F$5:$F$28,$J672+1))/INDEX(Hourly_Analysis!$G$5:$G$28,$J672+1),0)),2)</f>
        <v>1.02</v>
      </c>
      <c r="AH672" s="23" t="str">
        <f>IF(ABS($AG672)&gt;Lookups!$B$20,IF($AG672&gt;0,"High anomaly","Low anomaly"),"")</f>
        <v/>
      </c>
      <c r="AI672" s="23" t="str">
        <f t="shared" si="64"/>
        <v>OK</v>
      </c>
      <c r="AJ672" s="23" t="str">
        <f t="shared" si="65"/>
        <v>No</v>
      </c>
    </row>
    <row r="673" spans="1:36" x14ac:dyDescent="0.35">
      <c r="A673" s="23">
        <v>672</v>
      </c>
      <c r="B673" s="23" t="str">
        <f t="shared" si="60"/>
        <v>Dataset 3</v>
      </c>
      <c r="C673" s="23">
        <f>IFERROR(MATCH($A673,Merge_1_2!$A$2:$A$611,0),0)</f>
        <v>0</v>
      </c>
      <c r="D673" s="23">
        <f>IF($C673&gt;0,INDEX(Merge_1_2!$Q$2:$Q$611,$C673),0)</f>
        <v>0</v>
      </c>
      <c r="E673" s="23">
        <f>IFERROR(MATCH($A673,Dataset3_Raw!$A$2:$A$391,0),0)</f>
        <v>62</v>
      </c>
      <c r="F673" s="24">
        <f>IF($C673&gt;0,INDEX(Merge_1_2!$B$2:$B$611,$C673),DATE(VALUE(RIGHT(INDEX(Dataset3_Raw!$B$2:$B$391,$E673),4)),VALUE(MID(INDEX(Dataset3_Raw!$B$2:$B$391,$E673),4,2)),VALUE(LEFT(INDEX(Dataset3_Raw!$B$2:$B$391,$E673),2))))</f>
        <v>40574</v>
      </c>
      <c r="G673" s="23">
        <f>IF($C673&gt;0,INDEX(Merge_1_2!$C$2:$C$611,$C673),INDEX(Dataset3_Raw!$C$2:$C$391,$E673))</f>
        <v>1</v>
      </c>
      <c r="H673" s="23">
        <f>IF($C673&gt;0,INDEX(Merge_1_2!$D$2:$D$611,$C673),INDEX(Dataset3_Raw!$D$2:$D$391,$E673))</f>
        <v>0</v>
      </c>
      <c r="I673" s="23">
        <f>IF($C673&gt;0,INDEX(Merge_1_2!$E$2:$E$611,$C673),INDEX(Dataset3_Raw!$E$2:$E$391,$E673))</f>
        <v>1</v>
      </c>
      <c r="J673" s="23">
        <f>IF($C673&gt;0,INDEX(Merge_1_2!$F$2:$F$611,$C673),INDEX(Dataset3_Raw!$F$2:$F$391,$E673))</f>
        <v>7</v>
      </c>
      <c r="K673" s="23" t="b">
        <f>IF($C673&gt;0,INDEX(Merge_1_2!$G$2:$G$611,$C673),INDEX(Dataset3_Raw!$G$2:$G$391,$E673))</f>
        <v>0</v>
      </c>
      <c r="L673" s="23">
        <f>IF($C673&gt;0,INDEX(Merge_1_2!$H$2:$H$611,$C673),INDEX(Dataset3_Raw!$H$2:$H$391,$E673))</f>
        <v>1</v>
      </c>
      <c r="M673" s="23">
        <f>IF($C673&gt;0,INDEX(Merge_1_2!$I$2:$I$611,$C673),INDEX(Dataset3_Raw!$I$2:$I$391,$E673))</f>
        <v>2</v>
      </c>
      <c r="N673" s="25">
        <f>IF($C673&gt;0,INDEX(Merge_1_2!$J$2:$J$611,$C673),INDEX(Dataset3_Raw!$J$2:$J$391,$E673))</f>
        <v>0.16</v>
      </c>
      <c r="O673" s="25">
        <f>IF($C673&gt;0,IF(ISNUMBER(INDEX(Merge_1_2!$K$2:$K$611,$C673)),INDEX(Merge_1_2!$K$2:$K$611,$C673),""),INDEX(Dataset3_Raw!$K$2:$K$391,$E673))</f>
        <v>0.13639999999999999</v>
      </c>
      <c r="P673" s="25">
        <f>IF(ISNUMBER($O673),$O673,ROUND(Lookups!$B$25+Lookups!$B$24*$N673,4))</f>
        <v>0.13639999999999999</v>
      </c>
      <c r="Q673" s="25">
        <f>IF($C673&gt;0,INDEX(Merge_1_2!$L$2:$L$611,$C673),INDEX(Dataset3_Raw!$L$2:$L$391,$E673))</f>
        <v>0.64</v>
      </c>
      <c r="R673" s="25">
        <f>IF($C673&gt;0,INDEX(Merge_1_2!$M$2:$M$611,$C673),INDEX(Dataset3_Raw!$M$2:$M$391,$E673))</f>
        <v>0.28360000000000002</v>
      </c>
      <c r="S673" s="23">
        <f>IF($C673&gt;0,INDEX(Merge_1_2!$N$2:$N$611,$C673),INDEX(Dataset3_Raw!$N$2:$N$391,$E673))</f>
        <v>1</v>
      </c>
      <c r="T673" s="23">
        <f>IF($C673&gt;0,INDEX(Merge_1_2!$O$2:$O$611,$C673),INDEX(Dataset3_Raw!$O$2:$O$391,$E673))</f>
        <v>71</v>
      </c>
      <c r="U673" s="23">
        <f>IF($C673&gt;0,INDEX(Merge_1_2!$P$2:$P$611,$C673),INDEX(Dataset3_Raw!$P$2:$P$391,$E673))</f>
        <v>72</v>
      </c>
      <c r="V673" s="23" t="str">
        <f t="shared" si="61"/>
        <v>Weekday</v>
      </c>
      <c r="W673" s="23" t="str">
        <f>VLOOKUP($M673,Lookups!$A$5:$B$8,2,FALSE())</f>
        <v>Mist / Cloudy</v>
      </c>
      <c r="X673" s="23" t="str">
        <f>VLOOKUP($G673,Lookups!$D$5:$E$8,2,FALSE())</f>
        <v>Winter</v>
      </c>
      <c r="Y673" s="23" t="str">
        <f>VLOOKUP($L673,Lookups!$G$5:$H$11,2,FALSE())</f>
        <v>Monday</v>
      </c>
      <c r="Z673" s="23" t="str">
        <f>IF($J673&lt;Lookups!$B$26,"Night",IF($J673&lt;Lookups!$B$27,"Morning",IF($J673&lt;Lookups!$B$28,"Afternoon","Evening")))</f>
        <v>Morning</v>
      </c>
      <c r="AA673" s="26">
        <f>ROUND($N673*(Lookups!$B$16-Lookups!$B$15)+Lookups!$B$15,1)</f>
        <v>-0.5</v>
      </c>
      <c r="AB673" s="26">
        <f>ROUND($P673*(Lookups!$B$18-Lookups!$B$17)+Lookups!$B$17,1)</f>
        <v>-7</v>
      </c>
      <c r="AC673" s="23">
        <f t="shared" si="62"/>
        <v>64</v>
      </c>
      <c r="AD673" s="23">
        <f>ROUND($R673*Lookups!$B$19,1)</f>
        <v>19</v>
      </c>
      <c r="AE673" s="27">
        <f t="shared" si="63"/>
        <v>0.98611111111111116</v>
      </c>
      <c r="AF673" s="23" t="str">
        <f>IF($U673&gt;=Lookups!$B$23,"High",IF($U673&gt;=Lookups!$B$22,"Medium","Low"))</f>
        <v>Medium</v>
      </c>
      <c r="AG673" s="23">
        <f>ROUND(IF($V673="Weekday",IF(INDEX(Hourly_Analysis!$D$5:$D$28,$J673+1)&gt;0,($U673-INDEX(Hourly_Analysis!$C$5:$C$28,$J673+1))/INDEX(Hourly_Analysis!$D$5:$D$28,$J673+1),0),IF(INDEX(Hourly_Analysis!$G$5:$G$28,$J673+1)&gt;0,($U673-INDEX(Hourly_Analysis!$F$5:$F$28,$J673+1))/INDEX(Hourly_Analysis!$G$5:$G$28,$J673+1),0)),2)</f>
        <v>-0.44</v>
      </c>
      <c r="AH673" s="23" t="str">
        <f>IF(ABS($AG673)&gt;Lookups!$B$20,IF($AG673&gt;0,"High anomaly","Low anomaly"),"")</f>
        <v/>
      </c>
      <c r="AI673" s="23" t="str">
        <f t="shared" si="64"/>
        <v>OK</v>
      </c>
      <c r="AJ673" s="23" t="str">
        <f t="shared" si="65"/>
        <v>No</v>
      </c>
    </row>
    <row r="674" spans="1:36" x14ac:dyDescent="0.35">
      <c r="A674" s="23">
        <v>673</v>
      </c>
      <c r="B674" s="23" t="str">
        <f t="shared" si="60"/>
        <v>Dataset 3</v>
      </c>
      <c r="C674" s="23">
        <f>IFERROR(MATCH($A674,Merge_1_2!$A$2:$A$611,0),0)</f>
        <v>0</v>
      </c>
      <c r="D674" s="23">
        <f>IF($C674&gt;0,INDEX(Merge_1_2!$Q$2:$Q$611,$C674),0)</f>
        <v>0</v>
      </c>
      <c r="E674" s="23">
        <f>IFERROR(MATCH($A674,Dataset3_Raw!$A$2:$A$391,0),0)</f>
        <v>63</v>
      </c>
      <c r="F674" s="24">
        <f>IF($C674&gt;0,INDEX(Merge_1_2!$B$2:$B$611,$C674),DATE(VALUE(RIGHT(INDEX(Dataset3_Raw!$B$2:$B$391,$E674),4)),VALUE(MID(INDEX(Dataset3_Raw!$B$2:$B$391,$E674),4,2)),VALUE(LEFT(INDEX(Dataset3_Raw!$B$2:$B$391,$E674),2))))</f>
        <v>40574</v>
      </c>
      <c r="G674" s="23">
        <f>IF($C674&gt;0,INDEX(Merge_1_2!$C$2:$C$611,$C674),INDEX(Dataset3_Raw!$C$2:$C$391,$E674))</f>
        <v>1</v>
      </c>
      <c r="H674" s="23">
        <f>IF($C674&gt;0,INDEX(Merge_1_2!$D$2:$D$611,$C674),INDEX(Dataset3_Raw!$D$2:$D$391,$E674))</f>
        <v>0</v>
      </c>
      <c r="I674" s="23">
        <f>IF($C674&gt;0,INDEX(Merge_1_2!$E$2:$E$611,$C674),INDEX(Dataset3_Raw!$E$2:$E$391,$E674))</f>
        <v>1</v>
      </c>
      <c r="J674" s="23">
        <f>IF($C674&gt;0,INDEX(Merge_1_2!$F$2:$F$611,$C674),INDEX(Dataset3_Raw!$F$2:$F$391,$E674))</f>
        <v>8</v>
      </c>
      <c r="K674" s="23" t="b">
        <f>IF($C674&gt;0,INDEX(Merge_1_2!$G$2:$G$611,$C674),INDEX(Dataset3_Raw!$G$2:$G$391,$E674))</f>
        <v>0</v>
      </c>
      <c r="L674" s="23">
        <f>IF($C674&gt;0,INDEX(Merge_1_2!$H$2:$H$611,$C674),INDEX(Dataset3_Raw!$H$2:$H$391,$E674))</f>
        <v>1</v>
      </c>
      <c r="M674" s="23">
        <f>IF($C674&gt;0,INDEX(Merge_1_2!$I$2:$I$611,$C674),INDEX(Dataset3_Raw!$I$2:$I$391,$E674))</f>
        <v>2</v>
      </c>
      <c r="N674" s="25">
        <f>IF($C674&gt;0,INDEX(Merge_1_2!$J$2:$J$611,$C674),INDEX(Dataset3_Raw!$J$2:$J$391,$E674))</f>
        <v>0.16</v>
      </c>
      <c r="O674" s="25">
        <f>IF($C674&gt;0,IF(ISNUMBER(INDEX(Merge_1_2!$K$2:$K$611,$C674)),INDEX(Merge_1_2!$K$2:$K$611,$C674),""),INDEX(Dataset3_Raw!$K$2:$K$391,$E674))</f>
        <v>0.13639999999999999</v>
      </c>
      <c r="P674" s="25">
        <f>IF(ISNUMBER($O674),$O674,ROUND(Lookups!$B$25+Lookups!$B$24*$N674,4))</f>
        <v>0.13639999999999999</v>
      </c>
      <c r="Q674" s="25">
        <f>IF($C674&gt;0,INDEX(Merge_1_2!$L$2:$L$611,$C674),INDEX(Dataset3_Raw!$L$2:$L$391,$E674))</f>
        <v>0.59</v>
      </c>
      <c r="R674" s="25">
        <f>IF($C674&gt;0,INDEX(Merge_1_2!$M$2:$M$611,$C674),INDEX(Dataset3_Raw!$M$2:$M$391,$E674))</f>
        <v>0.28360000000000002</v>
      </c>
      <c r="S674" s="23">
        <f>IF($C674&gt;0,INDEX(Merge_1_2!$N$2:$N$611,$C674),INDEX(Dataset3_Raw!$N$2:$N$391,$E674))</f>
        <v>3</v>
      </c>
      <c r="T674" s="23">
        <f>IF($C674&gt;0,INDEX(Merge_1_2!$O$2:$O$611,$C674),INDEX(Dataset3_Raw!$O$2:$O$391,$E674))</f>
        <v>182</v>
      </c>
      <c r="U674" s="23">
        <f>IF($C674&gt;0,INDEX(Merge_1_2!$P$2:$P$611,$C674),INDEX(Dataset3_Raw!$P$2:$P$391,$E674))</f>
        <v>185</v>
      </c>
      <c r="V674" s="23" t="str">
        <f t="shared" si="61"/>
        <v>Weekday</v>
      </c>
      <c r="W674" s="23" t="str">
        <f>VLOOKUP($M674,Lookups!$A$5:$B$8,2,FALSE())</f>
        <v>Mist / Cloudy</v>
      </c>
      <c r="X674" s="23" t="str">
        <f>VLOOKUP($G674,Lookups!$D$5:$E$8,2,FALSE())</f>
        <v>Winter</v>
      </c>
      <c r="Y674" s="23" t="str">
        <f>VLOOKUP($L674,Lookups!$G$5:$H$11,2,FALSE())</f>
        <v>Monday</v>
      </c>
      <c r="Z674" s="23" t="str">
        <f>IF($J674&lt;Lookups!$B$26,"Night",IF($J674&lt;Lookups!$B$27,"Morning",IF($J674&lt;Lookups!$B$28,"Afternoon","Evening")))</f>
        <v>Morning</v>
      </c>
      <c r="AA674" s="26">
        <f>ROUND($N674*(Lookups!$B$16-Lookups!$B$15)+Lookups!$B$15,1)</f>
        <v>-0.5</v>
      </c>
      <c r="AB674" s="26">
        <f>ROUND($P674*(Lookups!$B$18-Lookups!$B$17)+Lookups!$B$17,1)</f>
        <v>-7</v>
      </c>
      <c r="AC674" s="23">
        <f t="shared" si="62"/>
        <v>59</v>
      </c>
      <c r="AD674" s="23">
        <f>ROUND($R674*Lookups!$B$19,1)</f>
        <v>19</v>
      </c>
      <c r="AE674" s="27">
        <f t="shared" si="63"/>
        <v>0.98378378378378384</v>
      </c>
      <c r="AF674" s="23" t="str">
        <f>IF($U674&gt;=Lookups!$B$23,"High",IF($U674&gt;=Lookups!$B$22,"Medium","Low"))</f>
        <v>High</v>
      </c>
      <c r="AG674" s="23">
        <f>ROUND(IF($V674="Weekday",IF(INDEX(Hourly_Analysis!$D$5:$D$28,$J674+1)&gt;0,($U674-INDEX(Hourly_Analysis!$C$5:$C$28,$J674+1))/INDEX(Hourly_Analysis!$D$5:$D$28,$J674+1),0),IF(INDEX(Hourly_Analysis!$G$5:$G$28,$J674+1)&gt;0,($U674-INDEX(Hourly_Analysis!$F$5:$F$28,$J674+1))/INDEX(Hourly_Analysis!$G$5:$G$28,$J674+1),0)),2)</f>
        <v>-0.1</v>
      </c>
      <c r="AH674" s="23" t="str">
        <f>IF(ABS($AG674)&gt;Lookups!$B$20,IF($AG674&gt;0,"High anomaly","Low anomaly"),"")</f>
        <v/>
      </c>
      <c r="AI674" s="23" t="str">
        <f t="shared" si="64"/>
        <v>OK</v>
      </c>
      <c r="AJ674" s="23" t="str">
        <f t="shared" si="65"/>
        <v>No</v>
      </c>
    </row>
    <row r="675" spans="1:36" x14ac:dyDescent="0.35">
      <c r="A675" s="23">
        <v>674</v>
      </c>
      <c r="B675" s="23" t="str">
        <f t="shared" si="60"/>
        <v>Dataset 3</v>
      </c>
      <c r="C675" s="23">
        <f>IFERROR(MATCH($A675,Merge_1_2!$A$2:$A$611,0),0)</f>
        <v>0</v>
      </c>
      <c r="D675" s="23">
        <f>IF($C675&gt;0,INDEX(Merge_1_2!$Q$2:$Q$611,$C675),0)</f>
        <v>0</v>
      </c>
      <c r="E675" s="23">
        <f>IFERROR(MATCH($A675,Dataset3_Raw!$A$2:$A$391,0),0)</f>
        <v>64</v>
      </c>
      <c r="F675" s="24">
        <f>IF($C675&gt;0,INDEX(Merge_1_2!$B$2:$B$611,$C675),DATE(VALUE(RIGHT(INDEX(Dataset3_Raw!$B$2:$B$391,$E675),4)),VALUE(MID(INDEX(Dataset3_Raw!$B$2:$B$391,$E675),4,2)),VALUE(LEFT(INDEX(Dataset3_Raw!$B$2:$B$391,$E675),2))))</f>
        <v>40574</v>
      </c>
      <c r="G675" s="23">
        <f>IF($C675&gt;0,INDEX(Merge_1_2!$C$2:$C$611,$C675),INDEX(Dataset3_Raw!$C$2:$C$391,$E675))</f>
        <v>1</v>
      </c>
      <c r="H675" s="23">
        <f>IF($C675&gt;0,INDEX(Merge_1_2!$D$2:$D$611,$C675),INDEX(Dataset3_Raw!$D$2:$D$391,$E675))</f>
        <v>0</v>
      </c>
      <c r="I675" s="23">
        <f>IF($C675&gt;0,INDEX(Merge_1_2!$E$2:$E$611,$C675),INDEX(Dataset3_Raw!$E$2:$E$391,$E675))</f>
        <v>1</v>
      </c>
      <c r="J675" s="23">
        <f>IF($C675&gt;0,INDEX(Merge_1_2!$F$2:$F$611,$C675),INDEX(Dataset3_Raw!$F$2:$F$391,$E675))</f>
        <v>9</v>
      </c>
      <c r="K675" s="23" t="b">
        <f>IF($C675&gt;0,INDEX(Merge_1_2!$G$2:$G$611,$C675),INDEX(Dataset3_Raw!$G$2:$G$391,$E675))</f>
        <v>0</v>
      </c>
      <c r="L675" s="23">
        <f>IF($C675&gt;0,INDEX(Merge_1_2!$H$2:$H$611,$C675),INDEX(Dataset3_Raw!$H$2:$H$391,$E675))</f>
        <v>1</v>
      </c>
      <c r="M675" s="23">
        <f>IF($C675&gt;0,INDEX(Merge_1_2!$I$2:$I$611,$C675),INDEX(Dataset3_Raw!$I$2:$I$391,$E675))</f>
        <v>2</v>
      </c>
      <c r="N675" s="25">
        <f>IF($C675&gt;0,INDEX(Merge_1_2!$J$2:$J$611,$C675),INDEX(Dataset3_Raw!$J$2:$J$391,$E675))</f>
        <v>0.16</v>
      </c>
      <c r="O675" s="25">
        <f>IF($C675&gt;0,IF(ISNUMBER(INDEX(Merge_1_2!$K$2:$K$611,$C675)),INDEX(Merge_1_2!$K$2:$K$611,$C675),""),INDEX(Dataset3_Raw!$K$2:$K$391,$E675))</f>
        <v>0.13639999999999999</v>
      </c>
      <c r="P675" s="25">
        <f>IF(ISNUMBER($O675),$O675,ROUND(Lookups!$B$25+Lookups!$B$24*$N675,4))</f>
        <v>0.13639999999999999</v>
      </c>
      <c r="Q675" s="25">
        <f>IF($C675&gt;0,INDEX(Merge_1_2!$L$2:$L$611,$C675),INDEX(Dataset3_Raw!$L$2:$L$391,$E675))</f>
        <v>0.59</v>
      </c>
      <c r="R675" s="25">
        <f>IF($C675&gt;0,INDEX(Merge_1_2!$M$2:$M$611,$C675),INDEX(Dataset3_Raw!$M$2:$M$391,$E675))</f>
        <v>0.29849999999999999</v>
      </c>
      <c r="S675" s="23">
        <f>IF($C675&gt;0,INDEX(Merge_1_2!$N$2:$N$611,$C675),INDEX(Dataset3_Raw!$N$2:$N$391,$E675))</f>
        <v>0</v>
      </c>
      <c r="T675" s="23">
        <f>IF($C675&gt;0,INDEX(Merge_1_2!$O$2:$O$611,$C675),INDEX(Dataset3_Raw!$O$2:$O$391,$E675))</f>
        <v>112</v>
      </c>
      <c r="U675" s="23">
        <f>IF($C675&gt;0,INDEX(Merge_1_2!$P$2:$P$611,$C675),INDEX(Dataset3_Raw!$P$2:$P$391,$E675))</f>
        <v>112</v>
      </c>
      <c r="V675" s="23" t="str">
        <f t="shared" si="61"/>
        <v>Weekday</v>
      </c>
      <c r="W675" s="23" t="str">
        <f>VLOOKUP($M675,Lookups!$A$5:$B$8,2,FALSE())</f>
        <v>Mist / Cloudy</v>
      </c>
      <c r="X675" s="23" t="str">
        <f>VLOOKUP($G675,Lookups!$D$5:$E$8,2,FALSE())</f>
        <v>Winter</v>
      </c>
      <c r="Y675" s="23" t="str">
        <f>VLOOKUP($L675,Lookups!$G$5:$H$11,2,FALSE())</f>
        <v>Monday</v>
      </c>
      <c r="Z675" s="23" t="str">
        <f>IF($J675&lt;Lookups!$B$26,"Night",IF($J675&lt;Lookups!$B$27,"Morning",IF($J675&lt;Lookups!$B$28,"Afternoon","Evening")))</f>
        <v>Morning</v>
      </c>
      <c r="AA675" s="26">
        <f>ROUND($N675*(Lookups!$B$16-Lookups!$B$15)+Lookups!$B$15,1)</f>
        <v>-0.5</v>
      </c>
      <c r="AB675" s="26">
        <f>ROUND($P675*(Lookups!$B$18-Lookups!$B$17)+Lookups!$B$17,1)</f>
        <v>-7</v>
      </c>
      <c r="AC675" s="23">
        <f t="shared" si="62"/>
        <v>59</v>
      </c>
      <c r="AD675" s="23">
        <f>ROUND($R675*Lookups!$B$19,1)</f>
        <v>20</v>
      </c>
      <c r="AE675" s="27">
        <f t="shared" si="63"/>
        <v>1</v>
      </c>
      <c r="AF675" s="23" t="str">
        <f>IF($U675&gt;=Lookups!$B$23,"High",IF($U675&gt;=Lookups!$B$22,"Medium","Low"))</f>
        <v>High</v>
      </c>
      <c r="AG675" s="23">
        <f>ROUND(IF($V675="Weekday",IF(INDEX(Hourly_Analysis!$D$5:$D$28,$J675+1)&gt;0,($U675-INDEX(Hourly_Analysis!$C$5:$C$28,$J675+1))/INDEX(Hourly_Analysis!$D$5:$D$28,$J675+1),0),IF(INDEX(Hourly_Analysis!$G$5:$G$28,$J675+1)&gt;0,($U675-INDEX(Hourly_Analysis!$F$5:$F$28,$J675+1))/INDEX(Hourly_Analysis!$G$5:$G$28,$J675+1),0)),2)</f>
        <v>-0.28000000000000003</v>
      </c>
      <c r="AH675" s="23" t="str">
        <f>IF(ABS($AG675)&gt;Lookups!$B$20,IF($AG675&gt;0,"High anomaly","Low anomaly"),"")</f>
        <v/>
      </c>
      <c r="AI675" s="23" t="str">
        <f t="shared" si="64"/>
        <v>OK</v>
      </c>
      <c r="AJ675" s="23" t="str">
        <f t="shared" si="65"/>
        <v>No</v>
      </c>
    </row>
    <row r="676" spans="1:36" x14ac:dyDescent="0.35">
      <c r="A676" s="23">
        <v>675</v>
      </c>
      <c r="B676" s="23" t="str">
        <f t="shared" si="60"/>
        <v>Dataset 3</v>
      </c>
      <c r="C676" s="23">
        <f>IFERROR(MATCH($A676,Merge_1_2!$A$2:$A$611,0),0)</f>
        <v>0</v>
      </c>
      <c r="D676" s="23">
        <f>IF($C676&gt;0,INDEX(Merge_1_2!$Q$2:$Q$611,$C676),0)</f>
        <v>0</v>
      </c>
      <c r="E676" s="23">
        <f>IFERROR(MATCH($A676,Dataset3_Raw!$A$2:$A$391,0),0)</f>
        <v>65</v>
      </c>
      <c r="F676" s="24">
        <f>IF($C676&gt;0,INDEX(Merge_1_2!$B$2:$B$611,$C676),DATE(VALUE(RIGHT(INDEX(Dataset3_Raw!$B$2:$B$391,$E676),4)),VALUE(MID(INDEX(Dataset3_Raw!$B$2:$B$391,$E676),4,2)),VALUE(LEFT(INDEX(Dataset3_Raw!$B$2:$B$391,$E676),2))))</f>
        <v>40574</v>
      </c>
      <c r="G676" s="23">
        <f>IF($C676&gt;0,INDEX(Merge_1_2!$C$2:$C$611,$C676),INDEX(Dataset3_Raw!$C$2:$C$391,$E676))</f>
        <v>1</v>
      </c>
      <c r="H676" s="23">
        <f>IF($C676&gt;0,INDEX(Merge_1_2!$D$2:$D$611,$C676),INDEX(Dataset3_Raw!$D$2:$D$391,$E676))</f>
        <v>0</v>
      </c>
      <c r="I676" s="23">
        <f>IF($C676&gt;0,INDEX(Merge_1_2!$E$2:$E$611,$C676),INDEX(Dataset3_Raw!$E$2:$E$391,$E676))</f>
        <v>1</v>
      </c>
      <c r="J676" s="23">
        <f>IF($C676&gt;0,INDEX(Merge_1_2!$F$2:$F$611,$C676),INDEX(Dataset3_Raw!$F$2:$F$391,$E676))</f>
        <v>10</v>
      </c>
      <c r="K676" s="23" t="b">
        <f>IF($C676&gt;0,INDEX(Merge_1_2!$G$2:$G$611,$C676),INDEX(Dataset3_Raw!$G$2:$G$391,$E676))</f>
        <v>0</v>
      </c>
      <c r="L676" s="23">
        <f>IF($C676&gt;0,INDEX(Merge_1_2!$H$2:$H$611,$C676),INDEX(Dataset3_Raw!$H$2:$H$391,$E676))</f>
        <v>1</v>
      </c>
      <c r="M676" s="23">
        <f>IF($C676&gt;0,INDEX(Merge_1_2!$I$2:$I$611,$C676),INDEX(Dataset3_Raw!$I$2:$I$391,$E676))</f>
        <v>2</v>
      </c>
      <c r="N676" s="25">
        <f>IF($C676&gt;0,INDEX(Merge_1_2!$J$2:$J$611,$C676),INDEX(Dataset3_Raw!$J$2:$J$391,$E676))</f>
        <v>0.16</v>
      </c>
      <c r="O676" s="25">
        <f>IF($C676&gt;0,IF(ISNUMBER(INDEX(Merge_1_2!$K$2:$K$611,$C676)),INDEX(Merge_1_2!$K$2:$K$611,$C676),""),INDEX(Dataset3_Raw!$K$2:$K$391,$E676))</f>
        <v>0.1515</v>
      </c>
      <c r="P676" s="25">
        <f>IF(ISNUMBER($O676),$O676,ROUND(Lookups!$B$25+Lookups!$B$24*$N676,4))</f>
        <v>0.1515</v>
      </c>
      <c r="Q676" s="25">
        <f>IF($C676&gt;0,INDEX(Merge_1_2!$L$2:$L$611,$C676),INDEX(Dataset3_Raw!$L$2:$L$391,$E676))</f>
        <v>0.59</v>
      </c>
      <c r="R676" s="25">
        <f>IF($C676&gt;0,INDEX(Merge_1_2!$M$2:$M$611,$C676),INDEX(Dataset3_Raw!$M$2:$M$391,$E676))</f>
        <v>0.19400000000000001</v>
      </c>
      <c r="S676" s="23">
        <f>IF($C676&gt;0,INDEX(Merge_1_2!$N$2:$N$611,$C676),INDEX(Dataset3_Raw!$N$2:$N$391,$E676))</f>
        <v>1</v>
      </c>
      <c r="T676" s="23">
        <f>IF($C676&gt;0,INDEX(Merge_1_2!$O$2:$O$611,$C676),INDEX(Dataset3_Raw!$O$2:$O$391,$E676))</f>
        <v>68</v>
      </c>
      <c r="U676" s="23">
        <f>IF($C676&gt;0,INDEX(Merge_1_2!$P$2:$P$611,$C676),INDEX(Dataset3_Raw!$P$2:$P$391,$E676))</f>
        <v>69</v>
      </c>
      <c r="V676" s="23" t="str">
        <f t="shared" si="61"/>
        <v>Weekday</v>
      </c>
      <c r="W676" s="23" t="str">
        <f>VLOOKUP($M676,Lookups!$A$5:$B$8,2,FALSE())</f>
        <v>Mist / Cloudy</v>
      </c>
      <c r="X676" s="23" t="str">
        <f>VLOOKUP($G676,Lookups!$D$5:$E$8,2,FALSE())</f>
        <v>Winter</v>
      </c>
      <c r="Y676" s="23" t="str">
        <f>VLOOKUP($L676,Lookups!$G$5:$H$11,2,FALSE())</f>
        <v>Monday</v>
      </c>
      <c r="Z676" s="23" t="str">
        <f>IF($J676&lt;Lookups!$B$26,"Night",IF($J676&lt;Lookups!$B$27,"Morning",IF($J676&lt;Lookups!$B$28,"Afternoon","Evening")))</f>
        <v>Morning</v>
      </c>
      <c r="AA676" s="26">
        <f>ROUND($N676*(Lookups!$B$16-Lookups!$B$15)+Lookups!$B$15,1)</f>
        <v>-0.5</v>
      </c>
      <c r="AB676" s="26">
        <f>ROUND($P676*(Lookups!$B$18-Lookups!$B$17)+Lookups!$B$17,1)</f>
        <v>-6</v>
      </c>
      <c r="AC676" s="23">
        <f t="shared" si="62"/>
        <v>59</v>
      </c>
      <c r="AD676" s="23">
        <f>ROUND($R676*Lookups!$B$19,1)</f>
        <v>13</v>
      </c>
      <c r="AE676" s="27">
        <f t="shared" si="63"/>
        <v>0.98550724637681164</v>
      </c>
      <c r="AF676" s="23" t="str">
        <f>IF($U676&gt;=Lookups!$B$23,"High",IF($U676&gt;=Lookups!$B$22,"Medium","Low"))</f>
        <v>Medium</v>
      </c>
      <c r="AG676" s="23">
        <f>ROUND(IF($V676="Weekday",IF(INDEX(Hourly_Analysis!$D$5:$D$28,$J676+1)&gt;0,($U676-INDEX(Hourly_Analysis!$C$5:$C$28,$J676+1))/INDEX(Hourly_Analysis!$D$5:$D$28,$J676+1),0),IF(INDEX(Hourly_Analysis!$G$5:$G$28,$J676+1)&gt;0,($U676-INDEX(Hourly_Analysis!$F$5:$F$28,$J676+1))/INDEX(Hourly_Analysis!$G$5:$G$28,$J676+1),0)),2)</f>
        <v>1.99</v>
      </c>
      <c r="AH676" s="23" t="str">
        <f>IF(ABS($AG676)&gt;Lookups!$B$20,IF($AG676&gt;0,"High anomaly","Low anomaly"),"")</f>
        <v/>
      </c>
      <c r="AI676" s="23" t="str">
        <f t="shared" si="64"/>
        <v>OK</v>
      </c>
      <c r="AJ676" s="23" t="str">
        <f t="shared" si="65"/>
        <v>No</v>
      </c>
    </row>
    <row r="677" spans="1:36" x14ac:dyDescent="0.35">
      <c r="A677" s="23">
        <v>676</v>
      </c>
      <c r="B677" s="23" t="str">
        <f t="shared" si="60"/>
        <v>Dataset 3</v>
      </c>
      <c r="C677" s="23">
        <f>IFERROR(MATCH($A677,Merge_1_2!$A$2:$A$611,0),0)</f>
        <v>0</v>
      </c>
      <c r="D677" s="23">
        <f>IF($C677&gt;0,INDEX(Merge_1_2!$Q$2:$Q$611,$C677),0)</f>
        <v>0</v>
      </c>
      <c r="E677" s="23">
        <f>IFERROR(MATCH($A677,Dataset3_Raw!$A$2:$A$391,0),0)</f>
        <v>66</v>
      </c>
      <c r="F677" s="24">
        <f>IF($C677&gt;0,INDEX(Merge_1_2!$B$2:$B$611,$C677),DATE(VALUE(RIGHT(INDEX(Dataset3_Raw!$B$2:$B$391,$E677),4)),VALUE(MID(INDEX(Dataset3_Raw!$B$2:$B$391,$E677),4,2)),VALUE(LEFT(INDEX(Dataset3_Raw!$B$2:$B$391,$E677),2))))</f>
        <v>40574</v>
      </c>
      <c r="G677" s="23">
        <f>IF($C677&gt;0,INDEX(Merge_1_2!$C$2:$C$611,$C677),INDEX(Dataset3_Raw!$C$2:$C$391,$E677))</f>
        <v>1</v>
      </c>
      <c r="H677" s="23">
        <f>IF($C677&gt;0,INDEX(Merge_1_2!$D$2:$D$611,$C677),INDEX(Dataset3_Raw!$D$2:$D$391,$E677))</f>
        <v>0</v>
      </c>
      <c r="I677" s="23">
        <f>IF($C677&gt;0,INDEX(Merge_1_2!$E$2:$E$611,$C677),INDEX(Dataset3_Raw!$E$2:$E$391,$E677))</f>
        <v>1</v>
      </c>
      <c r="J677" s="23">
        <f>IF($C677&gt;0,INDEX(Merge_1_2!$F$2:$F$611,$C677),INDEX(Dataset3_Raw!$F$2:$F$391,$E677))</f>
        <v>11</v>
      </c>
      <c r="K677" s="23" t="b">
        <f>IF($C677&gt;0,INDEX(Merge_1_2!$G$2:$G$611,$C677),INDEX(Dataset3_Raw!$G$2:$G$391,$E677))</f>
        <v>0</v>
      </c>
      <c r="L677" s="23">
        <f>IF($C677&gt;0,INDEX(Merge_1_2!$H$2:$H$611,$C677),INDEX(Dataset3_Raw!$H$2:$H$391,$E677))</f>
        <v>1</v>
      </c>
      <c r="M677" s="23">
        <f>IF($C677&gt;0,INDEX(Merge_1_2!$I$2:$I$611,$C677),INDEX(Dataset3_Raw!$I$2:$I$391,$E677))</f>
        <v>2</v>
      </c>
      <c r="N677" s="25">
        <f>IF($C677&gt;0,INDEX(Merge_1_2!$J$2:$J$611,$C677),INDEX(Dataset3_Raw!$J$2:$J$391,$E677))</f>
        <v>0.16</v>
      </c>
      <c r="O677" s="25">
        <f>IF($C677&gt;0,IF(ISNUMBER(INDEX(Merge_1_2!$K$2:$K$611,$C677)),INDEX(Merge_1_2!$K$2:$K$611,$C677),""),INDEX(Dataset3_Raw!$K$2:$K$391,$E677))</f>
        <v>0.1515</v>
      </c>
      <c r="P677" s="25">
        <f>IF(ISNUMBER($O677),$O677,ROUND(Lookups!$B$25+Lookups!$B$24*$N677,4))</f>
        <v>0.1515</v>
      </c>
      <c r="Q677" s="25">
        <f>IF($C677&gt;0,INDEX(Merge_1_2!$L$2:$L$611,$C677),INDEX(Dataset3_Raw!$L$2:$L$391,$E677))</f>
        <v>0.59</v>
      </c>
      <c r="R677" s="25">
        <f>IF($C677&gt;0,INDEX(Merge_1_2!$M$2:$M$611,$C677),INDEX(Dataset3_Raw!$M$2:$M$391,$E677))</f>
        <v>0.19400000000000001</v>
      </c>
      <c r="S677" s="23">
        <f>IF($C677&gt;0,INDEX(Merge_1_2!$N$2:$N$611,$C677),INDEX(Dataset3_Raw!$N$2:$N$391,$E677))</f>
        <v>2</v>
      </c>
      <c r="T677" s="23">
        <f>IF($C677&gt;0,INDEX(Merge_1_2!$O$2:$O$611,$C677),INDEX(Dataset3_Raw!$O$2:$O$391,$E677))</f>
        <v>46</v>
      </c>
      <c r="U677" s="23">
        <f>IF($C677&gt;0,INDEX(Merge_1_2!$P$2:$P$611,$C677),INDEX(Dataset3_Raw!$P$2:$P$391,$E677))</f>
        <v>48</v>
      </c>
      <c r="V677" s="23" t="str">
        <f t="shared" si="61"/>
        <v>Weekday</v>
      </c>
      <c r="W677" s="23" t="str">
        <f>VLOOKUP($M677,Lookups!$A$5:$B$8,2,FALSE())</f>
        <v>Mist / Cloudy</v>
      </c>
      <c r="X677" s="23" t="str">
        <f>VLOOKUP($G677,Lookups!$D$5:$E$8,2,FALSE())</f>
        <v>Winter</v>
      </c>
      <c r="Y677" s="23" t="str">
        <f>VLOOKUP($L677,Lookups!$G$5:$H$11,2,FALSE())</f>
        <v>Monday</v>
      </c>
      <c r="Z677" s="23" t="str">
        <f>IF($J677&lt;Lookups!$B$26,"Night",IF($J677&lt;Lookups!$B$27,"Morning",IF($J677&lt;Lookups!$B$28,"Afternoon","Evening")))</f>
        <v>Morning</v>
      </c>
      <c r="AA677" s="26">
        <f>ROUND($N677*(Lookups!$B$16-Lookups!$B$15)+Lookups!$B$15,1)</f>
        <v>-0.5</v>
      </c>
      <c r="AB677" s="26">
        <f>ROUND($P677*(Lookups!$B$18-Lookups!$B$17)+Lookups!$B$17,1)</f>
        <v>-6</v>
      </c>
      <c r="AC677" s="23">
        <f t="shared" si="62"/>
        <v>59</v>
      </c>
      <c r="AD677" s="23">
        <f>ROUND($R677*Lookups!$B$19,1)</f>
        <v>13</v>
      </c>
      <c r="AE677" s="27">
        <f t="shared" si="63"/>
        <v>0.95833333333333337</v>
      </c>
      <c r="AF677" s="23" t="str">
        <f>IF($U677&gt;=Lookups!$B$23,"High",IF($U677&gt;=Lookups!$B$22,"Medium","Low"))</f>
        <v>Medium</v>
      </c>
      <c r="AG677" s="23">
        <f>ROUND(IF($V677="Weekday",IF(INDEX(Hourly_Analysis!$D$5:$D$28,$J677+1)&gt;0,($U677-INDEX(Hourly_Analysis!$C$5:$C$28,$J677+1))/INDEX(Hourly_Analysis!$D$5:$D$28,$J677+1),0),IF(INDEX(Hourly_Analysis!$G$5:$G$28,$J677+1)&gt;0,($U677-INDEX(Hourly_Analysis!$F$5:$F$28,$J677+1))/INDEX(Hourly_Analysis!$G$5:$G$28,$J677+1),0)),2)</f>
        <v>-0.19</v>
      </c>
      <c r="AH677" s="23" t="str">
        <f>IF(ABS($AG677)&gt;Lookups!$B$20,IF($AG677&gt;0,"High anomaly","Low anomaly"),"")</f>
        <v/>
      </c>
      <c r="AI677" s="23" t="str">
        <f t="shared" si="64"/>
        <v>OK</v>
      </c>
      <c r="AJ677" s="23" t="str">
        <f t="shared" si="65"/>
        <v>No</v>
      </c>
    </row>
    <row r="678" spans="1:36" x14ac:dyDescent="0.35">
      <c r="A678" s="23">
        <v>677</v>
      </c>
      <c r="B678" s="23" t="str">
        <f t="shared" si="60"/>
        <v>Dataset 3</v>
      </c>
      <c r="C678" s="23">
        <f>IFERROR(MATCH($A678,Merge_1_2!$A$2:$A$611,0),0)</f>
        <v>0</v>
      </c>
      <c r="D678" s="23">
        <f>IF($C678&gt;0,INDEX(Merge_1_2!$Q$2:$Q$611,$C678),0)</f>
        <v>0</v>
      </c>
      <c r="E678" s="23">
        <f>IFERROR(MATCH($A678,Dataset3_Raw!$A$2:$A$391,0),0)</f>
        <v>67</v>
      </c>
      <c r="F678" s="24">
        <f>IF($C678&gt;0,INDEX(Merge_1_2!$B$2:$B$611,$C678),DATE(VALUE(RIGHT(INDEX(Dataset3_Raw!$B$2:$B$391,$E678),4)),VALUE(MID(INDEX(Dataset3_Raw!$B$2:$B$391,$E678),4,2)),VALUE(LEFT(INDEX(Dataset3_Raw!$B$2:$B$391,$E678),2))))</f>
        <v>40574</v>
      </c>
      <c r="G678" s="23">
        <f>IF($C678&gt;0,INDEX(Merge_1_2!$C$2:$C$611,$C678),INDEX(Dataset3_Raw!$C$2:$C$391,$E678))</f>
        <v>1</v>
      </c>
      <c r="H678" s="23">
        <f>IF($C678&gt;0,INDEX(Merge_1_2!$D$2:$D$611,$C678),INDEX(Dataset3_Raw!$D$2:$D$391,$E678))</f>
        <v>0</v>
      </c>
      <c r="I678" s="23">
        <f>IF($C678&gt;0,INDEX(Merge_1_2!$E$2:$E$611,$C678),INDEX(Dataset3_Raw!$E$2:$E$391,$E678))</f>
        <v>1</v>
      </c>
      <c r="J678" s="23">
        <f>IF($C678&gt;0,INDEX(Merge_1_2!$F$2:$F$611,$C678),INDEX(Dataset3_Raw!$F$2:$F$391,$E678))</f>
        <v>12</v>
      </c>
      <c r="K678" s="23" t="b">
        <f>IF($C678&gt;0,INDEX(Merge_1_2!$G$2:$G$611,$C678),INDEX(Dataset3_Raw!$G$2:$G$391,$E678))</f>
        <v>0</v>
      </c>
      <c r="L678" s="23">
        <f>IF($C678&gt;0,INDEX(Merge_1_2!$H$2:$H$611,$C678),INDEX(Dataset3_Raw!$H$2:$H$391,$E678))</f>
        <v>1</v>
      </c>
      <c r="M678" s="23">
        <f>IF($C678&gt;0,INDEX(Merge_1_2!$I$2:$I$611,$C678),INDEX(Dataset3_Raw!$I$2:$I$391,$E678))</f>
        <v>2</v>
      </c>
      <c r="N678" s="25">
        <f>IF($C678&gt;0,INDEX(Merge_1_2!$J$2:$J$611,$C678),INDEX(Dataset3_Raw!$J$2:$J$391,$E678))</f>
        <v>0.18</v>
      </c>
      <c r="O678" s="25">
        <f>IF($C678&gt;0,IF(ISNUMBER(INDEX(Merge_1_2!$K$2:$K$611,$C678)),INDEX(Merge_1_2!$K$2:$K$611,$C678),""),INDEX(Dataset3_Raw!$K$2:$K$391,$E678))</f>
        <v>0.21210000000000001</v>
      </c>
      <c r="P678" s="25">
        <f>IF(ISNUMBER($O678),$O678,ROUND(Lookups!$B$25+Lookups!$B$24*$N678,4))</f>
        <v>0.21210000000000001</v>
      </c>
      <c r="Q678" s="25">
        <f>IF($C678&gt;0,INDEX(Merge_1_2!$L$2:$L$611,$C678),INDEX(Dataset3_Raw!$L$2:$L$391,$E678))</f>
        <v>0.55000000000000004</v>
      </c>
      <c r="R678" s="25">
        <f>IF($C678&gt;0,INDEX(Merge_1_2!$M$2:$M$611,$C678),INDEX(Dataset3_Raw!$M$2:$M$391,$E678))</f>
        <v>0.1045</v>
      </c>
      <c r="S678" s="23">
        <f>IF($C678&gt;0,INDEX(Merge_1_2!$N$2:$N$611,$C678),INDEX(Dataset3_Raw!$N$2:$N$391,$E678))</f>
        <v>6</v>
      </c>
      <c r="T678" s="23">
        <f>IF($C678&gt;0,INDEX(Merge_1_2!$O$2:$O$611,$C678),INDEX(Dataset3_Raw!$O$2:$O$391,$E678))</f>
        <v>62</v>
      </c>
      <c r="U678" s="23">
        <f>IF($C678&gt;0,INDEX(Merge_1_2!$P$2:$P$611,$C678),INDEX(Dataset3_Raw!$P$2:$P$391,$E678))</f>
        <v>68</v>
      </c>
      <c r="V678" s="23" t="str">
        <f t="shared" si="61"/>
        <v>Weekday</v>
      </c>
      <c r="W678" s="23" t="str">
        <f>VLOOKUP($M678,Lookups!$A$5:$B$8,2,FALSE())</f>
        <v>Mist / Cloudy</v>
      </c>
      <c r="X678" s="23" t="str">
        <f>VLOOKUP($G678,Lookups!$D$5:$E$8,2,FALSE())</f>
        <v>Winter</v>
      </c>
      <c r="Y678" s="23" t="str">
        <f>VLOOKUP($L678,Lookups!$G$5:$H$11,2,FALSE())</f>
        <v>Monday</v>
      </c>
      <c r="Z678" s="23" t="str">
        <f>IF($J678&lt;Lookups!$B$26,"Night",IF($J678&lt;Lookups!$B$27,"Morning",IF($J678&lt;Lookups!$B$28,"Afternoon","Evening")))</f>
        <v>Afternoon</v>
      </c>
      <c r="AA678" s="26">
        <f>ROUND($N678*(Lookups!$B$16-Lookups!$B$15)+Lookups!$B$15,1)</f>
        <v>0.5</v>
      </c>
      <c r="AB678" s="26">
        <f>ROUND($P678*(Lookups!$B$18-Lookups!$B$17)+Lookups!$B$17,1)</f>
        <v>-2</v>
      </c>
      <c r="AC678" s="23">
        <f t="shared" si="62"/>
        <v>55</v>
      </c>
      <c r="AD678" s="23">
        <f>ROUND($R678*Lookups!$B$19,1)</f>
        <v>7</v>
      </c>
      <c r="AE678" s="27">
        <f t="shared" si="63"/>
        <v>0.91176470588235292</v>
      </c>
      <c r="AF678" s="23" t="str">
        <f>IF($U678&gt;=Lookups!$B$23,"High",IF($U678&gt;=Lookups!$B$22,"Medium","Low"))</f>
        <v>Medium</v>
      </c>
      <c r="AG678" s="23">
        <f>ROUND(IF($V678="Weekday",IF(INDEX(Hourly_Analysis!$D$5:$D$28,$J678+1)&gt;0,($U678-INDEX(Hourly_Analysis!$C$5:$C$28,$J678+1))/INDEX(Hourly_Analysis!$D$5:$D$28,$J678+1),0),IF(INDEX(Hourly_Analysis!$G$5:$G$28,$J678+1)&gt;0,($U678-INDEX(Hourly_Analysis!$F$5:$F$28,$J678+1))/INDEX(Hourly_Analysis!$G$5:$G$28,$J678+1),0)),2)</f>
        <v>0.21</v>
      </c>
      <c r="AH678" s="23" t="str">
        <f>IF(ABS($AG678)&gt;Lookups!$B$20,IF($AG678&gt;0,"High anomaly","Low anomaly"),"")</f>
        <v/>
      </c>
      <c r="AI678" s="23" t="str">
        <f t="shared" si="64"/>
        <v>OK</v>
      </c>
      <c r="AJ678" s="23" t="str">
        <f t="shared" si="65"/>
        <v>No</v>
      </c>
    </row>
    <row r="679" spans="1:36" x14ac:dyDescent="0.35">
      <c r="A679" s="23">
        <v>678</v>
      </c>
      <c r="B679" s="23" t="str">
        <f t="shared" si="60"/>
        <v>Dataset 3</v>
      </c>
      <c r="C679" s="23">
        <f>IFERROR(MATCH($A679,Merge_1_2!$A$2:$A$611,0),0)</f>
        <v>0</v>
      </c>
      <c r="D679" s="23">
        <f>IF($C679&gt;0,INDEX(Merge_1_2!$Q$2:$Q$611,$C679),0)</f>
        <v>0</v>
      </c>
      <c r="E679" s="23">
        <f>IFERROR(MATCH($A679,Dataset3_Raw!$A$2:$A$391,0),0)</f>
        <v>68</v>
      </c>
      <c r="F679" s="24">
        <f>IF($C679&gt;0,INDEX(Merge_1_2!$B$2:$B$611,$C679),DATE(VALUE(RIGHT(INDEX(Dataset3_Raw!$B$2:$B$391,$E679),4)),VALUE(MID(INDEX(Dataset3_Raw!$B$2:$B$391,$E679),4,2)),VALUE(LEFT(INDEX(Dataset3_Raw!$B$2:$B$391,$E679),2))))</f>
        <v>40574</v>
      </c>
      <c r="G679" s="23">
        <f>IF($C679&gt;0,INDEX(Merge_1_2!$C$2:$C$611,$C679),INDEX(Dataset3_Raw!$C$2:$C$391,$E679))</f>
        <v>1</v>
      </c>
      <c r="H679" s="23">
        <f>IF($C679&gt;0,INDEX(Merge_1_2!$D$2:$D$611,$C679),INDEX(Dataset3_Raw!$D$2:$D$391,$E679))</f>
        <v>0</v>
      </c>
      <c r="I679" s="23">
        <f>IF($C679&gt;0,INDEX(Merge_1_2!$E$2:$E$611,$C679),INDEX(Dataset3_Raw!$E$2:$E$391,$E679))</f>
        <v>1</v>
      </c>
      <c r="J679" s="23">
        <f>IF($C679&gt;0,INDEX(Merge_1_2!$F$2:$F$611,$C679),INDEX(Dataset3_Raw!$F$2:$F$391,$E679))</f>
        <v>13</v>
      </c>
      <c r="K679" s="23" t="b">
        <f>IF($C679&gt;0,INDEX(Merge_1_2!$G$2:$G$611,$C679),INDEX(Dataset3_Raw!$G$2:$G$391,$E679))</f>
        <v>0</v>
      </c>
      <c r="L679" s="23">
        <f>IF($C679&gt;0,INDEX(Merge_1_2!$H$2:$H$611,$C679),INDEX(Dataset3_Raw!$H$2:$H$391,$E679))</f>
        <v>1</v>
      </c>
      <c r="M679" s="23">
        <f>IF($C679&gt;0,INDEX(Merge_1_2!$I$2:$I$611,$C679),INDEX(Dataset3_Raw!$I$2:$I$391,$E679))</f>
        <v>2</v>
      </c>
      <c r="N679" s="25">
        <f>IF($C679&gt;0,INDEX(Merge_1_2!$J$2:$J$611,$C679),INDEX(Dataset3_Raw!$J$2:$J$391,$E679))</f>
        <v>0.16</v>
      </c>
      <c r="O679" s="25">
        <f>IF($C679&gt;0,IF(ISNUMBER(INDEX(Merge_1_2!$K$2:$K$611,$C679)),INDEX(Merge_1_2!$K$2:$K$611,$C679),""),INDEX(Dataset3_Raw!$K$2:$K$391,$E679))</f>
        <v>0.2273</v>
      </c>
      <c r="P679" s="25">
        <f>IF(ISNUMBER($O679),$O679,ROUND(Lookups!$B$25+Lookups!$B$24*$N679,4))</f>
        <v>0.2273</v>
      </c>
      <c r="Q679" s="25">
        <f>IF($C679&gt;0,INDEX(Merge_1_2!$L$2:$L$611,$C679),INDEX(Dataset3_Raw!$L$2:$L$391,$E679))</f>
        <v>0.59</v>
      </c>
      <c r="R679" s="25">
        <f>IF($C679&gt;0,INDEX(Merge_1_2!$M$2:$M$611,$C679),INDEX(Dataset3_Raw!$M$2:$M$391,$E679))</f>
        <v>0</v>
      </c>
      <c r="S679" s="23">
        <f>IF($C679&gt;0,INDEX(Merge_1_2!$N$2:$N$611,$C679),INDEX(Dataset3_Raw!$N$2:$N$391,$E679))</f>
        <v>2</v>
      </c>
      <c r="T679" s="23">
        <f>IF($C679&gt;0,INDEX(Merge_1_2!$O$2:$O$611,$C679),INDEX(Dataset3_Raw!$O$2:$O$391,$E679))</f>
        <v>52</v>
      </c>
      <c r="U679" s="23">
        <f>IF($C679&gt;0,INDEX(Merge_1_2!$P$2:$P$611,$C679),INDEX(Dataset3_Raw!$P$2:$P$391,$E679))</f>
        <v>54</v>
      </c>
      <c r="V679" s="23" t="str">
        <f t="shared" si="61"/>
        <v>Weekday</v>
      </c>
      <c r="W679" s="23" t="str">
        <f>VLOOKUP($M679,Lookups!$A$5:$B$8,2,FALSE())</f>
        <v>Mist / Cloudy</v>
      </c>
      <c r="X679" s="23" t="str">
        <f>VLOOKUP($G679,Lookups!$D$5:$E$8,2,FALSE())</f>
        <v>Winter</v>
      </c>
      <c r="Y679" s="23" t="str">
        <f>VLOOKUP($L679,Lookups!$G$5:$H$11,2,FALSE())</f>
        <v>Monday</v>
      </c>
      <c r="Z679" s="23" t="str">
        <f>IF($J679&lt;Lookups!$B$26,"Night",IF($J679&lt;Lookups!$B$27,"Morning",IF($J679&lt;Lookups!$B$28,"Afternoon","Evening")))</f>
        <v>Afternoon</v>
      </c>
      <c r="AA679" s="26">
        <f>ROUND($N679*(Lookups!$B$16-Lookups!$B$15)+Lookups!$B$15,1)</f>
        <v>-0.5</v>
      </c>
      <c r="AB679" s="26">
        <f>ROUND($P679*(Lookups!$B$18-Lookups!$B$17)+Lookups!$B$17,1)</f>
        <v>-1</v>
      </c>
      <c r="AC679" s="23">
        <f t="shared" si="62"/>
        <v>59</v>
      </c>
      <c r="AD679" s="23">
        <f>ROUND($R679*Lookups!$B$19,1)</f>
        <v>0</v>
      </c>
      <c r="AE679" s="27">
        <f t="shared" si="63"/>
        <v>0.96296296296296291</v>
      </c>
      <c r="AF679" s="23" t="str">
        <f>IF($U679&gt;=Lookups!$B$23,"High",IF($U679&gt;=Lookups!$B$22,"Medium","Low"))</f>
        <v>Medium</v>
      </c>
      <c r="AG679" s="23">
        <f>ROUND(IF($V679="Weekday",IF(INDEX(Hourly_Analysis!$D$5:$D$28,$J679+1)&gt;0,($U679-INDEX(Hourly_Analysis!$C$5:$C$28,$J679+1))/INDEX(Hourly_Analysis!$D$5:$D$28,$J679+1),0),IF(INDEX(Hourly_Analysis!$G$5:$G$28,$J679+1)&gt;0,($U679-INDEX(Hourly_Analysis!$F$5:$F$28,$J679+1))/INDEX(Hourly_Analysis!$G$5:$G$28,$J679+1),0)),2)</f>
        <v>-0.61</v>
      </c>
      <c r="AH679" s="23" t="str">
        <f>IF(ABS($AG679)&gt;Lookups!$B$20,IF($AG679&gt;0,"High anomaly","Low anomaly"),"")</f>
        <v/>
      </c>
      <c r="AI679" s="23" t="str">
        <f t="shared" si="64"/>
        <v>OK</v>
      </c>
      <c r="AJ679" s="23" t="str">
        <f t="shared" si="65"/>
        <v>No</v>
      </c>
    </row>
    <row r="680" spans="1:36" x14ac:dyDescent="0.35">
      <c r="A680" s="23">
        <v>679</v>
      </c>
      <c r="B680" s="23" t="str">
        <f t="shared" si="60"/>
        <v>Dataset 3</v>
      </c>
      <c r="C680" s="23">
        <f>IFERROR(MATCH($A680,Merge_1_2!$A$2:$A$611,0),0)</f>
        <v>0</v>
      </c>
      <c r="D680" s="23">
        <f>IF($C680&gt;0,INDEX(Merge_1_2!$Q$2:$Q$611,$C680),0)</f>
        <v>0</v>
      </c>
      <c r="E680" s="23">
        <f>IFERROR(MATCH($A680,Dataset3_Raw!$A$2:$A$391,0),0)</f>
        <v>69</v>
      </c>
      <c r="F680" s="24">
        <f>IF($C680&gt;0,INDEX(Merge_1_2!$B$2:$B$611,$C680),DATE(VALUE(RIGHT(INDEX(Dataset3_Raw!$B$2:$B$391,$E680),4)),VALUE(MID(INDEX(Dataset3_Raw!$B$2:$B$391,$E680),4,2)),VALUE(LEFT(INDEX(Dataset3_Raw!$B$2:$B$391,$E680),2))))</f>
        <v>40574</v>
      </c>
      <c r="G680" s="23">
        <f>IF($C680&gt;0,INDEX(Merge_1_2!$C$2:$C$611,$C680),INDEX(Dataset3_Raw!$C$2:$C$391,$E680))</f>
        <v>1</v>
      </c>
      <c r="H680" s="23">
        <f>IF($C680&gt;0,INDEX(Merge_1_2!$D$2:$D$611,$C680),INDEX(Dataset3_Raw!$D$2:$D$391,$E680))</f>
        <v>0</v>
      </c>
      <c r="I680" s="23">
        <f>IF($C680&gt;0,INDEX(Merge_1_2!$E$2:$E$611,$C680),INDEX(Dataset3_Raw!$E$2:$E$391,$E680))</f>
        <v>1</v>
      </c>
      <c r="J680" s="23">
        <f>IF($C680&gt;0,INDEX(Merge_1_2!$F$2:$F$611,$C680),INDEX(Dataset3_Raw!$F$2:$F$391,$E680))</f>
        <v>14</v>
      </c>
      <c r="K680" s="23" t="b">
        <f>IF($C680&gt;0,INDEX(Merge_1_2!$G$2:$G$611,$C680),INDEX(Dataset3_Raw!$G$2:$G$391,$E680))</f>
        <v>0</v>
      </c>
      <c r="L680" s="23">
        <f>IF($C680&gt;0,INDEX(Merge_1_2!$H$2:$H$611,$C680),INDEX(Dataset3_Raw!$H$2:$H$391,$E680))</f>
        <v>1</v>
      </c>
      <c r="M680" s="23">
        <f>IF($C680&gt;0,INDEX(Merge_1_2!$I$2:$I$611,$C680),INDEX(Dataset3_Raw!$I$2:$I$391,$E680))</f>
        <v>2</v>
      </c>
      <c r="N680" s="25">
        <f>IF($C680&gt;0,INDEX(Merge_1_2!$J$2:$J$611,$C680),INDEX(Dataset3_Raw!$J$2:$J$391,$E680))</f>
        <v>0.18</v>
      </c>
      <c r="O680" s="25">
        <f>IF($C680&gt;0,IF(ISNUMBER(INDEX(Merge_1_2!$K$2:$K$611,$C680)),INDEX(Merge_1_2!$K$2:$K$611,$C680),""),INDEX(Dataset3_Raw!$K$2:$K$391,$E680))</f>
        <v>0.19700000000000001</v>
      </c>
      <c r="P680" s="25">
        <f>IF(ISNUMBER($O680),$O680,ROUND(Lookups!$B$25+Lookups!$B$24*$N680,4))</f>
        <v>0.19700000000000001</v>
      </c>
      <c r="Q680" s="25">
        <f>IF($C680&gt;0,INDEX(Merge_1_2!$L$2:$L$611,$C680),INDEX(Dataset3_Raw!$L$2:$L$391,$E680))</f>
        <v>0.55000000000000004</v>
      </c>
      <c r="R680" s="25">
        <f>IF($C680&gt;0,INDEX(Merge_1_2!$M$2:$M$611,$C680),INDEX(Dataset3_Raw!$M$2:$M$391,$E680))</f>
        <v>0.1343</v>
      </c>
      <c r="S680" s="23">
        <f>IF($C680&gt;0,INDEX(Merge_1_2!$N$2:$N$611,$C680),INDEX(Dataset3_Raw!$N$2:$N$391,$E680))</f>
        <v>1</v>
      </c>
      <c r="T680" s="23">
        <f>IF($C680&gt;0,INDEX(Merge_1_2!$O$2:$O$611,$C680),INDEX(Dataset3_Raw!$O$2:$O$391,$E680))</f>
        <v>85</v>
      </c>
      <c r="U680" s="23">
        <f>IF($C680&gt;0,INDEX(Merge_1_2!$P$2:$P$611,$C680),INDEX(Dataset3_Raw!$P$2:$P$391,$E680))</f>
        <v>86</v>
      </c>
      <c r="V680" s="23" t="str">
        <f t="shared" si="61"/>
        <v>Weekday</v>
      </c>
      <c r="W680" s="23" t="str">
        <f>VLOOKUP($M680,Lookups!$A$5:$B$8,2,FALSE())</f>
        <v>Mist / Cloudy</v>
      </c>
      <c r="X680" s="23" t="str">
        <f>VLOOKUP($G680,Lookups!$D$5:$E$8,2,FALSE())</f>
        <v>Winter</v>
      </c>
      <c r="Y680" s="23" t="str">
        <f>VLOOKUP($L680,Lookups!$G$5:$H$11,2,FALSE())</f>
        <v>Monday</v>
      </c>
      <c r="Z680" s="23" t="str">
        <f>IF($J680&lt;Lookups!$B$26,"Night",IF($J680&lt;Lookups!$B$27,"Morning",IF($J680&lt;Lookups!$B$28,"Afternoon","Evening")))</f>
        <v>Afternoon</v>
      </c>
      <c r="AA680" s="26">
        <f>ROUND($N680*(Lookups!$B$16-Lookups!$B$15)+Lookups!$B$15,1)</f>
        <v>0.5</v>
      </c>
      <c r="AB680" s="26">
        <f>ROUND($P680*(Lookups!$B$18-Lookups!$B$17)+Lookups!$B$17,1)</f>
        <v>-3</v>
      </c>
      <c r="AC680" s="23">
        <f t="shared" si="62"/>
        <v>55</v>
      </c>
      <c r="AD680" s="23">
        <f>ROUND($R680*Lookups!$B$19,1)</f>
        <v>9</v>
      </c>
      <c r="AE680" s="27">
        <f t="shared" si="63"/>
        <v>0.98837209302325579</v>
      </c>
      <c r="AF680" s="23" t="str">
        <f>IF($U680&gt;=Lookups!$B$23,"High",IF($U680&gt;=Lookups!$B$22,"Medium","Low"))</f>
        <v>High</v>
      </c>
      <c r="AG680" s="23">
        <f>ROUND(IF($V680="Weekday",IF(INDEX(Hourly_Analysis!$D$5:$D$28,$J680+1)&gt;0,($U680-INDEX(Hourly_Analysis!$C$5:$C$28,$J680+1))/INDEX(Hourly_Analysis!$D$5:$D$28,$J680+1),0),IF(INDEX(Hourly_Analysis!$G$5:$G$28,$J680+1)&gt;0,($U680-INDEX(Hourly_Analysis!$F$5:$F$28,$J680+1))/INDEX(Hourly_Analysis!$G$5:$G$28,$J680+1),0)),2)</f>
        <v>1.65</v>
      </c>
      <c r="AH680" s="23" t="str">
        <f>IF(ABS($AG680)&gt;Lookups!$B$20,IF($AG680&gt;0,"High anomaly","Low anomaly"),"")</f>
        <v/>
      </c>
      <c r="AI680" s="23" t="str">
        <f t="shared" si="64"/>
        <v>OK</v>
      </c>
      <c r="AJ680" s="23" t="str">
        <f t="shared" si="65"/>
        <v>No</v>
      </c>
    </row>
    <row r="681" spans="1:36" x14ac:dyDescent="0.35">
      <c r="A681" s="23">
        <v>680</v>
      </c>
      <c r="B681" s="23" t="str">
        <f t="shared" si="60"/>
        <v>Dataset 3</v>
      </c>
      <c r="C681" s="23">
        <f>IFERROR(MATCH($A681,Merge_1_2!$A$2:$A$611,0),0)</f>
        <v>0</v>
      </c>
      <c r="D681" s="23">
        <f>IF($C681&gt;0,INDEX(Merge_1_2!$Q$2:$Q$611,$C681),0)</f>
        <v>0</v>
      </c>
      <c r="E681" s="23">
        <f>IFERROR(MATCH($A681,Dataset3_Raw!$A$2:$A$391,0),0)</f>
        <v>70</v>
      </c>
      <c r="F681" s="24">
        <f>IF($C681&gt;0,INDEX(Merge_1_2!$B$2:$B$611,$C681),DATE(VALUE(RIGHT(INDEX(Dataset3_Raw!$B$2:$B$391,$E681),4)),VALUE(MID(INDEX(Dataset3_Raw!$B$2:$B$391,$E681),4,2)),VALUE(LEFT(INDEX(Dataset3_Raw!$B$2:$B$391,$E681),2))))</f>
        <v>40574</v>
      </c>
      <c r="G681" s="23">
        <f>IF($C681&gt;0,INDEX(Merge_1_2!$C$2:$C$611,$C681),INDEX(Dataset3_Raw!$C$2:$C$391,$E681))</f>
        <v>1</v>
      </c>
      <c r="H681" s="23">
        <f>IF($C681&gt;0,INDEX(Merge_1_2!$D$2:$D$611,$C681),INDEX(Dataset3_Raw!$D$2:$D$391,$E681))</f>
        <v>0</v>
      </c>
      <c r="I681" s="23">
        <f>IF($C681&gt;0,INDEX(Merge_1_2!$E$2:$E$611,$C681),INDEX(Dataset3_Raw!$E$2:$E$391,$E681))</f>
        <v>1</v>
      </c>
      <c r="J681" s="23">
        <f>IF($C681&gt;0,INDEX(Merge_1_2!$F$2:$F$611,$C681),INDEX(Dataset3_Raw!$F$2:$F$391,$E681))</f>
        <v>15</v>
      </c>
      <c r="K681" s="23" t="b">
        <f>IF($C681&gt;0,INDEX(Merge_1_2!$G$2:$G$611,$C681),INDEX(Dataset3_Raw!$G$2:$G$391,$E681))</f>
        <v>0</v>
      </c>
      <c r="L681" s="23">
        <f>IF($C681&gt;0,INDEX(Merge_1_2!$H$2:$H$611,$C681),INDEX(Dataset3_Raw!$H$2:$H$391,$E681))</f>
        <v>1</v>
      </c>
      <c r="M681" s="23">
        <f>IF($C681&gt;0,INDEX(Merge_1_2!$I$2:$I$611,$C681),INDEX(Dataset3_Raw!$I$2:$I$391,$E681))</f>
        <v>2</v>
      </c>
      <c r="N681" s="25">
        <f>IF($C681&gt;0,INDEX(Merge_1_2!$J$2:$J$611,$C681),INDEX(Dataset3_Raw!$J$2:$J$391,$E681))</f>
        <v>0.16</v>
      </c>
      <c r="O681" s="25">
        <f>IF($C681&gt;0,IF(ISNUMBER(INDEX(Merge_1_2!$K$2:$K$611,$C681)),INDEX(Merge_1_2!$K$2:$K$611,$C681),""),INDEX(Dataset3_Raw!$K$2:$K$391,$E681))</f>
        <v>0.18179999999999999</v>
      </c>
      <c r="P681" s="25">
        <f>IF(ISNUMBER($O681),$O681,ROUND(Lookups!$B$25+Lookups!$B$24*$N681,4))</f>
        <v>0.18179999999999999</v>
      </c>
      <c r="Q681" s="25">
        <f>IF($C681&gt;0,INDEX(Merge_1_2!$L$2:$L$611,$C681),INDEX(Dataset3_Raw!$L$2:$L$391,$E681))</f>
        <v>0.59</v>
      </c>
      <c r="R681" s="25">
        <f>IF($C681&gt;0,INDEX(Merge_1_2!$M$2:$M$611,$C681),INDEX(Dataset3_Raw!$M$2:$M$391,$E681))</f>
        <v>0.1343</v>
      </c>
      <c r="S681" s="23">
        <f>IF($C681&gt;0,INDEX(Merge_1_2!$N$2:$N$611,$C681),INDEX(Dataset3_Raw!$N$2:$N$391,$E681))</f>
        <v>3</v>
      </c>
      <c r="T681" s="23">
        <f>IF($C681&gt;0,INDEX(Merge_1_2!$O$2:$O$611,$C681),INDEX(Dataset3_Raw!$O$2:$O$391,$E681))</f>
        <v>41</v>
      </c>
      <c r="U681" s="23">
        <f>IF($C681&gt;0,INDEX(Merge_1_2!$P$2:$P$611,$C681),INDEX(Dataset3_Raw!$P$2:$P$391,$E681))</f>
        <v>44</v>
      </c>
      <c r="V681" s="23" t="str">
        <f t="shared" si="61"/>
        <v>Weekday</v>
      </c>
      <c r="W681" s="23" t="str">
        <f>VLOOKUP($M681,Lookups!$A$5:$B$8,2,FALSE())</f>
        <v>Mist / Cloudy</v>
      </c>
      <c r="X681" s="23" t="str">
        <f>VLOOKUP($G681,Lookups!$D$5:$E$8,2,FALSE())</f>
        <v>Winter</v>
      </c>
      <c r="Y681" s="23" t="str">
        <f>VLOOKUP($L681,Lookups!$G$5:$H$11,2,FALSE())</f>
        <v>Monday</v>
      </c>
      <c r="Z681" s="23" t="str">
        <f>IF($J681&lt;Lookups!$B$26,"Night",IF($J681&lt;Lookups!$B$27,"Morning",IF($J681&lt;Lookups!$B$28,"Afternoon","Evening")))</f>
        <v>Afternoon</v>
      </c>
      <c r="AA681" s="26">
        <f>ROUND($N681*(Lookups!$B$16-Lookups!$B$15)+Lookups!$B$15,1)</f>
        <v>-0.5</v>
      </c>
      <c r="AB681" s="26">
        <f>ROUND($P681*(Lookups!$B$18-Lookups!$B$17)+Lookups!$B$17,1)</f>
        <v>-4</v>
      </c>
      <c r="AC681" s="23">
        <f t="shared" si="62"/>
        <v>59</v>
      </c>
      <c r="AD681" s="23">
        <f>ROUND($R681*Lookups!$B$19,1)</f>
        <v>9</v>
      </c>
      <c r="AE681" s="27">
        <f t="shared" si="63"/>
        <v>0.93181818181818177</v>
      </c>
      <c r="AF681" s="23" t="str">
        <f>IF($U681&gt;=Lookups!$B$23,"High",IF($U681&gt;=Lookups!$B$22,"Medium","Low"))</f>
        <v>Medium</v>
      </c>
      <c r="AG681" s="23">
        <f>ROUND(IF($V681="Weekday",IF(INDEX(Hourly_Analysis!$D$5:$D$28,$J681+1)&gt;0,($U681-INDEX(Hourly_Analysis!$C$5:$C$28,$J681+1))/INDEX(Hourly_Analysis!$D$5:$D$28,$J681+1),0),IF(INDEX(Hourly_Analysis!$G$5:$G$28,$J681+1)&gt;0,($U681-INDEX(Hourly_Analysis!$F$5:$F$28,$J681+1))/INDEX(Hourly_Analysis!$G$5:$G$28,$J681+1),0)),2)</f>
        <v>-1.1599999999999999</v>
      </c>
      <c r="AH681" s="23" t="str">
        <f>IF(ABS($AG681)&gt;Lookups!$B$20,IF($AG681&gt;0,"High anomaly","Low anomaly"),"")</f>
        <v/>
      </c>
      <c r="AI681" s="23" t="str">
        <f t="shared" si="64"/>
        <v>OK</v>
      </c>
      <c r="AJ681" s="23" t="str">
        <f t="shared" si="65"/>
        <v>No</v>
      </c>
    </row>
    <row r="682" spans="1:36" x14ac:dyDescent="0.35">
      <c r="A682" s="23">
        <v>681</v>
      </c>
      <c r="B682" s="23" t="str">
        <f t="shared" si="60"/>
        <v>Dataset 3</v>
      </c>
      <c r="C682" s="23">
        <f>IFERROR(MATCH($A682,Merge_1_2!$A$2:$A$611,0),0)</f>
        <v>0</v>
      </c>
      <c r="D682" s="23">
        <f>IF($C682&gt;0,INDEX(Merge_1_2!$Q$2:$Q$611,$C682),0)</f>
        <v>0</v>
      </c>
      <c r="E682" s="23">
        <f>IFERROR(MATCH($A682,Dataset3_Raw!$A$2:$A$391,0),0)</f>
        <v>71</v>
      </c>
      <c r="F682" s="24">
        <f>IF($C682&gt;0,INDEX(Merge_1_2!$B$2:$B$611,$C682),DATE(VALUE(RIGHT(INDEX(Dataset3_Raw!$B$2:$B$391,$E682),4)),VALUE(MID(INDEX(Dataset3_Raw!$B$2:$B$391,$E682),4,2)),VALUE(LEFT(INDEX(Dataset3_Raw!$B$2:$B$391,$E682),2))))</f>
        <v>40574</v>
      </c>
      <c r="G682" s="23">
        <f>IF($C682&gt;0,INDEX(Merge_1_2!$C$2:$C$611,$C682),INDEX(Dataset3_Raw!$C$2:$C$391,$E682))</f>
        <v>1</v>
      </c>
      <c r="H682" s="23">
        <f>IF($C682&gt;0,INDEX(Merge_1_2!$D$2:$D$611,$C682),INDEX(Dataset3_Raw!$D$2:$D$391,$E682))</f>
        <v>0</v>
      </c>
      <c r="I682" s="23">
        <f>IF($C682&gt;0,INDEX(Merge_1_2!$E$2:$E$611,$C682),INDEX(Dataset3_Raw!$E$2:$E$391,$E682))</f>
        <v>1</v>
      </c>
      <c r="J682" s="23">
        <f>IF($C682&gt;0,INDEX(Merge_1_2!$F$2:$F$611,$C682),INDEX(Dataset3_Raw!$F$2:$F$391,$E682))</f>
        <v>16</v>
      </c>
      <c r="K682" s="23" t="b">
        <f>IF($C682&gt;0,INDEX(Merge_1_2!$G$2:$G$611,$C682),INDEX(Dataset3_Raw!$G$2:$G$391,$E682))</f>
        <v>0</v>
      </c>
      <c r="L682" s="23">
        <f>IF($C682&gt;0,INDEX(Merge_1_2!$H$2:$H$611,$C682),INDEX(Dataset3_Raw!$H$2:$H$391,$E682))</f>
        <v>1</v>
      </c>
      <c r="M682" s="23">
        <f>IF($C682&gt;0,INDEX(Merge_1_2!$I$2:$I$611,$C682),INDEX(Dataset3_Raw!$I$2:$I$391,$E682))</f>
        <v>2</v>
      </c>
      <c r="N682" s="25">
        <f>IF($C682&gt;0,INDEX(Merge_1_2!$J$2:$J$611,$C682),INDEX(Dataset3_Raw!$J$2:$J$391,$E682))</f>
        <v>0.16</v>
      </c>
      <c r="O682" s="25">
        <f>IF($C682&gt;0,IF(ISNUMBER(INDEX(Merge_1_2!$K$2:$K$611,$C682)),INDEX(Merge_1_2!$K$2:$K$611,$C682),""),INDEX(Dataset3_Raw!$K$2:$K$391,$E682))</f>
        <v>0.18179999999999999</v>
      </c>
      <c r="P682" s="25">
        <f>IF(ISNUMBER($O682),$O682,ROUND(Lookups!$B$25+Lookups!$B$24*$N682,4))</f>
        <v>0.18179999999999999</v>
      </c>
      <c r="Q682" s="25">
        <f>IF($C682&gt;0,INDEX(Merge_1_2!$L$2:$L$611,$C682),INDEX(Dataset3_Raw!$L$2:$L$391,$E682))</f>
        <v>0.56000000000000005</v>
      </c>
      <c r="R682" s="25">
        <f>IF($C682&gt;0,INDEX(Merge_1_2!$M$2:$M$611,$C682),INDEX(Dataset3_Raw!$M$2:$M$391,$E682))</f>
        <v>0.19400000000000001</v>
      </c>
      <c r="S682" s="23">
        <f>IF($C682&gt;0,INDEX(Merge_1_2!$N$2:$N$611,$C682),INDEX(Dataset3_Raw!$N$2:$N$391,$E682))</f>
        <v>3</v>
      </c>
      <c r="T682" s="23">
        <f>IF($C682&gt;0,INDEX(Merge_1_2!$O$2:$O$611,$C682),INDEX(Dataset3_Raw!$O$2:$O$391,$E682))</f>
        <v>83</v>
      </c>
      <c r="U682" s="23">
        <f>IF($C682&gt;0,INDEX(Merge_1_2!$P$2:$P$611,$C682),INDEX(Dataset3_Raw!$P$2:$P$391,$E682))</f>
        <v>86</v>
      </c>
      <c r="V682" s="23" t="str">
        <f t="shared" si="61"/>
        <v>Weekday</v>
      </c>
      <c r="W682" s="23" t="str">
        <f>VLOOKUP($M682,Lookups!$A$5:$B$8,2,FALSE())</f>
        <v>Mist / Cloudy</v>
      </c>
      <c r="X682" s="23" t="str">
        <f>VLOOKUP($G682,Lookups!$D$5:$E$8,2,FALSE())</f>
        <v>Winter</v>
      </c>
      <c r="Y682" s="23" t="str">
        <f>VLOOKUP($L682,Lookups!$G$5:$H$11,2,FALSE())</f>
        <v>Monday</v>
      </c>
      <c r="Z682" s="23" t="str">
        <f>IF($J682&lt;Lookups!$B$26,"Night",IF($J682&lt;Lookups!$B$27,"Morning",IF($J682&lt;Lookups!$B$28,"Afternoon","Evening")))</f>
        <v>Afternoon</v>
      </c>
      <c r="AA682" s="26">
        <f>ROUND($N682*(Lookups!$B$16-Lookups!$B$15)+Lookups!$B$15,1)</f>
        <v>-0.5</v>
      </c>
      <c r="AB682" s="26">
        <f>ROUND($P682*(Lookups!$B$18-Lookups!$B$17)+Lookups!$B$17,1)</f>
        <v>-4</v>
      </c>
      <c r="AC682" s="23">
        <f t="shared" si="62"/>
        <v>56</v>
      </c>
      <c r="AD682" s="23">
        <f>ROUND($R682*Lookups!$B$19,1)</f>
        <v>13</v>
      </c>
      <c r="AE682" s="27">
        <f t="shared" si="63"/>
        <v>0.96511627906976749</v>
      </c>
      <c r="AF682" s="23" t="str">
        <f>IF($U682&gt;=Lookups!$B$23,"High",IF($U682&gt;=Lookups!$B$22,"Medium","Low"))</f>
        <v>High</v>
      </c>
      <c r="AG682" s="23">
        <f>ROUND(IF($V682="Weekday",IF(INDEX(Hourly_Analysis!$D$5:$D$28,$J682+1)&gt;0,($U682-INDEX(Hourly_Analysis!$C$5:$C$28,$J682+1))/INDEX(Hourly_Analysis!$D$5:$D$28,$J682+1),0),IF(INDEX(Hourly_Analysis!$G$5:$G$28,$J682+1)&gt;0,($U682-INDEX(Hourly_Analysis!$F$5:$F$28,$J682+1))/INDEX(Hourly_Analysis!$G$5:$G$28,$J682+1),0)),2)</f>
        <v>0.16</v>
      </c>
      <c r="AH682" s="23" t="str">
        <f>IF(ABS($AG682)&gt;Lookups!$B$20,IF($AG682&gt;0,"High anomaly","Low anomaly"),"")</f>
        <v/>
      </c>
      <c r="AI682" s="23" t="str">
        <f t="shared" si="64"/>
        <v>OK</v>
      </c>
      <c r="AJ682" s="23" t="str">
        <f t="shared" si="65"/>
        <v>No</v>
      </c>
    </row>
    <row r="683" spans="1:36" x14ac:dyDescent="0.35">
      <c r="A683" s="23">
        <v>682</v>
      </c>
      <c r="B683" s="23" t="str">
        <f t="shared" si="60"/>
        <v>Dataset 3</v>
      </c>
      <c r="C683" s="23">
        <f>IFERROR(MATCH($A683,Merge_1_2!$A$2:$A$611,0),0)</f>
        <v>0</v>
      </c>
      <c r="D683" s="23">
        <f>IF($C683&gt;0,INDEX(Merge_1_2!$Q$2:$Q$611,$C683),0)</f>
        <v>0</v>
      </c>
      <c r="E683" s="23">
        <f>IFERROR(MATCH($A683,Dataset3_Raw!$A$2:$A$391,0),0)</f>
        <v>72</v>
      </c>
      <c r="F683" s="24">
        <f>IF($C683&gt;0,INDEX(Merge_1_2!$B$2:$B$611,$C683),DATE(VALUE(RIGHT(INDEX(Dataset3_Raw!$B$2:$B$391,$E683),4)),VALUE(MID(INDEX(Dataset3_Raw!$B$2:$B$391,$E683),4,2)),VALUE(LEFT(INDEX(Dataset3_Raw!$B$2:$B$391,$E683),2))))</f>
        <v>40574</v>
      </c>
      <c r="G683" s="23">
        <f>IF($C683&gt;0,INDEX(Merge_1_2!$C$2:$C$611,$C683),INDEX(Dataset3_Raw!$C$2:$C$391,$E683))</f>
        <v>1</v>
      </c>
      <c r="H683" s="23">
        <f>IF($C683&gt;0,INDEX(Merge_1_2!$D$2:$D$611,$C683),INDEX(Dataset3_Raw!$D$2:$D$391,$E683))</f>
        <v>0</v>
      </c>
      <c r="I683" s="23">
        <f>IF($C683&gt;0,INDEX(Merge_1_2!$E$2:$E$611,$C683),INDEX(Dataset3_Raw!$E$2:$E$391,$E683))</f>
        <v>1</v>
      </c>
      <c r="J683" s="23">
        <f>IF($C683&gt;0,INDEX(Merge_1_2!$F$2:$F$611,$C683),INDEX(Dataset3_Raw!$F$2:$F$391,$E683))</f>
        <v>17</v>
      </c>
      <c r="K683" s="23" t="b">
        <f>IF($C683&gt;0,INDEX(Merge_1_2!$G$2:$G$611,$C683),INDEX(Dataset3_Raw!$G$2:$G$391,$E683))</f>
        <v>0</v>
      </c>
      <c r="L683" s="23">
        <f>IF($C683&gt;0,INDEX(Merge_1_2!$H$2:$H$611,$C683),INDEX(Dataset3_Raw!$H$2:$H$391,$E683))</f>
        <v>1</v>
      </c>
      <c r="M683" s="23">
        <f>IF($C683&gt;0,INDEX(Merge_1_2!$I$2:$I$611,$C683),INDEX(Dataset3_Raw!$I$2:$I$391,$E683))</f>
        <v>2</v>
      </c>
      <c r="N683" s="25">
        <f>IF($C683&gt;0,INDEX(Merge_1_2!$J$2:$J$611,$C683),INDEX(Dataset3_Raw!$J$2:$J$391,$E683))</f>
        <v>0.16</v>
      </c>
      <c r="O683" s="25">
        <f>IF($C683&gt;0,IF(ISNUMBER(INDEX(Merge_1_2!$K$2:$K$611,$C683)),INDEX(Merge_1_2!$K$2:$K$611,$C683),""),INDEX(Dataset3_Raw!$K$2:$K$391,$E683))</f>
        <v>0.1515</v>
      </c>
      <c r="P683" s="25">
        <f>IF(ISNUMBER($O683),$O683,ROUND(Lookups!$B$25+Lookups!$B$24*$N683,4))</f>
        <v>0.1515</v>
      </c>
      <c r="Q683" s="25">
        <f>IF($C683&gt;0,INDEX(Merge_1_2!$L$2:$L$611,$C683),INDEX(Dataset3_Raw!$L$2:$L$391,$E683))</f>
        <v>0.59</v>
      </c>
      <c r="R683" s="25">
        <f>IF($C683&gt;0,INDEX(Merge_1_2!$M$2:$M$611,$C683),INDEX(Dataset3_Raw!$M$2:$M$391,$E683))</f>
        <v>0.19400000000000001</v>
      </c>
      <c r="S683" s="23">
        <f>IF($C683&gt;0,INDEX(Merge_1_2!$N$2:$N$611,$C683),INDEX(Dataset3_Raw!$N$2:$N$391,$E683))</f>
        <v>6</v>
      </c>
      <c r="T683" s="23">
        <f>IF($C683&gt;0,INDEX(Merge_1_2!$O$2:$O$611,$C683),INDEX(Dataset3_Raw!$O$2:$O$391,$E683))</f>
        <v>155</v>
      </c>
      <c r="U683" s="23">
        <f>IF($C683&gt;0,INDEX(Merge_1_2!$P$2:$P$611,$C683),INDEX(Dataset3_Raw!$P$2:$P$391,$E683))</f>
        <v>161</v>
      </c>
      <c r="V683" s="23" t="str">
        <f t="shared" si="61"/>
        <v>Weekday</v>
      </c>
      <c r="W683" s="23" t="str">
        <f>VLOOKUP($M683,Lookups!$A$5:$B$8,2,FALSE())</f>
        <v>Mist / Cloudy</v>
      </c>
      <c r="X683" s="23" t="str">
        <f>VLOOKUP($G683,Lookups!$D$5:$E$8,2,FALSE())</f>
        <v>Winter</v>
      </c>
      <c r="Y683" s="23" t="str">
        <f>VLOOKUP($L683,Lookups!$G$5:$H$11,2,FALSE())</f>
        <v>Monday</v>
      </c>
      <c r="Z683" s="23" t="str">
        <f>IF($J683&lt;Lookups!$B$26,"Night",IF($J683&lt;Lookups!$B$27,"Morning",IF($J683&lt;Lookups!$B$28,"Afternoon","Evening")))</f>
        <v>Afternoon</v>
      </c>
      <c r="AA683" s="26">
        <f>ROUND($N683*(Lookups!$B$16-Lookups!$B$15)+Lookups!$B$15,1)</f>
        <v>-0.5</v>
      </c>
      <c r="AB683" s="26">
        <f>ROUND($P683*(Lookups!$B$18-Lookups!$B$17)+Lookups!$B$17,1)</f>
        <v>-6</v>
      </c>
      <c r="AC683" s="23">
        <f t="shared" si="62"/>
        <v>59</v>
      </c>
      <c r="AD683" s="23">
        <f>ROUND($R683*Lookups!$B$19,1)</f>
        <v>13</v>
      </c>
      <c r="AE683" s="27">
        <f t="shared" si="63"/>
        <v>0.96273291925465843</v>
      </c>
      <c r="AF683" s="23" t="str">
        <f>IF($U683&gt;=Lookups!$B$23,"High",IF($U683&gt;=Lookups!$B$22,"Medium","Low"))</f>
        <v>High</v>
      </c>
      <c r="AG683" s="23">
        <f>ROUND(IF($V683="Weekday",IF(INDEX(Hourly_Analysis!$D$5:$D$28,$J683+1)&gt;0,($U683-INDEX(Hourly_Analysis!$C$5:$C$28,$J683+1))/INDEX(Hourly_Analysis!$D$5:$D$28,$J683+1),0),IF(INDEX(Hourly_Analysis!$G$5:$G$28,$J683+1)&gt;0,($U683-INDEX(Hourly_Analysis!$F$5:$F$28,$J683+1))/INDEX(Hourly_Analysis!$G$5:$G$28,$J683+1),0)),2)</f>
        <v>-0.19</v>
      </c>
      <c r="AH683" s="23" t="str">
        <f>IF(ABS($AG683)&gt;Lookups!$B$20,IF($AG683&gt;0,"High anomaly","Low anomaly"),"")</f>
        <v/>
      </c>
      <c r="AI683" s="23" t="str">
        <f t="shared" si="64"/>
        <v>OK</v>
      </c>
      <c r="AJ683" s="23" t="str">
        <f t="shared" si="65"/>
        <v>No</v>
      </c>
    </row>
    <row r="684" spans="1:36" x14ac:dyDescent="0.35">
      <c r="A684" s="23">
        <v>683</v>
      </c>
      <c r="B684" s="23" t="str">
        <f t="shared" si="60"/>
        <v>Dataset 3</v>
      </c>
      <c r="C684" s="23">
        <f>IFERROR(MATCH($A684,Merge_1_2!$A$2:$A$611,0),0)</f>
        <v>0</v>
      </c>
      <c r="D684" s="23">
        <f>IF($C684&gt;0,INDEX(Merge_1_2!$Q$2:$Q$611,$C684),0)</f>
        <v>0</v>
      </c>
      <c r="E684" s="23">
        <f>IFERROR(MATCH($A684,Dataset3_Raw!$A$2:$A$391,0),0)</f>
        <v>73</v>
      </c>
      <c r="F684" s="24">
        <f>IF($C684&gt;0,INDEX(Merge_1_2!$B$2:$B$611,$C684),DATE(VALUE(RIGHT(INDEX(Dataset3_Raw!$B$2:$B$391,$E684),4)),VALUE(MID(INDEX(Dataset3_Raw!$B$2:$B$391,$E684),4,2)),VALUE(LEFT(INDEX(Dataset3_Raw!$B$2:$B$391,$E684),2))))</f>
        <v>40574</v>
      </c>
      <c r="G684" s="23">
        <f>IF($C684&gt;0,INDEX(Merge_1_2!$C$2:$C$611,$C684),INDEX(Dataset3_Raw!$C$2:$C$391,$E684))</f>
        <v>1</v>
      </c>
      <c r="H684" s="23">
        <f>IF($C684&gt;0,INDEX(Merge_1_2!$D$2:$D$611,$C684),INDEX(Dataset3_Raw!$D$2:$D$391,$E684))</f>
        <v>0</v>
      </c>
      <c r="I684" s="23">
        <f>IF($C684&gt;0,INDEX(Merge_1_2!$E$2:$E$611,$C684),INDEX(Dataset3_Raw!$E$2:$E$391,$E684))</f>
        <v>1</v>
      </c>
      <c r="J684" s="23">
        <f>IF($C684&gt;0,INDEX(Merge_1_2!$F$2:$F$611,$C684),INDEX(Dataset3_Raw!$F$2:$F$391,$E684))</f>
        <v>18</v>
      </c>
      <c r="K684" s="23" t="b">
        <f>IF($C684&gt;0,INDEX(Merge_1_2!$G$2:$G$611,$C684),INDEX(Dataset3_Raw!$G$2:$G$391,$E684))</f>
        <v>0</v>
      </c>
      <c r="L684" s="23">
        <f>IF($C684&gt;0,INDEX(Merge_1_2!$H$2:$H$611,$C684),INDEX(Dataset3_Raw!$H$2:$H$391,$E684))</f>
        <v>1</v>
      </c>
      <c r="M684" s="23">
        <f>IF($C684&gt;0,INDEX(Merge_1_2!$I$2:$I$611,$C684),INDEX(Dataset3_Raw!$I$2:$I$391,$E684))</f>
        <v>2</v>
      </c>
      <c r="N684" s="25">
        <f>IF($C684&gt;0,INDEX(Merge_1_2!$J$2:$J$611,$C684),INDEX(Dataset3_Raw!$J$2:$J$391,$E684))</f>
        <v>0.16</v>
      </c>
      <c r="O684" s="25">
        <f>IF($C684&gt;0,IF(ISNUMBER(INDEX(Merge_1_2!$K$2:$K$611,$C684)),INDEX(Merge_1_2!$K$2:$K$611,$C684),""),INDEX(Dataset3_Raw!$K$2:$K$391,$E684))</f>
        <v>0.1515</v>
      </c>
      <c r="P684" s="25">
        <f>IF(ISNUMBER($O684),$O684,ROUND(Lookups!$B$25+Lookups!$B$24*$N684,4))</f>
        <v>0.1515</v>
      </c>
      <c r="Q684" s="25">
        <f>IF($C684&gt;0,INDEX(Merge_1_2!$L$2:$L$611,$C684),INDEX(Dataset3_Raw!$L$2:$L$391,$E684))</f>
        <v>0.55000000000000004</v>
      </c>
      <c r="R684" s="25">
        <f>IF($C684&gt;0,INDEX(Merge_1_2!$M$2:$M$611,$C684),INDEX(Dataset3_Raw!$M$2:$M$391,$E684))</f>
        <v>0.22389999999999999</v>
      </c>
      <c r="S684" s="23">
        <f>IF($C684&gt;0,INDEX(Merge_1_2!$N$2:$N$611,$C684),INDEX(Dataset3_Raw!$N$2:$N$391,$E684))</f>
        <v>3</v>
      </c>
      <c r="T684" s="23">
        <f>IF($C684&gt;0,INDEX(Merge_1_2!$O$2:$O$611,$C684),INDEX(Dataset3_Raw!$O$2:$O$391,$E684))</f>
        <v>153</v>
      </c>
      <c r="U684" s="23">
        <f>IF($C684&gt;0,INDEX(Merge_1_2!$P$2:$P$611,$C684),INDEX(Dataset3_Raw!$P$2:$P$391,$E684))</f>
        <v>156</v>
      </c>
      <c r="V684" s="23" t="str">
        <f t="shared" si="61"/>
        <v>Weekday</v>
      </c>
      <c r="W684" s="23" t="str">
        <f>VLOOKUP($M684,Lookups!$A$5:$B$8,2,FALSE())</f>
        <v>Mist / Cloudy</v>
      </c>
      <c r="X684" s="23" t="str">
        <f>VLOOKUP($G684,Lookups!$D$5:$E$8,2,FALSE())</f>
        <v>Winter</v>
      </c>
      <c r="Y684" s="23" t="str">
        <f>VLOOKUP($L684,Lookups!$G$5:$H$11,2,FALSE())</f>
        <v>Monday</v>
      </c>
      <c r="Z684" s="23" t="str">
        <f>IF($J684&lt;Lookups!$B$26,"Night",IF($J684&lt;Lookups!$B$27,"Morning",IF($J684&lt;Lookups!$B$28,"Afternoon","Evening")))</f>
        <v>Evening</v>
      </c>
      <c r="AA684" s="26">
        <f>ROUND($N684*(Lookups!$B$16-Lookups!$B$15)+Lookups!$B$15,1)</f>
        <v>-0.5</v>
      </c>
      <c r="AB684" s="26">
        <f>ROUND($P684*(Lookups!$B$18-Lookups!$B$17)+Lookups!$B$17,1)</f>
        <v>-6</v>
      </c>
      <c r="AC684" s="23">
        <f t="shared" si="62"/>
        <v>55</v>
      </c>
      <c r="AD684" s="23">
        <f>ROUND($R684*Lookups!$B$19,1)</f>
        <v>15</v>
      </c>
      <c r="AE684" s="27">
        <f t="shared" si="63"/>
        <v>0.98076923076923073</v>
      </c>
      <c r="AF684" s="23" t="str">
        <f>IF($U684&gt;=Lookups!$B$23,"High",IF($U684&gt;=Lookups!$B$22,"Medium","Low"))</f>
        <v>High</v>
      </c>
      <c r="AG684" s="23">
        <f>ROUND(IF($V684="Weekday",IF(INDEX(Hourly_Analysis!$D$5:$D$28,$J684+1)&gt;0,($U684-INDEX(Hourly_Analysis!$C$5:$C$28,$J684+1))/INDEX(Hourly_Analysis!$D$5:$D$28,$J684+1),0),IF(INDEX(Hourly_Analysis!$G$5:$G$28,$J684+1)&gt;0,($U684-INDEX(Hourly_Analysis!$F$5:$F$28,$J684+1))/INDEX(Hourly_Analysis!$G$5:$G$28,$J684+1),0)),2)</f>
        <v>0.1</v>
      </c>
      <c r="AH684" s="23" t="str">
        <f>IF(ABS($AG684)&gt;Lookups!$B$20,IF($AG684&gt;0,"High anomaly","Low anomaly"),"")</f>
        <v/>
      </c>
      <c r="AI684" s="23" t="str">
        <f t="shared" si="64"/>
        <v>OK</v>
      </c>
      <c r="AJ684" s="23" t="str">
        <f t="shared" si="65"/>
        <v>No</v>
      </c>
    </row>
    <row r="685" spans="1:36" x14ac:dyDescent="0.35">
      <c r="A685" s="23">
        <v>684</v>
      </c>
      <c r="B685" s="23" t="str">
        <f t="shared" si="60"/>
        <v>Dataset 3</v>
      </c>
      <c r="C685" s="23">
        <f>IFERROR(MATCH($A685,Merge_1_2!$A$2:$A$611,0),0)</f>
        <v>0</v>
      </c>
      <c r="D685" s="23">
        <f>IF($C685&gt;0,INDEX(Merge_1_2!$Q$2:$Q$611,$C685),0)</f>
        <v>0</v>
      </c>
      <c r="E685" s="23">
        <f>IFERROR(MATCH($A685,Dataset3_Raw!$A$2:$A$391,0),0)</f>
        <v>74</v>
      </c>
      <c r="F685" s="24">
        <f>IF($C685&gt;0,INDEX(Merge_1_2!$B$2:$B$611,$C685),DATE(VALUE(RIGHT(INDEX(Dataset3_Raw!$B$2:$B$391,$E685),4)),VALUE(MID(INDEX(Dataset3_Raw!$B$2:$B$391,$E685),4,2)),VALUE(LEFT(INDEX(Dataset3_Raw!$B$2:$B$391,$E685),2))))</f>
        <v>40574</v>
      </c>
      <c r="G685" s="23">
        <f>IF($C685&gt;0,INDEX(Merge_1_2!$C$2:$C$611,$C685),INDEX(Dataset3_Raw!$C$2:$C$391,$E685))</f>
        <v>1</v>
      </c>
      <c r="H685" s="23">
        <f>IF($C685&gt;0,INDEX(Merge_1_2!$D$2:$D$611,$C685),INDEX(Dataset3_Raw!$D$2:$D$391,$E685))</f>
        <v>0</v>
      </c>
      <c r="I685" s="23">
        <f>IF($C685&gt;0,INDEX(Merge_1_2!$E$2:$E$611,$C685),INDEX(Dataset3_Raw!$E$2:$E$391,$E685))</f>
        <v>1</v>
      </c>
      <c r="J685" s="23">
        <f>IF($C685&gt;0,INDEX(Merge_1_2!$F$2:$F$611,$C685),INDEX(Dataset3_Raw!$F$2:$F$391,$E685))</f>
        <v>19</v>
      </c>
      <c r="K685" s="23" t="b">
        <f>IF($C685&gt;0,INDEX(Merge_1_2!$G$2:$G$611,$C685),INDEX(Dataset3_Raw!$G$2:$G$391,$E685))</f>
        <v>0</v>
      </c>
      <c r="L685" s="23">
        <f>IF($C685&gt;0,INDEX(Merge_1_2!$H$2:$H$611,$C685),INDEX(Dataset3_Raw!$H$2:$H$391,$E685))</f>
        <v>1</v>
      </c>
      <c r="M685" s="23">
        <f>IF($C685&gt;0,INDEX(Merge_1_2!$I$2:$I$611,$C685),INDEX(Dataset3_Raw!$I$2:$I$391,$E685))</f>
        <v>1</v>
      </c>
      <c r="N685" s="25">
        <f>IF($C685&gt;0,INDEX(Merge_1_2!$J$2:$J$611,$C685),INDEX(Dataset3_Raw!$J$2:$J$391,$E685))</f>
        <v>0.3</v>
      </c>
      <c r="O685" s="25">
        <f>IF($C685&gt;0,IF(ISNUMBER(INDEX(Merge_1_2!$K$2:$K$611,$C685)),INDEX(Merge_1_2!$K$2:$K$611,$C685),""),INDEX(Dataset3_Raw!$K$2:$K$391,$E685))</f>
        <v>0.31819999999999998</v>
      </c>
      <c r="P685" s="25">
        <f>IF(ISNUMBER($O685),$O685,ROUND(Lookups!$B$25+Lookups!$B$24*$N685,4))</f>
        <v>0.31819999999999998</v>
      </c>
      <c r="Q685" s="25">
        <f>IF($C685&gt;0,INDEX(Merge_1_2!$L$2:$L$611,$C685),INDEX(Dataset3_Raw!$L$2:$L$391,$E685))</f>
        <v>0.61</v>
      </c>
      <c r="R685" s="25">
        <f>IF($C685&gt;0,INDEX(Merge_1_2!$M$2:$M$611,$C685),INDEX(Dataset3_Raw!$M$2:$M$391,$E685))</f>
        <v>0.1045</v>
      </c>
      <c r="S685" s="23">
        <f>IF($C685&gt;0,INDEX(Merge_1_2!$N$2:$N$611,$C685),INDEX(Dataset3_Raw!$N$2:$N$391,$E685))</f>
        <v>3</v>
      </c>
      <c r="T685" s="23">
        <f>IF($C685&gt;0,INDEX(Merge_1_2!$O$2:$O$611,$C685),INDEX(Dataset3_Raw!$O$2:$O$391,$E685))</f>
        <v>108</v>
      </c>
      <c r="U685" s="23">
        <f>IF($C685&gt;0,INDEX(Merge_1_2!$P$2:$P$611,$C685),INDEX(Dataset3_Raw!$P$2:$P$391,$E685))</f>
        <v>111</v>
      </c>
      <c r="V685" s="23" t="str">
        <f t="shared" si="61"/>
        <v>Weekday</v>
      </c>
      <c r="W685" s="23" t="str">
        <f>VLOOKUP($M685,Lookups!$A$5:$B$8,2,FALSE())</f>
        <v>Clear / Partly cloudy</v>
      </c>
      <c r="X685" s="23" t="str">
        <f>VLOOKUP($G685,Lookups!$D$5:$E$8,2,FALSE())</f>
        <v>Winter</v>
      </c>
      <c r="Y685" s="23" t="str">
        <f>VLOOKUP($L685,Lookups!$G$5:$H$11,2,FALSE())</f>
        <v>Monday</v>
      </c>
      <c r="Z685" s="23" t="str">
        <f>IF($J685&lt;Lookups!$B$26,"Night",IF($J685&lt;Lookups!$B$27,"Morning",IF($J685&lt;Lookups!$B$28,"Afternoon","Evening")))</f>
        <v>Evening</v>
      </c>
      <c r="AA685" s="26">
        <f>ROUND($N685*(Lookups!$B$16-Lookups!$B$15)+Lookups!$B$15,1)</f>
        <v>6.1</v>
      </c>
      <c r="AB685" s="26">
        <f>ROUND($P685*(Lookups!$B$18-Lookups!$B$17)+Lookups!$B$17,1)</f>
        <v>5</v>
      </c>
      <c r="AC685" s="23">
        <f t="shared" si="62"/>
        <v>61</v>
      </c>
      <c r="AD685" s="23">
        <f>ROUND($R685*Lookups!$B$19,1)</f>
        <v>7</v>
      </c>
      <c r="AE685" s="27">
        <f t="shared" si="63"/>
        <v>0.97297297297297303</v>
      </c>
      <c r="AF685" s="23" t="str">
        <f>IF($U685&gt;=Lookups!$B$23,"High",IF($U685&gt;=Lookups!$B$22,"Medium","Low"))</f>
        <v>High</v>
      </c>
      <c r="AG685" s="23">
        <f>ROUND(IF($V685="Weekday",IF(INDEX(Hourly_Analysis!$D$5:$D$28,$J685+1)&gt;0,($U685-INDEX(Hourly_Analysis!$C$5:$C$28,$J685+1))/INDEX(Hourly_Analysis!$D$5:$D$28,$J685+1),0),IF(INDEX(Hourly_Analysis!$G$5:$G$28,$J685+1)&gt;0,($U685-INDEX(Hourly_Analysis!$F$5:$F$28,$J685+1))/INDEX(Hourly_Analysis!$G$5:$G$28,$J685+1),0)),2)</f>
        <v>0.37</v>
      </c>
      <c r="AH685" s="23" t="str">
        <f>IF(ABS($AG685)&gt;Lookups!$B$20,IF($AG685&gt;0,"High anomaly","Low anomaly"),"")</f>
        <v/>
      </c>
      <c r="AI685" s="23" t="str">
        <f t="shared" si="64"/>
        <v>OK</v>
      </c>
      <c r="AJ685" s="23" t="str">
        <f t="shared" si="65"/>
        <v>No</v>
      </c>
    </row>
    <row r="686" spans="1:36" x14ac:dyDescent="0.35">
      <c r="A686" s="23">
        <v>685</v>
      </c>
      <c r="B686" s="23" t="str">
        <f t="shared" si="60"/>
        <v>Dataset 3</v>
      </c>
      <c r="C686" s="23">
        <f>IFERROR(MATCH($A686,Merge_1_2!$A$2:$A$611,0),0)</f>
        <v>0</v>
      </c>
      <c r="D686" s="23">
        <f>IF($C686&gt;0,INDEX(Merge_1_2!$Q$2:$Q$611,$C686),0)</f>
        <v>0</v>
      </c>
      <c r="E686" s="23">
        <f>IFERROR(MATCH($A686,Dataset3_Raw!$A$2:$A$391,0),0)</f>
        <v>75</v>
      </c>
      <c r="F686" s="24">
        <f>IF($C686&gt;0,INDEX(Merge_1_2!$B$2:$B$611,$C686),DATE(VALUE(RIGHT(INDEX(Dataset3_Raw!$B$2:$B$391,$E686),4)),VALUE(MID(INDEX(Dataset3_Raw!$B$2:$B$391,$E686),4,2)),VALUE(LEFT(INDEX(Dataset3_Raw!$B$2:$B$391,$E686),2))))</f>
        <v>40574</v>
      </c>
      <c r="G686" s="23">
        <f>IF($C686&gt;0,INDEX(Merge_1_2!$C$2:$C$611,$C686),INDEX(Dataset3_Raw!$C$2:$C$391,$E686))</f>
        <v>1</v>
      </c>
      <c r="H686" s="23">
        <f>IF($C686&gt;0,INDEX(Merge_1_2!$D$2:$D$611,$C686),INDEX(Dataset3_Raw!$D$2:$D$391,$E686))</f>
        <v>0</v>
      </c>
      <c r="I686" s="23">
        <f>IF($C686&gt;0,INDEX(Merge_1_2!$E$2:$E$611,$C686),INDEX(Dataset3_Raw!$E$2:$E$391,$E686))</f>
        <v>1</v>
      </c>
      <c r="J686" s="23">
        <f>IF($C686&gt;0,INDEX(Merge_1_2!$F$2:$F$611,$C686),INDEX(Dataset3_Raw!$F$2:$F$391,$E686))</f>
        <v>20</v>
      </c>
      <c r="K686" s="23" t="b">
        <f>IF($C686&gt;0,INDEX(Merge_1_2!$G$2:$G$611,$C686),INDEX(Dataset3_Raw!$G$2:$G$391,$E686))</f>
        <v>0</v>
      </c>
      <c r="L686" s="23">
        <f>IF($C686&gt;0,INDEX(Merge_1_2!$H$2:$H$611,$C686),INDEX(Dataset3_Raw!$H$2:$H$391,$E686))</f>
        <v>1</v>
      </c>
      <c r="M686" s="23">
        <f>IF($C686&gt;0,INDEX(Merge_1_2!$I$2:$I$611,$C686),INDEX(Dataset3_Raw!$I$2:$I$391,$E686))</f>
        <v>3</v>
      </c>
      <c r="N686" s="25">
        <f>IF($C686&gt;0,INDEX(Merge_1_2!$J$2:$J$611,$C686),INDEX(Dataset3_Raw!$J$2:$J$391,$E686))</f>
        <v>0.16</v>
      </c>
      <c r="O686" s="25">
        <f>IF($C686&gt;0,IF(ISNUMBER(INDEX(Merge_1_2!$K$2:$K$611,$C686)),INDEX(Merge_1_2!$K$2:$K$611,$C686),""),INDEX(Dataset3_Raw!$K$2:$K$391,$E686))</f>
        <v>0.16669999999999999</v>
      </c>
      <c r="P686" s="25">
        <f>IF(ISNUMBER($O686),$O686,ROUND(Lookups!$B$25+Lookups!$B$24*$N686,4))</f>
        <v>0.16669999999999999</v>
      </c>
      <c r="Q686" s="25">
        <f>IF($C686&gt;0,INDEX(Merge_1_2!$L$2:$L$611,$C686),INDEX(Dataset3_Raw!$L$2:$L$391,$E686))</f>
        <v>0.59</v>
      </c>
      <c r="R686" s="25">
        <f>IF($C686&gt;0,INDEX(Merge_1_2!$M$2:$M$611,$C686),INDEX(Dataset3_Raw!$M$2:$M$391,$E686))</f>
        <v>0.16420000000000001</v>
      </c>
      <c r="S686" s="23">
        <f>IF($C686&gt;0,INDEX(Merge_1_2!$N$2:$N$611,$C686),INDEX(Dataset3_Raw!$N$2:$N$391,$E686))</f>
        <v>0</v>
      </c>
      <c r="T686" s="23">
        <f>IF($C686&gt;0,INDEX(Merge_1_2!$O$2:$O$611,$C686),INDEX(Dataset3_Raw!$O$2:$O$391,$E686))</f>
        <v>78</v>
      </c>
      <c r="U686" s="23">
        <f>IF($C686&gt;0,INDEX(Merge_1_2!$P$2:$P$611,$C686),INDEX(Dataset3_Raw!$P$2:$P$391,$E686))</f>
        <v>78</v>
      </c>
      <c r="V686" s="23" t="str">
        <f t="shared" si="61"/>
        <v>Weekday</v>
      </c>
      <c r="W686" s="23" t="str">
        <f>VLOOKUP($M686,Lookups!$A$5:$B$8,2,FALSE())</f>
        <v>Light snow / Light rain</v>
      </c>
      <c r="X686" s="23" t="str">
        <f>VLOOKUP($G686,Lookups!$D$5:$E$8,2,FALSE())</f>
        <v>Winter</v>
      </c>
      <c r="Y686" s="23" t="str">
        <f>VLOOKUP($L686,Lookups!$G$5:$H$11,2,FALSE())</f>
        <v>Monday</v>
      </c>
      <c r="Z686" s="23" t="str">
        <f>IF($J686&lt;Lookups!$B$26,"Night",IF($J686&lt;Lookups!$B$27,"Morning",IF($J686&lt;Lookups!$B$28,"Afternoon","Evening")))</f>
        <v>Evening</v>
      </c>
      <c r="AA686" s="26">
        <f>ROUND($N686*(Lookups!$B$16-Lookups!$B$15)+Lookups!$B$15,1)</f>
        <v>-0.5</v>
      </c>
      <c r="AB686" s="26">
        <f>ROUND($P686*(Lookups!$B$18-Lookups!$B$17)+Lookups!$B$17,1)</f>
        <v>-5</v>
      </c>
      <c r="AC686" s="23">
        <f t="shared" si="62"/>
        <v>59</v>
      </c>
      <c r="AD686" s="23">
        <f>ROUND($R686*Lookups!$B$19,1)</f>
        <v>11</v>
      </c>
      <c r="AE686" s="27">
        <f t="shared" si="63"/>
        <v>1</v>
      </c>
      <c r="AF686" s="23" t="str">
        <f>IF($U686&gt;=Lookups!$B$23,"High",IF($U686&gt;=Lookups!$B$22,"Medium","Low"))</f>
        <v>Medium</v>
      </c>
      <c r="AG686" s="23">
        <f>ROUND(IF($V686="Weekday",IF(INDEX(Hourly_Analysis!$D$5:$D$28,$J686+1)&gt;0,($U686-INDEX(Hourly_Analysis!$C$5:$C$28,$J686+1))/INDEX(Hourly_Analysis!$D$5:$D$28,$J686+1),0),IF(INDEX(Hourly_Analysis!$G$5:$G$28,$J686+1)&gt;0,($U686-INDEX(Hourly_Analysis!$F$5:$F$28,$J686+1))/INDEX(Hourly_Analysis!$G$5:$G$28,$J686+1),0)),2)</f>
        <v>0.2</v>
      </c>
      <c r="AH686" s="23" t="str">
        <f>IF(ABS($AG686)&gt;Lookups!$B$20,IF($AG686&gt;0,"High anomaly","Low anomaly"),"")</f>
        <v/>
      </c>
      <c r="AI686" s="23" t="str">
        <f t="shared" si="64"/>
        <v>OK</v>
      </c>
      <c r="AJ686" s="23" t="str">
        <f t="shared" si="65"/>
        <v>No</v>
      </c>
    </row>
    <row r="687" spans="1:36" x14ac:dyDescent="0.35">
      <c r="A687" s="23">
        <v>686</v>
      </c>
      <c r="B687" s="23" t="str">
        <f t="shared" si="60"/>
        <v>Dataset 3</v>
      </c>
      <c r="C687" s="23">
        <f>IFERROR(MATCH($A687,Merge_1_2!$A$2:$A$611,0),0)</f>
        <v>0</v>
      </c>
      <c r="D687" s="23">
        <f>IF($C687&gt;0,INDEX(Merge_1_2!$Q$2:$Q$611,$C687),0)</f>
        <v>0</v>
      </c>
      <c r="E687" s="23">
        <f>IFERROR(MATCH($A687,Dataset3_Raw!$A$2:$A$391,0),0)</f>
        <v>76</v>
      </c>
      <c r="F687" s="24">
        <f>IF($C687&gt;0,INDEX(Merge_1_2!$B$2:$B$611,$C687),DATE(VALUE(RIGHT(INDEX(Dataset3_Raw!$B$2:$B$391,$E687),4)),VALUE(MID(INDEX(Dataset3_Raw!$B$2:$B$391,$E687),4,2)),VALUE(LEFT(INDEX(Dataset3_Raw!$B$2:$B$391,$E687),2))))</f>
        <v>40574</v>
      </c>
      <c r="G687" s="23">
        <f>IF($C687&gt;0,INDEX(Merge_1_2!$C$2:$C$611,$C687),INDEX(Dataset3_Raw!$C$2:$C$391,$E687))</f>
        <v>1</v>
      </c>
      <c r="H687" s="23">
        <f>IF($C687&gt;0,INDEX(Merge_1_2!$D$2:$D$611,$C687),INDEX(Dataset3_Raw!$D$2:$D$391,$E687))</f>
        <v>0</v>
      </c>
      <c r="I687" s="23">
        <f>IF($C687&gt;0,INDEX(Merge_1_2!$E$2:$E$611,$C687),INDEX(Dataset3_Raw!$E$2:$E$391,$E687))</f>
        <v>1</v>
      </c>
      <c r="J687" s="23">
        <f>IF($C687&gt;0,INDEX(Merge_1_2!$F$2:$F$611,$C687),INDEX(Dataset3_Raw!$F$2:$F$391,$E687))</f>
        <v>21</v>
      </c>
      <c r="K687" s="23" t="b">
        <f>IF($C687&gt;0,INDEX(Merge_1_2!$G$2:$G$611,$C687),INDEX(Dataset3_Raw!$G$2:$G$391,$E687))</f>
        <v>0</v>
      </c>
      <c r="L687" s="23">
        <f>IF($C687&gt;0,INDEX(Merge_1_2!$H$2:$H$611,$C687),INDEX(Dataset3_Raw!$H$2:$H$391,$E687))</f>
        <v>1</v>
      </c>
      <c r="M687" s="23">
        <f>IF($C687&gt;0,INDEX(Merge_1_2!$I$2:$I$611,$C687),INDEX(Dataset3_Raw!$I$2:$I$391,$E687))</f>
        <v>3</v>
      </c>
      <c r="N687" s="25">
        <f>IF($C687&gt;0,INDEX(Merge_1_2!$J$2:$J$611,$C687),INDEX(Dataset3_Raw!$J$2:$J$391,$E687))</f>
        <v>0.16</v>
      </c>
      <c r="O687" s="25">
        <f>IF($C687&gt;0,IF(ISNUMBER(INDEX(Merge_1_2!$K$2:$K$611,$C687)),INDEX(Merge_1_2!$K$2:$K$611,$C687),""),INDEX(Dataset3_Raw!$K$2:$K$391,$E687))</f>
        <v>0.19700000000000001</v>
      </c>
      <c r="P687" s="25">
        <f>IF(ISNUMBER($O687),$O687,ROUND(Lookups!$B$25+Lookups!$B$24*$N687,4))</f>
        <v>0.19700000000000001</v>
      </c>
      <c r="Q687" s="25">
        <f>IF($C687&gt;0,INDEX(Merge_1_2!$L$2:$L$611,$C687),INDEX(Dataset3_Raw!$L$2:$L$391,$E687))</f>
        <v>0.59</v>
      </c>
      <c r="R687" s="25">
        <f>IF($C687&gt;0,INDEX(Merge_1_2!$M$2:$M$611,$C687),INDEX(Dataset3_Raw!$M$2:$M$391,$E687))</f>
        <v>8.9599999999999999E-2</v>
      </c>
      <c r="S687" s="23">
        <f>IF($C687&gt;0,INDEX(Merge_1_2!$N$2:$N$611,$C687),INDEX(Dataset3_Raw!$N$2:$N$391,$E687))</f>
        <v>3</v>
      </c>
      <c r="T687" s="23">
        <f>IF($C687&gt;0,INDEX(Merge_1_2!$O$2:$O$611,$C687),INDEX(Dataset3_Raw!$O$2:$O$391,$E687))</f>
        <v>53</v>
      </c>
      <c r="U687" s="23">
        <f>IF($C687&gt;0,INDEX(Merge_1_2!$P$2:$P$611,$C687),INDEX(Dataset3_Raw!$P$2:$P$391,$E687))</f>
        <v>56</v>
      </c>
      <c r="V687" s="23" t="str">
        <f t="shared" si="61"/>
        <v>Weekday</v>
      </c>
      <c r="W687" s="23" t="str">
        <f>VLOOKUP($M687,Lookups!$A$5:$B$8,2,FALSE())</f>
        <v>Light snow / Light rain</v>
      </c>
      <c r="X687" s="23" t="str">
        <f>VLOOKUP($G687,Lookups!$D$5:$E$8,2,FALSE())</f>
        <v>Winter</v>
      </c>
      <c r="Y687" s="23" t="str">
        <f>VLOOKUP($L687,Lookups!$G$5:$H$11,2,FALSE())</f>
        <v>Monday</v>
      </c>
      <c r="Z687" s="23" t="str">
        <f>IF($J687&lt;Lookups!$B$26,"Night",IF($J687&lt;Lookups!$B$27,"Morning",IF($J687&lt;Lookups!$B$28,"Afternoon","Evening")))</f>
        <v>Evening</v>
      </c>
      <c r="AA687" s="26">
        <f>ROUND($N687*(Lookups!$B$16-Lookups!$B$15)+Lookups!$B$15,1)</f>
        <v>-0.5</v>
      </c>
      <c r="AB687" s="26">
        <f>ROUND($P687*(Lookups!$B$18-Lookups!$B$17)+Lookups!$B$17,1)</f>
        <v>-3</v>
      </c>
      <c r="AC687" s="23">
        <f t="shared" si="62"/>
        <v>59</v>
      </c>
      <c r="AD687" s="23">
        <f>ROUND($R687*Lookups!$B$19,1)</f>
        <v>6</v>
      </c>
      <c r="AE687" s="27">
        <f t="shared" si="63"/>
        <v>0.9464285714285714</v>
      </c>
      <c r="AF687" s="23" t="str">
        <f>IF($U687&gt;=Lookups!$B$23,"High",IF($U687&gt;=Lookups!$B$22,"Medium","Low"))</f>
        <v>Medium</v>
      </c>
      <c r="AG687" s="23">
        <f>ROUND(IF($V687="Weekday",IF(INDEX(Hourly_Analysis!$D$5:$D$28,$J687+1)&gt;0,($U687-INDEX(Hourly_Analysis!$C$5:$C$28,$J687+1))/INDEX(Hourly_Analysis!$D$5:$D$28,$J687+1),0),IF(INDEX(Hourly_Analysis!$G$5:$G$28,$J687+1)&gt;0,($U687-INDEX(Hourly_Analysis!$F$5:$F$28,$J687+1))/INDEX(Hourly_Analysis!$G$5:$G$28,$J687+1),0)),2)</f>
        <v>0.32</v>
      </c>
      <c r="AH687" s="23" t="str">
        <f>IF(ABS($AG687)&gt;Lookups!$B$20,IF($AG687&gt;0,"High anomaly","Low anomaly"),"")</f>
        <v/>
      </c>
      <c r="AI687" s="23" t="str">
        <f t="shared" si="64"/>
        <v>OK</v>
      </c>
      <c r="AJ687" s="23" t="str">
        <f t="shared" si="65"/>
        <v>No</v>
      </c>
    </row>
    <row r="688" spans="1:36" x14ac:dyDescent="0.35">
      <c r="A688" s="23">
        <v>687</v>
      </c>
      <c r="B688" s="23" t="str">
        <f t="shared" si="60"/>
        <v>Dataset 3</v>
      </c>
      <c r="C688" s="23">
        <f>IFERROR(MATCH($A688,Merge_1_2!$A$2:$A$611,0),0)</f>
        <v>0</v>
      </c>
      <c r="D688" s="23">
        <f>IF($C688&gt;0,INDEX(Merge_1_2!$Q$2:$Q$611,$C688),0)</f>
        <v>0</v>
      </c>
      <c r="E688" s="23">
        <f>IFERROR(MATCH($A688,Dataset3_Raw!$A$2:$A$391,0),0)</f>
        <v>77</v>
      </c>
      <c r="F688" s="24">
        <f>IF($C688&gt;0,INDEX(Merge_1_2!$B$2:$B$611,$C688),DATE(VALUE(RIGHT(INDEX(Dataset3_Raw!$B$2:$B$391,$E688),4)),VALUE(MID(INDEX(Dataset3_Raw!$B$2:$B$391,$E688),4,2)),VALUE(LEFT(INDEX(Dataset3_Raw!$B$2:$B$391,$E688),2))))</f>
        <v>40574</v>
      </c>
      <c r="G688" s="23">
        <f>IF($C688&gt;0,INDEX(Merge_1_2!$C$2:$C$611,$C688),INDEX(Dataset3_Raw!$C$2:$C$391,$E688))</f>
        <v>1</v>
      </c>
      <c r="H688" s="23">
        <f>IF($C688&gt;0,INDEX(Merge_1_2!$D$2:$D$611,$C688),INDEX(Dataset3_Raw!$D$2:$D$391,$E688))</f>
        <v>0</v>
      </c>
      <c r="I688" s="23">
        <f>IF($C688&gt;0,INDEX(Merge_1_2!$E$2:$E$611,$C688),INDEX(Dataset3_Raw!$E$2:$E$391,$E688))</f>
        <v>1</v>
      </c>
      <c r="J688" s="23">
        <f>IF($C688&gt;0,INDEX(Merge_1_2!$F$2:$F$611,$C688),INDEX(Dataset3_Raw!$F$2:$F$391,$E688))</f>
        <v>22</v>
      </c>
      <c r="K688" s="23" t="b">
        <f>IF($C688&gt;0,INDEX(Merge_1_2!$G$2:$G$611,$C688),INDEX(Dataset3_Raw!$G$2:$G$391,$E688))</f>
        <v>0</v>
      </c>
      <c r="L688" s="23">
        <f>IF($C688&gt;0,INDEX(Merge_1_2!$H$2:$H$611,$C688),INDEX(Dataset3_Raw!$H$2:$H$391,$E688))</f>
        <v>1</v>
      </c>
      <c r="M688" s="23">
        <f>IF($C688&gt;0,INDEX(Merge_1_2!$I$2:$I$611,$C688),INDEX(Dataset3_Raw!$I$2:$I$391,$E688))</f>
        <v>2</v>
      </c>
      <c r="N688" s="25">
        <f>IF($C688&gt;0,INDEX(Merge_1_2!$J$2:$J$611,$C688),INDEX(Dataset3_Raw!$J$2:$J$391,$E688))</f>
        <v>0.16</v>
      </c>
      <c r="O688" s="25">
        <f>IF($C688&gt;0,IF(ISNUMBER(INDEX(Merge_1_2!$K$2:$K$611,$C688)),INDEX(Merge_1_2!$K$2:$K$611,$C688),""),INDEX(Dataset3_Raw!$K$2:$K$391,$E688))</f>
        <v>0.18179999999999999</v>
      </c>
      <c r="P688" s="25">
        <f>IF(ISNUMBER($O688),$O688,ROUND(Lookups!$B$25+Lookups!$B$24*$N688,4))</f>
        <v>0.18179999999999999</v>
      </c>
      <c r="Q688" s="25">
        <f>IF($C688&gt;0,INDEX(Merge_1_2!$L$2:$L$611,$C688),INDEX(Dataset3_Raw!$L$2:$L$391,$E688))</f>
        <v>0.59</v>
      </c>
      <c r="R688" s="25">
        <f>IF($C688&gt;0,INDEX(Merge_1_2!$M$2:$M$611,$C688),INDEX(Dataset3_Raw!$M$2:$M$391,$E688))</f>
        <v>0.1045</v>
      </c>
      <c r="S688" s="23">
        <f>IF($C688&gt;0,INDEX(Merge_1_2!$N$2:$N$611,$C688),INDEX(Dataset3_Raw!$N$2:$N$391,$E688))</f>
        <v>0</v>
      </c>
      <c r="T688" s="23">
        <f>IF($C688&gt;0,INDEX(Merge_1_2!$O$2:$O$611,$C688),INDEX(Dataset3_Raw!$O$2:$O$391,$E688))</f>
        <v>34</v>
      </c>
      <c r="U688" s="23">
        <f>IF($C688&gt;0,INDEX(Merge_1_2!$P$2:$P$611,$C688),INDEX(Dataset3_Raw!$P$2:$P$391,$E688))</f>
        <v>34</v>
      </c>
      <c r="V688" s="23" t="str">
        <f t="shared" si="61"/>
        <v>Weekday</v>
      </c>
      <c r="W688" s="23" t="str">
        <f>VLOOKUP($M688,Lookups!$A$5:$B$8,2,FALSE())</f>
        <v>Mist / Cloudy</v>
      </c>
      <c r="X688" s="23" t="str">
        <f>VLOOKUP($G688,Lookups!$D$5:$E$8,2,FALSE())</f>
        <v>Winter</v>
      </c>
      <c r="Y688" s="23" t="str">
        <f>VLOOKUP($L688,Lookups!$G$5:$H$11,2,FALSE())</f>
        <v>Monday</v>
      </c>
      <c r="Z688" s="23" t="str">
        <f>IF($J688&lt;Lookups!$B$26,"Night",IF($J688&lt;Lookups!$B$27,"Morning",IF($J688&lt;Lookups!$B$28,"Afternoon","Evening")))</f>
        <v>Evening</v>
      </c>
      <c r="AA688" s="26">
        <f>ROUND($N688*(Lookups!$B$16-Lookups!$B$15)+Lookups!$B$15,1)</f>
        <v>-0.5</v>
      </c>
      <c r="AB688" s="26">
        <f>ROUND($P688*(Lookups!$B$18-Lookups!$B$17)+Lookups!$B$17,1)</f>
        <v>-4</v>
      </c>
      <c r="AC688" s="23">
        <f t="shared" si="62"/>
        <v>59</v>
      </c>
      <c r="AD688" s="23">
        <f>ROUND($R688*Lookups!$B$19,1)</f>
        <v>7</v>
      </c>
      <c r="AE688" s="27">
        <f t="shared" si="63"/>
        <v>1</v>
      </c>
      <c r="AF688" s="23" t="str">
        <f>IF($U688&gt;=Lookups!$B$23,"High",IF($U688&gt;=Lookups!$B$22,"Medium","Low"))</f>
        <v>Medium</v>
      </c>
      <c r="AG688" s="23">
        <f>ROUND(IF($V688="Weekday",IF(INDEX(Hourly_Analysis!$D$5:$D$28,$J688+1)&gt;0,($U688-INDEX(Hourly_Analysis!$C$5:$C$28,$J688+1))/INDEX(Hourly_Analysis!$D$5:$D$28,$J688+1),0),IF(INDEX(Hourly_Analysis!$G$5:$G$28,$J688+1)&gt;0,($U688-INDEX(Hourly_Analysis!$F$5:$F$28,$J688+1))/INDEX(Hourly_Analysis!$G$5:$G$28,$J688+1),0)),2)</f>
        <v>-0.4</v>
      </c>
      <c r="AH688" s="23" t="str">
        <f>IF(ABS($AG688)&gt;Lookups!$B$20,IF($AG688&gt;0,"High anomaly","Low anomaly"),"")</f>
        <v/>
      </c>
      <c r="AI688" s="23" t="str">
        <f t="shared" si="64"/>
        <v>OK</v>
      </c>
      <c r="AJ688" s="23" t="str">
        <f t="shared" si="65"/>
        <v>No</v>
      </c>
    </row>
    <row r="689" spans="1:36" x14ac:dyDescent="0.35">
      <c r="A689" s="23">
        <v>688</v>
      </c>
      <c r="B689" s="23" t="str">
        <f t="shared" si="60"/>
        <v>Dataset 3</v>
      </c>
      <c r="C689" s="23">
        <f>IFERROR(MATCH($A689,Merge_1_2!$A$2:$A$611,0),0)</f>
        <v>0</v>
      </c>
      <c r="D689" s="23">
        <f>IF($C689&gt;0,INDEX(Merge_1_2!$Q$2:$Q$611,$C689),0)</f>
        <v>0</v>
      </c>
      <c r="E689" s="23">
        <f>IFERROR(MATCH($A689,Dataset3_Raw!$A$2:$A$391,0),0)</f>
        <v>78</v>
      </c>
      <c r="F689" s="24">
        <f>IF($C689&gt;0,INDEX(Merge_1_2!$B$2:$B$611,$C689),DATE(VALUE(RIGHT(INDEX(Dataset3_Raw!$B$2:$B$391,$E689),4)),VALUE(MID(INDEX(Dataset3_Raw!$B$2:$B$391,$E689),4,2)),VALUE(LEFT(INDEX(Dataset3_Raw!$B$2:$B$391,$E689),2))))</f>
        <v>40574</v>
      </c>
      <c r="G689" s="23">
        <f>IF($C689&gt;0,INDEX(Merge_1_2!$C$2:$C$611,$C689),INDEX(Dataset3_Raw!$C$2:$C$391,$E689))</f>
        <v>1</v>
      </c>
      <c r="H689" s="23">
        <f>IF($C689&gt;0,INDEX(Merge_1_2!$D$2:$D$611,$C689),INDEX(Dataset3_Raw!$D$2:$D$391,$E689))</f>
        <v>0</v>
      </c>
      <c r="I689" s="23">
        <f>IF($C689&gt;0,INDEX(Merge_1_2!$E$2:$E$611,$C689),INDEX(Dataset3_Raw!$E$2:$E$391,$E689))</f>
        <v>1</v>
      </c>
      <c r="J689" s="23">
        <f>IF($C689&gt;0,INDEX(Merge_1_2!$F$2:$F$611,$C689),INDEX(Dataset3_Raw!$F$2:$F$391,$E689))</f>
        <v>23</v>
      </c>
      <c r="K689" s="23" t="b">
        <f>IF($C689&gt;0,INDEX(Merge_1_2!$G$2:$G$611,$C689),INDEX(Dataset3_Raw!$G$2:$G$391,$E689))</f>
        <v>0</v>
      </c>
      <c r="L689" s="23">
        <f>IF($C689&gt;0,INDEX(Merge_1_2!$H$2:$H$611,$C689),INDEX(Dataset3_Raw!$H$2:$H$391,$E689))</f>
        <v>1</v>
      </c>
      <c r="M689" s="23">
        <f>IF($C689&gt;0,INDEX(Merge_1_2!$I$2:$I$611,$C689),INDEX(Dataset3_Raw!$I$2:$I$391,$E689))</f>
        <v>2</v>
      </c>
      <c r="N689" s="25">
        <f>IF($C689&gt;0,INDEX(Merge_1_2!$J$2:$J$611,$C689),INDEX(Dataset3_Raw!$J$2:$J$391,$E689))</f>
        <v>0.16</v>
      </c>
      <c r="O689" s="25">
        <f>IF($C689&gt;0,IF(ISNUMBER(INDEX(Merge_1_2!$K$2:$K$611,$C689)),INDEX(Merge_1_2!$K$2:$K$611,$C689),""),INDEX(Dataset3_Raw!$K$2:$K$391,$E689))</f>
        <v>0.19700000000000001</v>
      </c>
      <c r="P689" s="25">
        <f>IF(ISNUMBER($O689),$O689,ROUND(Lookups!$B$25+Lookups!$B$24*$N689,4))</f>
        <v>0.19700000000000001</v>
      </c>
      <c r="Q689" s="25">
        <f>IF($C689&gt;0,INDEX(Merge_1_2!$L$2:$L$611,$C689),INDEX(Dataset3_Raw!$L$2:$L$391,$E689))</f>
        <v>0.64</v>
      </c>
      <c r="R689" s="25">
        <f>IF($C689&gt;0,INDEX(Merge_1_2!$M$2:$M$611,$C689),INDEX(Dataset3_Raw!$M$2:$M$391,$E689))</f>
        <v>8.9599999999999999E-2</v>
      </c>
      <c r="S689" s="23">
        <f>IF($C689&gt;0,INDEX(Merge_1_2!$N$2:$N$611,$C689),INDEX(Dataset3_Raw!$N$2:$N$391,$E689))</f>
        <v>2</v>
      </c>
      <c r="T689" s="23">
        <f>IF($C689&gt;0,INDEX(Merge_1_2!$O$2:$O$611,$C689),INDEX(Dataset3_Raw!$O$2:$O$391,$E689))</f>
        <v>15</v>
      </c>
      <c r="U689" s="23">
        <f>IF($C689&gt;0,INDEX(Merge_1_2!$P$2:$P$611,$C689),INDEX(Dataset3_Raw!$P$2:$P$391,$E689))</f>
        <v>17</v>
      </c>
      <c r="V689" s="23" t="str">
        <f t="shared" si="61"/>
        <v>Weekday</v>
      </c>
      <c r="W689" s="23" t="str">
        <f>VLOOKUP($M689,Lookups!$A$5:$B$8,2,FALSE())</f>
        <v>Mist / Cloudy</v>
      </c>
      <c r="X689" s="23" t="str">
        <f>VLOOKUP($G689,Lookups!$D$5:$E$8,2,FALSE())</f>
        <v>Winter</v>
      </c>
      <c r="Y689" s="23" t="str">
        <f>VLOOKUP($L689,Lookups!$G$5:$H$11,2,FALSE())</f>
        <v>Monday</v>
      </c>
      <c r="Z689" s="23" t="str">
        <f>IF($J689&lt;Lookups!$B$26,"Night",IF($J689&lt;Lookups!$B$27,"Morning",IF($J689&lt;Lookups!$B$28,"Afternoon","Evening")))</f>
        <v>Evening</v>
      </c>
      <c r="AA689" s="26">
        <f>ROUND($N689*(Lookups!$B$16-Lookups!$B$15)+Lookups!$B$15,1)</f>
        <v>-0.5</v>
      </c>
      <c r="AB689" s="26">
        <f>ROUND($P689*(Lookups!$B$18-Lookups!$B$17)+Lookups!$B$17,1)</f>
        <v>-3</v>
      </c>
      <c r="AC689" s="23">
        <f t="shared" si="62"/>
        <v>64</v>
      </c>
      <c r="AD689" s="23">
        <f>ROUND($R689*Lookups!$B$19,1)</f>
        <v>6</v>
      </c>
      <c r="AE689" s="27">
        <f t="shared" si="63"/>
        <v>0.88235294117647056</v>
      </c>
      <c r="AF689" s="23" t="str">
        <f>IF($U689&gt;=Lookups!$B$23,"High",IF($U689&gt;=Lookups!$B$22,"Medium","Low"))</f>
        <v>Medium</v>
      </c>
      <c r="AG689" s="23">
        <f>ROUND(IF($V689="Weekday",IF(INDEX(Hourly_Analysis!$D$5:$D$28,$J689+1)&gt;0,($U689-INDEX(Hourly_Analysis!$C$5:$C$28,$J689+1))/INDEX(Hourly_Analysis!$D$5:$D$28,$J689+1),0),IF(INDEX(Hourly_Analysis!$G$5:$G$28,$J689+1)&gt;0,($U689-INDEX(Hourly_Analysis!$F$5:$F$28,$J689+1))/INDEX(Hourly_Analysis!$G$5:$G$28,$J689+1),0)),2)</f>
        <v>-0.74</v>
      </c>
      <c r="AH689" s="23" t="str">
        <f>IF(ABS($AG689)&gt;Lookups!$B$20,IF($AG689&gt;0,"High anomaly","Low anomaly"),"")</f>
        <v/>
      </c>
      <c r="AI689" s="23" t="str">
        <f t="shared" si="64"/>
        <v>OK</v>
      </c>
      <c r="AJ689" s="23" t="str">
        <f t="shared" si="65"/>
        <v>No</v>
      </c>
    </row>
    <row r="690" spans="1:36" x14ac:dyDescent="0.35">
      <c r="A690" s="23">
        <v>689</v>
      </c>
      <c r="B690" s="23" t="str">
        <f t="shared" si="60"/>
        <v>Dataset 3</v>
      </c>
      <c r="C690" s="23">
        <f>IFERROR(MATCH($A690,Merge_1_2!$A$2:$A$611,0),0)</f>
        <v>0</v>
      </c>
      <c r="D690" s="23">
        <f>IF($C690&gt;0,INDEX(Merge_1_2!$Q$2:$Q$611,$C690),0)</f>
        <v>0</v>
      </c>
      <c r="E690" s="23">
        <f>IFERROR(MATCH($A690,Dataset3_Raw!$A$2:$A$391,0),0)</f>
        <v>79</v>
      </c>
      <c r="F690" s="24">
        <f>IF($C690&gt;0,INDEX(Merge_1_2!$B$2:$B$611,$C690),DATE(VALUE(RIGHT(INDEX(Dataset3_Raw!$B$2:$B$391,$E690),4)),VALUE(MID(INDEX(Dataset3_Raw!$B$2:$B$391,$E690),4,2)),VALUE(LEFT(INDEX(Dataset3_Raw!$B$2:$B$391,$E690),2))))</f>
        <v>40575</v>
      </c>
      <c r="G690" s="23">
        <f>IF($C690&gt;0,INDEX(Merge_1_2!$C$2:$C$611,$C690),INDEX(Dataset3_Raw!$C$2:$C$391,$E690))</f>
        <v>1</v>
      </c>
      <c r="H690" s="23">
        <f>IF($C690&gt;0,INDEX(Merge_1_2!$D$2:$D$611,$C690),INDEX(Dataset3_Raw!$D$2:$D$391,$E690))</f>
        <v>0</v>
      </c>
      <c r="I690" s="23">
        <f>IF($C690&gt;0,INDEX(Merge_1_2!$E$2:$E$611,$C690),INDEX(Dataset3_Raw!$E$2:$E$391,$E690))</f>
        <v>2</v>
      </c>
      <c r="J690" s="23">
        <f>IF($C690&gt;0,INDEX(Merge_1_2!$F$2:$F$611,$C690),INDEX(Dataset3_Raw!$F$2:$F$391,$E690))</f>
        <v>0</v>
      </c>
      <c r="K690" s="23" t="b">
        <f>IF($C690&gt;0,INDEX(Merge_1_2!$G$2:$G$611,$C690),INDEX(Dataset3_Raw!$G$2:$G$391,$E690))</f>
        <v>0</v>
      </c>
      <c r="L690" s="23">
        <f>IF($C690&gt;0,INDEX(Merge_1_2!$H$2:$H$611,$C690),INDEX(Dataset3_Raw!$H$2:$H$391,$E690))</f>
        <v>2</v>
      </c>
      <c r="M690" s="23">
        <f>IF($C690&gt;0,INDEX(Merge_1_2!$I$2:$I$611,$C690),INDEX(Dataset3_Raw!$I$2:$I$391,$E690))</f>
        <v>2</v>
      </c>
      <c r="N690" s="25">
        <f>IF($C690&gt;0,INDEX(Merge_1_2!$J$2:$J$611,$C690),INDEX(Dataset3_Raw!$J$2:$J$391,$E690))</f>
        <v>0.16</v>
      </c>
      <c r="O690" s="25">
        <f>IF($C690&gt;0,IF(ISNUMBER(INDEX(Merge_1_2!$K$2:$K$611,$C690)),INDEX(Merge_1_2!$K$2:$K$611,$C690),""),INDEX(Dataset3_Raw!$K$2:$K$391,$E690))</f>
        <v>0.18179999999999999</v>
      </c>
      <c r="P690" s="25">
        <f>IF(ISNUMBER($O690),$O690,ROUND(Lookups!$B$25+Lookups!$B$24*$N690,4))</f>
        <v>0.18179999999999999</v>
      </c>
      <c r="Q690" s="25">
        <f>IF($C690&gt;0,INDEX(Merge_1_2!$L$2:$L$611,$C690),INDEX(Dataset3_Raw!$L$2:$L$391,$E690))</f>
        <v>0.64</v>
      </c>
      <c r="R690" s="25">
        <f>IF($C690&gt;0,INDEX(Merge_1_2!$M$2:$M$611,$C690),INDEX(Dataset3_Raw!$M$2:$M$391,$E690))</f>
        <v>0.1045</v>
      </c>
      <c r="S690" s="23">
        <f>IF($C690&gt;0,INDEX(Merge_1_2!$N$2:$N$611,$C690),INDEX(Dataset3_Raw!$N$2:$N$391,$E690))</f>
        <v>2</v>
      </c>
      <c r="T690" s="23">
        <f>IF($C690&gt;0,INDEX(Merge_1_2!$O$2:$O$611,$C690),INDEX(Dataset3_Raw!$O$2:$O$391,$E690))</f>
        <v>6</v>
      </c>
      <c r="U690" s="23">
        <f>IF($C690&gt;0,INDEX(Merge_1_2!$P$2:$P$611,$C690),INDEX(Dataset3_Raw!$P$2:$P$391,$E690))</f>
        <v>8</v>
      </c>
      <c r="V690" s="23" t="str">
        <f t="shared" si="61"/>
        <v>Weekday</v>
      </c>
      <c r="W690" s="23" t="str">
        <f>VLOOKUP($M690,Lookups!$A$5:$B$8,2,FALSE())</f>
        <v>Mist / Cloudy</v>
      </c>
      <c r="X690" s="23" t="str">
        <f>VLOOKUP($G690,Lookups!$D$5:$E$8,2,FALSE())</f>
        <v>Winter</v>
      </c>
      <c r="Y690" s="23" t="str">
        <f>VLOOKUP($L690,Lookups!$G$5:$H$11,2,FALSE())</f>
        <v>Tuesday</v>
      </c>
      <c r="Z690" s="23" t="str">
        <f>IF($J690&lt;Lookups!$B$26,"Night",IF($J690&lt;Lookups!$B$27,"Morning",IF($J690&lt;Lookups!$B$28,"Afternoon","Evening")))</f>
        <v>Night</v>
      </c>
      <c r="AA690" s="26">
        <f>ROUND($N690*(Lookups!$B$16-Lookups!$B$15)+Lookups!$B$15,1)</f>
        <v>-0.5</v>
      </c>
      <c r="AB690" s="26">
        <f>ROUND($P690*(Lookups!$B$18-Lookups!$B$17)+Lookups!$B$17,1)</f>
        <v>-4</v>
      </c>
      <c r="AC690" s="23">
        <f t="shared" si="62"/>
        <v>64</v>
      </c>
      <c r="AD690" s="23">
        <f>ROUND($R690*Lookups!$B$19,1)</f>
        <v>7</v>
      </c>
      <c r="AE690" s="27">
        <f t="shared" si="63"/>
        <v>0.75</v>
      </c>
      <c r="AF690" s="23" t="str">
        <f>IF($U690&gt;=Lookups!$B$23,"High",IF($U690&gt;=Lookups!$B$22,"Medium","Low"))</f>
        <v>Low</v>
      </c>
      <c r="AG690" s="23">
        <f>ROUND(IF($V690="Weekday",IF(INDEX(Hourly_Analysis!$D$5:$D$28,$J690+1)&gt;0,($U690-INDEX(Hourly_Analysis!$C$5:$C$28,$J690+1))/INDEX(Hourly_Analysis!$D$5:$D$28,$J690+1),0),IF(INDEX(Hourly_Analysis!$G$5:$G$28,$J690+1)&gt;0,($U690-INDEX(Hourly_Analysis!$F$5:$F$28,$J690+1))/INDEX(Hourly_Analysis!$G$5:$G$28,$J690+1),0)),2)</f>
        <v>-0.51</v>
      </c>
      <c r="AH690" s="23" t="str">
        <f>IF(ABS($AG690)&gt;Lookups!$B$20,IF($AG690&gt;0,"High anomaly","Low anomaly"),"")</f>
        <v/>
      </c>
      <c r="AI690" s="23" t="str">
        <f t="shared" si="64"/>
        <v>OK</v>
      </c>
      <c r="AJ690" s="23" t="str">
        <f t="shared" si="65"/>
        <v>No</v>
      </c>
    </row>
    <row r="691" spans="1:36" x14ac:dyDescent="0.35">
      <c r="A691" s="23">
        <v>690</v>
      </c>
      <c r="B691" s="23" t="str">
        <f t="shared" si="60"/>
        <v>Dataset 3</v>
      </c>
      <c r="C691" s="23">
        <f>IFERROR(MATCH($A691,Merge_1_2!$A$2:$A$611,0),0)</f>
        <v>0</v>
      </c>
      <c r="D691" s="23">
        <f>IF($C691&gt;0,INDEX(Merge_1_2!$Q$2:$Q$611,$C691),0)</f>
        <v>0</v>
      </c>
      <c r="E691" s="23">
        <f>IFERROR(MATCH($A691,Dataset3_Raw!$A$2:$A$391,0),0)</f>
        <v>80</v>
      </c>
      <c r="F691" s="24">
        <f>IF($C691&gt;0,INDEX(Merge_1_2!$B$2:$B$611,$C691),DATE(VALUE(RIGHT(INDEX(Dataset3_Raw!$B$2:$B$391,$E691),4)),VALUE(MID(INDEX(Dataset3_Raw!$B$2:$B$391,$E691),4,2)),VALUE(LEFT(INDEX(Dataset3_Raw!$B$2:$B$391,$E691),2))))</f>
        <v>40575</v>
      </c>
      <c r="G691" s="23">
        <f>IF($C691&gt;0,INDEX(Merge_1_2!$C$2:$C$611,$C691),INDEX(Dataset3_Raw!$C$2:$C$391,$E691))</f>
        <v>1</v>
      </c>
      <c r="H691" s="23">
        <f>IF($C691&gt;0,INDEX(Merge_1_2!$D$2:$D$611,$C691),INDEX(Dataset3_Raw!$D$2:$D$391,$E691))</f>
        <v>0</v>
      </c>
      <c r="I691" s="23">
        <f>IF($C691&gt;0,INDEX(Merge_1_2!$E$2:$E$611,$C691),INDEX(Dataset3_Raw!$E$2:$E$391,$E691))</f>
        <v>2</v>
      </c>
      <c r="J691" s="23">
        <f>IF($C691&gt;0,INDEX(Merge_1_2!$F$2:$F$611,$C691),INDEX(Dataset3_Raw!$F$2:$F$391,$E691))</f>
        <v>1</v>
      </c>
      <c r="K691" s="23" t="b">
        <f>IF($C691&gt;0,INDEX(Merge_1_2!$G$2:$G$611,$C691),INDEX(Dataset3_Raw!$G$2:$G$391,$E691))</f>
        <v>0</v>
      </c>
      <c r="L691" s="23">
        <f>IF($C691&gt;0,INDEX(Merge_1_2!$H$2:$H$611,$C691),INDEX(Dataset3_Raw!$H$2:$H$391,$E691))</f>
        <v>2</v>
      </c>
      <c r="M691" s="23">
        <f>IF($C691&gt;0,INDEX(Merge_1_2!$I$2:$I$611,$C691),INDEX(Dataset3_Raw!$I$2:$I$391,$E691))</f>
        <v>2</v>
      </c>
      <c r="N691" s="25">
        <f>IF($C691&gt;0,INDEX(Merge_1_2!$J$2:$J$611,$C691),INDEX(Dataset3_Raw!$J$2:$J$391,$E691))</f>
        <v>0.16</v>
      </c>
      <c r="O691" s="25">
        <f>IF($C691&gt;0,IF(ISNUMBER(INDEX(Merge_1_2!$K$2:$K$611,$C691)),INDEX(Merge_1_2!$K$2:$K$611,$C691),""),INDEX(Dataset3_Raw!$K$2:$K$391,$E691))</f>
        <v>0.18179999999999999</v>
      </c>
      <c r="P691" s="25">
        <f>IF(ISNUMBER($O691),$O691,ROUND(Lookups!$B$25+Lookups!$B$24*$N691,4))</f>
        <v>0.18179999999999999</v>
      </c>
      <c r="Q691" s="25">
        <f>IF($C691&gt;0,INDEX(Merge_1_2!$L$2:$L$611,$C691),INDEX(Dataset3_Raw!$L$2:$L$391,$E691))</f>
        <v>0.69</v>
      </c>
      <c r="R691" s="25">
        <f>IF($C691&gt;0,INDEX(Merge_1_2!$M$2:$M$611,$C691),INDEX(Dataset3_Raw!$M$2:$M$391,$E691))</f>
        <v>0.1045</v>
      </c>
      <c r="S691" s="23">
        <f>IF($C691&gt;0,INDEX(Merge_1_2!$N$2:$N$611,$C691),INDEX(Dataset3_Raw!$N$2:$N$391,$E691))</f>
        <v>0</v>
      </c>
      <c r="T691" s="23">
        <f>IF($C691&gt;0,INDEX(Merge_1_2!$O$2:$O$611,$C691),INDEX(Dataset3_Raw!$O$2:$O$391,$E691))</f>
        <v>3</v>
      </c>
      <c r="U691" s="23">
        <f>IF($C691&gt;0,INDEX(Merge_1_2!$P$2:$P$611,$C691),INDEX(Dataset3_Raw!$P$2:$P$391,$E691))</f>
        <v>3</v>
      </c>
      <c r="V691" s="23" t="str">
        <f t="shared" si="61"/>
        <v>Weekday</v>
      </c>
      <c r="W691" s="23" t="str">
        <f>VLOOKUP($M691,Lookups!$A$5:$B$8,2,FALSE())</f>
        <v>Mist / Cloudy</v>
      </c>
      <c r="X691" s="23" t="str">
        <f>VLOOKUP($G691,Lookups!$D$5:$E$8,2,FALSE())</f>
        <v>Winter</v>
      </c>
      <c r="Y691" s="23" t="str">
        <f>VLOOKUP($L691,Lookups!$G$5:$H$11,2,FALSE())</f>
        <v>Tuesday</v>
      </c>
      <c r="Z691" s="23" t="str">
        <f>IF($J691&lt;Lookups!$B$26,"Night",IF($J691&lt;Lookups!$B$27,"Morning",IF($J691&lt;Lookups!$B$28,"Afternoon","Evening")))</f>
        <v>Night</v>
      </c>
      <c r="AA691" s="26">
        <f>ROUND($N691*(Lookups!$B$16-Lookups!$B$15)+Lookups!$B$15,1)</f>
        <v>-0.5</v>
      </c>
      <c r="AB691" s="26">
        <f>ROUND($P691*(Lookups!$B$18-Lookups!$B$17)+Lookups!$B$17,1)</f>
        <v>-4</v>
      </c>
      <c r="AC691" s="23">
        <f t="shared" si="62"/>
        <v>69</v>
      </c>
      <c r="AD691" s="23">
        <f>ROUND($R691*Lookups!$B$19,1)</f>
        <v>7</v>
      </c>
      <c r="AE691" s="27">
        <f t="shared" si="63"/>
        <v>1</v>
      </c>
      <c r="AF691" s="23" t="str">
        <f>IF($U691&gt;=Lookups!$B$23,"High",IF($U691&gt;=Lookups!$B$22,"Medium","Low"))</f>
        <v>Low</v>
      </c>
      <c r="AG691" s="23">
        <f>ROUND(IF($V691="Weekday",IF(INDEX(Hourly_Analysis!$D$5:$D$28,$J691+1)&gt;0,($U691-INDEX(Hourly_Analysis!$C$5:$C$28,$J691+1))/INDEX(Hourly_Analysis!$D$5:$D$28,$J691+1),0),IF(INDEX(Hourly_Analysis!$G$5:$G$28,$J691+1)&gt;0,($U691-INDEX(Hourly_Analysis!$F$5:$F$28,$J691+1))/INDEX(Hourly_Analysis!$G$5:$G$28,$J691+1),0)),2)</f>
        <v>-0.85</v>
      </c>
      <c r="AH691" s="23" t="str">
        <f>IF(ABS($AG691)&gt;Lookups!$B$20,IF($AG691&gt;0,"High anomaly","Low anomaly"),"")</f>
        <v/>
      </c>
      <c r="AI691" s="23" t="str">
        <f t="shared" si="64"/>
        <v>OK</v>
      </c>
      <c r="AJ691" s="23" t="str">
        <f t="shared" si="65"/>
        <v>No</v>
      </c>
    </row>
    <row r="692" spans="1:36" x14ac:dyDescent="0.35">
      <c r="A692" s="23">
        <v>691</v>
      </c>
      <c r="B692" s="23" t="str">
        <f t="shared" si="60"/>
        <v>Dataset 3</v>
      </c>
      <c r="C692" s="23">
        <f>IFERROR(MATCH($A692,Merge_1_2!$A$2:$A$611,0),0)</f>
        <v>0</v>
      </c>
      <c r="D692" s="23">
        <f>IF($C692&gt;0,INDEX(Merge_1_2!$Q$2:$Q$611,$C692),0)</f>
        <v>0</v>
      </c>
      <c r="E692" s="23">
        <f>IFERROR(MATCH($A692,Dataset3_Raw!$A$2:$A$391,0),0)</f>
        <v>81</v>
      </c>
      <c r="F692" s="24">
        <f>IF($C692&gt;0,INDEX(Merge_1_2!$B$2:$B$611,$C692),DATE(VALUE(RIGHT(INDEX(Dataset3_Raw!$B$2:$B$391,$E692),4)),VALUE(MID(INDEX(Dataset3_Raw!$B$2:$B$391,$E692),4,2)),VALUE(LEFT(INDEX(Dataset3_Raw!$B$2:$B$391,$E692),2))))</f>
        <v>40575</v>
      </c>
      <c r="G692" s="23">
        <f>IF($C692&gt;0,INDEX(Merge_1_2!$C$2:$C$611,$C692),INDEX(Dataset3_Raw!$C$2:$C$391,$E692))</f>
        <v>1</v>
      </c>
      <c r="H692" s="23">
        <f>IF($C692&gt;0,INDEX(Merge_1_2!$D$2:$D$611,$C692),INDEX(Dataset3_Raw!$D$2:$D$391,$E692))</f>
        <v>0</v>
      </c>
      <c r="I692" s="23">
        <f>IF($C692&gt;0,INDEX(Merge_1_2!$E$2:$E$611,$C692),INDEX(Dataset3_Raw!$E$2:$E$391,$E692))</f>
        <v>2</v>
      </c>
      <c r="J692" s="23">
        <f>IF($C692&gt;0,INDEX(Merge_1_2!$F$2:$F$611,$C692),INDEX(Dataset3_Raw!$F$2:$F$391,$E692))</f>
        <v>2</v>
      </c>
      <c r="K692" s="23" t="b">
        <f>IF($C692&gt;0,INDEX(Merge_1_2!$G$2:$G$611,$C692),INDEX(Dataset3_Raw!$G$2:$G$391,$E692))</f>
        <v>0</v>
      </c>
      <c r="L692" s="23">
        <f>IF($C692&gt;0,INDEX(Merge_1_2!$H$2:$H$611,$C692),INDEX(Dataset3_Raw!$H$2:$H$391,$E692))</f>
        <v>2</v>
      </c>
      <c r="M692" s="23">
        <f>IF($C692&gt;0,INDEX(Merge_1_2!$I$2:$I$611,$C692),INDEX(Dataset3_Raw!$I$2:$I$391,$E692))</f>
        <v>2</v>
      </c>
      <c r="N692" s="25">
        <f>IF($C692&gt;0,INDEX(Merge_1_2!$J$2:$J$611,$C692),INDEX(Dataset3_Raw!$J$2:$J$391,$E692))</f>
        <v>0.16</v>
      </c>
      <c r="O692" s="25">
        <f>IF($C692&gt;0,IF(ISNUMBER(INDEX(Merge_1_2!$K$2:$K$611,$C692)),INDEX(Merge_1_2!$K$2:$K$611,$C692),""),INDEX(Dataset3_Raw!$K$2:$K$391,$E692))</f>
        <v>0.2273</v>
      </c>
      <c r="P692" s="25">
        <f>IF(ISNUMBER($O692),$O692,ROUND(Lookups!$B$25+Lookups!$B$24*$N692,4))</f>
        <v>0.2273</v>
      </c>
      <c r="Q692" s="25">
        <f>IF($C692&gt;0,INDEX(Merge_1_2!$L$2:$L$611,$C692),INDEX(Dataset3_Raw!$L$2:$L$391,$E692))</f>
        <v>0.69</v>
      </c>
      <c r="R692" s="25">
        <f>IF($C692&gt;0,INDEX(Merge_1_2!$M$2:$M$611,$C692),INDEX(Dataset3_Raw!$M$2:$M$391,$E692))</f>
        <v>0</v>
      </c>
      <c r="S692" s="23">
        <f>IF($C692&gt;0,INDEX(Merge_1_2!$N$2:$N$611,$C692),INDEX(Dataset3_Raw!$N$2:$N$391,$E692))</f>
        <v>0</v>
      </c>
      <c r="T692" s="23">
        <f>IF($C692&gt;0,INDEX(Merge_1_2!$O$2:$O$611,$C692),INDEX(Dataset3_Raw!$O$2:$O$391,$E692))</f>
        <v>2</v>
      </c>
      <c r="U692" s="23">
        <f>IF($C692&gt;0,INDEX(Merge_1_2!$P$2:$P$611,$C692),INDEX(Dataset3_Raw!$P$2:$P$391,$E692))</f>
        <v>2</v>
      </c>
      <c r="V692" s="23" t="str">
        <f t="shared" si="61"/>
        <v>Weekday</v>
      </c>
      <c r="W692" s="23" t="str">
        <f>VLOOKUP($M692,Lookups!$A$5:$B$8,2,FALSE())</f>
        <v>Mist / Cloudy</v>
      </c>
      <c r="X692" s="23" t="str">
        <f>VLOOKUP($G692,Lookups!$D$5:$E$8,2,FALSE())</f>
        <v>Winter</v>
      </c>
      <c r="Y692" s="23" t="str">
        <f>VLOOKUP($L692,Lookups!$G$5:$H$11,2,FALSE())</f>
        <v>Tuesday</v>
      </c>
      <c r="Z692" s="23" t="str">
        <f>IF($J692&lt;Lookups!$B$26,"Night",IF($J692&lt;Lookups!$B$27,"Morning",IF($J692&lt;Lookups!$B$28,"Afternoon","Evening")))</f>
        <v>Night</v>
      </c>
      <c r="AA692" s="26">
        <f>ROUND($N692*(Lookups!$B$16-Lookups!$B$15)+Lookups!$B$15,1)</f>
        <v>-0.5</v>
      </c>
      <c r="AB692" s="26">
        <f>ROUND($P692*(Lookups!$B$18-Lookups!$B$17)+Lookups!$B$17,1)</f>
        <v>-1</v>
      </c>
      <c r="AC692" s="23">
        <f t="shared" si="62"/>
        <v>69</v>
      </c>
      <c r="AD692" s="23">
        <f>ROUND($R692*Lookups!$B$19,1)</f>
        <v>0</v>
      </c>
      <c r="AE692" s="27">
        <f t="shared" si="63"/>
        <v>1</v>
      </c>
      <c r="AF692" s="23" t="str">
        <f>IF($U692&gt;=Lookups!$B$23,"High",IF($U692&gt;=Lookups!$B$22,"Medium","Low"))</f>
        <v>Low</v>
      </c>
      <c r="AG692" s="23">
        <f>ROUND(IF($V692="Weekday",IF(INDEX(Hourly_Analysis!$D$5:$D$28,$J692+1)&gt;0,($U692-INDEX(Hourly_Analysis!$C$5:$C$28,$J692+1))/INDEX(Hourly_Analysis!$D$5:$D$28,$J692+1),0),IF(INDEX(Hourly_Analysis!$G$5:$G$28,$J692+1)&gt;0,($U692-INDEX(Hourly_Analysis!$F$5:$F$28,$J692+1))/INDEX(Hourly_Analysis!$G$5:$G$28,$J692+1),0)),2)</f>
        <v>-0.24</v>
      </c>
      <c r="AH692" s="23" t="str">
        <f>IF(ABS($AG692)&gt;Lookups!$B$20,IF($AG692&gt;0,"High anomaly","Low anomaly"),"")</f>
        <v/>
      </c>
      <c r="AI692" s="23" t="str">
        <f t="shared" si="64"/>
        <v>OK</v>
      </c>
      <c r="AJ692" s="23" t="str">
        <f t="shared" si="65"/>
        <v>No</v>
      </c>
    </row>
    <row r="693" spans="1:36" x14ac:dyDescent="0.35">
      <c r="A693" s="23">
        <v>692</v>
      </c>
      <c r="B693" s="23" t="str">
        <f t="shared" si="60"/>
        <v>Dataset 3</v>
      </c>
      <c r="C693" s="23">
        <f>IFERROR(MATCH($A693,Merge_1_2!$A$2:$A$611,0),0)</f>
        <v>0</v>
      </c>
      <c r="D693" s="23">
        <f>IF($C693&gt;0,INDEX(Merge_1_2!$Q$2:$Q$611,$C693),0)</f>
        <v>0</v>
      </c>
      <c r="E693" s="23">
        <f>IFERROR(MATCH($A693,Dataset3_Raw!$A$2:$A$391,0),0)</f>
        <v>82</v>
      </c>
      <c r="F693" s="24">
        <f>IF($C693&gt;0,INDEX(Merge_1_2!$B$2:$B$611,$C693),DATE(VALUE(RIGHT(INDEX(Dataset3_Raw!$B$2:$B$391,$E693),4)),VALUE(MID(INDEX(Dataset3_Raw!$B$2:$B$391,$E693),4,2)),VALUE(LEFT(INDEX(Dataset3_Raw!$B$2:$B$391,$E693),2))))</f>
        <v>40575</v>
      </c>
      <c r="G693" s="23">
        <f>IF($C693&gt;0,INDEX(Merge_1_2!$C$2:$C$611,$C693),INDEX(Dataset3_Raw!$C$2:$C$391,$E693))</f>
        <v>1</v>
      </c>
      <c r="H693" s="23">
        <f>IF($C693&gt;0,INDEX(Merge_1_2!$D$2:$D$611,$C693),INDEX(Dataset3_Raw!$D$2:$D$391,$E693))</f>
        <v>0</v>
      </c>
      <c r="I693" s="23">
        <f>IF($C693&gt;0,INDEX(Merge_1_2!$E$2:$E$611,$C693),INDEX(Dataset3_Raw!$E$2:$E$391,$E693))</f>
        <v>2</v>
      </c>
      <c r="J693" s="23">
        <f>IF($C693&gt;0,INDEX(Merge_1_2!$F$2:$F$611,$C693),INDEX(Dataset3_Raw!$F$2:$F$391,$E693))</f>
        <v>3</v>
      </c>
      <c r="K693" s="23" t="b">
        <f>IF($C693&gt;0,INDEX(Merge_1_2!$G$2:$G$611,$C693),INDEX(Dataset3_Raw!$G$2:$G$391,$E693))</f>
        <v>0</v>
      </c>
      <c r="L693" s="23">
        <f>IF($C693&gt;0,INDEX(Merge_1_2!$H$2:$H$611,$C693),INDEX(Dataset3_Raw!$H$2:$H$391,$E693))</f>
        <v>2</v>
      </c>
      <c r="M693" s="23">
        <f>IF($C693&gt;0,INDEX(Merge_1_2!$I$2:$I$611,$C693),INDEX(Dataset3_Raw!$I$2:$I$391,$E693))</f>
        <v>2</v>
      </c>
      <c r="N693" s="25">
        <f>IF($C693&gt;0,INDEX(Merge_1_2!$J$2:$J$611,$C693),INDEX(Dataset3_Raw!$J$2:$J$391,$E693))</f>
        <v>0.16</v>
      </c>
      <c r="O693" s="25">
        <f>IF($C693&gt;0,IF(ISNUMBER(INDEX(Merge_1_2!$K$2:$K$611,$C693)),INDEX(Merge_1_2!$K$2:$K$611,$C693),""),INDEX(Dataset3_Raw!$K$2:$K$391,$E693))</f>
        <v>0.2273</v>
      </c>
      <c r="P693" s="25">
        <f>IF(ISNUMBER($O693),$O693,ROUND(Lookups!$B$25+Lookups!$B$24*$N693,4))</f>
        <v>0.2273</v>
      </c>
      <c r="Q693" s="25">
        <f>IF($C693&gt;0,INDEX(Merge_1_2!$L$2:$L$611,$C693),INDEX(Dataset3_Raw!$L$2:$L$391,$E693))</f>
        <v>0.69</v>
      </c>
      <c r="R693" s="25">
        <f>IF($C693&gt;0,INDEX(Merge_1_2!$M$2:$M$611,$C693),INDEX(Dataset3_Raw!$M$2:$M$391,$E693))</f>
        <v>0</v>
      </c>
      <c r="S693" s="23">
        <f>IF($C693&gt;0,INDEX(Merge_1_2!$N$2:$N$611,$C693),INDEX(Dataset3_Raw!$N$2:$N$391,$E693))</f>
        <v>0</v>
      </c>
      <c r="T693" s="23">
        <f>IF($C693&gt;0,INDEX(Merge_1_2!$O$2:$O$611,$C693),INDEX(Dataset3_Raw!$O$2:$O$391,$E693))</f>
        <v>2</v>
      </c>
      <c r="U693" s="23">
        <f>IF($C693&gt;0,INDEX(Merge_1_2!$P$2:$P$611,$C693),INDEX(Dataset3_Raw!$P$2:$P$391,$E693))</f>
        <v>2</v>
      </c>
      <c r="V693" s="23" t="str">
        <f t="shared" si="61"/>
        <v>Weekday</v>
      </c>
      <c r="W693" s="23" t="str">
        <f>VLOOKUP($M693,Lookups!$A$5:$B$8,2,FALSE())</f>
        <v>Mist / Cloudy</v>
      </c>
      <c r="X693" s="23" t="str">
        <f>VLOOKUP($G693,Lookups!$D$5:$E$8,2,FALSE())</f>
        <v>Winter</v>
      </c>
      <c r="Y693" s="23" t="str">
        <f>VLOOKUP($L693,Lookups!$G$5:$H$11,2,FALSE())</f>
        <v>Tuesday</v>
      </c>
      <c r="Z693" s="23" t="str">
        <f>IF($J693&lt;Lookups!$B$26,"Night",IF($J693&lt;Lookups!$B$27,"Morning",IF($J693&lt;Lookups!$B$28,"Afternoon","Evening")))</f>
        <v>Night</v>
      </c>
      <c r="AA693" s="26">
        <f>ROUND($N693*(Lookups!$B$16-Lookups!$B$15)+Lookups!$B$15,1)</f>
        <v>-0.5</v>
      </c>
      <c r="AB693" s="26">
        <f>ROUND($P693*(Lookups!$B$18-Lookups!$B$17)+Lookups!$B$17,1)</f>
        <v>-1</v>
      </c>
      <c r="AC693" s="23">
        <f t="shared" si="62"/>
        <v>69</v>
      </c>
      <c r="AD693" s="23">
        <f>ROUND($R693*Lookups!$B$19,1)</f>
        <v>0</v>
      </c>
      <c r="AE693" s="27">
        <f t="shared" si="63"/>
        <v>1</v>
      </c>
      <c r="AF693" s="23" t="str">
        <f>IF($U693&gt;=Lookups!$B$23,"High",IF($U693&gt;=Lookups!$B$22,"Medium","Low"))</f>
        <v>Low</v>
      </c>
      <c r="AG693" s="23">
        <f>ROUND(IF($V693="Weekday",IF(INDEX(Hourly_Analysis!$D$5:$D$28,$J693+1)&gt;0,($U693-INDEX(Hourly_Analysis!$C$5:$C$28,$J693+1))/INDEX(Hourly_Analysis!$D$5:$D$28,$J693+1),0),IF(INDEX(Hourly_Analysis!$G$5:$G$28,$J693+1)&gt;0,($U693-INDEX(Hourly_Analysis!$F$5:$F$28,$J693+1))/INDEX(Hourly_Analysis!$G$5:$G$28,$J693+1),0)),2)</f>
        <v>1.01</v>
      </c>
      <c r="AH693" s="23" t="str">
        <f>IF(ABS($AG693)&gt;Lookups!$B$20,IF($AG693&gt;0,"High anomaly","Low anomaly"),"")</f>
        <v/>
      </c>
      <c r="AI693" s="23" t="str">
        <f t="shared" si="64"/>
        <v>OK</v>
      </c>
      <c r="AJ693" s="23" t="str">
        <f t="shared" si="65"/>
        <v>No</v>
      </c>
    </row>
    <row r="694" spans="1:36" x14ac:dyDescent="0.35">
      <c r="A694" s="23">
        <v>693</v>
      </c>
      <c r="B694" s="23" t="str">
        <f t="shared" si="60"/>
        <v>Dataset 3</v>
      </c>
      <c r="C694" s="23">
        <f>IFERROR(MATCH($A694,Merge_1_2!$A$2:$A$611,0),0)</f>
        <v>0</v>
      </c>
      <c r="D694" s="23">
        <f>IF($C694&gt;0,INDEX(Merge_1_2!$Q$2:$Q$611,$C694),0)</f>
        <v>0</v>
      </c>
      <c r="E694" s="23">
        <f>IFERROR(MATCH($A694,Dataset3_Raw!$A$2:$A$391,0),0)</f>
        <v>83</v>
      </c>
      <c r="F694" s="24">
        <f>IF($C694&gt;0,INDEX(Merge_1_2!$B$2:$B$611,$C694),DATE(VALUE(RIGHT(INDEX(Dataset3_Raw!$B$2:$B$391,$E694),4)),VALUE(MID(INDEX(Dataset3_Raw!$B$2:$B$391,$E694),4,2)),VALUE(LEFT(INDEX(Dataset3_Raw!$B$2:$B$391,$E694),2))))</f>
        <v>40575</v>
      </c>
      <c r="G694" s="23">
        <f>IF($C694&gt;0,INDEX(Merge_1_2!$C$2:$C$611,$C694),INDEX(Dataset3_Raw!$C$2:$C$391,$E694))</f>
        <v>1</v>
      </c>
      <c r="H694" s="23">
        <f>IF($C694&gt;0,INDEX(Merge_1_2!$D$2:$D$611,$C694),INDEX(Dataset3_Raw!$D$2:$D$391,$E694))</f>
        <v>0</v>
      </c>
      <c r="I694" s="23">
        <f>IF($C694&gt;0,INDEX(Merge_1_2!$E$2:$E$611,$C694),INDEX(Dataset3_Raw!$E$2:$E$391,$E694))</f>
        <v>2</v>
      </c>
      <c r="J694" s="23">
        <f>IF($C694&gt;0,INDEX(Merge_1_2!$F$2:$F$611,$C694),INDEX(Dataset3_Raw!$F$2:$F$391,$E694))</f>
        <v>5</v>
      </c>
      <c r="K694" s="23" t="b">
        <f>IF($C694&gt;0,INDEX(Merge_1_2!$G$2:$G$611,$C694),INDEX(Dataset3_Raw!$G$2:$G$391,$E694))</f>
        <v>0</v>
      </c>
      <c r="L694" s="23">
        <f>IF($C694&gt;0,INDEX(Merge_1_2!$H$2:$H$611,$C694),INDEX(Dataset3_Raw!$H$2:$H$391,$E694))</f>
        <v>2</v>
      </c>
      <c r="M694" s="23">
        <f>IF($C694&gt;0,INDEX(Merge_1_2!$I$2:$I$611,$C694),INDEX(Dataset3_Raw!$I$2:$I$391,$E694))</f>
        <v>3</v>
      </c>
      <c r="N694" s="25">
        <f>IF($C694&gt;0,INDEX(Merge_1_2!$J$2:$J$611,$C694),INDEX(Dataset3_Raw!$J$2:$J$391,$E694))</f>
        <v>0.14000000000000001</v>
      </c>
      <c r="O694" s="25">
        <f>IF($C694&gt;0,IF(ISNUMBER(INDEX(Merge_1_2!$K$2:$K$611,$C694)),INDEX(Merge_1_2!$K$2:$K$611,$C694),""),INDEX(Dataset3_Raw!$K$2:$K$391,$E694))</f>
        <v>0.21210000000000001</v>
      </c>
      <c r="P694" s="25">
        <f>IF(ISNUMBER($O694),$O694,ROUND(Lookups!$B$25+Lookups!$B$24*$N694,4))</f>
        <v>0.21210000000000001</v>
      </c>
      <c r="Q694" s="25">
        <f>IF($C694&gt;0,INDEX(Merge_1_2!$L$2:$L$611,$C694),INDEX(Dataset3_Raw!$L$2:$L$391,$E694))</f>
        <v>0.93</v>
      </c>
      <c r="R694" s="25">
        <f>IF($C694&gt;0,INDEX(Merge_1_2!$M$2:$M$611,$C694),INDEX(Dataset3_Raw!$M$2:$M$391,$E694))</f>
        <v>0</v>
      </c>
      <c r="S694" s="23">
        <f>IF($C694&gt;0,INDEX(Merge_1_2!$N$2:$N$611,$C694),INDEX(Dataset3_Raw!$N$2:$N$391,$E694))</f>
        <v>0</v>
      </c>
      <c r="T694" s="23">
        <f>IF($C694&gt;0,INDEX(Merge_1_2!$O$2:$O$611,$C694),INDEX(Dataset3_Raw!$O$2:$O$391,$E694))</f>
        <v>3</v>
      </c>
      <c r="U694" s="23">
        <f>IF($C694&gt;0,INDEX(Merge_1_2!$P$2:$P$611,$C694),INDEX(Dataset3_Raw!$P$2:$P$391,$E694))</f>
        <v>3</v>
      </c>
      <c r="V694" s="23" t="str">
        <f t="shared" si="61"/>
        <v>Weekday</v>
      </c>
      <c r="W694" s="23" t="str">
        <f>VLOOKUP($M694,Lookups!$A$5:$B$8,2,FALSE())</f>
        <v>Light snow / Light rain</v>
      </c>
      <c r="X694" s="23" t="str">
        <f>VLOOKUP($G694,Lookups!$D$5:$E$8,2,FALSE())</f>
        <v>Winter</v>
      </c>
      <c r="Y694" s="23" t="str">
        <f>VLOOKUP($L694,Lookups!$G$5:$H$11,2,FALSE())</f>
        <v>Tuesday</v>
      </c>
      <c r="Z694" s="23" t="str">
        <f>IF($J694&lt;Lookups!$B$26,"Night",IF($J694&lt;Lookups!$B$27,"Morning",IF($J694&lt;Lookups!$B$28,"Afternoon","Evening")))</f>
        <v>Night</v>
      </c>
      <c r="AA694" s="26">
        <f>ROUND($N694*(Lookups!$B$16-Lookups!$B$15)+Lookups!$B$15,1)</f>
        <v>-1.4</v>
      </c>
      <c r="AB694" s="26">
        <f>ROUND($P694*(Lookups!$B$18-Lookups!$B$17)+Lookups!$B$17,1)</f>
        <v>-2</v>
      </c>
      <c r="AC694" s="23">
        <f t="shared" si="62"/>
        <v>93</v>
      </c>
      <c r="AD694" s="23">
        <f>ROUND($R694*Lookups!$B$19,1)</f>
        <v>0</v>
      </c>
      <c r="AE694" s="27">
        <f t="shared" si="63"/>
        <v>1</v>
      </c>
      <c r="AF694" s="23" t="str">
        <f>IF($U694&gt;=Lookups!$B$23,"High",IF($U694&gt;=Lookups!$B$22,"Medium","Low"))</f>
        <v>Low</v>
      </c>
      <c r="AG694" s="23">
        <f>ROUND(IF($V694="Weekday",IF(INDEX(Hourly_Analysis!$D$5:$D$28,$J694+1)&gt;0,($U694-INDEX(Hourly_Analysis!$C$5:$C$28,$J694+1))/INDEX(Hourly_Analysis!$D$5:$D$28,$J694+1),0),IF(INDEX(Hourly_Analysis!$G$5:$G$28,$J694+1)&gt;0,($U694-INDEX(Hourly_Analysis!$F$5:$F$28,$J694+1))/INDEX(Hourly_Analysis!$G$5:$G$28,$J694+1),0)),2)</f>
        <v>-0.82</v>
      </c>
      <c r="AH694" s="23" t="str">
        <f>IF(ABS($AG694)&gt;Lookups!$B$20,IF($AG694&gt;0,"High anomaly","Low anomaly"),"")</f>
        <v/>
      </c>
      <c r="AI694" s="23" t="str">
        <f t="shared" si="64"/>
        <v>OK</v>
      </c>
      <c r="AJ694" s="23" t="str">
        <f t="shared" si="65"/>
        <v>No</v>
      </c>
    </row>
    <row r="695" spans="1:36" x14ac:dyDescent="0.35">
      <c r="A695" s="23">
        <v>694</v>
      </c>
      <c r="B695" s="23" t="str">
        <f t="shared" si="60"/>
        <v>Dataset 3</v>
      </c>
      <c r="C695" s="23">
        <f>IFERROR(MATCH($A695,Merge_1_2!$A$2:$A$611,0),0)</f>
        <v>0</v>
      </c>
      <c r="D695" s="23">
        <f>IF($C695&gt;0,INDEX(Merge_1_2!$Q$2:$Q$611,$C695),0)</f>
        <v>0</v>
      </c>
      <c r="E695" s="23">
        <f>IFERROR(MATCH($A695,Dataset3_Raw!$A$2:$A$391,0),0)</f>
        <v>84</v>
      </c>
      <c r="F695" s="24">
        <f>IF($C695&gt;0,INDEX(Merge_1_2!$B$2:$B$611,$C695),DATE(VALUE(RIGHT(INDEX(Dataset3_Raw!$B$2:$B$391,$E695),4)),VALUE(MID(INDEX(Dataset3_Raw!$B$2:$B$391,$E695),4,2)),VALUE(LEFT(INDEX(Dataset3_Raw!$B$2:$B$391,$E695),2))))</f>
        <v>40575</v>
      </c>
      <c r="G695" s="23">
        <f>IF($C695&gt;0,INDEX(Merge_1_2!$C$2:$C$611,$C695),INDEX(Dataset3_Raw!$C$2:$C$391,$E695))</f>
        <v>1</v>
      </c>
      <c r="H695" s="23">
        <f>IF($C695&gt;0,INDEX(Merge_1_2!$D$2:$D$611,$C695),INDEX(Dataset3_Raw!$D$2:$D$391,$E695))</f>
        <v>0</v>
      </c>
      <c r="I695" s="23">
        <f>IF($C695&gt;0,INDEX(Merge_1_2!$E$2:$E$611,$C695),INDEX(Dataset3_Raw!$E$2:$E$391,$E695))</f>
        <v>2</v>
      </c>
      <c r="J695" s="23">
        <f>IF($C695&gt;0,INDEX(Merge_1_2!$F$2:$F$611,$C695),INDEX(Dataset3_Raw!$F$2:$F$391,$E695))</f>
        <v>6</v>
      </c>
      <c r="K695" s="23" t="b">
        <f>IF($C695&gt;0,INDEX(Merge_1_2!$G$2:$G$611,$C695),INDEX(Dataset3_Raw!$G$2:$G$391,$E695))</f>
        <v>0</v>
      </c>
      <c r="L695" s="23">
        <f>IF($C695&gt;0,INDEX(Merge_1_2!$H$2:$H$611,$C695),INDEX(Dataset3_Raw!$H$2:$H$391,$E695))</f>
        <v>2</v>
      </c>
      <c r="M695" s="23">
        <f>IF($C695&gt;0,INDEX(Merge_1_2!$I$2:$I$611,$C695),INDEX(Dataset3_Raw!$I$2:$I$391,$E695))</f>
        <v>3</v>
      </c>
      <c r="N695" s="25">
        <f>IF($C695&gt;0,INDEX(Merge_1_2!$J$2:$J$611,$C695),INDEX(Dataset3_Raw!$J$2:$J$391,$E695))</f>
        <v>0.14000000000000001</v>
      </c>
      <c r="O695" s="25">
        <f>IF($C695&gt;0,IF(ISNUMBER(INDEX(Merge_1_2!$K$2:$K$611,$C695)),INDEX(Merge_1_2!$K$2:$K$611,$C695),""),INDEX(Dataset3_Raw!$K$2:$K$391,$E695))</f>
        <v>0.21210000000000001</v>
      </c>
      <c r="P695" s="25">
        <f>IF(ISNUMBER($O695),$O695,ROUND(Lookups!$B$25+Lookups!$B$24*$N695,4))</f>
        <v>0.21210000000000001</v>
      </c>
      <c r="Q695" s="25">
        <f>IF($C695&gt;0,INDEX(Merge_1_2!$L$2:$L$611,$C695),INDEX(Dataset3_Raw!$L$2:$L$391,$E695))</f>
        <v>0.93</v>
      </c>
      <c r="R695" s="25">
        <f>IF($C695&gt;0,INDEX(Merge_1_2!$M$2:$M$611,$C695),INDEX(Dataset3_Raw!$M$2:$M$391,$E695))</f>
        <v>0</v>
      </c>
      <c r="S695" s="23">
        <f>IF($C695&gt;0,INDEX(Merge_1_2!$N$2:$N$611,$C695),INDEX(Dataset3_Raw!$N$2:$N$391,$E695))</f>
        <v>0</v>
      </c>
      <c r="T695" s="23">
        <f>IF($C695&gt;0,INDEX(Merge_1_2!$O$2:$O$611,$C695),INDEX(Dataset3_Raw!$O$2:$O$391,$E695))</f>
        <v>22</v>
      </c>
      <c r="U695" s="23">
        <f>IF($C695&gt;0,INDEX(Merge_1_2!$P$2:$P$611,$C695),INDEX(Dataset3_Raw!$P$2:$P$391,$E695))</f>
        <v>22</v>
      </c>
      <c r="V695" s="23" t="str">
        <f t="shared" si="61"/>
        <v>Weekday</v>
      </c>
      <c r="W695" s="23" t="str">
        <f>VLOOKUP($M695,Lookups!$A$5:$B$8,2,FALSE())</f>
        <v>Light snow / Light rain</v>
      </c>
      <c r="X695" s="23" t="str">
        <f>VLOOKUP($G695,Lookups!$D$5:$E$8,2,FALSE())</f>
        <v>Winter</v>
      </c>
      <c r="Y695" s="23" t="str">
        <f>VLOOKUP($L695,Lookups!$G$5:$H$11,2,FALSE())</f>
        <v>Tuesday</v>
      </c>
      <c r="Z695" s="23" t="str">
        <f>IF($J695&lt;Lookups!$B$26,"Night",IF($J695&lt;Lookups!$B$27,"Morning",IF($J695&lt;Lookups!$B$28,"Afternoon","Evening")))</f>
        <v>Morning</v>
      </c>
      <c r="AA695" s="26">
        <f>ROUND($N695*(Lookups!$B$16-Lookups!$B$15)+Lookups!$B$15,1)</f>
        <v>-1.4</v>
      </c>
      <c r="AB695" s="26">
        <f>ROUND($P695*(Lookups!$B$18-Lookups!$B$17)+Lookups!$B$17,1)</f>
        <v>-2</v>
      </c>
      <c r="AC695" s="23">
        <f t="shared" si="62"/>
        <v>93</v>
      </c>
      <c r="AD695" s="23">
        <f>ROUND($R695*Lookups!$B$19,1)</f>
        <v>0</v>
      </c>
      <c r="AE695" s="27">
        <f t="shared" si="63"/>
        <v>1</v>
      </c>
      <c r="AF695" s="23" t="str">
        <f>IF($U695&gt;=Lookups!$B$23,"High",IF($U695&gt;=Lookups!$B$22,"Medium","Low"))</f>
        <v>Medium</v>
      </c>
      <c r="AG695" s="23">
        <f>ROUND(IF($V695="Weekday",IF(INDEX(Hourly_Analysis!$D$5:$D$28,$J695+1)&gt;0,($U695-INDEX(Hourly_Analysis!$C$5:$C$28,$J695+1))/INDEX(Hourly_Analysis!$D$5:$D$28,$J695+1),0),IF(INDEX(Hourly_Analysis!$G$5:$G$28,$J695+1)&gt;0,($U695-INDEX(Hourly_Analysis!$F$5:$F$28,$J695+1))/INDEX(Hourly_Analysis!$G$5:$G$28,$J695+1),0)),2)</f>
        <v>-0.71</v>
      </c>
      <c r="AH695" s="23" t="str">
        <f>IF(ABS($AG695)&gt;Lookups!$B$20,IF($AG695&gt;0,"High anomaly","Low anomaly"),"")</f>
        <v/>
      </c>
      <c r="AI695" s="23" t="str">
        <f t="shared" si="64"/>
        <v>OK</v>
      </c>
      <c r="AJ695" s="23" t="str">
        <f t="shared" si="65"/>
        <v>No</v>
      </c>
    </row>
    <row r="696" spans="1:36" x14ac:dyDescent="0.35">
      <c r="A696" s="23">
        <v>695</v>
      </c>
      <c r="B696" s="23" t="str">
        <f t="shared" si="60"/>
        <v>Dataset 3</v>
      </c>
      <c r="C696" s="23">
        <f>IFERROR(MATCH($A696,Merge_1_2!$A$2:$A$611,0),0)</f>
        <v>0</v>
      </c>
      <c r="D696" s="23">
        <f>IF($C696&gt;0,INDEX(Merge_1_2!$Q$2:$Q$611,$C696),0)</f>
        <v>0</v>
      </c>
      <c r="E696" s="23">
        <f>IFERROR(MATCH($A696,Dataset3_Raw!$A$2:$A$391,0),0)</f>
        <v>85</v>
      </c>
      <c r="F696" s="24">
        <f>IF($C696&gt;0,INDEX(Merge_1_2!$B$2:$B$611,$C696),DATE(VALUE(RIGHT(INDEX(Dataset3_Raw!$B$2:$B$391,$E696),4)),VALUE(MID(INDEX(Dataset3_Raw!$B$2:$B$391,$E696),4,2)),VALUE(LEFT(INDEX(Dataset3_Raw!$B$2:$B$391,$E696),2))))</f>
        <v>40575</v>
      </c>
      <c r="G696" s="23">
        <f>IF($C696&gt;0,INDEX(Merge_1_2!$C$2:$C$611,$C696),INDEX(Dataset3_Raw!$C$2:$C$391,$E696))</f>
        <v>1</v>
      </c>
      <c r="H696" s="23">
        <f>IF($C696&gt;0,INDEX(Merge_1_2!$D$2:$D$611,$C696),INDEX(Dataset3_Raw!$D$2:$D$391,$E696))</f>
        <v>0</v>
      </c>
      <c r="I696" s="23">
        <f>IF($C696&gt;0,INDEX(Merge_1_2!$E$2:$E$611,$C696),INDEX(Dataset3_Raw!$E$2:$E$391,$E696))</f>
        <v>2</v>
      </c>
      <c r="J696" s="23">
        <f>IF($C696&gt;0,INDEX(Merge_1_2!$F$2:$F$611,$C696),INDEX(Dataset3_Raw!$F$2:$F$391,$E696))</f>
        <v>7</v>
      </c>
      <c r="K696" s="23" t="b">
        <f>IF($C696&gt;0,INDEX(Merge_1_2!$G$2:$G$611,$C696),INDEX(Dataset3_Raw!$G$2:$G$391,$E696))</f>
        <v>0</v>
      </c>
      <c r="L696" s="23">
        <f>IF($C696&gt;0,INDEX(Merge_1_2!$H$2:$H$611,$C696),INDEX(Dataset3_Raw!$H$2:$H$391,$E696))</f>
        <v>2</v>
      </c>
      <c r="M696" s="23">
        <f>IF($C696&gt;0,INDEX(Merge_1_2!$I$2:$I$611,$C696),INDEX(Dataset3_Raw!$I$2:$I$391,$E696))</f>
        <v>3</v>
      </c>
      <c r="N696" s="25">
        <f>IF($C696&gt;0,INDEX(Merge_1_2!$J$2:$J$611,$C696),INDEX(Dataset3_Raw!$J$2:$J$391,$E696))</f>
        <v>0.16</v>
      </c>
      <c r="O696" s="25">
        <f>IF($C696&gt;0,IF(ISNUMBER(INDEX(Merge_1_2!$K$2:$K$611,$C696)),INDEX(Merge_1_2!$K$2:$K$611,$C696),""),INDEX(Dataset3_Raw!$K$2:$K$391,$E696))</f>
        <v>0.2273</v>
      </c>
      <c r="P696" s="25">
        <f>IF(ISNUMBER($O696),$O696,ROUND(Lookups!$B$25+Lookups!$B$24*$N696,4))</f>
        <v>0.2273</v>
      </c>
      <c r="Q696" s="25">
        <f>IF($C696&gt;0,INDEX(Merge_1_2!$L$2:$L$611,$C696),INDEX(Dataset3_Raw!$L$2:$L$391,$E696))</f>
        <v>0.93</v>
      </c>
      <c r="R696" s="25">
        <f>IF($C696&gt;0,INDEX(Merge_1_2!$M$2:$M$611,$C696),INDEX(Dataset3_Raw!$M$2:$M$391,$E696))</f>
        <v>0</v>
      </c>
      <c r="S696" s="23">
        <f>IF($C696&gt;0,INDEX(Merge_1_2!$N$2:$N$611,$C696),INDEX(Dataset3_Raw!$N$2:$N$391,$E696))</f>
        <v>0</v>
      </c>
      <c r="T696" s="23">
        <f>IF($C696&gt;0,INDEX(Merge_1_2!$O$2:$O$611,$C696),INDEX(Dataset3_Raw!$O$2:$O$391,$E696))</f>
        <v>52</v>
      </c>
      <c r="U696" s="23">
        <f>IF($C696&gt;0,INDEX(Merge_1_2!$P$2:$P$611,$C696),INDEX(Dataset3_Raw!$P$2:$P$391,$E696))</f>
        <v>52</v>
      </c>
      <c r="V696" s="23" t="str">
        <f t="shared" si="61"/>
        <v>Weekday</v>
      </c>
      <c r="W696" s="23" t="str">
        <f>VLOOKUP($M696,Lookups!$A$5:$B$8,2,FALSE())</f>
        <v>Light snow / Light rain</v>
      </c>
      <c r="X696" s="23" t="str">
        <f>VLOOKUP($G696,Lookups!$D$5:$E$8,2,FALSE())</f>
        <v>Winter</v>
      </c>
      <c r="Y696" s="23" t="str">
        <f>VLOOKUP($L696,Lookups!$G$5:$H$11,2,FALSE())</f>
        <v>Tuesday</v>
      </c>
      <c r="Z696" s="23" t="str">
        <f>IF($J696&lt;Lookups!$B$26,"Night",IF($J696&lt;Lookups!$B$27,"Morning",IF($J696&lt;Lookups!$B$28,"Afternoon","Evening")))</f>
        <v>Morning</v>
      </c>
      <c r="AA696" s="26">
        <f>ROUND($N696*(Lookups!$B$16-Lookups!$B$15)+Lookups!$B$15,1)</f>
        <v>-0.5</v>
      </c>
      <c r="AB696" s="26">
        <f>ROUND($P696*(Lookups!$B$18-Lookups!$B$17)+Lookups!$B$17,1)</f>
        <v>-1</v>
      </c>
      <c r="AC696" s="23">
        <f t="shared" si="62"/>
        <v>93</v>
      </c>
      <c r="AD696" s="23">
        <f>ROUND($R696*Lookups!$B$19,1)</f>
        <v>0</v>
      </c>
      <c r="AE696" s="27">
        <f t="shared" si="63"/>
        <v>1</v>
      </c>
      <c r="AF696" s="23" t="str">
        <f>IF($U696&gt;=Lookups!$B$23,"High",IF($U696&gt;=Lookups!$B$22,"Medium","Low"))</f>
        <v>Medium</v>
      </c>
      <c r="AG696" s="23">
        <f>ROUND(IF($V696="Weekday",IF(INDEX(Hourly_Analysis!$D$5:$D$28,$J696+1)&gt;0,($U696-INDEX(Hourly_Analysis!$C$5:$C$28,$J696+1))/INDEX(Hourly_Analysis!$D$5:$D$28,$J696+1),0),IF(INDEX(Hourly_Analysis!$G$5:$G$28,$J696+1)&gt;0,($U696-INDEX(Hourly_Analysis!$F$5:$F$28,$J696+1))/INDEX(Hourly_Analysis!$G$5:$G$28,$J696+1),0)),2)</f>
        <v>-1.48</v>
      </c>
      <c r="AH696" s="23" t="str">
        <f>IF(ABS($AG696)&gt;Lookups!$B$20,IF($AG696&gt;0,"High anomaly","Low anomaly"),"")</f>
        <v/>
      </c>
      <c r="AI696" s="23" t="str">
        <f t="shared" si="64"/>
        <v>OK</v>
      </c>
      <c r="AJ696" s="23" t="str">
        <f t="shared" si="65"/>
        <v>No</v>
      </c>
    </row>
    <row r="697" spans="1:36" x14ac:dyDescent="0.35">
      <c r="A697" s="23">
        <v>696</v>
      </c>
      <c r="B697" s="23" t="str">
        <f t="shared" si="60"/>
        <v>Dataset 3</v>
      </c>
      <c r="C697" s="23">
        <f>IFERROR(MATCH($A697,Merge_1_2!$A$2:$A$611,0),0)</f>
        <v>0</v>
      </c>
      <c r="D697" s="23">
        <f>IF($C697&gt;0,INDEX(Merge_1_2!$Q$2:$Q$611,$C697),0)</f>
        <v>0</v>
      </c>
      <c r="E697" s="23">
        <f>IFERROR(MATCH($A697,Dataset3_Raw!$A$2:$A$391,0),0)</f>
        <v>86</v>
      </c>
      <c r="F697" s="24">
        <f>IF($C697&gt;0,INDEX(Merge_1_2!$B$2:$B$611,$C697),DATE(VALUE(RIGHT(INDEX(Dataset3_Raw!$B$2:$B$391,$E697),4)),VALUE(MID(INDEX(Dataset3_Raw!$B$2:$B$391,$E697),4,2)),VALUE(LEFT(INDEX(Dataset3_Raw!$B$2:$B$391,$E697),2))))</f>
        <v>40575</v>
      </c>
      <c r="G697" s="23">
        <f>IF($C697&gt;0,INDEX(Merge_1_2!$C$2:$C$611,$C697),INDEX(Dataset3_Raw!$C$2:$C$391,$E697))</f>
        <v>1</v>
      </c>
      <c r="H697" s="23">
        <f>IF($C697&gt;0,INDEX(Merge_1_2!$D$2:$D$611,$C697),INDEX(Dataset3_Raw!$D$2:$D$391,$E697))</f>
        <v>0</v>
      </c>
      <c r="I697" s="23">
        <f>IF($C697&gt;0,INDEX(Merge_1_2!$E$2:$E$611,$C697),INDEX(Dataset3_Raw!$E$2:$E$391,$E697))</f>
        <v>2</v>
      </c>
      <c r="J697" s="23">
        <f>IF($C697&gt;0,INDEX(Merge_1_2!$F$2:$F$611,$C697),INDEX(Dataset3_Raw!$F$2:$F$391,$E697))</f>
        <v>8</v>
      </c>
      <c r="K697" s="23" t="b">
        <f>IF($C697&gt;0,INDEX(Merge_1_2!$G$2:$G$611,$C697),INDEX(Dataset3_Raw!$G$2:$G$391,$E697))</f>
        <v>0</v>
      </c>
      <c r="L697" s="23">
        <f>IF($C697&gt;0,INDEX(Merge_1_2!$H$2:$H$611,$C697),INDEX(Dataset3_Raw!$H$2:$H$391,$E697))</f>
        <v>2</v>
      </c>
      <c r="M697" s="23">
        <f>IF($C697&gt;0,INDEX(Merge_1_2!$I$2:$I$611,$C697),INDEX(Dataset3_Raw!$I$2:$I$391,$E697))</f>
        <v>3</v>
      </c>
      <c r="N697" s="25">
        <f>IF($C697&gt;0,INDEX(Merge_1_2!$J$2:$J$611,$C697),INDEX(Dataset3_Raw!$J$2:$J$391,$E697))</f>
        <v>0.16</v>
      </c>
      <c r="O697" s="25">
        <f>IF($C697&gt;0,IF(ISNUMBER(INDEX(Merge_1_2!$K$2:$K$611,$C697)),INDEX(Merge_1_2!$K$2:$K$611,$C697),""),INDEX(Dataset3_Raw!$K$2:$K$391,$E697))</f>
        <v>0.2273</v>
      </c>
      <c r="P697" s="25">
        <f>IF(ISNUMBER($O697),$O697,ROUND(Lookups!$B$25+Lookups!$B$24*$N697,4))</f>
        <v>0.2273</v>
      </c>
      <c r="Q697" s="25">
        <f>IF($C697&gt;0,INDEX(Merge_1_2!$L$2:$L$611,$C697),INDEX(Dataset3_Raw!$L$2:$L$391,$E697))</f>
        <v>0.93</v>
      </c>
      <c r="R697" s="25">
        <f>IF($C697&gt;0,INDEX(Merge_1_2!$M$2:$M$611,$C697),INDEX(Dataset3_Raw!$M$2:$M$391,$E697))</f>
        <v>0</v>
      </c>
      <c r="S697" s="23">
        <f>IF($C697&gt;0,INDEX(Merge_1_2!$N$2:$N$611,$C697),INDEX(Dataset3_Raw!$N$2:$N$391,$E697))</f>
        <v>3</v>
      </c>
      <c r="T697" s="23">
        <f>IF($C697&gt;0,INDEX(Merge_1_2!$O$2:$O$611,$C697),INDEX(Dataset3_Raw!$O$2:$O$391,$E697))</f>
        <v>132</v>
      </c>
      <c r="U697" s="23">
        <f>IF($C697&gt;0,INDEX(Merge_1_2!$P$2:$P$611,$C697),INDEX(Dataset3_Raw!$P$2:$P$391,$E697))</f>
        <v>135</v>
      </c>
      <c r="V697" s="23" t="str">
        <f t="shared" si="61"/>
        <v>Weekday</v>
      </c>
      <c r="W697" s="23" t="str">
        <f>VLOOKUP($M697,Lookups!$A$5:$B$8,2,FALSE())</f>
        <v>Light snow / Light rain</v>
      </c>
      <c r="X697" s="23" t="str">
        <f>VLOOKUP($G697,Lookups!$D$5:$E$8,2,FALSE())</f>
        <v>Winter</v>
      </c>
      <c r="Y697" s="23" t="str">
        <f>VLOOKUP($L697,Lookups!$G$5:$H$11,2,FALSE())</f>
        <v>Tuesday</v>
      </c>
      <c r="Z697" s="23" t="str">
        <f>IF($J697&lt;Lookups!$B$26,"Night",IF($J697&lt;Lookups!$B$27,"Morning",IF($J697&lt;Lookups!$B$28,"Afternoon","Evening")))</f>
        <v>Morning</v>
      </c>
      <c r="AA697" s="26">
        <f>ROUND($N697*(Lookups!$B$16-Lookups!$B$15)+Lookups!$B$15,1)</f>
        <v>-0.5</v>
      </c>
      <c r="AB697" s="26">
        <f>ROUND($P697*(Lookups!$B$18-Lookups!$B$17)+Lookups!$B$17,1)</f>
        <v>-1</v>
      </c>
      <c r="AC697" s="23">
        <f t="shared" si="62"/>
        <v>93</v>
      </c>
      <c r="AD697" s="23">
        <f>ROUND($R697*Lookups!$B$19,1)</f>
        <v>0</v>
      </c>
      <c r="AE697" s="27">
        <f t="shared" si="63"/>
        <v>0.97777777777777775</v>
      </c>
      <c r="AF697" s="23" t="str">
        <f>IF($U697&gt;=Lookups!$B$23,"High",IF($U697&gt;=Lookups!$B$22,"Medium","Low"))</f>
        <v>High</v>
      </c>
      <c r="AG697" s="23">
        <f>ROUND(IF($V697="Weekday",IF(INDEX(Hourly_Analysis!$D$5:$D$28,$J697+1)&gt;0,($U697-INDEX(Hourly_Analysis!$C$5:$C$28,$J697+1))/INDEX(Hourly_Analysis!$D$5:$D$28,$J697+1),0),IF(INDEX(Hourly_Analysis!$G$5:$G$28,$J697+1)&gt;0,($U697-INDEX(Hourly_Analysis!$F$5:$F$28,$J697+1))/INDEX(Hourly_Analysis!$G$5:$G$28,$J697+1),0)),2)</f>
        <v>-1.37</v>
      </c>
      <c r="AH697" s="23" t="str">
        <f>IF(ABS($AG697)&gt;Lookups!$B$20,IF($AG697&gt;0,"High anomaly","Low anomaly"),"")</f>
        <v/>
      </c>
      <c r="AI697" s="23" t="str">
        <f t="shared" si="64"/>
        <v>OK</v>
      </c>
      <c r="AJ697" s="23" t="str">
        <f t="shared" si="65"/>
        <v>No</v>
      </c>
    </row>
    <row r="698" spans="1:36" x14ac:dyDescent="0.35">
      <c r="A698" s="23">
        <v>697</v>
      </c>
      <c r="B698" s="23" t="str">
        <f t="shared" si="60"/>
        <v>Dataset 3</v>
      </c>
      <c r="C698" s="23">
        <f>IFERROR(MATCH($A698,Merge_1_2!$A$2:$A$611,0),0)</f>
        <v>0</v>
      </c>
      <c r="D698" s="23">
        <f>IF($C698&gt;0,INDEX(Merge_1_2!$Q$2:$Q$611,$C698),0)</f>
        <v>0</v>
      </c>
      <c r="E698" s="23">
        <f>IFERROR(MATCH($A698,Dataset3_Raw!$A$2:$A$391,0),0)</f>
        <v>87</v>
      </c>
      <c r="F698" s="24">
        <f>IF($C698&gt;0,INDEX(Merge_1_2!$B$2:$B$611,$C698),DATE(VALUE(RIGHT(INDEX(Dataset3_Raw!$B$2:$B$391,$E698),4)),VALUE(MID(INDEX(Dataset3_Raw!$B$2:$B$391,$E698),4,2)),VALUE(LEFT(INDEX(Dataset3_Raw!$B$2:$B$391,$E698),2))))</f>
        <v>40575</v>
      </c>
      <c r="G698" s="23">
        <f>IF($C698&gt;0,INDEX(Merge_1_2!$C$2:$C$611,$C698),INDEX(Dataset3_Raw!$C$2:$C$391,$E698))</f>
        <v>1</v>
      </c>
      <c r="H698" s="23">
        <f>IF($C698&gt;0,INDEX(Merge_1_2!$D$2:$D$611,$C698),INDEX(Dataset3_Raw!$D$2:$D$391,$E698))</f>
        <v>0</v>
      </c>
      <c r="I698" s="23">
        <f>IF($C698&gt;0,INDEX(Merge_1_2!$E$2:$E$611,$C698),INDEX(Dataset3_Raw!$E$2:$E$391,$E698))</f>
        <v>2</v>
      </c>
      <c r="J698" s="23">
        <f>IF($C698&gt;0,INDEX(Merge_1_2!$F$2:$F$611,$C698),INDEX(Dataset3_Raw!$F$2:$F$391,$E698))</f>
        <v>9</v>
      </c>
      <c r="K698" s="23" t="b">
        <f>IF($C698&gt;0,INDEX(Merge_1_2!$G$2:$G$611,$C698),INDEX(Dataset3_Raw!$G$2:$G$391,$E698))</f>
        <v>0</v>
      </c>
      <c r="L698" s="23">
        <f>IF($C698&gt;0,INDEX(Merge_1_2!$H$2:$H$611,$C698),INDEX(Dataset3_Raw!$H$2:$H$391,$E698))</f>
        <v>2</v>
      </c>
      <c r="M698" s="23">
        <f>IF($C698&gt;0,INDEX(Merge_1_2!$I$2:$I$611,$C698),INDEX(Dataset3_Raw!$I$2:$I$391,$E698))</f>
        <v>2</v>
      </c>
      <c r="N698" s="25">
        <f>IF($C698&gt;0,INDEX(Merge_1_2!$J$2:$J$611,$C698),INDEX(Dataset3_Raw!$J$2:$J$391,$E698))</f>
        <v>0.16</v>
      </c>
      <c r="O698" s="25">
        <f>IF($C698&gt;0,IF(ISNUMBER(INDEX(Merge_1_2!$K$2:$K$611,$C698)),INDEX(Merge_1_2!$K$2:$K$611,$C698),""),INDEX(Dataset3_Raw!$K$2:$K$391,$E698))</f>
        <v>0.2273</v>
      </c>
      <c r="P698" s="25">
        <f>IF(ISNUMBER($O698),$O698,ROUND(Lookups!$B$25+Lookups!$B$24*$N698,4))</f>
        <v>0.2273</v>
      </c>
      <c r="Q698" s="25">
        <f>IF($C698&gt;0,INDEX(Merge_1_2!$L$2:$L$611,$C698),INDEX(Dataset3_Raw!$L$2:$L$391,$E698))</f>
        <v>0.93</v>
      </c>
      <c r="R698" s="25">
        <f>IF($C698&gt;0,INDEX(Merge_1_2!$M$2:$M$611,$C698),INDEX(Dataset3_Raw!$M$2:$M$391,$E698))</f>
        <v>0</v>
      </c>
      <c r="S698" s="23">
        <f>IF($C698&gt;0,INDEX(Merge_1_2!$N$2:$N$611,$C698),INDEX(Dataset3_Raw!$N$2:$N$391,$E698))</f>
        <v>2</v>
      </c>
      <c r="T698" s="23">
        <f>IF($C698&gt;0,INDEX(Merge_1_2!$O$2:$O$611,$C698),INDEX(Dataset3_Raw!$O$2:$O$391,$E698))</f>
        <v>114</v>
      </c>
      <c r="U698" s="23">
        <f>IF($C698&gt;0,INDEX(Merge_1_2!$P$2:$P$611,$C698),INDEX(Dataset3_Raw!$P$2:$P$391,$E698))</f>
        <v>116</v>
      </c>
      <c r="V698" s="23" t="str">
        <f t="shared" si="61"/>
        <v>Weekday</v>
      </c>
      <c r="W698" s="23" t="str">
        <f>VLOOKUP($M698,Lookups!$A$5:$B$8,2,FALSE())</f>
        <v>Mist / Cloudy</v>
      </c>
      <c r="X698" s="23" t="str">
        <f>VLOOKUP($G698,Lookups!$D$5:$E$8,2,FALSE())</f>
        <v>Winter</v>
      </c>
      <c r="Y698" s="23" t="str">
        <f>VLOOKUP($L698,Lookups!$G$5:$H$11,2,FALSE())</f>
        <v>Tuesday</v>
      </c>
      <c r="Z698" s="23" t="str">
        <f>IF($J698&lt;Lookups!$B$26,"Night",IF($J698&lt;Lookups!$B$27,"Morning",IF($J698&lt;Lookups!$B$28,"Afternoon","Evening")))</f>
        <v>Morning</v>
      </c>
      <c r="AA698" s="26">
        <f>ROUND($N698*(Lookups!$B$16-Lookups!$B$15)+Lookups!$B$15,1)</f>
        <v>-0.5</v>
      </c>
      <c r="AB698" s="26">
        <f>ROUND($P698*(Lookups!$B$18-Lookups!$B$17)+Lookups!$B$17,1)</f>
        <v>-1</v>
      </c>
      <c r="AC698" s="23">
        <f t="shared" si="62"/>
        <v>93</v>
      </c>
      <c r="AD698" s="23">
        <f>ROUND($R698*Lookups!$B$19,1)</f>
        <v>0</v>
      </c>
      <c r="AE698" s="27">
        <f t="shared" si="63"/>
        <v>0.98275862068965514</v>
      </c>
      <c r="AF698" s="23" t="str">
        <f>IF($U698&gt;=Lookups!$B$23,"High",IF($U698&gt;=Lookups!$B$22,"Medium","Low"))</f>
        <v>High</v>
      </c>
      <c r="AG698" s="23">
        <f>ROUND(IF($V698="Weekday",IF(INDEX(Hourly_Analysis!$D$5:$D$28,$J698+1)&gt;0,($U698-INDEX(Hourly_Analysis!$C$5:$C$28,$J698+1))/INDEX(Hourly_Analysis!$D$5:$D$28,$J698+1),0),IF(INDEX(Hourly_Analysis!$G$5:$G$28,$J698+1)&gt;0,($U698-INDEX(Hourly_Analysis!$F$5:$F$28,$J698+1))/INDEX(Hourly_Analysis!$G$5:$G$28,$J698+1),0)),2)</f>
        <v>-0.1</v>
      </c>
      <c r="AH698" s="23" t="str">
        <f>IF(ABS($AG698)&gt;Lookups!$B$20,IF($AG698&gt;0,"High anomaly","Low anomaly"),"")</f>
        <v/>
      </c>
      <c r="AI698" s="23" t="str">
        <f t="shared" si="64"/>
        <v>OK</v>
      </c>
      <c r="AJ698" s="23" t="str">
        <f t="shared" si="65"/>
        <v>No</v>
      </c>
    </row>
    <row r="699" spans="1:36" x14ac:dyDescent="0.35">
      <c r="A699" s="23">
        <v>698</v>
      </c>
      <c r="B699" s="23" t="str">
        <f t="shared" si="60"/>
        <v>Dataset 3</v>
      </c>
      <c r="C699" s="23">
        <f>IFERROR(MATCH($A699,Merge_1_2!$A$2:$A$611,0),0)</f>
        <v>0</v>
      </c>
      <c r="D699" s="23">
        <f>IF($C699&gt;0,INDEX(Merge_1_2!$Q$2:$Q$611,$C699),0)</f>
        <v>0</v>
      </c>
      <c r="E699" s="23">
        <f>IFERROR(MATCH($A699,Dataset3_Raw!$A$2:$A$391,0),0)</f>
        <v>88</v>
      </c>
      <c r="F699" s="24">
        <f>IF($C699&gt;0,INDEX(Merge_1_2!$B$2:$B$611,$C699),DATE(VALUE(RIGHT(INDEX(Dataset3_Raw!$B$2:$B$391,$E699),4)),VALUE(MID(INDEX(Dataset3_Raw!$B$2:$B$391,$E699),4,2)),VALUE(LEFT(INDEX(Dataset3_Raw!$B$2:$B$391,$E699),2))))</f>
        <v>40575</v>
      </c>
      <c r="G699" s="23">
        <f>IF($C699&gt;0,INDEX(Merge_1_2!$C$2:$C$611,$C699),INDEX(Dataset3_Raw!$C$2:$C$391,$E699))</f>
        <v>1</v>
      </c>
      <c r="H699" s="23">
        <f>IF($C699&gt;0,INDEX(Merge_1_2!$D$2:$D$611,$C699),INDEX(Dataset3_Raw!$D$2:$D$391,$E699))</f>
        <v>0</v>
      </c>
      <c r="I699" s="23">
        <f>IF($C699&gt;0,INDEX(Merge_1_2!$E$2:$E$611,$C699),INDEX(Dataset3_Raw!$E$2:$E$391,$E699))</f>
        <v>2</v>
      </c>
      <c r="J699" s="23">
        <f>IF($C699&gt;0,INDEX(Merge_1_2!$F$2:$F$611,$C699),INDEX(Dataset3_Raw!$F$2:$F$391,$E699))</f>
        <v>10</v>
      </c>
      <c r="K699" s="23" t="b">
        <f>IF($C699&gt;0,INDEX(Merge_1_2!$G$2:$G$611,$C699),INDEX(Dataset3_Raw!$G$2:$G$391,$E699))</f>
        <v>0</v>
      </c>
      <c r="L699" s="23">
        <f>IF($C699&gt;0,INDEX(Merge_1_2!$H$2:$H$611,$C699),INDEX(Dataset3_Raw!$H$2:$H$391,$E699))</f>
        <v>2</v>
      </c>
      <c r="M699" s="23">
        <f>IF($C699&gt;0,INDEX(Merge_1_2!$I$2:$I$611,$C699),INDEX(Dataset3_Raw!$I$2:$I$391,$E699))</f>
        <v>2</v>
      </c>
      <c r="N699" s="25">
        <f>IF($C699&gt;0,INDEX(Merge_1_2!$J$2:$J$611,$C699),INDEX(Dataset3_Raw!$J$2:$J$391,$E699))</f>
        <v>0.16</v>
      </c>
      <c r="O699" s="25">
        <f>IF($C699&gt;0,IF(ISNUMBER(INDEX(Merge_1_2!$K$2:$K$611,$C699)),INDEX(Merge_1_2!$K$2:$K$611,$C699),""),INDEX(Dataset3_Raw!$K$2:$K$391,$E699))</f>
        <v>0.2273</v>
      </c>
      <c r="P699" s="25">
        <f>IF(ISNUMBER($O699),$O699,ROUND(Lookups!$B$25+Lookups!$B$24*$N699,4))</f>
        <v>0.2273</v>
      </c>
      <c r="Q699" s="25">
        <f>IF($C699&gt;0,INDEX(Merge_1_2!$L$2:$L$611,$C699),INDEX(Dataset3_Raw!$L$2:$L$391,$E699))</f>
        <v>0.93</v>
      </c>
      <c r="R699" s="25">
        <f>IF($C699&gt;0,INDEX(Merge_1_2!$M$2:$M$611,$C699),INDEX(Dataset3_Raw!$M$2:$M$391,$E699))</f>
        <v>0</v>
      </c>
      <c r="S699" s="23">
        <f>IF($C699&gt;0,INDEX(Merge_1_2!$N$2:$N$611,$C699),INDEX(Dataset3_Raw!$N$2:$N$391,$E699))</f>
        <v>0</v>
      </c>
      <c r="T699" s="23">
        <f>IF($C699&gt;0,INDEX(Merge_1_2!$O$2:$O$611,$C699),INDEX(Dataset3_Raw!$O$2:$O$391,$E699))</f>
        <v>47</v>
      </c>
      <c r="U699" s="23">
        <f>IF($C699&gt;0,INDEX(Merge_1_2!$P$2:$P$611,$C699),INDEX(Dataset3_Raw!$P$2:$P$391,$E699))</f>
        <v>47</v>
      </c>
      <c r="V699" s="23" t="str">
        <f t="shared" si="61"/>
        <v>Weekday</v>
      </c>
      <c r="W699" s="23" t="str">
        <f>VLOOKUP($M699,Lookups!$A$5:$B$8,2,FALSE())</f>
        <v>Mist / Cloudy</v>
      </c>
      <c r="X699" s="23" t="str">
        <f>VLOOKUP($G699,Lookups!$D$5:$E$8,2,FALSE())</f>
        <v>Winter</v>
      </c>
      <c r="Y699" s="23" t="str">
        <f>VLOOKUP($L699,Lookups!$G$5:$H$11,2,FALSE())</f>
        <v>Tuesday</v>
      </c>
      <c r="Z699" s="23" t="str">
        <f>IF($J699&lt;Lookups!$B$26,"Night",IF($J699&lt;Lookups!$B$27,"Morning",IF($J699&lt;Lookups!$B$28,"Afternoon","Evening")))</f>
        <v>Morning</v>
      </c>
      <c r="AA699" s="26">
        <f>ROUND($N699*(Lookups!$B$16-Lookups!$B$15)+Lookups!$B$15,1)</f>
        <v>-0.5</v>
      </c>
      <c r="AB699" s="26">
        <f>ROUND($P699*(Lookups!$B$18-Lookups!$B$17)+Lookups!$B$17,1)</f>
        <v>-1</v>
      </c>
      <c r="AC699" s="23">
        <f t="shared" si="62"/>
        <v>93</v>
      </c>
      <c r="AD699" s="23">
        <f>ROUND($R699*Lookups!$B$19,1)</f>
        <v>0</v>
      </c>
      <c r="AE699" s="27">
        <f t="shared" si="63"/>
        <v>1</v>
      </c>
      <c r="AF699" s="23" t="str">
        <f>IF($U699&gt;=Lookups!$B$23,"High",IF($U699&gt;=Lookups!$B$22,"Medium","Low"))</f>
        <v>Medium</v>
      </c>
      <c r="AG699" s="23">
        <f>ROUND(IF($V699="Weekday",IF(INDEX(Hourly_Analysis!$D$5:$D$28,$J699+1)&gt;0,($U699-INDEX(Hourly_Analysis!$C$5:$C$28,$J699+1))/INDEX(Hourly_Analysis!$D$5:$D$28,$J699+1),0),IF(INDEX(Hourly_Analysis!$G$5:$G$28,$J699+1)&gt;0,($U699-INDEX(Hourly_Analysis!$F$5:$F$28,$J699+1))/INDEX(Hourly_Analysis!$G$5:$G$28,$J699+1),0)),2)</f>
        <v>-0.17</v>
      </c>
      <c r="AH699" s="23" t="str">
        <f>IF(ABS($AG699)&gt;Lookups!$B$20,IF($AG699&gt;0,"High anomaly","Low anomaly"),"")</f>
        <v/>
      </c>
      <c r="AI699" s="23" t="str">
        <f t="shared" si="64"/>
        <v>OK</v>
      </c>
      <c r="AJ699" s="23" t="str">
        <f t="shared" si="65"/>
        <v>No</v>
      </c>
    </row>
    <row r="700" spans="1:36" x14ac:dyDescent="0.35">
      <c r="A700" s="23">
        <v>699</v>
      </c>
      <c r="B700" s="23" t="str">
        <f t="shared" si="60"/>
        <v>Dataset 3</v>
      </c>
      <c r="C700" s="23">
        <f>IFERROR(MATCH($A700,Merge_1_2!$A$2:$A$611,0),0)</f>
        <v>0</v>
      </c>
      <c r="D700" s="23">
        <f>IF($C700&gt;0,INDEX(Merge_1_2!$Q$2:$Q$611,$C700),0)</f>
        <v>0</v>
      </c>
      <c r="E700" s="23">
        <f>IFERROR(MATCH($A700,Dataset3_Raw!$A$2:$A$391,0),0)</f>
        <v>89</v>
      </c>
      <c r="F700" s="24">
        <f>IF($C700&gt;0,INDEX(Merge_1_2!$B$2:$B$611,$C700),DATE(VALUE(RIGHT(INDEX(Dataset3_Raw!$B$2:$B$391,$E700),4)),VALUE(MID(INDEX(Dataset3_Raw!$B$2:$B$391,$E700),4,2)),VALUE(LEFT(INDEX(Dataset3_Raw!$B$2:$B$391,$E700),2))))</f>
        <v>40575</v>
      </c>
      <c r="G700" s="23">
        <f>IF($C700&gt;0,INDEX(Merge_1_2!$C$2:$C$611,$C700),INDEX(Dataset3_Raw!$C$2:$C$391,$E700))</f>
        <v>1</v>
      </c>
      <c r="H700" s="23">
        <f>IF($C700&gt;0,INDEX(Merge_1_2!$D$2:$D$611,$C700),INDEX(Dataset3_Raw!$D$2:$D$391,$E700))</f>
        <v>0</v>
      </c>
      <c r="I700" s="23">
        <f>IF($C700&gt;0,INDEX(Merge_1_2!$E$2:$E$611,$C700),INDEX(Dataset3_Raw!$E$2:$E$391,$E700))</f>
        <v>2</v>
      </c>
      <c r="J700" s="23">
        <f>IF($C700&gt;0,INDEX(Merge_1_2!$F$2:$F$611,$C700),INDEX(Dataset3_Raw!$F$2:$F$391,$E700))</f>
        <v>11</v>
      </c>
      <c r="K700" s="23" t="b">
        <f>IF($C700&gt;0,INDEX(Merge_1_2!$G$2:$G$611,$C700),INDEX(Dataset3_Raw!$G$2:$G$391,$E700))</f>
        <v>0</v>
      </c>
      <c r="L700" s="23">
        <f>IF($C700&gt;0,INDEX(Merge_1_2!$H$2:$H$611,$C700),INDEX(Dataset3_Raw!$H$2:$H$391,$E700))</f>
        <v>2</v>
      </c>
      <c r="M700" s="23">
        <f>IF($C700&gt;0,INDEX(Merge_1_2!$I$2:$I$611,$C700),INDEX(Dataset3_Raw!$I$2:$I$391,$E700))</f>
        <v>2</v>
      </c>
      <c r="N700" s="25">
        <f>IF($C700&gt;0,INDEX(Merge_1_2!$J$2:$J$611,$C700),INDEX(Dataset3_Raw!$J$2:$J$391,$E700))</f>
        <v>0.18</v>
      </c>
      <c r="O700" s="25">
        <f>IF($C700&gt;0,IF(ISNUMBER(INDEX(Merge_1_2!$K$2:$K$611,$C700)),INDEX(Merge_1_2!$K$2:$K$611,$C700),""),INDEX(Dataset3_Raw!$K$2:$K$391,$E700))</f>
        <v>0.2424</v>
      </c>
      <c r="P700" s="25">
        <f>IF(ISNUMBER($O700),$O700,ROUND(Lookups!$B$25+Lookups!$B$24*$N700,4))</f>
        <v>0.2424</v>
      </c>
      <c r="Q700" s="25">
        <f>IF($C700&gt;0,INDEX(Merge_1_2!$L$2:$L$611,$C700),INDEX(Dataset3_Raw!$L$2:$L$391,$E700))</f>
        <v>0.86</v>
      </c>
      <c r="R700" s="25">
        <f>IF($C700&gt;0,INDEX(Merge_1_2!$M$2:$M$611,$C700),INDEX(Dataset3_Raw!$M$2:$M$391,$E700))</f>
        <v>0</v>
      </c>
      <c r="S700" s="23">
        <f>IF($C700&gt;0,INDEX(Merge_1_2!$N$2:$N$611,$C700),INDEX(Dataset3_Raw!$N$2:$N$391,$E700))</f>
        <v>2</v>
      </c>
      <c r="T700" s="23">
        <f>IF($C700&gt;0,INDEX(Merge_1_2!$O$2:$O$611,$C700),INDEX(Dataset3_Raw!$O$2:$O$391,$E700))</f>
        <v>49</v>
      </c>
      <c r="U700" s="23">
        <f>IF($C700&gt;0,INDEX(Merge_1_2!$P$2:$P$611,$C700),INDEX(Dataset3_Raw!$P$2:$P$391,$E700))</f>
        <v>51</v>
      </c>
      <c r="V700" s="23" t="str">
        <f t="shared" si="61"/>
        <v>Weekday</v>
      </c>
      <c r="W700" s="23" t="str">
        <f>VLOOKUP($M700,Lookups!$A$5:$B$8,2,FALSE())</f>
        <v>Mist / Cloudy</v>
      </c>
      <c r="X700" s="23" t="str">
        <f>VLOOKUP($G700,Lookups!$D$5:$E$8,2,FALSE())</f>
        <v>Winter</v>
      </c>
      <c r="Y700" s="23" t="str">
        <f>VLOOKUP($L700,Lookups!$G$5:$H$11,2,FALSE())</f>
        <v>Tuesday</v>
      </c>
      <c r="Z700" s="23" t="str">
        <f>IF($J700&lt;Lookups!$B$26,"Night",IF($J700&lt;Lookups!$B$27,"Morning",IF($J700&lt;Lookups!$B$28,"Afternoon","Evening")))</f>
        <v>Morning</v>
      </c>
      <c r="AA700" s="26">
        <f>ROUND($N700*(Lookups!$B$16-Lookups!$B$15)+Lookups!$B$15,1)</f>
        <v>0.5</v>
      </c>
      <c r="AB700" s="26">
        <f>ROUND($P700*(Lookups!$B$18-Lookups!$B$17)+Lookups!$B$17,1)</f>
        <v>0</v>
      </c>
      <c r="AC700" s="23">
        <f t="shared" si="62"/>
        <v>86</v>
      </c>
      <c r="AD700" s="23">
        <f>ROUND($R700*Lookups!$B$19,1)</f>
        <v>0</v>
      </c>
      <c r="AE700" s="27">
        <f t="shared" si="63"/>
        <v>0.96078431372549022</v>
      </c>
      <c r="AF700" s="23" t="str">
        <f>IF($U700&gt;=Lookups!$B$23,"High",IF($U700&gt;=Lookups!$B$22,"Medium","Low"))</f>
        <v>Medium</v>
      </c>
      <c r="AG700" s="23">
        <f>ROUND(IF($V700="Weekday",IF(INDEX(Hourly_Analysis!$D$5:$D$28,$J700+1)&gt;0,($U700-INDEX(Hourly_Analysis!$C$5:$C$28,$J700+1))/INDEX(Hourly_Analysis!$D$5:$D$28,$J700+1),0),IF(INDEX(Hourly_Analysis!$G$5:$G$28,$J700+1)&gt;0,($U700-INDEX(Hourly_Analysis!$F$5:$F$28,$J700+1))/INDEX(Hourly_Analysis!$G$5:$G$28,$J700+1),0)),2)</f>
        <v>0.08</v>
      </c>
      <c r="AH700" s="23" t="str">
        <f>IF(ABS($AG700)&gt;Lookups!$B$20,IF($AG700&gt;0,"High anomaly","Low anomaly"),"")</f>
        <v/>
      </c>
      <c r="AI700" s="23" t="str">
        <f t="shared" si="64"/>
        <v>OK</v>
      </c>
      <c r="AJ700" s="23" t="str">
        <f t="shared" si="65"/>
        <v>No</v>
      </c>
    </row>
    <row r="701" spans="1:36" x14ac:dyDescent="0.35">
      <c r="A701" s="23">
        <v>700</v>
      </c>
      <c r="B701" s="23" t="str">
        <f t="shared" si="60"/>
        <v>Dataset 3</v>
      </c>
      <c r="C701" s="23">
        <f>IFERROR(MATCH($A701,Merge_1_2!$A$2:$A$611,0),0)</f>
        <v>0</v>
      </c>
      <c r="D701" s="23">
        <f>IF($C701&gt;0,INDEX(Merge_1_2!$Q$2:$Q$611,$C701),0)</f>
        <v>0</v>
      </c>
      <c r="E701" s="23">
        <f>IFERROR(MATCH($A701,Dataset3_Raw!$A$2:$A$391,0),0)</f>
        <v>90</v>
      </c>
      <c r="F701" s="24">
        <f>IF($C701&gt;0,INDEX(Merge_1_2!$B$2:$B$611,$C701),DATE(VALUE(RIGHT(INDEX(Dataset3_Raw!$B$2:$B$391,$E701),4)),VALUE(MID(INDEX(Dataset3_Raw!$B$2:$B$391,$E701),4,2)),VALUE(LEFT(INDEX(Dataset3_Raw!$B$2:$B$391,$E701),2))))</f>
        <v>40575</v>
      </c>
      <c r="G701" s="23">
        <f>IF($C701&gt;0,INDEX(Merge_1_2!$C$2:$C$611,$C701),INDEX(Dataset3_Raw!$C$2:$C$391,$E701))</f>
        <v>1</v>
      </c>
      <c r="H701" s="23">
        <f>IF($C701&gt;0,INDEX(Merge_1_2!$D$2:$D$611,$C701),INDEX(Dataset3_Raw!$D$2:$D$391,$E701))</f>
        <v>0</v>
      </c>
      <c r="I701" s="23">
        <f>IF($C701&gt;0,INDEX(Merge_1_2!$E$2:$E$611,$C701),INDEX(Dataset3_Raw!$E$2:$E$391,$E701))</f>
        <v>2</v>
      </c>
      <c r="J701" s="23">
        <f>IF($C701&gt;0,INDEX(Merge_1_2!$F$2:$F$611,$C701),INDEX(Dataset3_Raw!$F$2:$F$391,$E701))</f>
        <v>12</v>
      </c>
      <c r="K701" s="23" t="b">
        <f>IF($C701&gt;0,INDEX(Merge_1_2!$G$2:$G$611,$C701),INDEX(Dataset3_Raw!$G$2:$G$391,$E701))</f>
        <v>0</v>
      </c>
      <c r="L701" s="23">
        <f>IF($C701&gt;0,INDEX(Merge_1_2!$H$2:$H$611,$C701),INDEX(Dataset3_Raw!$H$2:$H$391,$E701))</f>
        <v>2</v>
      </c>
      <c r="M701" s="23">
        <f>IF($C701&gt;0,INDEX(Merge_1_2!$I$2:$I$611,$C701),INDEX(Dataset3_Raw!$I$2:$I$391,$E701))</f>
        <v>2</v>
      </c>
      <c r="N701" s="25">
        <f>IF($C701&gt;0,INDEX(Merge_1_2!$J$2:$J$611,$C701),INDEX(Dataset3_Raw!$J$2:$J$391,$E701))</f>
        <v>0.2</v>
      </c>
      <c r="O701" s="25">
        <f>IF($C701&gt;0,IF(ISNUMBER(INDEX(Merge_1_2!$K$2:$K$611,$C701)),INDEX(Merge_1_2!$K$2:$K$611,$C701),""),INDEX(Dataset3_Raw!$K$2:$K$391,$E701))</f>
        <v>0.2576</v>
      </c>
      <c r="P701" s="25">
        <f>IF(ISNUMBER($O701),$O701,ROUND(Lookups!$B$25+Lookups!$B$24*$N701,4))</f>
        <v>0.2576</v>
      </c>
      <c r="Q701" s="25">
        <f>IF($C701&gt;0,INDEX(Merge_1_2!$L$2:$L$611,$C701),INDEX(Dataset3_Raw!$L$2:$L$391,$E701))</f>
        <v>0.86</v>
      </c>
      <c r="R701" s="25">
        <f>IF($C701&gt;0,INDEX(Merge_1_2!$M$2:$M$611,$C701),INDEX(Dataset3_Raw!$M$2:$M$391,$E701))</f>
        <v>0</v>
      </c>
      <c r="S701" s="23">
        <f>IF($C701&gt;0,INDEX(Merge_1_2!$N$2:$N$611,$C701),INDEX(Dataset3_Raw!$N$2:$N$391,$E701))</f>
        <v>2</v>
      </c>
      <c r="T701" s="23">
        <f>IF($C701&gt;0,INDEX(Merge_1_2!$O$2:$O$611,$C701),INDEX(Dataset3_Raw!$O$2:$O$391,$E701))</f>
        <v>53</v>
      </c>
      <c r="U701" s="23">
        <f>IF($C701&gt;0,INDEX(Merge_1_2!$P$2:$P$611,$C701),INDEX(Dataset3_Raw!$P$2:$P$391,$E701))</f>
        <v>55</v>
      </c>
      <c r="V701" s="23" t="str">
        <f t="shared" si="61"/>
        <v>Weekday</v>
      </c>
      <c r="W701" s="23" t="str">
        <f>VLOOKUP($M701,Lookups!$A$5:$B$8,2,FALSE())</f>
        <v>Mist / Cloudy</v>
      </c>
      <c r="X701" s="23" t="str">
        <f>VLOOKUP($G701,Lookups!$D$5:$E$8,2,FALSE())</f>
        <v>Winter</v>
      </c>
      <c r="Y701" s="23" t="str">
        <f>VLOOKUP($L701,Lookups!$G$5:$H$11,2,FALSE())</f>
        <v>Tuesday</v>
      </c>
      <c r="Z701" s="23" t="str">
        <f>IF($J701&lt;Lookups!$B$26,"Night",IF($J701&lt;Lookups!$B$27,"Morning",IF($J701&lt;Lookups!$B$28,"Afternoon","Evening")))</f>
        <v>Afternoon</v>
      </c>
      <c r="AA701" s="26">
        <f>ROUND($N701*(Lookups!$B$16-Lookups!$B$15)+Lookups!$B$15,1)</f>
        <v>1.4</v>
      </c>
      <c r="AB701" s="26">
        <f>ROUND($P701*(Lookups!$B$18-Lookups!$B$17)+Lookups!$B$17,1)</f>
        <v>1</v>
      </c>
      <c r="AC701" s="23">
        <f t="shared" si="62"/>
        <v>86</v>
      </c>
      <c r="AD701" s="23">
        <f>ROUND($R701*Lookups!$B$19,1)</f>
        <v>0</v>
      </c>
      <c r="AE701" s="27">
        <f t="shared" si="63"/>
        <v>0.96363636363636362</v>
      </c>
      <c r="AF701" s="23" t="str">
        <f>IF($U701&gt;=Lookups!$B$23,"High",IF($U701&gt;=Lookups!$B$22,"Medium","Low"))</f>
        <v>Medium</v>
      </c>
      <c r="AG701" s="23">
        <f>ROUND(IF($V701="Weekday",IF(INDEX(Hourly_Analysis!$D$5:$D$28,$J701+1)&gt;0,($U701-INDEX(Hourly_Analysis!$C$5:$C$28,$J701+1))/INDEX(Hourly_Analysis!$D$5:$D$28,$J701+1),0),IF(INDEX(Hourly_Analysis!$G$5:$G$28,$J701+1)&gt;0,($U701-INDEX(Hourly_Analysis!$F$5:$F$28,$J701+1))/INDEX(Hourly_Analysis!$G$5:$G$28,$J701+1),0)),2)</f>
        <v>-0.48</v>
      </c>
      <c r="AH701" s="23" t="str">
        <f>IF(ABS($AG701)&gt;Lookups!$B$20,IF($AG701&gt;0,"High anomaly","Low anomaly"),"")</f>
        <v/>
      </c>
      <c r="AI701" s="23" t="str">
        <f t="shared" si="64"/>
        <v>OK</v>
      </c>
      <c r="AJ701" s="23" t="str">
        <f t="shared" si="65"/>
        <v>No</v>
      </c>
    </row>
    <row r="702" spans="1:36" x14ac:dyDescent="0.35">
      <c r="A702" s="23">
        <v>701</v>
      </c>
      <c r="B702" s="23" t="str">
        <f t="shared" si="60"/>
        <v>Dataset 3</v>
      </c>
      <c r="C702" s="23">
        <f>IFERROR(MATCH($A702,Merge_1_2!$A$2:$A$611,0),0)</f>
        <v>0</v>
      </c>
      <c r="D702" s="23">
        <f>IF($C702&gt;0,INDEX(Merge_1_2!$Q$2:$Q$611,$C702),0)</f>
        <v>0</v>
      </c>
      <c r="E702" s="23">
        <f>IFERROR(MATCH($A702,Dataset3_Raw!$A$2:$A$391,0),0)</f>
        <v>91</v>
      </c>
      <c r="F702" s="24">
        <f>IF($C702&gt;0,INDEX(Merge_1_2!$B$2:$B$611,$C702),DATE(VALUE(RIGHT(INDEX(Dataset3_Raw!$B$2:$B$391,$E702),4)),VALUE(MID(INDEX(Dataset3_Raw!$B$2:$B$391,$E702),4,2)),VALUE(LEFT(INDEX(Dataset3_Raw!$B$2:$B$391,$E702),2))))</f>
        <v>40575</v>
      </c>
      <c r="G702" s="23">
        <f>IF($C702&gt;0,INDEX(Merge_1_2!$C$2:$C$611,$C702),INDEX(Dataset3_Raw!$C$2:$C$391,$E702))</f>
        <v>1</v>
      </c>
      <c r="H702" s="23">
        <f>IF($C702&gt;0,INDEX(Merge_1_2!$D$2:$D$611,$C702),INDEX(Dataset3_Raw!$D$2:$D$391,$E702))</f>
        <v>0</v>
      </c>
      <c r="I702" s="23">
        <f>IF($C702&gt;0,INDEX(Merge_1_2!$E$2:$E$611,$C702),INDEX(Dataset3_Raw!$E$2:$E$391,$E702))</f>
        <v>2</v>
      </c>
      <c r="J702" s="23">
        <f>IF($C702&gt;0,INDEX(Merge_1_2!$F$2:$F$611,$C702),INDEX(Dataset3_Raw!$F$2:$F$391,$E702))</f>
        <v>13</v>
      </c>
      <c r="K702" s="23" t="b">
        <f>IF($C702&gt;0,INDEX(Merge_1_2!$G$2:$G$611,$C702),INDEX(Dataset3_Raw!$G$2:$G$391,$E702))</f>
        <v>0</v>
      </c>
      <c r="L702" s="23">
        <f>IF($C702&gt;0,INDEX(Merge_1_2!$H$2:$H$611,$C702),INDEX(Dataset3_Raw!$H$2:$H$391,$E702))</f>
        <v>2</v>
      </c>
      <c r="M702" s="23">
        <f>IF($C702&gt;0,INDEX(Merge_1_2!$I$2:$I$611,$C702),INDEX(Dataset3_Raw!$I$2:$I$391,$E702))</f>
        <v>2</v>
      </c>
      <c r="N702" s="25">
        <f>IF($C702&gt;0,INDEX(Merge_1_2!$J$2:$J$611,$C702),INDEX(Dataset3_Raw!$J$2:$J$391,$E702))</f>
        <v>0.2</v>
      </c>
      <c r="O702" s="25">
        <f>IF($C702&gt;0,IF(ISNUMBER(INDEX(Merge_1_2!$K$2:$K$611,$C702)),INDEX(Merge_1_2!$K$2:$K$611,$C702),""),INDEX(Dataset3_Raw!$K$2:$K$391,$E702))</f>
        <v>0.2576</v>
      </c>
      <c r="P702" s="25">
        <f>IF(ISNUMBER($O702),$O702,ROUND(Lookups!$B$25+Lookups!$B$24*$N702,4))</f>
        <v>0.2576</v>
      </c>
      <c r="Q702" s="25">
        <f>IF($C702&gt;0,INDEX(Merge_1_2!$L$2:$L$611,$C702),INDEX(Dataset3_Raw!$L$2:$L$391,$E702))</f>
        <v>0.86</v>
      </c>
      <c r="R702" s="25">
        <f>IF($C702&gt;0,INDEX(Merge_1_2!$M$2:$M$611,$C702),INDEX(Dataset3_Raw!$M$2:$M$391,$E702))</f>
        <v>0</v>
      </c>
      <c r="S702" s="23">
        <f>IF($C702&gt;0,INDEX(Merge_1_2!$N$2:$N$611,$C702),INDEX(Dataset3_Raw!$N$2:$N$391,$E702))</f>
        <v>3</v>
      </c>
      <c r="T702" s="23">
        <f>IF($C702&gt;0,INDEX(Merge_1_2!$O$2:$O$611,$C702),INDEX(Dataset3_Raw!$O$2:$O$391,$E702))</f>
        <v>49</v>
      </c>
      <c r="U702" s="23">
        <f>IF($C702&gt;0,INDEX(Merge_1_2!$P$2:$P$611,$C702),INDEX(Dataset3_Raw!$P$2:$P$391,$E702))</f>
        <v>52</v>
      </c>
      <c r="V702" s="23" t="str">
        <f t="shared" si="61"/>
        <v>Weekday</v>
      </c>
      <c r="W702" s="23" t="str">
        <f>VLOOKUP($M702,Lookups!$A$5:$B$8,2,FALSE())</f>
        <v>Mist / Cloudy</v>
      </c>
      <c r="X702" s="23" t="str">
        <f>VLOOKUP($G702,Lookups!$D$5:$E$8,2,FALSE())</f>
        <v>Winter</v>
      </c>
      <c r="Y702" s="23" t="str">
        <f>VLOOKUP($L702,Lookups!$G$5:$H$11,2,FALSE())</f>
        <v>Tuesday</v>
      </c>
      <c r="Z702" s="23" t="str">
        <f>IF($J702&lt;Lookups!$B$26,"Night",IF($J702&lt;Lookups!$B$27,"Morning",IF($J702&lt;Lookups!$B$28,"Afternoon","Evening")))</f>
        <v>Afternoon</v>
      </c>
      <c r="AA702" s="26">
        <f>ROUND($N702*(Lookups!$B$16-Lookups!$B$15)+Lookups!$B$15,1)</f>
        <v>1.4</v>
      </c>
      <c r="AB702" s="26">
        <f>ROUND($P702*(Lookups!$B$18-Lookups!$B$17)+Lookups!$B$17,1)</f>
        <v>1</v>
      </c>
      <c r="AC702" s="23">
        <f t="shared" si="62"/>
        <v>86</v>
      </c>
      <c r="AD702" s="23">
        <f>ROUND($R702*Lookups!$B$19,1)</f>
        <v>0</v>
      </c>
      <c r="AE702" s="27">
        <f t="shared" si="63"/>
        <v>0.94230769230769229</v>
      </c>
      <c r="AF702" s="23" t="str">
        <f>IF($U702&gt;=Lookups!$B$23,"High",IF($U702&gt;=Lookups!$B$22,"Medium","Low"))</f>
        <v>Medium</v>
      </c>
      <c r="AG702" s="23">
        <f>ROUND(IF($V702="Weekday",IF(INDEX(Hourly_Analysis!$D$5:$D$28,$J702+1)&gt;0,($U702-INDEX(Hourly_Analysis!$C$5:$C$28,$J702+1))/INDEX(Hourly_Analysis!$D$5:$D$28,$J702+1),0),IF(INDEX(Hourly_Analysis!$G$5:$G$28,$J702+1)&gt;0,($U702-INDEX(Hourly_Analysis!$F$5:$F$28,$J702+1))/INDEX(Hourly_Analysis!$G$5:$G$28,$J702+1),0)),2)</f>
        <v>-0.71</v>
      </c>
      <c r="AH702" s="23" t="str">
        <f>IF(ABS($AG702)&gt;Lookups!$B$20,IF($AG702&gt;0,"High anomaly","Low anomaly"),"")</f>
        <v/>
      </c>
      <c r="AI702" s="23" t="str">
        <f t="shared" si="64"/>
        <v>OK</v>
      </c>
      <c r="AJ702" s="23" t="str">
        <f t="shared" si="65"/>
        <v>No</v>
      </c>
    </row>
    <row r="703" spans="1:36" x14ac:dyDescent="0.35">
      <c r="A703" s="23">
        <v>702</v>
      </c>
      <c r="B703" s="23" t="str">
        <f t="shared" si="60"/>
        <v>Dataset 3</v>
      </c>
      <c r="C703" s="23">
        <f>IFERROR(MATCH($A703,Merge_1_2!$A$2:$A$611,0),0)</f>
        <v>0</v>
      </c>
      <c r="D703" s="23">
        <f>IF($C703&gt;0,INDEX(Merge_1_2!$Q$2:$Q$611,$C703),0)</f>
        <v>0</v>
      </c>
      <c r="E703" s="23">
        <f>IFERROR(MATCH($A703,Dataset3_Raw!$A$2:$A$391,0),0)</f>
        <v>92</v>
      </c>
      <c r="F703" s="24">
        <f>IF($C703&gt;0,INDEX(Merge_1_2!$B$2:$B$611,$C703),DATE(VALUE(RIGHT(INDEX(Dataset3_Raw!$B$2:$B$391,$E703),4)),VALUE(MID(INDEX(Dataset3_Raw!$B$2:$B$391,$E703),4,2)),VALUE(LEFT(INDEX(Dataset3_Raw!$B$2:$B$391,$E703),2))))</f>
        <v>40575</v>
      </c>
      <c r="G703" s="23">
        <f>IF($C703&gt;0,INDEX(Merge_1_2!$C$2:$C$611,$C703),INDEX(Dataset3_Raw!$C$2:$C$391,$E703))</f>
        <v>1</v>
      </c>
      <c r="H703" s="23">
        <f>IF($C703&gt;0,INDEX(Merge_1_2!$D$2:$D$611,$C703),INDEX(Dataset3_Raw!$D$2:$D$391,$E703))</f>
        <v>0</v>
      </c>
      <c r="I703" s="23">
        <f>IF($C703&gt;0,INDEX(Merge_1_2!$E$2:$E$611,$C703),INDEX(Dataset3_Raw!$E$2:$E$391,$E703))</f>
        <v>2</v>
      </c>
      <c r="J703" s="23">
        <f>IF($C703&gt;0,INDEX(Merge_1_2!$F$2:$F$611,$C703),INDEX(Dataset3_Raw!$F$2:$F$391,$E703))</f>
        <v>14</v>
      </c>
      <c r="K703" s="23" t="b">
        <f>IF($C703&gt;0,INDEX(Merge_1_2!$G$2:$G$611,$C703),INDEX(Dataset3_Raw!$G$2:$G$391,$E703))</f>
        <v>0</v>
      </c>
      <c r="L703" s="23">
        <f>IF($C703&gt;0,INDEX(Merge_1_2!$H$2:$H$611,$C703),INDEX(Dataset3_Raw!$H$2:$H$391,$E703))</f>
        <v>2</v>
      </c>
      <c r="M703" s="23">
        <f>IF($C703&gt;0,INDEX(Merge_1_2!$I$2:$I$611,$C703),INDEX(Dataset3_Raw!$I$2:$I$391,$E703))</f>
        <v>2</v>
      </c>
      <c r="N703" s="25">
        <f>IF($C703&gt;0,INDEX(Merge_1_2!$J$2:$J$611,$C703),INDEX(Dataset3_Raw!$J$2:$J$391,$E703))</f>
        <v>0.22</v>
      </c>
      <c r="O703" s="25">
        <f>IF($C703&gt;0,IF(ISNUMBER(INDEX(Merge_1_2!$K$2:$K$611,$C703)),INDEX(Merge_1_2!$K$2:$K$611,$C703),""),INDEX(Dataset3_Raw!$K$2:$K$391,$E703))</f>
        <v>0.2576</v>
      </c>
      <c r="P703" s="25">
        <f>IF(ISNUMBER($O703),$O703,ROUND(Lookups!$B$25+Lookups!$B$24*$N703,4))</f>
        <v>0.2576</v>
      </c>
      <c r="Q703" s="25">
        <f>IF($C703&gt;0,INDEX(Merge_1_2!$L$2:$L$611,$C703),INDEX(Dataset3_Raw!$L$2:$L$391,$E703))</f>
        <v>0.8</v>
      </c>
      <c r="R703" s="25">
        <f>IF($C703&gt;0,INDEX(Merge_1_2!$M$2:$M$611,$C703),INDEX(Dataset3_Raw!$M$2:$M$391,$E703))</f>
        <v>8.9599999999999999E-2</v>
      </c>
      <c r="S703" s="23">
        <f>IF($C703&gt;0,INDEX(Merge_1_2!$N$2:$N$611,$C703),INDEX(Dataset3_Raw!$N$2:$N$391,$E703))</f>
        <v>5</v>
      </c>
      <c r="T703" s="23">
        <f>IF($C703&gt;0,INDEX(Merge_1_2!$O$2:$O$611,$C703),INDEX(Dataset3_Raw!$O$2:$O$391,$E703))</f>
        <v>49</v>
      </c>
      <c r="U703" s="23">
        <f>IF($C703&gt;0,INDEX(Merge_1_2!$P$2:$P$611,$C703),INDEX(Dataset3_Raw!$P$2:$P$391,$E703))</f>
        <v>54</v>
      </c>
      <c r="V703" s="23" t="str">
        <f t="shared" si="61"/>
        <v>Weekday</v>
      </c>
      <c r="W703" s="23" t="str">
        <f>VLOOKUP($M703,Lookups!$A$5:$B$8,2,FALSE())</f>
        <v>Mist / Cloudy</v>
      </c>
      <c r="X703" s="23" t="str">
        <f>VLOOKUP($G703,Lookups!$D$5:$E$8,2,FALSE())</f>
        <v>Winter</v>
      </c>
      <c r="Y703" s="23" t="str">
        <f>VLOOKUP($L703,Lookups!$G$5:$H$11,2,FALSE())</f>
        <v>Tuesday</v>
      </c>
      <c r="Z703" s="23" t="str">
        <f>IF($J703&lt;Lookups!$B$26,"Night",IF($J703&lt;Lookups!$B$27,"Morning",IF($J703&lt;Lookups!$B$28,"Afternoon","Evening")))</f>
        <v>Afternoon</v>
      </c>
      <c r="AA703" s="26">
        <f>ROUND($N703*(Lookups!$B$16-Lookups!$B$15)+Lookups!$B$15,1)</f>
        <v>2.2999999999999998</v>
      </c>
      <c r="AB703" s="26">
        <f>ROUND($P703*(Lookups!$B$18-Lookups!$B$17)+Lookups!$B$17,1)</f>
        <v>1</v>
      </c>
      <c r="AC703" s="23">
        <f t="shared" si="62"/>
        <v>80</v>
      </c>
      <c r="AD703" s="23">
        <f>ROUND($R703*Lookups!$B$19,1)</f>
        <v>6</v>
      </c>
      <c r="AE703" s="27">
        <f t="shared" si="63"/>
        <v>0.90740740740740744</v>
      </c>
      <c r="AF703" s="23" t="str">
        <f>IF($U703&gt;=Lookups!$B$23,"High",IF($U703&gt;=Lookups!$B$22,"Medium","Low"))</f>
        <v>Medium</v>
      </c>
      <c r="AG703" s="23">
        <f>ROUND(IF($V703="Weekday",IF(INDEX(Hourly_Analysis!$D$5:$D$28,$J703+1)&gt;0,($U703-INDEX(Hourly_Analysis!$C$5:$C$28,$J703+1))/INDEX(Hourly_Analysis!$D$5:$D$28,$J703+1),0),IF(INDEX(Hourly_Analysis!$G$5:$G$28,$J703+1)&gt;0,($U703-INDEX(Hourly_Analysis!$F$5:$F$28,$J703+1))/INDEX(Hourly_Analysis!$G$5:$G$28,$J703+1),0)),2)</f>
        <v>-0.35</v>
      </c>
      <c r="AH703" s="23" t="str">
        <f>IF(ABS($AG703)&gt;Lookups!$B$20,IF($AG703&gt;0,"High anomaly","Low anomaly"),"")</f>
        <v/>
      </c>
      <c r="AI703" s="23" t="str">
        <f t="shared" si="64"/>
        <v>OK</v>
      </c>
      <c r="AJ703" s="23" t="str">
        <f t="shared" si="65"/>
        <v>No</v>
      </c>
    </row>
    <row r="704" spans="1:36" x14ac:dyDescent="0.35">
      <c r="A704" s="23">
        <v>703</v>
      </c>
      <c r="B704" s="23" t="str">
        <f t="shared" si="60"/>
        <v>Dataset 3</v>
      </c>
      <c r="C704" s="23">
        <f>IFERROR(MATCH($A704,Merge_1_2!$A$2:$A$611,0),0)</f>
        <v>0</v>
      </c>
      <c r="D704" s="23">
        <f>IF($C704&gt;0,INDEX(Merge_1_2!$Q$2:$Q$611,$C704),0)</f>
        <v>0</v>
      </c>
      <c r="E704" s="23">
        <f>IFERROR(MATCH($A704,Dataset3_Raw!$A$2:$A$391,0),0)</f>
        <v>93</v>
      </c>
      <c r="F704" s="24">
        <f>IF($C704&gt;0,INDEX(Merge_1_2!$B$2:$B$611,$C704),DATE(VALUE(RIGHT(INDEX(Dataset3_Raw!$B$2:$B$391,$E704),4)),VALUE(MID(INDEX(Dataset3_Raw!$B$2:$B$391,$E704),4,2)),VALUE(LEFT(INDEX(Dataset3_Raw!$B$2:$B$391,$E704),2))))</f>
        <v>40575</v>
      </c>
      <c r="G704" s="23">
        <f>IF($C704&gt;0,INDEX(Merge_1_2!$C$2:$C$611,$C704),INDEX(Dataset3_Raw!$C$2:$C$391,$E704))</f>
        <v>1</v>
      </c>
      <c r="H704" s="23">
        <f>IF($C704&gt;0,INDEX(Merge_1_2!$D$2:$D$611,$C704),INDEX(Dataset3_Raw!$D$2:$D$391,$E704))</f>
        <v>0</v>
      </c>
      <c r="I704" s="23">
        <f>IF($C704&gt;0,INDEX(Merge_1_2!$E$2:$E$611,$C704),INDEX(Dataset3_Raw!$E$2:$E$391,$E704))</f>
        <v>2</v>
      </c>
      <c r="J704" s="23">
        <f>IF($C704&gt;0,INDEX(Merge_1_2!$F$2:$F$611,$C704),INDEX(Dataset3_Raw!$F$2:$F$391,$E704))</f>
        <v>15</v>
      </c>
      <c r="K704" s="23" t="b">
        <f>IF($C704&gt;0,INDEX(Merge_1_2!$G$2:$G$611,$C704),INDEX(Dataset3_Raw!$G$2:$G$391,$E704))</f>
        <v>0</v>
      </c>
      <c r="L704" s="23">
        <f>IF($C704&gt;0,INDEX(Merge_1_2!$H$2:$H$611,$C704),INDEX(Dataset3_Raw!$H$2:$H$391,$E704))</f>
        <v>2</v>
      </c>
      <c r="M704" s="23">
        <f>IF($C704&gt;0,INDEX(Merge_1_2!$I$2:$I$611,$C704),INDEX(Dataset3_Raw!$I$2:$I$391,$E704))</f>
        <v>2</v>
      </c>
      <c r="N704" s="25">
        <f>IF($C704&gt;0,INDEX(Merge_1_2!$J$2:$J$611,$C704),INDEX(Dataset3_Raw!$J$2:$J$391,$E704))</f>
        <v>0.24</v>
      </c>
      <c r="O704" s="25">
        <f>IF($C704&gt;0,IF(ISNUMBER(INDEX(Merge_1_2!$K$2:$K$611,$C704)),INDEX(Merge_1_2!$K$2:$K$611,$C704),""),INDEX(Dataset3_Raw!$K$2:$K$391,$E704))</f>
        <v>0.28789999999999999</v>
      </c>
      <c r="P704" s="25">
        <f>IF(ISNUMBER($O704),$O704,ROUND(Lookups!$B$25+Lookups!$B$24*$N704,4))</f>
        <v>0.28789999999999999</v>
      </c>
      <c r="Q704" s="25">
        <f>IF($C704&gt;0,INDEX(Merge_1_2!$L$2:$L$611,$C704),INDEX(Dataset3_Raw!$L$2:$L$391,$E704))</f>
        <v>0.75</v>
      </c>
      <c r="R704" s="25">
        <f>IF($C704&gt;0,INDEX(Merge_1_2!$M$2:$M$611,$C704),INDEX(Dataset3_Raw!$M$2:$M$391,$E704))</f>
        <v>0</v>
      </c>
      <c r="S704" s="23">
        <f>IF($C704&gt;0,INDEX(Merge_1_2!$N$2:$N$611,$C704),INDEX(Dataset3_Raw!$N$2:$N$391,$E704))</f>
        <v>7</v>
      </c>
      <c r="T704" s="23">
        <f>IF($C704&gt;0,INDEX(Merge_1_2!$O$2:$O$611,$C704),INDEX(Dataset3_Raw!$O$2:$O$391,$E704))</f>
        <v>45</v>
      </c>
      <c r="U704" s="23">
        <f>IF($C704&gt;0,INDEX(Merge_1_2!$P$2:$P$611,$C704),INDEX(Dataset3_Raw!$P$2:$P$391,$E704))</f>
        <v>52</v>
      </c>
      <c r="V704" s="23" t="str">
        <f t="shared" si="61"/>
        <v>Weekday</v>
      </c>
      <c r="W704" s="23" t="str">
        <f>VLOOKUP($M704,Lookups!$A$5:$B$8,2,FALSE())</f>
        <v>Mist / Cloudy</v>
      </c>
      <c r="X704" s="23" t="str">
        <f>VLOOKUP($G704,Lookups!$D$5:$E$8,2,FALSE())</f>
        <v>Winter</v>
      </c>
      <c r="Y704" s="23" t="str">
        <f>VLOOKUP($L704,Lookups!$G$5:$H$11,2,FALSE())</f>
        <v>Tuesday</v>
      </c>
      <c r="Z704" s="23" t="str">
        <f>IF($J704&lt;Lookups!$B$26,"Night",IF($J704&lt;Lookups!$B$27,"Morning",IF($J704&lt;Lookups!$B$28,"Afternoon","Evening")))</f>
        <v>Afternoon</v>
      </c>
      <c r="AA704" s="26">
        <f>ROUND($N704*(Lookups!$B$16-Lookups!$B$15)+Lookups!$B$15,1)</f>
        <v>3.3</v>
      </c>
      <c r="AB704" s="26">
        <f>ROUND($P704*(Lookups!$B$18-Lookups!$B$17)+Lookups!$B$17,1)</f>
        <v>3</v>
      </c>
      <c r="AC704" s="23">
        <f t="shared" si="62"/>
        <v>75</v>
      </c>
      <c r="AD704" s="23">
        <f>ROUND($R704*Lookups!$B$19,1)</f>
        <v>0</v>
      </c>
      <c r="AE704" s="27">
        <f t="shared" si="63"/>
        <v>0.86538461538461542</v>
      </c>
      <c r="AF704" s="23" t="str">
        <f>IF($U704&gt;=Lookups!$B$23,"High",IF($U704&gt;=Lookups!$B$22,"Medium","Low"))</f>
        <v>Medium</v>
      </c>
      <c r="AG704" s="23">
        <f>ROUND(IF($V704="Weekday",IF(INDEX(Hourly_Analysis!$D$5:$D$28,$J704+1)&gt;0,($U704-INDEX(Hourly_Analysis!$C$5:$C$28,$J704+1))/INDEX(Hourly_Analysis!$D$5:$D$28,$J704+1),0),IF(INDEX(Hourly_Analysis!$G$5:$G$28,$J704+1)&gt;0,($U704-INDEX(Hourly_Analysis!$F$5:$F$28,$J704+1))/INDEX(Hourly_Analysis!$G$5:$G$28,$J704+1),0)),2)</f>
        <v>-0.59</v>
      </c>
      <c r="AH704" s="23" t="str">
        <f>IF(ABS($AG704)&gt;Lookups!$B$20,IF($AG704&gt;0,"High anomaly","Low anomaly"),"")</f>
        <v/>
      </c>
      <c r="AI704" s="23" t="str">
        <f t="shared" si="64"/>
        <v>OK</v>
      </c>
      <c r="AJ704" s="23" t="str">
        <f t="shared" si="65"/>
        <v>No</v>
      </c>
    </row>
    <row r="705" spans="1:36" x14ac:dyDescent="0.35">
      <c r="A705" s="23">
        <v>704</v>
      </c>
      <c r="B705" s="23" t="str">
        <f t="shared" si="60"/>
        <v>Dataset 3</v>
      </c>
      <c r="C705" s="23">
        <f>IFERROR(MATCH($A705,Merge_1_2!$A$2:$A$611,0),0)</f>
        <v>0</v>
      </c>
      <c r="D705" s="23">
        <f>IF($C705&gt;0,INDEX(Merge_1_2!$Q$2:$Q$611,$C705),0)</f>
        <v>0</v>
      </c>
      <c r="E705" s="23">
        <f>IFERROR(MATCH($A705,Dataset3_Raw!$A$2:$A$391,0),0)</f>
        <v>94</v>
      </c>
      <c r="F705" s="24">
        <f>IF($C705&gt;0,INDEX(Merge_1_2!$B$2:$B$611,$C705),DATE(VALUE(RIGHT(INDEX(Dataset3_Raw!$B$2:$B$391,$E705),4)),VALUE(MID(INDEX(Dataset3_Raw!$B$2:$B$391,$E705),4,2)),VALUE(LEFT(INDEX(Dataset3_Raw!$B$2:$B$391,$E705),2))))</f>
        <v>40575</v>
      </c>
      <c r="G705" s="23">
        <f>IF($C705&gt;0,INDEX(Merge_1_2!$C$2:$C$611,$C705),INDEX(Dataset3_Raw!$C$2:$C$391,$E705))</f>
        <v>1</v>
      </c>
      <c r="H705" s="23">
        <f>IF($C705&gt;0,INDEX(Merge_1_2!$D$2:$D$611,$C705),INDEX(Dataset3_Raw!$D$2:$D$391,$E705))</f>
        <v>0</v>
      </c>
      <c r="I705" s="23">
        <f>IF($C705&gt;0,INDEX(Merge_1_2!$E$2:$E$611,$C705),INDEX(Dataset3_Raw!$E$2:$E$391,$E705))</f>
        <v>2</v>
      </c>
      <c r="J705" s="23">
        <f>IF($C705&gt;0,INDEX(Merge_1_2!$F$2:$F$611,$C705),INDEX(Dataset3_Raw!$F$2:$F$391,$E705))</f>
        <v>16</v>
      </c>
      <c r="K705" s="23" t="b">
        <f>IF($C705&gt;0,INDEX(Merge_1_2!$G$2:$G$611,$C705),INDEX(Dataset3_Raw!$G$2:$G$391,$E705))</f>
        <v>0</v>
      </c>
      <c r="L705" s="23">
        <f>IF($C705&gt;0,INDEX(Merge_1_2!$H$2:$H$611,$C705),INDEX(Dataset3_Raw!$H$2:$H$391,$E705))</f>
        <v>2</v>
      </c>
      <c r="M705" s="23">
        <f>IF($C705&gt;0,INDEX(Merge_1_2!$I$2:$I$611,$C705),INDEX(Dataset3_Raw!$I$2:$I$391,$E705))</f>
        <v>2</v>
      </c>
      <c r="N705" s="25">
        <f>IF($C705&gt;0,INDEX(Merge_1_2!$J$2:$J$611,$C705),INDEX(Dataset3_Raw!$J$2:$J$391,$E705))</f>
        <v>0.24</v>
      </c>
      <c r="O705" s="25">
        <f>IF($C705&gt;0,IF(ISNUMBER(INDEX(Merge_1_2!$K$2:$K$611,$C705)),INDEX(Merge_1_2!$K$2:$K$611,$C705),""),INDEX(Dataset3_Raw!$K$2:$K$391,$E705))</f>
        <v>0.2424</v>
      </c>
      <c r="P705" s="25">
        <f>IF(ISNUMBER($O705),$O705,ROUND(Lookups!$B$25+Lookups!$B$24*$N705,4))</f>
        <v>0.2424</v>
      </c>
      <c r="Q705" s="25">
        <f>IF($C705&gt;0,INDEX(Merge_1_2!$L$2:$L$611,$C705),INDEX(Dataset3_Raw!$L$2:$L$391,$E705))</f>
        <v>0.75</v>
      </c>
      <c r="R705" s="25">
        <f>IF($C705&gt;0,INDEX(Merge_1_2!$M$2:$M$611,$C705),INDEX(Dataset3_Raw!$M$2:$M$391,$E705))</f>
        <v>0.1343</v>
      </c>
      <c r="S705" s="23">
        <f>IF($C705&gt;0,INDEX(Merge_1_2!$N$2:$N$611,$C705),INDEX(Dataset3_Raw!$N$2:$N$391,$E705))</f>
        <v>3</v>
      </c>
      <c r="T705" s="23">
        <f>IF($C705&gt;0,INDEX(Merge_1_2!$O$2:$O$611,$C705),INDEX(Dataset3_Raw!$O$2:$O$391,$E705))</f>
        <v>61</v>
      </c>
      <c r="U705" s="23">
        <f>IF($C705&gt;0,INDEX(Merge_1_2!$P$2:$P$611,$C705),INDEX(Dataset3_Raw!$P$2:$P$391,$E705))</f>
        <v>64</v>
      </c>
      <c r="V705" s="23" t="str">
        <f t="shared" si="61"/>
        <v>Weekday</v>
      </c>
      <c r="W705" s="23" t="str">
        <f>VLOOKUP($M705,Lookups!$A$5:$B$8,2,FALSE())</f>
        <v>Mist / Cloudy</v>
      </c>
      <c r="X705" s="23" t="str">
        <f>VLOOKUP($G705,Lookups!$D$5:$E$8,2,FALSE())</f>
        <v>Winter</v>
      </c>
      <c r="Y705" s="23" t="str">
        <f>VLOOKUP($L705,Lookups!$G$5:$H$11,2,FALSE())</f>
        <v>Tuesday</v>
      </c>
      <c r="Z705" s="23" t="str">
        <f>IF($J705&lt;Lookups!$B$26,"Night",IF($J705&lt;Lookups!$B$27,"Morning",IF($J705&lt;Lookups!$B$28,"Afternoon","Evening")))</f>
        <v>Afternoon</v>
      </c>
      <c r="AA705" s="26">
        <f>ROUND($N705*(Lookups!$B$16-Lookups!$B$15)+Lookups!$B$15,1)</f>
        <v>3.3</v>
      </c>
      <c r="AB705" s="26">
        <f>ROUND($P705*(Lookups!$B$18-Lookups!$B$17)+Lookups!$B$17,1)</f>
        <v>0</v>
      </c>
      <c r="AC705" s="23">
        <f t="shared" si="62"/>
        <v>75</v>
      </c>
      <c r="AD705" s="23">
        <f>ROUND($R705*Lookups!$B$19,1)</f>
        <v>9</v>
      </c>
      <c r="AE705" s="27">
        <f t="shared" si="63"/>
        <v>0.953125</v>
      </c>
      <c r="AF705" s="23" t="str">
        <f>IF($U705&gt;=Lookups!$B$23,"High",IF($U705&gt;=Lookups!$B$22,"Medium","Low"))</f>
        <v>Medium</v>
      </c>
      <c r="AG705" s="23">
        <f>ROUND(IF($V705="Weekday",IF(INDEX(Hourly_Analysis!$D$5:$D$28,$J705+1)&gt;0,($U705-INDEX(Hourly_Analysis!$C$5:$C$28,$J705+1))/INDEX(Hourly_Analysis!$D$5:$D$28,$J705+1),0),IF(INDEX(Hourly_Analysis!$G$5:$G$28,$J705+1)&gt;0,($U705-INDEX(Hourly_Analysis!$F$5:$F$28,$J705+1))/INDEX(Hourly_Analysis!$G$5:$G$28,$J705+1),0)),2)</f>
        <v>-0.88</v>
      </c>
      <c r="AH705" s="23" t="str">
        <f>IF(ABS($AG705)&gt;Lookups!$B$20,IF($AG705&gt;0,"High anomaly","Low anomaly"),"")</f>
        <v/>
      </c>
      <c r="AI705" s="23" t="str">
        <f t="shared" si="64"/>
        <v>OK</v>
      </c>
      <c r="AJ705" s="23" t="str">
        <f t="shared" si="65"/>
        <v>No</v>
      </c>
    </row>
    <row r="706" spans="1:36" x14ac:dyDescent="0.35">
      <c r="A706" s="23">
        <v>705</v>
      </c>
      <c r="B706" s="23" t="str">
        <f t="shared" ref="B706:B769" si="66">IF($C706&gt;0,"Merge 1+2","Dataset 3")</f>
        <v>Dataset 3</v>
      </c>
      <c r="C706" s="23">
        <f>IFERROR(MATCH($A706,Merge_1_2!$A$2:$A$611,0),0)</f>
        <v>0</v>
      </c>
      <c r="D706" s="23">
        <f>IF($C706&gt;0,INDEX(Merge_1_2!$Q$2:$Q$611,$C706),0)</f>
        <v>0</v>
      </c>
      <c r="E706" s="23">
        <f>IFERROR(MATCH($A706,Dataset3_Raw!$A$2:$A$391,0),0)</f>
        <v>95</v>
      </c>
      <c r="F706" s="24">
        <f>IF($C706&gt;0,INDEX(Merge_1_2!$B$2:$B$611,$C706),DATE(VALUE(RIGHT(INDEX(Dataset3_Raw!$B$2:$B$391,$E706),4)),VALUE(MID(INDEX(Dataset3_Raw!$B$2:$B$391,$E706),4,2)),VALUE(LEFT(INDEX(Dataset3_Raw!$B$2:$B$391,$E706),2))))</f>
        <v>40575</v>
      </c>
      <c r="G706" s="23">
        <f>IF($C706&gt;0,INDEX(Merge_1_2!$C$2:$C$611,$C706),INDEX(Dataset3_Raw!$C$2:$C$391,$E706))</f>
        <v>1</v>
      </c>
      <c r="H706" s="23">
        <f>IF($C706&gt;0,INDEX(Merge_1_2!$D$2:$D$611,$C706),INDEX(Dataset3_Raw!$D$2:$D$391,$E706))</f>
        <v>0</v>
      </c>
      <c r="I706" s="23">
        <f>IF($C706&gt;0,INDEX(Merge_1_2!$E$2:$E$611,$C706),INDEX(Dataset3_Raw!$E$2:$E$391,$E706))</f>
        <v>2</v>
      </c>
      <c r="J706" s="23">
        <f>IF($C706&gt;0,INDEX(Merge_1_2!$F$2:$F$611,$C706),INDEX(Dataset3_Raw!$F$2:$F$391,$E706))</f>
        <v>17</v>
      </c>
      <c r="K706" s="23" t="b">
        <f>IF($C706&gt;0,INDEX(Merge_1_2!$G$2:$G$611,$C706),INDEX(Dataset3_Raw!$G$2:$G$391,$E706))</f>
        <v>0</v>
      </c>
      <c r="L706" s="23">
        <f>IF($C706&gt;0,INDEX(Merge_1_2!$H$2:$H$611,$C706),INDEX(Dataset3_Raw!$H$2:$H$391,$E706))</f>
        <v>2</v>
      </c>
      <c r="M706" s="23">
        <f>IF($C706&gt;0,INDEX(Merge_1_2!$I$2:$I$611,$C706),INDEX(Dataset3_Raw!$I$2:$I$391,$E706))</f>
        <v>2</v>
      </c>
      <c r="N706" s="25">
        <f>IF($C706&gt;0,INDEX(Merge_1_2!$J$2:$J$611,$C706),INDEX(Dataset3_Raw!$J$2:$J$391,$E706))</f>
        <v>0.24</v>
      </c>
      <c r="O706" s="25">
        <f>IF($C706&gt;0,IF(ISNUMBER(INDEX(Merge_1_2!$K$2:$K$611,$C706)),INDEX(Merge_1_2!$K$2:$K$611,$C706),""),INDEX(Dataset3_Raw!$K$2:$K$391,$E706))</f>
        <v>0.28789999999999999</v>
      </c>
      <c r="P706" s="25">
        <f>IF(ISNUMBER($O706),$O706,ROUND(Lookups!$B$25+Lookups!$B$24*$N706,4))</f>
        <v>0.28789999999999999</v>
      </c>
      <c r="Q706" s="25">
        <f>IF($C706&gt;0,INDEX(Merge_1_2!$L$2:$L$611,$C706),INDEX(Dataset3_Raw!$L$2:$L$391,$E706))</f>
        <v>0.75</v>
      </c>
      <c r="R706" s="25">
        <f>IF($C706&gt;0,INDEX(Merge_1_2!$M$2:$M$611,$C706),INDEX(Dataset3_Raw!$M$2:$M$391,$E706))</f>
        <v>0</v>
      </c>
      <c r="S706" s="23">
        <f>IF($C706&gt;0,INDEX(Merge_1_2!$N$2:$N$611,$C706),INDEX(Dataset3_Raw!$N$2:$N$391,$E706))</f>
        <v>4</v>
      </c>
      <c r="T706" s="23">
        <f>IF($C706&gt;0,INDEX(Merge_1_2!$O$2:$O$611,$C706),INDEX(Dataset3_Raw!$O$2:$O$391,$E706))</f>
        <v>172</v>
      </c>
      <c r="U706" s="23">
        <f>IF($C706&gt;0,INDEX(Merge_1_2!$P$2:$P$611,$C706),INDEX(Dataset3_Raw!$P$2:$P$391,$E706))</f>
        <v>176</v>
      </c>
      <c r="V706" s="23" t="str">
        <f t="shared" ref="V706:V769" si="67">IF($K706,"Holiday",IF(OR($L706=0,$L706=6),"Weekend","Weekday"))</f>
        <v>Weekday</v>
      </c>
      <c r="W706" s="23" t="str">
        <f>VLOOKUP($M706,Lookups!$A$5:$B$8,2,FALSE())</f>
        <v>Mist / Cloudy</v>
      </c>
      <c r="X706" s="23" t="str">
        <f>VLOOKUP($G706,Lookups!$D$5:$E$8,2,FALSE())</f>
        <v>Winter</v>
      </c>
      <c r="Y706" s="23" t="str">
        <f>VLOOKUP($L706,Lookups!$G$5:$H$11,2,FALSE())</f>
        <v>Tuesday</v>
      </c>
      <c r="Z706" s="23" t="str">
        <f>IF($J706&lt;Lookups!$B$26,"Night",IF($J706&lt;Lookups!$B$27,"Morning",IF($J706&lt;Lookups!$B$28,"Afternoon","Evening")))</f>
        <v>Afternoon</v>
      </c>
      <c r="AA706" s="26">
        <f>ROUND($N706*(Lookups!$B$16-Lookups!$B$15)+Lookups!$B$15,1)</f>
        <v>3.3</v>
      </c>
      <c r="AB706" s="26">
        <f>ROUND($P706*(Lookups!$B$18-Lookups!$B$17)+Lookups!$B$17,1)</f>
        <v>3</v>
      </c>
      <c r="AC706" s="23">
        <f t="shared" ref="AC706:AC769" si="68">ROUND($Q706*100,0)</f>
        <v>75</v>
      </c>
      <c r="AD706" s="23">
        <f>ROUND($R706*Lookups!$B$19,1)</f>
        <v>0</v>
      </c>
      <c r="AE706" s="27">
        <f t="shared" ref="AE706:AE769" si="69">IF($U706&gt;0,$T706/$U706,0)</f>
        <v>0.97727272727272729</v>
      </c>
      <c r="AF706" s="23" t="str">
        <f>IF($U706&gt;=Lookups!$B$23,"High",IF($U706&gt;=Lookups!$B$22,"Medium","Low"))</f>
        <v>High</v>
      </c>
      <c r="AG706" s="23">
        <f>ROUND(IF($V706="Weekday",IF(INDEX(Hourly_Analysis!$D$5:$D$28,$J706+1)&gt;0,($U706-INDEX(Hourly_Analysis!$C$5:$C$28,$J706+1))/INDEX(Hourly_Analysis!$D$5:$D$28,$J706+1),0),IF(INDEX(Hourly_Analysis!$G$5:$G$28,$J706+1)&gt;0,($U706-INDEX(Hourly_Analysis!$F$5:$F$28,$J706+1))/INDEX(Hourly_Analysis!$G$5:$G$28,$J706+1),0)),2)</f>
        <v>0.18</v>
      </c>
      <c r="AH706" s="23" t="str">
        <f>IF(ABS($AG706)&gt;Lookups!$B$20,IF($AG706&gt;0,"High anomaly","Low anomaly"),"")</f>
        <v/>
      </c>
      <c r="AI706" s="23" t="str">
        <f t="shared" ref="AI706:AI769" si="70">IF($S706+$T706=$U706,"OK","Mismatch")</f>
        <v>OK</v>
      </c>
      <c r="AJ706" s="23" t="str">
        <f t="shared" ref="AJ706:AJ769" si="71">IF(ISNUMBER($O706),"No","Yes")</f>
        <v>No</v>
      </c>
    </row>
    <row r="707" spans="1:36" x14ac:dyDescent="0.35">
      <c r="A707" s="23">
        <v>706</v>
      </c>
      <c r="B707" s="23" t="str">
        <f t="shared" si="66"/>
        <v>Dataset 3</v>
      </c>
      <c r="C707" s="23">
        <f>IFERROR(MATCH($A707,Merge_1_2!$A$2:$A$611,0),0)</f>
        <v>0</v>
      </c>
      <c r="D707" s="23">
        <f>IF($C707&gt;0,INDEX(Merge_1_2!$Q$2:$Q$611,$C707),0)</f>
        <v>0</v>
      </c>
      <c r="E707" s="23">
        <f>IFERROR(MATCH($A707,Dataset3_Raw!$A$2:$A$391,0),0)</f>
        <v>96</v>
      </c>
      <c r="F707" s="24">
        <f>IF($C707&gt;0,INDEX(Merge_1_2!$B$2:$B$611,$C707),DATE(VALUE(RIGHT(INDEX(Dataset3_Raw!$B$2:$B$391,$E707),4)),VALUE(MID(INDEX(Dataset3_Raw!$B$2:$B$391,$E707),4,2)),VALUE(LEFT(INDEX(Dataset3_Raw!$B$2:$B$391,$E707),2))))</f>
        <v>40575</v>
      </c>
      <c r="G707" s="23">
        <f>IF($C707&gt;0,INDEX(Merge_1_2!$C$2:$C$611,$C707),INDEX(Dataset3_Raw!$C$2:$C$391,$E707))</f>
        <v>1</v>
      </c>
      <c r="H707" s="23">
        <f>IF($C707&gt;0,INDEX(Merge_1_2!$D$2:$D$611,$C707),INDEX(Dataset3_Raw!$D$2:$D$391,$E707))</f>
        <v>0</v>
      </c>
      <c r="I707" s="23">
        <f>IF($C707&gt;0,INDEX(Merge_1_2!$E$2:$E$611,$C707),INDEX(Dataset3_Raw!$E$2:$E$391,$E707))</f>
        <v>2</v>
      </c>
      <c r="J707" s="23">
        <f>IF($C707&gt;0,INDEX(Merge_1_2!$F$2:$F$611,$C707),INDEX(Dataset3_Raw!$F$2:$F$391,$E707))</f>
        <v>18</v>
      </c>
      <c r="K707" s="23" t="b">
        <f>IF($C707&gt;0,INDEX(Merge_1_2!$G$2:$G$611,$C707),INDEX(Dataset3_Raw!$G$2:$G$391,$E707))</f>
        <v>0</v>
      </c>
      <c r="L707" s="23">
        <f>IF($C707&gt;0,INDEX(Merge_1_2!$H$2:$H$611,$C707),INDEX(Dataset3_Raw!$H$2:$H$391,$E707))</f>
        <v>2</v>
      </c>
      <c r="M707" s="23">
        <f>IF($C707&gt;0,INDEX(Merge_1_2!$I$2:$I$611,$C707),INDEX(Dataset3_Raw!$I$2:$I$391,$E707))</f>
        <v>2</v>
      </c>
      <c r="N707" s="25">
        <f>IF($C707&gt;0,INDEX(Merge_1_2!$J$2:$J$611,$C707),INDEX(Dataset3_Raw!$J$2:$J$391,$E707))</f>
        <v>0.24</v>
      </c>
      <c r="O707" s="25">
        <f>IF($C707&gt;0,IF(ISNUMBER(INDEX(Merge_1_2!$K$2:$K$611,$C707)),INDEX(Merge_1_2!$K$2:$K$611,$C707),""),INDEX(Dataset3_Raw!$K$2:$K$391,$E707))</f>
        <v>0.2576</v>
      </c>
      <c r="P707" s="25">
        <f>IF(ISNUMBER($O707),$O707,ROUND(Lookups!$B$25+Lookups!$B$24*$N707,4))</f>
        <v>0.2576</v>
      </c>
      <c r="Q707" s="25">
        <f>IF($C707&gt;0,INDEX(Merge_1_2!$L$2:$L$611,$C707),INDEX(Dataset3_Raw!$L$2:$L$391,$E707))</f>
        <v>0.81</v>
      </c>
      <c r="R707" s="25">
        <f>IF($C707&gt;0,INDEX(Merge_1_2!$M$2:$M$611,$C707),INDEX(Dataset3_Raw!$M$2:$M$391,$E707))</f>
        <v>0.1045</v>
      </c>
      <c r="S707" s="23">
        <f>IF($C707&gt;0,INDEX(Merge_1_2!$N$2:$N$611,$C707),INDEX(Dataset3_Raw!$N$2:$N$391,$E707))</f>
        <v>3</v>
      </c>
      <c r="T707" s="23">
        <f>IF($C707&gt;0,INDEX(Merge_1_2!$O$2:$O$611,$C707),INDEX(Dataset3_Raw!$O$2:$O$391,$E707))</f>
        <v>165</v>
      </c>
      <c r="U707" s="23">
        <f>IF($C707&gt;0,INDEX(Merge_1_2!$P$2:$P$611,$C707),INDEX(Dataset3_Raw!$P$2:$P$391,$E707))</f>
        <v>168</v>
      </c>
      <c r="V707" s="23" t="str">
        <f t="shared" si="67"/>
        <v>Weekday</v>
      </c>
      <c r="W707" s="23" t="str">
        <f>VLOOKUP($M707,Lookups!$A$5:$B$8,2,FALSE())</f>
        <v>Mist / Cloudy</v>
      </c>
      <c r="X707" s="23" t="str">
        <f>VLOOKUP($G707,Lookups!$D$5:$E$8,2,FALSE())</f>
        <v>Winter</v>
      </c>
      <c r="Y707" s="23" t="str">
        <f>VLOOKUP($L707,Lookups!$G$5:$H$11,2,FALSE())</f>
        <v>Tuesday</v>
      </c>
      <c r="Z707" s="23" t="str">
        <f>IF($J707&lt;Lookups!$B$26,"Night",IF($J707&lt;Lookups!$B$27,"Morning",IF($J707&lt;Lookups!$B$28,"Afternoon","Evening")))</f>
        <v>Evening</v>
      </c>
      <c r="AA707" s="26">
        <f>ROUND($N707*(Lookups!$B$16-Lookups!$B$15)+Lookups!$B$15,1)</f>
        <v>3.3</v>
      </c>
      <c r="AB707" s="26">
        <f>ROUND($P707*(Lookups!$B$18-Lookups!$B$17)+Lookups!$B$17,1)</f>
        <v>1</v>
      </c>
      <c r="AC707" s="23">
        <f t="shared" si="68"/>
        <v>81</v>
      </c>
      <c r="AD707" s="23">
        <f>ROUND($R707*Lookups!$B$19,1)</f>
        <v>7</v>
      </c>
      <c r="AE707" s="27">
        <f t="shared" si="69"/>
        <v>0.9821428571428571</v>
      </c>
      <c r="AF707" s="23" t="str">
        <f>IF($U707&gt;=Lookups!$B$23,"High",IF($U707&gt;=Lookups!$B$22,"Medium","Low"))</f>
        <v>High</v>
      </c>
      <c r="AG707" s="23">
        <f>ROUND(IF($V707="Weekday",IF(INDEX(Hourly_Analysis!$D$5:$D$28,$J707+1)&gt;0,($U707-INDEX(Hourly_Analysis!$C$5:$C$28,$J707+1))/INDEX(Hourly_Analysis!$D$5:$D$28,$J707+1),0),IF(INDEX(Hourly_Analysis!$G$5:$G$28,$J707+1)&gt;0,($U707-INDEX(Hourly_Analysis!$F$5:$F$28,$J707+1))/INDEX(Hourly_Analysis!$G$5:$G$28,$J707+1),0)),2)</f>
        <v>0.53</v>
      </c>
      <c r="AH707" s="23" t="str">
        <f>IF(ABS($AG707)&gt;Lookups!$B$20,IF($AG707&gt;0,"High anomaly","Low anomaly"),"")</f>
        <v/>
      </c>
      <c r="AI707" s="23" t="str">
        <f t="shared" si="70"/>
        <v>OK</v>
      </c>
      <c r="AJ707" s="23" t="str">
        <f t="shared" si="71"/>
        <v>No</v>
      </c>
    </row>
    <row r="708" spans="1:36" x14ac:dyDescent="0.35">
      <c r="A708" s="23">
        <v>707</v>
      </c>
      <c r="B708" s="23" t="str">
        <f t="shared" si="66"/>
        <v>Dataset 3</v>
      </c>
      <c r="C708" s="23">
        <f>IFERROR(MATCH($A708,Merge_1_2!$A$2:$A$611,0),0)</f>
        <v>0</v>
      </c>
      <c r="D708" s="23">
        <f>IF($C708&gt;0,INDEX(Merge_1_2!$Q$2:$Q$611,$C708),0)</f>
        <v>0</v>
      </c>
      <c r="E708" s="23">
        <f>IFERROR(MATCH($A708,Dataset3_Raw!$A$2:$A$391,0),0)</f>
        <v>97</v>
      </c>
      <c r="F708" s="24">
        <f>IF($C708&gt;0,INDEX(Merge_1_2!$B$2:$B$611,$C708),DATE(VALUE(RIGHT(INDEX(Dataset3_Raw!$B$2:$B$391,$E708),4)),VALUE(MID(INDEX(Dataset3_Raw!$B$2:$B$391,$E708),4,2)),VALUE(LEFT(INDEX(Dataset3_Raw!$B$2:$B$391,$E708),2))))</f>
        <v>40575</v>
      </c>
      <c r="G708" s="23">
        <f>IF($C708&gt;0,INDEX(Merge_1_2!$C$2:$C$611,$C708),INDEX(Dataset3_Raw!$C$2:$C$391,$E708))</f>
        <v>1</v>
      </c>
      <c r="H708" s="23">
        <f>IF($C708&gt;0,INDEX(Merge_1_2!$D$2:$D$611,$C708),INDEX(Dataset3_Raw!$D$2:$D$391,$E708))</f>
        <v>0</v>
      </c>
      <c r="I708" s="23">
        <f>IF($C708&gt;0,INDEX(Merge_1_2!$E$2:$E$611,$C708),INDEX(Dataset3_Raw!$E$2:$E$391,$E708))</f>
        <v>2</v>
      </c>
      <c r="J708" s="23">
        <f>IF($C708&gt;0,INDEX(Merge_1_2!$F$2:$F$611,$C708),INDEX(Dataset3_Raw!$F$2:$F$391,$E708))</f>
        <v>19</v>
      </c>
      <c r="K708" s="23" t="b">
        <f>IF($C708&gt;0,INDEX(Merge_1_2!$G$2:$G$611,$C708),INDEX(Dataset3_Raw!$G$2:$G$391,$E708))</f>
        <v>0</v>
      </c>
      <c r="L708" s="23">
        <f>IF($C708&gt;0,INDEX(Merge_1_2!$H$2:$H$611,$C708),INDEX(Dataset3_Raw!$H$2:$H$391,$E708))</f>
        <v>2</v>
      </c>
      <c r="M708" s="23">
        <f>IF($C708&gt;0,INDEX(Merge_1_2!$I$2:$I$611,$C708),INDEX(Dataset3_Raw!$I$2:$I$391,$E708))</f>
        <v>2</v>
      </c>
      <c r="N708" s="25">
        <f>IF($C708&gt;0,INDEX(Merge_1_2!$J$2:$J$611,$C708),INDEX(Dataset3_Raw!$J$2:$J$391,$E708))</f>
        <v>0.24</v>
      </c>
      <c r="O708" s="25">
        <f>IF($C708&gt;0,IF(ISNUMBER(INDEX(Merge_1_2!$K$2:$K$611,$C708)),INDEX(Merge_1_2!$K$2:$K$611,$C708),""),INDEX(Dataset3_Raw!$K$2:$K$391,$E708))</f>
        <v>0.2424</v>
      </c>
      <c r="P708" s="25">
        <f>IF(ISNUMBER($O708),$O708,ROUND(Lookups!$B$25+Lookups!$B$24*$N708,4))</f>
        <v>0.2424</v>
      </c>
      <c r="Q708" s="25">
        <f>IF($C708&gt;0,INDEX(Merge_1_2!$L$2:$L$611,$C708),INDEX(Dataset3_Raw!$L$2:$L$391,$E708))</f>
        <v>0.81</v>
      </c>
      <c r="R708" s="25">
        <f>IF($C708&gt;0,INDEX(Merge_1_2!$M$2:$M$611,$C708),INDEX(Dataset3_Raw!$M$2:$M$391,$E708))</f>
        <v>0.1343</v>
      </c>
      <c r="S708" s="23">
        <f>IF($C708&gt;0,INDEX(Merge_1_2!$N$2:$N$611,$C708),INDEX(Dataset3_Raw!$N$2:$N$391,$E708))</f>
        <v>3</v>
      </c>
      <c r="T708" s="23">
        <f>IF($C708&gt;0,INDEX(Merge_1_2!$O$2:$O$611,$C708),INDEX(Dataset3_Raw!$O$2:$O$391,$E708))</f>
        <v>105</v>
      </c>
      <c r="U708" s="23">
        <f>IF($C708&gt;0,INDEX(Merge_1_2!$P$2:$P$611,$C708),INDEX(Dataset3_Raw!$P$2:$P$391,$E708))</f>
        <v>108</v>
      </c>
      <c r="V708" s="23" t="str">
        <f t="shared" si="67"/>
        <v>Weekday</v>
      </c>
      <c r="W708" s="23" t="str">
        <f>VLOOKUP($M708,Lookups!$A$5:$B$8,2,FALSE())</f>
        <v>Mist / Cloudy</v>
      </c>
      <c r="X708" s="23" t="str">
        <f>VLOOKUP($G708,Lookups!$D$5:$E$8,2,FALSE())</f>
        <v>Winter</v>
      </c>
      <c r="Y708" s="23" t="str">
        <f>VLOOKUP($L708,Lookups!$G$5:$H$11,2,FALSE())</f>
        <v>Tuesday</v>
      </c>
      <c r="Z708" s="23" t="str">
        <f>IF($J708&lt;Lookups!$B$26,"Night",IF($J708&lt;Lookups!$B$27,"Morning",IF($J708&lt;Lookups!$B$28,"Afternoon","Evening")))</f>
        <v>Evening</v>
      </c>
      <c r="AA708" s="26">
        <f>ROUND($N708*(Lookups!$B$16-Lookups!$B$15)+Lookups!$B$15,1)</f>
        <v>3.3</v>
      </c>
      <c r="AB708" s="26">
        <f>ROUND($P708*(Lookups!$B$18-Lookups!$B$17)+Lookups!$B$17,1)</f>
        <v>0</v>
      </c>
      <c r="AC708" s="23">
        <f t="shared" si="68"/>
        <v>81</v>
      </c>
      <c r="AD708" s="23">
        <f>ROUND($R708*Lookups!$B$19,1)</f>
        <v>9</v>
      </c>
      <c r="AE708" s="27">
        <f t="shared" si="69"/>
        <v>0.97222222222222221</v>
      </c>
      <c r="AF708" s="23" t="str">
        <f>IF($U708&gt;=Lookups!$B$23,"High",IF($U708&gt;=Lookups!$B$22,"Medium","Low"))</f>
        <v>High</v>
      </c>
      <c r="AG708" s="23">
        <f>ROUND(IF($V708="Weekday",IF(INDEX(Hourly_Analysis!$D$5:$D$28,$J708+1)&gt;0,($U708-INDEX(Hourly_Analysis!$C$5:$C$28,$J708+1))/INDEX(Hourly_Analysis!$D$5:$D$28,$J708+1),0),IF(INDEX(Hourly_Analysis!$G$5:$G$28,$J708+1)&gt;0,($U708-INDEX(Hourly_Analysis!$F$5:$F$28,$J708+1))/INDEX(Hourly_Analysis!$G$5:$G$28,$J708+1),0)),2)</f>
        <v>0.22</v>
      </c>
      <c r="AH708" s="23" t="str">
        <f>IF(ABS($AG708)&gt;Lookups!$B$20,IF($AG708&gt;0,"High anomaly","Low anomaly"),"")</f>
        <v/>
      </c>
      <c r="AI708" s="23" t="str">
        <f t="shared" si="70"/>
        <v>OK</v>
      </c>
      <c r="AJ708" s="23" t="str">
        <f t="shared" si="71"/>
        <v>No</v>
      </c>
    </row>
    <row r="709" spans="1:36" x14ac:dyDescent="0.35">
      <c r="A709" s="23">
        <v>708</v>
      </c>
      <c r="B709" s="23" t="str">
        <f t="shared" si="66"/>
        <v>Dataset 3</v>
      </c>
      <c r="C709" s="23">
        <f>IFERROR(MATCH($A709,Merge_1_2!$A$2:$A$611,0),0)</f>
        <v>0</v>
      </c>
      <c r="D709" s="23">
        <f>IF($C709&gt;0,INDEX(Merge_1_2!$Q$2:$Q$611,$C709),0)</f>
        <v>0</v>
      </c>
      <c r="E709" s="23">
        <f>IFERROR(MATCH($A709,Dataset3_Raw!$A$2:$A$391,0),0)</f>
        <v>98</v>
      </c>
      <c r="F709" s="24">
        <f>IF($C709&gt;0,INDEX(Merge_1_2!$B$2:$B$611,$C709),DATE(VALUE(RIGHT(INDEX(Dataset3_Raw!$B$2:$B$391,$E709),4)),VALUE(MID(INDEX(Dataset3_Raw!$B$2:$B$391,$E709),4,2)),VALUE(LEFT(INDEX(Dataset3_Raw!$B$2:$B$391,$E709),2))))</f>
        <v>40575</v>
      </c>
      <c r="G709" s="23">
        <f>IF($C709&gt;0,INDEX(Merge_1_2!$C$2:$C$611,$C709),INDEX(Dataset3_Raw!$C$2:$C$391,$E709))</f>
        <v>1</v>
      </c>
      <c r="H709" s="23">
        <f>IF($C709&gt;0,INDEX(Merge_1_2!$D$2:$D$611,$C709),INDEX(Dataset3_Raw!$D$2:$D$391,$E709))</f>
        <v>0</v>
      </c>
      <c r="I709" s="23">
        <f>IF($C709&gt;0,INDEX(Merge_1_2!$E$2:$E$611,$C709),INDEX(Dataset3_Raw!$E$2:$E$391,$E709))</f>
        <v>2</v>
      </c>
      <c r="J709" s="23">
        <f>IF($C709&gt;0,INDEX(Merge_1_2!$F$2:$F$611,$C709),INDEX(Dataset3_Raw!$F$2:$F$391,$E709))</f>
        <v>20</v>
      </c>
      <c r="K709" s="23" t="b">
        <f>IF($C709&gt;0,INDEX(Merge_1_2!$G$2:$G$611,$C709),INDEX(Dataset3_Raw!$G$2:$G$391,$E709))</f>
        <v>0</v>
      </c>
      <c r="L709" s="23">
        <f>IF($C709&gt;0,INDEX(Merge_1_2!$H$2:$H$611,$C709),INDEX(Dataset3_Raw!$H$2:$H$391,$E709))</f>
        <v>2</v>
      </c>
      <c r="M709" s="23">
        <f>IF($C709&gt;0,INDEX(Merge_1_2!$I$2:$I$611,$C709),INDEX(Dataset3_Raw!$I$2:$I$391,$E709))</f>
        <v>2</v>
      </c>
      <c r="N709" s="25">
        <f>IF($C709&gt;0,INDEX(Merge_1_2!$J$2:$J$611,$C709),INDEX(Dataset3_Raw!$J$2:$J$391,$E709))</f>
        <v>0.22</v>
      </c>
      <c r="O709" s="25">
        <f>IF($C709&gt;0,IF(ISNUMBER(INDEX(Merge_1_2!$K$2:$K$611,$C709)),INDEX(Merge_1_2!$K$2:$K$611,$C709),""),INDEX(Dataset3_Raw!$K$2:$K$391,$E709))</f>
        <v>0.2273</v>
      </c>
      <c r="P709" s="25">
        <f>IF(ISNUMBER($O709),$O709,ROUND(Lookups!$B$25+Lookups!$B$24*$N709,4))</f>
        <v>0.2273</v>
      </c>
      <c r="Q709" s="25">
        <f>IF($C709&gt;0,INDEX(Merge_1_2!$L$2:$L$611,$C709),INDEX(Dataset3_Raw!$L$2:$L$391,$E709))</f>
        <v>0.87</v>
      </c>
      <c r="R709" s="25">
        <f>IF($C709&gt;0,INDEX(Merge_1_2!$M$2:$M$611,$C709),INDEX(Dataset3_Raw!$M$2:$M$391,$E709))</f>
        <v>0.1343</v>
      </c>
      <c r="S709" s="23">
        <f>IF($C709&gt;0,INDEX(Merge_1_2!$N$2:$N$611,$C709),INDEX(Dataset3_Raw!$N$2:$N$391,$E709))</f>
        <v>5</v>
      </c>
      <c r="T709" s="23">
        <f>IF($C709&gt;0,INDEX(Merge_1_2!$O$2:$O$611,$C709),INDEX(Dataset3_Raw!$O$2:$O$391,$E709))</f>
        <v>69</v>
      </c>
      <c r="U709" s="23">
        <f>IF($C709&gt;0,INDEX(Merge_1_2!$P$2:$P$611,$C709),INDEX(Dataset3_Raw!$P$2:$P$391,$E709))</f>
        <v>74</v>
      </c>
      <c r="V709" s="23" t="str">
        <f t="shared" si="67"/>
        <v>Weekday</v>
      </c>
      <c r="W709" s="23" t="str">
        <f>VLOOKUP($M709,Lookups!$A$5:$B$8,2,FALSE())</f>
        <v>Mist / Cloudy</v>
      </c>
      <c r="X709" s="23" t="str">
        <f>VLOOKUP($G709,Lookups!$D$5:$E$8,2,FALSE())</f>
        <v>Winter</v>
      </c>
      <c r="Y709" s="23" t="str">
        <f>VLOOKUP($L709,Lookups!$G$5:$H$11,2,FALSE())</f>
        <v>Tuesday</v>
      </c>
      <c r="Z709" s="23" t="str">
        <f>IF($J709&lt;Lookups!$B$26,"Night",IF($J709&lt;Lookups!$B$27,"Morning",IF($J709&lt;Lookups!$B$28,"Afternoon","Evening")))</f>
        <v>Evening</v>
      </c>
      <c r="AA709" s="26">
        <f>ROUND($N709*(Lookups!$B$16-Lookups!$B$15)+Lookups!$B$15,1)</f>
        <v>2.2999999999999998</v>
      </c>
      <c r="AB709" s="26">
        <f>ROUND($P709*(Lookups!$B$18-Lookups!$B$17)+Lookups!$B$17,1)</f>
        <v>-1</v>
      </c>
      <c r="AC709" s="23">
        <f t="shared" si="68"/>
        <v>87</v>
      </c>
      <c r="AD709" s="23">
        <f>ROUND($R709*Lookups!$B$19,1)</f>
        <v>9</v>
      </c>
      <c r="AE709" s="27">
        <f t="shared" si="69"/>
        <v>0.93243243243243246</v>
      </c>
      <c r="AF709" s="23" t="str">
        <f>IF($U709&gt;=Lookups!$B$23,"High",IF($U709&gt;=Lookups!$B$22,"Medium","Low"))</f>
        <v>Medium</v>
      </c>
      <c r="AG709" s="23">
        <f>ROUND(IF($V709="Weekday",IF(INDEX(Hourly_Analysis!$D$5:$D$28,$J709+1)&gt;0,($U709-INDEX(Hourly_Analysis!$C$5:$C$28,$J709+1))/INDEX(Hourly_Analysis!$D$5:$D$28,$J709+1),0),IF(INDEX(Hourly_Analysis!$G$5:$G$28,$J709+1)&gt;0,($U709-INDEX(Hourly_Analysis!$F$5:$F$28,$J709+1))/INDEX(Hourly_Analysis!$G$5:$G$28,$J709+1),0)),2)</f>
        <v>0.02</v>
      </c>
      <c r="AH709" s="23" t="str">
        <f>IF(ABS($AG709)&gt;Lookups!$B$20,IF($AG709&gt;0,"High anomaly","Low anomaly"),"")</f>
        <v/>
      </c>
      <c r="AI709" s="23" t="str">
        <f t="shared" si="70"/>
        <v>OK</v>
      </c>
      <c r="AJ709" s="23" t="str">
        <f t="shared" si="71"/>
        <v>No</v>
      </c>
    </row>
    <row r="710" spans="1:36" x14ac:dyDescent="0.35">
      <c r="A710" s="23">
        <v>709</v>
      </c>
      <c r="B710" s="23" t="str">
        <f t="shared" si="66"/>
        <v>Dataset 3</v>
      </c>
      <c r="C710" s="23">
        <f>IFERROR(MATCH($A710,Merge_1_2!$A$2:$A$611,0),0)</f>
        <v>0</v>
      </c>
      <c r="D710" s="23">
        <f>IF($C710&gt;0,INDEX(Merge_1_2!$Q$2:$Q$611,$C710),0)</f>
        <v>0</v>
      </c>
      <c r="E710" s="23">
        <f>IFERROR(MATCH($A710,Dataset3_Raw!$A$2:$A$391,0),0)</f>
        <v>99</v>
      </c>
      <c r="F710" s="24">
        <f>IF($C710&gt;0,INDEX(Merge_1_2!$B$2:$B$611,$C710),DATE(VALUE(RIGHT(INDEX(Dataset3_Raw!$B$2:$B$391,$E710),4)),VALUE(MID(INDEX(Dataset3_Raw!$B$2:$B$391,$E710),4,2)),VALUE(LEFT(INDEX(Dataset3_Raw!$B$2:$B$391,$E710),2))))</f>
        <v>40575</v>
      </c>
      <c r="G710" s="23">
        <f>IF($C710&gt;0,INDEX(Merge_1_2!$C$2:$C$611,$C710),INDEX(Dataset3_Raw!$C$2:$C$391,$E710))</f>
        <v>1</v>
      </c>
      <c r="H710" s="23">
        <f>IF($C710&gt;0,INDEX(Merge_1_2!$D$2:$D$611,$C710),INDEX(Dataset3_Raw!$D$2:$D$391,$E710))</f>
        <v>0</v>
      </c>
      <c r="I710" s="23">
        <f>IF($C710&gt;0,INDEX(Merge_1_2!$E$2:$E$611,$C710),INDEX(Dataset3_Raw!$E$2:$E$391,$E710))</f>
        <v>2</v>
      </c>
      <c r="J710" s="23">
        <f>IF($C710&gt;0,INDEX(Merge_1_2!$F$2:$F$611,$C710),INDEX(Dataset3_Raw!$F$2:$F$391,$E710))</f>
        <v>21</v>
      </c>
      <c r="K710" s="23" t="b">
        <f>IF($C710&gt;0,INDEX(Merge_1_2!$G$2:$G$611,$C710),INDEX(Dataset3_Raw!$G$2:$G$391,$E710))</f>
        <v>0</v>
      </c>
      <c r="L710" s="23">
        <f>IF($C710&gt;0,INDEX(Merge_1_2!$H$2:$H$611,$C710),INDEX(Dataset3_Raw!$H$2:$H$391,$E710))</f>
        <v>2</v>
      </c>
      <c r="M710" s="23">
        <f>IF($C710&gt;0,INDEX(Merge_1_2!$I$2:$I$611,$C710),INDEX(Dataset3_Raw!$I$2:$I$391,$E710))</f>
        <v>2</v>
      </c>
      <c r="N710" s="25">
        <f>IF($C710&gt;0,INDEX(Merge_1_2!$J$2:$J$611,$C710),INDEX(Dataset3_Raw!$J$2:$J$391,$E710))</f>
        <v>0.22</v>
      </c>
      <c r="O710" s="25">
        <f>IF($C710&gt;0,IF(ISNUMBER(INDEX(Merge_1_2!$K$2:$K$611,$C710)),INDEX(Merge_1_2!$K$2:$K$611,$C710),""),INDEX(Dataset3_Raw!$K$2:$K$391,$E710))</f>
        <v>0.2273</v>
      </c>
      <c r="P710" s="25">
        <f>IF(ISNUMBER($O710),$O710,ROUND(Lookups!$B$25+Lookups!$B$24*$N710,4))</f>
        <v>0.2273</v>
      </c>
      <c r="Q710" s="25">
        <f>IF($C710&gt;0,INDEX(Merge_1_2!$L$2:$L$611,$C710),INDEX(Dataset3_Raw!$L$2:$L$391,$E710))</f>
        <v>0.87</v>
      </c>
      <c r="R710" s="25">
        <f>IF($C710&gt;0,INDEX(Merge_1_2!$M$2:$M$611,$C710),INDEX(Dataset3_Raw!$M$2:$M$391,$E710))</f>
        <v>0.1343</v>
      </c>
      <c r="S710" s="23">
        <f>IF($C710&gt;0,INDEX(Merge_1_2!$N$2:$N$611,$C710),INDEX(Dataset3_Raw!$N$2:$N$391,$E710))</f>
        <v>0</v>
      </c>
      <c r="T710" s="23">
        <f>IF($C710&gt;0,INDEX(Merge_1_2!$O$2:$O$611,$C710),INDEX(Dataset3_Raw!$O$2:$O$391,$E710))</f>
        <v>64</v>
      </c>
      <c r="U710" s="23">
        <f>IF($C710&gt;0,INDEX(Merge_1_2!$P$2:$P$611,$C710),INDEX(Dataset3_Raw!$P$2:$P$391,$E710))</f>
        <v>64</v>
      </c>
      <c r="V710" s="23" t="str">
        <f t="shared" si="67"/>
        <v>Weekday</v>
      </c>
      <c r="W710" s="23" t="str">
        <f>VLOOKUP($M710,Lookups!$A$5:$B$8,2,FALSE())</f>
        <v>Mist / Cloudy</v>
      </c>
      <c r="X710" s="23" t="str">
        <f>VLOOKUP($G710,Lookups!$D$5:$E$8,2,FALSE())</f>
        <v>Winter</v>
      </c>
      <c r="Y710" s="23" t="str">
        <f>VLOOKUP($L710,Lookups!$G$5:$H$11,2,FALSE())</f>
        <v>Tuesday</v>
      </c>
      <c r="Z710" s="23" t="str">
        <f>IF($J710&lt;Lookups!$B$26,"Night",IF($J710&lt;Lookups!$B$27,"Morning",IF($J710&lt;Lookups!$B$28,"Afternoon","Evening")))</f>
        <v>Evening</v>
      </c>
      <c r="AA710" s="26">
        <f>ROUND($N710*(Lookups!$B$16-Lookups!$B$15)+Lookups!$B$15,1)</f>
        <v>2.2999999999999998</v>
      </c>
      <c r="AB710" s="26">
        <f>ROUND($P710*(Lookups!$B$18-Lookups!$B$17)+Lookups!$B$17,1)</f>
        <v>-1</v>
      </c>
      <c r="AC710" s="23">
        <f t="shared" si="68"/>
        <v>87</v>
      </c>
      <c r="AD710" s="23">
        <f>ROUND($R710*Lookups!$B$19,1)</f>
        <v>9</v>
      </c>
      <c r="AE710" s="27">
        <f t="shared" si="69"/>
        <v>1</v>
      </c>
      <c r="AF710" s="23" t="str">
        <f>IF($U710&gt;=Lookups!$B$23,"High",IF($U710&gt;=Lookups!$B$22,"Medium","Low"))</f>
        <v>Medium</v>
      </c>
      <c r="AG710" s="23">
        <f>ROUND(IF($V710="Weekday",IF(INDEX(Hourly_Analysis!$D$5:$D$28,$J710+1)&gt;0,($U710-INDEX(Hourly_Analysis!$C$5:$C$28,$J710+1))/INDEX(Hourly_Analysis!$D$5:$D$28,$J710+1),0),IF(INDEX(Hourly_Analysis!$G$5:$G$28,$J710+1)&gt;0,($U710-INDEX(Hourly_Analysis!$F$5:$F$28,$J710+1))/INDEX(Hourly_Analysis!$G$5:$G$28,$J710+1),0)),2)</f>
        <v>0.92</v>
      </c>
      <c r="AH710" s="23" t="str">
        <f>IF(ABS($AG710)&gt;Lookups!$B$20,IF($AG710&gt;0,"High anomaly","Low anomaly"),"")</f>
        <v/>
      </c>
      <c r="AI710" s="23" t="str">
        <f t="shared" si="70"/>
        <v>OK</v>
      </c>
      <c r="AJ710" s="23" t="str">
        <f t="shared" si="71"/>
        <v>No</v>
      </c>
    </row>
    <row r="711" spans="1:36" x14ac:dyDescent="0.35">
      <c r="A711" s="23">
        <v>710</v>
      </c>
      <c r="B711" s="23" t="str">
        <f t="shared" si="66"/>
        <v>Dataset 3</v>
      </c>
      <c r="C711" s="23">
        <f>IFERROR(MATCH($A711,Merge_1_2!$A$2:$A$611,0),0)</f>
        <v>0</v>
      </c>
      <c r="D711" s="23">
        <f>IF($C711&gt;0,INDEX(Merge_1_2!$Q$2:$Q$611,$C711),0)</f>
        <v>0</v>
      </c>
      <c r="E711" s="23">
        <f>IFERROR(MATCH($A711,Dataset3_Raw!$A$2:$A$391,0),0)</f>
        <v>100</v>
      </c>
      <c r="F711" s="24">
        <f>IF($C711&gt;0,INDEX(Merge_1_2!$B$2:$B$611,$C711),DATE(VALUE(RIGHT(INDEX(Dataset3_Raw!$B$2:$B$391,$E711),4)),VALUE(MID(INDEX(Dataset3_Raw!$B$2:$B$391,$E711),4,2)),VALUE(LEFT(INDEX(Dataset3_Raw!$B$2:$B$391,$E711),2))))</f>
        <v>40575</v>
      </c>
      <c r="G711" s="23">
        <f>IF($C711&gt;0,INDEX(Merge_1_2!$C$2:$C$611,$C711),INDEX(Dataset3_Raw!$C$2:$C$391,$E711))</f>
        <v>1</v>
      </c>
      <c r="H711" s="23">
        <f>IF($C711&gt;0,INDEX(Merge_1_2!$D$2:$D$611,$C711),INDEX(Dataset3_Raw!$D$2:$D$391,$E711))</f>
        <v>0</v>
      </c>
      <c r="I711" s="23">
        <f>IF($C711&gt;0,INDEX(Merge_1_2!$E$2:$E$611,$C711),INDEX(Dataset3_Raw!$E$2:$E$391,$E711))</f>
        <v>2</v>
      </c>
      <c r="J711" s="23">
        <f>IF($C711&gt;0,INDEX(Merge_1_2!$F$2:$F$611,$C711),INDEX(Dataset3_Raw!$F$2:$F$391,$E711))</f>
        <v>22</v>
      </c>
      <c r="K711" s="23" t="b">
        <f>IF($C711&gt;0,INDEX(Merge_1_2!$G$2:$G$611,$C711),INDEX(Dataset3_Raw!$G$2:$G$391,$E711))</f>
        <v>0</v>
      </c>
      <c r="L711" s="23">
        <f>IF($C711&gt;0,INDEX(Merge_1_2!$H$2:$H$611,$C711),INDEX(Dataset3_Raw!$H$2:$H$391,$E711))</f>
        <v>2</v>
      </c>
      <c r="M711" s="23">
        <f>IF($C711&gt;0,INDEX(Merge_1_2!$I$2:$I$611,$C711),INDEX(Dataset3_Raw!$I$2:$I$391,$E711))</f>
        <v>2</v>
      </c>
      <c r="N711" s="25">
        <f>IF($C711&gt;0,INDEX(Merge_1_2!$J$2:$J$611,$C711),INDEX(Dataset3_Raw!$J$2:$J$391,$E711))</f>
        <v>0.22</v>
      </c>
      <c r="O711" s="25">
        <f>IF($C711&gt;0,IF(ISNUMBER(INDEX(Merge_1_2!$K$2:$K$611,$C711)),INDEX(Merge_1_2!$K$2:$K$611,$C711),""),INDEX(Dataset3_Raw!$K$2:$K$391,$E711))</f>
        <v>0.2576</v>
      </c>
      <c r="P711" s="25">
        <f>IF(ISNUMBER($O711),$O711,ROUND(Lookups!$B$25+Lookups!$B$24*$N711,4))</f>
        <v>0.2576</v>
      </c>
      <c r="Q711" s="25">
        <f>IF($C711&gt;0,INDEX(Merge_1_2!$L$2:$L$611,$C711),INDEX(Dataset3_Raw!$L$2:$L$391,$E711))</f>
        <v>0.87</v>
      </c>
      <c r="R711" s="25">
        <f>IF($C711&gt;0,INDEX(Merge_1_2!$M$2:$M$611,$C711),INDEX(Dataset3_Raw!$M$2:$M$391,$E711))</f>
        <v>8.9599999999999999E-2</v>
      </c>
      <c r="S711" s="23">
        <f>IF($C711&gt;0,INDEX(Merge_1_2!$N$2:$N$611,$C711),INDEX(Dataset3_Raw!$N$2:$N$391,$E711))</f>
        <v>2</v>
      </c>
      <c r="T711" s="23">
        <f>IF($C711&gt;0,INDEX(Merge_1_2!$O$2:$O$611,$C711),INDEX(Dataset3_Raw!$O$2:$O$391,$E711))</f>
        <v>34</v>
      </c>
      <c r="U711" s="23">
        <f>IF($C711&gt;0,INDEX(Merge_1_2!$P$2:$P$611,$C711),INDEX(Dataset3_Raw!$P$2:$P$391,$E711))</f>
        <v>36</v>
      </c>
      <c r="V711" s="23" t="str">
        <f t="shared" si="67"/>
        <v>Weekday</v>
      </c>
      <c r="W711" s="23" t="str">
        <f>VLOOKUP($M711,Lookups!$A$5:$B$8,2,FALSE())</f>
        <v>Mist / Cloudy</v>
      </c>
      <c r="X711" s="23" t="str">
        <f>VLOOKUP($G711,Lookups!$D$5:$E$8,2,FALSE())</f>
        <v>Winter</v>
      </c>
      <c r="Y711" s="23" t="str">
        <f>VLOOKUP($L711,Lookups!$G$5:$H$11,2,FALSE())</f>
        <v>Tuesday</v>
      </c>
      <c r="Z711" s="23" t="str">
        <f>IF($J711&lt;Lookups!$B$26,"Night",IF($J711&lt;Lookups!$B$27,"Morning",IF($J711&lt;Lookups!$B$28,"Afternoon","Evening")))</f>
        <v>Evening</v>
      </c>
      <c r="AA711" s="26">
        <f>ROUND($N711*(Lookups!$B$16-Lookups!$B$15)+Lookups!$B$15,1)</f>
        <v>2.2999999999999998</v>
      </c>
      <c r="AB711" s="26">
        <f>ROUND($P711*(Lookups!$B$18-Lookups!$B$17)+Lookups!$B$17,1)</f>
        <v>1</v>
      </c>
      <c r="AC711" s="23">
        <f t="shared" si="68"/>
        <v>87</v>
      </c>
      <c r="AD711" s="23">
        <f>ROUND($R711*Lookups!$B$19,1)</f>
        <v>6</v>
      </c>
      <c r="AE711" s="27">
        <f t="shared" si="69"/>
        <v>0.94444444444444442</v>
      </c>
      <c r="AF711" s="23" t="str">
        <f>IF($U711&gt;=Lookups!$B$23,"High",IF($U711&gt;=Lookups!$B$22,"Medium","Low"))</f>
        <v>Medium</v>
      </c>
      <c r="AG711" s="23">
        <f>ROUND(IF($V711="Weekday",IF(INDEX(Hourly_Analysis!$D$5:$D$28,$J711+1)&gt;0,($U711-INDEX(Hourly_Analysis!$C$5:$C$28,$J711+1))/INDEX(Hourly_Analysis!$D$5:$D$28,$J711+1),0),IF(INDEX(Hourly_Analysis!$G$5:$G$28,$J711+1)&gt;0,($U711-INDEX(Hourly_Analysis!$F$5:$F$28,$J711+1))/INDEX(Hourly_Analysis!$G$5:$G$28,$J711+1),0)),2)</f>
        <v>-0.2</v>
      </c>
      <c r="AH711" s="23" t="str">
        <f>IF(ABS($AG711)&gt;Lookups!$B$20,IF($AG711&gt;0,"High anomaly","Low anomaly"),"")</f>
        <v/>
      </c>
      <c r="AI711" s="23" t="str">
        <f t="shared" si="70"/>
        <v>OK</v>
      </c>
      <c r="AJ711" s="23" t="str">
        <f t="shared" si="71"/>
        <v>No</v>
      </c>
    </row>
    <row r="712" spans="1:36" x14ac:dyDescent="0.35">
      <c r="A712" s="23">
        <v>711</v>
      </c>
      <c r="B712" s="23" t="str">
        <f t="shared" si="66"/>
        <v>Dataset 3</v>
      </c>
      <c r="C712" s="23">
        <f>IFERROR(MATCH($A712,Merge_1_2!$A$2:$A$611,0),0)</f>
        <v>0</v>
      </c>
      <c r="D712" s="23">
        <f>IF($C712&gt;0,INDEX(Merge_1_2!$Q$2:$Q$611,$C712),0)</f>
        <v>0</v>
      </c>
      <c r="E712" s="23">
        <f>IFERROR(MATCH($A712,Dataset3_Raw!$A$2:$A$391,0),0)</f>
        <v>101</v>
      </c>
      <c r="F712" s="24">
        <f>IF($C712&gt;0,INDEX(Merge_1_2!$B$2:$B$611,$C712),DATE(VALUE(RIGHT(INDEX(Dataset3_Raw!$B$2:$B$391,$E712),4)),VALUE(MID(INDEX(Dataset3_Raw!$B$2:$B$391,$E712),4,2)),VALUE(LEFT(INDEX(Dataset3_Raw!$B$2:$B$391,$E712),2))))</f>
        <v>40575</v>
      </c>
      <c r="G712" s="23">
        <f>IF($C712&gt;0,INDEX(Merge_1_2!$C$2:$C$611,$C712),INDEX(Dataset3_Raw!$C$2:$C$391,$E712))</f>
        <v>1</v>
      </c>
      <c r="H712" s="23">
        <f>IF($C712&gt;0,INDEX(Merge_1_2!$D$2:$D$611,$C712),INDEX(Dataset3_Raw!$D$2:$D$391,$E712))</f>
        <v>0</v>
      </c>
      <c r="I712" s="23">
        <f>IF($C712&gt;0,INDEX(Merge_1_2!$E$2:$E$611,$C712),INDEX(Dataset3_Raw!$E$2:$E$391,$E712))</f>
        <v>2</v>
      </c>
      <c r="J712" s="23">
        <f>IF($C712&gt;0,INDEX(Merge_1_2!$F$2:$F$611,$C712),INDEX(Dataset3_Raw!$F$2:$F$391,$E712))</f>
        <v>23</v>
      </c>
      <c r="K712" s="23" t="b">
        <f>IF($C712&gt;0,INDEX(Merge_1_2!$G$2:$G$611,$C712),INDEX(Dataset3_Raw!$G$2:$G$391,$E712))</f>
        <v>0</v>
      </c>
      <c r="L712" s="23">
        <f>IF($C712&gt;0,INDEX(Merge_1_2!$H$2:$H$611,$C712),INDEX(Dataset3_Raw!$H$2:$H$391,$E712))</f>
        <v>2</v>
      </c>
      <c r="M712" s="23">
        <f>IF($C712&gt;0,INDEX(Merge_1_2!$I$2:$I$611,$C712),INDEX(Dataset3_Raw!$I$2:$I$391,$E712))</f>
        <v>3</v>
      </c>
      <c r="N712" s="25">
        <f>IF($C712&gt;0,INDEX(Merge_1_2!$J$2:$J$611,$C712),INDEX(Dataset3_Raw!$J$2:$J$391,$E712))</f>
        <v>0.2</v>
      </c>
      <c r="O712" s="25">
        <f>IF($C712&gt;0,IF(ISNUMBER(INDEX(Merge_1_2!$K$2:$K$611,$C712)),INDEX(Merge_1_2!$K$2:$K$611,$C712),""),INDEX(Dataset3_Raw!$K$2:$K$391,$E712))</f>
        <v>0.19700000000000001</v>
      </c>
      <c r="P712" s="25">
        <f>IF(ISNUMBER($O712),$O712,ROUND(Lookups!$B$25+Lookups!$B$24*$N712,4))</f>
        <v>0.19700000000000001</v>
      </c>
      <c r="Q712" s="25">
        <f>IF($C712&gt;0,INDEX(Merge_1_2!$L$2:$L$611,$C712),INDEX(Dataset3_Raw!$L$2:$L$391,$E712))</f>
        <v>0.93</v>
      </c>
      <c r="R712" s="25">
        <f>IF($C712&gt;0,INDEX(Merge_1_2!$M$2:$M$611,$C712),INDEX(Dataset3_Raw!$M$2:$M$391,$E712))</f>
        <v>0.19400000000000001</v>
      </c>
      <c r="S712" s="23">
        <f>IF($C712&gt;0,INDEX(Merge_1_2!$N$2:$N$611,$C712),INDEX(Dataset3_Raw!$N$2:$N$391,$E712))</f>
        <v>1</v>
      </c>
      <c r="T712" s="23">
        <f>IF($C712&gt;0,INDEX(Merge_1_2!$O$2:$O$611,$C712),INDEX(Dataset3_Raw!$O$2:$O$391,$E712))</f>
        <v>15</v>
      </c>
      <c r="U712" s="23">
        <f>IF($C712&gt;0,INDEX(Merge_1_2!$P$2:$P$611,$C712),INDEX(Dataset3_Raw!$P$2:$P$391,$E712))</f>
        <v>16</v>
      </c>
      <c r="V712" s="23" t="str">
        <f t="shared" si="67"/>
        <v>Weekday</v>
      </c>
      <c r="W712" s="23" t="str">
        <f>VLOOKUP($M712,Lookups!$A$5:$B$8,2,FALSE())</f>
        <v>Light snow / Light rain</v>
      </c>
      <c r="X712" s="23" t="str">
        <f>VLOOKUP($G712,Lookups!$D$5:$E$8,2,FALSE())</f>
        <v>Winter</v>
      </c>
      <c r="Y712" s="23" t="str">
        <f>VLOOKUP($L712,Lookups!$G$5:$H$11,2,FALSE())</f>
        <v>Tuesday</v>
      </c>
      <c r="Z712" s="23" t="str">
        <f>IF($J712&lt;Lookups!$B$26,"Night",IF($J712&lt;Lookups!$B$27,"Morning",IF($J712&lt;Lookups!$B$28,"Afternoon","Evening")))</f>
        <v>Evening</v>
      </c>
      <c r="AA712" s="26">
        <f>ROUND($N712*(Lookups!$B$16-Lookups!$B$15)+Lookups!$B$15,1)</f>
        <v>1.4</v>
      </c>
      <c r="AB712" s="26">
        <f>ROUND($P712*(Lookups!$B$18-Lookups!$B$17)+Lookups!$B$17,1)</f>
        <v>-3</v>
      </c>
      <c r="AC712" s="23">
        <f t="shared" si="68"/>
        <v>93</v>
      </c>
      <c r="AD712" s="23">
        <f>ROUND($R712*Lookups!$B$19,1)</f>
        <v>13</v>
      </c>
      <c r="AE712" s="27">
        <f t="shared" si="69"/>
        <v>0.9375</v>
      </c>
      <c r="AF712" s="23" t="str">
        <f>IF($U712&gt;=Lookups!$B$23,"High",IF($U712&gt;=Lookups!$B$22,"Medium","Low"))</f>
        <v>Medium</v>
      </c>
      <c r="AG712" s="23">
        <f>ROUND(IF($V712="Weekday",IF(INDEX(Hourly_Analysis!$D$5:$D$28,$J712+1)&gt;0,($U712-INDEX(Hourly_Analysis!$C$5:$C$28,$J712+1))/INDEX(Hourly_Analysis!$D$5:$D$28,$J712+1),0),IF(INDEX(Hourly_Analysis!$G$5:$G$28,$J712+1)&gt;0,($U712-INDEX(Hourly_Analysis!$F$5:$F$28,$J712+1))/INDEX(Hourly_Analysis!$G$5:$G$28,$J712+1),0)),2)</f>
        <v>-0.84</v>
      </c>
      <c r="AH712" s="23" t="str">
        <f>IF(ABS($AG712)&gt;Lookups!$B$20,IF($AG712&gt;0,"High anomaly","Low anomaly"),"")</f>
        <v/>
      </c>
      <c r="AI712" s="23" t="str">
        <f t="shared" si="70"/>
        <v>OK</v>
      </c>
      <c r="AJ712" s="23" t="str">
        <f t="shared" si="71"/>
        <v>No</v>
      </c>
    </row>
    <row r="713" spans="1:36" x14ac:dyDescent="0.35">
      <c r="A713" s="23">
        <v>712</v>
      </c>
      <c r="B713" s="23" t="str">
        <f t="shared" si="66"/>
        <v>Dataset 3</v>
      </c>
      <c r="C713" s="23">
        <f>IFERROR(MATCH($A713,Merge_1_2!$A$2:$A$611,0),0)</f>
        <v>0</v>
      </c>
      <c r="D713" s="23">
        <f>IF($C713&gt;0,INDEX(Merge_1_2!$Q$2:$Q$611,$C713),0)</f>
        <v>0</v>
      </c>
      <c r="E713" s="23">
        <f>IFERROR(MATCH($A713,Dataset3_Raw!$A$2:$A$391,0),0)</f>
        <v>102</v>
      </c>
      <c r="F713" s="24">
        <f>IF($C713&gt;0,INDEX(Merge_1_2!$B$2:$B$611,$C713),DATE(VALUE(RIGHT(INDEX(Dataset3_Raw!$B$2:$B$391,$E713),4)),VALUE(MID(INDEX(Dataset3_Raw!$B$2:$B$391,$E713),4,2)),VALUE(LEFT(INDEX(Dataset3_Raw!$B$2:$B$391,$E713),2))))</f>
        <v>40576</v>
      </c>
      <c r="G713" s="23">
        <f>IF($C713&gt;0,INDEX(Merge_1_2!$C$2:$C$611,$C713),INDEX(Dataset3_Raw!$C$2:$C$391,$E713))</f>
        <v>1</v>
      </c>
      <c r="H713" s="23">
        <f>IF($C713&gt;0,INDEX(Merge_1_2!$D$2:$D$611,$C713),INDEX(Dataset3_Raw!$D$2:$D$391,$E713))</f>
        <v>0</v>
      </c>
      <c r="I713" s="23">
        <f>IF($C713&gt;0,INDEX(Merge_1_2!$E$2:$E$611,$C713),INDEX(Dataset3_Raw!$E$2:$E$391,$E713))</f>
        <v>2</v>
      </c>
      <c r="J713" s="23">
        <f>IF($C713&gt;0,INDEX(Merge_1_2!$F$2:$F$611,$C713),INDEX(Dataset3_Raw!$F$2:$F$391,$E713))</f>
        <v>0</v>
      </c>
      <c r="K713" s="23" t="b">
        <f>IF($C713&gt;0,INDEX(Merge_1_2!$G$2:$G$611,$C713),INDEX(Dataset3_Raw!$G$2:$G$391,$E713))</f>
        <v>0</v>
      </c>
      <c r="L713" s="23">
        <f>IF($C713&gt;0,INDEX(Merge_1_2!$H$2:$H$611,$C713),INDEX(Dataset3_Raw!$H$2:$H$391,$E713))</f>
        <v>3</v>
      </c>
      <c r="M713" s="23">
        <f>IF($C713&gt;0,INDEX(Merge_1_2!$I$2:$I$611,$C713),INDEX(Dataset3_Raw!$I$2:$I$391,$E713))</f>
        <v>3</v>
      </c>
      <c r="N713" s="25">
        <f>IF($C713&gt;0,INDEX(Merge_1_2!$J$2:$J$611,$C713),INDEX(Dataset3_Raw!$J$2:$J$391,$E713))</f>
        <v>0.22</v>
      </c>
      <c r="O713" s="25">
        <f>IF($C713&gt;0,IF(ISNUMBER(INDEX(Merge_1_2!$K$2:$K$611,$C713)),INDEX(Merge_1_2!$K$2:$K$611,$C713),""),INDEX(Dataset3_Raw!$K$2:$K$391,$E713))</f>
        <v>0.2424</v>
      </c>
      <c r="P713" s="25">
        <f>IF(ISNUMBER($O713),$O713,ROUND(Lookups!$B$25+Lookups!$B$24*$N713,4))</f>
        <v>0.2424</v>
      </c>
      <c r="Q713" s="25">
        <f>IF($C713&gt;0,INDEX(Merge_1_2!$L$2:$L$611,$C713),INDEX(Dataset3_Raw!$L$2:$L$391,$E713))</f>
        <v>0.93</v>
      </c>
      <c r="R713" s="25">
        <f>IF($C713&gt;0,INDEX(Merge_1_2!$M$2:$M$611,$C713),INDEX(Dataset3_Raw!$M$2:$M$391,$E713))</f>
        <v>0.1045</v>
      </c>
      <c r="S713" s="23">
        <f>IF($C713&gt;0,INDEX(Merge_1_2!$N$2:$N$611,$C713),INDEX(Dataset3_Raw!$N$2:$N$391,$E713))</f>
        <v>0</v>
      </c>
      <c r="T713" s="23">
        <f>IF($C713&gt;0,INDEX(Merge_1_2!$O$2:$O$611,$C713),INDEX(Dataset3_Raw!$O$2:$O$391,$E713))</f>
        <v>2</v>
      </c>
      <c r="U713" s="23">
        <f>IF($C713&gt;0,INDEX(Merge_1_2!$P$2:$P$611,$C713),INDEX(Dataset3_Raw!$P$2:$P$391,$E713))</f>
        <v>2</v>
      </c>
      <c r="V713" s="23" t="str">
        <f t="shared" si="67"/>
        <v>Weekday</v>
      </c>
      <c r="W713" s="23" t="str">
        <f>VLOOKUP($M713,Lookups!$A$5:$B$8,2,FALSE())</f>
        <v>Light snow / Light rain</v>
      </c>
      <c r="X713" s="23" t="str">
        <f>VLOOKUP($G713,Lookups!$D$5:$E$8,2,FALSE())</f>
        <v>Winter</v>
      </c>
      <c r="Y713" s="23" t="str">
        <f>VLOOKUP($L713,Lookups!$G$5:$H$11,2,FALSE())</f>
        <v>Wednesday</v>
      </c>
      <c r="Z713" s="23" t="str">
        <f>IF($J713&lt;Lookups!$B$26,"Night",IF($J713&lt;Lookups!$B$27,"Morning",IF($J713&lt;Lookups!$B$28,"Afternoon","Evening")))</f>
        <v>Night</v>
      </c>
      <c r="AA713" s="26">
        <f>ROUND($N713*(Lookups!$B$16-Lookups!$B$15)+Lookups!$B$15,1)</f>
        <v>2.2999999999999998</v>
      </c>
      <c r="AB713" s="26">
        <f>ROUND($P713*(Lookups!$B$18-Lookups!$B$17)+Lookups!$B$17,1)</f>
        <v>0</v>
      </c>
      <c r="AC713" s="23">
        <f t="shared" si="68"/>
        <v>93</v>
      </c>
      <c r="AD713" s="23">
        <f>ROUND($R713*Lookups!$B$19,1)</f>
        <v>7</v>
      </c>
      <c r="AE713" s="27">
        <f t="shared" si="69"/>
        <v>1</v>
      </c>
      <c r="AF713" s="23" t="str">
        <f>IF($U713&gt;=Lookups!$B$23,"High",IF($U713&gt;=Lookups!$B$22,"Medium","Low"))</f>
        <v>Low</v>
      </c>
      <c r="AG713" s="23">
        <f>ROUND(IF($V713="Weekday",IF(INDEX(Hourly_Analysis!$D$5:$D$28,$J713+1)&gt;0,($U713-INDEX(Hourly_Analysis!$C$5:$C$28,$J713+1))/INDEX(Hourly_Analysis!$D$5:$D$28,$J713+1),0),IF(INDEX(Hourly_Analysis!$G$5:$G$28,$J713+1)&gt;0,($U713-INDEX(Hourly_Analysis!$F$5:$F$28,$J713+1))/INDEX(Hourly_Analysis!$G$5:$G$28,$J713+1),0)),2)</f>
        <v>-1.75</v>
      </c>
      <c r="AH713" s="23" t="str">
        <f>IF(ABS($AG713)&gt;Lookups!$B$20,IF($AG713&gt;0,"High anomaly","Low anomaly"),"")</f>
        <v/>
      </c>
      <c r="AI713" s="23" t="str">
        <f t="shared" si="70"/>
        <v>OK</v>
      </c>
      <c r="AJ713" s="23" t="str">
        <f t="shared" si="71"/>
        <v>No</v>
      </c>
    </row>
    <row r="714" spans="1:36" x14ac:dyDescent="0.35">
      <c r="A714" s="23">
        <v>713</v>
      </c>
      <c r="B714" s="23" t="str">
        <f t="shared" si="66"/>
        <v>Dataset 3</v>
      </c>
      <c r="C714" s="23">
        <f>IFERROR(MATCH($A714,Merge_1_2!$A$2:$A$611,0),0)</f>
        <v>0</v>
      </c>
      <c r="D714" s="23">
        <f>IF($C714&gt;0,INDEX(Merge_1_2!$Q$2:$Q$611,$C714),0)</f>
        <v>0</v>
      </c>
      <c r="E714" s="23">
        <f>IFERROR(MATCH($A714,Dataset3_Raw!$A$2:$A$391,0),0)</f>
        <v>103</v>
      </c>
      <c r="F714" s="24">
        <f>IF($C714&gt;0,INDEX(Merge_1_2!$B$2:$B$611,$C714),DATE(VALUE(RIGHT(INDEX(Dataset3_Raw!$B$2:$B$391,$E714),4)),VALUE(MID(INDEX(Dataset3_Raw!$B$2:$B$391,$E714),4,2)),VALUE(LEFT(INDEX(Dataset3_Raw!$B$2:$B$391,$E714),2))))</f>
        <v>40576</v>
      </c>
      <c r="G714" s="23">
        <f>IF($C714&gt;0,INDEX(Merge_1_2!$C$2:$C$611,$C714),INDEX(Dataset3_Raw!$C$2:$C$391,$E714))</f>
        <v>1</v>
      </c>
      <c r="H714" s="23">
        <f>IF($C714&gt;0,INDEX(Merge_1_2!$D$2:$D$611,$C714),INDEX(Dataset3_Raw!$D$2:$D$391,$E714))</f>
        <v>0</v>
      </c>
      <c r="I714" s="23">
        <f>IF($C714&gt;0,INDEX(Merge_1_2!$E$2:$E$611,$C714),INDEX(Dataset3_Raw!$E$2:$E$391,$E714))</f>
        <v>2</v>
      </c>
      <c r="J714" s="23">
        <f>IF($C714&gt;0,INDEX(Merge_1_2!$F$2:$F$611,$C714),INDEX(Dataset3_Raw!$F$2:$F$391,$E714))</f>
        <v>1</v>
      </c>
      <c r="K714" s="23" t="b">
        <f>IF($C714&gt;0,INDEX(Merge_1_2!$G$2:$G$611,$C714),INDEX(Dataset3_Raw!$G$2:$G$391,$E714))</f>
        <v>0</v>
      </c>
      <c r="L714" s="23">
        <f>IF($C714&gt;0,INDEX(Merge_1_2!$H$2:$H$611,$C714),INDEX(Dataset3_Raw!$H$2:$H$391,$E714))</f>
        <v>3</v>
      </c>
      <c r="M714" s="23">
        <f>IF($C714&gt;0,INDEX(Merge_1_2!$I$2:$I$611,$C714),INDEX(Dataset3_Raw!$I$2:$I$391,$E714))</f>
        <v>3</v>
      </c>
      <c r="N714" s="25">
        <f>IF($C714&gt;0,INDEX(Merge_1_2!$J$2:$J$611,$C714),INDEX(Dataset3_Raw!$J$2:$J$391,$E714))</f>
        <v>0.22</v>
      </c>
      <c r="O714" s="25">
        <f>IF($C714&gt;0,IF(ISNUMBER(INDEX(Merge_1_2!$K$2:$K$611,$C714)),INDEX(Merge_1_2!$K$2:$K$611,$C714),""),INDEX(Dataset3_Raw!$K$2:$K$391,$E714))</f>
        <v>0.2273</v>
      </c>
      <c r="P714" s="25">
        <f>IF(ISNUMBER($O714),$O714,ROUND(Lookups!$B$25+Lookups!$B$24*$N714,4))</f>
        <v>0.2273</v>
      </c>
      <c r="Q714" s="25">
        <f>IF($C714&gt;0,INDEX(Merge_1_2!$L$2:$L$611,$C714),INDEX(Dataset3_Raw!$L$2:$L$391,$E714))</f>
        <v>0.93</v>
      </c>
      <c r="R714" s="25">
        <f>IF($C714&gt;0,INDEX(Merge_1_2!$M$2:$M$611,$C714),INDEX(Dataset3_Raw!$M$2:$M$391,$E714))</f>
        <v>0.19400000000000001</v>
      </c>
      <c r="S714" s="23">
        <f>IF($C714&gt;0,INDEX(Merge_1_2!$N$2:$N$611,$C714),INDEX(Dataset3_Raw!$N$2:$N$391,$E714))</f>
        <v>0</v>
      </c>
      <c r="T714" s="23">
        <f>IF($C714&gt;0,INDEX(Merge_1_2!$O$2:$O$611,$C714),INDEX(Dataset3_Raw!$O$2:$O$391,$E714))</f>
        <v>3</v>
      </c>
      <c r="U714" s="23">
        <f>IF($C714&gt;0,INDEX(Merge_1_2!$P$2:$P$611,$C714),INDEX(Dataset3_Raw!$P$2:$P$391,$E714))</f>
        <v>3</v>
      </c>
      <c r="V714" s="23" t="str">
        <f t="shared" si="67"/>
        <v>Weekday</v>
      </c>
      <c r="W714" s="23" t="str">
        <f>VLOOKUP($M714,Lookups!$A$5:$B$8,2,FALSE())</f>
        <v>Light snow / Light rain</v>
      </c>
      <c r="X714" s="23" t="str">
        <f>VLOOKUP($G714,Lookups!$D$5:$E$8,2,FALSE())</f>
        <v>Winter</v>
      </c>
      <c r="Y714" s="23" t="str">
        <f>VLOOKUP($L714,Lookups!$G$5:$H$11,2,FALSE())</f>
        <v>Wednesday</v>
      </c>
      <c r="Z714" s="23" t="str">
        <f>IF($J714&lt;Lookups!$B$26,"Night",IF($J714&lt;Lookups!$B$27,"Morning",IF($J714&lt;Lookups!$B$28,"Afternoon","Evening")))</f>
        <v>Night</v>
      </c>
      <c r="AA714" s="26">
        <f>ROUND($N714*(Lookups!$B$16-Lookups!$B$15)+Lookups!$B$15,1)</f>
        <v>2.2999999999999998</v>
      </c>
      <c r="AB714" s="26">
        <f>ROUND($P714*(Lookups!$B$18-Lookups!$B$17)+Lookups!$B$17,1)</f>
        <v>-1</v>
      </c>
      <c r="AC714" s="23">
        <f t="shared" si="68"/>
        <v>93</v>
      </c>
      <c r="AD714" s="23">
        <f>ROUND($R714*Lookups!$B$19,1)</f>
        <v>13</v>
      </c>
      <c r="AE714" s="27">
        <f t="shared" si="69"/>
        <v>1</v>
      </c>
      <c r="AF714" s="23" t="str">
        <f>IF($U714&gt;=Lookups!$B$23,"High",IF($U714&gt;=Lookups!$B$22,"Medium","Low"))</f>
        <v>Low</v>
      </c>
      <c r="AG714" s="23">
        <f>ROUND(IF($V714="Weekday",IF(INDEX(Hourly_Analysis!$D$5:$D$28,$J714+1)&gt;0,($U714-INDEX(Hourly_Analysis!$C$5:$C$28,$J714+1))/INDEX(Hourly_Analysis!$D$5:$D$28,$J714+1),0),IF(INDEX(Hourly_Analysis!$G$5:$G$28,$J714+1)&gt;0,($U714-INDEX(Hourly_Analysis!$F$5:$F$28,$J714+1))/INDEX(Hourly_Analysis!$G$5:$G$28,$J714+1),0)),2)</f>
        <v>-0.85</v>
      </c>
      <c r="AH714" s="23" t="str">
        <f>IF(ABS($AG714)&gt;Lookups!$B$20,IF($AG714&gt;0,"High anomaly","Low anomaly"),"")</f>
        <v/>
      </c>
      <c r="AI714" s="23" t="str">
        <f t="shared" si="70"/>
        <v>OK</v>
      </c>
      <c r="AJ714" s="23" t="str">
        <f t="shared" si="71"/>
        <v>No</v>
      </c>
    </row>
    <row r="715" spans="1:36" x14ac:dyDescent="0.35">
      <c r="A715" s="23">
        <v>714</v>
      </c>
      <c r="B715" s="23" t="str">
        <f t="shared" si="66"/>
        <v>Dataset 3</v>
      </c>
      <c r="C715" s="23">
        <f>IFERROR(MATCH($A715,Merge_1_2!$A$2:$A$611,0),0)</f>
        <v>0</v>
      </c>
      <c r="D715" s="23">
        <f>IF($C715&gt;0,INDEX(Merge_1_2!$Q$2:$Q$611,$C715),0)</f>
        <v>0</v>
      </c>
      <c r="E715" s="23">
        <f>IFERROR(MATCH($A715,Dataset3_Raw!$A$2:$A$391,0),0)</f>
        <v>104</v>
      </c>
      <c r="F715" s="24">
        <f>IF($C715&gt;0,INDEX(Merge_1_2!$B$2:$B$611,$C715),DATE(VALUE(RIGHT(INDEX(Dataset3_Raw!$B$2:$B$391,$E715),4)),VALUE(MID(INDEX(Dataset3_Raw!$B$2:$B$391,$E715),4,2)),VALUE(LEFT(INDEX(Dataset3_Raw!$B$2:$B$391,$E715),2))))</f>
        <v>40576</v>
      </c>
      <c r="G715" s="23">
        <f>IF($C715&gt;0,INDEX(Merge_1_2!$C$2:$C$611,$C715),INDEX(Dataset3_Raw!$C$2:$C$391,$E715))</f>
        <v>1</v>
      </c>
      <c r="H715" s="23">
        <f>IF($C715&gt;0,INDEX(Merge_1_2!$D$2:$D$611,$C715),INDEX(Dataset3_Raw!$D$2:$D$391,$E715))</f>
        <v>0</v>
      </c>
      <c r="I715" s="23">
        <f>IF($C715&gt;0,INDEX(Merge_1_2!$E$2:$E$611,$C715),INDEX(Dataset3_Raw!$E$2:$E$391,$E715))</f>
        <v>2</v>
      </c>
      <c r="J715" s="23">
        <f>IF($C715&gt;0,INDEX(Merge_1_2!$F$2:$F$611,$C715),INDEX(Dataset3_Raw!$F$2:$F$391,$E715))</f>
        <v>2</v>
      </c>
      <c r="K715" s="23" t="b">
        <f>IF($C715&gt;0,INDEX(Merge_1_2!$G$2:$G$611,$C715),INDEX(Dataset3_Raw!$G$2:$G$391,$E715))</f>
        <v>0</v>
      </c>
      <c r="L715" s="23">
        <f>IF($C715&gt;0,INDEX(Merge_1_2!$H$2:$H$611,$C715),INDEX(Dataset3_Raw!$H$2:$H$391,$E715))</f>
        <v>3</v>
      </c>
      <c r="M715" s="23">
        <f>IF($C715&gt;0,INDEX(Merge_1_2!$I$2:$I$611,$C715),INDEX(Dataset3_Raw!$I$2:$I$391,$E715))</f>
        <v>3</v>
      </c>
      <c r="N715" s="25">
        <f>IF($C715&gt;0,INDEX(Merge_1_2!$J$2:$J$611,$C715),INDEX(Dataset3_Raw!$J$2:$J$391,$E715))</f>
        <v>0.22</v>
      </c>
      <c r="O715" s="25">
        <f>IF($C715&gt;0,IF(ISNUMBER(INDEX(Merge_1_2!$K$2:$K$611,$C715)),INDEX(Merge_1_2!$K$2:$K$611,$C715),""),INDEX(Dataset3_Raw!$K$2:$K$391,$E715))</f>
        <v>0.2273</v>
      </c>
      <c r="P715" s="25">
        <f>IF(ISNUMBER($O715),$O715,ROUND(Lookups!$B$25+Lookups!$B$24*$N715,4))</f>
        <v>0.2273</v>
      </c>
      <c r="Q715" s="25">
        <f>IF($C715&gt;0,INDEX(Merge_1_2!$L$2:$L$611,$C715),INDEX(Dataset3_Raw!$L$2:$L$391,$E715))</f>
        <v>0.93</v>
      </c>
      <c r="R715" s="25">
        <f>IF($C715&gt;0,INDEX(Merge_1_2!$M$2:$M$611,$C715),INDEX(Dataset3_Raw!$M$2:$M$391,$E715))</f>
        <v>0.1343</v>
      </c>
      <c r="S715" s="23">
        <f>IF($C715&gt;0,INDEX(Merge_1_2!$N$2:$N$611,$C715),INDEX(Dataset3_Raw!$N$2:$N$391,$E715))</f>
        <v>4</v>
      </c>
      <c r="T715" s="23">
        <f>IF($C715&gt;0,INDEX(Merge_1_2!$O$2:$O$611,$C715),INDEX(Dataset3_Raw!$O$2:$O$391,$E715))</f>
        <v>0</v>
      </c>
      <c r="U715" s="23">
        <f>IF($C715&gt;0,INDEX(Merge_1_2!$P$2:$P$611,$C715),INDEX(Dataset3_Raw!$P$2:$P$391,$E715))</f>
        <v>4</v>
      </c>
      <c r="V715" s="23" t="str">
        <f t="shared" si="67"/>
        <v>Weekday</v>
      </c>
      <c r="W715" s="23" t="str">
        <f>VLOOKUP($M715,Lookups!$A$5:$B$8,2,FALSE())</f>
        <v>Light snow / Light rain</v>
      </c>
      <c r="X715" s="23" t="str">
        <f>VLOOKUP($G715,Lookups!$D$5:$E$8,2,FALSE())</f>
        <v>Winter</v>
      </c>
      <c r="Y715" s="23" t="str">
        <f>VLOOKUP($L715,Lookups!$G$5:$H$11,2,FALSE())</f>
        <v>Wednesday</v>
      </c>
      <c r="Z715" s="23" t="str">
        <f>IF($J715&lt;Lookups!$B$26,"Night",IF($J715&lt;Lookups!$B$27,"Morning",IF($J715&lt;Lookups!$B$28,"Afternoon","Evening")))</f>
        <v>Night</v>
      </c>
      <c r="AA715" s="26">
        <f>ROUND($N715*(Lookups!$B$16-Lookups!$B$15)+Lookups!$B$15,1)</f>
        <v>2.2999999999999998</v>
      </c>
      <c r="AB715" s="26">
        <f>ROUND($P715*(Lookups!$B$18-Lookups!$B$17)+Lookups!$B$17,1)</f>
        <v>-1</v>
      </c>
      <c r="AC715" s="23">
        <f t="shared" si="68"/>
        <v>93</v>
      </c>
      <c r="AD715" s="23">
        <f>ROUND($R715*Lookups!$B$19,1)</f>
        <v>9</v>
      </c>
      <c r="AE715" s="27">
        <f t="shared" si="69"/>
        <v>0</v>
      </c>
      <c r="AF715" s="23" t="str">
        <f>IF($U715&gt;=Lookups!$B$23,"High",IF($U715&gt;=Lookups!$B$22,"Medium","Low"))</f>
        <v>Low</v>
      </c>
      <c r="AG715" s="23">
        <f>ROUND(IF($V715="Weekday",IF(INDEX(Hourly_Analysis!$D$5:$D$28,$J715+1)&gt;0,($U715-INDEX(Hourly_Analysis!$C$5:$C$28,$J715+1))/INDEX(Hourly_Analysis!$D$5:$D$28,$J715+1),0),IF(INDEX(Hourly_Analysis!$G$5:$G$28,$J715+1)&gt;0,($U715-INDEX(Hourly_Analysis!$F$5:$F$28,$J715+1))/INDEX(Hourly_Analysis!$G$5:$G$28,$J715+1),0)),2)</f>
        <v>0.9</v>
      </c>
      <c r="AH715" s="23" t="str">
        <f>IF(ABS($AG715)&gt;Lookups!$B$20,IF($AG715&gt;0,"High anomaly","Low anomaly"),"")</f>
        <v/>
      </c>
      <c r="AI715" s="23" t="str">
        <f t="shared" si="70"/>
        <v>OK</v>
      </c>
      <c r="AJ715" s="23" t="str">
        <f t="shared" si="71"/>
        <v>No</v>
      </c>
    </row>
    <row r="716" spans="1:36" x14ac:dyDescent="0.35">
      <c r="A716" s="23">
        <v>715</v>
      </c>
      <c r="B716" s="23" t="str">
        <f t="shared" si="66"/>
        <v>Dataset 3</v>
      </c>
      <c r="C716" s="23">
        <f>IFERROR(MATCH($A716,Merge_1_2!$A$2:$A$611,0),0)</f>
        <v>0</v>
      </c>
      <c r="D716" s="23">
        <f>IF($C716&gt;0,INDEX(Merge_1_2!$Q$2:$Q$611,$C716),0)</f>
        <v>0</v>
      </c>
      <c r="E716" s="23">
        <f>IFERROR(MATCH($A716,Dataset3_Raw!$A$2:$A$391,0),0)</f>
        <v>105</v>
      </c>
      <c r="F716" s="24">
        <f>IF($C716&gt;0,INDEX(Merge_1_2!$B$2:$B$611,$C716),DATE(VALUE(RIGHT(INDEX(Dataset3_Raw!$B$2:$B$391,$E716),4)),VALUE(MID(INDEX(Dataset3_Raw!$B$2:$B$391,$E716),4,2)),VALUE(LEFT(INDEX(Dataset3_Raw!$B$2:$B$391,$E716),2))))</f>
        <v>40576</v>
      </c>
      <c r="G716" s="23">
        <f>IF($C716&gt;0,INDEX(Merge_1_2!$C$2:$C$611,$C716),INDEX(Dataset3_Raw!$C$2:$C$391,$E716))</f>
        <v>1</v>
      </c>
      <c r="H716" s="23">
        <f>IF($C716&gt;0,INDEX(Merge_1_2!$D$2:$D$611,$C716),INDEX(Dataset3_Raw!$D$2:$D$391,$E716))</f>
        <v>0</v>
      </c>
      <c r="I716" s="23">
        <f>IF($C716&gt;0,INDEX(Merge_1_2!$E$2:$E$611,$C716),INDEX(Dataset3_Raw!$E$2:$E$391,$E716))</f>
        <v>2</v>
      </c>
      <c r="J716" s="23">
        <f>IF($C716&gt;0,INDEX(Merge_1_2!$F$2:$F$611,$C716),INDEX(Dataset3_Raw!$F$2:$F$391,$E716))</f>
        <v>3</v>
      </c>
      <c r="K716" s="23" t="b">
        <f>IF($C716&gt;0,INDEX(Merge_1_2!$G$2:$G$611,$C716),INDEX(Dataset3_Raw!$G$2:$G$391,$E716))</f>
        <v>0</v>
      </c>
      <c r="L716" s="23">
        <f>IF($C716&gt;0,INDEX(Merge_1_2!$H$2:$H$611,$C716),INDEX(Dataset3_Raw!$H$2:$H$391,$E716))</f>
        <v>3</v>
      </c>
      <c r="M716" s="23">
        <f>IF($C716&gt;0,INDEX(Merge_1_2!$I$2:$I$611,$C716),INDEX(Dataset3_Raw!$I$2:$I$391,$E716))</f>
        <v>3</v>
      </c>
      <c r="N716" s="25">
        <f>IF($C716&gt;0,INDEX(Merge_1_2!$J$2:$J$611,$C716),INDEX(Dataset3_Raw!$J$2:$J$391,$E716))</f>
        <v>0.22</v>
      </c>
      <c r="O716" s="25">
        <f>IF($C716&gt;0,IF(ISNUMBER(INDEX(Merge_1_2!$K$2:$K$611,$C716)),INDEX(Merge_1_2!$K$2:$K$611,$C716),""),INDEX(Dataset3_Raw!$K$2:$K$391,$E716))</f>
        <v>0.2273</v>
      </c>
      <c r="P716" s="25">
        <f>IF(ISNUMBER($O716),$O716,ROUND(Lookups!$B$25+Lookups!$B$24*$N716,4))</f>
        <v>0.2273</v>
      </c>
      <c r="Q716" s="25">
        <f>IF($C716&gt;0,INDEX(Merge_1_2!$L$2:$L$611,$C716),INDEX(Dataset3_Raw!$L$2:$L$391,$E716))</f>
        <v>0.93</v>
      </c>
      <c r="R716" s="25">
        <f>IF($C716&gt;0,INDEX(Merge_1_2!$M$2:$M$611,$C716),INDEX(Dataset3_Raw!$M$2:$M$391,$E716))</f>
        <v>0.1343</v>
      </c>
      <c r="S716" s="23">
        <f>IF($C716&gt;0,INDEX(Merge_1_2!$N$2:$N$611,$C716),INDEX(Dataset3_Raw!$N$2:$N$391,$E716))</f>
        <v>0</v>
      </c>
      <c r="T716" s="23">
        <f>IF($C716&gt;0,INDEX(Merge_1_2!$O$2:$O$611,$C716),INDEX(Dataset3_Raw!$O$2:$O$391,$E716))</f>
        <v>1</v>
      </c>
      <c r="U716" s="23">
        <f>IF($C716&gt;0,INDEX(Merge_1_2!$P$2:$P$611,$C716),INDEX(Dataset3_Raw!$P$2:$P$391,$E716))</f>
        <v>1</v>
      </c>
      <c r="V716" s="23" t="str">
        <f t="shared" si="67"/>
        <v>Weekday</v>
      </c>
      <c r="W716" s="23" t="str">
        <f>VLOOKUP($M716,Lookups!$A$5:$B$8,2,FALSE())</f>
        <v>Light snow / Light rain</v>
      </c>
      <c r="X716" s="23" t="str">
        <f>VLOOKUP($G716,Lookups!$D$5:$E$8,2,FALSE())</f>
        <v>Winter</v>
      </c>
      <c r="Y716" s="23" t="str">
        <f>VLOOKUP($L716,Lookups!$G$5:$H$11,2,FALSE())</f>
        <v>Wednesday</v>
      </c>
      <c r="Z716" s="23" t="str">
        <f>IF($J716&lt;Lookups!$B$26,"Night",IF($J716&lt;Lookups!$B$27,"Morning",IF($J716&lt;Lookups!$B$28,"Afternoon","Evening")))</f>
        <v>Night</v>
      </c>
      <c r="AA716" s="26">
        <f>ROUND($N716*(Lookups!$B$16-Lookups!$B$15)+Lookups!$B$15,1)</f>
        <v>2.2999999999999998</v>
      </c>
      <c r="AB716" s="26">
        <f>ROUND($P716*(Lookups!$B$18-Lookups!$B$17)+Lookups!$B$17,1)</f>
        <v>-1</v>
      </c>
      <c r="AC716" s="23">
        <f t="shared" si="68"/>
        <v>93</v>
      </c>
      <c r="AD716" s="23">
        <f>ROUND($R716*Lookups!$B$19,1)</f>
        <v>9</v>
      </c>
      <c r="AE716" s="27">
        <f t="shared" si="69"/>
        <v>1</v>
      </c>
      <c r="AF716" s="23" t="str">
        <f>IF($U716&gt;=Lookups!$B$23,"High",IF($U716&gt;=Lookups!$B$22,"Medium","Low"))</f>
        <v>Low</v>
      </c>
      <c r="AG716" s="23">
        <f>ROUND(IF($V716="Weekday",IF(INDEX(Hourly_Analysis!$D$5:$D$28,$J716+1)&gt;0,($U716-INDEX(Hourly_Analysis!$C$5:$C$28,$J716+1))/INDEX(Hourly_Analysis!$D$5:$D$28,$J716+1),0),IF(INDEX(Hourly_Analysis!$G$5:$G$28,$J716+1)&gt;0,($U716-INDEX(Hourly_Analysis!$F$5:$F$28,$J716+1))/INDEX(Hourly_Analysis!$G$5:$G$28,$J716+1),0)),2)</f>
        <v>-0.61</v>
      </c>
      <c r="AH716" s="23" t="str">
        <f>IF(ABS($AG716)&gt;Lookups!$B$20,IF($AG716&gt;0,"High anomaly","Low anomaly"),"")</f>
        <v/>
      </c>
      <c r="AI716" s="23" t="str">
        <f t="shared" si="70"/>
        <v>OK</v>
      </c>
      <c r="AJ716" s="23" t="str">
        <f t="shared" si="71"/>
        <v>No</v>
      </c>
    </row>
    <row r="717" spans="1:36" x14ac:dyDescent="0.35">
      <c r="A717" s="23">
        <v>716</v>
      </c>
      <c r="B717" s="23" t="str">
        <f t="shared" si="66"/>
        <v>Dataset 3</v>
      </c>
      <c r="C717" s="23">
        <f>IFERROR(MATCH($A717,Merge_1_2!$A$2:$A$611,0),0)</f>
        <v>0</v>
      </c>
      <c r="D717" s="23">
        <f>IF($C717&gt;0,INDEX(Merge_1_2!$Q$2:$Q$611,$C717),0)</f>
        <v>0</v>
      </c>
      <c r="E717" s="23">
        <f>IFERROR(MATCH($A717,Dataset3_Raw!$A$2:$A$391,0),0)</f>
        <v>106</v>
      </c>
      <c r="F717" s="24">
        <f>IF($C717&gt;0,INDEX(Merge_1_2!$B$2:$B$611,$C717),DATE(VALUE(RIGHT(INDEX(Dataset3_Raw!$B$2:$B$391,$E717),4)),VALUE(MID(INDEX(Dataset3_Raw!$B$2:$B$391,$E717),4,2)),VALUE(LEFT(INDEX(Dataset3_Raw!$B$2:$B$391,$E717),2))))</f>
        <v>40576</v>
      </c>
      <c r="G717" s="23">
        <f>IF($C717&gt;0,INDEX(Merge_1_2!$C$2:$C$611,$C717),INDEX(Dataset3_Raw!$C$2:$C$391,$E717))</f>
        <v>1</v>
      </c>
      <c r="H717" s="23">
        <f>IF($C717&gt;0,INDEX(Merge_1_2!$D$2:$D$611,$C717),INDEX(Dataset3_Raw!$D$2:$D$391,$E717))</f>
        <v>0</v>
      </c>
      <c r="I717" s="23">
        <f>IF($C717&gt;0,INDEX(Merge_1_2!$E$2:$E$611,$C717),INDEX(Dataset3_Raw!$E$2:$E$391,$E717))</f>
        <v>2</v>
      </c>
      <c r="J717" s="23">
        <f>IF($C717&gt;0,INDEX(Merge_1_2!$F$2:$F$611,$C717),INDEX(Dataset3_Raw!$F$2:$F$391,$E717))</f>
        <v>4</v>
      </c>
      <c r="K717" s="23" t="b">
        <f>IF($C717&gt;0,INDEX(Merge_1_2!$G$2:$G$611,$C717),INDEX(Dataset3_Raw!$G$2:$G$391,$E717))</f>
        <v>0</v>
      </c>
      <c r="L717" s="23">
        <f>IF($C717&gt;0,INDEX(Merge_1_2!$H$2:$H$611,$C717),INDEX(Dataset3_Raw!$H$2:$H$391,$E717))</f>
        <v>3</v>
      </c>
      <c r="M717" s="23">
        <f>IF($C717&gt;0,INDEX(Merge_1_2!$I$2:$I$611,$C717),INDEX(Dataset3_Raw!$I$2:$I$391,$E717))</f>
        <v>3</v>
      </c>
      <c r="N717" s="25">
        <f>IF($C717&gt;0,INDEX(Merge_1_2!$J$2:$J$611,$C717),INDEX(Dataset3_Raw!$J$2:$J$391,$E717))</f>
        <v>0.22</v>
      </c>
      <c r="O717" s="25">
        <f>IF($C717&gt;0,IF(ISNUMBER(INDEX(Merge_1_2!$K$2:$K$611,$C717)),INDEX(Merge_1_2!$K$2:$K$611,$C717),""),INDEX(Dataset3_Raw!$K$2:$K$391,$E717))</f>
        <v>0.21210000000000001</v>
      </c>
      <c r="P717" s="25">
        <f>IF(ISNUMBER($O717),$O717,ROUND(Lookups!$B$25+Lookups!$B$24*$N717,4))</f>
        <v>0.21210000000000001</v>
      </c>
      <c r="Q717" s="25">
        <f>IF($C717&gt;0,INDEX(Merge_1_2!$L$2:$L$611,$C717),INDEX(Dataset3_Raw!$L$2:$L$391,$E717))</f>
        <v>0.93</v>
      </c>
      <c r="R717" s="25">
        <f>IF($C717&gt;0,INDEX(Merge_1_2!$M$2:$M$611,$C717),INDEX(Dataset3_Raw!$M$2:$M$391,$E717))</f>
        <v>0.28360000000000002</v>
      </c>
      <c r="S717" s="23">
        <f>IF($C717&gt;0,INDEX(Merge_1_2!$N$2:$N$611,$C717),INDEX(Dataset3_Raw!$N$2:$N$391,$E717))</f>
        <v>0</v>
      </c>
      <c r="T717" s="23">
        <f>IF($C717&gt;0,INDEX(Merge_1_2!$O$2:$O$611,$C717),INDEX(Dataset3_Raw!$O$2:$O$391,$E717))</f>
        <v>1</v>
      </c>
      <c r="U717" s="23">
        <f>IF($C717&gt;0,INDEX(Merge_1_2!$P$2:$P$611,$C717),INDEX(Dataset3_Raw!$P$2:$P$391,$E717))</f>
        <v>1</v>
      </c>
      <c r="V717" s="23" t="str">
        <f t="shared" si="67"/>
        <v>Weekday</v>
      </c>
      <c r="W717" s="23" t="str">
        <f>VLOOKUP($M717,Lookups!$A$5:$B$8,2,FALSE())</f>
        <v>Light snow / Light rain</v>
      </c>
      <c r="X717" s="23" t="str">
        <f>VLOOKUP($G717,Lookups!$D$5:$E$8,2,FALSE())</f>
        <v>Winter</v>
      </c>
      <c r="Y717" s="23" t="str">
        <f>VLOOKUP($L717,Lookups!$G$5:$H$11,2,FALSE())</f>
        <v>Wednesday</v>
      </c>
      <c r="Z717" s="23" t="str">
        <f>IF($J717&lt;Lookups!$B$26,"Night",IF($J717&lt;Lookups!$B$27,"Morning",IF($J717&lt;Lookups!$B$28,"Afternoon","Evening")))</f>
        <v>Night</v>
      </c>
      <c r="AA717" s="26">
        <f>ROUND($N717*(Lookups!$B$16-Lookups!$B$15)+Lookups!$B$15,1)</f>
        <v>2.2999999999999998</v>
      </c>
      <c r="AB717" s="26">
        <f>ROUND($P717*(Lookups!$B$18-Lookups!$B$17)+Lookups!$B$17,1)</f>
        <v>-2</v>
      </c>
      <c r="AC717" s="23">
        <f t="shared" si="68"/>
        <v>93</v>
      </c>
      <c r="AD717" s="23">
        <f>ROUND($R717*Lookups!$B$19,1)</f>
        <v>19</v>
      </c>
      <c r="AE717" s="27">
        <f t="shared" si="69"/>
        <v>1</v>
      </c>
      <c r="AF717" s="23" t="str">
        <f>IF($U717&gt;=Lookups!$B$23,"High",IF($U717&gt;=Lookups!$B$22,"Medium","Low"))</f>
        <v>Low</v>
      </c>
      <c r="AG717" s="23">
        <f>ROUND(IF($V717="Weekday",IF(INDEX(Hourly_Analysis!$D$5:$D$28,$J717+1)&gt;0,($U717-INDEX(Hourly_Analysis!$C$5:$C$28,$J717+1))/INDEX(Hourly_Analysis!$D$5:$D$28,$J717+1),0),IF(INDEX(Hourly_Analysis!$G$5:$G$28,$J717+1)&gt;0,($U717-INDEX(Hourly_Analysis!$F$5:$F$28,$J717+1))/INDEX(Hourly_Analysis!$G$5:$G$28,$J717+1),0)),2)</f>
        <v>-0.81</v>
      </c>
      <c r="AH717" s="23" t="str">
        <f>IF(ABS($AG717)&gt;Lookups!$B$20,IF($AG717&gt;0,"High anomaly","Low anomaly"),"")</f>
        <v/>
      </c>
      <c r="AI717" s="23" t="str">
        <f t="shared" si="70"/>
        <v>OK</v>
      </c>
      <c r="AJ717" s="23" t="str">
        <f t="shared" si="71"/>
        <v>No</v>
      </c>
    </row>
    <row r="718" spans="1:36" x14ac:dyDescent="0.35">
      <c r="A718" s="23">
        <v>717</v>
      </c>
      <c r="B718" s="23" t="str">
        <f t="shared" si="66"/>
        <v>Dataset 3</v>
      </c>
      <c r="C718" s="23">
        <f>IFERROR(MATCH($A718,Merge_1_2!$A$2:$A$611,0),0)</f>
        <v>0</v>
      </c>
      <c r="D718" s="23">
        <f>IF($C718&gt;0,INDEX(Merge_1_2!$Q$2:$Q$611,$C718),0)</f>
        <v>0</v>
      </c>
      <c r="E718" s="23">
        <f>IFERROR(MATCH($A718,Dataset3_Raw!$A$2:$A$391,0),0)</f>
        <v>107</v>
      </c>
      <c r="F718" s="24">
        <f>IF($C718&gt;0,INDEX(Merge_1_2!$B$2:$B$611,$C718),DATE(VALUE(RIGHT(INDEX(Dataset3_Raw!$B$2:$B$391,$E718),4)),VALUE(MID(INDEX(Dataset3_Raw!$B$2:$B$391,$E718),4,2)),VALUE(LEFT(INDEX(Dataset3_Raw!$B$2:$B$391,$E718),2))))</f>
        <v>40576</v>
      </c>
      <c r="G718" s="23">
        <f>IF($C718&gt;0,INDEX(Merge_1_2!$C$2:$C$611,$C718),INDEX(Dataset3_Raw!$C$2:$C$391,$E718))</f>
        <v>1</v>
      </c>
      <c r="H718" s="23">
        <f>IF($C718&gt;0,INDEX(Merge_1_2!$D$2:$D$611,$C718),INDEX(Dataset3_Raw!$D$2:$D$391,$E718))</f>
        <v>0</v>
      </c>
      <c r="I718" s="23">
        <f>IF($C718&gt;0,INDEX(Merge_1_2!$E$2:$E$611,$C718),INDEX(Dataset3_Raw!$E$2:$E$391,$E718))</f>
        <v>2</v>
      </c>
      <c r="J718" s="23">
        <f>IF($C718&gt;0,INDEX(Merge_1_2!$F$2:$F$611,$C718),INDEX(Dataset3_Raw!$F$2:$F$391,$E718))</f>
        <v>5</v>
      </c>
      <c r="K718" s="23" t="b">
        <f>IF($C718&gt;0,INDEX(Merge_1_2!$G$2:$G$611,$C718),INDEX(Dataset3_Raw!$G$2:$G$391,$E718))</f>
        <v>0</v>
      </c>
      <c r="L718" s="23">
        <f>IF($C718&gt;0,INDEX(Merge_1_2!$H$2:$H$611,$C718),INDEX(Dataset3_Raw!$H$2:$H$391,$E718))</f>
        <v>3</v>
      </c>
      <c r="M718" s="23">
        <f>IF($C718&gt;0,INDEX(Merge_1_2!$I$2:$I$611,$C718),INDEX(Dataset3_Raw!$I$2:$I$391,$E718))</f>
        <v>3</v>
      </c>
      <c r="N718" s="25">
        <f>IF($C718&gt;0,INDEX(Merge_1_2!$J$2:$J$611,$C718),INDEX(Dataset3_Raw!$J$2:$J$391,$E718))</f>
        <v>0.22</v>
      </c>
      <c r="O718" s="25">
        <f>IF($C718&gt;0,IF(ISNUMBER(INDEX(Merge_1_2!$K$2:$K$611,$C718)),INDEX(Merge_1_2!$K$2:$K$611,$C718),""),INDEX(Dataset3_Raw!$K$2:$K$391,$E718))</f>
        <v>0.2424</v>
      </c>
      <c r="P718" s="25">
        <f>IF(ISNUMBER($O718),$O718,ROUND(Lookups!$B$25+Lookups!$B$24*$N718,4))</f>
        <v>0.2424</v>
      </c>
      <c r="Q718" s="25">
        <f>IF($C718&gt;0,INDEX(Merge_1_2!$L$2:$L$611,$C718),INDEX(Dataset3_Raw!$L$2:$L$391,$E718))</f>
        <v>0.93</v>
      </c>
      <c r="R718" s="25">
        <f>IF($C718&gt;0,INDEX(Merge_1_2!$M$2:$M$611,$C718),INDEX(Dataset3_Raw!$M$2:$M$391,$E718))</f>
        <v>0.1045</v>
      </c>
      <c r="S718" s="23">
        <f>IF($C718&gt;0,INDEX(Merge_1_2!$N$2:$N$611,$C718),INDEX(Dataset3_Raw!$N$2:$N$391,$E718))</f>
        <v>0</v>
      </c>
      <c r="T718" s="23">
        <f>IF($C718&gt;0,INDEX(Merge_1_2!$O$2:$O$611,$C718),INDEX(Dataset3_Raw!$O$2:$O$391,$E718))</f>
        <v>3</v>
      </c>
      <c r="U718" s="23">
        <f>IF($C718&gt;0,INDEX(Merge_1_2!$P$2:$P$611,$C718),INDEX(Dataset3_Raw!$P$2:$P$391,$E718))</f>
        <v>3</v>
      </c>
      <c r="V718" s="23" t="str">
        <f t="shared" si="67"/>
        <v>Weekday</v>
      </c>
      <c r="W718" s="23" t="str">
        <f>VLOOKUP($M718,Lookups!$A$5:$B$8,2,FALSE())</f>
        <v>Light snow / Light rain</v>
      </c>
      <c r="X718" s="23" t="str">
        <f>VLOOKUP($G718,Lookups!$D$5:$E$8,2,FALSE())</f>
        <v>Winter</v>
      </c>
      <c r="Y718" s="23" t="str">
        <f>VLOOKUP($L718,Lookups!$G$5:$H$11,2,FALSE())</f>
        <v>Wednesday</v>
      </c>
      <c r="Z718" s="23" t="str">
        <f>IF($J718&lt;Lookups!$B$26,"Night",IF($J718&lt;Lookups!$B$27,"Morning",IF($J718&lt;Lookups!$B$28,"Afternoon","Evening")))</f>
        <v>Night</v>
      </c>
      <c r="AA718" s="26">
        <f>ROUND($N718*(Lookups!$B$16-Lookups!$B$15)+Lookups!$B$15,1)</f>
        <v>2.2999999999999998</v>
      </c>
      <c r="AB718" s="26">
        <f>ROUND($P718*(Lookups!$B$18-Lookups!$B$17)+Lookups!$B$17,1)</f>
        <v>0</v>
      </c>
      <c r="AC718" s="23">
        <f t="shared" si="68"/>
        <v>93</v>
      </c>
      <c r="AD718" s="23">
        <f>ROUND($R718*Lookups!$B$19,1)</f>
        <v>7</v>
      </c>
      <c r="AE718" s="27">
        <f t="shared" si="69"/>
        <v>1</v>
      </c>
      <c r="AF718" s="23" t="str">
        <f>IF($U718&gt;=Lookups!$B$23,"High",IF($U718&gt;=Lookups!$B$22,"Medium","Low"))</f>
        <v>Low</v>
      </c>
      <c r="AG718" s="23">
        <f>ROUND(IF($V718="Weekday",IF(INDEX(Hourly_Analysis!$D$5:$D$28,$J718+1)&gt;0,($U718-INDEX(Hourly_Analysis!$C$5:$C$28,$J718+1))/INDEX(Hourly_Analysis!$D$5:$D$28,$J718+1),0),IF(INDEX(Hourly_Analysis!$G$5:$G$28,$J718+1)&gt;0,($U718-INDEX(Hourly_Analysis!$F$5:$F$28,$J718+1))/INDEX(Hourly_Analysis!$G$5:$G$28,$J718+1),0)),2)</f>
        <v>-0.82</v>
      </c>
      <c r="AH718" s="23" t="str">
        <f>IF(ABS($AG718)&gt;Lookups!$B$20,IF($AG718&gt;0,"High anomaly","Low anomaly"),"")</f>
        <v/>
      </c>
      <c r="AI718" s="23" t="str">
        <f t="shared" si="70"/>
        <v>OK</v>
      </c>
      <c r="AJ718" s="23" t="str">
        <f t="shared" si="71"/>
        <v>No</v>
      </c>
    </row>
    <row r="719" spans="1:36" x14ac:dyDescent="0.35">
      <c r="A719" s="23">
        <v>718</v>
      </c>
      <c r="B719" s="23" t="str">
        <f t="shared" si="66"/>
        <v>Dataset 3</v>
      </c>
      <c r="C719" s="23">
        <f>IFERROR(MATCH($A719,Merge_1_2!$A$2:$A$611,0),0)</f>
        <v>0</v>
      </c>
      <c r="D719" s="23">
        <f>IF($C719&gt;0,INDEX(Merge_1_2!$Q$2:$Q$611,$C719),0)</f>
        <v>0</v>
      </c>
      <c r="E719" s="23">
        <f>IFERROR(MATCH($A719,Dataset3_Raw!$A$2:$A$391,0),0)</f>
        <v>108</v>
      </c>
      <c r="F719" s="24">
        <f>IF($C719&gt;0,INDEX(Merge_1_2!$B$2:$B$611,$C719),DATE(VALUE(RIGHT(INDEX(Dataset3_Raw!$B$2:$B$391,$E719),4)),VALUE(MID(INDEX(Dataset3_Raw!$B$2:$B$391,$E719),4,2)),VALUE(LEFT(INDEX(Dataset3_Raw!$B$2:$B$391,$E719),2))))</f>
        <v>40576</v>
      </c>
      <c r="G719" s="23">
        <f>IF($C719&gt;0,INDEX(Merge_1_2!$C$2:$C$611,$C719),INDEX(Dataset3_Raw!$C$2:$C$391,$E719))</f>
        <v>1</v>
      </c>
      <c r="H719" s="23">
        <f>IF($C719&gt;0,INDEX(Merge_1_2!$D$2:$D$611,$C719),INDEX(Dataset3_Raw!$D$2:$D$391,$E719))</f>
        <v>0</v>
      </c>
      <c r="I719" s="23">
        <f>IF($C719&gt;0,INDEX(Merge_1_2!$E$2:$E$611,$C719),INDEX(Dataset3_Raw!$E$2:$E$391,$E719))</f>
        <v>2</v>
      </c>
      <c r="J719" s="23">
        <f>IF($C719&gt;0,INDEX(Merge_1_2!$F$2:$F$611,$C719),INDEX(Dataset3_Raw!$F$2:$F$391,$E719))</f>
        <v>6</v>
      </c>
      <c r="K719" s="23" t="b">
        <f>IF($C719&gt;0,INDEX(Merge_1_2!$G$2:$G$611,$C719),INDEX(Dataset3_Raw!$G$2:$G$391,$E719))</f>
        <v>0</v>
      </c>
      <c r="L719" s="23">
        <f>IF($C719&gt;0,INDEX(Merge_1_2!$H$2:$H$611,$C719),INDEX(Dataset3_Raw!$H$2:$H$391,$E719))</f>
        <v>3</v>
      </c>
      <c r="M719" s="23">
        <f>IF($C719&gt;0,INDEX(Merge_1_2!$I$2:$I$611,$C719),INDEX(Dataset3_Raw!$I$2:$I$391,$E719))</f>
        <v>3</v>
      </c>
      <c r="N719" s="25">
        <f>IF($C719&gt;0,INDEX(Merge_1_2!$J$2:$J$611,$C719),INDEX(Dataset3_Raw!$J$2:$J$391,$E719))</f>
        <v>0.22</v>
      </c>
      <c r="O719" s="25">
        <f>IF($C719&gt;0,IF(ISNUMBER(INDEX(Merge_1_2!$K$2:$K$611,$C719)),INDEX(Merge_1_2!$K$2:$K$611,$C719),""),INDEX(Dataset3_Raw!$K$2:$K$391,$E719))</f>
        <v>0.2424</v>
      </c>
      <c r="P719" s="25">
        <f>IF(ISNUMBER($O719),$O719,ROUND(Lookups!$B$25+Lookups!$B$24*$N719,4))</f>
        <v>0.2424</v>
      </c>
      <c r="Q719" s="25">
        <f>IF($C719&gt;0,INDEX(Merge_1_2!$L$2:$L$611,$C719),INDEX(Dataset3_Raw!$L$2:$L$391,$E719))</f>
        <v>0.93</v>
      </c>
      <c r="R719" s="25">
        <f>IF($C719&gt;0,INDEX(Merge_1_2!$M$2:$M$611,$C719),INDEX(Dataset3_Raw!$M$2:$M$391,$E719))</f>
        <v>0.1045</v>
      </c>
      <c r="S719" s="23">
        <f>IF($C719&gt;0,INDEX(Merge_1_2!$N$2:$N$611,$C719),INDEX(Dataset3_Raw!$N$2:$N$391,$E719))</f>
        <v>1</v>
      </c>
      <c r="T719" s="23">
        <f>IF($C719&gt;0,INDEX(Merge_1_2!$O$2:$O$611,$C719),INDEX(Dataset3_Raw!$O$2:$O$391,$E719))</f>
        <v>17</v>
      </c>
      <c r="U719" s="23">
        <f>IF($C719&gt;0,INDEX(Merge_1_2!$P$2:$P$611,$C719),INDEX(Dataset3_Raw!$P$2:$P$391,$E719))</f>
        <v>18</v>
      </c>
      <c r="V719" s="23" t="str">
        <f t="shared" si="67"/>
        <v>Weekday</v>
      </c>
      <c r="W719" s="23" t="str">
        <f>VLOOKUP($M719,Lookups!$A$5:$B$8,2,FALSE())</f>
        <v>Light snow / Light rain</v>
      </c>
      <c r="X719" s="23" t="str">
        <f>VLOOKUP($G719,Lookups!$D$5:$E$8,2,FALSE())</f>
        <v>Winter</v>
      </c>
      <c r="Y719" s="23" t="str">
        <f>VLOOKUP($L719,Lookups!$G$5:$H$11,2,FALSE())</f>
        <v>Wednesday</v>
      </c>
      <c r="Z719" s="23" t="str">
        <f>IF($J719&lt;Lookups!$B$26,"Night",IF($J719&lt;Lookups!$B$27,"Morning",IF($J719&lt;Lookups!$B$28,"Afternoon","Evening")))</f>
        <v>Morning</v>
      </c>
      <c r="AA719" s="26">
        <f>ROUND($N719*(Lookups!$B$16-Lookups!$B$15)+Lookups!$B$15,1)</f>
        <v>2.2999999999999998</v>
      </c>
      <c r="AB719" s="26">
        <f>ROUND($P719*(Lookups!$B$18-Lookups!$B$17)+Lookups!$B$17,1)</f>
        <v>0</v>
      </c>
      <c r="AC719" s="23">
        <f t="shared" si="68"/>
        <v>93</v>
      </c>
      <c r="AD719" s="23">
        <f>ROUND($R719*Lookups!$B$19,1)</f>
        <v>7</v>
      </c>
      <c r="AE719" s="27">
        <f t="shared" si="69"/>
        <v>0.94444444444444442</v>
      </c>
      <c r="AF719" s="23" t="str">
        <f>IF($U719&gt;=Lookups!$B$23,"High",IF($U719&gt;=Lookups!$B$22,"Medium","Low"))</f>
        <v>Medium</v>
      </c>
      <c r="AG719" s="23">
        <f>ROUND(IF($V719="Weekday",IF(INDEX(Hourly_Analysis!$D$5:$D$28,$J719+1)&gt;0,($U719-INDEX(Hourly_Analysis!$C$5:$C$28,$J719+1))/INDEX(Hourly_Analysis!$D$5:$D$28,$J719+1),0),IF(INDEX(Hourly_Analysis!$G$5:$G$28,$J719+1)&gt;0,($U719-INDEX(Hourly_Analysis!$F$5:$F$28,$J719+1))/INDEX(Hourly_Analysis!$G$5:$G$28,$J719+1),0)),2)</f>
        <v>-1.18</v>
      </c>
      <c r="AH719" s="23" t="str">
        <f>IF(ABS($AG719)&gt;Lookups!$B$20,IF($AG719&gt;0,"High anomaly","Low anomaly"),"")</f>
        <v/>
      </c>
      <c r="AI719" s="23" t="str">
        <f t="shared" si="70"/>
        <v>OK</v>
      </c>
      <c r="AJ719" s="23" t="str">
        <f t="shared" si="71"/>
        <v>No</v>
      </c>
    </row>
    <row r="720" spans="1:36" x14ac:dyDescent="0.35">
      <c r="A720" s="23">
        <v>719</v>
      </c>
      <c r="B720" s="23" t="str">
        <f t="shared" si="66"/>
        <v>Dataset 3</v>
      </c>
      <c r="C720" s="23">
        <f>IFERROR(MATCH($A720,Merge_1_2!$A$2:$A$611,0),0)</f>
        <v>0</v>
      </c>
      <c r="D720" s="23">
        <f>IF($C720&gt;0,INDEX(Merge_1_2!$Q$2:$Q$611,$C720),0)</f>
        <v>0</v>
      </c>
      <c r="E720" s="23">
        <f>IFERROR(MATCH($A720,Dataset3_Raw!$A$2:$A$391,0),0)</f>
        <v>109</v>
      </c>
      <c r="F720" s="24">
        <f>IF($C720&gt;0,INDEX(Merge_1_2!$B$2:$B$611,$C720),DATE(VALUE(RIGHT(INDEX(Dataset3_Raw!$B$2:$B$391,$E720),4)),VALUE(MID(INDEX(Dataset3_Raw!$B$2:$B$391,$E720),4,2)),VALUE(LEFT(INDEX(Dataset3_Raw!$B$2:$B$391,$E720),2))))</f>
        <v>40576</v>
      </c>
      <c r="G720" s="23">
        <f>IF($C720&gt;0,INDEX(Merge_1_2!$C$2:$C$611,$C720),INDEX(Dataset3_Raw!$C$2:$C$391,$E720))</f>
        <v>1</v>
      </c>
      <c r="H720" s="23">
        <f>IF($C720&gt;0,INDEX(Merge_1_2!$D$2:$D$611,$C720),INDEX(Dataset3_Raw!$D$2:$D$391,$E720))</f>
        <v>0</v>
      </c>
      <c r="I720" s="23">
        <f>IF($C720&gt;0,INDEX(Merge_1_2!$E$2:$E$611,$C720),INDEX(Dataset3_Raw!$E$2:$E$391,$E720))</f>
        <v>2</v>
      </c>
      <c r="J720" s="23">
        <f>IF($C720&gt;0,INDEX(Merge_1_2!$F$2:$F$611,$C720),INDEX(Dataset3_Raw!$F$2:$F$391,$E720))</f>
        <v>7</v>
      </c>
      <c r="K720" s="23" t="b">
        <f>IF($C720&gt;0,INDEX(Merge_1_2!$G$2:$G$611,$C720),INDEX(Dataset3_Raw!$G$2:$G$391,$E720))</f>
        <v>0</v>
      </c>
      <c r="L720" s="23">
        <f>IF($C720&gt;0,INDEX(Merge_1_2!$H$2:$H$611,$C720),INDEX(Dataset3_Raw!$H$2:$H$391,$E720))</f>
        <v>3</v>
      </c>
      <c r="M720" s="23">
        <f>IF($C720&gt;0,INDEX(Merge_1_2!$I$2:$I$611,$C720),INDEX(Dataset3_Raw!$I$2:$I$391,$E720))</f>
        <v>3</v>
      </c>
      <c r="N720" s="25">
        <f>IF($C720&gt;0,INDEX(Merge_1_2!$J$2:$J$611,$C720),INDEX(Dataset3_Raw!$J$2:$J$391,$E720))</f>
        <v>0.22</v>
      </c>
      <c r="O720" s="25">
        <f>IF($C720&gt;0,IF(ISNUMBER(INDEX(Merge_1_2!$K$2:$K$611,$C720)),INDEX(Merge_1_2!$K$2:$K$611,$C720),""),INDEX(Dataset3_Raw!$K$2:$K$391,$E720))</f>
        <v>0.21210000000000001</v>
      </c>
      <c r="P720" s="25">
        <f>IF(ISNUMBER($O720),$O720,ROUND(Lookups!$B$25+Lookups!$B$24*$N720,4))</f>
        <v>0.21210000000000001</v>
      </c>
      <c r="Q720" s="25">
        <f>IF($C720&gt;0,INDEX(Merge_1_2!$L$2:$L$611,$C720),INDEX(Dataset3_Raw!$L$2:$L$391,$E720))</f>
        <v>0.93</v>
      </c>
      <c r="R720" s="25">
        <f>IF($C720&gt;0,INDEX(Merge_1_2!$M$2:$M$611,$C720),INDEX(Dataset3_Raw!$M$2:$M$391,$E720))</f>
        <v>0.22389999999999999</v>
      </c>
      <c r="S720" s="23">
        <f>IF($C720&gt;0,INDEX(Merge_1_2!$N$2:$N$611,$C720),INDEX(Dataset3_Raw!$N$2:$N$391,$E720))</f>
        <v>1</v>
      </c>
      <c r="T720" s="23">
        <f>IF($C720&gt;0,INDEX(Merge_1_2!$O$2:$O$611,$C720),INDEX(Dataset3_Raw!$O$2:$O$391,$E720))</f>
        <v>48</v>
      </c>
      <c r="U720" s="23">
        <f>IF($C720&gt;0,INDEX(Merge_1_2!$P$2:$P$611,$C720),INDEX(Dataset3_Raw!$P$2:$P$391,$E720))</f>
        <v>49</v>
      </c>
      <c r="V720" s="23" t="str">
        <f t="shared" si="67"/>
        <v>Weekday</v>
      </c>
      <c r="W720" s="23" t="str">
        <f>VLOOKUP($M720,Lookups!$A$5:$B$8,2,FALSE())</f>
        <v>Light snow / Light rain</v>
      </c>
      <c r="X720" s="23" t="str">
        <f>VLOOKUP($G720,Lookups!$D$5:$E$8,2,FALSE())</f>
        <v>Winter</v>
      </c>
      <c r="Y720" s="23" t="str">
        <f>VLOOKUP($L720,Lookups!$G$5:$H$11,2,FALSE())</f>
        <v>Wednesday</v>
      </c>
      <c r="Z720" s="23" t="str">
        <f>IF($J720&lt;Lookups!$B$26,"Night",IF($J720&lt;Lookups!$B$27,"Morning",IF($J720&lt;Lookups!$B$28,"Afternoon","Evening")))</f>
        <v>Morning</v>
      </c>
      <c r="AA720" s="26">
        <f>ROUND($N720*(Lookups!$B$16-Lookups!$B$15)+Lookups!$B$15,1)</f>
        <v>2.2999999999999998</v>
      </c>
      <c r="AB720" s="26">
        <f>ROUND($P720*(Lookups!$B$18-Lookups!$B$17)+Lookups!$B$17,1)</f>
        <v>-2</v>
      </c>
      <c r="AC720" s="23">
        <f t="shared" si="68"/>
        <v>93</v>
      </c>
      <c r="AD720" s="23">
        <f>ROUND($R720*Lookups!$B$19,1)</f>
        <v>15</v>
      </c>
      <c r="AE720" s="27">
        <f t="shared" si="69"/>
        <v>0.97959183673469385</v>
      </c>
      <c r="AF720" s="23" t="str">
        <f>IF($U720&gt;=Lookups!$B$23,"High",IF($U720&gt;=Lookups!$B$22,"Medium","Low"))</f>
        <v>Medium</v>
      </c>
      <c r="AG720" s="23">
        <f>ROUND(IF($V720="Weekday",IF(INDEX(Hourly_Analysis!$D$5:$D$28,$J720+1)&gt;0,($U720-INDEX(Hourly_Analysis!$C$5:$C$28,$J720+1))/INDEX(Hourly_Analysis!$D$5:$D$28,$J720+1),0),IF(INDEX(Hourly_Analysis!$G$5:$G$28,$J720+1)&gt;0,($U720-INDEX(Hourly_Analysis!$F$5:$F$28,$J720+1))/INDEX(Hourly_Analysis!$G$5:$G$28,$J720+1),0)),2)</f>
        <v>-1.63</v>
      </c>
      <c r="AH720" s="23" t="str">
        <f>IF(ABS($AG720)&gt;Lookups!$B$20,IF($AG720&gt;0,"High anomaly","Low anomaly"),"")</f>
        <v/>
      </c>
      <c r="AI720" s="23" t="str">
        <f t="shared" si="70"/>
        <v>OK</v>
      </c>
      <c r="AJ720" s="23" t="str">
        <f t="shared" si="71"/>
        <v>No</v>
      </c>
    </row>
    <row r="721" spans="1:36" x14ac:dyDescent="0.35">
      <c r="A721" s="23">
        <v>720</v>
      </c>
      <c r="B721" s="23" t="str">
        <f t="shared" si="66"/>
        <v>Dataset 3</v>
      </c>
      <c r="C721" s="23">
        <f>IFERROR(MATCH($A721,Merge_1_2!$A$2:$A$611,0),0)</f>
        <v>0</v>
      </c>
      <c r="D721" s="23">
        <f>IF($C721&gt;0,INDEX(Merge_1_2!$Q$2:$Q$611,$C721),0)</f>
        <v>0</v>
      </c>
      <c r="E721" s="23">
        <f>IFERROR(MATCH($A721,Dataset3_Raw!$A$2:$A$391,0),0)</f>
        <v>110</v>
      </c>
      <c r="F721" s="24">
        <f>IF($C721&gt;0,INDEX(Merge_1_2!$B$2:$B$611,$C721),DATE(VALUE(RIGHT(INDEX(Dataset3_Raw!$B$2:$B$391,$E721),4)),VALUE(MID(INDEX(Dataset3_Raw!$B$2:$B$391,$E721),4,2)),VALUE(LEFT(INDEX(Dataset3_Raw!$B$2:$B$391,$E721),2))))</f>
        <v>40576</v>
      </c>
      <c r="G721" s="23">
        <f>IF($C721&gt;0,INDEX(Merge_1_2!$C$2:$C$611,$C721),INDEX(Dataset3_Raw!$C$2:$C$391,$E721))</f>
        <v>1</v>
      </c>
      <c r="H721" s="23">
        <f>IF($C721&gt;0,INDEX(Merge_1_2!$D$2:$D$611,$C721),INDEX(Dataset3_Raw!$D$2:$D$391,$E721))</f>
        <v>0</v>
      </c>
      <c r="I721" s="23">
        <f>IF($C721&gt;0,INDEX(Merge_1_2!$E$2:$E$611,$C721),INDEX(Dataset3_Raw!$E$2:$E$391,$E721))</f>
        <v>2</v>
      </c>
      <c r="J721" s="23">
        <f>IF($C721&gt;0,INDEX(Merge_1_2!$F$2:$F$611,$C721),INDEX(Dataset3_Raw!$F$2:$F$391,$E721))</f>
        <v>8</v>
      </c>
      <c r="K721" s="23" t="b">
        <f>IF($C721&gt;0,INDEX(Merge_1_2!$G$2:$G$611,$C721),INDEX(Dataset3_Raw!$G$2:$G$391,$E721))</f>
        <v>0</v>
      </c>
      <c r="L721" s="23">
        <f>IF($C721&gt;0,INDEX(Merge_1_2!$H$2:$H$611,$C721),INDEX(Dataset3_Raw!$H$2:$H$391,$E721))</f>
        <v>3</v>
      </c>
      <c r="M721" s="23">
        <f>IF($C721&gt;0,INDEX(Merge_1_2!$I$2:$I$611,$C721),INDEX(Dataset3_Raw!$I$2:$I$391,$E721))</f>
        <v>3</v>
      </c>
      <c r="N721" s="25">
        <f>IF($C721&gt;0,INDEX(Merge_1_2!$J$2:$J$611,$C721),INDEX(Dataset3_Raw!$J$2:$J$391,$E721))</f>
        <v>0.22</v>
      </c>
      <c r="O721" s="25">
        <f>IF($C721&gt;0,IF(ISNUMBER(INDEX(Merge_1_2!$K$2:$K$611,$C721)),INDEX(Merge_1_2!$K$2:$K$611,$C721),""),INDEX(Dataset3_Raw!$K$2:$K$391,$E721))</f>
        <v>0.21210000000000001</v>
      </c>
      <c r="P721" s="25">
        <f>IF(ISNUMBER($O721),$O721,ROUND(Lookups!$B$25+Lookups!$B$24*$N721,4))</f>
        <v>0.21210000000000001</v>
      </c>
      <c r="Q721" s="25">
        <f>IF($C721&gt;0,INDEX(Merge_1_2!$L$2:$L$611,$C721),INDEX(Dataset3_Raw!$L$2:$L$391,$E721))</f>
        <v>0.93</v>
      </c>
      <c r="R721" s="25">
        <f>IF($C721&gt;0,INDEX(Merge_1_2!$M$2:$M$611,$C721),INDEX(Dataset3_Raw!$M$2:$M$391,$E721))</f>
        <v>0.22389999999999999</v>
      </c>
      <c r="S721" s="23">
        <f>IF($C721&gt;0,INDEX(Merge_1_2!$N$2:$N$611,$C721),INDEX(Dataset3_Raw!$N$2:$N$391,$E721))</f>
        <v>1</v>
      </c>
      <c r="T721" s="23">
        <f>IF($C721&gt;0,INDEX(Merge_1_2!$O$2:$O$611,$C721),INDEX(Dataset3_Raw!$O$2:$O$391,$E721))</f>
        <v>154</v>
      </c>
      <c r="U721" s="23">
        <f>IF($C721&gt;0,INDEX(Merge_1_2!$P$2:$P$611,$C721),INDEX(Dataset3_Raw!$P$2:$P$391,$E721))</f>
        <v>155</v>
      </c>
      <c r="V721" s="23" t="str">
        <f t="shared" si="67"/>
        <v>Weekday</v>
      </c>
      <c r="W721" s="23" t="str">
        <f>VLOOKUP($M721,Lookups!$A$5:$B$8,2,FALSE())</f>
        <v>Light snow / Light rain</v>
      </c>
      <c r="X721" s="23" t="str">
        <f>VLOOKUP($G721,Lookups!$D$5:$E$8,2,FALSE())</f>
        <v>Winter</v>
      </c>
      <c r="Y721" s="23" t="str">
        <f>VLOOKUP($L721,Lookups!$G$5:$H$11,2,FALSE())</f>
        <v>Wednesday</v>
      </c>
      <c r="Z721" s="23" t="str">
        <f>IF($J721&lt;Lookups!$B$26,"Night",IF($J721&lt;Lookups!$B$27,"Morning",IF($J721&lt;Lookups!$B$28,"Afternoon","Evening")))</f>
        <v>Morning</v>
      </c>
      <c r="AA721" s="26">
        <f>ROUND($N721*(Lookups!$B$16-Lookups!$B$15)+Lookups!$B$15,1)</f>
        <v>2.2999999999999998</v>
      </c>
      <c r="AB721" s="26">
        <f>ROUND($P721*(Lookups!$B$18-Lookups!$B$17)+Lookups!$B$17,1)</f>
        <v>-2</v>
      </c>
      <c r="AC721" s="23">
        <f t="shared" si="68"/>
        <v>93</v>
      </c>
      <c r="AD721" s="23">
        <f>ROUND($R721*Lookups!$B$19,1)</f>
        <v>15</v>
      </c>
      <c r="AE721" s="27">
        <f t="shared" si="69"/>
        <v>0.99354838709677418</v>
      </c>
      <c r="AF721" s="23" t="str">
        <f>IF($U721&gt;=Lookups!$B$23,"High",IF($U721&gt;=Lookups!$B$22,"Medium","Low"))</f>
        <v>High</v>
      </c>
      <c r="AG721" s="23">
        <f>ROUND(IF($V721="Weekday",IF(INDEX(Hourly_Analysis!$D$5:$D$28,$J721+1)&gt;0,($U721-INDEX(Hourly_Analysis!$C$5:$C$28,$J721+1))/INDEX(Hourly_Analysis!$D$5:$D$28,$J721+1),0),IF(INDEX(Hourly_Analysis!$G$5:$G$28,$J721+1)&gt;0,($U721-INDEX(Hourly_Analysis!$F$5:$F$28,$J721+1))/INDEX(Hourly_Analysis!$G$5:$G$28,$J721+1),0)),2)</f>
        <v>-0.86</v>
      </c>
      <c r="AH721" s="23" t="str">
        <f>IF(ABS($AG721)&gt;Lookups!$B$20,IF($AG721&gt;0,"High anomaly","Low anomaly"),"")</f>
        <v/>
      </c>
      <c r="AI721" s="23" t="str">
        <f t="shared" si="70"/>
        <v>OK</v>
      </c>
      <c r="AJ721" s="23" t="str">
        <f t="shared" si="71"/>
        <v>No</v>
      </c>
    </row>
    <row r="722" spans="1:36" x14ac:dyDescent="0.35">
      <c r="A722" s="23">
        <v>721</v>
      </c>
      <c r="B722" s="23" t="str">
        <f t="shared" si="66"/>
        <v>Dataset 3</v>
      </c>
      <c r="C722" s="23">
        <f>IFERROR(MATCH($A722,Merge_1_2!$A$2:$A$611,0),0)</f>
        <v>0</v>
      </c>
      <c r="D722" s="23">
        <f>IF($C722&gt;0,INDEX(Merge_1_2!$Q$2:$Q$611,$C722),0)</f>
        <v>0</v>
      </c>
      <c r="E722" s="23">
        <f>IFERROR(MATCH($A722,Dataset3_Raw!$A$2:$A$391,0),0)</f>
        <v>111</v>
      </c>
      <c r="F722" s="24">
        <f>IF($C722&gt;0,INDEX(Merge_1_2!$B$2:$B$611,$C722),DATE(VALUE(RIGHT(INDEX(Dataset3_Raw!$B$2:$B$391,$E722),4)),VALUE(MID(INDEX(Dataset3_Raw!$B$2:$B$391,$E722),4,2)),VALUE(LEFT(INDEX(Dataset3_Raw!$B$2:$B$391,$E722),2))))</f>
        <v>40576</v>
      </c>
      <c r="G722" s="23">
        <f>IF($C722&gt;0,INDEX(Merge_1_2!$C$2:$C$611,$C722),INDEX(Dataset3_Raw!$C$2:$C$391,$E722))</f>
        <v>1</v>
      </c>
      <c r="H722" s="23">
        <f>IF($C722&gt;0,INDEX(Merge_1_2!$D$2:$D$611,$C722),INDEX(Dataset3_Raw!$D$2:$D$391,$E722))</f>
        <v>0</v>
      </c>
      <c r="I722" s="23">
        <f>IF($C722&gt;0,INDEX(Merge_1_2!$E$2:$E$611,$C722),INDEX(Dataset3_Raw!$E$2:$E$391,$E722))</f>
        <v>2</v>
      </c>
      <c r="J722" s="23">
        <f>IF($C722&gt;0,INDEX(Merge_1_2!$F$2:$F$611,$C722),INDEX(Dataset3_Raw!$F$2:$F$391,$E722))</f>
        <v>9</v>
      </c>
      <c r="K722" s="23" t="b">
        <f>IF($C722&gt;0,INDEX(Merge_1_2!$G$2:$G$611,$C722),INDEX(Dataset3_Raw!$G$2:$G$391,$E722))</f>
        <v>0</v>
      </c>
      <c r="L722" s="23">
        <f>IF($C722&gt;0,INDEX(Merge_1_2!$H$2:$H$611,$C722),INDEX(Dataset3_Raw!$H$2:$H$391,$E722))</f>
        <v>3</v>
      </c>
      <c r="M722" s="23">
        <f>IF($C722&gt;0,INDEX(Merge_1_2!$I$2:$I$611,$C722),INDEX(Dataset3_Raw!$I$2:$I$391,$E722))</f>
        <v>2</v>
      </c>
      <c r="N722" s="25">
        <f>IF($C722&gt;0,INDEX(Merge_1_2!$J$2:$J$611,$C722),INDEX(Dataset3_Raw!$J$2:$J$391,$E722))</f>
        <v>0.24</v>
      </c>
      <c r="O722" s="25">
        <f>IF($C722&gt;0,IF(ISNUMBER(INDEX(Merge_1_2!$K$2:$K$611,$C722)),INDEX(Merge_1_2!$K$2:$K$611,$C722),""),INDEX(Dataset3_Raw!$K$2:$K$391,$E722))</f>
        <v>0.2576</v>
      </c>
      <c r="P722" s="25">
        <f>IF(ISNUMBER($O722),$O722,ROUND(Lookups!$B$25+Lookups!$B$24*$N722,4))</f>
        <v>0.2576</v>
      </c>
      <c r="Q722" s="25">
        <f>IF($C722&gt;0,INDEX(Merge_1_2!$L$2:$L$611,$C722),INDEX(Dataset3_Raw!$L$2:$L$391,$E722))</f>
        <v>0.93</v>
      </c>
      <c r="R722" s="25">
        <f>IF($C722&gt;0,INDEX(Merge_1_2!$M$2:$M$611,$C722),INDEX(Dataset3_Raw!$M$2:$M$391,$E722))</f>
        <v>8.9599999999999999E-2</v>
      </c>
      <c r="S722" s="23">
        <f>IF($C722&gt;0,INDEX(Merge_1_2!$N$2:$N$611,$C722),INDEX(Dataset3_Raw!$N$2:$N$391,$E722))</f>
        <v>4</v>
      </c>
      <c r="T722" s="23">
        <f>IF($C722&gt;0,INDEX(Merge_1_2!$O$2:$O$611,$C722),INDEX(Dataset3_Raw!$O$2:$O$391,$E722))</f>
        <v>119</v>
      </c>
      <c r="U722" s="23">
        <f>IF($C722&gt;0,INDEX(Merge_1_2!$P$2:$P$611,$C722),INDEX(Dataset3_Raw!$P$2:$P$391,$E722))</f>
        <v>123</v>
      </c>
      <c r="V722" s="23" t="str">
        <f t="shared" si="67"/>
        <v>Weekday</v>
      </c>
      <c r="W722" s="23" t="str">
        <f>VLOOKUP($M722,Lookups!$A$5:$B$8,2,FALSE())</f>
        <v>Mist / Cloudy</v>
      </c>
      <c r="X722" s="23" t="str">
        <f>VLOOKUP($G722,Lookups!$D$5:$E$8,2,FALSE())</f>
        <v>Winter</v>
      </c>
      <c r="Y722" s="23" t="str">
        <f>VLOOKUP($L722,Lookups!$G$5:$H$11,2,FALSE())</f>
        <v>Wednesday</v>
      </c>
      <c r="Z722" s="23" t="str">
        <f>IF($J722&lt;Lookups!$B$26,"Night",IF($J722&lt;Lookups!$B$27,"Morning",IF($J722&lt;Lookups!$B$28,"Afternoon","Evening")))</f>
        <v>Morning</v>
      </c>
      <c r="AA722" s="26">
        <f>ROUND($N722*(Lookups!$B$16-Lookups!$B$15)+Lookups!$B$15,1)</f>
        <v>3.3</v>
      </c>
      <c r="AB722" s="26">
        <f>ROUND($P722*(Lookups!$B$18-Lookups!$B$17)+Lookups!$B$17,1)</f>
        <v>1</v>
      </c>
      <c r="AC722" s="23">
        <f t="shared" si="68"/>
        <v>93</v>
      </c>
      <c r="AD722" s="23">
        <f>ROUND($R722*Lookups!$B$19,1)</f>
        <v>6</v>
      </c>
      <c r="AE722" s="27">
        <f t="shared" si="69"/>
        <v>0.96747967479674801</v>
      </c>
      <c r="AF722" s="23" t="str">
        <f>IF($U722&gt;=Lookups!$B$23,"High",IF($U722&gt;=Lookups!$B$22,"Medium","Low"))</f>
        <v>High</v>
      </c>
      <c r="AG722" s="23">
        <f>ROUND(IF($V722="Weekday",IF(INDEX(Hourly_Analysis!$D$5:$D$28,$J722+1)&gt;0,($U722-INDEX(Hourly_Analysis!$C$5:$C$28,$J722+1))/INDEX(Hourly_Analysis!$D$5:$D$28,$J722+1),0),IF(INDEX(Hourly_Analysis!$G$5:$G$28,$J722+1)&gt;0,($U722-INDEX(Hourly_Analysis!$F$5:$F$28,$J722+1))/INDEX(Hourly_Analysis!$G$5:$G$28,$J722+1),0)),2)</f>
        <v>0.21</v>
      </c>
      <c r="AH722" s="23" t="str">
        <f>IF(ABS($AG722)&gt;Lookups!$B$20,IF($AG722&gt;0,"High anomaly","Low anomaly"),"")</f>
        <v/>
      </c>
      <c r="AI722" s="23" t="str">
        <f t="shared" si="70"/>
        <v>OK</v>
      </c>
      <c r="AJ722" s="23" t="str">
        <f t="shared" si="71"/>
        <v>No</v>
      </c>
    </row>
    <row r="723" spans="1:36" x14ac:dyDescent="0.35">
      <c r="A723" s="23">
        <v>722</v>
      </c>
      <c r="B723" s="23" t="str">
        <f t="shared" si="66"/>
        <v>Dataset 3</v>
      </c>
      <c r="C723" s="23">
        <f>IFERROR(MATCH($A723,Merge_1_2!$A$2:$A$611,0),0)</f>
        <v>0</v>
      </c>
      <c r="D723" s="23">
        <f>IF($C723&gt;0,INDEX(Merge_1_2!$Q$2:$Q$611,$C723),0)</f>
        <v>0</v>
      </c>
      <c r="E723" s="23">
        <f>IFERROR(MATCH($A723,Dataset3_Raw!$A$2:$A$391,0),0)</f>
        <v>112</v>
      </c>
      <c r="F723" s="24">
        <f>IF($C723&gt;0,INDEX(Merge_1_2!$B$2:$B$611,$C723),DATE(VALUE(RIGHT(INDEX(Dataset3_Raw!$B$2:$B$391,$E723),4)),VALUE(MID(INDEX(Dataset3_Raw!$B$2:$B$391,$E723),4,2)),VALUE(LEFT(INDEX(Dataset3_Raw!$B$2:$B$391,$E723),2))))</f>
        <v>40576</v>
      </c>
      <c r="G723" s="23">
        <f>IF($C723&gt;0,INDEX(Merge_1_2!$C$2:$C$611,$C723),INDEX(Dataset3_Raw!$C$2:$C$391,$E723))</f>
        <v>1</v>
      </c>
      <c r="H723" s="23">
        <f>IF($C723&gt;0,INDEX(Merge_1_2!$D$2:$D$611,$C723),INDEX(Dataset3_Raw!$D$2:$D$391,$E723))</f>
        <v>0</v>
      </c>
      <c r="I723" s="23">
        <f>IF($C723&gt;0,INDEX(Merge_1_2!$E$2:$E$611,$C723),INDEX(Dataset3_Raw!$E$2:$E$391,$E723))</f>
        <v>2</v>
      </c>
      <c r="J723" s="23">
        <f>IF($C723&gt;0,INDEX(Merge_1_2!$F$2:$F$611,$C723),INDEX(Dataset3_Raw!$F$2:$F$391,$E723))</f>
        <v>10</v>
      </c>
      <c r="K723" s="23" t="b">
        <f>IF($C723&gt;0,INDEX(Merge_1_2!$G$2:$G$611,$C723),INDEX(Dataset3_Raw!$G$2:$G$391,$E723))</f>
        <v>0</v>
      </c>
      <c r="L723" s="23">
        <f>IF($C723&gt;0,INDEX(Merge_1_2!$H$2:$H$611,$C723),INDEX(Dataset3_Raw!$H$2:$H$391,$E723))</f>
        <v>3</v>
      </c>
      <c r="M723" s="23">
        <f>IF($C723&gt;0,INDEX(Merge_1_2!$I$2:$I$611,$C723),INDEX(Dataset3_Raw!$I$2:$I$391,$E723))</f>
        <v>2</v>
      </c>
      <c r="N723" s="25">
        <f>IF($C723&gt;0,INDEX(Merge_1_2!$J$2:$J$611,$C723),INDEX(Dataset3_Raw!$J$2:$J$391,$E723))</f>
        <v>0.22</v>
      </c>
      <c r="O723" s="25">
        <f>IF($C723&gt;0,IF(ISNUMBER(INDEX(Merge_1_2!$K$2:$K$611,$C723)),INDEX(Merge_1_2!$K$2:$K$611,$C723),""),INDEX(Dataset3_Raw!$K$2:$K$391,$E723))</f>
        <v>0.2727</v>
      </c>
      <c r="P723" s="25">
        <f>IF(ISNUMBER($O723),$O723,ROUND(Lookups!$B$25+Lookups!$B$24*$N723,4))</f>
        <v>0.2727</v>
      </c>
      <c r="Q723" s="25">
        <f>IF($C723&gt;0,INDEX(Merge_1_2!$L$2:$L$611,$C723),INDEX(Dataset3_Raw!$L$2:$L$391,$E723))</f>
        <v>1</v>
      </c>
      <c r="R723" s="25">
        <f>IF($C723&gt;0,INDEX(Merge_1_2!$M$2:$M$611,$C723),INDEX(Dataset3_Raw!$M$2:$M$391,$E723))</f>
        <v>0</v>
      </c>
      <c r="S723" s="23">
        <f>IF($C723&gt;0,INDEX(Merge_1_2!$N$2:$N$611,$C723),INDEX(Dataset3_Raw!$N$2:$N$391,$E723))</f>
        <v>2</v>
      </c>
      <c r="T723" s="23">
        <f>IF($C723&gt;0,INDEX(Merge_1_2!$O$2:$O$611,$C723),INDEX(Dataset3_Raw!$O$2:$O$391,$E723))</f>
        <v>59</v>
      </c>
      <c r="U723" s="23">
        <f>IF($C723&gt;0,INDEX(Merge_1_2!$P$2:$P$611,$C723),INDEX(Dataset3_Raw!$P$2:$P$391,$E723))</f>
        <v>61</v>
      </c>
      <c r="V723" s="23" t="str">
        <f t="shared" si="67"/>
        <v>Weekday</v>
      </c>
      <c r="W723" s="23" t="str">
        <f>VLOOKUP($M723,Lookups!$A$5:$B$8,2,FALSE())</f>
        <v>Mist / Cloudy</v>
      </c>
      <c r="X723" s="23" t="str">
        <f>VLOOKUP($G723,Lookups!$D$5:$E$8,2,FALSE())</f>
        <v>Winter</v>
      </c>
      <c r="Y723" s="23" t="str">
        <f>VLOOKUP($L723,Lookups!$G$5:$H$11,2,FALSE())</f>
        <v>Wednesday</v>
      </c>
      <c r="Z723" s="23" t="str">
        <f>IF($J723&lt;Lookups!$B$26,"Night",IF($J723&lt;Lookups!$B$27,"Morning",IF($J723&lt;Lookups!$B$28,"Afternoon","Evening")))</f>
        <v>Morning</v>
      </c>
      <c r="AA723" s="26">
        <f>ROUND($N723*(Lookups!$B$16-Lookups!$B$15)+Lookups!$B$15,1)</f>
        <v>2.2999999999999998</v>
      </c>
      <c r="AB723" s="26">
        <f>ROUND($P723*(Lookups!$B$18-Lookups!$B$17)+Lookups!$B$17,1)</f>
        <v>2</v>
      </c>
      <c r="AC723" s="23">
        <f t="shared" si="68"/>
        <v>100</v>
      </c>
      <c r="AD723" s="23">
        <f>ROUND($R723*Lookups!$B$19,1)</f>
        <v>0</v>
      </c>
      <c r="AE723" s="27">
        <f t="shared" si="69"/>
        <v>0.96721311475409832</v>
      </c>
      <c r="AF723" s="23" t="str">
        <f>IF($U723&gt;=Lookups!$B$23,"High",IF($U723&gt;=Lookups!$B$22,"Medium","Low"))</f>
        <v>Medium</v>
      </c>
      <c r="AG723" s="23">
        <f>ROUND(IF($V723="Weekday",IF(INDEX(Hourly_Analysis!$D$5:$D$28,$J723+1)&gt;0,($U723-INDEX(Hourly_Analysis!$C$5:$C$28,$J723+1))/INDEX(Hourly_Analysis!$D$5:$D$28,$J723+1),0),IF(INDEX(Hourly_Analysis!$G$5:$G$28,$J723+1)&gt;0,($U723-INDEX(Hourly_Analysis!$F$5:$F$28,$J723+1))/INDEX(Hourly_Analysis!$G$5:$G$28,$J723+1),0)),2)</f>
        <v>1.2</v>
      </c>
      <c r="AH723" s="23" t="str">
        <f>IF(ABS($AG723)&gt;Lookups!$B$20,IF($AG723&gt;0,"High anomaly","Low anomaly"),"")</f>
        <v/>
      </c>
      <c r="AI723" s="23" t="str">
        <f t="shared" si="70"/>
        <v>OK</v>
      </c>
      <c r="AJ723" s="23" t="str">
        <f t="shared" si="71"/>
        <v>No</v>
      </c>
    </row>
    <row r="724" spans="1:36" x14ac:dyDescent="0.35">
      <c r="A724" s="23">
        <v>723</v>
      </c>
      <c r="B724" s="23" t="str">
        <f t="shared" si="66"/>
        <v>Dataset 3</v>
      </c>
      <c r="C724" s="23">
        <f>IFERROR(MATCH($A724,Merge_1_2!$A$2:$A$611,0),0)</f>
        <v>0</v>
      </c>
      <c r="D724" s="23">
        <f>IF($C724&gt;0,INDEX(Merge_1_2!$Q$2:$Q$611,$C724),0)</f>
        <v>0</v>
      </c>
      <c r="E724" s="23">
        <f>IFERROR(MATCH($A724,Dataset3_Raw!$A$2:$A$391,0),0)</f>
        <v>113</v>
      </c>
      <c r="F724" s="24">
        <f>IF($C724&gt;0,INDEX(Merge_1_2!$B$2:$B$611,$C724),DATE(VALUE(RIGHT(INDEX(Dataset3_Raw!$B$2:$B$391,$E724),4)),VALUE(MID(INDEX(Dataset3_Raw!$B$2:$B$391,$E724),4,2)),VALUE(LEFT(INDEX(Dataset3_Raw!$B$2:$B$391,$E724),2))))</f>
        <v>40576</v>
      </c>
      <c r="G724" s="23">
        <f>IF($C724&gt;0,INDEX(Merge_1_2!$C$2:$C$611,$C724),INDEX(Dataset3_Raw!$C$2:$C$391,$E724))</f>
        <v>1</v>
      </c>
      <c r="H724" s="23">
        <f>IF($C724&gt;0,INDEX(Merge_1_2!$D$2:$D$611,$C724),INDEX(Dataset3_Raw!$D$2:$D$391,$E724))</f>
        <v>0</v>
      </c>
      <c r="I724" s="23">
        <f>IF($C724&gt;0,INDEX(Merge_1_2!$E$2:$E$611,$C724),INDEX(Dataset3_Raw!$E$2:$E$391,$E724))</f>
        <v>2</v>
      </c>
      <c r="J724" s="23">
        <f>IF($C724&gt;0,INDEX(Merge_1_2!$F$2:$F$611,$C724),INDEX(Dataset3_Raw!$F$2:$F$391,$E724))</f>
        <v>11</v>
      </c>
      <c r="K724" s="23" t="b">
        <f>IF($C724&gt;0,INDEX(Merge_1_2!$G$2:$G$611,$C724),INDEX(Dataset3_Raw!$G$2:$G$391,$E724))</f>
        <v>0</v>
      </c>
      <c r="L724" s="23">
        <f>IF($C724&gt;0,INDEX(Merge_1_2!$H$2:$H$611,$C724),INDEX(Dataset3_Raw!$H$2:$H$391,$E724))</f>
        <v>3</v>
      </c>
      <c r="M724" s="23">
        <f>IF($C724&gt;0,INDEX(Merge_1_2!$I$2:$I$611,$C724),INDEX(Dataset3_Raw!$I$2:$I$391,$E724))</f>
        <v>2</v>
      </c>
      <c r="N724" s="25">
        <f>IF($C724&gt;0,INDEX(Merge_1_2!$J$2:$J$611,$C724),INDEX(Dataset3_Raw!$J$2:$J$391,$E724))</f>
        <v>0.24</v>
      </c>
      <c r="O724" s="25">
        <f>IF($C724&gt;0,IF(ISNUMBER(INDEX(Merge_1_2!$K$2:$K$611,$C724)),INDEX(Merge_1_2!$K$2:$K$611,$C724),""),INDEX(Dataset3_Raw!$K$2:$K$391,$E724))</f>
        <v>0.2273</v>
      </c>
      <c r="P724" s="25">
        <f>IF(ISNUMBER($O724),$O724,ROUND(Lookups!$B$25+Lookups!$B$24*$N724,4))</f>
        <v>0.2273</v>
      </c>
      <c r="Q724" s="25">
        <f>IF($C724&gt;0,INDEX(Merge_1_2!$L$2:$L$611,$C724),INDEX(Dataset3_Raw!$L$2:$L$391,$E724))</f>
        <v>0.93</v>
      </c>
      <c r="R724" s="25">
        <f>IF($C724&gt;0,INDEX(Merge_1_2!$M$2:$M$611,$C724),INDEX(Dataset3_Raw!$M$2:$M$391,$E724))</f>
        <v>0.19400000000000001</v>
      </c>
      <c r="S724" s="23">
        <f>IF($C724&gt;0,INDEX(Merge_1_2!$N$2:$N$611,$C724),INDEX(Dataset3_Raw!$N$2:$N$391,$E724))</f>
        <v>5</v>
      </c>
      <c r="T724" s="23">
        <f>IF($C724&gt;0,INDEX(Merge_1_2!$O$2:$O$611,$C724),INDEX(Dataset3_Raw!$O$2:$O$391,$E724))</f>
        <v>47</v>
      </c>
      <c r="U724" s="23">
        <f>IF($C724&gt;0,INDEX(Merge_1_2!$P$2:$P$611,$C724),INDEX(Dataset3_Raw!$P$2:$P$391,$E724))</f>
        <v>52</v>
      </c>
      <c r="V724" s="23" t="str">
        <f t="shared" si="67"/>
        <v>Weekday</v>
      </c>
      <c r="W724" s="23" t="str">
        <f>VLOOKUP($M724,Lookups!$A$5:$B$8,2,FALSE())</f>
        <v>Mist / Cloudy</v>
      </c>
      <c r="X724" s="23" t="str">
        <f>VLOOKUP($G724,Lookups!$D$5:$E$8,2,FALSE())</f>
        <v>Winter</v>
      </c>
      <c r="Y724" s="23" t="str">
        <f>VLOOKUP($L724,Lookups!$G$5:$H$11,2,FALSE())</f>
        <v>Wednesday</v>
      </c>
      <c r="Z724" s="23" t="str">
        <f>IF($J724&lt;Lookups!$B$26,"Night",IF($J724&lt;Lookups!$B$27,"Morning",IF($J724&lt;Lookups!$B$28,"Afternoon","Evening")))</f>
        <v>Morning</v>
      </c>
      <c r="AA724" s="26">
        <f>ROUND($N724*(Lookups!$B$16-Lookups!$B$15)+Lookups!$B$15,1)</f>
        <v>3.3</v>
      </c>
      <c r="AB724" s="26">
        <f>ROUND($P724*(Lookups!$B$18-Lookups!$B$17)+Lookups!$B$17,1)</f>
        <v>-1</v>
      </c>
      <c r="AC724" s="23">
        <f t="shared" si="68"/>
        <v>93</v>
      </c>
      <c r="AD724" s="23">
        <f>ROUND($R724*Lookups!$B$19,1)</f>
        <v>13</v>
      </c>
      <c r="AE724" s="27">
        <f t="shared" si="69"/>
        <v>0.90384615384615385</v>
      </c>
      <c r="AF724" s="23" t="str">
        <f>IF($U724&gt;=Lookups!$B$23,"High",IF($U724&gt;=Lookups!$B$22,"Medium","Low"))</f>
        <v>Medium</v>
      </c>
      <c r="AG724" s="23">
        <f>ROUND(IF($V724="Weekday",IF(INDEX(Hourly_Analysis!$D$5:$D$28,$J724+1)&gt;0,($U724-INDEX(Hourly_Analysis!$C$5:$C$28,$J724+1))/INDEX(Hourly_Analysis!$D$5:$D$28,$J724+1),0),IF(INDEX(Hourly_Analysis!$G$5:$G$28,$J724+1)&gt;0,($U724-INDEX(Hourly_Analysis!$F$5:$F$28,$J724+1))/INDEX(Hourly_Analysis!$G$5:$G$28,$J724+1),0)),2)</f>
        <v>0.17</v>
      </c>
      <c r="AH724" s="23" t="str">
        <f>IF(ABS($AG724)&gt;Lookups!$B$20,IF($AG724&gt;0,"High anomaly","Low anomaly"),"")</f>
        <v/>
      </c>
      <c r="AI724" s="23" t="str">
        <f t="shared" si="70"/>
        <v>OK</v>
      </c>
      <c r="AJ724" s="23" t="str">
        <f t="shared" si="71"/>
        <v>No</v>
      </c>
    </row>
    <row r="725" spans="1:36" x14ac:dyDescent="0.35">
      <c r="A725" s="23">
        <v>724</v>
      </c>
      <c r="B725" s="23" t="str">
        <f t="shared" si="66"/>
        <v>Dataset 3</v>
      </c>
      <c r="C725" s="23">
        <f>IFERROR(MATCH($A725,Merge_1_2!$A$2:$A$611,0),0)</f>
        <v>0</v>
      </c>
      <c r="D725" s="23">
        <f>IF($C725&gt;0,INDEX(Merge_1_2!$Q$2:$Q$611,$C725),0)</f>
        <v>0</v>
      </c>
      <c r="E725" s="23">
        <f>IFERROR(MATCH($A725,Dataset3_Raw!$A$2:$A$391,0),0)</f>
        <v>114</v>
      </c>
      <c r="F725" s="24">
        <f>IF($C725&gt;0,INDEX(Merge_1_2!$B$2:$B$611,$C725),DATE(VALUE(RIGHT(INDEX(Dataset3_Raw!$B$2:$B$391,$E725),4)),VALUE(MID(INDEX(Dataset3_Raw!$B$2:$B$391,$E725),4,2)),VALUE(LEFT(INDEX(Dataset3_Raw!$B$2:$B$391,$E725),2))))</f>
        <v>40576</v>
      </c>
      <c r="G725" s="23">
        <f>IF($C725&gt;0,INDEX(Merge_1_2!$C$2:$C$611,$C725),INDEX(Dataset3_Raw!$C$2:$C$391,$E725))</f>
        <v>1</v>
      </c>
      <c r="H725" s="23">
        <f>IF($C725&gt;0,INDEX(Merge_1_2!$D$2:$D$611,$C725),INDEX(Dataset3_Raw!$D$2:$D$391,$E725))</f>
        <v>0</v>
      </c>
      <c r="I725" s="23">
        <f>IF($C725&gt;0,INDEX(Merge_1_2!$E$2:$E$611,$C725),INDEX(Dataset3_Raw!$E$2:$E$391,$E725))</f>
        <v>2</v>
      </c>
      <c r="J725" s="23">
        <f>IF($C725&gt;0,INDEX(Merge_1_2!$F$2:$F$611,$C725),INDEX(Dataset3_Raw!$F$2:$F$391,$E725))</f>
        <v>12</v>
      </c>
      <c r="K725" s="23" t="b">
        <f>IF($C725&gt;0,INDEX(Merge_1_2!$G$2:$G$611,$C725),INDEX(Dataset3_Raw!$G$2:$G$391,$E725))</f>
        <v>0</v>
      </c>
      <c r="L725" s="23">
        <f>IF($C725&gt;0,INDEX(Merge_1_2!$H$2:$H$611,$C725),INDEX(Dataset3_Raw!$H$2:$H$391,$E725))</f>
        <v>3</v>
      </c>
      <c r="M725" s="23">
        <f>IF($C725&gt;0,INDEX(Merge_1_2!$I$2:$I$611,$C725),INDEX(Dataset3_Raw!$I$2:$I$391,$E725))</f>
        <v>2</v>
      </c>
      <c r="N725" s="25">
        <f>IF($C725&gt;0,INDEX(Merge_1_2!$J$2:$J$611,$C725),INDEX(Dataset3_Raw!$J$2:$J$391,$E725))</f>
        <v>0.24</v>
      </c>
      <c r="O725" s="25">
        <f>IF($C725&gt;0,IF(ISNUMBER(INDEX(Merge_1_2!$K$2:$K$611,$C725)),INDEX(Merge_1_2!$K$2:$K$611,$C725),""),INDEX(Dataset3_Raw!$K$2:$K$391,$E725))</f>
        <v>0.2273</v>
      </c>
      <c r="P725" s="25">
        <f>IF(ISNUMBER($O725),$O725,ROUND(Lookups!$B$25+Lookups!$B$24*$N725,4))</f>
        <v>0.2273</v>
      </c>
      <c r="Q725" s="25">
        <f>IF($C725&gt;0,INDEX(Merge_1_2!$L$2:$L$611,$C725),INDEX(Dataset3_Raw!$L$2:$L$391,$E725))</f>
        <v>0.93</v>
      </c>
      <c r="R725" s="25">
        <f>IF($C725&gt;0,INDEX(Merge_1_2!$M$2:$M$611,$C725),INDEX(Dataset3_Raw!$M$2:$M$391,$E725))</f>
        <v>0.22389999999999999</v>
      </c>
      <c r="S725" s="23">
        <f>IF($C725&gt;0,INDEX(Merge_1_2!$N$2:$N$611,$C725),INDEX(Dataset3_Raw!$N$2:$N$391,$E725))</f>
        <v>3</v>
      </c>
      <c r="T725" s="23">
        <f>IF($C725&gt;0,INDEX(Merge_1_2!$O$2:$O$611,$C725),INDEX(Dataset3_Raw!$O$2:$O$391,$E725))</f>
        <v>61</v>
      </c>
      <c r="U725" s="23">
        <f>IF($C725&gt;0,INDEX(Merge_1_2!$P$2:$P$611,$C725),INDEX(Dataset3_Raw!$P$2:$P$391,$E725))</f>
        <v>64</v>
      </c>
      <c r="V725" s="23" t="str">
        <f t="shared" si="67"/>
        <v>Weekday</v>
      </c>
      <c r="W725" s="23" t="str">
        <f>VLOOKUP($M725,Lookups!$A$5:$B$8,2,FALSE())</f>
        <v>Mist / Cloudy</v>
      </c>
      <c r="X725" s="23" t="str">
        <f>VLOOKUP($G725,Lookups!$D$5:$E$8,2,FALSE())</f>
        <v>Winter</v>
      </c>
      <c r="Y725" s="23" t="str">
        <f>VLOOKUP($L725,Lookups!$G$5:$H$11,2,FALSE())</f>
        <v>Wednesday</v>
      </c>
      <c r="Z725" s="23" t="str">
        <f>IF($J725&lt;Lookups!$B$26,"Night",IF($J725&lt;Lookups!$B$27,"Morning",IF($J725&lt;Lookups!$B$28,"Afternoon","Evening")))</f>
        <v>Afternoon</v>
      </c>
      <c r="AA725" s="26">
        <f>ROUND($N725*(Lookups!$B$16-Lookups!$B$15)+Lookups!$B$15,1)</f>
        <v>3.3</v>
      </c>
      <c r="AB725" s="26">
        <f>ROUND($P725*(Lookups!$B$18-Lookups!$B$17)+Lookups!$B$17,1)</f>
        <v>-1</v>
      </c>
      <c r="AC725" s="23">
        <f t="shared" si="68"/>
        <v>93</v>
      </c>
      <c r="AD725" s="23">
        <f>ROUND($R725*Lookups!$B$19,1)</f>
        <v>15</v>
      </c>
      <c r="AE725" s="27">
        <f t="shared" si="69"/>
        <v>0.953125</v>
      </c>
      <c r="AF725" s="23" t="str">
        <f>IF($U725&gt;=Lookups!$B$23,"High",IF($U725&gt;=Lookups!$B$22,"Medium","Low"))</f>
        <v>Medium</v>
      </c>
      <c r="AG725" s="23">
        <f>ROUND(IF($V725="Weekday",IF(INDEX(Hourly_Analysis!$D$5:$D$28,$J725+1)&gt;0,($U725-INDEX(Hourly_Analysis!$C$5:$C$28,$J725+1))/INDEX(Hourly_Analysis!$D$5:$D$28,$J725+1),0),IF(INDEX(Hourly_Analysis!$G$5:$G$28,$J725+1)&gt;0,($U725-INDEX(Hourly_Analysis!$F$5:$F$28,$J725+1))/INDEX(Hourly_Analysis!$G$5:$G$28,$J725+1),0)),2)</f>
        <v>0</v>
      </c>
      <c r="AH725" s="23" t="str">
        <f>IF(ABS($AG725)&gt;Lookups!$B$20,IF($AG725&gt;0,"High anomaly","Low anomaly"),"")</f>
        <v/>
      </c>
      <c r="AI725" s="23" t="str">
        <f t="shared" si="70"/>
        <v>OK</v>
      </c>
      <c r="AJ725" s="23" t="str">
        <f t="shared" si="71"/>
        <v>No</v>
      </c>
    </row>
    <row r="726" spans="1:36" x14ac:dyDescent="0.35">
      <c r="A726" s="23">
        <v>725</v>
      </c>
      <c r="B726" s="23" t="str">
        <f t="shared" si="66"/>
        <v>Dataset 3</v>
      </c>
      <c r="C726" s="23">
        <f>IFERROR(MATCH($A726,Merge_1_2!$A$2:$A$611,0),0)</f>
        <v>0</v>
      </c>
      <c r="D726" s="23">
        <f>IF($C726&gt;0,INDEX(Merge_1_2!$Q$2:$Q$611,$C726),0)</f>
        <v>0</v>
      </c>
      <c r="E726" s="23">
        <f>IFERROR(MATCH($A726,Dataset3_Raw!$A$2:$A$391,0),0)</f>
        <v>115</v>
      </c>
      <c r="F726" s="24">
        <f>IF($C726&gt;0,INDEX(Merge_1_2!$B$2:$B$611,$C726),DATE(VALUE(RIGHT(INDEX(Dataset3_Raw!$B$2:$B$391,$E726),4)),VALUE(MID(INDEX(Dataset3_Raw!$B$2:$B$391,$E726),4,2)),VALUE(LEFT(INDEX(Dataset3_Raw!$B$2:$B$391,$E726),2))))</f>
        <v>40576</v>
      </c>
      <c r="G726" s="23">
        <f>IF($C726&gt;0,INDEX(Merge_1_2!$C$2:$C$611,$C726),INDEX(Dataset3_Raw!$C$2:$C$391,$E726))</f>
        <v>1</v>
      </c>
      <c r="H726" s="23">
        <f>IF($C726&gt;0,INDEX(Merge_1_2!$D$2:$D$611,$C726),INDEX(Dataset3_Raw!$D$2:$D$391,$E726))</f>
        <v>0</v>
      </c>
      <c r="I726" s="23">
        <f>IF($C726&gt;0,INDEX(Merge_1_2!$E$2:$E$611,$C726),INDEX(Dataset3_Raw!$E$2:$E$391,$E726))</f>
        <v>2</v>
      </c>
      <c r="J726" s="23">
        <f>IF($C726&gt;0,INDEX(Merge_1_2!$F$2:$F$611,$C726),INDEX(Dataset3_Raw!$F$2:$F$391,$E726))</f>
        <v>13</v>
      </c>
      <c r="K726" s="23" t="b">
        <f>IF($C726&gt;0,INDEX(Merge_1_2!$G$2:$G$611,$C726),INDEX(Dataset3_Raw!$G$2:$G$391,$E726))</f>
        <v>0</v>
      </c>
      <c r="L726" s="23">
        <f>IF($C726&gt;0,INDEX(Merge_1_2!$H$2:$H$611,$C726),INDEX(Dataset3_Raw!$H$2:$H$391,$E726))</f>
        <v>3</v>
      </c>
      <c r="M726" s="23">
        <f>IF($C726&gt;0,INDEX(Merge_1_2!$I$2:$I$611,$C726),INDEX(Dataset3_Raw!$I$2:$I$391,$E726))</f>
        <v>1</v>
      </c>
      <c r="N726" s="25">
        <f>IF($C726&gt;0,INDEX(Merge_1_2!$J$2:$J$611,$C726),INDEX(Dataset3_Raw!$J$2:$J$391,$E726))</f>
        <v>0.34</v>
      </c>
      <c r="O726" s="25">
        <f>IF($C726&gt;0,IF(ISNUMBER(INDEX(Merge_1_2!$K$2:$K$611,$C726)),INDEX(Merge_1_2!$K$2:$K$611,$C726),""),INDEX(Dataset3_Raw!$K$2:$K$391,$E726))</f>
        <v>0.33329999999999999</v>
      </c>
      <c r="P726" s="25">
        <f>IF(ISNUMBER($O726),$O726,ROUND(Lookups!$B$25+Lookups!$B$24*$N726,4))</f>
        <v>0.33329999999999999</v>
      </c>
      <c r="Q726" s="25">
        <f>IF($C726&gt;0,INDEX(Merge_1_2!$L$2:$L$611,$C726),INDEX(Dataset3_Raw!$L$2:$L$391,$E726))</f>
        <v>0.93</v>
      </c>
      <c r="R726" s="25">
        <f>IF($C726&gt;0,INDEX(Merge_1_2!$M$2:$M$611,$C726),INDEX(Dataset3_Raw!$M$2:$M$391,$E726))</f>
        <v>0.16420000000000001</v>
      </c>
      <c r="S726" s="23">
        <f>IF($C726&gt;0,INDEX(Merge_1_2!$N$2:$N$611,$C726),INDEX(Dataset3_Raw!$N$2:$N$391,$E726))</f>
        <v>1</v>
      </c>
      <c r="T726" s="23">
        <f>IF($C726&gt;0,INDEX(Merge_1_2!$O$2:$O$611,$C726),INDEX(Dataset3_Raw!$O$2:$O$391,$E726))</f>
        <v>74</v>
      </c>
      <c r="U726" s="23">
        <f>IF($C726&gt;0,INDEX(Merge_1_2!$P$2:$P$611,$C726),INDEX(Dataset3_Raw!$P$2:$P$391,$E726))</f>
        <v>75</v>
      </c>
      <c r="V726" s="23" t="str">
        <f t="shared" si="67"/>
        <v>Weekday</v>
      </c>
      <c r="W726" s="23" t="str">
        <f>VLOOKUP($M726,Lookups!$A$5:$B$8,2,FALSE())</f>
        <v>Clear / Partly cloudy</v>
      </c>
      <c r="X726" s="23" t="str">
        <f>VLOOKUP($G726,Lookups!$D$5:$E$8,2,FALSE())</f>
        <v>Winter</v>
      </c>
      <c r="Y726" s="23" t="str">
        <f>VLOOKUP($L726,Lookups!$G$5:$H$11,2,FALSE())</f>
        <v>Wednesday</v>
      </c>
      <c r="Z726" s="23" t="str">
        <f>IF($J726&lt;Lookups!$B$26,"Night",IF($J726&lt;Lookups!$B$27,"Morning",IF($J726&lt;Lookups!$B$28,"Afternoon","Evening")))</f>
        <v>Afternoon</v>
      </c>
      <c r="AA726" s="26">
        <f>ROUND($N726*(Lookups!$B$16-Lookups!$B$15)+Lookups!$B$15,1)</f>
        <v>8</v>
      </c>
      <c r="AB726" s="26">
        <f>ROUND($P726*(Lookups!$B$18-Lookups!$B$17)+Lookups!$B$17,1)</f>
        <v>6</v>
      </c>
      <c r="AC726" s="23">
        <f t="shared" si="68"/>
        <v>93</v>
      </c>
      <c r="AD726" s="23">
        <f>ROUND($R726*Lookups!$B$19,1)</f>
        <v>11</v>
      </c>
      <c r="AE726" s="27">
        <f t="shared" si="69"/>
        <v>0.98666666666666669</v>
      </c>
      <c r="AF726" s="23" t="str">
        <f>IF($U726&gt;=Lookups!$B$23,"High",IF($U726&gt;=Lookups!$B$22,"Medium","Low"))</f>
        <v>Medium</v>
      </c>
      <c r="AG726" s="23">
        <f>ROUND(IF($V726="Weekday",IF(INDEX(Hourly_Analysis!$D$5:$D$28,$J726+1)&gt;0,($U726-INDEX(Hourly_Analysis!$C$5:$C$28,$J726+1))/INDEX(Hourly_Analysis!$D$5:$D$28,$J726+1),0),IF(INDEX(Hourly_Analysis!$G$5:$G$28,$J726+1)&gt;0,($U726-INDEX(Hourly_Analysis!$F$5:$F$28,$J726+1))/INDEX(Hourly_Analysis!$G$5:$G$28,$J726+1),0)),2)</f>
        <v>0.44</v>
      </c>
      <c r="AH726" s="23" t="str">
        <f>IF(ABS($AG726)&gt;Lookups!$B$20,IF($AG726&gt;0,"High anomaly","Low anomaly"),"")</f>
        <v/>
      </c>
      <c r="AI726" s="23" t="str">
        <f t="shared" si="70"/>
        <v>OK</v>
      </c>
      <c r="AJ726" s="23" t="str">
        <f t="shared" si="71"/>
        <v>No</v>
      </c>
    </row>
    <row r="727" spans="1:36" x14ac:dyDescent="0.35">
      <c r="A727" s="23">
        <v>726</v>
      </c>
      <c r="B727" s="23" t="str">
        <f t="shared" si="66"/>
        <v>Dataset 3</v>
      </c>
      <c r="C727" s="23">
        <f>IFERROR(MATCH($A727,Merge_1_2!$A$2:$A$611,0),0)</f>
        <v>0</v>
      </c>
      <c r="D727" s="23">
        <f>IF($C727&gt;0,INDEX(Merge_1_2!$Q$2:$Q$611,$C727),0)</f>
        <v>0</v>
      </c>
      <c r="E727" s="23">
        <f>IFERROR(MATCH($A727,Dataset3_Raw!$A$2:$A$391,0),0)</f>
        <v>116</v>
      </c>
      <c r="F727" s="24">
        <f>IF($C727&gt;0,INDEX(Merge_1_2!$B$2:$B$611,$C727),DATE(VALUE(RIGHT(INDEX(Dataset3_Raw!$B$2:$B$391,$E727),4)),VALUE(MID(INDEX(Dataset3_Raw!$B$2:$B$391,$E727),4,2)),VALUE(LEFT(INDEX(Dataset3_Raw!$B$2:$B$391,$E727),2))))</f>
        <v>40576</v>
      </c>
      <c r="G727" s="23">
        <f>IF($C727&gt;0,INDEX(Merge_1_2!$C$2:$C$611,$C727),INDEX(Dataset3_Raw!$C$2:$C$391,$E727))</f>
        <v>1</v>
      </c>
      <c r="H727" s="23">
        <f>IF($C727&gt;0,INDEX(Merge_1_2!$D$2:$D$611,$C727),INDEX(Dataset3_Raw!$D$2:$D$391,$E727))</f>
        <v>0</v>
      </c>
      <c r="I727" s="23">
        <f>IF($C727&gt;0,INDEX(Merge_1_2!$E$2:$E$611,$C727),INDEX(Dataset3_Raw!$E$2:$E$391,$E727))</f>
        <v>2</v>
      </c>
      <c r="J727" s="23">
        <f>IF($C727&gt;0,INDEX(Merge_1_2!$F$2:$F$611,$C727),INDEX(Dataset3_Raw!$F$2:$F$391,$E727))</f>
        <v>14</v>
      </c>
      <c r="K727" s="23" t="b">
        <f>IF($C727&gt;0,INDEX(Merge_1_2!$G$2:$G$611,$C727),INDEX(Dataset3_Raw!$G$2:$G$391,$E727))</f>
        <v>0</v>
      </c>
      <c r="L727" s="23">
        <f>IF($C727&gt;0,INDEX(Merge_1_2!$H$2:$H$611,$C727),INDEX(Dataset3_Raw!$H$2:$H$391,$E727))</f>
        <v>3</v>
      </c>
      <c r="M727" s="23">
        <f>IF($C727&gt;0,INDEX(Merge_1_2!$I$2:$I$611,$C727),INDEX(Dataset3_Raw!$I$2:$I$391,$E727))</f>
        <v>1</v>
      </c>
      <c r="N727" s="25">
        <f>IF($C727&gt;0,INDEX(Merge_1_2!$J$2:$J$611,$C727),INDEX(Dataset3_Raw!$J$2:$J$391,$E727))</f>
        <v>0.38</v>
      </c>
      <c r="O727" s="25">
        <f>IF($C727&gt;0,IF(ISNUMBER(INDEX(Merge_1_2!$K$2:$K$611,$C727)),INDEX(Merge_1_2!$K$2:$K$611,$C727),""),INDEX(Dataset3_Raw!$K$2:$K$391,$E727))</f>
        <v>0.39389999999999997</v>
      </c>
      <c r="P727" s="25">
        <f>IF(ISNUMBER($O727),$O727,ROUND(Lookups!$B$25+Lookups!$B$24*$N727,4))</f>
        <v>0.39389999999999997</v>
      </c>
      <c r="Q727" s="25">
        <f>IF($C727&gt;0,INDEX(Merge_1_2!$L$2:$L$611,$C727),INDEX(Dataset3_Raw!$L$2:$L$391,$E727))</f>
        <v>0.82</v>
      </c>
      <c r="R727" s="25">
        <f>IF($C727&gt;0,INDEX(Merge_1_2!$M$2:$M$611,$C727),INDEX(Dataset3_Raw!$M$2:$M$391,$E727))</f>
        <v>0.3881</v>
      </c>
      <c r="S727" s="23">
        <f>IF($C727&gt;0,INDEX(Merge_1_2!$N$2:$N$611,$C727),INDEX(Dataset3_Raw!$N$2:$N$391,$E727))</f>
        <v>2</v>
      </c>
      <c r="T727" s="23">
        <f>IF($C727&gt;0,INDEX(Merge_1_2!$O$2:$O$611,$C727),INDEX(Dataset3_Raw!$O$2:$O$391,$E727))</f>
        <v>61</v>
      </c>
      <c r="U727" s="23">
        <f>IF($C727&gt;0,INDEX(Merge_1_2!$P$2:$P$611,$C727),INDEX(Dataset3_Raw!$P$2:$P$391,$E727))</f>
        <v>63</v>
      </c>
      <c r="V727" s="23" t="str">
        <f t="shared" si="67"/>
        <v>Weekday</v>
      </c>
      <c r="W727" s="23" t="str">
        <f>VLOOKUP($M727,Lookups!$A$5:$B$8,2,FALSE())</f>
        <v>Clear / Partly cloudy</v>
      </c>
      <c r="X727" s="23" t="str">
        <f>VLOOKUP($G727,Lookups!$D$5:$E$8,2,FALSE())</f>
        <v>Winter</v>
      </c>
      <c r="Y727" s="23" t="str">
        <f>VLOOKUP($L727,Lookups!$G$5:$H$11,2,FALSE())</f>
        <v>Wednesday</v>
      </c>
      <c r="Z727" s="23" t="str">
        <f>IF($J727&lt;Lookups!$B$26,"Night",IF($J727&lt;Lookups!$B$27,"Morning",IF($J727&lt;Lookups!$B$28,"Afternoon","Evening")))</f>
        <v>Afternoon</v>
      </c>
      <c r="AA727" s="26">
        <f>ROUND($N727*(Lookups!$B$16-Lookups!$B$15)+Lookups!$B$15,1)</f>
        <v>9.9</v>
      </c>
      <c r="AB727" s="26">
        <f>ROUND($P727*(Lookups!$B$18-Lookups!$B$17)+Lookups!$B$17,1)</f>
        <v>10</v>
      </c>
      <c r="AC727" s="23">
        <f t="shared" si="68"/>
        <v>82</v>
      </c>
      <c r="AD727" s="23">
        <f>ROUND($R727*Lookups!$B$19,1)</f>
        <v>26</v>
      </c>
      <c r="AE727" s="27">
        <f t="shared" si="69"/>
        <v>0.96825396825396826</v>
      </c>
      <c r="AF727" s="23" t="str">
        <f>IF($U727&gt;=Lookups!$B$23,"High",IF($U727&gt;=Lookups!$B$22,"Medium","Low"))</f>
        <v>Medium</v>
      </c>
      <c r="AG727" s="23">
        <f>ROUND(IF($V727="Weekday",IF(INDEX(Hourly_Analysis!$D$5:$D$28,$J727+1)&gt;0,($U727-INDEX(Hourly_Analysis!$C$5:$C$28,$J727+1))/INDEX(Hourly_Analysis!$D$5:$D$28,$J727+1),0),IF(INDEX(Hourly_Analysis!$G$5:$G$28,$J727+1)&gt;0,($U727-INDEX(Hourly_Analysis!$F$5:$F$28,$J727+1))/INDEX(Hourly_Analysis!$G$5:$G$28,$J727+1),0)),2)</f>
        <v>0.21</v>
      </c>
      <c r="AH727" s="23" t="str">
        <f>IF(ABS($AG727)&gt;Lookups!$B$20,IF($AG727&gt;0,"High anomaly","Low anomaly"),"")</f>
        <v/>
      </c>
      <c r="AI727" s="23" t="str">
        <f t="shared" si="70"/>
        <v>OK</v>
      </c>
      <c r="AJ727" s="23" t="str">
        <f t="shared" si="71"/>
        <v>No</v>
      </c>
    </row>
    <row r="728" spans="1:36" x14ac:dyDescent="0.35">
      <c r="A728" s="23">
        <v>727</v>
      </c>
      <c r="B728" s="23" t="str">
        <f t="shared" si="66"/>
        <v>Dataset 3</v>
      </c>
      <c r="C728" s="23">
        <f>IFERROR(MATCH($A728,Merge_1_2!$A$2:$A$611,0),0)</f>
        <v>0</v>
      </c>
      <c r="D728" s="23">
        <f>IF($C728&gt;0,INDEX(Merge_1_2!$Q$2:$Q$611,$C728),0)</f>
        <v>0</v>
      </c>
      <c r="E728" s="23">
        <f>IFERROR(MATCH($A728,Dataset3_Raw!$A$2:$A$391,0),0)</f>
        <v>117</v>
      </c>
      <c r="F728" s="24">
        <f>IF($C728&gt;0,INDEX(Merge_1_2!$B$2:$B$611,$C728),DATE(VALUE(RIGHT(INDEX(Dataset3_Raw!$B$2:$B$391,$E728),4)),VALUE(MID(INDEX(Dataset3_Raw!$B$2:$B$391,$E728),4,2)),VALUE(LEFT(INDEX(Dataset3_Raw!$B$2:$B$391,$E728),2))))</f>
        <v>40576</v>
      </c>
      <c r="G728" s="23">
        <f>IF($C728&gt;0,INDEX(Merge_1_2!$C$2:$C$611,$C728),INDEX(Dataset3_Raw!$C$2:$C$391,$E728))</f>
        <v>1</v>
      </c>
      <c r="H728" s="23">
        <f>IF($C728&gt;0,INDEX(Merge_1_2!$D$2:$D$611,$C728),INDEX(Dataset3_Raw!$D$2:$D$391,$E728))</f>
        <v>0</v>
      </c>
      <c r="I728" s="23">
        <f>IF($C728&gt;0,INDEX(Merge_1_2!$E$2:$E$611,$C728),INDEX(Dataset3_Raw!$E$2:$E$391,$E728))</f>
        <v>2</v>
      </c>
      <c r="J728" s="23">
        <f>IF($C728&gt;0,INDEX(Merge_1_2!$F$2:$F$611,$C728),INDEX(Dataset3_Raw!$F$2:$F$391,$E728))</f>
        <v>15</v>
      </c>
      <c r="K728" s="23" t="b">
        <f>IF($C728&gt;0,INDEX(Merge_1_2!$G$2:$G$611,$C728),INDEX(Dataset3_Raw!$G$2:$G$391,$E728))</f>
        <v>0</v>
      </c>
      <c r="L728" s="23">
        <f>IF($C728&gt;0,INDEX(Merge_1_2!$H$2:$H$611,$C728),INDEX(Dataset3_Raw!$H$2:$H$391,$E728))</f>
        <v>3</v>
      </c>
      <c r="M728" s="23">
        <f>IF($C728&gt;0,INDEX(Merge_1_2!$I$2:$I$611,$C728),INDEX(Dataset3_Raw!$I$2:$I$391,$E728))</f>
        <v>1</v>
      </c>
      <c r="N728" s="25">
        <f>IF($C728&gt;0,INDEX(Merge_1_2!$J$2:$J$611,$C728),INDEX(Dataset3_Raw!$J$2:$J$391,$E728))</f>
        <v>0.38</v>
      </c>
      <c r="O728" s="25">
        <f>IF($C728&gt;0,IF(ISNUMBER(INDEX(Merge_1_2!$K$2:$K$611,$C728)),INDEX(Merge_1_2!$K$2:$K$611,$C728),""),INDEX(Dataset3_Raw!$K$2:$K$391,$E728))</f>
        <v>0.39389999999999997</v>
      </c>
      <c r="P728" s="25">
        <f>IF(ISNUMBER($O728),$O728,ROUND(Lookups!$B$25+Lookups!$B$24*$N728,4))</f>
        <v>0.39389999999999997</v>
      </c>
      <c r="Q728" s="25">
        <f>IF($C728&gt;0,INDEX(Merge_1_2!$L$2:$L$611,$C728),INDEX(Dataset3_Raw!$L$2:$L$391,$E728))</f>
        <v>0.76</v>
      </c>
      <c r="R728" s="25">
        <f>IF($C728&gt;0,INDEX(Merge_1_2!$M$2:$M$611,$C728),INDEX(Dataset3_Raw!$M$2:$M$391,$E728))</f>
        <v>0.32840000000000003</v>
      </c>
      <c r="S728" s="23">
        <f>IF($C728&gt;0,INDEX(Merge_1_2!$N$2:$N$611,$C728),INDEX(Dataset3_Raw!$N$2:$N$391,$E728))</f>
        <v>10</v>
      </c>
      <c r="T728" s="23">
        <f>IF($C728&gt;0,INDEX(Merge_1_2!$O$2:$O$611,$C728),INDEX(Dataset3_Raw!$O$2:$O$391,$E728))</f>
        <v>66</v>
      </c>
      <c r="U728" s="23">
        <f>IF($C728&gt;0,INDEX(Merge_1_2!$P$2:$P$611,$C728),INDEX(Dataset3_Raw!$P$2:$P$391,$E728))</f>
        <v>76</v>
      </c>
      <c r="V728" s="23" t="str">
        <f t="shared" si="67"/>
        <v>Weekday</v>
      </c>
      <c r="W728" s="23" t="str">
        <f>VLOOKUP($M728,Lookups!$A$5:$B$8,2,FALSE())</f>
        <v>Clear / Partly cloudy</v>
      </c>
      <c r="X728" s="23" t="str">
        <f>VLOOKUP($G728,Lookups!$D$5:$E$8,2,FALSE())</f>
        <v>Winter</v>
      </c>
      <c r="Y728" s="23" t="str">
        <f>VLOOKUP($L728,Lookups!$G$5:$H$11,2,FALSE())</f>
        <v>Wednesday</v>
      </c>
      <c r="Z728" s="23" t="str">
        <f>IF($J728&lt;Lookups!$B$26,"Night",IF($J728&lt;Lookups!$B$27,"Morning",IF($J728&lt;Lookups!$B$28,"Afternoon","Evening")))</f>
        <v>Afternoon</v>
      </c>
      <c r="AA728" s="26">
        <f>ROUND($N728*(Lookups!$B$16-Lookups!$B$15)+Lookups!$B$15,1)</f>
        <v>9.9</v>
      </c>
      <c r="AB728" s="26">
        <f>ROUND($P728*(Lookups!$B$18-Lookups!$B$17)+Lookups!$B$17,1)</f>
        <v>10</v>
      </c>
      <c r="AC728" s="23">
        <f t="shared" si="68"/>
        <v>76</v>
      </c>
      <c r="AD728" s="23">
        <f>ROUND($R728*Lookups!$B$19,1)</f>
        <v>22</v>
      </c>
      <c r="AE728" s="27">
        <f t="shared" si="69"/>
        <v>0.86842105263157898</v>
      </c>
      <c r="AF728" s="23" t="str">
        <f>IF($U728&gt;=Lookups!$B$23,"High",IF($U728&gt;=Lookups!$B$22,"Medium","Low"))</f>
        <v>Medium</v>
      </c>
      <c r="AG728" s="23">
        <f>ROUND(IF($V728="Weekday",IF(INDEX(Hourly_Analysis!$D$5:$D$28,$J728+1)&gt;0,($U728-INDEX(Hourly_Analysis!$C$5:$C$28,$J728+1))/INDEX(Hourly_Analysis!$D$5:$D$28,$J728+1),0),IF(INDEX(Hourly_Analysis!$G$5:$G$28,$J728+1)&gt;0,($U728-INDEX(Hourly_Analysis!$F$5:$F$28,$J728+1))/INDEX(Hourly_Analysis!$G$5:$G$28,$J728+1),0)),2)</f>
        <v>1.1100000000000001</v>
      </c>
      <c r="AH728" s="23" t="str">
        <f>IF(ABS($AG728)&gt;Lookups!$B$20,IF($AG728&gt;0,"High anomaly","Low anomaly"),"")</f>
        <v/>
      </c>
      <c r="AI728" s="23" t="str">
        <f t="shared" si="70"/>
        <v>OK</v>
      </c>
      <c r="AJ728" s="23" t="str">
        <f t="shared" si="71"/>
        <v>No</v>
      </c>
    </row>
    <row r="729" spans="1:36" x14ac:dyDescent="0.35">
      <c r="A729" s="23">
        <v>728</v>
      </c>
      <c r="B729" s="23" t="str">
        <f t="shared" si="66"/>
        <v>Dataset 3</v>
      </c>
      <c r="C729" s="23">
        <f>IFERROR(MATCH($A729,Merge_1_2!$A$2:$A$611,0),0)</f>
        <v>0</v>
      </c>
      <c r="D729" s="23">
        <f>IF($C729&gt;0,INDEX(Merge_1_2!$Q$2:$Q$611,$C729),0)</f>
        <v>0</v>
      </c>
      <c r="E729" s="23">
        <f>IFERROR(MATCH($A729,Dataset3_Raw!$A$2:$A$391,0),0)</f>
        <v>118</v>
      </c>
      <c r="F729" s="24">
        <f>IF($C729&gt;0,INDEX(Merge_1_2!$B$2:$B$611,$C729),DATE(VALUE(RIGHT(INDEX(Dataset3_Raw!$B$2:$B$391,$E729),4)),VALUE(MID(INDEX(Dataset3_Raw!$B$2:$B$391,$E729),4,2)),VALUE(LEFT(INDEX(Dataset3_Raw!$B$2:$B$391,$E729),2))))</f>
        <v>40576</v>
      </c>
      <c r="G729" s="23">
        <f>IF($C729&gt;0,INDEX(Merge_1_2!$C$2:$C$611,$C729),INDEX(Dataset3_Raw!$C$2:$C$391,$E729))</f>
        <v>1</v>
      </c>
      <c r="H729" s="23">
        <f>IF($C729&gt;0,INDEX(Merge_1_2!$D$2:$D$611,$C729),INDEX(Dataset3_Raw!$D$2:$D$391,$E729))</f>
        <v>0</v>
      </c>
      <c r="I729" s="23">
        <f>IF($C729&gt;0,INDEX(Merge_1_2!$E$2:$E$611,$C729),INDEX(Dataset3_Raw!$E$2:$E$391,$E729))</f>
        <v>2</v>
      </c>
      <c r="J729" s="23">
        <f>IF($C729&gt;0,INDEX(Merge_1_2!$F$2:$F$611,$C729),INDEX(Dataset3_Raw!$F$2:$F$391,$E729))</f>
        <v>16</v>
      </c>
      <c r="K729" s="23" t="b">
        <f>IF($C729&gt;0,INDEX(Merge_1_2!$G$2:$G$611,$C729),INDEX(Dataset3_Raw!$G$2:$G$391,$E729))</f>
        <v>0</v>
      </c>
      <c r="L729" s="23">
        <f>IF($C729&gt;0,INDEX(Merge_1_2!$H$2:$H$611,$C729),INDEX(Dataset3_Raw!$H$2:$H$391,$E729))</f>
        <v>3</v>
      </c>
      <c r="M729" s="23">
        <f>IF($C729&gt;0,INDEX(Merge_1_2!$I$2:$I$611,$C729),INDEX(Dataset3_Raw!$I$2:$I$391,$E729))</f>
        <v>1</v>
      </c>
      <c r="N729" s="25">
        <f>IF($C729&gt;0,INDEX(Merge_1_2!$J$2:$J$611,$C729),INDEX(Dataset3_Raw!$J$2:$J$391,$E729))</f>
        <v>0.36</v>
      </c>
      <c r="O729" s="25">
        <f>IF($C729&gt;0,IF(ISNUMBER(INDEX(Merge_1_2!$K$2:$K$611,$C729)),INDEX(Merge_1_2!$K$2:$K$611,$C729),""),INDEX(Dataset3_Raw!$K$2:$K$391,$E729))</f>
        <v>0.33329999999999999</v>
      </c>
      <c r="P729" s="25">
        <f>IF(ISNUMBER($O729),$O729,ROUND(Lookups!$B$25+Lookups!$B$24*$N729,4))</f>
        <v>0.33329999999999999</v>
      </c>
      <c r="Q729" s="25">
        <f>IF($C729&gt;0,INDEX(Merge_1_2!$L$2:$L$611,$C729),INDEX(Dataset3_Raw!$L$2:$L$391,$E729))</f>
        <v>0.71</v>
      </c>
      <c r="R729" s="25">
        <f>IF($C729&gt;0,INDEX(Merge_1_2!$M$2:$M$611,$C729),INDEX(Dataset3_Raw!$M$2:$M$391,$E729))</f>
        <v>0.29849999999999999</v>
      </c>
      <c r="S729" s="23">
        <f>IF($C729&gt;0,INDEX(Merge_1_2!$N$2:$N$611,$C729),INDEX(Dataset3_Raw!$N$2:$N$391,$E729))</f>
        <v>8</v>
      </c>
      <c r="T729" s="23">
        <f>IF($C729&gt;0,INDEX(Merge_1_2!$O$2:$O$611,$C729),INDEX(Dataset3_Raw!$O$2:$O$391,$E729))</f>
        <v>95</v>
      </c>
      <c r="U729" s="23">
        <f>IF($C729&gt;0,INDEX(Merge_1_2!$P$2:$P$611,$C729),INDEX(Dataset3_Raw!$P$2:$P$391,$E729))</f>
        <v>103</v>
      </c>
      <c r="V729" s="23" t="str">
        <f t="shared" si="67"/>
        <v>Weekday</v>
      </c>
      <c r="W729" s="23" t="str">
        <f>VLOOKUP($M729,Lookups!$A$5:$B$8,2,FALSE())</f>
        <v>Clear / Partly cloudy</v>
      </c>
      <c r="X729" s="23" t="str">
        <f>VLOOKUP($G729,Lookups!$D$5:$E$8,2,FALSE())</f>
        <v>Winter</v>
      </c>
      <c r="Y729" s="23" t="str">
        <f>VLOOKUP($L729,Lookups!$G$5:$H$11,2,FALSE())</f>
        <v>Wednesday</v>
      </c>
      <c r="Z729" s="23" t="str">
        <f>IF($J729&lt;Lookups!$B$26,"Night",IF($J729&lt;Lookups!$B$27,"Morning",IF($J729&lt;Lookups!$B$28,"Afternoon","Evening")))</f>
        <v>Afternoon</v>
      </c>
      <c r="AA729" s="26">
        <f>ROUND($N729*(Lookups!$B$16-Lookups!$B$15)+Lookups!$B$15,1)</f>
        <v>8.9</v>
      </c>
      <c r="AB729" s="26">
        <f>ROUND($P729*(Lookups!$B$18-Lookups!$B$17)+Lookups!$B$17,1)</f>
        <v>6</v>
      </c>
      <c r="AC729" s="23">
        <f t="shared" si="68"/>
        <v>71</v>
      </c>
      <c r="AD729" s="23">
        <f>ROUND($R729*Lookups!$B$19,1)</f>
        <v>20</v>
      </c>
      <c r="AE729" s="27">
        <f t="shared" si="69"/>
        <v>0.92233009708737868</v>
      </c>
      <c r="AF729" s="23" t="str">
        <f>IF($U729&gt;=Lookups!$B$23,"High",IF($U729&gt;=Lookups!$B$22,"Medium","Low"))</f>
        <v>High</v>
      </c>
      <c r="AG729" s="23">
        <f>ROUND(IF($V729="Weekday",IF(INDEX(Hourly_Analysis!$D$5:$D$28,$J729+1)&gt;0,($U729-INDEX(Hourly_Analysis!$C$5:$C$28,$J729+1))/INDEX(Hourly_Analysis!$D$5:$D$28,$J729+1),0),IF(INDEX(Hourly_Analysis!$G$5:$G$28,$J729+1)&gt;0,($U729-INDEX(Hourly_Analysis!$F$5:$F$28,$J729+1))/INDEX(Hourly_Analysis!$G$5:$G$28,$J729+1),0)),2)</f>
        <v>0.96</v>
      </c>
      <c r="AH729" s="23" t="str">
        <f>IF(ABS($AG729)&gt;Lookups!$B$20,IF($AG729&gt;0,"High anomaly","Low anomaly"),"")</f>
        <v/>
      </c>
      <c r="AI729" s="23" t="str">
        <f t="shared" si="70"/>
        <v>OK</v>
      </c>
      <c r="AJ729" s="23" t="str">
        <f t="shared" si="71"/>
        <v>No</v>
      </c>
    </row>
    <row r="730" spans="1:36" x14ac:dyDescent="0.35">
      <c r="A730" s="23">
        <v>729</v>
      </c>
      <c r="B730" s="23" t="str">
        <f t="shared" si="66"/>
        <v>Dataset 3</v>
      </c>
      <c r="C730" s="23">
        <f>IFERROR(MATCH($A730,Merge_1_2!$A$2:$A$611,0),0)</f>
        <v>0</v>
      </c>
      <c r="D730" s="23">
        <f>IF($C730&gt;0,INDEX(Merge_1_2!$Q$2:$Q$611,$C730),0)</f>
        <v>0</v>
      </c>
      <c r="E730" s="23">
        <f>IFERROR(MATCH($A730,Dataset3_Raw!$A$2:$A$391,0),0)</f>
        <v>119</v>
      </c>
      <c r="F730" s="24">
        <f>IF($C730&gt;0,INDEX(Merge_1_2!$B$2:$B$611,$C730),DATE(VALUE(RIGHT(INDEX(Dataset3_Raw!$B$2:$B$391,$E730),4)),VALUE(MID(INDEX(Dataset3_Raw!$B$2:$B$391,$E730),4,2)),VALUE(LEFT(INDEX(Dataset3_Raw!$B$2:$B$391,$E730),2))))</f>
        <v>40576</v>
      </c>
      <c r="G730" s="23">
        <f>IF($C730&gt;0,INDEX(Merge_1_2!$C$2:$C$611,$C730),INDEX(Dataset3_Raw!$C$2:$C$391,$E730))</f>
        <v>1</v>
      </c>
      <c r="H730" s="23">
        <f>IF($C730&gt;0,INDEX(Merge_1_2!$D$2:$D$611,$C730),INDEX(Dataset3_Raw!$D$2:$D$391,$E730))</f>
        <v>0</v>
      </c>
      <c r="I730" s="23">
        <f>IF($C730&gt;0,INDEX(Merge_1_2!$E$2:$E$611,$C730),INDEX(Dataset3_Raw!$E$2:$E$391,$E730))</f>
        <v>2</v>
      </c>
      <c r="J730" s="23">
        <f>IF($C730&gt;0,INDEX(Merge_1_2!$F$2:$F$611,$C730),INDEX(Dataset3_Raw!$F$2:$F$391,$E730))</f>
        <v>17</v>
      </c>
      <c r="K730" s="23" t="b">
        <f>IF($C730&gt;0,INDEX(Merge_1_2!$G$2:$G$611,$C730),INDEX(Dataset3_Raw!$G$2:$G$391,$E730))</f>
        <v>0</v>
      </c>
      <c r="L730" s="23">
        <f>IF($C730&gt;0,INDEX(Merge_1_2!$H$2:$H$611,$C730),INDEX(Dataset3_Raw!$H$2:$H$391,$E730))</f>
        <v>3</v>
      </c>
      <c r="M730" s="23">
        <f>IF($C730&gt;0,INDEX(Merge_1_2!$I$2:$I$611,$C730),INDEX(Dataset3_Raw!$I$2:$I$391,$E730))</f>
        <v>1</v>
      </c>
      <c r="N730" s="25">
        <f>IF($C730&gt;0,INDEX(Merge_1_2!$J$2:$J$611,$C730),INDEX(Dataset3_Raw!$J$2:$J$391,$E730))</f>
        <v>0.36</v>
      </c>
      <c r="O730" s="25">
        <f>IF($C730&gt;0,IF(ISNUMBER(INDEX(Merge_1_2!$K$2:$K$611,$C730)),INDEX(Merge_1_2!$K$2:$K$611,$C730),""),INDEX(Dataset3_Raw!$K$2:$K$391,$E730))</f>
        <v>0.31819999999999998</v>
      </c>
      <c r="P730" s="25">
        <f>IF(ISNUMBER($O730),$O730,ROUND(Lookups!$B$25+Lookups!$B$24*$N730,4))</f>
        <v>0.31819999999999998</v>
      </c>
      <c r="Q730" s="25">
        <f>IF($C730&gt;0,INDEX(Merge_1_2!$L$2:$L$611,$C730),INDEX(Dataset3_Raw!$L$2:$L$391,$E730))</f>
        <v>0.53</v>
      </c>
      <c r="R730" s="25">
        <f>IF($C730&gt;0,INDEX(Merge_1_2!$M$2:$M$611,$C730),INDEX(Dataset3_Raw!$M$2:$M$391,$E730))</f>
        <v>0.52239999999999998</v>
      </c>
      <c r="S730" s="23">
        <f>IF($C730&gt;0,INDEX(Merge_1_2!$N$2:$N$611,$C730),INDEX(Dataset3_Raw!$N$2:$N$391,$E730))</f>
        <v>7</v>
      </c>
      <c r="T730" s="23">
        <f>IF($C730&gt;0,INDEX(Merge_1_2!$O$2:$O$611,$C730),INDEX(Dataset3_Raw!$O$2:$O$391,$E730))</f>
        <v>183</v>
      </c>
      <c r="U730" s="23">
        <f>IF($C730&gt;0,INDEX(Merge_1_2!$P$2:$P$611,$C730),INDEX(Dataset3_Raw!$P$2:$P$391,$E730))</f>
        <v>190</v>
      </c>
      <c r="V730" s="23" t="str">
        <f t="shared" si="67"/>
        <v>Weekday</v>
      </c>
      <c r="W730" s="23" t="str">
        <f>VLOOKUP($M730,Lookups!$A$5:$B$8,2,FALSE())</f>
        <v>Clear / Partly cloudy</v>
      </c>
      <c r="X730" s="23" t="str">
        <f>VLOOKUP($G730,Lookups!$D$5:$E$8,2,FALSE())</f>
        <v>Winter</v>
      </c>
      <c r="Y730" s="23" t="str">
        <f>VLOOKUP($L730,Lookups!$G$5:$H$11,2,FALSE())</f>
        <v>Wednesday</v>
      </c>
      <c r="Z730" s="23" t="str">
        <f>IF($J730&lt;Lookups!$B$26,"Night",IF($J730&lt;Lookups!$B$27,"Morning",IF($J730&lt;Lookups!$B$28,"Afternoon","Evening")))</f>
        <v>Afternoon</v>
      </c>
      <c r="AA730" s="26">
        <f>ROUND($N730*(Lookups!$B$16-Lookups!$B$15)+Lookups!$B$15,1)</f>
        <v>8.9</v>
      </c>
      <c r="AB730" s="26">
        <f>ROUND($P730*(Lookups!$B$18-Lookups!$B$17)+Lookups!$B$17,1)</f>
        <v>5</v>
      </c>
      <c r="AC730" s="23">
        <f t="shared" si="68"/>
        <v>53</v>
      </c>
      <c r="AD730" s="23">
        <f>ROUND($R730*Lookups!$B$19,1)</f>
        <v>35</v>
      </c>
      <c r="AE730" s="27">
        <f t="shared" si="69"/>
        <v>0.9631578947368421</v>
      </c>
      <c r="AF730" s="23" t="str">
        <f>IF($U730&gt;=Lookups!$B$23,"High",IF($U730&gt;=Lookups!$B$22,"Medium","Low"))</f>
        <v>High</v>
      </c>
      <c r="AG730" s="23">
        <f>ROUND(IF($V730="Weekday",IF(INDEX(Hourly_Analysis!$D$5:$D$28,$J730+1)&gt;0,($U730-INDEX(Hourly_Analysis!$C$5:$C$28,$J730+1))/INDEX(Hourly_Analysis!$D$5:$D$28,$J730+1),0),IF(INDEX(Hourly_Analysis!$G$5:$G$28,$J730+1)&gt;0,($U730-INDEX(Hourly_Analysis!$F$5:$F$28,$J730+1))/INDEX(Hourly_Analysis!$G$5:$G$28,$J730+1),0)),2)</f>
        <v>0.52</v>
      </c>
      <c r="AH730" s="23" t="str">
        <f>IF(ABS($AG730)&gt;Lookups!$B$20,IF($AG730&gt;0,"High anomaly","Low anomaly"),"")</f>
        <v/>
      </c>
      <c r="AI730" s="23" t="str">
        <f t="shared" si="70"/>
        <v>OK</v>
      </c>
      <c r="AJ730" s="23" t="str">
        <f t="shared" si="71"/>
        <v>No</v>
      </c>
    </row>
    <row r="731" spans="1:36" x14ac:dyDescent="0.35">
      <c r="A731" s="23">
        <v>730</v>
      </c>
      <c r="B731" s="23" t="str">
        <f t="shared" si="66"/>
        <v>Dataset 3</v>
      </c>
      <c r="C731" s="23">
        <f>IFERROR(MATCH($A731,Merge_1_2!$A$2:$A$611,0),0)</f>
        <v>0</v>
      </c>
      <c r="D731" s="23">
        <f>IF($C731&gt;0,INDEX(Merge_1_2!$Q$2:$Q$611,$C731),0)</f>
        <v>0</v>
      </c>
      <c r="E731" s="23">
        <f>IFERROR(MATCH($A731,Dataset3_Raw!$A$2:$A$391,0),0)</f>
        <v>120</v>
      </c>
      <c r="F731" s="24">
        <f>IF($C731&gt;0,INDEX(Merge_1_2!$B$2:$B$611,$C731),DATE(VALUE(RIGHT(INDEX(Dataset3_Raw!$B$2:$B$391,$E731),4)),VALUE(MID(INDEX(Dataset3_Raw!$B$2:$B$391,$E731),4,2)),VALUE(LEFT(INDEX(Dataset3_Raw!$B$2:$B$391,$E731),2))))</f>
        <v>40576</v>
      </c>
      <c r="G731" s="23">
        <f>IF($C731&gt;0,INDEX(Merge_1_2!$C$2:$C$611,$C731),INDEX(Dataset3_Raw!$C$2:$C$391,$E731))</f>
        <v>1</v>
      </c>
      <c r="H731" s="23">
        <f>IF($C731&gt;0,INDEX(Merge_1_2!$D$2:$D$611,$C731),INDEX(Dataset3_Raw!$D$2:$D$391,$E731))</f>
        <v>0</v>
      </c>
      <c r="I731" s="23">
        <f>IF($C731&gt;0,INDEX(Merge_1_2!$E$2:$E$611,$C731),INDEX(Dataset3_Raw!$E$2:$E$391,$E731))</f>
        <v>2</v>
      </c>
      <c r="J731" s="23">
        <f>IF($C731&gt;0,INDEX(Merge_1_2!$F$2:$F$611,$C731),INDEX(Dataset3_Raw!$F$2:$F$391,$E731))</f>
        <v>18</v>
      </c>
      <c r="K731" s="23" t="b">
        <f>IF($C731&gt;0,INDEX(Merge_1_2!$G$2:$G$611,$C731),INDEX(Dataset3_Raw!$G$2:$G$391,$E731))</f>
        <v>0</v>
      </c>
      <c r="L731" s="23">
        <f>IF($C731&gt;0,INDEX(Merge_1_2!$H$2:$H$611,$C731),INDEX(Dataset3_Raw!$H$2:$H$391,$E731))</f>
        <v>3</v>
      </c>
      <c r="M731" s="23">
        <f>IF($C731&gt;0,INDEX(Merge_1_2!$I$2:$I$611,$C731),INDEX(Dataset3_Raw!$I$2:$I$391,$E731))</f>
        <v>1</v>
      </c>
      <c r="N731" s="25">
        <f>IF($C731&gt;0,INDEX(Merge_1_2!$J$2:$J$611,$C731),INDEX(Dataset3_Raw!$J$2:$J$391,$E731))</f>
        <v>0.34</v>
      </c>
      <c r="O731" s="25">
        <f>IF($C731&gt;0,IF(ISNUMBER(INDEX(Merge_1_2!$K$2:$K$611,$C731)),INDEX(Merge_1_2!$K$2:$K$611,$C731),""),INDEX(Dataset3_Raw!$K$2:$K$391,$E731))</f>
        <v>0.28789999999999999</v>
      </c>
      <c r="P731" s="25">
        <f>IF(ISNUMBER($O731),$O731,ROUND(Lookups!$B$25+Lookups!$B$24*$N731,4))</f>
        <v>0.28789999999999999</v>
      </c>
      <c r="Q731" s="25">
        <f>IF($C731&gt;0,INDEX(Merge_1_2!$L$2:$L$611,$C731),INDEX(Dataset3_Raw!$L$2:$L$391,$E731))</f>
        <v>0.42</v>
      </c>
      <c r="R731" s="25">
        <f>IF($C731&gt;0,INDEX(Merge_1_2!$M$2:$M$611,$C731),INDEX(Dataset3_Raw!$M$2:$M$391,$E731))</f>
        <v>0.55220000000000002</v>
      </c>
      <c r="S731" s="23">
        <f>IF($C731&gt;0,INDEX(Merge_1_2!$N$2:$N$611,$C731),INDEX(Dataset3_Raw!$N$2:$N$391,$E731))</f>
        <v>7</v>
      </c>
      <c r="T731" s="23">
        <f>IF($C731&gt;0,INDEX(Merge_1_2!$O$2:$O$611,$C731),INDEX(Dataset3_Raw!$O$2:$O$391,$E731))</f>
        <v>175</v>
      </c>
      <c r="U731" s="23">
        <f>IF($C731&gt;0,INDEX(Merge_1_2!$P$2:$P$611,$C731),INDEX(Dataset3_Raw!$P$2:$P$391,$E731))</f>
        <v>182</v>
      </c>
      <c r="V731" s="23" t="str">
        <f t="shared" si="67"/>
        <v>Weekday</v>
      </c>
      <c r="W731" s="23" t="str">
        <f>VLOOKUP($M731,Lookups!$A$5:$B$8,2,FALSE())</f>
        <v>Clear / Partly cloudy</v>
      </c>
      <c r="X731" s="23" t="str">
        <f>VLOOKUP($G731,Lookups!$D$5:$E$8,2,FALSE())</f>
        <v>Winter</v>
      </c>
      <c r="Y731" s="23" t="str">
        <f>VLOOKUP($L731,Lookups!$G$5:$H$11,2,FALSE())</f>
        <v>Wednesday</v>
      </c>
      <c r="Z731" s="23" t="str">
        <f>IF($J731&lt;Lookups!$B$26,"Night",IF($J731&lt;Lookups!$B$27,"Morning",IF($J731&lt;Lookups!$B$28,"Afternoon","Evening")))</f>
        <v>Evening</v>
      </c>
      <c r="AA731" s="26">
        <f>ROUND($N731*(Lookups!$B$16-Lookups!$B$15)+Lookups!$B$15,1)</f>
        <v>8</v>
      </c>
      <c r="AB731" s="26">
        <f>ROUND($P731*(Lookups!$B$18-Lookups!$B$17)+Lookups!$B$17,1)</f>
        <v>3</v>
      </c>
      <c r="AC731" s="23">
        <f t="shared" si="68"/>
        <v>42</v>
      </c>
      <c r="AD731" s="23">
        <f>ROUND($R731*Lookups!$B$19,1)</f>
        <v>37</v>
      </c>
      <c r="AE731" s="27">
        <f t="shared" si="69"/>
        <v>0.96153846153846156</v>
      </c>
      <c r="AF731" s="23" t="str">
        <f>IF($U731&gt;=Lookups!$B$23,"High",IF($U731&gt;=Lookups!$B$22,"Medium","Low"))</f>
        <v>High</v>
      </c>
      <c r="AG731" s="23">
        <f>ROUND(IF($V731="Weekday",IF(INDEX(Hourly_Analysis!$D$5:$D$28,$J731+1)&gt;0,($U731-INDEX(Hourly_Analysis!$C$5:$C$28,$J731+1))/INDEX(Hourly_Analysis!$D$5:$D$28,$J731+1),0),IF(INDEX(Hourly_Analysis!$G$5:$G$28,$J731+1)&gt;0,($U731-INDEX(Hourly_Analysis!$F$5:$F$28,$J731+1))/INDEX(Hourly_Analysis!$G$5:$G$28,$J731+1),0)),2)</f>
        <v>1.04</v>
      </c>
      <c r="AH731" s="23" t="str">
        <f>IF(ABS($AG731)&gt;Lookups!$B$20,IF($AG731&gt;0,"High anomaly","Low anomaly"),"")</f>
        <v/>
      </c>
      <c r="AI731" s="23" t="str">
        <f t="shared" si="70"/>
        <v>OK</v>
      </c>
      <c r="AJ731" s="23" t="str">
        <f t="shared" si="71"/>
        <v>No</v>
      </c>
    </row>
    <row r="732" spans="1:36" x14ac:dyDescent="0.35">
      <c r="A732" s="23">
        <v>731</v>
      </c>
      <c r="B732" s="23" t="str">
        <f t="shared" si="66"/>
        <v>Dataset 3</v>
      </c>
      <c r="C732" s="23">
        <f>IFERROR(MATCH($A732,Merge_1_2!$A$2:$A$611,0),0)</f>
        <v>0</v>
      </c>
      <c r="D732" s="23">
        <f>IF($C732&gt;0,INDEX(Merge_1_2!$Q$2:$Q$611,$C732),0)</f>
        <v>0</v>
      </c>
      <c r="E732" s="23">
        <f>IFERROR(MATCH($A732,Dataset3_Raw!$A$2:$A$391,0),0)</f>
        <v>121</v>
      </c>
      <c r="F732" s="24">
        <f>IF($C732&gt;0,INDEX(Merge_1_2!$B$2:$B$611,$C732),DATE(VALUE(RIGHT(INDEX(Dataset3_Raw!$B$2:$B$391,$E732),4)),VALUE(MID(INDEX(Dataset3_Raw!$B$2:$B$391,$E732),4,2)),VALUE(LEFT(INDEX(Dataset3_Raw!$B$2:$B$391,$E732),2))))</f>
        <v>40576</v>
      </c>
      <c r="G732" s="23">
        <f>IF($C732&gt;0,INDEX(Merge_1_2!$C$2:$C$611,$C732),INDEX(Dataset3_Raw!$C$2:$C$391,$E732))</f>
        <v>1</v>
      </c>
      <c r="H732" s="23">
        <f>IF($C732&gt;0,INDEX(Merge_1_2!$D$2:$D$611,$C732),INDEX(Dataset3_Raw!$D$2:$D$391,$E732))</f>
        <v>0</v>
      </c>
      <c r="I732" s="23">
        <f>IF($C732&gt;0,INDEX(Merge_1_2!$E$2:$E$611,$C732),INDEX(Dataset3_Raw!$E$2:$E$391,$E732))</f>
        <v>2</v>
      </c>
      <c r="J732" s="23">
        <f>IF($C732&gt;0,INDEX(Merge_1_2!$F$2:$F$611,$C732),INDEX(Dataset3_Raw!$F$2:$F$391,$E732))</f>
        <v>19</v>
      </c>
      <c r="K732" s="23" t="b">
        <f>IF($C732&gt;0,INDEX(Merge_1_2!$G$2:$G$611,$C732),INDEX(Dataset3_Raw!$G$2:$G$391,$E732))</f>
        <v>0</v>
      </c>
      <c r="L732" s="23">
        <f>IF($C732&gt;0,INDEX(Merge_1_2!$H$2:$H$611,$C732),INDEX(Dataset3_Raw!$H$2:$H$391,$E732))</f>
        <v>3</v>
      </c>
      <c r="M732" s="23">
        <f>IF($C732&gt;0,INDEX(Merge_1_2!$I$2:$I$611,$C732),INDEX(Dataset3_Raw!$I$2:$I$391,$E732))</f>
        <v>1</v>
      </c>
      <c r="N732" s="25">
        <f>IF($C732&gt;0,INDEX(Merge_1_2!$J$2:$J$611,$C732),INDEX(Dataset3_Raw!$J$2:$J$391,$E732))</f>
        <v>0.28000000000000003</v>
      </c>
      <c r="O732" s="25">
        <f>IF($C732&gt;0,IF(ISNUMBER(INDEX(Merge_1_2!$K$2:$K$611,$C732)),INDEX(Merge_1_2!$K$2:$K$611,$C732),""),INDEX(Dataset3_Raw!$K$2:$K$391,$E732))</f>
        <v>0.2424</v>
      </c>
      <c r="P732" s="25">
        <f>IF(ISNUMBER($O732),$O732,ROUND(Lookups!$B$25+Lookups!$B$24*$N732,4))</f>
        <v>0.2424</v>
      </c>
      <c r="Q732" s="25">
        <f>IF($C732&gt;0,INDEX(Merge_1_2!$L$2:$L$611,$C732),INDEX(Dataset3_Raw!$L$2:$L$391,$E732))</f>
        <v>0.45</v>
      </c>
      <c r="R732" s="25">
        <f>IF($C732&gt;0,INDEX(Merge_1_2!$M$2:$M$611,$C732),INDEX(Dataset3_Raw!$M$2:$M$391,$E732))</f>
        <v>0.49249999999999999</v>
      </c>
      <c r="S732" s="23">
        <f>IF($C732&gt;0,INDEX(Merge_1_2!$N$2:$N$611,$C732),INDEX(Dataset3_Raw!$N$2:$N$391,$E732))</f>
        <v>3</v>
      </c>
      <c r="T732" s="23">
        <f>IF($C732&gt;0,INDEX(Merge_1_2!$O$2:$O$611,$C732),INDEX(Dataset3_Raw!$O$2:$O$391,$E732))</f>
        <v>88</v>
      </c>
      <c r="U732" s="23">
        <f>IF($C732&gt;0,INDEX(Merge_1_2!$P$2:$P$611,$C732),INDEX(Dataset3_Raw!$P$2:$P$391,$E732))</f>
        <v>91</v>
      </c>
      <c r="V732" s="23" t="str">
        <f t="shared" si="67"/>
        <v>Weekday</v>
      </c>
      <c r="W732" s="23" t="str">
        <f>VLOOKUP($M732,Lookups!$A$5:$B$8,2,FALSE())</f>
        <v>Clear / Partly cloudy</v>
      </c>
      <c r="X732" s="23" t="str">
        <f>VLOOKUP($G732,Lookups!$D$5:$E$8,2,FALSE())</f>
        <v>Winter</v>
      </c>
      <c r="Y732" s="23" t="str">
        <f>VLOOKUP($L732,Lookups!$G$5:$H$11,2,FALSE())</f>
        <v>Wednesday</v>
      </c>
      <c r="Z732" s="23" t="str">
        <f>IF($J732&lt;Lookups!$B$26,"Night",IF($J732&lt;Lookups!$B$27,"Morning",IF($J732&lt;Lookups!$B$28,"Afternoon","Evening")))</f>
        <v>Evening</v>
      </c>
      <c r="AA732" s="26">
        <f>ROUND($N732*(Lookups!$B$16-Lookups!$B$15)+Lookups!$B$15,1)</f>
        <v>5.2</v>
      </c>
      <c r="AB732" s="26">
        <f>ROUND($P732*(Lookups!$B$18-Lookups!$B$17)+Lookups!$B$17,1)</f>
        <v>0</v>
      </c>
      <c r="AC732" s="23">
        <f t="shared" si="68"/>
        <v>45</v>
      </c>
      <c r="AD732" s="23">
        <f>ROUND($R732*Lookups!$B$19,1)</f>
        <v>33</v>
      </c>
      <c r="AE732" s="27">
        <f t="shared" si="69"/>
        <v>0.96703296703296704</v>
      </c>
      <c r="AF732" s="23" t="str">
        <f>IF($U732&gt;=Lookups!$B$23,"High",IF($U732&gt;=Lookups!$B$22,"Medium","Low"))</f>
        <v>High</v>
      </c>
      <c r="AG732" s="23">
        <f>ROUND(IF($V732="Weekday",IF(INDEX(Hourly_Analysis!$D$5:$D$28,$J732+1)&gt;0,($U732-INDEX(Hourly_Analysis!$C$5:$C$28,$J732+1))/INDEX(Hourly_Analysis!$D$5:$D$28,$J732+1),0),IF(INDEX(Hourly_Analysis!$G$5:$G$28,$J732+1)&gt;0,($U732-INDEX(Hourly_Analysis!$F$5:$F$28,$J732+1))/INDEX(Hourly_Analysis!$G$5:$G$28,$J732+1),0)),2)</f>
        <v>-0.63</v>
      </c>
      <c r="AH732" s="23" t="str">
        <f>IF(ABS($AG732)&gt;Lookups!$B$20,IF($AG732&gt;0,"High anomaly","Low anomaly"),"")</f>
        <v/>
      </c>
      <c r="AI732" s="23" t="str">
        <f t="shared" si="70"/>
        <v>OK</v>
      </c>
      <c r="AJ732" s="23" t="str">
        <f t="shared" si="71"/>
        <v>No</v>
      </c>
    </row>
    <row r="733" spans="1:36" x14ac:dyDescent="0.35">
      <c r="A733" s="23">
        <v>732</v>
      </c>
      <c r="B733" s="23" t="str">
        <f t="shared" si="66"/>
        <v>Dataset 3</v>
      </c>
      <c r="C733" s="23">
        <f>IFERROR(MATCH($A733,Merge_1_2!$A$2:$A$611,0),0)</f>
        <v>0</v>
      </c>
      <c r="D733" s="23">
        <f>IF($C733&gt;0,INDEX(Merge_1_2!$Q$2:$Q$611,$C733),0)</f>
        <v>0</v>
      </c>
      <c r="E733" s="23">
        <f>IFERROR(MATCH($A733,Dataset3_Raw!$A$2:$A$391,0),0)</f>
        <v>122</v>
      </c>
      <c r="F733" s="24">
        <f>IF($C733&gt;0,INDEX(Merge_1_2!$B$2:$B$611,$C733),DATE(VALUE(RIGHT(INDEX(Dataset3_Raw!$B$2:$B$391,$E733),4)),VALUE(MID(INDEX(Dataset3_Raw!$B$2:$B$391,$E733),4,2)),VALUE(LEFT(INDEX(Dataset3_Raw!$B$2:$B$391,$E733),2))))</f>
        <v>40576</v>
      </c>
      <c r="G733" s="23">
        <f>IF($C733&gt;0,INDEX(Merge_1_2!$C$2:$C$611,$C733),INDEX(Dataset3_Raw!$C$2:$C$391,$E733))</f>
        <v>1</v>
      </c>
      <c r="H733" s="23">
        <f>IF($C733&gt;0,INDEX(Merge_1_2!$D$2:$D$611,$C733),INDEX(Dataset3_Raw!$D$2:$D$391,$E733))</f>
        <v>0</v>
      </c>
      <c r="I733" s="23">
        <f>IF($C733&gt;0,INDEX(Merge_1_2!$E$2:$E$611,$C733),INDEX(Dataset3_Raw!$E$2:$E$391,$E733))</f>
        <v>2</v>
      </c>
      <c r="J733" s="23">
        <f>IF($C733&gt;0,INDEX(Merge_1_2!$F$2:$F$611,$C733),INDEX(Dataset3_Raw!$F$2:$F$391,$E733))</f>
        <v>20</v>
      </c>
      <c r="K733" s="23" t="b">
        <f>IF($C733&gt;0,INDEX(Merge_1_2!$G$2:$G$611,$C733),INDEX(Dataset3_Raw!$G$2:$G$391,$E733))</f>
        <v>0</v>
      </c>
      <c r="L733" s="23">
        <f>IF($C733&gt;0,INDEX(Merge_1_2!$H$2:$H$611,$C733),INDEX(Dataset3_Raw!$H$2:$H$391,$E733))</f>
        <v>3</v>
      </c>
      <c r="M733" s="23">
        <f>IF($C733&gt;0,INDEX(Merge_1_2!$I$2:$I$611,$C733),INDEX(Dataset3_Raw!$I$2:$I$391,$E733))</f>
        <v>1</v>
      </c>
      <c r="N733" s="25">
        <f>IF($C733&gt;0,INDEX(Merge_1_2!$J$2:$J$611,$C733),INDEX(Dataset3_Raw!$J$2:$J$391,$E733))</f>
        <v>0.24</v>
      </c>
      <c r="O733" s="25">
        <f>IF($C733&gt;0,IF(ISNUMBER(INDEX(Merge_1_2!$K$2:$K$611,$C733)),INDEX(Merge_1_2!$K$2:$K$611,$C733),""),INDEX(Dataset3_Raw!$K$2:$K$391,$E733))</f>
        <v>0.19700000000000001</v>
      </c>
      <c r="P733" s="25">
        <f>IF(ISNUMBER($O733),$O733,ROUND(Lookups!$B$25+Lookups!$B$24*$N733,4))</f>
        <v>0.19700000000000001</v>
      </c>
      <c r="Q733" s="25">
        <f>IF($C733&gt;0,INDEX(Merge_1_2!$L$2:$L$611,$C733),INDEX(Dataset3_Raw!$L$2:$L$391,$E733))</f>
        <v>0.48</v>
      </c>
      <c r="R733" s="25">
        <f>IF($C733&gt;0,INDEX(Merge_1_2!$M$2:$M$611,$C733),INDEX(Dataset3_Raw!$M$2:$M$391,$E733))</f>
        <v>0.55220000000000002</v>
      </c>
      <c r="S733" s="23">
        <f>IF($C733&gt;0,INDEX(Merge_1_2!$N$2:$N$611,$C733),INDEX(Dataset3_Raw!$N$2:$N$391,$E733))</f>
        <v>4</v>
      </c>
      <c r="T733" s="23">
        <f>IF($C733&gt;0,INDEX(Merge_1_2!$O$2:$O$611,$C733),INDEX(Dataset3_Raw!$O$2:$O$391,$E733))</f>
        <v>71</v>
      </c>
      <c r="U733" s="23">
        <f>IF($C733&gt;0,INDEX(Merge_1_2!$P$2:$P$611,$C733),INDEX(Dataset3_Raw!$P$2:$P$391,$E733))</f>
        <v>75</v>
      </c>
      <c r="V733" s="23" t="str">
        <f t="shared" si="67"/>
        <v>Weekday</v>
      </c>
      <c r="W733" s="23" t="str">
        <f>VLOOKUP($M733,Lookups!$A$5:$B$8,2,FALSE())</f>
        <v>Clear / Partly cloudy</v>
      </c>
      <c r="X733" s="23" t="str">
        <f>VLOOKUP($G733,Lookups!$D$5:$E$8,2,FALSE())</f>
        <v>Winter</v>
      </c>
      <c r="Y733" s="23" t="str">
        <f>VLOOKUP($L733,Lookups!$G$5:$H$11,2,FALSE())</f>
        <v>Wednesday</v>
      </c>
      <c r="Z733" s="23" t="str">
        <f>IF($J733&lt;Lookups!$B$26,"Night",IF($J733&lt;Lookups!$B$27,"Morning",IF($J733&lt;Lookups!$B$28,"Afternoon","Evening")))</f>
        <v>Evening</v>
      </c>
      <c r="AA733" s="26">
        <f>ROUND($N733*(Lookups!$B$16-Lookups!$B$15)+Lookups!$B$15,1)</f>
        <v>3.3</v>
      </c>
      <c r="AB733" s="26">
        <f>ROUND($P733*(Lookups!$B$18-Lookups!$B$17)+Lookups!$B$17,1)</f>
        <v>-3</v>
      </c>
      <c r="AC733" s="23">
        <f t="shared" si="68"/>
        <v>48</v>
      </c>
      <c r="AD733" s="23">
        <f>ROUND($R733*Lookups!$B$19,1)</f>
        <v>37</v>
      </c>
      <c r="AE733" s="27">
        <f t="shared" si="69"/>
        <v>0.94666666666666666</v>
      </c>
      <c r="AF733" s="23" t="str">
        <f>IF($U733&gt;=Lookups!$B$23,"High",IF($U733&gt;=Lookups!$B$22,"Medium","Low"))</f>
        <v>Medium</v>
      </c>
      <c r="AG733" s="23">
        <f>ROUND(IF($V733="Weekday",IF(INDEX(Hourly_Analysis!$D$5:$D$28,$J733+1)&gt;0,($U733-INDEX(Hourly_Analysis!$C$5:$C$28,$J733+1))/INDEX(Hourly_Analysis!$D$5:$D$28,$J733+1),0),IF(INDEX(Hourly_Analysis!$G$5:$G$28,$J733+1)&gt;0,($U733-INDEX(Hourly_Analysis!$F$5:$F$28,$J733+1))/INDEX(Hourly_Analysis!$G$5:$G$28,$J733+1),0)),2)</f>
        <v>0.06</v>
      </c>
      <c r="AH733" s="23" t="str">
        <f>IF(ABS($AG733)&gt;Lookups!$B$20,IF($AG733&gt;0,"High anomaly","Low anomaly"),"")</f>
        <v/>
      </c>
      <c r="AI733" s="23" t="str">
        <f t="shared" si="70"/>
        <v>OK</v>
      </c>
      <c r="AJ733" s="23" t="str">
        <f t="shared" si="71"/>
        <v>No</v>
      </c>
    </row>
    <row r="734" spans="1:36" x14ac:dyDescent="0.35">
      <c r="A734" s="23">
        <v>733</v>
      </c>
      <c r="B734" s="23" t="str">
        <f t="shared" si="66"/>
        <v>Dataset 3</v>
      </c>
      <c r="C734" s="23">
        <f>IFERROR(MATCH($A734,Merge_1_2!$A$2:$A$611,0),0)</f>
        <v>0</v>
      </c>
      <c r="D734" s="23">
        <f>IF($C734&gt;0,INDEX(Merge_1_2!$Q$2:$Q$611,$C734),0)</f>
        <v>0</v>
      </c>
      <c r="E734" s="23">
        <f>IFERROR(MATCH($A734,Dataset3_Raw!$A$2:$A$391,0),0)</f>
        <v>123</v>
      </c>
      <c r="F734" s="24">
        <f>IF($C734&gt;0,INDEX(Merge_1_2!$B$2:$B$611,$C734),DATE(VALUE(RIGHT(INDEX(Dataset3_Raw!$B$2:$B$391,$E734),4)),VALUE(MID(INDEX(Dataset3_Raw!$B$2:$B$391,$E734),4,2)),VALUE(LEFT(INDEX(Dataset3_Raw!$B$2:$B$391,$E734),2))))</f>
        <v>40576</v>
      </c>
      <c r="G734" s="23">
        <f>IF($C734&gt;0,INDEX(Merge_1_2!$C$2:$C$611,$C734),INDEX(Dataset3_Raw!$C$2:$C$391,$E734))</f>
        <v>1</v>
      </c>
      <c r="H734" s="23">
        <f>IF($C734&gt;0,INDEX(Merge_1_2!$D$2:$D$611,$C734),INDEX(Dataset3_Raw!$D$2:$D$391,$E734))</f>
        <v>0</v>
      </c>
      <c r="I734" s="23">
        <f>IF($C734&gt;0,INDEX(Merge_1_2!$E$2:$E$611,$C734),INDEX(Dataset3_Raw!$E$2:$E$391,$E734))</f>
        <v>2</v>
      </c>
      <c r="J734" s="23">
        <f>IF($C734&gt;0,INDEX(Merge_1_2!$F$2:$F$611,$C734),INDEX(Dataset3_Raw!$F$2:$F$391,$E734))</f>
        <v>21</v>
      </c>
      <c r="K734" s="23" t="b">
        <f>IF($C734&gt;0,INDEX(Merge_1_2!$G$2:$G$611,$C734),INDEX(Dataset3_Raw!$G$2:$G$391,$E734))</f>
        <v>0</v>
      </c>
      <c r="L734" s="23">
        <f>IF($C734&gt;0,INDEX(Merge_1_2!$H$2:$H$611,$C734),INDEX(Dataset3_Raw!$H$2:$H$391,$E734))</f>
        <v>3</v>
      </c>
      <c r="M734" s="23">
        <f>IF($C734&gt;0,INDEX(Merge_1_2!$I$2:$I$611,$C734),INDEX(Dataset3_Raw!$I$2:$I$391,$E734))</f>
        <v>1</v>
      </c>
      <c r="N734" s="25">
        <f>IF($C734&gt;0,INDEX(Merge_1_2!$J$2:$J$611,$C734),INDEX(Dataset3_Raw!$J$2:$J$391,$E734))</f>
        <v>0.22</v>
      </c>
      <c r="O734" s="25">
        <f>IF($C734&gt;0,IF(ISNUMBER(INDEX(Merge_1_2!$K$2:$K$611,$C734)),INDEX(Merge_1_2!$K$2:$K$611,$C734),""),INDEX(Dataset3_Raw!$K$2:$K$391,$E734))</f>
        <v>0.19700000000000001</v>
      </c>
      <c r="P734" s="25">
        <f>IF(ISNUMBER($O734),$O734,ROUND(Lookups!$B$25+Lookups!$B$24*$N734,4))</f>
        <v>0.19700000000000001</v>
      </c>
      <c r="Q734" s="25">
        <f>IF($C734&gt;0,INDEX(Merge_1_2!$L$2:$L$611,$C734),INDEX(Dataset3_Raw!$L$2:$L$391,$E734))</f>
        <v>0.47</v>
      </c>
      <c r="R734" s="25">
        <f>IF($C734&gt;0,INDEX(Merge_1_2!$M$2:$M$611,$C734),INDEX(Dataset3_Raw!$M$2:$M$391,$E734))</f>
        <v>0.32840000000000003</v>
      </c>
      <c r="S734" s="23">
        <f>IF($C734&gt;0,INDEX(Merge_1_2!$N$2:$N$611,$C734),INDEX(Dataset3_Raw!$N$2:$N$391,$E734))</f>
        <v>1</v>
      </c>
      <c r="T734" s="23">
        <f>IF($C734&gt;0,INDEX(Merge_1_2!$O$2:$O$611,$C734),INDEX(Dataset3_Raw!$O$2:$O$391,$E734))</f>
        <v>62</v>
      </c>
      <c r="U734" s="23">
        <f>IF($C734&gt;0,INDEX(Merge_1_2!$P$2:$P$611,$C734),INDEX(Dataset3_Raw!$P$2:$P$391,$E734))</f>
        <v>63</v>
      </c>
      <c r="V734" s="23" t="str">
        <f t="shared" si="67"/>
        <v>Weekday</v>
      </c>
      <c r="W734" s="23" t="str">
        <f>VLOOKUP($M734,Lookups!$A$5:$B$8,2,FALSE())</f>
        <v>Clear / Partly cloudy</v>
      </c>
      <c r="X734" s="23" t="str">
        <f>VLOOKUP($G734,Lookups!$D$5:$E$8,2,FALSE())</f>
        <v>Winter</v>
      </c>
      <c r="Y734" s="23" t="str">
        <f>VLOOKUP($L734,Lookups!$G$5:$H$11,2,FALSE())</f>
        <v>Wednesday</v>
      </c>
      <c r="Z734" s="23" t="str">
        <f>IF($J734&lt;Lookups!$B$26,"Night",IF($J734&lt;Lookups!$B$27,"Morning",IF($J734&lt;Lookups!$B$28,"Afternoon","Evening")))</f>
        <v>Evening</v>
      </c>
      <c r="AA734" s="26">
        <f>ROUND($N734*(Lookups!$B$16-Lookups!$B$15)+Lookups!$B$15,1)</f>
        <v>2.2999999999999998</v>
      </c>
      <c r="AB734" s="26">
        <f>ROUND($P734*(Lookups!$B$18-Lookups!$B$17)+Lookups!$B$17,1)</f>
        <v>-3</v>
      </c>
      <c r="AC734" s="23">
        <f t="shared" si="68"/>
        <v>47</v>
      </c>
      <c r="AD734" s="23">
        <f>ROUND($R734*Lookups!$B$19,1)</f>
        <v>22</v>
      </c>
      <c r="AE734" s="27">
        <f t="shared" si="69"/>
        <v>0.98412698412698407</v>
      </c>
      <c r="AF734" s="23" t="str">
        <f>IF($U734&gt;=Lookups!$B$23,"High",IF($U734&gt;=Lookups!$B$22,"Medium","Low"))</f>
        <v>Medium</v>
      </c>
      <c r="AG734" s="23">
        <f>ROUND(IF($V734="Weekday",IF(INDEX(Hourly_Analysis!$D$5:$D$28,$J734+1)&gt;0,($U734-INDEX(Hourly_Analysis!$C$5:$C$28,$J734+1))/INDEX(Hourly_Analysis!$D$5:$D$28,$J734+1),0),IF(INDEX(Hourly_Analysis!$G$5:$G$28,$J734+1)&gt;0,($U734-INDEX(Hourly_Analysis!$F$5:$F$28,$J734+1))/INDEX(Hourly_Analysis!$G$5:$G$28,$J734+1),0)),2)</f>
        <v>0.85</v>
      </c>
      <c r="AH734" s="23" t="str">
        <f>IF(ABS($AG734)&gt;Lookups!$B$20,IF($AG734&gt;0,"High anomaly","Low anomaly"),"")</f>
        <v/>
      </c>
      <c r="AI734" s="23" t="str">
        <f t="shared" si="70"/>
        <v>OK</v>
      </c>
      <c r="AJ734" s="23" t="str">
        <f t="shared" si="71"/>
        <v>No</v>
      </c>
    </row>
    <row r="735" spans="1:36" x14ac:dyDescent="0.35">
      <c r="A735" s="23">
        <v>734</v>
      </c>
      <c r="B735" s="23" t="str">
        <f t="shared" si="66"/>
        <v>Dataset 3</v>
      </c>
      <c r="C735" s="23">
        <f>IFERROR(MATCH($A735,Merge_1_2!$A$2:$A$611,0),0)</f>
        <v>0</v>
      </c>
      <c r="D735" s="23">
        <f>IF($C735&gt;0,INDEX(Merge_1_2!$Q$2:$Q$611,$C735),0)</f>
        <v>0</v>
      </c>
      <c r="E735" s="23">
        <f>IFERROR(MATCH($A735,Dataset3_Raw!$A$2:$A$391,0),0)</f>
        <v>124</v>
      </c>
      <c r="F735" s="24">
        <f>IF($C735&gt;0,INDEX(Merge_1_2!$B$2:$B$611,$C735),DATE(VALUE(RIGHT(INDEX(Dataset3_Raw!$B$2:$B$391,$E735),4)),VALUE(MID(INDEX(Dataset3_Raw!$B$2:$B$391,$E735),4,2)),VALUE(LEFT(INDEX(Dataset3_Raw!$B$2:$B$391,$E735),2))))</f>
        <v>40576</v>
      </c>
      <c r="G735" s="23">
        <f>IF($C735&gt;0,INDEX(Merge_1_2!$C$2:$C$611,$C735),INDEX(Dataset3_Raw!$C$2:$C$391,$E735))</f>
        <v>1</v>
      </c>
      <c r="H735" s="23">
        <f>IF($C735&gt;0,INDEX(Merge_1_2!$D$2:$D$611,$C735),INDEX(Dataset3_Raw!$D$2:$D$391,$E735))</f>
        <v>0</v>
      </c>
      <c r="I735" s="23">
        <f>IF($C735&gt;0,INDEX(Merge_1_2!$E$2:$E$611,$C735),INDEX(Dataset3_Raw!$E$2:$E$391,$E735))</f>
        <v>2</v>
      </c>
      <c r="J735" s="23">
        <f>IF($C735&gt;0,INDEX(Merge_1_2!$F$2:$F$611,$C735),INDEX(Dataset3_Raw!$F$2:$F$391,$E735))</f>
        <v>22</v>
      </c>
      <c r="K735" s="23" t="b">
        <f>IF($C735&gt;0,INDEX(Merge_1_2!$G$2:$G$611,$C735),INDEX(Dataset3_Raw!$G$2:$G$391,$E735))</f>
        <v>0</v>
      </c>
      <c r="L735" s="23">
        <f>IF($C735&gt;0,INDEX(Merge_1_2!$H$2:$H$611,$C735),INDEX(Dataset3_Raw!$H$2:$H$391,$E735))</f>
        <v>3</v>
      </c>
      <c r="M735" s="23">
        <f>IF($C735&gt;0,INDEX(Merge_1_2!$I$2:$I$611,$C735),INDEX(Dataset3_Raw!$I$2:$I$391,$E735))</f>
        <v>1</v>
      </c>
      <c r="N735" s="25">
        <f>IF($C735&gt;0,INDEX(Merge_1_2!$J$2:$J$611,$C735),INDEX(Dataset3_Raw!$J$2:$J$391,$E735))</f>
        <v>0.22</v>
      </c>
      <c r="O735" s="25">
        <f>IF($C735&gt;0,IF(ISNUMBER(INDEX(Merge_1_2!$K$2:$K$611,$C735)),INDEX(Merge_1_2!$K$2:$K$611,$C735),""),INDEX(Dataset3_Raw!$K$2:$K$391,$E735))</f>
        <v>0.21210000000000001</v>
      </c>
      <c r="P735" s="25">
        <f>IF(ISNUMBER($O735),$O735,ROUND(Lookups!$B$25+Lookups!$B$24*$N735,4))</f>
        <v>0.21210000000000001</v>
      </c>
      <c r="Q735" s="25">
        <f>IF($C735&gt;0,INDEX(Merge_1_2!$L$2:$L$611,$C735),INDEX(Dataset3_Raw!$L$2:$L$391,$E735))</f>
        <v>0.44</v>
      </c>
      <c r="R735" s="25">
        <f>IF($C735&gt;0,INDEX(Merge_1_2!$M$2:$M$611,$C735),INDEX(Dataset3_Raw!$M$2:$M$391,$E735))</f>
        <v>0.25369999999999998</v>
      </c>
      <c r="S735" s="23">
        <f>IF($C735&gt;0,INDEX(Merge_1_2!$N$2:$N$611,$C735),INDEX(Dataset3_Raw!$N$2:$N$391,$E735))</f>
        <v>5</v>
      </c>
      <c r="T735" s="23">
        <f>IF($C735&gt;0,INDEX(Merge_1_2!$O$2:$O$611,$C735),INDEX(Dataset3_Raw!$O$2:$O$391,$E735))</f>
        <v>35</v>
      </c>
      <c r="U735" s="23">
        <f>IF($C735&gt;0,INDEX(Merge_1_2!$P$2:$P$611,$C735),INDEX(Dataset3_Raw!$P$2:$P$391,$E735))</f>
        <v>40</v>
      </c>
      <c r="V735" s="23" t="str">
        <f t="shared" si="67"/>
        <v>Weekday</v>
      </c>
      <c r="W735" s="23" t="str">
        <f>VLOOKUP($M735,Lookups!$A$5:$B$8,2,FALSE())</f>
        <v>Clear / Partly cloudy</v>
      </c>
      <c r="X735" s="23" t="str">
        <f>VLOOKUP($G735,Lookups!$D$5:$E$8,2,FALSE())</f>
        <v>Winter</v>
      </c>
      <c r="Y735" s="23" t="str">
        <f>VLOOKUP($L735,Lookups!$G$5:$H$11,2,FALSE())</f>
        <v>Wednesday</v>
      </c>
      <c r="Z735" s="23" t="str">
        <f>IF($J735&lt;Lookups!$B$26,"Night",IF($J735&lt;Lookups!$B$27,"Morning",IF($J735&lt;Lookups!$B$28,"Afternoon","Evening")))</f>
        <v>Evening</v>
      </c>
      <c r="AA735" s="26">
        <f>ROUND($N735*(Lookups!$B$16-Lookups!$B$15)+Lookups!$B$15,1)</f>
        <v>2.2999999999999998</v>
      </c>
      <c r="AB735" s="26">
        <f>ROUND($P735*(Lookups!$B$18-Lookups!$B$17)+Lookups!$B$17,1)</f>
        <v>-2</v>
      </c>
      <c r="AC735" s="23">
        <f t="shared" si="68"/>
        <v>44</v>
      </c>
      <c r="AD735" s="23">
        <f>ROUND($R735*Lookups!$B$19,1)</f>
        <v>17</v>
      </c>
      <c r="AE735" s="27">
        <f t="shared" si="69"/>
        <v>0.875</v>
      </c>
      <c r="AF735" s="23" t="str">
        <f>IF($U735&gt;=Lookups!$B$23,"High",IF($U735&gt;=Lookups!$B$22,"Medium","Low"))</f>
        <v>Medium</v>
      </c>
      <c r="AG735" s="23">
        <f>ROUND(IF($V735="Weekday",IF(INDEX(Hourly_Analysis!$D$5:$D$28,$J735+1)&gt;0,($U735-INDEX(Hourly_Analysis!$C$5:$C$28,$J735+1))/INDEX(Hourly_Analysis!$D$5:$D$28,$J735+1),0),IF(INDEX(Hourly_Analysis!$G$5:$G$28,$J735+1)&gt;0,($U735-INDEX(Hourly_Analysis!$F$5:$F$28,$J735+1))/INDEX(Hourly_Analysis!$G$5:$G$28,$J735+1),0)),2)</f>
        <v>0.21</v>
      </c>
      <c r="AH735" s="23" t="str">
        <f>IF(ABS($AG735)&gt;Lookups!$B$20,IF($AG735&gt;0,"High anomaly","Low anomaly"),"")</f>
        <v/>
      </c>
      <c r="AI735" s="23" t="str">
        <f t="shared" si="70"/>
        <v>OK</v>
      </c>
      <c r="AJ735" s="23" t="str">
        <f t="shared" si="71"/>
        <v>No</v>
      </c>
    </row>
    <row r="736" spans="1:36" x14ac:dyDescent="0.35">
      <c r="A736" s="23">
        <v>735</v>
      </c>
      <c r="B736" s="23" t="str">
        <f t="shared" si="66"/>
        <v>Dataset 3</v>
      </c>
      <c r="C736" s="23">
        <f>IFERROR(MATCH($A736,Merge_1_2!$A$2:$A$611,0),0)</f>
        <v>0</v>
      </c>
      <c r="D736" s="23">
        <f>IF($C736&gt;0,INDEX(Merge_1_2!$Q$2:$Q$611,$C736),0)</f>
        <v>0</v>
      </c>
      <c r="E736" s="23">
        <f>IFERROR(MATCH($A736,Dataset3_Raw!$A$2:$A$391,0),0)</f>
        <v>125</v>
      </c>
      <c r="F736" s="24">
        <f>IF($C736&gt;0,INDEX(Merge_1_2!$B$2:$B$611,$C736),DATE(VALUE(RIGHT(INDEX(Dataset3_Raw!$B$2:$B$391,$E736),4)),VALUE(MID(INDEX(Dataset3_Raw!$B$2:$B$391,$E736),4,2)),VALUE(LEFT(INDEX(Dataset3_Raw!$B$2:$B$391,$E736),2))))</f>
        <v>40576</v>
      </c>
      <c r="G736" s="23">
        <f>IF($C736&gt;0,INDEX(Merge_1_2!$C$2:$C$611,$C736),INDEX(Dataset3_Raw!$C$2:$C$391,$E736))</f>
        <v>1</v>
      </c>
      <c r="H736" s="23">
        <f>IF($C736&gt;0,INDEX(Merge_1_2!$D$2:$D$611,$C736),INDEX(Dataset3_Raw!$D$2:$D$391,$E736))</f>
        <v>0</v>
      </c>
      <c r="I736" s="23">
        <f>IF($C736&gt;0,INDEX(Merge_1_2!$E$2:$E$611,$C736),INDEX(Dataset3_Raw!$E$2:$E$391,$E736))</f>
        <v>2</v>
      </c>
      <c r="J736" s="23">
        <f>IF($C736&gt;0,INDEX(Merge_1_2!$F$2:$F$611,$C736),INDEX(Dataset3_Raw!$F$2:$F$391,$E736))</f>
        <v>23</v>
      </c>
      <c r="K736" s="23" t="b">
        <f>IF($C736&gt;0,INDEX(Merge_1_2!$G$2:$G$611,$C736),INDEX(Dataset3_Raw!$G$2:$G$391,$E736))</f>
        <v>0</v>
      </c>
      <c r="L736" s="23">
        <f>IF($C736&gt;0,INDEX(Merge_1_2!$H$2:$H$611,$C736),INDEX(Dataset3_Raw!$H$2:$H$391,$E736))</f>
        <v>3</v>
      </c>
      <c r="M736" s="23">
        <f>IF($C736&gt;0,INDEX(Merge_1_2!$I$2:$I$611,$C736),INDEX(Dataset3_Raw!$I$2:$I$391,$E736))</f>
        <v>1</v>
      </c>
      <c r="N736" s="25">
        <f>IF($C736&gt;0,INDEX(Merge_1_2!$J$2:$J$611,$C736),INDEX(Dataset3_Raw!$J$2:$J$391,$E736))</f>
        <v>0.2</v>
      </c>
      <c r="O736" s="25">
        <f>IF($C736&gt;0,IF(ISNUMBER(INDEX(Merge_1_2!$K$2:$K$611,$C736)),INDEX(Merge_1_2!$K$2:$K$611,$C736),""),INDEX(Dataset3_Raw!$K$2:$K$391,$E736))</f>
        <v>0.16669999999999999</v>
      </c>
      <c r="P736" s="25">
        <f>IF(ISNUMBER($O736),$O736,ROUND(Lookups!$B$25+Lookups!$B$24*$N736,4))</f>
        <v>0.16669999999999999</v>
      </c>
      <c r="Q736" s="25">
        <f>IF($C736&gt;0,INDEX(Merge_1_2!$L$2:$L$611,$C736),INDEX(Dataset3_Raw!$L$2:$L$391,$E736))</f>
        <v>0.44</v>
      </c>
      <c r="R736" s="25">
        <f>IF($C736&gt;0,INDEX(Merge_1_2!$M$2:$M$611,$C736),INDEX(Dataset3_Raw!$M$2:$M$391,$E736))</f>
        <v>0.44779999999999998</v>
      </c>
      <c r="S736" s="23">
        <f>IF($C736&gt;0,INDEX(Merge_1_2!$N$2:$N$611,$C736),INDEX(Dataset3_Raw!$N$2:$N$391,$E736))</f>
        <v>3</v>
      </c>
      <c r="T736" s="23">
        <f>IF($C736&gt;0,INDEX(Merge_1_2!$O$2:$O$611,$C736),INDEX(Dataset3_Raw!$O$2:$O$391,$E736))</f>
        <v>29</v>
      </c>
      <c r="U736" s="23">
        <f>IF($C736&gt;0,INDEX(Merge_1_2!$P$2:$P$611,$C736),INDEX(Dataset3_Raw!$P$2:$P$391,$E736))</f>
        <v>32</v>
      </c>
      <c r="V736" s="23" t="str">
        <f t="shared" si="67"/>
        <v>Weekday</v>
      </c>
      <c r="W736" s="23" t="str">
        <f>VLOOKUP($M736,Lookups!$A$5:$B$8,2,FALSE())</f>
        <v>Clear / Partly cloudy</v>
      </c>
      <c r="X736" s="23" t="str">
        <f>VLOOKUP($G736,Lookups!$D$5:$E$8,2,FALSE())</f>
        <v>Winter</v>
      </c>
      <c r="Y736" s="23" t="str">
        <f>VLOOKUP($L736,Lookups!$G$5:$H$11,2,FALSE())</f>
        <v>Wednesday</v>
      </c>
      <c r="Z736" s="23" t="str">
        <f>IF($J736&lt;Lookups!$B$26,"Night",IF($J736&lt;Lookups!$B$27,"Morning",IF($J736&lt;Lookups!$B$28,"Afternoon","Evening")))</f>
        <v>Evening</v>
      </c>
      <c r="AA736" s="26">
        <f>ROUND($N736*(Lookups!$B$16-Lookups!$B$15)+Lookups!$B$15,1)</f>
        <v>1.4</v>
      </c>
      <c r="AB736" s="26">
        <f>ROUND($P736*(Lookups!$B$18-Lookups!$B$17)+Lookups!$B$17,1)</f>
        <v>-5</v>
      </c>
      <c r="AC736" s="23">
        <f t="shared" si="68"/>
        <v>44</v>
      </c>
      <c r="AD736" s="23">
        <f>ROUND($R736*Lookups!$B$19,1)</f>
        <v>30</v>
      </c>
      <c r="AE736" s="27">
        <f t="shared" si="69"/>
        <v>0.90625</v>
      </c>
      <c r="AF736" s="23" t="str">
        <f>IF($U736&gt;=Lookups!$B$23,"High",IF($U736&gt;=Lookups!$B$22,"Medium","Low"))</f>
        <v>Medium</v>
      </c>
      <c r="AG736" s="23">
        <f>ROUND(IF($V736="Weekday",IF(INDEX(Hourly_Analysis!$D$5:$D$28,$J736+1)&gt;0,($U736-INDEX(Hourly_Analysis!$C$5:$C$28,$J736+1))/INDEX(Hourly_Analysis!$D$5:$D$28,$J736+1),0),IF(INDEX(Hourly_Analysis!$G$5:$G$28,$J736+1)&gt;0,($U736-INDEX(Hourly_Analysis!$F$5:$F$28,$J736+1))/INDEX(Hourly_Analysis!$G$5:$G$28,$J736+1),0)),2)</f>
        <v>0.76</v>
      </c>
      <c r="AH736" s="23" t="str">
        <f>IF(ABS($AG736)&gt;Lookups!$B$20,IF($AG736&gt;0,"High anomaly","Low anomaly"),"")</f>
        <v/>
      </c>
      <c r="AI736" s="23" t="str">
        <f t="shared" si="70"/>
        <v>OK</v>
      </c>
      <c r="AJ736" s="23" t="str">
        <f t="shared" si="71"/>
        <v>No</v>
      </c>
    </row>
    <row r="737" spans="1:36" x14ac:dyDescent="0.35">
      <c r="A737" s="23">
        <v>736</v>
      </c>
      <c r="B737" s="23" t="str">
        <f t="shared" si="66"/>
        <v>Dataset 3</v>
      </c>
      <c r="C737" s="23">
        <f>IFERROR(MATCH($A737,Merge_1_2!$A$2:$A$611,0),0)</f>
        <v>0</v>
      </c>
      <c r="D737" s="23">
        <f>IF($C737&gt;0,INDEX(Merge_1_2!$Q$2:$Q$611,$C737),0)</f>
        <v>0</v>
      </c>
      <c r="E737" s="23">
        <f>IFERROR(MATCH($A737,Dataset3_Raw!$A$2:$A$391,0),0)</f>
        <v>126</v>
      </c>
      <c r="F737" s="24">
        <f>IF($C737&gt;0,INDEX(Merge_1_2!$B$2:$B$611,$C737),DATE(VALUE(RIGHT(INDEX(Dataset3_Raw!$B$2:$B$391,$E737),4)),VALUE(MID(INDEX(Dataset3_Raw!$B$2:$B$391,$E737),4,2)),VALUE(LEFT(INDEX(Dataset3_Raw!$B$2:$B$391,$E737),2))))</f>
        <v>40577</v>
      </c>
      <c r="G737" s="23">
        <f>IF($C737&gt;0,INDEX(Merge_1_2!$C$2:$C$611,$C737),INDEX(Dataset3_Raw!$C$2:$C$391,$E737))</f>
        <v>1</v>
      </c>
      <c r="H737" s="23">
        <f>IF($C737&gt;0,INDEX(Merge_1_2!$D$2:$D$611,$C737),INDEX(Dataset3_Raw!$D$2:$D$391,$E737))</f>
        <v>0</v>
      </c>
      <c r="I737" s="23">
        <f>IF($C737&gt;0,INDEX(Merge_1_2!$E$2:$E$611,$C737),INDEX(Dataset3_Raw!$E$2:$E$391,$E737))</f>
        <v>2</v>
      </c>
      <c r="J737" s="23">
        <f>IF($C737&gt;0,INDEX(Merge_1_2!$F$2:$F$611,$C737),INDEX(Dataset3_Raw!$F$2:$F$391,$E737))</f>
        <v>0</v>
      </c>
      <c r="K737" s="23" t="b">
        <f>IF($C737&gt;0,INDEX(Merge_1_2!$G$2:$G$611,$C737),INDEX(Dataset3_Raw!$G$2:$G$391,$E737))</f>
        <v>0</v>
      </c>
      <c r="L737" s="23">
        <f>IF($C737&gt;0,INDEX(Merge_1_2!$H$2:$H$611,$C737),INDEX(Dataset3_Raw!$H$2:$H$391,$E737))</f>
        <v>4</v>
      </c>
      <c r="M737" s="23">
        <f>IF($C737&gt;0,INDEX(Merge_1_2!$I$2:$I$611,$C737),INDEX(Dataset3_Raw!$I$2:$I$391,$E737))</f>
        <v>1</v>
      </c>
      <c r="N737" s="25">
        <f>IF($C737&gt;0,INDEX(Merge_1_2!$J$2:$J$611,$C737),INDEX(Dataset3_Raw!$J$2:$J$391,$E737))</f>
        <v>0.2</v>
      </c>
      <c r="O737" s="25">
        <f>IF($C737&gt;0,IF(ISNUMBER(INDEX(Merge_1_2!$K$2:$K$611,$C737)),INDEX(Merge_1_2!$K$2:$K$611,$C737),""),INDEX(Dataset3_Raw!$K$2:$K$391,$E737))</f>
        <v>0.16669999999999999</v>
      </c>
      <c r="P737" s="25">
        <f>IF(ISNUMBER($O737),$O737,ROUND(Lookups!$B$25+Lookups!$B$24*$N737,4))</f>
        <v>0.16669999999999999</v>
      </c>
      <c r="Q737" s="25">
        <f>IF($C737&gt;0,INDEX(Merge_1_2!$L$2:$L$611,$C737),INDEX(Dataset3_Raw!$L$2:$L$391,$E737))</f>
        <v>0.4</v>
      </c>
      <c r="R737" s="25">
        <f>IF($C737&gt;0,INDEX(Merge_1_2!$M$2:$M$611,$C737),INDEX(Dataset3_Raw!$M$2:$M$391,$E737))</f>
        <v>0.44779999999999998</v>
      </c>
      <c r="S737" s="23">
        <f>IF($C737&gt;0,INDEX(Merge_1_2!$N$2:$N$611,$C737),INDEX(Dataset3_Raw!$N$2:$N$391,$E737))</f>
        <v>1</v>
      </c>
      <c r="T737" s="23">
        <f>IF($C737&gt;0,INDEX(Merge_1_2!$O$2:$O$611,$C737),INDEX(Dataset3_Raw!$O$2:$O$391,$E737))</f>
        <v>11</v>
      </c>
      <c r="U737" s="23">
        <f>IF($C737&gt;0,INDEX(Merge_1_2!$P$2:$P$611,$C737),INDEX(Dataset3_Raw!$P$2:$P$391,$E737))</f>
        <v>12</v>
      </c>
      <c r="V737" s="23" t="str">
        <f t="shared" si="67"/>
        <v>Weekday</v>
      </c>
      <c r="W737" s="23" t="str">
        <f>VLOOKUP($M737,Lookups!$A$5:$B$8,2,FALSE())</f>
        <v>Clear / Partly cloudy</v>
      </c>
      <c r="X737" s="23" t="str">
        <f>VLOOKUP($G737,Lookups!$D$5:$E$8,2,FALSE())</f>
        <v>Winter</v>
      </c>
      <c r="Y737" s="23" t="str">
        <f>VLOOKUP($L737,Lookups!$G$5:$H$11,2,FALSE())</f>
        <v>Thursday</v>
      </c>
      <c r="Z737" s="23" t="str">
        <f>IF($J737&lt;Lookups!$B$26,"Night",IF($J737&lt;Lookups!$B$27,"Morning",IF($J737&lt;Lookups!$B$28,"Afternoon","Evening")))</f>
        <v>Night</v>
      </c>
      <c r="AA737" s="26">
        <f>ROUND($N737*(Lookups!$B$16-Lookups!$B$15)+Lookups!$B$15,1)</f>
        <v>1.4</v>
      </c>
      <c r="AB737" s="26">
        <f>ROUND($P737*(Lookups!$B$18-Lookups!$B$17)+Lookups!$B$17,1)</f>
        <v>-5</v>
      </c>
      <c r="AC737" s="23">
        <f t="shared" si="68"/>
        <v>40</v>
      </c>
      <c r="AD737" s="23">
        <f>ROUND($R737*Lookups!$B$19,1)</f>
        <v>30</v>
      </c>
      <c r="AE737" s="27">
        <f t="shared" si="69"/>
        <v>0.91666666666666663</v>
      </c>
      <c r="AF737" s="23" t="str">
        <f>IF($U737&gt;=Lookups!$B$23,"High",IF($U737&gt;=Lookups!$B$22,"Medium","Low"))</f>
        <v>Low</v>
      </c>
      <c r="AG737" s="23">
        <f>ROUND(IF($V737="Weekday",IF(INDEX(Hourly_Analysis!$D$5:$D$28,$J737+1)&gt;0,($U737-INDEX(Hourly_Analysis!$C$5:$C$28,$J737+1))/INDEX(Hourly_Analysis!$D$5:$D$28,$J737+1),0),IF(INDEX(Hourly_Analysis!$G$5:$G$28,$J737+1)&gt;0,($U737-INDEX(Hourly_Analysis!$F$5:$F$28,$J737+1))/INDEX(Hourly_Analysis!$G$5:$G$28,$J737+1),0)),2)</f>
        <v>0.32</v>
      </c>
      <c r="AH737" s="23" t="str">
        <f>IF(ABS($AG737)&gt;Lookups!$B$20,IF($AG737&gt;0,"High anomaly","Low anomaly"),"")</f>
        <v/>
      </c>
      <c r="AI737" s="23" t="str">
        <f t="shared" si="70"/>
        <v>OK</v>
      </c>
      <c r="AJ737" s="23" t="str">
        <f t="shared" si="71"/>
        <v>No</v>
      </c>
    </row>
    <row r="738" spans="1:36" x14ac:dyDescent="0.35">
      <c r="A738" s="23">
        <v>737</v>
      </c>
      <c r="B738" s="23" t="str">
        <f t="shared" si="66"/>
        <v>Dataset 3</v>
      </c>
      <c r="C738" s="23">
        <f>IFERROR(MATCH($A738,Merge_1_2!$A$2:$A$611,0),0)</f>
        <v>0</v>
      </c>
      <c r="D738" s="23">
        <f>IF($C738&gt;0,INDEX(Merge_1_2!$Q$2:$Q$611,$C738),0)</f>
        <v>0</v>
      </c>
      <c r="E738" s="23">
        <f>IFERROR(MATCH($A738,Dataset3_Raw!$A$2:$A$391,0),0)</f>
        <v>127</v>
      </c>
      <c r="F738" s="24">
        <f>IF($C738&gt;0,INDEX(Merge_1_2!$B$2:$B$611,$C738),DATE(VALUE(RIGHT(INDEX(Dataset3_Raw!$B$2:$B$391,$E738),4)),VALUE(MID(INDEX(Dataset3_Raw!$B$2:$B$391,$E738),4,2)),VALUE(LEFT(INDEX(Dataset3_Raw!$B$2:$B$391,$E738),2))))</f>
        <v>40577</v>
      </c>
      <c r="G738" s="23">
        <f>IF($C738&gt;0,INDEX(Merge_1_2!$C$2:$C$611,$C738),INDEX(Dataset3_Raw!$C$2:$C$391,$E738))</f>
        <v>1</v>
      </c>
      <c r="H738" s="23">
        <f>IF($C738&gt;0,INDEX(Merge_1_2!$D$2:$D$611,$C738),INDEX(Dataset3_Raw!$D$2:$D$391,$E738))</f>
        <v>0</v>
      </c>
      <c r="I738" s="23">
        <f>IF($C738&gt;0,INDEX(Merge_1_2!$E$2:$E$611,$C738),INDEX(Dataset3_Raw!$E$2:$E$391,$E738))</f>
        <v>2</v>
      </c>
      <c r="J738" s="23">
        <f>IF($C738&gt;0,INDEX(Merge_1_2!$F$2:$F$611,$C738),INDEX(Dataset3_Raw!$F$2:$F$391,$E738))</f>
        <v>1</v>
      </c>
      <c r="K738" s="23" t="b">
        <f>IF($C738&gt;0,INDEX(Merge_1_2!$G$2:$G$611,$C738),INDEX(Dataset3_Raw!$G$2:$G$391,$E738))</f>
        <v>0</v>
      </c>
      <c r="L738" s="23">
        <f>IF($C738&gt;0,INDEX(Merge_1_2!$H$2:$H$611,$C738),INDEX(Dataset3_Raw!$H$2:$H$391,$E738))</f>
        <v>4</v>
      </c>
      <c r="M738" s="23">
        <f>IF($C738&gt;0,INDEX(Merge_1_2!$I$2:$I$611,$C738),INDEX(Dataset3_Raw!$I$2:$I$391,$E738))</f>
        <v>1</v>
      </c>
      <c r="N738" s="25">
        <f>IF($C738&gt;0,INDEX(Merge_1_2!$J$2:$J$611,$C738),INDEX(Dataset3_Raw!$J$2:$J$391,$E738))</f>
        <v>0.2</v>
      </c>
      <c r="O738" s="25">
        <f>IF($C738&gt;0,IF(ISNUMBER(INDEX(Merge_1_2!$K$2:$K$611,$C738)),INDEX(Merge_1_2!$K$2:$K$611,$C738),""),INDEX(Dataset3_Raw!$K$2:$K$391,$E738))</f>
        <v>0.1515</v>
      </c>
      <c r="P738" s="25">
        <f>IF(ISNUMBER($O738),$O738,ROUND(Lookups!$B$25+Lookups!$B$24*$N738,4))</f>
        <v>0.1515</v>
      </c>
      <c r="Q738" s="25">
        <f>IF($C738&gt;0,INDEX(Merge_1_2!$L$2:$L$611,$C738),INDEX(Dataset3_Raw!$L$2:$L$391,$E738))</f>
        <v>0.44</v>
      </c>
      <c r="R738" s="25">
        <f>IF($C738&gt;0,INDEX(Merge_1_2!$M$2:$M$611,$C738),INDEX(Dataset3_Raw!$M$2:$M$391,$E738))</f>
        <v>0.52239999999999998</v>
      </c>
      <c r="S738" s="23">
        <f>IF($C738&gt;0,INDEX(Merge_1_2!$N$2:$N$611,$C738),INDEX(Dataset3_Raw!$N$2:$N$391,$E738))</f>
        <v>0</v>
      </c>
      <c r="T738" s="23">
        <f>IF($C738&gt;0,INDEX(Merge_1_2!$O$2:$O$611,$C738),INDEX(Dataset3_Raw!$O$2:$O$391,$E738))</f>
        <v>5</v>
      </c>
      <c r="U738" s="23">
        <f>IF($C738&gt;0,INDEX(Merge_1_2!$P$2:$P$611,$C738),INDEX(Dataset3_Raw!$P$2:$P$391,$E738))</f>
        <v>5</v>
      </c>
      <c r="V738" s="23" t="str">
        <f t="shared" si="67"/>
        <v>Weekday</v>
      </c>
      <c r="W738" s="23" t="str">
        <f>VLOOKUP($M738,Lookups!$A$5:$B$8,2,FALSE())</f>
        <v>Clear / Partly cloudy</v>
      </c>
      <c r="X738" s="23" t="str">
        <f>VLOOKUP($G738,Lookups!$D$5:$E$8,2,FALSE())</f>
        <v>Winter</v>
      </c>
      <c r="Y738" s="23" t="str">
        <f>VLOOKUP($L738,Lookups!$G$5:$H$11,2,FALSE())</f>
        <v>Thursday</v>
      </c>
      <c r="Z738" s="23" t="str">
        <f>IF($J738&lt;Lookups!$B$26,"Night",IF($J738&lt;Lookups!$B$27,"Morning",IF($J738&lt;Lookups!$B$28,"Afternoon","Evening")))</f>
        <v>Night</v>
      </c>
      <c r="AA738" s="26">
        <f>ROUND($N738*(Lookups!$B$16-Lookups!$B$15)+Lookups!$B$15,1)</f>
        <v>1.4</v>
      </c>
      <c r="AB738" s="26">
        <f>ROUND($P738*(Lookups!$B$18-Lookups!$B$17)+Lookups!$B$17,1)</f>
        <v>-6</v>
      </c>
      <c r="AC738" s="23">
        <f t="shared" si="68"/>
        <v>44</v>
      </c>
      <c r="AD738" s="23">
        <f>ROUND($R738*Lookups!$B$19,1)</f>
        <v>35</v>
      </c>
      <c r="AE738" s="27">
        <f t="shared" si="69"/>
        <v>1</v>
      </c>
      <c r="AF738" s="23" t="str">
        <f>IF($U738&gt;=Lookups!$B$23,"High",IF($U738&gt;=Lookups!$B$22,"Medium","Low"))</f>
        <v>Low</v>
      </c>
      <c r="AG738" s="23">
        <f>ROUND(IF($V738="Weekday",IF(INDEX(Hourly_Analysis!$D$5:$D$28,$J738+1)&gt;0,($U738-INDEX(Hourly_Analysis!$C$5:$C$28,$J738+1))/INDEX(Hourly_Analysis!$D$5:$D$28,$J738+1),0),IF(INDEX(Hourly_Analysis!$G$5:$G$28,$J738+1)&gt;0,($U738-INDEX(Hourly_Analysis!$F$5:$F$28,$J738+1))/INDEX(Hourly_Analysis!$G$5:$G$28,$J738+1),0)),2)</f>
        <v>0.14000000000000001</v>
      </c>
      <c r="AH738" s="23" t="str">
        <f>IF(ABS($AG738)&gt;Lookups!$B$20,IF($AG738&gt;0,"High anomaly","Low anomaly"),"")</f>
        <v/>
      </c>
      <c r="AI738" s="23" t="str">
        <f t="shared" si="70"/>
        <v>OK</v>
      </c>
      <c r="AJ738" s="23" t="str">
        <f t="shared" si="71"/>
        <v>No</v>
      </c>
    </row>
    <row r="739" spans="1:36" x14ac:dyDescent="0.35">
      <c r="A739" s="23">
        <v>738</v>
      </c>
      <c r="B739" s="23" t="str">
        <f t="shared" si="66"/>
        <v>Dataset 3</v>
      </c>
      <c r="C739" s="23">
        <f>IFERROR(MATCH($A739,Merge_1_2!$A$2:$A$611,0),0)</f>
        <v>0</v>
      </c>
      <c r="D739" s="23">
        <f>IF($C739&gt;0,INDEX(Merge_1_2!$Q$2:$Q$611,$C739),0)</f>
        <v>0</v>
      </c>
      <c r="E739" s="23">
        <f>IFERROR(MATCH($A739,Dataset3_Raw!$A$2:$A$391,0),0)</f>
        <v>128</v>
      </c>
      <c r="F739" s="24">
        <f>IF($C739&gt;0,INDEX(Merge_1_2!$B$2:$B$611,$C739),DATE(VALUE(RIGHT(INDEX(Dataset3_Raw!$B$2:$B$391,$E739),4)),VALUE(MID(INDEX(Dataset3_Raw!$B$2:$B$391,$E739),4,2)),VALUE(LEFT(INDEX(Dataset3_Raw!$B$2:$B$391,$E739),2))))</f>
        <v>40577</v>
      </c>
      <c r="G739" s="23">
        <f>IF($C739&gt;0,INDEX(Merge_1_2!$C$2:$C$611,$C739),INDEX(Dataset3_Raw!$C$2:$C$391,$E739))</f>
        <v>1</v>
      </c>
      <c r="H739" s="23">
        <f>IF($C739&gt;0,INDEX(Merge_1_2!$D$2:$D$611,$C739),INDEX(Dataset3_Raw!$D$2:$D$391,$E739))</f>
        <v>0</v>
      </c>
      <c r="I739" s="23">
        <f>IF($C739&gt;0,INDEX(Merge_1_2!$E$2:$E$611,$C739),INDEX(Dataset3_Raw!$E$2:$E$391,$E739))</f>
        <v>2</v>
      </c>
      <c r="J739" s="23">
        <f>IF($C739&gt;0,INDEX(Merge_1_2!$F$2:$F$611,$C739),INDEX(Dataset3_Raw!$F$2:$F$391,$E739))</f>
        <v>2</v>
      </c>
      <c r="K739" s="23" t="b">
        <f>IF($C739&gt;0,INDEX(Merge_1_2!$G$2:$G$611,$C739),INDEX(Dataset3_Raw!$G$2:$G$391,$E739))</f>
        <v>0</v>
      </c>
      <c r="L739" s="23">
        <f>IF($C739&gt;0,INDEX(Merge_1_2!$H$2:$H$611,$C739),INDEX(Dataset3_Raw!$H$2:$H$391,$E739))</f>
        <v>4</v>
      </c>
      <c r="M739" s="23">
        <f>IF($C739&gt;0,INDEX(Merge_1_2!$I$2:$I$611,$C739),INDEX(Dataset3_Raw!$I$2:$I$391,$E739))</f>
        <v>1</v>
      </c>
      <c r="N739" s="25">
        <f>IF($C739&gt;0,INDEX(Merge_1_2!$J$2:$J$611,$C739),INDEX(Dataset3_Raw!$J$2:$J$391,$E739))</f>
        <v>0.18</v>
      </c>
      <c r="O739" s="25">
        <f>IF($C739&gt;0,IF(ISNUMBER(INDEX(Merge_1_2!$K$2:$K$611,$C739)),INDEX(Merge_1_2!$K$2:$K$611,$C739),""),INDEX(Dataset3_Raw!$K$2:$K$391,$E739))</f>
        <v>0.16669999999999999</v>
      </c>
      <c r="P739" s="25">
        <f>IF(ISNUMBER($O739),$O739,ROUND(Lookups!$B$25+Lookups!$B$24*$N739,4))</f>
        <v>0.16669999999999999</v>
      </c>
      <c r="Q739" s="25">
        <f>IF($C739&gt;0,INDEX(Merge_1_2!$L$2:$L$611,$C739),INDEX(Dataset3_Raw!$L$2:$L$391,$E739))</f>
        <v>0.43</v>
      </c>
      <c r="R739" s="25">
        <f>IF($C739&gt;0,INDEX(Merge_1_2!$M$2:$M$611,$C739),INDEX(Dataset3_Raw!$M$2:$M$391,$E739))</f>
        <v>0.25369999999999998</v>
      </c>
      <c r="S739" s="23">
        <f>IF($C739&gt;0,INDEX(Merge_1_2!$N$2:$N$611,$C739),INDEX(Dataset3_Raw!$N$2:$N$391,$E739))</f>
        <v>0</v>
      </c>
      <c r="T739" s="23">
        <f>IF($C739&gt;0,INDEX(Merge_1_2!$O$2:$O$611,$C739),INDEX(Dataset3_Raw!$O$2:$O$391,$E739))</f>
        <v>2</v>
      </c>
      <c r="U739" s="23">
        <f>IF($C739&gt;0,INDEX(Merge_1_2!$P$2:$P$611,$C739),INDEX(Dataset3_Raw!$P$2:$P$391,$E739))</f>
        <v>2</v>
      </c>
      <c r="V739" s="23" t="str">
        <f t="shared" si="67"/>
        <v>Weekday</v>
      </c>
      <c r="W739" s="23" t="str">
        <f>VLOOKUP($M739,Lookups!$A$5:$B$8,2,FALSE())</f>
        <v>Clear / Partly cloudy</v>
      </c>
      <c r="X739" s="23" t="str">
        <f>VLOOKUP($G739,Lookups!$D$5:$E$8,2,FALSE())</f>
        <v>Winter</v>
      </c>
      <c r="Y739" s="23" t="str">
        <f>VLOOKUP($L739,Lookups!$G$5:$H$11,2,FALSE())</f>
        <v>Thursday</v>
      </c>
      <c r="Z739" s="23" t="str">
        <f>IF($J739&lt;Lookups!$B$26,"Night",IF($J739&lt;Lookups!$B$27,"Morning",IF($J739&lt;Lookups!$B$28,"Afternoon","Evening")))</f>
        <v>Night</v>
      </c>
      <c r="AA739" s="26">
        <f>ROUND($N739*(Lookups!$B$16-Lookups!$B$15)+Lookups!$B$15,1)</f>
        <v>0.5</v>
      </c>
      <c r="AB739" s="26">
        <f>ROUND($P739*(Lookups!$B$18-Lookups!$B$17)+Lookups!$B$17,1)</f>
        <v>-5</v>
      </c>
      <c r="AC739" s="23">
        <f t="shared" si="68"/>
        <v>43</v>
      </c>
      <c r="AD739" s="23">
        <f>ROUND($R739*Lookups!$B$19,1)</f>
        <v>17</v>
      </c>
      <c r="AE739" s="27">
        <f t="shared" si="69"/>
        <v>1</v>
      </c>
      <c r="AF739" s="23" t="str">
        <f>IF($U739&gt;=Lookups!$B$23,"High",IF($U739&gt;=Lookups!$B$22,"Medium","Low"))</f>
        <v>Low</v>
      </c>
      <c r="AG739" s="23">
        <f>ROUND(IF($V739="Weekday",IF(INDEX(Hourly_Analysis!$D$5:$D$28,$J739+1)&gt;0,($U739-INDEX(Hourly_Analysis!$C$5:$C$28,$J739+1))/INDEX(Hourly_Analysis!$D$5:$D$28,$J739+1),0),IF(INDEX(Hourly_Analysis!$G$5:$G$28,$J739+1)&gt;0,($U739-INDEX(Hourly_Analysis!$F$5:$F$28,$J739+1))/INDEX(Hourly_Analysis!$G$5:$G$28,$J739+1),0)),2)</f>
        <v>-0.24</v>
      </c>
      <c r="AH739" s="23" t="str">
        <f>IF(ABS($AG739)&gt;Lookups!$B$20,IF($AG739&gt;0,"High anomaly","Low anomaly"),"")</f>
        <v/>
      </c>
      <c r="AI739" s="23" t="str">
        <f t="shared" si="70"/>
        <v>OK</v>
      </c>
      <c r="AJ739" s="23" t="str">
        <f t="shared" si="71"/>
        <v>No</v>
      </c>
    </row>
    <row r="740" spans="1:36" x14ac:dyDescent="0.35">
      <c r="A740" s="23">
        <v>739</v>
      </c>
      <c r="B740" s="23" t="str">
        <f t="shared" si="66"/>
        <v>Dataset 3</v>
      </c>
      <c r="C740" s="23">
        <f>IFERROR(MATCH($A740,Merge_1_2!$A$2:$A$611,0),0)</f>
        <v>0</v>
      </c>
      <c r="D740" s="23">
        <f>IF($C740&gt;0,INDEX(Merge_1_2!$Q$2:$Q$611,$C740),0)</f>
        <v>0</v>
      </c>
      <c r="E740" s="23">
        <f>IFERROR(MATCH($A740,Dataset3_Raw!$A$2:$A$391,0),0)</f>
        <v>129</v>
      </c>
      <c r="F740" s="24">
        <f>IF($C740&gt;0,INDEX(Merge_1_2!$B$2:$B$611,$C740),DATE(VALUE(RIGHT(INDEX(Dataset3_Raw!$B$2:$B$391,$E740),4)),VALUE(MID(INDEX(Dataset3_Raw!$B$2:$B$391,$E740),4,2)),VALUE(LEFT(INDEX(Dataset3_Raw!$B$2:$B$391,$E740),2))))</f>
        <v>40577</v>
      </c>
      <c r="G740" s="23">
        <f>IF($C740&gt;0,INDEX(Merge_1_2!$C$2:$C$611,$C740),INDEX(Dataset3_Raw!$C$2:$C$391,$E740))</f>
        <v>1</v>
      </c>
      <c r="H740" s="23">
        <f>IF($C740&gt;0,INDEX(Merge_1_2!$D$2:$D$611,$C740),INDEX(Dataset3_Raw!$D$2:$D$391,$E740))</f>
        <v>0</v>
      </c>
      <c r="I740" s="23">
        <f>IF($C740&gt;0,INDEX(Merge_1_2!$E$2:$E$611,$C740),INDEX(Dataset3_Raw!$E$2:$E$391,$E740))</f>
        <v>2</v>
      </c>
      <c r="J740" s="23">
        <f>IF($C740&gt;0,INDEX(Merge_1_2!$F$2:$F$611,$C740),INDEX(Dataset3_Raw!$F$2:$F$391,$E740))</f>
        <v>3</v>
      </c>
      <c r="K740" s="23" t="b">
        <f>IF($C740&gt;0,INDEX(Merge_1_2!$G$2:$G$611,$C740),INDEX(Dataset3_Raw!$G$2:$G$391,$E740))</f>
        <v>0</v>
      </c>
      <c r="L740" s="23">
        <f>IF($C740&gt;0,INDEX(Merge_1_2!$H$2:$H$611,$C740),INDEX(Dataset3_Raw!$H$2:$H$391,$E740))</f>
        <v>4</v>
      </c>
      <c r="M740" s="23">
        <f>IF($C740&gt;0,INDEX(Merge_1_2!$I$2:$I$611,$C740),INDEX(Dataset3_Raw!$I$2:$I$391,$E740))</f>
        <v>1</v>
      </c>
      <c r="N740" s="25">
        <f>IF($C740&gt;0,INDEX(Merge_1_2!$J$2:$J$611,$C740),INDEX(Dataset3_Raw!$J$2:$J$391,$E740))</f>
        <v>0.18</v>
      </c>
      <c r="O740" s="25">
        <f>IF($C740&gt;0,IF(ISNUMBER(INDEX(Merge_1_2!$K$2:$K$611,$C740)),INDEX(Merge_1_2!$K$2:$K$611,$C740),""),INDEX(Dataset3_Raw!$K$2:$K$391,$E740))</f>
        <v>0.16669999999999999</v>
      </c>
      <c r="P740" s="25">
        <f>IF(ISNUMBER($O740),$O740,ROUND(Lookups!$B$25+Lookups!$B$24*$N740,4))</f>
        <v>0.16669999999999999</v>
      </c>
      <c r="Q740" s="25">
        <f>IF($C740&gt;0,INDEX(Merge_1_2!$L$2:$L$611,$C740),INDEX(Dataset3_Raw!$L$2:$L$391,$E740))</f>
        <v>0.43</v>
      </c>
      <c r="R740" s="25">
        <f>IF($C740&gt;0,INDEX(Merge_1_2!$M$2:$M$611,$C740),INDEX(Dataset3_Raw!$M$2:$M$391,$E740))</f>
        <v>0.25369999999999998</v>
      </c>
      <c r="S740" s="23">
        <f>IF($C740&gt;0,INDEX(Merge_1_2!$N$2:$N$611,$C740),INDEX(Dataset3_Raw!$N$2:$N$391,$E740))</f>
        <v>0</v>
      </c>
      <c r="T740" s="23">
        <f>IF($C740&gt;0,INDEX(Merge_1_2!$O$2:$O$611,$C740),INDEX(Dataset3_Raw!$O$2:$O$391,$E740))</f>
        <v>1</v>
      </c>
      <c r="U740" s="23">
        <f>IF($C740&gt;0,INDEX(Merge_1_2!$P$2:$P$611,$C740),INDEX(Dataset3_Raw!$P$2:$P$391,$E740))</f>
        <v>1</v>
      </c>
      <c r="V740" s="23" t="str">
        <f t="shared" si="67"/>
        <v>Weekday</v>
      </c>
      <c r="W740" s="23" t="str">
        <f>VLOOKUP($M740,Lookups!$A$5:$B$8,2,FALSE())</f>
        <v>Clear / Partly cloudy</v>
      </c>
      <c r="X740" s="23" t="str">
        <f>VLOOKUP($G740,Lookups!$D$5:$E$8,2,FALSE())</f>
        <v>Winter</v>
      </c>
      <c r="Y740" s="23" t="str">
        <f>VLOOKUP($L740,Lookups!$G$5:$H$11,2,FALSE())</f>
        <v>Thursday</v>
      </c>
      <c r="Z740" s="23" t="str">
        <f>IF($J740&lt;Lookups!$B$26,"Night",IF($J740&lt;Lookups!$B$27,"Morning",IF($J740&lt;Lookups!$B$28,"Afternoon","Evening")))</f>
        <v>Night</v>
      </c>
      <c r="AA740" s="26">
        <f>ROUND($N740*(Lookups!$B$16-Lookups!$B$15)+Lookups!$B$15,1)</f>
        <v>0.5</v>
      </c>
      <c r="AB740" s="26">
        <f>ROUND($P740*(Lookups!$B$18-Lookups!$B$17)+Lookups!$B$17,1)</f>
        <v>-5</v>
      </c>
      <c r="AC740" s="23">
        <f t="shared" si="68"/>
        <v>43</v>
      </c>
      <c r="AD740" s="23">
        <f>ROUND($R740*Lookups!$B$19,1)</f>
        <v>17</v>
      </c>
      <c r="AE740" s="27">
        <f t="shared" si="69"/>
        <v>1</v>
      </c>
      <c r="AF740" s="23" t="str">
        <f>IF($U740&gt;=Lookups!$B$23,"High",IF($U740&gt;=Lookups!$B$22,"Medium","Low"))</f>
        <v>Low</v>
      </c>
      <c r="AG740" s="23">
        <f>ROUND(IF($V740="Weekday",IF(INDEX(Hourly_Analysis!$D$5:$D$28,$J740+1)&gt;0,($U740-INDEX(Hourly_Analysis!$C$5:$C$28,$J740+1))/INDEX(Hourly_Analysis!$D$5:$D$28,$J740+1),0),IF(INDEX(Hourly_Analysis!$G$5:$G$28,$J740+1)&gt;0,($U740-INDEX(Hourly_Analysis!$F$5:$F$28,$J740+1))/INDEX(Hourly_Analysis!$G$5:$G$28,$J740+1),0)),2)</f>
        <v>-0.61</v>
      </c>
      <c r="AH740" s="23" t="str">
        <f>IF(ABS($AG740)&gt;Lookups!$B$20,IF($AG740&gt;0,"High anomaly","Low anomaly"),"")</f>
        <v/>
      </c>
      <c r="AI740" s="23" t="str">
        <f t="shared" si="70"/>
        <v>OK</v>
      </c>
      <c r="AJ740" s="23" t="str">
        <f t="shared" si="71"/>
        <v>No</v>
      </c>
    </row>
    <row r="741" spans="1:36" x14ac:dyDescent="0.35">
      <c r="A741" s="23">
        <v>740</v>
      </c>
      <c r="B741" s="23" t="str">
        <f t="shared" si="66"/>
        <v>Dataset 3</v>
      </c>
      <c r="C741" s="23">
        <f>IFERROR(MATCH($A741,Merge_1_2!$A$2:$A$611,0),0)</f>
        <v>0</v>
      </c>
      <c r="D741" s="23">
        <f>IF($C741&gt;0,INDEX(Merge_1_2!$Q$2:$Q$611,$C741),0)</f>
        <v>0</v>
      </c>
      <c r="E741" s="23">
        <f>IFERROR(MATCH($A741,Dataset3_Raw!$A$2:$A$391,0),0)</f>
        <v>130</v>
      </c>
      <c r="F741" s="24">
        <f>IF($C741&gt;0,INDEX(Merge_1_2!$B$2:$B$611,$C741),DATE(VALUE(RIGHT(INDEX(Dataset3_Raw!$B$2:$B$391,$E741),4)),VALUE(MID(INDEX(Dataset3_Raw!$B$2:$B$391,$E741),4,2)),VALUE(LEFT(INDEX(Dataset3_Raw!$B$2:$B$391,$E741),2))))</f>
        <v>40577</v>
      </c>
      <c r="G741" s="23">
        <f>IF($C741&gt;0,INDEX(Merge_1_2!$C$2:$C$611,$C741),INDEX(Dataset3_Raw!$C$2:$C$391,$E741))</f>
        <v>1</v>
      </c>
      <c r="H741" s="23">
        <f>IF($C741&gt;0,INDEX(Merge_1_2!$D$2:$D$611,$C741),INDEX(Dataset3_Raw!$D$2:$D$391,$E741))</f>
        <v>0</v>
      </c>
      <c r="I741" s="23">
        <f>IF($C741&gt;0,INDEX(Merge_1_2!$E$2:$E$611,$C741),INDEX(Dataset3_Raw!$E$2:$E$391,$E741))</f>
        <v>2</v>
      </c>
      <c r="J741" s="23">
        <f>IF($C741&gt;0,INDEX(Merge_1_2!$F$2:$F$611,$C741),INDEX(Dataset3_Raw!$F$2:$F$391,$E741))</f>
        <v>5</v>
      </c>
      <c r="K741" s="23" t="b">
        <f>IF($C741&gt;0,INDEX(Merge_1_2!$G$2:$G$611,$C741),INDEX(Dataset3_Raw!$G$2:$G$391,$E741))</f>
        <v>0</v>
      </c>
      <c r="L741" s="23">
        <f>IF($C741&gt;0,INDEX(Merge_1_2!$H$2:$H$611,$C741),INDEX(Dataset3_Raw!$H$2:$H$391,$E741))</f>
        <v>4</v>
      </c>
      <c r="M741" s="23">
        <f>IF($C741&gt;0,INDEX(Merge_1_2!$I$2:$I$611,$C741),INDEX(Dataset3_Raw!$I$2:$I$391,$E741))</f>
        <v>1</v>
      </c>
      <c r="N741" s="25">
        <f>IF($C741&gt;0,INDEX(Merge_1_2!$J$2:$J$611,$C741),INDEX(Dataset3_Raw!$J$2:$J$391,$E741))</f>
        <v>0.16</v>
      </c>
      <c r="O741" s="25">
        <f>IF($C741&gt;0,IF(ISNUMBER(INDEX(Merge_1_2!$K$2:$K$611,$C741)),INDEX(Merge_1_2!$K$2:$K$611,$C741),""),INDEX(Dataset3_Raw!$K$2:$K$391,$E741))</f>
        <v>0.13639999999999999</v>
      </c>
      <c r="P741" s="25">
        <f>IF(ISNUMBER($O741),$O741,ROUND(Lookups!$B$25+Lookups!$B$24*$N741,4))</f>
        <v>0.13639999999999999</v>
      </c>
      <c r="Q741" s="25">
        <f>IF($C741&gt;0,INDEX(Merge_1_2!$L$2:$L$611,$C741),INDEX(Dataset3_Raw!$L$2:$L$391,$E741))</f>
        <v>0.5</v>
      </c>
      <c r="R741" s="25">
        <f>IF($C741&gt;0,INDEX(Merge_1_2!$M$2:$M$611,$C741),INDEX(Dataset3_Raw!$M$2:$M$391,$E741))</f>
        <v>0.29849999999999999</v>
      </c>
      <c r="S741" s="23">
        <f>IF($C741&gt;0,INDEX(Merge_1_2!$N$2:$N$611,$C741),INDEX(Dataset3_Raw!$N$2:$N$391,$E741))</f>
        <v>0</v>
      </c>
      <c r="T741" s="23">
        <f>IF($C741&gt;0,INDEX(Merge_1_2!$O$2:$O$611,$C741),INDEX(Dataset3_Raw!$O$2:$O$391,$E741))</f>
        <v>2</v>
      </c>
      <c r="U741" s="23">
        <f>IF($C741&gt;0,INDEX(Merge_1_2!$P$2:$P$611,$C741),INDEX(Dataset3_Raw!$P$2:$P$391,$E741))</f>
        <v>2</v>
      </c>
      <c r="V741" s="23" t="str">
        <f t="shared" si="67"/>
        <v>Weekday</v>
      </c>
      <c r="W741" s="23" t="str">
        <f>VLOOKUP($M741,Lookups!$A$5:$B$8,2,FALSE())</f>
        <v>Clear / Partly cloudy</v>
      </c>
      <c r="X741" s="23" t="str">
        <f>VLOOKUP($G741,Lookups!$D$5:$E$8,2,FALSE())</f>
        <v>Winter</v>
      </c>
      <c r="Y741" s="23" t="str">
        <f>VLOOKUP($L741,Lookups!$G$5:$H$11,2,FALSE())</f>
        <v>Thursday</v>
      </c>
      <c r="Z741" s="23" t="str">
        <f>IF($J741&lt;Lookups!$B$26,"Night",IF($J741&lt;Lookups!$B$27,"Morning",IF($J741&lt;Lookups!$B$28,"Afternoon","Evening")))</f>
        <v>Night</v>
      </c>
      <c r="AA741" s="26">
        <f>ROUND($N741*(Lookups!$B$16-Lookups!$B$15)+Lookups!$B$15,1)</f>
        <v>-0.5</v>
      </c>
      <c r="AB741" s="26">
        <f>ROUND($P741*(Lookups!$B$18-Lookups!$B$17)+Lookups!$B$17,1)</f>
        <v>-7</v>
      </c>
      <c r="AC741" s="23">
        <f t="shared" si="68"/>
        <v>50</v>
      </c>
      <c r="AD741" s="23">
        <f>ROUND($R741*Lookups!$B$19,1)</f>
        <v>20</v>
      </c>
      <c r="AE741" s="27">
        <f t="shared" si="69"/>
        <v>1</v>
      </c>
      <c r="AF741" s="23" t="str">
        <f>IF($U741&gt;=Lookups!$B$23,"High",IF($U741&gt;=Lookups!$B$22,"Medium","Low"))</f>
        <v>Low</v>
      </c>
      <c r="AG741" s="23">
        <f>ROUND(IF($V741="Weekday",IF(INDEX(Hourly_Analysis!$D$5:$D$28,$J741+1)&gt;0,($U741-INDEX(Hourly_Analysis!$C$5:$C$28,$J741+1))/INDEX(Hourly_Analysis!$D$5:$D$28,$J741+1),0),IF(INDEX(Hourly_Analysis!$G$5:$G$28,$J741+1)&gt;0,($U741-INDEX(Hourly_Analysis!$F$5:$F$28,$J741+1))/INDEX(Hourly_Analysis!$G$5:$G$28,$J741+1),0)),2)</f>
        <v>-1.26</v>
      </c>
      <c r="AH741" s="23" t="str">
        <f>IF(ABS($AG741)&gt;Lookups!$B$20,IF($AG741&gt;0,"High anomaly","Low anomaly"),"")</f>
        <v/>
      </c>
      <c r="AI741" s="23" t="str">
        <f t="shared" si="70"/>
        <v>OK</v>
      </c>
      <c r="AJ741" s="23" t="str">
        <f t="shared" si="71"/>
        <v>No</v>
      </c>
    </row>
    <row r="742" spans="1:36" x14ac:dyDescent="0.35">
      <c r="A742" s="23">
        <v>741</v>
      </c>
      <c r="B742" s="23" t="str">
        <f t="shared" si="66"/>
        <v>Dataset 3</v>
      </c>
      <c r="C742" s="23">
        <f>IFERROR(MATCH($A742,Merge_1_2!$A$2:$A$611,0),0)</f>
        <v>0</v>
      </c>
      <c r="D742" s="23">
        <f>IF($C742&gt;0,INDEX(Merge_1_2!$Q$2:$Q$611,$C742),0)</f>
        <v>0</v>
      </c>
      <c r="E742" s="23">
        <f>IFERROR(MATCH($A742,Dataset3_Raw!$A$2:$A$391,0),0)</f>
        <v>131</v>
      </c>
      <c r="F742" s="24">
        <f>IF($C742&gt;0,INDEX(Merge_1_2!$B$2:$B$611,$C742),DATE(VALUE(RIGHT(INDEX(Dataset3_Raw!$B$2:$B$391,$E742),4)),VALUE(MID(INDEX(Dataset3_Raw!$B$2:$B$391,$E742),4,2)),VALUE(LEFT(INDEX(Dataset3_Raw!$B$2:$B$391,$E742),2))))</f>
        <v>40577</v>
      </c>
      <c r="G742" s="23">
        <f>IF($C742&gt;0,INDEX(Merge_1_2!$C$2:$C$611,$C742),INDEX(Dataset3_Raw!$C$2:$C$391,$E742))</f>
        <v>1</v>
      </c>
      <c r="H742" s="23">
        <f>IF($C742&gt;0,INDEX(Merge_1_2!$D$2:$D$611,$C742),INDEX(Dataset3_Raw!$D$2:$D$391,$E742))</f>
        <v>0</v>
      </c>
      <c r="I742" s="23">
        <f>IF($C742&gt;0,INDEX(Merge_1_2!$E$2:$E$611,$C742),INDEX(Dataset3_Raw!$E$2:$E$391,$E742))</f>
        <v>2</v>
      </c>
      <c r="J742" s="23">
        <f>IF($C742&gt;0,INDEX(Merge_1_2!$F$2:$F$611,$C742),INDEX(Dataset3_Raw!$F$2:$F$391,$E742))</f>
        <v>6</v>
      </c>
      <c r="K742" s="23" t="b">
        <f>IF($C742&gt;0,INDEX(Merge_1_2!$G$2:$G$611,$C742),INDEX(Dataset3_Raw!$G$2:$G$391,$E742))</f>
        <v>0</v>
      </c>
      <c r="L742" s="23">
        <f>IF($C742&gt;0,INDEX(Merge_1_2!$H$2:$H$611,$C742),INDEX(Dataset3_Raw!$H$2:$H$391,$E742))</f>
        <v>4</v>
      </c>
      <c r="M742" s="23">
        <f>IF($C742&gt;0,INDEX(Merge_1_2!$I$2:$I$611,$C742),INDEX(Dataset3_Raw!$I$2:$I$391,$E742))</f>
        <v>1</v>
      </c>
      <c r="N742" s="25">
        <f>IF($C742&gt;0,INDEX(Merge_1_2!$J$2:$J$611,$C742),INDEX(Dataset3_Raw!$J$2:$J$391,$E742))</f>
        <v>0.16</v>
      </c>
      <c r="O742" s="25">
        <f>IF($C742&gt;0,IF(ISNUMBER(INDEX(Merge_1_2!$K$2:$K$611,$C742)),INDEX(Merge_1_2!$K$2:$K$611,$C742),""),INDEX(Dataset3_Raw!$K$2:$K$391,$E742))</f>
        <v>0.13639999999999999</v>
      </c>
      <c r="P742" s="25">
        <f>IF(ISNUMBER($O742),$O742,ROUND(Lookups!$B$25+Lookups!$B$24*$N742,4))</f>
        <v>0.13639999999999999</v>
      </c>
      <c r="Q742" s="25">
        <f>IF($C742&gt;0,INDEX(Merge_1_2!$L$2:$L$611,$C742),INDEX(Dataset3_Raw!$L$2:$L$391,$E742))</f>
        <v>0.43</v>
      </c>
      <c r="R742" s="25">
        <f>IF($C742&gt;0,INDEX(Merge_1_2!$M$2:$M$611,$C742),INDEX(Dataset3_Raw!$M$2:$M$391,$E742))</f>
        <v>0.35820000000000002</v>
      </c>
      <c r="S742" s="23">
        <f>IF($C742&gt;0,INDEX(Merge_1_2!$N$2:$N$611,$C742),INDEX(Dataset3_Raw!$N$2:$N$391,$E742))</f>
        <v>0</v>
      </c>
      <c r="T742" s="23">
        <f>IF($C742&gt;0,INDEX(Merge_1_2!$O$2:$O$611,$C742),INDEX(Dataset3_Raw!$O$2:$O$391,$E742))</f>
        <v>39</v>
      </c>
      <c r="U742" s="23">
        <f>IF($C742&gt;0,INDEX(Merge_1_2!$P$2:$P$611,$C742),INDEX(Dataset3_Raw!$P$2:$P$391,$E742))</f>
        <v>39</v>
      </c>
      <c r="V742" s="23" t="str">
        <f t="shared" si="67"/>
        <v>Weekday</v>
      </c>
      <c r="W742" s="23" t="str">
        <f>VLOOKUP($M742,Lookups!$A$5:$B$8,2,FALSE())</f>
        <v>Clear / Partly cloudy</v>
      </c>
      <c r="X742" s="23" t="str">
        <f>VLOOKUP($G742,Lookups!$D$5:$E$8,2,FALSE())</f>
        <v>Winter</v>
      </c>
      <c r="Y742" s="23" t="str">
        <f>VLOOKUP($L742,Lookups!$G$5:$H$11,2,FALSE())</f>
        <v>Thursday</v>
      </c>
      <c r="Z742" s="23" t="str">
        <f>IF($J742&lt;Lookups!$B$26,"Night",IF($J742&lt;Lookups!$B$27,"Morning",IF($J742&lt;Lookups!$B$28,"Afternoon","Evening")))</f>
        <v>Morning</v>
      </c>
      <c r="AA742" s="26">
        <f>ROUND($N742*(Lookups!$B$16-Lookups!$B$15)+Lookups!$B$15,1)</f>
        <v>-0.5</v>
      </c>
      <c r="AB742" s="26">
        <f>ROUND($P742*(Lookups!$B$18-Lookups!$B$17)+Lookups!$B$17,1)</f>
        <v>-7</v>
      </c>
      <c r="AC742" s="23">
        <f t="shared" si="68"/>
        <v>43</v>
      </c>
      <c r="AD742" s="23">
        <f>ROUND($R742*Lookups!$B$19,1)</f>
        <v>24</v>
      </c>
      <c r="AE742" s="27">
        <f t="shared" si="69"/>
        <v>1</v>
      </c>
      <c r="AF742" s="23" t="str">
        <f>IF($U742&gt;=Lookups!$B$23,"High",IF($U742&gt;=Lookups!$B$22,"Medium","Low"))</f>
        <v>Medium</v>
      </c>
      <c r="AG742" s="23">
        <f>ROUND(IF($V742="Weekday",IF(INDEX(Hourly_Analysis!$D$5:$D$28,$J742+1)&gt;0,($U742-INDEX(Hourly_Analysis!$C$5:$C$28,$J742+1))/INDEX(Hourly_Analysis!$D$5:$D$28,$J742+1),0),IF(INDEX(Hourly_Analysis!$G$5:$G$28,$J742+1)&gt;0,($U742-INDEX(Hourly_Analysis!$F$5:$F$28,$J742+1))/INDEX(Hourly_Analysis!$G$5:$G$28,$J742+1),0)),2)</f>
        <v>1.25</v>
      </c>
      <c r="AH742" s="23" t="str">
        <f>IF(ABS($AG742)&gt;Lookups!$B$20,IF($AG742&gt;0,"High anomaly","Low anomaly"),"")</f>
        <v/>
      </c>
      <c r="AI742" s="23" t="str">
        <f t="shared" si="70"/>
        <v>OK</v>
      </c>
      <c r="AJ742" s="23" t="str">
        <f t="shared" si="71"/>
        <v>No</v>
      </c>
    </row>
    <row r="743" spans="1:36" x14ac:dyDescent="0.35">
      <c r="A743" s="23">
        <v>742</v>
      </c>
      <c r="B743" s="23" t="str">
        <f t="shared" si="66"/>
        <v>Dataset 3</v>
      </c>
      <c r="C743" s="23">
        <f>IFERROR(MATCH($A743,Merge_1_2!$A$2:$A$611,0),0)</f>
        <v>0</v>
      </c>
      <c r="D743" s="23">
        <f>IF($C743&gt;0,INDEX(Merge_1_2!$Q$2:$Q$611,$C743),0)</f>
        <v>0</v>
      </c>
      <c r="E743" s="23">
        <f>IFERROR(MATCH($A743,Dataset3_Raw!$A$2:$A$391,0),0)</f>
        <v>132</v>
      </c>
      <c r="F743" s="24">
        <f>IF($C743&gt;0,INDEX(Merge_1_2!$B$2:$B$611,$C743),DATE(VALUE(RIGHT(INDEX(Dataset3_Raw!$B$2:$B$391,$E743),4)),VALUE(MID(INDEX(Dataset3_Raw!$B$2:$B$391,$E743),4,2)),VALUE(LEFT(INDEX(Dataset3_Raw!$B$2:$B$391,$E743),2))))</f>
        <v>40577</v>
      </c>
      <c r="G743" s="23">
        <f>IF($C743&gt;0,INDEX(Merge_1_2!$C$2:$C$611,$C743),INDEX(Dataset3_Raw!$C$2:$C$391,$E743))</f>
        <v>1</v>
      </c>
      <c r="H743" s="23">
        <f>IF($C743&gt;0,INDEX(Merge_1_2!$D$2:$D$611,$C743),INDEX(Dataset3_Raw!$D$2:$D$391,$E743))</f>
        <v>0</v>
      </c>
      <c r="I743" s="23">
        <f>IF($C743&gt;0,INDEX(Merge_1_2!$E$2:$E$611,$C743),INDEX(Dataset3_Raw!$E$2:$E$391,$E743))</f>
        <v>2</v>
      </c>
      <c r="J743" s="23">
        <f>IF($C743&gt;0,INDEX(Merge_1_2!$F$2:$F$611,$C743),INDEX(Dataset3_Raw!$F$2:$F$391,$E743))</f>
        <v>7</v>
      </c>
      <c r="K743" s="23" t="b">
        <f>IF($C743&gt;0,INDEX(Merge_1_2!$G$2:$G$611,$C743),INDEX(Dataset3_Raw!$G$2:$G$391,$E743))</f>
        <v>0</v>
      </c>
      <c r="L743" s="23">
        <f>IF($C743&gt;0,INDEX(Merge_1_2!$H$2:$H$611,$C743),INDEX(Dataset3_Raw!$H$2:$H$391,$E743))</f>
        <v>4</v>
      </c>
      <c r="M743" s="23">
        <f>IF($C743&gt;0,INDEX(Merge_1_2!$I$2:$I$611,$C743),INDEX(Dataset3_Raw!$I$2:$I$391,$E743))</f>
        <v>1</v>
      </c>
      <c r="N743" s="25">
        <f>IF($C743&gt;0,INDEX(Merge_1_2!$J$2:$J$611,$C743),INDEX(Dataset3_Raw!$J$2:$J$391,$E743))</f>
        <v>0.14000000000000001</v>
      </c>
      <c r="O743" s="25">
        <f>IF($C743&gt;0,IF(ISNUMBER(INDEX(Merge_1_2!$K$2:$K$611,$C743)),INDEX(Merge_1_2!$K$2:$K$611,$C743),""),INDEX(Dataset3_Raw!$K$2:$K$391,$E743))</f>
        <v>0.1212</v>
      </c>
      <c r="P743" s="25">
        <f>IF(ISNUMBER($O743),$O743,ROUND(Lookups!$B$25+Lookups!$B$24*$N743,4))</f>
        <v>0.1212</v>
      </c>
      <c r="Q743" s="25">
        <f>IF($C743&gt;0,INDEX(Merge_1_2!$L$2:$L$611,$C743),INDEX(Dataset3_Raw!$L$2:$L$391,$E743))</f>
        <v>0.5</v>
      </c>
      <c r="R743" s="25">
        <f>IF($C743&gt;0,INDEX(Merge_1_2!$M$2:$M$611,$C743),INDEX(Dataset3_Raw!$M$2:$M$391,$E743))</f>
        <v>0.32840000000000003</v>
      </c>
      <c r="S743" s="23">
        <f>IF($C743&gt;0,INDEX(Merge_1_2!$N$2:$N$611,$C743),INDEX(Dataset3_Raw!$N$2:$N$391,$E743))</f>
        <v>1</v>
      </c>
      <c r="T743" s="23">
        <f>IF($C743&gt;0,INDEX(Merge_1_2!$O$2:$O$611,$C743),INDEX(Dataset3_Raw!$O$2:$O$391,$E743))</f>
        <v>86</v>
      </c>
      <c r="U743" s="23">
        <f>IF($C743&gt;0,INDEX(Merge_1_2!$P$2:$P$611,$C743),INDEX(Dataset3_Raw!$P$2:$P$391,$E743))</f>
        <v>87</v>
      </c>
      <c r="V743" s="23" t="str">
        <f t="shared" si="67"/>
        <v>Weekday</v>
      </c>
      <c r="W743" s="23" t="str">
        <f>VLOOKUP($M743,Lookups!$A$5:$B$8,2,FALSE())</f>
        <v>Clear / Partly cloudy</v>
      </c>
      <c r="X743" s="23" t="str">
        <f>VLOOKUP($G743,Lookups!$D$5:$E$8,2,FALSE())</f>
        <v>Winter</v>
      </c>
      <c r="Y743" s="23" t="str">
        <f>VLOOKUP($L743,Lookups!$G$5:$H$11,2,FALSE())</f>
        <v>Thursday</v>
      </c>
      <c r="Z743" s="23" t="str">
        <f>IF($J743&lt;Lookups!$B$26,"Night",IF($J743&lt;Lookups!$B$27,"Morning",IF($J743&lt;Lookups!$B$28,"Afternoon","Evening")))</f>
        <v>Morning</v>
      </c>
      <c r="AA743" s="26">
        <f>ROUND($N743*(Lookups!$B$16-Lookups!$B$15)+Lookups!$B$15,1)</f>
        <v>-1.4</v>
      </c>
      <c r="AB743" s="26">
        <f>ROUND($P743*(Lookups!$B$18-Lookups!$B$17)+Lookups!$B$17,1)</f>
        <v>-8</v>
      </c>
      <c r="AC743" s="23">
        <f t="shared" si="68"/>
        <v>50</v>
      </c>
      <c r="AD743" s="23">
        <f>ROUND($R743*Lookups!$B$19,1)</f>
        <v>22</v>
      </c>
      <c r="AE743" s="27">
        <f t="shared" si="69"/>
        <v>0.9885057471264368</v>
      </c>
      <c r="AF743" s="23" t="str">
        <f>IF($U743&gt;=Lookups!$B$23,"High",IF($U743&gt;=Lookups!$B$22,"Medium","Low"))</f>
        <v>High</v>
      </c>
      <c r="AG743" s="23">
        <f>ROUND(IF($V743="Weekday",IF(INDEX(Hourly_Analysis!$D$5:$D$28,$J743+1)&gt;0,($U743-INDEX(Hourly_Analysis!$C$5:$C$28,$J743+1))/INDEX(Hourly_Analysis!$D$5:$D$28,$J743+1),0),IF(INDEX(Hourly_Analysis!$G$5:$G$28,$J743+1)&gt;0,($U743-INDEX(Hourly_Analysis!$F$5:$F$28,$J743+1))/INDEX(Hourly_Analysis!$G$5:$G$28,$J743+1),0)),2)</f>
        <v>0.35</v>
      </c>
      <c r="AH743" s="23" t="str">
        <f>IF(ABS($AG743)&gt;Lookups!$B$20,IF($AG743&gt;0,"High anomaly","Low anomaly"),"")</f>
        <v/>
      </c>
      <c r="AI743" s="23" t="str">
        <f t="shared" si="70"/>
        <v>OK</v>
      </c>
      <c r="AJ743" s="23" t="str">
        <f t="shared" si="71"/>
        <v>No</v>
      </c>
    </row>
    <row r="744" spans="1:36" x14ac:dyDescent="0.35">
      <c r="A744" s="23">
        <v>743</v>
      </c>
      <c r="B744" s="23" t="str">
        <f t="shared" si="66"/>
        <v>Dataset 3</v>
      </c>
      <c r="C744" s="23">
        <f>IFERROR(MATCH($A744,Merge_1_2!$A$2:$A$611,0),0)</f>
        <v>0</v>
      </c>
      <c r="D744" s="23">
        <f>IF($C744&gt;0,INDEX(Merge_1_2!$Q$2:$Q$611,$C744),0)</f>
        <v>0</v>
      </c>
      <c r="E744" s="23">
        <f>IFERROR(MATCH($A744,Dataset3_Raw!$A$2:$A$391,0),0)</f>
        <v>133</v>
      </c>
      <c r="F744" s="24">
        <f>IF($C744&gt;0,INDEX(Merge_1_2!$B$2:$B$611,$C744),DATE(VALUE(RIGHT(INDEX(Dataset3_Raw!$B$2:$B$391,$E744),4)),VALUE(MID(INDEX(Dataset3_Raw!$B$2:$B$391,$E744),4,2)),VALUE(LEFT(INDEX(Dataset3_Raw!$B$2:$B$391,$E744),2))))</f>
        <v>40577</v>
      </c>
      <c r="G744" s="23">
        <f>IF($C744&gt;0,INDEX(Merge_1_2!$C$2:$C$611,$C744),INDEX(Dataset3_Raw!$C$2:$C$391,$E744))</f>
        <v>1</v>
      </c>
      <c r="H744" s="23">
        <f>IF($C744&gt;0,INDEX(Merge_1_2!$D$2:$D$611,$C744),INDEX(Dataset3_Raw!$D$2:$D$391,$E744))</f>
        <v>0</v>
      </c>
      <c r="I744" s="23">
        <f>IF($C744&gt;0,INDEX(Merge_1_2!$E$2:$E$611,$C744),INDEX(Dataset3_Raw!$E$2:$E$391,$E744))</f>
        <v>2</v>
      </c>
      <c r="J744" s="23">
        <f>IF($C744&gt;0,INDEX(Merge_1_2!$F$2:$F$611,$C744),INDEX(Dataset3_Raw!$F$2:$F$391,$E744))</f>
        <v>8</v>
      </c>
      <c r="K744" s="23" t="b">
        <f>IF($C744&gt;0,INDEX(Merge_1_2!$G$2:$G$611,$C744),INDEX(Dataset3_Raw!$G$2:$G$391,$E744))</f>
        <v>0</v>
      </c>
      <c r="L744" s="23">
        <f>IF($C744&gt;0,INDEX(Merge_1_2!$H$2:$H$611,$C744),INDEX(Dataset3_Raw!$H$2:$H$391,$E744))</f>
        <v>4</v>
      </c>
      <c r="M744" s="23">
        <f>IF($C744&gt;0,INDEX(Merge_1_2!$I$2:$I$611,$C744),INDEX(Dataset3_Raw!$I$2:$I$391,$E744))</f>
        <v>1</v>
      </c>
      <c r="N744" s="25">
        <f>IF($C744&gt;0,INDEX(Merge_1_2!$J$2:$J$611,$C744),INDEX(Dataset3_Raw!$J$2:$J$391,$E744))</f>
        <v>0.14000000000000001</v>
      </c>
      <c r="O744" s="25">
        <f>IF($C744&gt;0,IF(ISNUMBER(INDEX(Merge_1_2!$K$2:$K$611,$C744)),INDEX(Merge_1_2!$K$2:$K$611,$C744),""),INDEX(Dataset3_Raw!$K$2:$K$391,$E744))</f>
        <v>0.1212</v>
      </c>
      <c r="P744" s="25">
        <f>IF(ISNUMBER($O744),$O744,ROUND(Lookups!$B$25+Lookups!$B$24*$N744,4))</f>
        <v>0.1212</v>
      </c>
      <c r="Q744" s="25">
        <f>IF($C744&gt;0,INDEX(Merge_1_2!$L$2:$L$611,$C744),INDEX(Dataset3_Raw!$L$2:$L$391,$E744))</f>
        <v>0.5</v>
      </c>
      <c r="R744" s="25">
        <f>IF($C744&gt;0,INDEX(Merge_1_2!$M$2:$M$611,$C744),INDEX(Dataset3_Raw!$M$2:$M$391,$E744))</f>
        <v>0.35820000000000002</v>
      </c>
      <c r="S744" s="23">
        <f>IF($C744&gt;0,INDEX(Merge_1_2!$N$2:$N$611,$C744),INDEX(Dataset3_Raw!$N$2:$N$391,$E744))</f>
        <v>4</v>
      </c>
      <c r="T744" s="23">
        <f>IF($C744&gt;0,INDEX(Merge_1_2!$O$2:$O$611,$C744),INDEX(Dataset3_Raw!$O$2:$O$391,$E744))</f>
        <v>184</v>
      </c>
      <c r="U744" s="23">
        <f>IF($C744&gt;0,INDEX(Merge_1_2!$P$2:$P$611,$C744),INDEX(Dataset3_Raw!$P$2:$P$391,$E744))</f>
        <v>188</v>
      </c>
      <c r="V744" s="23" t="str">
        <f t="shared" si="67"/>
        <v>Weekday</v>
      </c>
      <c r="W744" s="23" t="str">
        <f>VLOOKUP($M744,Lookups!$A$5:$B$8,2,FALSE())</f>
        <v>Clear / Partly cloudy</v>
      </c>
      <c r="X744" s="23" t="str">
        <f>VLOOKUP($G744,Lookups!$D$5:$E$8,2,FALSE())</f>
        <v>Winter</v>
      </c>
      <c r="Y744" s="23" t="str">
        <f>VLOOKUP($L744,Lookups!$G$5:$H$11,2,FALSE())</f>
        <v>Thursday</v>
      </c>
      <c r="Z744" s="23" t="str">
        <f>IF($J744&lt;Lookups!$B$26,"Night",IF($J744&lt;Lookups!$B$27,"Morning",IF($J744&lt;Lookups!$B$28,"Afternoon","Evening")))</f>
        <v>Morning</v>
      </c>
      <c r="AA744" s="26">
        <f>ROUND($N744*(Lookups!$B$16-Lookups!$B$15)+Lookups!$B$15,1)</f>
        <v>-1.4</v>
      </c>
      <c r="AB744" s="26">
        <f>ROUND($P744*(Lookups!$B$18-Lookups!$B$17)+Lookups!$B$17,1)</f>
        <v>-8</v>
      </c>
      <c r="AC744" s="23">
        <f t="shared" si="68"/>
        <v>50</v>
      </c>
      <c r="AD744" s="23">
        <f>ROUND($R744*Lookups!$B$19,1)</f>
        <v>24</v>
      </c>
      <c r="AE744" s="27">
        <f t="shared" si="69"/>
        <v>0.97872340425531912</v>
      </c>
      <c r="AF744" s="23" t="str">
        <f>IF($U744&gt;=Lookups!$B$23,"High",IF($U744&gt;=Lookups!$B$22,"Medium","Low"))</f>
        <v>High</v>
      </c>
      <c r="AG744" s="23">
        <f>ROUND(IF($V744="Weekday",IF(INDEX(Hourly_Analysis!$D$5:$D$28,$J744+1)&gt;0,($U744-INDEX(Hourly_Analysis!$C$5:$C$28,$J744+1))/INDEX(Hourly_Analysis!$D$5:$D$28,$J744+1),0),IF(INDEX(Hourly_Analysis!$G$5:$G$28,$J744+1)&gt;0,($U744-INDEX(Hourly_Analysis!$F$5:$F$28,$J744+1))/INDEX(Hourly_Analysis!$G$5:$G$28,$J744+1),0)),2)</f>
        <v>-0.03</v>
      </c>
      <c r="AH744" s="23" t="str">
        <f>IF(ABS($AG744)&gt;Lookups!$B$20,IF($AG744&gt;0,"High anomaly","Low anomaly"),"")</f>
        <v/>
      </c>
      <c r="AI744" s="23" t="str">
        <f t="shared" si="70"/>
        <v>OK</v>
      </c>
      <c r="AJ744" s="23" t="str">
        <f t="shared" si="71"/>
        <v>No</v>
      </c>
    </row>
    <row r="745" spans="1:36" x14ac:dyDescent="0.35">
      <c r="A745" s="23">
        <v>744</v>
      </c>
      <c r="B745" s="23" t="str">
        <f t="shared" si="66"/>
        <v>Dataset 3</v>
      </c>
      <c r="C745" s="23">
        <f>IFERROR(MATCH($A745,Merge_1_2!$A$2:$A$611,0),0)</f>
        <v>0</v>
      </c>
      <c r="D745" s="23">
        <f>IF($C745&gt;0,INDEX(Merge_1_2!$Q$2:$Q$611,$C745),0)</f>
        <v>0</v>
      </c>
      <c r="E745" s="23">
        <f>IFERROR(MATCH($A745,Dataset3_Raw!$A$2:$A$391,0),0)</f>
        <v>134</v>
      </c>
      <c r="F745" s="24">
        <f>IF($C745&gt;0,INDEX(Merge_1_2!$B$2:$B$611,$C745),DATE(VALUE(RIGHT(INDEX(Dataset3_Raw!$B$2:$B$391,$E745),4)),VALUE(MID(INDEX(Dataset3_Raw!$B$2:$B$391,$E745),4,2)),VALUE(LEFT(INDEX(Dataset3_Raw!$B$2:$B$391,$E745),2))))</f>
        <v>40577</v>
      </c>
      <c r="G745" s="23">
        <f>IF($C745&gt;0,INDEX(Merge_1_2!$C$2:$C$611,$C745),INDEX(Dataset3_Raw!$C$2:$C$391,$E745))</f>
        <v>1</v>
      </c>
      <c r="H745" s="23">
        <f>IF($C745&gt;0,INDEX(Merge_1_2!$D$2:$D$611,$C745),INDEX(Dataset3_Raw!$D$2:$D$391,$E745))</f>
        <v>0</v>
      </c>
      <c r="I745" s="23">
        <f>IF($C745&gt;0,INDEX(Merge_1_2!$E$2:$E$611,$C745),INDEX(Dataset3_Raw!$E$2:$E$391,$E745))</f>
        <v>2</v>
      </c>
      <c r="J745" s="23">
        <f>IF($C745&gt;0,INDEX(Merge_1_2!$F$2:$F$611,$C745),INDEX(Dataset3_Raw!$F$2:$F$391,$E745))</f>
        <v>9</v>
      </c>
      <c r="K745" s="23" t="b">
        <f>IF($C745&gt;0,INDEX(Merge_1_2!$G$2:$G$611,$C745),INDEX(Dataset3_Raw!$G$2:$G$391,$E745))</f>
        <v>0</v>
      </c>
      <c r="L745" s="23">
        <f>IF($C745&gt;0,INDEX(Merge_1_2!$H$2:$H$611,$C745),INDEX(Dataset3_Raw!$H$2:$H$391,$E745))</f>
        <v>4</v>
      </c>
      <c r="M745" s="23">
        <f>IF($C745&gt;0,INDEX(Merge_1_2!$I$2:$I$611,$C745),INDEX(Dataset3_Raw!$I$2:$I$391,$E745))</f>
        <v>1</v>
      </c>
      <c r="N745" s="25">
        <f>IF($C745&gt;0,INDEX(Merge_1_2!$J$2:$J$611,$C745),INDEX(Dataset3_Raw!$J$2:$J$391,$E745))</f>
        <v>0.16</v>
      </c>
      <c r="O745" s="25">
        <f>IF($C745&gt;0,IF(ISNUMBER(INDEX(Merge_1_2!$K$2:$K$611,$C745)),INDEX(Merge_1_2!$K$2:$K$611,$C745),""),INDEX(Dataset3_Raw!$K$2:$K$391,$E745))</f>
        <v>0.13639999999999999</v>
      </c>
      <c r="P745" s="25">
        <f>IF(ISNUMBER($O745),$O745,ROUND(Lookups!$B$25+Lookups!$B$24*$N745,4))</f>
        <v>0.13639999999999999</v>
      </c>
      <c r="Q745" s="25">
        <f>IF($C745&gt;0,INDEX(Merge_1_2!$L$2:$L$611,$C745),INDEX(Dataset3_Raw!$L$2:$L$391,$E745))</f>
        <v>0.47</v>
      </c>
      <c r="R745" s="25">
        <f>IF($C745&gt;0,INDEX(Merge_1_2!$M$2:$M$611,$C745),INDEX(Dataset3_Raw!$M$2:$M$391,$E745))</f>
        <v>0.29849999999999999</v>
      </c>
      <c r="S745" s="23">
        <f>IF($C745&gt;0,INDEX(Merge_1_2!$N$2:$N$611,$C745),INDEX(Dataset3_Raw!$N$2:$N$391,$E745))</f>
        <v>6</v>
      </c>
      <c r="T745" s="23">
        <f>IF($C745&gt;0,INDEX(Merge_1_2!$O$2:$O$611,$C745),INDEX(Dataset3_Raw!$O$2:$O$391,$E745))</f>
        <v>127</v>
      </c>
      <c r="U745" s="23">
        <f>IF($C745&gt;0,INDEX(Merge_1_2!$P$2:$P$611,$C745),INDEX(Dataset3_Raw!$P$2:$P$391,$E745))</f>
        <v>133</v>
      </c>
      <c r="V745" s="23" t="str">
        <f t="shared" si="67"/>
        <v>Weekday</v>
      </c>
      <c r="W745" s="23" t="str">
        <f>VLOOKUP($M745,Lookups!$A$5:$B$8,2,FALSE())</f>
        <v>Clear / Partly cloudy</v>
      </c>
      <c r="X745" s="23" t="str">
        <f>VLOOKUP($G745,Lookups!$D$5:$E$8,2,FALSE())</f>
        <v>Winter</v>
      </c>
      <c r="Y745" s="23" t="str">
        <f>VLOOKUP($L745,Lookups!$G$5:$H$11,2,FALSE())</f>
        <v>Thursday</v>
      </c>
      <c r="Z745" s="23" t="str">
        <f>IF($J745&lt;Lookups!$B$26,"Night",IF($J745&lt;Lookups!$B$27,"Morning",IF($J745&lt;Lookups!$B$28,"Afternoon","Evening")))</f>
        <v>Morning</v>
      </c>
      <c r="AA745" s="26">
        <f>ROUND($N745*(Lookups!$B$16-Lookups!$B$15)+Lookups!$B$15,1)</f>
        <v>-0.5</v>
      </c>
      <c r="AB745" s="26">
        <f>ROUND($P745*(Lookups!$B$18-Lookups!$B$17)+Lookups!$B$17,1)</f>
        <v>-7</v>
      </c>
      <c r="AC745" s="23">
        <f t="shared" si="68"/>
        <v>47</v>
      </c>
      <c r="AD745" s="23">
        <f>ROUND($R745*Lookups!$B$19,1)</f>
        <v>20</v>
      </c>
      <c r="AE745" s="27">
        <f t="shared" si="69"/>
        <v>0.95488721804511278</v>
      </c>
      <c r="AF745" s="23" t="str">
        <f>IF($U745&gt;=Lookups!$B$23,"High",IF($U745&gt;=Lookups!$B$22,"Medium","Low"))</f>
        <v>High</v>
      </c>
      <c r="AG745" s="23">
        <f>ROUND(IF($V745="Weekday",IF(INDEX(Hourly_Analysis!$D$5:$D$28,$J745+1)&gt;0,($U745-INDEX(Hourly_Analysis!$C$5:$C$28,$J745+1))/INDEX(Hourly_Analysis!$D$5:$D$28,$J745+1),0),IF(INDEX(Hourly_Analysis!$G$5:$G$28,$J745+1)&gt;0,($U745-INDEX(Hourly_Analysis!$F$5:$F$28,$J745+1))/INDEX(Hourly_Analysis!$G$5:$G$28,$J745+1),0)),2)</f>
        <v>0.66</v>
      </c>
      <c r="AH745" s="23" t="str">
        <f>IF(ABS($AG745)&gt;Lookups!$B$20,IF($AG745&gt;0,"High anomaly","Low anomaly"),"")</f>
        <v/>
      </c>
      <c r="AI745" s="23" t="str">
        <f t="shared" si="70"/>
        <v>OK</v>
      </c>
      <c r="AJ745" s="23" t="str">
        <f t="shared" si="71"/>
        <v>No</v>
      </c>
    </row>
    <row r="746" spans="1:36" x14ac:dyDescent="0.35">
      <c r="A746" s="23">
        <v>745</v>
      </c>
      <c r="B746" s="23" t="str">
        <f t="shared" si="66"/>
        <v>Dataset 3</v>
      </c>
      <c r="C746" s="23">
        <f>IFERROR(MATCH($A746,Merge_1_2!$A$2:$A$611,0),0)</f>
        <v>0</v>
      </c>
      <c r="D746" s="23">
        <f>IF($C746&gt;0,INDEX(Merge_1_2!$Q$2:$Q$611,$C746),0)</f>
        <v>0</v>
      </c>
      <c r="E746" s="23">
        <f>IFERROR(MATCH($A746,Dataset3_Raw!$A$2:$A$391,0),0)</f>
        <v>135</v>
      </c>
      <c r="F746" s="24">
        <f>IF($C746&gt;0,INDEX(Merge_1_2!$B$2:$B$611,$C746),DATE(VALUE(RIGHT(INDEX(Dataset3_Raw!$B$2:$B$391,$E746),4)),VALUE(MID(INDEX(Dataset3_Raw!$B$2:$B$391,$E746),4,2)),VALUE(LEFT(INDEX(Dataset3_Raw!$B$2:$B$391,$E746),2))))</f>
        <v>40577</v>
      </c>
      <c r="G746" s="23">
        <f>IF($C746&gt;0,INDEX(Merge_1_2!$C$2:$C$611,$C746),INDEX(Dataset3_Raw!$C$2:$C$391,$E746))</f>
        <v>1</v>
      </c>
      <c r="H746" s="23">
        <f>IF($C746&gt;0,INDEX(Merge_1_2!$D$2:$D$611,$C746),INDEX(Dataset3_Raw!$D$2:$D$391,$E746))</f>
        <v>0</v>
      </c>
      <c r="I746" s="23">
        <f>IF($C746&gt;0,INDEX(Merge_1_2!$E$2:$E$611,$C746),INDEX(Dataset3_Raw!$E$2:$E$391,$E746))</f>
        <v>2</v>
      </c>
      <c r="J746" s="23">
        <f>IF($C746&gt;0,INDEX(Merge_1_2!$F$2:$F$611,$C746),INDEX(Dataset3_Raw!$F$2:$F$391,$E746))</f>
        <v>10</v>
      </c>
      <c r="K746" s="23" t="b">
        <f>IF($C746&gt;0,INDEX(Merge_1_2!$G$2:$G$611,$C746),INDEX(Dataset3_Raw!$G$2:$G$391,$E746))</f>
        <v>0</v>
      </c>
      <c r="L746" s="23">
        <f>IF($C746&gt;0,INDEX(Merge_1_2!$H$2:$H$611,$C746),INDEX(Dataset3_Raw!$H$2:$H$391,$E746))</f>
        <v>4</v>
      </c>
      <c r="M746" s="23">
        <f>IF($C746&gt;0,INDEX(Merge_1_2!$I$2:$I$611,$C746),INDEX(Dataset3_Raw!$I$2:$I$391,$E746))</f>
        <v>1</v>
      </c>
      <c r="N746" s="25">
        <f>IF($C746&gt;0,INDEX(Merge_1_2!$J$2:$J$611,$C746),INDEX(Dataset3_Raw!$J$2:$J$391,$E746))</f>
        <v>0.18</v>
      </c>
      <c r="O746" s="25">
        <f>IF($C746&gt;0,IF(ISNUMBER(INDEX(Merge_1_2!$K$2:$K$611,$C746)),INDEX(Merge_1_2!$K$2:$K$611,$C746),""),INDEX(Dataset3_Raw!$K$2:$K$391,$E746))</f>
        <v>0.1515</v>
      </c>
      <c r="P746" s="25">
        <f>IF(ISNUMBER($O746),$O746,ROUND(Lookups!$B$25+Lookups!$B$24*$N746,4))</f>
        <v>0.1515</v>
      </c>
      <c r="Q746" s="25">
        <f>IF($C746&gt;0,INDEX(Merge_1_2!$L$2:$L$611,$C746),INDEX(Dataset3_Raw!$L$2:$L$391,$E746))</f>
        <v>0.43</v>
      </c>
      <c r="R746" s="25">
        <f>IF($C746&gt;0,INDEX(Merge_1_2!$M$2:$M$611,$C746),INDEX(Dataset3_Raw!$M$2:$M$391,$E746))</f>
        <v>0.32840000000000003</v>
      </c>
      <c r="S746" s="23">
        <f>IF($C746&gt;0,INDEX(Merge_1_2!$N$2:$N$611,$C746),INDEX(Dataset3_Raw!$N$2:$N$391,$E746))</f>
        <v>2</v>
      </c>
      <c r="T746" s="23">
        <f>IF($C746&gt;0,INDEX(Merge_1_2!$O$2:$O$611,$C746),INDEX(Dataset3_Raw!$O$2:$O$391,$E746))</f>
        <v>50</v>
      </c>
      <c r="U746" s="23">
        <f>IF($C746&gt;0,INDEX(Merge_1_2!$P$2:$P$611,$C746),INDEX(Dataset3_Raw!$P$2:$P$391,$E746))</f>
        <v>52</v>
      </c>
      <c r="V746" s="23" t="str">
        <f t="shared" si="67"/>
        <v>Weekday</v>
      </c>
      <c r="W746" s="23" t="str">
        <f>VLOOKUP($M746,Lookups!$A$5:$B$8,2,FALSE())</f>
        <v>Clear / Partly cloudy</v>
      </c>
      <c r="X746" s="23" t="str">
        <f>VLOOKUP($G746,Lookups!$D$5:$E$8,2,FALSE())</f>
        <v>Winter</v>
      </c>
      <c r="Y746" s="23" t="str">
        <f>VLOOKUP($L746,Lookups!$G$5:$H$11,2,FALSE())</f>
        <v>Thursday</v>
      </c>
      <c r="Z746" s="23" t="str">
        <f>IF($J746&lt;Lookups!$B$26,"Night",IF($J746&lt;Lookups!$B$27,"Morning",IF($J746&lt;Lookups!$B$28,"Afternoon","Evening")))</f>
        <v>Morning</v>
      </c>
      <c r="AA746" s="26">
        <f>ROUND($N746*(Lookups!$B$16-Lookups!$B$15)+Lookups!$B$15,1)</f>
        <v>0.5</v>
      </c>
      <c r="AB746" s="26">
        <f>ROUND($P746*(Lookups!$B$18-Lookups!$B$17)+Lookups!$B$17,1)</f>
        <v>-6</v>
      </c>
      <c r="AC746" s="23">
        <f t="shared" si="68"/>
        <v>43</v>
      </c>
      <c r="AD746" s="23">
        <f>ROUND($R746*Lookups!$B$19,1)</f>
        <v>22</v>
      </c>
      <c r="AE746" s="27">
        <f t="shared" si="69"/>
        <v>0.96153846153846156</v>
      </c>
      <c r="AF746" s="23" t="str">
        <f>IF($U746&gt;=Lookups!$B$23,"High",IF($U746&gt;=Lookups!$B$22,"Medium","Low"))</f>
        <v>Medium</v>
      </c>
      <c r="AG746" s="23">
        <f>ROUND(IF($V746="Weekday",IF(INDEX(Hourly_Analysis!$D$5:$D$28,$J746+1)&gt;0,($U746-INDEX(Hourly_Analysis!$C$5:$C$28,$J746+1))/INDEX(Hourly_Analysis!$D$5:$D$28,$J746+1),0),IF(INDEX(Hourly_Analysis!$G$5:$G$28,$J746+1)&gt;0,($U746-INDEX(Hourly_Analysis!$F$5:$F$28,$J746+1))/INDEX(Hourly_Analysis!$G$5:$G$28,$J746+1),0)),2)</f>
        <v>0.32</v>
      </c>
      <c r="AH746" s="23" t="str">
        <f>IF(ABS($AG746)&gt;Lookups!$B$20,IF($AG746&gt;0,"High anomaly","Low anomaly"),"")</f>
        <v/>
      </c>
      <c r="AI746" s="23" t="str">
        <f t="shared" si="70"/>
        <v>OK</v>
      </c>
      <c r="AJ746" s="23" t="str">
        <f t="shared" si="71"/>
        <v>No</v>
      </c>
    </row>
    <row r="747" spans="1:36" x14ac:dyDescent="0.35">
      <c r="A747" s="23">
        <v>746</v>
      </c>
      <c r="B747" s="23" t="str">
        <f t="shared" si="66"/>
        <v>Dataset 3</v>
      </c>
      <c r="C747" s="23">
        <f>IFERROR(MATCH($A747,Merge_1_2!$A$2:$A$611,0),0)</f>
        <v>0</v>
      </c>
      <c r="D747" s="23">
        <f>IF($C747&gt;0,INDEX(Merge_1_2!$Q$2:$Q$611,$C747),0)</f>
        <v>0</v>
      </c>
      <c r="E747" s="23">
        <f>IFERROR(MATCH($A747,Dataset3_Raw!$A$2:$A$391,0),0)</f>
        <v>136</v>
      </c>
      <c r="F747" s="24">
        <f>IF($C747&gt;0,INDEX(Merge_1_2!$B$2:$B$611,$C747),DATE(VALUE(RIGHT(INDEX(Dataset3_Raw!$B$2:$B$391,$E747),4)),VALUE(MID(INDEX(Dataset3_Raw!$B$2:$B$391,$E747),4,2)),VALUE(LEFT(INDEX(Dataset3_Raw!$B$2:$B$391,$E747),2))))</f>
        <v>40577</v>
      </c>
      <c r="G747" s="23">
        <f>IF($C747&gt;0,INDEX(Merge_1_2!$C$2:$C$611,$C747),INDEX(Dataset3_Raw!$C$2:$C$391,$E747))</f>
        <v>1</v>
      </c>
      <c r="H747" s="23">
        <f>IF($C747&gt;0,INDEX(Merge_1_2!$D$2:$D$611,$C747),INDEX(Dataset3_Raw!$D$2:$D$391,$E747))</f>
        <v>0</v>
      </c>
      <c r="I747" s="23">
        <f>IF($C747&gt;0,INDEX(Merge_1_2!$E$2:$E$611,$C747),INDEX(Dataset3_Raw!$E$2:$E$391,$E747))</f>
        <v>2</v>
      </c>
      <c r="J747" s="23">
        <f>IF($C747&gt;0,INDEX(Merge_1_2!$F$2:$F$611,$C747),INDEX(Dataset3_Raw!$F$2:$F$391,$E747))</f>
        <v>11</v>
      </c>
      <c r="K747" s="23" t="b">
        <f>IF($C747&gt;0,INDEX(Merge_1_2!$G$2:$G$611,$C747),INDEX(Dataset3_Raw!$G$2:$G$391,$E747))</f>
        <v>0</v>
      </c>
      <c r="L747" s="23">
        <f>IF($C747&gt;0,INDEX(Merge_1_2!$H$2:$H$611,$C747),INDEX(Dataset3_Raw!$H$2:$H$391,$E747))</f>
        <v>4</v>
      </c>
      <c r="M747" s="23">
        <f>IF($C747&gt;0,INDEX(Merge_1_2!$I$2:$I$611,$C747),INDEX(Dataset3_Raw!$I$2:$I$391,$E747))</f>
        <v>1</v>
      </c>
      <c r="N747" s="25">
        <f>IF($C747&gt;0,INDEX(Merge_1_2!$J$2:$J$611,$C747),INDEX(Dataset3_Raw!$J$2:$J$391,$E747))</f>
        <v>0.18</v>
      </c>
      <c r="O747" s="25">
        <f>IF($C747&gt;0,IF(ISNUMBER(INDEX(Merge_1_2!$K$2:$K$611,$C747)),INDEX(Merge_1_2!$K$2:$K$611,$C747),""),INDEX(Dataset3_Raw!$K$2:$K$391,$E747))</f>
        <v>0.13639999999999999</v>
      </c>
      <c r="P747" s="25">
        <f>IF(ISNUMBER($O747),$O747,ROUND(Lookups!$B$25+Lookups!$B$24*$N747,4))</f>
        <v>0.13639999999999999</v>
      </c>
      <c r="Q747" s="25">
        <f>IF($C747&gt;0,INDEX(Merge_1_2!$L$2:$L$611,$C747),INDEX(Dataset3_Raw!$L$2:$L$391,$E747))</f>
        <v>0.43</v>
      </c>
      <c r="R747" s="25">
        <f>IF($C747&gt;0,INDEX(Merge_1_2!$M$2:$M$611,$C747),INDEX(Dataset3_Raw!$M$2:$M$391,$E747))</f>
        <v>0.44779999999999998</v>
      </c>
      <c r="S747" s="23">
        <f>IF($C747&gt;0,INDEX(Merge_1_2!$N$2:$N$611,$C747),INDEX(Dataset3_Raw!$N$2:$N$391,$E747))</f>
        <v>9</v>
      </c>
      <c r="T747" s="23">
        <f>IF($C747&gt;0,INDEX(Merge_1_2!$O$2:$O$611,$C747),INDEX(Dataset3_Raw!$O$2:$O$391,$E747))</f>
        <v>55</v>
      </c>
      <c r="U747" s="23">
        <f>IF($C747&gt;0,INDEX(Merge_1_2!$P$2:$P$611,$C747),INDEX(Dataset3_Raw!$P$2:$P$391,$E747))</f>
        <v>64</v>
      </c>
      <c r="V747" s="23" t="str">
        <f t="shared" si="67"/>
        <v>Weekday</v>
      </c>
      <c r="W747" s="23" t="str">
        <f>VLOOKUP($M747,Lookups!$A$5:$B$8,2,FALSE())</f>
        <v>Clear / Partly cloudy</v>
      </c>
      <c r="X747" s="23" t="str">
        <f>VLOOKUP($G747,Lookups!$D$5:$E$8,2,FALSE())</f>
        <v>Winter</v>
      </c>
      <c r="Y747" s="23" t="str">
        <f>VLOOKUP($L747,Lookups!$G$5:$H$11,2,FALSE())</f>
        <v>Thursday</v>
      </c>
      <c r="Z747" s="23" t="str">
        <f>IF($J747&lt;Lookups!$B$26,"Night",IF($J747&lt;Lookups!$B$27,"Morning",IF($J747&lt;Lookups!$B$28,"Afternoon","Evening")))</f>
        <v>Morning</v>
      </c>
      <c r="AA747" s="26">
        <f>ROUND($N747*(Lookups!$B$16-Lookups!$B$15)+Lookups!$B$15,1)</f>
        <v>0.5</v>
      </c>
      <c r="AB747" s="26">
        <f>ROUND($P747*(Lookups!$B$18-Lookups!$B$17)+Lookups!$B$17,1)</f>
        <v>-7</v>
      </c>
      <c r="AC747" s="23">
        <f t="shared" si="68"/>
        <v>43</v>
      </c>
      <c r="AD747" s="23">
        <f>ROUND($R747*Lookups!$B$19,1)</f>
        <v>30</v>
      </c>
      <c r="AE747" s="27">
        <f t="shared" si="69"/>
        <v>0.859375</v>
      </c>
      <c r="AF747" s="23" t="str">
        <f>IF($U747&gt;=Lookups!$B$23,"High",IF($U747&gt;=Lookups!$B$22,"Medium","Low"))</f>
        <v>Medium</v>
      </c>
      <c r="AG747" s="23">
        <f>ROUND(IF($V747="Weekday",IF(INDEX(Hourly_Analysis!$D$5:$D$28,$J747+1)&gt;0,($U747-INDEX(Hourly_Analysis!$C$5:$C$28,$J747+1))/INDEX(Hourly_Analysis!$D$5:$D$28,$J747+1),0),IF(INDEX(Hourly_Analysis!$G$5:$G$28,$J747+1)&gt;0,($U747-INDEX(Hourly_Analysis!$F$5:$F$28,$J747+1))/INDEX(Hourly_Analysis!$G$5:$G$28,$J747+1),0)),2)</f>
        <v>1.25</v>
      </c>
      <c r="AH747" s="23" t="str">
        <f>IF(ABS($AG747)&gt;Lookups!$B$20,IF($AG747&gt;0,"High anomaly","Low anomaly"),"")</f>
        <v/>
      </c>
      <c r="AI747" s="23" t="str">
        <f t="shared" si="70"/>
        <v>OK</v>
      </c>
      <c r="AJ747" s="23" t="str">
        <f t="shared" si="71"/>
        <v>No</v>
      </c>
    </row>
    <row r="748" spans="1:36" x14ac:dyDescent="0.35">
      <c r="A748" s="23">
        <v>747</v>
      </c>
      <c r="B748" s="23" t="str">
        <f t="shared" si="66"/>
        <v>Dataset 3</v>
      </c>
      <c r="C748" s="23">
        <f>IFERROR(MATCH($A748,Merge_1_2!$A$2:$A$611,0),0)</f>
        <v>0</v>
      </c>
      <c r="D748" s="23">
        <f>IF($C748&gt;0,INDEX(Merge_1_2!$Q$2:$Q$611,$C748),0)</f>
        <v>0</v>
      </c>
      <c r="E748" s="23">
        <f>IFERROR(MATCH($A748,Dataset3_Raw!$A$2:$A$391,0),0)</f>
        <v>137</v>
      </c>
      <c r="F748" s="24">
        <f>IF($C748&gt;0,INDEX(Merge_1_2!$B$2:$B$611,$C748),DATE(VALUE(RIGHT(INDEX(Dataset3_Raw!$B$2:$B$391,$E748),4)),VALUE(MID(INDEX(Dataset3_Raw!$B$2:$B$391,$E748),4,2)),VALUE(LEFT(INDEX(Dataset3_Raw!$B$2:$B$391,$E748),2))))</f>
        <v>40577</v>
      </c>
      <c r="G748" s="23">
        <f>IF($C748&gt;0,INDEX(Merge_1_2!$C$2:$C$611,$C748),INDEX(Dataset3_Raw!$C$2:$C$391,$E748))</f>
        <v>1</v>
      </c>
      <c r="H748" s="23">
        <f>IF($C748&gt;0,INDEX(Merge_1_2!$D$2:$D$611,$C748),INDEX(Dataset3_Raw!$D$2:$D$391,$E748))</f>
        <v>0</v>
      </c>
      <c r="I748" s="23">
        <f>IF($C748&gt;0,INDEX(Merge_1_2!$E$2:$E$611,$C748),INDEX(Dataset3_Raw!$E$2:$E$391,$E748))</f>
        <v>2</v>
      </c>
      <c r="J748" s="23">
        <f>IF($C748&gt;0,INDEX(Merge_1_2!$F$2:$F$611,$C748),INDEX(Dataset3_Raw!$F$2:$F$391,$E748))</f>
        <v>12</v>
      </c>
      <c r="K748" s="23" t="b">
        <f>IF($C748&gt;0,INDEX(Merge_1_2!$G$2:$G$611,$C748),INDEX(Dataset3_Raw!$G$2:$G$391,$E748))</f>
        <v>0</v>
      </c>
      <c r="L748" s="23">
        <f>IF($C748&gt;0,INDEX(Merge_1_2!$H$2:$H$611,$C748),INDEX(Dataset3_Raw!$H$2:$H$391,$E748))</f>
        <v>4</v>
      </c>
      <c r="M748" s="23">
        <f>IF($C748&gt;0,INDEX(Merge_1_2!$I$2:$I$611,$C748),INDEX(Dataset3_Raw!$I$2:$I$391,$E748))</f>
        <v>1</v>
      </c>
      <c r="N748" s="25">
        <f>IF($C748&gt;0,INDEX(Merge_1_2!$J$2:$J$611,$C748),INDEX(Dataset3_Raw!$J$2:$J$391,$E748))</f>
        <v>0.2</v>
      </c>
      <c r="O748" s="25">
        <f>IF($C748&gt;0,IF(ISNUMBER(INDEX(Merge_1_2!$K$2:$K$611,$C748)),INDEX(Merge_1_2!$K$2:$K$611,$C748),""),INDEX(Dataset3_Raw!$K$2:$K$391,$E748))</f>
        <v>0.18179999999999999</v>
      </c>
      <c r="P748" s="25">
        <f>IF(ISNUMBER($O748),$O748,ROUND(Lookups!$B$25+Lookups!$B$24*$N748,4))</f>
        <v>0.18179999999999999</v>
      </c>
      <c r="Q748" s="25">
        <f>IF($C748&gt;0,INDEX(Merge_1_2!$L$2:$L$611,$C748),INDEX(Dataset3_Raw!$L$2:$L$391,$E748))</f>
        <v>0.4</v>
      </c>
      <c r="R748" s="25">
        <f>IF($C748&gt;0,INDEX(Merge_1_2!$M$2:$M$611,$C748),INDEX(Dataset3_Raw!$M$2:$M$391,$E748))</f>
        <v>0.35820000000000002</v>
      </c>
      <c r="S748" s="23">
        <f>IF($C748&gt;0,INDEX(Merge_1_2!$N$2:$N$611,$C748),INDEX(Dataset3_Raw!$N$2:$N$391,$E748))</f>
        <v>2</v>
      </c>
      <c r="T748" s="23">
        <f>IF($C748&gt;0,INDEX(Merge_1_2!$O$2:$O$611,$C748),INDEX(Dataset3_Raw!$O$2:$O$391,$E748))</f>
        <v>67</v>
      </c>
      <c r="U748" s="23">
        <f>IF($C748&gt;0,INDEX(Merge_1_2!$P$2:$P$611,$C748),INDEX(Dataset3_Raw!$P$2:$P$391,$E748))</f>
        <v>69</v>
      </c>
      <c r="V748" s="23" t="str">
        <f t="shared" si="67"/>
        <v>Weekday</v>
      </c>
      <c r="W748" s="23" t="str">
        <f>VLOOKUP($M748,Lookups!$A$5:$B$8,2,FALSE())</f>
        <v>Clear / Partly cloudy</v>
      </c>
      <c r="X748" s="23" t="str">
        <f>VLOOKUP($G748,Lookups!$D$5:$E$8,2,FALSE())</f>
        <v>Winter</v>
      </c>
      <c r="Y748" s="23" t="str">
        <f>VLOOKUP($L748,Lookups!$G$5:$H$11,2,FALSE())</f>
        <v>Thursday</v>
      </c>
      <c r="Z748" s="23" t="str">
        <f>IF($J748&lt;Lookups!$B$26,"Night",IF($J748&lt;Lookups!$B$27,"Morning",IF($J748&lt;Lookups!$B$28,"Afternoon","Evening")))</f>
        <v>Afternoon</v>
      </c>
      <c r="AA748" s="26">
        <f>ROUND($N748*(Lookups!$B$16-Lookups!$B$15)+Lookups!$B$15,1)</f>
        <v>1.4</v>
      </c>
      <c r="AB748" s="26">
        <f>ROUND($P748*(Lookups!$B$18-Lookups!$B$17)+Lookups!$B$17,1)</f>
        <v>-4</v>
      </c>
      <c r="AC748" s="23">
        <f t="shared" si="68"/>
        <v>40</v>
      </c>
      <c r="AD748" s="23">
        <f>ROUND($R748*Lookups!$B$19,1)</f>
        <v>24</v>
      </c>
      <c r="AE748" s="27">
        <f t="shared" si="69"/>
        <v>0.97101449275362317</v>
      </c>
      <c r="AF748" s="23" t="str">
        <f>IF($U748&gt;=Lookups!$B$23,"High",IF($U748&gt;=Lookups!$B$22,"Medium","Low"))</f>
        <v>Medium</v>
      </c>
      <c r="AG748" s="23">
        <f>ROUND(IF($V748="Weekday",IF(INDEX(Hourly_Analysis!$D$5:$D$28,$J748+1)&gt;0,($U748-INDEX(Hourly_Analysis!$C$5:$C$28,$J748+1))/INDEX(Hourly_Analysis!$D$5:$D$28,$J748+1),0),IF(INDEX(Hourly_Analysis!$G$5:$G$28,$J748+1)&gt;0,($U748-INDEX(Hourly_Analysis!$F$5:$F$28,$J748+1))/INDEX(Hourly_Analysis!$G$5:$G$28,$J748+1),0)),2)</f>
        <v>0.26</v>
      </c>
      <c r="AH748" s="23" t="str">
        <f>IF(ABS($AG748)&gt;Lookups!$B$20,IF($AG748&gt;0,"High anomaly","Low anomaly"),"")</f>
        <v/>
      </c>
      <c r="AI748" s="23" t="str">
        <f t="shared" si="70"/>
        <v>OK</v>
      </c>
      <c r="AJ748" s="23" t="str">
        <f t="shared" si="71"/>
        <v>No</v>
      </c>
    </row>
    <row r="749" spans="1:36" x14ac:dyDescent="0.35">
      <c r="A749" s="23">
        <v>748</v>
      </c>
      <c r="B749" s="23" t="str">
        <f t="shared" si="66"/>
        <v>Dataset 3</v>
      </c>
      <c r="C749" s="23">
        <f>IFERROR(MATCH($A749,Merge_1_2!$A$2:$A$611,0),0)</f>
        <v>0</v>
      </c>
      <c r="D749" s="23">
        <f>IF($C749&gt;0,INDEX(Merge_1_2!$Q$2:$Q$611,$C749),0)</f>
        <v>0</v>
      </c>
      <c r="E749" s="23">
        <f>IFERROR(MATCH($A749,Dataset3_Raw!$A$2:$A$391,0),0)</f>
        <v>138</v>
      </c>
      <c r="F749" s="24">
        <f>IF($C749&gt;0,INDEX(Merge_1_2!$B$2:$B$611,$C749),DATE(VALUE(RIGHT(INDEX(Dataset3_Raw!$B$2:$B$391,$E749),4)),VALUE(MID(INDEX(Dataset3_Raw!$B$2:$B$391,$E749),4,2)),VALUE(LEFT(INDEX(Dataset3_Raw!$B$2:$B$391,$E749),2))))</f>
        <v>40577</v>
      </c>
      <c r="G749" s="23">
        <f>IF($C749&gt;0,INDEX(Merge_1_2!$C$2:$C$611,$C749),INDEX(Dataset3_Raw!$C$2:$C$391,$E749))</f>
        <v>1</v>
      </c>
      <c r="H749" s="23">
        <f>IF($C749&gt;0,INDEX(Merge_1_2!$D$2:$D$611,$C749),INDEX(Dataset3_Raw!$D$2:$D$391,$E749))</f>
        <v>0</v>
      </c>
      <c r="I749" s="23">
        <f>IF($C749&gt;0,INDEX(Merge_1_2!$E$2:$E$611,$C749),INDEX(Dataset3_Raw!$E$2:$E$391,$E749))</f>
        <v>2</v>
      </c>
      <c r="J749" s="23">
        <f>IF($C749&gt;0,INDEX(Merge_1_2!$F$2:$F$611,$C749),INDEX(Dataset3_Raw!$F$2:$F$391,$E749))</f>
        <v>13</v>
      </c>
      <c r="K749" s="23" t="b">
        <f>IF($C749&gt;0,INDEX(Merge_1_2!$G$2:$G$611,$C749),INDEX(Dataset3_Raw!$G$2:$G$391,$E749))</f>
        <v>0</v>
      </c>
      <c r="L749" s="23">
        <f>IF($C749&gt;0,INDEX(Merge_1_2!$H$2:$H$611,$C749),INDEX(Dataset3_Raw!$H$2:$H$391,$E749))</f>
        <v>4</v>
      </c>
      <c r="M749" s="23">
        <f>IF($C749&gt;0,INDEX(Merge_1_2!$I$2:$I$611,$C749),INDEX(Dataset3_Raw!$I$2:$I$391,$E749))</f>
        <v>1</v>
      </c>
      <c r="N749" s="25">
        <f>IF($C749&gt;0,INDEX(Merge_1_2!$J$2:$J$611,$C749),INDEX(Dataset3_Raw!$J$2:$J$391,$E749))</f>
        <v>0.2</v>
      </c>
      <c r="O749" s="25">
        <f>IF($C749&gt;0,IF(ISNUMBER(INDEX(Merge_1_2!$K$2:$K$611,$C749)),INDEX(Merge_1_2!$K$2:$K$611,$C749),""),INDEX(Dataset3_Raw!$K$2:$K$391,$E749))</f>
        <v>0.16669999999999999</v>
      </c>
      <c r="P749" s="25">
        <f>IF(ISNUMBER($O749),$O749,ROUND(Lookups!$B$25+Lookups!$B$24*$N749,4))</f>
        <v>0.16669999999999999</v>
      </c>
      <c r="Q749" s="25">
        <f>IF($C749&gt;0,INDEX(Merge_1_2!$L$2:$L$611,$C749),INDEX(Dataset3_Raw!$L$2:$L$391,$E749))</f>
        <v>0.4</v>
      </c>
      <c r="R749" s="25">
        <f>IF($C749&gt;0,INDEX(Merge_1_2!$M$2:$M$611,$C749),INDEX(Dataset3_Raw!$M$2:$M$391,$E749))</f>
        <v>0.41789999999999999</v>
      </c>
      <c r="S749" s="23">
        <f>IF($C749&gt;0,INDEX(Merge_1_2!$N$2:$N$611,$C749),INDEX(Dataset3_Raw!$N$2:$N$391,$E749))</f>
        <v>4</v>
      </c>
      <c r="T749" s="23">
        <f>IF($C749&gt;0,INDEX(Merge_1_2!$O$2:$O$611,$C749),INDEX(Dataset3_Raw!$O$2:$O$391,$E749))</f>
        <v>47</v>
      </c>
      <c r="U749" s="23">
        <f>IF($C749&gt;0,INDEX(Merge_1_2!$P$2:$P$611,$C749),INDEX(Dataset3_Raw!$P$2:$P$391,$E749))</f>
        <v>51</v>
      </c>
      <c r="V749" s="23" t="str">
        <f t="shared" si="67"/>
        <v>Weekday</v>
      </c>
      <c r="W749" s="23" t="str">
        <f>VLOOKUP($M749,Lookups!$A$5:$B$8,2,FALSE())</f>
        <v>Clear / Partly cloudy</v>
      </c>
      <c r="X749" s="23" t="str">
        <f>VLOOKUP($G749,Lookups!$D$5:$E$8,2,FALSE())</f>
        <v>Winter</v>
      </c>
      <c r="Y749" s="23" t="str">
        <f>VLOOKUP($L749,Lookups!$G$5:$H$11,2,FALSE())</f>
        <v>Thursday</v>
      </c>
      <c r="Z749" s="23" t="str">
        <f>IF($J749&lt;Lookups!$B$26,"Night",IF($J749&lt;Lookups!$B$27,"Morning",IF($J749&lt;Lookups!$B$28,"Afternoon","Evening")))</f>
        <v>Afternoon</v>
      </c>
      <c r="AA749" s="26">
        <f>ROUND($N749*(Lookups!$B$16-Lookups!$B$15)+Lookups!$B$15,1)</f>
        <v>1.4</v>
      </c>
      <c r="AB749" s="26">
        <f>ROUND($P749*(Lookups!$B$18-Lookups!$B$17)+Lookups!$B$17,1)</f>
        <v>-5</v>
      </c>
      <c r="AC749" s="23">
        <f t="shared" si="68"/>
        <v>40</v>
      </c>
      <c r="AD749" s="23">
        <f>ROUND($R749*Lookups!$B$19,1)</f>
        <v>28</v>
      </c>
      <c r="AE749" s="27">
        <f t="shared" si="69"/>
        <v>0.92156862745098034</v>
      </c>
      <c r="AF749" s="23" t="str">
        <f>IF($U749&gt;=Lookups!$B$23,"High",IF($U749&gt;=Lookups!$B$22,"Medium","Low"))</f>
        <v>Medium</v>
      </c>
      <c r="AG749" s="23">
        <f>ROUND(IF($V749="Weekday",IF(INDEX(Hourly_Analysis!$D$5:$D$28,$J749+1)&gt;0,($U749-INDEX(Hourly_Analysis!$C$5:$C$28,$J749+1))/INDEX(Hourly_Analysis!$D$5:$D$28,$J749+1),0),IF(INDEX(Hourly_Analysis!$G$5:$G$28,$J749+1)&gt;0,($U749-INDEX(Hourly_Analysis!$F$5:$F$28,$J749+1))/INDEX(Hourly_Analysis!$G$5:$G$28,$J749+1),0)),2)</f>
        <v>-0.77</v>
      </c>
      <c r="AH749" s="23" t="str">
        <f>IF(ABS($AG749)&gt;Lookups!$B$20,IF($AG749&gt;0,"High anomaly","Low anomaly"),"")</f>
        <v/>
      </c>
      <c r="AI749" s="23" t="str">
        <f t="shared" si="70"/>
        <v>OK</v>
      </c>
      <c r="AJ749" s="23" t="str">
        <f t="shared" si="71"/>
        <v>No</v>
      </c>
    </row>
    <row r="750" spans="1:36" x14ac:dyDescent="0.35">
      <c r="A750" s="23">
        <v>749</v>
      </c>
      <c r="B750" s="23" t="str">
        <f t="shared" si="66"/>
        <v>Dataset 3</v>
      </c>
      <c r="C750" s="23">
        <f>IFERROR(MATCH($A750,Merge_1_2!$A$2:$A$611,0),0)</f>
        <v>0</v>
      </c>
      <c r="D750" s="23">
        <f>IF($C750&gt;0,INDEX(Merge_1_2!$Q$2:$Q$611,$C750),0)</f>
        <v>0</v>
      </c>
      <c r="E750" s="23">
        <f>IFERROR(MATCH($A750,Dataset3_Raw!$A$2:$A$391,0),0)</f>
        <v>139</v>
      </c>
      <c r="F750" s="24">
        <f>IF($C750&gt;0,INDEX(Merge_1_2!$B$2:$B$611,$C750),DATE(VALUE(RIGHT(INDEX(Dataset3_Raw!$B$2:$B$391,$E750),4)),VALUE(MID(INDEX(Dataset3_Raw!$B$2:$B$391,$E750),4,2)),VALUE(LEFT(INDEX(Dataset3_Raw!$B$2:$B$391,$E750),2))))</f>
        <v>40577</v>
      </c>
      <c r="G750" s="23">
        <f>IF($C750&gt;0,INDEX(Merge_1_2!$C$2:$C$611,$C750),INDEX(Dataset3_Raw!$C$2:$C$391,$E750))</f>
        <v>1</v>
      </c>
      <c r="H750" s="23">
        <f>IF($C750&gt;0,INDEX(Merge_1_2!$D$2:$D$611,$C750),INDEX(Dataset3_Raw!$D$2:$D$391,$E750))</f>
        <v>0</v>
      </c>
      <c r="I750" s="23">
        <f>IF($C750&gt;0,INDEX(Merge_1_2!$E$2:$E$611,$C750),INDEX(Dataset3_Raw!$E$2:$E$391,$E750))</f>
        <v>2</v>
      </c>
      <c r="J750" s="23">
        <f>IF($C750&gt;0,INDEX(Merge_1_2!$F$2:$F$611,$C750),INDEX(Dataset3_Raw!$F$2:$F$391,$E750))</f>
        <v>14</v>
      </c>
      <c r="K750" s="23" t="b">
        <f>IF($C750&gt;0,INDEX(Merge_1_2!$G$2:$G$611,$C750),INDEX(Dataset3_Raw!$G$2:$G$391,$E750))</f>
        <v>0</v>
      </c>
      <c r="L750" s="23">
        <f>IF($C750&gt;0,INDEX(Merge_1_2!$H$2:$H$611,$C750),INDEX(Dataset3_Raw!$H$2:$H$391,$E750))</f>
        <v>4</v>
      </c>
      <c r="M750" s="23">
        <f>IF($C750&gt;0,INDEX(Merge_1_2!$I$2:$I$611,$C750),INDEX(Dataset3_Raw!$I$2:$I$391,$E750))</f>
        <v>1</v>
      </c>
      <c r="N750" s="25">
        <f>IF($C750&gt;0,INDEX(Merge_1_2!$J$2:$J$611,$C750),INDEX(Dataset3_Raw!$J$2:$J$391,$E750))</f>
        <v>0.22</v>
      </c>
      <c r="O750" s="25">
        <f>IF($C750&gt;0,IF(ISNUMBER(INDEX(Merge_1_2!$K$2:$K$611,$C750)),INDEX(Merge_1_2!$K$2:$K$611,$C750),""),INDEX(Dataset3_Raw!$K$2:$K$391,$E750))</f>
        <v>0.19700000000000001</v>
      </c>
      <c r="P750" s="25">
        <f>IF(ISNUMBER($O750),$O750,ROUND(Lookups!$B$25+Lookups!$B$24*$N750,4))</f>
        <v>0.19700000000000001</v>
      </c>
      <c r="Q750" s="25">
        <f>IF($C750&gt;0,INDEX(Merge_1_2!$L$2:$L$611,$C750),INDEX(Dataset3_Raw!$L$2:$L$391,$E750))</f>
        <v>0.37</v>
      </c>
      <c r="R750" s="25">
        <f>IF($C750&gt;0,INDEX(Merge_1_2!$M$2:$M$611,$C750),INDEX(Dataset3_Raw!$M$2:$M$391,$E750))</f>
        <v>0.3881</v>
      </c>
      <c r="S750" s="23">
        <f>IF($C750&gt;0,INDEX(Merge_1_2!$N$2:$N$611,$C750),INDEX(Dataset3_Raw!$N$2:$N$391,$E750))</f>
        <v>4</v>
      </c>
      <c r="T750" s="23">
        <f>IF($C750&gt;0,INDEX(Merge_1_2!$O$2:$O$611,$C750),INDEX(Dataset3_Raw!$O$2:$O$391,$E750))</f>
        <v>43</v>
      </c>
      <c r="U750" s="23">
        <f>IF($C750&gt;0,INDEX(Merge_1_2!$P$2:$P$611,$C750),INDEX(Dataset3_Raw!$P$2:$P$391,$E750))</f>
        <v>47</v>
      </c>
      <c r="V750" s="23" t="str">
        <f t="shared" si="67"/>
        <v>Weekday</v>
      </c>
      <c r="W750" s="23" t="str">
        <f>VLOOKUP($M750,Lookups!$A$5:$B$8,2,FALSE())</f>
        <v>Clear / Partly cloudy</v>
      </c>
      <c r="X750" s="23" t="str">
        <f>VLOOKUP($G750,Lookups!$D$5:$E$8,2,FALSE())</f>
        <v>Winter</v>
      </c>
      <c r="Y750" s="23" t="str">
        <f>VLOOKUP($L750,Lookups!$G$5:$H$11,2,FALSE())</f>
        <v>Thursday</v>
      </c>
      <c r="Z750" s="23" t="str">
        <f>IF($J750&lt;Lookups!$B$26,"Night",IF($J750&lt;Lookups!$B$27,"Morning",IF($J750&lt;Lookups!$B$28,"Afternoon","Evening")))</f>
        <v>Afternoon</v>
      </c>
      <c r="AA750" s="26">
        <f>ROUND($N750*(Lookups!$B$16-Lookups!$B$15)+Lookups!$B$15,1)</f>
        <v>2.2999999999999998</v>
      </c>
      <c r="AB750" s="26">
        <f>ROUND($P750*(Lookups!$B$18-Lookups!$B$17)+Lookups!$B$17,1)</f>
        <v>-3</v>
      </c>
      <c r="AC750" s="23">
        <f t="shared" si="68"/>
        <v>37</v>
      </c>
      <c r="AD750" s="23">
        <f>ROUND($R750*Lookups!$B$19,1)</f>
        <v>26</v>
      </c>
      <c r="AE750" s="27">
        <f t="shared" si="69"/>
        <v>0.91489361702127658</v>
      </c>
      <c r="AF750" s="23" t="str">
        <f>IF($U750&gt;=Lookups!$B$23,"High",IF($U750&gt;=Lookups!$B$22,"Medium","Low"))</f>
        <v>Medium</v>
      </c>
      <c r="AG750" s="23">
        <f>ROUND(IF($V750="Weekday",IF(INDEX(Hourly_Analysis!$D$5:$D$28,$J750+1)&gt;0,($U750-INDEX(Hourly_Analysis!$C$5:$C$28,$J750+1))/INDEX(Hourly_Analysis!$D$5:$D$28,$J750+1),0),IF(INDEX(Hourly_Analysis!$G$5:$G$28,$J750+1)&gt;0,($U750-INDEX(Hourly_Analysis!$F$5:$F$28,$J750+1))/INDEX(Hourly_Analysis!$G$5:$G$28,$J750+1),0)),2)</f>
        <v>-0.79</v>
      </c>
      <c r="AH750" s="23" t="str">
        <f>IF(ABS($AG750)&gt;Lookups!$B$20,IF($AG750&gt;0,"High anomaly","Low anomaly"),"")</f>
        <v/>
      </c>
      <c r="AI750" s="23" t="str">
        <f t="shared" si="70"/>
        <v>OK</v>
      </c>
      <c r="AJ750" s="23" t="str">
        <f t="shared" si="71"/>
        <v>No</v>
      </c>
    </row>
    <row r="751" spans="1:36" x14ac:dyDescent="0.35">
      <c r="A751" s="23">
        <v>750</v>
      </c>
      <c r="B751" s="23" t="str">
        <f t="shared" si="66"/>
        <v>Dataset 3</v>
      </c>
      <c r="C751" s="23">
        <f>IFERROR(MATCH($A751,Merge_1_2!$A$2:$A$611,0),0)</f>
        <v>0</v>
      </c>
      <c r="D751" s="23">
        <f>IF($C751&gt;0,INDEX(Merge_1_2!$Q$2:$Q$611,$C751),0)</f>
        <v>0</v>
      </c>
      <c r="E751" s="23">
        <f>IFERROR(MATCH($A751,Dataset3_Raw!$A$2:$A$391,0),0)</f>
        <v>140</v>
      </c>
      <c r="F751" s="24">
        <f>IF($C751&gt;0,INDEX(Merge_1_2!$B$2:$B$611,$C751),DATE(VALUE(RIGHT(INDEX(Dataset3_Raw!$B$2:$B$391,$E751),4)),VALUE(MID(INDEX(Dataset3_Raw!$B$2:$B$391,$E751),4,2)),VALUE(LEFT(INDEX(Dataset3_Raw!$B$2:$B$391,$E751),2))))</f>
        <v>40577</v>
      </c>
      <c r="G751" s="23">
        <f>IF($C751&gt;0,INDEX(Merge_1_2!$C$2:$C$611,$C751),INDEX(Dataset3_Raw!$C$2:$C$391,$E751))</f>
        <v>1</v>
      </c>
      <c r="H751" s="23">
        <f>IF($C751&gt;0,INDEX(Merge_1_2!$D$2:$D$611,$C751),INDEX(Dataset3_Raw!$D$2:$D$391,$E751))</f>
        <v>0</v>
      </c>
      <c r="I751" s="23">
        <f>IF($C751&gt;0,INDEX(Merge_1_2!$E$2:$E$611,$C751),INDEX(Dataset3_Raw!$E$2:$E$391,$E751))</f>
        <v>2</v>
      </c>
      <c r="J751" s="23">
        <f>IF($C751&gt;0,INDEX(Merge_1_2!$F$2:$F$611,$C751),INDEX(Dataset3_Raw!$F$2:$F$391,$E751))</f>
        <v>15</v>
      </c>
      <c r="K751" s="23" t="b">
        <f>IF($C751&gt;0,INDEX(Merge_1_2!$G$2:$G$611,$C751),INDEX(Dataset3_Raw!$G$2:$G$391,$E751))</f>
        <v>0</v>
      </c>
      <c r="L751" s="23">
        <f>IF($C751&gt;0,INDEX(Merge_1_2!$H$2:$H$611,$C751),INDEX(Dataset3_Raw!$H$2:$H$391,$E751))</f>
        <v>4</v>
      </c>
      <c r="M751" s="23">
        <f>IF($C751&gt;0,INDEX(Merge_1_2!$I$2:$I$611,$C751),INDEX(Dataset3_Raw!$I$2:$I$391,$E751))</f>
        <v>1</v>
      </c>
      <c r="N751" s="25">
        <f>IF($C751&gt;0,INDEX(Merge_1_2!$J$2:$J$611,$C751),INDEX(Dataset3_Raw!$J$2:$J$391,$E751))</f>
        <v>0.22</v>
      </c>
      <c r="O751" s="25">
        <f>IF($C751&gt;0,IF(ISNUMBER(INDEX(Merge_1_2!$K$2:$K$611,$C751)),INDEX(Merge_1_2!$K$2:$K$611,$C751),""),INDEX(Dataset3_Raw!$K$2:$K$391,$E751))</f>
        <v>0.19700000000000001</v>
      </c>
      <c r="P751" s="25">
        <f>IF(ISNUMBER($O751),$O751,ROUND(Lookups!$B$25+Lookups!$B$24*$N751,4))</f>
        <v>0.19700000000000001</v>
      </c>
      <c r="Q751" s="25">
        <f>IF($C751&gt;0,INDEX(Merge_1_2!$L$2:$L$611,$C751),INDEX(Dataset3_Raw!$L$2:$L$391,$E751))</f>
        <v>0.37</v>
      </c>
      <c r="R751" s="25">
        <f>IF($C751&gt;0,INDEX(Merge_1_2!$M$2:$M$611,$C751),INDEX(Dataset3_Raw!$M$2:$M$391,$E751))</f>
        <v>0.32840000000000003</v>
      </c>
      <c r="S751" s="23">
        <f>IF($C751&gt;0,INDEX(Merge_1_2!$N$2:$N$611,$C751),INDEX(Dataset3_Raw!$N$2:$N$391,$E751))</f>
        <v>4</v>
      </c>
      <c r="T751" s="23">
        <f>IF($C751&gt;0,INDEX(Merge_1_2!$O$2:$O$611,$C751),INDEX(Dataset3_Raw!$O$2:$O$391,$E751))</f>
        <v>56</v>
      </c>
      <c r="U751" s="23">
        <f>IF($C751&gt;0,INDEX(Merge_1_2!$P$2:$P$611,$C751),INDEX(Dataset3_Raw!$P$2:$P$391,$E751))</f>
        <v>60</v>
      </c>
      <c r="V751" s="23" t="str">
        <f t="shared" si="67"/>
        <v>Weekday</v>
      </c>
      <c r="W751" s="23" t="str">
        <f>VLOOKUP($M751,Lookups!$A$5:$B$8,2,FALSE())</f>
        <v>Clear / Partly cloudy</v>
      </c>
      <c r="X751" s="23" t="str">
        <f>VLOOKUP($G751,Lookups!$D$5:$E$8,2,FALSE())</f>
        <v>Winter</v>
      </c>
      <c r="Y751" s="23" t="str">
        <f>VLOOKUP($L751,Lookups!$G$5:$H$11,2,FALSE())</f>
        <v>Thursday</v>
      </c>
      <c r="Z751" s="23" t="str">
        <f>IF($J751&lt;Lookups!$B$26,"Night",IF($J751&lt;Lookups!$B$27,"Morning",IF($J751&lt;Lookups!$B$28,"Afternoon","Evening")))</f>
        <v>Afternoon</v>
      </c>
      <c r="AA751" s="26">
        <f>ROUND($N751*(Lookups!$B$16-Lookups!$B$15)+Lookups!$B$15,1)</f>
        <v>2.2999999999999998</v>
      </c>
      <c r="AB751" s="26">
        <f>ROUND($P751*(Lookups!$B$18-Lookups!$B$17)+Lookups!$B$17,1)</f>
        <v>-3</v>
      </c>
      <c r="AC751" s="23">
        <f t="shared" si="68"/>
        <v>37</v>
      </c>
      <c r="AD751" s="23">
        <f>ROUND($R751*Lookups!$B$19,1)</f>
        <v>22</v>
      </c>
      <c r="AE751" s="27">
        <f t="shared" si="69"/>
        <v>0.93333333333333335</v>
      </c>
      <c r="AF751" s="23" t="str">
        <f>IF($U751&gt;=Lookups!$B$23,"High",IF($U751&gt;=Lookups!$B$22,"Medium","Low"))</f>
        <v>Medium</v>
      </c>
      <c r="AG751" s="23">
        <f>ROUND(IF($V751="Weekday",IF(INDEX(Hourly_Analysis!$D$5:$D$28,$J751+1)&gt;0,($U751-INDEX(Hourly_Analysis!$C$5:$C$28,$J751+1))/INDEX(Hourly_Analysis!$D$5:$D$28,$J751+1),0),IF(INDEX(Hourly_Analysis!$G$5:$G$28,$J751+1)&gt;0,($U751-INDEX(Hourly_Analysis!$F$5:$F$28,$J751+1))/INDEX(Hourly_Analysis!$G$5:$G$28,$J751+1),0)),2)</f>
        <v>-0.03</v>
      </c>
      <c r="AH751" s="23" t="str">
        <f>IF(ABS($AG751)&gt;Lookups!$B$20,IF($AG751&gt;0,"High anomaly","Low anomaly"),"")</f>
        <v/>
      </c>
      <c r="AI751" s="23" t="str">
        <f t="shared" si="70"/>
        <v>OK</v>
      </c>
      <c r="AJ751" s="23" t="str">
        <f t="shared" si="71"/>
        <v>No</v>
      </c>
    </row>
    <row r="752" spans="1:36" x14ac:dyDescent="0.35">
      <c r="A752" s="23">
        <v>751</v>
      </c>
      <c r="B752" s="23" t="str">
        <f t="shared" si="66"/>
        <v>Dataset 3</v>
      </c>
      <c r="C752" s="23">
        <f>IFERROR(MATCH($A752,Merge_1_2!$A$2:$A$611,0),0)</f>
        <v>0</v>
      </c>
      <c r="D752" s="23">
        <f>IF($C752&gt;0,INDEX(Merge_1_2!$Q$2:$Q$611,$C752),0)</f>
        <v>0</v>
      </c>
      <c r="E752" s="23">
        <f>IFERROR(MATCH($A752,Dataset3_Raw!$A$2:$A$391,0),0)</f>
        <v>141</v>
      </c>
      <c r="F752" s="24">
        <f>IF($C752&gt;0,INDEX(Merge_1_2!$B$2:$B$611,$C752),DATE(VALUE(RIGHT(INDEX(Dataset3_Raw!$B$2:$B$391,$E752),4)),VALUE(MID(INDEX(Dataset3_Raw!$B$2:$B$391,$E752),4,2)),VALUE(LEFT(INDEX(Dataset3_Raw!$B$2:$B$391,$E752),2))))</f>
        <v>40577</v>
      </c>
      <c r="G752" s="23">
        <f>IF($C752&gt;0,INDEX(Merge_1_2!$C$2:$C$611,$C752),INDEX(Dataset3_Raw!$C$2:$C$391,$E752))</f>
        <v>1</v>
      </c>
      <c r="H752" s="23">
        <f>IF($C752&gt;0,INDEX(Merge_1_2!$D$2:$D$611,$C752),INDEX(Dataset3_Raw!$D$2:$D$391,$E752))</f>
        <v>0</v>
      </c>
      <c r="I752" s="23">
        <f>IF($C752&gt;0,INDEX(Merge_1_2!$E$2:$E$611,$C752),INDEX(Dataset3_Raw!$E$2:$E$391,$E752))</f>
        <v>2</v>
      </c>
      <c r="J752" s="23">
        <f>IF($C752&gt;0,INDEX(Merge_1_2!$F$2:$F$611,$C752),INDEX(Dataset3_Raw!$F$2:$F$391,$E752))</f>
        <v>16</v>
      </c>
      <c r="K752" s="23" t="b">
        <f>IF($C752&gt;0,INDEX(Merge_1_2!$G$2:$G$611,$C752),INDEX(Dataset3_Raw!$G$2:$G$391,$E752))</f>
        <v>0</v>
      </c>
      <c r="L752" s="23">
        <f>IF($C752&gt;0,INDEX(Merge_1_2!$H$2:$H$611,$C752),INDEX(Dataset3_Raw!$H$2:$H$391,$E752))</f>
        <v>4</v>
      </c>
      <c r="M752" s="23">
        <f>IF($C752&gt;0,INDEX(Merge_1_2!$I$2:$I$611,$C752),INDEX(Dataset3_Raw!$I$2:$I$391,$E752))</f>
        <v>1</v>
      </c>
      <c r="N752" s="25">
        <f>IF($C752&gt;0,INDEX(Merge_1_2!$J$2:$J$611,$C752),INDEX(Dataset3_Raw!$J$2:$J$391,$E752))</f>
        <v>0.22</v>
      </c>
      <c r="O752" s="25">
        <f>IF($C752&gt;0,IF(ISNUMBER(INDEX(Merge_1_2!$K$2:$K$611,$C752)),INDEX(Merge_1_2!$K$2:$K$611,$C752),""),INDEX(Dataset3_Raw!$K$2:$K$391,$E752))</f>
        <v>0.21210000000000001</v>
      </c>
      <c r="P752" s="25">
        <f>IF(ISNUMBER($O752),$O752,ROUND(Lookups!$B$25+Lookups!$B$24*$N752,4))</f>
        <v>0.21210000000000001</v>
      </c>
      <c r="Q752" s="25">
        <f>IF($C752&gt;0,INDEX(Merge_1_2!$L$2:$L$611,$C752),INDEX(Dataset3_Raw!$L$2:$L$391,$E752))</f>
        <v>0.37</v>
      </c>
      <c r="R752" s="25">
        <f>IF($C752&gt;0,INDEX(Merge_1_2!$M$2:$M$611,$C752),INDEX(Dataset3_Raw!$M$2:$M$391,$E752))</f>
        <v>0.25369999999999998</v>
      </c>
      <c r="S752" s="23">
        <f>IF($C752&gt;0,INDEX(Merge_1_2!$N$2:$N$611,$C752),INDEX(Dataset3_Raw!$N$2:$N$391,$E752))</f>
        <v>5</v>
      </c>
      <c r="T752" s="23">
        <f>IF($C752&gt;0,INDEX(Merge_1_2!$O$2:$O$611,$C752),INDEX(Dataset3_Raw!$O$2:$O$391,$E752))</f>
        <v>73</v>
      </c>
      <c r="U752" s="23">
        <f>IF($C752&gt;0,INDEX(Merge_1_2!$P$2:$P$611,$C752),INDEX(Dataset3_Raw!$P$2:$P$391,$E752))</f>
        <v>78</v>
      </c>
      <c r="V752" s="23" t="str">
        <f t="shared" si="67"/>
        <v>Weekday</v>
      </c>
      <c r="W752" s="23" t="str">
        <f>VLOOKUP($M752,Lookups!$A$5:$B$8,2,FALSE())</f>
        <v>Clear / Partly cloudy</v>
      </c>
      <c r="X752" s="23" t="str">
        <f>VLOOKUP($G752,Lookups!$D$5:$E$8,2,FALSE())</f>
        <v>Winter</v>
      </c>
      <c r="Y752" s="23" t="str">
        <f>VLOOKUP($L752,Lookups!$G$5:$H$11,2,FALSE())</f>
        <v>Thursday</v>
      </c>
      <c r="Z752" s="23" t="str">
        <f>IF($J752&lt;Lookups!$B$26,"Night",IF($J752&lt;Lookups!$B$27,"Morning",IF($J752&lt;Lookups!$B$28,"Afternoon","Evening")))</f>
        <v>Afternoon</v>
      </c>
      <c r="AA752" s="26">
        <f>ROUND($N752*(Lookups!$B$16-Lookups!$B$15)+Lookups!$B$15,1)</f>
        <v>2.2999999999999998</v>
      </c>
      <c r="AB752" s="26">
        <f>ROUND($P752*(Lookups!$B$18-Lookups!$B$17)+Lookups!$B$17,1)</f>
        <v>-2</v>
      </c>
      <c r="AC752" s="23">
        <f t="shared" si="68"/>
        <v>37</v>
      </c>
      <c r="AD752" s="23">
        <f>ROUND($R752*Lookups!$B$19,1)</f>
        <v>17</v>
      </c>
      <c r="AE752" s="27">
        <f t="shared" si="69"/>
        <v>0.9358974358974359</v>
      </c>
      <c r="AF752" s="23" t="str">
        <f>IF($U752&gt;=Lookups!$B$23,"High",IF($U752&gt;=Lookups!$B$22,"Medium","Low"))</f>
        <v>Medium</v>
      </c>
      <c r="AG752" s="23">
        <f>ROUND(IF($V752="Weekday",IF(INDEX(Hourly_Analysis!$D$5:$D$28,$J752+1)&gt;0,($U752-INDEX(Hourly_Analysis!$C$5:$C$28,$J752+1))/INDEX(Hourly_Analysis!$D$5:$D$28,$J752+1),0),IF(INDEX(Hourly_Analysis!$G$5:$G$28,$J752+1)&gt;0,($U752-INDEX(Hourly_Analysis!$F$5:$F$28,$J752+1))/INDEX(Hourly_Analysis!$G$5:$G$28,$J752+1),0)),2)</f>
        <v>-0.22</v>
      </c>
      <c r="AH752" s="23" t="str">
        <f>IF(ABS($AG752)&gt;Lookups!$B$20,IF($AG752&gt;0,"High anomaly","Low anomaly"),"")</f>
        <v/>
      </c>
      <c r="AI752" s="23" t="str">
        <f t="shared" si="70"/>
        <v>OK</v>
      </c>
      <c r="AJ752" s="23" t="str">
        <f t="shared" si="71"/>
        <v>No</v>
      </c>
    </row>
    <row r="753" spans="1:36" x14ac:dyDescent="0.35">
      <c r="A753" s="23">
        <v>752</v>
      </c>
      <c r="B753" s="23" t="str">
        <f t="shared" si="66"/>
        <v>Dataset 3</v>
      </c>
      <c r="C753" s="23">
        <f>IFERROR(MATCH($A753,Merge_1_2!$A$2:$A$611,0),0)</f>
        <v>0</v>
      </c>
      <c r="D753" s="23">
        <f>IF($C753&gt;0,INDEX(Merge_1_2!$Q$2:$Q$611,$C753),0)</f>
        <v>0</v>
      </c>
      <c r="E753" s="23">
        <f>IFERROR(MATCH($A753,Dataset3_Raw!$A$2:$A$391,0),0)</f>
        <v>142</v>
      </c>
      <c r="F753" s="24">
        <f>IF($C753&gt;0,INDEX(Merge_1_2!$B$2:$B$611,$C753),DATE(VALUE(RIGHT(INDEX(Dataset3_Raw!$B$2:$B$391,$E753),4)),VALUE(MID(INDEX(Dataset3_Raw!$B$2:$B$391,$E753),4,2)),VALUE(LEFT(INDEX(Dataset3_Raw!$B$2:$B$391,$E753),2))))</f>
        <v>40577</v>
      </c>
      <c r="G753" s="23">
        <f>IF($C753&gt;0,INDEX(Merge_1_2!$C$2:$C$611,$C753),INDEX(Dataset3_Raw!$C$2:$C$391,$E753))</f>
        <v>1</v>
      </c>
      <c r="H753" s="23">
        <f>IF($C753&gt;0,INDEX(Merge_1_2!$D$2:$D$611,$C753),INDEX(Dataset3_Raw!$D$2:$D$391,$E753))</f>
        <v>0</v>
      </c>
      <c r="I753" s="23">
        <f>IF($C753&gt;0,INDEX(Merge_1_2!$E$2:$E$611,$C753),INDEX(Dataset3_Raw!$E$2:$E$391,$E753))</f>
        <v>2</v>
      </c>
      <c r="J753" s="23">
        <f>IF($C753&gt;0,INDEX(Merge_1_2!$F$2:$F$611,$C753),INDEX(Dataset3_Raw!$F$2:$F$391,$E753))</f>
        <v>17</v>
      </c>
      <c r="K753" s="23" t="b">
        <f>IF($C753&gt;0,INDEX(Merge_1_2!$G$2:$G$611,$C753),INDEX(Dataset3_Raw!$G$2:$G$391,$E753))</f>
        <v>0</v>
      </c>
      <c r="L753" s="23">
        <f>IF($C753&gt;0,INDEX(Merge_1_2!$H$2:$H$611,$C753),INDEX(Dataset3_Raw!$H$2:$H$391,$E753))</f>
        <v>4</v>
      </c>
      <c r="M753" s="23">
        <f>IF($C753&gt;0,INDEX(Merge_1_2!$I$2:$I$611,$C753),INDEX(Dataset3_Raw!$I$2:$I$391,$E753))</f>
        <v>1</v>
      </c>
      <c r="N753" s="25">
        <f>IF($C753&gt;0,INDEX(Merge_1_2!$J$2:$J$611,$C753),INDEX(Dataset3_Raw!$J$2:$J$391,$E753))</f>
        <v>0.2</v>
      </c>
      <c r="O753" s="25">
        <f>IF($C753&gt;0,IF(ISNUMBER(INDEX(Merge_1_2!$K$2:$K$611,$C753)),INDEX(Merge_1_2!$K$2:$K$611,$C753),""),INDEX(Dataset3_Raw!$K$2:$K$391,$E753))</f>
        <v>0.19700000000000001</v>
      </c>
      <c r="P753" s="25">
        <f>IF(ISNUMBER($O753),$O753,ROUND(Lookups!$B$25+Lookups!$B$24*$N753,4))</f>
        <v>0.19700000000000001</v>
      </c>
      <c r="Q753" s="25">
        <f>IF($C753&gt;0,INDEX(Merge_1_2!$L$2:$L$611,$C753),INDEX(Dataset3_Raw!$L$2:$L$391,$E753))</f>
        <v>0.4</v>
      </c>
      <c r="R753" s="25">
        <f>IF($C753&gt;0,INDEX(Merge_1_2!$M$2:$M$611,$C753),INDEX(Dataset3_Raw!$M$2:$M$391,$E753))</f>
        <v>0.19400000000000001</v>
      </c>
      <c r="S753" s="23">
        <f>IF($C753&gt;0,INDEX(Merge_1_2!$N$2:$N$611,$C753),INDEX(Dataset3_Raw!$N$2:$N$391,$E753))</f>
        <v>5</v>
      </c>
      <c r="T753" s="23">
        <f>IF($C753&gt;0,INDEX(Merge_1_2!$O$2:$O$611,$C753),INDEX(Dataset3_Raw!$O$2:$O$391,$E753))</f>
        <v>170</v>
      </c>
      <c r="U753" s="23">
        <f>IF($C753&gt;0,INDEX(Merge_1_2!$P$2:$P$611,$C753),INDEX(Dataset3_Raw!$P$2:$P$391,$E753))</f>
        <v>175</v>
      </c>
      <c r="V753" s="23" t="str">
        <f t="shared" si="67"/>
        <v>Weekday</v>
      </c>
      <c r="W753" s="23" t="str">
        <f>VLOOKUP($M753,Lookups!$A$5:$B$8,2,FALSE())</f>
        <v>Clear / Partly cloudy</v>
      </c>
      <c r="X753" s="23" t="str">
        <f>VLOOKUP($G753,Lookups!$D$5:$E$8,2,FALSE())</f>
        <v>Winter</v>
      </c>
      <c r="Y753" s="23" t="str">
        <f>VLOOKUP($L753,Lookups!$G$5:$H$11,2,FALSE())</f>
        <v>Thursday</v>
      </c>
      <c r="Z753" s="23" t="str">
        <f>IF($J753&lt;Lookups!$B$26,"Night",IF($J753&lt;Lookups!$B$27,"Morning",IF($J753&lt;Lookups!$B$28,"Afternoon","Evening")))</f>
        <v>Afternoon</v>
      </c>
      <c r="AA753" s="26">
        <f>ROUND($N753*(Lookups!$B$16-Lookups!$B$15)+Lookups!$B$15,1)</f>
        <v>1.4</v>
      </c>
      <c r="AB753" s="26">
        <f>ROUND($P753*(Lookups!$B$18-Lookups!$B$17)+Lookups!$B$17,1)</f>
        <v>-3</v>
      </c>
      <c r="AC753" s="23">
        <f t="shared" si="68"/>
        <v>40</v>
      </c>
      <c r="AD753" s="23">
        <f>ROUND($R753*Lookups!$B$19,1)</f>
        <v>13</v>
      </c>
      <c r="AE753" s="27">
        <f t="shared" si="69"/>
        <v>0.97142857142857142</v>
      </c>
      <c r="AF753" s="23" t="str">
        <f>IF($U753&gt;=Lookups!$B$23,"High",IF($U753&gt;=Lookups!$B$22,"Medium","Low"))</f>
        <v>High</v>
      </c>
      <c r="AG753" s="23">
        <f>ROUND(IF($V753="Weekday",IF(INDEX(Hourly_Analysis!$D$5:$D$28,$J753+1)&gt;0,($U753-INDEX(Hourly_Analysis!$C$5:$C$28,$J753+1))/INDEX(Hourly_Analysis!$D$5:$D$28,$J753+1),0),IF(INDEX(Hourly_Analysis!$G$5:$G$28,$J753+1)&gt;0,($U753-INDEX(Hourly_Analysis!$F$5:$F$28,$J753+1))/INDEX(Hourly_Analysis!$G$5:$G$28,$J753+1),0)),2)</f>
        <v>0.15</v>
      </c>
      <c r="AH753" s="23" t="str">
        <f>IF(ABS($AG753)&gt;Lookups!$B$20,IF($AG753&gt;0,"High anomaly","Low anomaly"),"")</f>
        <v/>
      </c>
      <c r="AI753" s="23" t="str">
        <f t="shared" si="70"/>
        <v>OK</v>
      </c>
      <c r="AJ753" s="23" t="str">
        <f t="shared" si="71"/>
        <v>No</v>
      </c>
    </row>
    <row r="754" spans="1:36" x14ac:dyDescent="0.35">
      <c r="A754" s="23">
        <v>753</v>
      </c>
      <c r="B754" s="23" t="str">
        <f t="shared" si="66"/>
        <v>Dataset 3</v>
      </c>
      <c r="C754" s="23">
        <f>IFERROR(MATCH($A754,Merge_1_2!$A$2:$A$611,0),0)</f>
        <v>0</v>
      </c>
      <c r="D754" s="23">
        <f>IF($C754&gt;0,INDEX(Merge_1_2!$Q$2:$Q$611,$C754),0)</f>
        <v>0</v>
      </c>
      <c r="E754" s="23">
        <f>IFERROR(MATCH($A754,Dataset3_Raw!$A$2:$A$391,0),0)</f>
        <v>143</v>
      </c>
      <c r="F754" s="24">
        <f>IF($C754&gt;0,INDEX(Merge_1_2!$B$2:$B$611,$C754),DATE(VALUE(RIGHT(INDEX(Dataset3_Raw!$B$2:$B$391,$E754),4)),VALUE(MID(INDEX(Dataset3_Raw!$B$2:$B$391,$E754),4,2)),VALUE(LEFT(INDEX(Dataset3_Raw!$B$2:$B$391,$E754),2))))</f>
        <v>40577</v>
      </c>
      <c r="G754" s="23">
        <f>IF($C754&gt;0,INDEX(Merge_1_2!$C$2:$C$611,$C754),INDEX(Dataset3_Raw!$C$2:$C$391,$E754))</f>
        <v>1</v>
      </c>
      <c r="H754" s="23">
        <f>IF($C754&gt;0,INDEX(Merge_1_2!$D$2:$D$611,$C754),INDEX(Dataset3_Raw!$D$2:$D$391,$E754))</f>
        <v>0</v>
      </c>
      <c r="I754" s="23">
        <f>IF($C754&gt;0,INDEX(Merge_1_2!$E$2:$E$611,$C754),INDEX(Dataset3_Raw!$E$2:$E$391,$E754))</f>
        <v>2</v>
      </c>
      <c r="J754" s="23">
        <f>IF($C754&gt;0,INDEX(Merge_1_2!$F$2:$F$611,$C754),INDEX(Dataset3_Raw!$F$2:$F$391,$E754))</f>
        <v>18</v>
      </c>
      <c r="K754" s="23" t="b">
        <f>IF($C754&gt;0,INDEX(Merge_1_2!$G$2:$G$611,$C754),INDEX(Dataset3_Raw!$G$2:$G$391,$E754))</f>
        <v>0</v>
      </c>
      <c r="L754" s="23">
        <f>IF($C754&gt;0,INDEX(Merge_1_2!$H$2:$H$611,$C754),INDEX(Dataset3_Raw!$H$2:$H$391,$E754))</f>
        <v>4</v>
      </c>
      <c r="M754" s="23">
        <f>IF($C754&gt;0,INDEX(Merge_1_2!$I$2:$I$611,$C754),INDEX(Dataset3_Raw!$I$2:$I$391,$E754))</f>
        <v>1</v>
      </c>
      <c r="N754" s="25">
        <f>IF($C754&gt;0,INDEX(Merge_1_2!$J$2:$J$611,$C754),INDEX(Dataset3_Raw!$J$2:$J$391,$E754))</f>
        <v>0.2</v>
      </c>
      <c r="O754" s="25">
        <f>IF($C754&gt;0,IF(ISNUMBER(INDEX(Merge_1_2!$K$2:$K$611,$C754)),INDEX(Merge_1_2!$K$2:$K$611,$C754),""),INDEX(Dataset3_Raw!$K$2:$K$391,$E754))</f>
        <v>0.21210000000000001</v>
      </c>
      <c r="P754" s="25">
        <f>IF(ISNUMBER($O754),$O754,ROUND(Lookups!$B$25+Lookups!$B$24*$N754,4))</f>
        <v>0.21210000000000001</v>
      </c>
      <c r="Q754" s="25">
        <f>IF($C754&gt;0,INDEX(Merge_1_2!$L$2:$L$611,$C754),INDEX(Dataset3_Raw!$L$2:$L$391,$E754))</f>
        <v>0.4</v>
      </c>
      <c r="R754" s="25">
        <f>IF($C754&gt;0,INDEX(Merge_1_2!$M$2:$M$611,$C754),INDEX(Dataset3_Raw!$M$2:$M$391,$E754))</f>
        <v>0.16420000000000001</v>
      </c>
      <c r="S754" s="23">
        <f>IF($C754&gt;0,INDEX(Merge_1_2!$N$2:$N$611,$C754),INDEX(Dataset3_Raw!$N$2:$N$391,$E754))</f>
        <v>2</v>
      </c>
      <c r="T754" s="23">
        <f>IF($C754&gt;0,INDEX(Merge_1_2!$O$2:$O$611,$C754),INDEX(Dataset3_Raw!$O$2:$O$391,$E754))</f>
        <v>145</v>
      </c>
      <c r="U754" s="23">
        <f>IF($C754&gt;0,INDEX(Merge_1_2!$P$2:$P$611,$C754),INDEX(Dataset3_Raw!$P$2:$P$391,$E754))</f>
        <v>147</v>
      </c>
      <c r="V754" s="23" t="str">
        <f t="shared" si="67"/>
        <v>Weekday</v>
      </c>
      <c r="W754" s="23" t="str">
        <f>VLOOKUP($M754,Lookups!$A$5:$B$8,2,FALSE())</f>
        <v>Clear / Partly cloudy</v>
      </c>
      <c r="X754" s="23" t="str">
        <f>VLOOKUP($G754,Lookups!$D$5:$E$8,2,FALSE())</f>
        <v>Winter</v>
      </c>
      <c r="Y754" s="23" t="str">
        <f>VLOOKUP($L754,Lookups!$G$5:$H$11,2,FALSE())</f>
        <v>Thursday</v>
      </c>
      <c r="Z754" s="23" t="str">
        <f>IF($J754&lt;Lookups!$B$26,"Night",IF($J754&lt;Lookups!$B$27,"Morning",IF($J754&lt;Lookups!$B$28,"Afternoon","Evening")))</f>
        <v>Evening</v>
      </c>
      <c r="AA754" s="26">
        <f>ROUND($N754*(Lookups!$B$16-Lookups!$B$15)+Lookups!$B$15,1)</f>
        <v>1.4</v>
      </c>
      <c r="AB754" s="26">
        <f>ROUND($P754*(Lookups!$B$18-Lookups!$B$17)+Lookups!$B$17,1)</f>
        <v>-2</v>
      </c>
      <c r="AC754" s="23">
        <f t="shared" si="68"/>
        <v>40</v>
      </c>
      <c r="AD754" s="23">
        <f>ROUND($R754*Lookups!$B$19,1)</f>
        <v>11</v>
      </c>
      <c r="AE754" s="27">
        <f t="shared" si="69"/>
        <v>0.98639455782312924</v>
      </c>
      <c r="AF754" s="23" t="str">
        <f>IF($U754&gt;=Lookups!$B$23,"High",IF($U754&gt;=Lookups!$B$22,"Medium","Low"))</f>
        <v>High</v>
      </c>
      <c r="AG754" s="23">
        <f>ROUND(IF($V754="Weekday",IF(INDEX(Hourly_Analysis!$D$5:$D$28,$J754+1)&gt;0,($U754-INDEX(Hourly_Analysis!$C$5:$C$28,$J754+1))/INDEX(Hourly_Analysis!$D$5:$D$28,$J754+1),0),IF(INDEX(Hourly_Analysis!$G$5:$G$28,$J754+1)&gt;0,($U754-INDEX(Hourly_Analysis!$F$5:$F$28,$J754+1))/INDEX(Hourly_Analysis!$G$5:$G$28,$J754+1),0)),2)</f>
        <v>-0.23</v>
      </c>
      <c r="AH754" s="23" t="str">
        <f>IF(ABS($AG754)&gt;Lookups!$B$20,IF($AG754&gt;0,"High anomaly","Low anomaly"),"")</f>
        <v/>
      </c>
      <c r="AI754" s="23" t="str">
        <f t="shared" si="70"/>
        <v>OK</v>
      </c>
      <c r="AJ754" s="23" t="str">
        <f t="shared" si="71"/>
        <v>No</v>
      </c>
    </row>
    <row r="755" spans="1:36" x14ac:dyDescent="0.35">
      <c r="A755" s="23">
        <v>754</v>
      </c>
      <c r="B755" s="23" t="str">
        <f t="shared" si="66"/>
        <v>Dataset 3</v>
      </c>
      <c r="C755" s="23">
        <f>IFERROR(MATCH($A755,Merge_1_2!$A$2:$A$611,0),0)</f>
        <v>0</v>
      </c>
      <c r="D755" s="23">
        <f>IF($C755&gt;0,INDEX(Merge_1_2!$Q$2:$Q$611,$C755),0)</f>
        <v>0</v>
      </c>
      <c r="E755" s="23">
        <f>IFERROR(MATCH($A755,Dataset3_Raw!$A$2:$A$391,0),0)</f>
        <v>144</v>
      </c>
      <c r="F755" s="24">
        <f>IF($C755&gt;0,INDEX(Merge_1_2!$B$2:$B$611,$C755),DATE(VALUE(RIGHT(INDEX(Dataset3_Raw!$B$2:$B$391,$E755),4)),VALUE(MID(INDEX(Dataset3_Raw!$B$2:$B$391,$E755),4,2)),VALUE(LEFT(INDEX(Dataset3_Raw!$B$2:$B$391,$E755),2))))</f>
        <v>40577</v>
      </c>
      <c r="G755" s="23">
        <f>IF($C755&gt;0,INDEX(Merge_1_2!$C$2:$C$611,$C755),INDEX(Dataset3_Raw!$C$2:$C$391,$E755))</f>
        <v>1</v>
      </c>
      <c r="H755" s="23">
        <f>IF($C755&gt;0,INDEX(Merge_1_2!$D$2:$D$611,$C755),INDEX(Dataset3_Raw!$D$2:$D$391,$E755))</f>
        <v>0</v>
      </c>
      <c r="I755" s="23">
        <f>IF($C755&gt;0,INDEX(Merge_1_2!$E$2:$E$611,$C755),INDEX(Dataset3_Raw!$E$2:$E$391,$E755))</f>
        <v>2</v>
      </c>
      <c r="J755" s="23">
        <f>IF($C755&gt;0,INDEX(Merge_1_2!$F$2:$F$611,$C755),INDEX(Dataset3_Raw!$F$2:$F$391,$E755))</f>
        <v>19</v>
      </c>
      <c r="K755" s="23" t="b">
        <f>IF($C755&gt;0,INDEX(Merge_1_2!$G$2:$G$611,$C755),INDEX(Dataset3_Raw!$G$2:$G$391,$E755))</f>
        <v>0</v>
      </c>
      <c r="L755" s="23">
        <f>IF($C755&gt;0,INDEX(Merge_1_2!$H$2:$H$611,$C755),INDEX(Dataset3_Raw!$H$2:$H$391,$E755))</f>
        <v>4</v>
      </c>
      <c r="M755" s="23">
        <f>IF($C755&gt;0,INDEX(Merge_1_2!$I$2:$I$611,$C755),INDEX(Dataset3_Raw!$I$2:$I$391,$E755))</f>
        <v>1</v>
      </c>
      <c r="N755" s="25">
        <f>IF($C755&gt;0,INDEX(Merge_1_2!$J$2:$J$611,$C755),INDEX(Dataset3_Raw!$J$2:$J$391,$E755))</f>
        <v>0.2</v>
      </c>
      <c r="O755" s="25">
        <f>IF($C755&gt;0,IF(ISNUMBER(INDEX(Merge_1_2!$K$2:$K$611,$C755)),INDEX(Merge_1_2!$K$2:$K$611,$C755),""),INDEX(Dataset3_Raw!$K$2:$K$391,$E755))</f>
        <v>0.2576</v>
      </c>
      <c r="P755" s="25">
        <f>IF(ISNUMBER($O755),$O755,ROUND(Lookups!$B$25+Lookups!$B$24*$N755,4))</f>
        <v>0.2576</v>
      </c>
      <c r="Q755" s="25">
        <f>IF($C755&gt;0,INDEX(Merge_1_2!$L$2:$L$611,$C755),INDEX(Dataset3_Raw!$L$2:$L$391,$E755))</f>
        <v>0.4</v>
      </c>
      <c r="R755" s="25">
        <f>IF($C755&gt;0,INDEX(Merge_1_2!$M$2:$M$611,$C755),INDEX(Dataset3_Raw!$M$2:$M$391,$E755))</f>
        <v>0</v>
      </c>
      <c r="S755" s="23">
        <f>IF($C755&gt;0,INDEX(Merge_1_2!$N$2:$N$611,$C755),INDEX(Dataset3_Raw!$N$2:$N$391,$E755))</f>
        <v>4</v>
      </c>
      <c r="T755" s="23">
        <f>IF($C755&gt;0,INDEX(Merge_1_2!$O$2:$O$611,$C755),INDEX(Dataset3_Raw!$O$2:$O$391,$E755))</f>
        <v>92</v>
      </c>
      <c r="U755" s="23">
        <f>IF($C755&gt;0,INDEX(Merge_1_2!$P$2:$P$611,$C755),INDEX(Dataset3_Raw!$P$2:$P$391,$E755))</f>
        <v>96</v>
      </c>
      <c r="V755" s="23" t="str">
        <f t="shared" si="67"/>
        <v>Weekday</v>
      </c>
      <c r="W755" s="23" t="str">
        <f>VLOOKUP($M755,Lookups!$A$5:$B$8,2,FALSE())</f>
        <v>Clear / Partly cloudy</v>
      </c>
      <c r="X755" s="23" t="str">
        <f>VLOOKUP($G755,Lookups!$D$5:$E$8,2,FALSE())</f>
        <v>Winter</v>
      </c>
      <c r="Y755" s="23" t="str">
        <f>VLOOKUP($L755,Lookups!$G$5:$H$11,2,FALSE())</f>
        <v>Thursday</v>
      </c>
      <c r="Z755" s="23" t="str">
        <f>IF($J755&lt;Lookups!$B$26,"Night",IF($J755&lt;Lookups!$B$27,"Morning",IF($J755&lt;Lookups!$B$28,"Afternoon","Evening")))</f>
        <v>Evening</v>
      </c>
      <c r="AA755" s="26">
        <f>ROUND($N755*(Lookups!$B$16-Lookups!$B$15)+Lookups!$B$15,1)</f>
        <v>1.4</v>
      </c>
      <c r="AB755" s="26">
        <f>ROUND($P755*(Lookups!$B$18-Lookups!$B$17)+Lookups!$B$17,1)</f>
        <v>1</v>
      </c>
      <c r="AC755" s="23">
        <f t="shared" si="68"/>
        <v>40</v>
      </c>
      <c r="AD755" s="23">
        <f>ROUND($R755*Lookups!$B$19,1)</f>
        <v>0</v>
      </c>
      <c r="AE755" s="27">
        <f t="shared" si="69"/>
        <v>0.95833333333333337</v>
      </c>
      <c r="AF755" s="23" t="str">
        <f>IF($U755&gt;=Lookups!$B$23,"High",IF($U755&gt;=Lookups!$B$22,"Medium","Low"))</f>
        <v>High</v>
      </c>
      <c r="AG755" s="23">
        <f>ROUND(IF($V755="Weekday",IF(INDEX(Hourly_Analysis!$D$5:$D$28,$J755+1)&gt;0,($U755-INDEX(Hourly_Analysis!$C$5:$C$28,$J755+1))/INDEX(Hourly_Analysis!$D$5:$D$28,$J755+1),0),IF(INDEX(Hourly_Analysis!$G$5:$G$28,$J755+1)&gt;0,($U755-INDEX(Hourly_Analysis!$F$5:$F$28,$J755+1))/INDEX(Hourly_Analysis!$G$5:$G$28,$J755+1),0)),2)</f>
        <v>-0.38</v>
      </c>
      <c r="AH755" s="23" t="str">
        <f>IF(ABS($AG755)&gt;Lookups!$B$20,IF($AG755&gt;0,"High anomaly","Low anomaly"),"")</f>
        <v/>
      </c>
      <c r="AI755" s="23" t="str">
        <f t="shared" si="70"/>
        <v>OK</v>
      </c>
      <c r="AJ755" s="23" t="str">
        <f t="shared" si="71"/>
        <v>No</v>
      </c>
    </row>
    <row r="756" spans="1:36" x14ac:dyDescent="0.35">
      <c r="A756" s="23">
        <v>755</v>
      </c>
      <c r="B756" s="23" t="str">
        <f t="shared" si="66"/>
        <v>Dataset 3</v>
      </c>
      <c r="C756" s="23">
        <f>IFERROR(MATCH($A756,Merge_1_2!$A$2:$A$611,0),0)</f>
        <v>0</v>
      </c>
      <c r="D756" s="23">
        <f>IF($C756&gt;0,INDEX(Merge_1_2!$Q$2:$Q$611,$C756),0)</f>
        <v>0</v>
      </c>
      <c r="E756" s="23">
        <f>IFERROR(MATCH($A756,Dataset3_Raw!$A$2:$A$391,0),0)</f>
        <v>145</v>
      </c>
      <c r="F756" s="24">
        <f>IF($C756&gt;0,INDEX(Merge_1_2!$B$2:$B$611,$C756),DATE(VALUE(RIGHT(INDEX(Dataset3_Raw!$B$2:$B$391,$E756),4)),VALUE(MID(INDEX(Dataset3_Raw!$B$2:$B$391,$E756),4,2)),VALUE(LEFT(INDEX(Dataset3_Raw!$B$2:$B$391,$E756),2))))</f>
        <v>40577</v>
      </c>
      <c r="G756" s="23">
        <f>IF($C756&gt;0,INDEX(Merge_1_2!$C$2:$C$611,$C756),INDEX(Dataset3_Raw!$C$2:$C$391,$E756))</f>
        <v>1</v>
      </c>
      <c r="H756" s="23">
        <f>IF($C756&gt;0,INDEX(Merge_1_2!$D$2:$D$611,$C756),INDEX(Dataset3_Raw!$D$2:$D$391,$E756))</f>
        <v>0</v>
      </c>
      <c r="I756" s="23">
        <f>IF($C756&gt;0,INDEX(Merge_1_2!$E$2:$E$611,$C756),INDEX(Dataset3_Raw!$E$2:$E$391,$E756))</f>
        <v>2</v>
      </c>
      <c r="J756" s="23">
        <f>IF($C756&gt;0,INDEX(Merge_1_2!$F$2:$F$611,$C756),INDEX(Dataset3_Raw!$F$2:$F$391,$E756))</f>
        <v>20</v>
      </c>
      <c r="K756" s="23" t="b">
        <f>IF($C756&gt;0,INDEX(Merge_1_2!$G$2:$G$611,$C756),INDEX(Dataset3_Raw!$G$2:$G$391,$E756))</f>
        <v>0</v>
      </c>
      <c r="L756" s="23">
        <f>IF($C756&gt;0,INDEX(Merge_1_2!$H$2:$H$611,$C756),INDEX(Dataset3_Raw!$H$2:$H$391,$E756))</f>
        <v>4</v>
      </c>
      <c r="M756" s="23">
        <f>IF($C756&gt;0,INDEX(Merge_1_2!$I$2:$I$611,$C756),INDEX(Dataset3_Raw!$I$2:$I$391,$E756))</f>
        <v>1</v>
      </c>
      <c r="N756" s="25">
        <f>IF($C756&gt;0,INDEX(Merge_1_2!$J$2:$J$611,$C756),INDEX(Dataset3_Raw!$J$2:$J$391,$E756))</f>
        <v>0.2</v>
      </c>
      <c r="O756" s="25">
        <f>IF($C756&gt;0,IF(ISNUMBER(INDEX(Merge_1_2!$K$2:$K$611,$C756)),INDEX(Merge_1_2!$K$2:$K$611,$C756),""),INDEX(Dataset3_Raw!$K$2:$K$391,$E756))</f>
        <v>0.2273</v>
      </c>
      <c r="P756" s="25">
        <f>IF(ISNUMBER($O756),$O756,ROUND(Lookups!$B$25+Lookups!$B$24*$N756,4))</f>
        <v>0.2273</v>
      </c>
      <c r="Q756" s="25">
        <f>IF($C756&gt;0,INDEX(Merge_1_2!$L$2:$L$611,$C756),INDEX(Dataset3_Raw!$L$2:$L$391,$E756))</f>
        <v>0.47</v>
      </c>
      <c r="R756" s="25">
        <f>IF($C756&gt;0,INDEX(Merge_1_2!$M$2:$M$611,$C756),INDEX(Dataset3_Raw!$M$2:$M$391,$E756))</f>
        <v>8.9599999999999999E-2</v>
      </c>
      <c r="S756" s="23">
        <f>IF($C756&gt;0,INDEX(Merge_1_2!$N$2:$N$611,$C756),INDEX(Dataset3_Raw!$N$2:$N$391,$E756))</f>
        <v>1</v>
      </c>
      <c r="T756" s="23">
        <f>IF($C756&gt;0,INDEX(Merge_1_2!$O$2:$O$611,$C756),INDEX(Dataset3_Raw!$O$2:$O$391,$E756))</f>
        <v>108</v>
      </c>
      <c r="U756" s="23">
        <f>IF($C756&gt;0,INDEX(Merge_1_2!$P$2:$P$611,$C756),INDEX(Dataset3_Raw!$P$2:$P$391,$E756))</f>
        <v>109</v>
      </c>
      <c r="V756" s="23" t="str">
        <f t="shared" si="67"/>
        <v>Weekday</v>
      </c>
      <c r="W756" s="23" t="str">
        <f>VLOOKUP($M756,Lookups!$A$5:$B$8,2,FALSE())</f>
        <v>Clear / Partly cloudy</v>
      </c>
      <c r="X756" s="23" t="str">
        <f>VLOOKUP($G756,Lookups!$D$5:$E$8,2,FALSE())</f>
        <v>Winter</v>
      </c>
      <c r="Y756" s="23" t="str">
        <f>VLOOKUP($L756,Lookups!$G$5:$H$11,2,FALSE())</f>
        <v>Thursday</v>
      </c>
      <c r="Z756" s="23" t="str">
        <f>IF($J756&lt;Lookups!$B$26,"Night",IF($J756&lt;Lookups!$B$27,"Morning",IF($J756&lt;Lookups!$B$28,"Afternoon","Evening")))</f>
        <v>Evening</v>
      </c>
      <c r="AA756" s="26">
        <f>ROUND($N756*(Lookups!$B$16-Lookups!$B$15)+Lookups!$B$15,1)</f>
        <v>1.4</v>
      </c>
      <c r="AB756" s="26">
        <f>ROUND($P756*(Lookups!$B$18-Lookups!$B$17)+Lookups!$B$17,1)</f>
        <v>-1</v>
      </c>
      <c r="AC756" s="23">
        <f t="shared" si="68"/>
        <v>47</v>
      </c>
      <c r="AD756" s="23">
        <f>ROUND($R756*Lookups!$B$19,1)</f>
        <v>6</v>
      </c>
      <c r="AE756" s="27">
        <f t="shared" si="69"/>
        <v>0.99082568807339455</v>
      </c>
      <c r="AF756" s="23" t="str">
        <f>IF($U756&gt;=Lookups!$B$23,"High",IF($U756&gt;=Lookups!$B$22,"Medium","Low"))</f>
        <v>High</v>
      </c>
      <c r="AG756" s="23">
        <f>ROUND(IF($V756="Weekday",IF(INDEX(Hourly_Analysis!$D$5:$D$28,$J756+1)&gt;0,($U756-INDEX(Hourly_Analysis!$C$5:$C$28,$J756+1))/INDEX(Hourly_Analysis!$D$5:$D$28,$J756+1),0),IF(INDEX(Hourly_Analysis!$G$5:$G$28,$J756+1)&gt;0,($U756-INDEX(Hourly_Analysis!$F$5:$F$28,$J756+1))/INDEX(Hourly_Analysis!$G$5:$G$28,$J756+1),0)),2)</f>
        <v>1.67</v>
      </c>
      <c r="AH756" s="23" t="str">
        <f>IF(ABS($AG756)&gt;Lookups!$B$20,IF($AG756&gt;0,"High anomaly","Low anomaly"),"")</f>
        <v/>
      </c>
      <c r="AI756" s="23" t="str">
        <f t="shared" si="70"/>
        <v>OK</v>
      </c>
      <c r="AJ756" s="23" t="str">
        <f t="shared" si="71"/>
        <v>No</v>
      </c>
    </row>
    <row r="757" spans="1:36" x14ac:dyDescent="0.35">
      <c r="A757" s="23">
        <v>756</v>
      </c>
      <c r="B757" s="23" t="str">
        <f t="shared" si="66"/>
        <v>Dataset 3</v>
      </c>
      <c r="C757" s="23">
        <f>IFERROR(MATCH($A757,Merge_1_2!$A$2:$A$611,0),0)</f>
        <v>0</v>
      </c>
      <c r="D757" s="23">
        <f>IF($C757&gt;0,INDEX(Merge_1_2!$Q$2:$Q$611,$C757),0)</f>
        <v>0</v>
      </c>
      <c r="E757" s="23">
        <f>IFERROR(MATCH($A757,Dataset3_Raw!$A$2:$A$391,0),0)</f>
        <v>146</v>
      </c>
      <c r="F757" s="24">
        <f>IF($C757&gt;0,INDEX(Merge_1_2!$B$2:$B$611,$C757),DATE(VALUE(RIGHT(INDEX(Dataset3_Raw!$B$2:$B$391,$E757),4)),VALUE(MID(INDEX(Dataset3_Raw!$B$2:$B$391,$E757),4,2)),VALUE(LEFT(INDEX(Dataset3_Raw!$B$2:$B$391,$E757),2))))</f>
        <v>40577</v>
      </c>
      <c r="G757" s="23">
        <f>IF($C757&gt;0,INDEX(Merge_1_2!$C$2:$C$611,$C757),INDEX(Dataset3_Raw!$C$2:$C$391,$E757))</f>
        <v>1</v>
      </c>
      <c r="H757" s="23">
        <f>IF($C757&gt;0,INDEX(Merge_1_2!$D$2:$D$611,$C757),INDEX(Dataset3_Raw!$D$2:$D$391,$E757))</f>
        <v>0</v>
      </c>
      <c r="I757" s="23">
        <f>IF($C757&gt;0,INDEX(Merge_1_2!$E$2:$E$611,$C757),INDEX(Dataset3_Raw!$E$2:$E$391,$E757))</f>
        <v>2</v>
      </c>
      <c r="J757" s="23">
        <f>IF($C757&gt;0,INDEX(Merge_1_2!$F$2:$F$611,$C757),INDEX(Dataset3_Raw!$F$2:$F$391,$E757))</f>
        <v>21</v>
      </c>
      <c r="K757" s="23" t="b">
        <f>IF($C757&gt;0,INDEX(Merge_1_2!$G$2:$G$611,$C757),INDEX(Dataset3_Raw!$G$2:$G$391,$E757))</f>
        <v>0</v>
      </c>
      <c r="L757" s="23">
        <f>IF($C757&gt;0,INDEX(Merge_1_2!$H$2:$H$611,$C757),INDEX(Dataset3_Raw!$H$2:$H$391,$E757))</f>
        <v>4</v>
      </c>
      <c r="M757" s="23">
        <f>IF($C757&gt;0,INDEX(Merge_1_2!$I$2:$I$611,$C757),INDEX(Dataset3_Raw!$I$2:$I$391,$E757))</f>
        <v>1</v>
      </c>
      <c r="N757" s="25">
        <f>IF($C757&gt;0,INDEX(Merge_1_2!$J$2:$J$611,$C757),INDEX(Dataset3_Raw!$J$2:$J$391,$E757))</f>
        <v>0.18</v>
      </c>
      <c r="O757" s="25">
        <f>IF($C757&gt;0,IF(ISNUMBER(INDEX(Merge_1_2!$K$2:$K$611,$C757)),INDEX(Merge_1_2!$K$2:$K$611,$C757),""),INDEX(Dataset3_Raw!$K$2:$K$391,$E757))</f>
        <v>0.21210000000000001</v>
      </c>
      <c r="P757" s="25">
        <f>IF(ISNUMBER($O757),$O757,ROUND(Lookups!$B$25+Lookups!$B$24*$N757,4))</f>
        <v>0.21210000000000001</v>
      </c>
      <c r="Q757" s="25">
        <f>IF($C757&gt;0,INDEX(Merge_1_2!$L$2:$L$611,$C757),INDEX(Dataset3_Raw!$L$2:$L$391,$E757))</f>
        <v>0.55000000000000004</v>
      </c>
      <c r="R757" s="25">
        <f>IF($C757&gt;0,INDEX(Merge_1_2!$M$2:$M$611,$C757),INDEX(Dataset3_Raw!$M$2:$M$391,$E757))</f>
        <v>0.1045</v>
      </c>
      <c r="S757" s="23">
        <f>IF($C757&gt;0,INDEX(Merge_1_2!$N$2:$N$611,$C757),INDEX(Dataset3_Raw!$N$2:$N$391,$E757))</f>
        <v>1</v>
      </c>
      <c r="T757" s="23">
        <f>IF($C757&gt;0,INDEX(Merge_1_2!$O$2:$O$611,$C757),INDEX(Dataset3_Raw!$O$2:$O$391,$E757))</f>
        <v>53</v>
      </c>
      <c r="U757" s="23">
        <f>IF($C757&gt;0,INDEX(Merge_1_2!$P$2:$P$611,$C757),INDEX(Dataset3_Raw!$P$2:$P$391,$E757))</f>
        <v>54</v>
      </c>
      <c r="V757" s="23" t="str">
        <f t="shared" si="67"/>
        <v>Weekday</v>
      </c>
      <c r="W757" s="23" t="str">
        <f>VLOOKUP($M757,Lookups!$A$5:$B$8,2,FALSE())</f>
        <v>Clear / Partly cloudy</v>
      </c>
      <c r="X757" s="23" t="str">
        <f>VLOOKUP($G757,Lookups!$D$5:$E$8,2,FALSE())</f>
        <v>Winter</v>
      </c>
      <c r="Y757" s="23" t="str">
        <f>VLOOKUP($L757,Lookups!$G$5:$H$11,2,FALSE())</f>
        <v>Thursday</v>
      </c>
      <c r="Z757" s="23" t="str">
        <f>IF($J757&lt;Lookups!$B$26,"Night",IF($J757&lt;Lookups!$B$27,"Morning",IF($J757&lt;Lookups!$B$28,"Afternoon","Evening")))</f>
        <v>Evening</v>
      </c>
      <c r="AA757" s="26">
        <f>ROUND($N757*(Lookups!$B$16-Lookups!$B$15)+Lookups!$B$15,1)</f>
        <v>0.5</v>
      </c>
      <c r="AB757" s="26">
        <f>ROUND($P757*(Lookups!$B$18-Lookups!$B$17)+Lookups!$B$17,1)</f>
        <v>-2</v>
      </c>
      <c r="AC757" s="23">
        <f t="shared" si="68"/>
        <v>55</v>
      </c>
      <c r="AD757" s="23">
        <f>ROUND($R757*Lookups!$B$19,1)</f>
        <v>7</v>
      </c>
      <c r="AE757" s="27">
        <f t="shared" si="69"/>
        <v>0.98148148148148151</v>
      </c>
      <c r="AF757" s="23" t="str">
        <f>IF($U757&gt;=Lookups!$B$23,"High",IF($U757&gt;=Lookups!$B$22,"Medium","Low"))</f>
        <v>Medium</v>
      </c>
      <c r="AG757" s="23">
        <f>ROUND(IF($V757="Weekday",IF(INDEX(Hourly_Analysis!$D$5:$D$28,$J757+1)&gt;0,($U757-INDEX(Hourly_Analysis!$C$5:$C$28,$J757+1))/INDEX(Hourly_Analysis!$D$5:$D$28,$J757+1),0),IF(INDEX(Hourly_Analysis!$G$5:$G$28,$J757+1)&gt;0,($U757-INDEX(Hourly_Analysis!$F$5:$F$28,$J757+1))/INDEX(Hourly_Analysis!$G$5:$G$28,$J757+1),0)),2)</f>
        <v>0.17</v>
      </c>
      <c r="AH757" s="23" t="str">
        <f>IF(ABS($AG757)&gt;Lookups!$B$20,IF($AG757&gt;0,"High anomaly","Low anomaly"),"")</f>
        <v/>
      </c>
      <c r="AI757" s="23" t="str">
        <f t="shared" si="70"/>
        <v>OK</v>
      </c>
      <c r="AJ757" s="23" t="str">
        <f t="shared" si="71"/>
        <v>No</v>
      </c>
    </row>
    <row r="758" spans="1:36" x14ac:dyDescent="0.35">
      <c r="A758" s="23">
        <v>757</v>
      </c>
      <c r="B758" s="23" t="str">
        <f t="shared" si="66"/>
        <v>Dataset 3</v>
      </c>
      <c r="C758" s="23">
        <f>IFERROR(MATCH($A758,Merge_1_2!$A$2:$A$611,0),0)</f>
        <v>0</v>
      </c>
      <c r="D758" s="23">
        <f>IF($C758&gt;0,INDEX(Merge_1_2!$Q$2:$Q$611,$C758),0)</f>
        <v>0</v>
      </c>
      <c r="E758" s="23">
        <f>IFERROR(MATCH($A758,Dataset3_Raw!$A$2:$A$391,0),0)</f>
        <v>147</v>
      </c>
      <c r="F758" s="24">
        <f>IF($C758&gt;0,INDEX(Merge_1_2!$B$2:$B$611,$C758),DATE(VALUE(RIGHT(INDEX(Dataset3_Raw!$B$2:$B$391,$E758),4)),VALUE(MID(INDEX(Dataset3_Raw!$B$2:$B$391,$E758),4,2)),VALUE(LEFT(INDEX(Dataset3_Raw!$B$2:$B$391,$E758),2))))</f>
        <v>40577</v>
      </c>
      <c r="G758" s="23">
        <f>IF($C758&gt;0,INDEX(Merge_1_2!$C$2:$C$611,$C758),INDEX(Dataset3_Raw!$C$2:$C$391,$E758))</f>
        <v>1</v>
      </c>
      <c r="H758" s="23">
        <f>IF($C758&gt;0,INDEX(Merge_1_2!$D$2:$D$611,$C758),INDEX(Dataset3_Raw!$D$2:$D$391,$E758))</f>
        <v>0</v>
      </c>
      <c r="I758" s="23">
        <f>IF($C758&gt;0,INDEX(Merge_1_2!$E$2:$E$611,$C758),INDEX(Dataset3_Raw!$E$2:$E$391,$E758))</f>
        <v>2</v>
      </c>
      <c r="J758" s="23">
        <f>IF($C758&gt;0,INDEX(Merge_1_2!$F$2:$F$611,$C758),INDEX(Dataset3_Raw!$F$2:$F$391,$E758))</f>
        <v>22</v>
      </c>
      <c r="K758" s="23" t="b">
        <f>IF($C758&gt;0,INDEX(Merge_1_2!$G$2:$G$611,$C758),INDEX(Dataset3_Raw!$G$2:$G$391,$E758))</f>
        <v>0</v>
      </c>
      <c r="L758" s="23">
        <f>IF($C758&gt;0,INDEX(Merge_1_2!$H$2:$H$611,$C758),INDEX(Dataset3_Raw!$H$2:$H$391,$E758))</f>
        <v>4</v>
      </c>
      <c r="M758" s="23">
        <f>IF($C758&gt;0,INDEX(Merge_1_2!$I$2:$I$611,$C758),INDEX(Dataset3_Raw!$I$2:$I$391,$E758))</f>
        <v>1</v>
      </c>
      <c r="N758" s="25">
        <f>IF($C758&gt;0,INDEX(Merge_1_2!$J$2:$J$611,$C758),INDEX(Dataset3_Raw!$J$2:$J$391,$E758))</f>
        <v>0.18</v>
      </c>
      <c r="O758" s="25">
        <f>IF($C758&gt;0,IF(ISNUMBER(INDEX(Merge_1_2!$K$2:$K$611,$C758)),INDEX(Merge_1_2!$K$2:$K$611,$C758),""),INDEX(Dataset3_Raw!$K$2:$K$391,$E758))</f>
        <v>0.21210000000000001</v>
      </c>
      <c r="P758" s="25">
        <f>IF(ISNUMBER($O758),$O758,ROUND(Lookups!$B$25+Lookups!$B$24*$N758,4))</f>
        <v>0.21210000000000001</v>
      </c>
      <c r="Q758" s="25">
        <f>IF($C758&gt;0,INDEX(Merge_1_2!$L$2:$L$611,$C758),INDEX(Dataset3_Raw!$L$2:$L$391,$E758))</f>
        <v>0.51</v>
      </c>
      <c r="R758" s="25">
        <f>IF($C758&gt;0,INDEX(Merge_1_2!$M$2:$M$611,$C758),INDEX(Dataset3_Raw!$M$2:$M$391,$E758))</f>
        <v>8.9599999999999999E-2</v>
      </c>
      <c r="S758" s="23">
        <f>IF($C758&gt;0,INDEX(Merge_1_2!$N$2:$N$611,$C758),INDEX(Dataset3_Raw!$N$2:$N$391,$E758))</f>
        <v>2</v>
      </c>
      <c r="T758" s="23">
        <f>IF($C758&gt;0,INDEX(Merge_1_2!$O$2:$O$611,$C758),INDEX(Dataset3_Raw!$O$2:$O$391,$E758))</f>
        <v>39</v>
      </c>
      <c r="U758" s="23">
        <f>IF($C758&gt;0,INDEX(Merge_1_2!$P$2:$P$611,$C758),INDEX(Dataset3_Raw!$P$2:$P$391,$E758))</f>
        <v>41</v>
      </c>
      <c r="V758" s="23" t="str">
        <f t="shared" si="67"/>
        <v>Weekday</v>
      </c>
      <c r="W758" s="23" t="str">
        <f>VLOOKUP($M758,Lookups!$A$5:$B$8,2,FALSE())</f>
        <v>Clear / Partly cloudy</v>
      </c>
      <c r="X758" s="23" t="str">
        <f>VLOOKUP($G758,Lookups!$D$5:$E$8,2,FALSE())</f>
        <v>Winter</v>
      </c>
      <c r="Y758" s="23" t="str">
        <f>VLOOKUP($L758,Lookups!$G$5:$H$11,2,FALSE())</f>
        <v>Thursday</v>
      </c>
      <c r="Z758" s="23" t="str">
        <f>IF($J758&lt;Lookups!$B$26,"Night",IF($J758&lt;Lookups!$B$27,"Morning",IF($J758&lt;Lookups!$B$28,"Afternoon","Evening")))</f>
        <v>Evening</v>
      </c>
      <c r="AA758" s="26">
        <f>ROUND($N758*(Lookups!$B$16-Lookups!$B$15)+Lookups!$B$15,1)</f>
        <v>0.5</v>
      </c>
      <c r="AB758" s="26">
        <f>ROUND($P758*(Lookups!$B$18-Lookups!$B$17)+Lookups!$B$17,1)</f>
        <v>-2</v>
      </c>
      <c r="AC758" s="23">
        <f t="shared" si="68"/>
        <v>51</v>
      </c>
      <c r="AD758" s="23">
        <f>ROUND($R758*Lookups!$B$19,1)</f>
        <v>6</v>
      </c>
      <c r="AE758" s="27">
        <f t="shared" si="69"/>
        <v>0.95121951219512191</v>
      </c>
      <c r="AF758" s="23" t="str">
        <f>IF($U758&gt;=Lookups!$B$23,"High",IF($U758&gt;=Lookups!$B$22,"Medium","Low"))</f>
        <v>Medium</v>
      </c>
      <c r="AG758" s="23">
        <f>ROUND(IF($V758="Weekday",IF(INDEX(Hourly_Analysis!$D$5:$D$28,$J758+1)&gt;0,($U758-INDEX(Hourly_Analysis!$C$5:$C$28,$J758+1))/INDEX(Hourly_Analysis!$D$5:$D$28,$J758+1),0),IF(INDEX(Hourly_Analysis!$G$5:$G$28,$J758+1)&gt;0,($U758-INDEX(Hourly_Analysis!$F$5:$F$28,$J758+1))/INDEX(Hourly_Analysis!$G$5:$G$28,$J758+1),0)),2)</f>
        <v>0.31</v>
      </c>
      <c r="AH758" s="23" t="str">
        <f>IF(ABS($AG758)&gt;Lookups!$B$20,IF($AG758&gt;0,"High anomaly","Low anomaly"),"")</f>
        <v/>
      </c>
      <c r="AI758" s="23" t="str">
        <f t="shared" si="70"/>
        <v>OK</v>
      </c>
      <c r="AJ758" s="23" t="str">
        <f t="shared" si="71"/>
        <v>No</v>
      </c>
    </row>
    <row r="759" spans="1:36" x14ac:dyDescent="0.35">
      <c r="A759" s="23">
        <v>758</v>
      </c>
      <c r="B759" s="23" t="str">
        <f t="shared" si="66"/>
        <v>Dataset 3</v>
      </c>
      <c r="C759" s="23">
        <f>IFERROR(MATCH($A759,Merge_1_2!$A$2:$A$611,0),0)</f>
        <v>0</v>
      </c>
      <c r="D759" s="23">
        <f>IF($C759&gt;0,INDEX(Merge_1_2!$Q$2:$Q$611,$C759),0)</f>
        <v>0</v>
      </c>
      <c r="E759" s="23">
        <f>IFERROR(MATCH($A759,Dataset3_Raw!$A$2:$A$391,0),0)</f>
        <v>148</v>
      </c>
      <c r="F759" s="24">
        <f>IF($C759&gt;0,INDEX(Merge_1_2!$B$2:$B$611,$C759),DATE(VALUE(RIGHT(INDEX(Dataset3_Raw!$B$2:$B$391,$E759),4)),VALUE(MID(INDEX(Dataset3_Raw!$B$2:$B$391,$E759),4,2)),VALUE(LEFT(INDEX(Dataset3_Raw!$B$2:$B$391,$E759),2))))</f>
        <v>40577</v>
      </c>
      <c r="G759" s="23">
        <f>IF($C759&gt;0,INDEX(Merge_1_2!$C$2:$C$611,$C759),INDEX(Dataset3_Raw!$C$2:$C$391,$E759))</f>
        <v>1</v>
      </c>
      <c r="H759" s="23">
        <f>IF($C759&gt;0,INDEX(Merge_1_2!$D$2:$D$611,$C759),INDEX(Dataset3_Raw!$D$2:$D$391,$E759))</f>
        <v>0</v>
      </c>
      <c r="I759" s="23">
        <f>IF($C759&gt;0,INDEX(Merge_1_2!$E$2:$E$611,$C759),INDEX(Dataset3_Raw!$E$2:$E$391,$E759))</f>
        <v>2</v>
      </c>
      <c r="J759" s="23">
        <f>IF($C759&gt;0,INDEX(Merge_1_2!$F$2:$F$611,$C759),INDEX(Dataset3_Raw!$F$2:$F$391,$E759))</f>
        <v>23</v>
      </c>
      <c r="K759" s="23" t="b">
        <f>IF($C759&gt;0,INDEX(Merge_1_2!$G$2:$G$611,$C759),INDEX(Dataset3_Raw!$G$2:$G$391,$E759))</f>
        <v>0</v>
      </c>
      <c r="L759" s="23">
        <f>IF($C759&gt;0,INDEX(Merge_1_2!$H$2:$H$611,$C759),INDEX(Dataset3_Raw!$H$2:$H$391,$E759))</f>
        <v>4</v>
      </c>
      <c r="M759" s="23">
        <f>IF($C759&gt;0,INDEX(Merge_1_2!$I$2:$I$611,$C759),INDEX(Dataset3_Raw!$I$2:$I$391,$E759))</f>
        <v>1</v>
      </c>
      <c r="N759" s="25">
        <f>IF($C759&gt;0,INDEX(Merge_1_2!$J$2:$J$611,$C759),INDEX(Dataset3_Raw!$J$2:$J$391,$E759))</f>
        <v>0.2</v>
      </c>
      <c r="O759" s="25">
        <f>IF($C759&gt;0,IF(ISNUMBER(INDEX(Merge_1_2!$K$2:$K$611,$C759)),INDEX(Merge_1_2!$K$2:$K$611,$C759),""),INDEX(Dataset3_Raw!$K$2:$K$391,$E759))</f>
        <v>0.2273</v>
      </c>
      <c r="P759" s="25">
        <f>IF(ISNUMBER($O759),$O759,ROUND(Lookups!$B$25+Lookups!$B$24*$N759,4))</f>
        <v>0.2273</v>
      </c>
      <c r="Q759" s="25">
        <f>IF($C759&gt;0,INDEX(Merge_1_2!$L$2:$L$611,$C759),INDEX(Dataset3_Raw!$L$2:$L$391,$E759))</f>
        <v>0.47</v>
      </c>
      <c r="R759" s="25">
        <f>IF($C759&gt;0,INDEX(Merge_1_2!$M$2:$M$611,$C759),INDEX(Dataset3_Raw!$M$2:$M$391,$E759))</f>
        <v>0.1045</v>
      </c>
      <c r="S759" s="23">
        <f>IF($C759&gt;0,INDEX(Merge_1_2!$N$2:$N$611,$C759),INDEX(Dataset3_Raw!$N$2:$N$391,$E759))</f>
        <v>4</v>
      </c>
      <c r="T759" s="23">
        <f>IF($C759&gt;0,INDEX(Merge_1_2!$O$2:$O$611,$C759),INDEX(Dataset3_Raw!$O$2:$O$391,$E759))</f>
        <v>34</v>
      </c>
      <c r="U759" s="23">
        <f>IF($C759&gt;0,INDEX(Merge_1_2!$P$2:$P$611,$C759),INDEX(Dataset3_Raw!$P$2:$P$391,$E759))</f>
        <v>38</v>
      </c>
      <c r="V759" s="23" t="str">
        <f t="shared" si="67"/>
        <v>Weekday</v>
      </c>
      <c r="W759" s="23" t="str">
        <f>VLOOKUP($M759,Lookups!$A$5:$B$8,2,FALSE())</f>
        <v>Clear / Partly cloudy</v>
      </c>
      <c r="X759" s="23" t="str">
        <f>VLOOKUP($G759,Lookups!$D$5:$E$8,2,FALSE())</f>
        <v>Winter</v>
      </c>
      <c r="Y759" s="23" t="str">
        <f>VLOOKUP($L759,Lookups!$G$5:$H$11,2,FALSE())</f>
        <v>Thursday</v>
      </c>
      <c r="Z759" s="23" t="str">
        <f>IF($J759&lt;Lookups!$B$26,"Night",IF($J759&lt;Lookups!$B$27,"Morning",IF($J759&lt;Lookups!$B$28,"Afternoon","Evening")))</f>
        <v>Evening</v>
      </c>
      <c r="AA759" s="26">
        <f>ROUND($N759*(Lookups!$B$16-Lookups!$B$15)+Lookups!$B$15,1)</f>
        <v>1.4</v>
      </c>
      <c r="AB759" s="26">
        <f>ROUND($P759*(Lookups!$B$18-Lookups!$B$17)+Lookups!$B$17,1)</f>
        <v>-1</v>
      </c>
      <c r="AC759" s="23">
        <f t="shared" si="68"/>
        <v>47</v>
      </c>
      <c r="AD759" s="23">
        <f>ROUND($R759*Lookups!$B$19,1)</f>
        <v>7</v>
      </c>
      <c r="AE759" s="27">
        <f t="shared" si="69"/>
        <v>0.89473684210526316</v>
      </c>
      <c r="AF759" s="23" t="str">
        <f>IF($U759&gt;=Lookups!$B$23,"High",IF($U759&gt;=Lookups!$B$22,"Medium","Low"))</f>
        <v>Medium</v>
      </c>
      <c r="AG759" s="23">
        <f>ROUND(IF($V759="Weekday",IF(INDEX(Hourly_Analysis!$D$5:$D$28,$J759+1)&gt;0,($U759-INDEX(Hourly_Analysis!$C$5:$C$28,$J759+1))/INDEX(Hourly_Analysis!$D$5:$D$28,$J759+1),0),IF(INDEX(Hourly_Analysis!$G$5:$G$28,$J759+1)&gt;0,($U759-INDEX(Hourly_Analysis!$F$5:$F$28,$J759+1))/INDEX(Hourly_Analysis!$G$5:$G$28,$J759+1),0)),2)</f>
        <v>1.37</v>
      </c>
      <c r="AH759" s="23" t="str">
        <f>IF(ABS($AG759)&gt;Lookups!$B$20,IF($AG759&gt;0,"High anomaly","Low anomaly"),"")</f>
        <v/>
      </c>
      <c r="AI759" s="23" t="str">
        <f t="shared" si="70"/>
        <v>OK</v>
      </c>
      <c r="AJ759" s="23" t="str">
        <f t="shared" si="71"/>
        <v>No</v>
      </c>
    </row>
    <row r="760" spans="1:36" x14ac:dyDescent="0.35">
      <c r="A760" s="23">
        <v>759</v>
      </c>
      <c r="B760" s="23" t="str">
        <f t="shared" si="66"/>
        <v>Dataset 3</v>
      </c>
      <c r="C760" s="23">
        <f>IFERROR(MATCH($A760,Merge_1_2!$A$2:$A$611,0),0)</f>
        <v>0</v>
      </c>
      <c r="D760" s="23">
        <f>IF($C760&gt;0,INDEX(Merge_1_2!$Q$2:$Q$611,$C760),0)</f>
        <v>0</v>
      </c>
      <c r="E760" s="23">
        <f>IFERROR(MATCH($A760,Dataset3_Raw!$A$2:$A$391,0),0)</f>
        <v>149</v>
      </c>
      <c r="F760" s="24">
        <f>IF($C760&gt;0,INDEX(Merge_1_2!$B$2:$B$611,$C760),DATE(VALUE(RIGHT(INDEX(Dataset3_Raw!$B$2:$B$391,$E760),4)),VALUE(MID(INDEX(Dataset3_Raw!$B$2:$B$391,$E760),4,2)),VALUE(LEFT(INDEX(Dataset3_Raw!$B$2:$B$391,$E760),2))))</f>
        <v>40578</v>
      </c>
      <c r="G760" s="23">
        <f>IF($C760&gt;0,INDEX(Merge_1_2!$C$2:$C$611,$C760),INDEX(Dataset3_Raw!$C$2:$C$391,$E760))</f>
        <v>1</v>
      </c>
      <c r="H760" s="23">
        <f>IF($C760&gt;0,INDEX(Merge_1_2!$D$2:$D$611,$C760),INDEX(Dataset3_Raw!$D$2:$D$391,$E760))</f>
        <v>0</v>
      </c>
      <c r="I760" s="23">
        <f>IF($C760&gt;0,INDEX(Merge_1_2!$E$2:$E$611,$C760),INDEX(Dataset3_Raw!$E$2:$E$391,$E760))</f>
        <v>2</v>
      </c>
      <c r="J760" s="23">
        <f>IF($C760&gt;0,INDEX(Merge_1_2!$F$2:$F$611,$C760),INDEX(Dataset3_Raw!$F$2:$F$391,$E760))</f>
        <v>0</v>
      </c>
      <c r="K760" s="23" t="b">
        <f>IF($C760&gt;0,INDEX(Merge_1_2!$G$2:$G$611,$C760),INDEX(Dataset3_Raw!$G$2:$G$391,$E760))</f>
        <v>0</v>
      </c>
      <c r="L760" s="23">
        <f>IF($C760&gt;0,INDEX(Merge_1_2!$H$2:$H$611,$C760),INDEX(Dataset3_Raw!$H$2:$H$391,$E760))</f>
        <v>5</v>
      </c>
      <c r="M760" s="23">
        <f>IF($C760&gt;0,INDEX(Merge_1_2!$I$2:$I$611,$C760),INDEX(Dataset3_Raw!$I$2:$I$391,$E760))</f>
        <v>2</v>
      </c>
      <c r="N760" s="25">
        <f>IF($C760&gt;0,INDEX(Merge_1_2!$J$2:$J$611,$C760),INDEX(Dataset3_Raw!$J$2:$J$391,$E760))</f>
        <v>0.2</v>
      </c>
      <c r="O760" s="25">
        <f>IF($C760&gt;0,IF(ISNUMBER(INDEX(Merge_1_2!$K$2:$K$611,$C760)),INDEX(Merge_1_2!$K$2:$K$611,$C760),""),INDEX(Dataset3_Raw!$K$2:$K$391,$E760))</f>
        <v>0.2576</v>
      </c>
      <c r="P760" s="25">
        <f>IF(ISNUMBER($O760),$O760,ROUND(Lookups!$B$25+Lookups!$B$24*$N760,4))</f>
        <v>0.2576</v>
      </c>
      <c r="Q760" s="25">
        <f>IF($C760&gt;0,INDEX(Merge_1_2!$L$2:$L$611,$C760),INDEX(Dataset3_Raw!$L$2:$L$391,$E760))</f>
        <v>0.44</v>
      </c>
      <c r="R760" s="25">
        <f>IF($C760&gt;0,INDEX(Merge_1_2!$M$2:$M$611,$C760),INDEX(Dataset3_Raw!$M$2:$M$391,$E760))</f>
        <v>0</v>
      </c>
      <c r="S760" s="23">
        <f>IF($C760&gt;0,INDEX(Merge_1_2!$N$2:$N$611,$C760),INDEX(Dataset3_Raw!$N$2:$N$391,$E760))</f>
        <v>3</v>
      </c>
      <c r="T760" s="23">
        <f>IF($C760&gt;0,INDEX(Merge_1_2!$O$2:$O$611,$C760),INDEX(Dataset3_Raw!$O$2:$O$391,$E760))</f>
        <v>10</v>
      </c>
      <c r="U760" s="23">
        <f>IF($C760&gt;0,INDEX(Merge_1_2!$P$2:$P$611,$C760),INDEX(Dataset3_Raw!$P$2:$P$391,$E760))</f>
        <v>13</v>
      </c>
      <c r="V760" s="23" t="str">
        <f t="shared" si="67"/>
        <v>Weekday</v>
      </c>
      <c r="W760" s="23" t="str">
        <f>VLOOKUP($M760,Lookups!$A$5:$B$8,2,FALSE())</f>
        <v>Mist / Cloudy</v>
      </c>
      <c r="X760" s="23" t="str">
        <f>VLOOKUP($G760,Lookups!$D$5:$E$8,2,FALSE())</f>
        <v>Winter</v>
      </c>
      <c r="Y760" s="23" t="str">
        <f>VLOOKUP($L760,Lookups!$G$5:$H$11,2,FALSE())</f>
        <v>Friday</v>
      </c>
      <c r="Z760" s="23" t="str">
        <f>IF($J760&lt;Lookups!$B$26,"Night",IF($J760&lt;Lookups!$B$27,"Morning",IF($J760&lt;Lookups!$B$28,"Afternoon","Evening")))</f>
        <v>Night</v>
      </c>
      <c r="AA760" s="26">
        <f>ROUND($N760*(Lookups!$B$16-Lookups!$B$15)+Lookups!$B$15,1)</f>
        <v>1.4</v>
      </c>
      <c r="AB760" s="26">
        <f>ROUND($P760*(Lookups!$B$18-Lookups!$B$17)+Lookups!$B$17,1)</f>
        <v>1</v>
      </c>
      <c r="AC760" s="23">
        <f t="shared" si="68"/>
        <v>44</v>
      </c>
      <c r="AD760" s="23">
        <f>ROUND($R760*Lookups!$B$19,1)</f>
        <v>0</v>
      </c>
      <c r="AE760" s="27">
        <f t="shared" si="69"/>
        <v>0.76923076923076927</v>
      </c>
      <c r="AF760" s="23" t="str">
        <f>IF($U760&gt;=Lookups!$B$23,"High",IF($U760&gt;=Lookups!$B$22,"Medium","Low"))</f>
        <v>Low</v>
      </c>
      <c r="AG760" s="23">
        <f>ROUND(IF($V760="Weekday",IF(INDEX(Hourly_Analysis!$D$5:$D$28,$J760+1)&gt;0,($U760-INDEX(Hourly_Analysis!$C$5:$C$28,$J760+1))/INDEX(Hourly_Analysis!$D$5:$D$28,$J760+1),0),IF(INDEX(Hourly_Analysis!$G$5:$G$28,$J760+1)&gt;0,($U760-INDEX(Hourly_Analysis!$F$5:$F$28,$J760+1))/INDEX(Hourly_Analysis!$G$5:$G$28,$J760+1),0)),2)</f>
        <v>0.53</v>
      </c>
      <c r="AH760" s="23" t="str">
        <f>IF(ABS($AG760)&gt;Lookups!$B$20,IF($AG760&gt;0,"High anomaly","Low anomaly"),"")</f>
        <v/>
      </c>
      <c r="AI760" s="23" t="str">
        <f t="shared" si="70"/>
        <v>OK</v>
      </c>
      <c r="AJ760" s="23" t="str">
        <f t="shared" si="71"/>
        <v>No</v>
      </c>
    </row>
    <row r="761" spans="1:36" x14ac:dyDescent="0.35">
      <c r="A761" s="23">
        <v>760</v>
      </c>
      <c r="B761" s="23" t="str">
        <f t="shared" si="66"/>
        <v>Dataset 3</v>
      </c>
      <c r="C761" s="23">
        <f>IFERROR(MATCH($A761,Merge_1_2!$A$2:$A$611,0),0)</f>
        <v>0</v>
      </c>
      <c r="D761" s="23">
        <f>IF($C761&gt;0,INDEX(Merge_1_2!$Q$2:$Q$611,$C761),0)</f>
        <v>0</v>
      </c>
      <c r="E761" s="23">
        <f>IFERROR(MATCH($A761,Dataset3_Raw!$A$2:$A$391,0),0)</f>
        <v>150</v>
      </c>
      <c r="F761" s="24">
        <f>IF($C761&gt;0,INDEX(Merge_1_2!$B$2:$B$611,$C761),DATE(VALUE(RIGHT(INDEX(Dataset3_Raw!$B$2:$B$391,$E761),4)),VALUE(MID(INDEX(Dataset3_Raw!$B$2:$B$391,$E761),4,2)),VALUE(LEFT(INDEX(Dataset3_Raw!$B$2:$B$391,$E761),2))))</f>
        <v>40578</v>
      </c>
      <c r="G761" s="23">
        <f>IF($C761&gt;0,INDEX(Merge_1_2!$C$2:$C$611,$C761),INDEX(Dataset3_Raw!$C$2:$C$391,$E761))</f>
        <v>1</v>
      </c>
      <c r="H761" s="23">
        <f>IF($C761&gt;0,INDEX(Merge_1_2!$D$2:$D$611,$C761),INDEX(Dataset3_Raw!$D$2:$D$391,$E761))</f>
        <v>0</v>
      </c>
      <c r="I761" s="23">
        <f>IF($C761&gt;0,INDEX(Merge_1_2!$E$2:$E$611,$C761),INDEX(Dataset3_Raw!$E$2:$E$391,$E761))</f>
        <v>2</v>
      </c>
      <c r="J761" s="23">
        <f>IF($C761&gt;0,INDEX(Merge_1_2!$F$2:$F$611,$C761),INDEX(Dataset3_Raw!$F$2:$F$391,$E761))</f>
        <v>1</v>
      </c>
      <c r="K761" s="23" t="b">
        <f>IF($C761&gt;0,INDEX(Merge_1_2!$G$2:$G$611,$C761),INDEX(Dataset3_Raw!$G$2:$G$391,$E761))</f>
        <v>0</v>
      </c>
      <c r="L761" s="23">
        <f>IF($C761&gt;0,INDEX(Merge_1_2!$H$2:$H$611,$C761),INDEX(Dataset3_Raw!$H$2:$H$391,$E761))</f>
        <v>5</v>
      </c>
      <c r="M761" s="23">
        <f>IF($C761&gt;0,INDEX(Merge_1_2!$I$2:$I$611,$C761),INDEX(Dataset3_Raw!$I$2:$I$391,$E761))</f>
        <v>2</v>
      </c>
      <c r="N761" s="25">
        <f>IF($C761&gt;0,INDEX(Merge_1_2!$J$2:$J$611,$C761),INDEX(Dataset3_Raw!$J$2:$J$391,$E761))</f>
        <v>0.16</v>
      </c>
      <c r="O761" s="25">
        <f>IF($C761&gt;0,IF(ISNUMBER(INDEX(Merge_1_2!$K$2:$K$611,$C761)),INDEX(Merge_1_2!$K$2:$K$611,$C761),""),INDEX(Dataset3_Raw!$K$2:$K$391,$E761))</f>
        <v>0.2273</v>
      </c>
      <c r="P761" s="25">
        <f>IF(ISNUMBER($O761),$O761,ROUND(Lookups!$B$25+Lookups!$B$24*$N761,4))</f>
        <v>0.2273</v>
      </c>
      <c r="Q761" s="25">
        <f>IF($C761&gt;0,INDEX(Merge_1_2!$L$2:$L$611,$C761),INDEX(Dataset3_Raw!$L$2:$L$391,$E761))</f>
        <v>0.59</v>
      </c>
      <c r="R761" s="25">
        <f>IF($C761&gt;0,INDEX(Merge_1_2!$M$2:$M$611,$C761),INDEX(Dataset3_Raw!$M$2:$M$391,$E761))</f>
        <v>0</v>
      </c>
      <c r="S761" s="23">
        <f>IF($C761&gt;0,INDEX(Merge_1_2!$N$2:$N$611,$C761),INDEX(Dataset3_Raw!$N$2:$N$391,$E761))</f>
        <v>0</v>
      </c>
      <c r="T761" s="23">
        <f>IF($C761&gt;0,INDEX(Merge_1_2!$O$2:$O$611,$C761),INDEX(Dataset3_Raw!$O$2:$O$391,$E761))</f>
        <v>7</v>
      </c>
      <c r="U761" s="23">
        <f>IF($C761&gt;0,INDEX(Merge_1_2!$P$2:$P$611,$C761),INDEX(Dataset3_Raw!$P$2:$P$391,$E761))</f>
        <v>7</v>
      </c>
      <c r="V761" s="23" t="str">
        <f t="shared" si="67"/>
        <v>Weekday</v>
      </c>
      <c r="W761" s="23" t="str">
        <f>VLOOKUP($M761,Lookups!$A$5:$B$8,2,FALSE())</f>
        <v>Mist / Cloudy</v>
      </c>
      <c r="X761" s="23" t="str">
        <f>VLOOKUP($G761,Lookups!$D$5:$E$8,2,FALSE())</f>
        <v>Winter</v>
      </c>
      <c r="Y761" s="23" t="str">
        <f>VLOOKUP($L761,Lookups!$G$5:$H$11,2,FALSE())</f>
        <v>Friday</v>
      </c>
      <c r="Z761" s="23" t="str">
        <f>IF($J761&lt;Lookups!$B$26,"Night",IF($J761&lt;Lookups!$B$27,"Morning",IF($J761&lt;Lookups!$B$28,"Afternoon","Evening")))</f>
        <v>Night</v>
      </c>
      <c r="AA761" s="26">
        <f>ROUND($N761*(Lookups!$B$16-Lookups!$B$15)+Lookups!$B$15,1)</f>
        <v>-0.5</v>
      </c>
      <c r="AB761" s="26">
        <f>ROUND($P761*(Lookups!$B$18-Lookups!$B$17)+Lookups!$B$17,1)</f>
        <v>-1</v>
      </c>
      <c r="AC761" s="23">
        <f t="shared" si="68"/>
        <v>59</v>
      </c>
      <c r="AD761" s="23">
        <f>ROUND($R761*Lookups!$B$19,1)</f>
        <v>0</v>
      </c>
      <c r="AE761" s="27">
        <f t="shared" si="69"/>
        <v>1</v>
      </c>
      <c r="AF761" s="23" t="str">
        <f>IF($U761&gt;=Lookups!$B$23,"High",IF($U761&gt;=Lookups!$B$22,"Medium","Low"))</f>
        <v>Low</v>
      </c>
      <c r="AG761" s="23">
        <f>ROUND(IF($V761="Weekday",IF(INDEX(Hourly_Analysis!$D$5:$D$28,$J761+1)&gt;0,($U761-INDEX(Hourly_Analysis!$C$5:$C$28,$J761+1))/INDEX(Hourly_Analysis!$D$5:$D$28,$J761+1),0),IF(INDEX(Hourly_Analysis!$G$5:$G$28,$J761+1)&gt;0,($U761-INDEX(Hourly_Analysis!$F$5:$F$28,$J761+1))/INDEX(Hourly_Analysis!$G$5:$G$28,$J761+1),0)),2)</f>
        <v>1.1299999999999999</v>
      </c>
      <c r="AH761" s="23" t="str">
        <f>IF(ABS($AG761)&gt;Lookups!$B$20,IF($AG761&gt;0,"High anomaly","Low anomaly"),"")</f>
        <v/>
      </c>
      <c r="AI761" s="23" t="str">
        <f t="shared" si="70"/>
        <v>OK</v>
      </c>
      <c r="AJ761" s="23" t="str">
        <f t="shared" si="71"/>
        <v>No</v>
      </c>
    </row>
    <row r="762" spans="1:36" x14ac:dyDescent="0.35">
      <c r="A762" s="23">
        <v>761</v>
      </c>
      <c r="B762" s="23" t="str">
        <f t="shared" si="66"/>
        <v>Dataset 3</v>
      </c>
      <c r="C762" s="23">
        <f>IFERROR(MATCH($A762,Merge_1_2!$A$2:$A$611,0),0)</f>
        <v>0</v>
      </c>
      <c r="D762" s="23">
        <f>IF($C762&gt;0,INDEX(Merge_1_2!$Q$2:$Q$611,$C762),0)</f>
        <v>0</v>
      </c>
      <c r="E762" s="23">
        <f>IFERROR(MATCH($A762,Dataset3_Raw!$A$2:$A$391,0),0)</f>
        <v>151</v>
      </c>
      <c r="F762" s="24">
        <f>IF($C762&gt;0,INDEX(Merge_1_2!$B$2:$B$611,$C762),DATE(VALUE(RIGHT(INDEX(Dataset3_Raw!$B$2:$B$391,$E762),4)),VALUE(MID(INDEX(Dataset3_Raw!$B$2:$B$391,$E762),4,2)),VALUE(LEFT(INDEX(Dataset3_Raw!$B$2:$B$391,$E762),2))))</f>
        <v>40578</v>
      </c>
      <c r="G762" s="23">
        <f>IF($C762&gt;0,INDEX(Merge_1_2!$C$2:$C$611,$C762),INDEX(Dataset3_Raw!$C$2:$C$391,$E762))</f>
        <v>1</v>
      </c>
      <c r="H762" s="23">
        <f>IF($C762&gt;0,INDEX(Merge_1_2!$D$2:$D$611,$C762),INDEX(Dataset3_Raw!$D$2:$D$391,$E762))</f>
        <v>0</v>
      </c>
      <c r="I762" s="23">
        <f>IF($C762&gt;0,INDEX(Merge_1_2!$E$2:$E$611,$C762),INDEX(Dataset3_Raw!$E$2:$E$391,$E762))</f>
        <v>2</v>
      </c>
      <c r="J762" s="23">
        <f>IF($C762&gt;0,INDEX(Merge_1_2!$F$2:$F$611,$C762),INDEX(Dataset3_Raw!$F$2:$F$391,$E762))</f>
        <v>2</v>
      </c>
      <c r="K762" s="23" t="b">
        <f>IF($C762&gt;0,INDEX(Merge_1_2!$G$2:$G$611,$C762),INDEX(Dataset3_Raw!$G$2:$G$391,$E762))</f>
        <v>0</v>
      </c>
      <c r="L762" s="23">
        <f>IF($C762&gt;0,INDEX(Merge_1_2!$H$2:$H$611,$C762),INDEX(Dataset3_Raw!$H$2:$H$391,$E762))</f>
        <v>5</v>
      </c>
      <c r="M762" s="23">
        <f>IF($C762&gt;0,INDEX(Merge_1_2!$I$2:$I$611,$C762),INDEX(Dataset3_Raw!$I$2:$I$391,$E762))</f>
        <v>2</v>
      </c>
      <c r="N762" s="25">
        <f>IF($C762&gt;0,INDEX(Merge_1_2!$J$2:$J$611,$C762),INDEX(Dataset3_Raw!$J$2:$J$391,$E762))</f>
        <v>0.14000000000000001</v>
      </c>
      <c r="O762" s="25">
        <f>IF($C762&gt;0,IF(ISNUMBER(INDEX(Merge_1_2!$K$2:$K$611,$C762)),INDEX(Merge_1_2!$K$2:$K$611,$C762),""),INDEX(Dataset3_Raw!$K$2:$K$391,$E762))</f>
        <v>0.16669999999999999</v>
      </c>
      <c r="P762" s="25">
        <f>IF(ISNUMBER($O762),$O762,ROUND(Lookups!$B$25+Lookups!$B$24*$N762,4))</f>
        <v>0.16669999999999999</v>
      </c>
      <c r="Q762" s="25">
        <f>IF($C762&gt;0,INDEX(Merge_1_2!$L$2:$L$611,$C762),INDEX(Dataset3_Raw!$L$2:$L$391,$E762))</f>
        <v>0.63</v>
      </c>
      <c r="R762" s="25">
        <f>IF($C762&gt;0,INDEX(Merge_1_2!$M$2:$M$611,$C762),INDEX(Dataset3_Raw!$M$2:$M$391,$E762))</f>
        <v>0.1045</v>
      </c>
      <c r="S762" s="23">
        <f>IF($C762&gt;0,INDEX(Merge_1_2!$N$2:$N$611,$C762),INDEX(Dataset3_Raw!$N$2:$N$391,$E762))</f>
        <v>0</v>
      </c>
      <c r="T762" s="23">
        <f>IF($C762&gt;0,INDEX(Merge_1_2!$O$2:$O$611,$C762),INDEX(Dataset3_Raw!$O$2:$O$391,$E762))</f>
        <v>1</v>
      </c>
      <c r="U762" s="23">
        <f>IF($C762&gt;0,INDEX(Merge_1_2!$P$2:$P$611,$C762),INDEX(Dataset3_Raw!$P$2:$P$391,$E762))</f>
        <v>1</v>
      </c>
      <c r="V762" s="23" t="str">
        <f t="shared" si="67"/>
        <v>Weekday</v>
      </c>
      <c r="W762" s="23" t="str">
        <f>VLOOKUP($M762,Lookups!$A$5:$B$8,2,FALSE())</f>
        <v>Mist / Cloudy</v>
      </c>
      <c r="X762" s="23" t="str">
        <f>VLOOKUP($G762,Lookups!$D$5:$E$8,2,FALSE())</f>
        <v>Winter</v>
      </c>
      <c r="Y762" s="23" t="str">
        <f>VLOOKUP($L762,Lookups!$G$5:$H$11,2,FALSE())</f>
        <v>Friday</v>
      </c>
      <c r="Z762" s="23" t="str">
        <f>IF($J762&lt;Lookups!$B$26,"Night",IF($J762&lt;Lookups!$B$27,"Morning",IF($J762&lt;Lookups!$B$28,"Afternoon","Evening")))</f>
        <v>Night</v>
      </c>
      <c r="AA762" s="26">
        <f>ROUND($N762*(Lookups!$B$16-Lookups!$B$15)+Lookups!$B$15,1)</f>
        <v>-1.4</v>
      </c>
      <c r="AB762" s="26">
        <f>ROUND($P762*(Lookups!$B$18-Lookups!$B$17)+Lookups!$B$17,1)</f>
        <v>-5</v>
      </c>
      <c r="AC762" s="23">
        <f t="shared" si="68"/>
        <v>63</v>
      </c>
      <c r="AD762" s="23">
        <f>ROUND($R762*Lookups!$B$19,1)</f>
        <v>7</v>
      </c>
      <c r="AE762" s="27">
        <f t="shared" si="69"/>
        <v>1</v>
      </c>
      <c r="AF762" s="23" t="str">
        <f>IF($U762&gt;=Lookups!$B$23,"High",IF($U762&gt;=Lookups!$B$22,"Medium","Low"))</f>
        <v>Low</v>
      </c>
      <c r="AG762" s="23">
        <f>ROUND(IF($V762="Weekday",IF(INDEX(Hourly_Analysis!$D$5:$D$28,$J762+1)&gt;0,($U762-INDEX(Hourly_Analysis!$C$5:$C$28,$J762+1))/INDEX(Hourly_Analysis!$D$5:$D$28,$J762+1),0),IF(INDEX(Hourly_Analysis!$G$5:$G$28,$J762+1)&gt;0,($U762-INDEX(Hourly_Analysis!$F$5:$F$28,$J762+1))/INDEX(Hourly_Analysis!$G$5:$G$28,$J762+1),0)),2)</f>
        <v>-0.81</v>
      </c>
      <c r="AH762" s="23" t="str">
        <f>IF(ABS($AG762)&gt;Lookups!$B$20,IF($AG762&gt;0,"High anomaly","Low anomaly"),"")</f>
        <v/>
      </c>
      <c r="AI762" s="23" t="str">
        <f t="shared" si="70"/>
        <v>OK</v>
      </c>
      <c r="AJ762" s="23" t="str">
        <f t="shared" si="71"/>
        <v>No</v>
      </c>
    </row>
    <row r="763" spans="1:36" x14ac:dyDescent="0.35">
      <c r="A763" s="23">
        <v>762</v>
      </c>
      <c r="B763" s="23" t="str">
        <f t="shared" si="66"/>
        <v>Dataset 3</v>
      </c>
      <c r="C763" s="23">
        <f>IFERROR(MATCH($A763,Merge_1_2!$A$2:$A$611,0),0)</f>
        <v>0</v>
      </c>
      <c r="D763" s="23">
        <f>IF($C763&gt;0,INDEX(Merge_1_2!$Q$2:$Q$611,$C763),0)</f>
        <v>0</v>
      </c>
      <c r="E763" s="23">
        <f>IFERROR(MATCH($A763,Dataset3_Raw!$A$2:$A$391,0),0)</f>
        <v>152</v>
      </c>
      <c r="F763" s="24">
        <f>IF($C763&gt;0,INDEX(Merge_1_2!$B$2:$B$611,$C763),DATE(VALUE(RIGHT(INDEX(Dataset3_Raw!$B$2:$B$391,$E763),4)),VALUE(MID(INDEX(Dataset3_Raw!$B$2:$B$391,$E763),4,2)),VALUE(LEFT(INDEX(Dataset3_Raw!$B$2:$B$391,$E763),2))))</f>
        <v>40578</v>
      </c>
      <c r="G763" s="23">
        <f>IF($C763&gt;0,INDEX(Merge_1_2!$C$2:$C$611,$C763),INDEX(Dataset3_Raw!$C$2:$C$391,$E763))</f>
        <v>1</v>
      </c>
      <c r="H763" s="23">
        <f>IF($C763&gt;0,INDEX(Merge_1_2!$D$2:$D$611,$C763),INDEX(Dataset3_Raw!$D$2:$D$391,$E763))</f>
        <v>0</v>
      </c>
      <c r="I763" s="23">
        <f>IF($C763&gt;0,INDEX(Merge_1_2!$E$2:$E$611,$C763),INDEX(Dataset3_Raw!$E$2:$E$391,$E763))</f>
        <v>2</v>
      </c>
      <c r="J763" s="23">
        <f>IF($C763&gt;0,INDEX(Merge_1_2!$F$2:$F$611,$C763),INDEX(Dataset3_Raw!$F$2:$F$391,$E763))</f>
        <v>3</v>
      </c>
      <c r="K763" s="23" t="b">
        <f>IF($C763&gt;0,INDEX(Merge_1_2!$G$2:$G$611,$C763),INDEX(Dataset3_Raw!$G$2:$G$391,$E763))</f>
        <v>0</v>
      </c>
      <c r="L763" s="23">
        <f>IF($C763&gt;0,INDEX(Merge_1_2!$H$2:$H$611,$C763),INDEX(Dataset3_Raw!$H$2:$H$391,$E763))</f>
        <v>5</v>
      </c>
      <c r="M763" s="23">
        <f>IF($C763&gt;0,INDEX(Merge_1_2!$I$2:$I$611,$C763),INDEX(Dataset3_Raw!$I$2:$I$391,$E763))</f>
        <v>2</v>
      </c>
      <c r="N763" s="25">
        <f>IF($C763&gt;0,INDEX(Merge_1_2!$J$2:$J$611,$C763),INDEX(Dataset3_Raw!$J$2:$J$391,$E763))</f>
        <v>0.14000000000000001</v>
      </c>
      <c r="O763" s="25">
        <f>IF($C763&gt;0,IF(ISNUMBER(INDEX(Merge_1_2!$K$2:$K$611,$C763)),INDEX(Merge_1_2!$K$2:$K$611,$C763),""),INDEX(Dataset3_Raw!$K$2:$K$391,$E763))</f>
        <v>0.16669999999999999</v>
      </c>
      <c r="P763" s="25">
        <f>IF(ISNUMBER($O763),$O763,ROUND(Lookups!$B$25+Lookups!$B$24*$N763,4))</f>
        <v>0.16669999999999999</v>
      </c>
      <c r="Q763" s="25">
        <f>IF($C763&gt;0,INDEX(Merge_1_2!$L$2:$L$611,$C763),INDEX(Dataset3_Raw!$L$2:$L$391,$E763))</f>
        <v>0.63</v>
      </c>
      <c r="R763" s="25">
        <f>IF($C763&gt;0,INDEX(Merge_1_2!$M$2:$M$611,$C763),INDEX(Dataset3_Raw!$M$2:$M$391,$E763))</f>
        <v>0.1045</v>
      </c>
      <c r="S763" s="23">
        <f>IF($C763&gt;0,INDEX(Merge_1_2!$N$2:$N$611,$C763),INDEX(Dataset3_Raw!$N$2:$N$391,$E763))</f>
        <v>0</v>
      </c>
      <c r="T763" s="23">
        <f>IF($C763&gt;0,INDEX(Merge_1_2!$O$2:$O$611,$C763),INDEX(Dataset3_Raw!$O$2:$O$391,$E763))</f>
        <v>1</v>
      </c>
      <c r="U763" s="23">
        <f>IF($C763&gt;0,INDEX(Merge_1_2!$P$2:$P$611,$C763),INDEX(Dataset3_Raw!$P$2:$P$391,$E763))</f>
        <v>1</v>
      </c>
      <c r="V763" s="23" t="str">
        <f t="shared" si="67"/>
        <v>Weekday</v>
      </c>
      <c r="W763" s="23" t="str">
        <f>VLOOKUP($M763,Lookups!$A$5:$B$8,2,FALSE())</f>
        <v>Mist / Cloudy</v>
      </c>
      <c r="X763" s="23" t="str">
        <f>VLOOKUP($G763,Lookups!$D$5:$E$8,2,FALSE())</f>
        <v>Winter</v>
      </c>
      <c r="Y763" s="23" t="str">
        <f>VLOOKUP($L763,Lookups!$G$5:$H$11,2,FALSE())</f>
        <v>Friday</v>
      </c>
      <c r="Z763" s="23" t="str">
        <f>IF($J763&lt;Lookups!$B$26,"Night",IF($J763&lt;Lookups!$B$27,"Morning",IF($J763&lt;Lookups!$B$28,"Afternoon","Evening")))</f>
        <v>Night</v>
      </c>
      <c r="AA763" s="26">
        <f>ROUND($N763*(Lookups!$B$16-Lookups!$B$15)+Lookups!$B$15,1)</f>
        <v>-1.4</v>
      </c>
      <c r="AB763" s="26">
        <f>ROUND($P763*(Lookups!$B$18-Lookups!$B$17)+Lookups!$B$17,1)</f>
        <v>-5</v>
      </c>
      <c r="AC763" s="23">
        <f t="shared" si="68"/>
        <v>63</v>
      </c>
      <c r="AD763" s="23">
        <f>ROUND($R763*Lookups!$B$19,1)</f>
        <v>7</v>
      </c>
      <c r="AE763" s="27">
        <f t="shared" si="69"/>
        <v>1</v>
      </c>
      <c r="AF763" s="23" t="str">
        <f>IF($U763&gt;=Lookups!$B$23,"High",IF($U763&gt;=Lookups!$B$22,"Medium","Low"))</f>
        <v>Low</v>
      </c>
      <c r="AG763" s="23">
        <f>ROUND(IF($V763="Weekday",IF(INDEX(Hourly_Analysis!$D$5:$D$28,$J763+1)&gt;0,($U763-INDEX(Hourly_Analysis!$C$5:$C$28,$J763+1))/INDEX(Hourly_Analysis!$D$5:$D$28,$J763+1),0),IF(INDEX(Hourly_Analysis!$G$5:$G$28,$J763+1)&gt;0,($U763-INDEX(Hourly_Analysis!$F$5:$F$28,$J763+1))/INDEX(Hourly_Analysis!$G$5:$G$28,$J763+1),0)),2)</f>
        <v>-0.61</v>
      </c>
      <c r="AH763" s="23" t="str">
        <f>IF(ABS($AG763)&gt;Lookups!$B$20,IF($AG763&gt;0,"High anomaly","Low anomaly"),"")</f>
        <v/>
      </c>
      <c r="AI763" s="23" t="str">
        <f t="shared" si="70"/>
        <v>OK</v>
      </c>
      <c r="AJ763" s="23" t="str">
        <f t="shared" si="71"/>
        <v>No</v>
      </c>
    </row>
    <row r="764" spans="1:36" x14ac:dyDescent="0.35">
      <c r="A764" s="23">
        <v>763</v>
      </c>
      <c r="B764" s="23" t="str">
        <f t="shared" si="66"/>
        <v>Dataset 3</v>
      </c>
      <c r="C764" s="23">
        <f>IFERROR(MATCH($A764,Merge_1_2!$A$2:$A$611,0),0)</f>
        <v>0</v>
      </c>
      <c r="D764" s="23">
        <f>IF($C764&gt;0,INDEX(Merge_1_2!$Q$2:$Q$611,$C764),0)</f>
        <v>0</v>
      </c>
      <c r="E764" s="23">
        <f>IFERROR(MATCH($A764,Dataset3_Raw!$A$2:$A$391,0),0)</f>
        <v>153</v>
      </c>
      <c r="F764" s="24">
        <f>IF($C764&gt;0,INDEX(Merge_1_2!$B$2:$B$611,$C764),DATE(VALUE(RIGHT(INDEX(Dataset3_Raw!$B$2:$B$391,$E764),4)),VALUE(MID(INDEX(Dataset3_Raw!$B$2:$B$391,$E764),4,2)),VALUE(LEFT(INDEX(Dataset3_Raw!$B$2:$B$391,$E764),2))))</f>
        <v>40578</v>
      </c>
      <c r="G764" s="23">
        <f>IF($C764&gt;0,INDEX(Merge_1_2!$C$2:$C$611,$C764),INDEX(Dataset3_Raw!$C$2:$C$391,$E764))</f>
        <v>1</v>
      </c>
      <c r="H764" s="23">
        <f>IF($C764&gt;0,INDEX(Merge_1_2!$D$2:$D$611,$C764),INDEX(Dataset3_Raw!$D$2:$D$391,$E764))</f>
        <v>0</v>
      </c>
      <c r="I764" s="23">
        <f>IF($C764&gt;0,INDEX(Merge_1_2!$E$2:$E$611,$C764),INDEX(Dataset3_Raw!$E$2:$E$391,$E764))</f>
        <v>2</v>
      </c>
      <c r="J764" s="23">
        <f>IF($C764&gt;0,INDEX(Merge_1_2!$F$2:$F$611,$C764),INDEX(Dataset3_Raw!$F$2:$F$391,$E764))</f>
        <v>5</v>
      </c>
      <c r="K764" s="23" t="b">
        <f>IF($C764&gt;0,INDEX(Merge_1_2!$G$2:$G$611,$C764),INDEX(Dataset3_Raw!$G$2:$G$391,$E764))</f>
        <v>0</v>
      </c>
      <c r="L764" s="23">
        <f>IF($C764&gt;0,INDEX(Merge_1_2!$H$2:$H$611,$C764),INDEX(Dataset3_Raw!$H$2:$H$391,$E764))</f>
        <v>5</v>
      </c>
      <c r="M764" s="23">
        <f>IF($C764&gt;0,INDEX(Merge_1_2!$I$2:$I$611,$C764),INDEX(Dataset3_Raw!$I$2:$I$391,$E764))</f>
        <v>2</v>
      </c>
      <c r="N764" s="25">
        <f>IF($C764&gt;0,INDEX(Merge_1_2!$J$2:$J$611,$C764),INDEX(Dataset3_Raw!$J$2:$J$391,$E764))</f>
        <v>0.14000000000000001</v>
      </c>
      <c r="O764" s="25">
        <f>IF($C764&gt;0,IF(ISNUMBER(INDEX(Merge_1_2!$K$2:$K$611,$C764)),INDEX(Merge_1_2!$K$2:$K$611,$C764),""),INDEX(Dataset3_Raw!$K$2:$K$391,$E764))</f>
        <v>0.1515</v>
      </c>
      <c r="P764" s="25">
        <f>IF(ISNUMBER($O764),$O764,ROUND(Lookups!$B$25+Lookups!$B$24*$N764,4))</f>
        <v>0.1515</v>
      </c>
      <c r="Q764" s="25">
        <f>IF($C764&gt;0,INDEX(Merge_1_2!$L$2:$L$611,$C764),INDEX(Dataset3_Raw!$L$2:$L$391,$E764))</f>
        <v>0.63</v>
      </c>
      <c r="R764" s="25">
        <f>IF($C764&gt;0,INDEX(Merge_1_2!$M$2:$M$611,$C764),INDEX(Dataset3_Raw!$M$2:$M$391,$E764))</f>
        <v>0.1343</v>
      </c>
      <c r="S764" s="23">
        <f>IF($C764&gt;0,INDEX(Merge_1_2!$N$2:$N$611,$C764),INDEX(Dataset3_Raw!$N$2:$N$391,$E764))</f>
        <v>0</v>
      </c>
      <c r="T764" s="23">
        <f>IF($C764&gt;0,INDEX(Merge_1_2!$O$2:$O$611,$C764),INDEX(Dataset3_Raw!$O$2:$O$391,$E764))</f>
        <v>7</v>
      </c>
      <c r="U764" s="23">
        <f>IF($C764&gt;0,INDEX(Merge_1_2!$P$2:$P$611,$C764),INDEX(Dataset3_Raw!$P$2:$P$391,$E764))</f>
        <v>7</v>
      </c>
      <c r="V764" s="23" t="str">
        <f t="shared" si="67"/>
        <v>Weekday</v>
      </c>
      <c r="W764" s="23" t="str">
        <f>VLOOKUP($M764,Lookups!$A$5:$B$8,2,FALSE())</f>
        <v>Mist / Cloudy</v>
      </c>
      <c r="X764" s="23" t="str">
        <f>VLOOKUP($G764,Lookups!$D$5:$E$8,2,FALSE())</f>
        <v>Winter</v>
      </c>
      <c r="Y764" s="23" t="str">
        <f>VLOOKUP($L764,Lookups!$G$5:$H$11,2,FALSE())</f>
        <v>Friday</v>
      </c>
      <c r="Z764" s="23" t="str">
        <f>IF($J764&lt;Lookups!$B$26,"Night",IF($J764&lt;Lookups!$B$27,"Morning",IF($J764&lt;Lookups!$B$28,"Afternoon","Evening")))</f>
        <v>Night</v>
      </c>
      <c r="AA764" s="26">
        <f>ROUND($N764*(Lookups!$B$16-Lookups!$B$15)+Lookups!$B$15,1)</f>
        <v>-1.4</v>
      </c>
      <c r="AB764" s="26">
        <f>ROUND($P764*(Lookups!$B$18-Lookups!$B$17)+Lookups!$B$17,1)</f>
        <v>-6</v>
      </c>
      <c r="AC764" s="23">
        <f t="shared" si="68"/>
        <v>63</v>
      </c>
      <c r="AD764" s="23">
        <f>ROUND($R764*Lookups!$B$19,1)</f>
        <v>9</v>
      </c>
      <c r="AE764" s="27">
        <f t="shared" si="69"/>
        <v>1</v>
      </c>
      <c r="AF764" s="23" t="str">
        <f>IF($U764&gt;=Lookups!$B$23,"High",IF($U764&gt;=Lookups!$B$22,"Medium","Low"))</f>
        <v>Low</v>
      </c>
      <c r="AG764" s="23">
        <f>ROUND(IF($V764="Weekday",IF(INDEX(Hourly_Analysis!$D$5:$D$28,$J764+1)&gt;0,($U764-INDEX(Hourly_Analysis!$C$5:$C$28,$J764+1))/INDEX(Hourly_Analysis!$D$5:$D$28,$J764+1),0),IF(INDEX(Hourly_Analysis!$G$5:$G$28,$J764+1)&gt;0,($U764-INDEX(Hourly_Analysis!$F$5:$F$28,$J764+1))/INDEX(Hourly_Analysis!$G$5:$G$28,$J764+1),0)),2)</f>
        <v>0.94</v>
      </c>
      <c r="AH764" s="23" t="str">
        <f>IF(ABS($AG764)&gt;Lookups!$B$20,IF($AG764&gt;0,"High anomaly","Low anomaly"),"")</f>
        <v/>
      </c>
      <c r="AI764" s="23" t="str">
        <f t="shared" si="70"/>
        <v>OK</v>
      </c>
      <c r="AJ764" s="23" t="str">
        <f t="shared" si="71"/>
        <v>No</v>
      </c>
    </row>
    <row r="765" spans="1:36" x14ac:dyDescent="0.35">
      <c r="A765" s="23">
        <v>764</v>
      </c>
      <c r="B765" s="23" t="str">
        <f t="shared" si="66"/>
        <v>Dataset 3</v>
      </c>
      <c r="C765" s="23">
        <f>IFERROR(MATCH($A765,Merge_1_2!$A$2:$A$611,0),0)</f>
        <v>0</v>
      </c>
      <c r="D765" s="23">
        <f>IF($C765&gt;0,INDEX(Merge_1_2!$Q$2:$Q$611,$C765),0)</f>
        <v>0</v>
      </c>
      <c r="E765" s="23">
        <f>IFERROR(MATCH($A765,Dataset3_Raw!$A$2:$A$391,0),0)</f>
        <v>154</v>
      </c>
      <c r="F765" s="24">
        <f>IF($C765&gt;0,INDEX(Merge_1_2!$B$2:$B$611,$C765),DATE(VALUE(RIGHT(INDEX(Dataset3_Raw!$B$2:$B$391,$E765),4)),VALUE(MID(INDEX(Dataset3_Raw!$B$2:$B$391,$E765),4,2)),VALUE(LEFT(INDEX(Dataset3_Raw!$B$2:$B$391,$E765),2))))</f>
        <v>40578</v>
      </c>
      <c r="G765" s="23">
        <f>IF($C765&gt;0,INDEX(Merge_1_2!$C$2:$C$611,$C765),INDEX(Dataset3_Raw!$C$2:$C$391,$E765))</f>
        <v>1</v>
      </c>
      <c r="H765" s="23">
        <f>IF($C765&gt;0,INDEX(Merge_1_2!$D$2:$D$611,$C765),INDEX(Dataset3_Raw!$D$2:$D$391,$E765))</f>
        <v>0</v>
      </c>
      <c r="I765" s="23">
        <f>IF($C765&gt;0,INDEX(Merge_1_2!$E$2:$E$611,$C765),INDEX(Dataset3_Raw!$E$2:$E$391,$E765))</f>
        <v>2</v>
      </c>
      <c r="J765" s="23">
        <f>IF($C765&gt;0,INDEX(Merge_1_2!$F$2:$F$611,$C765),INDEX(Dataset3_Raw!$F$2:$F$391,$E765))</f>
        <v>6</v>
      </c>
      <c r="K765" s="23" t="b">
        <f>IF($C765&gt;0,INDEX(Merge_1_2!$G$2:$G$611,$C765),INDEX(Dataset3_Raw!$G$2:$G$391,$E765))</f>
        <v>0</v>
      </c>
      <c r="L765" s="23">
        <f>IF($C765&gt;0,INDEX(Merge_1_2!$H$2:$H$611,$C765),INDEX(Dataset3_Raw!$H$2:$H$391,$E765))</f>
        <v>5</v>
      </c>
      <c r="M765" s="23">
        <f>IF($C765&gt;0,INDEX(Merge_1_2!$I$2:$I$611,$C765),INDEX(Dataset3_Raw!$I$2:$I$391,$E765))</f>
        <v>2</v>
      </c>
      <c r="N765" s="25">
        <f>IF($C765&gt;0,INDEX(Merge_1_2!$J$2:$J$611,$C765),INDEX(Dataset3_Raw!$J$2:$J$391,$E765))</f>
        <v>0.16</v>
      </c>
      <c r="O765" s="25">
        <f>IF($C765&gt;0,IF(ISNUMBER(INDEX(Merge_1_2!$K$2:$K$611,$C765)),INDEX(Merge_1_2!$K$2:$K$611,$C765),""),INDEX(Dataset3_Raw!$K$2:$K$391,$E765))</f>
        <v>0.2273</v>
      </c>
      <c r="P765" s="25">
        <f>IF(ISNUMBER($O765),$O765,ROUND(Lookups!$B$25+Lookups!$B$24*$N765,4))</f>
        <v>0.2273</v>
      </c>
      <c r="Q765" s="25">
        <f>IF($C765&gt;0,INDEX(Merge_1_2!$L$2:$L$611,$C765),INDEX(Dataset3_Raw!$L$2:$L$391,$E765))</f>
        <v>0.55000000000000004</v>
      </c>
      <c r="R765" s="25">
        <f>IF($C765&gt;0,INDEX(Merge_1_2!$M$2:$M$611,$C765),INDEX(Dataset3_Raw!$M$2:$M$391,$E765))</f>
        <v>0</v>
      </c>
      <c r="S765" s="23">
        <f>IF($C765&gt;0,INDEX(Merge_1_2!$N$2:$N$611,$C765),INDEX(Dataset3_Raw!$N$2:$N$391,$E765))</f>
        <v>2</v>
      </c>
      <c r="T765" s="23">
        <f>IF($C765&gt;0,INDEX(Merge_1_2!$O$2:$O$611,$C765),INDEX(Dataset3_Raw!$O$2:$O$391,$E765))</f>
        <v>26</v>
      </c>
      <c r="U765" s="23">
        <f>IF($C765&gt;0,INDEX(Merge_1_2!$P$2:$P$611,$C765),INDEX(Dataset3_Raw!$P$2:$P$391,$E765))</f>
        <v>28</v>
      </c>
      <c r="V765" s="23" t="str">
        <f t="shared" si="67"/>
        <v>Weekday</v>
      </c>
      <c r="W765" s="23" t="str">
        <f>VLOOKUP($M765,Lookups!$A$5:$B$8,2,FALSE())</f>
        <v>Mist / Cloudy</v>
      </c>
      <c r="X765" s="23" t="str">
        <f>VLOOKUP($G765,Lookups!$D$5:$E$8,2,FALSE())</f>
        <v>Winter</v>
      </c>
      <c r="Y765" s="23" t="str">
        <f>VLOOKUP($L765,Lookups!$G$5:$H$11,2,FALSE())</f>
        <v>Friday</v>
      </c>
      <c r="Z765" s="23" t="str">
        <f>IF($J765&lt;Lookups!$B$26,"Night",IF($J765&lt;Lookups!$B$27,"Morning",IF($J765&lt;Lookups!$B$28,"Afternoon","Evening")))</f>
        <v>Morning</v>
      </c>
      <c r="AA765" s="26">
        <f>ROUND($N765*(Lookups!$B$16-Lookups!$B$15)+Lookups!$B$15,1)</f>
        <v>-0.5</v>
      </c>
      <c r="AB765" s="26">
        <f>ROUND($P765*(Lookups!$B$18-Lookups!$B$17)+Lookups!$B$17,1)</f>
        <v>-1</v>
      </c>
      <c r="AC765" s="23">
        <f t="shared" si="68"/>
        <v>55</v>
      </c>
      <c r="AD765" s="23">
        <f>ROUND($R765*Lookups!$B$19,1)</f>
        <v>0</v>
      </c>
      <c r="AE765" s="27">
        <f t="shared" si="69"/>
        <v>0.9285714285714286</v>
      </c>
      <c r="AF765" s="23" t="str">
        <f>IF($U765&gt;=Lookups!$B$23,"High",IF($U765&gt;=Lookups!$B$22,"Medium","Low"))</f>
        <v>Medium</v>
      </c>
      <c r="AG765" s="23">
        <f>ROUND(IF($V765="Weekday",IF(INDEX(Hourly_Analysis!$D$5:$D$28,$J765+1)&gt;0,($U765-INDEX(Hourly_Analysis!$C$5:$C$28,$J765+1))/INDEX(Hourly_Analysis!$D$5:$D$28,$J765+1),0),IF(INDEX(Hourly_Analysis!$G$5:$G$28,$J765+1)&gt;0,($U765-INDEX(Hourly_Analysis!$F$5:$F$28,$J765+1))/INDEX(Hourly_Analysis!$G$5:$G$28,$J765+1),0)),2)</f>
        <v>-0.02</v>
      </c>
      <c r="AH765" s="23" t="str">
        <f>IF(ABS($AG765)&gt;Lookups!$B$20,IF($AG765&gt;0,"High anomaly","Low anomaly"),"")</f>
        <v/>
      </c>
      <c r="AI765" s="23" t="str">
        <f t="shared" si="70"/>
        <v>OK</v>
      </c>
      <c r="AJ765" s="23" t="str">
        <f t="shared" si="71"/>
        <v>No</v>
      </c>
    </row>
    <row r="766" spans="1:36" x14ac:dyDescent="0.35">
      <c r="A766" s="23">
        <v>765</v>
      </c>
      <c r="B766" s="23" t="str">
        <f t="shared" si="66"/>
        <v>Dataset 3</v>
      </c>
      <c r="C766" s="23">
        <f>IFERROR(MATCH($A766,Merge_1_2!$A$2:$A$611,0),0)</f>
        <v>0</v>
      </c>
      <c r="D766" s="23">
        <f>IF($C766&gt;0,INDEX(Merge_1_2!$Q$2:$Q$611,$C766),0)</f>
        <v>0</v>
      </c>
      <c r="E766" s="23">
        <f>IFERROR(MATCH($A766,Dataset3_Raw!$A$2:$A$391,0),0)</f>
        <v>155</v>
      </c>
      <c r="F766" s="24">
        <f>IF($C766&gt;0,INDEX(Merge_1_2!$B$2:$B$611,$C766),DATE(VALUE(RIGHT(INDEX(Dataset3_Raw!$B$2:$B$391,$E766),4)),VALUE(MID(INDEX(Dataset3_Raw!$B$2:$B$391,$E766),4,2)),VALUE(LEFT(INDEX(Dataset3_Raw!$B$2:$B$391,$E766),2))))</f>
        <v>40578</v>
      </c>
      <c r="G766" s="23">
        <f>IF($C766&gt;0,INDEX(Merge_1_2!$C$2:$C$611,$C766),INDEX(Dataset3_Raw!$C$2:$C$391,$E766))</f>
        <v>1</v>
      </c>
      <c r="H766" s="23">
        <f>IF($C766&gt;0,INDEX(Merge_1_2!$D$2:$D$611,$C766),INDEX(Dataset3_Raw!$D$2:$D$391,$E766))</f>
        <v>0</v>
      </c>
      <c r="I766" s="23">
        <f>IF($C766&gt;0,INDEX(Merge_1_2!$E$2:$E$611,$C766),INDEX(Dataset3_Raw!$E$2:$E$391,$E766))</f>
        <v>2</v>
      </c>
      <c r="J766" s="23">
        <f>IF($C766&gt;0,INDEX(Merge_1_2!$F$2:$F$611,$C766),INDEX(Dataset3_Raw!$F$2:$F$391,$E766))</f>
        <v>7</v>
      </c>
      <c r="K766" s="23" t="b">
        <f>IF($C766&gt;0,INDEX(Merge_1_2!$G$2:$G$611,$C766),INDEX(Dataset3_Raw!$G$2:$G$391,$E766))</f>
        <v>0</v>
      </c>
      <c r="L766" s="23">
        <f>IF($C766&gt;0,INDEX(Merge_1_2!$H$2:$H$611,$C766),INDEX(Dataset3_Raw!$H$2:$H$391,$E766))</f>
        <v>5</v>
      </c>
      <c r="M766" s="23">
        <f>IF($C766&gt;0,INDEX(Merge_1_2!$I$2:$I$611,$C766),INDEX(Dataset3_Raw!$I$2:$I$391,$E766))</f>
        <v>1</v>
      </c>
      <c r="N766" s="25">
        <f>IF($C766&gt;0,INDEX(Merge_1_2!$J$2:$J$611,$C766),INDEX(Dataset3_Raw!$J$2:$J$391,$E766))</f>
        <v>0.14000000000000001</v>
      </c>
      <c r="O766" s="25">
        <f>IF($C766&gt;0,IF(ISNUMBER(INDEX(Merge_1_2!$K$2:$K$611,$C766)),INDEX(Merge_1_2!$K$2:$K$611,$C766),""),INDEX(Dataset3_Raw!$K$2:$K$391,$E766))</f>
        <v>0.21210000000000001</v>
      </c>
      <c r="P766" s="25">
        <f>IF(ISNUMBER($O766),$O766,ROUND(Lookups!$B$25+Lookups!$B$24*$N766,4))</f>
        <v>0.21210000000000001</v>
      </c>
      <c r="Q766" s="25">
        <f>IF($C766&gt;0,INDEX(Merge_1_2!$L$2:$L$611,$C766),INDEX(Dataset3_Raw!$L$2:$L$391,$E766))</f>
        <v>0.59</v>
      </c>
      <c r="R766" s="25">
        <f>IF($C766&gt;0,INDEX(Merge_1_2!$M$2:$M$611,$C766),INDEX(Dataset3_Raw!$M$2:$M$391,$E766))</f>
        <v>0</v>
      </c>
      <c r="S766" s="23">
        <f>IF($C766&gt;0,INDEX(Merge_1_2!$N$2:$N$611,$C766),INDEX(Dataset3_Raw!$N$2:$N$391,$E766))</f>
        <v>0</v>
      </c>
      <c r="T766" s="23">
        <f>IF($C766&gt;0,INDEX(Merge_1_2!$O$2:$O$611,$C766),INDEX(Dataset3_Raw!$O$2:$O$391,$E766))</f>
        <v>87</v>
      </c>
      <c r="U766" s="23">
        <f>IF($C766&gt;0,INDEX(Merge_1_2!$P$2:$P$611,$C766),INDEX(Dataset3_Raw!$P$2:$P$391,$E766))</f>
        <v>87</v>
      </c>
      <c r="V766" s="23" t="str">
        <f t="shared" si="67"/>
        <v>Weekday</v>
      </c>
      <c r="W766" s="23" t="str">
        <f>VLOOKUP($M766,Lookups!$A$5:$B$8,2,FALSE())</f>
        <v>Clear / Partly cloudy</v>
      </c>
      <c r="X766" s="23" t="str">
        <f>VLOOKUP($G766,Lookups!$D$5:$E$8,2,FALSE())</f>
        <v>Winter</v>
      </c>
      <c r="Y766" s="23" t="str">
        <f>VLOOKUP($L766,Lookups!$G$5:$H$11,2,FALSE())</f>
        <v>Friday</v>
      </c>
      <c r="Z766" s="23" t="str">
        <f>IF($J766&lt;Lookups!$B$26,"Night",IF($J766&lt;Lookups!$B$27,"Morning",IF($J766&lt;Lookups!$B$28,"Afternoon","Evening")))</f>
        <v>Morning</v>
      </c>
      <c r="AA766" s="26">
        <f>ROUND($N766*(Lookups!$B$16-Lookups!$B$15)+Lookups!$B$15,1)</f>
        <v>-1.4</v>
      </c>
      <c r="AB766" s="26">
        <f>ROUND($P766*(Lookups!$B$18-Lookups!$B$17)+Lookups!$B$17,1)</f>
        <v>-2</v>
      </c>
      <c r="AC766" s="23">
        <f t="shared" si="68"/>
        <v>59</v>
      </c>
      <c r="AD766" s="23">
        <f>ROUND($R766*Lookups!$B$19,1)</f>
        <v>0</v>
      </c>
      <c r="AE766" s="27">
        <f t="shared" si="69"/>
        <v>1</v>
      </c>
      <c r="AF766" s="23" t="str">
        <f>IF($U766&gt;=Lookups!$B$23,"High",IF($U766&gt;=Lookups!$B$22,"Medium","Low"))</f>
        <v>High</v>
      </c>
      <c r="AG766" s="23">
        <f>ROUND(IF($V766="Weekday",IF(INDEX(Hourly_Analysis!$D$5:$D$28,$J766+1)&gt;0,($U766-INDEX(Hourly_Analysis!$C$5:$C$28,$J766+1))/INDEX(Hourly_Analysis!$D$5:$D$28,$J766+1),0),IF(INDEX(Hourly_Analysis!$G$5:$G$28,$J766+1)&gt;0,($U766-INDEX(Hourly_Analysis!$F$5:$F$28,$J766+1))/INDEX(Hourly_Analysis!$G$5:$G$28,$J766+1),0)),2)</f>
        <v>0.35</v>
      </c>
      <c r="AH766" s="23" t="str">
        <f>IF(ABS($AG766)&gt;Lookups!$B$20,IF($AG766&gt;0,"High anomaly","Low anomaly"),"")</f>
        <v/>
      </c>
      <c r="AI766" s="23" t="str">
        <f t="shared" si="70"/>
        <v>OK</v>
      </c>
      <c r="AJ766" s="23" t="str">
        <f t="shared" si="71"/>
        <v>No</v>
      </c>
    </row>
    <row r="767" spans="1:36" x14ac:dyDescent="0.35">
      <c r="A767" s="23">
        <v>766</v>
      </c>
      <c r="B767" s="23" t="str">
        <f t="shared" si="66"/>
        <v>Dataset 3</v>
      </c>
      <c r="C767" s="23">
        <f>IFERROR(MATCH($A767,Merge_1_2!$A$2:$A$611,0),0)</f>
        <v>0</v>
      </c>
      <c r="D767" s="23">
        <f>IF($C767&gt;0,INDEX(Merge_1_2!$Q$2:$Q$611,$C767),0)</f>
        <v>0</v>
      </c>
      <c r="E767" s="23">
        <f>IFERROR(MATCH($A767,Dataset3_Raw!$A$2:$A$391,0),0)</f>
        <v>156</v>
      </c>
      <c r="F767" s="24">
        <f>IF($C767&gt;0,INDEX(Merge_1_2!$B$2:$B$611,$C767),DATE(VALUE(RIGHT(INDEX(Dataset3_Raw!$B$2:$B$391,$E767),4)),VALUE(MID(INDEX(Dataset3_Raw!$B$2:$B$391,$E767),4,2)),VALUE(LEFT(INDEX(Dataset3_Raw!$B$2:$B$391,$E767),2))))</f>
        <v>40578</v>
      </c>
      <c r="G767" s="23">
        <f>IF($C767&gt;0,INDEX(Merge_1_2!$C$2:$C$611,$C767),INDEX(Dataset3_Raw!$C$2:$C$391,$E767))</f>
        <v>1</v>
      </c>
      <c r="H767" s="23">
        <f>IF($C767&gt;0,INDEX(Merge_1_2!$D$2:$D$611,$C767),INDEX(Dataset3_Raw!$D$2:$D$391,$E767))</f>
        <v>0</v>
      </c>
      <c r="I767" s="23">
        <f>IF($C767&gt;0,INDEX(Merge_1_2!$E$2:$E$611,$C767),INDEX(Dataset3_Raw!$E$2:$E$391,$E767))</f>
        <v>2</v>
      </c>
      <c r="J767" s="23">
        <f>IF($C767&gt;0,INDEX(Merge_1_2!$F$2:$F$611,$C767),INDEX(Dataset3_Raw!$F$2:$F$391,$E767))</f>
        <v>8</v>
      </c>
      <c r="K767" s="23" t="b">
        <f>IF($C767&gt;0,INDEX(Merge_1_2!$G$2:$G$611,$C767),INDEX(Dataset3_Raw!$G$2:$G$391,$E767))</f>
        <v>0</v>
      </c>
      <c r="L767" s="23">
        <f>IF($C767&gt;0,INDEX(Merge_1_2!$H$2:$H$611,$C767),INDEX(Dataset3_Raw!$H$2:$H$391,$E767))</f>
        <v>5</v>
      </c>
      <c r="M767" s="23">
        <f>IF($C767&gt;0,INDEX(Merge_1_2!$I$2:$I$611,$C767),INDEX(Dataset3_Raw!$I$2:$I$391,$E767))</f>
        <v>1</v>
      </c>
      <c r="N767" s="25">
        <f>IF($C767&gt;0,INDEX(Merge_1_2!$J$2:$J$611,$C767),INDEX(Dataset3_Raw!$J$2:$J$391,$E767))</f>
        <v>0.14000000000000001</v>
      </c>
      <c r="O767" s="25">
        <f>IF($C767&gt;0,IF(ISNUMBER(INDEX(Merge_1_2!$K$2:$K$611,$C767)),INDEX(Merge_1_2!$K$2:$K$611,$C767),""),INDEX(Dataset3_Raw!$K$2:$K$391,$E767))</f>
        <v>0.1515</v>
      </c>
      <c r="P767" s="25">
        <f>IF(ISNUMBER($O767),$O767,ROUND(Lookups!$B$25+Lookups!$B$24*$N767,4))</f>
        <v>0.1515</v>
      </c>
      <c r="Q767" s="25">
        <f>IF($C767&gt;0,INDEX(Merge_1_2!$L$2:$L$611,$C767),INDEX(Dataset3_Raw!$L$2:$L$391,$E767))</f>
        <v>0.74</v>
      </c>
      <c r="R767" s="25">
        <f>IF($C767&gt;0,INDEX(Merge_1_2!$M$2:$M$611,$C767),INDEX(Dataset3_Raw!$M$2:$M$391,$E767))</f>
        <v>0.1343</v>
      </c>
      <c r="S767" s="23">
        <f>IF($C767&gt;0,INDEX(Merge_1_2!$N$2:$N$611,$C767),INDEX(Dataset3_Raw!$N$2:$N$391,$E767))</f>
        <v>3</v>
      </c>
      <c r="T767" s="23">
        <f>IF($C767&gt;0,INDEX(Merge_1_2!$O$2:$O$611,$C767),INDEX(Dataset3_Raw!$O$2:$O$391,$E767))</f>
        <v>217</v>
      </c>
      <c r="U767" s="23">
        <f>IF($C767&gt;0,INDEX(Merge_1_2!$P$2:$P$611,$C767),INDEX(Dataset3_Raw!$P$2:$P$391,$E767))</f>
        <v>220</v>
      </c>
      <c r="V767" s="23" t="str">
        <f t="shared" si="67"/>
        <v>Weekday</v>
      </c>
      <c r="W767" s="23" t="str">
        <f>VLOOKUP($M767,Lookups!$A$5:$B$8,2,FALSE())</f>
        <v>Clear / Partly cloudy</v>
      </c>
      <c r="X767" s="23" t="str">
        <f>VLOOKUP($G767,Lookups!$D$5:$E$8,2,FALSE())</f>
        <v>Winter</v>
      </c>
      <c r="Y767" s="23" t="str">
        <f>VLOOKUP($L767,Lookups!$G$5:$H$11,2,FALSE())</f>
        <v>Friday</v>
      </c>
      <c r="Z767" s="23" t="str">
        <f>IF($J767&lt;Lookups!$B$26,"Night",IF($J767&lt;Lookups!$B$27,"Morning",IF($J767&lt;Lookups!$B$28,"Afternoon","Evening")))</f>
        <v>Morning</v>
      </c>
      <c r="AA767" s="26">
        <f>ROUND($N767*(Lookups!$B$16-Lookups!$B$15)+Lookups!$B$15,1)</f>
        <v>-1.4</v>
      </c>
      <c r="AB767" s="26">
        <f>ROUND($P767*(Lookups!$B$18-Lookups!$B$17)+Lookups!$B$17,1)</f>
        <v>-6</v>
      </c>
      <c r="AC767" s="23">
        <f t="shared" si="68"/>
        <v>74</v>
      </c>
      <c r="AD767" s="23">
        <f>ROUND($R767*Lookups!$B$19,1)</f>
        <v>9</v>
      </c>
      <c r="AE767" s="27">
        <f t="shared" si="69"/>
        <v>0.98636363636363633</v>
      </c>
      <c r="AF767" s="23" t="str">
        <f>IF($U767&gt;=Lookups!$B$23,"High",IF($U767&gt;=Lookups!$B$22,"Medium","Low"))</f>
        <v>High</v>
      </c>
      <c r="AG767" s="23">
        <f>ROUND(IF($V767="Weekday",IF(INDEX(Hourly_Analysis!$D$5:$D$28,$J767+1)&gt;0,($U767-INDEX(Hourly_Analysis!$C$5:$C$28,$J767+1))/INDEX(Hourly_Analysis!$D$5:$D$28,$J767+1),0),IF(INDEX(Hourly_Analysis!$G$5:$G$28,$J767+1)&gt;0,($U767-INDEX(Hourly_Analysis!$F$5:$F$28,$J767+1))/INDEX(Hourly_Analysis!$G$5:$G$28,$J767+1),0)),2)</f>
        <v>0.78</v>
      </c>
      <c r="AH767" s="23" t="str">
        <f>IF(ABS($AG767)&gt;Lookups!$B$20,IF($AG767&gt;0,"High anomaly","Low anomaly"),"")</f>
        <v/>
      </c>
      <c r="AI767" s="23" t="str">
        <f t="shared" si="70"/>
        <v>OK</v>
      </c>
      <c r="AJ767" s="23" t="str">
        <f t="shared" si="71"/>
        <v>No</v>
      </c>
    </row>
    <row r="768" spans="1:36" x14ac:dyDescent="0.35">
      <c r="A768" s="23">
        <v>767</v>
      </c>
      <c r="B768" s="23" t="str">
        <f t="shared" si="66"/>
        <v>Dataset 3</v>
      </c>
      <c r="C768" s="23">
        <f>IFERROR(MATCH($A768,Merge_1_2!$A$2:$A$611,0),0)</f>
        <v>0</v>
      </c>
      <c r="D768" s="23">
        <f>IF($C768&gt;0,INDEX(Merge_1_2!$Q$2:$Q$611,$C768),0)</f>
        <v>0</v>
      </c>
      <c r="E768" s="23">
        <f>IFERROR(MATCH($A768,Dataset3_Raw!$A$2:$A$391,0),0)</f>
        <v>157</v>
      </c>
      <c r="F768" s="24">
        <f>IF($C768&gt;0,INDEX(Merge_1_2!$B$2:$B$611,$C768),DATE(VALUE(RIGHT(INDEX(Dataset3_Raw!$B$2:$B$391,$E768),4)),VALUE(MID(INDEX(Dataset3_Raw!$B$2:$B$391,$E768),4,2)),VALUE(LEFT(INDEX(Dataset3_Raw!$B$2:$B$391,$E768),2))))</f>
        <v>40578</v>
      </c>
      <c r="G768" s="23">
        <f>IF($C768&gt;0,INDEX(Merge_1_2!$C$2:$C$611,$C768),INDEX(Dataset3_Raw!$C$2:$C$391,$E768))</f>
        <v>1</v>
      </c>
      <c r="H768" s="23">
        <f>IF($C768&gt;0,INDEX(Merge_1_2!$D$2:$D$611,$C768),INDEX(Dataset3_Raw!$D$2:$D$391,$E768))</f>
        <v>0</v>
      </c>
      <c r="I768" s="23">
        <f>IF($C768&gt;0,INDEX(Merge_1_2!$E$2:$E$611,$C768),INDEX(Dataset3_Raw!$E$2:$E$391,$E768))</f>
        <v>2</v>
      </c>
      <c r="J768" s="23">
        <f>IF($C768&gt;0,INDEX(Merge_1_2!$F$2:$F$611,$C768),INDEX(Dataset3_Raw!$F$2:$F$391,$E768))</f>
        <v>9</v>
      </c>
      <c r="K768" s="23" t="b">
        <f>IF($C768&gt;0,INDEX(Merge_1_2!$G$2:$G$611,$C768),INDEX(Dataset3_Raw!$G$2:$G$391,$E768))</f>
        <v>0</v>
      </c>
      <c r="L768" s="23">
        <f>IF($C768&gt;0,INDEX(Merge_1_2!$H$2:$H$611,$C768),INDEX(Dataset3_Raw!$H$2:$H$391,$E768))</f>
        <v>5</v>
      </c>
      <c r="M768" s="23">
        <f>IF($C768&gt;0,INDEX(Merge_1_2!$I$2:$I$611,$C768),INDEX(Dataset3_Raw!$I$2:$I$391,$E768))</f>
        <v>2</v>
      </c>
      <c r="N768" s="25">
        <f>IF($C768&gt;0,INDEX(Merge_1_2!$J$2:$J$611,$C768),INDEX(Dataset3_Raw!$J$2:$J$391,$E768))</f>
        <v>0.16</v>
      </c>
      <c r="O768" s="25">
        <f>IF($C768&gt;0,IF(ISNUMBER(INDEX(Merge_1_2!$K$2:$K$611,$C768)),INDEX(Merge_1_2!$K$2:$K$611,$C768),""),INDEX(Dataset3_Raw!$K$2:$K$391,$E768))</f>
        <v>0.18179999999999999</v>
      </c>
      <c r="P768" s="25">
        <f>IF(ISNUMBER($O768),$O768,ROUND(Lookups!$B$25+Lookups!$B$24*$N768,4))</f>
        <v>0.18179999999999999</v>
      </c>
      <c r="Q768" s="25">
        <f>IF($C768&gt;0,INDEX(Merge_1_2!$L$2:$L$611,$C768),INDEX(Dataset3_Raw!$L$2:$L$391,$E768))</f>
        <v>0.8</v>
      </c>
      <c r="R768" s="25">
        <f>IF($C768&gt;0,INDEX(Merge_1_2!$M$2:$M$611,$C768),INDEX(Dataset3_Raw!$M$2:$M$391,$E768))</f>
        <v>0.1343</v>
      </c>
      <c r="S768" s="23">
        <f>IF($C768&gt;0,INDEX(Merge_1_2!$N$2:$N$611,$C768),INDEX(Dataset3_Raw!$N$2:$N$391,$E768))</f>
        <v>3</v>
      </c>
      <c r="T768" s="23">
        <f>IF($C768&gt;0,INDEX(Merge_1_2!$O$2:$O$611,$C768),INDEX(Dataset3_Raw!$O$2:$O$391,$E768))</f>
        <v>124</v>
      </c>
      <c r="U768" s="23">
        <f>IF($C768&gt;0,INDEX(Merge_1_2!$P$2:$P$611,$C768),INDEX(Dataset3_Raw!$P$2:$P$391,$E768))</f>
        <v>127</v>
      </c>
      <c r="V768" s="23" t="str">
        <f t="shared" si="67"/>
        <v>Weekday</v>
      </c>
      <c r="W768" s="23" t="str">
        <f>VLOOKUP($M768,Lookups!$A$5:$B$8,2,FALSE())</f>
        <v>Mist / Cloudy</v>
      </c>
      <c r="X768" s="23" t="str">
        <f>VLOOKUP($G768,Lookups!$D$5:$E$8,2,FALSE())</f>
        <v>Winter</v>
      </c>
      <c r="Y768" s="23" t="str">
        <f>VLOOKUP($L768,Lookups!$G$5:$H$11,2,FALSE())</f>
        <v>Friday</v>
      </c>
      <c r="Z768" s="23" t="str">
        <f>IF($J768&lt;Lookups!$B$26,"Night",IF($J768&lt;Lookups!$B$27,"Morning",IF($J768&lt;Lookups!$B$28,"Afternoon","Evening")))</f>
        <v>Morning</v>
      </c>
      <c r="AA768" s="26">
        <f>ROUND($N768*(Lookups!$B$16-Lookups!$B$15)+Lookups!$B$15,1)</f>
        <v>-0.5</v>
      </c>
      <c r="AB768" s="26">
        <f>ROUND($P768*(Lookups!$B$18-Lookups!$B$17)+Lookups!$B$17,1)</f>
        <v>-4</v>
      </c>
      <c r="AC768" s="23">
        <f t="shared" si="68"/>
        <v>80</v>
      </c>
      <c r="AD768" s="23">
        <f>ROUND($R768*Lookups!$B$19,1)</f>
        <v>9</v>
      </c>
      <c r="AE768" s="27">
        <f t="shared" si="69"/>
        <v>0.97637795275590555</v>
      </c>
      <c r="AF768" s="23" t="str">
        <f>IF($U768&gt;=Lookups!$B$23,"High",IF($U768&gt;=Lookups!$B$22,"Medium","Low"))</f>
        <v>High</v>
      </c>
      <c r="AG768" s="23">
        <f>ROUND(IF($V768="Weekday",IF(INDEX(Hourly_Analysis!$D$5:$D$28,$J768+1)&gt;0,($U768-INDEX(Hourly_Analysis!$C$5:$C$28,$J768+1))/INDEX(Hourly_Analysis!$D$5:$D$28,$J768+1),0),IF(INDEX(Hourly_Analysis!$G$5:$G$28,$J768+1)&gt;0,($U768-INDEX(Hourly_Analysis!$F$5:$F$28,$J768+1))/INDEX(Hourly_Analysis!$G$5:$G$28,$J768+1),0)),2)</f>
        <v>0.39</v>
      </c>
      <c r="AH768" s="23" t="str">
        <f>IF(ABS($AG768)&gt;Lookups!$B$20,IF($AG768&gt;0,"High anomaly","Low anomaly"),"")</f>
        <v/>
      </c>
      <c r="AI768" s="23" t="str">
        <f t="shared" si="70"/>
        <v>OK</v>
      </c>
      <c r="AJ768" s="23" t="str">
        <f t="shared" si="71"/>
        <v>No</v>
      </c>
    </row>
    <row r="769" spans="1:36" x14ac:dyDescent="0.35">
      <c r="A769" s="23">
        <v>768</v>
      </c>
      <c r="B769" s="23" t="str">
        <f t="shared" si="66"/>
        <v>Dataset 3</v>
      </c>
      <c r="C769" s="23">
        <f>IFERROR(MATCH($A769,Merge_1_2!$A$2:$A$611,0),0)</f>
        <v>0</v>
      </c>
      <c r="D769" s="23">
        <f>IF($C769&gt;0,INDEX(Merge_1_2!$Q$2:$Q$611,$C769),0)</f>
        <v>0</v>
      </c>
      <c r="E769" s="23">
        <f>IFERROR(MATCH($A769,Dataset3_Raw!$A$2:$A$391,0),0)</f>
        <v>158</v>
      </c>
      <c r="F769" s="24">
        <f>IF($C769&gt;0,INDEX(Merge_1_2!$B$2:$B$611,$C769),DATE(VALUE(RIGHT(INDEX(Dataset3_Raw!$B$2:$B$391,$E769),4)),VALUE(MID(INDEX(Dataset3_Raw!$B$2:$B$391,$E769),4,2)),VALUE(LEFT(INDEX(Dataset3_Raw!$B$2:$B$391,$E769),2))))</f>
        <v>40578</v>
      </c>
      <c r="G769" s="23">
        <f>IF($C769&gt;0,INDEX(Merge_1_2!$C$2:$C$611,$C769),INDEX(Dataset3_Raw!$C$2:$C$391,$E769))</f>
        <v>1</v>
      </c>
      <c r="H769" s="23">
        <f>IF($C769&gt;0,INDEX(Merge_1_2!$D$2:$D$611,$C769),INDEX(Dataset3_Raw!$D$2:$D$391,$E769))</f>
        <v>0</v>
      </c>
      <c r="I769" s="23">
        <f>IF($C769&gt;0,INDEX(Merge_1_2!$E$2:$E$611,$C769),INDEX(Dataset3_Raw!$E$2:$E$391,$E769))</f>
        <v>2</v>
      </c>
      <c r="J769" s="23">
        <f>IF($C769&gt;0,INDEX(Merge_1_2!$F$2:$F$611,$C769),INDEX(Dataset3_Raw!$F$2:$F$391,$E769))</f>
        <v>10</v>
      </c>
      <c r="K769" s="23" t="b">
        <f>IF($C769&gt;0,INDEX(Merge_1_2!$G$2:$G$611,$C769),INDEX(Dataset3_Raw!$G$2:$G$391,$E769))</f>
        <v>0</v>
      </c>
      <c r="L769" s="23">
        <f>IF($C769&gt;0,INDEX(Merge_1_2!$H$2:$H$611,$C769),INDEX(Dataset3_Raw!$H$2:$H$391,$E769))</f>
        <v>5</v>
      </c>
      <c r="M769" s="23">
        <f>IF($C769&gt;0,INDEX(Merge_1_2!$I$2:$I$611,$C769),INDEX(Dataset3_Raw!$I$2:$I$391,$E769))</f>
        <v>2</v>
      </c>
      <c r="N769" s="25">
        <f>IF($C769&gt;0,INDEX(Merge_1_2!$J$2:$J$611,$C769),INDEX(Dataset3_Raw!$J$2:$J$391,$E769))</f>
        <v>0.2</v>
      </c>
      <c r="O769" s="25">
        <f>IF($C769&gt;0,IF(ISNUMBER(INDEX(Merge_1_2!$K$2:$K$611,$C769)),INDEX(Merge_1_2!$K$2:$K$611,$C769),""),INDEX(Dataset3_Raw!$K$2:$K$391,$E769))</f>
        <v>0.21210000000000001</v>
      </c>
      <c r="P769" s="25">
        <f>IF(ISNUMBER($O769),$O769,ROUND(Lookups!$B$25+Lookups!$B$24*$N769,4))</f>
        <v>0.21210000000000001</v>
      </c>
      <c r="Q769" s="25">
        <f>IF($C769&gt;0,INDEX(Merge_1_2!$L$2:$L$611,$C769),INDEX(Dataset3_Raw!$L$2:$L$391,$E769))</f>
        <v>0.51</v>
      </c>
      <c r="R769" s="25">
        <f>IF($C769&gt;0,INDEX(Merge_1_2!$M$2:$M$611,$C769),INDEX(Dataset3_Raw!$M$2:$M$391,$E769))</f>
        <v>0.1343</v>
      </c>
      <c r="S769" s="23">
        <f>IF($C769&gt;0,INDEX(Merge_1_2!$N$2:$N$611,$C769),INDEX(Dataset3_Raw!$N$2:$N$391,$E769))</f>
        <v>5</v>
      </c>
      <c r="T769" s="23">
        <f>IF($C769&gt;0,INDEX(Merge_1_2!$O$2:$O$611,$C769),INDEX(Dataset3_Raw!$O$2:$O$391,$E769))</f>
        <v>46</v>
      </c>
      <c r="U769" s="23">
        <f>IF($C769&gt;0,INDEX(Merge_1_2!$P$2:$P$611,$C769),INDEX(Dataset3_Raw!$P$2:$P$391,$E769))</f>
        <v>51</v>
      </c>
      <c r="V769" s="23" t="str">
        <f t="shared" si="67"/>
        <v>Weekday</v>
      </c>
      <c r="W769" s="23" t="str">
        <f>VLOOKUP($M769,Lookups!$A$5:$B$8,2,FALSE())</f>
        <v>Mist / Cloudy</v>
      </c>
      <c r="X769" s="23" t="str">
        <f>VLOOKUP($G769,Lookups!$D$5:$E$8,2,FALSE())</f>
        <v>Winter</v>
      </c>
      <c r="Y769" s="23" t="str">
        <f>VLOOKUP($L769,Lookups!$G$5:$H$11,2,FALSE())</f>
        <v>Friday</v>
      </c>
      <c r="Z769" s="23" t="str">
        <f>IF($J769&lt;Lookups!$B$26,"Night",IF($J769&lt;Lookups!$B$27,"Morning",IF($J769&lt;Lookups!$B$28,"Afternoon","Evening")))</f>
        <v>Morning</v>
      </c>
      <c r="AA769" s="26">
        <f>ROUND($N769*(Lookups!$B$16-Lookups!$B$15)+Lookups!$B$15,1)</f>
        <v>1.4</v>
      </c>
      <c r="AB769" s="26">
        <f>ROUND($P769*(Lookups!$B$18-Lookups!$B$17)+Lookups!$B$17,1)</f>
        <v>-2</v>
      </c>
      <c r="AC769" s="23">
        <f t="shared" si="68"/>
        <v>51</v>
      </c>
      <c r="AD769" s="23">
        <f>ROUND($R769*Lookups!$B$19,1)</f>
        <v>9</v>
      </c>
      <c r="AE769" s="27">
        <f t="shared" si="69"/>
        <v>0.90196078431372551</v>
      </c>
      <c r="AF769" s="23" t="str">
        <f>IF($U769&gt;=Lookups!$B$23,"High",IF($U769&gt;=Lookups!$B$22,"Medium","Low"))</f>
        <v>Medium</v>
      </c>
      <c r="AG769" s="23">
        <f>ROUND(IF($V769="Weekday",IF(INDEX(Hourly_Analysis!$D$5:$D$28,$J769+1)&gt;0,($U769-INDEX(Hourly_Analysis!$C$5:$C$28,$J769+1))/INDEX(Hourly_Analysis!$D$5:$D$28,$J769+1),0),IF(INDEX(Hourly_Analysis!$G$5:$G$28,$J769+1)&gt;0,($U769-INDEX(Hourly_Analysis!$F$5:$F$28,$J769+1))/INDEX(Hourly_Analysis!$G$5:$G$28,$J769+1),0)),2)</f>
        <v>0.22</v>
      </c>
      <c r="AH769" s="23" t="str">
        <f>IF(ABS($AG769)&gt;Lookups!$B$20,IF($AG769&gt;0,"High anomaly","Low anomaly"),"")</f>
        <v/>
      </c>
      <c r="AI769" s="23" t="str">
        <f t="shared" si="70"/>
        <v>OK</v>
      </c>
      <c r="AJ769" s="23" t="str">
        <f t="shared" si="71"/>
        <v>No</v>
      </c>
    </row>
    <row r="770" spans="1:36" x14ac:dyDescent="0.35">
      <c r="A770" s="23">
        <v>769</v>
      </c>
      <c r="B770" s="23" t="str">
        <f t="shared" ref="B770:B833" si="72">IF($C770&gt;0,"Merge 1+2","Dataset 3")</f>
        <v>Dataset 3</v>
      </c>
      <c r="C770" s="23">
        <f>IFERROR(MATCH($A770,Merge_1_2!$A$2:$A$611,0),0)</f>
        <v>0</v>
      </c>
      <c r="D770" s="23">
        <f>IF($C770&gt;0,INDEX(Merge_1_2!$Q$2:$Q$611,$C770),0)</f>
        <v>0</v>
      </c>
      <c r="E770" s="23">
        <f>IFERROR(MATCH($A770,Dataset3_Raw!$A$2:$A$391,0),0)</f>
        <v>159</v>
      </c>
      <c r="F770" s="24">
        <f>IF($C770&gt;0,INDEX(Merge_1_2!$B$2:$B$611,$C770),DATE(VALUE(RIGHT(INDEX(Dataset3_Raw!$B$2:$B$391,$E770),4)),VALUE(MID(INDEX(Dataset3_Raw!$B$2:$B$391,$E770),4,2)),VALUE(LEFT(INDEX(Dataset3_Raw!$B$2:$B$391,$E770),2))))</f>
        <v>40578</v>
      </c>
      <c r="G770" s="23">
        <f>IF($C770&gt;0,INDEX(Merge_1_2!$C$2:$C$611,$C770),INDEX(Dataset3_Raw!$C$2:$C$391,$E770))</f>
        <v>1</v>
      </c>
      <c r="H770" s="23">
        <f>IF($C770&gt;0,INDEX(Merge_1_2!$D$2:$D$611,$C770),INDEX(Dataset3_Raw!$D$2:$D$391,$E770))</f>
        <v>0</v>
      </c>
      <c r="I770" s="23">
        <f>IF($C770&gt;0,INDEX(Merge_1_2!$E$2:$E$611,$C770),INDEX(Dataset3_Raw!$E$2:$E$391,$E770))</f>
        <v>2</v>
      </c>
      <c r="J770" s="23">
        <f>IF($C770&gt;0,INDEX(Merge_1_2!$F$2:$F$611,$C770),INDEX(Dataset3_Raw!$F$2:$F$391,$E770))</f>
        <v>11</v>
      </c>
      <c r="K770" s="23" t="b">
        <f>IF($C770&gt;0,INDEX(Merge_1_2!$G$2:$G$611,$C770),INDEX(Dataset3_Raw!$G$2:$G$391,$E770))</f>
        <v>0</v>
      </c>
      <c r="L770" s="23">
        <f>IF($C770&gt;0,INDEX(Merge_1_2!$H$2:$H$611,$C770),INDEX(Dataset3_Raw!$H$2:$H$391,$E770))</f>
        <v>5</v>
      </c>
      <c r="M770" s="23">
        <f>IF($C770&gt;0,INDEX(Merge_1_2!$I$2:$I$611,$C770),INDEX(Dataset3_Raw!$I$2:$I$391,$E770))</f>
        <v>1</v>
      </c>
      <c r="N770" s="25">
        <f>IF($C770&gt;0,INDEX(Merge_1_2!$J$2:$J$611,$C770),INDEX(Dataset3_Raw!$J$2:$J$391,$E770))</f>
        <v>0.22</v>
      </c>
      <c r="O770" s="25">
        <f>IF($C770&gt;0,IF(ISNUMBER(INDEX(Merge_1_2!$K$2:$K$611,$C770)),INDEX(Merge_1_2!$K$2:$K$611,$C770),""),INDEX(Dataset3_Raw!$K$2:$K$391,$E770))</f>
        <v>0.2273</v>
      </c>
      <c r="P770" s="25">
        <f>IF(ISNUMBER($O770),$O770,ROUND(Lookups!$B$25+Lookups!$B$24*$N770,4))</f>
        <v>0.2273</v>
      </c>
      <c r="Q770" s="25">
        <f>IF($C770&gt;0,INDEX(Merge_1_2!$L$2:$L$611,$C770),INDEX(Dataset3_Raw!$L$2:$L$391,$E770))</f>
        <v>0.51</v>
      </c>
      <c r="R770" s="25">
        <f>IF($C770&gt;0,INDEX(Merge_1_2!$M$2:$M$611,$C770),INDEX(Dataset3_Raw!$M$2:$M$391,$E770))</f>
        <v>0.16420000000000001</v>
      </c>
      <c r="S770" s="23">
        <f>IF($C770&gt;0,INDEX(Merge_1_2!$N$2:$N$611,$C770),INDEX(Dataset3_Raw!$N$2:$N$391,$E770))</f>
        <v>3</v>
      </c>
      <c r="T770" s="23">
        <f>IF($C770&gt;0,INDEX(Merge_1_2!$O$2:$O$611,$C770),INDEX(Dataset3_Raw!$O$2:$O$391,$E770))</f>
        <v>61</v>
      </c>
      <c r="U770" s="23">
        <f>IF($C770&gt;0,INDEX(Merge_1_2!$P$2:$P$611,$C770),INDEX(Dataset3_Raw!$P$2:$P$391,$E770))</f>
        <v>64</v>
      </c>
      <c r="V770" s="23" t="str">
        <f t="shared" ref="V770:V833" si="73">IF($K770,"Holiday",IF(OR($L770=0,$L770=6),"Weekend","Weekday"))</f>
        <v>Weekday</v>
      </c>
      <c r="W770" s="23" t="str">
        <f>VLOOKUP($M770,Lookups!$A$5:$B$8,2,FALSE())</f>
        <v>Clear / Partly cloudy</v>
      </c>
      <c r="X770" s="23" t="str">
        <f>VLOOKUP($G770,Lookups!$D$5:$E$8,2,FALSE())</f>
        <v>Winter</v>
      </c>
      <c r="Y770" s="23" t="str">
        <f>VLOOKUP($L770,Lookups!$G$5:$H$11,2,FALSE())</f>
        <v>Friday</v>
      </c>
      <c r="Z770" s="23" t="str">
        <f>IF($J770&lt;Lookups!$B$26,"Night",IF($J770&lt;Lookups!$B$27,"Morning",IF($J770&lt;Lookups!$B$28,"Afternoon","Evening")))</f>
        <v>Morning</v>
      </c>
      <c r="AA770" s="26">
        <f>ROUND($N770*(Lookups!$B$16-Lookups!$B$15)+Lookups!$B$15,1)</f>
        <v>2.2999999999999998</v>
      </c>
      <c r="AB770" s="26">
        <f>ROUND($P770*(Lookups!$B$18-Lookups!$B$17)+Lookups!$B$17,1)</f>
        <v>-1</v>
      </c>
      <c r="AC770" s="23">
        <f t="shared" ref="AC770:AC833" si="74">ROUND($Q770*100,0)</f>
        <v>51</v>
      </c>
      <c r="AD770" s="23">
        <f>ROUND($R770*Lookups!$B$19,1)</f>
        <v>11</v>
      </c>
      <c r="AE770" s="27">
        <f t="shared" ref="AE770:AE833" si="75">IF($U770&gt;0,$T770/$U770,0)</f>
        <v>0.953125</v>
      </c>
      <c r="AF770" s="23" t="str">
        <f>IF($U770&gt;=Lookups!$B$23,"High",IF($U770&gt;=Lookups!$B$22,"Medium","Low"))</f>
        <v>Medium</v>
      </c>
      <c r="AG770" s="23">
        <f>ROUND(IF($V770="Weekday",IF(INDEX(Hourly_Analysis!$D$5:$D$28,$J770+1)&gt;0,($U770-INDEX(Hourly_Analysis!$C$5:$C$28,$J770+1))/INDEX(Hourly_Analysis!$D$5:$D$28,$J770+1),0),IF(INDEX(Hourly_Analysis!$G$5:$G$28,$J770+1)&gt;0,($U770-INDEX(Hourly_Analysis!$F$5:$F$28,$J770+1))/INDEX(Hourly_Analysis!$G$5:$G$28,$J770+1),0)),2)</f>
        <v>1.25</v>
      </c>
      <c r="AH770" s="23" t="str">
        <f>IF(ABS($AG770)&gt;Lookups!$B$20,IF($AG770&gt;0,"High anomaly","Low anomaly"),"")</f>
        <v/>
      </c>
      <c r="AI770" s="23" t="str">
        <f t="shared" ref="AI770:AI833" si="76">IF($S770+$T770=$U770,"OK","Mismatch")</f>
        <v>OK</v>
      </c>
      <c r="AJ770" s="23" t="str">
        <f t="shared" ref="AJ770:AJ833" si="77">IF(ISNUMBER($O770),"No","Yes")</f>
        <v>No</v>
      </c>
    </row>
    <row r="771" spans="1:36" x14ac:dyDescent="0.35">
      <c r="A771" s="23">
        <v>770</v>
      </c>
      <c r="B771" s="23" t="str">
        <f t="shared" si="72"/>
        <v>Dataset 3</v>
      </c>
      <c r="C771" s="23">
        <f>IFERROR(MATCH($A771,Merge_1_2!$A$2:$A$611,0),0)</f>
        <v>0</v>
      </c>
      <c r="D771" s="23">
        <f>IF($C771&gt;0,INDEX(Merge_1_2!$Q$2:$Q$611,$C771),0)</f>
        <v>0</v>
      </c>
      <c r="E771" s="23">
        <f>IFERROR(MATCH($A771,Dataset3_Raw!$A$2:$A$391,0),0)</f>
        <v>160</v>
      </c>
      <c r="F771" s="24">
        <f>IF($C771&gt;0,INDEX(Merge_1_2!$B$2:$B$611,$C771),DATE(VALUE(RIGHT(INDEX(Dataset3_Raw!$B$2:$B$391,$E771),4)),VALUE(MID(INDEX(Dataset3_Raw!$B$2:$B$391,$E771),4,2)),VALUE(LEFT(INDEX(Dataset3_Raw!$B$2:$B$391,$E771),2))))</f>
        <v>40578</v>
      </c>
      <c r="G771" s="23">
        <f>IF($C771&gt;0,INDEX(Merge_1_2!$C$2:$C$611,$C771),INDEX(Dataset3_Raw!$C$2:$C$391,$E771))</f>
        <v>1</v>
      </c>
      <c r="H771" s="23">
        <f>IF($C771&gt;0,INDEX(Merge_1_2!$D$2:$D$611,$C771),INDEX(Dataset3_Raw!$D$2:$D$391,$E771))</f>
        <v>0</v>
      </c>
      <c r="I771" s="23">
        <f>IF($C771&gt;0,INDEX(Merge_1_2!$E$2:$E$611,$C771),INDEX(Dataset3_Raw!$E$2:$E$391,$E771))</f>
        <v>2</v>
      </c>
      <c r="J771" s="23">
        <f>IF($C771&gt;0,INDEX(Merge_1_2!$F$2:$F$611,$C771),INDEX(Dataset3_Raw!$F$2:$F$391,$E771))</f>
        <v>12</v>
      </c>
      <c r="K771" s="23" t="b">
        <f>IF($C771&gt;0,INDEX(Merge_1_2!$G$2:$G$611,$C771),INDEX(Dataset3_Raw!$G$2:$G$391,$E771))</f>
        <v>0</v>
      </c>
      <c r="L771" s="23">
        <f>IF($C771&gt;0,INDEX(Merge_1_2!$H$2:$H$611,$C771),INDEX(Dataset3_Raw!$H$2:$H$391,$E771))</f>
        <v>5</v>
      </c>
      <c r="M771" s="23">
        <f>IF($C771&gt;0,INDEX(Merge_1_2!$I$2:$I$611,$C771),INDEX(Dataset3_Raw!$I$2:$I$391,$E771))</f>
        <v>2</v>
      </c>
      <c r="N771" s="25">
        <f>IF($C771&gt;0,INDEX(Merge_1_2!$J$2:$J$611,$C771),INDEX(Dataset3_Raw!$J$2:$J$391,$E771))</f>
        <v>0.24</v>
      </c>
      <c r="O771" s="25">
        <f>IF($C771&gt;0,IF(ISNUMBER(INDEX(Merge_1_2!$K$2:$K$611,$C771)),INDEX(Merge_1_2!$K$2:$K$611,$C771),""),INDEX(Dataset3_Raw!$K$2:$K$391,$E771))</f>
        <v>0.2424</v>
      </c>
      <c r="P771" s="25">
        <f>IF(ISNUMBER($O771),$O771,ROUND(Lookups!$B$25+Lookups!$B$24*$N771,4))</f>
        <v>0.2424</v>
      </c>
      <c r="Q771" s="25">
        <f>IF($C771&gt;0,INDEX(Merge_1_2!$L$2:$L$611,$C771),INDEX(Dataset3_Raw!$L$2:$L$391,$E771))</f>
        <v>0.48</v>
      </c>
      <c r="R771" s="25">
        <f>IF($C771&gt;0,INDEX(Merge_1_2!$M$2:$M$611,$C771),INDEX(Dataset3_Raw!$M$2:$M$391,$E771))</f>
        <v>0.16420000000000001</v>
      </c>
      <c r="S771" s="23">
        <f>IF($C771&gt;0,INDEX(Merge_1_2!$N$2:$N$611,$C771),INDEX(Dataset3_Raw!$N$2:$N$391,$E771))</f>
        <v>8</v>
      </c>
      <c r="T771" s="23">
        <f>IF($C771&gt;0,INDEX(Merge_1_2!$O$2:$O$611,$C771),INDEX(Dataset3_Raw!$O$2:$O$391,$E771))</f>
        <v>78</v>
      </c>
      <c r="U771" s="23">
        <f>IF($C771&gt;0,INDEX(Merge_1_2!$P$2:$P$611,$C771),INDEX(Dataset3_Raw!$P$2:$P$391,$E771))</f>
        <v>86</v>
      </c>
      <c r="V771" s="23" t="str">
        <f t="shared" si="73"/>
        <v>Weekday</v>
      </c>
      <c r="W771" s="23" t="str">
        <f>VLOOKUP($M771,Lookups!$A$5:$B$8,2,FALSE())</f>
        <v>Mist / Cloudy</v>
      </c>
      <c r="X771" s="23" t="str">
        <f>VLOOKUP($G771,Lookups!$D$5:$E$8,2,FALSE())</f>
        <v>Winter</v>
      </c>
      <c r="Y771" s="23" t="str">
        <f>VLOOKUP($L771,Lookups!$G$5:$H$11,2,FALSE())</f>
        <v>Friday</v>
      </c>
      <c r="Z771" s="23" t="str">
        <f>IF($J771&lt;Lookups!$B$26,"Night",IF($J771&lt;Lookups!$B$27,"Morning",IF($J771&lt;Lookups!$B$28,"Afternoon","Evening")))</f>
        <v>Afternoon</v>
      </c>
      <c r="AA771" s="26">
        <f>ROUND($N771*(Lookups!$B$16-Lookups!$B$15)+Lookups!$B$15,1)</f>
        <v>3.3</v>
      </c>
      <c r="AB771" s="26">
        <f>ROUND($P771*(Lookups!$B$18-Lookups!$B$17)+Lookups!$B$17,1)</f>
        <v>0</v>
      </c>
      <c r="AC771" s="23">
        <f t="shared" si="74"/>
        <v>48</v>
      </c>
      <c r="AD771" s="23">
        <f>ROUND($R771*Lookups!$B$19,1)</f>
        <v>11</v>
      </c>
      <c r="AE771" s="27">
        <f t="shared" si="75"/>
        <v>0.90697674418604646</v>
      </c>
      <c r="AF771" s="23" t="str">
        <f>IF($U771&gt;=Lookups!$B$23,"High",IF($U771&gt;=Lookups!$B$22,"Medium","Low"))</f>
        <v>High</v>
      </c>
      <c r="AG771" s="23">
        <f>ROUND(IF($V771="Weekday",IF(INDEX(Hourly_Analysis!$D$5:$D$28,$J771+1)&gt;0,($U771-INDEX(Hourly_Analysis!$C$5:$C$28,$J771+1))/INDEX(Hourly_Analysis!$D$5:$D$28,$J771+1),0),IF(INDEX(Hourly_Analysis!$G$5:$G$28,$J771+1)&gt;0,($U771-INDEX(Hourly_Analysis!$F$5:$F$28,$J771+1))/INDEX(Hourly_Analysis!$G$5:$G$28,$J771+1),0)),2)</f>
        <v>1.17</v>
      </c>
      <c r="AH771" s="23" t="str">
        <f>IF(ABS($AG771)&gt;Lookups!$B$20,IF($AG771&gt;0,"High anomaly","Low anomaly"),"")</f>
        <v/>
      </c>
      <c r="AI771" s="23" t="str">
        <f t="shared" si="76"/>
        <v>OK</v>
      </c>
      <c r="AJ771" s="23" t="str">
        <f t="shared" si="77"/>
        <v>No</v>
      </c>
    </row>
    <row r="772" spans="1:36" x14ac:dyDescent="0.35">
      <c r="A772" s="23">
        <v>771</v>
      </c>
      <c r="B772" s="23" t="str">
        <f t="shared" si="72"/>
        <v>Dataset 3</v>
      </c>
      <c r="C772" s="23">
        <f>IFERROR(MATCH($A772,Merge_1_2!$A$2:$A$611,0),0)</f>
        <v>0</v>
      </c>
      <c r="D772" s="23">
        <f>IF($C772&gt;0,INDEX(Merge_1_2!$Q$2:$Q$611,$C772),0)</f>
        <v>0</v>
      </c>
      <c r="E772" s="23">
        <f>IFERROR(MATCH($A772,Dataset3_Raw!$A$2:$A$391,0),0)</f>
        <v>161</v>
      </c>
      <c r="F772" s="24">
        <f>IF($C772&gt;0,INDEX(Merge_1_2!$B$2:$B$611,$C772),DATE(VALUE(RIGHT(INDEX(Dataset3_Raw!$B$2:$B$391,$E772),4)),VALUE(MID(INDEX(Dataset3_Raw!$B$2:$B$391,$E772),4,2)),VALUE(LEFT(INDEX(Dataset3_Raw!$B$2:$B$391,$E772),2))))</f>
        <v>40578</v>
      </c>
      <c r="G772" s="23">
        <f>IF($C772&gt;0,INDEX(Merge_1_2!$C$2:$C$611,$C772),INDEX(Dataset3_Raw!$C$2:$C$391,$E772))</f>
        <v>1</v>
      </c>
      <c r="H772" s="23">
        <f>IF($C772&gt;0,INDEX(Merge_1_2!$D$2:$D$611,$C772),INDEX(Dataset3_Raw!$D$2:$D$391,$E772))</f>
        <v>0</v>
      </c>
      <c r="I772" s="23">
        <f>IF($C772&gt;0,INDEX(Merge_1_2!$E$2:$E$611,$C772),INDEX(Dataset3_Raw!$E$2:$E$391,$E772))</f>
        <v>2</v>
      </c>
      <c r="J772" s="23">
        <f>IF($C772&gt;0,INDEX(Merge_1_2!$F$2:$F$611,$C772),INDEX(Dataset3_Raw!$F$2:$F$391,$E772))</f>
        <v>13</v>
      </c>
      <c r="K772" s="23" t="b">
        <f>IF($C772&gt;0,INDEX(Merge_1_2!$G$2:$G$611,$C772),INDEX(Dataset3_Raw!$G$2:$G$391,$E772))</f>
        <v>0</v>
      </c>
      <c r="L772" s="23">
        <f>IF($C772&gt;0,INDEX(Merge_1_2!$H$2:$H$611,$C772),INDEX(Dataset3_Raw!$H$2:$H$391,$E772))</f>
        <v>5</v>
      </c>
      <c r="M772" s="23">
        <f>IF($C772&gt;0,INDEX(Merge_1_2!$I$2:$I$611,$C772),INDEX(Dataset3_Raw!$I$2:$I$391,$E772))</f>
        <v>2</v>
      </c>
      <c r="N772" s="25">
        <f>IF($C772&gt;0,INDEX(Merge_1_2!$J$2:$J$611,$C772),INDEX(Dataset3_Raw!$J$2:$J$391,$E772))</f>
        <v>0.26</v>
      </c>
      <c r="O772" s="25">
        <f>IF($C772&gt;0,IF(ISNUMBER(INDEX(Merge_1_2!$K$2:$K$611,$C772)),INDEX(Merge_1_2!$K$2:$K$611,$C772),""),INDEX(Dataset3_Raw!$K$2:$K$391,$E772))</f>
        <v>0.2576</v>
      </c>
      <c r="P772" s="25">
        <f>IF(ISNUMBER($O772),$O772,ROUND(Lookups!$B$25+Lookups!$B$24*$N772,4))</f>
        <v>0.2576</v>
      </c>
      <c r="Q772" s="25">
        <f>IF($C772&gt;0,INDEX(Merge_1_2!$L$2:$L$611,$C772),INDEX(Dataset3_Raw!$L$2:$L$391,$E772))</f>
        <v>0.5</v>
      </c>
      <c r="R772" s="25">
        <f>IF($C772&gt;0,INDEX(Merge_1_2!$M$2:$M$611,$C772),INDEX(Dataset3_Raw!$M$2:$M$391,$E772))</f>
        <v>0.22389999999999999</v>
      </c>
      <c r="S772" s="23">
        <f>IF($C772&gt;0,INDEX(Merge_1_2!$N$2:$N$611,$C772),INDEX(Dataset3_Raw!$N$2:$N$391,$E772))</f>
        <v>9</v>
      </c>
      <c r="T772" s="23">
        <f>IF($C772&gt;0,INDEX(Merge_1_2!$O$2:$O$611,$C772),INDEX(Dataset3_Raw!$O$2:$O$391,$E772))</f>
        <v>73</v>
      </c>
      <c r="U772" s="23">
        <f>IF($C772&gt;0,INDEX(Merge_1_2!$P$2:$P$611,$C772),INDEX(Dataset3_Raw!$P$2:$P$391,$E772))</f>
        <v>82</v>
      </c>
      <c r="V772" s="23" t="str">
        <f t="shared" si="73"/>
        <v>Weekday</v>
      </c>
      <c r="W772" s="23" t="str">
        <f>VLOOKUP($M772,Lookups!$A$5:$B$8,2,FALSE())</f>
        <v>Mist / Cloudy</v>
      </c>
      <c r="X772" s="23" t="str">
        <f>VLOOKUP($G772,Lookups!$D$5:$E$8,2,FALSE())</f>
        <v>Winter</v>
      </c>
      <c r="Y772" s="23" t="str">
        <f>VLOOKUP($L772,Lookups!$G$5:$H$11,2,FALSE())</f>
        <v>Friday</v>
      </c>
      <c r="Z772" s="23" t="str">
        <f>IF($J772&lt;Lookups!$B$26,"Night",IF($J772&lt;Lookups!$B$27,"Morning",IF($J772&lt;Lookups!$B$28,"Afternoon","Evening")))</f>
        <v>Afternoon</v>
      </c>
      <c r="AA772" s="26">
        <f>ROUND($N772*(Lookups!$B$16-Lookups!$B$15)+Lookups!$B$15,1)</f>
        <v>4.2</v>
      </c>
      <c r="AB772" s="26">
        <f>ROUND($P772*(Lookups!$B$18-Lookups!$B$17)+Lookups!$B$17,1)</f>
        <v>1</v>
      </c>
      <c r="AC772" s="23">
        <f t="shared" si="74"/>
        <v>50</v>
      </c>
      <c r="AD772" s="23">
        <f>ROUND($R772*Lookups!$B$19,1)</f>
        <v>15</v>
      </c>
      <c r="AE772" s="27">
        <f t="shared" si="75"/>
        <v>0.8902439024390244</v>
      </c>
      <c r="AF772" s="23" t="str">
        <f>IF($U772&gt;=Lookups!$B$23,"High",IF($U772&gt;=Lookups!$B$22,"Medium","Low"))</f>
        <v>Medium</v>
      </c>
      <c r="AG772" s="23">
        <f>ROUND(IF($V772="Weekday",IF(INDEX(Hourly_Analysis!$D$5:$D$28,$J772+1)&gt;0,($U772-INDEX(Hourly_Analysis!$C$5:$C$28,$J772+1))/INDEX(Hourly_Analysis!$D$5:$D$28,$J772+1),0),IF(INDEX(Hourly_Analysis!$G$5:$G$28,$J772+1)&gt;0,($U772-INDEX(Hourly_Analysis!$F$5:$F$28,$J772+1))/INDEX(Hourly_Analysis!$G$5:$G$28,$J772+1),0)),2)</f>
        <v>0.79</v>
      </c>
      <c r="AH772" s="23" t="str">
        <f>IF(ABS($AG772)&gt;Lookups!$B$20,IF($AG772&gt;0,"High anomaly","Low anomaly"),"")</f>
        <v/>
      </c>
      <c r="AI772" s="23" t="str">
        <f t="shared" si="76"/>
        <v>OK</v>
      </c>
      <c r="AJ772" s="23" t="str">
        <f t="shared" si="77"/>
        <v>No</v>
      </c>
    </row>
    <row r="773" spans="1:36" x14ac:dyDescent="0.35">
      <c r="A773" s="23">
        <v>772</v>
      </c>
      <c r="B773" s="23" t="str">
        <f t="shared" si="72"/>
        <v>Dataset 3</v>
      </c>
      <c r="C773" s="23">
        <f>IFERROR(MATCH($A773,Merge_1_2!$A$2:$A$611,0),0)</f>
        <v>0</v>
      </c>
      <c r="D773" s="23">
        <f>IF($C773&gt;0,INDEX(Merge_1_2!$Q$2:$Q$611,$C773),0)</f>
        <v>0</v>
      </c>
      <c r="E773" s="23">
        <f>IFERROR(MATCH($A773,Dataset3_Raw!$A$2:$A$391,0),0)</f>
        <v>162</v>
      </c>
      <c r="F773" s="24">
        <f>IF($C773&gt;0,INDEX(Merge_1_2!$B$2:$B$611,$C773),DATE(VALUE(RIGHT(INDEX(Dataset3_Raw!$B$2:$B$391,$E773),4)),VALUE(MID(INDEX(Dataset3_Raw!$B$2:$B$391,$E773),4,2)),VALUE(LEFT(INDEX(Dataset3_Raw!$B$2:$B$391,$E773),2))))</f>
        <v>40578</v>
      </c>
      <c r="G773" s="23">
        <f>IF($C773&gt;0,INDEX(Merge_1_2!$C$2:$C$611,$C773),INDEX(Dataset3_Raw!$C$2:$C$391,$E773))</f>
        <v>1</v>
      </c>
      <c r="H773" s="23">
        <f>IF($C773&gt;0,INDEX(Merge_1_2!$D$2:$D$611,$C773),INDEX(Dataset3_Raw!$D$2:$D$391,$E773))</f>
        <v>0</v>
      </c>
      <c r="I773" s="23">
        <f>IF($C773&gt;0,INDEX(Merge_1_2!$E$2:$E$611,$C773),INDEX(Dataset3_Raw!$E$2:$E$391,$E773))</f>
        <v>2</v>
      </c>
      <c r="J773" s="23">
        <f>IF($C773&gt;0,INDEX(Merge_1_2!$F$2:$F$611,$C773),INDEX(Dataset3_Raw!$F$2:$F$391,$E773))</f>
        <v>14</v>
      </c>
      <c r="K773" s="23" t="b">
        <f>IF($C773&gt;0,INDEX(Merge_1_2!$G$2:$G$611,$C773),INDEX(Dataset3_Raw!$G$2:$G$391,$E773))</f>
        <v>0</v>
      </c>
      <c r="L773" s="23">
        <f>IF($C773&gt;0,INDEX(Merge_1_2!$H$2:$H$611,$C773),INDEX(Dataset3_Raw!$H$2:$H$391,$E773))</f>
        <v>5</v>
      </c>
      <c r="M773" s="23">
        <f>IF($C773&gt;0,INDEX(Merge_1_2!$I$2:$I$611,$C773),INDEX(Dataset3_Raw!$I$2:$I$391,$E773))</f>
        <v>2</v>
      </c>
      <c r="N773" s="25">
        <f>IF($C773&gt;0,INDEX(Merge_1_2!$J$2:$J$611,$C773),INDEX(Dataset3_Raw!$J$2:$J$391,$E773))</f>
        <v>0.28000000000000003</v>
      </c>
      <c r="O773" s="25">
        <f>IF($C773&gt;0,IF(ISNUMBER(INDEX(Merge_1_2!$K$2:$K$611,$C773)),INDEX(Merge_1_2!$K$2:$K$611,$C773),""),INDEX(Dataset3_Raw!$K$2:$K$391,$E773))</f>
        <v>0.2727</v>
      </c>
      <c r="P773" s="25">
        <f>IF(ISNUMBER($O773),$O773,ROUND(Lookups!$B$25+Lookups!$B$24*$N773,4))</f>
        <v>0.2727</v>
      </c>
      <c r="Q773" s="25">
        <f>IF($C773&gt;0,INDEX(Merge_1_2!$L$2:$L$611,$C773),INDEX(Dataset3_Raw!$L$2:$L$391,$E773))</f>
        <v>0.45</v>
      </c>
      <c r="R773" s="25">
        <f>IF($C773&gt;0,INDEX(Merge_1_2!$M$2:$M$611,$C773),INDEX(Dataset3_Raw!$M$2:$M$391,$E773))</f>
        <v>0.16420000000000001</v>
      </c>
      <c r="S773" s="23">
        <f>IF($C773&gt;0,INDEX(Merge_1_2!$N$2:$N$611,$C773),INDEX(Dataset3_Raw!$N$2:$N$391,$E773))</f>
        <v>15</v>
      </c>
      <c r="T773" s="23">
        <f>IF($C773&gt;0,INDEX(Merge_1_2!$O$2:$O$611,$C773),INDEX(Dataset3_Raw!$O$2:$O$391,$E773))</f>
        <v>76</v>
      </c>
      <c r="U773" s="23">
        <f>IF($C773&gt;0,INDEX(Merge_1_2!$P$2:$P$611,$C773),INDEX(Dataset3_Raw!$P$2:$P$391,$E773))</f>
        <v>91</v>
      </c>
      <c r="V773" s="23" t="str">
        <f t="shared" si="73"/>
        <v>Weekday</v>
      </c>
      <c r="W773" s="23" t="str">
        <f>VLOOKUP($M773,Lookups!$A$5:$B$8,2,FALSE())</f>
        <v>Mist / Cloudy</v>
      </c>
      <c r="X773" s="23" t="str">
        <f>VLOOKUP($G773,Lookups!$D$5:$E$8,2,FALSE())</f>
        <v>Winter</v>
      </c>
      <c r="Y773" s="23" t="str">
        <f>VLOOKUP($L773,Lookups!$G$5:$H$11,2,FALSE())</f>
        <v>Friday</v>
      </c>
      <c r="Z773" s="23" t="str">
        <f>IF($J773&lt;Lookups!$B$26,"Night",IF($J773&lt;Lookups!$B$27,"Morning",IF($J773&lt;Lookups!$B$28,"Afternoon","Evening")))</f>
        <v>Afternoon</v>
      </c>
      <c r="AA773" s="26">
        <f>ROUND($N773*(Lookups!$B$16-Lookups!$B$15)+Lookups!$B$15,1)</f>
        <v>5.2</v>
      </c>
      <c r="AB773" s="26">
        <f>ROUND($P773*(Lookups!$B$18-Lookups!$B$17)+Lookups!$B$17,1)</f>
        <v>2</v>
      </c>
      <c r="AC773" s="23">
        <f t="shared" si="74"/>
        <v>45</v>
      </c>
      <c r="AD773" s="23">
        <f>ROUND($R773*Lookups!$B$19,1)</f>
        <v>11</v>
      </c>
      <c r="AE773" s="27">
        <f t="shared" si="75"/>
        <v>0.8351648351648352</v>
      </c>
      <c r="AF773" s="23" t="str">
        <f>IF($U773&gt;=Lookups!$B$23,"High",IF($U773&gt;=Lookups!$B$22,"Medium","Low"))</f>
        <v>High</v>
      </c>
      <c r="AG773" s="23">
        <f>ROUND(IF($V773="Weekday",IF(INDEX(Hourly_Analysis!$D$5:$D$28,$J773+1)&gt;0,($U773-INDEX(Hourly_Analysis!$C$5:$C$28,$J773+1))/INDEX(Hourly_Analysis!$D$5:$D$28,$J773+1),0),IF(INDEX(Hourly_Analysis!$G$5:$G$28,$J773+1)&gt;0,($U773-INDEX(Hourly_Analysis!$F$5:$F$28,$J773+1))/INDEX(Hourly_Analysis!$G$5:$G$28,$J773+1),0)),2)</f>
        <v>1.96</v>
      </c>
      <c r="AH773" s="23" t="str">
        <f>IF(ABS($AG773)&gt;Lookups!$B$20,IF($AG773&gt;0,"High anomaly","Low anomaly"),"")</f>
        <v/>
      </c>
      <c r="AI773" s="23" t="str">
        <f t="shared" si="76"/>
        <v>OK</v>
      </c>
      <c r="AJ773" s="23" t="str">
        <f t="shared" si="77"/>
        <v>No</v>
      </c>
    </row>
    <row r="774" spans="1:36" x14ac:dyDescent="0.35">
      <c r="A774" s="23">
        <v>773</v>
      </c>
      <c r="B774" s="23" t="str">
        <f t="shared" si="72"/>
        <v>Dataset 3</v>
      </c>
      <c r="C774" s="23">
        <f>IFERROR(MATCH($A774,Merge_1_2!$A$2:$A$611,0),0)</f>
        <v>0</v>
      </c>
      <c r="D774" s="23">
        <f>IF($C774&gt;0,INDEX(Merge_1_2!$Q$2:$Q$611,$C774),0)</f>
        <v>0</v>
      </c>
      <c r="E774" s="23">
        <f>IFERROR(MATCH($A774,Dataset3_Raw!$A$2:$A$391,0),0)</f>
        <v>163</v>
      </c>
      <c r="F774" s="24">
        <f>IF($C774&gt;0,INDEX(Merge_1_2!$B$2:$B$611,$C774),DATE(VALUE(RIGHT(INDEX(Dataset3_Raw!$B$2:$B$391,$E774),4)),VALUE(MID(INDEX(Dataset3_Raw!$B$2:$B$391,$E774),4,2)),VALUE(LEFT(INDEX(Dataset3_Raw!$B$2:$B$391,$E774),2))))</f>
        <v>40578</v>
      </c>
      <c r="G774" s="23">
        <f>IF($C774&gt;0,INDEX(Merge_1_2!$C$2:$C$611,$C774),INDEX(Dataset3_Raw!$C$2:$C$391,$E774))</f>
        <v>1</v>
      </c>
      <c r="H774" s="23">
        <f>IF($C774&gt;0,INDEX(Merge_1_2!$D$2:$D$611,$C774),INDEX(Dataset3_Raw!$D$2:$D$391,$E774))</f>
        <v>0</v>
      </c>
      <c r="I774" s="23">
        <f>IF($C774&gt;0,INDEX(Merge_1_2!$E$2:$E$611,$C774),INDEX(Dataset3_Raw!$E$2:$E$391,$E774))</f>
        <v>2</v>
      </c>
      <c r="J774" s="23">
        <f>IF($C774&gt;0,INDEX(Merge_1_2!$F$2:$F$611,$C774),INDEX(Dataset3_Raw!$F$2:$F$391,$E774))</f>
        <v>15</v>
      </c>
      <c r="K774" s="23" t="b">
        <f>IF($C774&gt;0,INDEX(Merge_1_2!$G$2:$G$611,$C774),INDEX(Dataset3_Raw!$G$2:$G$391,$E774))</f>
        <v>0</v>
      </c>
      <c r="L774" s="23">
        <f>IF($C774&gt;0,INDEX(Merge_1_2!$H$2:$H$611,$C774),INDEX(Dataset3_Raw!$H$2:$H$391,$E774))</f>
        <v>5</v>
      </c>
      <c r="M774" s="23">
        <f>IF($C774&gt;0,INDEX(Merge_1_2!$I$2:$I$611,$C774),INDEX(Dataset3_Raw!$I$2:$I$391,$E774))</f>
        <v>2</v>
      </c>
      <c r="N774" s="25">
        <f>IF($C774&gt;0,INDEX(Merge_1_2!$J$2:$J$611,$C774),INDEX(Dataset3_Raw!$J$2:$J$391,$E774))</f>
        <v>0.28000000000000003</v>
      </c>
      <c r="O774" s="25">
        <f>IF($C774&gt;0,IF(ISNUMBER(INDEX(Merge_1_2!$K$2:$K$611,$C774)),INDEX(Merge_1_2!$K$2:$K$611,$C774),""),INDEX(Dataset3_Raw!$K$2:$K$391,$E774))</f>
        <v>0.2727</v>
      </c>
      <c r="P774" s="25">
        <f>IF(ISNUMBER($O774),$O774,ROUND(Lookups!$B$25+Lookups!$B$24*$N774,4))</f>
        <v>0.2727</v>
      </c>
      <c r="Q774" s="25">
        <f>IF($C774&gt;0,INDEX(Merge_1_2!$L$2:$L$611,$C774),INDEX(Dataset3_Raw!$L$2:$L$391,$E774))</f>
        <v>0.48</v>
      </c>
      <c r="R774" s="25">
        <f>IF($C774&gt;0,INDEX(Merge_1_2!$M$2:$M$611,$C774),INDEX(Dataset3_Raw!$M$2:$M$391,$E774))</f>
        <v>0.25369999999999998</v>
      </c>
      <c r="S774" s="23">
        <f>IF($C774&gt;0,INDEX(Merge_1_2!$N$2:$N$611,$C774),INDEX(Dataset3_Raw!$N$2:$N$391,$E774))</f>
        <v>9</v>
      </c>
      <c r="T774" s="23">
        <f>IF($C774&gt;0,INDEX(Merge_1_2!$O$2:$O$611,$C774),INDEX(Dataset3_Raw!$O$2:$O$391,$E774))</f>
        <v>81</v>
      </c>
      <c r="U774" s="23">
        <f>IF($C774&gt;0,INDEX(Merge_1_2!$P$2:$P$611,$C774),INDEX(Dataset3_Raw!$P$2:$P$391,$E774))</f>
        <v>90</v>
      </c>
      <c r="V774" s="23" t="str">
        <f t="shared" si="73"/>
        <v>Weekday</v>
      </c>
      <c r="W774" s="23" t="str">
        <f>VLOOKUP($M774,Lookups!$A$5:$B$8,2,FALSE())</f>
        <v>Mist / Cloudy</v>
      </c>
      <c r="X774" s="23" t="str">
        <f>VLOOKUP($G774,Lookups!$D$5:$E$8,2,FALSE())</f>
        <v>Winter</v>
      </c>
      <c r="Y774" s="23" t="str">
        <f>VLOOKUP($L774,Lookups!$G$5:$H$11,2,FALSE())</f>
        <v>Friday</v>
      </c>
      <c r="Z774" s="23" t="str">
        <f>IF($J774&lt;Lookups!$B$26,"Night",IF($J774&lt;Lookups!$B$27,"Morning",IF($J774&lt;Lookups!$B$28,"Afternoon","Evening")))</f>
        <v>Afternoon</v>
      </c>
      <c r="AA774" s="26">
        <f>ROUND($N774*(Lookups!$B$16-Lookups!$B$15)+Lookups!$B$15,1)</f>
        <v>5.2</v>
      </c>
      <c r="AB774" s="26">
        <f>ROUND($P774*(Lookups!$B$18-Lookups!$B$17)+Lookups!$B$17,1)</f>
        <v>2</v>
      </c>
      <c r="AC774" s="23">
        <f t="shared" si="74"/>
        <v>48</v>
      </c>
      <c r="AD774" s="23">
        <f>ROUND($R774*Lookups!$B$19,1)</f>
        <v>17</v>
      </c>
      <c r="AE774" s="27">
        <f t="shared" si="75"/>
        <v>0.9</v>
      </c>
      <c r="AF774" s="23" t="str">
        <f>IF($U774&gt;=Lookups!$B$23,"High",IF($U774&gt;=Lookups!$B$22,"Medium","Low"))</f>
        <v>High</v>
      </c>
      <c r="AG774" s="23">
        <f>ROUND(IF($V774="Weekday",IF(INDEX(Hourly_Analysis!$D$5:$D$28,$J774+1)&gt;0,($U774-INDEX(Hourly_Analysis!$C$5:$C$28,$J774+1))/INDEX(Hourly_Analysis!$D$5:$D$28,$J774+1),0),IF(INDEX(Hourly_Analysis!$G$5:$G$28,$J774+1)&gt;0,($U774-INDEX(Hourly_Analysis!$F$5:$F$28,$J774+1))/INDEX(Hourly_Analysis!$G$5:$G$28,$J774+1),0)),2)</f>
        <v>2.11</v>
      </c>
      <c r="AH774" s="23" t="str">
        <f>IF(ABS($AG774)&gt;Lookups!$B$20,IF($AG774&gt;0,"High anomaly","Low anomaly"),"")</f>
        <v/>
      </c>
      <c r="AI774" s="23" t="str">
        <f t="shared" si="76"/>
        <v>OK</v>
      </c>
      <c r="AJ774" s="23" t="str">
        <f t="shared" si="77"/>
        <v>No</v>
      </c>
    </row>
    <row r="775" spans="1:36" x14ac:dyDescent="0.35">
      <c r="A775" s="23">
        <v>774</v>
      </c>
      <c r="B775" s="23" t="str">
        <f t="shared" si="72"/>
        <v>Dataset 3</v>
      </c>
      <c r="C775" s="23">
        <f>IFERROR(MATCH($A775,Merge_1_2!$A$2:$A$611,0),0)</f>
        <v>0</v>
      </c>
      <c r="D775" s="23">
        <f>IF($C775&gt;0,INDEX(Merge_1_2!$Q$2:$Q$611,$C775),0)</f>
        <v>0</v>
      </c>
      <c r="E775" s="23">
        <f>IFERROR(MATCH($A775,Dataset3_Raw!$A$2:$A$391,0),0)</f>
        <v>164</v>
      </c>
      <c r="F775" s="24">
        <f>IF($C775&gt;0,INDEX(Merge_1_2!$B$2:$B$611,$C775),DATE(VALUE(RIGHT(INDEX(Dataset3_Raw!$B$2:$B$391,$E775),4)),VALUE(MID(INDEX(Dataset3_Raw!$B$2:$B$391,$E775),4,2)),VALUE(LEFT(INDEX(Dataset3_Raw!$B$2:$B$391,$E775),2))))</f>
        <v>40578</v>
      </c>
      <c r="G775" s="23">
        <f>IF($C775&gt;0,INDEX(Merge_1_2!$C$2:$C$611,$C775),INDEX(Dataset3_Raw!$C$2:$C$391,$E775))</f>
        <v>1</v>
      </c>
      <c r="H775" s="23">
        <f>IF($C775&gt;0,INDEX(Merge_1_2!$D$2:$D$611,$C775),INDEX(Dataset3_Raw!$D$2:$D$391,$E775))</f>
        <v>0</v>
      </c>
      <c r="I775" s="23">
        <f>IF($C775&gt;0,INDEX(Merge_1_2!$E$2:$E$611,$C775),INDEX(Dataset3_Raw!$E$2:$E$391,$E775))</f>
        <v>2</v>
      </c>
      <c r="J775" s="23">
        <f>IF($C775&gt;0,INDEX(Merge_1_2!$F$2:$F$611,$C775),INDEX(Dataset3_Raw!$F$2:$F$391,$E775))</f>
        <v>16</v>
      </c>
      <c r="K775" s="23" t="b">
        <f>IF($C775&gt;0,INDEX(Merge_1_2!$G$2:$G$611,$C775),INDEX(Dataset3_Raw!$G$2:$G$391,$E775))</f>
        <v>0</v>
      </c>
      <c r="L775" s="23">
        <f>IF($C775&gt;0,INDEX(Merge_1_2!$H$2:$H$611,$C775),INDEX(Dataset3_Raw!$H$2:$H$391,$E775))</f>
        <v>5</v>
      </c>
      <c r="M775" s="23">
        <f>IF($C775&gt;0,INDEX(Merge_1_2!$I$2:$I$611,$C775),INDEX(Dataset3_Raw!$I$2:$I$391,$E775))</f>
        <v>2</v>
      </c>
      <c r="N775" s="25">
        <f>IF($C775&gt;0,INDEX(Merge_1_2!$J$2:$J$611,$C775),INDEX(Dataset3_Raw!$J$2:$J$391,$E775))</f>
        <v>0.3</v>
      </c>
      <c r="O775" s="25">
        <f>IF($C775&gt;0,IF(ISNUMBER(INDEX(Merge_1_2!$K$2:$K$611,$C775)),INDEX(Merge_1_2!$K$2:$K$611,$C775),""),INDEX(Dataset3_Raw!$K$2:$K$391,$E775))</f>
        <v>0.28789999999999999</v>
      </c>
      <c r="P775" s="25">
        <f>IF(ISNUMBER($O775),$O775,ROUND(Lookups!$B$25+Lookups!$B$24*$N775,4))</f>
        <v>0.28789999999999999</v>
      </c>
      <c r="Q775" s="25">
        <f>IF($C775&gt;0,INDEX(Merge_1_2!$L$2:$L$611,$C775),INDEX(Dataset3_Raw!$L$2:$L$391,$E775))</f>
        <v>0.42</v>
      </c>
      <c r="R775" s="25">
        <f>IF($C775&gt;0,INDEX(Merge_1_2!$M$2:$M$611,$C775),INDEX(Dataset3_Raw!$M$2:$M$391,$E775))</f>
        <v>0.22389999999999999</v>
      </c>
      <c r="S775" s="23">
        <f>IF($C775&gt;0,INDEX(Merge_1_2!$N$2:$N$611,$C775),INDEX(Dataset3_Raw!$N$2:$N$391,$E775))</f>
        <v>8</v>
      </c>
      <c r="T775" s="23">
        <f>IF($C775&gt;0,INDEX(Merge_1_2!$O$2:$O$611,$C775),INDEX(Dataset3_Raw!$O$2:$O$391,$E775))</f>
        <v>91</v>
      </c>
      <c r="U775" s="23">
        <f>IF($C775&gt;0,INDEX(Merge_1_2!$P$2:$P$611,$C775),INDEX(Dataset3_Raw!$P$2:$P$391,$E775))</f>
        <v>99</v>
      </c>
      <c r="V775" s="23" t="str">
        <f t="shared" si="73"/>
        <v>Weekday</v>
      </c>
      <c r="W775" s="23" t="str">
        <f>VLOOKUP($M775,Lookups!$A$5:$B$8,2,FALSE())</f>
        <v>Mist / Cloudy</v>
      </c>
      <c r="X775" s="23" t="str">
        <f>VLOOKUP($G775,Lookups!$D$5:$E$8,2,FALSE())</f>
        <v>Winter</v>
      </c>
      <c r="Y775" s="23" t="str">
        <f>VLOOKUP($L775,Lookups!$G$5:$H$11,2,FALSE())</f>
        <v>Friday</v>
      </c>
      <c r="Z775" s="23" t="str">
        <f>IF($J775&lt;Lookups!$B$26,"Night",IF($J775&lt;Lookups!$B$27,"Morning",IF($J775&lt;Lookups!$B$28,"Afternoon","Evening")))</f>
        <v>Afternoon</v>
      </c>
      <c r="AA775" s="26">
        <f>ROUND($N775*(Lookups!$B$16-Lookups!$B$15)+Lookups!$B$15,1)</f>
        <v>6.1</v>
      </c>
      <c r="AB775" s="26">
        <f>ROUND($P775*(Lookups!$B$18-Lookups!$B$17)+Lookups!$B$17,1)</f>
        <v>3</v>
      </c>
      <c r="AC775" s="23">
        <f t="shared" si="74"/>
        <v>42</v>
      </c>
      <c r="AD775" s="23">
        <f>ROUND($R775*Lookups!$B$19,1)</f>
        <v>15</v>
      </c>
      <c r="AE775" s="27">
        <f t="shared" si="75"/>
        <v>0.91919191919191923</v>
      </c>
      <c r="AF775" s="23" t="str">
        <f>IF($U775&gt;=Lookups!$B$23,"High",IF($U775&gt;=Lookups!$B$22,"Medium","Low"))</f>
        <v>High</v>
      </c>
      <c r="AG775" s="23">
        <f>ROUND(IF($V775="Weekday",IF(INDEX(Hourly_Analysis!$D$5:$D$28,$J775+1)&gt;0,($U775-INDEX(Hourly_Analysis!$C$5:$C$28,$J775+1))/INDEX(Hourly_Analysis!$D$5:$D$28,$J775+1),0),IF(INDEX(Hourly_Analysis!$G$5:$G$28,$J775+1)&gt;0,($U775-INDEX(Hourly_Analysis!$F$5:$F$28,$J775+1))/INDEX(Hourly_Analysis!$G$5:$G$28,$J775+1),0)),2)</f>
        <v>0.77</v>
      </c>
      <c r="AH775" s="23" t="str">
        <f>IF(ABS($AG775)&gt;Lookups!$B$20,IF($AG775&gt;0,"High anomaly","Low anomaly"),"")</f>
        <v/>
      </c>
      <c r="AI775" s="23" t="str">
        <f t="shared" si="76"/>
        <v>OK</v>
      </c>
      <c r="AJ775" s="23" t="str">
        <f t="shared" si="77"/>
        <v>No</v>
      </c>
    </row>
    <row r="776" spans="1:36" x14ac:dyDescent="0.35">
      <c r="A776" s="23">
        <v>775</v>
      </c>
      <c r="B776" s="23" t="str">
        <f t="shared" si="72"/>
        <v>Dataset 3</v>
      </c>
      <c r="C776" s="23">
        <f>IFERROR(MATCH($A776,Merge_1_2!$A$2:$A$611,0),0)</f>
        <v>0</v>
      </c>
      <c r="D776" s="23">
        <f>IF($C776&gt;0,INDEX(Merge_1_2!$Q$2:$Q$611,$C776),0)</f>
        <v>0</v>
      </c>
      <c r="E776" s="23">
        <f>IFERROR(MATCH($A776,Dataset3_Raw!$A$2:$A$391,0),0)</f>
        <v>165</v>
      </c>
      <c r="F776" s="24">
        <f>IF($C776&gt;0,INDEX(Merge_1_2!$B$2:$B$611,$C776),DATE(VALUE(RIGHT(INDEX(Dataset3_Raw!$B$2:$B$391,$E776),4)),VALUE(MID(INDEX(Dataset3_Raw!$B$2:$B$391,$E776),4,2)),VALUE(LEFT(INDEX(Dataset3_Raw!$B$2:$B$391,$E776),2))))</f>
        <v>40578</v>
      </c>
      <c r="G776" s="23">
        <f>IF($C776&gt;0,INDEX(Merge_1_2!$C$2:$C$611,$C776),INDEX(Dataset3_Raw!$C$2:$C$391,$E776))</f>
        <v>1</v>
      </c>
      <c r="H776" s="23">
        <f>IF($C776&gt;0,INDEX(Merge_1_2!$D$2:$D$611,$C776),INDEX(Dataset3_Raw!$D$2:$D$391,$E776))</f>
        <v>0</v>
      </c>
      <c r="I776" s="23">
        <f>IF($C776&gt;0,INDEX(Merge_1_2!$E$2:$E$611,$C776),INDEX(Dataset3_Raw!$E$2:$E$391,$E776))</f>
        <v>2</v>
      </c>
      <c r="J776" s="23">
        <f>IF($C776&gt;0,INDEX(Merge_1_2!$F$2:$F$611,$C776),INDEX(Dataset3_Raw!$F$2:$F$391,$E776))</f>
        <v>17</v>
      </c>
      <c r="K776" s="23" t="b">
        <f>IF($C776&gt;0,INDEX(Merge_1_2!$G$2:$G$611,$C776),INDEX(Dataset3_Raw!$G$2:$G$391,$E776))</f>
        <v>0</v>
      </c>
      <c r="L776" s="23">
        <f>IF($C776&gt;0,INDEX(Merge_1_2!$H$2:$H$611,$C776),INDEX(Dataset3_Raw!$H$2:$H$391,$E776))</f>
        <v>5</v>
      </c>
      <c r="M776" s="23">
        <f>IF($C776&gt;0,INDEX(Merge_1_2!$I$2:$I$611,$C776),INDEX(Dataset3_Raw!$I$2:$I$391,$E776))</f>
        <v>2</v>
      </c>
      <c r="N776" s="25">
        <f>IF($C776&gt;0,INDEX(Merge_1_2!$J$2:$J$611,$C776),INDEX(Dataset3_Raw!$J$2:$J$391,$E776))</f>
        <v>0.26</v>
      </c>
      <c r="O776" s="25">
        <f>IF($C776&gt;0,IF(ISNUMBER(INDEX(Merge_1_2!$K$2:$K$611,$C776)),INDEX(Merge_1_2!$K$2:$K$611,$C776),""),INDEX(Dataset3_Raw!$K$2:$K$391,$E776))</f>
        <v>0.2727</v>
      </c>
      <c r="P776" s="25">
        <f>IF(ISNUMBER($O776),$O776,ROUND(Lookups!$B$25+Lookups!$B$24*$N776,4))</f>
        <v>0.2727</v>
      </c>
      <c r="Q776" s="25">
        <f>IF($C776&gt;0,INDEX(Merge_1_2!$L$2:$L$611,$C776),INDEX(Dataset3_Raw!$L$2:$L$391,$E776))</f>
        <v>0.56000000000000005</v>
      </c>
      <c r="R776" s="25">
        <f>IF($C776&gt;0,INDEX(Merge_1_2!$M$2:$M$611,$C776),INDEX(Dataset3_Raw!$M$2:$M$391,$E776))</f>
        <v>0.1343</v>
      </c>
      <c r="S776" s="23">
        <f>IF($C776&gt;0,INDEX(Merge_1_2!$N$2:$N$611,$C776),INDEX(Dataset3_Raw!$N$2:$N$391,$E776))</f>
        <v>10</v>
      </c>
      <c r="T776" s="23">
        <f>IF($C776&gt;0,INDEX(Merge_1_2!$O$2:$O$611,$C776),INDEX(Dataset3_Raw!$O$2:$O$391,$E776))</f>
        <v>195</v>
      </c>
      <c r="U776" s="23">
        <f>IF($C776&gt;0,INDEX(Merge_1_2!$P$2:$P$611,$C776),INDEX(Dataset3_Raw!$P$2:$P$391,$E776))</f>
        <v>205</v>
      </c>
      <c r="V776" s="23" t="str">
        <f t="shared" si="73"/>
        <v>Weekday</v>
      </c>
      <c r="W776" s="23" t="str">
        <f>VLOOKUP($M776,Lookups!$A$5:$B$8,2,FALSE())</f>
        <v>Mist / Cloudy</v>
      </c>
      <c r="X776" s="23" t="str">
        <f>VLOOKUP($G776,Lookups!$D$5:$E$8,2,FALSE())</f>
        <v>Winter</v>
      </c>
      <c r="Y776" s="23" t="str">
        <f>VLOOKUP($L776,Lookups!$G$5:$H$11,2,FALSE())</f>
        <v>Friday</v>
      </c>
      <c r="Z776" s="23" t="str">
        <f>IF($J776&lt;Lookups!$B$26,"Night",IF($J776&lt;Lookups!$B$27,"Morning",IF($J776&lt;Lookups!$B$28,"Afternoon","Evening")))</f>
        <v>Afternoon</v>
      </c>
      <c r="AA776" s="26">
        <f>ROUND($N776*(Lookups!$B$16-Lookups!$B$15)+Lookups!$B$15,1)</f>
        <v>4.2</v>
      </c>
      <c r="AB776" s="26">
        <f>ROUND($P776*(Lookups!$B$18-Lookups!$B$17)+Lookups!$B$17,1)</f>
        <v>2</v>
      </c>
      <c r="AC776" s="23">
        <f t="shared" si="74"/>
        <v>56</v>
      </c>
      <c r="AD776" s="23">
        <f>ROUND($R776*Lookups!$B$19,1)</f>
        <v>9</v>
      </c>
      <c r="AE776" s="27">
        <f t="shared" si="75"/>
        <v>0.95121951219512191</v>
      </c>
      <c r="AF776" s="23" t="str">
        <f>IF($U776&gt;=Lookups!$B$23,"High",IF($U776&gt;=Lookups!$B$22,"Medium","Low"))</f>
        <v>High</v>
      </c>
      <c r="AG776" s="23">
        <f>ROUND(IF($V776="Weekday",IF(INDEX(Hourly_Analysis!$D$5:$D$28,$J776+1)&gt;0,($U776-INDEX(Hourly_Analysis!$C$5:$C$28,$J776+1))/INDEX(Hourly_Analysis!$D$5:$D$28,$J776+1),0),IF(INDEX(Hourly_Analysis!$G$5:$G$28,$J776+1)&gt;0,($U776-INDEX(Hourly_Analysis!$F$5:$F$28,$J776+1))/INDEX(Hourly_Analysis!$G$5:$G$28,$J776+1),0)),2)</f>
        <v>0.88</v>
      </c>
      <c r="AH776" s="23" t="str">
        <f>IF(ABS($AG776)&gt;Lookups!$B$20,IF($AG776&gt;0,"High anomaly","Low anomaly"),"")</f>
        <v/>
      </c>
      <c r="AI776" s="23" t="str">
        <f t="shared" si="76"/>
        <v>OK</v>
      </c>
      <c r="AJ776" s="23" t="str">
        <f t="shared" si="77"/>
        <v>No</v>
      </c>
    </row>
    <row r="777" spans="1:36" x14ac:dyDescent="0.35">
      <c r="A777" s="23">
        <v>776</v>
      </c>
      <c r="B777" s="23" t="str">
        <f t="shared" si="72"/>
        <v>Dataset 3</v>
      </c>
      <c r="C777" s="23">
        <f>IFERROR(MATCH($A777,Merge_1_2!$A$2:$A$611,0),0)</f>
        <v>0</v>
      </c>
      <c r="D777" s="23">
        <f>IF($C777&gt;0,INDEX(Merge_1_2!$Q$2:$Q$611,$C777),0)</f>
        <v>0</v>
      </c>
      <c r="E777" s="23">
        <f>IFERROR(MATCH($A777,Dataset3_Raw!$A$2:$A$391,0),0)</f>
        <v>166</v>
      </c>
      <c r="F777" s="24">
        <f>IF($C777&gt;0,INDEX(Merge_1_2!$B$2:$B$611,$C777),DATE(VALUE(RIGHT(INDEX(Dataset3_Raw!$B$2:$B$391,$E777),4)),VALUE(MID(INDEX(Dataset3_Raw!$B$2:$B$391,$E777),4,2)),VALUE(LEFT(INDEX(Dataset3_Raw!$B$2:$B$391,$E777),2))))</f>
        <v>40578</v>
      </c>
      <c r="G777" s="23">
        <f>IF($C777&gt;0,INDEX(Merge_1_2!$C$2:$C$611,$C777),INDEX(Dataset3_Raw!$C$2:$C$391,$E777))</f>
        <v>1</v>
      </c>
      <c r="H777" s="23">
        <f>IF($C777&gt;0,INDEX(Merge_1_2!$D$2:$D$611,$C777),INDEX(Dataset3_Raw!$D$2:$D$391,$E777))</f>
        <v>0</v>
      </c>
      <c r="I777" s="23">
        <f>IF($C777&gt;0,INDEX(Merge_1_2!$E$2:$E$611,$C777),INDEX(Dataset3_Raw!$E$2:$E$391,$E777))</f>
        <v>2</v>
      </c>
      <c r="J777" s="23">
        <f>IF($C777&gt;0,INDEX(Merge_1_2!$F$2:$F$611,$C777),INDEX(Dataset3_Raw!$F$2:$F$391,$E777))</f>
        <v>18</v>
      </c>
      <c r="K777" s="23" t="b">
        <f>IF($C777&gt;0,INDEX(Merge_1_2!$G$2:$G$611,$C777),INDEX(Dataset3_Raw!$G$2:$G$391,$E777))</f>
        <v>0</v>
      </c>
      <c r="L777" s="23">
        <f>IF($C777&gt;0,INDEX(Merge_1_2!$H$2:$H$611,$C777),INDEX(Dataset3_Raw!$H$2:$H$391,$E777))</f>
        <v>5</v>
      </c>
      <c r="M777" s="23">
        <f>IF($C777&gt;0,INDEX(Merge_1_2!$I$2:$I$611,$C777),INDEX(Dataset3_Raw!$I$2:$I$391,$E777))</f>
        <v>2</v>
      </c>
      <c r="N777" s="25">
        <f>IF($C777&gt;0,INDEX(Merge_1_2!$J$2:$J$611,$C777),INDEX(Dataset3_Raw!$J$2:$J$391,$E777))</f>
        <v>0.24</v>
      </c>
      <c r="O777" s="25">
        <f>IF($C777&gt;0,IF(ISNUMBER(INDEX(Merge_1_2!$K$2:$K$611,$C777)),INDEX(Merge_1_2!$K$2:$K$611,$C777),""),INDEX(Dataset3_Raw!$K$2:$K$391,$E777))</f>
        <v>0.2576</v>
      </c>
      <c r="P777" s="25">
        <f>IF(ISNUMBER($O777),$O777,ROUND(Lookups!$B$25+Lookups!$B$24*$N777,4))</f>
        <v>0.2576</v>
      </c>
      <c r="Q777" s="25">
        <f>IF($C777&gt;0,INDEX(Merge_1_2!$L$2:$L$611,$C777),INDEX(Dataset3_Raw!$L$2:$L$391,$E777))</f>
        <v>0.6</v>
      </c>
      <c r="R777" s="25">
        <f>IF($C777&gt;0,INDEX(Merge_1_2!$M$2:$M$611,$C777),INDEX(Dataset3_Raw!$M$2:$M$391,$E777))</f>
        <v>0.1045</v>
      </c>
      <c r="S777" s="23">
        <f>IF($C777&gt;0,INDEX(Merge_1_2!$N$2:$N$611,$C777),INDEX(Dataset3_Raw!$N$2:$N$391,$E777))</f>
        <v>3</v>
      </c>
      <c r="T777" s="23">
        <f>IF($C777&gt;0,INDEX(Merge_1_2!$O$2:$O$611,$C777),INDEX(Dataset3_Raw!$O$2:$O$391,$E777))</f>
        <v>152</v>
      </c>
      <c r="U777" s="23">
        <f>IF($C777&gt;0,INDEX(Merge_1_2!$P$2:$P$611,$C777),INDEX(Dataset3_Raw!$P$2:$P$391,$E777))</f>
        <v>155</v>
      </c>
      <c r="V777" s="23" t="str">
        <f t="shared" si="73"/>
        <v>Weekday</v>
      </c>
      <c r="W777" s="23" t="str">
        <f>VLOOKUP($M777,Lookups!$A$5:$B$8,2,FALSE())</f>
        <v>Mist / Cloudy</v>
      </c>
      <c r="X777" s="23" t="str">
        <f>VLOOKUP($G777,Lookups!$D$5:$E$8,2,FALSE())</f>
        <v>Winter</v>
      </c>
      <c r="Y777" s="23" t="str">
        <f>VLOOKUP($L777,Lookups!$G$5:$H$11,2,FALSE())</f>
        <v>Friday</v>
      </c>
      <c r="Z777" s="23" t="str">
        <f>IF($J777&lt;Lookups!$B$26,"Night",IF($J777&lt;Lookups!$B$27,"Morning",IF($J777&lt;Lookups!$B$28,"Afternoon","Evening")))</f>
        <v>Evening</v>
      </c>
      <c r="AA777" s="26">
        <f>ROUND($N777*(Lookups!$B$16-Lookups!$B$15)+Lookups!$B$15,1)</f>
        <v>3.3</v>
      </c>
      <c r="AB777" s="26">
        <f>ROUND($P777*(Lookups!$B$18-Lookups!$B$17)+Lookups!$B$17,1)</f>
        <v>1</v>
      </c>
      <c r="AC777" s="23">
        <f t="shared" si="74"/>
        <v>60</v>
      </c>
      <c r="AD777" s="23">
        <f>ROUND($R777*Lookups!$B$19,1)</f>
        <v>7</v>
      </c>
      <c r="AE777" s="27">
        <f t="shared" si="75"/>
        <v>0.98064516129032253</v>
      </c>
      <c r="AF777" s="23" t="str">
        <f>IF($U777&gt;=Lookups!$B$23,"High",IF($U777&gt;=Lookups!$B$22,"Medium","Low"))</f>
        <v>High</v>
      </c>
      <c r="AG777" s="23">
        <f>ROUND(IF($V777="Weekday",IF(INDEX(Hourly_Analysis!$D$5:$D$28,$J777+1)&gt;0,($U777-INDEX(Hourly_Analysis!$C$5:$C$28,$J777+1))/INDEX(Hourly_Analysis!$D$5:$D$28,$J777+1),0),IF(INDEX(Hourly_Analysis!$G$5:$G$28,$J777+1)&gt;0,($U777-INDEX(Hourly_Analysis!$F$5:$F$28,$J777+1))/INDEX(Hourly_Analysis!$G$5:$G$28,$J777+1),0)),2)</f>
        <v>0.06</v>
      </c>
      <c r="AH777" s="23" t="str">
        <f>IF(ABS($AG777)&gt;Lookups!$B$20,IF($AG777&gt;0,"High anomaly","Low anomaly"),"")</f>
        <v/>
      </c>
      <c r="AI777" s="23" t="str">
        <f t="shared" si="76"/>
        <v>OK</v>
      </c>
      <c r="AJ777" s="23" t="str">
        <f t="shared" si="77"/>
        <v>No</v>
      </c>
    </row>
    <row r="778" spans="1:36" x14ac:dyDescent="0.35">
      <c r="A778" s="23">
        <v>777</v>
      </c>
      <c r="B778" s="23" t="str">
        <f t="shared" si="72"/>
        <v>Dataset 3</v>
      </c>
      <c r="C778" s="23">
        <f>IFERROR(MATCH($A778,Merge_1_2!$A$2:$A$611,0),0)</f>
        <v>0</v>
      </c>
      <c r="D778" s="23">
        <f>IF($C778&gt;0,INDEX(Merge_1_2!$Q$2:$Q$611,$C778),0)</f>
        <v>0</v>
      </c>
      <c r="E778" s="23">
        <f>IFERROR(MATCH($A778,Dataset3_Raw!$A$2:$A$391,0),0)</f>
        <v>167</v>
      </c>
      <c r="F778" s="24">
        <f>IF($C778&gt;0,INDEX(Merge_1_2!$B$2:$B$611,$C778),DATE(VALUE(RIGHT(INDEX(Dataset3_Raw!$B$2:$B$391,$E778),4)),VALUE(MID(INDEX(Dataset3_Raw!$B$2:$B$391,$E778),4,2)),VALUE(LEFT(INDEX(Dataset3_Raw!$B$2:$B$391,$E778),2))))</f>
        <v>40578</v>
      </c>
      <c r="G778" s="23">
        <f>IF($C778&gt;0,INDEX(Merge_1_2!$C$2:$C$611,$C778),INDEX(Dataset3_Raw!$C$2:$C$391,$E778))</f>
        <v>1</v>
      </c>
      <c r="H778" s="23">
        <f>IF($C778&gt;0,INDEX(Merge_1_2!$D$2:$D$611,$C778),INDEX(Dataset3_Raw!$D$2:$D$391,$E778))</f>
        <v>0</v>
      </c>
      <c r="I778" s="23">
        <f>IF($C778&gt;0,INDEX(Merge_1_2!$E$2:$E$611,$C778),INDEX(Dataset3_Raw!$E$2:$E$391,$E778))</f>
        <v>2</v>
      </c>
      <c r="J778" s="23">
        <f>IF($C778&gt;0,INDEX(Merge_1_2!$F$2:$F$611,$C778),INDEX(Dataset3_Raw!$F$2:$F$391,$E778))</f>
        <v>19</v>
      </c>
      <c r="K778" s="23" t="b">
        <f>IF($C778&gt;0,INDEX(Merge_1_2!$G$2:$G$611,$C778),INDEX(Dataset3_Raw!$G$2:$G$391,$E778))</f>
        <v>0</v>
      </c>
      <c r="L778" s="23">
        <f>IF($C778&gt;0,INDEX(Merge_1_2!$H$2:$H$611,$C778),INDEX(Dataset3_Raw!$H$2:$H$391,$E778))</f>
        <v>5</v>
      </c>
      <c r="M778" s="23">
        <f>IF($C778&gt;0,INDEX(Merge_1_2!$I$2:$I$611,$C778),INDEX(Dataset3_Raw!$I$2:$I$391,$E778))</f>
        <v>2</v>
      </c>
      <c r="N778" s="25">
        <f>IF($C778&gt;0,INDEX(Merge_1_2!$J$2:$J$611,$C778),INDEX(Dataset3_Raw!$J$2:$J$391,$E778))</f>
        <v>0.24</v>
      </c>
      <c r="O778" s="25">
        <f>IF($C778&gt;0,IF(ISNUMBER(INDEX(Merge_1_2!$K$2:$K$611,$C778)),INDEX(Merge_1_2!$K$2:$K$611,$C778),""),INDEX(Dataset3_Raw!$K$2:$K$391,$E778))</f>
        <v>0.2424</v>
      </c>
      <c r="P778" s="25">
        <f>IF(ISNUMBER($O778),$O778,ROUND(Lookups!$B$25+Lookups!$B$24*$N778,4))</f>
        <v>0.2424</v>
      </c>
      <c r="Q778" s="25">
        <f>IF($C778&gt;0,INDEX(Merge_1_2!$L$2:$L$611,$C778),INDEX(Dataset3_Raw!$L$2:$L$391,$E778))</f>
        <v>0.65</v>
      </c>
      <c r="R778" s="25">
        <f>IF($C778&gt;0,INDEX(Merge_1_2!$M$2:$M$611,$C778),INDEX(Dataset3_Raw!$M$2:$M$391,$E778))</f>
        <v>0.1343</v>
      </c>
      <c r="S778" s="23">
        <f>IF($C778&gt;0,INDEX(Merge_1_2!$N$2:$N$611,$C778),INDEX(Dataset3_Raw!$N$2:$N$391,$E778))</f>
        <v>1</v>
      </c>
      <c r="T778" s="23">
        <f>IF($C778&gt;0,INDEX(Merge_1_2!$O$2:$O$611,$C778),INDEX(Dataset3_Raw!$O$2:$O$391,$E778))</f>
        <v>102</v>
      </c>
      <c r="U778" s="23">
        <f>IF($C778&gt;0,INDEX(Merge_1_2!$P$2:$P$611,$C778),INDEX(Dataset3_Raw!$P$2:$P$391,$E778))</f>
        <v>103</v>
      </c>
      <c r="V778" s="23" t="str">
        <f t="shared" si="73"/>
        <v>Weekday</v>
      </c>
      <c r="W778" s="23" t="str">
        <f>VLOOKUP($M778,Lookups!$A$5:$B$8,2,FALSE())</f>
        <v>Mist / Cloudy</v>
      </c>
      <c r="X778" s="23" t="str">
        <f>VLOOKUP($G778,Lookups!$D$5:$E$8,2,FALSE())</f>
        <v>Winter</v>
      </c>
      <c r="Y778" s="23" t="str">
        <f>VLOOKUP($L778,Lookups!$G$5:$H$11,2,FALSE())</f>
        <v>Friday</v>
      </c>
      <c r="Z778" s="23" t="str">
        <f>IF($J778&lt;Lookups!$B$26,"Night",IF($J778&lt;Lookups!$B$27,"Morning",IF($J778&lt;Lookups!$B$28,"Afternoon","Evening")))</f>
        <v>Evening</v>
      </c>
      <c r="AA778" s="26">
        <f>ROUND($N778*(Lookups!$B$16-Lookups!$B$15)+Lookups!$B$15,1)</f>
        <v>3.3</v>
      </c>
      <c r="AB778" s="26">
        <f>ROUND($P778*(Lookups!$B$18-Lookups!$B$17)+Lookups!$B$17,1)</f>
        <v>0</v>
      </c>
      <c r="AC778" s="23">
        <f t="shared" si="74"/>
        <v>65</v>
      </c>
      <c r="AD778" s="23">
        <f>ROUND($R778*Lookups!$B$19,1)</f>
        <v>9</v>
      </c>
      <c r="AE778" s="27">
        <f t="shared" si="75"/>
        <v>0.99029126213592233</v>
      </c>
      <c r="AF778" s="23" t="str">
        <f>IF($U778&gt;=Lookups!$B$23,"High",IF($U778&gt;=Lookups!$B$22,"Medium","Low"))</f>
        <v>High</v>
      </c>
      <c r="AG778" s="23">
        <f>ROUND(IF($V778="Weekday",IF(INDEX(Hourly_Analysis!$D$5:$D$28,$J778+1)&gt;0,($U778-INDEX(Hourly_Analysis!$C$5:$C$28,$J778+1))/INDEX(Hourly_Analysis!$D$5:$D$28,$J778+1),0),IF(INDEX(Hourly_Analysis!$G$5:$G$28,$J778+1)&gt;0,($U778-INDEX(Hourly_Analysis!$F$5:$F$28,$J778+1))/INDEX(Hourly_Analysis!$G$5:$G$28,$J778+1),0)),2)</f>
        <v>-0.03</v>
      </c>
      <c r="AH778" s="23" t="str">
        <f>IF(ABS($AG778)&gt;Lookups!$B$20,IF($AG778&gt;0,"High anomaly","Low anomaly"),"")</f>
        <v/>
      </c>
      <c r="AI778" s="23" t="str">
        <f t="shared" si="76"/>
        <v>OK</v>
      </c>
      <c r="AJ778" s="23" t="str">
        <f t="shared" si="77"/>
        <v>No</v>
      </c>
    </row>
    <row r="779" spans="1:36" x14ac:dyDescent="0.35">
      <c r="A779" s="23">
        <v>778</v>
      </c>
      <c r="B779" s="23" t="str">
        <f t="shared" si="72"/>
        <v>Dataset 3</v>
      </c>
      <c r="C779" s="23">
        <f>IFERROR(MATCH($A779,Merge_1_2!$A$2:$A$611,0),0)</f>
        <v>0</v>
      </c>
      <c r="D779" s="23">
        <f>IF($C779&gt;0,INDEX(Merge_1_2!$Q$2:$Q$611,$C779),0)</f>
        <v>0</v>
      </c>
      <c r="E779" s="23">
        <f>IFERROR(MATCH($A779,Dataset3_Raw!$A$2:$A$391,0),0)</f>
        <v>168</v>
      </c>
      <c r="F779" s="24">
        <f>IF($C779&gt;0,INDEX(Merge_1_2!$B$2:$B$611,$C779),DATE(VALUE(RIGHT(INDEX(Dataset3_Raw!$B$2:$B$391,$E779),4)),VALUE(MID(INDEX(Dataset3_Raw!$B$2:$B$391,$E779),4,2)),VALUE(LEFT(INDEX(Dataset3_Raw!$B$2:$B$391,$E779),2))))</f>
        <v>40578</v>
      </c>
      <c r="G779" s="23">
        <f>IF($C779&gt;0,INDEX(Merge_1_2!$C$2:$C$611,$C779),INDEX(Dataset3_Raw!$C$2:$C$391,$E779))</f>
        <v>1</v>
      </c>
      <c r="H779" s="23">
        <f>IF($C779&gt;0,INDEX(Merge_1_2!$D$2:$D$611,$C779),INDEX(Dataset3_Raw!$D$2:$D$391,$E779))</f>
        <v>0</v>
      </c>
      <c r="I779" s="23">
        <f>IF($C779&gt;0,INDEX(Merge_1_2!$E$2:$E$611,$C779),INDEX(Dataset3_Raw!$E$2:$E$391,$E779))</f>
        <v>2</v>
      </c>
      <c r="J779" s="23">
        <f>IF($C779&gt;0,INDEX(Merge_1_2!$F$2:$F$611,$C779),INDEX(Dataset3_Raw!$F$2:$F$391,$E779))</f>
        <v>20</v>
      </c>
      <c r="K779" s="23" t="b">
        <f>IF($C779&gt;0,INDEX(Merge_1_2!$G$2:$G$611,$C779),INDEX(Dataset3_Raw!$G$2:$G$391,$E779))</f>
        <v>0</v>
      </c>
      <c r="L779" s="23">
        <f>IF($C779&gt;0,INDEX(Merge_1_2!$H$2:$H$611,$C779),INDEX(Dataset3_Raw!$H$2:$H$391,$E779))</f>
        <v>5</v>
      </c>
      <c r="M779" s="23">
        <f>IF($C779&gt;0,INDEX(Merge_1_2!$I$2:$I$611,$C779),INDEX(Dataset3_Raw!$I$2:$I$391,$E779))</f>
        <v>2</v>
      </c>
      <c r="N779" s="25">
        <f>IF($C779&gt;0,INDEX(Merge_1_2!$J$2:$J$611,$C779),INDEX(Dataset3_Raw!$J$2:$J$391,$E779))</f>
        <v>0.24</v>
      </c>
      <c r="O779" s="25">
        <f>IF($C779&gt;0,IF(ISNUMBER(INDEX(Merge_1_2!$K$2:$K$611,$C779)),INDEX(Merge_1_2!$K$2:$K$611,$C779),""),INDEX(Dataset3_Raw!$K$2:$K$391,$E779))</f>
        <v>0.2424</v>
      </c>
      <c r="P779" s="25">
        <f>IF(ISNUMBER($O779),$O779,ROUND(Lookups!$B$25+Lookups!$B$24*$N779,4))</f>
        <v>0.2424</v>
      </c>
      <c r="Q779" s="25">
        <f>IF($C779&gt;0,INDEX(Merge_1_2!$L$2:$L$611,$C779),INDEX(Dataset3_Raw!$L$2:$L$391,$E779))</f>
        <v>0.65</v>
      </c>
      <c r="R779" s="25">
        <f>IF($C779&gt;0,INDEX(Merge_1_2!$M$2:$M$611,$C779),INDEX(Dataset3_Raw!$M$2:$M$391,$E779))</f>
        <v>0.16420000000000001</v>
      </c>
      <c r="S779" s="23">
        <f>IF($C779&gt;0,INDEX(Merge_1_2!$N$2:$N$611,$C779),INDEX(Dataset3_Raw!$N$2:$N$391,$E779))</f>
        <v>2</v>
      </c>
      <c r="T779" s="23">
        <f>IF($C779&gt;0,INDEX(Merge_1_2!$O$2:$O$611,$C779),INDEX(Dataset3_Raw!$O$2:$O$391,$E779))</f>
        <v>69</v>
      </c>
      <c r="U779" s="23">
        <f>IF($C779&gt;0,INDEX(Merge_1_2!$P$2:$P$611,$C779),INDEX(Dataset3_Raw!$P$2:$P$391,$E779))</f>
        <v>71</v>
      </c>
      <c r="V779" s="23" t="str">
        <f t="shared" si="73"/>
        <v>Weekday</v>
      </c>
      <c r="W779" s="23" t="str">
        <f>VLOOKUP($M779,Lookups!$A$5:$B$8,2,FALSE())</f>
        <v>Mist / Cloudy</v>
      </c>
      <c r="X779" s="23" t="str">
        <f>VLOOKUP($G779,Lookups!$D$5:$E$8,2,FALSE())</f>
        <v>Winter</v>
      </c>
      <c r="Y779" s="23" t="str">
        <f>VLOOKUP($L779,Lookups!$G$5:$H$11,2,FALSE())</f>
        <v>Friday</v>
      </c>
      <c r="Z779" s="23" t="str">
        <f>IF($J779&lt;Lookups!$B$26,"Night",IF($J779&lt;Lookups!$B$27,"Morning",IF($J779&lt;Lookups!$B$28,"Afternoon","Evening")))</f>
        <v>Evening</v>
      </c>
      <c r="AA779" s="26">
        <f>ROUND($N779*(Lookups!$B$16-Lookups!$B$15)+Lookups!$B$15,1)</f>
        <v>3.3</v>
      </c>
      <c r="AB779" s="26">
        <f>ROUND($P779*(Lookups!$B$18-Lookups!$B$17)+Lookups!$B$17,1)</f>
        <v>0</v>
      </c>
      <c r="AC779" s="23">
        <f t="shared" si="74"/>
        <v>65</v>
      </c>
      <c r="AD779" s="23">
        <f>ROUND($R779*Lookups!$B$19,1)</f>
        <v>11</v>
      </c>
      <c r="AE779" s="27">
        <f t="shared" si="75"/>
        <v>0.971830985915493</v>
      </c>
      <c r="AF779" s="23" t="str">
        <f>IF($U779&gt;=Lookups!$B$23,"High",IF($U779&gt;=Lookups!$B$22,"Medium","Low"))</f>
        <v>Medium</v>
      </c>
      <c r="AG779" s="23">
        <f>ROUND(IF($V779="Weekday",IF(INDEX(Hourly_Analysis!$D$5:$D$28,$J779+1)&gt;0,($U779-INDEX(Hourly_Analysis!$C$5:$C$28,$J779+1))/INDEX(Hourly_Analysis!$D$5:$D$28,$J779+1),0),IF(INDEX(Hourly_Analysis!$G$5:$G$28,$J779+1)&gt;0,($U779-INDEX(Hourly_Analysis!$F$5:$F$28,$J779+1))/INDEX(Hourly_Analysis!$G$5:$G$28,$J779+1),0)),2)</f>
        <v>-0.13</v>
      </c>
      <c r="AH779" s="23" t="str">
        <f>IF(ABS($AG779)&gt;Lookups!$B$20,IF($AG779&gt;0,"High anomaly","Low anomaly"),"")</f>
        <v/>
      </c>
      <c r="AI779" s="23" t="str">
        <f t="shared" si="76"/>
        <v>OK</v>
      </c>
      <c r="AJ779" s="23" t="str">
        <f t="shared" si="77"/>
        <v>No</v>
      </c>
    </row>
    <row r="780" spans="1:36" x14ac:dyDescent="0.35">
      <c r="A780" s="23">
        <v>779</v>
      </c>
      <c r="B780" s="23" t="str">
        <f t="shared" si="72"/>
        <v>Dataset 3</v>
      </c>
      <c r="C780" s="23">
        <f>IFERROR(MATCH($A780,Merge_1_2!$A$2:$A$611,0),0)</f>
        <v>0</v>
      </c>
      <c r="D780" s="23">
        <f>IF($C780&gt;0,INDEX(Merge_1_2!$Q$2:$Q$611,$C780),0)</f>
        <v>0</v>
      </c>
      <c r="E780" s="23">
        <f>IFERROR(MATCH($A780,Dataset3_Raw!$A$2:$A$391,0),0)</f>
        <v>169</v>
      </c>
      <c r="F780" s="24">
        <f>IF($C780&gt;0,INDEX(Merge_1_2!$B$2:$B$611,$C780),DATE(VALUE(RIGHT(INDEX(Dataset3_Raw!$B$2:$B$391,$E780),4)),VALUE(MID(INDEX(Dataset3_Raw!$B$2:$B$391,$E780),4,2)),VALUE(LEFT(INDEX(Dataset3_Raw!$B$2:$B$391,$E780),2))))</f>
        <v>40578</v>
      </c>
      <c r="G780" s="23">
        <f>IF($C780&gt;0,INDEX(Merge_1_2!$C$2:$C$611,$C780),INDEX(Dataset3_Raw!$C$2:$C$391,$E780))</f>
        <v>1</v>
      </c>
      <c r="H780" s="23">
        <f>IF($C780&gt;0,INDEX(Merge_1_2!$D$2:$D$611,$C780),INDEX(Dataset3_Raw!$D$2:$D$391,$E780))</f>
        <v>0</v>
      </c>
      <c r="I780" s="23">
        <f>IF($C780&gt;0,INDEX(Merge_1_2!$E$2:$E$611,$C780),INDEX(Dataset3_Raw!$E$2:$E$391,$E780))</f>
        <v>2</v>
      </c>
      <c r="J780" s="23">
        <f>IF($C780&gt;0,INDEX(Merge_1_2!$F$2:$F$611,$C780),INDEX(Dataset3_Raw!$F$2:$F$391,$E780))</f>
        <v>21</v>
      </c>
      <c r="K780" s="23" t="b">
        <f>IF($C780&gt;0,INDEX(Merge_1_2!$G$2:$G$611,$C780),INDEX(Dataset3_Raw!$G$2:$G$391,$E780))</f>
        <v>0</v>
      </c>
      <c r="L780" s="23">
        <f>IF($C780&gt;0,INDEX(Merge_1_2!$H$2:$H$611,$C780),INDEX(Dataset3_Raw!$H$2:$H$391,$E780))</f>
        <v>5</v>
      </c>
      <c r="M780" s="23">
        <f>IF($C780&gt;0,INDEX(Merge_1_2!$I$2:$I$611,$C780),INDEX(Dataset3_Raw!$I$2:$I$391,$E780))</f>
        <v>2</v>
      </c>
      <c r="N780" s="25">
        <f>IF($C780&gt;0,INDEX(Merge_1_2!$J$2:$J$611,$C780),INDEX(Dataset3_Raw!$J$2:$J$391,$E780))</f>
        <v>0.24</v>
      </c>
      <c r="O780" s="25">
        <f>IF($C780&gt;0,IF(ISNUMBER(INDEX(Merge_1_2!$K$2:$K$611,$C780)),INDEX(Merge_1_2!$K$2:$K$611,$C780),""),INDEX(Dataset3_Raw!$K$2:$K$391,$E780))</f>
        <v>0.2424</v>
      </c>
      <c r="P780" s="25">
        <f>IF(ISNUMBER($O780),$O780,ROUND(Lookups!$B$25+Lookups!$B$24*$N780,4))</f>
        <v>0.2424</v>
      </c>
      <c r="Q780" s="25">
        <f>IF($C780&gt;0,INDEX(Merge_1_2!$L$2:$L$611,$C780),INDEX(Dataset3_Raw!$L$2:$L$391,$E780))</f>
        <v>0.7</v>
      </c>
      <c r="R780" s="25">
        <f>IF($C780&gt;0,INDEX(Merge_1_2!$M$2:$M$611,$C780),INDEX(Dataset3_Raw!$M$2:$M$391,$E780))</f>
        <v>0.16420000000000001</v>
      </c>
      <c r="S780" s="23">
        <f>IF($C780&gt;0,INDEX(Merge_1_2!$N$2:$N$611,$C780),INDEX(Dataset3_Raw!$N$2:$N$391,$E780))</f>
        <v>2</v>
      </c>
      <c r="T780" s="23">
        <f>IF($C780&gt;0,INDEX(Merge_1_2!$O$2:$O$611,$C780),INDEX(Dataset3_Raw!$O$2:$O$391,$E780))</f>
        <v>41</v>
      </c>
      <c r="U780" s="23">
        <f>IF($C780&gt;0,INDEX(Merge_1_2!$P$2:$P$611,$C780),INDEX(Dataset3_Raw!$P$2:$P$391,$E780))</f>
        <v>43</v>
      </c>
      <c r="V780" s="23" t="str">
        <f t="shared" si="73"/>
        <v>Weekday</v>
      </c>
      <c r="W780" s="23" t="str">
        <f>VLOOKUP($M780,Lookups!$A$5:$B$8,2,FALSE())</f>
        <v>Mist / Cloudy</v>
      </c>
      <c r="X780" s="23" t="str">
        <f>VLOOKUP($G780,Lookups!$D$5:$E$8,2,FALSE())</f>
        <v>Winter</v>
      </c>
      <c r="Y780" s="23" t="str">
        <f>VLOOKUP($L780,Lookups!$G$5:$H$11,2,FALSE())</f>
        <v>Friday</v>
      </c>
      <c r="Z780" s="23" t="str">
        <f>IF($J780&lt;Lookups!$B$26,"Night",IF($J780&lt;Lookups!$B$27,"Morning",IF($J780&lt;Lookups!$B$28,"Afternoon","Evening")))</f>
        <v>Evening</v>
      </c>
      <c r="AA780" s="26">
        <f>ROUND($N780*(Lookups!$B$16-Lookups!$B$15)+Lookups!$B$15,1)</f>
        <v>3.3</v>
      </c>
      <c r="AB780" s="26">
        <f>ROUND($P780*(Lookups!$B$18-Lookups!$B$17)+Lookups!$B$17,1)</f>
        <v>0</v>
      </c>
      <c r="AC780" s="23">
        <f t="shared" si="74"/>
        <v>70</v>
      </c>
      <c r="AD780" s="23">
        <f>ROUND($R780*Lookups!$B$19,1)</f>
        <v>11</v>
      </c>
      <c r="AE780" s="27">
        <f t="shared" si="75"/>
        <v>0.95348837209302328</v>
      </c>
      <c r="AF780" s="23" t="str">
        <f>IF($U780&gt;=Lookups!$B$23,"High",IF($U780&gt;=Lookups!$B$22,"Medium","Low"))</f>
        <v>Medium</v>
      </c>
      <c r="AG780" s="23">
        <f>ROUND(IF($V780="Weekday",IF(INDEX(Hourly_Analysis!$D$5:$D$28,$J780+1)&gt;0,($U780-INDEX(Hourly_Analysis!$C$5:$C$28,$J780+1))/INDEX(Hourly_Analysis!$D$5:$D$28,$J780+1),0),IF(INDEX(Hourly_Analysis!$G$5:$G$28,$J780+1)&gt;0,($U780-INDEX(Hourly_Analysis!$F$5:$F$28,$J780+1))/INDEX(Hourly_Analysis!$G$5:$G$28,$J780+1),0)),2)</f>
        <v>-0.66</v>
      </c>
      <c r="AH780" s="23" t="str">
        <f>IF(ABS($AG780)&gt;Lookups!$B$20,IF($AG780&gt;0,"High anomaly","Low anomaly"),"")</f>
        <v/>
      </c>
      <c r="AI780" s="23" t="str">
        <f t="shared" si="76"/>
        <v>OK</v>
      </c>
      <c r="AJ780" s="23" t="str">
        <f t="shared" si="77"/>
        <v>No</v>
      </c>
    </row>
    <row r="781" spans="1:36" x14ac:dyDescent="0.35">
      <c r="A781" s="23">
        <v>780</v>
      </c>
      <c r="B781" s="23" t="str">
        <f t="shared" si="72"/>
        <v>Dataset 3</v>
      </c>
      <c r="C781" s="23">
        <f>IFERROR(MATCH($A781,Merge_1_2!$A$2:$A$611,0),0)</f>
        <v>0</v>
      </c>
      <c r="D781" s="23">
        <f>IF($C781&gt;0,INDEX(Merge_1_2!$Q$2:$Q$611,$C781),0)</f>
        <v>0</v>
      </c>
      <c r="E781" s="23">
        <f>IFERROR(MATCH($A781,Dataset3_Raw!$A$2:$A$391,0),0)</f>
        <v>170</v>
      </c>
      <c r="F781" s="24">
        <f>IF($C781&gt;0,INDEX(Merge_1_2!$B$2:$B$611,$C781),DATE(VALUE(RIGHT(INDEX(Dataset3_Raw!$B$2:$B$391,$E781),4)),VALUE(MID(INDEX(Dataset3_Raw!$B$2:$B$391,$E781),4,2)),VALUE(LEFT(INDEX(Dataset3_Raw!$B$2:$B$391,$E781),2))))</f>
        <v>40578</v>
      </c>
      <c r="G781" s="23">
        <f>IF($C781&gt;0,INDEX(Merge_1_2!$C$2:$C$611,$C781),INDEX(Dataset3_Raw!$C$2:$C$391,$E781))</f>
        <v>1</v>
      </c>
      <c r="H781" s="23">
        <f>IF($C781&gt;0,INDEX(Merge_1_2!$D$2:$D$611,$C781),INDEX(Dataset3_Raw!$D$2:$D$391,$E781))</f>
        <v>0</v>
      </c>
      <c r="I781" s="23">
        <f>IF($C781&gt;0,INDEX(Merge_1_2!$E$2:$E$611,$C781),INDEX(Dataset3_Raw!$E$2:$E$391,$E781))</f>
        <v>2</v>
      </c>
      <c r="J781" s="23">
        <f>IF($C781&gt;0,INDEX(Merge_1_2!$F$2:$F$611,$C781),INDEX(Dataset3_Raw!$F$2:$F$391,$E781))</f>
        <v>22</v>
      </c>
      <c r="K781" s="23" t="b">
        <f>IF($C781&gt;0,INDEX(Merge_1_2!$G$2:$G$611,$C781),INDEX(Dataset3_Raw!$G$2:$G$391,$E781))</f>
        <v>0</v>
      </c>
      <c r="L781" s="23">
        <f>IF($C781&gt;0,INDEX(Merge_1_2!$H$2:$H$611,$C781),INDEX(Dataset3_Raw!$H$2:$H$391,$E781))</f>
        <v>5</v>
      </c>
      <c r="M781" s="23">
        <f>IF($C781&gt;0,INDEX(Merge_1_2!$I$2:$I$611,$C781),INDEX(Dataset3_Raw!$I$2:$I$391,$E781))</f>
        <v>2</v>
      </c>
      <c r="N781" s="25">
        <f>IF($C781&gt;0,INDEX(Merge_1_2!$J$2:$J$611,$C781),INDEX(Dataset3_Raw!$J$2:$J$391,$E781))</f>
        <v>0.24</v>
      </c>
      <c r="O781" s="25">
        <f>IF($C781&gt;0,IF(ISNUMBER(INDEX(Merge_1_2!$K$2:$K$611,$C781)),INDEX(Merge_1_2!$K$2:$K$611,$C781),""),INDEX(Dataset3_Raw!$K$2:$K$391,$E781))</f>
        <v>0.2424</v>
      </c>
      <c r="P781" s="25">
        <f>IF(ISNUMBER($O781),$O781,ROUND(Lookups!$B$25+Lookups!$B$24*$N781,4))</f>
        <v>0.2424</v>
      </c>
      <c r="Q781" s="25">
        <f>IF($C781&gt;0,INDEX(Merge_1_2!$L$2:$L$611,$C781),INDEX(Dataset3_Raw!$L$2:$L$391,$E781))</f>
        <v>0.65</v>
      </c>
      <c r="R781" s="25">
        <f>IF($C781&gt;0,INDEX(Merge_1_2!$M$2:$M$611,$C781),INDEX(Dataset3_Raw!$M$2:$M$391,$E781))</f>
        <v>0.16420000000000001</v>
      </c>
      <c r="S781" s="23">
        <f>IF($C781&gt;0,INDEX(Merge_1_2!$N$2:$N$611,$C781),INDEX(Dataset3_Raw!$N$2:$N$391,$E781))</f>
        <v>1</v>
      </c>
      <c r="T781" s="23">
        <f>IF($C781&gt;0,INDEX(Merge_1_2!$O$2:$O$611,$C781),INDEX(Dataset3_Raw!$O$2:$O$391,$E781))</f>
        <v>45</v>
      </c>
      <c r="U781" s="23">
        <f>IF($C781&gt;0,INDEX(Merge_1_2!$P$2:$P$611,$C781),INDEX(Dataset3_Raw!$P$2:$P$391,$E781))</f>
        <v>46</v>
      </c>
      <c r="V781" s="23" t="str">
        <f t="shared" si="73"/>
        <v>Weekday</v>
      </c>
      <c r="W781" s="23" t="str">
        <f>VLOOKUP($M781,Lookups!$A$5:$B$8,2,FALSE())</f>
        <v>Mist / Cloudy</v>
      </c>
      <c r="X781" s="23" t="str">
        <f>VLOOKUP($G781,Lookups!$D$5:$E$8,2,FALSE())</f>
        <v>Winter</v>
      </c>
      <c r="Y781" s="23" t="str">
        <f>VLOOKUP($L781,Lookups!$G$5:$H$11,2,FALSE())</f>
        <v>Friday</v>
      </c>
      <c r="Z781" s="23" t="str">
        <f>IF($J781&lt;Lookups!$B$26,"Night",IF($J781&lt;Lookups!$B$27,"Morning",IF($J781&lt;Lookups!$B$28,"Afternoon","Evening")))</f>
        <v>Evening</v>
      </c>
      <c r="AA781" s="26">
        <f>ROUND($N781*(Lookups!$B$16-Lookups!$B$15)+Lookups!$B$15,1)</f>
        <v>3.3</v>
      </c>
      <c r="AB781" s="26">
        <f>ROUND($P781*(Lookups!$B$18-Lookups!$B$17)+Lookups!$B$17,1)</f>
        <v>0</v>
      </c>
      <c r="AC781" s="23">
        <f t="shared" si="74"/>
        <v>65</v>
      </c>
      <c r="AD781" s="23">
        <f>ROUND($R781*Lookups!$B$19,1)</f>
        <v>11</v>
      </c>
      <c r="AE781" s="27">
        <f t="shared" si="75"/>
        <v>0.97826086956521741</v>
      </c>
      <c r="AF781" s="23" t="str">
        <f>IF($U781&gt;=Lookups!$B$23,"High",IF($U781&gt;=Lookups!$B$22,"Medium","Low"))</f>
        <v>Medium</v>
      </c>
      <c r="AG781" s="23">
        <f>ROUND(IF($V781="Weekday",IF(INDEX(Hourly_Analysis!$D$5:$D$28,$J781+1)&gt;0,($U781-INDEX(Hourly_Analysis!$C$5:$C$28,$J781+1))/INDEX(Hourly_Analysis!$D$5:$D$28,$J781+1),0),IF(INDEX(Hourly_Analysis!$G$5:$G$28,$J781+1)&gt;0,($U781-INDEX(Hourly_Analysis!$F$5:$F$28,$J781+1))/INDEX(Hourly_Analysis!$G$5:$G$28,$J781+1),0)),2)</f>
        <v>0.81</v>
      </c>
      <c r="AH781" s="23" t="str">
        <f>IF(ABS($AG781)&gt;Lookups!$B$20,IF($AG781&gt;0,"High anomaly","Low anomaly"),"")</f>
        <v/>
      </c>
      <c r="AI781" s="23" t="str">
        <f t="shared" si="76"/>
        <v>OK</v>
      </c>
      <c r="AJ781" s="23" t="str">
        <f t="shared" si="77"/>
        <v>No</v>
      </c>
    </row>
    <row r="782" spans="1:36" x14ac:dyDescent="0.35">
      <c r="A782" s="23">
        <v>781</v>
      </c>
      <c r="B782" s="23" t="str">
        <f t="shared" si="72"/>
        <v>Dataset 3</v>
      </c>
      <c r="C782" s="23">
        <f>IFERROR(MATCH($A782,Merge_1_2!$A$2:$A$611,0),0)</f>
        <v>0</v>
      </c>
      <c r="D782" s="23">
        <f>IF($C782&gt;0,INDEX(Merge_1_2!$Q$2:$Q$611,$C782),0)</f>
        <v>0</v>
      </c>
      <c r="E782" s="23">
        <f>IFERROR(MATCH($A782,Dataset3_Raw!$A$2:$A$391,0),0)</f>
        <v>171</v>
      </c>
      <c r="F782" s="24">
        <f>IF($C782&gt;0,INDEX(Merge_1_2!$B$2:$B$611,$C782),DATE(VALUE(RIGHT(INDEX(Dataset3_Raw!$B$2:$B$391,$E782),4)),VALUE(MID(INDEX(Dataset3_Raw!$B$2:$B$391,$E782),4,2)),VALUE(LEFT(INDEX(Dataset3_Raw!$B$2:$B$391,$E782),2))))</f>
        <v>40578</v>
      </c>
      <c r="G782" s="23">
        <f>IF($C782&gt;0,INDEX(Merge_1_2!$C$2:$C$611,$C782),INDEX(Dataset3_Raw!$C$2:$C$391,$E782))</f>
        <v>1</v>
      </c>
      <c r="H782" s="23">
        <f>IF($C782&gt;0,INDEX(Merge_1_2!$D$2:$D$611,$C782),INDEX(Dataset3_Raw!$D$2:$D$391,$E782))</f>
        <v>0</v>
      </c>
      <c r="I782" s="23">
        <f>IF($C782&gt;0,INDEX(Merge_1_2!$E$2:$E$611,$C782),INDEX(Dataset3_Raw!$E$2:$E$391,$E782))</f>
        <v>2</v>
      </c>
      <c r="J782" s="23">
        <f>IF($C782&gt;0,INDEX(Merge_1_2!$F$2:$F$611,$C782),INDEX(Dataset3_Raw!$F$2:$F$391,$E782))</f>
        <v>23</v>
      </c>
      <c r="K782" s="23" t="b">
        <f>IF($C782&gt;0,INDEX(Merge_1_2!$G$2:$G$611,$C782),INDEX(Dataset3_Raw!$G$2:$G$391,$E782))</f>
        <v>0</v>
      </c>
      <c r="L782" s="23">
        <f>IF($C782&gt;0,INDEX(Merge_1_2!$H$2:$H$611,$C782),INDEX(Dataset3_Raw!$H$2:$H$391,$E782))</f>
        <v>5</v>
      </c>
      <c r="M782" s="23">
        <f>IF($C782&gt;0,INDEX(Merge_1_2!$I$2:$I$611,$C782),INDEX(Dataset3_Raw!$I$2:$I$391,$E782))</f>
        <v>2</v>
      </c>
      <c r="N782" s="25">
        <f>IF($C782&gt;0,INDEX(Merge_1_2!$J$2:$J$611,$C782),INDEX(Dataset3_Raw!$J$2:$J$391,$E782))</f>
        <v>0.24</v>
      </c>
      <c r="O782" s="25">
        <f>IF($C782&gt;0,IF(ISNUMBER(INDEX(Merge_1_2!$K$2:$K$611,$C782)),INDEX(Merge_1_2!$K$2:$K$611,$C782),""),INDEX(Dataset3_Raw!$K$2:$K$391,$E782))</f>
        <v>0.2424</v>
      </c>
      <c r="P782" s="25">
        <f>IF(ISNUMBER($O782),$O782,ROUND(Lookups!$B$25+Lookups!$B$24*$N782,4))</f>
        <v>0.2424</v>
      </c>
      <c r="Q782" s="25">
        <f>IF($C782&gt;0,INDEX(Merge_1_2!$L$2:$L$611,$C782),INDEX(Dataset3_Raw!$L$2:$L$391,$E782))</f>
        <v>0.7</v>
      </c>
      <c r="R782" s="25">
        <f>IF($C782&gt;0,INDEX(Merge_1_2!$M$2:$M$611,$C782),INDEX(Dataset3_Raw!$M$2:$M$391,$E782))</f>
        <v>0.1343</v>
      </c>
      <c r="S782" s="23">
        <f>IF($C782&gt;0,INDEX(Merge_1_2!$N$2:$N$611,$C782),INDEX(Dataset3_Raw!$N$2:$N$391,$E782))</f>
        <v>1</v>
      </c>
      <c r="T782" s="23">
        <f>IF($C782&gt;0,INDEX(Merge_1_2!$O$2:$O$611,$C782),INDEX(Dataset3_Raw!$O$2:$O$391,$E782))</f>
        <v>30</v>
      </c>
      <c r="U782" s="23">
        <f>IF($C782&gt;0,INDEX(Merge_1_2!$P$2:$P$611,$C782),INDEX(Dataset3_Raw!$P$2:$P$391,$E782))</f>
        <v>31</v>
      </c>
      <c r="V782" s="23" t="str">
        <f t="shared" si="73"/>
        <v>Weekday</v>
      </c>
      <c r="W782" s="23" t="str">
        <f>VLOOKUP($M782,Lookups!$A$5:$B$8,2,FALSE())</f>
        <v>Mist / Cloudy</v>
      </c>
      <c r="X782" s="23" t="str">
        <f>VLOOKUP($G782,Lookups!$D$5:$E$8,2,FALSE())</f>
        <v>Winter</v>
      </c>
      <c r="Y782" s="23" t="str">
        <f>VLOOKUP($L782,Lookups!$G$5:$H$11,2,FALSE())</f>
        <v>Friday</v>
      </c>
      <c r="Z782" s="23" t="str">
        <f>IF($J782&lt;Lookups!$B$26,"Night",IF($J782&lt;Lookups!$B$27,"Morning",IF($J782&lt;Lookups!$B$28,"Afternoon","Evening")))</f>
        <v>Evening</v>
      </c>
      <c r="AA782" s="26">
        <f>ROUND($N782*(Lookups!$B$16-Lookups!$B$15)+Lookups!$B$15,1)</f>
        <v>3.3</v>
      </c>
      <c r="AB782" s="26">
        <f>ROUND($P782*(Lookups!$B$18-Lookups!$B$17)+Lookups!$B$17,1)</f>
        <v>0</v>
      </c>
      <c r="AC782" s="23">
        <f t="shared" si="74"/>
        <v>70</v>
      </c>
      <c r="AD782" s="23">
        <f>ROUND($R782*Lookups!$B$19,1)</f>
        <v>9</v>
      </c>
      <c r="AE782" s="27">
        <f t="shared" si="75"/>
        <v>0.967741935483871</v>
      </c>
      <c r="AF782" s="23" t="str">
        <f>IF($U782&gt;=Lookups!$B$23,"High",IF($U782&gt;=Lookups!$B$22,"Medium","Low"))</f>
        <v>Medium</v>
      </c>
      <c r="AG782" s="23">
        <f>ROUND(IF($V782="Weekday",IF(INDEX(Hourly_Analysis!$D$5:$D$28,$J782+1)&gt;0,($U782-INDEX(Hourly_Analysis!$C$5:$C$28,$J782+1))/INDEX(Hourly_Analysis!$D$5:$D$28,$J782+1),0),IF(INDEX(Hourly_Analysis!$G$5:$G$28,$J782+1)&gt;0,($U782-INDEX(Hourly_Analysis!$F$5:$F$28,$J782+1))/INDEX(Hourly_Analysis!$G$5:$G$28,$J782+1),0)),2)</f>
        <v>0.66</v>
      </c>
      <c r="AH782" s="23" t="str">
        <f>IF(ABS($AG782)&gt;Lookups!$B$20,IF($AG782&gt;0,"High anomaly","Low anomaly"),"")</f>
        <v/>
      </c>
      <c r="AI782" s="23" t="str">
        <f t="shared" si="76"/>
        <v>OK</v>
      </c>
      <c r="AJ782" s="23" t="str">
        <f t="shared" si="77"/>
        <v>No</v>
      </c>
    </row>
    <row r="783" spans="1:36" x14ac:dyDescent="0.35">
      <c r="A783" s="23">
        <v>782</v>
      </c>
      <c r="B783" s="23" t="str">
        <f t="shared" si="72"/>
        <v>Dataset 3</v>
      </c>
      <c r="C783" s="23">
        <f>IFERROR(MATCH($A783,Merge_1_2!$A$2:$A$611,0),0)</f>
        <v>0</v>
      </c>
      <c r="D783" s="23">
        <f>IF($C783&gt;0,INDEX(Merge_1_2!$Q$2:$Q$611,$C783),0)</f>
        <v>0</v>
      </c>
      <c r="E783" s="23">
        <f>IFERROR(MATCH($A783,Dataset3_Raw!$A$2:$A$391,0),0)</f>
        <v>172</v>
      </c>
      <c r="F783" s="24">
        <f>IF($C783&gt;0,INDEX(Merge_1_2!$B$2:$B$611,$C783),DATE(VALUE(RIGHT(INDEX(Dataset3_Raw!$B$2:$B$391,$E783),4)),VALUE(MID(INDEX(Dataset3_Raw!$B$2:$B$391,$E783),4,2)),VALUE(LEFT(INDEX(Dataset3_Raw!$B$2:$B$391,$E783),2))))</f>
        <v>40579</v>
      </c>
      <c r="G783" s="23">
        <f>IF($C783&gt;0,INDEX(Merge_1_2!$C$2:$C$611,$C783),INDEX(Dataset3_Raw!$C$2:$C$391,$E783))</f>
        <v>1</v>
      </c>
      <c r="H783" s="23">
        <f>IF($C783&gt;0,INDEX(Merge_1_2!$D$2:$D$611,$C783),INDEX(Dataset3_Raw!$D$2:$D$391,$E783))</f>
        <v>0</v>
      </c>
      <c r="I783" s="23">
        <f>IF($C783&gt;0,INDEX(Merge_1_2!$E$2:$E$611,$C783),INDEX(Dataset3_Raw!$E$2:$E$391,$E783))</f>
        <v>2</v>
      </c>
      <c r="J783" s="23">
        <f>IF($C783&gt;0,INDEX(Merge_1_2!$F$2:$F$611,$C783),INDEX(Dataset3_Raw!$F$2:$F$391,$E783))</f>
        <v>0</v>
      </c>
      <c r="K783" s="23" t="b">
        <f>IF($C783&gt;0,INDEX(Merge_1_2!$G$2:$G$611,$C783),INDEX(Dataset3_Raw!$G$2:$G$391,$E783))</f>
        <v>0</v>
      </c>
      <c r="L783" s="23">
        <f>IF($C783&gt;0,INDEX(Merge_1_2!$H$2:$H$611,$C783),INDEX(Dataset3_Raw!$H$2:$H$391,$E783))</f>
        <v>6</v>
      </c>
      <c r="M783" s="23">
        <f>IF($C783&gt;0,INDEX(Merge_1_2!$I$2:$I$611,$C783),INDEX(Dataset3_Raw!$I$2:$I$391,$E783))</f>
        <v>2</v>
      </c>
      <c r="N783" s="25">
        <f>IF($C783&gt;0,INDEX(Merge_1_2!$J$2:$J$611,$C783),INDEX(Dataset3_Raw!$J$2:$J$391,$E783))</f>
        <v>0.24</v>
      </c>
      <c r="O783" s="25">
        <f>IF($C783&gt;0,IF(ISNUMBER(INDEX(Merge_1_2!$K$2:$K$611,$C783)),INDEX(Merge_1_2!$K$2:$K$611,$C783),""),INDEX(Dataset3_Raw!$K$2:$K$391,$E783))</f>
        <v>0.2424</v>
      </c>
      <c r="P783" s="25">
        <f>IF(ISNUMBER($O783),$O783,ROUND(Lookups!$B$25+Lookups!$B$24*$N783,4))</f>
        <v>0.2424</v>
      </c>
      <c r="Q783" s="25">
        <f>IF($C783&gt;0,INDEX(Merge_1_2!$L$2:$L$611,$C783),INDEX(Dataset3_Raw!$L$2:$L$391,$E783))</f>
        <v>0.7</v>
      </c>
      <c r="R783" s="25">
        <f>IF($C783&gt;0,INDEX(Merge_1_2!$M$2:$M$611,$C783),INDEX(Dataset3_Raw!$M$2:$M$391,$E783))</f>
        <v>0.16420000000000001</v>
      </c>
      <c r="S783" s="23">
        <f>IF($C783&gt;0,INDEX(Merge_1_2!$N$2:$N$611,$C783),INDEX(Dataset3_Raw!$N$2:$N$391,$E783))</f>
        <v>3</v>
      </c>
      <c r="T783" s="23">
        <f>IF($C783&gt;0,INDEX(Merge_1_2!$O$2:$O$611,$C783),INDEX(Dataset3_Raw!$O$2:$O$391,$E783))</f>
        <v>36</v>
      </c>
      <c r="U783" s="23">
        <f>IF($C783&gt;0,INDEX(Merge_1_2!$P$2:$P$611,$C783),INDEX(Dataset3_Raw!$P$2:$P$391,$E783))</f>
        <v>39</v>
      </c>
      <c r="V783" s="23" t="str">
        <f t="shared" si="73"/>
        <v>Weekend</v>
      </c>
      <c r="W783" s="23" t="str">
        <f>VLOOKUP($M783,Lookups!$A$5:$B$8,2,FALSE())</f>
        <v>Mist / Cloudy</v>
      </c>
      <c r="X783" s="23" t="str">
        <f>VLOOKUP($G783,Lookups!$D$5:$E$8,2,FALSE())</f>
        <v>Winter</v>
      </c>
      <c r="Y783" s="23" t="str">
        <f>VLOOKUP($L783,Lookups!$G$5:$H$11,2,FALSE())</f>
        <v>Saturday</v>
      </c>
      <c r="Z783" s="23" t="str">
        <f>IF($J783&lt;Lookups!$B$26,"Night",IF($J783&lt;Lookups!$B$27,"Morning",IF($J783&lt;Lookups!$B$28,"Afternoon","Evening")))</f>
        <v>Night</v>
      </c>
      <c r="AA783" s="26">
        <f>ROUND($N783*(Lookups!$B$16-Lookups!$B$15)+Lookups!$B$15,1)</f>
        <v>3.3</v>
      </c>
      <c r="AB783" s="26">
        <f>ROUND($P783*(Lookups!$B$18-Lookups!$B$17)+Lookups!$B$17,1)</f>
        <v>0</v>
      </c>
      <c r="AC783" s="23">
        <f t="shared" si="74"/>
        <v>70</v>
      </c>
      <c r="AD783" s="23">
        <f>ROUND($R783*Lookups!$B$19,1)</f>
        <v>11</v>
      </c>
      <c r="AE783" s="27">
        <f t="shared" si="75"/>
        <v>0.92307692307692313</v>
      </c>
      <c r="AF783" s="23" t="str">
        <f>IF($U783&gt;=Lookups!$B$23,"High",IF($U783&gt;=Lookups!$B$22,"Medium","Low"))</f>
        <v>Medium</v>
      </c>
      <c r="AG783" s="23">
        <f>ROUND(IF($V783="Weekday",IF(INDEX(Hourly_Analysis!$D$5:$D$28,$J783+1)&gt;0,($U783-INDEX(Hourly_Analysis!$C$5:$C$28,$J783+1))/INDEX(Hourly_Analysis!$D$5:$D$28,$J783+1),0),IF(INDEX(Hourly_Analysis!$G$5:$G$28,$J783+1)&gt;0,($U783-INDEX(Hourly_Analysis!$F$5:$F$28,$J783+1))/INDEX(Hourly_Analysis!$G$5:$G$28,$J783+1),0)),2)</f>
        <v>1.28</v>
      </c>
      <c r="AH783" s="23" t="str">
        <f>IF(ABS($AG783)&gt;Lookups!$B$20,IF($AG783&gt;0,"High anomaly","Low anomaly"),"")</f>
        <v/>
      </c>
      <c r="AI783" s="23" t="str">
        <f t="shared" si="76"/>
        <v>OK</v>
      </c>
      <c r="AJ783" s="23" t="str">
        <f t="shared" si="77"/>
        <v>No</v>
      </c>
    </row>
    <row r="784" spans="1:36" x14ac:dyDescent="0.35">
      <c r="A784" s="23">
        <v>783</v>
      </c>
      <c r="B784" s="23" t="str">
        <f t="shared" si="72"/>
        <v>Dataset 3</v>
      </c>
      <c r="C784" s="23">
        <f>IFERROR(MATCH($A784,Merge_1_2!$A$2:$A$611,0),0)</f>
        <v>0</v>
      </c>
      <c r="D784" s="23">
        <f>IF($C784&gt;0,INDEX(Merge_1_2!$Q$2:$Q$611,$C784),0)</f>
        <v>0</v>
      </c>
      <c r="E784" s="23">
        <f>IFERROR(MATCH($A784,Dataset3_Raw!$A$2:$A$391,0),0)</f>
        <v>173</v>
      </c>
      <c r="F784" s="24">
        <f>IF($C784&gt;0,INDEX(Merge_1_2!$B$2:$B$611,$C784),DATE(VALUE(RIGHT(INDEX(Dataset3_Raw!$B$2:$B$391,$E784),4)),VALUE(MID(INDEX(Dataset3_Raw!$B$2:$B$391,$E784),4,2)),VALUE(LEFT(INDEX(Dataset3_Raw!$B$2:$B$391,$E784),2))))</f>
        <v>40579</v>
      </c>
      <c r="G784" s="23">
        <f>IF($C784&gt;0,INDEX(Merge_1_2!$C$2:$C$611,$C784),INDEX(Dataset3_Raw!$C$2:$C$391,$E784))</f>
        <v>1</v>
      </c>
      <c r="H784" s="23">
        <f>IF($C784&gt;0,INDEX(Merge_1_2!$D$2:$D$611,$C784),INDEX(Dataset3_Raw!$D$2:$D$391,$E784))</f>
        <v>0</v>
      </c>
      <c r="I784" s="23">
        <f>IF($C784&gt;0,INDEX(Merge_1_2!$E$2:$E$611,$C784),INDEX(Dataset3_Raw!$E$2:$E$391,$E784))</f>
        <v>2</v>
      </c>
      <c r="J784" s="23">
        <f>IF($C784&gt;0,INDEX(Merge_1_2!$F$2:$F$611,$C784),INDEX(Dataset3_Raw!$F$2:$F$391,$E784))</f>
        <v>1</v>
      </c>
      <c r="K784" s="23" t="b">
        <f>IF($C784&gt;0,INDEX(Merge_1_2!$G$2:$G$611,$C784),INDEX(Dataset3_Raw!$G$2:$G$391,$E784))</f>
        <v>0</v>
      </c>
      <c r="L784" s="23">
        <f>IF($C784&gt;0,INDEX(Merge_1_2!$H$2:$H$611,$C784),INDEX(Dataset3_Raw!$H$2:$H$391,$E784))</f>
        <v>6</v>
      </c>
      <c r="M784" s="23">
        <f>IF($C784&gt;0,INDEX(Merge_1_2!$I$2:$I$611,$C784),INDEX(Dataset3_Raw!$I$2:$I$391,$E784))</f>
        <v>2</v>
      </c>
      <c r="N784" s="25">
        <f>IF($C784&gt;0,INDEX(Merge_1_2!$J$2:$J$611,$C784),INDEX(Dataset3_Raw!$J$2:$J$391,$E784))</f>
        <v>0.24</v>
      </c>
      <c r="O784" s="25">
        <f>IF($C784&gt;0,IF(ISNUMBER(INDEX(Merge_1_2!$K$2:$K$611,$C784)),INDEX(Merge_1_2!$K$2:$K$611,$C784),""),INDEX(Dataset3_Raw!$K$2:$K$391,$E784))</f>
        <v>0.2424</v>
      </c>
      <c r="P784" s="25">
        <f>IF(ISNUMBER($O784),$O784,ROUND(Lookups!$B$25+Lookups!$B$24*$N784,4))</f>
        <v>0.2424</v>
      </c>
      <c r="Q784" s="25">
        <f>IF($C784&gt;0,INDEX(Merge_1_2!$L$2:$L$611,$C784),INDEX(Dataset3_Raw!$L$2:$L$391,$E784))</f>
        <v>0.65</v>
      </c>
      <c r="R784" s="25">
        <f>IF($C784&gt;0,INDEX(Merge_1_2!$M$2:$M$611,$C784),INDEX(Dataset3_Raw!$M$2:$M$391,$E784))</f>
        <v>0.16420000000000001</v>
      </c>
      <c r="S784" s="23">
        <f>IF($C784&gt;0,INDEX(Merge_1_2!$N$2:$N$611,$C784),INDEX(Dataset3_Raw!$N$2:$N$391,$E784))</f>
        <v>1</v>
      </c>
      <c r="T784" s="23">
        <f>IF($C784&gt;0,INDEX(Merge_1_2!$O$2:$O$611,$C784),INDEX(Dataset3_Raw!$O$2:$O$391,$E784))</f>
        <v>17</v>
      </c>
      <c r="U784" s="23">
        <f>IF($C784&gt;0,INDEX(Merge_1_2!$P$2:$P$611,$C784),INDEX(Dataset3_Raw!$P$2:$P$391,$E784))</f>
        <v>18</v>
      </c>
      <c r="V784" s="23" t="str">
        <f t="shared" si="73"/>
        <v>Weekend</v>
      </c>
      <c r="W784" s="23" t="str">
        <f>VLOOKUP($M784,Lookups!$A$5:$B$8,2,FALSE())</f>
        <v>Mist / Cloudy</v>
      </c>
      <c r="X784" s="23" t="str">
        <f>VLOOKUP($G784,Lookups!$D$5:$E$8,2,FALSE())</f>
        <v>Winter</v>
      </c>
      <c r="Y784" s="23" t="str">
        <f>VLOOKUP($L784,Lookups!$G$5:$H$11,2,FALSE())</f>
        <v>Saturday</v>
      </c>
      <c r="Z784" s="23" t="str">
        <f>IF($J784&lt;Lookups!$B$26,"Night",IF($J784&lt;Lookups!$B$27,"Morning",IF($J784&lt;Lookups!$B$28,"Afternoon","Evening")))</f>
        <v>Night</v>
      </c>
      <c r="AA784" s="26">
        <f>ROUND($N784*(Lookups!$B$16-Lookups!$B$15)+Lookups!$B$15,1)</f>
        <v>3.3</v>
      </c>
      <c r="AB784" s="26">
        <f>ROUND($P784*(Lookups!$B$18-Lookups!$B$17)+Lookups!$B$17,1)</f>
        <v>0</v>
      </c>
      <c r="AC784" s="23">
        <f t="shared" si="74"/>
        <v>65</v>
      </c>
      <c r="AD784" s="23">
        <f>ROUND($R784*Lookups!$B$19,1)</f>
        <v>11</v>
      </c>
      <c r="AE784" s="27">
        <f t="shared" si="75"/>
        <v>0.94444444444444442</v>
      </c>
      <c r="AF784" s="23" t="str">
        <f>IF($U784&gt;=Lookups!$B$23,"High",IF($U784&gt;=Lookups!$B$22,"Medium","Low"))</f>
        <v>Medium</v>
      </c>
      <c r="AG784" s="23">
        <f>ROUND(IF($V784="Weekday",IF(INDEX(Hourly_Analysis!$D$5:$D$28,$J784+1)&gt;0,($U784-INDEX(Hourly_Analysis!$C$5:$C$28,$J784+1))/INDEX(Hourly_Analysis!$D$5:$D$28,$J784+1),0),IF(INDEX(Hourly_Analysis!$G$5:$G$28,$J784+1)&gt;0,($U784-INDEX(Hourly_Analysis!$F$5:$F$28,$J784+1))/INDEX(Hourly_Analysis!$G$5:$G$28,$J784+1),0)),2)</f>
        <v>-0.41</v>
      </c>
      <c r="AH784" s="23" t="str">
        <f>IF(ABS($AG784)&gt;Lookups!$B$20,IF($AG784&gt;0,"High anomaly","Low anomaly"),"")</f>
        <v/>
      </c>
      <c r="AI784" s="23" t="str">
        <f t="shared" si="76"/>
        <v>OK</v>
      </c>
      <c r="AJ784" s="23" t="str">
        <f t="shared" si="77"/>
        <v>No</v>
      </c>
    </row>
    <row r="785" spans="1:36" x14ac:dyDescent="0.35">
      <c r="A785" s="23">
        <v>784</v>
      </c>
      <c r="B785" s="23" t="str">
        <f t="shared" si="72"/>
        <v>Dataset 3</v>
      </c>
      <c r="C785" s="23">
        <f>IFERROR(MATCH($A785,Merge_1_2!$A$2:$A$611,0),0)</f>
        <v>0</v>
      </c>
      <c r="D785" s="23">
        <f>IF($C785&gt;0,INDEX(Merge_1_2!$Q$2:$Q$611,$C785),0)</f>
        <v>0</v>
      </c>
      <c r="E785" s="23">
        <f>IFERROR(MATCH($A785,Dataset3_Raw!$A$2:$A$391,0),0)</f>
        <v>174</v>
      </c>
      <c r="F785" s="24">
        <f>IF($C785&gt;0,INDEX(Merge_1_2!$B$2:$B$611,$C785),DATE(VALUE(RIGHT(INDEX(Dataset3_Raw!$B$2:$B$391,$E785),4)),VALUE(MID(INDEX(Dataset3_Raw!$B$2:$B$391,$E785),4,2)),VALUE(LEFT(INDEX(Dataset3_Raw!$B$2:$B$391,$E785),2))))</f>
        <v>40579</v>
      </c>
      <c r="G785" s="23">
        <f>IF($C785&gt;0,INDEX(Merge_1_2!$C$2:$C$611,$C785),INDEX(Dataset3_Raw!$C$2:$C$391,$E785))</f>
        <v>1</v>
      </c>
      <c r="H785" s="23">
        <f>IF($C785&gt;0,INDEX(Merge_1_2!$D$2:$D$611,$C785),INDEX(Dataset3_Raw!$D$2:$D$391,$E785))</f>
        <v>0</v>
      </c>
      <c r="I785" s="23">
        <f>IF($C785&gt;0,INDEX(Merge_1_2!$E$2:$E$611,$C785),INDEX(Dataset3_Raw!$E$2:$E$391,$E785))</f>
        <v>2</v>
      </c>
      <c r="J785" s="23">
        <f>IF($C785&gt;0,INDEX(Merge_1_2!$F$2:$F$611,$C785),INDEX(Dataset3_Raw!$F$2:$F$391,$E785))</f>
        <v>2</v>
      </c>
      <c r="K785" s="23" t="b">
        <f>IF($C785&gt;0,INDEX(Merge_1_2!$G$2:$G$611,$C785),INDEX(Dataset3_Raw!$G$2:$G$391,$E785))</f>
        <v>0</v>
      </c>
      <c r="L785" s="23">
        <f>IF($C785&gt;0,INDEX(Merge_1_2!$H$2:$H$611,$C785),INDEX(Dataset3_Raw!$H$2:$H$391,$E785))</f>
        <v>6</v>
      </c>
      <c r="M785" s="23">
        <f>IF($C785&gt;0,INDEX(Merge_1_2!$I$2:$I$611,$C785),INDEX(Dataset3_Raw!$I$2:$I$391,$E785))</f>
        <v>2</v>
      </c>
      <c r="N785" s="25">
        <f>IF($C785&gt;0,INDEX(Merge_1_2!$J$2:$J$611,$C785),INDEX(Dataset3_Raw!$J$2:$J$391,$E785))</f>
        <v>0.24</v>
      </c>
      <c r="O785" s="25">
        <f>IF($C785&gt;0,IF(ISNUMBER(INDEX(Merge_1_2!$K$2:$K$611,$C785)),INDEX(Merge_1_2!$K$2:$K$611,$C785),""),INDEX(Dataset3_Raw!$K$2:$K$391,$E785))</f>
        <v>0.2424</v>
      </c>
      <c r="P785" s="25">
        <f>IF(ISNUMBER($O785),$O785,ROUND(Lookups!$B$25+Lookups!$B$24*$N785,4))</f>
        <v>0.2424</v>
      </c>
      <c r="Q785" s="25">
        <f>IF($C785&gt;0,INDEX(Merge_1_2!$L$2:$L$611,$C785),INDEX(Dataset3_Raw!$L$2:$L$391,$E785))</f>
        <v>0.75</v>
      </c>
      <c r="R785" s="25">
        <f>IF($C785&gt;0,INDEX(Merge_1_2!$M$2:$M$611,$C785),INDEX(Dataset3_Raw!$M$2:$M$391,$E785))</f>
        <v>0.16420000000000001</v>
      </c>
      <c r="S785" s="23">
        <f>IF($C785&gt;0,INDEX(Merge_1_2!$N$2:$N$611,$C785),INDEX(Dataset3_Raw!$N$2:$N$391,$E785))</f>
        <v>5</v>
      </c>
      <c r="T785" s="23">
        <f>IF($C785&gt;0,INDEX(Merge_1_2!$O$2:$O$611,$C785),INDEX(Dataset3_Raw!$O$2:$O$391,$E785))</f>
        <v>12</v>
      </c>
      <c r="U785" s="23">
        <f>IF($C785&gt;0,INDEX(Merge_1_2!$P$2:$P$611,$C785),INDEX(Dataset3_Raw!$P$2:$P$391,$E785))</f>
        <v>17</v>
      </c>
      <c r="V785" s="23" t="str">
        <f t="shared" si="73"/>
        <v>Weekend</v>
      </c>
      <c r="W785" s="23" t="str">
        <f>VLOOKUP($M785,Lookups!$A$5:$B$8,2,FALSE())</f>
        <v>Mist / Cloudy</v>
      </c>
      <c r="X785" s="23" t="str">
        <f>VLOOKUP($G785,Lookups!$D$5:$E$8,2,FALSE())</f>
        <v>Winter</v>
      </c>
      <c r="Y785" s="23" t="str">
        <f>VLOOKUP($L785,Lookups!$G$5:$H$11,2,FALSE())</f>
        <v>Saturday</v>
      </c>
      <c r="Z785" s="23" t="str">
        <f>IF($J785&lt;Lookups!$B$26,"Night",IF($J785&lt;Lookups!$B$27,"Morning",IF($J785&lt;Lookups!$B$28,"Afternoon","Evening")))</f>
        <v>Night</v>
      </c>
      <c r="AA785" s="26">
        <f>ROUND($N785*(Lookups!$B$16-Lookups!$B$15)+Lookups!$B$15,1)</f>
        <v>3.3</v>
      </c>
      <c r="AB785" s="26">
        <f>ROUND($P785*(Lookups!$B$18-Lookups!$B$17)+Lookups!$B$17,1)</f>
        <v>0</v>
      </c>
      <c r="AC785" s="23">
        <f t="shared" si="74"/>
        <v>75</v>
      </c>
      <c r="AD785" s="23">
        <f>ROUND($R785*Lookups!$B$19,1)</f>
        <v>11</v>
      </c>
      <c r="AE785" s="27">
        <f t="shared" si="75"/>
        <v>0.70588235294117652</v>
      </c>
      <c r="AF785" s="23" t="str">
        <f>IF($U785&gt;=Lookups!$B$23,"High",IF($U785&gt;=Lookups!$B$22,"Medium","Low"))</f>
        <v>Medium</v>
      </c>
      <c r="AG785" s="23">
        <f>ROUND(IF($V785="Weekday",IF(INDEX(Hourly_Analysis!$D$5:$D$28,$J785+1)&gt;0,($U785-INDEX(Hourly_Analysis!$C$5:$C$28,$J785+1))/INDEX(Hourly_Analysis!$D$5:$D$28,$J785+1),0),IF(INDEX(Hourly_Analysis!$G$5:$G$28,$J785+1)&gt;0,($U785-INDEX(Hourly_Analysis!$F$5:$F$28,$J785+1))/INDEX(Hourly_Analysis!$G$5:$G$28,$J785+1),0)),2)</f>
        <v>0.27</v>
      </c>
      <c r="AH785" s="23" t="str">
        <f>IF(ABS($AG785)&gt;Lookups!$B$20,IF($AG785&gt;0,"High anomaly","Low anomaly"),"")</f>
        <v/>
      </c>
      <c r="AI785" s="23" t="str">
        <f t="shared" si="76"/>
        <v>OK</v>
      </c>
      <c r="AJ785" s="23" t="str">
        <f t="shared" si="77"/>
        <v>No</v>
      </c>
    </row>
    <row r="786" spans="1:36" x14ac:dyDescent="0.35">
      <c r="A786" s="23">
        <v>785</v>
      </c>
      <c r="B786" s="23" t="str">
        <f t="shared" si="72"/>
        <v>Dataset 3</v>
      </c>
      <c r="C786" s="23">
        <f>IFERROR(MATCH($A786,Merge_1_2!$A$2:$A$611,0),0)</f>
        <v>0</v>
      </c>
      <c r="D786" s="23">
        <f>IF($C786&gt;0,INDEX(Merge_1_2!$Q$2:$Q$611,$C786),0)</f>
        <v>0</v>
      </c>
      <c r="E786" s="23">
        <f>IFERROR(MATCH($A786,Dataset3_Raw!$A$2:$A$391,0),0)</f>
        <v>175</v>
      </c>
      <c r="F786" s="24">
        <f>IF($C786&gt;0,INDEX(Merge_1_2!$B$2:$B$611,$C786),DATE(VALUE(RIGHT(INDEX(Dataset3_Raw!$B$2:$B$391,$E786),4)),VALUE(MID(INDEX(Dataset3_Raw!$B$2:$B$391,$E786),4,2)),VALUE(LEFT(INDEX(Dataset3_Raw!$B$2:$B$391,$E786),2))))</f>
        <v>40579</v>
      </c>
      <c r="G786" s="23">
        <f>IF($C786&gt;0,INDEX(Merge_1_2!$C$2:$C$611,$C786),INDEX(Dataset3_Raw!$C$2:$C$391,$E786))</f>
        <v>1</v>
      </c>
      <c r="H786" s="23">
        <f>IF($C786&gt;0,INDEX(Merge_1_2!$D$2:$D$611,$C786),INDEX(Dataset3_Raw!$D$2:$D$391,$E786))</f>
        <v>0</v>
      </c>
      <c r="I786" s="23">
        <f>IF($C786&gt;0,INDEX(Merge_1_2!$E$2:$E$611,$C786),INDEX(Dataset3_Raw!$E$2:$E$391,$E786))</f>
        <v>2</v>
      </c>
      <c r="J786" s="23">
        <f>IF($C786&gt;0,INDEX(Merge_1_2!$F$2:$F$611,$C786),INDEX(Dataset3_Raw!$F$2:$F$391,$E786))</f>
        <v>3</v>
      </c>
      <c r="K786" s="23" t="b">
        <f>IF($C786&gt;0,INDEX(Merge_1_2!$G$2:$G$611,$C786),INDEX(Dataset3_Raw!$G$2:$G$391,$E786))</f>
        <v>0</v>
      </c>
      <c r="L786" s="23">
        <f>IF($C786&gt;0,INDEX(Merge_1_2!$H$2:$H$611,$C786),INDEX(Dataset3_Raw!$H$2:$H$391,$E786))</f>
        <v>6</v>
      </c>
      <c r="M786" s="23">
        <f>IF($C786&gt;0,INDEX(Merge_1_2!$I$2:$I$611,$C786),INDEX(Dataset3_Raw!$I$2:$I$391,$E786))</f>
        <v>2</v>
      </c>
      <c r="N786" s="25">
        <f>IF($C786&gt;0,INDEX(Merge_1_2!$J$2:$J$611,$C786),INDEX(Dataset3_Raw!$J$2:$J$391,$E786))</f>
        <v>0.24</v>
      </c>
      <c r="O786" s="25">
        <f>IF($C786&gt;0,IF(ISNUMBER(INDEX(Merge_1_2!$K$2:$K$611,$C786)),INDEX(Merge_1_2!$K$2:$K$611,$C786),""),INDEX(Dataset3_Raw!$K$2:$K$391,$E786))</f>
        <v>0.2424</v>
      </c>
      <c r="P786" s="25">
        <f>IF(ISNUMBER($O786),$O786,ROUND(Lookups!$B$25+Lookups!$B$24*$N786,4))</f>
        <v>0.2424</v>
      </c>
      <c r="Q786" s="25">
        <f>IF($C786&gt;0,INDEX(Merge_1_2!$L$2:$L$611,$C786),INDEX(Dataset3_Raw!$L$2:$L$391,$E786))</f>
        <v>0.75</v>
      </c>
      <c r="R786" s="25">
        <f>IF($C786&gt;0,INDEX(Merge_1_2!$M$2:$M$611,$C786),INDEX(Dataset3_Raw!$M$2:$M$391,$E786))</f>
        <v>0.16420000000000001</v>
      </c>
      <c r="S786" s="23">
        <f>IF($C786&gt;0,INDEX(Merge_1_2!$N$2:$N$611,$C786),INDEX(Dataset3_Raw!$N$2:$N$391,$E786))</f>
        <v>1</v>
      </c>
      <c r="T786" s="23">
        <f>IF($C786&gt;0,INDEX(Merge_1_2!$O$2:$O$611,$C786),INDEX(Dataset3_Raw!$O$2:$O$391,$E786))</f>
        <v>10</v>
      </c>
      <c r="U786" s="23">
        <f>IF($C786&gt;0,INDEX(Merge_1_2!$P$2:$P$611,$C786),INDEX(Dataset3_Raw!$P$2:$P$391,$E786))</f>
        <v>11</v>
      </c>
      <c r="V786" s="23" t="str">
        <f t="shared" si="73"/>
        <v>Weekend</v>
      </c>
      <c r="W786" s="23" t="str">
        <f>VLOOKUP($M786,Lookups!$A$5:$B$8,2,FALSE())</f>
        <v>Mist / Cloudy</v>
      </c>
      <c r="X786" s="23" t="str">
        <f>VLOOKUP($G786,Lookups!$D$5:$E$8,2,FALSE())</f>
        <v>Winter</v>
      </c>
      <c r="Y786" s="23" t="str">
        <f>VLOOKUP($L786,Lookups!$G$5:$H$11,2,FALSE())</f>
        <v>Saturday</v>
      </c>
      <c r="Z786" s="23" t="str">
        <f>IF($J786&lt;Lookups!$B$26,"Night",IF($J786&lt;Lookups!$B$27,"Morning",IF($J786&lt;Lookups!$B$28,"Afternoon","Evening")))</f>
        <v>Night</v>
      </c>
      <c r="AA786" s="26">
        <f>ROUND($N786*(Lookups!$B$16-Lookups!$B$15)+Lookups!$B$15,1)</f>
        <v>3.3</v>
      </c>
      <c r="AB786" s="26">
        <f>ROUND($P786*(Lookups!$B$18-Lookups!$B$17)+Lookups!$B$17,1)</f>
        <v>0</v>
      </c>
      <c r="AC786" s="23">
        <f t="shared" si="74"/>
        <v>75</v>
      </c>
      <c r="AD786" s="23">
        <f>ROUND($R786*Lookups!$B$19,1)</f>
        <v>11</v>
      </c>
      <c r="AE786" s="27">
        <f t="shared" si="75"/>
        <v>0.90909090909090906</v>
      </c>
      <c r="AF786" s="23" t="str">
        <f>IF($U786&gt;=Lookups!$B$23,"High",IF($U786&gt;=Lookups!$B$22,"Medium","Low"))</f>
        <v>Low</v>
      </c>
      <c r="AG786" s="23">
        <f>ROUND(IF($V786="Weekday",IF(INDEX(Hourly_Analysis!$D$5:$D$28,$J786+1)&gt;0,($U786-INDEX(Hourly_Analysis!$C$5:$C$28,$J786+1))/INDEX(Hourly_Analysis!$D$5:$D$28,$J786+1),0),IF(INDEX(Hourly_Analysis!$G$5:$G$28,$J786+1)&gt;0,($U786-INDEX(Hourly_Analysis!$F$5:$F$28,$J786+1))/INDEX(Hourly_Analysis!$G$5:$G$28,$J786+1),0)),2)</f>
        <v>0.65</v>
      </c>
      <c r="AH786" s="23" t="str">
        <f>IF(ABS($AG786)&gt;Lookups!$B$20,IF($AG786&gt;0,"High anomaly","Low anomaly"),"")</f>
        <v/>
      </c>
      <c r="AI786" s="23" t="str">
        <f t="shared" si="76"/>
        <v>OK</v>
      </c>
      <c r="AJ786" s="23" t="str">
        <f t="shared" si="77"/>
        <v>No</v>
      </c>
    </row>
    <row r="787" spans="1:36" x14ac:dyDescent="0.35">
      <c r="A787" s="23">
        <v>786</v>
      </c>
      <c r="B787" s="23" t="str">
        <f t="shared" si="72"/>
        <v>Dataset 3</v>
      </c>
      <c r="C787" s="23">
        <f>IFERROR(MATCH($A787,Merge_1_2!$A$2:$A$611,0),0)</f>
        <v>0</v>
      </c>
      <c r="D787" s="23">
        <f>IF($C787&gt;0,INDEX(Merge_1_2!$Q$2:$Q$611,$C787),0)</f>
        <v>0</v>
      </c>
      <c r="E787" s="23">
        <f>IFERROR(MATCH($A787,Dataset3_Raw!$A$2:$A$391,0),0)</f>
        <v>176</v>
      </c>
      <c r="F787" s="24">
        <f>IF($C787&gt;0,INDEX(Merge_1_2!$B$2:$B$611,$C787),DATE(VALUE(RIGHT(INDEX(Dataset3_Raw!$B$2:$B$391,$E787),4)),VALUE(MID(INDEX(Dataset3_Raw!$B$2:$B$391,$E787),4,2)),VALUE(LEFT(INDEX(Dataset3_Raw!$B$2:$B$391,$E787),2))))</f>
        <v>40579</v>
      </c>
      <c r="G787" s="23">
        <f>IF($C787&gt;0,INDEX(Merge_1_2!$C$2:$C$611,$C787),INDEX(Dataset3_Raw!$C$2:$C$391,$E787))</f>
        <v>1</v>
      </c>
      <c r="H787" s="23">
        <f>IF($C787&gt;0,INDEX(Merge_1_2!$D$2:$D$611,$C787),INDEX(Dataset3_Raw!$D$2:$D$391,$E787))</f>
        <v>0</v>
      </c>
      <c r="I787" s="23">
        <f>IF($C787&gt;0,INDEX(Merge_1_2!$E$2:$E$611,$C787),INDEX(Dataset3_Raw!$E$2:$E$391,$E787))</f>
        <v>2</v>
      </c>
      <c r="J787" s="23">
        <f>IF($C787&gt;0,INDEX(Merge_1_2!$F$2:$F$611,$C787),INDEX(Dataset3_Raw!$F$2:$F$391,$E787))</f>
        <v>4</v>
      </c>
      <c r="K787" s="23" t="b">
        <f>IF($C787&gt;0,INDEX(Merge_1_2!$G$2:$G$611,$C787),INDEX(Dataset3_Raw!$G$2:$G$391,$E787))</f>
        <v>0</v>
      </c>
      <c r="L787" s="23">
        <f>IF($C787&gt;0,INDEX(Merge_1_2!$H$2:$H$611,$C787),INDEX(Dataset3_Raw!$H$2:$H$391,$E787))</f>
        <v>6</v>
      </c>
      <c r="M787" s="23">
        <f>IF($C787&gt;0,INDEX(Merge_1_2!$I$2:$I$611,$C787),INDEX(Dataset3_Raw!$I$2:$I$391,$E787))</f>
        <v>3</v>
      </c>
      <c r="N787" s="25">
        <f>IF($C787&gt;0,INDEX(Merge_1_2!$J$2:$J$611,$C787),INDEX(Dataset3_Raw!$J$2:$J$391,$E787))</f>
        <v>0.22</v>
      </c>
      <c r="O787" s="25">
        <f>IF($C787&gt;0,IF(ISNUMBER(INDEX(Merge_1_2!$K$2:$K$611,$C787)),INDEX(Merge_1_2!$K$2:$K$611,$C787),""),INDEX(Dataset3_Raw!$K$2:$K$391,$E787))</f>
        <v>0.2273</v>
      </c>
      <c r="P787" s="25">
        <f>IF(ISNUMBER($O787),$O787,ROUND(Lookups!$B$25+Lookups!$B$24*$N787,4))</f>
        <v>0.2273</v>
      </c>
      <c r="Q787" s="25">
        <f>IF($C787&gt;0,INDEX(Merge_1_2!$L$2:$L$611,$C787),INDEX(Dataset3_Raw!$L$2:$L$391,$E787))</f>
        <v>0.93</v>
      </c>
      <c r="R787" s="25">
        <f>IF($C787&gt;0,INDEX(Merge_1_2!$M$2:$M$611,$C787),INDEX(Dataset3_Raw!$M$2:$M$391,$E787))</f>
        <v>0.1343</v>
      </c>
      <c r="S787" s="23">
        <f>IF($C787&gt;0,INDEX(Merge_1_2!$N$2:$N$611,$C787),INDEX(Dataset3_Raw!$N$2:$N$391,$E787))</f>
        <v>0</v>
      </c>
      <c r="T787" s="23">
        <f>IF($C787&gt;0,INDEX(Merge_1_2!$O$2:$O$611,$C787),INDEX(Dataset3_Raw!$O$2:$O$391,$E787))</f>
        <v>8</v>
      </c>
      <c r="U787" s="23">
        <f>IF($C787&gt;0,INDEX(Merge_1_2!$P$2:$P$611,$C787),INDEX(Dataset3_Raw!$P$2:$P$391,$E787))</f>
        <v>8</v>
      </c>
      <c r="V787" s="23" t="str">
        <f t="shared" si="73"/>
        <v>Weekend</v>
      </c>
      <c r="W787" s="23" t="str">
        <f>VLOOKUP($M787,Lookups!$A$5:$B$8,2,FALSE())</f>
        <v>Light snow / Light rain</v>
      </c>
      <c r="X787" s="23" t="str">
        <f>VLOOKUP($G787,Lookups!$D$5:$E$8,2,FALSE())</f>
        <v>Winter</v>
      </c>
      <c r="Y787" s="23" t="str">
        <f>VLOOKUP($L787,Lookups!$G$5:$H$11,2,FALSE())</f>
        <v>Saturday</v>
      </c>
      <c r="Z787" s="23" t="str">
        <f>IF($J787&lt;Lookups!$B$26,"Night",IF($J787&lt;Lookups!$B$27,"Morning",IF($J787&lt;Lookups!$B$28,"Afternoon","Evening")))</f>
        <v>Night</v>
      </c>
      <c r="AA787" s="26">
        <f>ROUND($N787*(Lookups!$B$16-Lookups!$B$15)+Lookups!$B$15,1)</f>
        <v>2.2999999999999998</v>
      </c>
      <c r="AB787" s="26">
        <f>ROUND($P787*(Lookups!$B$18-Lookups!$B$17)+Lookups!$B$17,1)</f>
        <v>-1</v>
      </c>
      <c r="AC787" s="23">
        <f t="shared" si="74"/>
        <v>93</v>
      </c>
      <c r="AD787" s="23">
        <f>ROUND($R787*Lookups!$B$19,1)</f>
        <v>9</v>
      </c>
      <c r="AE787" s="27">
        <f t="shared" si="75"/>
        <v>1</v>
      </c>
      <c r="AF787" s="23" t="str">
        <f>IF($U787&gt;=Lookups!$B$23,"High",IF($U787&gt;=Lookups!$B$22,"Medium","Low"))</f>
        <v>Low</v>
      </c>
      <c r="AG787" s="23">
        <f>ROUND(IF($V787="Weekday",IF(INDEX(Hourly_Analysis!$D$5:$D$28,$J787+1)&gt;0,($U787-INDEX(Hourly_Analysis!$C$5:$C$28,$J787+1))/INDEX(Hourly_Analysis!$D$5:$D$28,$J787+1),0),IF(INDEX(Hourly_Analysis!$G$5:$G$28,$J787+1)&gt;0,($U787-INDEX(Hourly_Analysis!$F$5:$F$28,$J787+1))/INDEX(Hourly_Analysis!$G$5:$G$28,$J787+1),0)),2)</f>
        <v>2.67</v>
      </c>
      <c r="AH787" s="23" t="str">
        <f>IF(ABS($AG787)&gt;Lookups!$B$20,IF($AG787&gt;0,"High anomaly","Low anomaly"),"")</f>
        <v/>
      </c>
      <c r="AI787" s="23" t="str">
        <f t="shared" si="76"/>
        <v>OK</v>
      </c>
      <c r="AJ787" s="23" t="str">
        <f t="shared" si="77"/>
        <v>No</v>
      </c>
    </row>
    <row r="788" spans="1:36" x14ac:dyDescent="0.35">
      <c r="A788" s="23">
        <v>787</v>
      </c>
      <c r="B788" s="23" t="str">
        <f t="shared" si="72"/>
        <v>Dataset 3</v>
      </c>
      <c r="C788" s="23">
        <f>IFERROR(MATCH($A788,Merge_1_2!$A$2:$A$611,0),0)</f>
        <v>0</v>
      </c>
      <c r="D788" s="23">
        <f>IF($C788&gt;0,INDEX(Merge_1_2!$Q$2:$Q$611,$C788),0)</f>
        <v>0</v>
      </c>
      <c r="E788" s="23">
        <f>IFERROR(MATCH($A788,Dataset3_Raw!$A$2:$A$391,0),0)</f>
        <v>177</v>
      </c>
      <c r="F788" s="24">
        <f>IF($C788&gt;0,INDEX(Merge_1_2!$B$2:$B$611,$C788),DATE(VALUE(RIGHT(INDEX(Dataset3_Raw!$B$2:$B$391,$E788),4)),VALUE(MID(INDEX(Dataset3_Raw!$B$2:$B$391,$E788),4,2)),VALUE(LEFT(INDEX(Dataset3_Raw!$B$2:$B$391,$E788),2))))</f>
        <v>40579</v>
      </c>
      <c r="G788" s="23">
        <f>IF($C788&gt;0,INDEX(Merge_1_2!$C$2:$C$611,$C788),INDEX(Dataset3_Raw!$C$2:$C$391,$E788))</f>
        <v>1</v>
      </c>
      <c r="H788" s="23">
        <f>IF($C788&gt;0,INDEX(Merge_1_2!$D$2:$D$611,$C788),INDEX(Dataset3_Raw!$D$2:$D$391,$E788))</f>
        <v>0</v>
      </c>
      <c r="I788" s="23">
        <f>IF($C788&gt;0,INDEX(Merge_1_2!$E$2:$E$611,$C788),INDEX(Dataset3_Raw!$E$2:$E$391,$E788))</f>
        <v>2</v>
      </c>
      <c r="J788" s="23">
        <f>IF($C788&gt;0,INDEX(Merge_1_2!$F$2:$F$611,$C788),INDEX(Dataset3_Raw!$F$2:$F$391,$E788))</f>
        <v>5</v>
      </c>
      <c r="K788" s="23" t="b">
        <f>IF($C788&gt;0,INDEX(Merge_1_2!$G$2:$G$611,$C788),INDEX(Dataset3_Raw!$G$2:$G$391,$E788))</f>
        <v>0</v>
      </c>
      <c r="L788" s="23">
        <f>IF($C788&gt;0,INDEX(Merge_1_2!$H$2:$H$611,$C788),INDEX(Dataset3_Raw!$H$2:$H$391,$E788))</f>
        <v>6</v>
      </c>
      <c r="M788" s="23">
        <f>IF($C788&gt;0,INDEX(Merge_1_2!$I$2:$I$611,$C788),INDEX(Dataset3_Raw!$I$2:$I$391,$E788))</f>
        <v>3</v>
      </c>
      <c r="N788" s="25">
        <f>IF($C788&gt;0,INDEX(Merge_1_2!$J$2:$J$611,$C788),INDEX(Dataset3_Raw!$J$2:$J$391,$E788))</f>
        <v>0.2</v>
      </c>
      <c r="O788" s="25">
        <f>IF($C788&gt;0,IF(ISNUMBER(INDEX(Merge_1_2!$K$2:$K$611,$C788)),INDEX(Merge_1_2!$K$2:$K$611,$C788),""),INDEX(Dataset3_Raw!$K$2:$K$391,$E788))</f>
        <v>0.2273</v>
      </c>
      <c r="P788" s="25">
        <f>IF(ISNUMBER($O788),$O788,ROUND(Lookups!$B$25+Lookups!$B$24*$N788,4))</f>
        <v>0.2273</v>
      </c>
      <c r="Q788" s="25">
        <f>IF($C788&gt;0,INDEX(Merge_1_2!$L$2:$L$611,$C788),INDEX(Dataset3_Raw!$L$2:$L$391,$E788))</f>
        <v>1</v>
      </c>
      <c r="R788" s="25">
        <f>IF($C788&gt;0,INDEX(Merge_1_2!$M$2:$M$611,$C788),INDEX(Dataset3_Raw!$M$2:$M$391,$E788))</f>
        <v>8.9599999999999999E-2</v>
      </c>
      <c r="S788" s="23">
        <f>IF($C788&gt;0,INDEX(Merge_1_2!$N$2:$N$611,$C788),INDEX(Dataset3_Raw!$N$2:$N$391,$E788))</f>
        <v>0</v>
      </c>
      <c r="T788" s="23">
        <f>IF($C788&gt;0,INDEX(Merge_1_2!$O$2:$O$611,$C788),INDEX(Dataset3_Raw!$O$2:$O$391,$E788))</f>
        <v>9</v>
      </c>
      <c r="U788" s="23">
        <f>IF($C788&gt;0,INDEX(Merge_1_2!$P$2:$P$611,$C788),INDEX(Dataset3_Raw!$P$2:$P$391,$E788))</f>
        <v>9</v>
      </c>
      <c r="V788" s="23" t="str">
        <f t="shared" si="73"/>
        <v>Weekend</v>
      </c>
      <c r="W788" s="23" t="str">
        <f>VLOOKUP($M788,Lookups!$A$5:$B$8,2,FALSE())</f>
        <v>Light snow / Light rain</v>
      </c>
      <c r="X788" s="23" t="str">
        <f>VLOOKUP($G788,Lookups!$D$5:$E$8,2,FALSE())</f>
        <v>Winter</v>
      </c>
      <c r="Y788" s="23" t="str">
        <f>VLOOKUP($L788,Lookups!$G$5:$H$11,2,FALSE())</f>
        <v>Saturday</v>
      </c>
      <c r="Z788" s="23" t="str">
        <f>IF($J788&lt;Lookups!$B$26,"Night",IF($J788&lt;Lookups!$B$27,"Morning",IF($J788&lt;Lookups!$B$28,"Afternoon","Evening")))</f>
        <v>Night</v>
      </c>
      <c r="AA788" s="26">
        <f>ROUND($N788*(Lookups!$B$16-Lookups!$B$15)+Lookups!$B$15,1)</f>
        <v>1.4</v>
      </c>
      <c r="AB788" s="26">
        <f>ROUND($P788*(Lookups!$B$18-Lookups!$B$17)+Lookups!$B$17,1)</f>
        <v>-1</v>
      </c>
      <c r="AC788" s="23">
        <f t="shared" si="74"/>
        <v>100</v>
      </c>
      <c r="AD788" s="23">
        <f>ROUND($R788*Lookups!$B$19,1)</f>
        <v>6</v>
      </c>
      <c r="AE788" s="27">
        <f t="shared" si="75"/>
        <v>1</v>
      </c>
      <c r="AF788" s="23" t="str">
        <f>IF($U788&gt;=Lookups!$B$23,"High",IF($U788&gt;=Lookups!$B$22,"Medium","Low"))</f>
        <v>Low</v>
      </c>
      <c r="AG788" s="23">
        <f>ROUND(IF($V788="Weekday",IF(INDEX(Hourly_Analysis!$D$5:$D$28,$J788+1)&gt;0,($U788-INDEX(Hourly_Analysis!$C$5:$C$28,$J788+1))/INDEX(Hourly_Analysis!$D$5:$D$28,$J788+1),0),IF(INDEX(Hourly_Analysis!$G$5:$G$28,$J788+1)&gt;0,($U788-INDEX(Hourly_Analysis!$F$5:$F$28,$J788+1))/INDEX(Hourly_Analysis!$G$5:$G$28,$J788+1),0)),2)</f>
        <v>2.58</v>
      </c>
      <c r="AH788" s="23" t="str">
        <f>IF(ABS($AG788)&gt;Lookups!$B$20,IF($AG788&gt;0,"High anomaly","Low anomaly"),"")</f>
        <v/>
      </c>
      <c r="AI788" s="23" t="str">
        <f t="shared" si="76"/>
        <v>OK</v>
      </c>
      <c r="AJ788" s="23" t="str">
        <f t="shared" si="77"/>
        <v>No</v>
      </c>
    </row>
    <row r="789" spans="1:36" x14ac:dyDescent="0.35">
      <c r="A789" s="23">
        <v>788</v>
      </c>
      <c r="B789" s="23" t="str">
        <f t="shared" si="72"/>
        <v>Dataset 3</v>
      </c>
      <c r="C789" s="23">
        <f>IFERROR(MATCH($A789,Merge_1_2!$A$2:$A$611,0),0)</f>
        <v>0</v>
      </c>
      <c r="D789" s="23">
        <f>IF($C789&gt;0,INDEX(Merge_1_2!$Q$2:$Q$611,$C789),0)</f>
        <v>0</v>
      </c>
      <c r="E789" s="23">
        <f>IFERROR(MATCH($A789,Dataset3_Raw!$A$2:$A$391,0),0)</f>
        <v>178</v>
      </c>
      <c r="F789" s="24">
        <f>IF($C789&gt;0,INDEX(Merge_1_2!$B$2:$B$611,$C789),DATE(VALUE(RIGHT(INDEX(Dataset3_Raw!$B$2:$B$391,$E789),4)),VALUE(MID(INDEX(Dataset3_Raw!$B$2:$B$391,$E789),4,2)),VALUE(LEFT(INDEX(Dataset3_Raw!$B$2:$B$391,$E789),2))))</f>
        <v>40579</v>
      </c>
      <c r="G789" s="23">
        <f>IF($C789&gt;0,INDEX(Merge_1_2!$C$2:$C$611,$C789),INDEX(Dataset3_Raw!$C$2:$C$391,$E789))</f>
        <v>1</v>
      </c>
      <c r="H789" s="23">
        <f>IF($C789&gt;0,INDEX(Merge_1_2!$D$2:$D$611,$C789),INDEX(Dataset3_Raw!$D$2:$D$391,$E789))</f>
        <v>0</v>
      </c>
      <c r="I789" s="23">
        <f>IF($C789&gt;0,INDEX(Merge_1_2!$E$2:$E$611,$C789),INDEX(Dataset3_Raw!$E$2:$E$391,$E789))</f>
        <v>2</v>
      </c>
      <c r="J789" s="23">
        <f>IF($C789&gt;0,INDEX(Merge_1_2!$F$2:$F$611,$C789),INDEX(Dataset3_Raw!$F$2:$F$391,$E789))</f>
        <v>6</v>
      </c>
      <c r="K789" s="23" t="b">
        <f>IF($C789&gt;0,INDEX(Merge_1_2!$G$2:$G$611,$C789),INDEX(Dataset3_Raw!$G$2:$G$391,$E789))</f>
        <v>0</v>
      </c>
      <c r="L789" s="23">
        <f>IF($C789&gt;0,INDEX(Merge_1_2!$H$2:$H$611,$C789),INDEX(Dataset3_Raw!$H$2:$H$391,$E789))</f>
        <v>6</v>
      </c>
      <c r="M789" s="23">
        <f>IF($C789&gt;0,INDEX(Merge_1_2!$I$2:$I$611,$C789),INDEX(Dataset3_Raw!$I$2:$I$391,$E789))</f>
        <v>3</v>
      </c>
      <c r="N789" s="25">
        <f>IF($C789&gt;0,INDEX(Merge_1_2!$J$2:$J$611,$C789),INDEX(Dataset3_Raw!$J$2:$J$391,$E789))</f>
        <v>0.2</v>
      </c>
      <c r="O789" s="25">
        <f>IF($C789&gt;0,IF(ISNUMBER(INDEX(Merge_1_2!$K$2:$K$611,$C789)),INDEX(Merge_1_2!$K$2:$K$611,$C789),""),INDEX(Dataset3_Raw!$K$2:$K$391,$E789))</f>
        <v>0.2576</v>
      </c>
      <c r="P789" s="25">
        <f>IF(ISNUMBER($O789),$O789,ROUND(Lookups!$B$25+Lookups!$B$24*$N789,4))</f>
        <v>0.2576</v>
      </c>
      <c r="Q789" s="25">
        <f>IF($C789&gt;0,INDEX(Merge_1_2!$L$2:$L$611,$C789),INDEX(Dataset3_Raw!$L$2:$L$391,$E789))</f>
        <v>1</v>
      </c>
      <c r="R789" s="25">
        <f>IF($C789&gt;0,INDEX(Merge_1_2!$M$2:$M$611,$C789),INDEX(Dataset3_Raw!$M$2:$M$391,$E789))</f>
        <v>0</v>
      </c>
      <c r="S789" s="23">
        <f>IF($C789&gt;0,INDEX(Merge_1_2!$N$2:$N$611,$C789),INDEX(Dataset3_Raw!$N$2:$N$391,$E789))</f>
        <v>0</v>
      </c>
      <c r="T789" s="23">
        <f>IF($C789&gt;0,INDEX(Merge_1_2!$O$2:$O$611,$C789),INDEX(Dataset3_Raw!$O$2:$O$391,$E789))</f>
        <v>4</v>
      </c>
      <c r="U789" s="23">
        <f>IF($C789&gt;0,INDEX(Merge_1_2!$P$2:$P$611,$C789),INDEX(Dataset3_Raw!$P$2:$P$391,$E789))</f>
        <v>4</v>
      </c>
      <c r="V789" s="23" t="str">
        <f t="shared" si="73"/>
        <v>Weekend</v>
      </c>
      <c r="W789" s="23" t="str">
        <f>VLOOKUP($M789,Lookups!$A$5:$B$8,2,FALSE())</f>
        <v>Light snow / Light rain</v>
      </c>
      <c r="X789" s="23" t="str">
        <f>VLOOKUP($G789,Lookups!$D$5:$E$8,2,FALSE())</f>
        <v>Winter</v>
      </c>
      <c r="Y789" s="23" t="str">
        <f>VLOOKUP($L789,Lookups!$G$5:$H$11,2,FALSE())</f>
        <v>Saturday</v>
      </c>
      <c r="Z789" s="23" t="str">
        <f>IF($J789&lt;Lookups!$B$26,"Night",IF($J789&lt;Lookups!$B$27,"Morning",IF($J789&lt;Lookups!$B$28,"Afternoon","Evening")))</f>
        <v>Morning</v>
      </c>
      <c r="AA789" s="26">
        <f>ROUND($N789*(Lookups!$B$16-Lookups!$B$15)+Lookups!$B$15,1)</f>
        <v>1.4</v>
      </c>
      <c r="AB789" s="26">
        <f>ROUND($P789*(Lookups!$B$18-Lookups!$B$17)+Lookups!$B$17,1)</f>
        <v>1</v>
      </c>
      <c r="AC789" s="23">
        <f t="shared" si="74"/>
        <v>100</v>
      </c>
      <c r="AD789" s="23">
        <f>ROUND($R789*Lookups!$B$19,1)</f>
        <v>0</v>
      </c>
      <c r="AE789" s="27">
        <f t="shared" si="75"/>
        <v>1</v>
      </c>
      <c r="AF789" s="23" t="str">
        <f>IF($U789&gt;=Lookups!$B$23,"High",IF($U789&gt;=Lookups!$B$22,"Medium","Low"))</f>
        <v>Low</v>
      </c>
      <c r="AG789" s="23">
        <f>ROUND(IF($V789="Weekday",IF(INDEX(Hourly_Analysis!$D$5:$D$28,$J789+1)&gt;0,($U789-INDEX(Hourly_Analysis!$C$5:$C$28,$J789+1))/INDEX(Hourly_Analysis!$D$5:$D$28,$J789+1),0),IF(INDEX(Hourly_Analysis!$G$5:$G$28,$J789+1)&gt;0,($U789-INDEX(Hourly_Analysis!$F$5:$F$28,$J789+1))/INDEX(Hourly_Analysis!$G$5:$G$28,$J789+1),0)),2)</f>
        <v>1.18</v>
      </c>
      <c r="AH789" s="23" t="str">
        <f>IF(ABS($AG789)&gt;Lookups!$B$20,IF($AG789&gt;0,"High anomaly","Low anomaly"),"")</f>
        <v/>
      </c>
      <c r="AI789" s="23" t="str">
        <f t="shared" si="76"/>
        <v>OK</v>
      </c>
      <c r="AJ789" s="23" t="str">
        <f t="shared" si="77"/>
        <v>No</v>
      </c>
    </row>
    <row r="790" spans="1:36" x14ac:dyDescent="0.35">
      <c r="A790" s="23">
        <v>789</v>
      </c>
      <c r="B790" s="23" t="str">
        <f t="shared" si="72"/>
        <v>Dataset 3</v>
      </c>
      <c r="C790" s="23">
        <f>IFERROR(MATCH($A790,Merge_1_2!$A$2:$A$611,0),0)</f>
        <v>0</v>
      </c>
      <c r="D790" s="23">
        <f>IF($C790&gt;0,INDEX(Merge_1_2!$Q$2:$Q$611,$C790),0)</f>
        <v>0</v>
      </c>
      <c r="E790" s="23">
        <f>IFERROR(MATCH($A790,Dataset3_Raw!$A$2:$A$391,0),0)</f>
        <v>179</v>
      </c>
      <c r="F790" s="24">
        <f>IF($C790&gt;0,INDEX(Merge_1_2!$B$2:$B$611,$C790),DATE(VALUE(RIGHT(INDEX(Dataset3_Raw!$B$2:$B$391,$E790),4)),VALUE(MID(INDEX(Dataset3_Raw!$B$2:$B$391,$E790),4,2)),VALUE(LEFT(INDEX(Dataset3_Raw!$B$2:$B$391,$E790),2))))</f>
        <v>40579</v>
      </c>
      <c r="G790" s="23">
        <f>IF($C790&gt;0,INDEX(Merge_1_2!$C$2:$C$611,$C790),INDEX(Dataset3_Raw!$C$2:$C$391,$E790))</f>
        <v>1</v>
      </c>
      <c r="H790" s="23">
        <f>IF($C790&gt;0,INDEX(Merge_1_2!$D$2:$D$611,$C790),INDEX(Dataset3_Raw!$D$2:$D$391,$E790))</f>
        <v>0</v>
      </c>
      <c r="I790" s="23">
        <f>IF($C790&gt;0,INDEX(Merge_1_2!$E$2:$E$611,$C790),INDEX(Dataset3_Raw!$E$2:$E$391,$E790))</f>
        <v>2</v>
      </c>
      <c r="J790" s="23">
        <f>IF($C790&gt;0,INDEX(Merge_1_2!$F$2:$F$611,$C790),INDEX(Dataset3_Raw!$F$2:$F$391,$E790))</f>
        <v>7</v>
      </c>
      <c r="K790" s="23" t="b">
        <f>IF($C790&gt;0,INDEX(Merge_1_2!$G$2:$G$611,$C790),INDEX(Dataset3_Raw!$G$2:$G$391,$E790))</f>
        <v>0</v>
      </c>
      <c r="L790" s="23">
        <f>IF($C790&gt;0,INDEX(Merge_1_2!$H$2:$H$611,$C790),INDEX(Dataset3_Raw!$H$2:$H$391,$E790))</f>
        <v>6</v>
      </c>
      <c r="M790" s="23">
        <f>IF($C790&gt;0,INDEX(Merge_1_2!$I$2:$I$611,$C790),INDEX(Dataset3_Raw!$I$2:$I$391,$E790))</f>
        <v>3</v>
      </c>
      <c r="N790" s="25">
        <f>IF($C790&gt;0,INDEX(Merge_1_2!$J$2:$J$611,$C790),INDEX(Dataset3_Raw!$J$2:$J$391,$E790))</f>
        <v>0.22</v>
      </c>
      <c r="O790" s="25">
        <f>IF($C790&gt;0,IF(ISNUMBER(INDEX(Merge_1_2!$K$2:$K$611,$C790)),INDEX(Merge_1_2!$K$2:$K$611,$C790),""),INDEX(Dataset3_Raw!$K$2:$K$391,$E790))</f>
        <v>0.2576</v>
      </c>
      <c r="P790" s="25">
        <f>IF(ISNUMBER($O790),$O790,ROUND(Lookups!$B$25+Lookups!$B$24*$N790,4))</f>
        <v>0.2576</v>
      </c>
      <c r="Q790" s="25">
        <f>IF($C790&gt;0,INDEX(Merge_1_2!$L$2:$L$611,$C790),INDEX(Dataset3_Raw!$L$2:$L$391,$E790))</f>
        <v>0.93</v>
      </c>
      <c r="R790" s="25">
        <f>IF($C790&gt;0,INDEX(Merge_1_2!$M$2:$M$611,$C790),INDEX(Dataset3_Raw!$M$2:$M$391,$E790))</f>
        <v>8.9599999999999999E-2</v>
      </c>
      <c r="S790" s="23">
        <f>IF($C790&gt;0,INDEX(Merge_1_2!$N$2:$N$611,$C790),INDEX(Dataset3_Raw!$N$2:$N$391,$E790))</f>
        <v>0</v>
      </c>
      <c r="T790" s="23">
        <f>IF($C790&gt;0,INDEX(Merge_1_2!$O$2:$O$611,$C790),INDEX(Dataset3_Raw!$O$2:$O$391,$E790))</f>
        <v>4</v>
      </c>
      <c r="U790" s="23">
        <f>IF($C790&gt;0,INDEX(Merge_1_2!$P$2:$P$611,$C790),INDEX(Dataset3_Raw!$P$2:$P$391,$E790))</f>
        <v>4</v>
      </c>
      <c r="V790" s="23" t="str">
        <f t="shared" si="73"/>
        <v>Weekend</v>
      </c>
      <c r="W790" s="23" t="str">
        <f>VLOOKUP($M790,Lookups!$A$5:$B$8,2,FALSE())</f>
        <v>Light snow / Light rain</v>
      </c>
      <c r="X790" s="23" t="str">
        <f>VLOOKUP($G790,Lookups!$D$5:$E$8,2,FALSE())</f>
        <v>Winter</v>
      </c>
      <c r="Y790" s="23" t="str">
        <f>VLOOKUP($L790,Lookups!$G$5:$H$11,2,FALSE())</f>
        <v>Saturday</v>
      </c>
      <c r="Z790" s="23" t="str">
        <f>IF($J790&lt;Lookups!$B$26,"Night",IF($J790&lt;Lookups!$B$27,"Morning",IF($J790&lt;Lookups!$B$28,"Afternoon","Evening")))</f>
        <v>Morning</v>
      </c>
      <c r="AA790" s="26">
        <f>ROUND($N790*(Lookups!$B$16-Lookups!$B$15)+Lookups!$B$15,1)</f>
        <v>2.2999999999999998</v>
      </c>
      <c r="AB790" s="26">
        <f>ROUND($P790*(Lookups!$B$18-Lookups!$B$17)+Lookups!$B$17,1)</f>
        <v>1</v>
      </c>
      <c r="AC790" s="23">
        <f t="shared" si="74"/>
        <v>93</v>
      </c>
      <c r="AD790" s="23">
        <f>ROUND($R790*Lookups!$B$19,1)</f>
        <v>6</v>
      </c>
      <c r="AE790" s="27">
        <f t="shared" si="75"/>
        <v>1</v>
      </c>
      <c r="AF790" s="23" t="str">
        <f>IF($U790&gt;=Lookups!$B$23,"High",IF($U790&gt;=Lookups!$B$22,"Medium","Low"))</f>
        <v>Low</v>
      </c>
      <c r="AG790" s="23">
        <f>ROUND(IF($V790="Weekday",IF(INDEX(Hourly_Analysis!$D$5:$D$28,$J790+1)&gt;0,($U790-INDEX(Hourly_Analysis!$C$5:$C$28,$J790+1))/INDEX(Hourly_Analysis!$D$5:$D$28,$J790+1),0),IF(INDEX(Hourly_Analysis!$G$5:$G$28,$J790+1)&gt;0,($U790-INDEX(Hourly_Analysis!$F$5:$F$28,$J790+1))/INDEX(Hourly_Analysis!$G$5:$G$28,$J790+1),0)),2)</f>
        <v>-0.53</v>
      </c>
      <c r="AH790" s="23" t="str">
        <f>IF(ABS($AG790)&gt;Lookups!$B$20,IF($AG790&gt;0,"High anomaly","Low anomaly"),"")</f>
        <v/>
      </c>
      <c r="AI790" s="23" t="str">
        <f t="shared" si="76"/>
        <v>OK</v>
      </c>
      <c r="AJ790" s="23" t="str">
        <f t="shared" si="77"/>
        <v>No</v>
      </c>
    </row>
    <row r="791" spans="1:36" x14ac:dyDescent="0.35">
      <c r="A791" s="23">
        <v>790</v>
      </c>
      <c r="B791" s="23" t="str">
        <f t="shared" si="72"/>
        <v>Dataset 3</v>
      </c>
      <c r="C791" s="23">
        <f>IFERROR(MATCH($A791,Merge_1_2!$A$2:$A$611,0),0)</f>
        <v>0</v>
      </c>
      <c r="D791" s="23">
        <f>IF($C791&gt;0,INDEX(Merge_1_2!$Q$2:$Q$611,$C791),0)</f>
        <v>0</v>
      </c>
      <c r="E791" s="23">
        <f>IFERROR(MATCH($A791,Dataset3_Raw!$A$2:$A$391,0),0)</f>
        <v>180</v>
      </c>
      <c r="F791" s="24">
        <f>IF($C791&gt;0,INDEX(Merge_1_2!$B$2:$B$611,$C791),DATE(VALUE(RIGHT(INDEX(Dataset3_Raw!$B$2:$B$391,$E791),4)),VALUE(MID(INDEX(Dataset3_Raw!$B$2:$B$391,$E791),4,2)),VALUE(LEFT(INDEX(Dataset3_Raw!$B$2:$B$391,$E791),2))))</f>
        <v>40579</v>
      </c>
      <c r="G791" s="23">
        <f>IF($C791&gt;0,INDEX(Merge_1_2!$C$2:$C$611,$C791),INDEX(Dataset3_Raw!$C$2:$C$391,$E791))</f>
        <v>1</v>
      </c>
      <c r="H791" s="23">
        <f>IF($C791&gt;0,INDEX(Merge_1_2!$D$2:$D$611,$C791),INDEX(Dataset3_Raw!$D$2:$D$391,$E791))</f>
        <v>0</v>
      </c>
      <c r="I791" s="23">
        <f>IF($C791&gt;0,INDEX(Merge_1_2!$E$2:$E$611,$C791),INDEX(Dataset3_Raw!$E$2:$E$391,$E791))</f>
        <v>2</v>
      </c>
      <c r="J791" s="23">
        <f>IF($C791&gt;0,INDEX(Merge_1_2!$F$2:$F$611,$C791),INDEX(Dataset3_Raw!$F$2:$F$391,$E791))</f>
        <v>8</v>
      </c>
      <c r="K791" s="23" t="b">
        <f>IF($C791&gt;0,INDEX(Merge_1_2!$G$2:$G$611,$C791),INDEX(Dataset3_Raw!$G$2:$G$391,$E791))</f>
        <v>0</v>
      </c>
      <c r="L791" s="23">
        <f>IF($C791&gt;0,INDEX(Merge_1_2!$H$2:$H$611,$C791),INDEX(Dataset3_Raw!$H$2:$H$391,$E791))</f>
        <v>6</v>
      </c>
      <c r="M791" s="23">
        <f>IF($C791&gt;0,INDEX(Merge_1_2!$I$2:$I$611,$C791),INDEX(Dataset3_Raw!$I$2:$I$391,$E791))</f>
        <v>3</v>
      </c>
      <c r="N791" s="25">
        <f>IF($C791&gt;0,INDEX(Merge_1_2!$J$2:$J$611,$C791),INDEX(Dataset3_Raw!$J$2:$J$391,$E791))</f>
        <v>0.2</v>
      </c>
      <c r="O791" s="25">
        <f>IF($C791&gt;0,IF(ISNUMBER(INDEX(Merge_1_2!$K$2:$K$611,$C791)),INDEX(Merge_1_2!$K$2:$K$611,$C791),""),INDEX(Dataset3_Raw!$K$2:$K$391,$E791))</f>
        <v>0.2273</v>
      </c>
      <c r="P791" s="25">
        <f>IF(ISNUMBER($O791),$O791,ROUND(Lookups!$B$25+Lookups!$B$24*$N791,4))</f>
        <v>0.2273</v>
      </c>
      <c r="Q791" s="25">
        <f>IF($C791&gt;0,INDEX(Merge_1_2!$L$2:$L$611,$C791),INDEX(Dataset3_Raw!$L$2:$L$391,$E791))</f>
        <v>1</v>
      </c>
      <c r="R791" s="25">
        <f>IF($C791&gt;0,INDEX(Merge_1_2!$M$2:$M$611,$C791),INDEX(Dataset3_Raw!$M$2:$M$391,$E791))</f>
        <v>8.9599999999999999E-2</v>
      </c>
      <c r="S791" s="23">
        <f>IF($C791&gt;0,INDEX(Merge_1_2!$N$2:$N$611,$C791),INDEX(Dataset3_Raw!$N$2:$N$391,$E791))</f>
        <v>0</v>
      </c>
      <c r="T791" s="23">
        <f>IF($C791&gt;0,INDEX(Merge_1_2!$O$2:$O$611,$C791),INDEX(Dataset3_Raw!$O$2:$O$391,$E791))</f>
        <v>10</v>
      </c>
      <c r="U791" s="23">
        <f>IF($C791&gt;0,INDEX(Merge_1_2!$P$2:$P$611,$C791),INDEX(Dataset3_Raw!$P$2:$P$391,$E791))</f>
        <v>10</v>
      </c>
      <c r="V791" s="23" t="str">
        <f t="shared" si="73"/>
        <v>Weekend</v>
      </c>
      <c r="W791" s="23" t="str">
        <f>VLOOKUP($M791,Lookups!$A$5:$B$8,2,FALSE())</f>
        <v>Light snow / Light rain</v>
      </c>
      <c r="X791" s="23" t="str">
        <f>VLOOKUP($G791,Lookups!$D$5:$E$8,2,FALSE())</f>
        <v>Winter</v>
      </c>
      <c r="Y791" s="23" t="str">
        <f>VLOOKUP($L791,Lookups!$G$5:$H$11,2,FALSE())</f>
        <v>Saturday</v>
      </c>
      <c r="Z791" s="23" t="str">
        <f>IF($J791&lt;Lookups!$B$26,"Night",IF($J791&lt;Lookups!$B$27,"Morning",IF($J791&lt;Lookups!$B$28,"Afternoon","Evening")))</f>
        <v>Morning</v>
      </c>
      <c r="AA791" s="26">
        <f>ROUND($N791*(Lookups!$B$16-Lookups!$B$15)+Lookups!$B$15,1)</f>
        <v>1.4</v>
      </c>
      <c r="AB791" s="26">
        <f>ROUND($P791*(Lookups!$B$18-Lookups!$B$17)+Lookups!$B$17,1)</f>
        <v>-1</v>
      </c>
      <c r="AC791" s="23">
        <f t="shared" si="74"/>
        <v>100</v>
      </c>
      <c r="AD791" s="23">
        <f>ROUND($R791*Lookups!$B$19,1)</f>
        <v>6</v>
      </c>
      <c r="AE791" s="27">
        <f t="shared" si="75"/>
        <v>1</v>
      </c>
      <c r="AF791" s="23" t="str">
        <f>IF($U791&gt;=Lookups!$B$23,"High",IF($U791&gt;=Lookups!$B$22,"Medium","Low"))</f>
        <v>Low</v>
      </c>
      <c r="AG791" s="23">
        <f>ROUND(IF($V791="Weekday",IF(INDEX(Hourly_Analysis!$D$5:$D$28,$J791+1)&gt;0,($U791-INDEX(Hourly_Analysis!$C$5:$C$28,$J791+1))/INDEX(Hourly_Analysis!$D$5:$D$28,$J791+1),0),IF(INDEX(Hourly_Analysis!$G$5:$G$28,$J791+1)&gt;0,($U791-INDEX(Hourly_Analysis!$F$5:$F$28,$J791+1))/INDEX(Hourly_Analysis!$G$5:$G$28,$J791+1),0)),2)</f>
        <v>-0.97</v>
      </c>
      <c r="AH791" s="23" t="str">
        <f>IF(ABS($AG791)&gt;Lookups!$B$20,IF($AG791&gt;0,"High anomaly","Low anomaly"),"")</f>
        <v/>
      </c>
      <c r="AI791" s="23" t="str">
        <f t="shared" si="76"/>
        <v>OK</v>
      </c>
      <c r="AJ791" s="23" t="str">
        <f t="shared" si="77"/>
        <v>No</v>
      </c>
    </row>
    <row r="792" spans="1:36" x14ac:dyDescent="0.35">
      <c r="A792" s="23">
        <v>791</v>
      </c>
      <c r="B792" s="23" t="str">
        <f t="shared" si="72"/>
        <v>Dataset 3</v>
      </c>
      <c r="C792" s="23">
        <f>IFERROR(MATCH($A792,Merge_1_2!$A$2:$A$611,0),0)</f>
        <v>0</v>
      </c>
      <c r="D792" s="23">
        <f>IF($C792&gt;0,INDEX(Merge_1_2!$Q$2:$Q$611,$C792),0)</f>
        <v>0</v>
      </c>
      <c r="E792" s="23">
        <f>IFERROR(MATCH($A792,Dataset3_Raw!$A$2:$A$391,0),0)</f>
        <v>181</v>
      </c>
      <c r="F792" s="24">
        <f>IF($C792&gt;0,INDEX(Merge_1_2!$B$2:$B$611,$C792),DATE(VALUE(RIGHT(INDEX(Dataset3_Raw!$B$2:$B$391,$E792),4)),VALUE(MID(INDEX(Dataset3_Raw!$B$2:$B$391,$E792),4,2)),VALUE(LEFT(INDEX(Dataset3_Raw!$B$2:$B$391,$E792),2))))</f>
        <v>40579</v>
      </c>
      <c r="G792" s="23">
        <f>IF($C792&gt;0,INDEX(Merge_1_2!$C$2:$C$611,$C792),INDEX(Dataset3_Raw!$C$2:$C$391,$E792))</f>
        <v>1</v>
      </c>
      <c r="H792" s="23">
        <f>IF($C792&gt;0,INDEX(Merge_1_2!$D$2:$D$611,$C792),INDEX(Dataset3_Raw!$D$2:$D$391,$E792))</f>
        <v>0</v>
      </c>
      <c r="I792" s="23">
        <f>IF($C792&gt;0,INDEX(Merge_1_2!$E$2:$E$611,$C792),INDEX(Dataset3_Raw!$E$2:$E$391,$E792))</f>
        <v>2</v>
      </c>
      <c r="J792" s="23">
        <f>IF($C792&gt;0,INDEX(Merge_1_2!$F$2:$F$611,$C792),INDEX(Dataset3_Raw!$F$2:$F$391,$E792))</f>
        <v>9</v>
      </c>
      <c r="K792" s="23" t="b">
        <f>IF($C792&gt;0,INDEX(Merge_1_2!$G$2:$G$611,$C792),INDEX(Dataset3_Raw!$G$2:$G$391,$E792))</f>
        <v>0</v>
      </c>
      <c r="L792" s="23">
        <f>IF($C792&gt;0,INDEX(Merge_1_2!$H$2:$H$611,$C792),INDEX(Dataset3_Raw!$H$2:$H$391,$E792))</f>
        <v>6</v>
      </c>
      <c r="M792" s="23">
        <f>IF($C792&gt;0,INDEX(Merge_1_2!$I$2:$I$611,$C792),INDEX(Dataset3_Raw!$I$2:$I$391,$E792))</f>
        <v>3</v>
      </c>
      <c r="N792" s="25">
        <f>IF($C792&gt;0,INDEX(Merge_1_2!$J$2:$J$611,$C792),INDEX(Dataset3_Raw!$J$2:$J$391,$E792))</f>
        <v>0.2</v>
      </c>
      <c r="O792" s="25">
        <f>IF($C792&gt;0,IF(ISNUMBER(INDEX(Merge_1_2!$K$2:$K$611,$C792)),INDEX(Merge_1_2!$K$2:$K$611,$C792),""),INDEX(Dataset3_Raw!$K$2:$K$391,$E792))</f>
        <v>0.2273</v>
      </c>
      <c r="P792" s="25">
        <f>IF(ISNUMBER($O792),$O792,ROUND(Lookups!$B$25+Lookups!$B$24*$N792,4))</f>
        <v>0.2273</v>
      </c>
      <c r="Q792" s="25">
        <f>IF($C792&gt;0,INDEX(Merge_1_2!$L$2:$L$611,$C792),INDEX(Dataset3_Raw!$L$2:$L$391,$E792))</f>
        <v>1</v>
      </c>
      <c r="R792" s="25">
        <f>IF($C792&gt;0,INDEX(Merge_1_2!$M$2:$M$611,$C792),INDEX(Dataset3_Raw!$M$2:$M$391,$E792))</f>
        <v>8.9599999999999999E-2</v>
      </c>
      <c r="S792" s="23">
        <f>IF($C792&gt;0,INDEX(Merge_1_2!$N$2:$N$611,$C792),INDEX(Dataset3_Raw!$N$2:$N$391,$E792))</f>
        <v>3</v>
      </c>
      <c r="T792" s="23">
        <f>IF($C792&gt;0,INDEX(Merge_1_2!$O$2:$O$611,$C792),INDEX(Dataset3_Raw!$O$2:$O$391,$E792))</f>
        <v>17</v>
      </c>
      <c r="U792" s="23">
        <f>IF($C792&gt;0,INDEX(Merge_1_2!$P$2:$P$611,$C792),INDEX(Dataset3_Raw!$P$2:$P$391,$E792))</f>
        <v>20</v>
      </c>
      <c r="V792" s="23" t="str">
        <f t="shared" si="73"/>
        <v>Weekend</v>
      </c>
      <c r="W792" s="23" t="str">
        <f>VLOOKUP($M792,Lookups!$A$5:$B$8,2,FALSE())</f>
        <v>Light snow / Light rain</v>
      </c>
      <c r="X792" s="23" t="str">
        <f>VLOOKUP($G792,Lookups!$D$5:$E$8,2,FALSE())</f>
        <v>Winter</v>
      </c>
      <c r="Y792" s="23" t="str">
        <f>VLOOKUP($L792,Lookups!$G$5:$H$11,2,FALSE())</f>
        <v>Saturday</v>
      </c>
      <c r="Z792" s="23" t="str">
        <f>IF($J792&lt;Lookups!$B$26,"Night",IF($J792&lt;Lookups!$B$27,"Morning",IF($J792&lt;Lookups!$B$28,"Afternoon","Evening")))</f>
        <v>Morning</v>
      </c>
      <c r="AA792" s="26">
        <f>ROUND($N792*(Lookups!$B$16-Lookups!$B$15)+Lookups!$B$15,1)</f>
        <v>1.4</v>
      </c>
      <c r="AB792" s="26">
        <f>ROUND($P792*(Lookups!$B$18-Lookups!$B$17)+Lookups!$B$17,1)</f>
        <v>-1</v>
      </c>
      <c r="AC792" s="23">
        <f t="shared" si="74"/>
        <v>100</v>
      </c>
      <c r="AD792" s="23">
        <f>ROUND($R792*Lookups!$B$19,1)</f>
        <v>6</v>
      </c>
      <c r="AE792" s="27">
        <f t="shared" si="75"/>
        <v>0.85</v>
      </c>
      <c r="AF792" s="23" t="str">
        <f>IF($U792&gt;=Lookups!$B$23,"High",IF($U792&gt;=Lookups!$B$22,"Medium","Low"))</f>
        <v>Medium</v>
      </c>
      <c r="AG792" s="23">
        <f>ROUND(IF($V792="Weekday",IF(INDEX(Hourly_Analysis!$D$5:$D$28,$J792+1)&gt;0,($U792-INDEX(Hourly_Analysis!$C$5:$C$28,$J792+1))/INDEX(Hourly_Analysis!$D$5:$D$28,$J792+1),0),IF(INDEX(Hourly_Analysis!$G$5:$G$28,$J792+1)&gt;0,($U792-INDEX(Hourly_Analysis!$F$5:$F$28,$J792+1))/INDEX(Hourly_Analysis!$G$5:$G$28,$J792+1),0)),2)</f>
        <v>-1.06</v>
      </c>
      <c r="AH792" s="23" t="str">
        <f>IF(ABS($AG792)&gt;Lookups!$B$20,IF($AG792&gt;0,"High anomaly","Low anomaly"),"")</f>
        <v/>
      </c>
      <c r="AI792" s="23" t="str">
        <f t="shared" si="76"/>
        <v>OK</v>
      </c>
      <c r="AJ792" s="23" t="str">
        <f t="shared" si="77"/>
        <v>No</v>
      </c>
    </row>
    <row r="793" spans="1:36" x14ac:dyDescent="0.35">
      <c r="A793" s="23">
        <v>792</v>
      </c>
      <c r="B793" s="23" t="str">
        <f t="shared" si="72"/>
        <v>Dataset 3</v>
      </c>
      <c r="C793" s="23">
        <f>IFERROR(MATCH($A793,Merge_1_2!$A$2:$A$611,0),0)</f>
        <v>0</v>
      </c>
      <c r="D793" s="23">
        <f>IF($C793&gt;0,INDEX(Merge_1_2!$Q$2:$Q$611,$C793),0)</f>
        <v>0</v>
      </c>
      <c r="E793" s="23">
        <f>IFERROR(MATCH($A793,Dataset3_Raw!$A$2:$A$391,0),0)</f>
        <v>182</v>
      </c>
      <c r="F793" s="24">
        <f>IF($C793&gt;0,INDEX(Merge_1_2!$B$2:$B$611,$C793),DATE(VALUE(RIGHT(INDEX(Dataset3_Raw!$B$2:$B$391,$E793),4)),VALUE(MID(INDEX(Dataset3_Raw!$B$2:$B$391,$E793),4,2)),VALUE(LEFT(INDEX(Dataset3_Raw!$B$2:$B$391,$E793),2))))</f>
        <v>40579</v>
      </c>
      <c r="G793" s="23">
        <f>IF($C793&gt;0,INDEX(Merge_1_2!$C$2:$C$611,$C793),INDEX(Dataset3_Raw!$C$2:$C$391,$E793))</f>
        <v>1</v>
      </c>
      <c r="H793" s="23">
        <f>IF($C793&gt;0,INDEX(Merge_1_2!$D$2:$D$611,$C793),INDEX(Dataset3_Raw!$D$2:$D$391,$E793))</f>
        <v>0</v>
      </c>
      <c r="I793" s="23">
        <f>IF($C793&gt;0,INDEX(Merge_1_2!$E$2:$E$611,$C793),INDEX(Dataset3_Raw!$E$2:$E$391,$E793))</f>
        <v>2</v>
      </c>
      <c r="J793" s="23">
        <f>IF($C793&gt;0,INDEX(Merge_1_2!$F$2:$F$611,$C793),INDEX(Dataset3_Raw!$F$2:$F$391,$E793))</f>
        <v>10</v>
      </c>
      <c r="K793" s="23" t="b">
        <f>IF($C793&gt;0,INDEX(Merge_1_2!$G$2:$G$611,$C793),INDEX(Dataset3_Raw!$G$2:$G$391,$E793))</f>
        <v>0</v>
      </c>
      <c r="L793" s="23">
        <f>IF($C793&gt;0,INDEX(Merge_1_2!$H$2:$H$611,$C793),INDEX(Dataset3_Raw!$H$2:$H$391,$E793))</f>
        <v>6</v>
      </c>
      <c r="M793" s="23">
        <f>IF($C793&gt;0,INDEX(Merge_1_2!$I$2:$I$611,$C793),INDEX(Dataset3_Raw!$I$2:$I$391,$E793))</f>
        <v>3</v>
      </c>
      <c r="N793" s="25">
        <f>IF($C793&gt;0,INDEX(Merge_1_2!$J$2:$J$611,$C793),INDEX(Dataset3_Raw!$J$2:$J$391,$E793))</f>
        <v>0.2</v>
      </c>
      <c r="O793" s="25">
        <f>IF($C793&gt;0,IF(ISNUMBER(INDEX(Merge_1_2!$K$2:$K$611,$C793)),INDEX(Merge_1_2!$K$2:$K$611,$C793),""),INDEX(Dataset3_Raw!$K$2:$K$391,$E793))</f>
        <v>0.21210000000000001</v>
      </c>
      <c r="P793" s="25">
        <f>IF(ISNUMBER($O793),$O793,ROUND(Lookups!$B$25+Lookups!$B$24*$N793,4))</f>
        <v>0.21210000000000001</v>
      </c>
      <c r="Q793" s="25">
        <f>IF($C793&gt;0,INDEX(Merge_1_2!$L$2:$L$611,$C793),INDEX(Dataset3_Raw!$L$2:$L$391,$E793))</f>
        <v>1</v>
      </c>
      <c r="R793" s="25">
        <f>IF($C793&gt;0,INDEX(Merge_1_2!$M$2:$M$611,$C793),INDEX(Dataset3_Raw!$M$2:$M$391,$E793))</f>
        <v>0.1343</v>
      </c>
      <c r="S793" s="23">
        <f>IF($C793&gt;0,INDEX(Merge_1_2!$N$2:$N$611,$C793),INDEX(Dataset3_Raw!$N$2:$N$391,$E793))</f>
        <v>3</v>
      </c>
      <c r="T793" s="23">
        <f>IF($C793&gt;0,INDEX(Merge_1_2!$O$2:$O$611,$C793),INDEX(Dataset3_Raw!$O$2:$O$391,$E793))</f>
        <v>31</v>
      </c>
      <c r="U793" s="23">
        <f>IF($C793&gt;0,INDEX(Merge_1_2!$P$2:$P$611,$C793),INDEX(Dataset3_Raw!$P$2:$P$391,$E793))</f>
        <v>34</v>
      </c>
      <c r="V793" s="23" t="str">
        <f t="shared" si="73"/>
        <v>Weekend</v>
      </c>
      <c r="W793" s="23" t="str">
        <f>VLOOKUP($M793,Lookups!$A$5:$B$8,2,FALSE())</f>
        <v>Light snow / Light rain</v>
      </c>
      <c r="X793" s="23" t="str">
        <f>VLOOKUP($G793,Lookups!$D$5:$E$8,2,FALSE())</f>
        <v>Winter</v>
      </c>
      <c r="Y793" s="23" t="str">
        <f>VLOOKUP($L793,Lookups!$G$5:$H$11,2,FALSE())</f>
        <v>Saturday</v>
      </c>
      <c r="Z793" s="23" t="str">
        <f>IF($J793&lt;Lookups!$B$26,"Night",IF($J793&lt;Lookups!$B$27,"Morning",IF($J793&lt;Lookups!$B$28,"Afternoon","Evening")))</f>
        <v>Morning</v>
      </c>
      <c r="AA793" s="26">
        <f>ROUND($N793*(Lookups!$B$16-Lookups!$B$15)+Lookups!$B$15,1)</f>
        <v>1.4</v>
      </c>
      <c r="AB793" s="26">
        <f>ROUND($P793*(Lookups!$B$18-Lookups!$B$17)+Lookups!$B$17,1)</f>
        <v>-2</v>
      </c>
      <c r="AC793" s="23">
        <f t="shared" si="74"/>
        <v>100</v>
      </c>
      <c r="AD793" s="23">
        <f>ROUND($R793*Lookups!$B$19,1)</f>
        <v>9</v>
      </c>
      <c r="AE793" s="27">
        <f t="shared" si="75"/>
        <v>0.91176470588235292</v>
      </c>
      <c r="AF793" s="23" t="str">
        <f>IF($U793&gt;=Lookups!$B$23,"High",IF($U793&gt;=Lookups!$B$22,"Medium","Low"))</f>
        <v>Medium</v>
      </c>
      <c r="AG793" s="23">
        <f>ROUND(IF($V793="Weekday",IF(INDEX(Hourly_Analysis!$D$5:$D$28,$J793+1)&gt;0,($U793-INDEX(Hourly_Analysis!$C$5:$C$28,$J793+1))/INDEX(Hourly_Analysis!$D$5:$D$28,$J793+1),0),IF(INDEX(Hourly_Analysis!$G$5:$G$28,$J793+1)&gt;0,($U793-INDEX(Hourly_Analysis!$F$5:$F$28,$J793+1))/INDEX(Hourly_Analysis!$G$5:$G$28,$J793+1),0)),2)</f>
        <v>-1.47</v>
      </c>
      <c r="AH793" s="23" t="str">
        <f>IF(ABS($AG793)&gt;Lookups!$B$20,IF($AG793&gt;0,"High anomaly","Low anomaly"),"")</f>
        <v/>
      </c>
      <c r="AI793" s="23" t="str">
        <f t="shared" si="76"/>
        <v>OK</v>
      </c>
      <c r="AJ793" s="23" t="str">
        <f t="shared" si="77"/>
        <v>No</v>
      </c>
    </row>
    <row r="794" spans="1:36" x14ac:dyDescent="0.35">
      <c r="A794" s="23">
        <v>793</v>
      </c>
      <c r="B794" s="23" t="str">
        <f t="shared" si="72"/>
        <v>Dataset 3</v>
      </c>
      <c r="C794" s="23">
        <f>IFERROR(MATCH($A794,Merge_1_2!$A$2:$A$611,0),0)</f>
        <v>0</v>
      </c>
      <c r="D794" s="23">
        <f>IF($C794&gt;0,INDEX(Merge_1_2!$Q$2:$Q$611,$C794),0)</f>
        <v>0</v>
      </c>
      <c r="E794" s="23">
        <f>IFERROR(MATCH($A794,Dataset3_Raw!$A$2:$A$391,0),0)</f>
        <v>183</v>
      </c>
      <c r="F794" s="24">
        <f>IF($C794&gt;0,INDEX(Merge_1_2!$B$2:$B$611,$C794),DATE(VALUE(RIGHT(INDEX(Dataset3_Raw!$B$2:$B$391,$E794),4)),VALUE(MID(INDEX(Dataset3_Raw!$B$2:$B$391,$E794),4,2)),VALUE(LEFT(INDEX(Dataset3_Raw!$B$2:$B$391,$E794),2))))</f>
        <v>40579</v>
      </c>
      <c r="G794" s="23">
        <f>IF($C794&gt;0,INDEX(Merge_1_2!$C$2:$C$611,$C794),INDEX(Dataset3_Raw!$C$2:$C$391,$E794))</f>
        <v>1</v>
      </c>
      <c r="H794" s="23">
        <f>IF($C794&gt;0,INDEX(Merge_1_2!$D$2:$D$611,$C794),INDEX(Dataset3_Raw!$D$2:$D$391,$E794))</f>
        <v>0</v>
      </c>
      <c r="I794" s="23">
        <f>IF($C794&gt;0,INDEX(Merge_1_2!$E$2:$E$611,$C794),INDEX(Dataset3_Raw!$E$2:$E$391,$E794))</f>
        <v>2</v>
      </c>
      <c r="J794" s="23">
        <f>IF($C794&gt;0,INDEX(Merge_1_2!$F$2:$F$611,$C794),INDEX(Dataset3_Raw!$F$2:$F$391,$E794))</f>
        <v>11</v>
      </c>
      <c r="K794" s="23" t="b">
        <f>IF($C794&gt;0,INDEX(Merge_1_2!$G$2:$G$611,$C794),INDEX(Dataset3_Raw!$G$2:$G$391,$E794))</f>
        <v>0</v>
      </c>
      <c r="L794" s="23">
        <f>IF($C794&gt;0,INDEX(Merge_1_2!$H$2:$H$611,$C794),INDEX(Dataset3_Raw!$H$2:$H$391,$E794))</f>
        <v>6</v>
      </c>
      <c r="M794" s="23">
        <f>IF($C794&gt;0,INDEX(Merge_1_2!$I$2:$I$611,$C794),INDEX(Dataset3_Raw!$I$2:$I$391,$E794))</f>
        <v>3</v>
      </c>
      <c r="N794" s="25">
        <f>IF($C794&gt;0,INDEX(Merge_1_2!$J$2:$J$611,$C794),INDEX(Dataset3_Raw!$J$2:$J$391,$E794))</f>
        <v>0.22</v>
      </c>
      <c r="O794" s="25">
        <f>IF($C794&gt;0,IF(ISNUMBER(INDEX(Merge_1_2!$K$2:$K$611,$C794)),INDEX(Merge_1_2!$K$2:$K$611,$C794),""),INDEX(Dataset3_Raw!$K$2:$K$391,$E794))</f>
        <v>0.2273</v>
      </c>
      <c r="P794" s="25">
        <f>IF(ISNUMBER($O794),$O794,ROUND(Lookups!$B$25+Lookups!$B$24*$N794,4))</f>
        <v>0.2273</v>
      </c>
      <c r="Q794" s="25">
        <f>IF($C794&gt;0,INDEX(Merge_1_2!$L$2:$L$611,$C794),INDEX(Dataset3_Raw!$L$2:$L$391,$E794))</f>
        <v>1</v>
      </c>
      <c r="R794" s="25">
        <f>IF($C794&gt;0,INDEX(Merge_1_2!$M$2:$M$611,$C794),INDEX(Dataset3_Raw!$M$2:$M$391,$E794))</f>
        <v>0.1343</v>
      </c>
      <c r="S794" s="23">
        <f>IF($C794&gt;0,INDEX(Merge_1_2!$N$2:$N$611,$C794),INDEX(Dataset3_Raw!$N$2:$N$391,$E794))</f>
        <v>1</v>
      </c>
      <c r="T794" s="23">
        <f>IF($C794&gt;0,INDEX(Merge_1_2!$O$2:$O$611,$C794),INDEX(Dataset3_Raw!$O$2:$O$391,$E794))</f>
        <v>46</v>
      </c>
      <c r="U794" s="23">
        <f>IF($C794&gt;0,INDEX(Merge_1_2!$P$2:$P$611,$C794),INDEX(Dataset3_Raw!$P$2:$P$391,$E794))</f>
        <v>47</v>
      </c>
      <c r="V794" s="23" t="str">
        <f t="shared" si="73"/>
        <v>Weekend</v>
      </c>
      <c r="W794" s="23" t="str">
        <f>VLOOKUP($M794,Lookups!$A$5:$B$8,2,FALSE())</f>
        <v>Light snow / Light rain</v>
      </c>
      <c r="X794" s="23" t="str">
        <f>VLOOKUP($G794,Lookups!$D$5:$E$8,2,FALSE())</f>
        <v>Winter</v>
      </c>
      <c r="Y794" s="23" t="str">
        <f>VLOOKUP($L794,Lookups!$G$5:$H$11,2,FALSE())</f>
        <v>Saturday</v>
      </c>
      <c r="Z794" s="23" t="str">
        <f>IF($J794&lt;Lookups!$B$26,"Night",IF($J794&lt;Lookups!$B$27,"Morning",IF($J794&lt;Lookups!$B$28,"Afternoon","Evening")))</f>
        <v>Morning</v>
      </c>
      <c r="AA794" s="26">
        <f>ROUND($N794*(Lookups!$B$16-Lookups!$B$15)+Lookups!$B$15,1)</f>
        <v>2.2999999999999998</v>
      </c>
      <c r="AB794" s="26">
        <f>ROUND($P794*(Lookups!$B$18-Lookups!$B$17)+Lookups!$B$17,1)</f>
        <v>-1</v>
      </c>
      <c r="AC794" s="23">
        <f t="shared" si="74"/>
        <v>100</v>
      </c>
      <c r="AD794" s="23">
        <f>ROUND($R794*Lookups!$B$19,1)</f>
        <v>9</v>
      </c>
      <c r="AE794" s="27">
        <f t="shared" si="75"/>
        <v>0.97872340425531912</v>
      </c>
      <c r="AF794" s="23" t="str">
        <f>IF($U794&gt;=Lookups!$B$23,"High",IF($U794&gt;=Lookups!$B$22,"Medium","Low"))</f>
        <v>Medium</v>
      </c>
      <c r="AG794" s="23">
        <f>ROUND(IF($V794="Weekday",IF(INDEX(Hourly_Analysis!$D$5:$D$28,$J794+1)&gt;0,($U794-INDEX(Hourly_Analysis!$C$5:$C$28,$J794+1))/INDEX(Hourly_Analysis!$D$5:$D$28,$J794+1),0),IF(INDEX(Hourly_Analysis!$G$5:$G$28,$J794+1)&gt;0,($U794-INDEX(Hourly_Analysis!$F$5:$F$28,$J794+1))/INDEX(Hourly_Analysis!$G$5:$G$28,$J794+1),0)),2)</f>
        <v>-1.2</v>
      </c>
      <c r="AH794" s="23" t="str">
        <f>IF(ABS($AG794)&gt;Lookups!$B$20,IF($AG794&gt;0,"High anomaly","Low anomaly"),"")</f>
        <v/>
      </c>
      <c r="AI794" s="23" t="str">
        <f t="shared" si="76"/>
        <v>OK</v>
      </c>
      <c r="AJ794" s="23" t="str">
        <f t="shared" si="77"/>
        <v>No</v>
      </c>
    </row>
    <row r="795" spans="1:36" x14ac:dyDescent="0.35">
      <c r="A795" s="23">
        <v>794</v>
      </c>
      <c r="B795" s="23" t="str">
        <f t="shared" si="72"/>
        <v>Dataset 3</v>
      </c>
      <c r="C795" s="23">
        <f>IFERROR(MATCH($A795,Merge_1_2!$A$2:$A$611,0),0)</f>
        <v>0</v>
      </c>
      <c r="D795" s="23">
        <f>IF($C795&gt;0,INDEX(Merge_1_2!$Q$2:$Q$611,$C795),0)</f>
        <v>0</v>
      </c>
      <c r="E795" s="23">
        <f>IFERROR(MATCH($A795,Dataset3_Raw!$A$2:$A$391,0),0)</f>
        <v>184</v>
      </c>
      <c r="F795" s="24">
        <f>IF($C795&gt;0,INDEX(Merge_1_2!$B$2:$B$611,$C795),DATE(VALUE(RIGHT(INDEX(Dataset3_Raw!$B$2:$B$391,$E795),4)),VALUE(MID(INDEX(Dataset3_Raw!$B$2:$B$391,$E795),4,2)),VALUE(LEFT(INDEX(Dataset3_Raw!$B$2:$B$391,$E795),2))))</f>
        <v>40579</v>
      </c>
      <c r="G795" s="23">
        <f>IF($C795&gt;0,INDEX(Merge_1_2!$C$2:$C$611,$C795),INDEX(Dataset3_Raw!$C$2:$C$391,$E795))</f>
        <v>1</v>
      </c>
      <c r="H795" s="23">
        <f>IF($C795&gt;0,INDEX(Merge_1_2!$D$2:$D$611,$C795),INDEX(Dataset3_Raw!$D$2:$D$391,$E795))</f>
        <v>0</v>
      </c>
      <c r="I795" s="23">
        <f>IF($C795&gt;0,INDEX(Merge_1_2!$E$2:$E$611,$C795),INDEX(Dataset3_Raw!$E$2:$E$391,$E795))</f>
        <v>2</v>
      </c>
      <c r="J795" s="23">
        <f>IF($C795&gt;0,INDEX(Merge_1_2!$F$2:$F$611,$C795),INDEX(Dataset3_Raw!$F$2:$F$391,$E795))</f>
        <v>12</v>
      </c>
      <c r="K795" s="23" t="b">
        <f>IF($C795&gt;0,INDEX(Merge_1_2!$G$2:$G$611,$C795),INDEX(Dataset3_Raw!$G$2:$G$391,$E795))</f>
        <v>0</v>
      </c>
      <c r="L795" s="23">
        <f>IF($C795&gt;0,INDEX(Merge_1_2!$H$2:$H$611,$C795),INDEX(Dataset3_Raw!$H$2:$H$391,$E795))</f>
        <v>6</v>
      </c>
      <c r="M795" s="23">
        <f>IF($C795&gt;0,INDEX(Merge_1_2!$I$2:$I$611,$C795),INDEX(Dataset3_Raw!$I$2:$I$391,$E795))</f>
        <v>3</v>
      </c>
      <c r="N795" s="25">
        <f>IF($C795&gt;0,INDEX(Merge_1_2!$J$2:$J$611,$C795),INDEX(Dataset3_Raw!$J$2:$J$391,$E795))</f>
        <v>0.22</v>
      </c>
      <c r="O795" s="25">
        <f>IF($C795&gt;0,IF(ISNUMBER(INDEX(Merge_1_2!$K$2:$K$611,$C795)),INDEX(Merge_1_2!$K$2:$K$611,$C795),""),INDEX(Dataset3_Raw!$K$2:$K$391,$E795))</f>
        <v>0.2273</v>
      </c>
      <c r="P795" s="25">
        <f>IF(ISNUMBER($O795),$O795,ROUND(Lookups!$B$25+Lookups!$B$24*$N795,4))</f>
        <v>0.2273</v>
      </c>
      <c r="Q795" s="25">
        <f>IF($C795&gt;0,INDEX(Merge_1_2!$L$2:$L$611,$C795),INDEX(Dataset3_Raw!$L$2:$L$391,$E795))</f>
        <v>1</v>
      </c>
      <c r="R795" s="25">
        <f>IF($C795&gt;0,INDEX(Merge_1_2!$M$2:$M$611,$C795),INDEX(Dataset3_Raw!$M$2:$M$391,$E795))</f>
        <v>0.16420000000000001</v>
      </c>
      <c r="S795" s="23">
        <f>IF($C795&gt;0,INDEX(Merge_1_2!$N$2:$N$611,$C795),INDEX(Dataset3_Raw!$N$2:$N$391,$E795))</f>
        <v>10</v>
      </c>
      <c r="T795" s="23">
        <f>IF($C795&gt;0,INDEX(Merge_1_2!$O$2:$O$611,$C795),INDEX(Dataset3_Raw!$O$2:$O$391,$E795))</f>
        <v>42</v>
      </c>
      <c r="U795" s="23">
        <f>IF($C795&gt;0,INDEX(Merge_1_2!$P$2:$P$611,$C795),INDEX(Dataset3_Raw!$P$2:$P$391,$E795))</f>
        <v>52</v>
      </c>
      <c r="V795" s="23" t="str">
        <f t="shared" si="73"/>
        <v>Weekend</v>
      </c>
      <c r="W795" s="23" t="str">
        <f>VLOOKUP($M795,Lookups!$A$5:$B$8,2,FALSE())</f>
        <v>Light snow / Light rain</v>
      </c>
      <c r="X795" s="23" t="str">
        <f>VLOOKUP($G795,Lookups!$D$5:$E$8,2,FALSE())</f>
        <v>Winter</v>
      </c>
      <c r="Y795" s="23" t="str">
        <f>VLOOKUP($L795,Lookups!$G$5:$H$11,2,FALSE())</f>
        <v>Saturday</v>
      </c>
      <c r="Z795" s="23" t="str">
        <f>IF($J795&lt;Lookups!$B$26,"Night",IF($J795&lt;Lookups!$B$27,"Morning",IF($J795&lt;Lookups!$B$28,"Afternoon","Evening")))</f>
        <v>Afternoon</v>
      </c>
      <c r="AA795" s="26">
        <f>ROUND($N795*(Lookups!$B$16-Lookups!$B$15)+Lookups!$B$15,1)</f>
        <v>2.2999999999999998</v>
      </c>
      <c r="AB795" s="26">
        <f>ROUND($P795*(Lookups!$B$18-Lookups!$B$17)+Lookups!$B$17,1)</f>
        <v>-1</v>
      </c>
      <c r="AC795" s="23">
        <f t="shared" si="74"/>
        <v>100</v>
      </c>
      <c r="AD795" s="23">
        <f>ROUND($R795*Lookups!$B$19,1)</f>
        <v>11</v>
      </c>
      <c r="AE795" s="27">
        <f t="shared" si="75"/>
        <v>0.80769230769230771</v>
      </c>
      <c r="AF795" s="23" t="str">
        <f>IF($U795&gt;=Lookups!$B$23,"High",IF($U795&gt;=Lookups!$B$22,"Medium","Low"))</f>
        <v>Medium</v>
      </c>
      <c r="AG795" s="23">
        <f>ROUND(IF($V795="Weekday",IF(INDEX(Hourly_Analysis!$D$5:$D$28,$J795+1)&gt;0,($U795-INDEX(Hourly_Analysis!$C$5:$C$28,$J795+1))/INDEX(Hourly_Analysis!$D$5:$D$28,$J795+1),0),IF(INDEX(Hourly_Analysis!$G$5:$G$28,$J795+1)&gt;0,($U795-INDEX(Hourly_Analysis!$F$5:$F$28,$J795+1))/INDEX(Hourly_Analysis!$G$5:$G$28,$J795+1),0)),2)</f>
        <v>-1.52</v>
      </c>
      <c r="AH795" s="23" t="str">
        <f>IF(ABS($AG795)&gt;Lookups!$B$20,IF($AG795&gt;0,"High anomaly","Low anomaly"),"")</f>
        <v/>
      </c>
      <c r="AI795" s="23" t="str">
        <f t="shared" si="76"/>
        <v>OK</v>
      </c>
      <c r="AJ795" s="23" t="str">
        <f t="shared" si="77"/>
        <v>No</v>
      </c>
    </row>
    <row r="796" spans="1:36" x14ac:dyDescent="0.35">
      <c r="A796" s="23">
        <v>795</v>
      </c>
      <c r="B796" s="23" t="str">
        <f t="shared" si="72"/>
        <v>Dataset 3</v>
      </c>
      <c r="C796" s="23">
        <f>IFERROR(MATCH($A796,Merge_1_2!$A$2:$A$611,0),0)</f>
        <v>0</v>
      </c>
      <c r="D796" s="23">
        <f>IF($C796&gt;0,INDEX(Merge_1_2!$Q$2:$Q$611,$C796),0)</f>
        <v>0</v>
      </c>
      <c r="E796" s="23">
        <f>IFERROR(MATCH($A796,Dataset3_Raw!$A$2:$A$391,0),0)</f>
        <v>185</v>
      </c>
      <c r="F796" s="24">
        <f>IF($C796&gt;0,INDEX(Merge_1_2!$B$2:$B$611,$C796),DATE(VALUE(RIGHT(INDEX(Dataset3_Raw!$B$2:$B$391,$E796),4)),VALUE(MID(INDEX(Dataset3_Raw!$B$2:$B$391,$E796),4,2)),VALUE(LEFT(INDEX(Dataset3_Raw!$B$2:$B$391,$E796),2))))</f>
        <v>40579</v>
      </c>
      <c r="G796" s="23">
        <f>IF($C796&gt;0,INDEX(Merge_1_2!$C$2:$C$611,$C796),INDEX(Dataset3_Raw!$C$2:$C$391,$E796))</f>
        <v>1</v>
      </c>
      <c r="H796" s="23">
        <f>IF($C796&gt;0,INDEX(Merge_1_2!$D$2:$D$611,$C796),INDEX(Dataset3_Raw!$D$2:$D$391,$E796))</f>
        <v>0</v>
      </c>
      <c r="I796" s="23">
        <f>IF($C796&gt;0,INDEX(Merge_1_2!$E$2:$E$611,$C796),INDEX(Dataset3_Raw!$E$2:$E$391,$E796))</f>
        <v>2</v>
      </c>
      <c r="J796" s="23">
        <f>IF($C796&gt;0,INDEX(Merge_1_2!$F$2:$F$611,$C796),INDEX(Dataset3_Raw!$F$2:$F$391,$E796))</f>
        <v>13</v>
      </c>
      <c r="K796" s="23" t="b">
        <f>IF($C796&gt;0,INDEX(Merge_1_2!$G$2:$G$611,$C796),INDEX(Dataset3_Raw!$G$2:$G$391,$E796))</f>
        <v>0</v>
      </c>
      <c r="L796" s="23">
        <f>IF($C796&gt;0,INDEX(Merge_1_2!$H$2:$H$611,$C796),INDEX(Dataset3_Raw!$H$2:$H$391,$E796))</f>
        <v>6</v>
      </c>
      <c r="M796" s="23">
        <f>IF($C796&gt;0,INDEX(Merge_1_2!$I$2:$I$611,$C796),INDEX(Dataset3_Raw!$I$2:$I$391,$E796))</f>
        <v>3</v>
      </c>
      <c r="N796" s="25">
        <f>IF($C796&gt;0,INDEX(Merge_1_2!$J$2:$J$611,$C796),INDEX(Dataset3_Raw!$J$2:$J$391,$E796))</f>
        <v>0.22</v>
      </c>
      <c r="O796" s="25">
        <f>IF($C796&gt;0,IF(ISNUMBER(INDEX(Merge_1_2!$K$2:$K$611,$C796)),INDEX(Merge_1_2!$K$2:$K$611,$C796),""),INDEX(Dataset3_Raw!$K$2:$K$391,$E796))</f>
        <v>0.2273</v>
      </c>
      <c r="P796" s="25">
        <f>IF(ISNUMBER($O796),$O796,ROUND(Lookups!$B$25+Lookups!$B$24*$N796,4))</f>
        <v>0.2273</v>
      </c>
      <c r="Q796" s="25">
        <f>IF($C796&gt;0,INDEX(Merge_1_2!$L$2:$L$611,$C796),INDEX(Dataset3_Raw!$L$2:$L$391,$E796))</f>
        <v>1</v>
      </c>
      <c r="R796" s="25">
        <f>IF($C796&gt;0,INDEX(Merge_1_2!$M$2:$M$611,$C796),INDEX(Dataset3_Raw!$M$2:$M$391,$E796))</f>
        <v>0.16420000000000001</v>
      </c>
      <c r="S796" s="23">
        <f>IF($C796&gt;0,INDEX(Merge_1_2!$N$2:$N$611,$C796),INDEX(Dataset3_Raw!$N$2:$N$391,$E796))</f>
        <v>10</v>
      </c>
      <c r="T796" s="23">
        <f>IF($C796&gt;0,INDEX(Merge_1_2!$O$2:$O$611,$C796),INDEX(Dataset3_Raw!$O$2:$O$391,$E796))</f>
        <v>62</v>
      </c>
      <c r="U796" s="23">
        <f>IF($C796&gt;0,INDEX(Merge_1_2!$P$2:$P$611,$C796),INDEX(Dataset3_Raw!$P$2:$P$391,$E796))</f>
        <v>72</v>
      </c>
      <c r="V796" s="23" t="str">
        <f t="shared" si="73"/>
        <v>Weekend</v>
      </c>
      <c r="W796" s="23" t="str">
        <f>VLOOKUP($M796,Lookups!$A$5:$B$8,2,FALSE())</f>
        <v>Light snow / Light rain</v>
      </c>
      <c r="X796" s="23" t="str">
        <f>VLOOKUP($G796,Lookups!$D$5:$E$8,2,FALSE())</f>
        <v>Winter</v>
      </c>
      <c r="Y796" s="23" t="str">
        <f>VLOOKUP($L796,Lookups!$G$5:$H$11,2,FALSE())</f>
        <v>Saturday</v>
      </c>
      <c r="Z796" s="23" t="str">
        <f>IF($J796&lt;Lookups!$B$26,"Night",IF($J796&lt;Lookups!$B$27,"Morning",IF($J796&lt;Lookups!$B$28,"Afternoon","Evening")))</f>
        <v>Afternoon</v>
      </c>
      <c r="AA796" s="26">
        <f>ROUND($N796*(Lookups!$B$16-Lookups!$B$15)+Lookups!$B$15,1)</f>
        <v>2.2999999999999998</v>
      </c>
      <c r="AB796" s="26">
        <f>ROUND($P796*(Lookups!$B$18-Lookups!$B$17)+Lookups!$B$17,1)</f>
        <v>-1</v>
      </c>
      <c r="AC796" s="23">
        <f t="shared" si="74"/>
        <v>100</v>
      </c>
      <c r="AD796" s="23">
        <f>ROUND($R796*Lookups!$B$19,1)</f>
        <v>11</v>
      </c>
      <c r="AE796" s="27">
        <f t="shared" si="75"/>
        <v>0.86111111111111116</v>
      </c>
      <c r="AF796" s="23" t="str">
        <f>IF($U796&gt;=Lookups!$B$23,"High",IF($U796&gt;=Lookups!$B$22,"Medium","Low"))</f>
        <v>Medium</v>
      </c>
      <c r="AG796" s="23">
        <f>ROUND(IF($V796="Weekday",IF(INDEX(Hourly_Analysis!$D$5:$D$28,$J796+1)&gt;0,($U796-INDEX(Hourly_Analysis!$C$5:$C$28,$J796+1))/INDEX(Hourly_Analysis!$D$5:$D$28,$J796+1),0),IF(INDEX(Hourly_Analysis!$G$5:$G$28,$J796+1)&gt;0,($U796-INDEX(Hourly_Analysis!$F$5:$F$28,$J796+1))/INDEX(Hourly_Analysis!$G$5:$G$28,$J796+1),0)),2)</f>
        <v>-0.89</v>
      </c>
      <c r="AH796" s="23" t="str">
        <f>IF(ABS($AG796)&gt;Lookups!$B$20,IF($AG796&gt;0,"High anomaly","Low anomaly"),"")</f>
        <v/>
      </c>
      <c r="AI796" s="23" t="str">
        <f t="shared" si="76"/>
        <v>OK</v>
      </c>
      <c r="AJ796" s="23" t="str">
        <f t="shared" si="77"/>
        <v>No</v>
      </c>
    </row>
    <row r="797" spans="1:36" x14ac:dyDescent="0.35">
      <c r="A797" s="23">
        <v>796</v>
      </c>
      <c r="B797" s="23" t="str">
        <f t="shared" si="72"/>
        <v>Dataset 3</v>
      </c>
      <c r="C797" s="23">
        <f>IFERROR(MATCH($A797,Merge_1_2!$A$2:$A$611,0),0)</f>
        <v>0</v>
      </c>
      <c r="D797" s="23">
        <f>IF($C797&gt;0,INDEX(Merge_1_2!$Q$2:$Q$611,$C797),0)</f>
        <v>0</v>
      </c>
      <c r="E797" s="23">
        <f>IFERROR(MATCH($A797,Dataset3_Raw!$A$2:$A$391,0),0)</f>
        <v>186</v>
      </c>
      <c r="F797" s="24">
        <f>IF($C797&gt;0,INDEX(Merge_1_2!$B$2:$B$611,$C797),DATE(VALUE(RIGHT(INDEX(Dataset3_Raw!$B$2:$B$391,$E797),4)),VALUE(MID(INDEX(Dataset3_Raw!$B$2:$B$391,$E797),4,2)),VALUE(LEFT(INDEX(Dataset3_Raw!$B$2:$B$391,$E797),2))))</f>
        <v>40579</v>
      </c>
      <c r="G797" s="23">
        <f>IF($C797&gt;0,INDEX(Merge_1_2!$C$2:$C$611,$C797),INDEX(Dataset3_Raw!$C$2:$C$391,$E797))</f>
        <v>1</v>
      </c>
      <c r="H797" s="23">
        <f>IF($C797&gt;0,INDEX(Merge_1_2!$D$2:$D$611,$C797),INDEX(Dataset3_Raw!$D$2:$D$391,$E797))</f>
        <v>0</v>
      </c>
      <c r="I797" s="23">
        <f>IF($C797&gt;0,INDEX(Merge_1_2!$E$2:$E$611,$C797),INDEX(Dataset3_Raw!$E$2:$E$391,$E797))</f>
        <v>2</v>
      </c>
      <c r="J797" s="23">
        <f>IF($C797&gt;0,INDEX(Merge_1_2!$F$2:$F$611,$C797),INDEX(Dataset3_Raw!$F$2:$F$391,$E797))</f>
        <v>14</v>
      </c>
      <c r="K797" s="23" t="b">
        <f>IF($C797&gt;0,INDEX(Merge_1_2!$G$2:$G$611,$C797),INDEX(Dataset3_Raw!$G$2:$G$391,$E797))</f>
        <v>0</v>
      </c>
      <c r="L797" s="23">
        <f>IF($C797&gt;0,INDEX(Merge_1_2!$H$2:$H$611,$C797),INDEX(Dataset3_Raw!$H$2:$H$391,$E797))</f>
        <v>6</v>
      </c>
      <c r="M797" s="23">
        <f>IF($C797&gt;0,INDEX(Merge_1_2!$I$2:$I$611,$C797),INDEX(Dataset3_Raw!$I$2:$I$391,$E797))</f>
        <v>3</v>
      </c>
      <c r="N797" s="25">
        <f>IF($C797&gt;0,INDEX(Merge_1_2!$J$2:$J$611,$C797),INDEX(Dataset3_Raw!$J$2:$J$391,$E797))</f>
        <v>0.22</v>
      </c>
      <c r="O797" s="25">
        <f>IF($C797&gt;0,IF(ISNUMBER(INDEX(Merge_1_2!$K$2:$K$611,$C797)),INDEX(Merge_1_2!$K$2:$K$611,$C797),""),INDEX(Dataset3_Raw!$K$2:$K$391,$E797))</f>
        <v>0.2727</v>
      </c>
      <c r="P797" s="25">
        <f>IF(ISNUMBER($O797),$O797,ROUND(Lookups!$B$25+Lookups!$B$24*$N797,4))</f>
        <v>0.2727</v>
      </c>
      <c r="Q797" s="25">
        <f>IF($C797&gt;0,INDEX(Merge_1_2!$L$2:$L$611,$C797),INDEX(Dataset3_Raw!$L$2:$L$391,$E797))</f>
        <v>1</v>
      </c>
      <c r="R797" s="25">
        <f>IF($C797&gt;0,INDEX(Merge_1_2!$M$2:$M$611,$C797),INDEX(Dataset3_Raw!$M$2:$M$391,$E797))</f>
        <v>0</v>
      </c>
      <c r="S797" s="23">
        <f>IF($C797&gt;0,INDEX(Merge_1_2!$N$2:$N$611,$C797),INDEX(Dataset3_Raw!$N$2:$N$391,$E797))</f>
        <v>5</v>
      </c>
      <c r="T797" s="23">
        <f>IF($C797&gt;0,INDEX(Merge_1_2!$O$2:$O$611,$C797),INDEX(Dataset3_Raw!$O$2:$O$391,$E797))</f>
        <v>50</v>
      </c>
      <c r="U797" s="23">
        <f>IF($C797&gt;0,INDEX(Merge_1_2!$P$2:$P$611,$C797),INDEX(Dataset3_Raw!$P$2:$P$391,$E797))</f>
        <v>55</v>
      </c>
      <c r="V797" s="23" t="str">
        <f t="shared" si="73"/>
        <v>Weekend</v>
      </c>
      <c r="W797" s="23" t="str">
        <f>VLOOKUP($M797,Lookups!$A$5:$B$8,2,FALSE())</f>
        <v>Light snow / Light rain</v>
      </c>
      <c r="X797" s="23" t="str">
        <f>VLOOKUP($G797,Lookups!$D$5:$E$8,2,FALSE())</f>
        <v>Winter</v>
      </c>
      <c r="Y797" s="23" t="str">
        <f>VLOOKUP($L797,Lookups!$G$5:$H$11,2,FALSE())</f>
        <v>Saturday</v>
      </c>
      <c r="Z797" s="23" t="str">
        <f>IF($J797&lt;Lookups!$B$26,"Night",IF($J797&lt;Lookups!$B$27,"Morning",IF($J797&lt;Lookups!$B$28,"Afternoon","Evening")))</f>
        <v>Afternoon</v>
      </c>
      <c r="AA797" s="26">
        <f>ROUND($N797*(Lookups!$B$16-Lookups!$B$15)+Lookups!$B$15,1)</f>
        <v>2.2999999999999998</v>
      </c>
      <c r="AB797" s="26">
        <f>ROUND($P797*(Lookups!$B$18-Lookups!$B$17)+Lookups!$B$17,1)</f>
        <v>2</v>
      </c>
      <c r="AC797" s="23">
        <f t="shared" si="74"/>
        <v>100</v>
      </c>
      <c r="AD797" s="23">
        <f>ROUND($R797*Lookups!$B$19,1)</f>
        <v>0</v>
      </c>
      <c r="AE797" s="27">
        <f t="shared" si="75"/>
        <v>0.90909090909090906</v>
      </c>
      <c r="AF797" s="23" t="str">
        <f>IF($U797&gt;=Lookups!$B$23,"High",IF($U797&gt;=Lookups!$B$22,"Medium","Low"))</f>
        <v>Medium</v>
      </c>
      <c r="AG797" s="23">
        <f>ROUND(IF($V797="Weekday",IF(INDEX(Hourly_Analysis!$D$5:$D$28,$J797+1)&gt;0,($U797-INDEX(Hourly_Analysis!$C$5:$C$28,$J797+1))/INDEX(Hourly_Analysis!$D$5:$D$28,$J797+1),0),IF(INDEX(Hourly_Analysis!$G$5:$G$28,$J797+1)&gt;0,($U797-INDEX(Hourly_Analysis!$F$5:$F$28,$J797+1))/INDEX(Hourly_Analysis!$G$5:$G$28,$J797+1),0)),2)</f>
        <v>-1.48</v>
      </c>
      <c r="AH797" s="23" t="str">
        <f>IF(ABS($AG797)&gt;Lookups!$B$20,IF($AG797&gt;0,"High anomaly","Low anomaly"),"")</f>
        <v/>
      </c>
      <c r="AI797" s="23" t="str">
        <f t="shared" si="76"/>
        <v>OK</v>
      </c>
      <c r="AJ797" s="23" t="str">
        <f t="shared" si="77"/>
        <v>No</v>
      </c>
    </row>
    <row r="798" spans="1:36" x14ac:dyDescent="0.35">
      <c r="A798" s="23">
        <v>797</v>
      </c>
      <c r="B798" s="23" t="str">
        <f t="shared" si="72"/>
        <v>Dataset 3</v>
      </c>
      <c r="C798" s="23">
        <f>IFERROR(MATCH($A798,Merge_1_2!$A$2:$A$611,0),0)</f>
        <v>0</v>
      </c>
      <c r="D798" s="23">
        <f>IF($C798&gt;0,INDEX(Merge_1_2!$Q$2:$Q$611,$C798),0)</f>
        <v>0</v>
      </c>
      <c r="E798" s="23">
        <f>IFERROR(MATCH($A798,Dataset3_Raw!$A$2:$A$391,0),0)</f>
        <v>187</v>
      </c>
      <c r="F798" s="24">
        <f>IF($C798&gt;0,INDEX(Merge_1_2!$B$2:$B$611,$C798),DATE(VALUE(RIGHT(INDEX(Dataset3_Raw!$B$2:$B$391,$E798),4)),VALUE(MID(INDEX(Dataset3_Raw!$B$2:$B$391,$E798),4,2)),VALUE(LEFT(INDEX(Dataset3_Raw!$B$2:$B$391,$E798),2))))</f>
        <v>40579</v>
      </c>
      <c r="G798" s="23">
        <f>IF($C798&gt;0,INDEX(Merge_1_2!$C$2:$C$611,$C798),INDEX(Dataset3_Raw!$C$2:$C$391,$E798))</f>
        <v>1</v>
      </c>
      <c r="H798" s="23">
        <f>IF($C798&gt;0,INDEX(Merge_1_2!$D$2:$D$611,$C798),INDEX(Dataset3_Raw!$D$2:$D$391,$E798))</f>
        <v>0</v>
      </c>
      <c r="I798" s="23">
        <f>IF($C798&gt;0,INDEX(Merge_1_2!$E$2:$E$611,$C798),INDEX(Dataset3_Raw!$E$2:$E$391,$E798))</f>
        <v>2</v>
      </c>
      <c r="J798" s="23">
        <f>IF($C798&gt;0,INDEX(Merge_1_2!$F$2:$F$611,$C798),INDEX(Dataset3_Raw!$F$2:$F$391,$E798))</f>
        <v>15</v>
      </c>
      <c r="K798" s="23" t="b">
        <f>IF($C798&gt;0,INDEX(Merge_1_2!$G$2:$G$611,$C798),INDEX(Dataset3_Raw!$G$2:$G$391,$E798))</f>
        <v>0</v>
      </c>
      <c r="L798" s="23">
        <f>IF($C798&gt;0,INDEX(Merge_1_2!$H$2:$H$611,$C798),INDEX(Dataset3_Raw!$H$2:$H$391,$E798))</f>
        <v>6</v>
      </c>
      <c r="M798" s="23">
        <f>IF($C798&gt;0,INDEX(Merge_1_2!$I$2:$I$611,$C798),INDEX(Dataset3_Raw!$I$2:$I$391,$E798))</f>
        <v>3</v>
      </c>
      <c r="N798" s="25">
        <f>IF($C798&gt;0,INDEX(Merge_1_2!$J$2:$J$611,$C798),INDEX(Dataset3_Raw!$J$2:$J$391,$E798))</f>
        <v>0.22</v>
      </c>
      <c r="O798" s="25">
        <f>IF($C798&gt;0,IF(ISNUMBER(INDEX(Merge_1_2!$K$2:$K$611,$C798)),INDEX(Merge_1_2!$K$2:$K$611,$C798),""),INDEX(Dataset3_Raw!$K$2:$K$391,$E798))</f>
        <v>0.2727</v>
      </c>
      <c r="P798" s="25">
        <f>IF(ISNUMBER($O798),$O798,ROUND(Lookups!$B$25+Lookups!$B$24*$N798,4))</f>
        <v>0.2727</v>
      </c>
      <c r="Q798" s="25">
        <f>IF($C798&gt;0,INDEX(Merge_1_2!$L$2:$L$611,$C798),INDEX(Dataset3_Raw!$L$2:$L$391,$E798))</f>
        <v>1</v>
      </c>
      <c r="R798" s="25">
        <f>IF($C798&gt;0,INDEX(Merge_1_2!$M$2:$M$611,$C798),INDEX(Dataset3_Raw!$M$2:$M$391,$E798))</f>
        <v>0</v>
      </c>
      <c r="S798" s="23">
        <f>IF($C798&gt;0,INDEX(Merge_1_2!$N$2:$N$611,$C798),INDEX(Dataset3_Raw!$N$2:$N$391,$E798))</f>
        <v>11</v>
      </c>
      <c r="T798" s="23">
        <f>IF($C798&gt;0,INDEX(Merge_1_2!$O$2:$O$611,$C798),INDEX(Dataset3_Raw!$O$2:$O$391,$E798))</f>
        <v>49</v>
      </c>
      <c r="U798" s="23">
        <f>IF($C798&gt;0,INDEX(Merge_1_2!$P$2:$P$611,$C798),INDEX(Dataset3_Raw!$P$2:$P$391,$E798))</f>
        <v>60</v>
      </c>
      <c r="V798" s="23" t="str">
        <f t="shared" si="73"/>
        <v>Weekend</v>
      </c>
      <c r="W798" s="23" t="str">
        <f>VLOOKUP($M798,Lookups!$A$5:$B$8,2,FALSE())</f>
        <v>Light snow / Light rain</v>
      </c>
      <c r="X798" s="23" t="str">
        <f>VLOOKUP($G798,Lookups!$D$5:$E$8,2,FALSE())</f>
        <v>Winter</v>
      </c>
      <c r="Y798" s="23" t="str">
        <f>VLOOKUP($L798,Lookups!$G$5:$H$11,2,FALSE())</f>
        <v>Saturday</v>
      </c>
      <c r="Z798" s="23" t="str">
        <f>IF($J798&lt;Lookups!$B$26,"Night",IF($J798&lt;Lookups!$B$27,"Morning",IF($J798&lt;Lookups!$B$28,"Afternoon","Evening")))</f>
        <v>Afternoon</v>
      </c>
      <c r="AA798" s="26">
        <f>ROUND($N798*(Lookups!$B$16-Lookups!$B$15)+Lookups!$B$15,1)</f>
        <v>2.2999999999999998</v>
      </c>
      <c r="AB798" s="26">
        <f>ROUND($P798*(Lookups!$B$18-Lookups!$B$17)+Lookups!$B$17,1)</f>
        <v>2</v>
      </c>
      <c r="AC798" s="23">
        <f t="shared" si="74"/>
        <v>100</v>
      </c>
      <c r="AD798" s="23">
        <f>ROUND($R798*Lookups!$B$19,1)</f>
        <v>0</v>
      </c>
      <c r="AE798" s="27">
        <f t="shared" si="75"/>
        <v>0.81666666666666665</v>
      </c>
      <c r="AF798" s="23" t="str">
        <f>IF($U798&gt;=Lookups!$B$23,"High",IF($U798&gt;=Lookups!$B$22,"Medium","Low"))</f>
        <v>Medium</v>
      </c>
      <c r="AG798" s="23">
        <f>ROUND(IF($V798="Weekday",IF(INDEX(Hourly_Analysis!$D$5:$D$28,$J798+1)&gt;0,($U798-INDEX(Hourly_Analysis!$C$5:$C$28,$J798+1))/INDEX(Hourly_Analysis!$D$5:$D$28,$J798+1),0),IF(INDEX(Hourly_Analysis!$G$5:$G$28,$J798+1)&gt;0,($U798-INDEX(Hourly_Analysis!$F$5:$F$28,$J798+1))/INDEX(Hourly_Analysis!$G$5:$G$28,$J798+1),0)),2)</f>
        <v>-1.35</v>
      </c>
      <c r="AH798" s="23" t="str">
        <f>IF(ABS($AG798)&gt;Lookups!$B$20,IF($AG798&gt;0,"High anomaly","Low anomaly"),"")</f>
        <v/>
      </c>
      <c r="AI798" s="23" t="str">
        <f t="shared" si="76"/>
        <v>OK</v>
      </c>
      <c r="AJ798" s="23" t="str">
        <f t="shared" si="77"/>
        <v>No</v>
      </c>
    </row>
    <row r="799" spans="1:36" x14ac:dyDescent="0.35">
      <c r="A799" s="23">
        <v>798</v>
      </c>
      <c r="B799" s="23" t="str">
        <f t="shared" si="72"/>
        <v>Dataset 3</v>
      </c>
      <c r="C799" s="23">
        <f>IFERROR(MATCH($A799,Merge_1_2!$A$2:$A$611,0),0)</f>
        <v>0</v>
      </c>
      <c r="D799" s="23">
        <f>IF($C799&gt;0,INDEX(Merge_1_2!$Q$2:$Q$611,$C799),0)</f>
        <v>0</v>
      </c>
      <c r="E799" s="23">
        <f>IFERROR(MATCH($A799,Dataset3_Raw!$A$2:$A$391,0),0)</f>
        <v>188</v>
      </c>
      <c r="F799" s="24">
        <f>IF($C799&gt;0,INDEX(Merge_1_2!$B$2:$B$611,$C799),DATE(VALUE(RIGHT(INDEX(Dataset3_Raw!$B$2:$B$391,$E799),4)),VALUE(MID(INDEX(Dataset3_Raw!$B$2:$B$391,$E799),4,2)),VALUE(LEFT(INDEX(Dataset3_Raw!$B$2:$B$391,$E799),2))))</f>
        <v>40579</v>
      </c>
      <c r="G799" s="23">
        <f>IF($C799&gt;0,INDEX(Merge_1_2!$C$2:$C$611,$C799),INDEX(Dataset3_Raw!$C$2:$C$391,$E799))</f>
        <v>1</v>
      </c>
      <c r="H799" s="23">
        <f>IF($C799&gt;0,INDEX(Merge_1_2!$D$2:$D$611,$C799),INDEX(Dataset3_Raw!$D$2:$D$391,$E799))</f>
        <v>0</v>
      </c>
      <c r="I799" s="23">
        <f>IF($C799&gt;0,INDEX(Merge_1_2!$E$2:$E$611,$C799),INDEX(Dataset3_Raw!$E$2:$E$391,$E799))</f>
        <v>2</v>
      </c>
      <c r="J799" s="23">
        <f>IF($C799&gt;0,INDEX(Merge_1_2!$F$2:$F$611,$C799),INDEX(Dataset3_Raw!$F$2:$F$391,$E799))</f>
        <v>16</v>
      </c>
      <c r="K799" s="23" t="b">
        <f>IF($C799&gt;0,INDEX(Merge_1_2!$G$2:$G$611,$C799),INDEX(Dataset3_Raw!$G$2:$G$391,$E799))</f>
        <v>0</v>
      </c>
      <c r="L799" s="23">
        <f>IF($C799&gt;0,INDEX(Merge_1_2!$H$2:$H$611,$C799),INDEX(Dataset3_Raw!$H$2:$H$391,$E799))</f>
        <v>6</v>
      </c>
      <c r="M799" s="23">
        <f>IF($C799&gt;0,INDEX(Merge_1_2!$I$2:$I$611,$C799),INDEX(Dataset3_Raw!$I$2:$I$391,$E799))</f>
        <v>3</v>
      </c>
      <c r="N799" s="25">
        <f>IF($C799&gt;0,INDEX(Merge_1_2!$J$2:$J$611,$C799),INDEX(Dataset3_Raw!$J$2:$J$391,$E799))</f>
        <v>0.22</v>
      </c>
      <c r="O799" s="25">
        <f>IF($C799&gt;0,IF(ISNUMBER(INDEX(Merge_1_2!$K$2:$K$611,$C799)),INDEX(Merge_1_2!$K$2:$K$611,$C799),""),INDEX(Dataset3_Raw!$K$2:$K$391,$E799))</f>
        <v>0.2273</v>
      </c>
      <c r="P799" s="25">
        <f>IF(ISNUMBER($O799),$O799,ROUND(Lookups!$B$25+Lookups!$B$24*$N799,4))</f>
        <v>0.2273</v>
      </c>
      <c r="Q799" s="25">
        <f>IF($C799&gt;0,INDEX(Merge_1_2!$L$2:$L$611,$C799),INDEX(Dataset3_Raw!$L$2:$L$391,$E799))</f>
        <v>1</v>
      </c>
      <c r="R799" s="25">
        <f>IF($C799&gt;0,INDEX(Merge_1_2!$M$2:$M$611,$C799),INDEX(Dataset3_Raw!$M$2:$M$391,$E799))</f>
        <v>0.1343</v>
      </c>
      <c r="S799" s="23">
        <f>IF($C799&gt;0,INDEX(Merge_1_2!$N$2:$N$611,$C799),INDEX(Dataset3_Raw!$N$2:$N$391,$E799))</f>
        <v>8</v>
      </c>
      <c r="T799" s="23">
        <f>IF($C799&gt;0,INDEX(Merge_1_2!$O$2:$O$611,$C799),INDEX(Dataset3_Raw!$O$2:$O$391,$E799))</f>
        <v>63</v>
      </c>
      <c r="U799" s="23">
        <f>IF($C799&gt;0,INDEX(Merge_1_2!$P$2:$P$611,$C799),INDEX(Dataset3_Raw!$P$2:$P$391,$E799))</f>
        <v>71</v>
      </c>
      <c r="V799" s="23" t="str">
        <f t="shared" si="73"/>
        <v>Weekend</v>
      </c>
      <c r="W799" s="23" t="str">
        <f>VLOOKUP($M799,Lookups!$A$5:$B$8,2,FALSE())</f>
        <v>Light snow / Light rain</v>
      </c>
      <c r="X799" s="23" t="str">
        <f>VLOOKUP($G799,Lookups!$D$5:$E$8,2,FALSE())</f>
        <v>Winter</v>
      </c>
      <c r="Y799" s="23" t="str">
        <f>VLOOKUP($L799,Lookups!$G$5:$H$11,2,FALSE())</f>
        <v>Saturday</v>
      </c>
      <c r="Z799" s="23" t="str">
        <f>IF($J799&lt;Lookups!$B$26,"Night",IF($J799&lt;Lookups!$B$27,"Morning",IF($J799&lt;Lookups!$B$28,"Afternoon","Evening")))</f>
        <v>Afternoon</v>
      </c>
      <c r="AA799" s="26">
        <f>ROUND($N799*(Lookups!$B$16-Lookups!$B$15)+Lookups!$B$15,1)</f>
        <v>2.2999999999999998</v>
      </c>
      <c r="AB799" s="26">
        <f>ROUND($P799*(Lookups!$B$18-Lookups!$B$17)+Lookups!$B$17,1)</f>
        <v>-1</v>
      </c>
      <c r="AC799" s="23">
        <f t="shared" si="74"/>
        <v>100</v>
      </c>
      <c r="AD799" s="23">
        <f>ROUND($R799*Lookups!$B$19,1)</f>
        <v>9</v>
      </c>
      <c r="AE799" s="27">
        <f t="shared" si="75"/>
        <v>0.88732394366197187</v>
      </c>
      <c r="AF799" s="23" t="str">
        <f>IF($U799&gt;=Lookups!$B$23,"High",IF($U799&gt;=Lookups!$B$22,"Medium","Low"))</f>
        <v>Medium</v>
      </c>
      <c r="AG799" s="23">
        <f>ROUND(IF($V799="Weekday",IF(INDEX(Hourly_Analysis!$D$5:$D$28,$J799+1)&gt;0,($U799-INDEX(Hourly_Analysis!$C$5:$C$28,$J799+1))/INDEX(Hourly_Analysis!$D$5:$D$28,$J799+1),0),IF(INDEX(Hourly_Analysis!$G$5:$G$28,$J799+1)&gt;0,($U799-INDEX(Hourly_Analysis!$F$5:$F$28,$J799+1))/INDEX(Hourly_Analysis!$G$5:$G$28,$J799+1),0)),2)</f>
        <v>-1.08</v>
      </c>
      <c r="AH799" s="23" t="str">
        <f>IF(ABS($AG799)&gt;Lookups!$B$20,IF($AG799&gt;0,"High anomaly","Low anomaly"),"")</f>
        <v/>
      </c>
      <c r="AI799" s="23" t="str">
        <f t="shared" si="76"/>
        <v>OK</v>
      </c>
      <c r="AJ799" s="23" t="str">
        <f t="shared" si="77"/>
        <v>No</v>
      </c>
    </row>
    <row r="800" spans="1:36" x14ac:dyDescent="0.35">
      <c r="A800" s="23">
        <v>799</v>
      </c>
      <c r="B800" s="23" t="str">
        <f t="shared" si="72"/>
        <v>Dataset 3</v>
      </c>
      <c r="C800" s="23">
        <f>IFERROR(MATCH($A800,Merge_1_2!$A$2:$A$611,0),0)</f>
        <v>0</v>
      </c>
      <c r="D800" s="23">
        <f>IF($C800&gt;0,INDEX(Merge_1_2!$Q$2:$Q$611,$C800),0)</f>
        <v>0</v>
      </c>
      <c r="E800" s="23">
        <f>IFERROR(MATCH($A800,Dataset3_Raw!$A$2:$A$391,0),0)</f>
        <v>189</v>
      </c>
      <c r="F800" s="24">
        <f>IF($C800&gt;0,INDEX(Merge_1_2!$B$2:$B$611,$C800),DATE(VALUE(RIGHT(INDEX(Dataset3_Raw!$B$2:$B$391,$E800),4)),VALUE(MID(INDEX(Dataset3_Raw!$B$2:$B$391,$E800),4,2)),VALUE(LEFT(INDEX(Dataset3_Raw!$B$2:$B$391,$E800),2))))</f>
        <v>40579</v>
      </c>
      <c r="G800" s="23">
        <f>IF($C800&gt;0,INDEX(Merge_1_2!$C$2:$C$611,$C800),INDEX(Dataset3_Raw!$C$2:$C$391,$E800))</f>
        <v>1</v>
      </c>
      <c r="H800" s="23">
        <f>IF($C800&gt;0,INDEX(Merge_1_2!$D$2:$D$611,$C800),INDEX(Dataset3_Raw!$D$2:$D$391,$E800))</f>
        <v>0</v>
      </c>
      <c r="I800" s="23">
        <f>IF($C800&gt;0,INDEX(Merge_1_2!$E$2:$E$611,$C800),INDEX(Dataset3_Raw!$E$2:$E$391,$E800))</f>
        <v>2</v>
      </c>
      <c r="J800" s="23">
        <f>IF($C800&gt;0,INDEX(Merge_1_2!$F$2:$F$611,$C800),INDEX(Dataset3_Raw!$F$2:$F$391,$E800))</f>
        <v>17</v>
      </c>
      <c r="K800" s="23" t="b">
        <f>IF($C800&gt;0,INDEX(Merge_1_2!$G$2:$G$611,$C800),INDEX(Dataset3_Raw!$G$2:$G$391,$E800))</f>
        <v>0</v>
      </c>
      <c r="L800" s="23">
        <f>IF($C800&gt;0,INDEX(Merge_1_2!$H$2:$H$611,$C800),INDEX(Dataset3_Raw!$H$2:$H$391,$E800))</f>
        <v>6</v>
      </c>
      <c r="M800" s="23">
        <f>IF($C800&gt;0,INDEX(Merge_1_2!$I$2:$I$611,$C800),INDEX(Dataset3_Raw!$I$2:$I$391,$E800))</f>
        <v>2</v>
      </c>
      <c r="N800" s="25">
        <f>IF($C800&gt;0,INDEX(Merge_1_2!$J$2:$J$611,$C800),INDEX(Dataset3_Raw!$J$2:$J$391,$E800))</f>
        <v>0.24</v>
      </c>
      <c r="O800" s="25">
        <f>IF($C800&gt;0,IF(ISNUMBER(INDEX(Merge_1_2!$K$2:$K$611,$C800)),INDEX(Merge_1_2!$K$2:$K$611,$C800),""),INDEX(Dataset3_Raw!$K$2:$K$391,$E800))</f>
        <v>0.21210000000000001</v>
      </c>
      <c r="P800" s="25">
        <f>IF(ISNUMBER($O800),$O800,ROUND(Lookups!$B$25+Lookups!$B$24*$N800,4))</f>
        <v>0.21210000000000001</v>
      </c>
      <c r="Q800" s="25">
        <f>IF($C800&gt;0,INDEX(Merge_1_2!$L$2:$L$611,$C800),INDEX(Dataset3_Raw!$L$2:$L$391,$E800))</f>
        <v>1</v>
      </c>
      <c r="R800" s="25">
        <f>IF($C800&gt;0,INDEX(Merge_1_2!$M$2:$M$611,$C800),INDEX(Dataset3_Raw!$M$2:$M$391,$E800))</f>
        <v>0.28360000000000002</v>
      </c>
      <c r="S800" s="23">
        <f>IF($C800&gt;0,INDEX(Merge_1_2!$N$2:$N$611,$C800),INDEX(Dataset3_Raw!$N$2:$N$391,$E800))</f>
        <v>14</v>
      </c>
      <c r="T800" s="23">
        <f>IF($C800&gt;0,INDEX(Merge_1_2!$O$2:$O$611,$C800),INDEX(Dataset3_Raw!$O$2:$O$391,$E800))</f>
        <v>64</v>
      </c>
      <c r="U800" s="23">
        <f>IF($C800&gt;0,INDEX(Merge_1_2!$P$2:$P$611,$C800),INDEX(Dataset3_Raw!$P$2:$P$391,$E800))</f>
        <v>78</v>
      </c>
      <c r="V800" s="23" t="str">
        <f t="shared" si="73"/>
        <v>Weekend</v>
      </c>
      <c r="W800" s="23" t="str">
        <f>VLOOKUP($M800,Lookups!$A$5:$B$8,2,FALSE())</f>
        <v>Mist / Cloudy</v>
      </c>
      <c r="X800" s="23" t="str">
        <f>VLOOKUP($G800,Lookups!$D$5:$E$8,2,FALSE())</f>
        <v>Winter</v>
      </c>
      <c r="Y800" s="23" t="str">
        <f>VLOOKUP($L800,Lookups!$G$5:$H$11,2,FALSE())</f>
        <v>Saturday</v>
      </c>
      <c r="Z800" s="23" t="str">
        <f>IF($J800&lt;Lookups!$B$26,"Night",IF($J800&lt;Lookups!$B$27,"Morning",IF($J800&lt;Lookups!$B$28,"Afternoon","Evening")))</f>
        <v>Afternoon</v>
      </c>
      <c r="AA800" s="26">
        <f>ROUND($N800*(Lookups!$B$16-Lookups!$B$15)+Lookups!$B$15,1)</f>
        <v>3.3</v>
      </c>
      <c r="AB800" s="26">
        <f>ROUND($P800*(Lookups!$B$18-Lookups!$B$17)+Lookups!$B$17,1)</f>
        <v>-2</v>
      </c>
      <c r="AC800" s="23">
        <f t="shared" si="74"/>
        <v>100</v>
      </c>
      <c r="AD800" s="23">
        <f>ROUND($R800*Lookups!$B$19,1)</f>
        <v>19</v>
      </c>
      <c r="AE800" s="27">
        <f t="shared" si="75"/>
        <v>0.82051282051282048</v>
      </c>
      <c r="AF800" s="23" t="str">
        <f>IF($U800&gt;=Lookups!$B$23,"High",IF($U800&gt;=Lookups!$B$22,"Medium","Low"))</f>
        <v>Medium</v>
      </c>
      <c r="AG800" s="23">
        <f>ROUND(IF($V800="Weekday",IF(INDEX(Hourly_Analysis!$D$5:$D$28,$J800+1)&gt;0,($U800-INDEX(Hourly_Analysis!$C$5:$C$28,$J800+1))/INDEX(Hourly_Analysis!$D$5:$D$28,$J800+1),0),IF(INDEX(Hourly_Analysis!$G$5:$G$28,$J800+1)&gt;0,($U800-INDEX(Hourly_Analysis!$F$5:$F$28,$J800+1))/INDEX(Hourly_Analysis!$G$5:$G$28,$J800+1),0)),2)</f>
        <v>-0.27</v>
      </c>
      <c r="AH800" s="23" t="str">
        <f>IF(ABS($AG800)&gt;Lookups!$B$20,IF($AG800&gt;0,"High anomaly","Low anomaly"),"")</f>
        <v/>
      </c>
      <c r="AI800" s="23" t="str">
        <f t="shared" si="76"/>
        <v>OK</v>
      </c>
      <c r="AJ800" s="23" t="str">
        <f t="shared" si="77"/>
        <v>No</v>
      </c>
    </row>
    <row r="801" spans="1:36" x14ac:dyDescent="0.35">
      <c r="A801" s="23">
        <v>800</v>
      </c>
      <c r="B801" s="23" t="str">
        <f t="shared" si="72"/>
        <v>Dataset 3</v>
      </c>
      <c r="C801" s="23">
        <f>IFERROR(MATCH($A801,Merge_1_2!$A$2:$A$611,0),0)</f>
        <v>0</v>
      </c>
      <c r="D801" s="23">
        <f>IF($C801&gt;0,INDEX(Merge_1_2!$Q$2:$Q$611,$C801),0)</f>
        <v>0</v>
      </c>
      <c r="E801" s="23">
        <f>IFERROR(MATCH($A801,Dataset3_Raw!$A$2:$A$391,0),0)</f>
        <v>190</v>
      </c>
      <c r="F801" s="24">
        <f>IF($C801&gt;0,INDEX(Merge_1_2!$B$2:$B$611,$C801),DATE(VALUE(RIGHT(INDEX(Dataset3_Raw!$B$2:$B$391,$E801),4)),VALUE(MID(INDEX(Dataset3_Raw!$B$2:$B$391,$E801),4,2)),VALUE(LEFT(INDEX(Dataset3_Raw!$B$2:$B$391,$E801),2))))</f>
        <v>40579</v>
      </c>
      <c r="G801" s="23">
        <f>IF($C801&gt;0,INDEX(Merge_1_2!$C$2:$C$611,$C801),INDEX(Dataset3_Raw!$C$2:$C$391,$E801))</f>
        <v>1</v>
      </c>
      <c r="H801" s="23">
        <f>IF($C801&gt;0,INDEX(Merge_1_2!$D$2:$D$611,$C801),INDEX(Dataset3_Raw!$D$2:$D$391,$E801))</f>
        <v>0</v>
      </c>
      <c r="I801" s="23">
        <f>IF($C801&gt;0,INDEX(Merge_1_2!$E$2:$E$611,$C801),INDEX(Dataset3_Raw!$E$2:$E$391,$E801))</f>
        <v>2</v>
      </c>
      <c r="J801" s="23">
        <f>IF($C801&gt;0,INDEX(Merge_1_2!$F$2:$F$611,$C801),INDEX(Dataset3_Raw!$F$2:$F$391,$E801))</f>
        <v>18</v>
      </c>
      <c r="K801" s="23" t="b">
        <f>IF($C801&gt;0,INDEX(Merge_1_2!$G$2:$G$611,$C801),INDEX(Dataset3_Raw!$G$2:$G$391,$E801))</f>
        <v>0</v>
      </c>
      <c r="L801" s="23">
        <f>IF($C801&gt;0,INDEX(Merge_1_2!$H$2:$H$611,$C801),INDEX(Dataset3_Raw!$H$2:$H$391,$E801))</f>
        <v>6</v>
      </c>
      <c r="M801" s="23">
        <f>IF($C801&gt;0,INDEX(Merge_1_2!$I$2:$I$611,$C801),INDEX(Dataset3_Raw!$I$2:$I$391,$E801))</f>
        <v>2</v>
      </c>
      <c r="N801" s="25">
        <f>IF($C801&gt;0,INDEX(Merge_1_2!$J$2:$J$611,$C801),INDEX(Dataset3_Raw!$J$2:$J$391,$E801))</f>
        <v>0.28000000000000003</v>
      </c>
      <c r="O801" s="25">
        <f>IF($C801&gt;0,IF(ISNUMBER(INDEX(Merge_1_2!$K$2:$K$611,$C801)),INDEX(Merge_1_2!$K$2:$K$611,$C801),""),INDEX(Dataset3_Raw!$K$2:$K$391,$E801))</f>
        <v>0.2424</v>
      </c>
      <c r="P801" s="25">
        <f>IF(ISNUMBER($O801),$O801,ROUND(Lookups!$B$25+Lookups!$B$24*$N801,4))</f>
        <v>0.2424</v>
      </c>
      <c r="Q801" s="25">
        <f>IF($C801&gt;0,INDEX(Merge_1_2!$L$2:$L$611,$C801),INDEX(Dataset3_Raw!$L$2:$L$391,$E801))</f>
        <v>0.93</v>
      </c>
      <c r="R801" s="25">
        <f>IF($C801&gt;0,INDEX(Merge_1_2!$M$2:$M$611,$C801),INDEX(Dataset3_Raw!$M$2:$M$391,$E801))</f>
        <v>0.44779999999999998</v>
      </c>
      <c r="S801" s="23">
        <f>IF($C801&gt;0,INDEX(Merge_1_2!$N$2:$N$611,$C801),INDEX(Dataset3_Raw!$N$2:$N$391,$E801))</f>
        <v>2</v>
      </c>
      <c r="T801" s="23">
        <f>IF($C801&gt;0,INDEX(Merge_1_2!$O$2:$O$611,$C801),INDEX(Dataset3_Raw!$O$2:$O$391,$E801))</f>
        <v>81</v>
      </c>
      <c r="U801" s="23">
        <f>IF($C801&gt;0,INDEX(Merge_1_2!$P$2:$P$611,$C801),INDEX(Dataset3_Raw!$P$2:$P$391,$E801))</f>
        <v>83</v>
      </c>
      <c r="V801" s="23" t="str">
        <f t="shared" si="73"/>
        <v>Weekend</v>
      </c>
      <c r="W801" s="23" t="str">
        <f>VLOOKUP($M801,Lookups!$A$5:$B$8,2,FALSE())</f>
        <v>Mist / Cloudy</v>
      </c>
      <c r="X801" s="23" t="str">
        <f>VLOOKUP($G801,Lookups!$D$5:$E$8,2,FALSE())</f>
        <v>Winter</v>
      </c>
      <c r="Y801" s="23" t="str">
        <f>VLOOKUP($L801,Lookups!$G$5:$H$11,2,FALSE())</f>
        <v>Saturday</v>
      </c>
      <c r="Z801" s="23" t="str">
        <f>IF($J801&lt;Lookups!$B$26,"Night",IF($J801&lt;Lookups!$B$27,"Morning",IF($J801&lt;Lookups!$B$28,"Afternoon","Evening")))</f>
        <v>Evening</v>
      </c>
      <c r="AA801" s="26">
        <f>ROUND($N801*(Lookups!$B$16-Lookups!$B$15)+Lookups!$B$15,1)</f>
        <v>5.2</v>
      </c>
      <c r="AB801" s="26">
        <f>ROUND($P801*(Lookups!$B$18-Lookups!$B$17)+Lookups!$B$17,1)</f>
        <v>0</v>
      </c>
      <c r="AC801" s="23">
        <f t="shared" si="74"/>
        <v>93</v>
      </c>
      <c r="AD801" s="23">
        <f>ROUND($R801*Lookups!$B$19,1)</f>
        <v>30</v>
      </c>
      <c r="AE801" s="27">
        <f t="shared" si="75"/>
        <v>0.97590361445783136</v>
      </c>
      <c r="AF801" s="23" t="str">
        <f>IF($U801&gt;=Lookups!$B$23,"High",IF($U801&gt;=Lookups!$B$22,"Medium","Low"))</f>
        <v>High</v>
      </c>
      <c r="AG801" s="23">
        <f>ROUND(IF($V801="Weekday",IF(INDEX(Hourly_Analysis!$D$5:$D$28,$J801+1)&gt;0,($U801-INDEX(Hourly_Analysis!$C$5:$C$28,$J801+1))/INDEX(Hourly_Analysis!$D$5:$D$28,$J801+1),0),IF(INDEX(Hourly_Analysis!$G$5:$G$28,$J801+1)&gt;0,($U801-INDEX(Hourly_Analysis!$F$5:$F$28,$J801+1))/INDEX(Hourly_Analysis!$G$5:$G$28,$J801+1),0)),2)</f>
        <v>0.97</v>
      </c>
      <c r="AH801" s="23" t="str">
        <f>IF(ABS($AG801)&gt;Lookups!$B$20,IF($AG801&gt;0,"High anomaly","Low anomaly"),"")</f>
        <v/>
      </c>
      <c r="AI801" s="23" t="str">
        <f t="shared" si="76"/>
        <v>OK</v>
      </c>
      <c r="AJ801" s="23" t="str">
        <f t="shared" si="77"/>
        <v>No</v>
      </c>
    </row>
    <row r="802" spans="1:36" x14ac:dyDescent="0.35">
      <c r="A802" s="23">
        <v>801</v>
      </c>
      <c r="B802" s="23" t="str">
        <f t="shared" si="72"/>
        <v>Dataset 3</v>
      </c>
      <c r="C802" s="23">
        <f>IFERROR(MATCH($A802,Merge_1_2!$A$2:$A$611,0),0)</f>
        <v>0</v>
      </c>
      <c r="D802" s="23">
        <f>IF($C802&gt;0,INDEX(Merge_1_2!$Q$2:$Q$611,$C802),0)</f>
        <v>0</v>
      </c>
      <c r="E802" s="23">
        <f>IFERROR(MATCH($A802,Dataset3_Raw!$A$2:$A$391,0),0)</f>
        <v>191</v>
      </c>
      <c r="F802" s="24">
        <f>IF($C802&gt;0,INDEX(Merge_1_2!$B$2:$B$611,$C802),DATE(VALUE(RIGHT(INDEX(Dataset3_Raw!$B$2:$B$391,$E802),4)),VALUE(MID(INDEX(Dataset3_Raw!$B$2:$B$391,$E802),4,2)),VALUE(LEFT(INDEX(Dataset3_Raw!$B$2:$B$391,$E802),2))))</f>
        <v>40579</v>
      </c>
      <c r="G802" s="23">
        <f>IF($C802&gt;0,INDEX(Merge_1_2!$C$2:$C$611,$C802),INDEX(Dataset3_Raw!$C$2:$C$391,$E802))</f>
        <v>1</v>
      </c>
      <c r="H802" s="23">
        <f>IF($C802&gt;0,INDEX(Merge_1_2!$D$2:$D$611,$C802),INDEX(Dataset3_Raw!$D$2:$D$391,$E802))</f>
        <v>0</v>
      </c>
      <c r="I802" s="23">
        <f>IF($C802&gt;0,INDEX(Merge_1_2!$E$2:$E$611,$C802),INDEX(Dataset3_Raw!$E$2:$E$391,$E802))</f>
        <v>2</v>
      </c>
      <c r="J802" s="23">
        <f>IF($C802&gt;0,INDEX(Merge_1_2!$F$2:$F$611,$C802),INDEX(Dataset3_Raw!$F$2:$F$391,$E802))</f>
        <v>19</v>
      </c>
      <c r="K802" s="23" t="b">
        <f>IF($C802&gt;0,INDEX(Merge_1_2!$G$2:$G$611,$C802),INDEX(Dataset3_Raw!$G$2:$G$391,$E802))</f>
        <v>0</v>
      </c>
      <c r="L802" s="23">
        <f>IF($C802&gt;0,INDEX(Merge_1_2!$H$2:$H$611,$C802),INDEX(Dataset3_Raw!$H$2:$H$391,$E802))</f>
        <v>6</v>
      </c>
      <c r="M802" s="23">
        <f>IF($C802&gt;0,INDEX(Merge_1_2!$I$2:$I$611,$C802),INDEX(Dataset3_Raw!$I$2:$I$391,$E802))</f>
        <v>2</v>
      </c>
      <c r="N802" s="25">
        <f>IF($C802&gt;0,INDEX(Merge_1_2!$J$2:$J$611,$C802),INDEX(Dataset3_Raw!$J$2:$J$391,$E802))</f>
        <v>0.28000000000000003</v>
      </c>
      <c r="O802" s="25">
        <f>IF($C802&gt;0,IF(ISNUMBER(INDEX(Merge_1_2!$K$2:$K$611,$C802)),INDEX(Merge_1_2!$K$2:$K$611,$C802),""),INDEX(Dataset3_Raw!$K$2:$K$391,$E802))</f>
        <v>0.2424</v>
      </c>
      <c r="P802" s="25">
        <f>IF(ISNUMBER($O802),$O802,ROUND(Lookups!$B$25+Lookups!$B$24*$N802,4))</f>
        <v>0.2424</v>
      </c>
      <c r="Q802" s="25">
        <f>IF($C802&gt;0,INDEX(Merge_1_2!$L$2:$L$611,$C802),INDEX(Dataset3_Raw!$L$2:$L$391,$E802))</f>
        <v>0.93</v>
      </c>
      <c r="R802" s="25">
        <f>IF($C802&gt;0,INDEX(Merge_1_2!$M$2:$M$611,$C802),INDEX(Dataset3_Raw!$M$2:$M$391,$E802))</f>
        <v>0.44779999999999998</v>
      </c>
      <c r="S802" s="23">
        <f>IF($C802&gt;0,INDEX(Merge_1_2!$N$2:$N$611,$C802),INDEX(Dataset3_Raw!$N$2:$N$391,$E802))</f>
        <v>6</v>
      </c>
      <c r="T802" s="23">
        <f>IF($C802&gt;0,INDEX(Merge_1_2!$O$2:$O$611,$C802),INDEX(Dataset3_Raw!$O$2:$O$391,$E802))</f>
        <v>78</v>
      </c>
      <c r="U802" s="23">
        <f>IF($C802&gt;0,INDEX(Merge_1_2!$P$2:$P$611,$C802),INDEX(Dataset3_Raw!$P$2:$P$391,$E802))</f>
        <v>84</v>
      </c>
      <c r="V802" s="23" t="str">
        <f t="shared" si="73"/>
        <v>Weekend</v>
      </c>
      <c r="W802" s="23" t="str">
        <f>VLOOKUP($M802,Lookups!$A$5:$B$8,2,FALSE())</f>
        <v>Mist / Cloudy</v>
      </c>
      <c r="X802" s="23" t="str">
        <f>VLOOKUP($G802,Lookups!$D$5:$E$8,2,FALSE())</f>
        <v>Winter</v>
      </c>
      <c r="Y802" s="23" t="str">
        <f>VLOOKUP($L802,Lookups!$G$5:$H$11,2,FALSE())</f>
        <v>Saturday</v>
      </c>
      <c r="Z802" s="23" t="str">
        <f>IF($J802&lt;Lookups!$B$26,"Night",IF($J802&lt;Lookups!$B$27,"Morning",IF($J802&lt;Lookups!$B$28,"Afternoon","Evening")))</f>
        <v>Evening</v>
      </c>
      <c r="AA802" s="26">
        <f>ROUND($N802*(Lookups!$B$16-Lookups!$B$15)+Lookups!$B$15,1)</f>
        <v>5.2</v>
      </c>
      <c r="AB802" s="26">
        <f>ROUND($P802*(Lookups!$B$18-Lookups!$B$17)+Lookups!$B$17,1)</f>
        <v>0</v>
      </c>
      <c r="AC802" s="23">
        <f t="shared" si="74"/>
        <v>93</v>
      </c>
      <c r="AD802" s="23">
        <f>ROUND($R802*Lookups!$B$19,1)</f>
        <v>30</v>
      </c>
      <c r="AE802" s="27">
        <f t="shared" si="75"/>
        <v>0.9285714285714286</v>
      </c>
      <c r="AF802" s="23" t="str">
        <f>IF($U802&gt;=Lookups!$B$23,"High",IF($U802&gt;=Lookups!$B$22,"Medium","Low"))</f>
        <v>High</v>
      </c>
      <c r="AG802" s="23">
        <f>ROUND(IF($V802="Weekday",IF(INDEX(Hourly_Analysis!$D$5:$D$28,$J802+1)&gt;0,($U802-INDEX(Hourly_Analysis!$C$5:$C$28,$J802+1))/INDEX(Hourly_Analysis!$D$5:$D$28,$J802+1),0),IF(INDEX(Hourly_Analysis!$G$5:$G$28,$J802+1)&gt;0,($U802-INDEX(Hourly_Analysis!$F$5:$F$28,$J802+1))/INDEX(Hourly_Analysis!$G$5:$G$28,$J802+1),0)),2)</f>
        <v>1.92</v>
      </c>
      <c r="AH802" s="23" t="str">
        <f>IF(ABS($AG802)&gt;Lookups!$B$20,IF($AG802&gt;0,"High anomaly","Low anomaly"),"")</f>
        <v/>
      </c>
      <c r="AI802" s="23" t="str">
        <f t="shared" si="76"/>
        <v>OK</v>
      </c>
      <c r="AJ802" s="23" t="str">
        <f t="shared" si="77"/>
        <v>No</v>
      </c>
    </row>
    <row r="803" spans="1:36" x14ac:dyDescent="0.35">
      <c r="A803" s="23">
        <v>802</v>
      </c>
      <c r="B803" s="23" t="str">
        <f t="shared" si="72"/>
        <v>Dataset 3</v>
      </c>
      <c r="C803" s="23">
        <f>IFERROR(MATCH($A803,Merge_1_2!$A$2:$A$611,0),0)</f>
        <v>0</v>
      </c>
      <c r="D803" s="23">
        <f>IF($C803&gt;0,INDEX(Merge_1_2!$Q$2:$Q$611,$C803),0)</f>
        <v>0</v>
      </c>
      <c r="E803" s="23">
        <f>IFERROR(MATCH($A803,Dataset3_Raw!$A$2:$A$391,0),0)</f>
        <v>192</v>
      </c>
      <c r="F803" s="24">
        <f>IF($C803&gt;0,INDEX(Merge_1_2!$B$2:$B$611,$C803),DATE(VALUE(RIGHT(INDEX(Dataset3_Raw!$B$2:$B$391,$E803),4)),VALUE(MID(INDEX(Dataset3_Raw!$B$2:$B$391,$E803),4,2)),VALUE(LEFT(INDEX(Dataset3_Raw!$B$2:$B$391,$E803),2))))</f>
        <v>40579</v>
      </c>
      <c r="G803" s="23">
        <f>IF($C803&gt;0,INDEX(Merge_1_2!$C$2:$C$611,$C803),INDEX(Dataset3_Raw!$C$2:$C$391,$E803))</f>
        <v>1</v>
      </c>
      <c r="H803" s="23">
        <f>IF($C803&gt;0,INDEX(Merge_1_2!$D$2:$D$611,$C803),INDEX(Dataset3_Raw!$D$2:$D$391,$E803))</f>
        <v>0</v>
      </c>
      <c r="I803" s="23">
        <f>IF($C803&gt;0,INDEX(Merge_1_2!$E$2:$E$611,$C803),INDEX(Dataset3_Raw!$E$2:$E$391,$E803))</f>
        <v>2</v>
      </c>
      <c r="J803" s="23">
        <f>IF($C803&gt;0,INDEX(Merge_1_2!$F$2:$F$611,$C803),INDEX(Dataset3_Raw!$F$2:$F$391,$E803))</f>
        <v>20</v>
      </c>
      <c r="K803" s="23" t="b">
        <f>IF($C803&gt;0,INDEX(Merge_1_2!$G$2:$G$611,$C803),INDEX(Dataset3_Raw!$G$2:$G$391,$E803))</f>
        <v>0</v>
      </c>
      <c r="L803" s="23">
        <f>IF($C803&gt;0,INDEX(Merge_1_2!$H$2:$H$611,$C803),INDEX(Dataset3_Raw!$H$2:$H$391,$E803))</f>
        <v>6</v>
      </c>
      <c r="M803" s="23">
        <f>IF($C803&gt;0,INDEX(Merge_1_2!$I$2:$I$611,$C803),INDEX(Dataset3_Raw!$I$2:$I$391,$E803))</f>
        <v>1</v>
      </c>
      <c r="N803" s="25">
        <f>IF($C803&gt;0,INDEX(Merge_1_2!$J$2:$J$611,$C803),INDEX(Dataset3_Raw!$J$2:$J$391,$E803))</f>
        <v>0.3</v>
      </c>
      <c r="O803" s="25">
        <f>IF($C803&gt;0,IF(ISNUMBER(INDEX(Merge_1_2!$K$2:$K$611,$C803)),INDEX(Merge_1_2!$K$2:$K$611,$C803),""),INDEX(Dataset3_Raw!$K$2:$K$391,$E803))</f>
        <v>0.28789999999999999</v>
      </c>
      <c r="P803" s="25">
        <f>IF(ISNUMBER($O803),$O803,ROUND(Lookups!$B$25+Lookups!$B$24*$N803,4))</f>
        <v>0.28789999999999999</v>
      </c>
      <c r="Q803" s="25">
        <f>IF($C803&gt;0,INDEX(Merge_1_2!$L$2:$L$611,$C803),INDEX(Dataset3_Raw!$L$2:$L$391,$E803))</f>
        <v>0.87</v>
      </c>
      <c r="R803" s="25">
        <f>IF($C803&gt;0,INDEX(Merge_1_2!$M$2:$M$611,$C803),INDEX(Dataset3_Raw!$M$2:$M$391,$E803))</f>
        <v>0.25369999999999998</v>
      </c>
      <c r="S803" s="23">
        <f>IF($C803&gt;0,INDEX(Merge_1_2!$N$2:$N$611,$C803),INDEX(Dataset3_Raw!$N$2:$N$391,$E803))</f>
        <v>5</v>
      </c>
      <c r="T803" s="23">
        <f>IF($C803&gt;0,INDEX(Merge_1_2!$O$2:$O$611,$C803),INDEX(Dataset3_Raw!$O$2:$O$391,$E803))</f>
        <v>64</v>
      </c>
      <c r="U803" s="23">
        <f>IF($C803&gt;0,INDEX(Merge_1_2!$P$2:$P$611,$C803),INDEX(Dataset3_Raw!$P$2:$P$391,$E803))</f>
        <v>69</v>
      </c>
      <c r="V803" s="23" t="str">
        <f t="shared" si="73"/>
        <v>Weekend</v>
      </c>
      <c r="W803" s="23" t="str">
        <f>VLOOKUP($M803,Lookups!$A$5:$B$8,2,FALSE())</f>
        <v>Clear / Partly cloudy</v>
      </c>
      <c r="X803" s="23" t="str">
        <f>VLOOKUP($G803,Lookups!$D$5:$E$8,2,FALSE())</f>
        <v>Winter</v>
      </c>
      <c r="Y803" s="23" t="str">
        <f>VLOOKUP($L803,Lookups!$G$5:$H$11,2,FALSE())</f>
        <v>Saturday</v>
      </c>
      <c r="Z803" s="23" t="str">
        <f>IF($J803&lt;Lookups!$B$26,"Night",IF($J803&lt;Lookups!$B$27,"Morning",IF($J803&lt;Lookups!$B$28,"Afternoon","Evening")))</f>
        <v>Evening</v>
      </c>
      <c r="AA803" s="26">
        <f>ROUND($N803*(Lookups!$B$16-Lookups!$B$15)+Lookups!$B$15,1)</f>
        <v>6.1</v>
      </c>
      <c r="AB803" s="26">
        <f>ROUND($P803*(Lookups!$B$18-Lookups!$B$17)+Lookups!$B$17,1)</f>
        <v>3</v>
      </c>
      <c r="AC803" s="23">
        <f t="shared" si="74"/>
        <v>87</v>
      </c>
      <c r="AD803" s="23">
        <f>ROUND($R803*Lookups!$B$19,1)</f>
        <v>17</v>
      </c>
      <c r="AE803" s="27">
        <f t="shared" si="75"/>
        <v>0.92753623188405798</v>
      </c>
      <c r="AF803" s="23" t="str">
        <f>IF($U803&gt;=Lookups!$B$23,"High",IF($U803&gt;=Lookups!$B$22,"Medium","Low"))</f>
        <v>Medium</v>
      </c>
      <c r="AG803" s="23">
        <f>ROUND(IF($V803="Weekday",IF(INDEX(Hourly_Analysis!$D$5:$D$28,$J803+1)&gt;0,($U803-INDEX(Hourly_Analysis!$C$5:$C$28,$J803+1))/INDEX(Hourly_Analysis!$D$5:$D$28,$J803+1),0),IF(INDEX(Hourly_Analysis!$G$5:$G$28,$J803+1)&gt;0,($U803-INDEX(Hourly_Analysis!$F$5:$F$28,$J803+1))/INDEX(Hourly_Analysis!$G$5:$G$28,$J803+1),0)),2)</f>
        <v>2.4500000000000002</v>
      </c>
      <c r="AH803" s="23" t="str">
        <f>IF(ABS($AG803)&gt;Lookups!$B$20,IF($AG803&gt;0,"High anomaly","Low anomaly"),"")</f>
        <v/>
      </c>
      <c r="AI803" s="23" t="str">
        <f t="shared" si="76"/>
        <v>OK</v>
      </c>
      <c r="AJ803" s="23" t="str">
        <f t="shared" si="77"/>
        <v>No</v>
      </c>
    </row>
    <row r="804" spans="1:36" x14ac:dyDescent="0.35">
      <c r="A804" s="23">
        <v>803</v>
      </c>
      <c r="B804" s="23" t="str">
        <f t="shared" si="72"/>
        <v>Dataset 3</v>
      </c>
      <c r="C804" s="23">
        <f>IFERROR(MATCH($A804,Merge_1_2!$A$2:$A$611,0),0)</f>
        <v>0</v>
      </c>
      <c r="D804" s="23">
        <f>IF($C804&gt;0,INDEX(Merge_1_2!$Q$2:$Q$611,$C804),0)</f>
        <v>0</v>
      </c>
      <c r="E804" s="23">
        <f>IFERROR(MATCH($A804,Dataset3_Raw!$A$2:$A$391,0),0)</f>
        <v>193</v>
      </c>
      <c r="F804" s="24">
        <f>IF($C804&gt;0,INDEX(Merge_1_2!$B$2:$B$611,$C804),DATE(VALUE(RIGHT(INDEX(Dataset3_Raw!$B$2:$B$391,$E804),4)),VALUE(MID(INDEX(Dataset3_Raw!$B$2:$B$391,$E804),4,2)),VALUE(LEFT(INDEX(Dataset3_Raw!$B$2:$B$391,$E804),2))))</f>
        <v>40579</v>
      </c>
      <c r="G804" s="23">
        <f>IF($C804&gt;0,INDEX(Merge_1_2!$C$2:$C$611,$C804),INDEX(Dataset3_Raw!$C$2:$C$391,$E804))</f>
        <v>1</v>
      </c>
      <c r="H804" s="23">
        <f>IF($C804&gt;0,INDEX(Merge_1_2!$D$2:$D$611,$C804),INDEX(Dataset3_Raw!$D$2:$D$391,$E804))</f>
        <v>0</v>
      </c>
      <c r="I804" s="23">
        <f>IF($C804&gt;0,INDEX(Merge_1_2!$E$2:$E$611,$C804),INDEX(Dataset3_Raw!$E$2:$E$391,$E804))</f>
        <v>2</v>
      </c>
      <c r="J804" s="23">
        <f>IF($C804&gt;0,INDEX(Merge_1_2!$F$2:$F$611,$C804),INDEX(Dataset3_Raw!$F$2:$F$391,$E804))</f>
        <v>21</v>
      </c>
      <c r="K804" s="23" t="b">
        <f>IF($C804&gt;0,INDEX(Merge_1_2!$G$2:$G$611,$C804),INDEX(Dataset3_Raw!$G$2:$G$391,$E804))</f>
        <v>0</v>
      </c>
      <c r="L804" s="23">
        <f>IF($C804&gt;0,INDEX(Merge_1_2!$H$2:$H$611,$C804),INDEX(Dataset3_Raw!$H$2:$H$391,$E804))</f>
        <v>6</v>
      </c>
      <c r="M804" s="23">
        <f>IF($C804&gt;0,INDEX(Merge_1_2!$I$2:$I$611,$C804),INDEX(Dataset3_Raw!$I$2:$I$391,$E804))</f>
        <v>1</v>
      </c>
      <c r="N804" s="25">
        <f>IF($C804&gt;0,INDEX(Merge_1_2!$J$2:$J$611,$C804),INDEX(Dataset3_Raw!$J$2:$J$391,$E804))</f>
        <v>0.26</v>
      </c>
      <c r="O804" s="25">
        <f>IF($C804&gt;0,IF(ISNUMBER(INDEX(Merge_1_2!$K$2:$K$611,$C804)),INDEX(Merge_1_2!$K$2:$K$611,$C804),""),INDEX(Dataset3_Raw!$K$2:$K$391,$E804))</f>
        <v>0.2576</v>
      </c>
      <c r="P804" s="25">
        <f>IF(ISNUMBER($O804),$O804,ROUND(Lookups!$B$25+Lookups!$B$24*$N804,4))</f>
        <v>0.2576</v>
      </c>
      <c r="Q804" s="25">
        <f>IF($C804&gt;0,INDEX(Merge_1_2!$L$2:$L$611,$C804),INDEX(Dataset3_Raw!$L$2:$L$391,$E804))</f>
        <v>1</v>
      </c>
      <c r="R804" s="25">
        <f>IF($C804&gt;0,INDEX(Merge_1_2!$M$2:$M$611,$C804),INDEX(Dataset3_Raw!$M$2:$M$391,$E804))</f>
        <v>0.19400000000000001</v>
      </c>
      <c r="S804" s="23">
        <f>IF($C804&gt;0,INDEX(Merge_1_2!$N$2:$N$611,$C804),INDEX(Dataset3_Raw!$N$2:$N$391,$E804))</f>
        <v>3</v>
      </c>
      <c r="T804" s="23">
        <f>IF($C804&gt;0,INDEX(Merge_1_2!$O$2:$O$611,$C804),INDEX(Dataset3_Raw!$O$2:$O$391,$E804))</f>
        <v>53</v>
      </c>
      <c r="U804" s="23">
        <f>IF($C804&gt;0,INDEX(Merge_1_2!$P$2:$P$611,$C804),INDEX(Dataset3_Raw!$P$2:$P$391,$E804))</f>
        <v>56</v>
      </c>
      <c r="V804" s="23" t="str">
        <f t="shared" si="73"/>
        <v>Weekend</v>
      </c>
      <c r="W804" s="23" t="str">
        <f>VLOOKUP($M804,Lookups!$A$5:$B$8,2,FALSE())</f>
        <v>Clear / Partly cloudy</v>
      </c>
      <c r="X804" s="23" t="str">
        <f>VLOOKUP($G804,Lookups!$D$5:$E$8,2,FALSE())</f>
        <v>Winter</v>
      </c>
      <c r="Y804" s="23" t="str">
        <f>VLOOKUP($L804,Lookups!$G$5:$H$11,2,FALSE())</f>
        <v>Saturday</v>
      </c>
      <c r="Z804" s="23" t="str">
        <f>IF($J804&lt;Lookups!$B$26,"Night",IF($J804&lt;Lookups!$B$27,"Morning",IF($J804&lt;Lookups!$B$28,"Afternoon","Evening")))</f>
        <v>Evening</v>
      </c>
      <c r="AA804" s="26">
        <f>ROUND($N804*(Lookups!$B$16-Lookups!$B$15)+Lookups!$B$15,1)</f>
        <v>4.2</v>
      </c>
      <c r="AB804" s="26">
        <f>ROUND($P804*(Lookups!$B$18-Lookups!$B$17)+Lookups!$B$17,1)</f>
        <v>1</v>
      </c>
      <c r="AC804" s="23">
        <f t="shared" si="74"/>
        <v>100</v>
      </c>
      <c r="AD804" s="23">
        <f>ROUND($R804*Lookups!$B$19,1)</f>
        <v>13</v>
      </c>
      <c r="AE804" s="27">
        <f t="shared" si="75"/>
        <v>0.9464285714285714</v>
      </c>
      <c r="AF804" s="23" t="str">
        <f>IF($U804&gt;=Lookups!$B$23,"High",IF($U804&gt;=Lookups!$B$22,"Medium","Low"))</f>
        <v>Medium</v>
      </c>
      <c r="AG804" s="23">
        <f>ROUND(IF($V804="Weekday",IF(INDEX(Hourly_Analysis!$D$5:$D$28,$J804+1)&gt;0,($U804-INDEX(Hourly_Analysis!$C$5:$C$28,$J804+1))/INDEX(Hourly_Analysis!$D$5:$D$28,$J804+1),0),IF(INDEX(Hourly_Analysis!$G$5:$G$28,$J804+1)&gt;0,($U804-INDEX(Hourly_Analysis!$F$5:$F$28,$J804+1))/INDEX(Hourly_Analysis!$G$5:$G$28,$J804+1),0)),2)</f>
        <v>1.64</v>
      </c>
      <c r="AH804" s="23" t="str">
        <f>IF(ABS($AG804)&gt;Lookups!$B$20,IF($AG804&gt;0,"High anomaly","Low anomaly"),"")</f>
        <v/>
      </c>
      <c r="AI804" s="23" t="str">
        <f t="shared" si="76"/>
        <v>OK</v>
      </c>
      <c r="AJ804" s="23" t="str">
        <f t="shared" si="77"/>
        <v>No</v>
      </c>
    </row>
    <row r="805" spans="1:36" x14ac:dyDescent="0.35">
      <c r="A805" s="23">
        <v>804</v>
      </c>
      <c r="B805" s="23" t="str">
        <f t="shared" si="72"/>
        <v>Dataset 3</v>
      </c>
      <c r="C805" s="23">
        <f>IFERROR(MATCH($A805,Merge_1_2!$A$2:$A$611,0),0)</f>
        <v>0</v>
      </c>
      <c r="D805" s="23">
        <f>IF($C805&gt;0,INDEX(Merge_1_2!$Q$2:$Q$611,$C805),0)</f>
        <v>0</v>
      </c>
      <c r="E805" s="23">
        <f>IFERROR(MATCH($A805,Dataset3_Raw!$A$2:$A$391,0),0)</f>
        <v>194</v>
      </c>
      <c r="F805" s="24">
        <f>IF($C805&gt;0,INDEX(Merge_1_2!$B$2:$B$611,$C805),DATE(VALUE(RIGHT(INDEX(Dataset3_Raw!$B$2:$B$391,$E805),4)),VALUE(MID(INDEX(Dataset3_Raw!$B$2:$B$391,$E805),4,2)),VALUE(LEFT(INDEX(Dataset3_Raw!$B$2:$B$391,$E805),2))))</f>
        <v>40579</v>
      </c>
      <c r="G805" s="23">
        <f>IF($C805&gt;0,INDEX(Merge_1_2!$C$2:$C$611,$C805),INDEX(Dataset3_Raw!$C$2:$C$391,$E805))</f>
        <v>1</v>
      </c>
      <c r="H805" s="23">
        <f>IF($C805&gt;0,INDEX(Merge_1_2!$D$2:$D$611,$C805),INDEX(Dataset3_Raw!$D$2:$D$391,$E805))</f>
        <v>0</v>
      </c>
      <c r="I805" s="23">
        <f>IF($C805&gt;0,INDEX(Merge_1_2!$E$2:$E$611,$C805),INDEX(Dataset3_Raw!$E$2:$E$391,$E805))</f>
        <v>2</v>
      </c>
      <c r="J805" s="23">
        <f>IF($C805&gt;0,INDEX(Merge_1_2!$F$2:$F$611,$C805),INDEX(Dataset3_Raw!$F$2:$F$391,$E805))</f>
        <v>22</v>
      </c>
      <c r="K805" s="23" t="b">
        <f>IF($C805&gt;0,INDEX(Merge_1_2!$G$2:$G$611,$C805),INDEX(Dataset3_Raw!$G$2:$G$391,$E805))</f>
        <v>0</v>
      </c>
      <c r="L805" s="23">
        <f>IF($C805&gt;0,INDEX(Merge_1_2!$H$2:$H$611,$C805),INDEX(Dataset3_Raw!$H$2:$H$391,$E805))</f>
        <v>6</v>
      </c>
      <c r="M805" s="23">
        <f>IF($C805&gt;0,INDEX(Merge_1_2!$I$2:$I$611,$C805),INDEX(Dataset3_Raw!$I$2:$I$391,$E805))</f>
        <v>1</v>
      </c>
      <c r="N805" s="25">
        <f>IF($C805&gt;0,INDEX(Merge_1_2!$J$2:$J$611,$C805),INDEX(Dataset3_Raw!$J$2:$J$391,$E805))</f>
        <v>0.26</v>
      </c>
      <c r="O805" s="25">
        <f>IF($C805&gt;0,IF(ISNUMBER(INDEX(Merge_1_2!$K$2:$K$611,$C805)),INDEX(Merge_1_2!$K$2:$K$611,$C805),""),INDEX(Dataset3_Raw!$K$2:$K$391,$E805))</f>
        <v>0.2727</v>
      </c>
      <c r="P805" s="25">
        <f>IF(ISNUMBER($O805),$O805,ROUND(Lookups!$B$25+Lookups!$B$24*$N805,4))</f>
        <v>0.2727</v>
      </c>
      <c r="Q805" s="25">
        <f>IF($C805&gt;0,INDEX(Merge_1_2!$L$2:$L$611,$C805),INDEX(Dataset3_Raw!$L$2:$L$391,$E805))</f>
        <v>0.93</v>
      </c>
      <c r="R805" s="25">
        <f>IF($C805&gt;0,INDEX(Merge_1_2!$M$2:$M$611,$C805),INDEX(Dataset3_Raw!$M$2:$M$391,$E805))</f>
        <v>0.1343</v>
      </c>
      <c r="S805" s="23">
        <f>IF($C805&gt;0,INDEX(Merge_1_2!$N$2:$N$611,$C805),INDEX(Dataset3_Raw!$N$2:$N$391,$E805))</f>
        <v>2</v>
      </c>
      <c r="T805" s="23">
        <f>IF($C805&gt;0,INDEX(Merge_1_2!$O$2:$O$611,$C805),INDEX(Dataset3_Raw!$O$2:$O$391,$E805))</f>
        <v>43</v>
      </c>
      <c r="U805" s="23">
        <f>IF($C805&gt;0,INDEX(Merge_1_2!$P$2:$P$611,$C805),INDEX(Dataset3_Raw!$P$2:$P$391,$E805))</f>
        <v>45</v>
      </c>
      <c r="V805" s="23" t="str">
        <f t="shared" si="73"/>
        <v>Weekend</v>
      </c>
      <c r="W805" s="23" t="str">
        <f>VLOOKUP($M805,Lookups!$A$5:$B$8,2,FALSE())</f>
        <v>Clear / Partly cloudy</v>
      </c>
      <c r="X805" s="23" t="str">
        <f>VLOOKUP($G805,Lookups!$D$5:$E$8,2,FALSE())</f>
        <v>Winter</v>
      </c>
      <c r="Y805" s="23" t="str">
        <f>VLOOKUP($L805,Lookups!$G$5:$H$11,2,FALSE())</f>
        <v>Saturday</v>
      </c>
      <c r="Z805" s="23" t="str">
        <f>IF($J805&lt;Lookups!$B$26,"Night",IF($J805&lt;Lookups!$B$27,"Morning",IF($J805&lt;Lookups!$B$28,"Afternoon","Evening")))</f>
        <v>Evening</v>
      </c>
      <c r="AA805" s="26">
        <f>ROUND($N805*(Lookups!$B$16-Lookups!$B$15)+Lookups!$B$15,1)</f>
        <v>4.2</v>
      </c>
      <c r="AB805" s="26">
        <f>ROUND($P805*(Lookups!$B$18-Lookups!$B$17)+Lookups!$B$17,1)</f>
        <v>2</v>
      </c>
      <c r="AC805" s="23">
        <f t="shared" si="74"/>
        <v>93</v>
      </c>
      <c r="AD805" s="23">
        <f>ROUND($R805*Lookups!$B$19,1)</f>
        <v>9</v>
      </c>
      <c r="AE805" s="27">
        <f t="shared" si="75"/>
        <v>0.9555555555555556</v>
      </c>
      <c r="AF805" s="23" t="str">
        <f>IF($U805&gt;=Lookups!$B$23,"High",IF($U805&gt;=Lookups!$B$22,"Medium","Low"))</f>
        <v>Medium</v>
      </c>
      <c r="AG805" s="23">
        <f>ROUND(IF($V805="Weekday",IF(INDEX(Hourly_Analysis!$D$5:$D$28,$J805+1)&gt;0,($U805-INDEX(Hourly_Analysis!$C$5:$C$28,$J805+1))/INDEX(Hourly_Analysis!$D$5:$D$28,$J805+1),0),IF(INDEX(Hourly_Analysis!$G$5:$G$28,$J805+1)&gt;0,($U805-INDEX(Hourly_Analysis!$F$5:$F$28,$J805+1))/INDEX(Hourly_Analysis!$G$5:$G$28,$J805+1),0)),2)</f>
        <v>1.1100000000000001</v>
      </c>
      <c r="AH805" s="23" t="str">
        <f>IF(ABS($AG805)&gt;Lookups!$B$20,IF($AG805&gt;0,"High anomaly","Low anomaly"),"")</f>
        <v/>
      </c>
      <c r="AI805" s="23" t="str">
        <f t="shared" si="76"/>
        <v>OK</v>
      </c>
      <c r="AJ805" s="23" t="str">
        <f t="shared" si="77"/>
        <v>No</v>
      </c>
    </row>
    <row r="806" spans="1:36" x14ac:dyDescent="0.35">
      <c r="A806" s="23">
        <v>805</v>
      </c>
      <c r="B806" s="23" t="str">
        <f t="shared" si="72"/>
        <v>Dataset 3</v>
      </c>
      <c r="C806" s="23">
        <f>IFERROR(MATCH($A806,Merge_1_2!$A$2:$A$611,0),0)</f>
        <v>0</v>
      </c>
      <c r="D806" s="23">
        <f>IF($C806&gt;0,INDEX(Merge_1_2!$Q$2:$Q$611,$C806),0)</f>
        <v>0</v>
      </c>
      <c r="E806" s="23">
        <f>IFERROR(MATCH($A806,Dataset3_Raw!$A$2:$A$391,0),0)</f>
        <v>195</v>
      </c>
      <c r="F806" s="24">
        <f>IF($C806&gt;0,INDEX(Merge_1_2!$B$2:$B$611,$C806),DATE(VALUE(RIGHT(INDEX(Dataset3_Raw!$B$2:$B$391,$E806),4)),VALUE(MID(INDEX(Dataset3_Raw!$B$2:$B$391,$E806),4,2)),VALUE(LEFT(INDEX(Dataset3_Raw!$B$2:$B$391,$E806),2))))</f>
        <v>40579</v>
      </c>
      <c r="G806" s="23">
        <f>IF($C806&gt;0,INDEX(Merge_1_2!$C$2:$C$611,$C806),INDEX(Dataset3_Raw!$C$2:$C$391,$E806))</f>
        <v>1</v>
      </c>
      <c r="H806" s="23">
        <f>IF($C806&gt;0,INDEX(Merge_1_2!$D$2:$D$611,$C806),INDEX(Dataset3_Raw!$D$2:$D$391,$E806))</f>
        <v>0</v>
      </c>
      <c r="I806" s="23">
        <f>IF($C806&gt;0,INDEX(Merge_1_2!$E$2:$E$611,$C806),INDEX(Dataset3_Raw!$E$2:$E$391,$E806))</f>
        <v>2</v>
      </c>
      <c r="J806" s="23">
        <f>IF($C806&gt;0,INDEX(Merge_1_2!$F$2:$F$611,$C806),INDEX(Dataset3_Raw!$F$2:$F$391,$E806))</f>
        <v>23</v>
      </c>
      <c r="K806" s="23" t="b">
        <f>IF($C806&gt;0,INDEX(Merge_1_2!$G$2:$G$611,$C806),INDEX(Dataset3_Raw!$G$2:$G$391,$E806))</f>
        <v>0</v>
      </c>
      <c r="L806" s="23">
        <f>IF($C806&gt;0,INDEX(Merge_1_2!$H$2:$H$611,$C806),INDEX(Dataset3_Raw!$H$2:$H$391,$E806))</f>
        <v>6</v>
      </c>
      <c r="M806" s="23">
        <f>IF($C806&gt;0,INDEX(Merge_1_2!$I$2:$I$611,$C806),INDEX(Dataset3_Raw!$I$2:$I$391,$E806))</f>
        <v>1</v>
      </c>
      <c r="N806" s="25">
        <f>IF($C806&gt;0,INDEX(Merge_1_2!$J$2:$J$611,$C806),INDEX(Dataset3_Raw!$J$2:$J$391,$E806))</f>
        <v>0.26</v>
      </c>
      <c r="O806" s="25">
        <f>IF($C806&gt;0,IF(ISNUMBER(INDEX(Merge_1_2!$K$2:$K$611,$C806)),INDEX(Merge_1_2!$K$2:$K$611,$C806),""),INDEX(Dataset3_Raw!$K$2:$K$391,$E806))</f>
        <v>0.2576</v>
      </c>
      <c r="P806" s="25">
        <f>IF(ISNUMBER($O806),$O806,ROUND(Lookups!$B$25+Lookups!$B$24*$N806,4))</f>
        <v>0.2576</v>
      </c>
      <c r="Q806" s="25">
        <f>IF($C806&gt;0,INDEX(Merge_1_2!$L$2:$L$611,$C806),INDEX(Dataset3_Raw!$L$2:$L$391,$E806))</f>
        <v>0.93</v>
      </c>
      <c r="R806" s="25">
        <f>IF($C806&gt;0,INDEX(Merge_1_2!$M$2:$M$611,$C806),INDEX(Dataset3_Raw!$M$2:$M$391,$E806))</f>
        <v>0.22389999999999999</v>
      </c>
      <c r="S806" s="23">
        <f>IF($C806&gt;0,INDEX(Merge_1_2!$N$2:$N$611,$C806),INDEX(Dataset3_Raw!$N$2:$N$391,$E806))</f>
        <v>7</v>
      </c>
      <c r="T806" s="23">
        <f>IF($C806&gt;0,INDEX(Merge_1_2!$O$2:$O$611,$C806),INDEX(Dataset3_Raw!$O$2:$O$391,$E806))</f>
        <v>52</v>
      </c>
      <c r="U806" s="23">
        <f>IF($C806&gt;0,INDEX(Merge_1_2!$P$2:$P$611,$C806),INDEX(Dataset3_Raw!$P$2:$P$391,$E806))</f>
        <v>59</v>
      </c>
      <c r="V806" s="23" t="str">
        <f t="shared" si="73"/>
        <v>Weekend</v>
      </c>
      <c r="W806" s="23" t="str">
        <f>VLOOKUP($M806,Lookups!$A$5:$B$8,2,FALSE())</f>
        <v>Clear / Partly cloudy</v>
      </c>
      <c r="X806" s="23" t="str">
        <f>VLOOKUP($G806,Lookups!$D$5:$E$8,2,FALSE())</f>
        <v>Winter</v>
      </c>
      <c r="Y806" s="23" t="str">
        <f>VLOOKUP($L806,Lookups!$G$5:$H$11,2,FALSE())</f>
        <v>Saturday</v>
      </c>
      <c r="Z806" s="23" t="str">
        <f>IF($J806&lt;Lookups!$B$26,"Night",IF($J806&lt;Lookups!$B$27,"Morning",IF($J806&lt;Lookups!$B$28,"Afternoon","Evening")))</f>
        <v>Evening</v>
      </c>
      <c r="AA806" s="26">
        <f>ROUND($N806*(Lookups!$B$16-Lookups!$B$15)+Lookups!$B$15,1)</f>
        <v>4.2</v>
      </c>
      <c r="AB806" s="26">
        <f>ROUND($P806*(Lookups!$B$18-Lookups!$B$17)+Lookups!$B$17,1)</f>
        <v>1</v>
      </c>
      <c r="AC806" s="23">
        <f t="shared" si="74"/>
        <v>93</v>
      </c>
      <c r="AD806" s="23">
        <f>ROUND($R806*Lookups!$B$19,1)</f>
        <v>15</v>
      </c>
      <c r="AE806" s="27">
        <f t="shared" si="75"/>
        <v>0.88135593220338981</v>
      </c>
      <c r="AF806" s="23" t="str">
        <f>IF($U806&gt;=Lookups!$B$23,"High",IF($U806&gt;=Lookups!$B$22,"Medium","Low"))</f>
        <v>Medium</v>
      </c>
      <c r="AG806" s="23">
        <f>ROUND(IF($V806="Weekday",IF(INDEX(Hourly_Analysis!$D$5:$D$28,$J806+1)&gt;0,($U806-INDEX(Hourly_Analysis!$C$5:$C$28,$J806+1))/INDEX(Hourly_Analysis!$D$5:$D$28,$J806+1),0),IF(INDEX(Hourly_Analysis!$G$5:$G$28,$J806+1)&gt;0,($U806-INDEX(Hourly_Analysis!$F$5:$F$28,$J806+1))/INDEX(Hourly_Analysis!$G$5:$G$28,$J806+1),0)),2)</f>
        <v>2.1800000000000002</v>
      </c>
      <c r="AH806" s="23" t="str">
        <f>IF(ABS($AG806)&gt;Lookups!$B$20,IF($AG806&gt;0,"High anomaly","Low anomaly"),"")</f>
        <v/>
      </c>
      <c r="AI806" s="23" t="str">
        <f t="shared" si="76"/>
        <v>OK</v>
      </c>
      <c r="AJ806" s="23" t="str">
        <f t="shared" si="77"/>
        <v>No</v>
      </c>
    </row>
    <row r="807" spans="1:36" x14ac:dyDescent="0.35">
      <c r="A807" s="23">
        <v>806</v>
      </c>
      <c r="B807" s="23" t="str">
        <f t="shared" si="72"/>
        <v>Dataset 3</v>
      </c>
      <c r="C807" s="23">
        <f>IFERROR(MATCH($A807,Merge_1_2!$A$2:$A$611,0),0)</f>
        <v>0</v>
      </c>
      <c r="D807" s="23">
        <f>IF($C807&gt;0,INDEX(Merge_1_2!$Q$2:$Q$611,$C807),0)</f>
        <v>0</v>
      </c>
      <c r="E807" s="23">
        <f>IFERROR(MATCH($A807,Dataset3_Raw!$A$2:$A$391,0),0)</f>
        <v>196</v>
      </c>
      <c r="F807" s="24">
        <f>IF($C807&gt;0,INDEX(Merge_1_2!$B$2:$B$611,$C807),DATE(VALUE(RIGHT(INDEX(Dataset3_Raw!$B$2:$B$391,$E807),4)),VALUE(MID(INDEX(Dataset3_Raw!$B$2:$B$391,$E807),4,2)),VALUE(LEFT(INDEX(Dataset3_Raw!$B$2:$B$391,$E807),2))))</f>
        <v>40580</v>
      </c>
      <c r="G807" s="23">
        <f>IF($C807&gt;0,INDEX(Merge_1_2!$C$2:$C$611,$C807),INDEX(Dataset3_Raw!$C$2:$C$391,$E807))</f>
        <v>1</v>
      </c>
      <c r="H807" s="23">
        <f>IF($C807&gt;0,INDEX(Merge_1_2!$D$2:$D$611,$C807),INDEX(Dataset3_Raw!$D$2:$D$391,$E807))</f>
        <v>0</v>
      </c>
      <c r="I807" s="23">
        <f>IF($C807&gt;0,INDEX(Merge_1_2!$E$2:$E$611,$C807),INDEX(Dataset3_Raw!$E$2:$E$391,$E807))</f>
        <v>2</v>
      </c>
      <c r="J807" s="23">
        <f>IF($C807&gt;0,INDEX(Merge_1_2!$F$2:$F$611,$C807),INDEX(Dataset3_Raw!$F$2:$F$391,$E807))</f>
        <v>0</v>
      </c>
      <c r="K807" s="23" t="b">
        <f>IF($C807&gt;0,INDEX(Merge_1_2!$G$2:$G$611,$C807),INDEX(Dataset3_Raw!$G$2:$G$391,$E807))</f>
        <v>0</v>
      </c>
      <c r="L807" s="23">
        <f>IF($C807&gt;0,INDEX(Merge_1_2!$H$2:$H$611,$C807),INDEX(Dataset3_Raw!$H$2:$H$391,$E807))</f>
        <v>0</v>
      </c>
      <c r="M807" s="23">
        <f>IF($C807&gt;0,INDEX(Merge_1_2!$I$2:$I$611,$C807),INDEX(Dataset3_Raw!$I$2:$I$391,$E807))</f>
        <v>1</v>
      </c>
      <c r="N807" s="25">
        <f>IF($C807&gt;0,INDEX(Merge_1_2!$J$2:$J$611,$C807),INDEX(Dataset3_Raw!$J$2:$J$391,$E807))</f>
        <v>0.26</v>
      </c>
      <c r="O807" s="25">
        <f>IF($C807&gt;0,IF(ISNUMBER(INDEX(Merge_1_2!$K$2:$K$611,$C807)),INDEX(Merge_1_2!$K$2:$K$611,$C807),""),INDEX(Dataset3_Raw!$K$2:$K$391,$E807))</f>
        <v>0.2576</v>
      </c>
      <c r="P807" s="25">
        <f>IF(ISNUMBER($O807),$O807,ROUND(Lookups!$B$25+Lookups!$B$24*$N807,4))</f>
        <v>0.2576</v>
      </c>
      <c r="Q807" s="25">
        <f>IF($C807&gt;0,INDEX(Merge_1_2!$L$2:$L$611,$C807),INDEX(Dataset3_Raw!$L$2:$L$391,$E807))</f>
        <v>0.7</v>
      </c>
      <c r="R807" s="25">
        <f>IF($C807&gt;0,INDEX(Merge_1_2!$M$2:$M$611,$C807),INDEX(Dataset3_Raw!$M$2:$M$391,$E807))</f>
        <v>0.19400000000000001</v>
      </c>
      <c r="S807" s="23">
        <f>IF($C807&gt;0,INDEX(Merge_1_2!$N$2:$N$611,$C807),INDEX(Dataset3_Raw!$N$2:$N$391,$E807))</f>
        <v>2</v>
      </c>
      <c r="T807" s="23">
        <f>IF($C807&gt;0,INDEX(Merge_1_2!$O$2:$O$611,$C807),INDEX(Dataset3_Raw!$O$2:$O$391,$E807))</f>
        <v>37</v>
      </c>
      <c r="U807" s="23">
        <f>IF($C807&gt;0,INDEX(Merge_1_2!$P$2:$P$611,$C807),INDEX(Dataset3_Raw!$P$2:$P$391,$E807))</f>
        <v>39</v>
      </c>
      <c r="V807" s="23" t="str">
        <f t="shared" si="73"/>
        <v>Weekend</v>
      </c>
      <c r="W807" s="23" t="str">
        <f>VLOOKUP($M807,Lookups!$A$5:$B$8,2,FALSE())</f>
        <v>Clear / Partly cloudy</v>
      </c>
      <c r="X807" s="23" t="str">
        <f>VLOOKUP($G807,Lookups!$D$5:$E$8,2,FALSE())</f>
        <v>Winter</v>
      </c>
      <c r="Y807" s="23" t="str">
        <f>VLOOKUP($L807,Lookups!$G$5:$H$11,2,FALSE())</f>
        <v>Sunday</v>
      </c>
      <c r="Z807" s="23" t="str">
        <f>IF($J807&lt;Lookups!$B$26,"Night",IF($J807&lt;Lookups!$B$27,"Morning",IF($J807&lt;Lookups!$B$28,"Afternoon","Evening")))</f>
        <v>Night</v>
      </c>
      <c r="AA807" s="26">
        <f>ROUND($N807*(Lookups!$B$16-Lookups!$B$15)+Lookups!$B$15,1)</f>
        <v>4.2</v>
      </c>
      <c r="AB807" s="26">
        <f>ROUND($P807*(Lookups!$B$18-Lookups!$B$17)+Lookups!$B$17,1)</f>
        <v>1</v>
      </c>
      <c r="AC807" s="23">
        <f t="shared" si="74"/>
        <v>70</v>
      </c>
      <c r="AD807" s="23">
        <f>ROUND($R807*Lookups!$B$19,1)</f>
        <v>13</v>
      </c>
      <c r="AE807" s="27">
        <f t="shared" si="75"/>
        <v>0.94871794871794868</v>
      </c>
      <c r="AF807" s="23" t="str">
        <f>IF($U807&gt;=Lookups!$B$23,"High",IF($U807&gt;=Lookups!$B$22,"Medium","Low"))</f>
        <v>Medium</v>
      </c>
      <c r="AG807" s="23">
        <f>ROUND(IF($V807="Weekday",IF(INDEX(Hourly_Analysis!$D$5:$D$28,$J807+1)&gt;0,($U807-INDEX(Hourly_Analysis!$C$5:$C$28,$J807+1))/INDEX(Hourly_Analysis!$D$5:$D$28,$J807+1),0),IF(INDEX(Hourly_Analysis!$G$5:$G$28,$J807+1)&gt;0,($U807-INDEX(Hourly_Analysis!$F$5:$F$28,$J807+1))/INDEX(Hourly_Analysis!$G$5:$G$28,$J807+1),0)),2)</f>
        <v>1.28</v>
      </c>
      <c r="AH807" s="23" t="str">
        <f>IF(ABS($AG807)&gt;Lookups!$B$20,IF($AG807&gt;0,"High anomaly","Low anomaly"),"")</f>
        <v/>
      </c>
      <c r="AI807" s="23" t="str">
        <f t="shared" si="76"/>
        <v>OK</v>
      </c>
      <c r="AJ807" s="23" t="str">
        <f t="shared" si="77"/>
        <v>No</v>
      </c>
    </row>
    <row r="808" spans="1:36" x14ac:dyDescent="0.35">
      <c r="A808" s="23">
        <v>807</v>
      </c>
      <c r="B808" s="23" t="str">
        <f t="shared" si="72"/>
        <v>Dataset 3</v>
      </c>
      <c r="C808" s="23">
        <f>IFERROR(MATCH($A808,Merge_1_2!$A$2:$A$611,0),0)</f>
        <v>0</v>
      </c>
      <c r="D808" s="23">
        <f>IF($C808&gt;0,INDEX(Merge_1_2!$Q$2:$Q$611,$C808),0)</f>
        <v>0</v>
      </c>
      <c r="E808" s="23">
        <f>IFERROR(MATCH($A808,Dataset3_Raw!$A$2:$A$391,0),0)</f>
        <v>197</v>
      </c>
      <c r="F808" s="24">
        <f>IF($C808&gt;0,INDEX(Merge_1_2!$B$2:$B$611,$C808),DATE(VALUE(RIGHT(INDEX(Dataset3_Raw!$B$2:$B$391,$E808),4)),VALUE(MID(INDEX(Dataset3_Raw!$B$2:$B$391,$E808),4,2)),VALUE(LEFT(INDEX(Dataset3_Raw!$B$2:$B$391,$E808),2))))</f>
        <v>40580</v>
      </c>
      <c r="G808" s="23">
        <f>IF($C808&gt;0,INDEX(Merge_1_2!$C$2:$C$611,$C808),INDEX(Dataset3_Raw!$C$2:$C$391,$E808))</f>
        <v>1</v>
      </c>
      <c r="H808" s="23">
        <f>IF($C808&gt;0,INDEX(Merge_1_2!$D$2:$D$611,$C808),INDEX(Dataset3_Raw!$D$2:$D$391,$E808))</f>
        <v>0</v>
      </c>
      <c r="I808" s="23">
        <f>IF($C808&gt;0,INDEX(Merge_1_2!$E$2:$E$611,$C808),INDEX(Dataset3_Raw!$E$2:$E$391,$E808))</f>
        <v>2</v>
      </c>
      <c r="J808" s="23">
        <f>IF($C808&gt;0,INDEX(Merge_1_2!$F$2:$F$611,$C808),INDEX(Dataset3_Raw!$F$2:$F$391,$E808))</f>
        <v>1</v>
      </c>
      <c r="K808" s="23" t="b">
        <f>IF($C808&gt;0,INDEX(Merge_1_2!$G$2:$G$611,$C808),INDEX(Dataset3_Raw!$G$2:$G$391,$E808))</f>
        <v>0</v>
      </c>
      <c r="L808" s="23">
        <f>IF($C808&gt;0,INDEX(Merge_1_2!$H$2:$H$611,$C808),INDEX(Dataset3_Raw!$H$2:$H$391,$E808))</f>
        <v>0</v>
      </c>
      <c r="M808" s="23">
        <f>IF($C808&gt;0,INDEX(Merge_1_2!$I$2:$I$611,$C808),INDEX(Dataset3_Raw!$I$2:$I$391,$E808))</f>
        <v>1</v>
      </c>
      <c r="N808" s="25">
        <f>IF($C808&gt;0,INDEX(Merge_1_2!$J$2:$J$611,$C808),INDEX(Dataset3_Raw!$J$2:$J$391,$E808))</f>
        <v>0.26</v>
      </c>
      <c r="O808" s="25">
        <f>IF($C808&gt;0,IF(ISNUMBER(INDEX(Merge_1_2!$K$2:$K$611,$C808)),INDEX(Merge_1_2!$K$2:$K$611,$C808),""),INDEX(Dataset3_Raw!$K$2:$K$391,$E808))</f>
        <v>0.2273</v>
      </c>
      <c r="P808" s="25">
        <f>IF(ISNUMBER($O808),$O808,ROUND(Lookups!$B$25+Lookups!$B$24*$N808,4))</f>
        <v>0.2273</v>
      </c>
      <c r="Q808" s="25">
        <f>IF($C808&gt;0,INDEX(Merge_1_2!$L$2:$L$611,$C808),INDEX(Dataset3_Raw!$L$2:$L$391,$E808))</f>
        <v>0.65</v>
      </c>
      <c r="R808" s="25">
        <f>IF($C808&gt;0,INDEX(Merge_1_2!$M$2:$M$611,$C808),INDEX(Dataset3_Raw!$M$2:$M$391,$E808))</f>
        <v>0.41789999999999999</v>
      </c>
      <c r="S808" s="23">
        <f>IF($C808&gt;0,INDEX(Merge_1_2!$N$2:$N$611,$C808),INDEX(Dataset3_Raw!$N$2:$N$391,$E808))</f>
        <v>4</v>
      </c>
      <c r="T808" s="23">
        <f>IF($C808&gt;0,INDEX(Merge_1_2!$O$2:$O$611,$C808),INDEX(Dataset3_Raw!$O$2:$O$391,$E808))</f>
        <v>40</v>
      </c>
      <c r="U808" s="23">
        <f>IF($C808&gt;0,INDEX(Merge_1_2!$P$2:$P$611,$C808),INDEX(Dataset3_Raw!$P$2:$P$391,$E808))</f>
        <v>44</v>
      </c>
      <c r="V808" s="23" t="str">
        <f t="shared" si="73"/>
        <v>Weekend</v>
      </c>
      <c r="W808" s="23" t="str">
        <f>VLOOKUP($M808,Lookups!$A$5:$B$8,2,FALSE())</f>
        <v>Clear / Partly cloudy</v>
      </c>
      <c r="X808" s="23" t="str">
        <f>VLOOKUP($G808,Lookups!$D$5:$E$8,2,FALSE())</f>
        <v>Winter</v>
      </c>
      <c r="Y808" s="23" t="str">
        <f>VLOOKUP($L808,Lookups!$G$5:$H$11,2,FALSE())</f>
        <v>Sunday</v>
      </c>
      <c r="Z808" s="23" t="str">
        <f>IF($J808&lt;Lookups!$B$26,"Night",IF($J808&lt;Lookups!$B$27,"Morning",IF($J808&lt;Lookups!$B$28,"Afternoon","Evening")))</f>
        <v>Night</v>
      </c>
      <c r="AA808" s="26">
        <f>ROUND($N808*(Lookups!$B$16-Lookups!$B$15)+Lookups!$B$15,1)</f>
        <v>4.2</v>
      </c>
      <c r="AB808" s="26">
        <f>ROUND($P808*(Lookups!$B$18-Lookups!$B$17)+Lookups!$B$17,1)</f>
        <v>-1</v>
      </c>
      <c r="AC808" s="23">
        <f t="shared" si="74"/>
        <v>65</v>
      </c>
      <c r="AD808" s="23">
        <f>ROUND($R808*Lookups!$B$19,1)</f>
        <v>28</v>
      </c>
      <c r="AE808" s="27">
        <f t="shared" si="75"/>
        <v>0.90909090909090906</v>
      </c>
      <c r="AF808" s="23" t="str">
        <f>IF($U808&gt;=Lookups!$B$23,"High",IF($U808&gt;=Lookups!$B$22,"Medium","Low"))</f>
        <v>Medium</v>
      </c>
      <c r="AG808" s="23">
        <f>ROUND(IF($V808="Weekday",IF(INDEX(Hourly_Analysis!$D$5:$D$28,$J808+1)&gt;0,($U808-INDEX(Hourly_Analysis!$C$5:$C$28,$J808+1))/INDEX(Hourly_Analysis!$D$5:$D$28,$J808+1),0),IF(INDEX(Hourly_Analysis!$G$5:$G$28,$J808+1)&gt;0,($U808-INDEX(Hourly_Analysis!$F$5:$F$28,$J808+1))/INDEX(Hourly_Analysis!$G$5:$G$28,$J808+1),0)),2)</f>
        <v>2.33</v>
      </c>
      <c r="AH808" s="23" t="str">
        <f>IF(ABS($AG808)&gt;Lookups!$B$20,IF($AG808&gt;0,"High anomaly","Low anomaly"),"")</f>
        <v/>
      </c>
      <c r="AI808" s="23" t="str">
        <f t="shared" si="76"/>
        <v>OK</v>
      </c>
      <c r="AJ808" s="23" t="str">
        <f t="shared" si="77"/>
        <v>No</v>
      </c>
    </row>
    <row r="809" spans="1:36" x14ac:dyDescent="0.35">
      <c r="A809" s="23">
        <v>808</v>
      </c>
      <c r="B809" s="23" t="str">
        <f t="shared" si="72"/>
        <v>Dataset 3</v>
      </c>
      <c r="C809" s="23">
        <f>IFERROR(MATCH($A809,Merge_1_2!$A$2:$A$611,0),0)</f>
        <v>0</v>
      </c>
      <c r="D809" s="23">
        <f>IF($C809&gt;0,INDEX(Merge_1_2!$Q$2:$Q$611,$C809),0)</f>
        <v>0</v>
      </c>
      <c r="E809" s="23">
        <f>IFERROR(MATCH($A809,Dataset3_Raw!$A$2:$A$391,0),0)</f>
        <v>198</v>
      </c>
      <c r="F809" s="24">
        <f>IF($C809&gt;0,INDEX(Merge_1_2!$B$2:$B$611,$C809),DATE(VALUE(RIGHT(INDEX(Dataset3_Raw!$B$2:$B$391,$E809),4)),VALUE(MID(INDEX(Dataset3_Raw!$B$2:$B$391,$E809),4,2)),VALUE(LEFT(INDEX(Dataset3_Raw!$B$2:$B$391,$E809),2))))</f>
        <v>40580</v>
      </c>
      <c r="G809" s="23">
        <f>IF($C809&gt;0,INDEX(Merge_1_2!$C$2:$C$611,$C809),INDEX(Dataset3_Raw!$C$2:$C$391,$E809))</f>
        <v>1</v>
      </c>
      <c r="H809" s="23">
        <f>IF($C809&gt;0,INDEX(Merge_1_2!$D$2:$D$611,$C809),INDEX(Dataset3_Raw!$D$2:$D$391,$E809))</f>
        <v>0</v>
      </c>
      <c r="I809" s="23">
        <f>IF($C809&gt;0,INDEX(Merge_1_2!$E$2:$E$611,$C809),INDEX(Dataset3_Raw!$E$2:$E$391,$E809))</f>
        <v>2</v>
      </c>
      <c r="J809" s="23">
        <f>IF($C809&gt;0,INDEX(Merge_1_2!$F$2:$F$611,$C809),INDEX(Dataset3_Raw!$F$2:$F$391,$E809))</f>
        <v>2</v>
      </c>
      <c r="K809" s="23" t="b">
        <f>IF($C809&gt;0,INDEX(Merge_1_2!$G$2:$G$611,$C809),INDEX(Dataset3_Raw!$G$2:$G$391,$E809))</f>
        <v>0</v>
      </c>
      <c r="L809" s="23">
        <f>IF($C809&gt;0,INDEX(Merge_1_2!$H$2:$H$611,$C809),INDEX(Dataset3_Raw!$H$2:$H$391,$E809))</f>
        <v>0</v>
      </c>
      <c r="M809" s="23">
        <f>IF($C809&gt;0,INDEX(Merge_1_2!$I$2:$I$611,$C809),INDEX(Dataset3_Raw!$I$2:$I$391,$E809))</f>
        <v>1</v>
      </c>
      <c r="N809" s="25">
        <f>IF($C809&gt;0,INDEX(Merge_1_2!$J$2:$J$611,$C809),INDEX(Dataset3_Raw!$J$2:$J$391,$E809))</f>
        <v>0.26</v>
      </c>
      <c r="O809" s="25">
        <f>IF($C809&gt;0,IF(ISNUMBER(INDEX(Merge_1_2!$K$2:$K$611,$C809)),INDEX(Merge_1_2!$K$2:$K$611,$C809),""),INDEX(Dataset3_Raw!$K$2:$K$391,$E809))</f>
        <v>0.2273</v>
      </c>
      <c r="P809" s="25">
        <f>IF(ISNUMBER($O809),$O809,ROUND(Lookups!$B$25+Lookups!$B$24*$N809,4))</f>
        <v>0.2273</v>
      </c>
      <c r="Q809" s="25">
        <f>IF($C809&gt;0,INDEX(Merge_1_2!$L$2:$L$611,$C809),INDEX(Dataset3_Raw!$L$2:$L$391,$E809))</f>
        <v>0.6</v>
      </c>
      <c r="R809" s="25">
        <f>IF($C809&gt;0,INDEX(Merge_1_2!$M$2:$M$611,$C809),INDEX(Dataset3_Raw!$M$2:$M$391,$E809))</f>
        <v>0.32840000000000003</v>
      </c>
      <c r="S809" s="23">
        <f>IF($C809&gt;0,INDEX(Merge_1_2!$N$2:$N$611,$C809),INDEX(Dataset3_Raw!$N$2:$N$391,$E809))</f>
        <v>0</v>
      </c>
      <c r="T809" s="23">
        <f>IF($C809&gt;0,INDEX(Merge_1_2!$O$2:$O$611,$C809),INDEX(Dataset3_Raw!$O$2:$O$391,$E809))</f>
        <v>20</v>
      </c>
      <c r="U809" s="23">
        <f>IF($C809&gt;0,INDEX(Merge_1_2!$P$2:$P$611,$C809),INDEX(Dataset3_Raw!$P$2:$P$391,$E809))</f>
        <v>20</v>
      </c>
      <c r="V809" s="23" t="str">
        <f t="shared" si="73"/>
        <v>Weekend</v>
      </c>
      <c r="W809" s="23" t="str">
        <f>VLOOKUP($M809,Lookups!$A$5:$B$8,2,FALSE())</f>
        <v>Clear / Partly cloudy</v>
      </c>
      <c r="X809" s="23" t="str">
        <f>VLOOKUP($G809,Lookups!$D$5:$E$8,2,FALSE())</f>
        <v>Winter</v>
      </c>
      <c r="Y809" s="23" t="str">
        <f>VLOOKUP($L809,Lookups!$G$5:$H$11,2,FALSE())</f>
        <v>Sunday</v>
      </c>
      <c r="Z809" s="23" t="str">
        <f>IF($J809&lt;Lookups!$B$26,"Night",IF($J809&lt;Lookups!$B$27,"Morning",IF($J809&lt;Lookups!$B$28,"Afternoon","Evening")))</f>
        <v>Night</v>
      </c>
      <c r="AA809" s="26">
        <f>ROUND($N809*(Lookups!$B$16-Lookups!$B$15)+Lookups!$B$15,1)</f>
        <v>4.2</v>
      </c>
      <c r="AB809" s="26">
        <f>ROUND($P809*(Lookups!$B$18-Lookups!$B$17)+Lookups!$B$17,1)</f>
        <v>-1</v>
      </c>
      <c r="AC809" s="23">
        <f t="shared" si="74"/>
        <v>60</v>
      </c>
      <c r="AD809" s="23">
        <f>ROUND($R809*Lookups!$B$19,1)</f>
        <v>22</v>
      </c>
      <c r="AE809" s="27">
        <f t="shared" si="75"/>
        <v>1</v>
      </c>
      <c r="AF809" s="23" t="str">
        <f>IF($U809&gt;=Lookups!$B$23,"High",IF($U809&gt;=Lookups!$B$22,"Medium","Low"))</f>
        <v>Medium</v>
      </c>
      <c r="AG809" s="23">
        <f>ROUND(IF($V809="Weekday",IF(INDEX(Hourly_Analysis!$D$5:$D$28,$J809+1)&gt;0,($U809-INDEX(Hourly_Analysis!$C$5:$C$28,$J809+1))/INDEX(Hourly_Analysis!$D$5:$D$28,$J809+1),0),IF(INDEX(Hourly_Analysis!$G$5:$G$28,$J809+1)&gt;0,($U809-INDEX(Hourly_Analysis!$F$5:$F$28,$J809+1))/INDEX(Hourly_Analysis!$G$5:$G$28,$J809+1),0)),2)</f>
        <v>0.77</v>
      </c>
      <c r="AH809" s="23" t="str">
        <f>IF(ABS($AG809)&gt;Lookups!$B$20,IF($AG809&gt;0,"High anomaly","Low anomaly"),"")</f>
        <v/>
      </c>
      <c r="AI809" s="23" t="str">
        <f t="shared" si="76"/>
        <v>OK</v>
      </c>
      <c r="AJ809" s="23" t="str">
        <f t="shared" si="77"/>
        <v>No</v>
      </c>
    </row>
    <row r="810" spans="1:36" x14ac:dyDescent="0.35">
      <c r="A810" s="23">
        <v>809</v>
      </c>
      <c r="B810" s="23" t="str">
        <f t="shared" si="72"/>
        <v>Dataset 3</v>
      </c>
      <c r="C810" s="23">
        <f>IFERROR(MATCH($A810,Merge_1_2!$A$2:$A$611,0),0)</f>
        <v>0</v>
      </c>
      <c r="D810" s="23">
        <f>IF($C810&gt;0,INDEX(Merge_1_2!$Q$2:$Q$611,$C810),0)</f>
        <v>0</v>
      </c>
      <c r="E810" s="23">
        <f>IFERROR(MATCH($A810,Dataset3_Raw!$A$2:$A$391,0),0)</f>
        <v>199</v>
      </c>
      <c r="F810" s="24">
        <f>IF($C810&gt;0,INDEX(Merge_1_2!$B$2:$B$611,$C810),DATE(VALUE(RIGHT(INDEX(Dataset3_Raw!$B$2:$B$391,$E810),4)),VALUE(MID(INDEX(Dataset3_Raw!$B$2:$B$391,$E810),4,2)),VALUE(LEFT(INDEX(Dataset3_Raw!$B$2:$B$391,$E810),2))))</f>
        <v>40580</v>
      </c>
      <c r="G810" s="23">
        <f>IF($C810&gt;0,INDEX(Merge_1_2!$C$2:$C$611,$C810),INDEX(Dataset3_Raw!$C$2:$C$391,$E810))</f>
        <v>1</v>
      </c>
      <c r="H810" s="23">
        <f>IF($C810&gt;0,INDEX(Merge_1_2!$D$2:$D$611,$C810),INDEX(Dataset3_Raw!$D$2:$D$391,$E810))</f>
        <v>0</v>
      </c>
      <c r="I810" s="23">
        <f>IF($C810&gt;0,INDEX(Merge_1_2!$E$2:$E$611,$C810),INDEX(Dataset3_Raw!$E$2:$E$391,$E810))</f>
        <v>2</v>
      </c>
      <c r="J810" s="23">
        <f>IF($C810&gt;0,INDEX(Merge_1_2!$F$2:$F$611,$C810),INDEX(Dataset3_Raw!$F$2:$F$391,$E810))</f>
        <v>3</v>
      </c>
      <c r="K810" s="23" t="b">
        <f>IF($C810&gt;0,INDEX(Merge_1_2!$G$2:$G$611,$C810),INDEX(Dataset3_Raw!$G$2:$G$391,$E810))</f>
        <v>0</v>
      </c>
      <c r="L810" s="23">
        <f>IF($C810&gt;0,INDEX(Merge_1_2!$H$2:$H$611,$C810),INDEX(Dataset3_Raw!$H$2:$H$391,$E810))</f>
        <v>0</v>
      </c>
      <c r="M810" s="23">
        <f>IF($C810&gt;0,INDEX(Merge_1_2!$I$2:$I$611,$C810),INDEX(Dataset3_Raw!$I$2:$I$391,$E810))</f>
        <v>1</v>
      </c>
      <c r="N810" s="25">
        <f>IF($C810&gt;0,INDEX(Merge_1_2!$J$2:$J$611,$C810),INDEX(Dataset3_Raw!$J$2:$J$391,$E810))</f>
        <v>0.26</v>
      </c>
      <c r="O810" s="25">
        <f>IF($C810&gt;0,IF(ISNUMBER(INDEX(Merge_1_2!$K$2:$K$611,$C810)),INDEX(Merge_1_2!$K$2:$K$611,$C810),""),INDEX(Dataset3_Raw!$K$2:$K$391,$E810))</f>
        <v>0.28789999999999999</v>
      </c>
      <c r="P810" s="25">
        <f>IF(ISNUMBER($O810),$O810,ROUND(Lookups!$B$25+Lookups!$B$24*$N810,4))</f>
        <v>0.28789999999999999</v>
      </c>
      <c r="Q810" s="25">
        <f>IF($C810&gt;0,INDEX(Merge_1_2!$L$2:$L$611,$C810),INDEX(Dataset3_Raw!$L$2:$L$391,$E810))</f>
        <v>0.6</v>
      </c>
      <c r="R810" s="25">
        <f>IF($C810&gt;0,INDEX(Merge_1_2!$M$2:$M$611,$C810),INDEX(Dataset3_Raw!$M$2:$M$391,$E810))</f>
        <v>8.9599999999999999E-2</v>
      </c>
      <c r="S810" s="23">
        <f>IF($C810&gt;0,INDEX(Merge_1_2!$N$2:$N$611,$C810),INDEX(Dataset3_Raw!$N$2:$N$391,$E810))</f>
        <v>3</v>
      </c>
      <c r="T810" s="23">
        <f>IF($C810&gt;0,INDEX(Merge_1_2!$O$2:$O$611,$C810),INDEX(Dataset3_Raw!$O$2:$O$391,$E810))</f>
        <v>10</v>
      </c>
      <c r="U810" s="23">
        <f>IF($C810&gt;0,INDEX(Merge_1_2!$P$2:$P$611,$C810),INDEX(Dataset3_Raw!$P$2:$P$391,$E810))</f>
        <v>13</v>
      </c>
      <c r="V810" s="23" t="str">
        <f t="shared" si="73"/>
        <v>Weekend</v>
      </c>
      <c r="W810" s="23" t="str">
        <f>VLOOKUP($M810,Lookups!$A$5:$B$8,2,FALSE())</f>
        <v>Clear / Partly cloudy</v>
      </c>
      <c r="X810" s="23" t="str">
        <f>VLOOKUP($G810,Lookups!$D$5:$E$8,2,FALSE())</f>
        <v>Winter</v>
      </c>
      <c r="Y810" s="23" t="str">
        <f>VLOOKUP($L810,Lookups!$G$5:$H$11,2,FALSE())</f>
        <v>Sunday</v>
      </c>
      <c r="Z810" s="23" t="str">
        <f>IF($J810&lt;Lookups!$B$26,"Night",IF($J810&lt;Lookups!$B$27,"Morning",IF($J810&lt;Lookups!$B$28,"Afternoon","Evening")))</f>
        <v>Night</v>
      </c>
      <c r="AA810" s="26">
        <f>ROUND($N810*(Lookups!$B$16-Lookups!$B$15)+Lookups!$B$15,1)</f>
        <v>4.2</v>
      </c>
      <c r="AB810" s="26">
        <f>ROUND($P810*(Lookups!$B$18-Lookups!$B$17)+Lookups!$B$17,1)</f>
        <v>3</v>
      </c>
      <c r="AC810" s="23">
        <f t="shared" si="74"/>
        <v>60</v>
      </c>
      <c r="AD810" s="23">
        <f>ROUND($R810*Lookups!$B$19,1)</f>
        <v>6</v>
      </c>
      <c r="AE810" s="27">
        <f t="shared" si="75"/>
        <v>0.76923076923076927</v>
      </c>
      <c r="AF810" s="23" t="str">
        <f>IF($U810&gt;=Lookups!$B$23,"High",IF($U810&gt;=Lookups!$B$22,"Medium","Low"))</f>
        <v>Low</v>
      </c>
      <c r="AG810" s="23">
        <f>ROUND(IF($V810="Weekday",IF(INDEX(Hourly_Analysis!$D$5:$D$28,$J810+1)&gt;0,($U810-INDEX(Hourly_Analysis!$C$5:$C$28,$J810+1))/INDEX(Hourly_Analysis!$D$5:$D$28,$J810+1),0),IF(INDEX(Hourly_Analysis!$G$5:$G$28,$J810+1)&gt;0,($U810-INDEX(Hourly_Analysis!$F$5:$F$28,$J810+1))/INDEX(Hourly_Analysis!$G$5:$G$28,$J810+1),0)),2)</f>
        <v>1.2</v>
      </c>
      <c r="AH810" s="23" t="str">
        <f>IF(ABS($AG810)&gt;Lookups!$B$20,IF($AG810&gt;0,"High anomaly","Low anomaly"),"")</f>
        <v/>
      </c>
      <c r="AI810" s="23" t="str">
        <f t="shared" si="76"/>
        <v>OK</v>
      </c>
      <c r="AJ810" s="23" t="str">
        <f t="shared" si="77"/>
        <v>No</v>
      </c>
    </row>
    <row r="811" spans="1:36" x14ac:dyDescent="0.35">
      <c r="A811" s="23">
        <v>810</v>
      </c>
      <c r="B811" s="23" t="str">
        <f t="shared" si="72"/>
        <v>Dataset 3</v>
      </c>
      <c r="C811" s="23">
        <f>IFERROR(MATCH($A811,Merge_1_2!$A$2:$A$611,0),0)</f>
        <v>0</v>
      </c>
      <c r="D811" s="23">
        <f>IF($C811&gt;0,INDEX(Merge_1_2!$Q$2:$Q$611,$C811),0)</f>
        <v>0</v>
      </c>
      <c r="E811" s="23">
        <f>IFERROR(MATCH($A811,Dataset3_Raw!$A$2:$A$391,0),0)</f>
        <v>200</v>
      </c>
      <c r="F811" s="24">
        <f>IF($C811&gt;0,INDEX(Merge_1_2!$B$2:$B$611,$C811),DATE(VALUE(RIGHT(INDEX(Dataset3_Raw!$B$2:$B$391,$E811),4)),VALUE(MID(INDEX(Dataset3_Raw!$B$2:$B$391,$E811),4,2)),VALUE(LEFT(INDEX(Dataset3_Raw!$B$2:$B$391,$E811),2))))</f>
        <v>40580</v>
      </c>
      <c r="G811" s="23">
        <f>IF($C811&gt;0,INDEX(Merge_1_2!$C$2:$C$611,$C811),INDEX(Dataset3_Raw!$C$2:$C$391,$E811))</f>
        <v>1</v>
      </c>
      <c r="H811" s="23">
        <f>IF($C811&gt;0,INDEX(Merge_1_2!$D$2:$D$611,$C811),INDEX(Dataset3_Raw!$D$2:$D$391,$E811))</f>
        <v>0</v>
      </c>
      <c r="I811" s="23">
        <f>IF($C811&gt;0,INDEX(Merge_1_2!$E$2:$E$611,$C811),INDEX(Dataset3_Raw!$E$2:$E$391,$E811))</f>
        <v>2</v>
      </c>
      <c r="J811" s="23">
        <f>IF($C811&gt;0,INDEX(Merge_1_2!$F$2:$F$611,$C811),INDEX(Dataset3_Raw!$F$2:$F$391,$E811))</f>
        <v>4</v>
      </c>
      <c r="K811" s="23" t="b">
        <f>IF($C811&gt;0,INDEX(Merge_1_2!$G$2:$G$611,$C811),INDEX(Dataset3_Raw!$G$2:$G$391,$E811))</f>
        <v>0</v>
      </c>
      <c r="L811" s="23">
        <f>IF($C811&gt;0,INDEX(Merge_1_2!$H$2:$H$611,$C811),INDEX(Dataset3_Raw!$H$2:$H$391,$E811))</f>
        <v>0</v>
      </c>
      <c r="M811" s="23">
        <f>IF($C811&gt;0,INDEX(Merge_1_2!$I$2:$I$611,$C811),INDEX(Dataset3_Raw!$I$2:$I$391,$E811))</f>
        <v>1</v>
      </c>
      <c r="N811" s="25">
        <f>IF($C811&gt;0,INDEX(Merge_1_2!$J$2:$J$611,$C811),INDEX(Dataset3_Raw!$J$2:$J$391,$E811))</f>
        <v>0.26</v>
      </c>
      <c r="O811" s="25">
        <f>IF($C811&gt;0,IF(ISNUMBER(INDEX(Merge_1_2!$K$2:$K$611,$C811)),INDEX(Merge_1_2!$K$2:$K$611,$C811),""),INDEX(Dataset3_Raw!$K$2:$K$391,$E811))</f>
        <v>0.2273</v>
      </c>
      <c r="P811" s="25">
        <f>IF(ISNUMBER($O811),$O811,ROUND(Lookups!$B$25+Lookups!$B$24*$N811,4))</f>
        <v>0.2273</v>
      </c>
      <c r="Q811" s="25">
        <f>IF($C811&gt;0,INDEX(Merge_1_2!$L$2:$L$611,$C811),INDEX(Dataset3_Raw!$L$2:$L$391,$E811))</f>
        <v>0.6</v>
      </c>
      <c r="R811" s="25">
        <f>IF($C811&gt;0,INDEX(Merge_1_2!$M$2:$M$611,$C811),INDEX(Dataset3_Raw!$M$2:$M$391,$E811))</f>
        <v>0.35820000000000002</v>
      </c>
      <c r="S811" s="23">
        <f>IF($C811&gt;0,INDEX(Merge_1_2!$N$2:$N$611,$C811),INDEX(Dataset3_Raw!$N$2:$N$391,$E811))</f>
        <v>0</v>
      </c>
      <c r="T811" s="23">
        <f>IF($C811&gt;0,INDEX(Merge_1_2!$O$2:$O$611,$C811),INDEX(Dataset3_Raw!$O$2:$O$391,$E811))</f>
        <v>2</v>
      </c>
      <c r="U811" s="23">
        <f>IF($C811&gt;0,INDEX(Merge_1_2!$P$2:$P$611,$C811),INDEX(Dataset3_Raw!$P$2:$P$391,$E811))</f>
        <v>2</v>
      </c>
      <c r="V811" s="23" t="str">
        <f t="shared" si="73"/>
        <v>Weekend</v>
      </c>
      <c r="W811" s="23" t="str">
        <f>VLOOKUP($M811,Lookups!$A$5:$B$8,2,FALSE())</f>
        <v>Clear / Partly cloudy</v>
      </c>
      <c r="X811" s="23" t="str">
        <f>VLOOKUP($G811,Lookups!$D$5:$E$8,2,FALSE())</f>
        <v>Winter</v>
      </c>
      <c r="Y811" s="23" t="str">
        <f>VLOOKUP($L811,Lookups!$G$5:$H$11,2,FALSE())</f>
        <v>Sunday</v>
      </c>
      <c r="Z811" s="23" t="str">
        <f>IF($J811&lt;Lookups!$B$26,"Night",IF($J811&lt;Lookups!$B$27,"Morning",IF($J811&lt;Lookups!$B$28,"Afternoon","Evening")))</f>
        <v>Night</v>
      </c>
      <c r="AA811" s="26">
        <f>ROUND($N811*(Lookups!$B$16-Lookups!$B$15)+Lookups!$B$15,1)</f>
        <v>4.2</v>
      </c>
      <c r="AB811" s="26">
        <f>ROUND($P811*(Lookups!$B$18-Lookups!$B$17)+Lookups!$B$17,1)</f>
        <v>-1</v>
      </c>
      <c r="AC811" s="23">
        <f t="shared" si="74"/>
        <v>60</v>
      </c>
      <c r="AD811" s="23">
        <f>ROUND($R811*Lookups!$B$19,1)</f>
        <v>24</v>
      </c>
      <c r="AE811" s="27">
        <f t="shared" si="75"/>
        <v>1</v>
      </c>
      <c r="AF811" s="23" t="str">
        <f>IF($U811&gt;=Lookups!$B$23,"High",IF($U811&gt;=Lookups!$B$22,"Medium","Low"))</f>
        <v>Low</v>
      </c>
      <c r="AG811" s="23">
        <f>ROUND(IF($V811="Weekday",IF(INDEX(Hourly_Analysis!$D$5:$D$28,$J811+1)&gt;0,($U811-INDEX(Hourly_Analysis!$C$5:$C$28,$J811+1))/INDEX(Hourly_Analysis!$D$5:$D$28,$J811+1),0),IF(INDEX(Hourly_Analysis!$G$5:$G$28,$J811+1)&gt;0,($U811-INDEX(Hourly_Analysis!$F$5:$F$28,$J811+1))/INDEX(Hourly_Analysis!$G$5:$G$28,$J811+1),0)),2)</f>
        <v>-0.36</v>
      </c>
      <c r="AH811" s="23" t="str">
        <f>IF(ABS($AG811)&gt;Lookups!$B$20,IF($AG811&gt;0,"High anomaly","Low anomaly"),"")</f>
        <v/>
      </c>
      <c r="AI811" s="23" t="str">
        <f t="shared" si="76"/>
        <v>OK</v>
      </c>
      <c r="AJ811" s="23" t="str">
        <f t="shared" si="77"/>
        <v>No</v>
      </c>
    </row>
    <row r="812" spans="1:36" x14ac:dyDescent="0.35">
      <c r="A812" s="23">
        <v>811</v>
      </c>
      <c r="B812" s="23" t="str">
        <f t="shared" si="72"/>
        <v>Dataset 3</v>
      </c>
      <c r="C812" s="23">
        <f>IFERROR(MATCH($A812,Merge_1_2!$A$2:$A$611,0),0)</f>
        <v>0</v>
      </c>
      <c r="D812" s="23">
        <f>IF($C812&gt;0,INDEX(Merge_1_2!$Q$2:$Q$611,$C812),0)</f>
        <v>0</v>
      </c>
      <c r="E812" s="23">
        <f>IFERROR(MATCH($A812,Dataset3_Raw!$A$2:$A$391,0),0)</f>
        <v>201</v>
      </c>
      <c r="F812" s="24">
        <f>IF($C812&gt;0,INDEX(Merge_1_2!$B$2:$B$611,$C812),DATE(VALUE(RIGHT(INDEX(Dataset3_Raw!$B$2:$B$391,$E812),4)),VALUE(MID(INDEX(Dataset3_Raw!$B$2:$B$391,$E812),4,2)),VALUE(LEFT(INDEX(Dataset3_Raw!$B$2:$B$391,$E812),2))))</f>
        <v>40580</v>
      </c>
      <c r="G812" s="23">
        <f>IF($C812&gt;0,INDEX(Merge_1_2!$C$2:$C$611,$C812),INDEX(Dataset3_Raw!$C$2:$C$391,$E812))</f>
        <v>1</v>
      </c>
      <c r="H812" s="23">
        <f>IF($C812&gt;0,INDEX(Merge_1_2!$D$2:$D$611,$C812),INDEX(Dataset3_Raw!$D$2:$D$391,$E812))</f>
        <v>0</v>
      </c>
      <c r="I812" s="23">
        <f>IF($C812&gt;0,INDEX(Merge_1_2!$E$2:$E$611,$C812),INDEX(Dataset3_Raw!$E$2:$E$391,$E812))</f>
        <v>2</v>
      </c>
      <c r="J812" s="23">
        <f>IF($C812&gt;0,INDEX(Merge_1_2!$F$2:$F$611,$C812),INDEX(Dataset3_Raw!$F$2:$F$391,$E812))</f>
        <v>5</v>
      </c>
      <c r="K812" s="23" t="b">
        <f>IF($C812&gt;0,INDEX(Merge_1_2!$G$2:$G$611,$C812),INDEX(Dataset3_Raw!$G$2:$G$391,$E812))</f>
        <v>0</v>
      </c>
      <c r="L812" s="23">
        <f>IF($C812&gt;0,INDEX(Merge_1_2!$H$2:$H$611,$C812),INDEX(Dataset3_Raw!$H$2:$H$391,$E812))</f>
        <v>0</v>
      </c>
      <c r="M812" s="23">
        <f>IF($C812&gt;0,INDEX(Merge_1_2!$I$2:$I$611,$C812),INDEX(Dataset3_Raw!$I$2:$I$391,$E812))</f>
        <v>1</v>
      </c>
      <c r="N812" s="25">
        <f>IF($C812&gt;0,INDEX(Merge_1_2!$J$2:$J$611,$C812),INDEX(Dataset3_Raw!$J$2:$J$391,$E812))</f>
        <v>0.26</v>
      </c>
      <c r="O812" s="25">
        <f>IF($C812&gt;0,IF(ISNUMBER(INDEX(Merge_1_2!$K$2:$K$611,$C812)),INDEX(Merge_1_2!$K$2:$K$611,$C812),""),INDEX(Dataset3_Raw!$K$2:$K$391,$E812))</f>
        <v>0.2576</v>
      </c>
      <c r="P812" s="25">
        <f>IF(ISNUMBER($O812),$O812,ROUND(Lookups!$B$25+Lookups!$B$24*$N812,4))</f>
        <v>0.2576</v>
      </c>
      <c r="Q812" s="25">
        <f>IF($C812&gt;0,INDEX(Merge_1_2!$L$2:$L$611,$C812),INDEX(Dataset3_Raw!$L$2:$L$391,$E812))</f>
        <v>0.6</v>
      </c>
      <c r="R812" s="25">
        <f>IF($C812&gt;0,INDEX(Merge_1_2!$M$2:$M$611,$C812),INDEX(Dataset3_Raw!$M$2:$M$391,$E812))</f>
        <v>0.22389999999999999</v>
      </c>
      <c r="S812" s="23">
        <f>IF($C812&gt;0,INDEX(Merge_1_2!$N$2:$N$611,$C812),INDEX(Dataset3_Raw!$N$2:$N$391,$E812))</f>
        <v>0</v>
      </c>
      <c r="T812" s="23">
        <f>IF($C812&gt;0,INDEX(Merge_1_2!$O$2:$O$611,$C812),INDEX(Dataset3_Raw!$O$2:$O$391,$E812))</f>
        <v>1</v>
      </c>
      <c r="U812" s="23">
        <f>IF($C812&gt;0,INDEX(Merge_1_2!$P$2:$P$611,$C812),INDEX(Dataset3_Raw!$P$2:$P$391,$E812))</f>
        <v>1</v>
      </c>
      <c r="V812" s="23" t="str">
        <f t="shared" si="73"/>
        <v>Weekend</v>
      </c>
      <c r="W812" s="23" t="str">
        <f>VLOOKUP($M812,Lookups!$A$5:$B$8,2,FALSE())</f>
        <v>Clear / Partly cloudy</v>
      </c>
      <c r="X812" s="23" t="str">
        <f>VLOOKUP($G812,Lookups!$D$5:$E$8,2,FALSE())</f>
        <v>Winter</v>
      </c>
      <c r="Y812" s="23" t="str">
        <f>VLOOKUP($L812,Lookups!$G$5:$H$11,2,FALSE())</f>
        <v>Sunday</v>
      </c>
      <c r="Z812" s="23" t="str">
        <f>IF($J812&lt;Lookups!$B$26,"Night",IF($J812&lt;Lookups!$B$27,"Morning",IF($J812&lt;Lookups!$B$28,"Afternoon","Evening")))</f>
        <v>Night</v>
      </c>
      <c r="AA812" s="26">
        <f>ROUND($N812*(Lookups!$B$16-Lookups!$B$15)+Lookups!$B$15,1)</f>
        <v>4.2</v>
      </c>
      <c r="AB812" s="26">
        <f>ROUND($P812*(Lookups!$B$18-Lookups!$B$17)+Lookups!$B$17,1)</f>
        <v>1</v>
      </c>
      <c r="AC812" s="23">
        <f t="shared" si="74"/>
        <v>60</v>
      </c>
      <c r="AD812" s="23">
        <f>ROUND($R812*Lookups!$B$19,1)</f>
        <v>15</v>
      </c>
      <c r="AE812" s="27">
        <f t="shared" si="75"/>
        <v>1</v>
      </c>
      <c r="AF812" s="23" t="str">
        <f>IF($U812&gt;=Lookups!$B$23,"High",IF($U812&gt;=Lookups!$B$22,"Medium","Low"))</f>
        <v>Low</v>
      </c>
      <c r="AG812" s="23">
        <f>ROUND(IF($V812="Weekday",IF(INDEX(Hourly_Analysis!$D$5:$D$28,$J812+1)&gt;0,($U812-INDEX(Hourly_Analysis!$C$5:$C$28,$J812+1))/INDEX(Hourly_Analysis!$D$5:$D$28,$J812+1),0),IF(INDEX(Hourly_Analysis!$G$5:$G$28,$J812+1)&gt;0,($U812-INDEX(Hourly_Analysis!$F$5:$F$28,$J812+1))/INDEX(Hourly_Analysis!$G$5:$G$28,$J812+1),0)),2)</f>
        <v>-0.62</v>
      </c>
      <c r="AH812" s="23" t="str">
        <f>IF(ABS($AG812)&gt;Lookups!$B$20,IF($AG812&gt;0,"High anomaly","Low anomaly"),"")</f>
        <v/>
      </c>
      <c r="AI812" s="23" t="str">
        <f t="shared" si="76"/>
        <v>OK</v>
      </c>
      <c r="AJ812" s="23" t="str">
        <f t="shared" si="77"/>
        <v>No</v>
      </c>
    </row>
    <row r="813" spans="1:36" x14ac:dyDescent="0.35">
      <c r="A813" s="23">
        <v>812</v>
      </c>
      <c r="B813" s="23" t="str">
        <f t="shared" si="72"/>
        <v>Dataset 3</v>
      </c>
      <c r="C813" s="23">
        <f>IFERROR(MATCH($A813,Merge_1_2!$A$2:$A$611,0),0)</f>
        <v>0</v>
      </c>
      <c r="D813" s="23">
        <f>IF($C813&gt;0,INDEX(Merge_1_2!$Q$2:$Q$611,$C813),0)</f>
        <v>0</v>
      </c>
      <c r="E813" s="23">
        <f>IFERROR(MATCH($A813,Dataset3_Raw!$A$2:$A$391,0),0)</f>
        <v>202</v>
      </c>
      <c r="F813" s="24">
        <f>IF($C813&gt;0,INDEX(Merge_1_2!$B$2:$B$611,$C813),DATE(VALUE(RIGHT(INDEX(Dataset3_Raw!$B$2:$B$391,$E813),4)),VALUE(MID(INDEX(Dataset3_Raw!$B$2:$B$391,$E813),4,2)),VALUE(LEFT(INDEX(Dataset3_Raw!$B$2:$B$391,$E813),2))))</f>
        <v>40580</v>
      </c>
      <c r="G813" s="23">
        <f>IF($C813&gt;0,INDEX(Merge_1_2!$C$2:$C$611,$C813),INDEX(Dataset3_Raw!$C$2:$C$391,$E813))</f>
        <v>1</v>
      </c>
      <c r="H813" s="23">
        <f>IF($C813&gt;0,INDEX(Merge_1_2!$D$2:$D$611,$C813),INDEX(Dataset3_Raw!$D$2:$D$391,$E813))</f>
        <v>0</v>
      </c>
      <c r="I813" s="23">
        <f>IF($C813&gt;0,INDEX(Merge_1_2!$E$2:$E$611,$C813),INDEX(Dataset3_Raw!$E$2:$E$391,$E813))</f>
        <v>2</v>
      </c>
      <c r="J813" s="23">
        <f>IF($C813&gt;0,INDEX(Merge_1_2!$F$2:$F$611,$C813),INDEX(Dataset3_Raw!$F$2:$F$391,$E813))</f>
        <v>6</v>
      </c>
      <c r="K813" s="23" t="b">
        <f>IF($C813&gt;0,INDEX(Merge_1_2!$G$2:$G$611,$C813),INDEX(Dataset3_Raw!$G$2:$G$391,$E813))</f>
        <v>0</v>
      </c>
      <c r="L813" s="23">
        <f>IF($C813&gt;0,INDEX(Merge_1_2!$H$2:$H$611,$C813),INDEX(Dataset3_Raw!$H$2:$H$391,$E813))</f>
        <v>0</v>
      </c>
      <c r="M813" s="23">
        <f>IF($C813&gt;0,INDEX(Merge_1_2!$I$2:$I$611,$C813),INDEX(Dataset3_Raw!$I$2:$I$391,$E813))</f>
        <v>1</v>
      </c>
      <c r="N813" s="25">
        <f>IF($C813&gt;0,INDEX(Merge_1_2!$J$2:$J$611,$C813),INDEX(Dataset3_Raw!$J$2:$J$391,$E813))</f>
        <v>0.26</v>
      </c>
      <c r="O813" s="25">
        <f>IF($C813&gt;0,IF(ISNUMBER(INDEX(Merge_1_2!$K$2:$K$611,$C813)),INDEX(Merge_1_2!$K$2:$K$611,$C813),""),INDEX(Dataset3_Raw!$K$2:$K$391,$E813))</f>
        <v>0.2576</v>
      </c>
      <c r="P813" s="25">
        <f>IF(ISNUMBER($O813),$O813,ROUND(Lookups!$B$25+Lookups!$B$24*$N813,4))</f>
        <v>0.2576</v>
      </c>
      <c r="Q813" s="25">
        <f>IF($C813&gt;0,INDEX(Merge_1_2!$L$2:$L$611,$C813),INDEX(Dataset3_Raw!$L$2:$L$391,$E813))</f>
        <v>0.6</v>
      </c>
      <c r="R813" s="25">
        <f>IF($C813&gt;0,INDEX(Merge_1_2!$M$2:$M$611,$C813),INDEX(Dataset3_Raw!$M$2:$M$391,$E813))</f>
        <v>0.22389999999999999</v>
      </c>
      <c r="S813" s="23">
        <f>IF($C813&gt;0,INDEX(Merge_1_2!$N$2:$N$611,$C813),INDEX(Dataset3_Raw!$N$2:$N$391,$E813))</f>
        <v>0</v>
      </c>
      <c r="T813" s="23">
        <f>IF($C813&gt;0,INDEX(Merge_1_2!$O$2:$O$611,$C813),INDEX(Dataset3_Raw!$O$2:$O$391,$E813))</f>
        <v>1</v>
      </c>
      <c r="U813" s="23">
        <f>IF($C813&gt;0,INDEX(Merge_1_2!$P$2:$P$611,$C813),INDEX(Dataset3_Raw!$P$2:$P$391,$E813))</f>
        <v>1</v>
      </c>
      <c r="V813" s="23" t="str">
        <f t="shared" si="73"/>
        <v>Weekend</v>
      </c>
      <c r="W813" s="23" t="str">
        <f>VLOOKUP($M813,Lookups!$A$5:$B$8,2,FALSE())</f>
        <v>Clear / Partly cloudy</v>
      </c>
      <c r="X813" s="23" t="str">
        <f>VLOOKUP($G813,Lookups!$D$5:$E$8,2,FALSE())</f>
        <v>Winter</v>
      </c>
      <c r="Y813" s="23" t="str">
        <f>VLOOKUP($L813,Lookups!$G$5:$H$11,2,FALSE())</f>
        <v>Sunday</v>
      </c>
      <c r="Z813" s="23" t="str">
        <f>IF($J813&lt;Lookups!$B$26,"Night",IF($J813&lt;Lookups!$B$27,"Morning",IF($J813&lt;Lookups!$B$28,"Afternoon","Evening")))</f>
        <v>Morning</v>
      </c>
      <c r="AA813" s="26">
        <f>ROUND($N813*(Lookups!$B$16-Lookups!$B$15)+Lookups!$B$15,1)</f>
        <v>4.2</v>
      </c>
      <c r="AB813" s="26">
        <f>ROUND($P813*(Lookups!$B$18-Lookups!$B$17)+Lookups!$B$17,1)</f>
        <v>1</v>
      </c>
      <c r="AC813" s="23">
        <f t="shared" si="74"/>
        <v>60</v>
      </c>
      <c r="AD813" s="23">
        <f>ROUND($R813*Lookups!$B$19,1)</f>
        <v>15</v>
      </c>
      <c r="AE813" s="27">
        <f t="shared" si="75"/>
        <v>1</v>
      </c>
      <c r="AF813" s="23" t="str">
        <f>IF($U813&gt;=Lookups!$B$23,"High",IF($U813&gt;=Lookups!$B$22,"Medium","Low"))</f>
        <v>Low</v>
      </c>
      <c r="AG813" s="23">
        <f>ROUND(IF($V813="Weekday",IF(INDEX(Hourly_Analysis!$D$5:$D$28,$J813+1)&gt;0,($U813-INDEX(Hourly_Analysis!$C$5:$C$28,$J813+1))/INDEX(Hourly_Analysis!$D$5:$D$28,$J813+1),0),IF(INDEX(Hourly_Analysis!$G$5:$G$28,$J813+1)&gt;0,($U813-INDEX(Hourly_Analysis!$F$5:$F$28,$J813+1))/INDEX(Hourly_Analysis!$G$5:$G$28,$J813+1),0)),2)</f>
        <v>-0.97</v>
      </c>
      <c r="AH813" s="23" t="str">
        <f>IF(ABS($AG813)&gt;Lookups!$B$20,IF($AG813&gt;0,"High anomaly","Low anomaly"),"")</f>
        <v/>
      </c>
      <c r="AI813" s="23" t="str">
        <f t="shared" si="76"/>
        <v>OK</v>
      </c>
      <c r="AJ813" s="23" t="str">
        <f t="shared" si="77"/>
        <v>No</v>
      </c>
    </row>
    <row r="814" spans="1:36" x14ac:dyDescent="0.35">
      <c r="A814" s="23">
        <v>813</v>
      </c>
      <c r="B814" s="23" t="str">
        <f t="shared" si="72"/>
        <v>Dataset 3</v>
      </c>
      <c r="C814" s="23">
        <f>IFERROR(MATCH($A814,Merge_1_2!$A$2:$A$611,0),0)</f>
        <v>0</v>
      </c>
      <c r="D814" s="23">
        <f>IF($C814&gt;0,INDEX(Merge_1_2!$Q$2:$Q$611,$C814),0)</f>
        <v>0</v>
      </c>
      <c r="E814" s="23">
        <f>IFERROR(MATCH($A814,Dataset3_Raw!$A$2:$A$391,0),0)</f>
        <v>203</v>
      </c>
      <c r="F814" s="24">
        <f>IF($C814&gt;0,INDEX(Merge_1_2!$B$2:$B$611,$C814),DATE(VALUE(RIGHT(INDEX(Dataset3_Raw!$B$2:$B$391,$E814),4)),VALUE(MID(INDEX(Dataset3_Raw!$B$2:$B$391,$E814),4,2)),VALUE(LEFT(INDEX(Dataset3_Raw!$B$2:$B$391,$E814),2))))</f>
        <v>40580</v>
      </c>
      <c r="G814" s="23">
        <f>IF($C814&gt;0,INDEX(Merge_1_2!$C$2:$C$611,$C814),INDEX(Dataset3_Raw!$C$2:$C$391,$E814))</f>
        <v>1</v>
      </c>
      <c r="H814" s="23">
        <f>IF($C814&gt;0,INDEX(Merge_1_2!$D$2:$D$611,$C814),INDEX(Dataset3_Raw!$D$2:$D$391,$E814))</f>
        <v>0</v>
      </c>
      <c r="I814" s="23">
        <f>IF($C814&gt;0,INDEX(Merge_1_2!$E$2:$E$611,$C814),INDEX(Dataset3_Raw!$E$2:$E$391,$E814))</f>
        <v>2</v>
      </c>
      <c r="J814" s="23">
        <f>IF($C814&gt;0,INDEX(Merge_1_2!$F$2:$F$611,$C814),INDEX(Dataset3_Raw!$F$2:$F$391,$E814))</f>
        <v>7</v>
      </c>
      <c r="K814" s="23" t="b">
        <f>IF($C814&gt;0,INDEX(Merge_1_2!$G$2:$G$611,$C814),INDEX(Dataset3_Raw!$G$2:$G$391,$E814))</f>
        <v>0</v>
      </c>
      <c r="L814" s="23">
        <f>IF($C814&gt;0,INDEX(Merge_1_2!$H$2:$H$611,$C814),INDEX(Dataset3_Raw!$H$2:$H$391,$E814))</f>
        <v>0</v>
      </c>
      <c r="M814" s="23">
        <f>IF($C814&gt;0,INDEX(Merge_1_2!$I$2:$I$611,$C814),INDEX(Dataset3_Raw!$I$2:$I$391,$E814))</f>
        <v>1</v>
      </c>
      <c r="N814" s="25">
        <f>IF($C814&gt;0,INDEX(Merge_1_2!$J$2:$J$611,$C814),INDEX(Dataset3_Raw!$J$2:$J$391,$E814))</f>
        <v>0.24</v>
      </c>
      <c r="O814" s="25">
        <f>IF($C814&gt;0,IF(ISNUMBER(INDEX(Merge_1_2!$K$2:$K$611,$C814)),INDEX(Merge_1_2!$K$2:$K$611,$C814),""),INDEX(Dataset3_Raw!$K$2:$K$391,$E814))</f>
        <v>0.2424</v>
      </c>
      <c r="P814" s="25">
        <f>IF(ISNUMBER($O814),$O814,ROUND(Lookups!$B$25+Lookups!$B$24*$N814,4))</f>
        <v>0.2424</v>
      </c>
      <c r="Q814" s="25">
        <f>IF($C814&gt;0,INDEX(Merge_1_2!$L$2:$L$611,$C814),INDEX(Dataset3_Raw!$L$2:$L$391,$E814))</f>
        <v>0.65</v>
      </c>
      <c r="R814" s="25">
        <f>IF($C814&gt;0,INDEX(Merge_1_2!$M$2:$M$611,$C814),INDEX(Dataset3_Raw!$M$2:$M$391,$E814))</f>
        <v>0.16420000000000001</v>
      </c>
      <c r="S814" s="23">
        <f>IF($C814&gt;0,INDEX(Merge_1_2!$N$2:$N$611,$C814),INDEX(Dataset3_Raw!$N$2:$N$391,$E814))</f>
        <v>0</v>
      </c>
      <c r="T814" s="23">
        <f>IF($C814&gt;0,INDEX(Merge_1_2!$O$2:$O$611,$C814),INDEX(Dataset3_Raw!$O$2:$O$391,$E814))</f>
        <v>8</v>
      </c>
      <c r="U814" s="23">
        <f>IF($C814&gt;0,INDEX(Merge_1_2!$P$2:$P$611,$C814),INDEX(Dataset3_Raw!$P$2:$P$391,$E814))</f>
        <v>8</v>
      </c>
      <c r="V814" s="23" t="str">
        <f t="shared" si="73"/>
        <v>Weekend</v>
      </c>
      <c r="W814" s="23" t="str">
        <f>VLOOKUP($M814,Lookups!$A$5:$B$8,2,FALSE())</f>
        <v>Clear / Partly cloudy</v>
      </c>
      <c r="X814" s="23" t="str">
        <f>VLOOKUP($G814,Lookups!$D$5:$E$8,2,FALSE())</f>
        <v>Winter</v>
      </c>
      <c r="Y814" s="23" t="str">
        <f>VLOOKUP($L814,Lookups!$G$5:$H$11,2,FALSE())</f>
        <v>Sunday</v>
      </c>
      <c r="Z814" s="23" t="str">
        <f>IF($J814&lt;Lookups!$B$26,"Night",IF($J814&lt;Lookups!$B$27,"Morning",IF($J814&lt;Lookups!$B$28,"Afternoon","Evening")))</f>
        <v>Morning</v>
      </c>
      <c r="AA814" s="26">
        <f>ROUND($N814*(Lookups!$B$16-Lookups!$B$15)+Lookups!$B$15,1)</f>
        <v>3.3</v>
      </c>
      <c r="AB814" s="26">
        <f>ROUND($P814*(Lookups!$B$18-Lookups!$B$17)+Lookups!$B$17,1)</f>
        <v>0</v>
      </c>
      <c r="AC814" s="23">
        <f t="shared" si="74"/>
        <v>65</v>
      </c>
      <c r="AD814" s="23">
        <f>ROUND($R814*Lookups!$B$19,1)</f>
        <v>11</v>
      </c>
      <c r="AE814" s="27">
        <f t="shared" si="75"/>
        <v>1</v>
      </c>
      <c r="AF814" s="23" t="str">
        <f>IF($U814&gt;=Lookups!$B$23,"High",IF($U814&gt;=Lookups!$B$22,"Medium","Low"))</f>
        <v>Low</v>
      </c>
      <c r="AG814" s="23">
        <f>ROUND(IF($V814="Weekday",IF(INDEX(Hourly_Analysis!$D$5:$D$28,$J814+1)&gt;0,($U814-INDEX(Hourly_Analysis!$C$5:$C$28,$J814+1))/INDEX(Hourly_Analysis!$D$5:$D$28,$J814+1),0),IF(INDEX(Hourly_Analysis!$G$5:$G$28,$J814+1)&gt;0,($U814-INDEX(Hourly_Analysis!$F$5:$F$28,$J814+1))/INDEX(Hourly_Analysis!$G$5:$G$28,$J814+1),0)),2)</f>
        <v>0.56000000000000005</v>
      </c>
      <c r="AH814" s="23" t="str">
        <f>IF(ABS($AG814)&gt;Lookups!$B$20,IF($AG814&gt;0,"High anomaly","Low anomaly"),"")</f>
        <v/>
      </c>
      <c r="AI814" s="23" t="str">
        <f t="shared" si="76"/>
        <v>OK</v>
      </c>
      <c r="AJ814" s="23" t="str">
        <f t="shared" si="77"/>
        <v>No</v>
      </c>
    </row>
    <row r="815" spans="1:36" x14ac:dyDescent="0.35">
      <c r="A815" s="23">
        <v>814</v>
      </c>
      <c r="B815" s="23" t="str">
        <f t="shared" si="72"/>
        <v>Dataset 3</v>
      </c>
      <c r="C815" s="23">
        <f>IFERROR(MATCH($A815,Merge_1_2!$A$2:$A$611,0),0)</f>
        <v>0</v>
      </c>
      <c r="D815" s="23">
        <f>IF($C815&gt;0,INDEX(Merge_1_2!$Q$2:$Q$611,$C815),0)</f>
        <v>0</v>
      </c>
      <c r="E815" s="23">
        <f>IFERROR(MATCH($A815,Dataset3_Raw!$A$2:$A$391,0),0)</f>
        <v>204</v>
      </c>
      <c r="F815" s="24">
        <f>IF($C815&gt;0,INDEX(Merge_1_2!$B$2:$B$611,$C815),DATE(VALUE(RIGHT(INDEX(Dataset3_Raw!$B$2:$B$391,$E815),4)),VALUE(MID(INDEX(Dataset3_Raw!$B$2:$B$391,$E815),4,2)),VALUE(LEFT(INDEX(Dataset3_Raw!$B$2:$B$391,$E815),2))))</f>
        <v>40580</v>
      </c>
      <c r="G815" s="23">
        <f>IF($C815&gt;0,INDEX(Merge_1_2!$C$2:$C$611,$C815),INDEX(Dataset3_Raw!$C$2:$C$391,$E815))</f>
        <v>1</v>
      </c>
      <c r="H815" s="23">
        <f>IF($C815&gt;0,INDEX(Merge_1_2!$D$2:$D$611,$C815),INDEX(Dataset3_Raw!$D$2:$D$391,$E815))</f>
        <v>0</v>
      </c>
      <c r="I815" s="23">
        <f>IF($C815&gt;0,INDEX(Merge_1_2!$E$2:$E$611,$C815),INDEX(Dataset3_Raw!$E$2:$E$391,$E815))</f>
        <v>2</v>
      </c>
      <c r="J815" s="23">
        <f>IF($C815&gt;0,INDEX(Merge_1_2!$F$2:$F$611,$C815),INDEX(Dataset3_Raw!$F$2:$F$391,$E815))</f>
        <v>8</v>
      </c>
      <c r="K815" s="23" t="b">
        <f>IF($C815&gt;0,INDEX(Merge_1_2!$G$2:$G$611,$C815),INDEX(Dataset3_Raw!$G$2:$G$391,$E815))</f>
        <v>0</v>
      </c>
      <c r="L815" s="23">
        <f>IF($C815&gt;0,INDEX(Merge_1_2!$H$2:$H$611,$C815),INDEX(Dataset3_Raw!$H$2:$H$391,$E815))</f>
        <v>0</v>
      </c>
      <c r="M815" s="23">
        <f>IF($C815&gt;0,INDEX(Merge_1_2!$I$2:$I$611,$C815),INDEX(Dataset3_Raw!$I$2:$I$391,$E815))</f>
        <v>1</v>
      </c>
      <c r="N815" s="25">
        <f>IF($C815&gt;0,INDEX(Merge_1_2!$J$2:$J$611,$C815),INDEX(Dataset3_Raw!$J$2:$J$391,$E815))</f>
        <v>0.24</v>
      </c>
      <c r="O815" s="25">
        <f>IF($C815&gt;0,IF(ISNUMBER(INDEX(Merge_1_2!$K$2:$K$611,$C815)),INDEX(Merge_1_2!$K$2:$K$611,$C815),""),INDEX(Dataset3_Raw!$K$2:$K$391,$E815))</f>
        <v>0.2576</v>
      </c>
      <c r="P815" s="25">
        <f>IF(ISNUMBER($O815),$O815,ROUND(Lookups!$B$25+Lookups!$B$24*$N815,4))</f>
        <v>0.2576</v>
      </c>
      <c r="Q815" s="25">
        <f>IF($C815&gt;0,INDEX(Merge_1_2!$L$2:$L$611,$C815),INDEX(Dataset3_Raw!$L$2:$L$391,$E815))</f>
        <v>0.65</v>
      </c>
      <c r="R815" s="25">
        <f>IF($C815&gt;0,INDEX(Merge_1_2!$M$2:$M$611,$C815),INDEX(Dataset3_Raw!$M$2:$M$391,$E815))</f>
        <v>0.1045</v>
      </c>
      <c r="S815" s="23">
        <f>IF($C815&gt;0,INDEX(Merge_1_2!$N$2:$N$611,$C815),INDEX(Dataset3_Raw!$N$2:$N$391,$E815))</f>
        <v>2</v>
      </c>
      <c r="T815" s="23">
        <f>IF($C815&gt;0,INDEX(Merge_1_2!$O$2:$O$611,$C815),INDEX(Dataset3_Raw!$O$2:$O$391,$E815))</f>
        <v>21</v>
      </c>
      <c r="U815" s="23">
        <f>IF($C815&gt;0,INDEX(Merge_1_2!$P$2:$P$611,$C815),INDEX(Dataset3_Raw!$P$2:$P$391,$E815))</f>
        <v>23</v>
      </c>
      <c r="V815" s="23" t="str">
        <f t="shared" si="73"/>
        <v>Weekend</v>
      </c>
      <c r="W815" s="23" t="str">
        <f>VLOOKUP($M815,Lookups!$A$5:$B$8,2,FALSE())</f>
        <v>Clear / Partly cloudy</v>
      </c>
      <c r="X815" s="23" t="str">
        <f>VLOOKUP($G815,Lookups!$D$5:$E$8,2,FALSE())</f>
        <v>Winter</v>
      </c>
      <c r="Y815" s="23" t="str">
        <f>VLOOKUP($L815,Lookups!$G$5:$H$11,2,FALSE())</f>
        <v>Sunday</v>
      </c>
      <c r="Z815" s="23" t="str">
        <f>IF($J815&lt;Lookups!$B$26,"Night",IF($J815&lt;Lookups!$B$27,"Morning",IF($J815&lt;Lookups!$B$28,"Afternoon","Evening")))</f>
        <v>Morning</v>
      </c>
      <c r="AA815" s="26">
        <f>ROUND($N815*(Lookups!$B$16-Lookups!$B$15)+Lookups!$B$15,1)</f>
        <v>3.3</v>
      </c>
      <c r="AB815" s="26">
        <f>ROUND($P815*(Lookups!$B$18-Lookups!$B$17)+Lookups!$B$17,1)</f>
        <v>1</v>
      </c>
      <c r="AC815" s="23">
        <f t="shared" si="74"/>
        <v>65</v>
      </c>
      <c r="AD815" s="23">
        <f>ROUND($R815*Lookups!$B$19,1)</f>
        <v>7</v>
      </c>
      <c r="AE815" s="27">
        <f t="shared" si="75"/>
        <v>0.91304347826086951</v>
      </c>
      <c r="AF815" s="23" t="str">
        <f>IF($U815&gt;=Lookups!$B$23,"High",IF($U815&gt;=Lookups!$B$22,"Medium","Low"))</f>
        <v>Medium</v>
      </c>
      <c r="AG815" s="23">
        <f>ROUND(IF($V815="Weekday",IF(INDEX(Hourly_Analysis!$D$5:$D$28,$J815+1)&gt;0,($U815-INDEX(Hourly_Analysis!$C$5:$C$28,$J815+1))/INDEX(Hourly_Analysis!$D$5:$D$28,$J815+1),0),IF(INDEX(Hourly_Analysis!$G$5:$G$28,$J815+1)&gt;0,($U815-INDEX(Hourly_Analysis!$F$5:$F$28,$J815+1))/INDEX(Hourly_Analysis!$G$5:$G$28,$J815+1),0)),2)</f>
        <v>0.46</v>
      </c>
      <c r="AH815" s="23" t="str">
        <f>IF(ABS($AG815)&gt;Lookups!$B$20,IF($AG815&gt;0,"High anomaly","Low anomaly"),"")</f>
        <v/>
      </c>
      <c r="AI815" s="23" t="str">
        <f t="shared" si="76"/>
        <v>OK</v>
      </c>
      <c r="AJ815" s="23" t="str">
        <f t="shared" si="77"/>
        <v>No</v>
      </c>
    </row>
    <row r="816" spans="1:36" x14ac:dyDescent="0.35">
      <c r="A816" s="23">
        <v>815</v>
      </c>
      <c r="B816" s="23" t="str">
        <f t="shared" si="72"/>
        <v>Dataset 3</v>
      </c>
      <c r="C816" s="23">
        <f>IFERROR(MATCH($A816,Merge_1_2!$A$2:$A$611,0),0)</f>
        <v>0</v>
      </c>
      <c r="D816" s="23">
        <f>IF($C816&gt;0,INDEX(Merge_1_2!$Q$2:$Q$611,$C816),0)</f>
        <v>0</v>
      </c>
      <c r="E816" s="23">
        <f>IFERROR(MATCH($A816,Dataset3_Raw!$A$2:$A$391,0),0)</f>
        <v>205</v>
      </c>
      <c r="F816" s="24">
        <f>IF($C816&gt;0,INDEX(Merge_1_2!$B$2:$B$611,$C816),DATE(VALUE(RIGHT(INDEX(Dataset3_Raw!$B$2:$B$391,$E816),4)),VALUE(MID(INDEX(Dataset3_Raw!$B$2:$B$391,$E816),4,2)),VALUE(LEFT(INDEX(Dataset3_Raw!$B$2:$B$391,$E816),2))))</f>
        <v>40580</v>
      </c>
      <c r="G816" s="23">
        <f>IF($C816&gt;0,INDEX(Merge_1_2!$C$2:$C$611,$C816),INDEX(Dataset3_Raw!$C$2:$C$391,$E816))</f>
        <v>1</v>
      </c>
      <c r="H816" s="23">
        <f>IF($C816&gt;0,INDEX(Merge_1_2!$D$2:$D$611,$C816),INDEX(Dataset3_Raw!$D$2:$D$391,$E816))</f>
        <v>0</v>
      </c>
      <c r="I816" s="23">
        <f>IF($C816&gt;0,INDEX(Merge_1_2!$E$2:$E$611,$C816),INDEX(Dataset3_Raw!$E$2:$E$391,$E816))</f>
        <v>2</v>
      </c>
      <c r="J816" s="23">
        <f>IF($C816&gt;0,INDEX(Merge_1_2!$F$2:$F$611,$C816),INDEX(Dataset3_Raw!$F$2:$F$391,$E816))</f>
        <v>9</v>
      </c>
      <c r="K816" s="23" t="b">
        <f>IF($C816&gt;0,INDEX(Merge_1_2!$G$2:$G$611,$C816),INDEX(Dataset3_Raw!$G$2:$G$391,$E816))</f>
        <v>0</v>
      </c>
      <c r="L816" s="23">
        <f>IF($C816&gt;0,INDEX(Merge_1_2!$H$2:$H$611,$C816),INDEX(Dataset3_Raw!$H$2:$H$391,$E816))</f>
        <v>0</v>
      </c>
      <c r="M816" s="23">
        <f>IF($C816&gt;0,INDEX(Merge_1_2!$I$2:$I$611,$C816),INDEX(Dataset3_Raw!$I$2:$I$391,$E816))</f>
        <v>1</v>
      </c>
      <c r="N816" s="25">
        <f>IF($C816&gt;0,INDEX(Merge_1_2!$J$2:$J$611,$C816),INDEX(Dataset3_Raw!$J$2:$J$391,$E816))</f>
        <v>0.28000000000000003</v>
      </c>
      <c r="O816" s="25">
        <f>IF($C816&gt;0,IF(ISNUMBER(INDEX(Merge_1_2!$K$2:$K$611,$C816)),INDEX(Merge_1_2!$K$2:$K$611,$C816),""),INDEX(Dataset3_Raw!$K$2:$K$391,$E816))</f>
        <v>0.28789999999999999</v>
      </c>
      <c r="P816" s="25">
        <f>IF(ISNUMBER($O816),$O816,ROUND(Lookups!$B$25+Lookups!$B$24*$N816,4))</f>
        <v>0.28789999999999999</v>
      </c>
      <c r="Q816" s="25">
        <f>IF($C816&gt;0,INDEX(Merge_1_2!$L$2:$L$611,$C816),INDEX(Dataset3_Raw!$L$2:$L$391,$E816))</f>
        <v>0.56000000000000005</v>
      </c>
      <c r="R816" s="25">
        <f>IF($C816&gt;0,INDEX(Merge_1_2!$M$2:$M$611,$C816),INDEX(Dataset3_Raw!$M$2:$M$391,$E816))</f>
        <v>0.1045</v>
      </c>
      <c r="S816" s="23">
        <f>IF($C816&gt;0,INDEX(Merge_1_2!$N$2:$N$611,$C816),INDEX(Dataset3_Raw!$N$2:$N$391,$E816))</f>
        <v>7</v>
      </c>
      <c r="T816" s="23">
        <f>IF($C816&gt;0,INDEX(Merge_1_2!$O$2:$O$611,$C816),INDEX(Dataset3_Raw!$O$2:$O$391,$E816))</f>
        <v>38</v>
      </c>
      <c r="U816" s="23">
        <f>IF($C816&gt;0,INDEX(Merge_1_2!$P$2:$P$611,$C816),INDEX(Dataset3_Raw!$P$2:$P$391,$E816))</f>
        <v>45</v>
      </c>
      <c r="V816" s="23" t="str">
        <f t="shared" si="73"/>
        <v>Weekend</v>
      </c>
      <c r="W816" s="23" t="str">
        <f>VLOOKUP($M816,Lookups!$A$5:$B$8,2,FALSE())</f>
        <v>Clear / Partly cloudy</v>
      </c>
      <c r="X816" s="23" t="str">
        <f>VLOOKUP($G816,Lookups!$D$5:$E$8,2,FALSE())</f>
        <v>Winter</v>
      </c>
      <c r="Y816" s="23" t="str">
        <f>VLOOKUP($L816,Lookups!$G$5:$H$11,2,FALSE())</f>
        <v>Sunday</v>
      </c>
      <c r="Z816" s="23" t="str">
        <f>IF($J816&lt;Lookups!$B$26,"Night",IF($J816&lt;Lookups!$B$27,"Morning",IF($J816&lt;Lookups!$B$28,"Afternoon","Evening")))</f>
        <v>Morning</v>
      </c>
      <c r="AA816" s="26">
        <f>ROUND($N816*(Lookups!$B$16-Lookups!$B$15)+Lookups!$B$15,1)</f>
        <v>5.2</v>
      </c>
      <c r="AB816" s="26">
        <f>ROUND($P816*(Lookups!$B$18-Lookups!$B$17)+Lookups!$B$17,1)</f>
        <v>3</v>
      </c>
      <c r="AC816" s="23">
        <f t="shared" si="74"/>
        <v>56</v>
      </c>
      <c r="AD816" s="23">
        <f>ROUND($R816*Lookups!$B$19,1)</f>
        <v>7</v>
      </c>
      <c r="AE816" s="27">
        <f t="shared" si="75"/>
        <v>0.84444444444444444</v>
      </c>
      <c r="AF816" s="23" t="str">
        <f>IF($U816&gt;=Lookups!$B$23,"High",IF($U816&gt;=Lookups!$B$22,"Medium","Low"))</f>
        <v>Medium</v>
      </c>
      <c r="AG816" s="23">
        <f>ROUND(IF($V816="Weekday",IF(INDEX(Hourly_Analysis!$D$5:$D$28,$J816+1)&gt;0,($U816-INDEX(Hourly_Analysis!$C$5:$C$28,$J816+1))/INDEX(Hourly_Analysis!$D$5:$D$28,$J816+1),0),IF(INDEX(Hourly_Analysis!$G$5:$G$28,$J816+1)&gt;0,($U816-INDEX(Hourly_Analysis!$F$5:$F$28,$J816+1))/INDEX(Hourly_Analysis!$G$5:$G$28,$J816+1),0)),2)</f>
        <v>1.1499999999999999</v>
      </c>
      <c r="AH816" s="23" t="str">
        <f>IF(ABS($AG816)&gt;Lookups!$B$20,IF($AG816&gt;0,"High anomaly","Low anomaly"),"")</f>
        <v/>
      </c>
      <c r="AI816" s="23" t="str">
        <f t="shared" si="76"/>
        <v>OK</v>
      </c>
      <c r="AJ816" s="23" t="str">
        <f t="shared" si="77"/>
        <v>No</v>
      </c>
    </row>
    <row r="817" spans="1:36" x14ac:dyDescent="0.35">
      <c r="A817" s="23">
        <v>816</v>
      </c>
      <c r="B817" s="23" t="str">
        <f t="shared" si="72"/>
        <v>Dataset 3</v>
      </c>
      <c r="C817" s="23">
        <f>IFERROR(MATCH($A817,Merge_1_2!$A$2:$A$611,0),0)</f>
        <v>0</v>
      </c>
      <c r="D817" s="23">
        <f>IF($C817&gt;0,INDEX(Merge_1_2!$Q$2:$Q$611,$C817),0)</f>
        <v>0</v>
      </c>
      <c r="E817" s="23">
        <f>IFERROR(MATCH($A817,Dataset3_Raw!$A$2:$A$391,0),0)</f>
        <v>206</v>
      </c>
      <c r="F817" s="24">
        <f>IF($C817&gt;0,INDEX(Merge_1_2!$B$2:$B$611,$C817),DATE(VALUE(RIGHT(INDEX(Dataset3_Raw!$B$2:$B$391,$E817),4)),VALUE(MID(INDEX(Dataset3_Raw!$B$2:$B$391,$E817),4,2)),VALUE(LEFT(INDEX(Dataset3_Raw!$B$2:$B$391,$E817),2))))</f>
        <v>40580</v>
      </c>
      <c r="G817" s="23">
        <f>IF($C817&gt;0,INDEX(Merge_1_2!$C$2:$C$611,$C817),INDEX(Dataset3_Raw!$C$2:$C$391,$E817))</f>
        <v>1</v>
      </c>
      <c r="H817" s="23">
        <f>IF($C817&gt;0,INDEX(Merge_1_2!$D$2:$D$611,$C817),INDEX(Dataset3_Raw!$D$2:$D$391,$E817))</f>
        <v>0</v>
      </c>
      <c r="I817" s="23">
        <f>IF($C817&gt;0,INDEX(Merge_1_2!$E$2:$E$611,$C817),INDEX(Dataset3_Raw!$E$2:$E$391,$E817))</f>
        <v>2</v>
      </c>
      <c r="J817" s="23">
        <f>IF($C817&gt;0,INDEX(Merge_1_2!$F$2:$F$611,$C817),INDEX(Dataset3_Raw!$F$2:$F$391,$E817))</f>
        <v>10</v>
      </c>
      <c r="K817" s="23" t="b">
        <f>IF($C817&gt;0,INDEX(Merge_1_2!$G$2:$G$611,$C817),INDEX(Dataset3_Raw!$G$2:$G$391,$E817))</f>
        <v>0</v>
      </c>
      <c r="L817" s="23">
        <f>IF($C817&gt;0,INDEX(Merge_1_2!$H$2:$H$611,$C817),INDEX(Dataset3_Raw!$H$2:$H$391,$E817))</f>
        <v>0</v>
      </c>
      <c r="M817" s="23">
        <f>IF($C817&gt;0,INDEX(Merge_1_2!$I$2:$I$611,$C817),INDEX(Dataset3_Raw!$I$2:$I$391,$E817))</f>
        <v>1</v>
      </c>
      <c r="N817" s="25">
        <f>IF($C817&gt;0,INDEX(Merge_1_2!$J$2:$J$611,$C817),INDEX(Dataset3_Raw!$J$2:$J$391,$E817))</f>
        <v>0.3</v>
      </c>
      <c r="O817" s="25">
        <f>IF($C817&gt;0,IF(ISNUMBER(INDEX(Merge_1_2!$K$2:$K$611,$C817)),INDEX(Merge_1_2!$K$2:$K$611,$C817),""),INDEX(Dataset3_Raw!$K$2:$K$391,$E817))</f>
        <v>0.28789999999999999</v>
      </c>
      <c r="P817" s="25">
        <f>IF(ISNUMBER($O817),$O817,ROUND(Lookups!$B$25+Lookups!$B$24*$N817,4))</f>
        <v>0.28789999999999999</v>
      </c>
      <c r="Q817" s="25">
        <f>IF($C817&gt;0,INDEX(Merge_1_2!$L$2:$L$611,$C817),INDEX(Dataset3_Raw!$L$2:$L$391,$E817))</f>
        <v>0.52</v>
      </c>
      <c r="R817" s="25">
        <f>IF($C817&gt;0,INDEX(Merge_1_2!$M$2:$M$611,$C817),INDEX(Dataset3_Raw!$M$2:$M$391,$E817))</f>
        <v>0.25369999999999998</v>
      </c>
      <c r="S817" s="23">
        <f>IF($C817&gt;0,INDEX(Merge_1_2!$N$2:$N$611,$C817),INDEX(Dataset3_Raw!$N$2:$N$391,$E817))</f>
        <v>15</v>
      </c>
      <c r="T817" s="23">
        <f>IF($C817&gt;0,INDEX(Merge_1_2!$O$2:$O$611,$C817),INDEX(Dataset3_Raw!$O$2:$O$391,$E817))</f>
        <v>74</v>
      </c>
      <c r="U817" s="23">
        <f>IF($C817&gt;0,INDEX(Merge_1_2!$P$2:$P$611,$C817),INDEX(Dataset3_Raw!$P$2:$P$391,$E817))</f>
        <v>89</v>
      </c>
      <c r="V817" s="23" t="str">
        <f t="shared" si="73"/>
        <v>Weekend</v>
      </c>
      <c r="W817" s="23" t="str">
        <f>VLOOKUP($M817,Lookups!$A$5:$B$8,2,FALSE())</f>
        <v>Clear / Partly cloudy</v>
      </c>
      <c r="X817" s="23" t="str">
        <f>VLOOKUP($G817,Lookups!$D$5:$E$8,2,FALSE())</f>
        <v>Winter</v>
      </c>
      <c r="Y817" s="23" t="str">
        <f>VLOOKUP($L817,Lookups!$G$5:$H$11,2,FALSE())</f>
        <v>Sunday</v>
      </c>
      <c r="Z817" s="23" t="str">
        <f>IF($J817&lt;Lookups!$B$26,"Night",IF($J817&lt;Lookups!$B$27,"Morning",IF($J817&lt;Lookups!$B$28,"Afternoon","Evening")))</f>
        <v>Morning</v>
      </c>
      <c r="AA817" s="26">
        <f>ROUND($N817*(Lookups!$B$16-Lookups!$B$15)+Lookups!$B$15,1)</f>
        <v>6.1</v>
      </c>
      <c r="AB817" s="26">
        <f>ROUND($P817*(Lookups!$B$18-Lookups!$B$17)+Lookups!$B$17,1)</f>
        <v>3</v>
      </c>
      <c r="AC817" s="23">
        <f t="shared" si="74"/>
        <v>52</v>
      </c>
      <c r="AD817" s="23">
        <f>ROUND($R817*Lookups!$B$19,1)</f>
        <v>17</v>
      </c>
      <c r="AE817" s="27">
        <f t="shared" si="75"/>
        <v>0.8314606741573034</v>
      </c>
      <c r="AF817" s="23" t="str">
        <f>IF($U817&gt;=Lookups!$B$23,"High",IF($U817&gt;=Lookups!$B$22,"Medium","Low"))</f>
        <v>High</v>
      </c>
      <c r="AG817" s="23">
        <f>ROUND(IF($V817="Weekday",IF(INDEX(Hourly_Analysis!$D$5:$D$28,$J817+1)&gt;0,($U817-INDEX(Hourly_Analysis!$C$5:$C$28,$J817+1))/INDEX(Hourly_Analysis!$D$5:$D$28,$J817+1),0),IF(INDEX(Hourly_Analysis!$G$5:$G$28,$J817+1)&gt;0,($U817-INDEX(Hourly_Analysis!$F$5:$F$28,$J817+1))/INDEX(Hourly_Analysis!$G$5:$G$28,$J817+1),0)),2)</f>
        <v>1.37</v>
      </c>
      <c r="AH817" s="23" t="str">
        <f>IF(ABS($AG817)&gt;Lookups!$B$20,IF($AG817&gt;0,"High anomaly","Low anomaly"),"")</f>
        <v/>
      </c>
      <c r="AI817" s="23" t="str">
        <f t="shared" si="76"/>
        <v>OK</v>
      </c>
      <c r="AJ817" s="23" t="str">
        <f t="shared" si="77"/>
        <v>No</v>
      </c>
    </row>
    <row r="818" spans="1:36" x14ac:dyDescent="0.35">
      <c r="A818" s="23">
        <v>817</v>
      </c>
      <c r="B818" s="23" t="str">
        <f t="shared" si="72"/>
        <v>Dataset 3</v>
      </c>
      <c r="C818" s="23">
        <f>IFERROR(MATCH($A818,Merge_1_2!$A$2:$A$611,0),0)</f>
        <v>0</v>
      </c>
      <c r="D818" s="23">
        <f>IF($C818&gt;0,INDEX(Merge_1_2!$Q$2:$Q$611,$C818),0)</f>
        <v>0</v>
      </c>
      <c r="E818" s="23">
        <f>IFERROR(MATCH($A818,Dataset3_Raw!$A$2:$A$391,0),0)</f>
        <v>207</v>
      </c>
      <c r="F818" s="24">
        <f>IF($C818&gt;0,INDEX(Merge_1_2!$B$2:$B$611,$C818),DATE(VALUE(RIGHT(INDEX(Dataset3_Raw!$B$2:$B$391,$E818),4)),VALUE(MID(INDEX(Dataset3_Raw!$B$2:$B$391,$E818),4,2)),VALUE(LEFT(INDEX(Dataset3_Raw!$B$2:$B$391,$E818),2))))</f>
        <v>40580</v>
      </c>
      <c r="G818" s="23">
        <f>IF($C818&gt;0,INDEX(Merge_1_2!$C$2:$C$611,$C818),INDEX(Dataset3_Raw!$C$2:$C$391,$E818))</f>
        <v>1</v>
      </c>
      <c r="H818" s="23">
        <f>IF($C818&gt;0,INDEX(Merge_1_2!$D$2:$D$611,$C818),INDEX(Dataset3_Raw!$D$2:$D$391,$E818))</f>
        <v>0</v>
      </c>
      <c r="I818" s="23">
        <f>IF($C818&gt;0,INDEX(Merge_1_2!$E$2:$E$611,$C818),INDEX(Dataset3_Raw!$E$2:$E$391,$E818))</f>
        <v>2</v>
      </c>
      <c r="J818" s="23">
        <f>IF($C818&gt;0,INDEX(Merge_1_2!$F$2:$F$611,$C818),INDEX(Dataset3_Raw!$F$2:$F$391,$E818))</f>
        <v>11</v>
      </c>
      <c r="K818" s="23" t="b">
        <f>IF($C818&gt;0,INDEX(Merge_1_2!$G$2:$G$611,$C818),INDEX(Dataset3_Raw!$G$2:$G$391,$E818))</f>
        <v>0</v>
      </c>
      <c r="L818" s="23">
        <f>IF($C818&gt;0,INDEX(Merge_1_2!$H$2:$H$611,$C818),INDEX(Dataset3_Raw!$H$2:$H$391,$E818))</f>
        <v>0</v>
      </c>
      <c r="M818" s="23">
        <f>IF($C818&gt;0,INDEX(Merge_1_2!$I$2:$I$611,$C818),INDEX(Dataset3_Raw!$I$2:$I$391,$E818))</f>
        <v>1</v>
      </c>
      <c r="N818" s="25">
        <f>IF($C818&gt;0,INDEX(Merge_1_2!$J$2:$J$611,$C818),INDEX(Dataset3_Raw!$J$2:$J$391,$E818))</f>
        <v>0.32</v>
      </c>
      <c r="O818" s="25">
        <f>IF($C818&gt;0,IF(ISNUMBER(INDEX(Merge_1_2!$K$2:$K$611,$C818)),INDEX(Merge_1_2!$K$2:$K$611,$C818),""),INDEX(Dataset3_Raw!$K$2:$K$391,$E818))</f>
        <v>0.30299999999999999</v>
      </c>
      <c r="P818" s="25">
        <f>IF(ISNUMBER($O818),$O818,ROUND(Lookups!$B$25+Lookups!$B$24*$N818,4))</f>
        <v>0.30299999999999999</v>
      </c>
      <c r="Q818" s="25">
        <f>IF($C818&gt;0,INDEX(Merge_1_2!$L$2:$L$611,$C818),INDEX(Dataset3_Raw!$L$2:$L$391,$E818))</f>
        <v>0.49</v>
      </c>
      <c r="R818" s="25">
        <f>IF($C818&gt;0,INDEX(Merge_1_2!$M$2:$M$611,$C818),INDEX(Dataset3_Raw!$M$2:$M$391,$E818))</f>
        <v>0.25369999999999998</v>
      </c>
      <c r="S818" s="23">
        <f>IF($C818&gt;0,INDEX(Merge_1_2!$N$2:$N$611,$C818),INDEX(Dataset3_Raw!$N$2:$N$391,$E818))</f>
        <v>28</v>
      </c>
      <c r="T818" s="23">
        <f>IF($C818&gt;0,INDEX(Merge_1_2!$O$2:$O$611,$C818),INDEX(Dataset3_Raw!$O$2:$O$391,$E818))</f>
        <v>89</v>
      </c>
      <c r="U818" s="23">
        <f>IF($C818&gt;0,INDEX(Merge_1_2!$P$2:$P$611,$C818),INDEX(Dataset3_Raw!$P$2:$P$391,$E818))</f>
        <v>117</v>
      </c>
      <c r="V818" s="23" t="str">
        <f t="shared" si="73"/>
        <v>Weekend</v>
      </c>
      <c r="W818" s="23" t="str">
        <f>VLOOKUP($M818,Lookups!$A$5:$B$8,2,FALSE())</f>
        <v>Clear / Partly cloudy</v>
      </c>
      <c r="X818" s="23" t="str">
        <f>VLOOKUP($G818,Lookups!$D$5:$E$8,2,FALSE())</f>
        <v>Winter</v>
      </c>
      <c r="Y818" s="23" t="str">
        <f>VLOOKUP($L818,Lookups!$G$5:$H$11,2,FALSE())</f>
        <v>Sunday</v>
      </c>
      <c r="Z818" s="23" t="str">
        <f>IF($J818&lt;Lookups!$B$26,"Night",IF($J818&lt;Lookups!$B$27,"Morning",IF($J818&lt;Lookups!$B$28,"Afternoon","Evening")))</f>
        <v>Morning</v>
      </c>
      <c r="AA818" s="26">
        <f>ROUND($N818*(Lookups!$B$16-Lookups!$B$15)+Lookups!$B$15,1)</f>
        <v>7</v>
      </c>
      <c r="AB818" s="26">
        <f>ROUND($P818*(Lookups!$B$18-Lookups!$B$17)+Lookups!$B$17,1)</f>
        <v>4</v>
      </c>
      <c r="AC818" s="23">
        <f t="shared" si="74"/>
        <v>49</v>
      </c>
      <c r="AD818" s="23">
        <f>ROUND($R818*Lookups!$B$19,1)</f>
        <v>17</v>
      </c>
      <c r="AE818" s="27">
        <f t="shared" si="75"/>
        <v>0.76068376068376065</v>
      </c>
      <c r="AF818" s="23" t="str">
        <f>IF($U818&gt;=Lookups!$B$23,"High",IF($U818&gt;=Lookups!$B$22,"Medium","Low"))</f>
        <v>High</v>
      </c>
      <c r="AG818" s="23">
        <f>ROUND(IF($V818="Weekday",IF(INDEX(Hourly_Analysis!$D$5:$D$28,$J818+1)&gt;0,($U818-INDEX(Hourly_Analysis!$C$5:$C$28,$J818+1))/INDEX(Hourly_Analysis!$D$5:$D$28,$J818+1),0),IF(INDEX(Hourly_Analysis!$G$5:$G$28,$J818+1)&gt;0,($U818-INDEX(Hourly_Analysis!$F$5:$F$28,$J818+1))/INDEX(Hourly_Analysis!$G$5:$G$28,$J818+1),0)),2)</f>
        <v>1.69</v>
      </c>
      <c r="AH818" s="23" t="str">
        <f>IF(ABS($AG818)&gt;Lookups!$B$20,IF($AG818&gt;0,"High anomaly","Low anomaly"),"")</f>
        <v/>
      </c>
      <c r="AI818" s="23" t="str">
        <f t="shared" si="76"/>
        <v>OK</v>
      </c>
      <c r="AJ818" s="23" t="str">
        <f t="shared" si="77"/>
        <v>No</v>
      </c>
    </row>
    <row r="819" spans="1:36" x14ac:dyDescent="0.35">
      <c r="A819" s="23">
        <v>818</v>
      </c>
      <c r="B819" s="23" t="str">
        <f t="shared" si="72"/>
        <v>Dataset 3</v>
      </c>
      <c r="C819" s="23">
        <f>IFERROR(MATCH($A819,Merge_1_2!$A$2:$A$611,0),0)</f>
        <v>0</v>
      </c>
      <c r="D819" s="23">
        <f>IF($C819&gt;0,INDEX(Merge_1_2!$Q$2:$Q$611,$C819),0)</f>
        <v>0</v>
      </c>
      <c r="E819" s="23">
        <f>IFERROR(MATCH($A819,Dataset3_Raw!$A$2:$A$391,0),0)</f>
        <v>208</v>
      </c>
      <c r="F819" s="24">
        <f>IF($C819&gt;0,INDEX(Merge_1_2!$B$2:$B$611,$C819),DATE(VALUE(RIGHT(INDEX(Dataset3_Raw!$B$2:$B$391,$E819),4)),VALUE(MID(INDEX(Dataset3_Raw!$B$2:$B$391,$E819),4,2)),VALUE(LEFT(INDEX(Dataset3_Raw!$B$2:$B$391,$E819),2))))</f>
        <v>40580</v>
      </c>
      <c r="G819" s="23">
        <f>IF($C819&gt;0,INDEX(Merge_1_2!$C$2:$C$611,$C819),INDEX(Dataset3_Raw!$C$2:$C$391,$E819))</f>
        <v>1</v>
      </c>
      <c r="H819" s="23">
        <f>IF($C819&gt;0,INDEX(Merge_1_2!$D$2:$D$611,$C819),INDEX(Dataset3_Raw!$D$2:$D$391,$E819))</f>
        <v>0</v>
      </c>
      <c r="I819" s="23">
        <f>IF($C819&gt;0,INDEX(Merge_1_2!$E$2:$E$611,$C819),INDEX(Dataset3_Raw!$E$2:$E$391,$E819))</f>
        <v>2</v>
      </c>
      <c r="J819" s="23">
        <f>IF($C819&gt;0,INDEX(Merge_1_2!$F$2:$F$611,$C819),INDEX(Dataset3_Raw!$F$2:$F$391,$E819))</f>
        <v>12</v>
      </c>
      <c r="K819" s="23" t="b">
        <f>IF($C819&gt;0,INDEX(Merge_1_2!$G$2:$G$611,$C819),INDEX(Dataset3_Raw!$G$2:$G$391,$E819))</f>
        <v>0</v>
      </c>
      <c r="L819" s="23">
        <f>IF($C819&gt;0,INDEX(Merge_1_2!$H$2:$H$611,$C819),INDEX(Dataset3_Raw!$H$2:$H$391,$E819))</f>
        <v>0</v>
      </c>
      <c r="M819" s="23">
        <f>IF($C819&gt;0,INDEX(Merge_1_2!$I$2:$I$611,$C819),INDEX(Dataset3_Raw!$I$2:$I$391,$E819))</f>
        <v>1</v>
      </c>
      <c r="N819" s="25">
        <f>IF($C819&gt;0,INDEX(Merge_1_2!$J$2:$J$611,$C819),INDEX(Dataset3_Raw!$J$2:$J$391,$E819))</f>
        <v>0.34</v>
      </c>
      <c r="O819" s="25">
        <f>IF($C819&gt;0,IF(ISNUMBER(INDEX(Merge_1_2!$K$2:$K$611,$C819)),INDEX(Merge_1_2!$K$2:$K$611,$C819),""),INDEX(Dataset3_Raw!$K$2:$K$391,$E819))</f>
        <v>0.33329999999999999</v>
      </c>
      <c r="P819" s="25">
        <f>IF(ISNUMBER($O819),$O819,ROUND(Lookups!$B$25+Lookups!$B$24*$N819,4))</f>
        <v>0.33329999999999999</v>
      </c>
      <c r="Q819" s="25">
        <f>IF($C819&gt;0,INDEX(Merge_1_2!$L$2:$L$611,$C819),INDEX(Dataset3_Raw!$L$2:$L$391,$E819))</f>
        <v>0.46</v>
      </c>
      <c r="R819" s="25">
        <f>IF($C819&gt;0,INDEX(Merge_1_2!$M$2:$M$611,$C819),INDEX(Dataset3_Raw!$M$2:$M$391,$E819))</f>
        <v>0</v>
      </c>
      <c r="S819" s="23">
        <f>IF($C819&gt;0,INDEX(Merge_1_2!$N$2:$N$611,$C819),INDEX(Dataset3_Raw!$N$2:$N$391,$E819))</f>
        <v>48</v>
      </c>
      <c r="T819" s="23">
        <f>IF($C819&gt;0,INDEX(Merge_1_2!$O$2:$O$611,$C819),INDEX(Dataset3_Raw!$O$2:$O$391,$E819))</f>
        <v>126</v>
      </c>
      <c r="U819" s="23">
        <f>IF($C819&gt;0,INDEX(Merge_1_2!$P$2:$P$611,$C819),INDEX(Dataset3_Raw!$P$2:$P$391,$E819))</f>
        <v>174</v>
      </c>
      <c r="V819" s="23" t="str">
        <f t="shared" si="73"/>
        <v>Weekend</v>
      </c>
      <c r="W819" s="23" t="str">
        <f>VLOOKUP($M819,Lookups!$A$5:$B$8,2,FALSE())</f>
        <v>Clear / Partly cloudy</v>
      </c>
      <c r="X819" s="23" t="str">
        <f>VLOOKUP($G819,Lookups!$D$5:$E$8,2,FALSE())</f>
        <v>Winter</v>
      </c>
      <c r="Y819" s="23" t="str">
        <f>VLOOKUP($L819,Lookups!$G$5:$H$11,2,FALSE())</f>
        <v>Sunday</v>
      </c>
      <c r="Z819" s="23" t="str">
        <f>IF($J819&lt;Lookups!$B$26,"Night",IF($J819&lt;Lookups!$B$27,"Morning",IF($J819&lt;Lookups!$B$28,"Afternoon","Evening")))</f>
        <v>Afternoon</v>
      </c>
      <c r="AA819" s="26">
        <f>ROUND($N819*(Lookups!$B$16-Lookups!$B$15)+Lookups!$B$15,1)</f>
        <v>8</v>
      </c>
      <c r="AB819" s="26">
        <f>ROUND($P819*(Lookups!$B$18-Lookups!$B$17)+Lookups!$B$17,1)</f>
        <v>6</v>
      </c>
      <c r="AC819" s="23">
        <f t="shared" si="74"/>
        <v>46</v>
      </c>
      <c r="AD819" s="23">
        <f>ROUND($R819*Lookups!$B$19,1)</f>
        <v>0</v>
      </c>
      <c r="AE819" s="27">
        <f t="shared" si="75"/>
        <v>0.72413793103448276</v>
      </c>
      <c r="AF819" s="23" t="str">
        <f>IF($U819&gt;=Lookups!$B$23,"High",IF($U819&gt;=Lookups!$B$22,"Medium","Low"))</f>
        <v>High</v>
      </c>
      <c r="AG819" s="23">
        <f>ROUND(IF($V819="Weekday",IF(INDEX(Hourly_Analysis!$D$5:$D$28,$J819+1)&gt;0,($U819-INDEX(Hourly_Analysis!$C$5:$C$28,$J819+1))/INDEX(Hourly_Analysis!$D$5:$D$28,$J819+1),0),IF(INDEX(Hourly_Analysis!$G$5:$G$28,$J819+1)&gt;0,($U819-INDEX(Hourly_Analysis!$F$5:$F$28,$J819+1))/INDEX(Hourly_Analysis!$G$5:$G$28,$J819+1),0)),2)</f>
        <v>2.39</v>
      </c>
      <c r="AH819" s="23" t="str">
        <f>IF(ABS($AG819)&gt;Lookups!$B$20,IF($AG819&gt;0,"High anomaly","Low anomaly"),"")</f>
        <v/>
      </c>
      <c r="AI819" s="23" t="str">
        <f t="shared" si="76"/>
        <v>OK</v>
      </c>
      <c r="AJ819" s="23" t="str">
        <f t="shared" si="77"/>
        <v>No</v>
      </c>
    </row>
    <row r="820" spans="1:36" x14ac:dyDescent="0.35">
      <c r="A820" s="23">
        <v>819</v>
      </c>
      <c r="B820" s="23" t="str">
        <f t="shared" si="72"/>
        <v>Dataset 3</v>
      </c>
      <c r="C820" s="23">
        <f>IFERROR(MATCH($A820,Merge_1_2!$A$2:$A$611,0),0)</f>
        <v>0</v>
      </c>
      <c r="D820" s="23">
        <f>IF($C820&gt;0,INDEX(Merge_1_2!$Q$2:$Q$611,$C820),0)</f>
        <v>0</v>
      </c>
      <c r="E820" s="23">
        <f>IFERROR(MATCH($A820,Dataset3_Raw!$A$2:$A$391,0),0)</f>
        <v>209</v>
      </c>
      <c r="F820" s="24">
        <f>IF($C820&gt;0,INDEX(Merge_1_2!$B$2:$B$611,$C820),DATE(VALUE(RIGHT(INDEX(Dataset3_Raw!$B$2:$B$391,$E820),4)),VALUE(MID(INDEX(Dataset3_Raw!$B$2:$B$391,$E820),4,2)),VALUE(LEFT(INDEX(Dataset3_Raw!$B$2:$B$391,$E820),2))))</f>
        <v>40580</v>
      </c>
      <c r="G820" s="23">
        <f>IF($C820&gt;0,INDEX(Merge_1_2!$C$2:$C$611,$C820),INDEX(Dataset3_Raw!$C$2:$C$391,$E820))</f>
        <v>1</v>
      </c>
      <c r="H820" s="23">
        <f>IF($C820&gt;0,INDEX(Merge_1_2!$D$2:$D$611,$C820),INDEX(Dataset3_Raw!$D$2:$D$391,$E820))</f>
        <v>0</v>
      </c>
      <c r="I820" s="23">
        <f>IF($C820&gt;0,INDEX(Merge_1_2!$E$2:$E$611,$C820),INDEX(Dataset3_Raw!$E$2:$E$391,$E820))</f>
        <v>2</v>
      </c>
      <c r="J820" s="23">
        <f>IF($C820&gt;0,INDEX(Merge_1_2!$F$2:$F$611,$C820),INDEX(Dataset3_Raw!$F$2:$F$391,$E820))</f>
        <v>13</v>
      </c>
      <c r="K820" s="23" t="b">
        <f>IF($C820&gt;0,INDEX(Merge_1_2!$G$2:$G$611,$C820),INDEX(Dataset3_Raw!$G$2:$G$391,$E820))</f>
        <v>0</v>
      </c>
      <c r="L820" s="23">
        <f>IF($C820&gt;0,INDEX(Merge_1_2!$H$2:$H$611,$C820),INDEX(Dataset3_Raw!$H$2:$H$391,$E820))</f>
        <v>0</v>
      </c>
      <c r="M820" s="23">
        <f>IF($C820&gt;0,INDEX(Merge_1_2!$I$2:$I$611,$C820),INDEX(Dataset3_Raw!$I$2:$I$391,$E820))</f>
        <v>1</v>
      </c>
      <c r="N820" s="25">
        <f>IF($C820&gt;0,INDEX(Merge_1_2!$J$2:$J$611,$C820),INDEX(Dataset3_Raw!$J$2:$J$391,$E820))</f>
        <v>0.34</v>
      </c>
      <c r="O820" s="25">
        <f>IF($C820&gt;0,IF(ISNUMBER(INDEX(Merge_1_2!$K$2:$K$611,$C820)),INDEX(Merge_1_2!$K$2:$K$611,$C820),""),INDEX(Dataset3_Raw!$K$2:$K$391,$E820))</f>
        <v>0.36359999999999998</v>
      </c>
      <c r="P820" s="25">
        <f>IF(ISNUMBER($O820),$O820,ROUND(Lookups!$B$25+Lookups!$B$24*$N820,4))</f>
        <v>0.36359999999999998</v>
      </c>
      <c r="Q820" s="25">
        <f>IF($C820&gt;0,INDEX(Merge_1_2!$L$2:$L$611,$C820),INDEX(Dataset3_Raw!$L$2:$L$391,$E820))</f>
        <v>0.46</v>
      </c>
      <c r="R820" s="25">
        <f>IF($C820&gt;0,INDEX(Merge_1_2!$M$2:$M$611,$C820),INDEX(Dataset3_Raw!$M$2:$M$391,$E820))</f>
        <v>0</v>
      </c>
      <c r="S820" s="23">
        <f>IF($C820&gt;0,INDEX(Merge_1_2!$N$2:$N$611,$C820),INDEX(Dataset3_Raw!$N$2:$N$391,$E820))</f>
        <v>47</v>
      </c>
      <c r="T820" s="23">
        <f>IF($C820&gt;0,INDEX(Merge_1_2!$O$2:$O$611,$C820),INDEX(Dataset3_Raw!$O$2:$O$391,$E820))</f>
        <v>135</v>
      </c>
      <c r="U820" s="23">
        <f>IF($C820&gt;0,INDEX(Merge_1_2!$P$2:$P$611,$C820),INDEX(Dataset3_Raw!$P$2:$P$391,$E820))</f>
        <v>182</v>
      </c>
      <c r="V820" s="23" t="str">
        <f t="shared" si="73"/>
        <v>Weekend</v>
      </c>
      <c r="W820" s="23" t="str">
        <f>VLOOKUP($M820,Lookups!$A$5:$B$8,2,FALSE())</f>
        <v>Clear / Partly cloudy</v>
      </c>
      <c r="X820" s="23" t="str">
        <f>VLOOKUP($G820,Lookups!$D$5:$E$8,2,FALSE())</f>
        <v>Winter</v>
      </c>
      <c r="Y820" s="23" t="str">
        <f>VLOOKUP($L820,Lookups!$G$5:$H$11,2,FALSE())</f>
        <v>Sunday</v>
      </c>
      <c r="Z820" s="23" t="str">
        <f>IF($J820&lt;Lookups!$B$26,"Night",IF($J820&lt;Lookups!$B$27,"Morning",IF($J820&lt;Lookups!$B$28,"Afternoon","Evening")))</f>
        <v>Afternoon</v>
      </c>
      <c r="AA820" s="26">
        <f>ROUND($N820*(Lookups!$B$16-Lookups!$B$15)+Lookups!$B$15,1)</f>
        <v>8</v>
      </c>
      <c r="AB820" s="26">
        <f>ROUND($P820*(Lookups!$B$18-Lookups!$B$17)+Lookups!$B$17,1)</f>
        <v>8</v>
      </c>
      <c r="AC820" s="23">
        <f t="shared" si="74"/>
        <v>46</v>
      </c>
      <c r="AD820" s="23">
        <f>ROUND($R820*Lookups!$B$19,1)</f>
        <v>0</v>
      </c>
      <c r="AE820" s="27">
        <f t="shared" si="75"/>
        <v>0.74175824175824179</v>
      </c>
      <c r="AF820" s="23" t="str">
        <f>IF($U820&gt;=Lookups!$B$23,"High",IF($U820&gt;=Lookups!$B$22,"Medium","Low"))</f>
        <v>High</v>
      </c>
      <c r="AG820" s="23">
        <f>ROUND(IF($V820="Weekday",IF(INDEX(Hourly_Analysis!$D$5:$D$28,$J820+1)&gt;0,($U820-INDEX(Hourly_Analysis!$C$5:$C$28,$J820+1))/INDEX(Hourly_Analysis!$D$5:$D$28,$J820+1),0),IF(INDEX(Hourly_Analysis!$G$5:$G$28,$J820+1)&gt;0,($U820-INDEX(Hourly_Analysis!$F$5:$F$28,$J820+1))/INDEX(Hourly_Analysis!$G$5:$G$28,$J820+1),0)),2)</f>
        <v>2.4500000000000002</v>
      </c>
      <c r="AH820" s="23" t="str">
        <f>IF(ABS($AG820)&gt;Lookups!$B$20,IF($AG820&gt;0,"High anomaly","Low anomaly"),"")</f>
        <v/>
      </c>
      <c r="AI820" s="23" t="str">
        <f t="shared" si="76"/>
        <v>OK</v>
      </c>
      <c r="AJ820" s="23" t="str">
        <f t="shared" si="77"/>
        <v>No</v>
      </c>
    </row>
    <row r="821" spans="1:36" x14ac:dyDescent="0.35">
      <c r="A821" s="23">
        <v>820</v>
      </c>
      <c r="B821" s="23" t="str">
        <f t="shared" si="72"/>
        <v>Dataset 3</v>
      </c>
      <c r="C821" s="23">
        <f>IFERROR(MATCH($A821,Merge_1_2!$A$2:$A$611,0),0)</f>
        <v>0</v>
      </c>
      <c r="D821" s="23">
        <f>IF($C821&gt;0,INDEX(Merge_1_2!$Q$2:$Q$611,$C821),0)</f>
        <v>0</v>
      </c>
      <c r="E821" s="23">
        <f>IFERROR(MATCH($A821,Dataset3_Raw!$A$2:$A$391,0),0)</f>
        <v>210</v>
      </c>
      <c r="F821" s="24">
        <f>IF($C821&gt;0,INDEX(Merge_1_2!$B$2:$B$611,$C821),DATE(VALUE(RIGHT(INDEX(Dataset3_Raw!$B$2:$B$391,$E821),4)),VALUE(MID(INDEX(Dataset3_Raw!$B$2:$B$391,$E821),4,2)),VALUE(LEFT(INDEX(Dataset3_Raw!$B$2:$B$391,$E821),2))))</f>
        <v>40580</v>
      </c>
      <c r="G821" s="23">
        <f>IF($C821&gt;0,INDEX(Merge_1_2!$C$2:$C$611,$C821),INDEX(Dataset3_Raw!$C$2:$C$391,$E821))</f>
        <v>1</v>
      </c>
      <c r="H821" s="23">
        <f>IF($C821&gt;0,INDEX(Merge_1_2!$D$2:$D$611,$C821),INDEX(Dataset3_Raw!$D$2:$D$391,$E821))</f>
        <v>0</v>
      </c>
      <c r="I821" s="23">
        <f>IF($C821&gt;0,INDEX(Merge_1_2!$E$2:$E$611,$C821),INDEX(Dataset3_Raw!$E$2:$E$391,$E821))</f>
        <v>2</v>
      </c>
      <c r="J821" s="23">
        <f>IF($C821&gt;0,INDEX(Merge_1_2!$F$2:$F$611,$C821),INDEX(Dataset3_Raw!$F$2:$F$391,$E821))</f>
        <v>14</v>
      </c>
      <c r="K821" s="23" t="b">
        <f>IF($C821&gt;0,INDEX(Merge_1_2!$G$2:$G$611,$C821),INDEX(Dataset3_Raw!$G$2:$G$391,$E821))</f>
        <v>0</v>
      </c>
      <c r="L821" s="23">
        <f>IF($C821&gt;0,INDEX(Merge_1_2!$H$2:$H$611,$C821),INDEX(Dataset3_Raw!$H$2:$H$391,$E821))</f>
        <v>0</v>
      </c>
      <c r="M821" s="23">
        <f>IF($C821&gt;0,INDEX(Merge_1_2!$I$2:$I$611,$C821),INDEX(Dataset3_Raw!$I$2:$I$391,$E821))</f>
        <v>1</v>
      </c>
      <c r="N821" s="25">
        <f>IF($C821&gt;0,INDEX(Merge_1_2!$J$2:$J$611,$C821),INDEX(Dataset3_Raw!$J$2:$J$391,$E821))</f>
        <v>0.34</v>
      </c>
      <c r="O821" s="25">
        <f>IF($C821&gt;0,IF(ISNUMBER(INDEX(Merge_1_2!$K$2:$K$611,$C821)),INDEX(Merge_1_2!$K$2:$K$611,$C821),""),INDEX(Dataset3_Raw!$K$2:$K$391,$E821))</f>
        <v>0.34849999999999998</v>
      </c>
      <c r="P821" s="25">
        <f>IF(ISNUMBER($O821),$O821,ROUND(Lookups!$B$25+Lookups!$B$24*$N821,4))</f>
        <v>0.34849999999999998</v>
      </c>
      <c r="Q821" s="25">
        <f>IF($C821&gt;0,INDEX(Merge_1_2!$L$2:$L$611,$C821),INDEX(Dataset3_Raw!$L$2:$L$391,$E821))</f>
        <v>0.46</v>
      </c>
      <c r="R821" s="25">
        <f>IF($C821&gt;0,INDEX(Merge_1_2!$M$2:$M$611,$C821),INDEX(Dataset3_Raw!$M$2:$M$391,$E821))</f>
        <v>8.9599999999999999E-2</v>
      </c>
      <c r="S821" s="23">
        <f>IF($C821&gt;0,INDEX(Merge_1_2!$N$2:$N$611,$C821),INDEX(Dataset3_Raw!$N$2:$N$391,$E821))</f>
        <v>47</v>
      </c>
      <c r="T821" s="23">
        <f>IF($C821&gt;0,INDEX(Merge_1_2!$O$2:$O$611,$C821),INDEX(Dataset3_Raw!$O$2:$O$391,$E821))</f>
        <v>114</v>
      </c>
      <c r="U821" s="23">
        <f>IF($C821&gt;0,INDEX(Merge_1_2!$P$2:$P$611,$C821),INDEX(Dataset3_Raw!$P$2:$P$391,$E821))</f>
        <v>161</v>
      </c>
      <c r="V821" s="23" t="str">
        <f t="shared" si="73"/>
        <v>Weekend</v>
      </c>
      <c r="W821" s="23" t="str">
        <f>VLOOKUP($M821,Lookups!$A$5:$B$8,2,FALSE())</f>
        <v>Clear / Partly cloudy</v>
      </c>
      <c r="X821" s="23" t="str">
        <f>VLOOKUP($G821,Lookups!$D$5:$E$8,2,FALSE())</f>
        <v>Winter</v>
      </c>
      <c r="Y821" s="23" t="str">
        <f>VLOOKUP($L821,Lookups!$G$5:$H$11,2,FALSE())</f>
        <v>Sunday</v>
      </c>
      <c r="Z821" s="23" t="str">
        <f>IF($J821&lt;Lookups!$B$26,"Night",IF($J821&lt;Lookups!$B$27,"Morning",IF($J821&lt;Lookups!$B$28,"Afternoon","Evening")))</f>
        <v>Afternoon</v>
      </c>
      <c r="AA821" s="26">
        <f>ROUND($N821*(Lookups!$B$16-Lookups!$B$15)+Lookups!$B$15,1)</f>
        <v>8</v>
      </c>
      <c r="AB821" s="26">
        <f>ROUND($P821*(Lookups!$B$18-Lookups!$B$17)+Lookups!$B$17,1)</f>
        <v>7</v>
      </c>
      <c r="AC821" s="23">
        <f t="shared" si="74"/>
        <v>46</v>
      </c>
      <c r="AD821" s="23">
        <f>ROUND($R821*Lookups!$B$19,1)</f>
        <v>6</v>
      </c>
      <c r="AE821" s="27">
        <f t="shared" si="75"/>
        <v>0.70807453416149069</v>
      </c>
      <c r="AF821" s="23" t="str">
        <f>IF($U821&gt;=Lookups!$B$23,"High",IF($U821&gt;=Lookups!$B$22,"Medium","Low"))</f>
        <v>High</v>
      </c>
      <c r="AG821" s="23">
        <f>ROUND(IF($V821="Weekday",IF(INDEX(Hourly_Analysis!$D$5:$D$28,$J821+1)&gt;0,($U821-INDEX(Hourly_Analysis!$C$5:$C$28,$J821+1))/INDEX(Hourly_Analysis!$D$5:$D$28,$J821+1),0),IF(INDEX(Hourly_Analysis!$G$5:$G$28,$J821+1)&gt;0,($U821-INDEX(Hourly_Analysis!$F$5:$F$28,$J821+1))/INDEX(Hourly_Analysis!$G$5:$G$28,$J821+1),0)),2)</f>
        <v>1.86</v>
      </c>
      <c r="AH821" s="23" t="str">
        <f>IF(ABS($AG821)&gt;Lookups!$B$20,IF($AG821&gt;0,"High anomaly","Low anomaly"),"")</f>
        <v/>
      </c>
      <c r="AI821" s="23" t="str">
        <f t="shared" si="76"/>
        <v>OK</v>
      </c>
      <c r="AJ821" s="23" t="str">
        <f t="shared" si="77"/>
        <v>No</v>
      </c>
    </row>
    <row r="822" spans="1:36" x14ac:dyDescent="0.35">
      <c r="A822" s="23">
        <v>821</v>
      </c>
      <c r="B822" s="23" t="str">
        <f t="shared" si="72"/>
        <v>Dataset 3</v>
      </c>
      <c r="C822" s="23">
        <f>IFERROR(MATCH($A822,Merge_1_2!$A$2:$A$611,0),0)</f>
        <v>0</v>
      </c>
      <c r="D822" s="23">
        <f>IF($C822&gt;0,INDEX(Merge_1_2!$Q$2:$Q$611,$C822),0)</f>
        <v>0</v>
      </c>
      <c r="E822" s="23">
        <f>IFERROR(MATCH($A822,Dataset3_Raw!$A$2:$A$391,0),0)</f>
        <v>211</v>
      </c>
      <c r="F822" s="24">
        <f>IF($C822&gt;0,INDEX(Merge_1_2!$B$2:$B$611,$C822),DATE(VALUE(RIGHT(INDEX(Dataset3_Raw!$B$2:$B$391,$E822),4)),VALUE(MID(INDEX(Dataset3_Raw!$B$2:$B$391,$E822),4,2)),VALUE(LEFT(INDEX(Dataset3_Raw!$B$2:$B$391,$E822),2))))</f>
        <v>40580</v>
      </c>
      <c r="G822" s="23">
        <f>IF($C822&gt;0,INDEX(Merge_1_2!$C$2:$C$611,$C822),INDEX(Dataset3_Raw!$C$2:$C$391,$E822))</f>
        <v>1</v>
      </c>
      <c r="H822" s="23">
        <f>IF($C822&gt;0,INDEX(Merge_1_2!$D$2:$D$611,$C822),INDEX(Dataset3_Raw!$D$2:$D$391,$E822))</f>
        <v>0</v>
      </c>
      <c r="I822" s="23">
        <f>IF($C822&gt;0,INDEX(Merge_1_2!$E$2:$E$611,$C822),INDEX(Dataset3_Raw!$E$2:$E$391,$E822))</f>
        <v>2</v>
      </c>
      <c r="J822" s="23">
        <f>IF($C822&gt;0,INDEX(Merge_1_2!$F$2:$F$611,$C822),INDEX(Dataset3_Raw!$F$2:$F$391,$E822))</f>
        <v>15</v>
      </c>
      <c r="K822" s="23" t="b">
        <f>IF($C822&gt;0,INDEX(Merge_1_2!$G$2:$G$611,$C822),INDEX(Dataset3_Raw!$G$2:$G$391,$E822))</f>
        <v>0</v>
      </c>
      <c r="L822" s="23">
        <f>IF($C822&gt;0,INDEX(Merge_1_2!$H$2:$H$611,$C822),INDEX(Dataset3_Raw!$H$2:$H$391,$E822))</f>
        <v>0</v>
      </c>
      <c r="M822" s="23">
        <f>IF($C822&gt;0,INDEX(Merge_1_2!$I$2:$I$611,$C822),INDEX(Dataset3_Raw!$I$2:$I$391,$E822))</f>
        <v>1</v>
      </c>
      <c r="N822" s="25">
        <f>IF($C822&gt;0,INDEX(Merge_1_2!$J$2:$J$611,$C822),INDEX(Dataset3_Raw!$J$2:$J$391,$E822))</f>
        <v>0.34</v>
      </c>
      <c r="O822" s="25">
        <f>IF($C822&gt;0,IF(ISNUMBER(INDEX(Merge_1_2!$K$2:$K$611,$C822)),INDEX(Merge_1_2!$K$2:$K$611,$C822),""),INDEX(Dataset3_Raw!$K$2:$K$391,$E822))</f>
        <v>0.34849999999999998</v>
      </c>
      <c r="P822" s="25">
        <f>IF(ISNUMBER($O822),$O822,ROUND(Lookups!$B$25+Lookups!$B$24*$N822,4))</f>
        <v>0.34849999999999998</v>
      </c>
      <c r="Q822" s="25">
        <f>IF($C822&gt;0,INDEX(Merge_1_2!$L$2:$L$611,$C822),INDEX(Dataset3_Raw!$L$2:$L$391,$E822))</f>
        <v>0.46</v>
      </c>
      <c r="R822" s="25">
        <f>IF($C822&gt;0,INDEX(Merge_1_2!$M$2:$M$611,$C822),INDEX(Dataset3_Raw!$M$2:$M$391,$E822))</f>
        <v>8.9599999999999999E-2</v>
      </c>
      <c r="S822" s="23">
        <f>IF($C822&gt;0,INDEX(Merge_1_2!$N$2:$N$611,$C822),INDEX(Dataset3_Raw!$N$2:$N$391,$E822))</f>
        <v>52</v>
      </c>
      <c r="T822" s="23">
        <f>IF($C822&gt;0,INDEX(Merge_1_2!$O$2:$O$611,$C822),INDEX(Dataset3_Raw!$O$2:$O$391,$E822))</f>
        <v>130</v>
      </c>
      <c r="U822" s="23">
        <f>IF($C822&gt;0,INDEX(Merge_1_2!$P$2:$P$611,$C822),INDEX(Dataset3_Raw!$P$2:$P$391,$E822))</f>
        <v>182</v>
      </c>
      <c r="V822" s="23" t="str">
        <f t="shared" si="73"/>
        <v>Weekend</v>
      </c>
      <c r="W822" s="23" t="str">
        <f>VLOOKUP($M822,Lookups!$A$5:$B$8,2,FALSE())</f>
        <v>Clear / Partly cloudy</v>
      </c>
      <c r="X822" s="23" t="str">
        <f>VLOOKUP($G822,Lookups!$D$5:$E$8,2,FALSE())</f>
        <v>Winter</v>
      </c>
      <c r="Y822" s="23" t="str">
        <f>VLOOKUP($L822,Lookups!$G$5:$H$11,2,FALSE())</f>
        <v>Sunday</v>
      </c>
      <c r="Z822" s="23" t="str">
        <f>IF($J822&lt;Lookups!$B$26,"Night",IF($J822&lt;Lookups!$B$27,"Morning",IF($J822&lt;Lookups!$B$28,"Afternoon","Evening")))</f>
        <v>Afternoon</v>
      </c>
      <c r="AA822" s="26">
        <f>ROUND($N822*(Lookups!$B$16-Lookups!$B$15)+Lookups!$B$15,1)</f>
        <v>8</v>
      </c>
      <c r="AB822" s="26">
        <f>ROUND($P822*(Lookups!$B$18-Lookups!$B$17)+Lookups!$B$17,1)</f>
        <v>7</v>
      </c>
      <c r="AC822" s="23">
        <f t="shared" si="74"/>
        <v>46</v>
      </c>
      <c r="AD822" s="23">
        <f>ROUND($R822*Lookups!$B$19,1)</f>
        <v>6</v>
      </c>
      <c r="AE822" s="27">
        <f t="shared" si="75"/>
        <v>0.7142857142857143</v>
      </c>
      <c r="AF822" s="23" t="str">
        <f>IF($U822&gt;=Lookups!$B$23,"High",IF($U822&gt;=Lookups!$B$22,"Medium","Low"))</f>
        <v>High</v>
      </c>
      <c r="AG822" s="23">
        <f>ROUND(IF($V822="Weekday",IF(INDEX(Hourly_Analysis!$D$5:$D$28,$J822+1)&gt;0,($U822-INDEX(Hourly_Analysis!$C$5:$C$28,$J822+1))/INDEX(Hourly_Analysis!$D$5:$D$28,$J822+1),0),IF(INDEX(Hourly_Analysis!$G$5:$G$28,$J822+1)&gt;0,($U822-INDEX(Hourly_Analysis!$F$5:$F$28,$J822+1))/INDEX(Hourly_Analysis!$G$5:$G$28,$J822+1),0)),2)</f>
        <v>1.9</v>
      </c>
      <c r="AH822" s="23" t="str">
        <f>IF(ABS($AG822)&gt;Lookups!$B$20,IF($AG822&gt;0,"High anomaly","Low anomaly"),"")</f>
        <v/>
      </c>
      <c r="AI822" s="23" t="str">
        <f t="shared" si="76"/>
        <v>OK</v>
      </c>
      <c r="AJ822" s="23" t="str">
        <f t="shared" si="77"/>
        <v>No</v>
      </c>
    </row>
    <row r="823" spans="1:36" x14ac:dyDescent="0.35">
      <c r="A823" s="23">
        <v>822</v>
      </c>
      <c r="B823" s="23" t="str">
        <f t="shared" si="72"/>
        <v>Dataset 3</v>
      </c>
      <c r="C823" s="23">
        <f>IFERROR(MATCH($A823,Merge_1_2!$A$2:$A$611,0),0)</f>
        <v>0</v>
      </c>
      <c r="D823" s="23">
        <f>IF($C823&gt;0,INDEX(Merge_1_2!$Q$2:$Q$611,$C823),0)</f>
        <v>0</v>
      </c>
      <c r="E823" s="23">
        <f>IFERROR(MATCH($A823,Dataset3_Raw!$A$2:$A$391,0),0)</f>
        <v>212</v>
      </c>
      <c r="F823" s="24">
        <f>IF($C823&gt;0,INDEX(Merge_1_2!$B$2:$B$611,$C823),DATE(VALUE(RIGHT(INDEX(Dataset3_Raw!$B$2:$B$391,$E823),4)),VALUE(MID(INDEX(Dataset3_Raw!$B$2:$B$391,$E823),4,2)),VALUE(LEFT(INDEX(Dataset3_Raw!$B$2:$B$391,$E823),2))))</f>
        <v>40580</v>
      </c>
      <c r="G823" s="23">
        <f>IF($C823&gt;0,INDEX(Merge_1_2!$C$2:$C$611,$C823),INDEX(Dataset3_Raw!$C$2:$C$391,$E823))</f>
        <v>1</v>
      </c>
      <c r="H823" s="23">
        <f>IF($C823&gt;0,INDEX(Merge_1_2!$D$2:$D$611,$C823),INDEX(Dataset3_Raw!$D$2:$D$391,$E823))</f>
        <v>0</v>
      </c>
      <c r="I823" s="23">
        <f>IF($C823&gt;0,INDEX(Merge_1_2!$E$2:$E$611,$C823),INDEX(Dataset3_Raw!$E$2:$E$391,$E823))</f>
        <v>2</v>
      </c>
      <c r="J823" s="23">
        <f>IF($C823&gt;0,INDEX(Merge_1_2!$F$2:$F$611,$C823),INDEX(Dataset3_Raw!$F$2:$F$391,$E823))</f>
        <v>16</v>
      </c>
      <c r="K823" s="23" t="b">
        <f>IF($C823&gt;0,INDEX(Merge_1_2!$G$2:$G$611,$C823),INDEX(Dataset3_Raw!$G$2:$G$391,$E823))</f>
        <v>0</v>
      </c>
      <c r="L823" s="23">
        <f>IF($C823&gt;0,INDEX(Merge_1_2!$H$2:$H$611,$C823),INDEX(Dataset3_Raw!$H$2:$H$391,$E823))</f>
        <v>0</v>
      </c>
      <c r="M823" s="23">
        <f>IF($C823&gt;0,INDEX(Merge_1_2!$I$2:$I$611,$C823),INDEX(Dataset3_Raw!$I$2:$I$391,$E823))</f>
        <v>1</v>
      </c>
      <c r="N823" s="25">
        <f>IF($C823&gt;0,INDEX(Merge_1_2!$J$2:$J$611,$C823),INDEX(Dataset3_Raw!$J$2:$J$391,$E823))</f>
        <v>0.34</v>
      </c>
      <c r="O823" s="25">
        <f>IF($C823&gt;0,IF(ISNUMBER(INDEX(Merge_1_2!$K$2:$K$611,$C823)),INDEX(Merge_1_2!$K$2:$K$611,$C823),""),INDEX(Dataset3_Raw!$K$2:$K$391,$E823))</f>
        <v>0.34849999999999998</v>
      </c>
      <c r="P823" s="25">
        <f>IF(ISNUMBER($O823),$O823,ROUND(Lookups!$B$25+Lookups!$B$24*$N823,4))</f>
        <v>0.34849999999999998</v>
      </c>
      <c r="Q823" s="25">
        <f>IF($C823&gt;0,INDEX(Merge_1_2!$L$2:$L$611,$C823),INDEX(Dataset3_Raw!$L$2:$L$391,$E823))</f>
        <v>0.49</v>
      </c>
      <c r="R823" s="25">
        <f>IF($C823&gt;0,INDEX(Merge_1_2!$M$2:$M$611,$C823),INDEX(Dataset3_Raw!$M$2:$M$391,$E823))</f>
        <v>0.1045</v>
      </c>
      <c r="S823" s="23">
        <f>IF($C823&gt;0,INDEX(Merge_1_2!$N$2:$N$611,$C823),INDEX(Dataset3_Raw!$N$2:$N$391,$E823))</f>
        <v>42</v>
      </c>
      <c r="T823" s="23">
        <f>IF($C823&gt;0,INDEX(Merge_1_2!$O$2:$O$611,$C823),INDEX(Dataset3_Raw!$O$2:$O$391,$E823))</f>
        <v>115</v>
      </c>
      <c r="U823" s="23">
        <f>IF($C823&gt;0,INDEX(Merge_1_2!$P$2:$P$611,$C823),INDEX(Dataset3_Raw!$P$2:$P$391,$E823))</f>
        <v>157</v>
      </c>
      <c r="V823" s="23" t="str">
        <f t="shared" si="73"/>
        <v>Weekend</v>
      </c>
      <c r="W823" s="23" t="str">
        <f>VLOOKUP($M823,Lookups!$A$5:$B$8,2,FALSE())</f>
        <v>Clear / Partly cloudy</v>
      </c>
      <c r="X823" s="23" t="str">
        <f>VLOOKUP($G823,Lookups!$D$5:$E$8,2,FALSE())</f>
        <v>Winter</v>
      </c>
      <c r="Y823" s="23" t="str">
        <f>VLOOKUP($L823,Lookups!$G$5:$H$11,2,FALSE())</f>
        <v>Sunday</v>
      </c>
      <c r="Z823" s="23" t="str">
        <f>IF($J823&lt;Lookups!$B$26,"Night",IF($J823&lt;Lookups!$B$27,"Morning",IF($J823&lt;Lookups!$B$28,"Afternoon","Evening")))</f>
        <v>Afternoon</v>
      </c>
      <c r="AA823" s="26">
        <f>ROUND($N823*(Lookups!$B$16-Lookups!$B$15)+Lookups!$B$15,1)</f>
        <v>8</v>
      </c>
      <c r="AB823" s="26">
        <f>ROUND($P823*(Lookups!$B$18-Lookups!$B$17)+Lookups!$B$17,1)</f>
        <v>7</v>
      </c>
      <c r="AC823" s="23">
        <f t="shared" si="74"/>
        <v>49</v>
      </c>
      <c r="AD823" s="23">
        <f>ROUND($R823*Lookups!$B$19,1)</f>
        <v>7</v>
      </c>
      <c r="AE823" s="27">
        <f t="shared" si="75"/>
        <v>0.73248407643312097</v>
      </c>
      <c r="AF823" s="23" t="str">
        <f>IF($U823&gt;=Lookups!$B$23,"High",IF($U823&gt;=Lookups!$B$22,"Medium","Low"))</f>
        <v>High</v>
      </c>
      <c r="AG823" s="23">
        <f>ROUND(IF($V823="Weekday",IF(INDEX(Hourly_Analysis!$D$5:$D$28,$J823+1)&gt;0,($U823-INDEX(Hourly_Analysis!$C$5:$C$28,$J823+1))/INDEX(Hourly_Analysis!$D$5:$D$28,$J823+1),0),IF(INDEX(Hourly_Analysis!$G$5:$G$28,$J823+1)&gt;0,($U823-INDEX(Hourly_Analysis!$F$5:$F$28,$J823+1))/INDEX(Hourly_Analysis!$G$5:$G$28,$J823+1),0)),2)</f>
        <v>1.9</v>
      </c>
      <c r="AH823" s="23" t="str">
        <f>IF(ABS($AG823)&gt;Lookups!$B$20,IF($AG823&gt;0,"High anomaly","Low anomaly"),"")</f>
        <v/>
      </c>
      <c r="AI823" s="23" t="str">
        <f t="shared" si="76"/>
        <v>OK</v>
      </c>
      <c r="AJ823" s="23" t="str">
        <f t="shared" si="77"/>
        <v>No</v>
      </c>
    </row>
    <row r="824" spans="1:36" x14ac:dyDescent="0.35">
      <c r="A824" s="23">
        <v>823</v>
      </c>
      <c r="B824" s="23" t="str">
        <f t="shared" si="72"/>
        <v>Dataset 3</v>
      </c>
      <c r="C824" s="23">
        <f>IFERROR(MATCH($A824,Merge_1_2!$A$2:$A$611,0),0)</f>
        <v>0</v>
      </c>
      <c r="D824" s="23">
        <f>IF($C824&gt;0,INDEX(Merge_1_2!$Q$2:$Q$611,$C824),0)</f>
        <v>0</v>
      </c>
      <c r="E824" s="23">
        <f>IFERROR(MATCH($A824,Dataset3_Raw!$A$2:$A$391,0),0)</f>
        <v>213</v>
      </c>
      <c r="F824" s="24">
        <f>IF($C824&gt;0,INDEX(Merge_1_2!$B$2:$B$611,$C824),DATE(VALUE(RIGHT(INDEX(Dataset3_Raw!$B$2:$B$391,$E824),4)),VALUE(MID(INDEX(Dataset3_Raw!$B$2:$B$391,$E824),4,2)),VALUE(LEFT(INDEX(Dataset3_Raw!$B$2:$B$391,$E824),2))))</f>
        <v>40580</v>
      </c>
      <c r="G824" s="23">
        <f>IF($C824&gt;0,INDEX(Merge_1_2!$C$2:$C$611,$C824),INDEX(Dataset3_Raw!$C$2:$C$391,$E824))</f>
        <v>1</v>
      </c>
      <c r="H824" s="23">
        <f>IF($C824&gt;0,INDEX(Merge_1_2!$D$2:$D$611,$C824),INDEX(Dataset3_Raw!$D$2:$D$391,$E824))</f>
        <v>0</v>
      </c>
      <c r="I824" s="23">
        <f>IF($C824&gt;0,INDEX(Merge_1_2!$E$2:$E$611,$C824),INDEX(Dataset3_Raw!$E$2:$E$391,$E824))</f>
        <v>2</v>
      </c>
      <c r="J824" s="23">
        <f>IF($C824&gt;0,INDEX(Merge_1_2!$F$2:$F$611,$C824),INDEX(Dataset3_Raw!$F$2:$F$391,$E824))</f>
        <v>17</v>
      </c>
      <c r="K824" s="23" t="b">
        <f>IF($C824&gt;0,INDEX(Merge_1_2!$G$2:$G$611,$C824),INDEX(Dataset3_Raw!$G$2:$G$391,$E824))</f>
        <v>0</v>
      </c>
      <c r="L824" s="23">
        <f>IF($C824&gt;0,INDEX(Merge_1_2!$H$2:$H$611,$C824),INDEX(Dataset3_Raw!$H$2:$H$391,$E824))</f>
        <v>0</v>
      </c>
      <c r="M824" s="23">
        <f>IF($C824&gt;0,INDEX(Merge_1_2!$I$2:$I$611,$C824),INDEX(Dataset3_Raw!$I$2:$I$391,$E824))</f>
        <v>1</v>
      </c>
      <c r="N824" s="25">
        <f>IF($C824&gt;0,INDEX(Merge_1_2!$J$2:$J$611,$C824),INDEX(Dataset3_Raw!$J$2:$J$391,$E824))</f>
        <v>0.34</v>
      </c>
      <c r="O824" s="25">
        <f>IF($C824&gt;0,IF(ISNUMBER(INDEX(Merge_1_2!$K$2:$K$611,$C824)),INDEX(Merge_1_2!$K$2:$K$611,$C824),""),INDEX(Dataset3_Raw!$K$2:$K$391,$E824))</f>
        <v>0.36359999999999998</v>
      </c>
      <c r="P824" s="25">
        <f>IF(ISNUMBER($O824),$O824,ROUND(Lookups!$B$25+Lookups!$B$24*$N824,4))</f>
        <v>0.36359999999999998</v>
      </c>
      <c r="Q824" s="25">
        <f>IF($C824&gt;0,INDEX(Merge_1_2!$L$2:$L$611,$C824),INDEX(Dataset3_Raw!$L$2:$L$391,$E824))</f>
        <v>0.46</v>
      </c>
      <c r="R824" s="25">
        <f>IF($C824&gt;0,INDEX(Merge_1_2!$M$2:$M$611,$C824),INDEX(Dataset3_Raw!$M$2:$M$391,$E824))</f>
        <v>0</v>
      </c>
      <c r="S824" s="23">
        <f>IF($C824&gt;0,INDEX(Merge_1_2!$N$2:$N$611,$C824),INDEX(Dataset3_Raw!$N$2:$N$391,$E824))</f>
        <v>24</v>
      </c>
      <c r="T824" s="23">
        <f>IF($C824&gt;0,INDEX(Merge_1_2!$O$2:$O$611,$C824),INDEX(Dataset3_Raw!$O$2:$O$391,$E824))</f>
        <v>97</v>
      </c>
      <c r="U824" s="23">
        <f>IF($C824&gt;0,INDEX(Merge_1_2!$P$2:$P$611,$C824),INDEX(Dataset3_Raw!$P$2:$P$391,$E824))</f>
        <v>121</v>
      </c>
      <c r="V824" s="23" t="str">
        <f t="shared" si="73"/>
        <v>Weekend</v>
      </c>
      <c r="W824" s="23" t="str">
        <f>VLOOKUP($M824,Lookups!$A$5:$B$8,2,FALSE())</f>
        <v>Clear / Partly cloudy</v>
      </c>
      <c r="X824" s="23" t="str">
        <f>VLOOKUP($G824,Lookups!$D$5:$E$8,2,FALSE())</f>
        <v>Winter</v>
      </c>
      <c r="Y824" s="23" t="str">
        <f>VLOOKUP($L824,Lookups!$G$5:$H$11,2,FALSE())</f>
        <v>Sunday</v>
      </c>
      <c r="Z824" s="23" t="str">
        <f>IF($J824&lt;Lookups!$B$26,"Night",IF($J824&lt;Lookups!$B$27,"Morning",IF($J824&lt;Lookups!$B$28,"Afternoon","Evening")))</f>
        <v>Afternoon</v>
      </c>
      <c r="AA824" s="26">
        <f>ROUND($N824*(Lookups!$B$16-Lookups!$B$15)+Lookups!$B$15,1)</f>
        <v>8</v>
      </c>
      <c r="AB824" s="26">
        <f>ROUND($P824*(Lookups!$B$18-Lookups!$B$17)+Lookups!$B$17,1)</f>
        <v>8</v>
      </c>
      <c r="AC824" s="23">
        <f t="shared" si="74"/>
        <v>46</v>
      </c>
      <c r="AD824" s="23">
        <f>ROUND($R824*Lookups!$B$19,1)</f>
        <v>0</v>
      </c>
      <c r="AE824" s="27">
        <f t="shared" si="75"/>
        <v>0.80165289256198347</v>
      </c>
      <c r="AF824" s="23" t="str">
        <f>IF($U824&gt;=Lookups!$B$23,"High",IF($U824&gt;=Lookups!$B$22,"Medium","Low"))</f>
        <v>High</v>
      </c>
      <c r="AG824" s="23">
        <f>ROUND(IF($V824="Weekday",IF(INDEX(Hourly_Analysis!$D$5:$D$28,$J824+1)&gt;0,($U824-INDEX(Hourly_Analysis!$C$5:$C$28,$J824+1))/INDEX(Hourly_Analysis!$D$5:$D$28,$J824+1),0),IF(INDEX(Hourly_Analysis!$G$5:$G$28,$J824+1)&gt;0,($U824-INDEX(Hourly_Analysis!$F$5:$F$28,$J824+1))/INDEX(Hourly_Analysis!$G$5:$G$28,$J824+1),0)),2)</f>
        <v>1.42</v>
      </c>
      <c r="AH824" s="23" t="str">
        <f>IF(ABS($AG824)&gt;Lookups!$B$20,IF($AG824&gt;0,"High anomaly","Low anomaly"),"")</f>
        <v/>
      </c>
      <c r="AI824" s="23" t="str">
        <f t="shared" si="76"/>
        <v>OK</v>
      </c>
      <c r="AJ824" s="23" t="str">
        <f t="shared" si="77"/>
        <v>No</v>
      </c>
    </row>
    <row r="825" spans="1:36" x14ac:dyDescent="0.35">
      <c r="A825" s="23">
        <v>824</v>
      </c>
      <c r="B825" s="23" t="str">
        <f t="shared" si="72"/>
        <v>Dataset 3</v>
      </c>
      <c r="C825" s="23">
        <f>IFERROR(MATCH($A825,Merge_1_2!$A$2:$A$611,0),0)</f>
        <v>0</v>
      </c>
      <c r="D825" s="23">
        <f>IF($C825&gt;0,INDEX(Merge_1_2!$Q$2:$Q$611,$C825),0)</f>
        <v>0</v>
      </c>
      <c r="E825" s="23">
        <f>IFERROR(MATCH($A825,Dataset3_Raw!$A$2:$A$391,0),0)</f>
        <v>214</v>
      </c>
      <c r="F825" s="24">
        <f>IF($C825&gt;0,INDEX(Merge_1_2!$B$2:$B$611,$C825),DATE(VALUE(RIGHT(INDEX(Dataset3_Raw!$B$2:$B$391,$E825),4)),VALUE(MID(INDEX(Dataset3_Raw!$B$2:$B$391,$E825),4,2)),VALUE(LEFT(INDEX(Dataset3_Raw!$B$2:$B$391,$E825),2))))</f>
        <v>40580</v>
      </c>
      <c r="G825" s="23">
        <f>IF($C825&gt;0,INDEX(Merge_1_2!$C$2:$C$611,$C825),INDEX(Dataset3_Raw!$C$2:$C$391,$E825))</f>
        <v>1</v>
      </c>
      <c r="H825" s="23">
        <f>IF($C825&gt;0,INDEX(Merge_1_2!$D$2:$D$611,$C825),INDEX(Dataset3_Raw!$D$2:$D$391,$E825))</f>
        <v>0</v>
      </c>
      <c r="I825" s="23">
        <f>IF($C825&gt;0,INDEX(Merge_1_2!$E$2:$E$611,$C825),INDEX(Dataset3_Raw!$E$2:$E$391,$E825))</f>
        <v>2</v>
      </c>
      <c r="J825" s="23">
        <f>IF($C825&gt;0,INDEX(Merge_1_2!$F$2:$F$611,$C825),INDEX(Dataset3_Raw!$F$2:$F$391,$E825))</f>
        <v>18</v>
      </c>
      <c r="K825" s="23" t="b">
        <f>IF($C825&gt;0,INDEX(Merge_1_2!$G$2:$G$611,$C825),INDEX(Dataset3_Raw!$G$2:$G$391,$E825))</f>
        <v>0</v>
      </c>
      <c r="L825" s="23">
        <f>IF($C825&gt;0,INDEX(Merge_1_2!$H$2:$H$611,$C825),INDEX(Dataset3_Raw!$H$2:$H$391,$E825))</f>
        <v>0</v>
      </c>
      <c r="M825" s="23">
        <f>IF($C825&gt;0,INDEX(Merge_1_2!$I$2:$I$611,$C825),INDEX(Dataset3_Raw!$I$2:$I$391,$E825))</f>
        <v>1</v>
      </c>
      <c r="N825" s="25">
        <f>IF($C825&gt;0,INDEX(Merge_1_2!$J$2:$J$611,$C825),INDEX(Dataset3_Raw!$J$2:$J$391,$E825))</f>
        <v>0.3</v>
      </c>
      <c r="O825" s="25">
        <f>IF($C825&gt;0,IF(ISNUMBER(INDEX(Merge_1_2!$K$2:$K$611,$C825)),INDEX(Merge_1_2!$K$2:$K$611,$C825),""),INDEX(Dataset3_Raw!$K$2:$K$391,$E825))</f>
        <v>0.30299999999999999</v>
      </c>
      <c r="P825" s="25">
        <f>IF(ISNUMBER($O825),$O825,ROUND(Lookups!$B$25+Lookups!$B$24*$N825,4))</f>
        <v>0.30299999999999999</v>
      </c>
      <c r="Q825" s="25">
        <f>IF($C825&gt;0,INDEX(Merge_1_2!$L$2:$L$611,$C825),INDEX(Dataset3_Raw!$L$2:$L$391,$E825))</f>
        <v>0.56000000000000005</v>
      </c>
      <c r="R825" s="25">
        <f>IF($C825&gt;0,INDEX(Merge_1_2!$M$2:$M$611,$C825),INDEX(Dataset3_Raw!$M$2:$M$391,$E825))</f>
        <v>0.16420000000000001</v>
      </c>
      <c r="S825" s="23">
        <f>IF($C825&gt;0,INDEX(Merge_1_2!$N$2:$N$611,$C825),INDEX(Dataset3_Raw!$N$2:$N$391,$E825))</f>
        <v>13</v>
      </c>
      <c r="T825" s="23">
        <f>IF($C825&gt;0,INDEX(Merge_1_2!$O$2:$O$611,$C825),INDEX(Dataset3_Raw!$O$2:$O$391,$E825))</f>
        <v>65</v>
      </c>
      <c r="U825" s="23">
        <f>IF($C825&gt;0,INDEX(Merge_1_2!$P$2:$P$611,$C825),INDEX(Dataset3_Raw!$P$2:$P$391,$E825))</f>
        <v>78</v>
      </c>
      <c r="V825" s="23" t="str">
        <f t="shared" si="73"/>
        <v>Weekend</v>
      </c>
      <c r="W825" s="23" t="str">
        <f>VLOOKUP($M825,Lookups!$A$5:$B$8,2,FALSE())</f>
        <v>Clear / Partly cloudy</v>
      </c>
      <c r="X825" s="23" t="str">
        <f>VLOOKUP($G825,Lookups!$D$5:$E$8,2,FALSE())</f>
        <v>Winter</v>
      </c>
      <c r="Y825" s="23" t="str">
        <f>VLOOKUP($L825,Lookups!$G$5:$H$11,2,FALSE())</f>
        <v>Sunday</v>
      </c>
      <c r="Z825" s="23" t="str">
        <f>IF($J825&lt;Lookups!$B$26,"Night",IF($J825&lt;Lookups!$B$27,"Morning",IF($J825&lt;Lookups!$B$28,"Afternoon","Evening")))</f>
        <v>Evening</v>
      </c>
      <c r="AA825" s="26">
        <f>ROUND($N825*(Lookups!$B$16-Lookups!$B$15)+Lookups!$B$15,1)</f>
        <v>6.1</v>
      </c>
      <c r="AB825" s="26">
        <f>ROUND($P825*(Lookups!$B$18-Lookups!$B$17)+Lookups!$B$17,1)</f>
        <v>4</v>
      </c>
      <c r="AC825" s="23">
        <f t="shared" si="74"/>
        <v>56</v>
      </c>
      <c r="AD825" s="23">
        <f>ROUND($R825*Lookups!$B$19,1)</f>
        <v>11</v>
      </c>
      <c r="AE825" s="27">
        <f t="shared" si="75"/>
        <v>0.83333333333333337</v>
      </c>
      <c r="AF825" s="23" t="str">
        <f>IF($U825&gt;=Lookups!$B$23,"High",IF($U825&gt;=Lookups!$B$22,"Medium","Low"))</f>
        <v>Medium</v>
      </c>
      <c r="AG825" s="23">
        <f>ROUND(IF($V825="Weekday",IF(INDEX(Hourly_Analysis!$D$5:$D$28,$J825+1)&gt;0,($U825-INDEX(Hourly_Analysis!$C$5:$C$28,$J825+1))/INDEX(Hourly_Analysis!$D$5:$D$28,$J825+1),0),IF(INDEX(Hourly_Analysis!$G$5:$G$28,$J825+1)&gt;0,($U825-INDEX(Hourly_Analysis!$F$5:$F$28,$J825+1))/INDEX(Hourly_Analysis!$G$5:$G$28,$J825+1),0)),2)</f>
        <v>0.69</v>
      </c>
      <c r="AH825" s="23" t="str">
        <f>IF(ABS($AG825)&gt;Lookups!$B$20,IF($AG825&gt;0,"High anomaly","Low anomaly"),"")</f>
        <v/>
      </c>
      <c r="AI825" s="23" t="str">
        <f t="shared" si="76"/>
        <v>OK</v>
      </c>
      <c r="AJ825" s="23" t="str">
        <f t="shared" si="77"/>
        <v>No</v>
      </c>
    </row>
    <row r="826" spans="1:36" x14ac:dyDescent="0.35">
      <c r="A826" s="23">
        <v>825</v>
      </c>
      <c r="B826" s="23" t="str">
        <f t="shared" si="72"/>
        <v>Dataset 3</v>
      </c>
      <c r="C826" s="23">
        <f>IFERROR(MATCH($A826,Merge_1_2!$A$2:$A$611,0),0)</f>
        <v>0</v>
      </c>
      <c r="D826" s="23">
        <f>IF($C826&gt;0,INDEX(Merge_1_2!$Q$2:$Q$611,$C826),0)</f>
        <v>0</v>
      </c>
      <c r="E826" s="23">
        <f>IFERROR(MATCH($A826,Dataset3_Raw!$A$2:$A$391,0),0)</f>
        <v>215</v>
      </c>
      <c r="F826" s="24">
        <f>IF($C826&gt;0,INDEX(Merge_1_2!$B$2:$B$611,$C826),DATE(VALUE(RIGHT(INDEX(Dataset3_Raw!$B$2:$B$391,$E826),4)),VALUE(MID(INDEX(Dataset3_Raw!$B$2:$B$391,$E826),4,2)),VALUE(LEFT(INDEX(Dataset3_Raw!$B$2:$B$391,$E826),2))))</f>
        <v>40580</v>
      </c>
      <c r="G826" s="23">
        <f>IF($C826&gt;0,INDEX(Merge_1_2!$C$2:$C$611,$C826),INDEX(Dataset3_Raw!$C$2:$C$391,$E826))</f>
        <v>1</v>
      </c>
      <c r="H826" s="23">
        <f>IF($C826&gt;0,INDEX(Merge_1_2!$D$2:$D$611,$C826),INDEX(Dataset3_Raw!$D$2:$D$391,$E826))</f>
        <v>0</v>
      </c>
      <c r="I826" s="23">
        <f>IF($C826&gt;0,INDEX(Merge_1_2!$E$2:$E$611,$C826),INDEX(Dataset3_Raw!$E$2:$E$391,$E826))</f>
        <v>2</v>
      </c>
      <c r="J826" s="23">
        <f>IF($C826&gt;0,INDEX(Merge_1_2!$F$2:$F$611,$C826),INDEX(Dataset3_Raw!$F$2:$F$391,$E826))</f>
        <v>19</v>
      </c>
      <c r="K826" s="23" t="b">
        <f>IF($C826&gt;0,INDEX(Merge_1_2!$G$2:$G$611,$C826),INDEX(Dataset3_Raw!$G$2:$G$391,$E826))</f>
        <v>0</v>
      </c>
      <c r="L826" s="23">
        <f>IF($C826&gt;0,INDEX(Merge_1_2!$H$2:$H$611,$C826),INDEX(Dataset3_Raw!$H$2:$H$391,$E826))</f>
        <v>0</v>
      </c>
      <c r="M826" s="23">
        <f>IF($C826&gt;0,INDEX(Merge_1_2!$I$2:$I$611,$C826),INDEX(Dataset3_Raw!$I$2:$I$391,$E826))</f>
        <v>1</v>
      </c>
      <c r="N826" s="25">
        <f>IF($C826&gt;0,INDEX(Merge_1_2!$J$2:$J$611,$C826),INDEX(Dataset3_Raw!$J$2:$J$391,$E826))</f>
        <v>0.28000000000000003</v>
      </c>
      <c r="O826" s="25">
        <f>IF($C826&gt;0,IF(ISNUMBER(INDEX(Merge_1_2!$K$2:$K$611,$C826)),INDEX(Merge_1_2!$K$2:$K$611,$C826),""),INDEX(Dataset3_Raw!$K$2:$K$391,$E826))</f>
        <v>0.28789999999999999</v>
      </c>
      <c r="P826" s="25">
        <f>IF(ISNUMBER($O826),$O826,ROUND(Lookups!$B$25+Lookups!$B$24*$N826,4))</f>
        <v>0.28789999999999999</v>
      </c>
      <c r="Q826" s="25">
        <f>IF($C826&gt;0,INDEX(Merge_1_2!$L$2:$L$611,$C826),INDEX(Dataset3_Raw!$L$2:$L$391,$E826))</f>
        <v>0.61</v>
      </c>
      <c r="R826" s="25">
        <f>IF($C826&gt;0,INDEX(Merge_1_2!$M$2:$M$611,$C826),INDEX(Dataset3_Raw!$M$2:$M$391,$E826))</f>
        <v>0.1343</v>
      </c>
      <c r="S826" s="23">
        <f>IF($C826&gt;0,INDEX(Merge_1_2!$N$2:$N$611,$C826),INDEX(Dataset3_Raw!$N$2:$N$391,$E826))</f>
        <v>1</v>
      </c>
      <c r="T826" s="23">
        <f>IF($C826&gt;0,INDEX(Merge_1_2!$O$2:$O$611,$C826),INDEX(Dataset3_Raw!$O$2:$O$391,$E826))</f>
        <v>20</v>
      </c>
      <c r="U826" s="23">
        <f>IF($C826&gt;0,INDEX(Merge_1_2!$P$2:$P$611,$C826),INDEX(Dataset3_Raw!$P$2:$P$391,$E826))</f>
        <v>21</v>
      </c>
      <c r="V826" s="23" t="str">
        <f t="shared" si="73"/>
        <v>Weekend</v>
      </c>
      <c r="W826" s="23" t="str">
        <f>VLOOKUP($M826,Lookups!$A$5:$B$8,2,FALSE())</f>
        <v>Clear / Partly cloudy</v>
      </c>
      <c r="X826" s="23" t="str">
        <f>VLOOKUP($G826,Lookups!$D$5:$E$8,2,FALSE())</f>
        <v>Winter</v>
      </c>
      <c r="Y826" s="23" t="str">
        <f>VLOOKUP($L826,Lookups!$G$5:$H$11,2,FALSE())</f>
        <v>Sunday</v>
      </c>
      <c r="Z826" s="23" t="str">
        <f>IF($J826&lt;Lookups!$B$26,"Night",IF($J826&lt;Lookups!$B$27,"Morning",IF($J826&lt;Lookups!$B$28,"Afternoon","Evening")))</f>
        <v>Evening</v>
      </c>
      <c r="AA826" s="26">
        <f>ROUND($N826*(Lookups!$B$16-Lookups!$B$15)+Lookups!$B$15,1)</f>
        <v>5.2</v>
      </c>
      <c r="AB826" s="26">
        <f>ROUND($P826*(Lookups!$B$18-Lookups!$B$17)+Lookups!$B$17,1)</f>
        <v>3</v>
      </c>
      <c r="AC826" s="23">
        <f t="shared" si="74"/>
        <v>61</v>
      </c>
      <c r="AD826" s="23">
        <f>ROUND($R826*Lookups!$B$19,1)</f>
        <v>9</v>
      </c>
      <c r="AE826" s="27">
        <f t="shared" si="75"/>
        <v>0.95238095238095233</v>
      </c>
      <c r="AF826" s="23" t="str">
        <f>IF($U826&gt;=Lookups!$B$23,"High",IF($U826&gt;=Lookups!$B$22,"Medium","Low"))</f>
        <v>Medium</v>
      </c>
      <c r="AG826" s="23">
        <f>ROUND(IF($V826="Weekday",IF(INDEX(Hourly_Analysis!$D$5:$D$28,$J826+1)&gt;0,($U826-INDEX(Hourly_Analysis!$C$5:$C$28,$J826+1))/INDEX(Hourly_Analysis!$D$5:$D$28,$J826+1),0),IF(INDEX(Hourly_Analysis!$G$5:$G$28,$J826+1)&gt;0,($U826-INDEX(Hourly_Analysis!$F$5:$F$28,$J826+1))/INDEX(Hourly_Analysis!$G$5:$G$28,$J826+1),0)),2)</f>
        <v>-1.72</v>
      </c>
      <c r="AH826" s="23" t="str">
        <f>IF(ABS($AG826)&gt;Lookups!$B$20,IF($AG826&gt;0,"High anomaly","Low anomaly"),"")</f>
        <v/>
      </c>
      <c r="AI826" s="23" t="str">
        <f t="shared" si="76"/>
        <v>OK</v>
      </c>
      <c r="AJ826" s="23" t="str">
        <f t="shared" si="77"/>
        <v>No</v>
      </c>
    </row>
    <row r="827" spans="1:36" x14ac:dyDescent="0.35">
      <c r="A827" s="23">
        <v>826</v>
      </c>
      <c r="B827" s="23" t="str">
        <f t="shared" si="72"/>
        <v>Dataset 3</v>
      </c>
      <c r="C827" s="23">
        <f>IFERROR(MATCH($A827,Merge_1_2!$A$2:$A$611,0),0)</f>
        <v>0</v>
      </c>
      <c r="D827" s="23">
        <f>IF($C827&gt;0,INDEX(Merge_1_2!$Q$2:$Q$611,$C827),0)</f>
        <v>0</v>
      </c>
      <c r="E827" s="23">
        <f>IFERROR(MATCH($A827,Dataset3_Raw!$A$2:$A$391,0),0)</f>
        <v>216</v>
      </c>
      <c r="F827" s="24">
        <f>IF($C827&gt;0,INDEX(Merge_1_2!$B$2:$B$611,$C827),DATE(VALUE(RIGHT(INDEX(Dataset3_Raw!$B$2:$B$391,$E827),4)),VALUE(MID(INDEX(Dataset3_Raw!$B$2:$B$391,$E827),4,2)),VALUE(LEFT(INDEX(Dataset3_Raw!$B$2:$B$391,$E827),2))))</f>
        <v>40580</v>
      </c>
      <c r="G827" s="23">
        <f>IF($C827&gt;0,INDEX(Merge_1_2!$C$2:$C$611,$C827),INDEX(Dataset3_Raw!$C$2:$C$391,$E827))</f>
        <v>1</v>
      </c>
      <c r="H827" s="23">
        <f>IF($C827&gt;0,INDEX(Merge_1_2!$D$2:$D$611,$C827),INDEX(Dataset3_Raw!$D$2:$D$391,$E827))</f>
        <v>0</v>
      </c>
      <c r="I827" s="23">
        <f>IF($C827&gt;0,INDEX(Merge_1_2!$E$2:$E$611,$C827),INDEX(Dataset3_Raw!$E$2:$E$391,$E827))</f>
        <v>2</v>
      </c>
      <c r="J827" s="23">
        <f>IF($C827&gt;0,INDEX(Merge_1_2!$F$2:$F$611,$C827),INDEX(Dataset3_Raw!$F$2:$F$391,$E827))</f>
        <v>20</v>
      </c>
      <c r="K827" s="23" t="b">
        <f>IF($C827&gt;0,INDEX(Merge_1_2!$G$2:$G$611,$C827),INDEX(Dataset3_Raw!$G$2:$G$391,$E827))</f>
        <v>0</v>
      </c>
      <c r="L827" s="23">
        <f>IF($C827&gt;0,INDEX(Merge_1_2!$H$2:$H$611,$C827),INDEX(Dataset3_Raw!$H$2:$H$391,$E827))</f>
        <v>0</v>
      </c>
      <c r="M827" s="23">
        <f>IF($C827&gt;0,INDEX(Merge_1_2!$I$2:$I$611,$C827),INDEX(Dataset3_Raw!$I$2:$I$391,$E827))</f>
        <v>1</v>
      </c>
      <c r="N827" s="25">
        <f>IF($C827&gt;0,INDEX(Merge_1_2!$J$2:$J$611,$C827),INDEX(Dataset3_Raw!$J$2:$J$391,$E827))</f>
        <v>0.28000000000000003</v>
      </c>
      <c r="O827" s="25">
        <f>IF($C827&gt;0,IF(ISNUMBER(INDEX(Merge_1_2!$K$2:$K$611,$C827)),INDEX(Merge_1_2!$K$2:$K$611,$C827),""),INDEX(Dataset3_Raw!$K$2:$K$391,$E827))</f>
        <v>0.28789999999999999</v>
      </c>
      <c r="P827" s="25">
        <f>IF(ISNUMBER($O827),$O827,ROUND(Lookups!$B$25+Lookups!$B$24*$N827,4))</f>
        <v>0.28789999999999999</v>
      </c>
      <c r="Q827" s="25">
        <f>IF($C827&gt;0,INDEX(Merge_1_2!$L$2:$L$611,$C827),INDEX(Dataset3_Raw!$L$2:$L$391,$E827))</f>
        <v>0.61</v>
      </c>
      <c r="R827" s="25">
        <f>IF($C827&gt;0,INDEX(Merge_1_2!$M$2:$M$611,$C827),INDEX(Dataset3_Raw!$M$2:$M$391,$E827))</f>
        <v>0.1045</v>
      </c>
      <c r="S827" s="23">
        <f>IF($C827&gt;0,INDEX(Merge_1_2!$N$2:$N$611,$C827),INDEX(Dataset3_Raw!$N$2:$N$391,$E827))</f>
        <v>5</v>
      </c>
      <c r="T827" s="23">
        <f>IF($C827&gt;0,INDEX(Merge_1_2!$O$2:$O$611,$C827),INDEX(Dataset3_Raw!$O$2:$O$391,$E827))</f>
        <v>21</v>
      </c>
      <c r="U827" s="23">
        <f>IF($C827&gt;0,INDEX(Merge_1_2!$P$2:$P$611,$C827),INDEX(Dataset3_Raw!$P$2:$P$391,$E827))</f>
        <v>26</v>
      </c>
      <c r="V827" s="23" t="str">
        <f t="shared" si="73"/>
        <v>Weekend</v>
      </c>
      <c r="W827" s="23" t="str">
        <f>VLOOKUP($M827,Lookups!$A$5:$B$8,2,FALSE())</f>
        <v>Clear / Partly cloudy</v>
      </c>
      <c r="X827" s="23" t="str">
        <f>VLOOKUP($G827,Lookups!$D$5:$E$8,2,FALSE())</f>
        <v>Winter</v>
      </c>
      <c r="Y827" s="23" t="str">
        <f>VLOOKUP($L827,Lookups!$G$5:$H$11,2,FALSE())</f>
        <v>Sunday</v>
      </c>
      <c r="Z827" s="23" t="str">
        <f>IF($J827&lt;Lookups!$B$26,"Night",IF($J827&lt;Lookups!$B$27,"Morning",IF($J827&lt;Lookups!$B$28,"Afternoon","Evening")))</f>
        <v>Evening</v>
      </c>
      <c r="AA827" s="26">
        <f>ROUND($N827*(Lookups!$B$16-Lookups!$B$15)+Lookups!$B$15,1)</f>
        <v>5.2</v>
      </c>
      <c r="AB827" s="26">
        <f>ROUND($P827*(Lookups!$B$18-Lookups!$B$17)+Lookups!$B$17,1)</f>
        <v>3</v>
      </c>
      <c r="AC827" s="23">
        <f t="shared" si="74"/>
        <v>61</v>
      </c>
      <c r="AD827" s="23">
        <f>ROUND($R827*Lookups!$B$19,1)</f>
        <v>7</v>
      </c>
      <c r="AE827" s="27">
        <f t="shared" si="75"/>
        <v>0.80769230769230771</v>
      </c>
      <c r="AF827" s="23" t="str">
        <f>IF($U827&gt;=Lookups!$B$23,"High",IF($U827&gt;=Lookups!$B$22,"Medium","Low"))</f>
        <v>Medium</v>
      </c>
      <c r="AG827" s="23">
        <f>ROUND(IF($V827="Weekday",IF(INDEX(Hourly_Analysis!$D$5:$D$28,$J827+1)&gt;0,($U827-INDEX(Hourly_Analysis!$C$5:$C$28,$J827+1))/INDEX(Hourly_Analysis!$D$5:$D$28,$J827+1),0),IF(INDEX(Hourly_Analysis!$G$5:$G$28,$J827+1)&gt;0,($U827-INDEX(Hourly_Analysis!$F$5:$F$28,$J827+1))/INDEX(Hourly_Analysis!$G$5:$G$28,$J827+1),0)),2)</f>
        <v>-1.1299999999999999</v>
      </c>
      <c r="AH827" s="23" t="str">
        <f>IF(ABS($AG827)&gt;Lookups!$B$20,IF($AG827&gt;0,"High anomaly","Low anomaly"),"")</f>
        <v/>
      </c>
      <c r="AI827" s="23" t="str">
        <f t="shared" si="76"/>
        <v>OK</v>
      </c>
      <c r="AJ827" s="23" t="str">
        <f t="shared" si="77"/>
        <v>No</v>
      </c>
    </row>
    <row r="828" spans="1:36" x14ac:dyDescent="0.35">
      <c r="A828" s="23">
        <v>827</v>
      </c>
      <c r="B828" s="23" t="str">
        <f t="shared" si="72"/>
        <v>Dataset 3</v>
      </c>
      <c r="C828" s="23">
        <f>IFERROR(MATCH($A828,Merge_1_2!$A$2:$A$611,0),0)</f>
        <v>0</v>
      </c>
      <c r="D828" s="23">
        <f>IF($C828&gt;0,INDEX(Merge_1_2!$Q$2:$Q$611,$C828),0)</f>
        <v>0</v>
      </c>
      <c r="E828" s="23">
        <f>IFERROR(MATCH($A828,Dataset3_Raw!$A$2:$A$391,0),0)</f>
        <v>217</v>
      </c>
      <c r="F828" s="24">
        <f>IF($C828&gt;0,INDEX(Merge_1_2!$B$2:$B$611,$C828),DATE(VALUE(RIGHT(INDEX(Dataset3_Raw!$B$2:$B$391,$E828),4)),VALUE(MID(INDEX(Dataset3_Raw!$B$2:$B$391,$E828),4,2)),VALUE(LEFT(INDEX(Dataset3_Raw!$B$2:$B$391,$E828),2))))</f>
        <v>40580</v>
      </c>
      <c r="G828" s="23">
        <f>IF($C828&gt;0,INDEX(Merge_1_2!$C$2:$C$611,$C828),INDEX(Dataset3_Raw!$C$2:$C$391,$E828))</f>
        <v>1</v>
      </c>
      <c r="H828" s="23">
        <f>IF($C828&gt;0,INDEX(Merge_1_2!$D$2:$D$611,$C828),INDEX(Dataset3_Raw!$D$2:$D$391,$E828))</f>
        <v>0</v>
      </c>
      <c r="I828" s="23">
        <f>IF($C828&gt;0,INDEX(Merge_1_2!$E$2:$E$611,$C828),INDEX(Dataset3_Raw!$E$2:$E$391,$E828))</f>
        <v>2</v>
      </c>
      <c r="J828" s="23">
        <f>IF($C828&gt;0,INDEX(Merge_1_2!$F$2:$F$611,$C828),INDEX(Dataset3_Raw!$F$2:$F$391,$E828))</f>
        <v>21</v>
      </c>
      <c r="K828" s="23" t="b">
        <f>IF($C828&gt;0,INDEX(Merge_1_2!$G$2:$G$611,$C828),INDEX(Dataset3_Raw!$G$2:$G$391,$E828))</f>
        <v>0</v>
      </c>
      <c r="L828" s="23">
        <f>IF($C828&gt;0,INDEX(Merge_1_2!$H$2:$H$611,$C828),INDEX(Dataset3_Raw!$H$2:$H$391,$E828))</f>
        <v>0</v>
      </c>
      <c r="M828" s="23">
        <f>IF($C828&gt;0,INDEX(Merge_1_2!$I$2:$I$611,$C828),INDEX(Dataset3_Raw!$I$2:$I$391,$E828))</f>
        <v>1</v>
      </c>
      <c r="N828" s="25">
        <f>IF($C828&gt;0,INDEX(Merge_1_2!$J$2:$J$611,$C828),INDEX(Dataset3_Raw!$J$2:$J$391,$E828))</f>
        <v>0.26</v>
      </c>
      <c r="O828" s="25">
        <f>IF($C828&gt;0,IF(ISNUMBER(INDEX(Merge_1_2!$K$2:$K$611,$C828)),INDEX(Merge_1_2!$K$2:$K$611,$C828),""),INDEX(Dataset3_Raw!$K$2:$K$391,$E828))</f>
        <v>0.30299999999999999</v>
      </c>
      <c r="P828" s="25">
        <f>IF(ISNUMBER($O828),$O828,ROUND(Lookups!$B$25+Lookups!$B$24*$N828,4))</f>
        <v>0.30299999999999999</v>
      </c>
      <c r="Q828" s="25">
        <f>IF($C828&gt;0,INDEX(Merge_1_2!$L$2:$L$611,$C828),INDEX(Dataset3_Raw!$L$2:$L$391,$E828))</f>
        <v>0.6</v>
      </c>
      <c r="R828" s="25">
        <f>IF($C828&gt;0,INDEX(Merge_1_2!$M$2:$M$611,$C828),INDEX(Dataset3_Raw!$M$2:$M$391,$E828))</f>
        <v>0</v>
      </c>
      <c r="S828" s="23">
        <f>IF($C828&gt;0,INDEX(Merge_1_2!$N$2:$N$611,$C828),INDEX(Dataset3_Raw!$N$2:$N$391,$E828))</f>
        <v>5</v>
      </c>
      <c r="T828" s="23">
        <f>IF($C828&gt;0,INDEX(Merge_1_2!$O$2:$O$611,$C828),INDEX(Dataset3_Raw!$O$2:$O$391,$E828))</f>
        <v>22</v>
      </c>
      <c r="U828" s="23">
        <f>IF($C828&gt;0,INDEX(Merge_1_2!$P$2:$P$611,$C828),INDEX(Dataset3_Raw!$P$2:$P$391,$E828))</f>
        <v>27</v>
      </c>
      <c r="V828" s="23" t="str">
        <f t="shared" si="73"/>
        <v>Weekend</v>
      </c>
      <c r="W828" s="23" t="str">
        <f>VLOOKUP($M828,Lookups!$A$5:$B$8,2,FALSE())</f>
        <v>Clear / Partly cloudy</v>
      </c>
      <c r="X828" s="23" t="str">
        <f>VLOOKUP($G828,Lookups!$D$5:$E$8,2,FALSE())</f>
        <v>Winter</v>
      </c>
      <c r="Y828" s="23" t="str">
        <f>VLOOKUP($L828,Lookups!$G$5:$H$11,2,FALSE())</f>
        <v>Sunday</v>
      </c>
      <c r="Z828" s="23" t="str">
        <f>IF($J828&lt;Lookups!$B$26,"Night",IF($J828&lt;Lookups!$B$27,"Morning",IF($J828&lt;Lookups!$B$28,"Afternoon","Evening")))</f>
        <v>Evening</v>
      </c>
      <c r="AA828" s="26">
        <f>ROUND($N828*(Lookups!$B$16-Lookups!$B$15)+Lookups!$B$15,1)</f>
        <v>4.2</v>
      </c>
      <c r="AB828" s="26">
        <f>ROUND($P828*(Lookups!$B$18-Lookups!$B$17)+Lookups!$B$17,1)</f>
        <v>4</v>
      </c>
      <c r="AC828" s="23">
        <f t="shared" si="74"/>
        <v>60</v>
      </c>
      <c r="AD828" s="23">
        <f>ROUND($R828*Lookups!$B$19,1)</f>
        <v>0</v>
      </c>
      <c r="AE828" s="27">
        <f t="shared" si="75"/>
        <v>0.81481481481481477</v>
      </c>
      <c r="AF828" s="23" t="str">
        <f>IF($U828&gt;=Lookups!$B$23,"High",IF($U828&gt;=Lookups!$B$22,"Medium","Low"))</f>
        <v>Medium</v>
      </c>
      <c r="AG828" s="23">
        <f>ROUND(IF($V828="Weekday",IF(INDEX(Hourly_Analysis!$D$5:$D$28,$J828+1)&gt;0,($U828-INDEX(Hourly_Analysis!$C$5:$C$28,$J828+1))/INDEX(Hourly_Analysis!$D$5:$D$28,$J828+1),0),IF(INDEX(Hourly_Analysis!$G$5:$G$28,$J828+1)&gt;0,($U828-INDEX(Hourly_Analysis!$F$5:$F$28,$J828+1))/INDEX(Hourly_Analysis!$G$5:$G$28,$J828+1),0)),2)</f>
        <v>-0.79</v>
      </c>
      <c r="AH828" s="23" t="str">
        <f>IF(ABS($AG828)&gt;Lookups!$B$20,IF($AG828&gt;0,"High anomaly","Low anomaly"),"")</f>
        <v/>
      </c>
      <c r="AI828" s="23" t="str">
        <f t="shared" si="76"/>
        <v>OK</v>
      </c>
      <c r="AJ828" s="23" t="str">
        <f t="shared" si="77"/>
        <v>No</v>
      </c>
    </row>
    <row r="829" spans="1:36" x14ac:dyDescent="0.35">
      <c r="A829" s="23">
        <v>828</v>
      </c>
      <c r="B829" s="23" t="str">
        <f t="shared" si="72"/>
        <v>Dataset 3</v>
      </c>
      <c r="C829" s="23">
        <f>IFERROR(MATCH($A829,Merge_1_2!$A$2:$A$611,0),0)</f>
        <v>0</v>
      </c>
      <c r="D829" s="23">
        <f>IF($C829&gt;0,INDEX(Merge_1_2!$Q$2:$Q$611,$C829),0)</f>
        <v>0</v>
      </c>
      <c r="E829" s="23">
        <f>IFERROR(MATCH($A829,Dataset3_Raw!$A$2:$A$391,0),0)</f>
        <v>218</v>
      </c>
      <c r="F829" s="24">
        <f>IF($C829&gt;0,INDEX(Merge_1_2!$B$2:$B$611,$C829),DATE(VALUE(RIGHT(INDEX(Dataset3_Raw!$B$2:$B$391,$E829),4)),VALUE(MID(INDEX(Dataset3_Raw!$B$2:$B$391,$E829),4,2)),VALUE(LEFT(INDEX(Dataset3_Raw!$B$2:$B$391,$E829),2))))</f>
        <v>40580</v>
      </c>
      <c r="G829" s="23">
        <f>IF($C829&gt;0,INDEX(Merge_1_2!$C$2:$C$611,$C829),INDEX(Dataset3_Raw!$C$2:$C$391,$E829))</f>
        <v>1</v>
      </c>
      <c r="H829" s="23">
        <f>IF($C829&gt;0,INDEX(Merge_1_2!$D$2:$D$611,$C829),INDEX(Dataset3_Raw!$D$2:$D$391,$E829))</f>
        <v>0</v>
      </c>
      <c r="I829" s="23">
        <f>IF($C829&gt;0,INDEX(Merge_1_2!$E$2:$E$611,$C829),INDEX(Dataset3_Raw!$E$2:$E$391,$E829))</f>
        <v>2</v>
      </c>
      <c r="J829" s="23">
        <f>IF($C829&gt;0,INDEX(Merge_1_2!$F$2:$F$611,$C829),INDEX(Dataset3_Raw!$F$2:$F$391,$E829))</f>
        <v>22</v>
      </c>
      <c r="K829" s="23" t="b">
        <f>IF($C829&gt;0,INDEX(Merge_1_2!$G$2:$G$611,$C829),INDEX(Dataset3_Raw!$G$2:$G$391,$E829))</f>
        <v>0</v>
      </c>
      <c r="L829" s="23">
        <f>IF($C829&gt;0,INDEX(Merge_1_2!$H$2:$H$611,$C829),INDEX(Dataset3_Raw!$H$2:$H$391,$E829))</f>
        <v>0</v>
      </c>
      <c r="M829" s="23">
        <f>IF($C829&gt;0,INDEX(Merge_1_2!$I$2:$I$611,$C829),INDEX(Dataset3_Raw!$I$2:$I$391,$E829))</f>
        <v>1</v>
      </c>
      <c r="N829" s="25">
        <f>IF($C829&gt;0,INDEX(Merge_1_2!$J$2:$J$611,$C829),INDEX(Dataset3_Raw!$J$2:$J$391,$E829))</f>
        <v>0.26</v>
      </c>
      <c r="O829" s="25">
        <f>IF($C829&gt;0,IF(ISNUMBER(INDEX(Merge_1_2!$K$2:$K$611,$C829)),INDEX(Merge_1_2!$K$2:$K$611,$C829),""),INDEX(Dataset3_Raw!$K$2:$K$391,$E829))</f>
        <v>0.30299999999999999</v>
      </c>
      <c r="P829" s="25">
        <f>IF(ISNUMBER($O829),$O829,ROUND(Lookups!$B$25+Lookups!$B$24*$N829,4))</f>
        <v>0.30299999999999999</v>
      </c>
      <c r="Q829" s="25">
        <f>IF($C829&gt;0,INDEX(Merge_1_2!$L$2:$L$611,$C829),INDEX(Dataset3_Raw!$L$2:$L$391,$E829))</f>
        <v>0.6</v>
      </c>
      <c r="R829" s="25">
        <f>IF($C829&gt;0,INDEX(Merge_1_2!$M$2:$M$611,$C829),INDEX(Dataset3_Raw!$M$2:$M$391,$E829))</f>
        <v>0</v>
      </c>
      <c r="S829" s="23">
        <f>IF($C829&gt;0,INDEX(Merge_1_2!$N$2:$N$611,$C829),INDEX(Dataset3_Raw!$N$2:$N$391,$E829))</f>
        <v>5</v>
      </c>
      <c r="T829" s="23">
        <f>IF($C829&gt;0,INDEX(Merge_1_2!$O$2:$O$611,$C829),INDEX(Dataset3_Raw!$O$2:$O$391,$E829))</f>
        <v>57</v>
      </c>
      <c r="U829" s="23">
        <f>IF($C829&gt;0,INDEX(Merge_1_2!$P$2:$P$611,$C829),INDEX(Dataset3_Raw!$P$2:$P$391,$E829))</f>
        <v>62</v>
      </c>
      <c r="V829" s="23" t="str">
        <f t="shared" si="73"/>
        <v>Weekend</v>
      </c>
      <c r="W829" s="23" t="str">
        <f>VLOOKUP($M829,Lookups!$A$5:$B$8,2,FALSE())</f>
        <v>Clear / Partly cloudy</v>
      </c>
      <c r="X829" s="23" t="str">
        <f>VLOOKUP($G829,Lookups!$D$5:$E$8,2,FALSE())</f>
        <v>Winter</v>
      </c>
      <c r="Y829" s="23" t="str">
        <f>VLOOKUP($L829,Lookups!$G$5:$H$11,2,FALSE())</f>
        <v>Sunday</v>
      </c>
      <c r="Z829" s="23" t="str">
        <f>IF($J829&lt;Lookups!$B$26,"Night",IF($J829&lt;Lookups!$B$27,"Morning",IF($J829&lt;Lookups!$B$28,"Afternoon","Evening")))</f>
        <v>Evening</v>
      </c>
      <c r="AA829" s="26">
        <f>ROUND($N829*(Lookups!$B$16-Lookups!$B$15)+Lookups!$B$15,1)</f>
        <v>4.2</v>
      </c>
      <c r="AB829" s="26">
        <f>ROUND($P829*(Lookups!$B$18-Lookups!$B$17)+Lookups!$B$17,1)</f>
        <v>4</v>
      </c>
      <c r="AC829" s="23">
        <f t="shared" si="74"/>
        <v>60</v>
      </c>
      <c r="AD829" s="23">
        <f>ROUND($R829*Lookups!$B$19,1)</f>
        <v>0</v>
      </c>
      <c r="AE829" s="27">
        <f t="shared" si="75"/>
        <v>0.91935483870967738</v>
      </c>
      <c r="AF829" s="23" t="str">
        <f>IF($U829&gt;=Lookups!$B$23,"High",IF($U829&gt;=Lookups!$B$22,"Medium","Low"))</f>
        <v>Medium</v>
      </c>
      <c r="AG829" s="23">
        <f>ROUND(IF($V829="Weekday",IF(INDEX(Hourly_Analysis!$D$5:$D$28,$J829+1)&gt;0,($U829-INDEX(Hourly_Analysis!$C$5:$C$28,$J829+1))/INDEX(Hourly_Analysis!$D$5:$D$28,$J829+1),0),IF(INDEX(Hourly_Analysis!$G$5:$G$28,$J829+1)&gt;0,($U829-INDEX(Hourly_Analysis!$F$5:$F$28,$J829+1))/INDEX(Hourly_Analysis!$G$5:$G$28,$J829+1),0)),2)</f>
        <v>2.34</v>
      </c>
      <c r="AH829" s="23" t="str">
        <f>IF(ABS($AG829)&gt;Lookups!$B$20,IF($AG829&gt;0,"High anomaly","Low anomaly"),"")</f>
        <v/>
      </c>
      <c r="AI829" s="23" t="str">
        <f t="shared" si="76"/>
        <v>OK</v>
      </c>
      <c r="AJ829" s="23" t="str">
        <f t="shared" si="77"/>
        <v>No</v>
      </c>
    </row>
    <row r="830" spans="1:36" x14ac:dyDescent="0.35">
      <c r="A830" s="23">
        <v>829</v>
      </c>
      <c r="B830" s="23" t="str">
        <f t="shared" si="72"/>
        <v>Dataset 3</v>
      </c>
      <c r="C830" s="23">
        <f>IFERROR(MATCH($A830,Merge_1_2!$A$2:$A$611,0),0)</f>
        <v>0</v>
      </c>
      <c r="D830" s="23">
        <f>IF($C830&gt;0,INDEX(Merge_1_2!$Q$2:$Q$611,$C830),0)</f>
        <v>0</v>
      </c>
      <c r="E830" s="23">
        <f>IFERROR(MATCH($A830,Dataset3_Raw!$A$2:$A$391,0),0)</f>
        <v>219</v>
      </c>
      <c r="F830" s="24">
        <f>IF($C830&gt;0,INDEX(Merge_1_2!$B$2:$B$611,$C830),DATE(VALUE(RIGHT(INDEX(Dataset3_Raw!$B$2:$B$391,$E830),4)),VALUE(MID(INDEX(Dataset3_Raw!$B$2:$B$391,$E830),4,2)),VALUE(LEFT(INDEX(Dataset3_Raw!$B$2:$B$391,$E830),2))))</f>
        <v>40580</v>
      </c>
      <c r="G830" s="23">
        <f>IF($C830&gt;0,INDEX(Merge_1_2!$C$2:$C$611,$C830),INDEX(Dataset3_Raw!$C$2:$C$391,$E830))</f>
        <v>1</v>
      </c>
      <c r="H830" s="23">
        <f>IF($C830&gt;0,INDEX(Merge_1_2!$D$2:$D$611,$C830),INDEX(Dataset3_Raw!$D$2:$D$391,$E830))</f>
        <v>0</v>
      </c>
      <c r="I830" s="23">
        <f>IF($C830&gt;0,INDEX(Merge_1_2!$E$2:$E$611,$C830),INDEX(Dataset3_Raw!$E$2:$E$391,$E830))</f>
        <v>2</v>
      </c>
      <c r="J830" s="23">
        <f>IF($C830&gt;0,INDEX(Merge_1_2!$F$2:$F$611,$C830),INDEX(Dataset3_Raw!$F$2:$F$391,$E830))</f>
        <v>23</v>
      </c>
      <c r="K830" s="23" t="b">
        <f>IF($C830&gt;0,INDEX(Merge_1_2!$G$2:$G$611,$C830),INDEX(Dataset3_Raw!$G$2:$G$391,$E830))</f>
        <v>0</v>
      </c>
      <c r="L830" s="23">
        <f>IF($C830&gt;0,INDEX(Merge_1_2!$H$2:$H$611,$C830),INDEX(Dataset3_Raw!$H$2:$H$391,$E830))</f>
        <v>0</v>
      </c>
      <c r="M830" s="23">
        <f>IF($C830&gt;0,INDEX(Merge_1_2!$I$2:$I$611,$C830),INDEX(Dataset3_Raw!$I$2:$I$391,$E830))</f>
        <v>1</v>
      </c>
      <c r="N830" s="25">
        <f>IF($C830&gt;0,INDEX(Merge_1_2!$J$2:$J$611,$C830),INDEX(Dataset3_Raw!$J$2:$J$391,$E830))</f>
        <v>0.24</v>
      </c>
      <c r="O830" s="25">
        <f>IF($C830&gt;0,IF(ISNUMBER(INDEX(Merge_1_2!$K$2:$K$611,$C830)),INDEX(Merge_1_2!$K$2:$K$611,$C830),""),INDEX(Dataset3_Raw!$K$2:$K$391,$E830))</f>
        <v>0.28789999999999999</v>
      </c>
      <c r="P830" s="25">
        <f>IF(ISNUMBER($O830),$O830,ROUND(Lookups!$B$25+Lookups!$B$24*$N830,4))</f>
        <v>0.28789999999999999</v>
      </c>
      <c r="Q830" s="25">
        <f>IF($C830&gt;0,INDEX(Merge_1_2!$L$2:$L$611,$C830),INDEX(Dataset3_Raw!$L$2:$L$391,$E830))</f>
        <v>0.65</v>
      </c>
      <c r="R830" s="25">
        <f>IF($C830&gt;0,INDEX(Merge_1_2!$M$2:$M$611,$C830),INDEX(Dataset3_Raw!$M$2:$M$391,$E830))</f>
        <v>0</v>
      </c>
      <c r="S830" s="23">
        <f>IF($C830&gt;0,INDEX(Merge_1_2!$N$2:$N$611,$C830),INDEX(Dataset3_Raw!$N$2:$N$391,$E830))</f>
        <v>4</v>
      </c>
      <c r="T830" s="23">
        <f>IF($C830&gt;0,INDEX(Merge_1_2!$O$2:$O$611,$C830),INDEX(Dataset3_Raw!$O$2:$O$391,$E830))</f>
        <v>26</v>
      </c>
      <c r="U830" s="23">
        <f>IF($C830&gt;0,INDEX(Merge_1_2!$P$2:$P$611,$C830),INDEX(Dataset3_Raw!$P$2:$P$391,$E830))</f>
        <v>30</v>
      </c>
      <c r="V830" s="23" t="str">
        <f t="shared" si="73"/>
        <v>Weekend</v>
      </c>
      <c r="W830" s="23" t="str">
        <f>VLOOKUP($M830,Lookups!$A$5:$B$8,2,FALSE())</f>
        <v>Clear / Partly cloudy</v>
      </c>
      <c r="X830" s="23" t="str">
        <f>VLOOKUP($G830,Lookups!$D$5:$E$8,2,FALSE())</f>
        <v>Winter</v>
      </c>
      <c r="Y830" s="23" t="str">
        <f>VLOOKUP($L830,Lookups!$G$5:$H$11,2,FALSE())</f>
        <v>Sunday</v>
      </c>
      <c r="Z830" s="23" t="str">
        <f>IF($J830&lt;Lookups!$B$26,"Night",IF($J830&lt;Lookups!$B$27,"Morning",IF($J830&lt;Lookups!$B$28,"Afternoon","Evening")))</f>
        <v>Evening</v>
      </c>
      <c r="AA830" s="26">
        <f>ROUND($N830*(Lookups!$B$16-Lookups!$B$15)+Lookups!$B$15,1)</f>
        <v>3.3</v>
      </c>
      <c r="AB830" s="26">
        <f>ROUND($P830*(Lookups!$B$18-Lookups!$B$17)+Lookups!$B$17,1)</f>
        <v>3</v>
      </c>
      <c r="AC830" s="23">
        <f t="shared" si="74"/>
        <v>65</v>
      </c>
      <c r="AD830" s="23">
        <f>ROUND($R830*Lookups!$B$19,1)</f>
        <v>0</v>
      </c>
      <c r="AE830" s="27">
        <f t="shared" si="75"/>
        <v>0.8666666666666667</v>
      </c>
      <c r="AF830" s="23" t="str">
        <f>IF($U830&gt;=Lookups!$B$23,"High",IF($U830&gt;=Lookups!$B$22,"Medium","Low"))</f>
        <v>Medium</v>
      </c>
      <c r="AG830" s="23">
        <f>ROUND(IF($V830="Weekday",IF(INDEX(Hourly_Analysis!$D$5:$D$28,$J830+1)&gt;0,($U830-INDEX(Hourly_Analysis!$C$5:$C$28,$J830+1))/INDEX(Hourly_Analysis!$D$5:$D$28,$J830+1),0),IF(INDEX(Hourly_Analysis!$G$5:$G$28,$J830+1)&gt;0,($U830-INDEX(Hourly_Analysis!$F$5:$F$28,$J830+1))/INDEX(Hourly_Analysis!$G$5:$G$28,$J830+1),0)),2)</f>
        <v>0.22</v>
      </c>
      <c r="AH830" s="23" t="str">
        <f>IF(ABS($AG830)&gt;Lookups!$B$20,IF($AG830&gt;0,"High anomaly","Low anomaly"),"")</f>
        <v/>
      </c>
      <c r="AI830" s="23" t="str">
        <f t="shared" si="76"/>
        <v>OK</v>
      </c>
      <c r="AJ830" s="23" t="str">
        <f t="shared" si="77"/>
        <v>No</v>
      </c>
    </row>
    <row r="831" spans="1:36" x14ac:dyDescent="0.35">
      <c r="A831" s="23">
        <v>830</v>
      </c>
      <c r="B831" s="23" t="str">
        <f t="shared" si="72"/>
        <v>Dataset 3</v>
      </c>
      <c r="C831" s="23">
        <f>IFERROR(MATCH($A831,Merge_1_2!$A$2:$A$611,0),0)</f>
        <v>0</v>
      </c>
      <c r="D831" s="23">
        <f>IF($C831&gt;0,INDEX(Merge_1_2!$Q$2:$Q$611,$C831),0)</f>
        <v>0</v>
      </c>
      <c r="E831" s="23">
        <f>IFERROR(MATCH($A831,Dataset3_Raw!$A$2:$A$391,0),0)</f>
        <v>220</v>
      </c>
      <c r="F831" s="24">
        <f>IF($C831&gt;0,INDEX(Merge_1_2!$B$2:$B$611,$C831),DATE(VALUE(RIGHT(INDEX(Dataset3_Raw!$B$2:$B$391,$E831),4)),VALUE(MID(INDEX(Dataset3_Raw!$B$2:$B$391,$E831),4,2)),VALUE(LEFT(INDEX(Dataset3_Raw!$B$2:$B$391,$E831),2))))</f>
        <v>40581</v>
      </c>
      <c r="G831" s="23">
        <f>IF($C831&gt;0,INDEX(Merge_1_2!$C$2:$C$611,$C831),INDEX(Dataset3_Raw!$C$2:$C$391,$E831))</f>
        <v>1</v>
      </c>
      <c r="H831" s="23">
        <f>IF($C831&gt;0,INDEX(Merge_1_2!$D$2:$D$611,$C831),INDEX(Dataset3_Raw!$D$2:$D$391,$E831))</f>
        <v>0</v>
      </c>
      <c r="I831" s="23">
        <f>IF($C831&gt;0,INDEX(Merge_1_2!$E$2:$E$611,$C831),INDEX(Dataset3_Raw!$E$2:$E$391,$E831))</f>
        <v>2</v>
      </c>
      <c r="J831" s="23">
        <f>IF($C831&gt;0,INDEX(Merge_1_2!$F$2:$F$611,$C831),INDEX(Dataset3_Raw!$F$2:$F$391,$E831))</f>
        <v>0</v>
      </c>
      <c r="K831" s="23" t="b">
        <f>IF($C831&gt;0,INDEX(Merge_1_2!$G$2:$G$611,$C831),INDEX(Dataset3_Raw!$G$2:$G$391,$E831))</f>
        <v>0</v>
      </c>
      <c r="L831" s="23">
        <f>IF($C831&gt;0,INDEX(Merge_1_2!$H$2:$H$611,$C831),INDEX(Dataset3_Raw!$H$2:$H$391,$E831))</f>
        <v>1</v>
      </c>
      <c r="M831" s="23">
        <f>IF($C831&gt;0,INDEX(Merge_1_2!$I$2:$I$611,$C831),INDEX(Dataset3_Raw!$I$2:$I$391,$E831))</f>
        <v>1</v>
      </c>
      <c r="N831" s="25">
        <f>IF($C831&gt;0,INDEX(Merge_1_2!$J$2:$J$611,$C831),INDEX(Dataset3_Raw!$J$2:$J$391,$E831))</f>
        <v>0.24</v>
      </c>
      <c r="O831" s="25">
        <f>IF($C831&gt;0,IF(ISNUMBER(INDEX(Merge_1_2!$K$2:$K$611,$C831)),INDEX(Merge_1_2!$K$2:$K$611,$C831),""),INDEX(Dataset3_Raw!$K$2:$K$391,$E831))</f>
        <v>0.28789999999999999</v>
      </c>
      <c r="P831" s="25">
        <f>IF(ISNUMBER($O831),$O831,ROUND(Lookups!$B$25+Lookups!$B$24*$N831,4))</f>
        <v>0.28789999999999999</v>
      </c>
      <c r="Q831" s="25">
        <f>IF($C831&gt;0,INDEX(Merge_1_2!$L$2:$L$611,$C831),INDEX(Dataset3_Raw!$L$2:$L$391,$E831))</f>
        <v>0.65</v>
      </c>
      <c r="R831" s="25">
        <f>IF($C831&gt;0,INDEX(Merge_1_2!$M$2:$M$611,$C831),INDEX(Dataset3_Raw!$M$2:$M$391,$E831))</f>
        <v>0</v>
      </c>
      <c r="S831" s="23">
        <f>IF($C831&gt;0,INDEX(Merge_1_2!$N$2:$N$611,$C831),INDEX(Dataset3_Raw!$N$2:$N$391,$E831))</f>
        <v>1</v>
      </c>
      <c r="T831" s="23">
        <f>IF($C831&gt;0,INDEX(Merge_1_2!$O$2:$O$611,$C831),INDEX(Dataset3_Raw!$O$2:$O$391,$E831))</f>
        <v>14</v>
      </c>
      <c r="U831" s="23">
        <f>IF($C831&gt;0,INDEX(Merge_1_2!$P$2:$P$611,$C831),INDEX(Dataset3_Raw!$P$2:$P$391,$E831))</f>
        <v>15</v>
      </c>
      <c r="V831" s="23" t="str">
        <f t="shared" si="73"/>
        <v>Weekday</v>
      </c>
      <c r="W831" s="23" t="str">
        <f>VLOOKUP($M831,Lookups!$A$5:$B$8,2,FALSE())</f>
        <v>Clear / Partly cloudy</v>
      </c>
      <c r="X831" s="23" t="str">
        <f>VLOOKUP($G831,Lookups!$D$5:$E$8,2,FALSE())</f>
        <v>Winter</v>
      </c>
      <c r="Y831" s="23" t="str">
        <f>VLOOKUP($L831,Lookups!$G$5:$H$11,2,FALSE())</f>
        <v>Monday</v>
      </c>
      <c r="Z831" s="23" t="str">
        <f>IF($J831&lt;Lookups!$B$26,"Night",IF($J831&lt;Lookups!$B$27,"Morning",IF($J831&lt;Lookups!$B$28,"Afternoon","Evening")))</f>
        <v>Night</v>
      </c>
      <c r="AA831" s="26">
        <f>ROUND($N831*(Lookups!$B$16-Lookups!$B$15)+Lookups!$B$15,1)</f>
        <v>3.3</v>
      </c>
      <c r="AB831" s="26">
        <f>ROUND($P831*(Lookups!$B$18-Lookups!$B$17)+Lookups!$B$17,1)</f>
        <v>3</v>
      </c>
      <c r="AC831" s="23">
        <f t="shared" si="74"/>
        <v>65</v>
      </c>
      <c r="AD831" s="23">
        <f>ROUND($R831*Lookups!$B$19,1)</f>
        <v>0</v>
      </c>
      <c r="AE831" s="27">
        <f t="shared" si="75"/>
        <v>0.93333333333333335</v>
      </c>
      <c r="AF831" s="23" t="str">
        <f>IF($U831&gt;=Lookups!$B$23,"High",IF($U831&gt;=Lookups!$B$22,"Medium","Low"))</f>
        <v>Low</v>
      </c>
      <c r="AG831" s="23">
        <f>ROUND(IF($V831="Weekday",IF(INDEX(Hourly_Analysis!$D$5:$D$28,$J831+1)&gt;0,($U831-INDEX(Hourly_Analysis!$C$5:$C$28,$J831+1))/INDEX(Hourly_Analysis!$D$5:$D$28,$J831+1),0),IF(INDEX(Hourly_Analysis!$G$5:$G$28,$J831+1)&gt;0,($U831-INDEX(Hourly_Analysis!$F$5:$F$28,$J831+1))/INDEX(Hourly_Analysis!$G$5:$G$28,$J831+1),0)),2)</f>
        <v>0.94</v>
      </c>
      <c r="AH831" s="23" t="str">
        <f>IF(ABS($AG831)&gt;Lookups!$B$20,IF($AG831&gt;0,"High anomaly","Low anomaly"),"")</f>
        <v/>
      </c>
      <c r="AI831" s="23" t="str">
        <f t="shared" si="76"/>
        <v>OK</v>
      </c>
      <c r="AJ831" s="23" t="str">
        <f t="shared" si="77"/>
        <v>No</v>
      </c>
    </row>
    <row r="832" spans="1:36" x14ac:dyDescent="0.35">
      <c r="A832" s="23">
        <v>831</v>
      </c>
      <c r="B832" s="23" t="str">
        <f t="shared" si="72"/>
        <v>Dataset 3</v>
      </c>
      <c r="C832" s="23">
        <f>IFERROR(MATCH($A832,Merge_1_2!$A$2:$A$611,0),0)</f>
        <v>0</v>
      </c>
      <c r="D832" s="23">
        <f>IF($C832&gt;0,INDEX(Merge_1_2!$Q$2:$Q$611,$C832),0)</f>
        <v>0</v>
      </c>
      <c r="E832" s="23">
        <f>IFERROR(MATCH($A832,Dataset3_Raw!$A$2:$A$391,0),0)</f>
        <v>221</v>
      </c>
      <c r="F832" s="24">
        <f>IF($C832&gt;0,INDEX(Merge_1_2!$B$2:$B$611,$C832),DATE(VALUE(RIGHT(INDEX(Dataset3_Raw!$B$2:$B$391,$E832),4)),VALUE(MID(INDEX(Dataset3_Raw!$B$2:$B$391,$E832),4,2)),VALUE(LEFT(INDEX(Dataset3_Raw!$B$2:$B$391,$E832),2))))</f>
        <v>40581</v>
      </c>
      <c r="G832" s="23">
        <f>IF($C832&gt;0,INDEX(Merge_1_2!$C$2:$C$611,$C832),INDEX(Dataset3_Raw!$C$2:$C$391,$E832))</f>
        <v>1</v>
      </c>
      <c r="H832" s="23">
        <f>IF($C832&gt;0,INDEX(Merge_1_2!$D$2:$D$611,$C832),INDEX(Dataset3_Raw!$D$2:$D$391,$E832))</f>
        <v>0</v>
      </c>
      <c r="I832" s="23">
        <f>IF($C832&gt;0,INDEX(Merge_1_2!$E$2:$E$611,$C832),INDEX(Dataset3_Raw!$E$2:$E$391,$E832))</f>
        <v>2</v>
      </c>
      <c r="J832" s="23">
        <f>IF($C832&gt;0,INDEX(Merge_1_2!$F$2:$F$611,$C832),INDEX(Dataset3_Raw!$F$2:$F$391,$E832))</f>
        <v>1</v>
      </c>
      <c r="K832" s="23" t="b">
        <f>IF($C832&gt;0,INDEX(Merge_1_2!$G$2:$G$611,$C832),INDEX(Dataset3_Raw!$G$2:$G$391,$E832))</f>
        <v>0</v>
      </c>
      <c r="L832" s="23">
        <f>IF($C832&gt;0,INDEX(Merge_1_2!$H$2:$H$611,$C832),INDEX(Dataset3_Raw!$H$2:$H$391,$E832))</f>
        <v>1</v>
      </c>
      <c r="M832" s="23">
        <f>IF($C832&gt;0,INDEX(Merge_1_2!$I$2:$I$611,$C832),INDEX(Dataset3_Raw!$I$2:$I$391,$E832))</f>
        <v>1</v>
      </c>
      <c r="N832" s="25">
        <f>IF($C832&gt;0,INDEX(Merge_1_2!$J$2:$J$611,$C832),INDEX(Dataset3_Raw!$J$2:$J$391,$E832))</f>
        <v>0.22</v>
      </c>
      <c r="O832" s="25">
        <f>IF($C832&gt;0,IF(ISNUMBER(INDEX(Merge_1_2!$K$2:$K$611,$C832)),INDEX(Merge_1_2!$K$2:$K$611,$C832),""),INDEX(Dataset3_Raw!$K$2:$K$391,$E832))</f>
        <v>0.2727</v>
      </c>
      <c r="P832" s="25">
        <f>IF(ISNUMBER($O832),$O832,ROUND(Lookups!$B$25+Lookups!$B$24*$N832,4))</f>
        <v>0.2727</v>
      </c>
      <c r="Q832" s="25">
        <f>IF($C832&gt;0,INDEX(Merge_1_2!$L$2:$L$611,$C832),INDEX(Dataset3_Raw!$L$2:$L$391,$E832))</f>
        <v>0.75</v>
      </c>
      <c r="R832" s="25">
        <f>IF($C832&gt;0,INDEX(Merge_1_2!$M$2:$M$611,$C832),INDEX(Dataset3_Raw!$M$2:$M$391,$E832))</f>
        <v>0</v>
      </c>
      <c r="S832" s="23">
        <f>IF($C832&gt;0,INDEX(Merge_1_2!$N$2:$N$611,$C832),INDEX(Dataset3_Raw!$N$2:$N$391,$E832))</f>
        <v>1</v>
      </c>
      <c r="T832" s="23">
        <f>IF($C832&gt;0,INDEX(Merge_1_2!$O$2:$O$611,$C832),INDEX(Dataset3_Raw!$O$2:$O$391,$E832))</f>
        <v>4</v>
      </c>
      <c r="U832" s="23">
        <f>IF($C832&gt;0,INDEX(Merge_1_2!$P$2:$P$611,$C832),INDEX(Dataset3_Raw!$P$2:$P$391,$E832))</f>
        <v>5</v>
      </c>
      <c r="V832" s="23" t="str">
        <f t="shared" si="73"/>
        <v>Weekday</v>
      </c>
      <c r="W832" s="23" t="str">
        <f>VLOOKUP($M832,Lookups!$A$5:$B$8,2,FALSE())</f>
        <v>Clear / Partly cloudy</v>
      </c>
      <c r="X832" s="23" t="str">
        <f>VLOOKUP($G832,Lookups!$D$5:$E$8,2,FALSE())</f>
        <v>Winter</v>
      </c>
      <c r="Y832" s="23" t="str">
        <f>VLOOKUP($L832,Lookups!$G$5:$H$11,2,FALSE())</f>
        <v>Monday</v>
      </c>
      <c r="Z832" s="23" t="str">
        <f>IF($J832&lt;Lookups!$B$26,"Night",IF($J832&lt;Lookups!$B$27,"Morning",IF($J832&lt;Lookups!$B$28,"Afternoon","Evening")))</f>
        <v>Night</v>
      </c>
      <c r="AA832" s="26">
        <f>ROUND($N832*(Lookups!$B$16-Lookups!$B$15)+Lookups!$B$15,1)</f>
        <v>2.2999999999999998</v>
      </c>
      <c r="AB832" s="26">
        <f>ROUND($P832*(Lookups!$B$18-Lookups!$B$17)+Lookups!$B$17,1)</f>
        <v>2</v>
      </c>
      <c r="AC832" s="23">
        <f t="shared" si="74"/>
        <v>75</v>
      </c>
      <c r="AD832" s="23">
        <f>ROUND($R832*Lookups!$B$19,1)</f>
        <v>0</v>
      </c>
      <c r="AE832" s="27">
        <f t="shared" si="75"/>
        <v>0.8</v>
      </c>
      <c r="AF832" s="23" t="str">
        <f>IF($U832&gt;=Lookups!$B$23,"High",IF($U832&gt;=Lookups!$B$22,"Medium","Low"))</f>
        <v>Low</v>
      </c>
      <c r="AG832" s="23">
        <f>ROUND(IF($V832="Weekday",IF(INDEX(Hourly_Analysis!$D$5:$D$28,$J832+1)&gt;0,($U832-INDEX(Hourly_Analysis!$C$5:$C$28,$J832+1))/INDEX(Hourly_Analysis!$D$5:$D$28,$J832+1),0),IF(INDEX(Hourly_Analysis!$G$5:$G$28,$J832+1)&gt;0,($U832-INDEX(Hourly_Analysis!$F$5:$F$28,$J832+1))/INDEX(Hourly_Analysis!$G$5:$G$28,$J832+1),0)),2)</f>
        <v>0.14000000000000001</v>
      </c>
      <c r="AH832" s="23" t="str">
        <f>IF(ABS($AG832)&gt;Lookups!$B$20,IF($AG832&gt;0,"High anomaly","Low anomaly"),"")</f>
        <v/>
      </c>
      <c r="AI832" s="23" t="str">
        <f t="shared" si="76"/>
        <v>OK</v>
      </c>
      <c r="AJ832" s="23" t="str">
        <f t="shared" si="77"/>
        <v>No</v>
      </c>
    </row>
    <row r="833" spans="1:36" x14ac:dyDescent="0.35">
      <c r="A833" s="23">
        <v>832</v>
      </c>
      <c r="B833" s="23" t="str">
        <f t="shared" si="72"/>
        <v>Dataset 3</v>
      </c>
      <c r="C833" s="23">
        <f>IFERROR(MATCH($A833,Merge_1_2!$A$2:$A$611,0),0)</f>
        <v>0</v>
      </c>
      <c r="D833" s="23">
        <f>IF($C833&gt;0,INDEX(Merge_1_2!$Q$2:$Q$611,$C833),0)</f>
        <v>0</v>
      </c>
      <c r="E833" s="23">
        <f>IFERROR(MATCH($A833,Dataset3_Raw!$A$2:$A$391,0),0)</f>
        <v>222</v>
      </c>
      <c r="F833" s="24">
        <f>IF($C833&gt;0,INDEX(Merge_1_2!$B$2:$B$611,$C833),DATE(VALUE(RIGHT(INDEX(Dataset3_Raw!$B$2:$B$391,$E833),4)),VALUE(MID(INDEX(Dataset3_Raw!$B$2:$B$391,$E833),4,2)),VALUE(LEFT(INDEX(Dataset3_Raw!$B$2:$B$391,$E833),2))))</f>
        <v>40581</v>
      </c>
      <c r="G833" s="23">
        <f>IF($C833&gt;0,INDEX(Merge_1_2!$C$2:$C$611,$C833),INDEX(Dataset3_Raw!$C$2:$C$391,$E833))</f>
        <v>1</v>
      </c>
      <c r="H833" s="23">
        <f>IF($C833&gt;0,INDEX(Merge_1_2!$D$2:$D$611,$C833),INDEX(Dataset3_Raw!$D$2:$D$391,$E833))</f>
        <v>0</v>
      </c>
      <c r="I833" s="23">
        <f>IF($C833&gt;0,INDEX(Merge_1_2!$E$2:$E$611,$C833),INDEX(Dataset3_Raw!$E$2:$E$391,$E833))</f>
        <v>2</v>
      </c>
      <c r="J833" s="23">
        <f>IF($C833&gt;0,INDEX(Merge_1_2!$F$2:$F$611,$C833),INDEX(Dataset3_Raw!$F$2:$F$391,$E833))</f>
        <v>2</v>
      </c>
      <c r="K833" s="23" t="b">
        <f>IF($C833&gt;0,INDEX(Merge_1_2!$G$2:$G$611,$C833),INDEX(Dataset3_Raw!$G$2:$G$391,$E833))</f>
        <v>0</v>
      </c>
      <c r="L833" s="23">
        <f>IF($C833&gt;0,INDEX(Merge_1_2!$H$2:$H$611,$C833),INDEX(Dataset3_Raw!$H$2:$H$391,$E833))</f>
        <v>1</v>
      </c>
      <c r="M833" s="23">
        <f>IF($C833&gt;0,INDEX(Merge_1_2!$I$2:$I$611,$C833),INDEX(Dataset3_Raw!$I$2:$I$391,$E833))</f>
        <v>1</v>
      </c>
      <c r="N833" s="25">
        <f>IF($C833&gt;0,INDEX(Merge_1_2!$J$2:$J$611,$C833),INDEX(Dataset3_Raw!$J$2:$J$391,$E833))</f>
        <v>0.2</v>
      </c>
      <c r="O833" s="25">
        <f>IF($C833&gt;0,IF(ISNUMBER(INDEX(Merge_1_2!$K$2:$K$611,$C833)),INDEX(Merge_1_2!$K$2:$K$611,$C833),""),INDEX(Dataset3_Raw!$K$2:$K$391,$E833))</f>
        <v>0.2576</v>
      </c>
      <c r="P833" s="25">
        <f>IF(ISNUMBER($O833),$O833,ROUND(Lookups!$B$25+Lookups!$B$24*$N833,4))</f>
        <v>0.2576</v>
      </c>
      <c r="Q833" s="25">
        <f>IF($C833&gt;0,INDEX(Merge_1_2!$L$2:$L$611,$C833),INDEX(Dataset3_Raw!$L$2:$L$391,$E833))</f>
        <v>0.8</v>
      </c>
      <c r="R833" s="25">
        <f>IF($C833&gt;0,INDEX(Merge_1_2!$M$2:$M$611,$C833),INDEX(Dataset3_Raw!$M$2:$M$391,$E833))</f>
        <v>0</v>
      </c>
      <c r="S833" s="23">
        <f>IF($C833&gt;0,INDEX(Merge_1_2!$N$2:$N$611,$C833),INDEX(Dataset3_Raw!$N$2:$N$391,$E833))</f>
        <v>0</v>
      </c>
      <c r="T833" s="23">
        <f>IF($C833&gt;0,INDEX(Merge_1_2!$O$2:$O$611,$C833),INDEX(Dataset3_Raw!$O$2:$O$391,$E833))</f>
        <v>3</v>
      </c>
      <c r="U833" s="23">
        <f>IF($C833&gt;0,INDEX(Merge_1_2!$P$2:$P$611,$C833),INDEX(Dataset3_Raw!$P$2:$P$391,$E833))</f>
        <v>3</v>
      </c>
      <c r="V833" s="23" t="str">
        <f t="shared" si="73"/>
        <v>Weekday</v>
      </c>
      <c r="W833" s="23" t="str">
        <f>VLOOKUP($M833,Lookups!$A$5:$B$8,2,FALSE())</f>
        <v>Clear / Partly cloudy</v>
      </c>
      <c r="X833" s="23" t="str">
        <f>VLOOKUP($G833,Lookups!$D$5:$E$8,2,FALSE())</f>
        <v>Winter</v>
      </c>
      <c r="Y833" s="23" t="str">
        <f>VLOOKUP($L833,Lookups!$G$5:$H$11,2,FALSE())</f>
        <v>Monday</v>
      </c>
      <c r="Z833" s="23" t="str">
        <f>IF($J833&lt;Lookups!$B$26,"Night",IF($J833&lt;Lookups!$B$27,"Morning",IF($J833&lt;Lookups!$B$28,"Afternoon","Evening")))</f>
        <v>Night</v>
      </c>
      <c r="AA833" s="26">
        <f>ROUND($N833*(Lookups!$B$16-Lookups!$B$15)+Lookups!$B$15,1)</f>
        <v>1.4</v>
      </c>
      <c r="AB833" s="26">
        <f>ROUND($P833*(Lookups!$B$18-Lookups!$B$17)+Lookups!$B$17,1)</f>
        <v>1</v>
      </c>
      <c r="AC833" s="23">
        <f t="shared" si="74"/>
        <v>80</v>
      </c>
      <c r="AD833" s="23">
        <f>ROUND($R833*Lookups!$B$19,1)</f>
        <v>0</v>
      </c>
      <c r="AE833" s="27">
        <f t="shared" si="75"/>
        <v>1</v>
      </c>
      <c r="AF833" s="23" t="str">
        <f>IF($U833&gt;=Lookups!$B$23,"High",IF($U833&gt;=Lookups!$B$22,"Medium","Low"))</f>
        <v>Low</v>
      </c>
      <c r="AG833" s="23">
        <f>ROUND(IF($V833="Weekday",IF(INDEX(Hourly_Analysis!$D$5:$D$28,$J833+1)&gt;0,($U833-INDEX(Hourly_Analysis!$C$5:$C$28,$J833+1))/INDEX(Hourly_Analysis!$D$5:$D$28,$J833+1),0),IF(INDEX(Hourly_Analysis!$G$5:$G$28,$J833+1)&gt;0,($U833-INDEX(Hourly_Analysis!$F$5:$F$28,$J833+1))/INDEX(Hourly_Analysis!$G$5:$G$28,$J833+1),0)),2)</f>
        <v>0.33</v>
      </c>
      <c r="AH833" s="23" t="str">
        <f>IF(ABS($AG833)&gt;Lookups!$B$20,IF($AG833&gt;0,"High anomaly","Low anomaly"),"")</f>
        <v/>
      </c>
      <c r="AI833" s="23" t="str">
        <f t="shared" si="76"/>
        <v>OK</v>
      </c>
      <c r="AJ833" s="23" t="str">
        <f t="shared" si="77"/>
        <v>No</v>
      </c>
    </row>
    <row r="834" spans="1:36" x14ac:dyDescent="0.35">
      <c r="A834" s="23">
        <v>833</v>
      </c>
      <c r="B834" s="23" t="str">
        <f t="shared" ref="B834:B897" si="78">IF($C834&gt;0,"Merge 1+2","Dataset 3")</f>
        <v>Dataset 3</v>
      </c>
      <c r="C834" s="23">
        <f>IFERROR(MATCH($A834,Merge_1_2!$A$2:$A$611,0),0)</f>
        <v>0</v>
      </c>
      <c r="D834" s="23">
        <f>IF($C834&gt;0,INDEX(Merge_1_2!$Q$2:$Q$611,$C834),0)</f>
        <v>0</v>
      </c>
      <c r="E834" s="23">
        <f>IFERROR(MATCH($A834,Dataset3_Raw!$A$2:$A$391,0),0)</f>
        <v>223</v>
      </c>
      <c r="F834" s="24">
        <f>IF($C834&gt;0,INDEX(Merge_1_2!$B$2:$B$611,$C834),DATE(VALUE(RIGHT(INDEX(Dataset3_Raw!$B$2:$B$391,$E834),4)),VALUE(MID(INDEX(Dataset3_Raw!$B$2:$B$391,$E834),4,2)),VALUE(LEFT(INDEX(Dataset3_Raw!$B$2:$B$391,$E834),2))))</f>
        <v>40581</v>
      </c>
      <c r="G834" s="23">
        <f>IF($C834&gt;0,INDEX(Merge_1_2!$C$2:$C$611,$C834),INDEX(Dataset3_Raw!$C$2:$C$391,$E834))</f>
        <v>1</v>
      </c>
      <c r="H834" s="23">
        <f>IF($C834&gt;0,INDEX(Merge_1_2!$D$2:$D$611,$C834),INDEX(Dataset3_Raw!$D$2:$D$391,$E834))</f>
        <v>0</v>
      </c>
      <c r="I834" s="23">
        <f>IF($C834&gt;0,INDEX(Merge_1_2!$E$2:$E$611,$C834),INDEX(Dataset3_Raw!$E$2:$E$391,$E834))</f>
        <v>2</v>
      </c>
      <c r="J834" s="23">
        <f>IF($C834&gt;0,INDEX(Merge_1_2!$F$2:$F$611,$C834),INDEX(Dataset3_Raw!$F$2:$F$391,$E834))</f>
        <v>3</v>
      </c>
      <c r="K834" s="23" t="b">
        <f>IF($C834&gt;0,INDEX(Merge_1_2!$G$2:$G$611,$C834),INDEX(Dataset3_Raw!$G$2:$G$391,$E834))</f>
        <v>0</v>
      </c>
      <c r="L834" s="23">
        <f>IF($C834&gt;0,INDEX(Merge_1_2!$H$2:$H$611,$C834),INDEX(Dataset3_Raw!$H$2:$H$391,$E834))</f>
        <v>1</v>
      </c>
      <c r="M834" s="23">
        <f>IF($C834&gt;0,INDEX(Merge_1_2!$I$2:$I$611,$C834),INDEX(Dataset3_Raw!$I$2:$I$391,$E834))</f>
        <v>1</v>
      </c>
      <c r="N834" s="25">
        <f>IF($C834&gt;0,INDEX(Merge_1_2!$J$2:$J$611,$C834),INDEX(Dataset3_Raw!$J$2:$J$391,$E834))</f>
        <v>0.2</v>
      </c>
      <c r="O834" s="25">
        <f>IF($C834&gt;0,IF(ISNUMBER(INDEX(Merge_1_2!$K$2:$K$611,$C834)),INDEX(Merge_1_2!$K$2:$K$611,$C834),""),INDEX(Dataset3_Raw!$K$2:$K$391,$E834))</f>
        <v>0.2576</v>
      </c>
      <c r="P834" s="25">
        <f>IF(ISNUMBER($O834),$O834,ROUND(Lookups!$B$25+Lookups!$B$24*$N834,4))</f>
        <v>0.2576</v>
      </c>
      <c r="Q834" s="25">
        <f>IF($C834&gt;0,INDEX(Merge_1_2!$L$2:$L$611,$C834),INDEX(Dataset3_Raw!$L$2:$L$391,$E834))</f>
        <v>0.86</v>
      </c>
      <c r="R834" s="25">
        <f>IF($C834&gt;0,INDEX(Merge_1_2!$M$2:$M$611,$C834),INDEX(Dataset3_Raw!$M$2:$M$391,$E834))</f>
        <v>0</v>
      </c>
      <c r="S834" s="23">
        <f>IF($C834&gt;0,INDEX(Merge_1_2!$N$2:$N$611,$C834),INDEX(Dataset3_Raw!$N$2:$N$391,$E834))</f>
        <v>0</v>
      </c>
      <c r="T834" s="23">
        <f>IF($C834&gt;0,INDEX(Merge_1_2!$O$2:$O$611,$C834),INDEX(Dataset3_Raw!$O$2:$O$391,$E834))</f>
        <v>1</v>
      </c>
      <c r="U834" s="23">
        <f>IF($C834&gt;0,INDEX(Merge_1_2!$P$2:$P$611,$C834),INDEX(Dataset3_Raw!$P$2:$P$391,$E834))</f>
        <v>1</v>
      </c>
      <c r="V834" s="23" t="str">
        <f t="shared" ref="V834:V897" si="79">IF($K834,"Holiday",IF(OR($L834=0,$L834=6),"Weekend","Weekday"))</f>
        <v>Weekday</v>
      </c>
      <c r="W834" s="23" t="str">
        <f>VLOOKUP($M834,Lookups!$A$5:$B$8,2,FALSE())</f>
        <v>Clear / Partly cloudy</v>
      </c>
      <c r="X834" s="23" t="str">
        <f>VLOOKUP($G834,Lookups!$D$5:$E$8,2,FALSE())</f>
        <v>Winter</v>
      </c>
      <c r="Y834" s="23" t="str">
        <f>VLOOKUP($L834,Lookups!$G$5:$H$11,2,FALSE())</f>
        <v>Monday</v>
      </c>
      <c r="Z834" s="23" t="str">
        <f>IF($J834&lt;Lookups!$B$26,"Night",IF($J834&lt;Lookups!$B$27,"Morning",IF($J834&lt;Lookups!$B$28,"Afternoon","Evening")))</f>
        <v>Night</v>
      </c>
      <c r="AA834" s="26">
        <f>ROUND($N834*(Lookups!$B$16-Lookups!$B$15)+Lookups!$B$15,1)</f>
        <v>1.4</v>
      </c>
      <c r="AB834" s="26">
        <f>ROUND($P834*(Lookups!$B$18-Lookups!$B$17)+Lookups!$B$17,1)</f>
        <v>1</v>
      </c>
      <c r="AC834" s="23">
        <f t="shared" ref="AC834:AC897" si="80">ROUND($Q834*100,0)</f>
        <v>86</v>
      </c>
      <c r="AD834" s="23">
        <f>ROUND($R834*Lookups!$B$19,1)</f>
        <v>0</v>
      </c>
      <c r="AE834" s="27">
        <f t="shared" ref="AE834:AE897" si="81">IF($U834&gt;0,$T834/$U834,0)</f>
        <v>1</v>
      </c>
      <c r="AF834" s="23" t="str">
        <f>IF($U834&gt;=Lookups!$B$23,"High",IF($U834&gt;=Lookups!$B$22,"Medium","Low"))</f>
        <v>Low</v>
      </c>
      <c r="AG834" s="23">
        <f>ROUND(IF($V834="Weekday",IF(INDEX(Hourly_Analysis!$D$5:$D$28,$J834+1)&gt;0,($U834-INDEX(Hourly_Analysis!$C$5:$C$28,$J834+1))/INDEX(Hourly_Analysis!$D$5:$D$28,$J834+1),0),IF(INDEX(Hourly_Analysis!$G$5:$G$28,$J834+1)&gt;0,($U834-INDEX(Hourly_Analysis!$F$5:$F$28,$J834+1))/INDEX(Hourly_Analysis!$G$5:$G$28,$J834+1),0)),2)</f>
        <v>-0.61</v>
      </c>
      <c r="AH834" s="23" t="str">
        <f>IF(ABS($AG834)&gt;Lookups!$B$20,IF($AG834&gt;0,"High anomaly","Low anomaly"),"")</f>
        <v/>
      </c>
      <c r="AI834" s="23" t="str">
        <f t="shared" ref="AI834:AI897" si="82">IF($S834+$T834=$U834,"OK","Mismatch")</f>
        <v>OK</v>
      </c>
      <c r="AJ834" s="23" t="str">
        <f t="shared" ref="AJ834:AJ897" si="83">IF(ISNUMBER($O834),"No","Yes")</f>
        <v>No</v>
      </c>
    </row>
    <row r="835" spans="1:36" x14ac:dyDescent="0.35">
      <c r="A835" s="23">
        <v>834</v>
      </c>
      <c r="B835" s="23" t="str">
        <f t="shared" si="78"/>
        <v>Dataset 3</v>
      </c>
      <c r="C835" s="23">
        <f>IFERROR(MATCH($A835,Merge_1_2!$A$2:$A$611,0),0)</f>
        <v>0</v>
      </c>
      <c r="D835" s="23">
        <f>IF($C835&gt;0,INDEX(Merge_1_2!$Q$2:$Q$611,$C835),0)</f>
        <v>0</v>
      </c>
      <c r="E835" s="23">
        <f>IFERROR(MATCH($A835,Dataset3_Raw!$A$2:$A$391,0),0)</f>
        <v>224</v>
      </c>
      <c r="F835" s="24">
        <f>IF($C835&gt;0,INDEX(Merge_1_2!$B$2:$B$611,$C835),DATE(VALUE(RIGHT(INDEX(Dataset3_Raw!$B$2:$B$391,$E835),4)),VALUE(MID(INDEX(Dataset3_Raw!$B$2:$B$391,$E835),4,2)),VALUE(LEFT(INDEX(Dataset3_Raw!$B$2:$B$391,$E835),2))))</f>
        <v>40581</v>
      </c>
      <c r="G835" s="23">
        <f>IF($C835&gt;0,INDEX(Merge_1_2!$C$2:$C$611,$C835),INDEX(Dataset3_Raw!$C$2:$C$391,$E835))</f>
        <v>1</v>
      </c>
      <c r="H835" s="23">
        <f>IF($C835&gt;0,INDEX(Merge_1_2!$D$2:$D$611,$C835),INDEX(Dataset3_Raw!$D$2:$D$391,$E835))</f>
        <v>0</v>
      </c>
      <c r="I835" s="23">
        <f>IF($C835&gt;0,INDEX(Merge_1_2!$E$2:$E$611,$C835),INDEX(Dataset3_Raw!$E$2:$E$391,$E835))</f>
        <v>2</v>
      </c>
      <c r="J835" s="23">
        <f>IF($C835&gt;0,INDEX(Merge_1_2!$F$2:$F$611,$C835),INDEX(Dataset3_Raw!$F$2:$F$391,$E835))</f>
        <v>4</v>
      </c>
      <c r="K835" s="23" t="b">
        <f>IF($C835&gt;0,INDEX(Merge_1_2!$G$2:$G$611,$C835),INDEX(Dataset3_Raw!$G$2:$G$391,$E835))</f>
        <v>0</v>
      </c>
      <c r="L835" s="23">
        <f>IF($C835&gt;0,INDEX(Merge_1_2!$H$2:$H$611,$C835),INDEX(Dataset3_Raw!$H$2:$H$391,$E835))</f>
        <v>1</v>
      </c>
      <c r="M835" s="23">
        <f>IF($C835&gt;0,INDEX(Merge_1_2!$I$2:$I$611,$C835),INDEX(Dataset3_Raw!$I$2:$I$391,$E835))</f>
        <v>1</v>
      </c>
      <c r="N835" s="25">
        <f>IF($C835&gt;0,INDEX(Merge_1_2!$J$2:$J$611,$C835),INDEX(Dataset3_Raw!$J$2:$J$391,$E835))</f>
        <v>0.2</v>
      </c>
      <c r="O835" s="25">
        <f>IF($C835&gt;0,IF(ISNUMBER(INDEX(Merge_1_2!$K$2:$K$611,$C835)),INDEX(Merge_1_2!$K$2:$K$611,$C835),""),INDEX(Dataset3_Raw!$K$2:$K$391,$E835))</f>
        <v>0.2576</v>
      </c>
      <c r="P835" s="25">
        <f>IF(ISNUMBER($O835),$O835,ROUND(Lookups!$B$25+Lookups!$B$24*$N835,4))</f>
        <v>0.2576</v>
      </c>
      <c r="Q835" s="25">
        <f>IF($C835&gt;0,INDEX(Merge_1_2!$L$2:$L$611,$C835),INDEX(Dataset3_Raw!$L$2:$L$391,$E835))</f>
        <v>0.86</v>
      </c>
      <c r="R835" s="25">
        <f>IF($C835&gt;0,INDEX(Merge_1_2!$M$2:$M$611,$C835),INDEX(Dataset3_Raw!$M$2:$M$391,$E835))</f>
        <v>0</v>
      </c>
      <c r="S835" s="23">
        <f>IF($C835&gt;0,INDEX(Merge_1_2!$N$2:$N$611,$C835),INDEX(Dataset3_Raw!$N$2:$N$391,$E835))</f>
        <v>1</v>
      </c>
      <c r="T835" s="23">
        <f>IF($C835&gt;0,INDEX(Merge_1_2!$O$2:$O$611,$C835),INDEX(Dataset3_Raw!$O$2:$O$391,$E835))</f>
        <v>1</v>
      </c>
      <c r="U835" s="23">
        <f>IF($C835&gt;0,INDEX(Merge_1_2!$P$2:$P$611,$C835),INDEX(Dataset3_Raw!$P$2:$P$391,$E835))</f>
        <v>2</v>
      </c>
      <c r="V835" s="23" t="str">
        <f t="shared" si="79"/>
        <v>Weekday</v>
      </c>
      <c r="W835" s="23" t="str">
        <f>VLOOKUP($M835,Lookups!$A$5:$B$8,2,FALSE())</f>
        <v>Clear / Partly cloudy</v>
      </c>
      <c r="X835" s="23" t="str">
        <f>VLOOKUP($G835,Lookups!$D$5:$E$8,2,FALSE())</f>
        <v>Winter</v>
      </c>
      <c r="Y835" s="23" t="str">
        <f>VLOOKUP($L835,Lookups!$G$5:$H$11,2,FALSE())</f>
        <v>Monday</v>
      </c>
      <c r="Z835" s="23" t="str">
        <f>IF($J835&lt;Lookups!$B$26,"Night",IF($J835&lt;Lookups!$B$27,"Morning",IF($J835&lt;Lookups!$B$28,"Afternoon","Evening")))</f>
        <v>Night</v>
      </c>
      <c r="AA835" s="26">
        <f>ROUND($N835*(Lookups!$B$16-Lookups!$B$15)+Lookups!$B$15,1)</f>
        <v>1.4</v>
      </c>
      <c r="AB835" s="26">
        <f>ROUND($P835*(Lookups!$B$18-Lookups!$B$17)+Lookups!$B$17,1)</f>
        <v>1</v>
      </c>
      <c r="AC835" s="23">
        <f t="shared" si="80"/>
        <v>86</v>
      </c>
      <c r="AD835" s="23">
        <f>ROUND($R835*Lookups!$B$19,1)</f>
        <v>0</v>
      </c>
      <c r="AE835" s="27">
        <f t="shared" si="81"/>
        <v>0.5</v>
      </c>
      <c r="AF835" s="23" t="str">
        <f>IF($U835&gt;=Lookups!$B$23,"High",IF($U835&gt;=Lookups!$B$22,"Medium","Low"))</f>
        <v>Low</v>
      </c>
      <c r="AG835" s="23">
        <f>ROUND(IF($V835="Weekday",IF(INDEX(Hourly_Analysis!$D$5:$D$28,$J835+1)&gt;0,($U835-INDEX(Hourly_Analysis!$C$5:$C$28,$J835+1))/INDEX(Hourly_Analysis!$D$5:$D$28,$J835+1),0),IF(INDEX(Hourly_Analysis!$G$5:$G$28,$J835+1)&gt;0,($U835-INDEX(Hourly_Analysis!$F$5:$F$28,$J835+1))/INDEX(Hourly_Analysis!$G$5:$G$28,$J835+1),0)),2)</f>
        <v>0.31</v>
      </c>
      <c r="AH835" s="23" t="str">
        <f>IF(ABS($AG835)&gt;Lookups!$B$20,IF($AG835&gt;0,"High anomaly","Low anomaly"),"")</f>
        <v/>
      </c>
      <c r="AI835" s="23" t="str">
        <f t="shared" si="82"/>
        <v>OK</v>
      </c>
      <c r="AJ835" s="23" t="str">
        <f t="shared" si="83"/>
        <v>No</v>
      </c>
    </row>
    <row r="836" spans="1:36" x14ac:dyDescent="0.35">
      <c r="A836" s="23">
        <v>835</v>
      </c>
      <c r="B836" s="23" t="str">
        <f t="shared" si="78"/>
        <v>Dataset 3</v>
      </c>
      <c r="C836" s="23">
        <f>IFERROR(MATCH($A836,Merge_1_2!$A$2:$A$611,0),0)</f>
        <v>0</v>
      </c>
      <c r="D836" s="23">
        <f>IF($C836&gt;0,INDEX(Merge_1_2!$Q$2:$Q$611,$C836),0)</f>
        <v>0</v>
      </c>
      <c r="E836" s="23">
        <f>IFERROR(MATCH($A836,Dataset3_Raw!$A$2:$A$391,0),0)</f>
        <v>225</v>
      </c>
      <c r="F836" s="24">
        <f>IF($C836&gt;0,INDEX(Merge_1_2!$B$2:$B$611,$C836),DATE(VALUE(RIGHT(INDEX(Dataset3_Raw!$B$2:$B$391,$E836),4)),VALUE(MID(INDEX(Dataset3_Raw!$B$2:$B$391,$E836),4,2)),VALUE(LEFT(INDEX(Dataset3_Raw!$B$2:$B$391,$E836),2))))</f>
        <v>40581</v>
      </c>
      <c r="G836" s="23">
        <f>IF($C836&gt;0,INDEX(Merge_1_2!$C$2:$C$611,$C836),INDEX(Dataset3_Raw!$C$2:$C$391,$E836))</f>
        <v>1</v>
      </c>
      <c r="H836" s="23">
        <f>IF($C836&gt;0,INDEX(Merge_1_2!$D$2:$D$611,$C836),INDEX(Dataset3_Raw!$D$2:$D$391,$E836))</f>
        <v>0</v>
      </c>
      <c r="I836" s="23">
        <f>IF($C836&gt;0,INDEX(Merge_1_2!$E$2:$E$611,$C836),INDEX(Dataset3_Raw!$E$2:$E$391,$E836))</f>
        <v>2</v>
      </c>
      <c r="J836" s="23">
        <f>IF($C836&gt;0,INDEX(Merge_1_2!$F$2:$F$611,$C836),INDEX(Dataset3_Raw!$F$2:$F$391,$E836))</f>
        <v>5</v>
      </c>
      <c r="K836" s="23" t="b">
        <f>IF($C836&gt;0,INDEX(Merge_1_2!$G$2:$G$611,$C836),INDEX(Dataset3_Raw!$G$2:$G$391,$E836))</f>
        <v>0</v>
      </c>
      <c r="L836" s="23">
        <f>IF($C836&gt;0,INDEX(Merge_1_2!$H$2:$H$611,$C836),INDEX(Dataset3_Raw!$H$2:$H$391,$E836))</f>
        <v>1</v>
      </c>
      <c r="M836" s="23">
        <f>IF($C836&gt;0,INDEX(Merge_1_2!$I$2:$I$611,$C836),INDEX(Dataset3_Raw!$I$2:$I$391,$E836))</f>
        <v>1</v>
      </c>
      <c r="N836" s="25">
        <f>IF($C836&gt;0,INDEX(Merge_1_2!$J$2:$J$611,$C836),INDEX(Dataset3_Raw!$J$2:$J$391,$E836))</f>
        <v>0.2</v>
      </c>
      <c r="O836" s="25">
        <f>IF($C836&gt;0,IF(ISNUMBER(INDEX(Merge_1_2!$K$2:$K$611,$C836)),INDEX(Merge_1_2!$K$2:$K$611,$C836),""),INDEX(Dataset3_Raw!$K$2:$K$391,$E836))</f>
        <v>0.2576</v>
      </c>
      <c r="P836" s="25">
        <f>IF(ISNUMBER($O836),$O836,ROUND(Lookups!$B$25+Lookups!$B$24*$N836,4))</f>
        <v>0.2576</v>
      </c>
      <c r="Q836" s="25">
        <f>IF($C836&gt;0,INDEX(Merge_1_2!$L$2:$L$611,$C836),INDEX(Dataset3_Raw!$L$2:$L$391,$E836))</f>
        <v>0.86</v>
      </c>
      <c r="R836" s="25">
        <f>IF($C836&gt;0,INDEX(Merge_1_2!$M$2:$M$611,$C836),INDEX(Dataset3_Raw!$M$2:$M$391,$E836))</f>
        <v>0</v>
      </c>
      <c r="S836" s="23">
        <f>IF($C836&gt;0,INDEX(Merge_1_2!$N$2:$N$611,$C836),INDEX(Dataset3_Raw!$N$2:$N$391,$E836))</f>
        <v>1</v>
      </c>
      <c r="T836" s="23">
        <f>IF($C836&gt;0,INDEX(Merge_1_2!$O$2:$O$611,$C836),INDEX(Dataset3_Raw!$O$2:$O$391,$E836))</f>
        <v>9</v>
      </c>
      <c r="U836" s="23">
        <f>IF($C836&gt;0,INDEX(Merge_1_2!$P$2:$P$611,$C836),INDEX(Dataset3_Raw!$P$2:$P$391,$E836))</f>
        <v>10</v>
      </c>
      <c r="V836" s="23" t="str">
        <f t="shared" si="79"/>
        <v>Weekday</v>
      </c>
      <c r="W836" s="23" t="str">
        <f>VLOOKUP($M836,Lookups!$A$5:$B$8,2,FALSE())</f>
        <v>Clear / Partly cloudy</v>
      </c>
      <c r="X836" s="23" t="str">
        <f>VLOOKUP($G836,Lookups!$D$5:$E$8,2,FALSE())</f>
        <v>Winter</v>
      </c>
      <c r="Y836" s="23" t="str">
        <f>VLOOKUP($L836,Lookups!$G$5:$H$11,2,FALSE())</f>
        <v>Monday</v>
      </c>
      <c r="Z836" s="23" t="str">
        <f>IF($J836&lt;Lookups!$B$26,"Night",IF($J836&lt;Lookups!$B$27,"Morning",IF($J836&lt;Lookups!$B$28,"Afternoon","Evening")))</f>
        <v>Night</v>
      </c>
      <c r="AA836" s="26">
        <f>ROUND($N836*(Lookups!$B$16-Lookups!$B$15)+Lookups!$B$15,1)</f>
        <v>1.4</v>
      </c>
      <c r="AB836" s="26">
        <f>ROUND($P836*(Lookups!$B$18-Lookups!$B$17)+Lookups!$B$17,1)</f>
        <v>1</v>
      </c>
      <c r="AC836" s="23">
        <f t="shared" si="80"/>
        <v>86</v>
      </c>
      <c r="AD836" s="23">
        <f>ROUND($R836*Lookups!$B$19,1)</f>
        <v>0</v>
      </c>
      <c r="AE836" s="27">
        <f t="shared" si="81"/>
        <v>0.9</v>
      </c>
      <c r="AF836" s="23" t="str">
        <f>IF($U836&gt;=Lookups!$B$23,"High",IF($U836&gt;=Lookups!$B$22,"Medium","Low"))</f>
        <v>Low</v>
      </c>
      <c r="AG836" s="23">
        <f>ROUND(IF($V836="Weekday",IF(INDEX(Hourly_Analysis!$D$5:$D$28,$J836+1)&gt;0,($U836-INDEX(Hourly_Analysis!$C$5:$C$28,$J836+1))/INDEX(Hourly_Analysis!$D$5:$D$28,$J836+1),0),IF(INDEX(Hourly_Analysis!$G$5:$G$28,$J836+1)&gt;0,($U836-INDEX(Hourly_Analysis!$F$5:$F$28,$J836+1))/INDEX(Hourly_Analysis!$G$5:$G$28,$J836+1),0)),2)</f>
        <v>2.2599999999999998</v>
      </c>
      <c r="AH836" s="23" t="str">
        <f>IF(ABS($AG836)&gt;Lookups!$B$20,IF($AG836&gt;0,"High anomaly","Low anomaly"),"")</f>
        <v/>
      </c>
      <c r="AI836" s="23" t="str">
        <f t="shared" si="82"/>
        <v>OK</v>
      </c>
      <c r="AJ836" s="23" t="str">
        <f t="shared" si="83"/>
        <v>No</v>
      </c>
    </row>
    <row r="837" spans="1:36" x14ac:dyDescent="0.35">
      <c r="A837" s="23">
        <v>836</v>
      </c>
      <c r="B837" s="23" t="str">
        <f t="shared" si="78"/>
        <v>Dataset 3</v>
      </c>
      <c r="C837" s="23">
        <f>IFERROR(MATCH($A837,Merge_1_2!$A$2:$A$611,0),0)</f>
        <v>0</v>
      </c>
      <c r="D837" s="23">
        <f>IF($C837&gt;0,INDEX(Merge_1_2!$Q$2:$Q$611,$C837),0)</f>
        <v>0</v>
      </c>
      <c r="E837" s="23">
        <f>IFERROR(MATCH($A837,Dataset3_Raw!$A$2:$A$391,0),0)</f>
        <v>226</v>
      </c>
      <c r="F837" s="24">
        <f>IF($C837&gt;0,INDEX(Merge_1_2!$B$2:$B$611,$C837),DATE(VALUE(RIGHT(INDEX(Dataset3_Raw!$B$2:$B$391,$E837),4)),VALUE(MID(INDEX(Dataset3_Raw!$B$2:$B$391,$E837),4,2)),VALUE(LEFT(INDEX(Dataset3_Raw!$B$2:$B$391,$E837),2))))</f>
        <v>40581</v>
      </c>
      <c r="G837" s="23">
        <f>IF($C837&gt;0,INDEX(Merge_1_2!$C$2:$C$611,$C837),INDEX(Dataset3_Raw!$C$2:$C$391,$E837))</f>
        <v>1</v>
      </c>
      <c r="H837" s="23">
        <f>IF($C837&gt;0,INDEX(Merge_1_2!$D$2:$D$611,$C837),INDEX(Dataset3_Raw!$D$2:$D$391,$E837))</f>
        <v>0</v>
      </c>
      <c r="I837" s="23">
        <f>IF($C837&gt;0,INDEX(Merge_1_2!$E$2:$E$611,$C837),INDEX(Dataset3_Raw!$E$2:$E$391,$E837))</f>
        <v>2</v>
      </c>
      <c r="J837" s="23">
        <f>IF($C837&gt;0,INDEX(Merge_1_2!$F$2:$F$611,$C837),INDEX(Dataset3_Raw!$F$2:$F$391,$E837))</f>
        <v>6</v>
      </c>
      <c r="K837" s="23" t="b">
        <f>IF($C837&gt;0,INDEX(Merge_1_2!$G$2:$G$611,$C837),INDEX(Dataset3_Raw!$G$2:$G$391,$E837))</f>
        <v>0</v>
      </c>
      <c r="L837" s="23">
        <f>IF($C837&gt;0,INDEX(Merge_1_2!$H$2:$H$611,$C837),INDEX(Dataset3_Raw!$H$2:$H$391,$E837))</f>
        <v>1</v>
      </c>
      <c r="M837" s="23">
        <f>IF($C837&gt;0,INDEX(Merge_1_2!$I$2:$I$611,$C837),INDEX(Dataset3_Raw!$I$2:$I$391,$E837))</f>
        <v>1</v>
      </c>
      <c r="N837" s="25">
        <f>IF($C837&gt;0,INDEX(Merge_1_2!$J$2:$J$611,$C837),INDEX(Dataset3_Raw!$J$2:$J$391,$E837))</f>
        <v>0.18</v>
      </c>
      <c r="O837" s="25">
        <f>IF($C837&gt;0,IF(ISNUMBER(INDEX(Merge_1_2!$K$2:$K$611,$C837)),INDEX(Merge_1_2!$K$2:$K$611,$C837),""),INDEX(Dataset3_Raw!$K$2:$K$391,$E837))</f>
        <v>0.2424</v>
      </c>
      <c r="P837" s="25">
        <f>IF(ISNUMBER($O837),$O837,ROUND(Lookups!$B$25+Lookups!$B$24*$N837,4))</f>
        <v>0.2424</v>
      </c>
      <c r="Q837" s="25">
        <f>IF($C837&gt;0,INDEX(Merge_1_2!$L$2:$L$611,$C837),INDEX(Dataset3_Raw!$L$2:$L$391,$E837))</f>
        <v>0.93</v>
      </c>
      <c r="R837" s="25">
        <f>IF($C837&gt;0,INDEX(Merge_1_2!$M$2:$M$611,$C837),INDEX(Dataset3_Raw!$M$2:$M$391,$E837))</f>
        <v>0</v>
      </c>
      <c r="S837" s="23">
        <f>IF($C837&gt;0,INDEX(Merge_1_2!$N$2:$N$611,$C837),INDEX(Dataset3_Raw!$N$2:$N$391,$E837))</f>
        <v>1</v>
      </c>
      <c r="T837" s="23">
        <f>IF($C837&gt;0,INDEX(Merge_1_2!$O$2:$O$611,$C837),INDEX(Dataset3_Raw!$O$2:$O$391,$E837))</f>
        <v>29</v>
      </c>
      <c r="U837" s="23">
        <f>IF($C837&gt;0,INDEX(Merge_1_2!$P$2:$P$611,$C837),INDEX(Dataset3_Raw!$P$2:$P$391,$E837))</f>
        <v>30</v>
      </c>
      <c r="V837" s="23" t="str">
        <f t="shared" si="79"/>
        <v>Weekday</v>
      </c>
      <c r="W837" s="23" t="str">
        <f>VLOOKUP($M837,Lookups!$A$5:$B$8,2,FALSE())</f>
        <v>Clear / Partly cloudy</v>
      </c>
      <c r="X837" s="23" t="str">
        <f>VLOOKUP($G837,Lookups!$D$5:$E$8,2,FALSE())</f>
        <v>Winter</v>
      </c>
      <c r="Y837" s="23" t="str">
        <f>VLOOKUP($L837,Lookups!$G$5:$H$11,2,FALSE())</f>
        <v>Monday</v>
      </c>
      <c r="Z837" s="23" t="str">
        <f>IF($J837&lt;Lookups!$B$26,"Night",IF($J837&lt;Lookups!$B$27,"Morning",IF($J837&lt;Lookups!$B$28,"Afternoon","Evening")))</f>
        <v>Morning</v>
      </c>
      <c r="AA837" s="26">
        <f>ROUND($N837*(Lookups!$B$16-Lookups!$B$15)+Lookups!$B$15,1)</f>
        <v>0.5</v>
      </c>
      <c r="AB837" s="26">
        <f>ROUND($P837*(Lookups!$B$18-Lookups!$B$17)+Lookups!$B$17,1)</f>
        <v>0</v>
      </c>
      <c r="AC837" s="23">
        <f t="shared" si="80"/>
        <v>93</v>
      </c>
      <c r="AD837" s="23">
        <f>ROUND($R837*Lookups!$B$19,1)</f>
        <v>0</v>
      </c>
      <c r="AE837" s="27">
        <f t="shared" si="81"/>
        <v>0.96666666666666667</v>
      </c>
      <c r="AF837" s="23" t="str">
        <f>IF($U837&gt;=Lookups!$B$23,"High",IF($U837&gt;=Lookups!$B$22,"Medium","Low"))</f>
        <v>Medium</v>
      </c>
      <c r="AG837" s="23">
        <f>ROUND(IF($V837="Weekday",IF(INDEX(Hourly_Analysis!$D$5:$D$28,$J837+1)&gt;0,($U837-INDEX(Hourly_Analysis!$C$5:$C$28,$J837+1))/INDEX(Hourly_Analysis!$D$5:$D$28,$J837+1),0),IF(INDEX(Hourly_Analysis!$G$5:$G$28,$J837+1)&gt;0,($U837-INDEX(Hourly_Analysis!$F$5:$F$28,$J837+1))/INDEX(Hourly_Analysis!$G$5:$G$28,$J837+1),0)),2)</f>
        <v>0.21</v>
      </c>
      <c r="AH837" s="23" t="str">
        <f>IF(ABS($AG837)&gt;Lookups!$B$20,IF($AG837&gt;0,"High anomaly","Low anomaly"),"")</f>
        <v/>
      </c>
      <c r="AI837" s="23" t="str">
        <f t="shared" si="82"/>
        <v>OK</v>
      </c>
      <c r="AJ837" s="23" t="str">
        <f t="shared" si="83"/>
        <v>No</v>
      </c>
    </row>
    <row r="838" spans="1:36" x14ac:dyDescent="0.35">
      <c r="A838" s="23">
        <v>837</v>
      </c>
      <c r="B838" s="23" t="str">
        <f t="shared" si="78"/>
        <v>Dataset 3</v>
      </c>
      <c r="C838" s="23">
        <f>IFERROR(MATCH($A838,Merge_1_2!$A$2:$A$611,0),0)</f>
        <v>0</v>
      </c>
      <c r="D838" s="23">
        <f>IF($C838&gt;0,INDEX(Merge_1_2!$Q$2:$Q$611,$C838),0)</f>
        <v>0</v>
      </c>
      <c r="E838" s="23">
        <f>IFERROR(MATCH($A838,Dataset3_Raw!$A$2:$A$391,0),0)</f>
        <v>227</v>
      </c>
      <c r="F838" s="24">
        <f>IF($C838&gt;0,INDEX(Merge_1_2!$B$2:$B$611,$C838),DATE(VALUE(RIGHT(INDEX(Dataset3_Raw!$B$2:$B$391,$E838),4)),VALUE(MID(INDEX(Dataset3_Raw!$B$2:$B$391,$E838),4,2)),VALUE(LEFT(INDEX(Dataset3_Raw!$B$2:$B$391,$E838),2))))</f>
        <v>40581</v>
      </c>
      <c r="G838" s="23">
        <f>IF($C838&gt;0,INDEX(Merge_1_2!$C$2:$C$611,$C838),INDEX(Dataset3_Raw!$C$2:$C$391,$E838))</f>
        <v>1</v>
      </c>
      <c r="H838" s="23">
        <f>IF($C838&gt;0,INDEX(Merge_1_2!$D$2:$D$611,$C838),INDEX(Dataset3_Raw!$D$2:$D$391,$E838))</f>
        <v>0</v>
      </c>
      <c r="I838" s="23">
        <f>IF($C838&gt;0,INDEX(Merge_1_2!$E$2:$E$611,$C838),INDEX(Dataset3_Raw!$E$2:$E$391,$E838))</f>
        <v>2</v>
      </c>
      <c r="J838" s="23">
        <f>IF($C838&gt;0,INDEX(Merge_1_2!$F$2:$F$611,$C838),INDEX(Dataset3_Raw!$F$2:$F$391,$E838))</f>
        <v>7</v>
      </c>
      <c r="K838" s="23" t="b">
        <f>IF($C838&gt;0,INDEX(Merge_1_2!$G$2:$G$611,$C838),INDEX(Dataset3_Raw!$G$2:$G$391,$E838))</f>
        <v>0</v>
      </c>
      <c r="L838" s="23">
        <f>IF($C838&gt;0,INDEX(Merge_1_2!$H$2:$H$611,$C838),INDEX(Dataset3_Raw!$H$2:$H$391,$E838))</f>
        <v>1</v>
      </c>
      <c r="M838" s="23">
        <f>IF($C838&gt;0,INDEX(Merge_1_2!$I$2:$I$611,$C838),INDEX(Dataset3_Raw!$I$2:$I$391,$E838))</f>
        <v>1</v>
      </c>
      <c r="N838" s="25">
        <f>IF($C838&gt;0,INDEX(Merge_1_2!$J$2:$J$611,$C838),INDEX(Dataset3_Raw!$J$2:$J$391,$E838))</f>
        <v>0.18</v>
      </c>
      <c r="O838" s="25">
        <f>IF($C838&gt;0,IF(ISNUMBER(INDEX(Merge_1_2!$K$2:$K$611,$C838)),INDEX(Merge_1_2!$K$2:$K$611,$C838),""),INDEX(Dataset3_Raw!$K$2:$K$391,$E838))</f>
        <v>0.2424</v>
      </c>
      <c r="P838" s="25">
        <f>IF(ISNUMBER($O838),$O838,ROUND(Lookups!$B$25+Lookups!$B$24*$N838,4))</f>
        <v>0.2424</v>
      </c>
      <c r="Q838" s="25">
        <f>IF($C838&gt;0,INDEX(Merge_1_2!$L$2:$L$611,$C838),INDEX(Dataset3_Raw!$L$2:$L$391,$E838))</f>
        <v>0.86</v>
      </c>
      <c r="R838" s="25">
        <f>IF($C838&gt;0,INDEX(Merge_1_2!$M$2:$M$611,$C838),INDEX(Dataset3_Raw!$M$2:$M$391,$E838))</f>
        <v>0</v>
      </c>
      <c r="S838" s="23">
        <f>IF($C838&gt;0,INDEX(Merge_1_2!$N$2:$N$611,$C838),INDEX(Dataset3_Raw!$N$2:$N$391,$E838))</f>
        <v>6</v>
      </c>
      <c r="T838" s="23">
        <f>IF($C838&gt;0,INDEX(Merge_1_2!$O$2:$O$611,$C838),INDEX(Dataset3_Raw!$O$2:$O$391,$E838))</f>
        <v>89</v>
      </c>
      <c r="U838" s="23">
        <f>IF($C838&gt;0,INDEX(Merge_1_2!$P$2:$P$611,$C838),INDEX(Dataset3_Raw!$P$2:$P$391,$E838))</f>
        <v>95</v>
      </c>
      <c r="V838" s="23" t="str">
        <f t="shared" si="79"/>
        <v>Weekday</v>
      </c>
      <c r="W838" s="23" t="str">
        <f>VLOOKUP($M838,Lookups!$A$5:$B$8,2,FALSE())</f>
        <v>Clear / Partly cloudy</v>
      </c>
      <c r="X838" s="23" t="str">
        <f>VLOOKUP($G838,Lookups!$D$5:$E$8,2,FALSE())</f>
        <v>Winter</v>
      </c>
      <c r="Y838" s="23" t="str">
        <f>VLOOKUP($L838,Lookups!$G$5:$H$11,2,FALSE())</f>
        <v>Monday</v>
      </c>
      <c r="Z838" s="23" t="str">
        <f>IF($J838&lt;Lookups!$B$26,"Night",IF($J838&lt;Lookups!$B$27,"Morning",IF($J838&lt;Lookups!$B$28,"Afternoon","Evening")))</f>
        <v>Morning</v>
      </c>
      <c r="AA838" s="26">
        <f>ROUND($N838*(Lookups!$B$16-Lookups!$B$15)+Lookups!$B$15,1)</f>
        <v>0.5</v>
      </c>
      <c r="AB838" s="26">
        <f>ROUND($P838*(Lookups!$B$18-Lookups!$B$17)+Lookups!$B$17,1)</f>
        <v>0</v>
      </c>
      <c r="AC838" s="23">
        <f t="shared" si="80"/>
        <v>86</v>
      </c>
      <c r="AD838" s="23">
        <f>ROUND($R838*Lookups!$B$19,1)</f>
        <v>0</v>
      </c>
      <c r="AE838" s="27">
        <f t="shared" si="81"/>
        <v>0.93684210526315792</v>
      </c>
      <c r="AF838" s="23" t="str">
        <f>IF($U838&gt;=Lookups!$B$23,"High",IF($U838&gt;=Lookups!$B$22,"Medium","Low"))</f>
        <v>High</v>
      </c>
      <c r="AG838" s="23">
        <f>ROUND(IF($V838="Weekday",IF(INDEX(Hourly_Analysis!$D$5:$D$28,$J838+1)&gt;0,($U838-INDEX(Hourly_Analysis!$C$5:$C$28,$J838+1))/INDEX(Hourly_Analysis!$D$5:$D$28,$J838+1),0),IF(INDEX(Hourly_Analysis!$G$5:$G$28,$J838+1)&gt;0,($U838-INDEX(Hourly_Analysis!$F$5:$F$28,$J838+1))/INDEX(Hourly_Analysis!$G$5:$G$28,$J838+1),0)),2)</f>
        <v>0.76</v>
      </c>
      <c r="AH838" s="23" t="str">
        <f>IF(ABS($AG838)&gt;Lookups!$B$20,IF($AG838&gt;0,"High anomaly","Low anomaly"),"")</f>
        <v/>
      </c>
      <c r="AI838" s="23" t="str">
        <f t="shared" si="82"/>
        <v>OK</v>
      </c>
      <c r="AJ838" s="23" t="str">
        <f t="shared" si="83"/>
        <v>No</v>
      </c>
    </row>
    <row r="839" spans="1:36" x14ac:dyDescent="0.35">
      <c r="A839" s="23">
        <v>838</v>
      </c>
      <c r="B839" s="23" t="str">
        <f t="shared" si="78"/>
        <v>Dataset 3</v>
      </c>
      <c r="C839" s="23">
        <f>IFERROR(MATCH($A839,Merge_1_2!$A$2:$A$611,0),0)</f>
        <v>0</v>
      </c>
      <c r="D839" s="23">
        <f>IF($C839&gt;0,INDEX(Merge_1_2!$Q$2:$Q$611,$C839),0)</f>
        <v>0</v>
      </c>
      <c r="E839" s="23">
        <f>IFERROR(MATCH($A839,Dataset3_Raw!$A$2:$A$391,0),0)</f>
        <v>228</v>
      </c>
      <c r="F839" s="24">
        <f>IF($C839&gt;0,INDEX(Merge_1_2!$B$2:$B$611,$C839),DATE(VALUE(RIGHT(INDEX(Dataset3_Raw!$B$2:$B$391,$E839),4)),VALUE(MID(INDEX(Dataset3_Raw!$B$2:$B$391,$E839),4,2)),VALUE(LEFT(INDEX(Dataset3_Raw!$B$2:$B$391,$E839),2))))</f>
        <v>40581</v>
      </c>
      <c r="G839" s="23">
        <f>IF($C839&gt;0,INDEX(Merge_1_2!$C$2:$C$611,$C839),INDEX(Dataset3_Raw!$C$2:$C$391,$E839))</f>
        <v>1</v>
      </c>
      <c r="H839" s="23">
        <f>IF($C839&gt;0,INDEX(Merge_1_2!$D$2:$D$611,$C839),INDEX(Dataset3_Raw!$D$2:$D$391,$E839))</f>
        <v>0</v>
      </c>
      <c r="I839" s="23">
        <f>IF($C839&gt;0,INDEX(Merge_1_2!$E$2:$E$611,$C839),INDEX(Dataset3_Raw!$E$2:$E$391,$E839))</f>
        <v>2</v>
      </c>
      <c r="J839" s="23">
        <f>IF($C839&gt;0,INDEX(Merge_1_2!$F$2:$F$611,$C839),INDEX(Dataset3_Raw!$F$2:$F$391,$E839))</f>
        <v>8</v>
      </c>
      <c r="K839" s="23" t="b">
        <f>IF($C839&gt;0,INDEX(Merge_1_2!$G$2:$G$611,$C839),INDEX(Dataset3_Raw!$G$2:$G$391,$E839))</f>
        <v>0</v>
      </c>
      <c r="L839" s="23">
        <f>IF($C839&gt;0,INDEX(Merge_1_2!$H$2:$H$611,$C839),INDEX(Dataset3_Raw!$H$2:$H$391,$E839))</f>
        <v>1</v>
      </c>
      <c r="M839" s="23">
        <f>IF($C839&gt;0,INDEX(Merge_1_2!$I$2:$I$611,$C839),INDEX(Dataset3_Raw!$I$2:$I$391,$E839))</f>
        <v>2</v>
      </c>
      <c r="N839" s="25">
        <f>IF($C839&gt;0,INDEX(Merge_1_2!$J$2:$J$611,$C839),INDEX(Dataset3_Raw!$J$2:$J$391,$E839))</f>
        <v>0.16</v>
      </c>
      <c r="O839" s="25">
        <f>IF($C839&gt;0,IF(ISNUMBER(INDEX(Merge_1_2!$K$2:$K$611,$C839)),INDEX(Merge_1_2!$K$2:$K$611,$C839),""),INDEX(Dataset3_Raw!$K$2:$K$391,$E839))</f>
        <v>0.2273</v>
      </c>
      <c r="P839" s="25">
        <f>IF(ISNUMBER($O839),$O839,ROUND(Lookups!$B$25+Lookups!$B$24*$N839,4))</f>
        <v>0.2273</v>
      </c>
      <c r="Q839" s="25">
        <f>IF($C839&gt;0,INDEX(Merge_1_2!$L$2:$L$611,$C839),INDEX(Dataset3_Raw!$L$2:$L$391,$E839))</f>
        <v>1</v>
      </c>
      <c r="R839" s="25">
        <f>IF($C839&gt;0,INDEX(Merge_1_2!$M$2:$M$611,$C839),INDEX(Dataset3_Raw!$M$2:$M$391,$E839))</f>
        <v>0</v>
      </c>
      <c r="S839" s="23">
        <f>IF($C839&gt;0,INDEX(Merge_1_2!$N$2:$N$611,$C839),INDEX(Dataset3_Raw!$N$2:$N$391,$E839))</f>
        <v>7</v>
      </c>
      <c r="T839" s="23">
        <f>IF($C839&gt;0,INDEX(Merge_1_2!$O$2:$O$611,$C839),INDEX(Dataset3_Raw!$O$2:$O$391,$E839))</f>
        <v>223</v>
      </c>
      <c r="U839" s="23">
        <f>IF($C839&gt;0,INDEX(Merge_1_2!$P$2:$P$611,$C839),INDEX(Dataset3_Raw!$P$2:$P$391,$E839))</f>
        <v>230</v>
      </c>
      <c r="V839" s="23" t="str">
        <f t="shared" si="79"/>
        <v>Weekday</v>
      </c>
      <c r="W839" s="23" t="str">
        <f>VLOOKUP($M839,Lookups!$A$5:$B$8,2,FALSE())</f>
        <v>Mist / Cloudy</v>
      </c>
      <c r="X839" s="23" t="str">
        <f>VLOOKUP($G839,Lookups!$D$5:$E$8,2,FALSE())</f>
        <v>Winter</v>
      </c>
      <c r="Y839" s="23" t="str">
        <f>VLOOKUP($L839,Lookups!$G$5:$H$11,2,FALSE())</f>
        <v>Monday</v>
      </c>
      <c r="Z839" s="23" t="str">
        <f>IF($J839&lt;Lookups!$B$26,"Night",IF($J839&lt;Lookups!$B$27,"Morning",IF($J839&lt;Lookups!$B$28,"Afternoon","Evening")))</f>
        <v>Morning</v>
      </c>
      <c r="AA839" s="26">
        <f>ROUND($N839*(Lookups!$B$16-Lookups!$B$15)+Lookups!$B$15,1)</f>
        <v>-0.5</v>
      </c>
      <c r="AB839" s="26">
        <f>ROUND($P839*(Lookups!$B$18-Lookups!$B$17)+Lookups!$B$17,1)</f>
        <v>-1</v>
      </c>
      <c r="AC839" s="23">
        <f t="shared" si="80"/>
        <v>100</v>
      </c>
      <c r="AD839" s="23">
        <f>ROUND($R839*Lookups!$B$19,1)</f>
        <v>0</v>
      </c>
      <c r="AE839" s="27">
        <f t="shared" si="81"/>
        <v>0.9695652173913043</v>
      </c>
      <c r="AF839" s="23" t="str">
        <f>IF($U839&gt;=Lookups!$B$23,"High",IF($U839&gt;=Lookups!$B$22,"Medium","Low"))</f>
        <v>High</v>
      </c>
      <c r="AG839" s="23">
        <f>ROUND(IF($V839="Weekday",IF(INDEX(Hourly_Analysis!$D$5:$D$28,$J839+1)&gt;0,($U839-INDEX(Hourly_Analysis!$C$5:$C$28,$J839+1))/INDEX(Hourly_Analysis!$D$5:$D$28,$J839+1),0),IF(INDEX(Hourly_Analysis!$G$5:$G$28,$J839+1)&gt;0,($U839-INDEX(Hourly_Analysis!$F$5:$F$28,$J839+1))/INDEX(Hourly_Analysis!$G$5:$G$28,$J839+1),0)),2)</f>
        <v>1.03</v>
      </c>
      <c r="AH839" s="23" t="str">
        <f>IF(ABS($AG839)&gt;Lookups!$B$20,IF($AG839&gt;0,"High anomaly","Low anomaly"),"")</f>
        <v/>
      </c>
      <c r="AI839" s="23" t="str">
        <f t="shared" si="82"/>
        <v>OK</v>
      </c>
      <c r="AJ839" s="23" t="str">
        <f t="shared" si="83"/>
        <v>No</v>
      </c>
    </row>
    <row r="840" spans="1:36" x14ac:dyDescent="0.35">
      <c r="A840" s="23">
        <v>839</v>
      </c>
      <c r="B840" s="23" t="str">
        <f t="shared" si="78"/>
        <v>Dataset 3</v>
      </c>
      <c r="C840" s="23">
        <f>IFERROR(MATCH($A840,Merge_1_2!$A$2:$A$611,0),0)</f>
        <v>0</v>
      </c>
      <c r="D840" s="23">
        <f>IF($C840&gt;0,INDEX(Merge_1_2!$Q$2:$Q$611,$C840),0)</f>
        <v>0</v>
      </c>
      <c r="E840" s="23">
        <f>IFERROR(MATCH($A840,Dataset3_Raw!$A$2:$A$391,0),0)</f>
        <v>229</v>
      </c>
      <c r="F840" s="24">
        <f>IF($C840&gt;0,INDEX(Merge_1_2!$B$2:$B$611,$C840),DATE(VALUE(RIGHT(INDEX(Dataset3_Raw!$B$2:$B$391,$E840),4)),VALUE(MID(INDEX(Dataset3_Raw!$B$2:$B$391,$E840),4,2)),VALUE(LEFT(INDEX(Dataset3_Raw!$B$2:$B$391,$E840),2))))</f>
        <v>40581</v>
      </c>
      <c r="G840" s="23">
        <f>IF($C840&gt;0,INDEX(Merge_1_2!$C$2:$C$611,$C840),INDEX(Dataset3_Raw!$C$2:$C$391,$E840))</f>
        <v>1</v>
      </c>
      <c r="H840" s="23">
        <f>IF($C840&gt;0,INDEX(Merge_1_2!$D$2:$D$611,$C840),INDEX(Dataset3_Raw!$D$2:$D$391,$E840))</f>
        <v>0</v>
      </c>
      <c r="I840" s="23">
        <f>IF($C840&gt;0,INDEX(Merge_1_2!$E$2:$E$611,$C840),INDEX(Dataset3_Raw!$E$2:$E$391,$E840))</f>
        <v>2</v>
      </c>
      <c r="J840" s="23">
        <f>IF($C840&gt;0,INDEX(Merge_1_2!$F$2:$F$611,$C840),INDEX(Dataset3_Raw!$F$2:$F$391,$E840))</f>
        <v>9</v>
      </c>
      <c r="K840" s="23" t="b">
        <f>IF($C840&gt;0,INDEX(Merge_1_2!$G$2:$G$611,$C840),INDEX(Dataset3_Raw!$G$2:$G$391,$E840))</f>
        <v>0</v>
      </c>
      <c r="L840" s="23">
        <f>IF($C840&gt;0,INDEX(Merge_1_2!$H$2:$H$611,$C840),INDEX(Dataset3_Raw!$H$2:$H$391,$E840))</f>
        <v>1</v>
      </c>
      <c r="M840" s="23">
        <f>IF($C840&gt;0,INDEX(Merge_1_2!$I$2:$I$611,$C840),INDEX(Dataset3_Raw!$I$2:$I$391,$E840))</f>
        <v>1</v>
      </c>
      <c r="N840" s="25">
        <f>IF($C840&gt;0,INDEX(Merge_1_2!$J$2:$J$611,$C840),INDEX(Dataset3_Raw!$J$2:$J$391,$E840))</f>
        <v>0.22</v>
      </c>
      <c r="O840" s="25">
        <f>IF($C840&gt;0,IF(ISNUMBER(INDEX(Merge_1_2!$K$2:$K$611,$C840)),INDEX(Merge_1_2!$K$2:$K$611,$C840),""),INDEX(Dataset3_Raw!$K$2:$K$391,$E840))</f>
        <v>0.2727</v>
      </c>
      <c r="P840" s="25">
        <f>IF(ISNUMBER($O840),$O840,ROUND(Lookups!$B$25+Lookups!$B$24*$N840,4))</f>
        <v>0.2727</v>
      </c>
      <c r="Q840" s="25">
        <f>IF($C840&gt;0,INDEX(Merge_1_2!$L$2:$L$611,$C840),INDEX(Dataset3_Raw!$L$2:$L$391,$E840))</f>
        <v>0.8</v>
      </c>
      <c r="R840" s="25">
        <f>IF($C840&gt;0,INDEX(Merge_1_2!$M$2:$M$611,$C840),INDEX(Dataset3_Raw!$M$2:$M$391,$E840))</f>
        <v>0</v>
      </c>
      <c r="S840" s="23">
        <f>IF($C840&gt;0,INDEX(Merge_1_2!$N$2:$N$611,$C840),INDEX(Dataset3_Raw!$N$2:$N$391,$E840))</f>
        <v>3</v>
      </c>
      <c r="T840" s="23">
        <f>IF($C840&gt;0,INDEX(Merge_1_2!$O$2:$O$611,$C840),INDEX(Dataset3_Raw!$O$2:$O$391,$E840))</f>
        <v>115</v>
      </c>
      <c r="U840" s="23">
        <f>IF($C840&gt;0,INDEX(Merge_1_2!$P$2:$P$611,$C840),INDEX(Dataset3_Raw!$P$2:$P$391,$E840))</f>
        <v>118</v>
      </c>
      <c r="V840" s="23" t="str">
        <f t="shared" si="79"/>
        <v>Weekday</v>
      </c>
      <c r="W840" s="23" t="str">
        <f>VLOOKUP($M840,Lookups!$A$5:$B$8,2,FALSE())</f>
        <v>Clear / Partly cloudy</v>
      </c>
      <c r="X840" s="23" t="str">
        <f>VLOOKUP($G840,Lookups!$D$5:$E$8,2,FALSE())</f>
        <v>Winter</v>
      </c>
      <c r="Y840" s="23" t="str">
        <f>VLOOKUP($L840,Lookups!$G$5:$H$11,2,FALSE())</f>
        <v>Monday</v>
      </c>
      <c r="Z840" s="23" t="str">
        <f>IF($J840&lt;Lookups!$B$26,"Night",IF($J840&lt;Lookups!$B$27,"Morning",IF($J840&lt;Lookups!$B$28,"Afternoon","Evening")))</f>
        <v>Morning</v>
      </c>
      <c r="AA840" s="26">
        <f>ROUND($N840*(Lookups!$B$16-Lookups!$B$15)+Lookups!$B$15,1)</f>
        <v>2.2999999999999998</v>
      </c>
      <c r="AB840" s="26">
        <f>ROUND($P840*(Lookups!$B$18-Lookups!$B$17)+Lookups!$B$17,1)</f>
        <v>2</v>
      </c>
      <c r="AC840" s="23">
        <f t="shared" si="80"/>
        <v>80</v>
      </c>
      <c r="AD840" s="23">
        <f>ROUND($R840*Lookups!$B$19,1)</f>
        <v>0</v>
      </c>
      <c r="AE840" s="27">
        <f t="shared" si="81"/>
        <v>0.97457627118644063</v>
      </c>
      <c r="AF840" s="23" t="str">
        <f>IF($U840&gt;=Lookups!$B$23,"High",IF($U840&gt;=Lookups!$B$22,"Medium","Low"))</f>
        <v>High</v>
      </c>
      <c r="AG840" s="23">
        <f>ROUND(IF($V840="Weekday",IF(INDEX(Hourly_Analysis!$D$5:$D$28,$J840+1)&gt;0,($U840-INDEX(Hourly_Analysis!$C$5:$C$28,$J840+1))/INDEX(Hourly_Analysis!$D$5:$D$28,$J840+1),0),IF(INDEX(Hourly_Analysis!$G$5:$G$28,$J840+1)&gt;0,($U840-INDEX(Hourly_Analysis!$F$5:$F$28,$J840+1))/INDEX(Hourly_Analysis!$G$5:$G$28,$J840+1),0)),2)</f>
        <v>-0.01</v>
      </c>
      <c r="AH840" s="23" t="str">
        <f>IF(ABS($AG840)&gt;Lookups!$B$20,IF($AG840&gt;0,"High anomaly","Low anomaly"),"")</f>
        <v/>
      </c>
      <c r="AI840" s="23" t="str">
        <f t="shared" si="82"/>
        <v>OK</v>
      </c>
      <c r="AJ840" s="23" t="str">
        <f t="shared" si="83"/>
        <v>No</v>
      </c>
    </row>
    <row r="841" spans="1:36" x14ac:dyDescent="0.35">
      <c r="A841" s="23">
        <v>840</v>
      </c>
      <c r="B841" s="23" t="str">
        <f t="shared" si="78"/>
        <v>Dataset 3</v>
      </c>
      <c r="C841" s="23">
        <f>IFERROR(MATCH($A841,Merge_1_2!$A$2:$A$611,0),0)</f>
        <v>0</v>
      </c>
      <c r="D841" s="23">
        <f>IF($C841&gt;0,INDEX(Merge_1_2!$Q$2:$Q$611,$C841),0)</f>
        <v>0</v>
      </c>
      <c r="E841" s="23">
        <f>IFERROR(MATCH($A841,Dataset3_Raw!$A$2:$A$391,0),0)</f>
        <v>230</v>
      </c>
      <c r="F841" s="24">
        <f>IF($C841&gt;0,INDEX(Merge_1_2!$B$2:$B$611,$C841),DATE(VALUE(RIGHT(INDEX(Dataset3_Raw!$B$2:$B$391,$E841),4)),VALUE(MID(INDEX(Dataset3_Raw!$B$2:$B$391,$E841),4,2)),VALUE(LEFT(INDEX(Dataset3_Raw!$B$2:$B$391,$E841),2))))</f>
        <v>40581</v>
      </c>
      <c r="G841" s="23">
        <f>IF($C841&gt;0,INDEX(Merge_1_2!$C$2:$C$611,$C841),INDEX(Dataset3_Raw!$C$2:$C$391,$E841))</f>
        <v>1</v>
      </c>
      <c r="H841" s="23">
        <f>IF($C841&gt;0,INDEX(Merge_1_2!$D$2:$D$611,$C841),INDEX(Dataset3_Raw!$D$2:$D$391,$E841))</f>
        <v>0</v>
      </c>
      <c r="I841" s="23">
        <f>IF($C841&gt;0,INDEX(Merge_1_2!$E$2:$E$611,$C841),INDEX(Dataset3_Raw!$E$2:$E$391,$E841))</f>
        <v>2</v>
      </c>
      <c r="J841" s="23">
        <f>IF($C841&gt;0,INDEX(Merge_1_2!$F$2:$F$611,$C841),INDEX(Dataset3_Raw!$F$2:$F$391,$E841))</f>
        <v>10</v>
      </c>
      <c r="K841" s="23" t="b">
        <f>IF($C841&gt;0,INDEX(Merge_1_2!$G$2:$G$611,$C841),INDEX(Dataset3_Raw!$G$2:$G$391,$E841))</f>
        <v>0</v>
      </c>
      <c r="L841" s="23">
        <f>IF($C841&gt;0,INDEX(Merge_1_2!$H$2:$H$611,$C841),INDEX(Dataset3_Raw!$H$2:$H$391,$E841))</f>
        <v>1</v>
      </c>
      <c r="M841" s="23">
        <f>IF($C841&gt;0,INDEX(Merge_1_2!$I$2:$I$611,$C841),INDEX(Dataset3_Raw!$I$2:$I$391,$E841))</f>
        <v>1</v>
      </c>
      <c r="N841" s="25">
        <f>IF($C841&gt;0,INDEX(Merge_1_2!$J$2:$J$611,$C841),INDEX(Dataset3_Raw!$J$2:$J$391,$E841))</f>
        <v>0.24</v>
      </c>
      <c r="O841" s="25">
        <f>IF($C841&gt;0,IF(ISNUMBER(INDEX(Merge_1_2!$K$2:$K$611,$C841)),INDEX(Merge_1_2!$K$2:$K$611,$C841),""),INDEX(Dataset3_Raw!$K$2:$K$391,$E841))</f>
        <v>0.2576</v>
      </c>
      <c r="P841" s="25">
        <f>IF(ISNUMBER($O841),$O841,ROUND(Lookups!$B$25+Lookups!$B$24*$N841,4))</f>
        <v>0.2576</v>
      </c>
      <c r="Q841" s="25">
        <f>IF($C841&gt;0,INDEX(Merge_1_2!$L$2:$L$611,$C841),INDEX(Dataset3_Raw!$L$2:$L$391,$E841))</f>
        <v>0.75</v>
      </c>
      <c r="R841" s="25">
        <f>IF($C841&gt;0,INDEX(Merge_1_2!$M$2:$M$611,$C841),INDEX(Dataset3_Raw!$M$2:$M$391,$E841))</f>
        <v>0.1045</v>
      </c>
      <c r="S841" s="23">
        <f>IF($C841&gt;0,INDEX(Merge_1_2!$N$2:$N$611,$C841),INDEX(Dataset3_Raw!$N$2:$N$391,$E841))</f>
        <v>6</v>
      </c>
      <c r="T841" s="23">
        <f>IF($C841&gt;0,INDEX(Merge_1_2!$O$2:$O$611,$C841),INDEX(Dataset3_Raw!$O$2:$O$391,$E841))</f>
        <v>49</v>
      </c>
      <c r="U841" s="23">
        <f>IF($C841&gt;0,INDEX(Merge_1_2!$P$2:$P$611,$C841),INDEX(Dataset3_Raw!$P$2:$P$391,$E841))</f>
        <v>55</v>
      </c>
      <c r="V841" s="23" t="str">
        <f t="shared" si="79"/>
        <v>Weekday</v>
      </c>
      <c r="W841" s="23" t="str">
        <f>VLOOKUP($M841,Lookups!$A$5:$B$8,2,FALSE())</f>
        <v>Clear / Partly cloudy</v>
      </c>
      <c r="X841" s="23" t="str">
        <f>VLOOKUP($G841,Lookups!$D$5:$E$8,2,FALSE())</f>
        <v>Winter</v>
      </c>
      <c r="Y841" s="23" t="str">
        <f>VLOOKUP($L841,Lookups!$G$5:$H$11,2,FALSE())</f>
        <v>Monday</v>
      </c>
      <c r="Z841" s="23" t="str">
        <f>IF($J841&lt;Lookups!$B$26,"Night",IF($J841&lt;Lookups!$B$27,"Morning",IF($J841&lt;Lookups!$B$28,"Afternoon","Evening")))</f>
        <v>Morning</v>
      </c>
      <c r="AA841" s="26">
        <f>ROUND($N841*(Lookups!$B$16-Lookups!$B$15)+Lookups!$B$15,1)</f>
        <v>3.3</v>
      </c>
      <c r="AB841" s="26">
        <f>ROUND($P841*(Lookups!$B$18-Lookups!$B$17)+Lookups!$B$17,1)</f>
        <v>1</v>
      </c>
      <c r="AC841" s="23">
        <f t="shared" si="80"/>
        <v>75</v>
      </c>
      <c r="AD841" s="23">
        <f>ROUND($R841*Lookups!$B$19,1)</f>
        <v>7</v>
      </c>
      <c r="AE841" s="27">
        <f t="shared" si="81"/>
        <v>0.89090909090909087</v>
      </c>
      <c r="AF841" s="23" t="str">
        <f>IF($U841&gt;=Lookups!$B$23,"High",IF($U841&gt;=Lookups!$B$22,"Medium","Low"))</f>
        <v>Medium</v>
      </c>
      <c r="AG841" s="23">
        <f>ROUND(IF($V841="Weekday",IF(INDEX(Hourly_Analysis!$D$5:$D$28,$J841+1)&gt;0,($U841-INDEX(Hourly_Analysis!$C$5:$C$28,$J841+1))/INDEX(Hourly_Analysis!$D$5:$D$28,$J841+1),0),IF(INDEX(Hourly_Analysis!$G$5:$G$28,$J841+1)&gt;0,($U841-INDEX(Hourly_Analysis!$F$5:$F$28,$J841+1))/INDEX(Hourly_Analysis!$G$5:$G$28,$J841+1),0)),2)</f>
        <v>0.61</v>
      </c>
      <c r="AH841" s="23" t="str">
        <f>IF(ABS($AG841)&gt;Lookups!$B$20,IF($AG841&gt;0,"High anomaly","Low anomaly"),"")</f>
        <v/>
      </c>
      <c r="AI841" s="23" t="str">
        <f t="shared" si="82"/>
        <v>OK</v>
      </c>
      <c r="AJ841" s="23" t="str">
        <f t="shared" si="83"/>
        <v>No</v>
      </c>
    </row>
    <row r="842" spans="1:36" x14ac:dyDescent="0.35">
      <c r="A842" s="23">
        <v>841</v>
      </c>
      <c r="B842" s="23" t="str">
        <f t="shared" si="78"/>
        <v>Dataset 3</v>
      </c>
      <c r="C842" s="23">
        <f>IFERROR(MATCH($A842,Merge_1_2!$A$2:$A$611,0),0)</f>
        <v>0</v>
      </c>
      <c r="D842" s="23">
        <f>IF($C842&gt;0,INDEX(Merge_1_2!$Q$2:$Q$611,$C842),0)</f>
        <v>0</v>
      </c>
      <c r="E842" s="23">
        <f>IFERROR(MATCH($A842,Dataset3_Raw!$A$2:$A$391,0),0)</f>
        <v>231</v>
      </c>
      <c r="F842" s="24">
        <f>IF($C842&gt;0,INDEX(Merge_1_2!$B$2:$B$611,$C842),DATE(VALUE(RIGHT(INDEX(Dataset3_Raw!$B$2:$B$391,$E842),4)),VALUE(MID(INDEX(Dataset3_Raw!$B$2:$B$391,$E842),4,2)),VALUE(LEFT(INDEX(Dataset3_Raw!$B$2:$B$391,$E842),2))))</f>
        <v>40581</v>
      </c>
      <c r="G842" s="23">
        <f>IF($C842&gt;0,INDEX(Merge_1_2!$C$2:$C$611,$C842),INDEX(Dataset3_Raw!$C$2:$C$391,$E842))</f>
        <v>1</v>
      </c>
      <c r="H842" s="23">
        <f>IF($C842&gt;0,INDEX(Merge_1_2!$D$2:$D$611,$C842),INDEX(Dataset3_Raw!$D$2:$D$391,$E842))</f>
        <v>0</v>
      </c>
      <c r="I842" s="23">
        <f>IF($C842&gt;0,INDEX(Merge_1_2!$E$2:$E$611,$C842),INDEX(Dataset3_Raw!$E$2:$E$391,$E842))</f>
        <v>2</v>
      </c>
      <c r="J842" s="23">
        <f>IF($C842&gt;0,INDEX(Merge_1_2!$F$2:$F$611,$C842),INDEX(Dataset3_Raw!$F$2:$F$391,$E842))</f>
        <v>11</v>
      </c>
      <c r="K842" s="23" t="b">
        <f>IF($C842&gt;0,INDEX(Merge_1_2!$G$2:$G$611,$C842),INDEX(Dataset3_Raw!$G$2:$G$391,$E842))</f>
        <v>0</v>
      </c>
      <c r="L842" s="23">
        <f>IF($C842&gt;0,INDEX(Merge_1_2!$H$2:$H$611,$C842),INDEX(Dataset3_Raw!$H$2:$H$391,$E842))</f>
        <v>1</v>
      </c>
      <c r="M842" s="23">
        <f>IF($C842&gt;0,INDEX(Merge_1_2!$I$2:$I$611,$C842),INDEX(Dataset3_Raw!$I$2:$I$391,$E842))</f>
        <v>1</v>
      </c>
      <c r="N842" s="25">
        <f>IF($C842&gt;0,INDEX(Merge_1_2!$J$2:$J$611,$C842),INDEX(Dataset3_Raw!$J$2:$J$391,$E842))</f>
        <v>0.3</v>
      </c>
      <c r="O842" s="25">
        <f>IF($C842&gt;0,IF(ISNUMBER(INDEX(Merge_1_2!$K$2:$K$611,$C842)),INDEX(Merge_1_2!$K$2:$K$611,$C842),""),INDEX(Dataset3_Raw!$K$2:$K$391,$E842))</f>
        <v>0.31819999999999998</v>
      </c>
      <c r="P842" s="25">
        <f>IF(ISNUMBER($O842),$O842,ROUND(Lookups!$B$25+Lookups!$B$24*$N842,4))</f>
        <v>0.31819999999999998</v>
      </c>
      <c r="Q842" s="25">
        <f>IF($C842&gt;0,INDEX(Merge_1_2!$L$2:$L$611,$C842),INDEX(Dataset3_Raw!$L$2:$L$391,$E842))</f>
        <v>0.65</v>
      </c>
      <c r="R842" s="25">
        <f>IF($C842&gt;0,INDEX(Merge_1_2!$M$2:$M$611,$C842),INDEX(Dataset3_Raw!$M$2:$M$391,$E842))</f>
        <v>8.9599999999999999E-2</v>
      </c>
      <c r="S842" s="23">
        <f>IF($C842&gt;0,INDEX(Merge_1_2!$N$2:$N$611,$C842),INDEX(Dataset3_Raw!$N$2:$N$391,$E842))</f>
        <v>11</v>
      </c>
      <c r="T842" s="23">
        <f>IF($C842&gt;0,INDEX(Merge_1_2!$O$2:$O$611,$C842),INDEX(Dataset3_Raw!$O$2:$O$391,$E842))</f>
        <v>36</v>
      </c>
      <c r="U842" s="23">
        <f>IF($C842&gt;0,INDEX(Merge_1_2!$P$2:$P$611,$C842),INDEX(Dataset3_Raw!$P$2:$P$391,$E842))</f>
        <v>47</v>
      </c>
      <c r="V842" s="23" t="str">
        <f t="shared" si="79"/>
        <v>Weekday</v>
      </c>
      <c r="W842" s="23" t="str">
        <f>VLOOKUP($M842,Lookups!$A$5:$B$8,2,FALSE())</f>
        <v>Clear / Partly cloudy</v>
      </c>
      <c r="X842" s="23" t="str">
        <f>VLOOKUP($G842,Lookups!$D$5:$E$8,2,FALSE())</f>
        <v>Winter</v>
      </c>
      <c r="Y842" s="23" t="str">
        <f>VLOOKUP($L842,Lookups!$G$5:$H$11,2,FALSE())</f>
        <v>Monday</v>
      </c>
      <c r="Z842" s="23" t="str">
        <f>IF($J842&lt;Lookups!$B$26,"Night",IF($J842&lt;Lookups!$B$27,"Morning",IF($J842&lt;Lookups!$B$28,"Afternoon","Evening")))</f>
        <v>Morning</v>
      </c>
      <c r="AA842" s="26">
        <f>ROUND($N842*(Lookups!$B$16-Lookups!$B$15)+Lookups!$B$15,1)</f>
        <v>6.1</v>
      </c>
      <c r="AB842" s="26">
        <f>ROUND($P842*(Lookups!$B$18-Lookups!$B$17)+Lookups!$B$17,1)</f>
        <v>5</v>
      </c>
      <c r="AC842" s="23">
        <f t="shared" si="80"/>
        <v>65</v>
      </c>
      <c r="AD842" s="23">
        <f>ROUND($R842*Lookups!$B$19,1)</f>
        <v>6</v>
      </c>
      <c r="AE842" s="27">
        <f t="shared" si="81"/>
        <v>0.76595744680851063</v>
      </c>
      <c r="AF842" s="23" t="str">
        <f>IF($U842&gt;=Lookups!$B$23,"High",IF($U842&gt;=Lookups!$B$22,"Medium","Low"))</f>
        <v>Medium</v>
      </c>
      <c r="AG842" s="23">
        <f>ROUND(IF($V842="Weekday",IF(INDEX(Hourly_Analysis!$D$5:$D$28,$J842+1)&gt;0,($U842-INDEX(Hourly_Analysis!$C$5:$C$28,$J842+1))/INDEX(Hourly_Analysis!$D$5:$D$28,$J842+1),0),IF(INDEX(Hourly_Analysis!$G$5:$G$28,$J842+1)&gt;0,($U842-INDEX(Hourly_Analysis!$F$5:$F$28,$J842+1))/INDEX(Hourly_Analysis!$G$5:$G$28,$J842+1),0)),2)</f>
        <v>-0.28000000000000003</v>
      </c>
      <c r="AH842" s="23" t="str">
        <f>IF(ABS($AG842)&gt;Lookups!$B$20,IF($AG842&gt;0,"High anomaly","Low anomaly"),"")</f>
        <v/>
      </c>
      <c r="AI842" s="23" t="str">
        <f t="shared" si="82"/>
        <v>OK</v>
      </c>
      <c r="AJ842" s="23" t="str">
        <f t="shared" si="83"/>
        <v>No</v>
      </c>
    </row>
    <row r="843" spans="1:36" x14ac:dyDescent="0.35">
      <c r="A843" s="23">
        <v>842</v>
      </c>
      <c r="B843" s="23" t="str">
        <f t="shared" si="78"/>
        <v>Dataset 3</v>
      </c>
      <c r="C843" s="23">
        <f>IFERROR(MATCH($A843,Merge_1_2!$A$2:$A$611,0),0)</f>
        <v>0</v>
      </c>
      <c r="D843" s="23">
        <f>IF($C843&gt;0,INDEX(Merge_1_2!$Q$2:$Q$611,$C843),0)</f>
        <v>0</v>
      </c>
      <c r="E843" s="23">
        <f>IFERROR(MATCH($A843,Dataset3_Raw!$A$2:$A$391,0),0)</f>
        <v>232</v>
      </c>
      <c r="F843" s="24">
        <f>IF($C843&gt;0,INDEX(Merge_1_2!$B$2:$B$611,$C843),DATE(VALUE(RIGHT(INDEX(Dataset3_Raw!$B$2:$B$391,$E843),4)),VALUE(MID(INDEX(Dataset3_Raw!$B$2:$B$391,$E843),4,2)),VALUE(LEFT(INDEX(Dataset3_Raw!$B$2:$B$391,$E843),2))))</f>
        <v>40581</v>
      </c>
      <c r="G843" s="23">
        <f>IF($C843&gt;0,INDEX(Merge_1_2!$C$2:$C$611,$C843),INDEX(Dataset3_Raw!$C$2:$C$391,$E843))</f>
        <v>1</v>
      </c>
      <c r="H843" s="23">
        <f>IF($C843&gt;0,INDEX(Merge_1_2!$D$2:$D$611,$C843),INDEX(Dataset3_Raw!$D$2:$D$391,$E843))</f>
        <v>0</v>
      </c>
      <c r="I843" s="23">
        <f>IF($C843&gt;0,INDEX(Merge_1_2!$E$2:$E$611,$C843),INDEX(Dataset3_Raw!$E$2:$E$391,$E843))</f>
        <v>2</v>
      </c>
      <c r="J843" s="23">
        <f>IF($C843&gt;0,INDEX(Merge_1_2!$F$2:$F$611,$C843),INDEX(Dataset3_Raw!$F$2:$F$391,$E843))</f>
        <v>12</v>
      </c>
      <c r="K843" s="23" t="b">
        <f>IF($C843&gt;0,INDEX(Merge_1_2!$G$2:$G$611,$C843),INDEX(Dataset3_Raw!$G$2:$G$391,$E843))</f>
        <v>0</v>
      </c>
      <c r="L843" s="23">
        <f>IF($C843&gt;0,INDEX(Merge_1_2!$H$2:$H$611,$C843),INDEX(Dataset3_Raw!$H$2:$H$391,$E843))</f>
        <v>1</v>
      </c>
      <c r="M843" s="23">
        <f>IF($C843&gt;0,INDEX(Merge_1_2!$I$2:$I$611,$C843),INDEX(Dataset3_Raw!$I$2:$I$391,$E843))</f>
        <v>2</v>
      </c>
      <c r="N843" s="25">
        <f>IF($C843&gt;0,INDEX(Merge_1_2!$J$2:$J$611,$C843),INDEX(Dataset3_Raw!$J$2:$J$391,$E843))</f>
        <v>0.32</v>
      </c>
      <c r="O843" s="25">
        <f>IF($C843&gt;0,IF(ISNUMBER(INDEX(Merge_1_2!$K$2:$K$611,$C843)),INDEX(Merge_1_2!$K$2:$K$611,$C843),""),INDEX(Dataset3_Raw!$K$2:$K$391,$E843))</f>
        <v>0.34849999999999998</v>
      </c>
      <c r="P843" s="25">
        <f>IF(ISNUMBER($O843),$O843,ROUND(Lookups!$B$25+Lookups!$B$24*$N843,4))</f>
        <v>0.34849999999999998</v>
      </c>
      <c r="Q843" s="25">
        <f>IF($C843&gt;0,INDEX(Merge_1_2!$L$2:$L$611,$C843),INDEX(Dataset3_Raw!$L$2:$L$391,$E843))</f>
        <v>0.62</v>
      </c>
      <c r="R843" s="25">
        <f>IF($C843&gt;0,INDEX(Merge_1_2!$M$2:$M$611,$C843),INDEX(Dataset3_Raw!$M$2:$M$391,$E843))</f>
        <v>0</v>
      </c>
      <c r="S843" s="23">
        <f>IF($C843&gt;0,INDEX(Merge_1_2!$N$2:$N$611,$C843),INDEX(Dataset3_Raw!$N$2:$N$391,$E843))</f>
        <v>7</v>
      </c>
      <c r="T843" s="23">
        <f>IF($C843&gt;0,INDEX(Merge_1_2!$O$2:$O$611,$C843),INDEX(Dataset3_Raw!$O$2:$O$391,$E843))</f>
        <v>59</v>
      </c>
      <c r="U843" s="23">
        <f>IF($C843&gt;0,INDEX(Merge_1_2!$P$2:$P$611,$C843),INDEX(Dataset3_Raw!$P$2:$P$391,$E843))</f>
        <v>66</v>
      </c>
      <c r="V843" s="23" t="str">
        <f t="shared" si="79"/>
        <v>Weekday</v>
      </c>
      <c r="W843" s="23" t="str">
        <f>VLOOKUP($M843,Lookups!$A$5:$B$8,2,FALSE())</f>
        <v>Mist / Cloudy</v>
      </c>
      <c r="X843" s="23" t="str">
        <f>VLOOKUP($G843,Lookups!$D$5:$E$8,2,FALSE())</f>
        <v>Winter</v>
      </c>
      <c r="Y843" s="23" t="str">
        <f>VLOOKUP($L843,Lookups!$G$5:$H$11,2,FALSE())</f>
        <v>Monday</v>
      </c>
      <c r="Z843" s="23" t="str">
        <f>IF($J843&lt;Lookups!$B$26,"Night",IF($J843&lt;Lookups!$B$27,"Morning",IF($J843&lt;Lookups!$B$28,"Afternoon","Evening")))</f>
        <v>Afternoon</v>
      </c>
      <c r="AA843" s="26">
        <f>ROUND($N843*(Lookups!$B$16-Lookups!$B$15)+Lookups!$B$15,1)</f>
        <v>7</v>
      </c>
      <c r="AB843" s="26">
        <f>ROUND($P843*(Lookups!$B$18-Lookups!$B$17)+Lookups!$B$17,1)</f>
        <v>7</v>
      </c>
      <c r="AC843" s="23">
        <f t="shared" si="80"/>
        <v>62</v>
      </c>
      <c r="AD843" s="23">
        <f>ROUND($R843*Lookups!$B$19,1)</f>
        <v>0</v>
      </c>
      <c r="AE843" s="27">
        <f t="shared" si="81"/>
        <v>0.89393939393939392</v>
      </c>
      <c r="AF843" s="23" t="str">
        <f>IF($U843&gt;=Lookups!$B$23,"High",IF($U843&gt;=Lookups!$B$22,"Medium","Low"))</f>
        <v>Medium</v>
      </c>
      <c r="AG843" s="23">
        <f>ROUND(IF($V843="Weekday",IF(INDEX(Hourly_Analysis!$D$5:$D$28,$J843+1)&gt;0,($U843-INDEX(Hourly_Analysis!$C$5:$C$28,$J843+1))/INDEX(Hourly_Analysis!$D$5:$D$28,$J843+1),0),IF(INDEX(Hourly_Analysis!$G$5:$G$28,$J843+1)&gt;0,($U843-INDEX(Hourly_Analysis!$F$5:$F$28,$J843+1))/INDEX(Hourly_Analysis!$G$5:$G$28,$J843+1),0)),2)</f>
        <v>0.1</v>
      </c>
      <c r="AH843" s="23" t="str">
        <f>IF(ABS($AG843)&gt;Lookups!$B$20,IF($AG843&gt;0,"High anomaly","Low anomaly"),"")</f>
        <v/>
      </c>
      <c r="AI843" s="23" t="str">
        <f t="shared" si="82"/>
        <v>OK</v>
      </c>
      <c r="AJ843" s="23" t="str">
        <f t="shared" si="83"/>
        <v>No</v>
      </c>
    </row>
    <row r="844" spans="1:36" x14ac:dyDescent="0.35">
      <c r="A844" s="23">
        <v>843</v>
      </c>
      <c r="B844" s="23" t="str">
        <f t="shared" si="78"/>
        <v>Dataset 3</v>
      </c>
      <c r="C844" s="23">
        <f>IFERROR(MATCH($A844,Merge_1_2!$A$2:$A$611,0),0)</f>
        <v>0</v>
      </c>
      <c r="D844" s="23">
        <f>IF($C844&gt;0,INDEX(Merge_1_2!$Q$2:$Q$611,$C844),0)</f>
        <v>0</v>
      </c>
      <c r="E844" s="23">
        <f>IFERROR(MATCH($A844,Dataset3_Raw!$A$2:$A$391,0),0)</f>
        <v>233</v>
      </c>
      <c r="F844" s="24">
        <f>IF($C844&gt;0,INDEX(Merge_1_2!$B$2:$B$611,$C844),DATE(VALUE(RIGHT(INDEX(Dataset3_Raw!$B$2:$B$391,$E844),4)),VALUE(MID(INDEX(Dataset3_Raw!$B$2:$B$391,$E844),4,2)),VALUE(LEFT(INDEX(Dataset3_Raw!$B$2:$B$391,$E844),2))))</f>
        <v>40581</v>
      </c>
      <c r="G844" s="23">
        <f>IF($C844&gt;0,INDEX(Merge_1_2!$C$2:$C$611,$C844),INDEX(Dataset3_Raw!$C$2:$C$391,$E844))</f>
        <v>1</v>
      </c>
      <c r="H844" s="23">
        <f>IF($C844&gt;0,INDEX(Merge_1_2!$D$2:$D$611,$C844),INDEX(Dataset3_Raw!$D$2:$D$391,$E844))</f>
        <v>0</v>
      </c>
      <c r="I844" s="23">
        <f>IF($C844&gt;0,INDEX(Merge_1_2!$E$2:$E$611,$C844),INDEX(Dataset3_Raw!$E$2:$E$391,$E844))</f>
        <v>2</v>
      </c>
      <c r="J844" s="23">
        <f>IF($C844&gt;0,INDEX(Merge_1_2!$F$2:$F$611,$C844),INDEX(Dataset3_Raw!$F$2:$F$391,$E844))</f>
        <v>13</v>
      </c>
      <c r="K844" s="23" t="b">
        <f>IF($C844&gt;0,INDEX(Merge_1_2!$G$2:$G$611,$C844),INDEX(Dataset3_Raw!$G$2:$G$391,$E844))</f>
        <v>0</v>
      </c>
      <c r="L844" s="23">
        <f>IF($C844&gt;0,INDEX(Merge_1_2!$H$2:$H$611,$C844),INDEX(Dataset3_Raw!$H$2:$H$391,$E844))</f>
        <v>1</v>
      </c>
      <c r="M844" s="23">
        <f>IF($C844&gt;0,INDEX(Merge_1_2!$I$2:$I$611,$C844),INDEX(Dataset3_Raw!$I$2:$I$391,$E844))</f>
        <v>2</v>
      </c>
      <c r="N844" s="25">
        <f>IF($C844&gt;0,INDEX(Merge_1_2!$J$2:$J$611,$C844),INDEX(Dataset3_Raw!$J$2:$J$391,$E844))</f>
        <v>0.36</v>
      </c>
      <c r="O844" s="25">
        <f>IF($C844&gt;0,IF(ISNUMBER(INDEX(Merge_1_2!$K$2:$K$611,$C844)),INDEX(Merge_1_2!$K$2:$K$611,$C844),""),INDEX(Dataset3_Raw!$K$2:$K$391,$E844))</f>
        <v>0.36359999999999998</v>
      </c>
      <c r="P844" s="25">
        <f>IF(ISNUMBER($O844),$O844,ROUND(Lookups!$B$25+Lookups!$B$24*$N844,4))</f>
        <v>0.36359999999999998</v>
      </c>
      <c r="Q844" s="25">
        <f>IF($C844&gt;0,INDEX(Merge_1_2!$L$2:$L$611,$C844),INDEX(Dataset3_Raw!$L$2:$L$391,$E844))</f>
        <v>0.56999999999999995</v>
      </c>
      <c r="R844" s="25">
        <f>IF($C844&gt;0,INDEX(Merge_1_2!$M$2:$M$611,$C844),INDEX(Dataset3_Raw!$M$2:$M$391,$E844))</f>
        <v>8.9599999999999999E-2</v>
      </c>
      <c r="S844" s="23">
        <f>IF($C844&gt;0,INDEX(Merge_1_2!$N$2:$N$611,$C844),INDEX(Dataset3_Raw!$N$2:$N$391,$E844))</f>
        <v>10</v>
      </c>
      <c r="T844" s="23">
        <f>IF($C844&gt;0,INDEX(Merge_1_2!$O$2:$O$611,$C844),INDEX(Dataset3_Raw!$O$2:$O$391,$E844))</f>
        <v>54</v>
      </c>
      <c r="U844" s="23">
        <f>IF($C844&gt;0,INDEX(Merge_1_2!$P$2:$P$611,$C844),INDEX(Dataset3_Raw!$P$2:$P$391,$E844))</f>
        <v>64</v>
      </c>
      <c r="V844" s="23" t="str">
        <f t="shared" si="79"/>
        <v>Weekday</v>
      </c>
      <c r="W844" s="23" t="str">
        <f>VLOOKUP($M844,Lookups!$A$5:$B$8,2,FALSE())</f>
        <v>Mist / Cloudy</v>
      </c>
      <c r="X844" s="23" t="str">
        <f>VLOOKUP($G844,Lookups!$D$5:$E$8,2,FALSE())</f>
        <v>Winter</v>
      </c>
      <c r="Y844" s="23" t="str">
        <f>VLOOKUP($L844,Lookups!$G$5:$H$11,2,FALSE())</f>
        <v>Monday</v>
      </c>
      <c r="Z844" s="23" t="str">
        <f>IF($J844&lt;Lookups!$B$26,"Night",IF($J844&lt;Lookups!$B$27,"Morning",IF($J844&lt;Lookups!$B$28,"Afternoon","Evening")))</f>
        <v>Afternoon</v>
      </c>
      <c r="AA844" s="26">
        <f>ROUND($N844*(Lookups!$B$16-Lookups!$B$15)+Lookups!$B$15,1)</f>
        <v>8.9</v>
      </c>
      <c r="AB844" s="26">
        <f>ROUND($P844*(Lookups!$B$18-Lookups!$B$17)+Lookups!$B$17,1)</f>
        <v>8</v>
      </c>
      <c r="AC844" s="23">
        <f t="shared" si="80"/>
        <v>57</v>
      </c>
      <c r="AD844" s="23">
        <f>ROUND($R844*Lookups!$B$19,1)</f>
        <v>6</v>
      </c>
      <c r="AE844" s="27">
        <f t="shared" si="81"/>
        <v>0.84375</v>
      </c>
      <c r="AF844" s="23" t="str">
        <f>IF($U844&gt;=Lookups!$B$23,"High",IF($U844&gt;=Lookups!$B$22,"Medium","Low"))</f>
        <v>Medium</v>
      </c>
      <c r="AG844" s="23">
        <f>ROUND(IF($V844="Weekday",IF(INDEX(Hourly_Analysis!$D$5:$D$28,$J844+1)&gt;0,($U844-INDEX(Hourly_Analysis!$C$5:$C$28,$J844+1))/INDEX(Hourly_Analysis!$D$5:$D$28,$J844+1),0),IF(INDEX(Hourly_Analysis!$G$5:$G$28,$J844+1)&gt;0,($U844-INDEX(Hourly_Analysis!$F$5:$F$28,$J844+1))/INDEX(Hourly_Analysis!$G$5:$G$28,$J844+1),0)),2)</f>
        <v>-0.11</v>
      </c>
      <c r="AH844" s="23" t="str">
        <f>IF(ABS($AG844)&gt;Lookups!$B$20,IF($AG844&gt;0,"High anomaly","Low anomaly"),"")</f>
        <v/>
      </c>
      <c r="AI844" s="23" t="str">
        <f t="shared" si="82"/>
        <v>OK</v>
      </c>
      <c r="AJ844" s="23" t="str">
        <f t="shared" si="83"/>
        <v>No</v>
      </c>
    </row>
    <row r="845" spans="1:36" x14ac:dyDescent="0.35">
      <c r="A845" s="23">
        <v>844</v>
      </c>
      <c r="B845" s="23" t="str">
        <f t="shared" si="78"/>
        <v>Dataset 3</v>
      </c>
      <c r="C845" s="23">
        <f>IFERROR(MATCH($A845,Merge_1_2!$A$2:$A$611,0),0)</f>
        <v>0</v>
      </c>
      <c r="D845" s="23">
        <f>IF($C845&gt;0,INDEX(Merge_1_2!$Q$2:$Q$611,$C845),0)</f>
        <v>0</v>
      </c>
      <c r="E845" s="23">
        <f>IFERROR(MATCH($A845,Dataset3_Raw!$A$2:$A$391,0),0)</f>
        <v>234</v>
      </c>
      <c r="F845" s="24">
        <f>IF($C845&gt;0,INDEX(Merge_1_2!$B$2:$B$611,$C845),DATE(VALUE(RIGHT(INDEX(Dataset3_Raw!$B$2:$B$391,$E845),4)),VALUE(MID(INDEX(Dataset3_Raw!$B$2:$B$391,$E845),4,2)),VALUE(LEFT(INDEX(Dataset3_Raw!$B$2:$B$391,$E845),2))))</f>
        <v>40581</v>
      </c>
      <c r="G845" s="23">
        <f>IF($C845&gt;0,INDEX(Merge_1_2!$C$2:$C$611,$C845),INDEX(Dataset3_Raw!$C$2:$C$391,$E845))</f>
        <v>1</v>
      </c>
      <c r="H845" s="23">
        <f>IF($C845&gt;0,INDEX(Merge_1_2!$D$2:$D$611,$C845),INDEX(Dataset3_Raw!$D$2:$D$391,$E845))</f>
        <v>0</v>
      </c>
      <c r="I845" s="23">
        <f>IF($C845&gt;0,INDEX(Merge_1_2!$E$2:$E$611,$C845),INDEX(Dataset3_Raw!$E$2:$E$391,$E845))</f>
        <v>2</v>
      </c>
      <c r="J845" s="23">
        <f>IF($C845&gt;0,INDEX(Merge_1_2!$F$2:$F$611,$C845),INDEX(Dataset3_Raw!$F$2:$F$391,$E845))</f>
        <v>14</v>
      </c>
      <c r="K845" s="23" t="b">
        <f>IF($C845&gt;0,INDEX(Merge_1_2!$G$2:$G$611,$C845),INDEX(Dataset3_Raw!$G$2:$G$391,$E845))</f>
        <v>0</v>
      </c>
      <c r="L845" s="23">
        <f>IF($C845&gt;0,INDEX(Merge_1_2!$H$2:$H$611,$C845),INDEX(Dataset3_Raw!$H$2:$H$391,$E845))</f>
        <v>1</v>
      </c>
      <c r="M845" s="23">
        <f>IF($C845&gt;0,INDEX(Merge_1_2!$I$2:$I$611,$C845),INDEX(Dataset3_Raw!$I$2:$I$391,$E845))</f>
        <v>2</v>
      </c>
      <c r="N845" s="25">
        <f>IF($C845&gt;0,INDEX(Merge_1_2!$J$2:$J$611,$C845),INDEX(Dataset3_Raw!$J$2:$J$391,$E845))</f>
        <v>0.36</v>
      </c>
      <c r="O845" s="25">
        <f>IF($C845&gt;0,IF(ISNUMBER(INDEX(Merge_1_2!$K$2:$K$611,$C845)),INDEX(Merge_1_2!$K$2:$K$611,$C845),""),INDEX(Dataset3_Raw!$K$2:$K$391,$E845))</f>
        <v>0.36359999999999998</v>
      </c>
      <c r="P845" s="25">
        <f>IF(ISNUMBER($O845),$O845,ROUND(Lookups!$B$25+Lookups!$B$24*$N845,4))</f>
        <v>0.36359999999999998</v>
      </c>
      <c r="Q845" s="25">
        <f>IF($C845&gt;0,INDEX(Merge_1_2!$L$2:$L$611,$C845),INDEX(Dataset3_Raw!$L$2:$L$391,$E845))</f>
        <v>0.56999999999999995</v>
      </c>
      <c r="R845" s="25">
        <f>IF($C845&gt;0,INDEX(Merge_1_2!$M$2:$M$611,$C845),INDEX(Dataset3_Raw!$M$2:$M$391,$E845))</f>
        <v>8.9599999999999999E-2</v>
      </c>
      <c r="S845" s="23">
        <f>IF($C845&gt;0,INDEX(Merge_1_2!$N$2:$N$611,$C845),INDEX(Dataset3_Raw!$N$2:$N$391,$E845))</f>
        <v>8</v>
      </c>
      <c r="T845" s="23">
        <f>IF($C845&gt;0,INDEX(Merge_1_2!$O$2:$O$611,$C845),INDEX(Dataset3_Raw!$O$2:$O$391,$E845))</f>
        <v>52</v>
      </c>
      <c r="U845" s="23">
        <f>IF($C845&gt;0,INDEX(Merge_1_2!$P$2:$P$611,$C845),INDEX(Dataset3_Raw!$P$2:$P$391,$E845))</f>
        <v>60</v>
      </c>
      <c r="V845" s="23" t="str">
        <f t="shared" si="79"/>
        <v>Weekday</v>
      </c>
      <c r="W845" s="23" t="str">
        <f>VLOOKUP($M845,Lookups!$A$5:$B$8,2,FALSE())</f>
        <v>Mist / Cloudy</v>
      </c>
      <c r="X845" s="23" t="str">
        <f>VLOOKUP($G845,Lookups!$D$5:$E$8,2,FALSE())</f>
        <v>Winter</v>
      </c>
      <c r="Y845" s="23" t="str">
        <f>VLOOKUP($L845,Lookups!$G$5:$H$11,2,FALSE())</f>
        <v>Monday</v>
      </c>
      <c r="Z845" s="23" t="str">
        <f>IF($J845&lt;Lookups!$B$26,"Night",IF($J845&lt;Lookups!$B$27,"Morning",IF($J845&lt;Lookups!$B$28,"Afternoon","Evening")))</f>
        <v>Afternoon</v>
      </c>
      <c r="AA845" s="26">
        <f>ROUND($N845*(Lookups!$B$16-Lookups!$B$15)+Lookups!$B$15,1)</f>
        <v>8.9</v>
      </c>
      <c r="AB845" s="26">
        <f>ROUND($P845*(Lookups!$B$18-Lookups!$B$17)+Lookups!$B$17,1)</f>
        <v>8</v>
      </c>
      <c r="AC845" s="23">
        <f t="shared" si="80"/>
        <v>57</v>
      </c>
      <c r="AD845" s="23">
        <f>ROUND($R845*Lookups!$B$19,1)</f>
        <v>6</v>
      </c>
      <c r="AE845" s="27">
        <f t="shared" si="81"/>
        <v>0.8666666666666667</v>
      </c>
      <c r="AF845" s="23" t="str">
        <f>IF($U845&gt;=Lookups!$B$23,"High",IF($U845&gt;=Lookups!$B$22,"Medium","Low"))</f>
        <v>Medium</v>
      </c>
      <c r="AG845" s="23">
        <f>ROUND(IF($V845="Weekday",IF(INDEX(Hourly_Analysis!$D$5:$D$28,$J845+1)&gt;0,($U845-INDEX(Hourly_Analysis!$C$5:$C$28,$J845+1))/INDEX(Hourly_Analysis!$D$5:$D$28,$J845+1),0),IF(INDEX(Hourly_Analysis!$G$5:$G$28,$J845+1)&gt;0,($U845-INDEX(Hourly_Analysis!$F$5:$F$28,$J845+1))/INDEX(Hourly_Analysis!$G$5:$G$28,$J845+1),0)),2)</f>
        <v>0.02</v>
      </c>
      <c r="AH845" s="23" t="str">
        <f>IF(ABS($AG845)&gt;Lookups!$B$20,IF($AG845&gt;0,"High anomaly","Low anomaly"),"")</f>
        <v/>
      </c>
      <c r="AI845" s="23" t="str">
        <f t="shared" si="82"/>
        <v>OK</v>
      </c>
      <c r="AJ845" s="23" t="str">
        <f t="shared" si="83"/>
        <v>No</v>
      </c>
    </row>
    <row r="846" spans="1:36" x14ac:dyDescent="0.35">
      <c r="A846" s="23">
        <v>845</v>
      </c>
      <c r="B846" s="23" t="str">
        <f t="shared" si="78"/>
        <v>Dataset 3</v>
      </c>
      <c r="C846" s="23">
        <f>IFERROR(MATCH($A846,Merge_1_2!$A$2:$A$611,0),0)</f>
        <v>0</v>
      </c>
      <c r="D846" s="23">
        <f>IF($C846&gt;0,INDEX(Merge_1_2!$Q$2:$Q$611,$C846),0)</f>
        <v>0</v>
      </c>
      <c r="E846" s="23">
        <f>IFERROR(MATCH($A846,Dataset3_Raw!$A$2:$A$391,0),0)</f>
        <v>235</v>
      </c>
      <c r="F846" s="24">
        <f>IF($C846&gt;0,INDEX(Merge_1_2!$B$2:$B$611,$C846),DATE(VALUE(RIGHT(INDEX(Dataset3_Raw!$B$2:$B$391,$E846),4)),VALUE(MID(INDEX(Dataset3_Raw!$B$2:$B$391,$E846),4,2)),VALUE(LEFT(INDEX(Dataset3_Raw!$B$2:$B$391,$E846),2))))</f>
        <v>40581</v>
      </c>
      <c r="G846" s="23">
        <f>IF($C846&gt;0,INDEX(Merge_1_2!$C$2:$C$611,$C846),INDEX(Dataset3_Raw!$C$2:$C$391,$E846))</f>
        <v>1</v>
      </c>
      <c r="H846" s="23">
        <f>IF($C846&gt;0,INDEX(Merge_1_2!$D$2:$D$611,$C846),INDEX(Dataset3_Raw!$D$2:$D$391,$E846))</f>
        <v>0</v>
      </c>
      <c r="I846" s="23">
        <f>IF($C846&gt;0,INDEX(Merge_1_2!$E$2:$E$611,$C846),INDEX(Dataset3_Raw!$E$2:$E$391,$E846))</f>
        <v>2</v>
      </c>
      <c r="J846" s="23">
        <f>IF($C846&gt;0,INDEX(Merge_1_2!$F$2:$F$611,$C846),INDEX(Dataset3_Raw!$F$2:$F$391,$E846))</f>
        <v>15</v>
      </c>
      <c r="K846" s="23" t="b">
        <f>IF($C846&gt;0,INDEX(Merge_1_2!$G$2:$G$611,$C846),INDEX(Dataset3_Raw!$G$2:$G$391,$E846))</f>
        <v>0</v>
      </c>
      <c r="L846" s="23">
        <f>IF($C846&gt;0,INDEX(Merge_1_2!$H$2:$H$611,$C846),INDEX(Dataset3_Raw!$H$2:$H$391,$E846))</f>
        <v>1</v>
      </c>
      <c r="M846" s="23">
        <f>IF($C846&gt;0,INDEX(Merge_1_2!$I$2:$I$611,$C846),INDEX(Dataset3_Raw!$I$2:$I$391,$E846))</f>
        <v>2</v>
      </c>
      <c r="N846" s="25">
        <f>IF($C846&gt;0,INDEX(Merge_1_2!$J$2:$J$611,$C846),INDEX(Dataset3_Raw!$J$2:$J$391,$E846))</f>
        <v>0.38</v>
      </c>
      <c r="O846" s="25">
        <f>IF($C846&gt;0,IF(ISNUMBER(INDEX(Merge_1_2!$K$2:$K$611,$C846)),INDEX(Merge_1_2!$K$2:$K$611,$C846),""),INDEX(Dataset3_Raw!$K$2:$K$391,$E846))</f>
        <v>0.39389999999999997</v>
      </c>
      <c r="P846" s="25">
        <f>IF(ISNUMBER($O846),$O846,ROUND(Lookups!$B$25+Lookups!$B$24*$N846,4))</f>
        <v>0.39389999999999997</v>
      </c>
      <c r="Q846" s="25">
        <f>IF($C846&gt;0,INDEX(Merge_1_2!$L$2:$L$611,$C846),INDEX(Dataset3_Raw!$L$2:$L$391,$E846))</f>
        <v>0.54</v>
      </c>
      <c r="R846" s="25">
        <f>IF($C846&gt;0,INDEX(Merge_1_2!$M$2:$M$611,$C846),INDEX(Dataset3_Raw!$M$2:$M$391,$E846))</f>
        <v>8.9599999999999999E-2</v>
      </c>
      <c r="S846" s="23">
        <f>IF($C846&gt;0,INDEX(Merge_1_2!$N$2:$N$611,$C846),INDEX(Dataset3_Raw!$N$2:$N$391,$E846))</f>
        <v>4</v>
      </c>
      <c r="T846" s="23">
        <f>IF($C846&gt;0,INDEX(Merge_1_2!$O$2:$O$611,$C846),INDEX(Dataset3_Raw!$O$2:$O$391,$E846))</f>
        <v>46</v>
      </c>
      <c r="U846" s="23">
        <f>IF($C846&gt;0,INDEX(Merge_1_2!$P$2:$P$611,$C846),INDEX(Dataset3_Raw!$P$2:$P$391,$E846))</f>
        <v>50</v>
      </c>
      <c r="V846" s="23" t="str">
        <f t="shared" si="79"/>
        <v>Weekday</v>
      </c>
      <c r="W846" s="23" t="str">
        <f>VLOOKUP($M846,Lookups!$A$5:$B$8,2,FALSE())</f>
        <v>Mist / Cloudy</v>
      </c>
      <c r="X846" s="23" t="str">
        <f>VLOOKUP($G846,Lookups!$D$5:$E$8,2,FALSE())</f>
        <v>Winter</v>
      </c>
      <c r="Y846" s="23" t="str">
        <f>VLOOKUP($L846,Lookups!$G$5:$H$11,2,FALSE())</f>
        <v>Monday</v>
      </c>
      <c r="Z846" s="23" t="str">
        <f>IF($J846&lt;Lookups!$B$26,"Night",IF($J846&lt;Lookups!$B$27,"Morning",IF($J846&lt;Lookups!$B$28,"Afternoon","Evening")))</f>
        <v>Afternoon</v>
      </c>
      <c r="AA846" s="26">
        <f>ROUND($N846*(Lookups!$B$16-Lookups!$B$15)+Lookups!$B$15,1)</f>
        <v>9.9</v>
      </c>
      <c r="AB846" s="26">
        <f>ROUND($P846*(Lookups!$B$18-Lookups!$B$17)+Lookups!$B$17,1)</f>
        <v>10</v>
      </c>
      <c r="AC846" s="23">
        <f t="shared" si="80"/>
        <v>54</v>
      </c>
      <c r="AD846" s="23">
        <f>ROUND($R846*Lookups!$B$19,1)</f>
        <v>6</v>
      </c>
      <c r="AE846" s="27">
        <f t="shared" si="81"/>
        <v>0.92</v>
      </c>
      <c r="AF846" s="23" t="str">
        <f>IF($U846&gt;=Lookups!$B$23,"High",IF($U846&gt;=Lookups!$B$22,"Medium","Low"))</f>
        <v>Medium</v>
      </c>
      <c r="AG846" s="23">
        <f>ROUND(IF($V846="Weekday",IF(INDEX(Hourly_Analysis!$D$5:$D$28,$J846+1)&gt;0,($U846-INDEX(Hourly_Analysis!$C$5:$C$28,$J846+1))/INDEX(Hourly_Analysis!$D$5:$D$28,$J846+1),0),IF(INDEX(Hourly_Analysis!$G$5:$G$28,$J846+1)&gt;0,($U846-INDEX(Hourly_Analysis!$F$5:$F$28,$J846+1))/INDEX(Hourly_Analysis!$G$5:$G$28,$J846+1),0)),2)</f>
        <v>-0.74</v>
      </c>
      <c r="AH846" s="23" t="str">
        <f>IF(ABS($AG846)&gt;Lookups!$B$20,IF($AG846&gt;0,"High anomaly","Low anomaly"),"")</f>
        <v/>
      </c>
      <c r="AI846" s="23" t="str">
        <f t="shared" si="82"/>
        <v>OK</v>
      </c>
      <c r="AJ846" s="23" t="str">
        <f t="shared" si="83"/>
        <v>No</v>
      </c>
    </row>
    <row r="847" spans="1:36" x14ac:dyDescent="0.35">
      <c r="A847" s="23">
        <v>846</v>
      </c>
      <c r="B847" s="23" t="str">
        <f t="shared" si="78"/>
        <v>Dataset 3</v>
      </c>
      <c r="C847" s="23">
        <f>IFERROR(MATCH($A847,Merge_1_2!$A$2:$A$611,0),0)</f>
        <v>0</v>
      </c>
      <c r="D847" s="23">
        <f>IF($C847&gt;0,INDEX(Merge_1_2!$Q$2:$Q$611,$C847),0)</f>
        <v>0</v>
      </c>
      <c r="E847" s="23">
        <f>IFERROR(MATCH($A847,Dataset3_Raw!$A$2:$A$391,0),0)</f>
        <v>236</v>
      </c>
      <c r="F847" s="24">
        <f>IF($C847&gt;0,INDEX(Merge_1_2!$B$2:$B$611,$C847),DATE(VALUE(RIGHT(INDEX(Dataset3_Raw!$B$2:$B$391,$E847),4)),VALUE(MID(INDEX(Dataset3_Raw!$B$2:$B$391,$E847),4,2)),VALUE(LEFT(INDEX(Dataset3_Raw!$B$2:$B$391,$E847),2))))</f>
        <v>40581</v>
      </c>
      <c r="G847" s="23">
        <f>IF($C847&gt;0,INDEX(Merge_1_2!$C$2:$C$611,$C847),INDEX(Dataset3_Raw!$C$2:$C$391,$E847))</f>
        <v>1</v>
      </c>
      <c r="H847" s="23">
        <f>IF($C847&gt;0,INDEX(Merge_1_2!$D$2:$D$611,$C847),INDEX(Dataset3_Raw!$D$2:$D$391,$E847))</f>
        <v>0</v>
      </c>
      <c r="I847" s="23">
        <f>IF($C847&gt;0,INDEX(Merge_1_2!$E$2:$E$611,$C847),INDEX(Dataset3_Raw!$E$2:$E$391,$E847))</f>
        <v>2</v>
      </c>
      <c r="J847" s="23">
        <f>IF($C847&gt;0,INDEX(Merge_1_2!$F$2:$F$611,$C847),INDEX(Dataset3_Raw!$F$2:$F$391,$E847))</f>
        <v>16</v>
      </c>
      <c r="K847" s="23" t="b">
        <f>IF($C847&gt;0,INDEX(Merge_1_2!$G$2:$G$611,$C847),INDEX(Dataset3_Raw!$G$2:$G$391,$E847))</f>
        <v>0</v>
      </c>
      <c r="L847" s="23">
        <f>IF($C847&gt;0,INDEX(Merge_1_2!$H$2:$H$611,$C847),INDEX(Dataset3_Raw!$H$2:$H$391,$E847))</f>
        <v>1</v>
      </c>
      <c r="M847" s="23">
        <f>IF($C847&gt;0,INDEX(Merge_1_2!$I$2:$I$611,$C847),INDEX(Dataset3_Raw!$I$2:$I$391,$E847))</f>
        <v>2</v>
      </c>
      <c r="N847" s="25">
        <f>IF($C847&gt;0,INDEX(Merge_1_2!$J$2:$J$611,$C847),INDEX(Dataset3_Raw!$J$2:$J$391,$E847))</f>
        <v>0.36</v>
      </c>
      <c r="O847" s="25">
        <f>IF($C847&gt;0,IF(ISNUMBER(INDEX(Merge_1_2!$K$2:$K$611,$C847)),INDEX(Merge_1_2!$K$2:$K$611,$C847),""),INDEX(Dataset3_Raw!$K$2:$K$391,$E847))</f>
        <v>0.34849999999999998</v>
      </c>
      <c r="P847" s="25">
        <f>IF(ISNUMBER($O847),$O847,ROUND(Lookups!$B$25+Lookups!$B$24*$N847,4))</f>
        <v>0.34849999999999998</v>
      </c>
      <c r="Q847" s="25">
        <f>IF($C847&gt;0,INDEX(Merge_1_2!$L$2:$L$611,$C847),INDEX(Dataset3_Raw!$L$2:$L$391,$E847))</f>
        <v>0.56999999999999995</v>
      </c>
      <c r="R847" s="25">
        <f>IF($C847&gt;0,INDEX(Merge_1_2!$M$2:$M$611,$C847),INDEX(Dataset3_Raw!$M$2:$M$391,$E847))</f>
        <v>0.1343</v>
      </c>
      <c r="S847" s="23">
        <f>IF($C847&gt;0,INDEX(Merge_1_2!$N$2:$N$611,$C847),INDEX(Dataset3_Raw!$N$2:$N$391,$E847))</f>
        <v>16</v>
      </c>
      <c r="T847" s="23">
        <f>IF($C847&gt;0,INDEX(Merge_1_2!$O$2:$O$611,$C847),INDEX(Dataset3_Raw!$O$2:$O$391,$E847))</f>
        <v>98</v>
      </c>
      <c r="U847" s="23">
        <f>IF($C847&gt;0,INDEX(Merge_1_2!$P$2:$P$611,$C847),INDEX(Dataset3_Raw!$P$2:$P$391,$E847))</f>
        <v>114</v>
      </c>
      <c r="V847" s="23" t="str">
        <f t="shared" si="79"/>
        <v>Weekday</v>
      </c>
      <c r="W847" s="23" t="str">
        <f>VLOOKUP($M847,Lookups!$A$5:$B$8,2,FALSE())</f>
        <v>Mist / Cloudy</v>
      </c>
      <c r="X847" s="23" t="str">
        <f>VLOOKUP($G847,Lookups!$D$5:$E$8,2,FALSE())</f>
        <v>Winter</v>
      </c>
      <c r="Y847" s="23" t="str">
        <f>VLOOKUP($L847,Lookups!$G$5:$H$11,2,FALSE())</f>
        <v>Monday</v>
      </c>
      <c r="Z847" s="23" t="str">
        <f>IF($J847&lt;Lookups!$B$26,"Night",IF($J847&lt;Lookups!$B$27,"Morning",IF($J847&lt;Lookups!$B$28,"Afternoon","Evening")))</f>
        <v>Afternoon</v>
      </c>
      <c r="AA847" s="26">
        <f>ROUND($N847*(Lookups!$B$16-Lookups!$B$15)+Lookups!$B$15,1)</f>
        <v>8.9</v>
      </c>
      <c r="AB847" s="26">
        <f>ROUND($P847*(Lookups!$B$18-Lookups!$B$17)+Lookups!$B$17,1)</f>
        <v>7</v>
      </c>
      <c r="AC847" s="23">
        <f t="shared" si="80"/>
        <v>57</v>
      </c>
      <c r="AD847" s="23">
        <f>ROUND($R847*Lookups!$B$19,1)</f>
        <v>9</v>
      </c>
      <c r="AE847" s="27">
        <f t="shared" si="81"/>
        <v>0.85964912280701755</v>
      </c>
      <c r="AF847" s="23" t="str">
        <f>IF($U847&gt;=Lookups!$B$23,"High",IF($U847&gt;=Lookups!$B$22,"Medium","Low"))</f>
        <v>High</v>
      </c>
      <c r="AG847" s="23">
        <f>ROUND(IF($V847="Weekday",IF(INDEX(Hourly_Analysis!$D$5:$D$28,$J847+1)&gt;0,($U847-INDEX(Hourly_Analysis!$C$5:$C$28,$J847+1))/INDEX(Hourly_Analysis!$D$5:$D$28,$J847+1),0),IF(INDEX(Hourly_Analysis!$G$5:$G$28,$J847+1)&gt;0,($U847-INDEX(Hourly_Analysis!$F$5:$F$28,$J847+1))/INDEX(Hourly_Analysis!$G$5:$G$28,$J847+1),0)),2)</f>
        <v>1.48</v>
      </c>
      <c r="AH847" s="23" t="str">
        <f>IF(ABS($AG847)&gt;Lookups!$B$20,IF($AG847&gt;0,"High anomaly","Low anomaly"),"")</f>
        <v/>
      </c>
      <c r="AI847" s="23" t="str">
        <f t="shared" si="82"/>
        <v>OK</v>
      </c>
      <c r="AJ847" s="23" t="str">
        <f t="shared" si="83"/>
        <v>No</v>
      </c>
    </row>
    <row r="848" spans="1:36" x14ac:dyDescent="0.35">
      <c r="A848" s="23">
        <v>847</v>
      </c>
      <c r="B848" s="23" t="str">
        <f t="shared" si="78"/>
        <v>Dataset 3</v>
      </c>
      <c r="C848" s="23">
        <f>IFERROR(MATCH($A848,Merge_1_2!$A$2:$A$611,0),0)</f>
        <v>0</v>
      </c>
      <c r="D848" s="23">
        <f>IF($C848&gt;0,INDEX(Merge_1_2!$Q$2:$Q$611,$C848),0)</f>
        <v>0</v>
      </c>
      <c r="E848" s="23">
        <f>IFERROR(MATCH($A848,Dataset3_Raw!$A$2:$A$391,0),0)</f>
        <v>237</v>
      </c>
      <c r="F848" s="24">
        <f>IF($C848&gt;0,INDEX(Merge_1_2!$B$2:$B$611,$C848),DATE(VALUE(RIGHT(INDEX(Dataset3_Raw!$B$2:$B$391,$E848),4)),VALUE(MID(INDEX(Dataset3_Raw!$B$2:$B$391,$E848),4,2)),VALUE(LEFT(INDEX(Dataset3_Raw!$B$2:$B$391,$E848),2))))</f>
        <v>40581</v>
      </c>
      <c r="G848" s="23">
        <f>IF($C848&gt;0,INDEX(Merge_1_2!$C$2:$C$611,$C848),INDEX(Dataset3_Raw!$C$2:$C$391,$E848))</f>
        <v>1</v>
      </c>
      <c r="H848" s="23">
        <f>IF($C848&gt;0,INDEX(Merge_1_2!$D$2:$D$611,$C848),INDEX(Dataset3_Raw!$D$2:$D$391,$E848))</f>
        <v>0</v>
      </c>
      <c r="I848" s="23">
        <f>IF($C848&gt;0,INDEX(Merge_1_2!$E$2:$E$611,$C848),INDEX(Dataset3_Raw!$E$2:$E$391,$E848))</f>
        <v>2</v>
      </c>
      <c r="J848" s="23">
        <f>IF($C848&gt;0,INDEX(Merge_1_2!$F$2:$F$611,$C848),INDEX(Dataset3_Raw!$F$2:$F$391,$E848))</f>
        <v>17</v>
      </c>
      <c r="K848" s="23" t="b">
        <f>IF($C848&gt;0,INDEX(Merge_1_2!$G$2:$G$611,$C848),INDEX(Dataset3_Raw!$G$2:$G$391,$E848))</f>
        <v>0</v>
      </c>
      <c r="L848" s="23">
        <f>IF($C848&gt;0,INDEX(Merge_1_2!$H$2:$H$611,$C848),INDEX(Dataset3_Raw!$H$2:$H$391,$E848))</f>
        <v>1</v>
      </c>
      <c r="M848" s="23">
        <f>IF($C848&gt;0,INDEX(Merge_1_2!$I$2:$I$611,$C848),INDEX(Dataset3_Raw!$I$2:$I$391,$E848))</f>
        <v>2</v>
      </c>
      <c r="N848" s="25">
        <f>IF($C848&gt;0,INDEX(Merge_1_2!$J$2:$J$611,$C848),INDEX(Dataset3_Raw!$J$2:$J$391,$E848))</f>
        <v>0.32</v>
      </c>
      <c r="O848" s="25">
        <f>IF($C848&gt;0,IF(ISNUMBER(INDEX(Merge_1_2!$K$2:$K$611,$C848)),INDEX(Merge_1_2!$K$2:$K$611,$C848),""),INDEX(Dataset3_Raw!$K$2:$K$391,$E848))</f>
        <v>0.31819999999999998</v>
      </c>
      <c r="P848" s="25">
        <f>IF(ISNUMBER($O848),$O848,ROUND(Lookups!$B$25+Lookups!$B$24*$N848,4))</f>
        <v>0.31819999999999998</v>
      </c>
      <c r="Q848" s="25">
        <f>IF($C848&gt;0,INDEX(Merge_1_2!$L$2:$L$611,$C848),INDEX(Dataset3_Raw!$L$2:$L$391,$E848))</f>
        <v>0.7</v>
      </c>
      <c r="R848" s="25">
        <f>IF($C848&gt;0,INDEX(Merge_1_2!$M$2:$M$611,$C848),INDEX(Dataset3_Raw!$M$2:$M$391,$E848))</f>
        <v>0.16420000000000001</v>
      </c>
      <c r="S848" s="23">
        <f>IF($C848&gt;0,INDEX(Merge_1_2!$N$2:$N$611,$C848),INDEX(Dataset3_Raw!$N$2:$N$391,$E848))</f>
        <v>9</v>
      </c>
      <c r="T848" s="23">
        <f>IF($C848&gt;0,INDEX(Merge_1_2!$O$2:$O$611,$C848),INDEX(Dataset3_Raw!$O$2:$O$391,$E848))</f>
        <v>207</v>
      </c>
      <c r="U848" s="23">
        <f>IF($C848&gt;0,INDEX(Merge_1_2!$P$2:$P$611,$C848),INDEX(Dataset3_Raw!$P$2:$P$391,$E848))</f>
        <v>216</v>
      </c>
      <c r="V848" s="23" t="str">
        <f t="shared" si="79"/>
        <v>Weekday</v>
      </c>
      <c r="W848" s="23" t="str">
        <f>VLOOKUP($M848,Lookups!$A$5:$B$8,2,FALSE())</f>
        <v>Mist / Cloudy</v>
      </c>
      <c r="X848" s="23" t="str">
        <f>VLOOKUP($G848,Lookups!$D$5:$E$8,2,FALSE())</f>
        <v>Winter</v>
      </c>
      <c r="Y848" s="23" t="str">
        <f>VLOOKUP($L848,Lookups!$G$5:$H$11,2,FALSE())</f>
        <v>Monday</v>
      </c>
      <c r="Z848" s="23" t="str">
        <f>IF($J848&lt;Lookups!$B$26,"Night",IF($J848&lt;Lookups!$B$27,"Morning",IF($J848&lt;Lookups!$B$28,"Afternoon","Evening")))</f>
        <v>Afternoon</v>
      </c>
      <c r="AA848" s="26">
        <f>ROUND($N848*(Lookups!$B$16-Lookups!$B$15)+Lookups!$B$15,1)</f>
        <v>7</v>
      </c>
      <c r="AB848" s="26">
        <f>ROUND($P848*(Lookups!$B$18-Lookups!$B$17)+Lookups!$B$17,1)</f>
        <v>5</v>
      </c>
      <c r="AC848" s="23">
        <f t="shared" si="80"/>
        <v>70</v>
      </c>
      <c r="AD848" s="23">
        <f>ROUND($R848*Lookups!$B$19,1)</f>
        <v>11</v>
      </c>
      <c r="AE848" s="27">
        <f t="shared" si="81"/>
        <v>0.95833333333333337</v>
      </c>
      <c r="AF848" s="23" t="str">
        <f>IF($U848&gt;=Lookups!$B$23,"High",IF($U848&gt;=Lookups!$B$22,"Medium","Low"))</f>
        <v>High</v>
      </c>
      <c r="AG848" s="23">
        <f>ROUND(IF($V848="Weekday",IF(INDEX(Hourly_Analysis!$D$5:$D$28,$J848+1)&gt;0,($U848-INDEX(Hourly_Analysis!$C$5:$C$28,$J848+1))/INDEX(Hourly_Analysis!$D$5:$D$28,$J848+1),0),IF(INDEX(Hourly_Analysis!$G$5:$G$28,$J848+1)&gt;0,($U848-INDEX(Hourly_Analysis!$F$5:$F$28,$J848+1))/INDEX(Hourly_Analysis!$G$5:$G$28,$J848+1),0)),2)</f>
        <v>1.1499999999999999</v>
      </c>
      <c r="AH848" s="23" t="str">
        <f>IF(ABS($AG848)&gt;Lookups!$B$20,IF($AG848&gt;0,"High anomaly","Low anomaly"),"")</f>
        <v/>
      </c>
      <c r="AI848" s="23" t="str">
        <f t="shared" si="82"/>
        <v>OK</v>
      </c>
      <c r="AJ848" s="23" t="str">
        <f t="shared" si="83"/>
        <v>No</v>
      </c>
    </row>
    <row r="849" spans="1:36" x14ac:dyDescent="0.35">
      <c r="A849" s="23">
        <v>848</v>
      </c>
      <c r="B849" s="23" t="str">
        <f t="shared" si="78"/>
        <v>Dataset 3</v>
      </c>
      <c r="C849" s="23">
        <f>IFERROR(MATCH($A849,Merge_1_2!$A$2:$A$611,0),0)</f>
        <v>0</v>
      </c>
      <c r="D849" s="23">
        <f>IF($C849&gt;0,INDEX(Merge_1_2!$Q$2:$Q$611,$C849),0)</f>
        <v>0</v>
      </c>
      <c r="E849" s="23">
        <f>IFERROR(MATCH($A849,Dataset3_Raw!$A$2:$A$391,0),0)</f>
        <v>238</v>
      </c>
      <c r="F849" s="24">
        <f>IF($C849&gt;0,INDEX(Merge_1_2!$B$2:$B$611,$C849),DATE(VALUE(RIGHT(INDEX(Dataset3_Raw!$B$2:$B$391,$E849),4)),VALUE(MID(INDEX(Dataset3_Raw!$B$2:$B$391,$E849),4,2)),VALUE(LEFT(INDEX(Dataset3_Raw!$B$2:$B$391,$E849),2))))</f>
        <v>40581</v>
      </c>
      <c r="G849" s="23">
        <f>IF($C849&gt;0,INDEX(Merge_1_2!$C$2:$C$611,$C849),INDEX(Dataset3_Raw!$C$2:$C$391,$E849))</f>
        <v>1</v>
      </c>
      <c r="H849" s="23">
        <f>IF($C849&gt;0,INDEX(Merge_1_2!$D$2:$D$611,$C849),INDEX(Dataset3_Raw!$D$2:$D$391,$E849))</f>
        <v>0</v>
      </c>
      <c r="I849" s="23">
        <f>IF($C849&gt;0,INDEX(Merge_1_2!$E$2:$E$611,$C849),INDEX(Dataset3_Raw!$E$2:$E$391,$E849))</f>
        <v>2</v>
      </c>
      <c r="J849" s="23">
        <f>IF($C849&gt;0,INDEX(Merge_1_2!$F$2:$F$611,$C849),INDEX(Dataset3_Raw!$F$2:$F$391,$E849))</f>
        <v>18</v>
      </c>
      <c r="K849" s="23" t="b">
        <f>IF($C849&gt;0,INDEX(Merge_1_2!$G$2:$G$611,$C849),INDEX(Dataset3_Raw!$G$2:$G$391,$E849))</f>
        <v>0</v>
      </c>
      <c r="L849" s="23">
        <f>IF($C849&gt;0,INDEX(Merge_1_2!$H$2:$H$611,$C849),INDEX(Dataset3_Raw!$H$2:$H$391,$E849))</f>
        <v>1</v>
      </c>
      <c r="M849" s="23">
        <f>IF($C849&gt;0,INDEX(Merge_1_2!$I$2:$I$611,$C849),INDEX(Dataset3_Raw!$I$2:$I$391,$E849))</f>
        <v>2</v>
      </c>
      <c r="N849" s="25">
        <f>IF($C849&gt;0,INDEX(Merge_1_2!$J$2:$J$611,$C849),INDEX(Dataset3_Raw!$J$2:$J$391,$E849))</f>
        <v>0.34</v>
      </c>
      <c r="O849" s="25">
        <f>IF($C849&gt;0,IF(ISNUMBER(INDEX(Merge_1_2!$K$2:$K$611,$C849)),INDEX(Merge_1_2!$K$2:$K$611,$C849),""),INDEX(Dataset3_Raw!$K$2:$K$391,$E849))</f>
        <v>0.33329999999999999</v>
      </c>
      <c r="P849" s="25">
        <f>IF(ISNUMBER($O849),$O849,ROUND(Lookups!$B$25+Lookups!$B$24*$N849,4))</f>
        <v>0.33329999999999999</v>
      </c>
      <c r="Q849" s="25">
        <f>IF($C849&gt;0,INDEX(Merge_1_2!$L$2:$L$611,$C849),INDEX(Dataset3_Raw!$L$2:$L$391,$E849))</f>
        <v>0.66</v>
      </c>
      <c r="R849" s="25">
        <f>IF($C849&gt;0,INDEX(Merge_1_2!$M$2:$M$611,$C849),INDEX(Dataset3_Raw!$M$2:$M$391,$E849))</f>
        <v>0.1343</v>
      </c>
      <c r="S849" s="23">
        <f>IF($C849&gt;0,INDEX(Merge_1_2!$N$2:$N$611,$C849),INDEX(Dataset3_Raw!$N$2:$N$391,$E849))</f>
        <v>5</v>
      </c>
      <c r="T849" s="23">
        <f>IF($C849&gt;0,INDEX(Merge_1_2!$O$2:$O$611,$C849),INDEX(Dataset3_Raw!$O$2:$O$391,$E849))</f>
        <v>170</v>
      </c>
      <c r="U849" s="23">
        <f>IF($C849&gt;0,INDEX(Merge_1_2!$P$2:$P$611,$C849),INDEX(Dataset3_Raw!$P$2:$P$391,$E849))</f>
        <v>175</v>
      </c>
      <c r="V849" s="23" t="str">
        <f t="shared" si="79"/>
        <v>Weekday</v>
      </c>
      <c r="W849" s="23" t="str">
        <f>VLOOKUP($M849,Lookups!$A$5:$B$8,2,FALSE())</f>
        <v>Mist / Cloudy</v>
      </c>
      <c r="X849" s="23" t="str">
        <f>VLOOKUP($G849,Lookups!$D$5:$E$8,2,FALSE())</f>
        <v>Winter</v>
      </c>
      <c r="Y849" s="23" t="str">
        <f>VLOOKUP($L849,Lookups!$G$5:$H$11,2,FALSE())</f>
        <v>Monday</v>
      </c>
      <c r="Z849" s="23" t="str">
        <f>IF($J849&lt;Lookups!$B$26,"Night",IF($J849&lt;Lookups!$B$27,"Morning",IF($J849&lt;Lookups!$B$28,"Afternoon","Evening")))</f>
        <v>Evening</v>
      </c>
      <c r="AA849" s="26">
        <f>ROUND($N849*(Lookups!$B$16-Lookups!$B$15)+Lookups!$B$15,1)</f>
        <v>8</v>
      </c>
      <c r="AB849" s="26">
        <f>ROUND($P849*(Lookups!$B$18-Lookups!$B$17)+Lookups!$B$17,1)</f>
        <v>6</v>
      </c>
      <c r="AC849" s="23">
        <f t="shared" si="80"/>
        <v>66</v>
      </c>
      <c r="AD849" s="23">
        <f>ROUND($R849*Lookups!$B$19,1)</f>
        <v>9</v>
      </c>
      <c r="AE849" s="27">
        <f t="shared" si="81"/>
        <v>0.97142857142857142</v>
      </c>
      <c r="AF849" s="23" t="str">
        <f>IF($U849&gt;=Lookups!$B$23,"High",IF($U849&gt;=Lookups!$B$22,"Medium","Low"))</f>
        <v>High</v>
      </c>
      <c r="AG849" s="23">
        <f>ROUND(IF($V849="Weekday",IF(INDEX(Hourly_Analysis!$D$5:$D$28,$J849+1)&gt;0,($U849-INDEX(Hourly_Analysis!$C$5:$C$28,$J849+1))/INDEX(Hourly_Analysis!$D$5:$D$28,$J849+1),0),IF(INDEX(Hourly_Analysis!$G$5:$G$28,$J849+1)&gt;0,($U849-INDEX(Hourly_Analysis!$F$5:$F$28,$J849+1))/INDEX(Hourly_Analysis!$G$5:$G$28,$J849+1),0)),2)</f>
        <v>0.79</v>
      </c>
      <c r="AH849" s="23" t="str">
        <f>IF(ABS($AG849)&gt;Lookups!$B$20,IF($AG849&gt;0,"High anomaly","Low anomaly"),"")</f>
        <v/>
      </c>
      <c r="AI849" s="23" t="str">
        <f t="shared" si="82"/>
        <v>OK</v>
      </c>
      <c r="AJ849" s="23" t="str">
        <f t="shared" si="83"/>
        <v>No</v>
      </c>
    </row>
    <row r="850" spans="1:36" x14ac:dyDescent="0.35">
      <c r="A850" s="23">
        <v>849</v>
      </c>
      <c r="B850" s="23" t="str">
        <f t="shared" si="78"/>
        <v>Dataset 3</v>
      </c>
      <c r="C850" s="23">
        <f>IFERROR(MATCH($A850,Merge_1_2!$A$2:$A$611,0),0)</f>
        <v>0</v>
      </c>
      <c r="D850" s="23">
        <f>IF($C850&gt;0,INDEX(Merge_1_2!$Q$2:$Q$611,$C850),0)</f>
        <v>0</v>
      </c>
      <c r="E850" s="23">
        <f>IFERROR(MATCH($A850,Dataset3_Raw!$A$2:$A$391,0),0)</f>
        <v>239</v>
      </c>
      <c r="F850" s="24">
        <f>IF($C850&gt;0,INDEX(Merge_1_2!$B$2:$B$611,$C850),DATE(VALUE(RIGHT(INDEX(Dataset3_Raw!$B$2:$B$391,$E850),4)),VALUE(MID(INDEX(Dataset3_Raw!$B$2:$B$391,$E850),4,2)),VALUE(LEFT(INDEX(Dataset3_Raw!$B$2:$B$391,$E850),2))))</f>
        <v>40581</v>
      </c>
      <c r="G850" s="23">
        <f>IF($C850&gt;0,INDEX(Merge_1_2!$C$2:$C$611,$C850),INDEX(Dataset3_Raw!$C$2:$C$391,$E850))</f>
        <v>1</v>
      </c>
      <c r="H850" s="23">
        <f>IF($C850&gt;0,INDEX(Merge_1_2!$D$2:$D$611,$C850),INDEX(Dataset3_Raw!$D$2:$D$391,$E850))</f>
        <v>0</v>
      </c>
      <c r="I850" s="23">
        <f>IF($C850&gt;0,INDEX(Merge_1_2!$E$2:$E$611,$C850),INDEX(Dataset3_Raw!$E$2:$E$391,$E850))</f>
        <v>2</v>
      </c>
      <c r="J850" s="23">
        <f>IF($C850&gt;0,INDEX(Merge_1_2!$F$2:$F$611,$C850),INDEX(Dataset3_Raw!$F$2:$F$391,$E850))</f>
        <v>19</v>
      </c>
      <c r="K850" s="23" t="b">
        <f>IF($C850&gt;0,INDEX(Merge_1_2!$G$2:$G$611,$C850),INDEX(Dataset3_Raw!$G$2:$G$391,$E850))</f>
        <v>0</v>
      </c>
      <c r="L850" s="23">
        <f>IF($C850&gt;0,INDEX(Merge_1_2!$H$2:$H$611,$C850),INDEX(Dataset3_Raw!$H$2:$H$391,$E850))</f>
        <v>1</v>
      </c>
      <c r="M850" s="23">
        <f>IF($C850&gt;0,INDEX(Merge_1_2!$I$2:$I$611,$C850),INDEX(Dataset3_Raw!$I$2:$I$391,$E850))</f>
        <v>2</v>
      </c>
      <c r="N850" s="25">
        <f>IF($C850&gt;0,INDEX(Merge_1_2!$J$2:$J$611,$C850),INDEX(Dataset3_Raw!$J$2:$J$391,$E850))</f>
        <v>0.32</v>
      </c>
      <c r="O850" s="25">
        <f>IF($C850&gt;0,IF(ISNUMBER(INDEX(Merge_1_2!$K$2:$K$611,$C850)),INDEX(Merge_1_2!$K$2:$K$611,$C850),""),INDEX(Dataset3_Raw!$K$2:$K$391,$E850))</f>
        <v>0.34849999999999998</v>
      </c>
      <c r="P850" s="25">
        <f>IF(ISNUMBER($O850),$O850,ROUND(Lookups!$B$25+Lookups!$B$24*$N850,4))</f>
        <v>0.34849999999999998</v>
      </c>
      <c r="Q850" s="25">
        <f>IF($C850&gt;0,INDEX(Merge_1_2!$L$2:$L$611,$C850),INDEX(Dataset3_Raw!$L$2:$L$391,$E850))</f>
        <v>0.7</v>
      </c>
      <c r="R850" s="25">
        <f>IF($C850&gt;0,INDEX(Merge_1_2!$M$2:$M$611,$C850),INDEX(Dataset3_Raw!$M$2:$M$391,$E850))</f>
        <v>0</v>
      </c>
      <c r="S850" s="23">
        <f>IF($C850&gt;0,INDEX(Merge_1_2!$N$2:$N$611,$C850),INDEX(Dataset3_Raw!$N$2:$N$391,$E850))</f>
        <v>5</v>
      </c>
      <c r="T850" s="23">
        <f>IF($C850&gt;0,INDEX(Merge_1_2!$O$2:$O$611,$C850),INDEX(Dataset3_Raw!$O$2:$O$391,$E850))</f>
        <v>123</v>
      </c>
      <c r="U850" s="23">
        <f>IF($C850&gt;0,INDEX(Merge_1_2!$P$2:$P$611,$C850),INDEX(Dataset3_Raw!$P$2:$P$391,$E850))</f>
        <v>128</v>
      </c>
      <c r="V850" s="23" t="str">
        <f t="shared" si="79"/>
        <v>Weekday</v>
      </c>
      <c r="W850" s="23" t="str">
        <f>VLOOKUP($M850,Lookups!$A$5:$B$8,2,FALSE())</f>
        <v>Mist / Cloudy</v>
      </c>
      <c r="X850" s="23" t="str">
        <f>VLOOKUP($G850,Lookups!$D$5:$E$8,2,FALSE())</f>
        <v>Winter</v>
      </c>
      <c r="Y850" s="23" t="str">
        <f>VLOOKUP($L850,Lookups!$G$5:$H$11,2,FALSE())</f>
        <v>Monday</v>
      </c>
      <c r="Z850" s="23" t="str">
        <f>IF($J850&lt;Lookups!$B$26,"Night",IF($J850&lt;Lookups!$B$27,"Morning",IF($J850&lt;Lookups!$B$28,"Afternoon","Evening")))</f>
        <v>Evening</v>
      </c>
      <c r="AA850" s="26">
        <f>ROUND($N850*(Lookups!$B$16-Lookups!$B$15)+Lookups!$B$15,1)</f>
        <v>7</v>
      </c>
      <c r="AB850" s="26">
        <f>ROUND($P850*(Lookups!$B$18-Lookups!$B$17)+Lookups!$B$17,1)</f>
        <v>7</v>
      </c>
      <c r="AC850" s="23">
        <f t="shared" si="80"/>
        <v>70</v>
      </c>
      <c r="AD850" s="23">
        <f>ROUND($R850*Lookups!$B$19,1)</f>
        <v>0</v>
      </c>
      <c r="AE850" s="27">
        <f t="shared" si="81"/>
        <v>0.9609375</v>
      </c>
      <c r="AF850" s="23" t="str">
        <f>IF($U850&gt;=Lookups!$B$23,"High",IF($U850&gt;=Lookups!$B$22,"Medium","Low"))</f>
        <v>High</v>
      </c>
      <c r="AG850" s="23">
        <f>ROUND(IF($V850="Weekday",IF(INDEX(Hourly_Analysis!$D$5:$D$28,$J850+1)&gt;0,($U850-INDEX(Hourly_Analysis!$C$5:$C$28,$J850+1))/INDEX(Hourly_Analysis!$D$5:$D$28,$J850+1),0),IF(INDEX(Hourly_Analysis!$G$5:$G$28,$J850+1)&gt;0,($U850-INDEX(Hourly_Analysis!$F$5:$F$28,$J850+1))/INDEX(Hourly_Analysis!$G$5:$G$28,$J850+1),0)),2)</f>
        <v>1.22</v>
      </c>
      <c r="AH850" s="23" t="str">
        <f>IF(ABS($AG850)&gt;Lookups!$B$20,IF($AG850&gt;0,"High anomaly","Low anomaly"),"")</f>
        <v/>
      </c>
      <c r="AI850" s="23" t="str">
        <f t="shared" si="82"/>
        <v>OK</v>
      </c>
      <c r="AJ850" s="23" t="str">
        <f t="shared" si="83"/>
        <v>No</v>
      </c>
    </row>
    <row r="851" spans="1:36" x14ac:dyDescent="0.35">
      <c r="A851" s="23">
        <v>850</v>
      </c>
      <c r="B851" s="23" t="str">
        <f t="shared" si="78"/>
        <v>Dataset 3</v>
      </c>
      <c r="C851" s="23">
        <f>IFERROR(MATCH($A851,Merge_1_2!$A$2:$A$611,0),0)</f>
        <v>0</v>
      </c>
      <c r="D851" s="23">
        <f>IF($C851&gt;0,INDEX(Merge_1_2!$Q$2:$Q$611,$C851),0)</f>
        <v>0</v>
      </c>
      <c r="E851" s="23">
        <f>IFERROR(MATCH($A851,Dataset3_Raw!$A$2:$A$391,0),0)</f>
        <v>240</v>
      </c>
      <c r="F851" s="24">
        <f>IF($C851&gt;0,INDEX(Merge_1_2!$B$2:$B$611,$C851),DATE(VALUE(RIGHT(INDEX(Dataset3_Raw!$B$2:$B$391,$E851),4)),VALUE(MID(INDEX(Dataset3_Raw!$B$2:$B$391,$E851),4,2)),VALUE(LEFT(INDEX(Dataset3_Raw!$B$2:$B$391,$E851),2))))</f>
        <v>40581</v>
      </c>
      <c r="G851" s="23">
        <f>IF($C851&gt;0,INDEX(Merge_1_2!$C$2:$C$611,$C851),INDEX(Dataset3_Raw!$C$2:$C$391,$E851))</f>
        <v>1</v>
      </c>
      <c r="H851" s="23">
        <f>IF($C851&gt;0,INDEX(Merge_1_2!$D$2:$D$611,$C851),INDEX(Dataset3_Raw!$D$2:$D$391,$E851))</f>
        <v>0</v>
      </c>
      <c r="I851" s="23">
        <f>IF($C851&gt;0,INDEX(Merge_1_2!$E$2:$E$611,$C851),INDEX(Dataset3_Raw!$E$2:$E$391,$E851))</f>
        <v>2</v>
      </c>
      <c r="J851" s="23">
        <f>IF($C851&gt;0,INDEX(Merge_1_2!$F$2:$F$611,$C851),INDEX(Dataset3_Raw!$F$2:$F$391,$E851))</f>
        <v>20</v>
      </c>
      <c r="K851" s="23" t="b">
        <f>IF($C851&gt;0,INDEX(Merge_1_2!$G$2:$G$611,$C851),INDEX(Dataset3_Raw!$G$2:$G$391,$E851))</f>
        <v>0</v>
      </c>
      <c r="L851" s="23">
        <f>IF($C851&gt;0,INDEX(Merge_1_2!$H$2:$H$611,$C851),INDEX(Dataset3_Raw!$H$2:$H$391,$E851))</f>
        <v>1</v>
      </c>
      <c r="M851" s="23">
        <f>IF($C851&gt;0,INDEX(Merge_1_2!$I$2:$I$611,$C851),INDEX(Dataset3_Raw!$I$2:$I$391,$E851))</f>
        <v>2</v>
      </c>
      <c r="N851" s="25">
        <f>IF($C851&gt;0,INDEX(Merge_1_2!$J$2:$J$611,$C851),INDEX(Dataset3_Raw!$J$2:$J$391,$E851))</f>
        <v>0.32</v>
      </c>
      <c r="O851" s="25">
        <f>IF($C851&gt;0,IF(ISNUMBER(INDEX(Merge_1_2!$K$2:$K$611,$C851)),INDEX(Merge_1_2!$K$2:$K$611,$C851),""),INDEX(Dataset3_Raw!$K$2:$K$391,$E851))</f>
        <v>0.33329999999999999</v>
      </c>
      <c r="P851" s="25">
        <f>IF(ISNUMBER($O851),$O851,ROUND(Lookups!$B$25+Lookups!$B$24*$N851,4))</f>
        <v>0.33329999999999999</v>
      </c>
      <c r="Q851" s="25">
        <f>IF($C851&gt;0,INDEX(Merge_1_2!$L$2:$L$611,$C851),INDEX(Dataset3_Raw!$L$2:$L$391,$E851))</f>
        <v>0.7</v>
      </c>
      <c r="R851" s="25">
        <f>IF($C851&gt;0,INDEX(Merge_1_2!$M$2:$M$611,$C851),INDEX(Dataset3_Raw!$M$2:$M$391,$E851))</f>
        <v>0.1045</v>
      </c>
      <c r="S851" s="23">
        <f>IF($C851&gt;0,INDEX(Merge_1_2!$N$2:$N$611,$C851),INDEX(Dataset3_Raw!$N$2:$N$391,$E851))</f>
        <v>6</v>
      </c>
      <c r="T851" s="23">
        <f>IF($C851&gt;0,INDEX(Merge_1_2!$O$2:$O$611,$C851),INDEX(Dataset3_Raw!$O$2:$O$391,$E851))</f>
        <v>82</v>
      </c>
      <c r="U851" s="23">
        <f>IF($C851&gt;0,INDEX(Merge_1_2!$P$2:$P$611,$C851),INDEX(Dataset3_Raw!$P$2:$P$391,$E851))</f>
        <v>88</v>
      </c>
      <c r="V851" s="23" t="str">
        <f t="shared" si="79"/>
        <v>Weekday</v>
      </c>
      <c r="W851" s="23" t="str">
        <f>VLOOKUP($M851,Lookups!$A$5:$B$8,2,FALSE())</f>
        <v>Mist / Cloudy</v>
      </c>
      <c r="X851" s="23" t="str">
        <f>VLOOKUP($G851,Lookups!$D$5:$E$8,2,FALSE())</f>
        <v>Winter</v>
      </c>
      <c r="Y851" s="23" t="str">
        <f>VLOOKUP($L851,Lookups!$G$5:$H$11,2,FALSE())</f>
        <v>Monday</v>
      </c>
      <c r="Z851" s="23" t="str">
        <f>IF($J851&lt;Lookups!$B$26,"Night",IF($J851&lt;Lookups!$B$27,"Morning",IF($J851&lt;Lookups!$B$28,"Afternoon","Evening")))</f>
        <v>Evening</v>
      </c>
      <c r="AA851" s="26">
        <f>ROUND($N851*(Lookups!$B$16-Lookups!$B$15)+Lookups!$B$15,1)</f>
        <v>7</v>
      </c>
      <c r="AB851" s="26">
        <f>ROUND($P851*(Lookups!$B$18-Lookups!$B$17)+Lookups!$B$17,1)</f>
        <v>6</v>
      </c>
      <c r="AC851" s="23">
        <f t="shared" si="80"/>
        <v>70</v>
      </c>
      <c r="AD851" s="23">
        <f>ROUND($R851*Lookups!$B$19,1)</f>
        <v>7</v>
      </c>
      <c r="AE851" s="27">
        <f t="shared" si="81"/>
        <v>0.93181818181818177</v>
      </c>
      <c r="AF851" s="23" t="str">
        <f>IF($U851&gt;=Lookups!$B$23,"High",IF($U851&gt;=Lookups!$B$22,"Medium","Low"))</f>
        <v>High</v>
      </c>
      <c r="AG851" s="23">
        <f>ROUND(IF($V851="Weekday",IF(INDEX(Hourly_Analysis!$D$5:$D$28,$J851+1)&gt;0,($U851-INDEX(Hourly_Analysis!$C$5:$C$28,$J851+1))/INDEX(Hourly_Analysis!$D$5:$D$28,$J851+1),0),IF(INDEX(Hourly_Analysis!$G$5:$G$28,$J851+1)&gt;0,($U851-INDEX(Hourly_Analysis!$F$5:$F$28,$J851+1))/INDEX(Hourly_Analysis!$G$5:$G$28,$J851+1),0)),2)</f>
        <v>0.68</v>
      </c>
      <c r="AH851" s="23" t="str">
        <f>IF(ABS($AG851)&gt;Lookups!$B$20,IF($AG851&gt;0,"High anomaly","Low anomaly"),"")</f>
        <v/>
      </c>
      <c r="AI851" s="23" t="str">
        <f t="shared" si="82"/>
        <v>OK</v>
      </c>
      <c r="AJ851" s="23" t="str">
        <f t="shared" si="83"/>
        <v>No</v>
      </c>
    </row>
    <row r="852" spans="1:36" x14ac:dyDescent="0.35">
      <c r="A852" s="23">
        <v>851</v>
      </c>
      <c r="B852" s="23" t="str">
        <f t="shared" si="78"/>
        <v>Dataset 3</v>
      </c>
      <c r="C852" s="23">
        <f>IFERROR(MATCH($A852,Merge_1_2!$A$2:$A$611,0),0)</f>
        <v>0</v>
      </c>
      <c r="D852" s="23">
        <f>IF($C852&gt;0,INDEX(Merge_1_2!$Q$2:$Q$611,$C852),0)</f>
        <v>0</v>
      </c>
      <c r="E852" s="23">
        <f>IFERROR(MATCH($A852,Dataset3_Raw!$A$2:$A$391,0),0)</f>
        <v>241</v>
      </c>
      <c r="F852" s="24">
        <f>IF($C852&gt;0,INDEX(Merge_1_2!$B$2:$B$611,$C852),DATE(VALUE(RIGHT(INDEX(Dataset3_Raw!$B$2:$B$391,$E852),4)),VALUE(MID(INDEX(Dataset3_Raw!$B$2:$B$391,$E852),4,2)),VALUE(LEFT(INDEX(Dataset3_Raw!$B$2:$B$391,$E852),2))))</f>
        <v>40581</v>
      </c>
      <c r="G852" s="23">
        <f>IF($C852&gt;0,INDEX(Merge_1_2!$C$2:$C$611,$C852),INDEX(Dataset3_Raw!$C$2:$C$391,$E852))</f>
        <v>1</v>
      </c>
      <c r="H852" s="23">
        <f>IF($C852&gt;0,INDEX(Merge_1_2!$D$2:$D$611,$C852),INDEX(Dataset3_Raw!$D$2:$D$391,$E852))</f>
        <v>0</v>
      </c>
      <c r="I852" s="23">
        <f>IF($C852&gt;0,INDEX(Merge_1_2!$E$2:$E$611,$C852),INDEX(Dataset3_Raw!$E$2:$E$391,$E852))</f>
        <v>2</v>
      </c>
      <c r="J852" s="23">
        <f>IF($C852&gt;0,INDEX(Merge_1_2!$F$2:$F$611,$C852),INDEX(Dataset3_Raw!$F$2:$F$391,$E852))</f>
        <v>21</v>
      </c>
      <c r="K852" s="23" t="b">
        <f>IF($C852&gt;0,INDEX(Merge_1_2!$G$2:$G$611,$C852),INDEX(Dataset3_Raw!$G$2:$G$391,$E852))</f>
        <v>0</v>
      </c>
      <c r="L852" s="23">
        <f>IF($C852&gt;0,INDEX(Merge_1_2!$H$2:$H$611,$C852),INDEX(Dataset3_Raw!$H$2:$H$391,$E852))</f>
        <v>1</v>
      </c>
      <c r="M852" s="23">
        <f>IF($C852&gt;0,INDEX(Merge_1_2!$I$2:$I$611,$C852),INDEX(Dataset3_Raw!$I$2:$I$391,$E852))</f>
        <v>1</v>
      </c>
      <c r="N852" s="25">
        <f>IF($C852&gt;0,INDEX(Merge_1_2!$J$2:$J$611,$C852),INDEX(Dataset3_Raw!$J$2:$J$391,$E852))</f>
        <v>0.32</v>
      </c>
      <c r="O852" s="25">
        <f>IF($C852&gt;0,IF(ISNUMBER(INDEX(Merge_1_2!$K$2:$K$611,$C852)),INDEX(Merge_1_2!$K$2:$K$611,$C852),""),INDEX(Dataset3_Raw!$K$2:$K$391,$E852))</f>
        <v>0.34849999999999998</v>
      </c>
      <c r="P852" s="25">
        <f>IF(ISNUMBER($O852),$O852,ROUND(Lookups!$B$25+Lookups!$B$24*$N852,4))</f>
        <v>0.34849999999999998</v>
      </c>
      <c r="Q852" s="25">
        <f>IF($C852&gt;0,INDEX(Merge_1_2!$L$2:$L$611,$C852),INDEX(Dataset3_Raw!$L$2:$L$391,$E852))</f>
        <v>0.7</v>
      </c>
      <c r="R852" s="25">
        <f>IF($C852&gt;0,INDEX(Merge_1_2!$M$2:$M$611,$C852),INDEX(Dataset3_Raw!$M$2:$M$391,$E852))</f>
        <v>0</v>
      </c>
      <c r="S852" s="23">
        <f>IF($C852&gt;0,INDEX(Merge_1_2!$N$2:$N$611,$C852),INDEX(Dataset3_Raw!$N$2:$N$391,$E852))</f>
        <v>3</v>
      </c>
      <c r="T852" s="23">
        <f>IF($C852&gt;0,INDEX(Merge_1_2!$O$2:$O$611,$C852),INDEX(Dataset3_Raw!$O$2:$O$391,$E852))</f>
        <v>75</v>
      </c>
      <c r="U852" s="23">
        <f>IF($C852&gt;0,INDEX(Merge_1_2!$P$2:$P$611,$C852),INDEX(Dataset3_Raw!$P$2:$P$391,$E852))</f>
        <v>78</v>
      </c>
      <c r="V852" s="23" t="str">
        <f t="shared" si="79"/>
        <v>Weekday</v>
      </c>
      <c r="W852" s="23" t="str">
        <f>VLOOKUP($M852,Lookups!$A$5:$B$8,2,FALSE())</f>
        <v>Clear / Partly cloudy</v>
      </c>
      <c r="X852" s="23" t="str">
        <f>VLOOKUP($G852,Lookups!$D$5:$E$8,2,FALSE())</f>
        <v>Winter</v>
      </c>
      <c r="Y852" s="23" t="str">
        <f>VLOOKUP($L852,Lookups!$G$5:$H$11,2,FALSE())</f>
        <v>Monday</v>
      </c>
      <c r="Z852" s="23" t="str">
        <f>IF($J852&lt;Lookups!$B$26,"Night",IF($J852&lt;Lookups!$B$27,"Morning",IF($J852&lt;Lookups!$B$28,"Afternoon","Evening")))</f>
        <v>Evening</v>
      </c>
      <c r="AA852" s="26">
        <f>ROUND($N852*(Lookups!$B$16-Lookups!$B$15)+Lookups!$B$15,1)</f>
        <v>7</v>
      </c>
      <c r="AB852" s="26">
        <f>ROUND($P852*(Lookups!$B$18-Lookups!$B$17)+Lookups!$B$17,1)</f>
        <v>7</v>
      </c>
      <c r="AC852" s="23">
        <f t="shared" si="80"/>
        <v>70</v>
      </c>
      <c r="AD852" s="23">
        <f>ROUND($R852*Lookups!$B$19,1)</f>
        <v>0</v>
      </c>
      <c r="AE852" s="27">
        <f t="shared" si="81"/>
        <v>0.96153846153846156</v>
      </c>
      <c r="AF852" s="23" t="str">
        <f>IF($U852&gt;=Lookups!$B$23,"High",IF($U852&gt;=Lookups!$B$22,"Medium","Low"))</f>
        <v>Medium</v>
      </c>
      <c r="AG852" s="23">
        <f>ROUND(IF($V852="Weekday",IF(INDEX(Hourly_Analysis!$D$5:$D$28,$J852+1)&gt;0,($U852-INDEX(Hourly_Analysis!$C$5:$C$28,$J852+1))/INDEX(Hourly_Analysis!$D$5:$D$28,$J852+1),0),IF(INDEX(Hourly_Analysis!$G$5:$G$28,$J852+1)&gt;0,($U852-INDEX(Hourly_Analysis!$F$5:$F$28,$J852+1))/INDEX(Hourly_Analysis!$G$5:$G$28,$J852+1),0)),2)</f>
        <v>1.98</v>
      </c>
      <c r="AH852" s="23" t="str">
        <f>IF(ABS($AG852)&gt;Lookups!$B$20,IF($AG852&gt;0,"High anomaly","Low anomaly"),"")</f>
        <v/>
      </c>
      <c r="AI852" s="23" t="str">
        <f t="shared" si="82"/>
        <v>OK</v>
      </c>
      <c r="AJ852" s="23" t="str">
        <f t="shared" si="83"/>
        <v>No</v>
      </c>
    </row>
    <row r="853" spans="1:36" x14ac:dyDescent="0.35">
      <c r="A853" s="23">
        <v>852</v>
      </c>
      <c r="B853" s="23" t="str">
        <f t="shared" si="78"/>
        <v>Dataset 3</v>
      </c>
      <c r="C853" s="23">
        <f>IFERROR(MATCH($A853,Merge_1_2!$A$2:$A$611,0),0)</f>
        <v>0</v>
      </c>
      <c r="D853" s="23">
        <f>IF($C853&gt;0,INDEX(Merge_1_2!$Q$2:$Q$611,$C853),0)</f>
        <v>0</v>
      </c>
      <c r="E853" s="23">
        <f>IFERROR(MATCH($A853,Dataset3_Raw!$A$2:$A$391,0),0)</f>
        <v>242</v>
      </c>
      <c r="F853" s="24">
        <f>IF($C853&gt;0,INDEX(Merge_1_2!$B$2:$B$611,$C853),DATE(VALUE(RIGHT(INDEX(Dataset3_Raw!$B$2:$B$391,$E853),4)),VALUE(MID(INDEX(Dataset3_Raw!$B$2:$B$391,$E853),4,2)),VALUE(LEFT(INDEX(Dataset3_Raw!$B$2:$B$391,$E853),2))))</f>
        <v>40581</v>
      </c>
      <c r="G853" s="23">
        <f>IF($C853&gt;0,INDEX(Merge_1_2!$C$2:$C$611,$C853),INDEX(Dataset3_Raw!$C$2:$C$391,$E853))</f>
        <v>1</v>
      </c>
      <c r="H853" s="23">
        <f>IF($C853&gt;0,INDEX(Merge_1_2!$D$2:$D$611,$C853),INDEX(Dataset3_Raw!$D$2:$D$391,$E853))</f>
        <v>0</v>
      </c>
      <c r="I853" s="23">
        <f>IF($C853&gt;0,INDEX(Merge_1_2!$E$2:$E$611,$C853),INDEX(Dataset3_Raw!$E$2:$E$391,$E853))</f>
        <v>2</v>
      </c>
      <c r="J853" s="23">
        <f>IF($C853&gt;0,INDEX(Merge_1_2!$F$2:$F$611,$C853),INDEX(Dataset3_Raw!$F$2:$F$391,$E853))</f>
        <v>22</v>
      </c>
      <c r="K853" s="23" t="b">
        <f>IF($C853&gt;0,INDEX(Merge_1_2!$G$2:$G$611,$C853),INDEX(Dataset3_Raw!$G$2:$G$391,$E853))</f>
        <v>0</v>
      </c>
      <c r="L853" s="23">
        <f>IF($C853&gt;0,INDEX(Merge_1_2!$H$2:$H$611,$C853),INDEX(Dataset3_Raw!$H$2:$H$391,$E853))</f>
        <v>1</v>
      </c>
      <c r="M853" s="23">
        <f>IF($C853&gt;0,INDEX(Merge_1_2!$I$2:$I$611,$C853),INDEX(Dataset3_Raw!$I$2:$I$391,$E853))</f>
        <v>1</v>
      </c>
      <c r="N853" s="25">
        <f>IF($C853&gt;0,INDEX(Merge_1_2!$J$2:$J$611,$C853),INDEX(Dataset3_Raw!$J$2:$J$391,$E853))</f>
        <v>0.28000000000000003</v>
      </c>
      <c r="O853" s="25">
        <f>IF($C853&gt;0,IF(ISNUMBER(INDEX(Merge_1_2!$K$2:$K$611,$C853)),INDEX(Merge_1_2!$K$2:$K$611,$C853),""),INDEX(Dataset3_Raw!$K$2:$K$391,$E853))</f>
        <v>0.30299999999999999</v>
      </c>
      <c r="P853" s="25">
        <f>IF(ISNUMBER($O853),$O853,ROUND(Lookups!$B$25+Lookups!$B$24*$N853,4))</f>
        <v>0.30299999999999999</v>
      </c>
      <c r="Q853" s="25">
        <f>IF($C853&gt;0,INDEX(Merge_1_2!$L$2:$L$611,$C853),INDEX(Dataset3_Raw!$L$2:$L$391,$E853))</f>
        <v>0.81</v>
      </c>
      <c r="R853" s="25">
        <f>IF($C853&gt;0,INDEX(Merge_1_2!$M$2:$M$611,$C853),INDEX(Dataset3_Raw!$M$2:$M$391,$E853))</f>
        <v>8.9599999999999999E-2</v>
      </c>
      <c r="S853" s="23">
        <f>IF($C853&gt;0,INDEX(Merge_1_2!$N$2:$N$611,$C853),INDEX(Dataset3_Raw!$N$2:$N$391,$E853))</f>
        <v>3</v>
      </c>
      <c r="T853" s="23">
        <f>IF($C853&gt;0,INDEX(Merge_1_2!$O$2:$O$611,$C853),INDEX(Dataset3_Raw!$O$2:$O$391,$E853))</f>
        <v>34</v>
      </c>
      <c r="U853" s="23">
        <f>IF($C853&gt;0,INDEX(Merge_1_2!$P$2:$P$611,$C853),INDEX(Dataset3_Raw!$P$2:$P$391,$E853))</f>
        <v>37</v>
      </c>
      <c r="V853" s="23" t="str">
        <f t="shared" si="79"/>
        <v>Weekday</v>
      </c>
      <c r="W853" s="23" t="str">
        <f>VLOOKUP($M853,Lookups!$A$5:$B$8,2,FALSE())</f>
        <v>Clear / Partly cloudy</v>
      </c>
      <c r="X853" s="23" t="str">
        <f>VLOOKUP($G853,Lookups!$D$5:$E$8,2,FALSE())</f>
        <v>Winter</v>
      </c>
      <c r="Y853" s="23" t="str">
        <f>VLOOKUP($L853,Lookups!$G$5:$H$11,2,FALSE())</f>
        <v>Monday</v>
      </c>
      <c r="Z853" s="23" t="str">
        <f>IF($J853&lt;Lookups!$B$26,"Night",IF($J853&lt;Lookups!$B$27,"Morning",IF($J853&lt;Lookups!$B$28,"Afternoon","Evening")))</f>
        <v>Evening</v>
      </c>
      <c r="AA853" s="26">
        <f>ROUND($N853*(Lookups!$B$16-Lookups!$B$15)+Lookups!$B$15,1)</f>
        <v>5.2</v>
      </c>
      <c r="AB853" s="26">
        <f>ROUND($P853*(Lookups!$B$18-Lookups!$B$17)+Lookups!$B$17,1)</f>
        <v>4</v>
      </c>
      <c r="AC853" s="23">
        <f t="shared" si="80"/>
        <v>81</v>
      </c>
      <c r="AD853" s="23">
        <f>ROUND($R853*Lookups!$B$19,1)</f>
        <v>6</v>
      </c>
      <c r="AE853" s="27">
        <f t="shared" si="81"/>
        <v>0.91891891891891897</v>
      </c>
      <c r="AF853" s="23" t="str">
        <f>IF($U853&gt;=Lookups!$B$23,"High",IF($U853&gt;=Lookups!$B$22,"Medium","Low"))</f>
        <v>Medium</v>
      </c>
      <c r="AG853" s="23">
        <f>ROUND(IF($V853="Weekday",IF(INDEX(Hourly_Analysis!$D$5:$D$28,$J853+1)&gt;0,($U853-INDEX(Hourly_Analysis!$C$5:$C$28,$J853+1))/INDEX(Hourly_Analysis!$D$5:$D$28,$J853+1),0),IF(INDEX(Hourly_Analysis!$G$5:$G$28,$J853+1)&gt;0,($U853-INDEX(Hourly_Analysis!$F$5:$F$28,$J853+1))/INDEX(Hourly_Analysis!$G$5:$G$28,$J853+1),0)),2)</f>
        <v>-0.1</v>
      </c>
      <c r="AH853" s="23" t="str">
        <f>IF(ABS($AG853)&gt;Lookups!$B$20,IF($AG853&gt;0,"High anomaly","Low anomaly"),"")</f>
        <v/>
      </c>
      <c r="AI853" s="23" t="str">
        <f t="shared" si="82"/>
        <v>OK</v>
      </c>
      <c r="AJ853" s="23" t="str">
        <f t="shared" si="83"/>
        <v>No</v>
      </c>
    </row>
    <row r="854" spans="1:36" x14ac:dyDescent="0.35">
      <c r="A854" s="23">
        <v>853</v>
      </c>
      <c r="B854" s="23" t="str">
        <f t="shared" si="78"/>
        <v>Dataset 3</v>
      </c>
      <c r="C854" s="23">
        <f>IFERROR(MATCH($A854,Merge_1_2!$A$2:$A$611,0),0)</f>
        <v>0</v>
      </c>
      <c r="D854" s="23">
        <f>IF($C854&gt;0,INDEX(Merge_1_2!$Q$2:$Q$611,$C854),0)</f>
        <v>0</v>
      </c>
      <c r="E854" s="23">
        <f>IFERROR(MATCH($A854,Dataset3_Raw!$A$2:$A$391,0),0)</f>
        <v>243</v>
      </c>
      <c r="F854" s="24">
        <f>IF($C854&gt;0,INDEX(Merge_1_2!$B$2:$B$611,$C854),DATE(VALUE(RIGHT(INDEX(Dataset3_Raw!$B$2:$B$391,$E854),4)),VALUE(MID(INDEX(Dataset3_Raw!$B$2:$B$391,$E854),4,2)),VALUE(LEFT(INDEX(Dataset3_Raw!$B$2:$B$391,$E854),2))))</f>
        <v>40581</v>
      </c>
      <c r="G854" s="23">
        <f>IF($C854&gt;0,INDEX(Merge_1_2!$C$2:$C$611,$C854),INDEX(Dataset3_Raw!$C$2:$C$391,$E854))</f>
        <v>1</v>
      </c>
      <c r="H854" s="23">
        <f>IF($C854&gt;0,INDEX(Merge_1_2!$D$2:$D$611,$C854),INDEX(Dataset3_Raw!$D$2:$D$391,$E854))</f>
        <v>0</v>
      </c>
      <c r="I854" s="23">
        <f>IF($C854&gt;0,INDEX(Merge_1_2!$E$2:$E$611,$C854),INDEX(Dataset3_Raw!$E$2:$E$391,$E854))</f>
        <v>2</v>
      </c>
      <c r="J854" s="23">
        <f>IF($C854&gt;0,INDEX(Merge_1_2!$F$2:$F$611,$C854),INDEX(Dataset3_Raw!$F$2:$F$391,$E854))</f>
        <v>23</v>
      </c>
      <c r="K854" s="23" t="b">
        <f>IF($C854&gt;0,INDEX(Merge_1_2!$G$2:$G$611,$C854),INDEX(Dataset3_Raw!$G$2:$G$391,$E854))</f>
        <v>0</v>
      </c>
      <c r="L854" s="23">
        <f>IF($C854&gt;0,INDEX(Merge_1_2!$H$2:$H$611,$C854),INDEX(Dataset3_Raw!$H$2:$H$391,$E854))</f>
        <v>1</v>
      </c>
      <c r="M854" s="23">
        <f>IF($C854&gt;0,INDEX(Merge_1_2!$I$2:$I$611,$C854),INDEX(Dataset3_Raw!$I$2:$I$391,$E854))</f>
        <v>2</v>
      </c>
      <c r="N854" s="25">
        <f>IF($C854&gt;0,INDEX(Merge_1_2!$J$2:$J$611,$C854),INDEX(Dataset3_Raw!$J$2:$J$391,$E854))</f>
        <v>0.3</v>
      </c>
      <c r="O854" s="25">
        <f>IF($C854&gt;0,IF(ISNUMBER(INDEX(Merge_1_2!$K$2:$K$611,$C854)),INDEX(Merge_1_2!$K$2:$K$611,$C854),""),INDEX(Dataset3_Raw!$K$2:$K$391,$E854))</f>
        <v>0.33329999999999999</v>
      </c>
      <c r="P854" s="25">
        <f>IF(ISNUMBER($O854),$O854,ROUND(Lookups!$B$25+Lookups!$B$24*$N854,4))</f>
        <v>0.33329999999999999</v>
      </c>
      <c r="Q854" s="25">
        <f>IF($C854&gt;0,INDEX(Merge_1_2!$L$2:$L$611,$C854),INDEX(Dataset3_Raw!$L$2:$L$391,$E854))</f>
        <v>0.81</v>
      </c>
      <c r="R854" s="25">
        <f>IF($C854&gt;0,INDEX(Merge_1_2!$M$2:$M$611,$C854),INDEX(Dataset3_Raw!$M$2:$M$391,$E854))</f>
        <v>0</v>
      </c>
      <c r="S854" s="23">
        <f>IF($C854&gt;0,INDEX(Merge_1_2!$N$2:$N$611,$C854),INDEX(Dataset3_Raw!$N$2:$N$391,$E854))</f>
        <v>6</v>
      </c>
      <c r="T854" s="23">
        <f>IF($C854&gt;0,INDEX(Merge_1_2!$O$2:$O$611,$C854),INDEX(Dataset3_Raw!$O$2:$O$391,$E854))</f>
        <v>19</v>
      </c>
      <c r="U854" s="23">
        <f>IF($C854&gt;0,INDEX(Merge_1_2!$P$2:$P$611,$C854),INDEX(Dataset3_Raw!$P$2:$P$391,$E854))</f>
        <v>25</v>
      </c>
      <c r="V854" s="23" t="str">
        <f t="shared" si="79"/>
        <v>Weekday</v>
      </c>
      <c r="W854" s="23" t="str">
        <f>VLOOKUP($M854,Lookups!$A$5:$B$8,2,FALSE())</f>
        <v>Mist / Cloudy</v>
      </c>
      <c r="X854" s="23" t="str">
        <f>VLOOKUP($G854,Lookups!$D$5:$E$8,2,FALSE())</f>
        <v>Winter</v>
      </c>
      <c r="Y854" s="23" t="str">
        <f>VLOOKUP($L854,Lookups!$G$5:$H$11,2,FALSE())</f>
        <v>Monday</v>
      </c>
      <c r="Z854" s="23" t="str">
        <f>IF($J854&lt;Lookups!$B$26,"Night",IF($J854&lt;Lookups!$B$27,"Morning",IF($J854&lt;Lookups!$B$28,"Afternoon","Evening")))</f>
        <v>Evening</v>
      </c>
      <c r="AA854" s="26">
        <f>ROUND($N854*(Lookups!$B$16-Lookups!$B$15)+Lookups!$B$15,1)</f>
        <v>6.1</v>
      </c>
      <c r="AB854" s="26">
        <f>ROUND($P854*(Lookups!$B$18-Lookups!$B$17)+Lookups!$B$17,1)</f>
        <v>6</v>
      </c>
      <c r="AC854" s="23">
        <f t="shared" si="80"/>
        <v>81</v>
      </c>
      <c r="AD854" s="23">
        <f>ROUND($R854*Lookups!$B$19,1)</f>
        <v>0</v>
      </c>
      <c r="AE854" s="27">
        <f t="shared" si="81"/>
        <v>0.76</v>
      </c>
      <c r="AF854" s="23" t="str">
        <f>IF($U854&gt;=Lookups!$B$23,"High",IF($U854&gt;=Lookups!$B$22,"Medium","Low"))</f>
        <v>Medium</v>
      </c>
      <c r="AG854" s="23">
        <f>ROUND(IF($V854="Weekday",IF(INDEX(Hourly_Analysis!$D$5:$D$28,$J854+1)&gt;0,($U854-INDEX(Hourly_Analysis!$C$5:$C$28,$J854+1))/INDEX(Hourly_Analysis!$D$5:$D$28,$J854+1),0),IF(INDEX(Hourly_Analysis!$G$5:$G$28,$J854+1)&gt;0,($U854-INDEX(Hourly_Analysis!$F$5:$F$28,$J854+1))/INDEX(Hourly_Analysis!$G$5:$G$28,$J854+1),0)),2)</f>
        <v>0.06</v>
      </c>
      <c r="AH854" s="23" t="str">
        <f>IF(ABS($AG854)&gt;Lookups!$B$20,IF($AG854&gt;0,"High anomaly","Low anomaly"),"")</f>
        <v/>
      </c>
      <c r="AI854" s="23" t="str">
        <f t="shared" si="82"/>
        <v>OK</v>
      </c>
      <c r="AJ854" s="23" t="str">
        <f t="shared" si="83"/>
        <v>No</v>
      </c>
    </row>
    <row r="855" spans="1:36" x14ac:dyDescent="0.35">
      <c r="A855" s="23">
        <v>854</v>
      </c>
      <c r="B855" s="23" t="str">
        <f t="shared" si="78"/>
        <v>Dataset 3</v>
      </c>
      <c r="C855" s="23">
        <f>IFERROR(MATCH($A855,Merge_1_2!$A$2:$A$611,0),0)</f>
        <v>0</v>
      </c>
      <c r="D855" s="23">
        <f>IF($C855&gt;0,INDEX(Merge_1_2!$Q$2:$Q$611,$C855),0)</f>
        <v>0</v>
      </c>
      <c r="E855" s="23">
        <f>IFERROR(MATCH($A855,Dataset3_Raw!$A$2:$A$391,0),0)</f>
        <v>244</v>
      </c>
      <c r="F855" s="24">
        <f>IF($C855&gt;0,INDEX(Merge_1_2!$B$2:$B$611,$C855),DATE(VALUE(RIGHT(INDEX(Dataset3_Raw!$B$2:$B$391,$E855),4)),VALUE(MID(INDEX(Dataset3_Raw!$B$2:$B$391,$E855),4,2)),VALUE(LEFT(INDEX(Dataset3_Raw!$B$2:$B$391,$E855),2))))</f>
        <v>40582</v>
      </c>
      <c r="G855" s="23">
        <f>IF($C855&gt;0,INDEX(Merge_1_2!$C$2:$C$611,$C855),INDEX(Dataset3_Raw!$C$2:$C$391,$E855))</f>
        <v>1</v>
      </c>
      <c r="H855" s="23">
        <f>IF($C855&gt;0,INDEX(Merge_1_2!$D$2:$D$611,$C855),INDEX(Dataset3_Raw!$D$2:$D$391,$E855))</f>
        <v>0</v>
      </c>
      <c r="I855" s="23">
        <f>IF($C855&gt;0,INDEX(Merge_1_2!$E$2:$E$611,$C855),INDEX(Dataset3_Raw!$E$2:$E$391,$E855))</f>
        <v>2</v>
      </c>
      <c r="J855" s="23">
        <f>IF($C855&gt;0,INDEX(Merge_1_2!$F$2:$F$611,$C855),INDEX(Dataset3_Raw!$F$2:$F$391,$E855))</f>
        <v>0</v>
      </c>
      <c r="K855" s="23" t="b">
        <f>IF($C855&gt;0,INDEX(Merge_1_2!$G$2:$G$611,$C855),INDEX(Dataset3_Raw!$G$2:$G$391,$E855))</f>
        <v>0</v>
      </c>
      <c r="L855" s="23">
        <f>IF($C855&gt;0,INDEX(Merge_1_2!$H$2:$H$611,$C855),INDEX(Dataset3_Raw!$H$2:$H$391,$E855))</f>
        <v>2</v>
      </c>
      <c r="M855" s="23">
        <f>IF($C855&gt;0,INDEX(Merge_1_2!$I$2:$I$611,$C855),INDEX(Dataset3_Raw!$I$2:$I$391,$E855))</f>
        <v>2</v>
      </c>
      <c r="N855" s="25">
        <f>IF($C855&gt;0,INDEX(Merge_1_2!$J$2:$J$611,$C855),INDEX(Dataset3_Raw!$J$2:$J$391,$E855))</f>
        <v>0.28000000000000003</v>
      </c>
      <c r="O855" s="25">
        <f>IF($C855&gt;0,IF(ISNUMBER(INDEX(Merge_1_2!$K$2:$K$611,$C855)),INDEX(Merge_1_2!$K$2:$K$611,$C855),""),INDEX(Dataset3_Raw!$K$2:$K$391,$E855))</f>
        <v>0.31819999999999998</v>
      </c>
      <c r="P855" s="25">
        <f>IF(ISNUMBER($O855),$O855,ROUND(Lookups!$B$25+Lookups!$B$24*$N855,4))</f>
        <v>0.31819999999999998</v>
      </c>
      <c r="Q855" s="25">
        <f>IF($C855&gt;0,INDEX(Merge_1_2!$L$2:$L$611,$C855),INDEX(Dataset3_Raw!$L$2:$L$391,$E855))</f>
        <v>0.87</v>
      </c>
      <c r="R855" s="25">
        <f>IF($C855&gt;0,INDEX(Merge_1_2!$M$2:$M$611,$C855),INDEX(Dataset3_Raw!$M$2:$M$391,$E855))</f>
        <v>0</v>
      </c>
      <c r="S855" s="23">
        <f>IF($C855&gt;0,INDEX(Merge_1_2!$N$2:$N$611,$C855),INDEX(Dataset3_Raw!$N$2:$N$391,$E855))</f>
        <v>4</v>
      </c>
      <c r="T855" s="23">
        <f>IF($C855&gt;0,INDEX(Merge_1_2!$O$2:$O$611,$C855),INDEX(Dataset3_Raw!$O$2:$O$391,$E855))</f>
        <v>6</v>
      </c>
      <c r="U855" s="23">
        <f>IF($C855&gt;0,INDEX(Merge_1_2!$P$2:$P$611,$C855),INDEX(Dataset3_Raw!$P$2:$P$391,$E855))</f>
        <v>10</v>
      </c>
      <c r="V855" s="23" t="str">
        <f t="shared" si="79"/>
        <v>Weekday</v>
      </c>
      <c r="W855" s="23" t="str">
        <f>VLOOKUP($M855,Lookups!$A$5:$B$8,2,FALSE())</f>
        <v>Mist / Cloudy</v>
      </c>
      <c r="X855" s="23" t="str">
        <f>VLOOKUP($G855,Lookups!$D$5:$E$8,2,FALSE())</f>
        <v>Winter</v>
      </c>
      <c r="Y855" s="23" t="str">
        <f>VLOOKUP($L855,Lookups!$G$5:$H$11,2,FALSE())</f>
        <v>Tuesday</v>
      </c>
      <c r="Z855" s="23" t="str">
        <f>IF($J855&lt;Lookups!$B$26,"Night",IF($J855&lt;Lookups!$B$27,"Morning",IF($J855&lt;Lookups!$B$28,"Afternoon","Evening")))</f>
        <v>Night</v>
      </c>
      <c r="AA855" s="26">
        <f>ROUND($N855*(Lookups!$B$16-Lookups!$B$15)+Lookups!$B$15,1)</f>
        <v>5.2</v>
      </c>
      <c r="AB855" s="26">
        <f>ROUND($P855*(Lookups!$B$18-Lookups!$B$17)+Lookups!$B$17,1)</f>
        <v>5</v>
      </c>
      <c r="AC855" s="23">
        <f t="shared" si="80"/>
        <v>87</v>
      </c>
      <c r="AD855" s="23">
        <f>ROUND($R855*Lookups!$B$19,1)</f>
        <v>0</v>
      </c>
      <c r="AE855" s="27">
        <f t="shared" si="81"/>
        <v>0.6</v>
      </c>
      <c r="AF855" s="23" t="str">
        <f>IF($U855&gt;=Lookups!$B$23,"High",IF($U855&gt;=Lookups!$B$22,"Medium","Low"))</f>
        <v>Low</v>
      </c>
      <c r="AG855" s="23">
        <f>ROUND(IF($V855="Weekday",IF(INDEX(Hourly_Analysis!$D$5:$D$28,$J855+1)&gt;0,($U855-INDEX(Hourly_Analysis!$C$5:$C$28,$J855+1))/INDEX(Hourly_Analysis!$D$5:$D$28,$J855+1),0),IF(INDEX(Hourly_Analysis!$G$5:$G$28,$J855+1)&gt;0,($U855-INDEX(Hourly_Analysis!$F$5:$F$28,$J855+1))/INDEX(Hourly_Analysis!$G$5:$G$28,$J855+1),0)),2)</f>
        <v>-0.1</v>
      </c>
      <c r="AH855" s="23" t="str">
        <f>IF(ABS($AG855)&gt;Lookups!$B$20,IF($AG855&gt;0,"High anomaly","Low anomaly"),"")</f>
        <v/>
      </c>
      <c r="AI855" s="23" t="str">
        <f t="shared" si="82"/>
        <v>OK</v>
      </c>
      <c r="AJ855" s="23" t="str">
        <f t="shared" si="83"/>
        <v>No</v>
      </c>
    </row>
    <row r="856" spans="1:36" x14ac:dyDescent="0.35">
      <c r="A856" s="23">
        <v>855</v>
      </c>
      <c r="B856" s="23" t="str">
        <f t="shared" si="78"/>
        <v>Dataset 3</v>
      </c>
      <c r="C856" s="23">
        <f>IFERROR(MATCH($A856,Merge_1_2!$A$2:$A$611,0),0)</f>
        <v>0</v>
      </c>
      <c r="D856" s="23">
        <f>IF($C856&gt;0,INDEX(Merge_1_2!$Q$2:$Q$611,$C856),0)</f>
        <v>0</v>
      </c>
      <c r="E856" s="23">
        <f>IFERROR(MATCH($A856,Dataset3_Raw!$A$2:$A$391,0),0)</f>
        <v>245</v>
      </c>
      <c r="F856" s="24">
        <f>IF($C856&gt;0,INDEX(Merge_1_2!$B$2:$B$611,$C856),DATE(VALUE(RIGHT(INDEX(Dataset3_Raw!$B$2:$B$391,$E856),4)),VALUE(MID(INDEX(Dataset3_Raw!$B$2:$B$391,$E856),4,2)),VALUE(LEFT(INDEX(Dataset3_Raw!$B$2:$B$391,$E856),2))))</f>
        <v>40582</v>
      </c>
      <c r="G856" s="23">
        <f>IF($C856&gt;0,INDEX(Merge_1_2!$C$2:$C$611,$C856),INDEX(Dataset3_Raw!$C$2:$C$391,$E856))</f>
        <v>1</v>
      </c>
      <c r="H856" s="23">
        <f>IF($C856&gt;0,INDEX(Merge_1_2!$D$2:$D$611,$C856),INDEX(Dataset3_Raw!$D$2:$D$391,$E856))</f>
        <v>0</v>
      </c>
      <c r="I856" s="23">
        <f>IF($C856&gt;0,INDEX(Merge_1_2!$E$2:$E$611,$C856),INDEX(Dataset3_Raw!$E$2:$E$391,$E856))</f>
        <v>2</v>
      </c>
      <c r="J856" s="23">
        <f>IF($C856&gt;0,INDEX(Merge_1_2!$F$2:$F$611,$C856),INDEX(Dataset3_Raw!$F$2:$F$391,$E856))</f>
        <v>1</v>
      </c>
      <c r="K856" s="23" t="b">
        <f>IF($C856&gt;0,INDEX(Merge_1_2!$G$2:$G$611,$C856),INDEX(Dataset3_Raw!$G$2:$G$391,$E856))</f>
        <v>0</v>
      </c>
      <c r="L856" s="23">
        <f>IF($C856&gt;0,INDEX(Merge_1_2!$H$2:$H$611,$C856),INDEX(Dataset3_Raw!$H$2:$H$391,$E856))</f>
        <v>2</v>
      </c>
      <c r="M856" s="23">
        <f>IF($C856&gt;0,INDEX(Merge_1_2!$I$2:$I$611,$C856),INDEX(Dataset3_Raw!$I$2:$I$391,$E856))</f>
        <v>2</v>
      </c>
      <c r="N856" s="25">
        <f>IF($C856&gt;0,INDEX(Merge_1_2!$J$2:$J$611,$C856),INDEX(Dataset3_Raw!$J$2:$J$391,$E856))</f>
        <v>0.28000000000000003</v>
      </c>
      <c r="O856" s="25">
        <f>IF($C856&gt;0,IF(ISNUMBER(INDEX(Merge_1_2!$K$2:$K$611,$C856)),INDEX(Merge_1_2!$K$2:$K$611,$C856),""),INDEX(Dataset3_Raw!$K$2:$K$391,$E856))</f>
        <v>0.31819999999999998</v>
      </c>
      <c r="P856" s="25">
        <f>IF(ISNUMBER($O856),$O856,ROUND(Lookups!$B$25+Lookups!$B$24*$N856,4))</f>
        <v>0.31819999999999998</v>
      </c>
      <c r="Q856" s="25">
        <f>IF($C856&gt;0,INDEX(Merge_1_2!$L$2:$L$611,$C856),INDEX(Dataset3_Raw!$L$2:$L$391,$E856))</f>
        <v>0.87</v>
      </c>
      <c r="R856" s="25">
        <f>IF($C856&gt;0,INDEX(Merge_1_2!$M$2:$M$611,$C856),INDEX(Dataset3_Raw!$M$2:$M$391,$E856))</f>
        <v>0</v>
      </c>
      <c r="S856" s="23">
        <f>IF($C856&gt;0,INDEX(Merge_1_2!$N$2:$N$611,$C856),INDEX(Dataset3_Raw!$N$2:$N$391,$E856))</f>
        <v>0</v>
      </c>
      <c r="T856" s="23">
        <f>IF($C856&gt;0,INDEX(Merge_1_2!$O$2:$O$611,$C856),INDEX(Dataset3_Raw!$O$2:$O$391,$E856))</f>
        <v>4</v>
      </c>
      <c r="U856" s="23">
        <f>IF($C856&gt;0,INDEX(Merge_1_2!$P$2:$P$611,$C856),INDEX(Dataset3_Raw!$P$2:$P$391,$E856))</f>
        <v>4</v>
      </c>
      <c r="V856" s="23" t="str">
        <f t="shared" si="79"/>
        <v>Weekday</v>
      </c>
      <c r="W856" s="23" t="str">
        <f>VLOOKUP($M856,Lookups!$A$5:$B$8,2,FALSE())</f>
        <v>Mist / Cloudy</v>
      </c>
      <c r="X856" s="23" t="str">
        <f>VLOOKUP($G856,Lookups!$D$5:$E$8,2,FALSE())</f>
        <v>Winter</v>
      </c>
      <c r="Y856" s="23" t="str">
        <f>VLOOKUP($L856,Lookups!$G$5:$H$11,2,FALSE())</f>
        <v>Tuesday</v>
      </c>
      <c r="Z856" s="23" t="str">
        <f>IF($J856&lt;Lookups!$B$26,"Night",IF($J856&lt;Lookups!$B$27,"Morning",IF($J856&lt;Lookups!$B$28,"Afternoon","Evening")))</f>
        <v>Night</v>
      </c>
      <c r="AA856" s="26">
        <f>ROUND($N856*(Lookups!$B$16-Lookups!$B$15)+Lookups!$B$15,1)</f>
        <v>5.2</v>
      </c>
      <c r="AB856" s="26">
        <f>ROUND($P856*(Lookups!$B$18-Lookups!$B$17)+Lookups!$B$17,1)</f>
        <v>5</v>
      </c>
      <c r="AC856" s="23">
        <f t="shared" si="80"/>
        <v>87</v>
      </c>
      <c r="AD856" s="23">
        <f>ROUND($R856*Lookups!$B$19,1)</f>
        <v>0</v>
      </c>
      <c r="AE856" s="27">
        <f t="shared" si="81"/>
        <v>1</v>
      </c>
      <c r="AF856" s="23" t="str">
        <f>IF($U856&gt;=Lookups!$B$23,"High",IF($U856&gt;=Lookups!$B$22,"Medium","Low"))</f>
        <v>Low</v>
      </c>
      <c r="AG856" s="23">
        <f>ROUND(IF($V856="Weekday",IF(INDEX(Hourly_Analysis!$D$5:$D$28,$J856+1)&gt;0,($U856-INDEX(Hourly_Analysis!$C$5:$C$28,$J856+1))/INDEX(Hourly_Analysis!$D$5:$D$28,$J856+1),0),IF(INDEX(Hourly_Analysis!$G$5:$G$28,$J856+1)&gt;0,($U856-INDEX(Hourly_Analysis!$F$5:$F$28,$J856+1))/INDEX(Hourly_Analysis!$G$5:$G$28,$J856+1),0)),2)</f>
        <v>-0.35</v>
      </c>
      <c r="AH856" s="23" t="str">
        <f>IF(ABS($AG856)&gt;Lookups!$B$20,IF($AG856&gt;0,"High anomaly","Low anomaly"),"")</f>
        <v/>
      </c>
      <c r="AI856" s="23" t="str">
        <f t="shared" si="82"/>
        <v>OK</v>
      </c>
      <c r="AJ856" s="23" t="str">
        <f t="shared" si="83"/>
        <v>No</v>
      </c>
    </row>
    <row r="857" spans="1:36" x14ac:dyDescent="0.35">
      <c r="A857" s="23">
        <v>856</v>
      </c>
      <c r="B857" s="23" t="str">
        <f t="shared" si="78"/>
        <v>Dataset 3</v>
      </c>
      <c r="C857" s="23">
        <f>IFERROR(MATCH($A857,Merge_1_2!$A$2:$A$611,0),0)</f>
        <v>0</v>
      </c>
      <c r="D857" s="23">
        <f>IF($C857&gt;0,INDEX(Merge_1_2!$Q$2:$Q$611,$C857),0)</f>
        <v>0</v>
      </c>
      <c r="E857" s="23">
        <f>IFERROR(MATCH($A857,Dataset3_Raw!$A$2:$A$391,0),0)</f>
        <v>246</v>
      </c>
      <c r="F857" s="24">
        <f>IF($C857&gt;0,INDEX(Merge_1_2!$B$2:$B$611,$C857),DATE(VALUE(RIGHT(INDEX(Dataset3_Raw!$B$2:$B$391,$E857),4)),VALUE(MID(INDEX(Dataset3_Raw!$B$2:$B$391,$E857),4,2)),VALUE(LEFT(INDEX(Dataset3_Raw!$B$2:$B$391,$E857),2))))</f>
        <v>40582</v>
      </c>
      <c r="G857" s="23">
        <f>IF($C857&gt;0,INDEX(Merge_1_2!$C$2:$C$611,$C857),INDEX(Dataset3_Raw!$C$2:$C$391,$E857))</f>
        <v>1</v>
      </c>
      <c r="H857" s="23">
        <f>IF($C857&gt;0,INDEX(Merge_1_2!$D$2:$D$611,$C857),INDEX(Dataset3_Raw!$D$2:$D$391,$E857))</f>
        <v>0</v>
      </c>
      <c r="I857" s="23">
        <f>IF($C857&gt;0,INDEX(Merge_1_2!$E$2:$E$611,$C857),INDEX(Dataset3_Raw!$E$2:$E$391,$E857))</f>
        <v>2</v>
      </c>
      <c r="J857" s="23">
        <f>IF($C857&gt;0,INDEX(Merge_1_2!$F$2:$F$611,$C857),INDEX(Dataset3_Raw!$F$2:$F$391,$E857))</f>
        <v>2</v>
      </c>
      <c r="K857" s="23" t="b">
        <f>IF($C857&gt;0,INDEX(Merge_1_2!$G$2:$G$611,$C857),INDEX(Dataset3_Raw!$G$2:$G$391,$E857))</f>
        <v>0</v>
      </c>
      <c r="L857" s="23">
        <f>IF($C857&gt;0,INDEX(Merge_1_2!$H$2:$H$611,$C857),INDEX(Dataset3_Raw!$H$2:$H$391,$E857))</f>
        <v>2</v>
      </c>
      <c r="M857" s="23">
        <f>IF($C857&gt;0,INDEX(Merge_1_2!$I$2:$I$611,$C857),INDEX(Dataset3_Raw!$I$2:$I$391,$E857))</f>
        <v>2</v>
      </c>
      <c r="N857" s="25">
        <f>IF($C857&gt;0,INDEX(Merge_1_2!$J$2:$J$611,$C857),INDEX(Dataset3_Raw!$J$2:$J$391,$E857))</f>
        <v>0.26</v>
      </c>
      <c r="O857" s="25">
        <f>IF($C857&gt;0,IF(ISNUMBER(INDEX(Merge_1_2!$K$2:$K$611,$C857)),INDEX(Merge_1_2!$K$2:$K$611,$C857),""),INDEX(Dataset3_Raw!$K$2:$K$391,$E857))</f>
        <v>0.2727</v>
      </c>
      <c r="P857" s="25">
        <f>IF(ISNUMBER($O857),$O857,ROUND(Lookups!$B$25+Lookups!$B$24*$N857,4))</f>
        <v>0.2727</v>
      </c>
      <c r="Q857" s="25">
        <f>IF($C857&gt;0,INDEX(Merge_1_2!$L$2:$L$611,$C857),INDEX(Dataset3_Raw!$L$2:$L$391,$E857))</f>
        <v>0.93</v>
      </c>
      <c r="R857" s="25">
        <f>IF($C857&gt;0,INDEX(Merge_1_2!$M$2:$M$611,$C857),INDEX(Dataset3_Raw!$M$2:$M$391,$E857))</f>
        <v>0.1045</v>
      </c>
      <c r="S857" s="23">
        <f>IF($C857&gt;0,INDEX(Merge_1_2!$N$2:$N$611,$C857),INDEX(Dataset3_Raw!$N$2:$N$391,$E857))</f>
        <v>1</v>
      </c>
      <c r="T857" s="23">
        <f>IF($C857&gt;0,INDEX(Merge_1_2!$O$2:$O$611,$C857),INDEX(Dataset3_Raw!$O$2:$O$391,$E857))</f>
        <v>1</v>
      </c>
      <c r="U857" s="23">
        <f>IF($C857&gt;0,INDEX(Merge_1_2!$P$2:$P$611,$C857),INDEX(Dataset3_Raw!$P$2:$P$391,$E857))</f>
        <v>2</v>
      </c>
      <c r="V857" s="23" t="str">
        <f t="shared" si="79"/>
        <v>Weekday</v>
      </c>
      <c r="W857" s="23" t="str">
        <f>VLOOKUP($M857,Lookups!$A$5:$B$8,2,FALSE())</f>
        <v>Mist / Cloudy</v>
      </c>
      <c r="X857" s="23" t="str">
        <f>VLOOKUP($G857,Lookups!$D$5:$E$8,2,FALSE())</f>
        <v>Winter</v>
      </c>
      <c r="Y857" s="23" t="str">
        <f>VLOOKUP($L857,Lookups!$G$5:$H$11,2,FALSE())</f>
        <v>Tuesday</v>
      </c>
      <c r="Z857" s="23" t="str">
        <f>IF($J857&lt;Lookups!$B$26,"Night",IF($J857&lt;Lookups!$B$27,"Morning",IF($J857&lt;Lookups!$B$28,"Afternoon","Evening")))</f>
        <v>Night</v>
      </c>
      <c r="AA857" s="26">
        <f>ROUND($N857*(Lookups!$B$16-Lookups!$B$15)+Lookups!$B$15,1)</f>
        <v>4.2</v>
      </c>
      <c r="AB857" s="26">
        <f>ROUND($P857*(Lookups!$B$18-Lookups!$B$17)+Lookups!$B$17,1)</f>
        <v>2</v>
      </c>
      <c r="AC857" s="23">
        <f t="shared" si="80"/>
        <v>93</v>
      </c>
      <c r="AD857" s="23">
        <f>ROUND($R857*Lookups!$B$19,1)</f>
        <v>7</v>
      </c>
      <c r="AE857" s="27">
        <f t="shared" si="81"/>
        <v>0.5</v>
      </c>
      <c r="AF857" s="23" t="str">
        <f>IF($U857&gt;=Lookups!$B$23,"High",IF($U857&gt;=Lookups!$B$22,"Medium","Low"))</f>
        <v>Low</v>
      </c>
      <c r="AG857" s="23">
        <f>ROUND(IF($V857="Weekday",IF(INDEX(Hourly_Analysis!$D$5:$D$28,$J857+1)&gt;0,($U857-INDEX(Hourly_Analysis!$C$5:$C$28,$J857+1))/INDEX(Hourly_Analysis!$D$5:$D$28,$J857+1),0),IF(INDEX(Hourly_Analysis!$G$5:$G$28,$J857+1)&gt;0,($U857-INDEX(Hourly_Analysis!$F$5:$F$28,$J857+1))/INDEX(Hourly_Analysis!$G$5:$G$28,$J857+1),0)),2)</f>
        <v>-0.24</v>
      </c>
      <c r="AH857" s="23" t="str">
        <f>IF(ABS($AG857)&gt;Lookups!$B$20,IF($AG857&gt;0,"High anomaly","Low anomaly"),"")</f>
        <v/>
      </c>
      <c r="AI857" s="23" t="str">
        <f t="shared" si="82"/>
        <v>OK</v>
      </c>
      <c r="AJ857" s="23" t="str">
        <f t="shared" si="83"/>
        <v>No</v>
      </c>
    </row>
    <row r="858" spans="1:36" x14ac:dyDescent="0.35">
      <c r="A858" s="23">
        <v>857</v>
      </c>
      <c r="B858" s="23" t="str">
        <f t="shared" si="78"/>
        <v>Dataset 3</v>
      </c>
      <c r="C858" s="23">
        <f>IFERROR(MATCH($A858,Merge_1_2!$A$2:$A$611,0),0)</f>
        <v>0</v>
      </c>
      <c r="D858" s="23">
        <f>IF($C858&gt;0,INDEX(Merge_1_2!$Q$2:$Q$611,$C858),0)</f>
        <v>0</v>
      </c>
      <c r="E858" s="23">
        <f>IFERROR(MATCH($A858,Dataset3_Raw!$A$2:$A$391,0),0)</f>
        <v>247</v>
      </c>
      <c r="F858" s="24">
        <f>IF($C858&gt;0,INDEX(Merge_1_2!$B$2:$B$611,$C858),DATE(VALUE(RIGHT(INDEX(Dataset3_Raw!$B$2:$B$391,$E858),4)),VALUE(MID(INDEX(Dataset3_Raw!$B$2:$B$391,$E858),4,2)),VALUE(LEFT(INDEX(Dataset3_Raw!$B$2:$B$391,$E858),2))))</f>
        <v>40582</v>
      </c>
      <c r="G858" s="23">
        <f>IF($C858&gt;0,INDEX(Merge_1_2!$C$2:$C$611,$C858),INDEX(Dataset3_Raw!$C$2:$C$391,$E858))</f>
        <v>1</v>
      </c>
      <c r="H858" s="23">
        <f>IF($C858&gt;0,INDEX(Merge_1_2!$D$2:$D$611,$C858),INDEX(Dataset3_Raw!$D$2:$D$391,$E858))</f>
        <v>0</v>
      </c>
      <c r="I858" s="23">
        <f>IF($C858&gt;0,INDEX(Merge_1_2!$E$2:$E$611,$C858),INDEX(Dataset3_Raw!$E$2:$E$391,$E858))</f>
        <v>2</v>
      </c>
      <c r="J858" s="23">
        <f>IF($C858&gt;0,INDEX(Merge_1_2!$F$2:$F$611,$C858),INDEX(Dataset3_Raw!$F$2:$F$391,$E858))</f>
        <v>3</v>
      </c>
      <c r="K858" s="23" t="b">
        <f>IF($C858&gt;0,INDEX(Merge_1_2!$G$2:$G$611,$C858),INDEX(Dataset3_Raw!$G$2:$G$391,$E858))</f>
        <v>0</v>
      </c>
      <c r="L858" s="23">
        <f>IF($C858&gt;0,INDEX(Merge_1_2!$H$2:$H$611,$C858),INDEX(Dataset3_Raw!$H$2:$H$391,$E858))</f>
        <v>2</v>
      </c>
      <c r="M858" s="23">
        <f>IF($C858&gt;0,INDEX(Merge_1_2!$I$2:$I$611,$C858),INDEX(Dataset3_Raw!$I$2:$I$391,$E858))</f>
        <v>3</v>
      </c>
      <c r="N858" s="25">
        <f>IF($C858&gt;0,INDEX(Merge_1_2!$J$2:$J$611,$C858),INDEX(Dataset3_Raw!$J$2:$J$391,$E858))</f>
        <v>0.28000000000000003</v>
      </c>
      <c r="O858" s="25">
        <f>IF($C858&gt;0,IF(ISNUMBER(INDEX(Merge_1_2!$K$2:$K$611,$C858)),INDEX(Merge_1_2!$K$2:$K$611,$C858),""),INDEX(Dataset3_Raw!$K$2:$K$391,$E858))</f>
        <v>0.2727</v>
      </c>
      <c r="P858" s="25">
        <f>IF(ISNUMBER($O858),$O858,ROUND(Lookups!$B$25+Lookups!$B$24*$N858,4))</f>
        <v>0.2727</v>
      </c>
      <c r="Q858" s="25">
        <f>IF($C858&gt;0,INDEX(Merge_1_2!$L$2:$L$611,$C858),INDEX(Dataset3_Raw!$L$2:$L$391,$E858))</f>
        <v>0.93</v>
      </c>
      <c r="R858" s="25">
        <f>IF($C858&gt;0,INDEX(Merge_1_2!$M$2:$M$611,$C858),INDEX(Dataset3_Raw!$M$2:$M$391,$E858))</f>
        <v>0.16420000000000001</v>
      </c>
      <c r="S858" s="23">
        <f>IF($C858&gt;0,INDEX(Merge_1_2!$N$2:$N$611,$C858),INDEX(Dataset3_Raw!$N$2:$N$391,$E858))</f>
        <v>0</v>
      </c>
      <c r="T858" s="23">
        <f>IF($C858&gt;0,INDEX(Merge_1_2!$O$2:$O$611,$C858),INDEX(Dataset3_Raw!$O$2:$O$391,$E858))</f>
        <v>1</v>
      </c>
      <c r="U858" s="23">
        <f>IF($C858&gt;0,INDEX(Merge_1_2!$P$2:$P$611,$C858),INDEX(Dataset3_Raw!$P$2:$P$391,$E858))</f>
        <v>1</v>
      </c>
      <c r="V858" s="23" t="str">
        <f t="shared" si="79"/>
        <v>Weekday</v>
      </c>
      <c r="W858" s="23" t="str">
        <f>VLOOKUP($M858,Lookups!$A$5:$B$8,2,FALSE())</f>
        <v>Light snow / Light rain</v>
      </c>
      <c r="X858" s="23" t="str">
        <f>VLOOKUP($G858,Lookups!$D$5:$E$8,2,FALSE())</f>
        <v>Winter</v>
      </c>
      <c r="Y858" s="23" t="str">
        <f>VLOOKUP($L858,Lookups!$G$5:$H$11,2,FALSE())</f>
        <v>Tuesday</v>
      </c>
      <c r="Z858" s="23" t="str">
        <f>IF($J858&lt;Lookups!$B$26,"Night",IF($J858&lt;Lookups!$B$27,"Morning",IF($J858&lt;Lookups!$B$28,"Afternoon","Evening")))</f>
        <v>Night</v>
      </c>
      <c r="AA858" s="26">
        <f>ROUND($N858*(Lookups!$B$16-Lookups!$B$15)+Lookups!$B$15,1)</f>
        <v>5.2</v>
      </c>
      <c r="AB858" s="26">
        <f>ROUND($P858*(Lookups!$B$18-Lookups!$B$17)+Lookups!$B$17,1)</f>
        <v>2</v>
      </c>
      <c r="AC858" s="23">
        <f t="shared" si="80"/>
        <v>93</v>
      </c>
      <c r="AD858" s="23">
        <f>ROUND($R858*Lookups!$B$19,1)</f>
        <v>11</v>
      </c>
      <c r="AE858" s="27">
        <f t="shared" si="81"/>
        <v>1</v>
      </c>
      <c r="AF858" s="23" t="str">
        <f>IF($U858&gt;=Lookups!$B$23,"High",IF($U858&gt;=Lookups!$B$22,"Medium","Low"))</f>
        <v>Low</v>
      </c>
      <c r="AG858" s="23">
        <f>ROUND(IF($V858="Weekday",IF(INDEX(Hourly_Analysis!$D$5:$D$28,$J858+1)&gt;0,($U858-INDEX(Hourly_Analysis!$C$5:$C$28,$J858+1))/INDEX(Hourly_Analysis!$D$5:$D$28,$J858+1),0),IF(INDEX(Hourly_Analysis!$G$5:$G$28,$J858+1)&gt;0,($U858-INDEX(Hourly_Analysis!$F$5:$F$28,$J858+1))/INDEX(Hourly_Analysis!$G$5:$G$28,$J858+1),0)),2)</f>
        <v>-0.61</v>
      </c>
      <c r="AH858" s="23" t="str">
        <f>IF(ABS($AG858)&gt;Lookups!$B$20,IF($AG858&gt;0,"High anomaly","Low anomaly"),"")</f>
        <v/>
      </c>
      <c r="AI858" s="23" t="str">
        <f t="shared" si="82"/>
        <v>OK</v>
      </c>
      <c r="AJ858" s="23" t="str">
        <f t="shared" si="83"/>
        <v>No</v>
      </c>
    </row>
    <row r="859" spans="1:36" x14ac:dyDescent="0.35">
      <c r="A859" s="23">
        <v>858</v>
      </c>
      <c r="B859" s="23" t="str">
        <f t="shared" si="78"/>
        <v>Dataset 3</v>
      </c>
      <c r="C859" s="23">
        <f>IFERROR(MATCH($A859,Merge_1_2!$A$2:$A$611,0),0)</f>
        <v>0</v>
      </c>
      <c r="D859" s="23">
        <f>IF($C859&gt;0,INDEX(Merge_1_2!$Q$2:$Q$611,$C859),0)</f>
        <v>0</v>
      </c>
      <c r="E859" s="23">
        <f>IFERROR(MATCH($A859,Dataset3_Raw!$A$2:$A$391,0),0)</f>
        <v>248</v>
      </c>
      <c r="F859" s="24">
        <f>IF($C859&gt;0,INDEX(Merge_1_2!$B$2:$B$611,$C859),DATE(VALUE(RIGHT(INDEX(Dataset3_Raw!$B$2:$B$391,$E859),4)),VALUE(MID(INDEX(Dataset3_Raw!$B$2:$B$391,$E859),4,2)),VALUE(LEFT(INDEX(Dataset3_Raw!$B$2:$B$391,$E859),2))))</f>
        <v>40582</v>
      </c>
      <c r="G859" s="23">
        <f>IF($C859&gt;0,INDEX(Merge_1_2!$C$2:$C$611,$C859),INDEX(Dataset3_Raw!$C$2:$C$391,$E859))</f>
        <v>1</v>
      </c>
      <c r="H859" s="23">
        <f>IF($C859&gt;0,INDEX(Merge_1_2!$D$2:$D$611,$C859),INDEX(Dataset3_Raw!$D$2:$D$391,$E859))</f>
        <v>0</v>
      </c>
      <c r="I859" s="23">
        <f>IF($C859&gt;0,INDEX(Merge_1_2!$E$2:$E$611,$C859),INDEX(Dataset3_Raw!$E$2:$E$391,$E859))</f>
        <v>2</v>
      </c>
      <c r="J859" s="23">
        <f>IF($C859&gt;0,INDEX(Merge_1_2!$F$2:$F$611,$C859),INDEX(Dataset3_Raw!$F$2:$F$391,$E859))</f>
        <v>4</v>
      </c>
      <c r="K859" s="23" t="b">
        <f>IF($C859&gt;0,INDEX(Merge_1_2!$G$2:$G$611,$C859),INDEX(Dataset3_Raw!$G$2:$G$391,$E859))</f>
        <v>0</v>
      </c>
      <c r="L859" s="23">
        <f>IF($C859&gt;0,INDEX(Merge_1_2!$H$2:$H$611,$C859),INDEX(Dataset3_Raw!$H$2:$H$391,$E859))</f>
        <v>2</v>
      </c>
      <c r="M859" s="23">
        <f>IF($C859&gt;0,INDEX(Merge_1_2!$I$2:$I$611,$C859),INDEX(Dataset3_Raw!$I$2:$I$391,$E859))</f>
        <v>1</v>
      </c>
      <c r="N859" s="25">
        <f>IF($C859&gt;0,INDEX(Merge_1_2!$J$2:$J$611,$C859),INDEX(Dataset3_Raw!$J$2:$J$391,$E859))</f>
        <v>0.26</v>
      </c>
      <c r="O859" s="25">
        <f>IF($C859&gt;0,IF(ISNUMBER(INDEX(Merge_1_2!$K$2:$K$611,$C859)),INDEX(Merge_1_2!$K$2:$K$611,$C859),""),INDEX(Dataset3_Raw!$K$2:$K$391,$E859))</f>
        <v>0.2576</v>
      </c>
      <c r="P859" s="25">
        <f>IF(ISNUMBER($O859),$O859,ROUND(Lookups!$B$25+Lookups!$B$24*$N859,4))</f>
        <v>0.2576</v>
      </c>
      <c r="Q859" s="25">
        <f>IF($C859&gt;0,INDEX(Merge_1_2!$L$2:$L$611,$C859),INDEX(Dataset3_Raw!$L$2:$L$391,$E859))</f>
        <v>0.93</v>
      </c>
      <c r="R859" s="25">
        <f>IF($C859&gt;0,INDEX(Merge_1_2!$M$2:$M$611,$C859),INDEX(Dataset3_Raw!$M$2:$M$391,$E859))</f>
        <v>0.16420000000000001</v>
      </c>
      <c r="S859" s="23">
        <f>IF($C859&gt;0,INDEX(Merge_1_2!$N$2:$N$611,$C859),INDEX(Dataset3_Raw!$N$2:$N$391,$E859))</f>
        <v>0</v>
      </c>
      <c r="T859" s="23">
        <f>IF($C859&gt;0,INDEX(Merge_1_2!$O$2:$O$611,$C859),INDEX(Dataset3_Raw!$O$2:$O$391,$E859))</f>
        <v>3</v>
      </c>
      <c r="U859" s="23">
        <f>IF($C859&gt;0,INDEX(Merge_1_2!$P$2:$P$611,$C859),INDEX(Dataset3_Raw!$P$2:$P$391,$E859))</f>
        <v>3</v>
      </c>
      <c r="V859" s="23" t="str">
        <f t="shared" si="79"/>
        <v>Weekday</v>
      </c>
      <c r="W859" s="23" t="str">
        <f>VLOOKUP($M859,Lookups!$A$5:$B$8,2,FALSE())</f>
        <v>Clear / Partly cloudy</v>
      </c>
      <c r="X859" s="23" t="str">
        <f>VLOOKUP($G859,Lookups!$D$5:$E$8,2,FALSE())</f>
        <v>Winter</v>
      </c>
      <c r="Y859" s="23" t="str">
        <f>VLOOKUP($L859,Lookups!$G$5:$H$11,2,FALSE())</f>
        <v>Tuesday</v>
      </c>
      <c r="Z859" s="23" t="str">
        <f>IF($J859&lt;Lookups!$B$26,"Night",IF($J859&lt;Lookups!$B$27,"Morning",IF($J859&lt;Lookups!$B$28,"Afternoon","Evening")))</f>
        <v>Night</v>
      </c>
      <c r="AA859" s="26">
        <f>ROUND($N859*(Lookups!$B$16-Lookups!$B$15)+Lookups!$B$15,1)</f>
        <v>4.2</v>
      </c>
      <c r="AB859" s="26">
        <f>ROUND($P859*(Lookups!$B$18-Lookups!$B$17)+Lookups!$B$17,1)</f>
        <v>1</v>
      </c>
      <c r="AC859" s="23">
        <f t="shared" si="80"/>
        <v>93</v>
      </c>
      <c r="AD859" s="23">
        <f>ROUND($R859*Lookups!$B$19,1)</f>
        <v>11</v>
      </c>
      <c r="AE859" s="27">
        <f t="shared" si="81"/>
        <v>1</v>
      </c>
      <c r="AF859" s="23" t="str">
        <f>IF($U859&gt;=Lookups!$B$23,"High",IF($U859&gt;=Lookups!$B$22,"Medium","Low"))</f>
        <v>Low</v>
      </c>
      <c r="AG859" s="23">
        <f>ROUND(IF($V859="Weekday",IF(INDEX(Hourly_Analysis!$D$5:$D$28,$J859+1)&gt;0,($U859-INDEX(Hourly_Analysis!$C$5:$C$28,$J859+1))/INDEX(Hourly_Analysis!$D$5:$D$28,$J859+1),0),IF(INDEX(Hourly_Analysis!$G$5:$G$28,$J859+1)&gt;0,($U859-INDEX(Hourly_Analysis!$F$5:$F$28,$J859+1))/INDEX(Hourly_Analysis!$G$5:$G$28,$J859+1),0)),2)</f>
        <v>1.43</v>
      </c>
      <c r="AH859" s="23" t="str">
        <f>IF(ABS($AG859)&gt;Lookups!$B$20,IF($AG859&gt;0,"High anomaly","Low anomaly"),"")</f>
        <v/>
      </c>
      <c r="AI859" s="23" t="str">
        <f t="shared" si="82"/>
        <v>OK</v>
      </c>
      <c r="AJ859" s="23" t="str">
        <f t="shared" si="83"/>
        <v>No</v>
      </c>
    </row>
    <row r="860" spans="1:36" x14ac:dyDescent="0.35">
      <c r="A860" s="23">
        <v>859</v>
      </c>
      <c r="B860" s="23" t="str">
        <f t="shared" si="78"/>
        <v>Dataset 3</v>
      </c>
      <c r="C860" s="23">
        <f>IFERROR(MATCH($A860,Merge_1_2!$A$2:$A$611,0),0)</f>
        <v>0</v>
      </c>
      <c r="D860" s="23">
        <f>IF($C860&gt;0,INDEX(Merge_1_2!$Q$2:$Q$611,$C860),0)</f>
        <v>0</v>
      </c>
      <c r="E860" s="23">
        <f>IFERROR(MATCH($A860,Dataset3_Raw!$A$2:$A$391,0),0)</f>
        <v>249</v>
      </c>
      <c r="F860" s="24">
        <f>IF($C860&gt;0,INDEX(Merge_1_2!$B$2:$B$611,$C860),DATE(VALUE(RIGHT(INDEX(Dataset3_Raw!$B$2:$B$391,$E860),4)),VALUE(MID(INDEX(Dataset3_Raw!$B$2:$B$391,$E860),4,2)),VALUE(LEFT(INDEX(Dataset3_Raw!$B$2:$B$391,$E860),2))))</f>
        <v>40582</v>
      </c>
      <c r="G860" s="23">
        <f>IF($C860&gt;0,INDEX(Merge_1_2!$C$2:$C$611,$C860),INDEX(Dataset3_Raw!$C$2:$C$391,$E860))</f>
        <v>1</v>
      </c>
      <c r="H860" s="23">
        <f>IF($C860&gt;0,INDEX(Merge_1_2!$D$2:$D$611,$C860),INDEX(Dataset3_Raw!$D$2:$D$391,$E860))</f>
        <v>0</v>
      </c>
      <c r="I860" s="23">
        <f>IF($C860&gt;0,INDEX(Merge_1_2!$E$2:$E$611,$C860),INDEX(Dataset3_Raw!$E$2:$E$391,$E860))</f>
        <v>2</v>
      </c>
      <c r="J860" s="23">
        <f>IF($C860&gt;0,INDEX(Merge_1_2!$F$2:$F$611,$C860),INDEX(Dataset3_Raw!$F$2:$F$391,$E860))</f>
        <v>5</v>
      </c>
      <c r="K860" s="23" t="b">
        <f>IF($C860&gt;0,INDEX(Merge_1_2!$G$2:$G$611,$C860),INDEX(Dataset3_Raw!$G$2:$G$391,$E860))</f>
        <v>0</v>
      </c>
      <c r="L860" s="23">
        <f>IF($C860&gt;0,INDEX(Merge_1_2!$H$2:$H$611,$C860),INDEX(Dataset3_Raw!$H$2:$H$391,$E860))</f>
        <v>2</v>
      </c>
      <c r="M860" s="23">
        <f>IF($C860&gt;0,INDEX(Merge_1_2!$I$2:$I$611,$C860),INDEX(Dataset3_Raw!$I$2:$I$391,$E860))</f>
        <v>1</v>
      </c>
      <c r="N860" s="25">
        <f>IF($C860&gt;0,INDEX(Merge_1_2!$J$2:$J$611,$C860),INDEX(Dataset3_Raw!$J$2:$J$391,$E860))</f>
        <v>0.26</v>
      </c>
      <c r="O860" s="25">
        <f>IF($C860&gt;0,IF(ISNUMBER(INDEX(Merge_1_2!$K$2:$K$611,$C860)),INDEX(Merge_1_2!$K$2:$K$611,$C860),""),INDEX(Dataset3_Raw!$K$2:$K$391,$E860))</f>
        <v>0.2273</v>
      </c>
      <c r="P860" s="25">
        <f>IF(ISNUMBER($O860),$O860,ROUND(Lookups!$B$25+Lookups!$B$24*$N860,4))</f>
        <v>0.2273</v>
      </c>
      <c r="Q860" s="25">
        <f>IF($C860&gt;0,INDEX(Merge_1_2!$L$2:$L$611,$C860),INDEX(Dataset3_Raw!$L$2:$L$391,$E860))</f>
        <v>0.81</v>
      </c>
      <c r="R860" s="25">
        <f>IF($C860&gt;0,INDEX(Merge_1_2!$M$2:$M$611,$C860),INDEX(Dataset3_Raw!$M$2:$M$391,$E860))</f>
        <v>0.32840000000000003</v>
      </c>
      <c r="S860" s="23">
        <f>IF($C860&gt;0,INDEX(Merge_1_2!$N$2:$N$611,$C860),INDEX(Dataset3_Raw!$N$2:$N$391,$E860))</f>
        <v>0</v>
      </c>
      <c r="T860" s="23">
        <f>IF($C860&gt;0,INDEX(Merge_1_2!$O$2:$O$611,$C860),INDEX(Dataset3_Raw!$O$2:$O$391,$E860))</f>
        <v>2</v>
      </c>
      <c r="U860" s="23">
        <f>IF($C860&gt;0,INDEX(Merge_1_2!$P$2:$P$611,$C860),INDEX(Dataset3_Raw!$P$2:$P$391,$E860))</f>
        <v>2</v>
      </c>
      <c r="V860" s="23" t="str">
        <f t="shared" si="79"/>
        <v>Weekday</v>
      </c>
      <c r="W860" s="23" t="str">
        <f>VLOOKUP($M860,Lookups!$A$5:$B$8,2,FALSE())</f>
        <v>Clear / Partly cloudy</v>
      </c>
      <c r="X860" s="23" t="str">
        <f>VLOOKUP($G860,Lookups!$D$5:$E$8,2,FALSE())</f>
        <v>Winter</v>
      </c>
      <c r="Y860" s="23" t="str">
        <f>VLOOKUP($L860,Lookups!$G$5:$H$11,2,FALSE())</f>
        <v>Tuesday</v>
      </c>
      <c r="Z860" s="23" t="str">
        <f>IF($J860&lt;Lookups!$B$26,"Night",IF($J860&lt;Lookups!$B$27,"Morning",IF($J860&lt;Lookups!$B$28,"Afternoon","Evening")))</f>
        <v>Night</v>
      </c>
      <c r="AA860" s="26">
        <f>ROUND($N860*(Lookups!$B$16-Lookups!$B$15)+Lookups!$B$15,1)</f>
        <v>4.2</v>
      </c>
      <c r="AB860" s="26">
        <f>ROUND($P860*(Lookups!$B$18-Lookups!$B$17)+Lookups!$B$17,1)</f>
        <v>-1</v>
      </c>
      <c r="AC860" s="23">
        <f t="shared" si="80"/>
        <v>81</v>
      </c>
      <c r="AD860" s="23">
        <f>ROUND($R860*Lookups!$B$19,1)</f>
        <v>22</v>
      </c>
      <c r="AE860" s="27">
        <f t="shared" si="81"/>
        <v>1</v>
      </c>
      <c r="AF860" s="23" t="str">
        <f>IF($U860&gt;=Lookups!$B$23,"High",IF($U860&gt;=Lookups!$B$22,"Medium","Low"))</f>
        <v>Low</v>
      </c>
      <c r="AG860" s="23">
        <f>ROUND(IF($V860="Weekday",IF(INDEX(Hourly_Analysis!$D$5:$D$28,$J860+1)&gt;0,($U860-INDEX(Hourly_Analysis!$C$5:$C$28,$J860+1))/INDEX(Hourly_Analysis!$D$5:$D$28,$J860+1),0),IF(INDEX(Hourly_Analysis!$G$5:$G$28,$J860+1)&gt;0,($U860-INDEX(Hourly_Analysis!$F$5:$F$28,$J860+1))/INDEX(Hourly_Analysis!$G$5:$G$28,$J860+1),0)),2)</f>
        <v>-1.26</v>
      </c>
      <c r="AH860" s="23" t="str">
        <f>IF(ABS($AG860)&gt;Lookups!$B$20,IF($AG860&gt;0,"High anomaly","Low anomaly"),"")</f>
        <v/>
      </c>
      <c r="AI860" s="23" t="str">
        <f t="shared" si="82"/>
        <v>OK</v>
      </c>
      <c r="AJ860" s="23" t="str">
        <f t="shared" si="83"/>
        <v>No</v>
      </c>
    </row>
    <row r="861" spans="1:36" x14ac:dyDescent="0.35">
      <c r="A861" s="23">
        <v>860</v>
      </c>
      <c r="B861" s="23" t="str">
        <f t="shared" si="78"/>
        <v>Dataset 3</v>
      </c>
      <c r="C861" s="23">
        <f>IFERROR(MATCH($A861,Merge_1_2!$A$2:$A$611,0),0)</f>
        <v>0</v>
      </c>
      <c r="D861" s="23">
        <f>IF($C861&gt;0,INDEX(Merge_1_2!$Q$2:$Q$611,$C861),0)</f>
        <v>0</v>
      </c>
      <c r="E861" s="23">
        <f>IFERROR(MATCH($A861,Dataset3_Raw!$A$2:$A$391,0),0)</f>
        <v>250</v>
      </c>
      <c r="F861" s="24">
        <f>IF($C861&gt;0,INDEX(Merge_1_2!$B$2:$B$611,$C861),DATE(VALUE(RIGHT(INDEX(Dataset3_Raw!$B$2:$B$391,$E861),4)),VALUE(MID(INDEX(Dataset3_Raw!$B$2:$B$391,$E861),4,2)),VALUE(LEFT(INDEX(Dataset3_Raw!$B$2:$B$391,$E861),2))))</f>
        <v>40582</v>
      </c>
      <c r="G861" s="23">
        <f>IF($C861&gt;0,INDEX(Merge_1_2!$C$2:$C$611,$C861),INDEX(Dataset3_Raw!$C$2:$C$391,$E861))</f>
        <v>1</v>
      </c>
      <c r="H861" s="23">
        <f>IF($C861&gt;0,INDEX(Merge_1_2!$D$2:$D$611,$C861),INDEX(Dataset3_Raw!$D$2:$D$391,$E861))</f>
        <v>0</v>
      </c>
      <c r="I861" s="23">
        <f>IF($C861&gt;0,INDEX(Merge_1_2!$E$2:$E$611,$C861),INDEX(Dataset3_Raw!$E$2:$E$391,$E861))</f>
        <v>2</v>
      </c>
      <c r="J861" s="23">
        <f>IF($C861&gt;0,INDEX(Merge_1_2!$F$2:$F$611,$C861),INDEX(Dataset3_Raw!$F$2:$F$391,$E861))</f>
        <v>6</v>
      </c>
      <c r="K861" s="23" t="b">
        <f>IF($C861&gt;0,INDEX(Merge_1_2!$G$2:$G$611,$C861),INDEX(Dataset3_Raw!$G$2:$G$391,$E861))</f>
        <v>0</v>
      </c>
      <c r="L861" s="23">
        <f>IF($C861&gt;0,INDEX(Merge_1_2!$H$2:$H$611,$C861),INDEX(Dataset3_Raw!$H$2:$H$391,$E861))</f>
        <v>2</v>
      </c>
      <c r="M861" s="23">
        <f>IF($C861&gt;0,INDEX(Merge_1_2!$I$2:$I$611,$C861),INDEX(Dataset3_Raw!$I$2:$I$391,$E861))</f>
        <v>1</v>
      </c>
      <c r="N861" s="25">
        <f>IF($C861&gt;0,INDEX(Merge_1_2!$J$2:$J$611,$C861),INDEX(Dataset3_Raw!$J$2:$J$391,$E861))</f>
        <v>0.26</v>
      </c>
      <c r="O861" s="25">
        <f>IF($C861&gt;0,IF(ISNUMBER(INDEX(Merge_1_2!$K$2:$K$611,$C861)),INDEX(Merge_1_2!$K$2:$K$611,$C861),""),INDEX(Dataset3_Raw!$K$2:$K$391,$E861))</f>
        <v>0.2273</v>
      </c>
      <c r="P861" s="25">
        <f>IF(ISNUMBER($O861),$O861,ROUND(Lookups!$B$25+Lookups!$B$24*$N861,4))</f>
        <v>0.2273</v>
      </c>
      <c r="Q861" s="25">
        <f>IF($C861&gt;0,INDEX(Merge_1_2!$L$2:$L$611,$C861),INDEX(Dataset3_Raw!$L$2:$L$391,$E861))</f>
        <v>0.7</v>
      </c>
      <c r="R861" s="25">
        <f>IF($C861&gt;0,INDEX(Merge_1_2!$M$2:$M$611,$C861),INDEX(Dataset3_Raw!$M$2:$M$391,$E861))</f>
        <v>0.32840000000000003</v>
      </c>
      <c r="S861" s="23">
        <f>IF($C861&gt;0,INDEX(Merge_1_2!$N$2:$N$611,$C861),INDEX(Dataset3_Raw!$N$2:$N$391,$E861))</f>
        <v>0</v>
      </c>
      <c r="T861" s="23">
        <f>IF($C861&gt;0,INDEX(Merge_1_2!$O$2:$O$611,$C861),INDEX(Dataset3_Raw!$O$2:$O$391,$E861))</f>
        <v>39</v>
      </c>
      <c r="U861" s="23">
        <f>IF($C861&gt;0,INDEX(Merge_1_2!$P$2:$P$611,$C861),INDEX(Dataset3_Raw!$P$2:$P$391,$E861))</f>
        <v>39</v>
      </c>
      <c r="V861" s="23" t="str">
        <f t="shared" si="79"/>
        <v>Weekday</v>
      </c>
      <c r="W861" s="23" t="str">
        <f>VLOOKUP($M861,Lookups!$A$5:$B$8,2,FALSE())</f>
        <v>Clear / Partly cloudy</v>
      </c>
      <c r="X861" s="23" t="str">
        <f>VLOOKUP($G861,Lookups!$D$5:$E$8,2,FALSE())</f>
        <v>Winter</v>
      </c>
      <c r="Y861" s="23" t="str">
        <f>VLOOKUP($L861,Lookups!$G$5:$H$11,2,FALSE())</f>
        <v>Tuesday</v>
      </c>
      <c r="Z861" s="23" t="str">
        <f>IF($J861&lt;Lookups!$B$26,"Night",IF($J861&lt;Lookups!$B$27,"Morning",IF($J861&lt;Lookups!$B$28,"Afternoon","Evening")))</f>
        <v>Morning</v>
      </c>
      <c r="AA861" s="26">
        <f>ROUND($N861*(Lookups!$B$16-Lookups!$B$15)+Lookups!$B$15,1)</f>
        <v>4.2</v>
      </c>
      <c r="AB861" s="26">
        <f>ROUND($P861*(Lookups!$B$18-Lookups!$B$17)+Lookups!$B$17,1)</f>
        <v>-1</v>
      </c>
      <c r="AC861" s="23">
        <f t="shared" si="80"/>
        <v>70</v>
      </c>
      <c r="AD861" s="23">
        <f>ROUND($R861*Lookups!$B$19,1)</f>
        <v>22</v>
      </c>
      <c r="AE861" s="27">
        <f t="shared" si="81"/>
        <v>1</v>
      </c>
      <c r="AF861" s="23" t="str">
        <f>IF($U861&gt;=Lookups!$B$23,"High",IF($U861&gt;=Lookups!$B$22,"Medium","Low"))</f>
        <v>Medium</v>
      </c>
      <c r="AG861" s="23">
        <f>ROUND(IF($V861="Weekday",IF(INDEX(Hourly_Analysis!$D$5:$D$28,$J861+1)&gt;0,($U861-INDEX(Hourly_Analysis!$C$5:$C$28,$J861+1))/INDEX(Hourly_Analysis!$D$5:$D$28,$J861+1),0),IF(INDEX(Hourly_Analysis!$G$5:$G$28,$J861+1)&gt;0,($U861-INDEX(Hourly_Analysis!$F$5:$F$28,$J861+1))/INDEX(Hourly_Analysis!$G$5:$G$28,$J861+1),0)),2)</f>
        <v>1.25</v>
      </c>
      <c r="AH861" s="23" t="str">
        <f>IF(ABS($AG861)&gt;Lookups!$B$20,IF($AG861&gt;0,"High anomaly","Low anomaly"),"")</f>
        <v/>
      </c>
      <c r="AI861" s="23" t="str">
        <f t="shared" si="82"/>
        <v>OK</v>
      </c>
      <c r="AJ861" s="23" t="str">
        <f t="shared" si="83"/>
        <v>No</v>
      </c>
    </row>
    <row r="862" spans="1:36" x14ac:dyDescent="0.35">
      <c r="A862" s="23">
        <v>861</v>
      </c>
      <c r="B862" s="23" t="str">
        <f t="shared" si="78"/>
        <v>Dataset 3</v>
      </c>
      <c r="C862" s="23">
        <f>IFERROR(MATCH($A862,Merge_1_2!$A$2:$A$611,0),0)</f>
        <v>0</v>
      </c>
      <c r="D862" s="23">
        <f>IF($C862&gt;0,INDEX(Merge_1_2!$Q$2:$Q$611,$C862),0)</f>
        <v>0</v>
      </c>
      <c r="E862" s="23">
        <f>IFERROR(MATCH($A862,Dataset3_Raw!$A$2:$A$391,0),0)</f>
        <v>251</v>
      </c>
      <c r="F862" s="24">
        <f>IF($C862&gt;0,INDEX(Merge_1_2!$B$2:$B$611,$C862),DATE(VALUE(RIGHT(INDEX(Dataset3_Raw!$B$2:$B$391,$E862),4)),VALUE(MID(INDEX(Dataset3_Raw!$B$2:$B$391,$E862),4,2)),VALUE(LEFT(INDEX(Dataset3_Raw!$B$2:$B$391,$E862),2))))</f>
        <v>40582</v>
      </c>
      <c r="G862" s="23">
        <f>IF($C862&gt;0,INDEX(Merge_1_2!$C$2:$C$611,$C862),INDEX(Dataset3_Raw!$C$2:$C$391,$E862))</f>
        <v>1</v>
      </c>
      <c r="H862" s="23">
        <f>IF($C862&gt;0,INDEX(Merge_1_2!$D$2:$D$611,$C862),INDEX(Dataset3_Raw!$D$2:$D$391,$E862))</f>
        <v>0</v>
      </c>
      <c r="I862" s="23">
        <f>IF($C862&gt;0,INDEX(Merge_1_2!$E$2:$E$611,$C862),INDEX(Dataset3_Raw!$E$2:$E$391,$E862))</f>
        <v>2</v>
      </c>
      <c r="J862" s="23">
        <f>IF($C862&gt;0,INDEX(Merge_1_2!$F$2:$F$611,$C862),INDEX(Dataset3_Raw!$F$2:$F$391,$E862))</f>
        <v>7</v>
      </c>
      <c r="K862" s="23" t="b">
        <f>IF($C862&gt;0,INDEX(Merge_1_2!$G$2:$G$611,$C862),INDEX(Dataset3_Raw!$G$2:$G$391,$E862))</f>
        <v>0</v>
      </c>
      <c r="L862" s="23">
        <f>IF($C862&gt;0,INDEX(Merge_1_2!$H$2:$H$611,$C862),INDEX(Dataset3_Raw!$H$2:$H$391,$E862))</f>
        <v>2</v>
      </c>
      <c r="M862" s="23">
        <f>IF($C862&gt;0,INDEX(Merge_1_2!$I$2:$I$611,$C862),INDEX(Dataset3_Raw!$I$2:$I$391,$E862))</f>
        <v>1</v>
      </c>
      <c r="N862" s="25">
        <f>IF($C862&gt;0,INDEX(Merge_1_2!$J$2:$J$611,$C862),INDEX(Dataset3_Raw!$J$2:$J$391,$E862))</f>
        <v>0.24</v>
      </c>
      <c r="O862" s="25">
        <f>IF($C862&gt;0,IF(ISNUMBER(INDEX(Merge_1_2!$K$2:$K$611,$C862)),INDEX(Merge_1_2!$K$2:$K$611,$C862),""),INDEX(Dataset3_Raw!$K$2:$K$391,$E862))</f>
        <v>0.19700000000000001</v>
      </c>
      <c r="P862" s="25">
        <f>IF(ISNUMBER($O862),$O862,ROUND(Lookups!$B$25+Lookups!$B$24*$N862,4))</f>
        <v>0.19700000000000001</v>
      </c>
      <c r="Q862" s="25">
        <f>IF($C862&gt;0,INDEX(Merge_1_2!$L$2:$L$611,$C862),INDEX(Dataset3_Raw!$L$2:$L$391,$E862))</f>
        <v>0.65</v>
      </c>
      <c r="R862" s="25">
        <f>IF($C862&gt;0,INDEX(Merge_1_2!$M$2:$M$611,$C862),INDEX(Dataset3_Raw!$M$2:$M$391,$E862))</f>
        <v>0.41789999999999999</v>
      </c>
      <c r="S862" s="23">
        <f>IF($C862&gt;0,INDEX(Merge_1_2!$N$2:$N$611,$C862),INDEX(Dataset3_Raw!$N$2:$N$391,$E862))</f>
        <v>3</v>
      </c>
      <c r="T862" s="23">
        <f>IF($C862&gt;0,INDEX(Merge_1_2!$O$2:$O$611,$C862),INDEX(Dataset3_Raw!$O$2:$O$391,$E862))</f>
        <v>97</v>
      </c>
      <c r="U862" s="23">
        <f>IF($C862&gt;0,INDEX(Merge_1_2!$P$2:$P$611,$C862),INDEX(Dataset3_Raw!$P$2:$P$391,$E862))</f>
        <v>100</v>
      </c>
      <c r="V862" s="23" t="str">
        <f t="shared" si="79"/>
        <v>Weekday</v>
      </c>
      <c r="W862" s="23" t="str">
        <f>VLOOKUP($M862,Lookups!$A$5:$B$8,2,FALSE())</f>
        <v>Clear / Partly cloudy</v>
      </c>
      <c r="X862" s="23" t="str">
        <f>VLOOKUP($G862,Lookups!$D$5:$E$8,2,FALSE())</f>
        <v>Winter</v>
      </c>
      <c r="Y862" s="23" t="str">
        <f>VLOOKUP($L862,Lookups!$G$5:$H$11,2,FALSE())</f>
        <v>Tuesday</v>
      </c>
      <c r="Z862" s="23" t="str">
        <f>IF($J862&lt;Lookups!$B$26,"Night",IF($J862&lt;Lookups!$B$27,"Morning",IF($J862&lt;Lookups!$B$28,"Afternoon","Evening")))</f>
        <v>Morning</v>
      </c>
      <c r="AA862" s="26">
        <f>ROUND($N862*(Lookups!$B$16-Lookups!$B$15)+Lookups!$B$15,1)</f>
        <v>3.3</v>
      </c>
      <c r="AB862" s="26">
        <f>ROUND($P862*(Lookups!$B$18-Lookups!$B$17)+Lookups!$B$17,1)</f>
        <v>-3</v>
      </c>
      <c r="AC862" s="23">
        <f t="shared" si="80"/>
        <v>65</v>
      </c>
      <c r="AD862" s="23">
        <f>ROUND($R862*Lookups!$B$19,1)</f>
        <v>28</v>
      </c>
      <c r="AE862" s="27">
        <f t="shared" si="81"/>
        <v>0.97</v>
      </c>
      <c r="AF862" s="23" t="str">
        <f>IF($U862&gt;=Lookups!$B$23,"High",IF($U862&gt;=Lookups!$B$22,"Medium","Low"))</f>
        <v>High</v>
      </c>
      <c r="AG862" s="23">
        <f>ROUND(IF($V862="Weekday",IF(INDEX(Hourly_Analysis!$D$5:$D$28,$J862+1)&gt;0,($U862-INDEX(Hourly_Analysis!$C$5:$C$28,$J862+1))/INDEX(Hourly_Analysis!$D$5:$D$28,$J862+1),0),IF(INDEX(Hourly_Analysis!$G$5:$G$28,$J862+1)&gt;0,($U862-INDEX(Hourly_Analysis!$F$5:$F$28,$J862+1))/INDEX(Hourly_Analysis!$G$5:$G$28,$J862+1),0)),2)</f>
        <v>1.02</v>
      </c>
      <c r="AH862" s="23" t="str">
        <f>IF(ABS($AG862)&gt;Lookups!$B$20,IF($AG862&gt;0,"High anomaly","Low anomaly"),"")</f>
        <v/>
      </c>
      <c r="AI862" s="23" t="str">
        <f t="shared" si="82"/>
        <v>OK</v>
      </c>
      <c r="AJ862" s="23" t="str">
        <f t="shared" si="83"/>
        <v>No</v>
      </c>
    </row>
    <row r="863" spans="1:36" x14ac:dyDescent="0.35">
      <c r="A863" s="23">
        <v>862</v>
      </c>
      <c r="B863" s="23" t="str">
        <f t="shared" si="78"/>
        <v>Dataset 3</v>
      </c>
      <c r="C863" s="23">
        <f>IFERROR(MATCH($A863,Merge_1_2!$A$2:$A$611,0),0)</f>
        <v>0</v>
      </c>
      <c r="D863" s="23">
        <f>IF($C863&gt;0,INDEX(Merge_1_2!$Q$2:$Q$611,$C863),0)</f>
        <v>0</v>
      </c>
      <c r="E863" s="23">
        <f>IFERROR(MATCH($A863,Dataset3_Raw!$A$2:$A$391,0),0)</f>
        <v>252</v>
      </c>
      <c r="F863" s="24">
        <f>IF($C863&gt;0,INDEX(Merge_1_2!$B$2:$B$611,$C863),DATE(VALUE(RIGHT(INDEX(Dataset3_Raw!$B$2:$B$391,$E863),4)),VALUE(MID(INDEX(Dataset3_Raw!$B$2:$B$391,$E863),4,2)),VALUE(LEFT(INDEX(Dataset3_Raw!$B$2:$B$391,$E863),2))))</f>
        <v>40582</v>
      </c>
      <c r="G863" s="23">
        <f>IF($C863&gt;0,INDEX(Merge_1_2!$C$2:$C$611,$C863),INDEX(Dataset3_Raw!$C$2:$C$391,$E863))</f>
        <v>1</v>
      </c>
      <c r="H863" s="23">
        <f>IF($C863&gt;0,INDEX(Merge_1_2!$D$2:$D$611,$C863),INDEX(Dataset3_Raw!$D$2:$D$391,$E863))</f>
        <v>0</v>
      </c>
      <c r="I863" s="23">
        <f>IF($C863&gt;0,INDEX(Merge_1_2!$E$2:$E$611,$C863),INDEX(Dataset3_Raw!$E$2:$E$391,$E863))</f>
        <v>2</v>
      </c>
      <c r="J863" s="23">
        <f>IF($C863&gt;0,INDEX(Merge_1_2!$F$2:$F$611,$C863),INDEX(Dataset3_Raw!$F$2:$F$391,$E863))</f>
        <v>8</v>
      </c>
      <c r="K863" s="23" t="b">
        <f>IF($C863&gt;0,INDEX(Merge_1_2!$G$2:$G$611,$C863),INDEX(Dataset3_Raw!$G$2:$G$391,$E863))</f>
        <v>0</v>
      </c>
      <c r="L863" s="23">
        <f>IF($C863&gt;0,INDEX(Merge_1_2!$H$2:$H$611,$C863),INDEX(Dataset3_Raw!$H$2:$H$391,$E863))</f>
        <v>2</v>
      </c>
      <c r="M863" s="23">
        <f>IF($C863&gt;0,INDEX(Merge_1_2!$I$2:$I$611,$C863),INDEX(Dataset3_Raw!$I$2:$I$391,$E863))</f>
        <v>1</v>
      </c>
      <c r="N863" s="25">
        <f>IF($C863&gt;0,INDEX(Merge_1_2!$J$2:$J$611,$C863),INDEX(Dataset3_Raw!$J$2:$J$391,$E863))</f>
        <v>0.24</v>
      </c>
      <c r="O863" s="25">
        <f>IF($C863&gt;0,IF(ISNUMBER(INDEX(Merge_1_2!$K$2:$K$611,$C863)),INDEX(Merge_1_2!$K$2:$K$611,$C863),""),INDEX(Dataset3_Raw!$K$2:$K$391,$E863))</f>
        <v>0.19700000000000001</v>
      </c>
      <c r="P863" s="25">
        <f>IF(ISNUMBER($O863),$O863,ROUND(Lookups!$B$25+Lookups!$B$24*$N863,4))</f>
        <v>0.19700000000000001</v>
      </c>
      <c r="Q863" s="25">
        <f>IF($C863&gt;0,INDEX(Merge_1_2!$L$2:$L$611,$C863),INDEX(Dataset3_Raw!$L$2:$L$391,$E863))</f>
        <v>0.56000000000000005</v>
      </c>
      <c r="R863" s="25">
        <f>IF($C863&gt;0,INDEX(Merge_1_2!$M$2:$M$611,$C863),INDEX(Dataset3_Raw!$M$2:$M$391,$E863))</f>
        <v>0.49249999999999999</v>
      </c>
      <c r="S863" s="23">
        <f>IF($C863&gt;0,INDEX(Merge_1_2!$N$2:$N$611,$C863),INDEX(Dataset3_Raw!$N$2:$N$391,$E863))</f>
        <v>7</v>
      </c>
      <c r="T863" s="23">
        <f>IF($C863&gt;0,INDEX(Merge_1_2!$O$2:$O$611,$C863),INDEX(Dataset3_Raw!$O$2:$O$391,$E863))</f>
        <v>236</v>
      </c>
      <c r="U863" s="23">
        <f>IF($C863&gt;0,INDEX(Merge_1_2!$P$2:$P$611,$C863),INDEX(Dataset3_Raw!$P$2:$P$391,$E863))</f>
        <v>243</v>
      </c>
      <c r="V863" s="23" t="str">
        <f t="shared" si="79"/>
        <v>Weekday</v>
      </c>
      <c r="W863" s="23" t="str">
        <f>VLOOKUP($M863,Lookups!$A$5:$B$8,2,FALSE())</f>
        <v>Clear / Partly cloudy</v>
      </c>
      <c r="X863" s="23" t="str">
        <f>VLOOKUP($G863,Lookups!$D$5:$E$8,2,FALSE())</f>
        <v>Winter</v>
      </c>
      <c r="Y863" s="23" t="str">
        <f>VLOOKUP($L863,Lookups!$G$5:$H$11,2,FALSE())</f>
        <v>Tuesday</v>
      </c>
      <c r="Z863" s="23" t="str">
        <f>IF($J863&lt;Lookups!$B$26,"Night",IF($J863&lt;Lookups!$B$27,"Morning",IF($J863&lt;Lookups!$B$28,"Afternoon","Evening")))</f>
        <v>Morning</v>
      </c>
      <c r="AA863" s="26">
        <f>ROUND($N863*(Lookups!$B$16-Lookups!$B$15)+Lookups!$B$15,1)</f>
        <v>3.3</v>
      </c>
      <c r="AB863" s="26">
        <f>ROUND($P863*(Lookups!$B$18-Lookups!$B$17)+Lookups!$B$17,1)</f>
        <v>-3</v>
      </c>
      <c r="AC863" s="23">
        <f t="shared" si="80"/>
        <v>56</v>
      </c>
      <c r="AD863" s="23">
        <f>ROUND($R863*Lookups!$B$19,1)</f>
        <v>33</v>
      </c>
      <c r="AE863" s="27">
        <f t="shared" si="81"/>
        <v>0.9711934156378601</v>
      </c>
      <c r="AF863" s="23" t="str">
        <f>IF($U863&gt;=Lookups!$B$23,"High",IF($U863&gt;=Lookups!$B$22,"Medium","Low"))</f>
        <v>High</v>
      </c>
      <c r="AG863" s="23">
        <f>ROUND(IF($V863="Weekday",IF(INDEX(Hourly_Analysis!$D$5:$D$28,$J863+1)&gt;0,($U863-INDEX(Hourly_Analysis!$C$5:$C$28,$J863+1))/INDEX(Hourly_Analysis!$D$5:$D$28,$J863+1),0),IF(INDEX(Hourly_Analysis!$G$5:$G$28,$J863+1)&gt;0,($U863-INDEX(Hourly_Analysis!$F$5:$F$28,$J863+1))/INDEX(Hourly_Analysis!$G$5:$G$28,$J863+1),0)),2)</f>
        <v>1.36</v>
      </c>
      <c r="AH863" s="23" t="str">
        <f>IF(ABS($AG863)&gt;Lookups!$B$20,IF($AG863&gt;0,"High anomaly","Low anomaly"),"")</f>
        <v/>
      </c>
      <c r="AI863" s="23" t="str">
        <f t="shared" si="82"/>
        <v>OK</v>
      </c>
      <c r="AJ863" s="23" t="str">
        <f t="shared" si="83"/>
        <v>No</v>
      </c>
    </row>
    <row r="864" spans="1:36" x14ac:dyDescent="0.35">
      <c r="A864" s="23">
        <v>863</v>
      </c>
      <c r="B864" s="23" t="str">
        <f t="shared" si="78"/>
        <v>Dataset 3</v>
      </c>
      <c r="C864" s="23">
        <f>IFERROR(MATCH($A864,Merge_1_2!$A$2:$A$611,0),0)</f>
        <v>0</v>
      </c>
      <c r="D864" s="23">
        <f>IF($C864&gt;0,INDEX(Merge_1_2!$Q$2:$Q$611,$C864),0)</f>
        <v>0</v>
      </c>
      <c r="E864" s="23">
        <f>IFERROR(MATCH($A864,Dataset3_Raw!$A$2:$A$391,0),0)</f>
        <v>253</v>
      </c>
      <c r="F864" s="24">
        <f>IF($C864&gt;0,INDEX(Merge_1_2!$B$2:$B$611,$C864),DATE(VALUE(RIGHT(INDEX(Dataset3_Raw!$B$2:$B$391,$E864),4)),VALUE(MID(INDEX(Dataset3_Raw!$B$2:$B$391,$E864),4,2)),VALUE(LEFT(INDEX(Dataset3_Raw!$B$2:$B$391,$E864),2))))</f>
        <v>40582</v>
      </c>
      <c r="G864" s="23">
        <f>IF($C864&gt;0,INDEX(Merge_1_2!$C$2:$C$611,$C864),INDEX(Dataset3_Raw!$C$2:$C$391,$E864))</f>
        <v>1</v>
      </c>
      <c r="H864" s="23">
        <f>IF($C864&gt;0,INDEX(Merge_1_2!$D$2:$D$611,$C864),INDEX(Dataset3_Raw!$D$2:$D$391,$E864))</f>
        <v>0</v>
      </c>
      <c r="I864" s="23">
        <f>IF($C864&gt;0,INDEX(Merge_1_2!$E$2:$E$611,$C864),INDEX(Dataset3_Raw!$E$2:$E$391,$E864))</f>
        <v>2</v>
      </c>
      <c r="J864" s="23">
        <f>IF($C864&gt;0,INDEX(Merge_1_2!$F$2:$F$611,$C864),INDEX(Dataset3_Raw!$F$2:$F$391,$E864))</f>
        <v>9</v>
      </c>
      <c r="K864" s="23" t="b">
        <f>IF($C864&gt;0,INDEX(Merge_1_2!$G$2:$G$611,$C864),INDEX(Dataset3_Raw!$G$2:$G$391,$E864))</f>
        <v>0</v>
      </c>
      <c r="L864" s="23">
        <f>IF($C864&gt;0,INDEX(Merge_1_2!$H$2:$H$611,$C864),INDEX(Dataset3_Raw!$H$2:$H$391,$E864))</f>
        <v>2</v>
      </c>
      <c r="M864" s="23">
        <f>IF($C864&gt;0,INDEX(Merge_1_2!$I$2:$I$611,$C864),INDEX(Dataset3_Raw!$I$2:$I$391,$E864))</f>
        <v>1</v>
      </c>
      <c r="N864" s="25">
        <f>IF($C864&gt;0,INDEX(Merge_1_2!$J$2:$J$611,$C864),INDEX(Dataset3_Raw!$J$2:$J$391,$E864))</f>
        <v>0.24</v>
      </c>
      <c r="O864" s="25">
        <f>IF($C864&gt;0,IF(ISNUMBER(INDEX(Merge_1_2!$K$2:$K$611,$C864)),INDEX(Merge_1_2!$K$2:$K$611,$C864),""),INDEX(Dataset3_Raw!$K$2:$K$391,$E864))</f>
        <v>0.19700000000000001</v>
      </c>
      <c r="P864" s="25">
        <f>IF(ISNUMBER($O864),$O864,ROUND(Lookups!$B$25+Lookups!$B$24*$N864,4))</f>
        <v>0.19700000000000001</v>
      </c>
      <c r="Q864" s="25">
        <f>IF($C864&gt;0,INDEX(Merge_1_2!$L$2:$L$611,$C864),INDEX(Dataset3_Raw!$L$2:$L$391,$E864))</f>
        <v>0.52</v>
      </c>
      <c r="R864" s="25">
        <f>IF($C864&gt;0,INDEX(Merge_1_2!$M$2:$M$611,$C864),INDEX(Dataset3_Raw!$M$2:$M$391,$E864))</f>
        <v>0.49249999999999999</v>
      </c>
      <c r="S864" s="23">
        <f>IF($C864&gt;0,INDEX(Merge_1_2!$N$2:$N$611,$C864),INDEX(Dataset3_Raw!$N$2:$N$391,$E864))</f>
        <v>7</v>
      </c>
      <c r="T864" s="23">
        <f>IF($C864&gt;0,INDEX(Merge_1_2!$O$2:$O$611,$C864),INDEX(Dataset3_Raw!$O$2:$O$391,$E864))</f>
        <v>128</v>
      </c>
      <c r="U864" s="23">
        <f>IF($C864&gt;0,INDEX(Merge_1_2!$P$2:$P$611,$C864),INDEX(Dataset3_Raw!$P$2:$P$391,$E864))</f>
        <v>135</v>
      </c>
      <c r="V864" s="23" t="str">
        <f t="shared" si="79"/>
        <v>Weekday</v>
      </c>
      <c r="W864" s="23" t="str">
        <f>VLOOKUP($M864,Lookups!$A$5:$B$8,2,FALSE())</f>
        <v>Clear / Partly cloudy</v>
      </c>
      <c r="X864" s="23" t="str">
        <f>VLOOKUP($G864,Lookups!$D$5:$E$8,2,FALSE())</f>
        <v>Winter</v>
      </c>
      <c r="Y864" s="23" t="str">
        <f>VLOOKUP($L864,Lookups!$G$5:$H$11,2,FALSE())</f>
        <v>Tuesday</v>
      </c>
      <c r="Z864" s="23" t="str">
        <f>IF($J864&lt;Lookups!$B$26,"Night",IF($J864&lt;Lookups!$B$27,"Morning",IF($J864&lt;Lookups!$B$28,"Afternoon","Evening")))</f>
        <v>Morning</v>
      </c>
      <c r="AA864" s="26">
        <f>ROUND($N864*(Lookups!$B$16-Lookups!$B$15)+Lookups!$B$15,1)</f>
        <v>3.3</v>
      </c>
      <c r="AB864" s="26">
        <f>ROUND($P864*(Lookups!$B$18-Lookups!$B$17)+Lookups!$B$17,1)</f>
        <v>-3</v>
      </c>
      <c r="AC864" s="23">
        <f t="shared" si="80"/>
        <v>52</v>
      </c>
      <c r="AD864" s="23">
        <f>ROUND($R864*Lookups!$B$19,1)</f>
        <v>33</v>
      </c>
      <c r="AE864" s="27">
        <f t="shared" si="81"/>
        <v>0.94814814814814818</v>
      </c>
      <c r="AF864" s="23" t="str">
        <f>IF($U864&gt;=Lookups!$B$23,"High",IF($U864&gt;=Lookups!$B$22,"Medium","Low"))</f>
        <v>High</v>
      </c>
      <c r="AG864" s="23">
        <f>ROUND(IF($V864="Weekday",IF(INDEX(Hourly_Analysis!$D$5:$D$28,$J864+1)&gt;0,($U864-INDEX(Hourly_Analysis!$C$5:$C$28,$J864+1))/INDEX(Hourly_Analysis!$D$5:$D$28,$J864+1),0),IF(INDEX(Hourly_Analysis!$G$5:$G$28,$J864+1)&gt;0,($U864-INDEX(Hourly_Analysis!$F$5:$F$28,$J864+1))/INDEX(Hourly_Analysis!$G$5:$G$28,$J864+1),0)),2)</f>
        <v>0.75</v>
      </c>
      <c r="AH864" s="23" t="str">
        <f>IF(ABS($AG864)&gt;Lookups!$B$20,IF($AG864&gt;0,"High anomaly","Low anomaly"),"")</f>
        <v/>
      </c>
      <c r="AI864" s="23" t="str">
        <f t="shared" si="82"/>
        <v>OK</v>
      </c>
      <c r="AJ864" s="23" t="str">
        <f t="shared" si="83"/>
        <v>No</v>
      </c>
    </row>
    <row r="865" spans="1:36" x14ac:dyDescent="0.35">
      <c r="A865" s="23">
        <v>864</v>
      </c>
      <c r="B865" s="23" t="str">
        <f t="shared" si="78"/>
        <v>Dataset 3</v>
      </c>
      <c r="C865" s="23">
        <f>IFERROR(MATCH($A865,Merge_1_2!$A$2:$A$611,0),0)</f>
        <v>0</v>
      </c>
      <c r="D865" s="23">
        <f>IF($C865&gt;0,INDEX(Merge_1_2!$Q$2:$Q$611,$C865),0)</f>
        <v>0</v>
      </c>
      <c r="E865" s="23">
        <f>IFERROR(MATCH($A865,Dataset3_Raw!$A$2:$A$391,0),0)</f>
        <v>254</v>
      </c>
      <c r="F865" s="24">
        <f>IF($C865&gt;0,INDEX(Merge_1_2!$B$2:$B$611,$C865),DATE(VALUE(RIGHT(INDEX(Dataset3_Raw!$B$2:$B$391,$E865),4)),VALUE(MID(INDEX(Dataset3_Raw!$B$2:$B$391,$E865),4,2)),VALUE(LEFT(INDEX(Dataset3_Raw!$B$2:$B$391,$E865),2))))</f>
        <v>40582</v>
      </c>
      <c r="G865" s="23">
        <f>IF($C865&gt;0,INDEX(Merge_1_2!$C$2:$C$611,$C865),INDEX(Dataset3_Raw!$C$2:$C$391,$E865))</f>
        <v>1</v>
      </c>
      <c r="H865" s="23">
        <f>IF($C865&gt;0,INDEX(Merge_1_2!$D$2:$D$611,$C865),INDEX(Dataset3_Raw!$D$2:$D$391,$E865))</f>
        <v>0</v>
      </c>
      <c r="I865" s="23">
        <f>IF($C865&gt;0,INDEX(Merge_1_2!$E$2:$E$611,$C865),INDEX(Dataset3_Raw!$E$2:$E$391,$E865))</f>
        <v>2</v>
      </c>
      <c r="J865" s="23">
        <f>IF($C865&gt;0,INDEX(Merge_1_2!$F$2:$F$611,$C865),INDEX(Dataset3_Raw!$F$2:$F$391,$E865))</f>
        <v>10</v>
      </c>
      <c r="K865" s="23" t="b">
        <f>IF($C865&gt;0,INDEX(Merge_1_2!$G$2:$G$611,$C865),INDEX(Dataset3_Raw!$G$2:$G$391,$E865))</f>
        <v>0</v>
      </c>
      <c r="L865" s="23">
        <f>IF($C865&gt;0,INDEX(Merge_1_2!$H$2:$H$611,$C865),INDEX(Dataset3_Raw!$H$2:$H$391,$E865))</f>
        <v>2</v>
      </c>
      <c r="M865" s="23">
        <f>IF($C865&gt;0,INDEX(Merge_1_2!$I$2:$I$611,$C865),INDEX(Dataset3_Raw!$I$2:$I$391,$E865))</f>
        <v>1</v>
      </c>
      <c r="N865" s="25">
        <f>IF($C865&gt;0,INDEX(Merge_1_2!$J$2:$J$611,$C865),INDEX(Dataset3_Raw!$J$2:$J$391,$E865))</f>
        <v>0.22</v>
      </c>
      <c r="O865" s="25">
        <f>IF($C865&gt;0,IF(ISNUMBER(INDEX(Merge_1_2!$K$2:$K$611,$C865)),INDEX(Merge_1_2!$K$2:$K$611,$C865),""),INDEX(Dataset3_Raw!$K$2:$K$391,$E865))</f>
        <v>0.18179999999999999</v>
      </c>
      <c r="P865" s="25">
        <f>IF(ISNUMBER($O865),$O865,ROUND(Lookups!$B$25+Lookups!$B$24*$N865,4))</f>
        <v>0.18179999999999999</v>
      </c>
      <c r="Q865" s="25">
        <f>IF($C865&gt;0,INDEX(Merge_1_2!$L$2:$L$611,$C865),INDEX(Dataset3_Raw!$L$2:$L$391,$E865))</f>
        <v>0.47</v>
      </c>
      <c r="R865" s="25">
        <f>IF($C865&gt;0,INDEX(Merge_1_2!$M$2:$M$611,$C865),INDEX(Dataset3_Raw!$M$2:$M$391,$E865))</f>
        <v>0.55220000000000002</v>
      </c>
      <c r="S865" s="23">
        <f>IF($C865&gt;0,INDEX(Merge_1_2!$N$2:$N$611,$C865),INDEX(Dataset3_Raw!$N$2:$N$391,$E865))</f>
        <v>4</v>
      </c>
      <c r="T865" s="23">
        <f>IF($C865&gt;0,INDEX(Merge_1_2!$O$2:$O$611,$C865),INDEX(Dataset3_Raw!$O$2:$O$391,$E865))</f>
        <v>44</v>
      </c>
      <c r="U865" s="23">
        <f>IF($C865&gt;0,INDEX(Merge_1_2!$P$2:$P$611,$C865),INDEX(Dataset3_Raw!$P$2:$P$391,$E865))</f>
        <v>48</v>
      </c>
      <c r="V865" s="23" t="str">
        <f t="shared" si="79"/>
        <v>Weekday</v>
      </c>
      <c r="W865" s="23" t="str">
        <f>VLOOKUP($M865,Lookups!$A$5:$B$8,2,FALSE())</f>
        <v>Clear / Partly cloudy</v>
      </c>
      <c r="X865" s="23" t="str">
        <f>VLOOKUP($G865,Lookups!$D$5:$E$8,2,FALSE())</f>
        <v>Winter</v>
      </c>
      <c r="Y865" s="23" t="str">
        <f>VLOOKUP($L865,Lookups!$G$5:$H$11,2,FALSE())</f>
        <v>Tuesday</v>
      </c>
      <c r="Z865" s="23" t="str">
        <f>IF($J865&lt;Lookups!$B$26,"Night",IF($J865&lt;Lookups!$B$27,"Morning",IF($J865&lt;Lookups!$B$28,"Afternoon","Evening")))</f>
        <v>Morning</v>
      </c>
      <c r="AA865" s="26">
        <f>ROUND($N865*(Lookups!$B$16-Lookups!$B$15)+Lookups!$B$15,1)</f>
        <v>2.2999999999999998</v>
      </c>
      <c r="AB865" s="26">
        <f>ROUND($P865*(Lookups!$B$18-Lookups!$B$17)+Lookups!$B$17,1)</f>
        <v>-4</v>
      </c>
      <c r="AC865" s="23">
        <f t="shared" si="80"/>
        <v>47</v>
      </c>
      <c r="AD865" s="23">
        <f>ROUND($R865*Lookups!$B$19,1)</f>
        <v>37</v>
      </c>
      <c r="AE865" s="27">
        <f t="shared" si="81"/>
        <v>0.91666666666666663</v>
      </c>
      <c r="AF865" s="23" t="str">
        <f>IF($U865&gt;=Lookups!$B$23,"High",IF($U865&gt;=Lookups!$B$22,"Medium","Low"))</f>
        <v>Medium</v>
      </c>
      <c r="AG865" s="23">
        <f>ROUND(IF($V865="Weekday",IF(INDEX(Hourly_Analysis!$D$5:$D$28,$J865+1)&gt;0,($U865-INDEX(Hourly_Analysis!$C$5:$C$28,$J865+1))/INDEX(Hourly_Analysis!$D$5:$D$28,$J865+1),0),IF(INDEX(Hourly_Analysis!$G$5:$G$28,$J865+1)&gt;0,($U865-INDEX(Hourly_Analysis!$F$5:$F$28,$J865+1))/INDEX(Hourly_Analysis!$G$5:$G$28,$J865+1),0)),2)</f>
        <v>-0.08</v>
      </c>
      <c r="AH865" s="23" t="str">
        <f>IF(ABS($AG865)&gt;Lookups!$B$20,IF($AG865&gt;0,"High anomaly","Low anomaly"),"")</f>
        <v/>
      </c>
      <c r="AI865" s="23" t="str">
        <f t="shared" si="82"/>
        <v>OK</v>
      </c>
      <c r="AJ865" s="23" t="str">
        <f t="shared" si="83"/>
        <v>No</v>
      </c>
    </row>
    <row r="866" spans="1:36" x14ac:dyDescent="0.35">
      <c r="A866" s="23">
        <v>865</v>
      </c>
      <c r="B866" s="23" t="str">
        <f t="shared" si="78"/>
        <v>Dataset 3</v>
      </c>
      <c r="C866" s="23">
        <f>IFERROR(MATCH($A866,Merge_1_2!$A$2:$A$611,0),0)</f>
        <v>0</v>
      </c>
      <c r="D866" s="23">
        <f>IF($C866&gt;0,INDEX(Merge_1_2!$Q$2:$Q$611,$C866),0)</f>
        <v>0</v>
      </c>
      <c r="E866" s="23">
        <f>IFERROR(MATCH($A866,Dataset3_Raw!$A$2:$A$391,0),0)</f>
        <v>255</v>
      </c>
      <c r="F866" s="24">
        <f>IF($C866&gt;0,INDEX(Merge_1_2!$B$2:$B$611,$C866),DATE(VALUE(RIGHT(INDEX(Dataset3_Raw!$B$2:$B$391,$E866),4)),VALUE(MID(INDEX(Dataset3_Raw!$B$2:$B$391,$E866),4,2)),VALUE(LEFT(INDEX(Dataset3_Raw!$B$2:$B$391,$E866),2))))</f>
        <v>40582</v>
      </c>
      <c r="G866" s="23">
        <f>IF($C866&gt;0,INDEX(Merge_1_2!$C$2:$C$611,$C866),INDEX(Dataset3_Raw!$C$2:$C$391,$E866))</f>
        <v>1</v>
      </c>
      <c r="H866" s="23">
        <f>IF($C866&gt;0,INDEX(Merge_1_2!$D$2:$D$611,$C866),INDEX(Dataset3_Raw!$D$2:$D$391,$E866))</f>
        <v>0</v>
      </c>
      <c r="I866" s="23">
        <f>IF($C866&gt;0,INDEX(Merge_1_2!$E$2:$E$611,$C866),INDEX(Dataset3_Raw!$E$2:$E$391,$E866))</f>
        <v>2</v>
      </c>
      <c r="J866" s="23">
        <f>IF($C866&gt;0,INDEX(Merge_1_2!$F$2:$F$611,$C866),INDEX(Dataset3_Raw!$F$2:$F$391,$E866))</f>
        <v>11</v>
      </c>
      <c r="K866" s="23" t="b">
        <f>IF($C866&gt;0,INDEX(Merge_1_2!$G$2:$G$611,$C866),INDEX(Dataset3_Raw!$G$2:$G$391,$E866))</f>
        <v>0</v>
      </c>
      <c r="L866" s="23">
        <f>IF($C866&gt;0,INDEX(Merge_1_2!$H$2:$H$611,$C866),INDEX(Dataset3_Raw!$H$2:$H$391,$E866))</f>
        <v>2</v>
      </c>
      <c r="M866" s="23">
        <f>IF($C866&gt;0,INDEX(Merge_1_2!$I$2:$I$611,$C866),INDEX(Dataset3_Raw!$I$2:$I$391,$E866))</f>
        <v>1</v>
      </c>
      <c r="N866" s="25">
        <f>IF($C866&gt;0,INDEX(Merge_1_2!$J$2:$J$611,$C866),INDEX(Dataset3_Raw!$J$2:$J$391,$E866))</f>
        <v>0.22</v>
      </c>
      <c r="O866" s="25">
        <f>IF($C866&gt;0,IF(ISNUMBER(INDEX(Merge_1_2!$K$2:$K$611,$C866)),INDEX(Merge_1_2!$K$2:$K$611,$C866),""),INDEX(Dataset3_Raw!$K$2:$K$391,$E866))</f>
        <v>0.18179999999999999</v>
      </c>
      <c r="P866" s="25">
        <f>IF(ISNUMBER($O866),$O866,ROUND(Lookups!$B$25+Lookups!$B$24*$N866,4))</f>
        <v>0.18179999999999999</v>
      </c>
      <c r="Q866" s="25">
        <f>IF($C866&gt;0,INDEX(Merge_1_2!$L$2:$L$611,$C866),INDEX(Dataset3_Raw!$L$2:$L$391,$E866))</f>
        <v>0.47</v>
      </c>
      <c r="R866" s="25">
        <f>IF($C866&gt;0,INDEX(Merge_1_2!$M$2:$M$611,$C866),INDEX(Dataset3_Raw!$M$2:$M$391,$E866))</f>
        <v>0.4627</v>
      </c>
      <c r="S866" s="23">
        <f>IF($C866&gt;0,INDEX(Merge_1_2!$N$2:$N$611,$C866),INDEX(Dataset3_Raw!$N$2:$N$391,$E866))</f>
        <v>1</v>
      </c>
      <c r="T866" s="23">
        <f>IF($C866&gt;0,INDEX(Merge_1_2!$O$2:$O$611,$C866),INDEX(Dataset3_Raw!$O$2:$O$391,$E866))</f>
        <v>49</v>
      </c>
      <c r="U866" s="23">
        <f>IF($C866&gt;0,INDEX(Merge_1_2!$P$2:$P$611,$C866),INDEX(Dataset3_Raw!$P$2:$P$391,$E866))</f>
        <v>50</v>
      </c>
      <c r="V866" s="23" t="str">
        <f t="shared" si="79"/>
        <v>Weekday</v>
      </c>
      <c r="W866" s="23" t="str">
        <f>VLOOKUP($M866,Lookups!$A$5:$B$8,2,FALSE())</f>
        <v>Clear / Partly cloudy</v>
      </c>
      <c r="X866" s="23" t="str">
        <f>VLOOKUP($G866,Lookups!$D$5:$E$8,2,FALSE())</f>
        <v>Winter</v>
      </c>
      <c r="Y866" s="23" t="str">
        <f>VLOOKUP($L866,Lookups!$G$5:$H$11,2,FALSE())</f>
        <v>Tuesday</v>
      </c>
      <c r="Z866" s="23" t="str">
        <f>IF($J866&lt;Lookups!$B$26,"Night",IF($J866&lt;Lookups!$B$27,"Morning",IF($J866&lt;Lookups!$B$28,"Afternoon","Evening")))</f>
        <v>Morning</v>
      </c>
      <c r="AA866" s="26">
        <f>ROUND($N866*(Lookups!$B$16-Lookups!$B$15)+Lookups!$B$15,1)</f>
        <v>2.2999999999999998</v>
      </c>
      <c r="AB866" s="26">
        <f>ROUND($P866*(Lookups!$B$18-Lookups!$B$17)+Lookups!$B$17,1)</f>
        <v>-4</v>
      </c>
      <c r="AC866" s="23">
        <f t="shared" si="80"/>
        <v>47</v>
      </c>
      <c r="AD866" s="23">
        <f>ROUND($R866*Lookups!$B$19,1)</f>
        <v>31</v>
      </c>
      <c r="AE866" s="27">
        <f t="shared" si="81"/>
        <v>0.98</v>
      </c>
      <c r="AF866" s="23" t="str">
        <f>IF($U866&gt;=Lookups!$B$23,"High",IF($U866&gt;=Lookups!$B$22,"Medium","Low"))</f>
        <v>Medium</v>
      </c>
      <c r="AG866" s="23">
        <f>ROUND(IF($V866="Weekday",IF(INDEX(Hourly_Analysis!$D$5:$D$28,$J866+1)&gt;0,($U866-INDEX(Hourly_Analysis!$C$5:$C$28,$J866+1))/INDEX(Hourly_Analysis!$D$5:$D$28,$J866+1),0),IF(INDEX(Hourly_Analysis!$G$5:$G$28,$J866+1)&gt;0,($U866-INDEX(Hourly_Analysis!$F$5:$F$28,$J866+1))/INDEX(Hourly_Analysis!$G$5:$G$28,$J866+1),0)),2)</f>
        <v>-0.01</v>
      </c>
      <c r="AH866" s="23" t="str">
        <f>IF(ABS($AG866)&gt;Lookups!$B$20,IF($AG866&gt;0,"High anomaly","Low anomaly"),"")</f>
        <v/>
      </c>
      <c r="AI866" s="23" t="str">
        <f t="shared" si="82"/>
        <v>OK</v>
      </c>
      <c r="AJ866" s="23" t="str">
        <f t="shared" si="83"/>
        <v>No</v>
      </c>
    </row>
    <row r="867" spans="1:36" x14ac:dyDescent="0.35">
      <c r="A867" s="23">
        <v>866</v>
      </c>
      <c r="B867" s="23" t="str">
        <f t="shared" si="78"/>
        <v>Dataset 3</v>
      </c>
      <c r="C867" s="23">
        <f>IFERROR(MATCH($A867,Merge_1_2!$A$2:$A$611,0),0)</f>
        <v>0</v>
      </c>
      <c r="D867" s="23">
        <f>IF($C867&gt;0,INDEX(Merge_1_2!$Q$2:$Q$611,$C867),0)</f>
        <v>0</v>
      </c>
      <c r="E867" s="23">
        <f>IFERROR(MATCH($A867,Dataset3_Raw!$A$2:$A$391,0),0)</f>
        <v>256</v>
      </c>
      <c r="F867" s="24">
        <f>IF($C867&gt;0,INDEX(Merge_1_2!$B$2:$B$611,$C867),DATE(VALUE(RIGHT(INDEX(Dataset3_Raw!$B$2:$B$391,$E867),4)),VALUE(MID(INDEX(Dataset3_Raw!$B$2:$B$391,$E867),4,2)),VALUE(LEFT(INDEX(Dataset3_Raw!$B$2:$B$391,$E867),2))))</f>
        <v>40582</v>
      </c>
      <c r="G867" s="23">
        <f>IF($C867&gt;0,INDEX(Merge_1_2!$C$2:$C$611,$C867),INDEX(Dataset3_Raw!$C$2:$C$391,$E867))</f>
        <v>1</v>
      </c>
      <c r="H867" s="23">
        <f>IF($C867&gt;0,INDEX(Merge_1_2!$D$2:$D$611,$C867),INDEX(Dataset3_Raw!$D$2:$D$391,$E867))</f>
        <v>0</v>
      </c>
      <c r="I867" s="23">
        <f>IF($C867&gt;0,INDEX(Merge_1_2!$E$2:$E$611,$C867),INDEX(Dataset3_Raw!$E$2:$E$391,$E867))</f>
        <v>2</v>
      </c>
      <c r="J867" s="23">
        <f>IF($C867&gt;0,INDEX(Merge_1_2!$F$2:$F$611,$C867),INDEX(Dataset3_Raw!$F$2:$F$391,$E867))</f>
        <v>12</v>
      </c>
      <c r="K867" s="23" t="b">
        <f>IF($C867&gt;0,INDEX(Merge_1_2!$G$2:$G$611,$C867),INDEX(Dataset3_Raw!$G$2:$G$391,$E867))</f>
        <v>0</v>
      </c>
      <c r="L867" s="23">
        <f>IF($C867&gt;0,INDEX(Merge_1_2!$H$2:$H$611,$C867),INDEX(Dataset3_Raw!$H$2:$H$391,$E867))</f>
        <v>2</v>
      </c>
      <c r="M867" s="23">
        <f>IF($C867&gt;0,INDEX(Merge_1_2!$I$2:$I$611,$C867),INDEX(Dataset3_Raw!$I$2:$I$391,$E867))</f>
        <v>1</v>
      </c>
      <c r="N867" s="25">
        <f>IF($C867&gt;0,INDEX(Merge_1_2!$J$2:$J$611,$C867),INDEX(Dataset3_Raw!$J$2:$J$391,$E867))</f>
        <v>0.24</v>
      </c>
      <c r="O867" s="25">
        <f>IF($C867&gt;0,IF(ISNUMBER(INDEX(Merge_1_2!$K$2:$K$611,$C867)),INDEX(Merge_1_2!$K$2:$K$611,$C867),""),INDEX(Dataset3_Raw!$K$2:$K$391,$E867))</f>
        <v>0.19700000000000001</v>
      </c>
      <c r="P867" s="25">
        <f>IF(ISNUMBER($O867),$O867,ROUND(Lookups!$B$25+Lookups!$B$24*$N867,4))</f>
        <v>0.19700000000000001</v>
      </c>
      <c r="Q867" s="25">
        <f>IF($C867&gt;0,INDEX(Merge_1_2!$L$2:$L$611,$C867),INDEX(Dataset3_Raw!$L$2:$L$391,$E867))</f>
        <v>0.38</v>
      </c>
      <c r="R867" s="25">
        <f>IF($C867&gt;0,INDEX(Merge_1_2!$M$2:$M$611,$C867),INDEX(Dataset3_Raw!$M$2:$M$391,$E867))</f>
        <v>0.49249999999999999</v>
      </c>
      <c r="S867" s="23">
        <f>IF($C867&gt;0,INDEX(Merge_1_2!$N$2:$N$611,$C867),INDEX(Dataset3_Raw!$N$2:$N$391,$E867))</f>
        <v>2</v>
      </c>
      <c r="T867" s="23">
        <f>IF($C867&gt;0,INDEX(Merge_1_2!$O$2:$O$611,$C867),INDEX(Dataset3_Raw!$O$2:$O$391,$E867))</f>
        <v>63</v>
      </c>
      <c r="U867" s="23">
        <f>IF($C867&gt;0,INDEX(Merge_1_2!$P$2:$P$611,$C867),INDEX(Dataset3_Raw!$P$2:$P$391,$E867))</f>
        <v>65</v>
      </c>
      <c r="V867" s="23" t="str">
        <f t="shared" si="79"/>
        <v>Weekday</v>
      </c>
      <c r="W867" s="23" t="str">
        <f>VLOOKUP($M867,Lookups!$A$5:$B$8,2,FALSE())</f>
        <v>Clear / Partly cloudy</v>
      </c>
      <c r="X867" s="23" t="str">
        <f>VLOOKUP($G867,Lookups!$D$5:$E$8,2,FALSE())</f>
        <v>Winter</v>
      </c>
      <c r="Y867" s="23" t="str">
        <f>VLOOKUP($L867,Lookups!$G$5:$H$11,2,FALSE())</f>
        <v>Tuesday</v>
      </c>
      <c r="Z867" s="23" t="str">
        <f>IF($J867&lt;Lookups!$B$26,"Night",IF($J867&lt;Lookups!$B$27,"Morning",IF($J867&lt;Lookups!$B$28,"Afternoon","Evening")))</f>
        <v>Afternoon</v>
      </c>
      <c r="AA867" s="26">
        <f>ROUND($N867*(Lookups!$B$16-Lookups!$B$15)+Lookups!$B$15,1)</f>
        <v>3.3</v>
      </c>
      <c r="AB867" s="26">
        <f>ROUND($P867*(Lookups!$B$18-Lookups!$B$17)+Lookups!$B$17,1)</f>
        <v>-3</v>
      </c>
      <c r="AC867" s="23">
        <f t="shared" si="80"/>
        <v>38</v>
      </c>
      <c r="AD867" s="23">
        <f>ROUND($R867*Lookups!$B$19,1)</f>
        <v>33</v>
      </c>
      <c r="AE867" s="27">
        <f t="shared" si="81"/>
        <v>0.96923076923076923</v>
      </c>
      <c r="AF867" s="23" t="str">
        <f>IF($U867&gt;=Lookups!$B$23,"High",IF($U867&gt;=Lookups!$B$22,"Medium","Low"))</f>
        <v>Medium</v>
      </c>
      <c r="AG867" s="23">
        <f>ROUND(IF($V867="Weekday",IF(INDEX(Hourly_Analysis!$D$5:$D$28,$J867+1)&gt;0,($U867-INDEX(Hourly_Analysis!$C$5:$C$28,$J867+1))/INDEX(Hourly_Analysis!$D$5:$D$28,$J867+1),0),IF(INDEX(Hourly_Analysis!$G$5:$G$28,$J867+1)&gt;0,($U867-INDEX(Hourly_Analysis!$F$5:$F$28,$J867+1))/INDEX(Hourly_Analysis!$G$5:$G$28,$J867+1),0)),2)</f>
        <v>0.05</v>
      </c>
      <c r="AH867" s="23" t="str">
        <f>IF(ABS($AG867)&gt;Lookups!$B$20,IF($AG867&gt;0,"High anomaly","Low anomaly"),"")</f>
        <v/>
      </c>
      <c r="AI867" s="23" t="str">
        <f t="shared" si="82"/>
        <v>OK</v>
      </c>
      <c r="AJ867" s="23" t="str">
        <f t="shared" si="83"/>
        <v>No</v>
      </c>
    </row>
    <row r="868" spans="1:36" x14ac:dyDescent="0.35">
      <c r="A868" s="23">
        <v>867</v>
      </c>
      <c r="B868" s="23" t="str">
        <f t="shared" si="78"/>
        <v>Dataset 3</v>
      </c>
      <c r="C868" s="23">
        <f>IFERROR(MATCH($A868,Merge_1_2!$A$2:$A$611,0),0)</f>
        <v>0</v>
      </c>
      <c r="D868" s="23">
        <f>IF($C868&gt;0,INDEX(Merge_1_2!$Q$2:$Q$611,$C868),0)</f>
        <v>0</v>
      </c>
      <c r="E868" s="23">
        <f>IFERROR(MATCH($A868,Dataset3_Raw!$A$2:$A$391,0),0)</f>
        <v>257</v>
      </c>
      <c r="F868" s="24">
        <f>IF($C868&gt;0,INDEX(Merge_1_2!$B$2:$B$611,$C868),DATE(VALUE(RIGHT(INDEX(Dataset3_Raw!$B$2:$B$391,$E868),4)),VALUE(MID(INDEX(Dataset3_Raw!$B$2:$B$391,$E868),4,2)),VALUE(LEFT(INDEX(Dataset3_Raw!$B$2:$B$391,$E868),2))))</f>
        <v>40582</v>
      </c>
      <c r="G868" s="23">
        <f>IF($C868&gt;0,INDEX(Merge_1_2!$C$2:$C$611,$C868),INDEX(Dataset3_Raw!$C$2:$C$391,$E868))</f>
        <v>1</v>
      </c>
      <c r="H868" s="23">
        <f>IF($C868&gt;0,INDEX(Merge_1_2!$D$2:$D$611,$C868),INDEX(Dataset3_Raw!$D$2:$D$391,$E868))</f>
        <v>0</v>
      </c>
      <c r="I868" s="23">
        <f>IF($C868&gt;0,INDEX(Merge_1_2!$E$2:$E$611,$C868),INDEX(Dataset3_Raw!$E$2:$E$391,$E868))</f>
        <v>2</v>
      </c>
      <c r="J868" s="23">
        <f>IF($C868&gt;0,INDEX(Merge_1_2!$F$2:$F$611,$C868),INDEX(Dataset3_Raw!$F$2:$F$391,$E868))</f>
        <v>13</v>
      </c>
      <c r="K868" s="23" t="b">
        <f>IF($C868&gt;0,INDEX(Merge_1_2!$G$2:$G$611,$C868),INDEX(Dataset3_Raw!$G$2:$G$391,$E868))</f>
        <v>0</v>
      </c>
      <c r="L868" s="23">
        <f>IF($C868&gt;0,INDEX(Merge_1_2!$H$2:$H$611,$C868),INDEX(Dataset3_Raw!$H$2:$H$391,$E868))</f>
        <v>2</v>
      </c>
      <c r="M868" s="23">
        <f>IF($C868&gt;0,INDEX(Merge_1_2!$I$2:$I$611,$C868),INDEX(Dataset3_Raw!$I$2:$I$391,$E868))</f>
        <v>2</v>
      </c>
      <c r="N868" s="25">
        <f>IF($C868&gt;0,INDEX(Merge_1_2!$J$2:$J$611,$C868),INDEX(Dataset3_Raw!$J$2:$J$391,$E868))</f>
        <v>0.24</v>
      </c>
      <c r="O868" s="25">
        <f>IF($C868&gt;0,IF(ISNUMBER(INDEX(Merge_1_2!$K$2:$K$611,$C868)),INDEX(Merge_1_2!$K$2:$K$611,$C868),""),INDEX(Dataset3_Raw!$K$2:$K$391,$E868))</f>
        <v>0.19700000000000001</v>
      </c>
      <c r="P868" s="25">
        <f>IF(ISNUMBER($O868),$O868,ROUND(Lookups!$B$25+Lookups!$B$24*$N868,4))</f>
        <v>0.19700000000000001</v>
      </c>
      <c r="Q868" s="25">
        <f>IF($C868&gt;0,INDEX(Merge_1_2!$L$2:$L$611,$C868),INDEX(Dataset3_Raw!$L$2:$L$391,$E868))</f>
        <v>0.32</v>
      </c>
      <c r="R868" s="25">
        <f>IF($C868&gt;0,INDEX(Merge_1_2!$M$2:$M$611,$C868),INDEX(Dataset3_Raw!$M$2:$M$391,$E868))</f>
        <v>0.44779999999999998</v>
      </c>
      <c r="S868" s="23">
        <f>IF($C868&gt;0,INDEX(Merge_1_2!$N$2:$N$611,$C868),INDEX(Dataset3_Raw!$N$2:$N$391,$E868))</f>
        <v>2</v>
      </c>
      <c r="T868" s="23">
        <f>IF($C868&gt;0,INDEX(Merge_1_2!$O$2:$O$611,$C868),INDEX(Dataset3_Raw!$O$2:$O$391,$E868))</f>
        <v>48</v>
      </c>
      <c r="U868" s="23">
        <f>IF($C868&gt;0,INDEX(Merge_1_2!$P$2:$P$611,$C868),INDEX(Dataset3_Raw!$P$2:$P$391,$E868))</f>
        <v>50</v>
      </c>
      <c r="V868" s="23" t="str">
        <f t="shared" si="79"/>
        <v>Weekday</v>
      </c>
      <c r="W868" s="23" t="str">
        <f>VLOOKUP($M868,Lookups!$A$5:$B$8,2,FALSE())</f>
        <v>Mist / Cloudy</v>
      </c>
      <c r="X868" s="23" t="str">
        <f>VLOOKUP($G868,Lookups!$D$5:$E$8,2,FALSE())</f>
        <v>Winter</v>
      </c>
      <c r="Y868" s="23" t="str">
        <f>VLOOKUP($L868,Lookups!$G$5:$H$11,2,FALSE())</f>
        <v>Tuesday</v>
      </c>
      <c r="Z868" s="23" t="str">
        <f>IF($J868&lt;Lookups!$B$26,"Night",IF($J868&lt;Lookups!$B$27,"Morning",IF($J868&lt;Lookups!$B$28,"Afternoon","Evening")))</f>
        <v>Afternoon</v>
      </c>
      <c r="AA868" s="26">
        <f>ROUND($N868*(Lookups!$B$16-Lookups!$B$15)+Lookups!$B$15,1)</f>
        <v>3.3</v>
      </c>
      <c r="AB868" s="26">
        <f>ROUND($P868*(Lookups!$B$18-Lookups!$B$17)+Lookups!$B$17,1)</f>
        <v>-3</v>
      </c>
      <c r="AC868" s="23">
        <f t="shared" si="80"/>
        <v>32</v>
      </c>
      <c r="AD868" s="23">
        <f>ROUND($R868*Lookups!$B$19,1)</f>
        <v>30</v>
      </c>
      <c r="AE868" s="27">
        <f t="shared" si="81"/>
        <v>0.96</v>
      </c>
      <c r="AF868" s="23" t="str">
        <f>IF($U868&gt;=Lookups!$B$23,"High",IF($U868&gt;=Lookups!$B$22,"Medium","Low"))</f>
        <v>Medium</v>
      </c>
      <c r="AG868" s="23">
        <f>ROUND(IF($V868="Weekday",IF(INDEX(Hourly_Analysis!$D$5:$D$28,$J868+1)&gt;0,($U868-INDEX(Hourly_Analysis!$C$5:$C$28,$J868+1))/INDEX(Hourly_Analysis!$D$5:$D$28,$J868+1),0),IF(INDEX(Hourly_Analysis!$G$5:$G$28,$J868+1)&gt;0,($U868-INDEX(Hourly_Analysis!$F$5:$F$28,$J868+1))/INDEX(Hourly_Analysis!$G$5:$G$28,$J868+1),0)),2)</f>
        <v>-0.82</v>
      </c>
      <c r="AH868" s="23" t="str">
        <f>IF(ABS($AG868)&gt;Lookups!$B$20,IF($AG868&gt;0,"High anomaly","Low anomaly"),"")</f>
        <v/>
      </c>
      <c r="AI868" s="23" t="str">
        <f t="shared" si="82"/>
        <v>OK</v>
      </c>
      <c r="AJ868" s="23" t="str">
        <f t="shared" si="83"/>
        <v>No</v>
      </c>
    </row>
    <row r="869" spans="1:36" x14ac:dyDescent="0.35">
      <c r="A869" s="23">
        <v>868</v>
      </c>
      <c r="B869" s="23" t="str">
        <f t="shared" si="78"/>
        <v>Dataset 3</v>
      </c>
      <c r="C869" s="23">
        <f>IFERROR(MATCH($A869,Merge_1_2!$A$2:$A$611,0),0)</f>
        <v>0</v>
      </c>
      <c r="D869" s="23">
        <f>IF($C869&gt;0,INDEX(Merge_1_2!$Q$2:$Q$611,$C869),0)</f>
        <v>0</v>
      </c>
      <c r="E869" s="23">
        <f>IFERROR(MATCH($A869,Dataset3_Raw!$A$2:$A$391,0),0)</f>
        <v>258</v>
      </c>
      <c r="F869" s="24">
        <f>IF($C869&gt;0,INDEX(Merge_1_2!$B$2:$B$611,$C869),DATE(VALUE(RIGHT(INDEX(Dataset3_Raw!$B$2:$B$391,$E869),4)),VALUE(MID(INDEX(Dataset3_Raw!$B$2:$B$391,$E869),4,2)),VALUE(LEFT(INDEX(Dataset3_Raw!$B$2:$B$391,$E869),2))))</f>
        <v>40582</v>
      </c>
      <c r="G869" s="23">
        <f>IF($C869&gt;0,INDEX(Merge_1_2!$C$2:$C$611,$C869),INDEX(Dataset3_Raw!$C$2:$C$391,$E869))</f>
        <v>1</v>
      </c>
      <c r="H869" s="23">
        <f>IF($C869&gt;0,INDEX(Merge_1_2!$D$2:$D$611,$C869),INDEX(Dataset3_Raw!$D$2:$D$391,$E869))</f>
        <v>0</v>
      </c>
      <c r="I869" s="23">
        <f>IF($C869&gt;0,INDEX(Merge_1_2!$E$2:$E$611,$C869),INDEX(Dataset3_Raw!$E$2:$E$391,$E869))</f>
        <v>2</v>
      </c>
      <c r="J869" s="23">
        <f>IF($C869&gt;0,INDEX(Merge_1_2!$F$2:$F$611,$C869),INDEX(Dataset3_Raw!$F$2:$F$391,$E869))</f>
        <v>14</v>
      </c>
      <c r="K869" s="23" t="b">
        <f>IF($C869&gt;0,INDEX(Merge_1_2!$G$2:$G$611,$C869),INDEX(Dataset3_Raw!$G$2:$G$391,$E869))</f>
        <v>0</v>
      </c>
      <c r="L869" s="23">
        <f>IF($C869&gt;0,INDEX(Merge_1_2!$H$2:$H$611,$C869),INDEX(Dataset3_Raw!$H$2:$H$391,$E869))</f>
        <v>2</v>
      </c>
      <c r="M869" s="23">
        <f>IF($C869&gt;0,INDEX(Merge_1_2!$I$2:$I$611,$C869),INDEX(Dataset3_Raw!$I$2:$I$391,$E869))</f>
        <v>1</v>
      </c>
      <c r="N869" s="25">
        <f>IF($C869&gt;0,INDEX(Merge_1_2!$J$2:$J$611,$C869),INDEX(Dataset3_Raw!$J$2:$J$391,$E869))</f>
        <v>0.22</v>
      </c>
      <c r="O869" s="25">
        <f>IF($C869&gt;0,IF(ISNUMBER(INDEX(Merge_1_2!$K$2:$K$611,$C869)),INDEX(Merge_1_2!$K$2:$K$611,$C869),""),INDEX(Dataset3_Raw!$K$2:$K$391,$E869))</f>
        <v>0.19700000000000001</v>
      </c>
      <c r="P869" s="25">
        <f>IF(ISNUMBER($O869),$O869,ROUND(Lookups!$B$25+Lookups!$B$24*$N869,4))</f>
        <v>0.19700000000000001</v>
      </c>
      <c r="Q869" s="25">
        <f>IF($C869&gt;0,INDEX(Merge_1_2!$L$2:$L$611,$C869),INDEX(Dataset3_Raw!$L$2:$L$391,$E869))</f>
        <v>0.37</v>
      </c>
      <c r="R869" s="25">
        <f>IF($C869&gt;0,INDEX(Merge_1_2!$M$2:$M$611,$C869),INDEX(Dataset3_Raw!$M$2:$M$391,$E869))</f>
        <v>0.41789999999999999</v>
      </c>
      <c r="S869" s="23">
        <f>IF($C869&gt;0,INDEX(Merge_1_2!$N$2:$N$611,$C869),INDEX(Dataset3_Raw!$N$2:$N$391,$E869))</f>
        <v>3</v>
      </c>
      <c r="T869" s="23">
        <f>IF($C869&gt;0,INDEX(Merge_1_2!$O$2:$O$611,$C869),INDEX(Dataset3_Raw!$O$2:$O$391,$E869))</f>
        <v>61</v>
      </c>
      <c r="U869" s="23">
        <f>IF($C869&gt;0,INDEX(Merge_1_2!$P$2:$P$611,$C869),INDEX(Dataset3_Raw!$P$2:$P$391,$E869))</f>
        <v>64</v>
      </c>
      <c r="V869" s="23" t="str">
        <f t="shared" si="79"/>
        <v>Weekday</v>
      </c>
      <c r="W869" s="23" t="str">
        <f>VLOOKUP($M869,Lookups!$A$5:$B$8,2,FALSE())</f>
        <v>Clear / Partly cloudy</v>
      </c>
      <c r="X869" s="23" t="str">
        <f>VLOOKUP($G869,Lookups!$D$5:$E$8,2,FALSE())</f>
        <v>Winter</v>
      </c>
      <c r="Y869" s="23" t="str">
        <f>VLOOKUP($L869,Lookups!$G$5:$H$11,2,FALSE())</f>
        <v>Tuesday</v>
      </c>
      <c r="Z869" s="23" t="str">
        <f>IF($J869&lt;Lookups!$B$26,"Night",IF($J869&lt;Lookups!$B$27,"Morning",IF($J869&lt;Lookups!$B$28,"Afternoon","Evening")))</f>
        <v>Afternoon</v>
      </c>
      <c r="AA869" s="26">
        <f>ROUND($N869*(Lookups!$B$16-Lookups!$B$15)+Lookups!$B$15,1)</f>
        <v>2.2999999999999998</v>
      </c>
      <c r="AB869" s="26">
        <f>ROUND($P869*(Lookups!$B$18-Lookups!$B$17)+Lookups!$B$17,1)</f>
        <v>-3</v>
      </c>
      <c r="AC869" s="23">
        <f t="shared" si="80"/>
        <v>37</v>
      </c>
      <c r="AD869" s="23">
        <f>ROUND($R869*Lookups!$B$19,1)</f>
        <v>28</v>
      </c>
      <c r="AE869" s="27">
        <f t="shared" si="81"/>
        <v>0.953125</v>
      </c>
      <c r="AF869" s="23" t="str">
        <f>IF($U869&gt;=Lookups!$B$23,"High",IF($U869&gt;=Lookups!$B$22,"Medium","Low"))</f>
        <v>Medium</v>
      </c>
      <c r="AG869" s="23">
        <f>ROUND(IF($V869="Weekday",IF(INDEX(Hourly_Analysis!$D$5:$D$28,$J869+1)&gt;0,($U869-INDEX(Hourly_Analysis!$C$5:$C$28,$J869+1))/INDEX(Hourly_Analysis!$D$5:$D$28,$J869+1),0),IF(INDEX(Hourly_Analysis!$G$5:$G$28,$J869+1)&gt;0,($U869-INDEX(Hourly_Analysis!$F$5:$F$28,$J869+1))/INDEX(Hourly_Analysis!$G$5:$G$28,$J869+1),0)),2)</f>
        <v>0.27</v>
      </c>
      <c r="AH869" s="23" t="str">
        <f>IF(ABS($AG869)&gt;Lookups!$B$20,IF($AG869&gt;0,"High anomaly","Low anomaly"),"")</f>
        <v/>
      </c>
      <c r="AI869" s="23" t="str">
        <f t="shared" si="82"/>
        <v>OK</v>
      </c>
      <c r="AJ869" s="23" t="str">
        <f t="shared" si="83"/>
        <v>No</v>
      </c>
    </row>
    <row r="870" spans="1:36" x14ac:dyDescent="0.35">
      <c r="A870" s="23">
        <v>869</v>
      </c>
      <c r="B870" s="23" t="str">
        <f t="shared" si="78"/>
        <v>Dataset 3</v>
      </c>
      <c r="C870" s="23">
        <f>IFERROR(MATCH($A870,Merge_1_2!$A$2:$A$611,0),0)</f>
        <v>0</v>
      </c>
      <c r="D870" s="23">
        <f>IF($C870&gt;0,INDEX(Merge_1_2!$Q$2:$Q$611,$C870),0)</f>
        <v>0</v>
      </c>
      <c r="E870" s="23">
        <f>IFERROR(MATCH($A870,Dataset3_Raw!$A$2:$A$391,0),0)</f>
        <v>259</v>
      </c>
      <c r="F870" s="24">
        <f>IF($C870&gt;0,INDEX(Merge_1_2!$B$2:$B$611,$C870),DATE(VALUE(RIGHT(INDEX(Dataset3_Raw!$B$2:$B$391,$E870),4)),VALUE(MID(INDEX(Dataset3_Raw!$B$2:$B$391,$E870),4,2)),VALUE(LEFT(INDEX(Dataset3_Raw!$B$2:$B$391,$E870),2))))</f>
        <v>40582</v>
      </c>
      <c r="G870" s="23">
        <f>IF($C870&gt;0,INDEX(Merge_1_2!$C$2:$C$611,$C870),INDEX(Dataset3_Raw!$C$2:$C$391,$E870))</f>
        <v>1</v>
      </c>
      <c r="H870" s="23">
        <f>IF($C870&gt;0,INDEX(Merge_1_2!$D$2:$D$611,$C870),INDEX(Dataset3_Raw!$D$2:$D$391,$E870))</f>
        <v>0</v>
      </c>
      <c r="I870" s="23">
        <f>IF($C870&gt;0,INDEX(Merge_1_2!$E$2:$E$611,$C870),INDEX(Dataset3_Raw!$E$2:$E$391,$E870))</f>
        <v>2</v>
      </c>
      <c r="J870" s="23">
        <f>IF($C870&gt;0,INDEX(Merge_1_2!$F$2:$F$611,$C870),INDEX(Dataset3_Raw!$F$2:$F$391,$E870))</f>
        <v>15</v>
      </c>
      <c r="K870" s="23" t="b">
        <f>IF($C870&gt;0,INDEX(Merge_1_2!$G$2:$G$611,$C870),INDEX(Dataset3_Raw!$G$2:$G$391,$E870))</f>
        <v>0</v>
      </c>
      <c r="L870" s="23">
        <f>IF($C870&gt;0,INDEX(Merge_1_2!$H$2:$H$611,$C870),INDEX(Dataset3_Raw!$H$2:$H$391,$E870))</f>
        <v>2</v>
      </c>
      <c r="M870" s="23">
        <f>IF($C870&gt;0,INDEX(Merge_1_2!$I$2:$I$611,$C870),INDEX(Dataset3_Raw!$I$2:$I$391,$E870))</f>
        <v>1</v>
      </c>
      <c r="N870" s="25">
        <f>IF($C870&gt;0,INDEX(Merge_1_2!$J$2:$J$611,$C870),INDEX(Dataset3_Raw!$J$2:$J$391,$E870))</f>
        <v>0.22</v>
      </c>
      <c r="O870" s="25">
        <f>IF($C870&gt;0,IF(ISNUMBER(INDEX(Merge_1_2!$K$2:$K$611,$C870)),INDEX(Merge_1_2!$K$2:$K$611,$C870),""),INDEX(Dataset3_Raw!$K$2:$K$391,$E870))</f>
        <v>0.19700000000000001</v>
      </c>
      <c r="P870" s="25">
        <f>IF(ISNUMBER($O870),$O870,ROUND(Lookups!$B$25+Lookups!$B$24*$N870,4))</f>
        <v>0.19700000000000001</v>
      </c>
      <c r="Q870" s="25">
        <f>IF($C870&gt;0,INDEX(Merge_1_2!$L$2:$L$611,$C870),INDEX(Dataset3_Raw!$L$2:$L$391,$E870))</f>
        <v>0.35</v>
      </c>
      <c r="R870" s="25">
        <f>IF($C870&gt;0,INDEX(Merge_1_2!$M$2:$M$611,$C870),INDEX(Dataset3_Raw!$M$2:$M$391,$E870))</f>
        <v>0.3881</v>
      </c>
      <c r="S870" s="23">
        <f>IF($C870&gt;0,INDEX(Merge_1_2!$N$2:$N$611,$C870),INDEX(Dataset3_Raw!$N$2:$N$391,$E870))</f>
        <v>6</v>
      </c>
      <c r="T870" s="23">
        <f>IF($C870&gt;0,INDEX(Merge_1_2!$O$2:$O$611,$C870),INDEX(Dataset3_Raw!$O$2:$O$391,$E870))</f>
        <v>45</v>
      </c>
      <c r="U870" s="23">
        <f>IF($C870&gt;0,INDEX(Merge_1_2!$P$2:$P$611,$C870),INDEX(Dataset3_Raw!$P$2:$P$391,$E870))</f>
        <v>51</v>
      </c>
      <c r="V870" s="23" t="str">
        <f t="shared" si="79"/>
        <v>Weekday</v>
      </c>
      <c r="W870" s="23" t="str">
        <f>VLOOKUP($M870,Lookups!$A$5:$B$8,2,FALSE())</f>
        <v>Clear / Partly cloudy</v>
      </c>
      <c r="X870" s="23" t="str">
        <f>VLOOKUP($G870,Lookups!$D$5:$E$8,2,FALSE())</f>
        <v>Winter</v>
      </c>
      <c r="Y870" s="23" t="str">
        <f>VLOOKUP($L870,Lookups!$G$5:$H$11,2,FALSE())</f>
        <v>Tuesday</v>
      </c>
      <c r="Z870" s="23" t="str">
        <f>IF($J870&lt;Lookups!$B$26,"Night",IF($J870&lt;Lookups!$B$27,"Morning",IF($J870&lt;Lookups!$B$28,"Afternoon","Evening")))</f>
        <v>Afternoon</v>
      </c>
      <c r="AA870" s="26">
        <f>ROUND($N870*(Lookups!$B$16-Lookups!$B$15)+Lookups!$B$15,1)</f>
        <v>2.2999999999999998</v>
      </c>
      <c r="AB870" s="26">
        <f>ROUND($P870*(Lookups!$B$18-Lookups!$B$17)+Lookups!$B$17,1)</f>
        <v>-3</v>
      </c>
      <c r="AC870" s="23">
        <f t="shared" si="80"/>
        <v>35</v>
      </c>
      <c r="AD870" s="23">
        <f>ROUND($R870*Lookups!$B$19,1)</f>
        <v>26</v>
      </c>
      <c r="AE870" s="27">
        <f t="shared" si="81"/>
        <v>0.88235294117647056</v>
      </c>
      <c r="AF870" s="23" t="str">
        <f>IF($U870&gt;=Lookups!$B$23,"High",IF($U870&gt;=Lookups!$B$22,"Medium","Low"))</f>
        <v>Medium</v>
      </c>
      <c r="AG870" s="23">
        <f>ROUND(IF($V870="Weekday",IF(INDEX(Hourly_Analysis!$D$5:$D$28,$J870+1)&gt;0,($U870-INDEX(Hourly_Analysis!$C$5:$C$28,$J870+1))/INDEX(Hourly_Analysis!$D$5:$D$28,$J870+1),0),IF(INDEX(Hourly_Analysis!$G$5:$G$28,$J870+1)&gt;0,($U870-INDEX(Hourly_Analysis!$F$5:$F$28,$J870+1))/INDEX(Hourly_Analysis!$G$5:$G$28,$J870+1),0)),2)</f>
        <v>-0.67</v>
      </c>
      <c r="AH870" s="23" t="str">
        <f>IF(ABS($AG870)&gt;Lookups!$B$20,IF($AG870&gt;0,"High anomaly","Low anomaly"),"")</f>
        <v/>
      </c>
      <c r="AI870" s="23" t="str">
        <f t="shared" si="82"/>
        <v>OK</v>
      </c>
      <c r="AJ870" s="23" t="str">
        <f t="shared" si="83"/>
        <v>No</v>
      </c>
    </row>
    <row r="871" spans="1:36" x14ac:dyDescent="0.35">
      <c r="A871" s="23">
        <v>870</v>
      </c>
      <c r="B871" s="23" t="str">
        <f t="shared" si="78"/>
        <v>Dataset 3</v>
      </c>
      <c r="C871" s="23">
        <f>IFERROR(MATCH($A871,Merge_1_2!$A$2:$A$611,0),0)</f>
        <v>0</v>
      </c>
      <c r="D871" s="23">
        <f>IF($C871&gt;0,INDEX(Merge_1_2!$Q$2:$Q$611,$C871),0)</f>
        <v>0</v>
      </c>
      <c r="E871" s="23">
        <f>IFERROR(MATCH($A871,Dataset3_Raw!$A$2:$A$391,0),0)</f>
        <v>260</v>
      </c>
      <c r="F871" s="24">
        <f>IF($C871&gt;0,INDEX(Merge_1_2!$B$2:$B$611,$C871),DATE(VALUE(RIGHT(INDEX(Dataset3_Raw!$B$2:$B$391,$E871),4)),VALUE(MID(INDEX(Dataset3_Raw!$B$2:$B$391,$E871),4,2)),VALUE(LEFT(INDEX(Dataset3_Raw!$B$2:$B$391,$E871),2))))</f>
        <v>40582</v>
      </c>
      <c r="G871" s="23">
        <f>IF($C871&gt;0,INDEX(Merge_1_2!$C$2:$C$611,$C871),INDEX(Dataset3_Raw!$C$2:$C$391,$E871))</f>
        <v>1</v>
      </c>
      <c r="H871" s="23">
        <f>IF($C871&gt;0,INDEX(Merge_1_2!$D$2:$D$611,$C871),INDEX(Dataset3_Raw!$D$2:$D$391,$E871))</f>
        <v>0</v>
      </c>
      <c r="I871" s="23">
        <f>IF($C871&gt;0,INDEX(Merge_1_2!$E$2:$E$611,$C871),INDEX(Dataset3_Raw!$E$2:$E$391,$E871))</f>
        <v>2</v>
      </c>
      <c r="J871" s="23">
        <f>IF($C871&gt;0,INDEX(Merge_1_2!$F$2:$F$611,$C871),INDEX(Dataset3_Raw!$F$2:$F$391,$E871))</f>
        <v>16</v>
      </c>
      <c r="K871" s="23" t="b">
        <f>IF($C871&gt;0,INDEX(Merge_1_2!$G$2:$G$611,$C871),INDEX(Dataset3_Raw!$G$2:$G$391,$E871))</f>
        <v>0</v>
      </c>
      <c r="L871" s="23">
        <f>IF($C871&gt;0,INDEX(Merge_1_2!$H$2:$H$611,$C871),INDEX(Dataset3_Raw!$H$2:$H$391,$E871))</f>
        <v>2</v>
      </c>
      <c r="M871" s="23">
        <f>IF($C871&gt;0,INDEX(Merge_1_2!$I$2:$I$611,$C871),INDEX(Dataset3_Raw!$I$2:$I$391,$E871))</f>
        <v>1</v>
      </c>
      <c r="N871" s="25">
        <f>IF($C871&gt;0,INDEX(Merge_1_2!$J$2:$J$611,$C871),INDEX(Dataset3_Raw!$J$2:$J$391,$E871))</f>
        <v>0.22</v>
      </c>
      <c r="O871" s="25">
        <f>IF($C871&gt;0,IF(ISNUMBER(INDEX(Merge_1_2!$K$2:$K$611,$C871)),INDEX(Merge_1_2!$K$2:$K$611,$C871),""),INDEX(Dataset3_Raw!$K$2:$K$391,$E871))</f>
        <v>0.18179999999999999</v>
      </c>
      <c r="P871" s="25">
        <f>IF(ISNUMBER($O871),$O871,ROUND(Lookups!$B$25+Lookups!$B$24*$N871,4))</f>
        <v>0.18179999999999999</v>
      </c>
      <c r="Q871" s="25">
        <f>IF($C871&gt;0,INDEX(Merge_1_2!$L$2:$L$611,$C871),INDEX(Dataset3_Raw!$L$2:$L$391,$E871))</f>
        <v>0.35</v>
      </c>
      <c r="R871" s="25">
        <f>IF($C871&gt;0,INDEX(Merge_1_2!$M$2:$M$611,$C871),INDEX(Dataset3_Raw!$M$2:$M$391,$E871))</f>
        <v>0.52239999999999998</v>
      </c>
      <c r="S871" s="23">
        <f>IF($C871&gt;0,INDEX(Merge_1_2!$N$2:$N$611,$C871),INDEX(Dataset3_Raw!$N$2:$N$391,$E871))</f>
        <v>4</v>
      </c>
      <c r="T871" s="23">
        <f>IF($C871&gt;0,INDEX(Merge_1_2!$O$2:$O$611,$C871),INDEX(Dataset3_Raw!$O$2:$O$391,$E871))</f>
        <v>79</v>
      </c>
      <c r="U871" s="23">
        <f>IF($C871&gt;0,INDEX(Merge_1_2!$P$2:$P$611,$C871),INDEX(Dataset3_Raw!$P$2:$P$391,$E871))</f>
        <v>83</v>
      </c>
      <c r="V871" s="23" t="str">
        <f t="shared" si="79"/>
        <v>Weekday</v>
      </c>
      <c r="W871" s="23" t="str">
        <f>VLOOKUP($M871,Lookups!$A$5:$B$8,2,FALSE())</f>
        <v>Clear / Partly cloudy</v>
      </c>
      <c r="X871" s="23" t="str">
        <f>VLOOKUP($G871,Lookups!$D$5:$E$8,2,FALSE())</f>
        <v>Winter</v>
      </c>
      <c r="Y871" s="23" t="str">
        <f>VLOOKUP($L871,Lookups!$G$5:$H$11,2,FALSE())</f>
        <v>Tuesday</v>
      </c>
      <c r="Z871" s="23" t="str">
        <f>IF($J871&lt;Lookups!$B$26,"Night",IF($J871&lt;Lookups!$B$27,"Morning",IF($J871&lt;Lookups!$B$28,"Afternoon","Evening")))</f>
        <v>Afternoon</v>
      </c>
      <c r="AA871" s="26">
        <f>ROUND($N871*(Lookups!$B$16-Lookups!$B$15)+Lookups!$B$15,1)</f>
        <v>2.2999999999999998</v>
      </c>
      <c r="AB871" s="26">
        <f>ROUND($P871*(Lookups!$B$18-Lookups!$B$17)+Lookups!$B$17,1)</f>
        <v>-4</v>
      </c>
      <c r="AC871" s="23">
        <f t="shared" si="80"/>
        <v>35</v>
      </c>
      <c r="AD871" s="23">
        <f>ROUND($R871*Lookups!$B$19,1)</f>
        <v>35</v>
      </c>
      <c r="AE871" s="27">
        <f t="shared" si="81"/>
        <v>0.95180722891566261</v>
      </c>
      <c r="AF871" s="23" t="str">
        <f>IF($U871&gt;=Lookups!$B$23,"High",IF($U871&gt;=Lookups!$B$22,"Medium","Low"))</f>
        <v>High</v>
      </c>
      <c r="AG871" s="23">
        <f>ROUND(IF($V871="Weekday",IF(INDEX(Hourly_Analysis!$D$5:$D$28,$J871+1)&gt;0,($U871-INDEX(Hourly_Analysis!$C$5:$C$28,$J871+1))/INDEX(Hourly_Analysis!$D$5:$D$28,$J871+1),0),IF(INDEX(Hourly_Analysis!$G$5:$G$28,$J871+1)&gt;0,($U871-INDEX(Hourly_Analysis!$F$5:$F$28,$J871+1))/INDEX(Hourly_Analysis!$G$5:$G$28,$J871+1),0)),2)</f>
        <v>0.02</v>
      </c>
      <c r="AH871" s="23" t="str">
        <f>IF(ABS($AG871)&gt;Lookups!$B$20,IF($AG871&gt;0,"High anomaly","Low anomaly"),"")</f>
        <v/>
      </c>
      <c r="AI871" s="23" t="str">
        <f t="shared" si="82"/>
        <v>OK</v>
      </c>
      <c r="AJ871" s="23" t="str">
        <f t="shared" si="83"/>
        <v>No</v>
      </c>
    </row>
    <row r="872" spans="1:36" x14ac:dyDescent="0.35">
      <c r="A872" s="23">
        <v>871</v>
      </c>
      <c r="B872" s="23" t="str">
        <f t="shared" si="78"/>
        <v>Dataset 3</v>
      </c>
      <c r="C872" s="23">
        <f>IFERROR(MATCH($A872,Merge_1_2!$A$2:$A$611,0),0)</f>
        <v>0</v>
      </c>
      <c r="D872" s="23">
        <f>IF($C872&gt;0,INDEX(Merge_1_2!$Q$2:$Q$611,$C872),0)</f>
        <v>0</v>
      </c>
      <c r="E872" s="23">
        <f>IFERROR(MATCH($A872,Dataset3_Raw!$A$2:$A$391,0),0)</f>
        <v>261</v>
      </c>
      <c r="F872" s="24">
        <f>IF($C872&gt;0,INDEX(Merge_1_2!$B$2:$B$611,$C872),DATE(VALUE(RIGHT(INDEX(Dataset3_Raw!$B$2:$B$391,$E872),4)),VALUE(MID(INDEX(Dataset3_Raw!$B$2:$B$391,$E872),4,2)),VALUE(LEFT(INDEX(Dataset3_Raw!$B$2:$B$391,$E872),2))))</f>
        <v>40582</v>
      </c>
      <c r="G872" s="23">
        <f>IF($C872&gt;0,INDEX(Merge_1_2!$C$2:$C$611,$C872),INDEX(Dataset3_Raw!$C$2:$C$391,$E872))</f>
        <v>1</v>
      </c>
      <c r="H872" s="23">
        <f>IF($C872&gt;0,INDEX(Merge_1_2!$D$2:$D$611,$C872),INDEX(Dataset3_Raw!$D$2:$D$391,$E872))</f>
        <v>0</v>
      </c>
      <c r="I872" s="23">
        <f>IF($C872&gt;0,INDEX(Merge_1_2!$E$2:$E$611,$C872),INDEX(Dataset3_Raw!$E$2:$E$391,$E872))</f>
        <v>2</v>
      </c>
      <c r="J872" s="23">
        <f>IF($C872&gt;0,INDEX(Merge_1_2!$F$2:$F$611,$C872),INDEX(Dataset3_Raw!$F$2:$F$391,$E872))</f>
        <v>17</v>
      </c>
      <c r="K872" s="23" t="b">
        <f>IF($C872&gt;0,INDEX(Merge_1_2!$G$2:$G$611,$C872),INDEX(Dataset3_Raw!$G$2:$G$391,$E872))</f>
        <v>0</v>
      </c>
      <c r="L872" s="23">
        <f>IF($C872&gt;0,INDEX(Merge_1_2!$H$2:$H$611,$C872),INDEX(Dataset3_Raw!$H$2:$H$391,$E872))</f>
        <v>2</v>
      </c>
      <c r="M872" s="23">
        <f>IF($C872&gt;0,INDEX(Merge_1_2!$I$2:$I$611,$C872),INDEX(Dataset3_Raw!$I$2:$I$391,$E872))</f>
        <v>1</v>
      </c>
      <c r="N872" s="25">
        <f>IF($C872&gt;0,INDEX(Merge_1_2!$J$2:$J$611,$C872),INDEX(Dataset3_Raw!$J$2:$J$391,$E872))</f>
        <v>0.22</v>
      </c>
      <c r="O872" s="25">
        <f>IF($C872&gt;0,IF(ISNUMBER(INDEX(Merge_1_2!$K$2:$K$611,$C872)),INDEX(Merge_1_2!$K$2:$K$611,$C872),""),INDEX(Dataset3_Raw!$K$2:$K$391,$E872))</f>
        <v>0.18179999999999999</v>
      </c>
      <c r="P872" s="25">
        <f>IF(ISNUMBER($O872),$O872,ROUND(Lookups!$B$25+Lookups!$B$24*$N872,4))</f>
        <v>0.18179999999999999</v>
      </c>
      <c r="Q872" s="25">
        <f>IF($C872&gt;0,INDEX(Merge_1_2!$L$2:$L$611,$C872),INDEX(Dataset3_Raw!$L$2:$L$391,$E872))</f>
        <v>0.32</v>
      </c>
      <c r="R872" s="25">
        <f>IF($C872&gt;0,INDEX(Merge_1_2!$M$2:$M$611,$C872),INDEX(Dataset3_Raw!$M$2:$M$391,$E872))</f>
        <v>0.58209999999999995</v>
      </c>
      <c r="S872" s="23">
        <f>IF($C872&gt;0,INDEX(Merge_1_2!$N$2:$N$611,$C872),INDEX(Dataset3_Raw!$N$2:$N$391,$E872))</f>
        <v>4</v>
      </c>
      <c r="T872" s="23">
        <f>IF($C872&gt;0,INDEX(Merge_1_2!$O$2:$O$611,$C872),INDEX(Dataset3_Raw!$O$2:$O$391,$E872))</f>
        <v>172</v>
      </c>
      <c r="U872" s="23">
        <f>IF($C872&gt;0,INDEX(Merge_1_2!$P$2:$P$611,$C872),INDEX(Dataset3_Raw!$P$2:$P$391,$E872))</f>
        <v>176</v>
      </c>
      <c r="V872" s="23" t="str">
        <f t="shared" si="79"/>
        <v>Weekday</v>
      </c>
      <c r="W872" s="23" t="str">
        <f>VLOOKUP($M872,Lookups!$A$5:$B$8,2,FALSE())</f>
        <v>Clear / Partly cloudy</v>
      </c>
      <c r="X872" s="23" t="str">
        <f>VLOOKUP($G872,Lookups!$D$5:$E$8,2,FALSE())</f>
        <v>Winter</v>
      </c>
      <c r="Y872" s="23" t="str">
        <f>VLOOKUP($L872,Lookups!$G$5:$H$11,2,FALSE())</f>
        <v>Tuesday</v>
      </c>
      <c r="Z872" s="23" t="str">
        <f>IF($J872&lt;Lookups!$B$26,"Night",IF($J872&lt;Lookups!$B$27,"Morning",IF($J872&lt;Lookups!$B$28,"Afternoon","Evening")))</f>
        <v>Afternoon</v>
      </c>
      <c r="AA872" s="26">
        <f>ROUND($N872*(Lookups!$B$16-Lookups!$B$15)+Lookups!$B$15,1)</f>
        <v>2.2999999999999998</v>
      </c>
      <c r="AB872" s="26">
        <f>ROUND($P872*(Lookups!$B$18-Lookups!$B$17)+Lookups!$B$17,1)</f>
        <v>-4</v>
      </c>
      <c r="AC872" s="23">
        <f t="shared" si="80"/>
        <v>32</v>
      </c>
      <c r="AD872" s="23">
        <f>ROUND($R872*Lookups!$B$19,1)</f>
        <v>39</v>
      </c>
      <c r="AE872" s="27">
        <f t="shared" si="81"/>
        <v>0.97727272727272729</v>
      </c>
      <c r="AF872" s="23" t="str">
        <f>IF($U872&gt;=Lookups!$B$23,"High",IF($U872&gt;=Lookups!$B$22,"Medium","Low"))</f>
        <v>High</v>
      </c>
      <c r="AG872" s="23">
        <f>ROUND(IF($V872="Weekday",IF(INDEX(Hourly_Analysis!$D$5:$D$28,$J872+1)&gt;0,($U872-INDEX(Hourly_Analysis!$C$5:$C$28,$J872+1))/INDEX(Hourly_Analysis!$D$5:$D$28,$J872+1),0),IF(INDEX(Hourly_Analysis!$G$5:$G$28,$J872+1)&gt;0,($U872-INDEX(Hourly_Analysis!$F$5:$F$28,$J872+1))/INDEX(Hourly_Analysis!$G$5:$G$28,$J872+1),0)),2)</f>
        <v>0.18</v>
      </c>
      <c r="AH872" s="23" t="str">
        <f>IF(ABS($AG872)&gt;Lookups!$B$20,IF($AG872&gt;0,"High anomaly","Low anomaly"),"")</f>
        <v/>
      </c>
      <c r="AI872" s="23" t="str">
        <f t="shared" si="82"/>
        <v>OK</v>
      </c>
      <c r="AJ872" s="23" t="str">
        <f t="shared" si="83"/>
        <v>No</v>
      </c>
    </row>
    <row r="873" spans="1:36" x14ac:dyDescent="0.35">
      <c r="A873" s="23">
        <v>872</v>
      </c>
      <c r="B873" s="23" t="str">
        <f t="shared" si="78"/>
        <v>Dataset 3</v>
      </c>
      <c r="C873" s="23">
        <f>IFERROR(MATCH($A873,Merge_1_2!$A$2:$A$611,0),0)</f>
        <v>0</v>
      </c>
      <c r="D873" s="23">
        <f>IF($C873&gt;0,INDEX(Merge_1_2!$Q$2:$Q$611,$C873),0)</f>
        <v>0</v>
      </c>
      <c r="E873" s="23">
        <f>IFERROR(MATCH($A873,Dataset3_Raw!$A$2:$A$391,0),0)</f>
        <v>262</v>
      </c>
      <c r="F873" s="24">
        <f>IF($C873&gt;0,INDEX(Merge_1_2!$B$2:$B$611,$C873),DATE(VALUE(RIGHT(INDEX(Dataset3_Raw!$B$2:$B$391,$E873),4)),VALUE(MID(INDEX(Dataset3_Raw!$B$2:$B$391,$E873),4,2)),VALUE(LEFT(INDEX(Dataset3_Raw!$B$2:$B$391,$E873),2))))</f>
        <v>40582</v>
      </c>
      <c r="G873" s="23">
        <f>IF($C873&gt;0,INDEX(Merge_1_2!$C$2:$C$611,$C873),INDEX(Dataset3_Raw!$C$2:$C$391,$E873))</f>
        <v>1</v>
      </c>
      <c r="H873" s="23">
        <f>IF($C873&gt;0,INDEX(Merge_1_2!$D$2:$D$611,$C873),INDEX(Dataset3_Raw!$D$2:$D$391,$E873))</f>
        <v>0</v>
      </c>
      <c r="I873" s="23">
        <f>IF($C873&gt;0,INDEX(Merge_1_2!$E$2:$E$611,$C873),INDEX(Dataset3_Raw!$E$2:$E$391,$E873))</f>
        <v>2</v>
      </c>
      <c r="J873" s="23">
        <f>IF($C873&gt;0,INDEX(Merge_1_2!$F$2:$F$611,$C873),INDEX(Dataset3_Raw!$F$2:$F$391,$E873))</f>
        <v>18</v>
      </c>
      <c r="K873" s="23" t="b">
        <f>IF($C873&gt;0,INDEX(Merge_1_2!$G$2:$G$611,$C873),INDEX(Dataset3_Raw!$G$2:$G$391,$E873))</f>
        <v>0</v>
      </c>
      <c r="L873" s="23">
        <f>IF($C873&gt;0,INDEX(Merge_1_2!$H$2:$H$611,$C873),INDEX(Dataset3_Raw!$H$2:$H$391,$E873))</f>
        <v>2</v>
      </c>
      <c r="M873" s="23">
        <f>IF($C873&gt;0,INDEX(Merge_1_2!$I$2:$I$611,$C873),INDEX(Dataset3_Raw!$I$2:$I$391,$E873))</f>
        <v>1</v>
      </c>
      <c r="N873" s="25">
        <f>IF($C873&gt;0,INDEX(Merge_1_2!$J$2:$J$611,$C873),INDEX(Dataset3_Raw!$J$2:$J$391,$E873))</f>
        <v>0.2</v>
      </c>
      <c r="O873" s="25">
        <f>IF($C873&gt;0,IF(ISNUMBER(INDEX(Merge_1_2!$K$2:$K$611,$C873)),INDEX(Merge_1_2!$K$2:$K$611,$C873),""),INDEX(Dataset3_Raw!$K$2:$K$391,$E873))</f>
        <v>0.18179999999999999</v>
      </c>
      <c r="P873" s="25">
        <f>IF(ISNUMBER($O873),$O873,ROUND(Lookups!$B$25+Lookups!$B$24*$N873,4))</f>
        <v>0.18179999999999999</v>
      </c>
      <c r="Q873" s="25">
        <f>IF($C873&gt;0,INDEX(Merge_1_2!$L$2:$L$611,$C873),INDEX(Dataset3_Raw!$L$2:$L$391,$E873))</f>
        <v>0.32</v>
      </c>
      <c r="R873" s="25">
        <f>IF($C873&gt;0,INDEX(Merge_1_2!$M$2:$M$611,$C873),INDEX(Dataset3_Raw!$M$2:$M$391,$E873))</f>
        <v>0.3881</v>
      </c>
      <c r="S873" s="23">
        <f>IF($C873&gt;0,INDEX(Merge_1_2!$N$2:$N$611,$C873),INDEX(Dataset3_Raw!$N$2:$N$391,$E873))</f>
        <v>1</v>
      </c>
      <c r="T873" s="23">
        <f>IF($C873&gt;0,INDEX(Merge_1_2!$O$2:$O$611,$C873),INDEX(Dataset3_Raw!$O$2:$O$391,$E873))</f>
        <v>151</v>
      </c>
      <c r="U873" s="23">
        <f>IF($C873&gt;0,INDEX(Merge_1_2!$P$2:$P$611,$C873),INDEX(Dataset3_Raw!$P$2:$P$391,$E873))</f>
        <v>152</v>
      </c>
      <c r="V873" s="23" t="str">
        <f t="shared" si="79"/>
        <v>Weekday</v>
      </c>
      <c r="W873" s="23" t="str">
        <f>VLOOKUP($M873,Lookups!$A$5:$B$8,2,FALSE())</f>
        <v>Clear / Partly cloudy</v>
      </c>
      <c r="X873" s="23" t="str">
        <f>VLOOKUP($G873,Lookups!$D$5:$E$8,2,FALSE())</f>
        <v>Winter</v>
      </c>
      <c r="Y873" s="23" t="str">
        <f>VLOOKUP($L873,Lookups!$G$5:$H$11,2,FALSE())</f>
        <v>Tuesday</v>
      </c>
      <c r="Z873" s="23" t="str">
        <f>IF($J873&lt;Lookups!$B$26,"Night",IF($J873&lt;Lookups!$B$27,"Morning",IF($J873&lt;Lookups!$B$28,"Afternoon","Evening")))</f>
        <v>Evening</v>
      </c>
      <c r="AA873" s="26">
        <f>ROUND($N873*(Lookups!$B$16-Lookups!$B$15)+Lookups!$B$15,1)</f>
        <v>1.4</v>
      </c>
      <c r="AB873" s="26">
        <f>ROUND($P873*(Lookups!$B$18-Lookups!$B$17)+Lookups!$B$17,1)</f>
        <v>-4</v>
      </c>
      <c r="AC873" s="23">
        <f t="shared" si="80"/>
        <v>32</v>
      </c>
      <c r="AD873" s="23">
        <f>ROUND($R873*Lookups!$B$19,1)</f>
        <v>26</v>
      </c>
      <c r="AE873" s="27">
        <f t="shared" si="81"/>
        <v>0.99342105263157898</v>
      </c>
      <c r="AF873" s="23" t="str">
        <f>IF($U873&gt;=Lookups!$B$23,"High",IF($U873&gt;=Lookups!$B$22,"Medium","Low"))</f>
        <v>High</v>
      </c>
      <c r="AG873" s="23">
        <f>ROUND(IF($V873="Weekday",IF(INDEX(Hourly_Analysis!$D$5:$D$28,$J873+1)&gt;0,($U873-INDEX(Hourly_Analysis!$C$5:$C$28,$J873+1))/INDEX(Hourly_Analysis!$D$5:$D$28,$J873+1),0),IF(INDEX(Hourly_Analysis!$G$5:$G$28,$J873+1)&gt;0,($U873-INDEX(Hourly_Analysis!$F$5:$F$28,$J873+1))/INDEX(Hourly_Analysis!$G$5:$G$28,$J873+1),0)),2)</f>
        <v>-0.05</v>
      </c>
      <c r="AH873" s="23" t="str">
        <f>IF(ABS($AG873)&gt;Lookups!$B$20,IF($AG873&gt;0,"High anomaly","Low anomaly"),"")</f>
        <v/>
      </c>
      <c r="AI873" s="23" t="str">
        <f t="shared" si="82"/>
        <v>OK</v>
      </c>
      <c r="AJ873" s="23" t="str">
        <f t="shared" si="83"/>
        <v>No</v>
      </c>
    </row>
    <row r="874" spans="1:36" x14ac:dyDescent="0.35">
      <c r="A874" s="23">
        <v>873</v>
      </c>
      <c r="B874" s="23" t="str">
        <f t="shared" si="78"/>
        <v>Dataset 3</v>
      </c>
      <c r="C874" s="23">
        <f>IFERROR(MATCH($A874,Merge_1_2!$A$2:$A$611,0),0)</f>
        <v>0</v>
      </c>
      <c r="D874" s="23">
        <f>IF($C874&gt;0,INDEX(Merge_1_2!$Q$2:$Q$611,$C874),0)</f>
        <v>0</v>
      </c>
      <c r="E874" s="23">
        <f>IFERROR(MATCH($A874,Dataset3_Raw!$A$2:$A$391,0),0)</f>
        <v>263</v>
      </c>
      <c r="F874" s="24">
        <f>IF($C874&gt;0,INDEX(Merge_1_2!$B$2:$B$611,$C874),DATE(VALUE(RIGHT(INDEX(Dataset3_Raw!$B$2:$B$391,$E874),4)),VALUE(MID(INDEX(Dataset3_Raw!$B$2:$B$391,$E874),4,2)),VALUE(LEFT(INDEX(Dataset3_Raw!$B$2:$B$391,$E874),2))))</f>
        <v>40582</v>
      </c>
      <c r="G874" s="23">
        <f>IF($C874&gt;0,INDEX(Merge_1_2!$C$2:$C$611,$C874),INDEX(Dataset3_Raw!$C$2:$C$391,$E874))</f>
        <v>1</v>
      </c>
      <c r="H874" s="23">
        <f>IF($C874&gt;0,INDEX(Merge_1_2!$D$2:$D$611,$C874),INDEX(Dataset3_Raw!$D$2:$D$391,$E874))</f>
        <v>0</v>
      </c>
      <c r="I874" s="23">
        <f>IF($C874&gt;0,INDEX(Merge_1_2!$E$2:$E$611,$C874),INDEX(Dataset3_Raw!$E$2:$E$391,$E874))</f>
        <v>2</v>
      </c>
      <c r="J874" s="23">
        <f>IF($C874&gt;0,INDEX(Merge_1_2!$F$2:$F$611,$C874),INDEX(Dataset3_Raw!$F$2:$F$391,$E874))</f>
        <v>19</v>
      </c>
      <c r="K874" s="23" t="b">
        <f>IF($C874&gt;0,INDEX(Merge_1_2!$G$2:$G$611,$C874),INDEX(Dataset3_Raw!$G$2:$G$391,$E874))</f>
        <v>0</v>
      </c>
      <c r="L874" s="23">
        <f>IF($C874&gt;0,INDEX(Merge_1_2!$H$2:$H$611,$C874),INDEX(Dataset3_Raw!$H$2:$H$391,$E874))</f>
        <v>2</v>
      </c>
      <c r="M874" s="23">
        <f>IF($C874&gt;0,INDEX(Merge_1_2!$I$2:$I$611,$C874),INDEX(Dataset3_Raw!$I$2:$I$391,$E874))</f>
        <v>1</v>
      </c>
      <c r="N874" s="25">
        <f>IF($C874&gt;0,INDEX(Merge_1_2!$J$2:$J$611,$C874),INDEX(Dataset3_Raw!$J$2:$J$391,$E874))</f>
        <v>0.16</v>
      </c>
      <c r="O874" s="25">
        <f>IF($C874&gt;0,IF(ISNUMBER(INDEX(Merge_1_2!$K$2:$K$611,$C874)),INDEX(Merge_1_2!$K$2:$K$611,$C874),""),INDEX(Dataset3_Raw!$K$2:$K$391,$E874))</f>
        <v>0.1212</v>
      </c>
      <c r="P874" s="25">
        <f>IF(ISNUMBER($O874),$O874,ROUND(Lookups!$B$25+Lookups!$B$24*$N874,4))</f>
        <v>0.1212</v>
      </c>
      <c r="Q874" s="25">
        <f>IF($C874&gt;0,INDEX(Merge_1_2!$L$2:$L$611,$C874),INDEX(Dataset3_Raw!$L$2:$L$391,$E874))</f>
        <v>0.4</v>
      </c>
      <c r="R874" s="25">
        <f>IF($C874&gt;0,INDEX(Merge_1_2!$M$2:$M$611,$C874),INDEX(Dataset3_Raw!$M$2:$M$391,$E874))</f>
        <v>0.4627</v>
      </c>
      <c r="S874" s="23">
        <f>IF($C874&gt;0,INDEX(Merge_1_2!$N$2:$N$611,$C874),INDEX(Dataset3_Raw!$N$2:$N$391,$E874))</f>
        <v>1</v>
      </c>
      <c r="T874" s="23">
        <f>IF($C874&gt;0,INDEX(Merge_1_2!$O$2:$O$611,$C874),INDEX(Dataset3_Raw!$O$2:$O$391,$E874))</f>
        <v>100</v>
      </c>
      <c r="U874" s="23">
        <f>IF($C874&gt;0,INDEX(Merge_1_2!$P$2:$P$611,$C874),INDEX(Dataset3_Raw!$P$2:$P$391,$E874))</f>
        <v>101</v>
      </c>
      <c r="V874" s="23" t="str">
        <f t="shared" si="79"/>
        <v>Weekday</v>
      </c>
      <c r="W874" s="23" t="str">
        <f>VLOOKUP($M874,Lookups!$A$5:$B$8,2,FALSE())</f>
        <v>Clear / Partly cloudy</v>
      </c>
      <c r="X874" s="23" t="str">
        <f>VLOOKUP($G874,Lookups!$D$5:$E$8,2,FALSE())</f>
        <v>Winter</v>
      </c>
      <c r="Y874" s="23" t="str">
        <f>VLOOKUP($L874,Lookups!$G$5:$H$11,2,FALSE())</f>
        <v>Tuesday</v>
      </c>
      <c r="Z874" s="23" t="str">
        <f>IF($J874&lt;Lookups!$B$26,"Night",IF($J874&lt;Lookups!$B$27,"Morning",IF($J874&lt;Lookups!$B$28,"Afternoon","Evening")))</f>
        <v>Evening</v>
      </c>
      <c r="AA874" s="26">
        <f>ROUND($N874*(Lookups!$B$16-Lookups!$B$15)+Lookups!$B$15,1)</f>
        <v>-0.5</v>
      </c>
      <c r="AB874" s="26">
        <f>ROUND($P874*(Lookups!$B$18-Lookups!$B$17)+Lookups!$B$17,1)</f>
        <v>-8</v>
      </c>
      <c r="AC874" s="23">
        <f t="shared" si="80"/>
        <v>40</v>
      </c>
      <c r="AD874" s="23">
        <f>ROUND($R874*Lookups!$B$19,1)</f>
        <v>31</v>
      </c>
      <c r="AE874" s="27">
        <f t="shared" si="81"/>
        <v>0.99009900990099009</v>
      </c>
      <c r="AF874" s="23" t="str">
        <f>IF($U874&gt;=Lookups!$B$23,"High",IF($U874&gt;=Lookups!$B$22,"Medium","Low"))</f>
        <v>High</v>
      </c>
      <c r="AG874" s="23">
        <f>ROUND(IF($V874="Weekday",IF(INDEX(Hourly_Analysis!$D$5:$D$28,$J874+1)&gt;0,($U874-INDEX(Hourly_Analysis!$C$5:$C$28,$J874+1))/INDEX(Hourly_Analysis!$D$5:$D$28,$J874+1),0),IF(INDEX(Hourly_Analysis!$G$5:$G$28,$J874+1)&gt;0,($U874-INDEX(Hourly_Analysis!$F$5:$F$28,$J874+1))/INDEX(Hourly_Analysis!$G$5:$G$28,$J874+1),0)),2)</f>
        <v>-0.13</v>
      </c>
      <c r="AH874" s="23" t="str">
        <f>IF(ABS($AG874)&gt;Lookups!$B$20,IF($AG874&gt;0,"High anomaly","Low anomaly"),"")</f>
        <v/>
      </c>
      <c r="AI874" s="23" t="str">
        <f t="shared" si="82"/>
        <v>OK</v>
      </c>
      <c r="AJ874" s="23" t="str">
        <f t="shared" si="83"/>
        <v>No</v>
      </c>
    </row>
    <row r="875" spans="1:36" x14ac:dyDescent="0.35">
      <c r="A875" s="23">
        <v>874</v>
      </c>
      <c r="B875" s="23" t="str">
        <f t="shared" si="78"/>
        <v>Dataset 3</v>
      </c>
      <c r="C875" s="23">
        <f>IFERROR(MATCH($A875,Merge_1_2!$A$2:$A$611,0),0)</f>
        <v>0</v>
      </c>
      <c r="D875" s="23">
        <f>IF($C875&gt;0,INDEX(Merge_1_2!$Q$2:$Q$611,$C875),0)</f>
        <v>0</v>
      </c>
      <c r="E875" s="23">
        <f>IFERROR(MATCH($A875,Dataset3_Raw!$A$2:$A$391,0),0)</f>
        <v>264</v>
      </c>
      <c r="F875" s="24">
        <f>IF($C875&gt;0,INDEX(Merge_1_2!$B$2:$B$611,$C875),DATE(VALUE(RIGHT(INDEX(Dataset3_Raw!$B$2:$B$391,$E875),4)),VALUE(MID(INDEX(Dataset3_Raw!$B$2:$B$391,$E875),4,2)),VALUE(LEFT(INDEX(Dataset3_Raw!$B$2:$B$391,$E875),2))))</f>
        <v>40582</v>
      </c>
      <c r="G875" s="23">
        <f>IF($C875&gt;0,INDEX(Merge_1_2!$C$2:$C$611,$C875),INDEX(Dataset3_Raw!$C$2:$C$391,$E875))</f>
        <v>1</v>
      </c>
      <c r="H875" s="23">
        <f>IF($C875&gt;0,INDEX(Merge_1_2!$D$2:$D$611,$C875),INDEX(Dataset3_Raw!$D$2:$D$391,$E875))</f>
        <v>0</v>
      </c>
      <c r="I875" s="23">
        <f>IF($C875&gt;0,INDEX(Merge_1_2!$E$2:$E$611,$C875),INDEX(Dataset3_Raw!$E$2:$E$391,$E875))</f>
        <v>2</v>
      </c>
      <c r="J875" s="23">
        <f>IF($C875&gt;0,INDEX(Merge_1_2!$F$2:$F$611,$C875),INDEX(Dataset3_Raw!$F$2:$F$391,$E875))</f>
        <v>20</v>
      </c>
      <c r="K875" s="23" t="b">
        <f>IF($C875&gt;0,INDEX(Merge_1_2!$G$2:$G$611,$C875),INDEX(Dataset3_Raw!$G$2:$G$391,$E875))</f>
        <v>0</v>
      </c>
      <c r="L875" s="23">
        <f>IF($C875&gt;0,INDEX(Merge_1_2!$H$2:$H$611,$C875),INDEX(Dataset3_Raw!$H$2:$H$391,$E875))</f>
        <v>2</v>
      </c>
      <c r="M875" s="23">
        <f>IF($C875&gt;0,INDEX(Merge_1_2!$I$2:$I$611,$C875),INDEX(Dataset3_Raw!$I$2:$I$391,$E875))</f>
        <v>1</v>
      </c>
      <c r="N875" s="25">
        <f>IF($C875&gt;0,INDEX(Merge_1_2!$J$2:$J$611,$C875),INDEX(Dataset3_Raw!$J$2:$J$391,$E875))</f>
        <v>0.16</v>
      </c>
      <c r="O875" s="25">
        <f>IF($C875&gt;0,IF(ISNUMBER(INDEX(Merge_1_2!$K$2:$K$611,$C875)),INDEX(Merge_1_2!$K$2:$K$611,$C875),""),INDEX(Dataset3_Raw!$K$2:$K$391,$E875))</f>
        <v>0.13639999999999999</v>
      </c>
      <c r="P875" s="25">
        <f>IF(ISNUMBER($O875),$O875,ROUND(Lookups!$B$25+Lookups!$B$24*$N875,4))</f>
        <v>0.13639999999999999</v>
      </c>
      <c r="Q875" s="25">
        <f>IF($C875&gt;0,INDEX(Merge_1_2!$L$2:$L$611,$C875),INDEX(Dataset3_Raw!$L$2:$L$391,$E875))</f>
        <v>0.4</v>
      </c>
      <c r="R875" s="25">
        <f>IF($C875&gt;0,INDEX(Merge_1_2!$M$2:$M$611,$C875),INDEX(Dataset3_Raw!$M$2:$M$391,$E875))</f>
        <v>0.32840000000000003</v>
      </c>
      <c r="S875" s="23">
        <f>IF($C875&gt;0,INDEX(Merge_1_2!$N$2:$N$611,$C875),INDEX(Dataset3_Raw!$N$2:$N$391,$E875))</f>
        <v>3</v>
      </c>
      <c r="T875" s="23">
        <f>IF($C875&gt;0,INDEX(Merge_1_2!$O$2:$O$611,$C875),INDEX(Dataset3_Raw!$O$2:$O$391,$E875))</f>
        <v>53</v>
      </c>
      <c r="U875" s="23">
        <f>IF($C875&gt;0,INDEX(Merge_1_2!$P$2:$P$611,$C875),INDEX(Dataset3_Raw!$P$2:$P$391,$E875))</f>
        <v>56</v>
      </c>
      <c r="V875" s="23" t="str">
        <f t="shared" si="79"/>
        <v>Weekday</v>
      </c>
      <c r="W875" s="23" t="str">
        <f>VLOOKUP($M875,Lookups!$A$5:$B$8,2,FALSE())</f>
        <v>Clear / Partly cloudy</v>
      </c>
      <c r="X875" s="23" t="str">
        <f>VLOOKUP($G875,Lookups!$D$5:$E$8,2,FALSE())</f>
        <v>Winter</v>
      </c>
      <c r="Y875" s="23" t="str">
        <f>VLOOKUP($L875,Lookups!$G$5:$H$11,2,FALSE())</f>
        <v>Tuesday</v>
      </c>
      <c r="Z875" s="23" t="str">
        <f>IF($J875&lt;Lookups!$B$26,"Night",IF($J875&lt;Lookups!$B$27,"Morning",IF($J875&lt;Lookups!$B$28,"Afternoon","Evening")))</f>
        <v>Evening</v>
      </c>
      <c r="AA875" s="26">
        <f>ROUND($N875*(Lookups!$B$16-Lookups!$B$15)+Lookups!$B$15,1)</f>
        <v>-0.5</v>
      </c>
      <c r="AB875" s="26">
        <f>ROUND($P875*(Lookups!$B$18-Lookups!$B$17)+Lookups!$B$17,1)</f>
        <v>-7</v>
      </c>
      <c r="AC875" s="23">
        <f t="shared" si="80"/>
        <v>40</v>
      </c>
      <c r="AD875" s="23">
        <f>ROUND($R875*Lookups!$B$19,1)</f>
        <v>22</v>
      </c>
      <c r="AE875" s="27">
        <f t="shared" si="81"/>
        <v>0.9464285714285714</v>
      </c>
      <c r="AF875" s="23" t="str">
        <f>IF($U875&gt;=Lookups!$B$23,"High",IF($U875&gt;=Lookups!$B$22,"Medium","Low"))</f>
        <v>Medium</v>
      </c>
      <c r="AG875" s="23">
        <f>ROUND(IF($V875="Weekday",IF(INDEX(Hourly_Analysis!$D$5:$D$28,$J875+1)&gt;0,($U875-INDEX(Hourly_Analysis!$C$5:$C$28,$J875+1))/INDEX(Hourly_Analysis!$D$5:$D$28,$J875+1),0),IF(INDEX(Hourly_Analysis!$G$5:$G$28,$J875+1)&gt;0,($U875-INDEX(Hourly_Analysis!$F$5:$F$28,$J875+1))/INDEX(Hourly_Analysis!$G$5:$G$28,$J875+1),0)),2)</f>
        <v>-0.84</v>
      </c>
      <c r="AH875" s="23" t="str">
        <f>IF(ABS($AG875)&gt;Lookups!$B$20,IF($AG875&gt;0,"High anomaly","Low anomaly"),"")</f>
        <v/>
      </c>
      <c r="AI875" s="23" t="str">
        <f t="shared" si="82"/>
        <v>OK</v>
      </c>
      <c r="AJ875" s="23" t="str">
        <f t="shared" si="83"/>
        <v>No</v>
      </c>
    </row>
    <row r="876" spans="1:36" x14ac:dyDescent="0.35">
      <c r="A876" s="23">
        <v>875</v>
      </c>
      <c r="B876" s="23" t="str">
        <f t="shared" si="78"/>
        <v>Dataset 3</v>
      </c>
      <c r="C876" s="23">
        <f>IFERROR(MATCH($A876,Merge_1_2!$A$2:$A$611,0),0)</f>
        <v>0</v>
      </c>
      <c r="D876" s="23">
        <f>IF($C876&gt;0,INDEX(Merge_1_2!$Q$2:$Q$611,$C876),0)</f>
        <v>0</v>
      </c>
      <c r="E876" s="23">
        <f>IFERROR(MATCH($A876,Dataset3_Raw!$A$2:$A$391,0),0)</f>
        <v>265</v>
      </c>
      <c r="F876" s="24">
        <f>IF($C876&gt;0,INDEX(Merge_1_2!$B$2:$B$611,$C876),DATE(VALUE(RIGHT(INDEX(Dataset3_Raw!$B$2:$B$391,$E876),4)),VALUE(MID(INDEX(Dataset3_Raw!$B$2:$B$391,$E876),4,2)),VALUE(LEFT(INDEX(Dataset3_Raw!$B$2:$B$391,$E876),2))))</f>
        <v>40582</v>
      </c>
      <c r="G876" s="23">
        <f>IF($C876&gt;0,INDEX(Merge_1_2!$C$2:$C$611,$C876),INDEX(Dataset3_Raw!$C$2:$C$391,$E876))</f>
        <v>1</v>
      </c>
      <c r="H876" s="23">
        <f>IF($C876&gt;0,INDEX(Merge_1_2!$D$2:$D$611,$C876),INDEX(Dataset3_Raw!$D$2:$D$391,$E876))</f>
        <v>0</v>
      </c>
      <c r="I876" s="23">
        <f>IF($C876&gt;0,INDEX(Merge_1_2!$E$2:$E$611,$C876),INDEX(Dataset3_Raw!$E$2:$E$391,$E876))</f>
        <v>2</v>
      </c>
      <c r="J876" s="23">
        <f>IF($C876&gt;0,INDEX(Merge_1_2!$F$2:$F$611,$C876),INDEX(Dataset3_Raw!$F$2:$F$391,$E876))</f>
        <v>21</v>
      </c>
      <c r="K876" s="23" t="b">
        <f>IF($C876&gt;0,INDEX(Merge_1_2!$G$2:$G$611,$C876),INDEX(Dataset3_Raw!$G$2:$G$391,$E876))</f>
        <v>0</v>
      </c>
      <c r="L876" s="23">
        <f>IF($C876&gt;0,INDEX(Merge_1_2!$H$2:$H$611,$C876),INDEX(Dataset3_Raw!$H$2:$H$391,$E876))</f>
        <v>2</v>
      </c>
      <c r="M876" s="23">
        <f>IF($C876&gt;0,INDEX(Merge_1_2!$I$2:$I$611,$C876),INDEX(Dataset3_Raw!$I$2:$I$391,$E876))</f>
        <v>1</v>
      </c>
      <c r="N876" s="25">
        <f>IF($C876&gt;0,INDEX(Merge_1_2!$J$2:$J$611,$C876),INDEX(Dataset3_Raw!$J$2:$J$391,$E876))</f>
        <v>0.14000000000000001</v>
      </c>
      <c r="O876" s="25">
        <f>IF($C876&gt;0,IF(ISNUMBER(INDEX(Merge_1_2!$K$2:$K$611,$C876)),INDEX(Merge_1_2!$K$2:$K$611,$C876),""),INDEX(Dataset3_Raw!$K$2:$K$391,$E876))</f>
        <v>0.1061</v>
      </c>
      <c r="P876" s="25">
        <f>IF(ISNUMBER($O876),$O876,ROUND(Lookups!$B$25+Lookups!$B$24*$N876,4))</f>
        <v>0.1061</v>
      </c>
      <c r="Q876" s="25">
        <f>IF($C876&gt;0,INDEX(Merge_1_2!$L$2:$L$611,$C876),INDEX(Dataset3_Raw!$L$2:$L$391,$E876))</f>
        <v>0.33</v>
      </c>
      <c r="R876" s="25">
        <f>IF($C876&gt;0,INDEX(Merge_1_2!$M$2:$M$611,$C876),INDEX(Dataset3_Raw!$M$2:$M$391,$E876))</f>
        <v>0.4627</v>
      </c>
      <c r="S876" s="23">
        <f>IF($C876&gt;0,INDEX(Merge_1_2!$N$2:$N$611,$C876),INDEX(Dataset3_Raw!$N$2:$N$391,$E876))</f>
        <v>8</v>
      </c>
      <c r="T876" s="23">
        <f>IF($C876&gt;0,INDEX(Merge_1_2!$O$2:$O$611,$C876),INDEX(Dataset3_Raw!$O$2:$O$391,$E876))</f>
        <v>46</v>
      </c>
      <c r="U876" s="23">
        <f>IF($C876&gt;0,INDEX(Merge_1_2!$P$2:$P$611,$C876),INDEX(Dataset3_Raw!$P$2:$P$391,$E876))</f>
        <v>54</v>
      </c>
      <c r="V876" s="23" t="str">
        <f t="shared" si="79"/>
        <v>Weekday</v>
      </c>
      <c r="W876" s="23" t="str">
        <f>VLOOKUP($M876,Lookups!$A$5:$B$8,2,FALSE())</f>
        <v>Clear / Partly cloudy</v>
      </c>
      <c r="X876" s="23" t="str">
        <f>VLOOKUP($G876,Lookups!$D$5:$E$8,2,FALSE())</f>
        <v>Winter</v>
      </c>
      <c r="Y876" s="23" t="str">
        <f>VLOOKUP($L876,Lookups!$G$5:$H$11,2,FALSE())</f>
        <v>Tuesday</v>
      </c>
      <c r="Z876" s="23" t="str">
        <f>IF($J876&lt;Lookups!$B$26,"Night",IF($J876&lt;Lookups!$B$27,"Morning",IF($J876&lt;Lookups!$B$28,"Afternoon","Evening")))</f>
        <v>Evening</v>
      </c>
      <c r="AA876" s="26">
        <f>ROUND($N876*(Lookups!$B$16-Lookups!$B$15)+Lookups!$B$15,1)</f>
        <v>-1.4</v>
      </c>
      <c r="AB876" s="26">
        <f>ROUND($P876*(Lookups!$B$18-Lookups!$B$17)+Lookups!$B$17,1)</f>
        <v>-9</v>
      </c>
      <c r="AC876" s="23">
        <f t="shared" si="80"/>
        <v>33</v>
      </c>
      <c r="AD876" s="23">
        <f>ROUND($R876*Lookups!$B$19,1)</f>
        <v>31</v>
      </c>
      <c r="AE876" s="27">
        <f t="shared" si="81"/>
        <v>0.85185185185185186</v>
      </c>
      <c r="AF876" s="23" t="str">
        <f>IF($U876&gt;=Lookups!$B$23,"High",IF($U876&gt;=Lookups!$B$22,"Medium","Low"))</f>
        <v>Medium</v>
      </c>
      <c r="AG876" s="23">
        <f>ROUND(IF($V876="Weekday",IF(INDEX(Hourly_Analysis!$D$5:$D$28,$J876+1)&gt;0,($U876-INDEX(Hourly_Analysis!$C$5:$C$28,$J876+1))/INDEX(Hourly_Analysis!$D$5:$D$28,$J876+1),0),IF(INDEX(Hourly_Analysis!$G$5:$G$28,$J876+1)&gt;0,($U876-INDEX(Hourly_Analysis!$F$5:$F$28,$J876+1))/INDEX(Hourly_Analysis!$G$5:$G$28,$J876+1),0)),2)</f>
        <v>0.17</v>
      </c>
      <c r="AH876" s="23" t="str">
        <f>IF(ABS($AG876)&gt;Lookups!$B$20,IF($AG876&gt;0,"High anomaly","Low anomaly"),"")</f>
        <v/>
      </c>
      <c r="AI876" s="23" t="str">
        <f t="shared" si="82"/>
        <v>OK</v>
      </c>
      <c r="AJ876" s="23" t="str">
        <f t="shared" si="83"/>
        <v>No</v>
      </c>
    </row>
    <row r="877" spans="1:36" x14ac:dyDescent="0.35">
      <c r="A877" s="23">
        <v>876</v>
      </c>
      <c r="B877" s="23" t="str">
        <f t="shared" si="78"/>
        <v>Dataset 3</v>
      </c>
      <c r="C877" s="23">
        <f>IFERROR(MATCH($A877,Merge_1_2!$A$2:$A$611,0),0)</f>
        <v>0</v>
      </c>
      <c r="D877" s="23">
        <f>IF($C877&gt;0,INDEX(Merge_1_2!$Q$2:$Q$611,$C877),0)</f>
        <v>0</v>
      </c>
      <c r="E877" s="23">
        <f>IFERROR(MATCH($A877,Dataset3_Raw!$A$2:$A$391,0),0)</f>
        <v>266</v>
      </c>
      <c r="F877" s="24">
        <f>IF($C877&gt;0,INDEX(Merge_1_2!$B$2:$B$611,$C877),DATE(VALUE(RIGHT(INDEX(Dataset3_Raw!$B$2:$B$391,$E877),4)),VALUE(MID(INDEX(Dataset3_Raw!$B$2:$B$391,$E877),4,2)),VALUE(LEFT(INDEX(Dataset3_Raw!$B$2:$B$391,$E877),2))))</f>
        <v>40582</v>
      </c>
      <c r="G877" s="23">
        <f>IF($C877&gt;0,INDEX(Merge_1_2!$C$2:$C$611,$C877),INDEX(Dataset3_Raw!$C$2:$C$391,$E877))</f>
        <v>1</v>
      </c>
      <c r="H877" s="23">
        <f>IF($C877&gt;0,INDEX(Merge_1_2!$D$2:$D$611,$C877),INDEX(Dataset3_Raw!$D$2:$D$391,$E877))</f>
        <v>0</v>
      </c>
      <c r="I877" s="23">
        <f>IF($C877&gt;0,INDEX(Merge_1_2!$E$2:$E$611,$C877),INDEX(Dataset3_Raw!$E$2:$E$391,$E877))</f>
        <v>2</v>
      </c>
      <c r="J877" s="23">
        <f>IF($C877&gt;0,INDEX(Merge_1_2!$F$2:$F$611,$C877),INDEX(Dataset3_Raw!$F$2:$F$391,$E877))</f>
        <v>22</v>
      </c>
      <c r="K877" s="23" t="b">
        <f>IF($C877&gt;0,INDEX(Merge_1_2!$G$2:$G$611,$C877),INDEX(Dataset3_Raw!$G$2:$G$391,$E877))</f>
        <v>0</v>
      </c>
      <c r="L877" s="23">
        <f>IF($C877&gt;0,INDEX(Merge_1_2!$H$2:$H$611,$C877),INDEX(Dataset3_Raw!$H$2:$H$391,$E877))</f>
        <v>2</v>
      </c>
      <c r="M877" s="23">
        <f>IF($C877&gt;0,INDEX(Merge_1_2!$I$2:$I$611,$C877),INDEX(Dataset3_Raw!$I$2:$I$391,$E877))</f>
        <v>1</v>
      </c>
      <c r="N877" s="25">
        <f>IF($C877&gt;0,INDEX(Merge_1_2!$J$2:$J$611,$C877),INDEX(Dataset3_Raw!$J$2:$J$391,$E877))</f>
        <v>0.12</v>
      </c>
      <c r="O877" s="25">
        <f>IF($C877&gt;0,IF(ISNUMBER(INDEX(Merge_1_2!$K$2:$K$611,$C877)),INDEX(Merge_1_2!$K$2:$K$611,$C877),""),INDEX(Dataset3_Raw!$K$2:$K$391,$E877))</f>
        <v>0.1061</v>
      </c>
      <c r="P877" s="25">
        <f>IF(ISNUMBER($O877),$O877,ROUND(Lookups!$B$25+Lookups!$B$24*$N877,4))</f>
        <v>0.1061</v>
      </c>
      <c r="Q877" s="25">
        <f>IF($C877&gt;0,INDEX(Merge_1_2!$L$2:$L$611,$C877),INDEX(Dataset3_Raw!$L$2:$L$391,$E877))</f>
        <v>0.33</v>
      </c>
      <c r="R877" s="25">
        <f>IF($C877&gt;0,INDEX(Merge_1_2!$M$2:$M$611,$C877),INDEX(Dataset3_Raw!$M$2:$M$391,$E877))</f>
        <v>0.35820000000000002</v>
      </c>
      <c r="S877" s="23">
        <f>IF($C877&gt;0,INDEX(Merge_1_2!$N$2:$N$611,$C877),INDEX(Dataset3_Raw!$N$2:$N$391,$E877))</f>
        <v>0</v>
      </c>
      <c r="T877" s="23">
        <f>IF($C877&gt;0,INDEX(Merge_1_2!$O$2:$O$611,$C877),INDEX(Dataset3_Raw!$O$2:$O$391,$E877))</f>
        <v>29</v>
      </c>
      <c r="U877" s="23">
        <f>IF($C877&gt;0,INDEX(Merge_1_2!$P$2:$P$611,$C877),INDEX(Dataset3_Raw!$P$2:$P$391,$E877))</f>
        <v>29</v>
      </c>
      <c r="V877" s="23" t="str">
        <f t="shared" si="79"/>
        <v>Weekday</v>
      </c>
      <c r="W877" s="23" t="str">
        <f>VLOOKUP($M877,Lookups!$A$5:$B$8,2,FALSE())</f>
        <v>Clear / Partly cloudy</v>
      </c>
      <c r="X877" s="23" t="str">
        <f>VLOOKUP($G877,Lookups!$D$5:$E$8,2,FALSE())</f>
        <v>Winter</v>
      </c>
      <c r="Y877" s="23" t="str">
        <f>VLOOKUP($L877,Lookups!$G$5:$H$11,2,FALSE())</f>
        <v>Tuesday</v>
      </c>
      <c r="Z877" s="23" t="str">
        <f>IF($J877&lt;Lookups!$B$26,"Night",IF($J877&lt;Lookups!$B$27,"Morning",IF($J877&lt;Lookups!$B$28,"Afternoon","Evening")))</f>
        <v>Evening</v>
      </c>
      <c r="AA877" s="26">
        <f>ROUND($N877*(Lookups!$B$16-Lookups!$B$15)+Lookups!$B$15,1)</f>
        <v>-2.4</v>
      </c>
      <c r="AB877" s="26">
        <f>ROUND($P877*(Lookups!$B$18-Lookups!$B$17)+Lookups!$B$17,1)</f>
        <v>-9</v>
      </c>
      <c r="AC877" s="23">
        <f t="shared" si="80"/>
        <v>33</v>
      </c>
      <c r="AD877" s="23">
        <f>ROUND($R877*Lookups!$B$19,1)</f>
        <v>24</v>
      </c>
      <c r="AE877" s="27">
        <f t="shared" si="81"/>
        <v>1</v>
      </c>
      <c r="AF877" s="23" t="str">
        <f>IF($U877&gt;=Lookups!$B$23,"High",IF($U877&gt;=Lookups!$B$22,"Medium","Low"))</f>
        <v>Medium</v>
      </c>
      <c r="AG877" s="23">
        <f>ROUND(IF($V877="Weekday",IF(INDEX(Hourly_Analysis!$D$5:$D$28,$J877+1)&gt;0,($U877-INDEX(Hourly_Analysis!$C$5:$C$28,$J877+1))/INDEX(Hourly_Analysis!$D$5:$D$28,$J877+1),0),IF(INDEX(Hourly_Analysis!$G$5:$G$28,$J877+1)&gt;0,($U877-INDEX(Hourly_Analysis!$F$5:$F$28,$J877+1))/INDEX(Hourly_Analysis!$G$5:$G$28,$J877+1),0)),2)</f>
        <v>-0.9</v>
      </c>
      <c r="AH877" s="23" t="str">
        <f>IF(ABS($AG877)&gt;Lookups!$B$20,IF($AG877&gt;0,"High anomaly","Low anomaly"),"")</f>
        <v/>
      </c>
      <c r="AI877" s="23" t="str">
        <f t="shared" si="82"/>
        <v>OK</v>
      </c>
      <c r="AJ877" s="23" t="str">
        <f t="shared" si="83"/>
        <v>No</v>
      </c>
    </row>
    <row r="878" spans="1:36" x14ac:dyDescent="0.35">
      <c r="A878" s="23">
        <v>877</v>
      </c>
      <c r="B878" s="23" t="str">
        <f t="shared" si="78"/>
        <v>Dataset 3</v>
      </c>
      <c r="C878" s="23">
        <f>IFERROR(MATCH($A878,Merge_1_2!$A$2:$A$611,0),0)</f>
        <v>0</v>
      </c>
      <c r="D878" s="23">
        <f>IF($C878&gt;0,INDEX(Merge_1_2!$Q$2:$Q$611,$C878),0)</f>
        <v>0</v>
      </c>
      <c r="E878" s="23">
        <f>IFERROR(MATCH($A878,Dataset3_Raw!$A$2:$A$391,0),0)</f>
        <v>267</v>
      </c>
      <c r="F878" s="24">
        <f>IF($C878&gt;0,INDEX(Merge_1_2!$B$2:$B$611,$C878),DATE(VALUE(RIGHT(INDEX(Dataset3_Raw!$B$2:$B$391,$E878),4)),VALUE(MID(INDEX(Dataset3_Raw!$B$2:$B$391,$E878),4,2)),VALUE(LEFT(INDEX(Dataset3_Raw!$B$2:$B$391,$E878),2))))</f>
        <v>40582</v>
      </c>
      <c r="G878" s="23">
        <f>IF($C878&gt;0,INDEX(Merge_1_2!$C$2:$C$611,$C878),INDEX(Dataset3_Raw!$C$2:$C$391,$E878))</f>
        <v>1</v>
      </c>
      <c r="H878" s="23">
        <f>IF($C878&gt;0,INDEX(Merge_1_2!$D$2:$D$611,$C878),INDEX(Dataset3_Raw!$D$2:$D$391,$E878))</f>
        <v>0</v>
      </c>
      <c r="I878" s="23">
        <f>IF($C878&gt;0,INDEX(Merge_1_2!$E$2:$E$611,$C878),INDEX(Dataset3_Raw!$E$2:$E$391,$E878))</f>
        <v>2</v>
      </c>
      <c r="J878" s="23">
        <f>IF($C878&gt;0,INDEX(Merge_1_2!$F$2:$F$611,$C878),INDEX(Dataset3_Raw!$F$2:$F$391,$E878))</f>
        <v>23</v>
      </c>
      <c r="K878" s="23" t="b">
        <f>IF($C878&gt;0,INDEX(Merge_1_2!$G$2:$G$611,$C878),INDEX(Dataset3_Raw!$G$2:$G$391,$E878))</f>
        <v>0</v>
      </c>
      <c r="L878" s="23">
        <f>IF($C878&gt;0,INDEX(Merge_1_2!$H$2:$H$611,$C878),INDEX(Dataset3_Raw!$H$2:$H$391,$E878))</f>
        <v>2</v>
      </c>
      <c r="M878" s="23">
        <f>IF($C878&gt;0,INDEX(Merge_1_2!$I$2:$I$611,$C878),INDEX(Dataset3_Raw!$I$2:$I$391,$E878))</f>
        <v>1</v>
      </c>
      <c r="N878" s="25">
        <f>IF($C878&gt;0,INDEX(Merge_1_2!$J$2:$J$611,$C878),INDEX(Dataset3_Raw!$J$2:$J$391,$E878))</f>
        <v>0.12</v>
      </c>
      <c r="O878" s="25">
        <f>IF($C878&gt;0,IF(ISNUMBER(INDEX(Merge_1_2!$K$2:$K$611,$C878)),INDEX(Merge_1_2!$K$2:$K$611,$C878),""),INDEX(Dataset3_Raw!$K$2:$K$391,$E878))</f>
        <v>0.1061</v>
      </c>
      <c r="P878" s="25">
        <f>IF(ISNUMBER($O878),$O878,ROUND(Lookups!$B$25+Lookups!$B$24*$N878,4))</f>
        <v>0.1061</v>
      </c>
      <c r="Q878" s="25">
        <f>IF($C878&gt;0,INDEX(Merge_1_2!$L$2:$L$611,$C878),INDEX(Dataset3_Raw!$L$2:$L$391,$E878))</f>
        <v>0.33</v>
      </c>
      <c r="R878" s="25">
        <f>IF($C878&gt;0,INDEX(Merge_1_2!$M$2:$M$611,$C878),INDEX(Dataset3_Raw!$M$2:$M$391,$E878))</f>
        <v>0.32840000000000003</v>
      </c>
      <c r="S878" s="23">
        <f>IF($C878&gt;0,INDEX(Merge_1_2!$N$2:$N$611,$C878),INDEX(Dataset3_Raw!$N$2:$N$391,$E878))</f>
        <v>3</v>
      </c>
      <c r="T878" s="23">
        <f>IF($C878&gt;0,INDEX(Merge_1_2!$O$2:$O$611,$C878),INDEX(Dataset3_Raw!$O$2:$O$391,$E878))</f>
        <v>9</v>
      </c>
      <c r="U878" s="23">
        <f>IF($C878&gt;0,INDEX(Merge_1_2!$P$2:$P$611,$C878),INDEX(Dataset3_Raw!$P$2:$P$391,$E878))</f>
        <v>12</v>
      </c>
      <c r="V878" s="23" t="str">
        <f t="shared" si="79"/>
        <v>Weekday</v>
      </c>
      <c r="W878" s="23" t="str">
        <f>VLOOKUP($M878,Lookups!$A$5:$B$8,2,FALSE())</f>
        <v>Clear / Partly cloudy</v>
      </c>
      <c r="X878" s="23" t="str">
        <f>VLOOKUP($G878,Lookups!$D$5:$E$8,2,FALSE())</f>
        <v>Winter</v>
      </c>
      <c r="Y878" s="23" t="str">
        <f>VLOOKUP($L878,Lookups!$G$5:$H$11,2,FALSE())</f>
        <v>Tuesday</v>
      </c>
      <c r="Z878" s="23" t="str">
        <f>IF($J878&lt;Lookups!$B$26,"Night",IF($J878&lt;Lookups!$B$27,"Morning",IF($J878&lt;Lookups!$B$28,"Afternoon","Evening")))</f>
        <v>Evening</v>
      </c>
      <c r="AA878" s="26">
        <f>ROUND($N878*(Lookups!$B$16-Lookups!$B$15)+Lookups!$B$15,1)</f>
        <v>-2.4</v>
      </c>
      <c r="AB878" s="26">
        <f>ROUND($P878*(Lookups!$B$18-Lookups!$B$17)+Lookups!$B$17,1)</f>
        <v>-9</v>
      </c>
      <c r="AC878" s="23">
        <f t="shared" si="80"/>
        <v>33</v>
      </c>
      <c r="AD878" s="23">
        <f>ROUND($R878*Lookups!$B$19,1)</f>
        <v>22</v>
      </c>
      <c r="AE878" s="27">
        <f t="shared" si="81"/>
        <v>0.75</v>
      </c>
      <c r="AF878" s="23" t="str">
        <f>IF($U878&gt;=Lookups!$B$23,"High",IF($U878&gt;=Lookups!$B$22,"Medium","Low"))</f>
        <v>Low</v>
      </c>
      <c r="AG878" s="23">
        <f>ROUND(IF($V878="Weekday",IF(INDEX(Hourly_Analysis!$D$5:$D$28,$J878+1)&gt;0,($U878-INDEX(Hourly_Analysis!$C$5:$C$28,$J878+1))/INDEX(Hourly_Analysis!$D$5:$D$28,$J878+1),0),IF(INDEX(Hourly_Analysis!$G$5:$G$28,$J878+1)&gt;0,($U878-INDEX(Hourly_Analysis!$F$5:$F$28,$J878+1))/INDEX(Hourly_Analysis!$G$5:$G$28,$J878+1),0)),2)</f>
        <v>-1.25</v>
      </c>
      <c r="AH878" s="23" t="str">
        <f>IF(ABS($AG878)&gt;Lookups!$B$20,IF($AG878&gt;0,"High anomaly","Low anomaly"),"")</f>
        <v/>
      </c>
      <c r="AI878" s="23" t="str">
        <f t="shared" si="82"/>
        <v>OK</v>
      </c>
      <c r="AJ878" s="23" t="str">
        <f t="shared" si="83"/>
        <v>No</v>
      </c>
    </row>
    <row r="879" spans="1:36" x14ac:dyDescent="0.35">
      <c r="A879" s="23">
        <v>878</v>
      </c>
      <c r="B879" s="23" t="str">
        <f t="shared" si="78"/>
        <v>Dataset 3</v>
      </c>
      <c r="C879" s="23">
        <f>IFERROR(MATCH($A879,Merge_1_2!$A$2:$A$611,0),0)</f>
        <v>0</v>
      </c>
      <c r="D879" s="23">
        <f>IF($C879&gt;0,INDEX(Merge_1_2!$Q$2:$Q$611,$C879),0)</f>
        <v>0</v>
      </c>
      <c r="E879" s="23">
        <f>IFERROR(MATCH($A879,Dataset3_Raw!$A$2:$A$391,0),0)</f>
        <v>268</v>
      </c>
      <c r="F879" s="24">
        <f>IF($C879&gt;0,INDEX(Merge_1_2!$B$2:$B$611,$C879),DATE(VALUE(RIGHT(INDEX(Dataset3_Raw!$B$2:$B$391,$E879),4)),VALUE(MID(INDEX(Dataset3_Raw!$B$2:$B$391,$E879),4,2)),VALUE(LEFT(INDEX(Dataset3_Raw!$B$2:$B$391,$E879),2))))</f>
        <v>40583</v>
      </c>
      <c r="G879" s="23">
        <f>IF($C879&gt;0,INDEX(Merge_1_2!$C$2:$C$611,$C879),INDEX(Dataset3_Raw!$C$2:$C$391,$E879))</f>
        <v>1</v>
      </c>
      <c r="H879" s="23">
        <f>IF($C879&gt;0,INDEX(Merge_1_2!$D$2:$D$611,$C879),INDEX(Dataset3_Raw!$D$2:$D$391,$E879))</f>
        <v>0</v>
      </c>
      <c r="I879" s="23">
        <f>IF($C879&gt;0,INDEX(Merge_1_2!$E$2:$E$611,$C879),INDEX(Dataset3_Raw!$E$2:$E$391,$E879))</f>
        <v>2</v>
      </c>
      <c r="J879" s="23">
        <f>IF($C879&gt;0,INDEX(Merge_1_2!$F$2:$F$611,$C879),INDEX(Dataset3_Raw!$F$2:$F$391,$E879))</f>
        <v>0</v>
      </c>
      <c r="K879" s="23" t="b">
        <f>IF($C879&gt;0,INDEX(Merge_1_2!$G$2:$G$611,$C879),INDEX(Dataset3_Raw!$G$2:$G$391,$E879))</f>
        <v>0</v>
      </c>
      <c r="L879" s="23">
        <f>IF($C879&gt;0,INDEX(Merge_1_2!$H$2:$H$611,$C879),INDEX(Dataset3_Raw!$H$2:$H$391,$E879))</f>
        <v>3</v>
      </c>
      <c r="M879" s="23">
        <f>IF($C879&gt;0,INDEX(Merge_1_2!$I$2:$I$611,$C879),INDEX(Dataset3_Raw!$I$2:$I$391,$E879))</f>
        <v>1</v>
      </c>
      <c r="N879" s="25">
        <f>IF($C879&gt;0,INDEX(Merge_1_2!$J$2:$J$611,$C879),INDEX(Dataset3_Raw!$J$2:$J$391,$E879))</f>
        <v>0.1</v>
      </c>
      <c r="O879" s="25">
        <f>IF($C879&gt;0,IF(ISNUMBER(INDEX(Merge_1_2!$K$2:$K$611,$C879)),INDEX(Merge_1_2!$K$2:$K$611,$C879),""),INDEX(Dataset3_Raw!$K$2:$K$391,$E879))</f>
        <v>7.5800000000000006E-2</v>
      </c>
      <c r="P879" s="25">
        <f>IF(ISNUMBER($O879),$O879,ROUND(Lookups!$B$25+Lookups!$B$24*$N879,4))</f>
        <v>7.5800000000000006E-2</v>
      </c>
      <c r="Q879" s="25">
        <f>IF($C879&gt;0,INDEX(Merge_1_2!$L$2:$L$611,$C879),INDEX(Dataset3_Raw!$L$2:$L$391,$E879))</f>
        <v>0.36</v>
      </c>
      <c r="R879" s="25">
        <f>IF($C879&gt;0,INDEX(Merge_1_2!$M$2:$M$611,$C879),INDEX(Dataset3_Raw!$M$2:$M$391,$E879))</f>
        <v>0.35820000000000002</v>
      </c>
      <c r="S879" s="23">
        <f>IF($C879&gt;0,INDEX(Merge_1_2!$N$2:$N$611,$C879),INDEX(Dataset3_Raw!$N$2:$N$391,$E879))</f>
        <v>0</v>
      </c>
      <c r="T879" s="23">
        <f>IF($C879&gt;0,INDEX(Merge_1_2!$O$2:$O$611,$C879),INDEX(Dataset3_Raw!$O$2:$O$391,$E879))</f>
        <v>17</v>
      </c>
      <c r="U879" s="23">
        <f>IF($C879&gt;0,INDEX(Merge_1_2!$P$2:$P$611,$C879),INDEX(Dataset3_Raw!$P$2:$P$391,$E879))</f>
        <v>17</v>
      </c>
      <c r="V879" s="23" t="str">
        <f t="shared" si="79"/>
        <v>Weekday</v>
      </c>
      <c r="W879" s="23" t="str">
        <f>VLOOKUP($M879,Lookups!$A$5:$B$8,2,FALSE())</f>
        <v>Clear / Partly cloudy</v>
      </c>
      <c r="X879" s="23" t="str">
        <f>VLOOKUP($G879,Lookups!$D$5:$E$8,2,FALSE())</f>
        <v>Winter</v>
      </c>
      <c r="Y879" s="23" t="str">
        <f>VLOOKUP($L879,Lookups!$G$5:$H$11,2,FALSE())</f>
        <v>Wednesday</v>
      </c>
      <c r="Z879" s="23" t="str">
        <f>IF($J879&lt;Lookups!$B$26,"Night",IF($J879&lt;Lookups!$B$27,"Morning",IF($J879&lt;Lookups!$B$28,"Afternoon","Evening")))</f>
        <v>Night</v>
      </c>
      <c r="AA879" s="26">
        <f>ROUND($N879*(Lookups!$B$16-Lookups!$B$15)+Lookups!$B$15,1)</f>
        <v>-3.3</v>
      </c>
      <c r="AB879" s="26">
        <f>ROUND($P879*(Lookups!$B$18-Lookups!$B$17)+Lookups!$B$17,1)</f>
        <v>-11</v>
      </c>
      <c r="AC879" s="23">
        <f t="shared" si="80"/>
        <v>36</v>
      </c>
      <c r="AD879" s="23">
        <f>ROUND($R879*Lookups!$B$19,1)</f>
        <v>24</v>
      </c>
      <c r="AE879" s="27">
        <f t="shared" si="81"/>
        <v>1</v>
      </c>
      <c r="AF879" s="23" t="str">
        <f>IF($U879&gt;=Lookups!$B$23,"High",IF($U879&gt;=Lookups!$B$22,"Medium","Low"))</f>
        <v>Medium</v>
      </c>
      <c r="AG879" s="23">
        <f>ROUND(IF($V879="Weekday",IF(INDEX(Hourly_Analysis!$D$5:$D$28,$J879+1)&gt;0,($U879-INDEX(Hourly_Analysis!$C$5:$C$28,$J879+1))/INDEX(Hourly_Analysis!$D$5:$D$28,$J879+1),0),IF(INDEX(Hourly_Analysis!$G$5:$G$28,$J879+1)&gt;0,($U879-INDEX(Hourly_Analysis!$F$5:$F$28,$J879+1))/INDEX(Hourly_Analysis!$G$5:$G$28,$J879+1),0)),2)</f>
        <v>1.35</v>
      </c>
      <c r="AH879" s="23" t="str">
        <f>IF(ABS($AG879)&gt;Lookups!$B$20,IF($AG879&gt;0,"High anomaly","Low anomaly"),"")</f>
        <v/>
      </c>
      <c r="AI879" s="23" t="str">
        <f t="shared" si="82"/>
        <v>OK</v>
      </c>
      <c r="AJ879" s="23" t="str">
        <f t="shared" si="83"/>
        <v>No</v>
      </c>
    </row>
    <row r="880" spans="1:36" x14ac:dyDescent="0.35">
      <c r="A880" s="23">
        <v>879</v>
      </c>
      <c r="B880" s="23" t="str">
        <f t="shared" si="78"/>
        <v>Dataset 3</v>
      </c>
      <c r="C880" s="23">
        <f>IFERROR(MATCH($A880,Merge_1_2!$A$2:$A$611,0),0)</f>
        <v>0</v>
      </c>
      <c r="D880" s="23">
        <f>IF($C880&gt;0,INDEX(Merge_1_2!$Q$2:$Q$611,$C880),0)</f>
        <v>0</v>
      </c>
      <c r="E880" s="23">
        <f>IFERROR(MATCH($A880,Dataset3_Raw!$A$2:$A$391,0),0)</f>
        <v>269</v>
      </c>
      <c r="F880" s="24">
        <f>IF($C880&gt;0,INDEX(Merge_1_2!$B$2:$B$611,$C880),DATE(VALUE(RIGHT(INDEX(Dataset3_Raw!$B$2:$B$391,$E880),4)),VALUE(MID(INDEX(Dataset3_Raw!$B$2:$B$391,$E880),4,2)),VALUE(LEFT(INDEX(Dataset3_Raw!$B$2:$B$391,$E880),2))))</f>
        <v>40583</v>
      </c>
      <c r="G880" s="23">
        <f>IF($C880&gt;0,INDEX(Merge_1_2!$C$2:$C$611,$C880),INDEX(Dataset3_Raw!$C$2:$C$391,$E880))</f>
        <v>1</v>
      </c>
      <c r="H880" s="23">
        <f>IF($C880&gt;0,INDEX(Merge_1_2!$D$2:$D$611,$C880),INDEX(Dataset3_Raw!$D$2:$D$391,$E880))</f>
        <v>0</v>
      </c>
      <c r="I880" s="23">
        <f>IF($C880&gt;0,INDEX(Merge_1_2!$E$2:$E$611,$C880),INDEX(Dataset3_Raw!$E$2:$E$391,$E880))</f>
        <v>2</v>
      </c>
      <c r="J880" s="23">
        <f>IF($C880&gt;0,INDEX(Merge_1_2!$F$2:$F$611,$C880),INDEX(Dataset3_Raw!$F$2:$F$391,$E880))</f>
        <v>1</v>
      </c>
      <c r="K880" s="23" t="b">
        <f>IF($C880&gt;0,INDEX(Merge_1_2!$G$2:$G$611,$C880),INDEX(Dataset3_Raw!$G$2:$G$391,$E880))</f>
        <v>0</v>
      </c>
      <c r="L880" s="23">
        <f>IF($C880&gt;0,INDEX(Merge_1_2!$H$2:$H$611,$C880),INDEX(Dataset3_Raw!$H$2:$H$391,$E880))</f>
        <v>3</v>
      </c>
      <c r="M880" s="23">
        <f>IF($C880&gt;0,INDEX(Merge_1_2!$I$2:$I$611,$C880),INDEX(Dataset3_Raw!$I$2:$I$391,$E880))</f>
        <v>1</v>
      </c>
      <c r="N880" s="25">
        <f>IF($C880&gt;0,INDEX(Merge_1_2!$J$2:$J$611,$C880),INDEX(Dataset3_Raw!$J$2:$J$391,$E880))</f>
        <v>0.1</v>
      </c>
      <c r="O880" s="25">
        <f>IF($C880&gt;0,IF(ISNUMBER(INDEX(Merge_1_2!$K$2:$K$611,$C880)),INDEX(Merge_1_2!$K$2:$K$611,$C880),""),INDEX(Dataset3_Raw!$K$2:$K$391,$E880))</f>
        <v>0.1061</v>
      </c>
      <c r="P880" s="25">
        <f>IF(ISNUMBER($O880),$O880,ROUND(Lookups!$B$25+Lookups!$B$24*$N880,4))</f>
        <v>0.1061</v>
      </c>
      <c r="Q880" s="25">
        <f>IF($C880&gt;0,INDEX(Merge_1_2!$L$2:$L$611,$C880),INDEX(Dataset3_Raw!$L$2:$L$391,$E880))</f>
        <v>0.36</v>
      </c>
      <c r="R880" s="25">
        <f>IF($C880&gt;0,INDEX(Merge_1_2!$M$2:$M$611,$C880),INDEX(Dataset3_Raw!$M$2:$M$391,$E880))</f>
        <v>0.22389999999999999</v>
      </c>
      <c r="S880" s="23">
        <f>IF($C880&gt;0,INDEX(Merge_1_2!$N$2:$N$611,$C880),INDEX(Dataset3_Raw!$N$2:$N$391,$E880))</f>
        <v>0</v>
      </c>
      <c r="T880" s="23">
        <f>IF($C880&gt;0,INDEX(Merge_1_2!$O$2:$O$611,$C880),INDEX(Dataset3_Raw!$O$2:$O$391,$E880))</f>
        <v>7</v>
      </c>
      <c r="U880" s="23">
        <f>IF($C880&gt;0,INDEX(Merge_1_2!$P$2:$P$611,$C880),INDEX(Dataset3_Raw!$P$2:$P$391,$E880))</f>
        <v>7</v>
      </c>
      <c r="V880" s="23" t="str">
        <f t="shared" si="79"/>
        <v>Weekday</v>
      </c>
      <c r="W880" s="23" t="str">
        <f>VLOOKUP($M880,Lookups!$A$5:$B$8,2,FALSE())</f>
        <v>Clear / Partly cloudy</v>
      </c>
      <c r="X880" s="23" t="str">
        <f>VLOOKUP($G880,Lookups!$D$5:$E$8,2,FALSE())</f>
        <v>Winter</v>
      </c>
      <c r="Y880" s="23" t="str">
        <f>VLOOKUP($L880,Lookups!$G$5:$H$11,2,FALSE())</f>
        <v>Wednesday</v>
      </c>
      <c r="Z880" s="23" t="str">
        <f>IF($J880&lt;Lookups!$B$26,"Night",IF($J880&lt;Lookups!$B$27,"Morning",IF($J880&lt;Lookups!$B$28,"Afternoon","Evening")))</f>
        <v>Night</v>
      </c>
      <c r="AA880" s="26">
        <f>ROUND($N880*(Lookups!$B$16-Lookups!$B$15)+Lookups!$B$15,1)</f>
        <v>-3.3</v>
      </c>
      <c r="AB880" s="26">
        <f>ROUND($P880*(Lookups!$B$18-Lookups!$B$17)+Lookups!$B$17,1)</f>
        <v>-9</v>
      </c>
      <c r="AC880" s="23">
        <f t="shared" si="80"/>
        <v>36</v>
      </c>
      <c r="AD880" s="23">
        <f>ROUND($R880*Lookups!$B$19,1)</f>
        <v>15</v>
      </c>
      <c r="AE880" s="27">
        <f t="shared" si="81"/>
        <v>1</v>
      </c>
      <c r="AF880" s="23" t="str">
        <f>IF($U880&gt;=Lookups!$B$23,"High",IF($U880&gt;=Lookups!$B$22,"Medium","Low"))</f>
        <v>Low</v>
      </c>
      <c r="AG880" s="23">
        <f>ROUND(IF($V880="Weekday",IF(INDEX(Hourly_Analysis!$D$5:$D$28,$J880+1)&gt;0,($U880-INDEX(Hourly_Analysis!$C$5:$C$28,$J880+1))/INDEX(Hourly_Analysis!$D$5:$D$28,$J880+1),0),IF(INDEX(Hourly_Analysis!$G$5:$G$28,$J880+1)&gt;0,($U880-INDEX(Hourly_Analysis!$F$5:$F$28,$J880+1))/INDEX(Hourly_Analysis!$G$5:$G$28,$J880+1),0)),2)</f>
        <v>1.1299999999999999</v>
      </c>
      <c r="AH880" s="23" t="str">
        <f>IF(ABS($AG880)&gt;Lookups!$B$20,IF($AG880&gt;0,"High anomaly","Low anomaly"),"")</f>
        <v/>
      </c>
      <c r="AI880" s="23" t="str">
        <f t="shared" si="82"/>
        <v>OK</v>
      </c>
      <c r="AJ880" s="23" t="str">
        <f t="shared" si="83"/>
        <v>No</v>
      </c>
    </row>
    <row r="881" spans="1:36" x14ac:dyDescent="0.35">
      <c r="A881" s="23">
        <v>880</v>
      </c>
      <c r="B881" s="23" t="str">
        <f t="shared" si="78"/>
        <v>Dataset 3</v>
      </c>
      <c r="C881" s="23">
        <f>IFERROR(MATCH($A881,Merge_1_2!$A$2:$A$611,0),0)</f>
        <v>0</v>
      </c>
      <c r="D881" s="23">
        <f>IF($C881&gt;0,INDEX(Merge_1_2!$Q$2:$Q$611,$C881),0)</f>
        <v>0</v>
      </c>
      <c r="E881" s="23">
        <f>IFERROR(MATCH($A881,Dataset3_Raw!$A$2:$A$391,0),0)</f>
        <v>270</v>
      </c>
      <c r="F881" s="24">
        <f>IF($C881&gt;0,INDEX(Merge_1_2!$B$2:$B$611,$C881),DATE(VALUE(RIGHT(INDEX(Dataset3_Raw!$B$2:$B$391,$E881),4)),VALUE(MID(INDEX(Dataset3_Raw!$B$2:$B$391,$E881),4,2)),VALUE(LEFT(INDEX(Dataset3_Raw!$B$2:$B$391,$E881),2))))</f>
        <v>40583</v>
      </c>
      <c r="G881" s="23">
        <f>IF($C881&gt;0,INDEX(Merge_1_2!$C$2:$C$611,$C881),INDEX(Dataset3_Raw!$C$2:$C$391,$E881))</f>
        <v>1</v>
      </c>
      <c r="H881" s="23">
        <f>IF($C881&gt;0,INDEX(Merge_1_2!$D$2:$D$611,$C881),INDEX(Dataset3_Raw!$D$2:$D$391,$E881))</f>
        <v>0</v>
      </c>
      <c r="I881" s="23">
        <f>IF($C881&gt;0,INDEX(Merge_1_2!$E$2:$E$611,$C881),INDEX(Dataset3_Raw!$E$2:$E$391,$E881))</f>
        <v>2</v>
      </c>
      <c r="J881" s="23">
        <f>IF($C881&gt;0,INDEX(Merge_1_2!$F$2:$F$611,$C881),INDEX(Dataset3_Raw!$F$2:$F$391,$E881))</f>
        <v>2</v>
      </c>
      <c r="K881" s="23" t="b">
        <f>IF($C881&gt;0,INDEX(Merge_1_2!$G$2:$G$611,$C881),INDEX(Dataset3_Raw!$G$2:$G$391,$E881))</f>
        <v>0</v>
      </c>
      <c r="L881" s="23">
        <f>IF($C881&gt;0,INDEX(Merge_1_2!$H$2:$H$611,$C881),INDEX(Dataset3_Raw!$H$2:$H$391,$E881))</f>
        <v>3</v>
      </c>
      <c r="M881" s="23">
        <f>IF($C881&gt;0,INDEX(Merge_1_2!$I$2:$I$611,$C881),INDEX(Dataset3_Raw!$I$2:$I$391,$E881))</f>
        <v>1</v>
      </c>
      <c r="N881" s="25">
        <f>IF($C881&gt;0,INDEX(Merge_1_2!$J$2:$J$611,$C881),INDEX(Dataset3_Raw!$J$2:$J$391,$E881))</f>
        <v>0.08</v>
      </c>
      <c r="O881" s="25">
        <f>IF($C881&gt;0,IF(ISNUMBER(INDEX(Merge_1_2!$K$2:$K$611,$C881)),INDEX(Merge_1_2!$K$2:$K$611,$C881),""),INDEX(Dataset3_Raw!$K$2:$K$391,$E881))</f>
        <v>7.5800000000000006E-2</v>
      </c>
      <c r="P881" s="25">
        <f>IF(ISNUMBER($O881),$O881,ROUND(Lookups!$B$25+Lookups!$B$24*$N881,4))</f>
        <v>7.5800000000000006E-2</v>
      </c>
      <c r="Q881" s="25">
        <f>IF($C881&gt;0,INDEX(Merge_1_2!$L$2:$L$611,$C881),INDEX(Dataset3_Raw!$L$2:$L$391,$E881))</f>
        <v>0.38</v>
      </c>
      <c r="R881" s="25">
        <f>IF($C881&gt;0,INDEX(Merge_1_2!$M$2:$M$611,$C881),INDEX(Dataset3_Raw!$M$2:$M$391,$E881))</f>
        <v>0.28360000000000002</v>
      </c>
      <c r="S881" s="23">
        <f>IF($C881&gt;0,INDEX(Merge_1_2!$N$2:$N$611,$C881),INDEX(Dataset3_Raw!$N$2:$N$391,$E881))</f>
        <v>1</v>
      </c>
      <c r="T881" s="23">
        <f>IF($C881&gt;0,INDEX(Merge_1_2!$O$2:$O$611,$C881),INDEX(Dataset3_Raw!$O$2:$O$391,$E881))</f>
        <v>2</v>
      </c>
      <c r="U881" s="23">
        <f>IF($C881&gt;0,INDEX(Merge_1_2!$P$2:$P$611,$C881),INDEX(Dataset3_Raw!$P$2:$P$391,$E881))</f>
        <v>3</v>
      </c>
      <c r="V881" s="23" t="str">
        <f t="shared" si="79"/>
        <v>Weekday</v>
      </c>
      <c r="W881" s="23" t="str">
        <f>VLOOKUP($M881,Lookups!$A$5:$B$8,2,FALSE())</f>
        <v>Clear / Partly cloudy</v>
      </c>
      <c r="X881" s="23" t="str">
        <f>VLOOKUP($G881,Lookups!$D$5:$E$8,2,FALSE())</f>
        <v>Winter</v>
      </c>
      <c r="Y881" s="23" t="str">
        <f>VLOOKUP($L881,Lookups!$G$5:$H$11,2,FALSE())</f>
        <v>Wednesday</v>
      </c>
      <c r="Z881" s="23" t="str">
        <f>IF($J881&lt;Lookups!$B$26,"Night",IF($J881&lt;Lookups!$B$27,"Morning",IF($J881&lt;Lookups!$B$28,"Afternoon","Evening")))</f>
        <v>Night</v>
      </c>
      <c r="AA881" s="26">
        <f>ROUND($N881*(Lookups!$B$16-Lookups!$B$15)+Lookups!$B$15,1)</f>
        <v>-4.2</v>
      </c>
      <c r="AB881" s="26">
        <f>ROUND($P881*(Lookups!$B$18-Lookups!$B$17)+Lookups!$B$17,1)</f>
        <v>-11</v>
      </c>
      <c r="AC881" s="23">
        <f t="shared" si="80"/>
        <v>38</v>
      </c>
      <c r="AD881" s="23">
        <f>ROUND($R881*Lookups!$B$19,1)</f>
        <v>19</v>
      </c>
      <c r="AE881" s="27">
        <f t="shared" si="81"/>
        <v>0.66666666666666663</v>
      </c>
      <c r="AF881" s="23" t="str">
        <f>IF($U881&gt;=Lookups!$B$23,"High",IF($U881&gt;=Lookups!$B$22,"Medium","Low"))</f>
        <v>Low</v>
      </c>
      <c r="AG881" s="23">
        <f>ROUND(IF($V881="Weekday",IF(INDEX(Hourly_Analysis!$D$5:$D$28,$J881+1)&gt;0,($U881-INDEX(Hourly_Analysis!$C$5:$C$28,$J881+1))/INDEX(Hourly_Analysis!$D$5:$D$28,$J881+1),0),IF(INDEX(Hourly_Analysis!$G$5:$G$28,$J881+1)&gt;0,($U881-INDEX(Hourly_Analysis!$F$5:$F$28,$J881+1))/INDEX(Hourly_Analysis!$G$5:$G$28,$J881+1),0)),2)</f>
        <v>0.33</v>
      </c>
      <c r="AH881" s="23" t="str">
        <f>IF(ABS($AG881)&gt;Lookups!$B$20,IF($AG881&gt;0,"High anomaly","Low anomaly"),"")</f>
        <v/>
      </c>
      <c r="AI881" s="23" t="str">
        <f t="shared" si="82"/>
        <v>OK</v>
      </c>
      <c r="AJ881" s="23" t="str">
        <f t="shared" si="83"/>
        <v>No</v>
      </c>
    </row>
    <row r="882" spans="1:36" x14ac:dyDescent="0.35">
      <c r="A882" s="23">
        <v>881</v>
      </c>
      <c r="B882" s="23" t="str">
        <f t="shared" si="78"/>
        <v>Dataset 3</v>
      </c>
      <c r="C882" s="23">
        <f>IFERROR(MATCH($A882,Merge_1_2!$A$2:$A$611,0),0)</f>
        <v>0</v>
      </c>
      <c r="D882" s="23">
        <f>IF($C882&gt;0,INDEX(Merge_1_2!$Q$2:$Q$611,$C882),0)</f>
        <v>0</v>
      </c>
      <c r="E882" s="23">
        <f>IFERROR(MATCH($A882,Dataset3_Raw!$A$2:$A$391,0),0)</f>
        <v>271</v>
      </c>
      <c r="F882" s="24">
        <f>IF($C882&gt;0,INDEX(Merge_1_2!$B$2:$B$611,$C882),DATE(VALUE(RIGHT(INDEX(Dataset3_Raw!$B$2:$B$391,$E882),4)),VALUE(MID(INDEX(Dataset3_Raw!$B$2:$B$391,$E882),4,2)),VALUE(LEFT(INDEX(Dataset3_Raw!$B$2:$B$391,$E882),2))))</f>
        <v>40583</v>
      </c>
      <c r="G882" s="23">
        <f>IF($C882&gt;0,INDEX(Merge_1_2!$C$2:$C$611,$C882),INDEX(Dataset3_Raw!$C$2:$C$391,$E882))</f>
        <v>1</v>
      </c>
      <c r="H882" s="23">
        <f>IF($C882&gt;0,INDEX(Merge_1_2!$D$2:$D$611,$C882),INDEX(Dataset3_Raw!$D$2:$D$391,$E882))</f>
        <v>0</v>
      </c>
      <c r="I882" s="23">
        <f>IF($C882&gt;0,INDEX(Merge_1_2!$E$2:$E$611,$C882),INDEX(Dataset3_Raw!$E$2:$E$391,$E882))</f>
        <v>2</v>
      </c>
      <c r="J882" s="23">
        <f>IF($C882&gt;0,INDEX(Merge_1_2!$F$2:$F$611,$C882),INDEX(Dataset3_Raw!$F$2:$F$391,$E882))</f>
        <v>3</v>
      </c>
      <c r="K882" s="23" t="b">
        <f>IF($C882&gt;0,INDEX(Merge_1_2!$G$2:$G$611,$C882),INDEX(Dataset3_Raw!$G$2:$G$391,$E882))</f>
        <v>0</v>
      </c>
      <c r="L882" s="23">
        <f>IF($C882&gt;0,INDEX(Merge_1_2!$H$2:$H$611,$C882),INDEX(Dataset3_Raw!$H$2:$H$391,$E882))</f>
        <v>3</v>
      </c>
      <c r="M882" s="23">
        <f>IF($C882&gt;0,INDEX(Merge_1_2!$I$2:$I$611,$C882),INDEX(Dataset3_Raw!$I$2:$I$391,$E882))</f>
        <v>1</v>
      </c>
      <c r="N882" s="25">
        <f>IF($C882&gt;0,INDEX(Merge_1_2!$J$2:$J$611,$C882),INDEX(Dataset3_Raw!$J$2:$J$391,$E882))</f>
        <v>0.06</v>
      </c>
      <c r="O882" s="25">
        <f>IF($C882&gt;0,IF(ISNUMBER(INDEX(Merge_1_2!$K$2:$K$611,$C882)),INDEX(Merge_1_2!$K$2:$K$611,$C882),""),INDEX(Dataset3_Raw!$K$2:$K$391,$E882))</f>
        <v>7.5800000000000006E-2</v>
      </c>
      <c r="P882" s="25">
        <f>IF(ISNUMBER($O882),$O882,ROUND(Lookups!$B$25+Lookups!$B$24*$N882,4))</f>
        <v>7.5800000000000006E-2</v>
      </c>
      <c r="Q882" s="25">
        <f>IF($C882&gt;0,INDEX(Merge_1_2!$L$2:$L$611,$C882),INDEX(Dataset3_Raw!$L$2:$L$391,$E882))</f>
        <v>0.45</v>
      </c>
      <c r="R882" s="25">
        <f>IF($C882&gt;0,INDEX(Merge_1_2!$M$2:$M$611,$C882),INDEX(Dataset3_Raw!$M$2:$M$391,$E882))</f>
        <v>0.1343</v>
      </c>
      <c r="S882" s="23">
        <f>IF($C882&gt;0,INDEX(Merge_1_2!$N$2:$N$611,$C882),INDEX(Dataset3_Raw!$N$2:$N$391,$E882))</f>
        <v>0</v>
      </c>
      <c r="T882" s="23">
        <f>IF($C882&gt;0,INDEX(Merge_1_2!$O$2:$O$611,$C882),INDEX(Dataset3_Raw!$O$2:$O$391,$E882))</f>
        <v>2</v>
      </c>
      <c r="U882" s="23">
        <f>IF($C882&gt;0,INDEX(Merge_1_2!$P$2:$P$611,$C882),INDEX(Dataset3_Raw!$P$2:$P$391,$E882))</f>
        <v>2</v>
      </c>
      <c r="V882" s="23" t="str">
        <f t="shared" si="79"/>
        <v>Weekday</v>
      </c>
      <c r="W882" s="23" t="str">
        <f>VLOOKUP($M882,Lookups!$A$5:$B$8,2,FALSE())</f>
        <v>Clear / Partly cloudy</v>
      </c>
      <c r="X882" s="23" t="str">
        <f>VLOOKUP($G882,Lookups!$D$5:$E$8,2,FALSE())</f>
        <v>Winter</v>
      </c>
      <c r="Y882" s="23" t="str">
        <f>VLOOKUP($L882,Lookups!$G$5:$H$11,2,FALSE())</f>
        <v>Wednesday</v>
      </c>
      <c r="Z882" s="23" t="str">
        <f>IF($J882&lt;Lookups!$B$26,"Night",IF($J882&lt;Lookups!$B$27,"Morning",IF($J882&lt;Lookups!$B$28,"Afternoon","Evening")))</f>
        <v>Night</v>
      </c>
      <c r="AA882" s="26">
        <f>ROUND($N882*(Lookups!$B$16-Lookups!$B$15)+Lookups!$B$15,1)</f>
        <v>-5.2</v>
      </c>
      <c r="AB882" s="26">
        <f>ROUND($P882*(Lookups!$B$18-Lookups!$B$17)+Lookups!$B$17,1)</f>
        <v>-11</v>
      </c>
      <c r="AC882" s="23">
        <f t="shared" si="80"/>
        <v>45</v>
      </c>
      <c r="AD882" s="23">
        <f>ROUND($R882*Lookups!$B$19,1)</f>
        <v>9</v>
      </c>
      <c r="AE882" s="27">
        <f t="shared" si="81"/>
        <v>1</v>
      </c>
      <c r="AF882" s="23" t="str">
        <f>IF($U882&gt;=Lookups!$B$23,"High",IF($U882&gt;=Lookups!$B$22,"Medium","Low"))</f>
        <v>Low</v>
      </c>
      <c r="AG882" s="23">
        <f>ROUND(IF($V882="Weekday",IF(INDEX(Hourly_Analysis!$D$5:$D$28,$J882+1)&gt;0,($U882-INDEX(Hourly_Analysis!$C$5:$C$28,$J882+1))/INDEX(Hourly_Analysis!$D$5:$D$28,$J882+1),0),IF(INDEX(Hourly_Analysis!$G$5:$G$28,$J882+1)&gt;0,($U882-INDEX(Hourly_Analysis!$F$5:$F$28,$J882+1))/INDEX(Hourly_Analysis!$G$5:$G$28,$J882+1),0)),2)</f>
        <v>1.01</v>
      </c>
      <c r="AH882" s="23" t="str">
        <f>IF(ABS($AG882)&gt;Lookups!$B$20,IF($AG882&gt;0,"High anomaly","Low anomaly"),"")</f>
        <v/>
      </c>
      <c r="AI882" s="23" t="str">
        <f t="shared" si="82"/>
        <v>OK</v>
      </c>
      <c r="AJ882" s="23" t="str">
        <f t="shared" si="83"/>
        <v>No</v>
      </c>
    </row>
    <row r="883" spans="1:36" x14ac:dyDescent="0.35">
      <c r="A883" s="23">
        <v>882</v>
      </c>
      <c r="B883" s="23" t="str">
        <f t="shared" si="78"/>
        <v>Dataset 3</v>
      </c>
      <c r="C883" s="23">
        <f>IFERROR(MATCH($A883,Merge_1_2!$A$2:$A$611,0),0)</f>
        <v>0</v>
      </c>
      <c r="D883" s="23">
        <f>IF($C883&gt;0,INDEX(Merge_1_2!$Q$2:$Q$611,$C883),0)</f>
        <v>0</v>
      </c>
      <c r="E883" s="23">
        <f>IFERROR(MATCH($A883,Dataset3_Raw!$A$2:$A$391,0),0)</f>
        <v>272</v>
      </c>
      <c r="F883" s="24">
        <f>IF($C883&gt;0,INDEX(Merge_1_2!$B$2:$B$611,$C883),DATE(VALUE(RIGHT(INDEX(Dataset3_Raw!$B$2:$B$391,$E883),4)),VALUE(MID(INDEX(Dataset3_Raw!$B$2:$B$391,$E883),4,2)),VALUE(LEFT(INDEX(Dataset3_Raw!$B$2:$B$391,$E883),2))))</f>
        <v>40583</v>
      </c>
      <c r="G883" s="23">
        <f>IF($C883&gt;0,INDEX(Merge_1_2!$C$2:$C$611,$C883),INDEX(Dataset3_Raw!$C$2:$C$391,$E883))</f>
        <v>1</v>
      </c>
      <c r="H883" s="23">
        <f>IF($C883&gt;0,INDEX(Merge_1_2!$D$2:$D$611,$C883),INDEX(Dataset3_Raw!$D$2:$D$391,$E883))</f>
        <v>0</v>
      </c>
      <c r="I883" s="23">
        <f>IF($C883&gt;0,INDEX(Merge_1_2!$E$2:$E$611,$C883),INDEX(Dataset3_Raw!$E$2:$E$391,$E883))</f>
        <v>2</v>
      </c>
      <c r="J883" s="23">
        <f>IF($C883&gt;0,INDEX(Merge_1_2!$F$2:$F$611,$C883),INDEX(Dataset3_Raw!$F$2:$F$391,$E883))</f>
        <v>5</v>
      </c>
      <c r="K883" s="23" t="b">
        <f>IF($C883&gt;0,INDEX(Merge_1_2!$G$2:$G$611,$C883),INDEX(Dataset3_Raw!$G$2:$G$391,$E883))</f>
        <v>0</v>
      </c>
      <c r="L883" s="23">
        <f>IF($C883&gt;0,INDEX(Merge_1_2!$H$2:$H$611,$C883),INDEX(Dataset3_Raw!$H$2:$H$391,$E883))</f>
        <v>3</v>
      </c>
      <c r="M883" s="23">
        <f>IF($C883&gt;0,INDEX(Merge_1_2!$I$2:$I$611,$C883),INDEX(Dataset3_Raw!$I$2:$I$391,$E883))</f>
        <v>1</v>
      </c>
      <c r="N883" s="25">
        <f>IF($C883&gt;0,INDEX(Merge_1_2!$J$2:$J$611,$C883),INDEX(Dataset3_Raw!$J$2:$J$391,$E883))</f>
        <v>0.06</v>
      </c>
      <c r="O883" s="25">
        <f>IF($C883&gt;0,IF(ISNUMBER(INDEX(Merge_1_2!$K$2:$K$611,$C883)),INDEX(Merge_1_2!$K$2:$K$611,$C883),""),INDEX(Dataset3_Raw!$K$2:$K$391,$E883))</f>
        <v>0.1061</v>
      </c>
      <c r="P883" s="25">
        <f>IF(ISNUMBER($O883),$O883,ROUND(Lookups!$B$25+Lookups!$B$24*$N883,4))</f>
        <v>0.1061</v>
      </c>
      <c r="Q883" s="25">
        <f>IF($C883&gt;0,INDEX(Merge_1_2!$L$2:$L$611,$C883),INDEX(Dataset3_Raw!$L$2:$L$391,$E883))</f>
        <v>0.45</v>
      </c>
      <c r="R883" s="25">
        <f>IF($C883&gt;0,INDEX(Merge_1_2!$M$2:$M$611,$C883),INDEX(Dataset3_Raw!$M$2:$M$391,$E883))</f>
        <v>0.1045</v>
      </c>
      <c r="S883" s="23">
        <f>IF($C883&gt;0,INDEX(Merge_1_2!$N$2:$N$611,$C883),INDEX(Dataset3_Raw!$N$2:$N$391,$E883))</f>
        <v>0</v>
      </c>
      <c r="T883" s="23">
        <f>IF($C883&gt;0,INDEX(Merge_1_2!$O$2:$O$611,$C883),INDEX(Dataset3_Raw!$O$2:$O$391,$E883))</f>
        <v>7</v>
      </c>
      <c r="U883" s="23">
        <f>IF($C883&gt;0,INDEX(Merge_1_2!$P$2:$P$611,$C883),INDEX(Dataset3_Raw!$P$2:$P$391,$E883))</f>
        <v>7</v>
      </c>
      <c r="V883" s="23" t="str">
        <f t="shared" si="79"/>
        <v>Weekday</v>
      </c>
      <c r="W883" s="23" t="str">
        <f>VLOOKUP($M883,Lookups!$A$5:$B$8,2,FALSE())</f>
        <v>Clear / Partly cloudy</v>
      </c>
      <c r="X883" s="23" t="str">
        <f>VLOOKUP($G883,Lookups!$D$5:$E$8,2,FALSE())</f>
        <v>Winter</v>
      </c>
      <c r="Y883" s="23" t="str">
        <f>VLOOKUP($L883,Lookups!$G$5:$H$11,2,FALSE())</f>
        <v>Wednesday</v>
      </c>
      <c r="Z883" s="23" t="str">
        <f>IF($J883&lt;Lookups!$B$26,"Night",IF($J883&lt;Lookups!$B$27,"Morning",IF($J883&lt;Lookups!$B$28,"Afternoon","Evening")))</f>
        <v>Night</v>
      </c>
      <c r="AA883" s="26">
        <f>ROUND($N883*(Lookups!$B$16-Lookups!$B$15)+Lookups!$B$15,1)</f>
        <v>-5.2</v>
      </c>
      <c r="AB883" s="26">
        <f>ROUND($P883*(Lookups!$B$18-Lookups!$B$17)+Lookups!$B$17,1)</f>
        <v>-9</v>
      </c>
      <c r="AC883" s="23">
        <f t="shared" si="80"/>
        <v>45</v>
      </c>
      <c r="AD883" s="23">
        <f>ROUND($R883*Lookups!$B$19,1)</f>
        <v>7</v>
      </c>
      <c r="AE883" s="27">
        <f t="shared" si="81"/>
        <v>1</v>
      </c>
      <c r="AF883" s="23" t="str">
        <f>IF($U883&gt;=Lookups!$B$23,"High",IF($U883&gt;=Lookups!$B$22,"Medium","Low"))</f>
        <v>Low</v>
      </c>
      <c r="AG883" s="23">
        <f>ROUND(IF($V883="Weekday",IF(INDEX(Hourly_Analysis!$D$5:$D$28,$J883+1)&gt;0,($U883-INDEX(Hourly_Analysis!$C$5:$C$28,$J883+1))/INDEX(Hourly_Analysis!$D$5:$D$28,$J883+1),0),IF(INDEX(Hourly_Analysis!$G$5:$G$28,$J883+1)&gt;0,($U883-INDEX(Hourly_Analysis!$F$5:$F$28,$J883+1))/INDEX(Hourly_Analysis!$G$5:$G$28,$J883+1),0)),2)</f>
        <v>0.94</v>
      </c>
      <c r="AH883" s="23" t="str">
        <f>IF(ABS($AG883)&gt;Lookups!$B$20,IF($AG883&gt;0,"High anomaly","Low anomaly"),"")</f>
        <v/>
      </c>
      <c r="AI883" s="23" t="str">
        <f t="shared" si="82"/>
        <v>OK</v>
      </c>
      <c r="AJ883" s="23" t="str">
        <f t="shared" si="83"/>
        <v>No</v>
      </c>
    </row>
    <row r="884" spans="1:36" x14ac:dyDescent="0.35">
      <c r="A884" s="23">
        <v>883</v>
      </c>
      <c r="B884" s="23" t="str">
        <f t="shared" si="78"/>
        <v>Dataset 3</v>
      </c>
      <c r="C884" s="23">
        <f>IFERROR(MATCH($A884,Merge_1_2!$A$2:$A$611,0),0)</f>
        <v>0</v>
      </c>
      <c r="D884" s="23">
        <f>IF($C884&gt;0,INDEX(Merge_1_2!$Q$2:$Q$611,$C884),0)</f>
        <v>0</v>
      </c>
      <c r="E884" s="23">
        <f>IFERROR(MATCH($A884,Dataset3_Raw!$A$2:$A$391,0),0)</f>
        <v>273</v>
      </c>
      <c r="F884" s="24">
        <f>IF($C884&gt;0,INDEX(Merge_1_2!$B$2:$B$611,$C884),DATE(VALUE(RIGHT(INDEX(Dataset3_Raw!$B$2:$B$391,$E884),4)),VALUE(MID(INDEX(Dataset3_Raw!$B$2:$B$391,$E884),4,2)),VALUE(LEFT(INDEX(Dataset3_Raw!$B$2:$B$391,$E884),2))))</f>
        <v>40583</v>
      </c>
      <c r="G884" s="23">
        <f>IF($C884&gt;0,INDEX(Merge_1_2!$C$2:$C$611,$C884),INDEX(Dataset3_Raw!$C$2:$C$391,$E884))</f>
        <v>1</v>
      </c>
      <c r="H884" s="23">
        <f>IF($C884&gt;0,INDEX(Merge_1_2!$D$2:$D$611,$C884),INDEX(Dataset3_Raw!$D$2:$D$391,$E884))</f>
        <v>0</v>
      </c>
      <c r="I884" s="23">
        <f>IF($C884&gt;0,INDEX(Merge_1_2!$E$2:$E$611,$C884),INDEX(Dataset3_Raw!$E$2:$E$391,$E884))</f>
        <v>2</v>
      </c>
      <c r="J884" s="23">
        <f>IF($C884&gt;0,INDEX(Merge_1_2!$F$2:$F$611,$C884),INDEX(Dataset3_Raw!$F$2:$F$391,$E884))</f>
        <v>6</v>
      </c>
      <c r="K884" s="23" t="b">
        <f>IF($C884&gt;0,INDEX(Merge_1_2!$G$2:$G$611,$C884),INDEX(Dataset3_Raw!$G$2:$G$391,$E884))</f>
        <v>0</v>
      </c>
      <c r="L884" s="23">
        <f>IF($C884&gt;0,INDEX(Merge_1_2!$H$2:$H$611,$C884),INDEX(Dataset3_Raw!$H$2:$H$391,$E884))</f>
        <v>3</v>
      </c>
      <c r="M884" s="23">
        <f>IF($C884&gt;0,INDEX(Merge_1_2!$I$2:$I$611,$C884),INDEX(Dataset3_Raw!$I$2:$I$391,$E884))</f>
        <v>1</v>
      </c>
      <c r="N884" s="25">
        <f>IF($C884&gt;0,INDEX(Merge_1_2!$J$2:$J$611,$C884),INDEX(Dataset3_Raw!$J$2:$J$391,$E884))</f>
        <v>0.06</v>
      </c>
      <c r="O884" s="25">
        <f>IF($C884&gt;0,IF(ISNUMBER(INDEX(Merge_1_2!$K$2:$K$611,$C884)),INDEX(Merge_1_2!$K$2:$K$611,$C884),""),INDEX(Dataset3_Raw!$K$2:$K$391,$E884))</f>
        <v>0.1515</v>
      </c>
      <c r="P884" s="25">
        <f>IF(ISNUMBER($O884),$O884,ROUND(Lookups!$B$25+Lookups!$B$24*$N884,4))</f>
        <v>0.1515</v>
      </c>
      <c r="Q884" s="25">
        <f>IF($C884&gt;0,INDEX(Merge_1_2!$L$2:$L$611,$C884),INDEX(Dataset3_Raw!$L$2:$L$391,$E884))</f>
        <v>0.45</v>
      </c>
      <c r="R884" s="25">
        <f>IF($C884&gt;0,INDEX(Merge_1_2!$M$2:$M$611,$C884),INDEX(Dataset3_Raw!$M$2:$M$391,$E884))</f>
        <v>0</v>
      </c>
      <c r="S884" s="23">
        <f>IF($C884&gt;0,INDEX(Merge_1_2!$N$2:$N$611,$C884),INDEX(Dataset3_Raw!$N$2:$N$391,$E884))</f>
        <v>0</v>
      </c>
      <c r="T884" s="23">
        <f>IF($C884&gt;0,INDEX(Merge_1_2!$O$2:$O$611,$C884),INDEX(Dataset3_Raw!$O$2:$O$391,$E884))</f>
        <v>43</v>
      </c>
      <c r="U884" s="23">
        <f>IF($C884&gt;0,INDEX(Merge_1_2!$P$2:$P$611,$C884),INDEX(Dataset3_Raw!$P$2:$P$391,$E884))</f>
        <v>43</v>
      </c>
      <c r="V884" s="23" t="str">
        <f t="shared" si="79"/>
        <v>Weekday</v>
      </c>
      <c r="W884" s="23" t="str">
        <f>VLOOKUP($M884,Lookups!$A$5:$B$8,2,FALSE())</f>
        <v>Clear / Partly cloudy</v>
      </c>
      <c r="X884" s="23" t="str">
        <f>VLOOKUP($G884,Lookups!$D$5:$E$8,2,FALSE())</f>
        <v>Winter</v>
      </c>
      <c r="Y884" s="23" t="str">
        <f>VLOOKUP($L884,Lookups!$G$5:$H$11,2,FALSE())</f>
        <v>Wednesday</v>
      </c>
      <c r="Z884" s="23" t="str">
        <f>IF($J884&lt;Lookups!$B$26,"Night",IF($J884&lt;Lookups!$B$27,"Morning",IF($J884&lt;Lookups!$B$28,"Afternoon","Evening")))</f>
        <v>Morning</v>
      </c>
      <c r="AA884" s="26">
        <f>ROUND($N884*(Lookups!$B$16-Lookups!$B$15)+Lookups!$B$15,1)</f>
        <v>-5.2</v>
      </c>
      <c r="AB884" s="26">
        <f>ROUND($P884*(Lookups!$B$18-Lookups!$B$17)+Lookups!$B$17,1)</f>
        <v>-6</v>
      </c>
      <c r="AC884" s="23">
        <f t="shared" si="80"/>
        <v>45</v>
      </c>
      <c r="AD884" s="23">
        <f>ROUND($R884*Lookups!$B$19,1)</f>
        <v>0</v>
      </c>
      <c r="AE884" s="27">
        <f t="shared" si="81"/>
        <v>1</v>
      </c>
      <c r="AF884" s="23" t="str">
        <f>IF($U884&gt;=Lookups!$B$23,"High",IF($U884&gt;=Lookups!$B$22,"Medium","Low"))</f>
        <v>Medium</v>
      </c>
      <c r="AG884" s="23">
        <f>ROUND(IF($V884="Weekday",IF(INDEX(Hourly_Analysis!$D$5:$D$28,$J884+1)&gt;0,($U884-INDEX(Hourly_Analysis!$C$5:$C$28,$J884+1))/INDEX(Hourly_Analysis!$D$5:$D$28,$J884+1),0),IF(INDEX(Hourly_Analysis!$G$5:$G$28,$J884+1)&gt;0,($U884-INDEX(Hourly_Analysis!$F$5:$F$28,$J884+1))/INDEX(Hourly_Analysis!$G$5:$G$28,$J884+1),0)),2)</f>
        <v>1.71</v>
      </c>
      <c r="AH884" s="23" t="str">
        <f>IF(ABS($AG884)&gt;Lookups!$B$20,IF($AG884&gt;0,"High anomaly","Low anomaly"),"")</f>
        <v/>
      </c>
      <c r="AI884" s="23" t="str">
        <f t="shared" si="82"/>
        <v>OK</v>
      </c>
      <c r="AJ884" s="23" t="str">
        <f t="shared" si="83"/>
        <v>No</v>
      </c>
    </row>
    <row r="885" spans="1:36" x14ac:dyDescent="0.35">
      <c r="A885" s="23">
        <v>884</v>
      </c>
      <c r="B885" s="23" t="str">
        <f t="shared" si="78"/>
        <v>Dataset 3</v>
      </c>
      <c r="C885" s="23">
        <f>IFERROR(MATCH($A885,Merge_1_2!$A$2:$A$611,0),0)</f>
        <v>0</v>
      </c>
      <c r="D885" s="23">
        <f>IF($C885&gt;0,INDEX(Merge_1_2!$Q$2:$Q$611,$C885),0)</f>
        <v>0</v>
      </c>
      <c r="E885" s="23">
        <f>IFERROR(MATCH($A885,Dataset3_Raw!$A$2:$A$391,0),0)</f>
        <v>274</v>
      </c>
      <c r="F885" s="24">
        <f>IF($C885&gt;0,INDEX(Merge_1_2!$B$2:$B$611,$C885),DATE(VALUE(RIGHT(INDEX(Dataset3_Raw!$B$2:$B$391,$E885),4)),VALUE(MID(INDEX(Dataset3_Raw!$B$2:$B$391,$E885),4,2)),VALUE(LEFT(INDEX(Dataset3_Raw!$B$2:$B$391,$E885),2))))</f>
        <v>40583</v>
      </c>
      <c r="G885" s="23">
        <f>IF($C885&gt;0,INDEX(Merge_1_2!$C$2:$C$611,$C885),INDEX(Dataset3_Raw!$C$2:$C$391,$E885))</f>
        <v>1</v>
      </c>
      <c r="H885" s="23">
        <f>IF($C885&gt;0,INDEX(Merge_1_2!$D$2:$D$611,$C885),INDEX(Dataset3_Raw!$D$2:$D$391,$E885))</f>
        <v>0</v>
      </c>
      <c r="I885" s="23">
        <f>IF($C885&gt;0,INDEX(Merge_1_2!$E$2:$E$611,$C885),INDEX(Dataset3_Raw!$E$2:$E$391,$E885))</f>
        <v>2</v>
      </c>
      <c r="J885" s="23">
        <f>IF($C885&gt;0,INDEX(Merge_1_2!$F$2:$F$611,$C885),INDEX(Dataset3_Raw!$F$2:$F$391,$E885))</f>
        <v>7</v>
      </c>
      <c r="K885" s="23" t="b">
        <f>IF($C885&gt;0,INDEX(Merge_1_2!$G$2:$G$611,$C885),INDEX(Dataset3_Raw!$G$2:$G$391,$E885))</f>
        <v>0</v>
      </c>
      <c r="L885" s="23">
        <f>IF($C885&gt;0,INDEX(Merge_1_2!$H$2:$H$611,$C885),INDEX(Dataset3_Raw!$H$2:$H$391,$E885))</f>
        <v>3</v>
      </c>
      <c r="M885" s="23">
        <f>IF($C885&gt;0,INDEX(Merge_1_2!$I$2:$I$611,$C885),INDEX(Dataset3_Raw!$I$2:$I$391,$E885))</f>
        <v>1</v>
      </c>
      <c r="N885" s="25">
        <f>IF($C885&gt;0,INDEX(Merge_1_2!$J$2:$J$611,$C885),INDEX(Dataset3_Raw!$J$2:$J$391,$E885))</f>
        <v>0.06</v>
      </c>
      <c r="O885" s="25">
        <f>IF($C885&gt;0,IF(ISNUMBER(INDEX(Merge_1_2!$K$2:$K$611,$C885)),INDEX(Merge_1_2!$K$2:$K$611,$C885),""),INDEX(Dataset3_Raw!$K$2:$K$391,$E885))</f>
        <v>0.1061</v>
      </c>
      <c r="P885" s="25">
        <f>IF(ISNUMBER($O885),$O885,ROUND(Lookups!$B$25+Lookups!$B$24*$N885,4))</f>
        <v>0.1061</v>
      </c>
      <c r="Q885" s="25">
        <f>IF($C885&gt;0,INDEX(Merge_1_2!$L$2:$L$611,$C885),INDEX(Dataset3_Raw!$L$2:$L$391,$E885))</f>
        <v>0.49</v>
      </c>
      <c r="R885" s="25">
        <f>IF($C885&gt;0,INDEX(Merge_1_2!$M$2:$M$611,$C885),INDEX(Dataset3_Raw!$M$2:$M$391,$E885))</f>
        <v>0.1045</v>
      </c>
      <c r="S885" s="23">
        <f>IF($C885&gt;0,INDEX(Merge_1_2!$N$2:$N$611,$C885),INDEX(Dataset3_Raw!$N$2:$N$391,$E885))</f>
        <v>4</v>
      </c>
      <c r="T885" s="23">
        <f>IF($C885&gt;0,INDEX(Merge_1_2!$O$2:$O$611,$C885),INDEX(Dataset3_Raw!$O$2:$O$391,$E885))</f>
        <v>95</v>
      </c>
      <c r="U885" s="23">
        <f>IF($C885&gt;0,INDEX(Merge_1_2!$P$2:$P$611,$C885),INDEX(Dataset3_Raw!$P$2:$P$391,$E885))</f>
        <v>99</v>
      </c>
      <c r="V885" s="23" t="str">
        <f t="shared" si="79"/>
        <v>Weekday</v>
      </c>
      <c r="W885" s="23" t="str">
        <f>VLOOKUP($M885,Lookups!$A$5:$B$8,2,FALSE())</f>
        <v>Clear / Partly cloudy</v>
      </c>
      <c r="X885" s="23" t="str">
        <f>VLOOKUP($G885,Lookups!$D$5:$E$8,2,FALSE())</f>
        <v>Winter</v>
      </c>
      <c r="Y885" s="23" t="str">
        <f>VLOOKUP($L885,Lookups!$G$5:$H$11,2,FALSE())</f>
        <v>Wednesday</v>
      </c>
      <c r="Z885" s="23" t="str">
        <f>IF($J885&lt;Lookups!$B$26,"Night",IF($J885&lt;Lookups!$B$27,"Morning",IF($J885&lt;Lookups!$B$28,"Afternoon","Evening")))</f>
        <v>Morning</v>
      </c>
      <c r="AA885" s="26">
        <f>ROUND($N885*(Lookups!$B$16-Lookups!$B$15)+Lookups!$B$15,1)</f>
        <v>-5.2</v>
      </c>
      <c r="AB885" s="26">
        <f>ROUND($P885*(Lookups!$B$18-Lookups!$B$17)+Lookups!$B$17,1)</f>
        <v>-9</v>
      </c>
      <c r="AC885" s="23">
        <f t="shared" si="80"/>
        <v>49</v>
      </c>
      <c r="AD885" s="23">
        <f>ROUND($R885*Lookups!$B$19,1)</f>
        <v>7</v>
      </c>
      <c r="AE885" s="27">
        <f t="shared" si="81"/>
        <v>0.95959595959595956</v>
      </c>
      <c r="AF885" s="23" t="str">
        <f>IF($U885&gt;=Lookups!$B$23,"High",IF($U885&gt;=Lookups!$B$22,"Medium","Low"))</f>
        <v>High</v>
      </c>
      <c r="AG885" s="23">
        <f>ROUND(IF($V885="Weekday",IF(INDEX(Hourly_Analysis!$D$5:$D$28,$J885+1)&gt;0,($U885-INDEX(Hourly_Analysis!$C$5:$C$28,$J885+1))/INDEX(Hourly_Analysis!$D$5:$D$28,$J885+1),0),IF(INDEX(Hourly_Analysis!$G$5:$G$28,$J885+1)&gt;0,($U885-INDEX(Hourly_Analysis!$F$5:$F$28,$J885+1))/INDEX(Hourly_Analysis!$G$5:$G$28,$J885+1),0)),2)</f>
        <v>0.97</v>
      </c>
      <c r="AH885" s="23" t="str">
        <f>IF(ABS($AG885)&gt;Lookups!$B$20,IF($AG885&gt;0,"High anomaly","Low anomaly"),"")</f>
        <v/>
      </c>
      <c r="AI885" s="23" t="str">
        <f t="shared" si="82"/>
        <v>OK</v>
      </c>
      <c r="AJ885" s="23" t="str">
        <f t="shared" si="83"/>
        <v>No</v>
      </c>
    </row>
    <row r="886" spans="1:36" x14ac:dyDescent="0.35">
      <c r="A886" s="23">
        <v>885</v>
      </c>
      <c r="B886" s="23" t="str">
        <f t="shared" si="78"/>
        <v>Dataset 3</v>
      </c>
      <c r="C886" s="23">
        <f>IFERROR(MATCH($A886,Merge_1_2!$A$2:$A$611,0),0)</f>
        <v>0</v>
      </c>
      <c r="D886" s="23">
        <f>IF($C886&gt;0,INDEX(Merge_1_2!$Q$2:$Q$611,$C886),0)</f>
        <v>0</v>
      </c>
      <c r="E886" s="23">
        <f>IFERROR(MATCH($A886,Dataset3_Raw!$A$2:$A$391,0),0)</f>
        <v>275</v>
      </c>
      <c r="F886" s="24">
        <f>IF($C886&gt;0,INDEX(Merge_1_2!$B$2:$B$611,$C886),DATE(VALUE(RIGHT(INDEX(Dataset3_Raw!$B$2:$B$391,$E886),4)),VALUE(MID(INDEX(Dataset3_Raw!$B$2:$B$391,$E886),4,2)),VALUE(LEFT(INDEX(Dataset3_Raw!$B$2:$B$391,$E886),2))))</f>
        <v>40583</v>
      </c>
      <c r="G886" s="23">
        <f>IF($C886&gt;0,INDEX(Merge_1_2!$C$2:$C$611,$C886),INDEX(Dataset3_Raw!$C$2:$C$391,$E886))</f>
        <v>1</v>
      </c>
      <c r="H886" s="23">
        <f>IF($C886&gt;0,INDEX(Merge_1_2!$D$2:$D$611,$C886),INDEX(Dataset3_Raw!$D$2:$D$391,$E886))</f>
        <v>0</v>
      </c>
      <c r="I886" s="23">
        <f>IF($C886&gt;0,INDEX(Merge_1_2!$E$2:$E$611,$C886),INDEX(Dataset3_Raw!$E$2:$E$391,$E886))</f>
        <v>2</v>
      </c>
      <c r="J886" s="23">
        <f>IF($C886&gt;0,INDEX(Merge_1_2!$F$2:$F$611,$C886),INDEX(Dataset3_Raw!$F$2:$F$391,$E886))</f>
        <v>8</v>
      </c>
      <c r="K886" s="23" t="b">
        <f>IF($C886&gt;0,INDEX(Merge_1_2!$G$2:$G$611,$C886),INDEX(Dataset3_Raw!$G$2:$G$391,$E886))</f>
        <v>0</v>
      </c>
      <c r="L886" s="23">
        <f>IF($C886&gt;0,INDEX(Merge_1_2!$H$2:$H$611,$C886),INDEX(Dataset3_Raw!$H$2:$H$391,$E886))</f>
        <v>3</v>
      </c>
      <c r="M886" s="23">
        <f>IF($C886&gt;0,INDEX(Merge_1_2!$I$2:$I$611,$C886),INDEX(Dataset3_Raw!$I$2:$I$391,$E886))</f>
        <v>1</v>
      </c>
      <c r="N886" s="25">
        <f>IF($C886&gt;0,INDEX(Merge_1_2!$J$2:$J$611,$C886),INDEX(Dataset3_Raw!$J$2:$J$391,$E886))</f>
        <v>0.1</v>
      </c>
      <c r="O886" s="25">
        <f>IF($C886&gt;0,IF(ISNUMBER(INDEX(Merge_1_2!$K$2:$K$611,$C886)),INDEX(Merge_1_2!$K$2:$K$611,$C886),""),INDEX(Dataset3_Raw!$K$2:$K$391,$E886))</f>
        <v>0.13639999999999999</v>
      </c>
      <c r="P886" s="25">
        <f>IF(ISNUMBER($O886),$O886,ROUND(Lookups!$B$25+Lookups!$B$24*$N886,4))</f>
        <v>0.13639999999999999</v>
      </c>
      <c r="Q886" s="25">
        <f>IF($C886&gt;0,INDEX(Merge_1_2!$L$2:$L$611,$C886),INDEX(Dataset3_Raw!$L$2:$L$391,$E886))</f>
        <v>0.42</v>
      </c>
      <c r="R886" s="25">
        <f>IF($C886&gt;0,INDEX(Merge_1_2!$M$2:$M$611,$C886),INDEX(Dataset3_Raw!$M$2:$M$391,$E886))</f>
        <v>0</v>
      </c>
      <c r="S886" s="23">
        <f>IF($C886&gt;0,INDEX(Merge_1_2!$N$2:$N$611,$C886),INDEX(Dataset3_Raw!$N$2:$N$391,$E886))</f>
        <v>1</v>
      </c>
      <c r="T886" s="23">
        <f>IF($C886&gt;0,INDEX(Merge_1_2!$O$2:$O$611,$C886),INDEX(Dataset3_Raw!$O$2:$O$391,$E886))</f>
        <v>198</v>
      </c>
      <c r="U886" s="23">
        <f>IF($C886&gt;0,INDEX(Merge_1_2!$P$2:$P$611,$C886),INDEX(Dataset3_Raw!$P$2:$P$391,$E886))</f>
        <v>199</v>
      </c>
      <c r="V886" s="23" t="str">
        <f t="shared" si="79"/>
        <v>Weekday</v>
      </c>
      <c r="W886" s="23" t="str">
        <f>VLOOKUP($M886,Lookups!$A$5:$B$8,2,FALSE())</f>
        <v>Clear / Partly cloudy</v>
      </c>
      <c r="X886" s="23" t="str">
        <f>VLOOKUP($G886,Lookups!$D$5:$E$8,2,FALSE())</f>
        <v>Winter</v>
      </c>
      <c r="Y886" s="23" t="str">
        <f>VLOOKUP($L886,Lookups!$G$5:$H$11,2,FALSE())</f>
        <v>Wednesday</v>
      </c>
      <c r="Z886" s="23" t="str">
        <f>IF($J886&lt;Lookups!$B$26,"Night",IF($J886&lt;Lookups!$B$27,"Morning",IF($J886&lt;Lookups!$B$28,"Afternoon","Evening")))</f>
        <v>Morning</v>
      </c>
      <c r="AA886" s="26">
        <f>ROUND($N886*(Lookups!$B$16-Lookups!$B$15)+Lookups!$B$15,1)</f>
        <v>-3.3</v>
      </c>
      <c r="AB886" s="26">
        <f>ROUND($P886*(Lookups!$B$18-Lookups!$B$17)+Lookups!$B$17,1)</f>
        <v>-7</v>
      </c>
      <c r="AC886" s="23">
        <f t="shared" si="80"/>
        <v>42</v>
      </c>
      <c r="AD886" s="23">
        <f>ROUND($R886*Lookups!$B$19,1)</f>
        <v>0</v>
      </c>
      <c r="AE886" s="27">
        <f t="shared" si="81"/>
        <v>0.99497487437185927</v>
      </c>
      <c r="AF886" s="23" t="str">
        <f>IF($U886&gt;=Lookups!$B$23,"High",IF($U886&gt;=Lookups!$B$22,"Medium","Low"))</f>
        <v>High</v>
      </c>
      <c r="AG886" s="23">
        <f>ROUND(IF($V886="Weekday",IF(INDEX(Hourly_Analysis!$D$5:$D$28,$J886+1)&gt;0,($U886-INDEX(Hourly_Analysis!$C$5:$C$28,$J886+1))/INDEX(Hourly_Analysis!$D$5:$D$28,$J886+1),0),IF(INDEX(Hourly_Analysis!$G$5:$G$28,$J886+1)&gt;0,($U886-INDEX(Hourly_Analysis!$F$5:$F$28,$J886+1))/INDEX(Hourly_Analysis!$G$5:$G$28,$J886+1),0)),2)</f>
        <v>0.25</v>
      </c>
      <c r="AH886" s="23" t="str">
        <f>IF(ABS($AG886)&gt;Lookups!$B$20,IF($AG886&gt;0,"High anomaly","Low anomaly"),"")</f>
        <v/>
      </c>
      <c r="AI886" s="23" t="str">
        <f t="shared" si="82"/>
        <v>OK</v>
      </c>
      <c r="AJ886" s="23" t="str">
        <f t="shared" si="83"/>
        <v>No</v>
      </c>
    </row>
    <row r="887" spans="1:36" x14ac:dyDescent="0.35">
      <c r="A887" s="23">
        <v>886</v>
      </c>
      <c r="B887" s="23" t="str">
        <f t="shared" si="78"/>
        <v>Dataset 3</v>
      </c>
      <c r="C887" s="23">
        <f>IFERROR(MATCH($A887,Merge_1_2!$A$2:$A$611,0),0)</f>
        <v>0</v>
      </c>
      <c r="D887" s="23">
        <f>IF($C887&gt;0,INDEX(Merge_1_2!$Q$2:$Q$611,$C887),0)</f>
        <v>0</v>
      </c>
      <c r="E887" s="23">
        <f>IFERROR(MATCH($A887,Dataset3_Raw!$A$2:$A$391,0),0)</f>
        <v>276</v>
      </c>
      <c r="F887" s="24">
        <f>IF($C887&gt;0,INDEX(Merge_1_2!$B$2:$B$611,$C887),DATE(VALUE(RIGHT(INDEX(Dataset3_Raw!$B$2:$B$391,$E887),4)),VALUE(MID(INDEX(Dataset3_Raw!$B$2:$B$391,$E887),4,2)),VALUE(LEFT(INDEX(Dataset3_Raw!$B$2:$B$391,$E887),2))))</f>
        <v>40583</v>
      </c>
      <c r="G887" s="23">
        <f>IF($C887&gt;0,INDEX(Merge_1_2!$C$2:$C$611,$C887),INDEX(Dataset3_Raw!$C$2:$C$391,$E887))</f>
        <v>1</v>
      </c>
      <c r="H887" s="23">
        <f>IF($C887&gt;0,INDEX(Merge_1_2!$D$2:$D$611,$C887),INDEX(Dataset3_Raw!$D$2:$D$391,$E887))</f>
        <v>0</v>
      </c>
      <c r="I887" s="23">
        <f>IF($C887&gt;0,INDEX(Merge_1_2!$E$2:$E$611,$C887),INDEX(Dataset3_Raw!$E$2:$E$391,$E887))</f>
        <v>2</v>
      </c>
      <c r="J887" s="23">
        <f>IF($C887&gt;0,INDEX(Merge_1_2!$F$2:$F$611,$C887),INDEX(Dataset3_Raw!$F$2:$F$391,$E887))</f>
        <v>9</v>
      </c>
      <c r="K887" s="23" t="b">
        <f>IF($C887&gt;0,INDEX(Merge_1_2!$G$2:$G$611,$C887),INDEX(Dataset3_Raw!$G$2:$G$391,$E887))</f>
        <v>0</v>
      </c>
      <c r="L887" s="23">
        <f>IF($C887&gt;0,INDEX(Merge_1_2!$H$2:$H$611,$C887),INDEX(Dataset3_Raw!$H$2:$H$391,$E887))</f>
        <v>3</v>
      </c>
      <c r="M887" s="23">
        <f>IF($C887&gt;0,INDEX(Merge_1_2!$I$2:$I$611,$C887),INDEX(Dataset3_Raw!$I$2:$I$391,$E887))</f>
        <v>1</v>
      </c>
      <c r="N887" s="25">
        <f>IF($C887&gt;0,INDEX(Merge_1_2!$J$2:$J$611,$C887),INDEX(Dataset3_Raw!$J$2:$J$391,$E887))</f>
        <v>0.12</v>
      </c>
      <c r="O887" s="25">
        <f>IF($C887&gt;0,IF(ISNUMBER(INDEX(Merge_1_2!$K$2:$K$611,$C887)),INDEX(Merge_1_2!$K$2:$K$611,$C887),""),INDEX(Dataset3_Raw!$K$2:$K$391,$E887))</f>
        <v>0.13639999999999999</v>
      </c>
      <c r="P887" s="25">
        <f>IF(ISNUMBER($O887),$O887,ROUND(Lookups!$B$25+Lookups!$B$24*$N887,4))</f>
        <v>0.13639999999999999</v>
      </c>
      <c r="Q887" s="25">
        <f>IF($C887&gt;0,INDEX(Merge_1_2!$L$2:$L$611,$C887),INDEX(Dataset3_Raw!$L$2:$L$391,$E887))</f>
        <v>0.39</v>
      </c>
      <c r="R887" s="25">
        <f>IF($C887&gt;0,INDEX(Merge_1_2!$M$2:$M$611,$C887),INDEX(Dataset3_Raw!$M$2:$M$391,$E887))</f>
        <v>0.16420000000000001</v>
      </c>
      <c r="S887" s="23">
        <f>IF($C887&gt;0,INDEX(Merge_1_2!$N$2:$N$611,$C887),INDEX(Dataset3_Raw!$N$2:$N$391,$E887))</f>
        <v>4</v>
      </c>
      <c r="T887" s="23">
        <f>IF($C887&gt;0,INDEX(Merge_1_2!$O$2:$O$611,$C887),INDEX(Dataset3_Raw!$O$2:$O$391,$E887))</f>
        <v>119</v>
      </c>
      <c r="U887" s="23">
        <f>IF($C887&gt;0,INDEX(Merge_1_2!$P$2:$P$611,$C887),INDEX(Dataset3_Raw!$P$2:$P$391,$E887))</f>
        <v>123</v>
      </c>
      <c r="V887" s="23" t="str">
        <f t="shared" si="79"/>
        <v>Weekday</v>
      </c>
      <c r="W887" s="23" t="str">
        <f>VLOOKUP($M887,Lookups!$A$5:$B$8,2,FALSE())</f>
        <v>Clear / Partly cloudy</v>
      </c>
      <c r="X887" s="23" t="str">
        <f>VLOOKUP($G887,Lookups!$D$5:$E$8,2,FALSE())</f>
        <v>Winter</v>
      </c>
      <c r="Y887" s="23" t="str">
        <f>VLOOKUP($L887,Lookups!$G$5:$H$11,2,FALSE())</f>
        <v>Wednesday</v>
      </c>
      <c r="Z887" s="23" t="str">
        <f>IF($J887&lt;Lookups!$B$26,"Night",IF($J887&lt;Lookups!$B$27,"Morning",IF($J887&lt;Lookups!$B$28,"Afternoon","Evening")))</f>
        <v>Morning</v>
      </c>
      <c r="AA887" s="26">
        <f>ROUND($N887*(Lookups!$B$16-Lookups!$B$15)+Lookups!$B$15,1)</f>
        <v>-2.4</v>
      </c>
      <c r="AB887" s="26">
        <f>ROUND($P887*(Lookups!$B$18-Lookups!$B$17)+Lookups!$B$17,1)</f>
        <v>-7</v>
      </c>
      <c r="AC887" s="23">
        <f t="shared" si="80"/>
        <v>39</v>
      </c>
      <c r="AD887" s="23">
        <f>ROUND($R887*Lookups!$B$19,1)</f>
        <v>11</v>
      </c>
      <c r="AE887" s="27">
        <f t="shared" si="81"/>
        <v>0.96747967479674801</v>
      </c>
      <c r="AF887" s="23" t="str">
        <f>IF($U887&gt;=Lookups!$B$23,"High",IF($U887&gt;=Lookups!$B$22,"Medium","Low"))</f>
        <v>High</v>
      </c>
      <c r="AG887" s="23">
        <f>ROUND(IF($V887="Weekday",IF(INDEX(Hourly_Analysis!$D$5:$D$28,$J887+1)&gt;0,($U887-INDEX(Hourly_Analysis!$C$5:$C$28,$J887+1))/INDEX(Hourly_Analysis!$D$5:$D$28,$J887+1),0),IF(INDEX(Hourly_Analysis!$G$5:$G$28,$J887+1)&gt;0,($U887-INDEX(Hourly_Analysis!$F$5:$F$28,$J887+1))/INDEX(Hourly_Analysis!$G$5:$G$28,$J887+1),0)),2)</f>
        <v>0.21</v>
      </c>
      <c r="AH887" s="23" t="str">
        <f>IF(ABS($AG887)&gt;Lookups!$B$20,IF($AG887&gt;0,"High anomaly","Low anomaly"),"")</f>
        <v/>
      </c>
      <c r="AI887" s="23" t="str">
        <f t="shared" si="82"/>
        <v>OK</v>
      </c>
      <c r="AJ887" s="23" t="str">
        <f t="shared" si="83"/>
        <v>No</v>
      </c>
    </row>
    <row r="888" spans="1:36" x14ac:dyDescent="0.35">
      <c r="A888" s="23">
        <v>887</v>
      </c>
      <c r="B888" s="23" t="str">
        <f t="shared" si="78"/>
        <v>Dataset 3</v>
      </c>
      <c r="C888" s="23">
        <f>IFERROR(MATCH($A888,Merge_1_2!$A$2:$A$611,0),0)</f>
        <v>0</v>
      </c>
      <c r="D888" s="23">
        <f>IF($C888&gt;0,INDEX(Merge_1_2!$Q$2:$Q$611,$C888),0)</f>
        <v>0</v>
      </c>
      <c r="E888" s="23">
        <f>IFERROR(MATCH($A888,Dataset3_Raw!$A$2:$A$391,0),0)</f>
        <v>277</v>
      </c>
      <c r="F888" s="24">
        <f>IF($C888&gt;0,INDEX(Merge_1_2!$B$2:$B$611,$C888),DATE(VALUE(RIGHT(INDEX(Dataset3_Raw!$B$2:$B$391,$E888),4)),VALUE(MID(INDEX(Dataset3_Raw!$B$2:$B$391,$E888),4,2)),VALUE(LEFT(INDEX(Dataset3_Raw!$B$2:$B$391,$E888),2))))</f>
        <v>40583</v>
      </c>
      <c r="G888" s="23">
        <f>IF($C888&gt;0,INDEX(Merge_1_2!$C$2:$C$611,$C888),INDEX(Dataset3_Raw!$C$2:$C$391,$E888))</f>
        <v>1</v>
      </c>
      <c r="H888" s="23">
        <f>IF($C888&gt;0,INDEX(Merge_1_2!$D$2:$D$611,$C888),INDEX(Dataset3_Raw!$D$2:$D$391,$E888))</f>
        <v>0</v>
      </c>
      <c r="I888" s="23">
        <f>IF($C888&gt;0,INDEX(Merge_1_2!$E$2:$E$611,$C888),INDEX(Dataset3_Raw!$E$2:$E$391,$E888))</f>
        <v>2</v>
      </c>
      <c r="J888" s="23">
        <f>IF($C888&gt;0,INDEX(Merge_1_2!$F$2:$F$611,$C888),INDEX(Dataset3_Raw!$F$2:$F$391,$E888))</f>
        <v>10</v>
      </c>
      <c r="K888" s="23" t="b">
        <f>IF($C888&gt;0,INDEX(Merge_1_2!$G$2:$G$611,$C888),INDEX(Dataset3_Raw!$G$2:$G$391,$E888))</f>
        <v>0</v>
      </c>
      <c r="L888" s="23">
        <f>IF($C888&gt;0,INDEX(Merge_1_2!$H$2:$H$611,$C888),INDEX(Dataset3_Raw!$H$2:$H$391,$E888))</f>
        <v>3</v>
      </c>
      <c r="M888" s="23">
        <f>IF($C888&gt;0,INDEX(Merge_1_2!$I$2:$I$611,$C888),INDEX(Dataset3_Raw!$I$2:$I$391,$E888))</f>
        <v>1</v>
      </c>
      <c r="N888" s="25">
        <f>IF($C888&gt;0,INDEX(Merge_1_2!$J$2:$J$611,$C888),INDEX(Dataset3_Raw!$J$2:$J$391,$E888))</f>
        <v>0.14000000000000001</v>
      </c>
      <c r="O888" s="25">
        <f>IF($C888&gt;0,IF(ISNUMBER(INDEX(Merge_1_2!$K$2:$K$611,$C888)),INDEX(Merge_1_2!$K$2:$K$611,$C888),""),INDEX(Dataset3_Raw!$K$2:$K$391,$E888))</f>
        <v>0.18179999999999999</v>
      </c>
      <c r="P888" s="25">
        <f>IF(ISNUMBER($O888),$O888,ROUND(Lookups!$B$25+Lookups!$B$24*$N888,4))</f>
        <v>0.18179999999999999</v>
      </c>
      <c r="Q888" s="25">
        <f>IF($C888&gt;0,INDEX(Merge_1_2!$L$2:$L$611,$C888),INDEX(Dataset3_Raw!$L$2:$L$391,$E888))</f>
        <v>0.36</v>
      </c>
      <c r="R888" s="25">
        <f>IF($C888&gt;0,INDEX(Merge_1_2!$M$2:$M$611,$C888),INDEX(Dataset3_Raw!$M$2:$M$391,$E888))</f>
        <v>0</v>
      </c>
      <c r="S888" s="23">
        <f>IF($C888&gt;0,INDEX(Merge_1_2!$N$2:$N$611,$C888),INDEX(Dataset3_Raw!$N$2:$N$391,$E888))</f>
        <v>8</v>
      </c>
      <c r="T888" s="23">
        <f>IF($C888&gt;0,INDEX(Merge_1_2!$O$2:$O$611,$C888),INDEX(Dataset3_Raw!$O$2:$O$391,$E888))</f>
        <v>51</v>
      </c>
      <c r="U888" s="23">
        <f>IF($C888&gt;0,INDEX(Merge_1_2!$P$2:$P$611,$C888),INDEX(Dataset3_Raw!$P$2:$P$391,$E888))</f>
        <v>59</v>
      </c>
      <c r="V888" s="23" t="str">
        <f t="shared" si="79"/>
        <v>Weekday</v>
      </c>
      <c r="W888" s="23" t="str">
        <f>VLOOKUP($M888,Lookups!$A$5:$B$8,2,FALSE())</f>
        <v>Clear / Partly cloudy</v>
      </c>
      <c r="X888" s="23" t="str">
        <f>VLOOKUP($G888,Lookups!$D$5:$E$8,2,FALSE())</f>
        <v>Winter</v>
      </c>
      <c r="Y888" s="23" t="str">
        <f>VLOOKUP($L888,Lookups!$G$5:$H$11,2,FALSE())</f>
        <v>Wednesday</v>
      </c>
      <c r="Z888" s="23" t="str">
        <f>IF($J888&lt;Lookups!$B$26,"Night",IF($J888&lt;Lookups!$B$27,"Morning",IF($J888&lt;Lookups!$B$28,"Afternoon","Evening")))</f>
        <v>Morning</v>
      </c>
      <c r="AA888" s="26">
        <f>ROUND($N888*(Lookups!$B$16-Lookups!$B$15)+Lookups!$B$15,1)</f>
        <v>-1.4</v>
      </c>
      <c r="AB888" s="26">
        <f>ROUND($P888*(Lookups!$B$18-Lookups!$B$17)+Lookups!$B$17,1)</f>
        <v>-4</v>
      </c>
      <c r="AC888" s="23">
        <f t="shared" si="80"/>
        <v>36</v>
      </c>
      <c r="AD888" s="23">
        <f>ROUND($R888*Lookups!$B$19,1)</f>
        <v>0</v>
      </c>
      <c r="AE888" s="27">
        <f t="shared" si="81"/>
        <v>0.86440677966101698</v>
      </c>
      <c r="AF888" s="23" t="str">
        <f>IF($U888&gt;=Lookups!$B$23,"High",IF($U888&gt;=Lookups!$B$22,"Medium","Low"))</f>
        <v>Medium</v>
      </c>
      <c r="AG888" s="23">
        <f>ROUND(IF($V888="Weekday",IF(INDEX(Hourly_Analysis!$D$5:$D$28,$J888+1)&gt;0,($U888-INDEX(Hourly_Analysis!$C$5:$C$28,$J888+1))/INDEX(Hourly_Analysis!$D$5:$D$28,$J888+1),0),IF(INDEX(Hourly_Analysis!$G$5:$G$28,$J888+1)&gt;0,($U888-INDEX(Hourly_Analysis!$F$5:$F$28,$J888+1))/INDEX(Hourly_Analysis!$G$5:$G$28,$J888+1),0)),2)</f>
        <v>1.01</v>
      </c>
      <c r="AH888" s="23" t="str">
        <f>IF(ABS($AG888)&gt;Lookups!$B$20,IF($AG888&gt;0,"High anomaly","Low anomaly"),"")</f>
        <v/>
      </c>
      <c r="AI888" s="23" t="str">
        <f t="shared" si="82"/>
        <v>OK</v>
      </c>
      <c r="AJ888" s="23" t="str">
        <f t="shared" si="83"/>
        <v>No</v>
      </c>
    </row>
    <row r="889" spans="1:36" x14ac:dyDescent="0.35">
      <c r="A889" s="23">
        <v>888</v>
      </c>
      <c r="B889" s="23" t="str">
        <f t="shared" si="78"/>
        <v>Dataset 3</v>
      </c>
      <c r="C889" s="23">
        <f>IFERROR(MATCH($A889,Merge_1_2!$A$2:$A$611,0),0)</f>
        <v>0</v>
      </c>
      <c r="D889" s="23">
        <f>IF($C889&gt;0,INDEX(Merge_1_2!$Q$2:$Q$611,$C889),0)</f>
        <v>0</v>
      </c>
      <c r="E889" s="23">
        <f>IFERROR(MATCH($A889,Dataset3_Raw!$A$2:$A$391,0),0)</f>
        <v>278</v>
      </c>
      <c r="F889" s="24">
        <f>IF($C889&gt;0,INDEX(Merge_1_2!$B$2:$B$611,$C889),DATE(VALUE(RIGHT(INDEX(Dataset3_Raw!$B$2:$B$391,$E889),4)),VALUE(MID(INDEX(Dataset3_Raw!$B$2:$B$391,$E889),4,2)),VALUE(LEFT(INDEX(Dataset3_Raw!$B$2:$B$391,$E889),2))))</f>
        <v>40583</v>
      </c>
      <c r="G889" s="23">
        <f>IF($C889&gt;0,INDEX(Merge_1_2!$C$2:$C$611,$C889),INDEX(Dataset3_Raw!$C$2:$C$391,$E889))</f>
        <v>1</v>
      </c>
      <c r="H889" s="23">
        <f>IF($C889&gt;0,INDEX(Merge_1_2!$D$2:$D$611,$C889),INDEX(Dataset3_Raw!$D$2:$D$391,$E889))</f>
        <v>0</v>
      </c>
      <c r="I889" s="23">
        <f>IF($C889&gt;0,INDEX(Merge_1_2!$E$2:$E$611,$C889),INDEX(Dataset3_Raw!$E$2:$E$391,$E889))</f>
        <v>2</v>
      </c>
      <c r="J889" s="23">
        <f>IF($C889&gt;0,INDEX(Merge_1_2!$F$2:$F$611,$C889),INDEX(Dataset3_Raw!$F$2:$F$391,$E889))</f>
        <v>11</v>
      </c>
      <c r="K889" s="23" t="b">
        <f>IF($C889&gt;0,INDEX(Merge_1_2!$G$2:$G$611,$C889),INDEX(Dataset3_Raw!$G$2:$G$391,$E889))</f>
        <v>0</v>
      </c>
      <c r="L889" s="23">
        <f>IF($C889&gt;0,INDEX(Merge_1_2!$H$2:$H$611,$C889),INDEX(Dataset3_Raw!$H$2:$H$391,$E889))</f>
        <v>3</v>
      </c>
      <c r="M889" s="23">
        <f>IF($C889&gt;0,INDEX(Merge_1_2!$I$2:$I$611,$C889),INDEX(Dataset3_Raw!$I$2:$I$391,$E889))</f>
        <v>2</v>
      </c>
      <c r="N889" s="25">
        <f>IF($C889&gt;0,INDEX(Merge_1_2!$J$2:$J$611,$C889),INDEX(Dataset3_Raw!$J$2:$J$391,$E889))</f>
        <v>0.14000000000000001</v>
      </c>
      <c r="O889" s="25">
        <f>IF($C889&gt;0,IF(ISNUMBER(INDEX(Merge_1_2!$K$2:$K$611,$C889)),INDEX(Merge_1_2!$K$2:$K$611,$C889),""),INDEX(Dataset3_Raw!$K$2:$K$391,$E889))</f>
        <v>0.1515</v>
      </c>
      <c r="P889" s="25">
        <f>IF(ISNUMBER($O889),$O889,ROUND(Lookups!$B$25+Lookups!$B$24*$N889,4))</f>
        <v>0.1515</v>
      </c>
      <c r="Q889" s="25">
        <f>IF($C889&gt;0,INDEX(Merge_1_2!$L$2:$L$611,$C889),INDEX(Dataset3_Raw!$L$2:$L$391,$E889))</f>
        <v>0.43</v>
      </c>
      <c r="R889" s="25">
        <f>IF($C889&gt;0,INDEX(Merge_1_2!$M$2:$M$611,$C889),INDEX(Dataset3_Raw!$M$2:$M$391,$E889))</f>
        <v>0.16420000000000001</v>
      </c>
      <c r="S889" s="23">
        <f>IF($C889&gt;0,INDEX(Merge_1_2!$N$2:$N$611,$C889),INDEX(Dataset3_Raw!$N$2:$N$391,$E889))</f>
        <v>1</v>
      </c>
      <c r="T889" s="23">
        <f>IF($C889&gt;0,INDEX(Merge_1_2!$O$2:$O$611,$C889),INDEX(Dataset3_Raw!$O$2:$O$391,$E889))</f>
        <v>40</v>
      </c>
      <c r="U889" s="23">
        <f>IF($C889&gt;0,INDEX(Merge_1_2!$P$2:$P$611,$C889),INDEX(Dataset3_Raw!$P$2:$P$391,$E889))</f>
        <v>41</v>
      </c>
      <c r="V889" s="23" t="str">
        <f t="shared" si="79"/>
        <v>Weekday</v>
      </c>
      <c r="W889" s="23" t="str">
        <f>VLOOKUP($M889,Lookups!$A$5:$B$8,2,FALSE())</f>
        <v>Mist / Cloudy</v>
      </c>
      <c r="X889" s="23" t="str">
        <f>VLOOKUP($G889,Lookups!$D$5:$E$8,2,FALSE())</f>
        <v>Winter</v>
      </c>
      <c r="Y889" s="23" t="str">
        <f>VLOOKUP($L889,Lookups!$G$5:$H$11,2,FALSE())</f>
        <v>Wednesday</v>
      </c>
      <c r="Z889" s="23" t="str">
        <f>IF($J889&lt;Lookups!$B$26,"Night",IF($J889&lt;Lookups!$B$27,"Morning",IF($J889&lt;Lookups!$B$28,"Afternoon","Evening")))</f>
        <v>Morning</v>
      </c>
      <c r="AA889" s="26">
        <f>ROUND($N889*(Lookups!$B$16-Lookups!$B$15)+Lookups!$B$15,1)</f>
        <v>-1.4</v>
      </c>
      <c r="AB889" s="26">
        <f>ROUND($P889*(Lookups!$B$18-Lookups!$B$17)+Lookups!$B$17,1)</f>
        <v>-6</v>
      </c>
      <c r="AC889" s="23">
        <f t="shared" si="80"/>
        <v>43</v>
      </c>
      <c r="AD889" s="23">
        <f>ROUND($R889*Lookups!$B$19,1)</f>
        <v>11</v>
      </c>
      <c r="AE889" s="27">
        <f t="shared" si="81"/>
        <v>0.97560975609756095</v>
      </c>
      <c r="AF889" s="23" t="str">
        <f>IF($U889&gt;=Lookups!$B$23,"High",IF($U889&gt;=Lookups!$B$22,"Medium","Low"))</f>
        <v>Medium</v>
      </c>
      <c r="AG889" s="23">
        <f>ROUND(IF($V889="Weekday",IF(INDEX(Hourly_Analysis!$D$5:$D$28,$J889+1)&gt;0,($U889-INDEX(Hourly_Analysis!$C$5:$C$28,$J889+1))/INDEX(Hourly_Analysis!$D$5:$D$28,$J889+1),0),IF(INDEX(Hourly_Analysis!$G$5:$G$28,$J889+1)&gt;0,($U889-INDEX(Hourly_Analysis!$F$5:$F$28,$J889+1))/INDEX(Hourly_Analysis!$G$5:$G$28,$J889+1),0)),2)</f>
        <v>-0.82</v>
      </c>
      <c r="AH889" s="23" t="str">
        <f>IF(ABS($AG889)&gt;Lookups!$B$20,IF($AG889&gt;0,"High anomaly","Low anomaly"),"")</f>
        <v/>
      </c>
      <c r="AI889" s="23" t="str">
        <f t="shared" si="82"/>
        <v>OK</v>
      </c>
      <c r="AJ889" s="23" t="str">
        <f t="shared" si="83"/>
        <v>No</v>
      </c>
    </row>
    <row r="890" spans="1:36" x14ac:dyDescent="0.35">
      <c r="A890" s="23">
        <v>889</v>
      </c>
      <c r="B890" s="23" t="str">
        <f t="shared" si="78"/>
        <v>Dataset 3</v>
      </c>
      <c r="C890" s="23">
        <f>IFERROR(MATCH($A890,Merge_1_2!$A$2:$A$611,0),0)</f>
        <v>0</v>
      </c>
      <c r="D890" s="23">
        <f>IF($C890&gt;0,INDEX(Merge_1_2!$Q$2:$Q$611,$C890),0)</f>
        <v>0</v>
      </c>
      <c r="E890" s="23">
        <f>IFERROR(MATCH($A890,Dataset3_Raw!$A$2:$A$391,0),0)</f>
        <v>279</v>
      </c>
      <c r="F890" s="24">
        <f>IF($C890&gt;0,INDEX(Merge_1_2!$B$2:$B$611,$C890),DATE(VALUE(RIGHT(INDEX(Dataset3_Raw!$B$2:$B$391,$E890),4)),VALUE(MID(INDEX(Dataset3_Raw!$B$2:$B$391,$E890),4,2)),VALUE(LEFT(INDEX(Dataset3_Raw!$B$2:$B$391,$E890),2))))</f>
        <v>40583</v>
      </c>
      <c r="G890" s="23">
        <f>IF($C890&gt;0,INDEX(Merge_1_2!$C$2:$C$611,$C890),INDEX(Dataset3_Raw!$C$2:$C$391,$E890))</f>
        <v>1</v>
      </c>
      <c r="H890" s="23">
        <f>IF($C890&gt;0,INDEX(Merge_1_2!$D$2:$D$611,$C890),INDEX(Dataset3_Raw!$D$2:$D$391,$E890))</f>
        <v>0</v>
      </c>
      <c r="I890" s="23">
        <f>IF($C890&gt;0,INDEX(Merge_1_2!$E$2:$E$611,$C890),INDEX(Dataset3_Raw!$E$2:$E$391,$E890))</f>
        <v>2</v>
      </c>
      <c r="J890" s="23">
        <f>IF($C890&gt;0,INDEX(Merge_1_2!$F$2:$F$611,$C890),INDEX(Dataset3_Raw!$F$2:$F$391,$E890))</f>
        <v>12</v>
      </c>
      <c r="K890" s="23" t="b">
        <f>IF($C890&gt;0,INDEX(Merge_1_2!$G$2:$G$611,$C890),INDEX(Dataset3_Raw!$G$2:$G$391,$E890))</f>
        <v>0</v>
      </c>
      <c r="L890" s="23">
        <f>IF($C890&gt;0,INDEX(Merge_1_2!$H$2:$H$611,$C890),INDEX(Dataset3_Raw!$H$2:$H$391,$E890))</f>
        <v>3</v>
      </c>
      <c r="M890" s="23">
        <f>IF($C890&gt;0,INDEX(Merge_1_2!$I$2:$I$611,$C890),INDEX(Dataset3_Raw!$I$2:$I$391,$E890))</f>
        <v>2</v>
      </c>
      <c r="N890" s="25">
        <f>IF($C890&gt;0,INDEX(Merge_1_2!$J$2:$J$611,$C890),INDEX(Dataset3_Raw!$J$2:$J$391,$E890))</f>
        <v>0.18</v>
      </c>
      <c r="O890" s="25">
        <f>IF($C890&gt;0,IF(ISNUMBER(INDEX(Merge_1_2!$K$2:$K$611,$C890)),INDEX(Merge_1_2!$K$2:$K$611,$C890),""),INDEX(Dataset3_Raw!$K$2:$K$391,$E890))</f>
        <v>0.18179999999999999</v>
      </c>
      <c r="P890" s="25">
        <f>IF(ISNUMBER($O890),$O890,ROUND(Lookups!$B$25+Lookups!$B$24*$N890,4))</f>
        <v>0.18179999999999999</v>
      </c>
      <c r="Q890" s="25">
        <f>IF($C890&gt;0,INDEX(Merge_1_2!$L$2:$L$611,$C890),INDEX(Dataset3_Raw!$L$2:$L$391,$E890))</f>
        <v>0.4</v>
      </c>
      <c r="R890" s="25">
        <f>IF($C890&gt;0,INDEX(Merge_1_2!$M$2:$M$611,$C890),INDEX(Dataset3_Raw!$M$2:$M$391,$E890))</f>
        <v>0.22389999999999999</v>
      </c>
      <c r="S890" s="23">
        <f>IF($C890&gt;0,INDEX(Merge_1_2!$N$2:$N$611,$C890),INDEX(Dataset3_Raw!$N$2:$N$391,$E890))</f>
        <v>4</v>
      </c>
      <c r="T890" s="23">
        <f>IF($C890&gt;0,INDEX(Merge_1_2!$O$2:$O$611,$C890),INDEX(Dataset3_Raw!$O$2:$O$391,$E890))</f>
        <v>57</v>
      </c>
      <c r="U890" s="23">
        <f>IF($C890&gt;0,INDEX(Merge_1_2!$P$2:$P$611,$C890),INDEX(Dataset3_Raw!$P$2:$P$391,$E890))</f>
        <v>61</v>
      </c>
      <c r="V890" s="23" t="str">
        <f t="shared" si="79"/>
        <v>Weekday</v>
      </c>
      <c r="W890" s="23" t="str">
        <f>VLOOKUP($M890,Lookups!$A$5:$B$8,2,FALSE())</f>
        <v>Mist / Cloudy</v>
      </c>
      <c r="X890" s="23" t="str">
        <f>VLOOKUP($G890,Lookups!$D$5:$E$8,2,FALSE())</f>
        <v>Winter</v>
      </c>
      <c r="Y890" s="23" t="str">
        <f>VLOOKUP($L890,Lookups!$G$5:$H$11,2,FALSE())</f>
        <v>Wednesday</v>
      </c>
      <c r="Z890" s="23" t="str">
        <f>IF($J890&lt;Lookups!$B$26,"Night",IF($J890&lt;Lookups!$B$27,"Morning",IF($J890&lt;Lookups!$B$28,"Afternoon","Evening")))</f>
        <v>Afternoon</v>
      </c>
      <c r="AA890" s="26">
        <f>ROUND($N890*(Lookups!$B$16-Lookups!$B$15)+Lookups!$B$15,1)</f>
        <v>0.5</v>
      </c>
      <c r="AB890" s="26">
        <f>ROUND($P890*(Lookups!$B$18-Lookups!$B$17)+Lookups!$B$17,1)</f>
        <v>-4</v>
      </c>
      <c r="AC890" s="23">
        <f t="shared" si="80"/>
        <v>40</v>
      </c>
      <c r="AD890" s="23">
        <f>ROUND($R890*Lookups!$B$19,1)</f>
        <v>15</v>
      </c>
      <c r="AE890" s="27">
        <f t="shared" si="81"/>
        <v>0.93442622950819676</v>
      </c>
      <c r="AF890" s="23" t="str">
        <f>IF($U890&gt;=Lookups!$B$23,"High",IF($U890&gt;=Lookups!$B$22,"Medium","Low"))</f>
        <v>Medium</v>
      </c>
      <c r="AG890" s="23">
        <f>ROUND(IF($V890="Weekday",IF(INDEX(Hourly_Analysis!$D$5:$D$28,$J890+1)&gt;0,($U890-INDEX(Hourly_Analysis!$C$5:$C$28,$J890+1))/INDEX(Hourly_Analysis!$D$5:$D$28,$J890+1),0),IF(INDEX(Hourly_Analysis!$G$5:$G$28,$J890+1)&gt;0,($U890-INDEX(Hourly_Analysis!$F$5:$F$28,$J890+1))/INDEX(Hourly_Analysis!$G$5:$G$28,$J890+1),0)),2)</f>
        <v>-0.16</v>
      </c>
      <c r="AH890" s="23" t="str">
        <f>IF(ABS($AG890)&gt;Lookups!$B$20,IF($AG890&gt;0,"High anomaly","Low anomaly"),"")</f>
        <v/>
      </c>
      <c r="AI890" s="23" t="str">
        <f t="shared" si="82"/>
        <v>OK</v>
      </c>
      <c r="AJ890" s="23" t="str">
        <f t="shared" si="83"/>
        <v>No</v>
      </c>
    </row>
    <row r="891" spans="1:36" x14ac:dyDescent="0.35">
      <c r="A891" s="23">
        <v>890</v>
      </c>
      <c r="B891" s="23" t="str">
        <f t="shared" si="78"/>
        <v>Dataset 3</v>
      </c>
      <c r="C891" s="23">
        <f>IFERROR(MATCH($A891,Merge_1_2!$A$2:$A$611,0),0)</f>
        <v>0</v>
      </c>
      <c r="D891" s="23">
        <f>IF($C891&gt;0,INDEX(Merge_1_2!$Q$2:$Q$611,$C891),0)</f>
        <v>0</v>
      </c>
      <c r="E891" s="23">
        <f>IFERROR(MATCH($A891,Dataset3_Raw!$A$2:$A$391,0),0)</f>
        <v>280</v>
      </c>
      <c r="F891" s="24">
        <f>IF($C891&gt;0,INDEX(Merge_1_2!$B$2:$B$611,$C891),DATE(VALUE(RIGHT(INDEX(Dataset3_Raw!$B$2:$B$391,$E891),4)),VALUE(MID(INDEX(Dataset3_Raw!$B$2:$B$391,$E891),4,2)),VALUE(LEFT(INDEX(Dataset3_Raw!$B$2:$B$391,$E891),2))))</f>
        <v>40583</v>
      </c>
      <c r="G891" s="23">
        <f>IF($C891&gt;0,INDEX(Merge_1_2!$C$2:$C$611,$C891),INDEX(Dataset3_Raw!$C$2:$C$391,$E891))</f>
        <v>1</v>
      </c>
      <c r="H891" s="23">
        <f>IF($C891&gt;0,INDEX(Merge_1_2!$D$2:$D$611,$C891),INDEX(Dataset3_Raw!$D$2:$D$391,$E891))</f>
        <v>0</v>
      </c>
      <c r="I891" s="23">
        <f>IF($C891&gt;0,INDEX(Merge_1_2!$E$2:$E$611,$C891),INDEX(Dataset3_Raw!$E$2:$E$391,$E891))</f>
        <v>2</v>
      </c>
      <c r="J891" s="23">
        <f>IF($C891&gt;0,INDEX(Merge_1_2!$F$2:$F$611,$C891),INDEX(Dataset3_Raw!$F$2:$F$391,$E891))</f>
        <v>13</v>
      </c>
      <c r="K891" s="23" t="b">
        <f>IF($C891&gt;0,INDEX(Merge_1_2!$G$2:$G$611,$C891),INDEX(Dataset3_Raw!$G$2:$G$391,$E891))</f>
        <v>0</v>
      </c>
      <c r="L891" s="23">
        <f>IF($C891&gt;0,INDEX(Merge_1_2!$H$2:$H$611,$C891),INDEX(Dataset3_Raw!$H$2:$H$391,$E891))</f>
        <v>3</v>
      </c>
      <c r="M891" s="23">
        <f>IF($C891&gt;0,INDEX(Merge_1_2!$I$2:$I$611,$C891),INDEX(Dataset3_Raw!$I$2:$I$391,$E891))</f>
        <v>1</v>
      </c>
      <c r="N891" s="25">
        <f>IF($C891&gt;0,INDEX(Merge_1_2!$J$2:$J$611,$C891),INDEX(Dataset3_Raw!$J$2:$J$391,$E891))</f>
        <v>0.18</v>
      </c>
      <c r="O891" s="25">
        <f>IF($C891&gt;0,IF(ISNUMBER(INDEX(Merge_1_2!$K$2:$K$611,$C891)),INDEX(Merge_1_2!$K$2:$K$611,$C891),""),INDEX(Dataset3_Raw!$K$2:$K$391,$E891))</f>
        <v>0.16669999999999999</v>
      </c>
      <c r="P891" s="25">
        <f>IF(ISNUMBER($O891),$O891,ROUND(Lookups!$B$25+Lookups!$B$24*$N891,4))</f>
        <v>0.16669999999999999</v>
      </c>
      <c r="Q891" s="25">
        <f>IF($C891&gt;0,INDEX(Merge_1_2!$L$2:$L$611,$C891),INDEX(Dataset3_Raw!$L$2:$L$391,$E891))</f>
        <v>0.4</v>
      </c>
      <c r="R891" s="25">
        <f>IF($C891&gt;0,INDEX(Merge_1_2!$M$2:$M$611,$C891),INDEX(Dataset3_Raw!$M$2:$M$391,$E891))</f>
        <v>0.25369999999999998</v>
      </c>
      <c r="S891" s="23">
        <f>IF($C891&gt;0,INDEX(Merge_1_2!$N$2:$N$611,$C891),INDEX(Dataset3_Raw!$N$2:$N$391,$E891))</f>
        <v>2</v>
      </c>
      <c r="T891" s="23">
        <f>IF($C891&gt;0,INDEX(Merge_1_2!$O$2:$O$611,$C891),INDEX(Dataset3_Raw!$O$2:$O$391,$E891))</f>
        <v>67</v>
      </c>
      <c r="U891" s="23">
        <f>IF($C891&gt;0,INDEX(Merge_1_2!$P$2:$P$611,$C891),INDEX(Dataset3_Raw!$P$2:$P$391,$E891))</f>
        <v>69</v>
      </c>
      <c r="V891" s="23" t="str">
        <f t="shared" si="79"/>
        <v>Weekday</v>
      </c>
      <c r="W891" s="23" t="str">
        <f>VLOOKUP($M891,Lookups!$A$5:$B$8,2,FALSE())</f>
        <v>Clear / Partly cloudy</v>
      </c>
      <c r="X891" s="23" t="str">
        <f>VLOOKUP($G891,Lookups!$D$5:$E$8,2,FALSE())</f>
        <v>Winter</v>
      </c>
      <c r="Y891" s="23" t="str">
        <f>VLOOKUP($L891,Lookups!$G$5:$H$11,2,FALSE())</f>
        <v>Wednesday</v>
      </c>
      <c r="Z891" s="23" t="str">
        <f>IF($J891&lt;Lookups!$B$26,"Night",IF($J891&lt;Lookups!$B$27,"Morning",IF($J891&lt;Lookups!$B$28,"Afternoon","Evening")))</f>
        <v>Afternoon</v>
      </c>
      <c r="AA891" s="26">
        <f>ROUND($N891*(Lookups!$B$16-Lookups!$B$15)+Lookups!$B$15,1)</f>
        <v>0.5</v>
      </c>
      <c r="AB891" s="26">
        <f>ROUND($P891*(Lookups!$B$18-Lookups!$B$17)+Lookups!$B$17,1)</f>
        <v>-5</v>
      </c>
      <c r="AC891" s="23">
        <f t="shared" si="80"/>
        <v>40</v>
      </c>
      <c r="AD891" s="23">
        <f>ROUND($R891*Lookups!$B$19,1)</f>
        <v>17</v>
      </c>
      <c r="AE891" s="27">
        <f t="shared" si="81"/>
        <v>0.97101449275362317</v>
      </c>
      <c r="AF891" s="23" t="str">
        <f>IF($U891&gt;=Lookups!$B$23,"High",IF($U891&gt;=Lookups!$B$22,"Medium","Low"))</f>
        <v>Medium</v>
      </c>
      <c r="AG891" s="23">
        <f>ROUND(IF($V891="Weekday",IF(INDEX(Hourly_Analysis!$D$5:$D$28,$J891+1)&gt;0,($U891-INDEX(Hourly_Analysis!$C$5:$C$28,$J891+1))/INDEX(Hourly_Analysis!$D$5:$D$28,$J891+1),0),IF(INDEX(Hourly_Analysis!$G$5:$G$28,$J891+1)&gt;0,($U891-INDEX(Hourly_Analysis!$F$5:$F$28,$J891+1))/INDEX(Hourly_Analysis!$G$5:$G$28,$J891+1),0)),2)</f>
        <v>0.14000000000000001</v>
      </c>
      <c r="AH891" s="23" t="str">
        <f>IF(ABS($AG891)&gt;Lookups!$B$20,IF($AG891&gt;0,"High anomaly","Low anomaly"),"")</f>
        <v/>
      </c>
      <c r="AI891" s="23" t="str">
        <f t="shared" si="82"/>
        <v>OK</v>
      </c>
      <c r="AJ891" s="23" t="str">
        <f t="shared" si="83"/>
        <v>No</v>
      </c>
    </row>
    <row r="892" spans="1:36" x14ac:dyDescent="0.35">
      <c r="A892" s="23">
        <v>891</v>
      </c>
      <c r="B892" s="23" t="str">
        <f t="shared" si="78"/>
        <v>Dataset 3</v>
      </c>
      <c r="C892" s="23">
        <f>IFERROR(MATCH($A892,Merge_1_2!$A$2:$A$611,0),0)</f>
        <v>0</v>
      </c>
      <c r="D892" s="23">
        <f>IF($C892&gt;0,INDEX(Merge_1_2!$Q$2:$Q$611,$C892),0)</f>
        <v>0</v>
      </c>
      <c r="E892" s="23">
        <f>IFERROR(MATCH($A892,Dataset3_Raw!$A$2:$A$391,0),0)</f>
        <v>281</v>
      </c>
      <c r="F892" s="24">
        <f>IF($C892&gt;0,INDEX(Merge_1_2!$B$2:$B$611,$C892),DATE(VALUE(RIGHT(INDEX(Dataset3_Raw!$B$2:$B$391,$E892),4)),VALUE(MID(INDEX(Dataset3_Raw!$B$2:$B$391,$E892),4,2)),VALUE(LEFT(INDEX(Dataset3_Raw!$B$2:$B$391,$E892),2))))</f>
        <v>40583</v>
      </c>
      <c r="G892" s="23">
        <f>IF($C892&gt;0,INDEX(Merge_1_2!$C$2:$C$611,$C892),INDEX(Dataset3_Raw!$C$2:$C$391,$E892))</f>
        <v>1</v>
      </c>
      <c r="H892" s="23">
        <f>IF($C892&gt;0,INDEX(Merge_1_2!$D$2:$D$611,$C892),INDEX(Dataset3_Raw!$D$2:$D$391,$E892))</f>
        <v>0</v>
      </c>
      <c r="I892" s="23">
        <f>IF($C892&gt;0,INDEX(Merge_1_2!$E$2:$E$611,$C892),INDEX(Dataset3_Raw!$E$2:$E$391,$E892))</f>
        <v>2</v>
      </c>
      <c r="J892" s="23">
        <f>IF($C892&gt;0,INDEX(Merge_1_2!$F$2:$F$611,$C892),INDEX(Dataset3_Raw!$F$2:$F$391,$E892))</f>
        <v>14</v>
      </c>
      <c r="K892" s="23" t="b">
        <f>IF($C892&gt;0,INDEX(Merge_1_2!$G$2:$G$611,$C892),INDEX(Dataset3_Raw!$G$2:$G$391,$E892))</f>
        <v>0</v>
      </c>
      <c r="L892" s="23">
        <f>IF($C892&gt;0,INDEX(Merge_1_2!$H$2:$H$611,$C892),INDEX(Dataset3_Raw!$H$2:$H$391,$E892))</f>
        <v>3</v>
      </c>
      <c r="M892" s="23">
        <f>IF($C892&gt;0,INDEX(Merge_1_2!$I$2:$I$611,$C892),INDEX(Dataset3_Raw!$I$2:$I$391,$E892))</f>
        <v>1</v>
      </c>
      <c r="N892" s="25">
        <f>IF($C892&gt;0,INDEX(Merge_1_2!$J$2:$J$611,$C892),INDEX(Dataset3_Raw!$J$2:$J$391,$E892))</f>
        <v>0.2</v>
      </c>
      <c r="O892" s="25">
        <f>IF($C892&gt;0,IF(ISNUMBER(INDEX(Merge_1_2!$K$2:$K$611,$C892)),INDEX(Merge_1_2!$K$2:$K$611,$C892),""),INDEX(Dataset3_Raw!$K$2:$K$391,$E892))</f>
        <v>0.18179999999999999</v>
      </c>
      <c r="P892" s="25">
        <f>IF(ISNUMBER($O892),$O892,ROUND(Lookups!$B$25+Lookups!$B$24*$N892,4))</f>
        <v>0.18179999999999999</v>
      </c>
      <c r="Q892" s="25">
        <f>IF($C892&gt;0,INDEX(Merge_1_2!$L$2:$L$611,$C892),INDEX(Dataset3_Raw!$L$2:$L$391,$E892))</f>
        <v>0.34</v>
      </c>
      <c r="R892" s="25">
        <f>IF($C892&gt;0,INDEX(Merge_1_2!$M$2:$M$611,$C892),INDEX(Dataset3_Raw!$M$2:$M$391,$E892))</f>
        <v>0.29849999999999999</v>
      </c>
      <c r="S892" s="23">
        <f>IF($C892&gt;0,INDEX(Merge_1_2!$N$2:$N$611,$C892),INDEX(Dataset3_Raw!$N$2:$N$391,$E892))</f>
        <v>2</v>
      </c>
      <c r="T892" s="23">
        <f>IF($C892&gt;0,INDEX(Merge_1_2!$O$2:$O$611,$C892),INDEX(Dataset3_Raw!$O$2:$O$391,$E892))</f>
        <v>56</v>
      </c>
      <c r="U892" s="23">
        <f>IF($C892&gt;0,INDEX(Merge_1_2!$P$2:$P$611,$C892),INDEX(Dataset3_Raw!$P$2:$P$391,$E892))</f>
        <v>58</v>
      </c>
      <c r="V892" s="23" t="str">
        <f t="shared" si="79"/>
        <v>Weekday</v>
      </c>
      <c r="W892" s="23" t="str">
        <f>VLOOKUP($M892,Lookups!$A$5:$B$8,2,FALSE())</f>
        <v>Clear / Partly cloudy</v>
      </c>
      <c r="X892" s="23" t="str">
        <f>VLOOKUP($G892,Lookups!$D$5:$E$8,2,FALSE())</f>
        <v>Winter</v>
      </c>
      <c r="Y892" s="23" t="str">
        <f>VLOOKUP($L892,Lookups!$G$5:$H$11,2,FALSE())</f>
        <v>Wednesday</v>
      </c>
      <c r="Z892" s="23" t="str">
        <f>IF($J892&lt;Lookups!$B$26,"Night",IF($J892&lt;Lookups!$B$27,"Morning",IF($J892&lt;Lookups!$B$28,"Afternoon","Evening")))</f>
        <v>Afternoon</v>
      </c>
      <c r="AA892" s="26">
        <f>ROUND($N892*(Lookups!$B$16-Lookups!$B$15)+Lookups!$B$15,1)</f>
        <v>1.4</v>
      </c>
      <c r="AB892" s="26">
        <f>ROUND($P892*(Lookups!$B$18-Lookups!$B$17)+Lookups!$B$17,1)</f>
        <v>-4</v>
      </c>
      <c r="AC892" s="23">
        <f t="shared" si="80"/>
        <v>34</v>
      </c>
      <c r="AD892" s="23">
        <f>ROUND($R892*Lookups!$B$19,1)</f>
        <v>20</v>
      </c>
      <c r="AE892" s="27">
        <f t="shared" si="81"/>
        <v>0.96551724137931039</v>
      </c>
      <c r="AF892" s="23" t="str">
        <f>IF($U892&gt;=Lookups!$B$23,"High",IF($U892&gt;=Lookups!$B$22,"Medium","Low"))</f>
        <v>Medium</v>
      </c>
      <c r="AG892" s="23">
        <f>ROUND(IF($V892="Weekday",IF(INDEX(Hourly_Analysis!$D$5:$D$28,$J892+1)&gt;0,($U892-INDEX(Hourly_Analysis!$C$5:$C$28,$J892+1))/INDEX(Hourly_Analysis!$D$5:$D$28,$J892+1),0),IF(INDEX(Hourly_Analysis!$G$5:$G$28,$J892+1)&gt;0,($U892-INDEX(Hourly_Analysis!$F$5:$F$28,$J892+1))/INDEX(Hourly_Analysis!$G$5:$G$28,$J892+1),0)),2)</f>
        <v>-0.1</v>
      </c>
      <c r="AH892" s="23" t="str">
        <f>IF(ABS($AG892)&gt;Lookups!$B$20,IF($AG892&gt;0,"High anomaly","Low anomaly"),"")</f>
        <v/>
      </c>
      <c r="AI892" s="23" t="str">
        <f t="shared" si="82"/>
        <v>OK</v>
      </c>
      <c r="AJ892" s="23" t="str">
        <f t="shared" si="83"/>
        <v>No</v>
      </c>
    </row>
    <row r="893" spans="1:36" x14ac:dyDescent="0.35">
      <c r="A893" s="23">
        <v>892</v>
      </c>
      <c r="B893" s="23" t="str">
        <f t="shared" si="78"/>
        <v>Dataset 3</v>
      </c>
      <c r="C893" s="23">
        <f>IFERROR(MATCH($A893,Merge_1_2!$A$2:$A$611,0),0)</f>
        <v>0</v>
      </c>
      <c r="D893" s="23">
        <f>IF($C893&gt;0,INDEX(Merge_1_2!$Q$2:$Q$611,$C893),0)</f>
        <v>0</v>
      </c>
      <c r="E893" s="23">
        <f>IFERROR(MATCH($A893,Dataset3_Raw!$A$2:$A$391,0),0)</f>
        <v>282</v>
      </c>
      <c r="F893" s="24">
        <f>IF($C893&gt;0,INDEX(Merge_1_2!$B$2:$B$611,$C893),DATE(VALUE(RIGHT(INDEX(Dataset3_Raw!$B$2:$B$391,$E893),4)),VALUE(MID(INDEX(Dataset3_Raw!$B$2:$B$391,$E893),4,2)),VALUE(LEFT(INDEX(Dataset3_Raw!$B$2:$B$391,$E893),2))))</f>
        <v>40583</v>
      </c>
      <c r="G893" s="23">
        <f>IF($C893&gt;0,INDEX(Merge_1_2!$C$2:$C$611,$C893),INDEX(Dataset3_Raw!$C$2:$C$391,$E893))</f>
        <v>1</v>
      </c>
      <c r="H893" s="23">
        <f>IF($C893&gt;0,INDEX(Merge_1_2!$D$2:$D$611,$C893),INDEX(Dataset3_Raw!$D$2:$D$391,$E893))</f>
        <v>0</v>
      </c>
      <c r="I893" s="23">
        <f>IF($C893&gt;0,INDEX(Merge_1_2!$E$2:$E$611,$C893),INDEX(Dataset3_Raw!$E$2:$E$391,$E893))</f>
        <v>2</v>
      </c>
      <c r="J893" s="23">
        <f>IF($C893&gt;0,INDEX(Merge_1_2!$F$2:$F$611,$C893),INDEX(Dataset3_Raw!$F$2:$F$391,$E893))</f>
        <v>15</v>
      </c>
      <c r="K893" s="23" t="b">
        <f>IF($C893&gt;0,INDEX(Merge_1_2!$G$2:$G$611,$C893),INDEX(Dataset3_Raw!$G$2:$G$391,$E893))</f>
        <v>0</v>
      </c>
      <c r="L893" s="23">
        <f>IF($C893&gt;0,INDEX(Merge_1_2!$H$2:$H$611,$C893),INDEX(Dataset3_Raw!$H$2:$H$391,$E893))</f>
        <v>3</v>
      </c>
      <c r="M893" s="23">
        <f>IF($C893&gt;0,INDEX(Merge_1_2!$I$2:$I$611,$C893),INDEX(Dataset3_Raw!$I$2:$I$391,$E893))</f>
        <v>2</v>
      </c>
      <c r="N893" s="25">
        <f>IF($C893&gt;0,INDEX(Merge_1_2!$J$2:$J$611,$C893),INDEX(Dataset3_Raw!$J$2:$J$391,$E893))</f>
        <v>0.2</v>
      </c>
      <c r="O893" s="25">
        <f>IF($C893&gt;0,IF(ISNUMBER(INDEX(Merge_1_2!$K$2:$K$611,$C893)),INDEX(Merge_1_2!$K$2:$K$611,$C893),""),INDEX(Dataset3_Raw!$K$2:$K$391,$E893))</f>
        <v>0.18179999999999999</v>
      </c>
      <c r="P893" s="25">
        <f>IF(ISNUMBER($O893),$O893,ROUND(Lookups!$B$25+Lookups!$B$24*$N893,4))</f>
        <v>0.18179999999999999</v>
      </c>
      <c r="Q893" s="25">
        <f>IF($C893&gt;0,INDEX(Merge_1_2!$L$2:$L$611,$C893),INDEX(Dataset3_Raw!$L$2:$L$391,$E893))</f>
        <v>0.34</v>
      </c>
      <c r="R893" s="25">
        <f>IF($C893&gt;0,INDEX(Merge_1_2!$M$2:$M$611,$C893),INDEX(Dataset3_Raw!$M$2:$M$391,$E893))</f>
        <v>0.28360000000000002</v>
      </c>
      <c r="S893" s="23">
        <f>IF($C893&gt;0,INDEX(Merge_1_2!$N$2:$N$611,$C893),INDEX(Dataset3_Raw!$N$2:$N$391,$E893))</f>
        <v>3</v>
      </c>
      <c r="T893" s="23">
        <f>IF($C893&gt;0,INDEX(Merge_1_2!$O$2:$O$611,$C893),INDEX(Dataset3_Raw!$O$2:$O$391,$E893))</f>
        <v>61</v>
      </c>
      <c r="U893" s="23">
        <f>IF($C893&gt;0,INDEX(Merge_1_2!$P$2:$P$611,$C893),INDEX(Dataset3_Raw!$P$2:$P$391,$E893))</f>
        <v>64</v>
      </c>
      <c r="V893" s="23" t="str">
        <f t="shared" si="79"/>
        <v>Weekday</v>
      </c>
      <c r="W893" s="23" t="str">
        <f>VLOOKUP($M893,Lookups!$A$5:$B$8,2,FALSE())</f>
        <v>Mist / Cloudy</v>
      </c>
      <c r="X893" s="23" t="str">
        <f>VLOOKUP($G893,Lookups!$D$5:$E$8,2,FALSE())</f>
        <v>Winter</v>
      </c>
      <c r="Y893" s="23" t="str">
        <f>VLOOKUP($L893,Lookups!$G$5:$H$11,2,FALSE())</f>
        <v>Wednesday</v>
      </c>
      <c r="Z893" s="23" t="str">
        <f>IF($J893&lt;Lookups!$B$26,"Night",IF($J893&lt;Lookups!$B$27,"Morning",IF($J893&lt;Lookups!$B$28,"Afternoon","Evening")))</f>
        <v>Afternoon</v>
      </c>
      <c r="AA893" s="26">
        <f>ROUND($N893*(Lookups!$B$16-Lookups!$B$15)+Lookups!$B$15,1)</f>
        <v>1.4</v>
      </c>
      <c r="AB893" s="26">
        <f>ROUND($P893*(Lookups!$B$18-Lookups!$B$17)+Lookups!$B$17,1)</f>
        <v>-4</v>
      </c>
      <c r="AC893" s="23">
        <f t="shared" si="80"/>
        <v>34</v>
      </c>
      <c r="AD893" s="23">
        <f>ROUND($R893*Lookups!$B$19,1)</f>
        <v>19</v>
      </c>
      <c r="AE893" s="27">
        <f t="shared" si="81"/>
        <v>0.953125</v>
      </c>
      <c r="AF893" s="23" t="str">
        <f>IF($U893&gt;=Lookups!$B$23,"High",IF($U893&gt;=Lookups!$B$22,"Medium","Low"))</f>
        <v>Medium</v>
      </c>
      <c r="AG893" s="23">
        <f>ROUND(IF($V893="Weekday",IF(INDEX(Hourly_Analysis!$D$5:$D$28,$J893+1)&gt;0,($U893-INDEX(Hourly_Analysis!$C$5:$C$28,$J893+1))/INDEX(Hourly_Analysis!$D$5:$D$28,$J893+1),0),IF(INDEX(Hourly_Analysis!$G$5:$G$28,$J893+1)&gt;0,($U893-INDEX(Hourly_Analysis!$F$5:$F$28,$J893+1))/INDEX(Hourly_Analysis!$G$5:$G$28,$J893+1),0)),2)</f>
        <v>0.26</v>
      </c>
      <c r="AH893" s="23" t="str">
        <f>IF(ABS($AG893)&gt;Lookups!$B$20,IF($AG893&gt;0,"High anomaly","Low anomaly"),"")</f>
        <v/>
      </c>
      <c r="AI893" s="23" t="str">
        <f t="shared" si="82"/>
        <v>OK</v>
      </c>
      <c r="AJ893" s="23" t="str">
        <f t="shared" si="83"/>
        <v>No</v>
      </c>
    </row>
    <row r="894" spans="1:36" x14ac:dyDescent="0.35">
      <c r="A894" s="23">
        <v>893</v>
      </c>
      <c r="B894" s="23" t="str">
        <f t="shared" si="78"/>
        <v>Dataset 3</v>
      </c>
      <c r="C894" s="23">
        <f>IFERROR(MATCH($A894,Merge_1_2!$A$2:$A$611,0),0)</f>
        <v>0</v>
      </c>
      <c r="D894" s="23">
        <f>IF($C894&gt;0,INDEX(Merge_1_2!$Q$2:$Q$611,$C894),0)</f>
        <v>0</v>
      </c>
      <c r="E894" s="23">
        <f>IFERROR(MATCH($A894,Dataset3_Raw!$A$2:$A$391,0),0)</f>
        <v>283</v>
      </c>
      <c r="F894" s="24">
        <f>IF($C894&gt;0,INDEX(Merge_1_2!$B$2:$B$611,$C894),DATE(VALUE(RIGHT(INDEX(Dataset3_Raw!$B$2:$B$391,$E894),4)),VALUE(MID(INDEX(Dataset3_Raw!$B$2:$B$391,$E894),4,2)),VALUE(LEFT(INDEX(Dataset3_Raw!$B$2:$B$391,$E894),2))))</f>
        <v>40583</v>
      </c>
      <c r="G894" s="23">
        <f>IF($C894&gt;0,INDEX(Merge_1_2!$C$2:$C$611,$C894),INDEX(Dataset3_Raw!$C$2:$C$391,$E894))</f>
        <v>1</v>
      </c>
      <c r="H894" s="23">
        <f>IF($C894&gt;0,INDEX(Merge_1_2!$D$2:$D$611,$C894),INDEX(Dataset3_Raw!$D$2:$D$391,$E894))</f>
        <v>0</v>
      </c>
      <c r="I894" s="23">
        <f>IF($C894&gt;0,INDEX(Merge_1_2!$E$2:$E$611,$C894),INDEX(Dataset3_Raw!$E$2:$E$391,$E894))</f>
        <v>2</v>
      </c>
      <c r="J894" s="23">
        <f>IF($C894&gt;0,INDEX(Merge_1_2!$F$2:$F$611,$C894),INDEX(Dataset3_Raw!$F$2:$F$391,$E894))</f>
        <v>16</v>
      </c>
      <c r="K894" s="23" t="b">
        <f>IF($C894&gt;0,INDEX(Merge_1_2!$G$2:$G$611,$C894),INDEX(Dataset3_Raw!$G$2:$G$391,$E894))</f>
        <v>0</v>
      </c>
      <c r="L894" s="23">
        <f>IF($C894&gt;0,INDEX(Merge_1_2!$H$2:$H$611,$C894),INDEX(Dataset3_Raw!$H$2:$H$391,$E894))</f>
        <v>3</v>
      </c>
      <c r="M894" s="23">
        <f>IF($C894&gt;0,INDEX(Merge_1_2!$I$2:$I$611,$C894),INDEX(Dataset3_Raw!$I$2:$I$391,$E894))</f>
        <v>2</v>
      </c>
      <c r="N894" s="25">
        <f>IF($C894&gt;0,INDEX(Merge_1_2!$J$2:$J$611,$C894),INDEX(Dataset3_Raw!$J$2:$J$391,$E894))</f>
        <v>0.2</v>
      </c>
      <c r="O894" s="25">
        <f>IF($C894&gt;0,IF(ISNUMBER(INDEX(Merge_1_2!$K$2:$K$611,$C894)),INDEX(Merge_1_2!$K$2:$K$611,$C894),""),INDEX(Dataset3_Raw!$K$2:$K$391,$E894))</f>
        <v>0.19700000000000001</v>
      </c>
      <c r="P894" s="25">
        <f>IF(ISNUMBER($O894),$O894,ROUND(Lookups!$B$25+Lookups!$B$24*$N894,4))</f>
        <v>0.19700000000000001</v>
      </c>
      <c r="Q894" s="25">
        <f>IF($C894&gt;0,INDEX(Merge_1_2!$L$2:$L$611,$C894),INDEX(Dataset3_Raw!$L$2:$L$391,$E894))</f>
        <v>0.37</v>
      </c>
      <c r="R894" s="25">
        <f>IF($C894&gt;0,INDEX(Merge_1_2!$M$2:$M$611,$C894),INDEX(Dataset3_Raw!$M$2:$M$391,$E894))</f>
        <v>0.25369999999999998</v>
      </c>
      <c r="S894" s="23">
        <f>IF($C894&gt;0,INDEX(Merge_1_2!$N$2:$N$611,$C894),INDEX(Dataset3_Raw!$N$2:$N$391,$E894))</f>
        <v>7</v>
      </c>
      <c r="T894" s="23">
        <f>IF($C894&gt;0,INDEX(Merge_1_2!$O$2:$O$611,$C894),INDEX(Dataset3_Raw!$O$2:$O$391,$E894))</f>
        <v>72</v>
      </c>
      <c r="U894" s="23">
        <f>IF($C894&gt;0,INDEX(Merge_1_2!$P$2:$P$611,$C894),INDEX(Dataset3_Raw!$P$2:$P$391,$E894))</f>
        <v>79</v>
      </c>
      <c r="V894" s="23" t="str">
        <f t="shared" si="79"/>
        <v>Weekday</v>
      </c>
      <c r="W894" s="23" t="str">
        <f>VLOOKUP($M894,Lookups!$A$5:$B$8,2,FALSE())</f>
        <v>Mist / Cloudy</v>
      </c>
      <c r="X894" s="23" t="str">
        <f>VLOOKUP($G894,Lookups!$D$5:$E$8,2,FALSE())</f>
        <v>Winter</v>
      </c>
      <c r="Y894" s="23" t="str">
        <f>VLOOKUP($L894,Lookups!$G$5:$H$11,2,FALSE())</f>
        <v>Wednesday</v>
      </c>
      <c r="Z894" s="23" t="str">
        <f>IF($J894&lt;Lookups!$B$26,"Night",IF($J894&lt;Lookups!$B$27,"Morning",IF($J894&lt;Lookups!$B$28,"Afternoon","Evening")))</f>
        <v>Afternoon</v>
      </c>
      <c r="AA894" s="26">
        <f>ROUND($N894*(Lookups!$B$16-Lookups!$B$15)+Lookups!$B$15,1)</f>
        <v>1.4</v>
      </c>
      <c r="AB894" s="26">
        <f>ROUND($P894*(Lookups!$B$18-Lookups!$B$17)+Lookups!$B$17,1)</f>
        <v>-3</v>
      </c>
      <c r="AC894" s="23">
        <f t="shared" si="80"/>
        <v>37</v>
      </c>
      <c r="AD894" s="23">
        <f>ROUND($R894*Lookups!$B$19,1)</f>
        <v>17</v>
      </c>
      <c r="AE894" s="27">
        <f t="shared" si="81"/>
        <v>0.91139240506329111</v>
      </c>
      <c r="AF894" s="23" t="str">
        <f>IF($U894&gt;=Lookups!$B$23,"High",IF($U894&gt;=Lookups!$B$22,"Medium","Low"))</f>
        <v>Medium</v>
      </c>
      <c r="AG894" s="23">
        <f>ROUND(IF($V894="Weekday",IF(INDEX(Hourly_Analysis!$D$5:$D$28,$J894+1)&gt;0,($U894-INDEX(Hourly_Analysis!$C$5:$C$28,$J894+1))/INDEX(Hourly_Analysis!$D$5:$D$28,$J894+1),0),IF(INDEX(Hourly_Analysis!$G$5:$G$28,$J894+1)&gt;0,($U894-INDEX(Hourly_Analysis!$F$5:$F$28,$J894+1))/INDEX(Hourly_Analysis!$G$5:$G$28,$J894+1),0)),2)</f>
        <v>-0.17</v>
      </c>
      <c r="AH894" s="23" t="str">
        <f>IF(ABS($AG894)&gt;Lookups!$B$20,IF($AG894&gt;0,"High anomaly","Low anomaly"),"")</f>
        <v/>
      </c>
      <c r="AI894" s="23" t="str">
        <f t="shared" si="82"/>
        <v>OK</v>
      </c>
      <c r="AJ894" s="23" t="str">
        <f t="shared" si="83"/>
        <v>No</v>
      </c>
    </row>
    <row r="895" spans="1:36" x14ac:dyDescent="0.35">
      <c r="A895" s="23">
        <v>894</v>
      </c>
      <c r="B895" s="23" t="str">
        <f t="shared" si="78"/>
        <v>Dataset 3</v>
      </c>
      <c r="C895" s="23">
        <f>IFERROR(MATCH($A895,Merge_1_2!$A$2:$A$611,0),0)</f>
        <v>0</v>
      </c>
      <c r="D895" s="23">
        <f>IF($C895&gt;0,INDEX(Merge_1_2!$Q$2:$Q$611,$C895),0)</f>
        <v>0</v>
      </c>
      <c r="E895" s="23">
        <f>IFERROR(MATCH($A895,Dataset3_Raw!$A$2:$A$391,0),0)</f>
        <v>284</v>
      </c>
      <c r="F895" s="24">
        <f>IF($C895&gt;0,INDEX(Merge_1_2!$B$2:$B$611,$C895),DATE(VALUE(RIGHT(INDEX(Dataset3_Raw!$B$2:$B$391,$E895),4)),VALUE(MID(INDEX(Dataset3_Raw!$B$2:$B$391,$E895),4,2)),VALUE(LEFT(INDEX(Dataset3_Raw!$B$2:$B$391,$E895),2))))</f>
        <v>40583</v>
      </c>
      <c r="G895" s="23">
        <f>IF($C895&gt;0,INDEX(Merge_1_2!$C$2:$C$611,$C895),INDEX(Dataset3_Raw!$C$2:$C$391,$E895))</f>
        <v>1</v>
      </c>
      <c r="H895" s="23">
        <f>IF($C895&gt;0,INDEX(Merge_1_2!$D$2:$D$611,$C895),INDEX(Dataset3_Raw!$D$2:$D$391,$E895))</f>
        <v>0</v>
      </c>
      <c r="I895" s="23">
        <f>IF($C895&gt;0,INDEX(Merge_1_2!$E$2:$E$611,$C895),INDEX(Dataset3_Raw!$E$2:$E$391,$E895))</f>
        <v>2</v>
      </c>
      <c r="J895" s="23">
        <f>IF($C895&gt;0,INDEX(Merge_1_2!$F$2:$F$611,$C895),INDEX(Dataset3_Raw!$F$2:$F$391,$E895))</f>
        <v>17</v>
      </c>
      <c r="K895" s="23" t="b">
        <f>IF($C895&gt;0,INDEX(Merge_1_2!$G$2:$G$611,$C895),INDEX(Dataset3_Raw!$G$2:$G$391,$E895))</f>
        <v>0</v>
      </c>
      <c r="L895" s="23">
        <f>IF($C895&gt;0,INDEX(Merge_1_2!$H$2:$H$611,$C895),INDEX(Dataset3_Raw!$H$2:$H$391,$E895))</f>
        <v>3</v>
      </c>
      <c r="M895" s="23">
        <f>IF($C895&gt;0,INDEX(Merge_1_2!$I$2:$I$611,$C895),INDEX(Dataset3_Raw!$I$2:$I$391,$E895))</f>
        <v>2</v>
      </c>
      <c r="N895" s="25">
        <f>IF($C895&gt;0,INDEX(Merge_1_2!$J$2:$J$611,$C895),INDEX(Dataset3_Raw!$J$2:$J$391,$E895))</f>
        <v>0.2</v>
      </c>
      <c r="O895" s="25">
        <f>IF($C895&gt;0,IF(ISNUMBER(INDEX(Merge_1_2!$K$2:$K$611,$C895)),INDEX(Merge_1_2!$K$2:$K$611,$C895),""),INDEX(Dataset3_Raw!$K$2:$K$391,$E895))</f>
        <v>0.19700000000000001</v>
      </c>
      <c r="P895" s="25">
        <f>IF(ISNUMBER($O895),$O895,ROUND(Lookups!$B$25+Lookups!$B$24*$N895,4))</f>
        <v>0.19700000000000001</v>
      </c>
      <c r="Q895" s="25">
        <f>IF($C895&gt;0,INDEX(Merge_1_2!$L$2:$L$611,$C895),INDEX(Dataset3_Raw!$L$2:$L$391,$E895))</f>
        <v>0.34</v>
      </c>
      <c r="R895" s="25">
        <f>IF($C895&gt;0,INDEX(Merge_1_2!$M$2:$M$611,$C895),INDEX(Dataset3_Raw!$M$2:$M$391,$E895))</f>
        <v>0.25369999999999998</v>
      </c>
      <c r="S895" s="23">
        <f>IF($C895&gt;0,INDEX(Merge_1_2!$N$2:$N$611,$C895),INDEX(Dataset3_Raw!$N$2:$N$391,$E895))</f>
        <v>9</v>
      </c>
      <c r="T895" s="23">
        <f>IF($C895&gt;0,INDEX(Merge_1_2!$O$2:$O$611,$C895),INDEX(Dataset3_Raw!$O$2:$O$391,$E895))</f>
        <v>157</v>
      </c>
      <c r="U895" s="23">
        <f>IF($C895&gt;0,INDEX(Merge_1_2!$P$2:$P$611,$C895),INDEX(Dataset3_Raw!$P$2:$P$391,$E895))</f>
        <v>166</v>
      </c>
      <c r="V895" s="23" t="str">
        <f t="shared" si="79"/>
        <v>Weekday</v>
      </c>
      <c r="W895" s="23" t="str">
        <f>VLOOKUP($M895,Lookups!$A$5:$B$8,2,FALSE())</f>
        <v>Mist / Cloudy</v>
      </c>
      <c r="X895" s="23" t="str">
        <f>VLOOKUP($G895,Lookups!$D$5:$E$8,2,FALSE())</f>
        <v>Winter</v>
      </c>
      <c r="Y895" s="23" t="str">
        <f>VLOOKUP($L895,Lookups!$G$5:$H$11,2,FALSE())</f>
        <v>Wednesday</v>
      </c>
      <c r="Z895" s="23" t="str">
        <f>IF($J895&lt;Lookups!$B$26,"Night",IF($J895&lt;Lookups!$B$27,"Morning",IF($J895&lt;Lookups!$B$28,"Afternoon","Evening")))</f>
        <v>Afternoon</v>
      </c>
      <c r="AA895" s="26">
        <f>ROUND($N895*(Lookups!$B$16-Lookups!$B$15)+Lookups!$B$15,1)</f>
        <v>1.4</v>
      </c>
      <c r="AB895" s="26">
        <f>ROUND($P895*(Lookups!$B$18-Lookups!$B$17)+Lookups!$B$17,1)</f>
        <v>-3</v>
      </c>
      <c r="AC895" s="23">
        <f t="shared" si="80"/>
        <v>34</v>
      </c>
      <c r="AD895" s="23">
        <f>ROUND($R895*Lookups!$B$19,1)</f>
        <v>17</v>
      </c>
      <c r="AE895" s="27">
        <f t="shared" si="81"/>
        <v>0.94578313253012047</v>
      </c>
      <c r="AF895" s="23" t="str">
        <f>IF($U895&gt;=Lookups!$B$23,"High",IF($U895&gt;=Lookups!$B$22,"Medium","Low"))</f>
        <v>High</v>
      </c>
      <c r="AG895" s="23">
        <f>ROUND(IF($V895="Weekday",IF(INDEX(Hourly_Analysis!$D$5:$D$28,$J895+1)&gt;0,($U895-INDEX(Hourly_Analysis!$C$5:$C$28,$J895+1))/INDEX(Hourly_Analysis!$D$5:$D$28,$J895+1),0),IF(INDEX(Hourly_Analysis!$G$5:$G$28,$J895+1)&gt;0,($U895-INDEX(Hourly_Analysis!$F$5:$F$28,$J895+1))/INDEX(Hourly_Analysis!$G$5:$G$28,$J895+1),0)),2)</f>
        <v>-7.0000000000000007E-2</v>
      </c>
      <c r="AH895" s="23" t="str">
        <f>IF(ABS($AG895)&gt;Lookups!$B$20,IF($AG895&gt;0,"High anomaly","Low anomaly"),"")</f>
        <v/>
      </c>
      <c r="AI895" s="23" t="str">
        <f t="shared" si="82"/>
        <v>OK</v>
      </c>
      <c r="AJ895" s="23" t="str">
        <f t="shared" si="83"/>
        <v>No</v>
      </c>
    </row>
    <row r="896" spans="1:36" x14ac:dyDescent="0.35">
      <c r="A896" s="23">
        <v>895</v>
      </c>
      <c r="B896" s="23" t="str">
        <f t="shared" si="78"/>
        <v>Dataset 3</v>
      </c>
      <c r="C896" s="23">
        <f>IFERROR(MATCH($A896,Merge_1_2!$A$2:$A$611,0),0)</f>
        <v>0</v>
      </c>
      <c r="D896" s="23">
        <f>IF($C896&gt;0,INDEX(Merge_1_2!$Q$2:$Q$611,$C896),0)</f>
        <v>0</v>
      </c>
      <c r="E896" s="23">
        <f>IFERROR(MATCH($A896,Dataset3_Raw!$A$2:$A$391,0),0)</f>
        <v>285</v>
      </c>
      <c r="F896" s="24">
        <f>IF($C896&gt;0,INDEX(Merge_1_2!$B$2:$B$611,$C896),DATE(VALUE(RIGHT(INDEX(Dataset3_Raw!$B$2:$B$391,$E896),4)),VALUE(MID(INDEX(Dataset3_Raw!$B$2:$B$391,$E896),4,2)),VALUE(LEFT(INDEX(Dataset3_Raw!$B$2:$B$391,$E896),2))))</f>
        <v>40583</v>
      </c>
      <c r="G896" s="23">
        <f>IF($C896&gt;0,INDEX(Merge_1_2!$C$2:$C$611,$C896),INDEX(Dataset3_Raw!$C$2:$C$391,$E896))</f>
        <v>1</v>
      </c>
      <c r="H896" s="23">
        <f>IF($C896&gt;0,INDEX(Merge_1_2!$D$2:$D$611,$C896),INDEX(Dataset3_Raw!$D$2:$D$391,$E896))</f>
        <v>0</v>
      </c>
      <c r="I896" s="23">
        <f>IF($C896&gt;0,INDEX(Merge_1_2!$E$2:$E$611,$C896),INDEX(Dataset3_Raw!$E$2:$E$391,$E896))</f>
        <v>2</v>
      </c>
      <c r="J896" s="23">
        <f>IF($C896&gt;0,INDEX(Merge_1_2!$F$2:$F$611,$C896),INDEX(Dataset3_Raw!$F$2:$F$391,$E896))</f>
        <v>18</v>
      </c>
      <c r="K896" s="23" t="b">
        <f>IF($C896&gt;0,INDEX(Merge_1_2!$G$2:$G$611,$C896),INDEX(Dataset3_Raw!$G$2:$G$391,$E896))</f>
        <v>0</v>
      </c>
      <c r="L896" s="23">
        <f>IF($C896&gt;0,INDEX(Merge_1_2!$H$2:$H$611,$C896),INDEX(Dataset3_Raw!$H$2:$H$391,$E896))</f>
        <v>3</v>
      </c>
      <c r="M896" s="23">
        <f>IF($C896&gt;0,INDEX(Merge_1_2!$I$2:$I$611,$C896),INDEX(Dataset3_Raw!$I$2:$I$391,$E896))</f>
        <v>2</v>
      </c>
      <c r="N896" s="25">
        <f>IF($C896&gt;0,INDEX(Merge_1_2!$J$2:$J$611,$C896),INDEX(Dataset3_Raw!$J$2:$J$391,$E896))</f>
        <v>0.18</v>
      </c>
      <c r="O896" s="25">
        <f>IF($C896&gt;0,IF(ISNUMBER(INDEX(Merge_1_2!$K$2:$K$611,$C896)),INDEX(Merge_1_2!$K$2:$K$611,$C896),""),INDEX(Dataset3_Raw!$K$2:$K$391,$E896))</f>
        <v>0.16669999999999999</v>
      </c>
      <c r="P896" s="25">
        <f>IF(ISNUMBER($O896),$O896,ROUND(Lookups!$B$25+Lookups!$B$24*$N896,4))</f>
        <v>0.16669999999999999</v>
      </c>
      <c r="Q896" s="25">
        <f>IF($C896&gt;0,INDEX(Merge_1_2!$L$2:$L$611,$C896),INDEX(Dataset3_Raw!$L$2:$L$391,$E896))</f>
        <v>0.47</v>
      </c>
      <c r="R896" s="25">
        <f>IF($C896&gt;0,INDEX(Merge_1_2!$M$2:$M$611,$C896),INDEX(Dataset3_Raw!$M$2:$M$391,$E896))</f>
        <v>0.29849999999999999</v>
      </c>
      <c r="S896" s="23">
        <f>IF($C896&gt;0,INDEX(Merge_1_2!$N$2:$N$611,$C896),INDEX(Dataset3_Raw!$N$2:$N$391,$E896))</f>
        <v>2</v>
      </c>
      <c r="T896" s="23">
        <f>IF($C896&gt;0,INDEX(Merge_1_2!$O$2:$O$611,$C896),INDEX(Dataset3_Raw!$O$2:$O$391,$E896))</f>
        <v>168</v>
      </c>
      <c r="U896" s="23">
        <f>IF($C896&gt;0,INDEX(Merge_1_2!$P$2:$P$611,$C896),INDEX(Dataset3_Raw!$P$2:$P$391,$E896))</f>
        <v>170</v>
      </c>
      <c r="V896" s="23" t="str">
        <f t="shared" si="79"/>
        <v>Weekday</v>
      </c>
      <c r="W896" s="23" t="str">
        <f>VLOOKUP($M896,Lookups!$A$5:$B$8,2,FALSE())</f>
        <v>Mist / Cloudy</v>
      </c>
      <c r="X896" s="23" t="str">
        <f>VLOOKUP($G896,Lookups!$D$5:$E$8,2,FALSE())</f>
        <v>Winter</v>
      </c>
      <c r="Y896" s="23" t="str">
        <f>VLOOKUP($L896,Lookups!$G$5:$H$11,2,FALSE())</f>
        <v>Wednesday</v>
      </c>
      <c r="Z896" s="23" t="str">
        <f>IF($J896&lt;Lookups!$B$26,"Night",IF($J896&lt;Lookups!$B$27,"Morning",IF($J896&lt;Lookups!$B$28,"Afternoon","Evening")))</f>
        <v>Evening</v>
      </c>
      <c r="AA896" s="26">
        <f>ROUND($N896*(Lookups!$B$16-Lookups!$B$15)+Lookups!$B$15,1)</f>
        <v>0.5</v>
      </c>
      <c r="AB896" s="26">
        <f>ROUND($P896*(Lookups!$B$18-Lookups!$B$17)+Lookups!$B$17,1)</f>
        <v>-5</v>
      </c>
      <c r="AC896" s="23">
        <f t="shared" si="80"/>
        <v>47</v>
      </c>
      <c r="AD896" s="23">
        <f>ROUND($R896*Lookups!$B$19,1)</f>
        <v>20</v>
      </c>
      <c r="AE896" s="27">
        <f t="shared" si="81"/>
        <v>0.9882352941176471</v>
      </c>
      <c r="AF896" s="23" t="str">
        <f>IF($U896&gt;=Lookups!$B$23,"High",IF($U896&gt;=Lookups!$B$22,"Medium","Low"))</f>
        <v>High</v>
      </c>
      <c r="AG896" s="23">
        <f>ROUND(IF($V896="Weekday",IF(INDEX(Hourly_Analysis!$D$5:$D$28,$J896+1)&gt;0,($U896-INDEX(Hourly_Analysis!$C$5:$C$28,$J896+1))/INDEX(Hourly_Analysis!$D$5:$D$28,$J896+1),0),IF(INDEX(Hourly_Analysis!$G$5:$G$28,$J896+1)&gt;0,($U896-INDEX(Hourly_Analysis!$F$5:$F$28,$J896+1))/INDEX(Hourly_Analysis!$G$5:$G$28,$J896+1),0)),2)</f>
        <v>0.61</v>
      </c>
      <c r="AH896" s="23" t="str">
        <f>IF(ABS($AG896)&gt;Lookups!$B$20,IF($AG896&gt;0,"High anomaly","Low anomaly"),"")</f>
        <v/>
      </c>
      <c r="AI896" s="23" t="str">
        <f t="shared" si="82"/>
        <v>OK</v>
      </c>
      <c r="AJ896" s="23" t="str">
        <f t="shared" si="83"/>
        <v>No</v>
      </c>
    </row>
    <row r="897" spans="1:36" x14ac:dyDescent="0.35">
      <c r="A897" s="23">
        <v>896</v>
      </c>
      <c r="B897" s="23" t="str">
        <f t="shared" si="78"/>
        <v>Dataset 3</v>
      </c>
      <c r="C897" s="23">
        <f>IFERROR(MATCH($A897,Merge_1_2!$A$2:$A$611,0),0)</f>
        <v>0</v>
      </c>
      <c r="D897" s="23">
        <f>IF($C897&gt;0,INDEX(Merge_1_2!$Q$2:$Q$611,$C897),0)</f>
        <v>0</v>
      </c>
      <c r="E897" s="23">
        <f>IFERROR(MATCH($A897,Dataset3_Raw!$A$2:$A$391,0),0)</f>
        <v>286</v>
      </c>
      <c r="F897" s="24">
        <f>IF($C897&gt;0,INDEX(Merge_1_2!$B$2:$B$611,$C897),DATE(VALUE(RIGHT(INDEX(Dataset3_Raw!$B$2:$B$391,$E897),4)),VALUE(MID(INDEX(Dataset3_Raw!$B$2:$B$391,$E897),4,2)),VALUE(LEFT(INDEX(Dataset3_Raw!$B$2:$B$391,$E897),2))))</f>
        <v>40583</v>
      </c>
      <c r="G897" s="23">
        <f>IF($C897&gt;0,INDEX(Merge_1_2!$C$2:$C$611,$C897),INDEX(Dataset3_Raw!$C$2:$C$391,$E897))</f>
        <v>1</v>
      </c>
      <c r="H897" s="23">
        <f>IF($C897&gt;0,INDEX(Merge_1_2!$D$2:$D$611,$C897),INDEX(Dataset3_Raw!$D$2:$D$391,$E897))</f>
        <v>0</v>
      </c>
      <c r="I897" s="23">
        <f>IF($C897&gt;0,INDEX(Merge_1_2!$E$2:$E$611,$C897),INDEX(Dataset3_Raw!$E$2:$E$391,$E897))</f>
        <v>2</v>
      </c>
      <c r="J897" s="23">
        <f>IF($C897&gt;0,INDEX(Merge_1_2!$F$2:$F$611,$C897),INDEX(Dataset3_Raw!$F$2:$F$391,$E897))</f>
        <v>19</v>
      </c>
      <c r="K897" s="23" t="b">
        <f>IF($C897&gt;0,INDEX(Merge_1_2!$G$2:$G$611,$C897),INDEX(Dataset3_Raw!$G$2:$G$391,$E897))</f>
        <v>0</v>
      </c>
      <c r="L897" s="23">
        <f>IF($C897&gt;0,INDEX(Merge_1_2!$H$2:$H$611,$C897),INDEX(Dataset3_Raw!$H$2:$H$391,$E897))</f>
        <v>3</v>
      </c>
      <c r="M897" s="23">
        <f>IF($C897&gt;0,INDEX(Merge_1_2!$I$2:$I$611,$C897),INDEX(Dataset3_Raw!$I$2:$I$391,$E897))</f>
        <v>3</v>
      </c>
      <c r="N897" s="25">
        <f>IF($C897&gt;0,INDEX(Merge_1_2!$J$2:$J$611,$C897),INDEX(Dataset3_Raw!$J$2:$J$391,$E897))</f>
        <v>0.14000000000000001</v>
      </c>
      <c r="O897" s="25">
        <f>IF($C897&gt;0,IF(ISNUMBER(INDEX(Merge_1_2!$K$2:$K$611,$C897)),INDEX(Merge_1_2!$K$2:$K$611,$C897),""),INDEX(Dataset3_Raw!$K$2:$K$391,$E897))</f>
        <v>0.1212</v>
      </c>
      <c r="P897" s="25">
        <f>IF(ISNUMBER($O897),$O897,ROUND(Lookups!$B$25+Lookups!$B$24*$N897,4))</f>
        <v>0.1212</v>
      </c>
      <c r="Q897" s="25">
        <f>IF($C897&gt;0,INDEX(Merge_1_2!$L$2:$L$611,$C897),INDEX(Dataset3_Raw!$L$2:$L$391,$E897))</f>
        <v>0.86</v>
      </c>
      <c r="R897" s="25">
        <f>IF($C897&gt;0,INDEX(Merge_1_2!$M$2:$M$611,$C897),INDEX(Dataset3_Raw!$M$2:$M$391,$E897))</f>
        <v>0.25369999999999998</v>
      </c>
      <c r="S897" s="23">
        <f>IF($C897&gt;0,INDEX(Merge_1_2!$N$2:$N$611,$C897),INDEX(Dataset3_Raw!$N$2:$N$391,$E897))</f>
        <v>1</v>
      </c>
      <c r="T897" s="23">
        <f>IF($C897&gt;0,INDEX(Merge_1_2!$O$2:$O$611,$C897),INDEX(Dataset3_Raw!$O$2:$O$391,$E897))</f>
        <v>87</v>
      </c>
      <c r="U897" s="23">
        <f>IF($C897&gt;0,INDEX(Merge_1_2!$P$2:$P$611,$C897),INDEX(Dataset3_Raw!$P$2:$P$391,$E897))</f>
        <v>88</v>
      </c>
      <c r="V897" s="23" t="str">
        <f t="shared" si="79"/>
        <v>Weekday</v>
      </c>
      <c r="W897" s="23" t="str">
        <f>VLOOKUP($M897,Lookups!$A$5:$B$8,2,FALSE())</f>
        <v>Light snow / Light rain</v>
      </c>
      <c r="X897" s="23" t="str">
        <f>VLOOKUP($G897,Lookups!$D$5:$E$8,2,FALSE())</f>
        <v>Winter</v>
      </c>
      <c r="Y897" s="23" t="str">
        <f>VLOOKUP($L897,Lookups!$G$5:$H$11,2,FALSE())</f>
        <v>Wednesday</v>
      </c>
      <c r="Z897" s="23" t="str">
        <f>IF($J897&lt;Lookups!$B$26,"Night",IF($J897&lt;Lookups!$B$27,"Morning",IF($J897&lt;Lookups!$B$28,"Afternoon","Evening")))</f>
        <v>Evening</v>
      </c>
      <c r="AA897" s="26">
        <f>ROUND($N897*(Lookups!$B$16-Lookups!$B$15)+Lookups!$B$15,1)</f>
        <v>-1.4</v>
      </c>
      <c r="AB897" s="26">
        <f>ROUND($P897*(Lookups!$B$18-Lookups!$B$17)+Lookups!$B$17,1)</f>
        <v>-8</v>
      </c>
      <c r="AC897" s="23">
        <f t="shared" si="80"/>
        <v>86</v>
      </c>
      <c r="AD897" s="23">
        <f>ROUND($R897*Lookups!$B$19,1)</f>
        <v>17</v>
      </c>
      <c r="AE897" s="27">
        <f t="shared" si="81"/>
        <v>0.98863636363636365</v>
      </c>
      <c r="AF897" s="23" t="str">
        <f>IF($U897&gt;=Lookups!$B$23,"High",IF($U897&gt;=Lookups!$B$22,"Medium","Low"))</f>
        <v>High</v>
      </c>
      <c r="AG897" s="23">
        <f>ROUND(IF($V897="Weekday",IF(INDEX(Hourly_Analysis!$D$5:$D$28,$J897+1)&gt;0,($U897-INDEX(Hourly_Analysis!$C$5:$C$28,$J897+1))/INDEX(Hourly_Analysis!$D$5:$D$28,$J897+1),0),IF(INDEX(Hourly_Analysis!$G$5:$G$28,$J897+1)&gt;0,($U897-INDEX(Hourly_Analysis!$F$5:$F$28,$J897+1))/INDEX(Hourly_Analysis!$G$5:$G$28,$J897+1),0)),2)</f>
        <v>-0.78</v>
      </c>
      <c r="AH897" s="23" t="str">
        <f>IF(ABS($AG897)&gt;Lookups!$B$20,IF($AG897&gt;0,"High anomaly","Low anomaly"),"")</f>
        <v/>
      </c>
      <c r="AI897" s="23" t="str">
        <f t="shared" si="82"/>
        <v>OK</v>
      </c>
      <c r="AJ897" s="23" t="str">
        <f t="shared" si="83"/>
        <v>No</v>
      </c>
    </row>
    <row r="898" spans="1:36" x14ac:dyDescent="0.35">
      <c r="A898" s="23">
        <v>897</v>
      </c>
      <c r="B898" s="23" t="str">
        <f t="shared" ref="B898:B961" si="84">IF($C898&gt;0,"Merge 1+2","Dataset 3")</f>
        <v>Dataset 3</v>
      </c>
      <c r="C898" s="23">
        <f>IFERROR(MATCH($A898,Merge_1_2!$A$2:$A$611,0),0)</f>
        <v>0</v>
      </c>
      <c r="D898" s="23">
        <f>IF($C898&gt;0,INDEX(Merge_1_2!$Q$2:$Q$611,$C898),0)</f>
        <v>0</v>
      </c>
      <c r="E898" s="23">
        <f>IFERROR(MATCH($A898,Dataset3_Raw!$A$2:$A$391,0),0)</f>
        <v>287</v>
      </c>
      <c r="F898" s="24">
        <f>IF($C898&gt;0,INDEX(Merge_1_2!$B$2:$B$611,$C898),DATE(VALUE(RIGHT(INDEX(Dataset3_Raw!$B$2:$B$391,$E898),4)),VALUE(MID(INDEX(Dataset3_Raw!$B$2:$B$391,$E898),4,2)),VALUE(LEFT(INDEX(Dataset3_Raw!$B$2:$B$391,$E898),2))))</f>
        <v>40583</v>
      </c>
      <c r="G898" s="23">
        <f>IF($C898&gt;0,INDEX(Merge_1_2!$C$2:$C$611,$C898),INDEX(Dataset3_Raw!$C$2:$C$391,$E898))</f>
        <v>1</v>
      </c>
      <c r="H898" s="23">
        <f>IF($C898&gt;0,INDEX(Merge_1_2!$D$2:$D$611,$C898),INDEX(Dataset3_Raw!$D$2:$D$391,$E898))</f>
        <v>0</v>
      </c>
      <c r="I898" s="23">
        <f>IF($C898&gt;0,INDEX(Merge_1_2!$E$2:$E$611,$C898),INDEX(Dataset3_Raw!$E$2:$E$391,$E898))</f>
        <v>2</v>
      </c>
      <c r="J898" s="23">
        <f>IF($C898&gt;0,INDEX(Merge_1_2!$F$2:$F$611,$C898),INDEX(Dataset3_Raw!$F$2:$F$391,$E898))</f>
        <v>20</v>
      </c>
      <c r="K898" s="23" t="b">
        <f>IF($C898&gt;0,INDEX(Merge_1_2!$G$2:$G$611,$C898),INDEX(Dataset3_Raw!$G$2:$G$391,$E898))</f>
        <v>0</v>
      </c>
      <c r="L898" s="23">
        <f>IF($C898&gt;0,INDEX(Merge_1_2!$H$2:$H$611,$C898),INDEX(Dataset3_Raw!$H$2:$H$391,$E898))</f>
        <v>3</v>
      </c>
      <c r="M898" s="23">
        <f>IF($C898&gt;0,INDEX(Merge_1_2!$I$2:$I$611,$C898),INDEX(Dataset3_Raw!$I$2:$I$391,$E898))</f>
        <v>3</v>
      </c>
      <c r="N898" s="25">
        <f>IF($C898&gt;0,INDEX(Merge_1_2!$J$2:$J$611,$C898),INDEX(Dataset3_Raw!$J$2:$J$391,$E898))</f>
        <v>0.14000000000000001</v>
      </c>
      <c r="O898" s="25">
        <f>IF($C898&gt;0,IF(ISNUMBER(INDEX(Merge_1_2!$K$2:$K$611,$C898)),INDEX(Merge_1_2!$K$2:$K$611,$C898),""),INDEX(Dataset3_Raw!$K$2:$K$391,$E898))</f>
        <v>0.1515</v>
      </c>
      <c r="P898" s="25">
        <f>IF(ISNUMBER($O898),$O898,ROUND(Lookups!$B$25+Lookups!$B$24*$N898,4))</f>
        <v>0.1515</v>
      </c>
      <c r="Q898" s="25">
        <f>IF($C898&gt;0,INDEX(Merge_1_2!$L$2:$L$611,$C898),INDEX(Dataset3_Raw!$L$2:$L$391,$E898))</f>
        <v>0.86</v>
      </c>
      <c r="R898" s="25">
        <f>IF($C898&gt;0,INDEX(Merge_1_2!$M$2:$M$611,$C898),INDEX(Dataset3_Raw!$M$2:$M$391,$E898))</f>
        <v>0.16420000000000001</v>
      </c>
      <c r="S898" s="23">
        <f>IF($C898&gt;0,INDEX(Merge_1_2!$N$2:$N$611,$C898),INDEX(Dataset3_Raw!$N$2:$N$391,$E898))</f>
        <v>0</v>
      </c>
      <c r="T898" s="23">
        <f>IF($C898&gt;0,INDEX(Merge_1_2!$O$2:$O$611,$C898),INDEX(Dataset3_Raw!$O$2:$O$391,$E898))</f>
        <v>84</v>
      </c>
      <c r="U898" s="23">
        <f>IF($C898&gt;0,INDEX(Merge_1_2!$P$2:$P$611,$C898),INDEX(Dataset3_Raw!$P$2:$P$391,$E898))</f>
        <v>84</v>
      </c>
      <c r="V898" s="23" t="str">
        <f t="shared" ref="V898:V961" si="85">IF($K898,"Holiday",IF(OR($L898=0,$L898=6),"Weekend","Weekday"))</f>
        <v>Weekday</v>
      </c>
      <c r="W898" s="23" t="str">
        <f>VLOOKUP($M898,Lookups!$A$5:$B$8,2,FALSE())</f>
        <v>Light snow / Light rain</v>
      </c>
      <c r="X898" s="23" t="str">
        <f>VLOOKUP($G898,Lookups!$D$5:$E$8,2,FALSE())</f>
        <v>Winter</v>
      </c>
      <c r="Y898" s="23" t="str">
        <f>VLOOKUP($L898,Lookups!$G$5:$H$11,2,FALSE())</f>
        <v>Wednesday</v>
      </c>
      <c r="Z898" s="23" t="str">
        <f>IF($J898&lt;Lookups!$B$26,"Night",IF($J898&lt;Lookups!$B$27,"Morning",IF($J898&lt;Lookups!$B$28,"Afternoon","Evening")))</f>
        <v>Evening</v>
      </c>
      <c r="AA898" s="26">
        <f>ROUND($N898*(Lookups!$B$16-Lookups!$B$15)+Lookups!$B$15,1)</f>
        <v>-1.4</v>
      </c>
      <c r="AB898" s="26">
        <f>ROUND($P898*(Lookups!$B$18-Lookups!$B$17)+Lookups!$B$17,1)</f>
        <v>-6</v>
      </c>
      <c r="AC898" s="23">
        <f t="shared" ref="AC898:AC961" si="86">ROUND($Q898*100,0)</f>
        <v>86</v>
      </c>
      <c r="AD898" s="23">
        <f>ROUND($R898*Lookups!$B$19,1)</f>
        <v>11</v>
      </c>
      <c r="AE898" s="27">
        <f t="shared" ref="AE898:AE961" si="87">IF($U898&gt;0,$T898/$U898,0)</f>
        <v>1</v>
      </c>
      <c r="AF898" s="23" t="str">
        <f>IF($U898&gt;=Lookups!$B$23,"High",IF($U898&gt;=Lookups!$B$22,"Medium","Low"))</f>
        <v>High</v>
      </c>
      <c r="AG898" s="23">
        <f>ROUND(IF($V898="Weekday",IF(INDEX(Hourly_Analysis!$D$5:$D$28,$J898+1)&gt;0,($U898-INDEX(Hourly_Analysis!$C$5:$C$28,$J898+1))/INDEX(Hourly_Analysis!$D$5:$D$28,$J898+1),0),IF(INDEX(Hourly_Analysis!$G$5:$G$28,$J898+1)&gt;0,($U898-INDEX(Hourly_Analysis!$F$5:$F$28,$J898+1))/INDEX(Hourly_Analysis!$G$5:$G$28,$J898+1),0)),2)</f>
        <v>0.49</v>
      </c>
      <c r="AH898" s="23" t="str">
        <f>IF(ABS($AG898)&gt;Lookups!$B$20,IF($AG898&gt;0,"High anomaly","Low anomaly"),"")</f>
        <v/>
      </c>
      <c r="AI898" s="23" t="str">
        <f t="shared" ref="AI898:AI961" si="88">IF($S898+$T898=$U898,"OK","Mismatch")</f>
        <v>OK</v>
      </c>
      <c r="AJ898" s="23" t="str">
        <f t="shared" ref="AJ898:AJ961" si="89">IF(ISNUMBER($O898),"No","Yes")</f>
        <v>No</v>
      </c>
    </row>
    <row r="899" spans="1:36" x14ac:dyDescent="0.35">
      <c r="A899" s="23">
        <v>898</v>
      </c>
      <c r="B899" s="23" t="str">
        <f t="shared" si="84"/>
        <v>Dataset 3</v>
      </c>
      <c r="C899" s="23">
        <f>IFERROR(MATCH($A899,Merge_1_2!$A$2:$A$611,0),0)</f>
        <v>0</v>
      </c>
      <c r="D899" s="23">
        <f>IF($C899&gt;0,INDEX(Merge_1_2!$Q$2:$Q$611,$C899),0)</f>
        <v>0</v>
      </c>
      <c r="E899" s="23">
        <f>IFERROR(MATCH($A899,Dataset3_Raw!$A$2:$A$391,0),0)</f>
        <v>288</v>
      </c>
      <c r="F899" s="24">
        <f>IF($C899&gt;0,INDEX(Merge_1_2!$B$2:$B$611,$C899),DATE(VALUE(RIGHT(INDEX(Dataset3_Raw!$B$2:$B$391,$E899),4)),VALUE(MID(INDEX(Dataset3_Raw!$B$2:$B$391,$E899),4,2)),VALUE(LEFT(INDEX(Dataset3_Raw!$B$2:$B$391,$E899),2))))</f>
        <v>40583</v>
      </c>
      <c r="G899" s="23">
        <f>IF($C899&gt;0,INDEX(Merge_1_2!$C$2:$C$611,$C899),INDEX(Dataset3_Raw!$C$2:$C$391,$E899))</f>
        <v>1</v>
      </c>
      <c r="H899" s="23">
        <f>IF($C899&gt;0,INDEX(Merge_1_2!$D$2:$D$611,$C899),INDEX(Dataset3_Raw!$D$2:$D$391,$E899))</f>
        <v>0</v>
      </c>
      <c r="I899" s="23">
        <f>IF($C899&gt;0,INDEX(Merge_1_2!$E$2:$E$611,$C899),INDEX(Dataset3_Raw!$E$2:$E$391,$E899))</f>
        <v>2</v>
      </c>
      <c r="J899" s="23">
        <f>IF($C899&gt;0,INDEX(Merge_1_2!$F$2:$F$611,$C899),INDEX(Dataset3_Raw!$F$2:$F$391,$E899))</f>
        <v>21</v>
      </c>
      <c r="K899" s="23" t="b">
        <f>IF($C899&gt;0,INDEX(Merge_1_2!$G$2:$G$611,$C899),INDEX(Dataset3_Raw!$G$2:$G$391,$E899))</f>
        <v>0</v>
      </c>
      <c r="L899" s="23">
        <f>IF($C899&gt;0,INDEX(Merge_1_2!$H$2:$H$611,$C899),INDEX(Dataset3_Raw!$H$2:$H$391,$E899))</f>
        <v>3</v>
      </c>
      <c r="M899" s="23">
        <f>IF($C899&gt;0,INDEX(Merge_1_2!$I$2:$I$611,$C899),INDEX(Dataset3_Raw!$I$2:$I$391,$E899))</f>
        <v>2</v>
      </c>
      <c r="N899" s="25">
        <f>IF($C899&gt;0,INDEX(Merge_1_2!$J$2:$J$611,$C899),INDEX(Dataset3_Raw!$J$2:$J$391,$E899))</f>
        <v>0.14000000000000001</v>
      </c>
      <c r="O899" s="25">
        <f>IF($C899&gt;0,IF(ISNUMBER(INDEX(Merge_1_2!$K$2:$K$611,$C899)),INDEX(Merge_1_2!$K$2:$K$611,$C899),""),INDEX(Dataset3_Raw!$K$2:$K$391,$E899))</f>
        <v>0.1515</v>
      </c>
      <c r="P899" s="25">
        <f>IF(ISNUMBER($O899),$O899,ROUND(Lookups!$B$25+Lookups!$B$24*$N899,4))</f>
        <v>0.1515</v>
      </c>
      <c r="Q899" s="25">
        <f>IF($C899&gt;0,INDEX(Merge_1_2!$L$2:$L$611,$C899),INDEX(Dataset3_Raw!$L$2:$L$391,$E899))</f>
        <v>0.86</v>
      </c>
      <c r="R899" s="25">
        <f>IF($C899&gt;0,INDEX(Merge_1_2!$M$2:$M$611,$C899),INDEX(Dataset3_Raw!$M$2:$M$391,$E899))</f>
        <v>0.16420000000000001</v>
      </c>
      <c r="S899" s="23">
        <f>IF($C899&gt;0,INDEX(Merge_1_2!$N$2:$N$611,$C899),INDEX(Dataset3_Raw!$N$2:$N$391,$E899))</f>
        <v>0</v>
      </c>
      <c r="T899" s="23">
        <f>IF($C899&gt;0,INDEX(Merge_1_2!$O$2:$O$611,$C899),INDEX(Dataset3_Raw!$O$2:$O$391,$E899))</f>
        <v>83</v>
      </c>
      <c r="U899" s="23">
        <f>IF($C899&gt;0,INDEX(Merge_1_2!$P$2:$P$611,$C899),INDEX(Dataset3_Raw!$P$2:$P$391,$E899))</f>
        <v>83</v>
      </c>
      <c r="V899" s="23" t="str">
        <f t="shared" si="85"/>
        <v>Weekday</v>
      </c>
      <c r="W899" s="23" t="str">
        <f>VLOOKUP($M899,Lookups!$A$5:$B$8,2,FALSE())</f>
        <v>Mist / Cloudy</v>
      </c>
      <c r="X899" s="23" t="str">
        <f>VLOOKUP($G899,Lookups!$D$5:$E$8,2,FALSE())</f>
        <v>Winter</v>
      </c>
      <c r="Y899" s="23" t="str">
        <f>VLOOKUP($L899,Lookups!$G$5:$H$11,2,FALSE())</f>
        <v>Wednesday</v>
      </c>
      <c r="Z899" s="23" t="str">
        <f>IF($J899&lt;Lookups!$B$26,"Night",IF($J899&lt;Lookups!$B$27,"Morning",IF($J899&lt;Lookups!$B$28,"Afternoon","Evening")))</f>
        <v>Evening</v>
      </c>
      <c r="AA899" s="26">
        <f>ROUND($N899*(Lookups!$B$16-Lookups!$B$15)+Lookups!$B$15,1)</f>
        <v>-1.4</v>
      </c>
      <c r="AB899" s="26">
        <f>ROUND($P899*(Lookups!$B$18-Lookups!$B$17)+Lookups!$B$17,1)</f>
        <v>-6</v>
      </c>
      <c r="AC899" s="23">
        <f t="shared" si="86"/>
        <v>86</v>
      </c>
      <c r="AD899" s="23">
        <f>ROUND($R899*Lookups!$B$19,1)</f>
        <v>11</v>
      </c>
      <c r="AE899" s="27">
        <f t="shared" si="87"/>
        <v>1</v>
      </c>
      <c r="AF899" s="23" t="str">
        <f>IF($U899&gt;=Lookups!$B$23,"High",IF($U899&gt;=Lookups!$B$22,"Medium","Low"))</f>
        <v>High</v>
      </c>
      <c r="AG899" s="23">
        <f>ROUND(IF($V899="Weekday",IF(INDEX(Hourly_Analysis!$D$5:$D$28,$J899+1)&gt;0,($U899-INDEX(Hourly_Analysis!$C$5:$C$28,$J899+1))/INDEX(Hourly_Analysis!$D$5:$D$28,$J899+1),0),IF(INDEX(Hourly_Analysis!$G$5:$G$28,$J899+1)&gt;0,($U899-INDEX(Hourly_Analysis!$F$5:$F$28,$J899+1))/INDEX(Hourly_Analysis!$G$5:$G$28,$J899+1),0)),2)</f>
        <v>2.36</v>
      </c>
      <c r="AH899" s="23" t="str">
        <f>IF(ABS($AG899)&gt;Lookups!$B$20,IF($AG899&gt;0,"High anomaly","Low anomaly"),"")</f>
        <v/>
      </c>
      <c r="AI899" s="23" t="str">
        <f t="shared" si="88"/>
        <v>OK</v>
      </c>
      <c r="AJ899" s="23" t="str">
        <f t="shared" si="89"/>
        <v>No</v>
      </c>
    </row>
    <row r="900" spans="1:36" x14ac:dyDescent="0.35">
      <c r="A900" s="23">
        <v>899</v>
      </c>
      <c r="B900" s="23" t="str">
        <f t="shared" si="84"/>
        <v>Dataset 3</v>
      </c>
      <c r="C900" s="23">
        <f>IFERROR(MATCH($A900,Merge_1_2!$A$2:$A$611,0),0)</f>
        <v>0</v>
      </c>
      <c r="D900" s="23">
        <f>IF($C900&gt;0,INDEX(Merge_1_2!$Q$2:$Q$611,$C900),0)</f>
        <v>0</v>
      </c>
      <c r="E900" s="23">
        <f>IFERROR(MATCH($A900,Dataset3_Raw!$A$2:$A$391,0),0)</f>
        <v>289</v>
      </c>
      <c r="F900" s="24">
        <f>IF($C900&gt;0,INDEX(Merge_1_2!$B$2:$B$611,$C900),DATE(VALUE(RIGHT(INDEX(Dataset3_Raw!$B$2:$B$391,$E900),4)),VALUE(MID(INDEX(Dataset3_Raw!$B$2:$B$391,$E900),4,2)),VALUE(LEFT(INDEX(Dataset3_Raw!$B$2:$B$391,$E900),2))))</f>
        <v>40583</v>
      </c>
      <c r="G900" s="23">
        <f>IF($C900&gt;0,INDEX(Merge_1_2!$C$2:$C$611,$C900),INDEX(Dataset3_Raw!$C$2:$C$391,$E900))</f>
        <v>1</v>
      </c>
      <c r="H900" s="23">
        <f>IF($C900&gt;0,INDEX(Merge_1_2!$D$2:$D$611,$C900),INDEX(Dataset3_Raw!$D$2:$D$391,$E900))</f>
        <v>0</v>
      </c>
      <c r="I900" s="23">
        <f>IF($C900&gt;0,INDEX(Merge_1_2!$E$2:$E$611,$C900),INDEX(Dataset3_Raw!$E$2:$E$391,$E900))</f>
        <v>2</v>
      </c>
      <c r="J900" s="23">
        <f>IF($C900&gt;0,INDEX(Merge_1_2!$F$2:$F$611,$C900),INDEX(Dataset3_Raw!$F$2:$F$391,$E900))</f>
        <v>22</v>
      </c>
      <c r="K900" s="23" t="b">
        <f>IF($C900&gt;0,INDEX(Merge_1_2!$G$2:$G$611,$C900),INDEX(Dataset3_Raw!$G$2:$G$391,$E900))</f>
        <v>0</v>
      </c>
      <c r="L900" s="23">
        <f>IF($C900&gt;0,INDEX(Merge_1_2!$H$2:$H$611,$C900),INDEX(Dataset3_Raw!$H$2:$H$391,$E900))</f>
        <v>3</v>
      </c>
      <c r="M900" s="23">
        <f>IF($C900&gt;0,INDEX(Merge_1_2!$I$2:$I$611,$C900),INDEX(Dataset3_Raw!$I$2:$I$391,$E900))</f>
        <v>3</v>
      </c>
      <c r="N900" s="25">
        <f>IF($C900&gt;0,INDEX(Merge_1_2!$J$2:$J$611,$C900),INDEX(Dataset3_Raw!$J$2:$J$391,$E900))</f>
        <v>0.16</v>
      </c>
      <c r="O900" s="25">
        <f>IF($C900&gt;0,IF(ISNUMBER(INDEX(Merge_1_2!$K$2:$K$611,$C900)),INDEX(Merge_1_2!$K$2:$K$611,$C900),""),INDEX(Dataset3_Raw!$K$2:$K$391,$E900))</f>
        <v>0.16669999999999999</v>
      </c>
      <c r="P900" s="25">
        <f>IF(ISNUMBER($O900),$O900,ROUND(Lookups!$B$25+Lookups!$B$24*$N900,4))</f>
        <v>0.16669999999999999</v>
      </c>
      <c r="Q900" s="25">
        <f>IF($C900&gt;0,INDEX(Merge_1_2!$L$2:$L$611,$C900),INDEX(Dataset3_Raw!$L$2:$L$391,$E900))</f>
        <v>0.8</v>
      </c>
      <c r="R900" s="25">
        <f>IF($C900&gt;0,INDEX(Merge_1_2!$M$2:$M$611,$C900),INDEX(Dataset3_Raw!$M$2:$M$391,$E900))</f>
        <v>0.16420000000000001</v>
      </c>
      <c r="S900" s="23">
        <f>IF($C900&gt;0,INDEX(Merge_1_2!$N$2:$N$611,$C900),INDEX(Dataset3_Raw!$N$2:$N$391,$E900))</f>
        <v>4</v>
      </c>
      <c r="T900" s="23">
        <f>IF($C900&gt;0,INDEX(Merge_1_2!$O$2:$O$611,$C900),INDEX(Dataset3_Raw!$O$2:$O$391,$E900))</f>
        <v>42</v>
      </c>
      <c r="U900" s="23">
        <f>IF($C900&gt;0,INDEX(Merge_1_2!$P$2:$P$611,$C900),INDEX(Dataset3_Raw!$P$2:$P$391,$E900))</f>
        <v>46</v>
      </c>
      <c r="V900" s="23" t="str">
        <f t="shared" si="85"/>
        <v>Weekday</v>
      </c>
      <c r="W900" s="23" t="str">
        <f>VLOOKUP($M900,Lookups!$A$5:$B$8,2,FALSE())</f>
        <v>Light snow / Light rain</v>
      </c>
      <c r="X900" s="23" t="str">
        <f>VLOOKUP($G900,Lookups!$D$5:$E$8,2,FALSE())</f>
        <v>Winter</v>
      </c>
      <c r="Y900" s="23" t="str">
        <f>VLOOKUP($L900,Lookups!$G$5:$H$11,2,FALSE())</f>
        <v>Wednesday</v>
      </c>
      <c r="Z900" s="23" t="str">
        <f>IF($J900&lt;Lookups!$B$26,"Night",IF($J900&lt;Lookups!$B$27,"Morning",IF($J900&lt;Lookups!$B$28,"Afternoon","Evening")))</f>
        <v>Evening</v>
      </c>
      <c r="AA900" s="26">
        <f>ROUND($N900*(Lookups!$B$16-Lookups!$B$15)+Lookups!$B$15,1)</f>
        <v>-0.5</v>
      </c>
      <c r="AB900" s="26">
        <f>ROUND($P900*(Lookups!$B$18-Lookups!$B$17)+Lookups!$B$17,1)</f>
        <v>-5</v>
      </c>
      <c r="AC900" s="23">
        <f t="shared" si="86"/>
        <v>80</v>
      </c>
      <c r="AD900" s="23">
        <f>ROUND($R900*Lookups!$B$19,1)</f>
        <v>11</v>
      </c>
      <c r="AE900" s="27">
        <f t="shared" si="87"/>
        <v>0.91304347826086951</v>
      </c>
      <c r="AF900" s="23" t="str">
        <f>IF($U900&gt;=Lookups!$B$23,"High",IF($U900&gt;=Lookups!$B$22,"Medium","Low"))</f>
        <v>Medium</v>
      </c>
      <c r="AG900" s="23">
        <f>ROUND(IF($V900="Weekday",IF(INDEX(Hourly_Analysis!$D$5:$D$28,$J900+1)&gt;0,($U900-INDEX(Hourly_Analysis!$C$5:$C$28,$J900+1))/INDEX(Hourly_Analysis!$D$5:$D$28,$J900+1),0),IF(INDEX(Hourly_Analysis!$G$5:$G$28,$J900+1)&gt;0,($U900-INDEX(Hourly_Analysis!$F$5:$F$28,$J900+1))/INDEX(Hourly_Analysis!$G$5:$G$28,$J900+1),0)),2)</f>
        <v>0.81</v>
      </c>
      <c r="AH900" s="23" t="str">
        <f>IF(ABS($AG900)&gt;Lookups!$B$20,IF($AG900&gt;0,"High anomaly","Low anomaly"),"")</f>
        <v/>
      </c>
      <c r="AI900" s="23" t="str">
        <f t="shared" si="88"/>
        <v>OK</v>
      </c>
      <c r="AJ900" s="23" t="str">
        <f t="shared" si="89"/>
        <v>No</v>
      </c>
    </row>
    <row r="901" spans="1:36" x14ac:dyDescent="0.35">
      <c r="A901" s="23">
        <v>900</v>
      </c>
      <c r="B901" s="23" t="str">
        <f t="shared" si="84"/>
        <v>Dataset 3</v>
      </c>
      <c r="C901" s="23">
        <f>IFERROR(MATCH($A901,Merge_1_2!$A$2:$A$611,0),0)</f>
        <v>0</v>
      </c>
      <c r="D901" s="23">
        <f>IF($C901&gt;0,INDEX(Merge_1_2!$Q$2:$Q$611,$C901),0)</f>
        <v>0</v>
      </c>
      <c r="E901" s="23">
        <f>IFERROR(MATCH($A901,Dataset3_Raw!$A$2:$A$391,0),0)</f>
        <v>290</v>
      </c>
      <c r="F901" s="24">
        <f>IF($C901&gt;0,INDEX(Merge_1_2!$B$2:$B$611,$C901),DATE(VALUE(RIGHT(INDEX(Dataset3_Raw!$B$2:$B$391,$E901),4)),VALUE(MID(INDEX(Dataset3_Raw!$B$2:$B$391,$E901),4,2)),VALUE(LEFT(INDEX(Dataset3_Raw!$B$2:$B$391,$E901),2))))</f>
        <v>40583</v>
      </c>
      <c r="G901" s="23">
        <f>IF($C901&gt;0,INDEX(Merge_1_2!$C$2:$C$611,$C901),INDEX(Dataset3_Raw!$C$2:$C$391,$E901))</f>
        <v>1</v>
      </c>
      <c r="H901" s="23">
        <f>IF($C901&gt;0,INDEX(Merge_1_2!$D$2:$D$611,$C901),INDEX(Dataset3_Raw!$D$2:$D$391,$E901))</f>
        <v>0</v>
      </c>
      <c r="I901" s="23">
        <f>IF($C901&gt;0,INDEX(Merge_1_2!$E$2:$E$611,$C901),INDEX(Dataset3_Raw!$E$2:$E$391,$E901))</f>
        <v>2</v>
      </c>
      <c r="J901" s="23">
        <f>IF($C901&gt;0,INDEX(Merge_1_2!$F$2:$F$611,$C901),INDEX(Dataset3_Raw!$F$2:$F$391,$E901))</f>
        <v>23</v>
      </c>
      <c r="K901" s="23" t="b">
        <f>IF($C901&gt;0,INDEX(Merge_1_2!$G$2:$G$611,$C901),INDEX(Dataset3_Raw!$G$2:$G$391,$E901))</f>
        <v>0</v>
      </c>
      <c r="L901" s="23">
        <f>IF($C901&gt;0,INDEX(Merge_1_2!$H$2:$H$611,$C901),INDEX(Dataset3_Raw!$H$2:$H$391,$E901))</f>
        <v>3</v>
      </c>
      <c r="M901" s="23">
        <f>IF($C901&gt;0,INDEX(Merge_1_2!$I$2:$I$611,$C901),INDEX(Dataset3_Raw!$I$2:$I$391,$E901))</f>
        <v>3</v>
      </c>
      <c r="N901" s="25">
        <f>IF($C901&gt;0,INDEX(Merge_1_2!$J$2:$J$611,$C901),INDEX(Dataset3_Raw!$J$2:$J$391,$E901))</f>
        <v>0.16</v>
      </c>
      <c r="O901" s="25">
        <f>IF($C901&gt;0,IF(ISNUMBER(INDEX(Merge_1_2!$K$2:$K$611,$C901)),INDEX(Merge_1_2!$K$2:$K$611,$C901),""),INDEX(Dataset3_Raw!$K$2:$K$391,$E901))</f>
        <v>0.1515</v>
      </c>
      <c r="P901" s="25">
        <f>IF(ISNUMBER($O901),$O901,ROUND(Lookups!$B$25+Lookups!$B$24*$N901,4))</f>
        <v>0.1515</v>
      </c>
      <c r="Q901" s="25">
        <f>IF($C901&gt;0,INDEX(Merge_1_2!$L$2:$L$611,$C901),INDEX(Dataset3_Raw!$L$2:$L$391,$E901))</f>
        <v>0.8</v>
      </c>
      <c r="R901" s="25">
        <f>IF($C901&gt;0,INDEX(Merge_1_2!$M$2:$M$611,$C901),INDEX(Dataset3_Raw!$M$2:$M$391,$E901))</f>
        <v>0.19400000000000001</v>
      </c>
      <c r="S901" s="23">
        <f>IF($C901&gt;0,INDEX(Merge_1_2!$N$2:$N$611,$C901),INDEX(Dataset3_Raw!$N$2:$N$391,$E901))</f>
        <v>0</v>
      </c>
      <c r="T901" s="23">
        <f>IF($C901&gt;0,INDEX(Merge_1_2!$O$2:$O$611,$C901),INDEX(Dataset3_Raw!$O$2:$O$391,$E901))</f>
        <v>37</v>
      </c>
      <c r="U901" s="23">
        <f>IF($C901&gt;0,INDEX(Merge_1_2!$P$2:$P$611,$C901),INDEX(Dataset3_Raw!$P$2:$P$391,$E901))</f>
        <v>37</v>
      </c>
      <c r="V901" s="23" t="str">
        <f t="shared" si="85"/>
        <v>Weekday</v>
      </c>
      <c r="W901" s="23" t="str">
        <f>VLOOKUP($M901,Lookups!$A$5:$B$8,2,FALSE())</f>
        <v>Light snow / Light rain</v>
      </c>
      <c r="X901" s="23" t="str">
        <f>VLOOKUP($G901,Lookups!$D$5:$E$8,2,FALSE())</f>
        <v>Winter</v>
      </c>
      <c r="Y901" s="23" t="str">
        <f>VLOOKUP($L901,Lookups!$G$5:$H$11,2,FALSE())</f>
        <v>Wednesday</v>
      </c>
      <c r="Z901" s="23" t="str">
        <f>IF($J901&lt;Lookups!$B$26,"Night",IF($J901&lt;Lookups!$B$27,"Morning",IF($J901&lt;Lookups!$B$28,"Afternoon","Evening")))</f>
        <v>Evening</v>
      </c>
      <c r="AA901" s="26">
        <f>ROUND($N901*(Lookups!$B$16-Lookups!$B$15)+Lookups!$B$15,1)</f>
        <v>-0.5</v>
      </c>
      <c r="AB901" s="26">
        <f>ROUND($P901*(Lookups!$B$18-Lookups!$B$17)+Lookups!$B$17,1)</f>
        <v>-6</v>
      </c>
      <c r="AC901" s="23">
        <f t="shared" si="86"/>
        <v>80</v>
      </c>
      <c r="AD901" s="23">
        <f>ROUND($R901*Lookups!$B$19,1)</f>
        <v>13</v>
      </c>
      <c r="AE901" s="27">
        <f t="shared" si="87"/>
        <v>1</v>
      </c>
      <c r="AF901" s="23" t="str">
        <f>IF($U901&gt;=Lookups!$B$23,"High",IF($U901&gt;=Lookups!$B$22,"Medium","Low"))</f>
        <v>Medium</v>
      </c>
      <c r="AG901" s="23">
        <f>ROUND(IF($V901="Weekday",IF(INDEX(Hourly_Analysis!$D$5:$D$28,$J901+1)&gt;0,($U901-INDEX(Hourly_Analysis!$C$5:$C$28,$J901+1))/INDEX(Hourly_Analysis!$D$5:$D$28,$J901+1),0),IF(INDEX(Hourly_Analysis!$G$5:$G$28,$J901+1)&gt;0,($U901-INDEX(Hourly_Analysis!$F$5:$F$28,$J901+1))/INDEX(Hourly_Analysis!$G$5:$G$28,$J901+1),0)),2)</f>
        <v>1.27</v>
      </c>
      <c r="AH901" s="23" t="str">
        <f>IF(ABS($AG901)&gt;Lookups!$B$20,IF($AG901&gt;0,"High anomaly","Low anomaly"),"")</f>
        <v/>
      </c>
      <c r="AI901" s="23" t="str">
        <f t="shared" si="88"/>
        <v>OK</v>
      </c>
      <c r="AJ901" s="23" t="str">
        <f t="shared" si="89"/>
        <v>No</v>
      </c>
    </row>
    <row r="902" spans="1:36" x14ac:dyDescent="0.35">
      <c r="A902" s="23">
        <v>901</v>
      </c>
      <c r="B902" s="23" t="str">
        <f t="shared" si="84"/>
        <v>Dataset 3</v>
      </c>
      <c r="C902" s="23">
        <f>IFERROR(MATCH($A902,Merge_1_2!$A$2:$A$611,0),0)</f>
        <v>0</v>
      </c>
      <c r="D902" s="23">
        <f>IF($C902&gt;0,INDEX(Merge_1_2!$Q$2:$Q$611,$C902),0)</f>
        <v>0</v>
      </c>
      <c r="E902" s="23">
        <f>IFERROR(MATCH($A902,Dataset3_Raw!$A$2:$A$391,0),0)</f>
        <v>291</v>
      </c>
      <c r="F902" s="24">
        <f>IF($C902&gt;0,INDEX(Merge_1_2!$B$2:$B$611,$C902),DATE(VALUE(RIGHT(INDEX(Dataset3_Raw!$B$2:$B$391,$E902),4)),VALUE(MID(INDEX(Dataset3_Raw!$B$2:$B$391,$E902),4,2)),VALUE(LEFT(INDEX(Dataset3_Raw!$B$2:$B$391,$E902),2))))</f>
        <v>40584</v>
      </c>
      <c r="G902" s="23">
        <f>IF($C902&gt;0,INDEX(Merge_1_2!$C$2:$C$611,$C902),INDEX(Dataset3_Raw!$C$2:$C$391,$E902))</f>
        <v>1</v>
      </c>
      <c r="H902" s="23">
        <f>IF($C902&gt;0,INDEX(Merge_1_2!$D$2:$D$611,$C902),INDEX(Dataset3_Raw!$D$2:$D$391,$E902))</f>
        <v>0</v>
      </c>
      <c r="I902" s="23">
        <f>IF($C902&gt;0,INDEX(Merge_1_2!$E$2:$E$611,$C902),INDEX(Dataset3_Raw!$E$2:$E$391,$E902))</f>
        <v>2</v>
      </c>
      <c r="J902" s="23">
        <f>IF($C902&gt;0,INDEX(Merge_1_2!$F$2:$F$611,$C902),INDEX(Dataset3_Raw!$F$2:$F$391,$E902))</f>
        <v>0</v>
      </c>
      <c r="K902" s="23" t="b">
        <f>IF($C902&gt;0,INDEX(Merge_1_2!$G$2:$G$611,$C902),INDEX(Dataset3_Raw!$G$2:$G$391,$E902))</f>
        <v>0</v>
      </c>
      <c r="L902" s="23">
        <f>IF($C902&gt;0,INDEX(Merge_1_2!$H$2:$H$611,$C902),INDEX(Dataset3_Raw!$H$2:$H$391,$E902))</f>
        <v>4</v>
      </c>
      <c r="M902" s="23">
        <f>IF($C902&gt;0,INDEX(Merge_1_2!$I$2:$I$611,$C902),INDEX(Dataset3_Raw!$I$2:$I$391,$E902))</f>
        <v>3</v>
      </c>
      <c r="N902" s="25">
        <f>IF($C902&gt;0,INDEX(Merge_1_2!$J$2:$J$611,$C902),INDEX(Dataset3_Raw!$J$2:$J$391,$E902))</f>
        <v>0.14000000000000001</v>
      </c>
      <c r="O902" s="25">
        <f>IF($C902&gt;0,IF(ISNUMBER(INDEX(Merge_1_2!$K$2:$K$611,$C902)),INDEX(Merge_1_2!$K$2:$K$611,$C902),""),INDEX(Dataset3_Raw!$K$2:$K$391,$E902))</f>
        <v>0.13639999999999999</v>
      </c>
      <c r="P902" s="25">
        <f>IF(ISNUMBER($O902),$O902,ROUND(Lookups!$B$25+Lookups!$B$24*$N902,4))</f>
        <v>0.13639999999999999</v>
      </c>
      <c r="Q902" s="25">
        <f>IF($C902&gt;0,INDEX(Merge_1_2!$L$2:$L$611,$C902),INDEX(Dataset3_Raw!$L$2:$L$391,$E902))</f>
        <v>0.86</v>
      </c>
      <c r="R902" s="25">
        <f>IF($C902&gt;0,INDEX(Merge_1_2!$M$2:$M$611,$C902),INDEX(Dataset3_Raw!$M$2:$M$391,$E902))</f>
        <v>0.19400000000000001</v>
      </c>
      <c r="S902" s="23">
        <f>IF($C902&gt;0,INDEX(Merge_1_2!$N$2:$N$611,$C902),INDEX(Dataset3_Raw!$N$2:$N$391,$E902))</f>
        <v>0</v>
      </c>
      <c r="T902" s="23">
        <f>IF($C902&gt;0,INDEX(Merge_1_2!$O$2:$O$611,$C902),INDEX(Dataset3_Raw!$O$2:$O$391,$E902))</f>
        <v>16</v>
      </c>
      <c r="U902" s="23">
        <f>IF($C902&gt;0,INDEX(Merge_1_2!$P$2:$P$611,$C902),INDEX(Dataset3_Raw!$P$2:$P$391,$E902))</f>
        <v>16</v>
      </c>
      <c r="V902" s="23" t="str">
        <f t="shared" si="85"/>
        <v>Weekday</v>
      </c>
      <c r="W902" s="23" t="str">
        <f>VLOOKUP($M902,Lookups!$A$5:$B$8,2,FALSE())</f>
        <v>Light snow / Light rain</v>
      </c>
      <c r="X902" s="23" t="str">
        <f>VLOOKUP($G902,Lookups!$D$5:$E$8,2,FALSE())</f>
        <v>Winter</v>
      </c>
      <c r="Y902" s="23" t="str">
        <f>VLOOKUP($L902,Lookups!$G$5:$H$11,2,FALSE())</f>
        <v>Thursday</v>
      </c>
      <c r="Z902" s="23" t="str">
        <f>IF($J902&lt;Lookups!$B$26,"Night",IF($J902&lt;Lookups!$B$27,"Morning",IF($J902&lt;Lookups!$B$28,"Afternoon","Evening")))</f>
        <v>Night</v>
      </c>
      <c r="AA902" s="26">
        <f>ROUND($N902*(Lookups!$B$16-Lookups!$B$15)+Lookups!$B$15,1)</f>
        <v>-1.4</v>
      </c>
      <c r="AB902" s="26">
        <f>ROUND($P902*(Lookups!$B$18-Lookups!$B$17)+Lookups!$B$17,1)</f>
        <v>-7</v>
      </c>
      <c r="AC902" s="23">
        <f t="shared" si="86"/>
        <v>86</v>
      </c>
      <c r="AD902" s="23">
        <f>ROUND($R902*Lookups!$B$19,1)</f>
        <v>13</v>
      </c>
      <c r="AE902" s="27">
        <f t="shared" si="87"/>
        <v>1</v>
      </c>
      <c r="AF902" s="23" t="str">
        <f>IF($U902&gt;=Lookups!$B$23,"High",IF($U902&gt;=Lookups!$B$22,"Medium","Low"))</f>
        <v>Medium</v>
      </c>
      <c r="AG902" s="23">
        <f>ROUND(IF($V902="Weekday",IF(INDEX(Hourly_Analysis!$D$5:$D$28,$J902+1)&gt;0,($U902-INDEX(Hourly_Analysis!$C$5:$C$28,$J902+1))/INDEX(Hourly_Analysis!$D$5:$D$28,$J902+1),0),IF(INDEX(Hourly_Analysis!$G$5:$G$28,$J902+1)&gt;0,($U902-INDEX(Hourly_Analysis!$F$5:$F$28,$J902+1))/INDEX(Hourly_Analysis!$G$5:$G$28,$J902+1),0)),2)</f>
        <v>1.1499999999999999</v>
      </c>
      <c r="AH902" s="23" t="str">
        <f>IF(ABS($AG902)&gt;Lookups!$B$20,IF($AG902&gt;0,"High anomaly","Low anomaly"),"")</f>
        <v/>
      </c>
      <c r="AI902" s="23" t="str">
        <f t="shared" si="88"/>
        <v>OK</v>
      </c>
      <c r="AJ902" s="23" t="str">
        <f t="shared" si="89"/>
        <v>No</v>
      </c>
    </row>
    <row r="903" spans="1:36" x14ac:dyDescent="0.35">
      <c r="A903" s="23">
        <v>902</v>
      </c>
      <c r="B903" s="23" t="str">
        <f t="shared" si="84"/>
        <v>Dataset 3</v>
      </c>
      <c r="C903" s="23">
        <f>IFERROR(MATCH($A903,Merge_1_2!$A$2:$A$611,0),0)</f>
        <v>0</v>
      </c>
      <c r="D903" s="23">
        <f>IF($C903&gt;0,INDEX(Merge_1_2!$Q$2:$Q$611,$C903),0)</f>
        <v>0</v>
      </c>
      <c r="E903" s="23">
        <f>IFERROR(MATCH($A903,Dataset3_Raw!$A$2:$A$391,0),0)</f>
        <v>292</v>
      </c>
      <c r="F903" s="24">
        <f>IF($C903&gt;0,INDEX(Merge_1_2!$B$2:$B$611,$C903),DATE(VALUE(RIGHT(INDEX(Dataset3_Raw!$B$2:$B$391,$E903),4)),VALUE(MID(INDEX(Dataset3_Raw!$B$2:$B$391,$E903),4,2)),VALUE(LEFT(INDEX(Dataset3_Raw!$B$2:$B$391,$E903),2))))</f>
        <v>40584</v>
      </c>
      <c r="G903" s="23">
        <f>IF($C903&gt;0,INDEX(Merge_1_2!$C$2:$C$611,$C903),INDEX(Dataset3_Raw!$C$2:$C$391,$E903))</f>
        <v>1</v>
      </c>
      <c r="H903" s="23">
        <f>IF($C903&gt;0,INDEX(Merge_1_2!$D$2:$D$611,$C903),INDEX(Dataset3_Raw!$D$2:$D$391,$E903))</f>
        <v>0</v>
      </c>
      <c r="I903" s="23">
        <f>IF($C903&gt;0,INDEX(Merge_1_2!$E$2:$E$611,$C903),INDEX(Dataset3_Raw!$E$2:$E$391,$E903))</f>
        <v>2</v>
      </c>
      <c r="J903" s="23">
        <f>IF($C903&gt;0,INDEX(Merge_1_2!$F$2:$F$611,$C903),INDEX(Dataset3_Raw!$F$2:$F$391,$E903))</f>
        <v>1</v>
      </c>
      <c r="K903" s="23" t="b">
        <f>IF($C903&gt;0,INDEX(Merge_1_2!$G$2:$G$611,$C903),INDEX(Dataset3_Raw!$G$2:$G$391,$E903))</f>
        <v>0</v>
      </c>
      <c r="L903" s="23">
        <f>IF($C903&gt;0,INDEX(Merge_1_2!$H$2:$H$611,$C903),INDEX(Dataset3_Raw!$H$2:$H$391,$E903))</f>
        <v>4</v>
      </c>
      <c r="M903" s="23">
        <f>IF($C903&gt;0,INDEX(Merge_1_2!$I$2:$I$611,$C903),INDEX(Dataset3_Raw!$I$2:$I$391,$E903))</f>
        <v>3</v>
      </c>
      <c r="N903" s="25">
        <f>IF($C903&gt;0,INDEX(Merge_1_2!$J$2:$J$611,$C903),INDEX(Dataset3_Raw!$J$2:$J$391,$E903))</f>
        <v>0.14000000000000001</v>
      </c>
      <c r="O903" s="25">
        <f>IF($C903&gt;0,IF(ISNUMBER(INDEX(Merge_1_2!$K$2:$K$611,$C903)),INDEX(Merge_1_2!$K$2:$K$611,$C903),""),INDEX(Dataset3_Raw!$K$2:$K$391,$E903))</f>
        <v>0.1515</v>
      </c>
      <c r="P903" s="25">
        <f>IF(ISNUMBER($O903),$O903,ROUND(Lookups!$B$25+Lookups!$B$24*$N903,4))</f>
        <v>0.1515</v>
      </c>
      <c r="Q903" s="25">
        <f>IF($C903&gt;0,INDEX(Merge_1_2!$L$2:$L$611,$C903),INDEX(Dataset3_Raw!$L$2:$L$391,$E903))</f>
        <v>0.8</v>
      </c>
      <c r="R903" s="25">
        <f>IF($C903&gt;0,INDEX(Merge_1_2!$M$2:$M$611,$C903),INDEX(Dataset3_Raw!$M$2:$M$391,$E903))</f>
        <v>0.1343</v>
      </c>
      <c r="S903" s="23">
        <f>IF($C903&gt;0,INDEX(Merge_1_2!$N$2:$N$611,$C903),INDEX(Dataset3_Raw!$N$2:$N$391,$E903))</f>
        <v>0</v>
      </c>
      <c r="T903" s="23">
        <f>IF($C903&gt;0,INDEX(Merge_1_2!$O$2:$O$611,$C903),INDEX(Dataset3_Raw!$O$2:$O$391,$E903))</f>
        <v>7</v>
      </c>
      <c r="U903" s="23">
        <f>IF($C903&gt;0,INDEX(Merge_1_2!$P$2:$P$611,$C903),INDEX(Dataset3_Raw!$P$2:$P$391,$E903))</f>
        <v>7</v>
      </c>
      <c r="V903" s="23" t="str">
        <f t="shared" si="85"/>
        <v>Weekday</v>
      </c>
      <c r="W903" s="23" t="str">
        <f>VLOOKUP($M903,Lookups!$A$5:$B$8,2,FALSE())</f>
        <v>Light snow / Light rain</v>
      </c>
      <c r="X903" s="23" t="str">
        <f>VLOOKUP($G903,Lookups!$D$5:$E$8,2,FALSE())</f>
        <v>Winter</v>
      </c>
      <c r="Y903" s="23" t="str">
        <f>VLOOKUP($L903,Lookups!$G$5:$H$11,2,FALSE())</f>
        <v>Thursday</v>
      </c>
      <c r="Z903" s="23" t="str">
        <f>IF($J903&lt;Lookups!$B$26,"Night",IF($J903&lt;Lookups!$B$27,"Morning",IF($J903&lt;Lookups!$B$28,"Afternoon","Evening")))</f>
        <v>Night</v>
      </c>
      <c r="AA903" s="26">
        <f>ROUND($N903*(Lookups!$B$16-Lookups!$B$15)+Lookups!$B$15,1)</f>
        <v>-1.4</v>
      </c>
      <c r="AB903" s="26">
        <f>ROUND($P903*(Lookups!$B$18-Lookups!$B$17)+Lookups!$B$17,1)</f>
        <v>-6</v>
      </c>
      <c r="AC903" s="23">
        <f t="shared" si="86"/>
        <v>80</v>
      </c>
      <c r="AD903" s="23">
        <f>ROUND($R903*Lookups!$B$19,1)</f>
        <v>9</v>
      </c>
      <c r="AE903" s="27">
        <f t="shared" si="87"/>
        <v>1</v>
      </c>
      <c r="AF903" s="23" t="str">
        <f>IF($U903&gt;=Lookups!$B$23,"High",IF($U903&gt;=Lookups!$B$22,"Medium","Low"))</f>
        <v>Low</v>
      </c>
      <c r="AG903" s="23">
        <f>ROUND(IF($V903="Weekday",IF(INDEX(Hourly_Analysis!$D$5:$D$28,$J903+1)&gt;0,($U903-INDEX(Hourly_Analysis!$C$5:$C$28,$J903+1))/INDEX(Hourly_Analysis!$D$5:$D$28,$J903+1),0),IF(INDEX(Hourly_Analysis!$G$5:$G$28,$J903+1)&gt;0,($U903-INDEX(Hourly_Analysis!$F$5:$F$28,$J903+1))/INDEX(Hourly_Analysis!$G$5:$G$28,$J903+1),0)),2)</f>
        <v>1.1299999999999999</v>
      </c>
      <c r="AH903" s="23" t="str">
        <f>IF(ABS($AG903)&gt;Lookups!$B$20,IF($AG903&gt;0,"High anomaly","Low anomaly"),"")</f>
        <v/>
      </c>
      <c r="AI903" s="23" t="str">
        <f t="shared" si="88"/>
        <v>OK</v>
      </c>
      <c r="AJ903" s="23" t="str">
        <f t="shared" si="89"/>
        <v>No</v>
      </c>
    </row>
    <row r="904" spans="1:36" x14ac:dyDescent="0.35">
      <c r="A904" s="23">
        <v>903</v>
      </c>
      <c r="B904" s="23" t="str">
        <f t="shared" si="84"/>
        <v>Dataset 3</v>
      </c>
      <c r="C904" s="23">
        <f>IFERROR(MATCH($A904,Merge_1_2!$A$2:$A$611,0),0)</f>
        <v>0</v>
      </c>
      <c r="D904" s="23">
        <f>IF($C904&gt;0,INDEX(Merge_1_2!$Q$2:$Q$611,$C904),0)</f>
        <v>0</v>
      </c>
      <c r="E904" s="23">
        <f>IFERROR(MATCH($A904,Dataset3_Raw!$A$2:$A$391,0),0)</f>
        <v>293</v>
      </c>
      <c r="F904" s="24">
        <f>IF($C904&gt;0,INDEX(Merge_1_2!$B$2:$B$611,$C904),DATE(VALUE(RIGHT(INDEX(Dataset3_Raw!$B$2:$B$391,$E904),4)),VALUE(MID(INDEX(Dataset3_Raw!$B$2:$B$391,$E904),4,2)),VALUE(LEFT(INDEX(Dataset3_Raw!$B$2:$B$391,$E904),2))))</f>
        <v>40584</v>
      </c>
      <c r="G904" s="23">
        <f>IF($C904&gt;0,INDEX(Merge_1_2!$C$2:$C$611,$C904),INDEX(Dataset3_Raw!$C$2:$C$391,$E904))</f>
        <v>1</v>
      </c>
      <c r="H904" s="23">
        <f>IF($C904&gt;0,INDEX(Merge_1_2!$D$2:$D$611,$C904),INDEX(Dataset3_Raw!$D$2:$D$391,$E904))</f>
        <v>0</v>
      </c>
      <c r="I904" s="23">
        <f>IF($C904&gt;0,INDEX(Merge_1_2!$E$2:$E$611,$C904),INDEX(Dataset3_Raw!$E$2:$E$391,$E904))</f>
        <v>2</v>
      </c>
      <c r="J904" s="23">
        <f>IF($C904&gt;0,INDEX(Merge_1_2!$F$2:$F$611,$C904),INDEX(Dataset3_Raw!$F$2:$F$391,$E904))</f>
        <v>2</v>
      </c>
      <c r="K904" s="23" t="b">
        <f>IF($C904&gt;0,INDEX(Merge_1_2!$G$2:$G$611,$C904),INDEX(Dataset3_Raw!$G$2:$G$391,$E904))</f>
        <v>0</v>
      </c>
      <c r="L904" s="23">
        <f>IF($C904&gt;0,INDEX(Merge_1_2!$H$2:$H$611,$C904),INDEX(Dataset3_Raw!$H$2:$H$391,$E904))</f>
        <v>4</v>
      </c>
      <c r="M904" s="23">
        <f>IF($C904&gt;0,INDEX(Merge_1_2!$I$2:$I$611,$C904),INDEX(Dataset3_Raw!$I$2:$I$391,$E904))</f>
        <v>3</v>
      </c>
      <c r="N904" s="25">
        <f>IF($C904&gt;0,INDEX(Merge_1_2!$J$2:$J$611,$C904),INDEX(Dataset3_Raw!$J$2:$J$391,$E904))</f>
        <v>0.14000000000000001</v>
      </c>
      <c r="O904" s="25">
        <f>IF($C904&gt;0,IF(ISNUMBER(INDEX(Merge_1_2!$K$2:$K$611,$C904)),INDEX(Merge_1_2!$K$2:$K$611,$C904),""),INDEX(Dataset3_Raw!$K$2:$K$391,$E904))</f>
        <v>0.1515</v>
      </c>
      <c r="P904" s="25">
        <f>IF(ISNUMBER($O904),$O904,ROUND(Lookups!$B$25+Lookups!$B$24*$N904,4))</f>
        <v>0.1515</v>
      </c>
      <c r="Q904" s="25">
        <f>IF($C904&gt;0,INDEX(Merge_1_2!$L$2:$L$611,$C904),INDEX(Dataset3_Raw!$L$2:$L$391,$E904))</f>
        <v>0.8</v>
      </c>
      <c r="R904" s="25">
        <f>IF($C904&gt;0,INDEX(Merge_1_2!$M$2:$M$611,$C904),INDEX(Dataset3_Raw!$M$2:$M$391,$E904))</f>
        <v>0.1343</v>
      </c>
      <c r="S904" s="23">
        <f>IF($C904&gt;0,INDEX(Merge_1_2!$N$2:$N$611,$C904),INDEX(Dataset3_Raw!$N$2:$N$391,$E904))</f>
        <v>0</v>
      </c>
      <c r="T904" s="23">
        <f>IF($C904&gt;0,INDEX(Merge_1_2!$O$2:$O$611,$C904),INDEX(Dataset3_Raw!$O$2:$O$391,$E904))</f>
        <v>3</v>
      </c>
      <c r="U904" s="23">
        <f>IF($C904&gt;0,INDEX(Merge_1_2!$P$2:$P$611,$C904),INDEX(Dataset3_Raw!$P$2:$P$391,$E904))</f>
        <v>3</v>
      </c>
      <c r="V904" s="23" t="str">
        <f t="shared" si="85"/>
        <v>Weekday</v>
      </c>
      <c r="W904" s="23" t="str">
        <f>VLOOKUP($M904,Lookups!$A$5:$B$8,2,FALSE())</f>
        <v>Light snow / Light rain</v>
      </c>
      <c r="X904" s="23" t="str">
        <f>VLOOKUP($G904,Lookups!$D$5:$E$8,2,FALSE())</f>
        <v>Winter</v>
      </c>
      <c r="Y904" s="23" t="str">
        <f>VLOOKUP($L904,Lookups!$G$5:$H$11,2,FALSE())</f>
        <v>Thursday</v>
      </c>
      <c r="Z904" s="23" t="str">
        <f>IF($J904&lt;Lookups!$B$26,"Night",IF($J904&lt;Lookups!$B$27,"Morning",IF($J904&lt;Lookups!$B$28,"Afternoon","Evening")))</f>
        <v>Night</v>
      </c>
      <c r="AA904" s="26">
        <f>ROUND($N904*(Lookups!$B$16-Lookups!$B$15)+Lookups!$B$15,1)</f>
        <v>-1.4</v>
      </c>
      <c r="AB904" s="26">
        <f>ROUND($P904*(Lookups!$B$18-Lookups!$B$17)+Lookups!$B$17,1)</f>
        <v>-6</v>
      </c>
      <c r="AC904" s="23">
        <f t="shared" si="86"/>
        <v>80</v>
      </c>
      <c r="AD904" s="23">
        <f>ROUND($R904*Lookups!$B$19,1)</f>
        <v>9</v>
      </c>
      <c r="AE904" s="27">
        <f t="shared" si="87"/>
        <v>1</v>
      </c>
      <c r="AF904" s="23" t="str">
        <f>IF($U904&gt;=Lookups!$B$23,"High",IF($U904&gt;=Lookups!$B$22,"Medium","Low"))</f>
        <v>Low</v>
      </c>
      <c r="AG904" s="23">
        <f>ROUND(IF($V904="Weekday",IF(INDEX(Hourly_Analysis!$D$5:$D$28,$J904+1)&gt;0,($U904-INDEX(Hourly_Analysis!$C$5:$C$28,$J904+1))/INDEX(Hourly_Analysis!$D$5:$D$28,$J904+1),0),IF(INDEX(Hourly_Analysis!$G$5:$G$28,$J904+1)&gt;0,($U904-INDEX(Hourly_Analysis!$F$5:$F$28,$J904+1))/INDEX(Hourly_Analysis!$G$5:$G$28,$J904+1),0)),2)</f>
        <v>0.33</v>
      </c>
      <c r="AH904" s="23" t="str">
        <f>IF(ABS($AG904)&gt;Lookups!$B$20,IF($AG904&gt;0,"High anomaly","Low anomaly"),"")</f>
        <v/>
      </c>
      <c r="AI904" s="23" t="str">
        <f t="shared" si="88"/>
        <v>OK</v>
      </c>
      <c r="AJ904" s="23" t="str">
        <f t="shared" si="89"/>
        <v>No</v>
      </c>
    </row>
    <row r="905" spans="1:36" x14ac:dyDescent="0.35">
      <c r="A905" s="23">
        <v>904</v>
      </c>
      <c r="B905" s="23" t="str">
        <f t="shared" si="84"/>
        <v>Dataset 3</v>
      </c>
      <c r="C905" s="23">
        <f>IFERROR(MATCH($A905,Merge_1_2!$A$2:$A$611,0),0)</f>
        <v>0</v>
      </c>
      <c r="D905" s="23">
        <f>IF($C905&gt;0,INDEX(Merge_1_2!$Q$2:$Q$611,$C905),0)</f>
        <v>0</v>
      </c>
      <c r="E905" s="23">
        <f>IFERROR(MATCH($A905,Dataset3_Raw!$A$2:$A$391,0),0)</f>
        <v>294</v>
      </c>
      <c r="F905" s="24">
        <f>IF($C905&gt;0,INDEX(Merge_1_2!$B$2:$B$611,$C905),DATE(VALUE(RIGHT(INDEX(Dataset3_Raw!$B$2:$B$391,$E905),4)),VALUE(MID(INDEX(Dataset3_Raw!$B$2:$B$391,$E905),4,2)),VALUE(LEFT(INDEX(Dataset3_Raw!$B$2:$B$391,$E905),2))))</f>
        <v>40584</v>
      </c>
      <c r="G905" s="23">
        <f>IF($C905&gt;0,INDEX(Merge_1_2!$C$2:$C$611,$C905),INDEX(Dataset3_Raw!$C$2:$C$391,$E905))</f>
        <v>1</v>
      </c>
      <c r="H905" s="23">
        <f>IF($C905&gt;0,INDEX(Merge_1_2!$D$2:$D$611,$C905),INDEX(Dataset3_Raw!$D$2:$D$391,$E905))</f>
        <v>0</v>
      </c>
      <c r="I905" s="23">
        <f>IF($C905&gt;0,INDEX(Merge_1_2!$E$2:$E$611,$C905),INDEX(Dataset3_Raw!$E$2:$E$391,$E905))</f>
        <v>2</v>
      </c>
      <c r="J905" s="23">
        <f>IF($C905&gt;0,INDEX(Merge_1_2!$F$2:$F$611,$C905),INDEX(Dataset3_Raw!$F$2:$F$391,$E905))</f>
        <v>4</v>
      </c>
      <c r="K905" s="23" t="b">
        <f>IF($C905&gt;0,INDEX(Merge_1_2!$G$2:$G$611,$C905),INDEX(Dataset3_Raw!$G$2:$G$391,$E905))</f>
        <v>0</v>
      </c>
      <c r="L905" s="23">
        <f>IF($C905&gt;0,INDEX(Merge_1_2!$H$2:$H$611,$C905),INDEX(Dataset3_Raw!$H$2:$H$391,$E905))</f>
        <v>4</v>
      </c>
      <c r="M905" s="23">
        <f>IF($C905&gt;0,INDEX(Merge_1_2!$I$2:$I$611,$C905),INDEX(Dataset3_Raw!$I$2:$I$391,$E905))</f>
        <v>2</v>
      </c>
      <c r="N905" s="25">
        <f>IF($C905&gt;0,INDEX(Merge_1_2!$J$2:$J$611,$C905),INDEX(Dataset3_Raw!$J$2:$J$391,$E905))</f>
        <v>0.14000000000000001</v>
      </c>
      <c r="O905" s="25">
        <f>IF($C905&gt;0,IF(ISNUMBER(INDEX(Merge_1_2!$K$2:$K$611,$C905)),INDEX(Merge_1_2!$K$2:$K$611,$C905),""),INDEX(Dataset3_Raw!$K$2:$K$391,$E905))</f>
        <v>0.13639999999999999</v>
      </c>
      <c r="P905" s="25">
        <f>IF(ISNUMBER($O905),$O905,ROUND(Lookups!$B$25+Lookups!$B$24*$N905,4))</f>
        <v>0.13639999999999999</v>
      </c>
      <c r="Q905" s="25">
        <f>IF($C905&gt;0,INDEX(Merge_1_2!$L$2:$L$611,$C905),INDEX(Dataset3_Raw!$L$2:$L$391,$E905))</f>
        <v>0.59</v>
      </c>
      <c r="R905" s="25">
        <f>IF($C905&gt;0,INDEX(Merge_1_2!$M$2:$M$611,$C905),INDEX(Dataset3_Raw!$M$2:$M$391,$E905))</f>
        <v>0.22389999999999999</v>
      </c>
      <c r="S905" s="23">
        <f>IF($C905&gt;0,INDEX(Merge_1_2!$N$2:$N$611,$C905),INDEX(Dataset3_Raw!$N$2:$N$391,$E905))</f>
        <v>0</v>
      </c>
      <c r="T905" s="23">
        <f>IF($C905&gt;0,INDEX(Merge_1_2!$O$2:$O$611,$C905),INDEX(Dataset3_Raw!$O$2:$O$391,$E905))</f>
        <v>1</v>
      </c>
      <c r="U905" s="23">
        <f>IF($C905&gt;0,INDEX(Merge_1_2!$P$2:$P$611,$C905),INDEX(Dataset3_Raw!$P$2:$P$391,$E905))</f>
        <v>1</v>
      </c>
      <c r="V905" s="23" t="str">
        <f t="shared" si="85"/>
        <v>Weekday</v>
      </c>
      <c r="W905" s="23" t="str">
        <f>VLOOKUP($M905,Lookups!$A$5:$B$8,2,FALSE())</f>
        <v>Mist / Cloudy</v>
      </c>
      <c r="X905" s="23" t="str">
        <f>VLOOKUP($G905,Lookups!$D$5:$E$8,2,FALSE())</f>
        <v>Winter</v>
      </c>
      <c r="Y905" s="23" t="str">
        <f>VLOOKUP($L905,Lookups!$G$5:$H$11,2,FALSE())</f>
        <v>Thursday</v>
      </c>
      <c r="Z905" s="23" t="str">
        <f>IF($J905&lt;Lookups!$B$26,"Night",IF($J905&lt;Lookups!$B$27,"Morning",IF($J905&lt;Lookups!$B$28,"Afternoon","Evening")))</f>
        <v>Night</v>
      </c>
      <c r="AA905" s="26">
        <f>ROUND($N905*(Lookups!$B$16-Lookups!$B$15)+Lookups!$B$15,1)</f>
        <v>-1.4</v>
      </c>
      <c r="AB905" s="26">
        <f>ROUND($P905*(Lookups!$B$18-Lookups!$B$17)+Lookups!$B$17,1)</f>
        <v>-7</v>
      </c>
      <c r="AC905" s="23">
        <f t="shared" si="86"/>
        <v>59</v>
      </c>
      <c r="AD905" s="23">
        <f>ROUND($R905*Lookups!$B$19,1)</f>
        <v>15</v>
      </c>
      <c r="AE905" s="27">
        <f t="shared" si="87"/>
        <v>1</v>
      </c>
      <c r="AF905" s="23" t="str">
        <f>IF($U905&gt;=Lookups!$B$23,"High",IF($U905&gt;=Lookups!$B$22,"Medium","Low"))</f>
        <v>Low</v>
      </c>
      <c r="AG905" s="23">
        <f>ROUND(IF($V905="Weekday",IF(INDEX(Hourly_Analysis!$D$5:$D$28,$J905+1)&gt;0,($U905-INDEX(Hourly_Analysis!$C$5:$C$28,$J905+1))/INDEX(Hourly_Analysis!$D$5:$D$28,$J905+1),0),IF(INDEX(Hourly_Analysis!$G$5:$G$28,$J905+1)&gt;0,($U905-INDEX(Hourly_Analysis!$F$5:$F$28,$J905+1))/INDEX(Hourly_Analysis!$G$5:$G$28,$J905+1),0)),2)</f>
        <v>-0.81</v>
      </c>
      <c r="AH905" s="23" t="str">
        <f>IF(ABS($AG905)&gt;Lookups!$B$20,IF($AG905&gt;0,"High anomaly","Low anomaly"),"")</f>
        <v/>
      </c>
      <c r="AI905" s="23" t="str">
        <f t="shared" si="88"/>
        <v>OK</v>
      </c>
      <c r="AJ905" s="23" t="str">
        <f t="shared" si="89"/>
        <v>No</v>
      </c>
    </row>
    <row r="906" spans="1:36" x14ac:dyDescent="0.35">
      <c r="A906" s="23">
        <v>905</v>
      </c>
      <c r="B906" s="23" t="str">
        <f t="shared" si="84"/>
        <v>Dataset 3</v>
      </c>
      <c r="C906" s="23">
        <f>IFERROR(MATCH($A906,Merge_1_2!$A$2:$A$611,0),0)</f>
        <v>0</v>
      </c>
      <c r="D906" s="23">
        <f>IF($C906&gt;0,INDEX(Merge_1_2!$Q$2:$Q$611,$C906),0)</f>
        <v>0</v>
      </c>
      <c r="E906" s="23">
        <f>IFERROR(MATCH($A906,Dataset3_Raw!$A$2:$A$391,0),0)</f>
        <v>295</v>
      </c>
      <c r="F906" s="24">
        <f>IF($C906&gt;0,INDEX(Merge_1_2!$B$2:$B$611,$C906),DATE(VALUE(RIGHT(INDEX(Dataset3_Raw!$B$2:$B$391,$E906),4)),VALUE(MID(INDEX(Dataset3_Raw!$B$2:$B$391,$E906),4,2)),VALUE(LEFT(INDEX(Dataset3_Raw!$B$2:$B$391,$E906),2))))</f>
        <v>40584</v>
      </c>
      <c r="G906" s="23">
        <f>IF($C906&gt;0,INDEX(Merge_1_2!$C$2:$C$611,$C906),INDEX(Dataset3_Raw!$C$2:$C$391,$E906))</f>
        <v>1</v>
      </c>
      <c r="H906" s="23">
        <f>IF($C906&gt;0,INDEX(Merge_1_2!$D$2:$D$611,$C906),INDEX(Dataset3_Raw!$D$2:$D$391,$E906))</f>
        <v>0</v>
      </c>
      <c r="I906" s="23">
        <f>IF($C906&gt;0,INDEX(Merge_1_2!$E$2:$E$611,$C906),INDEX(Dataset3_Raw!$E$2:$E$391,$E906))</f>
        <v>2</v>
      </c>
      <c r="J906" s="23">
        <f>IF($C906&gt;0,INDEX(Merge_1_2!$F$2:$F$611,$C906),INDEX(Dataset3_Raw!$F$2:$F$391,$E906))</f>
        <v>5</v>
      </c>
      <c r="K906" s="23" t="b">
        <f>IF($C906&gt;0,INDEX(Merge_1_2!$G$2:$G$611,$C906),INDEX(Dataset3_Raw!$G$2:$G$391,$E906))</f>
        <v>0</v>
      </c>
      <c r="L906" s="23">
        <f>IF($C906&gt;0,INDEX(Merge_1_2!$H$2:$H$611,$C906),INDEX(Dataset3_Raw!$H$2:$H$391,$E906))</f>
        <v>4</v>
      </c>
      <c r="M906" s="23">
        <f>IF($C906&gt;0,INDEX(Merge_1_2!$I$2:$I$611,$C906),INDEX(Dataset3_Raw!$I$2:$I$391,$E906))</f>
        <v>2</v>
      </c>
      <c r="N906" s="25">
        <f>IF($C906&gt;0,INDEX(Merge_1_2!$J$2:$J$611,$C906),INDEX(Dataset3_Raw!$J$2:$J$391,$E906))</f>
        <v>0.12</v>
      </c>
      <c r="O906" s="25">
        <f>IF($C906&gt;0,IF(ISNUMBER(INDEX(Merge_1_2!$K$2:$K$611,$C906)),INDEX(Merge_1_2!$K$2:$K$611,$C906),""),INDEX(Dataset3_Raw!$K$2:$K$391,$E906))</f>
        <v>0.1212</v>
      </c>
      <c r="P906" s="25">
        <f>IF(ISNUMBER($O906),$O906,ROUND(Lookups!$B$25+Lookups!$B$24*$N906,4))</f>
        <v>0.1212</v>
      </c>
      <c r="Q906" s="25">
        <f>IF($C906&gt;0,INDEX(Merge_1_2!$L$2:$L$611,$C906),INDEX(Dataset3_Raw!$L$2:$L$391,$E906))</f>
        <v>0.5</v>
      </c>
      <c r="R906" s="25">
        <f>IF($C906&gt;0,INDEX(Merge_1_2!$M$2:$M$611,$C906),INDEX(Dataset3_Raw!$M$2:$M$391,$E906))</f>
        <v>0.22389999999999999</v>
      </c>
      <c r="S906" s="23">
        <f>IF($C906&gt;0,INDEX(Merge_1_2!$N$2:$N$611,$C906),INDEX(Dataset3_Raw!$N$2:$N$391,$E906))</f>
        <v>0</v>
      </c>
      <c r="T906" s="23">
        <f>IF($C906&gt;0,INDEX(Merge_1_2!$O$2:$O$611,$C906),INDEX(Dataset3_Raw!$O$2:$O$391,$E906))</f>
        <v>6</v>
      </c>
      <c r="U906" s="23">
        <f>IF($C906&gt;0,INDEX(Merge_1_2!$P$2:$P$611,$C906),INDEX(Dataset3_Raw!$P$2:$P$391,$E906))</f>
        <v>6</v>
      </c>
      <c r="V906" s="23" t="str">
        <f t="shared" si="85"/>
        <v>Weekday</v>
      </c>
      <c r="W906" s="23" t="str">
        <f>VLOOKUP($M906,Lookups!$A$5:$B$8,2,FALSE())</f>
        <v>Mist / Cloudy</v>
      </c>
      <c r="X906" s="23" t="str">
        <f>VLOOKUP($G906,Lookups!$D$5:$E$8,2,FALSE())</f>
        <v>Winter</v>
      </c>
      <c r="Y906" s="23" t="str">
        <f>VLOOKUP($L906,Lookups!$G$5:$H$11,2,FALSE())</f>
        <v>Thursday</v>
      </c>
      <c r="Z906" s="23" t="str">
        <f>IF($J906&lt;Lookups!$B$26,"Night",IF($J906&lt;Lookups!$B$27,"Morning",IF($J906&lt;Lookups!$B$28,"Afternoon","Evening")))</f>
        <v>Night</v>
      </c>
      <c r="AA906" s="26">
        <f>ROUND($N906*(Lookups!$B$16-Lookups!$B$15)+Lookups!$B$15,1)</f>
        <v>-2.4</v>
      </c>
      <c r="AB906" s="26">
        <f>ROUND($P906*(Lookups!$B$18-Lookups!$B$17)+Lookups!$B$17,1)</f>
        <v>-8</v>
      </c>
      <c r="AC906" s="23">
        <f t="shared" si="86"/>
        <v>50</v>
      </c>
      <c r="AD906" s="23">
        <f>ROUND($R906*Lookups!$B$19,1)</f>
        <v>15</v>
      </c>
      <c r="AE906" s="27">
        <f t="shared" si="87"/>
        <v>1</v>
      </c>
      <c r="AF906" s="23" t="str">
        <f>IF($U906&gt;=Lookups!$B$23,"High",IF($U906&gt;=Lookups!$B$22,"Medium","Low"))</f>
        <v>Low</v>
      </c>
      <c r="AG906" s="23">
        <f>ROUND(IF($V906="Weekday",IF(INDEX(Hourly_Analysis!$D$5:$D$28,$J906+1)&gt;0,($U906-INDEX(Hourly_Analysis!$C$5:$C$28,$J906+1))/INDEX(Hourly_Analysis!$D$5:$D$28,$J906+1),0),IF(INDEX(Hourly_Analysis!$G$5:$G$28,$J906+1)&gt;0,($U906-INDEX(Hourly_Analysis!$F$5:$F$28,$J906+1))/INDEX(Hourly_Analysis!$G$5:$G$28,$J906+1),0)),2)</f>
        <v>0.5</v>
      </c>
      <c r="AH906" s="23" t="str">
        <f>IF(ABS($AG906)&gt;Lookups!$B$20,IF($AG906&gt;0,"High anomaly","Low anomaly"),"")</f>
        <v/>
      </c>
      <c r="AI906" s="23" t="str">
        <f t="shared" si="88"/>
        <v>OK</v>
      </c>
      <c r="AJ906" s="23" t="str">
        <f t="shared" si="89"/>
        <v>No</v>
      </c>
    </row>
    <row r="907" spans="1:36" x14ac:dyDescent="0.35">
      <c r="A907" s="23">
        <v>906</v>
      </c>
      <c r="B907" s="23" t="str">
        <f t="shared" si="84"/>
        <v>Dataset 3</v>
      </c>
      <c r="C907" s="23">
        <f>IFERROR(MATCH($A907,Merge_1_2!$A$2:$A$611,0),0)</f>
        <v>0</v>
      </c>
      <c r="D907" s="23">
        <f>IF($C907&gt;0,INDEX(Merge_1_2!$Q$2:$Q$611,$C907),0)</f>
        <v>0</v>
      </c>
      <c r="E907" s="23">
        <f>IFERROR(MATCH($A907,Dataset3_Raw!$A$2:$A$391,0),0)</f>
        <v>296</v>
      </c>
      <c r="F907" s="24">
        <f>IF($C907&gt;0,INDEX(Merge_1_2!$B$2:$B$611,$C907),DATE(VALUE(RIGHT(INDEX(Dataset3_Raw!$B$2:$B$391,$E907),4)),VALUE(MID(INDEX(Dataset3_Raw!$B$2:$B$391,$E907),4,2)),VALUE(LEFT(INDEX(Dataset3_Raw!$B$2:$B$391,$E907),2))))</f>
        <v>40584</v>
      </c>
      <c r="G907" s="23">
        <f>IF($C907&gt;0,INDEX(Merge_1_2!$C$2:$C$611,$C907),INDEX(Dataset3_Raw!$C$2:$C$391,$E907))</f>
        <v>1</v>
      </c>
      <c r="H907" s="23">
        <f>IF($C907&gt;0,INDEX(Merge_1_2!$D$2:$D$611,$C907),INDEX(Dataset3_Raw!$D$2:$D$391,$E907))</f>
        <v>0</v>
      </c>
      <c r="I907" s="23">
        <f>IF($C907&gt;0,INDEX(Merge_1_2!$E$2:$E$611,$C907),INDEX(Dataset3_Raw!$E$2:$E$391,$E907))</f>
        <v>2</v>
      </c>
      <c r="J907" s="23">
        <f>IF($C907&gt;0,INDEX(Merge_1_2!$F$2:$F$611,$C907),INDEX(Dataset3_Raw!$F$2:$F$391,$E907))</f>
        <v>6</v>
      </c>
      <c r="K907" s="23" t="b">
        <f>IF($C907&gt;0,INDEX(Merge_1_2!$G$2:$G$611,$C907),INDEX(Dataset3_Raw!$G$2:$G$391,$E907))</f>
        <v>0</v>
      </c>
      <c r="L907" s="23">
        <f>IF($C907&gt;0,INDEX(Merge_1_2!$H$2:$H$611,$C907),INDEX(Dataset3_Raw!$H$2:$H$391,$E907))</f>
        <v>4</v>
      </c>
      <c r="M907" s="23">
        <f>IF($C907&gt;0,INDEX(Merge_1_2!$I$2:$I$611,$C907),INDEX(Dataset3_Raw!$I$2:$I$391,$E907))</f>
        <v>2</v>
      </c>
      <c r="N907" s="25">
        <f>IF($C907&gt;0,INDEX(Merge_1_2!$J$2:$J$611,$C907),INDEX(Dataset3_Raw!$J$2:$J$391,$E907))</f>
        <v>0.12</v>
      </c>
      <c r="O907" s="25">
        <f>IF($C907&gt;0,IF(ISNUMBER(INDEX(Merge_1_2!$K$2:$K$611,$C907)),INDEX(Merge_1_2!$K$2:$K$611,$C907),""),INDEX(Dataset3_Raw!$K$2:$K$391,$E907))</f>
        <v>0.1212</v>
      </c>
      <c r="P907" s="25">
        <f>IF(ISNUMBER($O907),$O907,ROUND(Lookups!$B$25+Lookups!$B$24*$N907,4))</f>
        <v>0.1212</v>
      </c>
      <c r="Q907" s="25">
        <f>IF($C907&gt;0,INDEX(Merge_1_2!$L$2:$L$611,$C907),INDEX(Dataset3_Raw!$L$2:$L$391,$E907))</f>
        <v>0.54</v>
      </c>
      <c r="R907" s="25">
        <f>IF($C907&gt;0,INDEX(Merge_1_2!$M$2:$M$611,$C907),INDEX(Dataset3_Raw!$M$2:$M$391,$E907))</f>
        <v>0.28360000000000002</v>
      </c>
      <c r="S907" s="23">
        <f>IF($C907&gt;0,INDEX(Merge_1_2!$N$2:$N$611,$C907),INDEX(Dataset3_Raw!$N$2:$N$391,$E907))</f>
        <v>0</v>
      </c>
      <c r="T907" s="23">
        <f>IF($C907&gt;0,INDEX(Merge_1_2!$O$2:$O$611,$C907),INDEX(Dataset3_Raw!$O$2:$O$391,$E907))</f>
        <v>26</v>
      </c>
      <c r="U907" s="23">
        <f>IF($C907&gt;0,INDEX(Merge_1_2!$P$2:$P$611,$C907),INDEX(Dataset3_Raw!$P$2:$P$391,$E907))</f>
        <v>26</v>
      </c>
      <c r="V907" s="23" t="str">
        <f t="shared" si="85"/>
        <v>Weekday</v>
      </c>
      <c r="W907" s="23" t="str">
        <f>VLOOKUP($M907,Lookups!$A$5:$B$8,2,FALSE())</f>
        <v>Mist / Cloudy</v>
      </c>
      <c r="X907" s="23" t="str">
        <f>VLOOKUP($G907,Lookups!$D$5:$E$8,2,FALSE())</f>
        <v>Winter</v>
      </c>
      <c r="Y907" s="23" t="str">
        <f>VLOOKUP($L907,Lookups!$G$5:$H$11,2,FALSE())</f>
        <v>Thursday</v>
      </c>
      <c r="Z907" s="23" t="str">
        <f>IF($J907&lt;Lookups!$B$26,"Night",IF($J907&lt;Lookups!$B$27,"Morning",IF($J907&lt;Lookups!$B$28,"Afternoon","Evening")))</f>
        <v>Morning</v>
      </c>
      <c r="AA907" s="26">
        <f>ROUND($N907*(Lookups!$B$16-Lookups!$B$15)+Lookups!$B$15,1)</f>
        <v>-2.4</v>
      </c>
      <c r="AB907" s="26">
        <f>ROUND($P907*(Lookups!$B$18-Lookups!$B$17)+Lookups!$B$17,1)</f>
        <v>-8</v>
      </c>
      <c r="AC907" s="23">
        <f t="shared" si="86"/>
        <v>54</v>
      </c>
      <c r="AD907" s="23">
        <f>ROUND($R907*Lookups!$B$19,1)</f>
        <v>19</v>
      </c>
      <c r="AE907" s="27">
        <f t="shared" si="87"/>
        <v>1</v>
      </c>
      <c r="AF907" s="23" t="str">
        <f>IF($U907&gt;=Lookups!$B$23,"High",IF($U907&gt;=Lookups!$B$22,"Medium","Low"))</f>
        <v>Medium</v>
      </c>
      <c r="AG907" s="23">
        <f>ROUND(IF($V907="Weekday",IF(INDEX(Hourly_Analysis!$D$5:$D$28,$J907+1)&gt;0,($U907-INDEX(Hourly_Analysis!$C$5:$C$28,$J907+1))/INDEX(Hourly_Analysis!$D$5:$D$28,$J907+1),0),IF(INDEX(Hourly_Analysis!$G$5:$G$28,$J907+1)&gt;0,($U907-INDEX(Hourly_Analysis!$F$5:$F$28,$J907+1))/INDEX(Hourly_Analysis!$G$5:$G$28,$J907+1),0)),2)</f>
        <v>-0.25</v>
      </c>
      <c r="AH907" s="23" t="str">
        <f>IF(ABS($AG907)&gt;Lookups!$B$20,IF($AG907&gt;0,"High anomaly","Low anomaly"),"")</f>
        <v/>
      </c>
      <c r="AI907" s="23" t="str">
        <f t="shared" si="88"/>
        <v>OK</v>
      </c>
      <c r="AJ907" s="23" t="str">
        <f t="shared" si="89"/>
        <v>No</v>
      </c>
    </row>
    <row r="908" spans="1:36" x14ac:dyDescent="0.35">
      <c r="A908" s="23">
        <v>907</v>
      </c>
      <c r="B908" s="23" t="str">
        <f t="shared" si="84"/>
        <v>Dataset 3</v>
      </c>
      <c r="C908" s="23">
        <f>IFERROR(MATCH($A908,Merge_1_2!$A$2:$A$611,0),0)</f>
        <v>0</v>
      </c>
      <c r="D908" s="23">
        <f>IF($C908&gt;0,INDEX(Merge_1_2!$Q$2:$Q$611,$C908),0)</f>
        <v>0</v>
      </c>
      <c r="E908" s="23">
        <f>IFERROR(MATCH($A908,Dataset3_Raw!$A$2:$A$391,0),0)</f>
        <v>297</v>
      </c>
      <c r="F908" s="24">
        <f>IF($C908&gt;0,INDEX(Merge_1_2!$B$2:$B$611,$C908),DATE(VALUE(RIGHT(INDEX(Dataset3_Raw!$B$2:$B$391,$E908),4)),VALUE(MID(INDEX(Dataset3_Raw!$B$2:$B$391,$E908),4,2)),VALUE(LEFT(INDEX(Dataset3_Raw!$B$2:$B$391,$E908),2))))</f>
        <v>40584</v>
      </c>
      <c r="G908" s="23">
        <f>IF($C908&gt;0,INDEX(Merge_1_2!$C$2:$C$611,$C908),INDEX(Dataset3_Raw!$C$2:$C$391,$E908))</f>
        <v>1</v>
      </c>
      <c r="H908" s="23">
        <f>IF($C908&gt;0,INDEX(Merge_1_2!$D$2:$D$611,$C908),INDEX(Dataset3_Raw!$D$2:$D$391,$E908))</f>
        <v>0</v>
      </c>
      <c r="I908" s="23">
        <f>IF($C908&gt;0,INDEX(Merge_1_2!$E$2:$E$611,$C908),INDEX(Dataset3_Raw!$E$2:$E$391,$E908))</f>
        <v>2</v>
      </c>
      <c r="J908" s="23">
        <f>IF($C908&gt;0,INDEX(Merge_1_2!$F$2:$F$611,$C908),INDEX(Dataset3_Raw!$F$2:$F$391,$E908))</f>
        <v>7</v>
      </c>
      <c r="K908" s="23" t="b">
        <f>IF($C908&gt;0,INDEX(Merge_1_2!$G$2:$G$611,$C908),INDEX(Dataset3_Raw!$G$2:$G$391,$E908))</f>
        <v>0</v>
      </c>
      <c r="L908" s="23">
        <f>IF($C908&gt;0,INDEX(Merge_1_2!$H$2:$H$611,$C908),INDEX(Dataset3_Raw!$H$2:$H$391,$E908))</f>
        <v>4</v>
      </c>
      <c r="M908" s="23">
        <f>IF($C908&gt;0,INDEX(Merge_1_2!$I$2:$I$611,$C908),INDEX(Dataset3_Raw!$I$2:$I$391,$E908))</f>
        <v>1</v>
      </c>
      <c r="N908" s="25">
        <f>IF($C908&gt;0,INDEX(Merge_1_2!$J$2:$J$611,$C908),INDEX(Dataset3_Raw!$J$2:$J$391,$E908))</f>
        <v>0.1</v>
      </c>
      <c r="O908" s="25">
        <f>IF($C908&gt;0,IF(ISNUMBER(INDEX(Merge_1_2!$K$2:$K$611,$C908)),INDEX(Merge_1_2!$K$2:$K$611,$C908),""),INDEX(Dataset3_Raw!$K$2:$K$391,$E908))</f>
        <v>7.5800000000000006E-2</v>
      </c>
      <c r="P908" s="25">
        <f>IF(ISNUMBER($O908),$O908,ROUND(Lookups!$B$25+Lookups!$B$24*$N908,4))</f>
        <v>7.5800000000000006E-2</v>
      </c>
      <c r="Q908" s="25">
        <f>IF($C908&gt;0,INDEX(Merge_1_2!$L$2:$L$611,$C908),INDEX(Dataset3_Raw!$L$2:$L$391,$E908))</f>
        <v>0.5</v>
      </c>
      <c r="R908" s="25">
        <f>IF($C908&gt;0,INDEX(Merge_1_2!$M$2:$M$611,$C908),INDEX(Dataset3_Raw!$M$2:$M$391,$E908))</f>
        <v>0.41789999999999999</v>
      </c>
      <c r="S908" s="23">
        <f>IF($C908&gt;0,INDEX(Merge_1_2!$N$2:$N$611,$C908),INDEX(Dataset3_Raw!$N$2:$N$391,$E908))</f>
        <v>0</v>
      </c>
      <c r="T908" s="23">
        <f>IF($C908&gt;0,INDEX(Merge_1_2!$O$2:$O$611,$C908),INDEX(Dataset3_Raw!$O$2:$O$391,$E908))</f>
        <v>99</v>
      </c>
      <c r="U908" s="23">
        <f>IF($C908&gt;0,INDEX(Merge_1_2!$P$2:$P$611,$C908),INDEX(Dataset3_Raw!$P$2:$P$391,$E908))</f>
        <v>99</v>
      </c>
      <c r="V908" s="23" t="str">
        <f t="shared" si="85"/>
        <v>Weekday</v>
      </c>
      <c r="W908" s="23" t="str">
        <f>VLOOKUP($M908,Lookups!$A$5:$B$8,2,FALSE())</f>
        <v>Clear / Partly cloudy</v>
      </c>
      <c r="X908" s="23" t="str">
        <f>VLOOKUP($G908,Lookups!$D$5:$E$8,2,FALSE())</f>
        <v>Winter</v>
      </c>
      <c r="Y908" s="23" t="str">
        <f>VLOOKUP($L908,Lookups!$G$5:$H$11,2,FALSE())</f>
        <v>Thursday</v>
      </c>
      <c r="Z908" s="23" t="str">
        <f>IF($J908&lt;Lookups!$B$26,"Night",IF($J908&lt;Lookups!$B$27,"Morning",IF($J908&lt;Lookups!$B$28,"Afternoon","Evening")))</f>
        <v>Morning</v>
      </c>
      <c r="AA908" s="26">
        <f>ROUND($N908*(Lookups!$B$16-Lookups!$B$15)+Lookups!$B$15,1)</f>
        <v>-3.3</v>
      </c>
      <c r="AB908" s="26">
        <f>ROUND($P908*(Lookups!$B$18-Lookups!$B$17)+Lookups!$B$17,1)</f>
        <v>-11</v>
      </c>
      <c r="AC908" s="23">
        <f t="shared" si="86"/>
        <v>50</v>
      </c>
      <c r="AD908" s="23">
        <f>ROUND($R908*Lookups!$B$19,1)</f>
        <v>28</v>
      </c>
      <c r="AE908" s="27">
        <f t="shared" si="87"/>
        <v>1</v>
      </c>
      <c r="AF908" s="23" t="str">
        <f>IF($U908&gt;=Lookups!$B$23,"High",IF($U908&gt;=Lookups!$B$22,"Medium","Low"))</f>
        <v>High</v>
      </c>
      <c r="AG908" s="23">
        <f>ROUND(IF($V908="Weekday",IF(INDEX(Hourly_Analysis!$D$5:$D$28,$J908+1)&gt;0,($U908-INDEX(Hourly_Analysis!$C$5:$C$28,$J908+1))/INDEX(Hourly_Analysis!$D$5:$D$28,$J908+1),0),IF(INDEX(Hourly_Analysis!$G$5:$G$28,$J908+1)&gt;0,($U908-INDEX(Hourly_Analysis!$F$5:$F$28,$J908+1))/INDEX(Hourly_Analysis!$G$5:$G$28,$J908+1),0)),2)</f>
        <v>0.97</v>
      </c>
      <c r="AH908" s="23" t="str">
        <f>IF(ABS($AG908)&gt;Lookups!$B$20,IF($AG908&gt;0,"High anomaly","Low anomaly"),"")</f>
        <v/>
      </c>
      <c r="AI908" s="23" t="str">
        <f t="shared" si="88"/>
        <v>OK</v>
      </c>
      <c r="AJ908" s="23" t="str">
        <f t="shared" si="89"/>
        <v>No</v>
      </c>
    </row>
    <row r="909" spans="1:36" x14ac:dyDescent="0.35">
      <c r="A909" s="23">
        <v>908</v>
      </c>
      <c r="B909" s="23" t="str">
        <f t="shared" si="84"/>
        <v>Dataset 3</v>
      </c>
      <c r="C909" s="23">
        <f>IFERROR(MATCH($A909,Merge_1_2!$A$2:$A$611,0),0)</f>
        <v>0</v>
      </c>
      <c r="D909" s="23">
        <f>IF($C909&gt;0,INDEX(Merge_1_2!$Q$2:$Q$611,$C909),0)</f>
        <v>0</v>
      </c>
      <c r="E909" s="23">
        <f>IFERROR(MATCH($A909,Dataset3_Raw!$A$2:$A$391,0),0)</f>
        <v>298</v>
      </c>
      <c r="F909" s="24">
        <f>IF($C909&gt;0,INDEX(Merge_1_2!$B$2:$B$611,$C909),DATE(VALUE(RIGHT(INDEX(Dataset3_Raw!$B$2:$B$391,$E909),4)),VALUE(MID(INDEX(Dataset3_Raw!$B$2:$B$391,$E909),4,2)),VALUE(LEFT(INDEX(Dataset3_Raw!$B$2:$B$391,$E909),2))))</f>
        <v>40584</v>
      </c>
      <c r="G909" s="23">
        <f>IF($C909&gt;0,INDEX(Merge_1_2!$C$2:$C$611,$C909),INDEX(Dataset3_Raw!$C$2:$C$391,$E909))</f>
        <v>1</v>
      </c>
      <c r="H909" s="23">
        <f>IF($C909&gt;0,INDEX(Merge_1_2!$D$2:$D$611,$C909),INDEX(Dataset3_Raw!$D$2:$D$391,$E909))</f>
        <v>0</v>
      </c>
      <c r="I909" s="23">
        <f>IF($C909&gt;0,INDEX(Merge_1_2!$E$2:$E$611,$C909),INDEX(Dataset3_Raw!$E$2:$E$391,$E909))</f>
        <v>2</v>
      </c>
      <c r="J909" s="23">
        <f>IF($C909&gt;0,INDEX(Merge_1_2!$F$2:$F$611,$C909),INDEX(Dataset3_Raw!$F$2:$F$391,$E909))</f>
        <v>8</v>
      </c>
      <c r="K909" s="23" t="b">
        <f>IF($C909&gt;0,INDEX(Merge_1_2!$G$2:$G$611,$C909),INDEX(Dataset3_Raw!$G$2:$G$391,$E909))</f>
        <v>0</v>
      </c>
      <c r="L909" s="23">
        <f>IF($C909&gt;0,INDEX(Merge_1_2!$H$2:$H$611,$C909),INDEX(Dataset3_Raw!$H$2:$H$391,$E909))</f>
        <v>4</v>
      </c>
      <c r="M909" s="23">
        <f>IF($C909&gt;0,INDEX(Merge_1_2!$I$2:$I$611,$C909),INDEX(Dataset3_Raw!$I$2:$I$391,$E909))</f>
        <v>1</v>
      </c>
      <c r="N909" s="25">
        <f>IF($C909&gt;0,INDEX(Merge_1_2!$J$2:$J$611,$C909),INDEX(Dataset3_Raw!$J$2:$J$391,$E909))</f>
        <v>0.1</v>
      </c>
      <c r="O909" s="25">
        <f>IF($C909&gt;0,IF(ISNUMBER(INDEX(Merge_1_2!$K$2:$K$611,$C909)),INDEX(Merge_1_2!$K$2:$K$611,$C909),""),INDEX(Dataset3_Raw!$K$2:$K$391,$E909))</f>
        <v>7.5800000000000006E-2</v>
      </c>
      <c r="P909" s="25">
        <f>IF(ISNUMBER($O909),$O909,ROUND(Lookups!$B$25+Lookups!$B$24*$N909,4))</f>
        <v>7.5800000000000006E-2</v>
      </c>
      <c r="Q909" s="25">
        <f>IF($C909&gt;0,INDEX(Merge_1_2!$L$2:$L$611,$C909),INDEX(Dataset3_Raw!$L$2:$L$391,$E909))</f>
        <v>0.49</v>
      </c>
      <c r="R909" s="25">
        <f>IF($C909&gt;0,INDEX(Merge_1_2!$M$2:$M$611,$C909),INDEX(Dataset3_Raw!$M$2:$M$391,$E909))</f>
        <v>0.32840000000000003</v>
      </c>
      <c r="S909" s="23">
        <f>IF($C909&gt;0,INDEX(Merge_1_2!$N$2:$N$611,$C909),INDEX(Dataset3_Raw!$N$2:$N$391,$E909))</f>
        <v>5</v>
      </c>
      <c r="T909" s="23">
        <f>IF($C909&gt;0,INDEX(Merge_1_2!$O$2:$O$611,$C909),INDEX(Dataset3_Raw!$O$2:$O$391,$E909))</f>
        <v>173</v>
      </c>
      <c r="U909" s="23">
        <f>IF($C909&gt;0,INDEX(Merge_1_2!$P$2:$P$611,$C909),INDEX(Dataset3_Raw!$P$2:$P$391,$E909))</f>
        <v>178</v>
      </c>
      <c r="V909" s="23" t="str">
        <f t="shared" si="85"/>
        <v>Weekday</v>
      </c>
      <c r="W909" s="23" t="str">
        <f>VLOOKUP($M909,Lookups!$A$5:$B$8,2,FALSE())</f>
        <v>Clear / Partly cloudy</v>
      </c>
      <c r="X909" s="23" t="str">
        <f>VLOOKUP($G909,Lookups!$D$5:$E$8,2,FALSE())</f>
        <v>Winter</v>
      </c>
      <c r="Y909" s="23" t="str">
        <f>VLOOKUP($L909,Lookups!$G$5:$H$11,2,FALSE())</f>
        <v>Thursday</v>
      </c>
      <c r="Z909" s="23" t="str">
        <f>IF($J909&lt;Lookups!$B$26,"Night",IF($J909&lt;Lookups!$B$27,"Morning",IF($J909&lt;Lookups!$B$28,"Afternoon","Evening")))</f>
        <v>Morning</v>
      </c>
      <c r="AA909" s="26">
        <f>ROUND($N909*(Lookups!$B$16-Lookups!$B$15)+Lookups!$B$15,1)</f>
        <v>-3.3</v>
      </c>
      <c r="AB909" s="26">
        <f>ROUND($P909*(Lookups!$B$18-Lookups!$B$17)+Lookups!$B$17,1)</f>
        <v>-11</v>
      </c>
      <c r="AC909" s="23">
        <f t="shared" si="86"/>
        <v>49</v>
      </c>
      <c r="AD909" s="23">
        <f>ROUND($R909*Lookups!$B$19,1)</f>
        <v>22</v>
      </c>
      <c r="AE909" s="27">
        <f t="shared" si="87"/>
        <v>0.9719101123595506</v>
      </c>
      <c r="AF909" s="23" t="str">
        <f>IF($U909&gt;=Lookups!$B$23,"High",IF($U909&gt;=Lookups!$B$22,"Medium","Low"))</f>
        <v>High</v>
      </c>
      <c r="AG909" s="23">
        <f>ROUND(IF($V909="Weekday",IF(INDEX(Hourly_Analysis!$D$5:$D$28,$J909+1)&gt;0,($U909-INDEX(Hourly_Analysis!$C$5:$C$28,$J909+1))/INDEX(Hourly_Analysis!$D$5:$D$28,$J909+1),0),IF(INDEX(Hourly_Analysis!$G$5:$G$28,$J909+1)&gt;0,($U909-INDEX(Hourly_Analysis!$F$5:$F$28,$J909+1))/INDEX(Hourly_Analysis!$G$5:$G$28,$J909+1),0)),2)</f>
        <v>-0.28000000000000003</v>
      </c>
      <c r="AH909" s="23" t="str">
        <f>IF(ABS($AG909)&gt;Lookups!$B$20,IF($AG909&gt;0,"High anomaly","Low anomaly"),"")</f>
        <v/>
      </c>
      <c r="AI909" s="23" t="str">
        <f t="shared" si="88"/>
        <v>OK</v>
      </c>
      <c r="AJ909" s="23" t="str">
        <f t="shared" si="89"/>
        <v>No</v>
      </c>
    </row>
    <row r="910" spans="1:36" x14ac:dyDescent="0.35">
      <c r="A910" s="23">
        <v>909</v>
      </c>
      <c r="B910" s="23" t="str">
        <f t="shared" si="84"/>
        <v>Dataset 3</v>
      </c>
      <c r="C910" s="23">
        <f>IFERROR(MATCH($A910,Merge_1_2!$A$2:$A$611,0),0)</f>
        <v>0</v>
      </c>
      <c r="D910" s="23">
        <f>IF($C910&gt;0,INDEX(Merge_1_2!$Q$2:$Q$611,$C910),0)</f>
        <v>0</v>
      </c>
      <c r="E910" s="23">
        <f>IFERROR(MATCH($A910,Dataset3_Raw!$A$2:$A$391,0),0)</f>
        <v>299</v>
      </c>
      <c r="F910" s="24">
        <f>IF($C910&gt;0,INDEX(Merge_1_2!$B$2:$B$611,$C910),DATE(VALUE(RIGHT(INDEX(Dataset3_Raw!$B$2:$B$391,$E910),4)),VALUE(MID(INDEX(Dataset3_Raw!$B$2:$B$391,$E910),4,2)),VALUE(LEFT(INDEX(Dataset3_Raw!$B$2:$B$391,$E910),2))))</f>
        <v>40584</v>
      </c>
      <c r="G910" s="23">
        <f>IF($C910&gt;0,INDEX(Merge_1_2!$C$2:$C$611,$C910),INDEX(Dataset3_Raw!$C$2:$C$391,$E910))</f>
        <v>1</v>
      </c>
      <c r="H910" s="23">
        <f>IF($C910&gt;0,INDEX(Merge_1_2!$D$2:$D$611,$C910),INDEX(Dataset3_Raw!$D$2:$D$391,$E910))</f>
        <v>0</v>
      </c>
      <c r="I910" s="23">
        <f>IF($C910&gt;0,INDEX(Merge_1_2!$E$2:$E$611,$C910),INDEX(Dataset3_Raw!$E$2:$E$391,$E910))</f>
        <v>2</v>
      </c>
      <c r="J910" s="23">
        <f>IF($C910&gt;0,INDEX(Merge_1_2!$F$2:$F$611,$C910),INDEX(Dataset3_Raw!$F$2:$F$391,$E910))</f>
        <v>9</v>
      </c>
      <c r="K910" s="23" t="b">
        <f>IF($C910&gt;0,INDEX(Merge_1_2!$G$2:$G$611,$C910),INDEX(Dataset3_Raw!$G$2:$G$391,$E910))</f>
        <v>0</v>
      </c>
      <c r="L910" s="23">
        <f>IF($C910&gt;0,INDEX(Merge_1_2!$H$2:$H$611,$C910),INDEX(Dataset3_Raw!$H$2:$H$391,$E910))</f>
        <v>4</v>
      </c>
      <c r="M910" s="23">
        <f>IF($C910&gt;0,INDEX(Merge_1_2!$I$2:$I$611,$C910),INDEX(Dataset3_Raw!$I$2:$I$391,$E910))</f>
        <v>1</v>
      </c>
      <c r="N910" s="25">
        <f>IF($C910&gt;0,INDEX(Merge_1_2!$J$2:$J$611,$C910),INDEX(Dataset3_Raw!$J$2:$J$391,$E910))</f>
        <v>0.12</v>
      </c>
      <c r="O910" s="25">
        <f>IF($C910&gt;0,IF(ISNUMBER(INDEX(Merge_1_2!$K$2:$K$611,$C910)),INDEX(Merge_1_2!$K$2:$K$611,$C910),""),INDEX(Dataset3_Raw!$K$2:$K$391,$E910))</f>
        <v>0.1061</v>
      </c>
      <c r="P910" s="25">
        <f>IF(ISNUMBER($O910),$O910,ROUND(Lookups!$B$25+Lookups!$B$24*$N910,4))</f>
        <v>0.1061</v>
      </c>
      <c r="Q910" s="25">
        <f>IF($C910&gt;0,INDEX(Merge_1_2!$L$2:$L$611,$C910),INDEX(Dataset3_Raw!$L$2:$L$391,$E910))</f>
        <v>0.42</v>
      </c>
      <c r="R910" s="25">
        <f>IF($C910&gt;0,INDEX(Merge_1_2!$M$2:$M$611,$C910),INDEX(Dataset3_Raw!$M$2:$M$391,$E910))</f>
        <v>0.35820000000000002</v>
      </c>
      <c r="S910" s="23">
        <f>IF($C910&gt;0,INDEX(Merge_1_2!$N$2:$N$611,$C910),INDEX(Dataset3_Raw!$N$2:$N$391,$E910))</f>
        <v>1</v>
      </c>
      <c r="T910" s="23">
        <f>IF($C910&gt;0,INDEX(Merge_1_2!$O$2:$O$611,$C910),INDEX(Dataset3_Raw!$O$2:$O$391,$E910))</f>
        <v>121</v>
      </c>
      <c r="U910" s="23">
        <f>IF($C910&gt;0,INDEX(Merge_1_2!$P$2:$P$611,$C910),INDEX(Dataset3_Raw!$P$2:$P$391,$E910))</f>
        <v>122</v>
      </c>
      <c r="V910" s="23" t="str">
        <f t="shared" si="85"/>
        <v>Weekday</v>
      </c>
      <c r="W910" s="23" t="str">
        <f>VLOOKUP($M910,Lookups!$A$5:$B$8,2,FALSE())</f>
        <v>Clear / Partly cloudy</v>
      </c>
      <c r="X910" s="23" t="str">
        <f>VLOOKUP($G910,Lookups!$D$5:$E$8,2,FALSE())</f>
        <v>Winter</v>
      </c>
      <c r="Y910" s="23" t="str">
        <f>VLOOKUP($L910,Lookups!$G$5:$H$11,2,FALSE())</f>
        <v>Thursday</v>
      </c>
      <c r="Z910" s="23" t="str">
        <f>IF($J910&lt;Lookups!$B$26,"Night",IF($J910&lt;Lookups!$B$27,"Morning",IF($J910&lt;Lookups!$B$28,"Afternoon","Evening")))</f>
        <v>Morning</v>
      </c>
      <c r="AA910" s="26">
        <f>ROUND($N910*(Lookups!$B$16-Lookups!$B$15)+Lookups!$B$15,1)</f>
        <v>-2.4</v>
      </c>
      <c r="AB910" s="26">
        <f>ROUND($P910*(Lookups!$B$18-Lookups!$B$17)+Lookups!$B$17,1)</f>
        <v>-9</v>
      </c>
      <c r="AC910" s="23">
        <f t="shared" si="86"/>
        <v>42</v>
      </c>
      <c r="AD910" s="23">
        <f>ROUND($R910*Lookups!$B$19,1)</f>
        <v>24</v>
      </c>
      <c r="AE910" s="27">
        <f t="shared" si="87"/>
        <v>0.99180327868852458</v>
      </c>
      <c r="AF910" s="23" t="str">
        <f>IF($U910&gt;=Lookups!$B$23,"High",IF($U910&gt;=Lookups!$B$22,"Medium","Low"))</f>
        <v>High</v>
      </c>
      <c r="AG910" s="23">
        <f>ROUND(IF($V910="Weekday",IF(INDEX(Hourly_Analysis!$D$5:$D$28,$J910+1)&gt;0,($U910-INDEX(Hourly_Analysis!$C$5:$C$28,$J910+1))/INDEX(Hourly_Analysis!$D$5:$D$28,$J910+1),0),IF(INDEX(Hourly_Analysis!$G$5:$G$28,$J910+1)&gt;0,($U910-INDEX(Hourly_Analysis!$F$5:$F$28,$J910+1))/INDEX(Hourly_Analysis!$G$5:$G$28,$J910+1),0)),2)</f>
        <v>0.17</v>
      </c>
      <c r="AH910" s="23" t="str">
        <f>IF(ABS($AG910)&gt;Lookups!$B$20,IF($AG910&gt;0,"High anomaly","Low anomaly"),"")</f>
        <v/>
      </c>
      <c r="AI910" s="23" t="str">
        <f t="shared" si="88"/>
        <v>OK</v>
      </c>
      <c r="AJ910" s="23" t="str">
        <f t="shared" si="89"/>
        <v>No</v>
      </c>
    </row>
    <row r="911" spans="1:36" x14ac:dyDescent="0.35">
      <c r="A911" s="23">
        <v>910</v>
      </c>
      <c r="B911" s="23" t="str">
        <f t="shared" si="84"/>
        <v>Dataset 3</v>
      </c>
      <c r="C911" s="23">
        <f>IFERROR(MATCH($A911,Merge_1_2!$A$2:$A$611,0),0)</f>
        <v>0</v>
      </c>
      <c r="D911" s="23">
        <f>IF($C911&gt;0,INDEX(Merge_1_2!$Q$2:$Q$611,$C911),0)</f>
        <v>0</v>
      </c>
      <c r="E911" s="23">
        <f>IFERROR(MATCH($A911,Dataset3_Raw!$A$2:$A$391,0),0)</f>
        <v>300</v>
      </c>
      <c r="F911" s="24">
        <f>IF($C911&gt;0,INDEX(Merge_1_2!$B$2:$B$611,$C911),DATE(VALUE(RIGHT(INDEX(Dataset3_Raw!$B$2:$B$391,$E911),4)),VALUE(MID(INDEX(Dataset3_Raw!$B$2:$B$391,$E911),4,2)),VALUE(LEFT(INDEX(Dataset3_Raw!$B$2:$B$391,$E911),2))))</f>
        <v>40584</v>
      </c>
      <c r="G911" s="23">
        <f>IF($C911&gt;0,INDEX(Merge_1_2!$C$2:$C$611,$C911),INDEX(Dataset3_Raw!$C$2:$C$391,$E911))</f>
        <v>1</v>
      </c>
      <c r="H911" s="23">
        <f>IF($C911&gt;0,INDEX(Merge_1_2!$D$2:$D$611,$C911),INDEX(Dataset3_Raw!$D$2:$D$391,$E911))</f>
        <v>0</v>
      </c>
      <c r="I911" s="23">
        <f>IF($C911&gt;0,INDEX(Merge_1_2!$E$2:$E$611,$C911),INDEX(Dataset3_Raw!$E$2:$E$391,$E911))</f>
        <v>2</v>
      </c>
      <c r="J911" s="23">
        <f>IF($C911&gt;0,INDEX(Merge_1_2!$F$2:$F$611,$C911),INDEX(Dataset3_Raw!$F$2:$F$391,$E911))</f>
        <v>10</v>
      </c>
      <c r="K911" s="23" t="b">
        <f>IF($C911&gt;0,INDEX(Merge_1_2!$G$2:$G$611,$C911),INDEX(Dataset3_Raw!$G$2:$G$391,$E911))</f>
        <v>0</v>
      </c>
      <c r="L911" s="23">
        <f>IF($C911&gt;0,INDEX(Merge_1_2!$H$2:$H$611,$C911),INDEX(Dataset3_Raw!$H$2:$H$391,$E911))</f>
        <v>4</v>
      </c>
      <c r="M911" s="23">
        <f>IF($C911&gt;0,INDEX(Merge_1_2!$I$2:$I$611,$C911),INDEX(Dataset3_Raw!$I$2:$I$391,$E911))</f>
        <v>1</v>
      </c>
      <c r="N911" s="25">
        <f>IF($C911&gt;0,INDEX(Merge_1_2!$J$2:$J$611,$C911),INDEX(Dataset3_Raw!$J$2:$J$391,$E911))</f>
        <v>0.12</v>
      </c>
      <c r="O911" s="25">
        <f>IF($C911&gt;0,IF(ISNUMBER(INDEX(Merge_1_2!$K$2:$K$611,$C911)),INDEX(Merge_1_2!$K$2:$K$611,$C911),""),INDEX(Dataset3_Raw!$K$2:$K$391,$E911))</f>
        <v>0.1061</v>
      </c>
      <c r="P911" s="25">
        <f>IF(ISNUMBER($O911),$O911,ROUND(Lookups!$B$25+Lookups!$B$24*$N911,4))</f>
        <v>0.1061</v>
      </c>
      <c r="Q911" s="25">
        <f>IF($C911&gt;0,INDEX(Merge_1_2!$L$2:$L$611,$C911),INDEX(Dataset3_Raw!$L$2:$L$391,$E911))</f>
        <v>0.42</v>
      </c>
      <c r="R911" s="25">
        <f>IF($C911&gt;0,INDEX(Merge_1_2!$M$2:$M$611,$C911),INDEX(Dataset3_Raw!$M$2:$M$391,$E911))</f>
        <v>0.29849999999999999</v>
      </c>
      <c r="S911" s="23">
        <f>IF($C911&gt;0,INDEX(Merge_1_2!$N$2:$N$611,$C911),INDEX(Dataset3_Raw!$N$2:$N$391,$E911))</f>
        <v>1</v>
      </c>
      <c r="T911" s="23">
        <f>IF($C911&gt;0,INDEX(Merge_1_2!$O$2:$O$611,$C911),INDEX(Dataset3_Raw!$O$2:$O$391,$E911))</f>
        <v>34</v>
      </c>
      <c r="U911" s="23">
        <f>IF($C911&gt;0,INDEX(Merge_1_2!$P$2:$P$611,$C911),INDEX(Dataset3_Raw!$P$2:$P$391,$E911))</f>
        <v>35</v>
      </c>
      <c r="V911" s="23" t="str">
        <f t="shared" si="85"/>
        <v>Weekday</v>
      </c>
      <c r="W911" s="23" t="str">
        <f>VLOOKUP($M911,Lookups!$A$5:$B$8,2,FALSE())</f>
        <v>Clear / Partly cloudy</v>
      </c>
      <c r="X911" s="23" t="str">
        <f>VLOOKUP($G911,Lookups!$D$5:$E$8,2,FALSE())</f>
        <v>Winter</v>
      </c>
      <c r="Y911" s="23" t="str">
        <f>VLOOKUP($L911,Lookups!$G$5:$H$11,2,FALSE())</f>
        <v>Thursday</v>
      </c>
      <c r="Z911" s="23" t="str">
        <f>IF($J911&lt;Lookups!$B$26,"Night",IF($J911&lt;Lookups!$B$27,"Morning",IF($J911&lt;Lookups!$B$28,"Afternoon","Evening")))</f>
        <v>Morning</v>
      </c>
      <c r="AA911" s="26">
        <f>ROUND($N911*(Lookups!$B$16-Lookups!$B$15)+Lookups!$B$15,1)</f>
        <v>-2.4</v>
      </c>
      <c r="AB911" s="26">
        <f>ROUND($P911*(Lookups!$B$18-Lookups!$B$17)+Lookups!$B$17,1)</f>
        <v>-9</v>
      </c>
      <c r="AC911" s="23">
        <f t="shared" si="86"/>
        <v>42</v>
      </c>
      <c r="AD911" s="23">
        <f>ROUND($R911*Lookups!$B$19,1)</f>
        <v>20</v>
      </c>
      <c r="AE911" s="27">
        <f t="shared" si="87"/>
        <v>0.97142857142857142</v>
      </c>
      <c r="AF911" s="23" t="str">
        <f>IF($U911&gt;=Lookups!$B$23,"High",IF($U911&gt;=Lookups!$B$22,"Medium","Low"))</f>
        <v>Medium</v>
      </c>
      <c r="AG911" s="23">
        <f>ROUND(IF($V911="Weekday",IF(INDEX(Hourly_Analysis!$D$5:$D$28,$J911+1)&gt;0,($U911-INDEX(Hourly_Analysis!$C$5:$C$28,$J911+1))/INDEX(Hourly_Analysis!$D$5:$D$28,$J911+1),0),IF(INDEX(Hourly_Analysis!$G$5:$G$28,$J911+1)&gt;0,($U911-INDEX(Hourly_Analysis!$F$5:$F$28,$J911+1))/INDEX(Hourly_Analysis!$G$5:$G$28,$J911+1),0)),2)</f>
        <v>-1.36</v>
      </c>
      <c r="AH911" s="23" t="str">
        <f>IF(ABS($AG911)&gt;Lookups!$B$20,IF($AG911&gt;0,"High anomaly","Low anomaly"),"")</f>
        <v/>
      </c>
      <c r="AI911" s="23" t="str">
        <f t="shared" si="88"/>
        <v>OK</v>
      </c>
      <c r="AJ911" s="23" t="str">
        <f t="shared" si="89"/>
        <v>No</v>
      </c>
    </row>
    <row r="912" spans="1:36" x14ac:dyDescent="0.35">
      <c r="A912" s="23">
        <v>911</v>
      </c>
      <c r="B912" s="23" t="str">
        <f t="shared" si="84"/>
        <v>Dataset 3</v>
      </c>
      <c r="C912" s="23">
        <f>IFERROR(MATCH($A912,Merge_1_2!$A$2:$A$611,0),0)</f>
        <v>0</v>
      </c>
      <c r="D912" s="23">
        <f>IF($C912&gt;0,INDEX(Merge_1_2!$Q$2:$Q$611,$C912),0)</f>
        <v>0</v>
      </c>
      <c r="E912" s="23">
        <f>IFERROR(MATCH($A912,Dataset3_Raw!$A$2:$A$391,0),0)</f>
        <v>301</v>
      </c>
      <c r="F912" s="24">
        <f>IF($C912&gt;0,INDEX(Merge_1_2!$B$2:$B$611,$C912),DATE(VALUE(RIGHT(INDEX(Dataset3_Raw!$B$2:$B$391,$E912),4)),VALUE(MID(INDEX(Dataset3_Raw!$B$2:$B$391,$E912),4,2)),VALUE(LEFT(INDEX(Dataset3_Raw!$B$2:$B$391,$E912),2))))</f>
        <v>40584</v>
      </c>
      <c r="G912" s="23">
        <f>IF($C912&gt;0,INDEX(Merge_1_2!$C$2:$C$611,$C912),INDEX(Dataset3_Raw!$C$2:$C$391,$E912))</f>
        <v>1</v>
      </c>
      <c r="H912" s="23">
        <f>IF($C912&gt;0,INDEX(Merge_1_2!$D$2:$D$611,$C912),INDEX(Dataset3_Raw!$D$2:$D$391,$E912))</f>
        <v>0</v>
      </c>
      <c r="I912" s="23">
        <f>IF($C912&gt;0,INDEX(Merge_1_2!$E$2:$E$611,$C912),INDEX(Dataset3_Raw!$E$2:$E$391,$E912))</f>
        <v>2</v>
      </c>
      <c r="J912" s="23">
        <f>IF($C912&gt;0,INDEX(Merge_1_2!$F$2:$F$611,$C912),INDEX(Dataset3_Raw!$F$2:$F$391,$E912))</f>
        <v>11</v>
      </c>
      <c r="K912" s="23" t="b">
        <f>IF($C912&gt;0,INDEX(Merge_1_2!$G$2:$G$611,$C912),INDEX(Dataset3_Raw!$G$2:$G$391,$E912))</f>
        <v>0</v>
      </c>
      <c r="L912" s="23">
        <f>IF($C912&gt;0,INDEX(Merge_1_2!$H$2:$H$611,$C912),INDEX(Dataset3_Raw!$H$2:$H$391,$E912))</f>
        <v>4</v>
      </c>
      <c r="M912" s="23">
        <f>IF($C912&gt;0,INDEX(Merge_1_2!$I$2:$I$611,$C912),INDEX(Dataset3_Raw!$I$2:$I$391,$E912))</f>
        <v>1</v>
      </c>
      <c r="N912" s="25">
        <f>IF($C912&gt;0,INDEX(Merge_1_2!$J$2:$J$611,$C912),INDEX(Dataset3_Raw!$J$2:$J$391,$E912))</f>
        <v>0.14000000000000001</v>
      </c>
      <c r="O912" s="25">
        <f>IF($C912&gt;0,IF(ISNUMBER(INDEX(Merge_1_2!$K$2:$K$611,$C912)),INDEX(Merge_1_2!$K$2:$K$611,$C912),""),INDEX(Dataset3_Raw!$K$2:$K$391,$E912))</f>
        <v>0.1212</v>
      </c>
      <c r="P912" s="25">
        <f>IF(ISNUMBER($O912),$O912,ROUND(Lookups!$B$25+Lookups!$B$24*$N912,4))</f>
        <v>0.1212</v>
      </c>
      <c r="Q912" s="25">
        <f>IF($C912&gt;0,INDEX(Merge_1_2!$L$2:$L$611,$C912),INDEX(Dataset3_Raw!$L$2:$L$391,$E912))</f>
        <v>0.39</v>
      </c>
      <c r="R912" s="25">
        <f>IF($C912&gt;0,INDEX(Merge_1_2!$M$2:$M$611,$C912),INDEX(Dataset3_Raw!$M$2:$M$391,$E912))</f>
        <v>0.35820000000000002</v>
      </c>
      <c r="S912" s="23">
        <f>IF($C912&gt;0,INDEX(Merge_1_2!$N$2:$N$611,$C912),INDEX(Dataset3_Raw!$N$2:$N$391,$E912))</f>
        <v>1</v>
      </c>
      <c r="T912" s="23">
        <f>IF($C912&gt;0,INDEX(Merge_1_2!$O$2:$O$611,$C912),INDEX(Dataset3_Raw!$O$2:$O$391,$E912))</f>
        <v>44</v>
      </c>
      <c r="U912" s="23">
        <f>IF($C912&gt;0,INDEX(Merge_1_2!$P$2:$P$611,$C912),INDEX(Dataset3_Raw!$P$2:$P$391,$E912))</f>
        <v>45</v>
      </c>
      <c r="V912" s="23" t="str">
        <f t="shared" si="85"/>
        <v>Weekday</v>
      </c>
      <c r="W912" s="23" t="str">
        <f>VLOOKUP($M912,Lookups!$A$5:$B$8,2,FALSE())</f>
        <v>Clear / Partly cloudy</v>
      </c>
      <c r="X912" s="23" t="str">
        <f>VLOOKUP($G912,Lookups!$D$5:$E$8,2,FALSE())</f>
        <v>Winter</v>
      </c>
      <c r="Y912" s="23" t="str">
        <f>VLOOKUP($L912,Lookups!$G$5:$H$11,2,FALSE())</f>
        <v>Thursday</v>
      </c>
      <c r="Z912" s="23" t="str">
        <f>IF($J912&lt;Lookups!$B$26,"Night",IF($J912&lt;Lookups!$B$27,"Morning",IF($J912&lt;Lookups!$B$28,"Afternoon","Evening")))</f>
        <v>Morning</v>
      </c>
      <c r="AA912" s="26">
        <f>ROUND($N912*(Lookups!$B$16-Lookups!$B$15)+Lookups!$B$15,1)</f>
        <v>-1.4</v>
      </c>
      <c r="AB912" s="26">
        <f>ROUND($P912*(Lookups!$B$18-Lookups!$B$17)+Lookups!$B$17,1)</f>
        <v>-8</v>
      </c>
      <c r="AC912" s="23">
        <f t="shared" si="86"/>
        <v>39</v>
      </c>
      <c r="AD912" s="23">
        <f>ROUND($R912*Lookups!$B$19,1)</f>
        <v>24</v>
      </c>
      <c r="AE912" s="27">
        <f t="shared" si="87"/>
        <v>0.97777777777777775</v>
      </c>
      <c r="AF912" s="23" t="str">
        <f>IF($U912&gt;=Lookups!$B$23,"High",IF($U912&gt;=Lookups!$B$22,"Medium","Low"))</f>
        <v>Medium</v>
      </c>
      <c r="AG912" s="23">
        <f>ROUND(IF($V912="Weekday",IF(INDEX(Hourly_Analysis!$D$5:$D$28,$J912+1)&gt;0,($U912-INDEX(Hourly_Analysis!$C$5:$C$28,$J912+1))/INDEX(Hourly_Analysis!$D$5:$D$28,$J912+1),0),IF(INDEX(Hourly_Analysis!$G$5:$G$28,$J912+1)&gt;0,($U912-INDEX(Hourly_Analysis!$F$5:$F$28,$J912+1))/INDEX(Hourly_Analysis!$G$5:$G$28,$J912+1),0)),2)</f>
        <v>-0.46</v>
      </c>
      <c r="AH912" s="23" t="str">
        <f>IF(ABS($AG912)&gt;Lookups!$B$20,IF($AG912&gt;0,"High anomaly","Low anomaly"),"")</f>
        <v/>
      </c>
      <c r="AI912" s="23" t="str">
        <f t="shared" si="88"/>
        <v>OK</v>
      </c>
      <c r="AJ912" s="23" t="str">
        <f t="shared" si="89"/>
        <v>No</v>
      </c>
    </row>
    <row r="913" spans="1:36" x14ac:dyDescent="0.35">
      <c r="A913" s="23">
        <v>912</v>
      </c>
      <c r="B913" s="23" t="str">
        <f t="shared" si="84"/>
        <v>Dataset 3</v>
      </c>
      <c r="C913" s="23">
        <f>IFERROR(MATCH($A913,Merge_1_2!$A$2:$A$611,0),0)</f>
        <v>0</v>
      </c>
      <c r="D913" s="23">
        <f>IF($C913&gt;0,INDEX(Merge_1_2!$Q$2:$Q$611,$C913),0)</f>
        <v>0</v>
      </c>
      <c r="E913" s="23">
        <f>IFERROR(MATCH($A913,Dataset3_Raw!$A$2:$A$391,0),0)</f>
        <v>302</v>
      </c>
      <c r="F913" s="24">
        <f>IF($C913&gt;0,INDEX(Merge_1_2!$B$2:$B$611,$C913),DATE(VALUE(RIGHT(INDEX(Dataset3_Raw!$B$2:$B$391,$E913),4)),VALUE(MID(INDEX(Dataset3_Raw!$B$2:$B$391,$E913),4,2)),VALUE(LEFT(INDEX(Dataset3_Raw!$B$2:$B$391,$E913),2))))</f>
        <v>40584</v>
      </c>
      <c r="G913" s="23">
        <f>IF($C913&gt;0,INDEX(Merge_1_2!$C$2:$C$611,$C913),INDEX(Dataset3_Raw!$C$2:$C$391,$E913))</f>
        <v>1</v>
      </c>
      <c r="H913" s="23">
        <f>IF($C913&gt;0,INDEX(Merge_1_2!$D$2:$D$611,$C913),INDEX(Dataset3_Raw!$D$2:$D$391,$E913))</f>
        <v>0</v>
      </c>
      <c r="I913" s="23">
        <f>IF($C913&gt;0,INDEX(Merge_1_2!$E$2:$E$611,$C913),INDEX(Dataset3_Raw!$E$2:$E$391,$E913))</f>
        <v>2</v>
      </c>
      <c r="J913" s="23">
        <f>IF($C913&gt;0,INDEX(Merge_1_2!$F$2:$F$611,$C913),INDEX(Dataset3_Raw!$F$2:$F$391,$E913))</f>
        <v>12</v>
      </c>
      <c r="K913" s="23" t="b">
        <f>IF($C913&gt;0,INDEX(Merge_1_2!$G$2:$G$611,$C913),INDEX(Dataset3_Raw!$G$2:$G$391,$E913))</f>
        <v>0</v>
      </c>
      <c r="L913" s="23">
        <f>IF($C913&gt;0,INDEX(Merge_1_2!$H$2:$H$611,$C913),INDEX(Dataset3_Raw!$H$2:$H$391,$E913))</f>
        <v>4</v>
      </c>
      <c r="M913" s="23">
        <f>IF($C913&gt;0,INDEX(Merge_1_2!$I$2:$I$611,$C913),INDEX(Dataset3_Raw!$I$2:$I$391,$E913))</f>
        <v>1</v>
      </c>
      <c r="N913" s="25">
        <f>IF($C913&gt;0,INDEX(Merge_1_2!$J$2:$J$611,$C913),INDEX(Dataset3_Raw!$J$2:$J$391,$E913))</f>
        <v>0.16</v>
      </c>
      <c r="O913" s="25">
        <f>IF($C913&gt;0,IF(ISNUMBER(INDEX(Merge_1_2!$K$2:$K$611,$C913)),INDEX(Merge_1_2!$K$2:$K$611,$C913),""),INDEX(Dataset3_Raw!$K$2:$K$391,$E913))</f>
        <v>0.13639999999999999</v>
      </c>
      <c r="P913" s="25">
        <f>IF(ISNUMBER($O913),$O913,ROUND(Lookups!$B$25+Lookups!$B$24*$N913,4))</f>
        <v>0.13639999999999999</v>
      </c>
      <c r="Q913" s="25">
        <f>IF($C913&gt;0,INDEX(Merge_1_2!$L$2:$L$611,$C913),INDEX(Dataset3_Raw!$L$2:$L$391,$E913))</f>
        <v>0.34</v>
      </c>
      <c r="R913" s="25">
        <f>IF($C913&gt;0,INDEX(Merge_1_2!$M$2:$M$611,$C913),INDEX(Dataset3_Raw!$M$2:$M$391,$E913))</f>
        <v>0.3881</v>
      </c>
      <c r="S913" s="23">
        <f>IF($C913&gt;0,INDEX(Merge_1_2!$N$2:$N$611,$C913),INDEX(Dataset3_Raw!$N$2:$N$391,$E913))</f>
        <v>4</v>
      </c>
      <c r="T913" s="23">
        <f>IF($C913&gt;0,INDEX(Merge_1_2!$O$2:$O$611,$C913),INDEX(Dataset3_Raw!$O$2:$O$391,$E913))</f>
        <v>65</v>
      </c>
      <c r="U913" s="23">
        <f>IF($C913&gt;0,INDEX(Merge_1_2!$P$2:$P$611,$C913),INDEX(Dataset3_Raw!$P$2:$P$391,$E913))</f>
        <v>69</v>
      </c>
      <c r="V913" s="23" t="str">
        <f t="shared" si="85"/>
        <v>Weekday</v>
      </c>
      <c r="W913" s="23" t="str">
        <f>VLOOKUP($M913,Lookups!$A$5:$B$8,2,FALSE())</f>
        <v>Clear / Partly cloudy</v>
      </c>
      <c r="X913" s="23" t="str">
        <f>VLOOKUP($G913,Lookups!$D$5:$E$8,2,FALSE())</f>
        <v>Winter</v>
      </c>
      <c r="Y913" s="23" t="str">
        <f>VLOOKUP($L913,Lookups!$G$5:$H$11,2,FALSE())</f>
        <v>Thursday</v>
      </c>
      <c r="Z913" s="23" t="str">
        <f>IF($J913&lt;Lookups!$B$26,"Night",IF($J913&lt;Lookups!$B$27,"Morning",IF($J913&lt;Lookups!$B$28,"Afternoon","Evening")))</f>
        <v>Afternoon</v>
      </c>
      <c r="AA913" s="26">
        <f>ROUND($N913*(Lookups!$B$16-Lookups!$B$15)+Lookups!$B$15,1)</f>
        <v>-0.5</v>
      </c>
      <c r="AB913" s="26">
        <f>ROUND($P913*(Lookups!$B$18-Lookups!$B$17)+Lookups!$B$17,1)</f>
        <v>-7</v>
      </c>
      <c r="AC913" s="23">
        <f t="shared" si="86"/>
        <v>34</v>
      </c>
      <c r="AD913" s="23">
        <f>ROUND($R913*Lookups!$B$19,1)</f>
        <v>26</v>
      </c>
      <c r="AE913" s="27">
        <f t="shared" si="87"/>
        <v>0.94202898550724634</v>
      </c>
      <c r="AF913" s="23" t="str">
        <f>IF($U913&gt;=Lookups!$B$23,"High",IF($U913&gt;=Lookups!$B$22,"Medium","Low"))</f>
        <v>Medium</v>
      </c>
      <c r="AG913" s="23">
        <f>ROUND(IF($V913="Weekday",IF(INDEX(Hourly_Analysis!$D$5:$D$28,$J913+1)&gt;0,($U913-INDEX(Hourly_Analysis!$C$5:$C$28,$J913+1))/INDEX(Hourly_Analysis!$D$5:$D$28,$J913+1),0),IF(INDEX(Hourly_Analysis!$G$5:$G$28,$J913+1)&gt;0,($U913-INDEX(Hourly_Analysis!$F$5:$F$28,$J913+1))/INDEX(Hourly_Analysis!$G$5:$G$28,$J913+1),0)),2)</f>
        <v>0.26</v>
      </c>
      <c r="AH913" s="23" t="str">
        <f>IF(ABS($AG913)&gt;Lookups!$B$20,IF($AG913&gt;0,"High anomaly","Low anomaly"),"")</f>
        <v/>
      </c>
      <c r="AI913" s="23" t="str">
        <f t="shared" si="88"/>
        <v>OK</v>
      </c>
      <c r="AJ913" s="23" t="str">
        <f t="shared" si="89"/>
        <v>No</v>
      </c>
    </row>
    <row r="914" spans="1:36" x14ac:dyDescent="0.35">
      <c r="A914" s="23">
        <v>913</v>
      </c>
      <c r="B914" s="23" t="str">
        <f t="shared" si="84"/>
        <v>Dataset 3</v>
      </c>
      <c r="C914" s="23">
        <f>IFERROR(MATCH($A914,Merge_1_2!$A$2:$A$611,0),0)</f>
        <v>0</v>
      </c>
      <c r="D914" s="23">
        <f>IF($C914&gt;0,INDEX(Merge_1_2!$Q$2:$Q$611,$C914),0)</f>
        <v>0</v>
      </c>
      <c r="E914" s="23">
        <f>IFERROR(MATCH($A914,Dataset3_Raw!$A$2:$A$391,0),0)</f>
        <v>303</v>
      </c>
      <c r="F914" s="24">
        <f>IF($C914&gt;0,INDEX(Merge_1_2!$B$2:$B$611,$C914),DATE(VALUE(RIGHT(INDEX(Dataset3_Raw!$B$2:$B$391,$E914),4)),VALUE(MID(INDEX(Dataset3_Raw!$B$2:$B$391,$E914),4,2)),VALUE(LEFT(INDEX(Dataset3_Raw!$B$2:$B$391,$E914),2))))</f>
        <v>40584</v>
      </c>
      <c r="G914" s="23">
        <f>IF($C914&gt;0,INDEX(Merge_1_2!$C$2:$C$611,$C914),INDEX(Dataset3_Raw!$C$2:$C$391,$E914))</f>
        <v>1</v>
      </c>
      <c r="H914" s="23">
        <f>IF($C914&gt;0,INDEX(Merge_1_2!$D$2:$D$611,$C914),INDEX(Dataset3_Raw!$D$2:$D$391,$E914))</f>
        <v>0</v>
      </c>
      <c r="I914" s="23">
        <f>IF($C914&gt;0,INDEX(Merge_1_2!$E$2:$E$611,$C914),INDEX(Dataset3_Raw!$E$2:$E$391,$E914))</f>
        <v>2</v>
      </c>
      <c r="J914" s="23">
        <f>IF($C914&gt;0,INDEX(Merge_1_2!$F$2:$F$611,$C914),INDEX(Dataset3_Raw!$F$2:$F$391,$E914))</f>
        <v>13</v>
      </c>
      <c r="K914" s="23" t="b">
        <f>IF($C914&gt;0,INDEX(Merge_1_2!$G$2:$G$611,$C914),INDEX(Dataset3_Raw!$G$2:$G$391,$E914))</f>
        <v>0</v>
      </c>
      <c r="L914" s="23">
        <f>IF($C914&gt;0,INDEX(Merge_1_2!$H$2:$H$611,$C914),INDEX(Dataset3_Raw!$H$2:$H$391,$E914))</f>
        <v>4</v>
      </c>
      <c r="M914" s="23">
        <f>IF($C914&gt;0,INDEX(Merge_1_2!$I$2:$I$611,$C914),INDEX(Dataset3_Raw!$I$2:$I$391,$E914))</f>
        <v>1</v>
      </c>
      <c r="N914" s="25">
        <f>IF($C914&gt;0,INDEX(Merge_1_2!$J$2:$J$611,$C914),INDEX(Dataset3_Raw!$J$2:$J$391,$E914))</f>
        <v>0.18</v>
      </c>
      <c r="O914" s="25">
        <f>IF($C914&gt;0,IF(ISNUMBER(INDEX(Merge_1_2!$K$2:$K$611,$C914)),INDEX(Merge_1_2!$K$2:$K$611,$C914),""),INDEX(Dataset3_Raw!$K$2:$K$391,$E914))</f>
        <v>0.16669999999999999</v>
      </c>
      <c r="P914" s="25">
        <f>IF(ISNUMBER($O914),$O914,ROUND(Lookups!$B$25+Lookups!$B$24*$N914,4))</f>
        <v>0.16669999999999999</v>
      </c>
      <c r="Q914" s="25">
        <f>IF($C914&gt;0,INDEX(Merge_1_2!$L$2:$L$611,$C914),INDEX(Dataset3_Raw!$L$2:$L$391,$E914))</f>
        <v>0.28999999999999998</v>
      </c>
      <c r="R914" s="25">
        <f>IF($C914&gt;0,INDEX(Merge_1_2!$M$2:$M$611,$C914),INDEX(Dataset3_Raw!$M$2:$M$391,$E914))</f>
        <v>0.29849999999999999</v>
      </c>
      <c r="S914" s="23">
        <f>IF($C914&gt;0,INDEX(Merge_1_2!$N$2:$N$611,$C914),INDEX(Dataset3_Raw!$N$2:$N$391,$E914))</f>
        <v>3</v>
      </c>
      <c r="T914" s="23">
        <f>IF($C914&gt;0,INDEX(Merge_1_2!$O$2:$O$611,$C914),INDEX(Dataset3_Raw!$O$2:$O$391,$E914))</f>
        <v>59</v>
      </c>
      <c r="U914" s="23">
        <f>IF($C914&gt;0,INDEX(Merge_1_2!$P$2:$P$611,$C914),INDEX(Dataset3_Raw!$P$2:$P$391,$E914))</f>
        <v>62</v>
      </c>
      <c r="V914" s="23" t="str">
        <f t="shared" si="85"/>
        <v>Weekday</v>
      </c>
      <c r="W914" s="23" t="str">
        <f>VLOOKUP($M914,Lookups!$A$5:$B$8,2,FALSE())</f>
        <v>Clear / Partly cloudy</v>
      </c>
      <c r="X914" s="23" t="str">
        <f>VLOOKUP($G914,Lookups!$D$5:$E$8,2,FALSE())</f>
        <v>Winter</v>
      </c>
      <c r="Y914" s="23" t="str">
        <f>VLOOKUP($L914,Lookups!$G$5:$H$11,2,FALSE())</f>
        <v>Thursday</v>
      </c>
      <c r="Z914" s="23" t="str">
        <f>IF($J914&lt;Lookups!$B$26,"Night",IF($J914&lt;Lookups!$B$27,"Morning",IF($J914&lt;Lookups!$B$28,"Afternoon","Evening")))</f>
        <v>Afternoon</v>
      </c>
      <c r="AA914" s="26">
        <f>ROUND($N914*(Lookups!$B$16-Lookups!$B$15)+Lookups!$B$15,1)</f>
        <v>0.5</v>
      </c>
      <c r="AB914" s="26">
        <f>ROUND($P914*(Lookups!$B$18-Lookups!$B$17)+Lookups!$B$17,1)</f>
        <v>-5</v>
      </c>
      <c r="AC914" s="23">
        <f t="shared" si="86"/>
        <v>29</v>
      </c>
      <c r="AD914" s="23">
        <f>ROUND($R914*Lookups!$B$19,1)</f>
        <v>20</v>
      </c>
      <c r="AE914" s="27">
        <f t="shared" si="87"/>
        <v>0.95161290322580649</v>
      </c>
      <c r="AF914" s="23" t="str">
        <f>IF($U914&gt;=Lookups!$B$23,"High",IF($U914&gt;=Lookups!$B$22,"Medium","Low"))</f>
        <v>Medium</v>
      </c>
      <c r="AG914" s="23">
        <f>ROUND(IF($V914="Weekday",IF(INDEX(Hourly_Analysis!$D$5:$D$28,$J914+1)&gt;0,($U914-INDEX(Hourly_Analysis!$C$5:$C$28,$J914+1))/INDEX(Hourly_Analysis!$D$5:$D$28,$J914+1),0),IF(INDEX(Hourly_Analysis!$G$5:$G$28,$J914+1)&gt;0,($U914-INDEX(Hourly_Analysis!$F$5:$F$28,$J914+1))/INDEX(Hourly_Analysis!$G$5:$G$28,$J914+1),0)),2)</f>
        <v>-0.21</v>
      </c>
      <c r="AH914" s="23" t="str">
        <f>IF(ABS($AG914)&gt;Lookups!$B$20,IF($AG914&gt;0,"High anomaly","Low anomaly"),"")</f>
        <v/>
      </c>
      <c r="AI914" s="23" t="str">
        <f t="shared" si="88"/>
        <v>OK</v>
      </c>
      <c r="AJ914" s="23" t="str">
        <f t="shared" si="89"/>
        <v>No</v>
      </c>
    </row>
    <row r="915" spans="1:36" x14ac:dyDescent="0.35">
      <c r="A915" s="23">
        <v>914</v>
      </c>
      <c r="B915" s="23" t="str">
        <f t="shared" si="84"/>
        <v>Dataset 3</v>
      </c>
      <c r="C915" s="23">
        <f>IFERROR(MATCH($A915,Merge_1_2!$A$2:$A$611,0),0)</f>
        <v>0</v>
      </c>
      <c r="D915" s="23">
        <f>IF($C915&gt;0,INDEX(Merge_1_2!$Q$2:$Q$611,$C915),0)</f>
        <v>0</v>
      </c>
      <c r="E915" s="23">
        <f>IFERROR(MATCH($A915,Dataset3_Raw!$A$2:$A$391,0),0)</f>
        <v>304</v>
      </c>
      <c r="F915" s="24">
        <f>IF($C915&gt;0,INDEX(Merge_1_2!$B$2:$B$611,$C915),DATE(VALUE(RIGHT(INDEX(Dataset3_Raw!$B$2:$B$391,$E915),4)),VALUE(MID(INDEX(Dataset3_Raw!$B$2:$B$391,$E915),4,2)),VALUE(LEFT(INDEX(Dataset3_Raw!$B$2:$B$391,$E915),2))))</f>
        <v>40584</v>
      </c>
      <c r="G915" s="23">
        <f>IF($C915&gt;0,INDEX(Merge_1_2!$C$2:$C$611,$C915),INDEX(Dataset3_Raw!$C$2:$C$391,$E915))</f>
        <v>1</v>
      </c>
      <c r="H915" s="23">
        <f>IF($C915&gt;0,INDEX(Merge_1_2!$D$2:$D$611,$C915),INDEX(Dataset3_Raw!$D$2:$D$391,$E915))</f>
        <v>0</v>
      </c>
      <c r="I915" s="23">
        <f>IF($C915&gt;0,INDEX(Merge_1_2!$E$2:$E$611,$C915),INDEX(Dataset3_Raw!$E$2:$E$391,$E915))</f>
        <v>2</v>
      </c>
      <c r="J915" s="23">
        <f>IF($C915&gt;0,INDEX(Merge_1_2!$F$2:$F$611,$C915),INDEX(Dataset3_Raw!$F$2:$F$391,$E915))</f>
        <v>14</v>
      </c>
      <c r="K915" s="23" t="b">
        <f>IF($C915&gt;0,INDEX(Merge_1_2!$G$2:$G$611,$C915),INDEX(Dataset3_Raw!$G$2:$G$391,$E915))</f>
        <v>0</v>
      </c>
      <c r="L915" s="23">
        <f>IF($C915&gt;0,INDEX(Merge_1_2!$H$2:$H$611,$C915),INDEX(Dataset3_Raw!$H$2:$H$391,$E915))</f>
        <v>4</v>
      </c>
      <c r="M915" s="23">
        <f>IF($C915&gt;0,INDEX(Merge_1_2!$I$2:$I$611,$C915),INDEX(Dataset3_Raw!$I$2:$I$391,$E915))</f>
        <v>1</v>
      </c>
      <c r="N915" s="25">
        <f>IF($C915&gt;0,INDEX(Merge_1_2!$J$2:$J$611,$C915),INDEX(Dataset3_Raw!$J$2:$J$391,$E915))</f>
        <v>0.2</v>
      </c>
      <c r="O915" s="25">
        <f>IF($C915&gt;0,IF(ISNUMBER(INDEX(Merge_1_2!$K$2:$K$611,$C915)),INDEX(Merge_1_2!$K$2:$K$611,$C915),""),INDEX(Dataset3_Raw!$K$2:$K$391,$E915))</f>
        <v>0.18179999999999999</v>
      </c>
      <c r="P915" s="25">
        <f>IF(ISNUMBER($O915),$O915,ROUND(Lookups!$B$25+Lookups!$B$24*$N915,4))</f>
        <v>0.18179999999999999</v>
      </c>
      <c r="Q915" s="25">
        <f>IF($C915&gt;0,INDEX(Merge_1_2!$L$2:$L$611,$C915),INDEX(Dataset3_Raw!$L$2:$L$391,$E915))</f>
        <v>0.27</v>
      </c>
      <c r="R915" s="25">
        <f>IF($C915&gt;0,INDEX(Merge_1_2!$M$2:$M$611,$C915),INDEX(Dataset3_Raw!$M$2:$M$391,$E915))</f>
        <v>0.28360000000000002</v>
      </c>
      <c r="S915" s="23">
        <f>IF($C915&gt;0,INDEX(Merge_1_2!$N$2:$N$611,$C915),INDEX(Dataset3_Raw!$N$2:$N$391,$E915))</f>
        <v>6</v>
      </c>
      <c r="T915" s="23">
        <f>IF($C915&gt;0,INDEX(Merge_1_2!$O$2:$O$611,$C915),INDEX(Dataset3_Raw!$O$2:$O$391,$E915))</f>
        <v>42</v>
      </c>
      <c r="U915" s="23">
        <f>IF($C915&gt;0,INDEX(Merge_1_2!$P$2:$P$611,$C915),INDEX(Dataset3_Raw!$P$2:$P$391,$E915))</f>
        <v>48</v>
      </c>
      <c r="V915" s="23" t="str">
        <f t="shared" si="85"/>
        <v>Weekday</v>
      </c>
      <c r="W915" s="23" t="str">
        <f>VLOOKUP($M915,Lookups!$A$5:$B$8,2,FALSE())</f>
        <v>Clear / Partly cloudy</v>
      </c>
      <c r="X915" s="23" t="str">
        <f>VLOOKUP($G915,Lookups!$D$5:$E$8,2,FALSE())</f>
        <v>Winter</v>
      </c>
      <c r="Y915" s="23" t="str">
        <f>VLOOKUP($L915,Lookups!$G$5:$H$11,2,FALSE())</f>
        <v>Thursday</v>
      </c>
      <c r="Z915" s="23" t="str">
        <f>IF($J915&lt;Lookups!$B$26,"Night",IF($J915&lt;Lookups!$B$27,"Morning",IF($J915&lt;Lookups!$B$28,"Afternoon","Evening")))</f>
        <v>Afternoon</v>
      </c>
      <c r="AA915" s="26">
        <f>ROUND($N915*(Lookups!$B$16-Lookups!$B$15)+Lookups!$B$15,1)</f>
        <v>1.4</v>
      </c>
      <c r="AB915" s="26">
        <f>ROUND($P915*(Lookups!$B$18-Lookups!$B$17)+Lookups!$B$17,1)</f>
        <v>-4</v>
      </c>
      <c r="AC915" s="23">
        <f t="shared" si="86"/>
        <v>27</v>
      </c>
      <c r="AD915" s="23">
        <f>ROUND($R915*Lookups!$B$19,1)</f>
        <v>19</v>
      </c>
      <c r="AE915" s="27">
        <f t="shared" si="87"/>
        <v>0.875</v>
      </c>
      <c r="AF915" s="23" t="str">
        <f>IF($U915&gt;=Lookups!$B$23,"High",IF($U915&gt;=Lookups!$B$22,"Medium","Low"))</f>
        <v>Medium</v>
      </c>
      <c r="AG915" s="23">
        <f>ROUND(IF($V915="Weekday",IF(INDEX(Hourly_Analysis!$D$5:$D$28,$J915+1)&gt;0,($U915-INDEX(Hourly_Analysis!$C$5:$C$28,$J915+1))/INDEX(Hourly_Analysis!$D$5:$D$28,$J915+1),0),IF(INDEX(Hourly_Analysis!$G$5:$G$28,$J915+1)&gt;0,($U915-INDEX(Hourly_Analysis!$F$5:$F$28,$J915+1))/INDEX(Hourly_Analysis!$G$5:$G$28,$J915+1),0)),2)</f>
        <v>-0.73</v>
      </c>
      <c r="AH915" s="23" t="str">
        <f>IF(ABS($AG915)&gt;Lookups!$B$20,IF($AG915&gt;0,"High anomaly","Low anomaly"),"")</f>
        <v/>
      </c>
      <c r="AI915" s="23" t="str">
        <f t="shared" si="88"/>
        <v>OK</v>
      </c>
      <c r="AJ915" s="23" t="str">
        <f t="shared" si="89"/>
        <v>No</v>
      </c>
    </row>
    <row r="916" spans="1:36" x14ac:dyDescent="0.35">
      <c r="A916" s="23">
        <v>915</v>
      </c>
      <c r="B916" s="23" t="str">
        <f t="shared" si="84"/>
        <v>Dataset 3</v>
      </c>
      <c r="C916" s="23">
        <f>IFERROR(MATCH($A916,Merge_1_2!$A$2:$A$611,0),0)</f>
        <v>0</v>
      </c>
      <c r="D916" s="23">
        <f>IF($C916&gt;0,INDEX(Merge_1_2!$Q$2:$Q$611,$C916),0)</f>
        <v>0</v>
      </c>
      <c r="E916" s="23">
        <f>IFERROR(MATCH($A916,Dataset3_Raw!$A$2:$A$391,0),0)</f>
        <v>305</v>
      </c>
      <c r="F916" s="24">
        <f>IF($C916&gt;0,INDEX(Merge_1_2!$B$2:$B$611,$C916),DATE(VALUE(RIGHT(INDEX(Dataset3_Raw!$B$2:$B$391,$E916),4)),VALUE(MID(INDEX(Dataset3_Raw!$B$2:$B$391,$E916),4,2)),VALUE(LEFT(INDEX(Dataset3_Raw!$B$2:$B$391,$E916),2))))</f>
        <v>40584</v>
      </c>
      <c r="G916" s="23">
        <f>IF($C916&gt;0,INDEX(Merge_1_2!$C$2:$C$611,$C916),INDEX(Dataset3_Raw!$C$2:$C$391,$E916))</f>
        <v>1</v>
      </c>
      <c r="H916" s="23">
        <f>IF($C916&gt;0,INDEX(Merge_1_2!$D$2:$D$611,$C916),INDEX(Dataset3_Raw!$D$2:$D$391,$E916))</f>
        <v>0</v>
      </c>
      <c r="I916" s="23">
        <f>IF($C916&gt;0,INDEX(Merge_1_2!$E$2:$E$611,$C916),INDEX(Dataset3_Raw!$E$2:$E$391,$E916))</f>
        <v>2</v>
      </c>
      <c r="J916" s="23">
        <f>IF($C916&gt;0,INDEX(Merge_1_2!$F$2:$F$611,$C916),INDEX(Dataset3_Raw!$F$2:$F$391,$E916))</f>
        <v>15</v>
      </c>
      <c r="K916" s="23" t="b">
        <f>IF($C916&gt;0,INDEX(Merge_1_2!$G$2:$G$611,$C916),INDEX(Dataset3_Raw!$G$2:$G$391,$E916))</f>
        <v>0</v>
      </c>
      <c r="L916" s="23">
        <f>IF($C916&gt;0,INDEX(Merge_1_2!$H$2:$H$611,$C916),INDEX(Dataset3_Raw!$H$2:$H$391,$E916))</f>
        <v>4</v>
      </c>
      <c r="M916" s="23">
        <f>IF($C916&gt;0,INDEX(Merge_1_2!$I$2:$I$611,$C916),INDEX(Dataset3_Raw!$I$2:$I$391,$E916))</f>
        <v>1</v>
      </c>
      <c r="N916" s="25">
        <f>IF($C916&gt;0,INDEX(Merge_1_2!$J$2:$J$611,$C916),INDEX(Dataset3_Raw!$J$2:$J$391,$E916))</f>
        <v>0.2</v>
      </c>
      <c r="O916" s="25">
        <f>IF($C916&gt;0,IF(ISNUMBER(INDEX(Merge_1_2!$K$2:$K$611,$C916)),INDEX(Merge_1_2!$K$2:$K$611,$C916),""),INDEX(Dataset3_Raw!$K$2:$K$391,$E916))</f>
        <v>0.19700000000000001</v>
      </c>
      <c r="P916" s="25">
        <f>IF(ISNUMBER($O916),$O916,ROUND(Lookups!$B$25+Lookups!$B$24*$N916,4))</f>
        <v>0.19700000000000001</v>
      </c>
      <c r="Q916" s="25">
        <f>IF($C916&gt;0,INDEX(Merge_1_2!$L$2:$L$611,$C916),INDEX(Dataset3_Raw!$L$2:$L$391,$E916))</f>
        <v>0.25</v>
      </c>
      <c r="R916" s="25">
        <f>IF($C916&gt;0,INDEX(Merge_1_2!$M$2:$M$611,$C916),INDEX(Dataset3_Raw!$M$2:$M$391,$E916))</f>
        <v>0.25369999999999998</v>
      </c>
      <c r="S916" s="23">
        <f>IF($C916&gt;0,INDEX(Merge_1_2!$N$2:$N$611,$C916),INDEX(Dataset3_Raw!$N$2:$N$391,$E916))</f>
        <v>0</v>
      </c>
      <c r="T916" s="23">
        <f>IF($C916&gt;0,INDEX(Merge_1_2!$O$2:$O$611,$C916),INDEX(Dataset3_Raw!$O$2:$O$391,$E916))</f>
        <v>50</v>
      </c>
      <c r="U916" s="23">
        <f>IF($C916&gt;0,INDEX(Merge_1_2!$P$2:$P$611,$C916),INDEX(Dataset3_Raw!$P$2:$P$391,$E916))</f>
        <v>50</v>
      </c>
      <c r="V916" s="23" t="str">
        <f t="shared" si="85"/>
        <v>Weekday</v>
      </c>
      <c r="W916" s="23" t="str">
        <f>VLOOKUP($M916,Lookups!$A$5:$B$8,2,FALSE())</f>
        <v>Clear / Partly cloudy</v>
      </c>
      <c r="X916" s="23" t="str">
        <f>VLOOKUP($G916,Lookups!$D$5:$E$8,2,FALSE())</f>
        <v>Winter</v>
      </c>
      <c r="Y916" s="23" t="str">
        <f>VLOOKUP($L916,Lookups!$G$5:$H$11,2,FALSE())</f>
        <v>Thursday</v>
      </c>
      <c r="Z916" s="23" t="str">
        <f>IF($J916&lt;Lookups!$B$26,"Night",IF($J916&lt;Lookups!$B$27,"Morning",IF($J916&lt;Lookups!$B$28,"Afternoon","Evening")))</f>
        <v>Afternoon</v>
      </c>
      <c r="AA916" s="26">
        <f>ROUND($N916*(Lookups!$B$16-Lookups!$B$15)+Lookups!$B$15,1)</f>
        <v>1.4</v>
      </c>
      <c r="AB916" s="26">
        <f>ROUND($P916*(Lookups!$B$18-Lookups!$B$17)+Lookups!$B$17,1)</f>
        <v>-3</v>
      </c>
      <c r="AC916" s="23">
        <f t="shared" si="86"/>
        <v>25</v>
      </c>
      <c r="AD916" s="23">
        <f>ROUND($R916*Lookups!$B$19,1)</f>
        <v>17</v>
      </c>
      <c r="AE916" s="27">
        <f t="shared" si="87"/>
        <v>1</v>
      </c>
      <c r="AF916" s="23" t="str">
        <f>IF($U916&gt;=Lookups!$B$23,"High",IF($U916&gt;=Lookups!$B$22,"Medium","Low"))</f>
        <v>Medium</v>
      </c>
      <c r="AG916" s="23">
        <f>ROUND(IF($V916="Weekday",IF(INDEX(Hourly_Analysis!$D$5:$D$28,$J916+1)&gt;0,($U916-INDEX(Hourly_Analysis!$C$5:$C$28,$J916+1))/INDEX(Hourly_Analysis!$D$5:$D$28,$J916+1),0),IF(INDEX(Hourly_Analysis!$G$5:$G$28,$J916+1)&gt;0,($U916-INDEX(Hourly_Analysis!$F$5:$F$28,$J916+1))/INDEX(Hourly_Analysis!$G$5:$G$28,$J916+1),0)),2)</f>
        <v>-0.74</v>
      </c>
      <c r="AH916" s="23" t="str">
        <f>IF(ABS($AG916)&gt;Lookups!$B$20,IF($AG916&gt;0,"High anomaly","Low anomaly"),"")</f>
        <v/>
      </c>
      <c r="AI916" s="23" t="str">
        <f t="shared" si="88"/>
        <v>OK</v>
      </c>
      <c r="AJ916" s="23" t="str">
        <f t="shared" si="89"/>
        <v>No</v>
      </c>
    </row>
    <row r="917" spans="1:36" x14ac:dyDescent="0.35">
      <c r="A917" s="23">
        <v>916</v>
      </c>
      <c r="B917" s="23" t="str">
        <f t="shared" si="84"/>
        <v>Dataset 3</v>
      </c>
      <c r="C917" s="23">
        <f>IFERROR(MATCH($A917,Merge_1_2!$A$2:$A$611,0),0)</f>
        <v>0</v>
      </c>
      <c r="D917" s="23">
        <f>IF($C917&gt;0,INDEX(Merge_1_2!$Q$2:$Q$611,$C917),0)</f>
        <v>0</v>
      </c>
      <c r="E917" s="23">
        <f>IFERROR(MATCH($A917,Dataset3_Raw!$A$2:$A$391,0),0)</f>
        <v>306</v>
      </c>
      <c r="F917" s="24">
        <f>IF($C917&gt;0,INDEX(Merge_1_2!$B$2:$B$611,$C917),DATE(VALUE(RIGHT(INDEX(Dataset3_Raw!$B$2:$B$391,$E917),4)),VALUE(MID(INDEX(Dataset3_Raw!$B$2:$B$391,$E917),4,2)),VALUE(LEFT(INDEX(Dataset3_Raw!$B$2:$B$391,$E917),2))))</f>
        <v>40584</v>
      </c>
      <c r="G917" s="23">
        <f>IF($C917&gt;0,INDEX(Merge_1_2!$C$2:$C$611,$C917),INDEX(Dataset3_Raw!$C$2:$C$391,$E917))</f>
        <v>1</v>
      </c>
      <c r="H917" s="23">
        <f>IF($C917&gt;0,INDEX(Merge_1_2!$D$2:$D$611,$C917),INDEX(Dataset3_Raw!$D$2:$D$391,$E917))</f>
        <v>0</v>
      </c>
      <c r="I917" s="23">
        <f>IF($C917&gt;0,INDEX(Merge_1_2!$E$2:$E$611,$C917),INDEX(Dataset3_Raw!$E$2:$E$391,$E917))</f>
        <v>2</v>
      </c>
      <c r="J917" s="23">
        <f>IF($C917&gt;0,INDEX(Merge_1_2!$F$2:$F$611,$C917),INDEX(Dataset3_Raw!$F$2:$F$391,$E917))</f>
        <v>16</v>
      </c>
      <c r="K917" s="23" t="b">
        <f>IF($C917&gt;0,INDEX(Merge_1_2!$G$2:$G$611,$C917),INDEX(Dataset3_Raw!$G$2:$G$391,$E917))</f>
        <v>0</v>
      </c>
      <c r="L917" s="23">
        <f>IF($C917&gt;0,INDEX(Merge_1_2!$H$2:$H$611,$C917),INDEX(Dataset3_Raw!$H$2:$H$391,$E917))</f>
        <v>4</v>
      </c>
      <c r="M917" s="23">
        <f>IF($C917&gt;0,INDEX(Merge_1_2!$I$2:$I$611,$C917),INDEX(Dataset3_Raw!$I$2:$I$391,$E917))</f>
        <v>1</v>
      </c>
      <c r="N917" s="25">
        <f>IF($C917&gt;0,INDEX(Merge_1_2!$J$2:$J$611,$C917),INDEX(Dataset3_Raw!$J$2:$J$391,$E917))</f>
        <v>0.2</v>
      </c>
      <c r="O917" s="25">
        <f>IF($C917&gt;0,IF(ISNUMBER(INDEX(Merge_1_2!$K$2:$K$611,$C917)),INDEX(Merge_1_2!$K$2:$K$611,$C917),""),INDEX(Dataset3_Raw!$K$2:$K$391,$E917))</f>
        <v>0.18179999999999999</v>
      </c>
      <c r="P917" s="25">
        <f>IF(ISNUMBER($O917),$O917,ROUND(Lookups!$B$25+Lookups!$B$24*$N917,4))</f>
        <v>0.18179999999999999</v>
      </c>
      <c r="Q917" s="25">
        <f>IF($C917&gt;0,INDEX(Merge_1_2!$L$2:$L$611,$C917),INDEX(Dataset3_Raw!$L$2:$L$391,$E917))</f>
        <v>0.27</v>
      </c>
      <c r="R917" s="25">
        <f>IF($C917&gt;0,INDEX(Merge_1_2!$M$2:$M$611,$C917),INDEX(Dataset3_Raw!$M$2:$M$391,$E917))</f>
        <v>0.29849999999999999</v>
      </c>
      <c r="S917" s="23">
        <f>IF($C917&gt;0,INDEX(Merge_1_2!$N$2:$N$611,$C917),INDEX(Dataset3_Raw!$N$2:$N$391,$E917))</f>
        <v>4</v>
      </c>
      <c r="T917" s="23">
        <f>IF($C917&gt;0,INDEX(Merge_1_2!$O$2:$O$611,$C917),INDEX(Dataset3_Raw!$O$2:$O$391,$E917))</f>
        <v>76</v>
      </c>
      <c r="U917" s="23">
        <f>IF($C917&gt;0,INDEX(Merge_1_2!$P$2:$P$611,$C917),INDEX(Dataset3_Raw!$P$2:$P$391,$E917))</f>
        <v>80</v>
      </c>
      <c r="V917" s="23" t="str">
        <f t="shared" si="85"/>
        <v>Weekday</v>
      </c>
      <c r="W917" s="23" t="str">
        <f>VLOOKUP($M917,Lookups!$A$5:$B$8,2,FALSE())</f>
        <v>Clear / Partly cloudy</v>
      </c>
      <c r="X917" s="23" t="str">
        <f>VLOOKUP($G917,Lookups!$D$5:$E$8,2,FALSE())</f>
        <v>Winter</v>
      </c>
      <c r="Y917" s="23" t="str">
        <f>VLOOKUP($L917,Lookups!$G$5:$H$11,2,FALSE())</f>
        <v>Thursday</v>
      </c>
      <c r="Z917" s="23" t="str">
        <f>IF($J917&lt;Lookups!$B$26,"Night",IF($J917&lt;Lookups!$B$27,"Morning",IF($J917&lt;Lookups!$B$28,"Afternoon","Evening")))</f>
        <v>Afternoon</v>
      </c>
      <c r="AA917" s="26">
        <f>ROUND($N917*(Lookups!$B$16-Lookups!$B$15)+Lookups!$B$15,1)</f>
        <v>1.4</v>
      </c>
      <c r="AB917" s="26">
        <f>ROUND($P917*(Lookups!$B$18-Lookups!$B$17)+Lookups!$B$17,1)</f>
        <v>-4</v>
      </c>
      <c r="AC917" s="23">
        <f t="shared" si="86"/>
        <v>27</v>
      </c>
      <c r="AD917" s="23">
        <f>ROUND($R917*Lookups!$B$19,1)</f>
        <v>20</v>
      </c>
      <c r="AE917" s="27">
        <f t="shared" si="87"/>
        <v>0.95</v>
      </c>
      <c r="AF917" s="23" t="str">
        <f>IF($U917&gt;=Lookups!$B$23,"High",IF($U917&gt;=Lookups!$B$22,"Medium","Low"))</f>
        <v>Medium</v>
      </c>
      <c r="AG917" s="23">
        <f>ROUND(IF($V917="Weekday",IF(INDEX(Hourly_Analysis!$D$5:$D$28,$J917+1)&gt;0,($U917-INDEX(Hourly_Analysis!$C$5:$C$28,$J917+1))/INDEX(Hourly_Analysis!$D$5:$D$28,$J917+1),0),IF(INDEX(Hourly_Analysis!$G$5:$G$28,$J917+1)&gt;0,($U917-INDEX(Hourly_Analysis!$F$5:$F$28,$J917+1))/INDEX(Hourly_Analysis!$G$5:$G$28,$J917+1),0)),2)</f>
        <v>-0.13</v>
      </c>
      <c r="AH917" s="23" t="str">
        <f>IF(ABS($AG917)&gt;Lookups!$B$20,IF($AG917&gt;0,"High anomaly","Low anomaly"),"")</f>
        <v/>
      </c>
      <c r="AI917" s="23" t="str">
        <f t="shared" si="88"/>
        <v>OK</v>
      </c>
      <c r="AJ917" s="23" t="str">
        <f t="shared" si="89"/>
        <v>No</v>
      </c>
    </row>
    <row r="918" spans="1:36" x14ac:dyDescent="0.35">
      <c r="A918" s="23">
        <v>917</v>
      </c>
      <c r="B918" s="23" t="str">
        <f t="shared" si="84"/>
        <v>Dataset 3</v>
      </c>
      <c r="C918" s="23">
        <f>IFERROR(MATCH($A918,Merge_1_2!$A$2:$A$611,0),0)</f>
        <v>0</v>
      </c>
      <c r="D918" s="23">
        <f>IF($C918&gt;0,INDEX(Merge_1_2!$Q$2:$Q$611,$C918),0)</f>
        <v>0</v>
      </c>
      <c r="E918" s="23">
        <f>IFERROR(MATCH($A918,Dataset3_Raw!$A$2:$A$391,0),0)</f>
        <v>307</v>
      </c>
      <c r="F918" s="24">
        <f>IF($C918&gt;0,INDEX(Merge_1_2!$B$2:$B$611,$C918),DATE(VALUE(RIGHT(INDEX(Dataset3_Raw!$B$2:$B$391,$E918),4)),VALUE(MID(INDEX(Dataset3_Raw!$B$2:$B$391,$E918),4,2)),VALUE(LEFT(INDEX(Dataset3_Raw!$B$2:$B$391,$E918),2))))</f>
        <v>40584</v>
      </c>
      <c r="G918" s="23">
        <f>IF($C918&gt;0,INDEX(Merge_1_2!$C$2:$C$611,$C918),INDEX(Dataset3_Raw!$C$2:$C$391,$E918))</f>
        <v>1</v>
      </c>
      <c r="H918" s="23">
        <f>IF($C918&gt;0,INDEX(Merge_1_2!$D$2:$D$611,$C918),INDEX(Dataset3_Raw!$D$2:$D$391,$E918))</f>
        <v>0</v>
      </c>
      <c r="I918" s="23">
        <f>IF($C918&gt;0,INDEX(Merge_1_2!$E$2:$E$611,$C918),INDEX(Dataset3_Raw!$E$2:$E$391,$E918))</f>
        <v>2</v>
      </c>
      <c r="J918" s="23">
        <f>IF($C918&gt;0,INDEX(Merge_1_2!$F$2:$F$611,$C918),INDEX(Dataset3_Raw!$F$2:$F$391,$E918))</f>
        <v>17</v>
      </c>
      <c r="K918" s="23" t="b">
        <f>IF($C918&gt;0,INDEX(Merge_1_2!$G$2:$G$611,$C918),INDEX(Dataset3_Raw!$G$2:$G$391,$E918))</f>
        <v>0</v>
      </c>
      <c r="L918" s="23">
        <f>IF($C918&gt;0,INDEX(Merge_1_2!$H$2:$H$611,$C918),INDEX(Dataset3_Raw!$H$2:$H$391,$E918))</f>
        <v>4</v>
      </c>
      <c r="M918" s="23">
        <f>IF($C918&gt;0,INDEX(Merge_1_2!$I$2:$I$611,$C918),INDEX(Dataset3_Raw!$I$2:$I$391,$E918))</f>
        <v>1</v>
      </c>
      <c r="N918" s="25">
        <f>IF($C918&gt;0,INDEX(Merge_1_2!$J$2:$J$611,$C918),INDEX(Dataset3_Raw!$J$2:$J$391,$E918))</f>
        <v>0.18</v>
      </c>
      <c r="O918" s="25">
        <f>IF($C918&gt;0,IF(ISNUMBER(INDEX(Merge_1_2!$K$2:$K$611,$C918)),INDEX(Merge_1_2!$K$2:$K$611,$C918),""),INDEX(Dataset3_Raw!$K$2:$K$391,$E918))</f>
        <v>0.18179999999999999</v>
      </c>
      <c r="P918" s="25">
        <f>IF(ISNUMBER($O918),$O918,ROUND(Lookups!$B$25+Lookups!$B$24*$N918,4))</f>
        <v>0.18179999999999999</v>
      </c>
      <c r="Q918" s="25">
        <f>IF($C918&gt;0,INDEX(Merge_1_2!$L$2:$L$611,$C918),INDEX(Dataset3_Raw!$L$2:$L$391,$E918))</f>
        <v>0.26</v>
      </c>
      <c r="R918" s="25">
        <f>IF($C918&gt;0,INDEX(Merge_1_2!$M$2:$M$611,$C918),INDEX(Dataset3_Raw!$M$2:$M$391,$E918))</f>
        <v>0.19400000000000001</v>
      </c>
      <c r="S918" s="23">
        <f>IF($C918&gt;0,INDEX(Merge_1_2!$N$2:$N$611,$C918),INDEX(Dataset3_Raw!$N$2:$N$391,$E918))</f>
        <v>6</v>
      </c>
      <c r="T918" s="23">
        <f>IF($C918&gt;0,INDEX(Merge_1_2!$O$2:$O$611,$C918),INDEX(Dataset3_Raw!$O$2:$O$391,$E918))</f>
        <v>159</v>
      </c>
      <c r="U918" s="23">
        <f>IF($C918&gt;0,INDEX(Merge_1_2!$P$2:$P$611,$C918),INDEX(Dataset3_Raw!$P$2:$P$391,$E918))</f>
        <v>165</v>
      </c>
      <c r="V918" s="23" t="str">
        <f t="shared" si="85"/>
        <v>Weekday</v>
      </c>
      <c r="W918" s="23" t="str">
        <f>VLOOKUP($M918,Lookups!$A$5:$B$8,2,FALSE())</f>
        <v>Clear / Partly cloudy</v>
      </c>
      <c r="X918" s="23" t="str">
        <f>VLOOKUP($G918,Lookups!$D$5:$E$8,2,FALSE())</f>
        <v>Winter</v>
      </c>
      <c r="Y918" s="23" t="str">
        <f>VLOOKUP($L918,Lookups!$G$5:$H$11,2,FALSE())</f>
        <v>Thursday</v>
      </c>
      <c r="Z918" s="23" t="str">
        <f>IF($J918&lt;Lookups!$B$26,"Night",IF($J918&lt;Lookups!$B$27,"Morning",IF($J918&lt;Lookups!$B$28,"Afternoon","Evening")))</f>
        <v>Afternoon</v>
      </c>
      <c r="AA918" s="26">
        <f>ROUND($N918*(Lookups!$B$16-Lookups!$B$15)+Lookups!$B$15,1)</f>
        <v>0.5</v>
      </c>
      <c r="AB918" s="26">
        <f>ROUND($P918*(Lookups!$B$18-Lookups!$B$17)+Lookups!$B$17,1)</f>
        <v>-4</v>
      </c>
      <c r="AC918" s="23">
        <f t="shared" si="86"/>
        <v>26</v>
      </c>
      <c r="AD918" s="23">
        <f>ROUND($R918*Lookups!$B$19,1)</f>
        <v>13</v>
      </c>
      <c r="AE918" s="27">
        <f t="shared" si="87"/>
        <v>0.96363636363636362</v>
      </c>
      <c r="AF918" s="23" t="str">
        <f>IF($U918&gt;=Lookups!$B$23,"High",IF($U918&gt;=Lookups!$B$22,"Medium","Low"))</f>
        <v>High</v>
      </c>
      <c r="AG918" s="23">
        <f>ROUND(IF($V918="Weekday",IF(INDEX(Hourly_Analysis!$D$5:$D$28,$J918+1)&gt;0,($U918-INDEX(Hourly_Analysis!$C$5:$C$28,$J918+1))/INDEX(Hourly_Analysis!$D$5:$D$28,$J918+1),0),IF(INDEX(Hourly_Analysis!$G$5:$G$28,$J918+1)&gt;0,($U918-INDEX(Hourly_Analysis!$F$5:$F$28,$J918+1))/INDEX(Hourly_Analysis!$G$5:$G$28,$J918+1),0)),2)</f>
        <v>-0.09</v>
      </c>
      <c r="AH918" s="23" t="str">
        <f>IF(ABS($AG918)&gt;Lookups!$B$20,IF($AG918&gt;0,"High anomaly","Low anomaly"),"")</f>
        <v/>
      </c>
      <c r="AI918" s="23" t="str">
        <f t="shared" si="88"/>
        <v>OK</v>
      </c>
      <c r="AJ918" s="23" t="str">
        <f t="shared" si="89"/>
        <v>No</v>
      </c>
    </row>
    <row r="919" spans="1:36" x14ac:dyDescent="0.35">
      <c r="A919" s="23">
        <v>918</v>
      </c>
      <c r="B919" s="23" t="str">
        <f t="shared" si="84"/>
        <v>Dataset 3</v>
      </c>
      <c r="C919" s="23">
        <f>IFERROR(MATCH($A919,Merge_1_2!$A$2:$A$611,0),0)</f>
        <v>0</v>
      </c>
      <c r="D919" s="23">
        <f>IF($C919&gt;0,INDEX(Merge_1_2!$Q$2:$Q$611,$C919),0)</f>
        <v>0</v>
      </c>
      <c r="E919" s="23">
        <f>IFERROR(MATCH($A919,Dataset3_Raw!$A$2:$A$391,0),0)</f>
        <v>308</v>
      </c>
      <c r="F919" s="24">
        <f>IF($C919&gt;0,INDEX(Merge_1_2!$B$2:$B$611,$C919),DATE(VALUE(RIGHT(INDEX(Dataset3_Raw!$B$2:$B$391,$E919),4)),VALUE(MID(INDEX(Dataset3_Raw!$B$2:$B$391,$E919),4,2)),VALUE(LEFT(INDEX(Dataset3_Raw!$B$2:$B$391,$E919),2))))</f>
        <v>40584</v>
      </c>
      <c r="G919" s="23">
        <f>IF($C919&gt;0,INDEX(Merge_1_2!$C$2:$C$611,$C919),INDEX(Dataset3_Raw!$C$2:$C$391,$E919))</f>
        <v>1</v>
      </c>
      <c r="H919" s="23">
        <f>IF($C919&gt;0,INDEX(Merge_1_2!$D$2:$D$611,$C919),INDEX(Dataset3_Raw!$D$2:$D$391,$E919))</f>
        <v>0</v>
      </c>
      <c r="I919" s="23">
        <f>IF($C919&gt;0,INDEX(Merge_1_2!$E$2:$E$611,$C919),INDEX(Dataset3_Raw!$E$2:$E$391,$E919))</f>
        <v>2</v>
      </c>
      <c r="J919" s="23">
        <f>IF($C919&gt;0,INDEX(Merge_1_2!$F$2:$F$611,$C919),INDEX(Dataset3_Raw!$F$2:$F$391,$E919))</f>
        <v>18</v>
      </c>
      <c r="K919" s="23" t="b">
        <f>IF($C919&gt;0,INDEX(Merge_1_2!$G$2:$G$611,$C919),INDEX(Dataset3_Raw!$G$2:$G$391,$E919))</f>
        <v>0</v>
      </c>
      <c r="L919" s="23">
        <f>IF($C919&gt;0,INDEX(Merge_1_2!$H$2:$H$611,$C919),INDEX(Dataset3_Raw!$H$2:$H$391,$E919))</f>
        <v>4</v>
      </c>
      <c r="M919" s="23">
        <f>IF($C919&gt;0,INDEX(Merge_1_2!$I$2:$I$611,$C919),INDEX(Dataset3_Raw!$I$2:$I$391,$E919))</f>
        <v>1</v>
      </c>
      <c r="N919" s="25">
        <f>IF($C919&gt;0,INDEX(Merge_1_2!$J$2:$J$611,$C919),INDEX(Dataset3_Raw!$J$2:$J$391,$E919))</f>
        <v>0.16</v>
      </c>
      <c r="O919" s="25">
        <f>IF($C919&gt;0,IF(ISNUMBER(INDEX(Merge_1_2!$K$2:$K$611,$C919)),INDEX(Merge_1_2!$K$2:$K$611,$C919),""),INDEX(Dataset3_Raw!$K$2:$K$391,$E919))</f>
        <v>0.18179999999999999</v>
      </c>
      <c r="P919" s="25">
        <f>IF(ISNUMBER($O919),$O919,ROUND(Lookups!$B$25+Lookups!$B$24*$N919,4))</f>
        <v>0.18179999999999999</v>
      </c>
      <c r="Q919" s="25">
        <f>IF($C919&gt;0,INDEX(Merge_1_2!$L$2:$L$611,$C919),INDEX(Dataset3_Raw!$L$2:$L$391,$E919))</f>
        <v>0.28000000000000003</v>
      </c>
      <c r="R919" s="25">
        <f>IF($C919&gt;0,INDEX(Merge_1_2!$M$2:$M$611,$C919),INDEX(Dataset3_Raw!$M$2:$M$391,$E919))</f>
        <v>0.1343</v>
      </c>
      <c r="S919" s="23">
        <f>IF($C919&gt;0,INDEX(Merge_1_2!$N$2:$N$611,$C919),INDEX(Dataset3_Raw!$N$2:$N$391,$E919))</f>
        <v>3</v>
      </c>
      <c r="T919" s="23">
        <f>IF($C919&gt;0,INDEX(Merge_1_2!$O$2:$O$611,$C919),INDEX(Dataset3_Raw!$O$2:$O$391,$E919))</f>
        <v>157</v>
      </c>
      <c r="U919" s="23">
        <f>IF($C919&gt;0,INDEX(Merge_1_2!$P$2:$P$611,$C919),INDEX(Dataset3_Raw!$P$2:$P$391,$E919))</f>
        <v>160</v>
      </c>
      <c r="V919" s="23" t="str">
        <f t="shared" si="85"/>
        <v>Weekday</v>
      </c>
      <c r="W919" s="23" t="str">
        <f>VLOOKUP($M919,Lookups!$A$5:$B$8,2,FALSE())</f>
        <v>Clear / Partly cloudy</v>
      </c>
      <c r="X919" s="23" t="str">
        <f>VLOOKUP($G919,Lookups!$D$5:$E$8,2,FALSE())</f>
        <v>Winter</v>
      </c>
      <c r="Y919" s="23" t="str">
        <f>VLOOKUP($L919,Lookups!$G$5:$H$11,2,FALSE())</f>
        <v>Thursday</v>
      </c>
      <c r="Z919" s="23" t="str">
        <f>IF($J919&lt;Lookups!$B$26,"Night",IF($J919&lt;Lookups!$B$27,"Morning",IF($J919&lt;Lookups!$B$28,"Afternoon","Evening")))</f>
        <v>Evening</v>
      </c>
      <c r="AA919" s="26">
        <f>ROUND($N919*(Lookups!$B$16-Lookups!$B$15)+Lookups!$B$15,1)</f>
        <v>-0.5</v>
      </c>
      <c r="AB919" s="26">
        <f>ROUND($P919*(Lookups!$B$18-Lookups!$B$17)+Lookups!$B$17,1)</f>
        <v>-4</v>
      </c>
      <c r="AC919" s="23">
        <f t="shared" si="86"/>
        <v>28</v>
      </c>
      <c r="AD919" s="23">
        <f>ROUND($R919*Lookups!$B$19,1)</f>
        <v>9</v>
      </c>
      <c r="AE919" s="27">
        <f t="shared" si="87"/>
        <v>0.98124999999999996</v>
      </c>
      <c r="AF919" s="23" t="str">
        <f>IF($U919&gt;=Lookups!$B$23,"High",IF($U919&gt;=Lookups!$B$22,"Medium","Low"))</f>
        <v>High</v>
      </c>
      <c r="AG919" s="23">
        <f>ROUND(IF($V919="Weekday",IF(INDEX(Hourly_Analysis!$D$5:$D$28,$J919+1)&gt;0,($U919-INDEX(Hourly_Analysis!$C$5:$C$28,$J919+1))/INDEX(Hourly_Analysis!$D$5:$D$28,$J919+1),0),IF(INDEX(Hourly_Analysis!$G$5:$G$28,$J919+1)&gt;0,($U919-INDEX(Hourly_Analysis!$F$5:$F$28,$J919+1))/INDEX(Hourly_Analysis!$G$5:$G$28,$J919+1),0)),2)</f>
        <v>0.24</v>
      </c>
      <c r="AH919" s="23" t="str">
        <f>IF(ABS($AG919)&gt;Lookups!$B$20,IF($AG919&gt;0,"High anomaly","Low anomaly"),"")</f>
        <v/>
      </c>
      <c r="AI919" s="23" t="str">
        <f t="shared" si="88"/>
        <v>OK</v>
      </c>
      <c r="AJ919" s="23" t="str">
        <f t="shared" si="89"/>
        <v>No</v>
      </c>
    </row>
    <row r="920" spans="1:36" x14ac:dyDescent="0.35">
      <c r="A920" s="23">
        <v>919</v>
      </c>
      <c r="B920" s="23" t="str">
        <f t="shared" si="84"/>
        <v>Dataset 3</v>
      </c>
      <c r="C920" s="23">
        <f>IFERROR(MATCH($A920,Merge_1_2!$A$2:$A$611,0),0)</f>
        <v>0</v>
      </c>
      <c r="D920" s="23">
        <f>IF($C920&gt;0,INDEX(Merge_1_2!$Q$2:$Q$611,$C920),0)</f>
        <v>0</v>
      </c>
      <c r="E920" s="23">
        <f>IFERROR(MATCH($A920,Dataset3_Raw!$A$2:$A$391,0),0)</f>
        <v>309</v>
      </c>
      <c r="F920" s="24">
        <f>IF($C920&gt;0,INDEX(Merge_1_2!$B$2:$B$611,$C920),DATE(VALUE(RIGHT(INDEX(Dataset3_Raw!$B$2:$B$391,$E920),4)),VALUE(MID(INDEX(Dataset3_Raw!$B$2:$B$391,$E920),4,2)),VALUE(LEFT(INDEX(Dataset3_Raw!$B$2:$B$391,$E920),2))))</f>
        <v>40584</v>
      </c>
      <c r="G920" s="23">
        <f>IF($C920&gt;0,INDEX(Merge_1_2!$C$2:$C$611,$C920),INDEX(Dataset3_Raw!$C$2:$C$391,$E920))</f>
        <v>1</v>
      </c>
      <c r="H920" s="23">
        <f>IF($C920&gt;0,INDEX(Merge_1_2!$D$2:$D$611,$C920),INDEX(Dataset3_Raw!$D$2:$D$391,$E920))</f>
        <v>0</v>
      </c>
      <c r="I920" s="23">
        <f>IF($C920&gt;0,INDEX(Merge_1_2!$E$2:$E$611,$C920),INDEX(Dataset3_Raw!$E$2:$E$391,$E920))</f>
        <v>2</v>
      </c>
      <c r="J920" s="23">
        <f>IF($C920&gt;0,INDEX(Merge_1_2!$F$2:$F$611,$C920),INDEX(Dataset3_Raw!$F$2:$F$391,$E920))</f>
        <v>19</v>
      </c>
      <c r="K920" s="23" t="b">
        <f>IF($C920&gt;0,INDEX(Merge_1_2!$G$2:$G$611,$C920),INDEX(Dataset3_Raw!$G$2:$G$391,$E920))</f>
        <v>0</v>
      </c>
      <c r="L920" s="23">
        <f>IF($C920&gt;0,INDEX(Merge_1_2!$H$2:$H$611,$C920),INDEX(Dataset3_Raw!$H$2:$H$391,$E920))</f>
        <v>4</v>
      </c>
      <c r="M920" s="23">
        <f>IF($C920&gt;0,INDEX(Merge_1_2!$I$2:$I$611,$C920),INDEX(Dataset3_Raw!$I$2:$I$391,$E920))</f>
        <v>1</v>
      </c>
      <c r="N920" s="25">
        <f>IF($C920&gt;0,INDEX(Merge_1_2!$J$2:$J$611,$C920),INDEX(Dataset3_Raw!$J$2:$J$391,$E920))</f>
        <v>0.14000000000000001</v>
      </c>
      <c r="O920" s="25">
        <f>IF($C920&gt;0,IF(ISNUMBER(INDEX(Merge_1_2!$K$2:$K$611,$C920)),INDEX(Merge_1_2!$K$2:$K$611,$C920),""),INDEX(Dataset3_Raw!$K$2:$K$391,$E920))</f>
        <v>0.16669999999999999</v>
      </c>
      <c r="P920" s="25">
        <f>IF(ISNUMBER($O920),$O920,ROUND(Lookups!$B$25+Lookups!$B$24*$N920,4))</f>
        <v>0.16669999999999999</v>
      </c>
      <c r="Q920" s="25">
        <f>IF($C920&gt;0,INDEX(Merge_1_2!$L$2:$L$611,$C920),INDEX(Dataset3_Raw!$L$2:$L$391,$E920))</f>
        <v>0.28000000000000003</v>
      </c>
      <c r="R920" s="25">
        <f>IF($C920&gt;0,INDEX(Merge_1_2!$M$2:$M$611,$C920),INDEX(Dataset3_Raw!$M$2:$M$391,$E920))</f>
        <v>0.1045</v>
      </c>
      <c r="S920" s="23">
        <f>IF($C920&gt;0,INDEX(Merge_1_2!$N$2:$N$611,$C920),INDEX(Dataset3_Raw!$N$2:$N$391,$E920))</f>
        <v>2</v>
      </c>
      <c r="T920" s="23">
        <f>IF($C920&gt;0,INDEX(Merge_1_2!$O$2:$O$611,$C920),INDEX(Dataset3_Raw!$O$2:$O$391,$E920))</f>
        <v>110</v>
      </c>
      <c r="U920" s="23">
        <f>IF($C920&gt;0,INDEX(Merge_1_2!$P$2:$P$611,$C920),INDEX(Dataset3_Raw!$P$2:$P$391,$E920))</f>
        <v>112</v>
      </c>
      <c r="V920" s="23" t="str">
        <f t="shared" si="85"/>
        <v>Weekday</v>
      </c>
      <c r="W920" s="23" t="str">
        <f>VLOOKUP($M920,Lookups!$A$5:$B$8,2,FALSE())</f>
        <v>Clear / Partly cloudy</v>
      </c>
      <c r="X920" s="23" t="str">
        <f>VLOOKUP($G920,Lookups!$D$5:$E$8,2,FALSE())</f>
        <v>Winter</v>
      </c>
      <c r="Y920" s="23" t="str">
        <f>VLOOKUP($L920,Lookups!$G$5:$H$11,2,FALSE())</f>
        <v>Thursday</v>
      </c>
      <c r="Z920" s="23" t="str">
        <f>IF($J920&lt;Lookups!$B$26,"Night",IF($J920&lt;Lookups!$B$27,"Morning",IF($J920&lt;Lookups!$B$28,"Afternoon","Evening")))</f>
        <v>Evening</v>
      </c>
      <c r="AA920" s="26">
        <f>ROUND($N920*(Lookups!$B$16-Lookups!$B$15)+Lookups!$B$15,1)</f>
        <v>-1.4</v>
      </c>
      <c r="AB920" s="26">
        <f>ROUND($P920*(Lookups!$B$18-Lookups!$B$17)+Lookups!$B$17,1)</f>
        <v>-5</v>
      </c>
      <c r="AC920" s="23">
        <f t="shared" si="86"/>
        <v>28</v>
      </c>
      <c r="AD920" s="23">
        <f>ROUND($R920*Lookups!$B$19,1)</f>
        <v>7</v>
      </c>
      <c r="AE920" s="27">
        <f t="shared" si="87"/>
        <v>0.9821428571428571</v>
      </c>
      <c r="AF920" s="23" t="str">
        <f>IF($U920&gt;=Lookups!$B$23,"High",IF($U920&gt;=Lookups!$B$22,"Medium","Low"))</f>
        <v>High</v>
      </c>
      <c r="AG920" s="23">
        <f>ROUND(IF($V920="Weekday",IF(INDEX(Hourly_Analysis!$D$5:$D$28,$J920+1)&gt;0,($U920-INDEX(Hourly_Analysis!$C$5:$C$28,$J920+1))/INDEX(Hourly_Analysis!$D$5:$D$28,$J920+1),0),IF(INDEX(Hourly_Analysis!$G$5:$G$28,$J920+1)&gt;0,($U920-INDEX(Hourly_Analysis!$F$5:$F$28,$J920+1))/INDEX(Hourly_Analysis!$G$5:$G$28,$J920+1),0)),2)</f>
        <v>0.42</v>
      </c>
      <c r="AH920" s="23" t="str">
        <f>IF(ABS($AG920)&gt;Lookups!$B$20,IF($AG920&gt;0,"High anomaly","Low anomaly"),"")</f>
        <v/>
      </c>
      <c r="AI920" s="23" t="str">
        <f t="shared" si="88"/>
        <v>OK</v>
      </c>
      <c r="AJ920" s="23" t="str">
        <f t="shared" si="89"/>
        <v>No</v>
      </c>
    </row>
    <row r="921" spans="1:36" x14ac:dyDescent="0.35">
      <c r="A921" s="23">
        <v>920</v>
      </c>
      <c r="B921" s="23" t="str">
        <f t="shared" si="84"/>
        <v>Dataset 3</v>
      </c>
      <c r="C921" s="23">
        <f>IFERROR(MATCH($A921,Merge_1_2!$A$2:$A$611,0),0)</f>
        <v>0</v>
      </c>
      <c r="D921" s="23">
        <f>IF($C921&gt;0,INDEX(Merge_1_2!$Q$2:$Q$611,$C921),0)</f>
        <v>0</v>
      </c>
      <c r="E921" s="23">
        <f>IFERROR(MATCH($A921,Dataset3_Raw!$A$2:$A$391,0),0)</f>
        <v>310</v>
      </c>
      <c r="F921" s="24">
        <f>IF($C921&gt;0,INDEX(Merge_1_2!$B$2:$B$611,$C921),DATE(VALUE(RIGHT(INDEX(Dataset3_Raw!$B$2:$B$391,$E921),4)),VALUE(MID(INDEX(Dataset3_Raw!$B$2:$B$391,$E921),4,2)),VALUE(LEFT(INDEX(Dataset3_Raw!$B$2:$B$391,$E921),2))))</f>
        <v>40584</v>
      </c>
      <c r="G921" s="23">
        <f>IF($C921&gt;0,INDEX(Merge_1_2!$C$2:$C$611,$C921),INDEX(Dataset3_Raw!$C$2:$C$391,$E921))</f>
        <v>1</v>
      </c>
      <c r="H921" s="23">
        <f>IF($C921&gt;0,INDEX(Merge_1_2!$D$2:$D$611,$C921),INDEX(Dataset3_Raw!$D$2:$D$391,$E921))</f>
        <v>0</v>
      </c>
      <c r="I921" s="23">
        <f>IF($C921&gt;0,INDEX(Merge_1_2!$E$2:$E$611,$C921),INDEX(Dataset3_Raw!$E$2:$E$391,$E921))</f>
        <v>2</v>
      </c>
      <c r="J921" s="23">
        <f>IF($C921&gt;0,INDEX(Merge_1_2!$F$2:$F$611,$C921),INDEX(Dataset3_Raw!$F$2:$F$391,$E921))</f>
        <v>20</v>
      </c>
      <c r="K921" s="23" t="b">
        <f>IF($C921&gt;0,INDEX(Merge_1_2!$G$2:$G$611,$C921),INDEX(Dataset3_Raw!$G$2:$G$391,$E921))</f>
        <v>0</v>
      </c>
      <c r="L921" s="23">
        <f>IF($C921&gt;0,INDEX(Merge_1_2!$H$2:$H$611,$C921),INDEX(Dataset3_Raw!$H$2:$H$391,$E921))</f>
        <v>4</v>
      </c>
      <c r="M921" s="23">
        <f>IF($C921&gt;0,INDEX(Merge_1_2!$I$2:$I$611,$C921),INDEX(Dataset3_Raw!$I$2:$I$391,$E921))</f>
        <v>1</v>
      </c>
      <c r="N921" s="25">
        <f>IF($C921&gt;0,INDEX(Merge_1_2!$J$2:$J$611,$C921),INDEX(Dataset3_Raw!$J$2:$J$391,$E921))</f>
        <v>0.14000000000000001</v>
      </c>
      <c r="O921" s="25">
        <f>IF($C921&gt;0,IF(ISNUMBER(INDEX(Merge_1_2!$K$2:$K$611,$C921)),INDEX(Merge_1_2!$K$2:$K$611,$C921),""),INDEX(Dataset3_Raw!$K$2:$K$391,$E921))</f>
        <v>0.18179999999999999</v>
      </c>
      <c r="P921" s="25">
        <f>IF(ISNUMBER($O921),$O921,ROUND(Lookups!$B$25+Lookups!$B$24*$N921,4))</f>
        <v>0.18179999999999999</v>
      </c>
      <c r="Q921" s="25">
        <f>IF($C921&gt;0,INDEX(Merge_1_2!$L$2:$L$611,$C921),INDEX(Dataset3_Raw!$L$2:$L$391,$E921))</f>
        <v>0.31</v>
      </c>
      <c r="R921" s="25">
        <f>IF($C921&gt;0,INDEX(Merge_1_2!$M$2:$M$611,$C921),INDEX(Dataset3_Raw!$M$2:$M$391,$E921))</f>
        <v>8.9599999999999999E-2</v>
      </c>
      <c r="S921" s="23">
        <f>IF($C921&gt;0,INDEX(Merge_1_2!$N$2:$N$611,$C921),INDEX(Dataset3_Raw!$N$2:$N$391,$E921))</f>
        <v>4</v>
      </c>
      <c r="T921" s="23">
        <f>IF($C921&gt;0,INDEX(Merge_1_2!$O$2:$O$611,$C921),INDEX(Dataset3_Raw!$O$2:$O$391,$E921))</f>
        <v>93</v>
      </c>
      <c r="U921" s="23">
        <f>IF($C921&gt;0,INDEX(Merge_1_2!$P$2:$P$611,$C921),INDEX(Dataset3_Raw!$P$2:$P$391,$E921))</f>
        <v>97</v>
      </c>
      <c r="V921" s="23" t="str">
        <f t="shared" si="85"/>
        <v>Weekday</v>
      </c>
      <c r="W921" s="23" t="str">
        <f>VLOOKUP($M921,Lookups!$A$5:$B$8,2,FALSE())</f>
        <v>Clear / Partly cloudy</v>
      </c>
      <c r="X921" s="23" t="str">
        <f>VLOOKUP($G921,Lookups!$D$5:$E$8,2,FALSE())</f>
        <v>Winter</v>
      </c>
      <c r="Y921" s="23" t="str">
        <f>VLOOKUP($L921,Lookups!$G$5:$H$11,2,FALSE())</f>
        <v>Thursday</v>
      </c>
      <c r="Z921" s="23" t="str">
        <f>IF($J921&lt;Lookups!$B$26,"Night",IF($J921&lt;Lookups!$B$27,"Morning",IF($J921&lt;Lookups!$B$28,"Afternoon","Evening")))</f>
        <v>Evening</v>
      </c>
      <c r="AA921" s="26">
        <f>ROUND($N921*(Lookups!$B$16-Lookups!$B$15)+Lookups!$B$15,1)</f>
        <v>-1.4</v>
      </c>
      <c r="AB921" s="26">
        <f>ROUND($P921*(Lookups!$B$18-Lookups!$B$17)+Lookups!$B$17,1)</f>
        <v>-4</v>
      </c>
      <c r="AC921" s="23">
        <f t="shared" si="86"/>
        <v>31</v>
      </c>
      <c r="AD921" s="23">
        <f>ROUND($R921*Lookups!$B$19,1)</f>
        <v>6</v>
      </c>
      <c r="AE921" s="27">
        <f t="shared" si="87"/>
        <v>0.95876288659793818</v>
      </c>
      <c r="AF921" s="23" t="str">
        <f>IF($U921&gt;=Lookups!$B$23,"High",IF($U921&gt;=Lookups!$B$22,"Medium","Low"))</f>
        <v>High</v>
      </c>
      <c r="AG921" s="23">
        <f>ROUND(IF($V921="Weekday",IF(INDEX(Hourly_Analysis!$D$5:$D$28,$J921+1)&gt;0,($U921-INDEX(Hourly_Analysis!$C$5:$C$28,$J921+1))/INDEX(Hourly_Analysis!$D$5:$D$28,$J921+1),0),IF(INDEX(Hourly_Analysis!$G$5:$G$28,$J921+1)&gt;0,($U921-INDEX(Hourly_Analysis!$F$5:$F$28,$J921+1))/INDEX(Hourly_Analysis!$G$5:$G$28,$J921+1),0)),2)</f>
        <v>1.1000000000000001</v>
      </c>
      <c r="AH921" s="23" t="str">
        <f>IF(ABS($AG921)&gt;Lookups!$B$20,IF($AG921&gt;0,"High anomaly","Low anomaly"),"")</f>
        <v/>
      </c>
      <c r="AI921" s="23" t="str">
        <f t="shared" si="88"/>
        <v>OK</v>
      </c>
      <c r="AJ921" s="23" t="str">
        <f t="shared" si="89"/>
        <v>No</v>
      </c>
    </row>
    <row r="922" spans="1:36" x14ac:dyDescent="0.35">
      <c r="A922" s="23">
        <v>921</v>
      </c>
      <c r="B922" s="23" t="str">
        <f t="shared" si="84"/>
        <v>Dataset 3</v>
      </c>
      <c r="C922" s="23">
        <f>IFERROR(MATCH($A922,Merge_1_2!$A$2:$A$611,0),0)</f>
        <v>0</v>
      </c>
      <c r="D922" s="23">
        <f>IF($C922&gt;0,INDEX(Merge_1_2!$Q$2:$Q$611,$C922),0)</f>
        <v>0</v>
      </c>
      <c r="E922" s="23">
        <f>IFERROR(MATCH($A922,Dataset3_Raw!$A$2:$A$391,0),0)</f>
        <v>311</v>
      </c>
      <c r="F922" s="24">
        <f>IF($C922&gt;0,INDEX(Merge_1_2!$B$2:$B$611,$C922),DATE(VALUE(RIGHT(INDEX(Dataset3_Raw!$B$2:$B$391,$E922),4)),VALUE(MID(INDEX(Dataset3_Raw!$B$2:$B$391,$E922),4,2)),VALUE(LEFT(INDEX(Dataset3_Raw!$B$2:$B$391,$E922),2))))</f>
        <v>40584</v>
      </c>
      <c r="G922" s="23">
        <f>IF($C922&gt;0,INDEX(Merge_1_2!$C$2:$C$611,$C922),INDEX(Dataset3_Raw!$C$2:$C$391,$E922))</f>
        <v>1</v>
      </c>
      <c r="H922" s="23">
        <f>IF($C922&gt;0,INDEX(Merge_1_2!$D$2:$D$611,$C922),INDEX(Dataset3_Raw!$D$2:$D$391,$E922))</f>
        <v>0</v>
      </c>
      <c r="I922" s="23">
        <f>IF($C922&gt;0,INDEX(Merge_1_2!$E$2:$E$611,$C922),INDEX(Dataset3_Raw!$E$2:$E$391,$E922))</f>
        <v>2</v>
      </c>
      <c r="J922" s="23">
        <f>IF($C922&gt;0,INDEX(Merge_1_2!$F$2:$F$611,$C922),INDEX(Dataset3_Raw!$F$2:$F$391,$E922))</f>
        <v>21</v>
      </c>
      <c r="K922" s="23" t="b">
        <f>IF($C922&gt;0,INDEX(Merge_1_2!$G$2:$G$611,$C922),INDEX(Dataset3_Raw!$G$2:$G$391,$E922))</f>
        <v>0</v>
      </c>
      <c r="L922" s="23">
        <f>IF($C922&gt;0,INDEX(Merge_1_2!$H$2:$H$611,$C922),INDEX(Dataset3_Raw!$H$2:$H$391,$E922))</f>
        <v>4</v>
      </c>
      <c r="M922" s="23">
        <f>IF($C922&gt;0,INDEX(Merge_1_2!$I$2:$I$611,$C922),INDEX(Dataset3_Raw!$I$2:$I$391,$E922))</f>
        <v>1</v>
      </c>
      <c r="N922" s="25">
        <f>IF($C922&gt;0,INDEX(Merge_1_2!$J$2:$J$611,$C922),INDEX(Dataset3_Raw!$J$2:$J$391,$E922))</f>
        <v>0.14000000000000001</v>
      </c>
      <c r="O922" s="25">
        <f>IF($C922&gt;0,IF(ISNUMBER(INDEX(Merge_1_2!$K$2:$K$611,$C922)),INDEX(Merge_1_2!$K$2:$K$611,$C922),""),INDEX(Dataset3_Raw!$K$2:$K$391,$E922))</f>
        <v>0.21210000000000001</v>
      </c>
      <c r="P922" s="25">
        <f>IF(ISNUMBER($O922),$O922,ROUND(Lookups!$B$25+Lookups!$B$24*$N922,4))</f>
        <v>0.21210000000000001</v>
      </c>
      <c r="Q922" s="25">
        <f>IF($C922&gt;0,INDEX(Merge_1_2!$L$2:$L$611,$C922),INDEX(Dataset3_Raw!$L$2:$L$391,$E922))</f>
        <v>0.39</v>
      </c>
      <c r="R922" s="25">
        <f>IF($C922&gt;0,INDEX(Merge_1_2!$M$2:$M$611,$C922),INDEX(Dataset3_Raw!$M$2:$M$391,$E922))</f>
        <v>0</v>
      </c>
      <c r="S922" s="23">
        <f>IF($C922&gt;0,INDEX(Merge_1_2!$N$2:$N$611,$C922),INDEX(Dataset3_Raw!$N$2:$N$391,$E922))</f>
        <v>2</v>
      </c>
      <c r="T922" s="23">
        <f>IF($C922&gt;0,INDEX(Merge_1_2!$O$2:$O$611,$C922),INDEX(Dataset3_Raw!$O$2:$O$391,$E922))</f>
        <v>70</v>
      </c>
      <c r="U922" s="23">
        <f>IF($C922&gt;0,INDEX(Merge_1_2!$P$2:$P$611,$C922),INDEX(Dataset3_Raw!$P$2:$P$391,$E922))</f>
        <v>72</v>
      </c>
      <c r="V922" s="23" t="str">
        <f t="shared" si="85"/>
        <v>Weekday</v>
      </c>
      <c r="W922" s="23" t="str">
        <f>VLOOKUP($M922,Lookups!$A$5:$B$8,2,FALSE())</f>
        <v>Clear / Partly cloudy</v>
      </c>
      <c r="X922" s="23" t="str">
        <f>VLOOKUP($G922,Lookups!$D$5:$E$8,2,FALSE())</f>
        <v>Winter</v>
      </c>
      <c r="Y922" s="23" t="str">
        <f>VLOOKUP($L922,Lookups!$G$5:$H$11,2,FALSE())</f>
        <v>Thursday</v>
      </c>
      <c r="Z922" s="23" t="str">
        <f>IF($J922&lt;Lookups!$B$26,"Night",IF($J922&lt;Lookups!$B$27,"Morning",IF($J922&lt;Lookups!$B$28,"Afternoon","Evening")))</f>
        <v>Evening</v>
      </c>
      <c r="AA922" s="26">
        <f>ROUND($N922*(Lookups!$B$16-Lookups!$B$15)+Lookups!$B$15,1)</f>
        <v>-1.4</v>
      </c>
      <c r="AB922" s="26">
        <f>ROUND($P922*(Lookups!$B$18-Lookups!$B$17)+Lookups!$B$17,1)</f>
        <v>-2</v>
      </c>
      <c r="AC922" s="23">
        <f t="shared" si="86"/>
        <v>39</v>
      </c>
      <c r="AD922" s="23">
        <f>ROUND($R922*Lookups!$B$19,1)</f>
        <v>0</v>
      </c>
      <c r="AE922" s="27">
        <f t="shared" si="87"/>
        <v>0.97222222222222221</v>
      </c>
      <c r="AF922" s="23" t="str">
        <f>IF($U922&gt;=Lookups!$B$23,"High",IF($U922&gt;=Lookups!$B$22,"Medium","Low"))</f>
        <v>Medium</v>
      </c>
      <c r="AG922" s="23">
        <f>ROUND(IF($V922="Weekday",IF(INDEX(Hourly_Analysis!$D$5:$D$28,$J922+1)&gt;0,($U922-INDEX(Hourly_Analysis!$C$5:$C$28,$J922+1))/INDEX(Hourly_Analysis!$D$5:$D$28,$J922+1),0),IF(INDEX(Hourly_Analysis!$G$5:$G$28,$J922+1)&gt;0,($U922-INDEX(Hourly_Analysis!$F$5:$F$28,$J922+1))/INDEX(Hourly_Analysis!$G$5:$G$28,$J922+1),0)),2)</f>
        <v>1.53</v>
      </c>
      <c r="AH922" s="23" t="str">
        <f>IF(ABS($AG922)&gt;Lookups!$B$20,IF($AG922&gt;0,"High anomaly","Low anomaly"),"")</f>
        <v/>
      </c>
      <c r="AI922" s="23" t="str">
        <f t="shared" si="88"/>
        <v>OK</v>
      </c>
      <c r="AJ922" s="23" t="str">
        <f t="shared" si="89"/>
        <v>No</v>
      </c>
    </row>
    <row r="923" spans="1:36" x14ac:dyDescent="0.35">
      <c r="A923" s="23">
        <v>922</v>
      </c>
      <c r="B923" s="23" t="str">
        <f t="shared" si="84"/>
        <v>Dataset 3</v>
      </c>
      <c r="C923" s="23">
        <f>IFERROR(MATCH($A923,Merge_1_2!$A$2:$A$611,0),0)</f>
        <v>0</v>
      </c>
      <c r="D923" s="23">
        <f>IF($C923&gt;0,INDEX(Merge_1_2!$Q$2:$Q$611,$C923),0)</f>
        <v>0</v>
      </c>
      <c r="E923" s="23">
        <f>IFERROR(MATCH($A923,Dataset3_Raw!$A$2:$A$391,0),0)</f>
        <v>312</v>
      </c>
      <c r="F923" s="24">
        <f>IF($C923&gt;0,INDEX(Merge_1_2!$B$2:$B$611,$C923),DATE(VALUE(RIGHT(INDEX(Dataset3_Raw!$B$2:$B$391,$E923),4)),VALUE(MID(INDEX(Dataset3_Raw!$B$2:$B$391,$E923),4,2)),VALUE(LEFT(INDEX(Dataset3_Raw!$B$2:$B$391,$E923),2))))</f>
        <v>40584</v>
      </c>
      <c r="G923" s="23">
        <f>IF($C923&gt;0,INDEX(Merge_1_2!$C$2:$C$611,$C923),INDEX(Dataset3_Raw!$C$2:$C$391,$E923))</f>
        <v>1</v>
      </c>
      <c r="H923" s="23">
        <f>IF($C923&gt;0,INDEX(Merge_1_2!$D$2:$D$611,$C923),INDEX(Dataset3_Raw!$D$2:$D$391,$E923))</f>
        <v>0</v>
      </c>
      <c r="I923" s="23">
        <f>IF($C923&gt;0,INDEX(Merge_1_2!$E$2:$E$611,$C923),INDEX(Dataset3_Raw!$E$2:$E$391,$E923))</f>
        <v>2</v>
      </c>
      <c r="J923" s="23">
        <f>IF($C923&gt;0,INDEX(Merge_1_2!$F$2:$F$611,$C923),INDEX(Dataset3_Raw!$F$2:$F$391,$E923))</f>
        <v>22</v>
      </c>
      <c r="K923" s="23" t="b">
        <f>IF($C923&gt;0,INDEX(Merge_1_2!$G$2:$G$611,$C923),INDEX(Dataset3_Raw!$G$2:$G$391,$E923))</f>
        <v>0</v>
      </c>
      <c r="L923" s="23">
        <f>IF($C923&gt;0,INDEX(Merge_1_2!$H$2:$H$611,$C923),INDEX(Dataset3_Raw!$H$2:$H$391,$E923))</f>
        <v>4</v>
      </c>
      <c r="M923" s="23">
        <f>IF($C923&gt;0,INDEX(Merge_1_2!$I$2:$I$611,$C923),INDEX(Dataset3_Raw!$I$2:$I$391,$E923))</f>
        <v>1</v>
      </c>
      <c r="N923" s="25">
        <f>IF($C923&gt;0,INDEX(Merge_1_2!$J$2:$J$611,$C923),INDEX(Dataset3_Raw!$J$2:$J$391,$E923))</f>
        <v>0.12</v>
      </c>
      <c r="O923" s="25">
        <f>IF($C923&gt;0,IF(ISNUMBER(INDEX(Merge_1_2!$K$2:$K$611,$C923)),INDEX(Merge_1_2!$K$2:$K$611,$C923),""),INDEX(Dataset3_Raw!$K$2:$K$391,$E923))</f>
        <v>0.19700000000000001</v>
      </c>
      <c r="P923" s="25">
        <f>IF(ISNUMBER($O923),$O923,ROUND(Lookups!$B$25+Lookups!$B$24*$N923,4))</f>
        <v>0.19700000000000001</v>
      </c>
      <c r="Q923" s="25">
        <f>IF($C923&gt;0,INDEX(Merge_1_2!$L$2:$L$611,$C923),INDEX(Dataset3_Raw!$L$2:$L$391,$E923))</f>
        <v>0.39</v>
      </c>
      <c r="R923" s="25">
        <f>IF($C923&gt;0,INDEX(Merge_1_2!$M$2:$M$611,$C923),INDEX(Dataset3_Raw!$M$2:$M$391,$E923))</f>
        <v>0</v>
      </c>
      <c r="S923" s="23">
        <f>IF($C923&gt;0,INDEX(Merge_1_2!$N$2:$N$611,$C923),INDEX(Dataset3_Raw!$N$2:$N$391,$E923))</f>
        <v>4</v>
      </c>
      <c r="T923" s="23">
        <f>IF($C923&gt;0,INDEX(Merge_1_2!$O$2:$O$611,$C923),INDEX(Dataset3_Raw!$O$2:$O$391,$E923))</f>
        <v>47</v>
      </c>
      <c r="U923" s="23">
        <f>IF($C923&gt;0,INDEX(Merge_1_2!$P$2:$P$611,$C923),INDEX(Dataset3_Raw!$P$2:$P$391,$E923))</f>
        <v>51</v>
      </c>
      <c r="V923" s="23" t="str">
        <f t="shared" si="85"/>
        <v>Weekday</v>
      </c>
      <c r="W923" s="23" t="str">
        <f>VLOOKUP($M923,Lookups!$A$5:$B$8,2,FALSE())</f>
        <v>Clear / Partly cloudy</v>
      </c>
      <c r="X923" s="23" t="str">
        <f>VLOOKUP($G923,Lookups!$D$5:$E$8,2,FALSE())</f>
        <v>Winter</v>
      </c>
      <c r="Y923" s="23" t="str">
        <f>VLOOKUP($L923,Lookups!$G$5:$H$11,2,FALSE())</f>
        <v>Thursday</v>
      </c>
      <c r="Z923" s="23" t="str">
        <f>IF($J923&lt;Lookups!$B$26,"Night",IF($J923&lt;Lookups!$B$27,"Morning",IF($J923&lt;Lookups!$B$28,"Afternoon","Evening")))</f>
        <v>Evening</v>
      </c>
      <c r="AA923" s="26">
        <f>ROUND($N923*(Lookups!$B$16-Lookups!$B$15)+Lookups!$B$15,1)</f>
        <v>-2.4</v>
      </c>
      <c r="AB923" s="26">
        <f>ROUND($P923*(Lookups!$B$18-Lookups!$B$17)+Lookups!$B$17,1)</f>
        <v>-3</v>
      </c>
      <c r="AC923" s="23">
        <f t="shared" si="86"/>
        <v>39</v>
      </c>
      <c r="AD923" s="23">
        <f>ROUND($R923*Lookups!$B$19,1)</f>
        <v>0</v>
      </c>
      <c r="AE923" s="27">
        <f t="shared" si="87"/>
        <v>0.92156862745098034</v>
      </c>
      <c r="AF923" s="23" t="str">
        <f>IF($U923&gt;=Lookups!$B$23,"High",IF($U923&gt;=Lookups!$B$22,"Medium","Low"))</f>
        <v>Medium</v>
      </c>
      <c r="AG923" s="23">
        <f>ROUND(IF($V923="Weekday",IF(INDEX(Hourly_Analysis!$D$5:$D$28,$J923+1)&gt;0,($U923-INDEX(Hourly_Analysis!$C$5:$C$28,$J923+1))/INDEX(Hourly_Analysis!$D$5:$D$28,$J923+1),0),IF(INDEX(Hourly_Analysis!$G$5:$G$28,$J923+1)&gt;0,($U923-INDEX(Hourly_Analysis!$F$5:$F$28,$J923+1))/INDEX(Hourly_Analysis!$G$5:$G$28,$J923+1),0)),2)</f>
        <v>1.31</v>
      </c>
      <c r="AH923" s="23" t="str">
        <f>IF(ABS($AG923)&gt;Lookups!$B$20,IF($AG923&gt;0,"High anomaly","Low anomaly"),"")</f>
        <v/>
      </c>
      <c r="AI923" s="23" t="str">
        <f t="shared" si="88"/>
        <v>OK</v>
      </c>
      <c r="AJ923" s="23" t="str">
        <f t="shared" si="89"/>
        <v>No</v>
      </c>
    </row>
    <row r="924" spans="1:36" x14ac:dyDescent="0.35">
      <c r="A924" s="23">
        <v>923</v>
      </c>
      <c r="B924" s="23" t="str">
        <f t="shared" si="84"/>
        <v>Dataset 3</v>
      </c>
      <c r="C924" s="23">
        <f>IFERROR(MATCH($A924,Merge_1_2!$A$2:$A$611,0),0)</f>
        <v>0</v>
      </c>
      <c r="D924" s="23">
        <f>IF($C924&gt;0,INDEX(Merge_1_2!$Q$2:$Q$611,$C924),0)</f>
        <v>0</v>
      </c>
      <c r="E924" s="23">
        <f>IFERROR(MATCH($A924,Dataset3_Raw!$A$2:$A$391,0),0)</f>
        <v>313</v>
      </c>
      <c r="F924" s="24">
        <f>IF($C924&gt;0,INDEX(Merge_1_2!$B$2:$B$611,$C924),DATE(VALUE(RIGHT(INDEX(Dataset3_Raw!$B$2:$B$391,$E924),4)),VALUE(MID(INDEX(Dataset3_Raw!$B$2:$B$391,$E924),4,2)),VALUE(LEFT(INDEX(Dataset3_Raw!$B$2:$B$391,$E924),2))))</f>
        <v>40584</v>
      </c>
      <c r="G924" s="23">
        <f>IF($C924&gt;0,INDEX(Merge_1_2!$C$2:$C$611,$C924),INDEX(Dataset3_Raw!$C$2:$C$391,$E924))</f>
        <v>1</v>
      </c>
      <c r="H924" s="23">
        <f>IF($C924&gt;0,INDEX(Merge_1_2!$D$2:$D$611,$C924),INDEX(Dataset3_Raw!$D$2:$D$391,$E924))</f>
        <v>0</v>
      </c>
      <c r="I924" s="23">
        <f>IF($C924&gt;0,INDEX(Merge_1_2!$E$2:$E$611,$C924),INDEX(Dataset3_Raw!$E$2:$E$391,$E924))</f>
        <v>2</v>
      </c>
      <c r="J924" s="23">
        <f>IF($C924&gt;0,INDEX(Merge_1_2!$F$2:$F$611,$C924),INDEX(Dataset3_Raw!$F$2:$F$391,$E924))</f>
        <v>23</v>
      </c>
      <c r="K924" s="23" t="b">
        <f>IF($C924&gt;0,INDEX(Merge_1_2!$G$2:$G$611,$C924),INDEX(Dataset3_Raw!$G$2:$G$391,$E924))</f>
        <v>0</v>
      </c>
      <c r="L924" s="23">
        <f>IF($C924&gt;0,INDEX(Merge_1_2!$H$2:$H$611,$C924),INDEX(Dataset3_Raw!$H$2:$H$391,$E924))</f>
        <v>4</v>
      </c>
      <c r="M924" s="23">
        <f>IF($C924&gt;0,INDEX(Merge_1_2!$I$2:$I$611,$C924),INDEX(Dataset3_Raw!$I$2:$I$391,$E924))</f>
        <v>1</v>
      </c>
      <c r="N924" s="25">
        <f>IF($C924&gt;0,INDEX(Merge_1_2!$J$2:$J$611,$C924),INDEX(Dataset3_Raw!$J$2:$J$391,$E924))</f>
        <v>0.12</v>
      </c>
      <c r="O924" s="25">
        <f>IF($C924&gt;0,IF(ISNUMBER(INDEX(Merge_1_2!$K$2:$K$611,$C924)),INDEX(Merge_1_2!$K$2:$K$611,$C924),""),INDEX(Dataset3_Raw!$K$2:$K$391,$E924))</f>
        <v>0.1515</v>
      </c>
      <c r="P924" s="25">
        <f>IF(ISNUMBER($O924),$O924,ROUND(Lookups!$B$25+Lookups!$B$24*$N924,4))</f>
        <v>0.1515</v>
      </c>
      <c r="Q924" s="25">
        <f>IF($C924&gt;0,INDEX(Merge_1_2!$L$2:$L$611,$C924),INDEX(Dataset3_Raw!$L$2:$L$391,$E924))</f>
        <v>0.42</v>
      </c>
      <c r="R924" s="25">
        <f>IF($C924&gt;0,INDEX(Merge_1_2!$M$2:$M$611,$C924),INDEX(Dataset3_Raw!$M$2:$M$391,$E924))</f>
        <v>0.1045</v>
      </c>
      <c r="S924" s="23">
        <f>IF($C924&gt;0,INDEX(Merge_1_2!$N$2:$N$611,$C924),INDEX(Dataset3_Raw!$N$2:$N$391,$E924))</f>
        <v>1</v>
      </c>
      <c r="T924" s="23">
        <f>IF($C924&gt;0,INDEX(Merge_1_2!$O$2:$O$611,$C924),INDEX(Dataset3_Raw!$O$2:$O$391,$E924))</f>
        <v>33</v>
      </c>
      <c r="U924" s="23">
        <f>IF($C924&gt;0,INDEX(Merge_1_2!$P$2:$P$611,$C924),INDEX(Dataset3_Raw!$P$2:$P$391,$E924))</f>
        <v>34</v>
      </c>
      <c r="V924" s="23" t="str">
        <f t="shared" si="85"/>
        <v>Weekday</v>
      </c>
      <c r="W924" s="23" t="str">
        <f>VLOOKUP($M924,Lookups!$A$5:$B$8,2,FALSE())</f>
        <v>Clear / Partly cloudy</v>
      </c>
      <c r="X924" s="23" t="str">
        <f>VLOOKUP($G924,Lookups!$D$5:$E$8,2,FALSE())</f>
        <v>Winter</v>
      </c>
      <c r="Y924" s="23" t="str">
        <f>VLOOKUP($L924,Lookups!$G$5:$H$11,2,FALSE())</f>
        <v>Thursday</v>
      </c>
      <c r="Z924" s="23" t="str">
        <f>IF($J924&lt;Lookups!$B$26,"Night",IF($J924&lt;Lookups!$B$27,"Morning",IF($J924&lt;Lookups!$B$28,"Afternoon","Evening")))</f>
        <v>Evening</v>
      </c>
      <c r="AA924" s="26">
        <f>ROUND($N924*(Lookups!$B$16-Lookups!$B$15)+Lookups!$B$15,1)</f>
        <v>-2.4</v>
      </c>
      <c r="AB924" s="26">
        <f>ROUND($P924*(Lookups!$B$18-Lookups!$B$17)+Lookups!$B$17,1)</f>
        <v>-6</v>
      </c>
      <c r="AC924" s="23">
        <f t="shared" si="86"/>
        <v>42</v>
      </c>
      <c r="AD924" s="23">
        <f>ROUND($R924*Lookups!$B$19,1)</f>
        <v>7</v>
      </c>
      <c r="AE924" s="27">
        <f t="shared" si="87"/>
        <v>0.97058823529411764</v>
      </c>
      <c r="AF924" s="23" t="str">
        <f>IF($U924&gt;=Lookups!$B$23,"High",IF($U924&gt;=Lookups!$B$22,"Medium","Low"))</f>
        <v>Medium</v>
      </c>
      <c r="AG924" s="23">
        <f>ROUND(IF($V924="Weekday",IF(INDEX(Hourly_Analysis!$D$5:$D$28,$J924+1)&gt;0,($U924-INDEX(Hourly_Analysis!$C$5:$C$28,$J924+1))/INDEX(Hourly_Analysis!$D$5:$D$28,$J924+1),0),IF(INDEX(Hourly_Analysis!$G$5:$G$28,$J924+1)&gt;0,($U924-INDEX(Hourly_Analysis!$F$5:$F$28,$J924+1))/INDEX(Hourly_Analysis!$G$5:$G$28,$J924+1),0)),2)</f>
        <v>0.97</v>
      </c>
      <c r="AH924" s="23" t="str">
        <f>IF(ABS($AG924)&gt;Lookups!$B$20,IF($AG924&gt;0,"High anomaly","Low anomaly"),"")</f>
        <v/>
      </c>
      <c r="AI924" s="23" t="str">
        <f t="shared" si="88"/>
        <v>OK</v>
      </c>
      <c r="AJ924" s="23" t="str">
        <f t="shared" si="89"/>
        <v>No</v>
      </c>
    </row>
    <row r="925" spans="1:36" x14ac:dyDescent="0.35">
      <c r="A925" s="23">
        <v>924</v>
      </c>
      <c r="B925" s="23" t="str">
        <f t="shared" si="84"/>
        <v>Dataset 3</v>
      </c>
      <c r="C925" s="23">
        <f>IFERROR(MATCH($A925,Merge_1_2!$A$2:$A$611,0),0)</f>
        <v>0</v>
      </c>
      <c r="D925" s="23">
        <f>IF($C925&gt;0,INDEX(Merge_1_2!$Q$2:$Q$611,$C925),0)</f>
        <v>0</v>
      </c>
      <c r="E925" s="23">
        <f>IFERROR(MATCH($A925,Dataset3_Raw!$A$2:$A$391,0),0)</f>
        <v>314</v>
      </c>
      <c r="F925" s="24">
        <f>IF($C925&gt;0,INDEX(Merge_1_2!$B$2:$B$611,$C925),DATE(VALUE(RIGHT(INDEX(Dataset3_Raw!$B$2:$B$391,$E925),4)),VALUE(MID(INDEX(Dataset3_Raw!$B$2:$B$391,$E925),4,2)),VALUE(LEFT(INDEX(Dataset3_Raw!$B$2:$B$391,$E925),2))))</f>
        <v>40585</v>
      </c>
      <c r="G925" s="23">
        <f>IF($C925&gt;0,INDEX(Merge_1_2!$C$2:$C$611,$C925),INDEX(Dataset3_Raw!$C$2:$C$391,$E925))</f>
        <v>1</v>
      </c>
      <c r="H925" s="23">
        <f>IF($C925&gt;0,INDEX(Merge_1_2!$D$2:$D$611,$C925),INDEX(Dataset3_Raw!$D$2:$D$391,$E925))</f>
        <v>0</v>
      </c>
      <c r="I925" s="23">
        <f>IF($C925&gt;0,INDEX(Merge_1_2!$E$2:$E$611,$C925),INDEX(Dataset3_Raw!$E$2:$E$391,$E925))</f>
        <v>2</v>
      </c>
      <c r="J925" s="23">
        <f>IF($C925&gt;0,INDEX(Merge_1_2!$F$2:$F$611,$C925),INDEX(Dataset3_Raw!$F$2:$F$391,$E925))</f>
        <v>0</v>
      </c>
      <c r="K925" s="23" t="b">
        <f>IF($C925&gt;0,INDEX(Merge_1_2!$G$2:$G$611,$C925),INDEX(Dataset3_Raw!$G$2:$G$391,$E925))</f>
        <v>0</v>
      </c>
      <c r="L925" s="23">
        <f>IF($C925&gt;0,INDEX(Merge_1_2!$H$2:$H$611,$C925),INDEX(Dataset3_Raw!$H$2:$H$391,$E925))</f>
        <v>5</v>
      </c>
      <c r="M925" s="23">
        <f>IF($C925&gt;0,INDEX(Merge_1_2!$I$2:$I$611,$C925),INDEX(Dataset3_Raw!$I$2:$I$391,$E925))</f>
        <v>1</v>
      </c>
      <c r="N925" s="25">
        <f>IF($C925&gt;0,INDEX(Merge_1_2!$J$2:$J$611,$C925),INDEX(Dataset3_Raw!$J$2:$J$391,$E925))</f>
        <v>0.1</v>
      </c>
      <c r="O925" s="25">
        <f>IF($C925&gt;0,IF(ISNUMBER(INDEX(Merge_1_2!$K$2:$K$611,$C925)),INDEX(Merge_1_2!$K$2:$K$611,$C925),""),INDEX(Dataset3_Raw!$K$2:$K$391,$E925))</f>
        <v>0.13639999999999999</v>
      </c>
      <c r="P925" s="25">
        <f>IF(ISNUMBER($O925),$O925,ROUND(Lookups!$B$25+Lookups!$B$24*$N925,4))</f>
        <v>0.13639999999999999</v>
      </c>
      <c r="Q925" s="25">
        <f>IF($C925&gt;0,INDEX(Merge_1_2!$L$2:$L$611,$C925),INDEX(Dataset3_Raw!$L$2:$L$391,$E925))</f>
        <v>0.49</v>
      </c>
      <c r="R925" s="25">
        <f>IF($C925&gt;0,INDEX(Merge_1_2!$M$2:$M$611,$C925),INDEX(Dataset3_Raw!$M$2:$M$391,$E925))</f>
        <v>0.1045</v>
      </c>
      <c r="S925" s="23">
        <f>IF($C925&gt;0,INDEX(Merge_1_2!$N$2:$N$611,$C925),INDEX(Dataset3_Raw!$N$2:$N$391,$E925))</f>
        <v>2</v>
      </c>
      <c r="T925" s="23">
        <f>IF($C925&gt;0,INDEX(Merge_1_2!$O$2:$O$611,$C925),INDEX(Dataset3_Raw!$O$2:$O$391,$E925))</f>
        <v>12</v>
      </c>
      <c r="U925" s="23">
        <f>IF($C925&gt;0,INDEX(Merge_1_2!$P$2:$P$611,$C925),INDEX(Dataset3_Raw!$P$2:$P$391,$E925))</f>
        <v>14</v>
      </c>
      <c r="V925" s="23" t="str">
        <f t="shared" si="85"/>
        <v>Weekday</v>
      </c>
      <c r="W925" s="23" t="str">
        <f>VLOOKUP($M925,Lookups!$A$5:$B$8,2,FALSE())</f>
        <v>Clear / Partly cloudy</v>
      </c>
      <c r="X925" s="23" t="str">
        <f>VLOOKUP($G925,Lookups!$D$5:$E$8,2,FALSE())</f>
        <v>Winter</v>
      </c>
      <c r="Y925" s="23" t="str">
        <f>VLOOKUP($L925,Lookups!$G$5:$H$11,2,FALSE())</f>
        <v>Friday</v>
      </c>
      <c r="Z925" s="23" t="str">
        <f>IF($J925&lt;Lookups!$B$26,"Night",IF($J925&lt;Lookups!$B$27,"Morning",IF($J925&lt;Lookups!$B$28,"Afternoon","Evening")))</f>
        <v>Night</v>
      </c>
      <c r="AA925" s="26">
        <f>ROUND($N925*(Lookups!$B$16-Lookups!$B$15)+Lookups!$B$15,1)</f>
        <v>-3.3</v>
      </c>
      <c r="AB925" s="26">
        <f>ROUND($P925*(Lookups!$B$18-Lookups!$B$17)+Lookups!$B$17,1)</f>
        <v>-7</v>
      </c>
      <c r="AC925" s="23">
        <f t="shared" si="86"/>
        <v>49</v>
      </c>
      <c r="AD925" s="23">
        <f>ROUND($R925*Lookups!$B$19,1)</f>
        <v>7</v>
      </c>
      <c r="AE925" s="27">
        <f t="shared" si="87"/>
        <v>0.8571428571428571</v>
      </c>
      <c r="AF925" s="23" t="str">
        <f>IF($U925&gt;=Lookups!$B$23,"High",IF($U925&gt;=Lookups!$B$22,"Medium","Low"))</f>
        <v>Low</v>
      </c>
      <c r="AG925" s="23">
        <f>ROUND(IF($V925="Weekday",IF(INDEX(Hourly_Analysis!$D$5:$D$28,$J925+1)&gt;0,($U925-INDEX(Hourly_Analysis!$C$5:$C$28,$J925+1))/INDEX(Hourly_Analysis!$D$5:$D$28,$J925+1),0),IF(INDEX(Hourly_Analysis!$G$5:$G$28,$J925+1)&gt;0,($U925-INDEX(Hourly_Analysis!$F$5:$F$28,$J925+1))/INDEX(Hourly_Analysis!$G$5:$G$28,$J925+1),0)),2)</f>
        <v>0.73</v>
      </c>
      <c r="AH925" s="23" t="str">
        <f>IF(ABS($AG925)&gt;Lookups!$B$20,IF($AG925&gt;0,"High anomaly","Low anomaly"),"")</f>
        <v/>
      </c>
      <c r="AI925" s="23" t="str">
        <f t="shared" si="88"/>
        <v>OK</v>
      </c>
      <c r="AJ925" s="23" t="str">
        <f t="shared" si="89"/>
        <v>No</v>
      </c>
    </row>
    <row r="926" spans="1:36" x14ac:dyDescent="0.35">
      <c r="A926" s="23">
        <v>925</v>
      </c>
      <c r="B926" s="23" t="str">
        <f t="shared" si="84"/>
        <v>Dataset 3</v>
      </c>
      <c r="C926" s="23">
        <f>IFERROR(MATCH($A926,Merge_1_2!$A$2:$A$611,0),0)</f>
        <v>0</v>
      </c>
      <c r="D926" s="23">
        <f>IF($C926&gt;0,INDEX(Merge_1_2!$Q$2:$Q$611,$C926),0)</f>
        <v>0</v>
      </c>
      <c r="E926" s="23">
        <f>IFERROR(MATCH($A926,Dataset3_Raw!$A$2:$A$391,0),0)</f>
        <v>315</v>
      </c>
      <c r="F926" s="24">
        <f>IF($C926&gt;0,INDEX(Merge_1_2!$B$2:$B$611,$C926),DATE(VALUE(RIGHT(INDEX(Dataset3_Raw!$B$2:$B$391,$E926),4)),VALUE(MID(INDEX(Dataset3_Raw!$B$2:$B$391,$E926),4,2)),VALUE(LEFT(INDEX(Dataset3_Raw!$B$2:$B$391,$E926),2))))</f>
        <v>40585</v>
      </c>
      <c r="G926" s="23">
        <f>IF($C926&gt;0,INDEX(Merge_1_2!$C$2:$C$611,$C926),INDEX(Dataset3_Raw!$C$2:$C$391,$E926))</f>
        <v>1</v>
      </c>
      <c r="H926" s="23">
        <f>IF($C926&gt;0,INDEX(Merge_1_2!$D$2:$D$611,$C926),INDEX(Dataset3_Raw!$D$2:$D$391,$E926))</f>
        <v>0</v>
      </c>
      <c r="I926" s="23">
        <f>IF($C926&gt;0,INDEX(Merge_1_2!$E$2:$E$611,$C926),INDEX(Dataset3_Raw!$E$2:$E$391,$E926))</f>
        <v>2</v>
      </c>
      <c r="J926" s="23">
        <f>IF($C926&gt;0,INDEX(Merge_1_2!$F$2:$F$611,$C926),INDEX(Dataset3_Raw!$F$2:$F$391,$E926))</f>
        <v>1</v>
      </c>
      <c r="K926" s="23" t="b">
        <f>IF($C926&gt;0,INDEX(Merge_1_2!$G$2:$G$611,$C926),INDEX(Dataset3_Raw!$G$2:$G$391,$E926))</f>
        <v>0</v>
      </c>
      <c r="L926" s="23">
        <f>IF($C926&gt;0,INDEX(Merge_1_2!$H$2:$H$611,$C926),INDEX(Dataset3_Raw!$H$2:$H$391,$E926))</f>
        <v>5</v>
      </c>
      <c r="M926" s="23">
        <f>IF($C926&gt;0,INDEX(Merge_1_2!$I$2:$I$611,$C926),INDEX(Dataset3_Raw!$I$2:$I$391,$E926))</f>
        <v>1</v>
      </c>
      <c r="N926" s="25">
        <f>IF($C926&gt;0,INDEX(Merge_1_2!$J$2:$J$611,$C926),INDEX(Dataset3_Raw!$J$2:$J$391,$E926))</f>
        <v>0.1</v>
      </c>
      <c r="O926" s="25">
        <f>IF($C926&gt;0,IF(ISNUMBER(INDEX(Merge_1_2!$K$2:$K$611,$C926)),INDEX(Merge_1_2!$K$2:$K$611,$C926),""),INDEX(Dataset3_Raw!$K$2:$K$391,$E926))</f>
        <v>0.13639999999999999</v>
      </c>
      <c r="P926" s="25">
        <f>IF(ISNUMBER($O926),$O926,ROUND(Lookups!$B$25+Lookups!$B$24*$N926,4))</f>
        <v>0.13639999999999999</v>
      </c>
      <c r="Q926" s="25">
        <f>IF($C926&gt;0,INDEX(Merge_1_2!$L$2:$L$611,$C926),INDEX(Dataset3_Raw!$L$2:$L$391,$E926))</f>
        <v>0.54</v>
      </c>
      <c r="R926" s="25">
        <f>IF($C926&gt;0,INDEX(Merge_1_2!$M$2:$M$611,$C926),INDEX(Dataset3_Raw!$M$2:$M$391,$E926))</f>
        <v>8.9599999999999999E-2</v>
      </c>
      <c r="S926" s="23">
        <f>IF($C926&gt;0,INDEX(Merge_1_2!$N$2:$N$611,$C926),INDEX(Dataset3_Raw!$N$2:$N$391,$E926))</f>
        <v>1</v>
      </c>
      <c r="T926" s="23">
        <f>IF($C926&gt;0,INDEX(Merge_1_2!$O$2:$O$611,$C926),INDEX(Dataset3_Raw!$O$2:$O$391,$E926))</f>
        <v>6</v>
      </c>
      <c r="U926" s="23">
        <f>IF($C926&gt;0,INDEX(Merge_1_2!$P$2:$P$611,$C926),INDEX(Dataset3_Raw!$P$2:$P$391,$E926))</f>
        <v>7</v>
      </c>
      <c r="V926" s="23" t="str">
        <f t="shared" si="85"/>
        <v>Weekday</v>
      </c>
      <c r="W926" s="23" t="str">
        <f>VLOOKUP($M926,Lookups!$A$5:$B$8,2,FALSE())</f>
        <v>Clear / Partly cloudy</v>
      </c>
      <c r="X926" s="23" t="str">
        <f>VLOOKUP($G926,Lookups!$D$5:$E$8,2,FALSE())</f>
        <v>Winter</v>
      </c>
      <c r="Y926" s="23" t="str">
        <f>VLOOKUP($L926,Lookups!$G$5:$H$11,2,FALSE())</f>
        <v>Friday</v>
      </c>
      <c r="Z926" s="23" t="str">
        <f>IF($J926&lt;Lookups!$B$26,"Night",IF($J926&lt;Lookups!$B$27,"Morning",IF($J926&lt;Lookups!$B$28,"Afternoon","Evening")))</f>
        <v>Night</v>
      </c>
      <c r="AA926" s="26">
        <f>ROUND($N926*(Lookups!$B$16-Lookups!$B$15)+Lookups!$B$15,1)</f>
        <v>-3.3</v>
      </c>
      <c r="AB926" s="26">
        <f>ROUND($P926*(Lookups!$B$18-Lookups!$B$17)+Lookups!$B$17,1)</f>
        <v>-7</v>
      </c>
      <c r="AC926" s="23">
        <f t="shared" si="86"/>
        <v>54</v>
      </c>
      <c r="AD926" s="23">
        <f>ROUND($R926*Lookups!$B$19,1)</f>
        <v>6</v>
      </c>
      <c r="AE926" s="27">
        <f t="shared" si="87"/>
        <v>0.8571428571428571</v>
      </c>
      <c r="AF926" s="23" t="str">
        <f>IF($U926&gt;=Lookups!$B$23,"High",IF($U926&gt;=Lookups!$B$22,"Medium","Low"))</f>
        <v>Low</v>
      </c>
      <c r="AG926" s="23">
        <f>ROUND(IF($V926="Weekday",IF(INDEX(Hourly_Analysis!$D$5:$D$28,$J926+1)&gt;0,($U926-INDEX(Hourly_Analysis!$C$5:$C$28,$J926+1))/INDEX(Hourly_Analysis!$D$5:$D$28,$J926+1),0),IF(INDEX(Hourly_Analysis!$G$5:$G$28,$J926+1)&gt;0,($U926-INDEX(Hourly_Analysis!$F$5:$F$28,$J926+1))/INDEX(Hourly_Analysis!$G$5:$G$28,$J926+1),0)),2)</f>
        <v>1.1299999999999999</v>
      </c>
      <c r="AH926" s="23" t="str">
        <f>IF(ABS($AG926)&gt;Lookups!$B$20,IF($AG926&gt;0,"High anomaly","Low anomaly"),"")</f>
        <v/>
      </c>
      <c r="AI926" s="23" t="str">
        <f t="shared" si="88"/>
        <v>OK</v>
      </c>
      <c r="AJ926" s="23" t="str">
        <f t="shared" si="89"/>
        <v>No</v>
      </c>
    </row>
    <row r="927" spans="1:36" x14ac:dyDescent="0.35">
      <c r="A927" s="23">
        <v>926</v>
      </c>
      <c r="B927" s="23" t="str">
        <f t="shared" si="84"/>
        <v>Dataset 3</v>
      </c>
      <c r="C927" s="23">
        <f>IFERROR(MATCH($A927,Merge_1_2!$A$2:$A$611,0),0)</f>
        <v>0</v>
      </c>
      <c r="D927" s="23">
        <f>IF($C927&gt;0,INDEX(Merge_1_2!$Q$2:$Q$611,$C927),0)</f>
        <v>0</v>
      </c>
      <c r="E927" s="23">
        <f>IFERROR(MATCH($A927,Dataset3_Raw!$A$2:$A$391,0),0)</f>
        <v>316</v>
      </c>
      <c r="F927" s="24">
        <f>IF($C927&gt;0,INDEX(Merge_1_2!$B$2:$B$611,$C927),DATE(VALUE(RIGHT(INDEX(Dataset3_Raw!$B$2:$B$391,$E927),4)),VALUE(MID(INDEX(Dataset3_Raw!$B$2:$B$391,$E927),4,2)),VALUE(LEFT(INDEX(Dataset3_Raw!$B$2:$B$391,$E927),2))))</f>
        <v>40585</v>
      </c>
      <c r="G927" s="23">
        <f>IF($C927&gt;0,INDEX(Merge_1_2!$C$2:$C$611,$C927),INDEX(Dataset3_Raw!$C$2:$C$391,$E927))</f>
        <v>1</v>
      </c>
      <c r="H927" s="23">
        <f>IF($C927&gt;0,INDEX(Merge_1_2!$D$2:$D$611,$C927),INDEX(Dataset3_Raw!$D$2:$D$391,$E927))</f>
        <v>0</v>
      </c>
      <c r="I927" s="23">
        <f>IF($C927&gt;0,INDEX(Merge_1_2!$E$2:$E$611,$C927),INDEX(Dataset3_Raw!$E$2:$E$391,$E927))</f>
        <v>2</v>
      </c>
      <c r="J927" s="23">
        <f>IF($C927&gt;0,INDEX(Merge_1_2!$F$2:$F$611,$C927),INDEX(Dataset3_Raw!$F$2:$F$391,$E927))</f>
        <v>2</v>
      </c>
      <c r="K927" s="23" t="b">
        <f>IF($C927&gt;0,INDEX(Merge_1_2!$G$2:$G$611,$C927),INDEX(Dataset3_Raw!$G$2:$G$391,$E927))</f>
        <v>0</v>
      </c>
      <c r="L927" s="23">
        <f>IF($C927&gt;0,INDEX(Merge_1_2!$H$2:$H$611,$C927),INDEX(Dataset3_Raw!$H$2:$H$391,$E927))</f>
        <v>5</v>
      </c>
      <c r="M927" s="23">
        <f>IF($C927&gt;0,INDEX(Merge_1_2!$I$2:$I$611,$C927),INDEX(Dataset3_Raw!$I$2:$I$391,$E927))</f>
        <v>1</v>
      </c>
      <c r="N927" s="25">
        <f>IF($C927&gt;0,INDEX(Merge_1_2!$J$2:$J$611,$C927),INDEX(Dataset3_Raw!$J$2:$J$391,$E927))</f>
        <v>0.1</v>
      </c>
      <c r="O927" s="25">
        <f>IF($C927&gt;0,IF(ISNUMBER(INDEX(Merge_1_2!$K$2:$K$611,$C927)),INDEX(Merge_1_2!$K$2:$K$611,$C927),""),INDEX(Dataset3_Raw!$K$2:$K$391,$E927))</f>
        <v>0.13639999999999999</v>
      </c>
      <c r="P927" s="25">
        <f>IF(ISNUMBER($O927),$O927,ROUND(Lookups!$B$25+Lookups!$B$24*$N927,4))</f>
        <v>0.13639999999999999</v>
      </c>
      <c r="Q927" s="25">
        <f>IF($C927&gt;0,INDEX(Merge_1_2!$L$2:$L$611,$C927),INDEX(Dataset3_Raw!$L$2:$L$391,$E927))</f>
        <v>0.54</v>
      </c>
      <c r="R927" s="25">
        <f>IF($C927&gt;0,INDEX(Merge_1_2!$M$2:$M$611,$C927),INDEX(Dataset3_Raw!$M$2:$M$391,$E927))</f>
        <v>8.9599999999999999E-2</v>
      </c>
      <c r="S927" s="23">
        <f>IF($C927&gt;0,INDEX(Merge_1_2!$N$2:$N$611,$C927),INDEX(Dataset3_Raw!$N$2:$N$391,$E927))</f>
        <v>0</v>
      </c>
      <c r="T927" s="23">
        <f>IF($C927&gt;0,INDEX(Merge_1_2!$O$2:$O$611,$C927),INDEX(Dataset3_Raw!$O$2:$O$391,$E927))</f>
        <v>3</v>
      </c>
      <c r="U927" s="23">
        <f>IF($C927&gt;0,INDEX(Merge_1_2!$P$2:$P$611,$C927),INDEX(Dataset3_Raw!$P$2:$P$391,$E927))</f>
        <v>3</v>
      </c>
      <c r="V927" s="23" t="str">
        <f t="shared" si="85"/>
        <v>Weekday</v>
      </c>
      <c r="W927" s="23" t="str">
        <f>VLOOKUP($M927,Lookups!$A$5:$B$8,2,FALSE())</f>
        <v>Clear / Partly cloudy</v>
      </c>
      <c r="X927" s="23" t="str">
        <f>VLOOKUP($G927,Lookups!$D$5:$E$8,2,FALSE())</f>
        <v>Winter</v>
      </c>
      <c r="Y927" s="23" t="str">
        <f>VLOOKUP($L927,Lookups!$G$5:$H$11,2,FALSE())</f>
        <v>Friday</v>
      </c>
      <c r="Z927" s="23" t="str">
        <f>IF($J927&lt;Lookups!$B$26,"Night",IF($J927&lt;Lookups!$B$27,"Morning",IF($J927&lt;Lookups!$B$28,"Afternoon","Evening")))</f>
        <v>Night</v>
      </c>
      <c r="AA927" s="26">
        <f>ROUND($N927*(Lookups!$B$16-Lookups!$B$15)+Lookups!$B$15,1)</f>
        <v>-3.3</v>
      </c>
      <c r="AB927" s="26">
        <f>ROUND($P927*(Lookups!$B$18-Lookups!$B$17)+Lookups!$B$17,1)</f>
        <v>-7</v>
      </c>
      <c r="AC927" s="23">
        <f t="shared" si="86"/>
        <v>54</v>
      </c>
      <c r="AD927" s="23">
        <f>ROUND($R927*Lookups!$B$19,1)</f>
        <v>6</v>
      </c>
      <c r="AE927" s="27">
        <f t="shared" si="87"/>
        <v>1</v>
      </c>
      <c r="AF927" s="23" t="str">
        <f>IF($U927&gt;=Lookups!$B$23,"High",IF($U927&gt;=Lookups!$B$22,"Medium","Low"))</f>
        <v>Low</v>
      </c>
      <c r="AG927" s="23">
        <f>ROUND(IF($V927="Weekday",IF(INDEX(Hourly_Analysis!$D$5:$D$28,$J927+1)&gt;0,($U927-INDEX(Hourly_Analysis!$C$5:$C$28,$J927+1))/INDEX(Hourly_Analysis!$D$5:$D$28,$J927+1),0),IF(INDEX(Hourly_Analysis!$G$5:$G$28,$J927+1)&gt;0,($U927-INDEX(Hourly_Analysis!$F$5:$F$28,$J927+1))/INDEX(Hourly_Analysis!$G$5:$G$28,$J927+1),0)),2)</f>
        <v>0.33</v>
      </c>
      <c r="AH927" s="23" t="str">
        <f>IF(ABS($AG927)&gt;Lookups!$B$20,IF($AG927&gt;0,"High anomaly","Low anomaly"),"")</f>
        <v/>
      </c>
      <c r="AI927" s="23" t="str">
        <f t="shared" si="88"/>
        <v>OK</v>
      </c>
      <c r="AJ927" s="23" t="str">
        <f t="shared" si="89"/>
        <v>No</v>
      </c>
    </row>
    <row r="928" spans="1:36" x14ac:dyDescent="0.35">
      <c r="A928" s="23">
        <v>927</v>
      </c>
      <c r="B928" s="23" t="str">
        <f t="shared" si="84"/>
        <v>Dataset 3</v>
      </c>
      <c r="C928" s="23">
        <f>IFERROR(MATCH($A928,Merge_1_2!$A$2:$A$611,0),0)</f>
        <v>0</v>
      </c>
      <c r="D928" s="23">
        <f>IF($C928&gt;0,INDEX(Merge_1_2!$Q$2:$Q$611,$C928),0)</f>
        <v>0</v>
      </c>
      <c r="E928" s="23">
        <f>IFERROR(MATCH($A928,Dataset3_Raw!$A$2:$A$391,0),0)</f>
        <v>317</v>
      </c>
      <c r="F928" s="24">
        <f>IF($C928&gt;0,INDEX(Merge_1_2!$B$2:$B$611,$C928),DATE(VALUE(RIGHT(INDEX(Dataset3_Raw!$B$2:$B$391,$E928),4)),VALUE(MID(INDEX(Dataset3_Raw!$B$2:$B$391,$E928),4,2)),VALUE(LEFT(INDEX(Dataset3_Raw!$B$2:$B$391,$E928),2))))</f>
        <v>40585</v>
      </c>
      <c r="G928" s="23">
        <f>IF($C928&gt;0,INDEX(Merge_1_2!$C$2:$C$611,$C928),INDEX(Dataset3_Raw!$C$2:$C$391,$E928))</f>
        <v>1</v>
      </c>
      <c r="H928" s="23">
        <f>IF($C928&gt;0,INDEX(Merge_1_2!$D$2:$D$611,$C928),INDEX(Dataset3_Raw!$D$2:$D$391,$E928))</f>
        <v>0</v>
      </c>
      <c r="I928" s="23">
        <f>IF($C928&gt;0,INDEX(Merge_1_2!$E$2:$E$611,$C928),INDEX(Dataset3_Raw!$E$2:$E$391,$E928))</f>
        <v>2</v>
      </c>
      <c r="J928" s="23">
        <f>IF($C928&gt;0,INDEX(Merge_1_2!$F$2:$F$611,$C928),INDEX(Dataset3_Raw!$F$2:$F$391,$E928))</f>
        <v>5</v>
      </c>
      <c r="K928" s="23" t="b">
        <f>IF($C928&gt;0,INDEX(Merge_1_2!$G$2:$G$611,$C928),INDEX(Dataset3_Raw!$G$2:$G$391,$E928))</f>
        <v>0</v>
      </c>
      <c r="L928" s="23">
        <f>IF($C928&gt;0,INDEX(Merge_1_2!$H$2:$H$611,$C928),INDEX(Dataset3_Raw!$H$2:$H$391,$E928))</f>
        <v>5</v>
      </c>
      <c r="M928" s="23">
        <f>IF($C928&gt;0,INDEX(Merge_1_2!$I$2:$I$611,$C928),INDEX(Dataset3_Raw!$I$2:$I$391,$E928))</f>
        <v>1</v>
      </c>
      <c r="N928" s="25">
        <f>IF($C928&gt;0,INDEX(Merge_1_2!$J$2:$J$611,$C928),INDEX(Dataset3_Raw!$J$2:$J$391,$E928))</f>
        <v>0.08</v>
      </c>
      <c r="O928" s="25">
        <f>IF($C928&gt;0,IF(ISNUMBER(INDEX(Merge_1_2!$K$2:$K$611,$C928)),INDEX(Merge_1_2!$K$2:$K$611,$C928),""),INDEX(Dataset3_Raw!$K$2:$K$391,$E928))</f>
        <v>0.1212</v>
      </c>
      <c r="P928" s="25">
        <f>IF(ISNUMBER($O928),$O928,ROUND(Lookups!$B$25+Lookups!$B$24*$N928,4))</f>
        <v>0.1212</v>
      </c>
      <c r="Q928" s="25">
        <f>IF($C928&gt;0,INDEX(Merge_1_2!$L$2:$L$611,$C928),INDEX(Dataset3_Raw!$L$2:$L$391,$E928))</f>
        <v>0.63</v>
      </c>
      <c r="R928" s="25">
        <f>IF($C928&gt;0,INDEX(Merge_1_2!$M$2:$M$611,$C928),INDEX(Dataset3_Raw!$M$2:$M$391,$E928))</f>
        <v>8.9599999999999999E-2</v>
      </c>
      <c r="S928" s="23">
        <f>IF($C928&gt;0,INDEX(Merge_1_2!$N$2:$N$611,$C928),INDEX(Dataset3_Raw!$N$2:$N$391,$E928))</f>
        <v>0</v>
      </c>
      <c r="T928" s="23">
        <f>IF($C928&gt;0,INDEX(Merge_1_2!$O$2:$O$611,$C928),INDEX(Dataset3_Raw!$O$2:$O$391,$E928))</f>
        <v>4</v>
      </c>
      <c r="U928" s="23">
        <f>IF($C928&gt;0,INDEX(Merge_1_2!$P$2:$P$611,$C928),INDEX(Dataset3_Raw!$P$2:$P$391,$E928))</f>
        <v>4</v>
      </c>
      <c r="V928" s="23" t="str">
        <f t="shared" si="85"/>
        <v>Weekday</v>
      </c>
      <c r="W928" s="23" t="str">
        <f>VLOOKUP($M928,Lookups!$A$5:$B$8,2,FALSE())</f>
        <v>Clear / Partly cloudy</v>
      </c>
      <c r="X928" s="23" t="str">
        <f>VLOOKUP($G928,Lookups!$D$5:$E$8,2,FALSE())</f>
        <v>Winter</v>
      </c>
      <c r="Y928" s="23" t="str">
        <f>VLOOKUP($L928,Lookups!$G$5:$H$11,2,FALSE())</f>
        <v>Friday</v>
      </c>
      <c r="Z928" s="23" t="str">
        <f>IF($J928&lt;Lookups!$B$26,"Night",IF($J928&lt;Lookups!$B$27,"Morning",IF($J928&lt;Lookups!$B$28,"Afternoon","Evening")))</f>
        <v>Night</v>
      </c>
      <c r="AA928" s="26">
        <f>ROUND($N928*(Lookups!$B$16-Lookups!$B$15)+Lookups!$B$15,1)</f>
        <v>-4.2</v>
      </c>
      <c r="AB928" s="26">
        <f>ROUND($P928*(Lookups!$B$18-Lookups!$B$17)+Lookups!$B$17,1)</f>
        <v>-8</v>
      </c>
      <c r="AC928" s="23">
        <f t="shared" si="86"/>
        <v>63</v>
      </c>
      <c r="AD928" s="23">
        <f>ROUND($R928*Lookups!$B$19,1)</f>
        <v>6</v>
      </c>
      <c r="AE928" s="27">
        <f t="shared" si="87"/>
        <v>1</v>
      </c>
      <c r="AF928" s="23" t="str">
        <f>IF($U928&gt;=Lookups!$B$23,"High",IF($U928&gt;=Lookups!$B$22,"Medium","Low"))</f>
        <v>Low</v>
      </c>
      <c r="AG928" s="23">
        <f>ROUND(IF($V928="Weekday",IF(INDEX(Hourly_Analysis!$D$5:$D$28,$J928+1)&gt;0,($U928-INDEX(Hourly_Analysis!$C$5:$C$28,$J928+1))/INDEX(Hourly_Analysis!$D$5:$D$28,$J928+1),0),IF(INDEX(Hourly_Analysis!$G$5:$G$28,$J928+1)&gt;0,($U928-INDEX(Hourly_Analysis!$F$5:$F$28,$J928+1))/INDEX(Hourly_Analysis!$G$5:$G$28,$J928+1),0)),2)</f>
        <v>-0.38</v>
      </c>
      <c r="AH928" s="23" t="str">
        <f>IF(ABS($AG928)&gt;Lookups!$B$20,IF($AG928&gt;0,"High anomaly","Low anomaly"),"")</f>
        <v/>
      </c>
      <c r="AI928" s="23" t="str">
        <f t="shared" si="88"/>
        <v>OK</v>
      </c>
      <c r="AJ928" s="23" t="str">
        <f t="shared" si="89"/>
        <v>No</v>
      </c>
    </row>
    <row r="929" spans="1:36" x14ac:dyDescent="0.35">
      <c r="A929" s="23">
        <v>928</v>
      </c>
      <c r="B929" s="23" t="str">
        <f t="shared" si="84"/>
        <v>Dataset 3</v>
      </c>
      <c r="C929" s="23">
        <f>IFERROR(MATCH($A929,Merge_1_2!$A$2:$A$611,0),0)</f>
        <v>0</v>
      </c>
      <c r="D929" s="23">
        <f>IF($C929&gt;0,INDEX(Merge_1_2!$Q$2:$Q$611,$C929),0)</f>
        <v>0</v>
      </c>
      <c r="E929" s="23">
        <f>IFERROR(MATCH($A929,Dataset3_Raw!$A$2:$A$391,0),0)</f>
        <v>318</v>
      </c>
      <c r="F929" s="24">
        <f>IF($C929&gt;0,INDEX(Merge_1_2!$B$2:$B$611,$C929),DATE(VALUE(RIGHT(INDEX(Dataset3_Raw!$B$2:$B$391,$E929),4)),VALUE(MID(INDEX(Dataset3_Raw!$B$2:$B$391,$E929),4,2)),VALUE(LEFT(INDEX(Dataset3_Raw!$B$2:$B$391,$E929),2))))</f>
        <v>40585</v>
      </c>
      <c r="G929" s="23">
        <f>IF($C929&gt;0,INDEX(Merge_1_2!$C$2:$C$611,$C929),INDEX(Dataset3_Raw!$C$2:$C$391,$E929))</f>
        <v>1</v>
      </c>
      <c r="H929" s="23">
        <f>IF($C929&gt;0,INDEX(Merge_1_2!$D$2:$D$611,$C929),INDEX(Dataset3_Raw!$D$2:$D$391,$E929))</f>
        <v>0</v>
      </c>
      <c r="I929" s="23">
        <f>IF($C929&gt;0,INDEX(Merge_1_2!$E$2:$E$611,$C929),INDEX(Dataset3_Raw!$E$2:$E$391,$E929))</f>
        <v>2</v>
      </c>
      <c r="J929" s="23">
        <f>IF($C929&gt;0,INDEX(Merge_1_2!$F$2:$F$611,$C929),INDEX(Dataset3_Raw!$F$2:$F$391,$E929))</f>
        <v>6</v>
      </c>
      <c r="K929" s="23" t="b">
        <f>IF($C929&gt;0,INDEX(Merge_1_2!$G$2:$G$611,$C929),INDEX(Dataset3_Raw!$G$2:$G$391,$E929))</f>
        <v>0</v>
      </c>
      <c r="L929" s="23">
        <f>IF($C929&gt;0,INDEX(Merge_1_2!$H$2:$H$611,$C929),INDEX(Dataset3_Raw!$H$2:$H$391,$E929))</f>
        <v>5</v>
      </c>
      <c r="M929" s="23">
        <f>IF($C929&gt;0,INDEX(Merge_1_2!$I$2:$I$611,$C929),INDEX(Dataset3_Raw!$I$2:$I$391,$E929))</f>
        <v>1</v>
      </c>
      <c r="N929" s="25">
        <f>IF($C929&gt;0,INDEX(Merge_1_2!$J$2:$J$611,$C929),INDEX(Dataset3_Raw!$J$2:$J$391,$E929))</f>
        <v>0.1</v>
      </c>
      <c r="O929" s="25">
        <f>IF($C929&gt;0,IF(ISNUMBER(INDEX(Merge_1_2!$K$2:$K$611,$C929)),INDEX(Merge_1_2!$K$2:$K$611,$C929),""),INDEX(Dataset3_Raw!$K$2:$K$391,$E929))</f>
        <v>0.18179999999999999</v>
      </c>
      <c r="P929" s="25">
        <f>IF(ISNUMBER($O929),$O929,ROUND(Lookups!$B$25+Lookups!$B$24*$N929,4))</f>
        <v>0.18179999999999999</v>
      </c>
      <c r="Q929" s="25">
        <f>IF($C929&gt;0,INDEX(Merge_1_2!$L$2:$L$611,$C929),INDEX(Dataset3_Raw!$L$2:$L$391,$E929))</f>
        <v>0.68</v>
      </c>
      <c r="R929" s="25">
        <f>IF($C929&gt;0,INDEX(Merge_1_2!$M$2:$M$611,$C929),INDEX(Dataset3_Raw!$M$2:$M$391,$E929))</f>
        <v>0</v>
      </c>
      <c r="S929" s="23">
        <f>IF($C929&gt;0,INDEX(Merge_1_2!$N$2:$N$611,$C929),INDEX(Dataset3_Raw!$N$2:$N$391,$E929))</f>
        <v>1</v>
      </c>
      <c r="T929" s="23">
        <f>IF($C929&gt;0,INDEX(Merge_1_2!$O$2:$O$611,$C929),INDEX(Dataset3_Raw!$O$2:$O$391,$E929))</f>
        <v>23</v>
      </c>
      <c r="U929" s="23">
        <f>IF($C929&gt;0,INDEX(Merge_1_2!$P$2:$P$611,$C929),INDEX(Dataset3_Raw!$P$2:$P$391,$E929))</f>
        <v>24</v>
      </c>
      <c r="V929" s="23" t="str">
        <f t="shared" si="85"/>
        <v>Weekday</v>
      </c>
      <c r="W929" s="23" t="str">
        <f>VLOOKUP($M929,Lookups!$A$5:$B$8,2,FALSE())</f>
        <v>Clear / Partly cloudy</v>
      </c>
      <c r="X929" s="23" t="str">
        <f>VLOOKUP($G929,Lookups!$D$5:$E$8,2,FALSE())</f>
        <v>Winter</v>
      </c>
      <c r="Y929" s="23" t="str">
        <f>VLOOKUP($L929,Lookups!$G$5:$H$11,2,FALSE())</f>
        <v>Friday</v>
      </c>
      <c r="Z929" s="23" t="str">
        <f>IF($J929&lt;Lookups!$B$26,"Night",IF($J929&lt;Lookups!$B$27,"Morning",IF($J929&lt;Lookups!$B$28,"Afternoon","Evening")))</f>
        <v>Morning</v>
      </c>
      <c r="AA929" s="26">
        <f>ROUND($N929*(Lookups!$B$16-Lookups!$B$15)+Lookups!$B$15,1)</f>
        <v>-3.3</v>
      </c>
      <c r="AB929" s="26">
        <f>ROUND($P929*(Lookups!$B$18-Lookups!$B$17)+Lookups!$B$17,1)</f>
        <v>-4</v>
      </c>
      <c r="AC929" s="23">
        <f t="shared" si="86"/>
        <v>68</v>
      </c>
      <c r="AD929" s="23">
        <f>ROUND($R929*Lookups!$B$19,1)</f>
        <v>0</v>
      </c>
      <c r="AE929" s="27">
        <f t="shared" si="87"/>
        <v>0.95833333333333337</v>
      </c>
      <c r="AF929" s="23" t="str">
        <f>IF($U929&gt;=Lookups!$B$23,"High",IF($U929&gt;=Lookups!$B$22,"Medium","Low"))</f>
        <v>Medium</v>
      </c>
      <c r="AG929" s="23">
        <f>ROUND(IF($V929="Weekday",IF(INDEX(Hourly_Analysis!$D$5:$D$28,$J929+1)&gt;0,($U929-INDEX(Hourly_Analysis!$C$5:$C$28,$J929+1))/INDEX(Hourly_Analysis!$D$5:$D$28,$J929+1),0),IF(INDEX(Hourly_Analysis!$G$5:$G$28,$J929+1)&gt;0,($U929-INDEX(Hourly_Analysis!$F$5:$F$28,$J929+1))/INDEX(Hourly_Analysis!$G$5:$G$28,$J929+1),0)),2)</f>
        <v>-0.48</v>
      </c>
      <c r="AH929" s="23" t="str">
        <f>IF(ABS($AG929)&gt;Lookups!$B$20,IF($AG929&gt;0,"High anomaly","Low anomaly"),"")</f>
        <v/>
      </c>
      <c r="AI929" s="23" t="str">
        <f t="shared" si="88"/>
        <v>OK</v>
      </c>
      <c r="AJ929" s="23" t="str">
        <f t="shared" si="89"/>
        <v>No</v>
      </c>
    </row>
    <row r="930" spans="1:36" x14ac:dyDescent="0.35">
      <c r="A930" s="23">
        <v>929</v>
      </c>
      <c r="B930" s="23" t="str">
        <f t="shared" si="84"/>
        <v>Dataset 3</v>
      </c>
      <c r="C930" s="23">
        <f>IFERROR(MATCH($A930,Merge_1_2!$A$2:$A$611,0),0)</f>
        <v>0</v>
      </c>
      <c r="D930" s="23">
        <f>IF($C930&gt;0,INDEX(Merge_1_2!$Q$2:$Q$611,$C930),0)</f>
        <v>0</v>
      </c>
      <c r="E930" s="23">
        <f>IFERROR(MATCH($A930,Dataset3_Raw!$A$2:$A$391,0),0)</f>
        <v>319</v>
      </c>
      <c r="F930" s="24">
        <f>IF($C930&gt;0,INDEX(Merge_1_2!$B$2:$B$611,$C930),DATE(VALUE(RIGHT(INDEX(Dataset3_Raw!$B$2:$B$391,$E930),4)),VALUE(MID(INDEX(Dataset3_Raw!$B$2:$B$391,$E930),4,2)),VALUE(LEFT(INDEX(Dataset3_Raw!$B$2:$B$391,$E930),2))))</f>
        <v>40585</v>
      </c>
      <c r="G930" s="23">
        <f>IF($C930&gt;0,INDEX(Merge_1_2!$C$2:$C$611,$C930),INDEX(Dataset3_Raw!$C$2:$C$391,$E930))</f>
        <v>1</v>
      </c>
      <c r="H930" s="23">
        <f>IF($C930&gt;0,INDEX(Merge_1_2!$D$2:$D$611,$C930),INDEX(Dataset3_Raw!$D$2:$D$391,$E930))</f>
        <v>0</v>
      </c>
      <c r="I930" s="23">
        <f>IF($C930&gt;0,INDEX(Merge_1_2!$E$2:$E$611,$C930),INDEX(Dataset3_Raw!$E$2:$E$391,$E930))</f>
        <v>2</v>
      </c>
      <c r="J930" s="23">
        <f>IF($C930&gt;0,INDEX(Merge_1_2!$F$2:$F$611,$C930),INDEX(Dataset3_Raw!$F$2:$F$391,$E930))</f>
        <v>7</v>
      </c>
      <c r="K930" s="23" t="b">
        <f>IF($C930&gt;0,INDEX(Merge_1_2!$G$2:$G$611,$C930),INDEX(Dataset3_Raw!$G$2:$G$391,$E930))</f>
        <v>0</v>
      </c>
      <c r="L930" s="23">
        <f>IF($C930&gt;0,INDEX(Merge_1_2!$H$2:$H$611,$C930),INDEX(Dataset3_Raw!$H$2:$H$391,$E930))</f>
        <v>5</v>
      </c>
      <c r="M930" s="23">
        <f>IF($C930&gt;0,INDEX(Merge_1_2!$I$2:$I$611,$C930),INDEX(Dataset3_Raw!$I$2:$I$391,$E930))</f>
        <v>1</v>
      </c>
      <c r="N930" s="25">
        <f>IF($C930&gt;0,INDEX(Merge_1_2!$J$2:$J$611,$C930),INDEX(Dataset3_Raw!$J$2:$J$391,$E930))</f>
        <v>0.08</v>
      </c>
      <c r="O930" s="25">
        <f>IF($C930&gt;0,IF(ISNUMBER(INDEX(Merge_1_2!$K$2:$K$611,$C930)),INDEX(Merge_1_2!$K$2:$K$611,$C930),""),INDEX(Dataset3_Raw!$K$2:$K$391,$E930))</f>
        <v>0.16669999999999999</v>
      </c>
      <c r="P930" s="25">
        <f>IF(ISNUMBER($O930),$O930,ROUND(Lookups!$B$25+Lookups!$B$24*$N930,4))</f>
        <v>0.16669999999999999</v>
      </c>
      <c r="Q930" s="25">
        <f>IF($C930&gt;0,INDEX(Merge_1_2!$L$2:$L$611,$C930),INDEX(Dataset3_Raw!$L$2:$L$391,$E930))</f>
        <v>0.73</v>
      </c>
      <c r="R930" s="25">
        <f>IF($C930&gt;0,INDEX(Merge_1_2!$M$2:$M$611,$C930),INDEX(Dataset3_Raw!$M$2:$M$391,$E930))</f>
        <v>0</v>
      </c>
      <c r="S930" s="23">
        <f>IF($C930&gt;0,INDEX(Merge_1_2!$N$2:$N$611,$C930),INDEX(Dataset3_Raw!$N$2:$N$391,$E930))</f>
        <v>1</v>
      </c>
      <c r="T930" s="23">
        <f>IF($C930&gt;0,INDEX(Merge_1_2!$O$2:$O$611,$C930),INDEX(Dataset3_Raw!$O$2:$O$391,$E930))</f>
        <v>73</v>
      </c>
      <c r="U930" s="23">
        <f>IF($C930&gt;0,INDEX(Merge_1_2!$P$2:$P$611,$C930),INDEX(Dataset3_Raw!$P$2:$P$391,$E930))</f>
        <v>74</v>
      </c>
      <c r="V930" s="23" t="str">
        <f t="shared" si="85"/>
        <v>Weekday</v>
      </c>
      <c r="W930" s="23" t="str">
        <f>VLOOKUP($M930,Lookups!$A$5:$B$8,2,FALSE())</f>
        <v>Clear / Partly cloudy</v>
      </c>
      <c r="X930" s="23" t="str">
        <f>VLOOKUP($G930,Lookups!$D$5:$E$8,2,FALSE())</f>
        <v>Winter</v>
      </c>
      <c r="Y930" s="23" t="str">
        <f>VLOOKUP($L930,Lookups!$G$5:$H$11,2,FALSE())</f>
        <v>Friday</v>
      </c>
      <c r="Z930" s="23" t="str">
        <f>IF($J930&lt;Lookups!$B$26,"Night",IF($J930&lt;Lookups!$B$27,"Morning",IF($J930&lt;Lookups!$B$28,"Afternoon","Evening")))</f>
        <v>Morning</v>
      </c>
      <c r="AA930" s="26">
        <f>ROUND($N930*(Lookups!$B$16-Lookups!$B$15)+Lookups!$B$15,1)</f>
        <v>-4.2</v>
      </c>
      <c r="AB930" s="26">
        <f>ROUND($P930*(Lookups!$B$18-Lookups!$B$17)+Lookups!$B$17,1)</f>
        <v>-5</v>
      </c>
      <c r="AC930" s="23">
        <f t="shared" si="86"/>
        <v>73</v>
      </c>
      <c r="AD930" s="23">
        <f>ROUND($R930*Lookups!$B$19,1)</f>
        <v>0</v>
      </c>
      <c r="AE930" s="27">
        <f t="shared" si="87"/>
        <v>0.98648648648648651</v>
      </c>
      <c r="AF930" s="23" t="str">
        <f>IF($U930&gt;=Lookups!$B$23,"High",IF($U930&gt;=Lookups!$B$22,"Medium","Low"))</f>
        <v>Medium</v>
      </c>
      <c r="AG930" s="23">
        <f>ROUND(IF($V930="Weekday",IF(INDEX(Hourly_Analysis!$D$5:$D$28,$J930+1)&gt;0,($U930-INDEX(Hourly_Analysis!$C$5:$C$28,$J930+1))/INDEX(Hourly_Analysis!$D$5:$D$28,$J930+1),0),IF(INDEX(Hourly_Analysis!$G$5:$G$28,$J930+1)&gt;0,($U930-INDEX(Hourly_Analysis!$F$5:$F$28,$J930+1))/INDEX(Hourly_Analysis!$G$5:$G$28,$J930+1),0)),2)</f>
        <v>-0.33</v>
      </c>
      <c r="AH930" s="23" t="str">
        <f>IF(ABS($AG930)&gt;Lookups!$B$20,IF($AG930&gt;0,"High anomaly","Low anomaly"),"")</f>
        <v/>
      </c>
      <c r="AI930" s="23" t="str">
        <f t="shared" si="88"/>
        <v>OK</v>
      </c>
      <c r="AJ930" s="23" t="str">
        <f t="shared" si="89"/>
        <v>No</v>
      </c>
    </row>
    <row r="931" spans="1:36" x14ac:dyDescent="0.35">
      <c r="A931" s="23">
        <v>930</v>
      </c>
      <c r="B931" s="23" t="str">
        <f t="shared" si="84"/>
        <v>Dataset 3</v>
      </c>
      <c r="C931" s="23">
        <f>IFERROR(MATCH($A931,Merge_1_2!$A$2:$A$611,0),0)</f>
        <v>0</v>
      </c>
      <c r="D931" s="23">
        <f>IF($C931&gt;0,INDEX(Merge_1_2!$Q$2:$Q$611,$C931),0)</f>
        <v>0</v>
      </c>
      <c r="E931" s="23">
        <f>IFERROR(MATCH($A931,Dataset3_Raw!$A$2:$A$391,0),0)</f>
        <v>320</v>
      </c>
      <c r="F931" s="24">
        <f>IF($C931&gt;0,INDEX(Merge_1_2!$B$2:$B$611,$C931),DATE(VALUE(RIGHT(INDEX(Dataset3_Raw!$B$2:$B$391,$E931),4)),VALUE(MID(INDEX(Dataset3_Raw!$B$2:$B$391,$E931),4,2)),VALUE(LEFT(INDEX(Dataset3_Raw!$B$2:$B$391,$E931),2))))</f>
        <v>40585</v>
      </c>
      <c r="G931" s="23">
        <f>IF($C931&gt;0,INDEX(Merge_1_2!$C$2:$C$611,$C931),INDEX(Dataset3_Raw!$C$2:$C$391,$E931))</f>
        <v>1</v>
      </c>
      <c r="H931" s="23">
        <f>IF($C931&gt;0,INDEX(Merge_1_2!$D$2:$D$611,$C931),INDEX(Dataset3_Raw!$D$2:$D$391,$E931))</f>
        <v>0</v>
      </c>
      <c r="I931" s="23">
        <f>IF($C931&gt;0,INDEX(Merge_1_2!$E$2:$E$611,$C931),INDEX(Dataset3_Raw!$E$2:$E$391,$E931))</f>
        <v>2</v>
      </c>
      <c r="J931" s="23">
        <f>IF($C931&gt;0,INDEX(Merge_1_2!$F$2:$F$611,$C931),INDEX(Dataset3_Raw!$F$2:$F$391,$E931))</f>
        <v>8</v>
      </c>
      <c r="K931" s="23" t="b">
        <f>IF($C931&gt;0,INDEX(Merge_1_2!$G$2:$G$611,$C931),INDEX(Dataset3_Raw!$G$2:$G$391,$E931))</f>
        <v>0</v>
      </c>
      <c r="L931" s="23">
        <f>IF($C931&gt;0,INDEX(Merge_1_2!$H$2:$H$611,$C931),INDEX(Dataset3_Raw!$H$2:$H$391,$E931))</f>
        <v>5</v>
      </c>
      <c r="M931" s="23">
        <f>IF($C931&gt;0,INDEX(Merge_1_2!$I$2:$I$611,$C931),INDEX(Dataset3_Raw!$I$2:$I$391,$E931))</f>
        <v>1</v>
      </c>
      <c r="N931" s="25">
        <f>IF($C931&gt;0,INDEX(Merge_1_2!$J$2:$J$611,$C931),INDEX(Dataset3_Raw!$J$2:$J$391,$E931))</f>
        <v>0.1</v>
      </c>
      <c r="O931" s="25">
        <f>IF($C931&gt;0,IF(ISNUMBER(INDEX(Merge_1_2!$K$2:$K$611,$C931)),INDEX(Merge_1_2!$K$2:$K$611,$C931),""),INDEX(Dataset3_Raw!$K$2:$K$391,$E931))</f>
        <v>0.1212</v>
      </c>
      <c r="P931" s="25">
        <f>IF(ISNUMBER($O931),$O931,ROUND(Lookups!$B$25+Lookups!$B$24*$N931,4))</f>
        <v>0.1212</v>
      </c>
      <c r="Q931" s="25">
        <f>IF($C931&gt;0,INDEX(Merge_1_2!$L$2:$L$611,$C931),INDEX(Dataset3_Raw!$L$2:$L$391,$E931))</f>
        <v>0.74</v>
      </c>
      <c r="R931" s="25">
        <f>IF($C931&gt;0,INDEX(Merge_1_2!$M$2:$M$611,$C931),INDEX(Dataset3_Raw!$M$2:$M$391,$E931))</f>
        <v>0.16420000000000001</v>
      </c>
      <c r="S931" s="23">
        <f>IF($C931&gt;0,INDEX(Merge_1_2!$N$2:$N$611,$C931),INDEX(Dataset3_Raw!$N$2:$N$391,$E931))</f>
        <v>4</v>
      </c>
      <c r="T931" s="23">
        <f>IF($C931&gt;0,INDEX(Merge_1_2!$O$2:$O$611,$C931),INDEX(Dataset3_Raw!$O$2:$O$391,$E931))</f>
        <v>212</v>
      </c>
      <c r="U931" s="23">
        <f>IF($C931&gt;0,INDEX(Merge_1_2!$P$2:$P$611,$C931),INDEX(Dataset3_Raw!$P$2:$P$391,$E931))</f>
        <v>216</v>
      </c>
      <c r="V931" s="23" t="str">
        <f t="shared" si="85"/>
        <v>Weekday</v>
      </c>
      <c r="W931" s="23" t="str">
        <f>VLOOKUP($M931,Lookups!$A$5:$B$8,2,FALSE())</f>
        <v>Clear / Partly cloudy</v>
      </c>
      <c r="X931" s="23" t="str">
        <f>VLOOKUP($G931,Lookups!$D$5:$E$8,2,FALSE())</f>
        <v>Winter</v>
      </c>
      <c r="Y931" s="23" t="str">
        <f>VLOOKUP($L931,Lookups!$G$5:$H$11,2,FALSE())</f>
        <v>Friday</v>
      </c>
      <c r="Z931" s="23" t="str">
        <f>IF($J931&lt;Lookups!$B$26,"Night",IF($J931&lt;Lookups!$B$27,"Morning",IF($J931&lt;Lookups!$B$28,"Afternoon","Evening")))</f>
        <v>Morning</v>
      </c>
      <c r="AA931" s="26">
        <f>ROUND($N931*(Lookups!$B$16-Lookups!$B$15)+Lookups!$B$15,1)</f>
        <v>-3.3</v>
      </c>
      <c r="AB931" s="26">
        <f>ROUND($P931*(Lookups!$B$18-Lookups!$B$17)+Lookups!$B$17,1)</f>
        <v>-8</v>
      </c>
      <c r="AC931" s="23">
        <f t="shared" si="86"/>
        <v>74</v>
      </c>
      <c r="AD931" s="23">
        <f>ROUND($R931*Lookups!$B$19,1)</f>
        <v>11</v>
      </c>
      <c r="AE931" s="27">
        <f t="shared" si="87"/>
        <v>0.98148148148148151</v>
      </c>
      <c r="AF931" s="23" t="str">
        <f>IF($U931&gt;=Lookups!$B$23,"High",IF($U931&gt;=Lookups!$B$22,"Medium","Low"))</f>
        <v>High</v>
      </c>
      <c r="AG931" s="23">
        <f>ROUND(IF($V931="Weekday",IF(INDEX(Hourly_Analysis!$D$5:$D$28,$J931+1)&gt;0,($U931-INDEX(Hourly_Analysis!$C$5:$C$28,$J931+1))/INDEX(Hourly_Analysis!$D$5:$D$28,$J931+1),0),IF(INDEX(Hourly_Analysis!$G$5:$G$28,$J931+1)&gt;0,($U931-INDEX(Hourly_Analysis!$F$5:$F$28,$J931+1))/INDEX(Hourly_Analysis!$G$5:$G$28,$J931+1),0)),2)</f>
        <v>0.68</v>
      </c>
      <c r="AH931" s="23" t="str">
        <f>IF(ABS($AG931)&gt;Lookups!$B$20,IF($AG931&gt;0,"High anomaly","Low anomaly"),"")</f>
        <v/>
      </c>
      <c r="AI931" s="23" t="str">
        <f t="shared" si="88"/>
        <v>OK</v>
      </c>
      <c r="AJ931" s="23" t="str">
        <f t="shared" si="89"/>
        <v>No</v>
      </c>
    </row>
    <row r="932" spans="1:36" x14ac:dyDescent="0.35">
      <c r="A932" s="23">
        <v>931</v>
      </c>
      <c r="B932" s="23" t="str">
        <f t="shared" si="84"/>
        <v>Dataset 3</v>
      </c>
      <c r="C932" s="23">
        <f>IFERROR(MATCH($A932,Merge_1_2!$A$2:$A$611,0),0)</f>
        <v>0</v>
      </c>
      <c r="D932" s="23">
        <f>IF($C932&gt;0,INDEX(Merge_1_2!$Q$2:$Q$611,$C932),0)</f>
        <v>0</v>
      </c>
      <c r="E932" s="23">
        <f>IFERROR(MATCH($A932,Dataset3_Raw!$A$2:$A$391,0),0)</f>
        <v>321</v>
      </c>
      <c r="F932" s="24">
        <f>IF($C932&gt;0,INDEX(Merge_1_2!$B$2:$B$611,$C932),DATE(VALUE(RIGHT(INDEX(Dataset3_Raw!$B$2:$B$391,$E932),4)),VALUE(MID(INDEX(Dataset3_Raw!$B$2:$B$391,$E932),4,2)),VALUE(LEFT(INDEX(Dataset3_Raw!$B$2:$B$391,$E932),2))))</f>
        <v>40585</v>
      </c>
      <c r="G932" s="23">
        <f>IF($C932&gt;0,INDEX(Merge_1_2!$C$2:$C$611,$C932),INDEX(Dataset3_Raw!$C$2:$C$391,$E932))</f>
        <v>1</v>
      </c>
      <c r="H932" s="23">
        <f>IF($C932&gt;0,INDEX(Merge_1_2!$D$2:$D$611,$C932),INDEX(Dataset3_Raw!$D$2:$D$391,$E932))</f>
        <v>0</v>
      </c>
      <c r="I932" s="23">
        <f>IF($C932&gt;0,INDEX(Merge_1_2!$E$2:$E$611,$C932),INDEX(Dataset3_Raw!$E$2:$E$391,$E932))</f>
        <v>2</v>
      </c>
      <c r="J932" s="23">
        <f>IF($C932&gt;0,INDEX(Merge_1_2!$F$2:$F$611,$C932),INDEX(Dataset3_Raw!$F$2:$F$391,$E932))</f>
        <v>9</v>
      </c>
      <c r="K932" s="23" t="b">
        <f>IF($C932&gt;0,INDEX(Merge_1_2!$G$2:$G$611,$C932),INDEX(Dataset3_Raw!$G$2:$G$391,$E932))</f>
        <v>0</v>
      </c>
      <c r="L932" s="23">
        <f>IF($C932&gt;0,INDEX(Merge_1_2!$H$2:$H$611,$C932),INDEX(Dataset3_Raw!$H$2:$H$391,$E932))</f>
        <v>5</v>
      </c>
      <c r="M932" s="23">
        <f>IF($C932&gt;0,INDEX(Merge_1_2!$I$2:$I$611,$C932),INDEX(Dataset3_Raw!$I$2:$I$391,$E932))</f>
        <v>1</v>
      </c>
      <c r="N932" s="25">
        <f>IF($C932&gt;0,INDEX(Merge_1_2!$J$2:$J$611,$C932),INDEX(Dataset3_Raw!$J$2:$J$391,$E932))</f>
        <v>0.12</v>
      </c>
      <c r="O932" s="25">
        <f>IF($C932&gt;0,IF(ISNUMBER(INDEX(Merge_1_2!$K$2:$K$611,$C932)),INDEX(Merge_1_2!$K$2:$K$611,$C932),""),INDEX(Dataset3_Raw!$K$2:$K$391,$E932))</f>
        <v>0.1212</v>
      </c>
      <c r="P932" s="25">
        <f>IF(ISNUMBER($O932),$O932,ROUND(Lookups!$B$25+Lookups!$B$24*$N932,4))</f>
        <v>0.1212</v>
      </c>
      <c r="Q932" s="25">
        <f>IF($C932&gt;0,INDEX(Merge_1_2!$L$2:$L$611,$C932),INDEX(Dataset3_Raw!$L$2:$L$391,$E932))</f>
        <v>0.74</v>
      </c>
      <c r="R932" s="25">
        <f>IF($C932&gt;0,INDEX(Merge_1_2!$M$2:$M$611,$C932),INDEX(Dataset3_Raw!$M$2:$M$391,$E932))</f>
        <v>0.22389999999999999</v>
      </c>
      <c r="S932" s="23">
        <f>IF($C932&gt;0,INDEX(Merge_1_2!$N$2:$N$611,$C932),INDEX(Dataset3_Raw!$N$2:$N$391,$E932))</f>
        <v>8</v>
      </c>
      <c r="T932" s="23">
        <f>IF($C932&gt;0,INDEX(Merge_1_2!$O$2:$O$611,$C932),INDEX(Dataset3_Raw!$O$2:$O$391,$E932))</f>
        <v>132</v>
      </c>
      <c r="U932" s="23">
        <f>IF($C932&gt;0,INDEX(Merge_1_2!$P$2:$P$611,$C932),INDEX(Dataset3_Raw!$P$2:$P$391,$E932))</f>
        <v>140</v>
      </c>
      <c r="V932" s="23" t="str">
        <f t="shared" si="85"/>
        <v>Weekday</v>
      </c>
      <c r="W932" s="23" t="str">
        <f>VLOOKUP($M932,Lookups!$A$5:$B$8,2,FALSE())</f>
        <v>Clear / Partly cloudy</v>
      </c>
      <c r="X932" s="23" t="str">
        <f>VLOOKUP($G932,Lookups!$D$5:$E$8,2,FALSE())</f>
        <v>Winter</v>
      </c>
      <c r="Y932" s="23" t="str">
        <f>VLOOKUP($L932,Lookups!$G$5:$H$11,2,FALSE())</f>
        <v>Friday</v>
      </c>
      <c r="Z932" s="23" t="str">
        <f>IF($J932&lt;Lookups!$B$26,"Night",IF($J932&lt;Lookups!$B$27,"Morning",IF($J932&lt;Lookups!$B$28,"Afternoon","Evening")))</f>
        <v>Morning</v>
      </c>
      <c r="AA932" s="26">
        <f>ROUND($N932*(Lookups!$B$16-Lookups!$B$15)+Lookups!$B$15,1)</f>
        <v>-2.4</v>
      </c>
      <c r="AB932" s="26">
        <f>ROUND($P932*(Lookups!$B$18-Lookups!$B$17)+Lookups!$B$17,1)</f>
        <v>-8</v>
      </c>
      <c r="AC932" s="23">
        <f t="shared" si="86"/>
        <v>74</v>
      </c>
      <c r="AD932" s="23">
        <f>ROUND($R932*Lookups!$B$19,1)</f>
        <v>15</v>
      </c>
      <c r="AE932" s="27">
        <f t="shared" si="87"/>
        <v>0.94285714285714284</v>
      </c>
      <c r="AF932" s="23" t="str">
        <f>IF($U932&gt;=Lookups!$B$23,"High",IF($U932&gt;=Lookups!$B$22,"Medium","Low"))</f>
        <v>High</v>
      </c>
      <c r="AG932" s="23">
        <f>ROUND(IF($V932="Weekday",IF(INDEX(Hourly_Analysis!$D$5:$D$28,$J932+1)&gt;0,($U932-INDEX(Hourly_Analysis!$C$5:$C$28,$J932+1))/INDEX(Hourly_Analysis!$D$5:$D$28,$J932+1),0),IF(INDEX(Hourly_Analysis!$G$5:$G$28,$J932+1)&gt;0,($U932-INDEX(Hourly_Analysis!$F$5:$F$28,$J932+1))/INDEX(Hourly_Analysis!$G$5:$G$28,$J932+1),0)),2)</f>
        <v>0.97</v>
      </c>
      <c r="AH932" s="23" t="str">
        <f>IF(ABS($AG932)&gt;Lookups!$B$20,IF($AG932&gt;0,"High anomaly","Low anomaly"),"")</f>
        <v/>
      </c>
      <c r="AI932" s="23" t="str">
        <f t="shared" si="88"/>
        <v>OK</v>
      </c>
      <c r="AJ932" s="23" t="str">
        <f t="shared" si="89"/>
        <v>No</v>
      </c>
    </row>
    <row r="933" spans="1:36" x14ac:dyDescent="0.35">
      <c r="A933" s="23">
        <v>932</v>
      </c>
      <c r="B933" s="23" t="str">
        <f t="shared" si="84"/>
        <v>Dataset 3</v>
      </c>
      <c r="C933" s="23">
        <f>IFERROR(MATCH($A933,Merge_1_2!$A$2:$A$611,0),0)</f>
        <v>0</v>
      </c>
      <c r="D933" s="23">
        <f>IF($C933&gt;0,INDEX(Merge_1_2!$Q$2:$Q$611,$C933),0)</f>
        <v>0</v>
      </c>
      <c r="E933" s="23">
        <f>IFERROR(MATCH($A933,Dataset3_Raw!$A$2:$A$391,0),0)</f>
        <v>322</v>
      </c>
      <c r="F933" s="24">
        <f>IF($C933&gt;0,INDEX(Merge_1_2!$B$2:$B$611,$C933),DATE(VALUE(RIGHT(INDEX(Dataset3_Raw!$B$2:$B$391,$E933),4)),VALUE(MID(INDEX(Dataset3_Raw!$B$2:$B$391,$E933),4,2)),VALUE(LEFT(INDEX(Dataset3_Raw!$B$2:$B$391,$E933),2))))</f>
        <v>40585</v>
      </c>
      <c r="G933" s="23">
        <f>IF($C933&gt;0,INDEX(Merge_1_2!$C$2:$C$611,$C933),INDEX(Dataset3_Raw!$C$2:$C$391,$E933))</f>
        <v>1</v>
      </c>
      <c r="H933" s="23">
        <f>IF($C933&gt;0,INDEX(Merge_1_2!$D$2:$D$611,$C933),INDEX(Dataset3_Raw!$D$2:$D$391,$E933))</f>
        <v>0</v>
      </c>
      <c r="I933" s="23">
        <f>IF($C933&gt;0,INDEX(Merge_1_2!$E$2:$E$611,$C933),INDEX(Dataset3_Raw!$E$2:$E$391,$E933))</f>
        <v>2</v>
      </c>
      <c r="J933" s="23">
        <f>IF($C933&gt;0,INDEX(Merge_1_2!$F$2:$F$611,$C933),INDEX(Dataset3_Raw!$F$2:$F$391,$E933))</f>
        <v>10</v>
      </c>
      <c r="K933" s="23" t="b">
        <f>IF($C933&gt;0,INDEX(Merge_1_2!$G$2:$G$611,$C933),INDEX(Dataset3_Raw!$G$2:$G$391,$E933))</f>
        <v>0</v>
      </c>
      <c r="L933" s="23">
        <f>IF($C933&gt;0,INDEX(Merge_1_2!$H$2:$H$611,$C933),INDEX(Dataset3_Raw!$H$2:$H$391,$E933))</f>
        <v>5</v>
      </c>
      <c r="M933" s="23">
        <f>IF($C933&gt;0,INDEX(Merge_1_2!$I$2:$I$611,$C933),INDEX(Dataset3_Raw!$I$2:$I$391,$E933))</f>
        <v>1</v>
      </c>
      <c r="N933" s="25">
        <f>IF($C933&gt;0,INDEX(Merge_1_2!$J$2:$J$611,$C933),INDEX(Dataset3_Raw!$J$2:$J$391,$E933))</f>
        <v>0.14000000000000001</v>
      </c>
      <c r="O933" s="25">
        <f>IF($C933&gt;0,IF(ISNUMBER(INDEX(Merge_1_2!$K$2:$K$611,$C933)),INDEX(Merge_1_2!$K$2:$K$611,$C933),""),INDEX(Dataset3_Raw!$K$2:$K$391,$E933))</f>
        <v>0.13639999999999999</v>
      </c>
      <c r="P933" s="25">
        <f>IF(ISNUMBER($O933),$O933,ROUND(Lookups!$B$25+Lookups!$B$24*$N933,4))</f>
        <v>0.13639999999999999</v>
      </c>
      <c r="Q933" s="25">
        <f>IF($C933&gt;0,INDEX(Merge_1_2!$L$2:$L$611,$C933),INDEX(Dataset3_Raw!$L$2:$L$391,$E933))</f>
        <v>0.69</v>
      </c>
      <c r="R933" s="25">
        <f>IF($C933&gt;0,INDEX(Merge_1_2!$M$2:$M$611,$C933),INDEX(Dataset3_Raw!$M$2:$M$391,$E933))</f>
        <v>0.19400000000000001</v>
      </c>
      <c r="S933" s="23">
        <f>IF($C933&gt;0,INDEX(Merge_1_2!$N$2:$N$611,$C933),INDEX(Dataset3_Raw!$N$2:$N$391,$E933))</f>
        <v>5</v>
      </c>
      <c r="T933" s="23">
        <f>IF($C933&gt;0,INDEX(Merge_1_2!$O$2:$O$611,$C933),INDEX(Dataset3_Raw!$O$2:$O$391,$E933))</f>
        <v>39</v>
      </c>
      <c r="U933" s="23">
        <f>IF($C933&gt;0,INDEX(Merge_1_2!$P$2:$P$611,$C933),INDEX(Dataset3_Raw!$P$2:$P$391,$E933))</f>
        <v>44</v>
      </c>
      <c r="V933" s="23" t="str">
        <f t="shared" si="85"/>
        <v>Weekday</v>
      </c>
      <c r="W933" s="23" t="str">
        <f>VLOOKUP($M933,Lookups!$A$5:$B$8,2,FALSE())</f>
        <v>Clear / Partly cloudy</v>
      </c>
      <c r="X933" s="23" t="str">
        <f>VLOOKUP($G933,Lookups!$D$5:$E$8,2,FALSE())</f>
        <v>Winter</v>
      </c>
      <c r="Y933" s="23" t="str">
        <f>VLOOKUP($L933,Lookups!$G$5:$H$11,2,FALSE())</f>
        <v>Friday</v>
      </c>
      <c r="Z933" s="23" t="str">
        <f>IF($J933&lt;Lookups!$B$26,"Night",IF($J933&lt;Lookups!$B$27,"Morning",IF($J933&lt;Lookups!$B$28,"Afternoon","Evening")))</f>
        <v>Morning</v>
      </c>
      <c r="AA933" s="26">
        <f>ROUND($N933*(Lookups!$B$16-Lookups!$B$15)+Lookups!$B$15,1)</f>
        <v>-1.4</v>
      </c>
      <c r="AB933" s="26">
        <f>ROUND($P933*(Lookups!$B$18-Lookups!$B$17)+Lookups!$B$17,1)</f>
        <v>-7</v>
      </c>
      <c r="AC933" s="23">
        <f t="shared" si="86"/>
        <v>69</v>
      </c>
      <c r="AD933" s="23">
        <f>ROUND($R933*Lookups!$B$19,1)</f>
        <v>13</v>
      </c>
      <c r="AE933" s="27">
        <f t="shared" si="87"/>
        <v>0.88636363636363635</v>
      </c>
      <c r="AF933" s="23" t="str">
        <f>IF($U933&gt;=Lookups!$B$23,"High",IF($U933&gt;=Lookups!$B$22,"Medium","Low"))</f>
        <v>Medium</v>
      </c>
      <c r="AG933" s="23">
        <f>ROUND(IF($V933="Weekday",IF(INDEX(Hourly_Analysis!$D$5:$D$28,$J933+1)&gt;0,($U933-INDEX(Hourly_Analysis!$C$5:$C$28,$J933+1))/INDEX(Hourly_Analysis!$D$5:$D$28,$J933+1),0),IF(INDEX(Hourly_Analysis!$G$5:$G$28,$J933+1)&gt;0,($U933-INDEX(Hourly_Analysis!$F$5:$F$28,$J933+1))/INDEX(Hourly_Analysis!$G$5:$G$28,$J933+1),0)),2)</f>
        <v>-0.47</v>
      </c>
      <c r="AH933" s="23" t="str">
        <f>IF(ABS($AG933)&gt;Lookups!$B$20,IF($AG933&gt;0,"High anomaly","Low anomaly"),"")</f>
        <v/>
      </c>
      <c r="AI933" s="23" t="str">
        <f t="shared" si="88"/>
        <v>OK</v>
      </c>
      <c r="AJ933" s="23" t="str">
        <f t="shared" si="89"/>
        <v>No</v>
      </c>
    </row>
    <row r="934" spans="1:36" x14ac:dyDescent="0.35">
      <c r="A934" s="23">
        <v>933</v>
      </c>
      <c r="B934" s="23" t="str">
        <f t="shared" si="84"/>
        <v>Dataset 3</v>
      </c>
      <c r="C934" s="23">
        <f>IFERROR(MATCH($A934,Merge_1_2!$A$2:$A$611,0),0)</f>
        <v>0</v>
      </c>
      <c r="D934" s="23">
        <f>IF($C934&gt;0,INDEX(Merge_1_2!$Q$2:$Q$611,$C934),0)</f>
        <v>0</v>
      </c>
      <c r="E934" s="23">
        <f>IFERROR(MATCH($A934,Dataset3_Raw!$A$2:$A$391,0),0)</f>
        <v>323</v>
      </c>
      <c r="F934" s="24">
        <f>IF($C934&gt;0,INDEX(Merge_1_2!$B$2:$B$611,$C934),DATE(VALUE(RIGHT(INDEX(Dataset3_Raw!$B$2:$B$391,$E934),4)),VALUE(MID(INDEX(Dataset3_Raw!$B$2:$B$391,$E934),4,2)),VALUE(LEFT(INDEX(Dataset3_Raw!$B$2:$B$391,$E934),2))))</f>
        <v>40585</v>
      </c>
      <c r="G934" s="23">
        <f>IF($C934&gt;0,INDEX(Merge_1_2!$C$2:$C$611,$C934),INDEX(Dataset3_Raw!$C$2:$C$391,$E934))</f>
        <v>1</v>
      </c>
      <c r="H934" s="23">
        <f>IF($C934&gt;0,INDEX(Merge_1_2!$D$2:$D$611,$C934),INDEX(Dataset3_Raw!$D$2:$D$391,$E934))</f>
        <v>0</v>
      </c>
      <c r="I934" s="23">
        <f>IF($C934&gt;0,INDEX(Merge_1_2!$E$2:$E$611,$C934),INDEX(Dataset3_Raw!$E$2:$E$391,$E934))</f>
        <v>2</v>
      </c>
      <c r="J934" s="23">
        <f>IF($C934&gt;0,INDEX(Merge_1_2!$F$2:$F$611,$C934),INDEX(Dataset3_Raw!$F$2:$F$391,$E934))</f>
        <v>11</v>
      </c>
      <c r="K934" s="23" t="b">
        <f>IF($C934&gt;0,INDEX(Merge_1_2!$G$2:$G$611,$C934),INDEX(Dataset3_Raw!$G$2:$G$391,$E934))</f>
        <v>0</v>
      </c>
      <c r="L934" s="23">
        <f>IF($C934&gt;0,INDEX(Merge_1_2!$H$2:$H$611,$C934),INDEX(Dataset3_Raw!$H$2:$H$391,$E934))</f>
        <v>5</v>
      </c>
      <c r="M934" s="23">
        <f>IF($C934&gt;0,INDEX(Merge_1_2!$I$2:$I$611,$C934),INDEX(Dataset3_Raw!$I$2:$I$391,$E934))</f>
        <v>1</v>
      </c>
      <c r="N934" s="25">
        <f>IF($C934&gt;0,INDEX(Merge_1_2!$J$2:$J$611,$C934),INDEX(Dataset3_Raw!$J$2:$J$391,$E934))</f>
        <v>0.22</v>
      </c>
      <c r="O934" s="25">
        <f>IF($C934&gt;0,IF(ISNUMBER(INDEX(Merge_1_2!$K$2:$K$611,$C934)),INDEX(Merge_1_2!$K$2:$K$611,$C934),""),INDEX(Dataset3_Raw!$K$2:$K$391,$E934))</f>
        <v>0.2273</v>
      </c>
      <c r="P934" s="25">
        <f>IF(ISNUMBER($O934),$O934,ROUND(Lookups!$B$25+Lookups!$B$24*$N934,4))</f>
        <v>0.2273</v>
      </c>
      <c r="Q934" s="25">
        <f>IF($C934&gt;0,INDEX(Merge_1_2!$L$2:$L$611,$C934),INDEX(Dataset3_Raw!$L$2:$L$391,$E934))</f>
        <v>0.47</v>
      </c>
      <c r="R934" s="25">
        <f>IF($C934&gt;0,INDEX(Merge_1_2!$M$2:$M$611,$C934),INDEX(Dataset3_Raw!$M$2:$M$391,$E934))</f>
        <v>0.1343</v>
      </c>
      <c r="S934" s="23">
        <f>IF($C934&gt;0,INDEX(Merge_1_2!$N$2:$N$611,$C934),INDEX(Dataset3_Raw!$N$2:$N$391,$E934))</f>
        <v>12</v>
      </c>
      <c r="T934" s="23">
        <f>IF($C934&gt;0,INDEX(Merge_1_2!$O$2:$O$611,$C934),INDEX(Dataset3_Raw!$O$2:$O$391,$E934))</f>
        <v>52</v>
      </c>
      <c r="U934" s="23">
        <f>IF($C934&gt;0,INDEX(Merge_1_2!$P$2:$P$611,$C934),INDEX(Dataset3_Raw!$P$2:$P$391,$E934))</f>
        <v>64</v>
      </c>
      <c r="V934" s="23" t="str">
        <f t="shared" si="85"/>
        <v>Weekday</v>
      </c>
      <c r="W934" s="23" t="str">
        <f>VLOOKUP($M934,Lookups!$A$5:$B$8,2,FALSE())</f>
        <v>Clear / Partly cloudy</v>
      </c>
      <c r="X934" s="23" t="str">
        <f>VLOOKUP($G934,Lookups!$D$5:$E$8,2,FALSE())</f>
        <v>Winter</v>
      </c>
      <c r="Y934" s="23" t="str">
        <f>VLOOKUP($L934,Lookups!$G$5:$H$11,2,FALSE())</f>
        <v>Friday</v>
      </c>
      <c r="Z934" s="23" t="str">
        <f>IF($J934&lt;Lookups!$B$26,"Night",IF($J934&lt;Lookups!$B$27,"Morning",IF($J934&lt;Lookups!$B$28,"Afternoon","Evening")))</f>
        <v>Morning</v>
      </c>
      <c r="AA934" s="26">
        <f>ROUND($N934*(Lookups!$B$16-Lookups!$B$15)+Lookups!$B$15,1)</f>
        <v>2.2999999999999998</v>
      </c>
      <c r="AB934" s="26">
        <f>ROUND($P934*(Lookups!$B$18-Lookups!$B$17)+Lookups!$B$17,1)</f>
        <v>-1</v>
      </c>
      <c r="AC934" s="23">
        <f t="shared" si="86"/>
        <v>47</v>
      </c>
      <c r="AD934" s="23">
        <f>ROUND($R934*Lookups!$B$19,1)</f>
        <v>9</v>
      </c>
      <c r="AE934" s="27">
        <f t="shared" si="87"/>
        <v>0.8125</v>
      </c>
      <c r="AF934" s="23" t="str">
        <f>IF($U934&gt;=Lookups!$B$23,"High",IF($U934&gt;=Lookups!$B$22,"Medium","Low"))</f>
        <v>Medium</v>
      </c>
      <c r="AG934" s="23">
        <f>ROUND(IF($V934="Weekday",IF(INDEX(Hourly_Analysis!$D$5:$D$28,$J934+1)&gt;0,($U934-INDEX(Hourly_Analysis!$C$5:$C$28,$J934+1))/INDEX(Hourly_Analysis!$D$5:$D$28,$J934+1),0),IF(INDEX(Hourly_Analysis!$G$5:$G$28,$J934+1)&gt;0,($U934-INDEX(Hourly_Analysis!$F$5:$F$28,$J934+1))/INDEX(Hourly_Analysis!$G$5:$G$28,$J934+1),0)),2)</f>
        <v>1.25</v>
      </c>
      <c r="AH934" s="23" t="str">
        <f>IF(ABS($AG934)&gt;Lookups!$B$20,IF($AG934&gt;0,"High anomaly","Low anomaly"),"")</f>
        <v/>
      </c>
      <c r="AI934" s="23" t="str">
        <f t="shared" si="88"/>
        <v>OK</v>
      </c>
      <c r="AJ934" s="23" t="str">
        <f t="shared" si="89"/>
        <v>No</v>
      </c>
    </row>
    <row r="935" spans="1:36" x14ac:dyDescent="0.35">
      <c r="A935" s="23">
        <v>934</v>
      </c>
      <c r="B935" s="23" t="str">
        <f t="shared" si="84"/>
        <v>Dataset 3</v>
      </c>
      <c r="C935" s="23">
        <f>IFERROR(MATCH($A935,Merge_1_2!$A$2:$A$611,0),0)</f>
        <v>0</v>
      </c>
      <c r="D935" s="23">
        <f>IF($C935&gt;0,INDEX(Merge_1_2!$Q$2:$Q$611,$C935),0)</f>
        <v>0</v>
      </c>
      <c r="E935" s="23">
        <f>IFERROR(MATCH($A935,Dataset3_Raw!$A$2:$A$391,0),0)</f>
        <v>324</v>
      </c>
      <c r="F935" s="24">
        <f>IF($C935&gt;0,INDEX(Merge_1_2!$B$2:$B$611,$C935),DATE(VALUE(RIGHT(INDEX(Dataset3_Raw!$B$2:$B$391,$E935),4)),VALUE(MID(INDEX(Dataset3_Raw!$B$2:$B$391,$E935),4,2)),VALUE(LEFT(INDEX(Dataset3_Raw!$B$2:$B$391,$E935),2))))</f>
        <v>40585</v>
      </c>
      <c r="G935" s="23">
        <f>IF($C935&gt;0,INDEX(Merge_1_2!$C$2:$C$611,$C935),INDEX(Dataset3_Raw!$C$2:$C$391,$E935))</f>
        <v>1</v>
      </c>
      <c r="H935" s="23">
        <f>IF($C935&gt;0,INDEX(Merge_1_2!$D$2:$D$611,$C935),INDEX(Dataset3_Raw!$D$2:$D$391,$E935))</f>
        <v>0</v>
      </c>
      <c r="I935" s="23">
        <f>IF($C935&gt;0,INDEX(Merge_1_2!$E$2:$E$611,$C935),INDEX(Dataset3_Raw!$E$2:$E$391,$E935))</f>
        <v>2</v>
      </c>
      <c r="J935" s="23">
        <f>IF($C935&gt;0,INDEX(Merge_1_2!$F$2:$F$611,$C935),INDEX(Dataset3_Raw!$F$2:$F$391,$E935))</f>
        <v>12</v>
      </c>
      <c r="K935" s="23" t="b">
        <f>IF($C935&gt;0,INDEX(Merge_1_2!$G$2:$G$611,$C935),INDEX(Dataset3_Raw!$G$2:$G$391,$E935))</f>
        <v>0</v>
      </c>
      <c r="L935" s="23">
        <f>IF($C935&gt;0,INDEX(Merge_1_2!$H$2:$H$611,$C935),INDEX(Dataset3_Raw!$H$2:$H$391,$E935))</f>
        <v>5</v>
      </c>
      <c r="M935" s="23">
        <f>IF($C935&gt;0,INDEX(Merge_1_2!$I$2:$I$611,$C935),INDEX(Dataset3_Raw!$I$2:$I$391,$E935))</f>
        <v>1</v>
      </c>
      <c r="N935" s="25">
        <f>IF($C935&gt;0,INDEX(Merge_1_2!$J$2:$J$611,$C935),INDEX(Dataset3_Raw!$J$2:$J$391,$E935))</f>
        <v>0.22</v>
      </c>
      <c r="O935" s="25">
        <f>IF($C935&gt;0,IF(ISNUMBER(INDEX(Merge_1_2!$K$2:$K$611,$C935)),INDEX(Merge_1_2!$K$2:$K$611,$C935),""),INDEX(Dataset3_Raw!$K$2:$K$391,$E935))</f>
        <v>0.2273</v>
      </c>
      <c r="P935" s="25">
        <f>IF(ISNUMBER($O935),$O935,ROUND(Lookups!$B$25+Lookups!$B$24*$N935,4))</f>
        <v>0.2273</v>
      </c>
      <c r="Q935" s="25">
        <f>IF($C935&gt;0,INDEX(Merge_1_2!$L$2:$L$611,$C935),INDEX(Dataset3_Raw!$L$2:$L$391,$E935))</f>
        <v>0.47</v>
      </c>
      <c r="R935" s="25">
        <f>IF($C935&gt;0,INDEX(Merge_1_2!$M$2:$M$611,$C935),INDEX(Dataset3_Raw!$M$2:$M$391,$E935))</f>
        <v>0.1343</v>
      </c>
      <c r="S935" s="23">
        <f>IF($C935&gt;0,INDEX(Merge_1_2!$N$2:$N$611,$C935),INDEX(Dataset3_Raw!$N$2:$N$391,$E935))</f>
        <v>7</v>
      </c>
      <c r="T935" s="23">
        <f>IF($C935&gt;0,INDEX(Merge_1_2!$O$2:$O$611,$C935),INDEX(Dataset3_Raw!$O$2:$O$391,$E935))</f>
        <v>64</v>
      </c>
      <c r="U935" s="23">
        <f>IF($C935&gt;0,INDEX(Merge_1_2!$P$2:$P$611,$C935),INDEX(Dataset3_Raw!$P$2:$P$391,$E935))</f>
        <v>71</v>
      </c>
      <c r="V935" s="23" t="str">
        <f t="shared" si="85"/>
        <v>Weekday</v>
      </c>
      <c r="W935" s="23" t="str">
        <f>VLOOKUP($M935,Lookups!$A$5:$B$8,2,FALSE())</f>
        <v>Clear / Partly cloudy</v>
      </c>
      <c r="X935" s="23" t="str">
        <f>VLOOKUP($G935,Lookups!$D$5:$E$8,2,FALSE())</f>
        <v>Winter</v>
      </c>
      <c r="Y935" s="23" t="str">
        <f>VLOOKUP($L935,Lookups!$G$5:$H$11,2,FALSE())</f>
        <v>Friday</v>
      </c>
      <c r="Z935" s="23" t="str">
        <f>IF($J935&lt;Lookups!$B$26,"Night",IF($J935&lt;Lookups!$B$27,"Morning",IF($J935&lt;Lookups!$B$28,"Afternoon","Evening")))</f>
        <v>Afternoon</v>
      </c>
      <c r="AA935" s="26">
        <f>ROUND($N935*(Lookups!$B$16-Lookups!$B$15)+Lookups!$B$15,1)</f>
        <v>2.2999999999999998</v>
      </c>
      <c r="AB935" s="26">
        <f>ROUND($P935*(Lookups!$B$18-Lookups!$B$17)+Lookups!$B$17,1)</f>
        <v>-1</v>
      </c>
      <c r="AC935" s="23">
        <f t="shared" si="86"/>
        <v>47</v>
      </c>
      <c r="AD935" s="23">
        <f>ROUND($R935*Lookups!$B$19,1)</f>
        <v>9</v>
      </c>
      <c r="AE935" s="27">
        <f t="shared" si="87"/>
        <v>0.90140845070422537</v>
      </c>
      <c r="AF935" s="23" t="str">
        <f>IF($U935&gt;=Lookups!$B$23,"High",IF($U935&gt;=Lookups!$B$22,"Medium","Low"))</f>
        <v>Medium</v>
      </c>
      <c r="AG935" s="23">
        <f>ROUND(IF($V935="Weekday",IF(INDEX(Hourly_Analysis!$D$5:$D$28,$J935+1)&gt;0,($U935-INDEX(Hourly_Analysis!$C$5:$C$28,$J935+1))/INDEX(Hourly_Analysis!$D$5:$D$28,$J935+1),0),IF(INDEX(Hourly_Analysis!$G$5:$G$28,$J935+1)&gt;0,($U935-INDEX(Hourly_Analysis!$F$5:$F$28,$J935+1))/INDEX(Hourly_Analysis!$G$5:$G$28,$J935+1),0)),2)</f>
        <v>0.37</v>
      </c>
      <c r="AH935" s="23" t="str">
        <f>IF(ABS($AG935)&gt;Lookups!$B$20,IF($AG935&gt;0,"High anomaly","Low anomaly"),"")</f>
        <v/>
      </c>
      <c r="AI935" s="23" t="str">
        <f t="shared" si="88"/>
        <v>OK</v>
      </c>
      <c r="AJ935" s="23" t="str">
        <f t="shared" si="89"/>
        <v>No</v>
      </c>
    </row>
    <row r="936" spans="1:36" x14ac:dyDescent="0.35">
      <c r="A936" s="23">
        <v>935</v>
      </c>
      <c r="B936" s="23" t="str">
        <f t="shared" si="84"/>
        <v>Dataset 3</v>
      </c>
      <c r="C936" s="23">
        <f>IFERROR(MATCH($A936,Merge_1_2!$A$2:$A$611,0),0)</f>
        <v>0</v>
      </c>
      <c r="D936" s="23">
        <f>IF($C936&gt;0,INDEX(Merge_1_2!$Q$2:$Q$611,$C936),0)</f>
        <v>0</v>
      </c>
      <c r="E936" s="23">
        <f>IFERROR(MATCH($A936,Dataset3_Raw!$A$2:$A$391,0),0)</f>
        <v>325</v>
      </c>
      <c r="F936" s="24">
        <f>IF($C936&gt;0,INDEX(Merge_1_2!$B$2:$B$611,$C936),DATE(VALUE(RIGHT(INDEX(Dataset3_Raw!$B$2:$B$391,$E936),4)),VALUE(MID(INDEX(Dataset3_Raw!$B$2:$B$391,$E936),4,2)),VALUE(LEFT(INDEX(Dataset3_Raw!$B$2:$B$391,$E936),2))))</f>
        <v>40585</v>
      </c>
      <c r="G936" s="23">
        <f>IF($C936&gt;0,INDEX(Merge_1_2!$C$2:$C$611,$C936),INDEX(Dataset3_Raw!$C$2:$C$391,$E936))</f>
        <v>1</v>
      </c>
      <c r="H936" s="23">
        <f>IF($C936&gt;0,INDEX(Merge_1_2!$D$2:$D$611,$C936),INDEX(Dataset3_Raw!$D$2:$D$391,$E936))</f>
        <v>0</v>
      </c>
      <c r="I936" s="23">
        <f>IF($C936&gt;0,INDEX(Merge_1_2!$E$2:$E$611,$C936),INDEX(Dataset3_Raw!$E$2:$E$391,$E936))</f>
        <v>2</v>
      </c>
      <c r="J936" s="23">
        <f>IF($C936&gt;0,INDEX(Merge_1_2!$F$2:$F$611,$C936),INDEX(Dataset3_Raw!$F$2:$F$391,$E936))</f>
        <v>13</v>
      </c>
      <c r="K936" s="23" t="b">
        <f>IF($C936&gt;0,INDEX(Merge_1_2!$G$2:$G$611,$C936),INDEX(Dataset3_Raw!$G$2:$G$391,$E936))</f>
        <v>0</v>
      </c>
      <c r="L936" s="23">
        <f>IF($C936&gt;0,INDEX(Merge_1_2!$H$2:$H$611,$C936),INDEX(Dataset3_Raw!$H$2:$H$391,$E936))</f>
        <v>5</v>
      </c>
      <c r="M936" s="23">
        <f>IF($C936&gt;0,INDEX(Merge_1_2!$I$2:$I$611,$C936),INDEX(Dataset3_Raw!$I$2:$I$391,$E936))</f>
        <v>1</v>
      </c>
      <c r="N936" s="25">
        <f>IF($C936&gt;0,INDEX(Merge_1_2!$J$2:$J$611,$C936),INDEX(Dataset3_Raw!$J$2:$J$391,$E936))</f>
        <v>0.24</v>
      </c>
      <c r="O936" s="25">
        <f>IF($C936&gt;0,IF(ISNUMBER(INDEX(Merge_1_2!$K$2:$K$611,$C936)),INDEX(Merge_1_2!$K$2:$K$611,$C936),""),INDEX(Dataset3_Raw!$K$2:$K$391,$E936))</f>
        <v>0.2273</v>
      </c>
      <c r="P936" s="25">
        <f>IF(ISNUMBER($O936),$O936,ROUND(Lookups!$B$25+Lookups!$B$24*$N936,4))</f>
        <v>0.2273</v>
      </c>
      <c r="Q936" s="25">
        <f>IF($C936&gt;0,INDEX(Merge_1_2!$L$2:$L$611,$C936),INDEX(Dataset3_Raw!$L$2:$L$391,$E936))</f>
        <v>0.35</v>
      </c>
      <c r="R936" s="25">
        <f>IF($C936&gt;0,INDEX(Merge_1_2!$M$2:$M$611,$C936),INDEX(Dataset3_Raw!$M$2:$M$391,$E936))</f>
        <v>0.19400000000000001</v>
      </c>
      <c r="S936" s="23">
        <f>IF($C936&gt;0,INDEX(Merge_1_2!$N$2:$N$611,$C936),INDEX(Dataset3_Raw!$N$2:$N$391,$E936))</f>
        <v>21</v>
      </c>
      <c r="T936" s="23">
        <f>IF($C936&gt;0,INDEX(Merge_1_2!$O$2:$O$611,$C936),INDEX(Dataset3_Raw!$O$2:$O$391,$E936))</f>
        <v>89</v>
      </c>
      <c r="U936" s="23">
        <f>IF($C936&gt;0,INDEX(Merge_1_2!$P$2:$P$611,$C936),INDEX(Dataset3_Raw!$P$2:$P$391,$E936))</f>
        <v>110</v>
      </c>
      <c r="V936" s="23" t="str">
        <f t="shared" si="85"/>
        <v>Weekday</v>
      </c>
      <c r="W936" s="23" t="str">
        <f>VLOOKUP($M936,Lookups!$A$5:$B$8,2,FALSE())</f>
        <v>Clear / Partly cloudy</v>
      </c>
      <c r="X936" s="23" t="str">
        <f>VLOOKUP($G936,Lookups!$D$5:$E$8,2,FALSE())</f>
        <v>Winter</v>
      </c>
      <c r="Y936" s="23" t="str">
        <f>VLOOKUP($L936,Lookups!$G$5:$H$11,2,FALSE())</f>
        <v>Friday</v>
      </c>
      <c r="Z936" s="23" t="str">
        <f>IF($J936&lt;Lookups!$B$26,"Night",IF($J936&lt;Lookups!$B$27,"Morning",IF($J936&lt;Lookups!$B$28,"Afternoon","Evening")))</f>
        <v>Afternoon</v>
      </c>
      <c r="AA936" s="26">
        <f>ROUND($N936*(Lookups!$B$16-Lookups!$B$15)+Lookups!$B$15,1)</f>
        <v>3.3</v>
      </c>
      <c r="AB936" s="26">
        <f>ROUND($P936*(Lookups!$B$18-Lookups!$B$17)+Lookups!$B$17,1)</f>
        <v>-1</v>
      </c>
      <c r="AC936" s="23">
        <f t="shared" si="86"/>
        <v>35</v>
      </c>
      <c r="AD936" s="23">
        <f>ROUND($R936*Lookups!$B$19,1)</f>
        <v>13</v>
      </c>
      <c r="AE936" s="27">
        <f t="shared" si="87"/>
        <v>0.80909090909090908</v>
      </c>
      <c r="AF936" s="23" t="str">
        <f>IF($U936&gt;=Lookups!$B$23,"High",IF($U936&gt;=Lookups!$B$22,"Medium","Low"))</f>
        <v>High</v>
      </c>
      <c r="AG936" s="23">
        <f>ROUND(IF($V936="Weekday",IF(INDEX(Hourly_Analysis!$D$5:$D$28,$J936+1)&gt;0,($U936-INDEX(Hourly_Analysis!$C$5:$C$28,$J936+1))/INDEX(Hourly_Analysis!$D$5:$D$28,$J936+1),0),IF(INDEX(Hourly_Analysis!$G$5:$G$28,$J936+1)&gt;0,($U936-INDEX(Hourly_Analysis!$F$5:$F$28,$J936+1))/INDEX(Hourly_Analysis!$G$5:$G$28,$J936+1),0)),2)</f>
        <v>2.2000000000000002</v>
      </c>
      <c r="AH936" s="23" t="str">
        <f>IF(ABS($AG936)&gt;Lookups!$B$20,IF($AG936&gt;0,"High anomaly","Low anomaly"),"")</f>
        <v/>
      </c>
      <c r="AI936" s="23" t="str">
        <f t="shared" si="88"/>
        <v>OK</v>
      </c>
      <c r="AJ936" s="23" t="str">
        <f t="shared" si="89"/>
        <v>No</v>
      </c>
    </row>
    <row r="937" spans="1:36" x14ac:dyDescent="0.35">
      <c r="A937" s="23">
        <v>936</v>
      </c>
      <c r="B937" s="23" t="str">
        <f t="shared" si="84"/>
        <v>Dataset 3</v>
      </c>
      <c r="C937" s="23">
        <f>IFERROR(MATCH($A937,Merge_1_2!$A$2:$A$611,0),0)</f>
        <v>0</v>
      </c>
      <c r="D937" s="23">
        <f>IF($C937&gt;0,INDEX(Merge_1_2!$Q$2:$Q$611,$C937),0)</f>
        <v>0</v>
      </c>
      <c r="E937" s="23">
        <f>IFERROR(MATCH($A937,Dataset3_Raw!$A$2:$A$391,0),0)</f>
        <v>326</v>
      </c>
      <c r="F937" s="24">
        <f>IF($C937&gt;0,INDEX(Merge_1_2!$B$2:$B$611,$C937),DATE(VALUE(RIGHT(INDEX(Dataset3_Raw!$B$2:$B$391,$E937),4)),VALUE(MID(INDEX(Dataset3_Raw!$B$2:$B$391,$E937),4,2)),VALUE(LEFT(INDEX(Dataset3_Raw!$B$2:$B$391,$E937),2))))</f>
        <v>40585</v>
      </c>
      <c r="G937" s="23">
        <f>IF($C937&gt;0,INDEX(Merge_1_2!$C$2:$C$611,$C937),INDEX(Dataset3_Raw!$C$2:$C$391,$E937))</f>
        <v>1</v>
      </c>
      <c r="H937" s="23">
        <f>IF($C937&gt;0,INDEX(Merge_1_2!$D$2:$D$611,$C937),INDEX(Dataset3_Raw!$D$2:$D$391,$E937))</f>
        <v>0</v>
      </c>
      <c r="I937" s="23">
        <f>IF($C937&gt;0,INDEX(Merge_1_2!$E$2:$E$611,$C937),INDEX(Dataset3_Raw!$E$2:$E$391,$E937))</f>
        <v>2</v>
      </c>
      <c r="J937" s="23">
        <f>IF($C937&gt;0,INDEX(Merge_1_2!$F$2:$F$611,$C937),INDEX(Dataset3_Raw!$F$2:$F$391,$E937))</f>
        <v>14</v>
      </c>
      <c r="K937" s="23" t="b">
        <f>IF($C937&gt;0,INDEX(Merge_1_2!$G$2:$G$611,$C937),INDEX(Dataset3_Raw!$G$2:$G$391,$E937))</f>
        <v>0</v>
      </c>
      <c r="L937" s="23">
        <f>IF($C937&gt;0,INDEX(Merge_1_2!$H$2:$H$611,$C937),INDEX(Dataset3_Raw!$H$2:$H$391,$E937))</f>
        <v>5</v>
      </c>
      <c r="M937" s="23">
        <f>IF($C937&gt;0,INDEX(Merge_1_2!$I$2:$I$611,$C937),INDEX(Dataset3_Raw!$I$2:$I$391,$E937))</f>
        <v>1</v>
      </c>
      <c r="N937" s="25">
        <f>IF($C937&gt;0,INDEX(Merge_1_2!$J$2:$J$611,$C937),INDEX(Dataset3_Raw!$J$2:$J$391,$E937))</f>
        <v>0.3</v>
      </c>
      <c r="O937" s="25">
        <f>IF($C937&gt;0,IF(ISNUMBER(INDEX(Merge_1_2!$K$2:$K$611,$C937)),INDEX(Merge_1_2!$K$2:$K$611,$C937),""),INDEX(Dataset3_Raw!$K$2:$K$391,$E937))</f>
        <v>0.28789999999999999</v>
      </c>
      <c r="P937" s="25">
        <f>IF(ISNUMBER($O937),$O937,ROUND(Lookups!$B$25+Lookups!$B$24*$N937,4))</f>
        <v>0.28789999999999999</v>
      </c>
      <c r="Q937" s="25">
        <f>IF($C937&gt;0,INDEX(Merge_1_2!$L$2:$L$611,$C937),INDEX(Dataset3_Raw!$L$2:$L$391,$E937))</f>
        <v>0.26</v>
      </c>
      <c r="R937" s="25">
        <f>IF($C937&gt;0,INDEX(Merge_1_2!$M$2:$M$611,$C937),INDEX(Dataset3_Raw!$M$2:$M$391,$E937))</f>
        <v>0.25369999999999998</v>
      </c>
      <c r="S937" s="23">
        <f>IF($C937&gt;0,INDEX(Merge_1_2!$N$2:$N$611,$C937),INDEX(Dataset3_Raw!$N$2:$N$391,$E937))</f>
        <v>17</v>
      </c>
      <c r="T937" s="23">
        <f>IF($C937&gt;0,INDEX(Merge_1_2!$O$2:$O$611,$C937),INDEX(Dataset3_Raw!$O$2:$O$391,$E937))</f>
        <v>67</v>
      </c>
      <c r="U937" s="23">
        <f>IF($C937&gt;0,INDEX(Merge_1_2!$P$2:$P$611,$C937),INDEX(Dataset3_Raw!$P$2:$P$391,$E937))</f>
        <v>84</v>
      </c>
      <c r="V937" s="23" t="str">
        <f t="shared" si="85"/>
        <v>Weekday</v>
      </c>
      <c r="W937" s="23" t="str">
        <f>VLOOKUP($M937,Lookups!$A$5:$B$8,2,FALSE())</f>
        <v>Clear / Partly cloudy</v>
      </c>
      <c r="X937" s="23" t="str">
        <f>VLOOKUP($G937,Lookups!$D$5:$E$8,2,FALSE())</f>
        <v>Winter</v>
      </c>
      <c r="Y937" s="23" t="str">
        <f>VLOOKUP($L937,Lookups!$G$5:$H$11,2,FALSE())</f>
        <v>Friday</v>
      </c>
      <c r="Z937" s="23" t="str">
        <f>IF($J937&lt;Lookups!$B$26,"Night",IF($J937&lt;Lookups!$B$27,"Morning",IF($J937&lt;Lookups!$B$28,"Afternoon","Evening")))</f>
        <v>Afternoon</v>
      </c>
      <c r="AA937" s="26">
        <f>ROUND($N937*(Lookups!$B$16-Lookups!$B$15)+Lookups!$B$15,1)</f>
        <v>6.1</v>
      </c>
      <c r="AB937" s="26">
        <f>ROUND($P937*(Lookups!$B$18-Lookups!$B$17)+Lookups!$B$17,1)</f>
        <v>3</v>
      </c>
      <c r="AC937" s="23">
        <f t="shared" si="86"/>
        <v>26</v>
      </c>
      <c r="AD937" s="23">
        <f>ROUND($R937*Lookups!$B$19,1)</f>
        <v>17</v>
      </c>
      <c r="AE937" s="27">
        <f t="shared" si="87"/>
        <v>0.79761904761904767</v>
      </c>
      <c r="AF937" s="23" t="str">
        <f>IF($U937&gt;=Lookups!$B$23,"High",IF($U937&gt;=Lookups!$B$22,"Medium","Low"))</f>
        <v>High</v>
      </c>
      <c r="AG937" s="23">
        <f>ROUND(IF($V937="Weekday",IF(INDEX(Hourly_Analysis!$D$5:$D$28,$J937+1)&gt;0,($U937-INDEX(Hourly_Analysis!$C$5:$C$28,$J937+1))/INDEX(Hourly_Analysis!$D$5:$D$28,$J937+1),0),IF(INDEX(Hourly_Analysis!$G$5:$G$28,$J937+1)&gt;0,($U937-INDEX(Hourly_Analysis!$F$5:$F$28,$J937+1))/INDEX(Hourly_Analysis!$G$5:$G$28,$J937+1),0)),2)</f>
        <v>1.52</v>
      </c>
      <c r="AH937" s="23" t="str">
        <f>IF(ABS($AG937)&gt;Lookups!$B$20,IF($AG937&gt;0,"High anomaly","Low anomaly"),"")</f>
        <v/>
      </c>
      <c r="AI937" s="23" t="str">
        <f t="shared" si="88"/>
        <v>OK</v>
      </c>
      <c r="AJ937" s="23" t="str">
        <f t="shared" si="89"/>
        <v>No</v>
      </c>
    </row>
    <row r="938" spans="1:36" x14ac:dyDescent="0.35">
      <c r="A938" s="23">
        <v>937</v>
      </c>
      <c r="B938" s="23" t="str">
        <f t="shared" si="84"/>
        <v>Dataset 3</v>
      </c>
      <c r="C938" s="23">
        <f>IFERROR(MATCH($A938,Merge_1_2!$A$2:$A$611,0),0)</f>
        <v>0</v>
      </c>
      <c r="D938" s="23">
        <f>IF($C938&gt;0,INDEX(Merge_1_2!$Q$2:$Q$611,$C938),0)</f>
        <v>0</v>
      </c>
      <c r="E938" s="23">
        <f>IFERROR(MATCH($A938,Dataset3_Raw!$A$2:$A$391,0),0)</f>
        <v>327</v>
      </c>
      <c r="F938" s="24">
        <f>IF($C938&gt;0,INDEX(Merge_1_2!$B$2:$B$611,$C938),DATE(VALUE(RIGHT(INDEX(Dataset3_Raw!$B$2:$B$391,$E938),4)),VALUE(MID(INDEX(Dataset3_Raw!$B$2:$B$391,$E938),4,2)),VALUE(LEFT(INDEX(Dataset3_Raw!$B$2:$B$391,$E938),2))))</f>
        <v>40585</v>
      </c>
      <c r="G938" s="23">
        <f>IF($C938&gt;0,INDEX(Merge_1_2!$C$2:$C$611,$C938),INDEX(Dataset3_Raw!$C$2:$C$391,$E938))</f>
        <v>1</v>
      </c>
      <c r="H938" s="23">
        <f>IF($C938&gt;0,INDEX(Merge_1_2!$D$2:$D$611,$C938),INDEX(Dataset3_Raw!$D$2:$D$391,$E938))</f>
        <v>0</v>
      </c>
      <c r="I938" s="23">
        <f>IF($C938&gt;0,INDEX(Merge_1_2!$E$2:$E$611,$C938),INDEX(Dataset3_Raw!$E$2:$E$391,$E938))</f>
        <v>2</v>
      </c>
      <c r="J938" s="23">
        <f>IF($C938&gt;0,INDEX(Merge_1_2!$F$2:$F$611,$C938),INDEX(Dataset3_Raw!$F$2:$F$391,$E938))</f>
        <v>15</v>
      </c>
      <c r="K938" s="23" t="b">
        <f>IF($C938&gt;0,INDEX(Merge_1_2!$G$2:$G$611,$C938),INDEX(Dataset3_Raw!$G$2:$G$391,$E938))</f>
        <v>0</v>
      </c>
      <c r="L938" s="23">
        <f>IF($C938&gt;0,INDEX(Merge_1_2!$H$2:$H$611,$C938),INDEX(Dataset3_Raw!$H$2:$H$391,$E938))</f>
        <v>5</v>
      </c>
      <c r="M938" s="23">
        <f>IF($C938&gt;0,INDEX(Merge_1_2!$I$2:$I$611,$C938),INDEX(Dataset3_Raw!$I$2:$I$391,$E938))</f>
        <v>1</v>
      </c>
      <c r="N938" s="25">
        <f>IF($C938&gt;0,INDEX(Merge_1_2!$J$2:$J$611,$C938),INDEX(Dataset3_Raw!$J$2:$J$391,$E938))</f>
        <v>0.32</v>
      </c>
      <c r="O938" s="25">
        <f>IF($C938&gt;0,IF(ISNUMBER(INDEX(Merge_1_2!$K$2:$K$611,$C938)),INDEX(Merge_1_2!$K$2:$K$611,$C938),""),INDEX(Dataset3_Raw!$K$2:$K$391,$E938))</f>
        <v>0.31819999999999998</v>
      </c>
      <c r="P938" s="25">
        <f>IF(ISNUMBER($O938),$O938,ROUND(Lookups!$B$25+Lookups!$B$24*$N938,4))</f>
        <v>0.31819999999999998</v>
      </c>
      <c r="Q938" s="25">
        <f>IF($C938&gt;0,INDEX(Merge_1_2!$L$2:$L$611,$C938),INDEX(Dataset3_Raw!$L$2:$L$391,$E938))</f>
        <v>0.21</v>
      </c>
      <c r="R938" s="25">
        <f>IF($C938&gt;0,INDEX(Merge_1_2!$M$2:$M$611,$C938),INDEX(Dataset3_Raw!$M$2:$M$391,$E938))</f>
        <v>0.16420000000000001</v>
      </c>
      <c r="S938" s="23">
        <f>IF($C938&gt;0,INDEX(Merge_1_2!$N$2:$N$611,$C938),INDEX(Dataset3_Raw!$N$2:$N$391,$E938))</f>
        <v>12</v>
      </c>
      <c r="T938" s="23">
        <f>IF($C938&gt;0,INDEX(Merge_1_2!$O$2:$O$611,$C938),INDEX(Dataset3_Raw!$O$2:$O$391,$E938))</f>
        <v>62</v>
      </c>
      <c r="U938" s="23">
        <f>IF($C938&gt;0,INDEX(Merge_1_2!$P$2:$P$611,$C938),INDEX(Dataset3_Raw!$P$2:$P$391,$E938))</f>
        <v>74</v>
      </c>
      <c r="V938" s="23" t="str">
        <f t="shared" si="85"/>
        <v>Weekday</v>
      </c>
      <c r="W938" s="23" t="str">
        <f>VLOOKUP($M938,Lookups!$A$5:$B$8,2,FALSE())</f>
        <v>Clear / Partly cloudy</v>
      </c>
      <c r="X938" s="23" t="str">
        <f>VLOOKUP($G938,Lookups!$D$5:$E$8,2,FALSE())</f>
        <v>Winter</v>
      </c>
      <c r="Y938" s="23" t="str">
        <f>VLOOKUP($L938,Lookups!$G$5:$H$11,2,FALSE())</f>
        <v>Friday</v>
      </c>
      <c r="Z938" s="23" t="str">
        <f>IF($J938&lt;Lookups!$B$26,"Night",IF($J938&lt;Lookups!$B$27,"Morning",IF($J938&lt;Lookups!$B$28,"Afternoon","Evening")))</f>
        <v>Afternoon</v>
      </c>
      <c r="AA938" s="26">
        <f>ROUND($N938*(Lookups!$B$16-Lookups!$B$15)+Lookups!$B$15,1)</f>
        <v>7</v>
      </c>
      <c r="AB938" s="26">
        <f>ROUND($P938*(Lookups!$B$18-Lookups!$B$17)+Lookups!$B$17,1)</f>
        <v>5</v>
      </c>
      <c r="AC938" s="23">
        <f t="shared" si="86"/>
        <v>21</v>
      </c>
      <c r="AD938" s="23">
        <f>ROUND($R938*Lookups!$B$19,1)</f>
        <v>11</v>
      </c>
      <c r="AE938" s="27">
        <f t="shared" si="87"/>
        <v>0.83783783783783783</v>
      </c>
      <c r="AF938" s="23" t="str">
        <f>IF($U938&gt;=Lookups!$B$23,"High",IF($U938&gt;=Lookups!$B$22,"Medium","Low"))</f>
        <v>Medium</v>
      </c>
      <c r="AG938" s="23">
        <f>ROUND(IF($V938="Weekday",IF(INDEX(Hourly_Analysis!$D$5:$D$28,$J938+1)&gt;0,($U938-INDEX(Hourly_Analysis!$C$5:$C$28,$J938+1))/INDEX(Hourly_Analysis!$D$5:$D$28,$J938+1),0),IF(INDEX(Hourly_Analysis!$G$5:$G$28,$J938+1)&gt;0,($U938-INDEX(Hourly_Analysis!$F$5:$F$28,$J938+1))/INDEX(Hourly_Analysis!$G$5:$G$28,$J938+1),0)),2)</f>
        <v>0.97</v>
      </c>
      <c r="AH938" s="23" t="str">
        <f>IF(ABS($AG938)&gt;Lookups!$B$20,IF($AG938&gt;0,"High anomaly","Low anomaly"),"")</f>
        <v/>
      </c>
      <c r="AI938" s="23" t="str">
        <f t="shared" si="88"/>
        <v>OK</v>
      </c>
      <c r="AJ938" s="23" t="str">
        <f t="shared" si="89"/>
        <v>No</v>
      </c>
    </row>
    <row r="939" spans="1:36" x14ac:dyDescent="0.35">
      <c r="A939" s="23">
        <v>938</v>
      </c>
      <c r="B939" s="23" t="str">
        <f t="shared" si="84"/>
        <v>Dataset 3</v>
      </c>
      <c r="C939" s="23">
        <f>IFERROR(MATCH($A939,Merge_1_2!$A$2:$A$611,0),0)</f>
        <v>0</v>
      </c>
      <c r="D939" s="23">
        <f>IF($C939&gt;0,INDEX(Merge_1_2!$Q$2:$Q$611,$C939),0)</f>
        <v>0</v>
      </c>
      <c r="E939" s="23">
        <f>IFERROR(MATCH($A939,Dataset3_Raw!$A$2:$A$391,0),0)</f>
        <v>328</v>
      </c>
      <c r="F939" s="24">
        <f>IF($C939&gt;0,INDEX(Merge_1_2!$B$2:$B$611,$C939),DATE(VALUE(RIGHT(INDEX(Dataset3_Raw!$B$2:$B$391,$E939),4)),VALUE(MID(INDEX(Dataset3_Raw!$B$2:$B$391,$E939),4,2)),VALUE(LEFT(INDEX(Dataset3_Raw!$B$2:$B$391,$E939),2))))</f>
        <v>40585</v>
      </c>
      <c r="G939" s="23">
        <f>IF($C939&gt;0,INDEX(Merge_1_2!$C$2:$C$611,$C939),INDEX(Dataset3_Raw!$C$2:$C$391,$E939))</f>
        <v>1</v>
      </c>
      <c r="H939" s="23">
        <f>IF($C939&gt;0,INDEX(Merge_1_2!$D$2:$D$611,$C939),INDEX(Dataset3_Raw!$D$2:$D$391,$E939))</f>
        <v>0</v>
      </c>
      <c r="I939" s="23">
        <f>IF($C939&gt;0,INDEX(Merge_1_2!$E$2:$E$611,$C939),INDEX(Dataset3_Raw!$E$2:$E$391,$E939))</f>
        <v>2</v>
      </c>
      <c r="J939" s="23">
        <f>IF($C939&gt;0,INDEX(Merge_1_2!$F$2:$F$611,$C939),INDEX(Dataset3_Raw!$F$2:$F$391,$E939))</f>
        <v>16</v>
      </c>
      <c r="K939" s="23" t="b">
        <f>IF($C939&gt;0,INDEX(Merge_1_2!$G$2:$G$611,$C939),INDEX(Dataset3_Raw!$G$2:$G$391,$E939))</f>
        <v>0</v>
      </c>
      <c r="L939" s="23">
        <f>IF($C939&gt;0,INDEX(Merge_1_2!$H$2:$H$611,$C939),INDEX(Dataset3_Raw!$H$2:$H$391,$E939))</f>
        <v>5</v>
      </c>
      <c r="M939" s="23">
        <f>IF($C939&gt;0,INDEX(Merge_1_2!$I$2:$I$611,$C939),INDEX(Dataset3_Raw!$I$2:$I$391,$E939))</f>
        <v>1</v>
      </c>
      <c r="N939" s="25">
        <f>IF($C939&gt;0,INDEX(Merge_1_2!$J$2:$J$611,$C939),INDEX(Dataset3_Raw!$J$2:$J$391,$E939))</f>
        <v>0.3</v>
      </c>
      <c r="O939" s="25">
        <f>IF($C939&gt;0,IF(ISNUMBER(INDEX(Merge_1_2!$K$2:$K$611,$C939)),INDEX(Merge_1_2!$K$2:$K$611,$C939),""),INDEX(Dataset3_Raw!$K$2:$K$391,$E939))</f>
        <v>0.28789999999999999</v>
      </c>
      <c r="P939" s="25">
        <f>IF(ISNUMBER($O939),$O939,ROUND(Lookups!$B$25+Lookups!$B$24*$N939,4))</f>
        <v>0.28789999999999999</v>
      </c>
      <c r="Q939" s="25">
        <f>IF($C939&gt;0,INDEX(Merge_1_2!$L$2:$L$611,$C939),INDEX(Dataset3_Raw!$L$2:$L$391,$E939))</f>
        <v>0.28000000000000003</v>
      </c>
      <c r="R939" s="25">
        <f>IF($C939&gt;0,INDEX(Merge_1_2!$M$2:$M$611,$C939),INDEX(Dataset3_Raw!$M$2:$M$391,$E939))</f>
        <v>0.19400000000000001</v>
      </c>
      <c r="S939" s="23">
        <f>IF($C939&gt;0,INDEX(Merge_1_2!$N$2:$N$611,$C939),INDEX(Dataset3_Raw!$N$2:$N$391,$E939))</f>
        <v>14</v>
      </c>
      <c r="T939" s="23">
        <f>IF($C939&gt;0,INDEX(Merge_1_2!$O$2:$O$611,$C939),INDEX(Dataset3_Raw!$O$2:$O$391,$E939))</f>
        <v>111</v>
      </c>
      <c r="U939" s="23">
        <f>IF($C939&gt;0,INDEX(Merge_1_2!$P$2:$P$611,$C939),INDEX(Dataset3_Raw!$P$2:$P$391,$E939))</f>
        <v>125</v>
      </c>
      <c r="V939" s="23" t="str">
        <f t="shared" si="85"/>
        <v>Weekday</v>
      </c>
      <c r="W939" s="23" t="str">
        <f>VLOOKUP($M939,Lookups!$A$5:$B$8,2,FALSE())</f>
        <v>Clear / Partly cloudy</v>
      </c>
      <c r="X939" s="23" t="str">
        <f>VLOOKUP($G939,Lookups!$D$5:$E$8,2,FALSE())</f>
        <v>Winter</v>
      </c>
      <c r="Y939" s="23" t="str">
        <f>VLOOKUP($L939,Lookups!$G$5:$H$11,2,FALSE())</f>
        <v>Friday</v>
      </c>
      <c r="Z939" s="23" t="str">
        <f>IF($J939&lt;Lookups!$B$26,"Night",IF($J939&lt;Lookups!$B$27,"Morning",IF($J939&lt;Lookups!$B$28,"Afternoon","Evening")))</f>
        <v>Afternoon</v>
      </c>
      <c r="AA939" s="26">
        <f>ROUND($N939*(Lookups!$B$16-Lookups!$B$15)+Lookups!$B$15,1)</f>
        <v>6.1</v>
      </c>
      <c r="AB939" s="26">
        <f>ROUND($P939*(Lookups!$B$18-Lookups!$B$17)+Lookups!$B$17,1)</f>
        <v>3</v>
      </c>
      <c r="AC939" s="23">
        <f t="shared" si="86"/>
        <v>28</v>
      </c>
      <c r="AD939" s="23">
        <f>ROUND($R939*Lookups!$B$19,1)</f>
        <v>13</v>
      </c>
      <c r="AE939" s="27">
        <f t="shared" si="87"/>
        <v>0.88800000000000001</v>
      </c>
      <c r="AF939" s="23" t="str">
        <f>IF($U939&gt;=Lookups!$B$23,"High",IF($U939&gt;=Lookups!$B$22,"Medium","Low"))</f>
        <v>High</v>
      </c>
      <c r="AG939" s="23">
        <f>ROUND(IF($V939="Weekday",IF(INDEX(Hourly_Analysis!$D$5:$D$28,$J939+1)&gt;0,($U939-INDEX(Hourly_Analysis!$C$5:$C$28,$J939+1))/INDEX(Hourly_Analysis!$D$5:$D$28,$J939+1),0),IF(INDEX(Hourly_Analysis!$G$5:$G$28,$J939+1)&gt;0,($U939-INDEX(Hourly_Analysis!$F$5:$F$28,$J939+1))/INDEX(Hourly_Analysis!$G$5:$G$28,$J939+1),0)),2)</f>
        <v>2.0099999999999998</v>
      </c>
      <c r="AH939" s="23" t="str">
        <f>IF(ABS($AG939)&gt;Lookups!$B$20,IF($AG939&gt;0,"High anomaly","Low anomaly"),"")</f>
        <v/>
      </c>
      <c r="AI939" s="23" t="str">
        <f t="shared" si="88"/>
        <v>OK</v>
      </c>
      <c r="AJ939" s="23" t="str">
        <f t="shared" si="89"/>
        <v>No</v>
      </c>
    </row>
    <row r="940" spans="1:36" x14ac:dyDescent="0.35">
      <c r="A940" s="23">
        <v>939</v>
      </c>
      <c r="B940" s="23" t="str">
        <f t="shared" si="84"/>
        <v>Dataset 3</v>
      </c>
      <c r="C940" s="23">
        <f>IFERROR(MATCH($A940,Merge_1_2!$A$2:$A$611,0),0)</f>
        <v>0</v>
      </c>
      <c r="D940" s="23">
        <f>IF($C940&gt;0,INDEX(Merge_1_2!$Q$2:$Q$611,$C940),0)</f>
        <v>0</v>
      </c>
      <c r="E940" s="23">
        <f>IFERROR(MATCH($A940,Dataset3_Raw!$A$2:$A$391,0),0)</f>
        <v>329</v>
      </c>
      <c r="F940" s="24">
        <f>IF($C940&gt;0,INDEX(Merge_1_2!$B$2:$B$611,$C940),DATE(VALUE(RIGHT(INDEX(Dataset3_Raw!$B$2:$B$391,$E940),4)),VALUE(MID(INDEX(Dataset3_Raw!$B$2:$B$391,$E940),4,2)),VALUE(LEFT(INDEX(Dataset3_Raw!$B$2:$B$391,$E940),2))))</f>
        <v>40585</v>
      </c>
      <c r="G940" s="23">
        <f>IF($C940&gt;0,INDEX(Merge_1_2!$C$2:$C$611,$C940),INDEX(Dataset3_Raw!$C$2:$C$391,$E940))</f>
        <v>1</v>
      </c>
      <c r="H940" s="23">
        <f>IF($C940&gt;0,INDEX(Merge_1_2!$D$2:$D$611,$C940),INDEX(Dataset3_Raw!$D$2:$D$391,$E940))</f>
        <v>0</v>
      </c>
      <c r="I940" s="23">
        <f>IF($C940&gt;0,INDEX(Merge_1_2!$E$2:$E$611,$C940),INDEX(Dataset3_Raw!$E$2:$E$391,$E940))</f>
        <v>2</v>
      </c>
      <c r="J940" s="23">
        <f>IF($C940&gt;0,INDEX(Merge_1_2!$F$2:$F$611,$C940),INDEX(Dataset3_Raw!$F$2:$F$391,$E940))</f>
        <v>17</v>
      </c>
      <c r="K940" s="23" t="b">
        <f>IF($C940&gt;0,INDEX(Merge_1_2!$G$2:$G$611,$C940),INDEX(Dataset3_Raw!$G$2:$G$391,$E940))</f>
        <v>0</v>
      </c>
      <c r="L940" s="23">
        <f>IF($C940&gt;0,INDEX(Merge_1_2!$H$2:$H$611,$C940),INDEX(Dataset3_Raw!$H$2:$H$391,$E940))</f>
        <v>5</v>
      </c>
      <c r="M940" s="23">
        <f>IF($C940&gt;0,INDEX(Merge_1_2!$I$2:$I$611,$C940),INDEX(Dataset3_Raw!$I$2:$I$391,$E940))</f>
        <v>1</v>
      </c>
      <c r="N940" s="25">
        <f>IF($C940&gt;0,INDEX(Merge_1_2!$J$2:$J$611,$C940),INDEX(Dataset3_Raw!$J$2:$J$391,$E940))</f>
        <v>0.3</v>
      </c>
      <c r="O940" s="25">
        <f>IF($C940&gt;0,IF(ISNUMBER(INDEX(Merge_1_2!$K$2:$K$611,$C940)),INDEX(Merge_1_2!$K$2:$K$611,$C940),""),INDEX(Dataset3_Raw!$K$2:$K$391,$E940))</f>
        <v>0.33329999999999999</v>
      </c>
      <c r="P940" s="25">
        <f>IF(ISNUMBER($O940),$O940,ROUND(Lookups!$B$25+Lookups!$B$24*$N940,4))</f>
        <v>0.33329999999999999</v>
      </c>
      <c r="Q940" s="25">
        <f>IF($C940&gt;0,INDEX(Merge_1_2!$L$2:$L$611,$C940),INDEX(Dataset3_Raw!$L$2:$L$391,$E940))</f>
        <v>0.24</v>
      </c>
      <c r="R940" s="25">
        <f>IF($C940&gt;0,INDEX(Merge_1_2!$M$2:$M$611,$C940),INDEX(Dataset3_Raw!$M$2:$M$391,$E940))</f>
        <v>0</v>
      </c>
      <c r="S940" s="23">
        <f>IF($C940&gt;0,INDEX(Merge_1_2!$N$2:$N$611,$C940),INDEX(Dataset3_Raw!$N$2:$N$391,$E940))</f>
        <v>18</v>
      </c>
      <c r="T940" s="23">
        <f>IF($C940&gt;0,INDEX(Merge_1_2!$O$2:$O$611,$C940),INDEX(Dataset3_Raw!$O$2:$O$391,$E940))</f>
        <v>193</v>
      </c>
      <c r="U940" s="23">
        <f>IF($C940&gt;0,INDEX(Merge_1_2!$P$2:$P$611,$C940),INDEX(Dataset3_Raw!$P$2:$P$391,$E940))</f>
        <v>211</v>
      </c>
      <c r="V940" s="23" t="str">
        <f t="shared" si="85"/>
        <v>Weekday</v>
      </c>
      <c r="W940" s="23" t="str">
        <f>VLOOKUP($M940,Lookups!$A$5:$B$8,2,FALSE())</f>
        <v>Clear / Partly cloudy</v>
      </c>
      <c r="X940" s="23" t="str">
        <f>VLOOKUP($G940,Lookups!$D$5:$E$8,2,FALSE())</f>
        <v>Winter</v>
      </c>
      <c r="Y940" s="23" t="str">
        <f>VLOOKUP($L940,Lookups!$G$5:$H$11,2,FALSE())</f>
        <v>Friday</v>
      </c>
      <c r="Z940" s="23" t="str">
        <f>IF($J940&lt;Lookups!$B$26,"Night",IF($J940&lt;Lookups!$B$27,"Morning",IF($J940&lt;Lookups!$B$28,"Afternoon","Evening")))</f>
        <v>Afternoon</v>
      </c>
      <c r="AA940" s="26">
        <f>ROUND($N940*(Lookups!$B$16-Lookups!$B$15)+Lookups!$B$15,1)</f>
        <v>6.1</v>
      </c>
      <c r="AB940" s="26">
        <f>ROUND($P940*(Lookups!$B$18-Lookups!$B$17)+Lookups!$B$17,1)</f>
        <v>6</v>
      </c>
      <c r="AC940" s="23">
        <f t="shared" si="86"/>
        <v>24</v>
      </c>
      <c r="AD940" s="23">
        <f>ROUND($R940*Lookups!$B$19,1)</f>
        <v>0</v>
      </c>
      <c r="AE940" s="27">
        <f t="shared" si="87"/>
        <v>0.91469194312796209</v>
      </c>
      <c r="AF940" s="23" t="str">
        <f>IF($U940&gt;=Lookups!$B$23,"High",IF($U940&gt;=Lookups!$B$22,"Medium","Low"))</f>
        <v>High</v>
      </c>
      <c r="AG940" s="23">
        <f>ROUND(IF($V940="Weekday",IF(INDEX(Hourly_Analysis!$D$5:$D$28,$J940+1)&gt;0,($U940-INDEX(Hourly_Analysis!$C$5:$C$28,$J940+1))/INDEX(Hourly_Analysis!$D$5:$D$28,$J940+1),0),IF(INDEX(Hourly_Analysis!$G$5:$G$28,$J940+1)&gt;0,($U940-INDEX(Hourly_Analysis!$F$5:$F$28,$J940+1))/INDEX(Hourly_Analysis!$G$5:$G$28,$J940+1),0)),2)</f>
        <v>1.03</v>
      </c>
      <c r="AH940" s="23" t="str">
        <f>IF(ABS($AG940)&gt;Lookups!$B$20,IF($AG940&gt;0,"High anomaly","Low anomaly"),"")</f>
        <v/>
      </c>
      <c r="AI940" s="23" t="str">
        <f t="shared" si="88"/>
        <v>OK</v>
      </c>
      <c r="AJ940" s="23" t="str">
        <f t="shared" si="89"/>
        <v>No</v>
      </c>
    </row>
    <row r="941" spans="1:36" x14ac:dyDescent="0.35">
      <c r="A941" s="23">
        <v>940</v>
      </c>
      <c r="B941" s="23" t="str">
        <f t="shared" si="84"/>
        <v>Dataset 3</v>
      </c>
      <c r="C941" s="23">
        <f>IFERROR(MATCH($A941,Merge_1_2!$A$2:$A$611,0),0)</f>
        <v>0</v>
      </c>
      <c r="D941" s="23">
        <f>IF($C941&gt;0,INDEX(Merge_1_2!$Q$2:$Q$611,$C941),0)</f>
        <v>0</v>
      </c>
      <c r="E941" s="23">
        <f>IFERROR(MATCH($A941,Dataset3_Raw!$A$2:$A$391,0),0)</f>
        <v>330</v>
      </c>
      <c r="F941" s="24">
        <f>IF($C941&gt;0,INDEX(Merge_1_2!$B$2:$B$611,$C941),DATE(VALUE(RIGHT(INDEX(Dataset3_Raw!$B$2:$B$391,$E941),4)),VALUE(MID(INDEX(Dataset3_Raw!$B$2:$B$391,$E941),4,2)),VALUE(LEFT(INDEX(Dataset3_Raw!$B$2:$B$391,$E941),2))))</f>
        <v>40585</v>
      </c>
      <c r="G941" s="23">
        <f>IF($C941&gt;0,INDEX(Merge_1_2!$C$2:$C$611,$C941),INDEX(Dataset3_Raw!$C$2:$C$391,$E941))</f>
        <v>1</v>
      </c>
      <c r="H941" s="23">
        <f>IF($C941&gt;0,INDEX(Merge_1_2!$D$2:$D$611,$C941),INDEX(Dataset3_Raw!$D$2:$D$391,$E941))</f>
        <v>0</v>
      </c>
      <c r="I941" s="23">
        <f>IF($C941&gt;0,INDEX(Merge_1_2!$E$2:$E$611,$C941),INDEX(Dataset3_Raw!$E$2:$E$391,$E941))</f>
        <v>2</v>
      </c>
      <c r="J941" s="23">
        <f>IF($C941&gt;0,INDEX(Merge_1_2!$F$2:$F$611,$C941),INDEX(Dataset3_Raw!$F$2:$F$391,$E941))</f>
        <v>18</v>
      </c>
      <c r="K941" s="23" t="b">
        <f>IF($C941&gt;0,INDEX(Merge_1_2!$G$2:$G$611,$C941),INDEX(Dataset3_Raw!$G$2:$G$391,$E941))</f>
        <v>0</v>
      </c>
      <c r="L941" s="23">
        <f>IF($C941&gt;0,INDEX(Merge_1_2!$H$2:$H$611,$C941),INDEX(Dataset3_Raw!$H$2:$H$391,$E941))</f>
        <v>5</v>
      </c>
      <c r="M941" s="23">
        <f>IF($C941&gt;0,INDEX(Merge_1_2!$I$2:$I$611,$C941),INDEX(Dataset3_Raw!$I$2:$I$391,$E941))</f>
        <v>1</v>
      </c>
      <c r="N941" s="25">
        <f>IF($C941&gt;0,INDEX(Merge_1_2!$J$2:$J$611,$C941),INDEX(Dataset3_Raw!$J$2:$J$391,$E941))</f>
        <v>0.28000000000000003</v>
      </c>
      <c r="O941" s="25">
        <f>IF($C941&gt;0,IF(ISNUMBER(INDEX(Merge_1_2!$K$2:$K$611,$C941)),INDEX(Merge_1_2!$K$2:$K$611,$C941),""),INDEX(Dataset3_Raw!$K$2:$K$391,$E941))</f>
        <v>0.31819999999999998</v>
      </c>
      <c r="P941" s="25">
        <f>IF(ISNUMBER($O941),$O941,ROUND(Lookups!$B$25+Lookups!$B$24*$N941,4))</f>
        <v>0.31819999999999998</v>
      </c>
      <c r="Q941" s="25">
        <f>IF($C941&gt;0,INDEX(Merge_1_2!$L$2:$L$611,$C941),INDEX(Dataset3_Raw!$L$2:$L$391,$E941))</f>
        <v>0.28000000000000003</v>
      </c>
      <c r="R941" s="25">
        <f>IF($C941&gt;0,INDEX(Merge_1_2!$M$2:$M$611,$C941),INDEX(Dataset3_Raw!$M$2:$M$391,$E941))</f>
        <v>0</v>
      </c>
      <c r="S941" s="23">
        <f>IF($C941&gt;0,INDEX(Merge_1_2!$N$2:$N$611,$C941),INDEX(Dataset3_Raw!$N$2:$N$391,$E941))</f>
        <v>9</v>
      </c>
      <c r="T941" s="23">
        <f>IF($C941&gt;0,INDEX(Merge_1_2!$O$2:$O$611,$C941),INDEX(Dataset3_Raw!$O$2:$O$391,$E941))</f>
        <v>165</v>
      </c>
      <c r="U941" s="23">
        <f>IF($C941&gt;0,INDEX(Merge_1_2!$P$2:$P$611,$C941),INDEX(Dataset3_Raw!$P$2:$P$391,$E941))</f>
        <v>174</v>
      </c>
      <c r="V941" s="23" t="str">
        <f t="shared" si="85"/>
        <v>Weekday</v>
      </c>
      <c r="W941" s="23" t="str">
        <f>VLOOKUP($M941,Lookups!$A$5:$B$8,2,FALSE())</f>
        <v>Clear / Partly cloudy</v>
      </c>
      <c r="X941" s="23" t="str">
        <f>VLOOKUP($G941,Lookups!$D$5:$E$8,2,FALSE())</f>
        <v>Winter</v>
      </c>
      <c r="Y941" s="23" t="str">
        <f>VLOOKUP($L941,Lookups!$G$5:$H$11,2,FALSE())</f>
        <v>Friday</v>
      </c>
      <c r="Z941" s="23" t="str">
        <f>IF($J941&lt;Lookups!$B$26,"Night",IF($J941&lt;Lookups!$B$27,"Morning",IF($J941&lt;Lookups!$B$28,"Afternoon","Evening")))</f>
        <v>Evening</v>
      </c>
      <c r="AA941" s="26">
        <f>ROUND($N941*(Lookups!$B$16-Lookups!$B$15)+Lookups!$B$15,1)</f>
        <v>5.2</v>
      </c>
      <c r="AB941" s="26">
        <f>ROUND($P941*(Lookups!$B$18-Lookups!$B$17)+Lookups!$B$17,1)</f>
        <v>5</v>
      </c>
      <c r="AC941" s="23">
        <f t="shared" si="86"/>
        <v>28</v>
      </c>
      <c r="AD941" s="23">
        <f>ROUND($R941*Lookups!$B$19,1)</f>
        <v>0</v>
      </c>
      <c r="AE941" s="27">
        <f t="shared" si="87"/>
        <v>0.94827586206896552</v>
      </c>
      <c r="AF941" s="23" t="str">
        <f>IF($U941&gt;=Lookups!$B$23,"High",IF($U941&gt;=Lookups!$B$22,"Medium","Low"))</f>
        <v>High</v>
      </c>
      <c r="AG941" s="23">
        <f>ROUND(IF($V941="Weekday",IF(INDEX(Hourly_Analysis!$D$5:$D$28,$J941+1)&gt;0,($U941-INDEX(Hourly_Analysis!$C$5:$C$28,$J941+1))/INDEX(Hourly_Analysis!$D$5:$D$28,$J941+1),0),IF(INDEX(Hourly_Analysis!$G$5:$G$28,$J941+1)&gt;0,($U941-INDEX(Hourly_Analysis!$F$5:$F$28,$J941+1))/INDEX(Hourly_Analysis!$G$5:$G$28,$J941+1),0)),2)</f>
        <v>0.75</v>
      </c>
      <c r="AH941" s="23" t="str">
        <f>IF(ABS($AG941)&gt;Lookups!$B$20,IF($AG941&gt;0,"High anomaly","Low anomaly"),"")</f>
        <v/>
      </c>
      <c r="AI941" s="23" t="str">
        <f t="shared" si="88"/>
        <v>OK</v>
      </c>
      <c r="AJ941" s="23" t="str">
        <f t="shared" si="89"/>
        <v>No</v>
      </c>
    </row>
    <row r="942" spans="1:36" x14ac:dyDescent="0.35">
      <c r="A942" s="23">
        <v>941</v>
      </c>
      <c r="B942" s="23" t="str">
        <f t="shared" si="84"/>
        <v>Dataset 3</v>
      </c>
      <c r="C942" s="23">
        <f>IFERROR(MATCH($A942,Merge_1_2!$A$2:$A$611,0),0)</f>
        <v>0</v>
      </c>
      <c r="D942" s="23">
        <f>IF($C942&gt;0,INDEX(Merge_1_2!$Q$2:$Q$611,$C942),0)</f>
        <v>0</v>
      </c>
      <c r="E942" s="23">
        <f>IFERROR(MATCH($A942,Dataset3_Raw!$A$2:$A$391,0),0)</f>
        <v>331</v>
      </c>
      <c r="F942" s="24">
        <f>IF($C942&gt;0,INDEX(Merge_1_2!$B$2:$B$611,$C942),DATE(VALUE(RIGHT(INDEX(Dataset3_Raw!$B$2:$B$391,$E942),4)),VALUE(MID(INDEX(Dataset3_Raw!$B$2:$B$391,$E942),4,2)),VALUE(LEFT(INDEX(Dataset3_Raw!$B$2:$B$391,$E942),2))))</f>
        <v>40585</v>
      </c>
      <c r="G942" s="23">
        <f>IF($C942&gt;0,INDEX(Merge_1_2!$C$2:$C$611,$C942),INDEX(Dataset3_Raw!$C$2:$C$391,$E942))</f>
        <v>1</v>
      </c>
      <c r="H942" s="23">
        <f>IF($C942&gt;0,INDEX(Merge_1_2!$D$2:$D$611,$C942),INDEX(Dataset3_Raw!$D$2:$D$391,$E942))</f>
        <v>0</v>
      </c>
      <c r="I942" s="23">
        <f>IF($C942&gt;0,INDEX(Merge_1_2!$E$2:$E$611,$C942),INDEX(Dataset3_Raw!$E$2:$E$391,$E942))</f>
        <v>2</v>
      </c>
      <c r="J942" s="23">
        <f>IF($C942&gt;0,INDEX(Merge_1_2!$F$2:$F$611,$C942),INDEX(Dataset3_Raw!$F$2:$F$391,$E942))</f>
        <v>19</v>
      </c>
      <c r="K942" s="23" t="b">
        <f>IF($C942&gt;0,INDEX(Merge_1_2!$G$2:$G$611,$C942),INDEX(Dataset3_Raw!$G$2:$G$391,$E942))</f>
        <v>0</v>
      </c>
      <c r="L942" s="23">
        <f>IF($C942&gt;0,INDEX(Merge_1_2!$H$2:$H$611,$C942),INDEX(Dataset3_Raw!$H$2:$H$391,$E942))</f>
        <v>5</v>
      </c>
      <c r="M942" s="23">
        <f>IF($C942&gt;0,INDEX(Merge_1_2!$I$2:$I$611,$C942),INDEX(Dataset3_Raw!$I$2:$I$391,$E942))</f>
        <v>1</v>
      </c>
      <c r="N942" s="25">
        <f>IF($C942&gt;0,INDEX(Merge_1_2!$J$2:$J$611,$C942),INDEX(Dataset3_Raw!$J$2:$J$391,$E942))</f>
        <v>0.26</v>
      </c>
      <c r="O942" s="25">
        <f>IF($C942&gt;0,IF(ISNUMBER(INDEX(Merge_1_2!$K$2:$K$611,$C942)),INDEX(Merge_1_2!$K$2:$K$611,$C942),""),INDEX(Dataset3_Raw!$K$2:$K$391,$E942))</f>
        <v>0.30299999999999999</v>
      </c>
      <c r="P942" s="25">
        <f>IF(ISNUMBER($O942),$O942,ROUND(Lookups!$B$25+Lookups!$B$24*$N942,4))</f>
        <v>0.30299999999999999</v>
      </c>
      <c r="Q942" s="25">
        <f>IF($C942&gt;0,INDEX(Merge_1_2!$L$2:$L$611,$C942),INDEX(Dataset3_Raw!$L$2:$L$391,$E942))</f>
        <v>0.33</v>
      </c>
      <c r="R942" s="25">
        <f>IF($C942&gt;0,INDEX(Merge_1_2!$M$2:$M$611,$C942),INDEX(Dataset3_Raw!$M$2:$M$391,$E942))</f>
        <v>0</v>
      </c>
      <c r="S942" s="23">
        <f>IF($C942&gt;0,INDEX(Merge_1_2!$N$2:$N$611,$C942),INDEX(Dataset3_Raw!$N$2:$N$391,$E942))</f>
        <v>7</v>
      </c>
      <c r="T942" s="23">
        <f>IF($C942&gt;0,INDEX(Merge_1_2!$O$2:$O$611,$C942),INDEX(Dataset3_Raw!$O$2:$O$391,$E942))</f>
        <v>94</v>
      </c>
      <c r="U942" s="23">
        <f>IF($C942&gt;0,INDEX(Merge_1_2!$P$2:$P$611,$C942),INDEX(Dataset3_Raw!$P$2:$P$391,$E942))</f>
        <v>101</v>
      </c>
      <c r="V942" s="23" t="str">
        <f t="shared" si="85"/>
        <v>Weekday</v>
      </c>
      <c r="W942" s="23" t="str">
        <f>VLOOKUP($M942,Lookups!$A$5:$B$8,2,FALSE())</f>
        <v>Clear / Partly cloudy</v>
      </c>
      <c r="X942" s="23" t="str">
        <f>VLOOKUP($G942,Lookups!$D$5:$E$8,2,FALSE())</f>
        <v>Winter</v>
      </c>
      <c r="Y942" s="23" t="str">
        <f>VLOOKUP($L942,Lookups!$G$5:$H$11,2,FALSE())</f>
        <v>Friday</v>
      </c>
      <c r="Z942" s="23" t="str">
        <f>IF($J942&lt;Lookups!$B$26,"Night",IF($J942&lt;Lookups!$B$27,"Morning",IF($J942&lt;Lookups!$B$28,"Afternoon","Evening")))</f>
        <v>Evening</v>
      </c>
      <c r="AA942" s="26">
        <f>ROUND($N942*(Lookups!$B$16-Lookups!$B$15)+Lookups!$B$15,1)</f>
        <v>4.2</v>
      </c>
      <c r="AB942" s="26">
        <f>ROUND($P942*(Lookups!$B$18-Lookups!$B$17)+Lookups!$B$17,1)</f>
        <v>4</v>
      </c>
      <c r="AC942" s="23">
        <f t="shared" si="86"/>
        <v>33</v>
      </c>
      <c r="AD942" s="23">
        <f>ROUND($R942*Lookups!$B$19,1)</f>
        <v>0</v>
      </c>
      <c r="AE942" s="27">
        <f t="shared" si="87"/>
        <v>0.93069306930693074</v>
      </c>
      <c r="AF942" s="23" t="str">
        <f>IF($U942&gt;=Lookups!$B$23,"High",IF($U942&gt;=Lookups!$B$22,"Medium","Low"))</f>
        <v>High</v>
      </c>
      <c r="AG942" s="23">
        <f>ROUND(IF($V942="Weekday",IF(INDEX(Hourly_Analysis!$D$5:$D$28,$J942+1)&gt;0,($U942-INDEX(Hourly_Analysis!$C$5:$C$28,$J942+1))/INDEX(Hourly_Analysis!$D$5:$D$28,$J942+1),0),IF(INDEX(Hourly_Analysis!$G$5:$G$28,$J942+1)&gt;0,($U942-INDEX(Hourly_Analysis!$F$5:$F$28,$J942+1))/INDEX(Hourly_Analysis!$G$5:$G$28,$J942+1),0)),2)</f>
        <v>-0.13</v>
      </c>
      <c r="AH942" s="23" t="str">
        <f>IF(ABS($AG942)&gt;Lookups!$B$20,IF($AG942&gt;0,"High anomaly","Low anomaly"),"")</f>
        <v/>
      </c>
      <c r="AI942" s="23" t="str">
        <f t="shared" si="88"/>
        <v>OK</v>
      </c>
      <c r="AJ942" s="23" t="str">
        <f t="shared" si="89"/>
        <v>No</v>
      </c>
    </row>
    <row r="943" spans="1:36" x14ac:dyDescent="0.35">
      <c r="A943" s="23">
        <v>942</v>
      </c>
      <c r="B943" s="23" t="str">
        <f t="shared" si="84"/>
        <v>Dataset 3</v>
      </c>
      <c r="C943" s="23">
        <f>IFERROR(MATCH($A943,Merge_1_2!$A$2:$A$611,0),0)</f>
        <v>0</v>
      </c>
      <c r="D943" s="23">
        <f>IF($C943&gt;0,INDEX(Merge_1_2!$Q$2:$Q$611,$C943),0)</f>
        <v>0</v>
      </c>
      <c r="E943" s="23">
        <f>IFERROR(MATCH($A943,Dataset3_Raw!$A$2:$A$391,0),0)</f>
        <v>332</v>
      </c>
      <c r="F943" s="24">
        <f>IF($C943&gt;0,INDEX(Merge_1_2!$B$2:$B$611,$C943),DATE(VALUE(RIGHT(INDEX(Dataset3_Raw!$B$2:$B$391,$E943),4)),VALUE(MID(INDEX(Dataset3_Raw!$B$2:$B$391,$E943),4,2)),VALUE(LEFT(INDEX(Dataset3_Raw!$B$2:$B$391,$E943),2))))</f>
        <v>40585</v>
      </c>
      <c r="G943" s="23">
        <f>IF($C943&gt;0,INDEX(Merge_1_2!$C$2:$C$611,$C943),INDEX(Dataset3_Raw!$C$2:$C$391,$E943))</f>
        <v>1</v>
      </c>
      <c r="H943" s="23">
        <f>IF($C943&gt;0,INDEX(Merge_1_2!$D$2:$D$611,$C943),INDEX(Dataset3_Raw!$D$2:$D$391,$E943))</f>
        <v>0</v>
      </c>
      <c r="I943" s="23">
        <f>IF($C943&gt;0,INDEX(Merge_1_2!$E$2:$E$611,$C943),INDEX(Dataset3_Raw!$E$2:$E$391,$E943))</f>
        <v>2</v>
      </c>
      <c r="J943" s="23">
        <f>IF($C943&gt;0,INDEX(Merge_1_2!$F$2:$F$611,$C943),INDEX(Dataset3_Raw!$F$2:$F$391,$E943))</f>
        <v>20</v>
      </c>
      <c r="K943" s="23" t="b">
        <f>IF($C943&gt;0,INDEX(Merge_1_2!$G$2:$G$611,$C943),INDEX(Dataset3_Raw!$G$2:$G$391,$E943))</f>
        <v>0</v>
      </c>
      <c r="L943" s="23">
        <f>IF($C943&gt;0,INDEX(Merge_1_2!$H$2:$H$611,$C943),INDEX(Dataset3_Raw!$H$2:$H$391,$E943))</f>
        <v>5</v>
      </c>
      <c r="M943" s="23">
        <f>IF($C943&gt;0,INDEX(Merge_1_2!$I$2:$I$611,$C943),INDEX(Dataset3_Raw!$I$2:$I$391,$E943))</f>
        <v>1</v>
      </c>
      <c r="N943" s="25">
        <f>IF($C943&gt;0,INDEX(Merge_1_2!$J$2:$J$611,$C943),INDEX(Dataset3_Raw!$J$2:$J$391,$E943))</f>
        <v>0.22</v>
      </c>
      <c r="O943" s="25">
        <f>IF($C943&gt;0,IF(ISNUMBER(INDEX(Merge_1_2!$K$2:$K$611,$C943)),INDEX(Merge_1_2!$K$2:$K$611,$C943),""),INDEX(Dataset3_Raw!$K$2:$K$391,$E943))</f>
        <v>0.2273</v>
      </c>
      <c r="P943" s="25">
        <f>IF(ISNUMBER($O943),$O943,ROUND(Lookups!$B$25+Lookups!$B$24*$N943,4))</f>
        <v>0.2273</v>
      </c>
      <c r="Q943" s="25">
        <f>IF($C943&gt;0,INDEX(Merge_1_2!$L$2:$L$611,$C943),INDEX(Dataset3_Raw!$L$2:$L$391,$E943))</f>
        <v>0.55000000000000004</v>
      </c>
      <c r="R943" s="25">
        <f>IF($C943&gt;0,INDEX(Merge_1_2!$M$2:$M$611,$C943),INDEX(Dataset3_Raw!$M$2:$M$391,$E943))</f>
        <v>0.1343</v>
      </c>
      <c r="S943" s="23">
        <f>IF($C943&gt;0,INDEX(Merge_1_2!$N$2:$N$611,$C943),INDEX(Dataset3_Raw!$N$2:$N$391,$E943))</f>
        <v>2</v>
      </c>
      <c r="T943" s="23">
        <f>IF($C943&gt;0,INDEX(Merge_1_2!$O$2:$O$611,$C943),INDEX(Dataset3_Raw!$O$2:$O$391,$E943))</f>
        <v>61</v>
      </c>
      <c r="U943" s="23">
        <f>IF($C943&gt;0,INDEX(Merge_1_2!$P$2:$P$611,$C943),INDEX(Dataset3_Raw!$P$2:$P$391,$E943))</f>
        <v>63</v>
      </c>
      <c r="V943" s="23" t="str">
        <f t="shared" si="85"/>
        <v>Weekday</v>
      </c>
      <c r="W943" s="23" t="str">
        <f>VLOOKUP($M943,Lookups!$A$5:$B$8,2,FALSE())</f>
        <v>Clear / Partly cloudy</v>
      </c>
      <c r="X943" s="23" t="str">
        <f>VLOOKUP($G943,Lookups!$D$5:$E$8,2,FALSE())</f>
        <v>Winter</v>
      </c>
      <c r="Y943" s="23" t="str">
        <f>VLOOKUP($L943,Lookups!$G$5:$H$11,2,FALSE())</f>
        <v>Friday</v>
      </c>
      <c r="Z943" s="23" t="str">
        <f>IF($J943&lt;Lookups!$B$26,"Night",IF($J943&lt;Lookups!$B$27,"Morning",IF($J943&lt;Lookups!$B$28,"Afternoon","Evening")))</f>
        <v>Evening</v>
      </c>
      <c r="AA943" s="26">
        <f>ROUND($N943*(Lookups!$B$16-Lookups!$B$15)+Lookups!$B$15,1)</f>
        <v>2.2999999999999998</v>
      </c>
      <c r="AB943" s="26">
        <f>ROUND($P943*(Lookups!$B$18-Lookups!$B$17)+Lookups!$B$17,1)</f>
        <v>-1</v>
      </c>
      <c r="AC943" s="23">
        <f t="shared" si="86"/>
        <v>55</v>
      </c>
      <c r="AD943" s="23">
        <f>ROUND($R943*Lookups!$B$19,1)</f>
        <v>9</v>
      </c>
      <c r="AE943" s="27">
        <f t="shared" si="87"/>
        <v>0.96825396825396826</v>
      </c>
      <c r="AF943" s="23" t="str">
        <f>IF($U943&gt;=Lookups!$B$23,"High",IF($U943&gt;=Lookups!$B$22,"Medium","Low"))</f>
        <v>Medium</v>
      </c>
      <c r="AG943" s="23">
        <f>ROUND(IF($V943="Weekday",IF(INDEX(Hourly_Analysis!$D$5:$D$28,$J943+1)&gt;0,($U943-INDEX(Hourly_Analysis!$C$5:$C$28,$J943+1))/INDEX(Hourly_Analysis!$D$5:$D$28,$J943+1),0),IF(INDEX(Hourly_Analysis!$G$5:$G$28,$J943+1)&gt;0,($U943-INDEX(Hourly_Analysis!$F$5:$F$28,$J943+1))/INDEX(Hourly_Analysis!$G$5:$G$28,$J943+1),0)),2)</f>
        <v>-0.5</v>
      </c>
      <c r="AH943" s="23" t="str">
        <f>IF(ABS($AG943)&gt;Lookups!$B$20,IF($AG943&gt;0,"High anomaly","Low anomaly"),"")</f>
        <v/>
      </c>
      <c r="AI943" s="23" t="str">
        <f t="shared" si="88"/>
        <v>OK</v>
      </c>
      <c r="AJ943" s="23" t="str">
        <f t="shared" si="89"/>
        <v>No</v>
      </c>
    </row>
    <row r="944" spans="1:36" x14ac:dyDescent="0.35">
      <c r="A944" s="23">
        <v>943</v>
      </c>
      <c r="B944" s="23" t="str">
        <f t="shared" si="84"/>
        <v>Dataset 3</v>
      </c>
      <c r="C944" s="23">
        <f>IFERROR(MATCH($A944,Merge_1_2!$A$2:$A$611,0),0)</f>
        <v>0</v>
      </c>
      <c r="D944" s="23">
        <f>IF($C944&gt;0,INDEX(Merge_1_2!$Q$2:$Q$611,$C944),0)</f>
        <v>0</v>
      </c>
      <c r="E944" s="23">
        <f>IFERROR(MATCH($A944,Dataset3_Raw!$A$2:$A$391,0),0)</f>
        <v>333</v>
      </c>
      <c r="F944" s="24">
        <f>IF($C944&gt;0,INDEX(Merge_1_2!$B$2:$B$611,$C944),DATE(VALUE(RIGHT(INDEX(Dataset3_Raw!$B$2:$B$391,$E944),4)),VALUE(MID(INDEX(Dataset3_Raw!$B$2:$B$391,$E944),4,2)),VALUE(LEFT(INDEX(Dataset3_Raw!$B$2:$B$391,$E944),2))))</f>
        <v>40585</v>
      </c>
      <c r="G944" s="23">
        <f>IF($C944&gt;0,INDEX(Merge_1_2!$C$2:$C$611,$C944),INDEX(Dataset3_Raw!$C$2:$C$391,$E944))</f>
        <v>1</v>
      </c>
      <c r="H944" s="23">
        <f>IF($C944&gt;0,INDEX(Merge_1_2!$D$2:$D$611,$C944),INDEX(Dataset3_Raw!$D$2:$D$391,$E944))</f>
        <v>0</v>
      </c>
      <c r="I944" s="23">
        <f>IF($C944&gt;0,INDEX(Merge_1_2!$E$2:$E$611,$C944),INDEX(Dataset3_Raw!$E$2:$E$391,$E944))</f>
        <v>2</v>
      </c>
      <c r="J944" s="23">
        <f>IF($C944&gt;0,INDEX(Merge_1_2!$F$2:$F$611,$C944),INDEX(Dataset3_Raw!$F$2:$F$391,$E944))</f>
        <v>21</v>
      </c>
      <c r="K944" s="23" t="b">
        <f>IF($C944&gt;0,INDEX(Merge_1_2!$G$2:$G$611,$C944),INDEX(Dataset3_Raw!$G$2:$G$391,$E944))</f>
        <v>0</v>
      </c>
      <c r="L944" s="23">
        <f>IF($C944&gt;0,INDEX(Merge_1_2!$H$2:$H$611,$C944),INDEX(Dataset3_Raw!$H$2:$H$391,$E944))</f>
        <v>5</v>
      </c>
      <c r="M944" s="23">
        <f>IF($C944&gt;0,INDEX(Merge_1_2!$I$2:$I$611,$C944),INDEX(Dataset3_Raw!$I$2:$I$391,$E944))</f>
        <v>1</v>
      </c>
      <c r="N944" s="25">
        <f>IF($C944&gt;0,INDEX(Merge_1_2!$J$2:$J$611,$C944),INDEX(Dataset3_Raw!$J$2:$J$391,$E944))</f>
        <v>0.2</v>
      </c>
      <c r="O944" s="25">
        <f>IF($C944&gt;0,IF(ISNUMBER(INDEX(Merge_1_2!$K$2:$K$611,$C944)),INDEX(Merge_1_2!$K$2:$K$611,$C944),""),INDEX(Dataset3_Raw!$K$2:$K$391,$E944))</f>
        <v>0.21210000000000001</v>
      </c>
      <c r="P944" s="25">
        <f>IF(ISNUMBER($O944),$O944,ROUND(Lookups!$B$25+Lookups!$B$24*$N944,4))</f>
        <v>0.21210000000000001</v>
      </c>
      <c r="Q944" s="25">
        <f>IF($C944&gt;0,INDEX(Merge_1_2!$L$2:$L$611,$C944),INDEX(Dataset3_Raw!$L$2:$L$391,$E944))</f>
        <v>0.59</v>
      </c>
      <c r="R944" s="25">
        <f>IF($C944&gt;0,INDEX(Merge_1_2!$M$2:$M$611,$C944),INDEX(Dataset3_Raw!$M$2:$M$391,$E944))</f>
        <v>0.1343</v>
      </c>
      <c r="S944" s="23">
        <f>IF($C944&gt;0,INDEX(Merge_1_2!$N$2:$N$611,$C944),INDEX(Dataset3_Raw!$N$2:$N$391,$E944))</f>
        <v>1</v>
      </c>
      <c r="T944" s="23">
        <f>IF($C944&gt;0,INDEX(Merge_1_2!$O$2:$O$611,$C944),INDEX(Dataset3_Raw!$O$2:$O$391,$E944))</f>
        <v>46</v>
      </c>
      <c r="U944" s="23">
        <f>IF($C944&gt;0,INDEX(Merge_1_2!$P$2:$P$611,$C944),INDEX(Dataset3_Raw!$P$2:$P$391,$E944))</f>
        <v>47</v>
      </c>
      <c r="V944" s="23" t="str">
        <f t="shared" si="85"/>
        <v>Weekday</v>
      </c>
      <c r="W944" s="23" t="str">
        <f>VLOOKUP($M944,Lookups!$A$5:$B$8,2,FALSE())</f>
        <v>Clear / Partly cloudy</v>
      </c>
      <c r="X944" s="23" t="str">
        <f>VLOOKUP($G944,Lookups!$D$5:$E$8,2,FALSE())</f>
        <v>Winter</v>
      </c>
      <c r="Y944" s="23" t="str">
        <f>VLOOKUP($L944,Lookups!$G$5:$H$11,2,FALSE())</f>
        <v>Friday</v>
      </c>
      <c r="Z944" s="23" t="str">
        <f>IF($J944&lt;Lookups!$B$26,"Night",IF($J944&lt;Lookups!$B$27,"Morning",IF($J944&lt;Lookups!$B$28,"Afternoon","Evening")))</f>
        <v>Evening</v>
      </c>
      <c r="AA944" s="26">
        <f>ROUND($N944*(Lookups!$B$16-Lookups!$B$15)+Lookups!$B$15,1)</f>
        <v>1.4</v>
      </c>
      <c r="AB944" s="26">
        <f>ROUND($P944*(Lookups!$B$18-Lookups!$B$17)+Lookups!$B$17,1)</f>
        <v>-2</v>
      </c>
      <c r="AC944" s="23">
        <f t="shared" si="86"/>
        <v>59</v>
      </c>
      <c r="AD944" s="23">
        <f>ROUND($R944*Lookups!$B$19,1)</f>
        <v>9</v>
      </c>
      <c r="AE944" s="27">
        <f t="shared" si="87"/>
        <v>0.97872340425531912</v>
      </c>
      <c r="AF944" s="23" t="str">
        <f>IF($U944&gt;=Lookups!$B$23,"High",IF($U944&gt;=Lookups!$B$22,"Medium","Low"))</f>
        <v>Medium</v>
      </c>
      <c r="AG944" s="23">
        <f>ROUND(IF($V944="Weekday",IF(INDEX(Hourly_Analysis!$D$5:$D$28,$J944+1)&gt;0,($U944-INDEX(Hourly_Analysis!$C$5:$C$28,$J944+1))/INDEX(Hourly_Analysis!$D$5:$D$28,$J944+1),0),IF(INDEX(Hourly_Analysis!$G$5:$G$28,$J944+1)&gt;0,($U944-INDEX(Hourly_Analysis!$F$5:$F$28,$J944+1))/INDEX(Hourly_Analysis!$G$5:$G$28,$J944+1),0)),2)</f>
        <v>-0.36</v>
      </c>
      <c r="AH944" s="23" t="str">
        <f>IF(ABS($AG944)&gt;Lookups!$B$20,IF($AG944&gt;0,"High anomaly","Low anomaly"),"")</f>
        <v/>
      </c>
      <c r="AI944" s="23" t="str">
        <f t="shared" si="88"/>
        <v>OK</v>
      </c>
      <c r="AJ944" s="23" t="str">
        <f t="shared" si="89"/>
        <v>No</v>
      </c>
    </row>
    <row r="945" spans="1:36" x14ac:dyDescent="0.35">
      <c r="A945" s="23">
        <v>944</v>
      </c>
      <c r="B945" s="23" t="str">
        <f t="shared" si="84"/>
        <v>Dataset 3</v>
      </c>
      <c r="C945" s="23">
        <f>IFERROR(MATCH($A945,Merge_1_2!$A$2:$A$611,0),0)</f>
        <v>0</v>
      </c>
      <c r="D945" s="23">
        <f>IF($C945&gt;0,INDEX(Merge_1_2!$Q$2:$Q$611,$C945),0)</f>
        <v>0</v>
      </c>
      <c r="E945" s="23">
        <f>IFERROR(MATCH($A945,Dataset3_Raw!$A$2:$A$391,0),0)</f>
        <v>334</v>
      </c>
      <c r="F945" s="24">
        <f>IF($C945&gt;0,INDEX(Merge_1_2!$B$2:$B$611,$C945),DATE(VALUE(RIGHT(INDEX(Dataset3_Raw!$B$2:$B$391,$E945),4)),VALUE(MID(INDEX(Dataset3_Raw!$B$2:$B$391,$E945),4,2)),VALUE(LEFT(INDEX(Dataset3_Raw!$B$2:$B$391,$E945),2))))</f>
        <v>40585</v>
      </c>
      <c r="G945" s="23">
        <f>IF($C945&gt;0,INDEX(Merge_1_2!$C$2:$C$611,$C945),INDEX(Dataset3_Raw!$C$2:$C$391,$E945))</f>
        <v>1</v>
      </c>
      <c r="H945" s="23">
        <f>IF($C945&gt;0,INDEX(Merge_1_2!$D$2:$D$611,$C945),INDEX(Dataset3_Raw!$D$2:$D$391,$E945))</f>
        <v>0</v>
      </c>
      <c r="I945" s="23">
        <f>IF($C945&gt;0,INDEX(Merge_1_2!$E$2:$E$611,$C945),INDEX(Dataset3_Raw!$E$2:$E$391,$E945))</f>
        <v>2</v>
      </c>
      <c r="J945" s="23">
        <f>IF($C945&gt;0,INDEX(Merge_1_2!$F$2:$F$611,$C945),INDEX(Dataset3_Raw!$F$2:$F$391,$E945))</f>
        <v>22</v>
      </c>
      <c r="K945" s="23" t="b">
        <f>IF($C945&gt;0,INDEX(Merge_1_2!$G$2:$G$611,$C945),INDEX(Dataset3_Raw!$G$2:$G$391,$E945))</f>
        <v>0</v>
      </c>
      <c r="L945" s="23">
        <f>IF($C945&gt;0,INDEX(Merge_1_2!$H$2:$H$611,$C945),INDEX(Dataset3_Raw!$H$2:$H$391,$E945))</f>
        <v>5</v>
      </c>
      <c r="M945" s="23">
        <f>IF($C945&gt;0,INDEX(Merge_1_2!$I$2:$I$611,$C945),INDEX(Dataset3_Raw!$I$2:$I$391,$E945))</f>
        <v>1</v>
      </c>
      <c r="N945" s="25">
        <f>IF($C945&gt;0,INDEX(Merge_1_2!$J$2:$J$611,$C945),INDEX(Dataset3_Raw!$J$2:$J$391,$E945))</f>
        <v>0.2</v>
      </c>
      <c r="O945" s="25">
        <f>IF($C945&gt;0,IF(ISNUMBER(INDEX(Merge_1_2!$K$2:$K$611,$C945)),INDEX(Merge_1_2!$K$2:$K$611,$C945),""),INDEX(Dataset3_Raw!$K$2:$K$391,$E945))</f>
        <v>0.2273</v>
      </c>
      <c r="P945" s="25">
        <f>IF(ISNUMBER($O945),$O945,ROUND(Lookups!$B$25+Lookups!$B$24*$N945,4))</f>
        <v>0.2273</v>
      </c>
      <c r="Q945" s="25">
        <f>IF($C945&gt;0,INDEX(Merge_1_2!$L$2:$L$611,$C945),INDEX(Dataset3_Raw!$L$2:$L$391,$E945))</f>
        <v>0.64</v>
      </c>
      <c r="R945" s="25">
        <f>IF($C945&gt;0,INDEX(Merge_1_2!$M$2:$M$611,$C945),INDEX(Dataset3_Raw!$M$2:$M$391,$E945))</f>
        <v>8.9599999999999999E-2</v>
      </c>
      <c r="S945" s="23">
        <f>IF($C945&gt;0,INDEX(Merge_1_2!$N$2:$N$611,$C945),INDEX(Dataset3_Raw!$N$2:$N$391,$E945))</f>
        <v>2</v>
      </c>
      <c r="T945" s="23">
        <f>IF($C945&gt;0,INDEX(Merge_1_2!$O$2:$O$611,$C945),INDEX(Dataset3_Raw!$O$2:$O$391,$E945))</f>
        <v>41</v>
      </c>
      <c r="U945" s="23">
        <f>IF($C945&gt;0,INDEX(Merge_1_2!$P$2:$P$611,$C945),INDEX(Dataset3_Raw!$P$2:$P$391,$E945))</f>
        <v>43</v>
      </c>
      <c r="V945" s="23" t="str">
        <f t="shared" si="85"/>
        <v>Weekday</v>
      </c>
      <c r="W945" s="23" t="str">
        <f>VLOOKUP($M945,Lookups!$A$5:$B$8,2,FALSE())</f>
        <v>Clear / Partly cloudy</v>
      </c>
      <c r="X945" s="23" t="str">
        <f>VLOOKUP($G945,Lookups!$D$5:$E$8,2,FALSE())</f>
        <v>Winter</v>
      </c>
      <c r="Y945" s="23" t="str">
        <f>VLOOKUP($L945,Lookups!$G$5:$H$11,2,FALSE())</f>
        <v>Friday</v>
      </c>
      <c r="Z945" s="23" t="str">
        <f>IF($J945&lt;Lookups!$B$26,"Night",IF($J945&lt;Lookups!$B$27,"Morning",IF($J945&lt;Lookups!$B$28,"Afternoon","Evening")))</f>
        <v>Evening</v>
      </c>
      <c r="AA945" s="26">
        <f>ROUND($N945*(Lookups!$B$16-Lookups!$B$15)+Lookups!$B$15,1)</f>
        <v>1.4</v>
      </c>
      <c r="AB945" s="26">
        <f>ROUND($P945*(Lookups!$B$18-Lookups!$B$17)+Lookups!$B$17,1)</f>
        <v>-1</v>
      </c>
      <c r="AC945" s="23">
        <f t="shared" si="86"/>
        <v>64</v>
      </c>
      <c r="AD945" s="23">
        <f>ROUND($R945*Lookups!$B$19,1)</f>
        <v>6</v>
      </c>
      <c r="AE945" s="27">
        <f t="shared" si="87"/>
        <v>0.95348837209302328</v>
      </c>
      <c r="AF945" s="23" t="str">
        <f>IF($U945&gt;=Lookups!$B$23,"High",IF($U945&gt;=Lookups!$B$22,"Medium","Low"))</f>
        <v>Medium</v>
      </c>
      <c r="AG945" s="23">
        <f>ROUND(IF($V945="Weekday",IF(INDEX(Hourly_Analysis!$D$5:$D$28,$J945+1)&gt;0,($U945-INDEX(Hourly_Analysis!$C$5:$C$28,$J945+1))/INDEX(Hourly_Analysis!$D$5:$D$28,$J945+1),0),IF(INDEX(Hourly_Analysis!$G$5:$G$28,$J945+1)&gt;0,($U945-INDEX(Hourly_Analysis!$F$5:$F$28,$J945+1))/INDEX(Hourly_Analysis!$G$5:$G$28,$J945+1),0)),2)</f>
        <v>0.51</v>
      </c>
      <c r="AH945" s="23" t="str">
        <f>IF(ABS($AG945)&gt;Lookups!$B$20,IF($AG945&gt;0,"High anomaly","Low anomaly"),"")</f>
        <v/>
      </c>
      <c r="AI945" s="23" t="str">
        <f t="shared" si="88"/>
        <v>OK</v>
      </c>
      <c r="AJ945" s="23" t="str">
        <f t="shared" si="89"/>
        <v>No</v>
      </c>
    </row>
    <row r="946" spans="1:36" x14ac:dyDescent="0.35">
      <c r="A946" s="23">
        <v>945</v>
      </c>
      <c r="B946" s="23" t="str">
        <f t="shared" si="84"/>
        <v>Dataset 3</v>
      </c>
      <c r="C946" s="23">
        <f>IFERROR(MATCH($A946,Merge_1_2!$A$2:$A$611,0),0)</f>
        <v>0</v>
      </c>
      <c r="D946" s="23">
        <f>IF($C946&gt;0,INDEX(Merge_1_2!$Q$2:$Q$611,$C946),0)</f>
        <v>0</v>
      </c>
      <c r="E946" s="23">
        <f>IFERROR(MATCH($A946,Dataset3_Raw!$A$2:$A$391,0),0)</f>
        <v>335</v>
      </c>
      <c r="F946" s="24">
        <f>IF($C946&gt;0,INDEX(Merge_1_2!$B$2:$B$611,$C946),DATE(VALUE(RIGHT(INDEX(Dataset3_Raw!$B$2:$B$391,$E946),4)),VALUE(MID(INDEX(Dataset3_Raw!$B$2:$B$391,$E946),4,2)),VALUE(LEFT(INDEX(Dataset3_Raw!$B$2:$B$391,$E946),2))))</f>
        <v>40585</v>
      </c>
      <c r="G946" s="23">
        <f>IF($C946&gt;0,INDEX(Merge_1_2!$C$2:$C$611,$C946),INDEX(Dataset3_Raw!$C$2:$C$391,$E946))</f>
        <v>1</v>
      </c>
      <c r="H946" s="23">
        <f>IF($C946&gt;0,INDEX(Merge_1_2!$D$2:$D$611,$C946),INDEX(Dataset3_Raw!$D$2:$D$391,$E946))</f>
        <v>0</v>
      </c>
      <c r="I946" s="23">
        <f>IF($C946&gt;0,INDEX(Merge_1_2!$E$2:$E$611,$C946),INDEX(Dataset3_Raw!$E$2:$E$391,$E946))</f>
        <v>2</v>
      </c>
      <c r="J946" s="23">
        <f>IF($C946&gt;0,INDEX(Merge_1_2!$F$2:$F$611,$C946),INDEX(Dataset3_Raw!$F$2:$F$391,$E946))</f>
        <v>23</v>
      </c>
      <c r="K946" s="23" t="b">
        <f>IF($C946&gt;0,INDEX(Merge_1_2!$G$2:$G$611,$C946),INDEX(Dataset3_Raw!$G$2:$G$391,$E946))</f>
        <v>0</v>
      </c>
      <c r="L946" s="23">
        <f>IF($C946&gt;0,INDEX(Merge_1_2!$H$2:$H$611,$C946),INDEX(Dataset3_Raw!$H$2:$H$391,$E946))</f>
        <v>5</v>
      </c>
      <c r="M946" s="23">
        <f>IF($C946&gt;0,INDEX(Merge_1_2!$I$2:$I$611,$C946),INDEX(Dataset3_Raw!$I$2:$I$391,$E946))</f>
        <v>1</v>
      </c>
      <c r="N946" s="25">
        <f>IF($C946&gt;0,INDEX(Merge_1_2!$J$2:$J$611,$C946),INDEX(Dataset3_Raw!$J$2:$J$391,$E946))</f>
        <v>0.18</v>
      </c>
      <c r="O946" s="25">
        <f>IF($C946&gt;0,IF(ISNUMBER(INDEX(Merge_1_2!$K$2:$K$611,$C946)),INDEX(Merge_1_2!$K$2:$K$611,$C946),""),INDEX(Dataset3_Raw!$K$2:$K$391,$E946))</f>
        <v>0.2424</v>
      </c>
      <c r="P946" s="25">
        <f>IF(ISNUMBER($O946),$O946,ROUND(Lookups!$B$25+Lookups!$B$24*$N946,4))</f>
        <v>0.2424</v>
      </c>
      <c r="Q946" s="25">
        <f>IF($C946&gt;0,INDEX(Merge_1_2!$L$2:$L$611,$C946),INDEX(Dataset3_Raw!$L$2:$L$391,$E946))</f>
        <v>0.69</v>
      </c>
      <c r="R946" s="25">
        <f>IF($C946&gt;0,INDEX(Merge_1_2!$M$2:$M$611,$C946),INDEX(Dataset3_Raw!$M$2:$M$391,$E946))</f>
        <v>0</v>
      </c>
      <c r="S946" s="23">
        <f>IF($C946&gt;0,INDEX(Merge_1_2!$N$2:$N$611,$C946),INDEX(Dataset3_Raw!$N$2:$N$391,$E946))</f>
        <v>5</v>
      </c>
      <c r="T946" s="23">
        <f>IF($C946&gt;0,INDEX(Merge_1_2!$O$2:$O$611,$C946),INDEX(Dataset3_Raw!$O$2:$O$391,$E946))</f>
        <v>48</v>
      </c>
      <c r="U946" s="23">
        <f>IF($C946&gt;0,INDEX(Merge_1_2!$P$2:$P$611,$C946),INDEX(Dataset3_Raw!$P$2:$P$391,$E946))</f>
        <v>53</v>
      </c>
      <c r="V946" s="23" t="str">
        <f t="shared" si="85"/>
        <v>Weekday</v>
      </c>
      <c r="W946" s="23" t="str">
        <f>VLOOKUP($M946,Lookups!$A$5:$B$8,2,FALSE())</f>
        <v>Clear / Partly cloudy</v>
      </c>
      <c r="X946" s="23" t="str">
        <f>VLOOKUP($G946,Lookups!$D$5:$E$8,2,FALSE())</f>
        <v>Winter</v>
      </c>
      <c r="Y946" s="23" t="str">
        <f>VLOOKUP($L946,Lookups!$G$5:$H$11,2,FALSE())</f>
        <v>Friday</v>
      </c>
      <c r="Z946" s="23" t="str">
        <f>IF($J946&lt;Lookups!$B$26,"Night",IF($J946&lt;Lookups!$B$27,"Morning",IF($J946&lt;Lookups!$B$28,"Afternoon","Evening")))</f>
        <v>Evening</v>
      </c>
      <c r="AA946" s="26">
        <f>ROUND($N946*(Lookups!$B$16-Lookups!$B$15)+Lookups!$B$15,1)</f>
        <v>0.5</v>
      </c>
      <c r="AB946" s="26">
        <f>ROUND($P946*(Lookups!$B$18-Lookups!$B$17)+Lookups!$B$17,1)</f>
        <v>0</v>
      </c>
      <c r="AC946" s="23">
        <f t="shared" si="86"/>
        <v>69</v>
      </c>
      <c r="AD946" s="23">
        <f>ROUND($R946*Lookups!$B$19,1)</f>
        <v>0</v>
      </c>
      <c r="AE946" s="27">
        <f t="shared" si="87"/>
        <v>0.90566037735849059</v>
      </c>
      <c r="AF946" s="23" t="str">
        <f>IF($U946&gt;=Lookups!$B$23,"High",IF($U946&gt;=Lookups!$B$22,"Medium","Low"))</f>
        <v>Medium</v>
      </c>
      <c r="AG946" s="23">
        <f>ROUND(IF($V946="Weekday",IF(INDEX(Hourly_Analysis!$D$5:$D$28,$J946+1)&gt;0,($U946-INDEX(Hourly_Analysis!$C$5:$C$28,$J946+1))/INDEX(Hourly_Analysis!$D$5:$D$28,$J946+1),0),IF(INDEX(Hourly_Analysis!$G$5:$G$28,$J946+1)&gt;0,($U946-INDEX(Hourly_Analysis!$F$5:$F$28,$J946+1))/INDEX(Hourly_Analysis!$G$5:$G$28,$J946+1),0)),2)</f>
        <v>2.88</v>
      </c>
      <c r="AH946" s="23" t="str">
        <f>IF(ABS($AG946)&gt;Lookups!$B$20,IF($AG946&gt;0,"High anomaly","Low anomaly"),"")</f>
        <v/>
      </c>
      <c r="AI946" s="23" t="str">
        <f t="shared" si="88"/>
        <v>OK</v>
      </c>
      <c r="AJ946" s="23" t="str">
        <f t="shared" si="89"/>
        <v>No</v>
      </c>
    </row>
    <row r="947" spans="1:36" x14ac:dyDescent="0.35">
      <c r="A947" s="23">
        <v>946</v>
      </c>
      <c r="B947" s="23" t="str">
        <f t="shared" si="84"/>
        <v>Dataset 3</v>
      </c>
      <c r="C947" s="23">
        <f>IFERROR(MATCH($A947,Merge_1_2!$A$2:$A$611,0),0)</f>
        <v>0</v>
      </c>
      <c r="D947" s="23">
        <f>IF($C947&gt;0,INDEX(Merge_1_2!$Q$2:$Q$611,$C947),0)</f>
        <v>0</v>
      </c>
      <c r="E947" s="23">
        <f>IFERROR(MATCH($A947,Dataset3_Raw!$A$2:$A$391,0),0)</f>
        <v>336</v>
      </c>
      <c r="F947" s="24">
        <f>IF($C947&gt;0,INDEX(Merge_1_2!$B$2:$B$611,$C947),DATE(VALUE(RIGHT(INDEX(Dataset3_Raw!$B$2:$B$391,$E947),4)),VALUE(MID(INDEX(Dataset3_Raw!$B$2:$B$391,$E947),4,2)),VALUE(LEFT(INDEX(Dataset3_Raw!$B$2:$B$391,$E947),2))))</f>
        <v>40586</v>
      </c>
      <c r="G947" s="23">
        <f>IF($C947&gt;0,INDEX(Merge_1_2!$C$2:$C$611,$C947),INDEX(Dataset3_Raw!$C$2:$C$391,$E947))</f>
        <v>1</v>
      </c>
      <c r="H947" s="23">
        <f>IF($C947&gt;0,INDEX(Merge_1_2!$D$2:$D$611,$C947),INDEX(Dataset3_Raw!$D$2:$D$391,$E947))</f>
        <v>0</v>
      </c>
      <c r="I947" s="23">
        <f>IF($C947&gt;0,INDEX(Merge_1_2!$E$2:$E$611,$C947),INDEX(Dataset3_Raw!$E$2:$E$391,$E947))</f>
        <v>2</v>
      </c>
      <c r="J947" s="23">
        <f>IF($C947&gt;0,INDEX(Merge_1_2!$F$2:$F$611,$C947),INDEX(Dataset3_Raw!$F$2:$F$391,$E947))</f>
        <v>0</v>
      </c>
      <c r="K947" s="23" t="b">
        <f>IF($C947&gt;0,INDEX(Merge_1_2!$G$2:$G$611,$C947),INDEX(Dataset3_Raw!$G$2:$G$391,$E947))</f>
        <v>0</v>
      </c>
      <c r="L947" s="23">
        <f>IF($C947&gt;0,INDEX(Merge_1_2!$H$2:$H$611,$C947),INDEX(Dataset3_Raw!$H$2:$H$391,$E947))</f>
        <v>6</v>
      </c>
      <c r="M947" s="23">
        <f>IF($C947&gt;0,INDEX(Merge_1_2!$I$2:$I$611,$C947),INDEX(Dataset3_Raw!$I$2:$I$391,$E947))</f>
        <v>1</v>
      </c>
      <c r="N947" s="25">
        <f>IF($C947&gt;0,INDEX(Merge_1_2!$J$2:$J$611,$C947),INDEX(Dataset3_Raw!$J$2:$J$391,$E947))</f>
        <v>0.16</v>
      </c>
      <c r="O947" s="25">
        <f>IF($C947&gt;0,IF(ISNUMBER(INDEX(Merge_1_2!$K$2:$K$611,$C947)),INDEX(Merge_1_2!$K$2:$K$611,$C947),""),INDEX(Dataset3_Raw!$K$2:$K$391,$E947))</f>
        <v>0.19700000000000001</v>
      </c>
      <c r="P947" s="25">
        <f>IF(ISNUMBER($O947),$O947,ROUND(Lookups!$B$25+Lookups!$B$24*$N947,4))</f>
        <v>0.19700000000000001</v>
      </c>
      <c r="Q947" s="25">
        <f>IF($C947&gt;0,INDEX(Merge_1_2!$L$2:$L$611,$C947),INDEX(Dataset3_Raw!$L$2:$L$391,$E947))</f>
        <v>0.69</v>
      </c>
      <c r="R947" s="25">
        <f>IF($C947&gt;0,INDEX(Merge_1_2!$M$2:$M$611,$C947),INDEX(Dataset3_Raw!$M$2:$M$391,$E947))</f>
        <v>8.9599999999999999E-2</v>
      </c>
      <c r="S947" s="23">
        <f>IF($C947&gt;0,INDEX(Merge_1_2!$N$2:$N$611,$C947),INDEX(Dataset3_Raw!$N$2:$N$391,$E947))</f>
        <v>3</v>
      </c>
      <c r="T947" s="23">
        <f>IF($C947&gt;0,INDEX(Merge_1_2!$O$2:$O$611,$C947),INDEX(Dataset3_Raw!$O$2:$O$391,$E947))</f>
        <v>27</v>
      </c>
      <c r="U947" s="23">
        <f>IF($C947&gt;0,INDEX(Merge_1_2!$P$2:$P$611,$C947),INDEX(Dataset3_Raw!$P$2:$P$391,$E947))</f>
        <v>30</v>
      </c>
      <c r="V947" s="23" t="str">
        <f t="shared" si="85"/>
        <v>Weekend</v>
      </c>
      <c r="W947" s="23" t="str">
        <f>VLOOKUP($M947,Lookups!$A$5:$B$8,2,FALSE())</f>
        <v>Clear / Partly cloudy</v>
      </c>
      <c r="X947" s="23" t="str">
        <f>VLOOKUP($G947,Lookups!$D$5:$E$8,2,FALSE())</f>
        <v>Winter</v>
      </c>
      <c r="Y947" s="23" t="str">
        <f>VLOOKUP($L947,Lookups!$G$5:$H$11,2,FALSE())</f>
        <v>Saturday</v>
      </c>
      <c r="Z947" s="23" t="str">
        <f>IF($J947&lt;Lookups!$B$26,"Night",IF($J947&lt;Lookups!$B$27,"Morning",IF($J947&lt;Lookups!$B$28,"Afternoon","Evening")))</f>
        <v>Night</v>
      </c>
      <c r="AA947" s="26">
        <f>ROUND($N947*(Lookups!$B$16-Lookups!$B$15)+Lookups!$B$15,1)</f>
        <v>-0.5</v>
      </c>
      <c r="AB947" s="26">
        <f>ROUND($P947*(Lookups!$B$18-Lookups!$B$17)+Lookups!$B$17,1)</f>
        <v>-3</v>
      </c>
      <c r="AC947" s="23">
        <f t="shared" si="86"/>
        <v>69</v>
      </c>
      <c r="AD947" s="23">
        <f>ROUND($R947*Lookups!$B$19,1)</f>
        <v>6</v>
      </c>
      <c r="AE947" s="27">
        <f t="shared" si="87"/>
        <v>0.9</v>
      </c>
      <c r="AF947" s="23" t="str">
        <f>IF($U947&gt;=Lookups!$B$23,"High",IF($U947&gt;=Lookups!$B$22,"Medium","Low"))</f>
        <v>Medium</v>
      </c>
      <c r="AG947" s="23">
        <f>ROUND(IF($V947="Weekday",IF(INDEX(Hourly_Analysis!$D$5:$D$28,$J947+1)&gt;0,($U947-INDEX(Hourly_Analysis!$C$5:$C$28,$J947+1))/INDEX(Hourly_Analysis!$D$5:$D$28,$J947+1),0),IF(INDEX(Hourly_Analysis!$G$5:$G$28,$J947+1)&gt;0,($U947-INDEX(Hourly_Analysis!$F$5:$F$28,$J947+1))/INDEX(Hourly_Analysis!$G$5:$G$28,$J947+1),0)),2)</f>
        <v>0.28999999999999998</v>
      </c>
      <c r="AH947" s="23" t="str">
        <f>IF(ABS($AG947)&gt;Lookups!$B$20,IF($AG947&gt;0,"High anomaly","Low anomaly"),"")</f>
        <v/>
      </c>
      <c r="AI947" s="23" t="str">
        <f t="shared" si="88"/>
        <v>OK</v>
      </c>
      <c r="AJ947" s="23" t="str">
        <f t="shared" si="89"/>
        <v>No</v>
      </c>
    </row>
    <row r="948" spans="1:36" x14ac:dyDescent="0.35">
      <c r="A948" s="23">
        <v>947</v>
      </c>
      <c r="B948" s="23" t="str">
        <f t="shared" si="84"/>
        <v>Dataset 3</v>
      </c>
      <c r="C948" s="23">
        <f>IFERROR(MATCH($A948,Merge_1_2!$A$2:$A$611,0),0)</f>
        <v>0</v>
      </c>
      <c r="D948" s="23">
        <f>IF($C948&gt;0,INDEX(Merge_1_2!$Q$2:$Q$611,$C948),0)</f>
        <v>0</v>
      </c>
      <c r="E948" s="23">
        <f>IFERROR(MATCH($A948,Dataset3_Raw!$A$2:$A$391,0),0)</f>
        <v>337</v>
      </c>
      <c r="F948" s="24">
        <f>IF($C948&gt;0,INDEX(Merge_1_2!$B$2:$B$611,$C948),DATE(VALUE(RIGHT(INDEX(Dataset3_Raw!$B$2:$B$391,$E948),4)),VALUE(MID(INDEX(Dataset3_Raw!$B$2:$B$391,$E948),4,2)),VALUE(LEFT(INDEX(Dataset3_Raw!$B$2:$B$391,$E948),2))))</f>
        <v>40586</v>
      </c>
      <c r="G948" s="23">
        <f>IF($C948&gt;0,INDEX(Merge_1_2!$C$2:$C$611,$C948),INDEX(Dataset3_Raw!$C$2:$C$391,$E948))</f>
        <v>1</v>
      </c>
      <c r="H948" s="23">
        <f>IF($C948&gt;0,INDEX(Merge_1_2!$D$2:$D$611,$C948),INDEX(Dataset3_Raw!$D$2:$D$391,$E948))</f>
        <v>0</v>
      </c>
      <c r="I948" s="23">
        <f>IF($C948&gt;0,INDEX(Merge_1_2!$E$2:$E$611,$C948),INDEX(Dataset3_Raw!$E$2:$E$391,$E948))</f>
        <v>2</v>
      </c>
      <c r="J948" s="23">
        <f>IF($C948&gt;0,INDEX(Merge_1_2!$F$2:$F$611,$C948),INDEX(Dataset3_Raw!$F$2:$F$391,$E948))</f>
        <v>1</v>
      </c>
      <c r="K948" s="23" t="b">
        <f>IF($C948&gt;0,INDEX(Merge_1_2!$G$2:$G$611,$C948),INDEX(Dataset3_Raw!$G$2:$G$391,$E948))</f>
        <v>0</v>
      </c>
      <c r="L948" s="23">
        <f>IF($C948&gt;0,INDEX(Merge_1_2!$H$2:$H$611,$C948),INDEX(Dataset3_Raw!$H$2:$H$391,$E948))</f>
        <v>6</v>
      </c>
      <c r="M948" s="23">
        <f>IF($C948&gt;0,INDEX(Merge_1_2!$I$2:$I$611,$C948),INDEX(Dataset3_Raw!$I$2:$I$391,$E948))</f>
        <v>1</v>
      </c>
      <c r="N948" s="25">
        <f>IF($C948&gt;0,INDEX(Merge_1_2!$J$2:$J$611,$C948),INDEX(Dataset3_Raw!$J$2:$J$391,$E948))</f>
        <v>0.14000000000000001</v>
      </c>
      <c r="O948" s="25">
        <f>IF($C948&gt;0,IF(ISNUMBER(INDEX(Merge_1_2!$K$2:$K$611,$C948)),INDEX(Merge_1_2!$K$2:$K$611,$C948),""),INDEX(Dataset3_Raw!$K$2:$K$391,$E948))</f>
        <v>0.21210000000000001</v>
      </c>
      <c r="P948" s="25">
        <f>IF(ISNUMBER($O948),$O948,ROUND(Lookups!$B$25+Lookups!$B$24*$N948,4))</f>
        <v>0.21210000000000001</v>
      </c>
      <c r="Q948" s="25">
        <f>IF($C948&gt;0,INDEX(Merge_1_2!$L$2:$L$611,$C948),INDEX(Dataset3_Raw!$L$2:$L$391,$E948))</f>
        <v>0.86</v>
      </c>
      <c r="R948" s="25">
        <f>IF($C948&gt;0,INDEX(Merge_1_2!$M$2:$M$611,$C948),INDEX(Dataset3_Raw!$M$2:$M$391,$E948))</f>
        <v>0</v>
      </c>
      <c r="S948" s="23">
        <f>IF($C948&gt;0,INDEX(Merge_1_2!$N$2:$N$611,$C948),INDEX(Dataset3_Raw!$N$2:$N$391,$E948))</f>
        <v>2</v>
      </c>
      <c r="T948" s="23">
        <f>IF($C948&gt;0,INDEX(Merge_1_2!$O$2:$O$611,$C948),INDEX(Dataset3_Raw!$O$2:$O$391,$E948))</f>
        <v>22</v>
      </c>
      <c r="U948" s="23">
        <f>IF($C948&gt;0,INDEX(Merge_1_2!$P$2:$P$611,$C948),INDEX(Dataset3_Raw!$P$2:$P$391,$E948))</f>
        <v>24</v>
      </c>
      <c r="V948" s="23" t="str">
        <f t="shared" si="85"/>
        <v>Weekend</v>
      </c>
      <c r="W948" s="23" t="str">
        <f>VLOOKUP($M948,Lookups!$A$5:$B$8,2,FALSE())</f>
        <v>Clear / Partly cloudy</v>
      </c>
      <c r="X948" s="23" t="str">
        <f>VLOOKUP($G948,Lookups!$D$5:$E$8,2,FALSE())</f>
        <v>Winter</v>
      </c>
      <c r="Y948" s="23" t="str">
        <f>VLOOKUP($L948,Lookups!$G$5:$H$11,2,FALSE())</f>
        <v>Saturday</v>
      </c>
      <c r="Z948" s="23" t="str">
        <f>IF($J948&lt;Lookups!$B$26,"Night",IF($J948&lt;Lookups!$B$27,"Morning",IF($J948&lt;Lookups!$B$28,"Afternoon","Evening")))</f>
        <v>Night</v>
      </c>
      <c r="AA948" s="26">
        <f>ROUND($N948*(Lookups!$B$16-Lookups!$B$15)+Lookups!$B$15,1)</f>
        <v>-1.4</v>
      </c>
      <c r="AB948" s="26">
        <f>ROUND($P948*(Lookups!$B$18-Lookups!$B$17)+Lookups!$B$17,1)</f>
        <v>-2</v>
      </c>
      <c r="AC948" s="23">
        <f t="shared" si="86"/>
        <v>86</v>
      </c>
      <c r="AD948" s="23">
        <f>ROUND($R948*Lookups!$B$19,1)</f>
        <v>0</v>
      </c>
      <c r="AE948" s="27">
        <f t="shared" si="87"/>
        <v>0.91666666666666663</v>
      </c>
      <c r="AF948" s="23" t="str">
        <f>IF($U948&gt;=Lookups!$B$23,"High",IF($U948&gt;=Lookups!$B$22,"Medium","Low"))</f>
        <v>Medium</v>
      </c>
      <c r="AG948" s="23">
        <f>ROUND(IF($V948="Weekday",IF(INDEX(Hourly_Analysis!$D$5:$D$28,$J948+1)&gt;0,($U948-INDEX(Hourly_Analysis!$C$5:$C$28,$J948+1))/INDEX(Hourly_Analysis!$D$5:$D$28,$J948+1),0),IF(INDEX(Hourly_Analysis!$G$5:$G$28,$J948+1)&gt;0,($U948-INDEX(Hourly_Analysis!$F$5:$F$28,$J948+1))/INDEX(Hourly_Analysis!$G$5:$G$28,$J948+1),0)),2)</f>
        <v>0.22</v>
      </c>
      <c r="AH948" s="23" t="str">
        <f>IF(ABS($AG948)&gt;Lookups!$B$20,IF($AG948&gt;0,"High anomaly","Low anomaly"),"")</f>
        <v/>
      </c>
      <c r="AI948" s="23" t="str">
        <f t="shared" si="88"/>
        <v>OK</v>
      </c>
      <c r="AJ948" s="23" t="str">
        <f t="shared" si="89"/>
        <v>No</v>
      </c>
    </row>
    <row r="949" spans="1:36" x14ac:dyDescent="0.35">
      <c r="A949" s="23">
        <v>948</v>
      </c>
      <c r="B949" s="23" t="str">
        <f t="shared" si="84"/>
        <v>Dataset 3</v>
      </c>
      <c r="C949" s="23">
        <f>IFERROR(MATCH($A949,Merge_1_2!$A$2:$A$611,0),0)</f>
        <v>0</v>
      </c>
      <c r="D949" s="23">
        <f>IF($C949&gt;0,INDEX(Merge_1_2!$Q$2:$Q$611,$C949),0)</f>
        <v>0</v>
      </c>
      <c r="E949" s="23">
        <f>IFERROR(MATCH($A949,Dataset3_Raw!$A$2:$A$391,0),0)</f>
        <v>338</v>
      </c>
      <c r="F949" s="24">
        <f>IF($C949&gt;0,INDEX(Merge_1_2!$B$2:$B$611,$C949),DATE(VALUE(RIGHT(INDEX(Dataset3_Raw!$B$2:$B$391,$E949),4)),VALUE(MID(INDEX(Dataset3_Raw!$B$2:$B$391,$E949),4,2)),VALUE(LEFT(INDEX(Dataset3_Raw!$B$2:$B$391,$E949),2))))</f>
        <v>40586</v>
      </c>
      <c r="G949" s="23">
        <f>IF($C949&gt;0,INDEX(Merge_1_2!$C$2:$C$611,$C949),INDEX(Dataset3_Raw!$C$2:$C$391,$E949))</f>
        <v>1</v>
      </c>
      <c r="H949" s="23">
        <f>IF($C949&gt;0,INDEX(Merge_1_2!$D$2:$D$611,$C949),INDEX(Dataset3_Raw!$D$2:$D$391,$E949))</f>
        <v>0</v>
      </c>
      <c r="I949" s="23">
        <f>IF($C949&gt;0,INDEX(Merge_1_2!$E$2:$E$611,$C949),INDEX(Dataset3_Raw!$E$2:$E$391,$E949))</f>
        <v>2</v>
      </c>
      <c r="J949" s="23">
        <f>IF($C949&gt;0,INDEX(Merge_1_2!$F$2:$F$611,$C949),INDEX(Dataset3_Raw!$F$2:$F$391,$E949))</f>
        <v>2</v>
      </c>
      <c r="K949" s="23" t="b">
        <f>IF($C949&gt;0,INDEX(Merge_1_2!$G$2:$G$611,$C949),INDEX(Dataset3_Raw!$G$2:$G$391,$E949))</f>
        <v>0</v>
      </c>
      <c r="L949" s="23">
        <f>IF($C949&gt;0,INDEX(Merge_1_2!$H$2:$H$611,$C949),INDEX(Dataset3_Raw!$H$2:$H$391,$E949))</f>
        <v>6</v>
      </c>
      <c r="M949" s="23">
        <f>IF($C949&gt;0,INDEX(Merge_1_2!$I$2:$I$611,$C949),INDEX(Dataset3_Raw!$I$2:$I$391,$E949))</f>
        <v>1</v>
      </c>
      <c r="N949" s="25">
        <f>IF($C949&gt;0,INDEX(Merge_1_2!$J$2:$J$611,$C949),INDEX(Dataset3_Raw!$J$2:$J$391,$E949))</f>
        <v>0.14000000000000001</v>
      </c>
      <c r="O949" s="25">
        <f>IF($C949&gt;0,IF(ISNUMBER(INDEX(Merge_1_2!$K$2:$K$611,$C949)),INDEX(Merge_1_2!$K$2:$K$611,$C949),""),INDEX(Dataset3_Raw!$K$2:$K$391,$E949))</f>
        <v>0.21210000000000001</v>
      </c>
      <c r="P949" s="25">
        <f>IF(ISNUMBER($O949),$O949,ROUND(Lookups!$B$25+Lookups!$B$24*$N949,4))</f>
        <v>0.21210000000000001</v>
      </c>
      <c r="Q949" s="25">
        <f>IF($C949&gt;0,INDEX(Merge_1_2!$L$2:$L$611,$C949),INDEX(Dataset3_Raw!$L$2:$L$391,$E949))</f>
        <v>0.8</v>
      </c>
      <c r="R949" s="25">
        <f>IF($C949&gt;0,INDEX(Merge_1_2!$M$2:$M$611,$C949),INDEX(Dataset3_Raw!$M$2:$M$391,$E949))</f>
        <v>0</v>
      </c>
      <c r="S949" s="23">
        <f>IF($C949&gt;0,INDEX(Merge_1_2!$N$2:$N$611,$C949),INDEX(Dataset3_Raw!$N$2:$N$391,$E949))</f>
        <v>2</v>
      </c>
      <c r="T949" s="23">
        <f>IF($C949&gt;0,INDEX(Merge_1_2!$O$2:$O$611,$C949),INDEX(Dataset3_Raw!$O$2:$O$391,$E949))</f>
        <v>13</v>
      </c>
      <c r="U949" s="23">
        <f>IF($C949&gt;0,INDEX(Merge_1_2!$P$2:$P$611,$C949),INDEX(Dataset3_Raw!$P$2:$P$391,$E949))</f>
        <v>15</v>
      </c>
      <c r="V949" s="23" t="str">
        <f t="shared" si="85"/>
        <v>Weekend</v>
      </c>
      <c r="W949" s="23" t="str">
        <f>VLOOKUP($M949,Lookups!$A$5:$B$8,2,FALSE())</f>
        <v>Clear / Partly cloudy</v>
      </c>
      <c r="X949" s="23" t="str">
        <f>VLOOKUP($G949,Lookups!$D$5:$E$8,2,FALSE())</f>
        <v>Winter</v>
      </c>
      <c r="Y949" s="23" t="str">
        <f>VLOOKUP($L949,Lookups!$G$5:$H$11,2,FALSE())</f>
        <v>Saturday</v>
      </c>
      <c r="Z949" s="23" t="str">
        <f>IF($J949&lt;Lookups!$B$26,"Night",IF($J949&lt;Lookups!$B$27,"Morning",IF($J949&lt;Lookups!$B$28,"Afternoon","Evening")))</f>
        <v>Night</v>
      </c>
      <c r="AA949" s="26">
        <f>ROUND($N949*(Lookups!$B$16-Lookups!$B$15)+Lookups!$B$15,1)</f>
        <v>-1.4</v>
      </c>
      <c r="AB949" s="26">
        <f>ROUND($P949*(Lookups!$B$18-Lookups!$B$17)+Lookups!$B$17,1)</f>
        <v>-2</v>
      </c>
      <c r="AC949" s="23">
        <f t="shared" si="86"/>
        <v>80</v>
      </c>
      <c r="AD949" s="23">
        <f>ROUND($R949*Lookups!$B$19,1)</f>
        <v>0</v>
      </c>
      <c r="AE949" s="27">
        <f t="shared" si="87"/>
        <v>0.8666666666666667</v>
      </c>
      <c r="AF949" s="23" t="str">
        <f>IF($U949&gt;=Lookups!$B$23,"High",IF($U949&gt;=Lookups!$B$22,"Medium","Low"))</f>
        <v>Low</v>
      </c>
      <c r="AG949" s="23">
        <f>ROUND(IF($V949="Weekday",IF(INDEX(Hourly_Analysis!$D$5:$D$28,$J949+1)&gt;0,($U949-INDEX(Hourly_Analysis!$C$5:$C$28,$J949+1))/INDEX(Hourly_Analysis!$D$5:$D$28,$J949+1),0),IF(INDEX(Hourly_Analysis!$G$5:$G$28,$J949+1)&gt;0,($U949-INDEX(Hourly_Analysis!$F$5:$F$28,$J949+1))/INDEX(Hourly_Analysis!$G$5:$G$28,$J949+1),0)),2)</f>
        <v>-7.0000000000000007E-2</v>
      </c>
      <c r="AH949" s="23" t="str">
        <f>IF(ABS($AG949)&gt;Lookups!$B$20,IF($AG949&gt;0,"High anomaly","Low anomaly"),"")</f>
        <v/>
      </c>
      <c r="AI949" s="23" t="str">
        <f t="shared" si="88"/>
        <v>OK</v>
      </c>
      <c r="AJ949" s="23" t="str">
        <f t="shared" si="89"/>
        <v>No</v>
      </c>
    </row>
    <row r="950" spans="1:36" x14ac:dyDescent="0.35">
      <c r="A950" s="23">
        <v>949</v>
      </c>
      <c r="B950" s="23" t="str">
        <f t="shared" si="84"/>
        <v>Dataset 3</v>
      </c>
      <c r="C950" s="23">
        <f>IFERROR(MATCH($A950,Merge_1_2!$A$2:$A$611,0),0)</f>
        <v>0</v>
      </c>
      <c r="D950" s="23">
        <f>IF($C950&gt;0,INDEX(Merge_1_2!$Q$2:$Q$611,$C950),0)</f>
        <v>0</v>
      </c>
      <c r="E950" s="23">
        <f>IFERROR(MATCH($A950,Dataset3_Raw!$A$2:$A$391,0),0)</f>
        <v>339</v>
      </c>
      <c r="F950" s="24">
        <f>IF($C950&gt;0,INDEX(Merge_1_2!$B$2:$B$611,$C950),DATE(VALUE(RIGHT(INDEX(Dataset3_Raw!$B$2:$B$391,$E950),4)),VALUE(MID(INDEX(Dataset3_Raw!$B$2:$B$391,$E950),4,2)),VALUE(LEFT(INDEX(Dataset3_Raw!$B$2:$B$391,$E950),2))))</f>
        <v>40586</v>
      </c>
      <c r="G950" s="23">
        <f>IF($C950&gt;0,INDEX(Merge_1_2!$C$2:$C$611,$C950),INDEX(Dataset3_Raw!$C$2:$C$391,$E950))</f>
        <v>1</v>
      </c>
      <c r="H950" s="23">
        <f>IF($C950&gt;0,INDEX(Merge_1_2!$D$2:$D$611,$C950),INDEX(Dataset3_Raw!$D$2:$D$391,$E950))</f>
        <v>0</v>
      </c>
      <c r="I950" s="23">
        <f>IF($C950&gt;0,INDEX(Merge_1_2!$E$2:$E$611,$C950),INDEX(Dataset3_Raw!$E$2:$E$391,$E950))</f>
        <v>2</v>
      </c>
      <c r="J950" s="23">
        <f>IF($C950&gt;0,INDEX(Merge_1_2!$F$2:$F$611,$C950),INDEX(Dataset3_Raw!$F$2:$F$391,$E950))</f>
        <v>3</v>
      </c>
      <c r="K950" s="23" t="b">
        <f>IF($C950&gt;0,INDEX(Merge_1_2!$G$2:$G$611,$C950),INDEX(Dataset3_Raw!$G$2:$G$391,$E950))</f>
        <v>0</v>
      </c>
      <c r="L950" s="23">
        <f>IF($C950&gt;0,INDEX(Merge_1_2!$H$2:$H$611,$C950),INDEX(Dataset3_Raw!$H$2:$H$391,$E950))</f>
        <v>6</v>
      </c>
      <c r="M950" s="23">
        <f>IF($C950&gt;0,INDEX(Merge_1_2!$I$2:$I$611,$C950),INDEX(Dataset3_Raw!$I$2:$I$391,$E950))</f>
        <v>1</v>
      </c>
      <c r="N950" s="25">
        <f>IF($C950&gt;0,INDEX(Merge_1_2!$J$2:$J$611,$C950),INDEX(Dataset3_Raw!$J$2:$J$391,$E950))</f>
        <v>0.12</v>
      </c>
      <c r="O950" s="25">
        <f>IF($C950&gt;0,IF(ISNUMBER(INDEX(Merge_1_2!$K$2:$K$611,$C950)),INDEX(Merge_1_2!$K$2:$K$611,$C950),""),INDEX(Dataset3_Raw!$K$2:$K$391,$E950))</f>
        <v>0.19700000000000001</v>
      </c>
      <c r="P950" s="25">
        <f>IF(ISNUMBER($O950),$O950,ROUND(Lookups!$B$25+Lookups!$B$24*$N950,4))</f>
        <v>0.19700000000000001</v>
      </c>
      <c r="Q950" s="25">
        <f>IF($C950&gt;0,INDEX(Merge_1_2!$L$2:$L$611,$C950),INDEX(Dataset3_Raw!$L$2:$L$391,$E950))</f>
        <v>0.8</v>
      </c>
      <c r="R950" s="25">
        <f>IF($C950&gt;0,INDEX(Merge_1_2!$M$2:$M$611,$C950),INDEX(Dataset3_Raw!$M$2:$M$391,$E950))</f>
        <v>0</v>
      </c>
      <c r="S950" s="23">
        <f>IF($C950&gt;0,INDEX(Merge_1_2!$N$2:$N$611,$C950),INDEX(Dataset3_Raw!$N$2:$N$391,$E950))</f>
        <v>3</v>
      </c>
      <c r="T950" s="23">
        <f>IF($C950&gt;0,INDEX(Merge_1_2!$O$2:$O$611,$C950),INDEX(Dataset3_Raw!$O$2:$O$391,$E950))</f>
        <v>7</v>
      </c>
      <c r="U950" s="23">
        <f>IF($C950&gt;0,INDEX(Merge_1_2!$P$2:$P$611,$C950),INDEX(Dataset3_Raw!$P$2:$P$391,$E950))</f>
        <v>10</v>
      </c>
      <c r="V950" s="23" t="str">
        <f t="shared" si="85"/>
        <v>Weekend</v>
      </c>
      <c r="W950" s="23" t="str">
        <f>VLOOKUP($M950,Lookups!$A$5:$B$8,2,FALSE())</f>
        <v>Clear / Partly cloudy</v>
      </c>
      <c r="X950" s="23" t="str">
        <f>VLOOKUP($G950,Lookups!$D$5:$E$8,2,FALSE())</f>
        <v>Winter</v>
      </c>
      <c r="Y950" s="23" t="str">
        <f>VLOOKUP($L950,Lookups!$G$5:$H$11,2,FALSE())</f>
        <v>Saturday</v>
      </c>
      <c r="Z950" s="23" t="str">
        <f>IF($J950&lt;Lookups!$B$26,"Night",IF($J950&lt;Lookups!$B$27,"Morning",IF($J950&lt;Lookups!$B$28,"Afternoon","Evening")))</f>
        <v>Night</v>
      </c>
      <c r="AA950" s="26">
        <f>ROUND($N950*(Lookups!$B$16-Lookups!$B$15)+Lookups!$B$15,1)</f>
        <v>-2.4</v>
      </c>
      <c r="AB950" s="26">
        <f>ROUND($P950*(Lookups!$B$18-Lookups!$B$17)+Lookups!$B$17,1)</f>
        <v>-3</v>
      </c>
      <c r="AC950" s="23">
        <f t="shared" si="86"/>
        <v>80</v>
      </c>
      <c r="AD950" s="23">
        <f>ROUND($R950*Lookups!$B$19,1)</f>
        <v>0</v>
      </c>
      <c r="AE950" s="27">
        <f t="shared" si="87"/>
        <v>0.7</v>
      </c>
      <c r="AF950" s="23" t="str">
        <f>IF($U950&gt;=Lookups!$B$23,"High",IF($U950&gt;=Lookups!$B$22,"Medium","Low"))</f>
        <v>Low</v>
      </c>
      <c r="AG950" s="23">
        <f>ROUND(IF($V950="Weekday",IF(INDEX(Hourly_Analysis!$D$5:$D$28,$J950+1)&gt;0,($U950-INDEX(Hourly_Analysis!$C$5:$C$28,$J950+1))/INDEX(Hourly_Analysis!$D$5:$D$28,$J950+1),0),IF(INDEX(Hourly_Analysis!$G$5:$G$28,$J950+1)&gt;0,($U950-INDEX(Hourly_Analysis!$F$5:$F$28,$J950+1))/INDEX(Hourly_Analysis!$G$5:$G$28,$J950+1),0)),2)</f>
        <v>0.38</v>
      </c>
      <c r="AH950" s="23" t="str">
        <f>IF(ABS($AG950)&gt;Lookups!$B$20,IF($AG950&gt;0,"High anomaly","Low anomaly"),"")</f>
        <v/>
      </c>
      <c r="AI950" s="23" t="str">
        <f t="shared" si="88"/>
        <v>OK</v>
      </c>
      <c r="AJ950" s="23" t="str">
        <f t="shared" si="89"/>
        <v>No</v>
      </c>
    </row>
    <row r="951" spans="1:36" x14ac:dyDescent="0.35">
      <c r="A951" s="23">
        <v>950</v>
      </c>
      <c r="B951" s="23" t="str">
        <f t="shared" si="84"/>
        <v>Dataset 3</v>
      </c>
      <c r="C951" s="23">
        <f>IFERROR(MATCH($A951,Merge_1_2!$A$2:$A$611,0),0)</f>
        <v>0</v>
      </c>
      <c r="D951" s="23">
        <f>IF($C951&gt;0,INDEX(Merge_1_2!$Q$2:$Q$611,$C951),0)</f>
        <v>0</v>
      </c>
      <c r="E951" s="23">
        <f>IFERROR(MATCH($A951,Dataset3_Raw!$A$2:$A$391,0),0)</f>
        <v>340</v>
      </c>
      <c r="F951" s="24">
        <f>IF($C951&gt;0,INDEX(Merge_1_2!$B$2:$B$611,$C951),DATE(VALUE(RIGHT(INDEX(Dataset3_Raw!$B$2:$B$391,$E951),4)),VALUE(MID(INDEX(Dataset3_Raw!$B$2:$B$391,$E951),4,2)),VALUE(LEFT(INDEX(Dataset3_Raw!$B$2:$B$391,$E951),2))))</f>
        <v>40586</v>
      </c>
      <c r="G951" s="23">
        <f>IF($C951&gt;0,INDEX(Merge_1_2!$C$2:$C$611,$C951),INDEX(Dataset3_Raw!$C$2:$C$391,$E951))</f>
        <v>1</v>
      </c>
      <c r="H951" s="23">
        <f>IF($C951&gt;0,INDEX(Merge_1_2!$D$2:$D$611,$C951),INDEX(Dataset3_Raw!$D$2:$D$391,$E951))</f>
        <v>0</v>
      </c>
      <c r="I951" s="23">
        <f>IF($C951&gt;0,INDEX(Merge_1_2!$E$2:$E$611,$C951),INDEX(Dataset3_Raw!$E$2:$E$391,$E951))</f>
        <v>2</v>
      </c>
      <c r="J951" s="23">
        <f>IF($C951&gt;0,INDEX(Merge_1_2!$F$2:$F$611,$C951),INDEX(Dataset3_Raw!$F$2:$F$391,$E951))</f>
        <v>4</v>
      </c>
      <c r="K951" s="23" t="b">
        <f>IF($C951&gt;0,INDEX(Merge_1_2!$G$2:$G$611,$C951),INDEX(Dataset3_Raw!$G$2:$G$391,$E951))</f>
        <v>0</v>
      </c>
      <c r="L951" s="23">
        <f>IF($C951&gt;0,INDEX(Merge_1_2!$H$2:$H$611,$C951),INDEX(Dataset3_Raw!$H$2:$H$391,$E951))</f>
        <v>6</v>
      </c>
      <c r="M951" s="23">
        <f>IF($C951&gt;0,INDEX(Merge_1_2!$I$2:$I$611,$C951),INDEX(Dataset3_Raw!$I$2:$I$391,$E951))</f>
        <v>1</v>
      </c>
      <c r="N951" s="25">
        <f>IF($C951&gt;0,INDEX(Merge_1_2!$J$2:$J$611,$C951),INDEX(Dataset3_Raw!$J$2:$J$391,$E951))</f>
        <v>0.12</v>
      </c>
      <c r="O951" s="25">
        <f>IF($C951&gt;0,IF(ISNUMBER(INDEX(Merge_1_2!$K$2:$K$611,$C951)),INDEX(Merge_1_2!$K$2:$K$611,$C951),""),INDEX(Dataset3_Raw!$K$2:$K$391,$E951))</f>
        <v>0.16669999999999999</v>
      </c>
      <c r="P951" s="25">
        <f>IF(ISNUMBER($O951),$O951,ROUND(Lookups!$B$25+Lookups!$B$24*$N951,4))</f>
        <v>0.16669999999999999</v>
      </c>
      <c r="Q951" s="25">
        <f>IF($C951&gt;0,INDEX(Merge_1_2!$L$2:$L$611,$C951),INDEX(Dataset3_Raw!$L$2:$L$391,$E951))</f>
        <v>0.74</v>
      </c>
      <c r="R951" s="25">
        <f>IF($C951&gt;0,INDEX(Merge_1_2!$M$2:$M$611,$C951),INDEX(Dataset3_Raw!$M$2:$M$391,$E951))</f>
        <v>8.9599999999999999E-2</v>
      </c>
      <c r="S951" s="23">
        <f>IF($C951&gt;0,INDEX(Merge_1_2!$N$2:$N$611,$C951),INDEX(Dataset3_Raw!$N$2:$N$391,$E951))</f>
        <v>0</v>
      </c>
      <c r="T951" s="23">
        <f>IF($C951&gt;0,INDEX(Merge_1_2!$O$2:$O$611,$C951),INDEX(Dataset3_Raw!$O$2:$O$391,$E951))</f>
        <v>4</v>
      </c>
      <c r="U951" s="23">
        <f>IF($C951&gt;0,INDEX(Merge_1_2!$P$2:$P$611,$C951),INDEX(Dataset3_Raw!$P$2:$P$391,$E951))</f>
        <v>4</v>
      </c>
      <c r="V951" s="23" t="str">
        <f t="shared" si="85"/>
        <v>Weekend</v>
      </c>
      <c r="W951" s="23" t="str">
        <f>VLOOKUP($M951,Lookups!$A$5:$B$8,2,FALSE())</f>
        <v>Clear / Partly cloudy</v>
      </c>
      <c r="X951" s="23" t="str">
        <f>VLOOKUP($G951,Lookups!$D$5:$E$8,2,FALSE())</f>
        <v>Winter</v>
      </c>
      <c r="Y951" s="23" t="str">
        <f>VLOOKUP($L951,Lookups!$G$5:$H$11,2,FALSE())</f>
        <v>Saturday</v>
      </c>
      <c r="Z951" s="23" t="str">
        <f>IF($J951&lt;Lookups!$B$26,"Night",IF($J951&lt;Lookups!$B$27,"Morning",IF($J951&lt;Lookups!$B$28,"Afternoon","Evening")))</f>
        <v>Night</v>
      </c>
      <c r="AA951" s="26">
        <f>ROUND($N951*(Lookups!$B$16-Lookups!$B$15)+Lookups!$B$15,1)</f>
        <v>-2.4</v>
      </c>
      <c r="AB951" s="26">
        <f>ROUND($P951*(Lookups!$B$18-Lookups!$B$17)+Lookups!$B$17,1)</f>
        <v>-5</v>
      </c>
      <c r="AC951" s="23">
        <f t="shared" si="86"/>
        <v>74</v>
      </c>
      <c r="AD951" s="23">
        <f>ROUND($R951*Lookups!$B$19,1)</f>
        <v>6</v>
      </c>
      <c r="AE951" s="27">
        <f t="shared" si="87"/>
        <v>1</v>
      </c>
      <c r="AF951" s="23" t="str">
        <f>IF($U951&gt;=Lookups!$B$23,"High",IF($U951&gt;=Lookups!$B$22,"Medium","Low"))</f>
        <v>Low</v>
      </c>
      <c r="AG951" s="23">
        <f>ROUND(IF($V951="Weekday",IF(INDEX(Hourly_Analysis!$D$5:$D$28,$J951+1)&gt;0,($U951-INDEX(Hourly_Analysis!$C$5:$C$28,$J951+1))/INDEX(Hourly_Analysis!$D$5:$D$28,$J951+1),0),IF(INDEX(Hourly_Analysis!$G$5:$G$28,$J951+1)&gt;0,($U951-INDEX(Hourly_Analysis!$F$5:$F$28,$J951+1))/INDEX(Hourly_Analysis!$G$5:$G$28,$J951+1),0)),2)</f>
        <v>0.65</v>
      </c>
      <c r="AH951" s="23" t="str">
        <f>IF(ABS($AG951)&gt;Lookups!$B$20,IF($AG951&gt;0,"High anomaly","Low anomaly"),"")</f>
        <v/>
      </c>
      <c r="AI951" s="23" t="str">
        <f t="shared" si="88"/>
        <v>OK</v>
      </c>
      <c r="AJ951" s="23" t="str">
        <f t="shared" si="89"/>
        <v>No</v>
      </c>
    </row>
    <row r="952" spans="1:36" x14ac:dyDescent="0.35">
      <c r="A952" s="23">
        <v>951</v>
      </c>
      <c r="B952" s="23" t="str">
        <f t="shared" si="84"/>
        <v>Dataset 3</v>
      </c>
      <c r="C952" s="23">
        <f>IFERROR(MATCH($A952,Merge_1_2!$A$2:$A$611,0),0)</f>
        <v>0</v>
      </c>
      <c r="D952" s="23">
        <f>IF($C952&gt;0,INDEX(Merge_1_2!$Q$2:$Q$611,$C952),0)</f>
        <v>0</v>
      </c>
      <c r="E952" s="23">
        <f>IFERROR(MATCH($A952,Dataset3_Raw!$A$2:$A$391,0),0)</f>
        <v>341</v>
      </c>
      <c r="F952" s="24">
        <f>IF($C952&gt;0,INDEX(Merge_1_2!$B$2:$B$611,$C952),DATE(VALUE(RIGHT(INDEX(Dataset3_Raw!$B$2:$B$391,$E952),4)),VALUE(MID(INDEX(Dataset3_Raw!$B$2:$B$391,$E952),4,2)),VALUE(LEFT(INDEX(Dataset3_Raw!$B$2:$B$391,$E952),2))))</f>
        <v>40586</v>
      </c>
      <c r="G952" s="23">
        <f>IF($C952&gt;0,INDEX(Merge_1_2!$C$2:$C$611,$C952),INDEX(Dataset3_Raw!$C$2:$C$391,$E952))</f>
        <v>1</v>
      </c>
      <c r="H952" s="23">
        <f>IF($C952&gt;0,INDEX(Merge_1_2!$D$2:$D$611,$C952),INDEX(Dataset3_Raw!$D$2:$D$391,$E952))</f>
        <v>0</v>
      </c>
      <c r="I952" s="23">
        <f>IF($C952&gt;0,INDEX(Merge_1_2!$E$2:$E$611,$C952),INDEX(Dataset3_Raw!$E$2:$E$391,$E952))</f>
        <v>2</v>
      </c>
      <c r="J952" s="23">
        <f>IF($C952&gt;0,INDEX(Merge_1_2!$F$2:$F$611,$C952),INDEX(Dataset3_Raw!$F$2:$F$391,$E952))</f>
        <v>5</v>
      </c>
      <c r="K952" s="23" t="b">
        <f>IF($C952&gt;0,INDEX(Merge_1_2!$G$2:$G$611,$C952),INDEX(Dataset3_Raw!$G$2:$G$391,$E952))</f>
        <v>0</v>
      </c>
      <c r="L952" s="23">
        <f>IF($C952&gt;0,INDEX(Merge_1_2!$H$2:$H$611,$C952),INDEX(Dataset3_Raw!$H$2:$H$391,$E952))</f>
        <v>6</v>
      </c>
      <c r="M952" s="23">
        <f>IF($C952&gt;0,INDEX(Merge_1_2!$I$2:$I$611,$C952),INDEX(Dataset3_Raw!$I$2:$I$391,$E952))</f>
        <v>1</v>
      </c>
      <c r="N952" s="25">
        <f>IF($C952&gt;0,INDEX(Merge_1_2!$J$2:$J$611,$C952),INDEX(Dataset3_Raw!$J$2:$J$391,$E952))</f>
        <v>0.12</v>
      </c>
      <c r="O952" s="25">
        <f>IF($C952&gt;0,IF(ISNUMBER(INDEX(Merge_1_2!$K$2:$K$611,$C952)),INDEX(Merge_1_2!$K$2:$K$611,$C952),""),INDEX(Dataset3_Raw!$K$2:$K$391,$E952))</f>
        <v>0.16669999999999999</v>
      </c>
      <c r="P952" s="25">
        <f>IF(ISNUMBER($O952),$O952,ROUND(Lookups!$B$25+Lookups!$B$24*$N952,4))</f>
        <v>0.16669999999999999</v>
      </c>
      <c r="Q952" s="25">
        <f>IF($C952&gt;0,INDEX(Merge_1_2!$L$2:$L$611,$C952),INDEX(Dataset3_Raw!$L$2:$L$391,$E952))</f>
        <v>0.74</v>
      </c>
      <c r="R952" s="25">
        <f>IF($C952&gt;0,INDEX(Merge_1_2!$M$2:$M$611,$C952),INDEX(Dataset3_Raw!$M$2:$M$391,$E952))</f>
        <v>8.9599999999999999E-2</v>
      </c>
      <c r="S952" s="23">
        <f>IF($C952&gt;0,INDEX(Merge_1_2!$N$2:$N$611,$C952),INDEX(Dataset3_Raw!$N$2:$N$391,$E952))</f>
        <v>0</v>
      </c>
      <c r="T952" s="23">
        <f>IF($C952&gt;0,INDEX(Merge_1_2!$O$2:$O$611,$C952),INDEX(Dataset3_Raw!$O$2:$O$391,$E952))</f>
        <v>1</v>
      </c>
      <c r="U952" s="23">
        <f>IF($C952&gt;0,INDEX(Merge_1_2!$P$2:$P$611,$C952),INDEX(Dataset3_Raw!$P$2:$P$391,$E952))</f>
        <v>1</v>
      </c>
      <c r="V952" s="23" t="str">
        <f t="shared" si="85"/>
        <v>Weekend</v>
      </c>
      <c r="W952" s="23" t="str">
        <f>VLOOKUP($M952,Lookups!$A$5:$B$8,2,FALSE())</f>
        <v>Clear / Partly cloudy</v>
      </c>
      <c r="X952" s="23" t="str">
        <f>VLOOKUP($G952,Lookups!$D$5:$E$8,2,FALSE())</f>
        <v>Winter</v>
      </c>
      <c r="Y952" s="23" t="str">
        <f>VLOOKUP($L952,Lookups!$G$5:$H$11,2,FALSE())</f>
        <v>Saturday</v>
      </c>
      <c r="Z952" s="23" t="str">
        <f>IF($J952&lt;Lookups!$B$26,"Night",IF($J952&lt;Lookups!$B$27,"Morning",IF($J952&lt;Lookups!$B$28,"Afternoon","Evening")))</f>
        <v>Night</v>
      </c>
      <c r="AA952" s="26">
        <f>ROUND($N952*(Lookups!$B$16-Lookups!$B$15)+Lookups!$B$15,1)</f>
        <v>-2.4</v>
      </c>
      <c r="AB952" s="26">
        <f>ROUND($P952*(Lookups!$B$18-Lookups!$B$17)+Lookups!$B$17,1)</f>
        <v>-5</v>
      </c>
      <c r="AC952" s="23">
        <f t="shared" si="86"/>
        <v>74</v>
      </c>
      <c r="AD952" s="23">
        <f>ROUND($R952*Lookups!$B$19,1)</f>
        <v>6</v>
      </c>
      <c r="AE952" s="27">
        <f t="shared" si="87"/>
        <v>1</v>
      </c>
      <c r="AF952" s="23" t="str">
        <f>IF($U952&gt;=Lookups!$B$23,"High",IF($U952&gt;=Lookups!$B$22,"Medium","Low"))</f>
        <v>Low</v>
      </c>
      <c r="AG952" s="23">
        <f>ROUND(IF($V952="Weekday",IF(INDEX(Hourly_Analysis!$D$5:$D$28,$J952+1)&gt;0,($U952-INDEX(Hourly_Analysis!$C$5:$C$28,$J952+1))/INDEX(Hourly_Analysis!$D$5:$D$28,$J952+1),0),IF(INDEX(Hourly_Analysis!$G$5:$G$28,$J952+1)&gt;0,($U952-INDEX(Hourly_Analysis!$F$5:$F$28,$J952+1))/INDEX(Hourly_Analysis!$G$5:$G$28,$J952+1),0)),2)</f>
        <v>-0.62</v>
      </c>
      <c r="AH952" s="23" t="str">
        <f>IF(ABS($AG952)&gt;Lookups!$B$20,IF($AG952&gt;0,"High anomaly","Low anomaly"),"")</f>
        <v/>
      </c>
      <c r="AI952" s="23" t="str">
        <f t="shared" si="88"/>
        <v>OK</v>
      </c>
      <c r="AJ952" s="23" t="str">
        <f t="shared" si="89"/>
        <v>No</v>
      </c>
    </row>
    <row r="953" spans="1:36" x14ac:dyDescent="0.35">
      <c r="A953" s="23">
        <v>952</v>
      </c>
      <c r="B953" s="23" t="str">
        <f t="shared" si="84"/>
        <v>Dataset 3</v>
      </c>
      <c r="C953" s="23">
        <f>IFERROR(MATCH($A953,Merge_1_2!$A$2:$A$611,0),0)</f>
        <v>0</v>
      </c>
      <c r="D953" s="23">
        <f>IF($C953&gt;0,INDEX(Merge_1_2!$Q$2:$Q$611,$C953),0)</f>
        <v>0</v>
      </c>
      <c r="E953" s="23">
        <f>IFERROR(MATCH($A953,Dataset3_Raw!$A$2:$A$391,0),0)</f>
        <v>342</v>
      </c>
      <c r="F953" s="24">
        <f>IF($C953&gt;0,INDEX(Merge_1_2!$B$2:$B$611,$C953),DATE(VALUE(RIGHT(INDEX(Dataset3_Raw!$B$2:$B$391,$E953),4)),VALUE(MID(INDEX(Dataset3_Raw!$B$2:$B$391,$E953),4,2)),VALUE(LEFT(INDEX(Dataset3_Raw!$B$2:$B$391,$E953),2))))</f>
        <v>40586</v>
      </c>
      <c r="G953" s="23">
        <f>IF($C953&gt;0,INDEX(Merge_1_2!$C$2:$C$611,$C953),INDEX(Dataset3_Raw!$C$2:$C$391,$E953))</f>
        <v>1</v>
      </c>
      <c r="H953" s="23">
        <f>IF($C953&gt;0,INDEX(Merge_1_2!$D$2:$D$611,$C953),INDEX(Dataset3_Raw!$D$2:$D$391,$E953))</f>
        <v>0</v>
      </c>
      <c r="I953" s="23">
        <f>IF($C953&gt;0,INDEX(Merge_1_2!$E$2:$E$611,$C953),INDEX(Dataset3_Raw!$E$2:$E$391,$E953))</f>
        <v>2</v>
      </c>
      <c r="J953" s="23">
        <f>IF($C953&gt;0,INDEX(Merge_1_2!$F$2:$F$611,$C953),INDEX(Dataset3_Raw!$F$2:$F$391,$E953))</f>
        <v>6</v>
      </c>
      <c r="K953" s="23" t="b">
        <f>IF($C953&gt;0,INDEX(Merge_1_2!$G$2:$G$611,$C953),INDEX(Dataset3_Raw!$G$2:$G$391,$E953))</f>
        <v>0</v>
      </c>
      <c r="L953" s="23">
        <f>IF($C953&gt;0,INDEX(Merge_1_2!$H$2:$H$611,$C953),INDEX(Dataset3_Raw!$H$2:$H$391,$E953))</f>
        <v>6</v>
      </c>
      <c r="M953" s="23">
        <f>IF($C953&gt;0,INDEX(Merge_1_2!$I$2:$I$611,$C953),INDEX(Dataset3_Raw!$I$2:$I$391,$E953))</f>
        <v>1</v>
      </c>
      <c r="N953" s="25">
        <f>IF($C953&gt;0,INDEX(Merge_1_2!$J$2:$J$611,$C953),INDEX(Dataset3_Raw!$J$2:$J$391,$E953))</f>
        <v>0.12</v>
      </c>
      <c r="O953" s="25">
        <f>IF($C953&gt;0,IF(ISNUMBER(INDEX(Merge_1_2!$K$2:$K$611,$C953)),INDEX(Merge_1_2!$K$2:$K$611,$C953),""),INDEX(Dataset3_Raw!$K$2:$K$391,$E953))</f>
        <v>0.13639999999999999</v>
      </c>
      <c r="P953" s="25">
        <f>IF(ISNUMBER($O953),$O953,ROUND(Lookups!$B$25+Lookups!$B$24*$N953,4))</f>
        <v>0.13639999999999999</v>
      </c>
      <c r="Q953" s="25">
        <f>IF($C953&gt;0,INDEX(Merge_1_2!$L$2:$L$611,$C953),INDEX(Dataset3_Raw!$L$2:$L$391,$E953))</f>
        <v>0.93</v>
      </c>
      <c r="R953" s="25">
        <f>IF($C953&gt;0,INDEX(Merge_1_2!$M$2:$M$611,$C953),INDEX(Dataset3_Raw!$M$2:$M$391,$E953))</f>
        <v>0.19400000000000001</v>
      </c>
      <c r="S953" s="23">
        <f>IF($C953&gt;0,INDEX(Merge_1_2!$N$2:$N$611,$C953),INDEX(Dataset3_Raw!$N$2:$N$391,$E953))</f>
        <v>1</v>
      </c>
      <c r="T953" s="23">
        <f>IF($C953&gt;0,INDEX(Merge_1_2!$O$2:$O$611,$C953),INDEX(Dataset3_Raw!$O$2:$O$391,$E953))</f>
        <v>1</v>
      </c>
      <c r="U953" s="23">
        <f>IF($C953&gt;0,INDEX(Merge_1_2!$P$2:$P$611,$C953),INDEX(Dataset3_Raw!$P$2:$P$391,$E953))</f>
        <v>2</v>
      </c>
      <c r="V953" s="23" t="str">
        <f t="shared" si="85"/>
        <v>Weekend</v>
      </c>
      <c r="W953" s="23" t="str">
        <f>VLOOKUP($M953,Lookups!$A$5:$B$8,2,FALSE())</f>
        <v>Clear / Partly cloudy</v>
      </c>
      <c r="X953" s="23" t="str">
        <f>VLOOKUP($G953,Lookups!$D$5:$E$8,2,FALSE())</f>
        <v>Winter</v>
      </c>
      <c r="Y953" s="23" t="str">
        <f>VLOOKUP($L953,Lookups!$G$5:$H$11,2,FALSE())</f>
        <v>Saturday</v>
      </c>
      <c r="Z953" s="23" t="str">
        <f>IF($J953&lt;Lookups!$B$26,"Night",IF($J953&lt;Lookups!$B$27,"Morning",IF($J953&lt;Lookups!$B$28,"Afternoon","Evening")))</f>
        <v>Morning</v>
      </c>
      <c r="AA953" s="26">
        <f>ROUND($N953*(Lookups!$B$16-Lookups!$B$15)+Lookups!$B$15,1)</f>
        <v>-2.4</v>
      </c>
      <c r="AB953" s="26">
        <f>ROUND($P953*(Lookups!$B$18-Lookups!$B$17)+Lookups!$B$17,1)</f>
        <v>-7</v>
      </c>
      <c r="AC953" s="23">
        <f t="shared" si="86"/>
        <v>93</v>
      </c>
      <c r="AD953" s="23">
        <f>ROUND($R953*Lookups!$B$19,1)</f>
        <v>13</v>
      </c>
      <c r="AE953" s="27">
        <f t="shared" si="87"/>
        <v>0.5</v>
      </c>
      <c r="AF953" s="23" t="str">
        <f>IF($U953&gt;=Lookups!$B$23,"High",IF($U953&gt;=Lookups!$B$22,"Medium","Low"))</f>
        <v>Low</v>
      </c>
      <c r="AG953" s="23">
        <f>ROUND(IF($V953="Weekday",IF(INDEX(Hourly_Analysis!$D$5:$D$28,$J953+1)&gt;0,($U953-INDEX(Hourly_Analysis!$C$5:$C$28,$J953+1))/INDEX(Hourly_Analysis!$D$5:$D$28,$J953+1),0),IF(INDEX(Hourly_Analysis!$G$5:$G$28,$J953+1)&gt;0,($U953-INDEX(Hourly_Analysis!$F$5:$F$28,$J953+1))/INDEX(Hourly_Analysis!$G$5:$G$28,$J953+1),0)),2)</f>
        <v>-0.26</v>
      </c>
      <c r="AH953" s="23" t="str">
        <f>IF(ABS($AG953)&gt;Lookups!$B$20,IF($AG953&gt;0,"High anomaly","Low anomaly"),"")</f>
        <v/>
      </c>
      <c r="AI953" s="23" t="str">
        <f t="shared" si="88"/>
        <v>OK</v>
      </c>
      <c r="AJ953" s="23" t="str">
        <f t="shared" si="89"/>
        <v>No</v>
      </c>
    </row>
    <row r="954" spans="1:36" x14ac:dyDescent="0.35">
      <c r="A954" s="23">
        <v>953</v>
      </c>
      <c r="B954" s="23" t="str">
        <f t="shared" si="84"/>
        <v>Dataset 3</v>
      </c>
      <c r="C954" s="23">
        <f>IFERROR(MATCH($A954,Merge_1_2!$A$2:$A$611,0),0)</f>
        <v>0</v>
      </c>
      <c r="D954" s="23">
        <f>IF($C954&gt;0,INDEX(Merge_1_2!$Q$2:$Q$611,$C954),0)</f>
        <v>0</v>
      </c>
      <c r="E954" s="23">
        <f>IFERROR(MATCH($A954,Dataset3_Raw!$A$2:$A$391,0),0)</f>
        <v>343</v>
      </c>
      <c r="F954" s="24">
        <f>IF($C954&gt;0,INDEX(Merge_1_2!$B$2:$B$611,$C954),DATE(VALUE(RIGHT(INDEX(Dataset3_Raw!$B$2:$B$391,$E954),4)),VALUE(MID(INDEX(Dataset3_Raw!$B$2:$B$391,$E954),4,2)),VALUE(LEFT(INDEX(Dataset3_Raw!$B$2:$B$391,$E954),2))))</f>
        <v>40586</v>
      </c>
      <c r="G954" s="23">
        <f>IF($C954&gt;0,INDEX(Merge_1_2!$C$2:$C$611,$C954),INDEX(Dataset3_Raw!$C$2:$C$391,$E954))</f>
        <v>1</v>
      </c>
      <c r="H954" s="23">
        <f>IF($C954&gt;0,INDEX(Merge_1_2!$D$2:$D$611,$C954),INDEX(Dataset3_Raw!$D$2:$D$391,$E954))</f>
        <v>0</v>
      </c>
      <c r="I954" s="23">
        <f>IF($C954&gt;0,INDEX(Merge_1_2!$E$2:$E$611,$C954),INDEX(Dataset3_Raw!$E$2:$E$391,$E954))</f>
        <v>2</v>
      </c>
      <c r="J954" s="23">
        <f>IF($C954&gt;0,INDEX(Merge_1_2!$F$2:$F$611,$C954),INDEX(Dataset3_Raw!$F$2:$F$391,$E954))</f>
        <v>7</v>
      </c>
      <c r="K954" s="23" t="b">
        <f>IF($C954&gt;0,INDEX(Merge_1_2!$G$2:$G$611,$C954),INDEX(Dataset3_Raw!$G$2:$G$391,$E954))</f>
        <v>0</v>
      </c>
      <c r="L954" s="23">
        <f>IF($C954&gt;0,INDEX(Merge_1_2!$H$2:$H$611,$C954),INDEX(Dataset3_Raw!$H$2:$H$391,$E954))</f>
        <v>6</v>
      </c>
      <c r="M954" s="23">
        <f>IF($C954&gt;0,INDEX(Merge_1_2!$I$2:$I$611,$C954),INDEX(Dataset3_Raw!$I$2:$I$391,$E954))</f>
        <v>1</v>
      </c>
      <c r="N954" s="25">
        <f>IF($C954&gt;0,INDEX(Merge_1_2!$J$2:$J$611,$C954),INDEX(Dataset3_Raw!$J$2:$J$391,$E954))</f>
        <v>0.12</v>
      </c>
      <c r="O954" s="25">
        <f>IF($C954&gt;0,IF(ISNUMBER(INDEX(Merge_1_2!$K$2:$K$611,$C954)),INDEX(Merge_1_2!$K$2:$K$611,$C954),""),INDEX(Dataset3_Raw!$K$2:$K$391,$E954))</f>
        <v>0.1515</v>
      </c>
      <c r="P954" s="25">
        <f>IF(ISNUMBER($O954),$O954,ROUND(Lookups!$B$25+Lookups!$B$24*$N954,4))</f>
        <v>0.1515</v>
      </c>
      <c r="Q954" s="25">
        <f>IF($C954&gt;0,INDEX(Merge_1_2!$L$2:$L$611,$C954),INDEX(Dataset3_Raw!$L$2:$L$391,$E954))</f>
        <v>0.8</v>
      </c>
      <c r="R954" s="25">
        <f>IF($C954&gt;0,INDEX(Merge_1_2!$M$2:$M$611,$C954),INDEX(Dataset3_Raw!$M$2:$M$391,$E954))</f>
        <v>0.1045</v>
      </c>
      <c r="S954" s="23">
        <f>IF($C954&gt;0,INDEX(Merge_1_2!$N$2:$N$611,$C954),INDEX(Dataset3_Raw!$N$2:$N$391,$E954))</f>
        <v>2</v>
      </c>
      <c r="T954" s="23">
        <f>IF($C954&gt;0,INDEX(Merge_1_2!$O$2:$O$611,$C954),INDEX(Dataset3_Raw!$O$2:$O$391,$E954))</f>
        <v>9</v>
      </c>
      <c r="U954" s="23">
        <f>IF($C954&gt;0,INDEX(Merge_1_2!$P$2:$P$611,$C954),INDEX(Dataset3_Raw!$P$2:$P$391,$E954))</f>
        <v>11</v>
      </c>
      <c r="V954" s="23" t="str">
        <f t="shared" si="85"/>
        <v>Weekend</v>
      </c>
      <c r="W954" s="23" t="str">
        <f>VLOOKUP($M954,Lookups!$A$5:$B$8,2,FALSE())</f>
        <v>Clear / Partly cloudy</v>
      </c>
      <c r="X954" s="23" t="str">
        <f>VLOOKUP($G954,Lookups!$D$5:$E$8,2,FALSE())</f>
        <v>Winter</v>
      </c>
      <c r="Y954" s="23" t="str">
        <f>VLOOKUP($L954,Lookups!$G$5:$H$11,2,FALSE())</f>
        <v>Saturday</v>
      </c>
      <c r="Z954" s="23" t="str">
        <f>IF($J954&lt;Lookups!$B$26,"Night",IF($J954&lt;Lookups!$B$27,"Morning",IF($J954&lt;Lookups!$B$28,"Afternoon","Evening")))</f>
        <v>Morning</v>
      </c>
      <c r="AA954" s="26">
        <f>ROUND($N954*(Lookups!$B$16-Lookups!$B$15)+Lookups!$B$15,1)</f>
        <v>-2.4</v>
      </c>
      <c r="AB954" s="26">
        <f>ROUND($P954*(Lookups!$B$18-Lookups!$B$17)+Lookups!$B$17,1)</f>
        <v>-6</v>
      </c>
      <c r="AC954" s="23">
        <f t="shared" si="86"/>
        <v>80</v>
      </c>
      <c r="AD954" s="23">
        <f>ROUND($R954*Lookups!$B$19,1)</f>
        <v>7</v>
      </c>
      <c r="AE954" s="27">
        <f t="shared" si="87"/>
        <v>0.81818181818181823</v>
      </c>
      <c r="AF954" s="23" t="str">
        <f>IF($U954&gt;=Lookups!$B$23,"High",IF($U954&gt;=Lookups!$B$22,"Medium","Low"))</f>
        <v>Low</v>
      </c>
      <c r="AG954" s="23">
        <f>ROUND(IF($V954="Weekday",IF(INDEX(Hourly_Analysis!$D$5:$D$28,$J954+1)&gt;0,($U954-INDEX(Hourly_Analysis!$C$5:$C$28,$J954+1))/INDEX(Hourly_Analysis!$D$5:$D$28,$J954+1),0),IF(INDEX(Hourly_Analysis!$G$5:$G$28,$J954+1)&gt;0,($U954-INDEX(Hourly_Analysis!$F$5:$F$28,$J954+1))/INDEX(Hourly_Analysis!$G$5:$G$28,$J954+1),0)),2)</f>
        <v>1.38</v>
      </c>
      <c r="AH954" s="23" t="str">
        <f>IF(ABS($AG954)&gt;Lookups!$B$20,IF($AG954&gt;0,"High anomaly","Low anomaly"),"")</f>
        <v/>
      </c>
      <c r="AI954" s="23" t="str">
        <f t="shared" si="88"/>
        <v>OK</v>
      </c>
      <c r="AJ954" s="23" t="str">
        <f t="shared" si="89"/>
        <v>No</v>
      </c>
    </row>
    <row r="955" spans="1:36" x14ac:dyDescent="0.35">
      <c r="A955" s="23">
        <v>954</v>
      </c>
      <c r="B955" s="23" t="str">
        <f t="shared" si="84"/>
        <v>Dataset 3</v>
      </c>
      <c r="C955" s="23">
        <f>IFERROR(MATCH($A955,Merge_1_2!$A$2:$A$611,0),0)</f>
        <v>0</v>
      </c>
      <c r="D955" s="23">
        <f>IF($C955&gt;0,INDEX(Merge_1_2!$Q$2:$Q$611,$C955),0)</f>
        <v>0</v>
      </c>
      <c r="E955" s="23">
        <f>IFERROR(MATCH($A955,Dataset3_Raw!$A$2:$A$391,0),0)</f>
        <v>344</v>
      </c>
      <c r="F955" s="24">
        <f>IF($C955&gt;0,INDEX(Merge_1_2!$B$2:$B$611,$C955),DATE(VALUE(RIGHT(INDEX(Dataset3_Raw!$B$2:$B$391,$E955),4)),VALUE(MID(INDEX(Dataset3_Raw!$B$2:$B$391,$E955),4,2)),VALUE(LEFT(INDEX(Dataset3_Raw!$B$2:$B$391,$E955),2))))</f>
        <v>40586</v>
      </c>
      <c r="G955" s="23">
        <f>IF($C955&gt;0,INDEX(Merge_1_2!$C$2:$C$611,$C955),INDEX(Dataset3_Raw!$C$2:$C$391,$E955))</f>
        <v>1</v>
      </c>
      <c r="H955" s="23">
        <f>IF($C955&gt;0,INDEX(Merge_1_2!$D$2:$D$611,$C955),INDEX(Dataset3_Raw!$D$2:$D$391,$E955))</f>
        <v>0</v>
      </c>
      <c r="I955" s="23">
        <f>IF($C955&gt;0,INDEX(Merge_1_2!$E$2:$E$611,$C955),INDEX(Dataset3_Raw!$E$2:$E$391,$E955))</f>
        <v>2</v>
      </c>
      <c r="J955" s="23">
        <f>IF($C955&gt;0,INDEX(Merge_1_2!$F$2:$F$611,$C955),INDEX(Dataset3_Raw!$F$2:$F$391,$E955))</f>
        <v>8</v>
      </c>
      <c r="K955" s="23" t="b">
        <f>IF($C955&gt;0,INDEX(Merge_1_2!$G$2:$G$611,$C955),INDEX(Dataset3_Raw!$G$2:$G$391,$E955))</f>
        <v>0</v>
      </c>
      <c r="L955" s="23">
        <f>IF($C955&gt;0,INDEX(Merge_1_2!$H$2:$H$611,$C955),INDEX(Dataset3_Raw!$H$2:$H$391,$E955))</f>
        <v>6</v>
      </c>
      <c r="M955" s="23">
        <f>IF($C955&gt;0,INDEX(Merge_1_2!$I$2:$I$611,$C955),INDEX(Dataset3_Raw!$I$2:$I$391,$E955))</f>
        <v>1</v>
      </c>
      <c r="N955" s="25">
        <f>IF($C955&gt;0,INDEX(Merge_1_2!$J$2:$J$611,$C955),INDEX(Dataset3_Raw!$J$2:$J$391,$E955))</f>
        <v>0.14000000000000001</v>
      </c>
      <c r="O955" s="25">
        <f>IF($C955&gt;0,IF(ISNUMBER(INDEX(Merge_1_2!$K$2:$K$611,$C955)),INDEX(Merge_1_2!$K$2:$K$611,$C955),""),INDEX(Dataset3_Raw!$K$2:$K$391,$E955))</f>
        <v>0.1515</v>
      </c>
      <c r="P955" s="25">
        <f>IF(ISNUMBER($O955),$O955,ROUND(Lookups!$B$25+Lookups!$B$24*$N955,4))</f>
        <v>0.1515</v>
      </c>
      <c r="Q955" s="25">
        <f>IF($C955&gt;0,INDEX(Merge_1_2!$L$2:$L$611,$C955),INDEX(Dataset3_Raw!$L$2:$L$391,$E955))</f>
        <v>0.86</v>
      </c>
      <c r="R955" s="25">
        <f>IF($C955&gt;0,INDEX(Merge_1_2!$M$2:$M$611,$C955),INDEX(Dataset3_Raw!$M$2:$M$391,$E955))</f>
        <v>0.1343</v>
      </c>
      <c r="S955" s="23">
        <f>IF($C955&gt;0,INDEX(Merge_1_2!$N$2:$N$611,$C955),INDEX(Dataset3_Raw!$N$2:$N$391,$E955))</f>
        <v>2</v>
      </c>
      <c r="T955" s="23">
        <f>IF($C955&gt;0,INDEX(Merge_1_2!$O$2:$O$611,$C955),INDEX(Dataset3_Raw!$O$2:$O$391,$E955))</f>
        <v>28</v>
      </c>
      <c r="U955" s="23">
        <f>IF($C955&gt;0,INDEX(Merge_1_2!$P$2:$P$611,$C955),INDEX(Dataset3_Raw!$P$2:$P$391,$E955))</f>
        <v>30</v>
      </c>
      <c r="V955" s="23" t="str">
        <f t="shared" si="85"/>
        <v>Weekend</v>
      </c>
      <c r="W955" s="23" t="str">
        <f>VLOOKUP($M955,Lookups!$A$5:$B$8,2,FALSE())</f>
        <v>Clear / Partly cloudy</v>
      </c>
      <c r="X955" s="23" t="str">
        <f>VLOOKUP($G955,Lookups!$D$5:$E$8,2,FALSE())</f>
        <v>Winter</v>
      </c>
      <c r="Y955" s="23" t="str">
        <f>VLOOKUP($L955,Lookups!$G$5:$H$11,2,FALSE())</f>
        <v>Saturday</v>
      </c>
      <c r="Z955" s="23" t="str">
        <f>IF($J955&lt;Lookups!$B$26,"Night",IF($J955&lt;Lookups!$B$27,"Morning",IF($J955&lt;Lookups!$B$28,"Afternoon","Evening")))</f>
        <v>Morning</v>
      </c>
      <c r="AA955" s="26">
        <f>ROUND($N955*(Lookups!$B$16-Lookups!$B$15)+Lookups!$B$15,1)</f>
        <v>-1.4</v>
      </c>
      <c r="AB955" s="26">
        <f>ROUND($P955*(Lookups!$B$18-Lookups!$B$17)+Lookups!$B$17,1)</f>
        <v>-6</v>
      </c>
      <c r="AC955" s="23">
        <f t="shared" si="86"/>
        <v>86</v>
      </c>
      <c r="AD955" s="23">
        <f>ROUND($R955*Lookups!$B$19,1)</f>
        <v>9</v>
      </c>
      <c r="AE955" s="27">
        <f t="shared" si="87"/>
        <v>0.93333333333333335</v>
      </c>
      <c r="AF955" s="23" t="str">
        <f>IF($U955&gt;=Lookups!$B$23,"High",IF($U955&gt;=Lookups!$B$22,"Medium","Low"))</f>
        <v>Medium</v>
      </c>
      <c r="AG955" s="23">
        <f>ROUND(IF($V955="Weekday",IF(INDEX(Hourly_Analysis!$D$5:$D$28,$J955+1)&gt;0,($U955-INDEX(Hourly_Analysis!$C$5:$C$28,$J955+1))/INDEX(Hourly_Analysis!$D$5:$D$28,$J955+1),0),IF(INDEX(Hourly_Analysis!$G$5:$G$28,$J955+1)&gt;0,($U955-INDEX(Hourly_Analysis!$F$5:$F$28,$J955+1))/INDEX(Hourly_Analysis!$G$5:$G$28,$J955+1),0)),2)</f>
        <v>1.23</v>
      </c>
      <c r="AH955" s="23" t="str">
        <f>IF(ABS($AG955)&gt;Lookups!$B$20,IF($AG955&gt;0,"High anomaly","Low anomaly"),"")</f>
        <v/>
      </c>
      <c r="AI955" s="23" t="str">
        <f t="shared" si="88"/>
        <v>OK</v>
      </c>
      <c r="AJ955" s="23" t="str">
        <f t="shared" si="89"/>
        <v>No</v>
      </c>
    </row>
    <row r="956" spans="1:36" x14ac:dyDescent="0.35">
      <c r="A956" s="23">
        <v>955</v>
      </c>
      <c r="B956" s="23" t="str">
        <f t="shared" si="84"/>
        <v>Dataset 3</v>
      </c>
      <c r="C956" s="23">
        <f>IFERROR(MATCH($A956,Merge_1_2!$A$2:$A$611,0),0)</f>
        <v>0</v>
      </c>
      <c r="D956" s="23">
        <f>IF($C956&gt;0,INDEX(Merge_1_2!$Q$2:$Q$611,$C956),0)</f>
        <v>0</v>
      </c>
      <c r="E956" s="23">
        <f>IFERROR(MATCH($A956,Dataset3_Raw!$A$2:$A$391,0),0)</f>
        <v>345</v>
      </c>
      <c r="F956" s="24">
        <f>IF($C956&gt;0,INDEX(Merge_1_2!$B$2:$B$611,$C956),DATE(VALUE(RIGHT(INDEX(Dataset3_Raw!$B$2:$B$391,$E956),4)),VALUE(MID(INDEX(Dataset3_Raw!$B$2:$B$391,$E956),4,2)),VALUE(LEFT(INDEX(Dataset3_Raw!$B$2:$B$391,$E956),2))))</f>
        <v>40586</v>
      </c>
      <c r="G956" s="23">
        <f>IF($C956&gt;0,INDEX(Merge_1_2!$C$2:$C$611,$C956),INDEX(Dataset3_Raw!$C$2:$C$391,$E956))</f>
        <v>1</v>
      </c>
      <c r="H956" s="23">
        <f>IF($C956&gt;0,INDEX(Merge_1_2!$D$2:$D$611,$C956),INDEX(Dataset3_Raw!$D$2:$D$391,$E956))</f>
        <v>0</v>
      </c>
      <c r="I956" s="23">
        <f>IF($C956&gt;0,INDEX(Merge_1_2!$E$2:$E$611,$C956),INDEX(Dataset3_Raw!$E$2:$E$391,$E956))</f>
        <v>2</v>
      </c>
      <c r="J956" s="23">
        <f>IF($C956&gt;0,INDEX(Merge_1_2!$F$2:$F$611,$C956),INDEX(Dataset3_Raw!$F$2:$F$391,$E956))</f>
        <v>9</v>
      </c>
      <c r="K956" s="23" t="b">
        <f>IF($C956&gt;0,INDEX(Merge_1_2!$G$2:$G$611,$C956),INDEX(Dataset3_Raw!$G$2:$G$391,$E956))</f>
        <v>0</v>
      </c>
      <c r="L956" s="23">
        <f>IF($C956&gt;0,INDEX(Merge_1_2!$H$2:$H$611,$C956),INDEX(Dataset3_Raw!$H$2:$H$391,$E956))</f>
        <v>6</v>
      </c>
      <c r="M956" s="23">
        <f>IF($C956&gt;0,INDEX(Merge_1_2!$I$2:$I$611,$C956),INDEX(Dataset3_Raw!$I$2:$I$391,$E956))</f>
        <v>1</v>
      </c>
      <c r="N956" s="25">
        <f>IF($C956&gt;0,INDEX(Merge_1_2!$J$2:$J$611,$C956),INDEX(Dataset3_Raw!$J$2:$J$391,$E956))</f>
        <v>0.16</v>
      </c>
      <c r="O956" s="25">
        <f>IF($C956&gt;0,IF(ISNUMBER(INDEX(Merge_1_2!$K$2:$K$611,$C956)),INDEX(Merge_1_2!$K$2:$K$611,$C956),""),INDEX(Dataset3_Raw!$K$2:$K$391,$E956))</f>
        <v>0.18179999999999999</v>
      </c>
      <c r="P956" s="25">
        <f>IF(ISNUMBER($O956),$O956,ROUND(Lookups!$B$25+Lookups!$B$24*$N956,4))</f>
        <v>0.18179999999999999</v>
      </c>
      <c r="Q956" s="25">
        <f>IF($C956&gt;0,INDEX(Merge_1_2!$L$2:$L$611,$C956),INDEX(Dataset3_Raw!$L$2:$L$391,$E956))</f>
        <v>0.64</v>
      </c>
      <c r="R956" s="25">
        <f>IF($C956&gt;0,INDEX(Merge_1_2!$M$2:$M$611,$C956),INDEX(Dataset3_Raw!$M$2:$M$391,$E956))</f>
        <v>0.1343</v>
      </c>
      <c r="S956" s="23">
        <f>IF($C956&gt;0,INDEX(Merge_1_2!$N$2:$N$611,$C956),INDEX(Dataset3_Raw!$N$2:$N$391,$E956))</f>
        <v>5</v>
      </c>
      <c r="T956" s="23">
        <f>IF($C956&gt;0,INDEX(Merge_1_2!$O$2:$O$611,$C956),INDEX(Dataset3_Raw!$O$2:$O$391,$E956))</f>
        <v>38</v>
      </c>
      <c r="U956" s="23">
        <f>IF($C956&gt;0,INDEX(Merge_1_2!$P$2:$P$611,$C956),INDEX(Dataset3_Raw!$P$2:$P$391,$E956))</f>
        <v>43</v>
      </c>
      <c r="V956" s="23" t="str">
        <f t="shared" si="85"/>
        <v>Weekend</v>
      </c>
      <c r="W956" s="23" t="str">
        <f>VLOOKUP($M956,Lookups!$A$5:$B$8,2,FALSE())</f>
        <v>Clear / Partly cloudy</v>
      </c>
      <c r="X956" s="23" t="str">
        <f>VLOOKUP($G956,Lookups!$D$5:$E$8,2,FALSE())</f>
        <v>Winter</v>
      </c>
      <c r="Y956" s="23" t="str">
        <f>VLOOKUP($L956,Lookups!$G$5:$H$11,2,FALSE())</f>
        <v>Saturday</v>
      </c>
      <c r="Z956" s="23" t="str">
        <f>IF($J956&lt;Lookups!$B$26,"Night",IF($J956&lt;Lookups!$B$27,"Morning",IF($J956&lt;Lookups!$B$28,"Afternoon","Evening")))</f>
        <v>Morning</v>
      </c>
      <c r="AA956" s="26">
        <f>ROUND($N956*(Lookups!$B$16-Lookups!$B$15)+Lookups!$B$15,1)</f>
        <v>-0.5</v>
      </c>
      <c r="AB956" s="26">
        <f>ROUND($P956*(Lookups!$B$18-Lookups!$B$17)+Lookups!$B$17,1)</f>
        <v>-4</v>
      </c>
      <c r="AC956" s="23">
        <f t="shared" si="86"/>
        <v>64</v>
      </c>
      <c r="AD956" s="23">
        <f>ROUND($R956*Lookups!$B$19,1)</f>
        <v>9</v>
      </c>
      <c r="AE956" s="27">
        <f t="shared" si="87"/>
        <v>0.88372093023255816</v>
      </c>
      <c r="AF956" s="23" t="str">
        <f>IF($U956&gt;=Lookups!$B$23,"High",IF($U956&gt;=Lookups!$B$22,"Medium","Low"))</f>
        <v>Medium</v>
      </c>
      <c r="AG956" s="23">
        <f>ROUND(IF($V956="Weekday",IF(INDEX(Hourly_Analysis!$D$5:$D$28,$J956+1)&gt;0,($U956-INDEX(Hourly_Analysis!$C$5:$C$28,$J956+1))/INDEX(Hourly_Analysis!$D$5:$D$28,$J956+1),0),IF(INDEX(Hourly_Analysis!$G$5:$G$28,$J956+1)&gt;0,($U956-INDEX(Hourly_Analysis!$F$5:$F$28,$J956+1))/INDEX(Hourly_Analysis!$G$5:$G$28,$J956+1),0)),2)</f>
        <v>0.97</v>
      </c>
      <c r="AH956" s="23" t="str">
        <f>IF(ABS($AG956)&gt;Lookups!$B$20,IF($AG956&gt;0,"High anomaly","Low anomaly"),"")</f>
        <v/>
      </c>
      <c r="AI956" s="23" t="str">
        <f t="shared" si="88"/>
        <v>OK</v>
      </c>
      <c r="AJ956" s="23" t="str">
        <f t="shared" si="89"/>
        <v>No</v>
      </c>
    </row>
    <row r="957" spans="1:36" x14ac:dyDescent="0.35">
      <c r="A957" s="23">
        <v>956</v>
      </c>
      <c r="B957" s="23" t="str">
        <f t="shared" si="84"/>
        <v>Dataset 3</v>
      </c>
      <c r="C957" s="23">
        <f>IFERROR(MATCH($A957,Merge_1_2!$A$2:$A$611,0),0)</f>
        <v>0</v>
      </c>
      <c r="D957" s="23">
        <f>IF($C957&gt;0,INDEX(Merge_1_2!$Q$2:$Q$611,$C957),0)</f>
        <v>0</v>
      </c>
      <c r="E957" s="23">
        <f>IFERROR(MATCH($A957,Dataset3_Raw!$A$2:$A$391,0),0)</f>
        <v>346</v>
      </c>
      <c r="F957" s="24">
        <f>IF($C957&gt;0,INDEX(Merge_1_2!$B$2:$B$611,$C957),DATE(VALUE(RIGHT(INDEX(Dataset3_Raw!$B$2:$B$391,$E957),4)),VALUE(MID(INDEX(Dataset3_Raw!$B$2:$B$391,$E957),4,2)),VALUE(LEFT(INDEX(Dataset3_Raw!$B$2:$B$391,$E957),2))))</f>
        <v>40586</v>
      </c>
      <c r="G957" s="23">
        <f>IF($C957&gt;0,INDEX(Merge_1_2!$C$2:$C$611,$C957),INDEX(Dataset3_Raw!$C$2:$C$391,$E957))</f>
        <v>1</v>
      </c>
      <c r="H957" s="23">
        <f>IF($C957&gt;0,INDEX(Merge_1_2!$D$2:$D$611,$C957),INDEX(Dataset3_Raw!$D$2:$D$391,$E957))</f>
        <v>0</v>
      </c>
      <c r="I957" s="23">
        <f>IF($C957&gt;0,INDEX(Merge_1_2!$E$2:$E$611,$C957),INDEX(Dataset3_Raw!$E$2:$E$391,$E957))</f>
        <v>2</v>
      </c>
      <c r="J957" s="23">
        <f>IF($C957&gt;0,INDEX(Merge_1_2!$F$2:$F$611,$C957),INDEX(Dataset3_Raw!$F$2:$F$391,$E957))</f>
        <v>10</v>
      </c>
      <c r="K957" s="23" t="b">
        <f>IF($C957&gt;0,INDEX(Merge_1_2!$G$2:$G$611,$C957),INDEX(Dataset3_Raw!$G$2:$G$391,$E957))</f>
        <v>0</v>
      </c>
      <c r="L957" s="23">
        <f>IF($C957&gt;0,INDEX(Merge_1_2!$H$2:$H$611,$C957),INDEX(Dataset3_Raw!$H$2:$H$391,$E957))</f>
        <v>6</v>
      </c>
      <c r="M957" s="23">
        <f>IF($C957&gt;0,INDEX(Merge_1_2!$I$2:$I$611,$C957),INDEX(Dataset3_Raw!$I$2:$I$391,$E957))</f>
        <v>1</v>
      </c>
      <c r="N957" s="25">
        <f>IF($C957&gt;0,INDEX(Merge_1_2!$J$2:$J$611,$C957),INDEX(Dataset3_Raw!$J$2:$J$391,$E957))</f>
        <v>0.22</v>
      </c>
      <c r="O957" s="25">
        <f>IF($C957&gt;0,IF(ISNUMBER(INDEX(Merge_1_2!$K$2:$K$611,$C957)),INDEX(Merge_1_2!$K$2:$K$611,$C957),""),INDEX(Dataset3_Raw!$K$2:$K$391,$E957))</f>
        <v>0.21210000000000001</v>
      </c>
      <c r="P957" s="25">
        <f>IF(ISNUMBER($O957),$O957,ROUND(Lookups!$B$25+Lookups!$B$24*$N957,4))</f>
        <v>0.21210000000000001</v>
      </c>
      <c r="Q957" s="25">
        <f>IF($C957&gt;0,INDEX(Merge_1_2!$L$2:$L$611,$C957),INDEX(Dataset3_Raw!$L$2:$L$391,$E957))</f>
        <v>0.41</v>
      </c>
      <c r="R957" s="25">
        <f>IF($C957&gt;0,INDEX(Merge_1_2!$M$2:$M$611,$C957),INDEX(Dataset3_Raw!$M$2:$M$391,$E957))</f>
        <v>0.25369999999999998</v>
      </c>
      <c r="S957" s="23">
        <f>IF($C957&gt;0,INDEX(Merge_1_2!$N$2:$N$611,$C957),INDEX(Dataset3_Raw!$N$2:$N$391,$E957))</f>
        <v>13</v>
      </c>
      <c r="T957" s="23">
        <f>IF($C957&gt;0,INDEX(Merge_1_2!$O$2:$O$611,$C957),INDEX(Dataset3_Raw!$O$2:$O$391,$E957))</f>
        <v>71</v>
      </c>
      <c r="U957" s="23">
        <f>IF($C957&gt;0,INDEX(Merge_1_2!$P$2:$P$611,$C957),INDEX(Dataset3_Raw!$P$2:$P$391,$E957))</f>
        <v>84</v>
      </c>
      <c r="V957" s="23" t="str">
        <f t="shared" si="85"/>
        <v>Weekend</v>
      </c>
      <c r="W957" s="23" t="str">
        <f>VLOOKUP($M957,Lookups!$A$5:$B$8,2,FALSE())</f>
        <v>Clear / Partly cloudy</v>
      </c>
      <c r="X957" s="23" t="str">
        <f>VLOOKUP($G957,Lookups!$D$5:$E$8,2,FALSE())</f>
        <v>Winter</v>
      </c>
      <c r="Y957" s="23" t="str">
        <f>VLOOKUP($L957,Lookups!$G$5:$H$11,2,FALSE())</f>
        <v>Saturday</v>
      </c>
      <c r="Z957" s="23" t="str">
        <f>IF($J957&lt;Lookups!$B$26,"Night",IF($J957&lt;Lookups!$B$27,"Morning",IF($J957&lt;Lookups!$B$28,"Afternoon","Evening")))</f>
        <v>Morning</v>
      </c>
      <c r="AA957" s="26">
        <f>ROUND($N957*(Lookups!$B$16-Lookups!$B$15)+Lookups!$B$15,1)</f>
        <v>2.2999999999999998</v>
      </c>
      <c r="AB957" s="26">
        <f>ROUND($P957*(Lookups!$B$18-Lookups!$B$17)+Lookups!$B$17,1)</f>
        <v>-2</v>
      </c>
      <c r="AC957" s="23">
        <f t="shared" si="86"/>
        <v>41</v>
      </c>
      <c r="AD957" s="23">
        <f>ROUND($R957*Lookups!$B$19,1)</f>
        <v>17</v>
      </c>
      <c r="AE957" s="27">
        <f t="shared" si="87"/>
        <v>0.84523809523809523</v>
      </c>
      <c r="AF957" s="23" t="str">
        <f>IF($U957&gt;=Lookups!$B$23,"High",IF($U957&gt;=Lookups!$B$22,"Medium","Low"))</f>
        <v>High</v>
      </c>
      <c r="AG957" s="23">
        <f>ROUND(IF($V957="Weekday",IF(INDEX(Hourly_Analysis!$D$5:$D$28,$J957+1)&gt;0,($U957-INDEX(Hourly_Analysis!$C$5:$C$28,$J957+1))/INDEX(Hourly_Analysis!$D$5:$D$28,$J957+1),0),IF(INDEX(Hourly_Analysis!$G$5:$G$28,$J957+1)&gt;0,($U957-INDEX(Hourly_Analysis!$F$5:$F$28,$J957+1))/INDEX(Hourly_Analysis!$G$5:$G$28,$J957+1),0)),2)</f>
        <v>1.1200000000000001</v>
      </c>
      <c r="AH957" s="23" t="str">
        <f>IF(ABS($AG957)&gt;Lookups!$B$20,IF($AG957&gt;0,"High anomaly","Low anomaly"),"")</f>
        <v/>
      </c>
      <c r="AI957" s="23" t="str">
        <f t="shared" si="88"/>
        <v>OK</v>
      </c>
      <c r="AJ957" s="23" t="str">
        <f t="shared" si="89"/>
        <v>No</v>
      </c>
    </row>
    <row r="958" spans="1:36" x14ac:dyDescent="0.35">
      <c r="A958" s="23">
        <v>957</v>
      </c>
      <c r="B958" s="23" t="str">
        <f t="shared" si="84"/>
        <v>Dataset 3</v>
      </c>
      <c r="C958" s="23">
        <f>IFERROR(MATCH($A958,Merge_1_2!$A$2:$A$611,0),0)</f>
        <v>0</v>
      </c>
      <c r="D958" s="23">
        <f>IF($C958&gt;0,INDEX(Merge_1_2!$Q$2:$Q$611,$C958),0)</f>
        <v>0</v>
      </c>
      <c r="E958" s="23">
        <f>IFERROR(MATCH($A958,Dataset3_Raw!$A$2:$A$391,0),0)</f>
        <v>347</v>
      </c>
      <c r="F958" s="24">
        <f>IF($C958&gt;0,INDEX(Merge_1_2!$B$2:$B$611,$C958),DATE(VALUE(RIGHT(INDEX(Dataset3_Raw!$B$2:$B$391,$E958),4)),VALUE(MID(INDEX(Dataset3_Raw!$B$2:$B$391,$E958),4,2)),VALUE(LEFT(INDEX(Dataset3_Raw!$B$2:$B$391,$E958),2))))</f>
        <v>40586</v>
      </c>
      <c r="G958" s="23">
        <f>IF($C958&gt;0,INDEX(Merge_1_2!$C$2:$C$611,$C958),INDEX(Dataset3_Raw!$C$2:$C$391,$E958))</f>
        <v>1</v>
      </c>
      <c r="H958" s="23">
        <f>IF($C958&gt;0,INDEX(Merge_1_2!$D$2:$D$611,$C958),INDEX(Dataset3_Raw!$D$2:$D$391,$E958))</f>
        <v>0</v>
      </c>
      <c r="I958" s="23">
        <f>IF($C958&gt;0,INDEX(Merge_1_2!$E$2:$E$611,$C958),INDEX(Dataset3_Raw!$E$2:$E$391,$E958))</f>
        <v>2</v>
      </c>
      <c r="J958" s="23">
        <f>IF($C958&gt;0,INDEX(Merge_1_2!$F$2:$F$611,$C958),INDEX(Dataset3_Raw!$F$2:$F$391,$E958))</f>
        <v>11</v>
      </c>
      <c r="K958" s="23" t="b">
        <f>IF($C958&gt;0,INDEX(Merge_1_2!$G$2:$G$611,$C958),INDEX(Dataset3_Raw!$G$2:$G$391,$E958))</f>
        <v>0</v>
      </c>
      <c r="L958" s="23">
        <f>IF($C958&gt;0,INDEX(Merge_1_2!$H$2:$H$611,$C958),INDEX(Dataset3_Raw!$H$2:$H$391,$E958))</f>
        <v>6</v>
      </c>
      <c r="M958" s="23">
        <f>IF($C958&gt;0,INDEX(Merge_1_2!$I$2:$I$611,$C958),INDEX(Dataset3_Raw!$I$2:$I$391,$E958))</f>
        <v>1</v>
      </c>
      <c r="N958" s="25">
        <f>IF($C958&gt;0,INDEX(Merge_1_2!$J$2:$J$611,$C958),INDEX(Dataset3_Raw!$J$2:$J$391,$E958))</f>
        <v>0.3</v>
      </c>
      <c r="O958" s="25">
        <f>IF($C958&gt;0,IF(ISNUMBER(INDEX(Merge_1_2!$K$2:$K$611,$C958)),INDEX(Merge_1_2!$K$2:$K$611,$C958),""),INDEX(Dataset3_Raw!$K$2:$K$391,$E958))</f>
        <v>0.2727</v>
      </c>
      <c r="P958" s="25">
        <f>IF(ISNUMBER($O958),$O958,ROUND(Lookups!$B$25+Lookups!$B$24*$N958,4))</f>
        <v>0.2727</v>
      </c>
      <c r="Q958" s="25">
        <f>IF($C958&gt;0,INDEX(Merge_1_2!$L$2:$L$611,$C958),INDEX(Dataset3_Raw!$L$2:$L$391,$E958))</f>
        <v>0.28000000000000003</v>
      </c>
      <c r="R958" s="25">
        <f>IF($C958&gt;0,INDEX(Merge_1_2!$M$2:$M$611,$C958),INDEX(Dataset3_Raw!$M$2:$M$391,$E958))</f>
        <v>0.32840000000000003</v>
      </c>
      <c r="S958" s="23">
        <f>IF($C958&gt;0,INDEX(Merge_1_2!$N$2:$N$611,$C958),INDEX(Dataset3_Raw!$N$2:$N$391,$E958))</f>
        <v>30</v>
      </c>
      <c r="T958" s="23">
        <f>IF($C958&gt;0,INDEX(Merge_1_2!$O$2:$O$611,$C958),INDEX(Dataset3_Raw!$O$2:$O$391,$E958))</f>
        <v>84</v>
      </c>
      <c r="U958" s="23">
        <f>IF($C958&gt;0,INDEX(Merge_1_2!$P$2:$P$611,$C958),INDEX(Dataset3_Raw!$P$2:$P$391,$E958))</f>
        <v>114</v>
      </c>
      <c r="V958" s="23" t="str">
        <f t="shared" si="85"/>
        <v>Weekend</v>
      </c>
      <c r="W958" s="23" t="str">
        <f>VLOOKUP($M958,Lookups!$A$5:$B$8,2,FALSE())</f>
        <v>Clear / Partly cloudy</v>
      </c>
      <c r="X958" s="23" t="str">
        <f>VLOOKUP($G958,Lookups!$D$5:$E$8,2,FALSE())</f>
        <v>Winter</v>
      </c>
      <c r="Y958" s="23" t="str">
        <f>VLOOKUP($L958,Lookups!$G$5:$H$11,2,FALSE())</f>
        <v>Saturday</v>
      </c>
      <c r="Z958" s="23" t="str">
        <f>IF($J958&lt;Lookups!$B$26,"Night",IF($J958&lt;Lookups!$B$27,"Morning",IF($J958&lt;Lookups!$B$28,"Afternoon","Evening")))</f>
        <v>Morning</v>
      </c>
      <c r="AA958" s="26">
        <f>ROUND($N958*(Lookups!$B$16-Lookups!$B$15)+Lookups!$B$15,1)</f>
        <v>6.1</v>
      </c>
      <c r="AB958" s="26">
        <f>ROUND($P958*(Lookups!$B$18-Lookups!$B$17)+Lookups!$B$17,1)</f>
        <v>2</v>
      </c>
      <c r="AC958" s="23">
        <f t="shared" si="86"/>
        <v>28</v>
      </c>
      <c r="AD958" s="23">
        <f>ROUND($R958*Lookups!$B$19,1)</f>
        <v>22</v>
      </c>
      <c r="AE958" s="27">
        <f t="shared" si="87"/>
        <v>0.73684210526315785</v>
      </c>
      <c r="AF958" s="23" t="str">
        <f>IF($U958&gt;=Lookups!$B$23,"High",IF($U958&gt;=Lookups!$B$22,"Medium","Low"))</f>
        <v>High</v>
      </c>
      <c r="AG958" s="23">
        <f>ROUND(IF($V958="Weekday",IF(INDEX(Hourly_Analysis!$D$5:$D$28,$J958+1)&gt;0,($U958-INDEX(Hourly_Analysis!$C$5:$C$28,$J958+1))/INDEX(Hourly_Analysis!$D$5:$D$28,$J958+1),0),IF(INDEX(Hourly_Analysis!$G$5:$G$28,$J958+1)&gt;0,($U958-INDEX(Hourly_Analysis!$F$5:$F$28,$J958+1))/INDEX(Hourly_Analysis!$G$5:$G$28,$J958+1),0)),2)</f>
        <v>1.57</v>
      </c>
      <c r="AH958" s="23" t="str">
        <f>IF(ABS($AG958)&gt;Lookups!$B$20,IF($AG958&gt;0,"High anomaly","Low anomaly"),"")</f>
        <v/>
      </c>
      <c r="AI958" s="23" t="str">
        <f t="shared" si="88"/>
        <v>OK</v>
      </c>
      <c r="AJ958" s="23" t="str">
        <f t="shared" si="89"/>
        <v>No</v>
      </c>
    </row>
    <row r="959" spans="1:36" x14ac:dyDescent="0.35">
      <c r="A959" s="23">
        <v>958</v>
      </c>
      <c r="B959" s="23" t="str">
        <f t="shared" si="84"/>
        <v>Dataset 3</v>
      </c>
      <c r="C959" s="23">
        <f>IFERROR(MATCH($A959,Merge_1_2!$A$2:$A$611,0),0)</f>
        <v>0</v>
      </c>
      <c r="D959" s="23">
        <f>IF($C959&gt;0,INDEX(Merge_1_2!$Q$2:$Q$611,$C959),0)</f>
        <v>0</v>
      </c>
      <c r="E959" s="23">
        <f>IFERROR(MATCH($A959,Dataset3_Raw!$A$2:$A$391,0),0)</f>
        <v>348</v>
      </c>
      <c r="F959" s="24">
        <f>IF($C959&gt;0,INDEX(Merge_1_2!$B$2:$B$611,$C959),DATE(VALUE(RIGHT(INDEX(Dataset3_Raw!$B$2:$B$391,$E959),4)),VALUE(MID(INDEX(Dataset3_Raw!$B$2:$B$391,$E959),4,2)),VALUE(LEFT(INDEX(Dataset3_Raw!$B$2:$B$391,$E959),2))))</f>
        <v>40586</v>
      </c>
      <c r="G959" s="23">
        <f>IF($C959&gt;0,INDEX(Merge_1_2!$C$2:$C$611,$C959),INDEX(Dataset3_Raw!$C$2:$C$391,$E959))</f>
        <v>1</v>
      </c>
      <c r="H959" s="23">
        <f>IF($C959&gt;0,INDEX(Merge_1_2!$D$2:$D$611,$C959),INDEX(Dataset3_Raw!$D$2:$D$391,$E959))</f>
        <v>0</v>
      </c>
      <c r="I959" s="23">
        <f>IF($C959&gt;0,INDEX(Merge_1_2!$E$2:$E$611,$C959),INDEX(Dataset3_Raw!$E$2:$E$391,$E959))</f>
        <v>2</v>
      </c>
      <c r="J959" s="23">
        <f>IF($C959&gt;0,INDEX(Merge_1_2!$F$2:$F$611,$C959),INDEX(Dataset3_Raw!$F$2:$F$391,$E959))</f>
        <v>12</v>
      </c>
      <c r="K959" s="23" t="b">
        <f>IF($C959&gt;0,INDEX(Merge_1_2!$G$2:$G$611,$C959),INDEX(Dataset3_Raw!$G$2:$G$391,$E959))</f>
        <v>0</v>
      </c>
      <c r="L959" s="23">
        <f>IF($C959&gt;0,INDEX(Merge_1_2!$H$2:$H$611,$C959),INDEX(Dataset3_Raw!$H$2:$H$391,$E959))</f>
        <v>6</v>
      </c>
      <c r="M959" s="23">
        <f>IF($C959&gt;0,INDEX(Merge_1_2!$I$2:$I$611,$C959),INDEX(Dataset3_Raw!$I$2:$I$391,$E959))</f>
        <v>1</v>
      </c>
      <c r="N959" s="25">
        <f>IF($C959&gt;0,INDEX(Merge_1_2!$J$2:$J$611,$C959),INDEX(Dataset3_Raw!$J$2:$J$391,$E959))</f>
        <v>0.3</v>
      </c>
      <c r="O959" s="25">
        <f>IF($C959&gt;0,IF(ISNUMBER(INDEX(Merge_1_2!$K$2:$K$611,$C959)),INDEX(Merge_1_2!$K$2:$K$611,$C959),""),INDEX(Dataset3_Raw!$K$2:$K$391,$E959))</f>
        <v>0.2727</v>
      </c>
      <c r="P959" s="25">
        <f>IF(ISNUMBER($O959),$O959,ROUND(Lookups!$B$25+Lookups!$B$24*$N959,4))</f>
        <v>0.2727</v>
      </c>
      <c r="Q959" s="25">
        <f>IF($C959&gt;0,INDEX(Merge_1_2!$L$2:$L$611,$C959),INDEX(Dataset3_Raw!$L$2:$L$391,$E959))</f>
        <v>0.39</v>
      </c>
      <c r="R959" s="25">
        <f>IF($C959&gt;0,INDEX(Merge_1_2!$M$2:$M$611,$C959),INDEX(Dataset3_Raw!$M$2:$M$391,$E959))</f>
        <v>0.4627</v>
      </c>
      <c r="S959" s="23">
        <f>IF($C959&gt;0,INDEX(Merge_1_2!$N$2:$N$611,$C959),INDEX(Dataset3_Raw!$N$2:$N$391,$E959))</f>
        <v>27</v>
      </c>
      <c r="T959" s="23">
        <f>IF($C959&gt;0,INDEX(Merge_1_2!$O$2:$O$611,$C959),INDEX(Dataset3_Raw!$O$2:$O$391,$E959))</f>
        <v>93</v>
      </c>
      <c r="U959" s="23">
        <f>IF($C959&gt;0,INDEX(Merge_1_2!$P$2:$P$611,$C959),INDEX(Dataset3_Raw!$P$2:$P$391,$E959))</f>
        <v>120</v>
      </c>
      <c r="V959" s="23" t="str">
        <f t="shared" si="85"/>
        <v>Weekend</v>
      </c>
      <c r="W959" s="23" t="str">
        <f>VLOOKUP($M959,Lookups!$A$5:$B$8,2,FALSE())</f>
        <v>Clear / Partly cloudy</v>
      </c>
      <c r="X959" s="23" t="str">
        <f>VLOOKUP($G959,Lookups!$D$5:$E$8,2,FALSE())</f>
        <v>Winter</v>
      </c>
      <c r="Y959" s="23" t="str">
        <f>VLOOKUP($L959,Lookups!$G$5:$H$11,2,FALSE())</f>
        <v>Saturday</v>
      </c>
      <c r="Z959" s="23" t="str">
        <f>IF($J959&lt;Lookups!$B$26,"Night",IF($J959&lt;Lookups!$B$27,"Morning",IF($J959&lt;Lookups!$B$28,"Afternoon","Evening")))</f>
        <v>Afternoon</v>
      </c>
      <c r="AA959" s="26">
        <f>ROUND($N959*(Lookups!$B$16-Lookups!$B$15)+Lookups!$B$15,1)</f>
        <v>6.1</v>
      </c>
      <c r="AB959" s="26">
        <f>ROUND($P959*(Lookups!$B$18-Lookups!$B$17)+Lookups!$B$17,1)</f>
        <v>2</v>
      </c>
      <c r="AC959" s="23">
        <f t="shared" si="86"/>
        <v>39</v>
      </c>
      <c r="AD959" s="23">
        <f>ROUND($R959*Lookups!$B$19,1)</f>
        <v>31</v>
      </c>
      <c r="AE959" s="27">
        <f t="shared" si="87"/>
        <v>0.77500000000000002</v>
      </c>
      <c r="AF959" s="23" t="str">
        <f>IF($U959&gt;=Lookups!$B$23,"High",IF($U959&gt;=Lookups!$B$22,"Medium","Low"))</f>
        <v>High</v>
      </c>
      <c r="AG959" s="23">
        <f>ROUND(IF($V959="Weekday",IF(INDEX(Hourly_Analysis!$D$5:$D$28,$J959+1)&gt;0,($U959-INDEX(Hourly_Analysis!$C$5:$C$28,$J959+1))/INDEX(Hourly_Analysis!$D$5:$D$28,$J959+1),0),IF(INDEX(Hourly_Analysis!$G$5:$G$28,$J959+1)&gt;0,($U959-INDEX(Hourly_Analysis!$F$5:$F$28,$J959+1))/INDEX(Hourly_Analysis!$G$5:$G$28,$J959+1),0)),2)</f>
        <v>0.66</v>
      </c>
      <c r="AH959" s="23" t="str">
        <f>IF(ABS($AG959)&gt;Lookups!$B$20,IF($AG959&gt;0,"High anomaly","Low anomaly"),"")</f>
        <v/>
      </c>
      <c r="AI959" s="23" t="str">
        <f t="shared" si="88"/>
        <v>OK</v>
      </c>
      <c r="AJ959" s="23" t="str">
        <f t="shared" si="89"/>
        <v>No</v>
      </c>
    </row>
    <row r="960" spans="1:36" x14ac:dyDescent="0.35">
      <c r="A960" s="23">
        <v>959</v>
      </c>
      <c r="B960" s="23" t="str">
        <f t="shared" si="84"/>
        <v>Dataset 3</v>
      </c>
      <c r="C960" s="23">
        <f>IFERROR(MATCH($A960,Merge_1_2!$A$2:$A$611,0),0)</f>
        <v>0</v>
      </c>
      <c r="D960" s="23">
        <f>IF($C960&gt;0,INDEX(Merge_1_2!$Q$2:$Q$611,$C960),0)</f>
        <v>0</v>
      </c>
      <c r="E960" s="23">
        <f>IFERROR(MATCH($A960,Dataset3_Raw!$A$2:$A$391,0),0)</f>
        <v>349</v>
      </c>
      <c r="F960" s="24">
        <f>IF($C960&gt;0,INDEX(Merge_1_2!$B$2:$B$611,$C960),DATE(VALUE(RIGHT(INDEX(Dataset3_Raw!$B$2:$B$391,$E960),4)),VALUE(MID(INDEX(Dataset3_Raw!$B$2:$B$391,$E960),4,2)),VALUE(LEFT(INDEX(Dataset3_Raw!$B$2:$B$391,$E960),2))))</f>
        <v>40586</v>
      </c>
      <c r="G960" s="23">
        <f>IF($C960&gt;0,INDEX(Merge_1_2!$C$2:$C$611,$C960),INDEX(Dataset3_Raw!$C$2:$C$391,$E960))</f>
        <v>1</v>
      </c>
      <c r="H960" s="23">
        <f>IF($C960&gt;0,INDEX(Merge_1_2!$D$2:$D$611,$C960),INDEX(Dataset3_Raw!$D$2:$D$391,$E960))</f>
        <v>0</v>
      </c>
      <c r="I960" s="23">
        <f>IF($C960&gt;0,INDEX(Merge_1_2!$E$2:$E$611,$C960),INDEX(Dataset3_Raw!$E$2:$E$391,$E960))</f>
        <v>2</v>
      </c>
      <c r="J960" s="23">
        <f>IF($C960&gt;0,INDEX(Merge_1_2!$F$2:$F$611,$C960),INDEX(Dataset3_Raw!$F$2:$F$391,$E960))</f>
        <v>13</v>
      </c>
      <c r="K960" s="23" t="b">
        <f>IF($C960&gt;0,INDEX(Merge_1_2!$G$2:$G$611,$C960),INDEX(Dataset3_Raw!$G$2:$G$391,$E960))</f>
        <v>0</v>
      </c>
      <c r="L960" s="23">
        <f>IF($C960&gt;0,INDEX(Merge_1_2!$H$2:$H$611,$C960),INDEX(Dataset3_Raw!$H$2:$H$391,$E960))</f>
        <v>6</v>
      </c>
      <c r="M960" s="23">
        <f>IF($C960&gt;0,INDEX(Merge_1_2!$I$2:$I$611,$C960),INDEX(Dataset3_Raw!$I$2:$I$391,$E960))</f>
        <v>1</v>
      </c>
      <c r="N960" s="25">
        <f>IF($C960&gt;0,INDEX(Merge_1_2!$J$2:$J$611,$C960),INDEX(Dataset3_Raw!$J$2:$J$391,$E960))</f>
        <v>0.3</v>
      </c>
      <c r="O960" s="25">
        <f>IF($C960&gt;0,IF(ISNUMBER(INDEX(Merge_1_2!$K$2:$K$611,$C960)),INDEX(Merge_1_2!$K$2:$K$611,$C960),""),INDEX(Dataset3_Raw!$K$2:$K$391,$E960))</f>
        <v>0.2727</v>
      </c>
      <c r="P960" s="25">
        <f>IF(ISNUMBER($O960),$O960,ROUND(Lookups!$B$25+Lookups!$B$24*$N960,4))</f>
        <v>0.2727</v>
      </c>
      <c r="Q960" s="25">
        <f>IF($C960&gt;0,INDEX(Merge_1_2!$L$2:$L$611,$C960),INDEX(Dataset3_Raw!$L$2:$L$391,$E960))</f>
        <v>0.39</v>
      </c>
      <c r="R960" s="25">
        <f>IF($C960&gt;0,INDEX(Merge_1_2!$M$2:$M$611,$C960),INDEX(Dataset3_Raw!$M$2:$M$391,$E960))</f>
        <v>0.41789999999999999</v>
      </c>
      <c r="S960" s="23">
        <f>IF($C960&gt;0,INDEX(Merge_1_2!$N$2:$N$611,$C960),INDEX(Dataset3_Raw!$N$2:$N$391,$E960))</f>
        <v>32</v>
      </c>
      <c r="T960" s="23">
        <f>IF($C960&gt;0,INDEX(Merge_1_2!$O$2:$O$611,$C960),INDEX(Dataset3_Raw!$O$2:$O$391,$E960))</f>
        <v>103</v>
      </c>
      <c r="U960" s="23">
        <f>IF($C960&gt;0,INDEX(Merge_1_2!$P$2:$P$611,$C960),INDEX(Dataset3_Raw!$P$2:$P$391,$E960))</f>
        <v>135</v>
      </c>
      <c r="V960" s="23" t="str">
        <f t="shared" si="85"/>
        <v>Weekend</v>
      </c>
      <c r="W960" s="23" t="str">
        <f>VLOOKUP($M960,Lookups!$A$5:$B$8,2,FALSE())</f>
        <v>Clear / Partly cloudy</v>
      </c>
      <c r="X960" s="23" t="str">
        <f>VLOOKUP($G960,Lookups!$D$5:$E$8,2,FALSE())</f>
        <v>Winter</v>
      </c>
      <c r="Y960" s="23" t="str">
        <f>VLOOKUP($L960,Lookups!$G$5:$H$11,2,FALSE())</f>
        <v>Saturday</v>
      </c>
      <c r="Z960" s="23" t="str">
        <f>IF($J960&lt;Lookups!$B$26,"Night",IF($J960&lt;Lookups!$B$27,"Morning",IF($J960&lt;Lookups!$B$28,"Afternoon","Evening")))</f>
        <v>Afternoon</v>
      </c>
      <c r="AA960" s="26">
        <f>ROUND($N960*(Lookups!$B$16-Lookups!$B$15)+Lookups!$B$15,1)</f>
        <v>6.1</v>
      </c>
      <c r="AB960" s="26">
        <f>ROUND($P960*(Lookups!$B$18-Lookups!$B$17)+Lookups!$B$17,1)</f>
        <v>2</v>
      </c>
      <c r="AC960" s="23">
        <f t="shared" si="86"/>
        <v>39</v>
      </c>
      <c r="AD960" s="23">
        <f>ROUND($R960*Lookups!$B$19,1)</f>
        <v>28</v>
      </c>
      <c r="AE960" s="27">
        <f t="shared" si="87"/>
        <v>0.76296296296296295</v>
      </c>
      <c r="AF960" s="23" t="str">
        <f>IF($U960&gt;=Lookups!$B$23,"High",IF($U960&gt;=Lookups!$B$22,"Medium","Low"))</f>
        <v>High</v>
      </c>
      <c r="AG960" s="23">
        <f>ROUND(IF($V960="Weekday",IF(INDEX(Hourly_Analysis!$D$5:$D$28,$J960+1)&gt;0,($U960-INDEX(Hourly_Analysis!$C$5:$C$28,$J960+1))/INDEX(Hourly_Analysis!$D$5:$D$28,$J960+1),0),IF(INDEX(Hourly_Analysis!$G$5:$G$28,$J960+1)&gt;0,($U960-INDEX(Hourly_Analysis!$F$5:$F$28,$J960+1))/INDEX(Hourly_Analysis!$G$5:$G$28,$J960+1),0)),2)</f>
        <v>1.02</v>
      </c>
      <c r="AH960" s="23" t="str">
        <f>IF(ABS($AG960)&gt;Lookups!$B$20,IF($AG960&gt;0,"High anomaly","Low anomaly"),"")</f>
        <v/>
      </c>
      <c r="AI960" s="23" t="str">
        <f t="shared" si="88"/>
        <v>OK</v>
      </c>
      <c r="AJ960" s="23" t="str">
        <f t="shared" si="89"/>
        <v>No</v>
      </c>
    </row>
    <row r="961" spans="1:36" x14ac:dyDescent="0.35">
      <c r="A961" s="23">
        <v>960</v>
      </c>
      <c r="B961" s="23" t="str">
        <f t="shared" si="84"/>
        <v>Dataset 3</v>
      </c>
      <c r="C961" s="23">
        <f>IFERROR(MATCH($A961,Merge_1_2!$A$2:$A$611,0),0)</f>
        <v>0</v>
      </c>
      <c r="D961" s="23">
        <f>IF($C961&gt;0,INDEX(Merge_1_2!$Q$2:$Q$611,$C961),0)</f>
        <v>0</v>
      </c>
      <c r="E961" s="23">
        <f>IFERROR(MATCH($A961,Dataset3_Raw!$A$2:$A$391,0),0)</f>
        <v>350</v>
      </c>
      <c r="F961" s="24">
        <f>IF($C961&gt;0,INDEX(Merge_1_2!$B$2:$B$611,$C961),DATE(VALUE(RIGHT(INDEX(Dataset3_Raw!$B$2:$B$391,$E961),4)),VALUE(MID(INDEX(Dataset3_Raw!$B$2:$B$391,$E961),4,2)),VALUE(LEFT(INDEX(Dataset3_Raw!$B$2:$B$391,$E961),2))))</f>
        <v>40586</v>
      </c>
      <c r="G961" s="23">
        <f>IF($C961&gt;0,INDEX(Merge_1_2!$C$2:$C$611,$C961),INDEX(Dataset3_Raw!$C$2:$C$391,$E961))</f>
        <v>1</v>
      </c>
      <c r="H961" s="23">
        <f>IF($C961&gt;0,INDEX(Merge_1_2!$D$2:$D$611,$C961),INDEX(Dataset3_Raw!$D$2:$D$391,$E961))</f>
        <v>0</v>
      </c>
      <c r="I961" s="23">
        <f>IF($C961&gt;0,INDEX(Merge_1_2!$E$2:$E$611,$C961),INDEX(Dataset3_Raw!$E$2:$E$391,$E961))</f>
        <v>2</v>
      </c>
      <c r="J961" s="23">
        <f>IF($C961&gt;0,INDEX(Merge_1_2!$F$2:$F$611,$C961),INDEX(Dataset3_Raw!$F$2:$F$391,$E961))</f>
        <v>14</v>
      </c>
      <c r="K961" s="23" t="b">
        <f>IF($C961&gt;0,INDEX(Merge_1_2!$G$2:$G$611,$C961),INDEX(Dataset3_Raw!$G$2:$G$391,$E961))</f>
        <v>0</v>
      </c>
      <c r="L961" s="23">
        <f>IF($C961&gt;0,INDEX(Merge_1_2!$H$2:$H$611,$C961),INDEX(Dataset3_Raw!$H$2:$H$391,$E961))</f>
        <v>6</v>
      </c>
      <c r="M961" s="23">
        <f>IF($C961&gt;0,INDEX(Merge_1_2!$I$2:$I$611,$C961),INDEX(Dataset3_Raw!$I$2:$I$391,$E961))</f>
        <v>1</v>
      </c>
      <c r="N961" s="25">
        <f>IF($C961&gt;0,INDEX(Merge_1_2!$J$2:$J$611,$C961),INDEX(Dataset3_Raw!$J$2:$J$391,$E961))</f>
        <v>0.34</v>
      </c>
      <c r="O961" s="25">
        <f>IF($C961&gt;0,IF(ISNUMBER(INDEX(Merge_1_2!$K$2:$K$611,$C961)),INDEX(Merge_1_2!$K$2:$K$611,$C961),""),INDEX(Dataset3_Raw!$K$2:$K$391,$E961))</f>
        <v>0.31819999999999998</v>
      </c>
      <c r="P961" s="25">
        <f>IF(ISNUMBER($O961),$O961,ROUND(Lookups!$B$25+Lookups!$B$24*$N961,4))</f>
        <v>0.31819999999999998</v>
      </c>
      <c r="Q961" s="25">
        <f>IF($C961&gt;0,INDEX(Merge_1_2!$L$2:$L$611,$C961),INDEX(Dataset3_Raw!$L$2:$L$391,$E961))</f>
        <v>0.31</v>
      </c>
      <c r="R961" s="25">
        <f>IF($C961&gt;0,INDEX(Merge_1_2!$M$2:$M$611,$C961),INDEX(Dataset3_Raw!$M$2:$M$391,$E961))</f>
        <v>0.28360000000000002</v>
      </c>
      <c r="S961" s="23">
        <f>IF($C961&gt;0,INDEX(Merge_1_2!$N$2:$N$611,$C961),INDEX(Dataset3_Raw!$N$2:$N$391,$E961))</f>
        <v>30</v>
      </c>
      <c r="T961" s="23">
        <f>IF($C961&gt;0,INDEX(Merge_1_2!$O$2:$O$611,$C961),INDEX(Dataset3_Raw!$O$2:$O$391,$E961))</f>
        <v>90</v>
      </c>
      <c r="U961" s="23">
        <f>IF($C961&gt;0,INDEX(Merge_1_2!$P$2:$P$611,$C961),INDEX(Dataset3_Raw!$P$2:$P$391,$E961))</f>
        <v>120</v>
      </c>
      <c r="V961" s="23" t="str">
        <f t="shared" si="85"/>
        <v>Weekend</v>
      </c>
      <c r="W961" s="23" t="str">
        <f>VLOOKUP($M961,Lookups!$A$5:$B$8,2,FALSE())</f>
        <v>Clear / Partly cloudy</v>
      </c>
      <c r="X961" s="23" t="str">
        <f>VLOOKUP($G961,Lookups!$D$5:$E$8,2,FALSE())</f>
        <v>Winter</v>
      </c>
      <c r="Y961" s="23" t="str">
        <f>VLOOKUP($L961,Lookups!$G$5:$H$11,2,FALSE())</f>
        <v>Saturday</v>
      </c>
      <c r="Z961" s="23" t="str">
        <f>IF($J961&lt;Lookups!$B$26,"Night",IF($J961&lt;Lookups!$B$27,"Morning",IF($J961&lt;Lookups!$B$28,"Afternoon","Evening")))</f>
        <v>Afternoon</v>
      </c>
      <c r="AA961" s="26">
        <f>ROUND($N961*(Lookups!$B$16-Lookups!$B$15)+Lookups!$B$15,1)</f>
        <v>8</v>
      </c>
      <c r="AB961" s="26">
        <f>ROUND($P961*(Lookups!$B$18-Lookups!$B$17)+Lookups!$B$17,1)</f>
        <v>5</v>
      </c>
      <c r="AC961" s="23">
        <f t="shared" si="86"/>
        <v>31</v>
      </c>
      <c r="AD961" s="23">
        <f>ROUND($R961*Lookups!$B$19,1)</f>
        <v>19</v>
      </c>
      <c r="AE961" s="27">
        <f t="shared" si="87"/>
        <v>0.75</v>
      </c>
      <c r="AF961" s="23" t="str">
        <f>IF($U961&gt;=Lookups!$B$23,"High",IF($U961&gt;=Lookups!$B$22,"Medium","Low"))</f>
        <v>High</v>
      </c>
      <c r="AG961" s="23">
        <f>ROUND(IF($V961="Weekday",IF(INDEX(Hourly_Analysis!$D$5:$D$28,$J961+1)&gt;0,($U961-INDEX(Hourly_Analysis!$C$5:$C$28,$J961+1))/INDEX(Hourly_Analysis!$D$5:$D$28,$J961+1),0),IF(INDEX(Hourly_Analysis!$G$5:$G$28,$J961+1)&gt;0,($U961-INDEX(Hourly_Analysis!$F$5:$F$28,$J961+1))/INDEX(Hourly_Analysis!$G$5:$G$28,$J961+1),0)),2)</f>
        <v>0.56999999999999995</v>
      </c>
      <c r="AH961" s="23" t="str">
        <f>IF(ABS($AG961)&gt;Lookups!$B$20,IF($AG961&gt;0,"High anomaly","Low anomaly"),"")</f>
        <v/>
      </c>
      <c r="AI961" s="23" t="str">
        <f t="shared" si="88"/>
        <v>OK</v>
      </c>
      <c r="AJ961" s="23" t="str">
        <f t="shared" si="89"/>
        <v>No</v>
      </c>
    </row>
    <row r="962" spans="1:36" x14ac:dyDescent="0.35">
      <c r="A962" s="23">
        <v>961</v>
      </c>
      <c r="B962" s="23" t="str">
        <f t="shared" ref="B962:B1001" si="90">IF($C962&gt;0,"Merge 1+2","Dataset 3")</f>
        <v>Dataset 3</v>
      </c>
      <c r="C962" s="23">
        <f>IFERROR(MATCH($A962,Merge_1_2!$A$2:$A$611,0),0)</f>
        <v>0</v>
      </c>
      <c r="D962" s="23">
        <f>IF($C962&gt;0,INDEX(Merge_1_2!$Q$2:$Q$611,$C962),0)</f>
        <v>0</v>
      </c>
      <c r="E962" s="23">
        <f>IFERROR(MATCH($A962,Dataset3_Raw!$A$2:$A$391,0),0)</f>
        <v>351</v>
      </c>
      <c r="F962" s="24">
        <f>IF($C962&gt;0,INDEX(Merge_1_2!$B$2:$B$611,$C962),DATE(VALUE(RIGHT(INDEX(Dataset3_Raw!$B$2:$B$391,$E962),4)),VALUE(MID(INDEX(Dataset3_Raw!$B$2:$B$391,$E962),4,2)),VALUE(LEFT(INDEX(Dataset3_Raw!$B$2:$B$391,$E962),2))))</f>
        <v>40586</v>
      </c>
      <c r="G962" s="23">
        <f>IF($C962&gt;0,INDEX(Merge_1_2!$C$2:$C$611,$C962),INDEX(Dataset3_Raw!$C$2:$C$391,$E962))</f>
        <v>1</v>
      </c>
      <c r="H962" s="23">
        <f>IF($C962&gt;0,INDEX(Merge_1_2!$D$2:$D$611,$C962),INDEX(Dataset3_Raw!$D$2:$D$391,$E962))</f>
        <v>0</v>
      </c>
      <c r="I962" s="23">
        <f>IF($C962&gt;0,INDEX(Merge_1_2!$E$2:$E$611,$C962),INDEX(Dataset3_Raw!$E$2:$E$391,$E962))</f>
        <v>2</v>
      </c>
      <c r="J962" s="23">
        <f>IF($C962&gt;0,INDEX(Merge_1_2!$F$2:$F$611,$C962),INDEX(Dataset3_Raw!$F$2:$F$391,$E962))</f>
        <v>15</v>
      </c>
      <c r="K962" s="23" t="b">
        <f>IF($C962&gt;0,INDEX(Merge_1_2!$G$2:$G$611,$C962),INDEX(Dataset3_Raw!$G$2:$G$391,$E962))</f>
        <v>0</v>
      </c>
      <c r="L962" s="23">
        <f>IF($C962&gt;0,INDEX(Merge_1_2!$H$2:$H$611,$C962),INDEX(Dataset3_Raw!$H$2:$H$391,$E962))</f>
        <v>6</v>
      </c>
      <c r="M962" s="23">
        <f>IF($C962&gt;0,INDEX(Merge_1_2!$I$2:$I$611,$C962),INDEX(Dataset3_Raw!$I$2:$I$391,$E962))</f>
        <v>1</v>
      </c>
      <c r="N962" s="25">
        <f>IF($C962&gt;0,INDEX(Merge_1_2!$J$2:$J$611,$C962),INDEX(Dataset3_Raw!$J$2:$J$391,$E962))</f>
        <v>0.34</v>
      </c>
      <c r="O962" s="25">
        <f>IF($C962&gt;0,IF(ISNUMBER(INDEX(Merge_1_2!$K$2:$K$611,$C962)),INDEX(Merge_1_2!$K$2:$K$611,$C962),""),INDEX(Dataset3_Raw!$K$2:$K$391,$E962))</f>
        <v>0.30299999999999999</v>
      </c>
      <c r="P962" s="25">
        <f>IF(ISNUMBER($O962),$O962,ROUND(Lookups!$B$25+Lookups!$B$24*$N962,4))</f>
        <v>0.30299999999999999</v>
      </c>
      <c r="Q962" s="25">
        <f>IF($C962&gt;0,INDEX(Merge_1_2!$L$2:$L$611,$C962),INDEX(Dataset3_Raw!$L$2:$L$391,$E962))</f>
        <v>0.28999999999999998</v>
      </c>
      <c r="R962" s="25">
        <f>IF($C962&gt;0,INDEX(Merge_1_2!$M$2:$M$611,$C962),INDEX(Dataset3_Raw!$M$2:$M$391,$E962))</f>
        <v>0.41789999999999999</v>
      </c>
      <c r="S962" s="23">
        <f>IF($C962&gt;0,INDEX(Merge_1_2!$N$2:$N$611,$C962),INDEX(Dataset3_Raw!$N$2:$N$391,$E962))</f>
        <v>47</v>
      </c>
      <c r="T962" s="23">
        <f>IF($C962&gt;0,INDEX(Merge_1_2!$O$2:$O$611,$C962),INDEX(Dataset3_Raw!$O$2:$O$391,$E962))</f>
        <v>127</v>
      </c>
      <c r="U962" s="23">
        <f>IF($C962&gt;0,INDEX(Merge_1_2!$P$2:$P$611,$C962),INDEX(Dataset3_Raw!$P$2:$P$391,$E962))</f>
        <v>174</v>
      </c>
      <c r="V962" s="23" t="str">
        <f t="shared" ref="V962:V1001" si="91">IF($K962,"Holiday",IF(OR($L962=0,$L962=6),"Weekend","Weekday"))</f>
        <v>Weekend</v>
      </c>
      <c r="W962" s="23" t="str">
        <f>VLOOKUP($M962,Lookups!$A$5:$B$8,2,FALSE())</f>
        <v>Clear / Partly cloudy</v>
      </c>
      <c r="X962" s="23" t="str">
        <f>VLOOKUP($G962,Lookups!$D$5:$E$8,2,FALSE())</f>
        <v>Winter</v>
      </c>
      <c r="Y962" s="23" t="str">
        <f>VLOOKUP($L962,Lookups!$G$5:$H$11,2,FALSE())</f>
        <v>Saturday</v>
      </c>
      <c r="Z962" s="23" t="str">
        <f>IF($J962&lt;Lookups!$B$26,"Night",IF($J962&lt;Lookups!$B$27,"Morning",IF($J962&lt;Lookups!$B$28,"Afternoon","Evening")))</f>
        <v>Afternoon</v>
      </c>
      <c r="AA962" s="26">
        <f>ROUND($N962*(Lookups!$B$16-Lookups!$B$15)+Lookups!$B$15,1)</f>
        <v>8</v>
      </c>
      <c r="AB962" s="26">
        <f>ROUND($P962*(Lookups!$B$18-Lookups!$B$17)+Lookups!$B$17,1)</f>
        <v>4</v>
      </c>
      <c r="AC962" s="23">
        <f t="shared" ref="AC962:AC1001" si="92">ROUND($Q962*100,0)</f>
        <v>29</v>
      </c>
      <c r="AD962" s="23">
        <f>ROUND($R962*Lookups!$B$19,1)</f>
        <v>28</v>
      </c>
      <c r="AE962" s="27">
        <f t="shared" ref="AE962:AE1001" si="93">IF($U962&gt;0,$T962/$U962,0)</f>
        <v>0.72988505747126442</v>
      </c>
      <c r="AF962" s="23" t="str">
        <f>IF($U962&gt;=Lookups!$B$23,"High",IF($U962&gt;=Lookups!$B$22,"Medium","Low"))</f>
        <v>High</v>
      </c>
      <c r="AG962" s="23">
        <f>ROUND(IF($V962="Weekday",IF(INDEX(Hourly_Analysis!$D$5:$D$28,$J962+1)&gt;0,($U962-INDEX(Hourly_Analysis!$C$5:$C$28,$J962+1))/INDEX(Hourly_Analysis!$D$5:$D$28,$J962+1),0),IF(INDEX(Hourly_Analysis!$G$5:$G$28,$J962+1)&gt;0,($U962-INDEX(Hourly_Analysis!$F$5:$F$28,$J962+1))/INDEX(Hourly_Analysis!$G$5:$G$28,$J962+1),0)),2)</f>
        <v>1.68</v>
      </c>
      <c r="AH962" s="23" t="str">
        <f>IF(ABS($AG962)&gt;Lookups!$B$20,IF($AG962&gt;0,"High anomaly","Low anomaly"),"")</f>
        <v/>
      </c>
      <c r="AI962" s="23" t="str">
        <f t="shared" ref="AI962:AI1001" si="94">IF($S962+$T962=$U962,"OK","Mismatch")</f>
        <v>OK</v>
      </c>
      <c r="AJ962" s="23" t="str">
        <f t="shared" ref="AJ962:AJ1001" si="95">IF(ISNUMBER($O962),"No","Yes")</f>
        <v>No</v>
      </c>
    </row>
    <row r="963" spans="1:36" x14ac:dyDescent="0.35">
      <c r="A963" s="23">
        <v>962</v>
      </c>
      <c r="B963" s="23" t="str">
        <f t="shared" si="90"/>
        <v>Dataset 3</v>
      </c>
      <c r="C963" s="23">
        <f>IFERROR(MATCH($A963,Merge_1_2!$A$2:$A$611,0),0)</f>
        <v>0</v>
      </c>
      <c r="D963" s="23">
        <f>IF($C963&gt;0,INDEX(Merge_1_2!$Q$2:$Q$611,$C963),0)</f>
        <v>0</v>
      </c>
      <c r="E963" s="23">
        <f>IFERROR(MATCH($A963,Dataset3_Raw!$A$2:$A$391,0),0)</f>
        <v>352</v>
      </c>
      <c r="F963" s="24">
        <f>IF($C963&gt;0,INDEX(Merge_1_2!$B$2:$B$611,$C963),DATE(VALUE(RIGHT(INDEX(Dataset3_Raw!$B$2:$B$391,$E963),4)),VALUE(MID(INDEX(Dataset3_Raw!$B$2:$B$391,$E963),4,2)),VALUE(LEFT(INDEX(Dataset3_Raw!$B$2:$B$391,$E963),2))))</f>
        <v>40586</v>
      </c>
      <c r="G963" s="23">
        <f>IF($C963&gt;0,INDEX(Merge_1_2!$C$2:$C$611,$C963),INDEX(Dataset3_Raw!$C$2:$C$391,$E963))</f>
        <v>1</v>
      </c>
      <c r="H963" s="23">
        <f>IF($C963&gt;0,INDEX(Merge_1_2!$D$2:$D$611,$C963),INDEX(Dataset3_Raw!$D$2:$D$391,$E963))</f>
        <v>0</v>
      </c>
      <c r="I963" s="23">
        <f>IF($C963&gt;0,INDEX(Merge_1_2!$E$2:$E$611,$C963),INDEX(Dataset3_Raw!$E$2:$E$391,$E963))</f>
        <v>2</v>
      </c>
      <c r="J963" s="23">
        <f>IF($C963&gt;0,INDEX(Merge_1_2!$F$2:$F$611,$C963),INDEX(Dataset3_Raw!$F$2:$F$391,$E963))</f>
        <v>16</v>
      </c>
      <c r="K963" s="23" t="b">
        <f>IF($C963&gt;0,INDEX(Merge_1_2!$G$2:$G$611,$C963),INDEX(Dataset3_Raw!$G$2:$G$391,$E963))</f>
        <v>0</v>
      </c>
      <c r="L963" s="23">
        <f>IF($C963&gt;0,INDEX(Merge_1_2!$H$2:$H$611,$C963),INDEX(Dataset3_Raw!$H$2:$H$391,$E963))</f>
        <v>6</v>
      </c>
      <c r="M963" s="23">
        <f>IF($C963&gt;0,INDEX(Merge_1_2!$I$2:$I$611,$C963),INDEX(Dataset3_Raw!$I$2:$I$391,$E963))</f>
        <v>1</v>
      </c>
      <c r="N963" s="25">
        <f>IF($C963&gt;0,INDEX(Merge_1_2!$J$2:$J$611,$C963),INDEX(Dataset3_Raw!$J$2:$J$391,$E963))</f>
        <v>0.34</v>
      </c>
      <c r="O963" s="25">
        <f>IF($C963&gt;0,IF(ISNUMBER(INDEX(Merge_1_2!$K$2:$K$611,$C963)),INDEX(Merge_1_2!$K$2:$K$611,$C963),""),INDEX(Dataset3_Raw!$K$2:$K$391,$E963))</f>
        <v>0.30299999999999999</v>
      </c>
      <c r="P963" s="25">
        <f>IF(ISNUMBER($O963),$O963,ROUND(Lookups!$B$25+Lookups!$B$24*$N963,4))</f>
        <v>0.30299999999999999</v>
      </c>
      <c r="Q963" s="25">
        <f>IF($C963&gt;0,INDEX(Merge_1_2!$L$2:$L$611,$C963),INDEX(Dataset3_Raw!$L$2:$L$391,$E963))</f>
        <v>0.28999999999999998</v>
      </c>
      <c r="R963" s="25">
        <f>IF($C963&gt;0,INDEX(Merge_1_2!$M$2:$M$611,$C963),INDEX(Dataset3_Raw!$M$2:$M$391,$E963))</f>
        <v>0.41789999999999999</v>
      </c>
      <c r="S963" s="23">
        <f>IF($C963&gt;0,INDEX(Merge_1_2!$N$2:$N$611,$C963),INDEX(Dataset3_Raw!$N$2:$N$391,$E963))</f>
        <v>42</v>
      </c>
      <c r="T963" s="23">
        <f>IF($C963&gt;0,INDEX(Merge_1_2!$O$2:$O$611,$C963),INDEX(Dataset3_Raw!$O$2:$O$391,$E963))</f>
        <v>103</v>
      </c>
      <c r="U963" s="23">
        <f>IF($C963&gt;0,INDEX(Merge_1_2!$P$2:$P$611,$C963),INDEX(Dataset3_Raw!$P$2:$P$391,$E963))</f>
        <v>145</v>
      </c>
      <c r="V963" s="23" t="str">
        <f t="shared" si="91"/>
        <v>Weekend</v>
      </c>
      <c r="W963" s="23" t="str">
        <f>VLOOKUP($M963,Lookups!$A$5:$B$8,2,FALSE())</f>
        <v>Clear / Partly cloudy</v>
      </c>
      <c r="X963" s="23" t="str">
        <f>VLOOKUP($G963,Lookups!$D$5:$E$8,2,FALSE())</f>
        <v>Winter</v>
      </c>
      <c r="Y963" s="23" t="str">
        <f>VLOOKUP($L963,Lookups!$G$5:$H$11,2,FALSE())</f>
        <v>Saturday</v>
      </c>
      <c r="Z963" s="23" t="str">
        <f>IF($J963&lt;Lookups!$B$26,"Night",IF($J963&lt;Lookups!$B$27,"Morning",IF($J963&lt;Lookups!$B$28,"Afternoon","Evening")))</f>
        <v>Afternoon</v>
      </c>
      <c r="AA963" s="26">
        <f>ROUND($N963*(Lookups!$B$16-Lookups!$B$15)+Lookups!$B$15,1)</f>
        <v>8</v>
      </c>
      <c r="AB963" s="26">
        <f>ROUND($P963*(Lookups!$B$18-Lookups!$B$17)+Lookups!$B$17,1)</f>
        <v>4</v>
      </c>
      <c r="AC963" s="23">
        <f t="shared" si="92"/>
        <v>29</v>
      </c>
      <c r="AD963" s="23">
        <f>ROUND($R963*Lookups!$B$19,1)</f>
        <v>28</v>
      </c>
      <c r="AE963" s="27">
        <f t="shared" si="93"/>
        <v>0.71034482758620687</v>
      </c>
      <c r="AF963" s="23" t="str">
        <f>IF($U963&gt;=Lookups!$B$23,"High",IF($U963&gt;=Lookups!$B$22,"Medium","Low"))</f>
        <v>High</v>
      </c>
      <c r="AG963" s="23">
        <f>ROUND(IF($V963="Weekday",IF(INDEX(Hourly_Analysis!$D$5:$D$28,$J963+1)&gt;0,($U963-INDEX(Hourly_Analysis!$C$5:$C$28,$J963+1))/INDEX(Hourly_Analysis!$D$5:$D$28,$J963+1),0),IF(INDEX(Hourly_Analysis!$G$5:$G$28,$J963+1)&gt;0,($U963-INDEX(Hourly_Analysis!$F$5:$F$28,$J963+1))/INDEX(Hourly_Analysis!$G$5:$G$28,$J963+1),0)),2)</f>
        <v>1.49</v>
      </c>
      <c r="AH963" s="23" t="str">
        <f>IF(ABS($AG963)&gt;Lookups!$B$20,IF($AG963&gt;0,"High anomaly","Low anomaly"),"")</f>
        <v/>
      </c>
      <c r="AI963" s="23" t="str">
        <f t="shared" si="94"/>
        <v>OK</v>
      </c>
      <c r="AJ963" s="23" t="str">
        <f t="shared" si="95"/>
        <v>No</v>
      </c>
    </row>
    <row r="964" spans="1:36" x14ac:dyDescent="0.35">
      <c r="A964" s="23">
        <v>963</v>
      </c>
      <c r="B964" s="23" t="str">
        <f t="shared" si="90"/>
        <v>Dataset 3</v>
      </c>
      <c r="C964" s="23">
        <f>IFERROR(MATCH($A964,Merge_1_2!$A$2:$A$611,0),0)</f>
        <v>0</v>
      </c>
      <c r="D964" s="23">
        <f>IF($C964&gt;0,INDEX(Merge_1_2!$Q$2:$Q$611,$C964),0)</f>
        <v>0</v>
      </c>
      <c r="E964" s="23">
        <f>IFERROR(MATCH($A964,Dataset3_Raw!$A$2:$A$391,0),0)</f>
        <v>353</v>
      </c>
      <c r="F964" s="24">
        <f>IF($C964&gt;0,INDEX(Merge_1_2!$B$2:$B$611,$C964),DATE(VALUE(RIGHT(INDEX(Dataset3_Raw!$B$2:$B$391,$E964),4)),VALUE(MID(INDEX(Dataset3_Raw!$B$2:$B$391,$E964),4,2)),VALUE(LEFT(INDEX(Dataset3_Raw!$B$2:$B$391,$E964),2))))</f>
        <v>40586</v>
      </c>
      <c r="G964" s="23">
        <f>IF($C964&gt;0,INDEX(Merge_1_2!$C$2:$C$611,$C964),INDEX(Dataset3_Raw!$C$2:$C$391,$E964))</f>
        <v>1</v>
      </c>
      <c r="H964" s="23">
        <f>IF($C964&gt;0,INDEX(Merge_1_2!$D$2:$D$611,$C964),INDEX(Dataset3_Raw!$D$2:$D$391,$E964))</f>
        <v>0</v>
      </c>
      <c r="I964" s="23">
        <f>IF($C964&gt;0,INDEX(Merge_1_2!$E$2:$E$611,$C964),INDEX(Dataset3_Raw!$E$2:$E$391,$E964))</f>
        <v>2</v>
      </c>
      <c r="J964" s="23">
        <f>IF($C964&gt;0,INDEX(Merge_1_2!$F$2:$F$611,$C964),INDEX(Dataset3_Raw!$F$2:$F$391,$E964))</f>
        <v>17</v>
      </c>
      <c r="K964" s="23" t="b">
        <f>IF($C964&gt;0,INDEX(Merge_1_2!$G$2:$G$611,$C964),INDEX(Dataset3_Raw!$G$2:$G$391,$E964))</f>
        <v>0</v>
      </c>
      <c r="L964" s="23">
        <f>IF($C964&gt;0,INDEX(Merge_1_2!$H$2:$H$611,$C964),INDEX(Dataset3_Raw!$H$2:$H$391,$E964))</f>
        <v>6</v>
      </c>
      <c r="M964" s="23">
        <f>IF($C964&gt;0,INDEX(Merge_1_2!$I$2:$I$611,$C964),INDEX(Dataset3_Raw!$I$2:$I$391,$E964))</f>
        <v>1</v>
      </c>
      <c r="N964" s="25">
        <f>IF($C964&gt;0,INDEX(Merge_1_2!$J$2:$J$611,$C964),INDEX(Dataset3_Raw!$J$2:$J$391,$E964))</f>
        <v>0.32</v>
      </c>
      <c r="O964" s="25">
        <f>IF($C964&gt;0,IF(ISNUMBER(INDEX(Merge_1_2!$K$2:$K$611,$C964)),INDEX(Merge_1_2!$K$2:$K$611,$C964),""),INDEX(Dataset3_Raw!$K$2:$K$391,$E964))</f>
        <v>0.28789999999999999</v>
      </c>
      <c r="P964" s="25">
        <f>IF(ISNUMBER($O964),$O964,ROUND(Lookups!$B$25+Lookups!$B$24*$N964,4))</f>
        <v>0.28789999999999999</v>
      </c>
      <c r="Q964" s="25">
        <f>IF($C964&gt;0,INDEX(Merge_1_2!$L$2:$L$611,$C964),INDEX(Dataset3_Raw!$L$2:$L$391,$E964))</f>
        <v>0.31</v>
      </c>
      <c r="R964" s="25">
        <f>IF($C964&gt;0,INDEX(Merge_1_2!$M$2:$M$611,$C964),INDEX(Dataset3_Raw!$M$2:$M$391,$E964))</f>
        <v>0.52239999999999998</v>
      </c>
      <c r="S964" s="23">
        <f>IF($C964&gt;0,INDEX(Merge_1_2!$N$2:$N$611,$C964),INDEX(Dataset3_Raw!$N$2:$N$391,$E964))</f>
        <v>24</v>
      </c>
      <c r="T964" s="23">
        <f>IF($C964&gt;0,INDEX(Merge_1_2!$O$2:$O$611,$C964),INDEX(Dataset3_Raw!$O$2:$O$391,$E964))</f>
        <v>113</v>
      </c>
      <c r="U964" s="23">
        <f>IF($C964&gt;0,INDEX(Merge_1_2!$P$2:$P$611,$C964),INDEX(Dataset3_Raw!$P$2:$P$391,$E964))</f>
        <v>137</v>
      </c>
      <c r="V964" s="23" t="str">
        <f t="shared" si="91"/>
        <v>Weekend</v>
      </c>
      <c r="W964" s="23" t="str">
        <f>VLOOKUP($M964,Lookups!$A$5:$B$8,2,FALSE())</f>
        <v>Clear / Partly cloudy</v>
      </c>
      <c r="X964" s="23" t="str">
        <f>VLOOKUP($G964,Lookups!$D$5:$E$8,2,FALSE())</f>
        <v>Winter</v>
      </c>
      <c r="Y964" s="23" t="str">
        <f>VLOOKUP($L964,Lookups!$G$5:$H$11,2,FALSE())</f>
        <v>Saturday</v>
      </c>
      <c r="Z964" s="23" t="str">
        <f>IF($J964&lt;Lookups!$B$26,"Night",IF($J964&lt;Lookups!$B$27,"Morning",IF($J964&lt;Lookups!$B$28,"Afternoon","Evening")))</f>
        <v>Afternoon</v>
      </c>
      <c r="AA964" s="26">
        <f>ROUND($N964*(Lookups!$B$16-Lookups!$B$15)+Lookups!$B$15,1)</f>
        <v>7</v>
      </c>
      <c r="AB964" s="26">
        <f>ROUND($P964*(Lookups!$B$18-Lookups!$B$17)+Lookups!$B$17,1)</f>
        <v>3</v>
      </c>
      <c r="AC964" s="23">
        <f t="shared" si="92"/>
        <v>31</v>
      </c>
      <c r="AD964" s="23">
        <f>ROUND($R964*Lookups!$B$19,1)</f>
        <v>35</v>
      </c>
      <c r="AE964" s="27">
        <f t="shared" si="93"/>
        <v>0.82481751824817517</v>
      </c>
      <c r="AF964" s="23" t="str">
        <f>IF($U964&gt;=Lookups!$B$23,"High",IF($U964&gt;=Lookups!$B$22,"Medium","Low"))</f>
        <v>High</v>
      </c>
      <c r="AG964" s="23">
        <f>ROUND(IF($V964="Weekday",IF(INDEX(Hourly_Analysis!$D$5:$D$28,$J964+1)&gt;0,($U964-INDEX(Hourly_Analysis!$C$5:$C$28,$J964+1))/INDEX(Hourly_Analysis!$D$5:$D$28,$J964+1),0),IF(INDEX(Hourly_Analysis!$G$5:$G$28,$J964+1)&gt;0,($U964-INDEX(Hourly_Analysis!$F$5:$F$28,$J964+1))/INDEX(Hourly_Analysis!$G$5:$G$28,$J964+1),0)),2)</f>
        <v>2.0499999999999998</v>
      </c>
      <c r="AH964" s="23" t="str">
        <f>IF(ABS($AG964)&gt;Lookups!$B$20,IF($AG964&gt;0,"High anomaly","Low anomaly"),"")</f>
        <v/>
      </c>
      <c r="AI964" s="23" t="str">
        <f t="shared" si="94"/>
        <v>OK</v>
      </c>
      <c r="AJ964" s="23" t="str">
        <f t="shared" si="95"/>
        <v>No</v>
      </c>
    </row>
    <row r="965" spans="1:36" x14ac:dyDescent="0.35">
      <c r="A965" s="23">
        <v>964</v>
      </c>
      <c r="B965" s="23" t="str">
        <f t="shared" si="90"/>
        <v>Dataset 3</v>
      </c>
      <c r="C965" s="23">
        <f>IFERROR(MATCH($A965,Merge_1_2!$A$2:$A$611,0),0)</f>
        <v>0</v>
      </c>
      <c r="D965" s="23">
        <f>IF($C965&gt;0,INDEX(Merge_1_2!$Q$2:$Q$611,$C965),0)</f>
        <v>0</v>
      </c>
      <c r="E965" s="23">
        <f>IFERROR(MATCH($A965,Dataset3_Raw!$A$2:$A$391,0),0)</f>
        <v>354</v>
      </c>
      <c r="F965" s="24">
        <f>IF($C965&gt;0,INDEX(Merge_1_2!$B$2:$B$611,$C965),DATE(VALUE(RIGHT(INDEX(Dataset3_Raw!$B$2:$B$391,$E965),4)),VALUE(MID(INDEX(Dataset3_Raw!$B$2:$B$391,$E965),4,2)),VALUE(LEFT(INDEX(Dataset3_Raw!$B$2:$B$391,$E965),2))))</f>
        <v>40586</v>
      </c>
      <c r="G965" s="23">
        <f>IF($C965&gt;0,INDEX(Merge_1_2!$C$2:$C$611,$C965),INDEX(Dataset3_Raw!$C$2:$C$391,$E965))</f>
        <v>1</v>
      </c>
      <c r="H965" s="23">
        <f>IF($C965&gt;0,INDEX(Merge_1_2!$D$2:$D$611,$C965),INDEX(Dataset3_Raw!$D$2:$D$391,$E965))</f>
        <v>0</v>
      </c>
      <c r="I965" s="23">
        <f>IF($C965&gt;0,INDEX(Merge_1_2!$E$2:$E$611,$C965),INDEX(Dataset3_Raw!$E$2:$E$391,$E965))</f>
        <v>2</v>
      </c>
      <c r="J965" s="23">
        <f>IF($C965&gt;0,INDEX(Merge_1_2!$F$2:$F$611,$C965),INDEX(Dataset3_Raw!$F$2:$F$391,$E965))</f>
        <v>18</v>
      </c>
      <c r="K965" s="23" t="b">
        <f>IF($C965&gt;0,INDEX(Merge_1_2!$G$2:$G$611,$C965),INDEX(Dataset3_Raw!$G$2:$G$391,$E965))</f>
        <v>0</v>
      </c>
      <c r="L965" s="23">
        <f>IF($C965&gt;0,INDEX(Merge_1_2!$H$2:$H$611,$C965),INDEX(Dataset3_Raw!$H$2:$H$391,$E965))</f>
        <v>6</v>
      </c>
      <c r="M965" s="23">
        <f>IF($C965&gt;0,INDEX(Merge_1_2!$I$2:$I$611,$C965),INDEX(Dataset3_Raw!$I$2:$I$391,$E965))</f>
        <v>1</v>
      </c>
      <c r="N965" s="25">
        <f>IF($C965&gt;0,INDEX(Merge_1_2!$J$2:$J$611,$C965),INDEX(Dataset3_Raw!$J$2:$J$391,$E965))</f>
        <v>0.28000000000000003</v>
      </c>
      <c r="O965" s="25">
        <f>IF($C965&gt;0,IF(ISNUMBER(INDEX(Merge_1_2!$K$2:$K$611,$C965)),INDEX(Merge_1_2!$K$2:$K$611,$C965),""),INDEX(Dataset3_Raw!$K$2:$K$391,$E965))</f>
        <v>0.2576</v>
      </c>
      <c r="P965" s="25">
        <f>IF(ISNUMBER($O965),$O965,ROUND(Lookups!$B$25+Lookups!$B$24*$N965,4))</f>
        <v>0.2576</v>
      </c>
      <c r="Q965" s="25">
        <f>IF($C965&gt;0,INDEX(Merge_1_2!$L$2:$L$611,$C965),INDEX(Dataset3_Raw!$L$2:$L$391,$E965))</f>
        <v>0.38</v>
      </c>
      <c r="R965" s="25">
        <f>IF($C965&gt;0,INDEX(Merge_1_2!$M$2:$M$611,$C965),INDEX(Dataset3_Raw!$M$2:$M$391,$E965))</f>
        <v>0.32840000000000003</v>
      </c>
      <c r="S965" s="23">
        <f>IF($C965&gt;0,INDEX(Merge_1_2!$N$2:$N$611,$C965),INDEX(Dataset3_Raw!$N$2:$N$391,$E965))</f>
        <v>4</v>
      </c>
      <c r="T965" s="23">
        <f>IF($C965&gt;0,INDEX(Merge_1_2!$O$2:$O$611,$C965),INDEX(Dataset3_Raw!$O$2:$O$391,$E965))</f>
        <v>60</v>
      </c>
      <c r="U965" s="23">
        <f>IF($C965&gt;0,INDEX(Merge_1_2!$P$2:$P$611,$C965),INDEX(Dataset3_Raw!$P$2:$P$391,$E965))</f>
        <v>64</v>
      </c>
      <c r="V965" s="23" t="str">
        <f t="shared" si="91"/>
        <v>Weekend</v>
      </c>
      <c r="W965" s="23" t="str">
        <f>VLOOKUP($M965,Lookups!$A$5:$B$8,2,FALSE())</f>
        <v>Clear / Partly cloudy</v>
      </c>
      <c r="X965" s="23" t="str">
        <f>VLOOKUP($G965,Lookups!$D$5:$E$8,2,FALSE())</f>
        <v>Winter</v>
      </c>
      <c r="Y965" s="23" t="str">
        <f>VLOOKUP($L965,Lookups!$G$5:$H$11,2,FALSE())</f>
        <v>Saturday</v>
      </c>
      <c r="Z965" s="23" t="str">
        <f>IF($J965&lt;Lookups!$B$26,"Night",IF($J965&lt;Lookups!$B$27,"Morning",IF($J965&lt;Lookups!$B$28,"Afternoon","Evening")))</f>
        <v>Evening</v>
      </c>
      <c r="AA965" s="26">
        <f>ROUND($N965*(Lookups!$B$16-Lookups!$B$15)+Lookups!$B$15,1)</f>
        <v>5.2</v>
      </c>
      <c r="AB965" s="26">
        <f>ROUND($P965*(Lookups!$B$18-Lookups!$B$17)+Lookups!$B$17,1)</f>
        <v>1</v>
      </c>
      <c r="AC965" s="23">
        <f t="shared" si="92"/>
        <v>38</v>
      </c>
      <c r="AD965" s="23">
        <f>ROUND($R965*Lookups!$B$19,1)</f>
        <v>22</v>
      </c>
      <c r="AE965" s="27">
        <f t="shared" si="93"/>
        <v>0.9375</v>
      </c>
      <c r="AF965" s="23" t="str">
        <f>IF($U965&gt;=Lookups!$B$23,"High",IF($U965&gt;=Lookups!$B$22,"Medium","Low"))</f>
        <v>Medium</v>
      </c>
      <c r="AG965" s="23">
        <f>ROUND(IF($V965="Weekday",IF(INDEX(Hourly_Analysis!$D$5:$D$28,$J965+1)&gt;0,($U965-INDEX(Hourly_Analysis!$C$5:$C$28,$J965+1))/INDEX(Hourly_Analysis!$D$5:$D$28,$J965+1),0),IF(INDEX(Hourly_Analysis!$G$5:$G$28,$J965+1)&gt;0,($U965-INDEX(Hourly_Analysis!$F$5:$F$28,$J965+1))/INDEX(Hourly_Analysis!$G$5:$G$28,$J965+1),0)),2)</f>
        <v>-0.11</v>
      </c>
      <c r="AH965" s="23" t="str">
        <f>IF(ABS($AG965)&gt;Lookups!$B$20,IF($AG965&gt;0,"High anomaly","Low anomaly"),"")</f>
        <v/>
      </c>
      <c r="AI965" s="23" t="str">
        <f t="shared" si="94"/>
        <v>OK</v>
      </c>
      <c r="AJ965" s="23" t="str">
        <f t="shared" si="95"/>
        <v>No</v>
      </c>
    </row>
    <row r="966" spans="1:36" x14ac:dyDescent="0.35">
      <c r="A966" s="23">
        <v>965</v>
      </c>
      <c r="B966" s="23" t="str">
        <f t="shared" si="90"/>
        <v>Dataset 3</v>
      </c>
      <c r="C966" s="23">
        <f>IFERROR(MATCH($A966,Merge_1_2!$A$2:$A$611,0),0)</f>
        <v>0</v>
      </c>
      <c r="D966" s="23">
        <f>IF($C966&gt;0,INDEX(Merge_1_2!$Q$2:$Q$611,$C966),0)</f>
        <v>0</v>
      </c>
      <c r="E966" s="23">
        <f>IFERROR(MATCH($A966,Dataset3_Raw!$A$2:$A$391,0),0)</f>
        <v>355</v>
      </c>
      <c r="F966" s="24">
        <f>IF($C966&gt;0,INDEX(Merge_1_2!$B$2:$B$611,$C966),DATE(VALUE(RIGHT(INDEX(Dataset3_Raw!$B$2:$B$391,$E966),4)),VALUE(MID(INDEX(Dataset3_Raw!$B$2:$B$391,$E966),4,2)),VALUE(LEFT(INDEX(Dataset3_Raw!$B$2:$B$391,$E966),2))))</f>
        <v>40586</v>
      </c>
      <c r="G966" s="23">
        <f>IF($C966&gt;0,INDEX(Merge_1_2!$C$2:$C$611,$C966),INDEX(Dataset3_Raw!$C$2:$C$391,$E966))</f>
        <v>1</v>
      </c>
      <c r="H966" s="23">
        <f>IF($C966&gt;0,INDEX(Merge_1_2!$D$2:$D$611,$C966),INDEX(Dataset3_Raw!$D$2:$D$391,$E966))</f>
        <v>0</v>
      </c>
      <c r="I966" s="23">
        <f>IF($C966&gt;0,INDEX(Merge_1_2!$E$2:$E$611,$C966),INDEX(Dataset3_Raw!$E$2:$E$391,$E966))</f>
        <v>2</v>
      </c>
      <c r="J966" s="23">
        <f>IF($C966&gt;0,INDEX(Merge_1_2!$F$2:$F$611,$C966),INDEX(Dataset3_Raw!$F$2:$F$391,$E966))</f>
        <v>19</v>
      </c>
      <c r="K966" s="23" t="b">
        <f>IF($C966&gt;0,INDEX(Merge_1_2!$G$2:$G$611,$C966),INDEX(Dataset3_Raw!$G$2:$G$391,$E966))</f>
        <v>0</v>
      </c>
      <c r="L966" s="23">
        <f>IF($C966&gt;0,INDEX(Merge_1_2!$H$2:$H$611,$C966),INDEX(Dataset3_Raw!$H$2:$H$391,$E966))</f>
        <v>6</v>
      </c>
      <c r="M966" s="23">
        <f>IF($C966&gt;0,INDEX(Merge_1_2!$I$2:$I$611,$C966),INDEX(Dataset3_Raw!$I$2:$I$391,$E966))</f>
        <v>1</v>
      </c>
      <c r="N966" s="25">
        <f>IF($C966&gt;0,INDEX(Merge_1_2!$J$2:$J$611,$C966),INDEX(Dataset3_Raw!$J$2:$J$391,$E966))</f>
        <v>0.28000000000000003</v>
      </c>
      <c r="O966" s="25">
        <f>IF($C966&gt;0,IF(ISNUMBER(INDEX(Merge_1_2!$K$2:$K$611,$C966)),INDEX(Merge_1_2!$K$2:$K$611,$C966),""),INDEX(Dataset3_Raw!$K$2:$K$391,$E966))</f>
        <v>0.2727</v>
      </c>
      <c r="P966" s="25">
        <f>IF(ISNUMBER($O966),$O966,ROUND(Lookups!$B$25+Lookups!$B$24*$N966,4))</f>
        <v>0.2727</v>
      </c>
      <c r="Q966" s="25">
        <f>IF($C966&gt;0,INDEX(Merge_1_2!$L$2:$L$611,$C966),INDEX(Dataset3_Raw!$L$2:$L$391,$E966))</f>
        <v>0.38</v>
      </c>
      <c r="R966" s="25">
        <f>IF($C966&gt;0,INDEX(Merge_1_2!$M$2:$M$611,$C966),INDEX(Dataset3_Raw!$M$2:$M$391,$E966))</f>
        <v>0.16420000000000001</v>
      </c>
      <c r="S966" s="23">
        <f>IF($C966&gt;0,INDEX(Merge_1_2!$N$2:$N$611,$C966),INDEX(Dataset3_Raw!$N$2:$N$391,$E966))</f>
        <v>2</v>
      </c>
      <c r="T966" s="23">
        <f>IF($C966&gt;0,INDEX(Merge_1_2!$O$2:$O$611,$C966),INDEX(Dataset3_Raw!$O$2:$O$391,$E966))</f>
        <v>39</v>
      </c>
      <c r="U966" s="23">
        <f>IF($C966&gt;0,INDEX(Merge_1_2!$P$2:$P$611,$C966),INDEX(Dataset3_Raw!$P$2:$P$391,$E966))</f>
        <v>41</v>
      </c>
      <c r="V966" s="23" t="str">
        <f t="shared" si="91"/>
        <v>Weekend</v>
      </c>
      <c r="W966" s="23" t="str">
        <f>VLOOKUP($M966,Lookups!$A$5:$B$8,2,FALSE())</f>
        <v>Clear / Partly cloudy</v>
      </c>
      <c r="X966" s="23" t="str">
        <f>VLOOKUP($G966,Lookups!$D$5:$E$8,2,FALSE())</f>
        <v>Winter</v>
      </c>
      <c r="Y966" s="23" t="str">
        <f>VLOOKUP($L966,Lookups!$G$5:$H$11,2,FALSE())</f>
        <v>Saturday</v>
      </c>
      <c r="Z966" s="23" t="str">
        <f>IF($J966&lt;Lookups!$B$26,"Night",IF($J966&lt;Lookups!$B$27,"Morning",IF($J966&lt;Lookups!$B$28,"Afternoon","Evening")))</f>
        <v>Evening</v>
      </c>
      <c r="AA966" s="26">
        <f>ROUND($N966*(Lookups!$B$16-Lookups!$B$15)+Lookups!$B$15,1)</f>
        <v>5.2</v>
      </c>
      <c r="AB966" s="26">
        <f>ROUND($P966*(Lookups!$B$18-Lookups!$B$17)+Lookups!$B$17,1)</f>
        <v>2</v>
      </c>
      <c r="AC966" s="23">
        <f t="shared" si="92"/>
        <v>38</v>
      </c>
      <c r="AD966" s="23">
        <f>ROUND($R966*Lookups!$B$19,1)</f>
        <v>11</v>
      </c>
      <c r="AE966" s="27">
        <f t="shared" si="93"/>
        <v>0.95121951219512191</v>
      </c>
      <c r="AF966" s="23" t="str">
        <f>IF($U966&gt;=Lookups!$B$23,"High",IF($U966&gt;=Lookups!$B$22,"Medium","Low"))</f>
        <v>Medium</v>
      </c>
      <c r="AG966" s="23">
        <f>ROUND(IF($V966="Weekday",IF(INDEX(Hourly_Analysis!$D$5:$D$28,$J966+1)&gt;0,($U966-INDEX(Hourly_Analysis!$C$5:$C$28,$J966+1))/INDEX(Hourly_Analysis!$D$5:$D$28,$J966+1),0),IF(INDEX(Hourly_Analysis!$G$5:$G$28,$J966+1)&gt;0,($U966-INDEX(Hourly_Analysis!$F$5:$F$28,$J966+1))/INDEX(Hourly_Analysis!$G$5:$G$28,$J966+1),0)),2)</f>
        <v>-0.56999999999999995</v>
      </c>
      <c r="AH966" s="23" t="str">
        <f>IF(ABS($AG966)&gt;Lookups!$B$20,IF($AG966&gt;0,"High anomaly","Low anomaly"),"")</f>
        <v/>
      </c>
      <c r="AI966" s="23" t="str">
        <f t="shared" si="94"/>
        <v>OK</v>
      </c>
      <c r="AJ966" s="23" t="str">
        <f t="shared" si="95"/>
        <v>No</v>
      </c>
    </row>
    <row r="967" spans="1:36" x14ac:dyDescent="0.35">
      <c r="A967" s="23">
        <v>966</v>
      </c>
      <c r="B967" s="23" t="str">
        <f t="shared" si="90"/>
        <v>Dataset 3</v>
      </c>
      <c r="C967" s="23">
        <f>IFERROR(MATCH($A967,Merge_1_2!$A$2:$A$611,0),0)</f>
        <v>0</v>
      </c>
      <c r="D967" s="23">
        <f>IF($C967&gt;0,INDEX(Merge_1_2!$Q$2:$Q$611,$C967),0)</f>
        <v>0</v>
      </c>
      <c r="E967" s="23">
        <f>IFERROR(MATCH($A967,Dataset3_Raw!$A$2:$A$391,0),0)</f>
        <v>356</v>
      </c>
      <c r="F967" s="24">
        <f>IF($C967&gt;0,INDEX(Merge_1_2!$B$2:$B$611,$C967),DATE(VALUE(RIGHT(INDEX(Dataset3_Raw!$B$2:$B$391,$E967),4)),VALUE(MID(INDEX(Dataset3_Raw!$B$2:$B$391,$E967),4,2)),VALUE(LEFT(INDEX(Dataset3_Raw!$B$2:$B$391,$E967),2))))</f>
        <v>40586</v>
      </c>
      <c r="G967" s="23">
        <f>IF($C967&gt;0,INDEX(Merge_1_2!$C$2:$C$611,$C967),INDEX(Dataset3_Raw!$C$2:$C$391,$E967))</f>
        <v>1</v>
      </c>
      <c r="H967" s="23">
        <f>IF($C967&gt;0,INDEX(Merge_1_2!$D$2:$D$611,$C967),INDEX(Dataset3_Raw!$D$2:$D$391,$E967))</f>
        <v>0</v>
      </c>
      <c r="I967" s="23">
        <f>IF($C967&gt;0,INDEX(Merge_1_2!$E$2:$E$611,$C967),INDEX(Dataset3_Raw!$E$2:$E$391,$E967))</f>
        <v>2</v>
      </c>
      <c r="J967" s="23">
        <f>IF($C967&gt;0,INDEX(Merge_1_2!$F$2:$F$611,$C967),INDEX(Dataset3_Raw!$F$2:$F$391,$E967))</f>
        <v>20</v>
      </c>
      <c r="K967" s="23" t="b">
        <f>IF($C967&gt;0,INDEX(Merge_1_2!$G$2:$G$611,$C967),INDEX(Dataset3_Raw!$G$2:$G$391,$E967))</f>
        <v>0</v>
      </c>
      <c r="L967" s="23">
        <f>IF($C967&gt;0,INDEX(Merge_1_2!$H$2:$H$611,$C967),INDEX(Dataset3_Raw!$H$2:$H$391,$E967))</f>
        <v>6</v>
      </c>
      <c r="M967" s="23">
        <f>IF($C967&gt;0,INDEX(Merge_1_2!$I$2:$I$611,$C967),INDEX(Dataset3_Raw!$I$2:$I$391,$E967))</f>
        <v>1</v>
      </c>
      <c r="N967" s="25">
        <f>IF($C967&gt;0,INDEX(Merge_1_2!$J$2:$J$611,$C967),INDEX(Dataset3_Raw!$J$2:$J$391,$E967))</f>
        <v>0.26</v>
      </c>
      <c r="O967" s="25">
        <f>IF($C967&gt;0,IF(ISNUMBER(INDEX(Merge_1_2!$K$2:$K$611,$C967)),INDEX(Merge_1_2!$K$2:$K$611,$C967),""),INDEX(Dataset3_Raw!$K$2:$K$391,$E967))</f>
        <v>0.2576</v>
      </c>
      <c r="P967" s="25">
        <f>IF(ISNUMBER($O967),$O967,ROUND(Lookups!$B$25+Lookups!$B$24*$N967,4))</f>
        <v>0.2576</v>
      </c>
      <c r="Q967" s="25">
        <f>IF($C967&gt;0,INDEX(Merge_1_2!$L$2:$L$611,$C967),INDEX(Dataset3_Raw!$L$2:$L$391,$E967))</f>
        <v>0.41</v>
      </c>
      <c r="R967" s="25">
        <f>IF($C967&gt;0,INDEX(Merge_1_2!$M$2:$M$611,$C967),INDEX(Dataset3_Raw!$M$2:$M$391,$E967))</f>
        <v>0.22389999999999999</v>
      </c>
      <c r="S967" s="23">
        <f>IF($C967&gt;0,INDEX(Merge_1_2!$N$2:$N$611,$C967),INDEX(Dataset3_Raw!$N$2:$N$391,$E967))</f>
        <v>1</v>
      </c>
      <c r="T967" s="23">
        <f>IF($C967&gt;0,INDEX(Merge_1_2!$O$2:$O$611,$C967),INDEX(Dataset3_Raw!$O$2:$O$391,$E967))</f>
        <v>39</v>
      </c>
      <c r="U967" s="23">
        <f>IF($C967&gt;0,INDEX(Merge_1_2!$P$2:$P$611,$C967),INDEX(Dataset3_Raw!$P$2:$P$391,$E967))</f>
        <v>40</v>
      </c>
      <c r="V967" s="23" t="str">
        <f t="shared" si="91"/>
        <v>Weekend</v>
      </c>
      <c r="W967" s="23" t="str">
        <f>VLOOKUP($M967,Lookups!$A$5:$B$8,2,FALSE())</f>
        <v>Clear / Partly cloudy</v>
      </c>
      <c r="X967" s="23" t="str">
        <f>VLOOKUP($G967,Lookups!$D$5:$E$8,2,FALSE())</f>
        <v>Winter</v>
      </c>
      <c r="Y967" s="23" t="str">
        <f>VLOOKUP($L967,Lookups!$G$5:$H$11,2,FALSE())</f>
        <v>Saturday</v>
      </c>
      <c r="Z967" s="23" t="str">
        <f>IF($J967&lt;Lookups!$B$26,"Night",IF($J967&lt;Lookups!$B$27,"Morning",IF($J967&lt;Lookups!$B$28,"Afternoon","Evening")))</f>
        <v>Evening</v>
      </c>
      <c r="AA967" s="26">
        <f>ROUND($N967*(Lookups!$B$16-Lookups!$B$15)+Lookups!$B$15,1)</f>
        <v>4.2</v>
      </c>
      <c r="AB967" s="26">
        <f>ROUND($P967*(Lookups!$B$18-Lookups!$B$17)+Lookups!$B$17,1)</f>
        <v>1</v>
      </c>
      <c r="AC967" s="23">
        <f t="shared" si="92"/>
        <v>41</v>
      </c>
      <c r="AD967" s="23">
        <f>ROUND($R967*Lookups!$B$19,1)</f>
        <v>15</v>
      </c>
      <c r="AE967" s="27">
        <f t="shared" si="93"/>
        <v>0.97499999999999998</v>
      </c>
      <c r="AF967" s="23" t="str">
        <f>IF($U967&gt;=Lookups!$B$23,"High",IF($U967&gt;=Lookups!$B$22,"Medium","Low"))</f>
        <v>Medium</v>
      </c>
      <c r="AG967" s="23">
        <f>ROUND(IF($V967="Weekday",IF(INDEX(Hourly_Analysis!$D$5:$D$28,$J967+1)&gt;0,($U967-INDEX(Hourly_Analysis!$C$5:$C$28,$J967+1))/INDEX(Hourly_Analysis!$D$5:$D$28,$J967+1),0),IF(INDEX(Hourly_Analysis!$G$5:$G$28,$J967+1)&gt;0,($U967-INDEX(Hourly_Analysis!$F$5:$F$28,$J967+1))/INDEX(Hourly_Analysis!$G$5:$G$28,$J967+1),0)),2)</f>
        <v>0.04</v>
      </c>
      <c r="AH967" s="23" t="str">
        <f>IF(ABS($AG967)&gt;Lookups!$B$20,IF($AG967&gt;0,"High anomaly","Low anomaly"),"")</f>
        <v/>
      </c>
      <c r="AI967" s="23" t="str">
        <f t="shared" si="94"/>
        <v>OK</v>
      </c>
      <c r="AJ967" s="23" t="str">
        <f t="shared" si="95"/>
        <v>No</v>
      </c>
    </row>
    <row r="968" spans="1:36" x14ac:dyDescent="0.35">
      <c r="A968" s="23">
        <v>967</v>
      </c>
      <c r="B968" s="23" t="str">
        <f t="shared" si="90"/>
        <v>Dataset 3</v>
      </c>
      <c r="C968" s="23">
        <f>IFERROR(MATCH($A968,Merge_1_2!$A$2:$A$611,0),0)</f>
        <v>0</v>
      </c>
      <c r="D968" s="23">
        <f>IF($C968&gt;0,INDEX(Merge_1_2!$Q$2:$Q$611,$C968),0)</f>
        <v>0</v>
      </c>
      <c r="E968" s="23">
        <f>IFERROR(MATCH($A968,Dataset3_Raw!$A$2:$A$391,0),0)</f>
        <v>357</v>
      </c>
      <c r="F968" s="24">
        <f>IF($C968&gt;0,INDEX(Merge_1_2!$B$2:$B$611,$C968),DATE(VALUE(RIGHT(INDEX(Dataset3_Raw!$B$2:$B$391,$E968),4)),VALUE(MID(INDEX(Dataset3_Raw!$B$2:$B$391,$E968),4,2)),VALUE(LEFT(INDEX(Dataset3_Raw!$B$2:$B$391,$E968),2))))</f>
        <v>40586</v>
      </c>
      <c r="G968" s="23">
        <f>IF($C968&gt;0,INDEX(Merge_1_2!$C$2:$C$611,$C968),INDEX(Dataset3_Raw!$C$2:$C$391,$E968))</f>
        <v>1</v>
      </c>
      <c r="H968" s="23">
        <f>IF($C968&gt;0,INDEX(Merge_1_2!$D$2:$D$611,$C968),INDEX(Dataset3_Raw!$D$2:$D$391,$E968))</f>
        <v>0</v>
      </c>
      <c r="I968" s="23">
        <f>IF($C968&gt;0,INDEX(Merge_1_2!$E$2:$E$611,$C968),INDEX(Dataset3_Raw!$E$2:$E$391,$E968))</f>
        <v>2</v>
      </c>
      <c r="J968" s="23">
        <f>IF($C968&gt;0,INDEX(Merge_1_2!$F$2:$F$611,$C968),INDEX(Dataset3_Raw!$F$2:$F$391,$E968))</f>
        <v>21</v>
      </c>
      <c r="K968" s="23" t="b">
        <f>IF($C968&gt;0,INDEX(Merge_1_2!$G$2:$G$611,$C968),INDEX(Dataset3_Raw!$G$2:$G$391,$E968))</f>
        <v>0</v>
      </c>
      <c r="L968" s="23">
        <f>IF($C968&gt;0,INDEX(Merge_1_2!$H$2:$H$611,$C968),INDEX(Dataset3_Raw!$H$2:$H$391,$E968))</f>
        <v>6</v>
      </c>
      <c r="M968" s="23">
        <f>IF($C968&gt;0,INDEX(Merge_1_2!$I$2:$I$611,$C968),INDEX(Dataset3_Raw!$I$2:$I$391,$E968))</f>
        <v>1</v>
      </c>
      <c r="N968" s="25">
        <f>IF($C968&gt;0,INDEX(Merge_1_2!$J$2:$J$611,$C968),INDEX(Dataset3_Raw!$J$2:$J$391,$E968))</f>
        <v>0.26</v>
      </c>
      <c r="O968" s="25">
        <f>IF($C968&gt;0,IF(ISNUMBER(INDEX(Merge_1_2!$K$2:$K$611,$C968)),INDEX(Merge_1_2!$K$2:$K$611,$C968),""),INDEX(Dataset3_Raw!$K$2:$K$391,$E968))</f>
        <v>0.30299999999999999</v>
      </c>
      <c r="P968" s="25">
        <f>IF(ISNUMBER($O968),$O968,ROUND(Lookups!$B$25+Lookups!$B$24*$N968,4))</f>
        <v>0.30299999999999999</v>
      </c>
      <c r="Q968" s="25">
        <f>IF($C968&gt;0,INDEX(Merge_1_2!$L$2:$L$611,$C968),INDEX(Dataset3_Raw!$L$2:$L$391,$E968))</f>
        <v>0.41</v>
      </c>
      <c r="R968" s="25">
        <f>IF($C968&gt;0,INDEX(Merge_1_2!$M$2:$M$611,$C968),INDEX(Dataset3_Raw!$M$2:$M$391,$E968))</f>
        <v>0</v>
      </c>
      <c r="S968" s="23">
        <f>IF($C968&gt;0,INDEX(Merge_1_2!$N$2:$N$611,$C968),INDEX(Dataset3_Raw!$N$2:$N$391,$E968))</f>
        <v>9</v>
      </c>
      <c r="T968" s="23">
        <f>IF($C968&gt;0,INDEX(Merge_1_2!$O$2:$O$611,$C968),INDEX(Dataset3_Raw!$O$2:$O$391,$E968))</f>
        <v>42</v>
      </c>
      <c r="U968" s="23">
        <f>IF($C968&gt;0,INDEX(Merge_1_2!$P$2:$P$611,$C968),INDEX(Dataset3_Raw!$P$2:$P$391,$E968))</f>
        <v>51</v>
      </c>
      <c r="V968" s="23" t="str">
        <f t="shared" si="91"/>
        <v>Weekend</v>
      </c>
      <c r="W968" s="23" t="str">
        <f>VLOOKUP($M968,Lookups!$A$5:$B$8,2,FALSE())</f>
        <v>Clear / Partly cloudy</v>
      </c>
      <c r="X968" s="23" t="str">
        <f>VLOOKUP($G968,Lookups!$D$5:$E$8,2,FALSE())</f>
        <v>Winter</v>
      </c>
      <c r="Y968" s="23" t="str">
        <f>VLOOKUP($L968,Lookups!$G$5:$H$11,2,FALSE())</f>
        <v>Saturday</v>
      </c>
      <c r="Z968" s="23" t="str">
        <f>IF($J968&lt;Lookups!$B$26,"Night",IF($J968&lt;Lookups!$B$27,"Morning",IF($J968&lt;Lookups!$B$28,"Afternoon","Evening")))</f>
        <v>Evening</v>
      </c>
      <c r="AA968" s="26">
        <f>ROUND($N968*(Lookups!$B$16-Lookups!$B$15)+Lookups!$B$15,1)</f>
        <v>4.2</v>
      </c>
      <c r="AB968" s="26">
        <f>ROUND($P968*(Lookups!$B$18-Lookups!$B$17)+Lookups!$B$17,1)</f>
        <v>4</v>
      </c>
      <c r="AC968" s="23">
        <f t="shared" si="92"/>
        <v>41</v>
      </c>
      <c r="AD968" s="23">
        <f>ROUND($R968*Lookups!$B$19,1)</f>
        <v>0</v>
      </c>
      <c r="AE968" s="27">
        <f t="shared" si="93"/>
        <v>0.82352941176470584</v>
      </c>
      <c r="AF968" s="23" t="str">
        <f>IF($U968&gt;=Lookups!$B$23,"High",IF($U968&gt;=Lookups!$B$22,"Medium","Low"))</f>
        <v>Medium</v>
      </c>
      <c r="AG968" s="23">
        <f>ROUND(IF($V968="Weekday",IF(INDEX(Hourly_Analysis!$D$5:$D$28,$J968+1)&gt;0,($U968-INDEX(Hourly_Analysis!$C$5:$C$28,$J968+1))/INDEX(Hourly_Analysis!$D$5:$D$28,$J968+1),0),IF(INDEX(Hourly_Analysis!$G$5:$G$28,$J968+1)&gt;0,($U968-INDEX(Hourly_Analysis!$F$5:$F$28,$J968+1))/INDEX(Hourly_Analysis!$G$5:$G$28,$J968+1),0)),2)</f>
        <v>1.22</v>
      </c>
      <c r="AH968" s="23" t="str">
        <f>IF(ABS($AG968)&gt;Lookups!$B$20,IF($AG968&gt;0,"High anomaly","Low anomaly"),"")</f>
        <v/>
      </c>
      <c r="AI968" s="23" t="str">
        <f t="shared" si="94"/>
        <v>OK</v>
      </c>
      <c r="AJ968" s="23" t="str">
        <f t="shared" si="95"/>
        <v>No</v>
      </c>
    </row>
    <row r="969" spans="1:36" x14ac:dyDescent="0.35">
      <c r="A969" s="23">
        <v>968</v>
      </c>
      <c r="B969" s="23" t="str">
        <f t="shared" si="90"/>
        <v>Dataset 3</v>
      </c>
      <c r="C969" s="23">
        <f>IFERROR(MATCH($A969,Merge_1_2!$A$2:$A$611,0),0)</f>
        <v>0</v>
      </c>
      <c r="D969" s="23">
        <f>IF($C969&gt;0,INDEX(Merge_1_2!$Q$2:$Q$611,$C969),0)</f>
        <v>0</v>
      </c>
      <c r="E969" s="23">
        <f>IFERROR(MATCH($A969,Dataset3_Raw!$A$2:$A$391,0),0)</f>
        <v>358</v>
      </c>
      <c r="F969" s="24">
        <f>IF($C969&gt;0,INDEX(Merge_1_2!$B$2:$B$611,$C969),DATE(VALUE(RIGHT(INDEX(Dataset3_Raw!$B$2:$B$391,$E969),4)),VALUE(MID(INDEX(Dataset3_Raw!$B$2:$B$391,$E969),4,2)),VALUE(LEFT(INDEX(Dataset3_Raw!$B$2:$B$391,$E969),2))))</f>
        <v>40586</v>
      </c>
      <c r="G969" s="23">
        <f>IF($C969&gt;0,INDEX(Merge_1_2!$C$2:$C$611,$C969),INDEX(Dataset3_Raw!$C$2:$C$391,$E969))</f>
        <v>1</v>
      </c>
      <c r="H969" s="23">
        <f>IF($C969&gt;0,INDEX(Merge_1_2!$D$2:$D$611,$C969),INDEX(Dataset3_Raw!$D$2:$D$391,$E969))</f>
        <v>0</v>
      </c>
      <c r="I969" s="23">
        <f>IF($C969&gt;0,INDEX(Merge_1_2!$E$2:$E$611,$C969),INDEX(Dataset3_Raw!$E$2:$E$391,$E969))</f>
        <v>2</v>
      </c>
      <c r="J969" s="23">
        <f>IF($C969&gt;0,INDEX(Merge_1_2!$F$2:$F$611,$C969),INDEX(Dataset3_Raw!$F$2:$F$391,$E969))</f>
        <v>22</v>
      </c>
      <c r="K969" s="23" t="b">
        <f>IF($C969&gt;0,INDEX(Merge_1_2!$G$2:$G$611,$C969),INDEX(Dataset3_Raw!$G$2:$G$391,$E969))</f>
        <v>0</v>
      </c>
      <c r="L969" s="23">
        <f>IF($C969&gt;0,INDEX(Merge_1_2!$H$2:$H$611,$C969),INDEX(Dataset3_Raw!$H$2:$H$391,$E969))</f>
        <v>6</v>
      </c>
      <c r="M969" s="23">
        <f>IF($C969&gt;0,INDEX(Merge_1_2!$I$2:$I$611,$C969),INDEX(Dataset3_Raw!$I$2:$I$391,$E969))</f>
        <v>1</v>
      </c>
      <c r="N969" s="25">
        <f>IF($C969&gt;0,INDEX(Merge_1_2!$J$2:$J$611,$C969),INDEX(Dataset3_Raw!$J$2:$J$391,$E969))</f>
        <v>0.24</v>
      </c>
      <c r="O969" s="25">
        <f>IF($C969&gt;0,IF(ISNUMBER(INDEX(Merge_1_2!$K$2:$K$611,$C969)),INDEX(Merge_1_2!$K$2:$K$611,$C969),""),INDEX(Dataset3_Raw!$K$2:$K$391,$E969))</f>
        <v>0.2576</v>
      </c>
      <c r="P969" s="25">
        <f>IF(ISNUMBER($O969),$O969,ROUND(Lookups!$B$25+Lookups!$B$24*$N969,4))</f>
        <v>0.2576</v>
      </c>
      <c r="Q969" s="25">
        <f>IF($C969&gt;0,INDEX(Merge_1_2!$L$2:$L$611,$C969),INDEX(Dataset3_Raw!$L$2:$L$391,$E969))</f>
        <v>0.44</v>
      </c>
      <c r="R969" s="25">
        <f>IF($C969&gt;0,INDEX(Merge_1_2!$M$2:$M$611,$C969),INDEX(Dataset3_Raw!$M$2:$M$391,$E969))</f>
        <v>8.9599999999999999E-2</v>
      </c>
      <c r="S969" s="23">
        <f>IF($C969&gt;0,INDEX(Merge_1_2!$N$2:$N$611,$C969),INDEX(Dataset3_Raw!$N$2:$N$391,$E969))</f>
        <v>6</v>
      </c>
      <c r="T969" s="23">
        <f>IF($C969&gt;0,INDEX(Merge_1_2!$O$2:$O$611,$C969),INDEX(Dataset3_Raw!$O$2:$O$391,$E969))</f>
        <v>39</v>
      </c>
      <c r="U969" s="23">
        <f>IF($C969&gt;0,INDEX(Merge_1_2!$P$2:$P$611,$C969),INDEX(Dataset3_Raw!$P$2:$P$391,$E969))</f>
        <v>45</v>
      </c>
      <c r="V969" s="23" t="str">
        <f t="shared" si="91"/>
        <v>Weekend</v>
      </c>
      <c r="W969" s="23" t="str">
        <f>VLOOKUP($M969,Lookups!$A$5:$B$8,2,FALSE())</f>
        <v>Clear / Partly cloudy</v>
      </c>
      <c r="X969" s="23" t="str">
        <f>VLOOKUP($G969,Lookups!$D$5:$E$8,2,FALSE())</f>
        <v>Winter</v>
      </c>
      <c r="Y969" s="23" t="str">
        <f>VLOOKUP($L969,Lookups!$G$5:$H$11,2,FALSE())</f>
        <v>Saturday</v>
      </c>
      <c r="Z969" s="23" t="str">
        <f>IF($J969&lt;Lookups!$B$26,"Night",IF($J969&lt;Lookups!$B$27,"Morning",IF($J969&lt;Lookups!$B$28,"Afternoon","Evening")))</f>
        <v>Evening</v>
      </c>
      <c r="AA969" s="26">
        <f>ROUND($N969*(Lookups!$B$16-Lookups!$B$15)+Lookups!$B$15,1)</f>
        <v>3.3</v>
      </c>
      <c r="AB969" s="26">
        <f>ROUND($P969*(Lookups!$B$18-Lookups!$B$17)+Lookups!$B$17,1)</f>
        <v>1</v>
      </c>
      <c r="AC969" s="23">
        <f t="shared" si="92"/>
        <v>44</v>
      </c>
      <c r="AD969" s="23">
        <f>ROUND($R969*Lookups!$B$19,1)</f>
        <v>6</v>
      </c>
      <c r="AE969" s="27">
        <f t="shared" si="93"/>
        <v>0.8666666666666667</v>
      </c>
      <c r="AF969" s="23" t="str">
        <f>IF($U969&gt;=Lookups!$B$23,"High",IF($U969&gt;=Lookups!$B$22,"Medium","Low"))</f>
        <v>Medium</v>
      </c>
      <c r="AG969" s="23">
        <f>ROUND(IF($V969="Weekday",IF(INDEX(Hourly_Analysis!$D$5:$D$28,$J969+1)&gt;0,($U969-INDEX(Hourly_Analysis!$C$5:$C$28,$J969+1))/INDEX(Hourly_Analysis!$D$5:$D$28,$J969+1),0),IF(INDEX(Hourly_Analysis!$G$5:$G$28,$J969+1)&gt;0,($U969-INDEX(Hourly_Analysis!$F$5:$F$28,$J969+1))/INDEX(Hourly_Analysis!$G$5:$G$28,$J969+1),0)),2)</f>
        <v>1.1100000000000001</v>
      </c>
      <c r="AH969" s="23" t="str">
        <f>IF(ABS($AG969)&gt;Lookups!$B$20,IF($AG969&gt;0,"High anomaly","Low anomaly"),"")</f>
        <v/>
      </c>
      <c r="AI969" s="23" t="str">
        <f t="shared" si="94"/>
        <v>OK</v>
      </c>
      <c r="AJ969" s="23" t="str">
        <f t="shared" si="95"/>
        <v>No</v>
      </c>
    </row>
    <row r="970" spans="1:36" x14ac:dyDescent="0.35">
      <c r="A970" s="23">
        <v>969</v>
      </c>
      <c r="B970" s="23" t="str">
        <f t="shared" si="90"/>
        <v>Dataset 3</v>
      </c>
      <c r="C970" s="23">
        <f>IFERROR(MATCH($A970,Merge_1_2!$A$2:$A$611,0),0)</f>
        <v>0</v>
      </c>
      <c r="D970" s="23">
        <f>IF($C970&gt;0,INDEX(Merge_1_2!$Q$2:$Q$611,$C970),0)</f>
        <v>0</v>
      </c>
      <c r="E970" s="23">
        <f>IFERROR(MATCH($A970,Dataset3_Raw!$A$2:$A$391,0),0)</f>
        <v>359</v>
      </c>
      <c r="F970" s="24">
        <f>IF($C970&gt;0,INDEX(Merge_1_2!$B$2:$B$611,$C970),DATE(VALUE(RIGHT(INDEX(Dataset3_Raw!$B$2:$B$391,$E970),4)),VALUE(MID(INDEX(Dataset3_Raw!$B$2:$B$391,$E970),4,2)),VALUE(LEFT(INDEX(Dataset3_Raw!$B$2:$B$391,$E970),2))))</f>
        <v>40586</v>
      </c>
      <c r="G970" s="23">
        <f>IF($C970&gt;0,INDEX(Merge_1_2!$C$2:$C$611,$C970),INDEX(Dataset3_Raw!$C$2:$C$391,$E970))</f>
        <v>1</v>
      </c>
      <c r="H970" s="23">
        <f>IF($C970&gt;0,INDEX(Merge_1_2!$D$2:$D$611,$C970),INDEX(Dataset3_Raw!$D$2:$D$391,$E970))</f>
        <v>0</v>
      </c>
      <c r="I970" s="23">
        <f>IF($C970&gt;0,INDEX(Merge_1_2!$E$2:$E$611,$C970),INDEX(Dataset3_Raw!$E$2:$E$391,$E970))</f>
        <v>2</v>
      </c>
      <c r="J970" s="23">
        <f>IF($C970&gt;0,INDEX(Merge_1_2!$F$2:$F$611,$C970),INDEX(Dataset3_Raw!$F$2:$F$391,$E970))</f>
        <v>23</v>
      </c>
      <c r="K970" s="23" t="b">
        <f>IF($C970&gt;0,INDEX(Merge_1_2!$G$2:$G$611,$C970),INDEX(Dataset3_Raw!$G$2:$G$391,$E970))</f>
        <v>0</v>
      </c>
      <c r="L970" s="23">
        <f>IF($C970&gt;0,INDEX(Merge_1_2!$H$2:$H$611,$C970),INDEX(Dataset3_Raw!$H$2:$H$391,$E970))</f>
        <v>6</v>
      </c>
      <c r="M970" s="23">
        <f>IF($C970&gt;0,INDEX(Merge_1_2!$I$2:$I$611,$C970),INDEX(Dataset3_Raw!$I$2:$I$391,$E970))</f>
        <v>1</v>
      </c>
      <c r="N970" s="25">
        <f>IF($C970&gt;0,INDEX(Merge_1_2!$J$2:$J$611,$C970),INDEX(Dataset3_Raw!$J$2:$J$391,$E970))</f>
        <v>0.22</v>
      </c>
      <c r="O970" s="25">
        <f>IF($C970&gt;0,IF(ISNUMBER(INDEX(Merge_1_2!$K$2:$K$611,$C970)),INDEX(Merge_1_2!$K$2:$K$611,$C970),""),INDEX(Dataset3_Raw!$K$2:$K$391,$E970))</f>
        <v>0.2273</v>
      </c>
      <c r="P970" s="25">
        <f>IF(ISNUMBER($O970),$O970,ROUND(Lookups!$B$25+Lookups!$B$24*$N970,4))</f>
        <v>0.2273</v>
      </c>
      <c r="Q970" s="25">
        <f>IF($C970&gt;0,INDEX(Merge_1_2!$L$2:$L$611,$C970),INDEX(Dataset3_Raw!$L$2:$L$391,$E970))</f>
        <v>0.51</v>
      </c>
      <c r="R970" s="25">
        <f>IF($C970&gt;0,INDEX(Merge_1_2!$M$2:$M$611,$C970),INDEX(Dataset3_Raw!$M$2:$M$391,$E970))</f>
        <v>0.1343</v>
      </c>
      <c r="S970" s="23">
        <f>IF($C970&gt;0,INDEX(Merge_1_2!$N$2:$N$611,$C970),INDEX(Dataset3_Raw!$N$2:$N$391,$E970))</f>
        <v>1</v>
      </c>
      <c r="T970" s="23">
        <f>IF($C970&gt;0,INDEX(Merge_1_2!$O$2:$O$611,$C970),INDEX(Dataset3_Raw!$O$2:$O$391,$E970))</f>
        <v>31</v>
      </c>
      <c r="U970" s="23">
        <f>IF($C970&gt;0,INDEX(Merge_1_2!$P$2:$P$611,$C970),INDEX(Dataset3_Raw!$P$2:$P$391,$E970))</f>
        <v>32</v>
      </c>
      <c r="V970" s="23" t="str">
        <f t="shared" si="91"/>
        <v>Weekend</v>
      </c>
      <c r="W970" s="23" t="str">
        <f>VLOOKUP($M970,Lookups!$A$5:$B$8,2,FALSE())</f>
        <v>Clear / Partly cloudy</v>
      </c>
      <c r="X970" s="23" t="str">
        <f>VLOOKUP($G970,Lookups!$D$5:$E$8,2,FALSE())</f>
        <v>Winter</v>
      </c>
      <c r="Y970" s="23" t="str">
        <f>VLOOKUP($L970,Lookups!$G$5:$H$11,2,FALSE())</f>
        <v>Saturday</v>
      </c>
      <c r="Z970" s="23" t="str">
        <f>IF($J970&lt;Lookups!$B$26,"Night",IF($J970&lt;Lookups!$B$27,"Morning",IF($J970&lt;Lookups!$B$28,"Afternoon","Evening")))</f>
        <v>Evening</v>
      </c>
      <c r="AA970" s="26">
        <f>ROUND($N970*(Lookups!$B$16-Lookups!$B$15)+Lookups!$B$15,1)</f>
        <v>2.2999999999999998</v>
      </c>
      <c r="AB970" s="26">
        <f>ROUND($P970*(Lookups!$B$18-Lookups!$B$17)+Lookups!$B$17,1)</f>
        <v>-1</v>
      </c>
      <c r="AC970" s="23">
        <f t="shared" si="92"/>
        <v>51</v>
      </c>
      <c r="AD970" s="23">
        <f>ROUND($R970*Lookups!$B$19,1)</f>
        <v>9</v>
      </c>
      <c r="AE970" s="27">
        <f t="shared" si="93"/>
        <v>0.96875</v>
      </c>
      <c r="AF970" s="23" t="str">
        <f>IF($U970&gt;=Lookups!$B$23,"High",IF($U970&gt;=Lookups!$B$22,"Medium","Low"))</f>
        <v>Medium</v>
      </c>
      <c r="AG970" s="23">
        <f>ROUND(IF($V970="Weekday",IF(INDEX(Hourly_Analysis!$D$5:$D$28,$J970+1)&gt;0,($U970-INDEX(Hourly_Analysis!$C$5:$C$28,$J970+1))/INDEX(Hourly_Analysis!$D$5:$D$28,$J970+1),0),IF(INDEX(Hourly_Analysis!$G$5:$G$28,$J970+1)&gt;0,($U970-INDEX(Hourly_Analysis!$F$5:$F$28,$J970+1))/INDEX(Hourly_Analysis!$G$5:$G$28,$J970+1),0)),2)</f>
        <v>0.36</v>
      </c>
      <c r="AH970" s="23" t="str">
        <f>IF(ABS($AG970)&gt;Lookups!$B$20,IF($AG970&gt;0,"High anomaly","Low anomaly"),"")</f>
        <v/>
      </c>
      <c r="AI970" s="23" t="str">
        <f t="shared" si="94"/>
        <v>OK</v>
      </c>
      <c r="AJ970" s="23" t="str">
        <f t="shared" si="95"/>
        <v>No</v>
      </c>
    </row>
    <row r="971" spans="1:36" x14ac:dyDescent="0.35">
      <c r="A971" s="23">
        <v>970</v>
      </c>
      <c r="B971" s="23" t="str">
        <f t="shared" si="90"/>
        <v>Dataset 3</v>
      </c>
      <c r="C971" s="23">
        <f>IFERROR(MATCH($A971,Merge_1_2!$A$2:$A$611,0),0)</f>
        <v>0</v>
      </c>
      <c r="D971" s="23">
        <f>IF($C971&gt;0,INDEX(Merge_1_2!$Q$2:$Q$611,$C971),0)</f>
        <v>0</v>
      </c>
      <c r="E971" s="23">
        <f>IFERROR(MATCH($A971,Dataset3_Raw!$A$2:$A$391,0),0)</f>
        <v>360</v>
      </c>
      <c r="F971" s="24">
        <f>IF($C971&gt;0,INDEX(Merge_1_2!$B$2:$B$611,$C971),DATE(VALUE(RIGHT(INDEX(Dataset3_Raw!$B$2:$B$391,$E971),4)),VALUE(MID(INDEX(Dataset3_Raw!$B$2:$B$391,$E971),4,2)),VALUE(LEFT(INDEX(Dataset3_Raw!$B$2:$B$391,$E971),2))))</f>
        <v>40587</v>
      </c>
      <c r="G971" s="23">
        <f>IF($C971&gt;0,INDEX(Merge_1_2!$C$2:$C$611,$C971),INDEX(Dataset3_Raw!$C$2:$C$391,$E971))</f>
        <v>1</v>
      </c>
      <c r="H971" s="23">
        <f>IF($C971&gt;0,INDEX(Merge_1_2!$D$2:$D$611,$C971),INDEX(Dataset3_Raw!$D$2:$D$391,$E971))</f>
        <v>0</v>
      </c>
      <c r="I971" s="23">
        <f>IF($C971&gt;0,INDEX(Merge_1_2!$E$2:$E$611,$C971),INDEX(Dataset3_Raw!$E$2:$E$391,$E971))</f>
        <v>2</v>
      </c>
      <c r="J971" s="23">
        <f>IF($C971&gt;0,INDEX(Merge_1_2!$F$2:$F$611,$C971),INDEX(Dataset3_Raw!$F$2:$F$391,$E971))</f>
        <v>0</v>
      </c>
      <c r="K971" s="23" t="b">
        <f>IF($C971&gt;0,INDEX(Merge_1_2!$G$2:$G$611,$C971),INDEX(Dataset3_Raw!$G$2:$G$391,$E971))</f>
        <v>0</v>
      </c>
      <c r="L971" s="23">
        <f>IF($C971&gt;0,INDEX(Merge_1_2!$H$2:$H$611,$C971),INDEX(Dataset3_Raw!$H$2:$H$391,$E971))</f>
        <v>0</v>
      </c>
      <c r="M971" s="23">
        <f>IF($C971&gt;0,INDEX(Merge_1_2!$I$2:$I$611,$C971),INDEX(Dataset3_Raw!$I$2:$I$391,$E971))</f>
        <v>1</v>
      </c>
      <c r="N971" s="25">
        <f>IF($C971&gt;0,INDEX(Merge_1_2!$J$2:$J$611,$C971),INDEX(Dataset3_Raw!$J$2:$J$391,$E971))</f>
        <v>0.2</v>
      </c>
      <c r="O971" s="25">
        <f>IF($C971&gt;0,IF(ISNUMBER(INDEX(Merge_1_2!$K$2:$K$611,$C971)),INDEX(Merge_1_2!$K$2:$K$611,$C971),""),INDEX(Dataset3_Raw!$K$2:$K$391,$E971))</f>
        <v>0.2273</v>
      </c>
      <c r="P971" s="25">
        <f>IF(ISNUMBER($O971),$O971,ROUND(Lookups!$B$25+Lookups!$B$24*$N971,4))</f>
        <v>0.2273</v>
      </c>
      <c r="Q971" s="25">
        <f>IF($C971&gt;0,INDEX(Merge_1_2!$L$2:$L$611,$C971),INDEX(Dataset3_Raw!$L$2:$L$391,$E971))</f>
        <v>0.64</v>
      </c>
      <c r="R971" s="25">
        <f>IF($C971&gt;0,INDEX(Merge_1_2!$M$2:$M$611,$C971),INDEX(Dataset3_Raw!$M$2:$M$391,$E971))</f>
        <v>0.1045</v>
      </c>
      <c r="S971" s="23">
        <f>IF($C971&gt;0,INDEX(Merge_1_2!$N$2:$N$611,$C971),INDEX(Dataset3_Raw!$N$2:$N$391,$E971))</f>
        <v>5</v>
      </c>
      <c r="T971" s="23">
        <f>IF($C971&gt;0,INDEX(Merge_1_2!$O$2:$O$611,$C971),INDEX(Dataset3_Raw!$O$2:$O$391,$E971))</f>
        <v>34</v>
      </c>
      <c r="U971" s="23">
        <f>IF($C971&gt;0,INDEX(Merge_1_2!$P$2:$P$611,$C971),INDEX(Dataset3_Raw!$P$2:$P$391,$E971))</f>
        <v>39</v>
      </c>
      <c r="V971" s="23" t="str">
        <f t="shared" si="91"/>
        <v>Weekend</v>
      </c>
      <c r="W971" s="23" t="str">
        <f>VLOOKUP($M971,Lookups!$A$5:$B$8,2,FALSE())</f>
        <v>Clear / Partly cloudy</v>
      </c>
      <c r="X971" s="23" t="str">
        <f>VLOOKUP($G971,Lookups!$D$5:$E$8,2,FALSE())</f>
        <v>Winter</v>
      </c>
      <c r="Y971" s="23" t="str">
        <f>VLOOKUP($L971,Lookups!$G$5:$H$11,2,FALSE())</f>
        <v>Sunday</v>
      </c>
      <c r="Z971" s="23" t="str">
        <f>IF($J971&lt;Lookups!$B$26,"Night",IF($J971&lt;Lookups!$B$27,"Morning",IF($J971&lt;Lookups!$B$28,"Afternoon","Evening")))</f>
        <v>Night</v>
      </c>
      <c r="AA971" s="26">
        <f>ROUND($N971*(Lookups!$B$16-Lookups!$B$15)+Lookups!$B$15,1)</f>
        <v>1.4</v>
      </c>
      <c r="AB971" s="26">
        <f>ROUND($P971*(Lookups!$B$18-Lookups!$B$17)+Lookups!$B$17,1)</f>
        <v>-1</v>
      </c>
      <c r="AC971" s="23">
        <f t="shared" si="92"/>
        <v>64</v>
      </c>
      <c r="AD971" s="23">
        <f>ROUND($R971*Lookups!$B$19,1)</f>
        <v>7</v>
      </c>
      <c r="AE971" s="27">
        <f t="shared" si="93"/>
        <v>0.87179487179487181</v>
      </c>
      <c r="AF971" s="23" t="str">
        <f>IF($U971&gt;=Lookups!$B$23,"High",IF($U971&gt;=Lookups!$B$22,"Medium","Low"))</f>
        <v>Medium</v>
      </c>
      <c r="AG971" s="23">
        <f>ROUND(IF($V971="Weekday",IF(INDEX(Hourly_Analysis!$D$5:$D$28,$J971+1)&gt;0,($U971-INDEX(Hourly_Analysis!$C$5:$C$28,$J971+1))/INDEX(Hourly_Analysis!$D$5:$D$28,$J971+1),0),IF(INDEX(Hourly_Analysis!$G$5:$G$28,$J971+1)&gt;0,($U971-INDEX(Hourly_Analysis!$F$5:$F$28,$J971+1))/INDEX(Hourly_Analysis!$G$5:$G$28,$J971+1),0)),2)</f>
        <v>1.28</v>
      </c>
      <c r="AH971" s="23" t="str">
        <f>IF(ABS($AG971)&gt;Lookups!$B$20,IF($AG971&gt;0,"High anomaly","Low anomaly"),"")</f>
        <v/>
      </c>
      <c r="AI971" s="23" t="str">
        <f t="shared" si="94"/>
        <v>OK</v>
      </c>
      <c r="AJ971" s="23" t="str">
        <f t="shared" si="95"/>
        <v>No</v>
      </c>
    </row>
    <row r="972" spans="1:36" x14ac:dyDescent="0.35">
      <c r="A972" s="23">
        <v>971</v>
      </c>
      <c r="B972" s="23" t="str">
        <f t="shared" si="90"/>
        <v>Dataset 3</v>
      </c>
      <c r="C972" s="23">
        <f>IFERROR(MATCH($A972,Merge_1_2!$A$2:$A$611,0),0)</f>
        <v>0</v>
      </c>
      <c r="D972" s="23">
        <f>IF($C972&gt;0,INDEX(Merge_1_2!$Q$2:$Q$611,$C972),0)</f>
        <v>0</v>
      </c>
      <c r="E972" s="23">
        <f>IFERROR(MATCH($A972,Dataset3_Raw!$A$2:$A$391,0),0)</f>
        <v>361</v>
      </c>
      <c r="F972" s="24">
        <f>IF($C972&gt;0,INDEX(Merge_1_2!$B$2:$B$611,$C972),DATE(VALUE(RIGHT(INDEX(Dataset3_Raw!$B$2:$B$391,$E972),4)),VALUE(MID(INDEX(Dataset3_Raw!$B$2:$B$391,$E972),4,2)),VALUE(LEFT(INDEX(Dataset3_Raw!$B$2:$B$391,$E972),2))))</f>
        <v>40587</v>
      </c>
      <c r="G972" s="23">
        <f>IF($C972&gt;0,INDEX(Merge_1_2!$C$2:$C$611,$C972),INDEX(Dataset3_Raw!$C$2:$C$391,$E972))</f>
        <v>1</v>
      </c>
      <c r="H972" s="23">
        <f>IF($C972&gt;0,INDEX(Merge_1_2!$D$2:$D$611,$C972),INDEX(Dataset3_Raw!$D$2:$D$391,$E972))</f>
        <v>0</v>
      </c>
      <c r="I972" s="23">
        <f>IF($C972&gt;0,INDEX(Merge_1_2!$E$2:$E$611,$C972),INDEX(Dataset3_Raw!$E$2:$E$391,$E972))</f>
        <v>2</v>
      </c>
      <c r="J972" s="23">
        <f>IF($C972&gt;0,INDEX(Merge_1_2!$F$2:$F$611,$C972),INDEX(Dataset3_Raw!$F$2:$F$391,$E972))</f>
        <v>1</v>
      </c>
      <c r="K972" s="23" t="b">
        <f>IF($C972&gt;0,INDEX(Merge_1_2!$G$2:$G$611,$C972),INDEX(Dataset3_Raw!$G$2:$G$391,$E972))</f>
        <v>0</v>
      </c>
      <c r="L972" s="23">
        <f>IF($C972&gt;0,INDEX(Merge_1_2!$H$2:$H$611,$C972),INDEX(Dataset3_Raw!$H$2:$H$391,$E972))</f>
        <v>0</v>
      </c>
      <c r="M972" s="23">
        <f>IF($C972&gt;0,INDEX(Merge_1_2!$I$2:$I$611,$C972),INDEX(Dataset3_Raw!$I$2:$I$391,$E972))</f>
        <v>1</v>
      </c>
      <c r="N972" s="25">
        <f>IF($C972&gt;0,INDEX(Merge_1_2!$J$2:$J$611,$C972),INDEX(Dataset3_Raw!$J$2:$J$391,$E972))</f>
        <v>0.2</v>
      </c>
      <c r="O972" s="25">
        <f>IF($C972&gt;0,IF(ISNUMBER(INDEX(Merge_1_2!$K$2:$K$611,$C972)),INDEX(Merge_1_2!$K$2:$K$611,$C972),""),INDEX(Dataset3_Raw!$K$2:$K$391,$E972))</f>
        <v>0.2273</v>
      </c>
      <c r="P972" s="25">
        <f>IF(ISNUMBER($O972),$O972,ROUND(Lookups!$B$25+Lookups!$B$24*$N972,4))</f>
        <v>0.2273</v>
      </c>
      <c r="Q972" s="25">
        <f>IF($C972&gt;0,INDEX(Merge_1_2!$L$2:$L$611,$C972),INDEX(Dataset3_Raw!$L$2:$L$391,$E972))</f>
        <v>0.59</v>
      </c>
      <c r="R972" s="25">
        <f>IF($C972&gt;0,INDEX(Merge_1_2!$M$2:$M$611,$C972),INDEX(Dataset3_Raw!$M$2:$M$391,$E972))</f>
        <v>8.9599999999999999E-2</v>
      </c>
      <c r="S972" s="23">
        <f>IF($C972&gt;0,INDEX(Merge_1_2!$N$2:$N$611,$C972),INDEX(Dataset3_Raw!$N$2:$N$391,$E972))</f>
        <v>1</v>
      </c>
      <c r="T972" s="23">
        <f>IF($C972&gt;0,INDEX(Merge_1_2!$O$2:$O$611,$C972),INDEX(Dataset3_Raw!$O$2:$O$391,$E972))</f>
        <v>23</v>
      </c>
      <c r="U972" s="23">
        <f>IF($C972&gt;0,INDEX(Merge_1_2!$P$2:$P$611,$C972),INDEX(Dataset3_Raw!$P$2:$P$391,$E972))</f>
        <v>24</v>
      </c>
      <c r="V972" s="23" t="str">
        <f t="shared" si="91"/>
        <v>Weekend</v>
      </c>
      <c r="W972" s="23" t="str">
        <f>VLOOKUP($M972,Lookups!$A$5:$B$8,2,FALSE())</f>
        <v>Clear / Partly cloudy</v>
      </c>
      <c r="X972" s="23" t="str">
        <f>VLOOKUP($G972,Lookups!$D$5:$E$8,2,FALSE())</f>
        <v>Winter</v>
      </c>
      <c r="Y972" s="23" t="str">
        <f>VLOOKUP($L972,Lookups!$G$5:$H$11,2,FALSE())</f>
        <v>Sunday</v>
      </c>
      <c r="Z972" s="23" t="str">
        <f>IF($J972&lt;Lookups!$B$26,"Night",IF($J972&lt;Lookups!$B$27,"Morning",IF($J972&lt;Lookups!$B$28,"Afternoon","Evening")))</f>
        <v>Night</v>
      </c>
      <c r="AA972" s="26">
        <f>ROUND($N972*(Lookups!$B$16-Lookups!$B$15)+Lookups!$B$15,1)</f>
        <v>1.4</v>
      </c>
      <c r="AB972" s="26">
        <f>ROUND($P972*(Lookups!$B$18-Lookups!$B$17)+Lookups!$B$17,1)</f>
        <v>-1</v>
      </c>
      <c r="AC972" s="23">
        <f t="shared" si="92"/>
        <v>59</v>
      </c>
      <c r="AD972" s="23">
        <f>ROUND($R972*Lookups!$B$19,1)</f>
        <v>6</v>
      </c>
      <c r="AE972" s="27">
        <f t="shared" si="93"/>
        <v>0.95833333333333337</v>
      </c>
      <c r="AF972" s="23" t="str">
        <f>IF($U972&gt;=Lookups!$B$23,"High",IF($U972&gt;=Lookups!$B$22,"Medium","Low"))</f>
        <v>Medium</v>
      </c>
      <c r="AG972" s="23">
        <f>ROUND(IF($V972="Weekday",IF(INDEX(Hourly_Analysis!$D$5:$D$28,$J972+1)&gt;0,($U972-INDEX(Hourly_Analysis!$C$5:$C$28,$J972+1))/INDEX(Hourly_Analysis!$D$5:$D$28,$J972+1),0),IF(INDEX(Hourly_Analysis!$G$5:$G$28,$J972+1)&gt;0,($U972-INDEX(Hourly_Analysis!$F$5:$F$28,$J972+1))/INDEX(Hourly_Analysis!$G$5:$G$28,$J972+1),0)),2)</f>
        <v>0.22</v>
      </c>
      <c r="AH972" s="23" t="str">
        <f>IF(ABS($AG972)&gt;Lookups!$B$20,IF($AG972&gt;0,"High anomaly","Low anomaly"),"")</f>
        <v/>
      </c>
      <c r="AI972" s="23" t="str">
        <f t="shared" si="94"/>
        <v>OK</v>
      </c>
      <c r="AJ972" s="23" t="str">
        <f t="shared" si="95"/>
        <v>No</v>
      </c>
    </row>
    <row r="973" spans="1:36" x14ac:dyDescent="0.35">
      <c r="A973" s="23">
        <v>972</v>
      </c>
      <c r="B973" s="23" t="str">
        <f t="shared" si="90"/>
        <v>Dataset 3</v>
      </c>
      <c r="C973" s="23">
        <f>IFERROR(MATCH($A973,Merge_1_2!$A$2:$A$611,0),0)</f>
        <v>0</v>
      </c>
      <c r="D973" s="23">
        <f>IF($C973&gt;0,INDEX(Merge_1_2!$Q$2:$Q$611,$C973),0)</f>
        <v>0</v>
      </c>
      <c r="E973" s="23">
        <f>IFERROR(MATCH($A973,Dataset3_Raw!$A$2:$A$391,0),0)</f>
        <v>362</v>
      </c>
      <c r="F973" s="24">
        <f>IF($C973&gt;0,INDEX(Merge_1_2!$B$2:$B$611,$C973),DATE(VALUE(RIGHT(INDEX(Dataset3_Raw!$B$2:$B$391,$E973),4)),VALUE(MID(INDEX(Dataset3_Raw!$B$2:$B$391,$E973),4,2)),VALUE(LEFT(INDEX(Dataset3_Raw!$B$2:$B$391,$E973),2))))</f>
        <v>40587</v>
      </c>
      <c r="G973" s="23">
        <f>IF($C973&gt;0,INDEX(Merge_1_2!$C$2:$C$611,$C973),INDEX(Dataset3_Raw!$C$2:$C$391,$E973))</f>
        <v>1</v>
      </c>
      <c r="H973" s="23">
        <f>IF($C973&gt;0,INDEX(Merge_1_2!$D$2:$D$611,$C973),INDEX(Dataset3_Raw!$D$2:$D$391,$E973))</f>
        <v>0</v>
      </c>
      <c r="I973" s="23">
        <f>IF($C973&gt;0,INDEX(Merge_1_2!$E$2:$E$611,$C973),INDEX(Dataset3_Raw!$E$2:$E$391,$E973))</f>
        <v>2</v>
      </c>
      <c r="J973" s="23">
        <f>IF($C973&gt;0,INDEX(Merge_1_2!$F$2:$F$611,$C973),INDEX(Dataset3_Raw!$F$2:$F$391,$E973))</f>
        <v>2</v>
      </c>
      <c r="K973" s="23" t="b">
        <f>IF($C973&gt;0,INDEX(Merge_1_2!$G$2:$G$611,$C973),INDEX(Dataset3_Raw!$G$2:$G$391,$E973))</f>
        <v>0</v>
      </c>
      <c r="L973" s="23">
        <f>IF($C973&gt;0,INDEX(Merge_1_2!$H$2:$H$611,$C973),INDEX(Dataset3_Raw!$H$2:$H$391,$E973))</f>
        <v>0</v>
      </c>
      <c r="M973" s="23">
        <f>IF($C973&gt;0,INDEX(Merge_1_2!$I$2:$I$611,$C973),INDEX(Dataset3_Raw!$I$2:$I$391,$E973))</f>
        <v>2</v>
      </c>
      <c r="N973" s="25">
        <f>IF($C973&gt;0,INDEX(Merge_1_2!$J$2:$J$611,$C973),INDEX(Dataset3_Raw!$J$2:$J$391,$E973))</f>
        <v>0.2</v>
      </c>
      <c r="O973" s="25">
        <f>IF($C973&gt;0,IF(ISNUMBER(INDEX(Merge_1_2!$K$2:$K$611,$C973)),INDEX(Merge_1_2!$K$2:$K$611,$C973),""),INDEX(Dataset3_Raw!$K$2:$K$391,$E973))</f>
        <v>0.2273</v>
      </c>
      <c r="P973" s="25">
        <f>IF(ISNUMBER($O973),$O973,ROUND(Lookups!$B$25+Lookups!$B$24*$N973,4))</f>
        <v>0.2273</v>
      </c>
      <c r="Q973" s="25">
        <f>IF($C973&gt;0,INDEX(Merge_1_2!$L$2:$L$611,$C973),INDEX(Dataset3_Raw!$L$2:$L$391,$E973))</f>
        <v>0.75</v>
      </c>
      <c r="R973" s="25">
        <f>IF($C973&gt;0,INDEX(Merge_1_2!$M$2:$M$611,$C973),INDEX(Dataset3_Raw!$M$2:$M$391,$E973))</f>
        <v>8.9599999999999999E-2</v>
      </c>
      <c r="S973" s="23">
        <f>IF($C973&gt;0,INDEX(Merge_1_2!$N$2:$N$611,$C973),INDEX(Dataset3_Raw!$N$2:$N$391,$E973))</f>
        <v>1</v>
      </c>
      <c r="T973" s="23">
        <f>IF($C973&gt;0,INDEX(Merge_1_2!$O$2:$O$611,$C973),INDEX(Dataset3_Raw!$O$2:$O$391,$E973))</f>
        <v>19</v>
      </c>
      <c r="U973" s="23">
        <f>IF($C973&gt;0,INDEX(Merge_1_2!$P$2:$P$611,$C973),INDEX(Dataset3_Raw!$P$2:$P$391,$E973))</f>
        <v>20</v>
      </c>
      <c r="V973" s="23" t="str">
        <f t="shared" si="91"/>
        <v>Weekend</v>
      </c>
      <c r="W973" s="23" t="str">
        <f>VLOOKUP($M973,Lookups!$A$5:$B$8,2,FALSE())</f>
        <v>Mist / Cloudy</v>
      </c>
      <c r="X973" s="23" t="str">
        <f>VLOOKUP($G973,Lookups!$D$5:$E$8,2,FALSE())</f>
        <v>Winter</v>
      </c>
      <c r="Y973" s="23" t="str">
        <f>VLOOKUP($L973,Lookups!$G$5:$H$11,2,FALSE())</f>
        <v>Sunday</v>
      </c>
      <c r="Z973" s="23" t="str">
        <f>IF($J973&lt;Lookups!$B$26,"Night",IF($J973&lt;Lookups!$B$27,"Morning",IF($J973&lt;Lookups!$B$28,"Afternoon","Evening")))</f>
        <v>Night</v>
      </c>
      <c r="AA973" s="26">
        <f>ROUND($N973*(Lookups!$B$16-Lookups!$B$15)+Lookups!$B$15,1)</f>
        <v>1.4</v>
      </c>
      <c r="AB973" s="26">
        <f>ROUND($P973*(Lookups!$B$18-Lookups!$B$17)+Lookups!$B$17,1)</f>
        <v>-1</v>
      </c>
      <c r="AC973" s="23">
        <f t="shared" si="92"/>
        <v>75</v>
      </c>
      <c r="AD973" s="23">
        <f>ROUND($R973*Lookups!$B$19,1)</f>
        <v>6</v>
      </c>
      <c r="AE973" s="27">
        <f t="shared" si="93"/>
        <v>0.95</v>
      </c>
      <c r="AF973" s="23" t="str">
        <f>IF($U973&gt;=Lookups!$B$23,"High",IF($U973&gt;=Lookups!$B$22,"Medium","Low"))</f>
        <v>Medium</v>
      </c>
      <c r="AG973" s="23">
        <f>ROUND(IF($V973="Weekday",IF(INDEX(Hourly_Analysis!$D$5:$D$28,$J973+1)&gt;0,($U973-INDEX(Hourly_Analysis!$C$5:$C$28,$J973+1))/INDEX(Hourly_Analysis!$D$5:$D$28,$J973+1),0),IF(INDEX(Hourly_Analysis!$G$5:$G$28,$J973+1)&gt;0,($U973-INDEX(Hourly_Analysis!$F$5:$F$28,$J973+1))/INDEX(Hourly_Analysis!$G$5:$G$28,$J973+1),0)),2)</f>
        <v>0.77</v>
      </c>
      <c r="AH973" s="23" t="str">
        <f>IF(ABS($AG973)&gt;Lookups!$B$20,IF($AG973&gt;0,"High anomaly","Low anomaly"),"")</f>
        <v/>
      </c>
      <c r="AI973" s="23" t="str">
        <f t="shared" si="94"/>
        <v>OK</v>
      </c>
      <c r="AJ973" s="23" t="str">
        <f t="shared" si="95"/>
        <v>No</v>
      </c>
    </row>
    <row r="974" spans="1:36" x14ac:dyDescent="0.35">
      <c r="A974" s="23">
        <v>973</v>
      </c>
      <c r="B974" s="23" t="str">
        <f t="shared" si="90"/>
        <v>Dataset 3</v>
      </c>
      <c r="C974" s="23">
        <f>IFERROR(MATCH($A974,Merge_1_2!$A$2:$A$611,0),0)</f>
        <v>0</v>
      </c>
      <c r="D974" s="23">
        <f>IF($C974&gt;0,INDEX(Merge_1_2!$Q$2:$Q$611,$C974),0)</f>
        <v>0</v>
      </c>
      <c r="E974" s="23">
        <f>IFERROR(MATCH($A974,Dataset3_Raw!$A$2:$A$391,0),0)</f>
        <v>363</v>
      </c>
      <c r="F974" s="24">
        <f>IF($C974&gt;0,INDEX(Merge_1_2!$B$2:$B$611,$C974),DATE(VALUE(RIGHT(INDEX(Dataset3_Raw!$B$2:$B$391,$E974),4)),VALUE(MID(INDEX(Dataset3_Raw!$B$2:$B$391,$E974),4,2)),VALUE(LEFT(INDEX(Dataset3_Raw!$B$2:$B$391,$E974),2))))</f>
        <v>40587</v>
      </c>
      <c r="G974" s="23">
        <f>IF($C974&gt;0,INDEX(Merge_1_2!$C$2:$C$611,$C974),INDEX(Dataset3_Raw!$C$2:$C$391,$E974))</f>
        <v>1</v>
      </c>
      <c r="H974" s="23">
        <f>IF($C974&gt;0,INDEX(Merge_1_2!$D$2:$D$611,$C974),INDEX(Dataset3_Raw!$D$2:$D$391,$E974))</f>
        <v>0</v>
      </c>
      <c r="I974" s="23">
        <f>IF($C974&gt;0,INDEX(Merge_1_2!$E$2:$E$611,$C974),INDEX(Dataset3_Raw!$E$2:$E$391,$E974))</f>
        <v>2</v>
      </c>
      <c r="J974" s="23">
        <f>IF($C974&gt;0,INDEX(Merge_1_2!$F$2:$F$611,$C974),INDEX(Dataset3_Raw!$F$2:$F$391,$E974))</f>
        <v>3</v>
      </c>
      <c r="K974" s="23" t="b">
        <f>IF($C974&gt;0,INDEX(Merge_1_2!$G$2:$G$611,$C974),INDEX(Dataset3_Raw!$G$2:$G$391,$E974))</f>
        <v>0</v>
      </c>
      <c r="L974" s="23">
        <f>IF($C974&gt;0,INDEX(Merge_1_2!$H$2:$H$611,$C974),INDEX(Dataset3_Raw!$H$2:$H$391,$E974))</f>
        <v>0</v>
      </c>
      <c r="M974" s="23">
        <f>IF($C974&gt;0,INDEX(Merge_1_2!$I$2:$I$611,$C974),INDEX(Dataset3_Raw!$I$2:$I$391,$E974))</f>
        <v>2</v>
      </c>
      <c r="N974" s="25">
        <f>IF($C974&gt;0,INDEX(Merge_1_2!$J$2:$J$611,$C974),INDEX(Dataset3_Raw!$J$2:$J$391,$E974))</f>
        <v>0.2</v>
      </c>
      <c r="O974" s="25">
        <f>IF($C974&gt;0,IF(ISNUMBER(INDEX(Merge_1_2!$K$2:$K$611,$C974)),INDEX(Merge_1_2!$K$2:$K$611,$C974),""),INDEX(Dataset3_Raw!$K$2:$K$391,$E974))</f>
        <v>0.2273</v>
      </c>
      <c r="P974" s="25">
        <f>IF(ISNUMBER($O974),$O974,ROUND(Lookups!$B$25+Lookups!$B$24*$N974,4))</f>
        <v>0.2273</v>
      </c>
      <c r="Q974" s="25">
        <f>IF($C974&gt;0,INDEX(Merge_1_2!$L$2:$L$611,$C974),INDEX(Dataset3_Raw!$L$2:$L$391,$E974))</f>
        <v>0.69</v>
      </c>
      <c r="R974" s="25">
        <f>IF($C974&gt;0,INDEX(Merge_1_2!$M$2:$M$611,$C974),INDEX(Dataset3_Raw!$M$2:$M$391,$E974))</f>
        <v>0.1045</v>
      </c>
      <c r="S974" s="23">
        <f>IF($C974&gt;0,INDEX(Merge_1_2!$N$2:$N$611,$C974),INDEX(Dataset3_Raw!$N$2:$N$391,$E974))</f>
        <v>4</v>
      </c>
      <c r="T974" s="23">
        <f>IF($C974&gt;0,INDEX(Merge_1_2!$O$2:$O$611,$C974),INDEX(Dataset3_Raw!$O$2:$O$391,$E974))</f>
        <v>8</v>
      </c>
      <c r="U974" s="23">
        <f>IF($C974&gt;0,INDEX(Merge_1_2!$P$2:$P$611,$C974),INDEX(Dataset3_Raw!$P$2:$P$391,$E974))</f>
        <v>12</v>
      </c>
      <c r="V974" s="23" t="str">
        <f t="shared" si="91"/>
        <v>Weekend</v>
      </c>
      <c r="W974" s="23" t="str">
        <f>VLOOKUP($M974,Lookups!$A$5:$B$8,2,FALSE())</f>
        <v>Mist / Cloudy</v>
      </c>
      <c r="X974" s="23" t="str">
        <f>VLOOKUP($G974,Lookups!$D$5:$E$8,2,FALSE())</f>
        <v>Winter</v>
      </c>
      <c r="Y974" s="23" t="str">
        <f>VLOOKUP($L974,Lookups!$G$5:$H$11,2,FALSE())</f>
        <v>Sunday</v>
      </c>
      <c r="Z974" s="23" t="str">
        <f>IF($J974&lt;Lookups!$B$26,"Night",IF($J974&lt;Lookups!$B$27,"Morning",IF($J974&lt;Lookups!$B$28,"Afternoon","Evening")))</f>
        <v>Night</v>
      </c>
      <c r="AA974" s="26">
        <f>ROUND($N974*(Lookups!$B$16-Lookups!$B$15)+Lookups!$B$15,1)</f>
        <v>1.4</v>
      </c>
      <c r="AB974" s="26">
        <f>ROUND($P974*(Lookups!$B$18-Lookups!$B$17)+Lookups!$B$17,1)</f>
        <v>-1</v>
      </c>
      <c r="AC974" s="23">
        <f t="shared" si="92"/>
        <v>69</v>
      </c>
      <c r="AD974" s="23">
        <f>ROUND($R974*Lookups!$B$19,1)</f>
        <v>7</v>
      </c>
      <c r="AE974" s="27">
        <f t="shared" si="93"/>
        <v>0.66666666666666663</v>
      </c>
      <c r="AF974" s="23" t="str">
        <f>IF($U974&gt;=Lookups!$B$23,"High",IF($U974&gt;=Lookups!$B$22,"Medium","Low"))</f>
        <v>Low</v>
      </c>
      <c r="AG974" s="23">
        <f>ROUND(IF($V974="Weekday",IF(INDEX(Hourly_Analysis!$D$5:$D$28,$J974+1)&gt;0,($U974-INDEX(Hourly_Analysis!$C$5:$C$28,$J974+1))/INDEX(Hourly_Analysis!$D$5:$D$28,$J974+1),0),IF(INDEX(Hourly_Analysis!$G$5:$G$28,$J974+1)&gt;0,($U974-INDEX(Hourly_Analysis!$F$5:$F$28,$J974+1))/INDEX(Hourly_Analysis!$G$5:$G$28,$J974+1),0)),2)</f>
        <v>0.92</v>
      </c>
      <c r="AH974" s="23" t="str">
        <f>IF(ABS($AG974)&gt;Lookups!$B$20,IF($AG974&gt;0,"High anomaly","Low anomaly"),"")</f>
        <v/>
      </c>
      <c r="AI974" s="23" t="str">
        <f t="shared" si="94"/>
        <v>OK</v>
      </c>
      <c r="AJ974" s="23" t="str">
        <f t="shared" si="95"/>
        <v>No</v>
      </c>
    </row>
    <row r="975" spans="1:36" x14ac:dyDescent="0.35">
      <c r="A975" s="23">
        <v>974</v>
      </c>
      <c r="B975" s="23" t="str">
        <f t="shared" si="90"/>
        <v>Dataset 3</v>
      </c>
      <c r="C975" s="23">
        <f>IFERROR(MATCH($A975,Merge_1_2!$A$2:$A$611,0),0)</f>
        <v>0</v>
      </c>
      <c r="D975" s="23">
        <f>IF($C975&gt;0,INDEX(Merge_1_2!$Q$2:$Q$611,$C975),0)</f>
        <v>0</v>
      </c>
      <c r="E975" s="23">
        <f>IFERROR(MATCH($A975,Dataset3_Raw!$A$2:$A$391,0),0)</f>
        <v>364</v>
      </c>
      <c r="F975" s="24">
        <f>IF($C975&gt;0,INDEX(Merge_1_2!$B$2:$B$611,$C975),DATE(VALUE(RIGHT(INDEX(Dataset3_Raw!$B$2:$B$391,$E975),4)),VALUE(MID(INDEX(Dataset3_Raw!$B$2:$B$391,$E975),4,2)),VALUE(LEFT(INDEX(Dataset3_Raw!$B$2:$B$391,$E975),2))))</f>
        <v>40587</v>
      </c>
      <c r="G975" s="23">
        <f>IF($C975&gt;0,INDEX(Merge_1_2!$C$2:$C$611,$C975),INDEX(Dataset3_Raw!$C$2:$C$391,$E975))</f>
        <v>1</v>
      </c>
      <c r="H975" s="23">
        <f>IF($C975&gt;0,INDEX(Merge_1_2!$D$2:$D$611,$C975),INDEX(Dataset3_Raw!$D$2:$D$391,$E975))</f>
        <v>0</v>
      </c>
      <c r="I975" s="23">
        <f>IF($C975&gt;0,INDEX(Merge_1_2!$E$2:$E$611,$C975),INDEX(Dataset3_Raw!$E$2:$E$391,$E975))</f>
        <v>2</v>
      </c>
      <c r="J975" s="23">
        <f>IF($C975&gt;0,INDEX(Merge_1_2!$F$2:$F$611,$C975),INDEX(Dataset3_Raw!$F$2:$F$391,$E975))</f>
        <v>4</v>
      </c>
      <c r="K975" s="23" t="b">
        <f>IF($C975&gt;0,INDEX(Merge_1_2!$G$2:$G$611,$C975),INDEX(Dataset3_Raw!$G$2:$G$391,$E975))</f>
        <v>0</v>
      </c>
      <c r="L975" s="23">
        <f>IF($C975&gt;0,INDEX(Merge_1_2!$H$2:$H$611,$C975),INDEX(Dataset3_Raw!$H$2:$H$391,$E975))</f>
        <v>0</v>
      </c>
      <c r="M975" s="23">
        <f>IF($C975&gt;0,INDEX(Merge_1_2!$I$2:$I$611,$C975),INDEX(Dataset3_Raw!$I$2:$I$391,$E975))</f>
        <v>2</v>
      </c>
      <c r="N975" s="25">
        <f>IF($C975&gt;0,INDEX(Merge_1_2!$J$2:$J$611,$C975),INDEX(Dataset3_Raw!$J$2:$J$391,$E975))</f>
        <v>0.2</v>
      </c>
      <c r="O975" s="25">
        <f>IF($C975&gt;0,IF(ISNUMBER(INDEX(Merge_1_2!$K$2:$K$611,$C975)),INDEX(Merge_1_2!$K$2:$K$611,$C975),""),INDEX(Dataset3_Raw!$K$2:$K$391,$E975))</f>
        <v>0.21210000000000001</v>
      </c>
      <c r="P975" s="25">
        <f>IF(ISNUMBER($O975),$O975,ROUND(Lookups!$B$25+Lookups!$B$24*$N975,4))</f>
        <v>0.21210000000000001</v>
      </c>
      <c r="Q975" s="25">
        <f>IF($C975&gt;0,INDEX(Merge_1_2!$L$2:$L$611,$C975),INDEX(Dataset3_Raw!$L$2:$L$391,$E975))</f>
        <v>0.69</v>
      </c>
      <c r="R975" s="25">
        <f>IF($C975&gt;0,INDEX(Merge_1_2!$M$2:$M$611,$C975),INDEX(Dataset3_Raw!$M$2:$M$391,$E975))</f>
        <v>0.16420000000000001</v>
      </c>
      <c r="S975" s="23">
        <f>IF($C975&gt;0,INDEX(Merge_1_2!$N$2:$N$611,$C975),INDEX(Dataset3_Raw!$N$2:$N$391,$E975))</f>
        <v>0</v>
      </c>
      <c r="T975" s="23">
        <f>IF($C975&gt;0,INDEX(Merge_1_2!$O$2:$O$611,$C975),INDEX(Dataset3_Raw!$O$2:$O$391,$E975))</f>
        <v>2</v>
      </c>
      <c r="U975" s="23">
        <f>IF($C975&gt;0,INDEX(Merge_1_2!$P$2:$P$611,$C975),INDEX(Dataset3_Raw!$P$2:$P$391,$E975))</f>
        <v>2</v>
      </c>
      <c r="V975" s="23" t="str">
        <f t="shared" si="91"/>
        <v>Weekend</v>
      </c>
      <c r="W975" s="23" t="str">
        <f>VLOOKUP($M975,Lookups!$A$5:$B$8,2,FALSE())</f>
        <v>Mist / Cloudy</v>
      </c>
      <c r="X975" s="23" t="str">
        <f>VLOOKUP($G975,Lookups!$D$5:$E$8,2,FALSE())</f>
        <v>Winter</v>
      </c>
      <c r="Y975" s="23" t="str">
        <f>VLOOKUP($L975,Lookups!$G$5:$H$11,2,FALSE())</f>
        <v>Sunday</v>
      </c>
      <c r="Z975" s="23" t="str">
        <f>IF($J975&lt;Lookups!$B$26,"Night",IF($J975&lt;Lookups!$B$27,"Morning",IF($J975&lt;Lookups!$B$28,"Afternoon","Evening")))</f>
        <v>Night</v>
      </c>
      <c r="AA975" s="26">
        <f>ROUND($N975*(Lookups!$B$16-Lookups!$B$15)+Lookups!$B$15,1)</f>
        <v>1.4</v>
      </c>
      <c r="AB975" s="26">
        <f>ROUND($P975*(Lookups!$B$18-Lookups!$B$17)+Lookups!$B$17,1)</f>
        <v>-2</v>
      </c>
      <c r="AC975" s="23">
        <f t="shared" si="92"/>
        <v>69</v>
      </c>
      <c r="AD975" s="23">
        <f>ROUND($R975*Lookups!$B$19,1)</f>
        <v>11</v>
      </c>
      <c r="AE975" s="27">
        <f t="shared" si="93"/>
        <v>1</v>
      </c>
      <c r="AF975" s="23" t="str">
        <f>IF($U975&gt;=Lookups!$B$23,"High",IF($U975&gt;=Lookups!$B$22,"Medium","Low"))</f>
        <v>Low</v>
      </c>
      <c r="AG975" s="23">
        <f>ROUND(IF($V975="Weekday",IF(INDEX(Hourly_Analysis!$D$5:$D$28,$J975+1)&gt;0,($U975-INDEX(Hourly_Analysis!$C$5:$C$28,$J975+1))/INDEX(Hourly_Analysis!$D$5:$D$28,$J975+1),0),IF(INDEX(Hourly_Analysis!$G$5:$G$28,$J975+1)&gt;0,($U975-INDEX(Hourly_Analysis!$F$5:$F$28,$J975+1))/INDEX(Hourly_Analysis!$G$5:$G$28,$J975+1),0)),2)</f>
        <v>-0.36</v>
      </c>
      <c r="AH975" s="23" t="str">
        <f>IF(ABS($AG975)&gt;Lookups!$B$20,IF($AG975&gt;0,"High anomaly","Low anomaly"),"")</f>
        <v/>
      </c>
      <c r="AI975" s="23" t="str">
        <f t="shared" si="94"/>
        <v>OK</v>
      </c>
      <c r="AJ975" s="23" t="str">
        <f t="shared" si="95"/>
        <v>No</v>
      </c>
    </row>
    <row r="976" spans="1:36" x14ac:dyDescent="0.35">
      <c r="A976" s="23">
        <v>975</v>
      </c>
      <c r="B976" s="23" t="str">
        <f t="shared" si="90"/>
        <v>Dataset 3</v>
      </c>
      <c r="C976" s="23">
        <f>IFERROR(MATCH($A976,Merge_1_2!$A$2:$A$611,0),0)</f>
        <v>0</v>
      </c>
      <c r="D976" s="23">
        <f>IF($C976&gt;0,INDEX(Merge_1_2!$Q$2:$Q$611,$C976),0)</f>
        <v>0</v>
      </c>
      <c r="E976" s="23">
        <f>IFERROR(MATCH($A976,Dataset3_Raw!$A$2:$A$391,0),0)</f>
        <v>365</v>
      </c>
      <c r="F976" s="24">
        <f>IF($C976&gt;0,INDEX(Merge_1_2!$B$2:$B$611,$C976),DATE(VALUE(RIGHT(INDEX(Dataset3_Raw!$B$2:$B$391,$E976),4)),VALUE(MID(INDEX(Dataset3_Raw!$B$2:$B$391,$E976),4,2)),VALUE(LEFT(INDEX(Dataset3_Raw!$B$2:$B$391,$E976),2))))</f>
        <v>40587</v>
      </c>
      <c r="G976" s="23">
        <f>IF($C976&gt;0,INDEX(Merge_1_2!$C$2:$C$611,$C976),INDEX(Dataset3_Raw!$C$2:$C$391,$E976))</f>
        <v>1</v>
      </c>
      <c r="H976" s="23">
        <f>IF($C976&gt;0,INDEX(Merge_1_2!$D$2:$D$611,$C976),INDEX(Dataset3_Raw!$D$2:$D$391,$E976))</f>
        <v>0</v>
      </c>
      <c r="I976" s="23">
        <f>IF($C976&gt;0,INDEX(Merge_1_2!$E$2:$E$611,$C976),INDEX(Dataset3_Raw!$E$2:$E$391,$E976))</f>
        <v>2</v>
      </c>
      <c r="J976" s="23">
        <f>IF($C976&gt;0,INDEX(Merge_1_2!$F$2:$F$611,$C976),INDEX(Dataset3_Raw!$F$2:$F$391,$E976))</f>
        <v>6</v>
      </c>
      <c r="K976" s="23" t="b">
        <f>IF($C976&gt;0,INDEX(Merge_1_2!$G$2:$G$611,$C976),INDEX(Dataset3_Raw!$G$2:$G$391,$E976))</f>
        <v>0</v>
      </c>
      <c r="L976" s="23">
        <f>IF($C976&gt;0,INDEX(Merge_1_2!$H$2:$H$611,$C976),INDEX(Dataset3_Raw!$H$2:$H$391,$E976))</f>
        <v>0</v>
      </c>
      <c r="M976" s="23">
        <f>IF($C976&gt;0,INDEX(Merge_1_2!$I$2:$I$611,$C976),INDEX(Dataset3_Raw!$I$2:$I$391,$E976))</f>
        <v>2</v>
      </c>
      <c r="N976" s="25">
        <f>IF($C976&gt;0,INDEX(Merge_1_2!$J$2:$J$611,$C976),INDEX(Dataset3_Raw!$J$2:$J$391,$E976))</f>
        <v>0.2</v>
      </c>
      <c r="O976" s="25">
        <f>IF($C976&gt;0,IF(ISNUMBER(INDEX(Merge_1_2!$K$2:$K$611,$C976)),INDEX(Merge_1_2!$K$2:$K$611,$C976),""),INDEX(Dataset3_Raw!$K$2:$K$391,$E976))</f>
        <v>0.21210000000000001</v>
      </c>
      <c r="P976" s="25">
        <f>IF(ISNUMBER($O976),$O976,ROUND(Lookups!$B$25+Lookups!$B$24*$N976,4))</f>
        <v>0.21210000000000001</v>
      </c>
      <c r="Q976" s="25">
        <f>IF($C976&gt;0,INDEX(Merge_1_2!$L$2:$L$611,$C976),INDEX(Dataset3_Raw!$L$2:$L$391,$E976))</f>
        <v>0.69</v>
      </c>
      <c r="R976" s="25">
        <f>IF($C976&gt;0,INDEX(Merge_1_2!$M$2:$M$611,$C976),INDEX(Dataset3_Raw!$M$2:$M$391,$E976))</f>
        <v>0.1343</v>
      </c>
      <c r="S976" s="23">
        <f>IF($C976&gt;0,INDEX(Merge_1_2!$N$2:$N$611,$C976),INDEX(Dataset3_Raw!$N$2:$N$391,$E976))</f>
        <v>2</v>
      </c>
      <c r="T976" s="23">
        <f>IF($C976&gt;0,INDEX(Merge_1_2!$O$2:$O$611,$C976),INDEX(Dataset3_Raw!$O$2:$O$391,$E976))</f>
        <v>3</v>
      </c>
      <c r="U976" s="23">
        <f>IF($C976&gt;0,INDEX(Merge_1_2!$P$2:$P$611,$C976),INDEX(Dataset3_Raw!$P$2:$P$391,$E976))</f>
        <v>5</v>
      </c>
      <c r="V976" s="23" t="str">
        <f t="shared" si="91"/>
        <v>Weekend</v>
      </c>
      <c r="W976" s="23" t="str">
        <f>VLOOKUP($M976,Lookups!$A$5:$B$8,2,FALSE())</f>
        <v>Mist / Cloudy</v>
      </c>
      <c r="X976" s="23" t="str">
        <f>VLOOKUP($G976,Lookups!$D$5:$E$8,2,FALSE())</f>
        <v>Winter</v>
      </c>
      <c r="Y976" s="23" t="str">
        <f>VLOOKUP($L976,Lookups!$G$5:$H$11,2,FALSE())</f>
        <v>Sunday</v>
      </c>
      <c r="Z976" s="23" t="str">
        <f>IF($J976&lt;Lookups!$B$26,"Night",IF($J976&lt;Lookups!$B$27,"Morning",IF($J976&lt;Lookups!$B$28,"Afternoon","Evening")))</f>
        <v>Morning</v>
      </c>
      <c r="AA976" s="26">
        <f>ROUND($N976*(Lookups!$B$16-Lookups!$B$15)+Lookups!$B$15,1)</f>
        <v>1.4</v>
      </c>
      <c r="AB976" s="26">
        <f>ROUND($P976*(Lookups!$B$18-Lookups!$B$17)+Lookups!$B$17,1)</f>
        <v>-2</v>
      </c>
      <c r="AC976" s="23">
        <f t="shared" si="92"/>
        <v>69</v>
      </c>
      <c r="AD976" s="23">
        <f>ROUND($R976*Lookups!$B$19,1)</f>
        <v>9</v>
      </c>
      <c r="AE976" s="27">
        <f t="shared" si="93"/>
        <v>0.6</v>
      </c>
      <c r="AF976" s="23" t="str">
        <f>IF($U976&gt;=Lookups!$B$23,"High",IF($U976&gt;=Lookups!$B$22,"Medium","Low"))</f>
        <v>Low</v>
      </c>
      <c r="AG976" s="23">
        <f>ROUND(IF($V976="Weekday",IF(INDEX(Hourly_Analysis!$D$5:$D$28,$J976+1)&gt;0,($U976-INDEX(Hourly_Analysis!$C$5:$C$28,$J976+1))/INDEX(Hourly_Analysis!$D$5:$D$28,$J976+1),0),IF(INDEX(Hourly_Analysis!$G$5:$G$28,$J976+1)&gt;0,($U976-INDEX(Hourly_Analysis!$F$5:$F$28,$J976+1))/INDEX(Hourly_Analysis!$G$5:$G$28,$J976+1),0)),2)</f>
        <v>1.9</v>
      </c>
      <c r="AH976" s="23" t="str">
        <f>IF(ABS($AG976)&gt;Lookups!$B$20,IF($AG976&gt;0,"High anomaly","Low anomaly"),"")</f>
        <v/>
      </c>
      <c r="AI976" s="23" t="str">
        <f t="shared" si="94"/>
        <v>OK</v>
      </c>
      <c r="AJ976" s="23" t="str">
        <f t="shared" si="95"/>
        <v>No</v>
      </c>
    </row>
    <row r="977" spans="1:36" x14ac:dyDescent="0.35">
      <c r="A977" s="23">
        <v>976</v>
      </c>
      <c r="B977" s="23" t="str">
        <f t="shared" si="90"/>
        <v>Dataset 3</v>
      </c>
      <c r="C977" s="23">
        <f>IFERROR(MATCH($A977,Merge_1_2!$A$2:$A$611,0),0)</f>
        <v>0</v>
      </c>
      <c r="D977" s="23">
        <f>IF($C977&gt;0,INDEX(Merge_1_2!$Q$2:$Q$611,$C977),0)</f>
        <v>0</v>
      </c>
      <c r="E977" s="23">
        <f>IFERROR(MATCH($A977,Dataset3_Raw!$A$2:$A$391,0),0)</f>
        <v>366</v>
      </c>
      <c r="F977" s="24">
        <f>IF($C977&gt;0,INDEX(Merge_1_2!$B$2:$B$611,$C977),DATE(VALUE(RIGHT(INDEX(Dataset3_Raw!$B$2:$B$391,$E977),4)),VALUE(MID(INDEX(Dataset3_Raw!$B$2:$B$391,$E977),4,2)),VALUE(LEFT(INDEX(Dataset3_Raw!$B$2:$B$391,$E977),2))))</f>
        <v>40587</v>
      </c>
      <c r="G977" s="23">
        <f>IF($C977&gt;0,INDEX(Merge_1_2!$C$2:$C$611,$C977),INDEX(Dataset3_Raw!$C$2:$C$391,$E977))</f>
        <v>1</v>
      </c>
      <c r="H977" s="23">
        <f>IF($C977&gt;0,INDEX(Merge_1_2!$D$2:$D$611,$C977),INDEX(Dataset3_Raw!$D$2:$D$391,$E977))</f>
        <v>0</v>
      </c>
      <c r="I977" s="23">
        <f>IF($C977&gt;0,INDEX(Merge_1_2!$E$2:$E$611,$C977),INDEX(Dataset3_Raw!$E$2:$E$391,$E977))</f>
        <v>2</v>
      </c>
      <c r="J977" s="23">
        <f>IF($C977&gt;0,INDEX(Merge_1_2!$F$2:$F$611,$C977),INDEX(Dataset3_Raw!$F$2:$F$391,$E977))</f>
        <v>7</v>
      </c>
      <c r="K977" s="23" t="b">
        <f>IF($C977&gt;0,INDEX(Merge_1_2!$G$2:$G$611,$C977),INDEX(Dataset3_Raw!$G$2:$G$391,$E977))</f>
        <v>0</v>
      </c>
      <c r="L977" s="23">
        <f>IF($C977&gt;0,INDEX(Merge_1_2!$H$2:$H$611,$C977),INDEX(Dataset3_Raw!$H$2:$H$391,$E977))</f>
        <v>0</v>
      </c>
      <c r="M977" s="23">
        <f>IF($C977&gt;0,INDEX(Merge_1_2!$I$2:$I$611,$C977),INDEX(Dataset3_Raw!$I$2:$I$391,$E977))</f>
        <v>2</v>
      </c>
      <c r="N977" s="25">
        <f>IF($C977&gt;0,INDEX(Merge_1_2!$J$2:$J$611,$C977),INDEX(Dataset3_Raw!$J$2:$J$391,$E977))</f>
        <v>0.22</v>
      </c>
      <c r="O977" s="25">
        <f>IF($C977&gt;0,IF(ISNUMBER(INDEX(Merge_1_2!$K$2:$K$611,$C977)),INDEX(Merge_1_2!$K$2:$K$611,$C977),""),INDEX(Dataset3_Raw!$K$2:$K$391,$E977))</f>
        <v>0.2727</v>
      </c>
      <c r="P977" s="25">
        <f>IF(ISNUMBER($O977),$O977,ROUND(Lookups!$B$25+Lookups!$B$24*$N977,4))</f>
        <v>0.2727</v>
      </c>
      <c r="Q977" s="25">
        <f>IF($C977&gt;0,INDEX(Merge_1_2!$L$2:$L$611,$C977),INDEX(Dataset3_Raw!$L$2:$L$391,$E977))</f>
        <v>0.55000000000000004</v>
      </c>
      <c r="R977" s="25">
        <f>IF($C977&gt;0,INDEX(Merge_1_2!$M$2:$M$611,$C977),INDEX(Dataset3_Raw!$M$2:$M$391,$E977))</f>
        <v>0</v>
      </c>
      <c r="S977" s="23">
        <f>IF($C977&gt;0,INDEX(Merge_1_2!$N$2:$N$611,$C977),INDEX(Dataset3_Raw!$N$2:$N$391,$E977))</f>
        <v>0</v>
      </c>
      <c r="T977" s="23">
        <f>IF($C977&gt;0,INDEX(Merge_1_2!$O$2:$O$611,$C977),INDEX(Dataset3_Raw!$O$2:$O$391,$E977))</f>
        <v>3</v>
      </c>
      <c r="U977" s="23">
        <f>IF($C977&gt;0,INDEX(Merge_1_2!$P$2:$P$611,$C977),INDEX(Dataset3_Raw!$P$2:$P$391,$E977))</f>
        <v>3</v>
      </c>
      <c r="V977" s="23" t="str">
        <f t="shared" si="91"/>
        <v>Weekend</v>
      </c>
      <c r="W977" s="23" t="str">
        <f>VLOOKUP($M977,Lookups!$A$5:$B$8,2,FALSE())</f>
        <v>Mist / Cloudy</v>
      </c>
      <c r="X977" s="23" t="str">
        <f>VLOOKUP($G977,Lookups!$D$5:$E$8,2,FALSE())</f>
        <v>Winter</v>
      </c>
      <c r="Y977" s="23" t="str">
        <f>VLOOKUP($L977,Lookups!$G$5:$H$11,2,FALSE())</f>
        <v>Sunday</v>
      </c>
      <c r="Z977" s="23" t="str">
        <f>IF($J977&lt;Lookups!$B$26,"Night",IF($J977&lt;Lookups!$B$27,"Morning",IF($J977&lt;Lookups!$B$28,"Afternoon","Evening")))</f>
        <v>Morning</v>
      </c>
      <c r="AA977" s="26">
        <f>ROUND($N977*(Lookups!$B$16-Lookups!$B$15)+Lookups!$B$15,1)</f>
        <v>2.2999999999999998</v>
      </c>
      <c r="AB977" s="26">
        <f>ROUND($P977*(Lookups!$B$18-Lookups!$B$17)+Lookups!$B$17,1)</f>
        <v>2</v>
      </c>
      <c r="AC977" s="23">
        <f t="shared" si="92"/>
        <v>55</v>
      </c>
      <c r="AD977" s="23">
        <f>ROUND($R977*Lookups!$B$19,1)</f>
        <v>0</v>
      </c>
      <c r="AE977" s="27">
        <f t="shared" si="93"/>
        <v>1</v>
      </c>
      <c r="AF977" s="23" t="str">
        <f>IF($U977&gt;=Lookups!$B$23,"High",IF($U977&gt;=Lookups!$B$22,"Medium","Low"))</f>
        <v>Low</v>
      </c>
      <c r="AG977" s="23">
        <f>ROUND(IF($V977="Weekday",IF(INDEX(Hourly_Analysis!$D$5:$D$28,$J977+1)&gt;0,($U977-INDEX(Hourly_Analysis!$C$5:$C$28,$J977+1))/INDEX(Hourly_Analysis!$D$5:$D$28,$J977+1),0),IF(INDEX(Hourly_Analysis!$G$5:$G$28,$J977+1)&gt;0,($U977-INDEX(Hourly_Analysis!$F$5:$F$28,$J977+1))/INDEX(Hourly_Analysis!$G$5:$G$28,$J977+1),0)),2)</f>
        <v>-0.8</v>
      </c>
      <c r="AH977" s="23" t="str">
        <f>IF(ABS($AG977)&gt;Lookups!$B$20,IF($AG977&gt;0,"High anomaly","Low anomaly"),"")</f>
        <v/>
      </c>
      <c r="AI977" s="23" t="str">
        <f t="shared" si="94"/>
        <v>OK</v>
      </c>
      <c r="AJ977" s="23" t="str">
        <f t="shared" si="95"/>
        <v>No</v>
      </c>
    </row>
    <row r="978" spans="1:36" x14ac:dyDescent="0.35">
      <c r="A978" s="23">
        <v>977</v>
      </c>
      <c r="B978" s="23" t="str">
        <f t="shared" si="90"/>
        <v>Dataset 3</v>
      </c>
      <c r="C978" s="23">
        <f>IFERROR(MATCH($A978,Merge_1_2!$A$2:$A$611,0),0)</f>
        <v>0</v>
      </c>
      <c r="D978" s="23">
        <f>IF($C978&gt;0,INDEX(Merge_1_2!$Q$2:$Q$611,$C978),0)</f>
        <v>0</v>
      </c>
      <c r="E978" s="23">
        <f>IFERROR(MATCH($A978,Dataset3_Raw!$A$2:$A$391,0),0)</f>
        <v>367</v>
      </c>
      <c r="F978" s="24">
        <f>IF($C978&gt;0,INDEX(Merge_1_2!$B$2:$B$611,$C978),DATE(VALUE(RIGHT(INDEX(Dataset3_Raw!$B$2:$B$391,$E978),4)),VALUE(MID(INDEX(Dataset3_Raw!$B$2:$B$391,$E978),4,2)),VALUE(LEFT(INDEX(Dataset3_Raw!$B$2:$B$391,$E978),2))))</f>
        <v>40587</v>
      </c>
      <c r="G978" s="23">
        <f>IF($C978&gt;0,INDEX(Merge_1_2!$C$2:$C$611,$C978),INDEX(Dataset3_Raw!$C$2:$C$391,$E978))</f>
        <v>1</v>
      </c>
      <c r="H978" s="23">
        <f>IF($C978&gt;0,INDEX(Merge_1_2!$D$2:$D$611,$C978),INDEX(Dataset3_Raw!$D$2:$D$391,$E978))</f>
        <v>0</v>
      </c>
      <c r="I978" s="23">
        <f>IF($C978&gt;0,INDEX(Merge_1_2!$E$2:$E$611,$C978),INDEX(Dataset3_Raw!$E$2:$E$391,$E978))</f>
        <v>2</v>
      </c>
      <c r="J978" s="23">
        <f>IF($C978&gt;0,INDEX(Merge_1_2!$F$2:$F$611,$C978),INDEX(Dataset3_Raw!$F$2:$F$391,$E978))</f>
        <v>8</v>
      </c>
      <c r="K978" s="23" t="b">
        <f>IF($C978&gt;0,INDEX(Merge_1_2!$G$2:$G$611,$C978),INDEX(Dataset3_Raw!$G$2:$G$391,$E978))</f>
        <v>0</v>
      </c>
      <c r="L978" s="23">
        <f>IF($C978&gt;0,INDEX(Merge_1_2!$H$2:$H$611,$C978),INDEX(Dataset3_Raw!$H$2:$H$391,$E978))</f>
        <v>0</v>
      </c>
      <c r="M978" s="23">
        <f>IF($C978&gt;0,INDEX(Merge_1_2!$I$2:$I$611,$C978),INDEX(Dataset3_Raw!$I$2:$I$391,$E978))</f>
        <v>2</v>
      </c>
      <c r="N978" s="25">
        <f>IF($C978&gt;0,INDEX(Merge_1_2!$J$2:$J$611,$C978),INDEX(Dataset3_Raw!$J$2:$J$391,$E978))</f>
        <v>0.22</v>
      </c>
      <c r="O978" s="25">
        <f>IF($C978&gt;0,IF(ISNUMBER(INDEX(Merge_1_2!$K$2:$K$611,$C978)),INDEX(Merge_1_2!$K$2:$K$611,$C978),""),INDEX(Dataset3_Raw!$K$2:$K$391,$E978))</f>
        <v>0.2273</v>
      </c>
      <c r="P978" s="25">
        <f>IF(ISNUMBER($O978),$O978,ROUND(Lookups!$B$25+Lookups!$B$24*$N978,4))</f>
        <v>0.2273</v>
      </c>
      <c r="Q978" s="25">
        <f>IF($C978&gt;0,INDEX(Merge_1_2!$L$2:$L$611,$C978),INDEX(Dataset3_Raw!$L$2:$L$391,$E978))</f>
        <v>0.64</v>
      </c>
      <c r="R978" s="25">
        <f>IF($C978&gt;0,INDEX(Merge_1_2!$M$2:$M$611,$C978),INDEX(Dataset3_Raw!$M$2:$M$391,$E978))</f>
        <v>0.19400000000000001</v>
      </c>
      <c r="S978" s="23">
        <f>IF($C978&gt;0,INDEX(Merge_1_2!$N$2:$N$611,$C978),INDEX(Dataset3_Raw!$N$2:$N$391,$E978))</f>
        <v>1</v>
      </c>
      <c r="T978" s="23">
        <f>IF($C978&gt;0,INDEX(Merge_1_2!$O$2:$O$611,$C978),INDEX(Dataset3_Raw!$O$2:$O$391,$E978))</f>
        <v>11</v>
      </c>
      <c r="U978" s="23">
        <f>IF($C978&gt;0,INDEX(Merge_1_2!$P$2:$P$611,$C978),INDEX(Dataset3_Raw!$P$2:$P$391,$E978))</f>
        <v>12</v>
      </c>
      <c r="V978" s="23" t="str">
        <f t="shared" si="91"/>
        <v>Weekend</v>
      </c>
      <c r="W978" s="23" t="str">
        <f>VLOOKUP($M978,Lookups!$A$5:$B$8,2,FALSE())</f>
        <v>Mist / Cloudy</v>
      </c>
      <c r="X978" s="23" t="str">
        <f>VLOOKUP($G978,Lookups!$D$5:$E$8,2,FALSE())</f>
        <v>Winter</v>
      </c>
      <c r="Y978" s="23" t="str">
        <f>VLOOKUP($L978,Lookups!$G$5:$H$11,2,FALSE())</f>
        <v>Sunday</v>
      </c>
      <c r="Z978" s="23" t="str">
        <f>IF($J978&lt;Lookups!$B$26,"Night",IF($J978&lt;Lookups!$B$27,"Morning",IF($J978&lt;Lookups!$B$28,"Afternoon","Evening")))</f>
        <v>Morning</v>
      </c>
      <c r="AA978" s="26">
        <f>ROUND($N978*(Lookups!$B$16-Lookups!$B$15)+Lookups!$B$15,1)</f>
        <v>2.2999999999999998</v>
      </c>
      <c r="AB978" s="26">
        <f>ROUND($P978*(Lookups!$B$18-Lookups!$B$17)+Lookups!$B$17,1)</f>
        <v>-1</v>
      </c>
      <c r="AC978" s="23">
        <f t="shared" si="92"/>
        <v>64</v>
      </c>
      <c r="AD978" s="23">
        <f>ROUND($R978*Lookups!$B$19,1)</f>
        <v>13</v>
      </c>
      <c r="AE978" s="27">
        <f t="shared" si="93"/>
        <v>0.91666666666666663</v>
      </c>
      <c r="AF978" s="23" t="str">
        <f>IF($U978&gt;=Lookups!$B$23,"High",IF($U978&gt;=Lookups!$B$22,"Medium","Low"))</f>
        <v>Low</v>
      </c>
      <c r="AG978" s="23">
        <f>ROUND(IF($V978="Weekday",IF(INDEX(Hourly_Analysis!$D$5:$D$28,$J978+1)&gt;0,($U978-INDEX(Hourly_Analysis!$C$5:$C$28,$J978+1))/INDEX(Hourly_Analysis!$D$5:$D$28,$J978+1),0),IF(INDEX(Hourly_Analysis!$G$5:$G$28,$J978+1)&gt;0,($U978-INDEX(Hourly_Analysis!$F$5:$F$28,$J978+1))/INDEX(Hourly_Analysis!$G$5:$G$28,$J978+1),0)),2)</f>
        <v>-0.75</v>
      </c>
      <c r="AH978" s="23" t="str">
        <f>IF(ABS($AG978)&gt;Lookups!$B$20,IF($AG978&gt;0,"High anomaly","Low anomaly"),"")</f>
        <v/>
      </c>
      <c r="AI978" s="23" t="str">
        <f t="shared" si="94"/>
        <v>OK</v>
      </c>
      <c r="AJ978" s="23" t="str">
        <f t="shared" si="95"/>
        <v>No</v>
      </c>
    </row>
    <row r="979" spans="1:36" x14ac:dyDescent="0.35">
      <c r="A979" s="23">
        <v>978</v>
      </c>
      <c r="B979" s="23" t="str">
        <f t="shared" si="90"/>
        <v>Dataset 3</v>
      </c>
      <c r="C979" s="23">
        <f>IFERROR(MATCH($A979,Merge_1_2!$A$2:$A$611,0),0)</f>
        <v>0</v>
      </c>
      <c r="D979" s="23">
        <f>IF($C979&gt;0,INDEX(Merge_1_2!$Q$2:$Q$611,$C979),0)</f>
        <v>0</v>
      </c>
      <c r="E979" s="23">
        <f>IFERROR(MATCH($A979,Dataset3_Raw!$A$2:$A$391,0),0)</f>
        <v>368</v>
      </c>
      <c r="F979" s="24">
        <f>IF($C979&gt;0,INDEX(Merge_1_2!$B$2:$B$611,$C979),DATE(VALUE(RIGHT(INDEX(Dataset3_Raw!$B$2:$B$391,$E979),4)),VALUE(MID(INDEX(Dataset3_Raw!$B$2:$B$391,$E979),4,2)),VALUE(LEFT(INDEX(Dataset3_Raw!$B$2:$B$391,$E979),2))))</f>
        <v>40587</v>
      </c>
      <c r="G979" s="23">
        <f>IF($C979&gt;0,INDEX(Merge_1_2!$C$2:$C$611,$C979),INDEX(Dataset3_Raw!$C$2:$C$391,$E979))</f>
        <v>1</v>
      </c>
      <c r="H979" s="23">
        <f>IF($C979&gt;0,INDEX(Merge_1_2!$D$2:$D$611,$C979),INDEX(Dataset3_Raw!$D$2:$D$391,$E979))</f>
        <v>0</v>
      </c>
      <c r="I979" s="23">
        <f>IF($C979&gt;0,INDEX(Merge_1_2!$E$2:$E$611,$C979),INDEX(Dataset3_Raw!$E$2:$E$391,$E979))</f>
        <v>2</v>
      </c>
      <c r="J979" s="23">
        <f>IF($C979&gt;0,INDEX(Merge_1_2!$F$2:$F$611,$C979),INDEX(Dataset3_Raw!$F$2:$F$391,$E979))</f>
        <v>9</v>
      </c>
      <c r="K979" s="23" t="b">
        <f>IF($C979&gt;0,INDEX(Merge_1_2!$G$2:$G$611,$C979),INDEX(Dataset3_Raw!$G$2:$G$391,$E979))</f>
        <v>0</v>
      </c>
      <c r="L979" s="23">
        <f>IF($C979&gt;0,INDEX(Merge_1_2!$H$2:$H$611,$C979),INDEX(Dataset3_Raw!$H$2:$H$391,$E979))</f>
        <v>0</v>
      </c>
      <c r="M979" s="23">
        <f>IF($C979&gt;0,INDEX(Merge_1_2!$I$2:$I$611,$C979),INDEX(Dataset3_Raw!$I$2:$I$391,$E979))</f>
        <v>2</v>
      </c>
      <c r="N979" s="25">
        <f>IF($C979&gt;0,INDEX(Merge_1_2!$J$2:$J$611,$C979),INDEX(Dataset3_Raw!$J$2:$J$391,$E979))</f>
        <v>0.24</v>
      </c>
      <c r="O979" s="25">
        <f>IF($C979&gt;0,IF(ISNUMBER(INDEX(Merge_1_2!$K$2:$K$611,$C979)),INDEX(Merge_1_2!$K$2:$K$611,$C979),""),INDEX(Dataset3_Raw!$K$2:$K$391,$E979))</f>
        <v>0.2273</v>
      </c>
      <c r="P979" s="25">
        <f>IF(ISNUMBER($O979),$O979,ROUND(Lookups!$B$25+Lookups!$B$24*$N979,4))</f>
        <v>0.2273</v>
      </c>
      <c r="Q979" s="25">
        <f>IF($C979&gt;0,INDEX(Merge_1_2!$L$2:$L$611,$C979),INDEX(Dataset3_Raw!$L$2:$L$391,$E979))</f>
        <v>0.6</v>
      </c>
      <c r="R979" s="25">
        <f>IF($C979&gt;0,INDEX(Merge_1_2!$M$2:$M$611,$C979),INDEX(Dataset3_Raw!$M$2:$M$391,$E979))</f>
        <v>0.22389999999999999</v>
      </c>
      <c r="S979" s="23">
        <f>IF($C979&gt;0,INDEX(Merge_1_2!$N$2:$N$611,$C979),INDEX(Dataset3_Raw!$N$2:$N$391,$E979))</f>
        <v>12</v>
      </c>
      <c r="T979" s="23">
        <f>IF($C979&gt;0,INDEX(Merge_1_2!$O$2:$O$611,$C979),INDEX(Dataset3_Raw!$O$2:$O$391,$E979))</f>
        <v>35</v>
      </c>
      <c r="U979" s="23">
        <f>IF($C979&gt;0,INDEX(Merge_1_2!$P$2:$P$611,$C979),INDEX(Dataset3_Raw!$P$2:$P$391,$E979))</f>
        <v>47</v>
      </c>
      <c r="V979" s="23" t="str">
        <f t="shared" si="91"/>
        <v>Weekend</v>
      </c>
      <c r="W979" s="23" t="str">
        <f>VLOOKUP($M979,Lookups!$A$5:$B$8,2,FALSE())</f>
        <v>Mist / Cloudy</v>
      </c>
      <c r="X979" s="23" t="str">
        <f>VLOOKUP($G979,Lookups!$D$5:$E$8,2,FALSE())</f>
        <v>Winter</v>
      </c>
      <c r="Y979" s="23" t="str">
        <f>VLOOKUP($L979,Lookups!$G$5:$H$11,2,FALSE())</f>
        <v>Sunday</v>
      </c>
      <c r="Z979" s="23" t="str">
        <f>IF($J979&lt;Lookups!$B$26,"Night",IF($J979&lt;Lookups!$B$27,"Morning",IF($J979&lt;Lookups!$B$28,"Afternoon","Evening")))</f>
        <v>Morning</v>
      </c>
      <c r="AA979" s="26">
        <f>ROUND($N979*(Lookups!$B$16-Lookups!$B$15)+Lookups!$B$15,1)</f>
        <v>3.3</v>
      </c>
      <c r="AB979" s="26">
        <f>ROUND($P979*(Lookups!$B$18-Lookups!$B$17)+Lookups!$B$17,1)</f>
        <v>-1</v>
      </c>
      <c r="AC979" s="23">
        <f t="shared" si="92"/>
        <v>60</v>
      </c>
      <c r="AD979" s="23">
        <f>ROUND($R979*Lookups!$B$19,1)</f>
        <v>15</v>
      </c>
      <c r="AE979" s="27">
        <f t="shared" si="93"/>
        <v>0.74468085106382975</v>
      </c>
      <c r="AF979" s="23" t="str">
        <f>IF($U979&gt;=Lookups!$B$23,"High",IF($U979&gt;=Lookups!$B$22,"Medium","Low"))</f>
        <v>Medium</v>
      </c>
      <c r="AG979" s="23">
        <f>ROUND(IF($V979="Weekday",IF(INDEX(Hourly_Analysis!$D$5:$D$28,$J979+1)&gt;0,($U979-INDEX(Hourly_Analysis!$C$5:$C$28,$J979+1))/INDEX(Hourly_Analysis!$D$5:$D$28,$J979+1),0),IF(INDEX(Hourly_Analysis!$G$5:$G$28,$J979+1)&gt;0,($U979-INDEX(Hourly_Analysis!$F$5:$F$28,$J979+1))/INDEX(Hourly_Analysis!$G$5:$G$28,$J979+1),0)),2)</f>
        <v>1.33</v>
      </c>
      <c r="AH979" s="23" t="str">
        <f>IF(ABS($AG979)&gt;Lookups!$B$20,IF($AG979&gt;0,"High anomaly","Low anomaly"),"")</f>
        <v/>
      </c>
      <c r="AI979" s="23" t="str">
        <f t="shared" si="94"/>
        <v>OK</v>
      </c>
      <c r="AJ979" s="23" t="str">
        <f t="shared" si="95"/>
        <v>No</v>
      </c>
    </row>
    <row r="980" spans="1:36" x14ac:dyDescent="0.35">
      <c r="A980" s="23">
        <v>979</v>
      </c>
      <c r="B980" s="23" t="str">
        <f t="shared" si="90"/>
        <v>Dataset 3</v>
      </c>
      <c r="C980" s="23">
        <f>IFERROR(MATCH($A980,Merge_1_2!$A$2:$A$611,0),0)</f>
        <v>0</v>
      </c>
      <c r="D980" s="23">
        <f>IF($C980&gt;0,INDEX(Merge_1_2!$Q$2:$Q$611,$C980),0)</f>
        <v>0</v>
      </c>
      <c r="E980" s="23">
        <f>IFERROR(MATCH($A980,Dataset3_Raw!$A$2:$A$391,0),0)</f>
        <v>369</v>
      </c>
      <c r="F980" s="24">
        <f>IF($C980&gt;0,INDEX(Merge_1_2!$B$2:$B$611,$C980),DATE(VALUE(RIGHT(INDEX(Dataset3_Raw!$B$2:$B$391,$E980),4)),VALUE(MID(INDEX(Dataset3_Raw!$B$2:$B$391,$E980),4,2)),VALUE(LEFT(INDEX(Dataset3_Raw!$B$2:$B$391,$E980),2))))</f>
        <v>40587</v>
      </c>
      <c r="G980" s="23">
        <f>IF($C980&gt;0,INDEX(Merge_1_2!$C$2:$C$611,$C980),INDEX(Dataset3_Raw!$C$2:$C$391,$E980))</f>
        <v>1</v>
      </c>
      <c r="H980" s="23">
        <f>IF($C980&gt;0,INDEX(Merge_1_2!$D$2:$D$611,$C980),INDEX(Dataset3_Raw!$D$2:$D$391,$E980))</f>
        <v>0</v>
      </c>
      <c r="I980" s="23">
        <f>IF($C980&gt;0,INDEX(Merge_1_2!$E$2:$E$611,$C980),INDEX(Dataset3_Raw!$E$2:$E$391,$E980))</f>
        <v>2</v>
      </c>
      <c r="J980" s="23">
        <f>IF($C980&gt;0,INDEX(Merge_1_2!$F$2:$F$611,$C980),INDEX(Dataset3_Raw!$F$2:$F$391,$E980))</f>
        <v>10</v>
      </c>
      <c r="K980" s="23" t="b">
        <f>IF($C980&gt;0,INDEX(Merge_1_2!$G$2:$G$611,$C980),INDEX(Dataset3_Raw!$G$2:$G$391,$E980))</f>
        <v>0</v>
      </c>
      <c r="L980" s="23">
        <f>IF($C980&gt;0,INDEX(Merge_1_2!$H$2:$H$611,$C980),INDEX(Dataset3_Raw!$H$2:$H$391,$E980))</f>
        <v>0</v>
      </c>
      <c r="M980" s="23">
        <f>IF($C980&gt;0,INDEX(Merge_1_2!$I$2:$I$611,$C980),INDEX(Dataset3_Raw!$I$2:$I$391,$E980))</f>
        <v>1</v>
      </c>
      <c r="N980" s="25">
        <f>IF($C980&gt;0,INDEX(Merge_1_2!$J$2:$J$611,$C980),INDEX(Dataset3_Raw!$J$2:$J$391,$E980))</f>
        <v>0.3</v>
      </c>
      <c r="O980" s="25">
        <f>IF($C980&gt;0,IF(ISNUMBER(INDEX(Merge_1_2!$K$2:$K$611,$C980)),INDEX(Merge_1_2!$K$2:$K$611,$C980),""),INDEX(Dataset3_Raw!$K$2:$K$391,$E980))</f>
        <v>0.2727</v>
      </c>
      <c r="P980" s="25">
        <f>IF(ISNUMBER($O980),$O980,ROUND(Lookups!$B$25+Lookups!$B$24*$N980,4))</f>
        <v>0.2727</v>
      </c>
      <c r="Q980" s="25">
        <f>IF($C980&gt;0,INDEX(Merge_1_2!$L$2:$L$611,$C980),INDEX(Dataset3_Raw!$L$2:$L$391,$E980))</f>
        <v>0.45</v>
      </c>
      <c r="R980" s="25">
        <f>IF($C980&gt;0,INDEX(Merge_1_2!$M$2:$M$611,$C980),INDEX(Dataset3_Raw!$M$2:$M$391,$E980))</f>
        <v>0.32840000000000003</v>
      </c>
      <c r="S980" s="23">
        <f>IF($C980&gt;0,INDEX(Merge_1_2!$N$2:$N$611,$C980),INDEX(Dataset3_Raw!$N$2:$N$391,$E980))</f>
        <v>19</v>
      </c>
      <c r="T980" s="23">
        <f>IF($C980&gt;0,INDEX(Merge_1_2!$O$2:$O$611,$C980),INDEX(Dataset3_Raw!$O$2:$O$391,$E980))</f>
        <v>86</v>
      </c>
      <c r="U980" s="23">
        <f>IF($C980&gt;0,INDEX(Merge_1_2!$P$2:$P$611,$C980),INDEX(Dataset3_Raw!$P$2:$P$391,$E980))</f>
        <v>105</v>
      </c>
      <c r="V980" s="23" t="str">
        <f t="shared" si="91"/>
        <v>Weekend</v>
      </c>
      <c r="W980" s="23" t="str">
        <f>VLOOKUP($M980,Lookups!$A$5:$B$8,2,FALSE())</f>
        <v>Clear / Partly cloudy</v>
      </c>
      <c r="X980" s="23" t="str">
        <f>VLOOKUP($G980,Lookups!$D$5:$E$8,2,FALSE())</f>
        <v>Winter</v>
      </c>
      <c r="Y980" s="23" t="str">
        <f>VLOOKUP($L980,Lookups!$G$5:$H$11,2,FALSE())</f>
        <v>Sunday</v>
      </c>
      <c r="Z980" s="23" t="str">
        <f>IF($J980&lt;Lookups!$B$26,"Night",IF($J980&lt;Lookups!$B$27,"Morning",IF($J980&lt;Lookups!$B$28,"Afternoon","Evening")))</f>
        <v>Morning</v>
      </c>
      <c r="AA980" s="26">
        <f>ROUND($N980*(Lookups!$B$16-Lookups!$B$15)+Lookups!$B$15,1)</f>
        <v>6.1</v>
      </c>
      <c r="AB980" s="26">
        <f>ROUND($P980*(Lookups!$B$18-Lookups!$B$17)+Lookups!$B$17,1)</f>
        <v>2</v>
      </c>
      <c r="AC980" s="23">
        <f t="shared" si="92"/>
        <v>45</v>
      </c>
      <c r="AD980" s="23">
        <f>ROUND($R980*Lookups!$B$19,1)</f>
        <v>22</v>
      </c>
      <c r="AE980" s="27">
        <f t="shared" si="93"/>
        <v>0.81904761904761902</v>
      </c>
      <c r="AF980" s="23" t="str">
        <f>IF($U980&gt;=Lookups!$B$23,"High",IF($U980&gt;=Lookups!$B$22,"Medium","Low"))</f>
        <v>High</v>
      </c>
      <c r="AG980" s="23">
        <f>ROUND(IF($V980="Weekday",IF(INDEX(Hourly_Analysis!$D$5:$D$28,$J980+1)&gt;0,($U980-INDEX(Hourly_Analysis!$C$5:$C$28,$J980+1))/INDEX(Hourly_Analysis!$D$5:$D$28,$J980+1),0),IF(INDEX(Hourly_Analysis!$G$5:$G$28,$J980+1)&gt;0,($U980-INDEX(Hourly_Analysis!$F$5:$F$28,$J980+1))/INDEX(Hourly_Analysis!$G$5:$G$28,$J980+1),0)),2)</f>
        <v>2.2000000000000002</v>
      </c>
      <c r="AH980" s="23" t="str">
        <f>IF(ABS($AG980)&gt;Lookups!$B$20,IF($AG980&gt;0,"High anomaly","Low anomaly"),"")</f>
        <v/>
      </c>
      <c r="AI980" s="23" t="str">
        <f t="shared" si="94"/>
        <v>OK</v>
      </c>
      <c r="AJ980" s="23" t="str">
        <f t="shared" si="95"/>
        <v>No</v>
      </c>
    </row>
    <row r="981" spans="1:36" x14ac:dyDescent="0.35">
      <c r="A981" s="23">
        <v>980</v>
      </c>
      <c r="B981" s="23" t="str">
        <f t="shared" si="90"/>
        <v>Dataset 3</v>
      </c>
      <c r="C981" s="23">
        <f>IFERROR(MATCH($A981,Merge_1_2!$A$2:$A$611,0),0)</f>
        <v>0</v>
      </c>
      <c r="D981" s="23">
        <f>IF($C981&gt;0,INDEX(Merge_1_2!$Q$2:$Q$611,$C981),0)</f>
        <v>0</v>
      </c>
      <c r="E981" s="23">
        <f>IFERROR(MATCH($A981,Dataset3_Raw!$A$2:$A$391,0),0)</f>
        <v>370</v>
      </c>
      <c r="F981" s="24">
        <f>IF($C981&gt;0,INDEX(Merge_1_2!$B$2:$B$611,$C981),DATE(VALUE(RIGHT(INDEX(Dataset3_Raw!$B$2:$B$391,$E981),4)),VALUE(MID(INDEX(Dataset3_Raw!$B$2:$B$391,$E981),4,2)),VALUE(LEFT(INDEX(Dataset3_Raw!$B$2:$B$391,$E981),2))))</f>
        <v>40587</v>
      </c>
      <c r="G981" s="23">
        <f>IF($C981&gt;0,INDEX(Merge_1_2!$C$2:$C$611,$C981),INDEX(Dataset3_Raw!$C$2:$C$391,$E981))</f>
        <v>1</v>
      </c>
      <c r="H981" s="23">
        <f>IF($C981&gt;0,INDEX(Merge_1_2!$D$2:$D$611,$C981),INDEX(Dataset3_Raw!$D$2:$D$391,$E981))</f>
        <v>0</v>
      </c>
      <c r="I981" s="23">
        <f>IF($C981&gt;0,INDEX(Merge_1_2!$E$2:$E$611,$C981),INDEX(Dataset3_Raw!$E$2:$E$391,$E981))</f>
        <v>2</v>
      </c>
      <c r="J981" s="23">
        <f>IF($C981&gt;0,INDEX(Merge_1_2!$F$2:$F$611,$C981),INDEX(Dataset3_Raw!$F$2:$F$391,$E981))</f>
        <v>11</v>
      </c>
      <c r="K981" s="23" t="b">
        <f>IF($C981&gt;0,INDEX(Merge_1_2!$G$2:$G$611,$C981),INDEX(Dataset3_Raw!$G$2:$G$391,$E981))</f>
        <v>0</v>
      </c>
      <c r="L981" s="23">
        <f>IF($C981&gt;0,INDEX(Merge_1_2!$H$2:$H$611,$C981),INDEX(Dataset3_Raw!$H$2:$H$391,$E981))</f>
        <v>0</v>
      </c>
      <c r="M981" s="23">
        <f>IF($C981&gt;0,INDEX(Merge_1_2!$I$2:$I$611,$C981),INDEX(Dataset3_Raw!$I$2:$I$391,$E981))</f>
        <v>1</v>
      </c>
      <c r="N981" s="25">
        <f>IF($C981&gt;0,INDEX(Merge_1_2!$J$2:$J$611,$C981),INDEX(Dataset3_Raw!$J$2:$J$391,$E981))</f>
        <v>0.32</v>
      </c>
      <c r="O981" s="25">
        <f>IF($C981&gt;0,IF(ISNUMBER(INDEX(Merge_1_2!$K$2:$K$611,$C981)),INDEX(Merge_1_2!$K$2:$K$611,$C981),""),INDEX(Dataset3_Raw!$K$2:$K$391,$E981))</f>
        <v>0.28789999999999999</v>
      </c>
      <c r="P981" s="25">
        <f>IF(ISNUMBER($O981),$O981,ROUND(Lookups!$B$25+Lookups!$B$24*$N981,4))</f>
        <v>0.28789999999999999</v>
      </c>
      <c r="Q981" s="25">
        <f>IF($C981&gt;0,INDEX(Merge_1_2!$L$2:$L$611,$C981),INDEX(Dataset3_Raw!$L$2:$L$391,$E981))</f>
        <v>0.39</v>
      </c>
      <c r="R981" s="25">
        <f>IF($C981&gt;0,INDEX(Merge_1_2!$M$2:$M$611,$C981),INDEX(Dataset3_Raw!$M$2:$M$391,$E981))</f>
        <v>0.44779999999999998</v>
      </c>
      <c r="S981" s="23">
        <f>IF($C981&gt;0,INDEX(Merge_1_2!$N$2:$N$611,$C981),INDEX(Dataset3_Raw!$N$2:$N$391,$E981))</f>
        <v>26</v>
      </c>
      <c r="T981" s="23">
        <f>IF($C981&gt;0,INDEX(Merge_1_2!$O$2:$O$611,$C981),INDEX(Dataset3_Raw!$O$2:$O$391,$E981))</f>
        <v>86</v>
      </c>
      <c r="U981" s="23">
        <f>IF($C981&gt;0,INDEX(Merge_1_2!$P$2:$P$611,$C981),INDEX(Dataset3_Raw!$P$2:$P$391,$E981))</f>
        <v>112</v>
      </c>
      <c r="V981" s="23" t="str">
        <f t="shared" si="91"/>
        <v>Weekend</v>
      </c>
      <c r="W981" s="23" t="str">
        <f>VLOOKUP($M981,Lookups!$A$5:$B$8,2,FALSE())</f>
        <v>Clear / Partly cloudy</v>
      </c>
      <c r="X981" s="23" t="str">
        <f>VLOOKUP($G981,Lookups!$D$5:$E$8,2,FALSE())</f>
        <v>Winter</v>
      </c>
      <c r="Y981" s="23" t="str">
        <f>VLOOKUP($L981,Lookups!$G$5:$H$11,2,FALSE())</f>
        <v>Sunday</v>
      </c>
      <c r="Z981" s="23" t="str">
        <f>IF($J981&lt;Lookups!$B$26,"Night",IF($J981&lt;Lookups!$B$27,"Morning",IF($J981&lt;Lookups!$B$28,"Afternoon","Evening")))</f>
        <v>Morning</v>
      </c>
      <c r="AA981" s="26">
        <f>ROUND($N981*(Lookups!$B$16-Lookups!$B$15)+Lookups!$B$15,1)</f>
        <v>7</v>
      </c>
      <c r="AB981" s="26">
        <f>ROUND($P981*(Lookups!$B$18-Lookups!$B$17)+Lookups!$B$17,1)</f>
        <v>3</v>
      </c>
      <c r="AC981" s="23">
        <f t="shared" si="92"/>
        <v>39</v>
      </c>
      <c r="AD981" s="23">
        <f>ROUND($R981*Lookups!$B$19,1)</f>
        <v>30</v>
      </c>
      <c r="AE981" s="27">
        <f t="shared" si="93"/>
        <v>0.7678571428571429</v>
      </c>
      <c r="AF981" s="23" t="str">
        <f>IF($U981&gt;=Lookups!$B$23,"High",IF($U981&gt;=Lookups!$B$22,"Medium","Low"))</f>
        <v>High</v>
      </c>
      <c r="AG981" s="23">
        <f>ROUND(IF($V981="Weekday",IF(INDEX(Hourly_Analysis!$D$5:$D$28,$J981+1)&gt;0,($U981-INDEX(Hourly_Analysis!$C$5:$C$28,$J981+1))/INDEX(Hourly_Analysis!$D$5:$D$28,$J981+1),0),IF(INDEX(Hourly_Analysis!$G$5:$G$28,$J981+1)&gt;0,($U981-INDEX(Hourly_Analysis!$F$5:$F$28,$J981+1))/INDEX(Hourly_Analysis!$G$5:$G$28,$J981+1),0)),2)</f>
        <v>1.48</v>
      </c>
      <c r="AH981" s="23" t="str">
        <f>IF(ABS($AG981)&gt;Lookups!$B$20,IF($AG981&gt;0,"High anomaly","Low anomaly"),"")</f>
        <v/>
      </c>
      <c r="AI981" s="23" t="str">
        <f t="shared" si="94"/>
        <v>OK</v>
      </c>
      <c r="AJ981" s="23" t="str">
        <f t="shared" si="95"/>
        <v>No</v>
      </c>
    </row>
    <row r="982" spans="1:36" x14ac:dyDescent="0.35">
      <c r="A982" s="23">
        <v>981</v>
      </c>
      <c r="B982" s="23" t="str">
        <f t="shared" si="90"/>
        <v>Dataset 3</v>
      </c>
      <c r="C982" s="23">
        <f>IFERROR(MATCH($A982,Merge_1_2!$A$2:$A$611,0),0)</f>
        <v>0</v>
      </c>
      <c r="D982" s="23">
        <f>IF($C982&gt;0,INDEX(Merge_1_2!$Q$2:$Q$611,$C982),0)</f>
        <v>0</v>
      </c>
      <c r="E982" s="23">
        <f>IFERROR(MATCH($A982,Dataset3_Raw!$A$2:$A$391,0),0)</f>
        <v>371</v>
      </c>
      <c r="F982" s="24">
        <f>IF($C982&gt;0,INDEX(Merge_1_2!$B$2:$B$611,$C982),DATE(VALUE(RIGHT(INDEX(Dataset3_Raw!$B$2:$B$391,$E982),4)),VALUE(MID(INDEX(Dataset3_Raw!$B$2:$B$391,$E982),4,2)),VALUE(LEFT(INDEX(Dataset3_Raw!$B$2:$B$391,$E982),2))))</f>
        <v>40587</v>
      </c>
      <c r="G982" s="23">
        <f>IF($C982&gt;0,INDEX(Merge_1_2!$C$2:$C$611,$C982),INDEX(Dataset3_Raw!$C$2:$C$391,$E982))</f>
        <v>1</v>
      </c>
      <c r="H982" s="23">
        <f>IF($C982&gt;0,INDEX(Merge_1_2!$D$2:$D$611,$C982),INDEX(Dataset3_Raw!$D$2:$D$391,$E982))</f>
        <v>0</v>
      </c>
      <c r="I982" s="23">
        <f>IF($C982&gt;0,INDEX(Merge_1_2!$E$2:$E$611,$C982),INDEX(Dataset3_Raw!$E$2:$E$391,$E982))</f>
        <v>2</v>
      </c>
      <c r="J982" s="23">
        <f>IF($C982&gt;0,INDEX(Merge_1_2!$F$2:$F$611,$C982),INDEX(Dataset3_Raw!$F$2:$F$391,$E982))</f>
        <v>12</v>
      </c>
      <c r="K982" s="23" t="b">
        <f>IF($C982&gt;0,INDEX(Merge_1_2!$G$2:$G$611,$C982),INDEX(Dataset3_Raw!$G$2:$G$391,$E982))</f>
        <v>0</v>
      </c>
      <c r="L982" s="23">
        <f>IF($C982&gt;0,INDEX(Merge_1_2!$H$2:$H$611,$C982),INDEX(Dataset3_Raw!$H$2:$H$391,$E982))</f>
        <v>0</v>
      </c>
      <c r="M982" s="23">
        <f>IF($C982&gt;0,INDEX(Merge_1_2!$I$2:$I$611,$C982),INDEX(Dataset3_Raw!$I$2:$I$391,$E982))</f>
        <v>1</v>
      </c>
      <c r="N982" s="25">
        <f>IF($C982&gt;0,INDEX(Merge_1_2!$J$2:$J$611,$C982),INDEX(Dataset3_Raw!$J$2:$J$391,$E982))</f>
        <v>0.36</v>
      </c>
      <c r="O982" s="25">
        <f>IF($C982&gt;0,IF(ISNUMBER(INDEX(Merge_1_2!$K$2:$K$611,$C982)),INDEX(Merge_1_2!$K$2:$K$611,$C982),""),INDEX(Dataset3_Raw!$K$2:$K$391,$E982))</f>
        <v>0.31819999999999998</v>
      </c>
      <c r="P982" s="25">
        <f>IF(ISNUMBER($O982),$O982,ROUND(Lookups!$B$25+Lookups!$B$24*$N982,4))</f>
        <v>0.31819999999999998</v>
      </c>
      <c r="Q982" s="25">
        <f>IF($C982&gt;0,INDEX(Merge_1_2!$L$2:$L$611,$C982),INDEX(Dataset3_Raw!$L$2:$L$391,$E982))</f>
        <v>0.32</v>
      </c>
      <c r="R982" s="25">
        <f>IF($C982&gt;0,INDEX(Merge_1_2!$M$2:$M$611,$C982),INDEX(Dataset3_Raw!$M$2:$M$391,$E982))</f>
        <v>0.4627</v>
      </c>
      <c r="S982" s="23">
        <f>IF($C982&gt;0,INDEX(Merge_1_2!$N$2:$N$611,$C982),INDEX(Dataset3_Raw!$N$2:$N$391,$E982))</f>
        <v>58</v>
      </c>
      <c r="T982" s="23">
        <f>IF($C982&gt;0,INDEX(Merge_1_2!$O$2:$O$611,$C982),INDEX(Dataset3_Raw!$O$2:$O$391,$E982))</f>
        <v>94</v>
      </c>
      <c r="U982" s="23">
        <f>IF($C982&gt;0,INDEX(Merge_1_2!$P$2:$P$611,$C982),INDEX(Dataset3_Raw!$P$2:$P$391,$E982))</f>
        <v>152</v>
      </c>
      <c r="V982" s="23" t="str">
        <f t="shared" si="91"/>
        <v>Weekend</v>
      </c>
      <c r="W982" s="23" t="str">
        <f>VLOOKUP($M982,Lookups!$A$5:$B$8,2,FALSE())</f>
        <v>Clear / Partly cloudy</v>
      </c>
      <c r="X982" s="23" t="str">
        <f>VLOOKUP($G982,Lookups!$D$5:$E$8,2,FALSE())</f>
        <v>Winter</v>
      </c>
      <c r="Y982" s="23" t="str">
        <f>VLOOKUP($L982,Lookups!$G$5:$H$11,2,FALSE())</f>
        <v>Sunday</v>
      </c>
      <c r="Z982" s="23" t="str">
        <f>IF($J982&lt;Lookups!$B$26,"Night",IF($J982&lt;Lookups!$B$27,"Morning",IF($J982&lt;Lookups!$B$28,"Afternoon","Evening")))</f>
        <v>Afternoon</v>
      </c>
      <c r="AA982" s="26">
        <f>ROUND($N982*(Lookups!$B$16-Lookups!$B$15)+Lookups!$B$15,1)</f>
        <v>8.9</v>
      </c>
      <c r="AB982" s="26">
        <f>ROUND($P982*(Lookups!$B$18-Lookups!$B$17)+Lookups!$B$17,1)</f>
        <v>5</v>
      </c>
      <c r="AC982" s="23">
        <f t="shared" si="92"/>
        <v>32</v>
      </c>
      <c r="AD982" s="23">
        <f>ROUND($R982*Lookups!$B$19,1)</f>
        <v>31</v>
      </c>
      <c r="AE982" s="27">
        <f t="shared" si="93"/>
        <v>0.61842105263157898</v>
      </c>
      <c r="AF982" s="23" t="str">
        <f>IF($U982&gt;=Lookups!$B$23,"High",IF($U982&gt;=Lookups!$B$22,"Medium","Low"))</f>
        <v>High</v>
      </c>
      <c r="AG982" s="23">
        <f>ROUND(IF($V982="Weekday",IF(INDEX(Hourly_Analysis!$D$5:$D$28,$J982+1)&gt;0,($U982-INDEX(Hourly_Analysis!$C$5:$C$28,$J982+1))/INDEX(Hourly_Analysis!$D$5:$D$28,$J982+1),0),IF(INDEX(Hourly_Analysis!$G$5:$G$28,$J982+1)&gt;0,($U982-INDEX(Hourly_Analysis!$F$5:$F$28,$J982+1))/INDEX(Hourly_Analysis!$G$5:$G$28,$J982+1),0)),2)</f>
        <v>1.69</v>
      </c>
      <c r="AH982" s="23" t="str">
        <f>IF(ABS($AG982)&gt;Lookups!$B$20,IF($AG982&gt;0,"High anomaly","Low anomaly"),"")</f>
        <v/>
      </c>
      <c r="AI982" s="23" t="str">
        <f t="shared" si="94"/>
        <v>OK</v>
      </c>
      <c r="AJ982" s="23" t="str">
        <f t="shared" si="95"/>
        <v>No</v>
      </c>
    </row>
    <row r="983" spans="1:36" x14ac:dyDescent="0.35">
      <c r="A983" s="23">
        <v>982</v>
      </c>
      <c r="B983" s="23" t="str">
        <f t="shared" si="90"/>
        <v>Dataset 3</v>
      </c>
      <c r="C983" s="23">
        <f>IFERROR(MATCH($A983,Merge_1_2!$A$2:$A$611,0),0)</f>
        <v>0</v>
      </c>
      <c r="D983" s="23">
        <f>IF($C983&gt;0,INDEX(Merge_1_2!$Q$2:$Q$611,$C983),0)</f>
        <v>0</v>
      </c>
      <c r="E983" s="23">
        <f>IFERROR(MATCH($A983,Dataset3_Raw!$A$2:$A$391,0),0)</f>
        <v>372</v>
      </c>
      <c r="F983" s="24">
        <f>IF($C983&gt;0,INDEX(Merge_1_2!$B$2:$B$611,$C983),DATE(VALUE(RIGHT(INDEX(Dataset3_Raw!$B$2:$B$391,$E983),4)),VALUE(MID(INDEX(Dataset3_Raw!$B$2:$B$391,$E983),4,2)),VALUE(LEFT(INDEX(Dataset3_Raw!$B$2:$B$391,$E983),2))))</f>
        <v>40587</v>
      </c>
      <c r="G983" s="23">
        <f>IF($C983&gt;0,INDEX(Merge_1_2!$C$2:$C$611,$C983),INDEX(Dataset3_Raw!$C$2:$C$391,$E983))</f>
        <v>1</v>
      </c>
      <c r="H983" s="23">
        <f>IF($C983&gt;0,INDEX(Merge_1_2!$D$2:$D$611,$C983),INDEX(Dataset3_Raw!$D$2:$D$391,$E983))</f>
        <v>0</v>
      </c>
      <c r="I983" s="23">
        <f>IF($C983&gt;0,INDEX(Merge_1_2!$E$2:$E$611,$C983),INDEX(Dataset3_Raw!$E$2:$E$391,$E983))</f>
        <v>2</v>
      </c>
      <c r="J983" s="23">
        <f>IF($C983&gt;0,INDEX(Merge_1_2!$F$2:$F$611,$C983),INDEX(Dataset3_Raw!$F$2:$F$391,$E983))</f>
        <v>13</v>
      </c>
      <c r="K983" s="23" t="b">
        <f>IF($C983&gt;0,INDEX(Merge_1_2!$G$2:$G$611,$C983),INDEX(Dataset3_Raw!$G$2:$G$391,$E983))</f>
        <v>0</v>
      </c>
      <c r="L983" s="23">
        <f>IF($C983&gt;0,INDEX(Merge_1_2!$H$2:$H$611,$C983),INDEX(Dataset3_Raw!$H$2:$H$391,$E983))</f>
        <v>0</v>
      </c>
      <c r="M983" s="23">
        <f>IF($C983&gt;0,INDEX(Merge_1_2!$I$2:$I$611,$C983),INDEX(Dataset3_Raw!$I$2:$I$391,$E983))</f>
        <v>1</v>
      </c>
      <c r="N983" s="25">
        <f>IF($C983&gt;0,INDEX(Merge_1_2!$J$2:$J$611,$C983),INDEX(Dataset3_Raw!$J$2:$J$391,$E983))</f>
        <v>0.38</v>
      </c>
      <c r="O983" s="25">
        <f>IF($C983&gt;0,IF(ISNUMBER(INDEX(Merge_1_2!$K$2:$K$611,$C983)),INDEX(Merge_1_2!$K$2:$K$611,$C983),""),INDEX(Dataset3_Raw!$K$2:$K$391,$E983))</f>
        <v>0.39389999999999997</v>
      </c>
      <c r="P983" s="25">
        <f>IF(ISNUMBER($O983),$O983,ROUND(Lookups!$B$25+Lookups!$B$24*$N983,4))</f>
        <v>0.39389999999999997</v>
      </c>
      <c r="Q983" s="25">
        <f>IF($C983&gt;0,INDEX(Merge_1_2!$L$2:$L$611,$C983),INDEX(Dataset3_Raw!$L$2:$L$391,$E983))</f>
        <v>0.28999999999999998</v>
      </c>
      <c r="R983" s="25">
        <f>IF($C983&gt;0,INDEX(Merge_1_2!$M$2:$M$611,$C983),INDEX(Dataset3_Raw!$M$2:$M$391,$E983))</f>
        <v>0.35820000000000002</v>
      </c>
      <c r="S983" s="23">
        <f>IF($C983&gt;0,INDEX(Merge_1_2!$N$2:$N$611,$C983),INDEX(Dataset3_Raw!$N$2:$N$391,$E983))</f>
        <v>62</v>
      </c>
      <c r="T983" s="23">
        <f>IF($C983&gt;0,INDEX(Merge_1_2!$O$2:$O$611,$C983),INDEX(Dataset3_Raw!$O$2:$O$391,$E983))</f>
        <v>92</v>
      </c>
      <c r="U983" s="23">
        <f>IF($C983&gt;0,INDEX(Merge_1_2!$P$2:$P$611,$C983),INDEX(Dataset3_Raw!$P$2:$P$391,$E983))</f>
        <v>154</v>
      </c>
      <c r="V983" s="23" t="str">
        <f t="shared" si="91"/>
        <v>Weekend</v>
      </c>
      <c r="W983" s="23" t="str">
        <f>VLOOKUP($M983,Lookups!$A$5:$B$8,2,FALSE())</f>
        <v>Clear / Partly cloudy</v>
      </c>
      <c r="X983" s="23" t="str">
        <f>VLOOKUP($G983,Lookups!$D$5:$E$8,2,FALSE())</f>
        <v>Winter</v>
      </c>
      <c r="Y983" s="23" t="str">
        <f>VLOOKUP($L983,Lookups!$G$5:$H$11,2,FALSE())</f>
        <v>Sunday</v>
      </c>
      <c r="Z983" s="23" t="str">
        <f>IF($J983&lt;Lookups!$B$26,"Night",IF($J983&lt;Lookups!$B$27,"Morning",IF($J983&lt;Lookups!$B$28,"Afternoon","Evening")))</f>
        <v>Afternoon</v>
      </c>
      <c r="AA983" s="26">
        <f>ROUND($N983*(Lookups!$B$16-Lookups!$B$15)+Lookups!$B$15,1)</f>
        <v>9.9</v>
      </c>
      <c r="AB983" s="26">
        <f>ROUND($P983*(Lookups!$B$18-Lookups!$B$17)+Lookups!$B$17,1)</f>
        <v>10</v>
      </c>
      <c r="AC983" s="23">
        <f t="shared" si="92"/>
        <v>29</v>
      </c>
      <c r="AD983" s="23">
        <f>ROUND($R983*Lookups!$B$19,1)</f>
        <v>24</v>
      </c>
      <c r="AE983" s="27">
        <f t="shared" si="93"/>
        <v>0.59740259740259738</v>
      </c>
      <c r="AF983" s="23" t="str">
        <f>IF($U983&gt;=Lookups!$B$23,"High",IF($U983&gt;=Lookups!$B$22,"Medium","Low"))</f>
        <v>High</v>
      </c>
      <c r="AG983" s="23">
        <f>ROUND(IF($V983="Weekday",IF(INDEX(Hourly_Analysis!$D$5:$D$28,$J983+1)&gt;0,($U983-INDEX(Hourly_Analysis!$C$5:$C$28,$J983+1))/INDEX(Hourly_Analysis!$D$5:$D$28,$J983+1),0),IF(INDEX(Hourly_Analysis!$G$5:$G$28,$J983+1)&gt;0,($U983-INDEX(Hourly_Analysis!$F$5:$F$28,$J983+1))/INDEX(Hourly_Analysis!$G$5:$G$28,$J983+1),0)),2)</f>
        <v>1.6</v>
      </c>
      <c r="AH983" s="23" t="str">
        <f>IF(ABS($AG983)&gt;Lookups!$B$20,IF($AG983&gt;0,"High anomaly","Low anomaly"),"")</f>
        <v/>
      </c>
      <c r="AI983" s="23" t="str">
        <f t="shared" si="94"/>
        <v>OK</v>
      </c>
      <c r="AJ983" s="23" t="str">
        <f t="shared" si="95"/>
        <v>No</v>
      </c>
    </row>
    <row r="984" spans="1:36" x14ac:dyDescent="0.35">
      <c r="A984" s="23">
        <v>983</v>
      </c>
      <c r="B984" s="23" t="str">
        <f t="shared" si="90"/>
        <v>Dataset 3</v>
      </c>
      <c r="C984" s="23">
        <f>IFERROR(MATCH($A984,Merge_1_2!$A$2:$A$611,0),0)</f>
        <v>0</v>
      </c>
      <c r="D984" s="23">
        <f>IF($C984&gt;0,INDEX(Merge_1_2!$Q$2:$Q$611,$C984),0)</f>
        <v>0</v>
      </c>
      <c r="E984" s="23">
        <f>IFERROR(MATCH($A984,Dataset3_Raw!$A$2:$A$391,0),0)</f>
        <v>373</v>
      </c>
      <c r="F984" s="24">
        <f>IF($C984&gt;0,INDEX(Merge_1_2!$B$2:$B$611,$C984),DATE(VALUE(RIGHT(INDEX(Dataset3_Raw!$B$2:$B$391,$E984),4)),VALUE(MID(INDEX(Dataset3_Raw!$B$2:$B$391,$E984),4,2)),VALUE(LEFT(INDEX(Dataset3_Raw!$B$2:$B$391,$E984),2))))</f>
        <v>40587</v>
      </c>
      <c r="G984" s="23">
        <f>IF($C984&gt;0,INDEX(Merge_1_2!$C$2:$C$611,$C984),INDEX(Dataset3_Raw!$C$2:$C$391,$E984))</f>
        <v>1</v>
      </c>
      <c r="H984" s="23">
        <f>IF($C984&gt;0,INDEX(Merge_1_2!$D$2:$D$611,$C984),INDEX(Dataset3_Raw!$D$2:$D$391,$E984))</f>
        <v>0</v>
      </c>
      <c r="I984" s="23">
        <f>IF($C984&gt;0,INDEX(Merge_1_2!$E$2:$E$611,$C984),INDEX(Dataset3_Raw!$E$2:$E$391,$E984))</f>
        <v>2</v>
      </c>
      <c r="J984" s="23">
        <f>IF($C984&gt;0,INDEX(Merge_1_2!$F$2:$F$611,$C984),INDEX(Dataset3_Raw!$F$2:$F$391,$E984))</f>
        <v>14</v>
      </c>
      <c r="K984" s="23" t="b">
        <f>IF($C984&gt;0,INDEX(Merge_1_2!$G$2:$G$611,$C984),INDEX(Dataset3_Raw!$G$2:$G$391,$E984))</f>
        <v>0</v>
      </c>
      <c r="L984" s="23">
        <f>IF($C984&gt;0,INDEX(Merge_1_2!$H$2:$H$611,$C984),INDEX(Dataset3_Raw!$H$2:$H$391,$E984))</f>
        <v>0</v>
      </c>
      <c r="M984" s="23">
        <f>IF($C984&gt;0,INDEX(Merge_1_2!$I$2:$I$611,$C984),INDEX(Dataset3_Raw!$I$2:$I$391,$E984))</f>
        <v>2</v>
      </c>
      <c r="N984" s="25">
        <f>IF($C984&gt;0,INDEX(Merge_1_2!$J$2:$J$611,$C984),INDEX(Dataset3_Raw!$J$2:$J$391,$E984))</f>
        <v>0.4</v>
      </c>
      <c r="O984" s="25">
        <f>IF($C984&gt;0,IF(ISNUMBER(INDEX(Merge_1_2!$K$2:$K$611,$C984)),INDEX(Merge_1_2!$K$2:$K$611,$C984),""),INDEX(Dataset3_Raw!$K$2:$K$391,$E984))</f>
        <v>0.40910000000000002</v>
      </c>
      <c r="P984" s="25">
        <f>IF(ISNUMBER($O984),$O984,ROUND(Lookups!$B$25+Lookups!$B$24*$N984,4))</f>
        <v>0.40910000000000002</v>
      </c>
      <c r="Q984" s="25">
        <f>IF($C984&gt;0,INDEX(Merge_1_2!$L$2:$L$611,$C984),INDEX(Dataset3_Raw!$L$2:$L$391,$E984))</f>
        <v>0.3</v>
      </c>
      <c r="R984" s="25">
        <f>IF($C984&gt;0,INDEX(Merge_1_2!$M$2:$M$611,$C984),INDEX(Dataset3_Raw!$M$2:$M$391,$E984))</f>
        <v>0.41789999999999999</v>
      </c>
      <c r="S984" s="23">
        <f>IF($C984&gt;0,INDEX(Merge_1_2!$N$2:$N$611,$C984),INDEX(Dataset3_Raw!$N$2:$N$391,$E984))</f>
        <v>51</v>
      </c>
      <c r="T984" s="23">
        <f>IF($C984&gt;0,INDEX(Merge_1_2!$O$2:$O$611,$C984),INDEX(Dataset3_Raw!$O$2:$O$391,$E984))</f>
        <v>110</v>
      </c>
      <c r="U984" s="23">
        <f>IF($C984&gt;0,INDEX(Merge_1_2!$P$2:$P$611,$C984),INDEX(Dataset3_Raw!$P$2:$P$391,$E984))</f>
        <v>161</v>
      </c>
      <c r="V984" s="23" t="str">
        <f t="shared" si="91"/>
        <v>Weekend</v>
      </c>
      <c r="W984" s="23" t="str">
        <f>VLOOKUP($M984,Lookups!$A$5:$B$8,2,FALSE())</f>
        <v>Mist / Cloudy</v>
      </c>
      <c r="X984" s="23" t="str">
        <f>VLOOKUP($G984,Lookups!$D$5:$E$8,2,FALSE())</f>
        <v>Winter</v>
      </c>
      <c r="Y984" s="23" t="str">
        <f>VLOOKUP($L984,Lookups!$G$5:$H$11,2,FALSE())</f>
        <v>Sunday</v>
      </c>
      <c r="Z984" s="23" t="str">
        <f>IF($J984&lt;Lookups!$B$26,"Night",IF($J984&lt;Lookups!$B$27,"Morning",IF($J984&lt;Lookups!$B$28,"Afternoon","Evening")))</f>
        <v>Afternoon</v>
      </c>
      <c r="AA984" s="26">
        <f>ROUND($N984*(Lookups!$B$16-Lookups!$B$15)+Lookups!$B$15,1)</f>
        <v>10.8</v>
      </c>
      <c r="AB984" s="26">
        <f>ROUND($P984*(Lookups!$B$18-Lookups!$B$17)+Lookups!$B$17,1)</f>
        <v>11</v>
      </c>
      <c r="AC984" s="23">
        <f t="shared" si="92"/>
        <v>30</v>
      </c>
      <c r="AD984" s="23">
        <f>ROUND($R984*Lookups!$B$19,1)</f>
        <v>28</v>
      </c>
      <c r="AE984" s="27">
        <f t="shared" si="93"/>
        <v>0.68322981366459623</v>
      </c>
      <c r="AF984" s="23" t="str">
        <f>IF($U984&gt;=Lookups!$B$23,"High",IF($U984&gt;=Lookups!$B$22,"Medium","Low"))</f>
        <v>High</v>
      </c>
      <c r="AG984" s="23">
        <f>ROUND(IF($V984="Weekday",IF(INDEX(Hourly_Analysis!$D$5:$D$28,$J984+1)&gt;0,($U984-INDEX(Hourly_Analysis!$C$5:$C$28,$J984+1))/INDEX(Hourly_Analysis!$D$5:$D$28,$J984+1),0),IF(INDEX(Hourly_Analysis!$G$5:$G$28,$J984+1)&gt;0,($U984-INDEX(Hourly_Analysis!$F$5:$F$28,$J984+1))/INDEX(Hourly_Analysis!$G$5:$G$28,$J984+1),0)),2)</f>
        <v>1.86</v>
      </c>
      <c r="AH984" s="23" t="str">
        <f>IF(ABS($AG984)&gt;Lookups!$B$20,IF($AG984&gt;0,"High anomaly","Low anomaly"),"")</f>
        <v/>
      </c>
      <c r="AI984" s="23" t="str">
        <f t="shared" si="94"/>
        <v>OK</v>
      </c>
      <c r="AJ984" s="23" t="str">
        <f t="shared" si="95"/>
        <v>No</v>
      </c>
    </row>
    <row r="985" spans="1:36" x14ac:dyDescent="0.35">
      <c r="A985" s="23">
        <v>984</v>
      </c>
      <c r="B985" s="23" t="str">
        <f t="shared" si="90"/>
        <v>Dataset 3</v>
      </c>
      <c r="C985" s="23">
        <f>IFERROR(MATCH($A985,Merge_1_2!$A$2:$A$611,0),0)</f>
        <v>0</v>
      </c>
      <c r="D985" s="23">
        <f>IF($C985&gt;0,INDEX(Merge_1_2!$Q$2:$Q$611,$C985),0)</f>
        <v>0</v>
      </c>
      <c r="E985" s="23">
        <f>IFERROR(MATCH($A985,Dataset3_Raw!$A$2:$A$391,0),0)</f>
        <v>374</v>
      </c>
      <c r="F985" s="24">
        <f>IF($C985&gt;0,INDEX(Merge_1_2!$B$2:$B$611,$C985),DATE(VALUE(RIGHT(INDEX(Dataset3_Raw!$B$2:$B$391,$E985),4)),VALUE(MID(INDEX(Dataset3_Raw!$B$2:$B$391,$E985),4,2)),VALUE(LEFT(INDEX(Dataset3_Raw!$B$2:$B$391,$E985),2))))</f>
        <v>40587</v>
      </c>
      <c r="G985" s="23">
        <f>IF($C985&gt;0,INDEX(Merge_1_2!$C$2:$C$611,$C985),INDEX(Dataset3_Raw!$C$2:$C$391,$E985))</f>
        <v>1</v>
      </c>
      <c r="H985" s="23">
        <f>IF($C985&gt;0,INDEX(Merge_1_2!$D$2:$D$611,$C985),INDEX(Dataset3_Raw!$D$2:$D$391,$E985))</f>
        <v>0</v>
      </c>
      <c r="I985" s="23">
        <f>IF($C985&gt;0,INDEX(Merge_1_2!$E$2:$E$611,$C985),INDEX(Dataset3_Raw!$E$2:$E$391,$E985))</f>
        <v>2</v>
      </c>
      <c r="J985" s="23">
        <f>IF($C985&gt;0,INDEX(Merge_1_2!$F$2:$F$611,$C985),INDEX(Dataset3_Raw!$F$2:$F$391,$E985))</f>
        <v>15</v>
      </c>
      <c r="K985" s="23" t="b">
        <f>IF($C985&gt;0,INDEX(Merge_1_2!$G$2:$G$611,$C985),INDEX(Dataset3_Raw!$G$2:$G$391,$E985))</f>
        <v>0</v>
      </c>
      <c r="L985" s="23">
        <f>IF($C985&gt;0,INDEX(Merge_1_2!$H$2:$H$611,$C985),INDEX(Dataset3_Raw!$H$2:$H$391,$E985))</f>
        <v>0</v>
      </c>
      <c r="M985" s="23">
        <f>IF($C985&gt;0,INDEX(Merge_1_2!$I$2:$I$611,$C985),INDEX(Dataset3_Raw!$I$2:$I$391,$E985))</f>
        <v>2</v>
      </c>
      <c r="N985" s="25">
        <f>IF($C985&gt;0,INDEX(Merge_1_2!$J$2:$J$611,$C985),INDEX(Dataset3_Raw!$J$2:$J$391,$E985))</f>
        <v>0.4</v>
      </c>
      <c r="O985" s="25">
        <f>IF($C985&gt;0,IF(ISNUMBER(INDEX(Merge_1_2!$K$2:$K$611,$C985)),INDEX(Merge_1_2!$K$2:$K$611,$C985),""),INDEX(Dataset3_Raw!$K$2:$K$391,$E985))</f>
        <v>0.40910000000000002</v>
      </c>
      <c r="P985" s="25">
        <f>IF(ISNUMBER($O985),$O985,ROUND(Lookups!$B$25+Lookups!$B$24*$N985,4))</f>
        <v>0.40910000000000002</v>
      </c>
      <c r="Q985" s="25">
        <f>IF($C985&gt;0,INDEX(Merge_1_2!$L$2:$L$611,$C985),INDEX(Dataset3_Raw!$L$2:$L$391,$E985))</f>
        <v>0.3</v>
      </c>
      <c r="R985" s="25">
        <f>IF($C985&gt;0,INDEX(Merge_1_2!$M$2:$M$611,$C985),INDEX(Dataset3_Raw!$M$2:$M$391,$E985))</f>
        <v>0.29849999999999999</v>
      </c>
      <c r="S985" s="23">
        <f>IF($C985&gt;0,INDEX(Merge_1_2!$N$2:$N$611,$C985),INDEX(Dataset3_Raw!$N$2:$N$391,$E985))</f>
        <v>40</v>
      </c>
      <c r="T985" s="23">
        <f>IF($C985&gt;0,INDEX(Merge_1_2!$O$2:$O$611,$C985),INDEX(Dataset3_Raw!$O$2:$O$391,$E985))</f>
        <v>122</v>
      </c>
      <c r="U985" s="23">
        <f>IF($C985&gt;0,INDEX(Merge_1_2!$P$2:$P$611,$C985),INDEX(Dataset3_Raw!$P$2:$P$391,$E985))</f>
        <v>162</v>
      </c>
      <c r="V985" s="23" t="str">
        <f t="shared" si="91"/>
        <v>Weekend</v>
      </c>
      <c r="W985" s="23" t="str">
        <f>VLOOKUP($M985,Lookups!$A$5:$B$8,2,FALSE())</f>
        <v>Mist / Cloudy</v>
      </c>
      <c r="X985" s="23" t="str">
        <f>VLOOKUP($G985,Lookups!$D$5:$E$8,2,FALSE())</f>
        <v>Winter</v>
      </c>
      <c r="Y985" s="23" t="str">
        <f>VLOOKUP($L985,Lookups!$G$5:$H$11,2,FALSE())</f>
        <v>Sunday</v>
      </c>
      <c r="Z985" s="23" t="str">
        <f>IF($J985&lt;Lookups!$B$26,"Night",IF($J985&lt;Lookups!$B$27,"Morning",IF($J985&lt;Lookups!$B$28,"Afternoon","Evening")))</f>
        <v>Afternoon</v>
      </c>
      <c r="AA985" s="26">
        <f>ROUND($N985*(Lookups!$B$16-Lookups!$B$15)+Lookups!$B$15,1)</f>
        <v>10.8</v>
      </c>
      <c r="AB985" s="26">
        <f>ROUND($P985*(Lookups!$B$18-Lookups!$B$17)+Lookups!$B$17,1)</f>
        <v>11</v>
      </c>
      <c r="AC985" s="23">
        <f t="shared" si="92"/>
        <v>30</v>
      </c>
      <c r="AD985" s="23">
        <f>ROUND($R985*Lookups!$B$19,1)</f>
        <v>20</v>
      </c>
      <c r="AE985" s="27">
        <f t="shared" si="93"/>
        <v>0.75308641975308643</v>
      </c>
      <c r="AF985" s="23" t="str">
        <f>IF($U985&gt;=Lookups!$B$23,"High",IF($U985&gt;=Lookups!$B$22,"Medium","Low"))</f>
        <v>High</v>
      </c>
      <c r="AG985" s="23">
        <f>ROUND(IF($V985="Weekday",IF(INDEX(Hourly_Analysis!$D$5:$D$28,$J985+1)&gt;0,($U985-INDEX(Hourly_Analysis!$C$5:$C$28,$J985+1))/INDEX(Hourly_Analysis!$D$5:$D$28,$J985+1),0),IF(INDEX(Hourly_Analysis!$G$5:$G$28,$J985+1)&gt;0,($U985-INDEX(Hourly_Analysis!$F$5:$F$28,$J985+1))/INDEX(Hourly_Analysis!$G$5:$G$28,$J985+1),0)),2)</f>
        <v>1.36</v>
      </c>
      <c r="AH985" s="23" t="str">
        <f>IF(ABS($AG985)&gt;Lookups!$B$20,IF($AG985&gt;0,"High anomaly","Low anomaly"),"")</f>
        <v/>
      </c>
      <c r="AI985" s="23" t="str">
        <f t="shared" si="94"/>
        <v>OK</v>
      </c>
      <c r="AJ985" s="23" t="str">
        <f t="shared" si="95"/>
        <v>No</v>
      </c>
    </row>
    <row r="986" spans="1:36" x14ac:dyDescent="0.35">
      <c r="A986" s="23">
        <v>985</v>
      </c>
      <c r="B986" s="23" t="str">
        <f t="shared" si="90"/>
        <v>Dataset 3</v>
      </c>
      <c r="C986" s="23">
        <f>IFERROR(MATCH($A986,Merge_1_2!$A$2:$A$611,0),0)</f>
        <v>0</v>
      </c>
      <c r="D986" s="23">
        <f>IF($C986&gt;0,INDEX(Merge_1_2!$Q$2:$Q$611,$C986),0)</f>
        <v>0</v>
      </c>
      <c r="E986" s="23">
        <f>IFERROR(MATCH($A986,Dataset3_Raw!$A$2:$A$391,0),0)</f>
        <v>375</v>
      </c>
      <c r="F986" s="24">
        <f>IF($C986&gt;0,INDEX(Merge_1_2!$B$2:$B$611,$C986),DATE(VALUE(RIGHT(INDEX(Dataset3_Raw!$B$2:$B$391,$E986),4)),VALUE(MID(INDEX(Dataset3_Raw!$B$2:$B$391,$E986),4,2)),VALUE(LEFT(INDEX(Dataset3_Raw!$B$2:$B$391,$E986),2))))</f>
        <v>40587</v>
      </c>
      <c r="G986" s="23">
        <f>IF($C986&gt;0,INDEX(Merge_1_2!$C$2:$C$611,$C986),INDEX(Dataset3_Raw!$C$2:$C$391,$E986))</f>
        <v>1</v>
      </c>
      <c r="H986" s="23">
        <f>IF($C986&gt;0,INDEX(Merge_1_2!$D$2:$D$611,$C986),INDEX(Dataset3_Raw!$D$2:$D$391,$E986))</f>
        <v>0</v>
      </c>
      <c r="I986" s="23">
        <f>IF($C986&gt;0,INDEX(Merge_1_2!$E$2:$E$611,$C986),INDEX(Dataset3_Raw!$E$2:$E$391,$E986))</f>
        <v>2</v>
      </c>
      <c r="J986" s="23">
        <f>IF($C986&gt;0,INDEX(Merge_1_2!$F$2:$F$611,$C986),INDEX(Dataset3_Raw!$F$2:$F$391,$E986))</f>
        <v>16</v>
      </c>
      <c r="K986" s="23" t="b">
        <f>IF($C986&gt;0,INDEX(Merge_1_2!$G$2:$G$611,$C986),INDEX(Dataset3_Raw!$G$2:$G$391,$E986))</f>
        <v>0</v>
      </c>
      <c r="L986" s="23">
        <f>IF($C986&gt;0,INDEX(Merge_1_2!$H$2:$H$611,$C986),INDEX(Dataset3_Raw!$H$2:$H$391,$E986))</f>
        <v>0</v>
      </c>
      <c r="M986" s="23">
        <f>IF($C986&gt;0,INDEX(Merge_1_2!$I$2:$I$611,$C986),INDEX(Dataset3_Raw!$I$2:$I$391,$E986))</f>
        <v>2</v>
      </c>
      <c r="N986" s="25">
        <f>IF($C986&gt;0,INDEX(Merge_1_2!$J$2:$J$611,$C986),INDEX(Dataset3_Raw!$J$2:$J$391,$E986))</f>
        <v>0.42</v>
      </c>
      <c r="O986" s="25">
        <f>IF($C986&gt;0,IF(ISNUMBER(INDEX(Merge_1_2!$K$2:$K$611,$C986)),INDEX(Merge_1_2!$K$2:$K$611,$C986),""),INDEX(Dataset3_Raw!$K$2:$K$391,$E986))</f>
        <v>0.42420000000000002</v>
      </c>
      <c r="P986" s="25">
        <f>IF(ISNUMBER($O986),$O986,ROUND(Lookups!$B$25+Lookups!$B$24*$N986,4))</f>
        <v>0.42420000000000002</v>
      </c>
      <c r="Q986" s="25">
        <f>IF($C986&gt;0,INDEX(Merge_1_2!$L$2:$L$611,$C986),INDEX(Dataset3_Raw!$L$2:$L$391,$E986))</f>
        <v>0.28000000000000003</v>
      </c>
      <c r="R986" s="25">
        <f>IF($C986&gt;0,INDEX(Merge_1_2!$M$2:$M$611,$C986),INDEX(Dataset3_Raw!$M$2:$M$391,$E986))</f>
        <v>0.32840000000000003</v>
      </c>
      <c r="S986" s="23">
        <f>IF($C986&gt;0,INDEX(Merge_1_2!$N$2:$N$611,$C986),INDEX(Dataset3_Raw!$N$2:$N$391,$E986))</f>
        <v>28</v>
      </c>
      <c r="T986" s="23">
        <f>IF($C986&gt;0,INDEX(Merge_1_2!$O$2:$O$611,$C986),INDEX(Dataset3_Raw!$O$2:$O$391,$E986))</f>
        <v>106</v>
      </c>
      <c r="U986" s="23">
        <f>IF($C986&gt;0,INDEX(Merge_1_2!$P$2:$P$611,$C986),INDEX(Dataset3_Raw!$P$2:$P$391,$E986))</f>
        <v>134</v>
      </c>
      <c r="V986" s="23" t="str">
        <f t="shared" si="91"/>
        <v>Weekend</v>
      </c>
      <c r="W986" s="23" t="str">
        <f>VLOOKUP($M986,Lookups!$A$5:$B$8,2,FALSE())</f>
        <v>Mist / Cloudy</v>
      </c>
      <c r="X986" s="23" t="str">
        <f>VLOOKUP($G986,Lookups!$D$5:$E$8,2,FALSE())</f>
        <v>Winter</v>
      </c>
      <c r="Y986" s="23" t="str">
        <f>VLOOKUP($L986,Lookups!$G$5:$H$11,2,FALSE())</f>
        <v>Sunday</v>
      </c>
      <c r="Z986" s="23" t="str">
        <f>IF($J986&lt;Lookups!$B$26,"Night",IF($J986&lt;Lookups!$B$27,"Morning",IF($J986&lt;Lookups!$B$28,"Afternoon","Evening")))</f>
        <v>Afternoon</v>
      </c>
      <c r="AA986" s="26">
        <f>ROUND($N986*(Lookups!$B$16-Lookups!$B$15)+Lookups!$B$15,1)</f>
        <v>11.7</v>
      </c>
      <c r="AB986" s="26">
        <f>ROUND($P986*(Lookups!$B$18-Lookups!$B$17)+Lookups!$B$17,1)</f>
        <v>12</v>
      </c>
      <c r="AC986" s="23">
        <f t="shared" si="92"/>
        <v>28</v>
      </c>
      <c r="AD986" s="23">
        <f>ROUND($R986*Lookups!$B$19,1)</f>
        <v>22</v>
      </c>
      <c r="AE986" s="27">
        <f t="shared" si="93"/>
        <v>0.79104477611940294</v>
      </c>
      <c r="AF986" s="23" t="str">
        <f>IF($U986&gt;=Lookups!$B$23,"High",IF($U986&gt;=Lookups!$B$22,"Medium","Low"))</f>
        <v>High</v>
      </c>
      <c r="AG986" s="23">
        <f>ROUND(IF($V986="Weekday",IF(INDEX(Hourly_Analysis!$D$5:$D$28,$J986+1)&gt;0,($U986-INDEX(Hourly_Analysis!$C$5:$C$28,$J986+1))/INDEX(Hourly_Analysis!$D$5:$D$28,$J986+1),0),IF(INDEX(Hourly_Analysis!$G$5:$G$28,$J986+1)&gt;0,($U986-INDEX(Hourly_Analysis!$F$5:$F$28,$J986+1))/INDEX(Hourly_Analysis!$G$5:$G$28,$J986+1),0)),2)</f>
        <v>1.1100000000000001</v>
      </c>
      <c r="AH986" s="23" t="str">
        <f>IF(ABS($AG986)&gt;Lookups!$B$20,IF($AG986&gt;0,"High anomaly","Low anomaly"),"")</f>
        <v/>
      </c>
      <c r="AI986" s="23" t="str">
        <f t="shared" si="94"/>
        <v>OK</v>
      </c>
      <c r="AJ986" s="23" t="str">
        <f t="shared" si="95"/>
        <v>No</v>
      </c>
    </row>
    <row r="987" spans="1:36" x14ac:dyDescent="0.35">
      <c r="A987" s="23">
        <v>986</v>
      </c>
      <c r="B987" s="23" t="str">
        <f t="shared" si="90"/>
        <v>Dataset 3</v>
      </c>
      <c r="C987" s="23">
        <f>IFERROR(MATCH($A987,Merge_1_2!$A$2:$A$611,0),0)</f>
        <v>0</v>
      </c>
      <c r="D987" s="23">
        <f>IF($C987&gt;0,INDEX(Merge_1_2!$Q$2:$Q$611,$C987),0)</f>
        <v>0</v>
      </c>
      <c r="E987" s="23">
        <f>IFERROR(MATCH($A987,Dataset3_Raw!$A$2:$A$391,0),0)</f>
        <v>376</v>
      </c>
      <c r="F987" s="24">
        <f>IF($C987&gt;0,INDEX(Merge_1_2!$B$2:$B$611,$C987),DATE(VALUE(RIGHT(INDEX(Dataset3_Raw!$B$2:$B$391,$E987),4)),VALUE(MID(INDEX(Dataset3_Raw!$B$2:$B$391,$E987),4,2)),VALUE(LEFT(INDEX(Dataset3_Raw!$B$2:$B$391,$E987),2))))</f>
        <v>40587</v>
      </c>
      <c r="G987" s="23">
        <f>IF($C987&gt;0,INDEX(Merge_1_2!$C$2:$C$611,$C987),INDEX(Dataset3_Raw!$C$2:$C$391,$E987))</f>
        <v>1</v>
      </c>
      <c r="H987" s="23">
        <f>IF($C987&gt;0,INDEX(Merge_1_2!$D$2:$D$611,$C987),INDEX(Dataset3_Raw!$D$2:$D$391,$E987))</f>
        <v>0</v>
      </c>
      <c r="I987" s="23">
        <f>IF($C987&gt;0,INDEX(Merge_1_2!$E$2:$E$611,$C987),INDEX(Dataset3_Raw!$E$2:$E$391,$E987))</f>
        <v>2</v>
      </c>
      <c r="J987" s="23">
        <f>IF($C987&gt;0,INDEX(Merge_1_2!$F$2:$F$611,$C987),INDEX(Dataset3_Raw!$F$2:$F$391,$E987))</f>
        <v>17</v>
      </c>
      <c r="K987" s="23" t="b">
        <f>IF($C987&gt;0,INDEX(Merge_1_2!$G$2:$G$611,$C987),INDEX(Dataset3_Raw!$G$2:$G$391,$E987))</f>
        <v>0</v>
      </c>
      <c r="L987" s="23">
        <f>IF($C987&gt;0,INDEX(Merge_1_2!$H$2:$H$611,$C987),INDEX(Dataset3_Raw!$H$2:$H$391,$E987))</f>
        <v>0</v>
      </c>
      <c r="M987" s="23">
        <f>IF($C987&gt;0,INDEX(Merge_1_2!$I$2:$I$611,$C987),INDEX(Dataset3_Raw!$I$2:$I$391,$E987))</f>
        <v>1</v>
      </c>
      <c r="N987" s="25">
        <f>IF($C987&gt;0,INDEX(Merge_1_2!$J$2:$J$611,$C987),INDEX(Dataset3_Raw!$J$2:$J$391,$E987))</f>
        <v>0.42</v>
      </c>
      <c r="O987" s="25">
        <f>IF($C987&gt;0,IF(ISNUMBER(INDEX(Merge_1_2!$K$2:$K$611,$C987)),INDEX(Merge_1_2!$K$2:$K$611,$C987),""),INDEX(Dataset3_Raw!$K$2:$K$391,$E987))</f>
        <v>0.42420000000000002</v>
      </c>
      <c r="P987" s="25">
        <f>IF(ISNUMBER($O987),$O987,ROUND(Lookups!$B$25+Lookups!$B$24*$N987,4))</f>
        <v>0.42420000000000002</v>
      </c>
      <c r="Q987" s="25">
        <f>IF($C987&gt;0,INDEX(Merge_1_2!$L$2:$L$611,$C987),INDEX(Dataset3_Raw!$L$2:$L$391,$E987))</f>
        <v>0.28000000000000003</v>
      </c>
      <c r="R987" s="25">
        <f>IF($C987&gt;0,INDEX(Merge_1_2!$M$2:$M$611,$C987),INDEX(Dataset3_Raw!$M$2:$M$391,$E987))</f>
        <v>0.32840000000000003</v>
      </c>
      <c r="S987" s="23">
        <f>IF($C987&gt;0,INDEX(Merge_1_2!$N$2:$N$611,$C987),INDEX(Dataset3_Raw!$N$2:$N$391,$E987))</f>
        <v>30</v>
      </c>
      <c r="T987" s="23">
        <f>IF($C987&gt;0,INDEX(Merge_1_2!$O$2:$O$611,$C987),INDEX(Dataset3_Raw!$O$2:$O$391,$E987))</f>
        <v>95</v>
      </c>
      <c r="U987" s="23">
        <f>IF($C987&gt;0,INDEX(Merge_1_2!$P$2:$P$611,$C987),INDEX(Dataset3_Raw!$P$2:$P$391,$E987))</f>
        <v>125</v>
      </c>
      <c r="V987" s="23" t="str">
        <f t="shared" si="91"/>
        <v>Weekend</v>
      </c>
      <c r="W987" s="23" t="str">
        <f>VLOOKUP($M987,Lookups!$A$5:$B$8,2,FALSE())</f>
        <v>Clear / Partly cloudy</v>
      </c>
      <c r="X987" s="23" t="str">
        <f>VLOOKUP($G987,Lookups!$D$5:$E$8,2,FALSE())</f>
        <v>Winter</v>
      </c>
      <c r="Y987" s="23" t="str">
        <f>VLOOKUP($L987,Lookups!$G$5:$H$11,2,FALSE())</f>
        <v>Sunday</v>
      </c>
      <c r="Z987" s="23" t="str">
        <f>IF($J987&lt;Lookups!$B$26,"Night",IF($J987&lt;Lookups!$B$27,"Morning",IF($J987&lt;Lookups!$B$28,"Afternoon","Evening")))</f>
        <v>Afternoon</v>
      </c>
      <c r="AA987" s="26">
        <f>ROUND($N987*(Lookups!$B$16-Lookups!$B$15)+Lookups!$B$15,1)</f>
        <v>11.7</v>
      </c>
      <c r="AB987" s="26">
        <f>ROUND($P987*(Lookups!$B$18-Lookups!$B$17)+Lookups!$B$17,1)</f>
        <v>12</v>
      </c>
      <c r="AC987" s="23">
        <f t="shared" si="92"/>
        <v>28</v>
      </c>
      <c r="AD987" s="23">
        <f>ROUND($R987*Lookups!$B$19,1)</f>
        <v>22</v>
      </c>
      <c r="AE987" s="27">
        <f t="shared" si="93"/>
        <v>0.76</v>
      </c>
      <c r="AF987" s="23" t="str">
        <f>IF($U987&gt;=Lookups!$B$23,"High",IF($U987&gt;=Lookups!$B$22,"Medium","Low"))</f>
        <v>High</v>
      </c>
      <c r="AG987" s="23">
        <f>ROUND(IF($V987="Weekday",IF(INDEX(Hourly_Analysis!$D$5:$D$28,$J987+1)&gt;0,($U987-INDEX(Hourly_Analysis!$C$5:$C$28,$J987+1))/INDEX(Hourly_Analysis!$D$5:$D$28,$J987+1),0),IF(INDEX(Hourly_Analysis!$G$5:$G$28,$J987+1)&gt;0,($U987-INDEX(Hourly_Analysis!$F$5:$F$28,$J987+1))/INDEX(Hourly_Analysis!$G$5:$G$28,$J987+1),0)),2)</f>
        <v>1.58</v>
      </c>
      <c r="AH987" s="23" t="str">
        <f>IF(ABS($AG987)&gt;Lookups!$B$20,IF($AG987&gt;0,"High anomaly","Low anomaly"),"")</f>
        <v/>
      </c>
      <c r="AI987" s="23" t="str">
        <f t="shared" si="94"/>
        <v>OK</v>
      </c>
      <c r="AJ987" s="23" t="str">
        <f t="shared" si="95"/>
        <v>No</v>
      </c>
    </row>
    <row r="988" spans="1:36" x14ac:dyDescent="0.35">
      <c r="A988" s="23">
        <v>987</v>
      </c>
      <c r="B988" s="23" t="str">
        <f t="shared" si="90"/>
        <v>Dataset 3</v>
      </c>
      <c r="C988" s="23">
        <f>IFERROR(MATCH($A988,Merge_1_2!$A$2:$A$611,0),0)</f>
        <v>0</v>
      </c>
      <c r="D988" s="23">
        <f>IF($C988&gt;0,INDEX(Merge_1_2!$Q$2:$Q$611,$C988),0)</f>
        <v>0</v>
      </c>
      <c r="E988" s="23">
        <f>IFERROR(MATCH($A988,Dataset3_Raw!$A$2:$A$391,0),0)</f>
        <v>377</v>
      </c>
      <c r="F988" s="24">
        <f>IF($C988&gt;0,INDEX(Merge_1_2!$B$2:$B$611,$C988),DATE(VALUE(RIGHT(INDEX(Dataset3_Raw!$B$2:$B$391,$E988),4)),VALUE(MID(INDEX(Dataset3_Raw!$B$2:$B$391,$E988),4,2)),VALUE(LEFT(INDEX(Dataset3_Raw!$B$2:$B$391,$E988),2))))</f>
        <v>40587</v>
      </c>
      <c r="G988" s="23">
        <f>IF($C988&gt;0,INDEX(Merge_1_2!$C$2:$C$611,$C988),INDEX(Dataset3_Raw!$C$2:$C$391,$E988))</f>
        <v>1</v>
      </c>
      <c r="H988" s="23">
        <f>IF($C988&gt;0,INDEX(Merge_1_2!$D$2:$D$611,$C988),INDEX(Dataset3_Raw!$D$2:$D$391,$E988))</f>
        <v>0</v>
      </c>
      <c r="I988" s="23">
        <f>IF($C988&gt;0,INDEX(Merge_1_2!$E$2:$E$611,$C988),INDEX(Dataset3_Raw!$E$2:$E$391,$E988))</f>
        <v>2</v>
      </c>
      <c r="J988" s="23">
        <f>IF($C988&gt;0,INDEX(Merge_1_2!$F$2:$F$611,$C988),INDEX(Dataset3_Raw!$F$2:$F$391,$E988))</f>
        <v>18</v>
      </c>
      <c r="K988" s="23" t="b">
        <f>IF($C988&gt;0,INDEX(Merge_1_2!$G$2:$G$611,$C988),INDEX(Dataset3_Raw!$G$2:$G$391,$E988))</f>
        <v>0</v>
      </c>
      <c r="L988" s="23">
        <f>IF($C988&gt;0,INDEX(Merge_1_2!$H$2:$H$611,$C988),INDEX(Dataset3_Raw!$H$2:$H$391,$E988))</f>
        <v>0</v>
      </c>
      <c r="M988" s="23">
        <f>IF($C988&gt;0,INDEX(Merge_1_2!$I$2:$I$611,$C988),INDEX(Dataset3_Raw!$I$2:$I$391,$E988))</f>
        <v>1</v>
      </c>
      <c r="N988" s="25">
        <f>IF($C988&gt;0,INDEX(Merge_1_2!$J$2:$J$611,$C988),INDEX(Dataset3_Raw!$J$2:$J$391,$E988))</f>
        <v>0.4</v>
      </c>
      <c r="O988" s="25">
        <f>IF($C988&gt;0,IF(ISNUMBER(INDEX(Merge_1_2!$K$2:$K$611,$C988)),INDEX(Merge_1_2!$K$2:$K$611,$C988),""),INDEX(Dataset3_Raw!$K$2:$K$391,$E988))</f>
        <v>0.40910000000000002</v>
      </c>
      <c r="P988" s="25">
        <f>IF(ISNUMBER($O988),$O988,ROUND(Lookups!$B$25+Lookups!$B$24*$N988,4))</f>
        <v>0.40910000000000002</v>
      </c>
      <c r="Q988" s="25">
        <f>IF($C988&gt;0,INDEX(Merge_1_2!$L$2:$L$611,$C988),INDEX(Dataset3_Raw!$L$2:$L$391,$E988))</f>
        <v>0.32</v>
      </c>
      <c r="R988" s="25">
        <f>IF($C988&gt;0,INDEX(Merge_1_2!$M$2:$M$611,$C988),INDEX(Dataset3_Raw!$M$2:$M$391,$E988))</f>
        <v>0.29849999999999999</v>
      </c>
      <c r="S988" s="23">
        <f>IF($C988&gt;0,INDEX(Merge_1_2!$N$2:$N$611,$C988),INDEX(Dataset3_Raw!$N$2:$N$391,$E988))</f>
        <v>17</v>
      </c>
      <c r="T988" s="23">
        <f>IF($C988&gt;0,INDEX(Merge_1_2!$O$2:$O$611,$C988),INDEX(Dataset3_Raw!$O$2:$O$391,$E988))</f>
        <v>78</v>
      </c>
      <c r="U988" s="23">
        <f>IF($C988&gt;0,INDEX(Merge_1_2!$P$2:$P$611,$C988),INDEX(Dataset3_Raw!$P$2:$P$391,$E988))</f>
        <v>95</v>
      </c>
      <c r="V988" s="23" t="str">
        <f t="shared" si="91"/>
        <v>Weekend</v>
      </c>
      <c r="W988" s="23" t="str">
        <f>VLOOKUP($M988,Lookups!$A$5:$B$8,2,FALSE())</f>
        <v>Clear / Partly cloudy</v>
      </c>
      <c r="X988" s="23" t="str">
        <f>VLOOKUP($G988,Lookups!$D$5:$E$8,2,FALSE())</f>
        <v>Winter</v>
      </c>
      <c r="Y988" s="23" t="str">
        <f>VLOOKUP($L988,Lookups!$G$5:$H$11,2,FALSE())</f>
        <v>Sunday</v>
      </c>
      <c r="Z988" s="23" t="str">
        <f>IF($J988&lt;Lookups!$B$26,"Night",IF($J988&lt;Lookups!$B$27,"Morning",IF($J988&lt;Lookups!$B$28,"Afternoon","Evening")))</f>
        <v>Evening</v>
      </c>
      <c r="AA988" s="26">
        <f>ROUND($N988*(Lookups!$B$16-Lookups!$B$15)+Lookups!$B$15,1)</f>
        <v>10.8</v>
      </c>
      <c r="AB988" s="26">
        <f>ROUND($P988*(Lookups!$B$18-Lookups!$B$17)+Lookups!$B$17,1)</f>
        <v>11</v>
      </c>
      <c r="AC988" s="23">
        <f t="shared" si="92"/>
        <v>32</v>
      </c>
      <c r="AD988" s="23">
        <f>ROUND($R988*Lookups!$B$19,1)</f>
        <v>20</v>
      </c>
      <c r="AE988" s="27">
        <f t="shared" si="93"/>
        <v>0.82105263157894737</v>
      </c>
      <c r="AF988" s="23" t="str">
        <f>IF($U988&gt;=Lookups!$B$23,"High",IF($U988&gt;=Lookups!$B$22,"Medium","Low"))</f>
        <v>High</v>
      </c>
      <c r="AG988" s="23">
        <f>ROUND(IF($V988="Weekday",IF(INDEX(Hourly_Analysis!$D$5:$D$28,$J988+1)&gt;0,($U988-INDEX(Hourly_Analysis!$C$5:$C$28,$J988+1))/INDEX(Hourly_Analysis!$D$5:$D$28,$J988+1),0),IF(INDEX(Hourly_Analysis!$G$5:$G$28,$J988+1)&gt;0,($U988-INDEX(Hourly_Analysis!$F$5:$F$28,$J988+1))/INDEX(Hourly_Analysis!$G$5:$G$28,$J988+1),0)),2)</f>
        <v>1.66</v>
      </c>
      <c r="AH988" s="23" t="str">
        <f>IF(ABS($AG988)&gt;Lookups!$B$20,IF($AG988&gt;0,"High anomaly","Low anomaly"),"")</f>
        <v/>
      </c>
      <c r="AI988" s="23" t="str">
        <f t="shared" si="94"/>
        <v>OK</v>
      </c>
      <c r="AJ988" s="23" t="str">
        <f t="shared" si="95"/>
        <v>No</v>
      </c>
    </row>
    <row r="989" spans="1:36" x14ac:dyDescent="0.35">
      <c r="A989" s="23">
        <v>988</v>
      </c>
      <c r="B989" s="23" t="str">
        <f t="shared" si="90"/>
        <v>Dataset 3</v>
      </c>
      <c r="C989" s="23">
        <f>IFERROR(MATCH($A989,Merge_1_2!$A$2:$A$611,0),0)</f>
        <v>0</v>
      </c>
      <c r="D989" s="23">
        <f>IF($C989&gt;0,INDEX(Merge_1_2!$Q$2:$Q$611,$C989),0)</f>
        <v>0</v>
      </c>
      <c r="E989" s="23">
        <f>IFERROR(MATCH($A989,Dataset3_Raw!$A$2:$A$391,0),0)</f>
        <v>378</v>
      </c>
      <c r="F989" s="24">
        <f>IF($C989&gt;0,INDEX(Merge_1_2!$B$2:$B$611,$C989),DATE(VALUE(RIGHT(INDEX(Dataset3_Raw!$B$2:$B$391,$E989),4)),VALUE(MID(INDEX(Dataset3_Raw!$B$2:$B$391,$E989),4,2)),VALUE(LEFT(INDEX(Dataset3_Raw!$B$2:$B$391,$E989),2))))</f>
        <v>40587</v>
      </c>
      <c r="G989" s="23">
        <f>IF($C989&gt;0,INDEX(Merge_1_2!$C$2:$C$611,$C989),INDEX(Dataset3_Raw!$C$2:$C$391,$E989))</f>
        <v>1</v>
      </c>
      <c r="H989" s="23">
        <f>IF($C989&gt;0,INDEX(Merge_1_2!$D$2:$D$611,$C989),INDEX(Dataset3_Raw!$D$2:$D$391,$E989))</f>
        <v>0</v>
      </c>
      <c r="I989" s="23">
        <f>IF($C989&gt;0,INDEX(Merge_1_2!$E$2:$E$611,$C989),INDEX(Dataset3_Raw!$E$2:$E$391,$E989))</f>
        <v>2</v>
      </c>
      <c r="J989" s="23">
        <f>IF($C989&gt;0,INDEX(Merge_1_2!$F$2:$F$611,$C989),INDEX(Dataset3_Raw!$F$2:$F$391,$E989))</f>
        <v>19</v>
      </c>
      <c r="K989" s="23" t="b">
        <f>IF($C989&gt;0,INDEX(Merge_1_2!$G$2:$G$611,$C989),INDEX(Dataset3_Raw!$G$2:$G$391,$E989))</f>
        <v>0</v>
      </c>
      <c r="L989" s="23">
        <f>IF($C989&gt;0,INDEX(Merge_1_2!$H$2:$H$611,$C989),INDEX(Dataset3_Raw!$H$2:$H$391,$E989))</f>
        <v>0</v>
      </c>
      <c r="M989" s="23">
        <f>IF($C989&gt;0,INDEX(Merge_1_2!$I$2:$I$611,$C989),INDEX(Dataset3_Raw!$I$2:$I$391,$E989))</f>
        <v>1</v>
      </c>
      <c r="N989" s="25">
        <f>IF($C989&gt;0,INDEX(Merge_1_2!$J$2:$J$611,$C989),INDEX(Dataset3_Raw!$J$2:$J$391,$E989))</f>
        <v>0.4</v>
      </c>
      <c r="O989" s="25">
        <f>IF($C989&gt;0,IF(ISNUMBER(INDEX(Merge_1_2!$K$2:$K$611,$C989)),INDEX(Merge_1_2!$K$2:$K$611,$C989),""),INDEX(Dataset3_Raw!$K$2:$K$391,$E989))</f>
        <v>0.40910000000000002</v>
      </c>
      <c r="P989" s="25">
        <f>IF(ISNUMBER($O989),$O989,ROUND(Lookups!$B$25+Lookups!$B$24*$N989,4))</f>
        <v>0.40910000000000002</v>
      </c>
      <c r="Q989" s="25">
        <f>IF($C989&gt;0,INDEX(Merge_1_2!$L$2:$L$611,$C989),INDEX(Dataset3_Raw!$L$2:$L$391,$E989))</f>
        <v>0.35</v>
      </c>
      <c r="R989" s="25">
        <f>IF($C989&gt;0,INDEX(Merge_1_2!$M$2:$M$611,$C989),INDEX(Dataset3_Raw!$M$2:$M$391,$E989))</f>
        <v>0.28360000000000002</v>
      </c>
      <c r="S989" s="23">
        <f>IF($C989&gt;0,INDEX(Merge_1_2!$N$2:$N$611,$C989),INDEX(Dataset3_Raw!$N$2:$N$391,$E989))</f>
        <v>11</v>
      </c>
      <c r="T989" s="23">
        <f>IF($C989&gt;0,INDEX(Merge_1_2!$O$2:$O$611,$C989),INDEX(Dataset3_Raw!$O$2:$O$391,$E989))</f>
        <v>50</v>
      </c>
      <c r="U989" s="23">
        <f>IF($C989&gt;0,INDEX(Merge_1_2!$P$2:$P$611,$C989),INDEX(Dataset3_Raw!$P$2:$P$391,$E989))</f>
        <v>61</v>
      </c>
      <c r="V989" s="23" t="str">
        <f t="shared" si="91"/>
        <v>Weekend</v>
      </c>
      <c r="W989" s="23" t="str">
        <f>VLOOKUP($M989,Lookups!$A$5:$B$8,2,FALSE())</f>
        <v>Clear / Partly cloudy</v>
      </c>
      <c r="X989" s="23" t="str">
        <f>VLOOKUP($G989,Lookups!$D$5:$E$8,2,FALSE())</f>
        <v>Winter</v>
      </c>
      <c r="Y989" s="23" t="str">
        <f>VLOOKUP($L989,Lookups!$G$5:$H$11,2,FALSE())</f>
        <v>Sunday</v>
      </c>
      <c r="Z989" s="23" t="str">
        <f>IF($J989&lt;Lookups!$B$26,"Night",IF($J989&lt;Lookups!$B$27,"Morning",IF($J989&lt;Lookups!$B$28,"Afternoon","Evening")))</f>
        <v>Evening</v>
      </c>
      <c r="AA989" s="26">
        <f>ROUND($N989*(Lookups!$B$16-Lookups!$B$15)+Lookups!$B$15,1)</f>
        <v>10.8</v>
      </c>
      <c r="AB989" s="26">
        <f>ROUND($P989*(Lookups!$B$18-Lookups!$B$17)+Lookups!$B$17,1)</f>
        <v>11</v>
      </c>
      <c r="AC989" s="23">
        <f t="shared" si="92"/>
        <v>35</v>
      </c>
      <c r="AD989" s="23">
        <f>ROUND($R989*Lookups!$B$19,1)</f>
        <v>19</v>
      </c>
      <c r="AE989" s="27">
        <f t="shared" si="93"/>
        <v>0.81967213114754101</v>
      </c>
      <c r="AF989" s="23" t="str">
        <f>IF($U989&gt;=Lookups!$B$23,"High",IF($U989&gt;=Lookups!$B$22,"Medium","Low"))</f>
        <v>Medium</v>
      </c>
      <c r="AG989" s="23">
        <f>ROUND(IF($V989="Weekday",IF(INDEX(Hourly_Analysis!$D$5:$D$28,$J989+1)&gt;0,($U989-INDEX(Hourly_Analysis!$C$5:$C$28,$J989+1))/INDEX(Hourly_Analysis!$D$5:$D$28,$J989+1),0),IF(INDEX(Hourly_Analysis!$G$5:$G$28,$J989+1)&gt;0,($U989-INDEX(Hourly_Analysis!$F$5:$F$28,$J989+1))/INDEX(Hourly_Analysis!$G$5:$G$28,$J989+1),0)),2)</f>
        <v>0.59</v>
      </c>
      <c r="AH989" s="23" t="str">
        <f>IF(ABS($AG989)&gt;Lookups!$B$20,IF($AG989&gt;0,"High anomaly","Low anomaly"),"")</f>
        <v/>
      </c>
      <c r="AI989" s="23" t="str">
        <f t="shared" si="94"/>
        <v>OK</v>
      </c>
      <c r="AJ989" s="23" t="str">
        <f t="shared" si="95"/>
        <v>No</v>
      </c>
    </row>
    <row r="990" spans="1:36" x14ac:dyDescent="0.35">
      <c r="A990" s="23">
        <v>989</v>
      </c>
      <c r="B990" s="23" t="str">
        <f t="shared" si="90"/>
        <v>Dataset 3</v>
      </c>
      <c r="C990" s="23">
        <f>IFERROR(MATCH($A990,Merge_1_2!$A$2:$A$611,0),0)</f>
        <v>0</v>
      </c>
      <c r="D990" s="23">
        <f>IF($C990&gt;0,INDEX(Merge_1_2!$Q$2:$Q$611,$C990),0)</f>
        <v>0</v>
      </c>
      <c r="E990" s="23">
        <f>IFERROR(MATCH($A990,Dataset3_Raw!$A$2:$A$391,0),0)</f>
        <v>379</v>
      </c>
      <c r="F990" s="24">
        <f>IF($C990&gt;0,INDEX(Merge_1_2!$B$2:$B$611,$C990),DATE(VALUE(RIGHT(INDEX(Dataset3_Raw!$B$2:$B$391,$E990),4)),VALUE(MID(INDEX(Dataset3_Raw!$B$2:$B$391,$E990),4,2)),VALUE(LEFT(INDEX(Dataset3_Raw!$B$2:$B$391,$E990),2))))</f>
        <v>40587</v>
      </c>
      <c r="G990" s="23">
        <f>IF($C990&gt;0,INDEX(Merge_1_2!$C$2:$C$611,$C990),INDEX(Dataset3_Raw!$C$2:$C$391,$E990))</f>
        <v>1</v>
      </c>
      <c r="H990" s="23">
        <f>IF($C990&gt;0,INDEX(Merge_1_2!$D$2:$D$611,$C990),INDEX(Dataset3_Raw!$D$2:$D$391,$E990))</f>
        <v>0</v>
      </c>
      <c r="I990" s="23">
        <f>IF($C990&gt;0,INDEX(Merge_1_2!$E$2:$E$611,$C990),INDEX(Dataset3_Raw!$E$2:$E$391,$E990))</f>
        <v>2</v>
      </c>
      <c r="J990" s="23">
        <f>IF($C990&gt;0,INDEX(Merge_1_2!$F$2:$F$611,$C990),INDEX(Dataset3_Raw!$F$2:$F$391,$E990))</f>
        <v>20</v>
      </c>
      <c r="K990" s="23" t="b">
        <f>IF($C990&gt;0,INDEX(Merge_1_2!$G$2:$G$611,$C990),INDEX(Dataset3_Raw!$G$2:$G$391,$E990))</f>
        <v>0</v>
      </c>
      <c r="L990" s="23">
        <f>IF($C990&gt;0,INDEX(Merge_1_2!$H$2:$H$611,$C990),INDEX(Dataset3_Raw!$H$2:$H$391,$E990))</f>
        <v>0</v>
      </c>
      <c r="M990" s="23">
        <f>IF($C990&gt;0,INDEX(Merge_1_2!$I$2:$I$611,$C990),INDEX(Dataset3_Raw!$I$2:$I$391,$E990))</f>
        <v>1</v>
      </c>
      <c r="N990" s="25">
        <f>IF($C990&gt;0,INDEX(Merge_1_2!$J$2:$J$611,$C990),INDEX(Dataset3_Raw!$J$2:$J$391,$E990))</f>
        <v>0.4</v>
      </c>
      <c r="O990" s="25">
        <f>IF($C990&gt;0,IF(ISNUMBER(INDEX(Merge_1_2!$K$2:$K$611,$C990)),INDEX(Merge_1_2!$K$2:$K$611,$C990),""),INDEX(Dataset3_Raw!$K$2:$K$391,$E990))</f>
        <v>0.40910000000000002</v>
      </c>
      <c r="P990" s="25">
        <f>IF(ISNUMBER($O990),$O990,ROUND(Lookups!$B$25+Lookups!$B$24*$N990,4))</f>
        <v>0.40910000000000002</v>
      </c>
      <c r="Q990" s="25">
        <f>IF($C990&gt;0,INDEX(Merge_1_2!$L$2:$L$611,$C990),INDEX(Dataset3_Raw!$L$2:$L$391,$E990))</f>
        <v>0.35</v>
      </c>
      <c r="R990" s="25">
        <f>IF($C990&gt;0,INDEX(Merge_1_2!$M$2:$M$611,$C990),INDEX(Dataset3_Raw!$M$2:$M$391,$E990))</f>
        <v>0.32840000000000003</v>
      </c>
      <c r="S990" s="23">
        <f>IF($C990&gt;0,INDEX(Merge_1_2!$N$2:$N$611,$C990),INDEX(Dataset3_Raw!$N$2:$N$391,$E990))</f>
        <v>15</v>
      </c>
      <c r="T990" s="23">
        <f>IF($C990&gt;0,INDEX(Merge_1_2!$O$2:$O$611,$C990),INDEX(Dataset3_Raw!$O$2:$O$391,$E990))</f>
        <v>32</v>
      </c>
      <c r="U990" s="23">
        <f>IF($C990&gt;0,INDEX(Merge_1_2!$P$2:$P$611,$C990),INDEX(Dataset3_Raw!$P$2:$P$391,$E990))</f>
        <v>47</v>
      </c>
      <c r="V990" s="23" t="str">
        <f t="shared" si="91"/>
        <v>Weekend</v>
      </c>
      <c r="W990" s="23" t="str">
        <f>VLOOKUP($M990,Lookups!$A$5:$B$8,2,FALSE())</f>
        <v>Clear / Partly cloudy</v>
      </c>
      <c r="X990" s="23" t="str">
        <f>VLOOKUP($G990,Lookups!$D$5:$E$8,2,FALSE())</f>
        <v>Winter</v>
      </c>
      <c r="Y990" s="23" t="str">
        <f>VLOOKUP($L990,Lookups!$G$5:$H$11,2,FALSE())</f>
        <v>Sunday</v>
      </c>
      <c r="Z990" s="23" t="str">
        <f>IF($J990&lt;Lookups!$B$26,"Night",IF($J990&lt;Lookups!$B$27,"Morning",IF($J990&lt;Lookups!$B$28,"Afternoon","Evening")))</f>
        <v>Evening</v>
      </c>
      <c r="AA990" s="26">
        <f>ROUND($N990*(Lookups!$B$16-Lookups!$B$15)+Lookups!$B$15,1)</f>
        <v>10.8</v>
      </c>
      <c r="AB990" s="26">
        <f>ROUND($P990*(Lookups!$B$18-Lookups!$B$17)+Lookups!$B$17,1)</f>
        <v>11</v>
      </c>
      <c r="AC990" s="23">
        <f t="shared" si="92"/>
        <v>35</v>
      </c>
      <c r="AD990" s="23">
        <f>ROUND($R990*Lookups!$B$19,1)</f>
        <v>22</v>
      </c>
      <c r="AE990" s="27">
        <f t="shared" si="93"/>
        <v>0.68085106382978722</v>
      </c>
      <c r="AF990" s="23" t="str">
        <f>IF($U990&gt;=Lookups!$B$23,"High",IF($U990&gt;=Lookups!$B$22,"Medium","Low"))</f>
        <v>Medium</v>
      </c>
      <c r="AG990" s="23">
        <f>ROUND(IF($V990="Weekday",IF(INDEX(Hourly_Analysis!$D$5:$D$28,$J990+1)&gt;0,($U990-INDEX(Hourly_Analysis!$C$5:$C$28,$J990+1))/INDEX(Hourly_Analysis!$D$5:$D$28,$J990+1),0),IF(INDEX(Hourly_Analysis!$G$5:$G$28,$J990+1)&gt;0,($U990-INDEX(Hourly_Analysis!$F$5:$F$28,$J990+1))/INDEX(Hourly_Analysis!$G$5:$G$28,$J990+1),0)),2)</f>
        <v>0.62</v>
      </c>
      <c r="AH990" s="23" t="str">
        <f>IF(ABS($AG990)&gt;Lookups!$B$20,IF($AG990&gt;0,"High anomaly","Low anomaly"),"")</f>
        <v/>
      </c>
      <c r="AI990" s="23" t="str">
        <f t="shared" si="94"/>
        <v>OK</v>
      </c>
      <c r="AJ990" s="23" t="str">
        <f t="shared" si="95"/>
        <v>No</v>
      </c>
    </row>
    <row r="991" spans="1:36" x14ac:dyDescent="0.35">
      <c r="A991" s="23">
        <v>990</v>
      </c>
      <c r="B991" s="23" t="str">
        <f t="shared" si="90"/>
        <v>Dataset 3</v>
      </c>
      <c r="C991" s="23">
        <f>IFERROR(MATCH($A991,Merge_1_2!$A$2:$A$611,0),0)</f>
        <v>0</v>
      </c>
      <c r="D991" s="23">
        <f>IF($C991&gt;0,INDEX(Merge_1_2!$Q$2:$Q$611,$C991),0)</f>
        <v>0</v>
      </c>
      <c r="E991" s="23">
        <f>IFERROR(MATCH($A991,Dataset3_Raw!$A$2:$A$391,0),0)</f>
        <v>380</v>
      </c>
      <c r="F991" s="24">
        <f>IF($C991&gt;0,INDEX(Merge_1_2!$B$2:$B$611,$C991),DATE(VALUE(RIGHT(INDEX(Dataset3_Raw!$B$2:$B$391,$E991),4)),VALUE(MID(INDEX(Dataset3_Raw!$B$2:$B$391,$E991),4,2)),VALUE(LEFT(INDEX(Dataset3_Raw!$B$2:$B$391,$E991),2))))</f>
        <v>40587</v>
      </c>
      <c r="G991" s="23">
        <f>IF($C991&gt;0,INDEX(Merge_1_2!$C$2:$C$611,$C991),INDEX(Dataset3_Raw!$C$2:$C$391,$E991))</f>
        <v>1</v>
      </c>
      <c r="H991" s="23">
        <f>IF($C991&gt;0,INDEX(Merge_1_2!$D$2:$D$611,$C991),INDEX(Dataset3_Raw!$D$2:$D$391,$E991))</f>
        <v>0</v>
      </c>
      <c r="I991" s="23">
        <f>IF($C991&gt;0,INDEX(Merge_1_2!$E$2:$E$611,$C991),INDEX(Dataset3_Raw!$E$2:$E$391,$E991))</f>
        <v>2</v>
      </c>
      <c r="J991" s="23">
        <f>IF($C991&gt;0,INDEX(Merge_1_2!$F$2:$F$611,$C991),INDEX(Dataset3_Raw!$F$2:$F$391,$E991))</f>
        <v>21</v>
      </c>
      <c r="K991" s="23" t="b">
        <f>IF($C991&gt;0,INDEX(Merge_1_2!$G$2:$G$611,$C991),INDEX(Dataset3_Raw!$G$2:$G$391,$E991))</f>
        <v>0</v>
      </c>
      <c r="L991" s="23">
        <f>IF($C991&gt;0,INDEX(Merge_1_2!$H$2:$H$611,$C991),INDEX(Dataset3_Raw!$H$2:$H$391,$E991))</f>
        <v>0</v>
      </c>
      <c r="M991" s="23">
        <f>IF($C991&gt;0,INDEX(Merge_1_2!$I$2:$I$611,$C991),INDEX(Dataset3_Raw!$I$2:$I$391,$E991))</f>
        <v>1</v>
      </c>
      <c r="N991" s="25">
        <f>IF($C991&gt;0,INDEX(Merge_1_2!$J$2:$J$611,$C991),INDEX(Dataset3_Raw!$J$2:$J$391,$E991))</f>
        <v>0.4</v>
      </c>
      <c r="O991" s="25">
        <f>IF($C991&gt;0,IF(ISNUMBER(INDEX(Merge_1_2!$K$2:$K$611,$C991)),INDEX(Merge_1_2!$K$2:$K$611,$C991),""),INDEX(Dataset3_Raw!$K$2:$K$391,$E991))</f>
        <v>0.40910000000000002</v>
      </c>
      <c r="P991" s="25">
        <f>IF(ISNUMBER($O991),$O991,ROUND(Lookups!$B$25+Lookups!$B$24*$N991,4))</f>
        <v>0.40910000000000002</v>
      </c>
      <c r="Q991" s="25">
        <f>IF($C991&gt;0,INDEX(Merge_1_2!$L$2:$L$611,$C991),INDEX(Dataset3_Raw!$L$2:$L$391,$E991))</f>
        <v>0.35</v>
      </c>
      <c r="R991" s="25">
        <f>IF($C991&gt;0,INDEX(Merge_1_2!$M$2:$M$611,$C991),INDEX(Dataset3_Raw!$M$2:$M$391,$E991))</f>
        <v>0.35820000000000002</v>
      </c>
      <c r="S991" s="23">
        <f>IF($C991&gt;0,INDEX(Merge_1_2!$N$2:$N$611,$C991),INDEX(Dataset3_Raw!$N$2:$N$391,$E991))</f>
        <v>6</v>
      </c>
      <c r="T991" s="23">
        <f>IF($C991&gt;0,INDEX(Merge_1_2!$O$2:$O$611,$C991),INDEX(Dataset3_Raw!$O$2:$O$391,$E991))</f>
        <v>45</v>
      </c>
      <c r="U991" s="23">
        <f>IF($C991&gt;0,INDEX(Merge_1_2!$P$2:$P$611,$C991),INDEX(Dataset3_Raw!$P$2:$P$391,$E991))</f>
        <v>51</v>
      </c>
      <c r="V991" s="23" t="str">
        <f t="shared" si="91"/>
        <v>Weekend</v>
      </c>
      <c r="W991" s="23" t="str">
        <f>VLOOKUP($M991,Lookups!$A$5:$B$8,2,FALSE())</f>
        <v>Clear / Partly cloudy</v>
      </c>
      <c r="X991" s="23" t="str">
        <f>VLOOKUP($G991,Lookups!$D$5:$E$8,2,FALSE())</f>
        <v>Winter</v>
      </c>
      <c r="Y991" s="23" t="str">
        <f>VLOOKUP($L991,Lookups!$G$5:$H$11,2,FALSE())</f>
        <v>Sunday</v>
      </c>
      <c r="Z991" s="23" t="str">
        <f>IF($J991&lt;Lookups!$B$26,"Night",IF($J991&lt;Lookups!$B$27,"Morning",IF($J991&lt;Lookups!$B$28,"Afternoon","Evening")))</f>
        <v>Evening</v>
      </c>
      <c r="AA991" s="26">
        <f>ROUND($N991*(Lookups!$B$16-Lookups!$B$15)+Lookups!$B$15,1)</f>
        <v>10.8</v>
      </c>
      <c r="AB991" s="26">
        <f>ROUND($P991*(Lookups!$B$18-Lookups!$B$17)+Lookups!$B$17,1)</f>
        <v>11</v>
      </c>
      <c r="AC991" s="23">
        <f t="shared" si="92"/>
        <v>35</v>
      </c>
      <c r="AD991" s="23">
        <f>ROUND($R991*Lookups!$B$19,1)</f>
        <v>24</v>
      </c>
      <c r="AE991" s="27">
        <f t="shared" si="93"/>
        <v>0.88235294117647056</v>
      </c>
      <c r="AF991" s="23" t="str">
        <f>IF($U991&gt;=Lookups!$B$23,"High",IF($U991&gt;=Lookups!$B$22,"Medium","Low"))</f>
        <v>Medium</v>
      </c>
      <c r="AG991" s="23">
        <f>ROUND(IF($V991="Weekday",IF(INDEX(Hourly_Analysis!$D$5:$D$28,$J991+1)&gt;0,($U991-INDEX(Hourly_Analysis!$C$5:$C$28,$J991+1))/INDEX(Hourly_Analysis!$D$5:$D$28,$J991+1),0),IF(INDEX(Hourly_Analysis!$G$5:$G$28,$J991+1)&gt;0,($U991-INDEX(Hourly_Analysis!$F$5:$F$28,$J991+1))/INDEX(Hourly_Analysis!$G$5:$G$28,$J991+1),0)),2)</f>
        <v>1.22</v>
      </c>
      <c r="AH991" s="23" t="str">
        <f>IF(ABS($AG991)&gt;Lookups!$B$20,IF($AG991&gt;0,"High anomaly","Low anomaly"),"")</f>
        <v/>
      </c>
      <c r="AI991" s="23" t="str">
        <f t="shared" si="94"/>
        <v>OK</v>
      </c>
      <c r="AJ991" s="23" t="str">
        <f t="shared" si="95"/>
        <v>No</v>
      </c>
    </row>
    <row r="992" spans="1:36" x14ac:dyDescent="0.35">
      <c r="A992" s="23">
        <v>991</v>
      </c>
      <c r="B992" s="23" t="str">
        <f t="shared" si="90"/>
        <v>Dataset 3</v>
      </c>
      <c r="C992" s="23">
        <f>IFERROR(MATCH($A992,Merge_1_2!$A$2:$A$611,0),0)</f>
        <v>0</v>
      </c>
      <c r="D992" s="23">
        <f>IF($C992&gt;0,INDEX(Merge_1_2!$Q$2:$Q$611,$C992),0)</f>
        <v>0</v>
      </c>
      <c r="E992" s="23">
        <f>IFERROR(MATCH($A992,Dataset3_Raw!$A$2:$A$391,0),0)</f>
        <v>381</v>
      </c>
      <c r="F992" s="24">
        <f>IF($C992&gt;0,INDEX(Merge_1_2!$B$2:$B$611,$C992),DATE(VALUE(RIGHT(INDEX(Dataset3_Raw!$B$2:$B$391,$E992),4)),VALUE(MID(INDEX(Dataset3_Raw!$B$2:$B$391,$E992),4,2)),VALUE(LEFT(INDEX(Dataset3_Raw!$B$2:$B$391,$E992),2))))</f>
        <v>40587</v>
      </c>
      <c r="G992" s="23">
        <f>IF($C992&gt;0,INDEX(Merge_1_2!$C$2:$C$611,$C992),INDEX(Dataset3_Raw!$C$2:$C$391,$E992))</f>
        <v>1</v>
      </c>
      <c r="H992" s="23">
        <f>IF($C992&gt;0,INDEX(Merge_1_2!$D$2:$D$611,$C992),INDEX(Dataset3_Raw!$D$2:$D$391,$E992))</f>
        <v>0</v>
      </c>
      <c r="I992" s="23">
        <f>IF($C992&gt;0,INDEX(Merge_1_2!$E$2:$E$611,$C992),INDEX(Dataset3_Raw!$E$2:$E$391,$E992))</f>
        <v>2</v>
      </c>
      <c r="J992" s="23">
        <f>IF($C992&gt;0,INDEX(Merge_1_2!$F$2:$F$611,$C992),INDEX(Dataset3_Raw!$F$2:$F$391,$E992))</f>
        <v>22</v>
      </c>
      <c r="K992" s="23" t="b">
        <f>IF($C992&gt;0,INDEX(Merge_1_2!$G$2:$G$611,$C992),INDEX(Dataset3_Raw!$G$2:$G$391,$E992))</f>
        <v>0</v>
      </c>
      <c r="L992" s="23">
        <f>IF($C992&gt;0,INDEX(Merge_1_2!$H$2:$H$611,$C992),INDEX(Dataset3_Raw!$H$2:$H$391,$E992))</f>
        <v>0</v>
      </c>
      <c r="M992" s="23">
        <f>IF($C992&gt;0,INDEX(Merge_1_2!$I$2:$I$611,$C992),INDEX(Dataset3_Raw!$I$2:$I$391,$E992))</f>
        <v>1</v>
      </c>
      <c r="N992" s="25">
        <f>IF($C992&gt;0,INDEX(Merge_1_2!$J$2:$J$611,$C992),INDEX(Dataset3_Raw!$J$2:$J$391,$E992))</f>
        <v>0.4</v>
      </c>
      <c r="O992" s="25">
        <f>IF($C992&gt;0,IF(ISNUMBER(INDEX(Merge_1_2!$K$2:$K$611,$C992)),INDEX(Merge_1_2!$K$2:$K$611,$C992),""),INDEX(Dataset3_Raw!$K$2:$K$391,$E992))</f>
        <v>0.40910000000000002</v>
      </c>
      <c r="P992" s="25">
        <f>IF(ISNUMBER($O992),$O992,ROUND(Lookups!$B$25+Lookups!$B$24*$N992,4))</f>
        <v>0.40910000000000002</v>
      </c>
      <c r="Q992" s="25">
        <f>IF($C992&gt;0,INDEX(Merge_1_2!$L$2:$L$611,$C992),INDEX(Dataset3_Raw!$L$2:$L$391,$E992))</f>
        <v>0.35</v>
      </c>
      <c r="R992" s="25">
        <f>IF($C992&gt;0,INDEX(Merge_1_2!$M$2:$M$611,$C992),INDEX(Dataset3_Raw!$M$2:$M$391,$E992))</f>
        <v>0.29849999999999999</v>
      </c>
      <c r="S992" s="23">
        <f>IF($C992&gt;0,INDEX(Merge_1_2!$N$2:$N$611,$C992),INDEX(Dataset3_Raw!$N$2:$N$391,$E992))</f>
        <v>5</v>
      </c>
      <c r="T992" s="23">
        <f>IF($C992&gt;0,INDEX(Merge_1_2!$O$2:$O$611,$C992),INDEX(Dataset3_Raw!$O$2:$O$391,$E992))</f>
        <v>31</v>
      </c>
      <c r="U992" s="23">
        <f>IF($C992&gt;0,INDEX(Merge_1_2!$P$2:$P$611,$C992),INDEX(Dataset3_Raw!$P$2:$P$391,$E992))</f>
        <v>36</v>
      </c>
      <c r="V992" s="23" t="str">
        <f t="shared" si="91"/>
        <v>Weekend</v>
      </c>
      <c r="W992" s="23" t="str">
        <f>VLOOKUP($M992,Lookups!$A$5:$B$8,2,FALSE())</f>
        <v>Clear / Partly cloudy</v>
      </c>
      <c r="X992" s="23" t="str">
        <f>VLOOKUP($G992,Lookups!$D$5:$E$8,2,FALSE())</f>
        <v>Winter</v>
      </c>
      <c r="Y992" s="23" t="str">
        <f>VLOOKUP($L992,Lookups!$G$5:$H$11,2,FALSE())</f>
        <v>Sunday</v>
      </c>
      <c r="Z992" s="23" t="str">
        <f>IF($J992&lt;Lookups!$B$26,"Night",IF($J992&lt;Lookups!$B$27,"Morning",IF($J992&lt;Lookups!$B$28,"Afternoon","Evening")))</f>
        <v>Evening</v>
      </c>
      <c r="AA992" s="26">
        <f>ROUND($N992*(Lookups!$B$16-Lookups!$B$15)+Lookups!$B$15,1)</f>
        <v>10.8</v>
      </c>
      <c r="AB992" s="26">
        <f>ROUND($P992*(Lookups!$B$18-Lookups!$B$17)+Lookups!$B$17,1)</f>
        <v>11</v>
      </c>
      <c r="AC992" s="23">
        <f t="shared" si="92"/>
        <v>35</v>
      </c>
      <c r="AD992" s="23">
        <f>ROUND($R992*Lookups!$B$19,1)</f>
        <v>20</v>
      </c>
      <c r="AE992" s="27">
        <f t="shared" si="93"/>
        <v>0.86111111111111116</v>
      </c>
      <c r="AF992" s="23" t="str">
        <f>IF($U992&gt;=Lookups!$B$23,"High",IF($U992&gt;=Lookups!$B$22,"Medium","Low"))</f>
        <v>Medium</v>
      </c>
      <c r="AG992" s="23">
        <f>ROUND(IF($V992="Weekday",IF(INDEX(Hourly_Analysis!$D$5:$D$28,$J992+1)&gt;0,($U992-INDEX(Hourly_Analysis!$C$5:$C$28,$J992+1))/INDEX(Hourly_Analysis!$D$5:$D$28,$J992+1),0),IF(INDEX(Hourly_Analysis!$G$5:$G$28,$J992+1)&gt;0,($U992-INDEX(Hourly_Analysis!$F$5:$F$28,$J992+1))/INDEX(Hourly_Analysis!$G$5:$G$28,$J992+1),0)),2)</f>
        <v>0.46</v>
      </c>
      <c r="AH992" s="23" t="str">
        <f>IF(ABS($AG992)&gt;Lookups!$B$20,IF($AG992&gt;0,"High anomaly","Low anomaly"),"")</f>
        <v/>
      </c>
      <c r="AI992" s="23" t="str">
        <f t="shared" si="94"/>
        <v>OK</v>
      </c>
      <c r="AJ992" s="23" t="str">
        <f t="shared" si="95"/>
        <v>No</v>
      </c>
    </row>
    <row r="993" spans="1:36" x14ac:dyDescent="0.35">
      <c r="A993" s="23">
        <v>992</v>
      </c>
      <c r="B993" s="23" t="str">
        <f t="shared" si="90"/>
        <v>Dataset 3</v>
      </c>
      <c r="C993" s="23">
        <f>IFERROR(MATCH($A993,Merge_1_2!$A$2:$A$611,0),0)</f>
        <v>0</v>
      </c>
      <c r="D993" s="23">
        <f>IF($C993&gt;0,INDEX(Merge_1_2!$Q$2:$Q$611,$C993),0)</f>
        <v>0</v>
      </c>
      <c r="E993" s="23">
        <f>IFERROR(MATCH($A993,Dataset3_Raw!$A$2:$A$391,0),0)</f>
        <v>382</v>
      </c>
      <c r="F993" s="24">
        <f>IF($C993&gt;0,INDEX(Merge_1_2!$B$2:$B$611,$C993),DATE(VALUE(RIGHT(INDEX(Dataset3_Raw!$B$2:$B$391,$E993),4)),VALUE(MID(INDEX(Dataset3_Raw!$B$2:$B$391,$E993),4,2)),VALUE(LEFT(INDEX(Dataset3_Raw!$B$2:$B$391,$E993),2))))</f>
        <v>40587</v>
      </c>
      <c r="G993" s="23">
        <f>IF($C993&gt;0,INDEX(Merge_1_2!$C$2:$C$611,$C993),INDEX(Dataset3_Raw!$C$2:$C$391,$E993))</f>
        <v>1</v>
      </c>
      <c r="H993" s="23">
        <f>IF($C993&gt;0,INDEX(Merge_1_2!$D$2:$D$611,$C993),INDEX(Dataset3_Raw!$D$2:$D$391,$E993))</f>
        <v>0</v>
      </c>
      <c r="I993" s="23">
        <f>IF($C993&gt;0,INDEX(Merge_1_2!$E$2:$E$611,$C993),INDEX(Dataset3_Raw!$E$2:$E$391,$E993))</f>
        <v>2</v>
      </c>
      <c r="J993" s="23">
        <f>IF($C993&gt;0,INDEX(Merge_1_2!$F$2:$F$611,$C993),INDEX(Dataset3_Raw!$F$2:$F$391,$E993))</f>
        <v>23</v>
      </c>
      <c r="K993" s="23" t="b">
        <f>IF($C993&gt;0,INDEX(Merge_1_2!$G$2:$G$611,$C993),INDEX(Dataset3_Raw!$G$2:$G$391,$E993))</f>
        <v>0</v>
      </c>
      <c r="L993" s="23">
        <f>IF($C993&gt;0,INDEX(Merge_1_2!$H$2:$H$611,$C993),INDEX(Dataset3_Raw!$H$2:$H$391,$E993))</f>
        <v>0</v>
      </c>
      <c r="M993" s="23">
        <f>IF($C993&gt;0,INDEX(Merge_1_2!$I$2:$I$611,$C993),INDEX(Dataset3_Raw!$I$2:$I$391,$E993))</f>
        <v>1</v>
      </c>
      <c r="N993" s="25">
        <f>IF($C993&gt;0,INDEX(Merge_1_2!$J$2:$J$611,$C993),INDEX(Dataset3_Raw!$J$2:$J$391,$E993))</f>
        <v>0.4</v>
      </c>
      <c r="O993" s="25">
        <f>IF($C993&gt;0,IF(ISNUMBER(INDEX(Merge_1_2!$K$2:$K$611,$C993)),INDEX(Merge_1_2!$K$2:$K$611,$C993),""),INDEX(Dataset3_Raw!$K$2:$K$391,$E993))</f>
        <v>0.40910000000000002</v>
      </c>
      <c r="P993" s="25">
        <f>IF(ISNUMBER($O993),$O993,ROUND(Lookups!$B$25+Lookups!$B$24*$N993,4))</f>
        <v>0.40910000000000002</v>
      </c>
      <c r="Q993" s="25">
        <f>IF($C993&gt;0,INDEX(Merge_1_2!$L$2:$L$611,$C993),INDEX(Dataset3_Raw!$L$2:$L$391,$E993))</f>
        <v>0.35</v>
      </c>
      <c r="R993" s="25">
        <f>IF($C993&gt;0,INDEX(Merge_1_2!$M$2:$M$611,$C993),INDEX(Dataset3_Raw!$M$2:$M$391,$E993))</f>
        <v>0.35820000000000002</v>
      </c>
      <c r="S993" s="23">
        <f>IF($C993&gt;0,INDEX(Merge_1_2!$N$2:$N$611,$C993),INDEX(Dataset3_Raw!$N$2:$N$391,$E993))</f>
        <v>3</v>
      </c>
      <c r="T993" s="23">
        <f>IF($C993&gt;0,INDEX(Merge_1_2!$O$2:$O$611,$C993),INDEX(Dataset3_Raw!$O$2:$O$391,$E993))</f>
        <v>27</v>
      </c>
      <c r="U993" s="23">
        <f>IF($C993&gt;0,INDEX(Merge_1_2!$P$2:$P$611,$C993),INDEX(Dataset3_Raw!$P$2:$P$391,$E993))</f>
        <v>30</v>
      </c>
      <c r="V993" s="23" t="str">
        <f t="shared" si="91"/>
        <v>Weekend</v>
      </c>
      <c r="W993" s="23" t="str">
        <f>VLOOKUP($M993,Lookups!$A$5:$B$8,2,FALSE())</f>
        <v>Clear / Partly cloudy</v>
      </c>
      <c r="X993" s="23" t="str">
        <f>VLOOKUP($G993,Lookups!$D$5:$E$8,2,FALSE())</f>
        <v>Winter</v>
      </c>
      <c r="Y993" s="23" t="str">
        <f>VLOOKUP($L993,Lookups!$G$5:$H$11,2,FALSE())</f>
        <v>Sunday</v>
      </c>
      <c r="Z993" s="23" t="str">
        <f>IF($J993&lt;Lookups!$B$26,"Night",IF($J993&lt;Lookups!$B$27,"Morning",IF($J993&lt;Lookups!$B$28,"Afternoon","Evening")))</f>
        <v>Evening</v>
      </c>
      <c r="AA993" s="26">
        <f>ROUND($N993*(Lookups!$B$16-Lookups!$B$15)+Lookups!$B$15,1)</f>
        <v>10.8</v>
      </c>
      <c r="AB993" s="26">
        <f>ROUND($P993*(Lookups!$B$18-Lookups!$B$17)+Lookups!$B$17,1)</f>
        <v>11</v>
      </c>
      <c r="AC993" s="23">
        <f t="shared" si="92"/>
        <v>35</v>
      </c>
      <c r="AD993" s="23">
        <f>ROUND($R993*Lookups!$B$19,1)</f>
        <v>24</v>
      </c>
      <c r="AE993" s="27">
        <f t="shared" si="93"/>
        <v>0.9</v>
      </c>
      <c r="AF993" s="23" t="str">
        <f>IF($U993&gt;=Lookups!$B$23,"High",IF($U993&gt;=Lookups!$B$22,"Medium","Low"))</f>
        <v>Medium</v>
      </c>
      <c r="AG993" s="23">
        <f>ROUND(IF($V993="Weekday",IF(INDEX(Hourly_Analysis!$D$5:$D$28,$J993+1)&gt;0,($U993-INDEX(Hourly_Analysis!$C$5:$C$28,$J993+1))/INDEX(Hourly_Analysis!$D$5:$D$28,$J993+1),0),IF(INDEX(Hourly_Analysis!$G$5:$G$28,$J993+1)&gt;0,($U993-INDEX(Hourly_Analysis!$F$5:$F$28,$J993+1))/INDEX(Hourly_Analysis!$G$5:$G$28,$J993+1),0)),2)</f>
        <v>0.22</v>
      </c>
      <c r="AH993" s="23" t="str">
        <f>IF(ABS($AG993)&gt;Lookups!$B$20,IF($AG993&gt;0,"High anomaly","Low anomaly"),"")</f>
        <v/>
      </c>
      <c r="AI993" s="23" t="str">
        <f t="shared" si="94"/>
        <v>OK</v>
      </c>
      <c r="AJ993" s="23" t="str">
        <f t="shared" si="95"/>
        <v>No</v>
      </c>
    </row>
    <row r="994" spans="1:36" x14ac:dyDescent="0.35">
      <c r="A994" s="23">
        <v>993</v>
      </c>
      <c r="B994" s="23" t="str">
        <f t="shared" si="90"/>
        <v>Dataset 3</v>
      </c>
      <c r="C994" s="23">
        <f>IFERROR(MATCH($A994,Merge_1_2!$A$2:$A$611,0),0)</f>
        <v>0</v>
      </c>
      <c r="D994" s="23">
        <f>IF($C994&gt;0,INDEX(Merge_1_2!$Q$2:$Q$611,$C994),0)</f>
        <v>0</v>
      </c>
      <c r="E994" s="23">
        <f>IFERROR(MATCH($A994,Dataset3_Raw!$A$2:$A$391,0),0)</f>
        <v>383</v>
      </c>
      <c r="F994" s="24">
        <f>IF($C994&gt;0,INDEX(Merge_1_2!$B$2:$B$611,$C994),DATE(VALUE(RIGHT(INDEX(Dataset3_Raw!$B$2:$B$391,$E994),4)),VALUE(MID(INDEX(Dataset3_Raw!$B$2:$B$391,$E994),4,2)),VALUE(LEFT(INDEX(Dataset3_Raw!$B$2:$B$391,$E994),2))))</f>
        <v>40588</v>
      </c>
      <c r="G994" s="23">
        <f>IF($C994&gt;0,INDEX(Merge_1_2!$C$2:$C$611,$C994),INDEX(Dataset3_Raw!$C$2:$C$391,$E994))</f>
        <v>1</v>
      </c>
      <c r="H994" s="23">
        <f>IF($C994&gt;0,INDEX(Merge_1_2!$D$2:$D$611,$C994),INDEX(Dataset3_Raw!$D$2:$D$391,$E994))</f>
        <v>0</v>
      </c>
      <c r="I994" s="23">
        <f>IF($C994&gt;0,INDEX(Merge_1_2!$E$2:$E$611,$C994),INDEX(Dataset3_Raw!$E$2:$E$391,$E994))</f>
        <v>2</v>
      </c>
      <c r="J994" s="23">
        <f>IF($C994&gt;0,INDEX(Merge_1_2!$F$2:$F$611,$C994),INDEX(Dataset3_Raw!$F$2:$F$391,$E994))</f>
        <v>0</v>
      </c>
      <c r="K994" s="23" t="b">
        <f>IF($C994&gt;0,INDEX(Merge_1_2!$G$2:$G$611,$C994),INDEX(Dataset3_Raw!$G$2:$G$391,$E994))</f>
        <v>0</v>
      </c>
      <c r="L994" s="23">
        <f>IF($C994&gt;0,INDEX(Merge_1_2!$H$2:$H$611,$C994),INDEX(Dataset3_Raw!$H$2:$H$391,$E994))</f>
        <v>1</v>
      </c>
      <c r="M994" s="23">
        <f>IF($C994&gt;0,INDEX(Merge_1_2!$I$2:$I$611,$C994),INDEX(Dataset3_Raw!$I$2:$I$391,$E994))</f>
        <v>1</v>
      </c>
      <c r="N994" s="25">
        <f>IF($C994&gt;0,INDEX(Merge_1_2!$J$2:$J$611,$C994),INDEX(Dataset3_Raw!$J$2:$J$391,$E994))</f>
        <v>0.38</v>
      </c>
      <c r="O994" s="25">
        <f>IF($C994&gt;0,IF(ISNUMBER(INDEX(Merge_1_2!$K$2:$K$611,$C994)),INDEX(Merge_1_2!$K$2:$K$611,$C994),""),INDEX(Dataset3_Raw!$K$2:$K$391,$E994))</f>
        <v>0.39389999999999997</v>
      </c>
      <c r="P994" s="25">
        <f>IF(ISNUMBER($O994),$O994,ROUND(Lookups!$B$25+Lookups!$B$24*$N994,4))</f>
        <v>0.39389999999999997</v>
      </c>
      <c r="Q994" s="25">
        <f>IF($C994&gt;0,INDEX(Merge_1_2!$L$2:$L$611,$C994),INDEX(Dataset3_Raw!$L$2:$L$391,$E994))</f>
        <v>0.37</v>
      </c>
      <c r="R994" s="25">
        <f>IF($C994&gt;0,INDEX(Merge_1_2!$M$2:$M$611,$C994),INDEX(Dataset3_Raw!$M$2:$M$391,$E994))</f>
        <v>0.35820000000000002</v>
      </c>
      <c r="S994" s="23">
        <f>IF($C994&gt;0,INDEX(Merge_1_2!$N$2:$N$611,$C994),INDEX(Dataset3_Raw!$N$2:$N$391,$E994))</f>
        <v>3</v>
      </c>
      <c r="T994" s="23">
        <f>IF($C994&gt;0,INDEX(Merge_1_2!$O$2:$O$611,$C994),INDEX(Dataset3_Raw!$O$2:$O$391,$E994))</f>
        <v>8</v>
      </c>
      <c r="U994" s="23">
        <f>IF($C994&gt;0,INDEX(Merge_1_2!$P$2:$P$611,$C994),INDEX(Dataset3_Raw!$P$2:$P$391,$E994))</f>
        <v>11</v>
      </c>
      <c r="V994" s="23" t="str">
        <f t="shared" si="91"/>
        <v>Weekday</v>
      </c>
      <c r="W994" s="23" t="str">
        <f>VLOOKUP($M994,Lookups!$A$5:$B$8,2,FALSE())</f>
        <v>Clear / Partly cloudy</v>
      </c>
      <c r="X994" s="23" t="str">
        <f>VLOOKUP($G994,Lookups!$D$5:$E$8,2,FALSE())</f>
        <v>Winter</v>
      </c>
      <c r="Y994" s="23" t="str">
        <f>VLOOKUP($L994,Lookups!$G$5:$H$11,2,FALSE())</f>
        <v>Monday</v>
      </c>
      <c r="Z994" s="23" t="str">
        <f>IF($J994&lt;Lookups!$B$26,"Night",IF($J994&lt;Lookups!$B$27,"Morning",IF($J994&lt;Lookups!$B$28,"Afternoon","Evening")))</f>
        <v>Night</v>
      </c>
      <c r="AA994" s="26">
        <f>ROUND($N994*(Lookups!$B$16-Lookups!$B$15)+Lookups!$B$15,1)</f>
        <v>9.9</v>
      </c>
      <c r="AB994" s="26">
        <f>ROUND($P994*(Lookups!$B$18-Lookups!$B$17)+Lookups!$B$17,1)</f>
        <v>10</v>
      </c>
      <c r="AC994" s="23">
        <f t="shared" si="92"/>
        <v>37</v>
      </c>
      <c r="AD994" s="23">
        <f>ROUND($R994*Lookups!$B$19,1)</f>
        <v>24</v>
      </c>
      <c r="AE994" s="27">
        <f t="shared" si="93"/>
        <v>0.72727272727272729</v>
      </c>
      <c r="AF994" s="23" t="str">
        <f>IF($U994&gt;=Lookups!$B$23,"High",IF($U994&gt;=Lookups!$B$22,"Medium","Low"))</f>
        <v>Low</v>
      </c>
      <c r="AG994" s="23">
        <f>ROUND(IF($V994="Weekday",IF(INDEX(Hourly_Analysis!$D$5:$D$28,$J994+1)&gt;0,($U994-INDEX(Hourly_Analysis!$C$5:$C$28,$J994+1))/INDEX(Hourly_Analysis!$D$5:$D$28,$J994+1),0),IF(INDEX(Hourly_Analysis!$G$5:$G$28,$J994+1)&gt;0,($U994-INDEX(Hourly_Analysis!$F$5:$F$28,$J994+1))/INDEX(Hourly_Analysis!$G$5:$G$28,$J994+1),0)),2)</f>
        <v>0.11</v>
      </c>
      <c r="AH994" s="23" t="str">
        <f>IF(ABS($AG994)&gt;Lookups!$B$20,IF($AG994&gt;0,"High anomaly","Low anomaly"),"")</f>
        <v/>
      </c>
      <c r="AI994" s="23" t="str">
        <f t="shared" si="94"/>
        <v>OK</v>
      </c>
      <c r="AJ994" s="23" t="str">
        <f t="shared" si="95"/>
        <v>No</v>
      </c>
    </row>
    <row r="995" spans="1:36" x14ac:dyDescent="0.35">
      <c r="A995" s="23">
        <v>994</v>
      </c>
      <c r="B995" s="23" t="str">
        <f t="shared" si="90"/>
        <v>Dataset 3</v>
      </c>
      <c r="C995" s="23">
        <f>IFERROR(MATCH($A995,Merge_1_2!$A$2:$A$611,0),0)</f>
        <v>0</v>
      </c>
      <c r="D995" s="23">
        <f>IF($C995&gt;0,INDEX(Merge_1_2!$Q$2:$Q$611,$C995),0)</f>
        <v>0</v>
      </c>
      <c r="E995" s="23">
        <f>IFERROR(MATCH($A995,Dataset3_Raw!$A$2:$A$391,0),0)</f>
        <v>384</v>
      </c>
      <c r="F995" s="24">
        <f>IF($C995&gt;0,INDEX(Merge_1_2!$B$2:$B$611,$C995),DATE(VALUE(RIGHT(INDEX(Dataset3_Raw!$B$2:$B$391,$E995),4)),VALUE(MID(INDEX(Dataset3_Raw!$B$2:$B$391,$E995),4,2)),VALUE(LEFT(INDEX(Dataset3_Raw!$B$2:$B$391,$E995),2))))</f>
        <v>40588</v>
      </c>
      <c r="G995" s="23">
        <f>IF($C995&gt;0,INDEX(Merge_1_2!$C$2:$C$611,$C995),INDEX(Dataset3_Raw!$C$2:$C$391,$E995))</f>
        <v>1</v>
      </c>
      <c r="H995" s="23">
        <f>IF($C995&gt;0,INDEX(Merge_1_2!$D$2:$D$611,$C995),INDEX(Dataset3_Raw!$D$2:$D$391,$E995))</f>
        <v>0</v>
      </c>
      <c r="I995" s="23">
        <f>IF($C995&gt;0,INDEX(Merge_1_2!$E$2:$E$611,$C995),INDEX(Dataset3_Raw!$E$2:$E$391,$E995))</f>
        <v>2</v>
      </c>
      <c r="J995" s="23">
        <f>IF($C995&gt;0,INDEX(Merge_1_2!$F$2:$F$611,$C995),INDEX(Dataset3_Raw!$F$2:$F$391,$E995))</f>
        <v>1</v>
      </c>
      <c r="K995" s="23" t="b">
        <f>IF($C995&gt;0,INDEX(Merge_1_2!$G$2:$G$611,$C995),INDEX(Dataset3_Raw!$G$2:$G$391,$E995))</f>
        <v>0</v>
      </c>
      <c r="L995" s="23">
        <f>IF($C995&gt;0,INDEX(Merge_1_2!$H$2:$H$611,$C995),INDEX(Dataset3_Raw!$H$2:$H$391,$E995))</f>
        <v>1</v>
      </c>
      <c r="M995" s="23">
        <f>IF($C995&gt;0,INDEX(Merge_1_2!$I$2:$I$611,$C995),INDEX(Dataset3_Raw!$I$2:$I$391,$E995))</f>
        <v>1</v>
      </c>
      <c r="N995" s="25">
        <f>IF($C995&gt;0,INDEX(Merge_1_2!$J$2:$J$611,$C995),INDEX(Dataset3_Raw!$J$2:$J$391,$E995))</f>
        <v>0.38</v>
      </c>
      <c r="O995" s="25">
        <f>IF($C995&gt;0,IF(ISNUMBER(INDEX(Merge_1_2!$K$2:$K$611,$C995)),INDEX(Merge_1_2!$K$2:$K$611,$C995),""),INDEX(Dataset3_Raw!$K$2:$K$391,$E995))</f>
        <v>0.39389999999999997</v>
      </c>
      <c r="P995" s="25">
        <f>IF(ISNUMBER($O995),$O995,ROUND(Lookups!$B$25+Lookups!$B$24*$N995,4))</f>
        <v>0.39389999999999997</v>
      </c>
      <c r="Q995" s="25">
        <f>IF($C995&gt;0,INDEX(Merge_1_2!$L$2:$L$611,$C995),INDEX(Dataset3_Raw!$L$2:$L$391,$E995))</f>
        <v>0.37</v>
      </c>
      <c r="R995" s="25">
        <f>IF($C995&gt;0,INDEX(Merge_1_2!$M$2:$M$611,$C995),INDEX(Dataset3_Raw!$M$2:$M$391,$E995))</f>
        <v>0.35820000000000002</v>
      </c>
      <c r="S995" s="23">
        <f>IF($C995&gt;0,INDEX(Merge_1_2!$N$2:$N$611,$C995),INDEX(Dataset3_Raw!$N$2:$N$391,$E995))</f>
        <v>1</v>
      </c>
      <c r="T995" s="23">
        <f>IF($C995&gt;0,INDEX(Merge_1_2!$O$2:$O$611,$C995),INDEX(Dataset3_Raw!$O$2:$O$391,$E995))</f>
        <v>6</v>
      </c>
      <c r="U995" s="23">
        <f>IF($C995&gt;0,INDEX(Merge_1_2!$P$2:$P$611,$C995),INDEX(Dataset3_Raw!$P$2:$P$391,$E995))</f>
        <v>7</v>
      </c>
      <c r="V995" s="23" t="str">
        <f t="shared" si="91"/>
        <v>Weekday</v>
      </c>
      <c r="W995" s="23" t="str">
        <f>VLOOKUP($M995,Lookups!$A$5:$B$8,2,FALSE())</f>
        <v>Clear / Partly cloudy</v>
      </c>
      <c r="X995" s="23" t="str">
        <f>VLOOKUP($G995,Lookups!$D$5:$E$8,2,FALSE())</f>
        <v>Winter</v>
      </c>
      <c r="Y995" s="23" t="str">
        <f>VLOOKUP($L995,Lookups!$G$5:$H$11,2,FALSE())</f>
        <v>Monday</v>
      </c>
      <c r="Z995" s="23" t="str">
        <f>IF($J995&lt;Lookups!$B$26,"Night",IF($J995&lt;Lookups!$B$27,"Morning",IF($J995&lt;Lookups!$B$28,"Afternoon","Evening")))</f>
        <v>Night</v>
      </c>
      <c r="AA995" s="26">
        <f>ROUND($N995*(Lookups!$B$16-Lookups!$B$15)+Lookups!$B$15,1)</f>
        <v>9.9</v>
      </c>
      <c r="AB995" s="26">
        <f>ROUND($P995*(Lookups!$B$18-Lookups!$B$17)+Lookups!$B$17,1)</f>
        <v>10</v>
      </c>
      <c r="AC995" s="23">
        <f t="shared" si="92"/>
        <v>37</v>
      </c>
      <c r="AD995" s="23">
        <f>ROUND($R995*Lookups!$B$19,1)</f>
        <v>24</v>
      </c>
      <c r="AE995" s="27">
        <f t="shared" si="93"/>
        <v>0.8571428571428571</v>
      </c>
      <c r="AF995" s="23" t="str">
        <f>IF($U995&gt;=Lookups!$B$23,"High",IF($U995&gt;=Lookups!$B$22,"Medium","Low"))</f>
        <v>Low</v>
      </c>
      <c r="AG995" s="23">
        <f>ROUND(IF($V995="Weekday",IF(INDEX(Hourly_Analysis!$D$5:$D$28,$J995+1)&gt;0,($U995-INDEX(Hourly_Analysis!$C$5:$C$28,$J995+1))/INDEX(Hourly_Analysis!$D$5:$D$28,$J995+1),0),IF(INDEX(Hourly_Analysis!$G$5:$G$28,$J995+1)&gt;0,($U995-INDEX(Hourly_Analysis!$F$5:$F$28,$J995+1))/INDEX(Hourly_Analysis!$G$5:$G$28,$J995+1),0)),2)</f>
        <v>1.1299999999999999</v>
      </c>
      <c r="AH995" s="23" t="str">
        <f>IF(ABS($AG995)&gt;Lookups!$B$20,IF($AG995&gt;0,"High anomaly","Low anomaly"),"")</f>
        <v/>
      </c>
      <c r="AI995" s="23" t="str">
        <f t="shared" si="94"/>
        <v>OK</v>
      </c>
      <c r="AJ995" s="23" t="str">
        <f t="shared" si="95"/>
        <v>No</v>
      </c>
    </row>
    <row r="996" spans="1:36" x14ac:dyDescent="0.35">
      <c r="A996" s="23">
        <v>995</v>
      </c>
      <c r="B996" s="23" t="str">
        <f t="shared" si="90"/>
        <v>Dataset 3</v>
      </c>
      <c r="C996" s="23">
        <f>IFERROR(MATCH($A996,Merge_1_2!$A$2:$A$611,0),0)</f>
        <v>0</v>
      </c>
      <c r="D996" s="23">
        <f>IF($C996&gt;0,INDEX(Merge_1_2!$Q$2:$Q$611,$C996),0)</f>
        <v>0</v>
      </c>
      <c r="E996" s="23">
        <f>IFERROR(MATCH($A996,Dataset3_Raw!$A$2:$A$391,0),0)</f>
        <v>385</v>
      </c>
      <c r="F996" s="24">
        <f>IF($C996&gt;0,INDEX(Merge_1_2!$B$2:$B$611,$C996),DATE(VALUE(RIGHT(INDEX(Dataset3_Raw!$B$2:$B$391,$E996),4)),VALUE(MID(INDEX(Dataset3_Raw!$B$2:$B$391,$E996),4,2)),VALUE(LEFT(INDEX(Dataset3_Raw!$B$2:$B$391,$E996),2))))</f>
        <v>40588</v>
      </c>
      <c r="G996" s="23">
        <f>IF($C996&gt;0,INDEX(Merge_1_2!$C$2:$C$611,$C996),INDEX(Dataset3_Raw!$C$2:$C$391,$E996))</f>
        <v>1</v>
      </c>
      <c r="H996" s="23">
        <f>IF($C996&gt;0,INDEX(Merge_1_2!$D$2:$D$611,$C996),INDEX(Dataset3_Raw!$D$2:$D$391,$E996))</f>
        <v>0</v>
      </c>
      <c r="I996" s="23">
        <f>IF($C996&gt;0,INDEX(Merge_1_2!$E$2:$E$611,$C996),INDEX(Dataset3_Raw!$E$2:$E$391,$E996))</f>
        <v>2</v>
      </c>
      <c r="J996" s="23">
        <f>IF($C996&gt;0,INDEX(Merge_1_2!$F$2:$F$611,$C996),INDEX(Dataset3_Raw!$F$2:$F$391,$E996))</f>
        <v>2</v>
      </c>
      <c r="K996" s="23" t="b">
        <f>IF($C996&gt;0,INDEX(Merge_1_2!$G$2:$G$611,$C996),INDEX(Dataset3_Raw!$G$2:$G$391,$E996))</f>
        <v>0</v>
      </c>
      <c r="L996" s="23">
        <f>IF($C996&gt;0,INDEX(Merge_1_2!$H$2:$H$611,$C996),INDEX(Dataset3_Raw!$H$2:$H$391,$E996))</f>
        <v>1</v>
      </c>
      <c r="M996" s="23">
        <f>IF($C996&gt;0,INDEX(Merge_1_2!$I$2:$I$611,$C996),INDEX(Dataset3_Raw!$I$2:$I$391,$E996))</f>
        <v>1</v>
      </c>
      <c r="N996" s="25">
        <f>IF($C996&gt;0,INDEX(Merge_1_2!$J$2:$J$611,$C996),INDEX(Dataset3_Raw!$J$2:$J$391,$E996))</f>
        <v>0.36</v>
      </c>
      <c r="O996" s="25">
        <f>IF($C996&gt;0,IF(ISNUMBER(INDEX(Merge_1_2!$K$2:$K$611,$C996)),INDEX(Merge_1_2!$K$2:$K$611,$C996),""),INDEX(Dataset3_Raw!$K$2:$K$391,$E996))</f>
        <v>0.33329999999999999</v>
      </c>
      <c r="P996" s="25">
        <f>IF(ISNUMBER($O996),$O996,ROUND(Lookups!$B$25+Lookups!$B$24*$N996,4))</f>
        <v>0.33329999999999999</v>
      </c>
      <c r="Q996" s="25">
        <f>IF($C996&gt;0,INDEX(Merge_1_2!$L$2:$L$611,$C996),INDEX(Dataset3_Raw!$L$2:$L$391,$E996))</f>
        <v>0.4</v>
      </c>
      <c r="R996" s="25">
        <f>IF($C996&gt;0,INDEX(Merge_1_2!$M$2:$M$611,$C996),INDEX(Dataset3_Raw!$M$2:$M$391,$E996))</f>
        <v>0.29849999999999999</v>
      </c>
      <c r="S996" s="23">
        <f>IF($C996&gt;0,INDEX(Merge_1_2!$N$2:$N$611,$C996),INDEX(Dataset3_Raw!$N$2:$N$391,$E996))</f>
        <v>0</v>
      </c>
      <c r="T996" s="23">
        <f>IF($C996&gt;0,INDEX(Merge_1_2!$O$2:$O$611,$C996),INDEX(Dataset3_Raw!$O$2:$O$391,$E996))</f>
        <v>2</v>
      </c>
      <c r="U996" s="23">
        <f>IF($C996&gt;0,INDEX(Merge_1_2!$P$2:$P$611,$C996),INDEX(Dataset3_Raw!$P$2:$P$391,$E996))</f>
        <v>2</v>
      </c>
      <c r="V996" s="23" t="str">
        <f t="shared" si="91"/>
        <v>Weekday</v>
      </c>
      <c r="W996" s="23" t="str">
        <f>VLOOKUP($M996,Lookups!$A$5:$B$8,2,FALSE())</f>
        <v>Clear / Partly cloudy</v>
      </c>
      <c r="X996" s="23" t="str">
        <f>VLOOKUP($G996,Lookups!$D$5:$E$8,2,FALSE())</f>
        <v>Winter</v>
      </c>
      <c r="Y996" s="23" t="str">
        <f>VLOOKUP($L996,Lookups!$G$5:$H$11,2,FALSE())</f>
        <v>Monday</v>
      </c>
      <c r="Z996" s="23" t="str">
        <f>IF($J996&lt;Lookups!$B$26,"Night",IF($J996&lt;Lookups!$B$27,"Morning",IF($J996&lt;Lookups!$B$28,"Afternoon","Evening")))</f>
        <v>Night</v>
      </c>
      <c r="AA996" s="26">
        <f>ROUND($N996*(Lookups!$B$16-Lookups!$B$15)+Lookups!$B$15,1)</f>
        <v>8.9</v>
      </c>
      <c r="AB996" s="26">
        <f>ROUND($P996*(Lookups!$B$18-Lookups!$B$17)+Lookups!$B$17,1)</f>
        <v>6</v>
      </c>
      <c r="AC996" s="23">
        <f t="shared" si="92"/>
        <v>40</v>
      </c>
      <c r="AD996" s="23">
        <f>ROUND($R996*Lookups!$B$19,1)</f>
        <v>20</v>
      </c>
      <c r="AE996" s="27">
        <f t="shared" si="93"/>
        <v>1</v>
      </c>
      <c r="AF996" s="23" t="str">
        <f>IF($U996&gt;=Lookups!$B$23,"High",IF($U996&gt;=Lookups!$B$22,"Medium","Low"))</f>
        <v>Low</v>
      </c>
      <c r="AG996" s="23">
        <f>ROUND(IF($V996="Weekday",IF(INDEX(Hourly_Analysis!$D$5:$D$28,$J996+1)&gt;0,($U996-INDEX(Hourly_Analysis!$C$5:$C$28,$J996+1))/INDEX(Hourly_Analysis!$D$5:$D$28,$J996+1),0),IF(INDEX(Hourly_Analysis!$G$5:$G$28,$J996+1)&gt;0,($U996-INDEX(Hourly_Analysis!$F$5:$F$28,$J996+1))/INDEX(Hourly_Analysis!$G$5:$G$28,$J996+1),0)),2)</f>
        <v>-0.24</v>
      </c>
      <c r="AH996" s="23" t="str">
        <f>IF(ABS($AG996)&gt;Lookups!$B$20,IF($AG996&gt;0,"High anomaly","Low anomaly"),"")</f>
        <v/>
      </c>
      <c r="AI996" s="23" t="str">
        <f t="shared" si="94"/>
        <v>OK</v>
      </c>
      <c r="AJ996" s="23" t="str">
        <f t="shared" si="95"/>
        <v>No</v>
      </c>
    </row>
    <row r="997" spans="1:36" x14ac:dyDescent="0.35">
      <c r="A997" s="23">
        <v>996</v>
      </c>
      <c r="B997" s="23" t="str">
        <f t="shared" si="90"/>
        <v>Dataset 3</v>
      </c>
      <c r="C997" s="23">
        <f>IFERROR(MATCH($A997,Merge_1_2!$A$2:$A$611,0),0)</f>
        <v>0</v>
      </c>
      <c r="D997" s="23">
        <f>IF($C997&gt;0,INDEX(Merge_1_2!$Q$2:$Q$611,$C997),0)</f>
        <v>0</v>
      </c>
      <c r="E997" s="23">
        <f>IFERROR(MATCH($A997,Dataset3_Raw!$A$2:$A$391,0),0)</f>
        <v>386</v>
      </c>
      <c r="F997" s="24">
        <f>IF($C997&gt;0,INDEX(Merge_1_2!$B$2:$B$611,$C997),DATE(VALUE(RIGHT(INDEX(Dataset3_Raw!$B$2:$B$391,$E997),4)),VALUE(MID(INDEX(Dataset3_Raw!$B$2:$B$391,$E997),4,2)),VALUE(LEFT(INDEX(Dataset3_Raw!$B$2:$B$391,$E997),2))))</f>
        <v>40588</v>
      </c>
      <c r="G997" s="23">
        <f>IF($C997&gt;0,INDEX(Merge_1_2!$C$2:$C$611,$C997),INDEX(Dataset3_Raw!$C$2:$C$391,$E997))</f>
        <v>1</v>
      </c>
      <c r="H997" s="23">
        <f>IF($C997&gt;0,INDEX(Merge_1_2!$D$2:$D$611,$C997),INDEX(Dataset3_Raw!$D$2:$D$391,$E997))</f>
        <v>0</v>
      </c>
      <c r="I997" s="23">
        <f>IF($C997&gt;0,INDEX(Merge_1_2!$E$2:$E$611,$C997),INDEX(Dataset3_Raw!$E$2:$E$391,$E997))</f>
        <v>2</v>
      </c>
      <c r="J997" s="23">
        <f>IF($C997&gt;0,INDEX(Merge_1_2!$F$2:$F$611,$C997),INDEX(Dataset3_Raw!$F$2:$F$391,$E997))</f>
        <v>3</v>
      </c>
      <c r="K997" s="23" t="b">
        <f>IF($C997&gt;0,INDEX(Merge_1_2!$G$2:$G$611,$C997),INDEX(Dataset3_Raw!$G$2:$G$391,$E997))</f>
        <v>0</v>
      </c>
      <c r="L997" s="23">
        <f>IF($C997&gt;0,INDEX(Merge_1_2!$H$2:$H$611,$C997),INDEX(Dataset3_Raw!$H$2:$H$391,$E997))</f>
        <v>1</v>
      </c>
      <c r="M997" s="23">
        <f>IF($C997&gt;0,INDEX(Merge_1_2!$I$2:$I$611,$C997),INDEX(Dataset3_Raw!$I$2:$I$391,$E997))</f>
        <v>1</v>
      </c>
      <c r="N997" s="25">
        <f>IF($C997&gt;0,INDEX(Merge_1_2!$J$2:$J$611,$C997),INDEX(Dataset3_Raw!$J$2:$J$391,$E997))</f>
        <v>0.34</v>
      </c>
      <c r="O997" s="25">
        <f>IF($C997&gt;0,IF(ISNUMBER(INDEX(Merge_1_2!$K$2:$K$611,$C997)),INDEX(Merge_1_2!$K$2:$K$611,$C997),""),INDEX(Dataset3_Raw!$K$2:$K$391,$E997))</f>
        <v>0.31819999999999998</v>
      </c>
      <c r="P997" s="25">
        <f>IF(ISNUMBER($O997),$O997,ROUND(Lookups!$B$25+Lookups!$B$24*$N997,4))</f>
        <v>0.31819999999999998</v>
      </c>
      <c r="Q997" s="25">
        <f>IF($C997&gt;0,INDEX(Merge_1_2!$L$2:$L$611,$C997),INDEX(Dataset3_Raw!$L$2:$L$391,$E997))</f>
        <v>0.46</v>
      </c>
      <c r="R997" s="25">
        <f>IF($C997&gt;0,INDEX(Merge_1_2!$M$2:$M$611,$C997),INDEX(Dataset3_Raw!$M$2:$M$391,$E997))</f>
        <v>0.22389999999999999</v>
      </c>
      <c r="S997" s="23">
        <f>IF($C997&gt;0,INDEX(Merge_1_2!$N$2:$N$611,$C997),INDEX(Dataset3_Raw!$N$2:$N$391,$E997))</f>
        <v>1</v>
      </c>
      <c r="T997" s="23">
        <f>IF($C997&gt;0,INDEX(Merge_1_2!$O$2:$O$611,$C997),INDEX(Dataset3_Raw!$O$2:$O$391,$E997))</f>
        <v>1</v>
      </c>
      <c r="U997" s="23">
        <f>IF($C997&gt;0,INDEX(Merge_1_2!$P$2:$P$611,$C997),INDEX(Dataset3_Raw!$P$2:$P$391,$E997))</f>
        <v>2</v>
      </c>
      <c r="V997" s="23" t="str">
        <f t="shared" si="91"/>
        <v>Weekday</v>
      </c>
      <c r="W997" s="23" t="str">
        <f>VLOOKUP($M997,Lookups!$A$5:$B$8,2,FALSE())</f>
        <v>Clear / Partly cloudy</v>
      </c>
      <c r="X997" s="23" t="str">
        <f>VLOOKUP($G997,Lookups!$D$5:$E$8,2,FALSE())</f>
        <v>Winter</v>
      </c>
      <c r="Y997" s="23" t="str">
        <f>VLOOKUP($L997,Lookups!$G$5:$H$11,2,FALSE())</f>
        <v>Monday</v>
      </c>
      <c r="Z997" s="23" t="str">
        <f>IF($J997&lt;Lookups!$B$26,"Night",IF($J997&lt;Lookups!$B$27,"Morning",IF($J997&lt;Lookups!$B$28,"Afternoon","Evening")))</f>
        <v>Night</v>
      </c>
      <c r="AA997" s="26">
        <f>ROUND($N997*(Lookups!$B$16-Lookups!$B$15)+Lookups!$B$15,1)</f>
        <v>8</v>
      </c>
      <c r="AB997" s="26">
        <f>ROUND($P997*(Lookups!$B$18-Lookups!$B$17)+Lookups!$B$17,1)</f>
        <v>5</v>
      </c>
      <c r="AC997" s="23">
        <f t="shared" si="92"/>
        <v>46</v>
      </c>
      <c r="AD997" s="23">
        <f>ROUND($R997*Lookups!$B$19,1)</f>
        <v>15</v>
      </c>
      <c r="AE997" s="27">
        <f t="shared" si="93"/>
        <v>0.5</v>
      </c>
      <c r="AF997" s="23" t="str">
        <f>IF($U997&gt;=Lookups!$B$23,"High",IF($U997&gt;=Lookups!$B$22,"Medium","Low"))</f>
        <v>Low</v>
      </c>
      <c r="AG997" s="23">
        <f>ROUND(IF($V997="Weekday",IF(INDEX(Hourly_Analysis!$D$5:$D$28,$J997+1)&gt;0,($U997-INDEX(Hourly_Analysis!$C$5:$C$28,$J997+1))/INDEX(Hourly_Analysis!$D$5:$D$28,$J997+1),0),IF(INDEX(Hourly_Analysis!$G$5:$G$28,$J997+1)&gt;0,($U997-INDEX(Hourly_Analysis!$F$5:$F$28,$J997+1))/INDEX(Hourly_Analysis!$G$5:$G$28,$J997+1),0)),2)</f>
        <v>1.01</v>
      </c>
      <c r="AH997" s="23" t="str">
        <f>IF(ABS($AG997)&gt;Lookups!$B$20,IF($AG997&gt;0,"High anomaly","Low anomaly"),"")</f>
        <v/>
      </c>
      <c r="AI997" s="23" t="str">
        <f t="shared" si="94"/>
        <v>OK</v>
      </c>
      <c r="AJ997" s="23" t="str">
        <f t="shared" si="95"/>
        <v>No</v>
      </c>
    </row>
    <row r="998" spans="1:36" x14ac:dyDescent="0.35">
      <c r="A998" s="23">
        <v>997</v>
      </c>
      <c r="B998" s="23" t="str">
        <f t="shared" si="90"/>
        <v>Dataset 3</v>
      </c>
      <c r="C998" s="23">
        <f>IFERROR(MATCH($A998,Merge_1_2!$A$2:$A$611,0),0)</f>
        <v>0</v>
      </c>
      <c r="D998" s="23">
        <f>IF($C998&gt;0,INDEX(Merge_1_2!$Q$2:$Q$611,$C998),0)</f>
        <v>0</v>
      </c>
      <c r="E998" s="23">
        <f>IFERROR(MATCH($A998,Dataset3_Raw!$A$2:$A$391,0),0)</f>
        <v>387</v>
      </c>
      <c r="F998" s="24">
        <f>IF($C998&gt;0,INDEX(Merge_1_2!$B$2:$B$611,$C998),DATE(VALUE(RIGHT(INDEX(Dataset3_Raw!$B$2:$B$391,$E998),4)),VALUE(MID(INDEX(Dataset3_Raw!$B$2:$B$391,$E998),4,2)),VALUE(LEFT(INDEX(Dataset3_Raw!$B$2:$B$391,$E998),2))))</f>
        <v>40588</v>
      </c>
      <c r="G998" s="23">
        <f>IF($C998&gt;0,INDEX(Merge_1_2!$C$2:$C$611,$C998),INDEX(Dataset3_Raw!$C$2:$C$391,$E998))</f>
        <v>1</v>
      </c>
      <c r="H998" s="23">
        <f>IF($C998&gt;0,INDEX(Merge_1_2!$D$2:$D$611,$C998),INDEX(Dataset3_Raw!$D$2:$D$391,$E998))</f>
        <v>0</v>
      </c>
      <c r="I998" s="23">
        <f>IF($C998&gt;0,INDEX(Merge_1_2!$E$2:$E$611,$C998),INDEX(Dataset3_Raw!$E$2:$E$391,$E998))</f>
        <v>2</v>
      </c>
      <c r="J998" s="23">
        <f>IF($C998&gt;0,INDEX(Merge_1_2!$F$2:$F$611,$C998),INDEX(Dataset3_Raw!$F$2:$F$391,$E998))</f>
        <v>4</v>
      </c>
      <c r="K998" s="23" t="b">
        <f>IF($C998&gt;0,INDEX(Merge_1_2!$G$2:$G$611,$C998),INDEX(Dataset3_Raw!$G$2:$G$391,$E998))</f>
        <v>0</v>
      </c>
      <c r="L998" s="23">
        <f>IF($C998&gt;0,INDEX(Merge_1_2!$H$2:$H$611,$C998),INDEX(Dataset3_Raw!$H$2:$H$391,$E998))</f>
        <v>1</v>
      </c>
      <c r="M998" s="23">
        <f>IF($C998&gt;0,INDEX(Merge_1_2!$I$2:$I$611,$C998),INDEX(Dataset3_Raw!$I$2:$I$391,$E998))</f>
        <v>1</v>
      </c>
      <c r="N998" s="25">
        <f>IF($C998&gt;0,INDEX(Merge_1_2!$J$2:$J$611,$C998),INDEX(Dataset3_Raw!$J$2:$J$391,$E998))</f>
        <v>0.32</v>
      </c>
      <c r="O998" s="25">
        <f>IF($C998&gt;0,IF(ISNUMBER(INDEX(Merge_1_2!$K$2:$K$611,$C998)),INDEX(Merge_1_2!$K$2:$K$611,$C998),""),INDEX(Dataset3_Raw!$K$2:$K$391,$E998))</f>
        <v>0.30299999999999999</v>
      </c>
      <c r="P998" s="25">
        <f>IF(ISNUMBER($O998),$O998,ROUND(Lookups!$B$25+Lookups!$B$24*$N998,4))</f>
        <v>0.30299999999999999</v>
      </c>
      <c r="Q998" s="25">
        <f>IF($C998&gt;0,INDEX(Merge_1_2!$L$2:$L$611,$C998),INDEX(Dataset3_Raw!$L$2:$L$391,$E998))</f>
        <v>0.53</v>
      </c>
      <c r="R998" s="25">
        <f>IF($C998&gt;0,INDEX(Merge_1_2!$M$2:$M$611,$C998),INDEX(Dataset3_Raw!$M$2:$M$391,$E998))</f>
        <v>0.28360000000000002</v>
      </c>
      <c r="S998" s="23">
        <f>IF($C998&gt;0,INDEX(Merge_1_2!$N$2:$N$611,$C998),INDEX(Dataset3_Raw!$N$2:$N$391,$E998))</f>
        <v>0</v>
      </c>
      <c r="T998" s="23">
        <f>IF($C998&gt;0,INDEX(Merge_1_2!$O$2:$O$611,$C998),INDEX(Dataset3_Raw!$O$2:$O$391,$E998))</f>
        <v>2</v>
      </c>
      <c r="U998" s="23">
        <f>IF($C998&gt;0,INDEX(Merge_1_2!$P$2:$P$611,$C998),INDEX(Dataset3_Raw!$P$2:$P$391,$E998))</f>
        <v>2</v>
      </c>
      <c r="V998" s="23" t="str">
        <f t="shared" si="91"/>
        <v>Weekday</v>
      </c>
      <c r="W998" s="23" t="str">
        <f>VLOOKUP($M998,Lookups!$A$5:$B$8,2,FALSE())</f>
        <v>Clear / Partly cloudy</v>
      </c>
      <c r="X998" s="23" t="str">
        <f>VLOOKUP($G998,Lookups!$D$5:$E$8,2,FALSE())</f>
        <v>Winter</v>
      </c>
      <c r="Y998" s="23" t="str">
        <f>VLOOKUP($L998,Lookups!$G$5:$H$11,2,FALSE())</f>
        <v>Monday</v>
      </c>
      <c r="Z998" s="23" t="str">
        <f>IF($J998&lt;Lookups!$B$26,"Night",IF($J998&lt;Lookups!$B$27,"Morning",IF($J998&lt;Lookups!$B$28,"Afternoon","Evening")))</f>
        <v>Night</v>
      </c>
      <c r="AA998" s="26">
        <f>ROUND($N998*(Lookups!$B$16-Lookups!$B$15)+Lookups!$B$15,1)</f>
        <v>7</v>
      </c>
      <c r="AB998" s="26">
        <f>ROUND($P998*(Lookups!$B$18-Lookups!$B$17)+Lookups!$B$17,1)</f>
        <v>4</v>
      </c>
      <c r="AC998" s="23">
        <f t="shared" si="92"/>
        <v>53</v>
      </c>
      <c r="AD998" s="23">
        <f>ROUND($R998*Lookups!$B$19,1)</f>
        <v>19</v>
      </c>
      <c r="AE998" s="27">
        <f t="shared" si="93"/>
        <v>1</v>
      </c>
      <c r="AF998" s="23" t="str">
        <f>IF($U998&gt;=Lookups!$B$23,"High",IF($U998&gt;=Lookups!$B$22,"Medium","Low"))</f>
        <v>Low</v>
      </c>
      <c r="AG998" s="23">
        <f>ROUND(IF($V998="Weekday",IF(INDEX(Hourly_Analysis!$D$5:$D$28,$J998+1)&gt;0,($U998-INDEX(Hourly_Analysis!$C$5:$C$28,$J998+1))/INDEX(Hourly_Analysis!$D$5:$D$28,$J998+1),0),IF(INDEX(Hourly_Analysis!$G$5:$G$28,$J998+1)&gt;0,($U998-INDEX(Hourly_Analysis!$F$5:$F$28,$J998+1))/INDEX(Hourly_Analysis!$G$5:$G$28,$J998+1),0)),2)</f>
        <v>0.31</v>
      </c>
      <c r="AH998" s="23" t="str">
        <f>IF(ABS($AG998)&gt;Lookups!$B$20,IF($AG998&gt;0,"High anomaly","Low anomaly"),"")</f>
        <v/>
      </c>
      <c r="AI998" s="23" t="str">
        <f t="shared" si="94"/>
        <v>OK</v>
      </c>
      <c r="AJ998" s="23" t="str">
        <f t="shared" si="95"/>
        <v>No</v>
      </c>
    </row>
    <row r="999" spans="1:36" x14ac:dyDescent="0.35">
      <c r="A999" s="23">
        <v>998</v>
      </c>
      <c r="B999" s="23" t="str">
        <f t="shared" si="90"/>
        <v>Dataset 3</v>
      </c>
      <c r="C999" s="23">
        <f>IFERROR(MATCH($A999,Merge_1_2!$A$2:$A$611,0),0)</f>
        <v>0</v>
      </c>
      <c r="D999" s="23">
        <f>IF($C999&gt;0,INDEX(Merge_1_2!$Q$2:$Q$611,$C999),0)</f>
        <v>0</v>
      </c>
      <c r="E999" s="23">
        <f>IFERROR(MATCH($A999,Dataset3_Raw!$A$2:$A$391,0),0)</f>
        <v>388</v>
      </c>
      <c r="F999" s="24">
        <f>IF($C999&gt;0,INDEX(Merge_1_2!$B$2:$B$611,$C999),DATE(VALUE(RIGHT(INDEX(Dataset3_Raw!$B$2:$B$391,$E999),4)),VALUE(MID(INDEX(Dataset3_Raw!$B$2:$B$391,$E999),4,2)),VALUE(LEFT(INDEX(Dataset3_Raw!$B$2:$B$391,$E999),2))))</f>
        <v>40588</v>
      </c>
      <c r="G999" s="23">
        <f>IF($C999&gt;0,INDEX(Merge_1_2!$C$2:$C$611,$C999),INDEX(Dataset3_Raw!$C$2:$C$391,$E999))</f>
        <v>1</v>
      </c>
      <c r="H999" s="23">
        <f>IF($C999&gt;0,INDEX(Merge_1_2!$D$2:$D$611,$C999),INDEX(Dataset3_Raw!$D$2:$D$391,$E999))</f>
        <v>0</v>
      </c>
      <c r="I999" s="23">
        <f>IF($C999&gt;0,INDEX(Merge_1_2!$E$2:$E$611,$C999),INDEX(Dataset3_Raw!$E$2:$E$391,$E999))</f>
        <v>2</v>
      </c>
      <c r="J999" s="23">
        <f>IF($C999&gt;0,INDEX(Merge_1_2!$F$2:$F$611,$C999),INDEX(Dataset3_Raw!$F$2:$F$391,$E999))</f>
        <v>5</v>
      </c>
      <c r="K999" s="23" t="b">
        <f>IF($C999&gt;0,INDEX(Merge_1_2!$G$2:$G$611,$C999),INDEX(Dataset3_Raw!$G$2:$G$391,$E999))</f>
        <v>0</v>
      </c>
      <c r="L999" s="23">
        <f>IF($C999&gt;0,INDEX(Merge_1_2!$H$2:$H$611,$C999),INDEX(Dataset3_Raw!$H$2:$H$391,$E999))</f>
        <v>1</v>
      </c>
      <c r="M999" s="23">
        <f>IF($C999&gt;0,INDEX(Merge_1_2!$I$2:$I$611,$C999),INDEX(Dataset3_Raw!$I$2:$I$391,$E999))</f>
        <v>1</v>
      </c>
      <c r="N999" s="25">
        <f>IF($C999&gt;0,INDEX(Merge_1_2!$J$2:$J$611,$C999),INDEX(Dataset3_Raw!$J$2:$J$391,$E999))</f>
        <v>0.32</v>
      </c>
      <c r="O999" s="25">
        <f>IF($C999&gt;0,IF(ISNUMBER(INDEX(Merge_1_2!$K$2:$K$611,$C999)),INDEX(Merge_1_2!$K$2:$K$611,$C999),""),INDEX(Dataset3_Raw!$K$2:$K$391,$E999))</f>
        <v>0.30299999999999999</v>
      </c>
      <c r="P999" s="25">
        <f>IF(ISNUMBER($O999),$O999,ROUND(Lookups!$B$25+Lookups!$B$24*$N999,4))</f>
        <v>0.30299999999999999</v>
      </c>
      <c r="Q999" s="25">
        <f>IF($C999&gt;0,INDEX(Merge_1_2!$L$2:$L$611,$C999),INDEX(Dataset3_Raw!$L$2:$L$391,$E999))</f>
        <v>0.53</v>
      </c>
      <c r="R999" s="25">
        <f>IF($C999&gt;0,INDEX(Merge_1_2!$M$2:$M$611,$C999),INDEX(Dataset3_Raw!$M$2:$M$391,$E999))</f>
        <v>0.28360000000000002</v>
      </c>
      <c r="S999" s="23">
        <f>IF($C999&gt;0,INDEX(Merge_1_2!$N$2:$N$611,$C999),INDEX(Dataset3_Raw!$N$2:$N$391,$E999))</f>
        <v>0</v>
      </c>
      <c r="T999" s="23">
        <f>IF($C999&gt;0,INDEX(Merge_1_2!$O$2:$O$611,$C999),INDEX(Dataset3_Raw!$O$2:$O$391,$E999))</f>
        <v>3</v>
      </c>
      <c r="U999" s="23">
        <f>IF($C999&gt;0,INDEX(Merge_1_2!$P$2:$P$611,$C999),INDEX(Dataset3_Raw!$P$2:$P$391,$E999))</f>
        <v>3</v>
      </c>
      <c r="V999" s="23" t="str">
        <f t="shared" si="91"/>
        <v>Weekday</v>
      </c>
      <c r="W999" s="23" t="str">
        <f>VLOOKUP($M999,Lookups!$A$5:$B$8,2,FALSE())</f>
        <v>Clear / Partly cloudy</v>
      </c>
      <c r="X999" s="23" t="str">
        <f>VLOOKUP($G999,Lookups!$D$5:$E$8,2,FALSE())</f>
        <v>Winter</v>
      </c>
      <c r="Y999" s="23" t="str">
        <f>VLOOKUP($L999,Lookups!$G$5:$H$11,2,FALSE())</f>
        <v>Monday</v>
      </c>
      <c r="Z999" s="23" t="str">
        <f>IF($J999&lt;Lookups!$B$26,"Night",IF($J999&lt;Lookups!$B$27,"Morning",IF($J999&lt;Lookups!$B$28,"Afternoon","Evening")))</f>
        <v>Night</v>
      </c>
      <c r="AA999" s="26">
        <f>ROUND($N999*(Lookups!$B$16-Lookups!$B$15)+Lookups!$B$15,1)</f>
        <v>7</v>
      </c>
      <c r="AB999" s="26">
        <f>ROUND($P999*(Lookups!$B$18-Lookups!$B$17)+Lookups!$B$17,1)</f>
        <v>4</v>
      </c>
      <c r="AC999" s="23">
        <f t="shared" si="92"/>
        <v>53</v>
      </c>
      <c r="AD999" s="23">
        <f>ROUND($R999*Lookups!$B$19,1)</f>
        <v>19</v>
      </c>
      <c r="AE999" s="27">
        <f t="shared" si="93"/>
        <v>1</v>
      </c>
      <c r="AF999" s="23" t="str">
        <f>IF($U999&gt;=Lookups!$B$23,"High",IF($U999&gt;=Lookups!$B$22,"Medium","Low"))</f>
        <v>Low</v>
      </c>
      <c r="AG999" s="23">
        <f>ROUND(IF($V999="Weekday",IF(INDEX(Hourly_Analysis!$D$5:$D$28,$J999+1)&gt;0,($U999-INDEX(Hourly_Analysis!$C$5:$C$28,$J999+1))/INDEX(Hourly_Analysis!$D$5:$D$28,$J999+1),0),IF(INDEX(Hourly_Analysis!$G$5:$G$28,$J999+1)&gt;0,($U999-INDEX(Hourly_Analysis!$F$5:$F$28,$J999+1))/INDEX(Hourly_Analysis!$G$5:$G$28,$J999+1),0)),2)</f>
        <v>-0.82</v>
      </c>
      <c r="AH999" s="23" t="str">
        <f>IF(ABS($AG999)&gt;Lookups!$B$20,IF($AG999&gt;0,"High anomaly","Low anomaly"),"")</f>
        <v/>
      </c>
      <c r="AI999" s="23" t="str">
        <f t="shared" si="94"/>
        <v>OK</v>
      </c>
      <c r="AJ999" s="23" t="str">
        <f t="shared" si="95"/>
        <v>No</v>
      </c>
    </row>
    <row r="1000" spans="1:36" x14ac:dyDescent="0.35">
      <c r="A1000" s="23">
        <v>999</v>
      </c>
      <c r="B1000" s="23" t="str">
        <f t="shared" si="90"/>
        <v>Dataset 3</v>
      </c>
      <c r="C1000" s="23">
        <f>IFERROR(MATCH($A1000,Merge_1_2!$A$2:$A$611,0),0)</f>
        <v>0</v>
      </c>
      <c r="D1000" s="23">
        <f>IF($C1000&gt;0,INDEX(Merge_1_2!$Q$2:$Q$611,$C1000),0)</f>
        <v>0</v>
      </c>
      <c r="E1000" s="23">
        <f>IFERROR(MATCH($A1000,Dataset3_Raw!$A$2:$A$391,0),0)</f>
        <v>389</v>
      </c>
      <c r="F1000" s="24">
        <f>IF($C1000&gt;0,INDEX(Merge_1_2!$B$2:$B$611,$C1000),DATE(VALUE(RIGHT(INDEX(Dataset3_Raw!$B$2:$B$391,$E1000),4)),VALUE(MID(INDEX(Dataset3_Raw!$B$2:$B$391,$E1000),4,2)),VALUE(LEFT(INDEX(Dataset3_Raw!$B$2:$B$391,$E1000),2))))</f>
        <v>40588</v>
      </c>
      <c r="G1000" s="23">
        <f>IF($C1000&gt;0,INDEX(Merge_1_2!$C$2:$C$611,$C1000),INDEX(Dataset3_Raw!$C$2:$C$391,$E1000))</f>
        <v>1</v>
      </c>
      <c r="H1000" s="23">
        <f>IF($C1000&gt;0,INDEX(Merge_1_2!$D$2:$D$611,$C1000),INDEX(Dataset3_Raw!$D$2:$D$391,$E1000))</f>
        <v>0</v>
      </c>
      <c r="I1000" s="23">
        <f>IF($C1000&gt;0,INDEX(Merge_1_2!$E$2:$E$611,$C1000),INDEX(Dataset3_Raw!$E$2:$E$391,$E1000))</f>
        <v>2</v>
      </c>
      <c r="J1000" s="23">
        <f>IF($C1000&gt;0,INDEX(Merge_1_2!$F$2:$F$611,$C1000),INDEX(Dataset3_Raw!$F$2:$F$391,$E1000))</f>
        <v>6</v>
      </c>
      <c r="K1000" s="23" t="b">
        <f>IF($C1000&gt;0,INDEX(Merge_1_2!$G$2:$G$611,$C1000),INDEX(Dataset3_Raw!$G$2:$G$391,$E1000))</f>
        <v>0</v>
      </c>
      <c r="L1000" s="23">
        <f>IF($C1000&gt;0,INDEX(Merge_1_2!$H$2:$H$611,$C1000),INDEX(Dataset3_Raw!$H$2:$H$391,$E1000))</f>
        <v>1</v>
      </c>
      <c r="M1000" s="23">
        <f>IF($C1000&gt;0,INDEX(Merge_1_2!$I$2:$I$611,$C1000),INDEX(Dataset3_Raw!$I$2:$I$391,$E1000))</f>
        <v>1</v>
      </c>
      <c r="N1000" s="25">
        <f>IF($C1000&gt;0,INDEX(Merge_1_2!$J$2:$J$611,$C1000),INDEX(Dataset3_Raw!$J$2:$J$391,$E1000))</f>
        <v>0.34</v>
      </c>
      <c r="O1000" s="25">
        <f>IF($C1000&gt;0,IF(ISNUMBER(INDEX(Merge_1_2!$K$2:$K$611,$C1000)),INDEX(Merge_1_2!$K$2:$K$611,$C1000),""),INDEX(Dataset3_Raw!$K$2:$K$391,$E1000))</f>
        <v>0.30299999999999999</v>
      </c>
      <c r="P1000" s="25">
        <f>IF(ISNUMBER($O1000),$O1000,ROUND(Lookups!$B$25+Lookups!$B$24*$N1000,4))</f>
        <v>0.30299999999999999</v>
      </c>
      <c r="Q1000" s="25">
        <f>IF($C1000&gt;0,INDEX(Merge_1_2!$L$2:$L$611,$C1000),INDEX(Dataset3_Raw!$L$2:$L$391,$E1000))</f>
        <v>0.46</v>
      </c>
      <c r="R1000" s="25">
        <f>IF($C1000&gt;0,INDEX(Merge_1_2!$M$2:$M$611,$C1000),INDEX(Dataset3_Raw!$M$2:$M$391,$E1000))</f>
        <v>0.29849999999999999</v>
      </c>
      <c r="S1000" s="23">
        <f>IF($C1000&gt;0,INDEX(Merge_1_2!$N$2:$N$611,$C1000),INDEX(Dataset3_Raw!$N$2:$N$391,$E1000))</f>
        <v>1</v>
      </c>
      <c r="T1000" s="23">
        <f>IF($C1000&gt;0,INDEX(Merge_1_2!$O$2:$O$611,$C1000),INDEX(Dataset3_Raw!$O$2:$O$391,$E1000))</f>
        <v>25</v>
      </c>
      <c r="U1000" s="23">
        <f>IF($C1000&gt;0,INDEX(Merge_1_2!$P$2:$P$611,$C1000),INDEX(Dataset3_Raw!$P$2:$P$391,$E1000))</f>
        <v>26</v>
      </c>
      <c r="V1000" s="23" t="str">
        <f t="shared" si="91"/>
        <v>Weekday</v>
      </c>
      <c r="W1000" s="23" t="str">
        <f>VLOOKUP($M1000,Lookups!$A$5:$B$8,2,FALSE())</f>
        <v>Clear / Partly cloudy</v>
      </c>
      <c r="X1000" s="23" t="str">
        <f>VLOOKUP($G1000,Lookups!$D$5:$E$8,2,FALSE())</f>
        <v>Winter</v>
      </c>
      <c r="Y1000" s="23" t="str">
        <f>VLOOKUP($L1000,Lookups!$G$5:$H$11,2,FALSE())</f>
        <v>Monday</v>
      </c>
      <c r="Z1000" s="23" t="str">
        <f>IF($J1000&lt;Lookups!$B$26,"Night",IF($J1000&lt;Lookups!$B$27,"Morning",IF($J1000&lt;Lookups!$B$28,"Afternoon","Evening")))</f>
        <v>Morning</v>
      </c>
      <c r="AA1000" s="26">
        <f>ROUND($N1000*(Lookups!$B$16-Lookups!$B$15)+Lookups!$B$15,1)</f>
        <v>8</v>
      </c>
      <c r="AB1000" s="26">
        <f>ROUND($P1000*(Lookups!$B$18-Lookups!$B$17)+Lookups!$B$17,1)</f>
        <v>4</v>
      </c>
      <c r="AC1000" s="23">
        <f t="shared" si="92"/>
        <v>46</v>
      </c>
      <c r="AD1000" s="23">
        <f>ROUND($R1000*Lookups!$B$19,1)</f>
        <v>20</v>
      </c>
      <c r="AE1000" s="27">
        <f t="shared" si="93"/>
        <v>0.96153846153846156</v>
      </c>
      <c r="AF1000" s="23" t="str">
        <f>IF($U1000&gt;=Lookups!$B$23,"High",IF($U1000&gt;=Lookups!$B$22,"Medium","Low"))</f>
        <v>Medium</v>
      </c>
      <c r="AG1000" s="23">
        <f>ROUND(IF($V1000="Weekday",IF(INDEX(Hourly_Analysis!$D$5:$D$28,$J1000+1)&gt;0,($U1000-INDEX(Hourly_Analysis!$C$5:$C$28,$J1000+1))/INDEX(Hourly_Analysis!$D$5:$D$28,$J1000+1),0),IF(INDEX(Hourly_Analysis!$G$5:$G$28,$J1000+1)&gt;0,($U1000-INDEX(Hourly_Analysis!$F$5:$F$28,$J1000+1))/INDEX(Hourly_Analysis!$G$5:$G$28,$J1000+1),0)),2)</f>
        <v>-0.25</v>
      </c>
      <c r="AH1000" s="23" t="str">
        <f>IF(ABS($AG1000)&gt;Lookups!$B$20,IF($AG1000&gt;0,"High anomaly","Low anomaly"),"")</f>
        <v/>
      </c>
      <c r="AI1000" s="23" t="str">
        <f t="shared" si="94"/>
        <v>OK</v>
      </c>
      <c r="AJ1000" s="23" t="str">
        <f t="shared" si="95"/>
        <v>No</v>
      </c>
    </row>
    <row r="1001" spans="1:36" x14ac:dyDescent="0.35">
      <c r="A1001" s="23">
        <v>1000</v>
      </c>
      <c r="B1001" s="23" t="str">
        <f t="shared" si="90"/>
        <v>Dataset 3</v>
      </c>
      <c r="C1001" s="23">
        <f>IFERROR(MATCH($A1001,Merge_1_2!$A$2:$A$611,0),0)</f>
        <v>0</v>
      </c>
      <c r="D1001" s="23">
        <f>IF($C1001&gt;0,INDEX(Merge_1_2!$Q$2:$Q$611,$C1001),0)</f>
        <v>0</v>
      </c>
      <c r="E1001" s="23">
        <f>IFERROR(MATCH($A1001,Dataset3_Raw!$A$2:$A$391,0),0)</f>
        <v>390</v>
      </c>
      <c r="F1001" s="24">
        <f>IF($C1001&gt;0,INDEX(Merge_1_2!$B$2:$B$611,$C1001),DATE(VALUE(RIGHT(INDEX(Dataset3_Raw!$B$2:$B$391,$E1001),4)),VALUE(MID(INDEX(Dataset3_Raw!$B$2:$B$391,$E1001),4,2)),VALUE(LEFT(INDEX(Dataset3_Raw!$B$2:$B$391,$E1001),2))))</f>
        <v>40588</v>
      </c>
      <c r="G1001" s="23">
        <f>IF($C1001&gt;0,INDEX(Merge_1_2!$C$2:$C$611,$C1001),INDEX(Dataset3_Raw!$C$2:$C$391,$E1001))</f>
        <v>1</v>
      </c>
      <c r="H1001" s="23">
        <f>IF($C1001&gt;0,INDEX(Merge_1_2!$D$2:$D$611,$C1001),INDEX(Dataset3_Raw!$D$2:$D$391,$E1001))</f>
        <v>0</v>
      </c>
      <c r="I1001" s="23">
        <f>IF($C1001&gt;0,INDEX(Merge_1_2!$E$2:$E$611,$C1001),INDEX(Dataset3_Raw!$E$2:$E$391,$E1001))</f>
        <v>2</v>
      </c>
      <c r="J1001" s="23">
        <f>IF($C1001&gt;0,INDEX(Merge_1_2!$F$2:$F$611,$C1001),INDEX(Dataset3_Raw!$F$2:$F$391,$E1001))</f>
        <v>7</v>
      </c>
      <c r="K1001" s="23" t="b">
        <f>IF($C1001&gt;0,INDEX(Merge_1_2!$G$2:$G$611,$C1001),INDEX(Dataset3_Raw!$G$2:$G$391,$E1001))</f>
        <v>0</v>
      </c>
      <c r="L1001" s="23">
        <f>IF($C1001&gt;0,INDEX(Merge_1_2!$H$2:$H$611,$C1001),INDEX(Dataset3_Raw!$H$2:$H$391,$E1001))</f>
        <v>1</v>
      </c>
      <c r="M1001" s="23">
        <f>IF($C1001&gt;0,INDEX(Merge_1_2!$I$2:$I$611,$C1001),INDEX(Dataset3_Raw!$I$2:$I$391,$E1001))</f>
        <v>1</v>
      </c>
      <c r="N1001" s="25">
        <f>IF($C1001&gt;0,INDEX(Merge_1_2!$J$2:$J$611,$C1001),INDEX(Dataset3_Raw!$J$2:$J$391,$E1001))</f>
        <v>0.34</v>
      </c>
      <c r="O1001" s="25">
        <f>IF($C1001&gt;0,IF(ISNUMBER(INDEX(Merge_1_2!$K$2:$K$611,$C1001)),INDEX(Merge_1_2!$K$2:$K$611,$C1001),""),INDEX(Dataset3_Raw!$K$2:$K$391,$E1001))</f>
        <v>0.30299999999999999</v>
      </c>
      <c r="P1001" s="25">
        <f>IF(ISNUMBER($O1001),$O1001,ROUND(Lookups!$B$25+Lookups!$B$24*$N1001,4))</f>
        <v>0.30299999999999999</v>
      </c>
      <c r="Q1001" s="25">
        <f>IF($C1001&gt;0,INDEX(Merge_1_2!$L$2:$L$611,$C1001),INDEX(Dataset3_Raw!$L$2:$L$391,$E1001))</f>
        <v>0.46</v>
      </c>
      <c r="R1001" s="25">
        <f>IF($C1001&gt;0,INDEX(Merge_1_2!$M$2:$M$611,$C1001),INDEX(Dataset3_Raw!$M$2:$M$391,$E1001))</f>
        <v>0.29849999999999999</v>
      </c>
      <c r="S1001" s="23">
        <f>IF($C1001&gt;0,INDEX(Merge_1_2!$N$2:$N$611,$C1001),INDEX(Dataset3_Raw!$N$2:$N$391,$E1001))</f>
        <v>2</v>
      </c>
      <c r="T1001" s="23">
        <f>IF($C1001&gt;0,INDEX(Merge_1_2!$O$2:$O$611,$C1001),INDEX(Dataset3_Raw!$O$2:$O$391,$E1001))</f>
        <v>96</v>
      </c>
      <c r="U1001" s="23">
        <f>IF($C1001&gt;0,INDEX(Merge_1_2!$P$2:$P$611,$C1001),INDEX(Dataset3_Raw!$P$2:$P$391,$E1001))</f>
        <v>98</v>
      </c>
      <c r="V1001" s="23" t="str">
        <f t="shared" si="91"/>
        <v>Weekday</v>
      </c>
      <c r="W1001" s="23" t="str">
        <f>VLOOKUP($M1001,Lookups!$A$5:$B$8,2,FALSE())</f>
        <v>Clear / Partly cloudy</v>
      </c>
      <c r="X1001" s="23" t="str">
        <f>VLOOKUP($G1001,Lookups!$D$5:$E$8,2,FALSE())</f>
        <v>Winter</v>
      </c>
      <c r="Y1001" s="23" t="str">
        <f>VLOOKUP($L1001,Lookups!$G$5:$H$11,2,FALSE())</f>
        <v>Monday</v>
      </c>
      <c r="Z1001" s="23" t="str">
        <f>IF($J1001&lt;Lookups!$B$26,"Night",IF($J1001&lt;Lookups!$B$27,"Morning",IF($J1001&lt;Lookups!$B$28,"Afternoon","Evening")))</f>
        <v>Morning</v>
      </c>
      <c r="AA1001" s="26">
        <f>ROUND($N1001*(Lookups!$B$16-Lookups!$B$15)+Lookups!$B$15,1)</f>
        <v>8</v>
      </c>
      <c r="AB1001" s="26">
        <f>ROUND($P1001*(Lookups!$B$18-Lookups!$B$17)+Lookups!$B$17,1)</f>
        <v>4</v>
      </c>
      <c r="AC1001" s="23">
        <f t="shared" si="92"/>
        <v>46</v>
      </c>
      <c r="AD1001" s="23">
        <f>ROUND($R1001*Lookups!$B$19,1)</f>
        <v>20</v>
      </c>
      <c r="AE1001" s="27">
        <f t="shared" si="93"/>
        <v>0.97959183673469385</v>
      </c>
      <c r="AF1001" s="23" t="str">
        <f>IF($U1001&gt;=Lookups!$B$23,"High",IF($U1001&gt;=Lookups!$B$22,"Medium","Low"))</f>
        <v>High</v>
      </c>
      <c r="AG1001" s="23">
        <f>ROUND(IF($V1001="Weekday",IF(INDEX(Hourly_Analysis!$D$5:$D$28,$J1001+1)&gt;0,($U1001-INDEX(Hourly_Analysis!$C$5:$C$28,$J1001+1))/INDEX(Hourly_Analysis!$D$5:$D$28,$J1001+1),0),IF(INDEX(Hourly_Analysis!$G$5:$G$28,$J1001+1)&gt;0,($U1001-INDEX(Hourly_Analysis!$F$5:$F$28,$J1001+1))/INDEX(Hourly_Analysis!$G$5:$G$28,$J1001+1),0)),2)</f>
        <v>0.92</v>
      </c>
      <c r="AH1001" s="23" t="str">
        <f>IF(ABS($AG1001)&gt;Lookups!$B$20,IF($AG1001&gt;0,"High anomaly","Low anomaly"),"")</f>
        <v/>
      </c>
      <c r="AI1001" s="23" t="str">
        <f t="shared" si="94"/>
        <v>OK</v>
      </c>
      <c r="AJ1001" s="23" t="str">
        <f t="shared" si="95"/>
        <v>No</v>
      </c>
    </row>
  </sheetData>
  <autoFilter ref="A1:AJ1001" xr:uid="{00000000-0009-0000-0000-000003000000}"/>
  <conditionalFormatting sqref="A2:AJ1001">
    <cfRule type="expression" dxfId="16" priority="3">
      <formula>$AH2&lt;&gt;""</formula>
    </cfRule>
  </conditionalFormatting>
  <conditionalFormatting sqref="O2:P1001">
    <cfRule type="expression" dxfId="15" priority="4">
      <formula>$AJ2="Yes"</formula>
    </cfRule>
  </conditionalFormatting>
  <conditionalFormatting sqref="AI2:AI1001">
    <cfRule type="cellIs" dxfId="14" priority="5" operator="equal">
      <formula>"Mismatch"</formula>
    </cfRule>
  </conditionalFormatting>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2" id="{00000000-000E-0000-0300-000002000000}">
            <xm:f>$U2&gt;=Lookups!$B$23</xm:f>
            <x14:dxf>
              <font>
                <sz val="10"/>
                <color rgb="FF006100"/>
                <name val="Arial"/>
                <charset val="1"/>
              </font>
              <fill>
                <patternFill>
                  <bgColor rgb="FFC6EFCE"/>
                </patternFill>
              </fill>
            </x14:dxf>
          </x14:cfRule>
          <xm:sqref>U2:U1001</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L53"/>
  <sheetViews>
    <sheetView zoomScaleNormal="100" workbookViewId="0"/>
  </sheetViews>
  <sheetFormatPr defaultColWidth="8.6328125" defaultRowHeight="14.5" x14ac:dyDescent="0.35"/>
  <cols>
    <col min="1" max="1" width="20" customWidth="1"/>
    <col min="2" max="2" width="26" customWidth="1"/>
    <col min="3" max="9" width="14" customWidth="1"/>
    <col min="11" max="12" width="10" customWidth="1"/>
  </cols>
  <sheetData>
    <row r="1" spans="1:11" ht="20" x14ac:dyDescent="0.4">
      <c r="A1" s="28" t="s">
        <v>157</v>
      </c>
    </row>
    <row r="2" spans="1:11" x14ac:dyDescent="0.35">
      <c r="A2" s="14" t="s">
        <v>158</v>
      </c>
    </row>
    <row r="3" spans="1:11" x14ac:dyDescent="0.35">
      <c r="K3" s="4" t="s">
        <v>159</v>
      </c>
    </row>
    <row r="4" spans="1:11" x14ac:dyDescent="0.35">
      <c r="A4" s="1" t="s">
        <v>160</v>
      </c>
    </row>
    <row r="5" spans="1:11" ht="30" customHeight="1" x14ac:dyDescent="0.35">
      <c r="A5" s="9" t="s">
        <v>161</v>
      </c>
      <c r="B5" s="9" t="s">
        <v>162</v>
      </c>
      <c r="C5" s="9" t="s">
        <v>163</v>
      </c>
      <c r="D5" s="9" t="s">
        <v>71</v>
      </c>
      <c r="E5" s="9" t="s">
        <v>164</v>
      </c>
      <c r="F5" s="9" t="s">
        <v>104</v>
      </c>
      <c r="G5" s="9" t="s">
        <v>105</v>
      </c>
      <c r="H5" s="9" t="s">
        <v>74</v>
      </c>
      <c r="I5" s="9" t="s">
        <v>165</v>
      </c>
    </row>
    <row r="6" spans="1:11" x14ac:dyDescent="0.35">
      <c r="A6" s="21">
        <v>1</v>
      </c>
      <c r="B6" s="15" t="str">
        <f>VLOOKUP($A6,Lookups!$A$5:$B$8,2,FALSE())</f>
        <v>Clear / Partly cloudy</v>
      </c>
      <c r="C6" s="17">
        <f>COUNTIFS(Clean_Data!$M$2:$M$1001,$A6)</f>
        <v>606</v>
      </c>
      <c r="D6" s="17">
        <f>SUMIFS(Clean_Data!$U$2:$U$1001,Clean_Data!$M$2:$M$1001,$A6)</f>
        <v>37373</v>
      </c>
      <c r="E6" s="18">
        <f>IF($C6&gt;0,$D6/$C6,0)</f>
        <v>61.671617161716171</v>
      </c>
      <c r="F6" s="18">
        <f>IF($C6&gt;0,SUMIFS(Clean_Data!$S$2:$S$1001,Clean_Data!$M$2:$M$1001,$A6)/$C6,0)</f>
        <v>5.2986798679867988</v>
      </c>
      <c r="G6" s="18">
        <f>IF($C6&gt;0,SUMIFS(Clean_Data!$T$2:$T$1001,Clean_Data!$M$2:$M$1001,$A6)/$C6,0)</f>
        <v>56.372937293729372</v>
      </c>
      <c r="H6" s="19">
        <f>IF($D6&gt;0,SUMIFS(Clean_Data!$T$2:$T$1001,Clean_Data!$M$2:$M$1001,$A6)/$D6,0)</f>
        <v>0.91408235892221656</v>
      </c>
      <c r="I6" s="19">
        <f>$D6/SUM(Clean_Data!$U$2:$U$1001)</f>
        <v>0.64100233260153672</v>
      </c>
    </row>
    <row r="7" spans="1:11" x14ac:dyDescent="0.35">
      <c r="A7" s="21">
        <v>2</v>
      </c>
      <c r="B7" s="15" t="str">
        <f>VLOOKUP($A7,Lookups!$A$5:$B$8,2,FALSE())</f>
        <v>Mist / Cloudy</v>
      </c>
      <c r="C7" s="17">
        <f>COUNTIFS(Clean_Data!$M$2:$M$1001,$A7)</f>
        <v>309</v>
      </c>
      <c r="D7" s="17">
        <f>SUMIFS(Clean_Data!$U$2:$U$1001,Clean_Data!$M$2:$M$1001,$A7)</f>
        <v>18106</v>
      </c>
      <c r="E7" s="18">
        <f>IF($C7&gt;0,$D7/$C7,0)</f>
        <v>58.595469255663431</v>
      </c>
      <c r="F7" s="18">
        <f>IF($C7&gt;0,SUMIFS(Clean_Data!$S$2:$S$1001,Clean_Data!$M$2:$M$1001,$A7)/$C7,0)</f>
        <v>4.9773462783171523</v>
      </c>
      <c r="G7" s="18">
        <f>IF($C7&gt;0,SUMIFS(Clean_Data!$T$2:$T$1001,Clean_Data!$M$2:$M$1001,$A7)/$C7,0)</f>
        <v>53.618122977346282</v>
      </c>
      <c r="H7" s="19">
        <f>IF($D7&gt;0,SUMIFS(Clean_Data!$T$2:$T$1001,Clean_Data!$M$2:$M$1001,$A7)/$D7,0)</f>
        <v>0.91505578261349829</v>
      </c>
      <c r="I7" s="19">
        <f>$D7/SUM(Clean_Data!$U$2:$U$1001)</f>
        <v>0.31054473106476399</v>
      </c>
    </row>
    <row r="8" spans="1:11" x14ac:dyDescent="0.35">
      <c r="A8" s="21">
        <v>3</v>
      </c>
      <c r="B8" s="15" t="str">
        <f>VLOOKUP($A8,Lookups!$A$5:$B$8,2,FALSE())</f>
        <v>Light snow / Light rain</v>
      </c>
      <c r="C8" s="17">
        <f>COUNTIFS(Clean_Data!$M$2:$M$1001,$A8)</f>
        <v>84</v>
      </c>
      <c r="D8" s="17">
        <f>SUMIFS(Clean_Data!$U$2:$U$1001,Clean_Data!$M$2:$M$1001,$A8)</f>
        <v>2789</v>
      </c>
      <c r="E8" s="18">
        <f>IF($C8&gt;0,$D8/$C8,0)</f>
        <v>33.202380952380949</v>
      </c>
      <c r="F8" s="18">
        <f>IF($C8&gt;0,SUMIFS(Clean_Data!$S$2:$S$1001,Clean_Data!$M$2:$M$1001,$A8)/$C8,0)</f>
        <v>2.0357142857142856</v>
      </c>
      <c r="G8" s="18">
        <f>IF($C8&gt;0,SUMIFS(Clean_Data!$T$2:$T$1001,Clean_Data!$M$2:$M$1001,$A8)/$C8,0)</f>
        <v>31.166666666666668</v>
      </c>
      <c r="H8" s="19">
        <f>IF($D8&gt;0,SUMIFS(Clean_Data!$T$2:$T$1001,Clean_Data!$M$2:$M$1001,$A8)/$D8,0)</f>
        <v>0.93868770168519178</v>
      </c>
      <c r="I8" s="19">
        <f>$D8/SUM(Clean_Data!$U$2:$U$1001)</f>
        <v>4.7835482985729968E-2</v>
      </c>
    </row>
    <row r="9" spans="1:11" x14ac:dyDescent="0.35">
      <c r="A9" s="21">
        <v>4</v>
      </c>
      <c r="B9" s="15" t="str">
        <f>VLOOKUP($A9,Lookups!$A$5:$B$8,2,FALSE())</f>
        <v>Heavy rain / Snow / Fog</v>
      </c>
      <c r="C9" s="17">
        <f>COUNTIFS(Clean_Data!$M$2:$M$1001,$A9)</f>
        <v>1</v>
      </c>
      <c r="D9" s="17">
        <f>SUMIFS(Clean_Data!$U$2:$U$1001,Clean_Data!$M$2:$M$1001,$A9)</f>
        <v>36</v>
      </c>
      <c r="E9" s="18">
        <f>IF($C9&gt;0,$D9/$C9,0)</f>
        <v>36</v>
      </c>
      <c r="F9" s="18">
        <f>IF($C9&gt;0,SUMIFS(Clean_Data!$S$2:$S$1001,Clean_Data!$M$2:$M$1001,$A9)/$C9,0)</f>
        <v>1</v>
      </c>
      <c r="G9" s="18">
        <f>IF($C9&gt;0,SUMIFS(Clean_Data!$T$2:$T$1001,Clean_Data!$M$2:$M$1001,$A9)/$C9,0)</f>
        <v>35</v>
      </c>
      <c r="H9" s="19">
        <f>IF($D9&gt;0,SUMIFS(Clean_Data!$T$2:$T$1001,Clean_Data!$M$2:$M$1001,$A9)/$D9,0)</f>
        <v>0.97222222222222221</v>
      </c>
      <c r="I9" s="19">
        <f>$D9/SUM(Clean_Data!$U$2:$U$1001)</f>
        <v>6.1745334796926453E-4</v>
      </c>
    </row>
    <row r="10" spans="1:11" x14ac:dyDescent="0.35">
      <c r="A10" s="29" t="s">
        <v>166</v>
      </c>
      <c r="B10" s="29"/>
      <c r="C10" s="30">
        <f>SUM(C6:C9)</f>
        <v>1000</v>
      </c>
      <c r="D10" s="30">
        <f>SUM(D6:D9)</f>
        <v>58304</v>
      </c>
      <c r="E10" s="31">
        <f>D10/C10</f>
        <v>58.304000000000002</v>
      </c>
      <c r="F10" s="31"/>
      <c r="G10" s="31"/>
      <c r="H10" s="32"/>
      <c r="I10" s="32">
        <f>SUM(I6:I9)</f>
        <v>0.99999999999999989</v>
      </c>
    </row>
    <row r="13" spans="1:11" x14ac:dyDescent="0.35">
      <c r="A13" s="1" t="s">
        <v>167</v>
      </c>
    </row>
    <row r="14" spans="1:11" ht="30" customHeight="1" x14ac:dyDescent="0.35">
      <c r="A14" s="9" t="s">
        <v>161</v>
      </c>
      <c r="B14" s="9" t="s">
        <v>162</v>
      </c>
      <c r="C14" s="9" t="s">
        <v>163</v>
      </c>
      <c r="D14" s="9" t="s">
        <v>71</v>
      </c>
      <c r="E14" s="9" t="s">
        <v>164</v>
      </c>
      <c r="F14" s="9" t="s">
        <v>104</v>
      </c>
      <c r="G14" s="9" t="s">
        <v>105</v>
      </c>
      <c r="H14" s="9" t="s">
        <v>74</v>
      </c>
      <c r="I14" s="9" t="s">
        <v>165</v>
      </c>
    </row>
    <row r="15" spans="1:11" x14ac:dyDescent="0.35">
      <c r="A15" s="21" t="s">
        <v>168</v>
      </c>
      <c r="B15" s="15" t="str">
        <f>A15</f>
        <v>Weekday</v>
      </c>
      <c r="C15" s="17">
        <f>COUNTIFS(Clean_Data!$V$2:$V$1001,$A15)</f>
        <v>646</v>
      </c>
      <c r="D15" s="17">
        <f>SUMIFS(Clean_Data!$U$2:$U$1001,Clean_Data!$V$2:$V$1001,$A15)</f>
        <v>41435</v>
      </c>
      <c r="E15" s="18">
        <f>IF($C15&gt;0,$D15/$C15,0)</f>
        <v>64.140866873065022</v>
      </c>
      <c r="F15" s="18">
        <f>IF($C15&gt;0,SUMIFS(Clean_Data!$S$2:$S$1001,Clean_Data!$V$2:$V$1001,$A15)/$C15,0)</f>
        <v>3.2538699690402475</v>
      </c>
      <c r="G15" s="18">
        <f>IF($C15&gt;0,SUMIFS(Clean_Data!$T$2:$T$1001,Clean_Data!$V$2:$V$1001,$A15)/$C15,0)</f>
        <v>60.88699690402477</v>
      </c>
      <c r="H15" s="19">
        <f>IF($D15&gt;0,SUMIFS(Clean_Data!$T$2:$T$1001,Clean_Data!$V$2:$V$1001,$A15)/$D15,0)</f>
        <v>0.94926994087124417</v>
      </c>
      <c r="I15" s="19">
        <f>$D15/SUM(Clean_Data!$U$2:$U$1001)</f>
        <v>0.71067165203073546</v>
      </c>
    </row>
    <row r="16" spans="1:11" x14ac:dyDescent="0.35">
      <c r="A16" s="21" t="s">
        <v>169</v>
      </c>
      <c r="B16" s="15" t="str">
        <f>A16</f>
        <v>Weekend</v>
      </c>
      <c r="C16" s="17">
        <f>COUNTIFS(Clean_Data!$V$2:$V$1001,$A16)</f>
        <v>330</v>
      </c>
      <c r="D16" s="17">
        <f>SUMIFS(Clean_Data!$U$2:$U$1001,Clean_Data!$V$2:$V$1001,$A16)</f>
        <v>15869</v>
      </c>
      <c r="E16" s="18">
        <f>IF($C16&gt;0,$D16/$C16,0)</f>
        <v>48.087878787878786</v>
      </c>
      <c r="F16" s="18">
        <f>IF($C16&gt;0,SUMIFS(Clean_Data!$S$2:$S$1001,Clean_Data!$V$2:$V$1001,$A16)/$C16,0)</f>
        <v>8.1878787878787875</v>
      </c>
      <c r="G16" s="18">
        <f>IF($C16&gt;0,SUMIFS(Clean_Data!$T$2:$T$1001,Clean_Data!$V$2:$V$1001,$A16)/$C16,0)</f>
        <v>39.9</v>
      </c>
      <c r="H16" s="19">
        <f>IF($D16&gt;0,SUMIFS(Clean_Data!$T$2:$T$1001,Clean_Data!$V$2:$V$1001,$A16)/$D16,0)</f>
        <v>0.8297309219232466</v>
      </c>
      <c r="I16" s="19">
        <f>$D16/SUM(Clean_Data!$U$2:$U$1001)</f>
        <v>0.27217686608122943</v>
      </c>
    </row>
    <row r="17" spans="1:9" x14ac:dyDescent="0.35">
      <c r="A17" s="21" t="s">
        <v>170</v>
      </c>
      <c r="B17" s="15" t="str">
        <f>A17</f>
        <v>Holiday</v>
      </c>
      <c r="C17" s="17">
        <f>COUNTIFS(Clean_Data!$V$2:$V$1001,$A17)</f>
        <v>24</v>
      </c>
      <c r="D17" s="17">
        <f>SUMIFS(Clean_Data!$U$2:$U$1001,Clean_Data!$V$2:$V$1001,$A17)</f>
        <v>1000</v>
      </c>
      <c r="E17" s="18">
        <f>IF($C17&gt;0,$D17/$C17,0)</f>
        <v>41.666666666666664</v>
      </c>
      <c r="F17" s="18">
        <f>IF($C17&gt;0,SUMIFS(Clean_Data!$S$2:$S$1001,Clean_Data!$V$2:$V$1001,$A17)/$C17,0)</f>
        <v>4.875</v>
      </c>
      <c r="G17" s="18">
        <f>IF($C17&gt;0,SUMIFS(Clean_Data!$T$2:$T$1001,Clean_Data!$V$2:$V$1001,$A17)/$C17,0)</f>
        <v>36.791666666666664</v>
      </c>
      <c r="H17" s="19">
        <f>IF($D17&gt;0,SUMIFS(Clean_Data!$T$2:$T$1001,Clean_Data!$V$2:$V$1001,$A17)/$D17,0)</f>
        <v>0.88300000000000001</v>
      </c>
      <c r="I17" s="19">
        <f>$D17/SUM(Clean_Data!$U$2:$U$1001)</f>
        <v>1.7151481888035128E-2</v>
      </c>
    </row>
    <row r="18" spans="1:9" x14ac:dyDescent="0.35">
      <c r="A18" s="29" t="s">
        <v>166</v>
      </c>
      <c r="B18" s="29"/>
      <c r="C18" s="30">
        <f>SUM(C15:C17)</f>
        <v>1000</v>
      </c>
      <c r="D18" s="30">
        <f>SUM(D15:D17)</f>
        <v>58304</v>
      </c>
      <c r="E18" s="31">
        <f>D18/C18</f>
        <v>58.304000000000002</v>
      </c>
      <c r="F18" s="31"/>
      <c r="G18" s="31"/>
      <c r="H18" s="32"/>
      <c r="I18" s="32">
        <f>SUM(I15:I17)</f>
        <v>1</v>
      </c>
    </row>
    <row r="20" spans="1:9" x14ac:dyDescent="0.35">
      <c r="A20" s="1" t="s">
        <v>171</v>
      </c>
    </row>
    <row r="21" spans="1:9" ht="30" customHeight="1" x14ac:dyDescent="0.35">
      <c r="A21" s="9" t="s">
        <v>161</v>
      </c>
      <c r="B21" s="9" t="s">
        <v>162</v>
      </c>
      <c r="C21" s="9" t="s">
        <v>163</v>
      </c>
      <c r="D21" s="9" t="s">
        <v>71</v>
      </c>
      <c r="E21" s="9" t="s">
        <v>164</v>
      </c>
      <c r="F21" s="9" t="s">
        <v>104</v>
      </c>
      <c r="G21" s="9" t="s">
        <v>105</v>
      </c>
      <c r="H21" s="9" t="s">
        <v>74</v>
      </c>
      <c r="I21" s="9" t="s">
        <v>165</v>
      </c>
    </row>
    <row r="22" spans="1:9" x14ac:dyDescent="0.35">
      <c r="A22" s="21" t="s">
        <v>172</v>
      </c>
      <c r="B22" s="15" t="s">
        <v>173</v>
      </c>
      <c r="C22" s="17">
        <f>COUNTIFS(Clean_Data!$Z$2:$Z$1001,$A22)</f>
        <v>229</v>
      </c>
      <c r="D22" s="17">
        <f>SUMIFS(Clean_Data!$U$2:$U$1001,Clean_Data!$Z$2:$Z$1001,$A22)</f>
        <v>1841</v>
      </c>
      <c r="E22" s="18">
        <f>IF($C22&gt;0,$D22/$C22,0)</f>
        <v>8.039301310043669</v>
      </c>
      <c r="F22" s="18">
        <f>IF($C22&gt;0,SUMIFS(Clean_Data!$S$2:$S$1001,Clean_Data!$Z$2:$Z$1001,$A22)/$C22,0)</f>
        <v>0.86899563318777295</v>
      </c>
      <c r="G22" s="18">
        <f>IF($C22&gt;0,SUMIFS(Clean_Data!$T$2:$T$1001,Clean_Data!$Z$2:$Z$1001,$A22)/$C22,0)</f>
        <v>7.1703056768558948</v>
      </c>
      <c r="H22" s="19">
        <f>IF($D22&gt;0,SUMIFS(Clean_Data!$T$2:$T$1001,Clean_Data!$Z$2:$Z$1001,$A22)/$D22,0)</f>
        <v>0.89190657251493755</v>
      </c>
      <c r="I22" s="19">
        <f>$D22/SUM(Clean_Data!$U$2:$U$1001)</f>
        <v>3.1575878155872671E-2</v>
      </c>
    </row>
    <row r="23" spans="1:9" x14ac:dyDescent="0.35">
      <c r="A23" s="21" t="s">
        <v>174</v>
      </c>
      <c r="B23" s="15" t="s">
        <v>175</v>
      </c>
      <c r="C23" s="17">
        <f>COUNTIFS(Clean_Data!$Z$2:$Z$1001,$A23)</f>
        <v>253</v>
      </c>
      <c r="D23" s="17">
        <f>SUMIFS(Clean_Data!$U$2:$U$1001,Clean_Data!$Z$2:$Z$1001,$A23)</f>
        <v>16968</v>
      </c>
      <c r="E23" s="18">
        <f>IF($C23&gt;0,$D23/$C23,0)</f>
        <v>67.067193675889328</v>
      </c>
      <c r="F23" s="18">
        <f>IF($C23&gt;0,SUMIFS(Clean_Data!$S$2:$S$1001,Clean_Data!$Z$2:$Z$1001,$A23)/$C23,0)</f>
        <v>3.8221343873517788</v>
      </c>
      <c r="G23" s="18">
        <f>IF($C23&gt;0,SUMIFS(Clean_Data!$T$2:$T$1001,Clean_Data!$Z$2:$Z$1001,$A23)/$C23,0)</f>
        <v>63.245059288537547</v>
      </c>
      <c r="H23" s="19">
        <f>IF($D23&gt;0,SUMIFS(Clean_Data!$T$2:$T$1001,Clean_Data!$Z$2:$Z$1001,$A23)/$D23,0)</f>
        <v>0.94301037246581798</v>
      </c>
      <c r="I23" s="19">
        <f>$D23/SUM(Clean_Data!$U$2:$U$1001)</f>
        <v>0.29102634467618005</v>
      </c>
    </row>
    <row r="24" spans="1:9" x14ac:dyDescent="0.35">
      <c r="A24" s="21" t="s">
        <v>176</v>
      </c>
      <c r="B24" s="15" t="s">
        <v>177</v>
      </c>
      <c r="C24" s="17">
        <f>COUNTIFS(Clean_Data!$Z$2:$Z$1001,$A24)</f>
        <v>260</v>
      </c>
      <c r="D24" s="17">
        <f>SUMIFS(Clean_Data!$U$2:$U$1001,Clean_Data!$Z$2:$Z$1001,$A24)</f>
        <v>23308</v>
      </c>
      <c r="E24" s="18">
        <f>IF($C24&gt;0,$D24/$C24,0)</f>
        <v>89.646153846153851</v>
      </c>
      <c r="F24" s="18">
        <f>IF($C24&gt;0,SUMIFS(Clean_Data!$S$2:$S$1001,Clean_Data!$Z$2:$Z$1001,$A24)/$C24,0)</f>
        <v>11.096153846153847</v>
      </c>
      <c r="G24" s="18">
        <f>IF($C24&gt;0,SUMIFS(Clean_Data!$T$2:$T$1001,Clean_Data!$Z$2:$Z$1001,$A24)/$C24,0)</f>
        <v>78.55</v>
      </c>
      <c r="H24" s="19">
        <f>IF($D24&gt;0,SUMIFS(Clean_Data!$T$2:$T$1001,Clean_Data!$Z$2:$Z$1001,$A24)/$D24,0)</f>
        <v>0.87622275613523248</v>
      </c>
      <c r="I24" s="19">
        <f>$D24/SUM(Clean_Data!$U$2:$U$1001)</f>
        <v>0.39976673984632272</v>
      </c>
    </row>
    <row r="25" spans="1:9" x14ac:dyDescent="0.35">
      <c r="A25" s="21" t="s">
        <v>178</v>
      </c>
      <c r="B25" s="15" t="s">
        <v>179</v>
      </c>
      <c r="C25" s="17">
        <f>COUNTIFS(Clean_Data!$Z$2:$Z$1001,$A25)</f>
        <v>258</v>
      </c>
      <c r="D25" s="17">
        <f>SUMIFS(Clean_Data!$U$2:$U$1001,Clean_Data!$Z$2:$Z$1001,$A25)</f>
        <v>16187</v>
      </c>
      <c r="E25" s="18">
        <f>IF($C25&gt;0,$D25/$C25,0)</f>
        <v>62.740310077519382</v>
      </c>
      <c r="F25" s="18">
        <f>IF($C25&gt;0,SUMIFS(Clean_Data!$S$2:$S$1001,Clean_Data!$Z$2:$Z$1001,$A25)/$C25,0)</f>
        <v>3.3720930232558142</v>
      </c>
      <c r="G25" s="18">
        <f>IF($C25&gt;0,SUMIFS(Clean_Data!$T$2:$T$1001,Clean_Data!$Z$2:$Z$1001,$A25)/$C25,0)</f>
        <v>59.368217054263567</v>
      </c>
      <c r="H25" s="19">
        <f>IF($D25&gt;0,SUMIFS(Clean_Data!$T$2:$T$1001,Clean_Data!$Z$2:$Z$1001,$A25)/$D25,0)</f>
        <v>0.94625316612096122</v>
      </c>
      <c r="I25" s="19">
        <f>$D25/SUM(Clean_Data!$U$2:$U$1001)</f>
        <v>0.27763103732162459</v>
      </c>
    </row>
    <row r="26" spans="1:9" x14ac:dyDescent="0.35">
      <c r="A26" s="29" t="s">
        <v>166</v>
      </c>
      <c r="B26" s="29"/>
      <c r="C26" s="30">
        <f>SUM(C22:C25)</f>
        <v>1000</v>
      </c>
      <c r="D26" s="30">
        <f>SUM(D22:D25)</f>
        <v>58304</v>
      </c>
      <c r="E26" s="31">
        <f>D26/C26</f>
        <v>58.304000000000002</v>
      </c>
      <c r="F26" s="31"/>
      <c r="G26" s="31"/>
      <c r="H26" s="32"/>
      <c r="I26" s="32">
        <f>SUM(I22:I25)</f>
        <v>1</v>
      </c>
    </row>
    <row r="28" spans="1:9" x14ac:dyDescent="0.35">
      <c r="A28" s="1" t="s">
        <v>180</v>
      </c>
    </row>
    <row r="29" spans="1:9" ht="30" customHeight="1" x14ac:dyDescent="0.35">
      <c r="A29" s="9" t="s">
        <v>161</v>
      </c>
      <c r="B29" s="9" t="s">
        <v>162</v>
      </c>
      <c r="C29" s="9" t="s">
        <v>163</v>
      </c>
      <c r="D29" s="9" t="s">
        <v>71</v>
      </c>
      <c r="E29" s="9" t="s">
        <v>164</v>
      </c>
      <c r="F29" s="9" t="s">
        <v>104</v>
      </c>
      <c r="G29" s="9" t="s">
        <v>105</v>
      </c>
      <c r="H29" s="9" t="s">
        <v>74</v>
      </c>
      <c r="I29" s="9" t="s">
        <v>165</v>
      </c>
    </row>
    <row r="30" spans="1:9" x14ac:dyDescent="0.35">
      <c r="A30" s="21">
        <v>0</v>
      </c>
      <c r="B30" s="15" t="str">
        <f>VLOOKUP($A30,Lookups!$G$5:$H$11,2,FALSE())</f>
        <v>Sunday</v>
      </c>
      <c r="C30" s="17">
        <f>COUNTIFS(Clean_Data!$L$2:$L$1001,$A30)</f>
        <v>164</v>
      </c>
      <c r="D30" s="17">
        <f>SUMIFS(Clean_Data!$U$2:$U$1001,Clean_Data!$L$2:$L$1001,$A30)</f>
        <v>8121</v>
      </c>
      <c r="E30" s="18">
        <f t="shared" ref="E30:E36" si="0">IF($C30&gt;0,$D30/$C30,0)</f>
        <v>49.518292682926827</v>
      </c>
      <c r="F30" s="18">
        <f>IF($C30&gt;0,SUMIFS(Clean_Data!$S$2:$S$1001,Clean_Data!$L$2:$L$1001,$A30)/$C30,0)</f>
        <v>9.0060975609756095</v>
      </c>
      <c r="G30" s="18">
        <f>IF($C30&gt;0,SUMIFS(Clean_Data!$T$2:$T$1001,Clean_Data!$L$2:$L$1001,$A30)/$C30,0)</f>
        <v>40.512195121951223</v>
      </c>
      <c r="H30" s="19">
        <f>IF($D30&gt;0,SUMIFS(Clean_Data!$T$2:$T$1001,Clean_Data!$L$2:$L$1001,$A30)/$D30,0)</f>
        <v>0.81812584657061937</v>
      </c>
      <c r="I30" s="19">
        <f>$D30/SUM(Clean_Data!$U$2:$U$1001)</f>
        <v>0.13928718441273327</v>
      </c>
    </row>
    <row r="31" spans="1:9" x14ac:dyDescent="0.35">
      <c r="A31" s="21">
        <v>1</v>
      </c>
      <c r="B31" s="15" t="str">
        <f>VLOOKUP($A31,Lookups!$G$5:$H$11,2,FALSE())</f>
        <v>Monday</v>
      </c>
      <c r="C31" s="17">
        <f>COUNTIFS(Clean_Data!$L$2:$L$1001,$A31)</f>
        <v>149</v>
      </c>
      <c r="D31" s="17">
        <f>SUMIFS(Clean_Data!$U$2:$U$1001,Clean_Data!$L$2:$L$1001,$A31)</f>
        <v>8450</v>
      </c>
      <c r="E31" s="18">
        <f t="shared" si="0"/>
        <v>56.711409395973156</v>
      </c>
      <c r="F31" s="18">
        <f>IF($C31&gt;0,SUMIFS(Clean_Data!$S$2:$S$1001,Clean_Data!$L$2:$L$1001,$A31)/$C31,0)</f>
        <v>3.5838926174496644</v>
      </c>
      <c r="G31" s="18">
        <f>IF($C31&gt;0,SUMIFS(Clean_Data!$T$2:$T$1001,Clean_Data!$L$2:$L$1001,$A31)/$C31,0)</f>
        <v>53.127516778523493</v>
      </c>
      <c r="H31" s="19">
        <f>IF($D31&gt;0,SUMIFS(Clean_Data!$T$2:$T$1001,Clean_Data!$L$2:$L$1001,$A31)/$D31,0)</f>
        <v>0.9368047337278107</v>
      </c>
      <c r="I31" s="19">
        <f>$D31/SUM(Clean_Data!$U$2:$U$1001)</f>
        <v>0.14493002195389681</v>
      </c>
    </row>
    <row r="32" spans="1:9" x14ac:dyDescent="0.35">
      <c r="A32" s="21">
        <v>2</v>
      </c>
      <c r="B32" s="15" t="str">
        <f>VLOOKUP($A32,Lookups!$G$5:$H$11,2,FALSE())</f>
        <v>Tuesday</v>
      </c>
      <c r="C32" s="17">
        <f>COUNTIFS(Clean_Data!$L$2:$L$1001,$A32)</f>
        <v>127</v>
      </c>
      <c r="D32" s="17">
        <f>SUMIFS(Clean_Data!$U$2:$U$1001,Clean_Data!$L$2:$L$1001,$A32)</f>
        <v>8383</v>
      </c>
      <c r="E32" s="18">
        <f t="shared" si="0"/>
        <v>66.00787401574803</v>
      </c>
      <c r="F32" s="18">
        <f>IF($C32&gt;0,SUMIFS(Clean_Data!$S$2:$S$1001,Clean_Data!$L$2:$L$1001,$A32)/$C32,0)</f>
        <v>3.5984251968503935</v>
      </c>
      <c r="G32" s="18">
        <f>IF($C32&gt;0,SUMIFS(Clean_Data!$T$2:$T$1001,Clean_Data!$L$2:$L$1001,$A32)/$C32,0)</f>
        <v>62.409448818897637</v>
      </c>
      <c r="H32" s="19">
        <f>IF($D32&gt;0,SUMIFS(Clean_Data!$T$2:$T$1001,Clean_Data!$L$2:$L$1001,$A32)/$D32,0)</f>
        <v>0.94548490993677681</v>
      </c>
      <c r="I32" s="19">
        <f>$D32/SUM(Clean_Data!$U$2:$U$1001)</f>
        <v>0.14378087266739847</v>
      </c>
    </row>
    <row r="33" spans="1:12" x14ac:dyDescent="0.35">
      <c r="A33" s="21">
        <v>3</v>
      </c>
      <c r="B33" s="15" t="str">
        <f>VLOOKUP($A33,Lookups!$G$5:$H$11,2,FALSE())</f>
        <v>Wednesday</v>
      </c>
      <c r="C33" s="17">
        <f>COUNTIFS(Clean_Data!$L$2:$L$1001,$A33)</f>
        <v>131</v>
      </c>
      <c r="D33" s="17">
        <f>SUMIFS(Clean_Data!$U$2:$U$1001,Clean_Data!$L$2:$L$1001,$A33)</f>
        <v>8049</v>
      </c>
      <c r="E33" s="18">
        <f t="shared" si="0"/>
        <v>61.44274809160305</v>
      </c>
      <c r="F33" s="18">
        <f>IF($C33&gt;0,SUMIFS(Clean_Data!$S$2:$S$1001,Clean_Data!$L$2:$L$1001,$A33)/$C33,0)</f>
        <v>2.6259541984732824</v>
      </c>
      <c r="G33" s="18">
        <f>IF($C33&gt;0,SUMIFS(Clean_Data!$T$2:$T$1001,Clean_Data!$L$2:$L$1001,$A33)/$C33,0)</f>
        <v>58.81679389312977</v>
      </c>
      <c r="H33" s="19">
        <f>IF($D33&gt;0,SUMIFS(Clean_Data!$T$2:$T$1001,Clean_Data!$L$2:$L$1001,$A33)/$D33,0)</f>
        <v>0.957261771648652</v>
      </c>
      <c r="I33" s="19">
        <f>$D33/SUM(Clean_Data!$U$2:$U$1001)</f>
        <v>0.13805227771679474</v>
      </c>
    </row>
    <row r="34" spans="1:12" x14ac:dyDescent="0.35">
      <c r="A34" s="21">
        <v>4</v>
      </c>
      <c r="B34" s="15" t="str">
        <f>VLOOKUP($A34,Lookups!$G$5:$H$11,2,FALSE())</f>
        <v>Thursday</v>
      </c>
      <c r="C34" s="17">
        <f>COUNTIFS(Clean_Data!$L$2:$L$1001,$A34)</f>
        <v>125</v>
      </c>
      <c r="D34" s="17">
        <f>SUMIFS(Clean_Data!$U$2:$U$1001,Clean_Data!$L$2:$L$1001,$A34)</f>
        <v>8458</v>
      </c>
      <c r="E34" s="18">
        <f t="shared" si="0"/>
        <v>67.664000000000001</v>
      </c>
      <c r="F34" s="18">
        <f>IF($C34&gt;0,SUMIFS(Clean_Data!$S$2:$S$1001,Clean_Data!$L$2:$L$1001,$A34)/$C34,0)</f>
        <v>2.6560000000000001</v>
      </c>
      <c r="G34" s="18">
        <f>IF($C34&gt;0,SUMIFS(Clean_Data!$T$2:$T$1001,Clean_Data!$L$2:$L$1001,$A34)/$C34,0)</f>
        <v>65.007999999999996</v>
      </c>
      <c r="H34" s="19">
        <f>IF($D34&gt;0,SUMIFS(Clean_Data!$T$2:$T$1001,Clean_Data!$L$2:$L$1001,$A34)/$D34,0)</f>
        <v>0.96074722156538184</v>
      </c>
      <c r="I34" s="19">
        <f>$D34/SUM(Clean_Data!$U$2:$U$1001)</f>
        <v>0.14506723380900111</v>
      </c>
    </row>
    <row r="35" spans="1:12" x14ac:dyDescent="0.35">
      <c r="A35" s="21">
        <v>5</v>
      </c>
      <c r="B35" s="15" t="str">
        <f>VLOOKUP($A35,Lookups!$G$5:$H$11,2,FALSE())</f>
        <v>Friday</v>
      </c>
      <c r="C35" s="17">
        <f>COUNTIFS(Clean_Data!$L$2:$L$1001,$A35)</f>
        <v>138</v>
      </c>
      <c r="D35" s="17">
        <f>SUMIFS(Clean_Data!$U$2:$U$1001,Clean_Data!$L$2:$L$1001,$A35)</f>
        <v>9095</v>
      </c>
      <c r="E35" s="18">
        <f t="shared" si="0"/>
        <v>65.905797101449281</v>
      </c>
      <c r="F35" s="18">
        <f>IF($C35&gt;0,SUMIFS(Clean_Data!$S$2:$S$1001,Clean_Data!$L$2:$L$1001,$A35)/$C35,0)</f>
        <v>4</v>
      </c>
      <c r="G35" s="18">
        <f>IF($C35&gt;0,SUMIFS(Clean_Data!$T$2:$T$1001,Clean_Data!$L$2:$L$1001,$A35)/$C35,0)</f>
        <v>61.905797101449274</v>
      </c>
      <c r="H35" s="19">
        <f>IF($D35&gt;0,SUMIFS(Clean_Data!$T$2:$T$1001,Clean_Data!$L$2:$L$1001,$A35)/$D35,0)</f>
        <v>0.93930731170973059</v>
      </c>
      <c r="I35" s="19">
        <f>$D35/SUM(Clean_Data!$U$2:$U$1001)</f>
        <v>0.15599272777167947</v>
      </c>
    </row>
    <row r="36" spans="1:12" x14ac:dyDescent="0.35">
      <c r="A36" s="21">
        <v>6</v>
      </c>
      <c r="B36" s="15" t="str">
        <f>VLOOKUP($A36,Lookups!$G$5:$H$11,2,FALSE())</f>
        <v>Saturday</v>
      </c>
      <c r="C36" s="17">
        <f>COUNTIFS(Clean_Data!$L$2:$L$1001,$A36)</f>
        <v>166</v>
      </c>
      <c r="D36" s="17">
        <f>SUMIFS(Clean_Data!$U$2:$U$1001,Clean_Data!$L$2:$L$1001,$A36)</f>
        <v>7748</v>
      </c>
      <c r="E36" s="18">
        <f t="shared" si="0"/>
        <v>46.674698795180724</v>
      </c>
      <c r="F36" s="18">
        <f>IF($C36&gt;0,SUMIFS(Clean_Data!$S$2:$S$1001,Clean_Data!$L$2:$L$1001,$A36)/$C36,0)</f>
        <v>7.3795180722891569</v>
      </c>
      <c r="G36" s="18">
        <f>IF($C36&gt;0,SUMIFS(Clean_Data!$T$2:$T$1001,Clean_Data!$L$2:$L$1001,$A36)/$C36,0)</f>
        <v>39.295180722891565</v>
      </c>
      <c r="H36" s="19">
        <f>IF($D36&gt;0,SUMIFS(Clean_Data!$T$2:$T$1001,Clean_Data!$L$2:$L$1001,$A36)/$D36,0)</f>
        <v>0.84189468249870936</v>
      </c>
      <c r="I36" s="19">
        <f>$D36/SUM(Clean_Data!$U$2:$U$1001)</f>
        <v>0.13288968166849616</v>
      </c>
    </row>
    <row r="37" spans="1:12" x14ac:dyDescent="0.35">
      <c r="A37" s="29" t="s">
        <v>166</v>
      </c>
      <c r="B37" s="29"/>
      <c r="C37" s="30">
        <f>SUM(C30:C36)</f>
        <v>1000</v>
      </c>
      <c r="D37" s="30">
        <f>SUM(D30:D36)</f>
        <v>58304</v>
      </c>
      <c r="E37" s="31">
        <f>D37/C37</f>
        <v>58.304000000000002</v>
      </c>
      <c r="F37" s="31"/>
      <c r="G37" s="31"/>
      <c r="H37" s="32"/>
      <c r="I37" s="32">
        <f>SUM(I30:I36)</f>
        <v>1</v>
      </c>
    </row>
    <row r="39" spans="1:12" x14ac:dyDescent="0.35">
      <c r="A39" s="1" t="s">
        <v>181</v>
      </c>
    </row>
    <row r="40" spans="1:12" ht="30" customHeight="1" x14ac:dyDescent="0.35">
      <c r="A40" s="9" t="s">
        <v>161</v>
      </c>
      <c r="B40" s="9" t="s">
        <v>162</v>
      </c>
      <c r="C40" s="9" t="s">
        <v>163</v>
      </c>
      <c r="D40" s="9" t="s">
        <v>71</v>
      </c>
      <c r="E40" s="9" t="s">
        <v>164</v>
      </c>
      <c r="F40" s="9" t="s">
        <v>104</v>
      </c>
      <c r="G40" s="9" t="s">
        <v>105</v>
      </c>
      <c r="H40" s="9" t="s">
        <v>74</v>
      </c>
      <c r="I40" s="9" t="s">
        <v>165</v>
      </c>
      <c r="K40" s="9" t="s">
        <v>182</v>
      </c>
      <c r="L40" s="9" t="s">
        <v>183</v>
      </c>
    </row>
    <row r="41" spans="1:12" x14ac:dyDescent="0.35">
      <c r="A41" s="21" t="s">
        <v>114</v>
      </c>
      <c r="B41" s="15" t="s">
        <v>114</v>
      </c>
      <c r="C41" s="17">
        <f>COUNTIFS(Clean_Data!$AA$2:$AA$1001,"&gt;="&amp;$K41,Clean_Data!$AA$2:$AA$1001,"&lt;"&amp;$L41)</f>
        <v>346</v>
      </c>
      <c r="D41" s="17">
        <f>SUMIFS(Clean_Data!$U$2:$U$1001,Clean_Data!$AA$2:$AA$1001,"&gt;="&amp;$K41,Clean_Data!$AA$2:$AA$1001,"&lt;"&amp;$L41)</f>
        <v>16221</v>
      </c>
      <c r="E41" s="18">
        <f>IF($C41&gt;0,$D41/$C41,0)</f>
        <v>46.881502890173408</v>
      </c>
      <c r="F41" s="18">
        <f>IF($C41&gt;0,SUMIFS(Clean_Data!$S$2:$S$1001,Clean_Data!$AA$2:$AA$1001,"&gt;="&amp;$K41,Clean_Data!$AA$2:$AA$1001,"&lt;"&amp;$L41)/$C41,0)</f>
        <v>2.1329479768786128</v>
      </c>
      <c r="G41" s="18">
        <f>IF($C41&gt;0,SUMIFS(Clean_Data!$T$2:$T$1001,Clean_Data!$AA$2:$AA$1001,"&gt;="&amp;$K41,Clean_Data!$AA$2:$AA$1001,"&lt;"&amp;$L41)/$C41,0)</f>
        <v>44.748554913294797</v>
      </c>
      <c r="H41" s="19">
        <f>IF($D41&gt;0,SUMIFS(Clean_Data!$T$2:$T$1001,Clean_Data!$AA$2:$AA$1001,"&gt;="&amp;$K41,Clean_Data!$AA$2:$AA$1001,"&lt;"&amp;$L41)/$D41,0)</f>
        <v>0.95450342149066025</v>
      </c>
      <c r="I41" s="19">
        <f>$D41/SUM(Clean_Data!$U$2:$U$1001)</f>
        <v>0.27821418770581779</v>
      </c>
      <c r="K41" s="21">
        <v>-100</v>
      </c>
      <c r="L41" s="21">
        <v>0</v>
      </c>
    </row>
    <row r="42" spans="1:12" x14ac:dyDescent="0.35">
      <c r="A42" s="21" t="s">
        <v>115</v>
      </c>
      <c r="B42" s="15" t="s">
        <v>115</v>
      </c>
      <c r="C42" s="17">
        <f>COUNTIFS(Clean_Data!$AA$2:$AA$1001,"&gt;="&amp;$K42,Clean_Data!$AA$2:$AA$1001,"&lt;"&amp;$L42)</f>
        <v>489</v>
      </c>
      <c r="D42" s="17">
        <f>SUMIFS(Clean_Data!$U$2:$U$1001,Clean_Data!$AA$2:$AA$1001,"&gt;="&amp;$K42,Clean_Data!$AA$2:$AA$1001,"&lt;"&amp;$L42)</f>
        <v>28305</v>
      </c>
      <c r="E42" s="18">
        <f>IF($C42&gt;0,$D42/$C42,0)</f>
        <v>57.883435582822088</v>
      </c>
      <c r="F42" s="18">
        <f>IF($C42&gt;0,SUMIFS(Clean_Data!$S$2:$S$1001,Clean_Data!$AA$2:$AA$1001,"&gt;="&amp;$K42,Clean_Data!$AA$2:$AA$1001,"&lt;"&amp;$L42)/$C42,0)</f>
        <v>4.0858895705521476</v>
      </c>
      <c r="G42" s="18">
        <f>IF($C42&gt;0,SUMIFS(Clean_Data!$T$2:$T$1001,Clean_Data!$AA$2:$AA$1001,"&gt;="&amp;$K42,Clean_Data!$AA$2:$AA$1001,"&lt;"&amp;$L42)/$C42,0)</f>
        <v>53.79754601226994</v>
      </c>
      <c r="H42" s="19">
        <f>IF($D42&gt;0,SUMIFS(Clean_Data!$T$2:$T$1001,Clean_Data!$AA$2:$AA$1001,"&gt;="&amp;$K42,Clean_Data!$AA$2:$AA$1001,"&lt;"&amp;$L42)/$D42,0)</f>
        <v>0.92941176470588238</v>
      </c>
      <c r="I42" s="19">
        <f>$D42/SUM(Clean_Data!$U$2:$U$1001)</f>
        <v>0.48547269484083427</v>
      </c>
      <c r="K42" s="21">
        <v>0</v>
      </c>
      <c r="L42" s="21">
        <v>5</v>
      </c>
    </row>
    <row r="43" spans="1:12" x14ac:dyDescent="0.35">
      <c r="A43" s="21" t="s">
        <v>116</v>
      </c>
      <c r="B43" s="15" t="s">
        <v>116</v>
      </c>
      <c r="C43" s="17">
        <f>COUNTIFS(Clean_Data!$AA$2:$AA$1001,"&gt;="&amp;$K43,Clean_Data!$AA$2:$AA$1001,"&lt;"&amp;$L43)</f>
        <v>132</v>
      </c>
      <c r="D43" s="17">
        <f>SUMIFS(Clean_Data!$U$2:$U$1001,Clean_Data!$AA$2:$AA$1001,"&gt;="&amp;$K43,Clean_Data!$AA$2:$AA$1001,"&lt;"&amp;$L43)</f>
        <v>11815</v>
      </c>
      <c r="E43" s="18">
        <f>IF($C43&gt;0,$D43/$C43,0)</f>
        <v>89.507575757575751</v>
      </c>
      <c r="F43" s="18">
        <f>IF($C43&gt;0,SUMIFS(Clean_Data!$S$2:$S$1001,Clean_Data!$AA$2:$AA$1001,"&gt;="&amp;$K43,Clean_Data!$AA$2:$AA$1001,"&lt;"&amp;$L43)/$C43,0)</f>
        <v>12.765151515151516</v>
      </c>
      <c r="G43" s="18">
        <f>IF($C43&gt;0,SUMIFS(Clean_Data!$T$2:$T$1001,Clean_Data!$AA$2:$AA$1001,"&gt;="&amp;$K43,Clean_Data!$AA$2:$AA$1001,"&lt;"&amp;$L43)/$C43,0)</f>
        <v>76.742424242424249</v>
      </c>
      <c r="H43" s="19">
        <f>IF($D43&gt;0,SUMIFS(Clean_Data!$T$2:$T$1001,Clean_Data!$AA$2:$AA$1001,"&gt;="&amp;$K43,Clean_Data!$AA$2:$AA$1001,"&lt;"&amp;$L43)/$D43,0)</f>
        <v>0.85738468049090144</v>
      </c>
      <c r="I43" s="19">
        <f>$D43/SUM(Clean_Data!$U$2:$U$1001)</f>
        <v>0.20264475850713501</v>
      </c>
      <c r="K43" s="21">
        <v>5</v>
      </c>
      <c r="L43" s="21">
        <v>10</v>
      </c>
    </row>
    <row r="44" spans="1:12" x14ac:dyDescent="0.35">
      <c r="A44" s="21" t="s">
        <v>117</v>
      </c>
      <c r="B44" s="15" t="s">
        <v>117</v>
      </c>
      <c r="C44" s="17">
        <f>COUNTIFS(Clean_Data!$AA$2:$AA$1001,"&gt;="&amp;$K44,Clean_Data!$AA$2:$AA$1001,"&lt;"&amp;$L44)</f>
        <v>33</v>
      </c>
      <c r="D44" s="17">
        <f>SUMIFS(Clean_Data!$U$2:$U$1001,Clean_Data!$AA$2:$AA$1001,"&gt;="&amp;$K44,Clean_Data!$AA$2:$AA$1001,"&lt;"&amp;$L44)</f>
        <v>1963</v>
      </c>
      <c r="E44" s="18">
        <f>IF($C44&gt;0,$D44/$C44,0)</f>
        <v>59.484848484848484</v>
      </c>
      <c r="F44" s="18">
        <f>IF($C44&gt;0,SUMIFS(Clean_Data!$S$2:$S$1001,Clean_Data!$AA$2:$AA$1001,"&gt;="&amp;$K44,Clean_Data!$AA$2:$AA$1001,"&lt;"&amp;$L44)/$C44,0)</f>
        <v>15.151515151515152</v>
      </c>
      <c r="G44" s="18">
        <f>IF($C44&gt;0,SUMIFS(Clean_Data!$T$2:$T$1001,Clean_Data!$AA$2:$AA$1001,"&gt;="&amp;$K44,Clean_Data!$AA$2:$AA$1001,"&lt;"&amp;$L44)/$C44,0)</f>
        <v>44.333333333333336</v>
      </c>
      <c r="H44" s="19">
        <f>IF($D44&gt;0,SUMIFS(Clean_Data!$T$2:$T$1001,Clean_Data!$AA$2:$AA$1001,"&gt;="&amp;$K44,Clean_Data!$AA$2:$AA$1001,"&lt;"&amp;$L44)/$D44,0)</f>
        <v>0.74528782475802346</v>
      </c>
      <c r="I44" s="19">
        <f>$D44/SUM(Clean_Data!$U$2:$U$1001)</f>
        <v>3.3668358946212951E-2</v>
      </c>
      <c r="K44" s="21">
        <v>10</v>
      </c>
      <c r="L44" s="21">
        <v>100</v>
      </c>
    </row>
    <row r="45" spans="1:12" x14ac:dyDescent="0.35">
      <c r="A45" s="29" t="s">
        <v>166</v>
      </c>
      <c r="B45" s="29"/>
      <c r="C45" s="30">
        <f>SUM(C41:C44)</f>
        <v>1000</v>
      </c>
      <c r="D45" s="30">
        <f>SUM(D41:D44)</f>
        <v>58304</v>
      </c>
      <c r="E45" s="31">
        <f>D45/C45</f>
        <v>58.304000000000002</v>
      </c>
      <c r="F45" s="31"/>
      <c r="G45" s="31"/>
      <c r="H45" s="32"/>
      <c r="I45" s="32">
        <f>SUM(I41:I44)</f>
        <v>1</v>
      </c>
    </row>
    <row r="48" spans="1:12" x14ac:dyDescent="0.35">
      <c r="A48" s="1" t="s">
        <v>184</v>
      </c>
    </row>
    <row r="49" spans="1:12" ht="30" customHeight="1" x14ac:dyDescent="0.35">
      <c r="A49" s="9" t="s">
        <v>161</v>
      </c>
      <c r="B49" s="9" t="s">
        <v>162</v>
      </c>
      <c r="C49" s="9" t="s">
        <v>163</v>
      </c>
      <c r="D49" s="9" t="s">
        <v>71</v>
      </c>
      <c r="E49" s="9" t="s">
        <v>164</v>
      </c>
      <c r="F49" s="9" t="s">
        <v>104</v>
      </c>
      <c r="G49" s="9" t="s">
        <v>105</v>
      </c>
      <c r="H49" s="9" t="s">
        <v>74</v>
      </c>
      <c r="I49" s="9" t="s">
        <v>165</v>
      </c>
      <c r="K49" s="9" t="s">
        <v>182</v>
      </c>
      <c r="L49" s="9" t="s">
        <v>183</v>
      </c>
    </row>
    <row r="50" spans="1:12" x14ac:dyDescent="0.35">
      <c r="A50" s="21" t="s">
        <v>185</v>
      </c>
      <c r="B50" s="15" t="s">
        <v>185</v>
      </c>
      <c r="C50" s="17">
        <f>COUNTIFS(Clean_Data!$AC$2:$AC$1001,"&gt;="&amp;$K50,Clean_Data!$AC$2:$AC$1001,"&lt;"&amp;$L50)</f>
        <v>159</v>
      </c>
      <c r="D50" s="17">
        <f>SUMIFS(Clean_Data!$U$2:$U$1001,Clean_Data!$AC$2:$AC$1001,"&gt;="&amp;$K50,Clean_Data!$AC$2:$AC$1001,"&lt;"&amp;$L50)</f>
        <v>13194</v>
      </c>
      <c r="E50" s="18">
        <f>IF($C50&gt;0,$D50/$C50,0)</f>
        <v>82.981132075471692</v>
      </c>
      <c r="F50" s="18">
        <f>IF($C50&gt;0,SUMIFS(Clean_Data!$S$2:$S$1001,Clean_Data!$AC$2:$AC$1001,"&gt;="&amp;$K50,Clean_Data!$AC$2:$AC$1001,"&lt;"&amp;$L50)/$C50,0)</f>
        <v>10.459119496855346</v>
      </c>
      <c r="G50" s="18">
        <f>IF($C50&gt;0,SUMIFS(Clean_Data!$T$2:$T$1001,Clean_Data!$AC$2:$AC$1001,"&gt;="&amp;$K50,Clean_Data!$AC$2:$AC$1001,"&lt;"&amp;$L50)/$C50,0)</f>
        <v>72.522012578616355</v>
      </c>
      <c r="H50" s="19">
        <f>IF($D50&gt;0,SUMIFS(Clean_Data!$T$2:$T$1001,Clean_Data!$AC$2:$AC$1001,"&gt;="&amp;$K50,Clean_Data!$AC$2:$AC$1001,"&lt;"&amp;$L50)/$D50,0)</f>
        <v>0.87395785963316663</v>
      </c>
      <c r="I50" s="19">
        <f>$D50/SUM(Clean_Data!$U$2:$U$1001)</f>
        <v>0.22629665203073546</v>
      </c>
      <c r="K50" s="21">
        <v>0</v>
      </c>
      <c r="L50" s="21">
        <v>40</v>
      </c>
    </row>
    <row r="51" spans="1:12" x14ac:dyDescent="0.35">
      <c r="A51" s="21" t="s">
        <v>186</v>
      </c>
      <c r="B51" s="15" t="s">
        <v>186</v>
      </c>
      <c r="C51" s="17">
        <f>COUNTIFS(Clean_Data!$AC$2:$AC$1001,"&gt;="&amp;$K51,Clean_Data!$AC$2:$AC$1001,"&lt;"&amp;$L51)</f>
        <v>578</v>
      </c>
      <c r="D51" s="17">
        <f>SUMIFS(Clean_Data!$U$2:$U$1001,Clean_Data!$AC$2:$AC$1001,"&gt;="&amp;$K51,Clean_Data!$AC$2:$AC$1001,"&lt;"&amp;$L51)</f>
        <v>33124</v>
      </c>
      <c r="E51" s="18">
        <f>IF($C51&gt;0,$D51/$C51,0)</f>
        <v>57.307958477508649</v>
      </c>
      <c r="F51" s="18">
        <f>IF($C51&gt;0,SUMIFS(Clean_Data!$S$2:$S$1001,Clean_Data!$AC$2:$AC$1001,"&gt;="&amp;$K51,Clean_Data!$AC$2:$AC$1001,"&lt;"&amp;$L51)/$C51,0)</f>
        <v>4.1280276816608996</v>
      </c>
      <c r="G51" s="18">
        <f>IF($C51&gt;0,SUMIFS(Clean_Data!$T$2:$T$1001,Clean_Data!$AC$2:$AC$1001,"&gt;="&amp;$K51,Clean_Data!$AC$2:$AC$1001,"&lt;"&amp;$L51)/$C51,0)</f>
        <v>53.179930795847753</v>
      </c>
      <c r="H51" s="19">
        <f>IF($D51&gt;0,SUMIFS(Clean_Data!$T$2:$T$1001,Clean_Data!$AC$2:$AC$1001,"&gt;="&amp;$K51,Clean_Data!$AC$2:$AC$1001,"&lt;"&amp;$L51)/$D51,0)</f>
        <v>0.92796763675884553</v>
      </c>
      <c r="I51" s="19">
        <f>$D51/SUM(Clean_Data!$U$2:$U$1001)</f>
        <v>0.56812568605927549</v>
      </c>
      <c r="K51" s="21">
        <v>40</v>
      </c>
      <c r="L51" s="21">
        <v>70</v>
      </c>
    </row>
    <row r="52" spans="1:12" x14ac:dyDescent="0.35">
      <c r="A52" s="21" t="s">
        <v>187</v>
      </c>
      <c r="B52" s="15" t="s">
        <v>187</v>
      </c>
      <c r="C52" s="17">
        <f>COUNTIFS(Clean_Data!$AC$2:$AC$1001,"&gt;="&amp;$K52,Clean_Data!$AC$2:$AC$1001,"&lt;"&amp;$L52)</f>
        <v>263</v>
      </c>
      <c r="D52" s="17">
        <f>SUMIFS(Clean_Data!$U$2:$U$1001,Clean_Data!$AC$2:$AC$1001,"&gt;="&amp;$K52,Clean_Data!$AC$2:$AC$1001,"&lt;"&amp;$L52)</f>
        <v>11986</v>
      </c>
      <c r="E52" s="18">
        <f>IF($C52&gt;0,$D52/$C52,0)</f>
        <v>45.574144486692013</v>
      </c>
      <c r="F52" s="18">
        <f>IF($C52&gt;0,SUMIFS(Clean_Data!$S$2:$S$1001,Clean_Data!$AC$2:$AC$1001,"&gt;="&amp;$K52,Clean_Data!$AC$2:$AC$1001,"&lt;"&amp;$L52)/$C52,0)</f>
        <v>3.3155893536121672</v>
      </c>
      <c r="G52" s="18">
        <f>IF($C52&gt;0,SUMIFS(Clean_Data!$T$2:$T$1001,Clean_Data!$AC$2:$AC$1001,"&gt;="&amp;$K52,Clean_Data!$AC$2:$AC$1001,"&lt;"&amp;$L52)/$C52,0)</f>
        <v>42.258555133079845</v>
      </c>
      <c r="H52" s="19">
        <f>IF($D52&gt;0,SUMIFS(Clean_Data!$T$2:$T$1001,Clean_Data!$AC$2:$AC$1001,"&gt;="&amp;$K52,Clean_Data!$AC$2:$AC$1001,"&lt;"&amp;$L52)/$D52,0)</f>
        <v>0.92724845653262145</v>
      </c>
      <c r="I52" s="19">
        <f>$D52/SUM(Clean_Data!$U$2:$U$1001)</f>
        <v>0.20557766190998902</v>
      </c>
      <c r="K52" s="21">
        <v>70</v>
      </c>
      <c r="L52" s="21">
        <v>101</v>
      </c>
    </row>
    <row r="53" spans="1:12" x14ac:dyDescent="0.35">
      <c r="A53" s="29" t="s">
        <v>166</v>
      </c>
      <c r="B53" s="29"/>
      <c r="C53" s="30">
        <f>SUM(C50:C52)</f>
        <v>1000</v>
      </c>
      <c r="D53" s="30">
        <f>SUM(D50:D52)</f>
        <v>58304</v>
      </c>
      <c r="E53" s="31">
        <f>D53/C53</f>
        <v>58.304000000000002</v>
      </c>
      <c r="F53" s="31"/>
      <c r="G53" s="31"/>
      <c r="H53" s="32"/>
      <c r="I53" s="32">
        <f>SUM(I50:I52)</f>
        <v>1</v>
      </c>
    </row>
  </sheetData>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K31"/>
  <sheetViews>
    <sheetView zoomScaleNormal="100" workbookViewId="0">
      <pane ySplit="4" topLeftCell="A5" activePane="bottomLeft" state="frozen"/>
      <selection pane="bottomLeft"/>
    </sheetView>
  </sheetViews>
  <sheetFormatPr defaultColWidth="8.6328125" defaultRowHeight="14.5" x14ac:dyDescent="0.35"/>
  <cols>
    <col min="1" max="11" width="14" customWidth="1"/>
  </cols>
  <sheetData>
    <row r="1" spans="1:11" ht="20" x14ac:dyDescent="0.4">
      <c r="A1" s="28" t="s">
        <v>188</v>
      </c>
    </row>
    <row r="2" spans="1:11" x14ac:dyDescent="0.35">
      <c r="A2" s="14" t="s">
        <v>189</v>
      </c>
    </row>
    <row r="4" spans="1:11" ht="42" customHeight="1" x14ac:dyDescent="0.35">
      <c r="A4" s="9" t="s">
        <v>79</v>
      </c>
      <c r="B4" s="9" t="s">
        <v>190</v>
      </c>
      <c r="C4" s="9" t="s">
        <v>191</v>
      </c>
      <c r="D4" s="9" t="s">
        <v>192</v>
      </c>
      <c r="E4" s="9" t="s">
        <v>193</v>
      </c>
      <c r="F4" s="9" t="s">
        <v>194</v>
      </c>
      <c r="G4" s="9" t="s">
        <v>195</v>
      </c>
      <c r="H4" s="9" t="s">
        <v>196</v>
      </c>
      <c r="I4" s="9" t="s">
        <v>104</v>
      </c>
      <c r="J4" s="9" t="s">
        <v>105</v>
      </c>
      <c r="K4" s="9" t="s">
        <v>197</v>
      </c>
    </row>
    <row r="5" spans="1:11" x14ac:dyDescent="0.35">
      <c r="A5" s="15">
        <v>0</v>
      </c>
      <c r="B5" s="17">
        <f>COUNTIFS(Clean_Data!$J$2:$J$1001,$A5,Clean_Data!$V$2:$V$1001,"Weekday")</f>
        <v>28</v>
      </c>
      <c r="C5" s="18">
        <f>IF($B5&gt;0,AVERAGEIFS(Clean_Data!$U$2:$U$1001,Clean_Data!$J$2:$J$1001,$A5,Clean_Data!$V$2:$V$1001,"Weekday"),0)</f>
        <v>10.464285714285714</v>
      </c>
      <c r="D5" s="18">
        <f>IF($B5&gt;1,SQRT(MAX(0,(SUMPRODUCT((Clean_Data!$J$2:$J$1001=$A5)*(Clean_Data!$V$2:$V$1001="Weekday")*Clean_Data!$U$2:$U$1001^2)-$B5*$C5^2)/($B5-1))),0)</f>
        <v>4.8264866668181696</v>
      </c>
      <c r="E5" s="17">
        <f>COUNTIFS(Clean_Data!$J$2:$J$1001,$A5,Clean_Data!$V$2:$V$1001,"&lt;&gt;Weekday")</f>
        <v>15</v>
      </c>
      <c r="F5" s="18">
        <f>IF($E5&gt;0,AVERAGEIFS(Clean_Data!$U$2:$U$1001,Clean_Data!$J$2:$J$1001,$A5,Clean_Data!$V$2:$V$1001,"&lt;&gt;Weekday"),0)</f>
        <v>27.333333333333332</v>
      </c>
      <c r="G5" s="18">
        <f>IF($E5&gt;1,SQRT(MAX(0,(SUMPRODUCT((Clean_Data!$J$2:$J$1001=$A5)*(Clean_Data!$V$2:$V$1001&lt;&gt;"Weekday")*Clean_Data!$U$2:$U$1001^2)-$E5*$F5^2)/($E5-1))),0)</f>
        <v>9.146948489341499</v>
      </c>
      <c r="H5" s="18">
        <f>IFERROR(AVERAGEIFS(Clean_Data!$U$2:$U$1001,Clean_Data!$J$2:$J$1001,$A5),0)</f>
        <v>16.348837209302324</v>
      </c>
      <c r="I5" s="18">
        <f>IFERROR(AVERAGEIFS(Clean_Data!$S$2:$S$1001,Clean_Data!$J$2:$J$1001,$A5),0)</f>
        <v>1.7209302325581395</v>
      </c>
      <c r="J5" s="18">
        <f>IFERROR(AVERAGEIFS(Clean_Data!$T$2:$T$1001,Clean_Data!$J$2:$J$1001,$A5),0)</f>
        <v>14.627906976744185</v>
      </c>
      <c r="K5" s="17">
        <f>SUMIFS(Clean_Data!$U$2:$U$1001,Clean_Data!$J$2:$J$1001,$A5)</f>
        <v>703</v>
      </c>
    </row>
    <row r="6" spans="1:11" x14ac:dyDescent="0.35">
      <c r="A6" s="15">
        <v>1</v>
      </c>
      <c r="B6" s="17">
        <f>COUNTIFS(Clean_Data!$J$2:$J$1001,$A6,Clean_Data!$V$2:$V$1001,"Weekday")</f>
        <v>28</v>
      </c>
      <c r="C6" s="18">
        <f>IF($B6&gt;0,AVERAGEIFS(Clean_Data!$U$2:$U$1001,Clean_Data!$J$2:$J$1001,$A6,Clean_Data!$V$2:$V$1001,"Weekday"),0)</f>
        <v>4.7142857142857144</v>
      </c>
      <c r="D6" s="18">
        <f>IF($B6&gt;1,SQRT(MAX(0,(SUMPRODUCT((Clean_Data!$J$2:$J$1001=$A6)*(Clean_Data!$V$2:$V$1001="Weekday")*Clean_Data!$U$2:$U$1001^2)-$B6*$C6^2)/($B6-1))),0)</f>
        <v>2.0158105227158782</v>
      </c>
      <c r="E6" s="17">
        <f>COUNTIFS(Clean_Data!$J$2:$J$1001,$A6,Clean_Data!$V$2:$V$1001,"&lt;&gt;Weekday")</f>
        <v>15</v>
      </c>
      <c r="F6" s="18">
        <f>IF($E6&gt;0,AVERAGEIFS(Clean_Data!$U$2:$U$1001,Clean_Data!$J$2:$J$1001,$A6,Clean_Data!$V$2:$V$1001,"&lt;&gt;Weekday"),0)</f>
        <v>21.866666666666667</v>
      </c>
      <c r="G6" s="18">
        <f>IF($E6&gt;1,SQRT(MAX(0,(SUMPRODUCT((Clean_Data!$J$2:$J$1001=$A6)*(Clean_Data!$V$2:$V$1001&lt;&gt;"Weekday")*Clean_Data!$U$2:$U$1001^2)-$E6*$F6^2)/($E6-1))),0)</f>
        <v>9.5159014787029488</v>
      </c>
      <c r="H6" s="18">
        <f>IFERROR(AVERAGEIFS(Clean_Data!$U$2:$U$1001,Clean_Data!$J$2:$J$1001,$A6),0)</f>
        <v>10.697674418604651</v>
      </c>
      <c r="I6" s="18">
        <f>IFERROR(AVERAGEIFS(Clean_Data!$S$2:$S$1001,Clean_Data!$J$2:$J$1001,$A6),0)</f>
        <v>1.1162790697674418</v>
      </c>
      <c r="J6" s="18">
        <f>IFERROR(AVERAGEIFS(Clean_Data!$T$2:$T$1001,Clean_Data!$J$2:$J$1001,$A6),0)</f>
        <v>9.5813953488372086</v>
      </c>
      <c r="K6" s="17">
        <f>SUMIFS(Clean_Data!$U$2:$U$1001,Clean_Data!$J$2:$J$1001,$A6)</f>
        <v>460</v>
      </c>
    </row>
    <row r="7" spans="1:11" x14ac:dyDescent="0.35">
      <c r="A7" s="15">
        <v>2</v>
      </c>
      <c r="B7" s="17">
        <f>COUNTIFS(Clean_Data!$J$2:$J$1001,$A7,Clean_Data!$V$2:$V$1001,"Weekday")</f>
        <v>26</v>
      </c>
      <c r="C7" s="18">
        <f>IF($B7&gt;0,AVERAGEIFS(Clean_Data!$U$2:$U$1001,Clean_Data!$J$2:$J$1001,$A7,Clean_Data!$V$2:$V$1001,"Weekday"),0)</f>
        <v>2.4230769230769229</v>
      </c>
      <c r="D7" s="18">
        <f>IF($B7&gt;1,SQRT(MAX(0,(SUMPRODUCT((Clean_Data!$J$2:$J$1001=$A7)*(Clean_Data!$V$2:$V$1001="Weekday")*Clean_Data!$U$2:$U$1001^2)-$B7*$C7^2)/($B7-1))),0)</f>
        <v>1.7475257233718062</v>
      </c>
      <c r="E7" s="17">
        <f>COUNTIFS(Clean_Data!$J$2:$J$1001,$A7,Clean_Data!$V$2:$V$1001,"&lt;&gt;Weekday")</f>
        <v>15</v>
      </c>
      <c r="F7" s="18">
        <f>IF($E7&gt;0,AVERAGEIFS(Clean_Data!$U$2:$U$1001,Clean_Data!$J$2:$J$1001,$A7,Clean_Data!$V$2:$V$1001,"&lt;&gt;Weekday"),0)</f>
        <v>15.4</v>
      </c>
      <c r="G7" s="18">
        <f>IF($E7&gt;1,SQRT(MAX(0,(SUMPRODUCT((Clean_Data!$J$2:$J$1001=$A7)*(Clean_Data!$V$2:$V$1001&lt;&gt;"Weekday")*Clean_Data!$U$2:$U$1001^2)-$E7*$F7^2)/($E7-1))),0)</f>
        <v>5.9377725501355147</v>
      </c>
      <c r="H7" s="18">
        <f>IFERROR(AVERAGEIFS(Clean_Data!$U$2:$U$1001,Clean_Data!$J$2:$J$1001,$A7),0)</f>
        <v>7.1707317073170733</v>
      </c>
      <c r="I7" s="18">
        <f>IFERROR(AVERAGEIFS(Clean_Data!$S$2:$S$1001,Clean_Data!$J$2:$J$1001,$A7),0)</f>
        <v>0.80487804878048785</v>
      </c>
      <c r="J7" s="18">
        <f>IFERROR(AVERAGEIFS(Clean_Data!$T$2:$T$1001,Clean_Data!$J$2:$J$1001,$A7),0)</f>
        <v>6.3658536585365857</v>
      </c>
      <c r="K7" s="17">
        <f>SUMIFS(Clean_Data!$U$2:$U$1001,Clean_Data!$J$2:$J$1001,$A7)</f>
        <v>294</v>
      </c>
    </row>
    <row r="8" spans="1:11" x14ac:dyDescent="0.35">
      <c r="A8" s="15">
        <v>3</v>
      </c>
      <c r="B8" s="17">
        <f>COUNTIFS(Clean_Data!$J$2:$J$1001,$A8,Clean_Data!$V$2:$V$1001,"Weekday")</f>
        <v>16</v>
      </c>
      <c r="C8" s="18">
        <f>IF($B8&gt;0,AVERAGEIFS(Clean_Data!$U$2:$U$1001,Clean_Data!$J$2:$J$1001,$A8,Clean_Data!$V$2:$V$1001,"Weekday"),0)</f>
        <v>1.375</v>
      </c>
      <c r="D8" s="18">
        <f>IF($B8&gt;1,SQRT(MAX(0,(SUMPRODUCT((Clean_Data!$J$2:$J$1001=$A8)*(Clean_Data!$V$2:$V$1001="Weekday")*Clean_Data!$U$2:$U$1001^2)-$B8*$C8^2)/($B8-1))),0)</f>
        <v>0.61913918736689033</v>
      </c>
      <c r="E8" s="17">
        <f>COUNTIFS(Clean_Data!$J$2:$J$1001,$A8,Clean_Data!$V$2:$V$1001,"&lt;&gt;Weekday")</f>
        <v>15</v>
      </c>
      <c r="F8" s="18">
        <f>IF($E8&gt;0,AVERAGEIFS(Clean_Data!$U$2:$U$1001,Clean_Data!$J$2:$J$1001,$A8,Clean_Data!$V$2:$V$1001,"&lt;&gt;Weekday"),0)</f>
        <v>8.6</v>
      </c>
      <c r="G8" s="18">
        <f>IF($E8&gt;1,SQRT(MAX(0,(SUMPRODUCT((Clean_Data!$J$2:$J$1001=$A8)*(Clean_Data!$V$2:$V$1001&lt;&gt;"Weekday")*Clean_Data!$U$2:$U$1001^2)-$E8*$F8^2)/($E8-1))),0)</f>
        <v>3.6800621112770844</v>
      </c>
      <c r="H8" s="18">
        <f>IFERROR(AVERAGEIFS(Clean_Data!$U$2:$U$1001,Clean_Data!$J$2:$J$1001,$A8),0)</f>
        <v>4.870967741935484</v>
      </c>
      <c r="I8" s="18">
        <f>IFERROR(AVERAGEIFS(Clean_Data!$S$2:$S$1001,Clean_Data!$J$2:$J$1001,$A8),0)</f>
        <v>1.096774193548387</v>
      </c>
      <c r="J8" s="18">
        <f>IFERROR(AVERAGEIFS(Clean_Data!$T$2:$T$1001,Clean_Data!$J$2:$J$1001,$A8),0)</f>
        <v>3.774193548387097</v>
      </c>
      <c r="K8" s="17">
        <f>SUMIFS(Clean_Data!$U$2:$U$1001,Clean_Data!$J$2:$J$1001,$A8)</f>
        <v>151</v>
      </c>
    </row>
    <row r="9" spans="1:11" x14ac:dyDescent="0.35">
      <c r="A9" s="15">
        <v>4</v>
      </c>
      <c r="B9" s="17">
        <f>COUNTIFS(Clean_Data!$J$2:$J$1001,$A9,Clean_Data!$V$2:$V$1001,"Weekday")</f>
        <v>18</v>
      </c>
      <c r="C9" s="18">
        <f>IF($B9&gt;0,AVERAGEIFS(Clean_Data!$U$2:$U$1001,Clean_Data!$J$2:$J$1001,$A9,Clean_Data!$V$2:$V$1001,"Weekday"),0)</f>
        <v>1.7222222222222223</v>
      </c>
      <c r="D9" s="18">
        <f>IF($B9&gt;1,SQRT(MAX(0,(SUMPRODUCT((Clean_Data!$J$2:$J$1001=$A9)*(Clean_Data!$V$2:$V$1001="Weekday")*Clean_Data!$U$2:$U$1001^2)-$B9*$C9^2)/($B9-1))),0)</f>
        <v>0.89479248698859848</v>
      </c>
      <c r="E9" s="17">
        <f>COUNTIFS(Clean_Data!$J$2:$J$1001,$A9,Clean_Data!$V$2:$V$1001,"&lt;&gt;Weekday")</f>
        <v>14</v>
      </c>
      <c r="F9" s="18">
        <f>IF($E9&gt;0,AVERAGEIFS(Clean_Data!$U$2:$U$1001,Clean_Data!$J$2:$J$1001,$A9,Clean_Data!$V$2:$V$1001,"&lt;&gt;Weekday"),0)</f>
        <v>2.7142857142857144</v>
      </c>
      <c r="G9" s="18">
        <f>IF($E9&gt;1,SQRT(MAX(0,(SUMPRODUCT((Clean_Data!$J$2:$J$1001=$A9)*(Clean_Data!$V$2:$V$1001&lt;&gt;"Weekday")*Clean_Data!$U$2:$U$1001^2)-$E9*$F9^2)/($E9-1))),0)</f>
        <v>1.9778998741311229</v>
      </c>
      <c r="H9" s="18">
        <f>IFERROR(AVERAGEIFS(Clean_Data!$U$2:$U$1001,Clean_Data!$J$2:$J$1001,$A9),0)</f>
        <v>2.15625</v>
      </c>
      <c r="I9" s="18">
        <f>IFERROR(AVERAGEIFS(Clean_Data!$S$2:$S$1001,Clean_Data!$J$2:$J$1001,$A9),0)</f>
        <v>0.21875</v>
      </c>
      <c r="J9" s="18">
        <f>IFERROR(AVERAGEIFS(Clean_Data!$T$2:$T$1001,Clean_Data!$J$2:$J$1001,$A9),0)</f>
        <v>1.9375</v>
      </c>
      <c r="K9" s="17">
        <f>SUMIFS(Clean_Data!$U$2:$U$1001,Clean_Data!$J$2:$J$1001,$A9)</f>
        <v>69</v>
      </c>
    </row>
    <row r="10" spans="1:11" x14ac:dyDescent="0.35">
      <c r="A10" s="15">
        <v>5</v>
      </c>
      <c r="B10" s="17">
        <f>COUNTIFS(Clean_Data!$J$2:$J$1001,$A10,Clean_Data!$V$2:$V$1001,"Weekday")</f>
        <v>28</v>
      </c>
      <c r="C10" s="18">
        <f>IF($B10&gt;0,AVERAGEIFS(Clean_Data!$U$2:$U$1001,Clean_Data!$J$2:$J$1001,$A10,Clean_Data!$V$2:$V$1001,"Weekday"),0)</f>
        <v>4.8571428571428568</v>
      </c>
      <c r="D10" s="18">
        <f>IF($B10&gt;1,SQRT(MAX(0,(SUMPRODUCT((Clean_Data!$J$2:$J$1001=$A10)*(Clean_Data!$V$2:$V$1001="Weekday")*Clean_Data!$U$2:$U$1001^2)-$B10*$C10^2)/($B10-1))),0)</f>
        <v>2.2724482753235922</v>
      </c>
      <c r="E10" s="17">
        <f>COUNTIFS(Clean_Data!$J$2:$J$1001,$A10,Clean_Data!$V$2:$V$1001,"&lt;&gt;Weekday")</f>
        <v>11</v>
      </c>
      <c r="F10" s="18">
        <f>IF($E10&gt;0,AVERAGEIFS(Clean_Data!$U$2:$U$1001,Clean_Data!$J$2:$J$1001,$A10,Clean_Data!$V$2:$V$1001,"&lt;&gt;Weekday"),0)</f>
        <v>2.5454545454545454</v>
      </c>
      <c r="G10" s="18">
        <f>IF($E10&gt;1,SQRT(MAX(0,(SUMPRODUCT((Clean_Data!$J$2:$J$1001=$A10)*(Clean_Data!$V$2:$V$1001&lt;&gt;"Weekday")*Clean_Data!$U$2:$U$1001^2)-$E10*$F10^2)/($E10-1))),0)</f>
        <v>2.5045413298101655</v>
      </c>
      <c r="H10" s="18">
        <f>IFERROR(AVERAGEIFS(Clean_Data!$U$2:$U$1001,Clean_Data!$J$2:$J$1001,$A10),0)</f>
        <v>4.2051282051282053</v>
      </c>
      <c r="I10" s="18">
        <f>IFERROR(AVERAGEIFS(Clean_Data!$S$2:$S$1001,Clean_Data!$J$2:$J$1001,$A10),0)</f>
        <v>7.6923076923076927E-2</v>
      </c>
      <c r="J10" s="18">
        <f>IFERROR(AVERAGEIFS(Clean_Data!$T$2:$T$1001,Clean_Data!$J$2:$J$1001,$A10),0)</f>
        <v>4.1282051282051286</v>
      </c>
      <c r="K10" s="17">
        <f>SUMIFS(Clean_Data!$U$2:$U$1001,Clean_Data!$J$2:$J$1001,$A10)</f>
        <v>164</v>
      </c>
    </row>
    <row r="11" spans="1:11" x14ac:dyDescent="0.35">
      <c r="A11" s="15">
        <v>6</v>
      </c>
      <c r="B11" s="17">
        <f>COUNTIFS(Clean_Data!$J$2:$J$1001,$A11,Clean_Data!$V$2:$V$1001,"Weekday")</f>
        <v>28</v>
      </c>
      <c r="C11" s="18">
        <f>IF($B11&gt;0,AVERAGEIFS(Clean_Data!$U$2:$U$1001,Clean_Data!$J$2:$J$1001,$A11,Clean_Data!$V$2:$V$1001,"Weekday"),0)</f>
        <v>28.178571428571427</v>
      </c>
      <c r="D11" s="18">
        <f>IF($B11&gt;1,SQRT(MAX(0,(SUMPRODUCT((Clean_Data!$J$2:$J$1001=$A11)*(Clean_Data!$V$2:$V$1001="Weekday")*Clean_Data!$U$2:$U$1001^2)-$B11*$C11^2)/($B11-1))),0)</f>
        <v>8.6540659312751504</v>
      </c>
      <c r="E11" s="17">
        <f>COUNTIFS(Clean_Data!$J$2:$J$1001,$A11,Clean_Data!$V$2:$V$1001,"&lt;&gt;Weekday")</f>
        <v>14</v>
      </c>
      <c r="F11" s="18">
        <f>IF($E11&gt;0,AVERAGEIFS(Clean_Data!$U$2:$U$1001,Clean_Data!$J$2:$J$1001,$A11,Clean_Data!$V$2:$V$1001,"&lt;&gt;Weekday"),0)</f>
        <v>2.3571428571428572</v>
      </c>
      <c r="G11" s="18">
        <f>IF($E11&gt;1,SQRT(MAX(0,(SUMPRODUCT((Clean_Data!$J$2:$J$1001=$A11)*(Clean_Data!$V$2:$V$1001&lt;&gt;"Weekday")*Clean_Data!$U$2:$U$1001^2)-$E11*$F11^2)/($E11-1))),0)</f>
        <v>1.3926810257774171</v>
      </c>
      <c r="H11" s="18">
        <f>IFERROR(AVERAGEIFS(Clean_Data!$U$2:$U$1001,Clean_Data!$J$2:$J$1001,$A11),0)</f>
        <v>19.571428571428573</v>
      </c>
      <c r="I11" s="18">
        <f>IFERROR(AVERAGEIFS(Clean_Data!$S$2:$S$1001,Clean_Data!$J$2:$J$1001,$A11),0)</f>
        <v>0.5</v>
      </c>
      <c r="J11" s="18">
        <f>IFERROR(AVERAGEIFS(Clean_Data!$T$2:$T$1001,Clean_Data!$J$2:$J$1001,$A11),0)</f>
        <v>19.071428571428573</v>
      </c>
      <c r="K11" s="17">
        <f>SUMIFS(Clean_Data!$U$2:$U$1001,Clean_Data!$J$2:$J$1001,$A11)</f>
        <v>822</v>
      </c>
    </row>
    <row r="12" spans="1:11" x14ac:dyDescent="0.35">
      <c r="A12" s="15">
        <v>7</v>
      </c>
      <c r="B12" s="17">
        <f>COUNTIFS(Clean_Data!$J$2:$J$1001,$A12,Clean_Data!$V$2:$V$1001,"Weekday")</f>
        <v>28</v>
      </c>
      <c r="C12" s="18">
        <f>IF($B12&gt;0,AVERAGEIFS(Clean_Data!$U$2:$U$1001,Clean_Data!$J$2:$J$1001,$A12,Clean_Data!$V$2:$V$1001,"Weekday"),0)</f>
        <v>80.357142857142861</v>
      </c>
      <c r="D12" s="18">
        <f>IF($B12&gt;1,SQRT(MAX(0,(SUMPRODUCT((Clean_Data!$J$2:$J$1001=$A12)*(Clean_Data!$V$2:$V$1001="Weekday")*Clean_Data!$U$2:$U$1001^2)-$B12*$C12^2)/($B12-1))),0)</f>
        <v>19.208821826932443</v>
      </c>
      <c r="E12" s="17">
        <f>COUNTIFS(Clean_Data!$J$2:$J$1001,$A12,Clean_Data!$V$2:$V$1001,"&lt;&gt;Weekday")</f>
        <v>15</v>
      </c>
      <c r="F12" s="18">
        <f>IF($E12&gt;0,AVERAGEIFS(Clean_Data!$U$2:$U$1001,Clean_Data!$J$2:$J$1001,$A12,Clean_Data!$V$2:$V$1001,"&lt;&gt;Weekday"),0)</f>
        <v>5.9333333333333336</v>
      </c>
      <c r="G12" s="18">
        <f>IF($E12&gt;1,SQRT(MAX(0,(SUMPRODUCT((Clean_Data!$J$2:$J$1001=$A12)*(Clean_Data!$V$2:$V$1001&lt;&gt;"Weekday")*Clean_Data!$U$2:$U$1001^2)-$E12*$F12^2)/($E12-1))),0)</f>
        <v>3.6735865438612021</v>
      </c>
      <c r="H12" s="18">
        <f>IFERROR(AVERAGEIFS(Clean_Data!$U$2:$U$1001,Clean_Data!$J$2:$J$1001,$A12),0)</f>
        <v>54.395348837209305</v>
      </c>
      <c r="I12" s="18">
        <f>IFERROR(AVERAGEIFS(Clean_Data!$S$2:$S$1001,Clean_Data!$J$2:$J$1001,$A12),0)</f>
        <v>1.4883720930232558</v>
      </c>
      <c r="J12" s="18">
        <f>IFERROR(AVERAGEIFS(Clean_Data!$T$2:$T$1001,Clean_Data!$J$2:$J$1001,$A12),0)</f>
        <v>52.906976744186046</v>
      </c>
      <c r="K12" s="17">
        <f>SUMIFS(Clean_Data!$U$2:$U$1001,Clean_Data!$J$2:$J$1001,$A12)</f>
        <v>2339</v>
      </c>
    </row>
    <row r="13" spans="1:11" x14ac:dyDescent="0.35">
      <c r="A13" s="15">
        <v>8</v>
      </c>
      <c r="B13" s="17">
        <f>COUNTIFS(Clean_Data!$J$2:$J$1001,$A13,Clean_Data!$V$2:$V$1001,"Weekday")</f>
        <v>27</v>
      </c>
      <c r="C13" s="18">
        <f>IF($B13&gt;0,AVERAGEIFS(Clean_Data!$U$2:$U$1001,Clean_Data!$J$2:$J$1001,$A13,Clean_Data!$V$2:$V$1001,"Weekday"),0)</f>
        <v>189.11111111111111</v>
      </c>
      <c r="D13" s="18">
        <f>IF($B13&gt;1,SQRT(MAX(0,(SUMPRODUCT((Clean_Data!$J$2:$J$1001=$A13)*(Clean_Data!$V$2:$V$1001="Weekday")*Clean_Data!$U$2:$U$1001^2)-$B13*$C13^2)/($B13-1))),0)</f>
        <v>39.536091917418418</v>
      </c>
      <c r="E13" s="17">
        <f>COUNTIFS(Clean_Data!$J$2:$J$1001,$A13,Clean_Data!$V$2:$V$1001,"&lt;&gt;Weekday")</f>
        <v>15</v>
      </c>
      <c r="F13" s="18">
        <f>IF($E13&gt;0,AVERAGEIFS(Clean_Data!$U$2:$U$1001,Clean_Data!$J$2:$J$1001,$A13,Clean_Data!$V$2:$V$1001,"&lt;&gt;Weekday"),0)</f>
        <v>18.8</v>
      </c>
      <c r="G13" s="18">
        <f>IF($E13&gt;1,SQRT(MAX(0,(SUMPRODUCT((Clean_Data!$J$2:$J$1001=$A13)*(Clean_Data!$V$2:$V$1001&lt;&gt;"Weekday")*Clean_Data!$U$2:$U$1001^2)-$E13*$F13^2)/($E13-1))),0)</f>
        <v>9.0884542140014091</v>
      </c>
      <c r="H13" s="18">
        <f>IFERROR(AVERAGEIFS(Clean_Data!$U$2:$U$1001,Clean_Data!$J$2:$J$1001,$A13),0)</f>
        <v>128.28571428571428</v>
      </c>
      <c r="I13" s="18">
        <f>IFERROR(AVERAGEIFS(Clean_Data!$S$2:$S$1001,Clean_Data!$J$2:$J$1001,$A13),0)</f>
        <v>3.0238095238095237</v>
      </c>
      <c r="J13" s="18">
        <f>IFERROR(AVERAGEIFS(Clean_Data!$T$2:$T$1001,Clean_Data!$J$2:$J$1001,$A13),0)</f>
        <v>125.26190476190476</v>
      </c>
      <c r="K13" s="17">
        <f>SUMIFS(Clean_Data!$U$2:$U$1001,Clean_Data!$J$2:$J$1001,$A13)</f>
        <v>5388</v>
      </c>
    </row>
    <row r="14" spans="1:11" x14ac:dyDescent="0.35">
      <c r="A14" s="15">
        <v>9</v>
      </c>
      <c r="B14" s="17">
        <f>COUNTIFS(Clean_Data!$J$2:$J$1001,$A14,Clean_Data!$V$2:$V$1001,"Weekday")</f>
        <v>27</v>
      </c>
      <c r="C14" s="18">
        <f>IF($B14&gt;0,AVERAGEIFS(Clean_Data!$U$2:$U$1001,Clean_Data!$J$2:$J$1001,$A14,Clean_Data!$V$2:$V$1001,"Weekday"),0)</f>
        <v>118.22222222222223</v>
      </c>
      <c r="D14" s="18">
        <f>IF($B14&gt;1,SQRT(MAX(0,(SUMPRODUCT((Clean_Data!$J$2:$J$1001=$A14)*(Clean_Data!$V$2:$V$1001="Weekday")*Clean_Data!$U$2:$U$1001^2)-$B14*$C14^2)/($B14-1))),0)</f>
        <v>22.404212058198265</v>
      </c>
      <c r="E14" s="17">
        <f>COUNTIFS(Clean_Data!$J$2:$J$1001,$A14,Clean_Data!$V$2:$V$1001,"&lt;&gt;Weekday")</f>
        <v>15</v>
      </c>
      <c r="F14" s="18">
        <f>IF($E14&gt;0,AVERAGEIFS(Clean_Data!$U$2:$U$1001,Clean_Data!$J$2:$J$1001,$A14,Clean_Data!$V$2:$V$1001,"&lt;&gt;Weekday"),0)</f>
        <v>32</v>
      </c>
      <c r="G14" s="18">
        <f>IF($E14&gt;1,SQRT(MAX(0,(SUMPRODUCT((Clean_Data!$J$2:$J$1001=$A14)*(Clean_Data!$V$2:$V$1001&lt;&gt;"Weekday")*Clean_Data!$U$2:$U$1001^2)-$E14*$F14^2)/($E14-1))),0)</f>
        <v>11.29475225808112</v>
      </c>
      <c r="H14" s="18">
        <f>IFERROR(AVERAGEIFS(Clean_Data!$U$2:$U$1001,Clean_Data!$J$2:$J$1001,$A14),0)</f>
        <v>87.428571428571431</v>
      </c>
      <c r="I14" s="18">
        <f>IFERROR(AVERAGEIFS(Clean_Data!$S$2:$S$1001,Clean_Data!$J$2:$J$1001,$A14),0)</f>
        <v>4.0952380952380949</v>
      </c>
      <c r="J14" s="18">
        <f>IFERROR(AVERAGEIFS(Clean_Data!$T$2:$T$1001,Clean_Data!$J$2:$J$1001,$A14),0)</f>
        <v>83.333333333333329</v>
      </c>
      <c r="K14" s="17">
        <f>SUMIFS(Clean_Data!$U$2:$U$1001,Clean_Data!$J$2:$J$1001,$A14)</f>
        <v>3672</v>
      </c>
    </row>
    <row r="15" spans="1:11" x14ac:dyDescent="0.35">
      <c r="A15" s="15">
        <v>10</v>
      </c>
      <c r="B15" s="17">
        <f>COUNTIFS(Clean_Data!$J$2:$J$1001,$A15,Clean_Data!$V$2:$V$1001,"Weekday")</f>
        <v>27</v>
      </c>
      <c r="C15" s="18">
        <f>IF($B15&gt;0,AVERAGEIFS(Clean_Data!$U$2:$U$1001,Clean_Data!$J$2:$J$1001,$A15,Clean_Data!$V$2:$V$1001,"Weekday"),0)</f>
        <v>48.777777777777779</v>
      </c>
      <c r="D15" s="18">
        <f>IF($B15&gt;1,SQRT(MAX(0,(SUMPRODUCT((Clean_Data!$J$2:$J$1001=$A15)*(Clean_Data!$V$2:$V$1001="Weekday")*Clean_Data!$U$2:$U$1001^2)-$B15*$C15^2)/($B15-1))),0)</f>
        <v>10.161516139652102</v>
      </c>
      <c r="E15" s="17">
        <f>COUNTIFS(Clean_Data!$J$2:$J$1001,$A15,Clean_Data!$V$2:$V$1001,"&lt;&gt;Weekday")</f>
        <v>15</v>
      </c>
      <c r="F15" s="18">
        <f>IF($E15&gt;0,AVERAGEIFS(Clean_Data!$U$2:$U$1001,Clean_Data!$J$2:$J$1001,$A15,Clean_Data!$V$2:$V$1001,"&lt;&gt;Weekday"),0)</f>
        <v>62.4</v>
      </c>
      <c r="G15" s="18">
        <f>IF($E15&gt;1,SQRT(MAX(0,(SUMPRODUCT((Clean_Data!$J$2:$J$1001=$A15)*(Clean_Data!$V$2:$V$1001&lt;&gt;"Weekday")*Clean_Data!$U$2:$U$1001^2)-$E15*$F15^2)/($E15-1))),0)</f>
        <v>19.353109753805914</v>
      </c>
      <c r="H15" s="18">
        <f>IFERROR(AVERAGEIFS(Clean_Data!$U$2:$U$1001,Clean_Data!$J$2:$J$1001,$A15),0)</f>
        <v>53.642857142857146</v>
      </c>
      <c r="I15" s="18">
        <f>IFERROR(AVERAGEIFS(Clean_Data!$S$2:$S$1001,Clean_Data!$J$2:$J$1001,$A15),0)</f>
        <v>5.1428571428571432</v>
      </c>
      <c r="J15" s="18">
        <f>IFERROR(AVERAGEIFS(Clean_Data!$T$2:$T$1001,Clean_Data!$J$2:$J$1001,$A15),0)</f>
        <v>48.5</v>
      </c>
      <c r="K15" s="17">
        <f>SUMIFS(Clean_Data!$U$2:$U$1001,Clean_Data!$J$2:$J$1001,$A15)</f>
        <v>2253</v>
      </c>
    </row>
    <row r="16" spans="1:11" x14ac:dyDescent="0.35">
      <c r="A16" s="15">
        <v>11</v>
      </c>
      <c r="B16" s="17">
        <f>COUNTIFS(Clean_Data!$J$2:$J$1001,$A16,Clean_Data!$V$2:$V$1001,"Weekday")</f>
        <v>27</v>
      </c>
      <c r="C16" s="18">
        <f>IF($B16&gt;0,AVERAGEIFS(Clean_Data!$U$2:$U$1001,Clean_Data!$J$2:$J$1001,$A16,Clean_Data!$V$2:$V$1001,"Weekday"),0)</f>
        <v>50.111111111111114</v>
      </c>
      <c r="D16" s="18">
        <f>IF($B16&gt;1,SQRT(MAX(0,(SUMPRODUCT((Clean_Data!$J$2:$J$1001=$A16)*(Clean_Data!$V$2:$V$1001="Weekday")*Clean_Data!$U$2:$U$1001^2)-$B16*$C16^2)/($B16-1))),0)</f>
        <v>11.098625463519651</v>
      </c>
      <c r="E16" s="17">
        <f>COUNTIFS(Clean_Data!$J$2:$J$1001,$A16,Clean_Data!$V$2:$V$1001,"&lt;&gt;Weekday")</f>
        <v>15</v>
      </c>
      <c r="F16" s="18">
        <f>IF($E16&gt;0,AVERAGEIFS(Clean_Data!$U$2:$U$1001,Clean_Data!$J$2:$J$1001,$A16,Clean_Data!$V$2:$V$1001,"&lt;&gt;Weekday"),0)</f>
        <v>76.066666666666663</v>
      </c>
      <c r="G16" s="18">
        <f>IF($E16&gt;1,SQRT(MAX(0,(SUMPRODUCT((Clean_Data!$J$2:$J$1001=$A16)*(Clean_Data!$V$2:$V$1001&lt;&gt;"Weekday")*Clean_Data!$U$2:$U$1001^2)-$E16*$F16^2)/($E16-1))),0)</f>
        <v>24.20586312288431</v>
      </c>
      <c r="H16" s="18">
        <f>IFERROR(AVERAGEIFS(Clean_Data!$U$2:$U$1001,Clean_Data!$J$2:$J$1001,$A16),0)</f>
        <v>59.38095238095238</v>
      </c>
      <c r="I16" s="18">
        <f>IFERROR(AVERAGEIFS(Clean_Data!$S$2:$S$1001,Clean_Data!$J$2:$J$1001,$A16),0)</f>
        <v>8.7380952380952372</v>
      </c>
      <c r="J16" s="18">
        <f>IFERROR(AVERAGEIFS(Clean_Data!$T$2:$T$1001,Clean_Data!$J$2:$J$1001,$A16),0)</f>
        <v>50.642857142857146</v>
      </c>
      <c r="K16" s="17">
        <f>SUMIFS(Clean_Data!$U$2:$U$1001,Clean_Data!$J$2:$J$1001,$A16)</f>
        <v>2494</v>
      </c>
    </row>
    <row r="17" spans="1:11" x14ac:dyDescent="0.35">
      <c r="A17" s="15">
        <v>12</v>
      </c>
      <c r="B17" s="17">
        <f>COUNTIFS(Clean_Data!$J$2:$J$1001,$A17,Clean_Data!$V$2:$V$1001,"Weekday")</f>
        <v>28</v>
      </c>
      <c r="C17" s="18">
        <f>IF($B17&gt;0,AVERAGEIFS(Clean_Data!$U$2:$U$1001,Clean_Data!$J$2:$J$1001,$A17,Clean_Data!$V$2:$V$1001,"Weekday"),0)</f>
        <v>64.035714285714292</v>
      </c>
      <c r="D17" s="18">
        <f>IF($B17&gt;1,SQRT(MAX(0,(SUMPRODUCT((Clean_Data!$J$2:$J$1001=$A17)*(Clean_Data!$V$2:$V$1001="Weekday")*Clean_Data!$U$2:$U$1001^2)-$B17*$C17^2)/($B17-1))),0)</f>
        <v>18.831577386886792</v>
      </c>
      <c r="E17" s="17">
        <f>COUNTIFS(Clean_Data!$J$2:$J$1001,$A17,Clean_Data!$V$2:$V$1001,"&lt;&gt;Weekday")</f>
        <v>15</v>
      </c>
      <c r="F17" s="18">
        <f>IF($E17&gt;0,AVERAGEIFS(Clean_Data!$U$2:$U$1001,Clean_Data!$J$2:$J$1001,$A17,Clean_Data!$V$2:$V$1001,"&lt;&gt;Weekday"),0)</f>
        <v>99.333333333333329</v>
      </c>
      <c r="G17" s="18">
        <f>IF($E17&gt;1,SQRT(MAX(0,(SUMPRODUCT((Clean_Data!$J$2:$J$1001=$A17)*(Clean_Data!$V$2:$V$1001&lt;&gt;"Weekday")*Clean_Data!$U$2:$U$1001^2)-$E17*$F17^2)/($E17-1))),0)</f>
        <v>31.237950057734686</v>
      </c>
      <c r="H17" s="18">
        <f>IFERROR(AVERAGEIFS(Clean_Data!$U$2:$U$1001,Clean_Data!$J$2:$J$1001,$A17),0)</f>
        <v>76.348837209302332</v>
      </c>
      <c r="I17" s="18">
        <f>IFERROR(AVERAGEIFS(Clean_Data!$S$2:$S$1001,Clean_Data!$J$2:$J$1001,$A17),0)</f>
        <v>11.209302325581396</v>
      </c>
      <c r="J17" s="18">
        <f>IFERROR(AVERAGEIFS(Clean_Data!$T$2:$T$1001,Clean_Data!$J$2:$J$1001,$A17),0)</f>
        <v>65.139534883720927</v>
      </c>
      <c r="K17" s="17">
        <f>SUMIFS(Clean_Data!$U$2:$U$1001,Clean_Data!$J$2:$J$1001,$A17)</f>
        <v>3283</v>
      </c>
    </row>
    <row r="18" spans="1:11" x14ac:dyDescent="0.35">
      <c r="A18" s="15">
        <v>13</v>
      </c>
      <c r="B18" s="17">
        <f>COUNTIFS(Clean_Data!$J$2:$J$1001,$A18,Clean_Data!$V$2:$V$1001,"Weekday")</f>
        <v>28</v>
      </c>
      <c r="C18" s="18">
        <f>IF($B18&gt;0,AVERAGEIFS(Clean_Data!$U$2:$U$1001,Clean_Data!$J$2:$J$1001,$A18,Clean_Data!$V$2:$V$1001,"Weekday"),0)</f>
        <v>66.25</v>
      </c>
      <c r="D18" s="18">
        <f>IF($B18&gt;1,SQRT(MAX(0,(SUMPRODUCT((Clean_Data!$J$2:$J$1001=$A18)*(Clean_Data!$V$2:$V$1001="Weekday")*Clean_Data!$U$2:$U$1001^2)-$B18*$C18^2)/($B18-1))),0)</f>
        <v>19.930666859929236</v>
      </c>
      <c r="E18" s="17">
        <f>COUNTIFS(Clean_Data!$J$2:$J$1001,$A18,Clean_Data!$V$2:$V$1001,"&lt;&gt;Weekday")</f>
        <v>15</v>
      </c>
      <c r="F18" s="18">
        <f>IF($E18&gt;0,AVERAGEIFS(Clean_Data!$U$2:$U$1001,Clean_Data!$J$2:$J$1001,$A18,Clean_Data!$V$2:$V$1001,"&lt;&gt;Weekday"),0)</f>
        <v>101.4</v>
      </c>
      <c r="G18" s="18">
        <f>IF($E18&gt;1,SQRT(MAX(0,(SUMPRODUCT((Clean_Data!$J$2:$J$1001=$A18)*(Clean_Data!$V$2:$V$1001&lt;&gt;"Weekday")*Clean_Data!$U$2:$U$1001^2)-$E18*$F18^2)/($E18-1))),0)</f>
        <v>32.938904483474055</v>
      </c>
      <c r="H18" s="18">
        <f>IFERROR(AVERAGEIFS(Clean_Data!$U$2:$U$1001,Clean_Data!$J$2:$J$1001,$A18),0)</f>
        <v>78.511627906976742</v>
      </c>
      <c r="I18" s="18">
        <f>IFERROR(AVERAGEIFS(Clean_Data!$S$2:$S$1001,Clean_Data!$J$2:$J$1001,$A18),0)</f>
        <v>11.930232558139535</v>
      </c>
      <c r="J18" s="18">
        <f>IFERROR(AVERAGEIFS(Clean_Data!$T$2:$T$1001,Clean_Data!$J$2:$J$1001,$A18),0)</f>
        <v>66.581395348837205</v>
      </c>
      <c r="K18" s="17">
        <f>SUMIFS(Clean_Data!$U$2:$U$1001,Clean_Data!$J$2:$J$1001,$A18)</f>
        <v>3376</v>
      </c>
    </row>
    <row r="19" spans="1:11" x14ac:dyDescent="0.35">
      <c r="A19" s="15">
        <v>14</v>
      </c>
      <c r="B19" s="17">
        <f>COUNTIFS(Clean_Data!$J$2:$J$1001,$A19,Clean_Data!$V$2:$V$1001,"Weekday")</f>
        <v>28</v>
      </c>
      <c r="C19" s="18">
        <f>IF($B19&gt;0,AVERAGEIFS(Clean_Data!$U$2:$U$1001,Clean_Data!$J$2:$J$1001,$A19,Clean_Data!$V$2:$V$1001,"Weekday"),0)</f>
        <v>59.642857142857146</v>
      </c>
      <c r="D19" s="18">
        <f>IF($B19&gt;1,SQRT(MAX(0,(SUMPRODUCT((Clean_Data!$J$2:$J$1001=$A19)*(Clean_Data!$V$2:$V$1001="Weekday")*Clean_Data!$U$2:$U$1001^2)-$B19*$C19^2)/($B19-1))),0)</f>
        <v>15.993550287339286</v>
      </c>
      <c r="E19" s="17">
        <f>COUNTIFS(Clean_Data!$J$2:$J$1001,$A19,Clean_Data!$V$2:$V$1001,"&lt;&gt;Weekday")</f>
        <v>15</v>
      </c>
      <c r="F19" s="18">
        <f>IF($E19&gt;0,AVERAGEIFS(Clean_Data!$U$2:$U$1001,Clean_Data!$J$2:$J$1001,$A19,Clean_Data!$V$2:$V$1001,"&lt;&gt;Weekday"),0)</f>
        <v>102</v>
      </c>
      <c r="G19" s="18">
        <f>IF($E19&gt;1,SQRT(MAX(0,(SUMPRODUCT((Clean_Data!$J$2:$J$1001=$A19)*(Clean_Data!$V$2:$V$1001&lt;&gt;"Weekday")*Clean_Data!$U$2:$U$1001^2)-$E19*$F19^2)/($E19-1))),0)</f>
        <v>31.784991966110585</v>
      </c>
      <c r="H19" s="18">
        <f>IFERROR(AVERAGEIFS(Clean_Data!$U$2:$U$1001,Clean_Data!$J$2:$J$1001,$A19),0)</f>
        <v>74.418604651162795</v>
      </c>
      <c r="I19" s="18">
        <f>IFERROR(AVERAGEIFS(Clean_Data!$S$2:$S$1001,Clean_Data!$J$2:$J$1001,$A19),0)</f>
        <v>10.837209302325581</v>
      </c>
      <c r="J19" s="18">
        <f>IFERROR(AVERAGEIFS(Clean_Data!$T$2:$T$1001,Clean_Data!$J$2:$J$1001,$A19),0)</f>
        <v>63.581395348837212</v>
      </c>
      <c r="K19" s="17">
        <f>SUMIFS(Clean_Data!$U$2:$U$1001,Clean_Data!$J$2:$J$1001,$A19)</f>
        <v>3200</v>
      </c>
    </row>
    <row r="20" spans="1:11" x14ac:dyDescent="0.35">
      <c r="A20" s="15">
        <v>15</v>
      </c>
      <c r="B20" s="17">
        <f>COUNTIFS(Clean_Data!$J$2:$J$1001,$A20,Clean_Data!$V$2:$V$1001,"Weekday")</f>
        <v>28</v>
      </c>
      <c r="C20" s="18">
        <f>IF($B20&gt;0,AVERAGEIFS(Clean_Data!$U$2:$U$1001,Clean_Data!$J$2:$J$1001,$A20,Clean_Data!$V$2:$V$1001,"Weekday"),0)</f>
        <v>60.357142857142854</v>
      </c>
      <c r="D20" s="18">
        <f>IF($B20&gt;1,SQRT(MAX(0,(SUMPRODUCT((Clean_Data!$J$2:$J$1001=$A20)*(Clean_Data!$V$2:$V$1001="Weekday")*Clean_Data!$U$2:$U$1001^2)-$B20*$C20^2)/($B20-1))),0)</f>
        <v>14.056010407346349</v>
      </c>
      <c r="E20" s="17">
        <f>COUNTIFS(Clean_Data!$J$2:$J$1001,$A20,Clean_Data!$V$2:$V$1001,"&lt;&gt;Weekday")</f>
        <v>15</v>
      </c>
      <c r="F20" s="18">
        <f>IF($E20&gt;0,AVERAGEIFS(Clean_Data!$U$2:$U$1001,Clean_Data!$J$2:$J$1001,$A20,Clean_Data!$V$2:$V$1001,"&lt;&gt;Weekday"),0)</f>
        <v>110.8</v>
      </c>
      <c r="G20" s="18">
        <f>IF($E20&gt;1,SQRT(MAX(0,(SUMPRODUCT((Clean_Data!$J$2:$J$1001=$A20)*(Clean_Data!$V$2:$V$1001&lt;&gt;"Weekday")*Clean_Data!$U$2:$U$1001^2)-$E20*$F20^2)/($E20-1))),0)</f>
        <v>37.557955215906013</v>
      </c>
      <c r="H20" s="18">
        <f>IFERROR(AVERAGEIFS(Clean_Data!$U$2:$U$1001,Clean_Data!$J$2:$J$1001,$A20),0)</f>
        <v>77.95348837209302</v>
      </c>
      <c r="I20" s="18">
        <f>IFERROR(AVERAGEIFS(Clean_Data!$S$2:$S$1001,Clean_Data!$J$2:$J$1001,$A20),0)</f>
        <v>12.465116279069768</v>
      </c>
      <c r="J20" s="18">
        <f>IFERROR(AVERAGEIFS(Clean_Data!$T$2:$T$1001,Clean_Data!$J$2:$J$1001,$A20),0)</f>
        <v>65.488372093023258</v>
      </c>
      <c r="K20" s="17">
        <f>SUMIFS(Clean_Data!$U$2:$U$1001,Clean_Data!$J$2:$J$1001,$A20)</f>
        <v>3352</v>
      </c>
    </row>
    <row r="21" spans="1:11" x14ac:dyDescent="0.35">
      <c r="A21" s="15">
        <v>16</v>
      </c>
      <c r="B21" s="17">
        <f>COUNTIFS(Clean_Data!$J$2:$J$1001,$A21,Clean_Data!$V$2:$V$1001,"Weekday")</f>
        <v>29</v>
      </c>
      <c r="C21" s="18">
        <f>IF($B21&gt;0,AVERAGEIFS(Clean_Data!$U$2:$U$1001,Clean_Data!$J$2:$J$1001,$A21,Clean_Data!$V$2:$V$1001,"Weekday"),0)</f>
        <v>82.65517241379311</v>
      </c>
      <c r="D21" s="18">
        <f>IF($B21&gt;1,SQRT(MAX(0,(SUMPRODUCT((Clean_Data!$J$2:$J$1001=$A21)*(Clean_Data!$V$2:$V$1001="Weekday")*Clean_Data!$U$2:$U$1001^2)-$B21*$C21^2)/($B21-1))),0)</f>
        <v>21.11072148403159</v>
      </c>
      <c r="E21" s="17">
        <f>COUNTIFS(Clean_Data!$J$2:$J$1001,$A21,Clean_Data!$V$2:$V$1001,"&lt;&gt;Weekday")</f>
        <v>15</v>
      </c>
      <c r="F21" s="18">
        <f>IF($E21&gt;0,AVERAGEIFS(Clean_Data!$U$2:$U$1001,Clean_Data!$J$2:$J$1001,$A21,Clean_Data!$V$2:$V$1001,"&lt;&gt;Weekday"),0)</f>
        <v>102.06666666666666</v>
      </c>
      <c r="G21" s="18">
        <f>IF($E21&gt;1,SQRT(MAX(0,(SUMPRODUCT((Clean_Data!$J$2:$J$1001=$A21)*(Clean_Data!$V$2:$V$1001&lt;&gt;"Weekday")*Clean_Data!$U$2:$U$1001^2)-$E21*$F21^2)/($E21-1))),0)</f>
        <v>28.875265407974236</v>
      </c>
      <c r="H21" s="18">
        <f>IFERROR(AVERAGEIFS(Clean_Data!$U$2:$U$1001,Clean_Data!$J$2:$J$1001,$A21),0)</f>
        <v>89.272727272727266</v>
      </c>
      <c r="I21" s="18">
        <f>IFERROR(AVERAGEIFS(Clean_Data!$S$2:$S$1001,Clean_Data!$J$2:$J$1001,$A21),0)</f>
        <v>11.204545454545455</v>
      </c>
      <c r="J21" s="18">
        <f>IFERROR(AVERAGEIFS(Clean_Data!$T$2:$T$1001,Clean_Data!$J$2:$J$1001,$A21),0)</f>
        <v>78.068181818181813</v>
      </c>
      <c r="K21" s="17">
        <f>SUMIFS(Clean_Data!$U$2:$U$1001,Clean_Data!$J$2:$J$1001,$A21)</f>
        <v>3928</v>
      </c>
    </row>
    <row r="22" spans="1:11" x14ac:dyDescent="0.35">
      <c r="A22" s="15">
        <v>17</v>
      </c>
      <c r="B22" s="17">
        <f>COUNTIFS(Clean_Data!$J$2:$J$1001,$A22,Clean_Data!$V$2:$V$1001,"Weekday")</f>
        <v>29</v>
      </c>
      <c r="C22" s="18">
        <f>IF($B22&gt;0,AVERAGEIFS(Clean_Data!$U$2:$U$1001,Clean_Data!$J$2:$J$1001,$A22,Clean_Data!$V$2:$V$1001,"Weekday"),0)</f>
        <v>168.82758620689654</v>
      </c>
      <c r="D22" s="18">
        <f>IF($B22&gt;1,SQRT(MAX(0,(SUMPRODUCT((Clean_Data!$J$2:$J$1001=$A22)*(Clean_Data!$V$2:$V$1001="Weekday")*Clean_Data!$U$2:$U$1001^2)-$B22*$C22^2)/($B22-1))),0)</f>
        <v>40.938166758380234</v>
      </c>
      <c r="E22" s="17">
        <f>COUNTIFS(Clean_Data!$J$2:$J$1001,$A22,Clean_Data!$V$2:$V$1001,"&lt;&gt;Weekday")</f>
        <v>15</v>
      </c>
      <c r="F22" s="18">
        <f>IF($E22&gt;0,AVERAGEIFS(Clean_Data!$U$2:$U$1001,Clean_Data!$J$2:$J$1001,$A22,Clean_Data!$V$2:$V$1001,"&lt;&gt;Weekday"),0)</f>
        <v>84.86666666666666</v>
      </c>
      <c r="G22" s="18">
        <f>IF($E22&gt;1,SQRT(MAX(0,(SUMPRODUCT((Clean_Data!$J$2:$J$1001=$A22)*(Clean_Data!$V$2:$V$1001&lt;&gt;"Weekday")*Clean_Data!$U$2:$U$1001^2)-$E22*$F22^2)/($E22-1))),0)</f>
        <v>25.46949622774741</v>
      </c>
      <c r="H22" s="18">
        <f>IFERROR(AVERAGEIFS(Clean_Data!$U$2:$U$1001,Clean_Data!$J$2:$J$1001,$A22),0)</f>
        <v>140.20454545454547</v>
      </c>
      <c r="I22" s="18">
        <f>IFERROR(AVERAGEIFS(Clean_Data!$S$2:$S$1001,Clean_Data!$J$2:$J$1001,$A22),0)</f>
        <v>8.9772727272727266</v>
      </c>
      <c r="J22" s="18">
        <f>IFERROR(AVERAGEIFS(Clean_Data!$T$2:$T$1001,Clean_Data!$J$2:$J$1001,$A22),0)</f>
        <v>131.22727272727272</v>
      </c>
      <c r="K22" s="17">
        <f>SUMIFS(Clean_Data!$U$2:$U$1001,Clean_Data!$J$2:$J$1001,$A22)</f>
        <v>6169</v>
      </c>
    </row>
    <row r="23" spans="1:11" x14ac:dyDescent="0.35">
      <c r="A23" s="15">
        <v>18</v>
      </c>
      <c r="B23" s="17">
        <f>COUNTIFS(Clean_Data!$J$2:$J$1001,$A23,Clean_Data!$V$2:$V$1001,"Weekday")</f>
        <v>28</v>
      </c>
      <c r="C23" s="18">
        <f>IF($B23&gt;0,AVERAGEIFS(Clean_Data!$U$2:$U$1001,Clean_Data!$J$2:$J$1001,$A23,Clean_Data!$V$2:$V$1001,"Weekday"),0)</f>
        <v>153.32142857142858</v>
      </c>
      <c r="D23" s="18">
        <f>IF($B23&gt;1,SQRT(MAX(0,(SUMPRODUCT((Clean_Data!$J$2:$J$1001=$A23)*(Clean_Data!$V$2:$V$1001="Weekday")*Clean_Data!$U$2:$U$1001^2)-$B23*$C23^2)/($B23-1))),0)</f>
        <v>27.546665552635936</v>
      </c>
      <c r="E23" s="17">
        <f>COUNTIFS(Clean_Data!$J$2:$J$1001,$A23,Clean_Data!$V$2:$V$1001,"&lt;&gt;Weekday")</f>
        <v>15</v>
      </c>
      <c r="F23" s="18">
        <f>IF($E23&gt;0,AVERAGEIFS(Clean_Data!$U$2:$U$1001,Clean_Data!$J$2:$J$1001,$A23,Clean_Data!$V$2:$V$1001,"&lt;&gt;Weekday"),0)</f>
        <v>66</v>
      </c>
      <c r="G23" s="18">
        <f>IF($E23&gt;1,SQRT(MAX(0,(SUMPRODUCT((Clean_Data!$J$2:$J$1001=$A23)*(Clean_Data!$V$2:$V$1001&lt;&gt;"Weekday")*Clean_Data!$U$2:$U$1001^2)-$E23*$F23^2)/($E23-1))),0)</f>
        <v>17.509181265022889</v>
      </c>
      <c r="H23" s="18">
        <f>IFERROR(AVERAGEIFS(Clean_Data!$U$2:$U$1001,Clean_Data!$J$2:$J$1001,$A23),0)</f>
        <v>122.86046511627907</v>
      </c>
      <c r="I23" s="18">
        <f>IFERROR(AVERAGEIFS(Clean_Data!$S$2:$S$1001,Clean_Data!$J$2:$J$1001,$A23),0)</f>
        <v>5.1627906976744189</v>
      </c>
      <c r="J23" s="18">
        <f>IFERROR(AVERAGEIFS(Clean_Data!$T$2:$T$1001,Clean_Data!$J$2:$J$1001,$A23),0)</f>
        <v>117.69767441860465</v>
      </c>
      <c r="K23" s="17">
        <f>SUMIFS(Clean_Data!$U$2:$U$1001,Clean_Data!$J$2:$J$1001,$A23)</f>
        <v>5283</v>
      </c>
    </row>
    <row r="24" spans="1:11" x14ac:dyDescent="0.35">
      <c r="A24" s="15">
        <v>19</v>
      </c>
      <c r="B24" s="17">
        <f>COUNTIFS(Clean_Data!$J$2:$J$1001,$A24,Clean_Data!$V$2:$V$1001,"Weekday")</f>
        <v>28</v>
      </c>
      <c r="C24" s="18">
        <f>IF($B24&gt;0,AVERAGEIFS(Clean_Data!$U$2:$U$1001,Clean_Data!$J$2:$J$1001,$A24,Clean_Data!$V$2:$V$1001,"Weekday"),0)</f>
        <v>103.53571428571429</v>
      </c>
      <c r="D24" s="18">
        <f>IF($B24&gt;1,SQRT(MAX(0,(SUMPRODUCT((Clean_Data!$J$2:$J$1001=$A24)*(Clean_Data!$V$2:$V$1001="Weekday")*Clean_Data!$U$2:$U$1001^2)-$B24*$C24^2)/($B24-1))),0)</f>
        <v>20.010149541072494</v>
      </c>
      <c r="E24" s="17">
        <f>COUNTIFS(Clean_Data!$J$2:$J$1001,$A24,Clean_Data!$V$2:$V$1001,"&lt;&gt;Weekday")</f>
        <v>15</v>
      </c>
      <c r="F24" s="18">
        <f>IF($E24&gt;0,AVERAGEIFS(Clean_Data!$U$2:$U$1001,Clean_Data!$J$2:$J$1001,$A24,Clean_Data!$V$2:$V$1001,"&lt;&gt;Weekday"),0)</f>
        <v>50.8</v>
      </c>
      <c r="G24" s="18">
        <f>IF($E24&gt;1,SQRT(MAX(0,(SUMPRODUCT((Clean_Data!$J$2:$J$1001=$A24)*(Clean_Data!$V$2:$V$1001&lt;&gt;"Weekday")*Clean_Data!$U$2:$U$1001^2)-$E24*$F24^2)/($E24-1))),0)</f>
        <v>17.333699629829258</v>
      </c>
      <c r="H24" s="18">
        <f>IFERROR(AVERAGEIFS(Clean_Data!$U$2:$U$1001,Clean_Data!$J$2:$J$1001,$A24),0)</f>
        <v>85.139534883720927</v>
      </c>
      <c r="I24" s="18">
        <f>IFERROR(AVERAGEIFS(Clean_Data!$S$2:$S$1001,Clean_Data!$J$2:$J$1001,$A24),0)</f>
        <v>4.3488372093023253</v>
      </c>
      <c r="J24" s="18">
        <f>IFERROR(AVERAGEIFS(Clean_Data!$T$2:$T$1001,Clean_Data!$J$2:$J$1001,$A24),0)</f>
        <v>80.79069767441861</v>
      </c>
      <c r="K24" s="17">
        <f>SUMIFS(Clean_Data!$U$2:$U$1001,Clean_Data!$J$2:$J$1001,$A24)</f>
        <v>3661</v>
      </c>
    </row>
    <row r="25" spans="1:11" x14ac:dyDescent="0.35">
      <c r="A25" s="15">
        <v>20</v>
      </c>
      <c r="B25" s="17">
        <f>COUNTIFS(Clean_Data!$J$2:$J$1001,$A25,Clean_Data!$V$2:$V$1001,"Weekday")</f>
        <v>28</v>
      </c>
      <c r="C25" s="18">
        <f>IF($B25&gt;0,AVERAGEIFS(Clean_Data!$U$2:$U$1001,Clean_Data!$J$2:$J$1001,$A25,Clean_Data!$V$2:$V$1001,"Weekday"),0)</f>
        <v>73.678571428571431</v>
      </c>
      <c r="D25" s="18">
        <f>IF($B25&gt;1,SQRT(MAX(0,(SUMPRODUCT((Clean_Data!$J$2:$J$1001=$A25)*(Clean_Data!$V$2:$V$1001="Weekday")*Clean_Data!$U$2:$U$1001^2)-$B25*$C25^2)/($B25-1))),0)</f>
        <v>21.15034991642694</v>
      </c>
      <c r="E25" s="17">
        <f>COUNTIFS(Clean_Data!$J$2:$J$1001,$A25,Clean_Data!$V$2:$V$1001,"&lt;&gt;Weekday")</f>
        <v>15</v>
      </c>
      <c r="F25" s="18">
        <f>IF($E25&gt;0,AVERAGEIFS(Clean_Data!$U$2:$U$1001,Clean_Data!$J$2:$J$1001,$A25,Clean_Data!$V$2:$V$1001,"&lt;&gt;Weekday"),0)</f>
        <v>39.533333333333331</v>
      </c>
      <c r="G25" s="18">
        <f>IF($E25&gt;1,SQRT(MAX(0,(SUMPRODUCT((Clean_Data!$J$2:$J$1001=$A25)*(Clean_Data!$V$2:$V$1001&lt;&gt;"Weekday")*Clean_Data!$U$2:$U$1001^2)-$E25*$F25^2)/($E25-1))),0)</f>
        <v>12.00515762178113</v>
      </c>
      <c r="H25" s="18">
        <f>IFERROR(AVERAGEIFS(Clean_Data!$U$2:$U$1001,Clean_Data!$J$2:$J$1001,$A25),0)</f>
        <v>61.767441860465119</v>
      </c>
      <c r="I25" s="18">
        <f>IFERROR(AVERAGEIFS(Clean_Data!$S$2:$S$1001,Clean_Data!$J$2:$J$1001,$A25),0)</f>
        <v>3.2558139534883721</v>
      </c>
      <c r="J25" s="18">
        <f>IFERROR(AVERAGEIFS(Clean_Data!$T$2:$T$1001,Clean_Data!$J$2:$J$1001,$A25),0)</f>
        <v>58.511627906976742</v>
      </c>
      <c r="K25" s="17">
        <f>SUMIFS(Clean_Data!$U$2:$U$1001,Clean_Data!$J$2:$J$1001,$A25)</f>
        <v>2656</v>
      </c>
    </row>
    <row r="26" spans="1:11" x14ac:dyDescent="0.35">
      <c r="A26" s="15">
        <v>21</v>
      </c>
      <c r="B26" s="17">
        <f>COUNTIFS(Clean_Data!$J$2:$J$1001,$A26,Clean_Data!$V$2:$V$1001,"Weekday")</f>
        <v>28</v>
      </c>
      <c r="C26" s="18">
        <f>IF($B26&gt;0,AVERAGEIFS(Clean_Data!$U$2:$U$1001,Clean_Data!$J$2:$J$1001,$A26,Clean_Data!$V$2:$V$1001,"Weekday"),0)</f>
        <v>51.75</v>
      </c>
      <c r="D26" s="18">
        <f>IF($B26&gt;1,SQRT(MAX(0,(SUMPRODUCT((Clean_Data!$J$2:$J$1001=$A26)*(Clean_Data!$V$2:$V$1001="Weekday")*Clean_Data!$U$2:$U$1001^2)-$B26*$C26^2)/($B26-1))),0)</f>
        <v>13.259867045867168</v>
      </c>
      <c r="E26" s="17">
        <f>COUNTIFS(Clean_Data!$J$2:$J$1001,$A26,Clean_Data!$V$2:$V$1001,"&lt;&gt;Weekday")</f>
        <v>15</v>
      </c>
      <c r="F26" s="18">
        <f>IF($E26&gt;0,AVERAGEIFS(Clean_Data!$U$2:$U$1001,Clean_Data!$J$2:$J$1001,$A26,Clean_Data!$V$2:$V$1001,"&lt;&gt;Weekday"),0)</f>
        <v>36.466666666666669</v>
      </c>
      <c r="G26" s="18">
        <f>IF($E26&gt;1,SQRT(MAX(0,(SUMPRODUCT((Clean_Data!$J$2:$J$1001=$A26)*(Clean_Data!$V$2:$V$1001&lt;&gt;"Weekday")*Clean_Data!$U$2:$U$1001^2)-$E26*$F26^2)/($E26-1))),0)</f>
        <v>11.933546153994778</v>
      </c>
      <c r="H26" s="18">
        <f>IFERROR(AVERAGEIFS(Clean_Data!$U$2:$U$1001,Clean_Data!$J$2:$J$1001,$A26),0)</f>
        <v>46.418604651162788</v>
      </c>
      <c r="I26" s="18">
        <f>IFERROR(AVERAGEIFS(Clean_Data!$S$2:$S$1001,Clean_Data!$J$2:$J$1001,$A26),0)</f>
        <v>2.7209302325581395</v>
      </c>
      <c r="J26" s="18">
        <f>IFERROR(AVERAGEIFS(Clean_Data!$T$2:$T$1001,Clean_Data!$J$2:$J$1001,$A26),0)</f>
        <v>43.697674418604649</v>
      </c>
      <c r="K26" s="17">
        <f>SUMIFS(Clean_Data!$U$2:$U$1001,Clean_Data!$J$2:$J$1001,$A26)</f>
        <v>1996</v>
      </c>
    </row>
    <row r="27" spans="1:11" x14ac:dyDescent="0.35">
      <c r="A27" s="15">
        <v>22</v>
      </c>
      <c r="B27" s="17">
        <f>COUNTIFS(Clean_Data!$J$2:$J$1001,$A27,Clean_Data!$V$2:$V$1001,"Weekday")</f>
        <v>28</v>
      </c>
      <c r="C27" s="18">
        <f>IF($B27&gt;0,AVERAGEIFS(Clean_Data!$U$2:$U$1001,Clean_Data!$J$2:$J$1001,$A27,Clean_Data!$V$2:$V$1001,"Weekday"),0)</f>
        <v>37.964285714285715</v>
      </c>
      <c r="D27" s="18">
        <f>IF($B27&gt;1,SQRT(MAX(0,(SUMPRODUCT((Clean_Data!$J$2:$J$1001=$A27)*(Clean_Data!$V$2:$V$1001="Weekday")*Clean_Data!$U$2:$U$1001^2)-$B27*$C27^2)/($B27-1))),0)</f>
        <v>9.9274484538693368</v>
      </c>
      <c r="E27" s="17">
        <f>COUNTIFS(Clean_Data!$J$2:$J$1001,$A27,Clean_Data!$V$2:$V$1001,"&lt;&gt;Weekday")</f>
        <v>15</v>
      </c>
      <c r="F27" s="18">
        <f>IF($E27&gt;0,AVERAGEIFS(Clean_Data!$U$2:$U$1001,Clean_Data!$J$2:$J$1001,$A27,Clean_Data!$V$2:$V$1001,"&lt;&gt;Weekday"),0)</f>
        <v>29.666666666666668</v>
      </c>
      <c r="G27" s="18">
        <f>IF($E27&gt;1,SQRT(MAX(0,(SUMPRODUCT((Clean_Data!$J$2:$J$1001=$A27)*(Clean_Data!$V$2:$V$1001&lt;&gt;"Weekday")*Clean_Data!$U$2:$U$1001^2)-$E27*$F27^2)/($E27-1))),0)</f>
        <v>13.80821011813865</v>
      </c>
      <c r="H27" s="18">
        <f>IFERROR(AVERAGEIFS(Clean_Data!$U$2:$U$1001,Clean_Data!$J$2:$J$1001,$A27),0)</f>
        <v>35.069767441860463</v>
      </c>
      <c r="I27" s="18">
        <f>IFERROR(AVERAGEIFS(Clean_Data!$S$2:$S$1001,Clean_Data!$J$2:$J$1001,$A27),0)</f>
        <v>2.3953488372093021</v>
      </c>
      <c r="J27" s="18">
        <f>IFERROR(AVERAGEIFS(Clean_Data!$T$2:$T$1001,Clean_Data!$J$2:$J$1001,$A27),0)</f>
        <v>32.674418604651166</v>
      </c>
      <c r="K27" s="17">
        <f>SUMIFS(Clean_Data!$U$2:$U$1001,Clean_Data!$J$2:$J$1001,$A27)</f>
        <v>1508</v>
      </c>
    </row>
    <row r="28" spans="1:11" x14ac:dyDescent="0.35">
      <c r="A28" s="15">
        <v>23</v>
      </c>
      <c r="B28" s="17">
        <f>COUNTIFS(Clean_Data!$J$2:$J$1001,$A28,Clean_Data!$V$2:$V$1001,"Weekday")</f>
        <v>28</v>
      </c>
      <c r="C28" s="18">
        <f>IF($B28&gt;0,AVERAGEIFS(Clean_Data!$U$2:$U$1001,Clean_Data!$J$2:$J$1001,$A28,Clean_Data!$V$2:$V$1001,"Weekday"),0)</f>
        <v>24.392857142857142</v>
      </c>
      <c r="D28" s="18">
        <f>IF($B28&gt;1,SQRT(MAX(0,(SUMPRODUCT((Clean_Data!$J$2:$J$1001=$A28)*(Clean_Data!$V$2:$V$1001="Weekday")*Clean_Data!$U$2:$U$1001^2)-$B28*$C28^2)/($B28-1))),0)</f>
        <v>9.9455528335040881</v>
      </c>
      <c r="E28" s="17">
        <f>COUNTIFS(Clean_Data!$J$2:$J$1001,$A28,Clean_Data!$V$2:$V$1001,"&lt;&gt;Weekday")</f>
        <v>15</v>
      </c>
      <c r="F28" s="18">
        <f>IF($E28&gt;0,AVERAGEIFS(Clean_Data!$U$2:$U$1001,Clean_Data!$J$2:$J$1001,$A28,Clean_Data!$V$2:$V$1001,"&lt;&gt;Weekday"),0)</f>
        <v>26.666666666666668</v>
      </c>
      <c r="G28" s="18">
        <f>IF($E28&gt;1,SQRT(MAX(0,(SUMPRODUCT((Clean_Data!$J$2:$J$1001=$A28)*(Clean_Data!$V$2:$V$1001&lt;&gt;"Weekday")*Clean_Data!$U$2:$U$1001^2)-$E28*$F28^2)/($E28-1))),0)</f>
        <v>14.830791649550637</v>
      </c>
      <c r="H28" s="18">
        <f>IFERROR(AVERAGEIFS(Clean_Data!$U$2:$U$1001,Clean_Data!$J$2:$J$1001,$A28),0)</f>
        <v>25.186046511627907</v>
      </c>
      <c r="I28" s="18">
        <f>IFERROR(AVERAGEIFS(Clean_Data!$S$2:$S$1001,Clean_Data!$J$2:$J$1001,$A28),0)</f>
        <v>2.3488372093023258</v>
      </c>
      <c r="J28" s="18">
        <f>IFERROR(AVERAGEIFS(Clean_Data!$T$2:$T$1001,Clean_Data!$J$2:$J$1001,$A28),0)</f>
        <v>22.837209302325583</v>
      </c>
      <c r="K28" s="17">
        <f>SUMIFS(Clean_Data!$U$2:$U$1001,Clean_Data!$J$2:$J$1001,$A28)</f>
        <v>1083</v>
      </c>
    </row>
    <row r="29" spans="1:11" x14ac:dyDescent="0.35">
      <c r="A29" s="29" t="s">
        <v>166</v>
      </c>
      <c r="B29" s="30">
        <f>SUM(B5:B28)</f>
        <v>646</v>
      </c>
      <c r="C29" s="29"/>
      <c r="D29" s="29"/>
      <c r="E29" s="30">
        <f>SUM(E5:E28)</f>
        <v>354</v>
      </c>
      <c r="F29" s="29"/>
      <c r="G29" s="29"/>
      <c r="H29" s="29"/>
      <c r="I29" s="29"/>
      <c r="J29" s="29"/>
      <c r="K29" s="30">
        <f>SUM(K5:K28)</f>
        <v>58304</v>
      </c>
    </row>
    <row r="31" spans="1:11" x14ac:dyDescent="0.35">
      <c r="A31" s="14" t="s">
        <v>198</v>
      </c>
    </row>
  </sheetData>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17F80-7990-4493-9747-343CC9A79B86}">
  <dimension ref="A1:E53"/>
  <sheetViews>
    <sheetView workbookViewId="0"/>
  </sheetViews>
  <sheetFormatPr defaultRowHeight="14.5" x14ac:dyDescent="0.35"/>
  <cols>
    <col min="1" max="1" width="11.1796875" bestFit="1" customWidth="1"/>
    <col min="2" max="2" width="13.1796875" customWidth="1"/>
    <col min="3" max="3" width="21.54296875" customWidth="1"/>
    <col min="4" max="4" width="35.6328125" customWidth="1"/>
    <col min="5" max="5" width="35.81640625" customWidth="1"/>
  </cols>
  <sheetData>
    <row r="1" spans="1:5" x14ac:dyDescent="0.35">
      <c r="A1" t="s">
        <v>119</v>
      </c>
      <c r="B1" t="s">
        <v>71</v>
      </c>
      <c r="C1" t="s">
        <v>379</v>
      </c>
      <c r="D1" t="s">
        <v>380</v>
      </c>
      <c r="E1" t="s">
        <v>381</v>
      </c>
    </row>
    <row r="2" spans="1:5" x14ac:dyDescent="0.35">
      <c r="A2" s="40">
        <v>40544</v>
      </c>
      <c r="B2" s="41">
        <v>985</v>
      </c>
    </row>
    <row r="3" spans="1:5" x14ac:dyDescent="0.35">
      <c r="A3" s="40">
        <v>40545</v>
      </c>
      <c r="B3" s="41">
        <v>801</v>
      </c>
    </row>
    <row r="4" spans="1:5" x14ac:dyDescent="0.35">
      <c r="A4" s="40">
        <v>40546</v>
      </c>
      <c r="B4" s="41">
        <v>1349</v>
      </c>
    </row>
    <row r="5" spans="1:5" x14ac:dyDescent="0.35">
      <c r="A5" s="40">
        <v>40547</v>
      </c>
      <c r="B5" s="41">
        <v>1562</v>
      </c>
    </row>
    <row r="6" spans="1:5" x14ac:dyDescent="0.35">
      <c r="A6" s="40">
        <v>40548</v>
      </c>
      <c r="B6" s="41">
        <v>1600</v>
      </c>
    </row>
    <row r="7" spans="1:5" x14ac:dyDescent="0.35">
      <c r="A7" s="40">
        <v>40549</v>
      </c>
      <c r="B7" s="41">
        <v>1606</v>
      </c>
    </row>
    <row r="8" spans="1:5" x14ac:dyDescent="0.35">
      <c r="A8" s="40">
        <v>40550</v>
      </c>
      <c r="B8" s="41">
        <v>1510</v>
      </c>
    </row>
    <row r="9" spans="1:5" x14ac:dyDescent="0.35">
      <c r="A9" s="40">
        <v>40551</v>
      </c>
      <c r="B9" s="41">
        <v>959</v>
      </c>
    </row>
    <row r="10" spans="1:5" x14ac:dyDescent="0.35">
      <c r="A10" s="40">
        <v>40552</v>
      </c>
      <c r="B10" s="41">
        <v>822</v>
      </c>
    </row>
    <row r="11" spans="1:5" x14ac:dyDescent="0.35">
      <c r="A11" s="40">
        <v>40553</v>
      </c>
      <c r="B11" s="41">
        <v>1321</v>
      </c>
    </row>
    <row r="12" spans="1:5" x14ac:dyDescent="0.35">
      <c r="A12" s="40">
        <v>40554</v>
      </c>
      <c r="B12" s="41">
        <v>1263</v>
      </c>
    </row>
    <row r="13" spans="1:5" x14ac:dyDescent="0.35">
      <c r="A13" s="40">
        <v>40555</v>
      </c>
      <c r="B13" s="41">
        <v>1162</v>
      </c>
    </row>
    <row r="14" spans="1:5" x14ac:dyDescent="0.35">
      <c r="A14" s="40">
        <v>40556</v>
      </c>
      <c r="B14" s="41">
        <v>1406</v>
      </c>
    </row>
    <row r="15" spans="1:5" x14ac:dyDescent="0.35">
      <c r="A15" s="40">
        <v>40557</v>
      </c>
      <c r="B15" s="41">
        <v>1421</v>
      </c>
    </row>
    <row r="16" spans="1:5" x14ac:dyDescent="0.35">
      <c r="A16" s="40">
        <v>40558</v>
      </c>
      <c r="B16" s="41">
        <v>1248</v>
      </c>
    </row>
    <row r="17" spans="1:2" x14ac:dyDescent="0.35">
      <c r="A17" s="40">
        <v>40559</v>
      </c>
      <c r="B17" s="41">
        <v>1204</v>
      </c>
    </row>
    <row r="18" spans="1:2" x14ac:dyDescent="0.35">
      <c r="A18" s="40">
        <v>40560</v>
      </c>
      <c r="B18" s="41">
        <v>1000</v>
      </c>
    </row>
    <row r="19" spans="1:2" x14ac:dyDescent="0.35">
      <c r="A19" s="40">
        <v>40561</v>
      </c>
      <c r="B19" s="41">
        <v>683</v>
      </c>
    </row>
    <row r="20" spans="1:2" x14ac:dyDescent="0.35">
      <c r="A20" s="40">
        <v>40562</v>
      </c>
      <c r="B20" s="41">
        <v>1650</v>
      </c>
    </row>
    <row r="21" spans="1:2" x14ac:dyDescent="0.35">
      <c r="A21" s="40">
        <v>40563</v>
      </c>
      <c r="B21" s="41">
        <v>1927</v>
      </c>
    </row>
    <row r="22" spans="1:2" x14ac:dyDescent="0.35">
      <c r="A22" s="40">
        <v>40564</v>
      </c>
      <c r="B22" s="41">
        <v>1543</v>
      </c>
    </row>
    <row r="23" spans="1:2" x14ac:dyDescent="0.35">
      <c r="A23" s="40">
        <v>40565</v>
      </c>
      <c r="B23" s="41">
        <v>981</v>
      </c>
    </row>
    <row r="24" spans="1:2" x14ac:dyDescent="0.35">
      <c r="A24" s="40">
        <v>40566</v>
      </c>
      <c r="B24" s="41">
        <v>986</v>
      </c>
    </row>
    <row r="25" spans="1:2" x14ac:dyDescent="0.35">
      <c r="A25" s="40">
        <v>40567</v>
      </c>
      <c r="B25" s="41">
        <v>1416</v>
      </c>
    </row>
    <row r="26" spans="1:2" x14ac:dyDescent="0.35">
      <c r="A26" s="40">
        <v>40568</v>
      </c>
      <c r="B26" s="41">
        <v>1985</v>
      </c>
    </row>
    <row r="27" spans="1:2" x14ac:dyDescent="0.35">
      <c r="A27" s="40">
        <v>40569</v>
      </c>
      <c r="B27" s="41">
        <v>506</v>
      </c>
    </row>
    <row r="28" spans="1:2" x14ac:dyDescent="0.35">
      <c r="A28" s="40">
        <v>40570</v>
      </c>
      <c r="B28" s="41">
        <v>431</v>
      </c>
    </row>
    <row r="29" spans="1:2" x14ac:dyDescent="0.35">
      <c r="A29" s="40">
        <v>40571</v>
      </c>
      <c r="B29" s="41">
        <v>1167</v>
      </c>
    </row>
    <row r="30" spans="1:2" x14ac:dyDescent="0.35">
      <c r="A30" s="40">
        <v>40572</v>
      </c>
      <c r="B30" s="41">
        <v>1098</v>
      </c>
    </row>
    <row r="31" spans="1:2" x14ac:dyDescent="0.35">
      <c r="A31" s="40">
        <v>40573</v>
      </c>
      <c r="B31" s="41">
        <v>1096</v>
      </c>
    </row>
    <row r="32" spans="1:2" x14ac:dyDescent="0.35">
      <c r="A32" s="40">
        <v>40574</v>
      </c>
      <c r="B32" s="41">
        <v>1501</v>
      </c>
    </row>
    <row r="33" spans="1:5" x14ac:dyDescent="0.35">
      <c r="A33" s="40">
        <v>40575</v>
      </c>
      <c r="B33" s="41">
        <v>1360</v>
      </c>
    </row>
    <row r="34" spans="1:5" x14ac:dyDescent="0.35">
      <c r="A34" s="40">
        <v>40576</v>
      </c>
      <c r="B34" s="41">
        <v>1526</v>
      </c>
    </row>
    <row r="35" spans="1:5" x14ac:dyDescent="0.35">
      <c r="A35" s="40">
        <v>40577</v>
      </c>
      <c r="B35" s="41">
        <v>1550</v>
      </c>
    </row>
    <row r="36" spans="1:5" x14ac:dyDescent="0.35">
      <c r="A36" s="40">
        <v>40578</v>
      </c>
      <c r="B36" s="41">
        <v>1708</v>
      </c>
    </row>
    <row r="37" spans="1:5" x14ac:dyDescent="0.35">
      <c r="A37" s="40">
        <v>40579</v>
      </c>
      <c r="B37" s="41">
        <v>1005</v>
      </c>
    </row>
    <row r="38" spans="1:5" x14ac:dyDescent="0.35">
      <c r="A38" s="40">
        <v>40580</v>
      </c>
      <c r="B38" s="41">
        <v>1623</v>
      </c>
    </row>
    <row r="39" spans="1:5" x14ac:dyDescent="0.35">
      <c r="A39" s="40">
        <v>40581</v>
      </c>
      <c r="B39" s="41">
        <v>1712</v>
      </c>
    </row>
    <row r="40" spans="1:5" x14ac:dyDescent="0.35">
      <c r="A40" s="40">
        <v>40582</v>
      </c>
      <c r="B40" s="41">
        <v>1530</v>
      </c>
    </row>
    <row r="41" spans="1:5" x14ac:dyDescent="0.35">
      <c r="A41" s="40">
        <v>40583</v>
      </c>
      <c r="B41" s="41">
        <v>1605</v>
      </c>
    </row>
    <row r="42" spans="1:5" x14ac:dyDescent="0.35">
      <c r="A42" s="40">
        <v>40584</v>
      </c>
      <c r="B42" s="41">
        <v>1538</v>
      </c>
    </row>
    <row r="43" spans="1:5" x14ac:dyDescent="0.35">
      <c r="A43" s="40">
        <v>40585</v>
      </c>
      <c r="B43" s="41">
        <v>1746</v>
      </c>
    </row>
    <row r="44" spans="1:5" x14ac:dyDescent="0.35">
      <c r="A44" s="40">
        <v>40586</v>
      </c>
      <c r="B44" s="41">
        <v>1472</v>
      </c>
    </row>
    <row r="45" spans="1:5" x14ac:dyDescent="0.35">
      <c r="A45" s="40">
        <v>40587</v>
      </c>
      <c r="B45" s="41">
        <v>1589</v>
      </c>
      <c r="C45" s="41">
        <v>1589</v>
      </c>
      <c r="D45" s="41">
        <v>1589</v>
      </c>
      <c r="E45" s="41">
        <v>1589</v>
      </c>
    </row>
    <row r="46" spans="1:5" x14ac:dyDescent="0.35">
      <c r="A46" s="40">
        <v>40588</v>
      </c>
      <c r="C46" s="41">
        <f t="shared" ref="C46:C53" si="0">_xlfn.FORECAST.ETS(A46,$B$2:$B$45,$A$2:$A$45,1,1)</f>
        <v>1548.0583182611713</v>
      </c>
      <c r="D46" s="41">
        <f t="shared" ref="D46:D53" si="1">C46-_xlfn.FORECAST.ETS.CONFINT(A46,$B$2:$B$45,$A$2:$A$45,0.95,1,1)</f>
        <v>850.34796960480503</v>
      </c>
      <c r="E46" s="41">
        <f t="shared" ref="E46:E53" si="2">C46+_xlfn.FORECAST.ETS.CONFINT(A46,$B$2:$B$45,$A$2:$A$45,0.95,1,1)</f>
        <v>2245.7686669175373</v>
      </c>
    </row>
    <row r="47" spans="1:5" x14ac:dyDescent="0.35">
      <c r="A47" s="40">
        <v>40589</v>
      </c>
      <c r="C47" s="41">
        <f t="shared" si="0"/>
        <v>1557.4748788500351</v>
      </c>
      <c r="D47" s="41">
        <f t="shared" si="1"/>
        <v>856.21488806611399</v>
      </c>
      <c r="E47" s="41">
        <f t="shared" si="2"/>
        <v>2258.7348696339564</v>
      </c>
    </row>
    <row r="48" spans="1:5" x14ac:dyDescent="0.35">
      <c r="A48" s="40">
        <v>40590</v>
      </c>
      <c r="C48" s="41">
        <f t="shared" si="0"/>
        <v>1566.8914394388999</v>
      </c>
      <c r="D48" s="41">
        <f t="shared" si="1"/>
        <v>862.02958129103672</v>
      </c>
      <c r="E48" s="41">
        <f t="shared" si="2"/>
        <v>2271.753297586763</v>
      </c>
    </row>
    <row r="49" spans="1:5" x14ac:dyDescent="0.35">
      <c r="A49" s="40">
        <v>40591</v>
      </c>
      <c r="C49" s="41">
        <f t="shared" si="0"/>
        <v>1576.3080000277637</v>
      </c>
      <c r="D49" s="41">
        <f t="shared" si="1"/>
        <v>867.7921586989836</v>
      </c>
      <c r="E49" s="41">
        <f t="shared" si="2"/>
        <v>2284.8238413565437</v>
      </c>
    </row>
    <row r="50" spans="1:5" x14ac:dyDescent="0.35">
      <c r="A50" s="40">
        <v>40592</v>
      </c>
      <c r="C50" s="41">
        <f t="shared" si="0"/>
        <v>1585.7245606166284</v>
      </c>
      <c r="D50" s="41">
        <f t="shared" si="1"/>
        <v>873.5027389204389</v>
      </c>
      <c r="E50" s="41">
        <f t="shared" si="2"/>
        <v>2297.9463823128181</v>
      </c>
    </row>
    <row r="51" spans="1:5" x14ac:dyDescent="0.35">
      <c r="A51" s="40">
        <v>40593</v>
      </c>
      <c r="C51" s="41">
        <f t="shared" si="0"/>
        <v>1595.1411212054923</v>
      </c>
      <c r="D51" s="41">
        <f t="shared" si="1"/>
        <v>879.16144947566704</v>
      </c>
      <c r="E51" s="41">
        <f t="shared" si="2"/>
        <v>2311.1207929353177</v>
      </c>
    </row>
    <row r="52" spans="1:5" x14ac:dyDescent="0.35">
      <c r="A52" s="40">
        <v>40594</v>
      </c>
      <c r="C52" s="41">
        <f t="shared" si="0"/>
        <v>1604.557681794357</v>
      </c>
      <c r="D52" s="41">
        <f t="shared" si="1"/>
        <v>884.76842645386546</v>
      </c>
      <c r="E52" s="41">
        <f t="shared" si="2"/>
        <v>2324.3469371348483</v>
      </c>
    </row>
    <row r="53" spans="1:5" x14ac:dyDescent="0.35">
      <c r="A53" s="40">
        <v>40595</v>
      </c>
      <c r="C53" s="41">
        <f t="shared" si="0"/>
        <v>1613.9742423832208</v>
      </c>
      <c r="D53" s="41">
        <f t="shared" si="1"/>
        <v>890.32381419326066</v>
      </c>
      <c r="E53" s="41">
        <f t="shared" si="2"/>
        <v>2337.624670573181</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50490-AC2A-4671-9BCA-A022C6E6CC91}">
  <dimension ref="A1:E53"/>
  <sheetViews>
    <sheetView zoomScale="65" zoomScaleNormal="65" workbookViewId="0">
      <selection activeCell="AF14" sqref="AF14"/>
    </sheetView>
  </sheetViews>
  <sheetFormatPr defaultRowHeight="14.5" x14ac:dyDescent="0.35"/>
  <cols>
    <col min="1" max="1" width="11.1796875" bestFit="1" customWidth="1"/>
    <col min="2" max="2" width="13.1796875" customWidth="1"/>
    <col min="3" max="3" width="21.54296875" customWidth="1"/>
    <col min="4" max="4" width="35.6328125" customWidth="1"/>
    <col min="5" max="5" width="35.81640625" customWidth="1"/>
  </cols>
  <sheetData>
    <row r="1" spans="1:5" x14ac:dyDescent="0.35">
      <c r="A1" t="s">
        <v>119</v>
      </c>
      <c r="B1" t="s">
        <v>71</v>
      </c>
      <c r="C1" t="s">
        <v>379</v>
      </c>
      <c r="D1" t="s">
        <v>380</v>
      </c>
      <c r="E1" t="s">
        <v>381</v>
      </c>
    </row>
    <row r="2" spans="1:5" x14ac:dyDescent="0.35">
      <c r="A2" s="40">
        <v>40544</v>
      </c>
      <c r="B2" s="41">
        <v>985</v>
      </c>
    </row>
    <row r="3" spans="1:5" x14ac:dyDescent="0.35">
      <c r="A3" s="40">
        <v>40545</v>
      </c>
      <c r="B3" s="41">
        <v>801</v>
      </c>
    </row>
    <row r="4" spans="1:5" x14ac:dyDescent="0.35">
      <c r="A4" s="40">
        <v>40546</v>
      </c>
      <c r="B4" s="41">
        <v>1349</v>
      </c>
    </row>
    <row r="5" spans="1:5" x14ac:dyDescent="0.35">
      <c r="A5" s="40">
        <v>40547</v>
      </c>
      <c r="B5" s="41">
        <v>1562</v>
      </c>
    </row>
    <row r="6" spans="1:5" x14ac:dyDescent="0.35">
      <c r="A6" s="40">
        <v>40548</v>
      </c>
      <c r="B6" s="41">
        <v>1600</v>
      </c>
    </row>
    <row r="7" spans="1:5" x14ac:dyDescent="0.35">
      <c r="A7" s="40">
        <v>40549</v>
      </c>
      <c r="B7" s="41">
        <v>1606</v>
      </c>
    </row>
    <row r="8" spans="1:5" x14ac:dyDescent="0.35">
      <c r="A8" s="40">
        <v>40550</v>
      </c>
      <c r="B8" s="41">
        <v>1510</v>
      </c>
    </row>
    <row r="9" spans="1:5" x14ac:dyDescent="0.35">
      <c r="A9" s="40">
        <v>40551</v>
      </c>
      <c r="B9" s="41">
        <v>959</v>
      </c>
    </row>
    <row r="10" spans="1:5" x14ac:dyDescent="0.35">
      <c r="A10" s="40">
        <v>40552</v>
      </c>
      <c r="B10" s="41">
        <v>822</v>
      </c>
    </row>
    <row r="11" spans="1:5" x14ac:dyDescent="0.35">
      <c r="A11" s="40">
        <v>40553</v>
      </c>
      <c r="B11" s="41">
        <v>1321</v>
      </c>
    </row>
    <row r="12" spans="1:5" x14ac:dyDescent="0.35">
      <c r="A12" s="40">
        <v>40554</v>
      </c>
      <c r="B12" s="41">
        <v>1263</v>
      </c>
    </row>
    <row r="13" spans="1:5" x14ac:dyDescent="0.35">
      <c r="A13" s="40">
        <v>40555</v>
      </c>
      <c r="B13" s="41">
        <v>1162</v>
      </c>
    </row>
    <row r="14" spans="1:5" x14ac:dyDescent="0.35">
      <c r="A14" s="40">
        <v>40556</v>
      </c>
      <c r="B14" s="41">
        <v>1406</v>
      </c>
    </row>
    <row r="15" spans="1:5" x14ac:dyDescent="0.35">
      <c r="A15" s="40">
        <v>40557</v>
      </c>
      <c r="B15" s="41">
        <v>1421</v>
      </c>
    </row>
    <row r="16" spans="1:5" x14ac:dyDescent="0.35">
      <c r="A16" s="40">
        <v>40558</v>
      </c>
      <c r="B16" s="41">
        <v>1248</v>
      </c>
    </row>
    <row r="17" spans="1:2" x14ac:dyDescent="0.35">
      <c r="A17" s="40">
        <v>40559</v>
      </c>
      <c r="B17" s="41">
        <v>1204</v>
      </c>
    </row>
    <row r="18" spans="1:2" x14ac:dyDescent="0.35">
      <c r="A18" s="40">
        <v>40560</v>
      </c>
      <c r="B18" s="41">
        <v>1000</v>
      </c>
    </row>
    <row r="19" spans="1:2" x14ac:dyDescent="0.35">
      <c r="A19" s="40">
        <v>40561</v>
      </c>
      <c r="B19" s="41">
        <v>683</v>
      </c>
    </row>
    <row r="20" spans="1:2" x14ac:dyDescent="0.35">
      <c r="A20" s="40">
        <v>40562</v>
      </c>
      <c r="B20" s="41">
        <v>1650</v>
      </c>
    </row>
    <row r="21" spans="1:2" x14ac:dyDescent="0.35">
      <c r="A21" s="40">
        <v>40563</v>
      </c>
      <c r="B21" s="41">
        <v>1927</v>
      </c>
    </row>
    <row r="22" spans="1:2" x14ac:dyDescent="0.35">
      <c r="A22" s="40">
        <v>40564</v>
      </c>
      <c r="B22" s="41">
        <v>1543</v>
      </c>
    </row>
    <row r="23" spans="1:2" x14ac:dyDescent="0.35">
      <c r="A23" s="40">
        <v>40565</v>
      </c>
      <c r="B23" s="41">
        <v>981</v>
      </c>
    </row>
    <row r="24" spans="1:2" x14ac:dyDescent="0.35">
      <c r="A24" s="40">
        <v>40566</v>
      </c>
      <c r="B24" s="41">
        <v>986</v>
      </c>
    </row>
    <row r="25" spans="1:2" x14ac:dyDescent="0.35">
      <c r="A25" s="40">
        <v>40567</v>
      </c>
      <c r="B25" s="41">
        <v>1416</v>
      </c>
    </row>
    <row r="26" spans="1:2" x14ac:dyDescent="0.35">
      <c r="A26" s="40">
        <v>40568</v>
      </c>
      <c r="B26" s="41">
        <v>1985</v>
      </c>
    </row>
    <row r="27" spans="1:2" x14ac:dyDescent="0.35">
      <c r="A27" s="40">
        <v>40569</v>
      </c>
      <c r="B27" s="41">
        <v>506</v>
      </c>
    </row>
    <row r="28" spans="1:2" x14ac:dyDescent="0.35">
      <c r="A28" s="40">
        <v>40570</v>
      </c>
      <c r="B28" s="41">
        <v>431</v>
      </c>
    </row>
    <row r="29" spans="1:2" x14ac:dyDescent="0.35">
      <c r="A29" s="40">
        <v>40571</v>
      </c>
      <c r="B29" s="41">
        <v>1167</v>
      </c>
    </row>
    <row r="30" spans="1:2" x14ac:dyDescent="0.35">
      <c r="A30" s="40">
        <v>40572</v>
      </c>
      <c r="B30" s="41">
        <v>1098</v>
      </c>
    </row>
    <row r="31" spans="1:2" x14ac:dyDescent="0.35">
      <c r="A31" s="40">
        <v>40573</v>
      </c>
      <c r="B31" s="41">
        <v>1096</v>
      </c>
    </row>
    <row r="32" spans="1:2" x14ac:dyDescent="0.35">
      <c r="A32" s="40">
        <v>40574</v>
      </c>
      <c r="B32" s="41">
        <v>1501</v>
      </c>
    </row>
    <row r="33" spans="1:5" x14ac:dyDescent="0.35">
      <c r="A33" s="40">
        <v>40575</v>
      </c>
      <c r="B33" s="41">
        <v>1360</v>
      </c>
    </row>
    <row r="34" spans="1:5" x14ac:dyDescent="0.35">
      <c r="A34" s="40">
        <v>40576</v>
      </c>
      <c r="B34" s="41">
        <v>1526</v>
      </c>
    </row>
    <row r="35" spans="1:5" x14ac:dyDescent="0.35">
      <c r="A35" s="40">
        <v>40577</v>
      </c>
      <c r="B35" s="41">
        <v>1550</v>
      </c>
    </row>
    <row r="36" spans="1:5" x14ac:dyDescent="0.35">
      <c r="A36" s="40">
        <v>40578</v>
      </c>
      <c r="B36" s="41">
        <v>1708</v>
      </c>
    </row>
    <row r="37" spans="1:5" x14ac:dyDescent="0.35">
      <c r="A37" s="40">
        <v>40579</v>
      </c>
      <c r="B37" s="41">
        <v>1005</v>
      </c>
    </row>
    <row r="38" spans="1:5" x14ac:dyDescent="0.35">
      <c r="A38" s="40">
        <v>40580</v>
      </c>
      <c r="B38" s="41">
        <v>1623</v>
      </c>
    </row>
    <row r="39" spans="1:5" x14ac:dyDescent="0.35">
      <c r="A39" s="40">
        <v>40581</v>
      </c>
      <c r="B39" s="41">
        <v>1712</v>
      </c>
    </row>
    <row r="40" spans="1:5" x14ac:dyDescent="0.35">
      <c r="A40" s="40">
        <v>40582</v>
      </c>
      <c r="B40" s="41">
        <v>1530</v>
      </c>
    </row>
    <row r="41" spans="1:5" x14ac:dyDescent="0.35">
      <c r="A41" s="40">
        <v>40583</v>
      </c>
      <c r="B41" s="41">
        <v>1605</v>
      </c>
    </row>
    <row r="42" spans="1:5" x14ac:dyDescent="0.35">
      <c r="A42" s="40">
        <v>40584</v>
      </c>
      <c r="B42" s="41">
        <v>1538</v>
      </c>
    </row>
    <row r="43" spans="1:5" x14ac:dyDescent="0.35">
      <c r="A43" s="40">
        <v>40585</v>
      </c>
      <c r="B43" s="41">
        <v>1746</v>
      </c>
    </row>
    <row r="44" spans="1:5" x14ac:dyDescent="0.35">
      <c r="A44" s="40">
        <v>40586</v>
      </c>
      <c r="B44" s="41">
        <v>1472</v>
      </c>
    </row>
    <row r="45" spans="1:5" x14ac:dyDescent="0.35">
      <c r="A45" s="40">
        <v>40587</v>
      </c>
      <c r="B45" s="41">
        <v>1589</v>
      </c>
      <c r="C45" s="41">
        <v>1589</v>
      </c>
      <c r="D45" s="41">
        <v>1589</v>
      </c>
      <c r="E45" s="41">
        <v>1589</v>
      </c>
    </row>
    <row r="46" spans="1:5" x14ac:dyDescent="0.35">
      <c r="A46" s="40">
        <v>40588</v>
      </c>
      <c r="C46" s="41">
        <f t="shared" ref="C46:C53" si="0">_xlfn.FORECAST.ETS(A46,$B$2:$B$45,$A$2:$A$45,1,1)</f>
        <v>1548.0583182611713</v>
      </c>
      <c r="D46" s="41">
        <f t="shared" ref="D46:D53" si="1">C46-_xlfn.FORECAST.ETS.CONFINT(A46,$B$2:$B$45,$A$2:$A$45,0.95,1,1)</f>
        <v>850.34796960480503</v>
      </c>
      <c r="E46" s="41">
        <f t="shared" ref="E46:E53" si="2">C46+_xlfn.FORECAST.ETS.CONFINT(A46,$B$2:$B$45,$A$2:$A$45,0.95,1,1)</f>
        <v>2245.7686669175373</v>
      </c>
    </row>
    <row r="47" spans="1:5" x14ac:dyDescent="0.35">
      <c r="A47" s="40">
        <v>40589</v>
      </c>
      <c r="C47" s="41">
        <f t="shared" si="0"/>
        <v>1557.4748788500351</v>
      </c>
      <c r="D47" s="41">
        <f t="shared" si="1"/>
        <v>856.21488806611399</v>
      </c>
      <c r="E47" s="41">
        <f t="shared" si="2"/>
        <v>2258.7348696339564</v>
      </c>
    </row>
    <row r="48" spans="1:5" x14ac:dyDescent="0.35">
      <c r="A48" s="40">
        <v>40590</v>
      </c>
      <c r="C48" s="41">
        <f t="shared" si="0"/>
        <v>1566.8914394388999</v>
      </c>
      <c r="D48" s="41">
        <f t="shared" si="1"/>
        <v>862.02958129103672</v>
      </c>
      <c r="E48" s="41">
        <f t="shared" si="2"/>
        <v>2271.753297586763</v>
      </c>
    </row>
    <row r="49" spans="1:5" x14ac:dyDescent="0.35">
      <c r="A49" s="40">
        <v>40591</v>
      </c>
      <c r="C49" s="41">
        <f t="shared" si="0"/>
        <v>1576.3080000277637</v>
      </c>
      <c r="D49" s="41">
        <f t="shared" si="1"/>
        <v>867.7921586989836</v>
      </c>
      <c r="E49" s="41">
        <f t="shared" si="2"/>
        <v>2284.8238413565437</v>
      </c>
    </row>
    <row r="50" spans="1:5" x14ac:dyDescent="0.35">
      <c r="A50" s="40">
        <v>40592</v>
      </c>
      <c r="C50" s="41">
        <f t="shared" si="0"/>
        <v>1585.7245606166284</v>
      </c>
      <c r="D50" s="41">
        <f t="shared" si="1"/>
        <v>873.5027389204389</v>
      </c>
      <c r="E50" s="41">
        <f t="shared" si="2"/>
        <v>2297.9463823128181</v>
      </c>
    </row>
    <row r="51" spans="1:5" x14ac:dyDescent="0.35">
      <c r="A51" s="40">
        <v>40593</v>
      </c>
      <c r="C51" s="41">
        <f t="shared" si="0"/>
        <v>1595.1411212054923</v>
      </c>
      <c r="D51" s="41">
        <f t="shared" si="1"/>
        <v>879.16144947566704</v>
      </c>
      <c r="E51" s="41">
        <f t="shared" si="2"/>
        <v>2311.1207929353177</v>
      </c>
    </row>
    <row r="52" spans="1:5" x14ac:dyDescent="0.35">
      <c r="A52" s="40">
        <v>40594</v>
      </c>
      <c r="C52" s="41">
        <f t="shared" si="0"/>
        <v>1604.557681794357</v>
      </c>
      <c r="D52" s="41">
        <f t="shared" si="1"/>
        <v>884.76842645386546</v>
      </c>
      <c r="E52" s="41">
        <f t="shared" si="2"/>
        <v>2324.3469371348483</v>
      </c>
    </row>
    <row r="53" spans="1:5" x14ac:dyDescent="0.35">
      <c r="A53" s="40">
        <v>40595</v>
      </c>
      <c r="C53" s="41">
        <f t="shared" si="0"/>
        <v>1613.9742423832208</v>
      </c>
      <c r="D53" s="41">
        <f t="shared" si="1"/>
        <v>890.32381419326066</v>
      </c>
      <c r="E53" s="41">
        <f t="shared" si="2"/>
        <v>2337.624670573181</v>
      </c>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T56"/>
  <sheetViews>
    <sheetView zoomScaleNormal="100" workbookViewId="0">
      <pane ySplit="4" topLeftCell="A29" activePane="bottomLeft" state="frozen"/>
      <selection pane="bottomLeft" activeCell="C4" activeCellId="1" sqref="A4:A48 C4:C48"/>
    </sheetView>
  </sheetViews>
  <sheetFormatPr defaultColWidth="8.6328125" defaultRowHeight="14.5" x14ac:dyDescent="0.35"/>
  <cols>
    <col min="1" max="13" width="14" customWidth="1"/>
    <col min="15" max="15" width="24" customWidth="1"/>
    <col min="16" max="16" width="14" customWidth="1"/>
    <col min="18" max="20" width="16.81640625" customWidth="1"/>
  </cols>
  <sheetData>
    <row r="1" spans="1:20" ht="20" x14ac:dyDescent="0.4">
      <c r="A1" s="28" t="s">
        <v>199</v>
      </c>
    </row>
    <row r="2" spans="1:20" x14ac:dyDescent="0.35">
      <c r="A2" s="14" t="s">
        <v>200</v>
      </c>
    </row>
    <row r="4" spans="1:20" ht="31.5" customHeight="1" x14ac:dyDescent="0.35">
      <c r="A4" s="9" t="s">
        <v>119</v>
      </c>
      <c r="B4" s="9" t="s">
        <v>163</v>
      </c>
      <c r="C4" s="9" t="s">
        <v>71</v>
      </c>
      <c r="D4" s="9" t="s">
        <v>201</v>
      </c>
      <c r="E4" s="9" t="s">
        <v>202</v>
      </c>
      <c r="F4" s="9" t="s">
        <v>168</v>
      </c>
      <c r="G4" s="9" t="s">
        <v>203</v>
      </c>
      <c r="H4" s="9" t="s">
        <v>204</v>
      </c>
      <c r="I4" s="9" t="s">
        <v>205</v>
      </c>
      <c r="J4" s="9" t="s">
        <v>206</v>
      </c>
      <c r="K4" s="9" t="s">
        <v>207</v>
      </c>
      <c r="L4" s="9" t="s">
        <v>208</v>
      </c>
      <c r="M4" s="9" t="s">
        <v>209</v>
      </c>
      <c r="O4" s="1" t="s">
        <v>210</v>
      </c>
      <c r="R4" s="38" t="s">
        <v>373</v>
      </c>
      <c r="S4" s="38" t="s">
        <v>374</v>
      </c>
      <c r="T4" s="38" t="s">
        <v>375</v>
      </c>
    </row>
    <row r="5" spans="1:20" x14ac:dyDescent="0.35">
      <c r="A5" s="16">
        <f>MIN(Clean_Data!$F$2:$F$1001)</f>
        <v>40544</v>
      </c>
      <c r="B5" s="17">
        <f>COUNTIFS(Clean_Data!$F$2:$F$1001,$A5)</f>
        <v>24</v>
      </c>
      <c r="C5" s="17">
        <f>SUMIFS(Clean_Data!$U$2:$U$1001,Clean_Data!$F$2:$F$1001,$A5)</f>
        <v>985</v>
      </c>
      <c r="D5" s="17">
        <f>SUMIFS(Clean_Data!$S$2:$S$1001,Clean_Data!$F$2:$F$1001,$A5)</f>
        <v>331</v>
      </c>
      <c r="E5" s="17">
        <f>SUMIFS(Clean_Data!$T$2:$T$1001,Clean_Data!$F$2:$F$1001,$A5)</f>
        <v>654</v>
      </c>
      <c r="F5" s="15" t="str">
        <f>VLOOKUP(WEEKDAY($A5)-1,Lookups!$G$5:$H$11,2,FALSE())</f>
        <v>Saturday</v>
      </c>
      <c r="G5" s="15" t="str">
        <f>IF($A5=MAX(Clean_Data!$F$2:$F$1001),"Partial","Full")</f>
        <v>Full</v>
      </c>
      <c r="H5" s="17">
        <f t="shared" ref="H5:H36" si="0">FORECAST($A5,$C$5:$C$48,$A$5:$A$48)</f>
        <v>1157.3757575757918</v>
      </c>
      <c r="I5" s="17">
        <f t="shared" ref="I5:I36" si="1">H5-1.96*STEYX($C$5:$C$48,$A$5:$A$48)</f>
        <v>479.12810071635874</v>
      </c>
      <c r="J5" s="17">
        <f t="shared" ref="J5:J36" si="2">H5+1.96*STEYX($C$5:$C$48,$A$5:$A$48)</f>
        <v>1835.6234144352247</v>
      </c>
      <c r="K5" s="17">
        <f t="shared" ref="K5:K48" si="3">C5-H5</f>
        <v>-172.37575757579179</v>
      </c>
      <c r="L5" s="33">
        <f t="shared" ref="L5:L48" si="4">K5/STDEV($K$5:$K$48)</f>
        <v>-0.50402669609676276</v>
      </c>
      <c r="M5" s="15" t="str">
        <f>IF(ABS(L5)&gt;Lookups!$B$21,IF(L5&gt;0,"High anomaly","Low anomaly"),"")</f>
        <v/>
      </c>
      <c r="O5" s="15" t="s">
        <v>211</v>
      </c>
      <c r="P5" s="18">
        <f>SLOPE($C$5:$C$48,$A$5:$A$48)</f>
        <v>7.6410852713178299</v>
      </c>
      <c r="R5" s="41">
        <f t="shared" ref="R5:R36" si="5">_xlfn.FORECAST.ETS($A5,$C$5:$C$48,$A$5:$A$48,1,1,1)</f>
        <v>1133.7296523511429</v>
      </c>
      <c r="S5" s="41"/>
      <c r="T5" s="41"/>
    </row>
    <row r="6" spans="1:20" x14ac:dyDescent="0.35">
      <c r="A6" s="16">
        <f t="shared" ref="A6:A37" si="6">A5+1</f>
        <v>40545</v>
      </c>
      <c r="B6" s="17">
        <f>COUNTIFS(Clean_Data!$F$2:$F$1001,$A6)</f>
        <v>23</v>
      </c>
      <c r="C6" s="17">
        <f>SUMIFS(Clean_Data!$U$2:$U$1001,Clean_Data!$F$2:$F$1001,$A6)</f>
        <v>801</v>
      </c>
      <c r="D6" s="17">
        <f>SUMIFS(Clean_Data!$S$2:$S$1001,Clean_Data!$F$2:$F$1001,$A6)</f>
        <v>131</v>
      </c>
      <c r="E6" s="17">
        <f>SUMIFS(Clean_Data!$T$2:$T$1001,Clean_Data!$F$2:$F$1001,$A6)</f>
        <v>670</v>
      </c>
      <c r="F6" s="15" t="str">
        <f>VLOOKUP(WEEKDAY($A6)-1,Lookups!$G$5:$H$11,2,FALSE())</f>
        <v>Sunday</v>
      </c>
      <c r="G6" s="15" t="str">
        <f>IF($A6=MAX(Clean_Data!$F$2:$F$1001),"Partial","Full")</f>
        <v>Full</v>
      </c>
      <c r="H6" s="17">
        <f t="shared" si="0"/>
        <v>1165.0168428471079</v>
      </c>
      <c r="I6" s="17">
        <f t="shared" si="1"/>
        <v>486.76918598767486</v>
      </c>
      <c r="J6" s="17">
        <f t="shared" si="2"/>
        <v>1843.2644997065408</v>
      </c>
      <c r="K6" s="17">
        <f t="shared" si="3"/>
        <v>-364.01684284710791</v>
      </c>
      <c r="L6" s="33">
        <f t="shared" si="4"/>
        <v>-1.0643852082456007</v>
      </c>
      <c r="M6" s="15" t="str">
        <f>IF(ABS(L6)&gt;Lookups!$B$21,IF(L6&gt;0,"High anomaly","Low anomaly"),"")</f>
        <v/>
      </c>
      <c r="O6" s="15" t="s">
        <v>212</v>
      </c>
      <c r="P6" s="18">
        <f>INTERCEPT($C$5:$C$48,$A$5:$A$48)</f>
        <v>-308642.78548273433</v>
      </c>
      <c r="R6" s="41">
        <f t="shared" si="5"/>
        <v>1143.1462129400068</v>
      </c>
      <c r="S6" s="41"/>
      <c r="T6" s="41"/>
    </row>
    <row r="7" spans="1:20" x14ac:dyDescent="0.35">
      <c r="A7" s="16">
        <f t="shared" si="6"/>
        <v>40546</v>
      </c>
      <c r="B7" s="17">
        <f>COUNTIFS(Clean_Data!$F$2:$F$1001,$A7)</f>
        <v>22</v>
      </c>
      <c r="C7" s="17">
        <f>SUMIFS(Clean_Data!$U$2:$U$1001,Clean_Data!$F$2:$F$1001,$A7)</f>
        <v>1349</v>
      </c>
      <c r="D7" s="17">
        <f>SUMIFS(Clean_Data!$S$2:$S$1001,Clean_Data!$F$2:$F$1001,$A7)</f>
        <v>120</v>
      </c>
      <c r="E7" s="17">
        <f>SUMIFS(Clean_Data!$T$2:$T$1001,Clean_Data!$F$2:$F$1001,$A7)</f>
        <v>1229</v>
      </c>
      <c r="F7" s="15" t="str">
        <f>VLOOKUP(WEEKDAY($A7)-1,Lookups!$G$5:$H$11,2,FALSE())</f>
        <v>Monday</v>
      </c>
      <c r="G7" s="15" t="str">
        <f>IF($A7=MAX(Clean_Data!$F$2:$F$1001),"Partial","Full")</f>
        <v>Full</v>
      </c>
      <c r="H7" s="17">
        <f t="shared" si="0"/>
        <v>1172.657928118424</v>
      </c>
      <c r="I7" s="17">
        <f t="shared" si="1"/>
        <v>494.41027125899097</v>
      </c>
      <c r="J7" s="17">
        <f t="shared" si="2"/>
        <v>1850.905584977857</v>
      </c>
      <c r="K7" s="17">
        <f t="shared" si="3"/>
        <v>176.34207188157598</v>
      </c>
      <c r="L7" s="33">
        <f t="shared" si="4"/>
        <v>0.51562419868842935</v>
      </c>
      <c r="M7" s="15" t="str">
        <f>IF(ABS(L7)&gt;Lookups!$B$21,IF(L7&gt;0,"High anomaly","Low anomaly"),"")</f>
        <v/>
      </c>
      <c r="O7" s="15" t="s">
        <v>213</v>
      </c>
      <c r="P7" s="34">
        <f>RSQ($C$5:$C$48,$A$5:$A$48)</f>
        <v>7.6098227430948531E-2</v>
      </c>
      <c r="R7" s="41">
        <f t="shared" si="5"/>
        <v>1152.5627735288715</v>
      </c>
      <c r="S7" s="41"/>
      <c r="T7" s="41"/>
    </row>
    <row r="8" spans="1:20" x14ac:dyDescent="0.35">
      <c r="A8" s="16">
        <f t="shared" si="6"/>
        <v>40547</v>
      </c>
      <c r="B8" s="17">
        <f>COUNTIFS(Clean_Data!$F$2:$F$1001,$A8)</f>
        <v>23</v>
      </c>
      <c r="C8" s="17">
        <f>SUMIFS(Clean_Data!$U$2:$U$1001,Clean_Data!$F$2:$F$1001,$A8)</f>
        <v>1562</v>
      </c>
      <c r="D8" s="17">
        <f>SUMIFS(Clean_Data!$S$2:$S$1001,Clean_Data!$F$2:$F$1001,$A8)</f>
        <v>108</v>
      </c>
      <c r="E8" s="17">
        <f>SUMIFS(Clean_Data!$T$2:$T$1001,Clean_Data!$F$2:$F$1001,$A8)</f>
        <v>1454</v>
      </c>
      <c r="F8" s="15" t="str">
        <f>VLOOKUP(WEEKDAY($A8)-1,Lookups!$G$5:$H$11,2,FALSE())</f>
        <v>Tuesday</v>
      </c>
      <c r="G8" s="15" t="str">
        <f>IF($A8=MAX(Clean_Data!$F$2:$F$1001),"Partial","Full")</f>
        <v>Full</v>
      </c>
      <c r="H8" s="17">
        <f t="shared" si="0"/>
        <v>1180.2990133897401</v>
      </c>
      <c r="I8" s="17">
        <f t="shared" si="1"/>
        <v>502.05135653030709</v>
      </c>
      <c r="J8" s="17">
        <f t="shared" si="2"/>
        <v>1858.5466702491731</v>
      </c>
      <c r="K8" s="17">
        <f t="shared" si="3"/>
        <v>381.70098661025986</v>
      </c>
      <c r="L8" s="33">
        <f t="shared" si="4"/>
        <v>1.116093642654207</v>
      </c>
      <c r="M8" s="15" t="str">
        <f>IF(ABS(L8)&gt;Lookups!$B$21,IF(L8&gt;0,"High anomaly","Low anomaly"),"")</f>
        <v/>
      </c>
      <c r="O8" s="15" t="s">
        <v>214</v>
      </c>
      <c r="P8" s="18">
        <f>STEYX($C$5:$C$48,$A$5:$A$48)</f>
        <v>346.04472288746587</v>
      </c>
      <c r="R8" s="41">
        <f t="shared" si="5"/>
        <v>1161.9793341177353</v>
      </c>
      <c r="S8" s="41"/>
      <c r="T8" s="41"/>
    </row>
    <row r="9" spans="1:20" x14ac:dyDescent="0.35">
      <c r="A9" s="16">
        <f t="shared" si="6"/>
        <v>40548</v>
      </c>
      <c r="B9" s="17">
        <f>COUNTIFS(Clean_Data!$F$2:$F$1001,$A9)</f>
        <v>23</v>
      </c>
      <c r="C9" s="17">
        <f>SUMIFS(Clean_Data!$U$2:$U$1001,Clean_Data!$F$2:$F$1001,$A9)</f>
        <v>1600</v>
      </c>
      <c r="D9" s="17">
        <f>SUMIFS(Clean_Data!$S$2:$S$1001,Clean_Data!$F$2:$F$1001,$A9)</f>
        <v>82</v>
      </c>
      <c r="E9" s="17">
        <f>SUMIFS(Clean_Data!$T$2:$T$1001,Clean_Data!$F$2:$F$1001,$A9)</f>
        <v>1518</v>
      </c>
      <c r="F9" s="15" t="str">
        <f>VLOOKUP(WEEKDAY($A9)-1,Lookups!$G$5:$H$11,2,FALSE())</f>
        <v>Wednesday</v>
      </c>
      <c r="G9" s="15" t="str">
        <f>IF($A9=MAX(Clean_Data!$F$2:$F$1001),"Partial","Full")</f>
        <v>Full</v>
      </c>
      <c r="H9" s="17">
        <f t="shared" si="0"/>
        <v>1187.9400986610563</v>
      </c>
      <c r="I9" s="17">
        <f t="shared" si="1"/>
        <v>509.6924418016232</v>
      </c>
      <c r="J9" s="17">
        <f t="shared" si="2"/>
        <v>1866.1877555204892</v>
      </c>
      <c r="K9" s="17">
        <f t="shared" si="3"/>
        <v>412.05990133894375</v>
      </c>
      <c r="L9" s="33">
        <f t="shared" si="4"/>
        <v>1.2048631059649273</v>
      </c>
      <c r="M9" s="15" t="str">
        <f>IF(ABS(L9)&gt;Lookups!$B$21,IF(L9&gt;0,"High anomaly","Low anomaly"),"")</f>
        <v/>
      </c>
      <c r="O9" s="15" t="s">
        <v>215</v>
      </c>
      <c r="P9" s="18">
        <f>COUNTIF($M$5:$M$48,"*anomaly")</f>
        <v>2</v>
      </c>
      <c r="R9" s="41">
        <f t="shared" si="5"/>
        <v>1171.3958947066001</v>
      </c>
      <c r="S9" s="41"/>
      <c r="T9" s="41"/>
    </row>
    <row r="10" spans="1:20" x14ac:dyDescent="0.35">
      <c r="A10" s="16">
        <f t="shared" si="6"/>
        <v>40549</v>
      </c>
      <c r="B10" s="17">
        <f>COUNTIFS(Clean_Data!$F$2:$F$1001,$A10)</f>
        <v>23</v>
      </c>
      <c r="C10" s="17">
        <f>SUMIFS(Clean_Data!$U$2:$U$1001,Clean_Data!$F$2:$F$1001,$A10)</f>
        <v>1606</v>
      </c>
      <c r="D10" s="17">
        <f>SUMIFS(Clean_Data!$S$2:$S$1001,Clean_Data!$F$2:$F$1001,$A10)</f>
        <v>88</v>
      </c>
      <c r="E10" s="17">
        <f>SUMIFS(Clean_Data!$T$2:$T$1001,Clean_Data!$F$2:$F$1001,$A10)</f>
        <v>1518</v>
      </c>
      <c r="F10" s="15" t="str">
        <f>VLOOKUP(WEEKDAY($A10)-1,Lookups!$G$5:$H$11,2,FALSE())</f>
        <v>Thursday</v>
      </c>
      <c r="G10" s="15" t="str">
        <f>IF($A10=MAX(Clean_Data!$F$2:$F$1001),"Partial","Full")</f>
        <v>Full</v>
      </c>
      <c r="H10" s="17">
        <f t="shared" si="0"/>
        <v>1195.5811839323724</v>
      </c>
      <c r="I10" s="17">
        <f t="shared" si="1"/>
        <v>517.33352707293932</v>
      </c>
      <c r="J10" s="17">
        <f t="shared" si="2"/>
        <v>1873.8288407918053</v>
      </c>
      <c r="K10" s="17">
        <f t="shared" si="3"/>
        <v>410.41881606762763</v>
      </c>
      <c r="L10" s="33">
        <f t="shared" si="4"/>
        <v>1.2000645728130086</v>
      </c>
      <c r="M10" s="15" t="str">
        <f>IF(ABS(L10)&gt;Lookups!$B$21,IF(L10&gt;0,"High anomaly","Low anomaly"),"")</f>
        <v/>
      </c>
      <c r="O10" s="15" t="s">
        <v>216</v>
      </c>
      <c r="P10" s="18">
        <f>SUM(H50:H56)</f>
        <v>10669.034954193165</v>
      </c>
      <c r="R10" s="41">
        <f t="shared" si="5"/>
        <v>1180.8124552954639</v>
      </c>
      <c r="S10" s="41"/>
      <c r="T10" s="41"/>
    </row>
    <row r="11" spans="1:20" x14ac:dyDescent="0.35">
      <c r="A11" s="16">
        <f t="shared" si="6"/>
        <v>40550</v>
      </c>
      <c r="B11" s="17">
        <f>COUNTIFS(Clean_Data!$F$2:$F$1001,$A11)</f>
        <v>23</v>
      </c>
      <c r="C11" s="17">
        <f>SUMIFS(Clean_Data!$U$2:$U$1001,Clean_Data!$F$2:$F$1001,$A11)</f>
        <v>1510</v>
      </c>
      <c r="D11" s="17">
        <f>SUMIFS(Clean_Data!$S$2:$S$1001,Clean_Data!$F$2:$F$1001,$A11)</f>
        <v>148</v>
      </c>
      <c r="E11" s="17">
        <f>SUMIFS(Clean_Data!$T$2:$T$1001,Clean_Data!$F$2:$F$1001,$A11)</f>
        <v>1362</v>
      </c>
      <c r="F11" s="15" t="str">
        <f>VLOOKUP(WEEKDAY($A11)-1,Lookups!$G$5:$H$11,2,FALSE())</f>
        <v>Friday</v>
      </c>
      <c r="G11" s="15" t="str">
        <f>IF($A11=MAX(Clean_Data!$F$2:$F$1001),"Partial","Full")</f>
        <v>Full</v>
      </c>
      <c r="H11" s="17">
        <f t="shared" si="0"/>
        <v>1203.2222692036885</v>
      </c>
      <c r="I11" s="17">
        <f t="shared" si="1"/>
        <v>524.97461234425543</v>
      </c>
      <c r="J11" s="17">
        <f t="shared" si="2"/>
        <v>1881.4699260631214</v>
      </c>
      <c r="K11" s="17">
        <f t="shared" si="3"/>
        <v>306.77773079631152</v>
      </c>
      <c r="L11" s="33">
        <f t="shared" si="4"/>
        <v>0.89701805093642817</v>
      </c>
      <c r="M11" s="15" t="str">
        <f>IF(ABS(L11)&gt;Lookups!$B$21,IF(L11&gt;0,"High anomaly","Low anomaly"),"")</f>
        <v/>
      </c>
      <c r="R11" s="41">
        <f t="shared" si="5"/>
        <v>1190.2290158843286</v>
      </c>
      <c r="S11" s="41"/>
      <c r="T11" s="41"/>
    </row>
    <row r="12" spans="1:20" x14ac:dyDescent="0.35">
      <c r="A12" s="16">
        <f t="shared" si="6"/>
        <v>40551</v>
      </c>
      <c r="B12" s="17">
        <f>COUNTIFS(Clean_Data!$F$2:$F$1001,$A12)</f>
        <v>24</v>
      </c>
      <c r="C12" s="17">
        <f>SUMIFS(Clean_Data!$U$2:$U$1001,Clean_Data!$F$2:$F$1001,$A12)</f>
        <v>959</v>
      </c>
      <c r="D12" s="17">
        <f>SUMIFS(Clean_Data!$S$2:$S$1001,Clean_Data!$F$2:$F$1001,$A12)</f>
        <v>68</v>
      </c>
      <c r="E12" s="17">
        <f>SUMIFS(Clean_Data!$T$2:$T$1001,Clean_Data!$F$2:$F$1001,$A12)</f>
        <v>891</v>
      </c>
      <c r="F12" s="15" t="str">
        <f>VLOOKUP(WEEKDAY($A12)-1,Lookups!$G$5:$H$11,2,FALSE())</f>
        <v>Saturday</v>
      </c>
      <c r="G12" s="15" t="str">
        <f>IF($A12=MAX(Clean_Data!$F$2:$F$1001),"Partial","Full")</f>
        <v>Full</v>
      </c>
      <c r="H12" s="17">
        <f t="shared" si="0"/>
        <v>1210.8633544750046</v>
      </c>
      <c r="I12" s="17">
        <f t="shared" si="1"/>
        <v>532.61569761557155</v>
      </c>
      <c r="J12" s="17">
        <f t="shared" si="2"/>
        <v>1889.1110113344375</v>
      </c>
      <c r="K12" s="17">
        <f t="shared" si="3"/>
        <v>-251.8633544750046</v>
      </c>
      <c r="L12" s="33">
        <f t="shared" si="4"/>
        <v>-0.73644842064330096</v>
      </c>
      <c r="M12" s="15" t="str">
        <f>IF(ABS(L12)&gt;Lookups!$B$21,IF(L12&gt;0,"High anomaly","Low anomaly"),"")</f>
        <v/>
      </c>
      <c r="R12" s="41">
        <f t="shared" si="5"/>
        <v>1199.6455764731925</v>
      </c>
      <c r="S12" s="41"/>
      <c r="T12" s="41"/>
    </row>
    <row r="13" spans="1:20" x14ac:dyDescent="0.35">
      <c r="A13" s="16">
        <f t="shared" si="6"/>
        <v>40552</v>
      </c>
      <c r="B13" s="17">
        <f>COUNTIFS(Clean_Data!$F$2:$F$1001,$A13)</f>
        <v>24</v>
      </c>
      <c r="C13" s="17">
        <f>SUMIFS(Clean_Data!$U$2:$U$1001,Clean_Data!$F$2:$F$1001,$A13)</f>
        <v>822</v>
      </c>
      <c r="D13" s="17">
        <f>SUMIFS(Clean_Data!$S$2:$S$1001,Clean_Data!$F$2:$F$1001,$A13)</f>
        <v>54</v>
      </c>
      <c r="E13" s="17">
        <f>SUMIFS(Clean_Data!$T$2:$T$1001,Clean_Data!$F$2:$F$1001,$A13)</f>
        <v>768</v>
      </c>
      <c r="F13" s="15" t="str">
        <f>VLOOKUP(WEEKDAY($A13)-1,Lookups!$G$5:$H$11,2,FALSE())</f>
        <v>Sunday</v>
      </c>
      <c r="G13" s="15" t="str">
        <f>IF($A13=MAX(Clean_Data!$F$2:$F$1001),"Partial","Full")</f>
        <v>Full</v>
      </c>
      <c r="H13" s="17">
        <f t="shared" si="0"/>
        <v>1218.5044397463207</v>
      </c>
      <c r="I13" s="17">
        <f t="shared" si="1"/>
        <v>540.25678288688766</v>
      </c>
      <c r="J13" s="17">
        <f t="shared" si="2"/>
        <v>1896.7520966057536</v>
      </c>
      <c r="K13" s="17">
        <f t="shared" si="3"/>
        <v>-396.50443974632071</v>
      </c>
      <c r="L13" s="33">
        <f t="shared" si="4"/>
        <v>-1.1593789379876376</v>
      </c>
      <c r="M13" s="15" t="str">
        <f>IF(ABS(L13)&gt;Lookups!$B$21,IF(L13&gt;0,"High anomaly","Low anomaly"),"")</f>
        <v/>
      </c>
      <c r="R13" s="41">
        <f t="shared" si="5"/>
        <v>1209.0621370620572</v>
      </c>
      <c r="S13" s="41"/>
      <c r="T13" s="41"/>
    </row>
    <row r="14" spans="1:20" x14ac:dyDescent="0.35">
      <c r="A14" s="16">
        <f t="shared" si="6"/>
        <v>40553</v>
      </c>
      <c r="B14" s="17">
        <f>COUNTIFS(Clean_Data!$F$2:$F$1001,$A14)</f>
        <v>24</v>
      </c>
      <c r="C14" s="17">
        <f>SUMIFS(Clean_Data!$U$2:$U$1001,Clean_Data!$F$2:$F$1001,$A14)</f>
        <v>1321</v>
      </c>
      <c r="D14" s="17">
        <f>SUMIFS(Clean_Data!$S$2:$S$1001,Clean_Data!$F$2:$F$1001,$A14)</f>
        <v>41</v>
      </c>
      <c r="E14" s="17">
        <f>SUMIFS(Clean_Data!$T$2:$T$1001,Clean_Data!$F$2:$F$1001,$A14)</f>
        <v>1280</v>
      </c>
      <c r="F14" s="15" t="str">
        <f>VLOOKUP(WEEKDAY($A14)-1,Lookups!$G$5:$H$11,2,FALSE())</f>
        <v>Monday</v>
      </c>
      <c r="G14" s="15" t="str">
        <f>IF($A14=MAX(Clean_Data!$F$2:$F$1001),"Partial","Full")</f>
        <v>Full</v>
      </c>
      <c r="H14" s="17">
        <f t="shared" si="0"/>
        <v>1226.1455250176368</v>
      </c>
      <c r="I14" s="17">
        <f t="shared" si="1"/>
        <v>547.89786815820378</v>
      </c>
      <c r="J14" s="17">
        <f t="shared" si="2"/>
        <v>1904.3931818770698</v>
      </c>
      <c r="K14" s="17">
        <f t="shared" si="3"/>
        <v>94.854474982363172</v>
      </c>
      <c r="L14" s="33">
        <f t="shared" si="4"/>
        <v>0.27735447436297622</v>
      </c>
      <c r="M14" s="15" t="str">
        <f>IF(ABS(L14)&gt;Lookups!$B$21,IF(L14&gt;0,"High anomaly","Low anomaly"),"")</f>
        <v/>
      </c>
      <c r="R14" s="41">
        <f t="shared" si="5"/>
        <v>1218.478697650921</v>
      </c>
      <c r="S14" s="41"/>
      <c r="T14" s="41"/>
    </row>
    <row r="15" spans="1:20" x14ac:dyDescent="0.35">
      <c r="A15" s="16">
        <f t="shared" si="6"/>
        <v>40554</v>
      </c>
      <c r="B15" s="17">
        <f>COUNTIFS(Clean_Data!$F$2:$F$1001,$A15)</f>
        <v>22</v>
      </c>
      <c r="C15" s="17">
        <f>SUMIFS(Clean_Data!$U$2:$U$1001,Clean_Data!$F$2:$F$1001,$A15)</f>
        <v>1263</v>
      </c>
      <c r="D15" s="17">
        <f>SUMIFS(Clean_Data!$S$2:$S$1001,Clean_Data!$F$2:$F$1001,$A15)</f>
        <v>43</v>
      </c>
      <c r="E15" s="17">
        <f>SUMIFS(Clean_Data!$T$2:$T$1001,Clean_Data!$F$2:$F$1001,$A15)</f>
        <v>1220</v>
      </c>
      <c r="F15" s="15" t="str">
        <f>VLOOKUP(WEEKDAY($A15)-1,Lookups!$G$5:$H$11,2,FALSE())</f>
        <v>Tuesday</v>
      </c>
      <c r="G15" s="15" t="str">
        <f>IF($A15=MAX(Clean_Data!$F$2:$F$1001),"Partial","Full")</f>
        <v>Full</v>
      </c>
      <c r="H15" s="17">
        <f t="shared" si="0"/>
        <v>1233.7866102889529</v>
      </c>
      <c r="I15" s="17">
        <f t="shared" si="1"/>
        <v>555.53895342951989</v>
      </c>
      <c r="J15" s="17">
        <f t="shared" si="2"/>
        <v>1912.0342671483859</v>
      </c>
      <c r="K15" s="17">
        <f t="shared" si="3"/>
        <v>29.213389711047057</v>
      </c>
      <c r="L15" s="33">
        <f t="shared" si="4"/>
        <v>8.5419948285779576E-2</v>
      </c>
      <c r="M15" s="15" t="str">
        <f>IF(ABS(L15)&gt;Lookups!$B$21,IF(L15&gt;0,"High anomaly","Low anomaly"),"")</f>
        <v/>
      </c>
      <c r="R15" s="41">
        <f t="shared" si="5"/>
        <v>1227.8952582397858</v>
      </c>
      <c r="S15" s="41"/>
      <c r="T15" s="41"/>
    </row>
    <row r="16" spans="1:20" x14ac:dyDescent="0.35">
      <c r="A16" s="16">
        <f t="shared" si="6"/>
        <v>40555</v>
      </c>
      <c r="B16" s="17">
        <f>COUNTIFS(Clean_Data!$F$2:$F$1001,$A16)</f>
        <v>22</v>
      </c>
      <c r="C16" s="17">
        <f>SUMIFS(Clean_Data!$U$2:$U$1001,Clean_Data!$F$2:$F$1001,$A16)</f>
        <v>1162</v>
      </c>
      <c r="D16" s="17">
        <f>SUMIFS(Clean_Data!$S$2:$S$1001,Clean_Data!$F$2:$F$1001,$A16)</f>
        <v>25</v>
      </c>
      <c r="E16" s="17">
        <f>SUMIFS(Clean_Data!$T$2:$T$1001,Clean_Data!$F$2:$F$1001,$A16)</f>
        <v>1137</v>
      </c>
      <c r="F16" s="15" t="str">
        <f>VLOOKUP(WEEKDAY($A16)-1,Lookups!$G$5:$H$11,2,FALSE())</f>
        <v>Wednesday</v>
      </c>
      <c r="G16" s="15" t="str">
        <f>IF($A16=MAX(Clean_Data!$F$2:$F$1001),"Partial","Full")</f>
        <v>Full</v>
      </c>
      <c r="H16" s="17">
        <f t="shared" si="0"/>
        <v>1241.4276955602691</v>
      </c>
      <c r="I16" s="17">
        <f t="shared" si="1"/>
        <v>563.18003870083601</v>
      </c>
      <c r="J16" s="17">
        <f t="shared" si="2"/>
        <v>1919.675352419702</v>
      </c>
      <c r="K16" s="17">
        <f t="shared" si="3"/>
        <v>-79.427695560269058</v>
      </c>
      <c r="L16" s="33">
        <f t="shared" si="4"/>
        <v>-0.23224657303808827</v>
      </c>
      <c r="M16" s="15" t="str">
        <f>IF(ABS(L16)&gt;Lookups!$B$21,IF(L16&gt;0,"High anomaly","Low anomaly"),"")</f>
        <v/>
      </c>
      <c r="R16" s="41">
        <f t="shared" si="5"/>
        <v>1237.3118188286496</v>
      </c>
      <c r="S16" s="41"/>
      <c r="T16" s="41"/>
    </row>
    <row r="17" spans="1:20" x14ac:dyDescent="0.35">
      <c r="A17" s="16">
        <f t="shared" si="6"/>
        <v>40556</v>
      </c>
      <c r="B17" s="17">
        <f>COUNTIFS(Clean_Data!$F$2:$F$1001,$A17)</f>
        <v>24</v>
      </c>
      <c r="C17" s="17">
        <f>SUMIFS(Clean_Data!$U$2:$U$1001,Clean_Data!$F$2:$F$1001,$A17)</f>
        <v>1406</v>
      </c>
      <c r="D17" s="17">
        <f>SUMIFS(Clean_Data!$S$2:$S$1001,Clean_Data!$F$2:$F$1001,$A17)</f>
        <v>38</v>
      </c>
      <c r="E17" s="17">
        <f>SUMIFS(Clean_Data!$T$2:$T$1001,Clean_Data!$F$2:$F$1001,$A17)</f>
        <v>1368</v>
      </c>
      <c r="F17" s="15" t="str">
        <f>VLOOKUP(WEEKDAY($A17)-1,Lookups!$G$5:$H$11,2,FALSE())</f>
        <v>Thursday</v>
      </c>
      <c r="G17" s="15" t="str">
        <f>IF($A17=MAX(Clean_Data!$F$2:$F$1001),"Partial","Full")</f>
        <v>Full</v>
      </c>
      <c r="H17" s="17">
        <f t="shared" si="0"/>
        <v>1249.0687808315852</v>
      </c>
      <c r="I17" s="17">
        <f t="shared" si="1"/>
        <v>570.82112397215212</v>
      </c>
      <c r="J17" s="17">
        <f t="shared" si="2"/>
        <v>1927.3164376910181</v>
      </c>
      <c r="K17" s="17">
        <f t="shared" si="3"/>
        <v>156.93121916841483</v>
      </c>
      <c r="L17" s="33">
        <f t="shared" si="4"/>
        <v>0.45886686750087086</v>
      </c>
      <c r="M17" s="15" t="str">
        <f>IF(ABS(L17)&gt;Lookups!$B$21,IF(L17&gt;0,"High anomaly","Low anomaly"),"")</f>
        <v/>
      </c>
      <c r="R17" s="41">
        <f t="shared" si="5"/>
        <v>1246.7283794175144</v>
      </c>
      <c r="S17" s="41"/>
      <c r="T17" s="41"/>
    </row>
    <row r="18" spans="1:20" x14ac:dyDescent="0.35">
      <c r="A18" s="16">
        <f t="shared" si="6"/>
        <v>40557</v>
      </c>
      <c r="B18" s="17">
        <f>COUNTIFS(Clean_Data!$F$2:$F$1001,$A18)</f>
        <v>23</v>
      </c>
      <c r="C18" s="17">
        <f>SUMIFS(Clean_Data!$U$2:$U$1001,Clean_Data!$F$2:$F$1001,$A18)</f>
        <v>1421</v>
      </c>
      <c r="D18" s="17">
        <f>SUMIFS(Clean_Data!$S$2:$S$1001,Clean_Data!$F$2:$F$1001,$A18)</f>
        <v>54</v>
      </c>
      <c r="E18" s="17">
        <f>SUMIFS(Clean_Data!$T$2:$T$1001,Clean_Data!$F$2:$F$1001,$A18)</f>
        <v>1367</v>
      </c>
      <c r="F18" s="15" t="str">
        <f>VLOOKUP(WEEKDAY($A18)-1,Lookups!$G$5:$H$11,2,FALSE())</f>
        <v>Friday</v>
      </c>
      <c r="G18" s="15" t="str">
        <f>IF($A18=MAX(Clean_Data!$F$2:$F$1001),"Partial","Full")</f>
        <v>Full</v>
      </c>
      <c r="H18" s="17">
        <f t="shared" si="0"/>
        <v>1256.7098661029013</v>
      </c>
      <c r="I18" s="17">
        <f t="shared" si="1"/>
        <v>578.46220924346824</v>
      </c>
      <c r="J18" s="17">
        <f t="shared" si="2"/>
        <v>1934.9575229623342</v>
      </c>
      <c r="K18" s="17">
        <f t="shared" si="3"/>
        <v>164.29013389709871</v>
      </c>
      <c r="L18" s="33">
        <f t="shared" si="4"/>
        <v>0.48038433335406949</v>
      </c>
      <c r="M18" s="15" t="str">
        <f>IF(ABS(L18)&gt;Lookups!$B$21,IF(L18&gt;0,"High anomaly","Low anomaly"),"")</f>
        <v/>
      </c>
      <c r="R18" s="41">
        <f t="shared" si="5"/>
        <v>1256.1449400063782</v>
      </c>
      <c r="S18" s="41"/>
      <c r="T18" s="41"/>
    </row>
    <row r="19" spans="1:20" x14ac:dyDescent="0.35">
      <c r="A19" s="16">
        <f t="shared" si="6"/>
        <v>40558</v>
      </c>
      <c r="B19" s="17">
        <f>COUNTIFS(Clean_Data!$F$2:$F$1001,$A19)</f>
        <v>24</v>
      </c>
      <c r="C19" s="17">
        <f>SUMIFS(Clean_Data!$U$2:$U$1001,Clean_Data!$F$2:$F$1001,$A19)</f>
        <v>1248</v>
      </c>
      <c r="D19" s="17">
        <f>SUMIFS(Clean_Data!$S$2:$S$1001,Clean_Data!$F$2:$F$1001,$A19)</f>
        <v>222</v>
      </c>
      <c r="E19" s="17">
        <f>SUMIFS(Clean_Data!$T$2:$T$1001,Clean_Data!$F$2:$F$1001,$A19)</f>
        <v>1026</v>
      </c>
      <c r="F19" s="15" t="str">
        <f>VLOOKUP(WEEKDAY($A19)-1,Lookups!$G$5:$H$11,2,FALSE())</f>
        <v>Saturday</v>
      </c>
      <c r="G19" s="15" t="str">
        <f>IF($A19=MAX(Clean_Data!$F$2:$F$1001),"Partial","Full")</f>
        <v>Full</v>
      </c>
      <c r="H19" s="17">
        <f t="shared" si="0"/>
        <v>1264.3509513742174</v>
      </c>
      <c r="I19" s="17">
        <f t="shared" si="1"/>
        <v>586.10329451478435</v>
      </c>
      <c r="J19" s="17">
        <f t="shared" si="2"/>
        <v>1942.5986082336503</v>
      </c>
      <c r="K19" s="17">
        <f t="shared" si="3"/>
        <v>-16.350951374217402</v>
      </c>
      <c r="L19" s="33">
        <f t="shared" si="4"/>
        <v>-4.7810180010736142E-2</v>
      </c>
      <c r="M19" s="15" t="str">
        <f>IF(ABS(L19)&gt;Lookups!$B$21,IF(L19&gt;0,"High anomaly","Low anomaly"),"")</f>
        <v/>
      </c>
      <c r="R19" s="41">
        <f t="shared" si="5"/>
        <v>1265.5615005952429</v>
      </c>
      <c r="S19" s="41"/>
      <c r="T19" s="41"/>
    </row>
    <row r="20" spans="1:20" x14ac:dyDescent="0.35">
      <c r="A20" s="16">
        <f t="shared" si="6"/>
        <v>40559</v>
      </c>
      <c r="B20" s="17">
        <f>COUNTIFS(Clean_Data!$F$2:$F$1001,$A20)</f>
        <v>24</v>
      </c>
      <c r="C20" s="17">
        <f>SUMIFS(Clean_Data!$U$2:$U$1001,Clean_Data!$F$2:$F$1001,$A20)</f>
        <v>1204</v>
      </c>
      <c r="D20" s="17">
        <f>SUMIFS(Clean_Data!$S$2:$S$1001,Clean_Data!$F$2:$F$1001,$A20)</f>
        <v>251</v>
      </c>
      <c r="E20" s="17">
        <f>SUMIFS(Clean_Data!$T$2:$T$1001,Clean_Data!$F$2:$F$1001,$A20)</f>
        <v>953</v>
      </c>
      <c r="F20" s="15" t="str">
        <f>VLOOKUP(WEEKDAY($A20)-1,Lookups!$G$5:$H$11,2,FALSE())</f>
        <v>Sunday</v>
      </c>
      <c r="G20" s="15" t="str">
        <f>IF($A20=MAX(Clean_Data!$F$2:$F$1001),"Partial","Full")</f>
        <v>Full</v>
      </c>
      <c r="H20" s="17">
        <f t="shared" si="0"/>
        <v>1271.9920366455335</v>
      </c>
      <c r="I20" s="17">
        <f t="shared" si="1"/>
        <v>593.74437978610047</v>
      </c>
      <c r="J20" s="17">
        <f t="shared" si="2"/>
        <v>1950.2396935049665</v>
      </c>
      <c r="K20" s="17">
        <f t="shared" si="3"/>
        <v>-67.992036645533517</v>
      </c>
      <c r="L20" s="33">
        <f t="shared" si="4"/>
        <v>-0.19880870763552821</v>
      </c>
      <c r="M20" s="15" t="str">
        <f>IF(ABS(L20)&gt;Lookups!$B$21,IF(L20&gt;0,"High anomaly","Low anomaly"),"")</f>
        <v/>
      </c>
      <c r="R20" s="41">
        <f t="shared" si="5"/>
        <v>1274.9780611841068</v>
      </c>
      <c r="S20" s="41"/>
      <c r="T20" s="41"/>
    </row>
    <row r="21" spans="1:20" x14ac:dyDescent="0.35">
      <c r="A21" s="16">
        <f t="shared" si="6"/>
        <v>40560</v>
      </c>
      <c r="B21" s="17">
        <f>COUNTIFS(Clean_Data!$F$2:$F$1001,$A21)</f>
        <v>24</v>
      </c>
      <c r="C21" s="17">
        <f>SUMIFS(Clean_Data!$U$2:$U$1001,Clean_Data!$F$2:$F$1001,$A21)</f>
        <v>1000</v>
      </c>
      <c r="D21" s="17">
        <f>SUMIFS(Clean_Data!$S$2:$S$1001,Clean_Data!$F$2:$F$1001,$A21)</f>
        <v>117</v>
      </c>
      <c r="E21" s="17">
        <f>SUMIFS(Clean_Data!$T$2:$T$1001,Clean_Data!$F$2:$F$1001,$A21)</f>
        <v>883</v>
      </c>
      <c r="F21" s="15" t="str">
        <f>VLOOKUP(WEEKDAY($A21)-1,Lookups!$G$5:$H$11,2,FALSE())</f>
        <v>Monday</v>
      </c>
      <c r="G21" s="15" t="str">
        <f>IF($A21=MAX(Clean_Data!$F$2:$F$1001),"Partial","Full")</f>
        <v>Full</v>
      </c>
      <c r="H21" s="17">
        <f t="shared" si="0"/>
        <v>1279.6331219168496</v>
      </c>
      <c r="I21" s="17">
        <f t="shared" si="1"/>
        <v>601.38546505741658</v>
      </c>
      <c r="J21" s="17">
        <f t="shared" si="2"/>
        <v>1957.8807787762826</v>
      </c>
      <c r="K21" s="17">
        <f t="shared" si="3"/>
        <v>-279.63312191684963</v>
      </c>
      <c r="L21" s="33">
        <f t="shared" si="4"/>
        <v>-0.81764721757351544</v>
      </c>
      <c r="M21" s="15" t="str">
        <f>IF(ABS(L21)&gt;Lookups!$B$21,IF(L21&gt;0,"High anomaly","Low anomaly"),"")</f>
        <v/>
      </c>
      <c r="R21" s="41">
        <f t="shared" si="5"/>
        <v>1284.3946217729715</v>
      </c>
      <c r="S21" s="41"/>
      <c r="T21" s="41"/>
    </row>
    <row r="22" spans="1:20" x14ac:dyDescent="0.35">
      <c r="A22" s="16">
        <f t="shared" si="6"/>
        <v>40561</v>
      </c>
      <c r="B22" s="17">
        <f>COUNTIFS(Clean_Data!$F$2:$F$1001,$A22)</f>
        <v>12</v>
      </c>
      <c r="C22" s="17">
        <f>SUMIFS(Clean_Data!$U$2:$U$1001,Clean_Data!$F$2:$F$1001,$A22)</f>
        <v>683</v>
      </c>
      <c r="D22" s="17">
        <f>SUMIFS(Clean_Data!$S$2:$S$1001,Clean_Data!$F$2:$F$1001,$A22)</f>
        <v>9</v>
      </c>
      <c r="E22" s="17">
        <f>SUMIFS(Clean_Data!$T$2:$T$1001,Clean_Data!$F$2:$F$1001,$A22)</f>
        <v>674</v>
      </c>
      <c r="F22" s="15" t="str">
        <f>VLOOKUP(WEEKDAY($A22)-1,Lookups!$G$5:$H$11,2,FALSE())</f>
        <v>Tuesday</v>
      </c>
      <c r="G22" s="15" t="str">
        <f>IF($A22=MAX(Clean_Data!$F$2:$F$1001),"Partial","Full")</f>
        <v>Full</v>
      </c>
      <c r="H22" s="17">
        <f t="shared" si="0"/>
        <v>1287.2742071881657</v>
      </c>
      <c r="I22" s="17">
        <f t="shared" si="1"/>
        <v>609.0265503287327</v>
      </c>
      <c r="J22" s="17">
        <f t="shared" si="2"/>
        <v>1965.5218640475987</v>
      </c>
      <c r="K22" s="17">
        <f t="shared" si="3"/>
        <v>-604.27420718816575</v>
      </c>
      <c r="L22" s="33">
        <f t="shared" si="4"/>
        <v>-1.7668977150201968</v>
      </c>
      <c r="M22" s="15" t="str">
        <f>IF(ABS(L22)&gt;Lookups!$B$21,IF(L22&gt;0,"High anomaly","Low anomaly"),"")</f>
        <v/>
      </c>
      <c r="R22" s="41">
        <f t="shared" si="5"/>
        <v>1293.8111823618353</v>
      </c>
      <c r="S22" s="41"/>
      <c r="T22" s="41"/>
    </row>
    <row r="23" spans="1:20" x14ac:dyDescent="0.35">
      <c r="A23" s="16">
        <f t="shared" si="6"/>
        <v>40562</v>
      </c>
      <c r="B23" s="17">
        <f>COUNTIFS(Clean_Data!$F$2:$F$1001,$A23)</f>
        <v>23</v>
      </c>
      <c r="C23" s="17">
        <f>SUMIFS(Clean_Data!$U$2:$U$1001,Clean_Data!$F$2:$F$1001,$A23)</f>
        <v>1650</v>
      </c>
      <c r="D23" s="17">
        <f>SUMIFS(Clean_Data!$S$2:$S$1001,Clean_Data!$F$2:$F$1001,$A23)</f>
        <v>78</v>
      </c>
      <c r="E23" s="17">
        <f>SUMIFS(Clean_Data!$T$2:$T$1001,Clean_Data!$F$2:$F$1001,$A23)</f>
        <v>1572</v>
      </c>
      <c r="F23" s="15" t="str">
        <f>VLOOKUP(WEEKDAY($A23)-1,Lookups!$G$5:$H$11,2,FALSE())</f>
        <v>Wednesday</v>
      </c>
      <c r="G23" s="15" t="str">
        <f>IF($A23=MAX(Clean_Data!$F$2:$F$1001),"Partial","Full")</f>
        <v>Full</v>
      </c>
      <c r="H23" s="17">
        <f t="shared" si="0"/>
        <v>1294.9152924594819</v>
      </c>
      <c r="I23" s="17">
        <f t="shared" si="1"/>
        <v>616.66763560004881</v>
      </c>
      <c r="J23" s="17">
        <f t="shared" si="2"/>
        <v>1973.1629493189148</v>
      </c>
      <c r="K23" s="17">
        <f t="shared" si="3"/>
        <v>355.08470754051814</v>
      </c>
      <c r="L23" s="33">
        <f t="shared" si="4"/>
        <v>1.038267645596513</v>
      </c>
      <c r="M23" s="15" t="str">
        <f>IF(ABS(L23)&gt;Lookups!$B$21,IF(L23&gt;0,"High anomaly","Low anomaly"),"")</f>
        <v/>
      </c>
      <c r="R23" s="41">
        <f t="shared" si="5"/>
        <v>1303.2277429507001</v>
      </c>
      <c r="S23" s="41"/>
      <c r="T23" s="41"/>
    </row>
    <row r="24" spans="1:20" x14ac:dyDescent="0.35">
      <c r="A24" s="16">
        <f t="shared" si="6"/>
        <v>40563</v>
      </c>
      <c r="B24" s="17">
        <f>COUNTIFS(Clean_Data!$F$2:$F$1001,$A24)</f>
        <v>24</v>
      </c>
      <c r="C24" s="17">
        <f>SUMIFS(Clean_Data!$U$2:$U$1001,Clean_Data!$F$2:$F$1001,$A24)</f>
        <v>1927</v>
      </c>
      <c r="D24" s="17">
        <f>SUMIFS(Clean_Data!$S$2:$S$1001,Clean_Data!$F$2:$F$1001,$A24)</f>
        <v>83</v>
      </c>
      <c r="E24" s="17">
        <f>SUMIFS(Clean_Data!$T$2:$T$1001,Clean_Data!$F$2:$F$1001,$A24)</f>
        <v>1844</v>
      </c>
      <c r="F24" s="15" t="str">
        <f>VLOOKUP(WEEKDAY($A24)-1,Lookups!$G$5:$H$11,2,FALSE())</f>
        <v>Thursday</v>
      </c>
      <c r="G24" s="15" t="str">
        <f>IF($A24=MAX(Clean_Data!$F$2:$F$1001),"Partial","Full")</f>
        <v>Full</v>
      </c>
      <c r="H24" s="17">
        <f t="shared" si="0"/>
        <v>1302.556377730798</v>
      </c>
      <c r="I24" s="17">
        <f t="shared" si="1"/>
        <v>624.30872087136493</v>
      </c>
      <c r="J24" s="17">
        <f t="shared" si="2"/>
        <v>1980.8040345902309</v>
      </c>
      <c r="K24" s="17">
        <f t="shared" si="3"/>
        <v>624.44362226920202</v>
      </c>
      <c r="L24" s="33">
        <f t="shared" si="4"/>
        <v>1.8258730824875686</v>
      </c>
      <c r="M24" s="15" t="str">
        <f>IF(ABS(L24)&gt;Lookups!$B$21,IF(L24&gt;0,"High anomaly","Low anomaly"),"")</f>
        <v/>
      </c>
      <c r="R24" s="41">
        <f t="shared" si="5"/>
        <v>1312.6443035395639</v>
      </c>
      <c r="S24" s="41"/>
      <c r="T24" s="41"/>
    </row>
    <row r="25" spans="1:20" x14ac:dyDescent="0.35">
      <c r="A25" s="16">
        <f t="shared" si="6"/>
        <v>40564</v>
      </c>
      <c r="B25" s="17">
        <f>COUNTIFS(Clean_Data!$F$2:$F$1001,$A25)</f>
        <v>24</v>
      </c>
      <c r="C25" s="17">
        <f>SUMIFS(Clean_Data!$U$2:$U$1001,Clean_Data!$F$2:$F$1001,$A25)</f>
        <v>1543</v>
      </c>
      <c r="D25" s="17">
        <f>SUMIFS(Clean_Data!$S$2:$S$1001,Clean_Data!$F$2:$F$1001,$A25)</f>
        <v>75</v>
      </c>
      <c r="E25" s="17">
        <f>SUMIFS(Clean_Data!$T$2:$T$1001,Clean_Data!$F$2:$F$1001,$A25)</f>
        <v>1468</v>
      </c>
      <c r="F25" s="15" t="str">
        <f>VLOOKUP(WEEKDAY($A25)-1,Lookups!$G$5:$H$11,2,FALSE())</f>
        <v>Friday</v>
      </c>
      <c r="G25" s="15" t="str">
        <f>IF($A25=MAX(Clean_Data!$F$2:$F$1001),"Partial","Full")</f>
        <v>Full</v>
      </c>
      <c r="H25" s="17">
        <f t="shared" si="0"/>
        <v>1310.1974630021141</v>
      </c>
      <c r="I25" s="17">
        <f t="shared" si="1"/>
        <v>631.94980614268104</v>
      </c>
      <c r="J25" s="17">
        <f t="shared" si="2"/>
        <v>1988.445119861547</v>
      </c>
      <c r="K25" s="17">
        <f t="shared" si="3"/>
        <v>232.80253699788591</v>
      </c>
      <c r="L25" s="33">
        <f t="shared" si="4"/>
        <v>0.68071459244723687</v>
      </c>
      <c r="M25" s="15" t="str">
        <f>IF(ABS(L25)&gt;Lookups!$B$21,IF(L25&gt;0,"High anomaly","Low anomaly"),"")</f>
        <v/>
      </c>
      <c r="R25" s="41">
        <f t="shared" si="5"/>
        <v>1322.0608641284286</v>
      </c>
      <c r="S25" s="41"/>
      <c r="T25" s="41"/>
    </row>
    <row r="26" spans="1:20" x14ac:dyDescent="0.35">
      <c r="A26" s="16">
        <f t="shared" si="6"/>
        <v>40565</v>
      </c>
      <c r="B26" s="17">
        <f>COUNTIFS(Clean_Data!$F$2:$F$1001,$A26)</f>
        <v>23</v>
      </c>
      <c r="C26" s="17">
        <f>SUMIFS(Clean_Data!$U$2:$U$1001,Clean_Data!$F$2:$F$1001,$A26)</f>
        <v>981</v>
      </c>
      <c r="D26" s="17">
        <f>SUMIFS(Clean_Data!$S$2:$S$1001,Clean_Data!$F$2:$F$1001,$A26)</f>
        <v>93</v>
      </c>
      <c r="E26" s="17">
        <f>SUMIFS(Clean_Data!$T$2:$T$1001,Clean_Data!$F$2:$F$1001,$A26)</f>
        <v>888</v>
      </c>
      <c r="F26" s="15" t="str">
        <f>VLOOKUP(WEEKDAY($A26)-1,Lookups!$G$5:$H$11,2,FALSE())</f>
        <v>Saturday</v>
      </c>
      <c r="G26" s="15" t="str">
        <f>IF($A26=MAX(Clean_Data!$F$2:$F$1001),"Partial","Full")</f>
        <v>Full</v>
      </c>
      <c r="H26" s="17">
        <f t="shared" si="0"/>
        <v>1317.8385482734302</v>
      </c>
      <c r="I26" s="17">
        <f t="shared" si="1"/>
        <v>639.59089141399716</v>
      </c>
      <c r="J26" s="17">
        <f t="shared" si="2"/>
        <v>1996.0862051328631</v>
      </c>
      <c r="K26" s="17">
        <f t="shared" si="3"/>
        <v>-336.83854827343021</v>
      </c>
      <c r="L26" s="33">
        <f t="shared" si="4"/>
        <v>-0.98491587791652446</v>
      </c>
      <c r="M26" s="15" t="str">
        <f>IF(ABS(L26)&gt;Lookups!$B$21,IF(L26&gt;0,"High anomaly","Low anomaly"),"")</f>
        <v/>
      </c>
      <c r="R26" s="41">
        <f t="shared" si="5"/>
        <v>1331.4774247172925</v>
      </c>
      <c r="S26" s="41"/>
      <c r="T26" s="41"/>
    </row>
    <row r="27" spans="1:20" x14ac:dyDescent="0.35">
      <c r="A27" s="16">
        <f t="shared" si="6"/>
        <v>40566</v>
      </c>
      <c r="B27" s="17">
        <f>COUNTIFS(Clean_Data!$F$2:$F$1001,$A27)</f>
        <v>23</v>
      </c>
      <c r="C27" s="17">
        <f>SUMIFS(Clean_Data!$U$2:$U$1001,Clean_Data!$F$2:$F$1001,$A27)</f>
        <v>986</v>
      </c>
      <c r="D27" s="17">
        <f>SUMIFS(Clean_Data!$S$2:$S$1001,Clean_Data!$F$2:$F$1001,$A27)</f>
        <v>150</v>
      </c>
      <c r="E27" s="17">
        <f>SUMIFS(Clean_Data!$T$2:$T$1001,Clean_Data!$F$2:$F$1001,$A27)</f>
        <v>836</v>
      </c>
      <c r="F27" s="15" t="str">
        <f>VLOOKUP(WEEKDAY($A27)-1,Lookups!$G$5:$H$11,2,FALSE())</f>
        <v>Sunday</v>
      </c>
      <c r="G27" s="15" t="str">
        <f>IF($A27=MAX(Clean_Data!$F$2:$F$1001),"Partial","Full")</f>
        <v>Full</v>
      </c>
      <c r="H27" s="17">
        <f t="shared" si="0"/>
        <v>1325.4796335447463</v>
      </c>
      <c r="I27" s="17">
        <f t="shared" si="1"/>
        <v>647.23197668531327</v>
      </c>
      <c r="J27" s="17">
        <f t="shared" si="2"/>
        <v>2003.7272904041793</v>
      </c>
      <c r="K27" s="17">
        <f t="shared" si="3"/>
        <v>-339.47963354474632</v>
      </c>
      <c r="L27" s="33">
        <f t="shared" si="4"/>
        <v>-0.99263841095790051</v>
      </c>
      <c r="M27" s="15" t="str">
        <f>IF(ABS(L27)&gt;Lookups!$B$21,IF(L27&gt;0,"High anomaly","Low anomaly"),"")</f>
        <v/>
      </c>
      <c r="R27" s="41">
        <f t="shared" si="5"/>
        <v>1340.8939853061572</v>
      </c>
      <c r="S27" s="41"/>
      <c r="T27" s="41"/>
    </row>
    <row r="28" spans="1:20" x14ac:dyDescent="0.35">
      <c r="A28" s="16">
        <f t="shared" si="6"/>
        <v>40567</v>
      </c>
      <c r="B28" s="17">
        <f>COUNTIFS(Clean_Data!$F$2:$F$1001,$A28)</f>
        <v>23</v>
      </c>
      <c r="C28" s="17">
        <f>SUMIFS(Clean_Data!$U$2:$U$1001,Clean_Data!$F$2:$F$1001,$A28)</f>
        <v>1416</v>
      </c>
      <c r="D28" s="17">
        <f>SUMIFS(Clean_Data!$S$2:$S$1001,Clean_Data!$F$2:$F$1001,$A28)</f>
        <v>86</v>
      </c>
      <c r="E28" s="17">
        <f>SUMIFS(Clean_Data!$T$2:$T$1001,Clean_Data!$F$2:$F$1001,$A28)</f>
        <v>1330</v>
      </c>
      <c r="F28" s="15" t="str">
        <f>VLOOKUP(WEEKDAY($A28)-1,Lookups!$G$5:$H$11,2,FALSE())</f>
        <v>Monday</v>
      </c>
      <c r="G28" s="15" t="str">
        <f>IF($A28=MAX(Clean_Data!$F$2:$F$1001),"Partial","Full")</f>
        <v>Full</v>
      </c>
      <c r="H28" s="17">
        <f t="shared" si="0"/>
        <v>1333.1207188160624</v>
      </c>
      <c r="I28" s="17">
        <f t="shared" si="1"/>
        <v>654.87306195662939</v>
      </c>
      <c r="J28" s="17">
        <f t="shared" si="2"/>
        <v>2011.3683756754954</v>
      </c>
      <c r="K28" s="17">
        <f t="shared" si="3"/>
        <v>82.879281183937564</v>
      </c>
      <c r="L28" s="33">
        <f t="shared" si="4"/>
        <v>0.24233900902014796</v>
      </c>
      <c r="M28" s="15" t="str">
        <f>IF(ABS(L28)&gt;Lookups!$B$21,IF(L28&gt;0,"High anomaly","Low anomaly"),"")</f>
        <v/>
      </c>
      <c r="R28" s="41">
        <f t="shared" si="5"/>
        <v>1350.3105458950211</v>
      </c>
      <c r="S28" s="41"/>
      <c r="T28" s="41"/>
    </row>
    <row r="29" spans="1:20" x14ac:dyDescent="0.35">
      <c r="A29" s="16">
        <f t="shared" si="6"/>
        <v>40568</v>
      </c>
      <c r="B29" s="17">
        <f>COUNTIFS(Clean_Data!$F$2:$F$1001,$A29)</f>
        <v>23</v>
      </c>
      <c r="C29" s="17">
        <f>SUMIFS(Clean_Data!$U$2:$U$1001,Clean_Data!$F$2:$F$1001,$A29)</f>
        <v>1985</v>
      </c>
      <c r="D29" s="17">
        <f>SUMIFS(Clean_Data!$S$2:$S$1001,Clean_Data!$F$2:$F$1001,$A29)</f>
        <v>186</v>
      </c>
      <c r="E29" s="17">
        <f>SUMIFS(Clean_Data!$T$2:$T$1001,Clean_Data!$F$2:$F$1001,$A29)</f>
        <v>1799</v>
      </c>
      <c r="F29" s="15" t="str">
        <f>VLOOKUP(WEEKDAY($A29)-1,Lookups!$G$5:$H$11,2,FALSE())</f>
        <v>Tuesday</v>
      </c>
      <c r="G29" s="15" t="str">
        <f>IF($A29=MAX(Clean_Data!$F$2:$F$1001),"Partial","Full")</f>
        <v>Full</v>
      </c>
      <c r="H29" s="17">
        <f t="shared" si="0"/>
        <v>1340.7618040873786</v>
      </c>
      <c r="I29" s="17">
        <f t="shared" si="1"/>
        <v>662.5141472279455</v>
      </c>
      <c r="J29" s="17">
        <f t="shared" si="2"/>
        <v>2019.0094609468115</v>
      </c>
      <c r="K29" s="17">
        <f t="shared" si="3"/>
        <v>644.23819591262145</v>
      </c>
      <c r="L29" s="33">
        <f t="shared" si="4"/>
        <v>1.8837524136327848</v>
      </c>
      <c r="M29" s="15" t="str">
        <f>IF(ABS(L29)&gt;Lookups!$B$21,IF(L29&gt;0,"High anomaly","Low anomaly"),"")</f>
        <v/>
      </c>
      <c r="R29" s="41">
        <f t="shared" si="5"/>
        <v>1359.7271064838858</v>
      </c>
      <c r="S29" s="41"/>
      <c r="T29" s="41"/>
    </row>
    <row r="30" spans="1:20" x14ac:dyDescent="0.35">
      <c r="A30" s="16">
        <f t="shared" si="6"/>
        <v>40569</v>
      </c>
      <c r="B30" s="17">
        <f>COUNTIFS(Clean_Data!$F$2:$F$1001,$A30)</f>
        <v>16</v>
      </c>
      <c r="C30" s="17">
        <f>SUMIFS(Clean_Data!$U$2:$U$1001,Clean_Data!$F$2:$F$1001,$A30)</f>
        <v>506</v>
      </c>
      <c r="D30" s="17">
        <f>SUMIFS(Clean_Data!$S$2:$S$1001,Clean_Data!$F$2:$F$1001,$A30)</f>
        <v>34</v>
      </c>
      <c r="E30" s="17">
        <f>SUMIFS(Clean_Data!$T$2:$T$1001,Clean_Data!$F$2:$F$1001,$A30)</f>
        <v>472</v>
      </c>
      <c r="F30" s="15" t="str">
        <f>VLOOKUP(WEEKDAY($A30)-1,Lookups!$G$5:$H$11,2,FALSE())</f>
        <v>Wednesday</v>
      </c>
      <c r="G30" s="15" t="str">
        <f>IF($A30=MAX(Clean_Data!$F$2:$F$1001),"Partial","Full")</f>
        <v>Full</v>
      </c>
      <c r="H30" s="17">
        <f t="shared" si="0"/>
        <v>1348.4028893586947</v>
      </c>
      <c r="I30" s="17">
        <f t="shared" si="1"/>
        <v>670.15523249926161</v>
      </c>
      <c r="J30" s="17">
        <f t="shared" si="2"/>
        <v>2026.6505462181276</v>
      </c>
      <c r="K30" s="17">
        <f t="shared" si="3"/>
        <v>-842.40288935869467</v>
      </c>
      <c r="L30" s="33">
        <f t="shared" si="4"/>
        <v>-2.4631859553634761</v>
      </c>
      <c r="M30" s="15" t="str">
        <f>IF(ABS(L30)&gt;Lookups!$B$21,IF(L30&gt;0,"High anomaly","Low anomaly"),"")</f>
        <v>Low anomaly</v>
      </c>
      <c r="R30" s="41">
        <f t="shared" si="5"/>
        <v>1369.1436670727494</v>
      </c>
      <c r="S30" s="41"/>
      <c r="T30" s="41"/>
    </row>
    <row r="31" spans="1:20" x14ac:dyDescent="0.35">
      <c r="A31" s="16">
        <f t="shared" si="6"/>
        <v>40570</v>
      </c>
      <c r="B31" s="17">
        <f>COUNTIFS(Clean_Data!$F$2:$F$1001,$A31)</f>
        <v>8</v>
      </c>
      <c r="C31" s="17">
        <f>SUMIFS(Clean_Data!$U$2:$U$1001,Clean_Data!$F$2:$F$1001,$A31)</f>
        <v>431</v>
      </c>
      <c r="D31" s="17">
        <f>SUMIFS(Clean_Data!$S$2:$S$1001,Clean_Data!$F$2:$F$1001,$A31)</f>
        <v>15</v>
      </c>
      <c r="E31" s="17">
        <f>SUMIFS(Clean_Data!$T$2:$T$1001,Clean_Data!$F$2:$F$1001,$A31)</f>
        <v>416</v>
      </c>
      <c r="F31" s="15" t="str">
        <f>VLOOKUP(WEEKDAY($A31)-1,Lookups!$G$5:$H$11,2,FALSE())</f>
        <v>Thursday</v>
      </c>
      <c r="G31" s="15" t="str">
        <f>IF($A31=MAX(Clean_Data!$F$2:$F$1001),"Partial","Full")</f>
        <v>Full</v>
      </c>
      <c r="H31" s="17">
        <f t="shared" si="0"/>
        <v>1356.0439746300108</v>
      </c>
      <c r="I31" s="17">
        <f t="shared" si="1"/>
        <v>677.79631777057773</v>
      </c>
      <c r="J31" s="17">
        <f t="shared" si="2"/>
        <v>2034.2916314894437</v>
      </c>
      <c r="K31" s="17">
        <f t="shared" si="3"/>
        <v>-925.04397463001078</v>
      </c>
      <c r="L31" s="33">
        <f t="shared" si="4"/>
        <v>-2.7048284795614497</v>
      </c>
      <c r="M31" s="15" t="str">
        <f>IF(ABS(L31)&gt;Lookups!$B$21,IF(L31&gt;0,"High anomaly","Low anomaly"),"")</f>
        <v>Low anomaly</v>
      </c>
      <c r="R31" s="41">
        <f t="shared" si="5"/>
        <v>1378.5602276616141</v>
      </c>
      <c r="S31" s="41"/>
      <c r="T31" s="41"/>
    </row>
    <row r="32" spans="1:20" x14ac:dyDescent="0.35">
      <c r="A32" s="16">
        <f t="shared" si="6"/>
        <v>40571</v>
      </c>
      <c r="B32" s="17">
        <f>COUNTIFS(Clean_Data!$F$2:$F$1001,$A32)</f>
        <v>23</v>
      </c>
      <c r="C32" s="17">
        <f>SUMIFS(Clean_Data!$U$2:$U$1001,Clean_Data!$F$2:$F$1001,$A32)</f>
        <v>1167</v>
      </c>
      <c r="D32" s="17">
        <f>SUMIFS(Clean_Data!$S$2:$S$1001,Clean_Data!$F$2:$F$1001,$A32)</f>
        <v>38</v>
      </c>
      <c r="E32" s="17">
        <f>SUMIFS(Clean_Data!$T$2:$T$1001,Clean_Data!$F$2:$F$1001,$A32)</f>
        <v>1129</v>
      </c>
      <c r="F32" s="15" t="str">
        <f>VLOOKUP(WEEKDAY($A32)-1,Lookups!$G$5:$H$11,2,FALSE())</f>
        <v>Friday</v>
      </c>
      <c r="G32" s="15" t="str">
        <f>IF($A32=MAX(Clean_Data!$F$2:$F$1001),"Partial","Full")</f>
        <v>Full</v>
      </c>
      <c r="H32" s="17">
        <f t="shared" si="0"/>
        <v>1363.6850599013269</v>
      </c>
      <c r="I32" s="17">
        <f t="shared" si="1"/>
        <v>685.43740304189384</v>
      </c>
      <c r="J32" s="17">
        <f t="shared" si="2"/>
        <v>2041.9327167607598</v>
      </c>
      <c r="K32" s="17">
        <f t="shared" si="3"/>
        <v>-196.68505990132689</v>
      </c>
      <c r="L32" s="33">
        <f t="shared" si="4"/>
        <v>-0.57510709340941557</v>
      </c>
      <c r="M32" s="15" t="str">
        <f>IF(ABS(L32)&gt;Lookups!$B$21,IF(L32&gt;0,"High anomaly","Low anomaly"),"")</f>
        <v/>
      </c>
      <c r="R32" s="41">
        <f t="shared" si="5"/>
        <v>1387.976788250478</v>
      </c>
      <c r="S32" s="41"/>
      <c r="T32" s="41"/>
    </row>
    <row r="33" spans="1:20" x14ac:dyDescent="0.35">
      <c r="A33" s="16">
        <f t="shared" si="6"/>
        <v>40572</v>
      </c>
      <c r="B33" s="17">
        <f>COUNTIFS(Clean_Data!$F$2:$F$1001,$A33)</f>
        <v>23</v>
      </c>
      <c r="C33" s="17">
        <f>SUMIFS(Clean_Data!$U$2:$U$1001,Clean_Data!$F$2:$F$1001,$A33)</f>
        <v>1098</v>
      </c>
      <c r="D33" s="17">
        <f>SUMIFS(Clean_Data!$S$2:$S$1001,Clean_Data!$F$2:$F$1001,$A33)</f>
        <v>123</v>
      </c>
      <c r="E33" s="17">
        <f>SUMIFS(Clean_Data!$T$2:$T$1001,Clean_Data!$F$2:$F$1001,$A33)</f>
        <v>975</v>
      </c>
      <c r="F33" s="15" t="str">
        <f>VLOOKUP(WEEKDAY($A33)-1,Lookups!$G$5:$H$11,2,FALSE())</f>
        <v>Saturday</v>
      </c>
      <c r="G33" s="15" t="str">
        <f>IF($A33=MAX(Clean_Data!$F$2:$F$1001),"Partial","Full")</f>
        <v>Full</v>
      </c>
      <c r="H33" s="17">
        <f t="shared" si="0"/>
        <v>1371.326145172643</v>
      </c>
      <c r="I33" s="17">
        <f t="shared" si="1"/>
        <v>693.07848831320996</v>
      </c>
      <c r="J33" s="17">
        <f t="shared" si="2"/>
        <v>2049.5738020320759</v>
      </c>
      <c r="K33" s="17">
        <f t="shared" si="3"/>
        <v>-273.32614517264301</v>
      </c>
      <c r="L33" s="33">
        <f t="shared" si="4"/>
        <v>-0.7992056182706444</v>
      </c>
      <c r="M33" s="15" t="str">
        <f>IF(ABS(L33)&gt;Lookups!$B$21,IF(L33&gt;0,"High anomaly","Low anomaly"),"")</f>
        <v/>
      </c>
      <c r="R33" s="41">
        <f t="shared" si="5"/>
        <v>1397.3933488393427</v>
      </c>
      <c r="S33" s="41"/>
      <c r="T33" s="41"/>
    </row>
    <row r="34" spans="1:20" x14ac:dyDescent="0.35">
      <c r="A34" s="16">
        <f t="shared" si="6"/>
        <v>40573</v>
      </c>
      <c r="B34" s="17">
        <f>COUNTIFS(Clean_Data!$F$2:$F$1001,$A34)</f>
        <v>23</v>
      </c>
      <c r="C34" s="17">
        <f>SUMIFS(Clean_Data!$U$2:$U$1001,Clean_Data!$F$2:$F$1001,$A34)</f>
        <v>1096</v>
      </c>
      <c r="D34" s="17">
        <f>SUMIFS(Clean_Data!$S$2:$S$1001,Clean_Data!$F$2:$F$1001,$A34)</f>
        <v>140</v>
      </c>
      <c r="E34" s="17">
        <f>SUMIFS(Clean_Data!$T$2:$T$1001,Clean_Data!$F$2:$F$1001,$A34)</f>
        <v>956</v>
      </c>
      <c r="F34" s="15" t="str">
        <f>VLOOKUP(WEEKDAY($A34)-1,Lookups!$G$5:$H$11,2,FALSE())</f>
        <v>Sunday</v>
      </c>
      <c r="G34" s="15" t="str">
        <f>IF($A34=MAX(Clean_Data!$F$2:$F$1001),"Partial","Full")</f>
        <v>Full</v>
      </c>
      <c r="H34" s="17">
        <f t="shared" si="0"/>
        <v>1378.9672304439591</v>
      </c>
      <c r="I34" s="17">
        <f t="shared" si="1"/>
        <v>700.71957358452607</v>
      </c>
      <c r="J34" s="17">
        <f t="shared" si="2"/>
        <v>2057.2148873033921</v>
      </c>
      <c r="K34" s="17">
        <f t="shared" si="3"/>
        <v>-282.96723044395912</v>
      </c>
      <c r="L34" s="33">
        <f t="shared" si="4"/>
        <v>-0.8273961505382228</v>
      </c>
      <c r="M34" s="15" t="str">
        <f>IF(ABS(L34)&gt;Lookups!$B$21,IF(L34&gt;0,"High anomaly","Low anomaly"),"")</f>
        <v/>
      </c>
      <c r="R34" s="41">
        <f t="shared" si="5"/>
        <v>1406.8099094282065</v>
      </c>
      <c r="S34" s="41"/>
      <c r="T34" s="41"/>
    </row>
    <row r="35" spans="1:20" x14ac:dyDescent="0.35">
      <c r="A35" s="16">
        <f t="shared" si="6"/>
        <v>40574</v>
      </c>
      <c r="B35" s="17">
        <f>COUNTIFS(Clean_Data!$F$2:$F$1001,$A35)</f>
        <v>24</v>
      </c>
      <c r="C35" s="17">
        <f>SUMIFS(Clean_Data!$U$2:$U$1001,Clean_Data!$F$2:$F$1001,$A35)</f>
        <v>1501</v>
      </c>
      <c r="D35" s="17">
        <f>SUMIFS(Clean_Data!$S$2:$S$1001,Clean_Data!$F$2:$F$1001,$A35)</f>
        <v>42</v>
      </c>
      <c r="E35" s="17">
        <f>SUMIFS(Clean_Data!$T$2:$T$1001,Clean_Data!$F$2:$F$1001,$A35)</f>
        <v>1459</v>
      </c>
      <c r="F35" s="15" t="str">
        <f>VLOOKUP(WEEKDAY($A35)-1,Lookups!$G$5:$H$11,2,FALSE())</f>
        <v>Monday</v>
      </c>
      <c r="G35" s="15" t="str">
        <f>IF($A35=MAX(Clean_Data!$F$2:$F$1001),"Partial","Full")</f>
        <v>Full</v>
      </c>
      <c r="H35" s="17">
        <f t="shared" si="0"/>
        <v>1386.6083157153334</v>
      </c>
      <c r="I35" s="17">
        <f t="shared" si="1"/>
        <v>708.3606588559004</v>
      </c>
      <c r="J35" s="17">
        <f t="shared" si="2"/>
        <v>2064.8559725747664</v>
      </c>
      <c r="K35" s="17">
        <f t="shared" si="3"/>
        <v>114.39168428466655</v>
      </c>
      <c r="L35" s="33">
        <f t="shared" si="4"/>
        <v>0.33448127220321877</v>
      </c>
      <c r="M35" s="15" t="str">
        <f>IF(ABS(L35)&gt;Lookups!$B$21,IF(L35&gt;0,"High anomaly","Low anomaly"),"")</f>
        <v/>
      </c>
      <c r="R35" s="41">
        <f t="shared" si="5"/>
        <v>1416.2264700170713</v>
      </c>
      <c r="S35" s="41"/>
      <c r="T35" s="41"/>
    </row>
    <row r="36" spans="1:20" x14ac:dyDescent="0.35">
      <c r="A36" s="16">
        <f t="shared" si="6"/>
        <v>40575</v>
      </c>
      <c r="B36" s="17">
        <f>COUNTIFS(Clean_Data!$F$2:$F$1001,$A36)</f>
        <v>23</v>
      </c>
      <c r="C36" s="17">
        <f>SUMIFS(Clean_Data!$U$2:$U$1001,Clean_Data!$F$2:$F$1001,$A36)</f>
        <v>1360</v>
      </c>
      <c r="D36" s="17">
        <f>SUMIFS(Clean_Data!$S$2:$S$1001,Clean_Data!$F$2:$F$1001,$A36)</f>
        <v>47</v>
      </c>
      <c r="E36" s="17">
        <f>SUMIFS(Clean_Data!$T$2:$T$1001,Clean_Data!$F$2:$F$1001,$A36)</f>
        <v>1313</v>
      </c>
      <c r="F36" s="15" t="str">
        <f>VLOOKUP(WEEKDAY($A36)-1,Lookups!$G$5:$H$11,2,FALSE())</f>
        <v>Tuesday</v>
      </c>
      <c r="G36" s="15" t="str">
        <f>IF($A36=MAX(Clean_Data!$F$2:$F$1001),"Partial","Full")</f>
        <v>Full</v>
      </c>
      <c r="H36" s="17">
        <f t="shared" si="0"/>
        <v>1394.2494009866496</v>
      </c>
      <c r="I36" s="17">
        <f t="shared" si="1"/>
        <v>716.00174412721651</v>
      </c>
      <c r="J36" s="17">
        <f t="shared" si="2"/>
        <v>2072.4970578460825</v>
      </c>
      <c r="K36" s="17">
        <f t="shared" si="3"/>
        <v>-34.249400986649562</v>
      </c>
      <c r="L36" s="33">
        <f t="shared" si="4"/>
        <v>-0.10014524469894787</v>
      </c>
      <c r="M36" s="15" t="str">
        <f>IF(ABS(L36)&gt;Lookups!$B$21,IF(L36&gt;0,"High anomaly","Low anomaly"),"")</f>
        <v/>
      </c>
      <c r="R36" s="41">
        <f t="shared" si="5"/>
        <v>1425.6430306059351</v>
      </c>
      <c r="S36" s="41"/>
      <c r="T36" s="41"/>
    </row>
    <row r="37" spans="1:20" x14ac:dyDescent="0.35">
      <c r="A37" s="16">
        <f t="shared" si="6"/>
        <v>40576</v>
      </c>
      <c r="B37" s="17">
        <f>COUNTIFS(Clean_Data!$F$2:$F$1001,$A37)</f>
        <v>24</v>
      </c>
      <c r="C37" s="17">
        <f>SUMIFS(Clean_Data!$U$2:$U$1001,Clean_Data!$F$2:$F$1001,$A37)</f>
        <v>1526</v>
      </c>
      <c r="D37" s="17">
        <f>SUMIFS(Clean_Data!$S$2:$S$1001,Clean_Data!$F$2:$F$1001,$A37)</f>
        <v>72</v>
      </c>
      <c r="E37" s="17">
        <f>SUMIFS(Clean_Data!$T$2:$T$1001,Clean_Data!$F$2:$F$1001,$A37)</f>
        <v>1454</v>
      </c>
      <c r="F37" s="15" t="str">
        <f>VLOOKUP(WEEKDAY($A37)-1,Lookups!$G$5:$H$11,2,FALSE())</f>
        <v>Wednesday</v>
      </c>
      <c r="G37" s="15" t="str">
        <f>IF($A37=MAX(Clean_Data!$F$2:$F$1001),"Partial","Full")</f>
        <v>Full</v>
      </c>
      <c r="H37" s="17">
        <f t="shared" ref="H37:H56" si="7">FORECAST($A37,$C$5:$C$48,$A$5:$A$48)</f>
        <v>1401.8904862579657</v>
      </c>
      <c r="I37" s="17">
        <f t="shared" ref="I37:I56" si="8">H37-1.96*STEYX($C$5:$C$48,$A$5:$A$48)</f>
        <v>723.64282939853263</v>
      </c>
      <c r="J37" s="17">
        <f t="shared" ref="J37:J56" si="9">H37+1.96*STEYX($C$5:$C$48,$A$5:$A$48)</f>
        <v>2080.1381431173986</v>
      </c>
      <c r="K37" s="17">
        <f t="shared" si="3"/>
        <v>124.10951374203432</v>
      </c>
      <c r="L37" s="33">
        <f t="shared" si="4"/>
        <v>0.36289620446232868</v>
      </c>
      <c r="M37" s="15" t="str">
        <f>IF(ABS(L37)&gt;Lookups!$B$21,IF(L37&gt;0,"High anomaly","Low anomaly"),"")</f>
        <v/>
      </c>
      <c r="R37" s="41">
        <f t="shared" ref="R37:R56" si="10">_xlfn.FORECAST.ETS($A37,$C$5:$C$48,$A$5:$A$48,1,1,1)</f>
        <v>1435.0595911947999</v>
      </c>
      <c r="S37" s="41"/>
      <c r="T37" s="41"/>
    </row>
    <row r="38" spans="1:20" x14ac:dyDescent="0.35">
      <c r="A38" s="16">
        <f t="shared" ref="A38:A56" si="11">A37+1</f>
        <v>40577</v>
      </c>
      <c r="B38" s="17">
        <f>COUNTIFS(Clean_Data!$F$2:$F$1001,$A38)</f>
        <v>23</v>
      </c>
      <c r="C38" s="17">
        <f>SUMIFS(Clean_Data!$U$2:$U$1001,Clean_Data!$F$2:$F$1001,$A38)</f>
        <v>1550</v>
      </c>
      <c r="D38" s="17">
        <f>SUMIFS(Clean_Data!$S$2:$S$1001,Clean_Data!$F$2:$F$1001,$A38)</f>
        <v>61</v>
      </c>
      <c r="E38" s="17">
        <f>SUMIFS(Clean_Data!$T$2:$T$1001,Clean_Data!$F$2:$F$1001,$A38)</f>
        <v>1489</v>
      </c>
      <c r="F38" s="15" t="str">
        <f>VLOOKUP(WEEKDAY($A38)-1,Lookups!$G$5:$H$11,2,FALSE())</f>
        <v>Thursday</v>
      </c>
      <c r="G38" s="15" t="str">
        <f>IF($A38=MAX(Clean_Data!$F$2:$F$1001),"Partial","Full")</f>
        <v>Full</v>
      </c>
      <c r="H38" s="17">
        <f t="shared" si="7"/>
        <v>1409.5315715292818</v>
      </c>
      <c r="I38" s="17">
        <f t="shared" si="8"/>
        <v>731.28391466984874</v>
      </c>
      <c r="J38" s="17">
        <f t="shared" si="9"/>
        <v>2087.7792283887147</v>
      </c>
      <c r="K38" s="17">
        <f t="shared" si="3"/>
        <v>140.46842847071821</v>
      </c>
      <c r="L38" s="33">
        <f t="shared" si="4"/>
        <v>0.41072966932064453</v>
      </c>
      <c r="M38" s="15" t="str">
        <f>IF(ABS(L38)&gt;Lookups!$B$21,IF(L38&gt;0,"High anomaly","Low anomaly"),"")</f>
        <v/>
      </c>
      <c r="R38" s="41">
        <f t="shared" si="10"/>
        <v>1444.4761517836637</v>
      </c>
      <c r="S38" s="41"/>
      <c r="T38" s="41"/>
    </row>
    <row r="39" spans="1:20" x14ac:dyDescent="0.35">
      <c r="A39" s="16">
        <f t="shared" si="11"/>
        <v>40578</v>
      </c>
      <c r="B39" s="17">
        <f>COUNTIFS(Clean_Data!$F$2:$F$1001,$A39)</f>
        <v>23</v>
      </c>
      <c r="C39" s="17">
        <f>SUMIFS(Clean_Data!$U$2:$U$1001,Clean_Data!$F$2:$F$1001,$A39)</f>
        <v>1708</v>
      </c>
      <c r="D39" s="17">
        <f>SUMIFS(Clean_Data!$S$2:$S$1001,Clean_Data!$F$2:$F$1001,$A39)</f>
        <v>88</v>
      </c>
      <c r="E39" s="17">
        <f>SUMIFS(Clean_Data!$T$2:$T$1001,Clean_Data!$F$2:$F$1001,$A39)</f>
        <v>1620</v>
      </c>
      <c r="F39" s="15" t="str">
        <f>VLOOKUP(WEEKDAY($A39)-1,Lookups!$G$5:$H$11,2,FALSE())</f>
        <v>Friday</v>
      </c>
      <c r="G39" s="15" t="str">
        <f>IF($A39=MAX(Clean_Data!$F$2:$F$1001),"Partial","Full")</f>
        <v>Full</v>
      </c>
      <c r="H39" s="17">
        <f t="shared" si="7"/>
        <v>1417.1726568005979</v>
      </c>
      <c r="I39" s="17">
        <f t="shared" si="8"/>
        <v>738.92499994116486</v>
      </c>
      <c r="J39" s="17">
        <f t="shared" si="9"/>
        <v>2095.4203136600308</v>
      </c>
      <c r="K39" s="17">
        <f t="shared" si="3"/>
        <v>290.82734319940209</v>
      </c>
      <c r="L39" s="33">
        <f t="shared" si="4"/>
        <v>0.85037911936626132</v>
      </c>
      <c r="M39" s="15" t="str">
        <f>IF(ABS(L39)&gt;Lookups!$B$21,IF(L39&gt;0,"High anomaly","Low anomaly"),"")</f>
        <v/>
      </c>
      <c r="R39" s="41">
        <f t="shared" si="10"/>
        <v>1453.8927123725284</v>
      </c>
      <c r="S39" s="41"/>
      <c r="T39" s="41"/>
    </row>
    <row r="40" spans="1:20" x14ac:dyDescent="0.35">
      <c r="A40" s="16">
        <f t="shared" si="11"/>
        <v>40579</v>
      </c>
      <c r="B40" s="17">
        <f>COUNTIFS(Clean_Data!$F$2:$F$1001,$A40)</f>
        <v>24</v>
      </c>
      <c r="C40" s="17">
        <f>SUMIFS(Clean_Data!$U$2:$U$1001,Clean_Data!$F$2:$F$1001,$A40)</f>
        <v>1005</v>
      </c>
      <c r="D40" s="17">
        <f>SUMIFS(Clean_Data!$S$2:$S$1001,Clean_Data!$F$2:$F$1001,$A40)</f>
        <v>100</v>
      </c>
      <c r="E40" s="17">
        <f>SUMIFS(Clean_Data!$T$2:$T$1001,Clean_Data!$F$2:$F$1001,$A40)</f>
        <v>905</v>
      </c>
      <c r="F40" s="15" t="str">
        <f>VLOOKUP(WEEKDAY($A40)-1,Lookups!$G$5:$H$11,2,FALSE())</f>
        <v>Saturday</v>
      </c>
      <c r="G40" s="15" t="str">
        <f>IF($A40=MAX(Clean_Data!$F$2:$F$1001),"Partial","Full")</f>
        <v>Full</v>
      </c>
      <c r="H40" s="17">
        <f t="shared" si="7"/>
        <v>1424.813742071914</v>
      </c>
      <c r="I40" s="17">
        <f t="shared" si="8"/>
        <v>746.56608521248097</v>
      </c>
      <c r="J40" s="17">
        <f t="shared" si="9"/>
        <v>2103.061398931347</v>
      </c>
      <c r="K40" s="17">
        <f t="shared" si="3"/>
        <v>-419.81374207191402</v>
      </c>
      <c r="L40" s="33">
        <f t="shared" si="4"/>
        <v>-1.2275353354110032</v>
      </c>
      <c r="M40" s="15" t="str">
        <f>IF(ABS(L40)&gt;Lookups!$B$21,IF(L40&gt;0,"High anomaly","Low anomaly"),"")</f>
        <v/>
      </c>
      <c r="R40" s="41">
        <f t="shared" si="10"/>
        <v>1463.3092729613923</v>
      </c>
      <c r="S40" s="41"/>
      <c r="T40" s="41"/>
    </row>
    <row r="41" spans="1:20" x14ac:dyDescent="0.35">
      <c r="A41" s="16">
        <f t="shared" si="11"/>
        <v>40580</v>
      </c>
      <c r="B41" s="17">
        <f>COUNTIFS(Clean_Data!$F$2:$F$1001,$A41)</f>
        <v>24</v>
      </c>
      <c r="C41" s="17">
        <f>SUMIFS(Clean_Data!$U$2:$U$1001,Clean_Data!$F$2:$F$1001,$A41)</f>
        <v>1623</v>
      </c>
      <c r="D41" s="17">
        <f>SUMIFS(Clean_Data!$S$2:$S$1001,Clean_Data!$F$2:$F$1001,$A41)</f>
        <v>354</v>
      </c>
      <c r="E41" s="17">
        <f>SUMIFS(Clean_Data!$T$2:$T$1001,Clean_Data!$F$2:$F$1001,$A41)</f>
        <v>1269</v>
      </c>
      <c r="F41" s="15" t="str">
        <f>VLOOKUP(WEEKDAY($A41)-1,Lookups!$G$5:$H$11,2,FALSE())</f>
        <v>Sunday</v>
      </c>
      <c r="G41" s="15" t="str">
        <f>IF($A41=MAX(Clean_Data!$F$2:$F$1001),"Partial","Full")</f>
        <v>Full</v>
      </c>
      <c r="H41" s="17">
        <f t="shared" si="7"/>
        <v>1432.4548273432301</v>
      </c>
      <c r="I41" s="17">
        <f t="shared" si="8"/>
        <v>754.20717048379709</v>
      </c>
      <c r="J41" s="17">
        <f t="shared" si="9"/>
        <v>2110.7024842026631</v>
      </c>
      <c r="K41" s="17">
        <f t="shared" si="3"/>
        <v>190.54517265676986</v>
      </c>
      <c r="L41" s="33">
        <f t="shared" si="4"/>
        <v>0.5571540637850495</v>
      </c>
      <c r="M41" s="15" t="str">
        <f>IF(ABS(L41)&gt;Lookups!$B$21,IF(L41&gt;0,"High anomaly","Low anomaly"),"")</f>
        <v/>
      </c>
      <c r="R41" s="41">
        <f t="shared" si="10"/>
        <v>1472.725833550257</v>
      </c>
      <c r="S41" s="41"/>
      <c r="T41" s="41"/>
    </row>
    <row r="42" spans="1:20" x14ac:dyDescent="0.35">
      <c r="A42" s="16">
        <f t="shared" si="11"/>
        <v>40581</v>
      </c>
      <c r="B42" s="17">
        <f>COUNTIFS(Clean_Data!$F$2:$F$1001,$A42)</f>
        <v>24</v>
      </c>
      <c r="C42" s="17">
        <f>SUMIFS(Clean_Data!$U$2:$U$1001,Clean_Data!$F$2:$F$1001,$A42)</f>
        <v>1712</v>
      </c>
      <c r="D42" s="17">
        <f>SUMIFS(Clean_Data!$S$2:$S$1001,Clean_Data!$F$2:$F$1001,$A42)</f>
        <v>120</v>
      </c>
      <c r="E42" s="17">
        <f>SUMIFS(Clean_Data!$T$2:$T$1001,Clean_Data!$F$2:$F$1001,$A42)</f>
        <v>1592</v>
      </c>
      <c r="F42" s="15" t="str">
        <f>VLOOKUP(WEEKDAY($A42)-1,Lookups!$G$5:$H$11,2,FALSE())</f>
        <v>Monday</v>
      </c>
      <c r="G42" s="15" t="str">
        <f>IF($A42=MAX(Clean_Data!$F$2:$F$1001),"Partial","Full")</f>
        <v>Full</v>
      </c>
      <c r="H42" s="17">
        <f t="shared" si="7"/>
        <v>1440.0959126145463</v>
      </c>
      <c r="I42" s="17">
        <f t="shared" si="8"/>
        <v>761.8482557551132</v>
      </c>
      <c r="J42" s="17">
        <f t="shared" si="9"/>
        <v>2118.3435694739792</v>
      </c>
      <c r="K42" s="17">
        <f t="shared" si="3"/>
        <v>271.90408738545375</v>
      </c>
      <c r="L42" s="33">
        <f t="shared" si="4"/>
        <v>0.79504752145810087</v>
      </c>
      <c r="M42" s="15" t="str">
        <f>IF(ABS(L42)&gt;Lookups!$B$21,IF(L42&gt;0,"High anomaly","Low anomaly"),"")</f>
        <v/>
      </c>
      <c r="R42" s="41">
        <f t="shared" si="10"/>
        <v>1482.1423941391208</v>
      </c>
      <c r="S42" s="41"/>
      <c r="T42" s="41"/>
    </row>
    <row r="43" spans="1:20" x14ac:dyDescent="0.35">
      <c r="A43" s="16">
        <f t="shared" si="11"/>
        <v>40582</v>
      </c>
      <c r="B43" s="17">
        <f>COUNTIFS(Clean_Data!$F$2:$F$1001,$A43)</f>
        <v>24</v>
      </c>
      <c r="C43" s="17">
        <f>SUMIFS(Clean_Data!$U$2:$U$1001,Clean_Data!$F$2:$F$1001,$A43)</f>
        <v>1530</v>
      </c>
      <c r="D43" s="17">
        <f>SUMIFS(Clean_Data!$S$2:$S$1001,Clean_Data!$F$2:$F$1001,$A43)</f>
        <v>64</v>
      </c>
      <c r="E43" s="17">
        <f>SUMIFS(Clean_Data!$T$2:$T$1001,Clean_Data!$F$2:$F$1001,$A43)</f>
        <v>1466</v>
      </c>
      <c r="F43" s="15" t="str">
        <f>VLOOKUP(WEEKDAY($A43)-1,Lookups!$G$5:$H$11,2,FALSE())</f>
        <v>Tuesday</v>
      </c>
      <c r="G43" s="15" t="str">
        <f>IF($A43=MAX(Clean_Data!$F$2:$F$1001),"Partial","Full")</f>
        <v>Full</v>
      </c>
      <c r="H43" s="17">
        <f t="shared" si="7"/>
        <v>1447.7369978858624</v>
      </c>
      <c r="I43" s="17">
        <f t="shared" si="8"/>
        <v>769.48934102642932</v>
      </c>
      <c r="J43" s="17">
        <f t="shared" si="9"/>
        <v>2125.9846547452953</v>
      </c>
      <c r="K43" s="17">
        <f t="shared" si="3"/>
        <v>82.263002114137635</v>
      </c>
      <c r="L43" s="33">
        <f t="shared" si="4"/>
        <v>0.24053700908817802</v>
      </c>
      <c r="M43" s="15" t="str">
        <f>IF(ABS(L43)&gt;Lookups!$B$21,IF(L43&gt;0,"High anomaly","Low anomaly"),"")</f>
        <v/>
      </c>
      <c r="R43" s="41">
        <f t="shared" si="10"/>
        <v>1491.5589547279856</v>
      </c>
      <c r="S43" s="41"/>
      <c r="T43" s="41"/>
    </row>
    <row r="44" spans="1:20" x14ac:dyDescent="0.35">
      <c r="A44" s="16">
        <f t="shared" si="11"/>
        <v>40583</v>
      </c>
      <c r="B44" s="17">
        <f>COUNTIFS(Clean_Data!$F$2:$F$1001,$A44)</f>
        <v>23</v>
      </c>
      <c r="C44" s="17">
        <f>SUMIFS(Clean_Data!$U$2:$U$1001,Clean_Data!$F$2:$F$1001,$A44)</f>
        <v>1605</v>
      </c>
      <c r="D44" s="17">
        <f>SUMIFS(Clean_Data!$S$2:$S$1001,Clean_Data!$F$2:$F$1001,$A44)</f>
        <v>53</v>
      </c>
      <c r="E44" s="17">
        <f>SUMIFS(Clean_Data!$T$2:$T$1001,Clean_Data!$F$2:$F$1001,$A44)</f>
        <v>1552</v>
      </c>
      <c r="F44" s="15" t="str">
        <f>VLOOKUP(WEEKDAY($A44)-1,Lookups!$G$5:$H$11,2,FALSE())</f>
        <v>Wednesday</v>
      </c>
      <c r="G44" s="15" t="str">
        <f>IF($A44=MAX(Clean_Data!$F$2:$F$1001),"Partial","Full")</f>
        <v>Full</v>
      </c>
      <c r="H44" s="17">
        <f t="shared" si="7"/>
        <v>1455.3780831571785</v>
      </c>
      <c r="I44" s="17">
        <f t="shared" si="8"/>
        <v>777.13042629774543</v>
      </c>
      <c r="J44" s="17">
        <f t="shared" si="9"/>
        <v>2133.6257400166114</v>
      </c>
      <c r="K44" s="17">
        <f t="shared" si="3"/>
        <v>149.62191684282152</v>
      </c>
      <c r="L44" s="33">
        <f t="shared" si="4"/>
        <v>0.43749446830882482</v>
      </c>
      <c r="M44" s="15" t="str">
        <f>IF(ABS(L44)&gt;Lookups!$B$21,IF(L44&gt;0,"High anomaly","Low anomaly"),"")</f>
        <v/>
      </c>
      <c r="R44" s="41">
        <f t="shared" si="10"/>
        <v>1500.9755153168494</v>
      </c>
      <c r="S44" s="41"/>
      <c r="T44" s="41"/>
    </row>
    <row r="45" spans="1:20" x14ac:dyDescent="0.35">
      <c r="A45" s="16">
        <f t="shared" si="11"/>
        <v>40584</v>
      </c>
      <c r="B45" s="17">
        <f>COUNTIFS(Clean_Data!$F$2:$F$1001,$A45)</f>
        <v>23</v>
      </c>
      <c r="C45" s="17">
        <f>SUMIFS(Clean_Data!$U$2:$U$1001,Clean_Data!$F$2:$F$1001,$A45)</f>
        <v>1538</v>
      </c>
      <c r="D45" s="17">
        <f>SUMIFS(Clean_Data!$S$2:$S$1001,Clean_Data!$F$2:$F$1001,$A45)</f>
        <v>47</v>
      </c>
      <c r="E45" s="17">
        <f>SUMIFS(Clean_Data!$T$2:$T$1001,Clean_Data!$F$2:$F$1001,$A45)</f>
        <v>1491</v>
      </c>
      <c r="F45" s="15" t="str">
        <f>VLOOKUP(WEEKDAY($A45)-1,Lookups!$G$5:$H$11,2,FALSE())</f>
        <v>Thursday</v>
      </c>
      <c r="G45" s="15" t="str">
        <f>IF($A45=MAX(Clean_Data!$F$2:$F$1001),"Partial","Full")</f>
        <v>Full</v>
      </c>
      <c r="H45" s="17">
        <f t="shared" si="7"/>
        <v>1463.0191684284946</v>
      </c>
      <c r="I45" s="17">
        <f t="shared" si="8"/>
        <v>784.77151156906154</v>
      </c>
      <c r="J45" s="17">
        <f t="shared" si="9"/>
        <v>2141.2668252879275</v>
      </c>
      <c r="K45" s="17">
        <f t="shared" si="3"/>
        <v>74.980831571505405</v>
      </c>
      <c r="L45" s="33">
        <f t="shared" si="4"/>
        <v>0.21924394322651095</v>
      </c>
      <c r="M45" s="15" t="str">
        <f>IF(ABS(L45)&gt;Lookups!$B$21,IF(L45&gt;0,"High anomaly","Low anomaly"),"")</f>
        <v/>
      </c>
      <c r="R45" s="41">
        <f t="shared" si="10"/>
        <v>1510.3920759057141</v>
      </c>
      <c r="S45" s="41"/>
      <c r="T45" s="41"/>
    </row>
    <row r="46" spans="1:20" x14ac:dyDescent="0.35">
      <c r="A46" s="16">
        <f t="shared" si="11"/>
        <v>40585</v>
      </c>
      <c r="B46" s="17">
        <f>COUNTIFS(Clean_Data!$F$2:$F$1001,$A46)</f>
        <v>22</v>
      </c>
      <c r="C46" s="17">
        <f>SUMIFS(Clean_Data!$U$2:$U$1001,Clean_Data!$F$2:$F$1001,$A46)</f>
        <v>1746</v>
      </c>
      <c r="D46" s="17">
        <f>SUMIFS(Clean_Data!$S$2:$S$1001,Clean_Data!$F$2:$F$1001,$A46)</f>
        <v>149</v>
      </c>
      <c r="E46" s="17">
        <f>SUMIFS(Clean_Data!$T$2:$T$1001,Clean_Data!$F$2:$F$1001,$A46)</f>
        <v>1597</v>
      </c>
      <c r="F46" s="15" t="str">
        <f>VLOOKUP(WEEKDAY($A46)-1,Lookups!$G$5:$H$11,2,FALSE())</f>
        <v>Friday</v>
      </c>
      <c r="G46" s="15" t="str">
        <f>IF($A46=MAX(Clean_Data!$F$2:$F$1001),"Partial","Full")</f>
        <v>Full</v>
      </c>
      <c r="H46" s="17">
        <f t="shared" si="7"/>
        <v>1470.6602536998107</v>
      </c>
      <c r="I46" s="17">
        <f t="shared" si="8"/>
        <v>792.41259684037766</v>
      </c>
      <c r="J46" s="17">
        <f t="shared" si="9"/>
        <v>2148.9079105592436</v>
      </c>
      <c r="K46" s="17">
        <f t="shared" si="3"/>
        <v>275.33974630018929</v>
      </c>
      <c r="L46" s="33">
        <f t="shared" si="4"/>
        <v>0.80509338774500117</v>
      </c>
      <c r="M46" s="15" t="str">
        <f>IF(ABS(L46)&gt;Lookups!$B$21,IF(L46&gt;0,"High anomaly","Low anomaly"),"")</f>
        <v/>
      </c>
      <c r="R46" s="41">
        <f t="shared" si="10"/>
        <v>1519.808636494578</v>
      </c>
      <c r="S46" s="41"/>
      <c r="T46" s="41"/>
    </row>
    <row r="47" spans="1:20" x14ac:dyDescent="0.35">
      <c r="A47" s="16">
        <f t="shared" si="11"/>
        <v>40586</v>
      </c>
      <c r="B47" s="17">
        <f>COUNTIFS(Clean_Data!$F$2:$F$1001,$A47)</f>
        <v>24</v>
      </c>
      <c r="C47" s="17">
        <f>SUMIFS(Clean_Data!$U$2:$U$1001,Clean_Data!$F$2:$F$1001,$A47)</f>
        <v>1472</v>
      </c>
      <c r="D47" s="17">
        <f>SUMIFS(Clean_Data!$S$2:$S$1001,Clean_Data!$F$2:$F$1001,$A47)</f>
        <v>288</v>
      </c>
      <c r="E47" s="17">
        <f>SUMIFS(Clean_Data!$T$2:$T$1001,Clean_Data!$F$2:$F$1001,$A47)</f>
        <v>1184</v>
      </c>
      <c r="F47" s="15" t="str">
        <f>VLOOKUP(WEEKDAY($A47)-1,Lookups!$G$5:$H$11,2,FALSE())</f>
        <v>Saturday</v>
      </c>
      <c r="G47" s="15" t="str">
        <f>IF($A47=MAX(Clean_Data!$F$2:$F$1001),"Partial","Full")</f>
        <v>Full</v>
      </c>
      <c r="H47" s="17">
        <f t="shared" si="7"/>
        <v>1478.3013389711268</v>
      </c>
      <c r="I47" s="17">
        <f t="shared" si="8"/>
        <v>800.05368211169377</v>
      </c>
      <c r="J47" s="17">
        <f t="shared" si="9"/>
        <v>2156.5489958305598</v>
      </c>
      <c r="K47" s="17">
        <f t="shared" si="3"/>
        <v>-6.3013389711268246</v>
      </c>
      <c r="L47" s="33">
        <f t="shared" si="4"/>
        <v>-1.8425114455008881E-2</v>
      </c>
      <c r="M47" s="15" t="str">
        <f>IF(ABS(L47)&gt;Lookups!$B$21,IF(L47&gt;0,"High anomaly","Low anomaly"),"")</f>
        <v/>
      </c>
      <c r="R47" s="41">
        <f t="shared" si="10"/>
        <v>1529.2251970834427</v>
      </c>
      <c r="S47" s="41"/>
      <c r="T47" s="41"/>
    </row>
    <row r="48" spans="1:20" x14ac:dyDescent="0.35">
      <c r="A48" s="16">
        <f t="shared" si="11"/>
        <v>40587</v>
      </c>
      <c r="B48" s="17">
        <f>COUNTIFS(Clean_Data!$F$2:$F$1001,$A48)</f>
        <v>23</v>
      </c>
      <c r="C48" s="17">
        <f>SUMIFS(Clean_Data!$U$2:$U$1001,Clean_Data!$F$2:$F$1001,$A48)</f>
        <v>1589</v>
      </c>
      <c r="D48" s="17">
        <f>SUMIFS(Clean_Data!$S$2:$S$1001,Clean_Data!$F$2:$F$1001,$A48)</f>
        <v>397</v>
      </c>
      <c r="E48" s="17">
        <f>SUMIFS(Clean_Data!$T$2:$T$1001,Clean_Data!$F$2:$F$1001,$A48)</f>
        <v>1192</v>
      </c>
      <c r="F48" s="15" t="str">
        <f>VLOOKUP(WEEKDAY($A48)-1,Lookups!$G$5:$H$11,2,FALSE())</f>
        <v>Sunday</v>
      </c>
      <c r="G48" s="15" t="str">
        <f>IF($A48=MAX(Clean_Data!$F$2:$F$1001),"Partial","Full")</f>
        <v>Full</v>
      </c>
      <c r="H48" s="17">
        <f t="shared" si="7"/>
        <v>1485.9424242424429</v>
      </c>
      <c r="I48" s="17">
        <f t="shared" si="8"/>
        <v>807.69476738300989</v>
      </c>
      <c r="J48" s="17">
        <f t="shared" si="9"/>
        <v>2164.1900811018759</v>
      </c>
      <c r="K48" s="17">
        <f t="shared" si="3"/>
        <v>103.05757575755706</v>
      </c>
      <c r="L48" s="33">
        <f t="shared" si="4"/>
        <v>0.30134034012285166</v>
      </c>
      <c r="M48" s="15" t="str">
        <f>IF(ABS(L48)&gt;Lookups!$B$21,IF(L48&gt;0,"High anomaly","Low anomaly"),"")</f>
        <v/>
      </c>
      <c r="R48" s="41">
        <f t="shared" si="10"/>
        <v>1538.6417576723065</v>
      </c>
      <c r="S48" s="41"/>
      <c r="T48" s="41"/>
    </row>
    <row r="49" spans="1:20" x14ac:dyDescent="0.35">
      <c r="A49" s="16">
        <f t="shared" si="11"/>
        <v>40588</v>
      </c>
      <c r="B49" s="17">
        <f>COUNTIFS(Clean_Data!$F$2:$F$1001,$A49)</f>
        <v>8</v>
      </c>
      <c r="C49" s="17">
        <f>SUMIFS(Clean_Data!$U$2:$U$1001,Clean_Data!$F$2:$F$1001,$A49)</f>
        <v>151</v>
      </c>
      <c r="D49" s="17">
        <f>SUMIFS(Clean_Data!$S$2:$S$1001,Clean_Data!$F$2:$F$1001,$A49)</f>
        <v>8</v>
      </c>
      <c r="E49" s="17">
        <f>SUMIFS(Clean_Data!$T$2:$T$1001,Clean_Data!$F$2:$F$1001,$A49)</f>
        <v>143</v>
      </c>
      <c r="F49" s="15" t="str">
        <f>VLOOKUP(WEEKDAY($A49)-1,Lookups!$G$5:$H$11,2,FALSE())</f>
        <v>Monday</v>
      </c>
      <c r="G49" s="15" t="str">
        <f>IF($A49=MAX(Clean_Data!$F$2:$F$1001),"Partial","Full")</f>
        <v>Partial</v>
      </c>
      <c r="H49" s="17">
        <f t="shared" si="7"/>
        <v>1493.5835095137591</v>
      </c>
      <c r="I49" s="17">
        <f t="shared" si="8"/>
        <v>815.335852654326</v>
      </c>
      <c r="J49" s="17">
        <f t="shared" si="9"/>
        <v>2171.831166373192</v>
      </c>
      <c r="K49" s="17"/>
      <c r="L49" s="33"/>
      <c r="M49" s="15" t="s">
        <v>217</v>
      </c>
      <c r="R49" s="41">
        <f t="shared" si="10"/>
        <v>1548.0583182611713</v>
      </c>
      <c r="S49" s="41">
        <f t="shared" ref="S49:S56" si="12">R49-_xlfn.FORECAST.ETS.CONFINT($A49,$C$5:$C$48,$A$5:$A$48,0.95,1,1)</f>
        <v>850.34796960480503</v>
      </c>
      <c r="T49" s="41">
        <f t="shared" ref="T49:T56" si="13">R49+_xlfn.FORECAST.ETS.CONFINT($A49,$C$5:$C$48,$A$5:$A$48,0.95,1,1)</f>
        <v>2245.7686669175373</v>
      </c>
    </row>
    <row r="50" spans="1:20" x14ac:dyDescent="0.35">
      <c r="A50" s="16">
        <f t="shared" si="11"/>
        <v>40589</v>
      </c>
      <c r="B50" s="17"/>
      <c r="C50" s="17"/>
      <c r="D50" s="17"/>
      <c r="E50" s="17"/>
      <c r="F50" s="15"/>
      <c r="G50" s="15" t="s">
        <v>218</v>
      </c>
      <c r="H50" s="17">
        <f t="shared" si="7"/>
        <v>1501.2245947850752</v>
      </c>
      <c r="I50" s="17">
        <f t="shared" si="8"/>
        <v>822.97693792564212</v>
      </c>
      <c r="J50" s="17">
        <f t="shared" si="9"/>
        <v>2179.4722516445081</v>
      </c>
      <c r="K50" s="17"/>
      <c r="L50" s="33"/>
      <c r="M50" s="15"/>
      <c r="R50" s="41">
        <f t="shared" si="10"/>
        <v>1557.4748788500351</v>
      </c>
      <c r="S50" s="41">
        <f t="shared" si="12"/>
        <v>856.21488806611399</v>
      </c>
      <c r="T50" s="41">
        <f t="shared" si="13"/>
        <v>2258.7348696339564</v>
      </c>
    </row>
    <row r="51" spans="1:20" x14ac:dyDescent="0.35">
      <c r="A51" s="16">
        <f t="shared" si="11"/>
        <v>40590</v>
      </c>
      <c r="B51" s="17"/>
      <c r="C51" s="17"/>
      <c r="D51" s="17"/>
      <c r="E51" s="17"/>
      <c r="F51" s="15"/>
      <c r="G51" s="15" t="s">
        <v>218</v>
      </c>
      <c r="H51" s="17">
        <f t="shared" si="7"/>
        <v>1508.8656800563913</v>
      </c>
      <c r="I51" s="17">
        <f t="shared" si="8"/>
        <v>830.61802319695823</v>
      </c>
      <c r="J51" s="17">
        <f t="shared" si="9"/>
        <v>2187.1133369158242</v>
      </c>
      <c r="K51" s="17"/>
      <c r="L51" s="33"/>
      <c r="M51" s="15"/>
      <c r="R51" s="41">
        <f t="shared" si="10"/>
        <v>1566.8914394388999</v>
      </c>
      <c r="S51" s="41">
        <f t="shared" si="12"/>
        <v>862.02958129103672</v>
      </c>
      <c r="T51" s="41">
        <f t="shared" si="13"/>
        <v>2271.753297586763</v>
      </c>
    </row>
    <row r="52" spans="1:20" x14ac:dyDescent="0.35">
      <c r="A52" s="16">
        <f t="shared" si="11"/>
        <v>40591</v>
      </c>
      <c r="B52" s="17"/>
      <c r="C52" s="17"/>
      <c r="D52" s="17"/>
      <c r="E52" s="17"/>
      <c r="F52" s="15"/>
      <c r="G52" s="15" t="s">
        <v>218</v>
      </c>
      <c r="H52" s="17">
        <f t="shared" si="7"/>
        <v>1516.5067653277074</v>
      </c>
      <c r="I52" s="17">
        <f t="shared" si="8"/>
        <v>838.25910846827435</v>
      </c>
      <c r="J52" s="17">
        <f t="shared" si="9"/>
        <v>2194.7544221871403</v>
      </c>
      <c r="K52" s="17"/>
      <c r="L52" s="33"/>
      <c r="M52" s="15"/>
      <c r="R52" s="41">
        <f t="shared" si="10"/>
        <v>1576.3080000277637</v>
      </c>
      <c r="S52" s="41">
        <f t="shared" si="12"/>
        <v>867.7921586989836</v>
      </c>
      <c r="T52" s="41">
        <f t="shared" si="13"/>
        <v>2284.8238413565437</v>
      </c>
    </row>
    <row r="53" spans="1:20" x14ac:dyDescent="0.35">
      <c r="A53" s="16">
        <f t="shared" si="11"/>
        <v>40592</v>
      </c>
      <c r="B53" s="17"/>
      <c r="C53" s="17"/>
      <c r="D53" s="17"/>
      <c r="E53" s="17"/>
      <c r="F53" s="15"/>
      <c r="G53" s="15" t="s">
        <v>218</v>
      </c>
      <c r="H53" s="17">
        <f t="shared" si="7"/>
        <v>1524.1478505990235</v>
      </c>
      <c r="I53" s="17">
        <f t="shared" si="8"/>
        <v>845.90019373959046</v>
      </c>
      <c r="J53" s="17">
        <f t="shared" si="9"/>
        <v>2202.3955074584564</v>
      </c>
      <c r="K53" s="17"/>
      <c r="L53" s="33"/>
      <c r="M53" s="15"/>
      <c r="R53" s="41">
        <f t="shared" si="10"/>
        <v>1585.7245606166284</v>
      </c>
      <c r="S53" s="41">
        <f t="shared" si="12"/>
        <v>873.5027389204389</v>
      </c>
      <c r="T53" s="41">
        <f t="shared" si="13"/>
        <v>2297.9463823128181</v>
      </c>
    </row>
    <row r="54" spans="1:20" x14ac:dyDescent="0.35">
      <c r="A54" s="16">
        <f t="shared" si="11"/>
        <v>40593</v>
      </c>
      <c r="B54" s="17"/>
      <c r="C54" s="17"/>
      <c r="D54" s="17"/>
      <c r="E54" s="17"/>
      <c r="F54" s="15"/>
      <c r="G54" s="15" t="s">
        <v>218</v>
      </c>
      <c r="H54" s="17">
        <f t="shared" si="7"/>
        <v>1531.7889358703396</v>
      </c>
      <c r="I54" s="17">
        <f t="shared" si="8"/>
        <v>853.54127901090658</v>
      </c>
      <c r="J54" s="17">
        <f t="shared" si="9"/>
        <v>2210.0365927297726</v>
      </c>
      <c r="K54" s="17"/>
      <c r="L54" s="33"/>
      <c r="M54" s="15"/>
      <c r="R54" s="41">
        <f t="shared" si="10"/>
        <v>1595.1411212054923</v>
      </c>
      <c r="S54" s="41">
        <f t="shared" si="12"/>
        <v>879.16144947566704</v>
      </c>
      <c r="T54" s="41">
        <f t="shared" si="13"/>
        <v>2311.1207929353177</v>
      </c>
    </row>
    <row r="55" spans="1:20" x14ac:dyDescent="0.35">
      <c r="A55" s="16">
        <f t="shared" si="11"/>
        <v>40594</v>
      </c>
      <c r="B55" s="17"/>
      <c r="C55" s="17"/>
      <c r="D55" s="17"/>
      <c r="E55" s="17"/>
      <c r="F55" s="15"/>
      <c r="G55" s="15" t="s">
        <v>218</v>
      </c>
      <c r="H55" s="17">
        <f t="shared" si="7"/>
        <v>1539.4300211416557</v>
      </c>
      <c r="I55" s="17">
        <f t="shared" si="8"/>
        <v>861.18236428222269</v>
      </c>
      <c r="J55" s="17">
        <f t="shared" si="9"/>
        <v>2217.6776780010887</v>
      </c>
      <c r="K55" s="17"/>
      <c r="L55" s="33"/>
      <c r="M55" s="15"/>
      <c r="R55" s="41">
        <f t="shared" si="10"/>
        <v>1604.557681794357</v>
      </c>
      <c r="S55" s="41">
        <f t="shared" si="12"/>
        <v>884.76842645386546</v>
      </c>
      <c r="T55" s="41">
        <f t="shared" si="13"/>
        <v>2324.3469371348483</v>
      </c>
    </row>
    <row r="56" spans="1:20" x14ac:dyDescent="0.35">
      <c r="A56" s="16">
        <f t="shared" si="11"/>
        <v>40595</v>
      </c>
      <c r="B56" s="17"/>
      <c r="C56" s="17"/>
      <c r="D56" s="17"/>
      <c r="E56" s="17"/>
      <c r="F56" s="15"/>
      <c r="G56" s="15" t="s">
        <v>218</v>
      </c>
      <c r="H56" s="17">
        <f t="shared" si="7"/>
        <v>1547.0711064129719</v>
      </c>
      <c r="I56" s="17">
        <f t="shared" si="8"/>
        <v>868.82344955353881</v>
      </c>
      <c r="J56" s="17">
        <f t="shared" si="9"/>
        <v>2225.3187632724048</v>
      </c>
      <c r="K56" s="17"/>
      <c r="L56" s="33"/>
      <c r="M56" s="15"/>
      <c r="R56" s="41">
        <f t="shared" si="10"/>
        <v>1613.9742423832208</v>
      </c>
      <c r="S56" s="41">
        <f t="shared" si="12"/>
        <v>890.32381419326066</v>
      </c>
      <c r="T56" s="41">
        <f t="shared" si="13"/>
        <v>2337.624670573181</v>
      </c>
    </row>
  </sheetData>
  <conditionalFormatting sqref="A5:M49">
    <cfRule type="expression" dxfId="4" priority="2">
      <formula>RIGHT($M5,7)="anomaly"</formula>
    </cfRule>
  </conditionalFormatting>
  <conditionalFormatting sqref="A5:M56">
    <cfRule type="expression" dxfId="3" priority="3">
      <formula>OR($G5="Forecast",$G5="Partial")</formula>
    </cfRule>
  </conditionalFormatting>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37"/>
  <sheetViews>
    <sheetView zoomScaleNormal="100" workbookViewId="0"/>
  </sheetViews>
  <sheetFormatPr defaultColWidth="8.6328125" defaultRowHeight="14.5" x14ac:dyDescent="0.35"/>
  <cols>
    <col min="1" max="1" width="48" customWidth="1"/>
    <col min="2" max="7" width="15" customWidth="1"/>
  </cols>
  <sheetData>
    <row r="1" spans="1:7" ht="20" x14ac:dyDescent="0.4">
      <c r="A1" s="28" t="s">
        <v>22</v>
      </c>
    </row>
    <row r="3" spans="1:7" x14ac:dyDescent="0.35">
      <c r="A3" s="1" t="s">
        <v>219</v>
      </c>
    </row>
    <row r="4" spans="1:7" x14ac:dyDescent="0.35">
      <c r="A4" s="9" t="s">
        <v>220</v>
      </c>
      <c r="B4" s="9" t="s">
        <v>221</v>
      </c>
      <c r="C4" s="9" t="s">
        <v>222</v>
      </c>
      <c r="D4" s="9" t="s">
        <v>223</v>
      </c>
      <c r="E4" s="9" t="s">
        <v>224</v>
      </c>
      <c r="F4" s="9" t="s">
        <v>225</v>
      </c>
      <c r="G4" s="9" t="s">
        <v>226</v>
      </c>
    </row>
    <row r="5" spans="1:7" x14ac:dyDescent="0.35">
      <c r="A5" s="15" t="s">
        <v>227</v>
      </c>
      <c r="B5" s="15">
        <f>COUNT(Clean_Data!$U$2:$U$1001)</f>
        <v>1000</v>
      </c>
      <c r="C5" s="33">
        <f>AVERAGE(Clean_Data!$U$2:$U$1001)</f>
        <v>58.304000000000002</v>
      </c>
      <c r="D5" s="33">
        <f>MEDIAN(Clean_Data!$U$2:$U$1001)</f>
        <v>49</v>
      </c>
      <c r="E5" s="33">
        <f>STDEV(Clean_Data!$U$2:$U$1001)</f>
        <v>50.985557867999354</v>
      </c>
      <c r="F5" s="33">
        <f>MIN(Clean_Data!$U$2:$U$1001)</f>
        <v>1</v>
      </c>
      <c r="G5" s="33">
        <f>MAX(Clean_Data!$U$2:$U$1001)</f>
        <v>249</v>
      </c>
    </row>
    <row r="6" spans="1:7" x14ac:dyDescent="0.35">
      <c r="A6" s="15" t="s">
        <v>139</v>
      </c>
      <c r="B6" s="15">
        <f>COUNT(Clean_Data!$S$2:$S$1001)</f>
        <v>1000</v>
      </c>
      <c r="C6" s="33">
        <f>AVERAGE(Clean_Data!$S$2:$S$1001)</f>
        <v>4.9210000000000003</v>
      </c>
      <c r="D6" s="33">
        <f>MEDIAN(Clean_Data!$S$2:$S$1001)</f>
        <v>3</v>
      </c>
      <c r="E6" s="33">
        <f>STDEV(Clean_Data!$S$2:$S$1001)</f>
        <v>7.6438987557520797</v>
      </c>
      <c r="F6" s="33">
        <f>MIN(Clean_Data!$S$2:$S$1001)</f>
        <v>0</v>
      </c>
      <c r="G6" s="33">
        <f>MAX(Clean_Data!$S$2:$S$1001)</f>
        <v>62</v>
      </c>
    </row>
    <row r="7" spans="1:7" x14ac:dyDescent="0.35">
      <c r="A7" s="15" t="s">
        <v>140</v>
      </c>
      <c r="B7" s="15">
        <f>COUNT(Clean_Data!$T$2:$T$1001)</f>
        <v>1000</v>
      </c>
      <c r="C7" s="33">
        <f>AVERAGE(Clean_Data!$T$2:$T$1001)</f>
        <v>53.383000000000003</v>
      </c>
      <c r="D7" s="33">
        <f>MEDIAN(Clean_Data!$T$2:$T$1001)</f>
        <v>46</v>
      </c>
      <c r="E7" s="33">
        <f>STDEV(Clean_Data!$T$2:$T$1001)</f>
        <v>47.893967711426278</v>
      </c>
      <c r="F7" s="33">
        <f>MIN(Clean_Data!$T$2:$T$1001)</f>
        <v>0</v>
      </c>
      <c r="G7" s="33">
        <f>MAX(Clean_Data!$T$2:$T$1001)</f>
        <v>247</v>
      </c>
    </row>
    <row r="8" spans="1:7" x14ac:dyDescent="0.35">
      <c r="A8" s="15" t="s">
        <v>228</v>
      </c>
      <c r="B8" s="15">
        <f>COUNT(Clean_Data!$AA$2:$AA$1001)</f>
        <v>1000</v>
      </c>
      <c r="C8" s="33">
        <f>AVERAGE(Clean_Data!$AA$2:$AA$1001)</f>
        <v>1.6732999999999929</v>
      </c>
      <c r="D8" s="33">
        <f>MEDIAN(Clean_Data!$AA$2:$AA$1001)</f>
        <v>1.4</v>
      </c>
      <c r="E8" s="33">
        <f>STDEV(Clean_Data!$AA$2:$AA$1001)</f>
        <v>3.7115215885809514</v>
      </c>
      <c r="F8" s="33">
        <f>MIN(Clean_Data!$AA$2:$AA$1001)</f>
        <v>-7.1</v>
      </c>
      <c r="G8" s="33">
        <f>MAX(Clean_Data!$AA$2:$AA$1001)</f>
        <v>13.6</v>
      </c>
    </row>
    <row r="9" spans="1:7" x14ac:dyDescent="0.35">
      <c r="A9" s="15" t="s">
        <v>229</v>
      </c>
      <c r="B9" s="15">
        <f>COUNT(Clean_Data!$AB$2:$AB$1001)</f>
        <v>1000</v>
      </c>
      <c r="C9" s="33">
        <f>AVERAGE(Clean_Data!$AB$2:$AB$1001)</f>
        <v>-1.9390000000000001</v>
      </c>
      <c r="D9" s="33">
        <f>MEDIAN(Clean_Data!$AB$2:$AB$1001)</f>
        <v>-2</v>
      </c>
      <c r="E9" s="33">
        <f>STDEV(Clean_Data!$AB$2:$AB$1001)</f>
        <v>5.126714562193043</v>
      </c>
      <c r="F9" s="33">
        <f>MIN(Clean_Data!$AB$2:$AB$1001)</f>
        <v>-16</v>
      </c>
      <c r="G9" s="33">
        <f>MAX(Clean_Data!$AB$2:$AB$1001)</f>
        <v>14</v>
      </c>
    </row>
    <row r="10" spans="1:7" x14ac:dyDescent="0.35">
      <c r="A10" s="15" t="s">
        <v>230</v>
      </c>
      <c r="B10" s="15">
        <f>COUNT(Clean_Data!$AC$2:$AC$1001)</f>
        <v>1000</v>
      </c>
      <c r="C10" s="33">
        <f>AVERAGE(Clean_Data!$AC$2:$AC$1001)</f>
        <v>58.247999999999998</v>
      </c>
      <c r="D10" s="33">
        <f>MEDIAN(Clean_Data!$AC$2:$AC$1001)</f>
        <v>55</v>
      </c>
      <c r="E10" s="33">
        <f>STDEV(Clean_Data!$AC$2:$AC$1001)</f>
        <v>18.797708632965072</v>
      </c>
      <c r="F10" s="33">
        <f>MIN(Clean_Data!$AC$2:$AC$1001)</f>
        <v>21</v>
      </c>
      <c r="G10" s="33">
        <f>MAX(Clean_Data!$AC$2:$AC$1001)</f>
        <v>100</v>
      </c>
    </row>
    <row r="11" spans="1:7" x14ac:dyDescent="0.35">
      <c r="A11" s="15" t="s">
        <v>231</v>
      </c>
      <c r="B11" s="15">
        <f>COUNT(Clean_Data!$AD$2:$AD$1001)</f>
        <v>1000</v>
      </c>
      <c r="C11" s="33">
        <f>AVERAGE(Clean_Data!$AD$2:$AD$1001)</f>
        <v>13.06</v>
      </c>
      <c r="D11" s="33">
        <f>MEDIAN(Clean_Data!$AD$2:$AD$1001)</f>
        <v>11</v>
      </c>
      <c r="E11" s="33">
        <f>STDEV(Clean_Data!$AD$2:$AD$1001)</f>
        <v>8.6514303584579153</v>
      </c>
      <c r="F11" s="33">
        <f>MIN(Clean_Data!$AD$2:$AD$1001)</f>
        <v>0</v>
      </c>
      <c r="G11" s="33">
        <f>MAX(Clean_Data!$AD$2:$AD$1001)</f>
        <v>39</v>
      </c>
    </row>
    <row r="14" spans="1:7" x14ac:dyDescent="0.35">
      <c r="A14" s="1" t="s">
        <v>232</v>
      </c>
    </row>
    <row r="15" spans="1:7" x14ac:dyDescent="0.35">
      <c r="A15" s="9" t="s">
        <v>233</v>
      </c>
      <c r="B15" s="9" t="s">
        <v>234</v>
      </c>
      <c r="C15" s="9" t="s">
        <v>235</v>
      </c>
      <c r="D15" s="9" t="s">
        <v>236</v>
      </c>
      <c r="E15" s="9" t="s">
        <v>237</v>
      </c>
      <c r="F15" s="9" t="s">
        <v>238</v>
      </c>
    </row>
    <row r="16" spans="1:7" x14ac:dyDescent="0.35">
      <c r="A16" s="15" t="s">
        <v>228</v>
      </c>
      <c r="B16" s="34">
        <f>CORREL(Clean_Data!$AA$2:$AA$1001,Clean_Data!$U$2:$U$1001)</f>
        <v>0.22957851734759196</v>
      </c>
      <c r="C16" s="34">
        <f>CORREL(Clean_Data!$AA$2:$AA$1001,Clean_Data!$S$2:$S$1001)</f>
        <v>0.47047251446459509</v>
      </c>
      <c r="D16" s="34">
        <f>CORREL(Clean_Data!$AA$2:$AA$1001,Clean_Data!$T$2:$T$1001)</f>
        <v>0.16931035161676747</v>
      </c>
      <c r="E16" s="15" t="str">
        <f t="shared" ref="E16:E21" si="0">IF(ABS(B16)&gt;=0.7,"Strong",IF(ABS(B16)&gt;=0.4,"Moderate",IF(ABS(B16)&gt;=0.2,"Weak","Negligible")))</f>
        <v>Weak</v>
      </c>
      <c r="F16" s="15" t="str">
        <f t="shared" ref="F16:F21" si="1">IF(B16&gt;0,"Positive","Negative")</f>
        <v>Positive</v>
      </c>
    </row>
    <row r="17" spans="1:6" x14ac:dyDescent="0.35">
      <c r="A17" s="15" t="s">
        <v>229</v>
      </c>
      <c r="B17" s="34">
        <f>CORREL(Clean_Data!$AB$2:$AB$1001,Clean_Data!$U$2:$U$1001)</f>
        <v>0.18292996708708884</v>
      </c>
      <c r="C17" s="34">
        <f>CORREL(Clean_Data!$AB$2:$AB$1001,Clean_Data!$S$2:$S$1001)</f>
        <v>0.4216215380700023</v>
      </c>
      <c r="D17" s="34">
        <f>CORREL(Clean_Data!$AB$2:$AB$1001,Clean_Data!$T$2:$T$1001)</f>
        <v>0.1274472415657095</v>
      </c>
      <c r="E17" s="15" t="str">
        <f t="shared" si="0"/>
        <v>Negligible</v>
      </c>
      <c r="F17" s="15" t="str">
        <f t="shared" si="1"/>
        <v>Positive</v>
      </c>
    </row>
    <row r="18" spans="1:6" x14ac:dyDescent="0.35">
      <c r="A18" s="15" t="s">
        <v>230</v>
      </c>
      <c r="B18" s="34">
        <f>CORREL(Clean_Data!$AC$2:$AC$1001,Clean_Data!$U$2:$U$1001)</f>
        <v>-0.25435329828790393</v>
      </c>
      <c r="C18" s="34">
        <f>CORREL(Clean_Data!$AC$2:$AC$1001,Clean_Data!$S$2:$S$1001)</f>
        <v>-0.25940745454286224</v>
      </c>
      <c r="D18" s="34">
        <f>CORREL(Clean_Data!$AC$2:$AC$1001,Clean_Data!$T$2:$T$1001)</f>
        <v>-0.22937044088624564</v>
      </c>
      <c r="E18" s="15" t="str">
        <f t="shared" si="0"/>
        <v>Weak</v>
      </c>
      <c r="F18" s="15" t="str">
        <f t="shared" si="1"/>
        <v>Negative</v>
      </c>
    </row>
    <row r="19" spans="1:6" x14ac:dyDescent="0.35">
      <c r="A19" s="15" t="s">
        <v>231</v>
      </c>
      <c r="B19" s="34">
        <f>CORREL(Clean_Data!$AD$2:$AD$1001,Clean_Data!$U$2:$U$1001)</f>
        <v>0.10400327207261084</v>
      </c>
      <c r="C19" s="34">
        <f>CORREL(Clean_Data!$AD$2:$AD$1001,Clean_Data!$S$2:$S$1001)</f>
        <v>0.1293998515684629</v>
      </c>
      <c r="D19" s="34">
        <f>CORREL(Clean_Data!$AD$2:$AD$1001,Clean_Data!$T$2:$T$1001)</f>
        <v>9.006448386800936E-2</v>
      </c>
      <c r="E19" s="15" t="str">
        <f t="shared" si="0"/>
        <v>Negligible</v>
      </c>
      <c r="F19" s="15" t="str">
        <f t="shared" si="1"/>
        <v>Positive</v>
      </c>
    </row>
    <row r="20" spans="1:6" x14ac:dyDescent="0.35">
      <c r="A20" s="15" t="s">
        <v>239</v>
      </c>
      <c r="B20" s="34">
        <f>CORREL(Clean_Data!$J$2:$J$1001,Clean_Data!$U$2:$U$1001)</f>
        <v>0.36604748519325236</v>
      </c>
      <c r="C20" s="34">
        <f>CORREL(Clean_Data!$J$2:$J$1001,Clean_Data!$S$2:$S$1001)</f>
        <v>0.20447635220584967</v>
      </c>
      <c r="D20" s="34">
        <f>CORREL(Clean_Data!$J$2:$J$1001,Clean_Data!$T$2:$T$1001)</f>
        <v>0.35704159671176261</v>
      </c>
      <c r="E20" s="15" t="str">
        <f t="shared" si="0"/>
        <v>Weak</v>
      </c>
      <c r="F20" s="15" t="str">
        <f t="shared" si="1"/>
        <v>Positive</v>
      </c>
    </row>
    <row r="21" spans="1:6" x14ac:dyDescent="0.35">
      <c r="A21" s="15" t="s">
        <v>240</v>
      </c>
      <c r="B21" s="34">
        <f>CORREL(Clean_Data!$M$2:$M$1001,Clean_Data!$U$2:$U$1001)</f>
        <v>-0.12644808208753558</v>
      </c>
      <c r="C21" s="34">
        <f>CORREL(Clean_Data!$M$2:$M$1001,Clean_Data!$S$2:$S$1001)</f>
        <v>-9.6345712968718245E-2</v>
      </c>
      <c r="D21" s="34">
        <f>CORREL(Clean_Data!$M$2:$M$1001,Clean_Data!$T$2:$T$1001)</f>
        <v>-0.11923357792145391</v>
      </c>
      <c r="E21" s="15" t="str">
        <f t="shared" si="0"/>
        <v>Negligible</v>
      </c>
      <c r="F21" s="15" t="str">
        <f t="shared" si="1"/>
        <v>Negative</v>
      </c>
    </row>
    <row r="24" spans="1:6" x14ac:dyDescent="0.35">
      <c r="A24" s="1" t="s">
        <v>241</v>
      </c>
    </row>
    <row r="25" spans="1:6" x14ac:dyDescent="0.35">
      <c r="A25" s="9" t="s">
        <v>242</v>
      </c>
      <c r="B25" s="9" t="s">
        <v>243</v>
      </c>
    </row>
    <row r="26" spans="1:6" x14ac:dyDescent="0.35">
      <c r="A26" s="15" t="s">
        <v>244</v>
      </c>
      <c r="B26" s="17">
        <f>COUNTIF(Clean_Data!$M$2:$M$1001,"&gt;=3")</f>
        <v>85</v>
      </c>
    </row>
    <row r="27" spans="1:6" x14ac:dyDescent="0.35">
      <c r="A27" s="15" t="s">
        <v>245</v>
      </c>
      <c r="B27" s="17">
        <f>COUNTIF(Clean_Data!$K$2:$K$1001,TRUE())</f>
        <v>24</v>
      </c>
    </row>
    <row r="28" spans="1:6" x14ac:dyDescent="0.35">
      <c r="A28" s="15" t="s">
        <v>246</v>
      </c>
      <c r="B28" s="17">
        <f>SUMIF(Clean_Data!$V$2:$V$1001,"Weekday",Clean_Data!$U$2:$U$1001)</f>
        <v>41435</v>
      </c>
    </row>
    <row r="29" spans="1:6" x14ac:dyDescent="0.35">
      <c r="A29" s="15" t="s">
        <v>247</v>
      </c>
      <c r="B29" s="17">
        <f>SUMIF(Clean_Data!$V$2:$V$1001,"Weekend",Clean_Data!$U$2:$U$1001)</f>
        <v>15869</v>
      </c>
    </row>
    <row r="30" spans="1:6" x14ac:dyDescent="0.35">
      <c r="A30" s="15" t="s">
        <v>248</v>
      </c>
      <c r="B30" s="17">
        <f>SUMIF(Clean_Data!$V$2:$V$1001,"Holiday",Clean_Data!$U$2:$U$1001)</f>
        <v>1000</v>
      </c>
    </row>
    <row r="31" spans="1:6" x14ac:dyDescent="0.35">
      <c r="A31" s="15" t="s">
        <v>249</v>
      </c>
      <c r="B31" s="17">
        <f>SUMIF(Clean_Data!$V$2:$V$1001,"Weekend",Clean_Data!$S$2:$S$1001)</f>
        <v>2702</v>
      </c>
    </row>
    <row r="32" spans="1:6" x14ac:dyDescent="0.35">
      <c r="A32" s="15" t="s">
        <v>250</v>
      </c>
      <c r="B32" s="17">
        <f>SUMIF(Clean_Data!$V$2:$V$1001,"Weekday",Clean_Data!$S$2:$S$1001)</f>
        <v>2102</v>
      </c>
    </row>
    <row r="33" spans="1:2" x14ac:dyDescent="0.35">
      <c r="A33" s="15" t="s">
        <v>251</v>
      </c>
      <c r="B33" s="17">
        <f>COUNTIF(Clean_Data!$AF$2:$AF$1001,"High")</f>
        <v>259</v>
      </c>
    </row>
    <row r="34" spans="1:2" x14ac:dyDescent="0.35">
      <c r="A34" s="15" t="s">
        <v>252</v>
      </c>
      <c r="B34" s="17">
        <f>COUNTIF(Clean_Data!$AF$2:$AF$1001,"Low")</f>
        <v>242</v>
      </c>
    </row>
    <row r="35" spans="1:2" x14ac:dyDescent="0.35">
      <c r="A35" s="15" t="s">
        <v>253</v>
      </c>
      <c r="B35" s="17">
        <f>SUMPRODUCT(--(Clean_Data!$AH$2:$AH$1001&lt;&gt;""))</f>
        <v>3</v>
      </c>
    </row>
    <row r="36" spans="1:2" x14ac:dyDescent="0.35">
      <c r="A36" s="15" t="s">
        <v>254</v>
      </c>
      <c r="B36" s="17">
        <f>COUNTIF(Clean_Data!$AJ$2:$AJ$1001,"Yes")</f>
        <v>11</v>
      </c>
    </row>
    <row r="37" spans="1:2" x14ac:dyDescent="0.35">
      <c r="A37" s="15" t="s">
        <v>255</v>
      </c>
      <c r="B37" s="19">
        <f>SUM(Clean_Data!$T$2:$T$1001)/SUM(Clean_Data!$U$2:$U$1001)</f>
        <v>0.9155975576289791</v>
      </c>
    </row>
  </sheetData>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6"/>
  <sheetViews>
    <sheetView topLeftCell="A22" zoomScaleNormal="100" workbookViewId="0"/>
  </sheetViews>
  <sheetFormatPr defaultColWidth="8.6328125" defaultRowHeight="14.5" x14ac:dyDescent="0.35"/>
  <cols>
    <col min="1" max="1" width="52" customWidth="1"/>
    <col min="2" max="4" width="16" customWidth="1"/>
  </cols>
  <sheetData>
    <row r="1" spans="1:4" ht="20" x14ac:dyDescent="0.4">
      <c r="A1" s="28" t="s">
        <v>256</v>
      </c>
    </row>
    <row r="3" spans="1:4" x14ac:dyDescent="0.35">
      <c r="A3" s="9" t="s">
        <v>257</v>
      </c>
      <c r="B3" s="9" t="s">
        <v>258</v>
      </c>
      <c r="C3" s="9" t="s">
        <v>259</v>
      </c>
      <c r="D3" s="9" t="s">
        <v>120</v>
      </c>
    </row>
    <row r="4" spans="1:4" x14ac:dyDescent="0.35">
      <c r="A4" s="15" t="s">
        <v>260</v>
      </c>
      <c r="B4" s="15">
        <f>COUNT(Dataset1_Raw!$A$2:$A$611)</f>
        <v>610</v>
      </c>
      <c r="C4" s="15">
        <v>610</v>
      </c>
      <c r="D4" s="15" t="str">
        <f t="shared" ref="D4:D15" si="0">IF(B4=C4,"PASS","REVIEW")</f>
        <v>PASS</v>
      </c>
    </row>
    <row r="5" spans="1:4" x14ac:dyDescent="0.35">
      <c r="A5" s="15" t="s">
        <v>261</v>
      </c>
      <c r="B5" s="15">
        <f>COUNT(Dataset2_Raw!$A$2:$A$611)</f>
        <v>610</v>
      </c>
      <c r="C5" s="15">
        <v>610</v>
      </c>
      <c r="D5" s="15" t="str">
        <f t="shared" si="0"/>
        <v>PASS</v>
      </c>
    </row>
    <row r="6" spans="1:4" x14ac:dyDescent="0.35">
      <c r="A6" s="15" t="s">
        <v>262</v>
      </c>
      <c r="B6" s="15">
        <f>COUNT(Dataset3_Raw!$A$2:$A$391)</f>
        <v>390</v>
      </c>
      <c r="C6" s="15">
        <v>390</v>
      </c>
      <c r="D6" s="15" t="str">
        <f t="shared" si="0"/>
        <v>PASS</v>
      </c>
    </row>
    <row r="7" spans="1:4" x14ac:dyDescent="0.35">
      <c r="A7" s="15" t="s">
        <v>263</v>
      </c>
      <c r="B7" s="15">
        <f>COUNT(Clean_Data!$A$2:$A$1001)</f>
        <v>1000</v>
      </c>
      <c r="C7" s="15">
        <f>B8+B6</f>
        <v>1000</v>
      </c>
      <c r="D7" s="15" t="str">
        <f t="shared" si="0"/>
        <v>PASS</v>
      </c>
    </row>
    <row r="8" spans="1:4" x14ac:dyDescent="0.35">
      <c r="A8" s="15" t="s">
        <v>264</v>
      </c>
      <c r="B8" s="15">
        <f>COUNT(Merge_1_2!$A$2:$A$611)</f>
        <v>610</v>
      </c>
      <c r="C8" s="15">
        <v>610</v>
      </c>
      <c r="D8" s="15" t="str">
        <f t="shared" si="0"/>
        <v>PASS</v>
      </c>
    </row>
    <row r="9" spans="1:4" x14ac:dyDescent="0.35">
      <c r="A9" s="15" t="s">
        <v>265</v>
      </c>
      <c r="B9" s="15">
        <f>COUNTIF(Merge_1_2!$Q$2:$Q$611,0)</f>
        <v>0</v>
      </c>
      <c r="C9" s="15">
        <v>0</v>
      </c>
      <c r="D9" s="15" t="str">
        <f t="shared" si="0"/>
        <v>PASS</v>
      </c>
    </row>
    <row r="10" spans="1:4" x14ac:dyDescent="0.35">
      <c r="A10" s="15" t="s">
        <v>266</v>
      </c>
      <c r="B10" s="15">
        <f>SUMPRODUCT(--(COUNTIF(Dataset1_Raw!$A$2:$A$611,Dataset1_Raw!$A$2:$A$611)&gt;1))</f>
        <v>0</v>
      </c>
      <c r="C10" s="15">
        <v>0</v>
      </c>
      <c r="D10" s="15" t="str">
        <f t="shared" si="0"/>
        <v>PASS</v>
      </c>
    </row>
    <row r="11" spans="1:4" x14ac:dyDescent="0.35">
      <c r="A11" s="15" t="s">
        <v>267</v>
      </c>
      <c r="B11" s="15">
        <f>SUMPRODUCT(--(COUNTIF(Dataset2_Raw!$A$2:$A$611,Dataset2_Raw!$A$2:$A$611)&gt;1))</f>
        <v>0</v>
      </c>
      <c r="C11" s="15">
        <v>0</v>
      </c>
      <c r="D11" s="15" t="str">
        <f t="shared" si="0"/>
        <v>PASS</v>
      </c>
    </row>
    <row r="12" spans="1:4" x14ac:dyDescent="0.35">
      <c r="A12" s="15" t="s">
        <v>268</v>
      </c>
      <c r="B12" s="15">
        <f>SUMPRODUCT(--(COUNTIF(Dataset3_Raw!$A$2:$A$391,Dataset3_Raw!$A$2:$A$391)&gt;1))</f>
        <v>0</v>
      </c>
      <c r="C12" s="15">
        <v>0</v>
      </c>
      <c r="D12" s="15" t="str">
        <f t="shared" si="0"/>
        <v>PASS</v>
      </c>
    </row>
    <row r="13" spans="1:4" x14ac:dyDescent="0.35">
      <c r="A13" s="15" t="s">
        <v>269</v>
      </c>
      <c r="B13" s="15">
        <f>SUMPRODUCT(--(COUNTIF(Clean_Data!$A$2:$A$1001,Clean_Data!$A$2:$A$1001)&gt;1))</f>
        <v>0</v>
      </c>
      <c r="C13" s="15">
        <v>0</v>
      </c>
      <c r="D13" s="15" t="str">
        <f t="shared" si="0"/>
        <v>PASS</v>
      </c>
    </row>
    <row r="14" spans="1:4" x14ac:dyDescent="0.35">
      <c r="A14" s="15" t="s">
        <v>270</v>
      </c>
      <c r="B14" s="15">
        <f>COUNTIFS(Clean_Data!$C$2:$C$1001,"&gt;0",Clean_Data!$D$2:$D$1001,0)</f>
        <v>0</v>
      </c>
      <c r="C14" s="15">
        <v>0</v>
      </c>
      <c r="D14" s="15" t="str">
        <f t="shared" si="0"/>
        <v>PASS</v>
      </c>
    </row>
    <row r="15" spans="1:4" x14ac:dyDescent="0.35">
      <c r="A15" s="15" t="s">
        <v>271</v>
      </c>
      <c r="B15" s="15">
        <f>COUNTIFS(Clean_Data!$C$2:$C$1001,0,Clean_Data!$E$2:$E$1001,0)</f>
        <v>0</v>
      </c>
      <c r="C15" s="15">
        <v>0</v>
      </c>
      <c r="D15" s="15" t="str">
        <f t="shared" si="0"/>
        <v>PASS</v>
      </c>
    </row>
    <row r="16" spans="1:4" x14ac:dyDescent="0.35">
      <c r="A16" s="15" t="s">
        <v>272</v>
      </c>
      <c r="B16" s="15">
        <f>COUNTBLANK(Clean_Data!$O$2:$O$1001)</f>
        <v>11</v>
      </c>
      <c r="C16" s="15" t="s">
        <v>273</v>
      </c>
      <c r="D16" s="15" t="s">
        <v>274</v>
      </c>
    </row>
    <row r="17" spans="1:4" x14ac:dyDescent="0.35">
      <c r="A17" s="15" t="s">
        <v>275</v>
      </c>
      <c r="B17" s="15">
        <f>COUNTBLANK(Clean_Data!$P$2:$P$1001)</f>
        <v>0</v>
      </c>
      <c r="C17" s="15">
        <v>0</v>
      </c>
      <c r="D17" s="15" t="str">
        <f t="shared" ref="D17:D25" si="1">IF(B17=C17,"PASS","REVIEW")</f>
        <v>PASS</v>
      </c>
    </row>
    <row r="18" spans="1:4" x14ac:dyDescent="0.35">
      <c r="A18" s="15" t="s">
        <v>276</v>
      </c>
      <c r="B18" s="15">
        <f>SUMPRODUCT(--NOT(ISNUMBER(Clean_Data!$G$2:$J$1001)))+SUMPRODUCT(--NOT(ISNUMBER(Clean_Data!$L$2:$N$1001)))+SUMPRODUCT(--NOT(ISNUMBER(Clean_Data!$Q$2:$U$1001)))</f>
        <v>0</v>
      </c>
      <c r="C18" s="15">
        <v>0</v>
      </c>
      <c r="D18" s="15" t="str">
        <f t="shared" si="1"/>
        <v>PASS</v>
      </c>
    </row>
    <row r="19" spans="1:4" x14ac:dyDescent="0.35">
      <c r="A19" s="15" t="s">
        <v>277</v>
      </c>
      <c r="B19" s="15">
        <f>COUNTIF(Clean_Data!$AI$2:$AI$1001,"Mismatch")</f>
        <v>0</v>
      </c>
      <c r="C19" s="15">
        <v>0</v>
      </c>
      <c r="D19" s="15" t="str">
        <f t="shared" si="1"/>
        <v>PASS</v>
      </c>
    </row>
    <row r="20" spans="1:4" x14ac:dyDescent="0.35">
      <c r="A20" s="15" t="s">
        <v>278</v>
      </c>
      <c r="B20" s="15">
        <f>SUMPRODUCT(--(LEN(Dataset3_Raw!$B$2:$B$391)&lt;&gt;10))</f>
        <v>0</v>
      </c>
      <c r="C20" s="15">
        <v>0</v>
      </c>
      <c r="D20" s="15" t="str">
        <f t="shared" si="1"/>
        <v>PASS</v>
      </c>
    </row>
    <row r="21" spans="1:4" x14ac:dyDescent="0.35">
      <c r="A21" s="15" t="s">
        <v>279</v>
      </c>
      <c r="B21" s="15">
        <f>SUMPRODUCT(--((WEEKDAY(Clean_Data!$F$2:$F$1001)-1)&lt;&gt;Clean_Data!$L$2:$L$1001))</f>
        <v>0</v>
      </c>
      <c r="C21" s="15">
        <v>0</v>
      </c>
      <c r="D21" s="15" t="str">
        <f t="shared" si="1"/>
        <v>PASS</v>
      </c>
    </row>
    <row r="22" spans="1:4" x14ac:dyDescent="0.35">
      <c r="A22" s="15" t="s">
        <v>280</v>
      </c>
      <c r="B22" s="15">
        <f>COUNTIF(Clean_Data!$J$2:$J$1001,"&lt;0")+COUNTIF(Clean_Data!$J$2:$J$1001,"&gt;23")</f>
        <v>0</v>
      </c>
      <c r="C22" s="15">
        <v>0</v>
      </c>
      <c r="D22" s="15" t="str">
        <f t="shared" si="1"/>
        <v>PASS</v>
      </c>
    </row>
    <row r="23" spans="1:4" x14ac:dyDescent="0.35">
      <c r="A23" s="15" t="s">
        <v>281</v>
      </c>
      <c r="B23" s="15">
        <f>COUNTIF(Clean_Data!$M$2:$M$1001,"&lt;1")+COUNTIF(Clean_Data!$M$2:$M$1001,"&gt;4")</f>
        <v>0</v>
      </c>
      <c r="C23" s="15">
        <v>0</v>
      </c>
      <c r="D23" s="15" t="str">
        <f t="shared" si="1"/>
        <v>PASS</v>
      </c>
    </row>
    <row r="24" spans="1:4" x14ac:dyDescent="0.35">
      <c r="A24" s="15" t="s">
        <v>282</v>
      </c>
      <c r="B24" s="15">
        <f>COUNTIF(Clean_Data!$N$2:$N$1001,"&gt;1")+COUNTIF(Clean_Data!$P$2:$R$1001,"&gt;1")+COUNTIF(Clean_Data!$N$2:$N$1001,"&lt;0")+COUNTIF(Clean_Data!$P$2:$R$1001,"&lt;0")</f>
        <v>0</v>
      </c>
      <c r="C24" s="15">
        <v>0</v>
      </c>
      <c r="D24" s="15" t="str">
        <f t="shared" si="1"/>
        <v>PASS</v>
      </c>
    </row>
    <row r="25" spans="1:4" x14ac:dyDescent="0.35">
      <c r="A25" s="15" t="s">
        <v>283</v>
      </c>
      <c r="B25" s="15">
        <f>COUNTIF(Clean_Data!$S$2:$S$1001,"&lt;0")+COUNTIF(Clean_Data!$T$2:$T$1001,"&lt;0")+COUNTIF(Clean_Data!$U$2:$U$1001,"&lt;0")</f>
        <v>0</v>
      </c>
      <c r="C25" s="15">
        <v>0</v>
      </c>
      <c r="D25" s="15" t="str">
        <f t="shared" si="1"/>
        <v>PASS</v>
      </c>
    </row>
    <row r="26" spans="1:4" x14ac:dyDescent="0.35">
      <c r="A26" s="15" t="s">
        <v>284</v>
      </c>
      <c r="B26" s="15">
        <f>COUNT(Daily_Trend!$C$5:$C$49)</f>
        <v>45</v>
      </c>
      <c r="C26" s="15" t="s">
        <v>273</v>
      </c>
      <c r="D26" s="15" t="s">
        <v>274</v>
      </c>
    </row>
    <row r="27" spans="1:4" x14ac:dyDescent="0.35">
      <c r="A27" s="15" t="s">
        <v>285</v>
      </c>
      <c r="B27" s="19">
        <f>B7/(24*B26)</f>
        <v>0.92592592592592593</v>
      </c>
      <c r="C27" s="15" t="s">
        <v>273</v>
      </c>
      <c r="D27" s="15" t="s">
        <v>274</v>
      </c>
    </row>
    <row r="30" spans="1:4" x14ac:dyDescent="0.35">
      <c r="A30" s="1" t="s">
        <v>286</v>
      </c>
    </row>
    <row r="31" spans="1:4" ht="43.5" customHeight="1" x14ac:dyDescent="0.35">
      <c r="A31" s="61" t="s">
        <v>287</v>
      </c>
      <c r="B31" s="61"/>
      <c r="C31" s="61"/>
      <c r="D31" s="61"/>
    </row>
    <row r="32" spans="1:4" ht="43.5" customHeight="1" x14ac:dyDescent="0.35">
      <c r="A32" s="61" t="s">
        <v>288</v>
      </c>
      <c r="B32" s="61"/>
      <c r="C32" s="61"/>
      <c r="D32" s="61"/>
    </row>
    <row r="33" spans="1:4" ht="43.5" customHeight="1" x14ac:dyDescent="0.35">
      <c r="A33" s="61" t="s">
        <v>289</v>
      </c>
      <c r="B33" s="61"/>
      <c r="C33" s="61"/>
      <c r="D33" s="61"/>
    </row>
    <row r="34" spans="1:4" ht="43.5" customHeight="1" x14ac:dyDescent="0.35">
      <c r="A34" s="61" t="s">
        <v>290</v>
      </c>
      <c r="B34" s="61"/>
      <c r="C34" s="61"/>
      <c r="D34" s="61"/>
    </row>
    <row r="35" spans="1:4" ht="43.5" customHeight="1" x14ac:dyDescent="0.35">
      <c r="A35" s="61" t="s">
        <v>291</v>
      </c>
      <c r="B35" s="61"/>
      <c r="C35" s="61"/>
      <c r="D35" s="61"/>
    </row>
    <row r="36" spans="1:4" ht="43.5" customHeight="1" x14ac:dyDescent="0.35">
      <c r="A36" s="61" t="s">
        <v>292</v>
      </c>
      <c r="B36" s="61"/>
      <c r="C36" s="61"/>
      <c r="D36" s="61"/>
    </row>
  </sheetData>
  <mergeCells count="6">
    <mergeCell ref="A36:D36"/>
    <mergeCell ref="A31:D31"/>
    <mergeCell ref="A32:D32"/>
    <mergeCell ref="A33:D33"/>
    <mergeCell ref="A34:D34"/>
    <mergeCell ref="A35:D35"/>
  </mergeCells>
  <conditionalFormatting sqref="D4:D27">
    <cfRule type="cellIs" dxfId="2" priority="2" operator="equal">
      <formula>"PASS"</formula>
    </cfRule>
    <cfRule type="cellIs" dxfId="1" priority="3" operator="equal">
      <formula>"REVIEW"</formula>
    </cfRule>
  </conditionalFormatting>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M28"/>
  <sheetViews>
    <sheetView zoomScaleNormal="100" workbookViewId="0"/>
  </sheetViews>
  <sheetFormatPr defaultColWidth="8.6328125" defaultRowHeight="14.5" x14ac:dyDescent="0.35"/>
  <cols>
    <col min="1" max="1" width="30" customWidth="1"/>
    <col min="2" max="2" width="24" customWidth="1"/>
    <col min="3" max="3" width="22" customWidth="1"/>
    <col min="4" max="4" width="8" customWidth="1"/>
    <col min="5" max="5" width="14" customWidth="1"/>
    <col min="7" max="7" width="8" customWidth="1"/>
    <col min="8" max="8" width="14" customWidth="1"/>
    <col min="10" max="13" width="24" customWidth="1"/>
  </cols>
  <sheetData>
    <row r="1" spans="1:13" ht="20" x14ac:dyDescent="0.4">
      <c r="A1" s="28" t="s">
        <v>293</v>
      </c>
    </row>
    <row r="3" spans="1:13" x14ac:dyDescent="0.35">
      <c r="A3" s="1" t="s">
        <v>294</v>
      </c>
      <c r="D3" s="1" t="s">
        <v>295</v>
      </c>
      <c r="G3" s="1" t="s">
        <v>168</v>
      </c>
      <c r="J3" s="1" t="s">
        <v>296</v>
      </c>
    </row>
    <row r="4" spans="1:13" x14ac:dyDescent="0.35">
      <c r="A4" s="9" t="s">
        <v>297</v>
      </c>
      <c r="B4" s="9" t="s">
        <v>162</v>
      </c>
      <c r="D4" s="9" t="s">
        <v>297</v>
      </c>
      <c r="E4" s="9" t="s">
        <v>162</v>
      </c>
      <c r="G4" s="9" t="s">
        <v>297</v>
      </c>
      <c r="H4" s="9" t="s">
        <v>162</v>
      </c>
      <c r="J4" s="35" t="s">
        <v>6</v>
      </c>
      <c r="K4" s="35" t="s">
        <v>5</v>
      </c>
      <c r="L4" s="35" t="s">
        <v>4</v>
      </c>
      <c r="M4" s="35" t="s">
        <v>92</v>
      </c>
    </row>
    <row r="5" spans="1:13" x14ac:dyDescent="0.35">
      <c r="A5" s="21">
        <v>1</v>
      </c>
      <c r="B5" s="21" t="s">
        <v>298</v>
      </c>
      <c r="D5" s="21">
        <v>1</v>
      </c>
      <c r="E5" s="21" t="s">
        <v>299</v>
      </c>
      <c r="G5" s="21">
        <v>0</v>
      </c>
      <c r="H5" s="21" t="s">
        <v>300</v>
      </c>
      <c r="J5" s="21" t="s">
        <v>69</v>
      </c>
      <c r="K5" s="21" t="s">
        <v>69</v>
      </c>
      <c r="L5" s="21" t="s">
        <v>69</v>
      </c>
      <c r="M5" s="21" t="s">
        <v>69</v>
      </c>
    </row>
    <row r="6" spans="1:13" x14ac:dyDescent="0.35">
      <c r="A6" s="21">
        <v>2</v>
      </c>
      <c r="B6" s="21" t="s">
        <v>301</v>
      </c>
      <c r="D6" s="21">
        <v>2</v>
      </c>
      <c r="E6" s="21" t="s">
        <v>302</v>
      </c>
      <c r="G6" s="21">
        <v>1</v>
      </c>
      <c r="H6" s="21" t="s">
        <v>303</v>
      </c>
      <c r="J6" s="21" t="s">
        <v>168</v>
      </c>
      <c r="K6" s="21" t="s">
        <v>298</v>
      </c>
      <c r="L6" s="21" t="s">
        <v>172</v>
      </c>
      <c r="M6" s="21" t="s">
        <v>304</v>
      </c>
    </row>
    <row r="7" spans="1:13" x14ac:dyDescent="0.35">
      <c r="A7" s="21">
        <v>3</v>
      </c>
      <c r="B7" s="21" t="s">
        <v>305</v>
      </c>
      <c r="D7" s="21">
        <v>3</v>
      </c>
      <c r="E7" s="21" t="s">
        <v>306</v>
      </c>
      <c r="G7" s="21">
        <v>2</v>
      </c>
      <c r="H7" s="21" t="s">
        <v>307</v>
      </c>
      <c r="J7" s="21" t="s">
        <v>169</v>
      </c>
      <c r="K7" s="21" t="s">
        <v>301</v>
      </c>
      <c r="L7" s="21" t="s">
        <v>174</v>
      </c>
      <c r="M7" s="21" t="s">
        <v>308</v>
      </c>
    </row>
    <row r="8" spans="1:13" x14ac:dyDescent="0.35">
      <c r="A8" s="21">
        <v>4</v>
      </c>
      <c r="B8" s="21" t="s">
        <v>309</v>
      </c>
      <c r="D8" s="21">
        <v>4</v>
      </c>
      <c r="E8" s="21" t="s">
        <v>310</v>
      </c>
      <c r="G8" s="21">
        <v>3</v>
      </c>
      <c r="H8" s="21" t="s">
        <v>311</v>
      </c>
      <c r="J8" s="21" t="s">
        <v>170</v>
      </c>
      <c r="K8" s="21" t="s">
        <v>305</v>
      </c>
      <c r="L8" s="21" t="s">
        <v>176</v>
      </c>
      <c r="M8" s="21" t="s">
        <v>312</v>
      </c>
    </row>
    <row r="9" spans="1:13" x14ac:dyDescent="0.35">
      <c r="A9" s="14" t="s">
        <v>313</v>
      </c>
      <c r="G9" s="21">
        <v>4</v>
      </c>
      <c r="H9" s="21" t="s">
        <v>314</v>
      </c>
      <c r="K9" s="21" t="s">
        <v>309</v>
      </c>
      <c r="L9" s="21" t="s">
        <v>178</v>
      </c>
    </row>
    <row r="10" spans="1:13" x14ac:dyDescent="0.35">
      <c r="G10" s="21">
        <v>5</v>
      </c>
      <c r="H10" s="21" t="s">
        <v>315</v>
      </c>
    </row>
    <row r="11" spans="1:13" x14ac:dyDescent="0.35">
      <c r="G11" s="21">
        <v>6</v>
      </c>
      <c r="H11" s="21" t="s">
        <v>316</v>
      </c>
    </row>
    <row r="13" spans="1:13" x14ac:dyDescent="0.35">
      <c r="A13" s="1" t="s">
        <v>317</v>
      </c>
    </row>
    <row r="14" spans="1:13" x14ac:dyDescent="0.35">
      <c r="A14" s="9" t="s">
        <v>318</v>
      </c>
      <c r="B14" s="9" t="s">
        <v>243</v>
      </c>
      <c r="C14" s="9" t="s">
        <v>319</v>
      </c>
    </row>
    <row r="15" spans="1:13" x14ac:dyDescent="0.35">
      <c r="A15" s="15" t="s">
        <v>320</v>
      </c>
      <c r="B15" s="21">
        <v>-8</v>
      </c>
      <c r="C15" s="15" t="s">
        <v>321</v>
      </c>
    </row>
    <row r="16" spans="1:13" x14ac:dyDescent="0.35">
      <c r="A16" s="15" t="s">
        <v>322</v>
      </c>
      <c r="B16" s="21">
        <v>39</v>
      </c>
      <c r="C16" s="15" t="s">
        <v>323</v>
      </c>
    </row>
    <row r="17" spans="1:3" x14ac:dyDescent="0.35">
      <c r="A17" s="15" t="s">
        <v>324</v>
      </c>
      <c r="B17" s="21">
        <v>-16</v>
      </c>
      <c r="C17" s="15" t="s">
        <v>325</v>
      </c>
    </row>
    <row r="18" spans="1:3" x14ac:dyDescent="0.35">
      <c r="A18" s="15" t="s">
        <v>326</v>
      </c>
      <c r="B18" s="21">
        <v>50</v>
      </c>
      <c r="C18" s="15" t="s">
        <v>323</v>
      </c>
    </row>
    <row r="19" spans="1:3" x14ac:dyDescent="0.35">
      <c r="A19" s="15" t="s">
        <v>327</v>
      </c>
      <c r="B19" s="21">
        <v>67</v>
      </c>
      <c r="C19" s="15" t="s">
        <v>328</v>
      </c>
    </row>
    <row r="20" spans="1:3" x14ac:dyDescent="0.35">
      <c r="A20" s="15" t="s">
        <v>329</v>
      </c>
      <c r="B20" s="21">
        <v>3</v>
      </c>
      <c r="C20" s="15" t="s">
        <v>330</v>
      </c>
    </row>
    <row r="21" spans="1:3" x14ac:dyDescent="0.35">
      <c r="A21" s="15" t="s">
        <v>331</v>
      </c>
      <c r="B21" s="21">
        <v>2</v>
      </c>
      <c r="C21" s="15" t="s">
        <v>332</v>
      </c>
    </row>
    <row r="22" spans="1:3" x14ac:dyDescent="0.35">
      <c r="A22" s="15" t="s">
        <v>333</v>
      </c>
      <c r="B22" s="15">
        <f>QUARTILE(Clean_Data!$U$2:$U$1001,1)</f>
        <v>16</v>
      </c>
      <c r="C22" s="15" t="s">
        <v>334</v>
      </c>
    </row>
    <row r="23" spans="1:3" x14ac:dyDescent="0.35">
      <c r="A23" s="15" t="s">
        <v>335</v>
      </c>
      <c r="B23" s="15">
        <f>QUARTILE(Clean_Data!$U$2:$U$1001,3)</f>
        <v>83</v>
      </c>
      <c r="C23" s="15" t="s">
        <v>336</v>
      </c>
    </row>
    <row r="24" spans="1:3" x14ac:dyDescent="0.35">
      <c r="A24" s="15" t="s">
        <v>337</v>
      </c>
      <c r="B24" s="36">
        <f>SLOPE(Clean_Data!$O$2:$O$1001,Clean_Data!$N$2:$N$1001)</f>
        <v>0.91849744176921155</v>
      </c>
      <c r="C24" s="15" t="s">
        <v>338</v>
      </c>
    </row>
    <row r="25" spans="1:3" x14ac:dyDescent="0.35">
      <c r="A25" s="15" t="s">
        <v>339</v>
      </c>
      <c r="B25" s="36">
        <f>INTERCEPT(Clean_Data!$O$2:$O$1001,Clean_Data!$N$2:$N$1001)</f>
        <v>2.3930543922554504E-2</v>
      </c>
      <c r="C25" s="15" t="s">
        <v>340</v>
      </c>
    </row>
    <row r="26" spans="1:3" x14ac:dyDescent="0.35">
      <c r="A26" s="15" t="s">
        <v>341</v>
      </c>
      <c r="B26" s="21">
        <v>6</v>
      </c>
      <c r="C26" s="15" t="s">
        <v>342</v>
      </c>
    </row>
    <row r="27" spans="1:3" x14ac:dyDescent="0.35">
      <c r="A27" s="15" t="s">
        <v>343</v>
      </c>
      <c r="B27" s="21">
        <v>12</v>
      </c>
      <c r="C27" s="15"/>
    </row>
    <row r="28" spans="1:3" x14ac:dyDescent="0.35">
      <c r="A28" s="15" t="s">
        <v>344</v>
      </c>
      <c r="B28" s="21">
        <v>18</v>
      </c>
      <c r="C28" s="15"/>
    </row>
  </sheetData>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J611"/>
  <sheetViews>
    <sheetView zoomScaleNormal="100" workbookViewId="0">
      <pane ySplit="1" topLeftCell="A2" activePane="bottomLeft" state="frozen"/>
      <selection pane="bottomLeft"/>
    </sheetView>
  </sheetViews>
  <sheetFormatPr defaultColWidth="8.6328125" defaultRowHeight="14.5" x14ac:dyDescent="0.35"/>
  <cols>
    <col min="1" max="10" width="13" customWidth="1"/>
  </cols>
  <sheetData>
    <row r="1" spans="1:10" x14ac:dyDescent="0.35">
      <c r="A1" s="9" t="s">
        <v>121</v>
      </c>
      <c r="B1" s="9" t="s">
        <v>126</v>
      </c>
      <c r="C1" s="9" t="s">
        <v>127</v>
      </c>
      <c r="D1" s="9" t="s">
        <v>128</v>
      </c>
      <c r="E1" s="9" t="s">
        <v>129</v>
      </c>
      <c r="F1" s="9" t="s">
        <v>130</v>
      </c>
      <c r="G1" s="9" t="s">
        <v>131</v>
      </c>
      <c r="H1" s="9" t="s">
        <v>132</v>
      </c>
      <c r="I1" s="9" t="s">
        <v>133</v>
      </c>
      <c r="J1" s="9" t="s">
        <v>134</v>
      </c>
    </row>
    <row r="2" spans="1:10" x14ac:dyDescent="0.35">
      <c r="A2" s="23">
        <v>1</v>
      </c>
      <c r="B2" s="24">
        <v>40544</v>
      </c>
      <c r="C2" s="23">
        <v>1</v>
      </c>
      <c r="D2" s="23">
        <v>0</v>
      </c>
      <c r="E2" s="23">
        <v>1</v>
      </c>
      <c r="F2" s="23">
        <v>0</v>
      </c>
      <c r="G2" s="23" t="b">
        <f>FALSE()</f>
        <v>0</v>
      </c>
      <c r="H2" s="23">
        <v>6</v>
      </c>
      <c r="I2" s="23">
        <v>1</v>
      </c>
      <c r="J2" s="23">
        <v>0.24</v>
      </c>
    </row>
    <row r="3" spans="1:10" x14ac:dyDescent="0.35">
      <c r="A3" s="23">
        <v>2</v>
      </c>
      <c r="B3" s="24">
        <v>40544</v>
      </c>
      <c r="C3" s="23">
        <v>1</v>
      </c>
      <c r="D3" s="23">
        <v>0</v>
      </c>
      <c r="E3" s="23">
        <v>1</v>
      </c>
      <c r="F3" s="23">
        <v>1</v>
      </c>
      <c r="G3" s="23" t="b">
        <f>FALSE()</f>
        <v>0</v>
      </c>
      <c r="H3" s="23">
        <v>6</v>
      </c>
      <c r="I3" s="23">
        <v>1</v>
      </c>
      <c r="J3" s="23">
        <v>0.22</v>
      </c>
    </row>
    <row r="4" spans="1:10" x14ac:dyDescent="0.35">
      <c r="A4" s="23">
        <v>3</v>
      </c>
      <c r="B4" s="24">
        <v>40544</v>
      </c>
      <c r="C4" s="23">
        <v>1</v>
      </c>
      <c r="D4" s="23">
        <v>0</v>
      </c>
      <c r="E4" s="23">
        <v>1</v>
      </c>
      <c r="F4" s="23">
        <v>2</v>
      </c>
      <c r="G4" s="23" t="b">
        <f>FALSE()</f>
        <v>0</v>
      </c>
      <c r="H4" s="23">
        <v>6</v>
      </c>
      <c r="I4" s="23">
        <v>1</v>
      </c>
      <c r="J4" s="23">
        <v>0.22</v>
      </c>
    </row>
    <row r="5" spans="1:10" x14ac:dyDescent="0.35">
      <c r="A5" s="23">
        <v>4</v>
      </c>
      <c r="B5" s="24">
        <v>40544</v>
      </c>
      <c r="C5" s="23">
        <v>1</v>
      </c>
      <c r="D5" s="23">
        <v>0</v>
      </c>
      <c r="E5" s="23">
        <v>1</v>
      </c>
      <c r="F5" s="23">
        <v>3</v>
      </c>
      <c r="G5" s="23" t="b">
        <f>FALSE()</f>
        <v>0</v>
      </c>
      <c r="H5" s="23">
        <v>6</v>
      </c>
      <c r="I5" s="23">
        <v>1</v>
      </c>
      <c r="J5" s="23">
        <v>0.24</v>
      </c>
    </row>
    <row r="6" spans="1:10" x14ac:dyDescent="0.35">
      <c r="A6" s="23">
        <v>5</v>
      </c>
      <c r="B6" s="24">
        <v>40544</v>
      </c>
      <c r="C6" s="23">
        <v>1</v>
      </c>
      <c r="D6" s="23">
        <v>0</v>
      </c>
      <c r="E6" s="23">
        <v>1</v>
      </c>
      <c r="F6" s="23">
        <v>4</v>
      </c>
      <c r="G6" s="23" t="b">
        <f>FALSE()</f>
        <v>0</v>
      </c>
      <c r="H6" s="23">
        <v>6</v>
      </c>
      <c r="I6" s="23">
        <v>1</v>
      </c>
      <c r="J6" s="23">
        <v>0.24</v>
      </c>
    </row>
    <row r="7" spans="1:10" x14ac:dyDescent="0.35">
      <c r="A7" s="23">
        <v>6</v>
      </c>
      <c r="B7" s="24">
        <v>40544</v>
      </c>
      <c r="C7" s="23">
        <v>1</v>
      </c>
      <c r="D7" s="23">
        <v>0</v>
      </c>
      <c r="E7" s="23">
        <v>1</v>
      </c>
      <c r="F7" s="23">
        <v>5</v>
      </c>
      <c r="G7" s="23" t="b">
        <f>FALSE()</f>
        <v>0</v>
      </c>
      <c r="H7" s="23">
        <v>6</v>
      </c>
      <c r="I7" s="23">
        <v>2</v>
      </c>
      <c r="J7" s="23">
        <v>0.24</v>
      </c>
    </row>
    <row r="8" spans="1:10" x14ac:dyDescent="0.35">
      <c r="A8" s="23">
        <v>7</v>
      </c>
      <c r="B8" s="24">
        <v>40544</v>
      </c>
      <c r="C8" s="23">
        <v>1</v>
      </c>
      <c r="D8" s="23">
        <v>0</v>
      </c>
      <c r="E8" s="23">
        <v>1</v>
      </c>
      <c r="F8" s="23">
        <v>6</v>
      </c>
      <c r="G8" s="23" t="b">
        <f>FALSE()</f>
        <v>0</v>
      </c>
      <c r="H8" s="23">
        <v>6</v>
      </c>
      <c r="I8" s="23">
        <v>1</v>
      </c>
      <c r="J8" s="23">
        <v>0.22</v>
      </c>
    </row>
    <row r="9" spans="1:10" x14ac:dyDescent="0.35">
      <c r="A9" s="23">
        <v>8</v>
      </c>
      <c r="B9" s="24">
        <v>40544</v>
      </c>
      <c r="C9" s="23">
        <v>1</v>
      </c>
      <c r="D9" s="23">
        <v>0</v>
      </c>
      <c r="E9" s="23">
        <v>1</v>
      </c>
      <c r="F9" s="23">
        <v>7</v>
      </c>
      <c r="G9" s="23" t="b">
        <f>FALSE()</f>
        <v>0</v>
      </c>
      <c r="H9" s="23">
        <v>6</v>
      </c>
      <c r="I9" s="23">
        <v>1</v>
      </c>
      <c r="J9" s="23">
        <v>0.2</v>
      </c>
    </row>
    <row r="10" spans="1:10" x14ac:dyDescent="0.35">
      <c r="A10" s="23">
        <v>9</v>
      </c>
      <c r="B10" s="24">
        <v>40544</v>
      </c>
      <c r="C10" s="23">
        <v>1</v>
      </c>
      <c r="D10" s="23">
        <v>0</v>
      </c>
      <c r="E10" s="23">
        <v>1</v>
      </c>
      <c r="F10" s="23">
        <v>8</v>
      </c>
      <c r="G10" s="23" t="b">
        <f>FALSE()</f>
        <v>0</v>
      </c>
      <c r="H10" s="23">
        <v>6</v>
      </c>
      <c r="I10" s="23">
        <v>1</v>
      </c>
      <c r="J10" s="23">
        <v>0.24</v>
      </c>
    </row>
    <row r="11" spans="1:10" x14ac:dyDescent="0.35">
      <c r="A11" s="23">
        <v>10</v>
      </c>
      <c r="B11" s="24">
        <v>40544</v>
      </c>
      <c r="C11" s="23">
        <v>1</v>
      </c>
      <c r="D11" s="23">
        <v>0</v>
      </c>
      <c r="E11" s="23">
        <v>1</v>
      </c>
      <c r="F11" s="23">
        <v>9</v>
      </c>
      <c r="G11" s="23" t="b">
        <f>FALSE()</f>
        <v>0</v>
      </c>
      <c r="H11" s="23">
        <v>6</v>
      </c>
      <c r="I11" s="23">
        <v>1</v>
      </c>
      <c r="J11" s="23">
        <v>0.32</v>
      </c>
    </row>
    <row r="12" spans="1:10" x14ac:dyDescent="0.35">
      <c r="A12" s="23">
        <v>11</v>
      </c>
      <c r="B12" s="24">
        <v>40544</v>
      </c>
      <c r="C12" s="23">
        <v>1</v>
      </c>
      <c r="D12" s="23">
        <v>0</v>
      </c>
      <c r="E12" s="23">
        <v>1</v>
      </c>
      <c r="F12" s="23">
        <v>10</v>
      </c>
      <c r="G12" s="23" t="b">
        <f>FALSE()</f>
        <v>0</v>
      </c>
      <c r="H12" s="23">
        <v>6</v>
      </c>
      <c r="I12" s="23">
        <v>1</v>
      </c>
      <c r="J12" s="23">
        <v>0.38</v>
      </c>
    </row>
    <row r="13" spans="1:10" x14ac:dyDescent="0.35">
      <c r="A13" s="23">
        <v>12</v>
      </c>
      <c r="B13" s="24">
        <v>40544</v>
      </c>
      <c r="C13" s="23">
        <v>1</v>
      </c>
      <c r="D13" s="23">
        <v>0</v>
      </c>
      <c r="E13" s="23">
        <v>1</v>
      </c>
      <c r="F13" s="23">
        <v>11</v>
      </c>
      <c r="G13" s="23" t="b">
        <f>FALSE()</f>
        <v>0</v>
      </c>
      <c r="H13" s="23">
        <v>6</v>
      </c>
      <c r="I13" s="23">
        <v>1</v>
      </c>
      <c r="J13" s="23">
        <v>0.36</v>
      </c>
    </row>
    <row r="14" spans="1:10" x14ac:dyDescent="0.35">
      <c r="A14" s="23">
        <v>13</v>
      </c>
      <c r="B14" s="24">
        <v>40544</v>
      </c>
      <c r="C14" s="23">
        <v>1</v>
      </c>
      <c r="D14" s="23">
        <v>0</v>
      </c>
      <c r="E14" s="23">
        <v>1</v>
      </c>
      <c r="F14" s="23">
        <v>12</v>
      </c>
      <c r="G14" s="23" t="b">
        <f>FALSE()</f>
        <v>0</v>
      </c>
      <c r="H14" s="23">
        <v>6</v>
      </c>
      <c r="I14" s="23">
        <v>1</v>
      </c>
      <c r="J14" s="23">
        <v>0.42</v>
      </c>
    </row>
    <row r="15" spans="1:10" x14ac:dyDescent="0.35">
      <c r="A15" s="23">
        <v>14</v>
      </c>
      <c r="B15" s="24">
        <v>40544</v>
      </c>
      <c r="C15" s="23">
        <v>1</v>
      </c>
      <c r="D15" s="23">
        <v>0</v>
      </c>
      <c r="E15" s="23">
        <v>1</v>
      </c>
      <c r="F15" s="23">
        <v>13</v>
      </c>
      <c r="G15" s="23" t="b">
        <f>FALSE()</f>
        <v>0</v>
      </c>
      <c r="H15" s="23">
        <v>6</v>
      </c>
      <c r="I15" s="23">
        <v>2</v>
      </c>
      <c r="J15" s="23">
        <v>0.46</v>
      </c>
    </row>
    <row r="16" spans="1:10" x14ac:dyDescent="0.35">
      <c r="A16" s="23">
        <v>15</v>
      </c>
      <c r="B16" s="24">
        <v>40544</v>
      </c>
      <c r="C16" s="23">
        <v>1</v>
      </c>
      <c r="D16" s="23">
        <v>0</v>
      </c>
      <c r="E16" s="23">
        <v>1</v>
      </c>
      <c r="F16" s="23">
        <v>14</v>
      </c>
      <c r="G16" s="23" t="b">
        <f>FALSE()</f>
        <v>0</v>
      </c>
      <c r="H16" s="23">
        <v>6</v>
      </c>
      <c r="I16" s="23">
        <v>2</v>
      </c>
      <c r="J16" s="23">
        <v>0.46</v>
      </c>
    </row>
    <row r="17" spans="1:10" x14ac:dyDescent="0.35">
      <c r="A17" s="23">
        <v>16</v>
      </c>
      <c r="B17" s="24">
        <v>40544</v>
      </c>
      <c r="C17" s="23">
        <v>1</v>
      </c>
      <c r="D17" s="23">
        <v>0</v>
      </c>
      <c r="E17" s="23">
        <v>1</v>
      </c>
      <c r="F17" s="23">
        <v>15</v>
      </c>
      <c r="G17" s="23" t="b">
        <f>FALSE()</f>
        <v>0</v>
      </c>
      <c r="H17" s="23">
        <v>6</v>
      </c>
      <c r="I17" s="23">
        <v>2</v>
      </c>
      <c r="J17" s="23">
        <v>0.44</v>
      </c>
    </row>
    <row r="18" spans="1:10" x14ac:dyDescent="0.35">
      <c r="A18" s="23">
        <v>17</v>
      </c>
      <c r="B18" s="24">
        <v>40544</v>
      </c>
      <c r="C18" s="23">
        <v>1</v>
      </c>
      <c r="D18" s="23">
        <v>0</v>
      </c>
      <c r="E18" s="23">
        <v>1</v>
      </c>
      <c r="F18" s="23">
        <v>16</v>
      </c>
      <c r="G18" s="23" t="b">
        <f>FALSE()</f>
        <v>0</v>
      </c>
      <c r="H18" s="23">
        <v>6</v>
      </c>
      <c r="I18" s="23">
        <v>2</v>
      </c>
      <c r="J18" s="23">
        <v>0.42</v>
      </c>
    </row>
    <row r="19" spans="1:10" x14ac:dyDescent="0.35">
      <c r="A19" s="23">
        <v>18</v>
      </c>
      <c r="B19" s="24">
        <v>40544</v>
      </c>
      <c r="C19" s="23">
        <v>1</v>
      </c>
      <c r="D19" s="23">
        <v>0</v>
      </c>
      <c r="E19" s="23">
        <v>1</v>
      </c>
      <c r="F19" s="23">
        <v>17</v>
      </c>
      <c r="G19" s="23" t="b">
        <f>FALSE()</f>
        <v>0</v>
      </c>
      <c r="H19" s="23">
        <v>6</v>
      </c>
      <c r="I19" s="23">
        <v>2</v>
      </c>
      <c r="J19" s="23">
        <v>0.44</v>
      </c>
    </row>
    <row r="20" spans="1:10" x14ac:dyDescent="0.35">
      <c r="A20" s="23">
        <v>19</v>
      </c>
      <c r="B20" s="24">
        <v>40544</v>
      </c>
      <c r="C20" s="23">
        <v>1</v>
      </c>
      <c r="D20" s="23">
        <v>0</v>
      </c>
      <c r="E20" s="23">
        <v>1</v>
      </c>
      <c r="F20" s="23">
        <v>18</v>
      </c>
      <c r="G20" s="23" t="b">
        <f>FALSE()</f>
        <v>0</v>
      </c>
      <c r="H20" s="23">
        <v>6</v>
      </c>
      <c r="I20" s="23">
        <v>3</v>
      </c>
      <c r="J20" s="23">
        <v>0.42</v>
      </c>
    </row>
    <row r="21" spans="1:10" x14ac:dyDescent="0.35">
      <c r="A21" s="23">
        <v>20</v>
      </c>
      <c r="B21" s="24">
        <v>40544</v>
      </c>
      <c r="C21" s="23">
        <v>1</v>
      </c>
      <c r="D21" s="23">
        <v>0</v>
      </c>
      <c r="E21" s="23">
        <v>1</v>
      </c>
      <c r="F21" s="23">
        <v>19</v>
      </c>
      <c r="G21" s="23" t="b">
        <f>FALSE()</f>
        <v>0</v>
      </c>
      <c r="H21" s="23">
        <v>6</v>
      </c>
      <c r="I21" s="23">
        <v>3</v>
      </c>
      <c r="J21" s="23">
        <v>0.42</v>
      </c>
    </row>
    <row r="22" spans="1:10" x14ac:dyDescent="0.35">
      <c r="A22" s="23">
        <v>21</v>
      </c>
      <c r="B22" s="24">
        <v>40544</v>
      </c>
      <c r="C22" s="23">
        <v>1</v>
      </c>
      <c r="D22" s="23">
        <v>0</v>
      </c>
      <c r="E22" s="23">
        <v>1</v>
      </c>
      <c r="F22" s="23">
        <v>20</v>
      </c>
      <c r="G22" s="23" t="b">
        <f>FALSE()</f>
        <v>0</v>
      </c>
      <c r="H22" s="23">
        <v>6</v>
      </c>
      <c r="I22" s="23">
        <v>2</v>
      </c>
      <c r="J22" s="23">
        <v>0.4</v>
      </c>
    </row>
    <row r="23" spans="1:10" x14ac:dyDescent="0.35">
      <c r="A23" s="23">
        <v>22</v>
      </c>
      <c r="B23" s="24">
        <v>40544</v>
      </c>
      <c r="C23" s="23">
        <v>1</v>
      </c>
      <c r="D23" s="23">
        <v>0</v>
      </c>
      <c r="E23" s="23">
        <v>1</v>
      </c>
      <c r="F23" s="23">
        <v>21</v>
      </c>
      <c r="G23" s="23" t="b">
        <f>FALSE()</f>
        <v>0</v>
      </c>
      <c r="H23" s="23">
        <v>6</v>
      </c>
      <c r="I23" s="23">
        <v>2</v>
      </c>
      <c r="J23" s="23">
        <v>0.4</v>
      </c>
    </row>
    <row r="24" spans="1:10" x14ac:dyDescent="0.35">
      <c r="A24" s="23">
        <v>23</v>
      </c>
      <c r="B24" s="24">
        <v>40544</v>
      </c>
      <c r="C24" s="23">
        <v>1</v>
      </c>
      <c r="D24" s="23">
        <v>0</v>
      </c>
      <c r="E24" s="23">
        <v>1</v>
      </c>
      <c r="F24" s="23">
        <v>22</v>
      </c>
      <c r="G24" s="23" t="b">
        <f>FALSE()</f>
        <v>0</v>
      </c>
      <c r="H24" s="23">
        <v>6</v>
      </c>
      <c r="I24" s="23">
        <v>2</v>
      </c>
      <c r="J24" s="23">
        <v>0.4</v>
      </c>
    </row>
    <row r="25" spans="1:10" x14ac:dyDescent="0.35">
      <c r="A25" s="23">
        <v>24</v>
      </c>
      <c r="B25" s="24">
        <v>40544</v>
      </c>
      <c r="C25" s="23">
        <v>1</v>
      </c>
      <c r="D25" s="23">
        <v>0</v>
      </c>
      <c r="E25" s="23">
        <v>1</v>
      </c>
      <c r="F25" s="23">
        <v>23</v>
      </c>
      <c r="G25" s="23" t="b">
        <f>FALSE()</f>
        <v>0</v>
      </c>
      <c r="H25" s="23">
        <v>6</v>
      </c>
      <c r="I25" s="23">
        <v>2</v>
      </c>
      <c r="J25" s="23">
        <v>0.46</v>
      </c>
    </row>
    <row r="26" spans="1:10" x14ac:dyDescent="0.35">
      <c r="A26" s="23">
        <v>25</v>
      </c>
      <c r="B26" s="24">
        <v>40545</v>
      </c>
      <c r="C26" s="23">
        <v>1</v>
      </c>
      <c r="D26" s="23">
        <v>0</v>
      </c>
      <c r="E26" s="23">
        <v>1</v>
      </c>
      <c r="F26" s="23">
        <v>0</v>
      </c>
      <c r="G26" s="23" t="b">
        <f>FALSE()</f>
        <v>0</v>
      </c>
      <c r="H26" s="23">
        <v>0</v>
      </c>
      <c r="I26" s="23">
        <v>2</v>
      </c>
      <c r="J26" s="23">
        <v>0.46</v>
      </c>
    </row>
    <row r="27" spans="1:10" x14ac:dyDescent="0.35">
      <c r="A27" s="23">
        <v>26</v>
      </c>
      <c r="B27" s="24">
        <v>40545</v>
      </c>
      <c r="C27" s="23">
        <v>1</v>
      </c>
      <c r="D27" s="23">
        <v>0</v>
      </c>
      <c r="E27" s="23">
        <v>1</v>
      </c>
      <c r="F27" s="23">
        <v>1</v>
      </c>
      <c r="G27" s="23" t="b">
        <f>FALSE()</f>
        <v>0</v>
      </c>
      <c r="H27" s="23">
        <v>0</v>
      </c>
      <c r="I27" s="23">
        <v>2</v>
      </c>
      <c r="J27" s="23">
        <v>0.44</v>
      </c>
    </row>
    <row r="28" spans="1:10" x14ac:dyDescent="0.35">
      <c r="A28" s="23">
        <v>27</v>
      </c>
      <c r="B28" s="24">
        <v>40545</v>
      </c>
      <c r="C28" s="23">
        <v>1</v>
      </c>
      <c r="D28" s="23">
        <v>0</v>
      </c>
      <c r="E28" s="23">
        <v>1</v>
      </c>
      <c r="F28" s="23">
        <v>2</v>
      </c>
      <c r="G28" s="23" t="b">
        <f>FALSE()</f>
        <v>0</v>
      </c>
      <c r="H28" s="23">
        <v>0</v>
      </c>
      <c r="I28" s="23">
        <v>2</v>
      </c>
      <c r="J28" s="23">
        <v>0.42</v>
      </c>
    </row>
    <row r="29" spans="1:10" x14ac:dyDescent="0.35">
      <c r="A29" s="23">
        <v>28</v>
      </c>
      <c r="B29" s="24">
        <v>40545</v>
      </c>
      <c r="C29" s="23">
        <v>1</v>
      </c>
      <c r="D29" s="23">
        <v>0</v>
      </c>
      <c r="E29" s="23">
        <v>1</v>
      </c>
      <c r="F29" s="23">
        <v>3</v>
      </c>
      <c r="G29" s="23" t="b">
        <f>FALSE()</f>
        <v>0</v>
      </c>
      <c r="H29" s="23">
        <v>0</v>
      </c>
      <c r="I29" s="23">
        <v>2</v>
      </c>
      <c r="J29" s="23">
        <v>0.46</v>
      </c>
    </row>
    <row r="30" spans="1:10" x14ac:dyDescent="0.35">
      <c r="A30" s="23">
        <v>29</v>
      </c>
      <c r="B30" s="24">
        <v>40545</v>
      </c>
      <c r="C30" s="23">
        <v>1</v>
      </c>
      <c r="D30" s="23">
        <v>0</v>
      </c>
      <c r="E30" s="23">
        <v>1</v>
      </c>
      <c r="F30" s="23">
        <v>4</v>
      </c>
      <c r="G30" s="23" t="b">
        <f>FALSE()</f>
        <v>0</v>
      </c>
      <c r="H30" s="23">
        <v>0</v>
      </c>
      <c r="I30" s="23">
        <v>2</v>
      </c>
      <c r="J30" s="23">
        <v>0.46</v>
      </c>
    </row>
    <row r="31" spans="1:10" x14ac:dyDescent="0.35">
      <c r="A31" s="23">
        <v>30</v>
      </c>
      <c r="B31" s="24">
        <v>40545</v>
      </c>
      <c r="C31" s="23">
        <v>1</v>
      </c>
      <c r="D31" s="23">
        <v>0</v>
      </c>
      <c r="E31" s="23">
        <v>1</v>
      </c>
      <c r="F31" s="23">
        <v>6</v>
      </c>
      <c r="G31" s="23" t="b">
        <f>FALSE()</f>
        <v>0</v>
      </c>
      <c r="H31" s="23">
        <v>0</v>
      </c>
      <c r="I31" s="23">
        <v>3</v>
      </c>
      <c r="J31" s="23">
        <v>0.42</v>
      </c>
    </row>
    <row r="32" spans="1:10" x14ac:dyDescent="0.35">
      <c r="A32" s="23">
        <v>31</v>
      </c>
      <c r="B32" s="24">
        <v>40545</v>
      </c>
      <c r="C32" s="23">
        <v>1</v>
      </c>
      <c r="D32" s="23">
        <v>0</v>
      </c>
      <c r="E32" s="23">
        <v>1</v>
      </c>
      <c r="F32" s="23">
        <v>7</v>
      </c>
      <c r="G32" s="23" t="b">
        <f>FALSE()</f>
        <v>0</v>
      </c>
      <c r="H32" s="23">
        <v>0</v>
      </c>
      <c r="I32" s="23">
        <v>2</v>
      </c>
      <c r="J32" s="23">
        <v>0.4</v>
      </c>
    </row>
    <row r="33" spans="1:10" x14ac:dyDescent="0.35">
      <c r="A33" s="23">
        <v>32</v>
      </c>
      <c r="B33" s="24">
        <v>40545</v>
      </c>
      <c r="C33" s="23">
        <v>1</v>
      </c>
      <c r="D33" s="23">
        <v>0</v>
      </c>
      <c r="E33" s="23">
        <v>1</v>
      </c>
      <c r="F33" s="23">
        <v>8</v>
      </c>
      <c r="G33" s="23" t="b">
        <f>FALSE()</f>
        <v>0</v>
      </c>
      <c r="H33" s="23">
        <v>0</v>
      </c>
      <c r="I33" s="23">
        <v>3</v>
      </c>
      <c r="J33" s="23">
        <v>0.4</v>
      </c>
    </row>
    <row r="34" spans="1:10" x14ac:dyDescent="0.35">
      <c r="A34" s="23">
        <v>33</v>
      </c>
      <c r="B34" s="24">
        <v>40545</v>
      </c>
      <c r="C34" s="23">
        <v>1</v>
      </c>
      <c r="D34" s="23">
        <v>0</v>
      </c>
      <c r="E34" s="23">
        <v>1</v>
      </c>
      <c r="F34" s="23">
        <v>9</v>
      </c>
      <c r="G34" s="23" t="b">
        <f>FALSE()</f>
        <v>0</v>
      </c>
      <c r="H34" s="23">
        <v>0</v>
      </c>
      <c r="I34" s="23">
        <v>2</v>
      </c>
      <c r="J34" s="23">
        <v>0.38</v>
      </c>
    </row>
    <row r="35" spans="1:10" x14ac:dyDescent="0.35">
      <c r="A35" s="23">
        <v>34</v>
      </c>
      <c r="B35" s="24">
        <v>40545</v>
      </c>
      <c r="C35" s="23">
        <v>1</v>
      </c>
      <c r="D35" s="23">
        <v>0</v>
      </c>
      <c r="E35" s="23">
        <v>1</v>
      </c>
      <c r="F35" s="23">
        <v>10</v>
      </c>
      <c r="G35" s="23" t="b">
        <f>FALSE()</f>
        <v>0</v>
      </c>
      <c r="H35" s="23">
        <v>0</v>
      </c>
      <c r="I35" s="23">
        <v>2</v>
      </c>
      <c r="J35" s="23">
        <v>0.36</v>
      </c>
    </row>
    <row r="36" spans="1:10" x14ac:dyDescent="0.35">
      <c r="A36" s="23">
        <v>35</v>
      </c>
      <c r="B36" s="24">
        <v>40545</v>
      </c>
      <c r="C36" s="23">
        <v>1</v>
      </c>
      <c r="D36" s="23">
        <v>0</v>
      </c>
      <c r="E36" s="23">
        <v>1</v>
      </c>
      <c r="F36" s="23">
        <v>11</v>
      </c>
      <c r="G36" s="23" t="b">
        <f>FALSE()</f>
        <v>0</v>
      </c>
      <c r="H36" s="23">
        <v>0</v>
      </c>
      <c r="I36" s="23">
        <v>2</v>
      </c>
      <c r="J36" s="23">
        <v>0.36</v>
      </c>
    </row>
    <row r="37" spans="1:10" x14ac:dyDescent="0.35">
      <c r="A37" s="23">
        <v>36</v>
      </c>
      <c r="B37" s="24">
        <v>40545</v>
      </c>
      <c r="C37" s="23">
        <v>1</v>
      </c>
      <c r="D37" s="23">
        <v>0</v>
      </c>
      <c r="E37" s="23">
        <v>1</v>
      </c>
      <c r="F37" s="23">
        <v>12</v>
      </c>
      <c r="G37" s="23" t="b">
        <f>FALSE()</f>
        <v>0</v>
      </c>
      <c r="H37" s="23">
        <v>0</v>
      </c>
      <c r="I37" s="23">
        <v>2</v>
      </c>
      <c r="J37" s="23">
        <v>0.36</v>
      </c>
    </row>
    <row r="38" spans="1:10" x14ac:dyDescent="0.35">
      <c r="A38" s="23">
        <v>37</v>
      </c>
      <c r="B38" s="24">
        <v>40545</v>
      </c>
      <c r="C38" s="23">
        <v>1</v>
      </c>
      <c r="D38" s="23">
        <v>0</v>
      </c>
      <c r="E38" s="23">
        <v>1</v>
      </c>
      <c r="F38" s="23">
        <v>13</v>
      </c>
      <c r="G38" s="23" t="b">
        <f>FALSE()</f>
        <v>0</v>
      </c>
      <c r="H38" s="23">
        <v>0</v>
      </c>
      <c r="I38" s="23">
        <v>2</v>
      </c>
      <c r="J38" s="23">
        <v>0.36</v>
      </c>
    </row>
    <row r="39" spans="1:10" x14ac:dyDescent="0.35">
      <c r="A39" s="23">
        <v>38</v>
      </c>
      <c r="B39" s="24">
        <v>40545</v>
      </c>
      <c r="C39" s="23">
        <v>1</v>
      </c>
      <c r="D39" s="23">
        <v>0</v>
      </c>
      <c r="E39" s="23">
        <v>1</v>
      </c>
      <c r="F39" s="23">
        <v>14</v>
      </c>
      <c r="G39" s="23" t="b">
        <f>FALSE()</f>
        <v>0</v>
      </c>
      <c r="H39" s="23">
        <v>0</v>
      </c>
      <c r="I39" s="23">
        <v>3</v>
      </c>
      <c r="J39" s="23">
        <v>0.36</v>
      </c>
    </row>
    <row r="40" spans="1:10" x14ac:dyDescent="0.35">
      <c r="A40" s="23">
        <v>39</v>
      </c>
      <c r="B40" s="24">
        <v>40545</v>
      </c>
      <c r="C40" s="23">
        <v>1</v>
      </c>
      <c r="D40" s="23">
        <v>0</v>
      </c>
      <c r="E40" s="23">
        <v>1</v>
      </c>
      <c r="F40" s="23">
        <v>15</v>
      </c>
      <c r="G40" s="23" t="b">
        <f>FALSE()</f>
        <v>0</v>
      </c>
      <c r="H40" s="23">
        <v>0</v>
      </c>
      <c r="I40" s="23">
        <v>3</v>
      </c>
      <c r="J40" s="23">
        <v>0.34</v>
      </c>
    </row>
    <row r="41" spans="1:10" x14ac:dyDescent="0.35">
      <c r="A41" s="23">
        <v>40</v>
      </c>
      <c r="B41" s="24">
        <v>40545</v>
      </c>
      <c r="C41" s="23">
        <v>1</v>
      </c>
      <c r="D41" s="23">
        <v>0</v>
      </c>
      <c r="E41" s="23">
        <v>1</v>
      </c>
      <c r="F41" s="23">
        <v>16</v>
      </c>
      <c r="G41" s="23" t="b">
        <f>FALSE()</f>
        <v>0</v>
      </c>
      <c r="H41" s="23">
        <v>0</v>
      </c>
      <c r="I41" s="23">
        <v>3</v>
      </c>
      <c r="J41" s="23">
        <v>0.34</v>
      </c>
    </row>
    <row r="42" spans="1:10" x14ac:dyDescent="0.35">
      <c r="A42" s="23">
        <v>41</v>
      </c>
      <c r="B42" s="24">
        <v>40545</v>
      </c>
      <c r="C42" s="23">
        <v>1</v>
      </c>
      <c r="D42" s="23">
        <v>0</v>
      </c>
      <c r="E42" s="23">
        <v>1</v>
      </c>
      <c r="F42" s="23">
        <v>17</v>
      </c>
      <c r="G42" s="23" t="b">
        <f>FALSE()</f>
        <v>0</v>
      </c>
      <c r="H42" s="23">
        <v>0</v>
      </c>
      <c r="I42" s="23">
        <v>1</v>
      </c>
      <c r="J42" s="23">
        <v>0.34</v>
      </c>
    </row>
    <row r="43" spans="1:10" x14ac:dyDescent="0.35">
      <c r="A43" s="23">
        <v>42</v>
      </c>
      <c r="B43" s="24">
        <v>40545</v>
      </c>
      <c r="C43" s="23">
        <v>1</v>
      </c>
      <c r="D43" s="23">
        <v>0</v>
      </c>
      <c r="E43" s="23">
        <v>1</v>
      </c>
      <c r="F43" s="23">
        <v>18</v>
      </c>
      <c r="G43" s="23" t="b">
        <f>FALSE()</f>
        <v>0</v>
      </c>
      <c r="H43" s="23">
        <v>0</v>
      </c>
      <c r="I43" s="23">
        <v>2</v>
      </c>
      <c r="J43" s="23">
        <v>0.36</v>
      </c>
    </row>
    <row r="44" spans="1:10" x14ac:dyDescent="0.35">
      <c r="A44" s="23">
        <v>43</v>
      </c>
      <c r="B44" s="24">
        <v>40545</v>
      </c>
      <c r="C44" s="23">
        <v>1</v>
      </c>
      <c r="D44" s="23">
        <v>0</v>
      </c>
      <c r="E44" s="23">
        <v>1</v>
      </c>
      <c r="F44" s="23">
        <v>19</v>
      </c>
      <c r="G44" s="23" t="b">
        <f>FALSE()</f>
        <v>0</v>
      </c>
      <c r="H44" s="23">
        <v>0</v>
      </c>
      <c r="I44" s="23">
        <v>1</v>
      </c>
      <c r="J44" s="23">
        <v>0.32</v>
      </c>
    </row>
    <row r="45" spans="1:10" x14ac:dyDescent="0.35">
      <c r="A45" s="23">
        <v>44</v>
      </c>
      <c r="B45" s="24">
        <v>40545</v>
      </c>
      <c r="C45" s="23">
        <v>1</v>
      </c>
      <c r="D45" s="23">
        <v>0</v>
      </c>
      <c r="E45" s="23">
        <v>1</v>
      </c>
      <c r="F45" s="23">
        <v>20</v>
      </c>
      <c r="G45" s="23" t="b">
        <f>FALSE()</f>
        <v>0</v>
      </c>
      <c r="H45" s="23">
        <v>0</v>
      </c>
      <c r="I45" s="23">
        <v>1</v>
      </c>
      <c r="J45" s="23">
        <v>0.3</v>
      </c>
    </row>
    <row r="46" spans="1:10" x14ac:dyDescent="0.35">
      <c r="A46" s="23">
        <v>45</v>
      </c>
      <c r="B46" s="24">
        <v>40545</v>
      </c>
      <c r="C46" s="23">
        <v>1</v>
      </c>
      <c r="D46" s="23">
        <v>0</v>
      </c>
      <c r="E46" s="23">
        <v>1</v>
      </c>
      <c r="F46" s="23">
        <v>21</v>
      </c>
      <c r="G46" s="23" t="b">
        <f>FALSE()</f>
        <v>0</v>
      </c>
      <c r="H46" s="23">
        <v>0</v>
      </c>
      <c r="I46" s="23">
        <v>1</v>
      </c>
      <c r="J46" s="23">
        <v>0.26</v>
      </c>
    </row>
    <row r="47" spans="1:10" x14ac:dyDescent="0.35">
      <c r="A47" s="23">
        <v>46</v>
      </c>
      <c r="B47" s="24">
        <v>40545</v>
      </c>
      <c r="C47" s="23">
        <v>1</v>
      </c>
      <c r="D47" s="23">
        <v>0</v>
      </c>
      <c r="E47" s="23">
        <v>1</v>
      </c>
      <c r="F47" s="23">
        <v>22</v>
      </c>
      <c r="G47" s="23" t="b">
        <f>FALSE()</f>
        <v>0</v>
      </c>
      <c r="H47" s="23">
        <v>0</v>
      </c>
      <c r="I47" s="23">
        <v>1</v>
      </c>
      <c r="J47" s="23">
        <v>0.24</v>
      </c>
    </row>
    <row r="48" spans="1:10" x14ac:dyDescent="0.35">
      <c r="A48" s="23">
        <v>47</v>
      </c>
      <c r="B48" s="24">
        <v>40545</v>
      </c>
      <c r="C48" s="23">
        <v>1</v>
      </c>
      <c r="D48" s="23">
        <v>0</v>
      </c>
      <c r="E48" s="23">
        <v>1</v>
      </c>
      <c r="F48" s="23">
        <v>23</v>
      </c>
      <c r="G48" s="23" t="b">
        <f>FALSE()</f>
        <v>0</v>
      </c>
      <c r="H48" s="23">
        <v>0</v>
      </c>
      <c r="I48" s="23">
        <v>1</v>
      </c>
      <c r="J48" s="23">
        <v>0.22</v>
      </c>
    </row>
    <row r="49" spans="1:10" x14ac:dyDescent="0.35">
      <c r="A49" s="23">
        <v>48</v>
      </c>
      <c r="B49" s="24">
        <v>40546</v>
      </c>
      <c r="C49" s="23">
        <v>1</v>
      </c>
      <c r="D49" s="23">
        <v>0</v>
      </c>
      <c r="E49" s="23">
        <v>1</v>
      </c>
      <c r="F49" s="23">
        <v>0</v>
      </c>
      <c r="G49" s="23" t="b">
        <f>FALSE()</f>
        <v>0</v>
      </c>
      <c r="H49" s="23">
        <v>1</v>
      </c>
      <c r="I49" s="23">
        <v>1</v>
      </c>
      <c r="J49" s="23">
        <v>0.22</v>
      </c>
    </row>
    <row r="50" spans="1:10" x14ac:dyDescent="0.35">
      <c r="A50" s="23">
        <v>49</v>
      </c>
      <c r="B50" s="24">
        <v>40546</v>
      </c>
      <c r="C50" s="23">
        <v>1</v>
      </c>
      <c r="D50" s="23">
        <v>0</v>
      </c>
      <c r="E50" s="23">
        <v>1</v>
      </c>
      <c r="F50" s="23">
        <v>1</v>
      </c>
      <c r="G50" s="23" t="b">
        <f>FALSE()</f>
        <v>0</v>
      </c>
      <c r="H50" s="23">
        <v>1</v>
      </c>
      <c r="I50" s="23">
        <v>1</v>
      </c>
      <c r="J50" s="23">
        <v>0.2</v>
      </c>
    </row>
    <row r="51" spans="1:10" x14ac:dyDescent="0.35">
      <c r="A51" s="23">
        <v>50</v>
      </c>
      <c r="B51" s="24">
        <v>40546</v>
      </c>
      <c r="C51" s="23">
        <v>1</v>
      </c>
      <c r="D51" s="23">
        <v>0</v>
      </c>
      <c r="E51" s="23">
        <v>1</v>
      </c>
      <c r="F51" s="23">
        <v>4</v>
      </c>
      <c r="G51" s="23" t="b">
        <f>FALSE()</f>
        <v>0</v>
      </c>
      <c r="H51" s="23">
        <v>1</v>
      </c>
      <c r="I51" s="23">
        <v>1</v>
      </c>
      <c r="J51" s="23">
        <v>0.16</v>
      </c>
    </row>
    <row r="52" spans="1:10" x14ac:dyDescent="0.35">
      <c r="A52" s="23">
        <v>51</v>
      </c>
      <c r="B52" s="24">
        <v>40546</v>
      </c>
      <c r="C52" s="23">
        <v>1</v>
      </c>
      <c r="D52" s="23">
        <v>0</v>
      </c>
      <c r="E52" s="23">
        <v>1</v>
      </c>
      <c r="F52" s="23">
        <v>5</v>
      </c>
      <c r="G52" s="23" t="b">
        <f>FALSE()</f>
        <v>0</v>
      </c>
      <c r="H52" s="23">
        <v>1</v>
      </c>
      <c r="I52" s="23">
        <v>1</v>
      </c>
      <c r="J52" s="23">
        <v>0.16</v>
      </c>
    </row>
    <row r="53" spans="1:10" x14ac:dyDescent="0.35">
      <c r="A53" s="23">
        <v>52</v>
      </c>
      <c r="B53" s="24">
        <v>40546</v>
      </c>
      <c r="C53" s="23">
        <v>1</v>
      </c>
      <c r="D53" s="23">
        <v>0</v>
      </c>
      <c r="E53" s="23">
        <v>1</v>
      </c>
      <c r="F53" s="23">
        <v>6</v>
      </c>
      <c r="G53" s="23" t="b">
        <f>FALSE()</f>
        <v>0</v>
      </c>
      <c r="H53" s="23">
        <v>1</v>
      </c>
      <c r="I53" s="23">
        <v>1</v>
      </c>
      <c r="J53" s="23">
        <v>0.14000000000000001</v>
      </c>
    </row>
    <row r="54" spans="1:10" x14ac:dyDescent="0.35">
      <c r="A54" s="23">
        <v>53</v>
      </c>
      <c r="B54" s="24">
        <v>40546</v>
      </c>
      <c r="C54" s="23">
        <v>1</v>
      </c>
      <c r="D54" s="23">
        <v>0</v>
      </c>
      <c r="E54" s="23">
        <v>1</v>
      </c>
      <c r="F54" s="23">
        <v>7</v>
      </c>
      <c r="G54" s="23" t="b">
        <f>FALSE()</f>
        <v>0</v>
      </c>
      <c r="H54" s="23">
        <v>1</v>
      </c>
      <c r="I54" s="23">
        <v>1</v>
      </c>
      <c r="J54" s="23">
        <v>0.14000000000000001</v>
      </c>
    </row>
    <row r="55" spans="1:10" x14ac:dyDescent="0.35">
      <c r="A55" s="23">
        <v>54</v>
      </c>
      <c r="B55" s="24">
        <v>40546</v>
      </c>
      <c r="C55" s="23">
        <v>1</v>
      </c>
      <c r="D55" s="23">
        <v>0</v>
      </c>
      <c r="E55" s="23">
        <v>1</v>
      </c>
      <c r="F55" s="23">
        <v>8</v>
      </c>
      <c r="G55" s="23" t="b">
        <f>FALSE()</f>
        <v>0</v>
      </c>
      <c r="H55" s="23">
        <v>1</v>
      </c>
      <c r="I55" s="23">
        <v>1</v>
      </c>
      <c r="J55" s="23">
        <v>0.14000000000000001</v>
      </c>
    </row>
    <row r="56" spans="1:10" x14ac:dyDescent="0.35">
      <c r="A56" s="23">
        <v>55</v>
      </c>
      <c r="B56" s="24">
        <v>40546</v>
      </c>
      <c r="C56" s="23">
        <v>1</v>
      </c>
      <c r="D56" s="23">
        <v>0</v>
      </c>
      <c r="E56" s="23">
        <v>1</v>
      </c>
      <c r="F56" s="23">
        <v>9</v>
      </c>
      <c r="G56" s="23" t="b">
        <f>FALSE()</f>
        <v>0</v>
      </c>
      <c r="H56" s="23">
        <v>1</v>
      </c>
      <c r="I56" s="23">
        <v>1</v>
      </c>
      <c r="J56" s="23">
        <v>0.16</v>
      </c>
    </row>
    <row r="57" spans="1:10" x14ac:dyDescent="0.35">
      <c r="A57" s="23">
        <v>56</v>
      </c>
      <c r="B57" s="24">
        <v>40546</v>
      </c>
      <c r="C57" s="23">
        <v>1</v>
      </c>
      <c r="D57" s="23">
        <v>0</v>
      </c>
      <c r="E57" s="23">
        <v>1</v>
      </c>
      <c r="F57" s="23">
        <v>10</v>
      </c>
      <c r="G57" s="23" t="b">
        <f>FALSE()</f>
        <v>0</v>
      </c>
      <c r="H57" s="23">
        <v>1</v>
      </c>
      <c r="I57" s="23">
        <v>1</v>
      </c>
      <c r="J57" s="23">
        <v>0.18</v>
      </c>
    </row>
    <row r="58" spans="1:10" x14ac:dyDescent="0.35">
      <c r="A58" s="23">
        <v>57</v>
      </c>
      <c r="B58" s="24">
        <v>40546</v>
      </c>
      <c r="C58" s="23">
        <v>1</v>
      </c>
      <c r="D58" s="23">
        <v>0</v>
      </c>
      <c r="E58" s="23">
        <v>1</v>
      </c>
      <c r="F58" s="23">
        <v>11</v>
      </c>
      <c r="G58" s="23" t="b">
        <f>FALSE()</f>
        <v>0</v>
      </c>
      <c r="H58" s="23">
        <v>1</v>
      </c>
      <c r="I58" s="23">
        <v>1</v>
      </c>
      <c r="J58" s="23">
        <v>0.2</v>
      </c>
    </row>
    <row r="59" spans="1:10" x14ac:dyDescent="0.35">
      <c r="A59" s="23">
        <v>58</v>
      </c>
      <c r="B59" s="24">
        <v>40546</v>
      </c>
      <c r="C59" s="23">
        <v>1</v>
      </c>
      <c r="D59" s="23">
        <v>0</v>
      </c>
      <c r="E59" s="23">
        <v>1</v>
      </c>
      <c r="F59" s="23">
        <v>12</v>
      </c>
      <c r="G59" s="23" t="b">
        <f>FALSE()</f>
        <v>0</v>
      </c>
      <c r="H59" s="23">
        <v>1</v>
      </c>
      <c r="I59" s="23">
        <v>1</v>
      </c>
      <c r="J59" s="23">
        <v>0.22</v>
      </c>
    </row>
    <row r="60" spans="1:10" x14ac:dyDescent="0.35">
      <c r="A60" s="23">
        <v>59</v>
      </c>
      <c r="B60" s="24">
        <v>40546</v>
      </c>
      <c r="C60" s="23">
        <v>1</v>
      </c>
      <c r="D60" s="23">
        <v>0</v>
      </c>
      <c r="E60" s="23">
        <v>1</v>
      </c>
      <c r="F60" s="23">
        <v>13</v>
      </c>
      <c r="G60" s="23" t="b">
        <f>FALSE()</f>
        <v>0</v>
      </c>
      <c r="H60" s="23">
        <v>1</v>
      </c>
      <c r="I60" s="23">
        <v>1</v>
      </c>
      <c r="J60" s="23">
        <v>0.24</v>
      </c>
    </row>
    <row r="61" spans="1:10" x14ac:dyDescent="0.35">
      <c r="A61" s="23">
        <v>60</v>
      </c>
      <c r="B61" s="24">
        <v>40546</v>
      </c>
      <c r="C61" s="23">
        <v>1</v>
      </c>
      <c r="D61" s="23">
        <v>0</v>
      </c>
      <c r="E61" s="23">
        <v>1</v>
      </c>
      <c r="F61" s="23">
        <v>14</v>
      </c>
      <c r="G61" s="23" t="b">
        <f>FALSE()</f>
        <v>0</v>
      </c>
      <c r="H61" s="23">
        <v>1</v>
      </c>
      <c r="I61" s="23">
        <v>1</v>
      </c>
      <c r="J61" s="23">
        <v>0.26</v>
      </c>
    </row>
    <row r="62" spans="1:10" x14ac:dyDescent="0.35">
      <c r="A62" s="23">
        <v>61</v>
      </c>
      <c r="B62" s="24">
        <v>40546</v>
      </c>
      <c r="C62" s="23">
        <v>1</v>
      </c>
      <c r="D62" s="23">
        <v>0</v>
      </c>
      <c r="E62" s="23">
        <v>1</v>
      </c>
      <c r="F62" s="23">
        <v>15</v>
      </c>
      <c r="G62" s="23" t="b">
        <f>FALSE()</f>
        <v>0</v>
      </c>
      <c r="H62" s="23">
        <v>1</v>
      </c>
      <c r="I62" s="23">
        <v>1</v>
      </c>
      <c r="J62" s="23">
        <v>0.26</v>
      </c>
    </row>
    <row r="63" spans="1:10" x14ac:dyDescent="0.35">
      <c r="A63" s="23">
        <v>62</v>
      </c>
      <c r="B63" s="24">
        <v>40546</v>
      </c>
      <c r="C63" s="23">
        <v>1</v>
      </c>
      <c r="D63" s="23">
        <v>0</v>
      </c>
      <c r="E63" s="23">
        <v>1</v>
      </c>
      <c r="F63" s="23">
        <v>16</v>
      </c>
      <c r="G63" s="23" t="b">
        <f>FALSE()</f>
        <v>0</v>
      </c>
      <c r="H63" s="23">
        <v>1</v>
      </c>
      <c r="I63" s="23">
        <v>1</v>
      </c>
      <c r="J63" s="23">
        <v>0.26</v>
      </c>
    </row>
    <row r="64" spans="1:10" x14ac:dyDescent="0.35">
      <c r="A64" s="23">
        <v>63</v>
      </c>
      <c r="B64" s="24">
        <v>40546</v>
      </c>
      <c r="C64" s="23">
        <v>1</v>
      </c>
      <c r="D64" s="23">
        <v>0</v>
      </c>
      <c r="E64" s="23">
        <v>1</v>
      </c>
      <c r="F64" s="23">
        <v>17</v>
      </c>
      <c r="G64" s="23" t="b">
        <f>FALSE()</f>
        <v>0</v>
      </c>
      <c r="H64" s="23">
        <v>1</v>
      </c>
      <c r="I64" s="23">
        <v>1</v>
      </c>
      <c r="J64" s="23">
        <v>0.24</v>
      </c>
    </row>
    <row r="65" spans="1:10" x14ac:dyDescent="0.35">
      <c r="A65" s="23">
        <v>64</v>
      </c>
      <c r="B65" s="24">
        <v>40546</v>
      </c>
      <c r="C65" s="23">
        <v>1</v>
      </c>
      <c r="D65" s="23">
        <v>0</v>
      </c>
      <c r="E65" s="23">
        <v>1</v>
      </c>
      <c r="F65" s="23">
        <v>18</v>
      </c>
      <c r="G65" s="23" t="b">
        <f>FALSE()</f>
        <v>0</v>
      </c>
      <c r="H65" s="23">
        <v>1</v>
      </c>
      <c r="I65" s="23">
        <v>1</v>
      </c>
      <c r="J65" s="23">
        <v>0.24</v>
      </c>
    </row>
    <row r="66" spans="1:10" x14ac:dyDescent="0.35">
      <c r="A66" s="23">
        <v>65</v>
      </c>
      <c r="B66" s="24">
        <v>40546</v>
      </c>
      <c r="C66" s="23">
        <v>1</v>
      </c>
      <c r="D66" s="23">
        <v>0</v>
      </c>
      <c r="E66" s="23">
        <v>1</v>
      </c>
      <c r="F66" s="23">
        <v>19</v>
      </c>
      <c r="G66" s="23" t="b">
        <f>FALSE()</f>
        <v>0</v>
      </c>
      <c r="H66" s="23">
        <v>1</v>
      </c>
      <c r="I66" s="23">
        <v>1</v>
      </c>
      <c r="J66" s="23">
        <v>0.2</v>
      </c>
    </row>
    <row r="67" spans="1:10" x14ac:dyDescent="0.35">
      <c r="A67" s="23">
        <v>66</v>
      </c>
      <c r="B67" s="24">
        <v>40546</v>
      </c>
      <c r="C67" s="23">
        <v>1</v>
      </c>
      <c r="D67" s="23">
        <v>0</v>
      </c>
      <c r="E67" s="23">
        <v>1</v>
      </c>
      <c r="F67" s="23">
        <v>20</v>
      </c>
      <c r="G67" s="23" t="b">
        <f>FALSE()</f>
        <v>0</v>
      </c>
      <c r="H67" s="23">
        <v>1</v>
      </c>
      <c r="I67" s="23">
        <v>1</v>
      </c>
      <c r="J67" s="23">
        <v>0.2</v>
      </c>
    </row>
    <row r="68" spans="1:10" x14ac:dyDescent="0.35">
      <c r="A68" s="23">
        <v>67</v>
      </c>
      <c r="B68" s="24">
        <v>40546</v>
      </c>
      <c r="C68" s="23">
        <v>1</v>
      </c>
      <c r="D68" s="23">
        <v>0</v>
      </c>
      <c r="E68" s="23">
        <v>1</v>
      </c>
      <c r="F68" s="23">
        <v>21</v>
      </c>
      <c r="G68" s="23" t="b">
        <f>FALSE()</f>
        <v>0</v>
      </c>
      <c r="H68" s="23">
        <v>1</v>
      </c>
      <c r="I68" s="23">
        <v>1</v>
      </c>
      <c r="J68" s="23">
        <v>0.18</v>
      </c>
    </row>
    <row r="69" spans="1:10" x14ac:dyDescent="0.35">
      <c r="A69" s="23">
        <v>68</v>
      </c>
      <c r="B69" s="24">
        <v>40546</v>
      </c>
      <c r="C69" s="23">
        <v>1</v>
      </c>
      <c r="D69" s="23">
        <v>0</v>
      </c>
      <c r="E69" s="23">
        <v>1</v>
      </c>
      <c r="F69" s="23">
        <v>22</v>
      </c>
      <c r="G69" s="23" t="b">
        <f>FALSE()</f>
        <v>0</v>
      </c>
      <c r="H69" s="23">
        <v>1</v>
      </c>
      <c r="I69" s="23">
        <v>1</v>
      </c>
      <c r="J69" s="23">
        <v>0.14000000000000001</v>
      </c>
    </row>
    <row r="70" spans="1:10" x14ac:dyDescent="0.35">
      <c r="A70" s="23">
        <v>69</v>
      </c>
      <c r="B70" s="24">
        <v>40546</v>
      </c>
      <c r="C70" s="23">
        <v>1</v>
      </c>
      <c r="D70" s="23">
        <v>0</v>
      </c>
      <c r="E70" s="23">
        <v>1</v>
      </c>
      <c r="F70" s="23">
        <v>23</v>
      </c>
      <c r="G70" s="23" t="b">
        <f>FALSE()</f>
        <v>0</v>
      </c>
      <c r="H70" s="23">
        <v>1</v>
      </c>
      <c r="I70" s="23">
        <v>1</v>
      </c>
      <c r="J70" s="23">
        <v>0.18</v>
      </c>
    </row>
    <row r="71" spans="1:10" x14ac:dyDescent="0.35">
      <c r="A71" s="23">
        <v>70</v>
      </c>
      <c r="B71" s="24">
        <v>40547</v>
      </c>
      <c r="C71" s="23">
        <v>1</v>
      </c>
      <c r="D71" s="23">
        <v>0</v>
      </c>
      <c r="E71" s="23">
        <v>1</v>
      </c>
      <c r="F71" s="23">
        <v>0</v>
      </c>
      <c r="G71" s="23" t="b">
        <f>FALSE()</f>
        <v>0</v>
      </c>
      <c r="H71" s="23">
        <v>2</v>
      </c>
      <c r="I71" s="23">
        <v>1</v>
      </c>
      <c r="J71" s="23">
        <v>0.16</v>
      </c>
    </row>
    <row r="72" spans="1:10" x14ac:dyDescent="0.35">
      <c r="A72" s="23">
        <v>71</v>
      </c>
      <c r="B72" s="24">
        <v>40547</v>
      </c>
      <c r="C72" s="23">
        <v>1</v>
      </c>
      <c r="D72" s="23">
        <v>0</v>
      </c>
      <c r="E72" s="23">
        <v>1</v>
      </c>
      <c r="F72" s="23">
        <v>1</v>
      </c>
      <c r="G72" s="23" t="b">
        <f>FALSE()</f>
        <v>0</v>
      </c>
      <c r="H72" s="23">
        <v>2</v>
      </c>
      <c r="I72" s="23">
        <v>1</v>
      </c>
      <c r="J72" s="23">
        <v>0.16</v>
      </c>
    </row>
    <row r="73" spans="1:10" x14ac:dyDescent="0.35">
      <c r="A73" s="23">
        <v>72</v>
      </c>
      <c r="B73" s="24">
        <v>40547</v>
      </c>
      <c r="C73" s="23">
        <v>1</v>
      </c>
      <c r="D73" s="23">
        <v>0</v>
      </c>
      <c r="E73" s="23">
        <v>1</v>
      </c>
      <c r="F73" s="23">
        <v>2</v>
      </c>
      <c r="G73" s="23" t="b">
        <f>FALSE()</f>
        <v>0</v>
      </c>
      <c r="H73" s="23">
        <v>2</v>
      </c>
      <c r="I73" s="23">
        <v>1</v>
      </c>
      <c r="J73" s="23">
        <v>0.14000000000000001</v>
      </c>
    </row>
    <row r="74" spans="1:10" x14ac:dyDescent="0.35">
      <c r="A74" s="23">
        <v>73</v>
      </c>
      <c r="B74" s="24">
        <v>40547</v>
      </c>
      <c r="C74" s="23">
        <v>1</v>
      </c>
      <c r="D74" s="23">
        <v>0</v>
      </c>
      <c r="E74" s="23">
        <v>1</v>
      </c>
      <c r="F74" s="23">
        <v>4</v>
      </c>
      <c r="G74" s="23" t="b">
        <f>FALSE()</f>
        <v>0</v>
      </c>
      <c r="H74" s="23">
        <v>2</v>
      </c>
      <c r="I74" s="23">
        <v>1</v>
      </c>
      <c r="J74" s="23">
        <v>0.14000000000000001</v>
      </c>
    </row>
    <row r="75" spans="1:10" x14ac:dyDescent="0.35">
      <c r="A75" s="23">
        <v>74</v>
      </c>
      <c r="B75" s="24">
        <v>40547</v>
      </c>
      <c r="C75" s="23">
        <v>1</v>
      </c>
      <c r="D75" s="23">
        <v>0</v>
      </c>
      <c r="E75" s="23">
        <v>1</v>
      </c>
      <c r="F75" s="23">
        <v>5</v>
      </c>
      <c r="G75" s="23" t="b">
        <f>FALSE()</f>
        <v>0</v>
      </c>
      <c r="H75" s="23">
        <v>2</v>
      </c>
      <c r="I75" s="23">
        <v>1</v>
      </c>
      <c r="J75" s="23">
        <v>0.12</v>
      </c>
    </row>
    <row r="76" spans="1:10" x14ac:dyDescent="0.35">
      <c r="A76" s="23">
        <v>75</v>
      </c>
      <c r="B76" s="24">
        <v>40547</v>
      </c>
      <c r="C76" s="23">
        <v>1</v>
      </c>
      <c r="D76" s="23">
        <v>0</v>
      </c>
      <c r="E76" s="23">
        <v>1</v>
      </c>
      <c r="F76" s="23">
        <v>6</v>
      </c>
      <c r="G76" s="23" t="b">
        <f>FALSE()</f>
        <v>0</v>
      </c>
      <c r="H76" s="23">
        <v>2</v>
      </c>
      <c r="I76" s="23">
        <v>1</v>
      </c>
      <c r="J76" s="23">
        <v>0.12</v>
      </c>
    </row>
    <row r="77" spans="1:10" x14ac:dyDescent="0.35">
      <c r="A77" s="23">
        <v>76</v>
      </c>
      <c r="B77" s="24">
        <v>40547</v>
      </c>
      <c r="C77" s="23">
        <v>1</v>
      </c>
      <c r="D77" s="23">
        <v>0</v>
      </c>
      <c r="E77" s="23">
        <v>1</v>
      </c>
      <c r="F77" s="23">
        <v>7</v>
      </c>
      <c r="G77" s="23" t="b">
        <f>FALSE()</f>
        <v>0</v>
      </c>
      <c r="H77" s="23">
        <v>2</v>
      </c>
      <c r="I77" s="23">
        <v>1</v>
      </c>
      <c r="J77" s="23">
        <v>0.12</v>
      </c>
    </row>
    <row r="78" spans="1:10" x14ac:dyDescent="0.35">
      <c r="A78" s="23">
        <v>77</v>
      </c>
      <c r="B78" s="24">
        <v>40547</v>
      </c>
      <c r="C78" s="23">
        <v>1</v>
      </c>
      <c r="D78" s="23">
        <v>0</v>
      </c>
      <c r="E78" s="23">
        <v>1</v>
      </c>
      <c r="F78" s="23">
        <v>8</v>
      </c>
      <c r="G78" s="23" t="b">
        <f>FALSE()</f>
        <v>0</v>
      </c>
      <c r="H78" s="23">
        <v>2</v>
      </c>
      <c r="I78" s="23">
        <v>1</v>
      </c>
      <c r="J78" s="23">
        <v>0.14000000000000001</v>
      </c>
    </row>
    <row r="79" spans="1:10" x14ac:dyDescent="0.35">
      <c r="A79" s="23">
        <v>78</v>
      </c>
      <c r="B79" s="24">
        <v>40547</v>
      </c>
      <c r="C79" s="23">
        <v>1</v>
      </c>
      <c r="D79" s="23">
        <v>0</v>
      </c>
      <c r="E79" s="23">
        <v>1</v>
      </c>
      <c r="F79" s="23">
        <v>9</v>
      </c>
      <c r="G79" s="23" t="b">
        <f>FALSE()</f>
        <v>0</v>
      </c>
      <c r="H79" s="23">
        <v>2</v>
      </c>
      <c r="I79" s="23">
        <v>1</v>
      </c>
      <c r="J79" s="23">
        <v>0.16</v>
      </c>
    </row>
    <row r="80" spans="1:10" x14ac:dyDescent="0.35">
      <c r="A80" s="23">
        <v>79</v>
      </c>
      <c r="B80" s="24">
        <v>40547</v>
      </c>
      <c r="C80" s="23">
        <v>1</v>
      </c>
      <c r="D80" s="23">
        <v>0</v>
      </c>
      <c r="E80" s="23">
        <v>1</v>
      </c>
      <c r="F80" s="23">
        <v>10</v>
      </c>
      <c r="G80" s="23" t="b">
        <f>FALSE()</f>
        <v>0</v>
      </c>
      <c r="H80" s="23">
        <v>2</v>
      </c>
      <c r="I80" s="23">
        <v>2</v>
      </c>
      <c r="J80" s="23">
        <v>0.16</v>
      </c>
    </row>
    <row r="81" spans="1:10" x14ac:dyDescent="0.35">
      <c r="A81" s="23">
        <v>80</v>
      </c>
      <c r="B81" s="24">
        <v>40547</v>
      </c>
      <c r="C81" s="23">
        <v>1</v>
      </c>
      <c r="D81" s="23">
        <v>0</v>
      </c>
      <c r="E81" s="23">
        <v>1</v>
      </c>
      <c r="F81" s="23">
        <v>11</v>
      </c>
      <c r="G81" s="23" t="b">
        <f>FALSE()</f>
        <v>0</v>
      </c>
      <c r="H81" s="23">
        <v>2</v>
      </c>
      <c r="I81" s="23">
        <v>1</v>
      </c>
      <c r="J81" s="23">
        <v>0.22</v>
      </c>
    </row>
    <row r="82" spans="1:10" x14ac:dyDescent="0.35">
      <c r="A82" s="23">
        <v>81</v>
      </c>
      <c r="B82" s="24">
        <v>40547</v>
      </c>
      <c r="C82" s="23">
        <v>1</v>
      </c>
      <c r="D82" s="23">
        <v>0</v>
      </c>
      <c r="E82" s="23">
        <v>1</v>
      </c>
      <c r="F82" s="23">
        <v>12</v>
      </c>
      <c r="G82" s="23" t="b">
        <f>FALSE()</f>
        <v>0</v>
      </c>
      <c r="H82" s="23">
        <v>2</v>
      </c>
      <c r="I82" s="23">
        <v>1</v>
      </c>
      <c r="J82" s="23">
        <v>0.22</v>
      </c>
    </row>
    <row r="83" spans="1:10" x14ac:dyDescent="0.35">
      <c r="A83" s="23">
        <v>82</v>
      </c>
      <c r="B83" s="24">
        <v>40547</v>
      </c>
      <c r="C83" s="23">
        <v>1</v>
      </c>
      <c r="D83" s="23">
        <v>0</v>
      </c>
      <c r="E83" s="23">
        <v>1</v>
      </c>
      <c r="F83" s="23">
        <v>13</v>
      </c>
      <c r="G83" s="23" t="b">
        <f>FALSE()</f>
        <v>0</v>
      </c>
      <c r="H83" s="23">
        <v>2</v>
      </c>
      <c r="I83" s="23">
        <v>1</v>
      </c>
      <c r="J83" s="23">
        <v>0.24</v>
      </c>
    </row>
    <row r="84" spans="1:10" x14ac:dyDescent="0.35">
      <c r="A84" s="23">
        <v>83</v>
      </c>
      <c r="B84" s="24">
        <v>40547</v>
      </c>
      <c r="C84" s="23">
        <v>1</v>
      </c>
      <c r="D84" s="23">
        <v>0</v>
      </c>
      <c r="E84" s="23">
        <v>1</v>
      </c>
      <c r="F84" s="23">
        <v>14</v>
      </c>
      <c r="G84" s="23" t="b">
        <f>FALSE()</f>
        <v>0</v>
      </c>
      <c r="H84" s="23">
        <v>2</v>
      </c>
      <c r="I84" s="23">
        <v>1</v>
      </c>
      <c r="J84" s="23">
        <v>0.26</v>
      </c>
    </row>
    <row r="85" spans="1:10" x14ac:dyDescent="0.35">
      <c r="A85" s="23">
        <v>84</v>
      </c>
      <c r="B85" s="24">
        <v>40547</v>
      </c>
      <c r="C85" s="23">
        <v>1</v>
      </c>
      <c r="D85" s="23">
        <v>0</v>
      </c>
      <c r="E85" s="23">
        <v>1</v>
      </c>
      <c r="F85" s="23">
        <v>15</v>
      </c>
      <c r="G85" s="23" t="b">
        <f>FALSE()</f>
        <v>0</v>
      </c>
      <c r="H85" s="23">
        <v>2</v>
      </c>
      <c r="I85" s="23">
        <v>1</v>
      </c>
      <c r="J85" s="23">
        <v>0.28000000000000003</v>
      </c>
    </row>
    <row r="86" spans="1:10" x14ac:dyDescent="0.35">
      <c r="A86" s="23">
        <v>85</v>
      </c>
      <c r="B86" s="24">
        <v>40547</v>
      </c>
      <c r="C86" s="23">
        <v>1</v>
      </c>
      <c r="D86" s="23">
        <v>0</v>
      </c>
      <c r="E86" s="23">
        <v>1</v>
      </c>
      <c r="F86" s="23">
        <v>16</v>
      </c>
      <c r="G86" s="23" t="b">
        <f>FALSE()</f>
        <v>0</v>
      </c>
      <c r="H86" s="23">
        <v>2</v>
      </c>
      <c r="I86" s="23">
        <v>1</v>
      </c>
      <c r="J86" s="23">
        <v>0.3</v>
      </c>
    </row>
    <row r="87" spans="1:10" x14ac:dyDescent="0.35">
      <c r="A87" s="23">
        <v>86</v>
      </c>
      <c r="B87" s="24">
        <v>40547</v>
      </c>
      <c r="C87" s="23">
        <v>1</v>
      </c>
      <c r="D87" s="23">
        <v>0</v>
      </c>
      <c r="E87" s="23">
        <v>1</v>
      </c>
      <c r="F87" s="23">
        <v>17</v>
      </c>
      <c r="G87" s="23" t="b">
        <f>FALSE()</f>
        <v>0</v>
      </c>
      <c r="H87" s="23">
        <v>2</v>
      </c>
      <c r="I87" s="23">
        <v>1</v>
      </c>
      <c r="J87" s="23">
        <v>0.28000000000000003</v>
      </c>
    </row>
    <row r="88" spans="1:10" x14ac:dyDescent="0.35">
      <c r="A88" s="23">
        <v>87</v>
      </c>
      <c r="B88" s="24">
        <v>40547</v>
      </c>
      <c r="C88" s="23">
        <v>1</v>
      </c>
      <c r="D88" s="23">
        <v>0</v>
      </c>
      <c r="E88" s="23">
        <v>1</v>
      </c>
      <c r="F88" s="23">
        <v>18</v>
      </c>
      <c r="G88" s="23" t="b">
        <f>FALSE()</f>
        <v>0</v>
      </c>
      <c r="H88" s="23">
        <v>2</v>
      </c>
      <c r="I88" s="23">
        <v>1</v>
      </c>
      <c r="J88" s="23">
        <v>0.26</v>
      </c>
    </row>
    <row r="89" spans="1:10" x14ac:dyDescent="0.35">
      <c r="A89" s="23">
        <v>88</v>
      </c>
      <c r="B89" s="24">
        <v>40547</v>
      </c>
      <c r="C89" s="23">
        <v>1</v>
      </c>
      <c r="D89" s="23">
        <v>0</v>
      </c>
      <c r="E89" s="23">
        <v>1</v>
      </c>
      <c r="F89" s="23">
        <v>19</v>
      </c>
      <c r="G89" s="23" t="b">
        <f>FALSE()</f>
        <v>0</v>
      </c>
      <c r="H89" s="23">
        <v>2</v>
      </c>
      <c r="I89" s="23">
        <v>1</v>
      </c>
      <c r="J89" s="23">
        <v>0.24</v>
      </c>
    </row>
    <row r="90" spans="1:10" x14ac:dyDescent="0.35">
      <c r="A90" s="23">
        <v>89</v>
      </c>
      <c r="B90" s="24">
        <v>40547</v>
      </c>
      <c r="C90" s="23">
        <v>1</v>
      </c>
      <c r="D90" s="23">
        <v>0</v>
      </c>
      <c r="E90" s="23">
        <v>1</v>
      </c>
      <c r="F90" s="23">
        <v>20</v>
      </c>
      <c r="G90" s="23" t="b">
        <f>FALSE()</f>
        <v>0</v>
      </c>
      <c r="H90" s="23">
        <v>2</v>
      </c>
      <c r="I90" s="23">
        <v>1</v>
      </c>
      <c r="J90" s="23">
        <v>0.24</v>
      </c>
    </row>
    <row r="91" spans="1:10" x14ac:dyDescent="0.35">
      <c r="A91" s="23">
        <v>90</v>
      </c>
      <c r="B91" s="24">
        <v>40547</v>
      </c>
      <c r="C91" s="23">
        <v>1</v>
      </c>
      <c r="D91" s="23">
        <v>0</v>
      </c>
      <c r="E91" s="23">
        <v>1</v>
      </c>
      <c r="F91" s="23">
        <v>21</v>
      </c>
      <c r="G91" s="23" t="b">
        <f>FALSE()</f>
        <v>0</v>
      </c>
      <c r="H91" s="23">
        <v>2</v>
      </c>
      <c r="I91" s="23">
        <v>1</v>
      </c>
      <c r="J91" s="23">
        <v>0.22</v>
      </c>
    </row>
    <row r="92" spans="1:10" x14ac:dyDescent="0.35">
      <c r="A92" s="23">
        <v>91</v>
      </c>
      <c r="B92" s="24">
        <v>40547</v>
      </c>
      <c r="C92" s="23">
        <v>1</v>
      </c>
      <c r="D92" s="23">
        <v>0</v>
      </c>
      <c r="E92" s="23">
        <v>1</v>
      </c>
      <c r="F92" s="23">
        <v>22</v>
      </c>
      <c r="G92" s="23" t="b">
        <f>FALSE()</f>
        <v>0</v>
      </c>
      <c r="H92" s="23">
        <v>2</v>
      </c>
      <c r="I92" s="23">
        <v>1</v>
      </c>
      <c r="J92" s="23">
        <v>0.22</v>
      </c>
    </row>
    <row r="93" spans="1:10" x14ac:dyDescent="0.35">
      <c r="A93" s="23">
        <v>92</v>
      </c>
      <c r="B93" s="24">
        <v>40547</v>
      </c>
      <c r="C93" s="23">
        <v>1</v>
      </c>
      <c r="D93" s="23">
        <v>0</v>
      </c>
      <c r="E93" s="23">
        <v>1</v>
      </c>
      <c r="F93" s="23">
        <v>23</v>
      </c>
      <c r="G93" s="23" t="b">
        <f>FALSE()</f>
        <v>0</v>
      </c>
      <c r="H93" s="23">
        <v>2</v>
      </c>
      <c r="I93" s="23">
        <v>1</v>
      </c>
      <c r="J93" s="23">
        <v>0.2</v>
      </c>
    </row>
    <row r="94" spans="1:10" x14ac:dyDescent="0.35">
      <c r="A94" s="23">
        <v>93</v>
      </c>
      <c r="B94" s="24">
        <v>40548</v>
      </c>
      <c r="C94" s="23">
        <v>1</v>
      </c>
      <c r="D94" s="23">
        <v>0</v>
      </c>
      <c r="E94" s="23">
        <v>1</v>
      </c>
      <c r="F94" s="23">
        <v>0</v>
      </c>
      <c r="G94" s="23" t="b">
        <f>FALSE()</f>
        <v>0</v>
      </c>
      <c r="H94" s="23">
        <v>3</v>
      </c>
      <c r="I94" s="23">
        <v>1</v>
      </c>
      <c r="J94" s="23">
        <v>0.2</v>
      </c>
    </row>
    <row r="95" spans="1:10" x14ac:dyDescent="0.35">
      <c r="A95" s="23">
        <v>94</v>
      </c>
      <c r="B95" s="24">
        <v>40548</v>
      </c>
      <c r="C95" s="23">
        <v>1</v>
      </c>
      <c r="D95" s="23">
        <v>0</v>
      </c>
      <c r="E95" s="23">
        <v>1</v>
      </c>
      <c r="F95" s="23">
        <v>1</v>
      </c>
      <c r="G95" s="23" t="b">
        <f>FALSE()</f>
        <v>0</v>
      </c>
      <c r="H95" s="23">
        <v>3</v>
      </c>
      <c r="I95" s="23">
        <v>1</v>
      </c>
      <c r="J95" s="23">
        <v>0.16</v>
      </c>
    </row>
    <row r="96" spans="1:10" x14ac:dyDescent="0.35">
      <c r="A96" s="23">
        <v>95</v>
      </c>
      <c r="B96" s="24">
        <v>40548</v>
      </c>
      <c r="C96" s="23">
        <v>1</v>
      </c>
      <c r="D96" s="23">
        <v>0</v>
      </c>
      <c r="E96" s="23">
        <v>1</v>
      </c>
      <c r="F96" s="23">
        <v>2</v>
      </c>
      <c r="G96" s="23" t="b">
        <f>FALSE()</f>
        <v>0</v>
      </c>
      <c r="H96" s="23">
        <v>3</v>
      </c>
      <c r="I96" s="23">
        <v>1</v>
      </c>
      <c r="J96" s="23">
        <v>0.16</v>
      </c>
    </row>
    <row r="97" spans="1:10" x14ac:dyDescent="0.35">
      <c r="A97" s="23">
        <v>96</v>
      </c>
      <c r="B97" s="24">
        <v>40548</v>
      </c>
      <c r="C97" s="23">
        <v>1</v>
      </c>
      <c r="D97" s="23">
        <v>0</v>
      </c>
      <c r="E97" s="23">
        <v>1</v>
      </c>
      <c r="F97" s="23">
        <v>4</v>
      </c>
      <c r="G97" s="23" t="b">
        <f>FALSE()</f>
        <v>0</v>
      </c>
      <c r="H97" s="23">
        <v>3</v>
      </c>
      <c r="I97" s="23">
        <v>1</v>
      </c>
      <c r="J97" s="23">
        <v>0.24</v>
      </c>
    </row>
    <row r="98" spans="1:10" x14ac:dyDescent="0.35">
      <c r="A98" s="23">
        <v>97</v>
      </c>
      <c r="B98" s="24">
        <v>40548</v>
      </c>
      <c r="C98" s="23">
        <v>1</v>
      </c>
      <c r="D98" s="23">
        <v>0</v>
      </c>
      <c r="E98" s="23">
        <v>1</v>
      </c>
      <c r="F98" s="23">
        <v>5</v>
      </c>
      <c r="G98" s="23" t="b">
        <f>FALSE()</f>
        <v>0</v>
      </c>
      <c r="H98" s="23">
        <v>3</v>
      </c>
      <c r="I98" s="23">
        <v>1</v>
      </c>
      <c r="J98" s="23">
        <v>0.22</v>
      </c>
    </row>
    <row r="99" spans="1:10" x14ac:dyDescent="0.35">
      <c r="A99" s="23">
        <v>98</v>
      </c>
      <c r="B99" s="24">
        <v>40548</v>
      </c>
      <c r="C99" s="23">
        <v>1</v>
      </c>
      <c r="D99" s="23">
        <v>0</v>
      </c>
      <c r="E99" s="23">
        <v>1</v>
      </c>
      <c r="F99" s="23">
        <v>6</v>
      </c>
      <c r="G99" s="23" t="b">
        <f>FALSE()</f>
        <v>0</v>
      </c>
      <c r="H99" s="23">
        <v>3</v>
      </c>
      <c r="I99" s="23">
        <v>1</v>
      </c>
      <c r="J99" s="23">
        <v>0.2</v>
      </c>
    </row>
    <row r="100" spans="1:10" x14ac:dyDescent="0.35">
      <c r="A100" s="23">
        <v>99</v>
      </c>
      <c r="B100" s="24">
        <v>40548</v>
      </c>
      <c r="C100" s="23">
        <v>1</v>
      </c>
      <c r="D100" s="23">
        <v>0</v>
      </c>
      <c r="E100" s="23">
        <v>1</v>
      </c>
      <c r="F100" s="23">
        <v>7</v>
      </c>
      <c r="G100" s="23" t="b">
        <f>FALSE()</f>
        <v>0</v>
      </c>
      <c r="H100" s="23">
        <v>3</v>
      </c>
      <c r="I100" s="23">
        <v>1</v>
      </c>
      <c r="J100" s="23">
        <v>0.18</v>
      </c>
    </row>
    <row r="101" spans="1:10" x14ac:dyDescent="0.35">
      <c r="A101" s="23">
        <v>100</v>
      </c>
      <c r="B101" s="24">
        <v>40548</v>
      </c>
      <c r="C101" s="23">
        <v>1</v>
      </c>
      <c r="D101" s="23">
        <v>0</v>
      </c>
      <c r="E101" s="23">
        <v>1</v>
      </c>
      <c r="F101" s="23">
        <v>8</v>
      </c>
      <c r="G101" s="23" t="b">
        <f>FALSE()</f>
        <v>0</v>
      </c>
      <c r="H101" s="23">
        <v>3</v>
      </c>
      <c r="I101" s="23">
        <v>1</v>
      </c>
      <c r="J101" s="23">
        <v>0.2</v>
      </c>
    </row>
    <row r="102" spans="1:10" x14ac:dyDescent="0.35">
      <c r="A102" s="23">
        <v>101</v>
      </c>
      <c r="B102" s="24">
        <v>40548</v>
      </c>
      <c r="C102" s="23">
        <v>1</v>
      </c>
      <c r="D102" s="23">
        <v>0</v>
      </c>
      <c r="E102" s="23">
        <v>1</v>
      </c>
      <c r="F102" s="23">
        <v>9</v>
      </c>
      <c r="G102" s="23" t="b">
        <f>FALSE()</f>
        <v>0</v>
      </c>
      <c r="H102" s="23">
        <v>3</v>
      </c>
      <c r="I102" s="23">
        <v>1</v>
      </c>
      <c r="J102" s="23">
        <v>0.22</v>
      </c>
    </row>
    <row r="103" spans="1:10" x14ac:dyDescent="0.35">
      <c r="A103" s="23">
        <v>102</v>
      </c>
      <c r="B103" s="24">
        <v>40548</v>
      </c>
      <c r="C103" s="23">
        <v>1</v>
      </c>
      <c r="D103" s="23">
        <v>0</v>
      </c>
      <c r="E103" s="23">
        <v>1</v>
      </c>
      <c r="F103" s="23">
        <v>10</v>
      </c>
      <c r="G103" s="23" t="b">
        <f>FALSE()</f>
        <v>0</v>
      </c>
      <c r="H103" s="23">
        <v>3</v>
      </c>
      <c r="I103" s="23">
        <v>1</v>
      </c>
      <c r="J103" s="23">
        <v>0.22</v>
      </c>
    </row>
    <row r="104" spans="1:10" x14ac:dyDescent="0.35">
      <c r="A104" s="23">
        <v>103</v>
      </c>
      <c r="B104" s="24">
        <v>40548</v>
      </c>
      <c r="C104" s="23">
        <v>1</v>
      </c>
      <c r="D104" s="23">
        <v>0</v>
      </c>
      <c r="E104" s="23">
        <v>1</v>
      </c>
      <c r="F104" s="23">
        <v>11</v>
      </c>
      <c r="G104" s="23" t="b">
        <f>FALSE()</f>
        <v>0</v>
      </c>
      <c r="H104" s="23">
        <v>3</v>
      </c>
      <c r="I104" s="23">
        <v>1</v>
      </c>
      <c r="J104" s="23">
        <v>0.26</v>
      </c>
    </row>
    <row r="105" spans="1:10" x14ac:dyDescent="0.35">
      <c r="A105" s="23">
        <v>104</v>
      </c>
      <c r="B105" s="24">
        <v>40548</v>
      </c>
      <c r="C105" s="23">
        <v>1</v>
      </c>
      <c r="D105" s="23">
        <v>0</v>
      </c>
      <c r="E105" s="23">
        <v>1</v>
      </c>
      <c r="F105" s="23">
        <v>12</v>
      </c>
      <c r="G105" s="23" t="b">
        <f>FALSE()</f>
        <v>0</v>
      </c>
      <c r="H105" s="23">
        <v>3</v>
      </c>
      <c r="I105" s="23">
        <v>1</v>
      </c>
      <c r="J105" s="23">
        <v>0.26</v>
      </c>
    </row>
    <row r="106" spans="1:10" x14ac:dyDescent="0.35">
      <c r="A106" s="23">
        <v>105</v>
      </c>
      <c r="B106" s="24">
        <v>40548</v>
      </c>
      <c r="C106" s="23">
        <v>1</v>
      </c>
      <c r="D106" s="23">
        <v>0</v>
      </c>
      <c r="E106" s="23">
        <v>1</v>
      </c>
      <c r="F106" s="23">
        <v>13</v>
      </c>
      <c r="G106" s="23" t="b">
        <f>FALSE()</f>
        <v>0</v>
      </c>
      <c r="H106" s="23">
        <v>3</v>
      </c>
      <c r="I106" s="23">
        <v>1</v>
      </c>
      <c r="J106" s="23">
        <v>0.28000000000000003</v>
      </c>
    </row>
    <row r="107" spans="1:10" x14ac:dyDescent="0.35">
      <c r="A107" s="23">
        <v>106</v>
      </c>
      <c r="B107" s="24">
        <v>40548</v>
      </c>
      <c r="C107" s="23">
        <v>1</v>
      </c>
      <c r="D107" s="23">
        <v>0</v>
      </c>
      <c r="E107" s="23">
        <v>1</v>
      </c>
      <c r="F107" s="23">
        <v>14</v>
      </c>
      <c r="G107" s="23" t="b">
        <f>FALSE()</f>
        <v>0</v>
      </c>
      <c r="H107" s="23">
        <v>3</v>
      </c>
      <c r="I107" s="23">
        <v>1</v>
      </c>
      <c r="J107" s="23">
        <v>0.3</v>
      </c>
    </row>
    <row r="108" spans="1:10" x14ac:dyDescent="0.35">
      <c r="A108" s="23">
        <v>107</v>
      </c>
      <c r="B108" s="24">
        <v>40548</v>
      </c>
      <c r="C108" s="23">
        <v>1</v>
      </c>
      <c r="D108" s="23">
        <v>0</v>
      </c>
      <c r="E108" s="23">
        <v>1</v>
      </c>
      <c r="F108" s="23">
        <v>15</v>
      </c>
      <c r="G108" s="23" t="b">
        <f>FALSE()</f>
        <v>0</v>
      </c>
      <c r="H108" s="23">
        <v>3</v>
      </c>
      <c r="I108" s="23">
        <v>1</v>
      </c>
      <c r="J108" s="23">
        <v>0.3</v>
      </c>
    </row>
    <row r="109" spans="1:10" x14ac:dyDescent="0.35">
      <c r="A109" s="23">
        <v>108</v>
      </c>
      <c r="B109" s="24">
        <v>40548</v>
      </c>
      <c r="C109" s="23">
        <v>1</v>
      </c>
      <c r="D109" s="23">
        <v>0</v>
      </c>
      <c r="E109" s="23">
        <v>1</v>
      </c>
      <c r="F109" s="23">
        <v>16</v>
      </c>
      <c r="G109" s="23" t="b">
        <f>FALSE()</f>
        <v>0</v>
      </c>
      <c r="H109" s="23">
        <v>3</v>
      </c>
      <c r="I109" s="23">
        <v>1</v>
      </c>
      <c r="J109" s="23">
        <v>0.3</v>
      </c>
    </row>
    <row r="110" spans="1:10" x14ac:dyDescent="0.35">
      <c r="A110" s="23">
        <v>109</v>
      </c>
      <c r="B110" s="24">
        <v>40548</v>
      </c>
      <c r="C110" s="23">
        <v>1</v>
      </c>
      <c r="D110" s="23">
        <v>0</v>
      </c>
      <c r="E110" s="23">
        <v>1</v>
      </c>
      <c r="F110" s="23">
        <v>17</v>
      </c>
      <c r="G110" s="23" t="b">
        <f>FALSE()</f>
        <v>0</v>
      </c>
      <c r="H110" s="23">
        <v>3</v>
      </c>
      <c r="I110" s="23">
        <v>1</v>
      </c>
      <c r="J110" s="23">
        <v>0.24</v>
      </c>
    </row>
    <row r="111" spans="1:10" x14ac:dyDescent="0.35">
      <c r="A111" s="23">
        <v>110</v>
      </c>
      <c r="B111" s="24">
        <v>40548</v>
      </c>
      <c r="C111" s="23">
        <v>1</v>
      </c>
      <c r="D111" s="23">
        <v>0</v>
      </c>
      <c r="E111" s="23">
        <v>1</v>
      </c>
      <c r="F111" s="23">
        <v>18</v>
      </c>
      <c r="G111" s="23" t="b">
        <f>FALSE()</f>
        <v>0</v>
      </c>
      <c r="H111" s="23">
        <v>3</v>
      </c>
      <c r="I111" s="23">
        <v>1</v>
      </c>
      <c r="J111" s="23">
        <v>0.24</v>
      </c>
    </row>
    <row r="112" spans="1:10" x14ac:dyDescent="0.35">
      <c r="A112" s="23">
        <v>111</v>
      </c>
      <c r="B112" s="24">
        <v>40548</v>
      </c>
      <c r="C112" s="23">
        <v>1</v>
      </c>
      <c r="D112" s="23">
        <v>0</v>
      </c>
      <c r="E112" s="23">
        <v>1</v>
      </c>
      <c r="F112" s="23">
        <v>19</v>
      </c>
      <c r="G112" s="23" t="b">
        <f>FALSE()</f>
        <v>0</v>
      </c>
      <c r="H112" s="23">
        <v>3</v>
      </c>
      <c r="I112" s="23">
        <v>1</v>
      </c>
      <c r="J112" s="23">
        <v>0.24</v>
      </c>
    </row>
    <row r="113" spans="1:10" x14ac:dyDescent="0.35">
      <c r="A113" s="23">
        <v>112</v>
      </c>
      <c r="B113" s="24">
        <v>40548</v>
      </c>
      <c r="C113" s="23">
        <v>1</v>
      </c>
      <c r="D113" s="23">
        <v>0</v>
      </c>
      <c r="E113" s="23">
        <v>1</v>
      </c>
      <c r="F113" s="23">
        <v>20</v>
      </c>
      <c r="G113" s="23" t="b">
        <f>FALSE()</f>
        <v>0</v>
      </c>
      <c r="H113" s="23">
        <v>3</v>
      </c>
      <c r="I113" s="23">
        <v>1</v>
      </c>
      <c r="J113" s="23">
        <v>0.22</v>
      </c>
    </row>
    <row r="114" spans="1:10" x14ac:dyDescent="0.35">
      <c r="A114" s="23">
        <v>113</v>
      </c>
      <c r="B114" s="24">
        <v>40548</v>
      </c>
      <c r="C114" s="23">
        <v>1</v>
      </c>
      <c r="D114" s="23">
        <v>0</v>
      </c>
      <c r="E114" s="23">
        <v>1</v>
      </c>
      <c r="F114" s="23">
        <v>21</v>
      </c>
      <c r="G114" s="23" t="b">
        <f>FALSE()</f>
        <v>0</v>
      </c>
      <c r="H114" s="23">
        <v>3</v>
      </c>
      <c r="I114" s="23">
        <v>1</v>
      </c>
      <c r="J114" s="23">
        <v>0.2</v>
      </c>
    </row>
    <row r="115" spans="1:10" x14ac:dyDescent="0.35">
      <c r="A115" s="23">
        <v>114</v>
      </c>
      <c r="B115" s="24">
        <v>40548</v>
      </c>
      <c r="C115" s="23">
        <v>1</v>
      </c>
      <c r="D115" s="23">
        <v>0</v>
      </c>
      <c r="E115" s="23">
        <v>1</v>
      </c>
      <c r="F115" s="23">
        <v>22</v>
      </c>
      <c r="G115" s="23" t="b">
        <f>FALSE()</f>
        <v>0</v>
      </c>
      <c r="H115" s="23">
        <v>3</v>
      </c>
      <c r="I115" s="23">
        <v>1</v>
      </c>
      <c r="J115" s="23">
        <v>0.18</v>
      </c>
    </row>
    <row r="116" spans="1:10" x14ac:dyDescent="0.35">
      <c r="A116" s="23">
        <v>115</v>
      </c>
      <c r="B116" s="24">
        <v>40548</v>
      </c>
      <c r="C116" s="23">
        <v>1</v>
      </c>
      <c r="D116" s="23">
        <v>0</v>
      </c>
      <c r="E116" s="23">
        <v>1</v>
      </c>
      <c r="F116" s="23">
        <v>23</v>
      </c>
      <c r="G116" s="23" t="b">
        <f>FALSE()</f>
        <v>0</v>
      </c>
      <c r="H116" s="23">
        <v>3</v>
      </c>
      <c r="I116" s="23">
        <v>1</v>
      </c>
      <c r="J116" s="23">
        <v>0.2</v>
      </c>
    </row>
    <row r="117" spans="1:10" x14ac:dyDescent="0.35">
      <c r="A117" s="23">
        <v>116</v>
      </c>
      <c r="B117" s="24">
        <v>40549</v>
      </c>
      <c r="C117" s="23">
        <v>1</v>
      </c>
      <c r="D117" s="23">
        <v>0</v>
      </c>
      <c r="E117" s="23">
        <v>1</v>
      </c>
      <c r="F117" s="23">
        <v>0</v>
      </c>
      <c r="G117" s="23" t="b">
        <f>FALSE()</f>
        <v>0</v>
      </c>
      <c r="H117" s="23">
        <v>4</v>
      </c>
      <c r="I117" s="23">
        <v>1</v>
      </c>
      <c r="J117" s="23">
        <v>0.18</v>
      </c>
    </row>
    <row r="118" spans="1:10" x14ac:dyDescent="0.35">
      <c r="A118" s="23">
        <v>117</v>
      </c>
      <c r="B118" s="24">
        <v>40549</v>
      </c>
      <c r="C118" s="23">
        <v>1</v>
      </c>
      <c r="D118" s="23">
        <v>0</v>
      </c>
      <c r="E118" s="23">
        <v>1</v>
      </c>
      <c r="F118" s="23">
        <v>1</v>
      </c>
      <c r="G118" s="23" t="b">
        <f>FALSE()</f>
        <v>0</v>
      </c>
      <c r="H118" s="23">
        <v>4</v>
      </c>
      <c r="I118" s="23">
        <v>1</v>
      </c>
      <c r="J118" s="23">
        <v>0.16</v>
      </c>
    </row>
    <row r="119" spans="1:10" x14ac:dyDescent="0.35">
      <c r="A119" s="23">
        <v>118</v>
      </c>
      <c r="B119" s="24">
        <v>40549</v>
      </c>
      <c r="C119" s="23">
        <v>1</v>
      </c>
      <c r="D119" s="23">
        <v>0</v>
      </c>
      <c r="E119" s="23">
        <v>1</v>
      </c>
      <c r="F119" s="23">
        <v>2</v>
      </c>
      <c r="G119" s="23" t="b">
        <f>FALSE()</f>
        <v>0</v>
      </c>
      <c r="H119" s="23">
        <v>4</v>
      </c>
      <c r="I119" s="23">
        <v>1</v>
      </c>
      <c r="J119" s="23">
        <v>0.16</v>
      </c>
    </row>
    <row r="120" spans="1:10" x14ac:dyDescent="0.35">
      <c r="A120" s="23">
        <v>119</v>
      </c>
      <c r="B120" s="24">
        <v>40549</v>
      </c>
      <c r="C120" s="23">
        <v>1</v>
      </c>
      <c r="D120" s="23">
        <v>0</v>
      </c>
      <c r="E120" s="23">
        <v>1</v>
      </c>
      <c r="F120" s="23">
        <v>4</v>
      </c>
      <c r="G120" s="23" t="b">
        <f>FALSE()</f>
        <v>0</v>
      </c>
      <c r="H120" s="23">
        <v>4</v>
      </c>
      <c r="I120" s="23">
        <v>2</v>
      </c>
      <c r="J120" s="23">
        <v>0.16</v>
      </c>
    </row>
    <row r="121" spans="1:10" x14ac:dyDescent="0.35">
      <c r="A121" s="23">
        <v>120</v>
      </c>
      <c r="B121" s="24">
        <v>40549</v>
      </c>
      <c r="C121" s="23">
        <v>1</v>
      </c>
      <c r="D121" s="23">
        <v>0</v>
      </c>
      <c r="E121" s="23">
        <v>1</v>
      </c>
      <c r="F121" s="23">
        <v>5</v>
      </c>
      <c r="G121" s="23" t="b">
        <f>FALSE()</f>
        <v>0</v>
      </c>
      <c r="H121" s="23">
        <v>4</v>
      </c>
      <c r="I121" s="23">
        <v>2</v>
      </c>
      <c r="J121" s="23">
        <v>0.14000000000000001</v>
      </c>
    </row>
    <row r="122" spans="1:10" x14ac:dyDescent="0.35">
      <c r="A122" s="23">
        <v>121</v>
      </c>
      <c r="B122" s="24">
        <v>40549</v>
      </c>
      <c r="C122" s="23">
        <v>1</v>
      </c>
      <c r="D122" s="23">
        <v>0</v>
      </c>
      <c r="E122" s="23">
        <v>1</v>
      </c>
      <c r="F122" s="23">
        <v>6</v>
      </c>
      <c r="G122" s="23" t="b">
        <f>FALSE()</f>
        <v>0</v>
      </c>
      <c r="H122" s="23">
        <v>4</v>
      </c>
      <c r="I122" s="23">
        <v>2</v>
      </c>
      <c r="J122" s="23">
        <v>0.14000000000000001</v>
      </c>
    </row>
    <row r="123" spans="1:10" x14ac:dyDescent="0.35">
      <c r="A123" s="23">
        <v>122</v>
      </c>
      <c r="B123" s="24">
        <v>40549</v>
      </c>
      <c r="C123" s="23">
        <v>1</v>
      </c>
      <c r="D123" s="23">
        <v>0</v>
      </c>
      <c r="E123" s="23">
        <v>1</v>
      </c>
      <c r="F123" s="23">
        <v>7</v>
      </c>
      <c r="G123" s="23" t="b">
        <f>FALSE()</f>
        <v>0</v>
      </c>
      <c r="H123" s="23">
        <v>4</v>
      </c>
      <c r="I123" s="23">
        <v>2</v>
      </c>
      <c r="J123" s="23">
        <v>0.16</v>
      </c>
    </row>
    <row r="124" spans="1:10" x14ac:dyDescent="0.35">
      <c r="A124" s="23">
        <v>123</v>
      </c>
      <c r="B124" s="24">
        <v>40549</v>
      </c>
      <c r="C124" s="23">
        <v>1</v>
      </c>
      <c r="D124" s="23">
        <v>0</v>
      </c>
      <c r="E124" s="23">
        <v>1</v>
      </c>
      <c r="F124" s="23">
        <v>8</v>
      </c>
      <c r="G124" s="23" t="b">
        <f>FALSE()</f>
        <v>0</v>
      </c>
      <c r="H124" s="23">
        <v>4</v>
      </c>
      <c r="I124" s="23">
        <v>1</v>
      </c>
      <c r="J124" s="23">
        <v>0.16</v>
      </c>
    </row>
    <row r="125" spans="1:10" x14ac:dyDescent="0.35">
      <c r="A125" s="23">
        <v>124</v>
      </c>
      <c r="B125" s="24">
        <v>40549</v>
      </c>
      <c r="C125" s="23">
        <v>1</v>
      </c>
      <c r="D125" s="23">
        <v>0</v>
      </c>
      <c r="E125" s="23">
        <v>1</v>
      </c>
      <c r="F125" s="23">
        <v>9</v>
      </c>
      <c r="G125" s="23" t="b">
        <f>FALSE()</f>
        <v>0</v>
      </c>
      <c r="H125" s="23">
        <v>4</v>
      </c>
      <c r="I125" s="23">
        <v>2</v>
      </c>
      <c r="J125" s="23">
        <v>0.18</v>
      </c>
    </row>
    <row r="126" spans="1:10" x14ac:dyDescent="0.35">
      <c r="A126" s="23">
        <v>125</v>
      </c>
      <c r="B126" s="24">
        <v>40549</v>
      </c>
      <c r="C126" s="23">
        <v>1</v>
      </c>
      <c r="D126" s="23">
        <v>0</v>
      </c>
      <c r="E126" s="23">
        <v>1</v>
      </c>
      <c r="F126" s="23">
        <v>10</v>
      </c>
      <c r="G126" s="23" t="b">
        <f>FALSE()</f>
        <v>0</v>
      </c>
      <c r="H126" s="23">
        <v>4</v>
      </c>
      <c r="I126" s="23">
        <v>1</v>
      </c>
      <c r="J126" s="23">
        <v>0.2</v>
      </c>
    </row>
    <row r="127" spans="1:10" x14ac:dyDescent="0.35">
      <c r="A127" s="23">
        <v>126</v>
      </c>
      <c r="B127" s="24">
        <v>40549</v>
      </c>
      <c r="C127" s="23">
        <v>1</v>
      </c>
      <c r="D127" s="23">
        <v>0</v>
      </c>
      <c r="E127" s="23">
        <v>1</v>
      </c>
      <c r="F127" s="23">
        <v>11</v>
      </c>
      <c r="G127" s="23" t="b">
        <f>FALSE()</f>
        <v>0</v>
      </c>
      <c r="H127" s="23">
        <v>4</v>
      </c>
      <c r="I127" s="23">
        <v>1</v>
      </c>
      <c r="J127" s="23">
        <v>0.22</v>
      </c>
    </row>
    <row r="128" spans="1:10" x14ac:dyDescent="0.35">
      <c r="A128" s="23">
        <v>127</v>
      </c>
      <c r="B128" s="24">
        <v>40549</v>
      </c>
      <c r="C128" s="23">
        <v>1</v>
      </c>
      <c r="D128" s="23">
        <v>0</v>
      </c>
      <c r="E128" s="23">
        <v>1</v>
      </c>
      <c r="F128" s="23">
        <v>12</v>
      </c>
      <c r="G128" s="23" t="b">
        <f>FALSE()</f>
        <v>0</v>
      </c>
      <c r="H128" s="23">
        <v>4</v>
      </c>
      <c r="I128" s="23">
        <v>1</v>
      </c>
      <c r="J128" s="23">
        <v>0.26</v>
      </c>
    </row>
    <row r="129" spans="1:10" x14ac:dyDescent="0.35">
      <c r="A129" s="23">
        <v>128</v>
      </c>
      <c r="B129" s="24">
        <v>40549</v>
      </c>
      <c r="C129" s="23">
        <v>1</v>
      </c>
      <c r="D129" s="23">
        <v>0</v>
      </c>
      <c r="E129" s="23">
        <v>1</v>
      </c>
      <c r="F129" s="23">
        <v>13</v>
      </c>
      <c r="G129" s="23" t="b">
        <f>FALSE()</f>
        <v>0</v>
      </c>
      <c r="H129" s="23">
        <v>4</v>
      </c>
      <c r="I129" s="23">
        <v>1</v>
      </c>
      <c r="J129" s="23">
        <v>0.26</v>
      </c>
    </row>
    <row r="130" spans="1:10" x14ac:dyDescent="0.35">
      <c r="A130" s="23">
        <v>129</v>
      </c>
      <c r="B130" s="24">
        <v>40549</v>
      </c>
      <c r="C130" s="23">
        <v>1</v>
      </c>
      <c r="D130" s="23">
        <v>0</v>
      </c>
      <c r="E130" s="23">
        <v>1</v>
      </c>
      <c r="F130" s="23">
        <v>14</v>
      </c>
      <c r="G130" s="23" t="b">
        <f>FALSE()</f>
        <v>0</v>
      </c>
      <c r="H130" s="23">
        <v>4</v>
      </c>
      <c r="I130" s="23">
        <v>1</v>
      </c>
      <c r="J130" s="23">
        <v>0.28000000000000003</v>
      </c>
    </row>
    <row r="131" spans="1:10" x14ac:dyDescent="0.35">
      <c r="A131" s="23">
        <v>130</v>
      </c>
      <c r="B131" s="24">
        <v>40549</v>
      </c>
      <c r="C131" s="23">
        <v>1</v>
      </c>
      <c r="D131" s="23">
        <v>0</v>
      </c>
      <c r="E131" s="23">
        <v>1</v>
      </c>
      <c r="F131" s="23">
        <v>15</v>
      </c>
      <c r="G131" s="23" t="b">
        <f>FALSE()</f>
        <v>0</v>
      </c>
      <c r="H131" s="23">
        <v>4</v>
      </c>
      <c r="I131" s="23">
        <v>1</v>
      </c>
      <c r="J131" s="23">
        <v>0.28000000000000003</v>
      </c>
    </row>
    <row r="132" spans="1:10" x14ac:dyDescent="0.35">
      <c r="A132" s="23">
        <v>131</v>
      </c>
      <c r="B132" s="24">
        <v>40549</v>
      </c>
      <c r="C132" s="23">
        <v>1</v>
      </c>
      <c r="D132" s="23">
        <v>0</v>
      </c>
      <c r="E132" s="23">
        <v>1</v>
      </c>
      <c r="F132" s="23">
        <v>16</v>
      </c>
      <c r="G132" s="23" t="b">
        <f>FALSE()</f>
        <v>0</v>
      </c>
      <c r="H132" s="23">
        <v>4</v>
      </c>
      <c r="I132" s="23">
        <v>1</v>
      </c>
      <c r="J132" s="23">
        <v>0.26</v>
      </c>
    </row>
    <row r="133" spans="1:10" x14ac:dyDescent="0.35">
      <c r="A133" s="23">
        <v>132</v>
      </c>
      <c r="B133" s="24">
        <v>40549</v>
      </c>
      <c r="C133" s="23">
        <v>1</v>
      </c>
      <c r="D133" s="23">
        <v>0</v>
      </c>
      <c r="E133" s="23">
        <v>1</v>
      </c>
      <c r="F133" s="23">
        <v>17</v>
      </c>
      <c r="G133" s="23" t="b">
        <f>FALSE()</f>
        <v>0</v>
      </c>
      <c r="H133" s="23">
        <v>4</v>
      </c>
      <c r="I133" s="23">
        <v>1</v>
      </c>
      <c r="J133" s="23">
        <v>0.22</v>
      </c>
    </row>
    <row r="134" spans="1:10" x14ac:dyDescent="0.35">
      <c r="A134" s="23">
        <v>133</v>
      </c>
      <c r="B134" s="24">
        <v>40549</v>
      </c>
      <c r="C134" s="23">
        <v>1</v>
      </c>
      <c r="D134" s="23">
        <v>0</v>
      </c>
      <c r="E134" s="23">
        <v>1</v>
      </c>
      <c r="F134" s="23">
        <v>18</v>
      </c>
      <c r="G134" s="23" t="b">
        <f>FALSE()</f>
        <v>0</v>
      </c>
      <c r="H134" s="23">
        <v>4</v>
      </c>
      <c r="I134" s="23">
        <v>1</v>
      </c>
      <c r="J134" s="23">
        <v>0.22</v>
      </c>
    </row>
    <row r="135" spans="1:10" x14ac:dyDescent="0.35">
      <c r="A135" s="23">
        <v>134</v>
      </c>
      <c r="B135" s="24">
        <v>40549</v>
      </c>
      <c r="C135" s="23">
        <v>1</v>
      </c>
      <c r="D135" s="23">
        <v>0</v>
      </c>
      <c r="E135" s="23">
        <v>1</v>
      </c>
      <c r="F135" s="23">
        <v>19</v>
      </c>
      <c r="G135" s="23" t="b">
        <f>FALSE()</f>
        <v>0</v>
      </c>
      <c r="H135" s="23">
        <v>4</v>
      </c>
      <c r="I135" s="23">
        <v>1</v>
      </c>
      <c r="J135" s="23">
        <v>0.22</v>
      </c>
    </row>
    <row r="136" spans="1:10" x14ac:dyDescent="0.35">
      <c r="A136" s="23">
        <v>135</v>
      </c>
      <c r="B136" s="24">
        <v>40549</v>
      </c>
      <c r="C136" s="23">
        <v>1</v>
      </c>
      <c r="D136" s="23">
        <v>0</v>
      </c>
      <c r="E136" s="23">
        <v>1</v>
      </c>
      <c r="F136" s="23">
        <v>20</v>
      </c>
      <c r="G136" s="23" t="b">
        <f>FALSE()</f>
        <v>0</v>
      </c>
      <c r="H136" s="23">
        <v>4</v>
      </c>
      <c r="I136" s="23">
        <v>1</v>
      </c>
      <c r="J136" s="23">
        <v>0.2</v>
      </c>
    </row>
    <row r="137" spans="1:10" x14ac:dyDescent="0.35">
      <c r="A137" s="23">
        <v>136</v>
      </c>
      <c r="B137" s="24">
        <v>40549</v>
      </c>
      <c r="C137" s="23">
        <v>1</v>
      </c>
      <c r="D137" s="23">
        <v>0</v>
      </c>
      <c r="E137" s="23">
        <v>1</v>
      </c>
      <c r="F137" s="23">
        <v>21</v>
      </c>
      <c r="G137" s="23" t="b">
        <f>FALSE()</f>
        <v>0</v>
      </c>
      <c r="H137" s="23">
        <v>4</v>
      </c>
      <c r="I137" s="23">
        <v>2</v>
      </c>
      <c r="J137" s="23">
        <v>0.22</v>
      </c>
    </row>
    <row r="138" spans="1:10" x14ac:dyDescent="0.35">
      <c r="A138" s="23">
        <v>137</v>
      </c>
      <c r="B138" s="24">
        <v>40549</v>
      </c>
      <c r="C138" s="23">
        <v>1</v>
      </c>
      <c r="D138" s="23">
        <v>0</v>
      </c>
      <c r="E138" s="23">
        <v>1</v>
      </c>
      <c r="F138" s="23">
        <v>22</v>
      </c>
      <c r="G138" s="23" t="b">
        <f>FALSE()</f>
        <v>0</v>
      </c>
      <c r="H138" s="23">
        <v>4</v>
      </c>
      <c r="I138" s="23">
        <v>2</v>
      </c>
      <c r="J138" s="23">
        <v>0.22</v>
      </c>
    </row>
    <row r="139" spans="1:10" x14ac:dyDescent="0.35">
      <c r="A139" s="23">
        <v>138</v>
      </c>
      <c r="B139" s="24">
        <v>40549</v>
      </c>
      <c r="C139" s="23">
        <v>1</v>
      </c>
      <c r="D139" s="23">
        <v>0</v>
      </c>
      <c r="E139" s="23">
        <v>1</v>
      </c>
      <c r="F139" s="23">
        <v>23</v>
      </c>
      <c r="G139" s="23" t="b">
        <f>FALSE()</f>
        <v>0</v>
      </c>
      <c r="H139" s="23">
        <v>4</v>
      </c>
      <c r="I139" s="23">
        <v>2</v>
      </c>
      <c r="J139" s="23">
        <v>0.2</v>
      </c>
    </row>
    <row r="140" spans="1:10" x14ac:dyDescent="0.35">
      <c r="A140" s="23">
        <v>139</v>
      </c>
      <c r="B140" s="24">
        <v>40550</v>
      </c>
      <c r="C140" s="23">
        <v>1</v>
      </c>
      <c r="D140" s="23">
        <v>0</v>
      </c>
      <c r="E140" s="23">
        <v>1</v>
      </c>
      <c r="F140" s="23">
        <v>0</v>
      </c>
      <c r="G140" s="23" t="b">
        <f>FALSE()</f>
        <v>0</v>
      </c>
      <c r="H140" s="23">
        <v>5</v>
      </c>
      <c r="I140" s="23">
        <v>2</v>
      </c>
      <c r="J140" s="23">
        <v>0.2</v>
      </c>
    </row>
    <row r="141" spans="1:10" x14ac:dyDescent="0.35">
      <c r="A141" s="23">
        <v>140</v>
      </c>
      <c r="B141" s="24">
        <v>40550</v>
      </c>
      <c r="C141" s="23">
        <v>1</v>
      </c>
      <c r="D141" s="23">
        <v>0</v>
      </c>
      <c r="E141" s="23">
        <v>1</v>
      </c>
      <c r="F141" s="23">
        <v>1</v>
      </c>
      <c r="G141" s="23" t="b">
        <f>FALSE()</f>
        <v>0</v>
      </c>
      <c r="H141" s="23">
        <v>5</v>
      </c>
      <c r="I141" s="23">
        <v>2</v>
      </c>
      <c r="J141" s="23">
        <v>0.2</v>
      </c>
    </row>
    <row r="142" spans="1:10" x14ac:dyDescent="0.35">
      <c r="A142" s="23">
        <v>141</v>
      </c>
      <c r="B142" s="24">
        <v>40550</v>
      </c>
      <c r="C142" s="23">
        <v>1</v>
      </c>
      <c r="D142" s="23">
        <v>0</v>
      </c>
      <c r="E142" s="23">
        <v>1</v>
      </c>
      <c r="F142" s="23">
        <v>2</v>
      </c>
      <c r="G142" s="23" t="b">
        <f>FALSE()</f>
        <v>0</v>
      </c>
      <c r="H142" s="23">
        <v>5</v>
      </c>
      <c r="I142" s="23">
        <v>2</v>
      </c>
      <c r="J142" s="23">
        <v>0.2</v>
      </c>
    </row>
    <row r="143" spans="1:10" x14ac:dyDescent="0.35">
      <c r="A143" s="23">
        <v>142</v>
      </c>
      <c r="B143" s="24">
        <v>40550</v>
      </c>
      <c r="C143" s="23">
        <v>1</v>
      </c>
      <c r="D143" s="23">
        <v>0</v>
      </c>
      <c r="E143" s="23">
        <v>1</v>
      </c>
      <c r="F143" s="23">
        <v>4</v>
      </c>
      <c r="G143" s="23" t="b">
        <f>FALSE()</f>
        <v>0</v>
      </c>
      <c r="H143" s="23">
        <v>5</v>
      </c>
      <c r="I143" s="23">
        <v>2</v>
      </c>
      <c r="J143" s="23">
        <v>0.2</v>
      </c>
    </row>
    <row r="144" spans="1:10" x14ac:dyDescent="0.35">
      <c r="A144" s="23">
        <v>143</v>
      </c>
      <c r="B144" s="24">
        <v>40550</v>
      </c>
      <c r="C144" s="23">
        <v>1</v>
      </c>
      <c r="D144" s="23">
        <v>0</v>
      </c>
      <c r="E144" s="23">
        <v>1</v>
      </c>
      <c r="F144" s="23">
        <v>5</v>
      </c>
      <c r="G144" s="23" t="b">
        <f>FALSE()</f>
        <v>0</v>
      </c>
      <c r="H144" s="23">
        <v>5</v>
      </c>
      <c r="I144" s="23">
        <v>3</v>
      </c>
      <c r="J144" s="23">
        <v>0.22</v>
      </c>
    </row>
    <row r="145" spans="1:10" x14ac:dyDescent="0.35">
      <c r="A145" s="23">
        <v>144</v>
      </c>
      <c r="B145" s="24">
        <v>40550</v>
      </c>
      <c r="C145" s="23">
        <v>1</v>
      </c>
      <c r="D145" s="23">
        <v>0</v>
      </c>
      <c r="E145" s="23">
        <v>1</v>
      </c>
      <c r="F145" s="23">
        <v>6</v>
      </c>
      <c r="G145" s="23" t="b">
        <f>FALSE()</f>
        <v>0</v>
      </c>
      <c r="H145" s="23">
        <v>5</v>
      </c>
      <c r="I145" s="23">
        <v>2</v>
      </c>
      <c r="J145" s="23">
        <v>0.2</v>
      </c>
    </row>
    <row r="146" spans="1:10" x14ac:dyDescent="0.35">
      <c r="A146" s="23">
        <v>145</v>
      </c>
      <c r="B146" s="24">
        <v>40550</v>
      </c>
      <c r="C146" s="23">
        <v>1</v>
      </c>
      <c r="D146" s="23">
        <v>0</v>
      </c>
      <c r="E146" s="23">
        <v>1</v>
      </c>
      <c r="F146" s="23">
        <v>7</v>
      </c>
      <c r="G146" s="23" t="b">
        <f>FALSE()</f>
        <v>0</v>
      </c>
      <c r="H146" s="23">
        <v>5</v>
      </c>
      <c r="I146" s="23">
        <v>1</v>
      </c>
      <c r="J146" s="23">
        <v>0.2</v>
      </c>
    </row>
    <row r="147" spans="1:10" x14ac:dyDescent="0.35">
      <c r="A147" s="23">
        <v>146</v>
      </c>
      <c r="B147" s="24">
        <v>40550</v>
      </c>
      <c r="C147" s="23">
        <v>1</v>
      </c>
      <c r="D147" s="23">
        <v>0</v>
      </c>
      <c r="E147" s="23">
        <v>1</v>
      </c>
      <c r="F147" s="23">
        <v>8</v>
      </c>
      <c r="G147" s="23" t="b">
        <f>FALSE()</f>
        <v>0</v>
      </c>
      <c r="H147" s="23">
        <v>5</v>
      </c>
      <c r="I147" s="23">
        <v>1</v>
      </c>
      <c r="J147" s="23">
        <v>0.2</v>
      </c>
    </row>
    <row r="148" spans="1:10" x14ac:dyDescent="0.35">
      <c r="A148" s="23">
        <v>147</v>
      </c>
      <c r="B148" s="24">
        <v>40550</v>
      </c>
      <c r="C148" s="23">
        <v>1</v>
      </c>
      <c r="D148" s="23">
        <v>0</v>
      </c>
      <c r="E148" s="23">
        <v>1</v>
      </c>
      <c r="F148" s="23">
        <v>9</v>
      </c>
      <c r="G148" s="23" t="b">
        <f>FALSE()</f>
        <v>0</v>
      </c>
      <c r="H148" s="23">
        <v>5</v>
      </c>
      <c r="I148" s="23">
        <v>1</v>
      </c>
      <c r="J148" s="23">
        <v>0.2</v>
      </c>
    </row>
    <row r="149" spans="1:10" x14ac:dyDescent="0.35">
      <c r="A149" s="23">
        <v>148</v>
      </c>
      <c r="B149" s="24">
        <v>40550</v>
      </c>
      <c r="C149" s="23">
        <v>1</v>
      </c>
      <c r="D149" s="23">
        <v>0</v>
      </c>
      <c r="E149" s="23">
        <v>1</v>
      </c>
      <c r="F149" s="23">
        <v>10</v>
      </c>
      <c r="G149" s="23" t="b">
        <f>FALSE()</f>
        <v>0</v>
      </c>
      <c r="H149" s="23">
        <v>5</v>
      </c>
      <c r="I149" s="23">
        <v>1</v>
      </c>
      <c r="J149" s="23">
        <v>0.22</v>
      </c>
    </row>
    <row r="150" spans="1:10" x14ac:dyDescent="0.35">
      <c r="A150" s="23">
        <v>149</v>
      </c>
      <c r="B150" s="24">
        <v>40550</v>
      </c>
      <c r="C150" s="23">
        <v>1</v>
      </c>
      <c r="D150" s="23">
        <v>0</v>
      </c>
      <c r="E150" s="23">
        <v>1</v>
      </c>
      <c r="F150" s="23">
        <v>11</v>
      </c>
      <c r="G150" s="23" t="b">
        <f>FALSE()</f>
        <v>0</v>
      </c>
      <c r="H150" s="23">
        <v>5</v>
      </c>
      <c r="I150" s="23">
        <v>2</v>
      </c>
      <c r="J150" s="23">
        <v>0.2</v>
      </c>
    </row>
    <row r="151" spans="1:10" x14ac:dyDescent="0.35">
      <c r="A151" s="23">
        <v>150</v>
      </c>
      <c r="B151" s="24">
        <v>40550</v>
      </c>
      <c r="C151" s="23">
        <v>1</v>
      </c>
      <c r="D151" s="23">
        <v>0</v>
      </c>
      <c r="E151" s="23">
        <v>1</v>
      </c>
      <c r="F151" s="23">
        <v>12</v>
      </c>
      <c r="G151" s="23" t="b">
        <f>FALSE()</f>
        <v>0</v>
      </c>
      <c r="H151" s="23">
        <v>5</v>
      </c>
      <c r="I151" s="23">
        <v>2</v>
      </c>
      <c r="J151" s="23">
        <v>0.2</v>
      </c>
    </row>
    <row r="152" spans="1:10" x14ac:dyDescent="0.35">
      <c r="A152" s="23">
        <v>151</v>
      </c>
      <c r="B152" s="24">
        <v>40550</v>
      </c>
      <c r="C152" s="23">
        <v>1</v>
      </c>
      <c r="D152" s="23">
        <v>0</v>
      </c>
      <c r="E152" s="23">
        <v>1</v>
      </c>
      <c r="F152" s="23">
        <v>13</v>
      </c>
      <c r="G152" s="23" t="b">
        <f>FALSE()</f>
        <v>0</v>
      </c>
      <c r="H152" s="23">
        <v>5</v>
      </c>
      <c r="I152" s="23">
        <v>2</v>
      </c>
      <c r="J152" s="23">
        <v>0.2</v>
      </c>
    </row>
    <row r="153" spans="1:10" x14ac:dyDescent="0.35">
      <c r="A153" s="23">
        <v>152</v>
      </c>
      <c r="B153" s="24">
        <v>40550</v>
      </c>
      <c r="C153" s="23">
        <v>1</v>
      </c>
      <c r="D153" s="23">
        <v>0</v>
      </c>
      <c r="E153" s="23">
        <v>1</v>
      </c>
      <c r="F153" s="23">
        <v>14</v>
      </c>
      <c r="G153" s="23" t="b">
        <f>FALSE()</f>
        <v>0</v>
      </c>
      <c r="H153" s="23">
        <v>5</v>
      </c>
      <c r="I153" s="23">
        <v>2</v>
      </c>
      <c r="J153" s="23">
        <v>0.2</v>
      </c>
    </row>
    <row r="154" spans="1:10" x14ac:dyDescent="0.35">
      <c r="A154" s="23">
        <v>153</v>
      </c>
      <c r="B154" s="24">
        <v>40550</v>
      </c>
      <c r="C154" s="23">
        <v>1</v>
      </c>
      <c r="D154" s="23">
        <v>0</v>
      </c>
      <c r="E154" s="23">
        <v>1</v>
      </c>
      <c r="F154" s="23">
        <v>15</v>
      </c>
      <c r="G154" s="23" t="b">
        <f>FALSE()</f>
        <v>0</v>
      </c>
      <c r="H154" s="23">
        <v>5</v>
      </c>
      <c r="I154" s="23">
        <v>2</v>
      </c>
      <c r="J154" s="23">
        <v>0.2</v>
      </c>
    </row>
    <row r="155" spans="1:10" x14ac:dyDescent="0.35">
      <c r="A155" s="23">
        <v>154</v>
      </c>
      <c r="B155" s="24">
        <v>40550</v>
      </c>
      <c r="C155" s="23">
        <v>1</v>
      </c>
      <c r="D155" s="23">
        <v>0</v>
      </c>
      <c r="E155" s="23">
        <v>1</v>
      </c>
      <c r="F155" s="23">
        <v>16</v>
      </c>
      <c r="G155" s="23" t="b">
        <f>FALSE()</f>
        <v>0</v>
      </c>
      <c r="H155" s="23">
        <v>5</v>
      </c>
      <c r="I155" s="23">
        <v>2</v>
      </c>
      <c r="J155" s="23">
        <v>0.2</v>
      </c>
    </row>
    <row r="156" spans="1:10" x14ac:dyDescent="0.35">
      <c r="A156" s="23">
        <v>155</v>
      </c>
      <c r="B156" s="24">
        <v>40550</v>
      </c>
      <c r="C156" s="23">
        <v>1</v>
      </c>
      <c r="D156" s="23">
        <v>0</v>
      </c>
      <c r="E156" s="23">
        <v>1</v>
      </c>
      <c r="F156" s="23">
        <v>17</v>
      </c>
      <c r="G156" s="23" t="b">
        <f>FALSE()</f>
        <v>0</v>
      </c>
      <c r="H156" s="23">
        <v>5</v>
      </c>
      <c r="I156" s="23">
        <v>2</v>
      </c>
      <c r="J156" s="23">
        <v>0.2</v>
      </c>
    </row>
    <row r="157" spans="1:10" x14ac:dyDescent="0.35">
      <c r="A157" s="23">
        <v>156</v>
      </c>
      <c r="B157" s="24">
        <v>40550</v>
      </c>
      <c r="C157" s="23">
        <v>1</v>
      </c>
      <c r="D157" s="23">
        <v>0</v>
      </c>
      <c r="E157" s="23">
        <v>1</v>
      </c>
      <c r="F157" s="23">
        <v>18</v>
      </c>
      <c r="G157" s="23" t="b">
        <f>FALSE()</f>
        <v>0</v>
      </c>
      <c r="H157" s="23">
        <v>5</v>
      </c>
      <c r="I157" s="23">
        <v>1</v>
      </c>
      <c r="J157" s="23">
        <v>0.2</v>
      </c>
    </row>
    <row r="158" spans="1:10" x14ac:dyDescent="0.35">
      <c r="A158" s="23">
        <v>157</v>
      </c>
      <c r="B158" s="24">
        <v>40550</v>
      </c>
      <c r="C158" s="23">
        <v>1</v>
      </c>
      <c r="D158" s="23">
        <v>0</v>
      </c>
      <c r="E158" s="23">
        <v>1</v>
      </c>
      <c r="F158" s="23">
        <v>19</v>
      </c>
      <c r="G158" s="23" t="b">
        <f>FALSE()</f>
        <v>0</v>
      </c>
      <c r="H158" s="23">
        <v>5</v>
      </c>
      <c r="I158" s="23">
        <v>1</v>
      </c>
      <c r="J158" s="23">
        <v>0.16</v>
      </c>
    </row>
    <row r="159" spans="1:10" x14ac:dyDescent="0.35">
      <c r="A159" s="23">
        <v>158</v>
      </c>
      <c r="B159" s="24">
        <v>40550</v>
      </c>
      <c r="C159" s="23">
        <v>1</v>
      </c>
      <c r="D159" s="23">
        <v>0</v>
      </c>
      <c r="E159" s="23">
        <v>1</v>
      </c>
      <c r="F159" s="23">
        <v>20</v>
      </c>
      <c r="G159" s="23" t="b">
        <f>FALSE()</f>
        <v>0</v>
      </c>
      <c r="H159" s="23">
        <v>5</v>
      </c>
      <c r="I159" s="23">
        <v>1</v>
      </c>
      <c r="J159" s="23">
        <v>0.18</v>
      </c>
    </row>
    <row r="160" spans="1:10" x14ac:dyDescent="0.35">
      <c r="A160" s="23">
        <v>159</v>
      </c>
      <c r="B160" s="24">
        <v>40550</v>
      </c>
      <c r="C160" s="23">
        <v>1</v>
      </c>
      <c r="D160" s="23">
        <v>0</v>
      </c>
      <c r="E160" s="23">
        <v>1</v>
      </c>
      <c r="F160" s="23">
        <v>21</v>
      </c>
      <c r="G160" s="23" t="b">
        <f>FALSE()</f>
        <v>0</v>
      </c>
      <c r="H160" s="23">
        <v>5</v>
      </c>
      <c r="I160" s="23">
        <v>1</v>
      </c>
      <c r="J160" s="23">
        <v>0.18</v>
      </c>
    </row>
    <row r="161" spans="1:10" x14ac:dyDescent="0.35">
      <c r="A161" s="23">
        <v>160</v>
      </c>
      <c r="B161" s="24">
        <v>40550</v>
      </c>
      <c r="C161" s="23">
        <v>1</v>
      </c>
      <c r="D161" s="23">
        <v>0</v>
      </c>
      <c r="E161" s="23">
        <v>1</v>
      </c>
      <c r="F161" s="23">
        <v>22</v>
      </c>
      <c r="G161" s="23" t="b">
        <f>FALSE()</f>
        <v>0</v>
      </c>
      <c r="H161" s="23">
        <v>5</v>
      </c>
      <c r="I161" s="23">
        <v>2</v>
      </c>
      <c r="J161" s="23">
        <v>0.18</v>
      </c>
    </row>
    <row r="162" spans="1:10" x14ac:dyDescent="0.35">
      <c r="A162" s="23">
        <v>161</v>
      </c>
      <c r="B162" s="24">
        <v>40550</v>
      </c>
      <c r="C162" s="23">
        <v>1</v>
      </c>
      <c r="D162" s="23">
        <v>0</v>
      </c>
      <c r="E162" s="23">
        <v>1</v>
      </c>
      <c r="F162" s="23">
        <v>23</v>
      </c>
      <c r="G162" s="23" t="b">
        <f>FALSE()</f>
        <v>0</v>
      </c>
      <c r="H162" s="23">
        <v>5</v>
      </c>
      <c r="I162" s="23">
        <v>2</v>
      </c>
      <c r="J162" s="23">
        <v>0.18</v>
      </c>
    </row>
    <row r="163" spans="1:10" x14ac:dyDescent="0.35">
      <c r="A163" s="23">
        <v>162</v>
      </c>
      <c r="B163" s="24">
        <v>40551</v>
      </c>
      <c r="C163" s="23">
        <v>1</v>
      </c>
      <c r="D163" s="23">
        <v>0</v>
      </c>
      <c r="E163" s="23">
        <v>1</v>
      </c>
      <c r="F163" s="23">
        <v>0</v>
      </c>
      <c r="G163" s="23" t="b">
        <f>FALSE()</f>
        <v>0</v>
      </c>
      <c r="H163" s="23">
        <v>6</v>
      </c>
      <c r="I163" s="23">
        <v>2</v>
      </c>
      <c r="J163" s="23">
        <v>0.18</v>
      </c>
    </row>
    <row r="164" spans="1:10" x14ac:dyDescent="0.35">
      <c r="A164" s="23">
        <v>163</v>
      </c>
      <c r="B164" s="24">
        <v>40551</v>
      </c>
      <c r="C164" s="23">
        <v>1</v>
      </c>
      <c r="D164" s="23">
        <v>0</v>
      </c>
      <c r="E164" s="23">
        <v>1</v>
      </c>
      <c r="F164" s="23">
        <v>1</v>
      </c>
      <c r="G164" s="23" t="b">
        <f>FALSE()</f>
        <v>0</v>
      </c>
      <c r="H164" s="23">
        <v>6</v>
      </c>
      <c r="I164" s="23">
        <v>2</v>
      </c>
      <c r="J164" s="23">
        <v>0.18</v>
      </c>
    </row>
    <row r="165" spans="1:10" x14ac:dyDescent="0.35">
      <c r="A165" s="23">
        <v>164</v>
      </c>
      <c r="B165" s="24">
        <v>40551</v>
      </c>
      <c r="C165" s="23">
        <v>1</v>
      </c>
      <c r="D165" s="23">
        <v>0</v>
      </c>
      <c r="E165" s="23">
        <v>1</v>
      </c>
      <c r="F165" s="23">
        <v>2</v>
      </c>
      <c r="G165" s="23" t="b">
        <f>FALSE()</f>
        <v>0</v>
      </c>
      <c r="H165" s="23">
        <v>6</v>
      </c>
      <c r="I165" s="23">
        <v>2</v>
      </c>
      <c r="J165" s="23">
        <v>0.18</v>
      </c>
    </row>
    <row r="166" spans="1:10" x14ac:dyDescent="0.35">
      <c r="A166" s="23">
        <v>165</v>
      </c>
      <c r="B166" s="24">
        <v>40551</v>
      </c>
      <c r="C166" s="23">
        <v>1</v>
      </c>
      <c r="D166" s="23">
        <v>0</v>
      </c>
      <c r="E166" s="23">
        <v>1</v>
      </c>
      <c r="F166" s="23">
        <v>3</v>
      </c>
      <c r="G166" s="23" t="b">
        <f>FALSE()</f>
        <v>0</v>
      </c>
      <c r="H166" s="23">
        <v>6</v>
      </c>
      <c r="I166" s="23">
        <v>3</v>
      </c>
      <c r="J166" s="23">
        <v>0.18</v>
      </c>
    </row>
    <row r="167" spans="1:10" x14ac:dyDescent="0.35">
      <c r="A167" s="23">
        <v>166</v>
      </c>
      <c r="B167" s="24">
        <v>40551</v>
      </c>
      <c r="C167" s="23">
        <v>1</v>
      </c>
      <c r="D167" s="23">
        <v>0</v>
      </c>
      <c r="E167" s="23">
        <v>1</v>
      </c>
      <c r="F167" s="23">
        <v>4</v>
      </c>
      <c r="G167" s="23" t="b">
        <f>FALSE()</f>
        <v>0</v>
      </c>
      <c r="H167" s="23">
        <v>6</v>
      </c>
      <c r="I167" s="23">
        <v>3</v>
      </c>
      <c r="J167" s="23">
        <v>0.18</v>
      </c>
    </row>
    <row r="168" spans="1:10" x14ac:dyDescent="0.35">
      <c r="A168" s="23">
        <v>167</v>
      </c>
      <c r="B168" s="24">
        <v>40551</v>
      </c>
      <c r="C168" s="23">
        <v>1</v>
      </c>
      <c r="D168" s="23">
        <v>0</v>
      </c>
      <c r="E168" s="23">
        <v>1</v>
      </c>
      <c r="F168" s="23">
        <v>5</v>
      </c>
      <c r="G168" s="23" t="b">
        <f>FALSE()</f>
        <v>0</v>
      </c>
      <c r="H168" s="23">
        <v>6</v>
      </c>
      <c r="I168" s="23">
        <v>2</v>
      </c>
      <c r="J168" s="23">
        <v>0.16</v>
      </c>
    </row>
    <row r="169" spans="1:10" x14ac:dyDescent="0.35">
      <c r="A169" s="23">
        <v>168</v>
      </c>
      <c r="B169" s="24">
        <v>40551</v>
      </c>
      <c r="C169" s="23">
        <v>1</v>
      </c>
      <c r="D169" s="23">
        <v>0</v>
      </c>
      <c r="E169" s="23">
        <v>1</v>
      </c>
      <c r="F169" s="23">
        <v>6</v>
      </c>
      <c r="G169" s="23" t="b">
        <f>FALSE()</f>
        <v>0</v>
      </c>
      <c r="H169" s="23">
        <v>6</v>
      </c>
      <c r="I169" s="23">
        <v>2</v>
      </c>
      <c r="J169" s="23">
        <v>0.16</v>
      </c>
    </row>
    <row r="170" spans="1:10" x14ac:dyDescent="0.35">
      <c r="A170" s="23">
        <v>169</v>
      </c>
      <c r="B170" s="24">
        <v>40551</v>
      </c>
      <c r="C170" s="23">
        <v>1</v>
      </c>
      <c r="D170" s="23">
        <v>0</v>
      </c>
      <c r="E170" s="23">
        <v>1</v>
      </c>
      <c r="F170" s="23">
        <v>7</v>
      </c>
      <c r="G170" s="23" t="b">
        <f>FALSE()</f>
        <v>0</v>
      </c>
      <c r="H170" s="23">
        <v>6</v>
      </c>
      <c r="I170" s="23">
        <v>2</v>
      </c>
      <c r="J170" s="23">
        <v>0.16</v>
      </c>
    </row>
    <row r="171" spans="1:10" x14ac:dyDescent="0.35">
      <c r="A171" s="23">
        <v>170</v>
      </c>
      <c r="B171" s="24">
        <v>40551</v>
      </c>
      <c r="C171" s="23">
        <v>1</v>
      </c>
      <c r="D171" s="23">
        <v>0</v>
      </c>
      <c r="E171" s="23">
        <v>1</v>
      </c>
      <c r="F171" s="23">
        <v>8</v>
      </c>
      <c r="G171" s="23" t="b">
        <f>FALSE()</f>
        <v>0</v>
      </c>
      <c r="H171" s="23">
        <v>6</v>
      </c>
      <c r="I171" s="23">
        <v>3</v>
      </c>
      <c r="J171" s="23">
        <v>0.16</v>
      </c>
    </row>
    <row r="172" spans="1:10" x14ac:dyDescent="0.35">
      <c r="A172" s="23">
        <v>171</v>
      </c>
      <c r="B172" s="24">
        <v>40551</v>
      </c>
      <c r="C172" s="23">
        <v>1</v>
      </c>
      <c r="D172" s="23">
        <v>0</v>
      </c>
      <c r="E172" s="23">
        <v>1</v>
      </c>
      <c r="F172" s="23">
        <v>9</v>
      </c>
      <c r="G172" s="23" t="b">
        <f>FALSE()</f>
        <v>0</v>
      </c>
      <c r="H172" s="23">
        <v>6</v>
      </c>
      <c r="I172" s="23">
        <v>3</v>
      </c>
      <c r="J172" s="23">
        <v>0.16</v>
      </c>
    </row>
    <row r="173" spans="1:10" x14ac:dyDescent="0.35">
      <c r="A173" s="23">
        <v>172</v>
      </c>
      <c r="B173" s="24">
        <v>40551</v>
      </c>
      <c r="C173" s="23">
        <v>1</v>
      </c>
      <c r="D173" s="23">
        <v>0</v>
      </c>
      <c r="E173" s="23">
        <v>1</v>
      </c>
      <c r="F173" s="23">
        <v>10</v>
      </c>
      <c r="G173" s="23" t="b">
        <f>FALSE()</f>
        <v>0</v>
      </c>
      <c r="H173" s="23">
        <v>6</v>
      </c>
      <c r="I173" s="23">
        <v>2</v>
      </c>
      <c r="J173" s="23">
        <v>0.18</v>
      </c>
    </row>
    <row r="174" spans="1:10" x14ac:dyDescent="0.35">
      <c r="A174" s="23">
        <v>173</v>
      </c>
      <c r="B174" s="24">
        <v>40551</v>
      </c>
      <c r="C174" s="23">
        <v>1</v>
      </c>
      <c r="D174" s="23">
        <v>0</v>
      </c>
      <c r="E174" s="23">
        <v>1</v>
      </c>
      <c r="F174" s="23">
        <v>11</v>
      </c>
      <c r="G174" s="23" t="b">
        <f>FALSE()</f>
        <v>0</v>
      </c>
      <c r="H174" s="23">
        <v>6</v>
      </c>
      <c r="I174" s="23">
        <v>2</v>
      </c>
      <c r="J174" s="23">
        <v>0.2</v>
      </c>
    </row>
    <row r="175" spans="1:10" x14ac:dyDescent="0.35">
      <c r="A175" s="23">
        <v>174</v>
      </c>
      <c r="B175" s="24">
        <v>40551</v>
      </c>
      <c r="C175" s="23">
        <v>1</v>
      </c>
      <c r="D175" s="23">
        <v>0</v>
      </c>
      <c r="E175" s="23">
        <v>1</v>
      </c>
      <c r="F175" s="23">
        <v>12</v>
      </c>
      <c r="G175" s="23" t="b">
        <f>FALSE()</f>
        <v>0</v>
      </c>
      <c r="H175" s="23">
        <v>6</v>
      </c>
      <c r="I175" s="23">
        <v>2</v>
      </c>
      <c r="J175" s="23">
        <v>0.2</v>
      </c>
    </row>
    <row r="176" spans="1:10" x14ac:dyDescent="0.35">
      <c r="A176" s="23">
        <v>175</v>
      </c>
      <c r="B176" s="24">
        <v>40551</v>
      </c>
      <c r="C176" s="23">
        <v>1</v>
      </c>
      <c r="D176" s="23">
        <v>0</v>
      </c>
      <c r="E176" s="23">
        <v>1</v>
      </c>
      <c r="F176" s="23">
        <v>13</v>
      </c>
      <c r="G176" s="23" t="b">
        <f>FALSE()</f>
        <v>0</v>
      </c>
      <c r="H176" s="23">
        <v>6</v>
      </c>
      <c r="I176" s="23">
        <v>1</v>
      </c>
      <c r="J176" s="23">
        <v>0.2</v>
      </c>
    </row>
    <row r="177" spans="1:10" x14ac:dyDescent="0.35">
      <c r="A177" s="23">
        <v>176</v>
      </c>
      <c r="B177" s="24">
        <v>40551</v>
      </c>
      <c r="C177" s="23">
        <v>1</v>
      </c>
      <c r="D177" s="23">
        <v>0</v>
      </c>
      <c r="E177" s="23">
        <v>1</v>
      </c>
      <c r="F177" s="23">
        <v>14</v>
      </c>
      <c r="G177" s="23" t="b">
        <f>FALSE()</f>
        <v>0</v>
      </c>
      <c r="H177" s="23">
        <v>6</v>
      </c>
      <c r="I177" s="23">
        <v>1</v>
      </c>
      <c r="J177" s="23">
        <v>0.2</v>
      </c>
    </row>
    <row r="178" spans="1:10" x14ac:dyDescent="0.35">
      <c r="A178" s="23">
        <v>177</v>
      </c>
      <c r="B178" s="24">
        <v>40551</v>
      </c>
      <c r="C178" s="23">
        <v>1</v>
      </c>
      <c r="D178" s="23">
        <v>0</v>
      </c>
      <c r="E178" s="23">
        <v>1</v>
      </c>
      <c r="F178" s="23">
        <v>15</v>
      </c>
      <c r="G178" s="23" t="b">
        <f>FALSE()</f>
        <v>0</v>
      </c>
      <c r="H178" s="23">
        <v>6</v>
      </c>
      <c r="I178" s="23">
        <v>1</v>
      </c>
      <c r="J178" s="23">
        <v>0.2</v>
      </c>
    </row>
    <row r="179" spans="1:10" x14ac:dyDescent="0.35">
      <c r="A179" s="23">
        <v>178</v>
      </c>
      <c r="B179" s="24">
        <v>40551</v>
      </c>
      <c r="C179" s="23">
        <v>1</v>
      </c>
      <c r="D179" s="23">
        <v>0</v>
      </c>
      <c r="E179" s="23">
        <v>1</v>
      </c>
      <c r="F179" s="23">
        <v>16</v>
      </c>
      <c r="G179" s="23" t="b">
        <f>FALSE()</f>
        <v>0</v>
      </c>
      <c r="H179" s="23">
        <v>6</v>
      </c>
      <c r="I179" s="23">
        <v>1</v>
      </c>
      <c r="J179" s="23">
        <v>0.18</v>
      </c>
    </row>
    <row r="180" spans="1:10" x14ac:dyDescent="0.35">
      <c r="A180" s="23">
        <v>179</v>
      </c>
      <c r="B180" s="24">
        <v>40551</v>
      </c>
      <c r="C180" s="23">
        <v>1</v>
      </c>
      <c r="D180" s="23">
        <v>0</v>
      </c>
      <c r="E180" s="23">
        <v>1</v>
      </c>
      <c r="F180" s="23">
        <v>17</v>
      </c>
      <c r="G180" s="23" t="b">
        <f>FALSE()</f>
        <v>0</v>
      </c>
      <c r="H180" s="23">
        <v>6</v>
      </c>
      <c r="I180" s="23">
        <v>1</v>
      </c>
      <c r="J180" s="23">
        <v>0.16</v>
      </c>
    </row>
    <row r="181" spans="1:10" x14ac:dyDescent="0.35">
      <c r="A181" s="23">
        <v>180</v>
      </c>
      <c r="B181" s="24">
        <v>40551</v>
      </c>
      <c r="C181" s="23">
        <v>1</v>
      </c>
      <c r="D181" s="23">
        <v>0</v>
      </c>
      <c r="E181" s="23">
        <v>1</v>
      </c>
      <c r="F181" s="23">
        <v>18</v>
      </c>
      <c r="G181" s="23" t="b">
        <f>FALSE()</f>
        <v>0</v>
      </c>
      <c r="H181" s="23">
        <v>6</v>
      </c>
      <c r="I181" s="23">
        <v>1</v>
      </c>
      <c r="J181" s="23">
        <v>0.14000000000000001</v>
      </c>
    </row>
    <row r="182" spans="1:10" x14ac:dyDescent="0.35">
      <c r="A182" s="23">
        <v>181</v>
      </c>
      <c r="B182" s="24">
        <v>40551</v>
      </c>
      <c r="C182" s="23">
        <v>1</v>
      </c>
      <c r="D182" s="23">
        <v>0</v>
      </c>
      <c r="E182" s="23">
        <v>1</v>
      </c>
      <c r="F182" s="23">
        <v>19</v>
      </c>
      <c r="G182" s="23" t="b">
        <f>FALSE()</f>
        <v>0</v>
      </c>
      <c r="H182" s="23">
        <v>6</v>
      </c>
      <c r="I182" s="23">
        <v>1</v>
      </c>
      <c r="J182" s="23">
        <v>0.14000000000000001</v>
      </c>
    </row>
    <row r="183" spans="1:10" x14ac:dyDescent="0.35">
      <c r="A183" s="23">
        <v>182</v>
      </c>
      <c r="B183" s="24">
        <v>40551</v>
      </c>
      <c r="C183" s="23">
        <v>1</v>
      </c>
      <c r="D183" s="23">
        <v>0</v>
      </c>
      <c r="E183" s="23">
        <v>1</v>
      </c>
      <c r="F183" s="23">
        <v>20</v>
      </c>
      <c r="G183" s="23" t="b">
        <f>FALSE()</f>
        <v>0</v>
      </c>
      <c r="H183" s="23">
        <v>6</v>
      </c>
      <c r="I183" s="23">
        <v>1</v>
      </c>
      <c r="J183" s="23">
        <v>0.12</v>
      </c>
    </row>
    <row r="184" spans="1:10" x14ac:dyDescent="0.35">
      <c r="A184" s="23">
        <v>183</v>
      </c>
      <c r="B184" s="24">
        <v>40551</v>
      </c>
      <c r="C184" s="23">
        <v>1</v>
      </c>
      <c r="D184" s="23">
        <v>0</v>
      </c>
      <c r="E184" s="23">
        <v>1</v>
      </c>
      <c r="F184" s="23">
        <v>21</v>
      </c>
      <c r="G184" s="23" t="b">
        <f>FALSE()</f>
        <v>0</v>
      </c>
      <c r="H184" s="23">
        <v>6</v>
      </c>
      <c r="I184" s="23">
        <v>1</v>
      </c>
      <c r="J184" s="23">
        <v>0.12</v>
      </c>
    </row>
    <row r="185" spans="1:10" x14ac:dyDescent="0.35">
      <c r="A185" s="23">
        <v>184</v>
      </c>
      <c r="B185" s="24">
        <v>40551</v>
      </c>
      <c r="C185" s="23">
        <v>1</v>
      </c>
      <c r="D185" s="23">
        <v>0</v>
      </c>
      <c r="E185" s="23">
        <v>1</v>
      </c>
      <c r="F185" s="23">
        <v>22</v>
      </c>
      <c r="G185" s="23" t="b">
        <f>FALSE()</f>
        <v>0</v>
      </c>
      <c r="H185" s="23">
        <v>6</v>
      </c>
      <c r="I185" s="23">
        <v>1</v>
      </c>
      <c r="J185" s="23">
        <v>0.12</v>
      </c>
    </row>
    <row r="186" spans="1:10" x14ac:dyDescent="0.35">
      <c r="A186" s="23">
        <v>185</v>
      </c>
      <c r="B186" s="24">
        <v>40551</v>
      </c>
      <c r="C186" s="23">
        <v>1</v>
      </c>
      <c r="D186" s="23">
        <v>0</v>
      </c>
      <c r="E186" s="23">
        <v>1</v>
      </c>
      <c r="F186" s="23">
        <v>23</v>
      </c>
      <c r="G186" s="23" t="b">
        <f>FALSE()</f>
        <v>0</v>
      </c>
      <c r="H186" s="23">
        <v>6</v>
      </c>
      <c r="I186" s="23">
        <v>1</v>
      </c>
      <c r="J186" s="23">
        <v>0.1</v>
      </c>
    </row>
    <row r="187" spans="1:10" x14ac:dyDescent="0.35">
      <c r="A187" s="23">
        <v>186</v>
      </c>
      <c r="B187" s="24">
        <v>40552</v>
      </c>
      <c r="C187" s="23">
        <v>1</v>
      </c>
      <c r="D187" s="23">
        <v>0</v>
      </c>
      <c r="E187" s="23">
        <v>1</v>
      </c>
      <c r="F187" s="23">
        <v>0</v>
      </c>
      <c r="G187" s="23" t="b">
        <f>FALSE()</f>
        <v>0</v>
      </c>
      <c r="H187" s="23">
        <v>0</v>
      </c>
      <c r="I187" s="23">
        <v>1</v>
      </c>
      <c r="J187" s="23">
        <v>0.1</v>
      </c>
    </row>
    <row r="188" spans="1:10" x14ac:dyDescent="0.35">
      <c r="A188" s="23">
        <v>187</v>
      </c>
      <c r="B188" s="24">
        <v>40552</v>
      </c>
      <c r="C188" s="23">
        <v>1</v>
      </c>
      <c r="D188" s="23">
        <v>0</v>
      </c>
      <c r="E188" s="23">
        <v>1</v>
      </c>
      <c r="F188" s="23">
        <v>1</v>
      </c>
      <c r="G188" s="23" t="b">
        <f>FALSE()</f>
        <v>0</v>
      </c>
      <c r="H188" s="23">
        <v>0</v>
      </c>
      <c r="I188" s="23">
        <v>1</v>
      </c>
      <c r="J188" s="23">
        <v>0.1</v>
      </c>
    </row>
    <row r="189" spans="1:10" x14ac:dyDescent="0.35">
      <c r="A189" s="23">
        <v>188</v>
      </c>
      <c r="B189" s="24">
        <v>40552</v>
      </c>
      <c r="C189" s="23">
        <v>1</v>
      </c>
      <c r="D189" s="23">
        <v>0</v>
      </c>
      <c r="E189" s="23">
        <v>1</v>
      </c>
      <c r="F189" s="23">
        <v>2</v>
      </c>
      <c r="G189" s="23" t="b">
        <f>FALSE()</f>
        <v>0</v>
      </c>
      <c r="H189" s="23">
        <v>0</v>
      </c>
      <c r="I189" s="23">
        <v>1</v>
      </c>
      <c r="J189" s="23">
        <v>0.1</v>
      </c>
    </row>
    <row r="190" spans="1:10" x14ac:dyDescent="0.35">
      <c r="A190" s="23">
        <v>189</v>
      </c>
      <c r="B190" s="24">
        <v>40552</v>
      </c>
      <c r="C190" s="23">
        <v>1</v>
      </c>
      <c r="D190" s="23">
        <v>0</v>
      </c>
      <c r="E190" s="23">
        <v>1</v>
      </c>
      <c r="F190" s="23">
        <v>3</v>
      </c>
      <c r="G190" s="23" t="b">
        <f>FALSE()</f>
        <v>0</v>
      </c>
      <c r="H190" s="23">
        <v>0</v>
      </c>
      <c r="I190" s="23">
        <v>1</v>
      </c>
      <c r="J190" s="23">
        <v>0.1</v>
      </c>
    </row>
    <row r="191" spans="1:10" x14ac:dyDescent="0.35">
      <c r="A191" s="23">
        <v>190</v>
      </c>
      <c r="B191" s="24">
        <v>40552</v>
      </c>
      <c r="C191" s="23">
        <v>1</v>
      </c>
      <c r="D191" s="23">
        <v>0</v>
      </c>
      <c r="E191" s="23">
        <v>1</v>
      </c>
      <c r="F191" s="23">
        <v>4</v>
      </c>
      <c r="G191" s="23" t="b">
        <f>FALSE()</f>
        <v>0</v>
      </c>
      <c r="H191" s="23">
        <v>0</v>
      </c>
      <c r="I191" s="23">
        <v>1</v>
      </c>
      <c r="J191" s="23">
        <v>0.08</v>
      </c>
    </row>
    <row r="192" spans="1:10" x14ac:dyDescent="0.35">
      <c r="A192" s="23">
        <v>191</v>
      </c>
      <c r="B192" s="24">
        <v>40552</v>
      </c>
      <c r="C192" s="23">
        <v>1</v>
      </c>
      <c r="D192" s="23">
        <v>0</v>
      </c>
      <c r="E192" s="23">
        <v>1</v>
      </c>
      <c r="F192" s="23">
        <v>5</v>
      </c>
      <c r="G192" s="23" t="b">
        <f>FALSE()</f>
        <v>0</v>
      </c>
      <c r="H192" s="23">
        <v>0</v>
      </c>
      <c r="I192" s="23">
        <v>1</v>
      </c>
      <c r="J192" s="23">
        <v>0.08</v>
      </c>
    </row>
    <row r="193" spans="1:10" x14ac:dyDescent="0.35">
      <c r="A193" s="23">
        <v>192</v>
      </c>
      <c r="B193" s="24">
        <v>40552</v>
      </c>
      <c r="C193" s="23">
        <v>1</v>
      </c>
      <c r="D193" s="23">
        <v>0</v>
      </c>
      <c r="E193" s="23">
        <v>1</v>
      </c>
      <c r="F193" s="23">
        <v>6</v>
      </c>
      <c r="G193" s="23" t="b">
        <f>FALSE()</f>
        <v>0</v>
      </c>
      <c r="H193" s="23">
        <v>0</v>
      </c>
      <c r="I193" s="23">
        <v>1</v>
      </c>
      <c r="J193" s="23">
        <v>0.1</v>
      </c>
    </row>
    <row r="194" spans="1:10" x14ac:dyDescent="0.35">
      <c r="A194" s="23">
        <v>193</v>
      </c>
      <c r="B194" s="24">
        <v>40552</v>
      </c>
      <c r="C194" s="23">
        <v>1</v>
      </c>
      <c r="D194" s="23">
        <v>0</v>
      </c>
      <c r="E194" s="23">
        <v>1</v>
      </c>
      <c r="F194" s="23">
        <v>7</v>
      </c>
      <c r="G194" s="23" t="b">
        <f>FALSE()</f>
        <v>0</v>
      </c>
      <c r="H194" s="23">
        <v>0</v>
      </c>
      <c r="I194" s="23">
        <v>1</v>
      </c>
      <c r="J194" s="23">
        <v>0.08</v>
      </c>
    </row>
    <row r="195" spans="1:10" x14ac:dyDescent="0.35">
      <c r="A195" s="23">
        <v>194</v>
      </c>
      <c r="B195" s="24">
        <v>40552</v>
      </c>
      <c r="C195" s="23">
        <v>1</v>
      </c>
      <c r="D195" s="23">
        <v>0</v>
      </c>
      <c r="E195" s="23">
        <v>1</v>
      </c>
      <c r="F195" s="23">
        <v>8</v>
      </c>
      <c r="G195" s="23" t="b">
        <f>FALSE()</f>
        <v>0</v>
      </c>
      <c r="H195" s="23">
        <v>0</v>
      </c>
      <c r="I195" s="23">
        <v>1</v>
      </c>
      <c r="J195" s="23">
        <v>0.1</v>
      </c>
    </row>
    <row r="196" spans="1:10" x14ac:dyDescent="0.35">
      <c r="A196" s="23">
        <v>195</v>
      </c>
      <c r="B196" s="24">
        <v>40552</v>
      </c>
      <c r="C196" s="23">
        <v>1</v>
      </c>
      <c r="D196" s="23">
        <v>0</v>
      </c>
      <c r="E196" s="23">
        <v>1</v>
      </c>
      <c r="F196" s="23">
        <v>9</v>
      </c>
      <c r="G196" s="23" t="b">
        <f>FALSE()</f>
        <v>0</v>
      </c>
      <c r="H196" s="23">
        <v>0</v>
      </c>
      <c r="I196" s="23">
        <v>1</v>
      </c>
      <c r="J196" s="23">
        <v>0.12</v>
      </c>
    </row>
    <row r="197" spans="1:10" x14ac:dyDescent="0.35">
      <c r="A197" s="23">
        <v>196</v>
      </c>
      <c r="B197" s="24">
        <v>40552</v>
      </c>
      <c r="C197" s="23">
        <v>1</v>
      </c>
      <c r="D197" s="23">
        <v>0</v>
      </c>
      <c r="E197" s="23">
        <v>1</v>
      </c>
      <c r="F197" s="23">
        <v>10</v>
      </c>
      <c r="G197" s="23" t="b">
        <f>FALSE()</f>
        <v>0</v>
      </c>
      <c r="H197" s="23">
        <v>0</v>
      </c>
      <c r="I197" s="23">
        <v>1</v>
      </c>
      <c r="J197" s="23">
        <v>0.14000000000000001</v>
      </c>
    </row>
    <row r="198" spans="1:10" x14ac:dyDescent="0.35">
      <c r="A198" s="23">
        <v>197</v>
      </c>
      <c r="B198" s="24">
        <v>40552</v>
      </c>
      <c r="C198" s="23">
        <v>1</v>
      </c>
      <c r="D198" s="23">
        <v>0</v>
      </c>
      <c r="E198" s="23">
        <v>1</v>
      </c>
      <c r="F198" s="23">
        <v>11</v>
      </c>
      <c r="G198" s="23" t="b">
        <f>FALSE()</f>
        <v>0</v>
      </c>
      <c r="H198" s="23">
        <v>0</v>
      </c>
      <c r="I198" s="23">
        <v>1</v>
      </c>
      <c r="J198" s="23">
        <v>0.16</v>
      </c>
    </row>
    <row r="199" spans="1:10" x14ac:dyDescent="0.35">
      <c r="A199" s="23">
        <v>198</v>
      </c>
      <c r="B199" s="24">
        <v>40552</v>
      </c>
      <c r="C199" s="23">
        <v>1</v>
      </c>
      <c r="D199" s="23">
        <v>0</v>
      </c>
      <c r="E199" s="23">
        <v>1</v>
      </c>
      <c r="F199" s="23">
        <v>12</v>
      </c>
      <c r="G199" s="23" t="b">
        <f>FALSE()</f>
        <v>0</v>
      </c>
      <c r="H199" s="23">
        <v>0</v>
      </c>
      <c r="I199" s="23">
        <v>1</v>
      </c>
      <c r="J199" s="23">
        <v>0.18</v>
      </c>
    </row>
    <row r="200" spans="1:10" x14ac:dyDescent="0.35">
      <c r="A200" s="23">
        <v>199</v>
      </c>
      <c r="B200" s="24">
        <v>40552</v>
      </c>
      <c r="C200" s="23">
        <v>1</v>
      </c>
      <c r="D200" s="23">
        <v>0</v>
      </c>
      <c r="E200" s="23">
        <v>1</v>
      </c>
      <c r="F200" s="23">
        <v>13</v>
      </c>
      <c r="G200" s="23" t="b">
        <f>FALSE()</f>
        <v>0</v>
      </c>
      <c r="H200" s="23">
        <v>0</v>
      </c>
      <c r="I200" s="23">
        <v>1</v>
      </c>
      <c r="J200" s="23">
        <v>0.2</v>
      </c>
    </row>
    <row r="201" spans="1:10" x14ac:dyDescent="0.35">
      <c r="A201" s="23">
        <v>200</v>
      </c>
      <c r="B201" s="24">
        <v>40552</v>
      </c>
      <c r="C201" s="23">
        <v>1</v>
      </c>
      <c r="D201" s="23">
        <v>0</v>
      </c>
      <c r="E201" s="23">
        <v>1</v>
      </c>
      <c r="F201" s="23">
        <v>14</v>
      </c>
      <c r="G201" s="23" t="b">
        <f>FALSE()</f>
        <v>0</v>
      </c>
      <c r="H201" s="23">
        <v>0</v>
      </c>
      <c r="I201" s="23">
        <v>1</v>
      </c>
      <c r="J201" s="23">
        <v>0.22</v>
      </c>
    </row>
    <row r="202" spans="1:10" x14ac:dyDescent="0.35">
      <c r="A202" s="23">
        <v>201</v>
      </c>
      <c r="B202" s="24">
        <v>40552</v>
      </c>
      <c r="C202" s="23">
        <v>1</v>
      </c>
      <c r="D202" s="23">
        <v>0</v>
      </c>
      <c r="E202" s="23">
        <v>1</v>
      </c>
      <c r="F202" s="23">
        <v>15</v>
      </c>
      <c r="G202" s="23" t="b">
        <f>FALSE()</f>
        <v>0</v>
      </c>
      <c r="H202" s="23">
        <v>0</v>
      </c>
      <c r="I202" s="23">
        <v>1</v>
      </c>
      <c r="J202" s="23">
        <v>0.22</v>
      </c>
    </row>
    <row r="203" spans="1:10" x14ac:dyDescent="0.35">
      <c r="A203" s="23">
        <v>202</v>
      </c>
      <c r="B203" s="24">
        <v>40552</v>
      </c>
      <c r="C203" s="23">
        <v>1</v>
      </c>
      <c r="D203" s="23">
        <v>0</v>
      </c>
      <c r="E203" s="23">
        <v>1</v>
      </c>
      <c r="F203" s="23">
        <v>16</v>
      </c>
      <c r="G203" s="23" t="b">
        <f>FALSE()</f>
        <v>0</v>
      </c>
      <c r="H203" s="23">
        <v>0</v>
      </c>
      <c r="I203" s="23">
        <v>1</v>
      </c>
      <c r="J203" s="23">
        <v>0.2</v>
      </c>
    </row>
    <row r="204" spans="1:10" x14ac:dyDescent="0.35">
      <c r="A204" s="23">
        <v>203</v>
      </c>
      <c r="B204" s="24">
        <v>40552</v>
      </c>
      <c r="C204" s="23">
        <v>1</v>
      </c>
      <c r="D204" s="23">
        <v>0</v>
      </c>
      <c r="E204" s="23">
        <v>1</v>
      </c>
      <c r="F204" s="23">
        <v>17</v>
      </c>
      <c r="G204" s="23" t="b">
        <f>FALSE()</f>
        <v>0</v>
      </c>
      <c r="H204" s="23">
        <v>0</v>
      </c>
      <c r="I204" s="23">
        <v>1</v>
      </c>
      <c r="J204" s="23">
        <v>0.18</v>
      </c>
    </row>
    <row r="205" spans="1:10" x14ac:dyDescent="0.35">
      <c r="A205" s="23">
        <v>204</v>
      </c>
      <c r="B205" s="24">
        <v>40552</v>
      </c>
      <c r="C205" s="23">
        <v>1</v>
      </c>
      <c r="D205" s="23">
        <v>0</v>
      </c>
      <c r="E205" s="23">
        <v>1</v>
      </c>
      <c r="F205" s="23">
        <v>18</v>
      </c>
      <c r="G205" s="23" t="b">
        <f>FALSE()</f>
        <v>0</v>
      </c>
      <c r="H205" s="23">
        <v>0</v>
      </c>
      <c r="I205" s="23">
        <v>1</v>
      </c>
      <c r="J205" s="23">
        <v>0.16</v>
      </c>
    </row>
    <row r="206" spans="1:10" x14ac:dyDescent="0.35">
      <c r="A206" s="23">
        <v>205</v>
      </c>
      <c r="B206" s="24">
        <v>40552</v>
      </c>
      <c r="C206" s="23">
        <v>1</v>
      </c>
      <c r="D206" s="23">
        <v>0</v>
      </c>
      <c r="E206" s="23">
        <v>1</v>
      </c>
      <c r="F206" s="23">
        <v>19</v>
      </c>
      <c r="G206" s="23" t="b">
        <f>FALSE()</f>
        <v>0</v>
      </c>
      <c r="H206" s="23">
        <v>0</v>
      </c>
      <c r="I206" s="23">
        <v>1</v>
      </c>
      <c r="J206" s="23">
        <v>0.16</v>
      </c>
    </row>
    <row r="207" spans="1:10" x14ac:dyDescent="0.35">
      <c r="A207" s="23">
        <v>206</v>
      </c>
      <c r="B207" s="24">
        <v>40552</v>
      </c>
      <c r="C207" s="23">
        <v>1</v>
      </c>
      <c r="D207" s="23">
        <v>0</v>
      </c>
      <c r="E207" s="23">
        <v>1</v>
      </c>
      <c r="F207" s="23">
        <v>20</v>
      </c>
      <c r="G207" s="23" t="b">
        <f>FALSE()</f>
        <v>0</v>
      </c>
      <c r="H207" s="23">
        <v>0</v>
      </c>
      <c r="I207" s="23">
        <v>1</v>
      </c>
      <c r="J207" s="23">
        <v>0.14000000000000001</v>
      </c>
    </row>
    <row r="208" spans="1:10" x14ac:dyDescent="0.35">
      <c r="A208" s="23">
        <v>207</v>
      </c>
      <c r="B208" s="24">
        <v>40552</v>
      </c>
      <c r="C208" s="23">
        <v>1</v>
      </c>
      <c r="D208" s="23">
        <v>0</v>
      </c>
      <c r="E208" s="23">
        <v>1</v>
      </c>
      <c r="F208" s="23">
        <v>21</v>
      </c>
      <c r="G208" s="23" t="b">
        <f>FALSE()</f>
        <v>0</v>
      </c>
      <c r="H208" s="23">
        <v>0</v>
      </c>
      <c r="I208" s="23">
        <v>1</v>
      </c>
      <c r="J208" s="23">
        <v>0.14000000000000001</v>
      </c>
    </row>
    <row r="209" spans="1:10" x14ac:dyDescent="0.35">
      <c r="A209" s="23">
        <v>208</v>
      </c>
      <c r="B209" s="24">
        <v>40552</v>
      </c>
      <c r="C209" s="23">
        <v>1</v>
      </c>
      <c r="D209" s="23">
        <v>0</v>
      </c>
      <c r="E209" s="23">
        <v>1</v>
      </c>
      <c r="F209" s="23">
        <v>22</v>
      </c>
      <c r="G209" s="23" t="b">
        <f>FALSE()</f>
        <v>0</v>
      </c>
      <c r="H209" s="23">
        <v>0</v>
      </c>
      <c r="I209" s="23">
        <v>1</v>
      </c>
      <c r="J209" s="23">
        <v>0.14000000000000001</v>
      </c>
    </row>
    <row r="210" spans="1:10" x14ac:dyDescent="0.35">
      <c r="A210" s="23">
        <v>209</v>
      </c>
      <c r="B210" s="24">
        <v>40552</v>
      </c>
      <c r="C210" s="23">
        <v>1</v>
      </c>
      <c r="D210" s="23">
        <v>0</v>
      </c>
      <c r="E210" s="23">
        <v>1</v>
      </c>
      <c r="F210" s="23">
        <v>23</v>
      </c>
      <c r="G210" s="23" t="b">
        <f>FALSE()</f>
        <v>0</v>
      </c>
      <c r="H210" s="23">
        <v>0</v>
      </c>
      <c r="I210" s="23">
        <v>1</v>
      </c>
      <c r="J210" s="23">
        <v>0.12</v>
      </c>
    </row>
    <row r="211" spans="1:10" x14ac:dyDescent="0.35">
      <c r="A211" s="23">
        <v>210</v>
      </c>
      <c r="B211" s="24">
        <v>40553</v>
      </c>
      <c r="C211" s="23">
        <v>1</v>
      </c>
      <c r="D211" s="23">
        <v>0</v>
      </c>
      <c r="E211" s="23">
        <v>1</v>
      </c>
      <c r="F211" s="23">
        <v>0</v>
      </c>
      <c r="G211" s="23" t="b">
        <f>FALSE()</f>
        <v>0</v>
      </c>
      <c r="H211" s="23">
        <v>1</v>
      </c>
      <c r="I211" s="23">
        <v>1</v>
      </c>
      <c r="J211" s="23">
        <v>0.12</v>
      </c>
    </row>
    <row r="212" spans="1:10" x14ac:dyDescent="0.35">
      <c r="A212" s="23">
        <v>211</v>
      </c>
      <c r="B212" s="24">
        <v>40553</v>
      </c>
      <c r="C212" s="23">
        <v>1</v>
      </c>
      <c r="D212" s="23">
        <v>0</v>
      </c>
      <c r="E212" s="23">
        <v>1</v>
      </c>
      <c r="F212" s="23">
        <v>1</v>
      </c>
      <c r="G212" s="23" t="b">
        <f>FALSE()</f>
        <v>0</v>
      </c>
      <c r="H212" s="23">
        <v>1</v>
      </c>
      <c r="I212" s="23">
        <v>1</v>
      </c>
      <c r="J212" s="23">
        <v>0.12</v>
      </c>
    </row>
    <row r="213" spans="1:10" x14ac:dyDescent="0.35">
      <c r="A213" s="23">
        <v>212</v>
      </c>
      <c r="B213" s="24">
        <v>40553</v>
      </c>
      <c r="C213" s="23">
        <v>1</v>
      </c>
      <c r="D213" s="23">
        <v>0</v>
      </c>
      <c r="E213" s="23">
        <v>1</v>
      </c>
      <c r="F213" s="23">
        <v>2</v>
      </c>
      <c r="G213" s="23" t="b">
        <f>FALSE()</f>
        <v>0</v>
      </c>
      <c r="H213" s="23">
        <v>1</v>
      </c>
      <c r="I213" s="23">
        <v>1</v>
      </c>
      <c r="J213" s="23">
        <v>0.12</v>
      </c>
    </row>
    <row r="214" spans="1:10" x14ac:dyDescent="0.35">
      <c r="A214" s="23">
        <v>213</v>
      </c>
      <c r="B214" s="24">
        <v>40553</v>
      </c>
      <c r="C214" s="23">
        <v>1</v>
      </c>
      <c r="D214" s="23">
        <v>0</v>
      </c>
      <c r="E214" s="23">
        <v>1</v>
      </c>
      <c r="F214" s="23">
        <v>3</v>
      </c>
      <c r="G214" s="23" t="b">
        <f>FALSE()</f>
        <v>0</v>
      </c>
      <c r="H214" s="23">
        <v>1</v>
      </c>
      <c r="I214" s="23">
        <v>1</v>
      </c>
      <c r="J214" s="23">
        <v>0.12</v>
      </c>
    </row>
    <row r="215" spans="1:10" x14ac:dyDescent="0.35">
      <c r="A215" s="23">
        <v>214</v>
      </c>
      <c r="B215" s="24">
        <v>40553</v>
      </c>
      <c r="C215" s="23">
        <v>1</v>
      </c>
      <c r="D215" s="23">
        <v>0</v>
      </c>
      <c r="E215" s="23">
        <v>1</v>
      </c>
      <c r="F215" s="23">
        <v>4</v>
      </c>
      <c r="G215" s="23" t="b">
        <f>FALSE()</f>
        <v>0</v>
      </c>
      <c r="H215" s="23">
        <v>1</v>
      </c>
      <c r="I215" s="23">
        <v>1</v>
      </c>
      <c r="J215" s="23">
        <v>0.1</v>
      </c>
    </row>
    <row r="216" spans="1:10" x14ac:dyDescent="0.35">
      <c r="A216" s="23">
        <v>215</v>
      </c>
      <c r="B216" s="24">
        <v>40553</v>
      </c>
      <c r="C216" s="23">
        <v>1</v>
      </c>
      <c r="D216" s="23">
        <v>0</v>
      </c>
      <c r="E216" s="23">
        <v>1</v>
      </c>
      <c r="F216" s="23">
        <v>5</v>
      </c>
      <c r="G216" s="23" t="b">
        <f>FALSE()</f>
        <v>0</v>
      </c>
      <c r="H216" s="23">
        <v>1</v>
      </c>
      <c r="I216" s="23">
        <v>1</v>
      </c>
      <c r="J216" s="23">
        <v>0.1</v>
      </c>
    </row>
    <row r="217" spans="1:10" x14ac:dyDescent="0.35">
      <c r="A217" s="23">
        <v>216</v>
      </c>
      <c r="B217" s="24">
        <v>40553</v>
      </c>
      <c r="C217" s="23">
        <v>1</v>
      </c>
      <c r="D217" s="23">
        <v>0</v>
      </c>
      <c r="E217" s="23">
        <v>1</v>
      </c>
      <c r="F217" s="23">
        <v>6</v>
      </c>
      <c r="G217" s="23" t="b">
        <f>FALSE()</f>
        <v>0</v>
      </c>
      <c r="H217" s="23">
        <v>1</v>
      </c>
      <c r="I217" s="23">
        <v>1</v>
      </c>
      <c r="J217" s="23">
        <v>0.12</v>
      </c>
    </row>
    <row r="218" spans="1:10" x14ac:dyDescent="0.35">
      <c r="A218" s="23">
        <v>217</v>
      </c>
      <c r="B218" s="24">
        <v>40553</v>
      </c>
      <c r="C218" s="23">
        <v>1</v>
      </c>
      <c r="D218" s="23">
        <v>0</v>
      </c>
      <c r="E218" s="23">
        <v>1</v>
      </c>
      <c r="F218" s="23">
        <v>7</v>
      </c>
      <c r="G218" s="23" t="b">
        <f>FALSE()</f>
        <v>0</v>
      </c>
      <c r="H218" s="23">
        <v>1</v>
      </c>
      <c r="I218" s="23">
        <v>1</v>
      </c>
      <c r="J218" s="23">
        <v>0.12</v>
      </c>
    </row>
    <row r="219" spans="1:10" x14ac:dyDescent="0.35">
      <c r="A219" s="23">
        <v>218</v>
      </c>
      <c r="B219" s="24">
        <v>40553</v>
      </c>
      <c r="C219" s="23">
        <v>1</v>
      </c>
      <c r="D219" s="23">
        <v>0</v>
      </c>
      <c r="E219" s="23">
        <v>1</v>
      </c>
      <c r="F219" s="23">
        <v>8</v>
      </c>
      <c r="G219" s="23" t="b">
        <f>FALSE()</f>
        <v>0</v>
      </c>
      <c r="H219" s="23">
        <v>1</v>
      </c>
      <c r="I219" s="23">
        <v>2</v>
      </c>
      <c r="J219" s="23">
        <v>0.12</v>
      </c>
    </row>
    <row r="220" spans="1:10" x14ac:dyDescent="0.35">
      <c r="A220" s="23">
        <v>219</v>
      </c>
      <c r="B220" s="24">
        <v>40553</v>
      </c>
      <c r="C220" s="23">
        <v>1</v>
      </c>
      <c r="D220" s="23">
        <v>0</v>
      </c>
      <c r="E220" s="23">
        <v>1</v>
      </c>
      <c r="F220" s="23">
        <v>9</v>
      </c>
      <c r="G220" s="23" t="b">
        <f>FALSE()</f>
        <v>0</v>
      </c>
      <c r="H220" s="23">
        <v>1</v>
      </c>
      <c r="I220" s="23">
        <v>2</v>
      </c>
      <c r="J220" s="23">
        <v>0.14000000000000001</v>
      </c>
    </row>
    <row r="221" spans="1:10" x14ac:dyDescent="0.35">
      <c r="A221" s="23">
        <v>220</v>
      </c>
      <c r="B221" s="24">
        <v>40553</v>
      </c>
      <c r="C221" s="23">
        <v>1</v>
      </c>
      <c r="D221" s="23">
        <v>0</v>
      </c>
      <c r="E221" s="23">
        <v>1</v>
      </c>
      <c r="F221" s="23">
        <v>10</v>
      </c>
      <c r="G221" s="23" t="b">
        <f>FALSE()</f>
        <v>0</v>
      </c>
      <c r="H221" s="23">
        <v>1</v>
      </c>
      <c r="I221" s="23">
        <v>2</v>
      </c>
      <c r="J221" s="23">
        <v>0.14000000000000001</v>
      </c>
    </row>
    <row r="222" spans="1:10" x14ac:dyDescent="0.35">
      <c r="A222" s="23">
        <v>221</v>
      </c>
      <c r="B222" s="24">
        <v>40553</v>
      </c>
      <c r="C222" s="23">
        <v>1</v>
      </c>
      <c r="D222" s="23">
        <v>0</v>
      </c>
      <c r="E222" s="23">
        <v>1</v>
      </c>
      <c r="F222" s="23">
        <v>11</v>
      </c>
      <c r="G222" s="23" t="b">
        <f>FALSE()</f>
        <v>0</v>
      </c>
      <c r="H222" s="23">
        <v>1</v>
      </c>
      <c r="I222" s="23">
        <v>2</v>
      </c>
      <c r="J222" s="23">
        <v>0.16</v>
      </c>
    </row>
    <row r="223" spans="1:10" x14ac:dyDescent="0.35">
      <c r="A223" s="23">
        <v>222</v>
      </c>
      <c r="B223" s="24">
        <v>40553</v>
      </c>
      <c r="C223" s="23">
        <v>1</v>
      </c>
      <c r="D223" s="23">
        <v>0</v>
      </c>
      <c r="E223" s="23">
        <v>1</v>
      </c>
      <c r="F223" s="23">
        <v>12</v>
      </c>
      <c r="G223" s="23" t="b">
        <f>FALSE()</f>
        <v>0</v>
      </c>
      <c r="H223" s="23">
        <v>1</v>
      </c>
      <c r="I223" s="23">
        <v>2</v>
      </c>
      <c r="J223" s="23">
        <v>0.2</v>
      </c>
    </row>
    <row r="224" spans="1:10" x14ac:dyDescent="0.35">
      <c r="A224" s="23">
        <v>223</v>
      </c>
      <c r="B224" s="24">
        <v>40553</v>
      </c>
      <c r="C224" s="23">
        <v>1</v>
      </c>
      <c r="D224" s="23">
        <v>0</v>
      </c>
      <c r="E224" s="23">
        <v>1</v>
      </c>
      <c r="F224" s="23">
        <v>13</v>
      </c>
      <c r="G224" s="23" t="b">
        <f>FALSE()</f>
        <v>0</v>
      </c>
      <c r="H224" s="23">
        <v>1</v>
      </c>
      <c r="I224" s="23">
        <v>2</v>
      </c>
      <c r="J224" s="23">
        <v>0.2</v>
      </c>
    </row>
    <row r="225" spans="1:10" x14ac:dyDescent="0.35">
      <c r="A225" s="23">
        <v>224</v>
      </c>
      <c r="B225" s="24">
        <v>40553</v>
      </c>
      <c r="C225" s="23">
        <v>1</v>
      </c>
      <c r="D225" s="23">
        <v>0</v>
      </c>
      <c r="E225" s="23">
        <v>1</v>
      </c>
      <c r="F225" s="23">
        <v>14</v>
      </c>
      <c r="G225" s="23" t="b">
        <f>FALSE()</f>
        <v>0</v>
      </c>
      <c r="H225" s="23">
        <v>1</v>
      </c>
      <c r="I225" s="23">
        <v>2</v>
      </c>
      <c r="J225" s="23">
        <v>0.2</v>
      </c>
    </row>
    <row r="226" spans="1:10" x14ac:dyDescent="0.35">
      <c r="A226" s="23">
        <v>225</v>
      </c>
      <c r="B226" s="24">
        <v>40553</v>
      </c>
      <c r="C226" s="23">
        <v>1</v>
      </c>
      <c r="D226" s="23">
        <v>0</v>
      </c>
      <c r="E226" s="23">
        <v>1</v>
      </c>
      <c r="F226" s="23">
        <v>15</v>
      </c>
      <c r="G226" s="23" t="b">
        <f>FALSE()</f>
        <v>0</v>
      </c>
      <c r="H226" s="23">
        <v>1</v>
      </c>
      <c r="I226" s="23">
        <v>2</v>
      </c>
      <c r="J226" s="23">
        <v>0.2</v>
      </c>
    </row>
    <row r="227" spans="1:10" x14ac:dyDescent="0.35">
      <c r="A227" s="23">
        <v>226</v>
      </c>
      <c r="B227" s="24">
        <v>40553</v>
      </c>
      <c r="C227" s="23">
        <v>1</v>
      </c>
      <c r="D227" s="23">
        <v>0</v>
      </c>
      <c r="E227" s="23">
        <v>1</v>
      </c>
      <c r="F227" s="23">
        <v>16</v>
      </c>
      <c r="G227" s="23" t="b">
        <f>FALSE()</f>
        <v>0</v>
      </c>
      <c r="H227" s="23">
        <v>1</v>
      </c>
      <c r="I227" s="23">
        <v>1</v>
      </c>
      <c r="J227" s="23">
        <v>0.2</v>
      </c>
    </row>
    <row r="228" spans="1:10" x14ac:dyDescent="0.35">
      <c r="A228" s="23">
        <v>227</v>
      </c>
      <c r="B228" s="24">
        <v>40553</v>
      </c>
      <c r="C228" s="23">
        <v>1</v>
      </c>
      <c r="D228" s="23">
        <v>0</v>
      </c>
      <c r="E228" s="23">
        <v>1</v>
      </c>
      <c r="F228" s="23">
        <v>17</v>
      </c>
      <c r="G228" s="23" t="b">
        <f>FALSE()</f>
        <v>0</v>
      </c>
      <c r="H228" s="23">
        <v>1</v>
      </c>
      <c r="I228" s="23">
        <v>1</v>
      </c>
      <c r="J228" s="23">
        <v>0.2</v>
      </c>
    </row>
    <row r="229" spans="1:10" x14ac:dyDescent="0.35">
      <c r="A229" s="23">
        <v>228</v>
      </c>
      <c r="B229" s="24">
        <v>40553</v>
      </c>
      <c r="C229" s="23">
        <v>1</v>
      </c>
      <c r="D229" s="23">
        <v>0</v>
      </c>
      <c r="E229" s="23">
        <v>1</v>
      </c>
      <c r="F229" s="23">
        <v>18</v>
      </c>
      <c r="G229" s="23" t="b">
        <f>FALSE()</f>
        <v>0</v>
      </c>
      <c r="H229" s="23">
        <v>1</v>
      </c>
      <c r="I229" s="23">
        <v>1</v>
      </c>
      <c r="J229" s="23">
        <v>0.2</v>
      </c>
    </row>
    <row r="230" spans="1:10" x14ac:dyDescent="0.35">
      <c r="A230" s="23">
        <v>229</v>
      </c>
      <c r="B230" s="24">
        <v>40553</v>
      </c>
      <c r="C230" s="23">
        <v>1</v>
      </c>
      <c r="D230" s="23">
        <v>0</v>
      </c>
      <c r="E230" s="23">
        <v>1</v>
      </c>
      <c r="F230" s="23">
        <v>19</v>
      </c>
      <c r="G230" s="23" t="b">
        <f>FALSE()</f>
        <v>0</v>
      </c>
      <c r="H230" s="23">
        <v>1</v>
      </c>
      <c r="I230" s="23">
        <v>1</v>
      </c>
      <c r="J230" s="23">
        <v>0.16</v>
      </c>
    </row>
    <row r="231" spans="1:10" x14ac:dyDescent="0.35">
      <c r="A231" s="23">
        <v>230</v>
      </c>
      <c r="B231" s="24">
        <v>40553</v>
      </c>
      <c r="C231" s="23">
        <v>1</v>
      </c>
      <c r="D231" s="23">
        <v>0</v>
      </c>
      <c r="E231" s="23">
        <v>1</v>
      </c>
      <c r="F231" s="23">
        <v>20</v>
      </c>
      <c r="G231" s="23" t="b">
        <f>FALSE()</f>
        <v>0</v>
      </c>
      <c r="H231" s="23">
        <v>1</v>
      </c>
      <c r="I231" s="23">
        <v>1</v>
      </c>
      <c r="J231" s="23">
        <v>0.16</v>
      </c>
    </row>
    <row r="232" spans="1:10" x14ac:dyDescent="0.35">
      <c r="A232" s="23">
        <v>231</v>
      </c>
      <c r="B232" s="24">
        <v>40553</v>
      </c>
      <c r="C232" s="23">
        <v>1</v>
      </c>
      <c r="D232" s="23">
        <v>0</v>
      </c>
      <c r="E232" s="23">
        <v>1</v>
      </c>
      <c r="F232" s="23">
        <v>21</v>
      </c>
      <c r="G232" s="23" t="b">
        <f>FALSE()</f>
        <v>0</v>
      </c>
      <c r="H232" s="23">
        <v>1</v>
      </c>
      <c r="I232" s="23">
        <v>1</v>
      </c>
      <c r="J232" s="23">
        <v>0.14000000000000001</v>
      </c>
    </row>
    <row r="233" spans="1:10" x14ac:dyDescent="0.35">
      <c r="A233" s="23">
        <v>232</v>
      </c>
      <c r="B233" s="24">
        <v>40553</v>
      </c>
      <c r="C233" s="23">
        <v>1</v>
      </c>
      <c r="D233" s="23">
        <v>0</v>
      </c>
      <c r="E233" s="23">
        <v>1</v>
      </c>
      <c r="F233" s="23">
        <v>22</v>
      </c>
      <c r="G233" s="23" t="b">
        <f>FALSE()</f>
        <v>0</v>
      </c>
      <c r="H233" s="23">
        <v>1</v>
      </c>
      <c r="I233" s="23">
        <v>1</v>
      </c>
      <c r="J233" s="23">
        <v>0.14000000000000001</v>
      </c>
    </row>
    <row r="234" spans="1:10" x14ac:dyDescent="0.35">
      <c r="A234" s="23">
        <v>233</v>
      </c>
      <c r="B234" s="24">
        <v>40553</v>
      </c>
      <c r="C234" s="23">
        <v>1</v>
      </c>
      <c r="D234" s="23">
        <v>0</v>
      </c>
      <c r="E234" s="23">
        <v>1</v>
      </c>
      <c r="F234" s="23">
        <v>23</v>
      </c>
      <c r="G234" s="23" t="b">
        <f>FALSE()</f>
        <v>0</v>
      </c>
      <c r="H234" s="23">
        <v>1</v>
      </c>
      <c r="I234" s="23">
        <v>1</v>
      </c>
      <c r="J234" s="23">
        <v>0.14000000000000001</v>
      </c>
    </row>
    <row r="235" spans="1:10" x14ac:dyDescent="0.35">
      <c r="A235" s="23">
        <v>234</v>
      </c>
      <c r="B235" s="24">
        <v>40554</v>
      </c>
      <c r="C235" s="23">
        <v>1</v>
      </c>
      <c r="D235" s="23">
        <v>0</v>
      </c>
      <c r="E235" s="23">
        <v>1</v>
      </c>
      <c r="F235" s="23">
        <v>0</v>
      </c>
      <c r="G235" s="23" t="b">
        <f>FALSE()</f>
        <v>0</v>
      </c>
      <c r="H235" s="23">
        <v>2</v>
      </c>
      <c r="I235" s="23">
        <v>1</v>
      </c>
      <c r="J235" s="23">
        <v>0.14000000000000001</v>
      </c>
    </row>
    <row r="236" spans="1:10" x14ac:dyDescent="0.35">
      <c r="A236" s="23">
        <v>235</v>
      </c>
      <c r="B236" s="24">
        <v>40554</v>
      </c>
      <c r="C236" s="23">
        <v>1</v>
      </c>
      <c r="D236" s="23">
        <v>0</v>
      </c>
      <c r="E236" s="23">
        <v>1</v>
      </c>
      <c r="F236" s="23">
        <v>1</v>
      </c>
      <c r="G236" s="23" t="b">
        <f>FALSE()</f>
        <v>0</v>
      </c>
      <c r="H236" s="23">
        <v>2</v>
      </c>
      <c r="I236" s="23">
        <v>1</v>
      </c>
      <c r="J236" s="23">
        <v>0.14000000000000001</v>
      </c>
    </row>
    <row r="237" spans="1:10" x14ac:dyDescent="0.35">
      <c r="A237" s="23">
        <v>236</v>
      </c>
      <c r="B237" s="24">
        <v>40554</v>
      </c>
      <c r="C237" s="23">
        <v>1</v>
      </c>
      <c r="D237" s="23">
        <v>0</v>
      </c>
      <c r="E237" s="23">
        <v>1</v>
      </c>
      <c r="F237" s="23">
        <v>2</v>
      </c>
      <c r="G237" s="23" t="b">
        <f>FALSE()</f>
        <v>0</v>
      </c>
      <c r="H237" s="23">
        <v>2</v>
      </c>
      <c r="I237" s="23">
        <v>2</v>
      </c>
      <c r="J237" s="23">
        <v>0.16</v>
      </c>
    </row>
    <row r="238" spans="1:10" x14ac:dyDescent="0.35">
      <c r="A238" s="23">
        <v>237</v>
      </c>
      <c r="B238" s="24">
        <v>40554</v>
      </c>
      <c r="C238" s="23">
        <v>1</v>
      </c>
      <c r="D238" s="23">
        <v>0</v>
      </c>
      <c r="E238" s="23">
        <v>1</v>
      </c>
      <c r="F238" s="23">
        <v>5</v>
      </c>
      <c r="G238" s="23" t="b">
        <f>FALSE()</f>
        <v>0</v>
      </c>
      <c r="H238" s="23">
        <v>2</v>
      </c>
      <c r="I238" s="23">
        <v>2</v>
      </c>
      <c r="J238" s="23">
        <v>0.16</v>
      </c>
    </row>
    <row r="239" spans="1:10" x14ac:dyDescent="0.35">
      <c r="A239" s="23">
        <v>238</v>
      </c>
      <c r="B239" s="24">
        <v>40554</v>
      </c>
      <c r="C239" s="23">
        <v>1</v>
      </c>
      <c r="D239" s="23">
        <v>0</v>
      </c>
      <c r="E239" s="23">
        <v>1</v>
      </c>
      <c r="F239" s="23">
        <v>6</v>
      </c>
      <c r="G239" s="23" t="b">
        <f>FALSE()</f>
        <v>0</v>
      </c>
      <c r="H239" s="23">
        <v>2</v>
      </c>
      <c r="I239" s="23">
        <v>2</v>
      </c>
      <c r="J239" s="23">
        <v>0.16</v>
      </c>
    </row>
    <row r="240" spans="1:10" x14ac:dyDescent="0.35">
      <c r="A240" s="23">
        <v>239</v>
      </c>
      <c r="B240" s="24">
        <v>40554</v>
      </c>
      <c r="C240" s="23">
        <v>1</v>
      </c>
      <c r="D240" s="23">
        <v>0</v>
      </c>
      <c r="E240" s="23">
        <v>1</v>
      </c>
      <c r="F240" s="23">
        <v>7</v>
      </c>
      <c r="G240" s="23" t="b">
        <f>FALSE()</f>
        <v>0</v>
      </c>
      <c r="H240" s="23">
        <v>2</v>
      </c>
      <c r="I240" s="23">
        <v>2</v>
      </c>
      <c r="J240" s="23">
        <v>0.16</v>
      </c>
    </row>
    <row r="241" spans="1:10" x14ac:dyDescent="0.35">
      <c r="A241" s="23">
        <v>240</v>
      </c>
      <c r="B241" s="24">
        <v>40554</v>
      </c>
      <c r="C241" s="23">
        <v>1</v>
      </c>
      <c r="D241" s="23">
        <v>0</v>
      </c>
      <c r="E241" s="23">
        <v>1</v>
      </c>
      <c r="F241" s="23">
        <v>8</v>
      </c>
      <c r="G241" s="23" t="b">
        <f>FALSE()</f>
        <v>0</v>
      </c>
      <c r="H241" s="23">
        <v>2</v>
      </c>
      <c r="I241" s="23">
        <v>2</v>
      </c>
      <c r="J241" s="23">
        <v>0.18</v>
      </c>
    </row>
    <row r="242" spans="1:10" x14ac:dyDescent="0.35">
      <c r="A242" s="23">
        <v>241</v>
      </c>
      <c r="B242" s="24">
        <v>40554</v>
      </c>
      <c r="C242" s="23">
        <v>1</v>
      </c>
      <c r="D242" s="23">
        <v>0</v>
      </c>
      <c r="E242" s="23">
        <v>1</v>
      </c>
      <c r="F242" s="23">
        <v>9</v>
      </c>
      <c r="G242" s="23" t="b">
        <f>FALSE()</f>
        <v>0</v>
      </c>
      <c r="H242" s="23">
        <v>2</v>
      </c>
      <c r="I242" s="23">
        <v>2</v>
      </c>
      <c r="J242" s="23">
        <v>0.18</v>
      </c>
    </row>
    <row r="243" spans="1:10" x14ac:dyDescent="0.35">
      <c r="A243" s="23">
        <v>242</v>
      </c>
      <c r="B243" s="24">
        <v>40554</v>
      </c>
      <c r="C243" s="23">
        <v>1</v>
      </c>
      <c r="D243" s="23">
        <v>0</v>
      </c>
      <c r="E243" s="23">
        <v>1</v>
      </c>
      <c r="F243" s="23">
        <v>10</v>
      </c>
      <c r="G243" s="23" t="b">
        <f>FALSE()</f>
        <v>0</v>
      </c>
      <c r="H243" s="23">
        <v>2</v>
      </c>
      <c r="I243" s="23">
        <v>2</v>
      </c>
      <c r="J243" s="23">
        <v>0.2</v>
      </c>
    </row>
    <row r="244" spans="1:10" x14ac:dyDescent="0.35">
      <c r="A244" s="23">
        <v>243</v>
      </c>
      <c r="B244" s="24">
        <v>40554</v>
      </c>
      <c r="C244" s="23">
        <v>1</v>
      </c>
      <c r="D244" s="23">
        <v>0</v>
      </c>
      <c r="E244" s="23">
        <v>1</v>
      </c>
      <c r="F244" s="23">
        <v>11</v>
      </c>
      <c r="G244" s="23" t="b">
        <f>FALSE()</f>
        <v>0</v>
      </c>
      <c r="H244" s="23">
        <v>2</v>
      </c>
      <c r="I244" s="23">
        <v>2</v>
      </c>
      <c r="J244" s="23">
        <v>0.2</v>
      </c>
    </row>
    <row r="245" spans="1:10" x14ac:dyDescent="0.35">
      <c r="A245" s="23">
        <v>244</v>
      </c>
      <c r="B245" s="24">
        <v>40554</v>
      </c>
      <c r="C245" s="23">
        <v>1</v>
      </c>
      <c r="D245" s="23">
        <v>0</v>
      </c>
      <c r="E245" s="23">
        <v>1</v>
      </c>
      <c r="F245" s="23">
        <v>12</v>
      </c>
      <c r="G245" s="23" t="b">
        <f>FALSE()</f>
        <v>0</v>
      </c>
      <c r="H245" s="23">
        <v>2</v>
      </c>
      <c r="I245" s="23">
        <v>2</v>
      </c>
      <c r="J245" s="23">
        <v>0.2</v>
      </c>
    </row>
    <row r="246" spans="1:10" x14ac:dyDescent="0.35">
      <c r="A246" s="23">
        <v>245</v>
      </c>
      <c r="B246" s="24">
        <v>40554</v>
      </c>
      <c r="C246" s="23">
        <v>1</v>
      </c>
      <c r="D246" s="23">
        <v>0</v>
      </c>
      <c r="E246" s="23">
        <v>1</v>
      </c>
      <c r="F246" s="23">
        <v>13</v>
      </c>
      <c r="G246" s="23" t="b">
        <f>FALSE()</f>
        <v>0</v>
      </c>
      <c r="H246" s="23">
        <v>2</v>
      </c>
      <c r="I246" s="23">
        <v>2</v>
      </c>
      <c r="J246" s="23">
        <v>0.2</v>
      </c>
    </row>
    <row r="247" spans="1:10" x14ac:dyDescent="0.35">
      <c r="A247" s="23">
        <v>246</v>
      </c>
      <c r="B247" s="24">
        <v>40554</v>
      </c>
      <c r="C247" s="23">
        <v>1</v>
      </c>
      <c r="D247" s="23">
        <v>0</v>
      </c>
      <c r="E247" s="23">
        <v>1</v>
      </c>
      <c r="F247" s="23">
        <v>14</v>
      </c>
      <c r="G247" s="23" t="b">
        <f>FALSE()</f>
        <v>0</v>
      </c>
      <c r="H247" s="23">
        <v>2</v>
      </c>
      <c r="I247" s="23">
        <v>2</v>
      </c>
      <c r="J247" s="23">
        <v>0.2</v>
      </c>
    </row>
    <row r="248" spans="1:10" x14ac:dyDescent="0.35">
      <c r="A248" s="23">
        <v>247</v>
      </c>
      <c r="B248" s="24">
        <v>40554</v>
      </c>
      <c r="C248" s="23">
        <v>1</v>
      </c>
      <c r="D248" s="23">
        <v>0</v>
      </c>
      <c r="E248" s="23">
        <v>1</v>
      </c>
      <c r="F248" s="23">
        <v>15</v>
      </c>
      <c r="G248" s="23" t="b">
        <f>FALSE()</f>
        <v>0</v>
      </c>
      <c r="H248" s="23">
        <v>2</v>
      </c>
      <c r="I248" s="23">
        <v>2</v>
      </c>
      <c r="J248" s="23">
        <v>0.16</v>
      </c>
    </row>
    <row r="249" spans="1:10" x14ac:dyDescent="0.35">
      <c r="A249" s="23">
        <v>248</v>
      </c>
      <c r="B249" s="24">
        <v>40554</v>
      </c>
      <c r="C249" s="23">
        <v>1</v>
      </c>
      <c r="D249" s="23">
        <v>0</v>
      </c>
      <c r="E249" s="23">
        <v>1</v>
      </c>
      <c r="F249" s="23">
        <v>16</v>
      </c>
      <c r="G249" s="23" t="b">
        <f>FALSE()</f>
        <v>0</v>
      </c>
      <c r="H249" s="23">
        <v>2</v>
      </c>
      <c r="I249" s="23">
        <v>2</v>
      </c>
      <c r="J249" s="23">
        <v>0.16</v>
      </c>
    </row>
    <row r="250" spans="1:10" x14ac:dyDescent="0.35">
      <c r="A250" s="23">
        <v>249</v>
      </c>
      <c r="B250" s="24">
        <v>40554</v>
      </c>
      <c r="C250" s="23">
        <v>1</v>
      </c>
      <c r="D250" s="23">
        <v>0</v>
      </c>
      <c r="E250" s="23">
        <v>1</v>
      </c>
      <c r="F250" s="23">
        <v>17</v>
      </c>
      <c r="G250" s="23" t="b">
        <f>FALSE()</f>
        <v>0</v>
      </c>
      <c r="H250" s="23">
        <v>2</v>
      </c>
      <c r="I250" s="23">
        <v>2</v>
      </c>
      <c r="J250" s="23">
        <v>0.16</v>
      </c>
    </row>
    <row r="251" spans="1:10" x14ac:dyDescent="0.35">
      <c r="A251" s="23">
        <v>250</v>
      </c>
      <c r="B251" s="24">
        <v>40554</v>
      </c>
      <c r="C251" s="23">
        <v>1</v>
      </c>
      <c r="D251" s="23">
        <v>0</v>
      </c>
      <c r="E251" s="23">
        <v>1</v>
      </c>
      <c r="F251" s="23">
        <v>18</v>
      </c>
      <c r="G251" s="23" t="b">
        <f>FALSE()</f>
        <v>0</v>
      </c>
      <c r="H251" s="23">
        <v>2</v>
      </c>
      <c r="I251" s="23">
        <v>3</v>
      </c>
      <c r="J251" s="23">
        <v>0.16</v>
      </c>
    </row>
    <row r="252" spans="1:10" x14ac:dyDescent="0.35">
      <c r="A252" s="23">
        <v>251</v>
      </c>
      <c r="B252" s="24">
        <v>40554</v>
      </c>
      <c r="C252" s="23">
        <v>1</v>
      </c>
      <c r="D252" s="23">
        <v>0</v>
      </c>
      <c r="E252" s="23">
        <v>1</v>
      </c>
      <c r="F252" s="23">
        <v>19</v>
      </c>
      <c r="G252" s="23" t="b">
        <f>FALSE()</f>
        <v>0</v>
      </c>
      <c r="H252" s="23">
        <v>2</v>
      </c>
      <c r="I252" s="23">
        <v>3</v>
      </c>
      <c r="J252" s="23">
        <v>0.16</v>
      </c>
    </row>
    <row r="253" spans="1:10" x14ac:dyDescent="0.35">
      <c r="A253" s="23">
        <v>252</v>
      </c>
      <c r="B253" s="24">
        <v>40554</v>
      </c>
      <c r="C253" s="23">
        <v>1</v>
      </c>
      <c r="D253" s="23">
        <v>0</v>
      </c>
      <c r="E253" s="23">
        <v>1</v>
      </c>
      <c r="F253" s="23">
        <v>20</v>
      </c>
      <c r="G253" s="23" t="b">
        <f>FALSE()</f>
        <v>0</v>
      </c>
      <c r="H253" s="23">
        <v>2</v>
      </c>
      <c r="I253" s="23">
        <v>3</v>
      </c>
      <c r="J253" s="23">
        <v>0.16</v>
      </c>
    </row>
    <row r="254" spans="1:10" x14ac:dyDescent="0.35">
      <c r="A254" s="23">
        <v>253</v>
      </c>
      <c r="B254" s="24">
        <v>40554</v>
      </c>
      <c r="C254" s="23">
        <v>1</v>
      </c>
      <c r="D254" s="23">
        <v>0</v>
      </c>
      <c r="E254" s="23">
        <v>1</v>
      </c>
      <c r="F254" s="23">
        <v>21</v>
      </c>
      <c r="G254" s="23" t="b">
        <f>FALSE()</f>
        <v>0</v>
      </c>
      <c r="H254" s="23">
        <v>2</v>
      </c>
      <c r="I254" s="23">
        <v>3</v>
      </c>
      <c r="J254" s="23">
        <v>0.16</v>
      </c>
    </row>
    <row r="255" spans="1:10" x14ac:dyDescent="0.35">
      <c r="A255" s="23">
        <v>254</v>
      </c>
      <c r="B255" s="24">
        <v>40554</v>
      </c>
      <c r="C255" s="23">
        <v>1</v>
      </c>
      <c r="D255" s="23">
        <v>0</v>
      </c>
      <c r="E255" s="23">
        <v>1</v>
      </c>
      <c r="F255" s="23">
        <v>22</v>
      </c>
      <c r="G255" s="23" t="b">
        <f>FALSE()</f>
        <v>0</v>
      </c>
      <c r="H255" s="23">
        <v>2</v>
      </c>
      <c r="I255" s="23">
        <v>3</v>
      </c>
      <c r="J255" s="23">
        <v>0.16</v>
      </c>
    </row>
    <row r="256" spans="1:10" x14ac:dyDescent="0.35">
      <c r="A256" s="23">
        <v>255</v>
      </c>
      <c r="B256" s="24">
        <v>40554</v>
      </c>
      <c r="C256" s="23">
        <v>1</v>
      </c>
      <c r="D256" s="23">
        <v>0</v>
      </c>
      <c r="E256" s="23">
        <v>1</v>
      </c>
      <c r="F256" s="23">
        <v>23</v>
      </c>
      <c r="G256" s="23" t="b">
        <f>FALSE()</f>
        <v>0</v>
      </c>
      <c r="H256" s="23">
        <v>2</v>
      </c>
      <c r="I256" s="23">
        <v>3</v>
      </c>
      <c r="J256" s="23">
        <v>0.16</v>
      </c>
    </row>
    <row r="257" spans="1:10" x14ac:dyDescent="0.35">
      <c r="A257" s="23">
        <v>256</v>
      </c>
      <c r="B257" s="24">
        <v>40555</v>
      </c>
      <c r="C257" s="23">
        <v>1</v>
      </c>
      <c r="D257" s="23">
        <v>0</v>
      </c>
      <c r="E257" s="23">
        <v>1</v>
      </c>
      <c r="F257" s="23">
        <v>0</v>
      </c>
      <c r="G257" s="23" t="b">
        <f>FALSE()</f>
        <v>0</v>
      </c>
      <c r="H257" s="23">
        <v>3</v>
      </c>
      <c r="I257" s="23">
        <v>2</v>
      </c>
      <c r="J257" s="23">
        <v>0.16</v>
      </c>
    </row>
    <row r="258" spans="1:10" x14ac:dyDescent="0.35">
      <c r="A258" s="23">
        <v>257</v>
      </c>
      <c r="B258" s="24">
        <v>40555</v>
      </c>
      <c r="C258" s="23">
        <v>1</v>
      </c>
      <c r="D258" s="23">
        <v>0</v>
      </c>
      <c r="E258" s="23">
        <v>1</v>
      </c>
      <c r="F258" s="23">
        <v>1</v>
      </c>
      <c r="G258" s="23" t="b">
        <f>FALSE()</f>
        <v>0</v>
      </c>
      <c r="H258" s="23">
        <v>3</v>
      </c>
      <c r="I258" s="23">
        <v>2</v>
      </c>
      <c r="J258" s="23">
        <v>0.16</v>
      </c>
    </row>
    <row r="259" spans="1:10" x14ac:dyDescent="0.35">
      <c r="A259" s="23">
        <v>258</v>
      </c>
      <c r="B259" s="24">
        <v>40555</v>
      </c>
      <c r="C259" s="23">
        <v>1</v>
      </c>
      <c r="D259" s="23">
        <v>0</v>
      </c>
      <c r="E259" s="23">
        <v>1</v>
      </c>
      <c r="F259" s="23">
        <v>2</v>
      </c>
      <c r="G259" s="23" t="b">
        <f>FALSE()</f>
        <v>0</v>
      </c>
      <c r="H259" s="23">
        <v>3</v>
      </c>
      <c r="I259" s="23">
        <v>1</v>
      </c>
      <c r="J259" s="23">
        <v>0.14000000000000001</v>
      </c>
    </row>
    <row r="260" spans="1:10" x14ac:dyDescent="0.35">
      <c r="A260" s="23">
        <v>259</v>
      </c>
      <c r="B260" s="24">
        <v>40555</v>
      </c>
      <c r="C260" s="23">
        <v>1</v>
      </c>
      <c r="D260" s="23">
        <v>0</v>
      </c>
      <c r="E260" s="23">
        <v>1</v>
      </c>
      <c r="F260" s="23">
        <v>5</v>
      </c>
      <c r="G260" s="23" t="b">
        <f>FALSE()</f>
        <v>0</v>
      </c>
      <c r="H260" s="23">
        <v>3</v>
      </c>
      <c r="I260" s="23">
        <v>1</v>
      </c>
      <c r="J260" s="23">
        <v>0.14000000000000001</v>
      </c>
    </row>
    <row r="261" spans="1:10" x14ac:dyDescent="0.35">
      <c r="A261" s="23">
        <v>260</v>
      </c>
      <c r="B261" s="24">
        <v>40555</v>
      </c>
      <c r="C261" s="23">
        <v>1</v>
      </c>
      <c r="D261" s="23">
        <v>0</v>
      </c>
      <c r="E261" s="23">
        <v>1</v>
      </c>
      <c r="F261" s="23">
        <v>6</v>
      </c>
      <c r="G261" s="23" t="b">
        <f>FALSE()</f>
        <v>0</v>
      </c>
      <c r="H261" s="23">
        <v>3</v>
      </c>
      <c r="I261" s="23">
        <v>1</v>
      </c>
      <c r="J261" s="23">
        <v>0.12</v>
      </c>
    </row>
    <row r="262" spans="1:10" x14ac:dyDescent="0.35">
      <c r="A262" s="23">
        <v>261</v>
      </c>
      <c r="B262" s="24">
        <v>40555</v>
      </c>
      <c r="C262" s="23">
        <v>1</v>
      </c>
      <c r="D262" s="23">
        <v>0</v>
      </c>
      <c r="E262" s="23">
        <v>1</v>
      </c>
      <c r="F262" s="23">
        <v>7</v>
      </c>
      <c r="G262" s="23" t="b">
        <f>FALSE()</f>
        <v>0</v>
      </c>
      <c r="H262" s="23">
        <v>3</v>
      </c>
      <c r="I262" s="23">
        <v>1</v>
      </c>
      <c r="J262" s="23">
        <v>0.14000000000000001</v>
      </c>
    </row>
    <row r="263" spans="1:10" x14ac:dyDescent="0.35">
      <c r="A263" s="23">
        <v>262</v>
      </c>
      <c r="B263" s="24">
        <v>40555</v>
      </c>
      <c r="C263" s="23">
        <v>1</v>
      </c>
      <c r="D263" s="23">
        <v>0</v>
      </c>
      <c r="E263" s="23">
        <v>1</v>
      </c>
      <c r="F263" s="23">
        <v>8</v>
      </c>
      <c r="G263" s="23" t="b">
        <f>FALSE()</f>
        <v>0</v>
      </c>
      <c r="H263" s="23">
        <v>3</v>
      </c>
      <c r="I263" s="23">
        <v>1</v>
      </c>
      <c r="J263" s="23">
        <v>0.16</v>
      </c>
    </row>
    <row r="264" spans="1:10" x14ac:dyDescent="0.35">
      <c r="A264" s="23">
        <v>263</v>
      </c>
      <c r="B264" s="24">
        <v>40555</v>
      </c>
      <c r="C264" s="23">
        <v>1</v>
      </c>
      <c r="D264" s="23">
        <v>0</v>
      </c>
      <c r="E264" s="23">
        <v>1</v>
      </c>
      <c r="F264" s="23">
        <v>9</v>
      </c>
      <c r="G264" s="23" t="b">
        <f>FALSE()</f>
        <v>0</v>
      </c>
      <c r="H264" s="23">
        <v>3</v>
      </c>
      <c r="I264" s="23">
        <v>1</v>
      </c>
      <c r="J264" s="23">
        <v>0.16</v>
      </c>
    </row>
    <row r="265" spans="1:10" x14ac:dyDescent="0.35">
      <c r="A265" s="23">
        <v>264</v>
      </c>
      <c r="B265" s="24">
        <v>40555</v>
      </c>
      <c r="C265" s="23">
        <v>1</v>
      </c>
      <c r="D265" s="23">
        <v>0</v>
      </c>
      <c r="E265" s="23">
        <v>1</v>
      </c>
      <c r="F265" s="23">
        <v>10</v>
      </c>
      <c r="G265" s="23" t="b">
        <f>FALSE()</f>
        <v>0</v>
      </c>
      <c r="H265" s="23">
        <v>3</v>
      </c>
      <c r="I265" s="23">
        <v>1</v>
      </c>
      <c r="J265" s="23">
        <v>0.18</v>
      </c>
    </row>
    <row r="266" spans="1:10" x14ac:dyDescent="0.35">
      <c r="A266" s="23">
        <v>265</v>
      </c>
      <c r="B266" s="24">
        <v>40555</v>
      </c>
      <c r="C266" s="23">
        <v>1</v>
      </c>
      <c r="D266" s="23">
        <v>0</v>
      </c>
      <c r="E266" s="23">
        <v>1</v>
      </c>
      <c r="F266" s="23">
        <v>11</v>
      </c>
      <c r="G266" s="23" t="b">
        <f>FALSE()</f>
        <v>0</v>
      </c>
      <c r="H266" s="23">
        <v>3</v>
      </c>
      <c r="I266" s="23">
        <v>1</v>
      </c>
      <c r="J266" s="23">
        <v>0.2</v>
      </c>
    </row>
    <row r="267" spans="1:10" x14ac:dyDescent="0.35">
      <c r="A267" s="23">
        <v>266</v>
      </c>
      <c r="B267" s="24">
        <v>40555</v>
      </c>
      <c r="C267" s="23">
        <v>1</v>
      </c>
      <c r="D267" s="23">
        <v>0</v>
      </c>
      <c r="E267" s="23">
        <v>1</v>
      </c>
      <c r="F267" s="23">
        <v>12</v>
      </c>
      <c r="G267" s="23" t="b">
        <f>FALSE()</f>
        <v>0</v>
      </c>
      <c r="H267" s="23">
        <v>3</v>
      </c>
      <c r="I267" s="23">
        <v>1</v>
      </c>
      <c r="J267" s="23">
        <v>0.2</v>
      </c>
    </row>
    <row r="268" spans="1:10" x14ac:dyDescent="0.35">
      <c r="A268" s="23">
        <v>267</v>
      </c>
      <c r="B268" s="24">
        <v>40555</v>
      </c>
      <c r="C268" s="23">
        <v>1</v>
      </c>
      <c r="D268" s="23">
        <v>0</v>
      </c>
      <c r="E268" s="23">
        <v>1</v>
      </c>
      <c r="F268" s="23">
        <v>13</v>
      </c>
      <c r="G268" s="23" t="b">
        <f>FALSE()</f>
        <v>0</v>
      </c>
      <c r="H268" s="23">
        <v>3</v>
      </c>
      <c r="I268" s="23">
        <v>1</v>
      </c>
      <c r="J268" s="23">
        <v>0.22</v>
      </c>
    </row>
    <row r="269" spans="1:10" x14ac:dyDescent="0.35">
      <c r="A269" s="23">
        <v>268</v>
      </c>
      <c r="B269" s="24">
        <v>40555</v>
      </c>
      <c r="C269" s="23">
        <v>1</v>
      </c>
      <c r="D269" s="23">
        <v>0</v>
      </c>
      <c r="E269" s="23">
        <v>1</v>
      </c>
      <c r="F269" s="23">
        <v>14</v>
      </c>
      <c r="G269" s="23" t="b">
        <f>FALSE()</f>
        <v>0</v>
      </c>
      <c r="H269" s="23">
        <v>3</v>
      </c>
      <c r="I269" s="23">
        <v>1</v>
      </c>
      <c r="J269" s="23">
        <v>0.2</v>
      </c>
    </row>
    <row r="270" spans="1:10" x14ac:dyDescent="0.35">
      <c r="A270" s="23">
        <v>269</v>
      </c>
      <c r="B270" s="24">
        <v>40555</v>
      </c>
      <c r="C270" s="23">
        <v>1</v>
      </c>
      <c r="D270" s="23">
        <v>0</v>
      </c>
      <c r="E270" s="23">
        <v>1</v>
      </c>
      <c r="F270" s="23">
        <v>15</v>
      </c>
      <c r="G270" s="23" t="b">
        <f>FALSE()</f>
        <v>0</v>
      </c>
      <c r="H270" s="23">
        <v>3</v>
      </c>
      <c r="I270" s="23">
        <v>1</v>
      </c>
      <c r="J270" s="23">
        <v>0.2</v>
      </c>
    </row>
    <row r="271" spans="1:10" x14ac:dyDescent="0.35">
      <c r="A271" s="23">
        <v>270</v>
      </c>
      <c r="B271" s="24">
        <v>40555</v>
      </c>
      <c r="C271" s="23">
        <v>1</v>
      </c>
      <c r="D271" s="23">
        <v>0</v>
      </c>
      <c r="E271" s="23">
        <v>1</v>
      </c>
      <c r="F271" s="23">
        <v>16</v>
      </c>
      <c r="G271" s="23" t="b">
        <f>FALSE()</f>
        <v>0</v>
      </c>
      <c r="H271" s="23">
        <v>3</v>
      </c>
      <c r="I271" s="23">
        <v>1</v>
      </c>
      <c r="J271" s="23">
        <v>0.22</v>
      </c>
    </row>
    <row r="272" spans="1:10" x14ac:dyDescent="0.35">
      <c r="A272" s="23">
        <v>271</v>
      </c>
      <c r="B272" s="24">
        <v>40555</v>
      </c>
      <c r="C272" s="23">
        <v>1</v>
      </c>
      <c r="D272" s="23">
        <v>0</v>
      </c>
      <c r="E272" s="23">
        <v>1</v>
      </c>
      <c r="F272" s="23">
        <v>17</v>
      </c>
      <c r="G272" s="23" t="b">
        <f>FALSE()</f>
        <v>0</v>
      </c>
      <c r="H272" s="23">
        <v>3</v>
      </c>
      <c r="I272" s="23">
        <v>1</v>
      </c>
      <c r="J272" s="23">
        <v>0.2</v>
      </c>
    </row>
    <row r="273" spans="1:10" x14ac:dyDescent="0.35">
      <c r="A273" s="23">
        <v>272</v>
      </c>
      <c r="B273" s="24">
        <v>40555</v>
      </c>
      <c r="C273" s="23">
        <v>1</v>
      </c>
      <c r="D273" s="23">
        <v>0</v>
      </c>
      <c r="E273" s="23">
        <v>1</v>
      </c>
      <c r="F273" s="23">
        <v>18</v>
      </c>
      <c r="G273" s="23" t="b">
        <f>FALSE()</f>
        <v>0</v>
      </c>
      <c r="H273" s="23">
        <v>3</v>
      </c>
      <c r="I273" s="23">
        <v>1</v>
      </c>
      <c r="J273" s="23">
        <v>0.2</v>
      </c>
    </row>
    <row r="274" spans="1:10" x14ac:dyDescent="0.35">
      <c r="A274" s="23">
        <v>273</v>
      </c>
      <c r="B274" s="24">
        <v>40555</v>
      </c>
      <c r="C274" s="23">
        <v>1</v>
      </c>
      <c r="D274" s="23">
        <v>0</v>
      </c>
      <c r="E274" s="23">
        <v>1</v>
      </c>
      <c r="F274" s="23">
        <v>19</v>
      </c>
      <c r="G274" s="23" t="b">
        <f>FALSE()</f>
        <v>0</v>
      </c>
      <c r="H274" s="23">
        <v>3</v>
      </c>
      <c r="I274" s="23">
        <v>1</v>
      </c>
      <c r="J274" s="23">
        <v>0.18</v>
      </c>
    </row>
    <row r="275" spans="1:10" x14ac:dyDescent="0.35">
      <c r="A275" s="23">
        <v>274</v>
      </c>
      <c r="B275" s="24">
        <v>40555</v>
      </c>
      <c r="C275" s="23">
        <v>1</v>
      </c>
      <c r="D275" s="23">
        <v>0</v>
      </c>
      <c r="E275" s="23">
        <v>1</v>
      </c>
      <c r="F275" s="23">
        <v>20</v>
      </c>
      <c r="G275" s="23" t="b">
        <f>FALSE()</f>
        <v>0</v>
      </c>
      <c r="H275" s="23">
        <v>3</v>
      </c>
      <c r="I275" s="23">
        <v>1</v>
      </c>
      <c r="J275" s="23">
        <v>0.16</v>
      </c>
    </row>
    <row r="276" spans="1:10" x14ac:dyDescent="0.35">
      <c r="A276" s="23">
        <v>275</v>
      </c>
      <c r="B276" s="24">
        <v>40555</v>
      </c>
      <c r="C276" s="23">
        <v>1</v>
      </c>
      <c r="D276" s="23">
        <v>0</v>
      </c>
      <c r="E276" s="23">
        <v>1</v>
      </c>
      <c r="F276" s="23">
        <v>21</v>
      </c>
      <c r="G276" s="23" t="b">
        <f>FALSE()</f>
        <v>0</v>
      </c>
      <c r="H276" s="23">
        <v>3</v>
      </c>
      <c r="I276" s="23">
        <v>1</v>
      </c>
      <c r="J276" s="23">
        <v>0.16</v>
      </c>
    </row>
    <row r="277" spans="1:10" x14ac:dyDescent="0.35">
      <c r="A277" s="23">
        <v>276</v>
      </c>
      <c r="B277" s="24">
        <v>40555</v>
      </c>
      <c r="C277" s="23">
        <v>1</v>
      </c>
      <c r="D277" s="23">
        <v>0</v>
      </c>
      <c r="E277" s="23">
        <v>1</v>
      </c>
      <c r="F277" s="23">
        <v>22</v>
      </c>
      <c r="G277" s="23" t="b">
        <f>FALSE()</f>
        <v>0</v>
      </c>
      <c r="H277" s="23">
        <v>3</v>
      </c>
      <c r="I277" s="23">
        <v>1</v>
      </c>
      <c r="J277" s="23">
        <v>0.16</v>
      </c>
    </row>
    <row r="278" spans="1:10" x14ac:dyDescent="0.35">
      <c r="A278" s="23">
        <v>277</v>
      </c>
      <c r="B278" s="24">
        <v>40555</v>
      </c>
      <c r="C278" s="23">
        <v>1</v>
      </c>
      <c r="D278" s="23">
        <v>0</v>
      </c>
      <c r="E278" s="23">
        <v>1</v>
      </c>
      <c r="F278" s="23">
        <v>23</v>
      </c>
      <c r="G278" s="23" t="b">
        <f>FALSE()</f>
        <v>0</v>
      </c>
      <c r="H278" s="23">
        <v>3</v>
      </c>
      <c r="I278" s="23">
        <v>1</v>
      </c>
      <c r="J278" s="23">
        <v>0.14000000000000001</v>
      </c>
    </row>
    <row r="279" spans="1:10" x14ac:dyDescent="0.35">
      <c r="A279" s="23">
        <v>278</v>
      </c>
      <c r="B279" s="24">
        <v>40556</v>
      </c>
      <c r="C279" s="23">
        <v>1</v>
      </c>
      <c r="D279" s="23">
        <v>0</v>
      </c>
      <c r="E279" s="23">
        <v>1</v>
      </c>
      <c r="F279" s="23">
        <v>0</v>
      </c>
      <c r="G279" s="23" t="b">
        <f>FALSE()</f>
        <v>0</v>
      </c>
      <c r="H279" s="23">
        <v>4</v>
      </c>
      <c r="I279" s="23">
        <v>1</v>
      </c>
      <c r="J279" s="23">
        <v>0.14000000000000001</v>
      </c>
    </row>
    <row r="280" spans="1:10" x14ac:dyDescent="0.35">
      <c r="A280" s="23">
        <v>279</v>
      </c>
      <c r="B280" s="24">
        <v>40556</v>
      </c>
      <c r="C280" s="23">
        <v>1</v>
      </c>
      <c r="D280" s="23">
        <v>0</v>
      </c>
      <c r="E280" s="23">
        <v>1</v>
      </c>
      <c r="F280" s="23">
        <v>1</v>
      </c>
      <c r="G280" s="23" t="b">
        <f>FALSE()</f>
        <v>0</v>
      </c>
      <c r="H280" s="23">
        <v>4</v>
      </c>
      <c r="I280" s="23">
        <v>1</v>
      </c>
      <c r="J280" s="23">
        <v>0.14000000000000001</v>
      </c>
    </row>
    <row r="281" spans="1:10" x14ac:dyDescent="0.35">
      <c r="A281" s="23">
        <v>280</v>
      </c>
      <c r="B281" s="24">
        <v>40556</v>
      </c>
      <c r="C281" s="23">
        <v>1</v>
      </c>
      <c r="D281" s="23">
        <v>0</v>
      </c>
      <c r="E281" s="23">
        <v>1</v>
      </c>
      <c r="F281" s="23">
        <v>2</v>
      </c>
      <c r="G281" s="23" t="b">
        <f>FALSE()</f>
        <v>0</v>
      </c>
      <c r="H281" s="23">
        <v>4</v>
      </c>
      <c r="I281" s="23">
        <v>1</v>
      </c>
      <c r="J281" s="23">
        <v>0.14000000000000001</v>
      </c>
    </row>
    <row r="282" spans="1:10" x14ac:dyDescent="0.35">
      <c r="A282" s="23">
        <v>281</v>
      </c>
      <c r="B282" s="24">
        <v>40556</v>
      </c>
      <c r="C282" s="23">
        <v>1</v>
      </c>
      <c r="D282" s="23">
        <v>0</v>
      </c>
      <c r="E282" s="23">
        <v>1</v>
      </c>
      <c r="F282" s="23">
        <v>3</v>
      </c>
      <c r="G282" s="23" t="b">
        <f>FALSE()</f>
        <v>0</v>
      </c>
      <c r="H282" s="23">
        <v>4</v>
      </c>
      <c r="I282" s="23">
        <v>1</v>
      </c>
      <c r="J282" s="23">
        <v>0.14000000000000001</v>
      </c>
    </row>
    <row r="283" spans="1:10" x14ac:dyDescent="0.35">
      <c r="A283" s="23">
        <v>282</v>
      </c>
      <c r="B283" s="24">
        <v>40556</v>
      </c>
      <c r="C283" s="23">
        <v>1</v>
      </c>
      <c r="D283" s="23">
        <v>0</v>
      </c>
      <c r="E283" s="23">
        <v>1</v>
      </c>
      <c r="F283" s="23">
        <v>4</v>
      </c>
      <c r="G283" s="23" t="b">
        <f>FALSE()</f>
        <v>0</v>
      </c>
      <c r="H283" s="23">
        <v>4</v>
      </c>
      <c r="I283" s="23">
        <v>1</v>
      </c>
      <c r="J283" s="23">
        <v>0.14000000000000001</v>
      </c>
    </row>
    <row r="284" spans="1:10" x14ac:dyDescent="0.35">
      <c r="A284" s="23">
        <v>283</v>
      </c>
      <c r="B284" s="24">
        <v>40556</v>
      </c>
      <c r="C284" s="23">
        <v>1</v>
      </c>
      <c r="D284" s="23">
        <v>0</v>
      </c>
      <c r="E284" s="23">
        <v>1</v>
      </c>
      <c r="F284" s="23">
        <v>5</v>
      </c>
      <c r="G284" s="23" t="b">
        <f>FALSE()</f>
        <v>0</v>
      </c>
      <c r="H284" s="23">
        <v>4</v>
      </c>
      <c r="I284" s="23">
        <v>1</v>
      </c>
      <c r="J284" s="23">
        <v>0.14000000000000001</v>
      </c>
    </row>
    <row r="285" spans="1:10" x14ac:dyDescent="0.35">
      <c r="A285" s="23">
        <v>284</v>
      </c>
      <c r="B285" s="24">
        <v>40556</v>
      </c>
      <c r="C285" s="23">
        <v>1</v>
      </c>
      <c r="D285" s="23">
        <v>0</v>
      </c>
      <c r="E285" s="23">
        <v>1</v>
      </c>
      <c r="F285" s="23">
        <v>6</v>
      </c>
      <c r="G285" s="23" t="b">
        <f>FALSE()</f>
        <v>0</v>
      </c>
      <c r="H285" s="23">
        <v>4</v>
      </c>
      <c r="I285" s="23">
        <v>1</v>
      </c>
      <c r="J285" s="23">
        <v>0.12</v>
      </c>
    </row>
    <row r="286" spans="1:10" x14ac:dyDescent="0.35">
      <c r="A286" s="23">
        <v>285</v>
      </c>
      <c r="B286" s="24">
        <v>40556</v>
      </c>
      <c r="C286" s="23">
        <v>1</v>
      </c>
      <c r="D286" s="23">
        <v>0</v>
      </c>
      <c r="E286" s="23">
        <v>1</v>
      </c>
      <c r="F286" s="23">
        <v>7</v>
      </c>
      <c r="G286" s="23" t="b">
        <f>FALSE()</f>
        <v>0</v>
      </c>
      <c r="H286" s="23">
        <v>4</v>
      </c>
      <c r="I286" s="23">
        <v>1</v>
      </c>
      <c r="J286" s="23">
        <v>0.12</v>
      </c>
    </row>
    <row r="287" spans="1:10" x14ac:dyDescent="0.35">
      <c r="A287" s="23">
        <v>286</v>
      </c>
      <c r="B287" s="24">
        <v>40556</v>
      </c>
      <c r="C287" s="23">
        <v>1</v>
      </c>
      <c r="D287" s="23">
        <v>0</v>
      </c>
      <c r="E287" s="23">
        <v>1</v>
      </c>
      <c r="F287" s="23">
        <v>8</v>
      </c>
      <c r="G287" s="23" t="b">
        <f>FALSE()</f>
        <v>0</v>
      </c>
      <c r="H287" s="23">
        <v>4</v>
      </c>
      <c r="I287" s="23">
        <v>1</v>
      </c>
      <c r="J287" s="23">
        <v>0.14000000000000001</v>
      </c>
    </row>
    <row r="288" spans="1:10" x14ac:dyDescent="0.35">
      <c r="A288" s="23">
        <v>287</v>
      </c>
      <c r="B288" s="24">
        <v>40556</v>
      </c>
      <c r="C288" s="23">
        <v>1</v>
      </c>
      <c r="D288" s="23">
        <v>0</v>
      </c>
      <c r="E288" s="23">
        <v>1</v>
      </c>
      <c r="F288" s="23">
        <v>9</v>
      </c>
      <c r="G288" s="23" t="b">
        <f>FALSE()</f>
        <v>0</v>
      </c>
      <c r="H288" s="23">
        <v>4</v>
      </c>
      <c r="I288" s="23">
        <v>1</v>
      </c>
      <c r="J288" s="23">
        <v>0.14000000000000001</v>
      </c>
    </row>
    <row r="289" spans="1:10" x14ac:dyDescent="0.35">
      <c r="A289" s="23">
        <v>288</v>
      </c>
      <c r="B289" s="24">
        <v>40556</v>
      </c>
      <c r="C289" s="23">
        <v>1</v>
      </c>
      <c r="D289" s="23">
        <v>0</v>
      </c>
      <c r="E289" s="23">
        <v>1</v>
      </c>
      <c r="F289" s="23">
        <v>10</v>
      </c>
      <c r="G289" s="23" t="b">
        <f>FALSE()</f>
        <v>0</v>
      </c>
      <c r="H289" s="23">
        <v>4</v>
      </c>
      <c r="I289" s="23">
        <v>2</v>
      </c>
      <c r="J289" s="23">
        <v>0.16</v>
      </c>
    </row>
    <row r="290" spans="1:10" x14ac:dyDescent="0.35">
      <c r="A290" s="23">
        <v>289</v>
      </c>
      <c r="B290" s="24">
        <v>40556</v>
      </c>
      <c r="C290" s="23">
        <v>1</v>
      </c>
      <c r="D290" s="23">
        <v>0</v>
      </c>
      <c r="E290" s="23">
        <v>1</v>
      </c>
      <c r="F290" s="23">
        <v>11</v>
      </c>
      <c r="G290" s="23" t="b">
        <f>FALSE()</f>
        <v>0</v>
      </c>
      <c r="H290" s="23">
        <v>4</v>
      </c>
      <c r="I290" s="23">
        <v>2</v>
      </c>
      <c r="J290" s="23">
        <v>0.2</v>
      </c>
    </row>
    <row r="291" spans="1:10" x14ac:dyDescent="0.35">
      <c r="A291" s="23">
        <v>290</v>
      </c>
      <c r="B291" s="24">
        <v>40556</v>
      </c>
      <c r="C291" s="23">
        <v>1</v>
      </c>
      <c r="D291" s="23">
        <v>0</v>
      </c>
      <c r="E291" s="23">
        <v>1</v>
      </c>
      <c r="F291" s="23">
        <v>12</v>
      </c>
      <c r="G291" s="23" t="b">
        <f>FALSE()</f>
        <v>0</v>
      </c>
      <c r="H291" s="23">
        <v>4</v>
      </c>
      <c r="I291" s="23">
        <v>1</v>
      </c>
      <c r="J291" s="23">
        <v>0.2</v>
      </c>
    </row>
    <row r="292" spans="1:10" x14ac:dyDescent="0.35">
      <c r="A292" s="23">
        <v>291</v>
      </c>
      <c r="B292" s="24">
        <v>40556</v>
      </c>
      <c r="C292" s="23">
        <v>1</v>
      </c>
      <c r="D292" s="23">
        <v>0</v>
      </c>
      <c r="E292" s="23">
        <v>1</v>
      </c>
      <c r="F292" s="23">
        <v>13</v>
      </c>
      <c r="G292" s="23" t="b">
        <f>FALSE()</f>
        <v>0</v>
      </c>
      <c r="H292" s="23">
        <v>4</v>
      </c>
      <c r="I292" s="23">
        <v>1</v>
      </c>
      <c r="J292" s="23">
        <v>0.22</v>
      </c>
    </row>
    <row r="293" spans="1:10" x14ac:dyDescent="0.35">
      <c r="A293" s="23">
        <v>292</v>
      </c>
      <c r="B293" s="24">
        <v>40556</v>
      </c>
      <c r="C293" s="23">
        <v>1</v>
      </c>
      <c r="D293" s="23">
        <v>0</v>
      </c>
      <c r="E293" s="23">
        <v>1</v>
      </c>
      <c r="F293" s="23">
        <v>14</v>
      </c>
      <c r="G293" s="23" t="b">
        <f>FALSE()</f>
        <v>0</v>
      </c>
      <c r="H293" s="23">
        <v>4</v>
      </c>
      <c r="I293" s="23">
        <v>1</v>
      </c>
      <c r="J293" s="23">
        <v>0.22</v>
      </c>
    </row>
    <row r="294" spans="1:10" x14ac:dyDescent="0.35">
      <c r="A294" s="23">
        <v>293</v>
      </c>
      <c r="B294" s="24">
        <v>40556</v>
      </c>
      <c r="C294" s="23">
        <v>1</v>
      </c>
      <c r="D294" s="23">
        <v>0</v>
      </c>
      <c r="E294" s="23">
        <v>1</v>
      </c>
      <c r="F294" s="23">
        <v>15</v>
      </c>
      <c r="G294" s="23" t="b">
        <f>FALSE()</f>
        <v>0</v>
      </c>
      <c r="H294" s="23">
        <v>4</v>
      </c>
      <c r="I294" s="23">
        <v>1</v>
      </c>
      <c r="J294" s="23">
        <v>0.24</v>
      </c>
    </row>
    <row r="295" spans="1:10" x14ac:dyDescent="0.35">
      <c r="A295" s="23">
        <v>294</v>
      </c>
      <c r="B295" s="24">
        <v>40556</v>
      </c>
      <c r="C295" s="23">
        <v>1</v>
      </c>
      <c r="D295" s="23">
        <v>0</v>
      </c>
      <c r="E295" s="23">
        <v>1</v>
      </c>
      <c r="F295" s="23">
        <v>16</v>
      </c>
      <c r="G295" s="23" t="b">
        <f>FALSE()</f>
        <v>0</v>
      </c>
      <c r="H295" s="23">
        <v>4</v>
      </c>
      <c r="I295" s="23">
        <v>1</v>
      </c>
      <c r="J295" s="23">
        <v>0.24</v>
      </c>
    </row>
    <row r="296" spans="1:10" x14ac:dyDescent="0.35">
      <c r="A296" s="23">
        <v>295</v>
      </c>
      <c r="B296" s="24">
        <v>40556</v>
      </c>
      <c r="C296" s="23">
        <v>1</v>
      </c>
      <c r="D296" s="23">
        <v>0</v>
      </c>
      <c r="E296" s="23">
        <v>1</v>
      </c>
      <c r="F296" s="23">
        <v>17</v>
      </c>
      <c r="G296" s="23" t="b">
        <f>FALSE()</f>
        <v>0</v>
      </c>
      <c r="H296" s="23">
        <v>4</v>
      </c>
      <c r="I296" s="23">
        <v>1</v>
      </c>
      <c r="J296" s="23">
        <v>0.2</v>
      </c>
    </row>
    <row r="297" spans="1:10" x14ac:dyDescent="0.35">
      <c r="A297" s="23">
        <v>296</v>
      </c>
      <c r="B297" s="24">
        <v>40556</v>
      </c>
      <c r="C297" s="23">
        <v>1</v>
      </c>
      <c r="D297" s="23">
        <v>0</v>
      </c>
      <c r="E297" s="23">
        <v>1</v>
      </c>
      <c r="F297" s="23">
        <v>18</v>
      </c>
      <c r="G297" s="23" t="b">
        <f>FALSE()</f>
        <v>0</v>
      </c>
      <c r="H297" s="23">
        <v>4</v>
      </c>
      <c r="I297" s="23">
        <v>1</v>
      </c>
      <c r="J297" s="23">
        <v>0.2</v>
      </c>
    </row>
    <row r="298" spans="1:10" x14ac:dyDescent="0.35">
      <c r="A298" s="23">
        <v>297</v>
      </c>
      <c r="B298" s="24">
        <v>40556</v>
      </c>
      <c r="C298" s="23">
        <v>1</v>
      </c>
      <c r="D298" s="23">
        <v>0</v>
      </c>
      <c r="E298" s="23">
        <v>1</v>
      </c>
      <c r="F298" s="23">
        <v>19</v>
      </c>
      <c r="G298" s="23" t="b">
        <f>FALSE()</f>
        <v>0</v>
      </c>
      <c r="H298" s="23">
        <v>4</v>
      </c>
      <c r="I298" s="23">
        <v>1</v>
      </c>
      <c r="J298" s="23">
        <v>0.16</v>
      </c>
    </row>
    <row r="299" spans="1:10" x14ac:dyDescent="0.35">
      <c r="A299" s="23">
        <v>298</v>
      </c>
      <c r="B299" s="24">
        <v>40556</v>
      </c>
      <c r="C299" s="23">
        <v>1</v>
      </c>
      <c r="D299" s="23">
        <v>0</v>
      </c>
      <c r="E299" s="23">
        <v>1</v>
      </c>
      <c r="F299" s="23">
        <v>20</v>
      </c>
      <c r="G299" s="23" t="b">
        <f>FALSE()</f>
        <v>0</v>
      </c>
      <c r="H299" s="23">
        <v>4</v>
      </c>
      <c r="I299" s="23">
        <v>1</v>
      </c>
      <c r="J299" s="23">
        <v>0.16</v>
      </c>
    </row>
    <row r="300" spans="1:10" x14ac:dyDescent="0.35">
      <c r="A300" s="23">
        <v>299</v>
      </c>
      <c r="B300" s="24">
        <v>40556</v>
      </c>
      <c r="C300" s="23">
        <v>1</v>
      </c>
      <c r="D300" s="23">
        <v>0</v>
      </c>
      <c r="E300" s="23">
        <v>1</v>
      </c>
      <c r="F300" s="23">
        <v>21</v>
      </c>
      <c r="G300" s="23" t="b">
        <f>FALSE()</f>
        <v>0</v>
      </c>
      <c r="H300" s="23">
        <v>4</v>
      </c>
      <c r="I300" s="23">
        <v>1</v>
      </c>
      <c r="J300" s="23">
        <v>0.14000000000000001</v>
      </c>
    </row>
    <row r="301" spans="1:10" x14ac:dyDescent="0.35">
      <c r="A301" s="23">
        <v>300</v>
      </c>
      <c r="B301" s="24">
        <v>40556</v>
      </c>
      <c r="C301" s="23">
        <v>1</v>
      </c>
      <c r="D301" s="23">
        <v>0</v>
      </c>
      <c r="E301" s="23">
        <v>1</v>
      </c>
      <c r="F301" s="23">
        <v>22</v>
      </c>
      <c r="G301" s="23" t="b">
        <f>FALSE()</f>
        <v>0</v>
      </c>
      <c r="H301" s="23">
        <v>4</v>
      </c>
      <c r="I301" s="23">
        <v>1</v>
      </c>
      <c r="J301" s="23">
        <v>0.14000000000000001</v>
      </c>
    </row>
    <row r="302" spans="1:10" x14ac:dyDescent="0.35">
      <c r="A302" s="23">
        <v>301</v>
      </c>
      <c r="B302" s="24">
        <v>40556</v>
      </c>
      <c r="C302" s="23">
        <v>1</v>
      </c>
      <c r="D302" s="23">
        <v>0</v>
      </c>
      <c r="E302" s="23">
        <v>1</v>
      </c>
      <c r="F302" s="23">
        <v>23</v>
      </c>
      <c r="G302" s="23" t="b">
        <f>FALSE()</f>
        <v>0</v>
      </c>
      <c r="H302" s="23">
        <v>4</v>
      </c>
      <c r="I302" s="23">
        <v>1</v>
      </c>
      <c r="J302" s="23">
        <v>0.12</v>
      </c>
    </row>
    <row r="303" spans="1:10" x14ac:dyDescent="0.35">
      <c r="A303" s="23">
        <v>302</v>
      </c>
      <c r="B303" s="24">
        <v>40557</v>
      </c>
      <c r="C303" s="23">
        <v>1</v>
      </c>
      <c r="D303" s="23">
        <v>0</v>
      </c>
      <c r="E303" s="23">
        <v>1</v>
      </c>
      <c r="F303" s="23">
        <v>0</v>
      </c>
      <c r="G303" s="23" t="b">
        <f>FALSE()</f>
        <v>0</v>
      </c>
      <c r="H303" s="23">
        <v>5</v>
      </c>
      <c r="I303" s="23">
        <v>1</v>
      </c>
      <c r="J303" s="23">
        <v>0.12</v>
      </c>
    </row>
    <row r="304" spans="1:10" x14ac:dyDescent="0.35">
      <c r="A304" s="23">
        <v>303</v>
      </c>
      <c r="B304" s="24">
        <v>40557</v>
      </c>
      <c r="C304" s="23">
        <v>1</v>
      </c>
      <c r="D304" s="23">
        <v>0</v>
      </c>
      <c r="E304" s="23">
        <v>1</v>
      </c>
      <c r="F304" s="23">
        <v>1</v>
      </c>
      <c r="G304" s="23" t="b">
        <f>FALSE()</f>
        <v>0</v>
      </c>
      <c r="H304" s="23">
        <v>5</v>
      </c>
      <c r="I304" s="23">
        <v>1</v>
      </c>
      <c r="J304" s="23">
        <v>0.1</v>
      </c>
    </row>
    <row r="305" spans="1:10" x14ac:dyDescent="0.35">
      <c r="A305" s="23">
        <v>304</v>
      </c>
      <c r="B305" s="24">
        <v>40557</v>
      </c>
      <c r="C305" s="23">
        <v>1</v>
      </c>
      <c r="D305" s="23">
        <v>0</v>
      </c>
      <c r="E305" s="23">
        <v>1</v>
      </c>
      <c r="F305" s="23">
        <v>2</v>
      </c>
      <c r="G305" s="23" t="b">
        <f>FALSE()</f>
        <v>0</v>
      </c>
      <c r="H305" s="23">
        <v>5</v>
      </c>
      <c r="I305" s="23">
        <v>1</v>
      </c>
      <c r="J305" s="23">
        <v>0.1</v>
      </c>
    </row>
    <row r="306" spans="1:10" x14ac:dyDescent="0.35">
      <c r="A306" s="23">
        <v>305</v>
      </c>
      <c r="B306" s="24">
        <v>40557</v>
      </c>
      <c r="C306" s="23">
        <v>1</v>
      </c>
      <c r="D306" s="23">
        <v>0</v>
      </c>
      <c r="E306" s="23">
        <v>1</v>
      </c>
      <c r="F306" s="23">
        <v>3</v>
      </c>
      <c r="G306" s="23" t="b">
        <f>FALSE()</f>
        <v>0</v>
      </c>
      <c r="H306" s="23">
        <v>5</v>
      </c>
      <c r="I306" s="23">
        <v>1</v>
      </c>
      <c r="J306" s="23">
        <v>0.1</v>
      </c>
    </row>
    <row r="307" spans="1:10" x14ac:dyDescent="0.35">
      <c r="A307" s="23">
        <v>306</v>
      </c>
      <c r="B307" s="24">
        <v>40557</v>
      </c>
      <c r="C307" s="23">
        <v>1</v>
      </c>
      <c r="D307" s="23">
        <v>0</v>
      </c>
      <c r="E307" s="23">
        <v>1</v>
      </c>
      <c r="F307" s="23">
        <v>5</v>
      </c>
      <c r="G307" s="23" t="b">
        <f>FALSE()</f>
        <v>0</v>
      </c>
      <c r="H307" s="23">
        <v>5</v>
      </c>
      <c r="I307" s="23">
        <v>1</v>
      </c>
      <c r="J307" s="23">
        <v>0.1</v>
      </c>
    </row>
    <row r="308" spans="1:10" x14ac:dyDescent="0.35">
      <c r="A308" s="23">
        <v>307</v>
      </c>
      <c r="B308" s="24">
        <v>40557</v>
      </c>
      <c r="C308" s="23">
        <v>1</v>
      </c>
      <c r="D308" s="23">
        <v>0</v>
      </c>
      <c r="E308" s="23">
        <v>1</v>
      </c>
      <c r="F308" s="23">
        <v>6</v>
      </c>
      <c r="G308" s="23" t="b">
        <f>FALSE()</f>
        <v>0</v>
      </c>
      <c r="H308" s="23">
        <v>5</v>
      </c>
      <c r="I308" s="23">
        <v>1</v>
      </c>
      <c r="J308" s="23">
        <v>0.1</v>
      </c>
    </row>
    <row r="309" spans="1:10" x14ac:dyDescent="0.35">
      <c r="A309" s="23">
        <v>308</v>
      </c>
      <c r="B309" s="24">
        <v>40557</v>
      </c>
      <c r="C309" s="23">
        <v>1</v>
      </c>
      <c r="D309" s="23">
        <v>0</v>
      </c>
      <c r="E309" s="23">
        <v>1</v>
      </c>
      <c r="F309" s="23">
        <v>7</v>
      </c>
      <c r="G309" s="23" t="b">
        <f>FALSE()</f>
        <v>0</v>
      </c>
      <c r="H309" s="23">
        <v>5</v>
      </c>
      <c r="I309" s="23">
        <v>1</v>
      </c>
      <c r="J309" s="23">
        <v>0.1</v>
      </c>
    </row>
    <row r="310" spans="1:10" x14ac:dyDescent="0.35">
      <c r="A310" s="23">
        <v>309</v>
      </c>
      <c r="B310" s="24">
        <v>40557</v>
      </c>
      <c r="C310" s="23">
        <v>1</v>
      </c>
      <c r="D310" s="23">
        <v>0</v>
      </c>
      <c r="E310" s="23">
        <v>1</v>
      </c>
      <c r="F310" s="23">
        <v>8</v>
      </c>
      <c r="G310" s="23" t="b">
        <f>FALSE()</f>
        <v>0</v>
      </c>
      <c r="H310" s="23">
        <v>5</v>
      </c>
      <c r="I310" s="23">
        <v>1</v>
      </c>
      <c r="J310" s="23">
        <v>0.12</v>
      </c>
    </row>
    <row r="311" spans="1:10" x14ac:dyDescent="0.35">
      <c r="A311" s="23">
        <v>310</v>
      </c>
      <c r="B311" s="24">
        <v>40557</v>
      </c>
      <c r="C311" s="23">
        <v>1</v>
      </c>
      <c r="D311" s="23">
        <v>0</v>
      </c>
      <c r="E311" s="23">
        <v>1</v>
      </c>
      <c r="F311" s="23">
        <v>9</v>
      </c>
      <c r="G311" s="23" t="b">
        <f>FALSE()</f>
        <v>0</v>
      </c>
      <c r="H311" s="23">
        <v>5</v>
      </c>
      <c r="I311" s="23">
        <v>1</v>
      </c>
      <c r="J311" s="23">
        <v>0.14000000000000001</v>
      </c>
    </row>
    <row r="312" spans="1:10" x14ac:dyDescent="0.35">
      <c r="A312" s="23">
        <v>311</v>
      </c>
      <c r="B312" s="24">
        <v>40557</v>
      </c>
      <c r="C312" s="23">
        <v>1</v>
      </c>
      <c r="D312" s="23">
        <v>0</v>
      </c>
      <c r="E312" s="23">
        <v>1</v>
      </c>
      <c r="F312" s="23">
        <v>10</v>
      </c>
      <c r="G312" s="23" t="b">
        <f>FALSE()</f>
        <v>0</v>
      </c>
      <c r="H312" s="23">
        <v>5</v>
      </c>
      <c r="I312" s="23">
        <v>1</v>
      </c>
      <c r="J312" s="23">
        <v>0.18</v>
      </c>
    </row>
    <row r="313" spans="1:10" x14ac:dyDescent="0.35">
      <c r="A313" s="23">
        <v>312</v>
      </c>
      <c r="B313" s="24">
        <v>40557</v>
      </c>
      <c r="C313" s="23">
        <v>1</v>
      </c>
      <c r="D313" s="23">
        <v>0</v>
      </c>
      <c r="E313" s="23">
        <v>1</v>
      </c>
      <c r="F313" s="23">
        <v>11</v>
      </c>
      <c r="G313" s="23" t="b">
        <f>FALSE()</f>
        <v>0</v>
      </c>
      <c r="H313" s="23">
        <v>5</v>
      </c>
      <c r="I313" s="23">
        <v>1</v>
      </c>
      <c r="J313" s="23">
        <v>0.18</v>
      </c>
    </row>
    <row r="314" spans="1:10" x14ac:dyDescent="0.35">
      <c r="A314" s="23">
        <v>313</v>
      </c>
      <c r="B314" s="24">
        <v>40557</v>
      </c>
      <c r="C314" s="23">
        <v>1</v>
      </c>
      <c r="D314" s="23">
        <v>0</v>
      </c>
      <c r="E314" s="23">
        <v>1</v>
      </c>
      <c r="F314" s="23">
        <v>12</v>
      </c>
      <c r="G314" s="23" t="b">
        <f>FALSE()</f>
        <v>0</v>
      </c>
      <c r="H314" s="23">
        <v>5</v>
      </c>
      <c r="I314" s="23">
        <v>1</v>
      </c>
      <c r="J314" s="23">
        <v>0.2</v>
      </c>
    </row>
    <row r="315" spans="1:10" x14ac:dyDescent="0.35">
      <c r="A315" s="23">
        <v>314</v>
      </c>
      <c r="B315" s="24">
        <v>40557</v>
      </c>
      <c r="C315" s="23">
        <v>1</v>
      </c>
      <c r="D315" s="23">
        <v>0</v>
      </c>
      <c r="E315" s="23">
        <v>1</v>
      </c>
      <c r="F315" s="23">
        <v>13</v>
      </c>
      <c r="G315" s="23" t="b">
        <f>FALSE()</f>
        <v>0</v>
      </c>
      <c r="H315" s="23">
        <v>5</v>
      </c>
      <c r="I315" s="23">
        <v>1</v>
      </c>
      <c r="J315" s="23">
        <v>0.22</v>
      </c>
    </row>
    <row r="316" spans="1:10" x14ac:dyDescent="0.35">
      <c r="A316" s="23">
        <v>315</v>
      </c>
      <c r="B316" s="24">
        <v>40557</v>
      </c>
      <c r="C316" s="23">
        <v>1</v>
      </c>
      <c r="D316" s="23">
        <v>0</v>
      </c>
      <c r="E316" s="23">
        <v>1</v>
      </c>
      <c r="F316" s="23">
        <v>14</v>
      </c>
      <c r="G316" s="23" t="b">
        <f>FALSE()</f>
        <v>0</v>
      </c>
      <c r="H316" s="23">
        <v>5</v>
      </c>
      <c r="I316" s="23">
        <v>1</v>
      </c>
      <c r="J316" s="23">
        <v>0.22</v>
      </c>
    </row>
    <row r="317" spans="1:10" x14ac:dyDescent="0.35">
      <c r="A317" s="23">
        <v>316</v>
      </c>
      <c r="B317" s="24">
        <v>40557</v>
      </c>
      <c r="C317" s="23">
        <v>1</v>
      </c>
      <c r="D317" s="23">
        <v>0</v>
      </c>
      <c r="E317" s="23">
        <v>1</v>
      </c>
      <c r="F317" s="23">
        <v>15</v>
      </c>
      <c r="G317" s="23" t="b">
        <f>FALSE()</f>
        <v>0</v>
      </c>
      <c r="H317" s="23">
        <v>5</v>
      </c>
      <c r="I317" s="23">
        <v>1</v>
      </c>
      <c r="J317" s="23">
        <v>0.24</v>
      </c>
    </row>
    <row r="318" spans="1:10" x14ac:dyDescent="0.35">
      <c r="A318" s="23">
        <v>317</v>
      </c>
      <c r="B318" s="24">
        <v>40557</v>
      </c>
      <c r="C318" s="23">
        <v>1</v>
      </c>
      <c r="D318" s="23">
        <v>0</v>
      </c>
      <c r="E318" s="23">
        <v>1</v>
      </c>
      <c r="F318" s="23">
        <v>16</v>
      </c>
      <c r="G318" s="23" t="b">
        <f>FALSE()</f>
        <v>0</v>
      </c>
      <c r="H318" s="23">
        <v>5</v>
      </c>
      <c r="I318" s="23">
        <v>1</v>
      </c>
      <c r="J318" s="23">
        <v>0.22</v>
      </c>
    </row>
    <row r="319" spans="1:10" x14ac:dyDescent="0.35">
      <c r="A319" s="23">
        <v>318</v>
      </c>
      <c r="B319" s="24">
        <v>40557</v>
      </c>
      <c r="C319" s="23">
        <v>1</v>
      </c>
      <c r="D319" s="23">
        <v>0</v>
      </c>
      <c r="E319" s="23">
        <v>1</v>
      </c>
      <c r="F319" s="23">
        <v>17</v>
      </c>
      <c r="G319" s="23" t="b">
        <f>FALSE()</f>
        <v>0</v>
      </c>
      <c r="H319" s="23">
        <v>5</v>
      </c>
      <c r="I319" s="23">
        <v>1</v>
      </c>
      <c r="J319" s="23">
        <v>0.22</v>
      </c>
    </row>
    <row r="320" spans="1:10" x14ac:dyDescent="0.35">
      <c r="A320" s="23">
        <v>319</v>
      </c>
      <c r="B320" s="24">
        <v>40557</v>
      </c>
      <c r="C320" s="23">
        <v>1</v>
      </c>
      <c r="D320" s="23">
        <v>0</v>
      </c>
      <c r="E320" s="23">
        <v>1</v>
      </c>
      <c r="F320" s="23">
        <v>18</v>
      </c>
      <c r="G320" s="23" t="b">
        <f>FALSE()</f>
        <v>0</v>
      </c>
      <c r="H320" s="23">
        <v>5</v>
      </c>
      <c r="I320" s="23">
        <v>1</v>
      </c>
      <c r="J320" s="23">
        <v>0.2</v>
      </c>
    </row>
    <row r="321" spans="1:10" x14ac:dyDescent="0.35">
      <c r="A321" s="23">
        <v>320</v>
      </c>
      <c r="B321" s="24">
        <v>40557</v>
      </c>
      <c r="C321" s="23">
        <v>1</v>
      </c>
      <c r="D321" s="23">
        <v>0</v>
      </c>
      <c r="E321" s="23">
        <v>1</v>
      </c>
      <c r="F321" s="23">
        <v>19</v>
      </c>
      <c r="G321" s="23" t="b">
        <f>FALSE()</f>
        <v>0</v>
      </c>
      <c r="H321" s="23">
        <v>5</v>
      </c>
      <c r="I321" s="23">
        <v>1</v>
      </c>
      <c r="J321" s="23">
        <v>0.16</v>
      </c>
    </row>
    <row r="322" spans="1:10" x14ac:dyDescent="0.35">
      <c r="A322" s="23">
        <v>321</v>
      </c>
      <c r="B322" s="24">
        <v>40557</v>
      </c>
      <c r="C322" s="23">
        <v>1</v>
      </c>
      <c r="D322" s="23">
        <v>0</v>
      </c>
      <c r="E322" s="23">
        <v>1</v>
      </c>
      <c r="F322" s="23">
        <v>20</v>
      </c>
      <c r="G322" s="23" t="b">
        <f>FALSE()</f>
        <v>0</v>
      </c>
      <c r="H322" s="23">
        <v>5</v>
      </c>
      <c r="I322" s="23">
        <v>1</v>
      </c>
      <c r="J322" s="23">
        <v>0.18</v>
      </c>
    </row>
    <row r="323" spans="1:10" x14ac:dyDescent="0.35">
      <c r="A323" s="23">
        <v>322</v>
      </c>
      <c r="B323" s="24">
        <v>40557</v>
      </c>
      <c r="C323" s="23">
        <v>1</v>
      </c>
      <c r="D323" s="23">
        <v>0</v>
      </c>
      <c r="E323" s="23">
        <v>1</v>
      </c>
      <c r="F323" s="23">
        <v>21</v>
      </c>
      <c r="G323" s="23" t="b">
        <f>FALSE()</f>
        <v>0</v>
      </c>
      <c r="H323" s="23">
        <v>5</v>
      </c>
      <c r="I323" s="23">
        <v>1</v>
      </c>
      <c r="J323" s="23">
        <v>0.16</v>
      </c>
    </row>
    <row r="324" spans="1:10" x14ac:dyDescent="0.35">
      <c r="A324" s="23">
        <v>323</v>
      </c>
      <c r="B324" s="24">
        <v>40557</v>
      </c>
      <c r="C324" s="23">
        <v>1</v>
      </c>
      <c r="D324" s="23">
        <v>0</v>
      </c>
      <c r="E324" s="23">
        <v>1</v>
      </c>
      <c r="F324" s="23">
        <v>22</v>
      </c>
      <c r="G324" s="23" t="b">
        <f>FALSE()</f>
        <v>0</v>
      </c>
      <c r="H324" s="23">
        <v>5</v>
      </c>
      <c r="I324" s="23">
        <v>2</v>
      </c>
      <c r="J324" s="23">
        <v>0.16</v>
      </c>
    </row>
    <row r="325" spans="1:10" x14ac:dyDescent="0.35">
      <c r="A325" s="23">
        <v>324</v>
      </c>
      <c r="B325" s="24">
        <v>40557</v>
      </c>
      <c r="C325" s="23">
        <v>1</v>
      </c>
      <c r="D325" s="23">
        <v>0</v>
      </c>
      <c r="E325" s="23">
        <v>1</v>
      </c>
      <c r="F325" s="23">
        <v>23</v>
      </c>
      <c r="G325" s="23" t="b">
        <f>FALSE()</f>
        <v>0</v>
      </c>
      <c r="H325" s="23">
        <v>5</v>
      </c>
      <c r="I325" s="23">
        <v>2</v>
      </c>
      <c r="J325" s="23">
        <v>0.18</v>
      </c>
    </row>
    <row r="326" spans="1:10" x14ac:dyDescent="0.35">
      <c r="A326" s="23">
        <v>325</v>
      </c>
      <c r="B326" s="24">
        <v>40558</v>
      </c>
      <c r="C326" s="23">
        <v>1</v>
      </c>
      <c r="D326" s="23">
        <v>0</v>
      </c>
      <c r="E326" s="23">
        <v>1</v>
      </c>
      <c r="F326" s="23">
        <v>0</v>
      </c>
      <c r="G326" s="23" t="b">
        <f>FALSE()</f>
        <v>0</v>
      </c>
      <c r="H326" s="23">
        <v>6</v>
      </c>
      <c r="I326" s="23">
        <v>1</v>
      </c>
      <c r="J326" s="23">
        <v>0.18</v>
      </c>
    </row>
    <row r="327" spans="1:10" x14ac:dyDescent="0.35">
      <c r="A327" s="23">
        <v>326</v>
      </c>
      <c r="B327" s="24">
        <v>40558</v>
      </c>
      <c r="C327" s="23">
        <v>1</v>
      </c>
      <c r="D327" s="23">
        <v>0</v>
      </c>
      <c r="E327" s="23">
        <v>1</v>
      </c>
      <c r="F327" s="23">
        <v>1</v>
      </c>
      <c r="G327" s="23" t="b">
        <f>FALSE()</f>
        <v>0</v>
      </c>
      <c r="H327" s="23">
        <v>6</v>
      </c>
      <c r="I327" s="23">
        <v>2</v>
      </c>
      <c r="J327" s="23">
        <v>0.16</v>
      </c>
    </row>
    <row r="328" spans="1:10" x14ac:dyDescent="0.35">
      <c r="A328" s="23">
        <v>327</v>
      </c>
      <c r="B328" s="24">
        <v>40558</v>
      </c>
      <c r="C328" s="23">
        <v>1</v>
      </c>
      <c r="D328" s="23">
        <v>0</v>
      </c>
      <c r="E328" s="23">
        <v>1</v>
      </c>
      <c r="F328" s="23">
        <v>2</v>
      </c>
      <c r="G328" s="23" t="b">
        <f>FALSE()</f>
        <v>0</v>
      </c>
      <c r="H328" s="23">
        <v>6</v>
      </c>
      <c r="I328" s="23">
        <v>2</v>
      </c>
      <c r="J328" s="23">
        <v>0.16</v>
      </c>
    </row>
    <row r="329" spans="1:10" x14ac:dyDescent="0.35">
      <c r="A329" s="23">
        <v>328</v>
      </c>
      <c r="B329" s="24">
        <v>40558</v>
      </c>
      <c r="C329" s="23">
        <v>1</v>
      </c>
      <c r="D329" s="23">
        <v>0</v>
      </c>
      <c r="E329" s="23">
        <v>1</v>
      </c>
      <c r="F329" s="23">
        <v>3</v>
      </c>
      <c r="G329" s="23" t="b">
        <f>FALSE()</f>
        <v>0</v>
      </c>
      <c r="H329" s="23">
        <v>6</v>
      </c>
      <c r="I329" s="23">
        <v>2</v>
      </c>
      <c r="J329" s="23">
        <v>0.16</v>
      </c>
    </row>
    <row r="330" spans="1:10" x14ac:dyDescent="0.35">
      <c r="A330" s="23">
        <v>329</v>
      </c>
      <c r="B330" s="24">
        <v>40558</v>
      </c>
      <c r="C330" s="23">
        <v>1</v>
      </c>
      <c r="D330" s="23">
        <v>0</v>
      </c>
      <c r="E330" s="23">
        <v>1</v>
      </c>
      <c r="F330" s="23">
        <v>4</v>
      </c>
      <c r="G330" s="23" t="b">
        <f>FALSE()</f>
        <v>0</v>
      </c>
      <c r="H330" s="23">
        <v>6</v>
      </c>
      <c r="I330" s="23">
        <v>2</v>
      </c>
      <c r="J330" s="23">
        <v>0.16</v>
      </c>
    </row>
    <row r="331" spans="1:10" x14ac:dyDescent="0.35">
      <c r="A331" s="23">
        <v>330</v>
      </c>
      <c r="B331" s="24">
        <v>40558</v>
      </c>
      <c r="C331" s="23">
        <v>1</v>
      </c>
      <c r="D331" s="23">
        <v>0</v>
      </c>
      <c r="E331" s="23">
        <v>1</v>
      </c>
      <c r="F331" s="23">
        <v>5</v>
      </c>
      <c r="G331" s="23" t="b">
        <f>FALSE()</f>
        <v>0</v>
      </c>
      <c r="H331" s="23">
        <v>6</v>
      </c>
      <c r="I331" s="23">
        <v>1</v>
      </c>
      <c r="J331" s="23">
        <v>0.16</v>
      </c>
    </row>
    <row r="332" spans="1:10" x14ac:dyDescent="0.35">
      <c r="A332" s="23">
        <v>331</v>
      </c>
      <c r="B332" s="24">
        <v>40558</v>
      </c>
      <c r="C332" s="23">
        <v>1</v>
      </c>
      <c r="D332" s="23">
        <v>0</v>
      </c>
      <c r="E332" s="23">
        <v>1</v>
      </c>
      <c r="F332" s="23">
        <v>6</v>
      </c>
      <c r="G332" s="23" t="b">
        <f>FALSE()</f>
        <v>0</v>
      </c>
      <c r="H332" s="23">
        <v>6</v>
      </c>
      <c r="I332" s="23">
        <v>1</v>
      </c>
      <c r="J332" s="23">
        <v>0.14000000000000001</v>
      </c>
    </row>
    <row r="333" spans="1:10" x14ac:dyDescent="0.35">
      <c r="A333" s="23">
        <v>332</v>
      </c>
      <c r="B333" s="24">
        <v>40558</v>
      </c>
      <c r="C333" s="23">
        <v>1</v>
      </c>
      <c r="D333" s="23">
        <v>0</v>
      </c>
      <c r="E333" s="23">
        <v>1</v>
      </c>
      <c r="F333" s="23">
        <v>7</v>
      </c>
      <c r="G333" s="23" t="b">
        <f>FALSE()</f>
        <v>0</v>
      </c>
      <c r="H333" s="23">
        <v>6</v>
      </c>
      <c r="I333" s="23">
        <v>1</v>
      </c>
      <c r="J333" s="23">
        <v>0.14000000000000001</v>
      </c>
    </row>
    <row r="334" spans="1:10" x14ac:dyDescent="0.35">
      <c r="A334" s="23">
        <v>333</v>
      </c>
      <c r="B334" s="24">
        <v>40558</v>
      </c>
      <c r="C334" s="23">
        <v>1</v>
      </c>
      <c r="D334" s="23">
        <v>0</v>
      </c>
      <c r="E334" s="23">
        <v>1</v>
      </c>
      <c r="F334" s="23">
        <v>8</v>
      </c>
      <c r="G334" s="23" t="b">
        <f>FALSE()</f>
        <v>0</v>
      </c>
      <c r="H334" s="23">
        <v>6</v>
      </c>
      <c r="I334" s="23">
        <v>1</v>
      </c>
      <c r="J334" s="23">
        <v>0.14000000000000001</v>
      </c>
    </row>
    <row r="335" spans="1:10" x14ac:dyDescent="0.35">
      <c r="A335" s="23">
        <v>334</v>
      </c>
      <c r="B335" s="24">
        <v>40558</v>
      </c>
      <c r="C335" s="23">
        <v>1</v>
      </c>
      <c r="D335" s="23">
        <v>0</v>
      </c>
      <c r="E335" s="23">
        <v>1</v>
      </c>
      <c r="F335" s="23">
        <v>9</v>
      </c>
      <c r="G335" s="23" t="b">
        <f>FALSE()</f>
        <v>0</v>
      </c>
      <c r="H335" s="23">
        <v>6</v>
      </c>
      <c r="I335" s="23">
        <v>1</v>
      </c>
      <c r="J335" s="23">
        <v>0.16</v>
      </c>
    </row>
    <row r="336" spans="1:10" x14ac:dyDescent="0.35">
      <c r="A336" s="23">
        <v>335</v>
      </c>
      <c r="B336" s="24">
        <v>40558</v>
      </c>
      <c r="C336" s="23">
        <v>1</v>
      </c>
      <c r="D336" s="23">
        <v>0</v>
      </c>
      <c r="E336" s="23">
        <v>1</v>
      </c>
      <c r="F336" s="23">
        <v>10</v>
      </c>
      <c r="G336" s="23" t="b">
        <f>FALSE()</f>
        <v>0</v>
      </c>
      <c r="H336" s="23">
        <v>6</v>
      </c>
      <c r="I336" s="23">
        <v>1</v>
      </c>
      <c r="J336" s="23">
        <v>0.18</v>
      </c>
    </row>
    <row r="337" spans="1:10" x14ac:dyDescent="0.35">
      <c r="A337" s="23">
        <v>336</v>
      </c>
      <c r="B337" s="24">
        <v>40558</v>
      </c>
      <c r="C337" s="23">
        <v>1</v>
      </c>
      <c r="D337" s="23">
        <v>0</v>
      </c>
      <c r="E337" s="23">
        <v>1</v>
      </c>
      <c r="F337" s="23">
        <v>11</v>
      </c>
      <c r="G337" s="23" t="b">
        <f>FALSE()</f>
        <v>0</v>
      </c>
      <c r="H337" s="23">
        <v>6</v>
      </c>
      <c r="I337" s="23">
        <v>1</v>
      </c>
      <c r="J337" s="23">
        <v>0.2</v>
      </c>
    </row>
    <row r="338" spans="1:10" x14ac:dyDescent="0.35">
      <c r="A338" s="23">
        <v>337</v>
      </c>
      <c r="B338" s="24">
        <v>40558</v>
      </c>
      <c r="C338" s="23">
        <v>1</v>
      </c>
      <c r="D338" s="23">
        <v>0</v>
      </c>
      <c r="E338" s="23">
        <v>1</v>
      </c>
      <c r="F338" s="23">
        <v>12</v>
      </c>
      <c r="G338" s="23" t="b">
        <f>FALSE()</f>
        <v>0</v>
      </c>
      <c r="H338" s="23">
        <v>6</v>
      </c>
      <c r="I338" s="23">
        <v>1</v>
      </c>
      <c r="J338" s="23">
        <v>0.24</v>
      </c>
    </row>
    <row r="339" spans="1:10" x14ac:dyDescent="0.35">
      <c r="A339" s="23">
        <v>338</v>
      </c>
      <c r="B339" s="24">
        <v>40558</v>
      </c>
      <c r="C339" s="23">
        <v>1</v>
      </c>
      <c r="D339" s="23">
        <v>0</v>
      </c>
      <c r="E339" s="23">
        <v>1</v>
      </c>
      <c r="F339" s="23">
        <v>13</v>
      </c>
      <c r="G339" s="23" t="b">
        <f>FALSE()</f>
        <v>0</v>
      </c>
      <c r="H339" s="23">
        <v>6</v>
      </c>
      <c r="I339" s="23">
        <v>1</v>
      </c>
      <c r="J339" s="23">
        <v>0.28000000000000003</v>
      </c>
    </row>
    <row r="340" spans="1:10" x14ac:dyDescent="0.35">
      <c r="A340" s="23">
        <v>339</v>
      </c>
      <c r="B340" s="24">
        <v>40558</v>
      </c>
      <c r="C340" s="23">
        <v>1</v>
      </c>
      <c r="D340" s="23">
        <v>0</v>
      </c>
      <c r="E340" s="23">
        <v>1</v>
      </c>
      <c r="F340" s="23">
        <v>14</v>
      </c>
      <c r="G340" s="23" t="b">
        <f>FALSE()</f>
        <v>0</v>
      </c>
      <c r="H340" s="23">
        <v>6</v>
      </c>
      <c r="I340" s="23">
        <v>1</v>
      </c>
      <c r="J340" s="23">
        <v>0.3</v>
      </c>
    </row>
    <row r="341" spans="1:10" x14ac:dyDescent="0.35">
      <c r="A341" s="23">
        <v>340</v>
      </c>
      <c r="B341" s="24">
        <v>40558</v>
      </c>
      <c r="C341" s="23">
        <v>1</v>
      </c>
      <c r="D341" s="23">
        <v>0</v>
      </c>
      <c r="E341" s="23">
        <v>1</v>
      </c>
      <c r="F341" s="23">
        <v>15</v>
      </c>
      <c r="G341" s="23" t="b">
        <f>FALSE()</f>
        <v>0</v>
      </c>
      <c r="H341" s="23">
        <v>6</v>
      </c>
      <c r="I341" s="23">
        <v>2</v>
      </c>
      <c r="J341" s="23">
        <v>0.32</v>
      </c>
    </row>
    <row r="342" spans="1:10" x14ac:dyDescent="0.35">
      <c r="A342" s="23">
        <v>341</v>
      </c>
      <c r="B342" s="24">
        <v>40558</v>
      </c>
      <c r="C342" s="23">
        <v>1</v>
      </c>
      <c r="D342" s="23">
        <v>0</v>
      </c>
      <c r="E342" s="23">
        <v>1</v>
      </c>
      <c r="F342" s="23">
        <v>16</v>
      </c>
      <c r="G342" s="23" t="b">
        <f>FALSE()</f>
        <v>0</v>
      </c>
      <c r="H342" s="23">
        <v>6</v>
      </c>
      <c r="I342" s="23">
        <v>2</v>
      </c>
      <c r="J342" s="23">
        <v>0.34</v>
      </c>
    </row>
    <row r="343" spans="1:10" x14ac:dyDescent="0.35">
      <c r="A343" s="23">
        <v>342</v>
      </c>
      <c r="B343" s="24">
        <v>40558</v>
      </c>
      <c r="C343" s="23">
        <v>1</v>
      </c>
      <c r="D343" s="23">
        <v>0</v>
      </c>
      <c r="E343" s="23">
        <v>1</v>
      </c>
      <c r="F343" s="23">
        <v>17</v>
      </c>
      <c r="G343" s="23" t="b">
        <f>FALSE()</f>
        <v>0</v>
      </c>
      <c r="H343" s="23">
        <v>6</v>
      </c>
      <c r="I343" s="23">
        <v>2</v>
      </c>
      <c r="J343" s="23">
        <v>0.32</v>
      </c>
    </row>
    <row r="344" spans="1:10" x14ac:dyDescent="0.35">
      <c r="A344" s="23">
        <v>343</v>
      </c>
      <c r="B344" s="24">
        <v>40558</v>
      </c>
      <c r="C344" s="23">
        <v>1</v>
      </c>
      <c r="D344" s="23">
        <v>0</v>
      </c>
      <c r="E344" s="23">
        <v>1</v>
      </c>
      <c r="F344" s="23">
        <v>18</v>
      </c>
      <c r="G344" s="23" t="b">
        <f>FALSE()</f>
        <v>0</v>
      </c>
      <c r="H344" s="23">
        <v>6</v>
      </c>
      <c r="I344" s="23">
        <v>2</v>
      </c>
      <c r="J344" s="23">
        <v>0.3</v>
      </c>
    </row>
    <row r="345" spans="1:10" x14ac:dyDescent="0.35">
      <c r="A345" s="23">
        <v>344</v>
      </c>
      <c r="B345" s="24">
        <v>40558</v>
      </c>
      <c r="C345" s="23">
        <v>1</v>
      </c>
      <c r="D345" s="23">
        <v>0</v>
      </c>
      <c r="E345" s="23">
        <v>1</v>
      </c>
      <c r="F345" s="23">
        <v>19</v>
      </c>
      <c r="G345" s="23" t="b">
        <f>FALSE()</f>
        <v>0</v>
      </c>
      <c r="H345" s="23">
        <v>6</v>
      </c>
      <c r="I345" s="23">
        <v>2</v>
      </c>
      <c r="J345" s="23">
        <v>0.32</v>
      </c>
    </row>
    <row r="346" spans="1:10" x14ac:dyDescent="0.35">
      <c r="A346" s="23">
        <v>345</v>
      </c>
      <c r="B346" s="24">
        <v>40558</v>
      </c>
      <c r="C346" s="23">
        <v>1</v>
      </c>
      <c r="D346" s="23">
        <v>0</v>
      </c>
      <c r="E346" s="23">
        <v>1</v>
      </c>
      <c r="F346" s="23">
        <v>20</v>
      </c>
      <c r="G346" s="23" t="b">
        <f>FALSE()</f>
        <v>0</v>
      </c>
      <c r="H346" s="23">
        <v>6</v>
      </c>
      <c r="I346" s="23">
        <v>2</v>
      </c>
      <c r="J346" s="23">
        <v>0.32</v>
      </c>
    </row>
    <row r="347" spans="1:10" x14ac:dyDescent="0.35">
      <c r="A347" s="23">
        <v>346</v>
      </c>
      <c r="B347" s="24">
        <v>40558</v>
      </c>
      <c r="C347" s="23">
        <v>1</v>
      </c>
      <c r="D347" s="23">
        <v>0</v>
      </c>
      <c r="E347" s="23">
        <v>1</v>
      </c>
      <c r="F347" s="23">
        <v>21</v>
      </c>
      <c r="G347" s="23" t="b">
        <f>FALSE()</f>
        <v>0</v>
      </c>
      <c r="H347" s="23">
        <v>6</v>
      </c>
      <c r="I347" s="23">
        <v>2</v>
      </c>
      <c r="J347" s="23">
        <v>0.32</v>
      </c>
    </row>
    <row r="348" spans="1:10" x14ac:dyDescent="0.35">
      <c r="A348" s="23">
        <v>347</v>
      </c>
      <c r="B348" s="24">
        <v>40558</v>
      </c>
      <c r="C348" s="23">
        <v>1</v>
      </c>
      <c r="D348" s="23">
        <v>0</v>
      </c>
      <c r="E348" s="23">
        <v>1</v>
      </c>
      <c r="F348" s="23">
        <v>22</v>
      </c>
      <c r="G348" s="23" t="b">
        <f>FALSE()</f>
        <v>0</v>
      </c>
      <c r="H348" s="23">
        <v>6</v>
      </c>
      <c r="I348" s="23">
        <v>2</v>
      </c>
      <c r="J348" s="23">
        <v>0.3</v>
      </c>
    </row>
    <row r="349" spans="1:10" x14ac:dyDescent="0.35">
      <c r="A349" s="23">
        <v>348</v>
      </c>
      <c r="B349" s="24">
        <v>40558</v>
      </c>
      <c r="C349" s="23">
        <v>1</v>
      </c>
      <c r="D349" s="23">
        <v>0</v>
      </c>
      <c r="E349" s="23">
        <v>1</v>
      </c>
      <c r="F349" s="23">
        <v>23</v>
      </c>
      <c r="G349" s="23" t="b">
        <f>FALSE()</f>
        <v>0</v>
      </c>
      <c r="H349" s="23">
        <v>6</v>
      </c>
      <c r="I349" s="23">
        <v>1</v>
      </c>
      <c r="J349" s="23">
        <v>0.3</v>
      </c>
    </row>
    <row r="350" spans="1:10" x14ac:dyDescent="0.35">
      <c r="A350" s="23">
        <v>349</v>
      </c>
      <c r="B350" s="24">
        <v>40559</v>
      </c>
      <c r="C350" s="23">
        <v>1</v>
      </c>
      <c r="D350" s="23">
        <v>0</v>
      </c>
      <c r="E350" s="23">
        <v>1</v>
      </c>
      <c r="F350" s="23">
        <v>0</v>
      </c>
      <c r="G350" s="23" t="b">
        <f>FALSE()</f>
        <v>0</v>
      </c>
      <c r="H350" s="23">
        <v>0</v>
      </c>
      <c r="I350" s="23">
        <v>1</v>
      </c>
      <c r="J350" s="23">
        <v>0.26</v>
      </c>
    </row>
    <row r="351" spans="1:10" x14ac:dyDescent="0.35">
      <c r="A351" s="23">
        <v>350</v>
      </c>
      <c r="B351" s="24">
        <v>40559</v>
      </c>
      <c r="C351" s="23">
        <v>1</v>
      </c>
      <c r="D351" s="23">
        <v>0</v>
      </c>
      <c r="E351" s="23">
        <v>1</v>
      </c>
      <c r="F351" s="23">
        <v>1</v>
      </c>
      <c r="G351" s="23" t="b">
        <f>FALSE()</f>
        <v>0</v>
      </c>
      <c r="H351" s="23">
        <v>0</v>
      </c>
      <c r="I351" s="23">
        <v>1</v>
      </c>
      <c r="J351" s="23">
        <v>0.26</v>
      </c>
    </row>
    <row r="352" spans="1:10" x14ac:dyDescent="0.35">
      <c r="A352" s="23">
        <v>351</v>
      </c>
      <c r="B352" s="24">
        <v>40559</v>
      </c>
      <c r="C352" s="23">
        <v>1</v>
      </c>
      <c r="D352" s="23">
        <v>0</v>
      </c>
      <c r="E352" s="23">
        <v>1</v>
      </c>
      <c r="F352" s="23">
        <v>2</v>
      </c>
      <c r="G352" s="23" t="b">
        <f>FALSE()</f>
        <v>0</v>
      </c>
      <c r="H352" s="23">
        <v>0</v>
      </c>
      <c r="I352" s="23">
        <v>1</v>
      </c>
      <c r="J352" s="23">
        <v>0.26</v>
      </c>
    </row>
    <row r="353" spans="1:10" x14ac:dyDescent="0.35">
      <c r="A353" s="23">
        <v>352</v>
      </c>
      <c r="B353" s="24">
        <v>40559</v>
      </c>
      <c r="C353" s="23">
        <v>1</v>
      </c>
      <c r="D353" s="23">
        <v>0</v>
      </c>
      <c r="E353" s="23">
        <v>1</v>
      </c>
      <c r="F353" s="23">
        <v>3</v>
      </c>
      <c r="G353" s="23" t="b">
        <f>FALSE()</f>
        <v>0</v>
      </c>
      <c r="H353" s="23">
        <v>0</v>
      </c>
      <c r="I353" s="23">
        <v>1</v>
      </c>
      <c r="J353" s="23">
        <v>0.22</v>
      </c>
    </row>
    <row r="354" spans="1:10" x14ac:dyDescent="0.35">
      <c r="A354" s="23">
        <v>353</v>
      </c>
      <c r="B354" s="24">
        <v>40559</v>
      </c>
      <c r="C354" s="23">
        <v>1</v>
      </c>
      <c r="D354" s="23">
        <v>0</v>
      </c>
      <c r="E354" s="23">
        <v>1</v>
      </c>
      <c r="F354" s="23">
        <v>4</v>
      </c>
      <c r="G354" s="23" t="b">
        <f>FALSE()</f>
        <v>0</v>
      </c>
      <c r="H354" s="23">
        <v>0</v>
      </c>
      <c r="I354" s="23">
        <v>1</v>
      </c>
      <c r="J354" s="23">
        <v>0.26</v>
      </c>
    </row>
    <row r="355" spans="1:10" x14ac:dyDescent="0.35">
      <c r="A355" s="23">
        <v>354</v>
      </c>
      <c r="B355" s="24">
        <v>40559</v>
      </c>
      <c r="C355" s="23">
        <v>1</v>
      </c>
      <c r="D355" s="23">
        <v>0</v>
      </c>
      <c r="E355" s="23">
        <v>1</v>
      </c>
      <c r="F355" s="23">
        <v>5</v>
      </c>
      <c r="G355" s="23" t="b">
        <f>FALSE()</f>
        <v>0</v>
      </c>
      <c r="H355" s="23">
        <v>0</v>
      </c>
      <c r="I355" s="23">
        <v>2</v>
      </c>
      <c r="J355" s="23">
        <v>0.26</v>
      </c>
    </row>
    <row r="356" spans="1:10" x14ac:dyDescent="0.35">
      <c r="A356" s="23">
        <v>355</v>
      </c>
      <c r="B356" s="24">
        <v>40559</v>
      </c>
      <c r="C356" s="23">
        <v>1</v>
      </c>
      <c r="D356" s="23">
        <v>0</v>
      </c>
      <c r="E356" s="23">
        <v>1</v>
      </c>
      <c r="F356" s="23">
        <v>6</v>
      </c>
      <c r="G356" s="23" t="b">
        <f>FALSE()</f>
        <v>0</v>
      </c>
      <c r="H356" s="23">
        <v>0</v>
      </c>
      <c r="I356" s="23">
        <v>2</v>
      </c>
      <c r="J356" s="23">
        <v>0.26</v>
      </c>
    </row>
    <row r="357" spans="1:10" x14ac:dyDescent="0.35">
      <c r="A357" s="23">
        <v>356</v>
      </c>
      <c r="B357" s="24">
        <v>40559</v>
      </c>
      <c r="C357" s="23">
        <v>1</v>
      </c>
      <c r="D357" s="23">
        <v>0</v>
      </c>
      <c r="E357" s="23">
        <v>1</v>
      </c>
      <c r="F357" s="23">
        <v>7</v>
      </c>
      <c r="G357" s="23" t="b">
        <f>FALSE()</f>
        <v>0</v>
      </c>
      <c r="H357" s="23">
        <v>0</v>
      </c>
      <c r="I357" s="23">
        <v>2</v>
      </c>
      <c r="J357" s="23">
        <v>0.24</v>
      </c>
    </row>
    <row r="358" spans="1:10" x14ac:dyDescent="0.35">
      <c r="A358" s="23">
        <v>357</v>
      </c>
      <c r="B358" s="24">
        <v>40559</v>
      </c>
      <c r="C358" s="23">
        <v>1</v>
      </c>
      <c r="D358" s="23">
        <v>0</v>
      </c>
      <c r="E358" s="23">
        <v>1</v>
      </c>
      <c r="F358" s="23">
        <v>8</v>
      </c>
      <c r="G358" s="23" t="b">
        <f>FALSE()</f>
        <v>0</v>
      </c>
      <c r="H358" s="23">
        <v>0</v>
      </c>
      <c r="I358" s="23">
        <v>1</v>
      </c>
      <c r="J358" s="23">
        <v>0.22</v>
      </c>
    </row>
    <row r="359" spans="1:10" x14ac:dyDescent="0.35">
      <c r="A359" s="23">
        <v>358</v>
      </c>
      <c r="B359" s="24">
        <v>40559</v>
      </c>
      <c r="C359" s="23">
        <v>1</v>
      </c>
      <c r="D359" s="23">
        <v>0</v>
      </c>
      <c r="E359" s="23">
        <v>1</v>
      </c>
      <c r="F359" s="23">
        <v>9</v>
      </c>
      <c r="G359" s="23" t="b">
        <f>FALSE()</f>
        <v>0</v>
      </c>
      <c r="H359" s="23">
        <v>0</v>
      </c>
      <c r="I359" s="23">
        <v>1</v>
      </c>
      <c r="J359" s="23">
        <v>0.22</v>
      </c>
    </row>
    <row r="360" spans="1:10" x14ac:dyDescent="0.35">
      <c r="A360" s="23">
        <v>359</v>
      </c>
      <c r="B360" s="24">
        <v>40559</v>
      </c>
      <c r="C360" s="23">
        <v>1</v>
      </c>
      <c r="D360" s="23">
        <v>0</v>
      </c>
      <c r="E360" s="23">
        <v>1</v>
      </c>
      <c r="F360" s="23">
        <v>10</v>
      </c>
      <c r="G360" s="23" t="b">
        <f>FALSE()</f>
        <v>0</v>
      </c>
      <c r="H360" s="23">
        <v>0</v>
      </c>
      <c r="I360" s="23">
        <v>1</v>
      </c>
      <c r="J360" s="23">
        <v>0.22</v>
      </c>
    </row>
    <row r="361" spans="1:10" x14ac:dyDescent="0.35">
      <c r="A361" s="23">
        <v>360</v>
      </c>
      <c r="B361" s="24">
        <v>40559</v>
      </c>
      <c r="C361" s="23">
        <v>1</v>
      </c>
      <c r="D361" s="23">
        <v>0</v>
      </c>
      <c r="E361" s="23">
        <v>1</v>
      </c>
      <c r="F361" s="23">
        <v>11</v>
      </c>
      <c r="G361" s="23" t="b">
        <f>FALSE()</f>
        <v>0</v>
      </c>
      <c r="H361" s="23">
        <v>0</v>
      </c>
      <c r="I361" s="23">
        <v>1</v>
      </c>
      <c r="J361" s="23">
        <v>0.24</v>
      </c>
    </row>
    <row r="362" spans="1:10" x14ac:dyDescent="0.35">
      <c r="A362" s="23">
        <v>361</v>
      </c>
      <c r="B362" s="24">
        <v>40559</v>
      </c>
      <c r="C362" s="23">
        <v>1</v>
      </c>
      <c r="D362" s="23">
        <v>0</v>
      </c>
      <c r="E362" s="23">
        <v>1</v>
      </c>
      <c r="F362" s="23">
        <v>12</v>
      </c>
      <c r="G362" s="23" t="b">
        <f>FALSE()</f>
        <v>0</v>
      </c>
      <c r="H362" s="23">
        <v>0</v>
      </c>
      <c r="I362" s="23">
        <v>1</v>
      </c>
      <c r="J362" s="23">
        <v>0.24</v>
      </c>
    </row>
    <row r="363" spans="1:10" x14ac:dyDescent="0.35">
      <c r="A363" s="23">
        <v>362</v>
      </c>
      <c r="B363" s="24">
        <v>40559</v>
      </c>
      <c r="C363" s="23">
        <v>1</v>
      </c>
      <c r="D363" s="23">
        <v>0</v>
      </c>
      <c r="E363" s="23">
        <v>1</v>
      </c>
      <c r="F363" s="23">
        <v>13</v>
      </c>
      <c r="G363" s="23" t="b">
        <f>FALSE()</f>
        <v>0</v>
      </c>
      <c r="H363" s="23">
        <v>0</v>
      </c>
      <c r="I363" s="23">
        <v>1</v>
      </c>
      <c r="J363" s="23">
        <v>0.26</v>
      </c>
    </row>
    <row r="364" spans="1:10" x14ac:dyDescent="0.35">
      <c r="A364" s="23">
        <v>363</v>
      </c>
      <c r="B364" s="24">
        <v>40559</v>
      </c>
      <c r="C364" s="23">
        <v>1</v>
      </c>
      <c r="D364" s="23">
        <v>0</v>
      </c>
      <c r="E364" s="23">
        <v>1</v>
      </c>
      <c r="F364" s="23">
        <v>14</v>
      </c>
      <c r="G364" s="23" t="b">
        <f>FALSE()</f>
        <v>0</v>
      </c>
      <c r="H364" s="23">
        <v>0</v>
      </c>
      <c r="I364" s="23">
        <v>1</v>
      </c>
      <c r="J364" s="23">
        <v>0.28000000000000003</v>
      </c>
    </row>
    <row r="365" spans="1:10" x14ac:dyDescent="0.35">
      <c r="A365" s="23">
        <v>364</v>
      </c>
      <c r="B365" s="24">
        <v>40559</v>
      </c>
      <c r="C365" s="23">
        <v>1</v>
      </c>
      <c r="D365" s="23">
        <v>0</v>
      </c>
      <c r="E365" s="23">
        <v>1</v>
      </c>
      <c r="F365" s="23">
        <v>15</v>
      </c>
      <c r="G365" s="23" t="b">
        <f>FALSE()</f>
        <v>0</v>
      </c>
      <c r="H365" s="23">
        <v>0</v>
      </c>
      <c r="I365" s="23">
        <v>1</v>
      </c>
      <c r="J365" s="23">
        <v>0.26</v>
      </c>
    </row>
    <row r="366" spans="1:10" x14ac:dyDescent="0.35">
      <c r="A366" s="23">
        <v>365</v>
      </c>
      <c r="B366" s="24">
        <v>40559</v>
      </c>
      <c r="C366" s="23">
        <v>1</v>
      </c>
      <c r="D366" s="23">
        <v>0</v>
      </c>
      <c r="E366" s="23">
        <v>1</v>
      </c>
      <c r="F366" s="23">
        <v>16</v>
      </c>
      <c r="G366" s="23" t="b">
        <f>FALSE()</f>
        <v>0</v>
      </c>
      <c r="H366" s="23">
        <v>0</v>
      </c>
      <c r="I366" s="23">
        <v>1</v>
      </c>
      <c r="J366" s="23">
        <v>0.24</v>
      </c>
    </row>
    <row r="367" spans="1:10" x14ac:dyDescent="0.35">
      <c r="A367" s="23">
        <v>366</v>
      </c>
      <c r="B367" s="24">
        <v>40559</v>
      </c>
      <c r="C367" s="23">
        <v>1</v>
      </c>
      <c r="D367" s="23">
        <v>0</v>
      </c>
      <c r="E367" s="23">
        <v>1</v>
      </c>
      <c r="F367" s="23">
        <v>17</v>
      </c>
      <c r="G367" s="23" t="b">
        <f>FALSE()</f>
        <v>0</v>
      </c>
      <c r="H367" s="23">
        <v>0</v>
      </c>
      <c r="I367" s="23">
        <v>1</v>
      </c>
      <c r="J367" s="23">
        <v>0.22</v>
      </c>
    </row>
    <row r="368" spans="1:10" x14ac:dyDescent="0.35">
      <c r="A368" s="23">
        <v>367</v>
      </c>
      <c r="B368" s="24">
        <v>40559</v>
      </c>
      <c r="C368" s="23">
        <v>1</v>
      </c>
      <c r="D368" s="23">
        <v>0</v>
      </c>
      <c r="E368" s="23">
        <v>1</v>
      </c>
      <c r="F368" s="23">
        <v>18</v>
      </c>
      <c r="G368" s="23" t="b">
        <f>FALSE()</f>
        <v>0</v>
      </c>
      <c r="H368" s="23">
        <v>0</v>
      </c>
      <c r="I368" s="23">
        <v>1</v>
      </c>
      <c r="J368" s="23">
        <v>0.2</v>
      </c>
    </row>
    <row r="369" spans="1:10" x14ac:dyDescent="0.35">
      <c r="A369" s="23">
        <v>368</v>
      </c>
      <c r="B369" s="24">
        <v>40559</v>
      </c>
      <c r="C369" s="23">
        <v>1</v>
      </c>
      <c r="D369" s="23">
        <v>0</v>
      </c>
      <c r="E369" s="23">
        <v>1</v>
      </c>
      <c r="F369" s="23">
        <v>19</v>
      </c>
      <c r="G369" s="23" t="b">
        <f>FALSE()</f>
        <v>0</v>
      </c>
      <c r="H369" s="23">
        <v>0</v>
      </c>
      <c r="I369" s="23">
        <v>1</v>
      </c>
      <c r="J369" s="23">
        <v>0.18</v>
      </c>
    </row>
    <row r="370" spans="1:10" x14ac:dyDescent="0.35">
      <c r="A370" s="23">
        <v>369</v>
      </c>
      <c r="B370" s="24">
        <v>40559</v>
      </c>
      <c r="C370" s="23">
        <v>1</v>
      </c>
      <c r="D370" s="23">
        <v>0</v>
      </c>
      <c r="E370" s="23">
        <v>1</v>
      </c>
      <c r="F370" s="23">
        <v>20</v>
      </c>
      <c r="G370" s="23" t="b">
        <f>FALSE()</f>
        <v>0</v>
      </c>
      <c r="H370" s="23">
        <v>0</v>
      </c>
      <c r="I370" s="23">
        <v>1</v>
      </c>
      <c r="J370" s="23">
        <v>0.18</v>
      </c>
    </row>
    <row r="371" spans="1:10" x14ac:dyDescent="0.35">
      <c r="A371" s="23">
        <v>370</v>
      </c>
      <c r="B371" s="24">
        <v>40559</v>
      </c>
      <c r="C371" s="23">
        <v>1</v>
      </c>
      <c r="D371" s="23">
        <v>0</v>
      </c>
      <c r="E371" s="23">
        <v>1</v>
      </c>
      <c r="F371" s="23">
        <v>21</v>
      </c>
      <c r="G371" s="23" t="b">
        <f>FALSE()</f>
        <v>0</v>
      </c>
      <c r="H371" s="23">
        <v>0</v>
      </c>
      <c r="I371" s="23">
        <v>1</v>
      </c>
      <c r="J371" s="23">
        <v>0.18</v>
      </c>
    </row>
    <row r="372" spans="1:10" x14ac:dyDescent="0.35">
      <c r="A372" s="23">
        <v>371</v>
      </c>
      <c r="B372" s="24">
        <v>40559</v>
      </c>
      <c r="C372" s="23">
        <v>1</v>
      </c>
      <c r="D372" s="23">
        <v>0</v>
      </c>
      <c r="E372" s="23">
        <v>1</v>
      </c>
      <c r="F372" s="23">
        <v>22</v>
      </c>
      <c r="G372" s="23" t="b">
        <f>FALSE()</f>
        <v>0</v>
      </c>
      <c r="H372" s="23">
        <v>0</v>
      </c>
      <c r="I372" s="23">
        <v>2</v>
      </c>
      <c r="J372" s="23">
        <v>0.2</v>
      </c>
    </row>
    <row r="373" spans="1:10" x14ac:dyDescent="0.35">
      <c r="A373" s="23">
        <v>372</v>
      </c>
      <c r="B373" s="24">
        <v>40559</v>
      </c>
      <c r="C373" s="23">
        <v>1</v>
      </c>
      <c r="D373" s="23">
        <v>0</v>
      </c>
      <c r="E373" s="23">
        <v>1</v>
      </c>
      <c r="F373" s="23">
        <v>23</v>
      </c>
      <c r="G373" s="23" t="b">
        <f>FALSE()</f>
        <v>0</v>
      </c>
      <c r="H373" s="23">
        <v>0</v>
      </c>
      <c r="I373" s="23">
        <v>2</v>
      </c>
      <c r="J373" s="23">
        <v>0.2</v>
      </c>
    </row>
    <row r="374" spans="1:10" x14ac:dyDescent="0.35">
      <c r="A374" s="23">
        <v>373</v>
      </c>
      <c r="B374" s="24">
        <v>40560</v>
      </c>
      <c r="C374" s="23">
        <v>1</v>
      </c>
      <c r="D374" s="23">
        <v>0</v>
      </c>
      <c r="E374" s="23">
        <v>1</v>
      </c>
      <c r="F374" s="23">
        <v>0</v>
      </c>
      <c r="G374" s="23" t="b">
        <f>TRUE()</f>
        <v>1</v>
      </c>
      <c r="H374" s="23">
        <v>1</v>
      </c>
      <c r="I374" s="23">
        <v>2</v>
      </c>
      <c r="J374" s="23">
        <v>0.2</v>
      </c>
    </row>
    <row r="375" spans="1:10" x14ac:dyDescent="0.35">
      <c r="A375" s="23">
        <v>374</v>
      </c>
      <c r="B375" s="24">
        <v>40560</v>
      </c>
      <c r="C375" s="23">
        <v>1</v>
      </c>
      <c r="D375" s="23">
        <v>0</v>
      </c>
      <c r="E375" s="23">
        <v>1</v>
      </c>
      <c r="F375" s="23">
        <v>1</v>
      </c>
      <c r="G375" s="23" t="b">
        <f>TRUE()</f>
        <v>1</v>
      </c>
      <c r="H375" s="23">
        <v>1</v>
      </c>
      <c r="I375" s="23">
        <v>2</v>
      </c>
      <c r="J375" s="23">
        <v>0.2</v>
      </c>
    </row>
    <row r="376" spans="1:10" x14ac:dyDescent="0.35">
      <c r="A376" s="23">
        <v>375</v>
      </c>
      <c r="B376" s="24">
        <v>40560</v>
      </c>
      <c r="C376" s="23">
        <v>1</v>
      </c>
      <c r="D376" s="23">
        <v>0</v>
      </c>
      <c r="E376" s="23">
        <v>1</v>
      </c>
      <c r="F376" s="23">
        <v>2</v>
      </c>
      <c r="G376" s="23" t="b">
        <f>TRUE()</f>
        <v>1</v>
      </c>
      <c r="H376" s="23">
        <v>1</v>
      </c>
      <c r="I376" s="23">
        <v>2</v>
      </c>
      <c r="J376" s="23">
        <v>0.18</v>
      </c>
    </row>
    <row r="377" spans="1:10" x14ac:dyDescent="0.35">
      <c r="A377" s="23">
        <v>376</v>
      </c>
      <c r="B377" s="24">
        <v>40560</v>
      </c>
      <c r="C377" s="23">
        <v>1</v>
      </c>
      <c r="D377" s="23">
        <v>0</v>
      </c>
      <c r="E377" s="23">
        <v>1</v>
      </c>
      <c r="F377" s="23">
        <v>3</v>
      </c>
      <c r="G377" s="23" t="b">
        <f>TRUE()</f>
        <v>1</v>
      </c>
      <c r="H377" s="23">
        <v>1</v>
      </c>
      <c r="I377" s="23">
        <v>2</v>
      </c>
      <c r="J377" s="23">
        <v>0.18</v>
      </c>
    </row>
    <row r="378" spans="1:10" x14ac:dyDescent="0.35">
      <c r="A378" s="23">
        <v>377</v>
      </c>
      <c r="B378" s="24">
        <v>40560</v>
      </c>
      <c r="C378" s="23">
        <v>1</v>
      </c>
      <c r="D378" s="23">
        <v>0</v>
      </c>
      <c r="E378" s="23">
        <v>1</v>
      </c>
      <c r="F378" s="23">
        <v>4</v>
      </c>
      <c r="G378" s="23" t="b">
        <f>TRUE()</f>
        <v>1</v>
      </c>
      <c r="H378" s="23">
        <v>1</v>
      </c>
      <c r="I378" s="23">
        <v>2</v>
      </c>
      <c r="J378" s="23">
        <v>0.18</v>
      </c>
    </row>
    <row r="379" spans="1:10" x14ac:dyDescent="0.35">
      <c r="A379" s="23">
        <v>378</v>
      </c>
      <c r="B379" s="24">
        <v>40560</v>
      </c>
      <c r="C379" s="23">
        <v>1</v>
      </c>
      <c r="D379" s="23">
        <v>0</v>
      </c>
      <c r="E379" s="23">
        <v>1</v>
      </c>
      <c r="F379" s="23">
        <v>5</v>
      </c>
      <c r="G379" s="23" t="b">
        <f>TRUE()</f>
        <v>1</v>
      </c>
      <c r="H379" s="23">
        <v>1</v>
      </c>
      <c r="I379" s="23">
        <v>2</v>
      </c>
      <c r="J379" s="23">
        <v>0.18</v>
      </c>
    </row>
    <row r="380" spans="1:10" x14ac:dyDescent="0.35">
      <c r="A380" s="23">
        <v>379</v>
      </c>
      <c r="B380" s="24">
        <v>40560</v>
      </c>
      <c r="C380" s="23">
        <v>1</v>
      </c>
      <c r="D380" s="23">
        <v>0</v>
      </c>
      <c r="E380" s="23">
        <v>1</v>
      </c>
      <c r="F380" s="23">
        <v>6</v>
      </c>
      <c r="G380" s="23" t="b">
        <f>TRUE()</f>
        <v>1</v>
      </c>
      <c r="H380" s="23">
        <v>1</v>
      </c>
      <c r="I380" s="23">
        <v>2</v>
      </c>
      <c r="J380" s="23">
        <v>0.18</v>
      </c>
    </row>
    <row r="381" spans="1:10" x14ac:dyDescent="0.35">
      <c r="A381" s="23">
        <v>380</v>
      </c>
      <c r="B381" s="24">
        <v>40560</v>
      </c>
      <c r="C381" s="23">
        <v>1</v>
      </c>
      <c r="D381" s="23">
        <v>0</v>
      </c>
      <c r="E381" s="23">
        <v>1</v>
      </c>
      <c r="F381" s="23">
        <v>7</v>
      </c>
      <c r="G381" s="23" t="b">
        <f>TRUE()</f>
        <v>1</v>
      </c>
      <c r="H381" s="23">
        <v>1</v>
      </c>
      <c r="I381" s="23">
        <v>2</v>
      </c>
      <c r="J381" s="23">
        <v>0.16</v>
      </c>
    </row>
    <row r="382" spans="1:10" x14ac:dyDescent="0.35">
      <c r="A382" s="23">
        <v>381</v>
      </c>
      <c r="B382" s="24">
        <v>40560</v>
      </c>
      <c r="C382" s="23">
        <v>1</v>
      </c>
      <c r="D382" s="23">
        <v>0</v>
      </c>
      <c r="E382" s="23">
        <v>1</v>
      </c>
      <c r="F382" s="23">
        <v>8</v>
      </c>
      <c r="G382" s="23" t="b">
        <f>TRUE()</f>
        <v>1</v>
      </c>
      <c r="H382" s="23">
        <v>1</v>
      </c>
      <c r="I382" s="23">
        <v>2</v>
      </c>
      <c r="J382" s="23">
        <v>0.16</v>
      </c>
    </row>
    <row r="383" spans="1:10" x14ac:dyDescent="0.35">
      <c r="A383" s="23">
        <v>382</v>
      </c>
      <c r="B383" s="24">
        <v>40560</v>
      </c>
      <c r="C383" s="23">
        <v>1</v>
      </c>
      <c r="D383" s="23">
        <v>0</v>
      </c>
      <c r="E383" s="23">
        <v>1</v>
      </c>
      <c r="F383" s="23">
        <v>9</v>
      </c>
      <c r="G383" s="23" t="b">
        <f>TRUE()</f>
        <v>1</v>
      </c>
      <c r="H383" s="23">
        <v>1</v>
      </c>
      <c r="I383" s="23">
        <v>2</v>
      </c>
      <c r="J383" s="23">
        <v>0.16</v>
      </c>
    </row>
    <row r="384" spans="1:10" x14ac:dyDescent="0.35">
      <c r="A384" s="23">
        <v>383</v>
      </c>
      <c r="B384" s="24">
        <v>40560</v>
      </c>
      <c r="C384" s="23">
        <v>1</v>
      </c>
      <c r="D384" s="23">
        <v>0</v>
      </c>
      <c r="E384" s="23">
        <v>1</v>
      </c>
      <c r="F384" s="23">
        <v>10</v>
      </c>
      <c r="G384" s="23" t="b">
        <f>TRUE()</f>
        <v>1</v>
      </c>
      <c r="H384" s="23">
        <v>1</v>
      </c>
      <c r="I384" s="23">
        <v>2</v>
      </c>
      <c r="J384" s="23">
        <v>0.16</v>
      </c>
    </row>
    <row r="385" spans="1:10" x14ac:dyDescent="0.35">
      <c r="A385" s="23">
        <v>384</v>
      </c>
      <c r="B385" s="24">
        <v>40560</v>
      </c>
      <c r="C385" s="23">
        <v>1</v>
      </c>
      <c r="D385" s="23">
        <v>0</v>
      </c>
      <c r="E385" s="23">
        <v>1</v>
      </c>
      <c r="F385" s="23">
        <v>11</v>
      </c>
      <c r="G385" s="23" t="b">
        <f>TRUE()</f>
        <v>1</v>
      </c>
      <c r="H385" s="23">
        <v>1</v>
      </c>
      <c r="I385" s="23">
        <v>2</v>
      </c>
      <c r="J385" s="23">
        <v>0.16</v>
      </c>
    </row>
    <row r="386" spans="1:10" x14ac:dyDescent="0.35">
      <c r="A386" s="23">
        <v>385</v>
      </c>
      <c r="B386" s="24">
        <v>40560</v>
      </c>
      <c r="C386" s="23">
        <v>1</v>
      </c>
      <c r="D386" s="23">
        <v>0</v>
      </c>
      <c r="E386" s="23">
        <v>1</v>
      </c>
      <c r="F386" s="23">
        <v>12</v>
      </c>
      <c r="G386" s="23" t="b">
        <f>TRUE()</f>
        <v>1</v>
      </c>
      <c r="H386" s="23">
        <v>1</v>
      </c>
      <c r="I386" s="23">
        <v>2</v>
      </c>
      <c r="J386" s="23">
        <v>0.18</v>
      </c>
    </row>
    <row r="387" spans="1:10" x14ac:dyDescent="0.35">
      <c r="A387" s="23">
        <v>386</v>
      </c>
      <c r="B387" s="24">
        <v>40560</v>
      </c>
      <c r="C387" s="23">
        <v>1</v>
      </c>
      <c r="D387" s="23">
        <v>0</v>
      </c>
      <c r="E387" s="23">
        <v>1</v>
      </c>
      <c r="F387" s="23">
        <v>13</v>
      </c>
      <c r="G387" s="23" t="b">
        <f>TRUE()</f>
        <v>1</v>
      </c>
      <c r="H387" s="23">
        <v>1</v>
      </c>
      <c r="I387" s="23">
        <v>2</v>
      </c>
      <c r="J387" s="23">
        <v>0.18</v>
      </c>
    </row>
    <row r="388" spans="1:10" x14ac:dyDescent="0.35">
      <c r="A388" s="23">
        <v>387</v>
      </c>
      <c r="B388" s="24">
        <v>40560</v>
      </c>
      <c r="C388" s="23">
        <v>1</v>
      </c>
      <c r="D388" s="23">
        <v>0</v>
      </c>
      <c r="E388" s="23">
        <v>1</v>
      </c>
      <c r="F388" s="23">
        <v>14</v>
      </c>
      <c r="G388" s="23" t="b">
        <f>TRUE()</f>
        <v>1</v>
      </c>
      <c r="H388" s="23">
        <v>1</v>
      </c>
      <c r="I388" s="23">
        <v>2</v>
      </c>
      <c r="J388" s="23">
        <v>0.18</v>
      </c>
    </row>
    <row r="389" spans="1:10" x14ac:dyDescent="0.35">
      <c r="A389" s="23">
        <v>388</v>
      </c>
      <c r="B389" s="24">
        <v>40560</v>
      </c>
      <c r="C389" s="23">
        <v>1</v>
      </c>
      <c r="D389" s="23">
        <v>0</v>
      </c>
      <c r="E389" s="23">
        <v>1</v>
      </c>
      <c r="F389" s="23">
        <v>15</v>
      </c>
      <c r="G389" s="23" t="b">
        <f>TRUE()</f>
        <v>1</v>
      </c>
      <c r="H389" s="23">
        <v>1</v>
      </c>
      <c r="I389" s="23">
        <v>2</v>
      </c>
      <c r="J389" s="23">
        <v>0.2</v>
      </c>
    </row>
    <row r="390" spans="1:10" x14ac:dyDescent="0.35">
      <c r="A390" s="23">
        <v>389</v>
      </c>
      <c r="B390" s="24">
        <v>40560</v>
      </c>
      <c r="C390" s="23">
        <v>1</v>
      </c>
      <c r="D390" s="23">
        <v>0</v>
      </c>
      <c r="E390" s="23">
        <v>1</v>
      </c>
      <c r="F390" s="23">
        <v>16</v>
      </c>
      <c r="G390" s="23" t="b">
        <f>TRUE()</f>
        <v>1</v>
      </c>
      <c r="H390" s="23">
        <v>1</v>
      </c>
      <c r="I390" s="23">
        <v>2</v>
      </c>
      <c r="J390" s="23">
        <v>0.2</v>
      </c>
    </row>
    <row r="391" spans="1:10" x14ac:dyDescent="0.35">
      <c r="A391" s="23">
        <v>390</v>
      </c>
      <c r="B391" s="24">
        <v>40560</v>
      </c>
      <c r="C391" s="23">
        <v>1</v>
      </c>
      <c r="D391" s="23">
        <v>0</v>
      </c>
      <c r="E391" s="23">
        <v>1</v>
      </c>
      <c r="F391" s="23">
        <v>17</v>
      </c>
      <c r="G391" s="23" t="b">
        <f>TRUE()</f>
        <v>1</v>
      </c>
      <c r="H391" s="23">
        <v>1</v>
      </c>
      <c r="I391" s="23">
        <v>1</v>
      </c>
      <c r="J391" s="23">
        <v>0.2</v>
      </c>
    </row>
    <row r="392" spans="1:10" x14ac:dyDescent="0.35">
      <c r="A392" s="23">
        <v>391</v>
      </c>
      <c r="B392" s="24">
        <v>40560</v>
      </c>
      <c r="C392" s="23">
        <v>1</v>
      </c>
      <c r="D392" s="23">
        <v>0</v>
      </c>
      <c r="E392" s="23">
        <v>1</v>
      </c>
      <c r="F392" s="23">
        <v>18</v>
      </c>
      <c r="G392" s="23" t="b">
        <f>TRUE()</f>
        <v>1</v>
      </c>
      <c r="H392" s="23">
        <v>1</v>
      </c>
      <c r="I392" s="23">
        <v>2</v>
      </c>
      <c r="J392" s="23">
        <v>0.18</v>
      </c>
    </row>
    <row r="393" spans="1:10" x14ac:dyDescent="0.35">
      <c r="A393" s="23">
        <v>392</v>
      </c>
      <c r="B393" s="24">
        <v>40560</v>
      </c>
      <c r="C393" s="23">
        <v>1</v>
      </c>
      <c r="D393" s="23">
        <v>0</v>
      </c>
      <c r="E393" s="23">
        <v>1</v>
      </c>
      <c r="F393" s="23">
        <v>19</v>
      </c>
      <c r="G393" s="23" t="b">
        <f>TRUE()</f>
        <v>1</v>
      </c>
      <c r="H393" s="23">
        <v>1</v>
      </c>
      <c r="I393" s="23">
        <v>3</v>
      </c>
      <c r="J393" s="23">
        <v>0.18</v>
      </c>
    </row>
    <row r="394" spans="1:10" x14ac:dyDescent="0.35">
      <c r="A394" s="23">
        <v>393</v>
      </c>
      <c r="B394" s="24">
        <v>40560</v>
      </c>
      <c r="C394" s="23">
        <v>1</v>
      </c>
      <c r="D394" s="23">
        <v>0</v>
      </c>
      <c r="E394" s="23">
        <v>1</v>
      </c>
      <c r="F394" s="23">
        <v>20</v>
      </c>
      <c r="G394" s="23" t="b">
        <f>TRUE()</f>
        <v>1</v>
      </c>
      <c r="H394" s="23">
        <v>1</v>
      </c>
      <c r="I394" s="23">
        <v>3</v>
      </c>
      <c r="J394" s="23">
        <v>0.16</v>
      </c>
    </row>
    <row r="395" spans="1:10" x14ac:dyDescent="0.35">
      <c r="A395" s="23">
        <v>394</v>
      </c>
      <c r="B395" s="24">
        <v>40560</v>
      </c>
      <c r="C395" s="23">
        <v>1</v>
      </c>
      <c r="D395" s="23">
        <v>0</v>
      </c>
      <c r="E395" s="23">
        <v>1</v>
      </c>
      <c r="F395" s="23">
        <v>21</v>
      </c>
      <c r="G395" s="23" t="b">
        <f>TRUE()</f>
        <v>1</v>
      </c>
      <c r="H395" s="23">
        <v>1</v>
      </c>
      <c r="I395" s="23">
        <v>3</v>
      </c>
      <c r="J395" s="23">
        <v>0.16</v>
      </c>
    </row>
    <row r="396" spans="1:10" x14ac:dyDescent="0.35">
      <c r="A396" s="23">
        <v>395</v>
      </c>
      <c r="B396" s="24">
        <v>40560</v>
      </c>
      <c r="C396" s="23">
        <v>1</v>
      </c>
      <c r="D396" s="23">
        <v>0</v>
      </c>
      <c r="E396" s="23">
        <v>1</v>
      </c>
      <c r="F396" s="23">
        <v>22</v>
      </c>
      <c r="G396" s="23" t="b">
        <f>TRUE()</f>
        <v>1</v>
      </c>
      <c r="H396" s="23">
        <v>1</v>
      </c>
      <c r="I396" s="23">
        <v>3</v>
      </c>
      <c r="J396" s="23">
        <v>0.14000000000000001</v>
      </c>
    </row>
    <row r="397" spans="1:10" x14ac:dyDescent="0.35">
      <c r="A397" s="23">
        <v>396</v>
      </c>
      <c r="B397" s="24">
        <v>40560</v>
      </c>
      <c r="C397" s="23">
        <v>1</v>
      </c>
      <c r="D397" s="23">
        <v>0</v>
      </c>
      <c r="E397" s="23">
        <v>1</v>
      </c>
      <c r="F397" s="23">
        <v>23</v>
      </c>
      <c r="G397" s="23" t="b">
        <f>TRUE()</f>
        <v>1</v>
      </c>
      <c r="H397" s="23">
        <v>1</v>
      </c>
      <c r="I397" s="23">
        <v>3</v>
      </c>
      <c r="J397" s="23">
        <v>0.16</v>
      </c>
    </row>
    <row r="398" spans="1:10" x14ac:dyDescent="0.35">
      <c r="A398" s="23">
        <v>397</v>
      </c>
      <c r="B398" s="24">
        <v>40561</v>
      </c>
      <c r="C398" s="23">
        <v>1</v>
      </c>
      <c r="D398" s="23">
        <v>0</v>
      </c>
      <c r="E398" s="23">
        <v>1</v>
      </c>
      <c r="F398" s="23">
        <v>12</v>
      </c>
      <c r="G398" s="23" t="b">
        <f>FALSE()</f>
        <v>0</v>
      </c>
      <c r="H398" s="23">
        <v>2</v>
      </c>
      <c r="I398" s="23">
        <v>2</v>
      </c>
      <c r="J398" s="23">
        <v>0.2</v>
      </c>
    </row>
    <row r="399" spans="1:10" x14ac:dyDescent="0.35">
      <c r="A399" s="23">
        <v>398</v>
      </c>
      <c r="B399" s="24">
        <v>40561</v>
      </c>
      <c r="C399" s="23">
        <v>1</v>
      </c>
      <c r="D399" s="23">
        <v>0</v>
      </c>
      <c r="E399" s="23">
        <v>1</v>
      </c>
      <c r="F399" s="23">
        <v>13</v>
      </c>
      <c r="G399" s="23" t="b">
        <f>FALSE()</f>
        <v>0</v>
      </c>
      <c r="H399" s="23">
        <v>2</v>
      </c>
      <c r="I399" s="23">
        <v>2</v>
      </c>
      <c r="J399" s="23">
        <v>0.2</v>
      </c>
    </row>
    <row r="400" spans="1:10" x14ac:dyDescent="0.35">
      <c r="A400" s="23">
        <v>399</v>
      </c>
      <c r="B400" s="24">
        <v>40561</v>
      </c>
      <c r="C400" s="23">
        <v>1</v>
      </c>
      <c r="D400" s="23">
        <v>0</v>
      </c>
      <c r="E400" s="23">
        <v>1</v>
      </c>
      <c r="F400" s="23">
        <v>14</v>
      </c>
      <c r="G400" s="23" t="b">
        <f>FALSE()</f>
        <v>0</v>
      </c>
      <c r="H400" s="23">
        <v>2</v>
      </c>
      <c r="I400" s="23">
        <v>2</v>
      </c>
      <c r="J400" s="23">
        <v>0.22</v>
      </c>
    </row>
    <row r="401" spans="1:10" x14ac:dyDescent="0.35">
      <c r="A401" s="23">
        <v>400</v>
      </c>
      <c r="B401" s="24">
        <v>40561</v>
      </c>
      <c r="C401" s="23">
        <v>1</v>
      </c>
      <c r="D401" s="23">
        <v>0</v>
      </c>
      <c r="E401" s="23">
        <v>1</v>
      </c>
      <c r="F401" s="23">
        <v>15</v>
      </c>
      <c r="G401" s="23" t="b">
        <f>FALSE()</f>
        <v>0</v>
      </c>
      <c r="H401" s="23">
        <v>2</v>
      </c>
      <c r="I401" s="23">
        <v>2</v>
      </c>
      <c r="J401" s="23">
        <v>0.22</v>
      </c>
    </row>
    <row r="402" spans="1:10" x14ac:dyDescent="0.35">
      <c r="A402" s="23">
        <v>401</v>
      </c>
      <c r="B402" s="24">
        <v>40561</v>
      </c>
      <c r="C402" s="23">
        <v>1</v>
      </c>
      <c r="D402" s="23">
        <v>0</v>
      </c>
      <c r="E402" s="23">
        <v>1</v>
      </c>
      <c r="F402" s="23">
        <v>16</v>
      </c>
      <c r="G402" s="23" t="b">
        <f>FALSE()</f>
        <v>0</v>
      </c>
      <c r="H402" s="23">
        <v>2</v>
      </c>
      <c r="I402" s="23">
        <v>2</v>
      </c>
      <c r="J402" s="23">
        <v>0.22</v>
      </c>
    </row>
    <row r="403" spans="1:10" x14ac:dyDescent="0.35">
      <c r="A403" s="23">
        <v>402</v>
      </c>
      <c r="B403" s="24">
        <v>40561</v>
      </c>
      <c r="C403" s="23">
        <v>1</v>
      </c>
      <c r="D403" s="23">
        <v>0</v>
      </c>
      <c r="E403" s="23">
        <v>1</v>
      </c>
      <c r="F403" s="23">
        <v>17</v>
      </c>
      <c r="G403" s="23" t="b">
        <f>FALSE()</f>
        <v>0</v>
      </c>
      <c r="H403" s="23">
        <v>2</v>
      </c>
      <c r="I403" s="23">
        <v>2</v>
      </c>
      <c r="J403" s="23">
        <v>0.22</v>
      </c>
    </row>
    <row r="404" spans="1:10" x14ac:dyDescent="0.35">
      <c r="A404" s="23">
        <v>403</v>
      </c>
      <c r="B404" s="24">
        <v>40561</v>
      </c>
      <c r="C404" s="23">
        <v>1</v>
      </c>
      <c r="D404" s="23">
        <v>0</v>
      </c>
      <c r="E404" s="23">
        <v>1</v>
      </c>
      <c r="F404" s="23">
        <v>18</v>
      </c>
      <c r="G404" s="23" t="b">
        <f>FALSE()</f>
        <v>0</v>
      </c>
      <c r="H404" s="23">
        <v>2</v>
      </c>
      <c r="I404" s="23">
        <v>2</v>
      </c>
      <c r="J404" s="23">
        <v>0.22</v>
      </c>
    </row>
    <row r="405" spans="1:10" x14ac:dyDescent="0.35">
      <c r="A405" s="23">
        <v>404</v>
      </c>
      <c r="B405" s="24">
        <v>40561</v>
      </c>
      <c r="C405" s="23">
        <v>1</v>
      </c>
      <c r="D405" s="23">
        <v>0</v>
      </c>
      <c r="E405" s="23">
        <v>1</v>
      </c>
      <c r="F405" s="23">
        <v>19</v>
      </c>
      <c r="G405" s="23" t="b">
        <f>FALSE()</f>
        <v>0</v>
      </c>
      <c r="H405" s="23">
        <v>2</v>
      </c>
      <c r="I405" s="23">
        <v>2</v>
      </c>
      <c r="J405" s="23">
        <v>0.22</v>
      </c>
    </row>
    <row r="406" spans="1:10" x14ac:dyDescent="0.35">
      <c r="A406" s="23">
        <v>405</v>
      </c>
      <c r="B406" s="24">
        <v>40561</v>
      </c>
      <c r="C406" s="23">
        <v>1</v>
      </c>
      <c r="D406" s="23">
        <v>0</v>
      </c>
      <c r="E406" s="23">
        <v>1</v>
      </c>
      <c r="F406" s="23">
        <v>20</v>
      </c>
      <c r="G406" s="23" t="b">
        <f>FALSE()</f>
        <v>0</v>
      </c>
      <c r="H406" s="23">
        <v>2</v>
      </c>
      <c r="I406" s="23">
        <v>2</v>
      </c>
      <c r="J406" s="23">
        <v>0.22</v>
      </c>
    </row>
    <row r="407" spans="1:10" x14ac:dyDescent="0.35">
      <c r="A407" s="23">
        <v>406</v>
      </c>
      <c r="B407" s="24">
        <v>40561</v>
      </c>
      <c r="C407" s="23">
        <v>1</v>
      </c>
      <c r="D407" s="23">
        <v>0</v>
      </c>
      <c r="E407" s="23">
        <v>1</v>
      </c>
      <c r="F407" s="23">
        <v>21</v>
      </c>
      <c r="G407" s="23" t="b">
        <f>FALSE()</f>
        <v>0</v>
      </c>
      <c r="H407" s="23">
        <v>2</v>
      </c>
      <c r="I407" s="23">
        <v>2</v>
      </c>
      <c r="J407" s="23">
        <v>0.22</v>
      </c>
    </row>
    <row r="408" spans="1:10" x14ac:dyDescent="0.35">
      <c r="A408" s="23">
        <v>407</v>
      </c>
      <c r="B408" s="24">
        <v>40561</v>
      </c>
      <c r="C408" s="23">
        <v>1</v>
      </c>
      <c r="D408" s="23">
        <v>0</v>
      </c>
      <c r="E408" s="23">
        <v>1</v>
      </c>
      <c r="F408" s="23">
        <v>22</v>
      </c>
      <c r="G408" s="23" t="b">
        <f>FALSE()</f>
        <v>0</v>
      </c>
      <c r="H408" s="23">
        <v>2</v>
      </c>
      <c r="I408" s="23">
        <v>2</v>
      </c>
      <c r="J408" s="23">
        <v>0.22</v>
      </c>
    </row>
    <row r="409" spans="1:10" x14ac:dyDescent="0.35">
      <c r="A409" s="23">
        <v>408</v>
      </c>
      <c r="B409" s="24">
        <v>40561</v>
      </c>
      <c r="C409" s="23">
        <v>1</v>
      </c>
      <c r="D409" s="23">
        <v>0</v>
      </c>
      <c r="E409" s="23">
        <v>1</v>
      </c>
      <c r="F409" s="23">
        <v>23</v>
      </c>
      <c r="G409" s="23" t="b">
        <f>FALSE()</f>
        <v>0</v>
      </c>
      <c r="H409" s="23">
        <v>2</v>
      </c>
      <c r="I409" s="23">
        <v>2</v>
      </c>
      <c r="J409" s="23">
        <v>0.22</v>
      </c>
    </row>
    <row r="410" spans="1:10" x14ac:dyDescent="0.35">
      <c r="A410" s="23">
        <v>409</v>
      </c>
      <c r="B410" s="24">
        <v>40562</v>
      </c>
      <c r="C410" s="23">
        <v>1</v>
      </c>
      <c r="D410" s="23">
        <v>0</v>
      </c>
      <c r="E410" s="23">
        <v>1</v>
      </c>
      <c r="F410" s="23">
        <v>0</v>
      </c>
      <c r="G410" s="23" t="b">
        <f>FALSE()</f>
        <v>0</v>
      </c>
      <c r="H410" s="23">
        <v>3</v>
      </c>
      <c r="I410" s="23">
        <v>2</v>
      </c>
      <c r="J410" s="23">
        <v>0.22</v>
      </c>
    </row>
    <row r="411" spans="1:10" x14ac:dyDescent="0.35">
      <c r="A411" s="23">
        <v>410</v>
      </c>
      <c r="B411" s="24">
        <v>40562</v>
      </c>
      <c r="C411" s="23">
        <v>1</v>
      </c>
      <c r="D411" s="23">
        <v>0</v>
      </c>
      <c r="E411" s="23">
        <v>1</v>
      </c>
      <c r="F411" s="23">
        <v>1</v>
      </c>
      <c r="G411" s="23" t="b">
        <f>FALSE()</f>
        <v>0</v>
      </c>
      <c r="H411" s="23">
        <v>3</v>
      </c>
      <c r="I411" s="23">
        <v>3</v>
      </c>
      <c r="J411" s="23">
        <v>0.22</v>
      </c>
    </row>
    <row r="412" spans="1:10" x14ac:dyDescent="0.35">
      <c r="A412" s="23">
        <v>411</v>
      </c>
      <c r="B412" s="24">
        <v>40562</v>
      </c>
      <c r="C412" s="23">
        <v>1</v>
      </c>
      <c r="D412" s="23">
        <v>0</v>
      </c>
      <c r="E412" s="23">
        <v>1</v>
      </c>
      <c r="F412" s="23">
        <v>2</v>
      </c>
      <c r="G412" s="23" t="b">
        <f>FALSE()</f>
        <v>0</v>
      </c>
      <c r="H412" s="23">
        <v>3</v>
      </c>
      <c r="I412" s="23">
        <v>3</v>
      </c>
      <c r="J412" s="23">
        <v>0.22</v>
      </c>
    </row>
    <row r="413" spans="1:10" x14ac:dyDescent="0.35">
      <c r="A413" s="23">
        <v>412</v>
      </c>
      <c r="B413" s="24">
        <v>40562</v>
      </c>
      <c r="C413" s="23">
        <v>1</v>
      </c>
      <c r="D413" s="23">
        <v>0</v>
      </c>
      <c r="E413" s="23">
        <v>1</v>
      </c>
      <c r="F413" s="23">
        <v>4</v>
      </c>
      <c r="G413" s="23" t="b">
        <f>FALSE()</f>
        <v>0</v>
      </c>
      <c r="H413" s="23">
        <v>3</v>
      </c>
      <c r="I413" s="23">
        <v>3</v>
      </c>
      <c r="J413" s="23">
        <v>0.22</v>
      </c>
    </row>
    <row r="414" spans="1:10" x14ac:dyDescent="0.35">
      <c r="A414" s="23">
        <v>413</v>
      </c>
      <c r="B414" s="24">
        <v>40562</v>
      </c>
      <c r="C414" s="23">
        <v>1</v>
      </c>
      <c r="D414" s="23">
        <v>0</v>
      </c>
      <c r="E414" s="23">
        <v>1</v>
      </c>
      <c r="F414" s="23">
        <v>5</v>
      </c>
      <c r="G414" s="23" t="b">
        <f>FALSE()</f>
        <v>0</v>
      </c>
      <c r="H414" s="23">
        <v>3</v>
      </c>
      <c r="I414" s="23">
        <v>2</v>
      </c>
      <c r="J414" s="23">
        <v>0.22</v>
      </c>
    </row>
    <row r="415" spans="1:10" x14ac:dyDescent="0.35">
      <c r="A415" s="23">
        <v>414</v>
      </c>
      <c r="B415" s="24">
        <v>40562</v>
      </c>
      <c r="C415" s="23">
        <v>1</v>
      </c>
      <c r="D415" s="23">
        <v>0</v>
      </c>
      <c r="E415" s="23">
        <v>1</v>
      </c>
      <c r="F415" s="23">
        <v>6</v>
      </c>
      <c r="G415" s="23" t="b">
        <f>FALSE()</f>
        <v>0</v>
      </c>
      <c r="H415" s="23">
        <v>3</v>
      </c>
      <c r="I415" s="23">
        <v>2</v>
      </c>
      <c r="J415" s="23">
        <v>0.22</v>
      </c>
    </row>
    <row r="416" spans="1:10" x14ac:dyDescent="0.35">
      <c r="A416" s="23">
        <v>415</v>
      </c>
      <c r="B416" s="24">
        <v>40562</v>
      </c>
      <c r="C416" s="23">
        <v>1</v>
      </c>
      <c r="D416" s="23">
        <v>0</v>
      </c>
      <c r="E416" s="23">
        <v>1</v>
      </c>
      <c r="F416" s="23">
        <v>7</v>
      </c>
      <c r="G416" s="23" t="b">
        <f>FALSE()</f>
        <v>0</v>
      </c>
      <c r="H416" s="23">
        <v>3</v>
      </c>
      <c r="I416" s="23">
        <v>2</v>
      </c>
      <c r="J416" s="23">
        <v>0.24</v>
      </c>
    </row>
    <row r="417" spans="1:10" x14ac:dyDescent="0.35">
      <c r="A417" s="23">
        <v>416</v>
      </c>
      <c r="B417" s="24">
        <v>40562</v>
      </c>
      <c r="C417" s="23">
        <v>1</v>
      </c>
      <c r="D417" s="23">
        <v>0</v>
      </c>
      <c r="E417" s="23">
        <v>1</v>
      </c>
      <c r="F417" s="23">
        <v>8</v>
      </c>
      <c r="G417" s="23" t="b">
        <f>FALSE()</f>
        <v>0</v>
      </c>
      <c r="H417" s="23">
        <v>3</v>
      </c>
      <c r="I417" s="23">
        <v>2</v>
      </c>
      <c r="J417" s="23">
        <v>0.24</v>
      </c>
    </row>
    <row r="418" spans="1:10" x14ac:dyDescent="0.35">
      <c r="A418" s="23">
        <v>417</v>
      </c>
      <c r="B418" s="24">
        <v>40562</v>
      </c>
      <c r="C418" s="23">
        <v>1</v>
      </c>
      <c r="D418" s="23">
        <v>0</v>
      </c>
      <c r="E418" s="23">
        <v>1</v>
      </c>
      <c r="F418" s="23">
        <v>9</v>
      </c>
      <c r="G418" s="23" t="b">
        <f>FALSE()</f>
        <v>0</v>
      </c>
      <c r="H418" s="23">
        <v>3</v>
      </c>
      <c r="I418" s="23">
        <v>2</v>
      </c>
      <c r="J418" s="23">
        <v>0.24</v>
      </c>
    </row>
    <row r="419" spans="1:10" x14ac:dyDescent="0.35">
      <c r="A419" s="23">
        <v>418</v>
      </c>
      <c r="B419" s="24">
        <v>40562</v>
      </c>
      <c r="C419" s="23">
        <v>1</v>
      </c>
      <c r="D419" s="23">
        <v>0</v>
      </c>
      <c r="E419" s="23">
        <v>1</v>
      </c>
      <c r="F419" s="23">
        <v>10</v>
      </c>
      <c r="G419" s="23" t="b">
        <f>FALSE()</f>
        <v>0</v>
      </c>
      <c r="H419" s="23">
        <v>3</v>
      </c>
      <c r="I419" s="23">
        <v>2</v>
      </c>
      <c r="J419" s="23">
        <v>0.26</v>
      </c>
    </row>
    <row r="420" spans="1:10" x14ac:dyDescent="0.35">
      <c r="A420" s="23">
        <v>419</v>
      </c>
      <c r="B420" s="24">
        <v>40562</v>
      </c>
      <c r="C420" s="23">
        <v>1</v>
      </c>
      <c r="D420" s="23">
        <v>0</v>
      </c>
      <c r="E420" s="23">
        <v>1</v>
      </c>
      <c r="F420" s="23">
        <v>11</v>
      </c>
      <c r="G420" s="23" t="b">
        <f>FALSE()</f>
        <v>0</v>
      </c>
      <c r="H420" s="23">
        <v>3</v>
      </c>
      <c r="I420" s="23">
        <v>2</v>
      </c>
      <c r="J420" s="23">
        <v>0.28000000000000003</v>
      </c>
    </row>
    <row r="421" spans="1:10" x14ac:dyDescent="0.35">
      <c r="A421" s="23">
        <v>420</v>
      </c>
      <c r="B421" s="24">
        <v>40562</v>
      </c>
      <c r="C421" s="23">
        <v>1</v>
      </c>
      <c r="D421" s="23">
        <v>0</v>
      </c>
      <c r="E421" s="23">
        <v>1</v>
      </c>
      <c r="F421" s="23">
        <v>12</v>
      </c>
      <c r="G421" s="23" t="b">
        <f>FALSE()</f>
        <v>0</v>
      </c>
      <c r="H421" s="23">
        <v>3</v>
      </c>
      <c r="I421" s="23">
        <v>2</v>
      </c>
      <c r="J421" s="23">
        <v>0.3</v>
      </c>
    </row>
    <row r="422" spans="1:10" x14ac:dyDescent="0.35">
      <c r="A422" s="23">
        <v>421</v>
      </c>
      <c r="B422" s="24">
        <v>40562</v>
      </c>
      <c r="C422" s="23">
        <v>1</v>
      </c>
      <c r="D422" s="23">
        <v>0</v>
      </c>
      <c r="E422" s="23">
        <v>1</v>
      </c>
      <c r="F422" s="23">
        <v>13</v>
      </c>
      <c r="G422" s="23" t="b">
        <f>FALSE()</f>
        <v>0</v>
      </c>
      <c r="H422" s="23">
        <v>3</v>
      </c>
      <c r="I422" s="23">
        <v>1</v>
      </c>
      <c r="J422" s="23">
        <v>0.4</v>
      </c>
    </row>
    <row r="423" spans="1:10" x14ac:dyDescent="0.35">
      <c r="A423" s="23">
        <v>422</v>
      </c>
      <c r="B423" s="24">
        <v>40562</v>
      </c>
      <c r="C423" s="23">
        <v>1</v>
      </c>
      <c r="D423" s="23">
        <v>0</v>
      </c>
      <c r="E423" s="23">
        <v>1</v>
      </c>
      <c r="F423" s="23">
        <v>14</v>
      </c>
      <c r="G423" s="23" t="b">
        <f>FALSE()</f>
        <v>0</v>
      </c>
      <c r="H423" s="23">
        <v>3</v>
      </c>
      <c r="I423" s="23">
        <v>1</v>
      </c>
      <c r="J423" s="23">
        <v>0.4</v>
      </c>
    </row>
    <row r="424" spans="1:10" x14ac:dyDescent="0.35">
      <c r="A424" s="23">
        <v>423</v>
      </c>
      <c r="B424" s="24">
        <v>40562</v>
      </c>
      <c r="C424" s="23">
        <v>1</v>
      </c>
      <c r="D424" s="23">
        <v>0</v>
      </c>
      <c r="E424" s="23">
        <v>1</v>
      </c>
      <c r="F424" s="23">
        <v>15</v>
      </c>
      <c r="G424" s="23" t="b">
        <f>FALSE()</f>
        <v>0</v>
      </c>
      <c r="H424" s="23">
        <v>3</v>
      </c>
      <c r="I424" s="23">
        <v>1</v>
      </c>
      <c r="J424" s="23">
        <v>0.4</v>
      </c>
    </row>
    <row r="425" spans="1:10" x14ac:dyDescent="0.35">
      <c r="A425" s="23">
        <v>424</v>
      </c>
      <c r="B425" s="24">
        <v>40562</v>
      </c>
      <c r="C425" s="23">
        <v>1</v>
      </c>
      <c r="D425" s="23">
        <v>0</v>
      </c>
      <c r="E425" s="23">
        <v>1</v>
      </c>
      <c r="F425" s="23">
        <v>16</v>
      </c>
      <c r="G425" s="23" t="b">
        <f>FALSE()</f>
        <v>0</v>
      </c>
      <c r="H425" s="23">
        <v>3</v>
      </c>
      <c r="I425" s="23">
        <v>1</v>
      </c>
      <c r="J425" s="23">
        <v>0.38</v>
      </c>
    </row>
    <row r="426" spans="1:10" x14ac:dyDescent="0.35">
      <c r="A426" s="23">
        <v>425</v>
      </c>
      <c r="B426" s="24">
        <v>40562</v>
      </c>
      <c r="C426" s="23">
        <v>1</v>
      </c>
      <c r="D426" s="23">
        <v>0</v>
      </c>
      <c r="E426" s="23">
        <v>1</v>
      </c>
      <c r="F426" s="23">
        <v>17</v>
      </c>
      <c r="G426" s="23" t="b">
        <f>FALSE()</f>
        <v>0</v>
      </c>
      <c r="H426" s="23">
        <v>3</v>
      </c>
      <c r="I426" s="23">
        <v>1</v>
      </c>
      <c r="J426" s="23">
        <v>0.36</v>
      </c>
    </row>
    <row r="427" spans="1:10" x14ac:dyDescent="0.35">
      <c r="A427" s="23">
        <v>426</v>
      </c>
      <c r="B427" s="24">
        <v>40562</v>
      </c>
      <c r="C427" s="23">
        <v>1</v>
      </c>
      <c r="D427" s="23">
        <v>0</v>
      </c>
      <c r="E427" s="23">
        <v>1</v>
      </c>
      <c r="F427" s="23">
        <v>18</v>
      </c>
      <c r="G427" s="23" t="b">
        <f>FALSE()</f>
        <v>0</v>
      </c>
      <c r="H427" s="23">
        <v>3</v>
      </c>
      <c r="I427" s="23">
        <v>1</v>
      </c>
      <c r="J427" s="23">
        <v>0.34</v>
      </c>
    </row>
    <row r="428" spans="1:10" x14ac:dyDescent="0.35">
      <c r="A428" s="23">
        <v>427</v>
      </c>
      <c r="B428" s="24">
        <v>40562</v>
      </c>
      <c r="C428" s="23">
        <v>1</v>
      </c>
      <c r="D428" s="23">
        <v>0</v>
      </c>
      <c r="E428" s="23">
        <v>1</v>
      </c>
      <c r="F428" s="23">
        <v>19</v>
      </c>
      <c r="G428" s="23" t="b">
        <f>FALSE()</f>
        <v>0</v>
      </c>
      <c r="H428" s="23">
        <v>3</v>
      </c>
      <c r="I428" s="23">
        <v>1</v>
      </c>
      <c r="J428" s="23">
        <v>0.32</v>
      </c>
    </row>
    <row r="429" spans="1:10" x14ac:dyDescent="0.35">
      <c r="A429" s="23">
        <v>428</v>
      </c>
      <c r="B429" s="24">
        <v>40562</v>
      </c>
      <c r="C429" s="23">
        <v>1</v>
      </c>
      <c r="D429" s="23">
        <v>0</v>
      </c>
      <c r="E429" s="23">
        <v>1</v>
      </c>
      <c r="F429" s="23">
        <v>20</v>
      </c>
      <c r="G429" s="23" t="b">
        <f>FALSE()</f>
        <v>0</v>
      </c>
      <c r="H429" s="23">
        <v>3</v>
      </c>
      <c r="I429" s="23">
        <v>1</v>
      </c>
      <c r="J429" s="23">
        <v>0.32</v>
      </c>
    </row>
    <row r="430" spans="1:10" x14ac:dyDescent="0.35">
      <c r="A430" s="23">
        <v>429</v>
      </c>
      <c r="B430" s="24">
        <v>40562</v>
      </c>
      <c r="C430" s="23">
        <v>1</v>
      </c>
      <c r="D430" s="23">
        <v>0</v>
      </c>
      <c r="E430" s="23">
        <v>1</v>
      </c>
      <c r="F430" s="23">
        <v>21</v>
      </c>
      <c r="G430" s="23" t="b">
        <f>FALSE()</f>
        <v>0</v>
      </c>
      <c r="H430" s="23">
        <v>3</v>
      </c>
      <c r="I430" s="23">
        <v>1</v>
      </c>
      <c r="J430" s="23">
        <v>0.32</v>
      </c>
    </row>
    <row r="431" spans="1:10" x14ac:dyDescent="0.35">
      <c r="A431" s="23">
        <v>430</v>
      </c>
      <c r="B431" s="24">
        <v>40562</v>
      </c>
      <c r="C431" s="23">
        <v>1</v>
      </c>
      <c r="D431" s="23">
        <v>0</v>
      </c>
      <c r="E431" s="23">
        <v>1</v>
      </c>
      <c r="F431" s="23">
        <v>22</v>
      </c>
      <c r="G431" s="23" t="b">
        <f>FALSE()</f>
        <v>0</v>
      </c>
      <c r="H431" s="23">
        <v>3</v>
      </c>
      <c r="I431" s="23">
        <v>1</v>
      </c>
      <c r="J431" s="23">
        <v>0.3</v>
      </c>
    </row>
    <row r="432" spans="1:10" x14ac:dyDescent="0.35">
      <c r="A432" s="23">
        <v>431</v>
      </c>
      <c r="B432" s="24">
        <v>40562</v>
      </c>
      <c r="C432" s="23">
        <v>1</v>
      </c>
      <c r="D432" s="23">
        <v>0</v>
      </c>
      <c r="E432" s="23">
        <v>1</v>
      </c>
      <c r="F432" s="23">
        <v>23</v>
      </c>
      <c r="G432" s="23" t="b">
        <f>FALSE()</f>
        <v>0</v>
      </c>
      <c r="H432" s="23">
        <v>3</v>
      </c>
      <c r="I432" s="23">
        <v>1</v>
      </c>
      <c r="J432" s="23">
        <v>0.3</v>
      </c>
    </row>
    <row r="433" spans="1:10" x14ac:dyDescent="0.35">
      <c r="A433" s="23">
        <v>432</v>
      </c>
      <c r="B433" s="24">
        <v>40563</v>
      </c>
      <c r="C433" s="23">
        <v>1</v>
      </c>
      <c r="D433" s="23">
        <v>0</v>
      </c>
      <c r="E433" s="23">
        <v>1</v>
      </c>
      <c r="F433" s="23">
        <v>0</v>
      </c>
      <c r="G433" s="23" t="b">
        <f>FALSE()</f>
        <v>0</v>
      </c>
      <c r="H433" s="23">
        <v>4</v>
      </c>
      <c r="I433" s="23">
        <v>1</v>
      </c>
      <c r="J433" s="23">
        <v>0.26</v>
      </c>
    </row>
    <row r="434" spans="1:10" x14ac:dyDescent="0.35">
      <c r="A434" s="23">
        <v>433</v>
      </c>
      <c r="B434" s="24">
        <v>40563</v>
      </c>
      <c r="C434" s="23">
        <v>1</v>
      </c>
      <c r="D434" s="23">
        <v>0</v>
      </c>
      <c r="E434" s="23">
        <v>1</v>
      </c>
      <c r="F434" s="23">
        <v>1</v>
      </c>
      <c r="G434" s="23" t="b">
        <f>FALSE()</f>
        <v>0</v>
      </c>
      <c r="H434" s="23">
        <v>4</v>
      </c>
      <c r="I434" s="23">
        <v>1</v>
      </c>
      <c r="J434" s="23">
        <v>0.26</v>
      </c>
    </row>
    <row r="435" spans="1:10" x14ac:dyDescent="0.35">
      <c r="A435" s="23">
        <v>434</v>
      </c>
      <c r="B435" s="24">
        <v>40563</v>
      </c>
      <c r="C435" s="23">
        <v>1</v>
      </c>
      <c r="D435" s="23">
        <v>0</v>
      </c>
      <c r="E435" s="23">
        <v>1</v>
      </c>
      <c r="F435" s="23">
        <v>2</v>
      </c>
      <c r="G435" s="23" t="b">
        <f>FALSE()</f>
        <v>0</v>
      </c>
      <c r="H435" s="23">
        <v>4</v>
      </c>
      <c r="I435" s="23">
        <v>1</v>
      </c>
      <c r="J435" s="23">
        <v>0.26</v>
      </c>
    </row>
    <row r="436" spans="1:10" x14ac:dyDescent="0.35">
      <c r="A436" s="23">
        <v>435</v>
      </c>
      <c r="B436" s="24">
        <v>40563</v>
      </c>
      <c r="C436" s="23">
        <v>1</v>
      </c>
      <c r="D436" s="23">
        <v>0</v>
      </c>
      <c r="E436" s="23">
        <v>1</v>
      </c>
      <c r="F436" s="23">
        <v>3</v>
      </c>
      <c r="G436" s="23" t="b">
        <f>FALSE()</f>
        <v>0</v>
      </c>
      <c r="H436" s="23">
        <v>4</v>
      </c>
      <c r="I436" s="23">
        <v>1</v>
      </c>
      <c r="J436" s="23">
        <v>0.26</v>
      </c>
    </row>
    <row r="437" spans="1:10" x14ac:dyDescent="0.35">
      <c r="A437" s="23">
        <v>436</v>
      </c>
      <c r="B437" s="24">
        <v>40563</v>
      </c>
      <c r="C437" s="23">
        <v>1</v>
      </c>
      <c r="D437" s="23">
        <v>0</v>
      </c>
      <c r="E437" s="23">
        <v>1</v>
      </c>
      <c r="F437" s="23">
        <v>4</v>
      </c>
      <c r="G437" s="23" t="b">
        <f>FALSE()</f>
        <v>0</v>
      </c>
      <c r="H437" s="23">
        <v>4</v>
      </c>
      <c r="I437" s="23">
        <v>1</v>
      </c>
      <c r="J437" s="23">
        <v>0.26</v>
      </c>
    </row>
    <row r="438" spans="1:10" x14ac:dyDescent="0.35">
      <c r="A438" s="23">
        <v>437</v>
      </c>
      <c r="B438" s="24">
        <v>40563</v>
      </c>
      <c r="C438" s="23">
        <v>1</v>
      </c>
      <c r="D438" s="23">
        <v>0</v>
      </c>
      <c r="E438" s="23">
        <v>1</v>
      </c>
      <c r="F438" s="23">
        <v>5</v>
      </c>
      <c r="G438" s="23" t="b">
        <f>FALSE()</f>
        <v>0</v>
      </c>
      <c r="H438" s="23">
        <v>4</v>
      </c>
      <c r="I438" s="23">
        <v>1</v>
      </c>
      <c r="J438" s="23">
        <v>0.24</v>
      </c>
    </row>
    <row r="439" spans="1:10" x14ac:dyDescent="0.35">
      <c r="A439" s="23">
        <v>438</v>
      </c>
      <c r="B439" s="24">
        <v>40563</v>
      </c>
      <c r="C439" s="23">
        <v>1</v>
      </c>
      <c r="D439" s="23">
        <v>0</v>
      </c>
      <c r="E439" s="23">
        <v>1</v>
      </c>
      <c r="F439" s="23">
        <v>6</v>
      </c>
      <c r="G439" s="23" t="b">
        <f>FALSE()</f>
        <v>0</v>
      </c>
      <c r="H439" s="23">
        <v>4</v>
      </c>
      <c r="I439" s="23">
        <v>1</v>
      </c>
      <c r="J439" s="23">
        <v>0.22</v>
      </c>
    </row>
    <row r="440" spans="1:10" x14ac:dyDescent="0.35">
      <c r="A440" s="23">
        <v>439</v>
      </c>
      <c r="B440" s="24">
        <v>40563</v>
      </c>
      <c r="C440" s="23">
        <v>1</v>
      </c>
      <c r="D440" s="23">
        <v>0</v>
      </c>
      <c r="E440" s="23">
        <v>1</v>
      </c>
      <c r="F440" s="23">
        <v>7</v>
      </c>
      <c r="G440" s="23" t="b">
        <f>FALSE()</f>
        <v>0</v>
      </c>
      <c r="H440" s="23">
        <v>4</v>
      </c>
      <c r="I440" s="23">
        <v>1</v>
      </c>
      <c r="J440" s="23">
        <v>0.22</v>
      </c>
    </row>
    <row r="441" spans="1:10" x14ac:dyDescent="0.35">
      <c r="A441" s="23">
        <v>440</v>
      </c>
      <c r="B441" s="24">
        <v>40563</v>
      </c>
      <c r="C441" s="23">
        <v>1</v>
      </c>
      <c r="D441" s="23">
        <v>0</v>
      </c>
      <c r="E441" s="23">
        <v>1</v>
      </c>
      <c r="F441" s="23">
        <v>8</v>
      </c>
      <c r="G441" s="23" t="b">
        <f>FALSE()</f>
        <v>0</v>
      </c>
      <c r="H441" s="23">
        <v>4</v>
      </c>
      <c r="I441" s="23">
        <v>1</v>
      </c>
      <c r="J441" s="23">
        <v>0.22</v>
      </c>
    </row>
    <row r="442" spans="1:10" x14ac:dyDescent="0.35">
      <c r="A442" s="23">
        <v>441</v>
      </c>
      <c r="B442" s="24">
        <v>40563</v>
      </c>
      <c r="C442" s="23">
        <v>1</v>
      </c>
      <c r="D442" s="23">
        <v>0</v>
      </c>
      <c r="E442" s="23">
        <v>1</v>
      </c>
      <c r="F442" s="23">
        <v>9</v>
      </c>
      <c r="G442" s="23" t="b">
        <f>FALSE()</f>
        <v>0</v>
      </c>
      <c r="H442" s="23">
        <v>4</v>
      </c>
      <c r="I442" s="23">
        <v>2</v>
      </c>
      <c r="J442" s="23">
        <v>0.24</v>
      </c>
    </row>
    <row r="443" spans="1:10" x14ac:dyDescent="0.35">
      <c r="A443" s="23">
        <v>442</v>
      </c>
      <c r="B443" s="24">
        <v>40563</v>
      </c>
      <c r="C443" s="23">
        <v>1</v>
      </c>
      <c r="D443" s="23">
        <v>0</v>
      </c>
      <c r="E443" s="23">
        <v>1</v>
      </c>
      <c r="F443" s="23">
        <v>10</v>
      </c>
      <c r="G443" s="23" t="b">
        <f>FALSE()</f>
        <v>0</v>
      </c>
      <c r="H443" s="23">
        <v>4</v>
      </c>
      <c r="I443" s="23">
        <v>1</v>
      </c>
      <c r="J443" s="23">
        <v>0.26</v>
      </c>
    </row>
    <row r="444" spans="1:10" x14ac:dyDescent="0.35">
      <c r="A444" s="23">
        <v>443</v>
      </c>
      <c r="B444" s="24">
        <v>40563</v>
      </c>
      <c r="C444" s="23">
        <v>1</v>
      </c>
      <c r="D444" s="23">
        <v>0</v>
      </c>
      <c r="E444" s="23">
        <v>1</v>
      </c>
      <c r="F444" s="23">
        <v>11</v>
      </c>
      <c r="G444" s="23" t="b">
        <f>FALSE()</f>
        <v>0</v>
      </c>
      <c r="H444" s="23">
        <v>4</v>
      </c>
      <c r="I444" s="23">
        <v>2</v>
      </c>
      <c r="J444" s="23">
        <v>0.28000000000000003</v>
      </c>
    </row>
    <row r="445" spans="1:10" x14ac:dyDescent="0.35">
      <c r="A445" s="23">
        <v>444</v>
      </c>
      <c r="B445" s="24">
        <v>40563</v>
      </c>
      <c r="C445" s="23">
        <v>1</v>
      </c>
      <c r="D445" s="23">
        <v>0</v>
      </c>
      <c r="E445" s="23">
        <v>1</v>
      </c>
      <c r="F445" s="23">
        <v>12</v>
      </c>
      <c r="G445" s="23" t="b">
        <f>FALSE()</f>
        <v>0</v>
      </c>
      <c r="H445" s="23">
        <v>4</v>
      </c>
      <c r="I445" s="23">
        <v>2</v>
      </c>
      <c r="J445" s="23">
        <v>0.3</v>
      </c>
    </row>
    <row r="446" spans="1:10" x14ac:dyDescent="0.35">
      <c r="A446" s="23">
        <v>445</v>
      </c>
      <c r="B446" s="24">
        <v>40563</v>
      </c>
      <c r="C446" s="23">
        <v>1</v>
      </c>
      <c r="D446" s="23">
        <v>0</v>
      </c>
      <c r="E446" s="23">
        <v>1</v>
      </c>
      <c r="F446" s="23">
        <v>13</v>
      </c>
      <c r="G446" s="23" t="b">
        <f>FALSE()</f>
        <v>0</v>
      </c>
      <c r="H446" s="23">
        <v>4</v>
      </c>
      <c r="I446" s="23">
        <v>2</v>
      </c>
      <c r="J446" s="23">
        <v>0.28000000000000003</v>
      </c>
    </row>
    <row r="447" spans="1:10" x14ac:dyDescent="0.35">
      <c r="A447" s="23">
        <v>446</v>
      </c>
      <c r="B447" s="24">
        <v>40563</v>
      </c>
      <c r="C447" s="23">
        <v>1</v>
      </c>
      <c r="D447" s="23">
        <v>0</v>
      </c>
      <c r="E447" s="23">
        <v>1</v>
      </c>
      <c r="F447" s="23">
        <v>14</v>
      </c>
      <c r="G447" s="23" t="b">
        <f>FALSE()</f>
        <v>0</v>
      </c>
      <c r="H447" s="23">
        <v>4</v>
      </c>
      <c r="I447" s="23">
        <v>2</v>
      </c>
      <c r="J447" s="23">
        <v>0.3</v>
      </c>
    </row>
    <row r="448" spans="1:10" x14ac:dyDescent="0.35">
      <c r="A448" s="23">
        <v>447</v>
      </c>
      <c r="B448" s="24">
        <v>40563</v>
      </c>
      <c r="C448" s="23">
        <v>1</v>
      </c>
      <c r="D448" s="23">
        <v>0</v>
      </c>
      <c r="E448" s="23">
        <v>1</v>
      </c>
      <c r="F448" s="23">
        <v>15</v>
      </c>
      <c r="G448" s="23" t="b">
        <f>FALSE()</f>
        <v>0</v>
      </c>
      <c r="H448" s="23">
        <v>4</v>
      </c>
      <c r="I448" s="23">
        <v>2</v>
      </c>
      <c r="J448" s="23">
        <v>0.32</v>
      </c>
    </row>
    <row r="449" spans="1:10" x14ac:dyDescent="0.35">
      <c r="A449" s="23">
        <v>448</v>
      </c>
      <c r="B449" s="24">
        <v>40563</v>
      </c>
      <c r="C449" s="23">
        <v>1</v>
      </c>
      <c r="D449" s="23">
        <v>0</v>
      </c>
      <c r="E449" s="23">
        <v>1</v>
      </c>
      <c r="F449" s="23">
        <v>16</v>
      </c>
      <c r="G449" s="23" t="b">
        <f>FALSE()</f>
        <v>0</v>
      </c>
      <c r="H449" s="23">
        <v>4</v>
      </c>
      <c r="I449" s="23">
        <v>2</v>
      </c>
      <c r="J449" s="23">
        <v>0.3</v>
      </c>
    </row>
    <row r="450" spans="1:10" x14ac:dyDescent="0.35">
      <c r="A450" s="23">
        <v>449</v>
      </c>
      <c r="B450" s="24">
        <v>40563</v>
      </c>
      <c r="C450" s="23">
        <v>1</v>
      </c>
      <c r="D450" s="23">
        <v>0</v>
      </c>
      <c r="E450" s="23">
        <v>1</v>
      </c>
      <c r="F450" s="23">
        <v>17</v>
      </c>
      <c r="G450" s="23" t="b">
        <f>FALSE()</f>
        <v>0</v>
      </c>
      <c r="H450" s="23">
        <v>4</v>
      </c>
      <c r="I450" s="23">
        <v>2</v>
      </c>
      <c r="J450" s="23">
        <v>0.3</v>
      </c>
    </row>
    <row r="451" spans="1:10" x14ac:dyDescent="0.35">
      <c r="A451" s="23">
        <v>450</v>
      </c>
      <c r="B451" s="24">
        <v>40563</v>
      </c>
      <c r="C451" s="23">
        <v>1</v>
      </c>
      <c r="D451" s="23">
        <v>0</v>
      </c>
      <c r="E451" s="23">
        <v>1</v>
      </c>
      <c r="F451" s="23">
        <v>18</v>
      </c>
      <c r="G451" s="23" t="b">
        <f>FALSE()</f>
        <v>0</v>
      </c>
      <c r="H451" s="23">
        <v>4</v>
      </c>
      <c r="I451" s="23">
        <v>2</v>
      </c>
      <c r="J451" s="23">
        <v>0.26</v>
      </c>
    </row>
    <row r="452" spans="1:10" x14ac:dyDescent="0.35">
      <c r="A452" s="23">
        <v>451</v>
      </c>
      <c r="B452" s="24">
        <v>40563</v>
      </c>
      <c r="C452" s="23">
        <v>1</v>
      </c>
      <c r="D452" s="23">
        <v>0</v>
      </c>
      <c r="E452" s="23">
        <v>1</v>
      </c>
      <c r="F452" s="23">
        <v>19</v>
      </c>
      <c r="G452" s="23" t="b">
        <f>FALSE()</f>
        <v>0</v>
      </c>
      <c r="H452" s="23">
        <v>4</v>
      </c>
      <c r="I452" s="23">
        <v>1</v>
      </c>
      <c r="J452" s="23">
        <v>0.26</v>
      </c>
    </row>
    <row r="453" spans="1:10" x14ac:dyDescent="0.35">
      <c r="A453" s="23">
        <v>452</v>
      </c>
      <c r="B453" s="24">
        <v>40563</v>
      </c>
      <c r="C453" s="23">
        <v>1</v>
      </c>
      <c r="D453" s="23">
        <v>0</v>
      </c>
      <c r="E453" s="23">
        <v>1</v>
      </c>
      <c r="F453" s="23">
        <v>20</v>
      </c>
      <c r="G453" s="23" t="b">
        <f>FALSE()</f>
        <v>0</v>
      </c>
      <c r="H453" s="23">
        <v>4</v>
      </c>
      <c r="I453" s="23">
        <v>2</v>
      </c>
      <c r="J453" s="23">
        <v>0.26</v>
      </c>
    </row>
    <row r="454" spans="1:10" x14ac:dyDescent="0.35">
      <c r="A454" s="23">
        <v>453</v>
      </c>
      <c r="B454" s="24">
        <v>40563</v>
      </c>
      <c r="C454" s="23">
        <v>1</v>
      </c>
      <c r="D454" s="23">
        <v>0</v>
      </c>
      <c r="E454" s="23">
        <v>1</v>
      </c>
      <c r="F454" s="23">
        <v>21</v>
      </c>
      <c r="G454" s="23" t="b">
        <f>FALSE()</f>
        <v>0</v>
      </c>
      <c r="H454" s="23">
        <v>4</v>
      </c>
      <c r="I454" s="23">
        <v>2</v>
      </c>
      <c r="J454" s="23">
        <v>0.24</v>
      </c>
    </row>
    <row r="455" spans="1:10" x14ac:dyDescent="0.35">
      <c r="A455" s="23">
        <v>454</v>
      </c>
      <c r="B455" s="24">
        <v>40563</v>
      </c>
      <c r="C455" s="23">
        <v>1</v>
      </c>
      <c r="D455" s="23">
        <v>0</v>
      </c>
      <c r="E455" s="23">
        <v>1</v>
      </c>
      <c r="F455" s="23">
        <v>22</v>
      </c>
      <c r="G455" s="23" t="b">
        <f>FALSE()</f>
        <v>0</v>
      </c>
      <c r="H455" s="23">
        <v>4</v>
      </c>
      <c r="I455" s="23">
        <v>2</v>
      </c>
      <c r="J455" s="23">
        <v>0.24</v>
      </c>
    </row>
    <row r="456" spans="1:10" x14ac:dyDescent="0.35">
      <c r="A456" s="23">
        <v>455</v>
      </c>
      <c r="B456" s="24">
        <v>40563</v>
      </c>
      <c r="C456" s="23">
        <v>1</v>
      </c>
      <c r="D456" s="23">
        <v>0</v>
      </c>
      <c r="E456" s="23">
        <v>1</v>
      </c>
      <c r="F456" s="23">
        <v>23</v>
      </c>
      <c r="G456" s="23" t="b">
        <f>FALSE()</f>
        <v>0</v>
      </c>
      <c r="H456" s="23">
        <v>4</v>
      </c>
      <c r="I456" s="23">
        <v>2</v>
      </c>
      <c r="J456" s="23">
        <v>0.24</v>
      </c>
    </row>
    <row r="457" spans="1:10" x14ac:dyDescent="0.35">
      <c r="A457" s="23">
        <v>456</v>
      </c>
      <c r="B457" s="24">
        <v>40564</v>
      </c>
      <c r="C457" s="23">
        <v>1</v>
      </c>
      <c r="D457" s="23">
        <v>0</v>
      </c>
      <c r="E457" s="23">
        <v>1</v>
      </c>
      <c r="F457" s="23">
        <v>0</v>
      </c>
      <c r="G457" s="23" t="b">
        <f>FALSE()</f>
        <v>0</v>
      </c>
      <c r="H457" s="23">
        <v>5</v>
      </c>
      <c r="I457" s="23">
        <v>2</v>
      </c>
      <c r="J457" s="23">
        <v>0.24</v>
      </c>
    </row>
    <row r="458" spans="1:10" x14ac:dyDescent="0.35">
      <c r="A458" s="23">
        <v>457</v>
      </c>
      <c r="B458" s="24">
        <v>40564</v>
      </c>
      <c r="C458" s="23">
        <v>1</v>
      </c>
      <c r="D458" s="23">
        <v>0</v>
      </c>
      <c r="E458" s="23">
        <v>1</v>
      </c>
      <c r="F458" s="23">
        <v>1</v>
      </c>
      <c r="G458" s="23" t="b">
        <f>FALSE()</f>
        <v>0</v>
      </c>
      <c r="H458" s="23">
        <v>5</v>
      </c>
      <c r="I458" s="23">
        <v>2</v>
      </c>
      <c r="J458" s="23">
        <v>0.24</v>
      </c>
    </row>
    <row r="459" spans="1:10" x14ac:dyDescent="0.35">
      <c r="A459" s="23">
        <v>458</v>
      </c>
      <c r="B459" s="24">
        <v>40564</v>
      </c>
      <c r="C459" s="23">
        <v>1</v>
      </c>
      <c r="D459" s="23">
        <v>0</v>
      </c>
      <c r="E459" s="23">
        <v>1</v>
      </c>
      <c r="F459" s="23">
        <v>2</v>
      </c>
      <c r="G459" s="23" t="b">
        <f>FALSE()</f>
        <v>0</v>
      </c>
      <c r="H459" s="23">
        <v>5</v>
      </c>
      <c r="I459" s="23">
        <v>3</v>
      </c>
      <c r="J459" s="23">
        <v>0.24</v>
      </c>
    </row>
    <row r="460" spans="1:10" x14ac:dyDescent="0.35">
      <c r="A460" s="23">
        <v>459</v>
      </c>
      <c r="B460" s="24">
        <v>40564</v>
      </c>
      <c r="C460" s="23">
        <v>1</v>
      </c>
      <c r="D460" s="23">
        <v>0</v>
      </c>
      <c r="E460" s="23">
        <v>1</v>
      </c>
      <c r="F460" s="23">
        <v>3</v>
      </c>
      <c r="G460" s="23" t="b">
        <f>FALSE()</f>
        <v>0</v>
      </c>
      <c r="H460" s="23">
        <v>5</v>
      </c>
      <c r="I460" s="23">
        <v>3</v>
      </c>
      <c r="J460" s="23">
        <v>0.22</v>
      </c>
    </row>
    <row r="461" spans="1:10" x14ac:dyDescent="0.35">
      <c r="A461" s="23">
        <v>460</v>
      </c>
      <c r="B461" s="24">
        <v>40564</v>
      </c>
      <c r="C461" s="23">
        <v>1</v>
      </c>
      <c r="D461" s="23">
        <v>0</v>
      </c>
      <c r="E461" s="23">
        <v>1</v>
      </c>
      <c r="F461" s="23">
        <v>4</v>
      </c>
      <c r="G461" s="23" t="b">
        <f>FALSE()</f>
        <v>0</v>
      </c>
      <c r="H461" s="23">
        <v>5</v>
      </c>
      <c r="I461" s="23">
        <v>2</v>
      </c>
      <c r="J461" s="23">
        <v>0.22</v>
      </c>
    </row>
    <row r="462" spans="1:10" x14ac:dyDescent="0.35">
      <c r="A462" s="23">
        <v>461</v>
      </c>
      <c r="B462" s="24">
        <v>40564</v>
      </c>
      <c r="C462" s="23">
        <v>1</v>
      </c>
      <c r="D462" s="23">
        <v>0</v>
      </c>
      <c r="E462" s="23">
        <v>1</v>
      </c>
      <c r="F462" s="23">
        <v>5</v>
      </c>
      <c r="G462" s="23" t="b">
        <f>FALSE()</f>
        <v>0</v>
      </c>
      <c r="H462" s="23">
        <v>5</v>
      </c>
      <c r="I462" s="23">
        <v>1</v>
      </c>
      <c r="J462" s="23">
        <v>0.24</v>
      </c>
    </row>
    <row r="463" spans="1:10" x14ac:dyDescent="0.35">
      <c r="A463" s="23">
        <v>462</v>
      </c>
      <c r="B463" s="24">
        <v>40564</v>
      </c>
      <c r="C463" s="23">
        <v>1</v>
      </c>
      <c r="D463" s="23">
        <v>0</v>
      </c>
      <c r="E463" s="23">
        <v>1</v>
      </c>
      <c r="F463" s="23">
        <v>6</v>
      </c>
      <c r="G463" s="23" t="b">
        <f>FALSE()</f>
        <v>0</v>
      </c>
      <c r="H463" s="23">
        <v>5</v>
      </c>
      <c r="I463" s="23">
        <v>1</v>
      </c>
      <c r="J463" s="23">
        <v>0.22</v>
      </c>
    </row>
    <row r="464" spans="1:10" x14ac:dyDescent="0.35">
      <c r="A464" s="23">
        <v>463</v>
      </c>
      <c r="B464" s="24">
        <v>40564</v>
      </c>
      <c r="C464" s="23">
        <v>1</v>
      </c>
      <c r="D464" s="23">
        <v>0</v>
      </c>
      <c r="E464" s="23">
        <v>1</v>
      </c>
      <c r="F464" s="23">
        <v>7</v>
      </c>
      <c r="G464" s="23" t="b">
        <f>FALSE()</f>
        <v>0</v>
      </c>
      <c r="H464" s="23">
        <v>5</v>
      </c>
      <c r="I464" s="23">
        <v>1</v>
      </c>
      <c r="J464" s="23">
        <v>0.2</v>
      </c>
    </row>
    <row r="465" spans="1:10" x14ac:dyDescent="0.35">
      <c r="A465" s="23">
        <v>464</v>
      </c>
      <c r="B465" s="24">
        <v>40564</v>
      </c>
      <c r="C465" s="23">
        <v>1</v>
      </c>
      <c r="D465" s="23">
        <v>0</v>
      </c>
      <c r="E465" s="23">
        <v>1</v>
      </c>
      <c r="F465" s="23">
        <v>8</v>
      </c>
      <c r="G465" s="23" t="b">
        <f>FALSE()</f>
        <v>0</v>
      </c>
      <c r="H465" s="23">
        <v>5</v>
      </c>
      <c r="I465" s="23">
        <v>1</v>
      </c>
      <c r="J465" s="23">
        <v>0.2</v>
      </c>
    </row>
    <row r="466" spans="1:10" x14ac:dyDescent="0.35">
      <c r="A466" s="23">
        <v>465</v>
      </c>
      <c r="B466" s="24">
        <v>40564</v>
      </c>
      <c r="C466" s="23">
        <v>1</v>
      </c>
      <c r="D466" s="23">
        <v>0</v>
      </c>
      <c r="E466" s="23">
        <v>1</v>
      </c>
      <c r="F466" s="23">
        <v>9</v>
      </c>
      <c r="G466" s="23" t="b">
        <f>FALSE()</f>
        <v>0</v>
      </c>
      <c r="H466" s="23">
        <v>5</v>
      </c>
      <c r="I466" s="23">
        <v>1</v>
      </c>
      <c r="J466" s="23">
        <v>0.2</v>
      </c>
    </row>
    <row r="467" spans="1:10" x14ac:dyDescent="0.35">
      <c r="A467" s="23">
        <v>466</v>
      </c>
      <c r="B467" s="24">
        <v>40564</v>
      </c>
      <c r="C467" s="23">
        <v>1</v>
      </c>
      <c r="D467" s="23">
        <v>0</v>
      </c>
      <c r="E467" s="23">
        <v>1</v>
      </c>
      <c r="F467" s="23">
        <v>10</v>
      </c>
      <c r="G467" s="23" t="b">
        <f>FALSE()</f>
        <v>0</v>
      </c>
      <c r="H467" s="23">
        <v>5</v>
      </c>
      <c r="I467" s="23">
        <v>1</v>
      </c>
      <c r="J467" s="23">
        <v>0.2</v>
      </c>
    </row>
    <row r="468" spans="1:10" x14ac:dyDescent="0.35">
      <c r="A468" s="23">
        <v>467</v>
      </c>
      <c r="B468" s="24">
        <v>40564</v>
      </c>
      <c r="C468" s="23">
        <v>1</v>
      </c>
      <c r="D468" s="23">
        <v>0</v>
      </c>
      <c r="E468" s="23">
        <v>1</v>
      </c>
      <c r="F468" s="23">
        <v>11</v>
      </c>
      <c r="G468" s="23" t="b">
        <f>FALSE()</f>
        <v>0</v>
      </c>
      <c r="H468" s="23">
        <v>5</v>
      </c>
      <c r="I468" s="23">
        <v>1</v>
      </c>
      <c r="J468" s="23">
        <v>0.22</v>
      </c>
    </row>
    <row r="469" spans="1:10" x14ac:dyDescent="0.35">
      <c r="A469" s="23">
        <v>468</v>
      </c>
      <c r="B469" s="24">
        <v>40564</v>
      </c>
      <c r="C469" s="23">
        <v>1</v>
      </c>
      <c r="D469" s="23">
        <v>0</v>
      </c>
      <c r="E469" s="23">
        <v>1</v>
      </c>
      <c r="F469" s="23">
        <v>12</v>
      </c>
      <c r="G469" s="23" t="b">
        <f>FALSE()</f>
        <v>0</v>
      </c>
      <c r="H469" s="23">
        <v>5</v>
      </c>
      <c r="I469" s="23">
        <v>1</v>
      </c>
      <c r="J469" s="23">
        <v>0.22</v>
      </c>
    </row>
    <row r="470" spans="1:10" x14ac:dyDescent="0.35">
      <c r="A470" s="23">
        <v>469</v>
      </c>
      <c r="B470" s="24">
        <v>40564</v>
      </c>
      <c r="C470" s="23">
        <v>1</v>
      </c>
      <c r="D470" s="23">
        <v>0</v>
      </c>
      <c r="E470" s="23">
        <v>1</v>
      </c>
      <c r="F470" s="23">
        <v>13</v>
      </c>
      <c r="G470" s="23" t="b">
        <f>FALSE()</f>
        <v>0</v>
      </c>
      <c r="H470" s="23">
        <v>5</v>
      </c>
      <c r="I470" s="23">
        <v>1</v>
      </c>
      <c r="J470" s="23">
        <v>0.2</v>
      </c>
    </row>
    <row r="471" spans="1:10" x14ac:dyDescent="0.35">
      <c r="A471" s="23">
        <v>470</v>
      </c>
      <c r="B471" s="24">
        <v>40564</v>
      </c>
      <c r="C471" s="23">
        <v>1</v>
      </c>
      <c r="D471" s="23">
        <v>0</v>
      </c>
      <c r="E471" s="23">
        <v>1</v>
      </c>
      <c r="F471" s="23">
        <v>14</v>
      </c>
      <c r="G471" s="23" t="b">
        <f>FALSE()</f>
        <v>0</v>
      </c>
      <c r="H471" s="23">
        <v>5</v>
      </c>
      <c r="I471" s="23">
        <v>1</v>
      </c>
      <c r="J471" s="23">
        <v>0.2</v>
      </c>
    </row>
    <row r="472" spans="1:10" x14ac:dyDescent="0.35">
      <c r="A472" s="23">
        <v>471</v>
      </c>
      <c r="B472" s="24">
        <v>40564</v>
      </c>
      <c r="C472" s="23">
        <v>1</v>
      </c>
      <c r="D472" s="23">
        <v>0</v>
      </c>
      <c r="E472" s="23">
        <v>1</v>
      </c>
      <c r="F472" s="23">
        <v>15</v>
      </c>
      <c r="G472" s="23" t="b">
        <f>FALSE()</f>
        <v>0</v>
      </c>
      <c r="H472" s="23">
        <v>5</v>
      </c>
      <c r="I472" s="23">
        <v>1</v>
      </c>
      <c r="J472" s="23">
        <v>0.16</v>
      </c>
    </row>
    <row r="473" spans="1:10" x14ac:dyDescent="0.35">
      <c r="A473" s="23">
        <v>472</v>
      </c>
      <c r="B473" s="24">
        <v>40564</v>
      </c>
      <c r="C473" s="23">
        <v>1</v>
      </c>
      <c r="D473" s="23">
        <v>0</v>
      </c>
      <c r="E473" s="23">
        <v>1</v>
      </c>
      <c r="F473" s="23">
        <v>16</v>
      </c>
      <c r="G473" s="23" t="b">
        <f>FALSE()</f>
        <v>0</v>
      </c>
      <c r="H473" s="23">
        <v>5</v>
      </c>
      <c r="I473" s="23">
        <v>1</v>
      </c>
      <c r="J473" s="23">
        <v>0.16</v>
      </c>
    </row>
    <row r="474" spans="1:10" x14ac:dyDescent="0.35">
      <c r="A474" s="23">
        <v>473</v>
      </c>
      <c r="B474" s="24">
        <v>40564</v>
      </c>
      <c r="C474" s="23">
        <v>1</v>
      </c>
      <c r="D474" s="23">
        <v>0</v>
      </c>
      <c r="E474" s="23">
        <v>1</v>
      </c>
      <c r="F474" s="23">
        <v>17</v>
      </c>
      <c r="G474" s="23" t="b">
        <f>FALSE()</f>
        <v>0</v>
      </c>
      <c r="H474" s="23">
        <v>5</v>
      </c>
      <c r="I474" s="23">
        <v>1</v>
      </c>
      <c r="J474" s="23">
        <v>0.14000000000000001</v>
      </c>
    </row>
    <row r="475" spans="1:10" x14ac:dyDescent="0.35">
      <c r="A475" s="23">
        <v>474</v>
      </c>
      <c r="B475" s="24">
        <v>40564</v>
      </c>
      <c r="C475" s="23">
        <v>1</v>
      </c>
      <c r="D475" s="23">
        <v>0</v>
      </c>
      <c r="E475" s="23">
        <v>1</v>
      </c>
      <c r="F475" s="23">
        <v>18</v>
      </c>
      <c r="G475" s="23" t="b">
        <f>FALSE()</f>
        <v>0</v>
      </c>
      <c r="H475" s="23">
        <v>5</v>
      </c>
      <c r="I475" s="23">
        <v>1</v>
      </c>
      <c r="J475" s="23">
        <v>0.12</v>
      </c>
    </row>
    <row r="476" spans="1:10" x14ac:dyDescent="0.35">
      <c r="A476" s="23">
        <v>475</v>
      </c>
      <c r="B476" s="24">
        <v>40564</v>
      </c>
      <c r="C476" s="23">
        <v>1</v>
      </c>
      <c r="D476" s="23">
        <v>0</v>
      </c>
      <c r="E476" s="23">
        <v>1</v>
      </c>
      <c r="F476" s="23">
        <v>19</v>
      </c>
      <c r="G476" s="23" t="b">
        <f>FALSE()</f>
        <v>0</v>
      </c>
      <c r="H476" s="23">
        <v>5</v>
      </c>
      <c r="I476" s="23">
        <v>1</v>
      </c>
      <c r="J476" s="23">
        <v>0.12</v>
      </c>
    </row>
    <row r="477" spans="1:10" x14ac:dyDescent="0.35">
      <c r="A477" s="23">
        <v>476</v>
      </c>
      <c r="B477" s="24">
        <v>40564</v>
      </c>
      <c r="C477" s="23">
        <v>1</v>
      </c>
      <c r="D477" s="23">
        <v>0</v>
      </c>
      <c r="E477" s="23">
        <v>1</v>
      </c>
      <c r="F477" s="23">
        <v>20</v>
      </c>
      <c r="G477" s="23" t="b">
        <f>FALSE()</f>
        <v>0</v>
      </c>
      <c r="H477" s="23">
        <v>5</v>
      </c>
      <c r="I477" s="23">
        <v>1</v>
      </c>
      <c r="J477" s="23">
        <v>0.1</v>
      </c>
    </row>
    <row r="478" spans="1:10" x14ac:dyDescent="0.35">
      <c r="A478" s="23">
        <v>477</v>
      </c>
      <c r="B478" s="24">
        <v>40564</v>
      </c>
      <c r="C478" s="23">
        <v>1</v>
      </c>
      <c r="D478" s="23">
        <v>0</v>
      </c>
      <c r="E478" s="23">
        <v>1</v>
      </c>
      <c r="F478" s="23">
        <v>21</v>
      </c>
      <c r="G478" s="23" t="b">
        <f>FALSE()</f>
        <v>0</v>
      </c>
      <c r="H478" s="23">
        <v>5</v>
      </c>
      <c r="I478" s="23">
        <v>1</v>
      </c>
      <c r="J478" s="23">
        <v>0.08</v>
      </c>
    </row>
    <row r="479" spans="1:10" x14ac:dyDescent="0.35">
      <c r="A479" s="23">
        <v>478</v>
      </c>
      <c r="B479" s="24">
        <v>40564</v>
      </c>
      <c r="C479" s="23">
        <v>1</v>
      </c>
      <c r="D479" s="23">
        <v>0</v>
      </c>
      <c r="E479" s="23">
        <v>1</v>
      </c>
      <c r="F479" s="23">
        <v>22</v>
      </c>
      <c r="G479" s="23" t="b">
        <f>FALSE()</f>
        <v>0</v>
      </c>
      <c r="H479" s="23">
        <v>5</v>
      </c>
      <c r="I479" s="23">
        <v>1</v>
      </c>
      <c r="J479" s="23">
        <v>0.06</v>
      </c>
    </row>
    <row r="480" spans="1:10" x14ac:dyDescent="0.35">
      <c r="A480" s="23">
        <v>479</v>
      </c>
      <c r="B480" s="24">
        <v>40564</v>
      </c>
      <c r="C480" s="23">
        <v>1</v>
      </c>
      <c r="D480" s="23">
        <v>0</v>
      </c>
      <c r="E480" s="23">
        <v>1</v>
      </c>
      <c r="F480" s="23">
        <v>23</v>
      </c>
      <c r="G480" s="23" t="b">
        <f>FALSE()</f>
        <v>0</v>
      </c>
      <c r="H480" s="23">
        <v>5</v>
      </c>
      <c r="I480" s="23">
        <v>1</v>
      </c>
      <c r="J480" s="23">
        <v>0.06</v>
      </c>
    </row>
    <row r="481" spans="1:10" x14ac:dyDescent="0.35">
      <c r="A481" s="23">
        <v>480</v>
      </c>
      <c r="B481" s="24">
        <v>40565</v>
      </c>
      <c r="C481" s="23">
        <v>1</v>
      </c>
      <c r="D481" s="23">
        <v>0</v>
      </c>
      <c r="E481" s="23">
        <v>1</v>
      </c>
      <c r="F481" s="23">
        <v>0</v>
      </c>
      <c r="G481" s="23" t="b">
        <f>FALSE()</f>
        <v>0</v>
      </c>
      <c r="H481" s="23">
        <v>6</v>
      </c>
      <c r="I481" s="23">
        <v>1</v>
      </c>
      <c r="J481" s="23">
        <v>0.04</v>
      </c>
    </row>
    <row r="482" spans="1:10" x14ac:dyDescent="0.35">
      <c r="A482" s="23">
        <v>481</v>
      </c>
      <c r="B482" s="24">
        <v>40565</v>
      </c>
      <c r="C482" s="23">
        <v>1</v>
      </c>
      <c r="D482" s="23">
        <v>0</v>
      </c>
      <c r="E482" s="23">
        <v>1</v>
      </c>
      <c r="F482" s="23">
        <v>1</v>
      </c>
      <c r="G482" s="23" t="b">
        <f>FALSE()</f>
        <v>0</v>
      </c>
      <c r="H482" s="23">
        <v>6</v>
      </c>
      <c r="I482" s="23">
        <v>2</v>
      </c>
      <c r="J482" s="23">
        <v>0.04</v>
      </c>
    </row>
    <row r="483" spans="1:10" x14ac:dyDescent="0.35">
      <c r="A483" s="23">
        <v>482</v>
      </c>
      <c r="B483" s="24">
        <v>40565</v>
      </c>
      <c r="C483" s="23">
        <v>1</v>
      </c>
      <c r="D483" s="23">
        <v>0</v>
      </c>
      <c r="E483" s="23">
        <v>1</v>
      </c>
      <c r="F483" s="23">
        <v>2</v>
      </c>
      <c r="G483" s="23" t="b">
        <f>FALSE()</f>
        <v>0</v>
      </c>
      <c r="H483" s="23">
        <v>6</v>
      </c>
      <c r="I483" s="23">
        <v>2</v>
      </c>
      <c r="J483" s="23">
        <v>0.04</v>
      </c>
    </row>
    <row r="484" spans="1:10" x14ac:dyDescent="0.35">
      <c r="A484" s="23">
        <v>483</v>
      </c>
      <c r="B484" s="24">
        <v>40565</v>
      </c>
      <c r="C484" s="23">
        <v>1</v>
      </c>
      <c r="D484" s="23">
        <v>0</v>
      </c>
      <c r="E484" s="23">
        <v>1</v>
      </c>
      <c r="F484" s="23">
        <v>3</v>
      </c>
      <c r="G484" s="23" t="b">
        <f>FALSE()</f>
        <v>0</v>
      </c>
      <c r="H484" s="23">
        <v>6</v>
      </c>
      <c r="I484" s="23">
        <v>2</v>
      </c>
      <c r="J484" s="23">
        <v>0.04</v>
      </c>
    </row>
    <row r="485" spans="1:10" x14ac:dyDescent="0.35">
      <c r="A485" s="23">
        <v>484</v>
      </c>
      <c r="B485" s="24">
        <v>40565</v>
      </c>
      <c r="C485" s="23">
        <v>1</v>
      </c>
      <c r="D485" s="23">
        <v>0</v>
      </c>
      <c r="E485" s="23">
        <v>1</v>
      </c>
      <c r="F485" s="23">
        <v>4</v>
      </c>
      <c r="G485" s="23" t="b">
        <f>FALSE()</f>
        <v>0</v>
      </c>
      <c r="H485" s="23">
        <v>6</v>
      </c>
      <c r="I485" s="23">
        <v>2</v>
      </c>
      <c r="J485" s="23">
        <v>0.02</v>
      </c>
    </row>
    <row r="486" spans="1:10" x14ac:dyDescent="0.35">
      <c r="A486" s="23">
        <v>485</v>
      </c>
      <c r="B486" s="24">
        <v>40565</v>
      </c>
      <c r="C486" s="23">
        <v>1</v>
      </c>
      <c r="D486" s="23">
        <v>0</v>
      </c>
      <c r="E486" s="23">
        <v>1</v>
      </c>
      <c r="F486" s="23">
        <v>6</v>
      </c>
      <c r="G486" s="23" t="b">
        <f>FALSE()</f>
        <v>0</v>
      </c>
      <c r="H486" s="23">
        <v>6</v>
      </c>
      <c r="I486" s="23">
        <v>2</v>
      </c>
      <c r="J486" s="23">
        <v>0.02</v>
      </c>
    </row>
    <row r="487" spans="1:10" x14ac:dyDescent="0.35">
      <c r="A487" s="23">
        <v>486</v>
      </c>
      <c r="B487" s="24">
        <v>40565</v>
      </c>
      <c r="C487" s="23">
        <v>1</v>
      </c>
      <c r="D487" s="23">
        <v>0</v>
      </c>
      <c r="E487" s="23">
        <v>1</v>
      </c>
      <c r="F487" s="23">
        <v>7</v>
      </c>
      <c r="G487" s="23" t="b">
        <f>FALSE()</f>
        <v>0</v>
      </c>
      <c r="H487" s="23">
        <v>6</v>
      </c>
      <c r="I487" s="23">
        <v>1</v>
      </c>
      <c r="J487" s="23">
        <v>0.02</v>
      </c>
    </row>
    <row r="488" spans="1:10" x14ac:dyDescent="0.35">
      <c r="A488" s="23">
        <v>487</v>
      </c>
      <c r="B488" s="24">
        <v>40565</v>
      </c>
      <c r="C488" s="23">
        <v>1</v>
      </c>
      <c r="D488" s="23">
        <v>0</v>
      </c>
      <c r="E488" s="23">
        <v>1</v>
      </c>
      <c r="F488" s="23">
        <v>8</v>
      </c>
      <c r="G488" s="23" t="b">
        <f>FALSE()</f>
        <v>0</v>
      </c>
      <c r="H488" s="23">
        <v>6</v>
      </c>
      <c r="I488" s="23">
        <v>1</v>
      </c>
      <c r="J488" s="23">
        <v>0.02</v>
      </c>
    </row>
    <row r="489" spans="1:10" x14ac:dyDescent="0.35">
      <c r="A489" s="23">
        <v>488</v>
      </c>
      <c r="B489" s="24">
        <v>40565</v>
      </c>
      <c r="C489" s="23">
        <v>1</v>
      </c>
      <c r="D489" s="23">
        <v>0</v>
      </c>
      <c r="E489" s="23">
        <v>1</v>
      </c>
      <c r="F489" s="23">
        <v>9</v>
      </c>
      <c r="G489" s="23" t="b">
        <f>FALSE()</f>
        <v>0</v>
      </c>
      <c r="H489" s="23">
        <v>6</v>
      </c>
      <c r="I489" s="23">
        <v>1</v>
      </c>
      <c r="J489" s="23">
        <v>0.04</v>
      </c>
    </row>
    <row r="490" spans="1:10" x14ac:dyDescent="0.35">
      <c r="A490" s="23">
        <v>489</v>
      </c>
      <c r="B490" s="24">
        <v>40565</v>
      </c>
      <c r="C490" s="23">
        <v>1</v>
      </c>
      <c r="D490" s="23">
        <v>0</v>
      </c>
      <c r="E490" s="23">
        <v>1</v>
      </c>
      <c r="F490" s="23">
        <v>10</v>
      </c>
      <c r="G490" s="23" t="b">
        <f>FALSE()</f>
        <v>0</v>
      </c>
      <c r="H490" s="23">
        <v>6</v>
      </c>
      <c r="I490" s="23">
        <v>2</v>
      </c>
      <c r="J490" s="23">
        <v>0.04</v>
      </c>
    </row>
    <row r="491" spans="1:10" x14ac:dyDescent="0.35">
      <c r="A491" s="23">
        <v>490</v>
      </c>
      <c r="B491" s="24">
        <v>40565</v>
      </c>
      <c r="C491" s="23">
        <v>1</v>
      </c>
      <c r="D491" s="23">
        <v>0</v>
      </c>
      <c r="E491" s="23">
        <v>1</v>
      </c>
      <c r="F491" s="23">
        <v>11</v>
      </c>
      <c r="G491" s="23" t="b">
        <f>FALSE()</f>
        <v>0</v>
      </c>
      <c r="H491" s="23">
        <v>6</v>
      </c>
      <c r="I491" s="23">
        <v>2</v>
      </c>
      <c r="J491" s="23">
        <v>0.06</v>
      </c>
    </row>
    <row r="492" spans="1:10" x14ac:dyDescent="0.35">
      <c r="A492" s="23">
        <v>491</v>
      </c>
      <c r="B492" s="24">
        <v>40565</v>
      </c>
      <c r="C492" s="23">
        <v>1</v>
      </c>
      <c r="D492" s="23">
        <v>0</v>
      </c>
      <c r="E492" s="23">
        <v>1</v>
      </c>
      <c r="F492" s="23">
        <v>12</v>
      </c>
      <c r="G492" s="23" t="b">
        <f>FALSE()</f>
        <v>0</v>
      </c>
      <c r="H492" s="23">
        <v>6</v>
      </c>
      <c r="I492" s="23">
        <v>2</v>
      </c>
      <c r="J492" s="23">
        <v>0.06</v>
      </c>
    </row>
    <row r="493" spans="1:10" x14ac:dyDescent="0.35">
      <c r="A493" s="23">
        <v>492</v>
      </c>
      <c r="B493" s="24">
        <v>40565</v>
      </c>
      <c r="C493" s="23">
        <v>1</v>
      </c>
      <c r="D493" s="23">
        <v>0</v>
      </c>
      <c r="E493" s="23">
        <v>1</v>
      </c>
      <c r="F493" s="23">
        <v>13</v>
      </c>
      <c r="G493" s="23" t="b">
        <f>FALSE()</f>
        <v>0</v>
      </c>
      <c r="H493" s="23">
        <v>6</v>
      </c>
      <c r="I493" s="23">
        <v>1</v>
      </c>
      <c r="J493" s="23">
        <v>0.08</v>
      </c>
    </row>
    <row r="494" spans="1:10" x14ac:dyDescent="0.35">
      <c r="A494" s="23">
        <v>493</v>
      </c>
      <c r="B494" s="24">
        <v>40565</v>
      </c>
      <c r="C494" s="23">
        <v>1</v>
      </c>
      <c r="D494" s="23">
        <v>0</v>
      </c>
      <c r="E494" s="23">
        <v>1</v>
      </c>
      <c r="F494" s="23">
        <v>14</v>
      </c>
      <c r="G494" s="23" t="b">
        <f>FALSE()</f>
        <v>0</v>
      </c>
      <c r="H494" s="23">
        <v>6</v>
      </c>
      <c r="I494" s="23">
        <v>1</v>
      </c>
      <c r="J494" s="23">
        <v>0.1</v>
      </c>
    </row>
    <row r="495" spans="1:10" x14ac:dyDescent="0.35">
      <c r="A495" s="23">
        <v>494</v>
      </c>
      <c r="B495" s="24">
        <v>40565</v>
      </c>
      <c r="C495" s="23">
        <v>1</v>
      </c>
      <c r="D495" s="23">
        <v>0</v>
      </c>
      <c r="E495" s="23">
        <v>1</v>
      </c>
      <c r="F495" s="23">
        <v>15</v>
      </c>
      <c r="G495" s="23" t="b">
        <f>FALSE()</f>
        <v>0</v>
      </c>
      <c r="H495" s="23">
        <v>6</v>
      </c>
      <c r="I495" s="23">
        <v>1</v>
      </c>
      <c r="J495" s="23">
        <v>0.12</v>
      </c>
    </row>
    <row r="496" spans="1:10" x14ac:dyDescent="0.35">
      <c r="A496" s="23">
        <v>495</v>
      </c>
      <c r="B496" s="24">
        <v>40565</v>
      </c>
      <c r="C496" s="23">
        <v>1</v>
      </c>
      <c r="D496" s="23">
        <v>0</v>
      </c>
      <c r="E496" s="23">
        <v>1</v>
      </c>
      <c r="F496" s="23">
        <v>16</v>
      </c>
      <c r="G496" s="23" t="b">
        <f>FALSE()</f>
        <v>0</v>
      </c>
      <c r="H496" s="23">
        <v>6</v>
      </c>
      <c r="I496" s="23">
        <v>1</v>
      </c>
      <c r="J496" s="23">
        <v>0.12</v>
      </c>
    </row>
    <row r="497" spans="1:10" x14ac:dyDescent="0.35">
      <c r="A497" s="23">
        <v>496</v>
      </c>
      <c r="B497" s="24">
        <v>40565</v>
      </c>
      <c r="C497" s="23">
        <v>1</v>
      </c>
      <c r="D497" s="23">
        <v>0</v>
      </c>
      <c r="E497" s="23">
        <v>1</v>
      </c>
      <c r="F497" s="23">
        <v>17</v>
      </c>
      <c r="G497" s="23" t="b">
        <f>FALSE()</f>
        <v>0</v>
      </c>
      <c r="H497" s="23">
        <v>6</v>
      </c>
      <c r="I497" s="23">
        <v>1</v>
      </c>
      <c r="J497" s="23">
        <v>0.12</v>
      </c>
    </row>
    <row r="498" spans="1:10" x14ac:dyDescent="0.35">
      <c r="A498" s="23">
        <v>497</v>
      </c>
      <c r="B498" s="24">
        <v>40565</v>
      </c>
      <c r="C498" s="23">
        <v>1</v>
      </c>
      <c r="D498" s="23">
        <v>0</v>
      </c>
      <c r="E498" s="23">
        <v>1</v>
      </c>
      <c r="F498" s="23">
        <v>18</v>
      </c>
      <c r="G498" s="23" t="b">
        <f>FALSE()</f>
        <v>0</v>
      </c>
      <c r="H498" s="23">
        <v>6</v>
      </c>
      <c r="I498" s="23">
        <v>1</v>
      </c>
      <c r="J498" s="23">
        <v>0.08</v>
      </c>
    </row>
    <row r="499" spans="1:10" x14ac:dyDescent="0.35">
      <c r="A499" s="23">
        <v>498</v>
      </c>
      <c r="B499" s="24">
        <v>40565</v>
      </c>
      <c r="C499" s="23">
        <v>1</v>
      </c>
      <c r="D499" s="23">
        <v>0</v>
      </c>
      <c r="E499" s="23">
        <v>1</v>
      </c>
      <c r="F499" s="23">
        <v>19</v>
      </c>
      <c r="G499" s="23" t="b">
        <f>FALSE()</f>
        <v>0</v>
      </c>
      <c r="H499" s="23">
        <v>6</v>
      </c>
      <c r="I499" s="23">
        <v>1</v>
      </c>
      <c r="J499" s="23">
        <v>0.08</v>
      </c>
    </row>
    <row r="500" spans="1:10" x14ac:dyDescent="0.35">
      <c r="A500" s="23">
        <v>499</v>
      </c>
      <c r="B500" s="24">
        <v>40565</v>
      </c>
      <c r="C500" s="23">
        <v>1</v>
      </c>
      <c r="D500" s="23">
        <v>0</v>
      </c>
      <c r="E500" s="23">
        <v>1</v>
      </c>
      <c r="F500" s="23">
        <v>20</v>
      </c>
      <c r="G500" s="23" t="b">
        <f>FALSE()</f>
        <v>0</v>
      </c>
      <c r="H500" s="23">
        <v>6</v>
      </c>
      <c r="I500" s="23">
        <v>1</v>
      </c>
      <c r="J500" s="23">
        <v>0.06</v>
      </c>
    </row>
    <row r="501" spans="1:10" x14ac:dyDescent="0.35">
      <c r="A501" s="23">
        <v>500</v>
      </c>
      <c r="B501" s="24">
        <v>40565</v>
      </c>
      <c r="C501" s="23">
        <v>1</v>
      </c>
      <c r="D501" s="23">
        <v>0</v>
      </c>
      <c r="E501" s="23">
        <v>1</v>
      </c>
      <c r="F501" s="23">
        <v>21</v>
      </c>
      <c r="G501" s="23" t="b">
        <f>FALSE()</f>
        <v>0</v>
      </c>
      <c r="H501" s="23">
        <v>6</v>
      </c>
      <c r="I501" s="23">
        <v>1</v>
      </c>
      <c r="J501" s="23">
        <v>0.06</v>
      </c>
    </row>
    <row r="502" spans="1:10" x14ac:dyDescent="0.35">
      <c r="A502" s="23">
        <v>501</v>
      </c>
      <c r="B502" s="24">
        <v>40565</v>
      </c>
      <c r="C502" s="23">
        <v>1</v>
      </c>
      <c r="D502" s="23">
        <v>0</v>
      </c>
      <c r="E502" s="23">
        <v>1</v>
      </c>
      <c r="F502" s="23">
        <v>22</v>
      </c>
      <c r="G502" s="23" t="b">
        <f>FALSE()</f>
        <v>0</v>
      </c>
      <c r="H502" s="23">
        <v>6</v>
      </c>
      <c r="I502" s="23">
        <v>1</v>
      </c>
      <c r="J502" s="23">
        <v>0.06</v>
      </c>
    </row>
    <row r="503" spans="1:10" x14ac:dyDescent="0.35">
      <c r="A503" s="23">
        <v>502</v>
      </c>
      <c r="B503" s="24">
        <v>40565</v>
      </c>
      <c r="C503" s="23">
        <v>1</v>
      </c>
      <c r="D503" s="23">
        <v>0</v>
      </c>
      <c r="E503" s="23">
        <v>1</v>
      </c>
      <c r="F503" s="23">
        <v>23</v>
      </c>
      <c r="G503" s="23" t="b">
        <f>FALSE()</f>
        <v>0</v>
      </c>
      <c r="H503" s="23">
        <v>6</v>
      </c>
      <c r="I503" s="23">
        <v>1</v>
      </c>
      <c r="J503" s="23">
        <v>0.04</v>
      </c>
    </row>
    <row r="504" spans="1:10" x14ac:dyDescent="0.35">
      <c r="A504" s="23">
        <v>503</v>
      </c>
      <c r="B504" s="24">
        <v>40566</v>
      </c>
      <c r="C504" s="23">
        <v>1</v>
      </c>
      <c r="D504" s="23">
        <v>0</v>
      </c>
      <c r="E504" s="23">
        <v>1</v>
      </c>
      <c r="F504" s="23">
        <v>0</v>
      </c>
      <c r="G504" s="23" t="b">
        <f>FALSE()</f>
        <v>0</v>
      </c>
      <c r="H504" s="23">
        <v>0</v>
      </c>
      <c r="I504" s="23">
        <v>1</v>
      </c>
      <c r="J504" s="23">
        <v>0.04</v>
      </c>
    </row>
    <row r="505" spans="1:10" x14ac:dyDescent="0.35">
      <c r="A505" s="23">
        <v>504</v>
      </c>
      <c r="B505" s="24">
        <v>40566</v>
      </c>
      <c r="C505" s="23">
        <v>1</v>
      </c>
      <c r="D505" s="23">
        <v>0</v>
      </c>
      <c r="E505" s="23">
        <v>1</v>
      </c>
      <c r="F505" s="23">
        <v>1</v>
      </c>
      <c r="G505" s="23" t="b">
        <f>FALSE()</f>
        <v>0</v>
      </c>
      <c r="H505" s="23">
        <v>0</v>
      </c>
      <c r="I505" s="23">
        <v>1</v>
      </c>
      <c r="J505" s="23">
        <v>0.04</v>
      </c>
    </row>
    <row r="506" spans="1:10" x14ac:dyDescent="0.35">
      <c r="A506" s="23">
        <v>505</v>
      </c>
      <c r="B506" s="24">
        <v>40566</v>
      </c>
      <c r="C506" s="23">
        <v>1</v>
      </c>
      <c r="D506" s="23">
        <v>0</v>
      </c>
      <c r="E506" s="23">
        <v>1</v>
      </c>
      <c r="F506" s="23">
        <v>2</v>
      </c>
      <c r="G506" s="23" t="b">
        <f>FALSE()</f>
        <v>0</v>
      </c>
      <c r="H506" s="23">
        <v>0</v>
      </c>
      <c r="I506" s="23">
        <v>1</v>
      </c>
      <c r="J506" s="23">
        <v>0.02</v>
      </c>
    </row>
    <row r="507" spans="1:10" x14ac:dyDescent="0.35">
      <c r="A507" s="23">
        <v>506</v>
      </c>
      <c r="B507" s="24">
        <v>40566</v>
      </c>
      <c r="C507" s="23">
        <v>1</v>
      </c>
      <c r="D507" s="23">
        <v>0</v>
      </c>
      <c r="E507" s="23">
        <v>1</v>
      </c>
      <c r="F507" s="23">
        <v>3</v>
      </c>
      <c r="G507" s="23" t="b">
        <f>FALSE()</f>
        <v>0</v>
      </c>
      <c r="H507" s="23">
        <v>0</v>
      </c>
      <c r="I507" s="23">
        <v>1</v>
      </c>
      <c r="J507" s="23">
        <v>0.02</v>
      </c>
    </row>
    <row r="508" spans="1:10" x14ac:dyDescent="0.35">
      <c r="A508" s="23">
        <v>507</v>
      </c>
      <c r="B508" s="24">
        <v>40566</v>
      </c>
      <c r="C508" s="23">
        <v>1</v>
      </c>
      <c r="D508" s="23">
        <v>0</v>
      </c>
      <c r="E508" s="23">
        <v>1</v>
      </c>
      <c r="F508" s="23">
        <v>5</v>
      </c>
      <c r="G508" s="23" t="b">
        <f>FALSE()</f>
        <v>0</v>
      </c>
      <c r="H508" s="23">
        <v>0</v>
      </c>
      <c r="I508" s="23">
        <v>2</v>
      </c>
      <c r="J508" s="23">
        <v>0.04</v>
      </c>
    </row>
    <row r="509" spans="1:10" x14ac:dyDescent="0.35">
      <c r="A509" s="23">
        <v>508</v>
      </c>
      <c r="B509" s="24">
        <v>40566</v>
      </c>
      <c r="C509" s="23">
        <v>1</v>
      </c>
      <c r="D509" s="23">
        <v>0</v>
      </c>
      <c r="E509" s="23">
        <v>1</v>
      </c>
      <c r="F509" s="23">
        <v>6</v>
      </c>
      <c r="G509" s="23" t="b">
        <f>FALSE()</f>
        <v>0</v>
      </c>
      <c r="H509" s="23">
        <v>0</v>
      </c>
      <c r="I509" s="23">
        <v>2</v>
      </c>
      <c r="J509" s="23">
        <v>0.04</v>
      </c>
    </row>
    <row r="510" spans="1:10" x14ac:dyDescent="0.35">
      <c r="A510" s="23">
        <v>509</v>
      </c>
      <c r="B510" s="24">
        <v>40566</v>
      </c>
      <c r="C510" s="23">
        <v>1</v>
      </c>
      <c r="D510" s="23">
        <v>0</v>
      </c>
      <c r="E510" s="23">
        <v>1</v>
      </c>
      <c r="F510" s="23">
        <v>7</v>
      </c>
      <c r="G510" s="23" t="b">
        <f>FALSE()</f>
        <v>0</v>
      </c>
      <c r="H510" s="23">
        <v>0</v>
      </c>
      <c r="I510" s="23">
        <v>1</v>
      </c>
      <c r="J510" s="23">
        <v>0.08</v>
      </c>
    </row>
    <row r="511" spans="1:10" x14ac:dyDescent="0.35">
      <c r="A511" s="23">
        <v>510</v>
      </c>
      <c r="B511" s="24">
        <v>40566</v>
      </c>
      <c r="C511" s="23">
        <v>1</v>
      </c>
      <c r="D511" s="23">
        <v>0</v>
      </c>
      <c r="E511" s="23">
        <v>1</v>
      </c>
      <c r="F511" s="23">
        <v>8</v>
      </c>
      <c r="G511" s="23" t="b">
        <f>FALSE()</f>
        <v>0</v>
      </c>
      <c r="H511" s="23">
        <v>0</v>
      </c>
      <c r="I511" s="23">
        <v>1</v>
      </c>
      <c r="J511" s="23">
        <v>0.06</v>
      </c>
    </row>
    <row r="512" spans="1:10" x14ac:dyDescent="0.35">
      <c r="A512" s="23">
        <v>511</v>
      </c>
      <c r="B512" s="24">
        <v>40566</v>
      </c>
      <c r="C512" s="23">
        <v>1</v>
      </c>
      <c r="D512" s="23">
        <v>0</v>
      </c>
      <c r="E512" s="23">
        <v>1</v>
      </c>
      <c r="F512" s="23">
        <v>9</v>
      </c>
      <c r="G512" s="23" t="b">
        <f>FALSE()</f>
        <v>0</v>
      </c>
      <c r="H512" s="23">
        <v>0</v>
      </c>
      <c r="I512" s="23">
        <v>1</v>
      </c>
      <c r="J512" s="23">
        <v>0.1</v>
      </c>
    </row>
    <row r="513" spans="1:10" x14ac:dyDescent="0.35">
      <c r="A513" s="23">
        <v>512</v>
      </c>
      <c r="B513" s="24">
        <v>40566</v>
      </c>
      <c r="C513" s="23">
        <v>1</v>
      </c>
      <c r="D513" s="23">
        <v>0</v>
      </c>
      <c r="E513" s="23">
        <v>1</v>
      </c>
      <c r="F513" s="23">
        <v>10</v>
      </c>
      <c r="G513" s="23" t="b">
        <f>FALSE()</f>
        <v>0</v>
      </c>
      <c r="H513" s="23">
        <v>0</v>
      </c>
      <c r="I513" s="23">
        <v>1</v>
      </c>
      <c r="J513" s="23">
        <v>0.14000000000000001</v>
      </c>
    </row>
    <row r="514" spans="1:10" x14ac:dyDescent="0.35">
      <c r="A514" s="23">
        <v>513</v>
      </c>
      <c r="B514" s="24">
        <v>40566</v>
      </c>
      <c r="C514" s="23">
        <v>1</v>
      </c>
      <c r="D514" s="23">
        <v>0</v>
      </c>
      <c r="E514" s="23">
        <v>1</v>
      </c>
      <c r="F514" s="23">
        <v>11</v>
      </c>
      <c r="G514" s="23" t="b">
        <f>FALSE()</f>
        <v>0</v>
      </c>
      <c r="H514" s="23">
        <v>0</v>
      </c>
      <c r="I514" s="23">
        <v>1</v>
      </c>
      <c r="J514" s="23">
        <v>0.14000000000000001</v>
      </c>
    </row>
    <row r="515" spans="1:10" x14ac:dyDescent="0.35">
      <c r="A515" s="23">
        <v>514</v>
      </c>
      <c r="B515" s="24">
        <v>40566</v>
      </c>
      <c r="C515" s="23">
        <v>1</v>
      </c>
      <c r="D515" s="23">
        <v>0</v>
      </c>
      <c r="E515" s="23">
        <v>1</v>
      </c>
      <c r="F515" s="23">
        <v>12</v>
      </c>
      <c r="G515" s="23" t="b">
        <f>FALSE()</f>
        <v>0</v>
      </c>
      <c r="H515" s="23">
        <v>0</v>
      </c>
      <c r="I515" s="23">
        <v>1</v>
      </c>
      <c r="J515" s="23">
        <v>0.16</v>
      </c>
    </row>
    <row r="516" spans="1:10" x14ac:dyDescent="0.35">
      <c r="A516" s="23">
        <v>515</v>
      </c>
      <c r="B516" s="24">
        <v>40566</v>
      </c>
      <c r="C516" s="23">
        <v>1</v>
      </c>
      <c r="D516" s="23">
        <v>0</v>
      </c>
      <c r="E516" s="23">
        <v>1</v>
      </c>
      <c r="F516" s="23">
        <v>13</v>
      </c>
      <c r="G516" s="23" t="b">
        <f>FALSE()</f>
        <v>0</v>
      </c>
      <c r="H516" s="23">
        <v>0</v>
      </c>
      <c r="I516" s="23">
        <v>1</v>
      </c>
      <c r="J516" s="23">
        <v>0.14000000000000001</v>
      </c>
    </row>
    <row r="517" spans="1:10" x14ac:dyDescent="0.35">
      <c r="A517" s="23">
        <v>516</v>
      </c>
      <c r="B517" s="24">
        <v>40566</v>
      </c>
      <c r="C517" s="23">
        <v>1</v>
      </c>
      <c r="D517" s="23">
        <v>0</v>
      </c>
      <c r="E517" s="23">
        <v>1</v>
      </c>
      <c r="F517" s="23">
        <v>14</v>
      </c>
      <c r="G517" s="23" t="b">
        <f>FALSE()</f>
        <v>0</v>
      </c>
      <c r="H517" s="23">
        <v>0</v>
      </c>
      <c r="I517" s="23">
        <v>1</v>
      </c>
      <c r="J517" s="23">
        <v>0.16</v>
      </c>
    </row>
    <row r="518" spans="1:10" x14ac:dyDescent="0.35">
      <c r="A518" s="23">
        <v>517</v>
      </c>
      <c r="B518" s="24">
        <v>40566</v>
      </c>
      <c r="C518" s="23">
        <v>1</v>
      </c>
      <c r="D518" s="23">
        <v>0</v>
      </c>
      <c r="E518" s="23">
        <v>1</v>
      </c>
      <c r="F518" s="23">
        <v>15</v>
      </c>
      <c r="G518" s="23" t="b">
        <f>FALSE()</f>
        <v>0</v>
      </c>
      <c r="H518" s="23">
        <v>0</v>
      </c>
      <c r="I518" s="23">
        <v>1</v>
      </c>
      <c r="J518" s="23">
        <v>0.16</v>
      </c>
    </row>
    <row r="519" spans="1:10" x14ac:dyDescent="0.35">
      <c r="A519" s="23">
        <v>518</v>
      </c>
      <c r="B519" s="24">
        <v>40566</v>
      </c>
      <c r="C519" s="23">
        <v>1</v>
      </c>
      <c r="D519" s="23">
        <v>0</v>
      </c>
      <c r="E519" s="23">
        <v>1</v>
      </c>
      <c r="F519" s="23">
        <v>16</v>
      </c>
      <c r="G519" s="23" t="b">
        <f>FALSE()</f>
        <v>0</v>
      </c>
      <c r="H519" s="23">
        <v>0</v>
      </c>
      <c r="I519" s="23">
        <v>1</v>
      </c>
      <c r="J519" s="23">
        <v>0.16</v>
      </c>
    </row>
    <row r="520" spans="1:10" x14ac:dyDescent="0.35">
      <c r="A520" s="23">
        <v>519</v>
      </c>
      <c r="B520" s="24">
        <v>40566</v>
      </c>
      <c r="C520" s="23">
        <v>1</v>
      </c>
      <c r="D520" s="23">
        <v>0</v>
      </c>
      <c r="E520" s="23">
        <v>1</v>
      </c>
      <c r="F520" s="23">
        <v>17</v>
      </c>
      <c r="G520" s="23" t="b">
        <f>FALSE()</f>
        <v>0</v>
      </c>
      <c r="H520" s="23">
        <v>0</v>
      </c>
      <c r="I520" s="23">
        <v>1</v>
      </c>
      <c r="J520" s="23">
        <v>0.14000000000000001</v>
      </c>
    </row>
    <row r="521" spans="1:10" x14ac:dyDescent="0.35">
      <c r="A521" s="23">
        <v>520</v>
      </c>
      <c r="B521" s="24">
        <v>40566</v>
      </c>
      <c r="C521" s="23">
        <v>1</v>
      </c>
      <c r="D521" s="23">
        <v>0</v>
      </c>
      <c r="E521" s="23">
        <v>1</v>
      </c>
      <c r="F521" s="23">
        <v>18</v>
      </c>
      <c r="G521" s="23" t="b">
        <f>FALSE()</f>
        <v>0</v>
      </c>
      <c r="H521" s="23">
        <v>0</v>
      </c>
      <c r="I521" s="23">
        <v>1</v>
      </c>
      <c r="J521" s="23">
        <v>0.12</v>
      </c>
    </row>
    <row r="522" spans="1:10" x14ac:dyDescent="0.35">
      <c r="A522" s="23">
        <v>521</v>
      </c>
      <c r="B522" s="24">
        <v>40566</v>
      </c>
      <c r="C522" s="23">
        <v>1</v>
      </c>
      <c r="D522" s="23">
        <v>0</v>
      </c>
      <c r="E522" s="23">
        <v>1</v>
      </c>
      <c r="F522" s="23">
        <v>19</v>
      </c>
      <c r="G522" s="23" t="b">
        <f>FALSE()</f>
        <v>0</v>
      </c>
      <c r="H522" s="23">
        <v>0</v>
      </c>
      <c r="I522" s="23">
        <v>1</v>
      </c>
      <c r="J522" s="23">
        <v>0.12</v>
      </c>
    </row>
    <row r="523" spans="1:10" x14ac:dyDescent="0.35">
      <c r="A523" s="23">
        <v>522</v>
      </c>
      <c r="B523" s="24">
        <v>40566</v>
      </c>
      <c r="C523" s="23">
        <v>1</v>
      </c>
      <c r="D523" s="23">
        <v>0</v>
      </c>
      <c r="E523" s="23">
        <v>1</v>
      </c>
      <c r="F523" s="23">
        <v>20</v>
      </c>
      <c r="G523" s="23" t="b">
        <f>FALSE()</f>
        <v>0</v>
      </c>
      <c r="H523" s="23">
        <v>0</v>
      </c>
      <c r="I523" s="23">
        <v>1</v>
      </c>
      <c r="J523" s="23">
        <v>0.1</v>
      </c>
    </row>
    <row r="524" spans="1:10" x14ac:dyDescent="0.35">
      <c r="A524" s="23">
        <v>523</v>
      </c>
      <c r="B524" s="24">
        <v>40566</v>
      </c>
      <c r="C524" s="23">
        <v>1</v>
      </c>
      <c r="D524" s="23">
        <v>0</v>
      </c>
      <c r="E524" s="23">
        <v>1</v>
      </c>
      <c r="F524" s="23">
        <v>21</v>
      </c>
      <c r="G524" s="23" t="b">
        <f>FALSE()</f>
        <v>0</v>
      </c>
      <c r="H524" s="23">
        <v>0</v>
      </c>
      <c r="I524" s="23">
        <v>1</v>
      </c>
      <c r="J524" s="23">
        <v>0.1</v>
      </c>
    </row>
    <row r="525" spans="1:10" x14ac:dyDescent="0.35">
      <c r="A525" s="23">
        <v>524</v>
      </c>
      <c r="B525" s="24">
        <v>40566</v>
      </c>
      <c r="C525" s="23">
        <v>1</v>
      </c>
      <c r="D525" s="23">
        <v>0</v>
      </c>
      <c r="E525" s="23">
        <v>1</v>
      </c>
      <c r="F525" s="23">
        <v>22</v>
      </c>
      <c r="G525" s="23" t="b">
        <f>FALSE()</f>
        <v>0</v>
      </c>
      <c r="H525" s="23">
        <v>0</v>
      </c>
      <c r="I525" s="23">
        <v>1</v>
      </c>
      <c r="J525" s="23">
        <v>0.08</v>
      </c>
    </row>
    <row r="526" spans="1:10" x14ac:dyDescent="0.35">
      <c r="A526" s="23">
        <v>525</v>
      </c>
      <c r="B526" s="24">
        <v>40566</v>
      </c>
      <c r="C526" s="23">
        <v>1</v>
      </c>
      <c r="D526" s="23">
        <v>0</v>
      </c>
      <c r="E526" s="23">
        <v>1</v>
      </c>
      <c r="F526" s="23">
        <v>23</v>
      </c>
      <c r="G526" s="23" t="b">
        <f>FALSE()</f>
        <v>0</v>
      </c>
      <c r="H526" s="23">
        <v>0</v>
      </c>
      <c r="I526" s="23">
        <v>1</v>
      </c>
      <c r="J526" s="23">
        <v>0.06</v>
      </c>
    </row>
    <row r="527" spans="1:10" x14ac:dyDescent="0.35">
      <c r="A527" s="23">
        <v>526</v>
      </c>
      <c r="B527" s="24">
        <v>40567</v>
      </c>
      <c r="C527" s="23">
        <v>1</v>
      </c>
      <c r="D527" s="23">
        <v>0</v>
      </c>
      <c r="E527" s="23">
        <v>1</v>
      </c>
      <c r="F527" s="23">
        <v>0</v>
      </c>
      <c r="G527" s="23" t="b">
        <f>FALSE()</f>
        <v>0</v>
      </c>
      <c r="H527" s="23">
        <v>1</v>
      </c>
      <c r="I527" s="23">
        <v>1</v>
      </c>
      <c r="J527" s="23">
        <v>0.06</v>
      </c>
    </row>
    <row r="528" spans="1:10" x14ac:dyDescent="0.35">
      <c r="A528" s="23">
        <v>527</v>
      </c>
      <c r="B528" s="24">
        <v>40567</v>
      </c>
      <c r="C528" s="23">
        <v>1</v>
      </c>
      <c r="D528" s="23">
        <v>0</v>
      </c>
      <c r="E528" s="23">
        <v>1</v>
      </c>
      <c r="F528" s="23">
        <v>1</v>
      </c>
      <c r="G528" s="23" t="b">
        <f>FALSE()</f>
        <v>0</v>
      </c>
      <c r="H528" s="23">
        <v>1</v>
      </c>
      <c r="I528" s="23">
        <v>1</v>
      </c>
      <c r="J528" s="23">
        <v>0.04</v>
      </c>
    </row>
    <row r="529" spans="1:10" x14ac:dyDescent="0.35">
      <c r="A529" s="23">
        <v>528</v>
      </c>
      <c r="B529" s="24">
        <v>40567</v>
      </c>
      <c r="C529" s="23">
        <v>1</v>
      </c>
      <c r="D529" s="23">
        <v>0</v>
      </c>
      <c r="E529" s="23">
        <v>1</v>
      </c>
      <c r="F529" s="23">
        <v>3</v>
      </c>
      <c r="G529" s="23" t="b">
        <f>FALSE()</f>
        <v>0</v>
      </c>
      <c r="H529" s="23">
        <v>1</v>
      </c>
      <c r="I529" s="23">
        <v>1</v>
      </c>
      <c r="J529" s="23">
        <v>0.04</v>
      </c>
    </row>
    <row r="530" spans="1:10" x14ac:dyDescent="0.35">
      <c r="A530" s="23">
        <v>529</v>
      </c>
      <c r="B530" s="24">
        <v>40567</v>
      </c>
      <c r="C530" s="23">
        <v>1</v>
      </c>
      <c r="D530" s="23">
        <v>0</v>
      </c>
      <c r="E530" s="23">
        <v>1</v>
      </c>
      <c r="F530" s="23">
        <v>4</v>
      </c>
      <c r="G530" s="23" t="b">
        <f>FALSE()</f>
        <v>0</v>
      </c>
      <c r="H530" s="23">
        <v>1</v>
      </c>
      <c r="I530" s="23">
        <v>1</v>
      </c>
      <c r="J530" s="23">
        <v>0.02</v>
      </c>
    </row>
    <row r="531" spans="1:10" x14ac:dyDescent="0.35">
      <c r="A531" s="23">
        <v>530</v>
      </c>
      <c r="B531" s="24">
        <v>40567</v>
      </c>
      <c r="C531" s="23">
        <v>1</v>
      </c>
      <c r="D531" s="23">
        <v>0</v>
      </c>
      <c r="E531" s="23">
        <v>1</v>
      </c>
      <c r="F531" s="23">
        <v>5</v>
      </c>
      <c r="G531" s="23" t="b">
        <f>FALSE()</f>
        <v>0</v>
      </c>
      <c r="H531" s="23">
        <v>1</v>
      </c>
      <c r="I531" s="23">
        <v>1</v>
      </c>
      <c r="J531" s="23">
        <v>0.02</v>
      </c>
    </row>
    <row r="532" spans="1:10" x14ac:dyDescent="0.35">
      <c r="A532" s="23">
        <v>531</v>
      </c>
      <c r="B532" s="24">
        <v>40567</v>
      </c>
      <c r="C532" s="23">
        <v>1</v>
      </c>
      <c r="D532" s="23">
        <v>0</v>
      </c>
      <c r="E532" s="23">
        <v>1</v>
      </c>
      <c r="F532" s="23">
        <v>6</v>
      </c>
      <c r="G532" s="23" t="b">
        <f>FALSE()</f>
        <v>0</v>
      </c>
      <c r="H532" s="23">
        <v>1</v>
      </c>
      <c r="I532" s="23">
        <v>1</v>
      </c>
      <c r="J532" s="23">
        <v>0.02</v>
      </c>
    </row>
    <row r="533" spans="1:10" x14ac:dyDescent="0.35">
      <c r="A533" s="23">
        <v>532</v>
      </c>
      <c r="B533" s="24">
        <v>40567</v>
      </c>
      <c r="C533" s="23">
        <v>1</v>
      </c>
      <c r="D533" s="23">
        <v>0</v>
      </c>
      <c r="E533" s="23">
        <v>1</v>
      </c>
      <c r="F533" s="23">
        <v>7</v>
      </c>
      <c r="G533" s="23" t="b">
        <f>FALSE()</f>
        <v>0</v>
      </c>
      <c r="H533" s="23">
        <v>1</v>
      </c>
      <c r="I533" s="23">
        <v>1</v>
      </c>
      <c r="J533" s="23">
        <v>0.02</v>
      </c>
    </row>
    <row r="534" spans="1:10" x14ac:dyDescent="0.35">
      <c r="A534" s="23">
        <v>533</v>
      </c>
      <c r="B534" s="24">
        <v>40567</v>
      </c>
      <c r="C534" s="23">
        <v>1</v>
      </c>
      <c r="D534" s="23">
        <v>0</v>
      </c>
      <c r="E534" s="23">
        <v>1</v>
      </c>
      <c r="F534" s="23">
        <v>8</v>
      </c>
      <c r="G534" s="23" t="b">
        <f>FALSE()</f>
        <v>0</v>
      </c>
      <c r="H534" s="23">
        <v>1</v>
      </c>
      <c r="I534" s="23">
        <v>1</v>
      </c>
      <c r="J534" s="23">
        <v>0.04</v>
      </c>
    </row>
    <row r="535" spans="1:10" x14ac:dyDescent="0.35">
      <c r="A535" s="23">
        <v>534</v>
      </c>
      <c r="B535" s="24">
        <v>40567</v>
      </c>
      <c r="C535" s="23">
        <v>1</v>
      </c>
      <c r="D535" s="23">
        <v>0</v>
      </c>
      <c r="E535" s="23">
        <v>1</v>
      </c>
      <c r="F535" s="23">
        <v>9</v>
      </c>
      <c r="G535" s="23" t="b">
        <f>FALSE()</f>
        <v>0</v>
      </c>
      <c r="H535" s="23">
        <v>1</v>
      </c>
      <c r="I535" s="23">
        <v>1</v>
      </c>
      <c r="J535" s="23">
        <v>0.06</v>
      </c>
    </row>
    <row r="536" spans="1:10" x14ac:dyDescent="0.35">
      <c r="A536" s="23">
        <v>535</v>
      </c>
      <c r="B536" s="24">
        <v>40567</v>
      </c>
      <c r="C536" s="23">
        <v>1</v>
      </c>
      <c r="D536" s="23">
        <v>0</v>
      </c>
      <c r="E536" s="23">
        <v>1</v>
      </c>
      <c r="F536" s="23">
        <v>10</v>
      </c>
      <c r="G536" s="23" t="b">
        <f>FALSE()</f>
        <v>0</v>
      </c>
      <c r="H536" s="23">
        <v>1</v>
      </c>
      <c r="I536" s="23">
        <v>1</v>
      </c>
      <c r="J536" s="23">
        <v>0.1</v>
      </c>
    </row>
    <row r="537" spans="1:10" x14ac:dyDescent="0.35">
      <c r="A537" s="23">
        <v>536</v>
      </c>
      <c r="B537" s="24">
        <v>40567</v>
      </c>
      <c r="C537" s="23">
        <v>1</v>
      </c>
      <c r="D537" s="23">
        <v>0</v>
      </c>
      <c r="E537" s="23">
        <v>1</v>
      </c>
      <c r="F537" s="23">
        <v>11</v>
      </c>
      <c r="G537" s="23" t="b">
        <f>FALSE()</f>
        <v>0</v>
      </c>
      <c r="H537" s="23">
        <v>1</v>
      </c>
      <c r="I537" s="23">
        <v>1</v>
      </c>
      <c r="J537" s="23">
        <v>0.1</v>
      </c>
    </row>
    <row r="538" spans="1:10" x14ac:dyDescent="0.35">
      <c r="A538" s="23">
        <v>537</v>
      </c>
      <c r="B538" s="24">
        <v>40567</v>
      </c>
      <c r="C538" s="23">
        <v>1</v>
      </c>
      <c r="D538" s="23">
        <v>0</v>
      </c>
      <c r="E538" s="23">
        <v>1</v>
      </c>
      <c r="F538" s="23">
        <v>12</v>
      </c>
      <c r="G538" s="23" t="b">
        <f>FALSE()</f>
        <v>0</v>
      </c>
      <c r="H538" s="23">
        <v>1</v>
      </c>
      <c r="I538" s="23">
        <v>2</v>
      </c>
      <c r="J538" s="23">
        <v>0.12</v>
      </c>
    </row>
    <row r="539" spans="1:10" x14ac:dyDescent="0.35">
      <c r="A539" s="23">
        <v>538</v>
      </c>
      <c r="B539" s="24">
        <v>40567</v>
      </c>
      <c r="C539" s="23">
        <v>1</v>
      </c>
      <c r="D539" s="23">
        <v>0</v>
      </c>
      <c r="E539" s="23">
        <v>1</v>
      </c>
      <c r="F539" s="23">
        <v>13</v>
      </c>
      <c r="G539" s="23" t="b">
        <f>FALSE()</f>
        <v>0</v>
      </c>
      <c r="H539" s="23">
        <v>1</v>
      </c>
      <c r="I539" s="23">
        <v>2</v>
      </c>
      <c r="J539" s="23">
        <v>0.14000000000000001</v>
      </c>
    </row>
    <row r="540" spans="1:10" x14ac:dyDescent="0.35">
      <c r="A540" s="23">
        <v>539</v>
      </c>
      <c r="B540" s="24">
        <v>40567</v>
      </c>
      <c r="C540" s="23">
        <v>1</v>
      </c>
      <c r="D540" s="23">
        <v>0</v>
      </c>
      <c r="E540" s="23">
        <v>1</v>
      </c>
      <c r="F540" s="23">
        <v>14</v>
      </c>
      <c r="G540" s="23" t="b">
        <f>FALSE()</f>
        <v>0</v>
      </c>
      <c r="H540" s="23">
        <v>1</v>
      </c>
      <c r="I540" s="23">
        <v>2</v>
      </c>
      <c r="J540" s="23">
        <v>0.14000000000000001</v>
      </c>
    </row>
    <row r="541" spans="1:10" x14ac:dyDescent="0.35">
      <c r="A541" s="23">
        <v>540</v>
      </c>
      <c r="B541" s="24">
        <v>40567</v>
      </c>
      <c r="C541" s="23">
        <v>1</v>
      </c>
      <c r="D541" s="23">
        <v>0</v>
      </c>
      <c r="E541" s="23">
        <v>1</v>
      </c>
      <c r="F541" s="23">
        <v>15</v>
      </c>
      <c r="G541" s="23" t="b">
        <f>FALSE()</f>
        <v>0</v>
      </c>
      <c r="H541" s="23">
        <v>1</v>
      </c>
      <c r="I541" s="23">
        <v>1</v>
      </c>
      <c r="J541" s="23">
        <v>0.16</v>
      </c>
    </row>
    <row r="542" spans="1:10" x14ac:dyDescent="0.35">
      <c r="A542" s="23">
        <v>541</v>
      </c>
      <c r="B542" s="24">
        <v>40567</v>
      </c>
      <c r="C542" s="23">
        <v>1</v>
      </c>
      <c r="D542" s="23">
        <v>0</v>
      </c>
      <c r="E542" s="23">
        <v>1</v>
      </c>
      <c r="F542" s="23">
        <v>16</v>
      </c>
      <c r="G542" s="23" t="b">
        <f>FALSE()</f>
        <v>0</v>
      </c>
      <c r="H542" s="23">
        <v>1</v>
      </c>
      <c r="I542" s="23">
        <v>1</v>
      </c>
      <c r="J542" s="23">
        <v>0.16</v>
      </c>
    </row>
    <row r="543" spans="1:10" x14ac:dyDescent="0.35">
      <c r="A543" s="23">
        <v>542</v>
      </c>
      <c r="B543" s="24">
        <v>40567</v>
      </c>
      <c r="C543" s="23">
        <v>1</v>
      </c>
      <c r="D543" s="23">
        <v>0</v>
      </c>
      <c r="E543" s="23">
        <v>1</v>
      </c>
      <c r="F543" s="23">
        <v>17</v>
      </c>
      <c r="G543" s="23" t="b">
        <f>FALSE()</f>
        <v>0</v>
      </c>
      <c r="H543" s="23">
        <v>1</v>
      </c>
      <c r="I543" s="23">
        <v>1</v>
      </c>
      <c r="J543" s="23">
        <v>0.14000000000000001</v>
      </c>
    </row>
    <row r="544" spans="1:10" x14ac:dyDescent="0.35">
      <c r="A544" s="23">
        <v>543</v>
      </c>
      <c r="B544" s="24">
        <v>40567</v>
      </c>
      <c r="C544" s="23">
        <v>1</v>
      </c>
      <c r="D544" s="23">
        <v>0</v>
      </c>
      <c r="E544" s="23">
        <v>1</v>
      </c>
      <c r="F544" s="23">
        <v>18</v>
      </c>
      <c r="G544" s="23" t="b">
        <f>FALSE()</f>
        <v>0</v>
      </c>
      <c r="H544" s="23">
        <v>1</v>
      </c>
      <c r="I544" s="23">
        <v>1</v>
      </c>
      <c r="J544" s="23">
        <v>0.14000000000000001</v>
      </c>
    </row>
    <row r="545" spans="1:10" x14ac:dyDescent="0.35">
      <c r="A545" s="23">
        <v>544</v>
      </c>
      <c r="B545" s="24">
        <v>40567</v>
      </c>
      <c r="C545" s="23">
        <v>1</v>
      </c>
      <c r="D545" s="23">
        <v>0</v>
      </c>
      <c r="E545" s="23">
        <v>1</v>
      </c>
      <c r="F545" s="23">
        <v>19</v>
      </c>
      <c r="G545" s="23" t="b">
        <f>FALSE()</f>
        <v>0</v>
      </c>
      <c r="H545" s="23">
        <v>1</v>
      </c>
      <c r="I545" s="23">
        <v>1</v>
      </c>
      <c r="J545" s="23">
        <v>0.14000000000000001</v>
      </c>
    </row>
    <row r="546" spans="1:10" x14ac:dyDescent="0.35">
      <c r="A546" s="23">
        <v>545</v>
      </c>
      <c r="B546" s="24">
        <v>40567</v>
      </c>
      <c r="C546" s="23">
        <v>1</v>
      </c>
      <c r="D546" s="23">
        <v>0</v>
      </c>
      <c r="E546" s="23">
        <v>1</v>
      </c>
      <c r="F546" s="23">
        <v>20</v>
      </c>
      <c r="G546" s="23" t="b">
        <f>FALSE()</f>
        <v>0</v>
      </c>
      <c r="H546" s="23">
        <v>1</v>
      </c>
      <c r="I546" s="23">
        <v>1</v>
      </c>
      <c r="J546" s="23">
        <v>0.14000000000000001</v>
      </c>
    </row>
    <row r="547" spans="1:10" x14ac:dyDescent="0.35">
      <c r="A547" s="23">
        <v>546</v>
      </c>
      <c r="B547" s="24">
        <v>40567</v>
      </c>
      <c r="C547" s="23">
        <v>1</v>
      </c>
      <c r="D547" s="23">
        <v>0</v>
      </c>
      <c r="E547" s="23">
        <v>1</v>
      </c>
      <c r="F547" s="23">
        <v>21</v>
      </c>
      <c r="G547" s="23" t="b">
        <f>FALSE()</f>
        <v>0</v>
      </c>
      <c r="H547" s="23">
        <v>1</v>
      </c>
      <c r="I547" s="23">
        <v>1</v>
      </c>
      <c r="J547" s="23">
        <v>0.14000000000000001</v>
      </c>
    </row>
    <row r="548" spans="1:10" x14ac:dyDescent="0.35">
      <c r="A548" s="23">
        <v>547</v>
      </c>
      <c r="B548" s="24">
        <v>40567</v>
      </c>
      <c r="C548" s="23">
        <v>1</v>
      </c>
      <c r="D548" s="23">
        <v>0</v>
      </c>
      <c r="E548" s="23">
        <v>1</v>
      </c>
      <c r="F548" s="23">
        <v>22</v>
      </c>
      <c r="G548" s="23" t="b">
        <f>FALSE()</f>
        <v>0</v>
      </c>
      <c r="H548" s="23">
        <v>1</v>
      </c>
      <c r="I548" s="23">
        <v>2</v>
      </c>
      <c r="J548" s="23">
        <v>0.14000000000000001</v>
      </c>
    </row>
    <row r="549" spans="1:10" x14ac:dyDescent="0.35">
      <c r="A549" s="23">
        <v>548</v>
      </c>
      <c r="B549" s="24">
        <v>40567</v>
      </c>
      <c r="C549" s="23">
        <v>1</v>
      </c>
      <c r="D549" s="23">
        <v>0</v>
      </c>
      <c r="E549" s="23">
        <v>1</v>
      </c>
      <c r="F549" s="23">
        <v>23</v>
      </c>
      <c r="G549" s="23" t="b">
        <f>FALSE()</f>
        <v>0</v>
      </c>
      <c r="H549" s="23">
        <v>1</v>
      </c>
      <c r="I549" s="23">
        <v>2</v>
      </c>
      <c r="J549" s="23">
        <v>0.16</v>
      </c>
    </row>
    <row r="550" spans="1:10" x14ac:dyDescent="0.35">
      <c r="A550" s="23">
        <v>549</v>
      </c>
      <c r="B550" s="24">
        <v>40568</v>
      </c>
      <c r="C550" s="23">
        <v>1</v>
      </c>
      <c r="D550" s="23">
        <v>0</v>
      </c>
      <c r="E550" s="23">
        <v>1</v>
      </c>
      <c r="F550" s="23">
        <v>0</v>
      </c>
      <c r="G550" s="23" t="b">
        <f>FALSE()</f>
        <v>0</v>
      </c>
      <c r="H550" s="23">
        <v>2</v>
      </c>
      <c r="I550" s="23">
        <v>2</v>
      </c>
      <c r="J550" s="23">
        <v>0.16</v>
      </c>
    </row>
    <row r="551" spans="1:10" x14ac:dyDescent="0.35">
      <c r="A551" s="23">
        <v>550</v>
      </c>
      <c r="B551" s="24">
        <v>40568</v>
      </c>
      <c r="C551" s="23">
        <v>1</v>
      </c>
      <c r="D551" s="23">
        <v>0</v>
      </c>
      <c r="E551" s="23">
        <v>1</v>
      </c>
      <c r="F551" s="23">
        <v>1</v>
      </c>
      <c r="G551" s="23" t="b">
        <f>FALSE()</f>
        <v>0</v>
      </c>
      <c r="H551" s="23">
        <v>2</v>
      </c>
      <c r="I551" s="23">
        <v>2</v>
      </c>
      <c r="J551" s="23">
        <v>0.16</v>
      </c>
    </row>
    <row r="552" spans="1:10" x14ac:dyDescent="0.35">
      <c r="A552" s="23">
        <v>551</v>
      </c>
      <c r="B552" s="24">
        <v>40568</v>
      </c>
      <c r="C552" s="23">
        <v>1</v>
      </c>
      <c r="D552" s="23">
        <v>0</v>
      </c>
      <c r="E552" s="23">
        <v>1</v>
      </c>
      <c r="F552" s="23">
        <v>2</v>
      </c>
      <c r="G552" s="23" t="b">
        <f>FALSE()</f>
        <v>0</v>
      </c>
      <c r="H552" s="23">
        <v>2</v>
      </c>
      <c r="I552" s="23">
        <v>1</v>
      </c>
      <c r="J552" s="23">
        <v>0.16</v>
      </c>
    </row>
    <row r="553" spans="1:10" x14ac:dyDescent="0.35">
      <c r="A553" s="23">
        <v>552</v>
      </c>
      <c r="B553" s="24">
        <v>40568</v>
      </c>
      <c r="C553" s="23">
        <v>1</v>
      </c>
      <c r="D553" s="23">
        <v>0</v>
      </c>
      <c r="E553" s="23">
        <v>1</v>
      </c>
      <c r="F553" s="23">
        <v>4</v>
      </c>
      <c r="G553" s="23" t="b">
        <f>FALSE()</f>
        <v>0</v>
      </c>
      <c r="H553" s="23">
        <v>2</v>
      </c>
      <c r="I553" s="23">
        <v>1</v>
      </c>
      <c r="J553" s="23">
        <v>0.14000000000000001</v>
      </c>
    </row>
    <row r="554" spans="1:10" x14ac:dyDescent="0.35">
      <c r="A554" s="23">
        <v>553</v>
      </c>
      <c r="B554" s="24">
        <v>40568</v>
      </c>
      <c r="C554" s="23">
        <v>1</v>
      </c>
      <c r="D554" s="23">
        <v>0</v>
      </c>
      <c r="E554" s="23">
        <v>1</v>
      </c>
      <c r="F554" s="23">
        <v>5</v>
      </c>
      <c r="G554" s="23" t="b">
        <f>FALSE()</f>
        <v>0</v>
      </c>
      <c r="H554" s="23">
        <v>2</v>
      </c>
      <c r="I554" s="23">
        <v>1</v>
      </c>
      <c r="J554" s="23">
        <v>0.14000000000000001</v>
      </c>
    </row>
    <row r="555" spans="1:10" x14ac:dyDescent="0.35">
      <c r="A555" s="23">
        <v>554</v>
      </c>
      <c r="B555" s="24">
        <v>40568</v>
      </c>
      <c r="C555" s="23">
        <v>1</v>
      </c>
      <c r="D555" s="23">
        <v>0</v>
      </c>
      <c r="E555" s="23">
        <v>1</v>
      </c>
      <c r="F555" s="23">
        <v>6</v>
      </c>
      <c r="G555" s="23" t="b">
        <f>FALSE()</f>
        <v>0</v>
      </c>
      <c r="H555" s="23">
        <v>2</v>
      </c>
      <c r="I555" s="23">
        <v>1</v>
      </c>
      <c r="J555" s="23">
        <v>0.16</v>
      </c>
    </row>
    <row r="556" spans="1:10" x14ac:dyDescent="0.35">
      <c r="A556" s="23">
        <v>555</v>
      </c>
      <c r="B556" s="24">
        <v>40568</v>
      </c>
      <c r="C556" s="23">
        <v>1</v>
      </c>
      <c r="D556" s="23">
        <v>0</v>
      </c>
      <c r="E556" s="23">
        <v>1</v>
      </c>
      <c r="F556" s="23">
        <v>7</v>
      </c>
      <c r="G556" s="23" t="b">
        <f>FALSE()</f>
        <v>0</v>
      </c>
      <c r="H556" s="23">
        <v>2</v>
      </c>
      <c r="I556" s="23">
        <v>1</v>
      </c>
      <c r="J556" s="23">
        <v>0.16</v>
      </c>
    </row>
    <row r="557" spans="1:10" x14ac:dyDescent="0.35">
      <c r="A557" s="23">
        <v>556</v>
      </c>
      <c r="B557" s="24">
        <v>40568</v>
      </c>
      <c r="C557" s="23">
        <v>1</v>
      </c>
      <c r="D557" s="23">
        <v>0</v>
      </c>
      <c r="E557" s="23">
        <v>1</v>
      </c>
      <c r="F557" s="23">
        <v>8</v>
      </c>
      <c r="G557" s="23" t="b">
        <f>FALSE()</f>
        <v>0</v>
      </c>
      <c r="H557" s="23">
        <v>2</v>
      </c>
      <c r="I557" s="23">
        <v>2</v>
      </c>
      <c r="J557" s="23">
        <v>0.16</v>
      </c>
    </row>
    <row r="558" spans="1:10" x14ac:dyDescent="0.35">
      <c r="A558" s="23">
        <v>557</v>
      </c>
      <c r="B558" s="24">
        <v>40568</v>
      </c>
      <c r="C558" s="23">
        <v>1</v>
      </c>
      <c r="D558" s="23">
        <v>0</v>
      </c>
      <c r="E558" s="23">
        <v>1</v>
      </c>
      <c r="F558" s="23">
        <v>9</v>
      </c>
      <c r="G558" s="23" t="b">
        <f>FALSE()</f>
        <v>0</v>
      </c>
      <c r="H558" s="23">
        <v>2</v>
      </c>
      <c r="I558" s="23">
        <v>2</v>
      </c>
      <c r="J558" s="23">
        <v>0.2</v>
      </c>
    </row>
    <row r="559" spans="1:10" x14ac:dyDescent="0.35">
      <c r="A559" s="23">
        <v>558</v>
      </c>
      <c r="B559" s="24">
        <v>40568</v>
      </c>
      <c r="C559" s="23">
        <v>1</v>
      </c>
      <c r="D559" s="23">
        <v>0</v>
      </c>
      <c r="E559" s="23">
        <v>1</v>
      </c>
      <c r="F559" s="23">
        <v>10</v>
      </c>
      <c r="G559" s="23" t="b">
        <f>FALSE()</f>
        <v>0</v>
      </c>
      <c r="H559" s="23">
        <v>2</v>
      </c>
      <c r="I559" s="23">
        <v>2</v>
      </c>
      <c r="J559" s="23">
        <v>0.22</v>
      </c>
    </row>
    <row r="560" spans="1:10" x14ac:dyDescent="0.35">
      <c r="A560" s="23">
        <v>559</v>
      </c>
      <c r="B560" s="24">
        <v>40568</v>
      </c>
      <c r="C560" s="23">
        <v>1</v>
      </c>
      <c r="D560" s="23">
        <v>0</v>
      </c>
      <c r="E560" s="23">
        <v>1</v>
      </c>
      <c r="F560" s="23">
        <v>11</v>
      </c>
      <c r="G560" s="23" t="b">
        <f>FALSE()</f>
        <v>0</v>
      </c>
      <c r="H560" s="23">
        <v>2</v>
      </c>
      <c r="I560" s="23">
        <v>2</v>
      </c>
      <c r="J560" s="23">
        <v>0.24</v>
      </c>
    </row>
    <row r="561" spans="1:10" x14ac:dyDescent="0.35">
      <c r="A561" s="23">
        <v>560</v>
      </c>
      <c r="B561" s="24">
        <v>40568</v>
      </c>
      <c r="C561" s="23">
        <v>1</v>
      </c>
      <c r="D561" s="23">
        <v>0</v>
      </c>
      <c r="E561" s="23">
        <v>1</v>
      </c>
      <c r="F561" s="23">
        <v>12</v>
      </c>
      <c r="G561" s="23" t="b">
        <f>FALSE()</f>
        <v>0</v>
      </c>
      <c r="H561" s="23">
        <v>2</v>
      </c>
      <c r="I561" s="23">
        <v>2</v>
      </c>
      <c r="J561" s="23">
        <v>0.26</v>
      </c>
    </row>
    <row r="562" spans="1:10" x14ac:dyDescent="0.35">
      <c r="A562" s="23">
        <v>561</v>
      </c>
      <c r="B562" s="24">
        <v>40568</v>
      </c>
      <c r="C562" s="23">
        <v>1</v>
      </c>
      <c r="D562" s="23">
        <v>0</v>
      </c>
      <c r="E562" s="23">
        <v>1</v>
      </c>
      <c r="F562" s="23">
        <v>13</v>
      </c>
      <c r="G562" s="23" t="b">
        <f>FALSE()</f>
        <v>0</v>
      </c>
      <c r="H562" s="23">
        <v>2</v>
      </c>
      <c r="I562" s="23">
        <v>2</v>
      </c>
      <c r="J562" s="23">
        <v>0.26</v>
      </c>
    </row>
    <row r="563" spans="1:10" x14ac:dyDescent="0.35">
      <c r="A563" s="23">
        <v>562</v>
      </c>
      <c r="B563" s="24">
        <v>40568</v>
      </c>
      <c r="C563" s="23">
        <v>1</v>
      </c>
      <c r="D563" s="23">
        <v>0</v>
      </c>
      <c r="E563" s="23">
        <v>1</v>
      </c>
      <c r="F563" s="23">
        <v>14</v>
      </c>
      <c r="G563" s="23" t="b">
        <f>FALSE()</f>
        <v>0</v>
      </c>
      <c r="H563" s="23">
        <v>2</v>
      </c>
      <c r="I563" s="23">
        <v>2</v>
      </c>
      <c r="J563" s="23">
        <v>0.3</v>
      </c>
    </row>
    <row r="564" spans="1:10" x14ac:dyDescent="0.35">
      <c r="A564" s="23">
        <v>563</v>
      </c>
      <c r="B564" s="24">
        <v>40568</v>
      </c>
      <c r="C564" s="23">
        <v>1</v>
      </c>
      <c r="D564" s="23">
        <v>0</v>
      </c>
      <c r="E564" s="23">
        <v>1</v>
      </c>
      <c r="F564" s="23">
        <v>15</v>
      </c>
      <c r="G564" s="23" t="b">
        <f>FALSE()</f>
        <v>0</v>
      </c>
      <c r="H564" s="23">
        <v>2</v>
      </c>
      <c r="I564" s="23">
        <v>2</v>
      </c>
      <c r="J564" s="23">
        <v>0.32</v>
      </c>
    </row>
    <row r="565" spans="1:10" x14ac:dyDescent="0.35">
      <c r="A565" s="23">
        <v>564</v>
      </c>
      <c r="B565" s="24">
        <v>40568</v>
      </c>
      <c r="C565" s="23">
        <v>1</v>
      </c>
      <c r="D565" s="23">
        <v>0</v>
      </c>
      <c r="E565" s="23">
        <v>1</v>
      </c>
      <c r="F565" s="23">
        <v>16</v>
      </c>
      <c r="G565" s="23" t="b">
        <f>FALSE()</f>
        <v>0</v>
      </c>
      <c r="H565" s="23">
        <v>2</v>
      </c>
      <c r="I565" s="23">
        <v>2</v>
      </c>
      <c r="J565" s="23">
        <v>0.32</v>
      </c>
    </row>
    <row r="566" spans="1:10" x14ac:dyDescent="0.35">
      <c r="A566" s="23">
        <v>565</v>
      </c>
      <c r="B566" s="24">
        <v>40568</v>
      </c>
      <c r="C566" s="23">
        <v>1</v>
      </c>
      <c r="D566" s="23">
        <v>0</v>
      </c>
      <c r="E566" s="23">
        <v>1</v>
      </c>
      <c r="F566" s="23">
        <v>17</v>
      </c>
      <c r="G566" s="23" t="b">
        <f>FALSE()</f>
        <v>0</v>
      </c>
      <c r="H566" s="23">
        <v>2</v>
      </c>
      <c r="I566" s="23">
        <v>1</v>
      </c>
      <c r="J566" s="23">
        <v>0.3</v>
      </c>
    </row>
    <row r="567" spans="1:10" x14ac:dyDescent="0.35">
      <c r="A567" s="23">
        <v>566</v>
      </c>
      <c r="B567" s="24">
        <v>40568</v>
      </c>
      <c r="C567" s="23">
        <v>1</v>
      </c>
      <c r="D567" s="23">
        <v>0</v>
      </c>
      <c r="E567" s="23">
        <v>1</v>
      </c>
      <c r="F567" s="23">
        <v>18</v>
      </c>
      <c r="G567" s="23" t="b">
        <f>FALSE()</f>
        <v>0</v>
      </c>
      <c r="H567" s="23">
        <v>2</v>
      </c>
      <c r="I567" s="23">
        <v>2</v>
      </c>
      <c r="J567" s="23">
        <v>0.3</v>
      </c>
    </row>
    <row r="568" spans="1:10" x14ac:dyDescent="0.35">
      <c r="A568" s="23">
        <v>567</v>
      </c>
      <c r="B568" s="24">
        <v>40568</v>
      </c>
      <c r="C568" s="23">
        <v>1</v>
      </c>
      <c r="D568" s="23">
        <v>0</v>
      </c>
      <c r="E568" s="23">
        <v>1</v>
      </c>
      <c r="F568" s="23">
        <v>19</v>
      </c>
      <c r="G568" s="23" t="b">
        <f>FALSE()</f>
        <v>0</v>
      </c>
      <c r="H568" s="23">
        <v>2</v>
      </c>
      <c r="I568" s="23">
        <v>2</v>
      </c>
      <c r="J568" s="23">
        <v>0.26</v>
      </c>
    </row>
    <row r="569" spans="1:10" x14ac:dyDescent="0.35">
      <c r="A569" s="23">
        <v>568</v>
      </c>
      <c r="B569" s="24">
        <v>40568</v>
      </c>
      <c r="C569" s="23">
        <v>1</v>
      </c>
      <c r="D569" s="23">
        <v>0</v>
      </c>
      <c r="E569" s="23">
        <v>1</v>
      </c>
      <c r="F569" s="23">
        <v>20</v>
      </c>
      <c r="G569" s="23" t="b">
        <f>FALSE()</f>
        <v>0</v>
      </c>
      <c r="H569" s="23">
        <v>2</v>
      </c>
      <c r="I569" s="23">
        <v>1</v>
      </c>
      <c r="J569" s="23">
        <v>0.24</v>
      </c>
    </row>
    <row r="570" spans="1:10" x14ac:dyDescent="0.35">
      <c r="A570" s="23">
        <v>569</v>
      </c>
      <c r="B570" s="24">
        <v>40568</v>
      </c>
      <c r="C570" s="23">
        <v>1</v>
      </c>
      <c r="D570" s="23">
        <v>0</v>
      </c>
      <c r="E570" s="23">
        <v>1</v>
      </c>
      <c r="F570" s="23">
        <v>21</v>
      </c>
      <c r="G570" s="23" t="b">
        <f>FALSE()</f>
        <v>0</v>
      </c>
      <c r="H570" s="23">
        <v>2</v>
      </c>
      <c r="I570" s="23">
        <v>1</v>
      </c>
      <c r="J570" s="23">
        <v>0.24</v>
      </c>
    </row>
    <row r="571" spans="1:10" x14ac:dyDescent="0.35">
      <c r="A571" s="23">
        <v>570</v>
      </c>
      <c r="B571" s="24">
        <v>40568</v>
      </c>
      <c r="C571" s="23">
        <v>1</v>
      </c>
      <c r="D571" s="23">
        <v>0</v>
      </c>
      <c r="E571" s="23">
        <v>1</v>
      </c>
      <c r="F571" s="23">
        <v>22</v>
      </c>
      <c r="G571" s="23" t="b">
        <f>FALSE()</f>
        <v>0</v>
      </c>
      <c r="H571" s="23">
        <v>2</v>
      </c>
      <c r="I571" s="23">
        <v>1</v>
      </c>
      <c r="J571" s="23">
        <v>0.22</v>
      </c>
    </row>
    <row r="572" spans="1:10" x14ac:dyDescent="0.35">
      <c r="A572" s="23">
        <v>571</v>
      </c>
      <c r="B572" s="24">
        <v>40568</v>
      </c>
      <c r="C572" s="23">
        <v>1</v>
      </c>
      <c r="D572" s="23">
        <v>0</v>
      </c>
      <c r="E572" s="23">
        <v>1</v>
      </c>
      <c r="F572" s="23">
        <v>23</v>
      </c>
      <c r="G572" s="23" t="b">
        <f>FALSE()</f>
        <v>0</v>
      </c>
      <c r="H572" s="23">
        <v>2</v>
      </c>
      <c r="I572" s="23">
        <v>2</v>
      </c>
      <c r="J572" s="23">
        <v>0.22</v>
      </c>
    </row>
    <row r="573" spans="1:10" x14ac:dyDescent="0.35">
      <c r="A573" s="23">
        <v>572</v>
      </c>
      <c r="B573" s="24">
        <v>40569</v>
      </c>
      <c r="C573" s="23">
        <v>1</v>
      </c>
      <c r="D573" s="23">
        <v>0</v>
      </c>
      <c r="E573" s="23">
        <v>1</v>
      </c>
      <c r="F573" s="23">
        <v>0</v>
      </c>
      <c r="G573" s="23" t="b">
        <f>FALSE()</f>
        <v>0</v>
      </c>
      <c r="H573" s="23">
        <v>3</v>
      </c>
      <c r="I573" s="23">
        <v>2</v>
      </c>
      <c r="J573" s="23">
        <v>0.22</v>
      </c>
    </row>
    <row r="574" spans="1:10" x14ac:dyDescent="0.35">
      <c r="A574" s="23">
        <v>573</v>
      </c>
      <c r="B574" s="24">
        <v>40569</v>
      </c>
      <c r="C574" s="23">
        <v>1</v>
      </c>
      <c r="D574" s="23">
        <v>0</v>
      </c>
      <c r="E574" s="23">
        <v>1</v>
      </c>
      <c r="F574" s="23">
        <v>1</v>
      </c>
      <c r="G574" s="23" t="b">
        <f>FALSE()</f>
        <v>0</v>
      </c>
      <c r="H574" s="23">
        <v>3</v>
      </c>
      <c r="I574" s="23">
        <v>2</v>
      </c>
      <c r="J574" s="23">
        <v>0.24</v>
      </c>
    </row>
    <row r="575" spans="1:10" x14ac:dyDescent="0.35">
      <c r="A575" s="23">
        <v>574</v>
      </c>
      <c r="B575" s="24">
        <v>40569</v>
      </c>
      <c r="C575" s="23">
        <v>1</v>
      </c>
      <c r="D575" s="23">
        <v>0</v>
      </c>
      <c r="E575" s="23">
        <v>1</v>
      </c>
      <c r="F575" s="23">
        <v>2</v>
      </c>
      <c r="G575" s="23" t="b">
        <f>FALSE()</f>
        <v>0</v>
      </c>
      <c r="H575" s="23">
        <v>3</v>
      </c>
      <c r="I575" s="23">
        <v>3</v>
      </c>
      <c r="J575" s="23">
        <v>0.22</v>
      </c>
    </row>
    <row r="576" spans="1:10" x14ac:dyDescent="0.35">
      <c r="A576" s="23">
        <v>575</v>
      </c>
      <c r="B576" s="24">
        <v>40569</v>
      </c>
      <c r="C576" s="23">
        <v>1</v>
      </c>
      <c r="D576" s="23">
        <v>0</v>
      </c>
      <c r="E576" s="23">
        <v>1</v>
      </c>
      <c r="F576" s="23">
        <v>5</v>
      </c>
      <c r="G576" s="23" t="b">
        <f>FALSE()</f>
        <v>0</v>
      </c>
      <c r="H576" s="23">
        <v>3</v>
      </c>
      <c r="I576" s="23">
        <v>3</v>
      </c>
      <c r="J576" s="23">
        <v>0.2</v>
      </c>
    </row>
    <row r="577" spans="1:10" x14ac:dyDescent="0.35">
      <c r="A577" s="23">
        <v>576</v>
      </c>
      <c r="B577" s="24">
        <v>40569</v>
      </c>
      <c r="C577" s="23">
        <v>1</v>
      </c>
      <c r="D577" s="23">
        <v>0</v>
      </c>
      <c r="E577" s="23">
        <v>1</v>
      </c>
      <c r="F577" s="23">
        <v>6</v>
      </c>
      <c r="G577" s="23" t="b">
        <f>FALSE()</f>
        <v>0</v>
      </c>
      <c r="H577" s="23">
        <v>3</v>
      </c>
      <c r="I577" s="23">
        <v>3</v>
      </c>
      <c r="J577" s="23">
        <v>0.2</v>
      </c>
    </row>
    <row r="578" spans="1:10" x14ac:dyDescent="0.35">
      <c r="A578" s="23">
        <v>577</v>
      </c>
      <c r="B578" s="24">
        <v>40569</v>
      </c>
      <c r="C578" s="23">
        <v>1</v>
      </c>
      <c r="D578" s="23">
        <v>0</v>
      </c>
      <c r="E578" s="23">
        <v>1</v>
      </c>
      <c r="F578" s="23">
        <v>7</v>
      </c>
      <c r="G578" s="23" t="b">
        <f>FALSE()</f>
        <v>0</v>
      </c>
      <c r="H578" s="23">
        <v>3</v>
      </c>
      <c r="I578" s="23">
        <v>3</v>
      </c>
      <c r="J578" s="23">
        <v>0.22</v>
      </c>
    </row>
    <row r="579" spans="1:10" x14ac:dyDescent="0.35">
      <c r="A579" s="23">
        <v>578</v>
      </c>
      <c r="B579" s="24">
        <v>40569</v>
      </c>
      <c r="C579" s="23">
        <v>1</v>
      </c>
      <c r="D579" s="23">
        <v>0</v>
      </c>
      <c r="E579" s="23">
        <v>1</v>
      </c>
      <c r="F579" s="23">
        <v>8</v>
      </c>
      <c r="G579" s="23" t="b">
        <f>FALSE()</f>
        <v>0</v>
      </c>
      <c r="H579" s="23">
        <v>3</v>
      </c>
      <c r="I579" s="23">
        <v>3</v>
      </c>
      <c r="J579" s="23">
        <v>0.22</v>
      </c>
    </row>
    <row r="580" spans="1:10" x14ac:dyDescent="0.35">
      <c r="A580" s="23">
        <v>579</v>
      </c>
      <c r="B580" s="24">
        <v>40569</v>
      </c>
      <c r="C580" s="23">
        <v>1</v>
      </c>
      <c r="D580" s="23">
        <v>0</v>
      </c>
      <c r="E580" s="23">
        <v>1</v>
      </c>
      <c r="F580" s="23">
        <v>9</v>
      </c>
      <c r="G580" s="23" t="b">
        <f>FALSE()</f>
        <v>0</v>
      </c>
      <c r="H580" s="23">
        <v>3</v>
      </c>
      <c r="I580" s="23">
        <v>3</v>
      </c>
      <c r="J580" s="23">
        <v>0.22</v>
      </c>
    </row>
    <row r="581" spans="1:10" x14ac:dyDescent="0.35">
      <c r="A581" s="23">
        <v>580</v>
      </c>
      <c r="B581" s="24">
        <v>40569</v>
      </c>
      <c r="C581" s="23">
        <v>1</v>
      </c>
      <c r="D581" s="23">
        <v>0</v>
      </c>
      <c r="E581" s="23">
        <v>1</v>
      </c>
      <c r="F581" s="23">
        <v>10</v>
      </c>
      <c r="G581" s="23" t="b">
        <f>FALSE()</f>
        <v>0</v>
      </c>
      <c r="H581" s="23">
        <v>3</v>
      </c>
      <c r="I581" s="23">
        <v>3</v>
      </c>
      <c r="J581" s="23">
        <v>0.22</v>
      </c>
    </row>
    <row r="582" spans="1:10" x14ac:dyDescent="0.35">
      <c r="A582" s="23">
        <v>581</v>
      </c>
      <c r="B582" s="24">
        <v>40569</v>
      </c>
      <c r="C582" s="23">
        <v>1</v>
      </c>
      <c r="D582" s="23">
        <v>0</v>
      </c>
      <c r="E582" s="23">
        <v>1</v>
      </c>
      <c r="F582" s="23">
        <v>11</v>
      </c>
      <c r="G582" s="23" t="b">
        <f>FALSE()</f>
        <v>0</v>
      </c>
      <c r="H582" s="23">
        <v>3</v>
      </c>
      <c r="I582" s="23">
        <v>3</v>
      </c>
      <c r="J582" s="23">
        <v>0.22</v>
      </c>
    </row>
    <row r="583" spans="1:10" x14ac:dyDescent="0.35">
      <c r="A583" s="23">
        <v>582</v>
      </c>
      <c r="B583" s="24">
        <v>40569</v>
      </c>
      <c r="C583" s="23">
        <v>1</v>
      </c>
      <c r="D583" s="23">
        <v>0</v>
      </c>
      <c r="E583" s="23">
        <v>1</v>
      </c>
      <c r="F583" s="23">
        <v>12</v>
      </c>
      <c r="G583" s="23" t="b">
        <f>FALSE()</f>
        <v>0</v>
      </c>
      <c r="H583" s="23">
        <v>3</v>
      </c>
      <c r="I583" s="23">
        <v>3</v>
      </c>
      <c r="J583" s="23">
        <v>0.22</v>
      </c>
    </row>
    <row r="584" spans="1:10" x14ac:dyDescent="0.35">
      <c r="A584" s="23">
        <v>583</v>
      </c>
      <c r="B584" s="24">
        <v>40569</v>
      </c>
      <c r="C584" s="23">
        <v>1</v>
      </c>
      <c r="D584" s="23">
        <v>0</v>
      </c>
      <c r="E584" s="23">
        <v>1</v>
      </c>
      <c r="F584" s="23">
        <v>13</v>
      </c>
      <c r="G584" s="23" t="b">
        <f>FALSE()</f>
        <v>0</v>
      </c>
      <c r="H584" s="23">
        <v>3</v>
      </c>
      <c r="I584" s="23">
        <v>3</v>
      </c>
      <c r="J584" s="23">
        <v>0.22</v>
      </c>
    </row>
    <row r="585" spans="1:10" x14ac:dyDescent="0.35">
      <c r="A585" s="23">
        <v>584</v>
      </c>
      <c r="B585" s="24">
        <v>40569</v>
      </c>
      <c r="C585" s="23">
        <v>1</v>
      </c>
      <c r="D585" s="23">
        <v>0</v>
      </c>
      <c r="E585" s="23">
        <v>1</v>
      </c>
      <c r="F585" s="23">
        <v>14</v>
      </c>
      <c r="G585" s="23" t="b">
        <f>FALSE()</f>
        <v>0</v>
      </c>
      <c r="H585" s="23">
        <v>3</v>
      </c>
      <c r="I585" s="23">
        <v>3</v>
      </c>
      <c r="J585" s="23">
        <v>0.22</v>
      </c>
    </row>
    <row r="586" spans="1:10" x14ac:dyDescent="0.35">
      <c r="A586" s="23">
        <v>585</v>
      </c>
      <c r="B586" s="24">
        <v>40569</v>
      </c>
      <c r="C586" s="23">
        <v>1</v>
      </c>
      <c r="D586" s="23">
        <v>0</v>
      </c>
      <c r="E586" s="23">
        <v>1</v>
      </c>
      <c r="F586" s="23">
        <v>15</v>
      </c>
      <c r="G586" s="23" t="b">
        <f>FALSE()</f>
        <v>0</v>
      </c>
      <c r="H586" s="23">
        <v>3</v>
      </c>
      <c r="I586" s="23">
        <v>3</v>
      </c>
      <c r="J586" s="23">
        <v>0.22</v>
      </c>
    </row>
    <row r="587" spans="1:10" x14ac:dyDescent="0.35">
      <c r="A587" s="23">
        <v>586</v>
      </c>
      <c r="B587" s="24">
        <v>40569</v>
      </c>
      <c r="C587" s="23">
        <v>1</v>
      </c>
      <c r="D587" s="23">
        <v>0</v>
      </c>
      <c r="E587" s="23">
        <v>1</v>
      </c>
      <c r="F587" s="23">
        <v>16</v>
      </c>
      <c r="G587" s="23" t="b">
        <f>FALSE()</f>
        <v>0</v>
      </c>
      <c r="H587" s="23">
        <v>3</v>
      </c>
      <c r="I587" s="23">
        <v>4</v>
      </c>
      <c r="J587" s="23">
        <v>0.22</v>
      </c>
    </row>
    <row r="588" spans="1:10" x14ac:dyDescent="0.35">
      <c r="A588" s="23">
        <v>587</v>
      </c>
      <c r="B588" s="24">
        <v>40569</v>
      </c>
      <c r="C588" s="23">
        <v>1</v>
      </c>
      <c r="D588" s="23">
        <v>0</v>
      </c>
      <c r="E588" s="23">
        <v>1</v>
      </c>
      <c r="F588" s="23">
        <v>17</v>
      </c>
      <c r="G588" s="23" t="b">
        <f>FALSE()</f>
        <v>0</v>
      </c>
      <c r="H588" s="23">
        <v>3</v>
      </c>
      <c r="I588" s="23">
        <v>3</v>
      </c>
      <c r="J588" s="23">
        <v>0.2</v>
      </c>
    </row>
    <row r="589" spans="1:10" x14ac:dyDescent="0.35">
      <c r="A589" s="23">
        <v>588</v>
      </c>
      <c r="B589" s="24">
        <v>40570</v>
      </c>
      <c r="C589" s="23">
        <v>1</v>
      </c>
      <c r="D589" s="23">
        <v>0</v>
      </c>
      <c r="E589" s="23">
        <v>1</v>
      </c>
      <c r="F589" s="23">
        <v>16</v>
      </c>
      <c r="G589" s="23" t="b">
        <f>FALSE()</f>
        <v>0</v>
      </c>
      <c r="H589" s="23">
        <v>4</v>
      </c>
      <c r="I589" s="23">
        <v>1</v>
      </c>
      <c r="J589" s="23">
        <v>0.22</v>
      </c>
    </row>
    <row r="590" spans="1:10" x14ac:dyDescent="0.35">
      <c r="A590" s="23">
        <v>589</v>
      </c>
      <c r="B590" s="24">
        <v>40570</v>
      </c>
      <c r="C590" s="23">
        <v>1</v>
      </c>
      <c r="D590" s="23">
        <v>0</v>
      </c>
      <c r="E590" s="23">
        <v>1</v>
      </c>
      <c r="F590" s="23">
        <v>17</v>
      </c>
      <c r="G590" s="23" t="b">
        <f>FALSE()</f>
        <v>0</v>
      </c>
      <c r="H590" s="23">
        <v>4</v>
      </c>
      <c r="I590" s="23">
        <v>1</v>
      </c>
      <c r="J590" s="23">
        <v>0.22</v>
      </c>
    </row>
    <row r="591" spans="1:10" x14ac:dyDescent="0.35">
      <c r="A591" s="23">
        <v>590</v>
      </c>
      <c r="B591" s="24">
        <v>40570</v>
      </c>
      <c r="C591" s="23">
        <v>1</v>
      </c>
      <c r="D591" s="23">
        <v>0</v>
      </c>
      <c r="E591" s="23">
        <v>1</v>
      </c>
      <c r="F591" s="23">
        <v>18</v>
      </c>
      <c r="G591" s="23" t="b">
        <f>FALSE()</f>
        <v>0</v>
      </c>
      <c r="H591" s="23">
        <v>4</v>
      </c>
      <c r="I591" s="23">
        <v>1</v>
      </c>
      <c r="J591" s="23">
        <v>0.2</v>
      </c>
    </row>
    <row r="592" spans="1:10" x14ac:dyDescent="0.35">
      <c r="A592" s="23">
        <v>591</v>
      </c>
      <c r="B592" s="24">
        <v>40570</v>
      </c>
      <c r="C592" s="23">
        <v>1</v>
      </c>
      <c r="D592" s="23">
        <v>0</v>
      </c>
      <c r="E592" s="23">
        <v>1</v>
      </c>
      <c r="F592" s="23">
        <v>19</v>
      </c>
      <c r="G592" s="23" t="b">
        <f>FALSE()</f>
        <v>0</v>
      </c>
      <c r="H592" s="23">
        <v>4</v>
      </c>
      <c r="I592" s="23">
        <v>1</v>
      </c>
      <c r="J592" s="23">
        <v>0.2</v>
      </c>
    </row>
    <row r="593" spans="1:10" x14ac:dyDescent="0.35">
      <c r="A593" s="23">
        <v>592</v>
      </c>
      <c r="B593" s="24">
        <v>40570</v>
      </c>
      <c r="C593" s="23">
        <v>1</v>
      </c>
      <c r="D593" s="23">
        <v>0</v>
      </c>
      <c r="E593" s="23">
        <v>1</v>
      </c>
      <c r="F593" s="23">
        <v>20</v>
      </c>
      <c r="G593" s="23" t="b">
        <f>FALSE()</f>
        <v>0</v>
      </c>
      <c r="H593" s="23">
        <v>4</v>
      </c>
      <c r="I593" s="23">
        <v>1</v>
      </c>
      <c r="J593" s="23">
        <v>0.18</v>
      </c>
    </row>
    <row r="594" spans="1:10" x14ac:dyDescent="0.35">
      <c r="A594" s="23">
        <v>593</v>
      </c>
      <c r="B594" s="24">
        <v>40570</v>
      </c>
      <c r="C594" s="23">
        <v>1</v>
      </c>
      <c r="D594" s="23">
        <v>0</v>
      </c>
      <c r="E594" s="23">
        <v>1</v>
      </c>
      <c r="F594" s="23">
        <v>21</v>
      </c>
      <c r="G594" s="23" t="b">
        <f>FALSE()</f>
        <v>0</v>
      </c>
      <c r="H594" s="23">
        <v>4</v>
      </c>
      <c r="I594" s="23">
        <v>1</v>
      </c>
      <c r="J594" s="23">
        <v>0.18</v>
      </c>
    </row>
    <row r="595" spans="1:10" x14ac:dyDescent="0.35">
      <c r="A595" s="23">
        <v>594</v>
      </c>
      <c r="B595" s="24">
        <v>40570</v>
      </c>
      <c r="C595" s="23">
        <v>1</v>
      </c>
      <c r="D595" s="23">
        <v>0</v>
      </c>
      <c r="E595" s="23">
        <v>1</v>
      </c>
      <c r="F595" s="23">
        <v>22</v>
      </c>
      <c r="G595" s="23" t="b">
        <f>FALSE()</f>
        <v>0</v>
      </c>
      <c r="H595" s="23">
        <v>4</v>
      </c>
      <c r="I595" s="23">
        <v>1</v>
      </c>
      <c r="J595" s="23">
        <v>0.18</v>
      </c>
    </row>
    <row r="596" spans="1:10" x14ac:dyDescent="0.35">
      <c r="A596" s="23">
        <v>595</v>
      </c>
      <c r="B596" s="24">
        <v>40570</v>
      </c>
      <c r="C596" s="23">
        <v>1</v>
      </c>
      <c r="D596" s="23">
        <v>0</v>
      </c>
      <c r="E596" s="23">
        <v>1</v>
      </c>
      <c r="F596" s="23">
        <v>23</v>
      </c>
      <c r="G596" s="23" t="b">
        <f>FALSE()</f>
        <v>0</v>
      </c>
      <c r="H596" s="23">
        <v>4</v>
      </c>
      <c r="I596" s="23">
        <v>1</v>
      </c>
      <c r="J596" s="23">
        <v>0.18</v>
      </c>
    </row>
    <row r="597" spans="1:10" x14ac:dyDescent="0.35">
      <c r="A597" s="23">
        <v>596</v>
      </c>
      <c r="B597" s="24">
        <v>40571</v>
      </c>
      <c r="C597" s="23">
        <v>1</v>
      </c>
      <c r="D597" s="23">
        <v>0</v>
      </c>
      <c r="E597" s="23">
        <v>1</v>
      </c>
      <c r="F597" s="23">
        <v>0</v>
      </c>
      <c r="G597" s="23" t="b">
        <f>FALSE()</f>
        <v>0</v>
      </c>
      <c r="H597" s="23">
        <v>5</v>
      </c>
      <c r="I597" s="23">
        <v>2</v>
      </c>
      <c r="J597" s="23">
        <v>0.2</v>
      </c>
    </row>
    <row r="598" spans="1:10" x14ac:dyDescent="0.35">
      <c r="A598" s="23">
        <v>597</v>
      </c>
      <c r="B598" s="24">
        <v>40571</v>
      </c>
      <c r="C598" s="23">
        <v>1</v>
      </c>
      <c r="D598" s="23">
        <v>0</v>
      </c>
      <c r="E598" s="23">
        <v>1</v>
      </c>
      <c r="F598" s="23">
        <v>1</v>
      </c>
      <c r="G598" s="23" t="b">
        <f>FALSE()</f>
        <v>0</v>
      </c>
      <c r="H598" s="23">
        <v>5</v>
      </c>
      <c r="I598" s="23">
        <v>2</v>
      </c>
      <c r="J598" s="23">
        <v>0.2</v>
      </c>
    </row>
    <row r="599" spans="1:10" x14ac:dyDescent="0.35">
      <c r="A599" s="23">
        <v>598</v>
      </c>
      <c r="B599" s="24">
        <v>40571</v>
      </c>
      <c r="C599" s="23">
        <v>1</v>
      </c>
      <c r="D599" s="23">
        <v>0</v>
      </c>
      <c r="E599" s="23">
        <v>1</v>
      </c>
      <c r="F599" s="23">
        <v>2</v>
      </c>
      <c r="G599" s="23" t="b">
        <f>FALSE()</f>
        <v>0</v>
      </c>
      <c r="H599" s="23">
        <v>5</v>
      </c>
      <c r="I599" s="23">
        <v>2</v>
      </c>
      <c r="J599" s="23">
        <v>0.2</v>
      </c>
    </row>
    <row r="600" spans="1:10" x14ac:dyDescent="0.35">
      <c r="A600" s="23">
        <v>599</v>
      </c>
      <c r="B600" s="24">
        <v>40571</v>
      </c>
      <c r="C600" s="23">
        <v>1</v>
      </c>
      <c r="D600" s="23">
        <v>0</v>
      </c>
      <c r="E600" s="23">
        <v>1</v>
      </c>
      <c r="F600" s="23">
        <v>3</v>
      </c>
      <c r="G600" s="23" t="b">
        <f>FALSE()</f>
        <v>0</v>
      </c>
      <c r="H600" s="23">
        <v>5</v>
      </c>
      <c r="I600" s="23">
        <v>2</v>
      </c>
      <c r="J600" s="23">
        <v>0.2</v>
      </c>
    </row>
    <row r="601" spans="1:10" x14ac:dyDescent="0.35">
      <c r="A601" s="23">
        <v>600</v>
      </c>
      <c r="B601" s="24">
        <v>40571</v>
      </c>
      <c r="C601" s="23">
        <v>1</v>
      </c>
      <c r="D601" s="23">
        <v>0</v>
      </c>
      <c r="E601" s="23">
        <v>1</v>
      </c>
      <c r="F601" s="23">
        <v>5</v>
      </c>
      <c r="G601" s="23" t="b">
        <f>FALSE()</f>
        <v>0</v>
      </c>
      <c r="H601" s="23">
        <v>5</v>
      </c>
      <c r="I601" s="23">
        <v>2</v>
      </c>
      <c r="J601" s="23">
        <v>0.18</v>
      </c>
    </row>
    <row r="602" spans="1:10" x14ac:dyDescent="0.35">
      <c r="A602" s="23">
        <v>601</v>
      </c>
      <c r="B602" s="24">
        <v>40571</v>
      </c>
      <c r="C602" s="23">
        <v>1</v>
      </c>
      <c r="D602" s="23">
        <v>0</v>
      </c>
      <c r="E602" s="23">
        <v>1</v>
      </c>
      <c r="F602" s="23">
        <v>6</v>
      </c>
      <c r="G602" s="23" t="b">
        <f>FALSE()</f>
        <v>0</v>
      </c>
      <c r="H602" s="23">
        <v>5</v>
      </c>
      <c r="I602" s="23">
        <v>2</v>
      </c>
      <c r="J602" s="23">
        <v>0.18</v>
      </c>
    </row>
    <row r="603" spans="1:10" x14ac:dyDescent="0.35">
      <c r="A603" s="23">
        <v>602</v>
      </c>
      <c r="B603" s="24">
        <v>40571</v>
      </c>
      <c r="C603" s="23">
        <v>1</v>
      </c>
      <c r="D603" s="23">
        <v>0</v>
      </c>
      <c r="E603" s="23">
        <v>1</v>
      </c>
      <c r="F603" s="23">
        <v>7</v>
      </c>
      <c r="G603" s="23" t="b">
        <f>FALSE()</f>
        <v>0</v>
      </c>
      <c r="H603" s="23">
        <v>5</v>
      </c>
      <c r="I603" s="23">
        <v>2</v>
      </c>
      <c r="J603" s="23">
        <v>0.16</v>
      </c>
    </row>
    <row r="604" spans="1:10" x14ac:dyDescent="0.35">
      <c r="A604" s="23">
        <v>603</v>
      </c>
      <c r="B604" s="24">
        <v>40571</v>
      </c>
      <c r="C604" s="23">
        <v>1</v>
      </c>
      <c r="D604" s="23">
        <v>0</v>
      </c>
      <c r="E604" s="23">
        <v>1</v>
      </c>
      <c r="F604" s="23">
        <v>8</v>
      </c>
      <c r="G604" s="23" t="b">
        <f>FALSE()</f>
        <v>0</v>
      </c>
      <c r="H604" s="23">
        <v>5</v>
      </c>
      <c r="I604" s="23">
        <v>2</v>
      </c>
      <c r="J604" s="23">
        <v>0.16</v>
      </c>
    </row>
    <row r="605" spans="1:10" x14ac:dyDescent="0.35">
      <c r="A605" s="23">
        <v>604</v>
      </c>
      <c r="B605" s="24">
        <v>40571</v>
      </c>
      <c r="C605" s="23">
        <v>1</v>
      </c>
      <c r="D605" s="23">
        <v>0</v>
      </c>
      <c r="E605" s="23">
        <v>1</v>
      </c>
      <c r="F605" s="23">
        <v>9</v>
      </c>
      <c r="G605" s="23" t="b">
        <f>FALSE()</f>
        <v>0</v>
      </c>
      <c r="H605" s="23">
        <v>5</v>
      </c>
      <c r="I605" s="23">
        <v>3</v>
      </c>
      <c r="J605" s="23">
        <v>0.18</v>
      </c>
    </row>
    <row r="606" spans="1:10" x14ac:dyDescent="0.35">
      <c r="A606" s="23">
        <v>605</v>
      </c>
      <c r="B606" s="24">
        <v>40571</v>
      </c>
      <c r="C606" s="23">
        <v>1</v>
      </c>
      <c r="D606" s="23">
        <v>0</v>
      </c>
      <c r="E606" s="23">
        <v>1</v>
      </c>
      <c r="F606" s="23">
        <v>10</v>
      </c>
      <c r="G606" s="23" t="b">
        <f>FALSE()</f>
        <v>0</v>
      </c>
      <c r="H606" s="23">
        <v>5</v>
      </c>
      <c r="I606" s="23">
        <v>3</v>
      </c>
      <c r="J606" s="23">
        <v>0.18</v>
      </c>
    </row>
    <row r="607" spans="1:10" x14ac:dyDescent="0.35">
      <c r="A607" s="23">
        <v>606</v>
      </c>
      <c r="B607" s="24">
        <v>40571</v>
      </c>
      <c r="C607" s="23">
        <v>1</v>
      </c>
      <c r="D607" s="23">
        <v>0</v>
      </c>
      <c r="E607" s="23">
        <v>1</v>
      </c>
      <c r="F607" s="23">
        <v>11</v>
      </c>
      <c r="G607" s="23" t="b">
        <f>FALSE()</f>
        <v>0</v>
      </c>
      <c r="H607" s="23">
        <v>5</v>
      </c>
      <c r="I607" s="23">
        <v>3</v>
      </c>
      <c r="J607" s="23">
        <v>0.18</v>
      </c>
    </row>
    <row r="608" spans="1:10" x14ac:dyDescent="0.35">
      <c r="A608" s="23">
        <v>607</v>
      </c>
      <c r="B608" s="24">
        <v>40571</v>
      </c>
      <c r="C608" s="23">
        <v>1</v>
      </c>
      <c r="D608" s="23">
        <v>0</v>
      </c>
      <c r="E608" s="23">
        <v>1</v>
      </c>
      <c r="F608" s="23">
        <v>12</v>
      </c>
      <c r="G608" s="23" t="b">
        <f>FALSE()</f>
        <v>0</v>
      </c>
      <c r="H608" s="23">
        <v>5</v>
      </c>
      <c r="I608" s="23">
        <v>3</v>
      </c>
      <c r="J608" s="23">
        <v>0.18</v>
      </c>
    </row>
    <row r="609" spans="1:10" x14ac:dyDescent="0.35">
      <c r="A609" s="23">
        <v>608</v>
      </c>
      <c r="B609" s="24">
        <v>40571</v>
      </c>
      <c r="C609" s="23">
        <v>1</v>
      </c>
      <c r="D609" s="23">
        <v>0</v>
      </c>
      <c r="E609" s="23">
        <v>1</v>
      </c>
      <c r="F609" s="23">
        <v>13</v>
      </c>
      <c r="G609" s="23" t="b">
        <f>FALSE()</f>
        <v>0</v>
      </c>
      <c r="H609" s="23">
        <v>5</v>
      </c>
      <c r="I609" s="23">
        <v>3</v>
      </c>
      <c r="J609" s="23">
        <v>0.18</v>
      </c>
    </row>
    <row r="610" spans="1:10" x14ac:dyDescent="0.35">
      <c r="A610" s="23">
        <v>609</v>
      </c>
      <c r="B610" s="24">
        <v>40571</v>
      </c>
      <c r="C610" s="23">
        <v>1</v>
      </c>
      <c r="D610" s="23">
        <v>0</v>
      </c>
      <c r="E610" s="23">
        <v>1</v>
      </c>
      <c r="F610" s="23">
        <v>14</v>
      </c>
      <c r="G610" s="23" t="b">
        <f>FALSE()</f>
        <v>0</v>
      </c>
      <c r="H610" s="23">
        <v>5</v>
      </c>
      <c r="I610" s="23">
        <v>3</v>
      </c>
      <c r="J610" s="23">
        <v>0.22</v>
      </c>
    </row>
    <row r="611" spans="1:10" x14ac:dyDescent="0.35">
      <c r="A611" s="23">
        <v>610</v>
      </c>
      <c r="B611" s="24">
        <v>40571</v>
      </c>
      <c r="C611" s="23">
        <v>1</v>
      </c>
      <c r="D611" s="23">
        <v>0</v>
      </c>
      <c r="E611" s="23">
        <v>1</v>
      </c>
      <c r="F611" s="23">
        <v>15</v>
      </c>
      <c r="G611" s="23" t="b">
        <f>FALSE()</f>
        <v>0</v>
      </c>
      <c r="H611" s="23">
        <v>5</v>
      </c>
      <c r="I611" s="23">
        <v>2</v>
      </c>
      <c r="J611" s="23">
        <v>0.2</v>
      </c>
    </row>
  </sheetData>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611"/>
  <sheetViews>
    <sheetView zoomScaleNormal="100" workbookViewId="0">
      <pane ySplit="1" topLeftCell="A2" activePane="bottomLeft" state="frozen"/>
      <selection pane="bottomLeft"/>
    </sheetView>
  </sheetViews>
  <sheetFormatPr defaultColWidth="8.6328125" defaultRowHeight="14.5" x14ac:dyDescent="0.35"/>
  <cols>
    <col min="1" max="7" width="13" customWidth="1"/>
  </cols>
  <sheetData>
    <row r="1" spans="1:7" x14ac:dyDescent="0.35">
      <c r="A1" s="9" t="s">
        <v>121</v>
      </c>
      <c r="B1" s="9" t="s">
        <v>136</v>
      </c>
      <c r="C1" s="9" t="s">
        <v>137</v>
      </c>
      <c r="D1" s="9" t="s">
        <v>138</v>
      </c>
      <c r="E1" s="9" t="s">
        <v>139</v>
      </c>
      <c r="F1" s="9" t="s">
        <v>140</v>
      </c>
      <c r="G1" s="9" t="s">
        <v>141</v>
      </c>
    </row>
    <row r="2" spans="1:7" x14ac:dyDescent="0.35">
      <c r="A2" s="23">
        <v>1</v>
      </c>
      <c r="B2" s="23">
        <v>0.28789999999999999</v>
      </c>
      <c r="C2" s="23">
        <v>0.81</v>
      </c>
      <c r="D2" s="23">
        <v>0</v>
      </c>
      <c r="E2" s="23">
        <v>3</v>
      </c>
      <c r="F2" s="23">
        <v>13</v>
      </c>
      <c r="G2" s="23">
        <v>16</v>
      </c>
    </row>
    <row r="3" spans="1:7" x14ac:dyDescent="0.35">
      <c r="A3" s="23">
        <v>2</v>
      </c>
      <c r="B3" s="23">
        <v>0.2727</v>
      </c>
      <c r="C3" s="23">
        <v>0.8</v>
      </c>
      <c r="D3" s="23">
        <v>0</v>
      </c>
      <c r="E3" s="23">
        <v>8</v>
      </c>
      <c r="F3" s="23">
        <v>32</v>
      </c>
      <c r="G3" s="23">
        <v>40</v>
      </c>
    </row>
    <row r="4" spans="1:7" x14ac:dyDescent="0.35">
      <c r="A4" s="23">
        <v>3</v>
      </c>
      <c r="B4" s="23">
        <v>0.2727</v>
      </c>
      <c r="C4" s="23">
        <v>0.8</v>
      </c>
      <c r="D4" s="23">
        <v>0</v>
      </c>
      <c r="E4" s="23">
        <v>5</v>
      </c>
      <c r="F4" s="23">
        <v>27</v>
      </c>
      <c r="G4" s="23">
        <v>32</v>
      </c>
    </row>
    <row r="5" spans="1:7" x14ac:dyDescent="0.35">
      <c r="A5" s="23">
        <v>4</v>
      </c>
      <c r="B5" s="23">
        <v>0.28789999999999999</v>
      </c>
      <c r="C5" s="23">
        <v>0.75</v>
      </c>
      <c r="D5" s="23">
        <v>0</v>
      </c>
      <c r="E5" s="23">
        <v>3</v>
      </c>
      <c r="F5" s="23">
        <v>10</v>
      </c>
      <c r="G5" s="23">
        <v>13</v>
      </c>
    </row>
    <row r="6" spans="1:7" x14ac:dyDescent="0.35">
      <c r="A6" s="23">
        <v>5</v>
      </c>
      <c r="B6" s="23">
        <v>0.28789999999999999</v>
      </c>
      <c r="C6" s="23">
        <v>0.75</v>
      </c>
      <c r="D6" s="23">
        <v>0</v>
      </c>
      <c r="E6" s="23">
        <v>0</v>
      </c>
      <c r="F6" s="23">
        <v>1</v>
      </c>
      <c r="G6" s="23">
        <v>1</v>
      </c>
    </row>
    <row r="7" spans="1:7" x14ac:dyDescent="0.35">
      <c r="A7" s="23">
        <v>6</v>
      </c>
      <c r="B7" s="23">
        <v>0.2576</v>
      </c>
      <c r="C7" s="23">
        <v>0.75</v>
      </c>
      <c r="D7" s="23">
        <v>8.9599999999999999E-2</v>
      </c>
      <c r="E7" s="23">
        <v>0</v>
      </c>
      <c r="F7" s="23">
        <v>1</v>
      </c>
      <c r="G7" s="23">
        <v>1</v>
      </c>
    </row>
    <row r="8" spans="1:7" x14ac:dyDescent="0.35">
      <c r="A8" s="23">
        <v>7</v>
      </c>
      <c r="B8" s="23">
        <v>0.2727</v>
      </c>
      <c r="C8" s="23">
        <v>0.8</v>
      </c>
      <c r="D8" s="23">
        <v>0</v>
      </c>
      <c r="E8" s="23">
        <v>2</v>
      </c>
      <c r="F8" s="23">
        <v>0</v>
      </c>
      <c r="G8" s="23">
        <v>2</v>
      </c>
    </row>
    <row r="9" spans="1:7" x14ac:dyDescent="0.35">
      <c r="A9" s="23">
        <v>8</v>
      </c>
      <c r="B9" s="23">
        <v>0.2576</v>
      </c>
      <c r="C9" s="23">
        <v>0.86</v>
      </c>
      <c r="D9" s="23">
        <v>0</v>
      </c>
      <c r="E9" s="23">
        <v>1</v>
      </c>
      <c r="F9" s="23">
        <v>2</v>
      </c>
      <c r="G9" s="23">
        <v>3</v>
      </c>
    </row>
    <row r="10" spans="1:7" x14ac:dyDescent="0.35">
      <c r="A10" s="23">
        <v>9</v>
      </c>
      <c r="B10" s="23"/>
      <c r="C10" s="23">
        <v>0.75</v>
      </c>
      <c r="D10" s="23">
        <v>0</v>
      </c>
      <c r="E10" s="23">
        <v>1</v>
      </c>
      <c r="F10" s="23">
        <v>7</v>
      </c>
      <c r="G10" s="23">
        <v>8</v>
      </c>
    </row>
    <row r="11" spans="1:7" x14ac:dyDescent="0.35">
      <c r="A11" s="23">
        <v>10</v>
      </c>
      <c r="B11" s="23">
        <v>0.34849999999999998</v>
      </c>
      <c r="C11" s="23">
        <v>0.76</v>
      </c>
      <c r="D11" s="23">
        <v>0</v>
      </c>
      <c r="E11" s="23">
        <v>8</v>
      </c>
      <c r="F11" s="23">
        <v>6</v>
      </c>
      <c r="G11" s="23">
        <v>14</v>
      </c>
    </row>
    <row r="12" spans="1:7" x14ac:dyDescent="0.35">
      <c r="A12" s="23">
        <v>11</v>
      </c>
      <c r="B12" s="23">
        <v>0.39389999999999997</v>
      </c>
      <c r="C12" s="23">
        <v>0.76</v>
      </c>
      <c r="D12" s="23">
        <v>0.25369999999999998</v>
      </c>
      <c r="E12" s="23">
        <v>12</v>
      </c>
      <c r="F12" s="23">
        <v>24</v>
      </c>
      <c r="G12" s="23">
        <v>36</v>
      </c>
    </row>
    <row r="13" spans="1:7" x14ac:dyDescent="0.35">
      <c r="A13" s="23">
        <v>12</v>
      </c>
      <c r="B13" s="23">
        <v>0.33329999999999999</v>
      </c>
      <c r="C13" s="23">
        <v>0.81</v>
      </c>
      <c r="D13" s="23">
        <v>0.28360000000000002</v>
      </c>
      <c r="E13" s="23">
        <v>26</v>
      </c>
      <c r="F13" s="23">
        <v>30</v>
      </c>
      <c r="G13" s="23">
        <v>56</v>
      </c>
    </row>
    <row r="14" spans="1:7" x14ac:dyDescent="0.35">
      <c r="A14" s="23">
        <v>13</v>
      </c>
      <c r="B14" s="23">
        <v>0.42420000000000002</v>
      </c>
      <c r="C14" s="23">
        <v>0.77</v>
      </c>
      <c r="D14" s="23">
        <v>0.28360000000000002</v>
      </c>
      <c r="E14" s="23">
        <v>29</v>
      </c>
      <c r="F14" s="23">
        <v>55</v>
      </c>
      <c r="G14" s="23">
        <v>84</v>
      </c>
    </row>
    <row r="15" spans="1:7" x14ac:dyDescent="0.35">
      <c r="A15" s="23">
        <v>14</v>
      </c>
      <c r="B15" s="23">
        <v>0.45450000000000002</v>
      </c>
      <c r="C15" s="23">
        <v>0.72</v>
      </c>
      <c r="D15" s="23">
        <v>0.29849999999999999</v>
      </c>
      <c r="E15" s="23">
        <v>47</v>
      </c>
      <c r="F15" s="23">
        <v>47</v>
      </c>
      <c r="G15" s="23">
        <v>94</v>
      </c>
    </row>
    <row r="16" spans="1:7" x14ac:dyDescent="0.35">
      <c r="A16" s="23">
        <v>15</v>
      </c>
      <c r="B16" s="23">
        <v>0.45450000000000002</v>
      </c>
      <c r="C16" s="23">
        <v>0.72</v>
      </c>
      <c r="D16" s="23">
        <v>0.28360000000000002</v>
      </c>
      <c r="E16" s="23">
        <v>35</v>
      </c>
      <c r="F16" s="23">
        <v>71</v>
      </c>
      <c r="G16" s="23">
        <v>106</v>
      </c>
    </row>
    <row r="17" spans="1:7" x14ac:dyDescent="0.35">
      <c r="A17" s="23">
        <v>16</v>
      </c>
      <c r="B17" s="23">
        <v>0.43940000000000001</v>
      </c>
      <c r="C17" s="23">
        <v>0.77</v>
      </c>
      <c r="D17" s="23">
        <v>0.29849999999999999</v>
      </c>
      <c r="E17" s="23">
        <v>40</v>
      </c>
      <c r="F17" s="23">
        <v>70</v>
      </c>
      <c r="G17" s="23">
        <v>110</v>
      </c>
    </row>
    <row r="18" spans="1:7" x14ac:dyDescent="0.35">
      <c r="A18" s="23">
        <v>17</v>
      </c>
      <c r="B18" s="23">
        <v>0.42420000000000002</v>
      </c>
      <c r="C18" s="23">
        <v>0.82</v>
      </c>
      <c r="D18" s="23">
        <v>0.29849999999999999</v>
      </c>
      <c r="E18" s="23">
        <v>41</v>
      </c>
      <c r="F18" s="23">
        <v>52</v>
      </c>
      <c r="G18" s="23">
        <v>93</v>
      </c>
    </row>
    <row r="19" spans="1:7" x14ac:dyDescent="0.35">
      <c r="A19" s="23">
        <v>18</v>
      </c>
      <c r="B19" s="23"/>
      <c r="C19" s="23">
        <v>0.82</v>
      </c>
      <c r="D19" s="23">
        <v>0.28360000000000002</v>
      </c>
      <c r="E19" s="23">
        <v>15</v>
      </c>
      <c r="F19" s="23">
        <v>52</v>
      </c>
      <c r="G19" s="23">
        <v>67</v>
      </c>
    </row>
    <row r="20" spans="1:7" x14ac:dyDescent="0.35">
      <c r="A20" s="23">
        <v>19</v>
      </c>
      <c r="B20" s="23">
        <v>0.42420000000000002</v>
      </c>
      <c r="C20" s="23">
        <v>0.88</v>
      </c>
      <c r="D20" s="23">
        <v>0.25369999999999998</v>
      </c>
      <c r="E20" s="23">
        <v>9</v>
      </c>
      <c r="F20" s="23">
        <v>26</v>
      </c>
      <c r="G20" s="23">
        <v>35</v>
      </c>
    </row>
    <row r="21" spans="1:7" x14ac:dyDescent="0.35">
      <c r="A21" s="23">
        <v>20</v>
      </c>
      <c r="B21" s="23">
        <v>0.42420000000000002</v>
      </c>
      <c r="C21" s="23">
        <v>0.88</v>
      </c>
      <c r="D21" s="23">
        <v>0.25369999999999998</v>
      </c>
      <c r="E21" s="23">
        <v>6</v>
      </c>
      <c r="F21" s="23">
        <v>31</v>
      </c>
      <c r="G21" s="23">
        <v>37</v>
      </c>
    </row>
    <row r="22" spans="1:7" x14ac:dyDescent="0.35">
      <c r="A22" s="23">
        <v>21</v>
      </c>
      <c r="B22" s="23">
        <v>0.40910000000000002</v>
      </c>
      <c r="C22" s="23">
        <v>0.87</v>
      </c>
      <c r="D22" s="23">
        <v>0.25369999999999998</v>
      </c>
      <c r="E22" s="23">
        <v>11</v>
      </c>
      <c r="F22" s="23">
        <v>25</v>
      </c>
      <c r="G22" s="23">
        <v>36</v>
      </c>
    </row>
    <row r="23" spans="1:7" x14ac:dyDescent="0.35">
      <c r="A23" s="23">
        <v>22</v>
      </c>
      <c r="B23" s="23">
        <v>0.40910000000000002</v>
      </c>
      <c r="C23" s="23">
        <v>0.87</v>
      </c>
      <c r="D23" s="23">
        <v>0.19400000000000001</v>
      </c>
      <c r="E23" s="23">
        <v>3</v>
      </c>
      <c r="F23" s="23">
        <v>31</v>
      </c>
      <c r="G23" s="23">
        <v>34</v>
      </c>
    </row>
    <row r="24" spans="1:7" x14ac:dyDescent="0.35">
      <c r="A24" s="23">
        <v>23</v>
      </c>
      <c r="B24" s="23">
        <v>0.40910000000000002</v>
      </c>
      <c r="C24" s="23">
        <v>0.94</v>
      </c>
      <c r="D24" s="23">
        <v>0.22389999999999999</v>
      </c>
      <c r="E24" s="23">
        <v>11</v>
      </c>
      <c r="F24" s="23">
        <v>17</v>
      </c>
      <c r="G24" s="23">
        <v>28</v>
      </c>
    </row>
    <row r="25" spans="1:7" x14ac:dyDescent="0.35">
      <c r="A25" s="23">
        <v>24</v>
      </c>
      <c r="B25" s="23"/>
      <c r="C25" s="23">
        <v>0.88</v>
      </c>
      <c r="D25" s="23">
        <v>0.29849999999999999</v>
      </c>
      <c r="E25" s="23">
        <v>15</v>
      </c>
      <c r="F25" s="23">
        <v>24</v>
      </c>
      <c r="G25" s="23">
        <v>39</v>
      </c>
    </row>
    <row r="26" spans="1:7" x14ac:dyDescent="0.35">
      <c r="A26" s="23">
        <v>25</v>
      </c>
      <c r="B26" s="23">
        <v>0.45450000000000002</v>
      </c>
      <c r="C26" s="23">
        <v>0.88</v>
      </c>
      <c r="D26" s="23">
        <v>0.29849999999999999</v>
      </c>
      <c r="E26" s="23">
        <v>4</v>
      </c>
      <c r="F26" s="23">
        <v>13</v>
      </c>
      <c r="G26" s="23">
        <v>17</v>
      </c>
    </row>
    <row r="27" spans="1:7" x14ac:dyDescent="0.35">
      <c r="A27" s="23">
        <v>26</v>
      </c>
      <c r="B27" s="23">
        <v>0.43940000000000001</v>
      </c>
      <c r="C27" s="23">
        <v>0.94</v>
      </c>
      <c r="D27" s="23">
        <v>0.25369999999999998</v>
      </c>
      <c r="E27" s="23">
        <v>1</v>
      </c>
      <c r="F27" s="23">
        <v>16</v>
      </c>
      <c r="G27" s="23">
        <v>17</v>
      </c>
    </row>
    <row r="28" spans="1:7" x14ac:dyDescent="0.35">
      <c r="A28" s="23">
        <v>27</v>
      </c>
      <c r="B28" s="23">
        <v>0.42420000000000002</v>
      </c>
      <c r="C28" s="23">
        <v>1</v>
      </c>
      <c r="D28" s="23">
        <v>0.28360000000000002</v>
      </c>
      <c r="E28" s="23">
        <v>1</v>
      </c>
      <c r="F28" s="23">
        <v>8</v>
      </c>
      <c r="G28" s="23">
        <v>9</v>
      </c>
    </row>
    <row r="29" spans="1:7" x14ac:dyDescent="0.35">
      <c r="A29" s="23">
        <v>28</v>
      </c>
      <c r="B29" s="23">
        <v>0.45450000000000002</v>
      </c>
      <c r="C29" s="23">
        <v>0.94</v>
      </c>
      <c r="D29" s="23">
        <v>0.19400000000000001</v>
      </c>
      <c r="E29" s="23">
        <v>2</v>
      </c>
      <c r="F29" s="23">
        <v>4</v>
      </c>
      <c r="G29" s="23">
        <v>6</v>
      </c>
    </row>
    <row r="30" spans="1:7" x14ac:dyDescent="0.35">
      <c r="A30" s="23">
        <v>29</v>
      </c>
      <c r="B30" s="23"/>
      <c r="C30" s="23">
        <v>0.94</v>
      </c>
      <c r="D30" s="23">
        <v>0.19400000000000001</v>
      </c>
      <c r="E30" s="23">
        <v>2</v>
      </c>
      <c r="F30" s="23">
        <v>1</v>
      </c>
      <c r="G30" s="23">
        <v>3</v>
      </c>
    </row>
    <row r="31" spans="1:7" x14ac:dyDescent="0.35">
      <c r="A31" s="23">
        <v>30</v>
      </c>
      <c r="B31" s="23">
        <v>0.42420000000000002</v>
      </c>
      <c r="C31" s="23">
        <v>0.77</v>
      </c>
      <c r="D31" s="23">
        <v>0.29849999999999999</v>
      </c>
      <c r="E31" s="23">
        <v>0</v>
      </c>
      <c r="F31" s="23">
        <v>2</v>
      </c>
      <c r="G31" s="23">
        <v>2</v>
      </c>
    </row>
    <row r="32" spans="1:7" x14ac:dyDescent="0.35">
      <c r="A32" s="23">
        <v>31</v>
      </c>
      <c r="B32" s="23">
        <v>0.40910000000000002</v>
      </c>
      <c r="C32" s="23">
        <v>0.76</v>
      </c>
      <c r="D32" s="23">
        <v>0.19400000000000001</v>
      </c>
      <c r="E32" s="23">
        <v>0</v>
      </c>
      <c r="F32" s="23">
        <v>1</v>
      </c>
      <c r="G32" s="23">
        <v>1</v>
      </c>
    </row>
    <row r="33" spans="1:7" x14ac:dyDescent="0.35">
      <c r="A33" s="23">
        <v>32</v>
      </c>
      <c r="B33" s="23">
        <v>0.40910000000000002</v>
      </c>
      <c r="C33" s="23">
        <v>0.71</v>
      </c>
      <c r="D33" s="23">
        <v>0.22389999999999999</v>
      </c>
      <c r="E33" s="23">
        <v>0</v>
      </c>
      <c r="F33" s="23">
        <v>8</v>
      </c>
      <c r="G33" s="23">
        <v>8</v>
      </c>
    </row>
    <row r="34" spans="1:7" x14ac:dyDescent="0.35">
      <c r="A34" s="23">
        <v>33</v>
      </c>
      <c r="B34" s="23"/>
      <c r="C34" s="23">
        <v>0.76</v>
      </c>
      <c r="D34" s="23">
        <v>0.22389999999999999</v>
      </c>
      <c r="E34" s="23">
        <v>1</v>
      </c>
      <c r="F34" s="23">
        <v>19</v>
      </c>
      <c r="G34" s="23">
        <v>20</v>
      </c>
    </row>
    <row r="35" spans="1:7" x14ac:dyDescent="0.35">
      <c r="A35" s="23">
        <v>34</v>
      </c>
      <c r="B35" s="23">
        <v>0.34849999999999998</v>
      </c>
      <c r="C35" s="23">
        <v>0.81</v>
      </c>
      <c r="D35" s="23">
        <v>0.22389999999999999</v>
      </c>
      <c r="E35" s="23">
        <v>7</v>
      </c>
      <c r="F35" s="23">
        <v>46</v>
      </c>
      <c r="G35" s="23">
        <v>53</v>
      </c>
    </row>
    <row r="36" spans="1:7" x14ac:dyDescent="0.35">
      <c r="A36" s="23">
        <v>35</v>
      </c>
      <c r="B36" s="23">
        <v>0.33329999999999999</v>
      </c>
      <c r="C36" s="23">
        <v>0.71</v>
      </c>
      <c r="D36" s="23">
        <v>0.25369999999999998</v>
      </c>
      <c r="E36" s="23">
        <v>16</v>
      </c>
      <c r="F36" s="23">
        <v>54</v>
      </c>
      <c r="G36" s="23">
        <v>70</v>
      </c>
    </row>
    <row r="37" spans="1:7" x14ac:dyDescent="0.35">
      <c r="A37" s="23">
        <v>36</v>
      </c>
      <c r="B37" s="23">
        <v>0.33329999999999999</v>
      </c>
      <c r="C37" s="23">
        <v>0.66</v>
      </c>
      <c r="D37" s="23">
        <v>0.29849999999999999</v>
      </c>
      <c r="E37" s="23">
        <v>20</v>
      </c>
      <c r="F37" s="23">
        <v>73</v>
      </c>
      <c r="G37" s="23">
        <v>93</v>
      </c>
    </row>
    <row r="38" spans="1:7" x14ac:dyDescent="0.35">
      <c r="A38" s="23">
        <v>37</v>
      </c>
      <c r="B38" s="23">
        <v>0.34849999999999998</v>
      </c>
      <c r="C38" s="23">
        <v>0.66</v>
      </c>
      <c r="D38" s="23">
        <v>0.1343</v>
      </c>
      <c r="E38" s="23">
        <v>11</v>
      </c>
      <c r="F38" s="23">
        <v>64</v>
      </c>
      <c r="G38" s="23">
        <v>75</v>
      </c>
    </row>
    <row r="39" spans="1:7" x14ac:dyDescent="0.35">
      <c r="A39" s="23">
        <v>38</v>
      </c>
      <c r="B39" s="23"/>
      <c r="C39" s="23">
        <v>0.76</v>
      </c>
      <c r="D39" s="23">
        <v>0.19400000000000001</v>
      </c>
      <c r="E39" s="23">
        <v>4</v>
      </c>
      <c r="F39" s="23">
        <v>55</v>
      </c>
      <c r="G39" s="23">
        <v>59</v>
      </c>
    </row>
    <row r="40" spans="1:7" x14ac:dyDescent="0.35">
      <c r="A40" s="23">
        <v>39</v>
      </c>
      <c r="B40" s="23">
        <v>0.33329999999999999</v>
      </c>
      <c r="C40" s="23">
        <v>0.81</v>
      </c>
      <c r="D40" s="23">
        <v>0.16420000000000001</v>
      </c>
      <c r="E40" s="23">
        <v>19</v>
      </c>
      <c r="F40" s="23">
        <v>55</v>
      </c>
      <c r="G40" s="23">
        <v>74</v>
      </c>
    </row>
    <row r="41" spans="1:7" x14ac:dyDescent="0.35">
      <c r="A41" s="23">
        <v>40</v>
      </c>
      <c r="B41" s="23">
        <v>0.33329999999999999</v>
      </c>
      <c r="C41" s="23">
        <v>0.71</v>
      </c>
      <c r="D41" s="23">
        <v>0.16420000000000001</v>
      </c>
      <c r="E41" s="23">
        <v>9</v>
      </c>
      <c r="F41" s="23">
        <v>67</v>
      </c>
      <c r="G41" s="23">
        <v>76</v>
      </c>
    </row>
    <row r="42" spans="1:7" x14ac:dyDescent="0.35">
      <c r="A42" s="23">
        <v>41</v>
      </c>
      <c r="B42" s="23">
        <v>0.33329999999999999</v>
      </c>
      <c r="C42" s="23">
        <v>0.56999999999999995</v>
      </c>
      <c r="D42" s="23">
        <v>0.19400000000000001</v>
      </c>
      <c r="E42" s="23">
        <v>7</v>
      </c>
      <c r="F42" s="23">
        <v>58</v>
      </c>
      <c r="G42" s="23">
        <v>65</v>
      </c>
    </row>
    <row r="43" spans="1:7" x14ac:dyDescent="0.35">
      <c r="A43" s="23">
        <v>42</v>
      </c>
      <c r="B43" s="23">
        <v>0.33329999999999999</v>
      </c>
      <c r="C43" s="23">
        <v>0.46</v>
      </c>
      <c r="D43" s="23">
        <v>0.32840000000000003</v>
      </c>
      <c r="E43" s="23">
        <v>10</v>
      </c>
      <c r="F43" s="23">
        <v>43</v>
      </c>
      <c r="G43" s="23">
        <v>53</v>
      </c>
    </row>
    <row r="44" spans="1:7" x14ac:dyDescent="0.35">
      <c r="A44" s="23">
        <v>43</v>
      </c>
      <c r="B44" s="23">
        <v>0.28789999999999999</v>
      </c>
      <c r="C44" s="23">
        <v>0.42</v>
      </c>
      <c r="D44" s="23">
        <v>0.44779999999999998</v>
      </c>
      <c r="E44" s="23">
        <v>1</v>
      </c>
      <c r="F44" s="23">
        <v>29</v>
      </c>
      <c r="G44" s="23">
        <v>30</v>
      </c>
    </row>
    <row r="45" spans="1:7" x14ac:dyDescent="0.35">
      <c r="A45" s="23">
        <v>44</v>
      </c>
      <c r="B45" s="23"/>
      <c r="C45" s="23">
        <v>0.39</v>
      </c>
      <c r="D45" s="23">
        <v>0.35820000000000002</v>
      </c>
      <c r="E45" s="23">
        <v>5</v>
      </c>
      <c r="F45" s="23">
        <v>17</v>
      </c>
      <c r="G45" s="23">
        <v>22</v>
      </c>
    </row>
    <row r="46" spans="1:7" x14ac:dyDescent="0.35">
      <c r="A46" s="23">
        <v>45</v>
      </c>
      <c r="B46" s="23">
        <v>0.2273</v>
      </c>
      <c r="C46" s="23">
        <v>0.44</v>
      </c>
      <c r="D46" s="23">
        <v>0.32840000000000003</v>
      </c>
      <c r="E46" s="23">
        <v>11</v>
      </c>
      <c r="F46" s="23">
        <v>20</v>
      </c>
      <c r="G46" s="23">
        <v>31</v>
      </c>
    </row>
    <row r="47" spans="1:7" x14ac:dyDescent="0.35">
      <c r="A47" s="23">
        <v>46</v>
      </c>
      <c r="B47" s="23">
        <v>0.21210000000000001</v>
      </c>
      <c r="C47" s="23">
        <v>0.44</v>
      </c>
      <c r="D47" s="23">
        <v>0.29849999999999999</v>
      </c>
      <c r="E47" s="23">
        <v>0</v>
      </c>
      <c r="F47" s="23">
        <v>9</v>
      </c>
      <c r="G47" s="23">
        <v>9</v>
      </c>
    </row>
    <row r="48" spans="1:7" x14ac:dyDescent="0.35">
      <c r="A48" s="23">
        <v>47</v>
      </c>
      <c r="B48" s="23">
        <v>0.2273</v>
      </c>
      <c r="C48" s="23">
        <v>0.47</v>
      </c>
      <c r="D48" s="23">
        <v>0.16420000000000001</v>
      </c>
      <c r="E48" s="23">
        <v>0</v>
      </c>
      <c r="F48" s="23">
        <v>8</v>
      </c>
      <c r="G48" s="23">
        <v>8</v>
      </c>
    </row>
    <row r="49" spans="1:7" x14ac:dyDescent="0.35">
      <c r="A49" s="23">
        <v>48</v>
      </c>
      <c r="B49" s="23">
        <v>0.19700000000000001</v>
      </c>
      <c r="C49" s="23">
        <v>0.44</v>
      </c>
      <c r="D49" s="23">
        <v>0.35820000000000002</v>
      </c>
      <c r="E49" s="23">
        <v>0</v>
      </c>
      <c r="F49" s="23">
        <v>5</v>
      </c>
      <c r="G49" s="23">
        <v>5</v>
      </c>
    </row>
    <row r="50" spans="1:7" x14ac:dyDescent="0.35">
      <c r="A50" s="23">
        <v>49</v>
      </c>
      <c r="B50" s="23"/>
      <c r="C50" s="23">
        <v>0.44</v>
      </c>
      <c r="D50" s="23">
        <v>0.41789999999999999</v>
      </c>
      <c r="E50" s="23">
        <v>0</v>
      </c>
      <c r="F50" s="23">
        <v>2</v>
      </c>
      <c r="G50" s="23">
        <v>2</v>
      </c>
    </row>
    <row r="51" spans="1:7" x14ac:dyDescent="0.35">
      <c r="A51" s="23">
        <v>50</v>
      </c>
      <c r="B51" s="23">
        <v>0.13639999999999999</v>
      </c>
      <c r="C51" s="23">
        <v>0.47</v>
      </c>
      <c r="D51" s="23">
        <v>0.3881</v>
      </c>
      <c r="E51" s="23">
        <v>0</v>
      </c>
      <c r="F51" s="23">
        <v>1</v>
      </c>
      <c r="G51" s="23">
        <v>1</v>
      </c>
    </row>
    <row r="52" spans="1:7" x14ac:dyDescent="0.35">
      <c r="A52" s="23">
        <v>51</v>
      </c>
      <c r="B52" s="23">
        <v>0.13639999999999999</v>
      </c>
      <c r="C52" s="23">
        <v>0.47</v>
      </c>
      <c r="D52" s="23">
        <v>0.28360000000000002</v>
      </c>
      <c r="E52" s="23">
        <v>0</v>
      </c>
      <c r="F52" s="23">
        <v>3</v>
      </c>
      <c r="G52" s="23">
        <v>3</v>
      </c>
    </row>
    <row r="53" spans="1:7" x14ac:dyDescent="0.35">
      <c r="A53" s="23">
        <v>52</v>
      </c>
      <c r="B53" s="23">
        <v>0.1061</v>
      </c>
      <c r="C53" s="23">
        <v>0.5</v>
      </c>
      <c r="D53" s="23">
        <v>0.3881</v>
      </c>
      <c r="E53" s="23">
        <v>0</v>
      </c>
      <c r="F53" s="23">
        <v>30</v>
      </c>
      <c r="G53" s="23">
        <v>30</v>
      </c>
    </row>
    <row r="54" spans="1:7" x14ac:dyDescent="0.35">
      <c r="A54" s="23">
        <v>53</v>
      </c>
      <c r="B54" s="23">
        <v>0.13639999999999999</v>
      </c>
      <c r="C54" s="23">
        <v>0.5</v>
      </c>
      <c r="D54" s="23">
        <v>0.19400000000000001</v>
      </c>
      <c r="E54" s="23">
        <v>1</v>
      </c>
      <c r="F54" s="23">
        <v>63</v>
      </c>
      <c r="G54" s="23">
        <v>64</v>
      </c>
    </row>
    <row r="55" spans="1:7" x14ac:dyDescent="0.35">
      <c r="A55" s="23">
        <v>54</v>
      </c>
      <c r="B55" s="23">
        <v>0.1212</v>
      </c>
      <c r="C55" s="23">
        <v>0.5</v>
      </c>
      <c r="D55" s="23">
        <v>0.28360000000000002</v>
      </c>
      <c r="E55" s="23">
        <v>1</v>
      </c>
      <c r="F55" s="23">
        <v>153</v>
      </c>
      <c r="G55" s="23">
        <v>154</v>
      </c>
    </row>
    <row r="56" spans="1:7" x14ac:dyDescent="0.35">
      <c r="A56" s="23">
        <v>55</v>
      </c>
      <c r="B56" s="23">
        <v>0.13639999999999999</v>
      </c>
      <c r="C56" s="23">
        <v>0.43</v>
      </c>
      <c r="D56" s="23">
        <v>0.3881</v>
      </c>
      <c r="E56" s="23">
        <v>7</v>
      </c>
      <c r="F56" s="23">
        <v>81</v>
      </c>
      <c r="G56" s="23">
        <v>88</v>
      </c>
    </row>
    <row r="57" spans="1:7" x14ac:dyDescent="0.35">
      <c r="A57" s="23">
        <v>56</v>
      </c>
      <c r="B57" s="23">
        <v>0.16669999999999999</v>
      </c>
      <c r="C57" s="23">
        <v>0.43</v>
      </c>
      <c r="D57" s="23">
        <v>0.25369999999999998</v>
      </c>
      <c r="E57" s="23">
        <v>11</v>
      </c>
      <c r="F57" s="23">
        <v>33</v>
      </c>
      <c r="G57" s="23">
        <v>44</v>
      </c>
    </row>
    <row r="58" spans="1:7" x14ac:dyDescent="0.35">
      <c r="A58" s="23">
        <v>57</v>
      </c>
      <c r="B58" s="23">
        <v>0.18179999999999999</v>
      </c>
      <c r="C58" s="23">
        <v>0.4</v>
      </c>
      <c r="D58" s="23">
        <v>0.32840000000000003</v>
      </c>
      <c r="E58" s="23">
        <v>10</v>
      </c>
      <c r="F58" s="23">
        <v>41</v>
      </c>
      <c r="G58" s="23">
        <v>51</v>
      </c>
    </row>
    <row r="59" spans="1:7" x14ac:dyDescent="0.35">
      <c r="A59" s="23">
        <v>58</v>
      </c>
      <c r="B59" s="23">
        <v>0.21210000000000001</v>
      </c>
      <c r="C59" s="23">
        <v>0.35</v>
      </c>
      <c r="D59" s="23">
        <v>0.29849999999999999</v>
      </c>
      <c r="E59" s="23">
        <v>13</v>
      </c>
      <c r="F59" s="23">
        <v>48</v>
      </c>
      <c r="G59" s="23">
        <v>61</v>
      </c>
    </row>
    <row r="60" spans="1:7" x14ac:dyDescent="0.35">
      <c r="A60" s="23">
        <v>59</v>
      </c>
      <c r="B60" s="23"/>
      <c r="C60" s="23">
        <v>0.35</v>
      </c>
      <c r="D60" s="23">
        <v>0.28360000000000002</v>
      </c>
      <c r="E60" s="23">
        <v>8</v>
      </c>
      <c r="F60" s="23">
        <v>53</v>
      </c>
      <c r="G60" s="23">
        <v>61</v>
      </c>
    </row>
    <row r="61" spans="1:7" x14ac:dyDescent="0.35">
      <c r="A61" s="23">
        <v>60</v>
      </c>
      <c r="B61" s="23">
        <v>0.2424</v>
      </c>
      <c r="C61" s="23">
        <v>0.3</v>
      </c>
      <c r="D61" s="23">
        <v>0.28360000000000002</v>
      </c>
      <c r="E61" s="23">
        <v>11</v>
      </c>
      <c r="F61" s="23">
        <v>66</v>
      </c>
      <c r="G61" s="23">
        <v>77</v>
      </c>
    </row>
    <row r="62" spans="1:7" x14ac:dyDescent="0.35">
      <c r="A62" s="23">
        <v>61</v>
      </c>
      <c r="B62" s="23">
        <v>0.2424</v>
      </c>
      <c r="C62" s="23">
        <v>0.3</v>
      </c>
      <c r="D62" s="23">
        <v>0.25369999999999998</v>
      </c>
      <c r="E62" s="23">
        <v>14</v>
      </c>
      <c r="F62" s="23">
        <v>58</v>
      </c>
      <c r="G62" s="23">
        <v>72</v>
      </c>
    </row>
    <row r="63" spans="1:7" x14ac:dyDescent="0.35">
      <c r="A63" s="23">
        <v>62</v>
      </c>
      <c r="B63" s="23">
        <v>0.2424</v>
      </c>
      <c r="C63" s="23">
        <v>0.3</v>
      </c>
      <c r="D63" s="23">
        <v>0.25369999999999998</v>
      </c>
      <c r="E63" s="23">
        <v>9</v>
      </c>
      <c r="F63" s="23">
        <v>67</v>
      </c>
      <c r="G63" s="23">
        <v>76</v>
      </c>
    </row>
    <row r="64" spans="1:7" x14ac:dyDescent="0.35">
      <c r="A64" s="23">
        <v>63</v>
      </c>
      <c r="B64" s="23">
        <v>0.2273</v>
      </c>
      <c r="C64" s="23">
        <v>0.3</v>
      </c>
      <c r="D64" s="23">
        <v>0.22389999999999999</v>
      </c>
      <c r="E64" s="23">
        <v>11</v>
      </c>
      <c r="F64" s="23">
        <v>146</v>
      </c>
      <c r="G64" s="23">
        <v>157</v>
      </c>
    </row>
    <row r="65" spans="1:7" x14ac:dyDescent="0.35">
      <c r="A65" s="23">
        <v>64</v>
      </c>
      <c r="B65" s="23">
        <v>0.2576</v>
      </c>
      <c r="C65" s="23">
        <v>0.32</v>
      </c>
      <c r="D65" s="23">
        <v>0.1045</v>
      </c>
      <c r="E65" s="23">
        <v>9</v>
      </c>
      <c r="F65" s="23">
        <v>148</v>
      </c>
      <c r="G65" s="23">
        <v>157</v>
      </c>
    </row>
    <row r="66" spans="1:7" x14ac:dyDescent="0.35">
      <c r="A66" s="23">
        <v>65</v>
      </c>
      <c r="B66" s="23">
        <v>0.2576</v>
      </c>
      <c r="C66" s="23">
        <v>0.47</v>
      </c>
      <c r="D66" s="23">
        <v>0</v>
      </c>
      <c r="E66" s="23">
        <v>8</v>
      </c>
      <c r="F66" s="23">
        <v>102</v>
      </c>
      <c r="G66" s="23">
        <v>110</v>
      </c>
    </row>
    <row r="67" spans="1:7" x14ac:dyDescent="0.35">
      <c r="A67" s="23">
        <v>66</v>
      </c>
      <c r="B67" s="23"/>
      <c r="C67" s="23">
        <v>0.47</v>
      </c>
      <c r="D67" s="23">
        <v>0.1045</v>
      </c>
      <c r="E67" s="23">
        <v>3</v>
      </c>
      <c r="F67" s="23">
        <v>49</v>
      </c>
      <c r="G67" s="23">
        <v>52</v>
      </c>
    </row>
    <row r="68" spans="1:7" x14ac:dyDescent="0.35">
      <c r="A68" s="23">
        <v>67</v>
      </c>
      <c r="B68" s="23">
        <v>0.19700000000000001</v>
      </c>
      <c r="C68" s="23">
        <v>0.64</v>
      </c>
      <c r="D68" s="23">
        <v>0.1343</v>
      </c>
      <c r="E68" s="23">
        <v>3</v>
      </c>
      <c r="F68" s="23">
        <v>49</v>
      </c>
      <c r="G68" s="23">
        <v>52</v>
      </c>
    </row>
    <row r="69" spans="1:7" x14ac:dyDescent="0.35">
      <c r="A69" s="23">
        <v>68</v>
      </c>
      <c r="B69" s="23">
        <v>0.1515</v>
      </c>
      <c r="C69" s="23">
        <v>0.69</v>
      </c>
      <c r="D69" s="23">
        <v>0.1343</v>
      </c>
      <c r="E69" s="23">
        <v>0</v>
      </c>
      <c r="F69" s="23">
        <v>20</v>
      </c>
      <c r="G69" s="23">
        <v>20</v>
      </c>
    </row>
    <row r="70" spans="1:7" x14ac:dyDescent="0.35">
      <c r="A70" s="23">
        <v>69</v>
      </c>
      <c r="B70" s="23">
        <v>0.21210000000000001</v>
      </c>
      <c r="C70" s="23">
        <v>0.55000000000000004</v>
      </c>
      <c r="D70" s="23">
        <v>0.1045</v>
      </c>
      <c r="E70" s="23">
        <v>1</v>
      </c>
      <c r="F70" s="23">
        <v>11</v>
      </c>
      <c r="G70" s="23">
        <v>12</v>
      </c>
    </row>
    <row r="71" spans="1:7" x14ac:dyDescent="0.35">
      <c r="A71" s="23">
        <v>70</v>
      </c>
      <c r="B71" s="23"/>
      <c r="C71" s="23">
        <v>0.55000000000000004</v>
      </c>
      <c r="D71" s="23">
        <v>0.1045</v>
      </c>
      <c r="E71" s="23">
        <v>0</v>
      </c>
      <c r="F71" s="23">
        <v>5</v>
      </c>
      <c r="G71" s="23">
        <v>5</v>
      </c>
    </row>
    <row r="72" spans="1:7" x14ac:dyDescent="0.35">
      <c r="A72" s="23">
        <v>71</v>
      </c>
      <c r="B72" s="23">
        <v>0.18179999999999999</v>
      </c>
      <c r="C72" s="23">
        <v>0.59</v>
      </c>
      <c r="D72" s="23">
        <v>0.1045</v>
      </c>
      <c r="E72" s="23">
        <v>0</v>
      </c>
      <c r="F72" s="23">
        <v>2</v>
      </c>
      <c r="G72" s="23">
        <v>2</v>
      </c>
    </row>
    <row r="73" spans="1:7" x14ac:dyDescent="0.35">
      <c r="A73" s="23">
        <v>72</v>
      </c>
      <c r="B73" s="23">
        <v>0.1515</v>
      </c>
      <c r="C73" s="23">
        <v>0.63</v>
      </c>
      <c r="D73" s="23">
        <v>0.1343</v>
      </c>
      <c r="E73" s="23">
        <v>0</v>
      </c>
      <c r="F73" s="23">
        <v>1</v>
      </c>
      <c r="G73" s="23">
        <v>1</v>
      </c>
    </row>
    <row r="74" spans="1:7" x14ac:dyDescent="0.35">
      <c r="A74" s="23">
        <v>73</v>
      </c>
      <c r="B74" s="23">
        <v>0.18179999999999999</v>
      </c>
      <c r="C74" s="23">
        <v>0.63</v>
      </c>
      <c r="D74" s="23">
        <v>8.9599999999999999E-2</v>
      </c>
      <c r="E74" s="23">
        <v>0</v>
      </c>
      <c r="F74" s="23">
        <v>2</v>
      </c>
      <c r="G74" s="23">
        <v>2</v>
      </c>
    </row>
    <row r="75" spans="1:7" x14ac:dyDescent="0.35">
      <c r="A75" s="23">
        <v>74</v>
      </c>
      <c r="B75" s="23">
        <v>0.1515</v>
      </c>
      <c r="C75" s="23">
        <v>0.68</v>
      </c>
      <c r="D75" s="23">
        <v>0.1045</v>
      </c>
      <c r="E75" s="23">
        <v>0</v>
      </c>
      <c r="F75" s="23">
        <v>4</v>
      </c>
      <c r="G75" s="23">
        <v>4</v>
      </c>
    </row>
    <row r="76" spans="1:7" x14ac:dyDescent="0.35">
      <c r="A76" s="23">
        <v>75</v>
      </c>
      <c r="B76" s="23">
        <v>0.1515</v>
      </c>
      <c r="C76" s="23">
        <v>0.74</v>
      </c>
      <c r="D76" s="23">
        <v>0.1045</v>
      </c>
      <c r="E76" s="23">
        <v>0</v>
      </c>
      <c r="F76" s="23">
        <v>36</v>
      </c>
      <c r="G76" s="23">
        <v>36</v>
      </c>
    </row>
    <row r="77" spans="1:7" x14ac:dyDescent="0.35">
      <c r="A77" s="23">
        <v>76</v>
      </c>
      <c r="B77" s="23">
        <v>0.1515</v>
      </c>
      <c r="C77" s="23">
        <v>0.74</v>
      </c>
      <c r="D77" s="23">
        <v>0.1343</v>
      </c>
      <c r="E77" s="23">
        <v>2</v>
      </c>
      <c r="F77" s="23">
        <v>92</v>
      </c>
      <c r="G77" s="23">
        <v>94</v>
      </c>
    </row>
    <row r="78" spans="1:7" x14ac:dyDescent="0.35">
      <c r="A78" s="23">
        <v>77</v>
      </c>
      <c r="B78" s="23">
        <v>0.1515</v>
      </c>
      <c r="C78" s="23">
        <v>0.69</v>
      </c>
      <c r="D78" s="23">
        <v>0.16420000000000001</v>
      </c>
      <c r="E78" s="23">
        <v>2</v>
      </c>
      <c r="F78" s="23">
        <v>177</v>
      </c>
      <c r="G78" s="23">
        <v>179</v>
      </c>
    </row>
    <row r="79" spans="1:7" x14ac:dyDescent="0.35">
      <c r="A79" s="23">
        <v>78</v>
      </c>
      <c r="B79" s="23">
        <v>0.1515</v>
      </c>
      <c r="C79" s="23">
        <v>0.64</v>
      </c>
      <c r="D79" s="23">
        <v>0.22389999999999999</v>
      </c>
      <c r="E79" s="23">
        <v>2</v>
      </c>
      <c r="F79" s="23">
        <v>98</v>
      </c>
      <c r="G79" s="23">
        <v>100</v>
      </c>
    </row>
    <row r="80" spans="1:7" x14ac:dyDescent="0.35">
      <c r="A80" s="23">
        <v>79</v>
      </c>
      <c r="B80" s="23">
        <v>0.13639999999999999</v>
      </c>
      <c r="C80" s="23">
        <v>0.69</v>
      </c>
      <c r="D80" s="23">
        <v>0.32840000000000003</v>
      </c>
      <c r="E80" s="23">
        <v>5</v>
      </c>
      <c r="F80" s="23">
        <v>37</v>
      </c>
      <c r="G80" s="23">
        <v>42</v>
      </c>
    </row>
    <row r="81" spans="1:7" x14ac:dyDescent="0.35">
      <c r="A81" s="23">
        <v>80</v>
      </c>
      <c r="B81" s="23">
        <v>0.21210000000000001</v>
      </c>
      <c r="C81" s="23">
        <v>0.51</v>
      </c>
      <c r="D81" s="23">
        <v>0.29849999999999999</v>
      </c>
      <c r="E81" s="23">
        <v>7</v>
      </c>
      <c r="F81" s="23">
        <v>50</v>
      </c>
      <c r="G81" s="23">
        <v>57</v>
      </c>
    </row>
    <row r="82" spans="1:7" x14ac:dyDescent="0.35">
      <c r="A82" s="23">
        <v>81</v>
      </c>
      <c r="B82" s="23">
        <v>0.2273</v>
      </c>
      <c r="C82" s="23">
        <v>0.51</v>
      </c>
      <c r="D82" s="23">
        <v>0.16420000000000001</v>
      </c>
      <c r="E82" s="23">
        <v>12</v>
      </c>
      <c r="F82" s="23">
        <v>66</v>
      </c>
      <c r="G82" s="23">
        <v>78</v>
      </c>
    </row>
    <row r="83" spans="1:7" x14ac:dyDescent="0.35">
      <c r="A83" s="23">
        <v>82</v>
      </c>
      <c r="B83" s="23">
        <v>0.2273</v>
      </c>
      <c r="C83" s="23">
        <v>0.56000000000000005</v>
      </c>
      <c r="D83" s="23">
        <v>0.19400000000000001</v>
      </c>
      <c r="E83" s="23">
        <v>18</v>
      </c>
      <c r="F83" s="23">
        <v>79</v>
      </c>
      <c r="G83" s="23">
        <v>97</v>
      </c>
    </row>
    <row r="84" spans="1:7" x14ac:dyDescent="0.35">
      <c r="A84" s="23">
        <v>83</v>
      </c>
      <c r="B84" s="23">
        <v>0.2576</v>
      </c>
      <c r="C84" s="23">
        <v>0.52</v>
      </c>
      <c r="D84" s="23">
        <v>0.22389999999999999</v>
      </c>
      <c r="E84" s="23">
        <v>9</v>
      </c>
      <c r="F84" s="23">
        <v>54</v>
      </c>
      <c r="G84" s="23">
        <v>63</v>
      </c>
    </row>
    <row r="85" spans="1:7" x14ac:dyDescent="0.35">
      <c r="A85" s="23">
        <v>84</v>
      </c>
      <c r="B85" s="23">
        <v>0.2727</v>
      </c>
      <c r="C85" s="23">
        <v>0.52</v>
      </c>
      <c r="D85" s="23">
        <v>0.25369999999999998</v>
      </c>
      <c r="E85" s="23">
        <v>17</v>
      </c>
      <c r="F85" s="23">
        <v>48</v>
      </c>
      <c r="G85" s="23">
        <v>65</v>
      </c>
    </row>
    <row r="86" spans="1:7" x14ac:dyDescent="0.35">
      <c r="A86" s="23">
        <v>85</v>
      </c>
      <c r="B86" s="23">
        <v>0.28789999999999999</v>
      </c>
      <c r="C86" s="23">
        <v>0.49</v>
      </c>
      <c r="D86" s="23">
        <v>0.25369999999999998</v>
      </c>
      <c r="E86" s="23">
        <v>15</v>
      </c>
      <c r="F86" s="23">
        <v>68</v>
      </c>
      <c r="G86" s="23">
        <v>83</v>
      </c>
    </row>
    <row r="87" spans="1:7" x14ac:dyDescent="0.35">
      <c r="A87" s="23">
        <v>86</v>
      </c>
      <c r="B87" s="23">
        <v>0.2727</v>
      </c>
      <c r="C87" s="23">
        <v>0.48</v>
      </c>
      <c r="D87" s="23">
        <v>0.22389999999999999</v>
      </c>
      <c r="E87" s="23">
        <v>10</v>
      </c>
      <c r="F87" s="23">
        <v>202</v>
      </c>
      <c r="G87" s="23">
        <v>212</v>
      </c>
    </row>
    <row r="88" spans="1:7" x14ac:dyDescent="0.35">
      <c r="A88" s="23">
        <v>87</v>
      </c>
      <c r="B88" s="23">
        <v>0.2576</v>
      </c>
      <c r="C88" s="23">
        <v>0.48</v>
      </c>
      <c r="D88" s="23">
        <v>0.19400000000000001</v>
      </c>
      <c r="E88" s="23">
        <v>3</v>
      </c>
      <c r="F88" s="23">
        <v>179</v>
      </c>
      <c r="G88" s="23">
        <v>182</v>
      </c>
    </row>
    <row r="89" spans="1:7" x14ac:dyDescent="0.35">
      <c r="A89" s="23">
        <v>88</v>
      </c>
      <c r="B89" s="23">
        <v>0.2576</v>
      </c>
      <c r="C89" s="23">
        <v>0.48</v>
      </c>
      <c r="D89" s="23">
        <v>0.1045</v>
      </c>
      <c r="E89" s="23">
        <v>2</v>
      </c>
      <c r="F89" s="23">
        <v>110</v>
      </c>
      <c r="G89" s="23">
        <v>112</v>
      </c>
    </row>
    <row r="90" spans="1:7" x14ac:dyDescent="0.35">
      <c r="A90" s="23">
        <v>89</v>
      </c>
      <c r="B90" s="23">
        <v>0.2576</v>
      </c>
      <c r="C90" s="23">
        <v>0.48</v>
      </c>
      <c r="D90" s="23">
        <v>0.1045</v>
      </c>
      <c r="E90" s="23">
        <v>1</v>
      </c>
      <c r="F90" s="23">
        <v>53</v>
      </c>
      <c r="G90" s="23">
        <v>54</v>
      </c>
    </row>
    <row r="91" spans="1:7" x14ac:dyDescent="0.35">
      <c r="A91" s="23">
        <v>90</v>
      </c>
      <c r="B91" s="23">
        <v>0.2727</v>
      </c>
      <c r="C91" s="23">
        <v>0.64</v>
      </c>
      <c r="D91" s="23">
        <v>0</v>
      </c>
      <c r="E91" s="23">
        <v>0</v>
      </c>
      <c r="F91" s="23">
        <v>48</v>
      </c>
      <c r="G91" s="23">
        <v>48</v>
      </c>
    </row>
    <row r="92" spans="1:7" x14ac:dyDescent="0.35">
      <c r="A92" s="23">
        <v>91</v>
      </c>
      <c r="B92" s="23">
        <v>0.2576</v>
      </c>
      <c r="C92" s="23">
        <v>0.64</v>
      </c>
      <c r="D92" s="23">
        <v>8.9599999999999999E-2</v>
      </c>
      <c r="E92" s="23">
        <v>1</v>
      </c>
      <c r="F92" s="23">
        <v>34</v>
      </c>
      <c r="G92" s="23">
        <v>35</v>
      </c>
    </row>
    <row r="93" spans="1:7" x14ac:dyDescent="0.35">
      <c r="A93" s="23">
        <v>92</v>
      </c>
      <c r="B93" s="23">
        <v>0.2273</v>
      </c>
      <c r="C93" s="23">
        <v>0.69</v>
      </c>
      <c r="D93" s="23">
        <v>8.9599999999999999E-2</v>
      </c>
      <c r="E93" s="23">
        <v>2</v>
      </c>
      <c r="F93" s="23">
        <v>9</v>
      </c>
      <c r="G93" s="23">
        <v>11</v>
      </c>
    </row>
    <row r="94" spans="1:7" x14ac:dyDescent="0.35">
      <c r="A94" s="23">
        <v>93</v>
      </c>
      <c r="B94" s="23">
        <v>0.2576</v>
      </c>
      <c r="C94" s="23">
        <v>0.64</v>
      </c>
      <c r="D94" s="23">
        <v>0</v>
      </c>
      <c r="E94" s="23">
        <v>0</v>
      </c>
      <c r="F94" s="23">
        <v>6</v>
      </c>
      <c r="G94" s="23">
        <v>6</v>
      </c>
    </row>
    <row r="95" spans="1:7" x14ac:dyDescent="0.35">
      <c r="A95" s="23">
        <v>94</v>
      </c>
      <c r="B95" s="23">
        <v>0.19700000000000001</v>
      </c>
      <c r="C95" s="23">
        <v>0.74</v>
      </c>
      <c r="D95" s="23">
        <v>8.9599999999999999E-2</v>
      </c>
      <c r="E95" s="23">
        <v>0</v>
      </c>
      <c r="F95" s="23">
        <v>6</v>
      </c>
      <c r="G95" s="23">
        <v>6</v>
      </c>
    </row>
    <row r="96" spans="1:7" x14ac:dyDescent="0.35">
      <c r="A96" s="23">
        <v>95</v>
      </c>
      <c r="B96" s="23">
        <v>0.19700000000000001</v>
      </c>
      <c r="C96" s="23">
        <v>0.74</v>
      </c>
      <c r="D96" s="23">
        <v>8.9599999999999999E-2</v>
      </c>
      <c r="E96" s="23">
        <v>0</v>
      </c>
      <c r="F96" s="23">
        <v>2</v>
      </c>
      <c r="G96" s="23">
        <v>2</v>
      </c>
    </row>
    <row r="97" spans="1:7" x14ac:dyDescent="0.35">
      <c r="A97" s="23">
        <v>96</v>
      </c>
      <c r="B97" s="23">
        <v>0.2273</v>
      </c>
      <c r="C97" s="23">
        <v>0.48</v>
      </c>
      <c r="D97" s="23">
        <v>0.22389999999999999</v>
      </c>
      <c r="E97" s="23">
        <v>0</v>
      </c>
      <c r="F97" s="23">
        <v>2</v>
      </c>
      <c r="G97" s="23">
        <v>2</v>
      </c>
    </row>
    <row r="98" spans="1:7" x14ac:dyDescent="0.35">
      <c r="A98" s="23">
        <v>97</v>
      </c>
      <c r="B98" s="23">
        <v>0.2273</v>
      </c>
      <c r="C98" s="23">
        <v>0.47</v>
      </c>
      <c r="D98" s="23">
        <v>0.16420000000000001</v>
      </c>
      <c r="E98" s="23">
        <v>0</v>
      </c>
      <c r="F98" s="23">
        <v>3</v>
      </c>
      <c r="G98" s="23">
        <v>3</v>
      </c>
    </row>
    <row r="99" spans="1:7" x14ac:dyDescent="0.35">
      <c r="A99" s="23">
        <v>98</v>
      </c>
      <c r="B99" s="23">
        <v>0.19700000000000001</v>
      </c>
      <c r="C99" s="23">
        <v>0.47</v>
      </c>
      <c r="D99" s="23">
        <v>0.22389999999999999</v>
      </c>
      <c r="E99" s="23">
        <v>0</v>
      </c>
      <c r="F99" s="23">
        <v>33</v>
      </c>
      <c r="G99" s="23">
        <v>33</v>
      </c>
    </row>
    <row r="100" spans="1:7" x14ac:dyDescent="0.35">
      <c r="A100" s="23">
        <v>99</v>
      </c>
      <c r="B100" s="23">
        <v>0.18179999999999999</v>
      </c>
      <c r="C100" s="23">
        <v>0.43</v>
      </c>
      <c r="D100" s="23">
        <v>0.19400000000000001</v>
      </c>
      <c r="E100" s="23">
        <v>1</v>
      </c>
      <c r="F100" s="23">
        <v>87</v>
      </c>
      <c r="G100" s="23">
        <v>88</v>
      </c>
    </row>
    <row r="101" spans="1:7" x14ac:dyDescent="0.35">
      <c r="A101" s="23">
        <v>100</v>
      </c>
      <c r="B101" s="23">
        <v>0.18179999999999999</v>
      </c>
      <c r="C101" s="23">
        <v>0.4</v>
      </c>
      <c r="D101" s="23">
        <v>0.29849999999999999</v>
      </c>
      <c r="E101" s="23">
        <v>3</v>
      </c>
      <c r="F101" s="23">
        <v>192</v>
      </c>
      <c r="G101" s="23">
        <v>195</v>
      </c>
    </row>
    <row r="102" spans="1:7" x14ac:dyDescent="0.35">
      <c r="A102" s="23">
        <v>101</v>
      </c>
      <c r="B102" s="23">
        <v>0.19700000000000001</v>
      </c>
      <c r="C102" s="23">
        <v>0.37</v>
      </c>
      <c r="D102" s="23">
        <v>0.32840000000000003</v>
      </c>
      <c r="E102" s="23">
        <v>6</v>
      </c>
      <c r="F102" s="23">
        <v>109</v>
      </c>
      <c r="G102" s="23">
        <v>115</v>
      </c>
    </row>
    <row r="103" spans="1:7" x14ac:dyDescent="0.35">
      <c r="A103" s="23">
        <v>102</v>
      </c>
      <c r="B103" s="23">
        <v>0.19700000000000001</v>
      </c>
      <c r="C103" s="23">
        <v>0.37</v>
      </c>
      <c r="D103" s="23">
        <v>0.32840000000000003</v>
      </c>
      <c r="E103" s="23">
        <v>4</v>
      </c>
      <c r="F103" s="23">
        <v>53</v>
      </c>
      <c r="G103" s="23">
        <v>57</v>
      </c>
    </row>
    <row r="104" spans="1:7" x14ac:dyDescent="0.35">
      <c r="A104" s="23">
        <v>103</v>
      </c>
      <c r="B104" s="23">
        <v>0.2273</v>
      </c>
      <c r="C104" s="23">
        <v>0.33</v>
      </c>
      <c r="D104" s="23">
        <v>0.32840000000000003</v>
      </c>
      <c r="E104" s="23">
        <v>12</v>
      </c>
      <c r="F104" s="23">
        <v>34</v>
      </c>
      <c r="G104" s="23">
        <v>46</v>
      </c>
    </row>
    <row r="105" spans="1:7" x14ac:dyDescent="0.35">
      <c r="A105" s="23">
        <v>104</v>
      </c>
      <c r="B105" s="23">
        <v>0.2273</v>
      </c>
      <c r="C105" s="23">
        <v>0.33</v>
      </c>
      <c r="D105" s="23">
        <v>0.32840000000000003</v>
      </c>
      <c r="E105" s="23">
        <v>5</v>
      </c>
      <c r="F105" s="23">
        <v>74</v>
      </c>
      <c r="G105" s="23">
        <v>79</v>
      </c>
    </row>
    <row r="106" spans="1:7" x14ac:dyDescent="0.35">
      <c r="A106" s="23">
        <v>105</v>
      </c>
      <c r="B106" s="23">
        <v>0.2576</v>
      </c>
      <c r="C106" s="23">
        <v>0.3</v>
      </c>
      <c r="D106" s="23">
        <v>0.29849999999999999</v>
      </c>
      <c r="E106" s="23">
        <v>6</v>
      </c>
      <c r="F106" s="23">
        <v>65</v>
      </c>
      <c r="G106" s="23">
        <v>71</v>
      </c>
    </row>
    <row r="107" spans="1:7" x14ac:dyDescent="0.35">
      <c r="A107" s="23">
        <v>106</v>
      </c>
      <c r="B107" s="23">
        <v>0.28789999999999999</v>
      </c>
      <c r="C107" s="23">
        <v>0.28000000000000003</v>
      </c>
      <c r="D107" s="23">
        <v>0.19400000000000001</v>
      </c>
      <c r="E107" s="23">
        <v>10</v>
      </c>
      <c r="F107" s="23">
        <v>52</v>
      </c>
      <c r="G107" s="23">
        <v>62</v>
      </c>
    </row>
    <row r="108" spans="1:7" x14ac:dyDescent="0.35">
      <c r="A108" s="23">
        <v>107</v>
      </c>
      <c r="B108" s="23">
        <v>0.28789999999999999</v>
      </c>
      <c r="C108" s="23">
        <v>0.28000000000000003</v>
      </c>
      <c r="D108" s="23">
        <v>0.19400000000000001</v>
      </c>
      <c r="E108" s="23">
        <v>7</v>
      </c>
      <c r="F108" s="23">
        <v>55</v>
      </c>
      <c r="G108" s="23">
        <v>62</v>
      </c>
    </row>
    <row r="109" spans="1:7" x14ac:dyDescent="0.35">
      <c r="A109" s="23">
        <v>108</v>
      </c>
      <c r="B109" s="23">
        <v>0.31819999999999998</v>
      </c>
      <c r="C109" s="23">
        <v>0.28000000000000003</v>
      </c>
      <c r="D109" s="23">
        <v>8.9599999999999999E-2</v>
      </c>
      <c r="E109" s="23">
        <v>4</v>
      </c>
      <c r="F109" s="23">
        <v>85</v>
      </c>
      <c r="G109" s="23">
        <v>89</v>
      </c>
    </row>
    <row r="110" spans="1:7" x14ac:dyDescent="0.35">
      <c r="A110" s="23">
        <v>109</v>
      </c>
      <c r="B110" s="23">
        <v>0.2273</v>
      </c>
      <c r="C110" s="23">
        <v>0.38</v>
      </c>
      <c r="D110" s="23">
        <v>0.19400000000000001</v>
      </c>
      <c r="E110" s="23">
        <v>4</v>
      </c>
      <c r="F110" s="23">
        <v>186</v>
      </c>
      <c r="G110" s="23">
        <v>190</v>
      </c>
    </row>
    <row r="111" spans="1:7" x14ac:dyDescent="0.35">
      <c r="A111" s="23">
        <v>110</v>
      </c>
      <c r="B111" s="23">
        <v>0.2424</v>
      </c>
      <c r="C111" s="23">
        <v>0.38</v>
      </c>
      <c r="D111" s="23">
        <v>0.1343</v>
      </c>
      <c r="E111" s="23">
        <v>3</v>
      </c>
      <c r="F111" s="23">
        <v>166</v>
      </c>
      <c r="G111" s="23">
        <v>169</v>
      </c>
    </row>
    <row r="112" spans="1:7" x14ac:dyDescent="0.35">
      <c r="A112" s="23">
        <v>111</v>
      </c>
      <c r="B112" s="23">
        <v>0.2576</v>
      </c>
      <c r="C112" s="23">
        <v>0.38</v>
      </c>
      <c r="D112" s="23">
        <v>0.1045</v>
      </c>
      <c r="E112" s="23">
        <v>5</v>
      </c>
      <c r="F112" s="23">
        <v>127</v>
      </c>
      <c r="G112" s="23">
        <v>132</v>
      </c>
    </row>
    <row r="113" spans="1:7" x14ac:dyDescent="0.35">
      <c r="A113" s="23">
        <v>112</v>
      </c>
      <c r="B113" s="23">
        <v>0.2273</v>
      </c>
      <c r="C113" s="23">
        <v>0.47</v>
      </c>
      <c r="D113" s="23">
        <v>0.16420000000000001</v>
      </c>
      <c r="E113" s="23">
        <v>7</v>
      </c>
      <c r="F113" s="23">
        <v>82</v>
      </c>
      <c r="G113" s="23">
        <v>89</v>
      </c>
    </row>
    <row r="114" spans="1:7" x14ac:dyDescent="0.35">
      <c r="A114" s="23">
        <v>113</v>
      </c>
      <c r="B114" s="23">
        <v>0.19700000000000001</v>
      </c>
      <c r="C114" s="23">
        <v>0.51</v>
      </c>
      <c r="D114" s="23">
        <v>0.19400000000000001</v>
      </c>
      <c r="E114" s="23">
        <v>3</v>
      </c>
      <c r="F114" s="23">
        <v>40</v>
      </c>
      <c r="G114" s="23">
        <v>43</v>
      </c>
    </row>
    <row r="115" spans="1:7" x14ac:dyDescent="0.35">
      <c r="A115" s="23">
        <v>114</v>
      </c>
      <c r="B115" s="23">
        <v>0.19700000000000001</v>
      </c>
      <c r="C115" s="23">
        <v>0.55000000000000004</v>
      </c>
      <c r="D115" s="23">
        <v>0.1343</v>
      </c>
      <c r="E115" s="23">
        <v>1</v>
      </c>
      <c r="F115" s="23">
        <v>41</v>
      </c>
      <c r="G115" s="23">
        <v>42</v>
      </c>
    </row>
    <row r="116" spans="1:7" x14ac:dyDescent="0.35">
      <c r="A116" s="23">
        <v>115</v>
      </c>
      <c r="B116" s="23">
        <v>0.2576</v>
      </c>
      <c r="C116" s="23">
        <v>0.47</v>
      </c>
      <c r="D116" s="23">
        <v>0</v>
      </c>
      <c r="E116" s="23">
        <v>1</v>
      </c>
      <c r="F116" s="23">
        <v>18</v>
      </c>
      <c r="G116" s="23">
        <v>19</v>
      </c>
    </row>
    <row r="117" spans="1:7" x14ac:dyDescent="0.35">
      <c r="A117" s="23">
        <v>116</v>
      </c>
      <c r="B117" s="23">
        <v>0.2424</v>
      </c>
      <c r="C117" s="23">
        <v>0.55000000000000004</v>
      </c>
      <c r="D117" s="23">
        <v>0</v>
      </c>
      <c r="E117" s="23">
        <v>0</v>
      </c>
      <c r="F117" s="23">
        <v>11</v>
      </c>
      <c r="G117" s="23">
        <v>11</v>
      </c>
    </row>
    <row r="118" spans="1:7" x14ac:dyDescent="0.35">
      <c r="A118" s="23">
        <v>117</v>
      </c>
      <c r="B118" s="23">
        <v>0.2273</v>
      </c>
      <c r="C118" s="23">
        <v>0.64</v>
      </c>
      <c r="D118" s="23">
        <v>0</v>
      </c>
      <c r="E118" s="23">
        <v>0</v>
      </c>
      <c r="F118" s="23">
        <v>4</v>
      </c>
      <c r="G118" s="23">
        <v>4</v>
      </c>
    </row>
    <row r="119" spans="1:7" x14ac:dyDescent="0.35">
      <c r="A119" s="23">
        <v>118</v>
      </c>
      <c r="B119" s="23">
        <v>0.2273</v>
      </c>
      <c r="C119" s="23">
        <v>0.64</v>
      </c>
      <c r="D119" s="23">
        <v>0</v>
      </c>
      <c r="E119" s="23">
        <v>0</v>
      </c>
      <c r="F119" s="23">
        <v>2</v>
      </c>
      <c r="G119" s="23">
        <v>2</v>
      </c>
    </row>
    <row r="120" spans="1:7" x14ac:dyDescent="0.35">
      <c r="A120" s="23">
        <v>119</v>
      </c>
      <c r="B120" s="23">
        <v>0.19700000000000001</v>
      </c>
      <c r="C120" s="23">
        <v>0.64</v>
      </c>
      <c r="D120" s="23">
        <v>8.9599999999999999E-2</v>
      </c>
      <c r="E120" s="23">
        <v>0</v>
      </c>
      <c r="F120" s="23">
        <v>1</v>
      </c>
      <c r="G120" s="23">
        <v>1</v>
      </c>
    </row>
    <row r="121" spans="1:7" x14ac:dyDescent="0.35">
      <c r="A121" s="23">
        <v>120</v>
      </c>
      <c r="B121" s="23">
        <v>0.18179999999999999</v>
      </c>
      <c r="C121" s="23">
        <v>0.69</v>
      </c>
      <c r="D121" s="23">
        <v>8.9599999999999999E-2</v>
      </c>
      <c r="E121" s="23">
        <v>0</v>
      </c>
      <c r="F121" s="23">
        <v>4</v>
      </c>
      <c r="G121" s="23">
        <v>4</v>
      </c>
    </row>
    <row r="122" spans="1:7" x14ac:dyDescent="0.35">
      <c r="A122" s="23">
        <v>121</v>
      </c>
      <c r="B122" s="23">
        <v>0.16669999999999999</v>
      </c>
      <c r="C122" s="23">
        <v>0.63</v>
      </c>
      <c r="D122" s="23">
        <v>0.1045</v>
      </c>
      <c r="E122" s="23">
        <v>0</v>
      </c>
      <c r="F122" s="23">
        <v>36</v>
      </c>
      <c r="G122" s="23">
        <v>36</v>
      </c>
    </row>
    <row r="123" spans="1:7" x14ac:dyDescent="0.35">
      <c r="A123" s="23">
        <v>122</v>
      </c>
      <c r="B123" s="23">
        <v>0.2273</v>
      </c>
      <c r="C123" s="23">
        <v>0.59</v>
      </c>
      <c r="D123" s="23">
        <v>0</v>
      </c>
      <c r="E123" s="23">
        <v>0</v>
      </c>
      <c r="F123" s="23">
        <v>95</v>
      </c>
      <c r="G123" s="23">
        <v>95</v>
      </c>
    </row>
    <row r="124" spans="1:7" x14ac:dyDescent="0.35">
      <c r="A124" s="23">
        <v>123</v>
      </c>
      <c r="B124" s="23">
        <v>0.2273</v>
      </c>
      <c r="C124" s="23">
        <v>0.59</v>
      </c>
      <c r="D124" s="23">
        <v>0</v>
      </c>
      <c r="E124" s="23">
        <v>3</v>
      </c>
      <c r="F124" s="23">
        <v>216</v>
      </c>
      <c r="G124" s="23">
        <v>219</v>
      </c>
    </row>
    <row r="125" spans="1:7" x14ac:dyDescent="0.35">
      <c r="A125" s="23">
        <v>124</v>
      </c>
      <c r="B125" s="23">
        <v>0.2424</v>
      </c>
      <c r="C125" s="23">
        <v>0.51</v>
      </c>
      <c r="D125" s="23">
        <v>0</v>
      </c>
      <c r="E125" s="23">
        <v>6</v>
      </c>
      <c r="F125" s="23">
        <v>116</v>
      </c>
      <c r="G125" s="23">
        <v>122</v>
      </c>
    </row>
    <row r="126" spans="1:7" x14ac:dyDescent="0.35">
      <c r="A126" s="23">
        <v>125</v>
      </c>
      <c r="B126" s="23">
        <v>0.2576</v>
      </c>
      <c r="C126" s="23">
        <v>0.47</v>
      </c>
      <c r="D126" s="23">
        <v>0</v>
      </c>
      <c r="E126" s="23">
        <v>3</v>
      </c>
      <c r="F126" s="23">
        <v>42</v>
      </c>
      <c r="G126" s="23">
        <v>45</v>
      </c>
    </row>
    <row r="127" spans="1:7" x14ac:dyDescent="0.35">
      <c r="A127" s="23">
        <v>126</v>
      </c>
      <c r="B127" s="23">
        <v>0.2576</v>
      </c>
      <c r="C127" s="23">
        <v>0.44</v>
      </c>
      <c r="D127" s="23">
        <v>8.9599999999999999E-2</v>
      </c>
      <c r="E127" s="23">
        <v>2</v>
      </c>
      <c r="F127" s="23">
        <v>57</v>
      </c>
      <c r="G127" s="23">
        <v>59</v>
      </c>
    </row>
    <row r="128" spans="1:7" x14ac:dyDescent="0.35">
      <c r="A128" s="23">
        <v>127</v>
      </c>
      <c r="B128" s="23">
        <v>0.28789999999999999</v>
      </c>
      <c r="C128" s="23">
        <v>0.35</v>
      </c>
      <c r="D128" s="23">
        <v>0</v>
      </c>
      <c r="E128" s="23">
        <v>6</v>
      </c>
      <c r="F128" s="23">
        <v>78</v>
      </c>
      <c r="G128" s="23">
        <v>84</v>
      </c>
    </row>
    <row r="129" spans="1:7" x14ac:dyDescent="0.35">
      <c r="A129" s="23">
        <v>128</v>
      </c>
      <c r="B129" s="23">
        <v>0.2727</v>
      </c>
      <c r="C129" s="23">
        <v>0.35</v>
      </c>
      <c r="D129" s="23">
        <v>0.1045</v>
      </c>
      <c r="E129" s="23">
        <v>12</v>
      </c>
      <c r="F129" s="23">
        <v>55</v>
      </c>
      <c r="G129" s="23">
        <v>67</v>
      </c>
    </row>
    <row r="130" spans="1:7" x14ac:dyDescent="0.35">
      <c r="A130" s="23">
        <v>129</v>
      </c>
      <c r="B130" s="23">
        <v>0.2727</v>
      </c>
      <c r="C130" s="23">
        <v>0.36</v>
      </c>
      <c r="D130" s="23">
        <v>0.16420000000000001</v>
      </c>
      <c r="E130" s="23">
        <v>11</v>
      </c>
      <c r="F130" s="23">
        <v>59</v>
      </c>
      <c r="G130" s="23">
        <v>70</v>
      </c>
    </row>
    <row r="131" spans="1:7" x14ac:dyDescent="0.35">
      <c r="A131" s="23">
        <v>130</v>
      </c>
      <c r="B131" s="23">
        <v>0.2727</v>
      </c>
      <c r="C131" s="23">
        <v>0.36</v>
      </c>
      <c r="D131" s="23">
        <v>0</v>
      </c>
      <c r="E131" s="23">
        <v>8</v>
      </c>
      <c r="F131" s="23">
        <v>54</v>
      </c>
      <c r="G131" s="23">
        <v>62</v>
      </c>
    </row>
    <row r="132" spans="1:7" x14ac:dyDescent="0.35">
      <c r="A132" s="23">
        <v>131</v>
      </c>
      <c r="B132" s="23">
        <v>0.2576</v>
      </c>
      <c r="C132" s="23">
        <v>0.38</v>
      </c>
      <c r="D132" s="23">
        <v>0.16420000000000001</v>
      </c>
      <c r="E132" s="23">
        <v>12</v>
      </c>
      <c r="F132" s="23">
        <v>74</v>
      </c>
      <c r="G132" s="23">
        <v>86</v>
      </c>
    </row>
    <row r="133" spans="1:7" x14ac:dyDescent="0.35">
      <c r="A133" s="23">
        <v>132</v>
      </c>
      <c r="B133" s="23">
        <v>0.2273</v>
      </c>
      <c r="C133" s="23">
        <v>0.51</v>
      </c>
      <c r="D133" s="23">
        <v>0.16420000000000001</v>
      </c>
      <c r="E133" s="23">
        <v>9</v>
      </c>
      <c r="F133" s="23">
        <v>163</v>
      </c>
      <c r="G133" s="23">
        <v>172</v>
      </c>
    </row>
    <row r="134" spans="1:7" x14ac:dyDescent="0.35">
      <c r="A134" s="23">
        <v>133</v>
      </c>
      <c r="B134" s="23">
        <v>0.2273</v>
      </c>
      <c r="C134" s="23">
        <v>0.51</v>
      </c>
      <c r="D134" s="23">
        <v>0.1343</v>
      </c>
      <c r="E134" s="23">
        <v>5</v>
      </c>
      <c r="F134" s="23">
        <v>158</v>
      </c>
      <c r="G134" s="23">
        <v>163</v>
      </c>
    </row>
    <row r="135" spans="1:7" x14ac:dyDescent="0.35">
      <c r="A135" s="23">
        <v>134</v>
      </c>
      <c r="B135" s="23">
        <v>0.2576</v>
      </c>
      <c r="C135" s="23">
        <v>0.55000000000000004</v>
      </c>
      <c r="D135" s="23">
        <v>8.9599999999999999E-2</v>
      </c>
      <c r="E135" s="23">
        <v>3</v>
      </c>
      <c r="F135" s="23">
        <v>109</v>
      </c>
      <c r="G135" s="23">
        <v>112</v>
      </c>
    </row>
    <row r="136" spans="1:7" x14ac:dyDescent="0.35">
      <c r="A136" s="23">
        <v>135</v>
      </c>
      <c r="B136" s="23">
        <v>0.21210000000000001</v>
      </c>
      <c r="C136" s="23">
        <v>0.51</v>
      </c>
      <c r="D136" s="23">
        <v>0.16420000000000001</v>
      </c>
      <c r="E136" s="23">
        <v>3</v>
      </c>
      <c r="F136" s="23">
        <v>66</v>
      </c>
      <c r="G136" s="23">
        <v>69</v>
      </c>
    </row>
    <row r="137" spans="1:7" x14ac:dyDescent="0.35">
      <c r="A137" s="23">
        <v>136</v>
      </c>
      <c r="B137" s="23">
        <v>0.21210000000000001</v>
      </c>
      <c r="C137" s="23">
        <v>0.55000000000000004</v>
      </c>
      <c r="D137" s="23">
        <v>0.22389999999999999</v>
      </c>
      <c r="E137" s="23">
        <v>0</v>
      </c>
      <c r="F137" s="23">
        <v>48</v>
      </c>
      <c r="G137" s="23">
        <v>48</v>
      </c>
    </row>
    <row r="138" spans="1:7" x14ac:dyDescent="0.35">
      <c r="A138" s="23">
        <v>137</v>
      </c>
      <c r="B138" s="23">
        <v>0.21210000000000001</v>
      </c>
      <c r="C138" s="23">
        <v>0.51</v>
      </c>
      <c r="D138" s="23">
        <v>0.28360000000000002</v>
      </c>
      <c r="E138" s="23">
        <v>1</v>
      </c>
      <c r="F138" s="23">
        <v>51</v>
      </c>
      <c r="G138" s="23">
        <v>52</v>
      </c>
    </row>
    <row r="139" spans="1:7" x14ac:dyDescent="0.35">
      <c r="A139" s="23">
        <v>138</v>
      </c>
      <c r="B139" s="23">
        <v>0.19700000000000001</v>
      </c>
      <c r="C139" s="23">
        <v>0.59</v>
      </c>
      <c r="D139" s="23">
        <v>0.19400000000000001</v>
      </c>
      <c r="E139" s="23">
        <v>4</v>
      </c>
      <c r="F139" s="23">
        <v>19</v>
      </c>
      <c r="G139" s="23">
        <v>23</v>
      </c>
    </row>
    <row r="140" spans="1:7" x14ac:dyDescent="0.35">
      <c r="A140" s="23">
        <v>139</v>
      </c>
      <c r="B140" s="23">
        <v>0.19700000000000001</v>
      </c>
      <c r="C140" s="23">
        <v>0.64</v>
      </c>
      <c r="D140" s="23">
        <v>0.19400000000000001</v>
      </c>
      <c r="E140" s="23">
        <v>4</v>
      </c>
      <c r="F140" s="23">
        <v>13</v>
      </c>
      <c r="G140" s="23">
        <v>17</v>
      </c>
    </row>
    <row r="141" spans="1:7" x14ac:dyDescent="0.35">
      <c r="A141" s="23">
        <v>140</v>
      </c>
      <c r="B141" s="23">
        <v>0.19700000000000001</v>
      </c>
      <c r="C141" s="23">
        <v>0.69</v>
      </c>
      <c r="D141" s="23">
        <v>0.22389999999999999</v>
      </c>
      <c r="E141" s="23">
        <v>2</v>
      </c>
      <c r="F141" s="23">
        <v>5</v>
      </c>
      <c r="G141" s="23">
        <v>7</v>
      </c>
    </row>
    <row r="142" spans="1:7" x14ac:dyDescent="0.35">
      <c r="A142" s="23">
        <v>141</v>
      </c>
      <c r="B142" s="23">
        <v>0.19700000000000001</v>
      </c>
      <c r="C142" s="23">
        <v>0.69</v>
      </c>
      <c r="D142" s="23">
        <v>0.22389999999999999</v>
      </c>
      <c r="E142" s="23">
        <v>0</v>
      </c>
      <c r="F142" s="23">
        <v>1</v>
      </c>
      <c r="G142" s="23">
        <v>1</v>
      </c>
    </row>
    <row r="143" spans="1:7" x14ac:dyDescent="0.35">
      <c r="A143" s="23">
        <v>142</v>
      </c>
      <c r="B143" s="23">
        <v>0.21210000000000001</v>
      </c>
      <c r="C143" s="23">
        <v>0.69</v>
      </c>
      <c r="D143" s="23">
        <v>0.1343</v>
      </c>
      <c r="E143" s="23">
        <v>0</v>
      </c>
      <c r="F143" s="23">
        <v>1</v>
      </c>
      <c r="G143" s="23">
        <v>1</v>
      </c>
    </row>
    <row r="144" spans="1:7" x14ac:dyDescent="0.35">
      <c r="A144" s="23">
        <v>143</v>
      </c>
      <c r="B144" s="23">
        <v>0.2727</v>
      </c>
      <c r="C144" s="23">
        <v>0.55000000000000004</v>
      </c>
      <c r="D144" s="23">
        <v>0</v>
      </c>
      <c r="E144" s="23">
        <v>0</v>
      </c>
      <c r="F144" s="23">
        <v>5</v>
      </c>
      <c r="G144" s="23">
        <v>5</v>
      </c>
    </row>
    <row r="145" spans="1:7" x14ac:dyDescent="0.35">
      <c r="A145" s="23">
        <v>144</v>
      </c>
      <c r="B145" s="23">
        <v>0.2576</v>
      </c>
      <c r="C145" s="23">
        <v>0.69</v>
      </c>
      <c r="D145" s="23">
        <v>0</v>
      </c>
      <c r="E145" s="23">
        <v>8</v>
      </c>
      <c r="F145" s="23">
        <v>26</v>
      </c>
      <c r="G145" s="23">
        <v>34</v>
      </c>
    </row>
    <row r="146" spans="1:7" x14ac:dyDescent="0.35">
      <c r="A146" s="23">
        <v>145</v>
      </c>
      <c r="B146" s="23">
        <v>0.21210000000000001</v>
      </c>
      <c r="C146" s="23">
        <v>0.69</v>
      </c>
      <c r="D146" s="23">
        <v>0.1343</v>
      </c>
      <c r="E146" s="23">
        <v>8</v>
      </c>
      <c r="F146" s="23">
        <v>76</v>
      </c>
      <c r="G146" s="23">
        <v>84</v>
      </c>
    </row>
    <row r="147" spans="1:7" x14ac:dyDescent="0.35">
      <c r="A147" s="23">
        <v>146</v>
      </c>
      <c r="B147" s="23">
        <v>0.19700000000000001</v>
      </c>
      <c r="C147" s="23">
        <v>0.51</v>
      </c>
      <c r="D147" s="23">
        <v>0.25369999999999998</v>
      </c>
      <c r="E147" s="23">
        <v>20</v>
      </c>
      <c r="F147" s="23">
        <v>190</v>
      </c>
      <c r="G147" s="23">
        <v>210</v>
      </c>
    </row>
    <row r="148" spans="1:7" x14ac:dyDescent="0.35">
      <c r="A148" s="23">
        <v>147</v>
      </c>
      <c r="B148" s="23">
        <v>0.18179999999999999</v>
      </c>
      <c r="C148" s="23">
        <v>0.47</v>
      </c>
      <c r="D148" s="23">
        <v>0.29849999999999999</v>
      </c>
      <c r="E148" s="23">
        <v>9</v>
      </c>
      <c r="F148" s="23">
        <v>125</v>
      </c>
      <c r="G148" s="23">
        <v>134</v>
      </c>
    </row>
    <row r="149" spans="1:7" x14ac:dyDescent="0.35">
      <c r="A149" s="23">
        <v>148</v>
      </c>
      <c r="B149" s="23">
        <v>0.19700000000000001</v>
      </c>
      <c r="C149" s="23">
        <v>0.37</v>
      </c>
      <c r="D149" s="23">
        <v>0.32840000000000003</v>
      </c>
      <c r="E149" s="23">
        <v>16</v>
      </c>
      <c r="F149" s="23">
        <v>47</v>
      </c>
      <c r="G149" s="23">
        <v>63</v>
      </c>
    </row>
    <row r="150" spans="1:7" x14ac:dyDescent="0.35">
      <c r="A150" s="23">
        <v>149</v>
      </c>
      <c r="B150" s="23">
        <v>0.19700000000000001</v>
      </c>
      <c r="C150" s="23">
        <v>0.4</v>
      </c>
      <c r="D150" s="23">
        <v>0.22389999999999999</v>
      </c>
      <c r="E150" s="23">
        <v>19</v>
      </c>
      <c r="F150" s="23">
        <v>48</v>
      </c>
      <c r="G150" s="23">
        <v>67</v>
      </c>
    </row>
    <row r="151" spans="1:7" x14ac:dyDescent="0.35">
      <c r="A151" s="23">
        <v>150</v>
      </c>
      <c r="B151" s="23">
        <v>0.19700000000000001</v>
      </c>
      <c r="C151" s="23">
        <v>0.37</v>
      </c>
      <c r="D151" s="23">
        <v>0.25369999999999998</v>
      </c>
      <c r="E151" s="23">
        <v>9</v>
      </c>
      <c r="F151" s="23">
        <v>50</v>
      </c>
      <c r="G151" s="23">
        <v>59</v>
      </c>
    </row>
    <row r="152" spans="1:7" x14ac:dyDescent="0.35">
      <c r="A152" s="23">
        <v>151</v>
      </c>
      <c r="B152" s="23">
        <v>0.18179999999999999</v>
      </c>
      <c r="C152" s="23">
        <v>0.37</v>
      </c>
      <c r="D152" s="23">
        <v>0.28360000000000002</v>
      </c>
      <c r="E152" s="23">
        <v>9</v>
      </c>
      <c r="F152" s="23">
        <v>64</v>
      </c>
      <c r="G152" s="23">
        <v>73</v>
      </c>
    </row>
    <row r="153" spans="1:7" x14ac:dyDescent="0.35">
      <c r="A153" s="23">
        <v>152</v>
      </c>
      <c r="B153" s="23">
        <v>0.19700000000000001</v>
      </c>
      <c r="C153" s="23">
        <v>0.4</v>
      </c>
      <c r="D153" s="23">
        <v>0.25369999999999998</v>
      </c>
      <c r="E153" s="23">
        <v>7</v>
      </c>
      <c r="F153" s="23">
        <v>43</v>
      </c>
      <c r="G153" s="23">
        <v>50</v>
      </c>
    </row>
    <row r="154" spans="1:7" x14ac:dyDescent="0.35">
      <c r="A154" s="23">
        <v>153</v>
      </c>
      <c r="B154" s="23">
        <v>0.21210000000000001</v>
      </c>
      <c r="C154" s="23">
        <v>0.37</v>
      </c>
      <c r="D154" s="23">
        <v>0.16420000000000001</v>
      </c>
      <c r="E154" s="23">
        <v>9</v>
      </c>
      <c r="F154" s="23">
        <v>63</v>
      </c>
      <c r="G154" s="23">
        <v>72</v>
      </c>
    </row>
    <row r="155" spans="1:7" x14ac:dyDescent="0.35">
      <c r="A155" s="23">
        <v>154</v>
      </c>
      <c r="B155" s="23">
        <v>0.21210000000000001</v>
      </c>
      <c r="C155" s="23">
        <v>0.37</v>
      </c>
      <c r="D155" s="23">
        <v>0.16420000000000001</v>
      </c>
      <c r="E155" s="23">
        <v>5</v>
      </c>
      <c r="F155" s="23">
        <v>82</v>
      </c>
      <c r="G155" s="23">
        <v>87</v>
      </c>
    </row>
    <row r="156" spans="1:7" x14ac:dyDescent="0.35">
      <c r="A156" s="23">
        <v>155</v>
      </c>
      <c r="B156" s="23">
        <v>0.2576</v>
      </c>
      <c r="C156" s="23">
        <v>0.37</v>
      </c>
      <c r="D156" s="23">
        <v>0</v>
      </c>
      <c r="E156" s="23">
        <v>9</v>
      </c>
      <c r="F156" s="23">
        <v>178</v>
      </c>
      <c r="G156" s="23">
        <v>187</v>
      </c>
    </row>
    <row r="157" spans="1:7" x14ac:dyDescent="0.35">
      <c r="A157" s="23">
        <v>156</v>
      </c>
      <c r="B157" s="23">
        <v>0.2273</v>
      </c>
      <c r="C157" s="23">
        <v>0.4</v>
      </c>
      <c r="D157" s="23">
        <v>8.9599999999999999E-2</v>
      </c>
      <c r="E157" s="23">
        <v>7</v>
      </c>
      <c r="F157" s="23">
        <v>116</v>
      </c>
      <c r="G157" s="23">
        <v>123</v>
      </c>
    </row>
    <row r="158" spans="1:7" x14ac:dyDescent="0.35">
      <c r="A158" s="23">
        <v>157</v>
      </c>
      <c r="B158" s="23">
        <v>0.19700000000000001</v>
      </c>
      <c r="C158" s="23">
        <v>0.55000000000000004</v>
      </c>
      <c r="D158" s="23">
        <v>8.9599999999999999E-2</v>
      </c>
      <c r="E158" s="23">
        <v>3</v>
      </c>
      <c r="F158" s="23">
        <v>92</v>
      </c>
      <c r="G158" s="23">
        <v>95</v>
      </c>
    </row>
    <row r="159" spans="1:7" x14ac:dyDescent="0.35">
      <c r="A159" s="23">
        <v>158</v>
      </c>
      <c r="B159" s="23">
        <v>0.21210000000000001</v>
      </c>
      <c r="C159" s="23">
        <v>0.47</v>
      </c>
      <c r="D159" s="23">
        <v>0.1045</v>
      </c>
      <c r="E159" s="23">
        <v>1</v>
      </c>
      <c r="F159" s="23">
        <v>50</v>
      </c>
      <c r="G159" s="23">
        <v>51</v>
      </c>
    </row>
    <row r="160" spans="1:7" x14ac:dyDescent="0.35">
      <c r="A160" s="23">
        <v>159</v>
      </c>
      <c r="B160" s="23">
        <v>0.19700000000000001</v>
      </c>
      <c r="C160" s="23">
        <v>0.47</v>
      </c>
      <c r="D160" s="23">
        <v>0.1343</v>
      </c>
      <c r="E160" s="23">
        <v>0</v>
      </c>
      <c r="F160" s="23">
        <v>39</v>
      </c>
      <c r="G160" s="23">
        <v>39</v>
      </c>
    </row>
    <row r="161" spans="1:7" x14ac:dyDescent="0.35">
      <c r="A161" s="23">
        <v>160</v>
      </c>
      <c r="B161" s="23">
        <v>0.19700000000000001</v>
      </c>
      <c r="C161" s="23">
        <v>0.43</v>
      </c>
      <c r="D161" s="23">
        <v>0.16420000000000001</v>
      </c>
      <c r="E161" s="23">
        <v>2</v>
      </c>
      <c r="F161" s="23">
        <v>34</v>
      </c>
      <c r="G161" s="23">
        <v>36</v>
      </c>
    </row>
    <row r="162" spans="1:7" x14ac:dyDescent="0.35">
      <c r="A162" s="23">
        <v>161</v>
      </c>
      <c r="B162" s="23">
        <v>0.19700000000000001</v>
      </c>
      <c r="C162" s="23">
        <v>0.51</v>
      </c>
      <c r="D162" s="23">
        <v>0.16420000000000001</v>
      </c>
      <c r="E162" s="23">
        <v>1</v>
      </c>
      <c r="F162" s="23">
        <v>14</v>
      </c>
      <c r="G162" s="23">
        <v>15</v>
      </c>
    </row>
    <row r="163" spans="1:7" x14ac:dyDescent="0.35">
      <c r="A163" s="23">
        <v>162</v>
      </c>
      <c r="B163" s="23">
        <v>0.19700000000000001</v>
      </c>
      <c r="C163" s="23">
        <v>0.51</v>
      </c>
      <c r="D163" s="23">
        <v>0.16420000000000001</v>
      </c>
      <c r="E163" s="23">
        <v>1</v>
      </c>
      <c r="F163" s="23">
        <v>24</v>
      </c>
      <c r="G163" s="23">
        <v>25</v>
      </c>
    </row>
    <row r="164" spans="1:7" x14ac:dyDescent="0.35">
      <c r="A164" s="23">
        <v>163</v>
      </c>
      <c r="B164" s="23">
        <v>0.21210000000000001</v>
      </c>
      <c r="C164" s="23">
        <v>0.55000000000000004</v>
      </c>
      <c r="D164" s="23">
        <v>8.9599999999999999E-2</v>
      </c>
      <c r="E164" s="23">
        <v>1</v>
      </c>
      <c r="F164" s="23">
        <v>15</v>
      </c>
      <c r="G164" s="23">
        <v>16</v>
      </c>
    </row>
    <row r="165" spans="1:7" x14ac:dyDescent="0.35">
      <c r="A165" s="23">
        <v>164</v>
      </c>
      <c r="B165" s="23">
        <v>0.2424</v>
      </c>
      <c r="C165" s="23">
        <v>0.55000000000000004</v>
      </c>
      <c r="D165" s="23">
        <v>0</v>
      </c>
      <c r="E165" s="23">
        <v>3</v>
      </c>
      <c r="F165" s="23">
        <v>13</v>
      </c>
      <c r="G165" s="23">
        <v>16</v>
      </c>
    </row>
    <row r="166" spans="1:7" x14ac:dyDescent="0.35">
      <c r="A166" s="23">
        <v>165</v>
      </c>
      <c r="B166" s="23">
        <v>0.19700000000000001</v>
      </c>
      <c r="C166" s="23">
        <v>0.55000000000000004</v>
      </c>
      <c r="D166" s="23">
        <v>0.16420000000000001</v>
      </c>
      <c r="E166" s="23">
        <v>0</v>
      </c>
      <c r="F166" s="23">
        <v>7</v>
      </c>
      <c r="G166" s="23">
        <v>7</v>
      </c>
    </row>
    <row r="167" spans="1:7" x14ac:dyDescent="0.35">
      <c r="A167" s="23">
        <v>166</v>
      </c>
      <c r="B167" s="23">
        <v>0.19700000000000001</v>
      </c>
      <c r="C167" s="23">
        <v>0.55000000000000004</v>
      </c>
      <c r="D167" s="23">
        <v>0.16420000000000001</v>
      </c>
      <c r="E167" s="23">
        <v>0</v>
      </c>
      <c r="F167" s="23">
        <v>1</v>
      </c>
      <c r="G167" s="23">
        <v>1</v>
      </c>
    </row>
    <row r="168" spans="1:7" x14ac:dyDescent="0.35">
      <c r="A168" s="23">
        <v>167</v>
      </c>
      <c r="B168" s="23">
        <v>0.16669999999999999</v>
      </c>
      <c r="C168" s="23">
        <v>0.74</v>
      </c>
      <c r="D168" s="23">
        <v>0.16420000000000001</v>
      </c>
      <c r="E168" s="23">
        <v>0</v>
      </c>
      <c r="F168" s="23">
        <v>5</v>
      </c>
      <c r="G168" s="23">
        <v>5</v>
      </c>
    </row>
    <row r="169" spans="1:7" x14ac:dyDescent="0.35">
      <c r="A169" s="23">
        <v>168</v>
      </c>
      <c r="B169" s="23">
        <v>0.16669999999999999</v>
      </c>
      <c r="C169" s="23">
        <v>0.74</v>
      </c>
      <c r="D169" s="23">
        <v>0.16420000000000001</v>
      </c>
      <c r="E169" s="23">
        <v>0</v>
      </c>
      <c r="F169" s="23">
        <v>2</v>
      </c>
      <c r="G169" s="23">
        <v>2</v>
      </c>
    </row>
    <row r="170" spans="1:7" x14ac:dyDescent="0.35">
      <c r="A170" s="23">
        <v>169</v>
      </c>
      <c r="B170" s="23">
        <v>0.18179999999999999</v>
      </c>
      <c r="C170" s="23">
        <v>0.74</v>
      </c>
      <c r="D170" s="23">
        <v>0.1045</v>
      </c>
      <c r="E170" s="23">
        <v>1</v>
      </c>
      <c r="F170" s="23">
        <v>8</v>
      </c>
      <c r="G170" s="23">
        <v>9</v>
      </c>
    </row>
    <row r="171" spans="1:7" x14ac:dyDescent="0.35">
      <c r="A171" s="23">
        <v>170</v>
      </c>
      <c r="B171" s="23">
        <v>0.18179999999999999</v>
      </c>
      <c r="C171" s="23">
        <v>0.93</v>
      </c>
      <c r="D171" s="23">
        <v>0.1045</v>
      </c>
      <c r="E171" s="23">
        <v>0</v>
      </c>
      <c r="F171" s="23">
        <v>15</v>
      </c>
      <c r="G171" s="23">
        <v>15</v>
      </c>
    </row>
    <row r="172" spans="1:7" x14ac:dyDescent="0.35">
      <c r="A172" s="23">
        <v>171</v>
      </c>
      <c r="B172" s="23">
        <v>0.18179999999999999</v>
      </c>
      <c r="C172" s="23">
        <v>0.93</v>
      </c>
      <c r="D172" s="23">
        <v>0.1045</v>
      </c>
      <c r="E172" s="23">
        <v>0</v>
      </c>
      <c r="F172" s="23">
        <v>20</v>
      </c>
      <c r="G172" s="23">
        <v>20</v>
      </c>
    </row>
    <row r="173" spans="1:7" x14ac:dyDescent="0.35">
      <c r="A173" s="23">
        <v>172</v>
      </c>
      <c r="B173" s="23">
        <v>0.19700000000000001</v>
      </c>
      <c r="C173" s="23">
        <v>0.8</v>
      </c>
      <c r="D173" s="23">
        <v>0.16420000000000001</v>
      </c>
      <c r="E173" s="23">
        <v>5</v>
      </c>
      <c r="F173" s="23">
        <v>56</v>
      </c>
      <c r="G173" s="23">
        <v>61</v>
      </c>
    </row>
    <row r="174" spans="1:7" x14ac:dyDescent="0.35">
      <c r="A174" s="23">
        <v>173</v>
      </c>
      <c r="B174" s="23">
        <v>0.18179999999999999</v>
      </c>
      <c r="C174" s="23">
        <v>0.69</v>
      </c>
      <c r="D174" s="23">
        <v>0.3881</v>
      </c>
      <c r="E174" s="23">
        <v>2</v>
      </c>
      <c r="F174" s="23">
        <v>60</v>
      </c>
      <c r="G174" s="23">
        <v>62</v>
      </c>
    </row>
    <row r="175" spans="1:7" x14ac:dyDescent="0.35">
      <c r="A175" s="23">
        <v>174</v>
      </c>
      <c r="B175" s="23">
        <v>0.18179999999999999</v>
      </c>
      <c r="C175" s="23">
        <v>0.59</v>
      </c>
      <c r="D175" s="23">
        <v>0.35820000000000002</v>
      </c>
      <c r="E175" s="23">
        <v>8</v>
      </c>
      <c r="F175" s="23">
        <v>90</v>
      </c>
      <c r="G175" s="23">
        <v>98</v>
      </c>
    </row>
    <row r="176" spans="1:7" x14ac:dyDescent="0.35">
      <c r="A176" s="23">
        <v>175</v>
      </c>
      <c r="B176" s="23">
        <v>0.18179999999999999</v>
      </c>
      <c r="C176" s="23">
        <v>0.44</v>
      </c>
      <c r="D176" s="23">
        <v>0.32840000000000003</v>
      </c>
      <c r="E176" s="23">
        <v>7</v>
      </c>
      <c r="F176" s="23">
        <v>95</v>
      </c>
      <c r="G176" s="23">
        <v>102</v>
      </c>
    </row>
    <row r="177" spans="1:7" x14ac:dyDescent="0.35">
      <c r="A177" s="23">
        <v>176</v>
      </c>
      <c r="B177" s="23">
        <v>0.16669999999999999</v>
      </c>
      <c r="C177" s="23">
        <v>0.32</v>
      </c>
      <c r="D177" s="23">
        <v>0.49249999999999999</v>
      </c>
      <c r="E177" s="23">
        <v>12</v>
      </c>
      <c r="F177" s="23">
        <v>83</v>
      </c>
      <c r="G177" s="23">
        <v>95</v>
      </c>
    </row>
    <row r="178" spans="1:7" x14ac:dyDescent="0.35">
      <c r="A178" s="23">
        <v>177</v>
      </c>
      <c r="B178" s="23">
        <v>0.16669999999999999</v>
      </c>
      <c r="C178" s="23">
        <v>0.32</v>
      </c>
      <c r="D178" s="23">
        <v>0.44779999999999998</v>
      </c>
      <c r="E178" s="23">
        <v>5</v>
      </c>
      <c r="F178" s="23">
        <v>69</v>
      </c>
      <c r="G178" s="23">
        <v>74</v>
      </c>
    </row>
    <row r="179" spans="1:7" x14ac:dyDescent="0.35">
      <c r="A179" s="23">
        <v>178</v>
      </c>
      <c r="B179" s="23">
        <v>0.13639999999999999</v>
      </c>
      <c r="C179" s="23">
        <v>0.28999999999999998</v>
      </c>
      <c r="D179" s="23">
        <v>0.44779999999999998</v>
      </c>
      <c r="E179" s="23">
        <v>8</v>
      </c>
      <c r="F179" s="23">
        <v>68</v>
      </c>
      <c r="G179" s="23">
        <v>76</v>
      </c>
    </row>
    <row r="180" spans="1:7" x14ac:dyDescent="0.35">
      <c r="A180" s="23">
        <v>179</v>
      </c>
      <c r="B180" s="23">
        <v>0.1212</v>
      </c>
      <c r="C180" s="23">
        <v>0.37</v>
      </c>
      <c r="D180" s="23">
        <v>0.55220000000000002</v>
      </c>
      <c r="E180" s="23">
        <v>5</v>
      </c>
      <c r="F180" s="23">
        <v>64</v>
      </c>
      <c r="G180" s="23">
        <v>69</v>
      </c>
    </row>
    <row r="181" spans="1:7" x14ac:dyDescent="0.35">
      <c r="A181" s="23">
        <v>180</v>
      </c>
      <c r="B181" s="23">
        <v>0.1212</v>
      </c>
      <c r="C181" s="23">
        <v>0.39</v>
      </c>
      <c r="D181" s="23">
        <v>0.29849999999999999</v>
      </c>
      <c r="E181" s="23">
        <v>3</v>
      </c>
      <c r="F181" s="23">
        <v>52</v>
      </c>
      <c r="G181" s="23">
        <v>55</v>
      </c>
    </row>
    <row r="182" spans="1:7" x14ac:dyDescent="0.35">
      <c r="A182" s="23">
        <v>181</v>
      </c>
      <c r="B182" s="23">
        <v>0.1212</v>
      </c>
      <c r="C182" s="23">
        <v>0.36</v>
      </c>
      <c r="D182" s="23">
        <v>0.25369999999999998</v>
      </c>
      <c r="E182" s="23">
        <v>4</v>
      </c>
      <c r="F182" s="23">
        <v>26</v>
      </c>
      <c r="G182" s="23">
        <v>30</v>
      </c>
    </row>
    <row r="183" spans="1:7" x14ac:dyDescent="0.35">
      <c r="A183" s="23">
        <v>182</v>
      </c>
      <c r="B183" s="23">
        <v>0.1212</v>
      </c>
      <c r="C183" s="23">
        <v>0.36</v>
      </c>
      <c r="D183" s="23">
        <v>0.25369999999999998</v>
      </c>
      <c r="E183" s="23">
        <v>0</v>
      </c>
      <c r="F183" s="23">
        <v>28</v>
      </c>
      <c r="G183" s="23">
        <v>28</v>
      </c>
    </row>
    <row r="184" spans="1:7" x14ac:dyDescent="0.35">
      <c r="A184" s="23">
        <v>183</v>
      </c>
      <c r="B184" s="23">
        <v>0.1061</v>
      </c>
      <c r="C184" s="23">
        <v>0.39</v>
      </c>
      <c r="D184" s="23">
        <v>0.35820000000000002</v>
      </c>
      <c r="E184" s="23">
        <v>2</v>
      </c>
      <c r="F184" s="23">
        <v>35</v>
      </c>
      <c r="G184" s="23">
        <v>37</v>
      </c>
    </row>
    <row r="185" spans="1:7" x14ac:dyDescent="0.35">
      <c r="A185" s="23">
        <v>184</v>
      </c>
      <c r="B185" s="23">
        <v>0.1061</v>
      </c>
      <c r="C185" s="23">
        <v>0.36</v>
      </c>
      <c r="D185" s="23">
        <v>0.3881</v>
      </c>
      <c r="E185" s="23">
        <v>1</v>
      </c>
      <c r="F185" s="23">
        <v>33</v>
      </c>
      <c r="G185" s="23">
        <v>34</v>
      </c>
    </row>
    <row r="186" spans="1:7" x14ac:dyDescent="0.35">
      <c r="A186" s="23">
        <v>185</v>
      </c>
      <c r="B186" s="23">
        <v>6.0600000000000001E-2</v>
      </c>
      <c r="C186" s="23">
        <v>0.39</v>
      </c>
      <c r="D186" s="23">
        <v>0.44779999999999998</v>
      </c>
      <c r="E186" s="23">
        <v>0</v>
      </c>
      <c r="F186" s="23">
        <v>22</v>
      </c>
      <c r="G186" s="23">
        <v>22</v>
      </c>
    </row>
    <row r="187" spans="1:7" x14ac:dyDescent="0.35">
      <c r="A187" s="23">
        <v>186</v>
      </c>
      <c r="B187" s="23">
        <v>7.5800000000000006E-2</v>
      </c>
      <c r="C187" s="23">
        <v>0.42</v>
      </c>
      <c r="D187" s="23">
        <v>0.3881</v>
      </c>
      <c r="E187" s="23">
        <v>1</v>
      </c>
      <c r="F187" s="23">
        <v>24</v>
      </c>
      <c r="G187" s="23">
        <v>25</v>
      </c>
    </row>
    <row r="188" spans="1:7" x14ac:dyDescent="0.35">
      <c r="A188" s="23">
        <v>187</v>
      </c>
      <c r="B188" s="23">
        <v>6.0600000000000001E-2</v>
      </c>
      <c r="C188" s="23">
        <v>0.42</v>
      </c>
      <c r="D188" s="23">
        <v>0.4627</v>
      </c>
      <c r="E188" s="23">
        <v>0</v>
      </c>
      <c r="F188" s="23">
        <v>12</v>
      </c>
      <c r="G188" s="23">
        <v>12</v>
      </c>
    </row>
    <row r="189" spans="1:7" x14ac:dyDescent="0.35">
      <c r="A189" s="23">
        <v>188</v>
      </c>
      <c r="B189" s="23">
        <v>6.0600000000000001E-2</v>
      </c>
      <c r="C189" s="23">
        <v>0.46</v>
      </c>
      <c r="D189" s="23">
        <v>0.4627</v>
      </c>
      <c r="E189" s="23">
        <v>0</v>
      </c>
      <c r="F189" s="23">
        <v>11</v>
      </c>
      <c r="G189" s="23">
        <v>11</v>
      </c>
    </row>
    <row r="190" spans="1:7" x14ac:dyDescent="0.35">
      <c r="A190" s="23">
        <v>189</v>
      </c>
      <c r="B190" s="23">
        <v>7.5800000000000006E-2</v>
      </c>
      <c r="C190" s="23">
        <v>0.46</v>
      </c>
      <c r="D190" s="23">
        <v>0.41789999999999999</v>
      </c>
      <c r="E190" s="23">
        <v>0</v>
      </c>
      <c r="F190" s="23">
        <v>4</v>
      </c>
      <c r="G190" s="23">
        <v>4</v>
      </c>
    </row>
    <row r="191" spans="1:7" x14ac:dyDescent="0.35">
      <c r="A191" s="23">
        <v>190</v>
      </c>
      <c r="B191" s="23">
        <v>9.0899999999999995E-2</v>
      </c>
      <c r="C191" s="23">
        <v>0.53</v>
      </c>
      <c r="D191" s="23">
        <v>0.19400000000000001</v>
      </c>
      <c r="E191" s="23">
        <v>0</v>
      </c>
      <c r="F191" s="23">
        <v>1</v>
      </c>
      <c r="G191" s="23">
        <v>1</v>
      </c>
    </row>
    <row r="192" spans="1:7" x14ac:dyDescent="0.35">
      <c r="A192" s="23">
        <v>191</v>
      </c>
      <c r="B192" s="23">
        <v>9.0899999999999995E-2</v>
      </c>
      <c r="C192" s="23">
        <v>0.53</v>
      </c>
      <c r="D192" s="23">
        <v>0.19400000000000001</v>
      </c>
      <c r="E192" s="23">
        <v>0</v>
      </c>
      <c r="F192" s="23">
        <v>1</v>
      </c>
      <c r="G192" s="23">
        <v>1</v>
      </c>
    </row>
    <row r="193" spans="1:7" x14ac:dyDescent="0.35">
      <c r="A193" s="23">
        <v>192</v>
      </c>
      <c r="B193" s="23">
        <v>9.0899999999999995E-2</v>
      </c>
      <c r="C193" s="23">
        <v>0.49</v>
      </c>
      <c r="D193" s="23">
        <v>0.28360000000000002</v>
      </c>
      <c r="E193" s="23">
        <v>0</v>
      </c>
      <c r="F193" s="23">
        <v>1</v>
      </c>
      <c r="G193" s="23">
        <v>1</v>
      </c>
    </row>
    <row r="194" spans="1:7" x14ac:dyDescent="0.35">
      <c r="A194" s="23">
        <v>193</v>
      </c>
      <c r="B194" s="23">
        <v>9.0899999999999995E-2</v>
      </c>
      <c r="C194" s="23">
        <v>0.53</v>
      </c>
      <c r="D194" s="23">
        <v>0.19400000000000001</v>
      </c>
      <c r="E194" s="23">
        <v>1</v>
      </c>
      <c r="F194" s="23">
        <v>5</v>
      </c>
      <c r="G194" s="23">
        <v>6</v>
      </c>
    </row>
    <row r="195" spans="1:7" x14ac:dyDescent="0.35">
      <c r="A195" s="23">
        <v>194</v>
      </c>
      <c r="B195" s="23">
        <v>9.0899999999999995E-2</v>
      </c>
      <c r="C195" s="23">
        <v>0.49</v>
      </c>
      <c r="D195" s="23">
        <v>0.28360000000000002</v>
      </c>
      <c r="E195" s="23">
        <v>0</v>
      </c>
      <c r="F195" s="23">
        <v>10</v>
      </c>
      <c r="G195" s="23">
        <v>10</v>
      </c>
    </row>
    <row r="196" spans="1:7" x14ac:dyDescent="0.35">
      <c r="A196" s="23">
        <v>195</v>
      </c>
      <c r="B196" s="23">
        <v>7.5800000000000006E-2</v>
      </c>
      <c r="C196" s="23">
        <v>0.46</v>
      </c>
      <c r="D196" s="23">
        <v>0.52239999999999998</v>
      </c>
      <c r="E196" s="23">
        <v>0</v>
      </c>
      <c r="F196" s="23">
        <v>19</v>
      </c>
      <c r="G196" s="23">
        <v>19</v>
      </c>
    </row>
    <row r="197" spans="1:7" x14ac:dyDescent="0.35">
      <c r="A197" s="23">
        <v>196</v>
      </c>
      <c r="B197" s="23">
        <v>0.1061</v>
      </c>
      <c r="C197" s="23">
        <v>0.43</v>
      </c>
      <c r="D197" s="23">
        <v>0.3881</v>
      </c>
      <c r="E197" s="23">
        <v>0</v>
      </c>
      <c r="F197" s="23">
        <v>49</v>
      </c>
      <c r="G197" s="23">
        <v>49</v>
      </c>
    </row>
    <row r="198" spans="1:7" x14ac:dyDescent="0.35">
      <c r="A198" s="23">
        <v>197</v>
      </c>
      <c r="B198" s="23">
        <v>0.1212</v>
      </c>
      <c r="C198" s="23">
        <v>0.4</v>
      </c>
      <c r="D198" s="23">
        <v>0.52239999999999998</v>
      </c>
      <c r="E198" s="23">
        <v>2</v>
      </c>
      <c r="F198" s="23">
        <v>47</v>
      </c>
      <c r="G198" s="23">
        <v>49</v>
      </c>
    </row>
    <row r="199" spans="1:7" x14ac:dyDescent="0.35">
      <c r="A199" s="23">
        <v>198</v>
      </c>
      <c r="B199" s="23">
        <v>0.13639999999999999</v>
      </c>
      <c r="C199" s="23">
        <v>0.37</v>
      </c>
      <c r="D199" s="23">
        <v>0.44779999999999998</v>
      </c>
      <c r="E199" s="23">
        <v>4</v>
      </c>
      <c r="F199" s="23">
        <v>79</v>
      </c>
      <c r="G199" s="23">
        <v>83</v>
      </c>
    </row>
    <row r="200" spans="1:7" x14ac:dyDescent="0.35">
      <c r="A200" s="23">
        <v>199</v>
      </c>
      <c r="B200" s="23">
        <v>0.16669999999999999</v>
      </c>
      <c r="C200" s="23">
        <v>0.34</v>
      </c>
      <c r="D200" s="23">
        <v>0.44779999999999998</v>
      </c>
      <c r="E200" s="23">
        <v>6</v>
      </c>
      <c r="F200" s="23">
        <v>69</v>
      </c>
      <c r="G200" s="23">
        <v>75</v>
      </c>
    </row>
    <row r="201" spans="1:7" x14ac:dyDescent="0.35">
      <c r="A201" s="23">
        <v>200</v>
      </c>
      <c r="B201" s="23">
        <v>0.18179999999999999</v>
      </c>
      <c r="C201" s="23">
        <v>0.32</v>
      </c>
      <c r="D201" s="23">
        <v>0.4627</v>
      </c>
      <c r="E201" s="23">
        <v>8</v>
      </c>
      <c r="F201" s="23">
        <v>64</v>
      </c>
      <c r="G201" s="23">
        <v>72</v>
      </c>
    </row>
    <row r="202" spans="1:7" x14ac:dyDescent="0.35">
      <c r="A202" s="23">
        <v>201</v>
      </c>
      <c r="B202" s="23">
        <v>0.19700000000000001</v>
      </c>
      <c r="C202" s="23">
        <v>0.35</v>
      </c>
      <c r="D202" s="23">
        <v>0.35820000000000002</v>
      </c>
      <c r="E202" s="23">
        <v>5</v>
      </c>
      <c r="F202" s="23">
        <v>77</v>
      </c>
      <c r="G202" s="23">
        <v>82</v>
      </c>
    </row>
    <row r="203" spans="1:7" x14ac:dyDescent="0.35">
      <c r="A203" s="23">
        <v>202</v>
      </c>
      <c r="B203" s="23">
        <v>0.16669999999999999</v>
      </c>
      <c r="C203" s="23">
        <v>0.34</v>
      </c>
      <c r="D203" s="23">
        <v>0.44779999999999998</v>
      </c>
      <c r="E203" s="23">
        <v>13</v>
      </c>
      <c r="F203" s="23">
        <v>79</v>
      </c>
      <c r="G203" s="23">
        <v>92</v>
      </c>
    </row>
    <row r="204" spans="1:7" x14ac:dyDescent="0.35">
      <c r="A204" s="23">
        <v>203</v>
      </c>
      <c r="B204" s="23">
        <v>0.1515</v>
      </c>
      <c r="C204" s="23">
        <v>0.37</v>
      </c>
      <c r="D204" s="23">
        <v>0.3881</v>
      </c>
      <c r="E204" s="23">
        <v>3</v>
      </c>
      <c r="F204" s="23">
        <v>59</v>
      </c>
      <c r="G204" s="23">
        <v>62</v>
      </c>
    </row>
    <row r="205" spans="1:7" x14ac:dyDescent="0.35">
      <c r="A205" s="23">
        <v>204</v>
      </c>
      <c r="B205" s="23">
        <v>0.13639999999999999</v>
      </c>
      <c r="C205" s="23">
        <v>0.4</v>
      </c>
      <c r="D205" s="23">
        <v>0.32840000000000003</v>
      </c>
      <c r="E205" s="23">
        <v>4</v>
      </c>
      <c r="F205" s="23">
        <v>44</v>
      </c>
      <c r="G205" s="23">
        <v>48</v>
      </c>
    </row>
    <row r="206" spans="1:7" x14ac:dyDescent="0.35">
      <c r="A206" s="23">
        <v>205</v>
      </c>
      <c r="B206" s="23">
        <v>0.13639999999999999</v>
      </c>
      <c r="C206" s="23">
        <v>0.43</v>
      </c>
      <c r="D206" s="23">
        <v>0.32840000000000003</v>
      </c>
      <c r="E206" s="23">
        <v>1</v>
      </c>
      <c r="F206" s="23">
        <v>40</v>
      </c>
      <c r="G206" s="23">
        <v>41</v>
      </c>
    </row>
    <row r="207" spans="1:7" x14ac:dyDescent="0.35">
      <c r="A207" s="23">
        <v>206</v>
      </c>
      <c r="B207" s="23">
        <v>0.1212</v>
      </c>
      <c r="C207" s="23">
        <v>0.46</v>
      </c>
      <c r="D207" s="23">
        <v>0.25369999999999998</v>
      </c>
      <c r="E207" s="23">
        <v>0</v>
      </c>
      <c r="F207" s="23">
        <v>38</v>
      </c>
      <c r="G207" s="23">
        <v>38</v>
      </c>
    </row>
    <row r="208" spans="1:7" x14ac:dyDescent="0.35">
      <c r="A208" s="23">
        <v>207</v>
      </c>
      <c r="B208" s="23">
        <v>0.1061</v>
      </c>
      <c r="C208" s="23">
        <v>0.46</v>
      </c>
      <c r="D208" s="23">
        <v>0.41789999999999999</v>
      </c>
      <c r="E208" s="23">
        <v>1</v>
      </c>
      <c r="F208" s="23">
        <v>19</v>
      </c>
      <c r="G208" s="23">
        <v>20</v>
      </c>
    </row>
    <row r="209" spans="1:7" x14ac:dyDescent="0.35">
      <c r="A209" s="23">
        <v>208</v>
      </c>
      <c r="B209" s="23">
        <v>0.1212</v>
      </c>
      <c r="C209" s="23">
        <v>0.46</v>
      </c>
      <c r="D209" s="23">
        <v>0.29849999999999999</v>
      </c>
      <c r="E209" s="23">
        <v>5</v>
      </c>
      <c r="F209" s="23">
        <v>10</v>
      </c>
      <c r="G209" s="23">
        <v>15</v>
      </c>
    </row>
    <row r="210" spans="1:7" x14ac:dyDescent="0.35">
      <c r="A210" s="23">
        <v>209</v>
      </c>
      <c r="B210" s="23">
        <v>0.13639999999999999</v>
      </c>
      <c r="C210" s="23">
        <v>0.5</v>
      </c>
      <c r="D210" s="23">
        <v>0.19400000000000001</v>
      </c>
      <c r="E210" s="23">
        <v>0</v>
      </c>
      <c r="F210" s="23">
        <v>6</v>
      </c>
      <c r="G210" s="23">
        <v>6</v>
      </c>
    </row>
    <row r="211" spans="1:7" x14ac:dyDescent="0.35">
      <c r="A211" s="23">
        <v>210</v>
      </c>
      <c r="B211" s="23">
        <v>0.1212</v>
      </c>
      <c r="C211" s="23">
        <v>0.5</v>
      </c>
      <c r="D211" s="23">
        <v>0.28360000000000002</v>
      </c>
      <c r="E211" s="23">
        <v>2</v>
      </c>
      <c r="F211" s="23">
        <v>3</v>
      </c>
      <c r="G211" s="23">
        <v>5</v>
      </c>
    </row>
    <row r="212" spans="1:7" x14ac:dyDescent="0.35">
      <c r="A212" s="23">
        <v>211</v>
      </c>
      <c r="B212" s="23">
        <v>0.1212</v>
      </c>
      <c r="C212" s="23">
        <v>0.5</v>
      </c>
      <c r="D212" s="23">
        <v>0.28360000000000002</v>
      </c>
      <c r="E212" s="23">
        <v>1</v>
      </c>
      <c r="F212" s="23">
        <v>0</v>
      </c>
      <c r="G212" s="23">
        <v>1</v>
      </c>
    </row>
    <row r="213" spans="1:7" x14ac:dyDescent="0.35">
      <c r="A213" s="23">
        <v>212</v>
      </c>
      <c r="B213" s="23">
        <v>0.1212</v>
      </c>
      <c r="C213" s="23">
        <v>0.5</v>
      </c>
      <c r="D213" s="23">
        <v>0.22389999999999999</v>
      </c>
      <c r="E213" s="23">
        <v>0</v>
      </c>
      <c r="F213" s="23">
        <v>3</v>
      </c>
      <c r="G213" s="23">
        <v>3</v>
      </c>
    </row>
    <row r="214" spans="1:7" x14ac:dyDescent="0.35">
      <c r="A214" s="23">
        <v>213</v>
      </c>
      <c r="B214" s="23">
        <v>0.1212</v>
      </c>
      <c r="C214" s="23">
        <v>0.5</v>
      </c>
      <c r="D214" s="23">
        <v>0.22389999999999999</v>
      </c>
      <c r="E214" s="23">
        <v>0</v>
      </c>
      <c r="F214" s="23">
        <v>1</v>
      </c>
      <c r="G214" s="23">
        <v>1</v>
      </c>
    </row>
    <row r="215" spans="1:7" x14ac:dyDescent="0.35">
      <c r="A215" s="23">
        <v>214</v>
      </c>
      <c r="B215" s="23">
        <v>0.1212</v>
      </c>
      <c r="C215" s="23">
        <v>0.54</v>
      </c>
      <c r="D215" s="23">
        <v>0.1343</v>
      </c>
      <c r="E215" s="23">
        <v>1</v>
      </c>
      <c r="F215" s="23">
        <v>2</v>
      </c>
      <c r="G215" s="23">
        <v>3</v>
      </c>
    </row>
    <row r="216" spans="1:7" x14ac:dyDescent="0.35">
      <c r="A216" s="23">
        <v>215</v>
      </c>
      <c r="B216" s="23">
        <v>0.1061</v>
      </c>
      <c r="C216" s="23">
        <v>0.54</v>
      </c>
      <c r="D216" s="23">
        <v>0.25369999999999998</v>
      </c>
      <c r="E216" s="23">
        <v>0</v>
      </c>
      <c r="F216" s="23">
        <v>3</v>
      </c>
      <c r="G216" s="23">
        <v>3</v>
      </c>
    </row>
    <row r="217" spans="1:7" x14ac:dyDescent="0.35">
      <c r="A217" s="23">
        <v>216</v>
      </c>
      <c r="B217" s="23">
        <v>0.1212</v>
      </c>
      <c r="C217" s="23">
        <v>0.5</v>
      </c>
      <c r="D217" s="23">
        <v>0.28360000000000002</v>
      </c>
      <c r="E217" s="23">
        <v>0</v>
      </c>
      <c r="F217" s="23">
        <v>31</v>
      </c>
      <c r="G217" s="23">
        <v>31</v>
      </c>
    </row>
    <row r="218" spans="1:7" x14ac:dyDescent="0.35">
      <c r="A218" s="23">
        <v>217</v>
      </c>
      <c r="B218" s="23">
        <v>0.1212</v>
      </c>
      <c r="C218" s="23">
        <v>0.5</v>
      </c>
      <c r="D218" s="23">
        <v>0.22389999999999999</v>
      </c>
      <c r="E218" s="23">
        <v>2</v>
      </c>
      <c r="F218" s="23">
        <v>75</v>
      </c>
      <c r="G218" s="23">
        <v>77</v>
      </c>
    </row>
    <row r="219" spans="1:7" x14ac:dyDescent="0.35">
      <c r="A219" s="23">
        <v>218</v>
      </c>
      <c r="B219" s="23">
        <v>0.1212</v>
      </c>
      <c r="C219" s="23">
        <v>0.5</v>
      </c>
      <c r="D219" s="23">
        <v>0.28360000000000002</v>
      </c>
      <c r="E219" s="23">
        <v>4</v>
      </c>
      <c r="F219" s="23">
        <v>184</v>
      </c>
      <c r="G219" s="23">
        <v>188</v>
      </c>
    </row>
    <row r="220" spans="1:7" x14ac:dyDescent="0.35">
      <c r="A220" s="23">
        <v>219</v>
      </c>
      <c r="B220" s="23">
        <v>0.1212</v>
      </c>
      <c r="C220" s="23">
        <v>0.5</v>
      </c>
      <c r="D220" s="23">
        <v>0.25369999999999998</v>
      </c>
      <c r="E220" s="23">
        <v>2</v>
      </c>
      <c r="F220" s="23">
        <v>92</v>
      </c>
      <c r="G220" s="23">
        <v>94</v>
      </c>
    </row>
    <row r="221" spans="1:7" x14ac:dyDescent="0.35">
      <c r="A221" s="23">
        <v>220</v>
      </c>
      <c r="B221" s="23">
        <v>0.1212</v>
      </c>
      <c r="C221" s="23">
        <v>0.5</v>
      </c>
      <c r="D221" s="23">
        <v>0.29849999999999999</v>
      </c>
      <c r="E221" s="23">
        <v>0</v>
      </c>
      <c r="F221" s="23">
        <v>31</v>
      </c>
      <c r="G221" s="23">
        <v>31</v>
      </c>
    </row>
    <row r="222" spans="1:7" x14ac:dyDescent="0.35">
      <c r="A222" s="23">
        <v>221</v>
      </c>
      <c r="B222" s="23">
        <v>0.13639999999999999</v>
      </c>
      <c r="C222" s="23">
        <v>0.47</v>
      </c>
      <c r="D222" s="23">
        <v>0.28360000000000002</v>
      </c>
      <c r="E222" s="23">
        <v>2</v>
      </c>
      <c r="F222" s="23">
        <v>28</v>
      </c>
      <c r="G222" s="23">
        <v>30</v>
      </c>
    </row>
    <row r="223" spans="1:7" x14ac:dyDescent="0.35">
      <c r="A223" s="23">
        <v>222</v>
      </c>
      <c r="B223" s="23">
        <v>0.18179999999999999</v>
      </c>
      <c r="C223" s="23">
        <v>0.4</v>
      </c>
      <c r="D223" s="23">
        <v>0.28360000000000002</v>
      </c>
      <c r="E223" s="23">
        <v>5</v>
      </c>
      <c r="F223" s="23">
        <v>47</v>
      </c>
      <c r="G223" s="23">
        <v>52</v>
      </c>
    </row>
    <row r="224" spans="1:7" x14ac:dyDescent="0.35">
      <c r="A224" s="23">
        <v>223</v>
      </c>
      <c r="B224" s="23">
        <v>0.18179999999999999</v>
      </c>
      <c r="C224" s="23">
        <v>0.4</v>
      </c>
      <c r="D224" s="23">
        <v>0.28360000000000002</v>
      </c>
      <c r="E224" s="23">
        <v>4</v>
      </c>
      <c r="F224" s="23">
        <v>50</v>
      </c>
      <c r="G224" s="23">
        <v>54</v>
      </c>
    </row>
    <row r="225" spans="1:7" x14ac:dyDescent="0.35">
      <c r="A225" s="23">
        <v>224</v>
      </c>
      <c r="B225" s="23">
        <v>0.19700000000000001</v>
      </c>
      <c r="C225" s="23">
        <v>0.4</v>
      </c>
      <c r="D225" s="23">
        <v>0.22389999999999999</v>
      </c>
      <c r="E225" s="23">
        <v>0</v>
      </c>
      <c r="F225" s="23">
        <v>47</v>
      </c>
      <c r="G225" s="23">
        <v>47</v>
      </c>
    </row>
    <row r="226" spans="1:7" x14ac:dyDescent="0.35">
      <c r="A226" s="23">
        <v>225</v>
      </c>
      <c r="B226" s="23">
        <v>0.19700000000000001</v>
      </c>
      <c r="C226" s="23">
        <v>0.4</v>
      </c>
      <c r="D226" s="23">
        <v>0.22389999999999999</v>
      </c>
      <c r="E226" s="23">
        <v>2</v>
      </c>
      <c r="F226" s="23">
        <v>43</v>
      </c>
      <c r="G226" s="23">
        <v>45</v>
      </c>
    </row>
    <row r="227" spans="1:7" x14ac:dyDescent="0.35">
      <c r="A227" s="23">
        <v>226</v>
      </c>
      <c r="B227" s="23">
        <v>0.21210000000000001</v>
      </c>
      <c r="C227" s="23">
        <v>0.4</v>
      </c>
      <c r="D227" s="23">
        <v>0.1343</v>
      </c>
      <c r="E227" s="23">
        <v>4</v>
      </c>
      <c r="F227" s="23">
        <v>70</v>
      </c>
      <c r="G227" s="23">
        <v>74</v>
      </c>
    </row>
    <row r="228" spans="1:7" x14ac:dyDescent="0.35">
      <c r="A228" s="23">
        <v>227</v>
      </c>
      <c r="B228" s="23">
        <v>0.2273</v>
      </c>
      <c r="C228" s="23">
        <v>0.4</v>
      </c>
      <c r="D228" s="23">
        <v>0.1045</v>
      </c>
      <c r="E228" s="23">
        <v>4</v>
      </c>
      <c r="F228" s="23">
        <v>174</v>
      </c>
      <c r="G228" s="23">
        <v>178</v>
      </c>
    </row>
    <row r="229" spans="1:7" x14ac:dyDescent="0.35">
      <c r="A229" s="23">
        <v>228</v>
      </c>
      <c r="B229" s="23">
        <v>0.19700000000000001</v>
      </c>
      <c r="C229" s="23">
        <v>0.4</v>
      </c>
      <c r="D229" s="23">
        <v>0.22389999999999999</v>
      </c>
      <c r="E229" s="23">
        <v>1</v>
      </c>
      <c r="F229" s="23">
        <v>154</v>
      </c>
      <c r="G229" s="23">
        <v>155</v>
      </c>
    </row>
    <row r="230" spans="1:7" x14ac:dyDescent="0.35">
      <c r="A230" s="23">
        <v>229</v>
      </c>
      <c r="B230" s="23">
        <v>0.16669999999999999</v>
      </c>
      <c r="C230" s="23">
        <v>0.47</v>
      </c>
      <c r="D230" s="23">
        <v>0.16420000000000001</v>
      </c>
      <c r="E230" s="23">
        <v>3</v>
      </c>
      <c r="F230" s="23">
        <v>92</v>
      </c>
      <c r="G230" s="23">
        <v>95</v>
      </c>
    </row>
    <row r="231" spans="1:7" x14ac:dyDescent="0.35">
      <c r="A231" s="23">
        <v>230</v>
      </c>
      <c r="B231" s="23">
        <v>0.16669999999999999</v>
      </c>
      <c r="C231" s="23">
        <v>0.5</v>
      </c>
      <c r="D231" s="23">
        <v>0.16420000000000001</v>
      </c>
      <c r="E231" s="23">
        <v>1</v>
      </c>
      <c r="F231" s="23">
        <v>73</v>
      </c>
      <c r="G231" s="23">
        <v>74</v>
      </c>
    </row>
    <row r="232" spans="1:7" x14ac:dyDescent="0.35">
      <c r="A232" s="23">
        <v>231</v>
      </c>
      <c r="B232" s="23">
        <v>0.13639999999999999</v>
      </c>
      <c r="C232" s="23">
        <v>0.59</v>
      </c>
      <c r="D232" s="23">
        <v>0.19400000000000001</v>
      </c>
      <c r="E232" s="23">
        <v>1</v>
      </c>
      <c r="F232" s="23">
        <v>37</v>
      </c>
      <c r="G232" s="23">
        <v>38</v>
      </c>
    </row>
    <row r="233" spans="1:7" x14ac:dyDescent="0.35">
      <c r="A233" s="23">
        <v>232</v>
      </c>
      <c r="B233" s="23">
        <v>0.1515</v>
      </c>
      <c r="C233" s="23">
        <v>0.59</v>
      </c>
      <c r="D233" s="23">
        <v>0.16420000000000001</v>
      </c>
      <c r="E233" s="23">
        <v>2</v>
      </c>
      <c r="F233" s="23">
        <v>22</v>
      </c>
      <c r="G233" s="23">
        <v>24</v>
      </c>
    </row>
    <row r="234" spans="1:7" x14ac:dyDescent="0.35">
      <c r="A234" s="23">
        <v>233</v>
      </c>
      <c r="B234" s="23">
        <v>0.1515</v>
      </c>
      <c r="C234" s="23">
        <v>0.59</v>
      </c>
      <c r="D234" s="23">
        <v>0.16420000000000001</v>
      </c>
      <c r="E234" s="23">
        <v>0</v>
      </c>
      <c r="F234" s="23">
        <v>18</v>
      </c>
      <c r="G234" s="23">
        <v>18</v>
      </c>
    </row>
    <row r="235" spans="1:7" x14ac:dyDescent="0.35">
      <c r="A235" s="23">
        <v>234</v>
      </c>
      <c r="B235" s="23">
        <v>0.16669999999999999</v>
      </c>
      <c r="C235" s="23">
        <v>0.59</v>
      </c>
      <c r="D235" s="23">
        <v>0.1045</v>
      </c>
      <c r="E235" s="23">
        <v>2</v>
      </c>
      <c r="F235" s="23">
        <v>10</v>
      </c>
      <c r="G235" s="23">
        <v>12</v>
      </c>
    </row>
    <row r="236" spans="1:7" x14ac:dyDescent="0.35">
      <c r="A236" s="23">
        <v>235</v>
      </c>
      <c r="B236" s="23">
        <v>0.1515</v>
      </c>
      <c r="C236" s="23">
        <v>0.59</v>
      </c>
      <c r="D236" s="23">
        <v>0.16420000000000001</v>
      </c>
      <c r="E236" s="23">
        <v>0</v>
      </c>
      <c r="F236" s="23">
        <v>3</v>
      </c>
      <c r="G236" s="23">
        <v>3</v>
      </c>
    </row>
    <row r="237" spans="1:7" x14ac:dyDescent="0.35">
      <c r="A237" s="23">
        <v>236</v>
      </c>
      <c r="B237" s="23">
        <v>0.1515</v>
      </c>
      <c r="C237" s="23">
        <v>0.55000000000000004</v>
      </c>
      <c r="D237" s="23">
        <v>0.19400000000000001</v>
      </c>
      <c r="E237" s="23">
        <v>0</v>
      </c>
      <c r="F237" s="23">
        <v>3</v>
      </c>
      <c r="G237" s="23">
        <v>3</v>
      </c>
    </row>
    <row r="238" spans="1:7" x14ac:dyDescent="0.35">
      <c r="A238" s="23">
        <v>237</v>
      </c>
      <c r="B238" s="23">
        <v>0.18179999999999999</v>
      </c>
      <c r="C238" s="23">
        <v>0.55000000000000004</v>
      </c>
      <c r="D238" s="23">
        <v>0.1343</v>
      </c>
      <c r="E238" s="23">
        <v>0</v>
      </c>
      <c r="F238" s="23">
        <v>6</v>
      </c>
      <c r="G238" s="23">
        <v>6</v>
      </c>
    </row>
    <row r="239" spans="1:7" x14ac:dyDescent="0.35">
      <c r="A239" s="23">
        <v>238</v>
      </c>
      <c r="B239" s="23">
        <v>0.18179999999999999</v>
      </c>
      <c r="C239" s="23">
        <v>0.55000000000000004</v>
      </c>
      <c r="D239" s="23">
        <v>0.1343</v>
      </c>
      <c r="E239" s="23">
        <v>0</v>
      </c>
      <c r="F239" s="23">
        <v>27</v>
      </c>
      <c r="G239" s="23">
        <v>27</v>
      </c>
    </row>
    <row r="240" spans="1:7" x14ac:dyDescent="0.35">
      <c r="A240" s="23">
        <v>239</v>
      </c>
      <c r="B240" s="23">
        <v>0.2273</v>
      </c>
      <c r="C240" s="23">
        <v>0.55000000000000004</v>
      </c>
      <c r="D240" s="23">
        <v>0</v>
      </c>
      <c r="E240" s="23">
        <v>2</v>
      </c>
      <c r="F240" s="23">
        <v>97</v>
      </c>
      <c r="G240" s="23">
        <v>99</v>
      </c>
    </row>
    <row r="241" spans="1:7" x14ac:dyDescent="0.35">
      <c r="A241" s="23">
        <v>240</v>
      </c>
      <c r="B241" s="23">
        <v>0.21210000000000001</v>
      </c>
      <c r="C241" s="23">
        <v>0.51</v>
      </c>
      <c r="D241" s="23">
        <v>8.9599999999999999E-2</v>
      </c>
      <c r="E241" s="23">
        <v>3</v>
      </c>
      <c r="F241" s="23">
        <v>214</v>
      </c>
      <c r="G241" s="23">
        <v>217</v>
      </c>
    </row>
    <row r="242" spans="1:7" x14ac:dyDescent="0.35">
      <c r="A242" s="23">
        <v>241</v>
      </c>
      <c r="B242" s="23">
        <v>0.19700000000000001</v>
      </c>
      <c r="C242" s="23">
        <v>0.51</v>
      </c>
      <c r="D242" s="23">
        <v>0.16420000000000001</v>
      </c>
      <c r="E242" s="23">
        <v>3</v>
      </c>
      <c r="F242" s="23">
        <v>127</v>
      </c>
      <c r="G242" s="23">
        <v>130</v>
      </c>
    </row>
    <row r="243" spans="1:7" x14ac:dyDescent="0.35">
      <c r="A243" s="23">
        <v>242</v>
      </c>
      <c r="B243" s="23">
        <v>0.21210000000000001</v>
      </c>
      <c r="C243" s="23">
        <v>0.51</v>
      </c>
      <c r="D243" s="23">
        <v>0.16420000000000001</v>
      </c>
      <c r="E243" s="23">
        <v>3</v>
      </c>
      <c r="F243" s="23">
        <v>51</v>
      </c>
      <c r="G243" s="23">
        <v>54</v>
      </c>
    </row>
    <row r="244" spans="1:7" x14ac:dyDescent="0.35">
      <c r="A244" s="23">
        <v>243</v>
      </c>
      <c r="B244" s="23">
        <v>0.21210000000000001</v>
      </c>
      <c r="C244" s="23">
        <v>0.47</v>
      </c>
      <c r="D244" s="23">
        <v>0.1343</v>
      </c>
      <c r="E244" s="23">
        <v>4</v>
      </c>
      <c r="F244" s="23">
        <v>31</v>
      </c>
      <c r="G244" s="23">
        <v>35</v>
      </c>
    </row>
    <row r="245" spans="1:7" x14ac:dyDescent="0.35">
      <c r="A245" s="23">
        <v>244</v>
      </c>
      <c r="B245" s="23">
        <v>0.2273</v>
      </c>
      <c r="C245" s="23">
        <v>0.51</v>
      </c>
      <c r="D245" s="23">
        <v>0.1045</v>
      </c>
      <c r="E245" s="23">
        <v>2</v>
      </c>
      <c r="F245" s="23">
        <v>55</v>
      </c>
      <c r="G245" s="23">
        <v>57</v>
      </c>
    </row>
    <row r="246" spans="1:7" x14ac:dyDescent="0.35">
      <c r="A246" s="23">
        <v>245</v>
      </c>
      <c r="B246" s="23">
        <v>0.2273</v>
      </c>
      <c r="C246" s="23">
        <v>0.59</v>
      </c>
      <c r="D246" s="23">
        <v>8.9599999999999999E-2</v>
      </c>
      <c r="E246" s="23">
        <v>6</v>
      </c>
      <c r="F246" s="23">
        <v>46</v>
      </c>
      <c r="G246" s="23">
        <v>52</v>
      </c>
    </row>
    <row r="247" spans="1:7" x14ac:dyDescent="0.35">
      <c r="A247" s="23">
        <v>246</v>
      </c>
      <c r="B247" s="23">
        <v>0.2273</v>
      </c>
      <c r="C247" s="23">
        <v>0.59</v>
      </c>
      <c r="D247" s="23">
        <v>8.9599999999999999E-2</v>
      </c>
      <c r="E247" s="23">
        <v>3</v>
      </c>
      <c r="F247" s="23">
        <v>60</v>
      </c>
      <c r="G247" s="23">
        <v>63</v>
      </c>
    </row>
    <row r="248" spans="1:7" x14ac:dyDescent="0.35">
      <c r="A248" s="23">
        <v>247</v>
      </c>
      <c r="B248" s="23">
        <v>0.19700000000000001</v>
      </c>
      <c r="C248" s="23">
        <v>0.8</v>
      </c>
      <c r="D248" s="23">
        <v>8.9599999999999999E-2</v>
      </c>
      <c r="E248" s="23">
        <v>2</v>
      </c>
      <c r="F248" s="23">
        <v>45</v>
      </c>
      <c r="G248" s="23">
        <v>47</v>
      </c>
    </row>
    <row r="249" spans="1:7" x14ac:dyDescent="0.35">
      <c r="A249" s="23">
        <v>248</v>
      </c>
      <c r="B249" s="23">
        <v>0.1515</v>
      </c>
      <c r="C249" s="23">
        <v>0.86</v>
      </c>
      <c r="D249" s="23">
        <v>0.22389999999999999</v>
      </c>
      <c r="E249" s="23">
        <v>4</v>
      </c>
      <c r="F249" s="23">
        <v>72</v>
      </c>
      <c r="G249" s="23">
        <v>76</v>
      </c>
    </row>
    <row r="250" spans="1:7" x14ac:dyDescent="0.35">
      <c r="A250" s="23">
        <v>249</v>
      </c>
      <c r="B250" s="23">
        <v>0.1515</v>
      </c>
      <c r="C250" s="23">
        <v>0.86</v>
      </c>
      <c r="D250" s="23">
        <v>0.22389999999999999</v>
      </c>
      <c r="E250" s="23">
        <v>6</v>
      </c>
      <c r="F250" s="23">
        <v>130</v>
      </c>
      <c r="G250" s="23">
        <v>136</v>
      </c>
    </row>
    <row r="251" spans="1:7" x14ac:dyDescent="0.35">
      <c r="A251" s="23">
        <v>250</v>
      </c>
      <c r="B251" s="23">
        <v>0.18179999999999999</v>
      </c>
      <c r="C251" s="23">
        <v>0.93</v>
      </c>
      <c r="D251" s="23">
        <v>0.1045</v>
      </c>
      <c r="E251" s="23">
        <v>1</v>
      </c>
      <c r="F251" s="23">
        <v>94</v>
      </c>
      <c r="G251" s="23">
        <v>95</v>
      </c>
    </row>
    <row r="252" spans="1:7" x14ac:dyDescent="0.35">
      <c r="A252" s="23">
        <v>251</v>
      </c>
      <c r="B252" s="23">
        <v>0.2273</v>
      </c>
      <c r="C252" s="23">
        <v>0.93</v>
      </c>
      <c r="D252" s="23">
        <v>0</v>
      </c>
      <c r="E252" s="23">
        <v>0</v>
      </c>
      <c r="F252" s="23">
        <v>51</v>
      </c>
      <c r="G252" s="23">
        <v>51</v>
      </c>
    </row>
    <row r="253" spans="1:7" x14ac:dyDescent="0.35">
      <c r="A253" s="23">
        <v>252</v>
      </c>
      <c r="B253" s="23">
        <v>0.1515</v>
      </c>
      <c r="C253" s="23">
        <v>0.93</v>
      </c>
      <c r="D253" s="23">
        <v>0.19400000000000001</v>
      </c>
      <c r="E253" s="23">
        <v>0</v>
      </c>
      <c r="F253" s="23">
        <v>32</v>
      </c>
      <c r="G253" s="23">
        <v>32</v>
      </c>
    </row>
    <row r="254" spans="1:7" x14ac:dyDescent="0.35">
      <c r="A254" s="23">
        <v>253</v>
      </c>
      <c r="B254" s="23">
        <v>0.19700000000000001</v>
      </c>
      <c r="C254" s="23">
        <v>0.86</v>
      </c>
      <c r="D254" s="23">
        <v>8.9599999999999999E-2</v>
      </c>
      <c r="E254" s="23">
        <v>0</v>
      </c>
      <c r="F254" s="23">
        <v>20</v>
      </c>
      <c r="G254" s="23">
        <v>20</v>
      </c>
    </row>
    <row r="255" spans="1:7" x14ac:dyDescent="0.35">
      <c r="A255" s="23">
        <v>254</v>
      </c>
      <c r="B255" s="23">
        <v>0.18179999999999999</v>
      </c>
      <c r="C255" s="23">
        <v>0.93</v>
      </c>
      <c r="D255" s="23">
        <v>0.1045</v>
      </c>
      <c r="E255" s="23">
        <v>1</v>
      </c>
      <c r="F255" s="23">
        <v>28</v>
      </c>
      <c r="G255" s="23">
        <v>29</v>
      </c>
    </row>
    <row r="256" spans="1:7" x14ac:dyDescent="0.35">
      <c r="A256" s="23">
        <v>255</v>
      </c>
      <c r="B256" s="23">
        <v>0.19700000000000001</v>
      </c>
      <c r="C256" s="23">
        <v>0.93</v>
      </c>
      <c r="D256" s="23">
        <v>8.9599999999999999E-2</v>
      </c>
      <c r="E256" s="23">
        <v>1</v>
      </c>
      <c r="F256" s="23">
        <v>18</v>
      </c>
      <c r="G256" s="23">
        <v>19</v>
      </c>
    </row>
    <row r="257" spans="1:7" x14ac:dyDescent="0.35">
      <c r="A257" s="23">
        <v>256</v>
      </c>
      <c r="B257" s="23">
        <v>0.19700000000000001</v>
      </c>
      <c r="C257" s="23">
        <v>0.86</v>
      </c>
      <c r="D257" s="23">
        <v>8.9599999999999999E-2</v>
      </c>
      <c r="E257" s="23">
        <v>0</v>
      </c>
      <c r="F257" s="23">
        <v>7</v>
      </c>
      <c r="G257" s="23">
        <v>7</v>
      </c>
    </row>
    <row r="258" spans="1:7" x14ac:dyDescent="0.35">
      <c r="A258" s="23">
        <v>257</v>
      </c>
      <c r="B258" s="23">
        <v>0.18179999999999999</v>
      </c>
      <c r="C258" s="23">
        <v>0.86</v>
      </c>
      <c r="D258" s="23">
        <v>0.1045</v>
      </c>
      <c r="E258" s="23">
        <v>0</v>
      </c>
      <c r="F258" s="23">
        <v>6</v>
      </c>
      <c r="G258" s="23">
        <v>6</v>
      </c>
    </row>
    <row r="259" spans="1:7" x14ac:dyDescent="0.35">
      <c r="A259" s="23">
        <v>258</v>
      </c>
      <c r="B259" s="23">
        <v>0.1515</v>
      </c>
      <c r="C259" s="23">
        <v>0.86</v>
      </c>
      <c r="D259" s="23">
        <v>0.1343</v>
      </c>
      <c r="E259" s="23">
        <v>0</v>
      </c>
      <c r="F259" s="23">
        <v>1</v>
      </c>
      <c r="G259" s="23">
        <v>1</v>
      </c>
    </row>
    <row r="260" spans="1:7" x14ac:dyDescent="0.35">
      <c r="A260" s="23">
        <v>259</v>
      </c>
      <c r="B260" s="23">
        <v>0.1515</v>
      </c>
      <c r="C260" s="23">
        <v>0.86</v>
      </c>
      <c r="D260" s="23">
        <v>0.16420000000000001</v>
      </c>
      <c r="E260" s="23">
        <v>0</v>
      </c>
      <c r="F260" s="23">
        <v>5</v>
      </c>
      <c r="G260" s="23">
        <v>5</v>
      </c>
    </row>
    <row r="261" spans="1:7" x14ac:dyDescent="0.35">
      <c r="A261" s="23">
        <v>260</v>
      </c>
      <c r="B261" s="23">
        <v>0.1515</v>
      </c>
      <c r="C261" s="23">
        <v>0.93</v>
      </c>
      <c r="D261" s="23">
        <v>0.1343</v>
      </c>
      <c r="E261" s="23">
        <v>0</v>
      </c>
      <c r="F261" s="23">
        <v>16</v>
      </c>
      <c r="G261" s="23">
        <v>16</v>
      </c>
    </row>
    <row r="262" spans="1:7" x14ac:dyDescent="0.35">
      <c r="A262" s="23">
        <v>261</v>
      </c>
      <c r="B262" s="23">
        <v>0.1515</v>
      </c>
      <c r="C262" s="23">
        <v>0.69</v>
      </c>
      <c r="D262" s="23">
        <v>0.1343</v>
      </c>
      <c r="E262" s="23">
        <v>0</v>
      </c>
      <c r="F262" s="23">
        <v>54</v>
      </c>
      <c r="G262" s="23">
        <v>54</v>
      </c>
    </row>
    <row r="263" spans="1:7" x14ac:dyDescent="0.35">
      <c r="A263" s="23">
        <v>262</v>
      </c>
      <c r="B263" s="23">
        <v>0.16669999999999999</v>
      </c>
      <c r="C263" s="23">
        <v>0.59</v>
      </c>
      <c r="D263" s="23">
        <v>0.16420000000000001</v>
      </c>
      <c r="E263" s="23">
        <v>3</v>
      </c>
      <c r="F263" s="23">
        <v>125</v>
      </c>
      <c r="G263" s="23">
        <v>128</v>
      </c>
    </row>
    <row r="264" spans="1:7" x14ac:dyDescent="0.35">
      <c r="A264" s="23">
        <v>263</v>
      </c>
      <c r="B264" s="23">
        <v>0.13639999999999999</v>
      </c>
      <c r="C264" s="23">
        <v>0.59</v>
      </c>
      <c r="D264" s="23">
        <v>0.32840000000000003</v>
      </c>
      <c r="E264" s="23">
        <v>3</v>
      </c>
      <c r="F264" s="23">
        <v>78</v>
      </c>
      <c r="G264" s="23">
        <v>81</v>
      </c>
    </row>
    <row r="265" spans="1:7" x14ac:dyDescent="0.35">
      <c r="A265" s="23">
        <v>264</v>
      </c>
      <c r="B265" s="23">
        <v>0.18179999999999999</v>
      </c>
      <c r="C265" s="23">
        <v>0.55000000000000004</v>
      </c>
      <c r="D265" s="23">
        <v>0.22389999999999999</v>
      </c>
      <c r="E265" s="23">
        <v>0</v>
      </c>
      <c r="F265" s="23">
        <v>39</v>
      </c>
      <c r="G265" s="23">
        <v>39</v>
      </c>
    </row>
    <row r="266" spans="1:7" x14ac:dyDescent="0.35">
      <c r="A266" s="23">
        <v>265</v>
      </c>
      <c r="B266" s="23">
        <v>0.18179999999999999</v>
      </c>
      <c r="C266" s="23">
        <v>0.51</v>
      </c>
      <c r="D266" s="23">
        <v>0.3881</v>
      </c>
      <c r="E266" s="23">
        <v>3</v>
      </c>
      <c r="F266" s="23">
        <v>32</v>
      </c>
      <c r="G266" s="23">
        <v>35</v>
      </c>
    </row>
    <row r="267" spans="1:7" x14ac:dyDescent="0.35">
      <c r="A267" s="23">
        <v>266</v>
      </c>
      <c r="B267" s="23">
        <v>0.1515</v>
      </c>
      <c r="C267" s="23">
        <v>0.47</v>
      </c>
      <c r="D267" s="23">
        <v>0.58209999999999995</v>
      </c>
      <c r="E267" s="23">
        <v>3</v>
      </c>
      <c r="F267" s="23">
        <v>52</v>
      </c>
      <c r="G267" s="23">
        <v>55</v>
      </c>
    </row>
    <row r="268" spans="1:7" x14ac:dyDescent="0.35">
      <c r="A268" s="23">
        <v>267</v>
      </c>
      <c r="B268" s="23">
        <v>0.19700000000000001</v>
      </c>
      <c r="C268" s="23">
        <v>0.44</v>
      </c>
      <c r="D268" s="23">
        <v>0.35820000000000002</v>
      </c>
      <c r="E268" s="23">
        <v>0</v>
      </c>
      <c r="F268" s="23">
        <v>49</v>
      </c>
      <c r="G268" s="23">
        <v>49</v>
      </c>
    </row>
    <row r="269" spans="1:7" x14ac:dyDescent="0.35">
      <c r="A269" s="23">
        <v>268</v>
      </c>
      <c r="B269" s="23">
        <v>0.18179999999999999</v>
      </c>
      <c r="C269" s="23">
        <v>0.47</v>
      </c>
      <c r="D269" s="23">
        <v>0.32840000000000003</v>
      </c>
      <c r="E269" s="23">
        <v>0</v>
      </c>
      <c r="F269" s="23">
        <v>44</v>
      </c>
      <c r="G269" s="23">
        <v>44</v>
      </c>
    </row>
    <row r="270" spans="1:7" x14ac:dyDescent="0.35">
      <c r="A270" s="23">
        <v>269</v>
      </c>
      <c r="B270" s="23">
        <v>0.16669999999999999</v>
      </c>
      <c r="C270" s="23">
        <v>0.47</v>
      </c>
      <c r="D270" s="23">
        <v>0.41789999999999999</v>
      </c>
      <c r="E270" s="23">
        <v>1</v>
      </c>
      <c r="F270" s="23">
        <v>48</v>
      </c>
      <c r="G270" s="23">
        <v>49</v>
      </c>
    </row>
    <row r="271" spans="1:7" x14ac:dyDescent="0.35">
      <c r="A271" s="23">
        <v>270</v>
      </c>
      <c r="B271" s="23">
        <v>0.19700000000000001</v>
      </c>
      <c r="C271" s="23">
        <v>0.44</v>
      </c>
      <c r="D271" s="23">
        <v>0.32840000000000003</v>
      </c>
      <c r="E271" s="23">
        <v>5</v>
      </c>
      <c r="F271" s="23">
        <v>63</v>
      </c>
      <c r="G271" s="23">
        <v>68</v>
      </c>
    </row>
    <row r="272" spans="1:7" x14ac:dyDescent="0.35">
      <c r="A272" s="23">
        <v>271</v>
      </c>
      <c r="B272" s="23">
        <v>0.18179999999999999</v>
      </c>
      <c r="C272" s="23">
        <v>0.47</v>
      </c>
      <c r="D272" s="23">
        <v>0.35820000000000002</v>
      </c>
      <c r="E272" s="23">
        <v>0</v>
      </c>
      <c r="F272" s="23">
        <v>139</v>
      </c>
      <c r="G272" s="23">
        <v>139</v>
      </c>
    </row>
    <row r="273" spans="1:7" x14ac:dyDescent="0.35">
      <c r="A273" s="23">
        <v>272</v>
      </c>
      <c r="B273" s="23">
        <v>0.1515</v>
      </c>
      <c r="C273" s="23">
        <v>0.47</v>
      </c>
      <c r="D273" s="23">
        <v>0.52239999999999998</v>
      </c>
      <c r="E273" s="23">
        <v>2</v>
      </c>
      <c r="F273" s="23">
        <v>135</v>
      </c>
      <c r="G273" s="23">
        <v>137</v>
      </c>
    </row>
    <row r="274" spans="1:7" x14ac:dyDescent="0.35">
      <c r="A274" s="23">
        <v>273</v>
      </c>
      <c r="B274" s="23">
        <v>0.1515</v>
      </c>
      <c r="C274" s="23">
        <v>0.47</v>
      </c>
      <c r="D274" s="23">
        <v>0.41789999999999999</v>
      </c>
      <c r="E274" s="23">
        <v>1</v>
      </c>
      <c r="F274" s="23">
        <v>82</v>
      </c>
      <c r="G274" s="23">
        <v>83</v>
      </c>
    </row>
    <row r="275" spans="1:7" x14ac:dyDescent="0.35">
      <c r="A275" s="23">
        <v>274</v>
      </c>
      <c r="B275" s="23">
        <v>0.13639999999999999</v>
      </c>
      <c r="C275" s="23">
        <v>0.5</v>
      </c>
      <c r="D275" s="23">
        <v>0.32840000000000003</v>
      </c>
      <c r="E275" s="23">
        <v>2</v>
      </c>
      <c r="F275" s="23">
        <v>54</v>
      </c>
      <c r="G275" s="23">
        <v>56</v>
      </c>
    </row>
    <row r="276" spans="1:7" x14ac:dyDescent="0.35">
      <c r="A276" s="23">
        <v>275</v>
      </c>
      <c r="B276" s="23">
        <v>0.13639999999999999</v>
      </c>
      <c r="C276" s="23">
        <v>0.55000000000000004</v>
      </c>
      <c r="D276" s="23">
        <v>0.32840000000000003</v>
      </c>
      <c r="E276" s="23">
        <v>0</v>
      </c>
      <c r="F276" s="23">
        <v>57</v>
      </c>
      <c r="G276" s="23">
        <v>57</v>
      </c>
    </row>
    <row r="277" spans="1:7" x14ac:dyDescent="0.35">
      <c r="A277" s="23">
        <v>276</v>
      </c>
      <c r="B277" s="23">
        <v>0.1212</v>
      </c>
      <c r="C277" s="23">
        <v>0.55000000000000004</v>
      </c>
      <c r="D277" s="23">
        <v>0.44779999999999998</v>
      </c>
      <c r="E277" s="23">
        <v>1</v>
      </c>
      <c r="F277" s="23">
        <v>32</v>
      </c>
      <c r="G277" s="23">
        <v>33</v>
      </c>
    </row>
    <row r="278" spans="1:7" x14ac:dyDescent="0.35">
      <c r="A278" s="23">
        <v>277</v>
      </c>
      <c r="B278" s="23">
        <v>0.1061</v>
      </c>
      <c r="C278" s="23">
        <v>0.59</v>
      </c>
      <c r="D278" s="23">
        <v>0.41789999999999999</v>
      </c>
      <c r="E278" s="23">
        <v>1</v>
      </c>
      <c r="F278" s="23">
        <v>19</v>
      </c>
      <c r="G278" s="23">
        <v>20</v>
      </c>
    </row>
    <row r="279" spans="1:7" x14ac:dyDescent="0.35">
      <c r="A279" s="23">
        <v>278</v>
      </c>
      <c r="B279" s="23">
        <v>0.1212</v>
      </c>
      <c r="C279" s="23">
        <v>0.59</v>
      </c>
      <c r="D279" s="23">
        <v>0.28360000000000002</v>
      </c>
      <c r="E279" s="23">
        <v>1</v>
      </c>
      <c r="F279" s="23">
        <v>6</v>
      </c>
      <c r="G279" s="23">
        <v>7</v>
      </c>
    </row>
    <row r="280" spans="1:7" x14ac:dyDescent="0.35">
      <c r="A280" s="23">
        <v>279</v>
      </c>
      <c r="B280" s="23">
        <v>0.1212</v>
      </c>
      <c r="C280" s="23">
        <v>0.5</v>
      </c>
      <c r="D280" s="23">
        <v>0.28360000000000002</v>
      </c>
      <c r="E280" s="23">
        <v>0</v>
      </c>
      <c r="F280" s="23">
        <v>2</v>
      </c>
      <c r="G280" s="23">
        <v>2</v>
      </c>
    </row>
    <row r="281" spans="1:7" x14ac:dyDescent="0.35">
      <c r="A281" s="23">
        <v>280</v>
      </c>
      <c r="B281" s="23">
        <v>0.1212</v>
      </c>
      <c r="C281" s="23">
        <v>0.5</v>
      </c>
      <c r="D281" s="23">
        <v>0.35820000000000002</v>
      </c>
      <c r="E281" s="23">
        <v>0</v>
      </c>
      <c r="F281" s="23">
        <v>2</v>
      </c>
      <c r="G281" s="23">
        <v>2</v>
      </c>
    </row>
    <row r="282" spans="1:7" x14ac:dyDescent="0.35">
      <c r="A282" s="23">
        <v>281</v>
      </c>
      <c r="B282" s="23">
        <v>0.1212</v>
      </c>
      <c r="C282" s="23">
        <v>0.5</v>
      </c>
      <c r="D282" s="23">
        <v>0.32840000000000003</v>
      </c>
      <c r="E282" s="23">
        <v>0</v>
      </c>
      <c r="F282" s="23">
        <v>3</v>
      </c>
      <c r="G282" s="23">
        <v>3</v>
      </c>
    </row>
    <row r="283" spans="1:7" x14ac:dyDescent="0.35">
      <c r="A283" s="23">
        <v>282</v>
      </c>
      <c r="B283" s="23">
        <v>0.1212</v>
      </c>
      <c r="C283" s="23">
        <v>0.5</v>
      </c>
      <c r="D283" s="23">
        <v>0.25369999999999998</v>
      </c>
      <c r="E283" s="23">
        <v>0</v>
      </c>
      <c r="F283" s="23">
        <v>4</v>
      </c>
      <c r="G283" s="23">
        <v>4</v>
      </c>
    </row>
    <row r="284" spans="1:7" x14ac:dyDescent="0.35">
      <c r="A284" s="23">
        <v>283</v>
      </c>
      <c r="B284" s="23">
        <v>0.1212</v>
      </c>
      <c r="C284" s="23">
        <v>0.5</v>
      </c>
      <c r="D284" s="23">
        <v>0.29849999999999999</v>
      </c>
      <c r="E284" s="23">
        <v>0</v>
      </c>
      <c r="F284" s="23">
        <v>3</v>
      </c>
      <c r="G284" s="23">
        <v>3</v>
      </c>
    </row>
    <row r="285" spans="1:7" x14ac:dyDescent="0.35">
      <c r="A285" s="23">
        <v>284</v>
      </c>
      <c r="B285" s="23">
        <v>0.1515</v>
      </c>
      <c r="C285" s="23">
        <v>0.54</v>
      </c>
      <c r="D285" s="23">
        <v>0.1343</v>
      </c>
      <c r="E285" s="23">
        <v>0</v>
      </c>
      <c r="F285" s="23">
        <v>28</v>
      </c>
      <c r="G285" s="23">
        <v>28</v>
      </c>
    </row>
    <row r="286" spans="1:7" x14ac:dyDescent="0.35">
      <c r="A286" s="23">
        <v>285</v>
      </c>
      <c r="B286" s="23">
        <v>0.1515</v>
      </c>
      <c r="C286" s="23">
        <v>0.54</v>
      </c>
      <c r="D286" s="23">
        <v>0.1343</v>
      </c>
      <c r="E286" s="23">
        <v>0</v>
      </c>
      <c r="F286" s="23">
        <v>72</v>
      </c>
      <c r="G286" s="23">
        <v>72</v>
      </c>
    </row>
    <row r="287" spans="1:7" x14ac:dyDescent="0.35">
      <c r="A287" s="23">
        <v>286</v>
      </c>
      <c r="B287" s="23">
        <v>0.13639999999999999</v>
      </c>
      <c r="C287" s="23">
        <v>0.5</v>
      </c>
      <c r="D287" s="23">
        <v>0.19400000000000001</v>
      </c>
      <c r="E287" s="23">
        <v>5</v>
      </c>
      <c r="F287" s="23">
        <v>197</v>
      </c>
      <c r="G287" s="23">
        <v>202</v>
      </c>
    </row>
    <row r="288" spans="1:7" x14ac:dyDescent="0.35">
      <c r="A288" s="23">
        <v>287</v>
      </c>
      <c r="B288" s="23">
        <v>0.1212</v>
      </c>
      <c r="C288" s="23">
        <v>0.5</v>
      </c>
      <c r="D288" s="23">
        <v>0.32840000000000003</v>
      </c>
      <c r="E288" s="23">
        <v>2</v>
      </c>
      <c r="F288" s="23">
        <v>137</v>
      </c>
      <c r="G288" s="23">
        <v>139</v>
      </c>
    </row>
    <row r="289" spans="1:7" x14ac:dyDescent="0.35">
      <c r="A289" s="23">
        <v>288</v>
      </c>
      <c r="B289" s="23">
        <v>0.13639999999999999</v>
      </c>
      <c r="C289" s="23">
        <v>0.5</v>
      </c>
      <c r="D289" s="23">
        <v>0.35820000000000002</v>
      </c>
      <c r="E289" s="23">
        <v>2</v>
      </c>
      <c r="F289" s="23">
        <v>36</v>
      </c>
      <c r="G289" s="23">
        <v>38</v>
      </c>
    </row>
    <row r="290" spans="1:7" x14ac:dyDescent="0.35">
      <c r="A290" s="23">
        <v>289</v>
      </c>
      <c r="B290" s="23">
        <v>0.16669999999999999</v>
      </c>
      <c r="C290" s="23">
        <v>0.44</v>
      </c>
      <c r="D290" s="23">
        <v>0.44779999999999998</v>
      </c>
      <c r="E290" s="23">
        <v>4</v>
      </c>
      <c r="F290" s="23">
        <v>33</v>
      </c>
      <c r="G290" s="23">
        <v>37</v>
      </c>
    </row>
    <row r="291" spans="1:7" x14ac:dyDescent="0.35">
      <c r="A291" s="23">
        <v>290</v>
      </c>
      <c r="B291" s="23">
        <v>0.16669999999999999</v>
      </c>
      <c r="C291" s="23">
        <v>0.44</v>
      </c>
      <c r="D291" s="23">
        <v>0.41789999999999999</v>
      </c>
      <c r="E291" s="23">
        <v>3</v>
      </c>
      <c r="F291" s="23">
        <v>49</v>
      </c>
      <c r="G291" s="23">
        <v>52</v>
      </c>
    </row>
    <row r="292" spans="1:7" x14ac:dyDescent="0.35">
      <c r="A292" s="23">
        <v>291</v>
      </c>
      <c r="B292" s="23">
        <v>0.19700000000000001</v>
      </c>
      <c r="C292" s="23">
        <v>0.41</v>
      </c>
      <c r="D292" s="23">
        <v>0.44779999999999998</v>
      </c>
      <c r="E292" s="23">
        <v>2</v>
      </c>
      <c r="F292" s="23">
        <v>81</v>
      </c>
      <c r="G292" s="23">
        <v>83</v>
      </c>
    </row>
    <row r="293" spans="1:7" x14ac:dyDescent="0.35">
      <c r="A293" s="23">
        <v>292</v>
      </c>
      <c r="B293" s="23">
        <v>0.19700000000000001</v>
      </c>
      <c r="C293" s="23">
        <v>0.41</v>
      </c>
      <c r="D293" s="23">
        <v>0.3881</v>
      </c>
      <c r="E293" s="23">
        <v>3</v>
      </c>
      <c r="F293" s="23">
        <v>39</v>
      </c>
      <c r="G293" s="23">
        <v>42</v>
      </c>
    </row>
    <row r="294" spans="1:7" x14ac:dyDescent="0.35">
      <c r="A294" s="23">
        <v>293</v>
      </c>
      <c r="B294" s="23">
        <v>0.21210000000000001</v>
      </c>
      <c r="C294" s="23">
        <v>0.38</v>
      </c>
      <c r="D294" s="23">
        <v>0.29849999999999999</v>
      </c>
      <c r="E294" s="23">
        <v>5</v>
      </c>
      <c r="F294" s="23">
        <v>55</v>
      </c>
      <c r="G294" s="23">
        <v>60</v>
      </c>
    </row>
    <row r="295" spans="1:7" x14ac:dyDescent="0.35">
      <c r="A295" s="23">
        <v>294</v>
      </c>
      <c r="B295" s="23">
        <v>0.21210000000000001</v>
      </c>
      <c r="C295" s="23">
        <v>0.38</v>
      </c>
      <c r="D295" s="23">
        <v>0.35820000000000002</v>
      </c>
      <c r="E295" s="23">
        <v>2</v>
      </c>
      <c r="F295" s="23">
        <v>76</v>
      </c>
      <c r="G295" s="23">
        <v>78</v>
      </c>
    </row>
    <row r="296" spans="1:7" x14ac:dyDescent="0.35">
      <c r="A296" s="23">
        <v>295</v>
      </c>
      <c r="B296" s="23">
        <v>0.18179999999999999</v>
      </c>
      <c r="C296" s="23">
        <v>0.4</v>
      </c>
      <c r="D296" s="23">
        <v>0.28360000000000002</v>
      </c>
      <c r="E296" s="23">
        <v>4</v>
      </c>
      <c r="F296" s="23">
        <v>158</v>
      </c>
      <c r="G296" s="23">
        <v>162</v>
      </c>
    </row>
    <row r="297" spans="1:7" x14ac:dyDescent="0.35">
      <c r="A297" s="23">
        <v>296</v>
      </c>
      <c r="B297" s="23">
        <v>0.18179999999999999</v>
      </c>
      <c r="C297" s="23">
        <v>0.4</v>
      </c>
      <c r="D297" s="23">
        <v>0.32840000000000003</v>
      </c>
      <c r="E297" s="23">
        <v>3</v>
      </c>
      <c r="F297" s="23">
        <v>141</v>
      </c>
      <c r="G297" s="23">
        <v>144</v>
      </c>
    </row>
    <row r="298" spans="1:7" x14ac:dyDescent="0.35">
      <c r="A298" s="23">
        <v>297</v>
      </c>
      <c r="B298" s="23">
        <v>0.1515</v>
      </c>
      <c r="C298" s="23">
        <v>0.47</v>
      </c>
      <c r="D298" s="23">
        <v>0.25369999999999998</v>
      </c>
      <c r="E298" s="23">
        <v>1</v>
      </c>
      <c r="F298" s="23">
        <v>98</v>
      </c>
      <c r="G298" s="23">
        <v>99</v>
      </c>
    </row>
    <row r="299" spans="1:7" x14ac:dyDescent="0.35">
      <c r="A299" s="23">
        <v>298</v>
      </c>
      <c r="B299" s="23">
        <v>0.1515</v>
      </c>
      <c r="C299" s="23">
        <v>0.47</v>
      </c>
      <c r="D299" s="23">
        <v>0.22389999999999999</v>
      </c>
      <c r="E299" s="23">
        <v>0</v>
      </c>
      <c r="F299" s="23">
        <v>64</v>
      </c>
      <c r="G299" s="23">
        <v>64</v>
      </c>
    </row>
    <row r="300" spans="1:7" x14ac:dyDescent="0.35">
      <c r="A300" s="23">
        <v>299</v>
      </c>
      <c r="B300" s="23">
        <v>0.1212</v>
      </c>
      <c r="C300" s="23">
        <v>0.46</v>
      </c>
      <c r="D300" s="23">
        <v>0.29849999999999999</v>
      </c>
      <c r="E300" s="23">
        <v>0</v>
      </c>
      <c r="F300" s="23">
        <v>40</v>
      </c>
      <c r="G300" s="23">
        <v>40</v>
      </c>
    </row>
    <row r="301" spans="1:7" x14ac:dyDescent="0.35">
      <c r="A301" s="23">
        <v>300</v>
      </c>
      <c r="B301" s="23">
        <v>0.1212</v>
      </c>
      <c r="C301" s="23">
        <v>0.46</v>
      </c>
      <c r="D301" s="23">
        <v>0.32840000000000003</v>
      </c>
      <c r="E301" s="23">
        <v>0</v>
      </c>
      <c r="F301" s="23">
        <v>30</v>
      </c>
      <c r="G301" s="23">
        <v>30</v>
      </c>
    </row>
    <row r="302" spans="1:7" x14ac:dyDescent="0.35">
      <c r="A302" s="23">
        <v>301</v>
      </c>
      <c r="B302" s="23">
        <v>0.13639999999999999</v>
      </c>
      <c r="C302" s="23">
        <v>0.5</v>
      </c>
      <c r="D302" s="23">
        <v>0.19400000000000001</v>
      </c>
      <c r="E302" s="23">
        <v>1</v>
      </c>
      <c r="F302" s="23">
        <v>14</v>
      </c>
      <c r="G302" s="23">
        <v>15</v>
      </c>
    </row>
    <row r="303" spans="1:7" x14ac:dyDescent="0.35">
      <c r="A303" s="23">
        <v>302</v>
      </c>
      <c r="B303" s="23">
        <v>0.13639999999999999</v>
      </c>
      <c r="C303" s="23">
        <v>0.5</v>
      </c>
      <c r="D303" s="23">
        <v>0.19400000000000001</v>
      </c>
      <c r="E303" s="23">
        <v>0</v>
      </c>
      <c r="F303" s="23">
        <v>14</v>
      </c>
      <c r="G303" s="23">
        <v>14</v>
      </c>
    </row>
    <row r="304" spans="1:7" x14ac:dyDescent="0.35">
      <c r="A304" s="23">
        <v>303</v>
      </c>
      <c r="B304" s="23">
        <v>0.1212</v>
      </c>
      <c r="C304" s="23">
        <v>0.54</v>
      </c>
      <c r="D304" s="23">
        <v>0.16420000000000001</v>
      </c>
      <c r="E304" s="23">
        <v>0</v>
      </c>
      <c r="F304" s="23">
        <v>5</v>
      </c>
      <c r="G304" s="23">
        <v>5</v>
      </c>
    </row>
    <row r="305" spans="1:7" x14ac:dyDescent="0.35">
      <c r="A305" s="23">
        <v>304</v>
      </c>
      <c r="B305" s="23">
        <v>0.1212</v>
      </c>
      <c r="C305" s="23">
        <v>0.54</v>
      </c>
      <c r="D305" s="23">
        <v>0.1343</v>
      </c>
      <c r="E305" s="23">
        <v>0</v>
      </c>
      <c r="F305" s="23">
        <v>1</v>
      </c>
      <c r="G305" s="23">
        <v>1</v>
      </c>
    </row>
    <row r="306" spans="1:7" x14ac:dyDescent="0.35">
      <c r="A306" s="23">
        <v>305</v>
      </c>
      <c r="B306" s="23">
        <v>0.13639999999999999</v>
      </c>
      <c r="C306" s="23">
        <v>0.54</v>
      </c>
      <c r="D306" s="23">
        <v>0.1045</v>
      </c>
      <c r="E306" s="23">
        <v>0</v>
      </c>
      <c r="F306" s="23">
        <v>1</v>
      </c>
      <c r="G306" s="23">
        <v>1</v>
      </c>
    </row>
    <row r="307" spans="1:7" x14ac:dyDescent="0.35">
      <c r="A307" s="23">
        <v>306</v>
      </c>
      <c r="B307" s="23">
        <v>0.13639999999999999</v>
      </c>
      <c r="C307" s="23">
        <v>0.54</v>
      </c>
      <c r="D307" s="23">
        <v>8.9599999999999999E-2</v>
      </c>
      <c r="E307" s="23">
        <v>0</v>
      </c>
      <c r="F307" s="23">
        <v>8</v>
      </c>
      <c r="G307" s="23">
        <v>8</v>
      </c>
    </row>
    <row r="308" spans="1:7" x14ac:dyDescent="0.35">
      <c r="A308" s="23">
        <v>307</v>
      </c>
      <c r="B308" s="23">
        <v>0.18179999999999999</v>
      </c>
      <c r="C308" s="23">
        <v>0.54</v>
      </c>
      <c r="D308" s="23">
        <v>0</v>
      </c>
      <c r="E308" s="23">
        <v>0</v>
      </c>
      <c r="F308" s="23">
        <v>17</v>
      </c>
      <c r="G308" s="23">
        <v>17</v>
      </c>
    </row>
    <row r="309" spans="1:7" x14ac:dyDescent="0.35">
      <c r="A309" s="23">
        <v>308</v>
      </c>
      <c r="B309" s="23">
        <v>0.1212</v>
      </c>
      <c r="C309" s="23">
        <v>0.74</v>
      </c>
      <c r="D309" s="23">
        <v>0.16420000000000001</v>
      </c>
      <c r="E309" s="23">
        <v>0</v>
      </c>
      <c r="F309" s="23">
        <v>70</v>
      </c>
      <c r="G309" s="23">
        <v>70</v>
      </c>
    </row>
    <row r="310" spans="1:7" x14ac:dyDescent="0.35">
      <c r="A310" s="23">
        <v>309</v>
      </c>
      <c r="B310" s="23">
        <v>0.16669999999999999</v>
      </c>
      <c r="C310" s="23">
        <v>0.68</v>
      </c>
      <c r="D310" s="23">
        <v>0</v>
      </c>
      <c r="E310" s="23">
        <v>2</v>
      </c>
      <c r="F310" s="23">
        <v>156</v>
      </c>
      <c r="G310" s="23">
        <v>158</v>
      </c>
    </row>
    <row r="311" spans="1:7" x14ac:dyDescent="0.35">
      <c r="A311" s="23">
        <v>310</v>
      </c>
      <c r="B311" s="23">
        <v>0.1515</v>
      </c>
      <c r="C311" s="23">
        <v>0.69</v>
      </c>
      <c r="D311" s="23">
        <v>0.1343</v>
      </c>
      <c r="E311" s="23">
        <v>0</v>
      </c>
      <c r="F311" s="23">
        <v>117</v>
      </c>
      <c r="G311" s="23">
        <v>117</v>
      </c>
    </row>
    <row r="312" spans="1:7" x14ac:dyDescent="0.35">
      <c r="A312" s="23">
        <v>311</v>
      </c>
      <c r="B312" s="23">
        <v>0.18179999999999999</v>
      </c>
      <c r="C312" s="23">
        <v>0.55000000000000004</v>
      </c>
      <c r="D312" s="23">
        <v>0.19400000000000001</v>
      </c>
      <c r="E312" s="23">
        <v>4</v>
      </c>
      <c r="F312" s="23">
        <v>40</v>
      </c>
      <c r="G312" s="23">
        <v>44</v>
      </c>
    </row>
    <row r="313" spans="1:7" x14ac:dyDescent="0.35">
      <c r="A313" s="23">
        <v>312</v>
      </c>
      <c r="B313" s="23">
        <v>0.16669999999999999</v>
      </c>
      <c r="C313" s="23">
        <v>0.51</v>
      </c>
      <c r="D313" s="23">
        <v>0.28360000000000002</v>
      </c>
      <c r="E313" s="23">
        <v>6</v>
      </c>
      <c r="F313" s="23">
        <v>47</v>
      </c>
      <c r="G313" s="23">
        <v>53</v>
      </c>
    </row>
    <row r="314" spans="1:7" x14ac:dyDescent="0.35">
      <c r="A314" s="23">
        <v>313</v>
      </c>
      <c r="B314" s="23">
        <v>0.19700000000000001</v>
      </c>
      <c r="C314" s="23">
        <v>0.44</v>
      </c>
      <c r="D314" s="23">
        <v>0.25369999999999998</v>
      </c>
      <c r="E314" s="23">
        <v>2</v>
      </c>
      <c r="F314" s="23">
        <v>59</v>
      </c>
      <c r="G314" s="23">
        <v>61</v>
      </c>
    </row>
    <row r="315" spans="1:7" x14ac:dyDescent="0.35">
      <c r="A315" s="23">
        <v>314</v>
      </c>
      <c r="B315" s="23">
        <v>0.19700000000000001</v>
      </c>
      <c r="C315" s="23">
        <v>0.37</v>
      </c>
      <c r="D315" s="23">
        <v>0.3881</v>
      </c>
      <c r="E315" s="23">
        <v>4</v>
      </c>
      <c r="F315" s="23">
        <v>73</v>
      </c>
      <c r="G315" s="23">
        <v>77</v>
      </c>
    </row>
    <row r="316" spans="1:7" x14ac:dyDescent="0.35">
      <c r="A316" s="23">
        <v>315</v>
      </c>
      <c r="B316" s="23">
        <v>0.21210000000000001</v>
      </c>
      <c r="C316" s="23">
        <v>0.41</v>
      </c>
      <c r="D316" s="23">
        <v>0.28360000000000002</v>
      </c>
      <c r="E316" s="23">
        <v>5</v>
      </c>
      <c r="F316" s="23">
        <v>59</v>
      </c>
      <c r="G316" s="23">
        <v>64</v>
      </c>
    </row>
    <row r="317" spans="1:7" x14ac:dyDescent="0.35">
      <c r="A317" s="23">
        <v>316</v>
      </c>
      <c r="B317" s="23">
        <v>0.2424</v>
      </c>
      <c r="C317" s="23">
        <v>0.38</v>
      </c>
      <c r="D317" s="23">
        <v>0.16420000000000001</v>
      </c>
      <c r="E317" s="23">
        <v>9</v>
      </c>
      <c r="F317" s="23">
        <v>59</v>
      </c>
      <c r="G317" s="23">
        <v>68</v>
      </c>
    </row>
    <row r="318" spans="1:7" x14ac:dyDescent="0.35">
      <c r="A318" s="23">
        <v>317</v>
      </c>
      <c r="B318" s="23">
        <v>0.2424</v>
      </c>
      <c r="C318" s="23">
        <v>0.41</v>
      </c>
      <c r="D318" s="23">
        <v>0.1045</v>
      </c>
      <c r="E318" s="23">
        <v>3</v>
      </c>
      <c r="F318" s="23">
        <v>87</v>
      </c>
      <c r="G318" s="23">
        <v>90</v>
      </c>
    </row>
    <row r="319" spans="1:7" x14ac:dyDescent="0.35">
      <c r="A319" s="23">
        <v>318</v>
      </c>
      <c r="B319" s="23">
        <v>0.2273</v>
      </c>
      <c r="C319" s="23">
        <v>0.41</v>
      </c>
      <c r="D319" s="23">
        <v>0.16420000000000001</v>
      </c>
      <c r="E319" s="23">
        <v>4</v>
      </c>
      <c r="F319" s="23">
        <v>155</v>
      </c>
      <c r="G319" s="23">
        <v>159</v>
      </c>
    </row>
    <row r="320" spans="1:7" x14ac:dyDescent="0.35">
      <c r="A320" s="23">
        <v>319</v>
      </c>
      <c r="B320" s="23">
        <v>0.2576</v>
      </c>
      <c r="C320" s="23">
        <v>0.47</v>
      </c>
      <c r="D320" s="23">
        <v>0</v>
      </c>
      <c r="E320" s="23">
        <v>5</v>
      </c>
      <c r="F320" s="23">
        <v>134</v>
      </c>
      <c r="G320" s="23">
        <v>139</v>
      </c>
    </row>
    <row r="321" spans="1:7" x14ac:dyDescent="0.35">
      <c r="A321" s="23">
        <v>320</v>
      </c>
      <c r="B321" s="23">
        <v>0.19700000000000001</v>
      </c>
      <c r="C321" s="23">
        <v>0.59</v>
      </c>
      <c r="D321" s="23">
        <v>8.9599999999999999E-2</v>
      </c>
      <c r="E321" s="23">
        <v>3</v>
      </c>
      <c r="F321" s="23">
        <v>89</v>
      </c>
      <c r="G321" s="23">
        <v>92</v>
      </c>
    </row>
    <row r="322" spans="1:7" x14ac:dyDescent="0.35">
      <c r="A322" s="23">
        <v>321</v>
      </c>
      <c r="B322" s="23">
        <v>0.2424</v>
      </c>
      <c r="C322" s="23">
        <v>0.59</v>
      </c>
      <c r="D322" s="23">
        <v>0</v>
      </c>
      <c r="E322" s="23">
        <v>0</v>
      </c>
      <c r="F322" s="23">
        <v>68</v>
      </c>
      <c r="G322" s="23">
        <v>68</v>
      </c>
    </row>
    <row r="323" spans="1:7" x14ac:dyDescent="0.35">
      <c r="A323" s="23">
        <v>322</v>
      </c>
      <c r="B323" s="23">
        <v>0.2273</v>
      </c>
      <c r="C323" s="23">
        <v>0.69</v>
      </c>
      <c r="D323" s="23">
        <v>0</v>
      </c>
      <c r="E323" s="23">
        <v>4</v>
      </c>
      <c r="F323" s="23">
        <v>48</v>
      </c>
      <c r="G323" s="23">
        <v>52</v>
      </c>
    </row>
    <row r="324" spans="1:7" x14ac:dyDescent="0.35">
      <c r="A324" s="23">
        <v>323</v>
      </c>
      <c r="B324" s="23">
        <v>0.2273</v>
      </c>
      <c r="C324" s="23">
        <v>0.69</v>
      </c>
      <c r="D324" s="23">
        <v>0</v>
      </c>
      <c r="E324" s="23">
        <v>2</v>
      </c>
      <c r="F324" s="23">
        <v>34</v>
      </c>
      <c r="G324" s="23">
        <v>36</v>
      </c>
    </row>
    <row r="325" spans="1:7" x14ac:dyDescent="0.35">
      <c r="A325" s="23">
        <v>324</v>
      </c>
      <c r="B325" s="23">
        <v>0.2424</v>
      </c>
      <c r="C325" s="23">
        <v>0.55000000000000004</v>
      </c>
      <c r="D325" s="23">
        <v>0</v>
      </c>
      <c r="E325" s="23">
        <v>1</v>
      </c>
      <c r="F325" s="23">
        <v>26</v>
      </c>
      <c r="G325" s="23">
        <v>27</v>
      </c>
    </row>
    <row r="326" spans="1:7" x14ac:dyDescent="0.35">
      <c r="A326" s="23">
        <v>325</v>
      </c>
      <c r="B326" s="23">
        <v>0.2424</v>
      </c>
      <c r="C326" s="23">
        <v>0.55000000000000004</v>
      </c>
      <c r="D326" s="23">
        <v>0</v>
      </c>
      <c r="E326" s="23">
        <v>3</v>
      </c>
      <c r="F326" s="23">
        <v>25</v>
      </c>
      <c r="G326" s="23">
        <v>28</v>
      </c>
    </row>
    <row r="327" spans="1:7" x14ac:dyDescent="0.35">
      <c r="A327" s="23">
        <v>326</v>
      </c>
      <c r="B327" s="23">
        <v>0.19700000000000001</v>
      </c>
      <c r="C327" s="23">
        <v>0.59</v>
      </c>
      <c r="D327" s="23">
        <v>8.9599999999999999E-2</v>
      </c>
      <c r="E327" s="23">
        <v>2</v>
      </c>
      <c r="F327" s="23">
        <v>18</v>
      </c>
      <c r="G327" s="23">
        <v>20</v>
      </c>
    </row>
    <row r="328" spans="1:7" x14ac:dyDescent="0.35">
      <c r="A328" s="23">
        <v>327</v>
      </c>
      <c r="B328" s="23">
        <v>0.19700000000000001</v>
      </c>
      <c r="C328" s="23">
        <v>0.59</v>
      </c>
      <c r="D328" s="23">
        <v>8.9599999999999999E-2</v>
      </c>
      <c r="E328" s="23">
        <v>0</v>
      </c>
      <c r="F328" s="23">
        <v>12</v>
      </c>
      <c r="G328" s="23">
        <v>12</v>
      </c>
    </row>
    <row r="329" spans="1:7" x14ac:dyDescent="0.35">
      <c r="A329" s="23">
        <v>328</v>
      </c>
      <c r="B329" s="23">
        <v>0.2273</v>
      </c>
      <c r="C329" s="23">
        <v>0.59</v>
      </c>
      <c r="D329" s="23">
        <v>0</v>
      </c>
      <c r="E329" s="23">
        <v>1</v>
      </c>
      <c r="F329" s="23">
        <v>7</v>
      </c>
      <c r="G329" s="23">
        <v>8</v>
      </c>
    </row>
    <row r="330" spans="1:7" x14ac:dyDescent="0.35">
      <c r="A330" s="23">
        <v>329</v>
      </c>
      <c r="B330" s="23">
        <v>0.2273</v>
      </c>
      <c r="C330" s="23">
        <v>0.59</v>
      </c>
      <c r="D330" s="23">
        <v>0</v>
      </c>
      <c r="E330" s="23">
        <v>0</v>
      </c>
      <c r="F330" s="23">
        <v>5</v>
      </c>
      <c r="G330" s="23">
        <v>5</v>
      </c>
    </row>
    <row r="331" spans="1:7" x14ac:dyDescent="0.35">
      <c r="A331" s="23">
        <v>330</v>
      </c>
      <c r="B331" s="23">
        <v>0.2273</v>
      </c>
      <c r="C331" s="23">
        <v>0.59</v>
      </c>
      <c r="D331" s="23">
        <v>0</v>
      </c>
      <c r="E331" s="23">
        <v>0</v>
      </c>
      <c r="F331" s="23">
        <v>1</v>
      </c>
      <c r="G331" s="23">
        <v>1</v>
      </c>
    </row>
    <row r="332" spans="1:7" x14ac:dyDescent="0.35">
      <c r="A332" s="23">
        <v>331</v>
      </c>
      <c r="B332" s="23">
        <v>0.16669999999999999</v>
      </c>
      <c r="C332" s="23">
        <v>0.63</v>
      </c>
      <c r="D332" s="23">
        <v>0.1045</v>
      </c>
      <c r="E332" s="23">
        <v>1</v>
      </c>
      <c r="F332" s="23">
        <v>2</v>
      </c>
      <c r="G332" s="23">
        <v>3</v>
      </c>
    </row>
    <row r="333" spans="1:7" x14ac:dyDescent="0.35">
      <c r="A333" s="23">
        <v>332</v>
      </c>
      <c r="B333" s="23">
        <v>0.21210000000000001</v>
      </c>
      <c r="C333" s="23">
        <v>0.63</v>
      </c>
      <c r="D333" s="23">
        <v>0</v>
      </c>
      <c r="E333" s="23">
        <v>1</v>
      </c>
      <c r="F333" s="23">
        <v>9</v>
      </c>
      <c r="G333" s="23">
        <v>10</v>
      </c>
    </row>
    <row r="334" spans="1:7" x14ac:dyDescent="0.35">
      <c r="A334" s="23">
        <v>333</v>
      </c>
      <c r="B334" s="23">
        <v>0.1515</v>
      </c>
      <c r="C334" s="23">
        <v>0.63</v>
      </c>
      <c r="D334" s="23">
        <v>0.1343</v>
      </c>
      <c r="E334" s="23">
        <v>1</v>
      </c>
      <c r="F334" s="23">
        <v>22</v>
      </c>
      <c r="G334" s="23">
        <v>23</v>
      </c>
    </row>
    <row r="335" spans="1:7" x14ac:dyDescent="0.35">
      <c r="A335" s="23">
        <v>334</v>
      </c>
      <c r="B335" s="23">
        <v>0.18179999999999999</v>
      </c>
      <c r="C335" s="23">
        <v>0.64</v>
      </c>
      <c r="D335" s="23">
        <v>0.1343</v>
      </c>
      <c r="E335" s="23">
        <v>2</v>
      </c>
      <c r="F335" s="23">
        <v>31</v>
      </c>
      <c r="G335" s="23">
        <v>33</v>
      </c>
    </row>
    <row r="336" spans="1:7" x14ac:dyDescent="0.35">
      <c r="A336" s="23">
        <v>335</v>
      </c>
      <c r="B336" s="23">
        <v>0.19700000000000001</v>
      </c>
      <c r="C336" s="23">
        <v>0.59</v>
      </c>
      <c r="D336" s="23">
        <v>0.16420000000000001</v>
      </c>
      <c r="E336" s="23">
        <v>2</v>
      </c>
      <c r="F336" s="23">
        <v>57</v>
      </c>
      <c r="G336" s="23">
        <v>59</v>
      </c>
    </row>
    <row r="337" spans="1:7" x14ac:dyDescent="0.35">
      <c r="A337" s="23">
        <v>336</v>
      </c>
      <c r="B337" s="23">
        <v>0.19700000000000001</v>
      </c>
      <c r="C337" s="23">
        <v>0.55000000000000004</v>
      </c>
      <c r="D337" s="23">
        <v>0.22389999999999999</v>
      </c>
      <c r="E337" s="23">
        <v>18</v>
      </c>
      <c r="F337" s="23">
        <v>54</v>
      </c>
      <c r="G337" s="23">
        <v>72</v>
      </c>
    </row>
    <row r="338" spans="1:7" x14ac:dyDescent="0.35">
      <c r="A338" s="23">
        <v>337</v>
      </c>
      <c r="B338" s="23">
        <v>0.2273</v>
      </c>
      <c r="C338" s="23">
        <v>0.48</v>
      </c>
      <c r="D338" s="23">
        <v>0.22389999999999999</v>
      </c>
      <c r="E338" s="23">
        <v>15</v>
      </c>
      <c r="F338" s="23">
        <v>74</v>
      </c>
      <c r="G338" s="23">
        <v>89</v>
      </c>
    </row>
    <row r="339" spans="1:7" x14ac:dyDescent="0.35">
      <c r="A339" s="23">
        <v>338</v>
      </c>
      <c r="B339" s="23">
        <v>0.2576</v>
      </c>
      <c r="C339" s="23">
        <v>0.38</v>
      </c>
      <c r="D339" s="23">
        <v>0.29849999999999999</v>
      </c>
      <c r="E339" s="23">
        <v>21</v>
      </c>
      <c r="F339" s="23">
        <v>80</v>
      </c>
      <c r="G339" s="23">
        <v>101</v>
      </c>
    </row>
    <row r="340" spans="1:7" x14ac:dyDescent="0.35">
      <c r="A340" s="23">
        <v>339</v>
      </c>
      <c r="B340" s="23">
        <v>0.28789999999999999</v>
      </c>
      <c r="C340" s="23">
        <v>0.39</v>
      </c>
      <c r="D340" s="23">
        <v>0.28360000000000002</v>
      </c>
      <c r="E340" s="23">
        <v>26</v>
      </c>
      <c r="F340" s="23">
        <v>92</v>
      </c>
      <c r="G340" s="23">
        <v>118</v>
      </c>
    </row>
    <row r="341" spans="1:7" x14ac:dyDescent="0.35">
      <c r="A341" s="23">
        <v>340</v>
      </c>
      <c r="B341" s="23">
        <v>0.31819999999999998</v>
      </c>
      <c r="C341" s="23">
        <v>0.36</v>
      </c>
      <c r="D341" s="23">
        <v>0.19400000000000001</v>
      </c>
      <c r="E341" s="23">
        <v>21</v>
      </c>
      <c r="F341" s="23">
        <v>108</v>
      </c>
      <c r="G341" s="23">
        <v>129</v>
      </c>
    </row>
    <row r="342" spans="1:7" x14ac:dyDescent="0.35">
      <c r="A342" s="23">
        <v>341</v>
      </c>
      <c r="B342" s="23">
        <v>0.33329999999999999</v>
      </c>
      <c r="C342" s="23">
        <v>0.34</v>
      </c>
      <c r="D342" s="23">
        <v>0.19400000000000001</v>
      </c>
      <c r="E342" s="23">
        <v>33</v>
      </c>
      <c r="F342" s="23">
        <v>95</v>
      </c>
      <c r="G342" s="23">
        <v>128</v>
      </c>
    </row>
    <row r="343" spans="1:7" x14ac:dyDescent="0.35">
      <c r="A343" s="23">
        <v>342</v>
      </c>
      <c r="B343" s="23">
        <v>0.30299999999999999</v>
      </c>
      <c r="C343" s="23">
        <v>0.36</v>
      </c>
      <c r="D343" s="23">
        <v>0.28360000000000002</v>
      </c>
      <c r="E343" s="23">
        <v>29</v>
      </c>
      <c r="F343" s="23">
        <v>54</v>
      </c>
      <c r="G343" s="23">
        <v>83</v>
      </c>
    </row>
    <row r="344" spans="1:7" x14ac:dyDescent="0.35">
      <c r="A344" s="23">
        <v>343</v>
      </c>
      <c r="B344" s="23">
        <v>0.28789999999999999</v>
      </c>
      <c r="C344" s="23">
        <v>0.45</v>
      </c>
      <c r="D344" s="23">
        <v>0.25369999999999998</v>
      </c>
      <c r="E344" s="23">
        <v>15</v>
      </c>
      <c r="F344" s="23">
        <v>69</v>
      </c>
      <c r="G344" s="23">
        <v>84</v>
      </c>
    </row>
    <row r="345" spans="1:7" x14ac:dyDescent="0.35">
      <c r="A345" s="23">
        <v>344</v>
      </c>
      <c r="B345" s="23">
        <v>0.30299999999999999</v>
      </c>
      <c r="C345" s="23">
        <v>0.39</v>
      </c>
      <c r="D345" s="23">
        <v>0.25369999999999998</v>
      </c>
      <c r="E345" s="23">
        <v>14</v>
      </c>
      <c r="F345" s="23">
        <v>60</v>
      </c>
      <c r="G345" s="23">
        <v>74</v>
      </c>
    </row>
    <row r="346" spans="1:7" x14ac:dyDescent="0.35">
      <c r="A346" s="23">
        <v>345</v>
      </c>
      <c r="B346" s="23">
        <v>0.30299999999999999</v>
      </c>
      <c r="C346" s="23">
        <v>0.39</v>
      </c>
      <c r="D346" s="23">
        <v>0.25369999999999998</v>
      </c>
      <c r="E346" s="23">
        <v>6</v>
      </c>
      <c r="F346" s="23">
        <v>35</v>
      </c>
      <c r="G346" s="23">
        <v>41</v>
      </c>
    </row>
    <row r="347" spans="1:7" x14ac:dyDescent="0.35">
      <c r="A347" s="23">
        <v>346</v>
      </c>
      <c r="B347" s="23">
        <v>0.30299999999999999</v>
      </c>
      <c r="C347" s="23">
        <v>0.39</v>
      </c>
      <c r="D347" s="23">
        <v>0.22389999999999999</v>
      </c>
      <c r="E347" s="23">
        <v>6</v>
      </c>
      <c r="F347" s="23">
        <v>51</v>
      </c>
      <c r="G347" s="23">
        <v>57</v>
      </c>
    </row>
    <row r="348" spans="1:7" x14ac:dyDescent="0.35">
      <c r="A348" s="23">
        <v>347</v>
      </c>
      <c r="B348" s="23">
        <v>0.31819999999999998</v>
      </c>
      <c r="C348" s="23">
        <v>0.42</v>
      </c>
      <c r="D348" s="23">
        <v>0.1045</v>
      </c>
      <c r="E348" s="23">
        <v>0</v>
      </c>
      <c r="F348" s="23">
        <v>26</v>
      </c>
      <c r="G348" s="23">
        <v>26</v>
      </c>
    </row>
    <row r="349" spans="1:7" x14ac:dyDescent="0.35">
      <c r="A349" s="23">
        <v>348</v>
      </c>
      <c r="B349" s="23">
        <v>0.28789999999999999</v>
      </c>
      <c r="C349" s="23">
        <v>0.45</v>
      </c>
      <c r="D349" s="23">
        <v>0.28360000000000002</v>
      </c>
      <c r="E349" s="23">
        <v>5</v>
      </c>
      <c r="F349" s="23">
        <v>39</v>
      </c>
      <c r="G349" s="23">
        <v>44</v>
      </c>
    </row>
    <row r="350" spans="1:7" x14ac:dyDescent="0.35">
      <c r="A350" s="23">
        <v>349</v>
      </c>
      <c r="B350" s="23">
        <v>0.30299999999999999</v>
      </c>
      <c r="C350" s="23">
        <v>0.56000000000000005</v>
      </c>
      <c r="D350" s="23">
        <v>0</v>
      </c>
      <c r="E350" s="23">
        <v>6</v>
      </c>
      <c r="F350" s="23">
        <v>33</v>
      </c>
      <c r="G350" s="23">
        <v>39</v>
      </c>
    </row>
    <row r="351" spans="1:7" x14ac:dyDescent="0.35">
      <c r="A351" s="23">
        <v>350</v>
      </c>
      <c r="B351" s="23">
        <v>0.2727</v>
      </c>
      <c r="C351" s="23">
        <v>0.56000000000000005</v>
      </c>
      <c r="D351" s="23">
        <v>0.1343</v>
      </c>
      <c r="E351" s="23">
        <v>4</v>
      </c>
      <c r="F351" s="23">
        <v>19</v>
      </c>
      <c r="G351" s="23">
        <v>23</v>
      </c>
    </row>
    <row r="352" spans="1:7" x14ac:dyDescent="0.35">
      <c r="A352" s="23">
        <v>351</v>
      </c>
      <c r="B352" s="23">
        <v>0.28789999999999999</v>
      </c>
      <c r="C352" s="23">
        <v>0.56000000000000005</v>
      </c>
      <c r="D352" s="23">
        <v>8.9599999999999999E-2</v>
      </c>
      <c r="E352" s="23">
        <v>3</v>
      </c>
      <c r="F352" s="23">
        <v>13</v>
      </c>
      <c r="G352" s="23">
        <v>16</v>
      </c>
    </row>
    <row r="353" spans="1:7" x14ac:dyDescent="0.35">
      <c r="A353" s="23">
        <v>352</v>
      </c>
      <c r="B353" s="23">
        <v>0.2727</v>
      </c>
      <c r="C353" s="23">
        <v>0.69</v>
      </c>
      <c r="D353" s="23">
        <v>0</v>
      </c>
      <c r="E353" s="23">
        <v>9</v>
      </c>
      <c r="F353" s="23">
        <v>6</v>
      </c>
      <c r="G353" s="23">
        <v>15</v>
      </c>
    </row>
    <row r="354" spans="1:7" x14ac:dyDescent="0.35">
      <c r="A354" s="23">
        <v>353</v>
      </c>
      <c r="B354" s="23">
        <v>0.2576</v>
      </c>
      <c r="C354" s="23">
        <v>0.56000000000000005</v>
      </c>
      <c r="D354" s="23">
        <v>0.16420000000000001</v>
      </c>
      <c r="E354" s="23">
        <v>0</v>
      </c>
      <c r="F354" s="23">
        <v>1</v>
      </c>
      <c r="G354" s="23">
        <v>1</v>
      </c>
    </row>
    <row r="355" spans="1:7" x14ac:dyDescent="0.35">
      <c r="A355" s="23">
        <v>354</v>
      </c>
      <c r="B355" s="23">
        <v>0.2576</v>
      </c>
      <c r="C355" s="23">
        <v>0.56000000000000005</v>
      </c>
      <c r="D355" s="23">
        <v>0.16420000000000001</v>
      </c>
      <c r="E355" s="23">
        <v>1</v>
      </c>
      <c r="F355" s="23">
        <v>1</v>
      </c>
      <c r="G355" s="23">
        <v>2</v>
      </c>
    </row>
    <row r="356" spans="1:7" x14ac:dyDescent="0.35">
      <c r="A356" s="23">
        <v>355</v>
      </c>
      <c r="B356" s="23">
        <v>0.2576</v>
      </c>
      <c r="C356" s="23">
        <v>0.56000000000000005</v>
      </c>
      <c r="D356" s="23">
        <v>0.16420000000000001</v>
      </c>
      <c r="E356" s="23">
        <v>0</v>
      </c>
      <c r="F356" s="23">
        <v>1</v>
      </c>
      <c r="G356" s="23">
        <v>1</v>
      </c>
    </row>
    <row r="357" spans="1:7" x14ac:dyDescent="0.35">
      <c r="A357" s="23">
        <v>356</v>
      </c>
      <c r="B357" s="23">
        <v>0.21210000000000001</v>
      </c>
      <c r="C357" s="23">
        <v>0.56000000000000005</v>
      </c>
      <c r="D357" s="23">
        <v>0.29849999999999999</v>
      </c>
      <c r="E357" s="23">
        <v>0</v>
      </c>
      <c r="F357" s="23">
        <v>3</v>
      </c>
      <c r="G357" s="23">
        <v>3</v>
      </c>
    </row>
    <row r="358" spans="1:7" x14ac:dyDescent="0.35">
      <c r="A358" s="23">
        <v>357</v>
      </c>
      <c r="B358" s="23">
        <v>0.21210000000000001</v>
      </c>
      <c r="C358" s="23">
        <v>0.55000000000000004</v>
      </c>
      <c r="D358" s="23">
        <v>0.28360000000000002</v>
      </c>
      <c r="E358" s="23">
        <v>0</v>
      </c>
      <c r="F358" s="23">
        <v>18</v>
      </c>
      <c r="G358" s="23">
        <v>18</v>
      </c>
    </row>
    <row r="359" spans="1:7" x14ac:dyDescent="0.35">
      <c r="A359" s="23">
        <v>358</v>
      </c>
      <c r="B359" s="23">
        <v>0.21210000000000001</v>
      </c>
      <c r="C359" s="23">
        <v>0.51</v>
      </c>
      <c r="D359" s="23">
        <v>0.25369999999999998</v>
      </c>
      <c r="E359" s="23">
        <v>3</v>
      </c>
      <c r="F359" s="23">
        <v>29</v>
      </c>
      <c r="G359" s="23">
        <v>32</v>
      </c>
    </row>
    <row r="360" spans="1:7" x14ac:dyDescent="0.35">
      <c r="A360" s="23">
        <v>359</v>
      </c>
      <c r="B360" s="23">
        <v>0.21210000000000001</v>
      </c>
      <c r="C360" s="23">
        <v>0.51</v>
      </c>
      <c r="D360" s="23">
        <v>0.28360000000000002</v>
      </c>
      <c r="E360" s="23">
        <v>8</v>
      </c>
      <c r="F360" s="23">
        <v>71</v>
      </c>
      <c r="G360" s="23">
        <v>79</v>
      </c>
    </row>
    <row r="361" spans="1:7" x14ac:dyDescent="0.35">
      <c r="A361" s="23">
        <v>360</v>
      </c>
      <c r="B361" s="23">
        <v>0.2273</v>
      </c>
      <c r="C361" s="23">
        <v>0.44</v>
      </c>
      <c r="D361" s="23">
        <v>0.25369999999999998</v>
      </c>
      <c r="E361" s="23">
        <v>23</v>
      </c>
      <c r="F361" s="23">
        <v>70</v>
      </c>
      <c r="G361" s="23">
        <v>93</v>
      </c>
    </row>
    <row r="362" spans="1:7" x14ac:dyDescent="0.35">
      <c r="A362" s="23">
        <v>361</v>
      </c>
      <c r="B362" s="23">
        <v>0.21210000000000001</v>
      </c>
      <c r="C362" s="23">
        <v>0.41</v>
      </c>
      <c r="D362" s="23">
        <v>0.28360000000000002</v>
      </c>
      <c r="E362" s="23">
        <v>29</v>
      </c>
      <c r="F362" s="23">
        <v>75</v>
      </c>
      <c r="G362" s="23">
        <v>104</v>
      </c>
    </row>
    <row r="363" spans="1:7" x14ac:dyDescent="0.35">
      <c r="A363" s="23">
        <v>362</v>
      </c>
      <c r="B363" s="23">
        <v>0.2273</v>
      </c>
      <c r="C363" s="23">
        <v>0.35</v>
      </c>
      <c r="D363" s="23">
        <v>0.29849999999999999</v>
      </c>
      <c r="E363" s="23">
        <v>23</v>
      </c>
      <c r="F363" s="23">
        <v>95</v>
      </c>
      <c r="G363" s="23">
        <v>118</v>
      </c>
    </row>
    <row r="364" spans="1:7" x14ac:dyDescent="0.35">
      <c r="A364" s="23">
        <v>363</v>
      </c>
      <c r="B364" s="23">
        <v>0.2727</v>
      </c>
      <c r="C364" s="23">
        <v>0.36</v>
      </c>
      <c r="D364" s="23">
        <v>0.25369999999999998</v>
      </c>
      <c r="E364" s="23">
        <v>22</v>
      </c>
      <c r="F364" s="23">
        <v>69</v>
      </c>
      <c r="G364" s="23">
        <v>91</v>
      </c>
    </row>
    <row r="365" spans="1:7" x14ac:dyDescent="0.35">
      <c r="A365" s="23">
        <v>364</v>
      </c>
      <c r="B365" s="23">
        <v>0.2424</v>
      </c>
      <c r="C365" s="23">
        <v>0.38</v>
      </c>
      <c r="D365" s="23">
        <v>0.25369999999999998</v>
      </c>
      <c r="E365" s="23">
        <v>35</v>
      </c>
      <c r="F365" s="23">
        <v>78</v>
      </c>
      <c r="G365" s="23">
        <v>113</v>
      </c>
    </row>
    <row r="366" spans="1:7" x14ac:dyDescent="0.35">
      <c r="A366" s="23">
        <v>365</v>
      </c>
      <c r="B366" s="23">
        <v>0.2273</v>
      </c>
      <c r="C366" s="23">
        <v>0.38</v>
      </c>
      <c r="D366" s="23">
        <v>0.22389999999999999</v>
      </c>
      <c r="E366" s="23">
        <v>22</v>
      </c>
      <c r="F366" s="23">
        <v>77</v>
      </c>
      <c r="G366" s="23">
        <v>99</v>
      </c>
    </row>
    <row r="367" spans="1:7" x14ac:dyDescent="0.35">
      <c r="A367" s="23">
        <v>366</v>
      </c>
      <c r="B367" s="23">
        <v>0.21210000000000001</v>
      </c>
      <c r="C367" s="23">
        <v>0.37</v>
      </c>
      <c r="D367" s="23">
        <v>0.25369999999999998</v>
      </c>
      <c r="E367" s="23">
        <v>23</v>
      </c>
      <c r="F367" s="23">
        <v>82</v>
      </c>
      <c r="G367" s="23">
        <v>105</v>
      </c>
    </row>
    <row r="368" spans="1:7" x14ac:dyDescent="0.35">
      <c r="A368" s="23">
        <v>367</v>
      </c>
      <c r="B368" s="23">
        <v>0.21210000000000001</v>
      </c>
      <c r="C368" s="23">
        <v>0.4</v>
      </c>
      <c r="D368" s="23">
        <v>0.16420000000000001</v>
      </c>
      <c r="E368" s="23">
        <v>11</v>
      </c>
      <c r="F368" s="23">
        <v>56</v>
      </c>
      <c r="G368" s="23">
        <v>67</v>
      </c>
    </row>
    <row r="369" spans="1:7" x14ac:dyDescent="0.35">
      <c r="A369" s="23">
        <v>368</v>
      </c>
      <c r="B369" s="23">
        <v>0.19700000000000001</v>
      </c>
      <c r="C369" s="23">
        <v>0.47</v>
      </c>
      <c r="D369" s="23">
        <v>0.1343</v>
      </c>
      <c r="E369" s="23">
        <v>14</v>
      </c>
      <c r="F369" s="23">
        <v>47</v>
      </c>
      <c r="G369" s="23">
        <v>61</v>
      </c>
    </row>
    <row r="370" spans="1:7" x14ac:dyDescent="0.35">
      <c r="A370" s="23">
        <v>369</v>
      </c>
      <c r="B370" s="23">
        <v>0.19700000000000001</v>
      </c>
      <c r="C370" s="23">
        <v>0.47</v>
      </c>
      <c r="D370" s="23">
        <v>0.16420000000000001</v>
      </c>
      <c r="E370" s="23">
        <v>7</v>
      </c>
      <c r="F370" s="23">
        <v>50</v>
      </c>
      <c r="G370" s="23">
        <v>57</v>
      </c>
    </row>
    <row r="371" spans="1:7" x14ac:dyDescent="0.35">
      <c r="A371" s="23">
        <v>370</v>
      </c>
      <c r="B371" s="23">
        <v>0.19700000000000001</v>
      </c>
      <c r="C371" s="23">
        <v>0.51</v>
      </c>
      <c r="D371" s="23">
        <v>0.16420000000000001</v>
      </c>
      <c r="E371" s="23">
        <v>6</v>
      </c>
      <c r="F371" s="23">
        <v>22</v>
      </c>
      <c r="G371" s="23">
        <v>28</v>
      </c>
    </row>
    <row r="372" spans="1:7" x14ac:dyDescent="0.35">
      <c r="A372" s="23">
        <v>371</v>
      </c>
      <c r="B372" s="23">
        <v>0.21210000000000001</v>
      </c>
      <c r="C372" s="23">
        <v>0.49</v>
      </c>
      <c r="D372" s="23">
        <v>0.1343</v>
      </c>
      <c r="E372" s="23">
        <v>2</v>
      </c>
      <c r="F372" s="23">
        <v>19</v>
      </c>
      <c r="G372" s="23">
        <v>21</v>
      </c>
    </row>
    <row r="373" spans="1:7" x14ac:dyDescent="0.35">
      <c r="A373" s="23">
        <v>372</v>
      </c>
      <c r="B373" s="23">
        <v>0.2273</v>
      </c>
      <c r="C373" s="23">
        <v>0.4</v>
      </c>
      <c r="D373" s="23">
        <v>0.1045</v>
      </c>
      <c r="E373" s="23">
        <v>0</v>
      </c>
      <c r="F373" s="23">
        <v>18</v>
      </c>
      <c r="G373" s="23">
        <v>18</v>
      </c>
    </row>
    <row r="374" spans="1:7" x14ac:dyDescent="0.35">
      <c r="A374" s="23">
        <v>373</v>
      </c>
      <c r="B374" s="23">
        <v>0.19700000000000001</v>
      </c>
      <c r="C374" s="23">
        <v>0.47</v>
      </c>
      <c r="D374" s="23">
        <v>0.22389999999999999</v>
      </c>
      <c r="E374" s="23">
        <v>1</v>
      </c>
      <c r="F374" s="23">
        <v>16</v>
      </c>
      <c r="G374" s="23">
        <v>17</v>
      </c>
    </row>
    <row r="375" spans="1:7" x14ac:dyDescent="0.35">
      <c r="A375" s="23">
        <v>374</v>
      </c>
      <c r="B375" s="23">
        <v>0.19700000000000001</v>
      </c>
      <c r="C375" s="23">
        <v>0.44</v>
      </c>
      <c r="D375" s="23">
        <v>0.19400000000000001</v>
      </c>
      <c r="E375" s="23">
        <v>1</v>
      </c>
      <c r="F375" s="23">
        <v>15</v>
      </c>
      <c r="G375" s="23">
        <v>16</v>
      </c>
    </row>
    <row r="376" spans="1:7" x14ac:dyDescent="0.35">
      <c r="A376" s="23">
        <v>375</v>
      </c>
      <c r="B376" s="23">
        <v>0.16669999999999999</v>
      </c>
      <c r="C376" s="23">
        <v>0.43</v>
      </c>
      <c r="D376" s="23">
        <v>0.25369999999999998</v>
      </c>
      <c r="E376" s="23">
        <v>0</v>
      </c>
      <c r="F376" s="23">
        <v>8</v>
      </c>
      <c r="G376" s="23">
        <v>8</v>
      </c>
    </row>
    <row r="377" spans="1:7" x14ac:dyDescent="0.35">
      <c r="A377" s="23">
        <v>376</v>
      </c>
      <c r="B377" s="23">
        <v>0.18179999999999999</v>
      </c>
      <c r="C377" s="23">
        <v>0.43</v>
      </c>
      <c r="D377" s="23">
        <v>0.19400000000000001</v>
      </c>
      <c r="E377" s="23">
        <v>0</v>
      </c>
      <c r="F377" s="23">
        <v>2</v>
      </c>
      <c r="G377" s="23">
        <v>2</v>
      </c>
    </row>
    <row r="378" spans="1:7" x14ac:dyDescent="0.35">
      <c r="A378" s="23">
        <v>377</v>
      </c>
      <c r="B378" s="23">
        <v>0.19700000000000001</v>
      </c>
      <c r="C378" s="23">
        <v>0.43</v>
      </c>
      <c r="D378" s="23">
        <v>0.1343</v>
      </c>
      <c r="E378" s="23">
        <v>1</v>
      </c>
      <c r="F378" s="23">
        <v>2</v>
      </c>
      <c r="G378" s="23">
        <v>3</v>
      </c>
    </row>
    <row r="379" spans="1:7" x14ac:dyDescent="0.35">
      <c r="A379" s="23">
        <v>378</v>
      </c>
      <c r="B379" s="23">
        <v>0.19700000000000001</v>
      </c>
      <c r="C379" s="23">
        <v>0.43</v>
      </c>
      <c r="D379" s="23">
        <v>0.16420000000000001</v>
      </c>
      <c r="E379" s="23">
        <v>0</v>
      </c>
      <c r="F379" s="23">
        <v>1</v>
      </c>
      <c r="G379" s="23">
        <v>1</v>
      </c>
    </row>
    <row r="380" spans="1:7" x14ac:dyDescent="0.35">
      <c r="A380" s="23">
        <v>379</v>
      </c>
      <c r="B380" s="23">
        <v>0.18179999999999999</v>
      </c>
      <c r="C380" s="23">
        <v>0.43</v>
      </c>
      <c r="D380" s="23">
        <v>0.19400000000000001</v>
      </c>
      <c r="E380" s="23">
        <v>0</v>
      </c>
      <c r="F380" s="23">
        <v>5</v>
      </c>
      <c r="G380" s="23">
        <v>5</v>
      </c>
    </row>
    <row r="381" spans="1:7" x14ac:dyDescent="0.35">
      <c r="A381" s="23">
        <v>380</v>
      </c>
      <c r="B381" s="23">
        <v>0.18179999999999999</v>
      </c>
      <c r="C381" s="23">
        <v>0.5</v>
      </c>
      <c r="D381" s="23">
        <v>0.1343</v>
      </c>
      <c r="E381" s="23">
        <v>4</v>
      </c>
      <c r="F381" s="23">
        <v>9</v>
      </c>
      <c r="G381" s="23">
        <v>13</v>
      </c>
    </row>
    <row r="382" spans="1:7" x14ac:dyDescent="0.35">
      <c r="A382" s="23">
        <v>381</v>
      </c>
      <c r="B382" s="23">
        <v>0.1515</v>
      </c>
      <c r="C382" s="23">
        <v>0.47</v>
      </c>
      <c r="D382" s="23">
        <v>0.22389999999999999</v>
      </c>
      <c r="E382" s="23">
        <v>3</v>
      </c>
      <c r="F382" s="23">
        <v>30</v>
      </c>
      <c r="G382" s="23">
        <v>33</v>
      </c>
    </row>
    <row r="383" spans="1:7" x14ac:dyDescent="0.35">
      <c r="A383" s="23">
        <v>382</v>
      </c>
      <c r="B383" s="23">
        <v>0.1515</v>
      </c>
      <c r="C383" s="23">
        <v>0.47</v>
      </c>
      <c r="D383" s="23">
        <v>0.22389999999999999</v>
      </c>
      <c r="E383" s="23">
        <v>8</v>
      </c>
      <c r="F383" s="23">
        <v>39</v>
      </c>
      <c r="G383" s="23">
        <v>47</v>
      </c>
    </row>
    <row r="384" spans="1:7" x14ac:dyDescent="0.35">
      <c r="A384" s="23">
        <v>383</v>
      </c>
      <c r="B384" s="23">
        <v>0.1515</v>
      </c>
      <c r="C384" s="23">
        <v>0.5</v>
      </c>
      <c r="D384" s="23">
        <v>0.25369999999999998</v>
      </c>
      <c r="E384" s="23">
        <v>7</v>
      </c>
      <c r="F384" s="23">
        <v>50</v>
      </c>
      <c r="G384" s="23">
        <v>57</v>
      </c>
    </row>
    <row r="385" spans="1:7" x14ac:dyDescent="0.35">
      <c r="A385" s="23">
        <v>384</v>
      </c>
      <c r="B385" s="23">
        <v>0.1515</v>
      </c>
      <c r="C385" s="23">
        <v>0.55000000000000004</v>
      </c>
      <c r="D385" s="23">
        <v>0.19400000000000001</v>
      </c>
      <c r="E385" s="23">
        <v>9</v>
      </c>
      <c r="F385" s="23">
        <v>55</v>
      </c>
      <c r="G385" s="23">
        <v>64</v>
      </c>
    </row>
    <row r="386" spans="1:7" x14ac:dyDescent="0.35">
      <c r="A386" s="23">
        <v>385</v>
      </c>
      <c r="B386" s="23">
        <v>0.19700000000000001</v>
      </c>
      <c r="C386" s="23">
        <v>0.47</v>
      </c>
      <c r="D386" s="23">
        <v>0.1343</v>
      </c>
      <c r="E386" s="23">
        <v>10</v>
      </c>
      <c r="F386" s="23">
        <v>70</v>
      </c>
      <c r="G386" s="23">
        <v>80</v>
      </c>
    </row>
    <row r="387" spans="1:7" x14ac:dyDescent="0.35">
      <c r="A387" s="23">
        <v>386</v>
      </c>
      <c r="B387" s="23">
        <v>0.19700000000000001</v>
      </c>
      <c r="C387" s="23">
        <v>0.47</v>
      </c>
      <c r="D387" s="23">
        <v>0.1343</v>
      </c>
      <c r="E387" s="23">
        <v>13</v>
      </c>
      <c r="F387" s="23">
        <v>80</v>
      </c>
      <c r="G387" s="23">
        <v>93</v>
      </c>
    </row>
    <row r="388" spans="1:7" x14ac:dyDescent="0.35">
      <c r="A388" s="23">
        <v>387</v>
      </c>
      <c r="B388" s="23">
        <v>0.21210000000000001</v>
      </c>
      <c r="C388" s="23">
        <v>0.43</v>
      </c>
      <c r="D388" s="23">
        <v>0.1045</v>
      </c>
      <c r="E388" s="23">
        <v>12</v>
      </c>
      <c r="F388" s="23">
        <v>74</v>
      </c>
      <c r="G388" s="23">
        <v>86</v>
      </c>
    </row>
    <row r="389" spans="1:7" x14ac:dyDescent="0.35">
      <c r="A389" s="23">
        <v>388</v>
      </c>
      <c r="B389" s="23">
        <v>0.21210000000000001</v>
      </c>
      <c r="C389" s="23">
        <v>0.47</v>
      </c>
      <c r="D389" s="23">
        <v>0.16420000000000001</v>
      </c>
      <c r="E389" s="23">
        <v>21</v>
      </c>
      <c r="F389" s="23">
        <v>72</v>
      </c>
      <c r="G389" s="23">
        <v>93</v>
      </c>
    </row>
    <row r="390" spans="1:7" x14ac:dyDescent="0.35">
      <c r="A390" s="23">
        <v>389</v>
      </c>
      <c r="B390" s="23">
        <v>0.21210000000000001</v>
      </c>
      <c r="C390" s="23">
        <v>0.47</v>
      </c>
      <c r="D390" s="23">
        <v>0.16420000000000001</v>
      </c>
      <c r="E390" s="23">
        <v>6</v>
      </c>
      <c r="F390" s="23">
        <v>76</v>
      </c>
      <c r="G390" s="23">
        <v>82</v>
      </c>
    </row>
    <row r="391" spans="1:7" x14ac:dyDescent="0.35">
      <c r="A391" s="23">
        <v>390</v>
      </c>
      <c r="B391" s="23">
        <v>0.19700000000000001</v>
      </c>
      <c r="C391" s="23">
        <v>0.51</v>
      </c>
      <c r="D391" s="23">
        <v>0.19400000000000001</v>
      </c>
      <c r="E391" s="23">
        <v>4</v>
      </c>
      <c r="F391" s="23">
        <v>67</v>
      </c>
      <c r="G391" s="23">
        <v>71</v>
      </c>
    </row>
    <row r="392" spans="1:7" x14ac:dyDescent="0.35">
      <c r="A392" s="23">
        <v>391</v>
      </c>
      <c r="B392" s="23">
        <v>0.16669999999999999</v>
      </c>
      <c r="C392" s="23">
        <v>0.55000000000000004</v>
      </c>
      <c r="D392" s="23">
        <v>0.25369999999999998</v>
      </c>
      <c r="E392" s="23">
        <v>7</v>
      </c>
      <c r="F392" s="23">
        <v>85</v>
      </c>
      <c r="G392" s="23">
        <v>92</v>
      </c>
    </row>
    <row r="393" spans="1:7" x14ac:dyDescent="0.35">
      <c r="A393" s="23">
        <v>392</v>
      </c>
      <c r="B393" s="23">
        <v>0.18179999999999999</v>
      </c>
      <c r="C393" s="23">
        <v>0.59</v>
      </c>
      <c r="D393" s="23">
        <v>0.19400000000000001</v>
      </c>
      <c r="E393" s="23">
        <v>2</v>
      </c>
      <c r="F393" s="23">
        <v>58</v>
      </c>
      <c r="G393" s="23">
        <v>60</v>
      </c>
    </row>
    <row r="394" spans="1:7" x14ac:dyDescent="0.35">
      <c r="A394" s="23">
        <v>393</v>
      </c>
      <c r="B394" s="23">
        <v>0.1515</v>
      </c>
      <c r="C394" s="23">
        <v>0.8</v>
      </c>
      <c r="D394" s="23">
        <v>0.19400000000000001</v>
      </c>
      <c r="E394" s="23">
        <v>4</v>
      </c>
      <c r="F394" s="23">
        <v>29</v>
      </c>
      <c r="G394" s="23">
        <v>33</v>
      </c>
    </row>
    <row r="395" spans="1:7" x14ac:dyDescent="0.35">
      <c r="A395" s="23">
        <v>394</v>
      </c>
      <c r="B395" s="23">
        <v>0.1515</v>
      </c>
      <c r="C395" s="23">
        <v>0.8</v>
      </c>
      <c r="D395" s="23">
        <v>0.19400000000000001</v>
      </c>
      <c r="E395" s="23">
        <v>3</v>
      </c>
      <c r="F395" s="23">
        <v>24</v>
      </c>
      <c r="G395" s="23">
        <v>27</v>
      </c>
    </row>
    <row r="396" spans="1:7" x14ac:dyDescent="0.35">
      <c r="A396" s="23">
        <v>395</v>
      </c>
      <c r="B396" s="23">
        <v>0.1212</v>
      </c>
      <c r="C396" s="23">
        <v>0.93</v>
      </c>
      <c r="D396" s="23">
        <v>0.25369999999999998</v>
      </c>
      <c r="E396" s="23">
        <v>0</v>
      </c>
      <c r="F396" s="23">
        <v>13</v>
      </c>
      <c r="G396" s="23">
        <v>13</v>
      </c>
    </row>
    <row r="397" spans="1:7" x14ac:dyDescent="0.35">
      <c r="A397" s="23">
        <v>396</v>
      </c>
      <c r="B397" s="23">
        <v>0.13639999999999999</v>
      </c>
      <c r="C397" s="23">
        <v>0.86</v>
      </c>
      <c r="D397" s="23">
        <v>0.28360000000000002</v>
      </c>
      <c r="E397" s="23">
        <v>1</v>
      </c>
      <c r="F397" s="23">
        <v>3</v>
      </c>
      <c r="G397" s="23">
        <v>4</v>
      </c>
    </row>
    <row r="398" spans="1:7" x14ac:dyDescent="0.35">
      <c r="A398" s="23">
        <v>397</v>
      </c>
      <c r="B398" s="23">
        <v>0.18179999999999999</v>
      </c>
      <c r="C398" s="23">
        <v>0.86</v>
      </c>
      <c r="D398" s="23">
        <v>0.32840000000000003</v>
      </c>
      <c r="E398" s="23">
        <v>0</v>
      </c>
      <c r="F398" s="23">
        <v>3</v>
      </c>
      <c r="G398" s="23">
        <v>3</v>
      </c>
    </row>
    <row r="399" spans="1:7" x14ac:dyDescent="0.35">
      <c r="A399" s="23">
        <v>398</v>
      </c>
      <c r="B399" s="23">
        <v>0.19700000000000001</v>
      </c>
      <c r="C399" s="23">
        <v>0.86</v>
      </c>
      <c r="D399" s="23">
        <v>0.22389999999999999</v>
      </c>
      <c r="E399" s="23">
        <v>0</v>
      </c>
      <c r="F399" s="23">
        <v>22</v>
      </c>
      <c r="G399" s="23">
        <v>22</v>
      </c>
    </row>
    <row r="400" spans="1:7" x14ac:dyDescent="0.35">
      <c r="A400" s="23">
        <v>399</v>
      </c>
      <c r="B400" s="23">
        <v>0.2273</v>
      </c>
      <c r="C400" s="23">
        <v>0.8</v>
      </c>
      <c r="D400" s="23">
        <v>0.16420000000000001</v>
      </c>
      <c r="E400" s="23">
        <v>2</v>
      </c>
      <c r="F400" s="23">
        <v>26</v>
      </c>
      <c r="G400" s="23">
        <v>28</v>
      </c>
    </row>
    <row r="401" spans="1:7" x14ac:dyDescent="0.35">
      <c r="A401" s="23">
        <v>400</v>
      </c>
      <c r="B401" s="23">
        <v>0.2273</v>
      </c>
      <c r="C401" s="23">
        <v>0.87</v>
      </c>
      <c r="D401" s="23">
        <v>0.16420000000000001</v>
      </c>
      <c r="E401" s="23">
        <v>3</v>
      </c>
      <c r="F401" s="23">
        <v>32</v>
      </c>
      <c r="G401" s="23">
        <v>35</v>
      </c>
    </row>
    <row r="402" spans="1:7" x14ac:dyDescent="0.35">
      <c r="A402" s="23">
        <v>401</v>
      </c>
      <c r="B402" s="23">
        <v>0.2273</v>
      </c>
      <c r="C402" s="23">
        <v>0.87</v>
      </c>
      <c r="D402" s="23">
        <v>0.19400000000000001</v>
      </c>
      <c r="E402" s="23">
        <v>0</v>
      </c>
      <c r="F402" s="23">
        <v>61</v>
      </c>
      <c r="G402" s="23">
        <v>61</v>
      </c>
    </row>
    <row r="403" spans="1:7" x14ac:dyDescent="0.35">
      <c r="A403" s="23">
        <v>402</v>
      </c>
      <c r="B403" s="23">
        <v>0.2273</v>
      </c>
      <c r="C403" s="23">
        <v>0.82</v>
      </c>
      <c r="D403" s="23">
        <v>0.19400000000000001</v>
      </c>
      <c r="E403" s="23">
        <v>1</v>
      </c>
      <c r="F403" s="23">
        <v>124</v>
      </c>
      <c r="G403" s="23">
        <v>125</v>
      </c>
    </row>
    <row r="404" spans="1:7" x14ac:dyDescent="0.35">
      <c r="A404" s="23">
        <v>403</v>
      </c>
      <c r="B404" s="23">
        <v>0.2273</v>
      </c>
      <c r="C404" s="23">
        <v>0.8</v>
      </c>
      <c r="D404" s="23">
        <v>0.16420000000000001</v>
      </c>
      <c r="E404" s="23">
        <v>1</v>
      </c>
      <c r="F404" s="23">
        <v>132</v>
      </c>
      <c r="G404" s="23">
        <v>133</v>
      </c>
    </row>
    <row r="405" spans="1:7" x14ac:dyDescent="0.35">
      <c r="A405" s="23">
        <v>404</v>
      </c>
      <c r="B405" s="23">
        <v>0.2273</v>
      </c>
      <c r="C405" s="23">
        <v>0.8</v>
      </c>
      <c r="D405" s="23">
        <v>0.1343</v>
      </c>
      <c r="E405" s="23">
        <v>1</v>
      </c>
      <c r="F405" s="23">
        <v>98</v>
      </c>
      <c r="G405" s="23">
        <v>99</v>
      </c>
    </row>
    <row r="406" spans="1:7" x14ac:dyDescent="0.35">
      <c r="A406" s="23">
        <v>405</v>
      </c>
      <c r="B406" s="23">
        <v>0.2727</v>
      </c>
      <c r="C406" s="23">
        <v>0.87</v>
      </c>
      <c r="D406" s="23">
        <v>0</v>
      </c>
      <c r="E406" s="23">
        <v>0</v>
      </c>
      <c r="F406" s="23">
        <v>83</v>
      </c>
      <c r="G406" s="23">
        <v>83</v>
      </c>
    </row>
    <row r="407" spans="1:7" x14ac:dyDescent="0.35">
      <c r="A407" s="23">
        <v>406</v>
      </c>
      <c r="B407" s="23">
        <v>0.2424</v>
      </c>
      <c r="C407" s="23">
        <v>0.93</v>
      </c>
      <c r="D407" s="23">
        <v>0.1045</v>
      </c>
      <c r="E407" s="23">
        <v>0</v>
      </c>
      <c r="F407" s="23">
        <v>41</v>
      </c>
      <c r="G407" s="23">
        <v>41</v>
      </c>
    </row>
    <row r="408" spans="1:7" x14ac:dyDescent="0.35">
      <c r="A408" s="23">
        <v>407</v>
      </c>
      <c r="B408" s="23">
        <v>0.2576</v>
      </c>
      <c r="C408" s="23">
        <v>0.93</v>
      </c>
      <c r="D408" s="23">
        <v>8.9599999999999999E-2</v>
      </c>
      <c r="E408" s="23">
        <v>0</v>
      </c>
      <c r="F408" s="23">
        <v>33</v>
      </c>
      <c r="G408" s="23">
        <v>33</v>
      </c>
    </row>
    <row r="409" spans="1:7" x14ac:dyDescent="0.35">
      <c r="A409" s="23">
        <v>408</v>
      </c>
      <c r="B409" s="23">
        <v>0.2727</v>
      </c>
      <c r="C409" s="23">
        <v>0.93</v>
      </c>
      <c r="D409" s="23">
        <v>0</v>
      </c>
      <c r="E409" s="23">
        <v>1</v>
      </c>
      <c r="F409" s="23">
        <v>19</v>
      </c>
      <c r="G409" s="23">
        <v>20</v>
      </c>
    </row>
    <row r="410" spans="1:7" x14ac:dyDescent="0.35">
      <c r="A410" s="23">
        <v>409</v>
      </c>
      <c r="B410" s="23">
        <v>0.2727</v>
      </c>
      <c r="C410" s="23">
        <v>0.93</v>
      </c>
      <c r="D410" s="23">
        <v>0</v>
      </c>
      <c r="E410" s="23">
        <v>0</v>
      </c>
      <c r="F410" s="23">
        <v>3</v>
      </c>
      <c r="G410" s="23">
        <v>3</v>
      </c>
    </row>
    <row r="411" spans="1:7" x14ac:dyDescent="0.35">
      <c r="A411" s="23">
        <v>410</v>
      </c>
      <c r="B411" s="23">
        <v>0.2273</v>
      </c>
      <c r="C411" s="23">
        <v>0.93</v>
      </c>
      <c r="D411" s="23">
        <v>0.1343</v>
      </c>
      <c r="E411" s="23">
        <v>1</v>
      </c>
      <c r="F411" s="23">
        <v>6</v>
      </c>
      <c r="G411" s="23">
        <v>7</v>
      </c>
    </row>
    <row r="412" spans="1:7" x14ac:dyDescent="0.35">
      <c r="A412" s="23">
        <v>411</v>
      </c>
      <c r="B412" s="23">
        <v>0.2273</v>
      </c>
      <c r="C412" s="23">
        <v>0.93</v>
      </c>
      <c r="D412" s="23">
        <v>0.1343</v>
      </c>
      <c r="E412" s="23">
        <v>0</v>
      </c>
      <c r="F412" s="23">
        <v>3</v>
      </c>
      <c r="G412" s="23">
        <v>3</v>
      </c>
    </row>
    <row r="413" spans="1:7" x14ac:dyDescent="0.35">
      <c r="A413" s="23">
        <v>412</v>
      </c>
      <c r="B413" s="23">
        <v>0.2273</v>
      </c>
      <c r="C413" s="23">
        <v>0.93</v>
      </c>
      <c r="D413" s="23">
        <v>0.1343</v>
      </c>
      <c r="E413" s="23">
        <v>1</v>
      </c>
      <c r="F413" s="23">
        <v>1</v>
      </c>
      <c r="G413" s="23">
        <v>2</v>
      </c>
    </row>
    <row r="414" spans="1:7" x14ac:dyDescent="0.35">
      <c r="A414" s="23">
        <v>413</v>
      </c>
      <c r="B414" s="23">
        <v>0.2576</v>
      </c>
      <c r="C414" s="23">
        <v>0.93</v>
      </c>
      <c r="D414" s="23">
        <v>8.9599999999999999E-2</v>
      </c>
      <c r="E414" s="23">
        <v>0</v>
      </c>
      <c r="F414" s="23">
        <v>7</v>
      </c>
      <c r="G414" s="23">
        <v>7</v>
      </c>
    </row>
    <row r="415" spans="1:7" x14ac:dyDescent="0.35">
      <c r="A415" s="23">
        <v>414</v>
      </c>
      <c r="B415" s="23">
        <v>0.2576</v>
      </c>
      <c r="C415" s="23">
        <v>0.93</v>
      </c>
      <c r="D415" s="23">
        <v>8.9599999999999999E-2</v>
      </c>
      <c r="E415" s="23">
        <v>0</v>
      </c>
      <c r="F415" s="23">
        <v>32</v>
      </c>
      <c r="G415" s="23">
        <v>32</v>
      </c>
    </row>
    <row r="416" spans="1:7" x14ac:dyDescent="0.35">
      <c r="A416" s="23">
        <v>415</v>
      </c>
      <c r="B416" s="23">
        <v>0.2576</v>
      </c>
      <c r="C416" s="23">
        <v>0.92</v>
      </c>
      <c r="D416" s="23">
        <v>0.1045</v>
      </c>
      <c r="E416" s="23">
        <v>1</v>
      </c>
      <c r="F416" s="23">
        <v>89</v>
      </c>
      <c r="G416" s="23">
        <v>90</v>
      </c>
    </row>
    <row r="417" spans="1:7" x14ac:dyDescent="0.35">
      <c r="A417" s="23">
        <v>416</v>
      </c>
      <c r="B417" s="23">
        <v>0.2576</v>
      </c>
      <c r="C417" s="23">
        <v>0.93</v>
      </c>
      <c r="D417" s="23">
        <v>0.1045</v>
      </c>
      <c r="E417" s="23">
        <v>1</v>
      </c>
      <c r="F417" s="23">
        <v>196</v>
      </c>
      <c r="G417" s="23">
        <v>197</v>
      </c>
    </row>
    <row r="418" spans="1:7" x14ac:dyDescent="0.35">
      <c r="A418" s="23">
        <v>417</v>
      </c>
      <c r="B418" s="23">
        <v>0.2576</v>
      </c>
      <c r="C418" s="23">
        <v>0.93</v>
      </c>
      <c r="D418" s="23">
        <v>0.1045</v>
      </c>
      <c r="E418" s="23">
        <v>2</v>
      </c>
      <c r="F418" s="23">
        <v>107</v>
      </c>
      <c r="G418" s="23">
        <v>109</v>
      </c>
    </row>
    <row r="419" spans="1:7" x14ac:dyDescent="0.35">
      <c r="A419" s="23">
        <v>418</v>
      </c>
      <c r="B419" s="23">
        <v>0.2727</v>
      </c>
      <c r="C419" s="23">
        <v>0.93</v>
      </c>
      <c r="D419" s="23">
        <v>0.1343</v>
      </c>
      <c r="E419" s="23">
        <v>1</v>
      </c>
      <c r="F419" s="23">
        <v>46</v>
      </c>
      <c r="G419" s="23">
        <v>47</v>
      </c>
    </row>
    <row r="420" spans="1:7" x14ac:dyDescent="0.35">
      <c r="A420" s="23">
        <v>419</v>
      </c>
      <c r="B420" s="23">
        <v>0.30299999999999999</v>
      </c>
      <c r="C420" s="23">
        <v>0.87</v>
      </c>
      <c r="D420" s="23">
        <v>8.9599999999999999E-2</v>
      </c>
      <c r="E420" s="23">
        <v>5</v>
      </c>
      <c r="F420" s="23">
        <v>47</v>
      </c>
      <c r="G420" s="23">
        <v>52</v>
      </c>
    </row>
    <row r="421" spans="1:7" x14ac:dyDescent="0.35">
      <c r="A421" s="23">
        <v>420</v>
      </c>
      <c r="B421" s="23">
        <v>0.31819999999999998</v>
      </c>
      <c r="C421" s="23">
        <v>0.81</v>
      </c>
      <c r="D421" s="23">
        <v>8.9599999999999999E-2</v>
      </c>
      <c r="E421" s="23">
        <v>5</v>
      </c>
      <c r="F421" s="23">
        <v>65</v>
      </c>
      <c r="G421" s="23">
        <v>70</v>
      </c>
    </row>
    <row r="422" spans="1:7" x14ac:dyDescent="0.35">
      <c r="A422" s="23">
        <v>421</v>
      </c>
      <c r="B422" s="23">
        <v>0.40910000000000002</v>
      </c>
      <c r="C422" s="23">
        <v>0.62</v>
      </c>
      <c r="D422" s="23">
        <v>0.28360000000000002</v>
      </c>
      <c r="E422" s="23">
        <v>11</v>
      </c>
      <c r="F422" s="23">
        <v>67</v>
      </c>
      <c r="G422" s="23">
        <v>78</v>
      </c>
    </row>
    <row r="423" spans="1:7" x14ac:dyDescent="0.35">
      <c r="A423" s="23">
        <v>422</v>
      </c>
      <c r="B423" s="23">
        <v>0.40910000000000002</v>
      </c>
      <c r="C423" s="23">
        <v>0.57999999999999996</v>
      </c>
      <c r="D423" s="23">
        <v>0.25369999999999998</v>
      </c>
      <c r="E423" s="23">
        <v>7</v>
      </c>
      <c r="F423" s="23">
        <v>68</v>
      </c>
      <c r="G423" s="23">
        <v>75</v>
      </c>
    </row>
    <row r="424" spans="1:7" x14ac:dyDescent="0.35">
      <c r="A424" s="23">
        <v>423</v>
      </c>
      <c r="B424" s="23">
        <v>0.40910000000000002</v>
      </c>
      <c r="C424" s="23">
        <v>0.54</v>
      </c>
      <c r="D424" s="23">
        <v>0.28360000000000002</v>
      </c>
      <c r="E424" s="23">
        <v>4</v>
      </c>
      <c r="F424" s="23">
        <v>78</v>
      </c>
      <c r="G424" s="23">
        <v>82</v>
      </c>
    </row>
    <row r="425" spans="1:7" x14ac:dyDescent="0.35">
      <c r="A425" s="23">
        <v>424</v>
      </c>
      <c r="B425" s="23">
        <v>0.39389999999999997</v>
      </c>
      <c r="C425" s="23">
        <v>0.57999999999999996</v>
      </c>
      <c r="D425" s="23">
        <v>0.3881</v>
      </c>
      <c r="E425" s="23">
        <v>10</v>
      </c>
      <c r="F425" s="23">
        <v>94</v>
      </c>
      <c r="G425" s="23">
        <v>104</v>
      </c>
    </row>
    <row r="426" spans="1:7" x14ac:dyDescent="0.35">
      <c r="A426" s="23">
        <v>425</v>
      </c>
      <c r="B426" s="23">
        <v>0.33329999999999999</v>
      </c>
      <c r="C426" s="23">
        <v>0.56999999999999995</v>
      </c>
      <c r="D426" s="23">
        <v>0.32840000000000003</v>
      </c>
      <c r="E426" s="23">
        <v>7</v>
      </c>
      <c r="F426" s="23">
        <v>190</v>
      </c>
      <c r="G426" s="23">
        <v>197</v>
      </c>
    </row>
    <row r="427" spans="1:7" x14ac:dyDescent="0.35">
      <c r="A427" s="23">
        <v>426</v>
      </c>
      <c r="B427" s="23">
        <v>0.31819999999999998</v>
      </c>
      <c r="C427" s="23">
        <v>0.61</v>
      </c>
      <c r="D427" s="23">
        <v>0.28360000000000002</v>
      </c>
      <c r="E427" s="23">
        <v>5</v>
      </c>
      <c r="F427" s="23">
        <v>156</v>
      </c>
      <c r="G427" s="23">
        <v>161</v>
      </c>
    </row>
    <row r="428" spans="1:7" x14ac:dyDescent="0.35">
      <c r="A428" s="23">
        <v>427</v>
      </c>
      <c r="B428" s="23">
        <v>0.28789999999999999</v>
      </c>
      <c r="C428" s="23">
        <v>0.56999999999999995</v>
      </c>
      <c r="D428" s="23">
        <v>0.41789999999999999</v>
      </c>
      <c r="E428" s="23">
        <v>4</v>
      </c>
      <c r="F428" s="23">
        <v>108</v>
      </c>
      <c r="G428" s="23">
        <v>112</v>
      </c>
    </row>
    <row r="429" spans="1:7" x14ac:dyDescent="0.35">
      <c r="A429" s="23">
        <v>428</v>
      </c>
      <c r="B429" s="23">
        <v>0.30299999999999999</v>
      </c>
      <c r="C429" s="23">
        <v>0.49</v>
      </c>
      <c r="D429" s="23">
        <v>0.29849999999999999</v>
      </c>
      <c r="E429" s="23">
        <v>2</v>
      </c>
      <c r="F429" s="23">
        <v>74</v>
      </c>
      <c r="G429" s="23">
        <v>76</v>
      </c>
    </row>
    <row r="430" spans="1:7" x14ac:dyDescent="0.35">
      <c r="A430" s="23">
        <v>429</v>
      </c>
      <c r="B430" s="23">
        <v>0.28789999999999999</v>
      </c>
      <c r="C430" s="23">
        <v>0.49</v>
      </c>
      <c r="D430" s="23">
        <v>0.41789999999999999</v>
      </c>
      <c r="E430" s="23">
        <v>4</v>
      </c>
      <c r="F430" s="23">
        <v>55</v>
      </c>
      <c r="G430" s="23">
        <v>59</v>
      </c>
    </row>
    <row r="431" spans="1:7" x14ac:dyDescent="0.35">
      <c r="A431" s="23">
        <v>430</v>
      </c>
      <c r="B431" s="23">
        <v>0.30299999999999999</v>
      </c>
      <c r="C431" s="23">
        <v>0.52</v>
      </c>
      <c r="D431" s="23">
        <v>0.16420000000000001</v>
      </c>
      <c r="E431" s="23">
        <v>6</v>
      </c>
      <c r="F431" s="23">
        <v>53</v>
      </c>
      <c r="G431" s="23">
        <v>59</v>
      </c>
    </row>
    <row r="432" spans="1:7" x14ac:dyDescent="0.35">
      <c r="A432" s="23">
        <v>431</v>
      </c>
      <c r="B432" s="23">
        <v>0.2727</v>
      </c>
      <c r="C432" s="23">
        <v>0.52</v>
      </c>
      <c r="D432" s="23">
        <v>0.4627</v>
      </c>
      <c r="E432" s="23">
        <v>1</v>
      </c>
      <c r="F432" s="23">
        <v>27</v>
      </c>
      <c r="G432" s="23">
        <v>28</v>
      </c>
    </row>
    <row r="433" spans="1:7" x14ac:dyDescent="0.35">
      <c r="A433" s="23">
        <v>432</v>
      </c>
      <c r="B433" s="23">
        <v>0.2273</v>
      </c>
      <c r="C433" s="23">
        <v>0.56000000000000005</v>
      </c>
      <c r="D433" s="23">
        <v>0.3881</v>
      </c>
      <c r="E433" s="23">
        <v>5</v>
      </c>
      <c r="F433" s="23">
        <v>8</v>
      </c>
      <c r="G433" s="23">
        <v>13</v>
      </c>
    </row>
    <row r="434" spans="1:7" x14ac:dyDescent="0.35">
      <c r="A434" s="23">
        <v>433</v>
      </c>
      <c r="B434" s="23">
        <v>0.2727</v>
      </c>
      <c r="C434" s="23">
        <v>0.56000000000000005</v>
      </c>
      <c r="D434" s="23">
        <v>0</v>
      </c>
      <c r="E434" s="23">
        <v>2</v>
      </c>
      <c r="F434" s="23">
        <v>3</v>
      </c>
      <c r="G434" s="23">
        <v>5</v>
      </c>
    </row>
    <row r="435" spans="1:7" x14ac:dyDescent="0.35">
      <c r="A435" s="23">
        <v>434</v>
      </c>
      <c r="B435" s="23">
        <v>0.2727</v>
      </c>
      <c r="C435" s="23">
        <v>0.56000000000000005</v>
      </c>
      <c r="D435" s="23">
        <v>0</v>
      </c>
      <c r="E435" s="23">
        <v>0</v>
      </c>
      <c r="F435" s="23">
        <v>2</v>
      </c>
      <c r="G435" s="23">
        <v>2</v>
      </c>
    </row>
    <row r="436" spans="1:7" x14ac:dyDescent="0.35">
      <c r="A436" s="23">
        <v>435</v>
      </c>
      <c r="B436" s="23">
        <v>0.2576</v>
      </c>
      <c r="C436" s="23">
        <v>0.56000000000000005</v>
      </c>
      <c r="D436" s="23">
        <v>0.16420000000000001</v>
      </c>
      <c r="E436" s="23">
        <v>0</v>
      </c>
      <c r="F436" s="23">
        <v>1</v>
      </c>
      <c r="G436" s="23">
        <v>1</v>
      </c>
    </row>
    <row r="437" spans="1:7" x14ac:dyDescent="0.35">
      <c r="A437" s="23">
        <v>436</v>
      </c>
      <c r="B437" s="23">
        <v>0.2576</v>
      </c>
      <c r="C437" s="23">
        <v>0.56000000000000005</v>
      </c>
      <c r="D437" s="23">
        <v>0.16420000000000001</v>
      </c>
      <c r="E437" s="23">
        <v>0</v>
      </c>
      <c r="F437" s="23">
        <v>1</v>
      </c>
      <c r="G437" s="23">
        <v>1</v>
      </c>
    </row>
    <row r="438" spans="1:7" x14ac:dyDescent="0.35">
      <c r="A438" s="23">
        <v>437</v>
      </c>
      <c r="B438" s="23">
        <v>0.2273</v>
      </c>
      <c r="C438" s="23">
        <v>0.6</v>
      </c>
      <c r="D438" s="23">
        <v>0.22389999999999999</v>
      </c>
      <c r="E438" s="23">
        <v>0</v>
      </c>
      <c r="F438" s="23">
        <v>6</v>
      </c>
      <c r="G438" s="23">
        <v>6</v>
      </c>
    </row>
    <row r="439" spans="1:7" x14ac:dyDescent="0.35">
      <c r="A439" s="23">
        <v>438</v>
      </c>
      <c r="B439" s="23">
        <v>0.21210000000000001</v>
      </c>
      <c r="C439" s="23">
        <v>0.6</v>
      </c>
      <c r="D439" s="23">
        <v>0.22389999999999999</v>
      </c>
      <c r="E439" s="23">
        <v>0</v>
      </c>
      <c r="F439" s="23">
        <v>35</v>
      </c>
      <c r="G439" s="23">
        <v>35</v>
      </c>
    </row>
    <row r="440" spans="1:7" x14ac:dyDescent="0.35">
      <c r="A440" s="23">
        <v>439</v>
      </c>
      <c r="B440" s="23">
        <v>0.21210000000000001</v>
      </c>
      <c r="C440" s="23">
        <v>0.55000000000000004</v>
      </c>
      <c r="D440" s="23">
        <v>0.22389999999999999</v>
      </c>
      <c r="E440" s="23">
        <v>1</v>
      </c>
      <c r="F440" s="23">
        <v>100</v>
      </c>
      <c r="G440" s="23">
        <v>101</v>
      </c>
    </row>
    <row r="441" spans="1:7" x14ac:dyDescent="0.35">
      <c r="A441" s="23">
        <v>440</v>
      </c>
      <c r="B441" s="23">
        <v>0.21210000000000001</v>
      </c>
      <c r="C441" s="23">
        <v>0.55000000000000004</v>
      </c>
      <c r="D441" s="23">
        <v>0.28360000000000002</v>
      </c>
      <c r="E441" s="23">
        <v>2</v>
      </c>
      <c r="F441" s="23">
        <v>247</v>
      </c>
      <c r="G441" s="23">
        <v>249</v>
      </c>
    </row>
    <row r="442" spans="1:7" x14ac:dyDescent="0.35">
      <c r="A442" s="23">
        <v>441</v>
      </c>
      <c r="B442" s="23">
        <v>0.2273</v>
      </c>
      <c r="C442" s="23">
        <v>0.52</v>
      </c>
      <c r="D442" s="23">
        <v>0.22389999999999999</v>
      </c>
      <c r="E442" s="23">
        <v>3</v>
      </c>
      <c r="F442" s="23">
        <v>140</v>
      </c>
      <c r="G442" s="23">
        <v>143</v>
      </c>
    </row>
    <row r="443" spans="1:7" x14ac:dyDescent="0.35">
      <c r="A443" s="23">
        <v>442</v>
      </c>
      <c r="B443" s="23">
        <v>0.2273</v>
      </c>
      <c r="C443" s="23">
        <v>0.48</v>
      </c>
      <c r="D443" s="23">
        <v>0.29849999999999999</v>
      </c>
      <c r="E443" s="23">
        <v>1</v>
      </c>
      <c r="F443" s="23">
        <v>56</v>
      </c>
      <c r="G443" s="23">
        <v>57</v>
      </c>
    </row>
    <row r="444" spans="1:7" x14ac:dyDescent="0.35">
      <c r="A444" s="23">
        <v>443</v>
      </c>
      <c r="B444" s="23">
        <v>0.2727</v>
      </c>
      <c r="C444" s="23">
        <v>0.45</v>
      </c>
      <c r="D444" s="23">
        <v>0.16420000000000001</v>
      </c>
      <c r="E444" s="23">
        <v>5</v>
      </c>
      <c r="F444" s="23">
        <v>63</v>
      </c>
      <c r="G444" s="23">
        <v>68</v>
      </c>
    </row>
    <row r="445" spans="1:7" x14ac:dyDescent="0.35">
      <c r="A445" s="23">
        <v>444</v>
      </c>
      <c r="B445" s="23">
        <v>0.33329999999999999</v>
      </c>
      <c r="C445" s="23">
        <v>0.42</v>
      </c>
      <c r="D445" s="23">
        <v>0</v>
      </c>
      <c r="E445" s="23">
        <v>7</v>
      </c>
      <c r="F445" s="23">
        <v>77</v>
      </c>
      <c r="G445" s="23">
        <v>84</v>
      </c>
    </row>
    <row r="446" spans="1:7" x14ac:dyDescent="0.35">
      <c r="A446" s="23">
        <v>445</v>
      </c>
      <c r="B446" s="23">
        <v>0.28789999999999999</v>
      </c>
      <c r="C446" s="23">
        <v>0.45</v>
      </c>
      <c r="D446" s="23">
        <v>0.1045</v>
      </c>
      <c r="E446" s="23">
        <v>12</v>
      </c>
      <c r="F446" s="23">
        <v>86</v>
      </c>
      <c r="G446" s="23">
        <v>98</v>
      </c>
    </row>
    <row r="447" spans="1:7" x14ac:dyDescent="0.35">
      <c r="A447" s="23">
        <v>446</v>
      </c>
      <c r="B447" s="23">
        <v>0.30299999999999999</v>
      </c>
      <c r="C447" s="23">
        <v>0.45</v>
      </c>
      <c r="D447" s="23">
        <v>0.1343</v>
      </c>
      <c r="E447" s="23">
        <v>6</v>
      </c>
      <c r="F447" s="23">
        <v>75</v>
      </c>
      <c r="G447" s="23">
        <v>81</v>
      </c>
    </row>
    <row r="448" spans="1:7" x14ac:dyDescent="0.35">
      <c r="A448" s="23">
        <v>447</v>
      </c>
      <c r="B448" s="23">
        <v>0.31819999999999998</v>
      </c>
      <c r="C448" s="23">
        <v>0.45</v>
      </c>
      <c r="D448" s="23">
        <v>0.19400000000000001</v>
      </c>
      <c r="E448" s="23">
        <v>8</v>
      </c>
      <c r="F448" s="23">
        <v>62</v>
      </c>
      <c r="G448" s="23">
        <v>70</v>
      </c>
    </row>
    <row r="449" spans="1:7" x14ac:dyDescent="0.35">
      <c r="A449" s="23">
        <v>448</v>
      </c>
      <c r="B449" s="23">
        <v>0.30299999999999999</v>
      </c>
      <c r="C449" s="23">
        <v>0.49</v>
      </c>
      <c r="D449" s="23">
        <v>0.1343</v>
      </c>
      <c r="E449" s="23">
        <v>8</v>
      </c>
      <c r="F449" s="23">
        <v>83</v>
      </c>
      <c r="G449" s="23">
        <v>91</v>
      </c>
    </row>
    <row r="450" spans="1:7" x14ac:dyDescent="0.35">
      <c r="A450" s="23">
        <v>449</v>
      </c>
      <c r="B450" s="23">
        <v>0.31819999999999998</v>
      </c>
      <c r="C450" s="23">
        <v>0.49</v>
      </c>
      <c r="D450" s="23">
        <v>0.1045</v>
      </c>
      <c r="E450" s="23">
        <v>8</v>
      </c>
      <c r="F450" s="23">
        <v>207</v>
      </c>
      <c r="G450" s="23">
        <v>215</v>
      </c>
    </row>
    <row r="451" spans="1:7" x14ac:dyDescent="0.35">
      <c r="A451" s="23">
        <v>450</v>
      </c>
      <c r="B451" s="23">
        <v>0.2576</v>
      </c>
      <c r="C451" s="23">
        <v>0.56000000000000005</v>
      </c>
      <c r="D451" s="23">
        <v>0.19400000000000001</v>
      </c>
      <c r="E451" s="23">
        <v>1</v>
      </c>
      <c r="F451" s="23">
        <v>184</v>
      </c>
      <c r="G451" s="23">
        <v>185</v>
      </c>
    </row>
    <row r="452" spans="1:7" x14ac:dyDescent="0.35">
      <c r="A452" s="23">
        <v>451</v>
      </c>
      <c r="B452" s="23">
        <v>0.2273</v>
      </c>
      <c r="C452" s="23">
        <v>0.56000000000000005</v>
      </c>
      <c r="D452" s="23">
        <v>0.32840000000000003</v>
      </c>
      <c r="E452" s="23">
        <v>6</v>
      </c>
      <c r="F452" s="23">
        <v>146</v>
      </c>
      <c r="G452" s="23">
        <v>152</v>
      </c>
    </row>
    <row r="453" spans="1:7" x14ac:dyDescent="0.35">
      <c r="A453" s="23">
        <v>452</v>
      </c>
      <c r="B453" s="23">
        <v>0.2424</v>
      </c>
      <c r="C453" s="23">
        <v>0.6</v>
      </c>
      <c r="D453" s="23">
        <v>0.28360000000000002</v>
      </c>
      <c r="E453" s="23">
        <v>2</v>
      </c>
      <c r="F453" s="23">
        <v>124</v>
      </c>
      <c r="G453" s="23">
        <v>126</v>
      </c>
    </row>
    <row r="454" spans="1:7" x14ac:dyDescent="0.35">
      <c r="A454" s="23">
        <v>453</v>
      </c>
      <c r="B454" s="23">
        <v>0.2273</v>
      </c>
      <c r="C454" s="23">
        <v>0.6</v>
      </c>
      <c r="D454" s="23">
        <v>0.25369999999999998</v>
      </c>
      <c r="E454" s="23">
        <v>3</v>
      </c>
      <c r="F454" s="23">
        <v>54</v>
      </c>
      <c r="G454" s="23">
        <v>57</v>
      </c>
    </row>
    <row r="455" spans="1:7" x14ac:dyDescent="0.35">
      <c r="A455" s="23">
        <v>454</v>
      </c>
      <c r="B455" s="23">
        <v>0.21210000000000001</v>
      </c>
      <c r="C455" s="23">
        <v>0.65</v>
      </c>
      <c r="D455" s="23">
        <v>0.28360000000000002</v>
      </c>
      <c r="E455" s="23">
        <v>0</v>
      </c>
      <c r="F455" s="23">
        <v>56</v>
      </c>
      <c r="G455" s="23">
        <v>56</v>
      </c>
    </row>
    <row r="456" spans="1:7" x14ac:dyDescent="0.35">
      <c r="A456" s="23">
        <v>455</v>
      </c>
      <c r="B456" s="23">
        <v>0.21210000000000001</v>
      </c>
      <c r="C456" s="23">
        <v>0.65</v>
      </c>
      <c r="D456" s="23">
        <v>0.32840000000000003</v>
      </c>
      <c r="E456" s="23">
        <v>3</v>
      </c>
      <c r="F456" s="23">
        <v>28</v>
      </c>
      <c r="G456" s="23">
        <v>31</v>
      </c>
    </row>
    <row r="457" spans="1:7" x14ac:dyDescent="0.35">
      <c r="A457" s="23">
        <v>456</v>
      </c>
      <c r="B457" s="23">
        <v>0.2273</v>
      </c>
      <c r="C457" s="23">
        <v>0.7</v>
      </c>
      <c r="D457" s="23">
        <v>0.25369999999999998</v>
      </c>
      <c r="E457" s="23">
        <v>1</v>
      </c>
      <c r="F457" s="23">
        <v>20</v>
      </c>
      <c r="G457" s="23">
        <v>21</v>
      </c>
    </row>
    <row r="458" spans="1:7" x14ac:dyDescent="0.35">
      <c r="A458" s="23">
        <v>457</v>
      </c>
      <c r="B458" s="23">
        <v>0.2273</v>
      </c>
      <c r="C458" s="23">
        <v>0.7</v>
      </c>
      <c r="D458" s="23">
        <v>0.25369999999999998</v>
      </c>
      <c r="E458" s="23">
        <v>0</v>
      </c>
      <c r="F458" s="23">
        <v>6</v>
      </c>
      <c r="G458" s="23">
        <v>6</v>
      </c>
    </row>
    <row r="459" spans="1:7" x14ac:dyDescent="0.35">
      <c r="A459" s="23">
        <v>458</v>
      </c>
      <c r="B459" s="23">
        <v>0.2424</v>
      </c>
      <c r="C459" s="23">
        <v>0.75</v>
      </c>
      <c r="D459" s="23">
        <v>0.16420000000000001</v>
      </c>
      <c r="E459" s="23">
        <v>0</v>
      </c>
      <c r="F459" s="23">
        <v>2</v>
      </c>
      <c r="G459" s="23">
        <v>2</v>
      </c>
    </row>
    <row r="460" spans="1:7" x14ac:dyDescent="0.35">
      <c r="A460" s="23">
        <v>459</v>
      </c>
      <c r="B460" s="23">
        <v>0.21210000000000001</v>
      </c>
      <c r="C460" s="23">
        <v>0.8</v>
      </c>
      <c r="D460" s="23">
        <v>0.29849999999999999</v>
      </c>
      <c r="E460" s="23">
        <v>0</v>
      </c>
      <c r="F460" s="23">
        <v>1</v>
      </c>
      <c r="G460" s="23">
        <v>1</v>
      </c>
    </row>
    <row r="461" spans="1:7" x14ac:dyDescent="0.35">
      <c r="A461" s="23">
        <v>460</v>
      </c>
      <c r="B461" s="23">
        <v>0.2576</v>
      </c>
      <c r="C461" s="23">
        <v>0.87</v>
      </c>
      <c r="D461" s="23">
        <v>8.9599999999999999E-2</v>
      </c>
      <c r="E461" s="23">
        <v>0</v>
      </c>
      <c r="F461" s="23">
        <v>1</v>
      </c>
      <c r="G461" s="23">
        <v>1</v>
      </c>
    </row>
    <row r="462" spans="1:7" x14ac:dyDescent="0.35">
      <c r="A462" s="23">
        <v>461</v>
      </c>
      <c r="B462" s="23">
        <v>0.19700000000000001</v>
      </c>
      <c r="C462" s="23">
        <v>0.6</v>
      </c>
      <c r="D462" s="23">
        <v>0.41789999999999999</v>
      </c>
      <c r="E462" s="23">
        <v>1</v>
      </c>
      <c r="F462" s="23">
        <v>4</v>
      </c>
      <c r="G462" s="23">
        <v>5</v>
      </c>
    </row>
    <row r="463" spans="1:7" x14ac:dyDescent="0.35">
      <c r="A463" s="23">
        <v>462</v>
      </c>
      <c r="B463" s="23">
        <v>0.21210000000000001</v>
      </c>
      <c r="C463" s="23">
        <v>0.55000000000000004</v>
      </c>
      <c r="D463" s="23">
        <v>0.25369999999999998</v>
      </c>
      <c r="E463" s="23">
        <v>0</v>
      </c>
      <c r="F463" s="23">
        <v>27</v>
      </c>
      <c r="G463" s="23">
        <v>27</v>
      </c>
    </row>
    <row r="464" spans="1:7" x14ac:dyDescent="0.35">
      <c r="A464" s="23">
        <v>463</v>
      </c>
      <c r="B464" s="23">
        <v>0.18179999999999999</v>
      </c>
      <c r="C464" s="23">
        <v>0.51</v>
      </c>
      <c r="D464" s="23">
        <v>0.28360000000000002</v>
      </c>
      <c r="E464" s="23">
        <v>2</v>
      </c>
      <c r="F464" s="23">
        <v>66</v>
      </c>
      <c r="G464" s="23">
        <v>68</v>
      </c>
    </row>
    <row r="465" spans="1:7" x14ac:dyDescent="0.35">
      <c r="A465" s="23">
        <v>464</v>
      </c>
      <c r="B465" s="23">
        <v>0.18179999999999999</v>
      </c>
      <c r="C465" s="23">
        <v>0.47</v>
      </c>
      <c r="D465" s="23">
        <v>0.32840000000000003</v>
      </c>
      <c r="E465" s="23">
        <v>7</v>
      </c>
      <c r="F465" s="23">
        <v>210</v>
      </c>
      <c r="G465" s="23">
        <v>217</v>
      </c>
    </row>
    <row r="466" spans="1:7" x14ac:dyDescent="0.35">
      <c r="A466" s="23">
        <v>465</v>
      </c>
      <c r="B466" s="23">
        <v>0.18179999999999999</v>
      </c>
      <c r="C466" s="23">
        <v>0.51</v>
      </c>
      <c r="D466" s="23">
        <v>0.35820000000000002</v>
      </c>
      <c r="E466" s="23">
        <v>7</v>
      </c>
      <c r="F466" s="23">
        <v>159</v>
      </c>
      <c r="G466" s="23">
        <v>166</v>
      </c>
    </row>
    <row r="467" spans="1:7" x14ac:dyDescent="0.35">
      <c r="A467" s="23">
        <v>466</v>
      </c>
      <c r="B467" s="23">
        <v>0.16669999999999999</v>
      </c>
      <c r="C467" s="23">
        <v>0.47</v>
      </c>
      <c r="D467" s="23">
        <v>0.4627</v>
      </c>
      <c r="E467" s="23">
        <v>6</v>
      </c>
      <c r="F467" s="23">
        <v>57</v>
      </c>
      <c r="G467" s="23">
        <v>63</v>
      </c>
    </row>
    <row r="468" spans="1:7" x14ac:dyDescent="0.35">
      <c r="A468" s="23">
        <v>467</v>
      </c>
      <c r="B468" s="23">
        <v>0.18179999999999999</v>
      </c>
      <c r="C468" s="23">
        <v>0.41</v>
      </c>
      <c r="D468" s="23">
        <v>0.4627</v>
      </c>
      <c r="E468" s="23">
        <v>6</v>
      </c>
      <c r="F468" s="23">
        <v>53</v>
      </c>
      <c r="G468" s="23">
        <v>59</v>
      </c>
    </row>
    <row r="469" spans="1:7" x14ac:dyDescent="0.35">
      <c r="A469" s="23">
        <v>468</v>
      </c>
      <c r="B469" s="23">
        <v>0.18179999999999999</v>
      </c>
      <c r="C469" s="23">
        <v>0.27</v>
      </c>
      <c r="D469" s="23">
        <v>0.58209999999999995</v>
      </c>
      <c r="E469" s="23">
        <v>11</v>
      </c>
      <c r="F469" s="23">
        <v>67</v>
      </c>
      <c r="G469" s="23">
        <v>78</v>
      </c>
    </row>
    <row r="470" spans="1:7" x14ac:dyDescent="0.35">
      <c r="A470" s="23">
        <v>469</v>
      </c>
      <c r="B470" s="23">
        <v>0.1515</v>
      </c>
      <c r="C470" s="23">
        <v>0.21</v>
      </c>
      <c r="D470" s="23">
        <v>0.58209999999999995</v>
      </c>
      <c r="E470" s="23">
        <v>8</v>
      </c>
      <c r="F470" s="23">
        <v>65</v>
      </c>
      <c r="G470" s="23">
        <v>73</v>
      </c>
    </row>
    <row r="471" spans="1:7" x14ac:dyDescent="0.35">
      <c r="A471" s="23">
        <v>470</v>
      </c>
      <c r="B471" s="23">
        <v>0.1515</v>
      </c>
      <c r="C471" s="23">
        <v>0.25</v>
      </c>
      <c r="D471" s="23">
        <v>0.52239999999999998</v>
      </c>
      <c r="E471" s="23">
        <v>6</v>
      </c>
      <c r="F471" s="23">
        <v>56</v>
      </c>
      <c r="G471" s="23">
        <v>62</v>
      </c>
    </row>
    <row r="472" spans="1:7" x14ac:dyDescent="0.35">
      <c r="A472" s="23">
        <v>471</v>
      </c>
      <c r="B472" s="23">
        <v>0.1212</v>
      </c>
      <c r="C472" s="23">
        <v>0.26</v>
      </c>
      <c r="D472" s="23">
        <v>0.44779999999999998</v>
      </c>
      <c r="E472" s="23">
        <v>4</v>
      </c>
      <c r="F472" s="23">
        <v>61</v>
      </c>
      <c r="G472" s="23">
        <v>65</v>
      </c>
    </row>
    <row r="473" spans="1:7" x14ac:dyDescent="0.35">
      <c r="A473" s="23">
        <v>472</v>
      </c>
      <c r="B473" s="23">
        <v>0.13639999999999999</v>
      </c>
      <c r="C473" s="23">
        <v>0.26</v>
      </c>
      <c r="D473" s="23">
        <v>0.35820000000000002</v>
      </c>
      <c r="E473" s="23">
        <v>0</v>
      </c>
      <c r="F473" s="23">
        <v>97</v>
      </c>
      <c r="G473" s="23">
        <v>97</v>
      </c>
    </row>
    <row r="474" spans="1:7" x14ac:dyDescent="0.35">
      <c r="A474" s="23">
        <v>473</v>
      </c>
      <c r="B474" s="23">
        <v>0.1212</v>
      </c>
      <c r="C474" s="23">
        <v>0.28000000000000003</v>
      </c>
      <c r="D474" s="23">
        <v>0.35820000000000002</v>
      </c>
      <c r="E474" s="23">
        <v>10</v>
      </c>
      <c r="F474" s="23">
        <v>151</v>
      </c>
      <c r="G474" s="23">
        <v>161</v>
      </c>
    </row>
    <row r="475" spans="1:7" x14ac:dyDescent="0.35">
      <c r="A475" s="23">
        <v>474</v>
      </c>
      <c r="B475" s="23">
        <v>0.1212</v>
      </c>
      <c r="C475" s="23">
        <v>0.3</v>
      </c>
      <c r="D475" s="23">
        <v>0.25369999999999998</v>
      </c>
      <c r="E475" s="23">
        <v>1</v>
      </c>
      <c r="F475" s="23">
        <v>119</v>
      </c>
      <c r="G475" s="23">
        <v>120</v>
      </c>
    </row>
    <row r="476" spans="1:7" x14ac:dyDescent="0.35">
      <c r="A476" s="23">
        <v>475</v>
      </c>
      <c r="B476" s="23">
        <v>0.1061</v>
      </c>
      <c r="C476" s="23">
        <v>0.3</v>
      </c>
      <c r="D476" s="23">
        <v>0.32840000000000003</v>
      </c>
      <c r="E476" s="23">
        <v>3</v>
      </c>
      <c r="F476" s="23">
        <v>93</v>
      </c>
      <c r="G476" s="23">
        <v>96</v>
      </c>
    </row>
    <row r="477" spans="1:7" x14ac:dyDescent="0.35">
      <c r="A477" s="23">
        <v>476</v>
      </c>
      <c r="B477" s="23">
        <v>7.5800000000000006E-2</v>
      </c>
      <c r="C477" s="23">
        <v>0.33</v>
      </c>
      <c r="D477" s="23">
        <v>0.41789999999999999</v>
      </c>
      <c r="E477" s="23">
        <v>1</v>
      </c>
      <c r="F477" s="23">
        <v>52</v>
      </c>
      <c r="G477" s="23">
        <v>53</v>
      </c>
    </row>
    <row r="478" spans="1:7" x14ac:dyDescent="0.35">
      <c r="A478" s="23">
        <v>477</v>
      </c>
      <c r="B478" s="23">
        <v>7.5800000000000006E-2</v>
      </c>
      <c r="C478" s="23">
        <v>0.38</v>
      </c>
      <c r="D478" s="23">
        <v>0.28360000000000002</v>
      </c>
      <c r="E478" s="23">
        <v>0</v>
      </c>
      <c r="F478" s="23">
        <v>41</v>
      </c>
      <c r="G478" s="23">
        <v>41</v>
      </c>
    </row>
    <row r="479" spans="1:7" x14ac:dyDescent="0.35">
      <c r="A479" s="23">
        <v>478</v>
      </c>
      <c r="B479" s="23">
        <v>3.0300000000000001E-2</v>
      </c>
      <c r="C479" s="23">
        <v>0.41</v>
      </c>
      <c r="D479" s="23">
        <v>0.3881</v>
      </c>
      <c r="E479" s="23">
        <v>1</v>
      </c>
      <c r="F479" s="23">
        <v>33</v>
      </c>
      <c r="G479" s="23">
        <v>34</v>
      </c>
    </row>
    <row r="480" spans="1:7" x14ac:dyDescent="0.35">
      <c r="A480" s="23">
        <v>479</v>
      </c>
      <c r="B480" s="23">
        <v>4.5499999999999999E-2</v>
      </c>
      <c r="C480" s="23">
        <v>0.38</v>
      </c>
      <c r="D480" s="23">
        <v>0.32840000000000003</v>
      </c>
      <c r="E480" s="23">
        <v>0</v>
      </c>
      <c r="F480" s="23">
        <v>27</v>
      </c>
      <c r="G480" s="23">
        <v>27</v>
      </c>
    </row>
    <row r="481" spans="1:7" x14ac:dyDescent="0.35">
      <c r="A481" s="23">
        <v>480</v>
      </c>
      <c r="B481" s="23">
        <v>3.0300000000000001E-2</v>
      </c>
      <c r="C481" s="23">
        <v>0.45</v>
      </c>
      <c r="D481" s="23">
        <v>0.25369999999999998</v>
      </c>
      <c r="E481" s="23">
        <v>0</v>
      </c>
      <c r="F481" s="23">
        <v>13</v>
      </c>
      <c r="G481" s="23">
        <v>13</v>
      </c>
    </row>
    <row r="482" spans="1:7" x14ac:dyDescent="0.35">
      <c r="A482" s="23">
        <v>481</v>
      </c>
      <c r="B482" s="23">
        <v>0</v>
      </c>
      <c r="C482" s="23">
        <v>0.41</v>
      </c>
      <c r="D482" s="23">
        <v>0.3881</v>
      </c>
      <c r="E482" s="23">
        <v>3</v>
      </c>
      <c r="F482" s="23">
        <v>9</v>
      </c>
      <c r="G482" s="23">
        <v>12</v>
      </c>
    </row>
    <row r="483" spans="1:7" x14ac:dyDescent="0.35">
      <c r="A483" s="23">
        <v>482</v>
      </c>
      <c r="B483" s="23">
        <v>3.0300000000000001E-2</v>
      </c>
      <c r="C483" s="23">
        <v>0.41</v>
      </c>
      <c r="D483" s="23">
        <v>0.25369999999999998</v>
      </c>
      <c r="E483" s="23">
        <v>0</v>
      </c>
      <c r="F483" s="23">
        <v>11</v>
      </c>
      <c r="G483" s="23">
        <v>11</v>
      </c>
    </row>
    <row r="484" spans="1:7" x14ac:dyDescent="0.35">
      <c r="A484" s="23">
        <v>483</v>
      </c>
      <c r="B484" s="23">
        <v>3.0300000000000001E-2</v>
      </c>
      <c r="C484" s="23">
        <v>0.41</v>
      </c>
      <c r="D484" s="23">
        <v>0.28360000000000002</v>
      </c>
      <c r="E484" s="23">
        <v>1</v>
      </c>
      <c r="F484" s="23">
        <v>6</v>
      </c>
      <c r="G484" s="23">
        <v>7</v>
      </c>
    </row>
    <row r="485" spans="1:7" x14ac:dyDescent="0.35">
      <c r="A485" s="23">
        <v>484</v>
      </c>
      <c r="B485" s="23">
        <v>1.52E-2</v>
      </c>
      <c r="C485" s="23">
        <v>0.48</v>
      </c>
      <c r="D485" s="23">
        <v>0.29849999999999999</v>
      </c>
      <c r="E485" s="23">
        <v>0</v>
      </c>
      <c r="F485" s="23">
        <v>3</v>
      </c>
      <c r="G485" s="23">
        <v>3</v>
      </c>
    </row>
    <row r="486" spans="1:7" x14ac:dyDescent="0.35">
      <c r="A486" s="23">
        <v>485</v>
      </c>
      <c r="B486" s="23">
        <v>3.0300000000000001E-2</v>
      </c>
      <c r="C486" s="23">
        <v>0.44</v>
      </c>
      <c r="D486" s="23">
        <v>0.22389999999999999</v>
      </c>
      <c r="E486" s="23">
        <v>0</v>
      </c>
      <c r="F486" s="23">
        <v>2</v>
      </c>
      <c r="G486" s="23">
        <v>2</v>
      </c>
    </row>
    <row r="487" spans="1:7" x14ac:dyDescent="0.35">
      <c r="A487" s="23">
        <v>486</v>
      </c>
      <c r="B487" s="23">
        <v>1.52E-2</v>
      </c>
      <c r="C487" s="23">
        <v>0.44</v>
      </c>
      <c r="D487" s="23">
        <v>0.28360000000000002</v>
      </c>
      <c r="E487" s="23">
        <v>0</v>
      </c>
      <c r="F487" s="23">
        <v>8</v>
      </c>
      <c r="G487" s="23">
        <v>8</v>
      </c>
    </row>
    <row r="488" spans="1:7" x14ac:dyDescent="0.35">
      <c r="A488" s="23">
        <v>487</v>
      </c>
      <c r="B488" s="23">
        <v>0</v>
      </c>
      <c r="C488" s="23">
        <v>0.44</v>
      </c>
      <c r="D488" s="23">
        <v>0.32840000000000003</v>
      </c>
      <c r="E488" s="23">
        <v>1</v>
      </c>
      <c r="F488" s="23">
        <v>26</v>
      </c>
      <c r="G488" s="23">
        <v>27</v>
      </c>
    </row>
    <row r="489" spans="1:7" x14ac:dyDescent="0.35">
      <c r="A489" s="23">
        <v>488</v>
      </c>
      <c r="B489" s="23">
        <v>3.0300000000000001E-2</v>
      </c>
      <c r="C489" s="23">
        <v>0.41</v>
      </c>
      <c r="D489" s="23">
        <v>0.25369999999999998</v>
      </c>
      <c r="E489" s="23">
        <v>3</v>
      </c>
      <c r="F489" s="23">
        <v>37</v>
      </c>
      <c r="G489" s="23">
        <v>40</v>
      </c>
    </row>
    <row r="490" spans="1:7" x14ac:dyDescent="0.35">
      <c r="A490" s="23">
        <v>489</v>
      </c>
      <c r="B490" s="23">
        <v>6.0600000000000001E-2</v>
      </c>
      <c r="C490" s="23">
        <v>0.41</v>
      </c>
      <c r="D490" s="23">
        <v>0.16420000000000001</v>
      </c>
      <c r="E490" s="23">
        <v>3</v>
      </c>
      <c r="F490" s="23">
        <v>50</v>
      </c>
      <c r="G490" s="23">
        <v>53</v>
      </c>
    </row>
    <row r="491" spans="1:7" x14ac:dyDescent="0.35">
      <c r="A491" s="23">
        <v>490</v>
      </c>
      <c r="B491" s="23">
        <v>7.5800000000000006E-2</v>
      </c>
      <c r="C491" s="23">
        <v>0.38</v>
      </c>
      <c r="D491" s="23">
        <v>0.1343</v>
      </c>
      <c r="E491" s="23">
        <v>4</v>
      </c>
      <c r="F491" s="23">
        <v>59</v>
      </c>
      <c r="G491" s="23">
        <v>63</v>
      </c>
    </row>
    <row r="492" spans="1:7" x14ac:dyDescent="0.35">
      <c r="A492" s="23">
        <v>491</v>
      </c>
      <c r="B492" s="23">
        <v>0.1061</v>
      </c>
      <c r="C492" s="23">
        <v>0.38</v>
      </c>
      <c r="D492" s="23">
        <v>0.1045</v>
      </c>
      <c r="E492" s="23">
        <v>10</v>
      </c>
      <c r="F492" s="23">
        <v>60</v>
      </c>
      <c r="G492" s="23">
        <v>70</v>
      </c>
    </row>
    <row r="493" spans="1:7" x14ac:dyDescent="0.35">
      <c r="A493" s="23">
        <v>492</v>
      </c>
      <c r="B493" s="23">
        <v>0.16669999999999999</v>
      </c>
      <c r="C493" s="23">
        <v>0.35</v>
      </c>
      <c r="D493" s="23">
        <v>0</v>
      </c>
      <c r="E493" s="23">
        <v>12</v>
      </c>
      <c r="F493" s="23">
        <v>72</v>
      </c>
      <c r="G493" s="23">
        <v>84</v>
      </c>
    </row>
    <row r="494" spans="1:7" x14ac:dyDescent="0.35">
      <c r="A494" s="23">
        <v>493</v>
      </c>
      <c r="B494" s="23">
        <v>0.13639999999999999</v>
      </c>
      <c r="C494" s="23">
        <v>0.33</v>
      </c>
      <c r="D494" s="23">
        <v>0.1045</v>
      </c>
      <c r="E494" s="23">
        <v>11</v>
      </c>
      <c r="F494" s="23">
        <v>64</v>
      </c>
      <c r="G494" s="23">
        <v>75</v>
      </c>
    </row>
    <row r="495" spans="1:7" x14ac:dyDescent="0.35">
      <c r="A495" s="23">
        <v>494</v>
      </c>
      <c r="B495" s="23">
        <v>0.1515</v>
      </c>
      <c r="C495" s="23">
        <v>0.28000000000000003</v>
      </c>
      <c r="D495" s="23">
        <v>0</v>
      </c>
      <c r="E495" s="23">
        <v>10</v>
      </c>
      <c r="F495" s="23">
        <v>93</v>
      </c>
      <c r="G495" s="23">
        <v>103</v>
      </c>
    </row>
    <row r="496" spans="1:7" x14ac:dyDescent="0.35">
      <c r="A496" s="23">
        <v>495</v>
      </c>
      <c r="B496" s="23">
        <v>0.13639999999999999</v>
      </c>
      <c r="C496" s="23">
        <v>0.28000000000000003</v>
      </c>
      <c r="D496" s="23">
        <v>0.19400000000000001</v>
      </c>
      <c r="E496" s="23">
        <v>11</v>
      </c>
      <c r="F496" s="23">
        <v>72</v>
      </c>
      <c r="G496" s="23">
        <v>83</v>
      </c>
    </row>
    <row r="497" spans="1:7" x14ac:dyDescent="0.35">
      <c r="A497" s="23">
        <v>496</v>
      </c>
      <c r="B497" s="23">
        <v>0.19700000000000001</v>
      </c>
      <c r="C497" s="23">
        <v>0.28000000000000003</v>
      </c>
      <c r="D497" s="23">
        <v>0</v>
      </c>
      <c r="E497" s="23">
        <v>8</v>
      </c>
      <c r="F497" s="23">
        <v>59</v>
      </c>
      <c r="G497" s="23">
        <v>67</v>
      </c>
    </row>
    <row r="498" spans="1:7" x14ac:dyDescent="0.35">
      <c r="A498" s="23">
        <v>497</v>
      </c>
      <c r="B498" s="23">
        <v>9.0899999999999995E-2</v>
      </c>
      <c r="C498" s="23">
        <v>0.35</v>
      </c>
      <c r="D498" s="23">
        <v>0.19400000000000001</v>
      </c>
      <c r="E498" s="23">
        <v>0</v>
      </c>
      <c r="F498" s="23">
        <v>54</v>
      </c>
      <c r="G498" s="23">
        <v>54</v>
      </c>
    </row>
    <row r="499" spans="1:7" x14ac:dyDescent="0.35">
      <c r="A499" s="23">
        <v>498</v>
      </c>
      <c r="B499" s="23">
        <v>0.1061</v>
      </c>
      <c r="C499" s="23">
        <v>0.35</v>
      </c>
      <c r="D499" s="23">
        <v>0.1343</v>
      </c>
      <c r="E499" s="23">
        <v>6</v>
      </c>
      <c r="F499" s="23">
        <v>53</v>
      </c>
      <c r="G499" s="23">
        <v>59</v>
      </c>
    </row>
    <row r="500" spans="1:7" x14ac:dyDescent="0.35">
      <c r="A500" s="23">
        <v>499</v>
      </c>
      <c r="B500" s="23">
        <v>7.5800000000000006E-2</v>
      </c>
      <c r="C500" s="23">
        <v>0.45</v>
      </c>
      <c r="D500" s="23">
        <v>0.16420000000000001</v>
      </c>
      <c r="E500" s="23">
        <v>1</v>
      </c>
      <c r="F500" s="23">
        <v>44</v>
      </c>
      <c r="G500" s="23">
        <v>45</v>
      </c>
    </row>
    <row r="501" spans="1:7" x14ac:dyDescent="0.35">
      <c r="A501" s="23">
        <v>500</v>
      </c>
      <c r="B501" s="23">
        <v>0.1061</v>
      </c>
      <c r="C501" s="23">
        <v>0.41</v>
      </c>
      <c r="D501" s="23">
        <v>8.9599999999999999E-2</v>
      </c>
      <c r="E501" s="23">
        <v>0</v>
      </c>
      <c r="F501" s="23">
        <v>39</v>
      </c>
      <c r="G501" s="23">
        <v>39</v>
      </c>
    </row>
    <row r="502" spans="1:7" x14ac:dyDescent="0.35">
      <c r="A502" s="23">
        <v>501</v>
      </c>
      <c r="B502" s="23">
        <v>0.1515</v>
      </c>
      <c r="C502" s="23">
        <v>0.49</v>
      </c>
      <c r="D502" s="23">
        <v>0</v>
      </c>
      <c r="E502" s="23">
        <v>7</v>
      </c>
      <c r="F502" s="23">
        <v>23</v>
      </c>
      <c r="G502" s="23">
        <v>30</v>
      </c>
    </row>
    <row r="503" spans="1:7" x14ac:dyDescent="0.35">
      <c r="A503" s="23">
        <v>502</v>
      </c>
      <c r="B503" s="23">
        <v>7.5800000000000006E-2</v>
      </c>
      <c r="C503" s="23">
        <v>0.56999999999999995</v>
      </c>
      <c r="D503" s="23">
        <v>0.1045</v>
      </c>
      <c r="E503" s="23">
        <v>2</v>
      </c>
      <c r="F503" s="23">
        <v>31</v>
      </c>
      <c r="G503" s="23">
        <v>33</v>
      </c>
    </row>
    <row r="504" spans="1:7" x14ac:dyDescent="0.35">
      <c r="A504" s="23">
        <v>503</v>
      </c>
      <c r="B504" s="23">
        <v>7.5800000000000006E-2</v>
      </c>
      <c r="C504" s="23">
        <v>0.56999999999999995</v>
      </c>
      <c r="D504" s="23">
        <v>0.1045</v>
      </c>
      <c r="E504" s="23">
        <v>2</v>
      </c>
      <c r="F504" s="23">
        <v>20</v>
      </c>
      <c r="G504" s="23">
        <v>22</v>
      </c>
    </row>
    <row r="505" spans="1:7" x14ac:dyDescent="0.35">
      <c r="A505" s="23">
        <v>504</v>
      </c>
      <c r="B505" s="23">
        <v>7.5800000000000006E-2</v>
      </c>
      <c r="C505" s="23">
        <v>0.56999999999999995</v>
      </c>
      <c r="D505" s="23">
        <v>0.1045</v>
      </c>
      <c r="E505" s="23">
        <v>1</v>
      </c>
      <c r="F505" s="23">
        <v>12</v>
      </c>
      <c r="G505" s="23">
        <v>13</v>
      </c>
    </row>
    <row r="506" spans="1:7" x14ac:dyDescent="0.35">
      <c r="A506" s="23">
        <v>505</v>
      </c>
      <c r="B506" s="23">
        <v>6.0600000000000001E-2</v>
      </c>
      <c r="C506" s="23">
        <v>0.62</v>
      </c>
      <c r="D506" s="23">
        <v>0.1343</v>
      </c>
      <c r="E506" s="23">
        <v>3</v>
      </c>
      <c r="F506" s="23">
        <v>15</v>
      </c>
      <c r="G506" s="23">
        <v>18</v>
      </c>
    </row>
    <row r="507" spans="1:7" x14ac:dyDescent="0.35">
      <c r="A507" s="23">
        <v>506</v>
      </c>
      <c r="B507" s="23">
        <v>6.0600000000000001E-2</v>
      </c>
      <c r="C507" s="23">
        <v>0.62</v>
      </c>
      <c r="D507" s="23">
        <v>0.1343</v>
      </c>
      <c r="E507" s="23">
        <v>1</v>
      </c>
      <c r="F507" s="23">
        <v>4</v>
      </c>
      <c r="G507" s="23">
        <v>5</v>
      </c>
    </row>
    <row r="508" spans="1:7" x14ac:dyDescent="0.35">
      <c r="A508" s="23">
        <v>507</v>
      </c>
      <c r="B508" s="23">
        <v>7.5800000000000006E-2</v>
      </c>
      <c r="C508" s="23">
        <v>0.56999999999999995</v>
      </c>
      <c r="D508" s="23">
        <v>0.1045</v>
      </c>
      <c r="E508" s="23">
        <v>0</v>
      </c>
      <c r="F508" s="23">
        <v>3</v>
      </c>
      <c r="G508" s="23">
        <v>3</v>
      </c>
    </row>
    <row r="509" spans="1:7" x14ac:dyDescent="0.35">
      <c r="A509" s="23">
        <v>508</v>
      </c>
      <c r="B509" s="23">
        <v>7.5800000000000006E-2</v>
      </c>
      <c r="C509" s="23">
        <v>0.56999999999999995</v>
      </c>
      <c r="D509" s="23">
        <v>0.1045</v>
      </c>
      <c r="E509" s="23">
        <v>0</v>
      </c>
      <c r="F509" s="23">
        <v>1</v>
      </c>
      <c r="G509" s="23">
        <v>1</v>
      </c>
    </row>
    <row r="510" spans="1:7" x14ac:dyDescent="0.35">
      <c r="A510" s="23">
        <v>509</v>
      </c>
      <c r="B510" s="23">
        <v>0.1061</v>
      </c>
      <c r="C510" s="23">
        <v>0.57999999999999996</v>
      </c>
      <c r="D510" s="23">
        <v>0.16420000000000001</v>
      </c>
      <c r="E510" s="23">
        <v>1</v>
      </c>
      <c r="F510" s="23">
        <v>1</v>
      </c>
      <c r="G510" s="23">
        <v>2</v>
      </c>
    </row>
    <row r="511" spans="1:7" x14ac:dyDescent="0.35">
      <c r="A511" s="23">
        <v>510</v>
      </c>
      <c r="B511" s="23">
        <v>7.5800000000000006E-2</v>
      </c>
      <c r="C511" s="23">
        <v>0.62</v>
      </c>
      <c r="D511" s="23">
        <v>0.16420000000000001</v>
      </c>
      <c r="E511" s="23">
        <v>2</v>
      </c>
      <c r="F511" s="23">
        <v>17</v>
      </c>
      <c r="G511" s="23">
        <v>19</v>
      </c>
    </row>
    <row r="512" spans="1:7" x14ac:dyDescent="0.35">
      <c r="A512" s="23">
        <v>511</v>
      </c>
      <c r="B512" s="23">
        <v>7.5800000000000006E-2</v>
      </c>
      <c r="C512" s="23">
        <v>0.54</v>
      </c>
      <c r="D512" s="23">
        <v>0.35820000000000002</v>
      </c>
      <c r="E512" s="23">
        <v>3</v>
      </c>
      <c r="F512" s="23">
        <v>25</v>
      </c>
      <c r="G512" s="23">
        <v>28</v>
      </c>
    </row>
    <row r="513" spans="1:7" x14ac:dyDescent="0.35">
      <c r="A513" s="23">
        <v>512</v>
      </c>
      <c r="B513" s="23">
        <v>0.1061</v>
      </c>
      <c r="C513" s="23">
        <v>0.46</v>
      </c>
      <c r="D513" s="23">
        <v>0.3881</v>
      </c>
      <c r="E513" s="23">
        <v>7</v>
      </c>
      <c r="F513" s="23">
        <v>51</v>
      </c>
      <c r="G513" s="23">
        <v>58</v>
      </c>
    </row>
    <row r="514" spans="1:7" x14ac:dyDescent="0.35">
      <c r="A514" s="23">
        <v>513</v>
      </c>
      <c r="B514" s="23">
        <v>0.13639999999999999</v>
      </c>
      <c r="C514" s="23">
        <v>0.43</v>
      </c>
      <c r="D514" s="23">
        <v>0.22389999999999999</v>
      </c>
      <c r="E514" s="23">
        <v>22</v>
      </c>
      <c r="F514" s="23">
        <v>77</v>
      </c>
      <c r="G514" s="23">
        <v>99</v>
      </c>
    </row>
    <row r="515" spans="1:7" x14ac:dyDescent="0.35">
      <c r="A515" s="23">
        <v>514</v>
      </c>
      <c r="B515" s="23">
        <v>0.1212</v>
      </c>
      <c r="C515" s="23">
        <v>0.37</v>
      </c>
      <c r="D515" s="23">
        <v>0.4627</v>
      </c>
      <c r="E515" s="23">
        <v>24</v>
      </c>
      <c r="F515" s="23">
        <v>92</v>
      </c>
      <c r="G515" s="23">
        <v>116</v>
      </c>
    </row>
    <row r="516" spans="1:7" x14ac:dyDescent="0.35">
      <c r="A516" s="23">
        <v>515</v>
      </c>
      <c r="B516" s="23">
        <v>0.1061</v>
      </c>
      <c r="C516" s="23">
        <v>0.33</v>
      </c>
      <c r="D516" s="23">
        <v>0.3881</v>
      </c>
      <c r="E516" s="23">
        <v>12</v>
      </c>
      <c r="F516" s="23">
        <v>75</v>
      </c>
      <c r="G516" s="23">
        <v>87</v>
      </c>
    </row>
    <row r="517" spans="1:7" x14ac:dyDescent="0.35">
      <c r="A517" s="23">
        <v>516</v>
      </c>
      <c r="B517" s="23">
        <v>0.13639999999999999</v>
      </c>
      <c r="C517" s="23">
        <v>0.28000000000000003</v>
      </c>
      <c r="D517" s="23">
        <v>0.35820000000000002</v>
      </c>
      <c r="E517" s="23">
        <v>17</v>
      </c>
      <c r="F517" s="23">
        <v>93</v>
      </c>
      <c r="G517" s="23">
        <v>110</v>
      </c>
    </row>
    <row r="518" spans="1:7" x14ac:dyDescent="0.35">
      <c r="A518" s="23">
        <v>517</v>
      </c>
      <c r="B518" s="23">
        <v>0.13639999999999999</v>
      </c>
      <c r="C518" s="23">
        <v>0.28000000000000003</v>
      </c>
      <c r="D518" s="23">
        <v>0.35820000000000002</v>
      </c>
      <c r="E518" s="23">
        <v>13</v>
      </c>
      <c r="F518" s="23">
        <v>64</v>
      </c>
      <c r="G518" s="23">
        <v>77</v>
      </c>
    </row>
    <row r="519" spans="1:7" x14ac:dyDescent="0.35">
      <c r="A519" s="23">
        <v>518</v>
      </c>
      <c r="B519" s="23">
        <v>0.13639999999999999</v>
      </c>
      <c r="C519" s="23">
        <v>0.26</v>
      </c>
      <c r="D519" s="23">
        <v>0.32840000000000003</v>
      </c>
      <c r="E519" s="23">
        <v>9</v>
      </c>
      <c r="F519" s="23">
        <v>56</v>
      </c>
      <c r="G519" s="23">
        <v>65</v>
      </c>
    </row>
    <row r="520" spans="1:7" x14ac:dyDescent="0.35">
      <c r="A520" s="23">
        <v>519</v>
      </c>
      <c r="B520" s="23">
        <v>0.1061</v>
      </c>
      <c r="C520" s="23">
        <v>0.26</v>
      </c>
      <c r="D520" s="23">
        <v>0.3881</v>
      </c>
      <c r="E520" s="23">
        <v>5</v>
      </c>
      <c r="F520" s="23">
        <v>50</v>
      </c>
      <c r="G520" s="23">
        <v>55</v>
      </c>
    </row>
    <row r="521" spans="1:7" x14ac:dyDescent="0.35">
      <c r="A521" s="23">
        <v>520</v>
      </c>
      <c r="B521" s="23">
        <v>0.1212</v>
      </c>
      <c r="C521" s="23">
        <v>0.3</v>
      </c>
      <c r="D521" s="23">
        <v>0.25369999999999998</v>
      </c>
      <c r="E521" s="23">
        <v>5</v>
      </c>
      <c r="F521" s="23">
        <v>44</v>
      </c>
      <c r="G521" s="23">
        <v>49</v>
      </c>
    </row>
    <row r="522" spans="1:7" x14ac:dyDescent="0.35">
      <c r="A522" s="23">
        <v>521</v>
      </c>
      <c r="B522" s="23">
        <v>0.1212</v>
      </c>
      <c r="C522" s="23">
        <v>0.3</v>
      </c>
      <c r="D522" s="23">
        <v>0.28360000000000002</v>
      </c>
      <c r="E522" s="23">
        <v>5</v>
      </c>
      <c r="F522" s="23">
        <v>45</v>
      </c>
      <c r="G522" s="23">
        <v>50</v>
      </c>
    </row>
    <row r="523" spans="1:7" x14ac:dyDescent="0.35">
      <c r="A523" s="23">
        <v>522</v>
      </c>
      <c r="B523" s="23">
        <v>0.1061</v>
      </c>
      <c r="C523" s="23">
        <v>0.36</v>
      </c>
      <c r="D523" s="23">
        <v>0.25369999999999998</v>
      </c>
      <c r="E523" s="23">
        <v>4</v>
      </c>
      <c r="F523" s="23">
        <v>31</v>
      </c>
      <c r="G523" s="23">
        <v>35</v>
      </c>
    </row>
    <row r="524" spans="1:7" x14ac:dyDescent="0.35">
      <c r="A524" s="23">
        <v>523</v>
      </c>
      <c r="B524" s="23">
        <v>0.1061</v>
      </c>
      <c r="C524" s="23">
        <v>0.36</v>
      </c>
      <c r="D524" s="23">
        <v>0.19400000000000001</v>
      </c>
      <c r="E524" s="23">
        <v>5</v>
      </c>
      <c r="F524" s="23">
        <v>20</v>
      </c>
      <c r="G524" s="23">
        <v>25</v>
      </c>
    </row>
    <row r="525" spans="1:7" x14ac:dyDescent="0.35">
      <c r="A525" s="23">
        <v>524</v>
      </c>
      <c r="B525" s="23">
        <v>9.0899999999999995E-2</v>
      </c>
      <c r="C525" s="23">
        <v>0.38</v>
      </c>
      <c r="D525" s="23">
        <v>0.19400000000000001</v>
      </c>
      <c r="E525" s="23">
        <v>5</v>
      </c>
      <c r="F525" s="23">
        <v>23</v>
      </c>
      <c r="G525" s="23">
        <v>28</v>
      </c>
    </row>
    <row r="526" spans="1:7" x14ac:dyDescent="0.35">
      <c r="A526" s="23">
        <v>525</v>
      </c>
      <c r="B526" s="23">
        <v>6.0600000000000001E-2</v>
      </c>
      <c r="C526" s="23">
        <v>0.41</v>
      </c>
      <c r="D526" s="23">
        <v>0.22389999999999999</v>
      </c>
      <c r="E526" s="23">
        <v>4</v>
      </c>
      <c r="F526" s="23">
        <v>17</v>
      </c>
      <c r="G526" s="23">
        <v>21</v>
      </c>
    </row>
    <row r="527" spans="1:7" x14ac:dyDescent="0.35">
      <c r="A527" s="23">
        <v>526</v>
      </c>
      <c r="B527" s="23">
        <v>6.0600000000000001E-2</v>
      </c>
      <c r="C527" s="23">
        <v>0.41</v>
      </c>
      <c r="D527" s="23">
        <v>0.19400000000000001</v>
      </c>
      <c r="E527" s="23">
        <v>0</v>
      </c>
      <c r="F527" s="23">
        <v>7</v>
      </c>
      <c r="G527" s="23">
        <v>7</v>
      </c>
    </row>
    <row r="528" spans="1:7" x14ac:dyDescent="0.35">
      <c r="A528" s="23">
        <v>527</v>
      </c>
      <c r="B528" s="23">
        <v>4.5499999999999999E-2</v>
      </c>
      <c r="C528" s="23">
        <v>0.45</v>
      </c>
      <c r="D528" s="23">
        <v>0.19400000000000001</v>
      </c>
      <c r="E528" s="23">
        <v>0</v>
      </c>
      <c r="F528" s="23">
        <v>1</v>
      </c>
      <c r="G528" s="23">
        <v>1</v>
      </c>
    </row>
    <row r="529" spans="1:7" x14ac:dyDescent="0.35">
      <c r="A529" s="23">
        <v>528</v>
      </c>
      <c r="B529" s="23">
        <v>3.0300000000000001E-2</v>
      </c>
      <c r="C529" s="23">
        <v>0.45</v>
      </c>
      <c r="D529" s="23">
        <v>0.25369999999999998</v>
      </c>
      <c r="E529" s="23">
        <v>0</v>
      </c>
      <c r="F529" s="23">
        <v>1</v>
      </c>
      <c r="G529" s="23">
        <v>1</v>
      </c>
    </row>
    <row r="530" spans="1:7" x14ac:dyDescent="0.35">
      <c r="A530" s="23">
        <v>529</v>
      </c>
      <c r="B530" s="23">
        <v>6.0600000000000001E-2</v>
      </c>
      <c r="C530" s="23">
        <v>0.48</v>
      </c>
      <c r="D530" s="23">
        <v>0.1343</v>
      </c>
      <c r="E530" s="23">
        <v>0</v>
      </c>
      <c r="F530" s="23">
        <v>1</v>
      </c>
      <c r="G530" s="23">
        <v>1</v>
      </c>
    </row>
    <row r="531" spans="1:7" x14ac:dyDescent="0.35">
      <c r="A531" s="23">
        <v>530</v>
      </c>
      <c r="B531" s="23">
        <v>6.0600000000000001E-2</v>
      </c>
      <c r="C531" s="23">
        <v>0.48</v>
      </c>
      <c r="D531" s="23">
        <v>0.1343</v>
      </c>
      <c r="E531" s="23">
        <v>0</v>
      </c>
      <c r="F531" s="23">
        <v>5</v>
      </c>
      <c r="G531" s="23">
        <v>5</v>
      </c>
    </row>
    <row r="532" spans="1:7" x14ac:dyDescent="0.35">
      <c r="A532" s="23">
        <v>531</v>
      </c>
      <c r="B532" s="23">
        <v>7.5800000000000006E-2</v>
      </c>
      <c r="C532" s="23">
        <v>0.48</v>
      </c>
      <c r="D532" s="23">
        <v>8.9599999999999999E-2</v>
      </c>
      <c r="E532" s="23">
        <v>0</v>
      </c>
      <c r="F532" s="23">
        <v>15</v>
      </c>
      <c r="G532" s="23">
        <v>15</v>
      </c>
    </row>
    <row r="533" spans="1:7" x14ac:dyDescent="0.35">
      <c r="A533" s="23">
        <v>532</v>
      </c>
      <c r="B533" s="23">
        <v>0.1212</v>
      </c>
      <c r="C533" s="23">
        <v>0.48</v>
      </c>
      <c r="D533" s="23">
        <v>0</v>
      </c>
      <c r="E533" s="23">
        <v>5</v>
      </c>
      <c r="F533" s="23">
        <v>79</v>
      </c>
      <c r="G533" s="23">
        <v>84</v>
      </c>
    </row>
    <row r="534" spans="1:7" x14ac:dyDescent="0.35">
      <c r="A534" s="23">
        <v>533</v>
      </c>
      <c r="B534" s="23">
        <v>0.13639999999999999</v>
      </c>
      <c r="C534" s="23">
        <v>0.49</v>
      </c>
      <c r="D534" s="23">
        <v>0</v>
      </c>
      <c r="E534" s="23">
        <v>6</v>
      </c>
      <c r="F534" s="23">
        <v>171</v>
      </c>
      <c r="G534" s="23">
        <v>177</v>
      </c>
    </row>
    <row r="535" spans="1:7" x14ac:dyDescent="0.35">
      <c r="A535" s="23">
        <v>534</v>
      </c>
      <c r="B535" s="23">
        <v>0.1515</v>
      </c>
      <c r="C535" s="23">
        <v>0.41</v>
      </c>
      <c r="D535" s="23">
        <v>0</v>
      </c>
      <c r="E535" s="23">
        <v>4</v>
      </c>
      <c r="F535" s="23">
        <v>98</v>
      </c>
      <c r="G535" s="23">
        <v>102</v>
      </c>
    </row>
    <row r="536" spans="1:7" x14ac:dyDescent="0.35">
      <c r="A536" s="23">
        <v>535</v>
      </c>
      <c r="B536" s="23">
        <v>0.13639999999999999</v>
      </c>
      <c r="C536" s="23">
        <v>0.42</v>
      </c>
      <c r="D536" s="23">
        <v>0</v>
      </c>
      <c r="E536" s="23">
        <v>6</v>
      </c>
      <c r="F536" s="23">
        <v>34</v>
      </c>
      <c r="G536" s="23">
        <v>40</v>
      </c>
    </row>
    <row r="537" spans="1:7" x14ac:dyDescent="0.35">
      <c r="A537" s="23">
        <v>536</v>
      </c>
      <c r="B537" s="23">
        <v>0.1212</v>
      </c>
      <c r="C537" s="23">
        <v>0.46</v>
      </c>
      <c r="D537" s="23">
        <v>0.1343</v>
      </c>
      <c r="E537" s="23">
        <v>3</v>
      </c>
      <c r="F537" s="23">
        <v>43</v>
      </c>
      <c r="G537" s="23">
        <v>46</v>
      </c>
    </row>
    <row r="538" spans="1:7" x14ac:dyDescent="0.35">
      <c r="A538" s="23">
        <v>537</v>
      </c>
      <c r="B538" s="23">
        <v>0.13639999999999999</v>
      </c>
      <c r="C538" s="23">
        <v>0.42</v>
      </c>
      <c r="D538" s="23">
        <v>0.19400000000000001</v>
      </c>
      <c r="E538" s="23">
        <v>11</v>
      </c>
      <c r="F538" s="23">
        <v>52</v>
      </c>
      <c r="G538" s="23">
        <v>63</v>
      </c>
    </row>
    <row r="539" spans="1:7" x14ac:dyDescent="0.35">
      <c r="A539" s="23">
        <v>538</v>
      </c>
      <c r="B539" s="23">
        <v>0.13639999999999999</v>
      </c>
      <c r="C539" s="23">
        <v>0.43</v>
      </c>
      <c r="D539" s="23">
        <v>0.22389999999999999</v>
      </c>
      <c r="E539" s="23">
        <v>6</v>
      </c>
      <c r="F539" s="23">
        <v>54</v>
      </c>
      <c r="G539" s="23">
        <v>60</v>
      </c>
    </row>
    <row r="540" spans="1:7" x14ac:dyDescent="0.35">
      <c r="A540" s="23">
        <v>539</v>
      </c>
      <c r="B540" s="23">
        <v>0.13639999999999999</v>
      </c>
      <c r="C540" s="23">
        <v>0.46</v>
      </c>
      <c r="D540" s="23">
        <v>0.22389999999999999</v>
      </c>
      <c r="E540" s="23">
        <v>2</v>
      </c>
      <c r="F540" s="23">
        <v>43</v>
      </c>
      <c r="G540" s="23">
        <v>45</v>
      </c>
    </row>
    <row r="541" spans="1:7" x14ac:dyDescent="0.35">
      <c r="A541" s="23">
        <v>540</v>
      </c>
      <c r="B541" s="23">
        <v>0.16669999999999999</v>
      </c>
      <c r="C541" s="23">
        <v>0.4</v>
      </c>
      <c r="D541" s="23">
        <v>0.16420000000000001</v>
      </c>
      <c r="E541" s="23">
        <v>7</v>
      </c>
      <c r="F541" s="23">
        <v>50</v>
      </c>
      <c r="G541" s="23">
        <v>57</v>
      </c>
    </row>
    <row r="542" spans="1:7" x14ac:dyDescent="0.35">
      <c r="A542" s="23">
        <v>541</v>
      </c>
      <c r="B542" s="23">
        <v>0.1515</v>
      </c>
      <c r="C542" s="23">
        <v>0.47</v>
      </c>
      <c r="D542" s="23">
        <v>0.25369999999999998</v>
      </c>
      <c r="E542" s="23">
        <v>4</v>
      </c>
      <c r="F542" s="23">
        <v>66</v>
      </c>
      <c r="G542" s="23">
        <v>70</v>
      </c>
    </row>
    <row r="543" spans="1:7" x14ac:dyDescent="0.35">
      <c r="A543" s="23">
        <v>542</v>
      </c>
      <c r="B543" s="23">
        <v>0.1212</v>
      </c>
      <c r="C543" s="23">
        <v>0.5</v>
      </c>
      <c r="D543" s="23">
        <v>0.25369999999999998</v>
      </c>
      <c r="E543" s="23">
        <v>6</v>
      </c>
      <c r="F543" s="23">
        <v>178</v>
      </c>
      <c r="G543" s="23">
        <v>184</v>
      </c>
    </row>
    <row r="544" spans="1:7" x14ac:dyDescent="0.35">
      <c r="A544" s="23">
        <v>543</v>
      </c>
      <c r="B544" s="23">
        <v>0.13639999999999999</v>
      </c>
      <c r="C544" s="23">
        <v>0.59</v>
      </c>
      <c r="D544" s="23">
        <v>0.19400000000000001</v>
      </c>
      <c r="E544" s="23">
        <v>8</v>
      </c>
      <c r="F544" s="23">
        <v>145</v>
      </c>
      <c r="G544" s="23">
        <v>153</v>
      </c>
    </row>
    <row r="545" spans="1:7" x14ac:dyDescent="0.35">
      <c r="A545" s="23">
        <v>544</v>
      </c>
      <c r="B545" s="23">
        <v>0.1515</v>
      </c>
      <c r="C545" s="23">
        <v>0.54</v>
      </c>
      <c r="D545" s="23">
        <v>0.16420000000000001</v>
      </c>
      <c r="E545" s="23">
        <v>5</v>
      </c>
      <c r="F545" s="23">
        <v>101</v>
      </c>
      <c r="G545" s="23">
        <v>106</v>
      </c>
    </row>
    <row r="546" spans="1:7" x14ac:dyDescent="0.35">
      <c r="A546" s="23">
        <v>545</v>
      </c>
      <c r="B546" s="23">
        <v>0.13639999999999999</v>
      </c>
      <c r="C546" s="23">
        <v>0.59</v>
      </c>
      <c r="D546" s="23">
        <v>0.19400000000000001</v>
      </c>
      <c r="E546" s="23">
        <v>1</v>
      </c>
      <c r="F546" s="23">
        <v>80</v>
      </c>
      <c r="G546" s="23">
        <v>81</v>
      </c>
    </row>
    <row r="547" spans="1:7" x14ac:dyDescent="0.35">
      <c r="A547" s="23">
        <v>546</v>
      </c>
      <c r="B547" s="23">
        <v>0.1515</v>
      </c>
      <c r="C547" s="23">
        <v>0.63</v>
      </c>
      <c r="D547" s="23">
        <v>0.16420000000000001</v>
      </c>
      <c r="E547" s="23">
        <v>6</v>
      </c>
      <c r="F547" s="23">
        <v>53</v>
      </c>
      <c r="G547" s="23">
        <v>59</v>
      </c>
    </row>
    <row r="548" spans="1:7" x14ac:dyDescent="0.35">
      <c r="A548" s="23">
        <v>547</v>
      </c>
      <c r="B548" s="23">
        <v>0.13639999999999999</v>
      </c>
      <c r="C548" s="23">
        <v>0.63</v>
      </c>
      <c r="D548" s="23">
        <v>0.22389999999999999</v>
      </c>
      <c r="E548" s="23">
        <v>3</v>
      </c>
      <c r="F548" s="23">
        <v>32</v>
      </c>
      <c r="G548" s="23">
        <v>35</v>
      </c>
    </row>
    <row r="549" spans="1:7" x14ac:dyDescent="0.35">
      <c r="A549" s="23">
        <v>548</v>
      </c>
      <c r="B549" s="23">
        <v>0.1515</v>
      </c>
      <c r="C549" s="23">
        <v>0.64</v>
      </c>
      <c r="D549" s="23">
        <v>0.25369999999999998</v>
      </c>
      <c r="E549" s="23">
        <v>3</v>
      </c>
      <c r="F549" s="23">
        <v>21</v>
      </c>
      <c r="G549" s="23">
        <v>24</v>
      </c>
    </row>
    <row r="550" spans="1:7" x14ac:dyDescent="0.35">
      <c r="A550" s="23">
        <v>549</v>
      </c>
      <c r="B550" s="23">
        <v>0.13639999999999999</v>
      </c>
      <c r="C550" s="23">
        <v>0.69</v>
      </c>
      <c r="D550" s="23">
        <v>0.28360000000000002</v>
      </c>
      <c r="E550" s="23">
        <v>3</v>
      </c>
      <c r="F550" s="23">
        <v>6</v>
      </c>
      <c r="G550" s="23">
        <v>9</v>
      </c>
    </row>
    <row r="551" spans="1:7" x14ac:dyDescent="0.35">
      <c r="A551" s="23">
        <v>550</v>
      </c>
      <c r="B551" s="23">
        <v>0.16669999999999999</v>
      </c>
      <c r="C551" s="23">
        <v>0.69</v>
      </c>
      <c r="D551" s="23">
        <v>0.16420000000000001</v>
      </c>
      <c r="E551" s="23">
        <v>0</v>
      </c>
      <c r="F551" s="23">
        <v>5</v>
      </c>
      <c r="G551" s="23">
        <v>5</v>
      </c>
    </row>
    <row r="552" spans="1:7" x14ac:dyDescent="0.35">
      <c r="A552" s="23">
        <v>551</v>
      </c>
      <c r="B552" s="23">
        <v>0.1515</v>
      </c>
      <c r="C552" s="23">
        <v>0.69</v>
      </c>
      <c r="D552" s="23">
        <v>0.22389999999999999</v>
      </c>
      <c r="E552" s="23">
        <v>0</v>
      </c>
      <c r="F552" s="23">
        <v>2</v>
      </c>
      <c r="G552" s="23">
        <v>2</v>
      </c>
    </row>
    <row r="553" spans="1:7" x14ac:dyDescent="0.35">
      <c r="A553" s="23">
        <v>552</v>
      </c>
      <c r="B553" s="23">
        <v>0.16669999999999999</v>
      </c>
      <c r="C553" s="23">
        <v>0.74</v>
      </c>
      <c r="D553" s="23">
        <v>0.1045</v>
      </c>
      <c r="E553" s="23">
        <v>0</v>
      </c>
      <c r="F553" s="23">
        <v>1</v>
      </c>
      <c r="G553" s="23">
        <v>1</v>
      </c>
    </row>
    <row r="554" spans="1:7" x14ac:dyDescent="0.35">
      <c r="A554" s="23">
        <v>553</v>
      </c>
      <c r="B554" s="23">
        <v>0.13639999999999999</v>
      </c>
      <c r="C554" s="23">
        <v>0.74</v>
      </c>
      <c r="D554" s="23">
        <v>0.22389999999999999</v>
      </c>
      <c r="E554" s="23">
        <v>0</v>
      </c>
      <c r="F554" s="23">
        <v>9</v>
      </c>
      <c r="G554" s="23">
        <v>9</v>
      </c>
    </row>
    <row r="555" spans="1:7" x14ac:dyDescent="0.35">
      <c r="A555" s="23">
        <v>554</v>
      </c>
      <c r="B555" s="23">
        <v>0.18179999999999999</v>
      </c>
      <c r="C555" s="23">
        <v>0.74</v>
      </c>
      <c r="D555" s="23">
        <v>0.1045</v>
      </c>
      <c r="E555" s="23">
        <v>1</v>
      </c>
      <c r="F555" s="23">
        <v>35</v>
      </c>
      <c r="G555" s="23">
        <v>36</v>
      </c>
    </row>
    <row r="556" spans="1:7" x14ac:dyDescent="0.35">
      <c r="A556" s="23">
        <v>555</v>
      </c>
      <c r="B556" s="23">
        <v>0.1515</v>
      </c>
      <c r="C556" s="23">
        <v>0.74</v>
      </c>
      <c r="D556" s="23">
        <v>0.22389999999999999</v>
      </c>
      <c r="E556" s="23">
        <v>5</v>
      </c>
      <c r="F556" s="23">
        <v>103</v>
      </c>
      <c r="G556" s="23">
        <v>108</v>
      </c>
    </row>
    <row r="557" spans="1:7" x14ac:dyDescent="0.35">
      <c r="A557" s="23">
        <v>556</v>
      </c>
      <c r="B557" s="23">
        <v>0.18179999999999999</v>
      </c>
      <c r="C557" s="23">
        <v>0.74</v>
      </c>
      <c r="D557" s="23">
        <v>0.1343</v>
      </c>
      <c r="E557" s="23">
        <v>5</v>
      </c>
      <c r="F557" s="23">
        <v>233</v>
      </c>
      <c r="G557" s="23">
        <v>238</v>
      </c>
    </row>
    <row r="558" spans="1:7" x14ac:dyDescent="0.35">
      <c r="A558" s="23">
        <v>557</v>
      </c>
      <c r="B558" s="23">
        <v>0.2273</v>
      </c>
      <c r="C558" s="23">
        <v>0.64</v>
      </c>
      <c r="D558" s="23">
        <v>8.9599999999999999E-2</v>
      </c>
      <c r="E558" s="23">
        <v>10</v>
      </c>
      <c r="F558" s="23">
        <v>134</v>
      </c>
      <c r="G558" s="23">
        <v>144</v>
      </c>
    </row>
    <row r="559" spans="1:7" x14ac:dyDescent="0.35">
      <c r="A559" s="23">
        <v>558</v>
      </c>
      <c r="B559" s="23">
        <v>0.2424</v>
      </c>
      <c r="C559" s="23">
        <v>0.6</v>
      </c>
      <c r="D559" s="23">
        <v>0.1045</v>
      </c>
      <c r="E559" s="23">
        <v>6</v>
      </c>
      <c r="F559" s="23">
        <v>49</v>
      </c>
      <c r="G559" s="23">
        <v>55</v>
      </c>
    </row>
    <row r="560" spans="1:7" x14ac:dyDescent="0.35">
      <c r="A560" s="23">
        <v>559</v>
      </c>
      <c r="B560" s="23">
        <v>0.2424</v>
      </c>
      <c r="C560" s="23">
        <v>0.6</v>
      </c>
      <c r="D560" s="23">
        <v>0.1343</v>
      </c>
      <c r="E560" s="23">
        <v>6</v>
      </c>
      <c r="F560" s="23">
        <v>55</v>
      </c>
      <c r="G560" s="23">
        <v>61</v>
      </c>
    </row>
    <row r="561" spans="1:7" x14ac:dyDescent="0.35">
      <c r="A561" s="23">
        <v>560</v>
      </c>
      <c r="B561" s="23">
        <v>0.28789999999999999</v>
      </c>
      <c r="C561" s="23">
        <v>0.56000000000000005</v>
      </c>
      <c r="D561" s="23">
        <v>8.9599999999999999E-2</v>
      </c>
      <c r="E561" s="23">
        <v>21</v>
      </c>
      <c r="F561" s="23">
        <v>85</v>
      </c>
      <c r="G561" s="23">
        <v>106</v>
      </c>
    </row>
    <row r="562" spans="1:7" x14ac:dyDescent="0.35">
      <c r="A562" s="23">
        <v>561</v>
      </c>
      <c r="B562" s="23">
        <v>0.2727</v>
      </c>
      <c r="C562" s="23">
        <v>0.56000000000000005</v>
      </c>
      <c r="D562" s="23">
        <v>0.1343</v>
      </c>
      <c r="E562" s="23">
        <v>21</v>
      </c>
      <c r="F562" s="23">
        <v>72</v>
      </c>
      <c r="G562" s="23">
        <v>93</v>
      </c>
    </row>
    <row r="563" spans="1:7" x14ac:dyDescent="0.35">
      <c r="A563" s="23">
        <v>562</v>
      </c>
      <c r="B563" s="23">
        <v>0.33329999999999999</v>
      </c>
      <c r="C563" s="23">
        <v>0.45</v>
      </c>
      <c r="D563" s="23">
        <v>0</v>
      </c>
      <c r="E563" s="23">
        <v>11</v>
      </c>
      <c r="F563" s="23">
        <v>57</v>
      </c>
      <c r="G563" s="23">
        <v>68</v>
      </c>
    </row>
    <row r="564" spans="1:7" x14ac:dyDescent="0.35">
      <c r="A564" s="23">
        <v>563</v>
      </c>
      <c r="B564" s="23">
        <v>0.34849999999999998</v>
      </c>
      <c r="C564" s="23">
        <v>0.42</v>
      </c>
      <c r="D564" s="23">
        <v>0</v>
      </c>
      <c r="E564" s="23">
        <v>21</v>
      </c>
      <c r="F564" s="23">
        <v>63</v>
      </c>
      <c r="G564" s="23">
        <v>84</v>
      </c>
    </row>
    <row r="565" spans="1:7" x14ac:dyDescent="0.35">
      <c r="A565" s="23">
        <v>564</v>
      </c>
      <c r="B565" s="23">
        <v>0.34849999999999998</v>
      </c>
      <c r="C565" s="23">
        <v>0.42</v>
      </c>
      <c r="D565" s="23">
        <v>0</v>
      </c>
      <c r="E565" s="23">
        <v>14</v>
      </c>
      <c r="F565" s="23">
        <v>102</v>
      </c>
      <c r="G565" s="23">
        <v>116</v>
      </c>
    </row>
    <row r="566" spans="1:7" x14ac:dyDescent="0.35">
      <c r="A566" s="23">
        <v>565</v>
      </c>
      <c r="B566" s="23">
        <v>0.33329999999999999</v>
      </c>
      <c r="C566" s="23">
        <v>0.45</v>
      </c>
      <c r="D566" s="23">
        <v>0</v>
      </c>
      <c r="E566" s="23">
        <v>14</v>
      </c>
      <c r="F566" s="23">
        <v>208</v>
      </c>
      <c r="G566" s="23">
        <v>222</v>
      </c>
    </row>
    <row r="567" spans="1:7" x14ac:dyDescent="0.35">
      <c r="A567" s="23">
        <v>566</v>
      </c>
      <c r="B567" s="23">
        <v>0.31819999999999998</v>
      </c>
      <c r="C567" s="23">
        <v>0.49</v>
      </c>
      <c r="D567" s="23">
        <v>8.9599999999999999E-2</v>
      </c>
      <c r="E567" s="23">
        <v>7</v>
      </c>
      <c r="F567" s="23">
        <v>218</v>
      </c>
      <c r="G567" s="23">
        <v>225</v>
      </c>
    </row>
    <row r="568" spans="1:7" x14ac:dyDescent="0.35">
      <c r="A568" s="23">
        <v>567</v>
      </c>
      <c r="B568" s="23">
        <v>0.2576</v>
      </c>
      <c r="C568" s="23">
        <v>0.65</v>
      </c>
      <c r="D568" s="23">
        <v>0.16420000000000001</v>
      </c>
      <c r="E568" s="23">
        <v>13</v>
      </c>
      <c r="F568" s="23">
        <v>133</v>
      </c>
      <c r="G568" s="23">
        <v>146</v>
      </c>
    </row>
    <row r="569" spans="1:7" x14ac:dyDescent="0.35">
      <c r="A569" s="23">
        <v>568</v>
      </c>
      <c r="B569" s="23">
        <v>0.2273</v>
      </c>
      <c r="C569" s="23">
        <v>0.65</v>
      </c>
      <c r="D569" s="23">
        <v>0.19400000000000001</v>
      </c>
      <c r="E569" s="23">
        <v>16</v>
      </c>
      <c r="F569" s="23">
        <v>103</v>
      </c>
      <c r="G569" s="23">
        <v>119</v>
      </c>
    </row>
    <row r="570" spans="1:7" x14ac:dyDescent="0.35">
      <c r="A570" s="23">
        <v>569</v>
      </c>
      <c r="B570" s="23">
        <v>0.2273</v>
      </c>
      <c r="C570" s="23">
        <v>0.65</v>
      </c>
      <c r="D570" s="23">
        <v>0.19400000000000001</v>
      </c>
      <c r="E570" s="23">
        <v>5</v>
      </c>
      <c r="F570" s="23">
        <v>40</v>
      </c>
      <c r="G570" s="23">
        <v>45</v>
      </c>
    </row>
    <row r="571" spans="1:7" x14ac:dyDescent="0.35">
      <c r="A571" s="23">
        <v>570</v>
      </c>
      <c r="B571" s="23">
        <v>0.2273</v>
      </c>
      <c r="C571" s="23">
        <v>0.64</v>
      </c>
      <c r="D571" s="23">
        <v>0.16420000000000001</v>
      </c>
      <c r="E571" s="23">
        <v>4</v>
      </c>
      <c r="F571" s="23">
        <v>49</v>
      </c>
      <c r="G571" s="23">
        <v>53</v>
      </c>
    </row>
    <row r="572" spans="1:7" x14ac:dyDescent="0.35">
      <c r="A572" s="23">
        <v>571</v>
      </c>
      <c r="B572" s="23">
        <v>0.2273</v>
      </c>
      <c r="C572" s="23">
        <v>0.64</v>
      </c>
      <c r="D572" s="23">
        <v>0.16420000000000001</v>
      </c>
      <c r="E572" s="23">
        <v>3</v>
      </c>
      <c r="F572" s="23">
        <v>37</v>
      </c>
      <c r="G572" s="23">
        <v>40</v>
      </c>
    </row>
    <row r="573" spans="1:7" x14ac:dyDescent="0.35">
      <c r="A573" s="23">
        <v>572</v>
      </c>
      <c r="B573" s="23">
        <v>0.2273</v>
      </c>
      <c r="C573" s="23">
        <v>0.69</v>
      </c>
      <c r="D573" s="23">
        <v>0.1343</v>
      </c>
      <c r="E573" s="23">
        <v>3</v>
      </c>
      <c r="F573" s="23">
        <v>14</v>
      </c>
      <c r="G573" s="23">
        <v>17</v>
      </c>
    </row>
    <row r="574" spans="1:7" x14ac:dyDescent="0.35">
      <c r="A574" s="23">
        <v>573</v>
      </c>
      <c r="B574" s="23">
        <v>0.2424</v>
      </c>
      <c r="C574" s="23">
        <v>0.65</v>
      </c>
      <c r="D574" s="23">
        <v>0.1343</v>
      </c>
      <c r="E574" s="23">
        <v>0</v>
      </c>
      <c r="F574" s="23">
        <v>5</v>
      </c>
      <c r="G574" s="23">
        <v>5</v>
      </c>
    </row>
    <row r="575" spans="1:7" x14ac:dyDescent="0.35">
      <c r="A575" s="23">
        <v>574</v>
      </c>
      <c r="B575" s="23">
        <v>0.2273</v>
      </c>
      <c r="C575" s="23">
        <v>0.69</v>
      </c>
      <c r="D575" s="23">
        <v>0.19400000000000001</v>
      </c>
      <c r="E575" s="23">
        <v>3</v>
      </c>
      <c r="F575" s="23">
        <v>7</v>
      </c>
      <c r="G575" s="23">
        <v>10</v>
      </c>
    </row>
    <row r="576" spans="1:7" x14ac:dyDescent="0.35">
      <c r="A576" s="23">
        <v>575</v>
      </c>
      <c r="B576" s="23">
        <v>0.18179999999999999</v>
      </c>
      <c r="C576" s="23">
        <v>0.86</v>
      </c>
      <c r="D576" s="23">
        <v>0.28360000000000002</v>
      </c>
      <c r="E576" s="23">
        <v>0</v>
      </c>
      <c r="F576" s="23">
        <v>1</v>
      </c>
      <c r="G576" s="23">
        <v>1</v>
      </c>
    </row>
    <row r="577" spans="1:7" x14ac:dyDescent="0.35">
      <c r="A577" s="23">
        <v>576</v>
      </c>
      <c r="B577" s="23">
        <v>0.18179999999999999</v>
      </c>
      <c r="C577" s="23">
        <v>0.86</v>
      </c>
      <c r="D577" s="23">
        <v>0.28360000000000002</v>
      </c>
      <c r="E577" s="23">
        <v>0</v>
      </c>
      <c r="F577" s="23">
        <v>8</v>
      </c>
      <c r="G577" s="23">
        <v>8</v>
      </c>
    </row>
    <row r="578" spans="1:7" x14ac:dyDescent="0.35">
      <c r="A578" s="23">
        <v>577</v>
      </c>
      <c r="B578" s="23">
        <v>0.21210000000000001</v>
      </c>
      <c r="C578" s="23">
        <v>0.87</v>
      </c>
      <c r="D578" s="23">
        <v>0.29849999999999999</v>
      </c>
      <c r="E578" s="23">
        <v>1</v>
      </c>
      <c r="F578" s="23">
        <v>29</v>
      </c>
      <c r="G578" s="23">
        <v>30</v>
      </c>
    </row>
    <row r="579" spans="1:7" x14ac:dyDescent="0.35">
      <c r="A579" s="23">
        <v>578</v>
      </c>
      <c r="B579" s="23">
        <v>0.21210000000000001</v>
      </c>
      <c r="C579" s="23">
        <v>0.87</v>
      </c>
      <c r="D579" s="23">
        <v>0.29849999999999999</v>
      </c>
      <c r="E579" s="23">
        <v>3</v>
      </c>
      <c r="F579" s="23">
        <v>69</v>
      </c>
      <c r="G579" s="23">
        <v>72</v>
      </c>
    </row>
    <row r="580" spans="1:7" x14ac:dyDescent="0.35">
      <c r="A580" s="23">
        <v>579</v>
      </c>
      <c r="B580" s="23">
        <v>0.21210000000000001</v>
      </c>
      <c r="C580" s="23">
        <v>0.87</v>
      </c>
      <c r="D580" s="23">
        <v>0.29849999999999999</v>
      </c>
      <c r="E580" s="23">
        <v>3</v>
      </c>
      <c r="F580" s="23">
        <v>55</v>
      </c>
      <c r="G580" s="23">
        <v>58</v>
      </c>
    </row>
    <row r="581" spans="1:7" x14ac:dyDescent="0.35">
      <c r="A581" s="23">
        <v>580</v>
      </c>
      <c r="B581" s="23">
        <v>0.21210000000000001</v>
      </c>
      <c r="C581" s="23">
        <v>0.93</v>
      </c>
      <c r="D581" s="23">
        <v>0.28360000000000002</v>
      </c>
      <c r="E581" s="23">
        <v>2</v>
      </c>
      <c r="F581" s="23">
        <v>26</v>
      </c>
      <c r="G581" s="23">
        <v>28</v>
      </c>
    </row>
    <row r="582" spans="1:7" x14ac:dyDescent="0.35">
      <c r="A582" s="23">
        <v>581</v>
      </c>
      <c r="B582" s="23">
        <v>0.19700000000000001</v>
      </c>
      <c r="C582" s="23">
        <v>0.93</v>
      </c>
      <c r="D582" s="23">
        <v>0.32840000000000003</v>
      </c>
      <c r="E582" s="23">
        <v>6</v>
      </c>
      <c r="F582" s="23">
        <v>35</v>
      </c>
      <c r="G582" s="23">
        <v>41</v>
      </c>
    </row>
    <row r="583" spans="1:7" x14ac:dyDescent="0.35">
      <c r="A583" s="23">
        <v>582</v>
      </c>
      <c r="B583" s="23">
        <v>0.19700000000000001</v>
      </c>
      <c r="C583" s="23">
        <v>0.93</v>
      </c>
      <c r="D583" s="23">
        <v>0.32840000000000003</v>
      </c>
      <c r="E583" s="23">
        <v>7</v>
      </c>
      <c r="F583" s="23">
        <v>41</v>
      </c>
      <c r="G583" s="23">
        <v>48</v>
      </c>
    </row>
    <row r="584" spans="1:7" x14ac:dyDescent="0.35">
      <c r="A584" s="23">
        <v>583</v>
      </c>
      <c r="B584" s="23">
        <v>0.19700000000000001</v>
      </c>
      <c r="C584" s="23">
        <v>0.93</v>
      </c>
      <c r="D584" s="23">
        <v>0.32840000000000003</v>
      </c>
      <c r="E584" s="23">
        <v>4</v>
      </c>
      <c r="F584" s="23">
        <v>43</v>
      </c>
      <c r="G584" s="23">
        <v>47</v>
      </c>
    </row>
    <row r="585" spans="1:7" x14ac:dyDescent="0.35">
      <c r="A585" s="23">
        <v>584</v>
      </c>
      <c r="B585" s="23">
        <v>0.19700000000000001</v>
      </c>
      <c r="C585" s="23">
        <v>0.93</v>
      </c>
      <c r="D585" s="23">
        <v>0.35820000000000002</v>
      </c>
      <c r="E585" s="23">
        <v>0</v>
      </c>
      <c r="F585" s="23">
        <v>36</v>
      </c>
      <c r="G585" s="23">
        <v>36</v>
      </c>
    </row>
    <row r="586" spans="1:7" x14ac:dyDescent="0.35">
      <c r="A586" s="23">
        <v>585</v>
      </c>
      <c r="B586" s="23">
        <v>0.18179999999999999</v>
      </c>
      <c r="C586" s="23">
        <v>0.93</v>
      </c>
      <c r="D586" s="23">
        <v>0.4627</v>
      </c>
      <c r="E586" s="23">
        <v>1</v>
      </c>
      <c r="F586" s="23">
        <v>42</v>
      </c>
      <c r="G586" s="23">
        <v>43</v>
      </c>
    </row>
    <row r="587" spans="1:7" x14ac:dyDescent="0.35">
      <c r="A587" s="23">
        <v>586</v>
      </c>
      <c r="B587" s="23">
        <v>0.19700000000000001</v>
      </c>
      <c r="C587" s="23">
        <v>0.93</v>
      </c>
      <c r="D587" s="23">
        <v>0.32840000000000003</v>
      </c>
      <c r="E587" s="23">
        <v>1</v>
      </c>
      <c r="F587" s="23">
        <v>35</v>
      </c>
      <c r="G587" s="23">
        <v>36</v>
      </c>
    </row>
    <row r="588" spans="1:7" x14ac:dyDescent="0.35">
      <c r="A588" s="23">
        <v>587</v>
      </c>
      <c r="B588" s="23">
        <v>0.18179999999999999</v>
      </c>
      <c r="C588" s="23">
        <v>0.93</v>
      </c>
      <c r="D588" s="23">
        <v>0.35820000000000002</v>
      </c>
      <c r="E588" s="23">
        <v>0</v>
      </c>
      <c r="F588" s="23">
        <v>26</v>
      </c>
      <c r="G588" s="23">
        <v>26</v>
      </c>
    </row>
    <row r="589" spans="1:7" x14ac:dyDescent="0.35">
      <c r="A589" s="23">
        <v>588</v>
      </c>
      <c r="B589" s="23">
        <v>0.2273</v>
      </c>
      <c r="C589" s="23">
        <v>0.55000000000000004</v>
      </c>
      <c r="D589" s="23">
        <v>0.19400000000000001</v>
      </c>
      <c r="E589" s="23">
        <v>1</v>
      </c>
      <c r="F589" s="23">
        <v>23</v>
      </c>
      <c r="G589" s="23">
        <v>24</v>
      </c>
    </row>
    <row r="590" spans="1:7" x14ac:dyDescent="0.35">
      <c r="A590" s="23">
        <v>589</v>
      </c>
      <c r="B590" s="23">
        <v>0.2424</v>
      </c>
      <c r="C590" s="23">
        <v>0.55000000000000004</v>
      </c>
      <c r="D590" s="23">
        <v>0.1045</v>
      </c>
      <c r="E590" s="23">
        <v>2</v>
      </c>
      <c r="F590" s="23">
        <v>82</v>
      </c>
      <c r="G590" s="23">
        <v>84</v>
      </c>
    </row>
    <row r="591" spans="1:7" x14ac:dyDescent="0.35">
      <c r="A591" s="23">
        <v>590</v>
      </c>
      <c r="B591" s="23">
        <v>0.2273</v>
      </c>
      <c r="C591" s="23">
        <v>0.69</v>
      </c>
      <c r="D591" s="23">
        <v>8.9599999999999999E-2</v>
      </c>
      <c r="E591" s="23">
        <v>3</v>
      </c>
      <c r="F591" s="23">
        <v>101</v>
      </c>
      <c r="G591" s="23">
        <v>104</v>
      </c>
    </row>
    <row r="592" spans="1:7" x14ac:dyDescent="0.35">
      <c r="A592" s="23">
        <v>591</v>
      </c>
      <c r="B592" s="23">
        <v>0.2273</v>
      </c>
      <c r="C592" s="23">
        <v>0.69</v>
      </c>
      <c r="D592" s="23">
        <v>8.9599999999999999E-2</v>
      </c>
      <c r="E592" s="23">
        <v>3</v>
      </c>
      <c r="F592" s="23">
        <v>76</v>
      </c>
      <c r="G592" s="23">
        <v>79</v>
      </c>
    </row>
    <row r="593" spans="1:7" x14ac:dyDescent="0.35">
      <c r="A593" s="23">
        <v>592</v>
      </c>
      <c r="B593" s="23">
        <v>0.21210000000000001</v>
      </c>
      <c r="C593" s="23">
        <v>0.74</v>
      </c>
      <c r="D593" s="23">
        <v>8.9599999999999999E-2</v>
      </c>
      <c r="E593" s="23">
        <v>4</v>
      </c>
      <c r="F593" s="23">
        <v>55</v>
      </c>
      <c r="G593" s="23">
        <v>59</v>
      </c>
    </row>
    <row r="594" spans="1:7" x14ac:dyDescent="0.35">
      <c r="A594" s="23">
        <v>593</v>
      </c>
      <c r="B594" s="23">
        <v>0.21210000000000001</v>
      </c>
      <c r="C594" s="23">
        <v>0.74</v>
      </c>
      <c r="D594" s="23">
        <v>8.9599999999999999E-2</v>
      </c>
      <c r="E594" s="23">
        <v>2</v>
      </c>
      <c r="F594" s="23">
        <v>36</v>
      </c>
      <c r="G594" s="23">
        <v>38</v>
      </c>
    </row>
    <row r="595" spans="1:7" x14ac:dyDescent="0.35">
      <c r="A595" s="23">
        <v>594</v>
      </c>
      <c r="B595" s="23">
        <v>0.21210000000000001</v>
      </c>
      <c r="C595" s="23">
        <v>0.74</v>
      </c>
      <c r="D595" s="23">
        <v>8.9599999999999999E-2</v>
      </c>
      <c r="E595" s="23">
        <v>0</v>
      </c>
      <c r="F595" s="23">
        <v>27</v>
      </c>
      <c r="G595" s="23">
        <v>27</v>
      </c>
    </row>
    <row r="596" spans="1:7" x14ac:dyDescent="0.35">
      <c r="A596" s="23">
        <v>595</v>
      </c>
      <c r="B596" s="23">
        <v>0.19700000000000001</v>
      </c>
      <c r="C596" s="23">
        <v>0.8</v>
      </c>
      <c r="D596" s="23">
        <v>0.16420000000000001</v>
      </c>
      <c r="E596" s="23">
        <v>0</v>
      </c>
      <c r="F596" s="23">
        <v>16</v>
      </c>
      <c r="G596" s="23">
        <v>16</v>
      </c>
    </row>
    <row r="597" spans="1:7" x14ac:dyDescent="0.35">
      <c r="A597" s="23">
        <v>596</v>
      </c>
      <c r="B597" s="23">
        <v>0.21210000000000001</v>
      </c>
      <c r="C597" s="23">
        <v>0.75</v>
      </c>
      <c r="D597" s="23">
        <v>0.1343</v>
      </c>
      <c r="E597" s="23">
        <v>0</v>
      </c>
      <c r="F597" s="23">
        <v>9</v>
      </c>
      <c r="G597" s="23">
        <v>9</v>
      </c>
    </row>
    <row r="598" spans="1:7" x14ac:dyDescent="0.35">
      <c r="A598" s="23">
        <v>597</v>
      </c>
      <c r="B598" s="23">
        <v>0.21210000000000001</v>
      </c>
      <c r="C598" s="23">
        <v>0.75</v>
      </c>
      <c r="D598" s="23">
        <v>0.1343</v>
      </c>
      <c r="E598" s="23">
        <v>1</v>
      </c>
      <c r="F598" s="23">
        <v>2</v>
      </c>
      <c r="G598" s="23">
        <v>3</v>
      </c>
    </row>
    <row r="599" spans="1:7" x14ac:dyDescent="0.35">
      <c r="A599" s="23">
        <v>598</v>
      </c>
      <c r="B599" s="23">
        <v>0.21210000000000001</v>
      </c>
      <c r="C599" s="23">
        <v>0.75</v>
      </c>
      <c r="D599" s="23">
        <v>0.16420000000000001</v>
      </c>
      <c r="E599" s="23">
        <v>0</v>
      </c>
      <c r="F599" s="23">
        <v>2</v>
      </c>
      <c r="G599" s="23">
        <v>2</v>
      </c>
    </row>
    <row r="600" spans="1:7" x14ac:dyDescent="0.35">
      <c r="A600" s="23">
        <v>599</v>
      </c>
      <c r="B600" s="23">
        <v>0.2273</v>
      </c>
      <c r="C600" s="23">
        <v>0.75</v>
      </c>
      <c r="D600" s="23">
        <v>0.1045</v>
      </c>
      <c r="E600" s="23">
        <v>1</v>
      </c>
      <c r="F600" s="23">
        <v>0</v>
      </c>
      <c r="G600" s="23">
        <v>1</v>
      </c>
    </row>
    <row r="601" spans="1:7" x14ac:dyDescent="0.35">
      <c r="A601" s="23">
        <v>600</v>
      </c>
      <c r="B601" s="23">
        <v>0.21210000000000001</v>
      </c>
      <c r="C601" s="23">
        <v>0.8</v>
      </c>
      <c r="D601" s="23">
        <v>0.1045</v>
      </c>
      <c r="E601" s="23">
        <v>0</v>
      </c>
      <c r="F601" s="23">
        <v>4</v>
      </c>
      <c r="G601" s="23">
        <v>4</v>
      </c>
    </row>
    <row r="602" spans="1:7" x14ac:dyDescent="0.35">
      <c r="A602" s="23">
        <v>601</v>
      </c>
      <c r="B602" s="23">
        <v>0.19700000000000001</v>
      </c>
      <c r="C602" s="23">
        <v>0.8</v>
      </c>
      <c r="D602" s="23">
        <v>0.1343</v>
      </c>
      <c r="E602" s="23">
        <v>0</v>
      </c>
      <c r="F602" s="23">
        <v>16</v>
      </c>
      <c r="G602" s="23">
        <v>16</v>
      </c>
    </row>
    <row r="603" spans="1:7" x14ac:dyDescent="0.35">
      <c r="A603" s="23">
        <v>602</v>
      </c>
      <c r="B603" s="23">
        <v>0.19700000000000001</v>
      </c>
      <c r="C603" s="23">
        <v>0.86</v>
      </c>
      <c r="D603" s="23">
        <v>8.9599999999999999E-2</v>
      </c>
      <c r="E603" s="23">
        <v>2</v>
      </c>
      <c r="F603" s="23">
        <v>58</v>
      </c>
      <c r="G603" s="23">
        <v>60</v>
      </c>
    </row>
    <row r="604" spans="1:7" x14ac:dyDescent="0.35">
      <c r="A604" s="23">
        <v>603</v>
      </c>
      <c r="B604" s="23">
        <v>0.19700000000000001</v>
      </c>
      <c r="C604" s="23">
        <v>0.86</v>
      </c>
      <c r="D604" s="23">
        <v>8.9599999999999999E-2</v>
      </c>
      <c r="E604" s="23">
        <v>2</v>
      </c>
      <c r="F604" s="23">
        <v>155</v>
      </c>
      <c r="G604" s="23">
        <v>157</v>
      </c>
    </row>
    <row r="605" spans="1:7" x14ac:dyDescent="0.35">
      <c r="A605" s="23">
        <v>604</v>
      </c>
      <c r="B605" s="23">
        <v>0.21210000000000001</v>
      </c>
      <c r="C605" s="23">
        <v>0.86</v>
      </c>
      <c r="D605" s="23">
        <v>8.9599999999999999E-2</v>
      </c>
      <c r="E605" s="23">
        <v>6</v>
      </c>
      <c r="F605" s="23">
        <v>95</v>
      </c>
      <c r="G605" s="23">
        <v>101</v>
      </c>
    </row>
    <row r="606" spans="1:7" x14ac:dyDescent="0.35">
      <c r="A606" s="23">
        <v>605</v>
      </c>
      <c r="B606" s="23">
        <v>0.21210000000000001</v>
      </c>
      <c r="C606" s="23">
        <v>0.86</v>
      </c>
      <c r="D606" s="23">
        <v>0.1045</v>
      </c>
      <c r="E606" s="23">
        <v>0</v>
      </c>
      <c r="F606" s="23">
        <v>49</v>
      </c>
      <c r="G606" s="23">
        <v>49</v>
      </c>
    </row>
    <row r="607" spans="1:7" x14ac:dyDescent="0.35">
      <c r="A607" s="23">
        <v>606</v>
      </c>
      <c r="B607" s="23">
        <v>0.21210000000000001</v>
      </c>
      <c r="C607" s="23">
        <v>0.93</v>
      </c>
      <c r="D607" s="23">
        <v>0.1045</v>
      </c>
      <c r="E607" s="23">
        <v>0</v>
      </c>
      <c r="F607" s="23">
        <v>30</v>
      </c>
      <c r="G607" s="23">
        <v>30</v>
      </c>
    </row>
    <row r="608" spans="1:7" x14ac:dyDescent="0.35">
      <c r="A608" s="23">
        <v>607</v>
      </c>
      <c r="B608" s="23">
        <v>0.21210000000000001</v>
      </c>
      <c r="C608" s="23">
        <v>0.93</v>
      </c>
      <c r="D608" s="23">
        <v>0.1045</v>
      </c>
      <c r="E608" s="23">
        <v>1</v>
      </c>
      <c r="F608" s="23">
        <v>28</v>
      </c>
      <c r="G608" s="23">
        <v>29</v>
      </c>
    </row>
    <row r="609" spans="1:7" x14ac:dyDescent="0.35">
      <c r="A609" s="23">
        <v>608</v>
      </c>
      <c r="B609" s="23">
        <v>0.21210000000000001</v>
      </c>
      <c r="C609" s="23">
        <v>0.93</v>
      </c>
      <c r="D609" s="23">
        <v>0.1045</v>
      </c>
      <c r="E609" s="23">
        <v>0</v>
      </c>
      <c r="F609" s="23">
        <v>31</v>
      </c>
      <c r="G609" s="23">
        <v>31</v>
      </c>
    </row>
    <row r="610" spans="1:7" x14ac:dyDescent="0.35">
      <c r="A610" s="23">
        <v>609</v>
      </c>
      <c r="B610" s="23">
        <v>0.2727</v>
      </c>
      <c r="C610" s="23">
        <v>0.8</v>
      </c>
      <c r="D610" s="23">
        <v>0</v>
      </c>
      <c r="E610" s="23">
        <v>2</v>
      </c>
      <c r="F610" s="23">
        <v>36</v>
      </c>
      <c r="G610" s="23">
        <v>38</v>
      </c>
    </row>
    <row r="611" spans="1:7" x14ac:dyDescent="0.35">
      <c r="A611" s="23">
        <v>610</v>
      </c>
      <c r="B611" s="23">
        <v>0.2576</v>
      </c>
      <c r="C611" s="23">
        <v>0.86</v>
      </c>
      <c r="D611" s="23">
        <v>0</v>
      </c>
      <c r="E611" s="23">
        <v>1</v>
      </c>
      <c r="F611" s="23">
        <v>40</v>
      </c>
      <c r="G611" s="23">
        <v>41</v>
      </c>
    </row>
  </sheetData>
  <pageMargins left="0.75" right="0.75" top="1" bottom="1"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S611"/>
  <sheetViews>
    <sheetView zoomScaleNormal="100" workbookViewId="0">
      <pane ySplit="1" topLeftCell="A2" activePane="bottomLeft" state="frozen"/>
      <selection pane="bottomLeft"/>
    </sheetView>
  </sheetViews>
  <sheetFormatPr defaultColWidth="8.6328125" defaultRowHeight="14.5" x14ac:dyDescent="0.35"/>
  <cols>
    <col min="1" max="17" width="13" customWidth="1"/>
    <col min="19" max="19" width="60" customWidth="1"/>
  </cols>
  <sheetData>
    <row r="1" spans="1:19" ht="60" customHeight="1" x14ac:dyDescent="0.35">
      <c r="A1" s="9" t="s">
        <v>121</v>
      </c>
      <c r="B1" s="9" t="s">
        <v>126</v>
      </c>
      <c r="C1" s="9" t="s">
        <v>127</v>
      </c>
      <c r="D1" s="9" t="s">
        <v>128</v>
      </c>
      <c r="E1" s="9" t="s">
        <v>129</v>
      </c>
      <c r="F1" s="9" t="s">
        <v>130</v>
      </c>
      <c r="G1" s="9" t="s">
        <v>131</v>
      </c>
      <c r="H1" s="9" t="s">
        <v>132</v>
      </c>
      <c r="I1" s="9" t="s">
        <v>133</v>
      </c>
      <c r="J1" s="9" t="s">
        <v>134</v>
      </c>
      <c r="K1" s="9" t="s">
        <v>136</v>
      </c>
      <c r="L1" s="9" t="s">
        <v>137</v>
      </c>
      <c r="M1" s="9" t="s">
        <v>138</v>
      </c>
      <c r="N1" s="9" t="s">
        <v>139</v>
      </c>
      <c r="O1" s="9" t="s">
        <v>140</v>
      </c>
      <c r="P1" s="9" t="s">
        <v>141</v>
      </c>
      <c r="Q1" s="9" t="s">
        <v>345</v>
      </c>
      <c r="S1" s="37" t="s">
        <v>346</v>
      </c>
    </row>
    <row r="2" spans="1:19" x14ac:dyDescent="0.35">
      <c r="A2" s="23">
        <f>Dataset1_Raw!A2</f>
        <v>1</v>
      </c>
      <c r="B2" s="24">
        <f>Dataset1_Raw!B2</f>
        <v>40544</v>
      </c>
      <c r="C2" s="23">
        <f>Dataset1_Raw!C2</f>
        <v>1</v>
      </c>
      <c r="D2" s="23">
        <f>Dataset1_Raw!D2</f>
        <v>0</v>
      </c>
      <c r="E2" s="23">
        <f>Dataset1_Raw!E2</f>
        <v>1</v>
      </c>
      <c r="F2" s="23">
        <f>Dataset1_Raw!F2</f>
        <v>0</v>
      </c>
      <c r="G2" s="23" t="b">
        <f>Dataset1_Raw!G2</f>
        <v>0</v>
      </c>
      <c r="H2" s="23">
        <f>Dataset1_Raw!H2</f>
        <v>6</v>
      </c>
      <c r="I2" s="23">
        <f>Dataset1_Raw!I2</f>
        <v>1</v>
      </c>
      <c r="J2" s="25">
        <f>Dataset1_Raw!J2</f>
        <v>0.24</v>
      </c>
      <c r="K2" s="25">
        <f>IF(ISNUMBER(INDEX(Dataset2_Raw!$B$2:$B$611,$Q2)),INDEX(Dataset2_Raw!$B$2:$B$611,$Q2),"")</f>
        <v>0.28789999999999999</v>
      </c>
      <c r="L2" s="25">
        <f>IF(ISNUMBER(INDEX(Dataset2_Raw!$C$2:$C$611,$Q2)),INDEX(Dataset2_Raw!$C$2:$C$611,$Q2),"")</f>
        <v>0.81</v>
      </c>
      <c r="M2" s="25">
        <f>IF(ISNUMBER(INDEX(Dataset2_Raw!$D$2:$D$611,$Q2)),INDEX(Dataset2_Raw!$D$2:$D$611,$Q2),"")</f>
        <v>0</v>
      </c>
      <c r="N2" s="23">
        <f>IF(ISNUMBER(INDEX(Dataset2_Raw!$E$2:$E$611,$Q2)),INDEX(Dataset2_Raw!$E$2:$E$611,$Q2),"")</f>
        <v>3</v>
      </c>
      <c r="O2" s="23">
        <f>IF(ISNUMBER(INDEX(Dataset2_Raw!$F$2:$F$611,$Q2)),INDEX(Dataset2_Raw!$F$2:$F$611,$Q2),"")</f>
        <v>13</v>
      </c>
      <c r="P2" s="23">
        <f>IF(ISNUMBER(INDEX(Dataset2_Raw!$G$2:$G$611,$Q2)),INDEX(Dataset2_Raw!$G$2:$G$611,$Q2),"")</f>
        <v>16</v>
      </c>
      <c r="Q2" s="23">
        <f>IFERROR(MATCH($A2,Dataset2_Raw!$A$2:$A$611,0),0)</f>
        <v>1</v>
      </c>
    </row>
    <row r="3" spans="1:19" x14ac:dyDescent="0.35">
      <c r="A3" s="23">
        <f>Dataset1_Raw!A3</f>
        <v>2</v>
      </c>
      <c r="B3" s="24">
        <f>Dataset1_Raw!B3</f>
        <v>40544</v>
      </c>
      <c r="C3" s="23">
        <f>Dataset1_Raw!C3</f>
        <v>1</v>
      </c>
      <c r="D3" s="23">
        <f>Dataset1_Raw!D3</f>
        <v>0</v>
      </c>
      <c r="E3" s="23">
        <f>Dataset1_Raw!E3</f>
        <v>1</v>
      </c>
      <c r="F3" s="23">
        <f>Dataset1_Raw!F3</f>
        <v>1</v>
      </c>
      <c r="G3" s="23" t="b">
        <f>Dataset1_Raw!G3</f>
        <v>0</v>
      </c>
      <c r="H3" s="23">
        <f>Dataset1_Raw!H3</f>
        <v>6</v>
      </c>
      <c r="I3" s="23">
        <f>Dataset1_Raw!I3</f>
        <v>1</v>
      </c>
      <c r="J3" s="25">
        <f>Dataset1_Raw!J3</f>
        <v>0.22</v>
      </c>
      <c r="K3" s="25">
        <f>IF(ISNUMBER(INDEX(Dataset2_Raw!$B$2:$B$611,$Q3)),INDEX(Dataset2_Raw!$B$2:$B$611,$Q3),"")</f>
        <v>0.2727</v>
      </c>
      <c r="L3" s="25">
        <f>IF(ISNUMBER(INDEX(Dataset2_Raw!$C$2:$C$611,$Q3)),INDEX(Dataset2_Raw!$C$2:$C$611,$Q3),"")</f>
        <v>0.8</v>
      </c>
      <c r="M3" s="25">
        <f>IF(ISNUMBER(INDEX(Dataset2_Raw!$D$2:$D$611,$Q3)),INDEX(Dataset2_Raw!$D$2:$D$611,$Q3),"")</f>
        <v>0</v>
      </c>
      <c r="N3" s="23">
        <f>IF(ISNUMBER(INDEX(Dataset2_Raw!$E$2:$E$611,$Q3)),INDEX(Dataset2_Raw!$E$2:$E$611,$Q3),"")</f>
        <v>8</v>
      </c>
      <c r="O3" s="23">
        <f>IF(ISNUMBER(INDEX(Dataset2_Raw!$F$2:$F$611,$Q3)),INDEX(Dataset2_Raw!$F$2:$F$611,$Q3),"")</f>
        <v>32</v>
      </c>
      <c r="P3" s="23">
        <f>IF(ISNUMBER(INDEX(Dataset2_Raw!$G$2:$G$611,$Q3)),INDEX(Dataset2_Raw!$G$2:$G$611,$Q3),"")</f>
        <v>40</v>
      </c>
      <c r="Q3" s="23">
        <f>IFERROR(MATCH($A3,Dataset2_Raw!$A$2:$A$611,0),0)</f>
        <v>2</v>
      </c>
    </row>
    <row r="4" spans="1:19" x14ac:dyDescent="0.35">
      <c r="A4" s="23">
        <f>Dataset1_Raw!A4</f>
        <v>3</v>
      </c>
      <c r="B4" s="24">
        <f>Dataset1_Raw!B4</f>
        <v>40544</v>
      </c>
      <c r="C4" s="23">
        <f>Dataset1_Raw!C4</f>
        <v>1</v>
      </c>
      <c r="D4" s="23">
        <f>Dataset1_Raw!D4</f>
        <v>0</v>
      </c>
      <c r="E4" s="23">
        <f>Dataset1_Raw!E4</f>
        <v>1</v>
      </c>
      <c r="F4" s="23">
        <f>Dataset1_Raw!F4</f>
        <v>2</v>
      </c>
      <c r="G4" s="23" t="b">
        <f>Dataset1_Raw!G4</f>
        <v>0</v>
      </c>
      <c r="H4" s="23">
        <f>Dataset1_Raw!H4</f>
        <v>6</v>
      </c>
      <c r="I4" s="23">
        <f>Dataset1_Raw!I4</f>
        <v>1</v>
      </c>
      <c r="J4" s="25">
        <f>Dataset1_Raw!J4</f>
        <v>0.22</v>
      </c>
      <c r="K4" s="25">
        <f>IF(ISNUMBER(INDEX(Dataset2_Raw!$B$2:$B$611,$Q4)),INDEX(Dataset2_Raw!$B$2:$B$611,$Q4),"")</f>
        <v>0.2727</v>
      </c>
      <c r="L4" s="25">
        <f>IF(ISNUMBER(INDEX(Dataset2_Raw!$C$2:$C$611,$Q4)),INDEX(Dataset2_Raw!$C$2:$C$611,$Q4),"")</f>
        <v>0.8</v>
      </c>
      <c r="M4" s="25">
        <f>IF(ISNUMBER(INDEX(Dataset2_Raw!$D$2:$D$611,$Q4)),INDEX(Dataset2_Raw!$D$2:$D$611,$Q4),"")</f>
        <v>0</v>
      </c>
      <c r="N4" s="23">
        <f>IF(ISNUMBER(INDEX(Dataset2_Raw!$E$2:$E$611,$Q4)),INDEX(Dataset2_Raw!$E$2:$E$611,$Q4),"")</f>
        <v>5</v>
      </c>
      <c r="O4" s="23">
        <f>IF(ISNUMBER(INDEX(Dataset2_Raw!$F$2:$F$611,$Q4)),INDEX(Dataset2_Raw!$F$2:$F$611,$Q4),"")</f>
        <v>27</v>
      </c>
      <c r="P4" s="23">
        <f>IF(ISNUMBER(INDEX(Dataset2_Raw!$G$2:$G$611,$Q4)),INDEX(Dataset2_Raw!$G$2:$G$611,$Q4),"")</f>
        <v>32</v>
      </c>
      <c r="Q4" s="23">
        <f>IFERROR(MATCH($A4,Dataset2_Raw!$A$2:$A$611,0),0)</f>
        <v>3</v>
      </c>
    </row>
    <row r="5" spans="1:19" x14ac:dyDescent="0.35">
      <c r="A5" s="23">
        <f>Dataset1_Raw!A5</f>
        <v>4</v>
      </c>
      <c r="B5" s="24">
        <f>Dataset1_Raw!B5</f>
        <v>40544</v>
      </c>
      <c r="C5" s="23">
        <f>Dataset1_Raw!C5</f>
        <v>1</v>
      </c>
      <c r="D5" s="23">
        <f>Dataset1_Raw!D5</f>
        <v>0</v>
      </c>
      <c r="E5" s="23">
        <f>Dataset1_Raw!E5</f>
        <v>1</v>
      </c>
      <c r="F5" s="23">
        <f>Dataset1_Raw!F5</f>
        <v>3</v>
      </c>
      <c r="G5" s="23" t="b">
        <f>Dataset1_Raw!G5</f>
        <v>0</v>
      </c>
      <c r="H5" s="23">
        <f>Dataset1_Raw!H5</f>
        <v>6</v>
      </c>
      <c r="I5" s="23">
        <f>Dataset1_Raw!I5</f>
        <v>1</v>
      </c>
      <c r="J5" s="25">
        <f>Dataset1_Raw!J5</f>
        <v>0.24</v>
      </c>
      <c r="K5" s="25">
        <f>IF(ISNUMBER(INDEX(Dataset2_Raw!$B$2:$B$611,$Q5)),INDEX(Dataset2_Raw!$B$2:$B$611,$Q5),"")</f>
        <v>0.28789999999999999</v>
      </c>
      <c r="L5" s="25">
        <f>IF(ISNUMBER(INDEX(Dataset2_Raw!$C$2:$C$611,$Q5)),INDEX(Dataset2_Raw!$C$2:$C$611,$Q5),"")</f>
        <v>0.75</v>
      </c>
      <c r="M5" s="25">
        <f>IF(ISNUMBER(INDEX(Dataset2_Raw!$D$2:$D$611,$Q5)),INDEX(Dataset2_Raw!$D$2:$D$611,$Q5),"")</f>
        <v>0</v>
      </c>
      <c r="N5" s="23">
        <f>IF(ISNUMBER(INDEX(Dataset2_Raw!$E$2:$E$611,$Q5)),INDEX(Dataset2_Raw!$E$2:$E$611,$Q5),"")</f>
        <v>3</v>
      </c>
      <c r="O5" s="23">
        <f>IF(ISNUMBER(INDEX(Dataset2_Raw!$F$2:$F$611,$Q5)),INDEX(Dataset2_Raw!$F$2:$F$611,$Q5),"")</f>
        <v>10</v>
      </c>
      <c r="P5" s="23">
        <f>IF(ISNUMBER(INDEX(Dataset2_Raw!$G$2:$G$611,$Q5)),INDEX(Dataset2_Raw!$G$2:$G$611,$Q5),"")</f>
        <v>13</v>
      </c>
      <c r="Q5" s="23">
        <f>IFERROR(MATCH($A5,Dataset2_Raw!$A$2:$A$611,0),0)</f>
        <v>4</v>
      </c>
    </row>
    <row r="6" spans="1:19" x14ac:dyDescent="0.35">
      <c r="A6" s="23">
        <f>Dataset1_Raw!A6</f>
        <v>5</v>
      </c>
      <c r="B6" s="24">
        <f>Dataset1_Raw!B6</f>
        <v>40544</v>
      </c>
      <c r="C6" s="23">
        <f>Dataset1_Raw!C6</f>
        <v>1</v>
      </c>
      <c r="D6" s="23">
        <f>Dataset1_Raw!D6</f>
        <v>0</v>
      </c>
      <c r="E6" s="23">
        <f>Dataset1_Raw!E6</f>
        <v>1</v>
      </c>
      <c r="F6" s="23">
        <f>Dataset1_Raw!F6</f>
        <v>4</v>
      </c>
      <c r="G6" s="23" t="b">
        <f>Dataset1_Raw!G6</f>
        <v>0</v>
      </c>
      <c r="H6" s="23">
        <f>Dataset1_Raw!H6</f>
        <v>6</v>
      </c>
      <c r="I6" s="23">
        <f>Dataset1_Raw!I6</f>
        <v>1</v>
      </c>
      <c r="J6" s="25">
        <f>Dataset1_Raw!J6</f>
        <v>0.24</v>
      </c>
      <c r="K6" s="25">
        <f>IF(ISNUMBER(INDEX(Dataset2_Raw!$B$2:$B$611,$Q6)),INDEX(Dataset2_Raw!$B$2:$B$611,$Q6),"")</f>
        <v>0.28789999999999999</v>
      </c>
      <c r="L6" s="25">
        <f>IF(ISNUMBER(INDEX(Dataset2_Raw!$C$2:$C$611,$Q6)),INDEX(Dataset2_Raw!$C$2:$C$611,$Q6),"")</f>
        <v>0.75</v>
      </c>
      <c r="M6" s="25">
        <f>IF(ISNUMBER(INDEX(Dataset2_Raw!$D$2:$D$611,$Q6)),INDEX(Dataset2_Raw!$D$2:$D$611,$Q6),"")</f>
        <v>0</v>
      </c>
      <c r="N6" s="23">
        <f>IF(ISNUMBER(INDEX(Dataset2_Raw!$E$2:$E$611,$Q6)),INDEX(Dataset2_Raw!$E$2:$E$611,$Q6),"")</f>
        <v>0</v>
      </c>
      <c r="O6" s="23">
        <f>IF(ISNUMBER(INDEX(Dataset2_Raw!$F$2:$F$611,$Q6)),INDEX(Dataset2_Raw!$F$2:$F$611,$Q6),"")</f>
        <v>1</v>
      </c>
      <c r="P6" s="23">
        <f>IF(ISNUMBER(INDEX(Dataset2_Raw!$G$2:$G$611,$Q6)),INDEX(Dataset2_Raw!$G$2:$G$611,$Q6),"")</f>
        <v>1</v>
      </c>
      <c r="Q6" s="23">
        <f>IFERROR(MATCH($A6,Dataset2_Raw!$A$2:$A$611,0),0)</f>
        <v>5</v>
      </c>
    </row>
    <row r="7" spans="1:19" x14ac:dyDescent="0.35">
      <c r="A7" s="23">
        <f>Dataset1_Raw!A7</f>
        <v>6</v>
      </c>
      <c r="B7" s="24">
        <f>Dataset1_Raw!B7</f>
        <v>40544</v>
      </c>
      <c r="C7" s="23">
        <f>Dataset1_Raw!C7</f>
        <v>1</v>
      </c>
      <c r="D7" s="23">
        <f>Dataset1_Raw!D7</f>
        <v>0</v>
      </c>
      <c r="E7" s="23">
        <f>Dataset1_Raw!E7</f>
        <v>1</v>
      </c>
      <c r="F7" s="23">
        <f>Dataset1_Raw!F7</f>
        <v>5</v>
      </c>
      <c r="G7" s="23" t="b">
        <f>Dataset1_Raw!G7</f>
        <v>0</v>
      </c>
      <c r="H7" s="23">
        <f>Dataset1_Raw!H7</f>
        <v>6</v>
      </c>
      <c r="I7" s="23">
        <f>Dataset1_Raw!I7</f>
        <v>2</v>
      </c>
      <c r="J7" s="25">
        <f>Dataset1_Raw!J7</f>
        <v>0.24</v>
      </c>
      <c r="K7" s="25">
        <f>IF(ISNUMBER(INDEX(Dataset2_Raw!$B$2:$B$611,$Q7)),INDEX(Dataset2_Raw!$B$2:$B$611,$Q7),"")</f>
        <v>0.2576</v>
      </c>
      <c r="L7" s="25">
        <f>IF(ISNUMBER(INDEX(Dataset2_Raw!$C$2:$C$611,$Q7)),INDEX(Dataset2_Raw!$C$2:$C$611,$Q7),"")</f>
        <v>0.75</v>
      </c>
      <c r="M7" s="25">
        <f>IF(ISNUMBER(INDEX(Dataset2_Raw!$D$2:$D$611,$Q7)),INDEX(Dataset2_Raw!$D$2:$D$611,$Q7),"")</f>
        <v>8.9599999999999999E-2</v>
      </c>
      <c r="N7" s="23">
        <f>IF(ISNUMBER(INDEX(Dataset2_Raw!$E$2:$E$611,$Q7)),INDEX(Dataset2_Raw!$E$2:$E$611,$Q7),"")</f>
        <v>0</v>
      </c>
      <c r="O7" s="23">
        <f>IF(ISNUMBER(INDEX(Dataset2_Raw!$F$2:$F$611,$Q7)),INDEX(Dataset2_Raw!$F$2:$F$611,$Q7),"")</f>
        <v>1</v>
      </c>
      <c r="P7" s="23">
        <f>IF(ISNUMBER(INDEX(Dataset2_Raw!$G$2:$G$611,$Q7)),INDEX(Dataset2_Raw!$G$2:$G$611,$Q7),"")</f>
        <v>1</v>
      </c>
      <c r="Q7" s="23">
        <f>IFERROR(MATCH($A7,Dataset2_Raw!$A$2:$A$611,0),0)</f>
        <v>6</v>
      </c>
    </row>
    <row r="8" spans="1:19" x14ac:dyDescent="0.35">
      <c r="A8" s="23">
        <f>Dataset1_Raw!A8</f>
        <v>7</v>
      </c>
      <c r="B8" s="24">
        <f>Dataset1_Raw!B8</f>
        <v>40544</v>
      </c>
      <c r="C8" s="23">
        <f>Dataset1_Raw!C8</f>
        <v>1</v>
      </c>
      <c r="D8" s="23">
        <f>Dataset1_Raw!D8</f>
        <v>0</v>
      </c>
      <c r="E8" s="23">
        <f>Dataset1_Raw!E8</f>
        <v>1</v>
      </c>
      <c r="F8" s="23">
        <f>Dataset1_Raw!F8</f>
        <v>6</v>
      </c>
      <c r="G8" s="23" t="b">
        <f>Dataset1_Raw!G8</f>
        <v>0</v>
      </c>
      <c r="H8" s="23">
        <f>Dataset1_Raw!H8</f>
        <v>6</v>
      </c>
      <c r="I8" s="23">
        <f>Dataset1_Raw!I8</f>
        <v>1</v>
      </c>
      <c r="J8" s="25">
        <f>Dataset1_Raw!J8</f>
        <v>0.22</v>
      </c>
      <c r="K8" s="25">
        <f>IF(ISNUMBER(INDEX(Dataset2_Raw!$B$2:$B$611,$Q8)),INDEX(Dataset2_Raw!$B$2:$B$611,$Q8),"")</f>
        <v>0.2727</v>
      </c>
      <c r="L8" s="25">
        <f>IF(ISNUMBER(INDEX(Dataset2_Raw!$C$2:$C$611,$Q8)),INDEX(Dataset2_Raw!$C$2:$C$611,$Q8),"")</f>
        <v>0.8</v>
      </c>
      <c r="M8" s="25">
        <f>IF(ISNUMBER(INDEX(Dataset2_Raw!$D$2:$D$611,$Q8)),INDEX(Dataset2_Raw!$D$2:$D$611,$Q8),"")</f>
        <v>0</v>
      </c>
      <c r="N8" s="23">
        <f>IF(ISNUMBER(INDEX(Dataset2_Raw!$E$2:$E$611,$Q8)),INDEX(Dataset2_Raw!$E$2:$E$611,$Q8),"")</f>
        <v>2</v>
      </c>
      <c r="O8" s="23">
        <f>IF(ISNUMBER(INDEX(Dataset2_Raw!$F$2:$F$611,$Q8)),INDEX(Dataset2_Raw!$F$2:$F$611,$Q8),"")</f>
        <v>0</v>
      </c>
      <c r="P8" s="23">
        <f>IF(ISNUMBER(INDEX(Dataset2_Raw!$G$2:$G$611,$Q8)),INDEX(Dataset2_Raw!$G$2:$G$611,$Q8),"")</f>
        <v>2</v>
      </c>
      <c r="Q8" s="23">
        <f>IFERROR(MATCH($A8,Dataset2_Raw!$A$2:$A$611,0),0)</f>
        <v>7</v>
      </c>
    </row>
    <row r="9" spans="1:19" x14ac:dyDescent="0.35">
      <c r="A9" s="23">
        <f>Dataset1_Raw!A9</f>
        <v>8</v>
      </c>
      <c r="B9" s="24">
        <f>Dataset1_Raw!B9</f>
        <v>40544</v>
      </c>
      <c r="C9" s="23">
        <f>Dataset1_Raw!C9</f>
        <v>1</v>
      </c>
      <c r="D9" s="23">
        <f>Dataset1_Raw!D9</f>
        <v>0</v>
      </c>
      <c r="E9" s="23">
        <f>Dataset1_Raw!E9</f>
        <v>1</v>
      </c>
      <c r="F9" s="23">
        <f>Dataset1_Raw!F9</f>
        <v>7</v>
      </c>
      <c r="G9" s="23" t="b">
        <f>Dataset1_Raw!G9</f>
        <v>0</v>
      </c>
      <c r="H9" s="23">
        <f>Dataset1_Raw!H9</f>
        <v>6</v>
      </c>
      <c r="I9" s="23">
        <f>Dataset1_Raw!I9</f>
        <v>1</v>
      </c>
      <c r="J9" s="25">
        <f>Dataset1_Raw!J9</f>
        <v>0.2</v>
      </c>
      <c r="K9" s="25">
        <f>IF(ISNUMBER(INDEX(Dataset2_Raw!$B$2:$B$611,$Q9)),INDEX(Dataset2_Raw!$B$2:$B$611,$Q9),"")</f>
        <v>0.2576</v>
      </c>
      <c r="L9" s="25">
        <f>IF(ISNUMBER(INDEX(Dataset2_Raw!$C$2:$C$611,$Q9)),INDEX(Dataset2_Raw!$C$2:$C$611,$Q9),"")</f>
        <v>0.86</v>
      </c>
      <c r="M9" s="25">
        <f>IF(ISNUMBER(INDEX(Dataset2_Raw!$D$2:$D$611,$Q9)),INDEX(Dataset2_Raw!$D$2:$D$611,$Q9),"")</f>
        <v>0</v>
      </c>
      <c r="N9" s="23">
        <f>IF(ISNUMBER(INDEX(Dataset2_Raw!$E$2:$E$611,$Q9)),INDEX(Dataset2_Raw!$E$2:$E$611,$Q9),"")</f>
        <v>1</v>
      </c>
      <c r="O9" s="23">
        <f>IF(ISNUMBER(INDEX(Dataset2_Raw!$F$2:$F$611,$Q9)),INDEX(Dataset2_Raw!$F$2:$F$611,$Q9),"")</f>
        <v>2</v>
      </c>
      <c r="P9" s="23">
        <f>IF(ISNUMBER(INDEX(Dataset2_Raw!$G$2:$G$611,$Q9)),INDEX(Dataset2_Raw!$G$2:$G$611,$Q9),"")</f>
        <v>3</v>
      </c>
      <c r="Q9" s="23">
        <f>IFERROR(MATCH($A9,Dataset2_Raw!$A$2:$A$611,0),0)</f>
        <v>8</v>
      </c>
    </row>
    <row r="10" spans="1:19" x14ac:dyDescent="0.35">
      <c r="A10" s="23">
        <f>Dataset1_Raw!A10</f>
        <v>9</v>
      </c>
      <c r="B10" s="24">
        <f>Dataset1_Raw!B10</f>
        <v>40544</v>
      </c>
      <c r="C10" s="23">
        <f>Dataset1_Raw!C10</f>
        <v>1</v>
      </c>
      <c r="D10" s="23">
        <f>Dataset1_Raw!D10</f>
        <v>0</v>
      </c>
      <c r="E10" s="23">
        <f>Dataset1_Raw!E10</f>
        <v>1</v>
      </c>
      <c r="F10" s="23">
        <f>Dataset1_Raw!F10</f>
        <v>8</v>
      </c>
      <c r="G10" s="23" t="b">
        <f>Dataset1_Raw!G10</f>
        <v>0</v>
      </c>
      <c r="H10" s="23">
        <f>Dataset1_Raw!H10</f>
        <v>6</v>
      </c>
      <c r="I10" s="23">
        <f>Dataset1_Raw!I10</f>
        <v>1</v>
      </c>
      <c r="J10" s="25">
        <f>Dataset1_Raw!J10</f>
        <v>0.24</v>
      </c>
      <c r="K10" s="25" t="str">
        <f>IF(ISNUMBER(INDEX(Dataset2_Raw!$B$2:$B$611,$Q10)),INDEX(Dataset2_Raw!$B$2:$B$611,$Q10),"")</f>
        <v/>
      </c>
      <c r="L10" s="25">
        <f>IF(ISNUMBER(INDEX(Dataset2_Raw!$C$2:$C$611,$Q10)),INDEX(Dataset2_Raw!$C$2:$C$611,$Q10),"")</f>
        <v>0.75</v>
      </c>
      <c r="M10" s="25">
        <f>IF(ISNUMBER(INDEX(Dataset2_Raw!$D$2:$D$611,$Q10)),INDEX(Dataset2_Raw!$D$2:$D$611,$Q10),"")</f>
        <v>0</v>
      </c>
      <c r="N10" s="23">
        <f>IF(ISNUMBER(INDEX(Dataset2_Raw!$E$2:$E$611,$Q10)),INDEX(Dataset2_Raw!$E$2:$E$611,$Q10),"")</f>
        <v>1</v>
      </c>
      <c r="O10" s="23">
        <f>IF(ISNUMBER(INDEX(Dataset2_Raw!$F$2:$F$611,$Q10)),INDEX(Dataset2_Raw!$F$2:$F$611,$Q10),"")</f>
        <v>7</v>
      </c>
      <c r="P10" s="23">
        <f>IF(ISNUMBER(INDEX(Dataset2_Raw!$G$2:$G$611,$Q10)),INDEX(Dataset2_Raw!$G$2:$G$611,$Q10),"")</f>
        <v>8</v>
      </c>
      <c r="Q10" s="23">
        <f>IFERROR(MATCH($A10,Dataset2_Raw!$A$2:$A$611,0),0)</f>
        <v>9</v>
      </c>
    </row>
    <row r="11" spans="1:19" x14ac:dyDescent="0.35">
      <c r="A11" s="23">
        <f>Dataset1_Raw!A11</f>
        <v>10</v>
      </c>
      <c r="B11" s="24">
        <f>Dataset1_Raw!B11</f>
        <v>40544</v>
      </c>
      <c r="C11" s="23">
        <f>Dataset1_Raw!C11</f>
        <v>1</v>
      </c>
      <c r="D11" s="23">
        <f>Dataset1_Raw!D11</f>
        <v>0</v>
      </c>
      <c r="E11" s="23">
        <f>Dataset1_Raw!E11</f>
        <v>1</v>
      </c>
      <c r="F11" s="23">
        <f>Dataset1_Raw!F11</f>
        <v>9</v>
      </c>
      <c r="G11" s="23" t="b">
        <f>Dataset1_Raw!G11</f>
        <v>0</v>
      </c>
      <c r="H11" s="23">
        <f>Dataset1_Raw!H11</f>
        <v>6</v>
      </c>
      <c r="I11" s="23">
        <f>Dataset1_Raw!I11</f>
        <v>1</v>
      </c>
      <c r="J11" s="25">
        <f>Dataset1_Raw!J11</f>
        <v>0.32</v>
      </c>
      <c r="K11" s="25">
        <f>IF(ISNUMBER(INDEX(Dataset2_Raw!$B$2:$B$611,$Q11)),INDEX(Dataset2_Raw!$B$2:$B$611,$Q11),"")</f>
        <v>0.34849999999999998</v>
      </c>
      <c r="L11" s="25">
        <f>IF(ISNUMBER(INDEX(Dataset2_Raw!$C$2:$C$611,$Q11)),INDEX(Dataset2_Raw!$C$2:$C$611,$Q11),"")</f>
        <v>0.76</v>
      </c>
      <c r="M11" s="25">
        <f>IF(ISNUMBER(INDEX(Dataset2_Raw!$D$2:$D$611,$Q11)),INDEX(Dataset2_Raw!$D$2:$D$611,$Q11),"")</f>
        <v>0</v>
      </c>
      <c r="N11" s="23">
        <f>IF(ISNUMBER(INDEX(Dataset2_Raw!$E$2:$E$611,$Q11)),INDEX(Dataset2_Raw!$E$2:$E$611,$Q11),"")</f>
        <v>8</v>
      </c>
      <c r="O11" s="23">
        <f>IF(ISNUMBER(INDEX(Dataset2_Raw!$F$2:$F$611,$Q11)),INDEX(Dataset2_Raw!$F$2:$F$611,$Q11),"")</f>
        <v>6</v>
      </c>
      <c r="P11" s="23">
        <f>IF(ISNUMBER(INDEX(Dataset2_Raw!$G$2:$G$611,$Q11)),INDEX(Dataset2_Raw!$G$2:$G$611,$Q11),"")</f>
        <v>14</v>
      </c>
      <c r="Q11" s="23">
        <f>IFERROR(MATCH($A11,Dataset2_Raw!$A$2:$A$611,0),0)</f>
        <v>10</v>
      </c>
    </row>
    <row r="12" spans="1:19" x14ac:dyDescent="0.35">
      <c r="A12" s="23">
        <f>Dataset1_Raw!A12</f>
        <v>11</v>
      </c>
      <c r="B12" s="24">
        <f>Dataset1_Raw!B12</f>
        <v>40544</v>
      </c>
      <c r="C12" s="23">
        <f>Dataset1_Raw!C12</f>
        <v>1</v>
      </c>
      <c r="D12" s="23">
        <f>Dataset1_Raw!D12</f>
        <v>0</v>
      </c>
      <c r="E12" s="23">
        <f>Dataset1_Raw!E12</f>
        <v>1</v>
      </c>
      <c r="F12" s="23">
        <f>Dataset1_Raw!F12</f>
        <v>10</v>
      </c>
      <c r="G12" s="23" t="b">
        <f>Dataset1_Raw!G12</f>
        <v>0</v>
      </c>
      <c r="H12" s="23">
        <f>Dataset1_Raw!H12</f>
        <v>6</v>
      </c>
      <c r="I12" s="23">
        <f>Dataset1_Raw!I12</f>
        <v>1</v>
      </c>
      <c r="J12" s="25">
        <f>Dataset1_Raw!J12</f>
        <v>0.38</v>
      </c>
      <c r="K12" s="25">
        <f>IF(ISNUMBER(INDEX(Dataset2_Raw!$B$2:$B$611,$Q12)),INDEX(Dataset2_Raw!$B$2:$B$611,$Q12),"")</f>
        <v>0.39389999999999997</v>
      </c>
      <c r="L12" s="25">
        <f>IF(ISNUMBER(INDEX(Dataset2_Raw!$C$2:$C$611,$Q12)),INDEX(Dataset2_Raw!$C$2:$C$611,$Q12),"")</f>
        <v>0.76</v>
      </c>
      <c r="M12" s="25">
        <f>IF(ISNUMBER(INDEX(Dataset2_Raw!$D$2:$D$611,$Q12)),INDEX(Dataset2_Raw!$D$2:$D$611,$Q12),"")</f>
        <v>0.25369999999999998</v>
      </c>
      <c r="N12" s="23">
        <f>IF(ISNUMBER(INDEX(Dataset2_Raw!$E$2:$E$611,$Q12)),INDEX(Dataset2_Raw!$E$2:$E$611,$Q12),"")</f>
        <v>12</v>
      </c>
      <c r="O12" s="23">
        <f>IF(ISNUMBER(INDEX(Dataset2_Raw!$F$2:$F$611,$Q12)),INDEX(Dataset2_Raw!$F$2:$F$611,$Q12),"")</f>
        <v>24</v>
      </c>
      <c r="P12" s="23">
        <f>IF(ISNUMBER(INDEX(Dataset2_Raw!$G$2:$G$611,$Q12)),INDEX(Dataset2_Raw!$G$2:$G$611,$Q12),"")</f>
        <v>36</v>
      </c>
      <c r="Q12" s="23">
        <f>IFERROR(MATCH($A12,Dataset2_Raw!$A$2:$A$611,0),0)</f>
        <v>11</v>
      </c>
    </row>
    <row r="13" spans="1:19" x14ac:dyDescent="0.35">
      <c r="A13" s="23">
        <f>Dataset1_Raw!A13</f>
        <v>12</v>
      </c>
      <c r="B13" s="24">
        <f>Dataset1_Raw!B13</f>
        <v>40544</v>
      </c>
      <c r="C13" s="23">
        <f>Dataset1_Raw!C13</f>
        <v>1</v>
      </c>
      <c r="D13" s="23">
        <f>Dataset1_Raw!D13</f>
        <v>0</v>
      </c>
      <c r="E13" s="23">
        <f>Dataset1_Raw!E13</f>
        <v>1</v>
      </c>
      <c r="F13" s="23">
        <f>Dataset1_Raw!F13</f>
        <v>11</v>
      </c>
      <c r="G13" s="23" t="b">
        <f>Dataset1_Raw!G13</f>
        <v>0</v>
      </c>
      <c r="H13" s="23">
        <f>Dataset1_Raw!H13</f>
        <v>6</v>
      </c>
      <c r="I13" s="23">
        <f>Dataset1_Raw!I13</f>
        <v>1</v>
      </c>
      <c r="J13" s="25">
        <f>Dataset1_Raw!J13</f>
        <v>0.36</v>
      </c>
      <c r="K13" s="25">
        <f>IF(ISNUMBER(INDEX(Dataset2_Raw!$B$2:$B$611,$Q13)),INDEX(Dataset2_Raw!$B$2:$B$611,$Q13),"")</f>
        <v>0.33329999999999999</v>
      </c>
      <c r="L13" s="25">
        <f>IF(ISNUMBER(INDEX(Dataset2_Raw!$C$2:$C$611,$Q13)),INDEX(Dataset2_Raw!$C$2:$C$611,$Q13),"")</f>
        <v>0.81</v>
      </c>
      <c r="M13" s="25">
        <f>IF(ISNUMBER(INDEX(Dataset2_Raw!$D$2:$D$611,$Q13)),INDEX(Dataset2_Raw!$D$2:$D$611,$Q13),"")</f>
        <v>0.28360000000000002</v>
      </c>
      <c r="N13" s="23">
        <f>IF(ISNUMBER(INDEX(Dataset2_Raw!$E$2:$E$611,$Q13)),INDEX(Dataset2_Raw!$E$2:$E$611,$Q13),"")</f>
        <v>26</v>
      </c>
      <c r="O13" s="23">
        <f>IF(ISNUMBER(INDEX(Dataset2_Raw!$F$2:$F$611,$Q13)),INDEX(Dataset2_Raw!$F$2:$F$611,$Q13),"")</f>
        <v>30</v>
      </c>
      <c r="P13" s="23">
        <f>IF(ISNUMBER(INDEX(Dataset2_Raw!$G$2:$G$611,$Q13)),INDEX(Dataset2_Raw!$G$2:$G$611,$Q13),"")</f>
        <v>56</v>
      </c>
      <c r="Q13" s="23">
        <f>IFERROR(MATCH($A13,Dataset2_Raw!$A$2:$A$611,0),0)</f>
        <v>12</v>
      </c>
    </row>
    <row r="14" spans="1:19" x14ac:dyDescent="0.35">
      <c r="A14" s="23">
        <f>Dataset1_Raw!A14</f>
        <v>13</v>
      </c>
      <c r="B14" s="24">
        <f>Dataset1_Raw!B14</f>
        <v>40544</v>
      </c>
      <c r="C14" s="23">
        <f>Dataset1_Raw!C14</f>
        <v>1</v>
      </c>
      <c r="D14" s="23">
        <f>Dataset1_Raw!D14</f>
        <v>0</v>
      </c>
      <c r="E14" s="23">
        <f>Dataset1_Raw!E14</f>
        <v>1</v>
      </c>
      <c r="F14" s="23">
        <f>Dataset1_Raw!F14</f>
        <v>12</v>
      </c>
      <c r="G14" s="23" t="b">
        <f>Dataset1_Raw!G14</f>
        <v>0</v>
      </c>
      <c r="H14" s="23">
        <f>Dataset1_Raw!H14</f>
        <v>6</v>
      </c>
      <c r="I14" s="23">
        <f>Dataset1_Raw!I14</f>
        <v>1</v>
      </c>
      <c r="J14" s="25">
        <f>Dataset1_Raw!J14</f>
        <v>0.42</v>
      </c>
      <c r="K14" s="25">
        <f>IF(ISNUMBER(INDEX(Dataset2_Raw!$B$2:$B$611,$Q14)),INDEX(Dataset2_Raw!$B$2:$B$611,$Q14),"")</f>
        <v>0.42420000000000002</v>
      </c>
      <c r="L14" s="25">
        <f>IF(ISNUMBER(INDEX(Dataset2_Raw!$C$2:$C$611,$Q14)),INDEX(Dataset2_Raw!$C$2:$C$611,$Q14),"")</f>
        <v>0.77</v>
      </c>
      <c r="M14" s="25">
        <f>IF(ISNUMBER(INDEX(Dataset2_Raw!$D$2:$D$611,$Q14)),INDEX(Dataset2_Raw!$D$2:$D$611,$Q14),"")</f>
        <v>0.28360000000000002</v>
      </c>
      <c r="N14" s="23">
        <f>IF(ISNUMBER(INDEX(Dataset2_Raw!$E$2:$E$611,$Q14)),INDEX(Dataset2_Raw!$E$2:$E$611,$Q14),"")</f>
        <v>29</v>
      </c>
      <c r="O14" s="23">
        <f>IF(ISNUMBER(INDEX(Dataset2_Raw!$F$2:$F$611,$Q14)),INDEX(Dataset2_Raw!$F$2:$F$611,$Q14),"")</f>
        <v>55</v>
      </c>
      <c r="P14" s="23">
        <f>IF(ISNUMBER(INDEX(Dataset2_Raw!$G$2:$G$611,$Q14)),INDEX(Dataset2_Raw!$G$2:$G$611,$Q14),"")</f>
        <v>84</v>
      </c>
      <c r="Q14" s="23">
        <f>IFERROR(MATCH($A14,Dataset2_Raw!$A$2:$A$611,0),0)</f>
        <v>13</v>
      </c>
    </row>
    <row r="15" spans="1:19" x14ac:dyDescent="0.35">
      <c r="A15" s="23">
        <f>Dataset1_Raw!A15</f>
        <v>14</v>
      </c>
      <c r="B15" s="24">
        <f>Dataset1_Raw!B15</f>
        <v>40544</v>
      </c>
      <c r="C15" s="23">
        <f>Dataset1_Raw!C15</f>
        <v>1</v>
      </c>
      <c r="D15" s="23">
        <f>Dataset1_Raw!D15</f>
        <v>0</v>
      </c>
      <c r="E15" s="23">
        <f>Dataset1_Raw!E15</f>
        <v>1</v>
      </c>
      <c r="F15" s="23">
        <f>Dataset1_Raw!F15</f>
        <v>13</v>
      </c>
      <c r="G15" s="23" t="b">
        <f>Dataset1_Raw!G15</f>
        <v>0</v>
      </c>
      <c r="H15" s="23">
        <f>Dataset1_Raw!H15</f>
        <v>6</v>
      </c>
      <c r="I15" s="23">
        <f>Dataset1_Raw!I15</f>
        <v>2</v>
      </c>
      <c r="J15" s="25">
        <f>Dataset1_Raw!J15</f>
        <v>0.46</v>
      </c>
      <c r="K15" s="25">
        <f>IF(ISNUMBER(INDEX(Dataset2_Raw!$B$2:$B$611,$Q15)),INDEX(Dataset2_Raw!$B$2:$B$611,$Q15),"")</f>
        <v>0.45450000000000002</v>
      </c>
      <c r="L15" s="25">
        <f>IF(ISNUMBER(INDEX(Dataset2_Raw!$C$2:$C$611,$Q15)),INDEX(Dataset2_Raw!$C$2:$C$611,$Q15),"")</f>
        <v>0.72</v>
      </c>
      <c r="M15" s="25">
        <f>IF(ISNUMBER(INDEX(Dataset2_Raw!$D$2:$D$611,$Q15)),INDEX(Dataset2_Raw!$D$2:$D$611,$Q15),"")</f>
        <v>0.29849999999999999</v>
      </c>
      <c r="N15" s="23">
        <f>IF(ISNUMBER(INDEX(Dataset2_Raw!$E$2:$E$611,$Q15)),INDEX(Dataset2_Raw!$E$2:$E$611,$Q15),"")</f>
        <v>47</v>
      </c>
      <c r="O15" s="23">
        <f>IF(ISNUMBER(INDEX(Dataset2_Raw!$F$2:$F$611,$Q15)),INDEX(Dataset2_Raw!$F$2:$F$611,$Q15),"")</f>
        <v>47</v>
      </c>
      <c r="P15" s="23">
        <f>IF(ISNUMBER(INDEX(Dataset2_Raw!$G$2:$G$611,$Q15)),INDEX(Dataset2_Raw!$G$2:$G$611,$Q15),"")</f>
        <v>94</v>
      </c>
      <c r="Q15" s="23">
        <f>IFERROR(MATCH($A15,Dataset2_Raw!$A$2:$A$611,0),0)</f>
        <v>14</v>
      </c>
    </row>
    <row r="16" spans="1:19" x14ac:dyDescent="0.35">
      <c r="A16" s="23">
        <f>Dataset1_Raw!A16</f>
        <v>15</v>
      </c>
      <c r="B16" s="24">
        <f>Dataset1_Raw!B16</f>
        <v>40544</v>
      </c>
      <c r="C16" s="23">
        <f>Dataset1_Raw!C16</f>
        <v>1</v>
      </c>
      <c r="D16" s="23">
        <f>Dataset1_Raw!D16</f>
        <v>0</v>
      </c>
      <c r="E16" s="23">
        <f>Dataset1_Raw!E16</f>
        <v>1</v>
      </c>
      <c r="F16" s="23">
        <f>Dataset1_Raw!F16</f>
        <v>14</v>
      </c>
      <c r="G16" s="23" t="b">
        <f>Dataset1_Raw!G16</f>
        <v>0</v>
      </c>
      <c r="H16" s="23">
        <f>Dataset1_Raw!H16</f>
        <v>6</v>
      </c>
      <c r="I16" s="23">
        <f>Dataset1_Raw!I16</f>
        <v>2</v>
      </c>
      <c r="J16" s="25">
        <f>Dataset1_Raw!J16</f>
        <v>0.46</v>
      </c>
      <c r="K16" s="25">
        <f>IF(ISNUMBER(INDEX(Dataset2_Raw!$B$2:$B$611,$Q16)),INDEX(Dataset2_Raw!$B$2:$B$611,$Q16),"")</f>
        <v>0.45450000000000002</v>
      </c>
      <c r="L16" s="25">
        <f>IF(ISNUMBER(INDEX(Dataset2_Raw!$C$2:$C$611,$Q16)),INDEX(Dataset2_Raw!$C$2:$C$611,$Q16),"")</f>
        <v>0.72</v>
      </c>
      <c r="M16" s="25">
        <f>IF(ISNUMBER(INDEX(Dataset2_Raw!$D$2:$D$611,$Q16)),INDEX(Dataset2_Raw!$D$2:$D$611,$Q16),"")</f>
        <v>0.28360000000000002</v>
      </c>
      <c r="N16" s="23">
        <f>IF(ISNUMBER(INDEX(Dataset2_Raw!$E$2:$E$611,$Q16)),INDEX(Dataset2_Raw!$E$2:$E$611,$Q16),"")</f>
        <v>35</v>
      </c>
      <c r="O16" s="23">
        <f>IF(ISNUMBER(INDEX(Dataset2_Raw!$F$2:$F$611,$Q16)),INDEX(Dataset2_Raw!$F$2:$F$611,$Q16),"")</f>
        <v>71</v>
      </c>
      <c r="P16" s="23">
        <f>IF(ISNUMBER(INDEX(Dataset2_Raw!$G$2:$G$611,$Q16)),INDEX(Dataset2_Raw!$G$2:$G$611,$Q16),"")</f>
        <v>106</v>
      </c>
      <c r="Q16" s="23">
        <f>IFERROR(MATCH($A16,Dataset2_Raw!$A$2:$A$611,0),0)</f>
        <v>15</v>
      </c>
    </row>
    <row r="17" spans="1:17" x14ac:dyDescent="0.35">
      <c r="A17" s="23">
        <f>Dataset1_Raw!A17</f>
        <v>16</v>
      </c>
      <c r="B17" s="24">
        <f>Dataset1_Raw!B17</f>
        <v>40544</v>
      </c>
      <c r="C17" s="23">
        <f>Dataset1_Raw!C17</f>
        <v>1</v>
      </c>
      <c r="D17" s="23">
        <f>Dataset1_Raw!D17</f>
        <v>0</v>
      </c>
      <c r="E17" s="23">
        <f>Dataset1_Raw!E17</f>
        <v>1</v>
      </c>
      <c r="F17" s="23">
        <f>Dataset1_Raw!F17</f>
        <v>15</v>
      </c>
      <c r="G17" s="23" t="b">
        <f>Dataset1_Raw!G17</f>
        <v>0</v>
      </c>
      <c r="H17" s="23">
        <f>Dataset1_Raw!H17</f>
        <v>6</v>
      </c>
      <c r="I17" s="23">
        <f>Dataset1_Raw!I17</f>
        <v>2</v>
      </c>
      <c r="J17" s="25">
        <f>Dataset1_Raw!J17</f>
        <v>0.44</v>
      </c>
      <c r="K17" s="25">
        <f>IF(ISNUMBER(INDEX(Dataset2_Raw!$B$2:$B$611,$Q17)),INDEX(Dataset2_Raw!$B$2:$B$611,$Q17),"")</f>
        <v>0.43940000000000001</v>
      </c>
      <c r="L17" s="25">
        <f>IF(ISNUMBER(INDEX(Dataset2_Raw!$C$2:$C$611,$Q17)),INDEX(Dataset2_Raw!$C$2:$C$611,$Q17),"")</f>
        <v>0.77</v>
      </c>
      <c r="M17" s="25">
        <f>IF(ISNUMBER(INDEX(Dataset2_Raw!$D$2:$D$611,$Q17)),INDEX(Dataset2_Raw!$D$2:$D$611,$Q17),"")</f>
        <v>0.29849999999999999</v>
      </c>
      <c r="N17" s="23">
        <f>IF(ISNUMBER(INDEX(Dataset2_Raw!$E$2:$E$611,$Q17)),INDEX(Dataset2_Raw!$E$2:$E$611,$Q17),"")</f>
        <v>40</v>
      </c>
      <c r="O17" s="23">
        <f>IF(ISNUMBER(INDEX(Dataset2_Raw!$F$2:$F$611,$Q17)),INDEX(Dataset2_Raw!$F$2:$F$611,$Q17),"")</f>
        <v>70</v>
      </c>
      <c r="P17" s="23">
        <f>IF(ISNUMBER(INDEX(Dataset2_Raw!$G$2:$G$611,$Q17)),INDEX(Dataset2_Raw!$G$2:$G$611,$Q17),"")</f>
        <v>110</v>
      </c>
      <c r="Q17" s="23">
        <f>IFERROR(MATCH($A17,Dataset2_Raw!$A$2:$A$611,0),0)</f>
        <v>16</v>
      </c>
    </row>
    <row r="18" spans="1:17" x14ac:dyDescent="0.35">
      <c r="A18" s="23">
        <f>Dataset1_Raw!A18</f>
        <v>17</v>
      </c>
      <c r="B18" s="24">
        <f>Dataset1_Raw!B18</f>
        <v>40544</v>
      </c>
      <c r="C18" s="23">
        <f>Dataset1_Raw!C18</f>
        <v>1</v>
      </c>
      <c r="D18" s="23">
        <f>Dataset1_Raw!D18</f>
        <v>0</v>
      </c>
      <c r="E18" s="23">
        <f>Dataset1_Raw!E18</f>
        <v>1</v>
      </c>
      <c r="F18" s="23">
        <f>Dataset1_Raw!F18</f>
        <v>16</v>
      </c>
      <c r="G18" s="23" t="b">
        <f>Dataset1_Raw!G18</f>
        <v>0</v>
      </c>
      <c r="H18" s="23">
        <f>Dataset1_Raw!H18</f>
        <v>6</v>
      </c>
      <c r="I18" s="23">
        <f>Dataset1_Raw!I18</f>
        <v>2</v>
      </c>
      <c r="J18" s="25">
        <f>Dataset1_Raw!J18</f>
        <v>0.42</v>
      </c>
      <c r="K18" s="25">
        <f>IF(ISNUMBER(INDEX(Dataset2_Raw!$B$2:$B$611,$Q18)),INDEX(Dataset2_Raw!$B$2:$B$611,$Q18),"")</f>
        <v>0.42420000000000002</v>
      </c>
      <c r="L18" s="25">
        <f>IF(ISNUMBER(INDEX(Dataset2_Raw!$C$2:$C$611,$Q18)),INDEX(Dataset2_Raw!$C$2:$C$611,$Q18),"")</f>
        <v>0.82</v>
      </c>
      <c r="M18" s="25">
        <f>IF(ISNUMBER(INDEX(Dataset2_Raw!$D$2:$D$611,$Q18)),INDEX(Dataset2_Raw!$D$2:$D$611,$Q18),"")</f>
        <v>0.29849999999999999</v>
      </c>
      <c r="N18" s="23">
        <f>IF(ISNUMBER(INDEX(Dataset2_Raw!$E$2:$E$611,$Q18)),INDEX(Dataset2_Raw!$E$2:$E$611,$Q18),"")</f>
        <v>41</v>
      </c>
      <c r="O18" s="23">
        <f>IF(ISNUMBER(INDEX(Dataset2_Raw!$F$2:$F$611,$Q18)),INDEX(Dataset2_Raw!$F$2:$F$611,$Q18),"")</f>
        <v>52</v>
      </c>
      <c r="P18" s="23">
        <f>IF(ISNUMBER(INDEX(Dataset2_Raw!$G$2:$G$611,$Q18)),INDEX(Dataset2_Raw!$G$2:$G$611,$Q18),"")</f>
        <v>93</v>
      </c>
      <c r="Q18" s="23">
        <f>IFERROR(MATCH($A18,Dataset2_Raw!$A$2:$A$611,0),0)</f>
        <v>17</v>
      </c>
    </row>
    <row r="19" spans="1:17" x14ac:dyDescent="0.35">
      <c r="A19" s="23">
        <f>Dataset1_Raw!A19</f>
        <v>18</v>
      </c>
      <c r="B19" s="24">
        <f>Dataset1_Raw!B19</f>
        <v>40544</v>
      </c>
      <c r="C19" s="23">
        <f>Dataset1_Raw!C19</f>
        <v>1</v>
      </c>
      <c r="D19" s="23">
        <f>Dataset1_Raw!D19</f>
        <v>0</v>
      </c>
      <c r="E19" s="23">
        <f>Dataset1_Raw!E19</f>
        <v>1</v>
      </c>
      <c r="F19" s="23">
        <f>Dataset1_Raw!F19</f>
        <v>17</v>
      </c>
      <c r="G19" s="23" t="b">
        <f>Dataset1_Raw!G19</f>
        <v>0</v>
      </c>
      <c r="H19" s="23">
        <f>Dataset1_Raw!H19</f>
        <v>6</v>
      </c>
      <c r="I19" s="23">
        <f>Dataset1_Raw!I19</f>
        <v>2</v>
      </c>
      <c r="J19" s="25">
        <f>Dataset1_Raw!J19</f>
        <v>0.44</v>
      </c>
      <c r="K19" s="25" t="str">
        <f>IF(ISNUMBER(INDEX(Dataset2_Raw!$B$2:$B$611,$Q19)),INDEX(Dataset2_Raw!$B$2:$B$611,$Q19),"")</f>
        <v/>
      </c>
      <c r="L19" s="25">
        <f>IF(ISNUMBER(INDEX(Dataset2_Raw!$C$2:$C$611,$Q19)),INDEX(Dataset2_Raw!$C$2:$C$611,$Q19),"")</f>
        <v>0.82</v>
      </c>
      <c r="M19" s="25">
        <f>IF(ISNUMBER(INDEX(Dataset2_Raw!$D$2:$D$611,$Q19)),INDEX(Dataset2_Raw!$D$2:$D$611,$Q19),"")</f>
        <v>0.28360000000000002</v>
      </c>
      <c r="N19" s="23">
        <f>IF(ISNUMBER(INDEX(Dataset2_Raw!$E$2:$E$611,$Q19)),INDEX(Dataset2_Raw!$E$2:$E$611,$Q19),"")</f>
        <v>15</v>
      </c>
      <c r="O19" s="23">
        <f>IF(ISNUMBER(INDEX(Dataset2_Raw!$F$2:$F$611,$Q19)),INDEX(Dataset2_Raw!$F$2:$F$611,$Q19),"")</f>
        <v>52</v>
      </c>
      <c r="P19" s="23">
        <f>IF(ISNUMBER(INDEX(Dataset2_Raw!$G$2:$G$611,$Q19)),INDEX(Dataset2_Raw!$G$2:$G$611,$Q19),"")</f>
        <v>67</v>
      </c>
      <c r="Q19" s="23">
        <f>IFERROR(MATCH($A19,Dataset2_Raw!$A$2:$A$611,0),0)</f>
        <v>18</v>
      </c>
    </row>
    <row r="20" spans="1:17" x14ac:dyDescent="0.35">
      <c r="A20" s="23">
        <f>Dataset1_Raw!A20</f>
        <v>19</v>
      </c>
      <c r="B20" s="24">
        <f>Dataset1_Raw!B20</f>
        <v>40544</v>
      </c>
      <c r="C20" s="23">
        <f>Dataset1_Raw!C20</f>
        <v>1</v>
      </c>
      <c r="D20" s="23">
        <f>Dataset1_Raw!D20</f>
        <v>0</v>
      </c>
      <c r="E20" s="23">
        <f>Dataset1_Raw!E20</f>
        <v>1</v>
      </c>
      <c r="F20" s="23">
        <f>Dataset1_Raw!F20</f>
        <v>18</v>
      </c>
      <c r="G20" s="23" t="b">
        <f>Dataset1_Raw!G20</f>
        <v>0</v>
      </c>
      <c r="H20" s="23">
        <f>Dataset1_Raw!H20</f>
        <v>6</v>
      </c>
      <c r="I20" s="23">
        <f>Dataset1_Raw!I20</f>
        <v>3</v>
      </c>
      <c r="J20" s="25">
        <f>Dataset1_Raw!J20</f>
        <v>0.42</v>
      </c>
      <c r="K20" s="25">
        <f>IF(ISNUMBER(INDEX(Dataset2_Raw!$B$2:$B$611,$Q20)),INDEX(Dataset2_Raw!$B$2:$B$611,$Q20),"")</f>
        <v>0.42420000000000002</v>
      </c>
      <c r="L20" s="25">
        <f>IF(ISNUMBER(INDEX(Dataset2_Raw!$C$2:$C$611,$Q20)),INDEX(Dataset2_Raw!$C$2:$C$611,$Q20),"")</f>
        <v>0.88</v>
      </c>
      <c r="M20" s="25">
        <f>IF(ISNUMBER(INDEX(Dataset2_Raw!$D$2:$D$611,$Q20)),INDEX(Dataset2_Raw!$D$2:$D$611,$Q20),"")</f>
        <v>0.25369999999999998</v>
      </c>
      <c r="N20" s="23">
        <f>IF(ISNUMBER(INDEX(Dataset2_Raw!$E$2:$E$611,$Q20)),INDEX(Dataset2_Raw!$E$2:$E$611,$Q20),"")</f>
        <v>9</v>
      </c>
      <c r="O20" s="23">
        <f>IF(ISNUMBER(INDEX(Dataset2_Raw!$F$2:$F$611,$Q20)),INDEX(Dataset2_Raw!$F$2:$F$611,$Q20),"")</f>
        <v>26</v>
      </c>
      <c r="P20" s="23">
        <f>IF(ISNUMBER(INDEX(Dataset2_Raw!$G$2:$G$611,$Q20)),INDEX(Dataset2_Raw!$G$2:$G$611,$Q20),"")</f>
        <v>35</v>
      </c>
      <c r="Q20" s="23">
        <f>IFERROR(MATCH($A20,Dataset2_Raw!$A$2:$A$611,0),0)</f>
        <v>19</v>
      </c>
    </row>
    <row r="21" spans="1:17" x14ac:dyDescent="0.35">
      <c r="A21" s="23">
        <f>Dataset1_Raw!A21</f>
        <v>20</v>
      </c>
      <c r="B21" s="24">
        <f>Dataset1_Raw!B21</f>
        <v>40544</v>
      </c>
      <c r="C21" s="23">
        <f>Dataset1_Raw!C21</f>
        <v>1</v>
      </c>
      <c r="D21" s="23">
        <f>Dataset1_Raw!D21</f>
        <v>0</v>
      </c>
      <c r="E21" s="23">
        <f>Dataset1_Raw!E21</f>
        <v>1</v>
      </c>
      <c r="F21" s="23">
        <f>Dataset1_Raw!F21</f>
        <v>19</v>
      </c>
      <c r="G21" s="23" t="b">
        <f>Dataset1_Raw!G21</f>
        <v>0</v>
      </c>
      <c r="H21" s="23">
        <f>Dataset1_Raw!H21</f>
        <v>6</v>
      </c>
      <c r="I21" s="23">
        <f>Dataset1_Raw!I21</f>
        <v>3</v>
      </c>
      <c r="J21" s="25">
        <f>Dataset1_Raw!J21</f>
        <v>0.42</v>
      </c>
      <c r="K21" s="25">
        <f>IF(ISNUMBER(INDEX(Dataset2_Raw!$B$2:$B$611,$Q21)),INDEX(Dataset2_Raw!$B$2:$B$611,$Q21),"")</f>
        <v>0.42420000000000002</v>
      </c>
      <c r="L21" s="25">
        <f>IF(ISNUMBER(INDEX(Dataset2_Raw!$C$2:$C$611,$Q21)),INDEX(Dataset2_Raw!$C$2:$C$611,$Q21),"")</f>
        <v>0.88</v>
      </c>
      <c r="M21" s="25">
        <f>IF(ISNUMBER(INDEX(Dataset2_Raw!$D$2:$D$611,$Q21)),INDEX(Dataset2_Raw!$D$2:$D$611,$Q21),"")</f>
        <v>0.25369999999999998</v>
      </c>
      <c r="N21" s="23">
        <f>IF(ISNUMBER(INDEX(Dataset2_Raw!$E$2:$E$611,$Q21)),INDEX(Dataset2_Raw!$E$2:$E$611,$Q21),"")</f>
        <v>6</v>
      </c>
      <c r="O21" s="23">
        <f>IF(ISNUMBER(INDEX(Dataset2_Raw!$F$2:$F$611,$Q21)),INDEX(Dataset2_Raw!$F$2:$F$611,$Q21),"")</f>
        <v>31</v>
      </c>
      <c r="P21" s="23">
        <f>IF(ISNUMBER(INDEX(Dataset2_Raw!$G$2:$G$611,$Q21)),INDEX(Dataset2_Raw!$G$2:$G$611,$Q21),"")</f>
        <v>37</v>
      </c>
      <c r="Q21" s="23">
        <f>IFERROR(MATCH($A21,Dataset2_Raw!$A$2:$A$611,0),0)</f>
        <v>20</v>
      </c>
    </row>
    <row r="22" spans="1:17" x14ac:dyDescent="0.35">
      <c r="A22" s="23">
        <f>Dataset1_Raw!A22</f>
        <v>21</v>
      </c>
      <c r="B22" s="24">
        <f>Dataset1_Raw!B22</f>
        <v>40544</v>
      </c>
      <c r="C22" s="23">
        <f>Dataset1_Raw!C22</f>
        <v>1</v>
      </c>
      <c r="D22" s="23">
        <f>Dataset1_Raw!D22</f>
        <v>0</v>
      </c>
      <c r="E22" s="23">
        <f>Dataset1_Raw!E22</f>
        <v>1</v>
      </c>
      <c r="F22" s="23">
        <f>Dataset1_Raw!F22</f>
        <v>20</v>
      </c>
      <c r="G22" s="23" t="b">
        <f>Dataset1_Raw!G22</f>
        <v>0</v>
      </c>
      <c r="H22" s="23">
        <f>Dataset1_Raw!H22</f>
        <v>6</v>
      </c>
      <c r="I22" s="23">
        <f>Dataset1_Raw!I22</f>
        <v>2</v>
      </c>
      <c r="J22" s="25">
        <f>Dataset1_Raw!J22</f>
        <v>0.4</v>
      </c>
      <c r="K22" s="25">
        <f>IF(ISNUMBER(INDEX(Dataset2_Raw!$B$2:$B$611,$Q22)),INDEX(Dataset2_Raw!$B$2:$B$611,$Q22),"")</f>
        <v>0.40910000000000002</v>
      </c>
      <c r="L22" s="25">
        <f>IF(ISNUMBER(INDEX(Dataset2_Raw!$C$2:$C$611,$Q22)),INDEX(Dataset2_Raw!$C$2:$C$611,$Q22),"")</f>
        <v>0.87</v>
      </c>
      <c r="M22" s="25">
        <f>IF(ISNUMBER(INDEX(Dataset2_Raw!$D$2:$D$611,$Q22)),INDEX(Dataset2_Raw!$D$2:$D$611,$Q22),"")</f>
        <v>0.25369999999999998</v>
      </c>
      <c r="N22" s="23">
        <f>IF(ISNUMBER(INDEX(Dataset2_Raw!$E$2:$E$611,$Q22)),INDEX(Dataset2_Raw!$E$2:$E$611,$Q22),"")</f>
        <v>11</v>
      </c>
      <c r="O22" s="23">
        <f>IF(ISNUMBER(INDEX(Dataset2_Raw!$F$2:$F$611,$Q22)),INDEX(Dataset2_Raw!$F$2:$F$611,$Q22),"")</f>
        <v>25</v>
      </c>
      <c r="P22" s="23">
        <f>IF(ISNUMBER(INDEX(Dataset2_Raw!$G$2:$G$611,$Q22)),INDEX(Dataset2_Raw!$G$2:$G$611,$Q22),"")</f>
        <v>36</v>
      </c>
      <c r="Q22" s="23">
        <f>IFERROR(MATCH($A22,Dataset2_Raw!$A$2:$A$611,0),0)</f>
        <v>21</v>
      </c>
    </row>
    <row r="23" spans="1:17" x14ac:dyDescent="0.35">
      <c r="A23" s="23">
        <f>Dataset1_Raw!A23</f>
        <v>22</v>
      </c>
      <c r="B23" s="24">
        <f>Dataset1_Raw!B23</f>
        <v>40544</v>
      </c>
      <c r="C23" s="23">
        <f>Dataset1_Raw!C23</f>
        <v>1</v>
      </c>
      <c r="D23" s="23">
        <f>Dataset1_Raw!D23</f>
        <v>0</v>
      </c>
      <c r="E23" s="23">
        <f>Dataset1_Raw!E23</f>
        <v>1</v>
      </c>
      <c r="F23" s="23">
        <f>Dataset1_Raw!F23</f>
        <v>21</v>
      </c>
      <c r="G23" s="23" t="b">
        <f>Dataset1_Raw!G23</f>
        <v>0</v>
      </c>
      <c r="H23" s="23">
        <f>Dataset1_Raw!H23</f>
        <v>6</v>
      </c>
      <c r="I23" s="23">
        <f>Dataset1_Raw!I23</f>
        <v>2</v>
      </c>
      <c r="J23" s="25">
        <f>Dataset1_Raw!J23</f>
        <v>0.4</v>
      </c>
      <c r="K23" s="25">
        <f>IF(ISNUMBER(INDEX(Dataset2_Raw!$B$2:$B$611,$Q23)),INDEX(Dataset2_Raw!$B$2:$B$611,$Q23),"")</f>
        <v>0.40910000000000002</v>
      </c>
      <c r="L23" s="25">
        <f>IF(ISNUMBER(INDEX(Dataset2_Raw!$C$2:$C$611,$Q23)),INDEX(Dataset2_Raw!$C$2:$C$611,$Q23),"")</f>
        <v>0.87</v>
      </c>
      <c r="M23" s="25">
        <f>IF(ISNUMBER(INDEX(Dataset2_Raw!$D$2:$D$611,$Q23)),INDEX(Dataset2_Raw!$D$2:$D$611,$Q23),"")</f>
        <v>0.19400000000000001</v>
      </c>
      <c r="N23" s="23">
        <f>IF(ISNUMBER(INDEX(Dataset2_Raw!$E$2:$E$611,$Q23)),INDEX(Dataset2_Raw!$E$2:$E$611,$Q23),"")</f>
        <v>3</v>
      </c>
      <c r="O23" s="23">
        <f>IF(ISNUMBER(INDEX(Dataset2_Raw!$F$2:$F$611,$Q23)),INDEX(Dataset2_Raw!$F$2:$F$611,$Q23),"")</f>
        <v>31</v>
      </c>
      <c r="P23" s="23">
        <f>IF(ISNUMBER(INDEX(Dataset2_Raw!$G$2:$G$611,$Q23)),INDEX(Dataset2_Raw!$G$2:$G$611,$Q23),"")</f>
        <v>34</v>
      </c>
      <c r="Q23" s="23">
        <f>IFERROR(MATCH($A23,Dataset2_Raw!$A$2:$A$611,0),0)</f>
        <v>22</v>
      </c>
    </row>
    <row r="24" spans="1:17" x14ac:dyDescent="0.35">
      <c r="A24" s="23">
        <f>Dataset1_Raw!A24</f>
        <v>23</v>
      </c>
      <c r="B24" s="24">
        <f>Dataset1_Raw!B24</f>
        <v>40544</v>
      </c>
      <c r="C24" s="23">
        <f>Dataset1_Raw!C24</f>
        <v>1</v>
      </c>
      <c r="D24" s="23">
        <f>Dataset1_Raw!D24</f>
        <v>0</v>
      </c>
      <c r="E24" s="23">
        <f>Dataset1_Raw!E24</f>
        <v>1</v>
      </c>
      <c r="F24" s="23">
        <f>Dataset1_Raw!F24</f>
        <v>22</v>
      </c>
      <c r="G24" s="23" t="b">
        <f>Dataset1_Raw!G24</f>
        <v>0</v>
      </c>
      <c r="H24" s="23">
        <f>Dataset1_Raw!H24</f>
        <v>6</v>
      </c>
      <c r="I24" s="23">
        <f>Dataset1_Raw!I24</f>
        <v>2</v>
      </c>
      <c r="J24" s="25">
        <f>Dataset1_Raw!J24</f>
        <v>0.4</v>
      </c>
      <c r="K24" s="25">
        <f>IF(ISNUMBER(INDEX(Dataset2_Raw!$B$2:$B$611,$Q24)),INDEX(Dataset2_Raw!$B$2:$B$611,$Q24),"")</f>
        <v>0.40910000000000002</v>
      </c>
      <c r="L24" s="25">
        <f>IF(ISNUMBER(INDEX(Dataset2_Raw!$C$2:$C$611,$Q24)),INDEX(Dataset2_Raw!$C$2:$C$611,$Q24),"")</f>
        <v>0.94</v>
      </c>
      <c r="M24" s="25">
        <f>IF(ISNUMBER(INDEX(Dataset2_Raw!$D$2:$D$611,$Q24)),INDEX(Dataset2_Raw!$D$2:$D$611,$Q24),"")</f>
        <v>0.22389999999999999</v>
      </c>
      <c r="N24" s="23">
        <f>IF(ISNUMBER(INDEX(Dataset2_Raw!$E$2:$E$611,$Q24)),INDEX(Dataset2_Raw!$E$2:$E$611,$Q24),"")</f>
        <v>11</v>
      </c>
      <c r="O24" s="23">
        <f>IF(ISNUMBER(INDEX(Dataset2_Raw!$F$2:$F$611,$Q24)),INDEX(Dataset2_Raw!$F$2:$F$611,$Q24),"")</f>
        <v>17</v>
      </c>
      <c r="P24" s="23">
        <f>IF(ISNUMBER(INDEX(Dataset2_Raw!$G$2:$G$611,$Q24)),INDEX(Dataset2_Raw!$G$2:$G$611,$Q24),"")</f>
        <v>28</v>
      </c>
      <c r="Q24" s="23">
        <f>IFERROR(MATCH($A24,Dataset2_Raw!$A$2:$A$611,0),0)</f>
        <v>23</v>
      </c>
    </row>
    <row r="25" spans="1:17" x14ac:dyDescent="0.35">
      <c r="A25" s="23">
        <f>Dataset1_Raw!A25</f>
        <v>24</v>
      </c>
      <c r="B25" s="24">
        <f>Dataset1_Raw!B25</f>
        <v>40544</v>
      </c>
      <c r="C25" s="23">
        <f>Dataset1_Raw!C25</f>
        <v>1</v>
      </c>
      <c r="D25" s="23">
        <f>Dataset1_Raw!D25</f>
        <v>0</v>
      </c>
      <c r="E25" s="23">
        <f>Dataset1_Raw!E25</f>
        <v>1</v>
      </c>
      <c r="F25" s="23">
        <f>Dataset1_Raw!F25</f>
        <v>23</v>
      </c>
      <c r="G25" s="23" t="b">
        <f>Dataset1_Raw!G25</f>
        <v>0</v>
      </c>
      <c r="H25" s="23">
        <f>Dataset1_Raw!H25</f>
        <v>6</v>
      </c>
      <c r="I25" s="23">
        <f>Dataset1_Raw!I25</f>
        <v>2</v>
      </c>
      <c r="J25" s="25">
        <f>Dataset1_Raw!J25</f>
        <v>0.46</v>
      </c>
      <c r="K25" s="25" t="str">
        <f>IF(ISNUMBER(INDEX(Dataset2_Raw!$B$2:$B$611,$Q25)),INDEX(Dataset2_Raw!$B$2:$B$611,$Q25),"")</f>
        <v/>
      </c>
      <c r="L25" s="25">
        <f>IF(ISNUMBER(INDEX(Dataset2_Raw!$C$2:$C$611,$Q25)),INDEX(Dataset2_Raw!$C$2:$C$611,$Q25),"")</f>
        <v>0.88</v>
      </c>
      <c r="M25" s="25">
        <f>IF(ISNUMBER(INDEX(Dataset2_Raw!$D$2:$D$611,$Q25)),INDEX(Dataset2_Raw!$D$2:$D$611,$Q25),"")</f>
        <v>0.29849999999999999</v>
      </c>
      <c r="N25" s="23">
        <f>IF(ISNUMBER(INDEX(Dataset2_Raw!$E$2:$E$611,$Q25)),INDEX(Dataset2_Raw!$E$2:$E$611,$Q25),"")</f>
        <v>15</v>
      </c>
      <c r="O25" s="23">
        <f>IF(ISNUMBER(INDEX(Dataset2_Raw!$F$2:$F$611,$Q25)),INDEX(Dataset2_Raw!$F$2:$F$611,$Q25),"")</f>
        <v>24</v>
      </c>
      <c r="P25" s="23">
        <f>IF(ISNUMBER(INDEX(Dataset2_Raw!$G$2:$G$611,$Q25)),INDEX(Dataset2_Raw!$G$2:$G$611,$Q25),"")</f>
        <v>39</v>
      </c>
      <c r="Q25" s="23">
        <f>IFERROR(MATCH($A25,Dataset2_Raw!$A$2:$A$611,0),0)</f>
        <v>24</v>
      </c>
    </row>
    <row r="26" spans="1:17" x14ac:dyDescent="0.35">
      <c r="A26" s="23">
        <f>Dataset1_Raw!A26</f>
        <v>25</v>
      </c>
      <c r="B26" s="24">
        <f>Dataset1_Raw!B26</f>
        <v>40545</v>
      </c>
      <c r="C26" s="23">
        <f>Dataset1_Raw!C26</f>
        <v>1</v>
      </c>
      <c r="D26" s="23">
        <f>Dataset1_Raw!D26</f>
        <v>0</v>
      </c>
      <c r="E26" s="23">
        <f>Dataset1_Raw!E26</f>
        <v>1</v>
      </c>
      <c r="F26" s="23">
        <f>Dataset1_Raw!F26</f>
        <v>0</v>
      </c>
      <c r="G26" s="23" t="b">
        <f>Dataset1_Raw!G26</f>
        <v>0</v>
      </c>
      <c r="H26" s="23">
        <f>Dataset1_Raw!H26</f>
        <v>0</v>
      </c>
      <c r="I26" s="23">
        <f>Dataset1_Raw!I26</f>
        <v>2</v>
      </c>
      <c r="J26" s="25">
        <f>Dataset1_Raw!J26</f>
        <v>0.46</v>
      </c>
      <c r="K26" s="25">
        <f>IF(ISNUMBER(INDEX(Dataset2_Raw!$B$2:$B$611,$Q26)),INDEX(Dataset2_Raw!$B$2:$B$611,$Q26),"")</f>
        <v>0.45450000000000002</v>
      </c>
      <c r="L26" s="25">
        <f>IF(ISNUMBER(INDEX(Dataset2_Raw!$C$2:$C$611,$Q26)),INDEX(Dataset2_Raw!$C$2:$C$611,$Q26),"")</f>
        <v>0.88</v>
      </c>
      <c r="M26" s="25">
        <f>IF(ISNUMBER(INDEX(Dataset2_Raw!$D$2:$D$611,$Q26)),INDEX(Dataset2_Raw!$D$2:$D$611,$Q26),"")</f>
        <v>0.29849999999999999</v>
      </c>
      <c r="N26" s="23">
        <f>IF(ISNUMBER(INDEX(Dataset2_Raw!$E$2:$E$611,$Q26)),INDEX(Dataset2_Raw!$E$2:$E$611,$Q26),"")</f>
        <v>4</v>
      </c>
      <c r="O26" s="23">
        <f>IF(ISNUMBER(INDEX(Dataset2_Raw!$F$2:$F$611,$Q26)),INDEX(Dataset2_Raw!$F$2:$F$611,$Q26),"")</f>
        <v>13</v>
      </c>
      <c r="P26" s="23">
        <f>IF(ISNUMBER(INDEX(Dataset2_Raw!$G$2:$G$611,$Q26)),INDEX(Dataset2_Raw!$G$2:$G$611,$Q26),"")</f>
        <v>17</v>
      </c>
      <c r="Q26" s="23">
        <f>IFERROR(MATCH($A26,Dataset2_Raw!$A$2:$A$611,0),0)</f>
        <v>25</v>
      </c>
    </row>
    <row r="27" spans="1:17" x14ac:dyDescent="0.35">
      <c r="A27" s="23">
        <f>Dataset1_Raw!A27</f>
        <v>26</v>
      </c>
      <c r="B27" s="24">
        <f>Dataset1_Raw!B27</f>
        <v>40545</v>
      </c>
      <c r="C27" s="23">
        <f>Dataset1_Raw!C27</f>
        <v>1</v>
      </c>
      <c r="D27" s="23">
        <f>Dataset1_Raw!D27</f>
        <v>0</v>
      </c>
      <c r="E27" s="23">
        <f>Dataset1_Raw!E27</f>
        <v>1</v>
      </c>
      <c r="F27" s="23">
        <f>Dataset1_Raw!F27</f>
        <v>1</v>
      </c>
      <c r="G27" s="23" t="b">
        <f>Dataset1_Raw!G27</f>
        <v>0</v>
      </c>
      <c r="H27" s="23">
        <f>Dataset1_Raw!H27</f>
        <v>0</v>
      </c>
      <c r="I27" s="23">
        <f>Dataset1_Raw!I27</f>
        <v>2</v>
      </c>
      <c r="J27" s="25">
        <f>Dataset1_Raw!J27</f>
        <v>0.44</v>
      </c>
      <c r="K27" s="25">
        <f>IF(ISNUMBER(INDEX(Dataset2_Raw!$B$2:$B$611,$Q27)),INDEX(Dataset2_Raw!$B$2:$B$611,$Q27),"")</f>
        <v>0.43940000000000001</v>
      </c>
      <c r="L27" s="25">
        <f>IF(ISNUMBER(INDEX(Dataset2_Raw!$C$2:$C$611,$Q27)),INDEX(Dataset2_Raw!$C$2:$C$611,$Q27),"")</f>
        <v>0.94</v>
      </c>
      <c r="M27" s="25">
        <f>IF(ISNUMBER(INDEX(Dataset2_Raw!$D$2:$D$611,$Q27)),INDEX(Dataset2_Raw!$D$2:$D$611,$Q27),"")</f>
        <v>0.25369999999999998</v>
      </c>
      <c r="N27" s="23">
        <f>IF(ISNUMBER(INDEX(Dataset2_Raw!$E$2:$E$611,$Q27)),INDEX(Dataset2_Raw!$E$2:$E$611,$Q27),"")</f>
        <v>1</v>
      </c>
      <c r="O27" s="23">
        <f>IF(ISNUMBER(INDEX(Dataset2_Raw!$F$2:$F$611,$Q27)),INDEX(Dataset2_Raw!$F$2:$F$611,$Q27),"")</f>
        <v>16</v>
      </c>
      <c r="P27" s="23">
        <f>IF(ISNUMBER(INDEX(Dataset2_Raw!$G$2:$G$611,$Q27)),INDEX(Dataset2_Raw!$G$2:$G$611,$Q27),"")</f>
        <v>17</v>
      </c>
      <c r="Q27" s="23">
        <f>IFERROR(MATCH($A27,Dataset2_Raw!$A$2:$A$611,0),0)</f>
        <v>26</v>
      </c>
    </row>
    <row r="28" spans="1:17" x14ac:dyDescent="0.35">
      <c r="A28" s="23">
        <f>Dataset1_Raw!A28</f>
        <v>27</v>
      </c>
      <c r="B28" s="24">
        <f>Dataset1_Raw!B28</f>
        <v>40545</v>
      </c>
      <c r="C28" s="23">
        <f>Dataset1_Raw!C28</f>
        <v>1</v>
      </c>
      <c r="D28" s="23">
        <f>Dataset1_Raw!D28</f>
        <v>0</v>
      </c>
      <c r="E28" s="23">
        <f>Dataset1_Raw!E28</f>
        <v>1</v>
      </c>
      <c r="F28" s="23">
        <f>Dataset1_Raw!F28</f>
        <v>2</v>
      </c>
      <c r="G28" s="23" t="b">
        <f>Dataset1_Raw!G28</f>
        <v>0</v>
      </c>
      <c r="H28" s="23">
        <f>Dataset1_Raw!H28</f>
        <v>0</v>
      </c>
      <c r="I28" s="23">
        <f>Dataset1_Raw!I28</f>
        <v>2</v>
      </c>
      <c r="J28" s="25">
        <f>Dataset1_Raw!J28</f>
        <v>0.42</v>
      </c>
      <c r="K28" s="25">
        <f>IF(ISNUMBER(INDEX(Dataset2_Raw!$B$2:$B$611,$Q28)),INDEX(Dataset2_Raw!$B$2:$B$611,$Q28),"")</f>
        <v>0.42420000000000002</v>
      </c>
      <c r="L28" s="25">
        <f>IF(ISNUMBER(INDEX(Dataset2_Raw!$C$2:$C$611,$Q28)),INDEX(Dataset2_Raw!$C$2:$C$611,$Q28),"")</f>
        <v>1</v>
      </c>
      <c r="M28" s="25">
        <f>IF(ISNUMBER(INDEX(Dataset2_Raw!$D$2:$D$611,$Q28)),INDEX(Dataset2_Raw!$D$2:$D$611,$Q28),"")</f>
        <v>0.28360000000000002</v>
      </c>
      <c r="N28" s="23">
        <f>IF(ISNUMBER(INDEX(Dataset2_Raw!$E$2:$E$611,$Q28)),INDEX(Dataset2_Raw!$E$2:$E$611,$Q28),"")</f>
        <v>1</v>
      </c>
      <c r="O28" s="23">
        <f>IF(ISNUMBER(INDEX(Dataset2_Raw!$F$2:$F$611,$Q28)),INDEX(Dataset2_Raw!$F$2:$F$611,$Q28),"")</f>
        <v>8</v>
      </c>
      <c r="P28" s="23">
        <f>IF(ISNUMBER(INDEX(Dataset2_Raw!$G$2:$G$611,$Q28)),INDEX(Dataset2_Raw!$G$2:$G$611,$Q28),"")</f>
        <v>9</v>
      </c>
      <c r="Q28" s="23">
        <f>IFERROR(MATCH($A28,Dataset2_Raw!$A$2:$A$611,0),0)</f>
        <v>27</v>
      </c>
    </row>
    <row r="29" spans="1:17" x14ac:dyDescent="0.35">
      <c r="A29" s="23">
        <f>Dataset1_Raw!A29</f>
        <v>28</v>
      </c>
      <c r="B29" s="24">
        <f>Dataset1_Raw!B29</f>
        <v>40545</v>
      </c>
      <c r="C29" s="23">
        <f>Dataset1_Raw!C29</f>
        <v>1</v>
      </c>
      <c r="D29" s="23">
        <f>Dataset1_Raw!D29</f>
        <v>0</v>
      </c>
      <c r="E29" s="23">
        <f>Dataset1_Raw!E29</f>
        <v>1</v>
      </c>
      <c r="F29" s="23">
        <f>Dataset1_Raw!F29</f>
        <v>3</v>
      </c>
      <c r="G29" s="23" t="b">
        <f>Dataset1_Raw!G29</f>
        <v>0</v>
      </c>
      <c r="H29" s="23">
        <f>Dataset1_Raw!H29</f>
        <v>0</v>
      </c>
      <c r="I29" s="23">
        <f>Dataset1_Raw!I29</f>
        <v>2</v>
      </c>
      <c r="J29" s="25">
        <f>Dataset1_Raw!J29</f>
        <v>0.46</v>
      </c>
      <c r="K29" s="25">
        <f>IF(ISNUMBER(INDEX(Dataset2_Raw!$B$2:$B$611,$Q29)),INDEX(Dataset2_Raw!$B$2:$B$611,$Q29),"")</f>
        <v>0.45450000000000002</v>
      </c>
      <c r="L29" s="25">
        <f>IF(ISNUMBER(INDEX(Dataset2_Raw!$C$2:$C$611,$Q29)),INDEX(Dataset2_Raw!$C$2:$C$611,$Q29),"")</f>
        <v>0.94</v>
      </c>
      <c r="M29" s="25">
        <f>IF(ISNUMBER(INDEX(Dataset2_Raw!$D$2:$D$611,$Q29)),INDEX(Dataset2_Raw!$D$2:$D$611,$Q29),"")</f>
        <v>0.19400000000000001</v>
      </c>
      <c r="N29" s="23">
        <f>IF(ISNUMBER(INDEX(Dataset2_Raw!$E$2:$E$611,$Q29)),INDEX(Dataset2_Raw!$E$2:$E$611,$Q29),"")</f>
        <v>2</v>
      </c>
      <c r="O29" s="23">
        <f>IF(ISNUMBER(INDEX(Dataset2_Raw!$F$2:$F$611,$Q29)),INDEX(Dataset2_Raw!$F$2:$F$611,$Q29),"")</f>
        <v>4</v>
      </c>
      <c r="P29" s="23">
        <f>IF(ISNUMBER(INDEX(Dataset2_Raw!$G$2:$G$611,$Q29)),INDEX(Dataset2_Raw!$G$2:$G$611,$Q29),"")</f>
        <v>6</v>
      </c>
      <c r="Q29" s="23">
        <f>IFERROR(MATCH($A29,Dataset2_Raw!$A$2:$A$611,0),0)</f>
        <v>28</v>
      </c>
    </row>
    <row r="30" spans="1:17" x14ac:dyDescent="0.35">
      <c r="A30" s="23">
        <f>Dataset1_Raw!A30</f>
        <v>29</v>
      </c>
      <c r="B30" s="24">
        <f>Dataset1_Raw!B30</f>
        <v>40545</v>
      </c>
      <c r="C30" s="23">
        <f>Dataset1_Raw!C30</f>
        <v>1</v>
      </c>
      <c r="D30" s="23">
        <f>Dataset1_Raw!D30</f>
        <v>0</v>
      </c>
      <c r="E30" s="23">
        <f>Dataset1_Raw!E30</f>
        <v>1</v>
      </c>
      <c r="F30" s="23">
        <f>Dataset1_Raw!F30</f>
        <v>4</v>
      </c>
      <c r="G30" s="23" t="b">
        <f>Dataset1_Raw!G30</f>
        <v>0</v>
      </c>
      <c r="H30" s="23">
        <f>Dataset1_Raw!H30</f>
        <v>0</v>
      </c>
      <c r="I30" s="23">
        <f>Dataset1_Raw!I30</f>
        <v>2</v>
      </c>
      <c r="J30" s="25">
        <f>Dataset1_Raw!J30</f>
        <v>0.46</v>
      </c>
      <c r="K30" s="25" t="str">
        <f>IF(ISNUMBER(INDEX(Dataset2_Raw!$B$2:$B$611,$Q30)),INDEX(Dataset2_Raw!$B$2:$B$611,$Q30),"")</f>
        <v/>
      </c>
      <c r="L30" s="25">
        <f>IF(ISNUMBER(INDEX(Dataset2_Raw!$C$2:$C$611,$Q30)),INDEX(Dataset2_Raw!$C$2:$C$611,$Q30),"")</f>
        <v>0.94</v>
      </c>
      <c r="M30" s="25">
        <f>IF(ISNUMBER(INDEX(Dataset2_Raw!$D$2:$D$611,$Q30)),INDEX(Dataset2_Raw!$D$2:$D$611,$Q30),"")</f>
        <v>0.19400000000000001</v>
      </c>
      <c r="N30" s="23">
        <f>IF(ISNUMBER(INDEX(Dataset2_Raw!$E$2:$E$611,$Q30)),INDEX(Dataset2_Raw!$E$2:$E$611,$Q30),"")</f>
        <v>2</v>
      </c>
      <c r="O30" s="23">
        <f>IF(ISNUMBER(INDEX(Dataset2_Raw!$F$2:$F$611,$Q30)),INDEX(Dataset2_Raw!$F$2:$F$611,$Q30),"")</f>
        <v>1</v>
      </c>
      <c r="P30" s="23">
        <f>IF(ISNUMBER(INDEX(Dataset2_Raw!$G$2:$G$611,$Q30)),INDEX(Dataset2_Raw!$G$2:$G$611,$Q30),"")</f>
        <v>3</v>
      </c>
      <c r="Q30" s="23">
        <f>IFERROR(MATCH($A30,Dataset2_Raw!$A$2:$A$611,0),0)</f>
        <v>29</v>
      </c>
    </row>
    <row r="31" spans="1:17" x14ac:dyDescent="0.35">
      <c r="A31" s="23">
        <f>Dataset1_Raw!A31</f>
        <v>30</v>
      </c>
      <c r="B31" s="24">
        <f>Dataset1_Raw!B31</f>
        <v>40545</v>
      </c>
      <c r="C31" s="23">
        <f>Dataset1_Raw!C31</f>
        <v>1</v>
      </c>
      <c r="D31" s="23">
        <f>Dataset1_Raw!D31</f>
        <v>0</v>
      </c>
      <c r="E31" s="23">
        <f>Dataset1_Raw!E31</f>
        <v>1</v>
      </c>
      <c r="F31" s="23">
        <f>Dataset1_Raw!F31</f>
        <v>6</v>
      </c>
      <c r="G31" s="23" t="b">
        <f>Dataset1_Raw!G31</f>
        <v>0</v>
      </c>
      <c r="H31" s="23">
        <f>Dataset1_Raw!H31</f>
        <v>0</v>
      </c>
      <c r="I31" s="23">
        <f>Dataset1_Raw!I31</f>
        <v>3</v>
      </c>
      <c r="J31" s="25">
        <f>Dataset1_Raw!J31</f>
        <v>0.42</v>
      </c>
      <c r="K31" s="25">
        <f>IF(ISNUMBER(INDEX(Dataset2_Raw!$B$2:$B$611,$Q31)),INDEX(Dataset2_Raw!$B$2:$B$611,$Q31),"")</f>
        <v>0.42420000000000002</v>
      </c>
      <c r="L31" s="25">
        <f>IF(ISNUMBER(INDEX(Dataset2_Raw!$C$2:$C$611,$Q31)),INDEX(Dataset2_Raw!$C$2:$C$611,$Q31),"")</f>
        <v>0.77</v>
      </c>
      <c r="M31" s="25">
        <f>IF(ISNUMBER(INDEX(Dataset2_Raw!$D$2:$D$611,$Q31)),INDEX(Dataset2_Raw!$D$2:$D$611,$Q31),"")</f>
        <v>0.29849999999999999</v>
      </c>
      <c r="N31" s="23">
        <f>IF(ISNUMBER(INDEX(Dataset2_Raw!$E$2:$E$611,$Q31)),INDEX(Dataset2_Raw!$E$2:$E$611,$Q31),"")</f>
        <v>0</v>
      </c>
      <c r="O31" s="23">
        <f>IF(ISNUMBER(INDEX(Dataset2_Raw!$F$2:$F$611,$Q31)),INDEX(Dataset2_Raw!$F$2:$F$611,$Q31),"")</f>
        <v>2</v>
      </c>
      <c r="P31" s="23">
        <f>IF(ISNUMBER(INDEX(Dataset2_Raw!$G$2:$G$611,$Q31)),INDEX(Dataset2_Raw!$G$2:$G$611,$Q31),"")</f>
        <v>2</v>
      </c>
      <c r="Q31" s="23">
        <f>IFERROR(MATCH($A31,Dataset2_Raw!$A$2:$A$611,0),0)</f>
        <v>30</v>
      </c>
    </row>
    <row r="32" spans="1:17" x14ac:dyDescent="0.35">
      <c r="A32" s="23">
        <f>Dataset1_Raw!A32</f>
        <v>31</v>
      </c>
      <c r="B32" s="24">
        <f>Dataset1_Raw!B32</f>
        <v>40545</v>
      </c>
      <c r="C32" s="23">
        <f>Dataset1_Raw!C32</f>
        <v>1</v>
      </c>
      <c r="D32" s="23">
        <f>Dataset1_Raw!D32</f>
        <v>0</v>
      </c>
      <c r="E32" s="23">
        <f>Dataset1_Raw!E32</f>
        <v>1</v>
      </c>
      <c r="F32" s="23">
        <f>Dataset1_Raw!F32</f>
        <v>7</v>
      </c>
      <c r="G32" s="23" t="b">
        <f>Dataset1_Raw!G32</f>
        <v>0</v>
      </c>
      <c r="H32" s="23">
        <f>Dataset1_Raw!H32</f>
        <v>0</v>
      </c>
      <c r="I32" s="23">
        <f>Dataset1_Raw!I32</f>
        <v>2</v>
      </c>
      <c r="J32" s="25">
        <f>Dataset1_Raw!J32</f>
        <v>0.4</v>
      </c>
      <c r="K32" s="25">
        <f>IF(ISNUMBER(INDEX(Dataset2_Raw!$B$2:$B$611,$Q32)),INDEX(Dataset2_Raw!$B$2:$B$611,$Q32),"")</f>
        <v>0.40910000000000002</v>
      </c>
      <c r="L32" s="25">
        <f>IF(ISNUMBER(INDEX(Dataset2_Raw!$C$2:$C$611,$Q32)),INDEX(Dataset2_Raw!$C$2:$C$611,$Q32),"")</f>
        <v>0.76</v>
      </c>
      <c r="M32" s="25">
        <f>IF(ISNUMBER(INDEX(Dataset2_Raw!$D$2:$D$611,$Q32)),INDEX(Dataset2_Raw!$D$2:$D$611,$Q32),"")</f>
        <v>0.19400000000000001</v>
      </c>
      <c r="N32" s="23">
        <f>IF(ISNUMBER(INDEX(Dataset2_Raw!$E$2:$E$611,$Q32)),INDEX(Dataset2_Raw!$E$2:$E$611,$Q32),"")</f>
        <v>0</v>
      </c>
      <c r="O32" s="23">
        <f>IF(ISNUMBER(INDEX(Dataset2_Raw!$F$2:$F$611,$Q32)),INDEX(Dataset2_Raw!$F$2:$F$611,$Q32),"")</f>
        <v>1</v>
      </c>
      <c r="P32" s="23">
        <f>IF(ISNUMBER(INDEX(Dataset2_Raw!$G$2:$G$611,$Q32)),INDEX(Dataset2_Raw!$G$2:$G$611,$Q32),"")</f>
        <v>1</v>
      </c>
      <c r="Q32" s="23">
        <f>IFERROR(MATCH($A32,Dataset2_Raw!$A$2:$A$611,0),0)</f>
        <v>31</v>
      </c>
    </row>
    <row r="33" spans="1:17" x14ac:dyDescent="0.35">
      <c r="A33" s="23">
        <f>Dataset1_Raw!A33</f>
        <v>32</v>
      </c>
      <c r="B33" s="24">
        <f>Dataset1_Raw!B33</f>
        <v>40545</v>
      </c>
      <c r="C33" s="23">
        <f>Dataset1_Raw!C33</f>
        <v>1</v>
      </c>
      <c r="D33" s="23">
        <f>Dataset1_Raw!D33</f>
        <v>0</v>
      </c>
      <c r="E33" s="23">
        <f>Dataset1_Raw!E33</f>
        <v>1</v>
      </c>
      <c r="F33" s="23">
        <f>Dataset1_Raw!F33</f>
        <v>8</v>
      </c>
      <c r="G33" s="23" t="b">
        <f>Dataset1_Raw!G33</f>
        <v>0</v>
      </c>
      <c r="H33" s="23">
        <f>Dataset1_Raw!H33</f>
        <v>0</v>
      </c>
      <c r="I33" s="23">
        <f>Dataset1_Raw!I33</f>
        <v>3</v>
      </c>
      <c r="J33" s="25">
        <f>Dataset1_Raw!J33</f>
        <v>0.4</v>
      </c>
      <c r="K33" s="25">
        <f>IF(ISNUMBER(INDEX(Dataset2_Raw!$B$2:$B$611,$Q33)),INDEX(Dataset2_Raw!$B$2:$B$611,$Q33),"")</f>
        <v>0.40910000000000002</v>
      </c>
      <c r="L33" s="25">
        <f>IF(ISNUMBER(INDEX(Dataset2_Raw!$C$2:$C$611,$Q33)),INDEX(Dataset2_Raw!$C$2:$C$611,$Q33),"")</f>
        <v>0.71</v>
      </c>
      <c r="M33" s="25">
        <f>IF(ISNUMBER(INDEX(Dataset2_Raw!$D$2:$D$611,$Q33)),INDEX(Dataset2_Raw!$D$2:$D$611,$Q33),"")</f>
        <v>0.22389999999999999</v>
      </c>
      <c r="N33" s="23">
        <f>IF(ISNUMBER(INDEX(Dataset2_Raw!$E$2:$E$611,$Q33)),INDEX(Dataset2_Raw!$E$2:$E$611,$Q33),"")</f>
        <v>0</v>
      </c>
      <c r="O33" s="23">
        <f>IF(ISNUMBER(INDEX(Dataset2_Raw!$F$2:$F$611,$Q33)),INDEX(Dataset2_Raw!$F$2:$F$611,$Q33),"")</f>
        <v>8</v>
      </c>
      <c r="P33" s="23">
        <f>IF(ISNUMBER(INDEX(Dataset2_Raw!$G$2:$G$611,$Q33)),INDEX(Dataset2_Raw!$G$2:$G$611,$Q33),"")</f>
        <v>8</v>
      </c>
      <c r="Q33" s="23">
        <f>IFERROR(MATCH($A33,Dataset2_Raw!$A$2:$A$611,0),0)</f>
        <v>32</v>
      </c>
    </row>
    <row r="34" spans="1:17" x14ac:dyDescent="0.35">
      <c r="A34" s="23">
        <f>Dataset1_Raw!A34</f>
        <v>33</v>
      </c>
      <c r="B34" s="24">
        <f>Dataset1_Raw!B34</f>
        <v>40545</v>
      </c>
      <c r="C34" s="23">
        <f>Dataset1_Raw!C34</f>
        <v>1</v>
      </c>
      <c r="D34" s="23">
        <f>Dataset1_Raw!D34</f>
        <v>0</v>
      </c>
      <c r="E34" s="23">
        <f>Dataset1_Raw!E34</f>
        <v>1</v>
      </c>
      <c r="F34" s="23">
        <f>Dataset1_Raw!F34</f>
        <v>9</v>
      </c>
      <c r="G34" s="23" t="b">
        <f>Dataset1_Raw!G34</f>
        <v>0</v>
      </c>
      <c r="H34" s="23">
        <f>Dataset1_Raw!H34</f>
        <v>0</v>
      </c>
      <c r="I34" s="23">
        <f>Dataset1_Raw!I34</f>
        <v>2</v>
      </c>
      <c r="J34" s="25">
        <f>Dataset1_Raw!J34</f>
        <v>0.38</v>
      </c>
      <c r="K34" s="25" t="str">
        <f>IF(ISNUMBER(INDEX(Dataset2_Raw!$B$2:$B$611,$Q34)),INDEX(Dataset2_Raw!$B$2:$B$611,$Q34),"")</f>
        <v/>
      </c>
      <c r="L34" s="25">
        <f>IF(ISNUMBER(INDEX(Dataset2_Raw!$C$2:$C$611,$Q34)),INDEX(Dataset2_Raw!$C$2:$C$611,$Q34),"")</f>
        <v>0.76</v>
      </c>
      <c r="M34" s="25">
        <f>IF(ISNUMBER(INDEX(Dataset2_Raw!$D$2:$D$611,$Q34)),INDEX(Dataset2_Raw!$D$2:$D$611,$Q34),"")</f>
        <v>0.22389999999999999</v>
      </c>
      <c r="N34" s="23">
        <f>IF(ISNUMBER(INDEX(Dataset2_Raw!$E$2:$E$611,$Q34)),INDEX(Dataset2_Raw!$E$2:$E$611,$Q34),"")</f>
        <v>1</v>
      </c>
      <c r="O34" s="23">
        <f>IF(ISNUMBER(INDEX(Dataset2_Raw!$F$2:$F$611,$Q34)),INDEX(Dataset2_Raw!$F$2:$F$611,$Q34),"")</f>
        <v>19</v>
      </c>
      <c r="P34" s="23">
        <f>IF(ISNUMBER(INDEX(Dataset2_Raw!$G$2:$G$611,$Q34)),INDEX(Dataset2_Raw!$G$2:$G$611,$Q34),"")</f>
        <v>20</v>
      </c>
      <c r="Q34" s="23">
        <f>IFERROR(MATCH($A34,Dataset2_Raw!$A$2:$A$611,0),0)</f>
        <v>33</v>
      </c>
    </row>
    <row r="35" spans="1:17" x14ac:dyDescent="0.35">
      <c r="A35" s="23">
        <f>Dataset1_Raw!A35</f>
        <v>34</v>
      </c>
      <c r="B35" s="24">
        <f>Dataset1_Raw!B35</f>
        <v>40545</v>
      </c>
      <c r="C35" s="23">
        <f>Dataset1_Raw!C35</f>
        <v>1</v>
      </c>
      <c r="D35" s="23">
        <f>Dataset1_Raw!D35</f>
        <v>0</v>
      </c>
      <c r="E35" s="23">
        <f>Dataset1_Raw!E35</f>
        <v>1</v>
      </c>
      <c r="F35" s="23">
        <f>Dataset1_Raw!F35</f>
        <v>10</v>
      </c>
      <c r="G35" s="23" t="b">
        <f>Dataset1_Raw!G35</f>
        <v>0</v>
      </c>
      <c r="H35" s="23">
        <f>Dataset1_Raw!H35</f>
        <v>0</v>
      </c>
      <c r="I35" s="23">
        <f>Dataset1_Raw!I35</f>
        <v>2</v>
      </c>
      <c r="J35" s="25">
        <f>Dataset1_Raw!J35</f>
        <v>0.36</v>
      </c>
      <c r="K35" s="25">
        <f>IF(ISNUMBER(INDEX(Dataset2_Raw!$B$2:$B$611,$Q35)),INDEX(Dataset2_Raw!$B$2:$B$611,$Q35),"")</f>
        <v>0.34849999999999998</v>
      </c>
      <c r="L35" s="25">
        <f>IF(ISNUMBER(INDEX(Dataset2_Raw!$C$2:$C$611,$Q35)),INDEX(Dataset2_Raw!$C$2:$C$611,$Q35),"")</f>
        <v>0.81</v>
      </c>
      <c r="M35" s="25">
        <f>IF(ISNUMBER(INDEX(Dataset2_Raw!$D$2:$D$611,$Q35)),INDEX(Dataset2_Raw!$D$2:$D$611,$Q35),"")</f>
        <v>0.22389999999999999</v>
      </c>
      <c r="N35" s="23">
        <f>IF(ISNUMBER(INDEX(Dataset2_Raw!$E$2:$E$611,$Q35)),INDEX(Dataset2_Raw!$E$2:$E$611,$Q35),"")</f>
        <v>7</v>
      </c>
      <c r="O35" s="23">
        <f>IF(ISNUMBER(INDEX(Dataset2_Raw!$F$2:$F$611,$Q35)),INDEX(Dataset2_Raw!$F$2:$F$611,$Q35),"")</f>
        <v>46</v>
      </c>
      <c r="P35" s="23">
        <f>IF(ISNUMBER(INDEX(Dataset2_Raw!$G$2:$G$611,$Q35)),INDEX(Dataset2_Raw!$G$2:$G$611,$Q35),"")</f>
        <v>53</v>
      </c>
      <c r="Q35" s="23">
        <f>IFERROR(MATCH($A35,Dataset2_Raw!$A$2:$A$611,0),0)</f>
        <v>34</v>
      </c>
    </row>
    <row r="36" spans="1:17" x14ac:dyDescent="0.35">
      <c r="A36" s="23">
        <f>Dataset1_Raw!A36</f>
        <v>35</v>
      </c>
      <c r="B36" s="24">
        <f>Dataset1_Raw!B36</f>
        <v>40545</v>
      </c>
      <c r="C36" s="23">
        <f>Dataset1_Raw!C36</f>
        <v>1</v>
      </c>
      <c r="D36" s="23">
        <f>Dataset1_Raw!D36</f>
        <v>0</v>
      </c>
      <c r="E36" s="23">
        <f>Dataset1_Raw!E36</f>
        <v>1</v>
      </c>
      <c r="F36" s="23">
        <f>Dataset1_Raw!F36</f>
        <v>11</v>
      </c>
      <c r="G36" s="23" t="b">
        <f>Dataset1_Raw!G36</f>
        <v>0</v>
      </c>
      <c r="H36" s="23">
        <f>Dataset1_Raw!H36</f>
        <v>0</v>
      </c>
      <c r="I36" s="23">
        <f>Dataset1_Raw!I36</f>
        <v>2</v>
      </c>
      <c r="J36" s="25">
        <f>Dataset1_Raw!J36</f>
        <v>0.36</v>
      </c>
      <c r="K36" s="25">
        <f>IF(ISNUMBER(INDEX(Dataset2_Raw!$B$2:$B$611,$Q36)),INDEX(Dataset2_Raw!$B$2:$B$611,$Q36),"")</f>
        <v>0.33329999999999999</v>
      </c>
      <c r="L36" s="25">
        <f>IF(ISNUMBER(INDEX(Dataset2_Raw!$C$2:$C$611,$Q36)),INDEX(Dataset2_Raw!$C$2:$C$611,$Q36),"")</f>
        <v>0.71</v>
      </c>
      <c r="M36" s="25">
        <f>IF(ISNUMBER(INDEX(Dataset2_Raw!$D$2:$D$611,$Q36)),INDEX(Dataset2_Raw!$D$2:$D$611,$Q36),"")</f>
        <v>0.25369999999999998</v>
      </c>
      <c r="N36" s="23">
        <f>IF(ISNUMBER(INDEX(Dataset2_Raw!$E$2:$E$611,$Q36)),INDEX(Dataset2_Raw!$E$2:$E$611,$Q36),"")</f>
        <v>16</v>
      </c>
      <c r="O36" s="23">
        <f>IF(ISNUMBER(INDEX(Dataset2_Raw!$F$2:$F$611,$Q36)),INDEX(Dataset2_Raw!$F$2:$F$611,$Q36),"")</f>
        <v>54</v>
      </c>
      <c r="P36" s="23">
        <f>IF(ISNUMBER(INDEX(Dataset2_Raw!$G$2:$G$611,$Q36)),INDEX(Dataset2_Raw!$G$2:$G$611,$Q36),"")</f>
        <v>70</v>
      </c>
      <c r="Q36" s="23">
        <f>IFERROR(MATCH($A36,Dataset2_Raw!$A$2:$A$611,0),0)</f>
        <v>35</v>
      </c>
    </row>
    <row r="37" spans="1:17" x14ac:dyDescent="0.35">
      <c r="A37" s="23">
        <f>Dataset1_Raw!A37</f>
        <v>36</v>
      </c>
      <c r="B37" s="24">
        <f>Dataset1_Raw!B37</f>
        <v>40545</v>
      </c>
      <c r="C37" s="23">
        <f>Dataset1_Raw!C37</f>
        <v>1</v>
      </c>
      <c r="D37" s="23">
        <f>Dataset1_Raw!D37</f>
        <v>0</v>
      </c>
      <c r="E37" s="23">
        <f>Dataset1_Raw!E37</f>
        <v>1</v>
      </c>
      <c r="F37" s="23">
        <f>Dataset1_Raw!F37</f>
        <v>12</v>
      </c>
      <c r="G37" s="23" t="b">
        <f>Dataset1_Raw!G37</f>
        <v>0</v>
      </c>
      <c r="H37" s="23">
        <f>Dataset1_Raw!H37</f>
        <v>0</v>
      </c>
      <c r="I37" s="23">
        <f>Dataset1_Raw!I37</f>
        <v>2</v>
      </c>
      <c r="J37" s="25">
        <f>Dataset1_Raw!J37</f>
        <v>0.36</v>
      </c>
      <c r="K37" s="25">
        <f>IF(ISNUMBER(INDEX(Dataset2_Raw!$B$2:$B$611,$Q37)),INDEX(Dataset2_Raw!$B$2:$B$611,$Q37),"")</f>
        <v>0.33329999999999999</v>
      </c>
      <c r="L37" s="25">
        <f>IF(ISNUMBER(INDEX(Dataset2_Raw!$C$2:$C$611,$Q37)),INDEX(Dataset2_Raw!$C$2:$C$611,$Q37),"")</f>
        <v>0.66</v>
      </c>
      <c r="M37" s="25">
        <f>IF(ISNUMBER(INDEX(Dataset2_Raw!$D$2:$D$611,$Q37)),INDEX(Dataset2_Raw!$D$2:$D$611,$Q37),"")</f>
        <v>0.29849999999999999</v>
      </c>
      <c r="N37" s="23">
        <f>IF(ISNUMBER(INDEX(Dataset2_Raw!$E$2:$E$611,$Q37)),INDEX(Dataset2_Raw!$E$2:$E$611,$Q37),"")</f>
        <v>20</v>
      </c>
      <c r="O37" s="23">
        <f>IF(ISNUMBER(INDEX(Dataset2_Raw!$F$2:$F$611,$Q37)),INDEX(Dataset2_Raw!$F$2:$F$611,$Q37),"")</f>
        <v>73</v>
      </c>
      <c r="P37" s="23">
        <f>IF(ISNUMBER(INDEX(Dataset2_Raw!$G$2:$G$611,$Q37)),INDEX(Dataset2_Raw!$G$2:$G$611,$Q37),"")</f>
        <v>93</v>
      </c>
      <c r="Q37" s="23">
        <f>IFERROR(MATCH($A37,Dataset2_Raw!$A$2:$A$611,0),0)</f>
        <v>36</v>
      </c>
    </row>
    <row r="38" spans="1:17" x14ac:dyDescent="0.35">
      <c r="A38" s="23">
        <f>Dataset1_Raw!A38</f>
        <v>37</v>
      </c>
      <c r="B38" s="24">
        <f>Dataset1_Raw!B38</f>
        <v>40545</v>
      </c>
      <c r="C38" s="23">
        <f>Dataset1_Raw!C38</f>
        <v>1</v>
      </c>
      <c r="D38" s="23">
        <f>Dataset1_Raw!D38</f>
        <v>0</v>
      </c>
      <c r="E38" s="23">
        <f>Dataset1_Raw!E38</f>
        <v>1</v>
      </c>
      <c r="F38" s="23">
        <f>Dataset1_Raw!F38</f>
        <v>13</v>
      </c>
      <c r="G38" s="23" t="b">
        <f>Dataset1_Raw!G38</f>
        <v>0</v>
      </c>
      <c r="H38" s="23">
        <f>Dataset1_Raw!H38</f>
        <v>0</v>
      </c>
      <c r="I38" s="23">
        <f>Dataset1_Raw!I38</f>
        <v>2</v>
      </c>
      <c r="J38" s="25">
        <f>Dataset1_Raw!J38</f>
        <v>0.36</v>
      </c>
      <c r="K38" s="25">
        <f>IF(ISNUMBER(INDEX(Dataset2_Raw!$B$2:$B$611,$Q38)),INDEX(Dataset2_Raw!$B$2:$B$611,$Q38),"")</f>
        <v>0.34849999999999998</v>
      </c>
      <c r="L38" s="25">
        <f>IF(ISNUMBER(INDEX(Dataset2_Raw!$C$2:$C$611,$Q38)),INDEX(Dataset2_Raw!$C$2:$C$611,$Q38),"")</f>
        <v>0.66</v>
      </c>
      <c r="M38" s="25">
        <f>IF(ISNUMBER(INDEX(Dataset2_Raw!$D$2:$D$611,$Q38)),INDEX(Dataset2_Raw!$D$2:$D$611,$Q38),"")</f>
        <v>0.1343</v>
      </c>
      <c r="N38" s="23">
        <f>IF(ISNUMBER(INDEX(Dataset2_Raw!$E$2:$E$611,$Q38)),INDEX(Dataset2_Raw!$E$2:$E$611,$Q38),"")</f>
        <v>11</v>
      </c>
      <c r="O38" s="23">
        <f>IF(ISNUMBER(INDEX(Dataset2_Raw!$F$2:$F$611,$Q38)),INDEX(Dataset2_Raw!$F$2:$F$611,$Q38),"")</f>
        <v>64</v>
      </c>
      <c r="P38" s="23">
        <f>IF(ISNUMBER(INDEX(Dataset2_Raw!$G$2:$G$611,$Q38)),INDEX(Dataset2_Raw!$G$2:$G$611,$Q38),"")</f>
        <v>75</v>
      </c>
      <c r="Q38" s="23">
        <f>IFERROR(MATCH($A38,Dataset2_Raw!$A$2:$A$611,0),0)</f>
        <v>37</v>
      </c>
    </row>
    <row r="39" spans="1:17" x14ac:dyDescent="0.35">
      <c r="A39" s="23">
        <f>Dataset1_Raw!A39</f>
        <v>38</v>
      </c>
      <c r="B39" s="24">
        <f>Dataset1_Raw!B39</f>
        <v>40545</v>
      </c>
      <c r="C39" s="23">
        <f>Dataset1_Raw!C39</f>
        <v>1</v>
      </c>
      <c r="D39" s="23">
        <f>Dataset1_Raw!D39</f>
        <v>0</v>
      </c>
      <c r="E39" s="23">
        <f>Dataset1_Raw!E39</f>
        <v>1</v>
      </c>
      <c r="F39" s="23">
        <f>Dataset1_Raw!F39</f>
        <v>14</v>
      </c>
      <c r="G39" s="23" t="b">
        <f>Dataset1_Raw!G39</f>
        <v>0</v>
      </c>
      <c r="H39" s="23">
        <f>Dataset1_Raw!H39</f>
        <v>0</v>
      </c>
      <c r="I39" s="23">
        <f>Dataset1_Raw!I39</f>
        <v>3</v>
      </c>
      <c r="J39" s="25">
        <f>Dataset1_Raw!J39</f>
        <v>0.36</v>
      </c>
      <c r="K39" s="25" t="str">
        <f>IF(ISNUMBER(INDEX(Dataset2_Raw!$B$2:$B$611,$Q39)),INDEX(Dataset2_Raw!$B$2:$B$611,$Q39),"")</f>
        <v/>
      </c>
      <c r="L39" s="25">
        <f>IF(ISNUMBER(INDEX(Dataset2_Raw!$C$2:$C$611,$Q39)),INDEX(Dataset2_Raw!$C$2:$C$611,$Q39),"")</f>
        <v>0.76</v>
      </c>
      <c r="M39" s="25">
        <f>IF(ISNUMBER(INDEX(Dataset2_Raw!$D$2:$D$611,$Q39)),INDEX(Dataset2_Raw!$D$2:$D$611,$Q39),"")</f>
        <v>0.19400000000000001</v>
      </c>
      <c r="N39" s="23">
        <f>IF(ISNUMBER(INDEX(Dataset2_Raw!$E$2:$E$611,$Q39)),INDEX(Dataset2_Raw!$E$2:$E$611,$Q39),"")</f>
        <v>4</v>
      </c>
      <c r="O39" s="23">
        <f>IF(ISNUMBER(INDEX(Dataset2_Raw!$F$2:$F$611,$Q39)),INDEX(Dataset2_Raw!$F$2:$F$611,$Q39),"")</f>
        <v>55</v>
      </c>
      <c r="P39" s="23">
        <f>IF(ISNUMBER(INDEX(Dataset2_Raw!$G$2:$G$611,$Q39)),INDEX(Dataset2_Raw!$G$2:$G$611,$Q39),"")</f>
        <v>59</v>
      </c>
      <c r="Q39" s="23">
        <f>IFERROR(MATCH($A39,Dataset2_Raw!$A$2:$A$611,0),0)</f>
        <v>38</v>
      </c>
    </row>
    <row r="40" spans="1:17" x14ac:dyDescent="0.35">
      <c r="A40" s="23">
        <f>Dataset1_Raw!A40</f>
        <v>39</v>
      </c>
      <c r="B40" s="24">
        <f>Dataset1_Raw!B40</f>
        <v>40545</v>
      </c>
      <c r="C40" s="23">
        <f>Dataset1_Raw!C40</f>
        <v>1</v>
      </c>
      <c r="D40" s="23">
        <f>Dataset1_Raw!D40</f>
        <v>0</v>
      </c>
      <c r="E40" s="23">
        <f>Dataset1_Raw!E40</f>
        <v>1</v>
      </c>
      <c r="F40" s="23">
        <f>Dataset1_Raw!F40</f>
        <v>15</v>
      </c>
      <c r="G40" s="23" t="b">
        <f>Dataset1_Raw!G40</f>
        <v>0</v>
      </c>
      <c r="H40" s="23">
        <f>Dataset1_Raw!H40</f>
        <v>0</v>
      </c>
      <c r="I40" s="23">
        <f>Dataset1_Raw!I40</f>
        <v>3</v>
      </c>
      <c r="J40" s="25">
        <f>Dataset1_Raw!J40</f>
        <v>0.34</v>
      </c>
      <c r="K40" s="25">
        <f>IF(ISNUMBER(INDEX(Dataset2_Raw!$B$2:$B$611,$Q40)),INDEX(Dataset2_Raw!$B$2:$B$611,$Q40),"")</f>
        <v>0.33329999999999999</v>
      </c>
      <c r="L40" s="25">
        <f>IF(ISNUMBER(INDEX(Dataset2_Raw!$C$2:$C$611,$Q40)),INDEX(Dataset2_Raw!$C$2:$C$611,$Q40),"")</f>
        <v>0.81</v>
      </c>
      <c r="M40" s="25">
        <f>IF(ISNUMBER(INDEX(Dataset2_Raw!$D$2:$D$611,$Q40)),INDEX(Dataset2_Raw!$D$2:$D$611,$Q40),"")</f>
        <v>0.16420000000000001</v>
      </c>
      <c r="N40" s="23">
        <f>IF(ISNUMBER(INDEX(Dataset2_Raw!$E$2:$E$611,$Q40)),INDEX(Dataset2_Raw!$E$2:$E$611,$Q40),"")</f>
        <v>19</v>
      </c>
      <c r="O40" s="23">
        <f>IF(ISNUMBER(INDEX(Dataset2_Raw!$F$2:$F$611,$Q40)),INDEX(Dataset2_Raw!$F$2:$F$611,$Q40),"")</f>
        <v>55</v>
      </c>
      <c r="P40" s="23">
        <f>IF(ISNUMBER(INDEX(Dataset2_Raw!$G$2:$G$611,$Q40)),INDEX(Dataset2_Raw!$G$2:$G$611,$Q40),"")</f>
        <v>74</v>
      </c>
      <c r="Q40" s="23">
        <f>IFERROR(MATCH($A40,Dataset2_Raw!$A$2:$A$611,0),0)</f>
        <v>39</v>
      </c>
    </row>
    <row r="41" spans="1:17" x14ac:dyDescent="0.35">
      <c r="A41" s="23">
        <f>Dataset1_Raw!A41</f>
        <v>40</v>
      </c>
      <c r="B41" s="24">
        <f>Dataset1_Raw!B41</f>
        <v>40545</v>
      </c>
      <c r="C41" s="23">
        <f>Dataset1_Raw!C41</f>
        <v>1</v>
      </c>
      <c r="D41" s="23">
        <f>Dataset1_Raw!D41</f>
        <v>0</v>
      </c>
      <c r="E41" s="23">
        <f>Dataset1_Raw!E41</f>
        <v>1</v>
      </c>
      <c r="F41" s="23">
        <f>Dataset1_Raw!F41</f>
        <v>16</v>
      </c>
      <c r="G41" s="23" t="b">
        <f>Dataset1_Raw!G41</f>
        <v>0</v>
      </c>
      <c r="H41" s="23">
        <f>Dataset1_Raw!H41</f>
        <v>0</v>
      </c>
      <c r="I41" s="23">
        <f>Dataset1_Raw!I41</f>
        <v>3</v>
      </c>
      <c r="J41" s="25">
        <f>Dataset1_Raw!J41</f>
        <v>0.34</v>
      </c>
      <c r="K41" s="25">
        <f>IF(ISNUMBER(INDEX(Dataset2_Raw!$B$2:$B$611,$Q41)),INDEX(Dataset2_Raw!$B$2:$B$611,$Q41),"")</f>
        <v>0.33329999999999999</v>
      </c>
      <c r="L41" s="25">
        <f>IF(ISNUMBER(INDEX(Dataset2_Raw!$C$2:$C$611,$Q41)),INDEX(Dataset2_Raw!$C$2:$C$611,$Q41),"")</f>
        <v>0.71</v>
      </c>
      <c r="M41" s="25">
        <f>IF(ISNUMBER(INDEX(Dataset2_Raw!$D$2:$D$611,$Q41)),INDEX(Dataset2_Raw!$D$2:$D$611,$Q41),"")</f>
        <v>0.16420000000000001</v>
      </c>
      <c r="N41" s="23">
        <f>IF(ISNUMBER(INDEX(Dataset2_Raw!$E$2:$E$611,$Q41)),INDEX(Dataset2_Raw!$E$2:$E$611,$Q41),"")</f>
        <v>9</v>
      </c>
      <c r="O41" s="23">
        <f>IF(ISNUMBER(INDEX(Dataset2_Raw!$F$2:$F$611,$Q41)),INDEX(Dataset2_Raw!$F$2:$F$611,$Q41),"")</f>
        <v>67</v>
      </c>
      <c r="P41" s="23">
        <f>IF(ISNUMBER(INDEX(Dataset2_Raw!$G$2:$G$611,$Q41)),INDEX(Dataset2_Raw!$G$2:$G$611,$Q41),"")</f>
        <v>76</v>
      </c>
      <c r="Q41" s="23">
        <f>IFERROR(MATCH($A41,Dataset2_Raw!$A$2:$A$611,0),0)</f>
        <v>40</v>
      </c>
    </row>
    <row r="42" spans="1:17" x14ac:dyDescent="0.35">
      <c r="A42" s="23">
        <f>Dataset1_Raw!A42</f>
        <v>41</v>
      </c>
      <c r="B42" s="24">
        <f>Dataset1_Raw!B42</f>
        <v>40545</v>
      </c>
      <c r="C42" s="23">
        <f>Dataset1_Raw!C42</f>
        <v>1</v>
      </c>
      <c r="D42" s="23">
        <f>Dataset1_Raw!D42</f>
        <v>0</v>
      </c>
      <c r="E42" s="23">
        <f>Dataset1_Raw!E42</f>
        <v>1</v>
      </c>
      <c r="F42" s="23">
        <f>Dataset1_Raw!F42</f>
        <v>17</v>
      </c>
      <c r="G42" s="23" t="b">
        <f>Dataset1_Raw!G42</f>
        <v>0</v>
      </c>
      <c r="H42" s="23">
        <f>Dataset1_Raw!H42</f>
        <v>0</v>
      </c>
      <c r="I42" s="23">
        <f>Dataset1_Raw!I42</f>
        <v>1</v>
      </c>
      <c r="J42" s="25">
        <f>Dataset1_Raw!J42</f>
        <v>0.34</v>
      </c>
      <c r="K42" s="25">
        <f>IF(ISNUMBER(INDEX(Dataset2_Raw!$B$2:$B$611,$Q42)),INDEX(Dataset2_Raw!$B$2:$B$611,$Q42),"")</f>
        <v>0.33329999999999999</v>
      </c>
      <c r="L42" s="25">
        <f>IF(ISNUMBER(INDEX(Dataset2_Raw!$C$2:$C$611,$Q42)),INDEX(Dataset2_Raw!$C$2:$C$611,$Q42),"")</f>
        <v>0.56999999999999995</v>
      </c>
      <c r="M42" s="25">
        <f>IF(ISNUMBER(INDEX(Dataset2_Raw!$D$2:$D$611,$Q42)),INDEX(Dataset2_Raw!$D$2:$D$611,$Q42),"")</f>
        <v>0.19400000000000001</v>
      </c>
      <c r="N42" s="23">
        <f>IF(ISNUMBER(INDEX(Dataset2_Raw!$E$2:$E$611,$Q42)),INDEX(Dataset2_Raw!$E$2:$E$611,$Q42),"")</f>
        <v>7</v>
      </c>
      <c r="O42" s="23">
        <f>IF(ISNUMBER(INDEX(Dataset2_Raw!$F$2:$F$611,$Q42)),INDEX(Dataset2_Raw!$F$2:$F$611,$Q42),"")</f>
        <v>58</v>
      </c>
      <c r="P42" s="23">
        <f>IF(ISNUMBER(INDEX(Dataset2_Raw!$G$2:$G$611,$Q42)),INDEX(Dataset2_Raw!$G$2:$G$611,$Q42),"")</f>
        <v>65</v>
      </c>
      <c r="Q42" s="23">
        <f>IFERROR(MATCH($A42,Dataset2_Raw!$A$2:$A$611,0),0)</f>
        <v>41</v>
      </c>
    </row>
    <row r="43" spans="1:17" x14ac:dyDescent="0.35">
      <c r="A43" s="23">
        <f>Dataset1_Raw!A43</f>
        <v>42</v>
      </c>
      <c r="B43" s="24">
        <f>Dataset1_Raw!B43</f>
        <v>40545</v>
      </c>
      <c r="C43" s="23">
        <f>Dataset1_Raw!C43</f>
        <v>1</v>
      </c>
      <c r="D43" s="23">
        <f>Dataset1_Raw!D43</f>
        <v>0</v>
      </c>
      <c r="E43" s="23">
        <f>Dataset1_Raw!E43</f>
        <v>1</v>
      </c>
      <c r="F43" s="23">
        <f>Dataset1_Raw!F43</f>
        <v>18</v>
      </c>
      <c r="G43" s="23" t="b">
        <f>Dataset1_Raw!G43</f>
        <v>0</v>
      </c>
      <c r="H43" s="23">
        <f>Dataset1_Raw!H43</f>
        <v>0</v>
      </c>
      <c r="I43" s="23">
        <f>Dataset1_Raw!I43</f>
        <v>2</v>
      </c>
      <c r="J43" s="25">
        <f>Dataset1_Raw!J43</f>
        <v>0.36</v>
      </c>
      <c r="K43" s="25">
        <f>IF(ISNUMBER(INDEX(Dataset2_Raw!$B$2:$B$611,$Q43)),INDEX(Dataset2_Raw!$B$2:$B$611,$Q43),"")</f>
        <v>0.33329999999999999</v>
      </c>
      <c r="L43" s="25">
        <f>IF(ISNUMBER(INDEX(Dataset2_Raw!$C$2:$C$611,$Q43)),INDEX(Dataset2_Raw!$C$2:$C$611,$Q43),"")</f>
        <v>0.46</v>
      </c>
      <c r="M43" s="25">
        <f>IF(ISNUMBER(INDEX(Dataset2_Raw!$D$2:$D$611,$Q43)),INDEX(Dataset2_Raw!$D$2:$D$611,$Q43),"")</f>
        <v>0.32840000000000003</v>
      </c>
      <c r="N43" s="23">
        <f>IF(ISNUMBER(INDEX(Dataset2_Raw!$E$2:$E$611,$Q43)),INDEX(Dataset2_Raw!$E$2:$E$611,$Q43),"")</f>
        <v>10</v>
      </c>
      <c r="O43" s="23">
        <f>IF(ISNUMBER(INDEX(Dataset2_Raw!$F$2:$F$611,$Q43)),INDEX(Dataset2_Raw!$F$2:$F$611,$Q43),"")</f>
        <v>43</v>
      </c>
      <c r="P43" s="23">
        <f>IF(ISNUMBER(INDEX(Dataset2_Raw!$G$2:$G$611,$Q43)),INDEX(Dataset2_Raw!$G$2:$G$611,$Q43),"")</f>
        <v>53</v>
      </c>
      <c r="Q43" s="23">
        <f>IFERROR(MATCH($A43,Dataset2_Raw!$A$2:$A$611,0),0)</f>
        <v>42</v>
      </c>
    </row>
    <row r="44" spans="1:17" x14ac:dyDescent="0.35">
      <c r="A44" s="23">
        <f>Dataset1_Raw!A44</f>
        <v>43</v>
      </c>
      <c r="B44" s="24">
        <f>Dataset1_Raw!B44</f>
        <v>40545</v>
      </c>
      <c r="C44" s="23">
        <f>Dataset1_Raw!C44</f>
        <v>1</v>
      </c>
      <c r="D44" s="23">
        <f>Dataset1_Raw!D44</f>
        <v>0</v>
      </c>
      <c r="E44" s="23">
        <f>Dataset1_Raw!E44</f>
        <v>1</v>
      </c>
      <c r="F44" s="23">
        <f>Dataset1_Raw!F44</f>
        <v>19</v>
      </c>
      <c r="G44" s="23" t="b">
        <f>Dataset1_Raw!G44</f>
        <v>0</v>
      </c>
      <c r="H44" s="23">
        <f>Dataset1_Raw!H44</f>
        <v>0</v>
      </c>
      <c r="I44" s="23">
        <f>Dataset1_Raw!I44</f>
        <v>1</v>
      </c>
      <c r="J44" s="25">
        <f>Dataset1_Raw!J44</f>
        <v>0.32</v>
      </c>
      <c r="K44" s="25">
        <f>IF(ISNUMBER(INDEX(Dataset2_Raw!$B$2:$B$611,$Q44)),INDEX(Dataset2_Raw!$B$2:$B$611,$Q44),"")</f>
        <v>0.28789999999999999</v>
      </c>
      <c r="L44" s="25">
        <f>IF(ISNUMBER(INDEX(Dataset2_Raw!$C$2:$C$611,$Q44)),INDEX(Dataset2_Raw!$C$2:$C$611,$Q44),"")</f>
        <v>0.42</v>
      </c>
      <c r="M44" s="25">
        <f>IF(ISNUMBER(INDEX(Dataset2_Raw!$D$2:$D$611,$Q44)),INDEX(Dataset2_Raw!$D$2:$D$611,$Q44),"")</f>
        <v>0.44779999999999998</v>
      </c>
      <c r="N44" s="23">
        <f>IF(ISNUMBER(INDEX(Dataset2_Raw!$E$2:$E$611,$Q44)),INDEX(Dataset2_Raw!$E$2:$E$611,$Q44),"")</f>
        <v>1</v>
      </c>
      <c r="O44" s="23">
        <f>IF(ISNUMBER(INDEX(Dataset2_Raw!$F$2:$F$611,$Q44)),INDEX(Dataset2_Raw!$F$2:$F$611,$Q44),"")</f>
        <v>29</v>
      </c>
      <c r="P44" s="23">
        <f>IF(ISNUMBER(INDEX(Dataset2_Raw!$G$2:$G$611,$Q44)),INDEX(Dataset2_Raw!$G$2:$G$611,$Q44),"")</f>
        <v>30</v>
      </c>
      <c r="Q44" s="23">
        <f>IFERROR(MATCH($A44,Dataset2_Raw!$A$2:$A$611,0),0)</f>
        <v>43</v>
      </c>
    </row>
    <row r="45" spans="1:17" x14ac:dyDescent="0.35">
      <c r="A45" s="23">
        <f>Dataset1_Raw!A45</f>
        <v>44</v>
      </c>
      <c r="B45" s="24">
        <f>Dataset1_Raw!B45</f>
        <v>40545</v>
      </c>
      <c r="C45" s="23">
        <f>Dataset1_Raw!C45</f>
        <v>1</v>
      </c>
      <c r="D45" s="23">
        <f>Dataset1_Raw!D45</f>
        <v>0</v>
      </c>
      <c r="E45" s="23">
        <f>Dataset1_Raw!E45</f>
        <v>1</v>
      </c>
      <c r="F45" s="23">
        <f>Dataset1_Raw!F45</f>
        <v>20</v>
      </c>
      <c r="G45" s="23" t="b">
        <f>Dataset1_Raw!G45</f>
        <v>0</v>
      </c>
      <c r="H45" s="23">
        <f>Dataset1_Raw!H45</f>
        <v>0</v>
      </c>
      <c r="I45" s="23">
        <f>Dataset1_Raw!I45</f>
        <v>1</v>
      </c>
      <c r="J45" s="25">
        <f>Dataset1_Raw!J45</f>
        <v>0.3</v>
      </c>
      <c r="K45" s="25" t="str">
        <f>IF(ISNUMBER(INDEX(Dataset2_Raw!$B$2:$B$611,$Q45)),INDEX(Dataset2_Raw!$B$2:$B$611,$Q45),"")</f>
        <v/>
      </c>
      <c r="L45" s="25">
        <f>IF(ISNUMBER(INDEX(Dataset2_Raw!$C$2:$C$611,$Q45)),INDEX(Dataset2_Raw!$C$2:$C$611,$Q45),"")</f>
        <v>0.39</v>
      </c>
      <c r="M45" s="25">
        <f>IF(ISNUMBER(INDEX(Dataset2_Raw!$D$2:$D$611,$Q45)),INDEX(Dataset2_Raw!$D$2:$D$611,$Q45),"")</f>
        <v>0.35820000000000002</v>
      </c>
      <c r="N45" s="23">
        <f>IF(ISNUMBER(INDEX(Dataset2_Raw!$E$2:$E$611,$Q45)),INDEX(Dataset2_Raw!$E$2:$E$611,$Q45),"")</f>
        <v>5</v>
      </c>
      <c r="O45" s="23">
        <f>IF(ISNUMBER(INDEX(Dataset2_Raw!$F$2:$F$611,$Q45)),INDEX(Dataset2_Raw!$F$2:$F$611,$Q45),"")</f>
        <v>17</v>
      </c>
      <c r="P45" s="23">
        <f>IF(ISNUMBER(INDEX(Dataset2_Raw!$G$2:$G$611,$Q45)),INDEX(Dataset2_Raw!$G$2:$G$611,$Q45),"")</f>
        <v>22</v>
      </c>
      <c r="Q45" s="23">
        <f>IFERROR(MATCH($A45,Dataset2_Raw!$A$2:$A$611,0),0)</f>
        <v>44</v>
      </c>
    </row>
    <row r="46" spans="1:17" x14ac:dyDescent="0.35">
      <c r="A46" s="23">
        <f>Dataset1_Raw!A46</f>
        <v>45</v>
      </c>
      <c r="B46" s="24">
        <f>Dataset1_Raw!B46</f>
        <v>40545</v>
      </c>
      <c r="C46" s="23">
        <f>Dataset1_Raw!C46</f>
        <v>1</v>
      </c>
      <c r="D46" s="23">
        <f>Dataset1_Raw!D46</f>
        <v>0</v>
      </c>
      <c r="E46" s="23">
        <f>Dataset1_Raw!E46</f>
        <v>1</v>
      </c>
      <c r="F46" s="23">
        <f>Dataset1_Raw!F46</f>
        <v>21</v>
      </c>
      <c r="G46" s="23" t="b">
        <f>Dataset1_Raw!G46</f>
        <v>0</v>
      </c>
      <c r="H46" s="23">
        <f>Dataset1_Raw!H46</f>
        <v>0</v>
      </c>
      <c r="I46" s="23">
        <f>Dataset1_Raw!I46</f>
        <v>1</v>
      </c>
      <c r="J46" s="25">
        <f>Dataset1_Raw!J46</f>
        <v>0.26</v>
      </c>
      <c r="K46" s="25">
        <f>IF(ISNUMBER(INDEX(Dataset2_Raw!$B$2:$B$611,$Q46)),INDEX(Dataset2_Raw!$B$2:$B$611,$Q46),"")</f>
        <v>0.2273</v>
      </c>
      <c r="L46" s="25">
        <f>IF(ISNUMBER(INDEX(Dataset2_Raw!$C$2:$C$611,$Q46)),INDEX(Dataset2_Raw!$C$2:$C$611,$Q46),"")</f>
        <v>0.44</v>
      </c>
      <c r="M46" s="25">
        <f>IF(ISNUMBER(INDEX(Dataset2_Raw!$D$2:$D$611,$Q46)),INDEX(Dataset2_Raw!$D$2:$D$611,$Q46),"")</f>
        <v>0.32840000000000003</v>
      </c>
      <c r="N46" s="23">
        <f>IF(ISNUMBER(INDEX(Dataset2_Raw!$E$2:$E$611,$Q46)),INDEX(Dataset2_Raw!$E$2:$E$611,$Q46),"")</f>
        <v>11</v>
      </c>
      <c r="O46" s="23">
        <f>IF(ISNUMBER(INDEX(Dataset2_Raw!$F$2:$F$611,$Q46)),INDEX(Dataset2_Raw!$F$2:$F$611,$Q46),"")</f>
        <v>20</v>
      </c>
      <c r="P46" s="23">
        <f>IF(ISNUMBER(INDEX(Dataset2_Raw!$G$2:$G$611,$Q46)),INDEX(Dataset2_Raw!$G$2:$G$611,$Q46),"")</f>
        <v>31</v>
      </c>
      <c r="Q46" s="23">
        <f>IFERROR(MATCH($A46,Dataset2_Raw!$A$2:$A$611,0),0)</f>
        <v>45</v>
      </c>
    </row>
    <row r="47" spans="1:17" x14ac:dyDescent="0.35">
      <c r="A47" s="23">
        <f>Dataset1_Raw!A47</f>
        <v>46</v>
      </c>
      <c r="B47" s="24">
        <f>Dataset1_Raw!B47</f>
        <v>40545</v>
      </c>
      <c r="C47" s="23">
        <f>Dataset1_Raw!C47</f>
        <v>1</v>
      </c>
      <c r="D47" s="23">
        <f>Dataset1_Raw!D47</f>
        <v>0</v>
      </c>
      <c r="E47" s="23">
        <f>Dataset1_Raw!E47</f>
        <v>1</v>
      </c>
      <c r="F47" s="23">
        <f>Dataset1_Raw!F47</f>
        <v>22</v>
      </c>
      <c r="G47" s="23" t="b">
        <f>Dataset1_Raw!G47</f>
        <v>0</v>
      </c>
      <c r="H47" s="23">
        <f>Dataset1_Raw!H47</f>
        <v>0</v>
      </c>
      <c r="I47" s="23">
        <f>Dataset1_Raw!I47</f>
        <v>1</v>
      </c>
      <c r="J47" s="25">
        <f>Dataset1_Raw!J47</f>
        <v>0.24</v>
      </c>
      <c r="K47" s="25">
        <f>IF(ISNUMBER(INDEX(Dataset2_Raw!$B$2:$B$611,$Q47)),INDEX(Dataset2_Raw!$B$2:$B$611,$Q47),"")</f>
        <v>0.21210000000000001</v>
      </c>
      <c r="L47" s="25">
        <f>IF(ISNUMBER(INDEX(Dataset2_Raw!$C$2:$C$611,$Q47)),INDEX(Dataset2_Raw!$C$2:$C$611,$Q47),"")</f>
        <v>0.44</v>
      </c>
      <c r="M47" s="25">
        <f>IF(ISNUMBER(INDEX(Dataset2_Raw!$D$2:$D$611,$Q47)),INDEX(Dataset2_Raw!$D$2:$D$611,$Q47),"")</f>
        <v>0.29849999999999999</v>
      </c>
      <c r="N47" s="23">
        <f>IF(ISNUMBER(INDEX(Dataset2_Raw!$E$2:$E$611,$Q47)),INDEX(Dataset2_Raw!$E$2:$E$611,$Q47),"")</f>
        <v>0</v>
      </c>
      <c r="O47" s="23">
        <f>IF(ISNUMBER(INDEX(Dataset2_Raw!$F$2:$F$611,$Q47)),INDEX(Dataset2_Raw!$F$2:$F$611,$Q47),"")</f>
        <v>9</v>
      </c>
      <c r="P47" s="23">
        <f>IF(ISNUMBER(INDEX(Dataset2_Raw!$G$2:$G$611,$Q47)),INDEX(Dataset2_Raw!$G$2:$G$611,$Q47),"")</f>
        <v>9</v>
      </c>
      <c r="Q47" s="23">
        <f>IFERROR(MATCH($A47,Dataset2_Raw!$A$2:$A$611,0),0)</f>
        <v>46</v>
      </c>
    </row>
    <row r="48" spans="1:17" x14ac:dyDescent="0.35">
      <c r="A48" s="23">
        <f>Dataset1_Raw!A48</f>
        <v>47</v>
      </c>
      <c r="B48" s="24">
        <f>Dataset1_Raw!B48</f>
        <v>40545</v>
      </c>
      <c r="C48" s="23">
        <f>Dataset1_Raw!C48</f>
        <v>1</v>
      </c>
      <c r="D48" s="23">
        <f>Dataset1_Raw!D48</f>
        <v>0</v>
      </c>
      <c r="E48" s="23">
        <f>Dataset1_Raw!E48</f>
        <v>1</v>
      </c>
      <c r="F48" s="23">
        <f>Dataset1_Raw!F48</f>
        <v>23</v>
      </c>
      <c r="G48" s="23" t="b">
        <f>Dataset1_Raw!G48</f>
        <v>0</v>
      </c>
      <c r="H48" s="23">
        <f>Dataset1_Raw!H48</f>
        <v>0</v>
      </c>
      <c r="I48" s="23">
        <f>Dataset1_Raw!I48</f>
        <v>1</v>
      </c>
      <c r="J48" s="25">
        <f>Dataset1_Raw!J48</f>
        <v>0.22</v>
      </c>
      <c r="K48" s="25">
        <f>IF(ISNUMBER(INDEX(Dataset2_Raw!$B$2:$B$611,$Q48)),INDEX(Dataset2_Raw!$B$2:$B$611,$Q48),"")</f>
        <v>0.2273</v>
      </c>
      <c r="L48" s="25">
        <f>IF(ISNUMBER(INDEX(Dataset2_Raw!$C$2:$C$611,$Q48)),INDEX(Dataset2_Raw!$C$2:$C$611,$Q48),"")</f>
        <v>0.47</v>
      </c>
      <c r="M48" s="25">
        <f>IF(ISNUMBER(INDEX(Dataset2_Raw!$D$2:$D$611,$Q48)),INDEX(Dataset2_Raw!$D$2:$D$611,$Q48),"")</f>
        <v>0.16420000000000001</v>
      </c>
      <c r="N48" s="23">
        <f>IF(ISNUMBER(INDEX(Dataset2_Raw!$E$2:$E$611,$Q48)),INDEX(Dataset2_Raw!$E$2:$E$611,$Q48),"")</f>
        <v>0</v>
      </c>
      <c r="O48" s="23">
        <f>IF(ISNUMBER(INDEX(Dataset2_Raw!$F$2:$F$611,$Q48)),INDEX(Dataset2_Raw!$F$2:$F$611,$Q48),"")</f>
        <v>8</v>
      </c>
      <c r="P48" s="23">
        <f>IF(ISNUMBER(INDEX(Dataset2_Raw!$G$2:$G$611,$Q48)),INDEX(Dataset2_Raw!$G$2:$G$611,$Q48),"")</f>
        <v>8</v>
      </c>
      <c r="Q48" s="23">
        <f>IFERROR(MATCH($A48,Dataset2_Raw!$A$2:$A$611,0),0)</f>
        <v>47</v>
      </c>
    </row>
    <row r="49" spans="1:17" x14ac:dyDescent="0.35">
      <c r="A49" s="23">
        <f>Dataset1_Raw!A49</f>
        <v>48</v>
      </c>
      <c r="B49" s="24">
        <f>Dataset1_Raw!B49</f>
        <v>40546</v>
      </c>
      <c r="C49" s="23">
        <f>Dataset1_Raw!C49</f>
        <v>1</v>
      </c>
      <c r="D49" s="23">
        <f>Dataset1_Raw!D49</f>
        <v>0</v>
      </c>
      <c r="E49" s="23">
        <f>Dataset1_Raw!E49</f>
        <v>1</v>
      </c>
      <c r="F49" s="23">
        <f>Dataset1_Raw!F49</f>
        <v>0</v>
      </c>
      <c r="G49" s="23" t="b">
        <f>Dataset1_Raw!G49</f>
        <v>0</v>
      </c>
      <c r="H49" s="23">
        <f>Dataset1_Raw!H49</f>
        <v>1</v>
      </c>
      <c r="I49" s="23">
        <f>Dataset1_Raw!I49</f>
        <v>1</v>
      </c>
      <c r="J49" s="25">
        <f>Dataset1_Raw!J49</f>
        <v>0.22</v>
      </c>
      <c r="K49" s="25">
        <f>IF(ISNUMBER(INDEX(Dataset2_Raw!$B$2:$B$611,$Q49)),INDEX(Dataset2_Raw!$B$2:$B$611,$Q49),"")</f>
        <v>0.19700000000000001</v>
      </c>
      <c r="L49" s="25">
        <f>IF(ISNUMBER(INDEX(Dataset2_Raw!$C$2:$C$611,$Q49)),INDEX(Dataset2_Raw!$C$2:$C$611,$Q49),"")</f>
        <v>0.44</v>
      </c>
      <c r="M49" s="25">
        <f>IF(ISNUMBER(INDEX(Dataset2_Raw!$D$2:$D$611,$Q49)),INDEX(Dataset2_Raw!$D$2:$D$611,$Q49),"")</f>
        <v>0.35820000000000002</v>
      </c>
      <c r="N49" s="23">
        <f>IF(ISNUMBER(INDEX(Dataset2_Raw!$E$2:$E$611,$Q49)),INDEX(Dataset2_Raw!$E$2:$E$611,$Q49),"")</f>
        <v>0</v>
      </c>
      <c r="O49" s="23">
        <f>IF(ISNUMBER(INDEX(Dataset2_Raw!$F$2:$F$611,$Q49)),INDEX(Dataset2_Raw!$F$2:$F$611,$Q49),"")</f>
        <v>5</v>
      </c>
      <c r="P49" s="23">
        <f>IF(ISNUMBER(INDEX(Dataset2_Raw!$G$2:$G$611,$Q49)),INDEX(Dataset2_Raw!$G$2:$G$611,$Q49),"")</f>
        <v>5</v>
      </c>
      <c r="Q49" s="23">
        <f>IFERROR(MATCH($A49,Dataset2_Raw!$A$2:$A$611,0),0)</f>
        <v>48</v>
      </c>
    </row>
    <row r="50" spans="1:17" x14ac:dyDescent="0.35">
      <c r="A50" s="23">
        <f>Dataset1_Raw!A50</f>
        <v>49</v>
      </c>
      <c r="B50" s="24">
        <f>Dataset1_Raw!B50</f>
        <v>40546</v>
      </c>
      <c r="C50" s="23">
        <f>Dataset1_Raw!C50</f>
        <v>1</v>
      </c>
      <c r="D50" s="23">
        <f>Dataset1_Raw!D50</f>
        <v>0</v>
      </c>
      <c r="E50" s="23">
        <f>Dataset1_Raw!E50</f>
        <v>1</v>
      </c>
      <c r="F50" s="23">
        <f>Dataset1_Raw!F50</f>
        <v>1</v>
      </c>
      <c r="G50" s="23" t="b">
        <f>Dataset1_Raw!G50</f>
        <v>0</v>
      </c>
      <c r="H50" s="23">
        <f>Dataset1_Raw!H50</f>
        <v>1</v>
      </c>
      <c r="I50" s="23">
        <f>Dataset1_Raw!I50</f>
        <v>1</v>
      </c>
      <c r="J50" s="25">
        <f>Dataset1_Raw!J50</f>
        <v>0.2</v>
      </c>
      <c r="K50" s="25" t="str">
        <f>IF(ISNUMBER(INDEX(Dataset2_Raw!$B$2:$B$611,$Q50)),INDEX(Dataset2_Raw!$B$2:$B$611,$Q50),"")</f>
        <v/>
      </c>
      <c r="L50" s="25">
        <f>IF(ISNUMBER(INDEX(Dataset2_Raw!$C$2:$C$611,$Q50)),INDEX(Dataset2_Raw!$C$2:$C$611,$Q50),"")</f>
        <v>0.44</v>
      </c>
      <c r="M50" s="25">
        <f>IF(ISNUMBER(INDEX(Dataset2_Raw!$D$2:$D$611,$Q50)),INDEX(Dataset2_Raw!$D$2:$D$611,$Q50),"")</f>
        <v>0.41789999999999999</v>
      </c>
      <c r="N50" s="23">
        <f>IF(ISNUMBER(INDEX(Dataset2_Raw!$E$2:$E$611,$Q50)),INDEX(Dataset2_Raw!$E$2:$E$611,$Q50),"")</f>
        <v>0</v>
      </c>
      <c r="O50" s="23">
        <f>IF(ISNUMBER(INDEX(Dataset2_Raw!$F$2:$F$611,$Q50)),INDEX(Dataset2_Raw!$F$2:$F$611,$Q50),"")</f>
        <v>2</v>
      </c>
      <c r="P50" s="23">
        <f>IF(ISNUMBER(INDEX(Dataset2_Raw!$G$2:$G$611,$Q50)),INDEX(Dataset2_Raw!$G$2:$G$611,$Q50),"")</f>
        <v>2</v>
      </c>
      <c r="Q50" s="23">
        <f>IFERROR(MATCH($A50,Dataset2_Raw!$A$2:$A$611,0),0)</f>
        <v>49</v>
      </c>
    </row>
    <row r="51" spans="1:17" x14ac:dyDescent="0.35">
      <c r="A51" s="23">
        <f>Dataset1_Raw!A51</f>
        <v>50</v>
      </c>
      <c r="B51" s="24">
        <f>Dataset1_Raw!B51</f>
        <v>40546</v>
      </c>
      <c r="C51" s="23">
        <f>Dataset1_Raw!C51</f>
        <v>1</v>
      </c>
      <c r="D51" s="23">
        <f>Dataset1_Raw!D51</f>
        <v>0</v>
      </c>
      <c r="E51" s="23">
        <f>Dataset1_Raw!E51</f>
        <v>1</v>
      </c>
      <c r="F51" s="23">
        <f>Dataset1_Raw!F51</f>
        <v>4</v>
      </c>
      <c r="G51" s="23" t="b">
        <f>Dataset1_Raw!G51</f>
        <v>0</v>
      </c>
      <c r="H51" s="23">
        <f>Dataset1_Raw!H51</f>
        <v>1</v>
      </c>
      <c r="I51" s="23">
        <f>Dataset1_Raw!I51</f>
        <v>1</v>
      </c>
      <c r="J51" s="25">
        <f>Dataset1_Raw!J51</f>
        <v>0.16</v>
      </c>
      <c r="K51" s="25">
        <f>IF(ISNUMBER(INDEX(Dataset2_Raw!$B$2:$B$611,$Q51)),INDEX(Dataset2_Raw!$B$2:$B$611,$Q51),"")</f>
        <v>0.13639999999999999</v>
      </c>
      <c r="L51" s="25">
        <f>IF(ISNUMBER(INDEX(Dataset2_Raw!$C$2:$C$611,$Q51)),INDEX(Dataset2_Raw!$C$2:$C$611,$Q51),"")</f>
        <v>0.47</v>
      </c>
      <c r="M51" s="25">
        <f>IF(ISNUMBER(INDEX(Dataset2_Raw!$D$2:$D$611,$Q51)),INDEX(Dataset2_Raw!$D$2:$D$611,$Q51),"")</f>
        <v>0.3881</v>
      </c>
      <c r="N51" s="23">
        <f>IF(ISNUMBER(INDEX(Dataset2_Raw!$E$2:$E$611,$Q51)),INDEX(Dataset2_Raw!$E$2:$E$611,$Q51),"")</f>
        <v>0</v>
      </c>
      <c r="O51" s="23">
        <f>IF(ISNUMBER(INDEX(Dataset2_Raw!$F$2:$F$611,$Q51)),INDEX(Dataset2_Raw!$F$2:$F$611,$Q51),"")</f>
        <v>1</v>
      </c>
      <c r="P51" s="23">
        <f>IF(ISNUMBER(INDEX(Dataset2_Raw!$G$2:$G$611,$Q51)),INDEX(Dataset2_Raw!$G$2:$G$611,$Q51),"")</f>
        <v>1</v>
      </c>
      <c r="Q51" s="23">
        <f>IFERROR(MATCH($A51,Dataset2_Raw!$A$2:$A$611,0),0)</f>
        <v>50</v>
      </c>
    </row>
    <row r="52" spans="1:17" x14ac:dyDescent="0.35">
      <c r="A52" s="23">
        <f>Dataset1_Raw!A52</f>
        <v>51</v>
      </c>
      <c r="B52" s="24">
        <f>Dataset1_Raw!B52</f>
        <v>40546</v>
      </c>
      <c r="C52" s="23">
        <f>Dataset1_Raw!C52</f>
        <v>1</v>
      </c>
      <c r="D52" s="23">
        <f>Dataset1_Raw!D52</f>
        <v>0</v>
      </c>
      <c r="E52" s="23">
        <f>Dataset1_Raw!E52</f>
        <v>1</v>
      </c>
      <c r="F52" s="23">
        <f>Dataset1_Raw!F52</f>
        <v>5</v>
      </c>
      <c r="G52" s="23" t="b">
        <f>Dataset1_Raw!G52</f>
        <v>0</v>
      </c>
      <c r="H52" s="23">
        <f>Dataset1_Raw!H52</f>
        <v>1</v>
      </c>
      <c r="I52" s="23">
        <f>Dataset1_Raw!I52</f>
        <v>1</v>
      </c>
      <c r="J52" s="25">
        <f>Dataset1_Raw!J52</f>
        <v>0.16</v>
      </c>
      <c r="K52" s="25">
        <f>IF(ISNUMBER(INDEX(Dataset2_Raw!$B$2:$B$611,$Q52)),INDEX(Dataset2_Raw!$B$2:$B$611,$Q52),"")</f>
        <v>0.13639999999999999</v>
      </c>
      <c r="L52" s="25">
        <f>IF(ISNUMBER(INDEX(Dataset2_Raw!$C$2:$C$611,$Q52)),INDEX(Dataset2_Raw!$C$2:$C$611,$Q52),"")</f>
        <v>0.47</v>
      </c>
      <c r="M52" s="25">
        <f>IF(ISNUMBER(INDEX(Dataset2_Raw!$D$2:$D$611,$Q52)),INDEX(Dataset2_Raw!$D$2:$D$611,$Q52),"")</f>
        <v>0.28360000000000002</v>
      </c>
      <c r="N52" s="23">
        <f>IF(ISNUMBER(INDEX(Dataset2_Raw!$E$2:$E$611,$Q52)),INDEX(Dataset2_Raw!$E$2:$E$611,$Q52),"")</f>
        <v>0</v>
      </c>
      <c r="O52" s="23">
        <f>IF(ISNUMBER(INDEX(Dataset2_Raw!$F$2:$F$611,$Q52)),INDEX(Dataset2_Raw!$F$2:$F$611,$Q52),"")</f>
        <v>3</v>
      </c>
      <c r="P52" s="23">
        <f>IF(ISNUMBER(INDEX(Dataset2_Raw!$G$2:$G$611,$Q52)),INDEX(Dataset2_Raw!$G$2:$G$611,$Q52),"")</f>
        <v>3</v>
      </c>
      <c r="Q52" s="23">
        <f>IFERROR(MATCH($A52,Dataset2_Raw!$A$2:$A$611,0),0)</f>
        <v>51</v>
      </c>
    </row>
    <row r="53" spans="1:17" x14ac:dyDescent="0.35">
      <c r="A53" s="23">
        <f>Dataset1_Raw!A53</f>
        <v>52</v>
      </c>
      <c r="B53" s="24">
        <f>Dataset1_Raw!B53</f>
        <v>40546</v>
      </c>
      <c r="C53" s="23">
        <f>Dataset1_Raw!C53</f>
        <v>1</v>
      </c>
      <c r="D53" s="23">
        <f>Dataset1_Raw!D53</f>
        <v>0</v>
      </c>
      <c r="E53" s="23">
        <f>Dataset1_Raw!E53</f>
        <v>1</v>
      </c>
      <c r="F53" s="23">
        <f>Dataset1_Raw!F53</f>
        <v>6</v>
      </c>
      <c r="G53" s="23" t="b">
        <f>Dataset1_Raw!G53</f>
        <v>0</v>
      </c>
      <c r="H53" s="23">
        <f>Dataset1_Raw!H53</f>
        <v>1</v>
      </c>
      <c r="I53" s="23">
        <f>Dataset1_Raw!I53</f>
        <v>1</v>
      </c>
      <c r="J53" s="25">
        <f>Dataset1_Raw!J53</f>
        <v>0.14000000000000001</v>
      </c>
      <c r="K53" s="25">
        <f>IF(ISNUMBER(INDEX(Dataset2_Raw!$B$2:$B$611,$Q53)),INDEX(Dataset2_Raw!$B$2:$B$611,$Q53),"")</f>
        <v>0.1061</v>
      </c>
      <c r="L53" s="25">
        <f>IF(ISNUMBER(INDEX(Dataset2_Raw!$C$2:$C$611,$Q53)),INDEX(Dataset2_Raw!$C$2:$C$611,$Q53),"")</f>
        <v>0.5</v>
      </c>
      <c r="M53" s="25">
        <f>IF(ISNUMBER(INDEX(Dataset2_Raw!$D$2:$D$611,$Q53)),INDEX(Dataset2_Raw!$D$2:$D$611,$Q53),"")</f>
        <v>0.3881</v>
      </c>
      <c r="N53" s="23">
        <f>IF(ISNUMBER(INDEX(Dataset2_Raw!$E$2:$E$611,$Q53)),INDEX(Dataset2_Raw!$E$2:$E$611,$Q53),"")</f>
        <v>0</v>
      </c>
      <c r="O53" s="23">
        <f>IF(ISNUMBER(INDEX(Dataset2_Raw!$F$2:$F$611,$Q53)),INDEX(Dataset2_Raw!$F$2:$F$611,$Q53),"")</f>
        <v>30</v>
      </c>
      <c r="P53" s="23">
        <f>IF(ISNUMBER(INDEX(Dataset2_Raw!$G$2:$G$611,$Q53)),INDEX(Dataset2_Raw!$G$2:$G$611,$Q53),"")</f>
        <v>30</v>
      </c>
      <c r="Q53" s="23">
        <f>IFERROR(MATCH($A53,Dataset2_Raw!$A$2:$A$611,0),0)</f>
        <v>52</v>
      </c>
    </row>
    <row r="54" spans="1:17" x14ac:dyDescent="0.35">
      <c r="A54" s="23">
        <f>Dataset1_Raw!A54</f>
        <v>53</v>
      </c>
      <c r="B54" s="24">
        <f>Dataset1_Raw!B54</f>
        <v>40546</v>
      </c>
      <c r="C54" s="23">
        <f>Dataset1_Raw!C54</f>
        <v>1</v>
      </c>
      <c r="D54" s="23">
        <f>Dataset1_Raw!D54</f>
        <v>0</v>
      </c>
      <c r="E54" s="23">
        <f>Dataset1_Raw!E54</f>
        <v>1</v>
      </c>
      <c r="F54" s="23">
        <f>Dataset1_Raw!F54</f>
        <v>7</v>
      </c>
      <c r="G54" s="23" t="b">
        <f>Dataset1_Raw!G54</f>
        <v>0</v>
      </c>
      <c r="H54" s="23">
        <f>Dataset1_Raw!H54</f>
        <v>1</v>
      </c>
      <c r="I54" s="23">
        <f>Dataset1_Raw!I54</f>
        <v>1</v>
      </c>
      <c r="J54" s="25">
        <f>Dataset1_Raw!J54</f>
        <v>0.14000000000000001</v>
      </c>
      <c r="K54" s="25">
        <f>IF(ISNUMBER(INDEX(Dataset2_Raw!$B$2:$B$611,$Q54)),INDEX(Dataset2_Raw!$B$2:$B$611,$Q54),"")</f>
        <v>0.13639999999999999</v>
      </c>
      <c r="L54" s="25">
        <f>IF(ISNUMBER(INDEX(Dataset2_Raw!$C$2:$C$611,$Q54)),INDEX(Dataset2_Raw!$C$2:$C$611,$Q54),"")</f>
        <v>0.5</v>
      </c>
      <c r="M54" s="25">
        <f>IF(ISNUMBER(INDEX(Dataset2_Raw!$D$2:$D$611,$Q54)),INDEX(Dataset2_Raw!$D$2:$D$611,$Q54),"")</f>
        <v>0.19400000000000001</v>
      </c>
      <c r="N54" s="23">
        <f>IF(ISNUMBER(INDEX(Dataset2_Raw!$E$2:$E$611,$Q54)),INDEX(Dataset2_Raw!$E$2:$E$611,$Q54),"")</f>
        <v>1</v>
      </c>
      <c r="O54" s="23">
        <f>IF(ISNUMBER(INDEX(Dataset2_Raw!$F$2:$F$611,$Q54)),INDEX(Dataset2_Raw!$F$2:$F$611,$Q54),"")</f>
        <v>63</v>
      </c>
      <c r="P54" s="23">
        <f>IF(ISNUMBER(INDEX(Dataset2_Raw!$G$2:$G$611,$Q54)),INDEX(Dataset2_Raw!$G$2:$G$611,$Q54),"")</f>
        <v>64</v>
      </c>
      <c r="Q54" s="23">
        <f>IFERROR(MATCH($A54,Dataset2_Raw!$A$2:$A$611,0),0)</f>
        <v>53</v>
      </c>
    </row>
    <row r="55" spans="1:17" x14ac:dyDescent="0.35">
      <c r="A55" s="23">
        <f>Dataset1_Raw!A55</f>
        <v>54</v>
      </c>
      <c r="B55" s="24">
        <f>Dataset1_Raw!B55</f>
        <v>40546</v>
      </c>
      <c r="C55" s="23">
        <f>Dataset1_Raw!C55</f>
        <v>1</v>
      </c>
      <c r="D55" s="23">
        <f>Dataset1_Raw!D55</f>
        <v>0</v>
      </c>
      <c r="E55" s="23">
        <f>Dataset1_Raw!E55</f>
        <v>1</v>
      </c>
      <c r="F55" s="23">
        <f>Dataset1_Raw!F55</f>
        <v>8</v>
      </c>
      <c r="G55" s="23" t="b">
        <f>Dataset1_Raw!G55</f>
        <v>0</v>
      </c>
      <c r="H55" s="23">
        <f>Dataset1_Raw!H55</f>
        <v>1</v>
      </c>
      <c r="I55" s="23">
        <f>Dataset1_Raw!I55</f>
        <v>1</v>
      </c>
      <c r="J55" s="25">
        <f>Dataset1_Raw!J55</f>
        <v>0.14000000000000001</v>
      </c>
      <c r="K55" s="25">
        <f>IF(ISNUMBER(INDEX(Dataset2_Raw!$B$2:$B$611,$Q55)),INDEX(Dataset2_Raw!$B$2:$B$611,$Q55),"")</f>
        <v>0.1212</v>
      </c>
      <c r="L55" s="25">
        <f>IF(ISNUMBER(INDEX(Dataset2_Raw!$C$2:$C$611,$Q55)),INDEX(Dataset2_Raw!$C$2:$C$611,$Q55),"")</f>
        <v>0.5</v>
      </c>
      <c r="M55" s="25">
        <f>IF(ISNUMBER(INDEX(Dataset2_Raw!$D$2:$D$611,$Q55)),INDEX(Dataset2_Raw!$D$2:$D$611,$Q55),"")</f>
        <v>0.28360000000000002</v>
      </c>
      <c r="N55" s="23">
        <f>IF(ISNUMBER(INDEX(Dataset2_Raw!$E$2:$E$611,$Q55)),INDEX(Dataset2_Raw!$E$2:$E$611,$Q55),"")</f>
        <v>1</v>
      </c>
      <c r="O55" s="23">
        <f>IF(ISNUMBER(INDEX(Dataset2_Raw!$F$2:$F$611,$Q55)),INDEX(Dataset2_Raw!$F$2:$F$611,$Q55),"")</f>
        <v>153</v>
      </c>
      <c r="P55" s="23">
        <f>IF(ISNUMBER(INDEX(Dataset2_Raw!$G$2:$G$611,$Q55)),INDEX(Dataset2_Raw!$G$2:$G$611,$Q55),"")</f>
        <v>154</v>
      </c>
      <c r="Q55" s="23">
        <f>IFERROR(MATCH($A55,Dataset2_Raw!$A$2:$A$611,0),0)</f>
        <v>54</v>
      </c>
    </row>
    <row r="56" spans="1:17" x14ac:dyDescent="0.35">
      <c r="A56" s="23">
        <f>Dataset1_Raw!A56</f>
        <v>55</v>
      </c>
      <c r="B56" s="24">
        <f>Dataset1_Raw!B56</f>
        <v>40546</v>
      </c>
      <c r="C56" s="23">
        <f>Dataset1_Raw!C56</f>
        <v>1</v>
      </c>
      <c r="D56" s="23">
        <f>Dataset1_Raw!D56</f>
        <v>0</v>
      </c>
      <c r="E56" s="23">
        <f>Dataset1_Raw!E56</f>
        <v>1</v>
      </c>
      <c r="F56" s="23">
        <f>Dataset1_Raw!F56</f>
        <v>9</v>
      </c>
      <c r="G56" s="23" t="b">
        <f>Dataset1_Raw!G56</f>
        <v>0</v>
      </c>
      <c r="H56" s="23">
        <f>Dataset1_Raw!H56</f>
        <v>1</v>
      </c>
      <c r="I56" s="23">
        <f>Dataset1_Raw!I56</f>
        <v>1</v>
      </c>
      <c r="J56" s="25">
        <f>Dataset1_Raw!J56</f>
        <v>0.16</v>
      </c>
      <c r="K56" s="25">
        <f>IF(ISNUMBER(INDEX(Dataset2_Raw!$B$2:$B$611,$Q56)),INDEX(Dataset2_Raw!$B$2:$B$611,$Q56),"")</f>
        <v>0.13639999999999999</v>
      </c>
      <c r="L56" s="25">
        <f>IF(ISNUMBER(INDEX(Dataset2_Raw!$C$2:$C$611,$Q56)),INDEX(Dataset2_Raw!$C$2:$C$611,$Q56),"")</f>
        <v>0.43</v>
      </c>
      <c r="M56" s="25">
        <f>IF(ISNUMBER(INDEX(Dataset2_Raw!$D$2:$D$611,$Q56)),INDEX(Dataset2_Raw!$D$2:$D$611,$Q56),"")</f>
        <v>0.3881</v>
      </c>
      <c r="N56" s="23">
        <f>IF(ISNUMBER(INDEX(Dataset2_Raw!$E$2:$E$611,$Q56)),INDEX(Dataset2_Raw!$E$2:$E$611,$Q56),"")</f>
        <v>7</v>
      </c>
      <c r="O56" s="23">
        <f>IF(ISNUMBER(INDEX(Dataset2_Raw!$F$2:$F$611,$Q56)),INDEX(Dataset2_Raw!$F$2:$F$611,$Q56),"")</f>
        <v>81</v>
      </c>
      <c r="P56" s="23">
        <f>IF(ISNUMBER(INDEX(Dataset2_Raw!$G$2:$G$611,$Q56)),INDEX(Dataset2_Raw!$G$2:$G$611,$Q56),"")</f>
        <v>88</v>
      </c>
      <c r="Q56" s="23">
        <f>IFERROR(MATCH($A56,Dataset2_Raw!$A$2:$A$611,0),0)</f>
        <v>55</v>
      </c>
    </row>
    <row r="57" spans="1:17" x14ac:dyDescent="0.35">
      <c r="A57" s="23">
        <f>Dataset1_Raw!A57</f>
        <v>56</v>
      </c>
      <c r="B57" s="24">
        <f>Dataset1_Raw!B57</f>
        <v>40546</v>
      </c>
      <c r="C57" s="23">
        <f>Dataset1_Raw!C57</f>
        <v>1</v>
      </c>
      <c r="D57" s="23">
        <f>Dataset1_Raw!D57</f>
        <v>0</v>
      </c>
      <c r="E57" s="23">
        <f>Dataset1_Raw!E57</f>
        <v>1</v>
      </c>
      <c r="F57" s="23">
        <f>Dataset1_Raw!F57</f>
        <v>10</v>
      </c>
      <c r="G57" s="23" t="b">
        <f>Dataset1_Raw!G57</f>
        <v>0</v>
      </c>
      <c r="H57" s="23">
        <f>Dataset1_Raw!H57</f>
        <v>1</v>
      </c>
      <c r="I57" s="23">
        <f>Dataset1_Raw!I57</f>
        <v>1</v>
      </c>
      <c r="J57" s="25">
        <f>Dataset1_Raw!J57</f>
        <v>0.18</v>
      </c>
      <c r="K57" s="25">
        <f>IF(ISNUMBER(INDEX(Dataset2_Raw!$B$2:$B$611,$Q57)),INDEX(Dataset2_Raw!$B$2:$B$611,$Q57),"")</f>
        <v>0.16669999999999999</v>
      </c>
      <c r="L57" s="25">
        <f>IF(ISNUMBER(INDEX(Dataset2_Raw!$C$2:$C$611,$Q57)),INDEX(Dataset2_Raw!$C$2:$C$611,$Q57),"")</f>
        <v>0.43</v>
      </c>
      <c r="M57" s="25">
        <f>IF(ISNUMBER(INDEX(Dataset2_Raw!$D$2:$D$611,$Q57)),INDEX(Dataset2_Raw!$D$2:$D$611,$Q57),"")</f>
        <v>0.25369999999999998</v>
      </c>
      <c r="N57" s="23">
        <f>IF(ISNUMBER(INDEX(Dataset2_Raw!$E$2:$E$611,$Q57)),INDEX(Dataset2_Raw!$E$2:$E$611,$Q57),"")</f>
        <v>11</v>
      </c>
      <c r="O57" s="23">
        <f>IF(ISNUMBER(INDEX(Dataset2_Raw!$F$2:$F$611,$Q57)),INDEX(Dataset2_Raw!$F$2:$F$611,$Q57),"")</f>
        <v>33</v>
      </c>
      <c r="P57" s="23">
        <f>IF(ISNUMBER(INDEX(Dataset2_Raw!$G$2:$G$611,$Q57)),INDEX(Dataset2_Raw!$G$2:$G$611,$Q57),"")</f>
        <v>44</v>
      </c>
      <c r="Q57" s="23">
        <f>IFERROR(MATCH($A57,Dataset2_Raw!$A$2:$A$611,0),0)</f>
        <v>56</v>
      </c>
    </row>
    <row r="58" spans="1:17" x14ac:dyDescent="0.35">
      <c r="A58" s="23">
        <f>Dataset1_Raw!A58</f>
        <v>57</v>
      </c>
      <c r="B58" s="24">
        <f>Dataset1_Raw!B58</f>
        <v>40546</v>
      </c>
      <c r="C58" s="23">
        <f>Dataset1_Raw!C58</f>
        <v>1</v>
      </c>
      <c r="D58" s="23">
        <f>Dataset1_Raw!D58</f>
        <v>0</v>
      </c>
      <c r="E58" s="23">
        <f>Dataset1_Raw!E58</f>
        <v>1</v>
      </c>
      <c r="F58" s="23">
        <f>Dataset1_Raw!F58</f>
        <v>11</v>
      </c>
      <c r="G58" s="23" t="b">
        <f>Dataset1_Raw!G58</f>
        <v>0</v>
      </c>
      <c r="H58" s="23">
        <f>Dataset1_Raw!H58</f>
        <v>1</v>
      </c>
      <c r="I58" s="23">
        <f>Dataset1_Raw!I58</f>
        <v>1</v>
      </c>
      <c r="J58" s="25">
        <f>Dataset1_Raw!J58</f>
        <v>0.2</v>
      </c>
      <c r="K58" s="25">
        <f>IF(ISNUMBER(INDEX(Dataset2_Raw!$B$2:$B$611,$Q58)),INDEX(Dataset2_Raw!$B$2:$B$611,$Q58),"")</f>
        <v>0.18179999999999999</v>
      </c>
      <c r="L58" s="25">
        <f>IF(ISNUMBER(INDEX(Dataset2_Raw!$C$2:$C$611,$Q58)),INDEX(Dataset2_Raw!$C$2:$C$611,$Q58),"")</f>
        <v>0.4</v>
      </c>
      <c r="M58" s="25">
        <f>IF(ISNUMBER(INDEX(Dataset2_Raw!$D$2:$D$611,$Q58)),INDEX(Dataset2_Raw!$D$2:$D$611,$Q58),"")</f>
        <v>0.32840000000000003</v>
      </c>
      <c r="N58" s="23">
        <f>IF(ISNUMBER(INDEX(Dataset2_Raw!$E$2:$E$611,$Q58)),INDEX(Dataset2_Raw!$E$2:$E$611,$Q58),"")</f>
        <v>10</v>
      </c>
      <c r="O58" s="23">
        <f>IF(ISNUMBER(INDEX(Dataset2_Raw!$F$2:$F$611,$Q58)),INDEX(Dataset2_Raw!$F$2:$F$611,$Q58),"")</f>
        <v>41</v>
      </c>
      <c r="P58" s="23">
        <f>IF(ISNUMBER(INDEX(Dataset2_Raw!$G$2:$G$611,$Q58)),INDEX(Dataset2_Raw!$G$2:$G$611,$Q58),"")</f>
        <v>51</v>
      </c>
      <c r="Q58" s="23">
        <f>IFERROR(MATCH($A58,Dataset2_Raw!$A$2:$A$611,0),0)</f>
        <v>57</v>
      </c>
    </row>
    <row r="59" spans="1:17" x14ac:dyDescent="0.35">
      <c r="A59" s="23">
        <f>Dataset1_Raw!A59</f>
        <v>58</v>
      </c>
      <c r="B59" s="24">
        <f>Dataset1_Raw!B59</f>
        <v>40546</v>
      </c>
      <c r="C59" s="23">
        <f>Dataset1_Raw!C59</f>
        <v>1</v>
      </c>
      <c r="D59" s="23">
        <f>Dataset1_Raw!D59</f>
        <v>0</v>
      </c>
      <c r="E59" s="23">
        <f>Dataset1_Raw!E59</f>
        <v>1</v>
      </c>
      <c r="F59" s="23">
        <f>Dataset1_Raw!F59</f>
        <v>12</v>
      </c>
      <c r="G59" s="23" t="b">
        <f>Dataset1_Raw!G59</f>
        <v>0</v>
      </c>
      <c r="H59" s="23">
        <f>Dataset1_Raw!H59</f>
        <v>1</v>
      </c>
      <c r="I59" s="23">
        <f>Dataset1_Raw!I59</f>
        <v>1</v>
      </c>
      <c r="J59" s="25">
        <f>Dataset1_Raw!J59</f>
        <v>0.22</v>
      </c>
      <c r="K59" s="25">
        <f>IF(ISNUMBER(INDEX(Dataset2_Raw!$B$2:$B$611,$Q59)),INDEX(Dataset2_Raw!$B$2:$B$611,$Q59),"")</f>
        <v>0.21210000000000001</v>
      </c>
      <c r="L59" s="25">
        <f>IF(ISNUMBER(INDEX(Dataset2_Raw!$C$2:$C$611,$Q59)),INDEX(Dataset2_Raw!$C$2:$C$611,$Q59),"")</f>
        <v>0.35</v>
      </c>
      <c r="M59" s="25">
        <f>IF(ISNUMBER(INDEX(Dataset2_Raw!$D$2:$D$611,$Q59)),INDEX(Dataset2_Raw!$D$2:$D$611,$Q59),"")</f>
        <v>0.29849999999999999</v>
      </c>
      <c r="N59" s="23">
        <f>IF(ISNUMBER(INDEX(Dataset2_Raw!$E$2:$E$611,$Q59)),INDEX(Dataset2_Raw!$E$2:$E$611,$Q59),"")</f>
        <v>13</v>
      </c>
      <c r="O59" s="23">
        <f>IF(ISNUMBER(INDEX(Dataset2_Raw!$F$2:$F$611,$Q59)),INDEX(Dataset2_Raw!$F$2:$F$611,$Q59),"")</f>
        <v>48</v>
      </c>
      <c r="P59" s="23">
        <f>IF(ISNUMBER(INDEX(Dataset2_Raw!$G$2:$G$611,$Q59)),INDEX(Dataset2_Raw!$G$2:$G$611,$Q59),"")</f>
        <v>61</v>
      </c>
      <c r="Q59" s="23">
        <f>IFERROR(MATCH($A59,Dataset2_Raw!$A$2:$A$611,0),0)</f>
        <v>58</v>
      </c>
    </row>
    <row r="60" spans="1:17" x14ac:dyDescent="0.35">
      <c r="A60" s="23">
        <f>Dataset1_Raw!A60</f>
        <v>59</v>
      </c>
      <c r="B60" s="24">
        <f>Dataset1_Raw!B60</f>
        <v>40546</v>
      </c>
      <c r="C60" s="23">
        <f>Dataset1_Raw!C60</f>
        <v>1</v>
      </c>
      <c r="D60" s="23">
        <f>Dataset1_Raw!D60</f>
        <v>0</v>
      </c>
      <c r="E60" s="23">
        <f>Dataset1_Raw!E60</f>
        <v>1</v>
      </c>
      <c r="F60" s="23">
        <f>Dataset1_Raw!F60</f>
        <v>13</v>
      </c>
      <c r="G60" s="23" t="b">
        <f>Dataset1_Raw!G60</f>
        <v>0</v>
      </c>
      <c r="H60" s="23">
        <f>Dataset1_Raw!H60</f>
        <v>1</v>
      </c>
      <c r="I60" s="23">
        <f>Dataset1_Raw!I60</f>
        <v>1</v>
      </c>
      <c r="J60" s="25">
        <f>Dataset1_Raw!J60</f>
        <v>0.24</v>
      </c>
      <c r="K60" s="25" t="str">
        <f>IF(ISNUMBER(INDEX(Dataset2_Raw!$B$2:$B$611,$Q60)),INDEX(Dataset2_Raw!$B$2:$B$611,$Q60),"")</f>
        <v/>
      </c>
      <c r="L60" s="25">
        <f>IF(ISNUMBER(INDEX(Dataset2_Raw!$C$2:$C$611,$Q60)),INDEX(Dataset2_Raw!$C$2:$C$611,$Q60),"")</f>
        <v>0.35</v>
      </c>
      <c r="M60" s="25">
        <f>IF(ISNUMBER(INDEX(Dataset2_Raw!$D$2:$D$611,$Q60)),INDEX(Dataset2_Raw!$D$2:$D$611,$Q60),"")</f>
        <v>0.28360000000000002</v>
      </c>
      <c r="N60" s="23">
        <f>IF(ISNUMBER(INDEX(Dataset2_Raw!$E$2:$E$611,$Q60)),INDEX(Dataset2_Raw!$E$2:$E$611,$Q60),"")</f>
        <v>8</v>
      </c>
      <c r="O60" s="23">
        <f>IF(ISNUMBER(INDEX(Dataset2_Raw!$F$2:$F$611,$Q60)),INDEX(Dataset2_Raw!$F$2:$F$611,$Q60),"")</f>
        <v>53</v>
      </c>
      <c r="P60" s="23">
        <f>IF(ISNUMBER(INDEX(Dataset2_Raw!$G$2:$G$611,$Q60)),INDEX(Dataset2_Raw!$G$2:$G$611,$Q60),"")</f>
        <v>61</v>
      </c>
      <c r="Q60" s="23">
        <f>IFERROR(MATCH($A60,Dataset2_Raw!$A$2:$A$611,0),0)</f>
        <v>59</v>
      </c>
    </row>
    <row r="61" spans="1:17" x14ac:dyDescent="0.35">
      <c r="A61" s="23">
        <f>Dataset1_Raw!A61</f>
        <v>60</v>
      </c>
      <c r="B61" s="24">
        <f>Dataset1_Raw!B61</f>
        <v>40546</v>
      </c>
      <c r="C61" s="23">
        <f>Dataset1_Raw!C61</f>
        <v>1</v>
      </c>
      <c r="D61" s="23">
        <f>Dataset1_Raw!D61</f>
        <v>0</v>
      </c>
      <c r="E61" s="23">
        <f>Dataset1_Raw!E61</f>
        <v>1</v>
      </c>
      <c r="F61" s="23">
        <f>Dataset1_Raw!F61</f>
        <v>14</v>
      </c>
      <c r="G61" s="23" t="b">
        <f>Dataset1_Raw!G61</f>
        <v>0</v>
      </c>
      <c r="H61" s="23">
        <f>Dataset1_Raw!H61</f>
        <v>1</v>
      </c>
      <c r="I61" s="23">
        <f>Dataset1_Raw!I61</f>
        <v>1</v>
      </c>
      <c r="J61" s="25">
        <f>Dataset1_Raw!J61</f>
        <v>0.26</v>
      </c>
      <c r="K61" s="25">
        <f>IF(ISNUMBER(INDEX(Dataset2_Raw!$B$2:$B$611,$Q61)),INDEX(Dataset2_Raw!$B$2:$B$611,$Q61),"")</f>
        <v>0.2424</v>
      </c>
      <c r="L61" s="25">
        <f>IF(ISNUMBER(INDEX(Dataset2_Raw!$C$2:$C$611,$Q61)),INDEX(Dataset2_Raw!$C$2:$C$611,$Q61),"")</f>
        <v>0.3</v>
      </c>
      <c r="M61" s="25">
        <f>IF(ISNUMBER(INDEX(Dataset2_Raw!$D$2:$D$611,$Q61)),INDEX(Dataset2_Raw!$D$2:$D$611,$Q61),"")</f>
        <v>0.28360000000000002</v>
      </c>
      <c r="N61" s="23">
        <f>IF(ISNUMBER(INDEX(Dataset2_Raw!$E$2:$E$611,$Q61)),INDEX(Dataset2_Raw!$E$2:$E$611,$Q61),"")</f>
        <v>11</v>
      </c>
      <c r="O61" s="23">
        <f>IF(ISNUMBER(INDEX(Dataset2_Raw!$F$2:$F$611,$Q61)),INDEX(Dataset2_Raw!$F$2:$F$611,$Q61),"")</f>
        <v>66</v>
      </c>
      <c r="P61" s="23">
        <f>IF(ISNUMBER(INDEX(Dataset2_Raw!$G$2:$G$611,$Q61)),INDEX(Dataset2_Raw!$G$2:$G$611,$Q61),"")</f>
        <v>77</v>
      </c>
      <c r="Q61" s="23">
        <f>IFERROR(MATCH($A61,Dataset2_Raw!$A$2:$A$611,0),0)</f>
        <v>60</v>
      </c>
    </row>
    <row r="62" spans="1:17" x14ac:dyDescent="0.35">
      <c r="A62" s="23">
        <f>Dataset1_Raw!A62</f>
        <v>61</v>
      </c>
      <c r="B62" s="24">
        <f>Dataset1_Raw!B62</f>
        <v>40546</v>
      </c>
      <c r="C62" s="23">
        <f>Dataset1_Raw!C62</f>
        <v>1</v>
      </c>
      <c r="D62" s="23">
        <f>Dataset1_Raw!D62</f>
        <v>0</v>
      </c>
      <c r="E62" s="23">
        <f>Dataset1_Raw!E62</f>
        <v>1</v>
      </c>
      <c r="F62" s="23">
        <f>Dataset1_Raw!F62</f>
        <v>15</v>
      </c>
      <c r="G62" s="23" t="b">
        <f>Dataset1_Raw!G62</f>
        <v>0</v>
      </c>
      <c r="H62" s="23">
        <f>Dataset1_Raw!H62</f>
        <v>1</v>
      </c>
      <c r="I62" s="23">
        <f>Dataset1_Raw!I62</f>
        <v>1</v>
      </c>
      <c r="J62" s="25">
        <f>Dataset1_Raw!J62</f>
        <v>0.26</v>
      </c>
      <c r="K62" s="25">
        <f>IF(ISNUMBER(INDEX(Dataset2_Raw!$B$2:$B$611,$Q62)),INDEX(Dataset2_Raw!$B$2:$B$611,$Q62),"")</f>
        <v>0.2424</v>
      </c>
      <c r="L62" s="25">
        <f>IF(ISNUMBER(INDEX(Dataset2_Raw!$C$2:$C$611,$Q62)),INDEX(Dataset2_Raw!$C$2:$C$611,$Q62),"")</f>
        <v>0.3</v>
      </c>
      <c r="M62" s="25">
        <f>IF(ISNUMBER(INDEX(Dataset2_Raw!$D$2:$D$611,$Q62)),INDEX(Dataset2_Raw!$D$2:$D$611,$Q62),"")</f>
        <v>0.25369999999999998</v>
      </c>
      <c r="N62" s="23">
        <f>IF(ISNUMBER(INDEX(Dataset2_Raw!$E$2:$E$611,$Q62)),INDEX(Dataset2_Raw!$E$2:$E$611,$Q62),"")</f>
        <v>14</v>
      </c>
      <c r="O62" s="23">
        <f>IF(ISNUMBER(INDEX(Dataset2_Raw!$F$2:$F$611,$Q62)),INDEX(Dataset2_Raw!$F$2:$F$611,$Q62),"")</f>
        <v>58</v>
      </c>
      <c r="P62" s="23">
        <f>IF(ISNUMBER(INDEX(Dataset2_Raw!$G$2:$G$611,$Q62)),INDEX(Dataset2_Raw!$G$2:$G$611,$Q62),"")</f>
        <v>72</v>
      </c>
      <c r="Q62" s="23">
        <f>IFERROR(MATCH($A62,Dataset2_Raw!$A$2:$A$611,0),0)</f>
        <v>61</v>
      </c>
    </row>
    <row r="63" spans="1:17" x14ac:dyDescent="0.35">
      <c r="A63" s="23">
        <f>Dataset1_Raw!A63</f>
        <v>62</v>
      </c>
      <c r="B63" s="24">
        <f>Dataset1_Raw!B63</f>
        <v>40546</v>
      </c>
      <c r="C63" s="23">
        <f>Dataset1_Raw!C63</f>
        <v>1</v>
      </c>
      <c r="D63" s="23">
        <f>Dataset1_Raw!D63</f>
        <v>0</v>
      </c>
      <c r="E63" s="23">
        <f>Dataset1_Raw!E63</f>
        <v>1</v>
      </c>
      <c r="F63" s="23">
        <f>Dataset1_Raw!F63</f>
        <v>16</v>
      </c>
      <c r="G63" s="23" t="b">
        <f>Dataset1_Raw!G63</f>
        <v>0</v>
      </c>
      <c r="H63" s="23">
        <f>Dataset1_Raw!H63</f>
        <v>1</v>
      </c>
      <c r="I63" s="23">
        <f>Dataset1_Raw!I63</f>
        <v>1</v>
      </c>
      <c r="J63" s="25">
        <f>Dataset1_Raw!J63</f>
        <v>0.26</v>
      </c>
      <c r="K63" s="25">
        <f>IF(ISNUMBER(INDEX(Dataset2_Raw!$B$2:$B$611,$Q63)),INDEX(Dataset2_Raw!$B$2:$B$611,$Q63),"")</f>
        <v>0.2424</v>
      </c>
      <c r="L63" s="25">
        <f>IF(ISNUMBER(INDEX(Dataset2_Raw!$C$2:$C$611,$Q63)),INDEX(Dataset2_Raw!$C$2:$C$611,$Q63),"")</f>
        <v>0.3</v>
      </c>
      <c r="M63" s="25">
        <f>IF(ISNUMBER(INDEX(Dataset2_Raw!$D$2:$D$611,$Q63)),INDEX(Dataset2_Raw!$D$2:$D$611,$Q63),"")</f>
        <v>0.25369999999999998</v>
      </c>
      <c r="N63" s="23">
        <f>IF(ISNUMBER(INDEX(Dataset2_Raw!$E$2:$E$611,$Q63)),INDEX(Dataset2_Raw!$E$2:$E$611,$Q63),"")</f>
        <v>9</v>
      </c>
      <c r="O63" s="23">
        <f>IF(ISNUMBER(INDEX(Dataset2_Raw!$F$2:$F$611,$Q63)),INDEX(Dataset2_Raw!$F$2:$F$611,$Q63),"")</f>
        <v>67</v>
      </c>
      <c r="P63" s="23">
        <f>IF(ISNUMBER(INDEX(Dataset2_Raw!$G$2:$G$611,$Q63)),INDEX(Dataset2_Raw!$G$2:$G$611,$Q63),"")</f>
        <v>76</v>
      </c>
      <c r="Q63" s="23">
        <f>IFERROR(MATCH($A63,Dataset2_Raw!$A$2:$A$611,0),0)</f>
        <v>62</v>
      </c>
    </row>
    <row r="64" spans="1:17" x14ac:dyDescent="0.35">
      <c r="A64" s="23">
        <f>Dataset1_Raw!A64</f>
        <v>63</v>
      </c>
      <c r="B64" s="24">
        <f>Dataset1_Raw!B64</f>
        <v>40546</v>
      </c>
      <c r="C64" s="23">
        <f>Dataset1_Raw!C64</f>
        <v>1</v>
      </c>
      <c r="D64" s="23">
        <f>Dataset1_Raw!D64</f>
        <v>0</v>
      </c>
      <c r="E64" s="23">
        <f>Dataset1_Raw!E64</f>
        <v>1</v>
      </c>
      <c r="F64" s="23">
        <f>Dataset1_Raw!F64</f>
        <v>17</v>
      </c>
      <c r="G64" s="23" t="b">
        <f>Dataset1_Raw!G64</f>
        <v>0</v>
      </c>
      <c r="H64" s="23">
        <f>Dataset1_Raw!H64</f>
        <v>1</v>
      </c>
      <c r="I64" s="23">
        <f>Dataset1_Raw!I64</f>
        <v>1</v>
      </c>
      <c r="J64" s="25">
        <f>Dataset1_Raw!J64</f>
        <v>0.24</v>
      </c>
      <c r="K64" s="25">
        <f>IF(ISNUMBER(INDEX(Dataset2_Raw!$B$2:$B$611,$Q64)),INDEX(Dataset2_Raw!$B$2:$B$611,$Q64),"")</f>
        <v>0.2273</v>
      </c>
      <c r="L64" s="25">
        <f>IF(ISNUMBER(INDEX(Dataset2_Raw!$C$2:$C$611,$Q64)),INDEX(Dataset2_Raw!$C$2:$C$611,$Q64),"")</f>
        <v>0.3</v>
      </c>
      <c r="M64" s="25">
        <f>IF(ISNUMBER(INDEX(Dataset2_Raw!$D$2:$D$611,$Q64)),INDEX(Dataset2_Raw!$D$2:$D$611,$Q64),"")</f>
        <v>0.22389999999999999</v>
      </c>
      <c r="N64" s="23">
        <f>IF(ISNUMBER(INDEX(Dataset2_Raw!$E$2:$E$611,$Q64)),INDEX(Dataset2_Raw!$E$2:$E$611,$Q64),"")</f>
        <v>11</v>
      </c>
      <c r="O64" s="23">
        <f>IF(ISNUMBER(INDEX(Dataset2_Raw!$F$2:$F$611,$Q64)),INDEX(Dataset2_Raw!$F$2:$F$611,$Q64),"")</f>
        <v>146</v>
      </c>
      <c r="P64" s="23">
        <f>IF(ISNUMBER(INDEX(Dataset2_Raw!$G$2:$G$611,$Q64)),INDEX(Dataset2_Raw!$G$2:$G$611,$Q64),"")</f>
        <v>157</v>
      </c>
      <c r="Q64" s="23">
        <f>IFERROR(MATCH($A64,Dataset2_Raw!$A$2:$A$611,0),0)</f>
        <v>63</v>
      </c>
    </row>
    <row r="65" spans="1:17" x14ac:dyDescent="0.35">
      <c r="A65" s="23">
        <f>Dataset1_Raw!A65</f>
        <v>64</v>
      </c>
      <c r="B65" s="24">
        <f>Dataset1_Raw!B65</f>
        <v>40546</v>
      </c>
      <c r="C65" s="23">
        <f>Dataset1_Raw!C65</f>
        <v>1</v>
      </c>
      <c r="D65" s="23">
        <f>Dataset1_Raw!D65</f>
        <v>0</v>
      </c>
      <c r="E65" s="23">
        <f>Dataset1_Raw!E65</f>
        <v>1</v>
      </c>
      <c r="F65" s="23">
        <f>Dataset1_Raw!F65</f>
        <v>18</v>
      </c>
      <c r="G65" s="23" t="b">
        <f>Dataset1_Raw!G65</f>
        <v>0</v>
      </c>
      <c r="H65" s="23">
        <f>Dataset1_Raw!H65</f>
        <v>1</v>
      </c>
      <c r="I65" s="23">
        <f>Dataset1_Raw!I65</f>
        <v>1</v>
      </c>
      <c r="J65" s="25">
        <f>Dataset1_Raw!J65</f>
        <v>0.24</v>
      </c>
      <c r="K65" s="25">
        <f>IF(ISNUMBER(INDEX(Dataset2_Raw!$B$2:$B$611,$Q65)),INDEX(Dataset2_Raw!$B$2:$B$611,$Q65),"")</f>
        <v>0.2576</v>
      </c>
      <c r="L65" s="25">
        <f>IF(ISNUMBER(INDEX(Dataset2_Raw!$C$2:$C$611,$Q65)),INDEX(Dataset2_Raw!$C$2:$C$611,$Q65),"")</f>
        <v>0.32</v>
      </c>
      <c r="M65" s="25">
        <f>IF(ISNUMBER(INDEX(Dataset2_Raw!$D$2:$D$611,$Q65)),INDEX(Dataset2_Raw!$D$2:$D$611,$Q65),"")</f>
        <v>0.1045</v>
      </c>
      <c r="N65" s="23">
        <f>IF(ISNUMBER(INDEX(Dataset2_Raw!$E$2:$E$611,$Q65)),INDEX(Dataset2_Raw!$E$2:$E$611,$Q65),"")</f>
        <v>9</v>
      </c>
      <c r="O65" s="23">
        <f>IF(ISNUMBER(INDEX(Dataset2_Raw!$F$2:$F$611,$Q65)),INDEX(Dataset2_Raw!$F$2:$F$611,$Q65),"")</f>
        <v>148</v>
      </c>
      <c r="P65" s="23">
        <f>IF(ISNUMBER(INDEX(Dataset2_Raw!$G$2:$G$611,$Q65)),INDEX(Dataset2_Raw!$G$2:$G$611,$Q65),"")</f>
        <v>157</v>
      </c>
      <c r="Q65" s="23">
        <f>IFERROR(MATCH($A65,Dataset2_Raw!$A$2:$A$611,0),0)</f>
        <v>64</v>
      </c>
    </row>
    <row r="66" spans="1:17" x14ac:dyDescent="0.35">
      <c r="A66" s="23">
        <f>Dataset1_Raw!A66</f>
        <v>65</v>
      </c>
      <c r="B66" s="24">
        <f>Dataset1_Raw!B66</f>
        <v>40546</v>
      </c>
      <c r="C66" s="23">
        <f>Dataset1_Raw!C66</f>
        <v>1</v>
      </c>
      <c r="D66" s="23">
        <f>Dataset1_Raw!D66</f>
        <v>0</v>
      </c>
      <c r="E66" s="23">
        <f>Dataset1_Raw!E66</f>
        <v>1</v>
      </c>
      <c r="F66" s="23">
        <f>Dataset1_Raw!F66</f>
        <v>19</v>
      </c>
      <c r="G66" s="23" t="b">
        <f>Dataset1_Raw!G66</f>
        <v>0</v>
      </c>
      <c r="H66" s="23">
        <f>Dataset1_Raw!H66</f>
        <v>1</v>
      </c>
      <c r="I66" s="23">
        <f>Dataset1_Raw!I66</f>
        <v>1</v>
      </c>
      <c r="J66" s="25">
        <f>Dataset1_Raw!J66</f>
        <v>0.2</v>
      </c>
      <c r="K66" s="25">
        <f>IF(ISNUMBER(INDEX(Dataset2_Raw!$B$2:$B$611,$Q66)),INDEX(Dataset2_Raw!$B$2:$B$611,$Q66),"")</f>
        <v>0.2576</v>
      </c>
      <c r="L66" s="25">
        <f>IF(ISNUMBER(INDEX(Dataset2_Raw!$C$2:$C$611,$Q66)),INDEX(Dataset2_Raw!$C$2:$C$611,$Q66),"")</f>
        <v>0.47</v>
      </c>
      <c r="M66" s="25">
        <f>IF(ISNUMBER(INDEX(Dataset2_Raw!$D$2:$D$611,$Q66)),INDEX(Dataset2_Raw!$D$2:$D$611,$Q66),"")</f>
        <v>0</v>
      </c>
      <c r="N66" s="23">
        <f>IF(ISNUMBER(INDEX(Dataset2_Raw!$E$2:$E$611,$Q66)),INDEX(Dataset2_Raw!$E$2:$E$611,$Q66),"")</f>
        <v>8</v>
      </c>
      <c r="O66" s="23">
        <f>IF(ISNUMBER(INDEX(Dataset2_Raw!$F$2:$F$611,$Q66)),INDEX(Dataset2_Raw!$F$2:$F$611,$Q66),"")</f>
        <v>102</v>
      </c>
      <c r="P66" s="23">
        <f>IF(ISNUMBER(INDEX(Dataset2_Raw!$G$2:$G$611,$Q66)),INDEX(Dataset2_Raw!$G$2:$G$611,$Q66),"")</f>
        <v>110</v>
      </c>
      <c r="Q66" s="23">
        <f>IFERROR(MATCH($A66,Dataset2_Raw!$A$2:$A$611,0),0)</f>
        <v>65</v>
      </c>
    </row>
    <row r="67" spans="1:17" x14ac:dyDescent="0.35">
      <c r="A67" s="23">
        <f>Dataset1_Raw!A67</f>
        <v>66</v>
      </c>
      <c r="B67" s="24">
        <f>Dataset1_Raw!B67</f>
        <v>40546</v>
      </c>
      <c r="C67" s="23">
        <f>Dataset1_Raw!C67</f>
        <v>1</v>
      </c>
      <c r="D67" s="23">
        <f>Dataset1_Raw!D67</f>
        <v>0</v>
      </c>
      <c r="E67" s="23">
        <f>Dataset1_Raw!E67</f>
        <v>1</v>
      </c>
      <c r="F67" s="23">
        <f>Dataset1_Raw!F67</f>
        <v>20</v>
      </c>
      <c r="G67" s="23" t="b">
        <f>Dataset1_Raw!G67</f>
        <v>0</v>
      </c>
      <c r="H67" s="23">
        <f>Dataset1_Raw!H67</f>
        <v>1</v>
      </c>
      <c r="I67" s="23">
        <f>Dataset1_Raw!I67</f>
        <v>1</v>
      </c>
      <c r="J67" s="25">
        <f>Dataset1_Raw!J67</f>
        <v>0.2</v>
      </c>
      <c r="K67" s="25" t="str">
        <f>IF(ISNUMBER(INDEX(Dataset2_Raw!$B$2:$B$611,$Q67)),INDEX(Dataset2_Raw!$B$2:$B$611,$Q67),"")</f>
        <v/>
      </c>
      <c r="L67" s="25">
        <f>IF(ISNUMBER(INDEX(Dataset2_Raw!$C$2:$C$611,$Q67)),INDEX(Dataset2_Raw!$C$2:$C$611,$Q67),"")</f>
        <v>0.47</v>
      </c>
      <c r="M67" s="25">
        <f>IF(ISNUMBER(INDEX(Dataset2_Raw!$D$2:$D$611,$Q67)),INDEX(Dataset2_Raw!$D$2:$D$611,$Q67),"")</f>
        <v>0.1045</v>
      </c>
      <c r="N67" s="23">
        <f>IF(ISNUMBER(INDEX(Dataset2_Raw!$E$2:$E$611,$Q67)),INDEX(Dataset2_Raw!$E$2:$E$611,$Q67),"")</f>
        <v>3</v>
      </c>
      <c r="O67" s="23">
        <f>IF(ISNUMBER(INDEX(Dataset2_Raw!$F$2:$F$611,$Q67)),INDEX(Dataset2_Raw!$F$2:$F$611,$Q67),"")</f>
        <v>49</v>
      </c>
      <c r="P67" s="23">
        <f>IF(ISNUMBER(INDEX(Dataset2_Raw!$G$2:$G$611,$Q67)),INDEX(Dataset2_Raw!$G$2:$G$611,$Q67),"")</f>
        <v>52</v>
      </c>
      <c r="Q67" s="23">
        <f>IFERROR(MATCH($A67,Dataset2_Raw!$A$2:$A$611,0),0)</f>
        <v>66</v>
      </c>
    </row>
    <row r="68" spans="1:17" x14ac:dyDescent="0.35">
      <c r="A68" s="23">
        <f>Dataset1_Raw!A68</f>
        <v>67</v>
      </c>
      <c r="B68" s="24">
        <f>Dataset1_Raw!B68</f>
        <v>40546</v>
      </c>
      <c r="C68" s="23">
        <f>Dataset1_Raw!C68</f>
        <v>1</v>
      </c>
      <c r="D68" s="23">
        <f>Dataset1_Raw!D68</f>
        <v>0</v>
      </c>
      <c r="E68" s="23">
        <f>Dataset1_Raw!E68</f>
        <v>1</v>
      </c>
      <c r="F68" s="23">
        <f>Dataset1_Raw!F68</f>
        <v>21</v>
      </c>
      <c r="G68" s="23" t="b">
        <f>Dataset1_Raw!G68</f>
        <v>0</v>
      </c>
      <c r="H68" s="23">
        <f>Dataset1_Raw!H68</f>
        <v>1</v>
      </c>
      <c r="I68" s="23">
        <f>Dataset1_Raw!I68</f>
        <v>1</v>
      </c>
      <c r="J68" s="25">
        <f>Dataset1_Raw!J68</f>
        <v>0.18</v>
      </c>
      <c r="K68" s="25">
        <f>IF(ISNUMBER(INDEX(Dataset2_Raw!$B$2:$B$611,$Q68)),INDEX(Dataset2_Raw!$B$2:$B$611,$Q68),"")</f>
        <v>0.19700000000000001</v>
      </c>
      <c r="L68" s="25">
        <f>IF(ISNUMBER(INDEX(Dataset2_Raw!$C$2:$C$611,$Q68)),INDEX(Dataset2_Raw!$C$2:$C$611,$Q68),"")</f>
        <v>0.64</v>
      </c>
      <c r="M68" s="25">
        <f>IF(ISNUMBER(INDEX(Dataset2_Raw!$D$2:$D$611,$Q68)),INDEX(Dataset2_Raw!$D$2:$D$611,$Q68),"")</f>
        <v>0.1343</v>
      </c>
      <c r="N68" s="23">
        <f>IF(ISNUMBER(INDEX(Dataset2_Raw!$E$2:$E$611,$Q68)),INDEX(Dataset2_Raw!$E$2:$E$611,$Q68),"")</f>
        <v>3</v>
      </c>
      <c r="O68" s="23">
        <f>IF(ISNUMBER(INDEX(Dataset2_Raw!$F$2:$F$611,$Q68)),INDEX(Dataset2_Raw!$F$2:$F$611,$Q68),"")</f>
        <v>49</v>
      </c>
      <c r="P68" s="23">
        <f>IF(ISNUMBER(INDEX(Dataset2_Raw!$G$2:$G$611,$Q68)),INDEX(Dataset2_Raw!$G$2:$G$611,$Q68),"")</f>
        <v>52</v>
      </c>
      <c r="Q68" s="23">
        <f>IFERROR(MATCH($A68,Dataset2_Raw!$A$2:$A$611,0),0)</f>
        <v>67</v>
      </c>
    </row>
    <row r="69" spans="1:17" x14ac:dyDescent="0.35">
      <c r="A69" s="23">
        <f>Dataset1_Raw!A69</f>
        <v>68</v>
      </c>
      <c r="B69" s="24">
        <f>Dataset1_Raw!B69</f>
        <v>40546</v>
      </c>
      <c r="C69" s="23">
        <f>Dataset1_Raw!C69</f>
        <v>1</v>
      </c>
      <c r="D69" s="23">
        <f>Dataset1_Raw!D69</f>
        <v>0</v>
      </c>
      <c r="E69" s="23">
        <f>Dataset1_Raw!E69</f>
        <v>1</v>
      </c>
      <c r="F69" s="23">
        <f>Dataset1_Raw!F69</f>
        <v>22</v>
      </c>
      <c r="G69" s="23" t="b">
        <f>Dataset1_Raw!G69</f>
        <v>0</v>
      </c>
      <c r="H69" s="23">
        <f>Dataset1_Raw!H69</f>
        <v>1</v>
      </c>
      <c r="I69" s="23">
        <f>Dataset1_Raw!I69</f>
        <v>1</v>
      </c>
      <c r="J69" s="25">
        <f>Dataset1_Raw!J69</f>
        <v>0.14000000000000001</v>
      </c>
      <c r="K69" s="25">
        <f>IF(ISNUMBER(INDEX(Dataset2_Raw!$B$2:$B$611,$Q69)),INDEX(Dataset2_Raw!$B$2:$B$611,$Q69),"")</f>
        <v>0.1515</v>
      </c>
      <c r="L69" s="25">
        <f>IF(ISNUMBER(INDEX(Dataset2_Raw!$C$2:$C$611,$Q69)),INDEX(Dataset2_Raw!$C$2:$C$611,$Q69),"")</f>
        <v>0.69</v>
      </c>
      <c r="M69" s="25">
        <f>IF(ISNUMBER(INDEX(Dataset2_Raw!$D$2:$D$611,$Q69)),INDEX(Dataset2_Raw!$D$2:$D$611,$Q69),"")</f>
        <v>0.1343</v>
      </c>
      <c r="N69" s="23">
        <f>IF(ISNUMBER(INDEX(Dataset2_Raw!$E$2:$E$611,$Q69)),INDEX(Dataset2_Raw!$E$2:$E$611,$Q69),"")</f>
        <v>0</v>
      </c>
      <c r="O69" s="23">
        <f>IF(ISNUMBER(INDEX(Dataset2_Raw!$F$2:$F$611,$Q69)),INDEX(Dataset2_Raw!$F$2:$F$611,$Q69),"")</f>
        <v>20</v>
      </c>
      <c r="P69" s="23">
        <f>IF(ISNUMBER(INDEX(Dataset2_Raw!$G$2:$G$611,$Q69)),INDEX(Dataset2_Raw!$G$2:$G$611,$Q69),"")</f>
        <v>20</v>
      </c>
      <c r="Q69" s="23">
        <f>IFERROR(MATCH($A69,Dataset2_Raw!$A$2:$A$611,0),0)</f>
        <v>68</v>
      </c>
    </row>
    <row r="70" spans="1:17" x14ac:dyDescent="0.35">
      <c r="A70" s="23">
        <f>Dataset1_Raw!A70</f>
        <v>69</v>
      </c>
      <c r="B70" s="24">
        <f>Dataset1_Raw!B70</f>
        <v>40546</v>
      </c>
      <c r="C70" s="23">
        <f>Dataset1_Raw!C70</f>
        <v>1</v>
      </c>
      <c r="D70" s="23">
        <f>Dataset1_Raw!D70</f>
        <v>0</v>
      </c>
      <c r="E70" s="23">
        <f>Dataset1_Raw!E70</f>
        <v>1</v>
      </c>
      <c r="F70" s="23">
        <f>Dataset1_Raw!F70</f>
        <v>23</v>
      </c>
      <c r="G70" s="23" t="b">
        <f>Dataset1_Raw!G70</f>
        <v>0</v>
      </c>
      <c r="H70" s="23">
        <f>Dataset1_Raw!H70</f>
        <v>1</v>
      </c>
      <c r="I70" s="23">
        <f>Dataset1_Raw!I70</f>
        <v>1</v>
      </c>
      <c r="J70" s="25">
        <f>Dataset1_Raw!J70</f>
        <v>0.18</v>
      </c>
      <c r="K70" s="25">
        <f>IF(ISNUMBER(INDEX(Dataset2_Raw!$B$2:$B$611,$Q70)),INDEX(Dataset2_Raw!$B$2:$B$611,$Q70),"")</f>
        <v>0.21210000000000001</v>
      </c>
      <c r="L70" s="25">
        <f>IF(ISNUMBER(INDEX(Dataset2_Raw!$C$2:$C$611,$Q70)),INDEX(Dataset2_Raw!$C$2:$C$611,$Q70),"")</f>
        <v>0.55000000000000004</v>
      </c>
      <c r="M70" s="25">
        <f>IF(ISNUMBER(INDEX(Dataset2_Raw!$D$2:$D$611,$Q70)),INDEX(Dataset2_Raw!$D$2:$D$611,$Q70),"")</f>
        <v>0.1045</v>
      </c>
      <c r="N70" s="23">
        <f>IF(ISNUMBER(INDEX(Dataset2_Raw!$E$2:$E$611,$Q70)),INDEX(Dataset2_Raw!$E$2:$E$611,$Q70),"")</f>
        <v>1</v>
      </c>
      <c r="O70" s="23">
        <f>IF(ISNUMBER(INDEX(Dataset2_Raw!$F$2:$F$611,$Q70)),INDEX(Dataset2_Raw!$F$2:$F$611,$Q70),"")</f>
        <v>11</v>
      </c>
      <c r="P70" s="23">
        <f>IF(ISNUMBER(INDEX(Dataset2_Raw!$G$2:$G$611,$Q70)),INDEX(Dataset2_Raw!$G$2:$G$611,$Q70),"")</f>
        <v>12</v>
      </c>
      <c r="Q70" s="23">
        <f>IFERROR(MATCH($A70,Dataset2_Raw!$A$2:$A$611,0),0)</f>
        <v>69</v>
      </c>
    </row>
    <row r="71" spans="1:17" x14ac:dyDescent="0.35">
      <c r="A71" s="23">
        <f>Dataset1_Raw!A71</f>
        <v>70</v>
      </c>
      <c r="B71" s="24">
        <f>Dataset1_Raw!B71</f>
        <v>40547</v>
      </c>
      <c r="C71" s="23">
        <f>Dataset1_Raw!C71</f>
        <v>1</v>
      </c>
      <c r="D71" s="23">
        <f>Dataset1_Raw!D71</f>
        <v>0</v>
      </c>
      <c r="E71" s="23">
        <f>Dataset1_Raw!E71</f>
        <v>1</v>
      </c>
      <c r="F71" s="23">
        <f>Dataset1_Raw!F71</f>
        <v>0</v>
      </c>
      <c r="G71" s="23" t="b">
        <f>Dataset1_Raw!G71</f>
        <v>0</v>
      </c>
      <c r="H71" s="23">
        <f>Dataset1_Raw!H71</f>
        <v>2</v>
      </c>
      <c r="I71" s="23">
        <f>Dataset1_Raw!I71</f>
        <v>1</v>
      </c>
      <c r="J71" s="25">
        <f>Dataset1_Raw!J71</f>
        <v>0.16</v>
      </c>
      <c r="K71" s="25" t="str">
        <f>IF(ISNUMBER(INDEX(Dataset2_Raw!$B$2:$B$611,$Q71)),INDEX(Dataset2_Raw!$B$2:$B$611,$Q71),"")</f>
        <v/>
      </c>
      <c r="L71" s="25">
        <f>IF(ISNUMBER(INDEX(Dataset2_Raw!$C$2:$C$611,$Q71)),INDEX(Dataset2_Raw!$C$2:$C$611,$Q71),"")</f>
        <v>0.55000000000000004</v>
      </c>
      <c r="M71" s="25">
        <f>IF(ISNUMBER(INDEX(Dataset2_Raw!$D$2:$D$611,$Q71)),INDEX(Dataset2_Raw!$D$2:$D$611,$Q71),"")</f>
        <v>0.1045</v>
      </c>
      <c r="N71" s="23">
        <f>IF(ISNUMBER(INDEX(Dataset2_Raw!$E$2:$E$611,$Q71)),INDEX(Dataset2_Raw!$E$2:$E$611,$Q71),"")</f>
        <v>0</v>
      </c>
      <c r="O71" s="23">
        <f>IF(ISNUMBER(INDEX(Dataset2_Raw!$F$2:$F$611,$Q71)),INDEX(Dataset2_Raw!$F$2:$F$611,$Q71),"")</f>
        <v>5</v>
      </c>
      <c r="P71" s="23">
        <f>IF(ISNUMBER(INDEX(Dataset2_Raw!$G$2:$G$611,$Q71)),INDEX(Dataset2_Raw!$G$2:$G$611,$Q71),"")</f>
        <v>5</v>
      </c>
      <c r="Q71" s="23">
        <f>IFERROR(MATCH($A71,Dataset2_Raw!$A$2:$A$611,0),0)</f>
        <v>70</v>
      </c>
    </row>
    <row r="72" spans="1:17" x14ac:dyDescent="0.35">
      <c r="A72" s="23">
        <f>Dataset1_Raw!A72</f>
        <v>71</v>
      </c>
      <c r="B72" s="24">
        <f>Dataset1_Raw!B72</f>
        <v>40547</v>
      </c>
      <c r="C72" s="23">
        <f>Dataset1_Raw!C72</f>
        <v>1</v>
      </c>
      <c r="D72" s="23">
        <f>Dataset1_Raw!D72</f>
        <v>0</v>
      </c>
      <c r="E72" s="23">
        <f>Dataset1_Raw!E72</f>
        <v>1</v>
      </c>
      <c r="F72" s="23">
        <f>Dataset1_Raw!F72</f>
        <v>1</v>
      </c>
      <c r="G72" s="23" t="b">
        <f>Dataset1_Raw!G72</f>
        <v>0</v>
      </c>
      <c r="H72" s="23">
        <f>Dataset1_Raw!H72</f>
        <v>2</v>
      </c>
      <c r="I72" s="23">
        <f>Dataset1_Raw!I72</f>
        <v>1</v>
      </c>
      <c r="J72" s="25">
        <f>Dataset1_Raw!J72</f>
        <v>0.16</v>
      </c>
      <c r="K72" s="25">
        <f>IF(ISNUMBER(INDEX(Dataset2_Raw!$B$2:$B$611,$Q72)),INDEX(Dataset2_Raw!$B$2:$B$611,$Q72),"")</f>
        <v>0.18179999999999999</v>
      </c>
      <c r="L72" s="25">
        <f>IF(ISNUMBER(INDEX(Dataset2_Raw!$C$2:$C$611,$Q72)),INDEX(Dataset2_Raw!$C$2:$C$611,$Q72),"")</f>
        <v>0.59</v>
      </c>
      <c r="M72" s="25">
        <f>IF(ISNUMBER(INDEX(Dataset2_Raw!$D$2:$D$611,$Q72)),INDEX(Dataset2_Raw!$D$2:$D$611,$Q72),"")</f>
        <v>0.1045</v>
      </c>
      <c r="N72" s="23">
        <f>IF(ISNUMBER(INDEX(Dataset2_Raw!$E$2:$E$611,$Q72)),INDEX(Dataset2_Raw!$E$2:$E$611,$Q72),"")</f>
        <v>0</v>
      </c>
      <c r="O72" s="23">
        <f>IF(ISNUMBER(INDEX(Dataset2_Raw!$F$2:$F$611,$Q72)),INDEX(Dataset2_Raw!$F$2:$F$611,$Q72),"")</f>
        <v>2</v>
      </c>
      <c r="P72" s="23">
        <f>IF(ISNUMBER(INDEX(Dataset2_Raw!$G$2:$G$611,$Q72)),INDEX(Dataset2_Raw!$G$2:$G$611,$Q72),"")</f>
        <v>2</v>
      </c>
      <c r="Q72" s="23">
        <f>IFERROR(MATCH($A72,Dataset2_Raw!$A$2:$A$611,0),0)</f>
        <v>71</v>
      </c>
    </row>
    <row r="73" spans="1:17" x14ac:dyDescent="0.35">
      <c r="A73" s="23">
        <f>Dataset1_Raw!A73</f>
        <v>72</v>
      </c>
      <c r="B73" s="24">
        <f>Dataset1_Raw!B73</f>
        <v>40547</v>
      </c>
      <c r="C73" s="23">
        <f>Dataset1_Raw!C73</f>
        <v>1</v>
      </c>
      <c r="D73" s="23">
        <f>Dataset1_Raw!D73</f>
        <v>0</v>
      </c>
      <c r="E73" s="23">
        <f>Dataset1_Raw!E73</f>
        <v>1</v>
      </c>
      <c r="F73" s="23">
        <f>Dataset1_Raw!F73</f>
        <v>2</v>
      </c>
      <c r="G73" s="23" t="b">
        <f>Dataset1_Raw!G73</f>
        <v>0</v>
      </c>
      <c r="H73" s="23">
        <f>Dataset1_Raw!H73</f>
        <v>2</v>
      </c>
      <c r="I73" s="23">
        <f>Dataset1_Raw!I73</f>
        <v>1</v>
      </c>
      <c r="J73" s="25">
        <f>Dataset1_Raw!J73</f>
        <v>0.14000000000000001</v>
      </c>
      <c r="K73" s="25">
        <f>IF(ISNUMBER(INDEX(Dataset2_Raw!$B$2:$B$611,$Q73)),INDEX(Dataset2_Raw!$B$2:$B$611,$Q73),"")</f>
        <v>0.1515</v>
      </c>
      <c r="L73" s="25">
        <f>IF(ISNUMBER(INDEX(Dataset2_Raw!$C$2:$C$611,$Q73)),INDEX(Dataset2_Raw!$C$2:$C$611,$Q73),"")</f>
        <v>0.63</v>
      </c>
      <c r="M73" s="25">
        <f>IF(ISNUMBER(INDEX(Dataset2_Raw!$D$2:$D$611,$Q73)),INDEX(Dataset2_Raw!$D$2:$D$611,$Q73),"")</f>
        <v>0.1343</v>
      </c>
      <c r="N73" s="23">
        <f>IF(ISNUMBER(INDEX(Dataset2_Raw!$E$2:$E$611,$Q73)),INDEX(Dataset2_Raw!$E$2:$E$611,$Q73),"")</f>
        <v>0</v>
      </c>
      <c r="O73" s="23">
        <f>IF(ISNUMBER(INDEX(Dataset2_Raw!$F$2:$F$611,$Q73)),INDEX(Dataset2_Raw!$F$2:$F$611,$Q73),"")</f>
        <v>1</v>
      </c>
      <c r="P73" s="23">
        <f>IF(ISNUMBER(INDEX(Dataset2_Raw!$G$2:$G$611,$Q73)),INDEX(Dataset2_Raw!$G$2:$G$611,$Q73),"")</f>
        <v>1</v>
      </c>
      <c r="Q73" s="23">
        <f>IFERROR(MATCH($A73,Dataset2_Raw!$A$2:$A$611,0),0)</f>
        <v>72</v>
      </c>
    </row>
    <row r="74" spans="1:17" x14ac:dyDescent="0.35">
      <c r="A74" s="23">
        <f>Dataset1_Raw!A74</f>
        <v>73</v>
      </c>
      <c r="B74" s="24">
        <f>Dataset1_Raw!B74</f>
        <v>40547</v>
      </c>
      <c r="C74" s="23">
        <f>Dataset1_Raw!C74</f>
        <v>1</v>
      </c>
      <c r="D74" s="23">
        <f>Dataset1_Raw!D74</f>
        <v>0</v>
      </c>
      <c r="E74" s="23">
        <f>Dataset1_Raw!E74</f>
        <v>1</v>
      </c>
      <c r="F74" s="23">
        <f>Dataset1_Raw!F74</f>
        <v>4</v>
      </c>
      <c r="G74" s="23" t="b">
        <f>Dataset1_Raw!G74</f>
        <v>0</v>
      </c>
      <c r="H74" s="23">
        <f>Dataset1_Raw!H74</f>
        <v>2</v>
      </c>
      <c r="I74" s="23">
        <f>Dataset1_Raw!I74</f>
        <v>1</v>
      </c>
      <c r="J74" s="25">
        <f>Dataset1_Raw!J74</f>
        <v>0.14000000000000001</v>
      </c>
      <c r="K74" s="25">
        <f>IF(ISNUMBER(INDEX(Dataset2_Raw!$B$2:$B$611,$Q74)),INDEX(Dataset2_Raw!$B$2:$B$611,$Q74),"")</f>
        <v>0.18179999999999999</v>
      </c>
      <c r="L74" s="25">
        <f>IF(ISNUMBER(INDEX(Dataset2_Raw!$C$2:$C$611,$Q74)),INDEX(Dataset2_Raw!$C$2:$C$611,$Q74),"")</f>
        <v>0.63</v>
      </c>
      <c r="M74" s="25">
        <f>IF(ISNUMBER(INDEX(Dataset2_Raw!$D$2:$D$611,$Q74)),INDEX(Dataset2_Raw!$D$2:$D$611,$Q74),"")</f>
        <v>8.9599999999999999E-2</v>
      </c>
      <c r="N74" s="23">
        <f>IF(ISNUMBER(INDEX(Dataset2_Raw!$E$2:$E$611,$Q74)),INDEX(Dataset2_Raw!$E$2:$E$611,$Q74),"")</f>
        <v>0</v>
      </c>
      <c r="O74" s="23">
        <f>IF(ISNUMBER(INDEX(Dataset2_Raw!$F$2:$F$611,$Q74)),INDEX(Dataset2_Raw!$F$2:$F$611,$Q74),"")</f>
        <v>2</v>
      </c>
      <c r="P74" s="23">
        <f>IF(ISNUMBER(INDEX(Dataset2_Raw!$G$2:$G$611,$Q74)),INDEX(Dataset2_Raw!$G$2:$G$611,$Q74),"")</f>
        <v>2</v>
      </c>
      <c r="Q74" s="23">
        <f>IFERROR(MATCH($A74,Dataset2_Raw!$A$2:$A$611,0),0)</f>
        <v>73</v>
      </c>
    </row>
    <row r="75" spans="1:17" x14ac:dyDescent="0.35">
      <c r="A75" s="23">
        <f>Dataset1_Raw!A75</f>
        <v>74</v>
      </c>
      <c r="B75" s="24">
        <f>Dataset1_Raw!B75</f>
        <v>40547</v>
      </c>
      <c r="C75" s="23">
        <f>Dataset1_Raw!C75</f>
        <v>1</v>
      </c>
      <c r="D75" s="23">
        <f>Dataset1_Raw!D75</f>
        <v>0</v>
      </c>
      <c r="E75" s="23">
        <f>Dataset1_Raw!E75</f>
        <v>1</v>
      </c>
      <c r="F75" s="23">
        <f>Dataset1_Raw!F75</f>
        <v>5</v>
      </c>
      <c r="G75" s="23" t="b">
        <f>Dataset1_Raw!G75</f>
        <v>0</v>
      </c>
      <c r="H75" s="23">
        <f>Dataset1_Raw!H75</f>
        <v>2</v>
      </c>
      <c r="I75" s="23">
        <f>Dataset1_Raw!I75</f>
        <v>1</v>
      </c>
      <c r="J75" s="25">
        <f>Dataset1_Raw!J75</f>
        <v>0.12</v>
      </c>
      <c r="K75" s="25">
        <f>IF(ISNUMBER(INDEX(Dataset2_Raw!$B$2:$B$611,$Q75)),INDEX(Dataset2_Raw!$B$2:$B$611,$Q75),"")</f>
        <v>0.1515</v>
      </c>
      <c r="L75" s="25">
        <f>IF(ISNUMBER(INDEX(Dataset2_Raw!$C$2:$C$611,$Q75)),INDEX(Dataset2_Raw!$C$2:$C$611,$Q75),"")</f>
        <v>0.68</v>
      </c>
      <c r="M75" s="25">
        <f>IF(ISNUMBER(INDEX(Dataset2_Raw!$D$2:$D$611,$Q75)),INDEX(Dataset2_Raw!$D$2:$D$611,$Q75),"")</f>
        <v>0.1045</v>
      </c>
      <c r="N75" s="23">
        <f>IF(ISNUMBER(INDEX(Dataset2_Raw!$E$2:$E$611,$Q75)),INDEX(Dataset2_Raw!$E$2:$E$611,$Q75),"")</f>
        <v>0</v>
      </c>
      <c r="O75" s="23">
        <f>IF(ISNUMBER(INDEX(Dataset2_Raw!$F$2:$F$611,$Q75)),INDEX(Dataset2_Raw!$F$2:$F$611,$Q75),"")</f>
        <v>4</v>
      </c>
      <c r="P75" s="23">
        <f>IF(ISNUMBER(INDEX(Dataset2_Raw!$G$2:$G$611,$Q75)),INDEX(Dataset2_Raw!$G$2:$G$611,$Q75),"")</f>
        <v>4</v>
      </c>
      <c r="Q75" s="23">
        <f>IFERROR(MATCH($A75,Dataset2_Raw!$A$2:$A$611,0),0)</f>
        <v>74</v>
      </c>
    </row>
    <row r="76" spans="1:17" x14ac:dyDescent="0.35">
      <c r="A76" s="23">
        <f>Dataset1_Raw!A76</f>
        <v>75</v>
      </c>
      <c r="B76" s="24">
        <f>Dataset1_Raw!B76</f>
        <v>40547</v>
      </c>
      <c r="C76" s="23">
        <f>Dataset1_Raw!C76</f>
        <v>1</v>
      </c>
      <c r="D76" s="23">
        <f>Dataset1_Raw!D76</f>
        <v>0</v>
      </c>
      <c r="E76" s="23">
        <f>Dataset1_Raw!E76</f>
        <v>1</v>
      </c>
      <c r="F76" s="23">
        <f>Dataset1_Raw!F76</f>
        <v>6</v>
      </c>
      <c r="G76" s="23" t="b">
        <f>Dataset1_Raw!G76</f>
        <v>0</v>
      </c>
      <c r="H76" s="23">
        <f>Dataset1_Raw!H76</f>
        <v>2</v>
      </c>
      <c r="I76" s="23">
        <f>Dataset1_Raw!I76</f>
        <v>1</v>
      </c>
      <c r="J76" s="25">
        <f>Dataset1_Raw!J76</f>
        <v>0.12</v>
      </c>
      <c r="K76" s="25">
        <f>IF(ISNUMBER(INDEX(Dataset2_Raw!$B$2:$B$611,$Q76)),INDEX(Dataset2_Raw!$B$2:$B$611,$Q76),"")</f>
        <v>0.1515</v>
      </c>
      <c r="L76" s="25">
        <f>IF(ISNUMBER(INDEX(Dataset2_Raw!$C$2:$C$611,$Q76)),INDEX(Dataset2_Raw!$C$2:$C$611,$Q76),"")</f>
        <v>0.74</v>
      </c>
      <c r="M76" s="25">
        <f>IF(ISNUMBER(INDEX(Dataset2_Raw!$D$2:$D$611,$Q76)),INDEX(Dataset2_Raw!$D$2:$D$611,$Q76),"")</f>
        <v>0.1045</v>
      </c>
      <c r="N76" s="23">
        <f>IF(ISNUMBER(INDEX(Dataset2_Raw!$E$2:$E$611,$Q76)),INDEX(Dataset2_Raw!$E$2:$E$611,$Q76),"")</f>
        <v>0</v>
      </c>
      <c r="O76" s="23">
        <f>IF(ISNUMBER(INDEX(Dataset2_Raw!$F$2:$F$611,$Q76)),INDEX(Dataset2_Raw!$F$2:$F$611,$Q76),"")</f>
        <v>36</v>
      </c>
      <c r="P76" s="23">
        <f>IF(ISNUMBER(INDEX(Dataset2_Raw!$G$2:$G$611,$Q76)),INDEX(Dataset2_Raw!$G$2:$G$611,$Q76),"")</f>
        <v>36</v>
      </c>
      <c r="Q76" s="23">
        <f>IFERROR(MATCH($A76,Dataset2_Raw!$A$2:$A$611,0),0)</f>
        <v>75</v>
      </c>
    </row>
    <row r="77" spans="1:17" x14ac:dyDescent="0.35">
      <c r="A77" s="23">
        <f>Dataset1_Raw!A77</f>
        <v>76</v>
      </c>
      <c r="B77" s="24">
        <f>Dataset1_Raw!B77</f>
        <v>40547</v>
      </c>
      <c r="C77" s="23">
        <f>Dataset1_Raw!C77</f>
        <v>1</v>
      </c>
      <c r="D77" s="23">
        <f>Dataset1_Raw!D77</f>
        <v>0</v>
      </c>
      <c r="E77" s="23">
        <f>Dataset1_Raw!E77</f>
        <v>1</v>
      </c>
      <c r="F77" s="23">
        <f>Dataset1_Raw!F77</f>
        <v>7</v>
      </c>
      <c r="G77" s="23" t="b">
        <f>Dataset1_Raw!G77</f>
        <v>0</v>
      </c>
      <c r="H77" s="23">
        <f>Dataset1_Raw!H77</f>
        <v>2</v>
      </c>
      <c r="I77" s="23">
        <f>Dataset1_Raw!I77</f>
        <v>1</v>
      </c>
      <c r="J77" s="25">
        <f>Dataset1_Raw!J77</f>
        <v>0.12</v>
      </c>
      <c r="K77" s="25">
        <f>IF(ISNUMBER(INDEX(Dataset2_Raw!$B$2:$B$611,$Q77)),INDEX(Dataset2_Raw!$B$2:$B$611,$Q77),"")</f>
        <v>0.1515</v>
      </c>
      <c r="L77" s="25">
        <f>IF(ISNUMBER(INDEX(Dataset2_Raw!$C$2:$C$611,$Q77)),INDEX(Dataset2_Raw!$C$2:$C$611,$Q77),"")</f>
        <v>0.74</v>
      </c>
      <c r="M77" s="25">
        <f>IF(ISNUMBER(INDEX(Dataset2_Raw!$D$2:$D$611,$Q77)),INDEX(Dataset2_Raw!$D$2:$D$611,$Q77),"")</f>
        <v>0.1343</v>
      </c>
      <c r="N77" s="23">
        <f>IF(ISNUMBER(INDEX(Dataset2_Raw!$E$2:$E$611,$Q77)),INDEX(Dataset2_Raw!$E$2:$E$611,$Q77),"")</f>
        <v>2</v>
      </c>
      <c r="O77" s="23">
        <f>IF(ISNUMBER(INDEX(Dataset2_Raw!$F$2:$F$611,$Q77)),INDEX(Dataset2_Raw!$F$2:$F$611,$Q77),"")</f>
        <v>92</v>
      </c>
      <c r="P77" s="23">
        <f>IF(ISNUMBER(INDEX(Dataset2_Raw!$G$2:$G$611,$Q77)),INDEX(Dataset2_Raw!$G$2:$G$611,$Q77),"")</f>
        <v>94</v>
      </c>
      <c r="Q77" s="23">
        <f>IFERROR(MATCH($A77,Dataset2_Raw!$A$2:$A$611,0),0)</f>
        <v>76</v>
      </c>
    </row>
    <row r="78" spans="1:17" x14ac:dyDescent="0.35">
      <c r="A78" s="23">
        <f>Dataset1_Raw!A78</f>
        <v>77</v>
      </c>
      <c r="B78" s="24">
        <f>Dataset1_Raw!B78</f>
        <v>40547</v>
      </c>
      <c r="C78" s="23">
        <f>Dataset1_Raw!C78</f>
        <v>1</v>
      </c>
      <c r="D78" s="23">
        <f>Dataset1_Raw!D78</f>
        <v>0</v>
      </c>
      <c r="E78" s="23">
        <f>Dataset1_Raw!E78</f>
        <v>1</v>
      </c>
      <c r="F78" s="23">
        <f>Dataset1_Raw!F78</f>
        <v>8</v>
      </c>
      <c r="G78" s="23" t="b">
        <f>Dataset1_Raw!G78</f>
        <v>0</v>
      </c>
      <c r="H78" s="23">
        <f>Dataset1_Raw!H78</f>
        <v>2</v>
      </c>
      <c r="I78" s="23">
        <f>Dataset1_Raw!I78</f>
        <v>1</v>
      </c>
      <c r="J78" s="25">
        <f>Dataset1_Raw!J78</f>
        <v>0.14000000000000001</v>
      </c>
      <c r="K78" s="25">
        <f>IF(ISNUMBER(INDEX(Dataset2_Raw!$B$2:$B$611,$Q78)),INDEX(Dataset2_Raw!$B$2:$B$611,$Q78),"")</f>
        <v>0.1515</v>
      </c>
      <c r="L78" s="25">
        <f>IF(ISNUMBER(INDEX(Dataset2_Raw!$C$2:$C$611,$Q78)),INDEX(Dataset2_Raw!$C$2:$C$611,$Q78),"")</f>
        <v>0.69</v>
      </c>
      <c r="M78" s="25">
        <f>IF(ISNUMBER(INDEX(Dataset2_Raw!$D$2:$D$611,$Q78)),INDEX(Dataset2_Raw!$D$2:$D$611,$Q78),"")</f>
        <v>0.16420000000000001</v>
      </c>
      <c r="N78" s="23">
        <f>IF(ISNUMBER(INDEX(Dataset2_Raw!$E$2:$E$611,$Q78)),INDEX(Dataset2_Raw!$E$2:$E$611,$Q78),"")</f>
        <v>2</v>
      </c>
      <c r="O78" s="23">
        <f>IF(ISNUMBER(INDEX(Dataset2_Raw!$F$2:$F$611,$Q78)),INDEX(Dataset2_Raw!$F$2:$F$611,$Q78),"")</f>
        <v>177</v>
      </c>
      <c r="P78" s="23">
        <f>IF(ISNUMBER(INDEX(Dataset2_Raw!$G$2:$G$611,$Q78)),INDEX(Dataset2_Raw!$G$2:$G$611,$Q78),"")</f>
        <v>179</v>
      </c>
      <c r="Q78" s="23">
        <f>IFERROR(MATCH($A78,Dataset2_Raw!$A$2:$A$611,0),0)</f>
        <v>77</v>
      </c>
    </row>
    <row r="79" spans="1:17" x14ac:dyDescent="0.35">
      <c r="A79" s="23">
        <f>Dataset1_Raw!A79</f>
        <v>78</v>
      </c>
      <c r="B79" s="24">
        <f>Dataset1_Raw!B79</f>
        <v>40547</v>
      </c>
      <c r="C79" s="23">
        <f>Dataset1_Raw!C79</f>
        <v>1</v>
      </c>
      <c r="D79" s="23">
        <f>Dataset1_Raw!D79</f>
        <v>0</v>
      </c>
      <c r="E79" s="23">
        <f>Dataset1_Raw!E79</f>
        <v>1</v>
      </c>
      <c r="F79" s="23">
        <f>Dataset1_Raw!F79</f>
        <v>9</v>
      </c>
      <c r="G79" s="23" t="b">
        <f>Dataset1_Raw!G79</f>
        <v>0</v>
      </c>
      <c r="H79" s="23">
        <f>Dataset1_Raw!H79</f>
        <v>2</v>
      </c>
      <c r="I79" s="23">
        <f>Dataset1_Raw!I79</f>
        <v>1</v>
      </c>
      <c r="J79" s="25">
        <f>Dataset1_Raw!J79</f>
        <v>0.16</v>
      </c>
      <c r="K79" s="25">
        <f>IF(ISNUMBER(INDEX(Dataset2_Raw!$B$2:$B$611,$Q79)),INDEX(Dataset2_Raw!$B$2:$B$611,$Q79),"")</f>
        <v>0.1515</v>
      </c>
      <c r="L79" s="25">
        <f>IF(ISNUMBER(INDEX(Dataset2_Raw!$C$2:$C$611,$Q79)),INDEX(Dataset2_Raw!$C$2:$C$611,$Q79),"")</f>
        <v>0.64</v>
      </c>
      <c r="M79" s="25">
        <f>IF(ISNUMBER(INDEX(Dataset2_Raw!$D$2:$D$611,$Q79)),INDEX(Dataset2_Raw!$D$2:$D$611,$Q79),"")</f>
        <v>0.22389999999999999</v>
      </c>
      <c r="N79" s="23">
        <f>IF(ISNUMBER(INDEX(Dataset2_Raw!$E$2:$E$611,$Q79)),INDEX(Dataset2_Raw!$E$2:$E$611,$Q79),"")</f>
        <v>2</v>
      </c>
      <c r="O79" s="23">
        <f>IF(ISNUMBER(INDEX(Dataset2_Raw!$F$2:$F$611,$Q79)),INDEX(Dataset2_Raw!$F$2:$F$611,$Q79),"")</f>
        <v>98</v>
      </c>
      <c r="P79" s="23">
        <f>IF(ISNUMBER(INDEX(Dataset2_Raw!$G$2:$G$611,$Q79)),INDEX(Dataset2_Raw!$G$2:$G$611,$Q79),"")</f>
        <v>100</v>
      </c>
      <c r="Q79" s="23">
        <f>IFERROR(MATCH($A79,Dataset2_Raw!$A$2:$A$611,0),0)</f>
        <v>78</v>
      </c>
    </row>
    <row r="80" spans="1:17" x14ac:dyDescent="0.35">
      <c r="A80" s="23">
        <f>Dataset1_Raw!A80</f>
        <v>79</v>
      </c>
      <c r="B80" s="24">
        <f>Dataset1_Raw!B80</f>
        <v>40547</v>
      </c>
      <c r="C80" s="23">
        <f>Dataset1_Raw!C80</f>
        <v>1</v>
      </c>
      <c r="D80" s="23">
        <f>Dataset1_Raw!D80</f>
        <v>0</v>
      </c>
      <c r="E80" s="23">
        <f>Dataset1_Raw!E80</f>
        <v>1</v>
      </c>
      <c r="F80" s="23">
        <f>Dataset1_Raw!F80</f>
        <v>10</v>
      </c>
      <c r="G80" s="23" t="b">
        <f>Dataset1_Raw!G80</f>
        <v>0</v>
      </c>
      <c r="H80" s="23">
        <f>Dataset1_Raw!H80</f>
        <v>2</v>
      </c>
      <c r="I80" s="23">
        <f>Dataset1_Raw!I80</f>
        <v>2</v>
      </c>
      <c r="J80" s="25">
        <f>Dataset1_Raw!J80</f>
        <v>0.16</v>
      </c>
      <c r="K80" s="25">
        <f>IF(ISNUMBER(INDEX(Dataset2_Raw!$B$2:$B$611,$Q80)),INDEX(Dataset2_Raw!$B$2:$B$611,$Q80),"")</f>
        <v>0.13639999999999999</v>
      </c>
      <c r="L80" s="25">
        <f>IF(ISNUMBER(INDEX(Dataset2_Raw!$C$2:$C$611,$Q80)),INDEX(Dataset2_Raw!$C$2:$C$611,$Q80),"")</f>
        <v>0.69</v>
      </c>
      <c r="M80" s="25">
        <f>IF(ISNUMBER(INDEX(Dataset2_Raw!$D$2:$D$611,$Q80)),INDEX(Dataset2_Raw!$D$2:$D$611,$Q80),"")</f>
        <v>0.32840000000000003</v>
      </c>
      <c r="N80" s="23">
        <f>IF(ISNUMBER(INDEX(Dataset2_Raw!$E$2:$E$611,$Q80)),INDEX(Dataset2_Raw!$E$2:$E$611,$Q80),"")</f>
        <v>5</v>
      </c>
      <c r="O80" s="23">
        <f>IF(ISNUMBER(INDEX(Dataset2_Raw!$F$2:$F$611,$Q80)),INDEX(Dataset2_Raw!$F$2:$F$611,$Q80),"")</f>
        <v>37</v>
      </c>
      <c r="P80" s="23">
        <f>IF(ISNUMBER(INDEX(Dataset2_Raw!$G$2:$G$611,$Q80)),INDEX(Dataset2_Raw!$G$2:$G$611,$Q80),"")</f>
        <v>42</v>
      </c>
      <c r="Q80" s="23">
        <f>IFERROR(MATCH($A80,Dataset2_Raw!$A$2:$A$611,0),0)</f>
        <v>79</v>
      </c>
    </row>
    <row r="81" spans="1:17" x14ac:dyDescent="0.35">
      <c r="A81" s="23">
        <f>Dataset1_Raw!A81</f>
        <v>80</v>
      </c>
      <c r="B81" s="24">
        <f>Dataset1_Raw!B81</f>
        <v>40547</v>
      </c>
      <c r="C81" s="23">
        <f>Dataset1_Raw!C81</f>
        <v>1</v>
      </c>
      <c r="D81" s="23">
        <f>Dataset1_Raw!D81</f>
        <v>0</v>
      </c>
      <c r="E81" s="23">
        <f>Dataset1_Raw!E81</f>
        <v>1</v>
      </c>
      <c r="F81" s="23">
        <f>Dataset1_Raw!F81</f>
        <v>11</v>
      </c>
      <c r="G81" s="23" t="b">
        <f>Dataset1_Raw!G81</f>
        <v>0</v>
      </c>
      <c r="H81" s="23">
        <f>Dataset1_Raw!H81</f>
        <v>2</v>
      </c>
      <c r="I81" s="23">
        <f>Dataset1_Raw!I81</f>
        <v>1</v>
      </c>
      <c r="J81" s="25">
        <f>Dataset1_Raw!J81</f>
        <v>0.22</v>
      </c>
      <c r="K81" s="25">
        <f>IF(ISNUMBER(INDEX(Dataset2_Raw!$B$2:$B$611,$Q81)),INDEX(Dataset2_Raw!$B$2:$B$611,$Q81),"")</f>
        <v>0.21210000000000001</v>
      </c>
      <c r="L81" s="25">
        <f>IF(ISNUMBER(INDEX(Dataset2_Raw!$C$2:$C$611,$Q81)),INDEX(Dataset2_Raw!$C$2:$C$611,$Q81),"")</f>
        <v>0.51</v>
      </c>
      <c r="M81" s="25">
        <f>IF(ISNUMBER(INDEX(Dataset2_Raw!$D$2:$D$611,$Q81)),INDEX(Dataset2_Raw!$D$2:$D$611,$Q81),"")</f>
        <v>0.29849999999999999</v>
      </c>
      <c r="N81" s="23">
        <f>IF(ISNUMBER(INDEX(Dataset2_Raw!$E$2:$E$611,$Q81)),INDEX(Dataset2_Raw!$E$2:$E$611,$Q81),"")</f>
        <v>7</v>
      </c>
      <c r="O81" s="23">
        <f>IF(ISNUMBER(INDEX(Dataset2_Raw!$F$2:$F$611,$Q81)),INDEX(Dataset2_Raw!$F$2:$F$611,$Q81),"")</f>
        <v>50</v>
      </c>
      <c r="P81" s="23">
        <f>IF(ISNUMBER(INDEX(Dataset2_Raw!$G$2:$G$611,$Q81)),INDEX(Dataset2_Raw!$G$2:$G$611,$Q81),"")</f>
        <v>57</v>
      </c>
      <c r="Q81" s="23">
        <f>IFERROR(MATCH($A81,Dataset2_Raw!$A$2:$A$611,0),0)</f>
        <v>80</v>
      </c>
    </row>
    <row r="82" spans="1:17" x14ac:dyDescent="0.35">
      <c r="A82" s="23">
        <f>Dataset1_Raw!A82</f>
        <v>81</v>
      </c>
      <c r="B82" s="24">
        <f>Dataset1_Raw!B82</f>
        <v>40547</v>
      </c>
      <c r="C82" s="23">
        <f>Dataset1_Raw!C82</f>
        <v>1</v>
      </c>
      <c r="D82" s="23">
        <f>Dataset1_Raw!D82</f>
        <v>0</v>
      </c>
      <c r="E82" s="23">
        <f>Dataset1_Raw!E82</f>
        <v>1</v>
      </c>
      <c r="F82" s="23">
        <f>Dataset1_Raw!F82</f>
        <v>12</v>
      </c>
      <c r="G82" s="23" t="b">
        <f>Dataset1_Raw!G82</f>
        <v>0</v>
      </c>
      <c r="H82" s="23">
        <f>Dataset1_Raw!H82</f>
        <v>2</v>
      </c>
      <c r="I82" s="23">
        <f>Dataset1_Raw!I82</f>
        <v>1</v>
      </c>
      <c r="J82" s="25">
        <f>Dataset1_Raw!J82</f>
        <v>0.22</v>
      </c>
      <c r="K82" s="25">
        <f>IF(ISNUMBER(INDEX(Dataset2_Raw!$B$2:$B$611,$Q82)),INDEX(Dataset2_Raw!$B$2:$B$611,$Q82),"")</f>
        <v>0.2273</v>
      </c>
      <c r="L82" s="25">
        <f>IF(ISNUMBER(INDEX(Dataset2_Raw!$C$2:$C$611,$Q82)),INDEX(Dataset2_Raw!$C$2:$C$611,$Q82),"")</f>
        <v>0.51</v>
      </c>
      <c r="M82" s="25">
        <f>IF(ISNUMBER(INDEX(Dataset2_Raw!$D$2:$D$611,$Q82)),INDEX(Dataset2_Raw!$D$2:$D$611,$Q82),"")</f>
        <v>0.16420000000000001</v>
      </c>
      <c r="N82" s="23">
        <f>IF(ISNUMBER(INDEX(Dataset2_Raw!$E$2:$E$611,$Q82)),INDEX(Dataset2_Raw!$E$2:$E$611,$Q82),"")</f>
        <v>12</v>
      </c>
      <c r="O82" s="23">
        <f>IF(ISNUMBER(INDEX(Dataset2_Raw!$F$2:$F$611,$Q82)),INDEX(Dataset2_Raw!$F$2:$F$611,$Q82),"")</f>
        <v>66</v>
      </c>
      <c r="P82" s="23">
        <f>IF(ISNUMBER(INDEX(Dataset2_Raw!$G$2:$G$611,$Q82)),INDEX(Dataset2_Raw!$G$2:$G$611,$Q82),"")</f>
        <v>78</v>
      </c>
      <c r="Q82" s="23">
        <f>IFERROR(MATCH($A82,Dataset2_Raw!$A$2:$A$611,0),0)</f>
        <v>81</v>
      </c>
    </row>
    <row r="83" spans="1:17" x14ac:dyDescent="0.35">
      <c r="A83" s="23">
        <f>Dataset1_Raw!A83</f>
        <v>82</v>
      </c>
      <c r="B83" s="24">
        <f>Dataset1_Raw!B83</f>
        <v>40547</v>
      </c>
      <c r="C83" s="23">
        <f>Dataset1_Raw!C83</f>
        <v>1</v>
      </c>
      <c r="D83" s="23">
        <f>Dataset1_Raw!D83</f>
        <v>0</v>
      </c>
      <c r="E83" s="23">
        <f>Dataset1_Raw!E83</f>
        <v>1</v>
      </c>
      <c r="F83" s="23">
        <f>Dataset1_Raw!F83</f>
        <v>13</v>
      </c>
      <c r="G83" s="23" t="b">
        <f>Dataset1_Raw!G83</f>
        <v>0</v>
      </c>
      <c r="H83" s="23">
        <f>Dataset1_Raw!H83</f>
        <v>2</v>
      </c>
      <c r="I83" s="23">
        <f>Dataset1_Raw!I83</f>
        <v>1</v>
      </c>
      <c r="J83" s="25">
        <f>Dataset1_Raw!J83</f>
        <v>0.24</v>
      </c>
      <c r="K83" s="25">
        <f>IF(ISNUMBER(INDEX(Dataset2_Raw!$B$2:$B$611,$Q83)),INDEX(Dataset2_Raw!$B$2:$B$611,$Q83),"")</f>
        <v>0.2273</v>
      </c>
      <c r="L83" s="25">
        <f>IF(ISNUMBER(INDEX(Dataset2_Raw!$C$2:$C$611,$Q83)),INDEX(Dataset2_Raw!$C$2:$C$611,$Q83),"")</f>
        <v>0.56000000000000005</v>
      </c>
      <c r="M83" s="25">
        <f>IF(ISNUMBER(INDEX(Dataset2_Raw!$D$2:$D$611,$Q83)),INDEX(Dataset2_Raw!$D$2:$D$611,$Q83),"")</f>
        <v>0.19400000000000001</v>
      </c>
      <c r="N83" s="23">
        <f>IF(ISNUMBER(INDEX(Dataset2_Raw!$E$2:$E$611,$Q83)),INDEX(Dataset2_Raw!$E$2:$E$611,$Q83),"")</f>
        <v>18</v>
      </c>
      <c r="O83" s="23">
        <f>IF(ISNUMBER(INDEX(Dataset2_Raw!$F$2:$F$611,$Q83)),INDEX(Dataset2_Raw!$F$2:$F$611,$Q83),"")</f>
        <v>79</v>
      </c>
      <c r="P83" s="23">
        <f>IF(ISNUMBER(INDEX(Dataset2_Raw!$G$2:$G$611,$Q83)),INDEX(Dataset2_Raw!$G$2:$G$611,$Q83),"")</f>
        <v>97</v>
      </c>
      <c r="Q83" s="23">
        <f>IFERROR(MATCH($A83,Dataset2_Raw!$A$2:$A$611,0),0)</f>
        <v>82</v>
      </c>
    </row>
    <row r="84" spans="1:17" x14ac:dyDescent="0.35">
      <c r="A84" s="23">
        <f>Dataset1_Raw!A84</f>
        <v>83</v>
      </c>
      <c r="B84" s="24">
        <f>Dataset1_Raw!B84</f>
        <v>40547</v>
      </c>
      <c r="C84" s="23">
        <f>Dataset1_Raw!C84</f>
        <v>1</v>
      </c>
      <c r="D84" s="23">
        <f>Dataset1_Raw!D84</f>
        <v>0</v>
      </c>
      <c r="E84" s="23">
        <f>Dataset1_Raw!E84</f>
        <v>1</v>
      </c>
      <c r="F84" s="23">
        <f>Dataset1_Raw!F84</f>
        <v>14</v>
      </c>
      <c r="G84" s="23" t="b">
        <f>Dataset1_Raw!G84</f>
        <v>0</v>
      </c>
      <c r="H84" s="23">
        <f>Dataset1_Raw!H84</f>
        <v>2</v>
      </c>
      <c r="I84" s="23">
        <f>Dataset1_Raw!I84</f>
        <v>1</v>
      </c>
      <c r="J84" s="25">
        <f>Dataset1_Raw!J84</f>
        <v>0.26</v>
      </c>
      <c r="K84" s="25">
        <f>IF(ISNUMBER(INDEX(Dataset2_Raw!$B$2:$B$611,$Q84)),INDEX(Dataset2_Raw!$B$2:$B$611,$Q84),"")</f>
        <v>0.2576</v>
      </c>
      <c r="L84" s="25">
        <f>IF(ISNUMBER(INDEX(Dataset2_Raw!$C$2:$C$611,$Q84)),INDEX(Dataset2_Raw!$C$2:$C$611,$Q84),"")</f>
        <v>0.52</v>
      </c>
      <c r="M84" s="25">
        <f>IF(ISNUMBER(INDEX(Dataset2_Raw!$D$2:$D$611,$Q84)),INDEX(Dataset2_Raw!$D$2:$D$611,$Q84),"")</f>
        <v>0.22389999999999999</v>
      </c>
      <c r="N84" s="23">
        <f>IF(ISNUMBER(INDEX(Dataset2_Raw!$E$2:$E$611,$Q84)),INDEX(Dataset2_Raw!$E$2:$E$611,$Q84),"")</f>
        <v>9</v>
      </c>
      <c r="O84" s="23">
        <f>IF(ISNUMBER(INDEX(Dataset2_Raw!$F$2:$F$611,$Q84)),INDEX(Dataset2_Raw!$F$2:$F$611,$Q84),"")</f>
        <v>54</v>
      </c>
      <c r="P84" s="23">
        <f>IF(ISNUMBER(INDEX(Dataset2_Raw!$G$2:$G$611,$Q84)),INDEX(Dataset2_Raw!$G$2:$G$611,$Q84),"")</f>
        <v>63</v>
      </c>
      <c r="Q84" s="23">
        <f>IFERROR(MATCH($A84,Dataset2_Raw!$A$2:$A$611,0),0)</f>
        <v>83</v>
      </c>
    </row>
    <row r="85" spans="1:17" x14ac:dyDescent="0.35">
      <c r="A85" s="23">
        <f>Dataset1_Raw!A85</f>
        <v>84</v>
      </c>
      <c r="B85" s="24">
        <f>Dataset1_Raw!B85</f>
        <v>40547</v>
      </c>
      <c r="C85" s="23">
        <f>Dataset1_Raw!C85</f>
        <v>1</v>
      </c>
      <c r="D85" s="23">
        <f>Dataset1_Raw!D85</f>
        <v>0</v>
      </c>
      <c r="E85" s="23">
        <f>Dataset1_Raw!E85</f>
        <v>1</v>
      </c>
      <c r="F85" s="23">
        <f>Dataset1_Raw!F85</f>
        <v>15</v>
      </c>
      <c r="G85" s="23" t="b">
        <f>Dataset1_Raw!G85</f>
        <v>0</v>
      </c>
      <c r="H85" s="23">
        <f>Dataset1_Raw!H85</f>
        <v>2</v>
      </c>
      <c r="I85" s="23">
        <f>Dataset1_Raw!I85</f>
        <v>1</v>
      </c>
      <c r="J85" s="25">
        <f>Dataset1_Raw!J85</f>
        <v>0.28000000000000003</v>
      </c>
      <c r="K85" s="25">
        <f>IF(ISNUMBER(INDEX(Dataset2_Raw!$B$2:$B$611,$Q85)),INDEX(Dataset2_Raw!$B$2:$B$611,$Q85),"")</f>
        <v>0.2727</v>
      </c>
      <c r="L85" s="25">
        <f>IF(ISNUMBER(INDEX(Dataset2_Raw!$C$2:$C$611,$Q85)),INDEX(Dataset2_Raw!$C$2:$C$611,$Q85),"")</f>
        <v>0.52</v>
      </c>
      <c r="M85" s="25">
        <f>IF(ISNUMBER(INDEX(Dataset2_Raw!$D$2:$D$611,$Q85)),INDEX(Dataset2_Raw!$D$2:$D$611,$Q85),"")</f>
        <v>0.25369999999999998</v>
      </c>
      <c r="N85" s="23">
        <f>IF(ISNUMBER(INDEX(Dataset2_Raw!$E$2:$E$611,$Q85)),INDEX(Dataset2_Raw!$E$2:$E$611,$Q85),"")</f>
        <v>17</v>
      </c>
      <c r="O85" s="23">
        <f>IF(ISNUMBER(INDEX(Dataset2_Raw!$F$2:$F$611,$Q85)),INDEX(Dataset2_Raw!$F$2:$F$611,$Q85),"")</f>
        <v>48</v>
      </c>
      <c r="P85" s="23">
        <f>IF(ISNUMBER(INDEX(Dataset2_Raw!$G$2:$G$611,$Q85)),INDEX(Dataset2_Raw!$G$2:$G$611,$Q85),"")</f>
        <v>65</v>
      </c>
      <c r="Q85" s="23">
        <f>IFERROR(MATCH($A85,Dataset2_Raw!$A$2:$A$611,0),0)</f>
        <v>84</v>
      </c>
    </row>
    <row r="86" spans="1:17" x14ac:dyDescent="0.35">
      <c r="A86" s="23">
        <f>Dataset1_Raw!A86</f>
        <v>85</v>
      </c>
      <c r="B86" s="24">
        <f>Dataset1_Raw!B86</f>
        <v>40547</v>
      </c>
      <c r="C86" s="23">
        <f>Dataset1_Raw!C86</f>
        <v>1</v>
      </c>
      <c r="D86" s="23">
        <f>Dataset1_Raw!D86</f>
        <v>0</v>
      </c>
      <c r="E86" s="23">
        <f>Dataset1_Raw!E86</f>
        <v>1</v>
      </c>
      <c r="F86" s="23">
        <f>Dataset1_Raw!F86</f>
        <v>16</v>
      </c>
      <c r="G86" s="23" t="b">
        <f>Dataset1_Raw!G86</f>
        <v>0</v>
      </c>
      <c r="H86" s="23">
        <f>Dataset1_Raw!H86</f>
        <v>2</v>
      </c>
      <c r="I86" s="23">
        <f>Dataset1_Raw!I86</f>
        <v>1</v>
      </c>
      <c r="J86" s="25">
        <f>Dataset1_Raw!J86</f>
        <v>0.3</v>
      </c>
      <c r="K86" s="25">
        <f>IF(ISNUMBER(INDEX(Dataset2_Raw!$B$2:$B$611,$Q86)),INDEX(Dataset2_Raw!$B$2:$B$611,$Q86),"")</f>
        <v>0.28789999999999999</v>
      </c>
      <c r="L86" s="25">
        <f>IF(ISNUMBER(INDEX(Dataset2_Raw!$C$2:$C$611,$Q86)),INDEX(Dataset2_Raw!$C$2:$C$611,$Q86),"")</f>
        <v>0.49</v>
      </c>
      <c r="M86" s="25">
        <f>IF(ISNUMBER(INDEX(Dataset2_Raw!$D$2:$D$611,$Q86)),INDEX(Dataset2_Raw!$D$2:$D$611,$Q86),"")</f>
        <v>0.25369999999999998</v>
      </c>
      <c r="N86" s="23">
        <f>IF(ISNUMBER(INDEX(Dataset2_Raw!$E$2:$E$611,$Q86)),INDEX(Dataset2_Raw!$E$2:$E$611,$Q86),"")</f>
        <v>15</v>
      </c>
      <c r="O86" s="23">
        <f>IF(ISNUMBER(INDEX(Dataset2_Raw!$F$2:$F$611,$Q86)),INDEX(Dataset2_Raw!$F$2:$F$611,$Q86),"")</f>
        <v>68</v>
      </c>
      <c r="P86" s="23">
        <f>IF(ISNUMBER(INDEX(Dataset2_Raw!$G$2:$G$611,$Q86)),INDEX(Dataset2_Raw!$G$2:$G$611,$Q86),"")</f>
        <v>83</v>
      </c>
      <c r="Q86" s="23">
        <f>IFERROR(MATCH($A86,Dataset2_Raw!$A$2:$A$611,0),0)</f>
        <v>85</v>
      </c>
    </row>
    <row r="87" spans="1:17" x14ac:dyDescent="0.35">
      <c r="A87" s="23">
        <f>Dataset1_Raw!A87</f>
        <v>86</v>
      </c>
      <c r="B87" s="24">
        <f>Dataset1_Raw!B87</f>
        <v>40547</v>
      </c>
      <c r="C87" s="23">
        <f>Dataset1_Raw!C87</f>
        <v>1</v>
      </c>
      <c r="D87" s="23">
        <f>Dataset1_Raw!D87</f>
        <v>0</v>
      </c>
      <c r="E87" s="23">
        <f>Dataset1_Raw!E87</f>
        <v>1</v>
      </c>
      <c r="F87" s="23">
        <f>Dataset1_Raw!F87</f>
        <v>17</v>
      </c>
      <c r="G87" s="23" t="b">
        <f>Dataset1_Raw!G87</f>
        <v>0</v>
      </c>
      <c r="H87" s="23">
        <f>Dataset1_Raw!H87</f>
        <v>2</v>
      </c>
      <c r="I87" s="23">
        <f>Dataset1_Raw!I87</f>
        <v>1</v>
      </c>
      <c r="J87" s="25">
        <f>Dataset1_Raw!J87</f>
        <v>0.28000000000000003</v>
      </c>
      <c r="K87" s="25">
        <f>IF(ISNUMBER(INDEX(Dataset2_Raw!$B$2:$B$611,$Q87)),INDEX(Dataset2_Raw!$B$2:$B$611,$Q87),"")</f>
        <v>0.2727</v>
      </c>
      <c r="L87" s="25">
        <f>IF(ISNUMBER(INDEX(Dataset2_Raw!$C$2:$C$611,$Q87)),INDEX(Dataset2_Raw!$C$2:$C$611,$Q87),"")</f>
        <v>0.48</v>
      </c>
      <c r="M87" s="25">
        <f>IF(ISNUMBER(INDEX(Dataset2_Raw!$D$2:$D$611,$Q87)),INDEX(Dataset2_Raw!$D$2:$D$611,$Q87),"")</f>
        <v>0.22389999999999999</v>
      </c>
      <c r="N87" s="23">
        <f>IF(ISNUMBER(INDEX(Dataset2_Raw!$E$2:$E$611,$Q87)),INDEX(Dataset2_Raw!$E$2:$E$611,$Q87),"")</f>
        <v>10</v>
      </c>
      <c r="O87" s="23">
        <f>IF(ISNUMBER(INDEX(Dataset2_Raw!$F$2:$F$611,$Q87)),INDEX(Dataset2_Raw!$F$2:$F$611,$Q87),"")</f>
        <v>202</v>
      </c>
      <c r="P87" s="23">
        <f>IF(ISNUMBER(INDEX(Dataset2_Raw!$G$2:$G$611,$Q87)),INDEX(Dataset2_Raw!$G$2:$G$611,$Q87),"")</f>
        <v>212</v>
      </c>
      <c r="Q87" s="23">
        <f>IFERROR(MATCH($A87,Dataset2_Raw!$A$2:$A$611,0),0)</f>
        <v>86</v>
      </c>
    </row>
    <row r="88" spans="1:17" x14ac:dyDescent="0.35">
      <c r="A88" s="23">
        <f>Dataset1_Raw!A88</f>
        <v>87</v>
      </c>
      <c r="B88" s="24">
        <f>Dataset1_Raw!B88</f>
        <v>40547</v>
      </c>
      <c r="C88" s="23">
        <f>Dataset1_Raw!C88</f>
        <v>1</v>
      </c>
      <c r="D88" s="23">
        <f>Dataset1_Raw!D88</f>
        <v>0</v>
      </c>
      <c r="E88" s="23">
        <f>Dataset1_Raw!E88</f>
        <v>1</v>
      </c>
      <c r="F88" s="23">
        <f>Dataset1_Raw!F88</f>
        <v>18</v>
      </c>
      <c r="G88" s="23" t="b">
        <f>Dataset1_Raw!G88</f>
        <v>0</v>
      </c>
      <c r="H88" s="23">
        <f>Dataset1_Raw!H88</f>
        <v>2</v>
      </c>
      <c r="I88" s="23">
        <f>Dataset1_Raw!I88</f>
        <v>1</v>
      </c>
      <c r="J88" s="25">
        <f>Dataset1_Raw!J88</f>
        <v>0.26</v>
      </c>
      <c r="K88" s="25">
        <f>IF(ISNUMBER(INDEX(Dataset2_Raw!$B$2:$B$611,$Q88)),INDEX(Dataset2_Raw!$B$2:$B$611,$Q88),"")</f>
        <v>0.2576</v>
      </c>
      <c r="L88" s="25">
        <f>IF(ISNUMBER(INDEX(Dataset2_Raw!$C$2:$C$611,$Q88)),INDEX(Dataset2_Raw!$C$2:$C$611,$Q88),"")</f>
        <v>0.48</v>
      </c>
      <c r="M88" s="25">
        <f>IF(ISNUMBER(INDEX(Dataset2_Raw!$D$2:$D$611,$Q88)),INDEX(Dataset2_Raw!$D$2:$D$611,$Q88),"")</f>
        <v>0.19400000000000001</v>
      </c>
      <c r="N88" s="23">
        <f>IF(ISNUMBER(INDEX(Dataset2_Raw!$E$2:$E$611,$Q88)),INDEX(Dataset2_Raw!$E$2:$E$611,$Q88),"")</f>
        <v>3</v>
      </c>
      <c r="O88" s="23">
        <f>IF(ISNUMBER(INDEX(Dataset2_Raw!$F$2:$F$611,$Q88)),INDEX(Dataset2_Raw!$F$2:$F$611,$Q88),"")</f>
        <v>179</v>
      </c>
      <c r="P88" s="23">
        <f>IF(ISNUMBER(INDEX(Dataset2_Raw!$G$2:$G$611,$Q88)),INDEX(Dataset2_Raw!$G$2:$G$611,$Q88),"")</f>
        <v>182</v>
      </c>
      <c r="Q88" s="23">
        <f>IFERROR(MATCH($A88,Dataset2_Raw!$A$2:$A$611,0),0)</f>
        <v>87</v>
      </c>
    </row>
    <row r="89" spans="1:17" x14ac:dyDescent="0.35">
      <c r="A89" s="23">
        <f>Dataset1_Raw!A89</f>
        <v>88</v>
      </c>
      <c r="B89" s="24">
        <f>Dataset1_Raw!B89</f>
        <v>40547</v>
      </c>
      <c r="C89" s="23">
        <f>Dataset1_Raw!C89</f>
        <v>1</v>
      </c>
      <c r="D89" s="23">
        <f>Dataset1_Raw!D89</f>
        <v>0</v>
      </c>
      <c r="E89" s="23">
        <f>Dataset1_Raw!E89</f>
        <v>1</v>
      </c>
      <c r="F89" s="23">
        <f>Dataset1_Raw!F89</f>
        <v>19</v>
      </c>
      <c r="G89" s="23" t="b">
        <f>Dataset1_Raw!G89</f>
        <v>0</v>
      </c>
      <c r="H89" s="23">
        <f>Dataset1_Raw!H89</f>
        <v>2</v>
      </c>
      <c r="I89" s="23">
        <f>Dataset1_Raw!I89</f>
        <v>1</v>
      </c>
      <c r="J89" s="25">
        <f>Dataset1_Raw!J89</f>
        <v>0.24</v>
      </c>
      <c r="K89" s="25">
        <f>IF(ISNUMBER(INDEX(Dataset2_Raw!$B$2:$B$611,$Q89)),INDEX(Dataset2_Raw!$B$2:$B$611,$Q89),"")</f>
        <v>0.2576</v>
      </c>
      <c r="L89" s="25">
        <f>IF(ISNUMBER(INDEX(Dataset2_Raw!$C$2:$C$611,$Q89)),INDEX(Dataset2_Raw!$C$2:$C$611,$Q89),"")</f>
        <v>0.48</v>
      </c>
      <c r="M89" s="25">
        <f>IF(ISNUMBER(INDEX(Dataset2_Raw!$D$2:$D$611,$Q89)),INDEX(Dataset2_Raw!$D$2:$D$611,$Q89),"")</f>
        <v>0.1045</v>
      </c>
      <c r="N89" s="23">
        <f>IF(ISNUMBER(INDEX(Dataset2_Raw!$E$2:$E$611,$Q89)),INDEX(Dataset2_Raw!$E$2:$E$611,$Q89),"")</f>
        <v>2</v>
      </c>
      <c r="O89" s="23">
        <f>IF(ISNUMBER(INDEX(Dataset2_Raw!$F$2:$F$611,$Q89)),INDEX(Dataset2_Raw!$F$2:$F$611,$Q89),"")</f>
        <v>110</v>
      </c>
      <c r="P89" s="23">
        <f>IF(ISNUMBER(INDEX(Dataset2_Raw!$G$2:$G$611,$Q89)),INDEX(Dataset2_Raw!$G$2:$G$611,$Q89),"")</f>
        <v>112</v>
      </c>
      <c r="Q89" s="23">
        <f>IFERROR(MATCH($A89,Dataset2_Raw!$A$2:$A$611,0),0)</f>
        <v>88</v>
      </c>
    </row>
    <row r="90" spans="1:17" x14ac:dyDescent="0.35">
      <c r="A90" s="23">
        <f>Dataset1_Raw!A90</f>
        <v>89</v>
      </c>
      <c r="B90" s="24">
        <f>Dataset1_Raw!B90</f>
        <v>40547</v>
      </c>
      <c r="C90" s="23">
        <f>Dataset1_Raw!C90</f>
        <v>1</v>
      </c>
      <c r="D90" s="23">
        <f>Dataset1_Raw!D90</f>
        <v>0</v>
      </c>
      <c r="E90" s="23">
        <f>Dataset1_Raw!E90</f>
        <v>1</v>
      </c>
      <c r="F90" s="23">
        <f>Dataset1_Raw!F90</f>
        <v>20</v>
      </c>
      <c r="G90" s="23" t="b">
        <f>Dataset1_Raw!G90</f>
        <v>0</v>
      </c>
      <c r="H90" s="23">
        <f>Dataset1_Raw!H90</f>
        <v>2</v>
      </c>
      <c r="I90" s="23">
        <f>Dataset1_Raw!I90</f>
        <v>1</v>
      </c>
      <c r="J90" s="25">
        <f>Dataset1_Raw!J90</f>
        <v>0.24</v>
      </c>
      <c r="K90" s="25">
        <f>IF(ISNUMBER(INDEX(Dataset2_Raw!$B$2:$B$611,$Q90)),INDEX(Dataset2_Raw!$B$2:$B$611,$Q90),"")</f>
        <v>0.2576</v>
      </c>
      <c r="L90" s="25">
        <f>IF(ISNUMBER(INDEX(Dataset2_Raw!$C$2:$C$611,$Q90)),INDEX(Dataset2_Raw!$C$2:$C$611,$Q90),"")</f>
        <v>0.48</v>
      </c>
      <c r="M90" s="25">
        <f>IF(ISNUMBER(INDEX(Dataset2_Raw!$D$2:$D$611,$Q90)),INDEX(Dataset2_Raw!$D$2:$D$611,$Q90),"")</f>
        <v>0.1045</v>
      </c>
      <c r="N90" s="23">
        <f>IF(ISNUMBER(INDEX(Dataset2_Raw!$E$2:$E$611,$Q90)),INDEX(Dataset2_Raw!$E$2:$E$611,$Q90),"")</f>
        <v>1</v>
      </c>
      <c r="O90" s="23">
        <f>IF(ISNUMBER(INDEX(Dataset2_Raw!$F$2:$F$611,$Q90)),INDEX(Dataset2_Raw!$F$2:$F$611,$Q90),"")</f>
        <v>53</v>
      </c>
      <c r="P90" s="23">
        <f>IF(ISNUMBER(INDEX(Dataset2_Raw!$G$2:$G$611,$Q90)),INDEX(Dataset2_Raw!$G$2:$G$611,$Q90),"")</f>
        <v>54</v>
      </c>
      <c r="Q90" s="23">
        <f>IFERROR(MATCH($A90,Dataset2_Raw!$A$2:$A$611,0),0)</f>
        <v>89</v>
      </c>
    </row>
    <row r="91" spans="1:17" x14ac:dyDescent="0.35">
      <c r="A91" s="23">
        <f>Dataset1_Raw!A91</f>
        <v>90</v>
      </c>
      <c r="B91" s="24">
        <f>Dataset1_Raw!B91</f>
        <v>40547</v>
      </c>
      <c r="C91" s="23">
        <f>Dataset1_Raw!C91</f>
        <v>1</v>
      </c>
      <c r="D91" s="23">
        <f>Dataset1_Raw!D91</f>
        <v>0</v>
      </c>
      <c r="E91" s="23">
        <f>Dataset1_Raw!E91</f>
        <v>1</v>
      </c>
      <c r="F91" s="23">
        <f>Dataset1_Raw!F91</f>
        <v>21</v>
      </c>
      <c r="G91" s="23" t="b">
        <f>Dataset1_Raw!G91</f>
        <v>0</v>
      </c>
      <c r="H91" s="23">
        <f>Dataset1_Raw!H91</f>
        <v>2</v>
      </c>
      <c r="I91" s="23">
        <f>Dataset1_Raw!I91</f>
        <v>1</v>
      </c>
      <c r="J91" s="25">
        <f>Dataset1_Raw!J91</f>
        <v>0.22</v>
      </c>
      <c r="K91" s="25">
        <f>IF(ISNUMBER(INDEX(Dataset2_Raw!$B$2:$B$611,$Q91)),INDEX(Dataset2_Raw!$B$2:$B$611,$Q91),"")</f>
        <v>0.2727</v>
      </c>
      <c r="L91" s="25">
        <f>IF(ISNUMBER(INDEX(Dataset2_Raw!$C$2:$C$611,$Q91)),INDEX(Dataset2_Raw!$C$2:$C$611,$Q91),"")</f>
        <v>0.64</v>
      </c>
      <c r="M91" s="25">
        <f>IF(ISNUMBER(INDEX(Dataset2_Raw!$D$2:$D$611,$Q91)),INDEX(Dataset2_Raw!$D$2:$D$611,$Q91),"")</f>
        <v>0</v>
      </c>
      <c r="N91" s="23">
        <f>IF(ISNUMBER(INDEX(Dataset2_Raw!$E$2:$E$611,$Q91)),INDEX(Dataset2_Raw!$E$2:$E$611,$Q91),"")</f>
        <v>0</v>
      </c>
      <c r="O91" s="23">
        <f>IF(ISNUMBER(INDEX(Dataset2_Raw!$F$2:$F$611,$Q91)),INDEX(Dataset2_Raw!$F$2:$F$611,$Q91),"")</f>
        <v>48</v>
      </c>
      <c r="P91" s="23">
        <f>IF(ISNUMBER(INDEX(Dataset2_Raw!$G$2:$G$611,$Q91)),INDEX(Dataset2_Raw!$G$2:$G$611,$Q91),"")</f>
        <v>48</v>
      </c>
      <c r="Q91" s="23">
        <f>IFERROR(MATCH($A91,Dataset2_Raw!$A$2:$A$611,0),0)</f>
        <v>90</v>
      </c>
    </row>
    <row r="92" spans="1:17" x14ac:dyDescent="0.35">
      <c r="A92" s="23">
        <f>Dataset1_Raw!A92</f>
        <v>91</v>
      </c>
      <c r="B92" s="24">
        <f>Dataset1_Raw!B92</f>
        <v>40547</v>
      </c>
      <c r="C92" s="23">
        <f>Dataset1_Raw!C92</f>
        <v>1</v>
      </c>
      <c r="D92" s="23">
        <f>Dataset1_Raw!D92</f>
        <v>0</v>
      </c>
      <c r="E92" s="23">
        <f>Dataset1_Raw!E92</f>
        <v>1</v>
      </c>
      <c r="F92" s="23">
        <f>Dataset1_Raw!F92</f>
        <v>22</v>
      </c>
      <c r="G92" s="23" t="b">
        <f>Dataset1_Raw!G92</f>
        <v>0</v>
      </c>
      <c r="H92" s="23">
        <f>Dataset1_Raw!H92</f>
        <v>2</v>
      </c>
      <c r="I92" s="23">
        <f>Dataset1_Raw!I92</f>
        <v>1</v>
      </c>
      <c r="J92" s="25">
        <f>Dataset1_Raw!J92</f>
        <v>0.22</v>
      </c>
      <c r="K92" s="25">
        <f>IF(ISNUMBER(INDEX(Dataset2_Raw!$B$2:$B$611,$Q92)),INDEX(Dataset2_Raw!$B$2:$B$611,$Q92),"")</f>
        <v>0.2576</v>
      </c>
      <c r="L92" s="25">
        <f>IF(ISNUMBER(INDEX(Dataset2_Raw!$C$2:$C$611,$Q92)),INDEX(Dataset2_Raw!$C$2:$C$611,$Q92),"")</f>
        <v>0.64</v>
      </c>
      <c r="M92" s="25">
        <f>IF(ISNUMBER(INDEX(Dataset2_Raw!$D$2:$D$611,$Q92)),INDEX(Dataset2_Raw!$D$2:$D$611,$Q92),"")</f>
        <v>8.9599999999999999E-2</v>
      </c>
      <c r="N92" s="23">
        <f>IF(ISNUMBER(INDEX(Dataset2_Raw!$E$2:$E$611,$Q92)),INDEX(Dataset2_Raw!$E$2:$E$611,$Q92),"")</f>
        <v>1</v>
      </c>
      <c r="O92" s="23">
        <f>IF(ISNUMBER(INDEX(Dataset2_Raw!$F$2:$F$611,$Q92)),INDEX(Dataset2_Raw!$F$2:$F$611,$Q92),"")</f>
        <v>34</v>
      </c>
      <c r="P92" s="23">
        <f>IF(ISNUMBER(INDEX(Dataset2_Raw!$G$2:$G$611,$Q92)),INDEX(Dataset2_Raw!$G$2:$G$611,$Q92),"")</f>
        <v>35</v>
      </c>
      <c r="Q92" s="23">
        <f>IFERROR(MATCH($A92,Dataset2_Raw!$A$2:$A$611,0),0)</f>
        <v>91</v>
      </c>
    </row>
    <row r="93" spans="1:17" x14ac:dyDescent="0.35">
      <c r="A93" s="23">
        <f>Dataset1_Raw!A93</f>
        <v>92</v>
      </c>
      <c r="B93" s="24">
        <f>Dataset1_Raw!B93</f>
        <v>40547</v>
      </c>
      <c r="C93" s="23">
        <f>Dataset1_Raw!C93</f>
        <v>1</v>
      </c>
      <c r="D93" s="23">
        <f>Dataset1_Raw!D93</f>
        <v>0</v>
      </c>
      <c r="E93" s="23">
        <f>Dataset1_Raw!E93</f>
        <v>1</v>
      </c>
      <c r="F93" s="23">
        <f>Dataset1_Raw!F93</f>
        <v>23</v>
      </c>
      <c r="G93" s="23" t="b">
        <f>Dataset1_Raw!G93</f>
        <v>0</v>
      </c>
      <c r="H93" s="23">
        <f>Dataset1_Raw!H93</f>
        <v>2</v>
      </c>
      <c r="I93" s="23">
        <f>Dataset1_Raw!I93</f>
        <v>1</v>
      </c>
      <c r="J93" s="25">
        <f>Dataset1_Raw!J93</f>
        <v>0.2</v>
      </c>
      <c r="K93" s="25">
        <f>IF(ISNUMBER(INDEX(Dataset2_Raw!$B$2:$B$611,$Q93)),INDEX(Dataset2_Raw!$B$2:$B$611,$Q93),"")</f>
        <v>0.2273</v>
      </c>
      <c r="L93" s="25">
        <f>IF(ISNUMBER(INDEX(Dataset2_Raw!$C$2:$C$611,$Q93)),INDEX(Dataset2_Raw!$C$2:$C$611,$Q93),"")</f>
        <v>0.69</v>
      </c>
      <c r="M93" s="25">
        <f>IF(ISNUMBER(INDEX(Dataset2_Raw!$D$2:$D$611,$Q93)),INDEX(Dataset2_Raw!$D$2:$D$611,$Q93),"")</f>
        <v>8.9599999999999999E-2</v>
      </c>
      <c r="N93" s="23">
        <f>IF(ISNUMBER(INDEX(Dataset2_Raw!$E$2:$E$611,$Q93)),INDEX(Dataset2_Raw!$E$2:$E$611,$Q93),"")</f>
        <v>2</v>
      </c>
      <c r="O93" s="23">
        <f>IF(ISNUMBER(INDEX(Dataset2_Raw!$F$2:$F$611,$Q93)),INDEX(Dataset2_Raw!$F$2:$F$611,$Q93),"")</f>
        <v>9</v>
      </c>
      <c r="P93" s="23">
        <f>IF(ISNUMBER(INDEX(Dataset2_Raw!$G$2:$G$611,$Q93)),INDEX(Dataset2_Raw!$G$2:$G$611,$Q93),"")</f>
        <v>11</v>
      </c>
      <c r="Q93" s="23">
        <f>IFERROR(MATCH($A93,Dataset2_Raw!$A$2:$A$611,0),0)</f>
        <v>92</v>
      </c>
    </row>
    <row r="94" spans="1:17" x14ac:dyDescent="0.35">
      <c r="A94" s="23">
        <f>Dataset1_Raw!A94</f>
        <v>93</v>
      </c>
      <c r="B94" s="24">
        <f>Dataset1_Raw!B94</f>
        <v>40548</v>
      </c>
      <c r="C94" s="23">
        <f>Dataset1_Raw!C94</f>
        <v>1</v>
      </c>
      <c r="D94" s="23">
        <f>Dataset1_Raw!D94</f>
        <v>0</v>
      </c>
      <c r="E94" s="23">
        <f>Dataset1_Raw!E94</f>
        <v>1</v>
      </c>
      <c r="F94" s="23">
        <f>Dataset1_Raw!F94</f>
        <v>0</v>
      </c>
      <c r="G94" s="23" t="b">
        <f>Dataset1_Raw!G94</f>
        <v>0</v>
      </c>
      <c r="H94" s="23">
        <f>Dataset1_Raw!H94</f>
        <v>3</v>
      </c>
      <c r="I94" s="23">
        <f>Dataset1_Raw!I94</f>
        <v>1</v>
      </c>
      <c r="J94" s="25">
        <f>Dataset1_Raw!J94</f>
        <v>0.2</v>
      </c>
      <c r="K94" s="25">
        <f>IF(ISNUMBER(INDEX(Dataset2_Raw!$B$2:$B$611,$Q94)),INDEX(Dataset2_Raw!$B$2:$B$611,$Q94),"")</f>
        <v>0.2576</v>
      </c>
      <c r="L94" s="25">
        <f>IF(ISNUMBER(INDEX(Dataset2_Raw!$C$2:$C$611,$Q94)),INDEX(Dataset2_Raw!$C$2:$C$611,$Q94),"")</f>
        <v>0.64</v>
      </c>
      <c r="M94" s="25">
        <f>IF(ISNUMBER(INDEX(Dataset2_Raw!$D$2:$D$611,$Q94)),INDEX(Dataset2_Raw!$D$2:$D$611,$Q94),"")</f>
        <v>0</v>
      </c>
      <c r="N94" s="23">
        <f>IF(ISNUMBER(INDEX(Dataset2_Raw!$E$2:$E$611,$Q94)),INDEX(Dataset2_Raw!$E$2:$E$611,$Q94),"")</f>
        <v>0</v>
      </c>
      <c r="O94" s="23">
        <f>IF(ISNUMBER(INDEX(Dataset2_Raw!$F$2:$F$611,$Q94)),INDEX(Dataset2_Raw!$F$2:$F$611,$Q94),"")</f>
        <v>6</v>
      </c>
      <c r="P94" s="23">
        <f>IF(ISNUMBER(INDEX(Dataset2_Raw!$G$2:$G$611,$Q94)),INDEX(Dataset2_Raw!$G$2:$G$611,$Q94),"")</f>
        <v>6</v>
      </c>
      <c r="Q94" s="23">
        <f>IFERROR(MATCH($A94,Dataset2_Raw!$A$2:$A$611,0),0)</f>
        <v>93</v>
      </c>
    </row>
    <row r="95" spans="1:17" x14ac:dyDescent="0.35">
      <c r="A95" s="23">
        <f>Dataset1_Raw!A95</f>
        <v>94</v>
      </c>
      <c r="B95" s="24">
        <f>Dataset1_Raw!B95</f>
        <v>40548</v>
      </c>
      <c r="C95" s="23">
        <f>Dataset1_Raw!C95</f>
        <v>1</v>
      </c>
      <c r="D95" s="23">
        <f>Dataset1_Raw!D95</f>
        <v>0</v>
      </c>
      <c r="E95" s="23">
        <f>Dataset1_Raw!E95</f>
        <v>1</v>
      </c>
      <c r="F95" s="23">
        <f>Dataset1_Raw!F95</f>
        <v>1</v>
      </c>
      <c r="G95" s="23" t="b">
        <f>Dataset1_Raw!G95</f>
        <v>0</v>
      </c>
      <c r="H95" s="23">
        <f>Dataset1_Raw!H95</f>
        <v>3</v>
      </c>
      <c r="I95" s="23">
        <f>Dataset1_Raw!I95</f>
        <v>1</v>
      </c>
      <c r="J95" s="25">
        <f>Dataset1_Raw!J95</f>
        <v>0.16</v>
      </c>
      <c r="K95" s="25">
        <f>IF(ISNUMBER(INDEX(Dataset2_Raw!$B$2:$B$611,$Q95)),INDEX(Dataset2_Raw!$B$2:$B$611,$Q95),"")</f>
        <v>0.19700000000000001</v>
      </c>
      <c r="L95" s="25">
        <f>IF(ISNUMBER(INDEX(Dataset2_Raw!$C$2:$C$611,$Q95)),INDEX(Dataset2_Raw!$C$2:$C$611,$Q95),"")</f>
        <v>0.74</v>
      </c>
      <c r="M95" s="25">
        <f>IF(ISNUMBER(INDEX(Dataset2_Raw!$D$2:$D$611,$Q95)),INDEX(Dataset2_Raw!$D$2:$D$611,$Q95),"")</f>
        <v>8.9599999999999999E-2</v>
      </c>
      <c r="N95" s="23">
        <f>IF(ISNUMBER(INDEX(Dataset2_Raw!$E$2:$E$611,$Q95)),INDEX(Dataset2_Raw!$E$2:$E$611,$Q95),"")</f>
        <v>0</v>
      </c>
      <c r="O95" s="23">
        <f>IF(ISNUMBER(INDEX(Dataset2_Raw!$F$2:$F$611,$Q95)),INDEX(Dataset2_Raw!$F$2:$F$611,$Q95),"")</f>
        <v>6</v>
      </c>
      <c r="P95" s="23">
        <f>IF(ISNUMBER(INDEX(Dataset2_Raw!$G$2:$G$611,$Q95)),INDEX(Dataset2_Raw!$G$2:$G$611,$Q95),"")</f>
        <v>6</v>
      </c>
      <c r="Q95" s="23">
        <f>IFERROR(MATCH($A95,Dataset2_Raw!$A$2:$A$611,0),0)</f>
        <v>94</v>
      </c>
    </row>
    <row r="96" spans="1:17" x14ac:dyDescent="0.35">
      <c r="A96" s="23">
        <f>Dataset1_Raw!A96</f>
        <v>95</v>
      </c>
      <c r="B96" s="24">
        <f>Dataset1_Raw!B96</f>
        <v>40548</v>
      </c>
      <c r="C96" s="23">
        <f>Dataset1_Raw!C96</f>
        <v>1</v>
      </c>
      <c r="D96" s="23">
        <f>Dataset1_Raw!D96</f>
        <v>0</v>
      </c>
      <c r="E96" s="23">
        <f>Dataset1_Raw!E96</f>
        <v>1</v>
      </c>
      <c r="F96" s="23">
        <f>Dataset1_Raw!F96</f>
        <v>2</v>
      </c>
      <c r="G96" s="23" t="b">
        <f>Dataset1_Raw!G96</f>
        <v>0</v>
      </c>
      <c r="H96" s="23">
        <f>Dataset1_Raw!H96</f>
        <v>3</v>
      </c>
      <c r="I96" s="23">
        <f>Dataset1_Raw!I96</f>
        <v>1</v>
      </c>
      <c r="J96" s="25">
        <f>Dataset1_Raw!J96</f>
        <v>0.16</v>
      </c>
      <c r="K96" s="25">
        <f>IF(ISNUMBER(INDEX(Dataset2_Raw!$B$2:$B$611,$Q96)),INDEX(Dataset2_Raw!$B$2:$B$611,$Q96),"")</f>
        <v>0.19700000000000001</v>
      </c>
      <c r="L96" s="25">
        <f>IF(ISNUMBER(INDEX(Dataset2_Raw!$C$2:$C$611,$Q96)),INDEX(Dataset2_Raw!$C$2:$C$611,$Q96),"")</f>
        <v>0.74</v>
      </c>
      <c r="M96" s="25">
        <f>IF(ISNUMBER(INDEX(Dataset2_Raw!$D$2:$D$611,$Q96)),INDEX(Dataset2_Raw!$D$2:$D$611,$Q96),"")</f>
        <v>8.9599999999999999E-2</v>
      </c>
      <c r="N96" s="23">
        <f>IF(ISNUMBER(INDEX(Dataset2_Raw!$E$2:$E$611,$Q96)),INDEX(Dataset2_Raw!$E$2:$E$611,$Q96),"")</f>
        <v>0</v>
      </c>
      <c r="O96" s="23">
        <f>IF(ISNUMBER(INDEX(Dataset2_Raw!$F$2:$F$611,$Q96)),INDEX(Dataset2_Raw!$F$2:$F$611,$Q96),"")</f>
        <v>2</v>
      </c>
      <c r="P96" s="23">
        <f>IF(ISNUMBER(INDEX(Dataset2_Raw!$G$2:$G$611,$Q96)),INDEX(Dataset2_Raw!$G$2:$G$611,$Q96),"")</f>
        <v>2</v>
      </c>
      <c r="Q96" s="23">
        <f>IFERROR(MATCH($A96,Dataset2_Raw!$A$2:$A$611,0),0)</f>
        <v>95</v>
      </c>
    </row>
    <row r="97" spans="1:17" x14ac:dyDescent="0.35">
      <c r="A97" s="23">
        <f>Dataset1_Raw!A97</f>
        <v>96</v>
      </c>
      <c r="B97" s="24">
        <f>Dataset1_Raw!B97</f>
        <v>40548</v>
      </c>
      <c r="C97" s="23">
        <f>Dataset1_Raw!C97</f>
        <v>1</v>
      </c>
      <c r="D97" s="23">
        <f>Dataset1_Raw!D97</f>
        <v>0</v>
      </c>
      <c r="E97" s="23">
        <f>Dataset1_Raw!E97</f>
        <v>1</v>
      </c>
      <c r="F97" s="23">
        <f>Dataset1_Raw!F97</f>
        <v>4</v>
      </c>
      <c r="G97" s="23" t="b">
        <f>Dataset1_Raw!G97</f>
        <v>0</v>
      </c>
      <c r="H97" s="23">
        <f>Dataset1_Raw!H97</f>
        <v>3</v>
      </c>
      <c r="I97" s="23">
        <f>Dataset1_Raw!I97</f>
        <v>1</v>
      </c>
      <c r="J97" s="25">
        <f>Dataset1_Raw!J97</f>
        <v>0.24</v>
      </c>
      <c r="K97" s="25">
        <f>IF(ISNUMBER(INDEX(Dataset2_Raw!$B$2:$B$611,$Q97)),INDEX(Dataset2_Raw!$B$2:$B$611,$Q97),"")</f>
        <v>0.2273</v>
      </c>
      <c r="L97" s="25">
        <f>IF(ISNUMBER(INDEX(Dataset2_Raw!$C$2:$C$611,$Q97)),INDEX(Dataset2_Raw!$C$2:$C$611,$Q97),"")</f>
        <v>0.48</v>
      </c>
      <c r="M97" s="25">
        <f>IF(ISNUMBER(INDEX(Dataset2_Raw!$D$2:$D$611,$Q97)),INDEX(Dataset2_Raw!$D$2:$D$611,$Q97),"")</f>
        <v>0.22389999999999999</v>
      </c>
      <c r="N97" s="23">
        <f>IF(ISNUMBER(INDEX(Dataset2_Raw!$E$2:$E$611,$Q97)),INDEX(Dataset2_Raw!$E$2:$E$611,$Q97),"")</f>
        <v>0</v>
      </c>
      <c r="O97" s="23">
        <f>IF(ISNUMBER(INDEX(Dataset2_Raw!$F$2:$F$611,$Q97)),INDEX(Dataset2_Raw!$F$2:$F$611,$Q97),"")</f>
        <v>2</v>
      </c>
      <c r="P97" s="23">
        <f>IF(ISNUMBER(INDEX(Dataset2_Raw!$G$2:$G$611,$Q97)),INDEX(Dataset2_Raw!$G$2:$G$611,$Q97),"")</f>
        <v>2</v>
      </c>
      <c r="Q97" s="23">
        <f>IFERROR(MATCH($A97,Dataset2_Raw!$A$2:$A$611,0),0)</f>
        <v>96</v>
      </c>
    </row>
    <row r="98" spans="1:17" x14ac:dyDescent="0.35">
      <c r="A98" s="23">
        <f>Dataset1_Raw!A98</f>
        <v>97</v>
      </c>
      <c r="B98" s="24">
        <f>Dataset1_Raw!B98</f>
        <v>40548</v>
      </c>
      <c r="C98" s="23">
        <f>Dataset1_Raw!C98</f>
        <v>1</v>
      </c>
      <c r="D98" s="23">
        <f>Dataset1_Raw!D98</f>
        <v>0</v>
      </c>
      <c r="E98" s="23">
        <f>Dataset1_Raw!E98</f>
        <v>1</v>
      </c>
      <c r="F98" s="23">
        <f>Dataset1_Raw!F98</f>
        <v>5</v>
      </c>
      <c r="G98" s="23" t="b">
        <f>Dataset1_Raw!G98</f>
        <v>0</v>
      </c>
      <c r="H98" s="23">
        <f>Dataset1_Raw!H98</f>
        <v>3</v>
      </c>
      <c r="I98" s="23">
        <f>Dataset1_Raw!I98</f>
        <v>1</v>
      </c>
      <c r="J98" s="25">
        <f>Dataset1_Raw!J98</f>
        <v>0.22</v>
      </c>
      <c r="K98" s="25">
        <f>IF(ISNUMBER(INDEX(Dataset2_Raw!$B$2:$B$611,$Q98)),INDEX(Dataset2_Raw!$B$2:$B$611,$Q98),"")</f>
        <v>0.2273</v>
      </c>
      <c r="L98" s="25">
        <f>IF(ISNUMBER(INDEX(Dataset2_Raw!$C$2:$C$611,$Q98)),INDEX(Dataset2_Raw!$C$2:$C$611,$Q98),"")</f>
        <v>0.47</v>
      </c>
      <c r="M98" s="25">
        <f>IF(ISNUMBER(INDEX(Dataset2_Raw!$D$2:$D$611,$Q98)),INDEX(Dataset2_Raw!$D$2:$D$611,$Q98),"")</f>
        <v>0.16420000000000001</v>
      </c>
      <c r="N98" s="23">
        <f>IF(ISNUMBER(INDEX(Dataset2_Raw!$E$2:$E$611,$Q98)),INDEX(Dataset2_Raw!$E$2:$E$611,$Q98),"")</f>
        <v>0</v>
      </c>
      <c r="O98" s="23">
        <f>IF(ISNUMBER(INDEX(Dataset2_Raw!$F$2:$F$611,$Q98)),INDEX(Dataset2_Raw!$F$2:$F$611,$Q98),"")</f>
        <v>3</v>
      </c>
      <c r="P98" s="23">
        <f>IF(ISNUMBER(INDEX(Dataset2_Raw!$G$2:$G$611,$Q98)),INDEX(Dataset2_Raw!$G$2:$G$611,$Q98),"")</f>
        <v>3</v>
      </c>
      <c r="Q98" s="23">
        <f>IFERROR(MATCH($A98,Dataset2_Raw!$A$2:$A$611,0),0)</f>
        <v>97</v>
      </c>
    </row>
    <row r="99" spans="1:17" x14ac:dyDescent="0.35">
      <c r="A99" s="23">
        <f>Dataset1_Raw!A99</f>
        <v>98</v>
      </c>
      <c r="B99" s="24">
        <f>Dataset1_Raw!B99</f>
        <v>40548</v>
      </c>
      <c r="C99" s="23">
        <f>Dataset1_Raw!C99</f>
        <v>1</v>
      </c>
      <c r="D99" s="23">
        <f>Dataset1_Raw!D99</f>
        <v>0</v>
      </c>
      <c r="E99" s="23">
        <f>Dataset1_Raw!E99</f>
        <v>1</v>
      </c>
      <c r="F99" s="23">
        <f>Dataset1_Raw!F99</f>
        <v>6</v>
      </c>
      <c r="G99" s="23" t="b">
        <f>Dataset1_Raw!G99</f>
        <v>0</v>
      </c>
      <c r="H99" s="23">
        <f>Dataset1_Raw!H99</f>
        <v>3</v>
      </c>
      <c r="I99" s="23">
        <f>Dataset1_Raw!I99</f>
        <v>1</v>
      </c>
      <c r="J99" s="25">
        <f>Dataset1_Raw!J99</f>
        <v>0.2</v>
      </c>
      <c r="K99" s="25">
        <f>IF(ISNUMBER(INDEX(Dataset2_Raw!$B$2:$B$611,$Q99)),INDEX(Dataset2_Raw!$B$2:$B$611,$Q99),"")</f>
        <v>0.19700000000000001</v>
      </c>
      <c r="L99" s="25">
        <f>IF(ISNUMBER(INDEX(Dataset2_Raw!$C$2:$C$611,$Q99)),INDEX(Dataset2_Raw!$C$2:$C$611,$Q99),"")</f>
        <v>0.47</v>
      </c>
      <c r="M99" s="25">
        <f>IF(ISNUMBER(INDEX(Dataset2_Raw!$D$2:$D$611,$Q99)),INDEX(Dataset2_Raw!$D$2:$D$611,$Q99),"")</f>
        <v>0.22389999999999999</v>
      </c>
      <c r="N99" s="23">
        <f>IF(ISNUMBER(INDEX(Dataset2_Raw!$E$2:$E$611,$Q99)),INDEX(Dataset2_Raw!$E$2:$E$611,$Q99),"")</f>
        <v>0</v>
      </c>
      <c r="O99" s="23">
        <f>IF(ISNUMBER(INDEX(Dataset2_Raw!$F$2:$F$611,$Q99)),INDEX(Dataset2_Raw!$F$2:$F$611,$Q99),"")</f>
        <v>33</v>
      </c>
      <c r="P99" s="23">
        <f>IF(ISNUMBER(INDEX(Dataset2_Raw!$G$2:$G$611,$Q99)),INDEX(Dataset2_Raw!$G$2:$G$611,$Q99),"")</f>
        <v>33</v>
      </c>
      <c r="Q99" s="23">
        <f>IFERROR(MATCH($A99,Dataset2_Raw!$A$2:$A$611,0),0)</f>
        <v>98</v>
      </c>
    </row>
    <row r="100" spans="1:17" x14ac:dyDescent="0.35">
      <c r="A100" s="23">
        <f>Dataset1_Raw!A100</f>
        <v>99</v>
      </c>
      <c r="B100" s="24">
        <f>Dataset1_Raw!B100</f>
        <v>40548</v>
      </c>
      <c r="C100" s="23">
        <f>Dataset1_Raw!C100</f>
        <v>1</v>
      </c>
      <c r="D100" s="23">
        <f>Dataset1_Raw!D100</f>
        <v>0</v>
      </c>
      <c r="E100" s="23">
        <f>Dataset1_Raw!E100</f>
        <v>1</v>
      </c>
      <c r="F100" s="23">
        <f>Dataset1_Raw!F100</f>
        <v>7</v>
      </c>
      <c r="G100" s="23" t="b">
        <f>Dataset1_Raw!G100</f>
        <v>0</v>
      </c>
      <c r="H100" s="23">
        <f>Dataset1_Raw!H100</f>
        <v>3</v>
      </c>
      <c r="I100" s="23">
        <f>Dataset1_Raw!I100</f>
        <v>1</v>
      </c>
      <c r="J100" s="25">
        <f>Dataset1_Raw!J100</f>
        <v>0.18</v>
      </c>
      <c r="K100" s="25">
        <f>IF(ISNUMBER(INDEX(Dataset2_Raw!$B$2:$B$611,$Q100)),INDEX(Dataset2_Raw!$B$2:$B$611,$Q100),"")</f>
        <v>0.18179999999999999</v>
      </c>
      <c r="L100" s="25">
        <f>IF(ISNUMBER(INDEX(Dataset2_Raw!$C$2:$C$611,$Q100)),INDEX(Dataset2_Raw!$C$2:$C$611,$Q100),"")</f>
        <v>0.43</v>
      </c>
      <c r="M100" s="25">
        <f>IF(ISNUMBER(INDEX(Dataset2_Raw!$D$2:$D$611,$Q100)),INDEX(Dataset2_Raw!$D$2:$D$611,$Q100),"")</f>
        <v>0.19400000000000001</v>
      </c>
      <c r="N100" s="23">
        <f>IF(ISNUMBER(INDEX(Dataset2_Raw!$E$2:$E$611,$Q100)),INDEX(Dataset2_Raw!$E$2:$E$611,$Q100),"")</f>
        <v>1</v>
      </c>
      <c r="O100" s="23">
        <f>IF(ISNUMBER(INDEX(Dataset2_Raw!$F$2:$F$611,$Q100)),INDEX(Dataset2_Raw!$F$2:$F$611,$Q100),"")</f>
        <v>87</v>
      </c>
      <c r="P100" s="23">
        <f>IF(ISNUMBER(INDEX(Dataset2_Raw!$G$2:$G$611,$Q100)),INDEX(Dataset2_Raw!$G$2:$G$611,$Q100),"")</f>
        <v>88</v>
      </c>
      <c r="Q100" s="23">
        <f>IFERROR(MATCH($A100,Dataset2_Raw!$A$2:$A$611,0),0)</f>
        <v>99</v>
      </c>
    </row>
    <row r="101" spans="1:17" x14ac:dyDescent="0.35">
      <c r="A101" s="23">
        <f>Dataset1_Raw!A101</f>
        <v>100</v>
      </c>
      <c r="B101" s="24">
        <f>Dataset1_Raw!B101</f>
        <v>40548</v>
      </c>
      <c r="C101" s="23">
        <f>Dataset1_Raw!C101</f>
        <v>1</v>
      </c>
      <c r="D101" s="23">
        <f>Dataset1_Raw!D101</f>
        <v>0</v>
      </c>
      <c r="E101" s="23">
        <f>Dataset1_Raw!E101</f>
        <v>1</v>
      </c>
      <c r="F101" s="23">
        <f>Dataset1_Raw!F101</f>
        <v>8</v>
      </c>
      <c r="G101" s="23" t="b">
        <f>Dataset1_Raw!G101</f>
        <v>0</v>
      </c>
      <c r="H101" s="23">
        <f>Dataset1_Raw!H101</f>
        <v>3</v>
      </c>
      <c r="I101" s="23">
        <f>Dataset1_Raw!I101</f>
        <v>1</v>
      </c>
      <c r="J101" s="25">
        <f>Dataset1_Raw!J101</f>
        <v>0.2</v>
      </c>
      <c r="K101" s="25">
        <f>IF(ISNUMBER(INDEX(Dataset2_Raw!$B$2:$B$611,$Q101)),INDEX(Dataset2_Raw!$B$2:$B$611,$Q101),"")</f>
        <v>0.18179999999999999</v>
      </c>
      <c r="L101" s="25">
        <f>IF(ISNUMBER(INDEX(Dataset2_Raw!$C$2:$C$611,$Q101)),INDEX(Dataset2_Raw!$C$2:$C$611,$Q101),"")</f>
        <v>0.4</v>
      </c>
      <c r="M101" s="25">
        <f>IF(ISNUMBER(INDEX(Dataset2_Raw!$D$2:$D$611,$Q101)),INDEX(Dataset2_Raw!$D$2:$D$611,$Q101),"")</f>
        <v>0.29849999999999999</v>
      </c>
      <c r="N101" s="23">
        <f>IF(ISNUMBER(INDEX(Dataset2_Raw!$E$2:$E$611,$Q101)),INDEX(Dataset2_Raw!$E$2:$E$611,$Q101),"")</f>
        <v>3</v>
      </c>
      <c r="O101" s="23">
        <f>IF(ISNUMBER(INDEX(Dataset2_Raw!$F$2:$F$611,$Q101)),INDEX(Dataset2_Raw!$F$2:$F$611,$Q101),"")</f>
        <v>192</v>
      </c>
      <c r="P101" s="23">
        <f>IF(ISNUMBER(INDEX(Dataset2_Raw!$G$2:$G$611,$Q101)),INDEX(Dataset2_Raw!$G$2:$G$611,$Q101),"")</f>
        <v>195</v>
      </c>
      <c r="Q101" s="23">
        <f>IFERROR(MATCH($A101,Dataset2_Raw!$A$2:$A$611,0),0)</f>
        <v>100</v>
      </c>
    </row>
    <row r="102" spans="1:17" x14ac:dyDescent="0.35">
      <c r="A102" s="23">
        <f>Dataset1_Raw!A102</f>
        <v>101</v>
      </c>
      <c r="B102" s="24">
        <f>Dataset1_Raw!B102</f>
        <v>40548</v>
      </c>
      <c r="C102" s="23">
        <f>Dataset1_Raw!C102</f>
        <v>1</v>
      </c>
      <c r="D102" s="23">
        <f>Dataset1_Raw!D102</f>
        <v>0</v>
      </c>
      <c r="E102" s="23">
        <f>Dataset1_Raw!E102</f>
        <v>1</v>
      </c>
      <c r="F102" s="23">
        <f>Dataset1_Raw!F102</f>
        <v>9</v>
      </c>
      <c r="G102" s="23" t="b">
        <f>Dataset1_Raw!G102</f>
        <v>0</v>
      </c>
      <c r="H102" s="23">
        <f>Dataset1_Raw!H102</f>
        <v>3</v>
      </c>
      <c r="I102" s="23">
        <f>Dataset1_Raw!I102</f>
        <v>1</v>
      </c>
      <c r="J102" s="25">
        <f>Dataset1_Raw!J102</f>
        <v>0.22</v>
      </c>
      <c r="K102" s="25">
        <f>IF(ISNUMBER(INDEX(Dataset2_Raw!$B$2:$B$611,$Q102)),INDEX(Dataset2_Raw!$B$2:$B$611,$Q102),"")</f>
        <v>0.19700000000000001</v>
      </c>
      <c r="L102" s="25">
        <f>IF(ISNUMBER(INDEX(Dataset2_Raw!$C$2:$C$611,$Q102)),INDEX(Dataset2_Raw!$C$2:$C$611,$Q102),"")</f>
        <v>0.37</v>
      </c>
      <c r="M102" s="25">
        <f>IF(ISNUMBER(INDEX(Dataset2_Raw!$D$2:$D$611,$Q102)),INDEX(Dataset2_Raw!$D$2:$D$611,$Q102),"")</f>
        <v>0.32840000000000003</v>
      </c>
      <c r="N102" s="23">
        <f>IF(ISNUMBER(INDEX(Dataset2_Raw!$E$2:$E$611,$Q102)),INDEX(Dataset2_Raw!$E$2:$E$611,$Q102),"")</f>
        <v>6</v>
      </c>
      <c r="O102" s="23">
        <f>IF(ISNUMBER(INDEX(Dataset2_Raw!$F$2:$F$611,$Q102)),INDEX(Dataset2_Raw!$F$2:$F$611,$Q102),"")</f>
        <v>109</v>
      </c>
      <c r="P102" s="23">
        <f>IF(ISNUMBER(INDEX(Dataset2_Raw!$G$2:$G$611,$Q102)),INDEX(Dataset2_Raw!$G$2:$G$611,$Q102),"")</f>
        <v>115</v>
      </c>
      <c r="Q102" s="23">
        <f>IFERROR(MATCH($A102,Dataset2_Raw!$A$2:$A$611,0),0)</f>
        <v>101</v>
      </c>
    </row>
    <row r="103" spans="1:17" x14ac:dyDescent="0.35">
      <c r="A103" s="23">
        <f>Dataset1_Raw!A103</f>
        <v>102</v>
      </c>
      <c r="B103" s="24">
        <f>Dataset1_Raw!B103</f>
        <v>40548</v>
      </c>
      <c r="C103" s="23">
        <f>Dataset1_Raw!C103</f>
        <v>1</v>
      </c>
      <c r="D103" s="23">
        <f>Dataset1_Raw!D103</f>
        <v>0</v>
      </c>
      <c r="E103" s="23">
        <f>Dataset1_Raw!E103</f>
        <v>1</v>
      </c>
      <c r="F103" s="23">
        <f>Dataset1_Raw!F103</f>
        <v>10</v>
      </c>
      <c r="G103" s="23" t="b">
        <f>Dataset1_Raw!G103</f>
        <v>0</v>
      </c>
      <c r="H103" s="23">
        <f>Dataset1_Raw!H103</f>
        <v>3</v>
      </c>
      <c r="I103" s="23">
        <f>Dataset1_Raw!I103</f>
        <v>1</v>
      </c>
      <c r="J103" s="25">
        <f>Dataset1_Raw!J103</f>
        <v>0.22</v>
      </c>
      <c r="K103" s="25">
        <f>IF(ISNUMBER(INDEX(Dataset2_Raw!$B$2:$B$611,$Q103)),INDEX(Dataset2_Raw!$B$2:$B$611,$Q103),"")</f>
        <v>0.19700000000000001</v>
      </c>
      <c r="L103" s="25">
        <f>IF(ISNUMBER(INDEX(Dataset2_Raw!$C$2:$C$611,$Q103)),INDEX(Dataset2_Raw!$C$2:$C$611,$Q103),"")</f>
        <v>0.37</v>
      </c>
      <c r="M103" s="25">
        <f>IF(ISNUMBER(INDEX(Dataset2_Raw!$D$2:$D$611,$Q103)),INDEX(Dataset2_Raw!$D$2:$D$611,$Q103),"")</f>
        <v>0.32840000000000003</v>
      </c>
      <c r="N103" s="23">
        <f>IF(ISNUMBER(INDEX(Dataset2_Raw!$E$2:$E$611,$Q103)),INDEX(Dataset2_Raw!$E$2:$E$611,$Q103),"")</f>
        <v>4</v>
      </c>
      <c r="O103" s="23">
        <f>IF(ISNUMBER(INDEX(Dataset2_Raw!$F$2:$F$611,$Q103)),INDEX(Dataset2_Raw!$F$2:$F$611,$Q103),"")</f>
        <v>53</v>
      </c>
      <c r="P103" s="23">
        <f>IF(ISNUMBER(INDEX(Dataset2_Raw!$G$2:$G$611,$Q103)),INDEX(Dataset2_Raw!$G$2:$G$611,$Q103),"")</f>
        <v>57</v>
      </c>
      <c r="Q103" s="23">
        <f>IFERROR(MATCH($A103,Dataset2_Raw!$A$2:$A$611,0),0)</f>
        <v>102</v>
      </c>
    </row>
    <row r="104" spans="1:17" x14ac:dyDescent="0.35">
      <c r="A104" s="23">
        <f>Dataset1_Raw!A104</f>
        <v>103</v>
      </c>
      <c r="B104" s="24">
        <f>Dataset1_Raw!B104</f>
        <v>40548</v>
      </c>
      <c r="C104" s="23">
        <f>Dataset1_Raw!C104</f>
        <v>1</v>
      </c>
      <c r="D104" s="23">
        <f>Dataset1_Raw!D104</f>
        <v>0</v>
      </c>
      <c r="E104" s="23">
        <f>Dataset1_Raw!E104</f>
        <v>1</v>
      </c>
      <c r="F104" s="23">
        <f>Dataset1_Raw!F104</f>
        <v>11</v>
      </c>
      <c r="G104" s="23" t="b">
        <f>Dataset1_Raw!G104</f>
        <v>0</v>
      </c>
      <c r="H104" s="23">
        <f>Dataset1_Raw!H104</f>
        <v>3</v>
      </c>
      <c r="I104" s="23">
        <f>Dataset1_Raw!I104</f>
        <v>1</v>
      </c>
      <c r="J104" s="25">
        <f>Dataset1_Raw!J104</f>
        <v>0.26</v>
      </c>
      <c r="K104" s="25">
        <f>IF(ISNUMBER(INDEX(Dataset2_Raw!$B$2:$B$611,$Q104)),INDEX(Dataset2_Raw!$B$2:$B$611,$Q104),"")</f>
        <v>0.2273</v>
      </c>
      <c r="L104" s="25">
        <f>IF(ISNUMBER(INDEX(Dataset2_Raw!$C$2:$C$611,$Q104)),INDEX(Dataset2_Raw!$C$2:$C$611,$Q104),"")</f>
        <v>0.33</v>
      </c>
      <c r="M104" s="25">
        <f>IF(ISNUMBER(INDEX(Dataset2_Raw!$D$2:$D$611,$Q104)),INDEX(Dataset2_Raw!$D$2:$D$611,$Q104),"")</f>
        <v>0.32840000000000003</v>
      </c>
      <c r="N104" s="23">
        <f>IF(ISNUMBER(INDEX(Dataset2_Raw!$E$2:$E$611,$Q104)),INDEX(Dataset2_Raw!$E$2:$E$611,$Q104),"")</f>
        <v>12</v>
      </c>
      <c r="O104" s="23">
        <f>IF(ISNUMBER(INDEX(Dataset2_Raw!$F$2:$F$611,$Q104)),INDEX(Dataset2_Raw!$F$2:$F$611,$Q104),"")</f>
        <v>34</v>
      </c>
      <c r="P104" s="23">
        <f>IF(ISNUMBER(INDEX(Dataset2_Raw!$G$2:$G$611,$Q104)),INDEX(Dataset2_Raw!$G$2:$G$611,$Q104),"")</f>
        <v>46</v>
      </c>
      <c r="Q104" s="23">
        <f>IFERROR(MATCH($A104,Dataset2_Raw!$A$2:$A$611,0),0)</f>
        <v>103</v>
      </c>
    </row>
    <row r="105" spans="1:17" x14ac:dyDescent="0.35">
      <c r="A105" s="23">
        <f>Dataset1_Raw!A105</f>
        <v>104</v>
      </c>
      <c r="B105" s="24">
        <f>Dataset1_Raw!B105</f>
        <v>40548</v>
      </c>
      <c r="C105" s="23">
        <f>Dataset1_Raw!C105</f>
        <v>1</v>
      </c>
      <c r="D105" s="23">
        <f>Dataset1_Raw!D105</f>
        <v>0</v>
      </c>
      <c r="E105" s="23">
        <f>Dataset1_Raw!E105</f>
        <v>1</v>
      </c>
      <c r="F105" s="23">
        <f>Dataset1_Raw!F105</f>
        <v>12</v>
      </c>
      <c r="G105" s="23" t="b">
        <f>Dataset1_Raw!G105</f>
        <v>0</v>
      </c>
      <c r="H105" s="23">
        <f>Dataset1_Raw!H105</f>
        <v>3</v>
      </c>
      <c r="I105" s="23">
        <f>Dataset1_Raw!I105</f>
        <v>1</v>
      </c>
      <c r="J105" s="25">
        <f>Dataset1_Raw!J105</f>
        <v>0.26</v>
      </c>
      <c r="K105" s="25">
        <f>IF(ISNUMBER(INDEX(Dataset2_Raw!$B$2:$B$611,$Q105)),INDEX(Dataset2_Raw!$B$2:$B$611,$Q105),"")</f>
        <v>0.2273</v>
      </c>
      <c r="L105" s="25">
        <f>IF(ISNUMBER(INDEX(Dataset2_Raw!$C$2:$C$611,$Q105)),INDEX(Dataset2_Raw!$C$2:$C$611,$Q105),"")</f>
        <v>0.33</v>
      </c>
      <c r="M105" s="25">
        <f>IF(ISNUMBER(INDEX(Dataset2_Raw!$D$2:$D$611,$Q105)),INDEX(Dataset2_Raw!$D$2:$D$611,$Q105),"")</f>
        <v>0.32840000000000003</v>
      </c>
      <c r="N105" s="23">
        <f>IF(ISNUMBER(INDEX(Dataset2_Raw!$E$2:$E$611,$Q105)),INDEX(Dataset2_Raw!$E$2:$E$611,$Q105),"")</f>
        <v>5</v>
      </c>
      <c r="O105" s="23">
        <f>IF(ISNUMBER(INDEX(Dataset2_Raw!$F$2:$F$611,$Q105)),INDEX(Dataset2_Raw!$F$2:$F$611,$Q105),"")</f>
        <v>74</v>
      </c>
      <c r="P105" s="23">
        <f>IF(ISNUMBER(INDEX(Dataset2_Raw!$G$2:$G$611,$Q105)),INDEX(Dataset2_Raw!$G$2:$G$611,$Q105),"")</f>
        <v>79</v>
      </c>
      <c r="Q105" s="23">
        <f>IFERROR(MATCH($A105,Dataset2_Raw!$A$2:$A$611,0),0)</f>
        <v>104</v>
      </c>
    </row>
    <row r="106" spans="1:17" x14ac:dyDescent="0.35">
      <c r="A106" s="23">
        <f>Dataset1_Raw!A106</f>
        <v>105</v>
      </c>
      <c r="B106" s="24">
        <f>Dataset1_Raw!B106</f>
        <v>40548</v>
      </c>
      <c r="C106" s="23">
        <f>Dataset1_Raw!C106</f>
        <v>1</v>
      </c>
      <c r="D106" s="23">
        <f>Dataset1_Raw!D106</f>
        <v>0</v>
      </c>
      <c r="E106" s="23">
        <f>Dataset1_Raw!E106</f>
        <v>1</v>
      </c>
      <c r="F106" s="23">
        <f>Dataset1_Raw!F106</f>
        <v>13</v>
      </c>
      <c r="G106" s="23" t="b">
        <f>Dataset1_Raw!G106</f>
        <v>0</v>
      </c>
      <c r="H106" s="23">
        <f>Dataset1_Raw!H106</f>
        <v>3</v>
      </c>
      <c r="I106" s="23">
        <f>Dataset1_Raw!I106</f>
        <v>1</v>
      </c>
      <c r="J106" s="25">
        <f>Dataset1_Raw!J106</f>
        <v>0.28000000000000003</v>
      </c>
      <c r="K106" s="25">
        <f>IF(ISNUMBER(INDEX(Dataset2_Raw!$B$2:$B$611,$Q106)),INDEX(Dataset2_Raw!$B$2:$B$611,$Q106),"")</f>
        <v>0.2576</v>
      </c>
      <c r="L106" s="25">
        <f>IF(ISNUMBER(INDEX(Dataset2_Raw!$C$2:$C$611,$Q106)),INDEX(Dataset2_Raw!$C$2:$C$611,$Q106),"")</f>
        <v>0.3</v>
      </c>
      <c r="M106" s="25">
        <f>IF(ISNUMBER(INDEX(Dataset2_Raw!$D$2:$D$611,$Q106)),INDEX(Dataset2_Raw!$D$2:$D$611,$Q106),"")</f>
        <v>0.29849999999999999</v>
      </c>
      <c r="N106" s="23">
        <f>IF(ISNUMBER(INDEX(Dataset2_Raw!$E$2:$E$611,$Q106)),INDEX(Dataset2_Raw!$E$2:$E$611,$Q106),"")</f>
        <v>6</v>
      </c>
      <c r="O106" s="23">
        <f>IF(ISNUMBER(INDEX(Dataset2_Raw!$F$2:$F$611,$Q106)),INDEX(Dataset2_Raw!$F$2:$F$611,$Q106),"")</f>
        <v>65</v>
      </c>
      <c r="P106" s="23">
        <f>IF(ISNUMBER(INDEX(Dataset2_Raw!$G$2:$G$611,$Q106)),INDEX(Dataset2_Raw!$G$2:$G$611,$Q106),"")</f>
        <v>71</v>
      </c>
      <c r="Q106" s="23">
        <f>IFERROR(MATCH($A106,Dataset2_Raw!$A$2:$A$611,0),0)</f>
        <v>105</v>
      </c>
    </row>
    <row r="107" spans="1:17" x14ac:dyDescent="0.35">
      <c r="A107" s="23">
        <f>Dataset1_Raw!A107</f>
        <v>106</v>
      </c>
      <c r="B107" s="24">
        <f>Dataset1_Raw!B107</f>
        <v>40548</v>
      </c>
      <c r="C107" s="23">
        <f>Dataset1_Raw!C107</f>
        <v>1</v>
      </c>
      <c r="D107" s="23">
        <f>Dataset1_Raw!D107</f>
        <v>0</v>
      </c>
      <c r="E107" s="23">
        <f>Dataset1_Raw!E107</f>
        <v>1</v>
      </c>
      <c r="F107" s="23">
        <f>Dataset1_Raw!F107</f>
        <v>14</v>
      </c>
      <c r="G107" s="23" t="b">
        <f>Dataset1_Raw!G107</f>
        <v>0</v>
      </c>
      <c r="H107" s="23">
        <f>Dataset1_Raw!H107</f>
        <v>3</v>
      </c>
      <c r="I107" s="23">
        <f>Dataset1_Raw!I107</f>
        <v>1</v>
      </c>
      <c r="J107" s="25">
        <f>Dataset1_Raw!J107</f>
        <v>0.3</v>
      </c>
      <c r="K107" s="25">
        <f>IF(ISNUMBER(INDEX(Dataset2_Raw!$B$2:$B$611,$Q107)),INDEX(Dataset2_Raw!$B$2:$B$611,$Q107),"")</f>
        <v>0.28789999999999999</v>
      </c>
      <c r="L107" s="25">
        <f>IF(ISNUMBER(INDEX(Dataset2_Raw!$C$2:$C$611,$Q107)),INDEX(Dataset2_Raw!$C$2:$C$611,$Q107),"")</f>
        <v>0.28000000000000003</v>
      </c>
      <c r="M107" s="25">
        <f>IF(ISNUMBER(INDEX(Dataset2_Raw!$D$2:$D$611,$Q107)),INDEX(Dataset2_Raw!$D$2:$D$611,$Q107),"")</f>
        <v>0.19400000000000001</v>
      </c>
      <c r="N107" s="23">
        <f>IF(ISNUMBER(INDEX(Dataset2_Raw!$E$2:$E$611,$Q107)),INDEX(Dataset2_Raw!$E$2:$E$611,$Q107),"")</f>
        <v>10</v>
      </c>
      <c r="O107" s="23">
        <f>IF(ISNUMBER(INDEX(Dataset2_Raw!$F$2:$F$611,$Q107)),INDEX(Dataset2_Raw!$F$2:$F$611,$Q107),"")</f>
        <v>52</v>
      </c>
      <c r="P107" s="23">
        <f>IF(ISNUMBER(INDEX(Dataset2_Raw!$G$2:$G$611,$Q107)),INDEX(Dataset2_Raw!$G$2:$G$611,$Q107),"")</f>
        <v>62</v>
      </c>
      <c r="Q107" s="23">
        <f>IFERROR(MATCH($A107,Dataset2_Raw!$A$2:$A$611,0),0)</f>
        <v>106</v>
      </c>
    </row>
    <row r="108" spans="1:17" x14ac:dyDescent="0.35">
      <c r="A108" s="23">
        <f>Dataset1_Raw!A108</f>
        <v>107</v>
      </c>
      <c r="B108" s="24">
        <f>Dataset1_Raw!B108</f>
        <v>40548</v>
      </c>
      <c r="C108" s="23">
        <f>Dataset1_Raw!C108</f>
        <v>1</v>
      </c>
      <c r="D108" s="23">
        <f>Dataset1_Raw!D108</f>
        <v>0</v>
      </c>
      <c r="E108" s="23">
        <f>Dataset1_Raw!E108</f>
        <v>1</v>
      </c>
      <c r="F108" s="23">
        <f>Dataset1_Raw!F108</f>
        <v>15</v>
      </c>
      <c r="G108" s="23" t="b">
        <f>Dataset1_Raw!G108</f>
        <v>0</v>
      </c>
      <c r="H108" s="23">
        <f>Dataset1_Raw!H108</f>
        <v>3</v>
      </c>
      <c r="I108" s="23">
        <f>Dataset1_Raw!I108</f>
        <v>1</v>
      </c>
      <c r="J108" s="25">
        <f>Dataset1_Raw!J108</f>
        <v>0.3</v>
      </c>
      <c r="K108" s="25">
        <f>IF(ISNUMBER(INDEX(Dataset2_Raw!$B$2:$B$611,$Q108)),INDEX(Dataset2_Raw!$B$2:$B$611,$Q108),"")</f>
        <v>0.28789999999999999</v>
      </c>
      <c r="L108" s="25">
        <f>IF(ISNUMBER(INDEX(Dataset2_Raw!$C$2:$C$611,$Q108)),INDEX(Dataset2_Raw!$C$2:$C$611,$Q108),"")</f>
        <v>0.28000000000000003</v>
      </c>
      <c r="M108" s="25">
        <f>IF(ISNUMBER(INDEX(Dataset2_Raw!$D$2:$D$611,$Q108)),INDEX(Dataset2_Raw!$D$2:$D$611,$Q108),"")</f>
        <v>0.19400000000000001</v>
      </c>
      <c r="N108" s="23">
        <f>IF(ISNUMBER(INDEX(Dataset2_Raw!$E$2:$E$611,$Q108)),INDEX(Dataset2_Raw!$E$2:$E$611,$Q108),"")</f>
        <v>7</v>
      </c>
      <c r="O108" s="23">
        <f>IF(ISNUMBER(INDEX(Dataset2_Raw!$F$2:$F$611,$Q108)),INDEX(Dataset2_Raw!$F$2:$F$611,$Q108),"")</f>
        <v>55</v>
      </c>
      <c r="P108" s="23">
        <f>IF(ISNUMBER(INDEX(Dataset2_Raw!$G$2:$G$611,$Q108)),INDEX(Dataset2_Raw!$G$2:$G$611,$Q108),"")</f>
        <v>62</v>
      </c>
      <c r="Q108" s="23">
        <f>IFERROR(MATCH($A108,Dataset2_Raw!$A$2:$A$611,0),0)</f>
        <v>107</v>
      </c>
    </row>
    <row r="109" spans="1:17" x14ac:dyDescent="0.35">
      <c r="A109" s="23">
        <f>Dataset1_Raw!A109</f>
        <v>108</v>
      </c>
      <c r="B109" s="24">
        <f>Dataset1_Raw!B109</f>
        <v>40548</v>
      </c>
      <c r="C109" s="23">
        <f>Dataset1_Raw!C109</f>
        <v>1</v>
      </c>
      <c r="D109" s="23">
        <f>Dataset1_Raw!D109</f>
        <v>0</v>
      </c>
      <c r="E109" s="23">
        <f>Dataset1_Raw!E109</f>
        <v>1</v>
      </c>
      <c r="F109" s="23">
        <f>Dataset1_Raw!F109</f>
        <v>16</v>
      </c>
      <c r="G109" s="23" t="b">
        <f>Dataset1_Raw!G109</f>
        <v>0</v>
      </c>
      <c r="H109" s="23">
        <f>Dataset1_Raw!H109</f>
        <v>3</v>
      </c>
      <c r="I109" s="23">
        <f>Dataset1_Raw!I109</f>
        <v>1</v>
      </c>
      <c r="J109" s="25">
        <f>Dataset1_Raw!J109</f>
        <v>0.3</v>
      </c>
      <c r="K109" s="25">
        <f>IF(ISNUMBER(INDEX(Dataset2_Raw!$B$2:$B$611,$Q109)),INDEX(Dataset2_Raw!$B$2:$B$611,$Q109),"")</f>
        <v>0.31819999999999998</v>
      </c>
      <c r="L109" s="25">
        <f>IF(ISNUMBER(INDEX(Dataset2_Raw!$C$2:$C$611,$Q109)),INDEX(Dataset2_Raw!$C$2:$C$611,$Q109),"")</f>
        <v>0.28000000000000003</v>
      </c>
      <c r="M109" s="25">
        <f>IF(ISNUMBER(INDEX(Dataset2_Raw!$D$2:$D$611,$Q109)),INDEX(Dataset2_Raw!$D$2:$D$611,$Q109),"")</f>
        <v>8.9599999999999999E-2</v>
      </c>
      <c r="N109" s="23">
        <f>IF(ISNUMBER(INDEX(Dataset2_Raw!$E$2:$E$611,$Q109)),INDEX(Dataset2_Raw!$E$2:$E$611,$Q109),"")</f>
        <v>4</v>
      </c>
      <c r="O109" s="23">
        <f>IF(ISNUMBER(INDEX(Dataset2_Raw!$F$2:$F$611,$Q109)),INDEX(Dataset2_Raw!$F$2:$F$611,$Q109),"")</f>
        <v>85</v>
      </c>
      <c r="P109" s="23">
        <f>IF(ISNUMBER(INDEX(Dataset2_Raw!$G$2:$G$611,$Q109)),INDEX(Dataset2_Raw!$G$2:$G$611,$Q109),"")</f>
        <v>89</v>
      </c>
      <c r="Q109" s="23">
        <f>IFERROR(MATCH($A109,Dataset2_Raw!$A$2:$A$611,0),0)</f>
        <v>108</v>
      </c>
    </row>
    <row r="110" spans="1:17" x14ac:dyDescent="0.35">
      <c r="A110" s="23">
        <f>Dataset1_Raw!A110</f>
        <v>109</v>
      </c>
      <c r="B110" s="24">
        <f>Dataset1_Raw!B110</f>
        <v>40548</v>
      </c>
      <c r="C110" s="23">
        <f>Dataset1_Raw!C110</f>
        <v>1</v>
      </c>
      <c r="D110" s="23">
        <f>Dataset1_Raw!D110</f>
        <v>0</v>
      </c>
      <c r="E110" s="23">
        <f>Dataset1_Raw!E110</f>
        <v>1</v>
      </c>
      <c r="F110" s="23">
        <f>Dataset1_Raw!F110</f>
        <v>17</v>
      </c>
      <c r="G110" s="23" t="b">
        <f>Dataset1_Raw!G110</f>
        <v>0</v>
      </c>
      <c r="H110" s="23">
        <f>Dataset1_Raw!H110</f>
        <v>3</v>
      </c>
      <c r="I110" s="23">
        <f>Dataset1_Raw!I110</f>
        <v>1</v>
      </c>
      <c r="J110" s="25">
        <f>Dataset1_Raw!J110</f>
        <v>0.24</v>
      </c>
      <c r="K110" s="25">
        <f>IF(ISNUMBER(INDEX(Dataset2_Raw!$B$2:$B$611,$Q110)),INDEX(Dataset2_Raw!$B$2:$B$611,$Q110),"")</f>
        <v>0.2273</v>
      </c>
      <c r="L110" s="25">
        <f>IF(ISNUMBER(INDEX(Dataset2_Raw!$C$2:$C$611,$Q110)),INDEX(Dataset2_Raw!$C$2:$C$611,$Q110),"")</f>
        <v>0.38</v>
      </c>
      <c r="M110" s="25">
        <f>IF(ISNUMBER(INDEX(Dataset2_Raw!$D$2:$D$611,$Q110)),INDEX(Dataset2_Raw!$D$2:$D$611,$Q110),"")</f>
        <v>0.19400000000000001</v>
      </c>
      <c r="N110" s="23">
        <f>IF(ISNUMBER(INDEX(Dataset2_Raw!$E$2:$E$611,$Q110)),INDEX(Dataset2_Raw!$E$2:$E$611,$Q110),"")</f>
        <v>4</v>
      </c>
      <c r="O110" s="23">
        <f>IF(ISNUMBER(INDEX(Dataset2_Raw!$F$2:$F$611,$Q110)),INDEX(Dataset2_Raw!$F$2:$F$611,$Q110),"")</f>
        <v>186</v>
      </c>
      <c r="P110" s="23">
        <f>IF(ISNUMBER(INDEX(Dataset2_Raw!$G$2:$G$611,$Q110)),INDEX(Dataset2_Raw!$G$2:$G$611,$Q110),"")</f>
        <v>190</v>
      </c>
      <c r="Q110" s="23">
        <f>IFERROR(MATCH($A110,Dataset2_Raw!$A$2:$A$611,0),0)</f>
        <v>109</v>
      </c>
    </row>
    <row r="111" spans="1:17" x14ac:dyDescent="0.35">
      <c r="A111" s="23">
        <f>Dataset1_Raw!A111</f>
        <v>110</v>
      </c>
      <c r="B111" s="24">
        <f>Dataset1_Raw!B111</f>
        <v>40548</v>
      </c>
      <c r="C111" s="23">
        <f>Dataset1_Raw!C111</f>
        <v>1</v>
      </c>
      <c r="D111" s="23">
        <f>Dataset1_Raw!D111</f>
        <v>0</v>
      </c>
      <c r="E111" s="23">
        <f>Dataset1_Raw!E111</f>
        <v>1</v>
      </c>
      <c r="F111" s="23">
        <f>Dataset1_Raw!F111</f>
        <v>18</v>
      </c>
      <c r="G111" s="23" t="b">
        <f>Dataset1_Raw!G111</f>
        <v>0</v>
      </c>
      <c r="H111" s="23">
        <f>Dataset1_Raw!H111</f>
        <v>3</v>
      </c>
      <c r="I111" s="23">
        <f>Dataset1_Raw!I111</f>
        <v>1</v>
      </c>
      <c r="J111" s="25">
        <f>Dataset1_Raw!J111</f>
        <v>0.24</v>
      </c>
      <c r="K111" s="25">
        <f>IF(ISNUMBER(INDEX(Dataset2_Raw!$B$2:$B$611,$Q111)),INDEX(Dataset2_Raw!$B$2:$B$611,$Q111),"")</f>
        <v>0.2424</v>
      </c>
      <c r="L111" s="25">
        <f>IF(ISNUMBER(INDEX(Dataset2_Raw!$C$2:$C$611,$Q111)),INDEX(Dataset2_Raw!$C$2:$C$611,$Q111),"")</f>
        <v>0.38</v>
      </c>
      <c r="M111" s="25">
        <f>IF(ISNUMBER(INDEX(Dataset2_Raw!$D$2:$D$611,$Q111)),INDEX(Dataset2_Raw!$D$2:$D$611,$Q111),"")</f>
        <v>0.1343</v>
      </c>
      <c r="N111" s="23">
        <f>IF(ISNUMBER(INDEX(Dataset2_Raw!$E$2:$E$611,$Q111)),INDEX(Dataset2_Raw!$E$2:$E$611,$Q111),"")</f>
        <v>3</v>
      </c>
      <c r="O111" s="23">
        <f>IF(ISNUMBER(INDEX(Dataset2_Raw!$F$2:$F$611,$Q111)),INDEX(Dataset2_Raw!$F$2:$F$611,$Q111),"")</f>
        <v>166</v>
      </c>
      <c r="P111" s="23">
        <f>IF(ISNUMBER(INDEX(Dataset2_Raw!$G$2:$G$611,$Q111)),INDEX(Dataset2_Raw!$G$2:$G$611,$Q111),"")</f>
        <v>169</v>
      </c>
      <c r="Q111" s="23">
        <f>IFERROR(MATCH($A111,Dataset2_Raw!$A$2:$A$611,0),0)</f>
        <v>110</v>
      </c>
    </row>
    <row r="112" spans="1:17" x14ac:dyDescent="0.35">
      <c r="A112" s="23">
        <f>Dataset1_Raw!A112</f>
        <v>111</v>
      </c>
      <c r="B112" s="24">
        <f>Dataset1_Raw!B112</f>
        <v>40548</v>
      </c>
      <c r="C112" s="23">
        <f>Dataset1_Raw!C112</f>
        <v>1</v>
      </c>
      <c r="D112" s="23">
        <f>Dataset1_Raw!D112</f>
        <v>0</v>
      </c>
      <c r="E112" s="23">
        <f>Dataset1_Raw!E112</f>
        <v>1</v>
      </c>
      <c r="F112" s="23">
        <f>Dataset1_Raw!F112</f>
        <v>19</v>
      </c>
      <c r="G112" s="23" t="b">
        <f>Dataset1_Raw!G112</f>
        <v>0</v>
      </c>
      <c r="H112" s="23">
        <f>Dataset1_Raw!H112</f>
        <v>3</v>
      </c>
      <c r="I112" s="23">
        <f>Dataset1_Raw!I112</f>
        <v>1</v>
      </c>
      <c r="J112" s="25">
        <f>Dataset1_Raw!J112</f>
        <v>0.24</v>
      </c>
      <c r="K112" s="25">
        <f>IF(ISNUMBER(INDEX(Dataset2_Raw!$B$2:$B$611,$Q112)),INDEX(Dataset2_Raw!$B$2:$B$611,$Q112),"")</f>
        <v>0.2576</v>
      </c>
      <c r="L112" s="25">
        <f>IF(ISNUMBER(INDEX(Dataset2_Raw!$C$2:$C$611,$Q112)),INDEX(Dataset2_Raw!$C$2:$C$611,$Q112),"")</f>
        <v>0.38</v>
      </c>
      <c r="M112" s="25">
        <f>IF(ISNUMBER(INDEX(Dataset2_Raw!$D$2:$D$611,$Q112)),INDEX(Dataset2_Raw!$D$2:$D$611,$Q112),"")</f>
        <v>0.1045</v>
      </c>
      <c r="N112" s="23">
        <f>IF(ISNUMBER(INDEX(Dataset2_Raw!$E$2:$E$611,$Q112)),INDEX(Dataset2_Raw!$E$2:$E$611,$Q112),"")</f>
        <v>5</v>
      </c>
      <c r="O112" s="23">
        <f>IF(ISNUMBER(INDEX(Dataset2_Raw!$F$2:$F$611,$Q112)),INDEX(Dataset2_Raw!$F$2:$F$611,$Q112),"")</f>
        <v>127</v>
      </c>
      <c r="P112" s="23">
        <f>IF(ISNUMBER(INDEX(Dataset2_Raw!$G$2:$G$611,$Q112)),INDEX(Dataset2_Raw!$G$2:$G$611,$Q112),"")</f>
        <v>132</v>
      </c>
      <c r="Q112" s="23">
        <f>IFERROR(MATCH($A112,Dataset2_Raw!$A$2:$A$611,0),0)</f>
        <v>111</v>
      </c>
    </row>
    <row r="113" spans="1:17" x14ac:dyDescent="0.35">
      <c r="A113" s="23">
        <f>Dataset1_Raw!A113</f>
        <v>112</v>
      </c>
      <c r="B113" s="24">
        <f>Dataset1_Raw!B113</f>
        <v>40548</v>
      </c>
      <c r="C113" s="23">
        <f>Dataset1_Raw!C113</f>
        <v>1</v>
      </c>
      <c r="D113" s="23">
        <f>Dataset1_Raw!D113</f>
        <v>0</v>
      </c>
      <c r="E113" s="23">
        <f>Dataset1_Raw!E113</f>
        <v>1</v>
      </c>
      <c r="F113" s="23">
        <f>Dataset1_Raw!F113</f>
        <v>20</v>
      </c>
      <c r="G113" s="23" t="b">
        <f>Dataset1_Raw!G113</f>
        <v>0</v>
      </c>
      <c r="H113" s="23">
        <f>Dataset1_Raw!H113</f>
        <v>3</v>
      </c>
      <c r="I113" s="23">
        <f>Dataset1_Raw!I113</f>
        <v>1</v>
      </c>
      <c r="J113" s="25">
        <f>Dataset1_Raw!J113</f>
        <v>0.22</v>
      </c>
      <c r="K113" s="25">
        <f>IF(ISNUMBER(INDEX(Dataset2_Raw!$B$2:$B$611,$Q113)),INDEX(Dataset2_Raw!$B$2:$B$611,$Q113),"")</f>
        <v>0.2273</v>
      </c>
      <c r="L113" s="25">
        <f>IF(ISNUMBER(INDEX(Dataset2_Raw!$C$2:$C$611,$Q113)),INDEX(Dataset2_Raw!$C$2:$C$611,$Q113),"")</f>
        <v>0.47</v>
      </c>
      <c r="M113" s="25">
        <f>IF(ISNUMBER(INDEX(Dataset2_Raw!$D$2:$D$611,$Q113)),INDEX(Dataset2_Raw!$D$2:$D$611,$Q113),"")</f>
        <v>0.16420000000000001</v>
      </c>
      <c r="N113" s="23">
        <f>IF(ISNUMBER(INDEX(Dataset2_Raw!$E$2:$E$611,$Q113)),INDEX(Dataset2_Raw!$E$2:$E$611,$Q113),"")</f>
        <v>7</v>
      </c>
      <c r="O113" s="23">
        <f>IF(ISNUMBER(INDEX(Dataset2_Raw!$F$2:$F$611,$Q113)),INDEX(Dataset2_Raw!$F$2:$F$611,$Q113),"")</f>
        <v>82</v>
      </c>
      <c r="P113" s="23">
        <f>IF(ISNUMBER(INDEX(Dataset2_Raw!$G$2:$G$611,$Q113)),INDEX(Dataset2_Raw!$G$2:$G$611,$Q113),"")</f>
        <v>89</v>
      </c>
      <c r="Q113" s="23">
        <f>IFERROR(MATCH($A113,Dataset2_Raw!$A$2:$A$611,0),0)</f>
        <v>112</v>
      </c>
    </row>
    <row r="114" spans="1:17" x14ac:dyDescent="0.35">
      <c r="A114" s="23">
        <f>Dataset1_Raw!A114</f>
        <v>113</v>
      </c>
      <c r="B114" s="24">
        <f>Dataset1_Raw!B114</f>
        <v>40548</v>
      </c>
      <c r="C114" s="23">
        <f>Dataset1_Raw!C114</f>
        <v>1</v>
      </c>
      <c r="D114" s="23">
        <f>Dataset1_Raw!D114</f>
        <v>0</v>
      </c>
      <c r="E114" s="23">
        <f>Dataset1_Raw!E114</f>
        <v>1</v>
      </c>
      <c r="F114" s="23">
        <f>Dataset1_Raw!F114</f>
        <v>21</v>
      </c>
      <c r="G114" s="23" t="b">
        <f>Dataset1_Raw!G114</f>
        <v>0</v>
      </c>
      <c r="H114" s="23">
        <f>Dataset1_Raw!H114</f>
        <v>3</v>
      </c>
      <c r="I114" s="23">
        <f>Dataset1_Raw!I114</f>
        <v>1</v>
      </c>
      <c r="J114" s="25">
        <f>Dataset1_Raw!J114</f>
        <v>0.2</v>
      </c>
      <c r="K114" s="25">
        <f>IF(ISNUMBER(INDEX(Dataset2_Raw!$B$2:$B$611,$Q114)),INDEX(Dataset2_Raw!$B$2:$B$611,$Q114),"")</f>
        <v>0.19700000000000001</v>
      </c>
      <c r="L114" s="25">
        <f>IF(ISNUMBER(INDEX(Dataset2_Raw!$C$2:$C$611,$Q114)),INDEX(Dataset2_Raw!$C$2:$C$611,$Q114),"")</f>
        <v>0.51</v>
      </c>
      <c r="M114" s="25">
        <f>IF(ISNUMBER(INDEX(Dataset2_Raw!$D$2:$D$611,$Q114)),INDEX(Dataset2_Raw!$D$2:$D$611,$Q114),"")</f>
        <v>0.19400000000000001</v>
      </c>
      <c r="N114" s="23">
        <f>IF(ISNUMBER(INDEX(Dataset2_Raw!$E$2:$E$611,$Q114)),INDEX(Dataset2_Raw!$E$2:$E$611,$Q114),"")</f>
        <v>3</v>
      </c>
      <c r="O114" s="23">
        <f>IF(ISNUMBER(INDEX(Dataset2_Raw!$F$2:$F$611,$Q114)),INDEX(Dataset2_Raw!$F$2:$F$611,$Q114),"")</f>
        <v>40</v>
      </c>
      <c r="P114" s="23">
        <f>IF(ISNUMBER(INDEX(Dataset2_Raw!$G$2:$G$611,$Q114)),INDEX(Dataset2_Raw!$G$2:$G$611,$Q114),"")</f>
        <v>43</v>
      </c>
      <c r="Q114" s="23">
        <f>IFERROR(MATCH($A114,Dataset2_Raw!$A$2:$A$611,0),0)</f>
        <v>113</v>
      </c>
    </row>
    <row r="115" spans="1:17" x14ac:dyDescent="0.35">
      <c r="A115" s="23">
        <f>Dataset1_Raw!A115</f>
        <v>114</v>
      </c>
      <c r="B115" s="24">
        <f>Dataset1_Raw!B115</f>
        <v>40548</v>
      </c>
      <c r="C115" s="23">
        <f>Dataset1_Raw!C115</f>
        <v>1</v>
      </c>
      <c r="D115" s="23">
        <f>Dataset1_Raw!D115</f>
        <v>0</v>
      </c>
      <c r="E115" s="23">
        <f>Dataset1_Raw!E115</f>
        <v>1</v>
      </c>
      <c r="F115" s="23">
        <f>Dataset1_Raw!F115</f>
        <v>22</v>
      </c>
      <c r="G115" s="23" t="b">
        <f>Dataset1_Raw!G115</f>
        <v>0</v>
      </c>
      <c r="H115" s="23">
        <f>Dataset1_Raw!H115</f>
        <v>3</v>
      </c>
      <c r="I115" s="23">
        <f>Dataset1_Raw!I115</f>
        <v>1</v>
      </c>
      <c r="J115" s="25">
        <f>Dataset1_Raw!J115</f>
        <v>0.18</v>
      </c>
      <c r="K115" s="25">
        <f>IF(ISNUMBER(INDEX(Dataset2_Raw!$B$2:$B$611,$Q115)),INDEX(Dataset2_Raw!$B$2:$B$611,$Q115),"")</f>
        <v>0.19700000000000001</v>
      </c>
      <c r="L115" s="25">
        <f>IF(ISNUMBER(INDEX(Dataset2_Raw!$C$2:$C$611,$Q115)),INDEX(Dataset2_Raw!$C$2:$C$611,$Q115),"")</f>
        <v>0.55000000000000004</v>
      </c>
      <c r="M115" s="25">
        <f>IF(ISNUMBER(INDEX(Dataset2_Raw!$D$2:$D$611,$Q115)),INDEX(Dataset2_Raw!$D$2:$D$611,$Q115),"")</f>
        <v>0.1343</v>
      </c>
      <c r="N115" s="23">
        <f>IF(ISNUMBER(INDEX(Dataset2_Raw!$E$2:$E$611,$Q115)),INDEX(Dataset2_Raw!$E$2:$E$611,$Q115),"")</f>
        <v>1</v>
      </c>
      <c r="O115" s="23">
        <f>IF(ISNUMBER(INDEX(Dataset2_Raw!$F$2:$F$611,$Q115)),INDEX(Dataset2_Raw!$F$2:$F$611,$Q115),"")</f>
        <v>41</v>
      </c>
      <c r="P115" s="23">
        <f>IF(ISNUMBER(INDEX(Dataset2_Raw!$G$2:$G$611,$Q115)),INDEX(Dataset2_Raw!$G$2:$G$611,$Q115),"")</f>
        <v>42</v>
      </c>
      <c r="Q115" s="23">
        <f>IFERROR(MATCH($A115,Dataset2_Raw!$A$2:$A$611,0),0)</f>
        <v>114</v>
      </c>
    </row>
    <row r="116" spans="1:17" x14ac:dyDescent="0.35">
      <c r="A116" s="23">
        <f>Dataset1_Raw!A116</f>
        <v>115</v>
      </c>
      <c r="B116" s="24">
        <f>Dataset1_Raw!B116</f>
        <v>40548</v>
      </c>
      <c r="C116" s="23">
        <f>Dataset1_Raw!C116</f>
        <v>1</v>
      </c>
      <c r="D116" s="23">
        <f>Dataset1_Raw!D116</f>
        <v>0</v>
      </c>
      <c r="E116" s="23">
        <f>Dataset1_Raw!E116</f>
        <v>1</v>
      </c>
      <c r="F116" s="23">
        <f>Dataset1_Raw!F116</f>
        <v>23</v>
      </c>
      <c r="G116" s="23" t="b">
        <f>Dataset1_Raw!G116</f>
        <v>0</v>
      </c>
      <c r="H116" s="23">
        <f>Dataset1_Raw!H116</f>
        <v>3</v>
      </c>
      <c r="I116" s="23">
        <f>Dataset1_Raw!I116</f>
        <v>1</v>
      </c>
      <c r="J116" s="25">
        <f>Dataset1_Raw!J116</f>
        <v>0.2</v>
      </c>
      <c r="K116" s="25">
        <f>IF(ISNUMBER(INDEX(Dataset2_Raw!$B$2:$B$611,$Q116)),INDEX(Dataset2_Raw!$B$2:$B$611,$Q116),"")</f>
        <v>0.2576</v>
      </c>
      <c r="L116" s="25">
        <f>IF(ISNUMBER(INDEX(Dataset2_Raw!$C$2:$C$611,$Q116)),INDEX(Dataset2_Raw!$C$2:$C$611,$Q116),"")</f>
        <v>0.47</v>
      </c>
      <c r="M116" s="25">
        <f>IF(ISNUMBER(INDEX(Dataset2_Raw!$D$2:$D$611,$Q116)),INDEX(Dataset2_Raw!$D$2:$D$611,$Q116),"")</f>
        <v>0</v>
      </c>
      <c r="N116" s="23">
        <f>IF(ISNUMBER(INDEX(Dataset2_Raw!$E$2:$E$611,$Q116)),INDEX(Dataset2_Raw!$E$2:$E$611,$Q116),"")</f>
        <v>1</v>
      </c>
      <c r="O116" s="23">
        <f>IF(ISNUMBER(INDEX(Dataset2_Raw!$F$2:$F$611,$Q116)),INDEX(Dataset2_Raw!$F$2:$F$611,$Q116),"")</f>
        <v>18</v>
      </c>
      <c r="P116" s="23">
        <f>IF(ISNUMBER(INDEX(Dataset2_Raw!$G$2:$G$611,$Q116)),INDEX(Dataset2_Raw!$G$2:$G$611,$Q116),"")</f>
        <v>19</v>
      </c>
      <c r="Q116" s="23">
        <f>IFERROR(MATCH($A116,Dataset2_Raw!$A$2:$A$611,0),0)</f>
        <v>115</v>
      </c>
    </row>
    <row r="117" spans="1:17" x14ac:dyDescent="0.35">
      <c r="A117" s="23">
        <f>Dataset1_Raw!A117</f>
        <v>116</v>
      </c>
      <c r="B117" s="24">
        <f>Dataset1_Raw!B117</f>
        <v>40549</v>
      </c>
      <c r="C117" s="23">
        <f>Dataset1_Raw!C117</f>
        <v>1</v>
      </c>
      <c r="D117" s="23">
        <f>Dataset1_Raw!D117</f>
        <v>0</v>
      </c>
      <c r="E117" s="23">
        <f>Dataset1_Raw!E117</f>
        <v>1</v>
      </c>
      <c r="F117" s="23">
        <f>Dataset1_Raw!F117</f>
        <v>0</v>
      </c>
      <c r="G117" s="23" t="b">
        <f>Dataset1_Raw!G117</f>
        <v>0</v>
      </c>
      <c r="H117" s="23">
        <f>Dataset1_Raw!H117</f>
        <v>4</v>
      </c>
      <c r="I117" s="23">
        <f>Dataset1_Raw!I117</f>
        <v>1</v>
      </c>
      <c r="J117" s="25">
        <f>Dataset1_Raw!J117</f>
        <v>0.18</v>
      </c>
      <c r="K117" s="25">
        <f>IF(ISNUMBER(INDEX(Dataset2_Raw!$B$2:$B$611,$Q117)),INDEX(Dataset2_Raw!$B$2:$B$611,$Q117),"")</f>
        <v>0.2424</v>
      </c>
      <c r="L117" s="25">
        <f>IF(ISNUMBER(INDEX(Dataset2_Raw!$C$2:$C$611,$Q117)),INDEX(Dataset2_Raw!$C$2:$C$611,$Q117),"")</f>
        <v>0.55000000000000004</v>
      </c>
      <c r="M117" s="25">
        <f>IF(ISNUMBER(INDEX(Dataset2_Raw!$D$2:$D$611,$Q117)),INDEX(Dataset2_Raw!$D$2:$D$611,$Q117),"")</f>
        <v>0</v>
      </c>
      <c r="N117" s="23">
        <f>IF(ISNUMBER(INDEX(Dataset2_Raw!$E$2:$E$611,$Q117)),INDEX(Dataset2_Raw!$E$2:$E$611,$Q117),"")</f>
        <v>0</v>
      </c>
      <c r="O117" s="23">
        <f>IF(ISNUMBER(INDEX(Dataset2_Raw!$F$2:$F$611,$Q117)),INDEX(Dataset2_Raw!$F$2:$F$611,$Q117),"")</f>
        <v>11</v>
      </c>
      <c r="P117" s="23">
        <f>IF(ISNUMBER(INDEX(Dataset2_Raw!$G$2:$G$611,$Q117)),INDEX(Dataset2_Raw!$G$2:$G$611,$Q117),"")</f>
        <v>11</v>
      </c>
      <c r="Q117" s="23">
        <f>IFERROR(MATCH($A117,Dataset2_Raw!$A$2:$A$611,0),0)</f>
        <v>116</v>
      </c>
    </row>
    <row r="118" spans="1:17" x14ac:dyDescent="0.35">
      <c r="A118" s="23">
        <f>Dataset1_Raw!A118</f>
        <v>117</v>
      </c>
      <c r="B118" s="24">
        <f>Dataset1_Raw!B118</f>
        <v>40549</v>
      </c>
      <c r="C118" s="23">
        <f>Dataset1_Raw!C118</f>
        <v>1</v>
      </c>
      <c r="D118" s="23">
        <f>Dataset1_Raw!D118</f>
        <v>0</v>
      </c>
      <c r="E118" s="23">
        <f>Dataset1_Raw!E118</f>
        <v>1</v>
      </c>
      <c r="F118" s="23">
        <f>Dataset1_Raw!F118</f>
        <v>1</v>
      </c>
      <c r="G118" s="23" t="b">
        <f>Dataset1_Raw!G118</f>
        <v>0</v>
      </c>
      <c r="H118" s="23">
        <f>Dataset1_Raw!H118</f>
        <v>4</v>
      </c>
      <c r="I118" s="23">
        <f>Dataset1_Raw!I118</f>
        <v>1</v>
      </c>
      <c r="J118" s="25">
        <f>Dataset1_Raw!J118</f>
        <v>0.16</v>
      </c>
      <c r="K118" s="25">
        <f>IF(ISNUMBER(INDEX(Dataset2_Raw!$B$2:$B$611,$Q118)),INDEX(Dataset2_Raw!$B$2:$B$611,$Q118),"")</f>
        <v>0.2273</v>
      </c>
      <c r="L118" s="25">
        <f>IF(ISNUMBER(INDEX(Dataset2_Raw!$C$2:$C$611,$Q118)),INDEX(Dataset2_Raw!$C$2:$C$611,$Q118),"")</f>
        <v>0.64</v>
      </c>
      <c r="M118" s="25">
        <f>IF(ISNUMBER(INDEX(Dataset2_Raw!$D$2:$D$611,$Q118)),INDEX(Dataset2_Raw!$D$2:$D$611,$Q118),"")</f>
        <v>0</v>
      </c>
      <c r="N118" s="23">
        <f>IF(ISNUMBER(INDEX(Dataset2_Raw!$E$2:$E$611,$Q118)),INDEX(Dataset2_Raw!$E$2:$E$611,$Q118),"")</f>
        <v>0</v>
      </c>
      <c r="O118" s="23">
        <f>IF(ISNUMBER(INDEX(Dataset2_Raw!$F$2:$F$611,$Q118)),INDEX(Dataset2_Raw!$F$2:$F$611,$Q118),"")</f>
        <v>4</v>
      </c>
      <c r="P118" s="23">
        <f>IF(ISNUMBER(INDEX(Dataset2_Raw!$G$2:$G$611,$Q118)),INDEX(Dataset2_Raw!$G$2:$G$611,$Q118),"")</f>
        <v>4</v>
      </c>
      <c r="Q118" s="23">
        <f>IFERROR(MATCH($A118,Dataset2_Raw!$A$2:$A$611,0),0)</f>
        <v>117</v>
      </c>
    </row>
    <row r="119" spans="1:17" x14ac:dyDescent="0.35">
      <c r="A119" s="23">
        <f>Dataset1_Raw!A119</f>
        <v>118</v>
      </c>
      <c r="B119" s="24">
        <f>Dataset1_Raw!B119</f>
        <v>40549</v>
      </c>
      <c r="C119" s="23">
        <f>Dataset1_Raw!C119</f>
        <v>1</v>
      </c>
      <c r="D119" s="23">
        <f>Dataset1_Raw!D119</f>
        <v>0</v>
      </c>
      <c r="E119" s="23">
        <f>Dataset1_Raw!E119</f>
        <v>1</v>
      </c>
      <c r="F119" s="23">
        <f>Dataset1_Raw!F119</f>
        <v>2</v>
      </c>
      <c r="G119" s="23" t="b">
        <f>Dataset1_Raw!G119</f>
        <v>0</v>
      </c>
      <c r="H119" s="23">
        <f>Dataset1_Raw!H119</f>
        <v>4</v>
      </c>
      <c r="I119" s="23">
        <f>Dataset1_Raw!I119</f>
        <v>1</v>
      </c>
      <c r="J119" s="25">
        <f>Dataset1_Raw!J119</f>
        <v>0.16</v>
      </c>
      <c r="K119" s="25">
        <f>IF(ISNUMBER(INDEX(Dataset2_Raw!$B$2:$B$611,$Q119)),INDEX(Dataset2_Raw!$B$2:$B$611,$Q119),"")</f>
        <v>0.2273</v>
      </c>
      <c r="L119" s="25">
        <f>IF(ISNUMBER(INDEX(Dataset2_Raw!$C$2:$C$611,$Q119)),INDEX(Dataset2_Raw!$C$2:$C$611,$Q119),"")</f>
        <v>0.64</v>
      </c>
      <c r="M119" s="25">
        <f>IF(ISNUMBER(INDEX(Dataset2_Raw!$D$2:$D$611,$Q119)),INDEX(Dataset2_Raw!$D$2:$D$611,$Q119),"")</f>
        <v>0</v>
      </c>
      <c r="N119" s="23">
        <f>IF(ISNUMBER(INDEX(Dataset2_Raw!$E$2:$E$611,$Q119)),INDEX(Dataset2_Raw!$E$2:$E$611,$Q119),"")</f>
        <v>0</v>
      </c>
      <c r="O119" s="23">
        <f>IF(ISNUMBER(INDEX(Dataset2_Raw!$F$2:$F$611,$Q119)),INDEX(Dataset2_Raw!$F$2:$F$611,$Q119),"")</f>
        <v>2</v>
      </c>
      <c r="P119" s="23">
        <f>IF(ISNUMBER(INDEX(Dataset2_Raw!$G$2:$G$611,$Q119)),INDEX(Dataset2_Raw!$G$2:$G$611,$Q119),"")</f>
        <v>2</v>
      </c>
      <c r="Q119" s="23">
        <f>IFERROR(MATCH($A119,Dataset2_Raw!$A$2:$A$611,0),0)</f>
        <v>118</v>
      </c>
    </row>
    <row r="120" spans="1:17" x14ac:dyDescent="0.35">
      <c r="A120" s="23">
        <f>Dataset1_Raw!A120</f>
        <v>119</v>
      </c>
      <c r="B120" s="24">
        <f>Dataset1_Raw!B120</f>
        <v>40549</v>
      </c>
      <c r="C120" s="23">
        <f>Dataset1_Raw!C120</f>
        <v>1</v>
      </c>
      <c r="D120" s="23">
        <f>Dataset1_Raw!D120</f>
        <v>0</v>
      </c>
      <c r="E120" s="23">
        <f>Dataset1_Raw!E120</f>
        <v>1</v>
      </c>
      <c r="F120" s="23">
        <f>Dataset1_Raw!F120</f>
        <v>4</v>
      </c>
      <c r="G120" s="23" t="b">
        <f>Dataset1_Raw!G120</f>
        <v>0</v>
      </c>
      <c r="H120" s="23">
        <f>Dataset1_Raw!H120</f>
        <v>4</v>
      </c>
      <c r="I120" s="23">
        <f>Dataset1_Raw!I120</f>
        <v>2</v>
      </c>
      <c r="J120" s="25">
        <f>Dataset1_Raw!J120</f>
        <v>0.16</v>
      </c>
      <c r="K120" s="25">
        <f>IF(ISNUMBER(INDEX(Dataset2_Raw!$B$2:$B$611,$Q120)),INDEX(Dataset2_Raw!$B$2:$B$611,$Q120),"")</f>
        <v>0.19700000000000001</v>
      </c>
      <c r="L120" s="25">
        <f>IF(ISNUMBER(INDEX(Dataset2_Raw!$C$2:$C$611,$Q120)),INDEX(Dataset2_Raw!$C$2:$C$611,$Q120),"")</f>
        <v>0.64</v>
      </c>
      <c r="M120" s="25">
        <f>IF(ISNUMBER(INDEX(Dataset2_Raw!$D$2:$D$611,$Q120)),INDEX(Dataset2_Raw!$D$2:$D$611,$Q120),"")</f>
        <v>8.9599999999999999E-2</v>
      </c>
      <c r="N120" s="23">
        <f>IF(ISNUMBER(INDEX(Dataset2_Raw!$E$2:$E$611,$Q120)),INDEX(Dataset2_Raw!$E$2:$E$611,$Q120),"")</f>
        <v>0</v>
      </c>
      <c r="O120" s="23">
        <f>IF(ISNUMBER(INDEX(Dataset2_Raw!$F$2:$F$611,$Q120)),INDEX(Dataset2_Raw!$F$2:$F$611,$Q120),"")</f>
        <v>1</v>
      </c>
      <c r="P120" s="23">
        <f>IF(ISNUMBER(INDEX(Dataset2_Raw!$G$2:$G$611,$Q120)),INDEX(Dataset2_Raw!$G$2:$G$611,$Q120),"")</f>
        <v>1</v>
      </c>
      <c r="Q120" s="23">
        <f>IFERROR(MATCH($A120,Dataset2_Raw!$A$2:$A$611,0),0)</f>
        <v>119</v>
      </c>
    </row>
    <row r="121" spans="1:17" x14ac:dyDescent="0.35">
      <c r="A121" s="23">
        <f>Dataset1_Raw!A121</f>
        <v>120</v>
      </c>
      <c r="B121" s="24">
        <f>Dataset1_Raw!B121</f>
        <v>40549</v>
      </c>
      <c r="C121" s="23">
        <f>Dataset1_Raw!C121</f>
        <v>1</v>
      </c>
      <c r="D121" s="23">
        <f>Dataset1_Raw!D121</f>
        <v>0</v>
      </c>
      <c r="E121" s="23">
        <f>Dataset1_Raw!E121</f>
        <v>1</v>
      </c>
      <c r="F121" s="23">
        <f>Dataset1_Raw!F121</f>
        <v>5</v>
      </c>
      <c r="G121" s="23" t="b">
        <f>Dataset1_Raw!G121</f>
        <v>0</v>
      </c>
      <c r="H121" s="23">
        <f>Dataset1_Raw!H121</f>
        <v>4</v>
      </c>
      <c r="I121" s="23">
        <f>Dataset1_Raw!I121</f>
        <v>2</v>
      </c>
      <c r="J121" s="25">
        <f>Dataset1_Raw!J121</f>
        <v>0.14000000000000001</v>
      </c>
      <c r="K121" s="25">
        <f>IF(ISNUMBER(INDEX(Dataset2_Raw!$B$2:$B$611,$Q121)),INDEX(Dataset2_Raw!$B$2:$B$611,$Q121),"")</f>
        <v>0.18179999999999999</v>
      </c>
      <c r="L121" s="25">
        <f>IF(ISNUMBER(INDEX(Dataset2_Raw!$C$2:$C$611,$Q121)),INDEX(Dataset2_Raw!$C$2:$C$611,$Q121),"")</f>
        <v>0.69</v>
      </c>
      <c r="M121" s="25">
        <f>IF(ISNUMBER(INDEX(Dataset2_Raw!$D$2:$D$611,$Q121)),INDEX(Dataset2_Raw!$D$2:$D$611,$Q121),"")</f>
        <v>8.9599999999999999E-2</v>
      </c>
      <c r="N121" s="23">
        <f>IF(ISNUMBER(INDEX(Dataset2_Raw!$E$2:$E$611,$Q121)),INDEX(Dataset2_Raw!$E$2:$E$611,$Q121),"")</f>
        <v>0</v>
      </c>
      <c r="O121" s="23">
        <f>IF(ISNUMBER(INDEX(Dataset2_Raw!$F$2:$F$611,$Q121)),INDEX(Dataset2_Raw!$F$2:$F$611,$Q121),"")</f>
        <v>4</v>
      </c>
      <c r="P121" s="23">
        <f>IF(ISNUMBER(INDEX(Dataset2_Raw!$G$2:$G$611,$Q121)),INDEX(Dataset2_Raw!$G$2:$G$611,$Q121),"")</f>
        <v>4</v>
      </c>
      <c r="Q121" s="23">
        <f>IFERROR(MATCH($A121,Dataset2_Raw!$A$2:$A$611,0),0)</f>
        <v>120</v>
      </c>
    </row>
    <row r="122" spans="1:17" x14ac:dyDescent="0.35">
      <c r="A122" s="23">
        <f>Dataset1_Raw!A122</f>
        <v>121</v>
      </c>
      <c r="B122" s="24">
        <f>Dataset1_Raw!B122</f>
        <v>40549</v>
      </c>
      <c r="C122" s="23">
        <f>Dataset1_Raw!C122</f>
        <v>1</v>
      </c>
      <c r="D122" s="23">
        <f>Dataset1_Raw!D122</f>
        <v>0</v>
      </c>
      <c r="E122" s="23">
        <f>Dataset1_Raw!E122</f>
        <v>1</v>
      </c>
      <c r="F122" s="23">
        <f>Dataset1_Raw!F122</f>
        <v>6</v>
      </c>
      <c r="G122" s="23" t="b">
        <f>Dataset1_Raw!G122</f>
        <v>0</v>
      </c>
      <c r="H122" s="23">
        <f>Dataset1_Raw!H122</f>
        <v>4</v>
      </c>
      <c r="I122" s="23">
        <f>Dataset1_Raw!I122</f>
        <v>2</v>
      </c>
      <c r="J122" s="25">
        <f>Dataset1_Raw!J122</f>
        <v>0.14000000000000001</v>
      </c>
      <c r="K122" s="25">
        <f>IF(ISNUMBER(INDEX(Dataset2_Raw!$B$2:$B$611,$Q122)),INDEX(Dataset2_Raw!$B$2:$B$611,$Q122),"")</f>
        <v>0.16669999999999999</v>
      </c>
      <c r="L122" s="25">
        <f>IF(ISNUMBER(INDEX(Dataset2_Raw!$C$2:$C$611,$Q122)),INDEX(Dataset2_Raw!$C$2:$C$611,$Q122),"")</f>
        <v>0.63</v>
      </c>
      <c r="M122" s="25">
        <f>IF(ISNUMBER(INDEX(Dataset2_Raw!$D$2:$D$611,$Q122)),INDEX(Dataset2_Raw!$D$2:$D$611,$Q122),"")</f>
        <v>0.1045</v>
      </c>
      <c r="N122" s="23">
        <f>IF(ISNUMBER(INDEX(Dataset2_Raw!$E$2:$E$611,$Q122)),INDEX(Dataset2_Raw!$E$2:$E$611,$Q122),"")</f>
        <v>0</v>
      </c>
      <c r="O122" s="23">
        <f>IF(ISNUMBER(INDEX(Dataset2_Raw!$F$2:$F$611,$Q122)),INDEX(Dataset2_Raw!$F$2:$F$611,$Q122),"")</f>
        <v>36</v>
      </c>
      <c r="P122" s="23">
        <f>IF(ISNUMBER(INDEX(Dataset2_Raw!$G$2:$G$611,$Q122)),INDEX(Dataset2_Raw!$G$2:$G$611,$Q122),"")</f>
        <v>36</v>
      </c>
      <c r="Q122" s="23">
        <f>IFERROR(MATCH($A122,Dataset2_Raw!$A$2:$A$611,0),0)</f>
        <v>121</v>
      </c>
    </row>
    <row r="123" spans="1:17" x14ac:dyDescent="0.35">
      <c r="A123" s="23">
        <f>Dataset1_Raw!A123</f>
        <v>122</v>
      </c>
      <c r="B123" s="24">
        <f>Dataset1_Raw!B123</f>
        <v>40549</v>
      </c>
      <c r="C123" s="23">
        <f>Dataset1_Raw!C123</f>
        <v>1</v>
      </c>
      <c r="D123" s="23">
        <f>Dataset1_Raw!D123</f>
        <v>0</v>
      </c>
      <c r="E123" s="23">
        <f>Dataset1_Raw!E123</f>
        <v>1</v>
      </c>
      <c r="F123" s="23">
        <f>Dataset1_Raw!F123</f>
        <v>7</v>
      </c>
      <c r="G123" s="23" t="b">
        <f>Dataset1_Raw!G123</f>
        <v>0</v>
      </c>
      <c r="H123" s="23">
        <f>Dataset1_Raw!H123</f>
        <v>4</v>
      </c>
      <c r="I123" s="23">
        <f>Dataset1_Raw!I123</f>
        <v>2</v>
      </c>
      <c r="J123" s="25">
        <f>Dataset1_Raw!J123</f>
        <v>0.16</v>
      </c>
      <c r="K123" s="25">
        <f>IF(ISNUMBER(INDEX(Dataset2_Raw!$B$2:$B$611,$Q123)),INDEX(Dataset2_Raw!$B$2:$B$611,$Q123),"")</f>
        <v>0.2273</v>
      </c>
      <c r="L123" s="25">
        <f>IF(ISNUMBER(INDEX(Dataset2_Raw!$C$2:$C$611,$Q123)),INDEX(Dataset2_Raw!$C$2:$C$611,$Q123),"")</f>
        <v>0.59</v>
      </c>
      <c r="M123" s="25">
        <f>IF(ISNUMBER(INDEX(Dataset2_Raw!$D$2:$D$611,$Q123)),INDEX(Dataset2_Raw!$D$2:$D$611,$Q123),"")</f>
        <v>0</v>
      </c>
      <c r="N123" s="23">
        <f>IF(ISNUMBER(INDEX(Dataset2_Raw!$E$2:$E$611,$Q123)),INDEX(Dataset2_Raw!$E$2:$E$611,$Q123),"")</f>
        <v>0</v>
      </c>
      <c r="O123" s="23">
        <f>IF(ISNUMBER(INDEX(Dataset2_Raw!$F$2:$F$611,$Q123)),INDEX(Dataset2_Raw!$F$2:$F$611,$Q123),"")</f>
        <v>95</v>
      </c>
      <c r="P123" s="23">
        <f>IF(ISNUMBER(INDEX(Dataset2_Raw!$G$2:$G$611,$Q123)),INDEX(Dataset2_Raw!$G$2:$G$611,$Q123),"")</f>
        <v>95</v>
      </c>
      <c r="Q123" s="23">
        <f>IFERROR(MATCH($A123,Dataset2_Raw!$A$2:$A$611,0),0)</f>
        <v>122</v>
      </c>
    </row>
    <row r="124" spans="1:17" x14ac:dyDescent="0.35">
      <c r="A124" s="23">
        <f>Dataset1_Raw!A124</f>
        <v>123</v>
      </c>
      <c r="B124" s="24">
        <f>Dataset1_Raw!B124</f>
        <v>40549</v>
      </c>
      <c r="C124" s="23">
        <f>Dataset1_Raw!C124</f>
        <v>1</v>
      </c>
      <c r="D124" s="23">
        <f>Dataset1_Raw!D124</f>
        <v>0</v>
      </c>
      <c r="E124" s="23">
        <f>Dataset1_Raw!E124</f>
        <v>1</v>
      </c>
      <c r="F124" s="23">
        <f>Dataset1_Raw!F124</f>
        <v>8</v>
      </c>
      <c r="G124" s="23" t="b">
        <f>Dataset1_Raw!G124</f>
        <v>0</v>
      </c>
      <c r="H124" s="23">
        <f>Dataset1_Raw!H124</f>
        <v>4</v>
      </c>
      <c r="I124" s="23">
        <f>Dataset1_Raw!I124</f>
        <v>1</v>
      </c>
      <c r="J124" s="25">
        <f>Dataset1_Raw!J124</f>
        <v>0.16</v>
      </c>
      <c r="K124" s="25">
        <f>IF(ISNUMBER(INDEX(Dataset2_Raw!$B$2:$B$611,$Q124)),INDEX(Dataset2_Raw!$B$2:$B$611,$Q124),"")</f>
        <v>0.2273</v>
      </c>
      <c r="L124" s="25">
        <f>IF(ISNUMBER(INDEX(Dataset2_Raw!$C$2:$C$611,$Q124)),INDEX(Dataset2_Raw!$C$2:$C$611,$Q124),"")</f>
        <v>0.59</v>
      </c>
      <c r="M124" s="25">
        <f>IF(ISNUMBER(INDEX(Dataset2_Raw!$D$2:$D$611,$Q124)),INDEX(Dataset2_Raw!$D$2:$D$611,$Q124),"")</f>
        <v>0</v>
      </c>
      <c r="N124" s="23">
        <f>IF(ISNUMBER(INDEX(Dataset2_Raw!$E$2:$E$611,$Q124)),INDEX(Dataset2_Raw!$E$2:$E$611,$Q124),"")</f>
        <v>3</v>
      </c>
      <c r="O124" s="23">
        <f>IF(ISNUMBER(INDEX(Dataset2_Raw!$F$2:$F$611,$Q124)),INDEX(Dataset2_Raw!$F$2:$F$611,$Q124),"")</f>
        <v>216</v>
      </c>
      <c r="P124" s="23">
        <f>IF(ISNUMBER(INDEX(Dataset2_Raw!$G$2:$G$611,$Q124)),INDEX(Dataset2_Raw!$G$2:$G$611,$Q124),"")</f>
        <v>219</v>
      </c>
      <c r="Q124" s="23">
        <f>IFERROR(MATCH($A124,Dataset2_Raw!$A$2:$A$611,0),0)</f>
        <v>123</v>
      </c>
    </row>
    <row r="125" spans="1:17" x14ac:dyDescent="0.35">
      <c r="A125" s="23">
        <f>Dataset1_Raw!A125</f>
        <v>124</v>
      </c>
      <c r="B125" s="24">
        <f>Dataset1_Raw!B125</f>
        <v>40549</v>
      </c>
      <c r="C125" s="23">
        <f>Dataset1_Raw!C125</f>
        <v>1</v>
      </c>
      <c r="D125" s="23">
        <f>Dataset1_Raw!D125</f>
        <v>0</v>
      </c>
      <c r="E125" s="23">
        <f>Dataset1_Raw!E125</f>
        <v>1</v>
      </c>
      <c r="F125" s="23">
        <f>Dataset1_Raw!F125</f>
        <v>9</v>
      </c>
      <c r="G125" s="23" t="b">
        <f>Dataset1_Raw!G125</f>
        <v>0</v>
      </c>
      <c r="H125" s="23">
        <f>Dataset1_Raw!H125</f>
        <v>4</v>
      </c>
      <c r="I125" s="23">
        <f>Dataset1_Raw!I125</f>
        <v>2</v>
      </c>
      <c r="J125" s="25">
        <f>Dataset1_Raw!J125</f>
        <v>0.18</v>
      </c>
      <c r="K125" s="25">
        <f>IF(ISNUMBER(INDEX(Dataset2_Raw!$B$2:$B$611,$Q125)),INDEX(Dataset2_Raw!$B$2:$B$611,$Q125),"")</f>
        <v>0.2424</v>
      </c>
      <c r="L125" s="25">
        <f>IF(ISNUMBER(INDEX(Dataset2_Raw!$C$2:$C$611,$Q125)),INDEX(Dataset2_Raw!$C$2:$C$611,$Q125),"")</f>
        <v>0.51</v>
      </c>
      <c r="M125" s="25">
        <f>IF(ISNUMBER(INDEX(Dataset2_Raw!$D$2:$D$611,$Q125)),INDEX(Dataset2_Raw!$D$2:$D$611,$Q125),"")</f>
        <v>0</v>
      </c>
      <c r="N125" s="23">
        <f>IF(ISNUMBER(INDEX(Dataset2_Raw!$E$2:$E$611,$Q125)),INDEX(Dataset2_Raw!$E$2:$E$611,$Q125),"")</f>
        <v>6</v>
      </c>
      <c r="O125" s="23">
        <f>IF(ISNUMBER(INDEX(Dataset2_Raw!$F$2:$F$611,$Q125)),INDEX(Dataset2_Raw!$F$2:$F$611,$Q125),"")</f>
        <v>116</v>
      </c>
      <c r="P125" s="23">
        <f>IF(ISNUMBER(INDEX(Dataset2_Raw!$G$2:$G$611,$Q125)),INDEX(Dataset2_Raw!$G$2:$G$611,$Q125),"")</f>
        <v>122</v>
      </c>
      <c r="Q125" s="23">
        <f>IFERROR(MATCH($A125,Dataset2_Raw!$A$2:$A$611,0),0)</f>
        <v>124</v>
      </c>
    </row>
    <row r="126" spans="1:17" x14ac:dyDescent="0.35">
      <c r="A126" s="23">
        <f>Dataset1_Raw!A126</f>
        <v>125</v>
      </c>
      <c r="B126" s="24">
        <f>Dataset1_Raw!B126</f>
        <v>40549</v>
      </c>
      <c r="C126" s="23">
        <f>Dataset1_Raw!C126</f>
        <v>1</v>
      </c>
      <c r="D126" s="23">
        <f>Dataset1_Raw!D126</f>
        <v>0</v>
      </c>
      <c r="E126" s="23">
        <f>Dataset1_Raw!E126</f>
        <v>1</v>
      </c>
      <c r="F126" s="23">
        <f>Dataset1_Raw!F126</f>
        <v>10</v>
      </c>
      <c r="G126" s="23" t="b">
        <f>Dataset1_Raw!G126</f>
        <v>0</v>
      </c>
      <c r="H126" s="23">
        <f>Dataset1_Raw!H126</f>
        <v>4</v>
      </c>
      <c r="I126" s="23">
        <f>Dataset1_Raw!I126</f>
        <v>1</v>
      </c>
      <c r="J126" s="25">
        <f>Dataset1_Raw!J126</f>
        <v>0.2</v>
      </c>
      <c r="K126" s="25">
        <f>IF(ISNUMBER(INDEX(Dataset2_Raw!$B$2:$B$611,$Q126)),INDEX(Dataset2_Raw!$B$2:$B$611,$Q126),"")</f>
        <v>0.2576</v>
      </c>
      <c r="L126" s="25">
        <f>IF(ISNUMBER(INDEX(Dataset2_Raw!$C$2:$C$611,$Q126)),INDEX(Dataset2_Raw!$C$2:$C$611,$Q126),"")</f>
        <v>0.47</v>
      </c>
      <c r="M126" s="25">
        <f>IF(ISNUMBER(INDEX(Dataset2_Raw!$D$2:$D$611,$Q126)),INDEX(Dataset2_Raw!$D$2:$D$611,$Q126),"")</f>
        <v>0</v>
      </c>
      <c r="N126" s="23">
        <f>IF(ISNUMBER(INDEX(Dataset2_Raw!$E$2:$E$611,$Q126)),INDEX(Dataset2_Raw!$E$2:$E$611,$Q126),"")</f>
        <v>3</v>
      </c>
      <c r="O126" s="23">
        <f>IF(ISNUMBER(INDEX(Dataset2_Raw!$F$2:$F$611,$Q126)),INDEX(Dataset2_Raw!$F$2:$F$611,$Q126),"")</f>
        <v>42</v>
      </c>
      <c r="P126" s="23">
        <f>IF(ISNUMBER(INDEX(Dataset2_Raw!$G$2:$G$611,$Q126)),INDEX(Dataset2_Raw!$G$2:$G$611,$Q126),"")</f>
        <v>45</v>
      </c>
      <c r="Q126" s="23">
        <f>IFERROR(MATCH($A126,Dataset2_Raw!$A$2:$A$611,0),0)</f>
        <v>125</v>
      </c>
    </row>
    <row r="127" spans="1:17" x14ac:dyDescent="0.35">
      <c r="A127" s="23">
        <f>Dataset1_Raw!A127</f>
        <v>126</v>
      </c>
      <c r="B127" s="24">
        <f>Dataset1_Raw!B127</f>
        <v>40549</v>
      </c>
      <c r="C127" s="23">
        <f>Dataset1_Raw!C127</f>
        <v>1</v>
      </c>
      <c r="D127" s="23">
        <f>Dataset1_Raw!D127</f>
        <v>0</v>
      </c>
      <c r="E127" s="23">
        <f>Dataset1_Raw!E127</f>
        <v>1</v>
      </c>
      <c r="F127" s="23">
        <f>Dataset1_Raw!F127</f>
        <v>11</v>
      </c>
      <c r="G127" s="23" t="b">
        <f>Dataset1_Raw!G127</f>
        <v>0</v>
      </c>
      <c r="H127" s="23">
        <f>Dataset1_Raw!H127</f>
        <v>4</v>
      </c>
      <c r="I127" s="23">
        <f>Dataset1_Raw!I127</f>
        <v>1</v>
      </c>
      <c r="J127" s="25">
        <f>Dataset1_Raw!J127</f>
        <v>0.22</v>
      </c>
      <c r="K127" s="25">
        <f>IF(ISNUMBER(INDEX(Dataset2_Raw!$B$2:$B$611,$Q127)),INDEX(Dataset2_Raw!$B$2:$B$611,$Q127),"")</f>
        <v>0.2576</v>
      </c>
      <c r="L127" s="25">
        <f>IF(ISNUMBER(INDEX(Dataset2_Raw!$C$2:$C$611,$Q127)),INDEX(Dataset2_Raw!$C$2:$C$611,$Q127),"")</f>
        <v>0.44</v>
      </c>
      <c r="M127" s="25">
        <f>IF(ISNUMBER(INDEX(Dataset2_Raw!$D$2:$D$611,$Q127)),INDEX(Dataset2_Raw!$D$2:$D$611,$Q127),"")</f>
        <v>8.9599999999999999E-2</v>
      </c>
      <c r="N127" s="23">
        <f>IF(ISNUMBER(INDEX(Dataset2_Raw!$E$2:$E$611,$Q127)),INDEX(Dataset2_Raw!$E$2:$E$611,$Q127),"")</f>
        <v>2</v>
      </c>
      <c r="O127" s="23">
        <f>IF(ISNUMBER(INDEX(Dataset2_Raw!$F$2:$F$611,$Q127)),INDEX(Dataset2_Raw!$F$2:$F$611,$Q127),"")</f>
        <v>57</v>
      </c>
      <c r="P127" s="23">
        <f>IF(ISNUMBER(INDEX(Dataset2_Raw!$G$2:$G$611,$Q127)),INDEX(Dataset2_Raw!$G$2:$G$611,$Q127),"")</f>
        <v>59</v>
      </c>
      <c r="Q127" s="23">
        <f>IFERROR(MATCH($A127,Dataset2_Raw!$A$2:$A$611,0),0)</f>
        <v>126</v>
      </c>
    </row>
    <row r="128" spans="1:17" x14ac:dyDescent="0.35">
      <c r="A128" s="23">
        <f>Dataset1_Raw!A128</f>
        <v>127</v>
      </c>
      <c r="B128" s="24">
        <f>Dataset1_Raw!B128</f>
        <v>40549</v>
      </c>
      <c r="C128" s="23">
        <f>Dataset1_Raw!C128</f>
        <v>1</v>
      </c>
      <c r="D128" s="23">
        <f>Dataset1_Raw!D128</f>
        <v>0</v>
      </c>
      <c r="E128" s="23">
        <f>Dataset1_Raw!E128</f>
        <v>1</v>
      </c>
      <c r="F128" s="23">
        <f>Dataset1_Raw!F128</f>
        <v>12</v>
      </c>
      <c r="G128" s="23" t="b">
        <f>Dataset1_Raw!G128</f>
        <v>0</v>
      </c>
      <c r="H128" s="23">
        <f>Dataset1_Raw!H128</f>
        <v>4</v>
      </c>
      <c r="I128" s="23">
        <f>Dataset1_Raw!I128</f>
        <v>1</v>
      </c>
      <c r="J128" s="25">
        <f>Dataset1_Raw!J128</f>
        <v>0.26</v>
      </c>
      <c r="K128" s="25">
        <f>IF(ISNUMBER(INDEX(Dataset2_Raw!$B$2:$B$611,$Q128)),INDEX(Dataset2_Raw!$B$2:$B$611,$Q128),"")</f>
        <v>0.28789999999999999</v>
      </c>
      <c r="L128" s="25">
        <f>IF(ISNUMBER(INDEX(Dataset2_Raw!$C$2:$C$611,$Q128)),INDEX(Dataset2_Raw!$C$2:$C$611,$Q128),"")</f>
        <v>0.35</v>
      </c>
      <c r="M128" s="25">
        <f>IF(ISNUMBER(INDEX(Dataset2_Raw!$D$2:$D$611,$Q128)),INDEX(Dataset2_Raw!$D$2:$D$611,$Q128),"")</f>
        <v>0</v>
      </c>
      <c r="N128" s="23">
        <f>IF(ISNUMBER(INDEX(Dataset2_Raw!$E$2:$E$611,$Q128)),INDEX(Dataset2_Raw!$E$2:$E$611,$Q128),"")</f>
        <v>6</v>
      </c>
      <c r="O128" s="23">
        <f>IF(ISNUMBER(INDEX(Dataset2_Raw!$F$2:$F$611,$Q128)),INDEX(Dataset2_Raw!$F$2:$F$611,$Q128),"")</f>
        <v>78</v>
      </c>
      <c r="P128" s="23">
        <f>IF(ISNUMBER(INDEX(Dataset2_Raw!$G$2:$G$611,$Q128)),INDEX(Dataset2_Raw!$G$2:$G$611,$Q128),"")</f>
        <v>84</v>
      </c>
      <c r="Q128" s="23">
        <f>IFERROR(MATCH($A128,Dataset2_Raw!$A$2:$A$611,0),0)</f>
        <v>127</v>
      </c>
    </row>
    <row r="129" spans="1:17" x14ac:dyDescent="0.35">
      <c r="A129" s="23">
        <f>Dataset1_Raw!A129</f>
        <v>128</v>
      </c>
      <c r="B129" s="24">
        <f>Dataset1_Raw!B129</f>
        <v>40549</v>
      </c>
      <c r="C129" s="23">
        <f>Dataset1_Raw!C129</f>
        <v>1</v>
      </c>
      <c r="D129" s="23">
        <f>Dataset1_Raw!D129</f>
        <v>0</v>
      </c>
      <c r="E129" s="23">
        <f>Dataset1_Raw!E129</f>
        <v>1</v>
      </c>
      <c r="F129" s="23">
        <f>Dataset1_Raw!F129</f>
        <v>13</v>
      </c>
      <c r="G129" s="23" t="b">
        <f>Dataset1_Raw!G129</f>
        <v>0</v>
      </c>
      <c r="H129" s="23">
        <f>Dataset1_Raw!H129</f>
        <v>4</v>
      </c>
      <c r="I129" s="23">
        <f>Dataset1_Raw!I129</f>
        <v>1</v>
      </c>
      <c r="J129" s="25">
        <f>Dataset1_Raw!J129</f>
        <v>0.26</v>
      </c>
      <c r="K129" s="25">
        <f>IF(ISNUMBER(INDEX(Dataset2_Raw!$B$2:$B$611,$Q129)),INDEX(Dataset2_Raw!$B$2:$B$611,$Q129),"")</f>
        <v>0.2727</v>
      </c>
      <c r="L129" s="25">
        <f>IF(ISNUMBER(INDEX(Dataset2_Raw!$C$2:$C$611,$Q129)),INDEX(Dataset2_Raw!$C$2:$C$611,$Q129),"")</f>
        <v>0.35</v>
      </c>
      <c r="M129" s="25">
        <f>IF(ISNUMBER(INDEX(Dataset2_Raw!$D$2:$D$611,$Q129)),INDEX(Dataset2_Raw!$D$2:$D$611,$Q129),"")</f>
        <v>0.1045</v>
      </c>
      <c r="N129" s="23">
        <f>IF(ISNUMBER(INDEX(Dataset2_Raw!$E$2:$E$611,$Q129)),INDEX(Dataset2_Raw!$E$2:$E$611,$Q129),"")</f>
        <v>12</v>
      </c>
      <c r="O129" s="23">
        <f>IF(ISNUMBER(INDEX(Dataset2_Raw!$F$2:$F$611,$Q129)),INDEX(Dataset2_Raw!$F$2:$F$611,$Q129),"")</f>
        <v>55</v>
      </c>
      <c r="P129" s="23">
        <f>IF(ISNUMBER(INDEX(Dataset2_Raw!$G$2:$G$611,$Q129)),INDEX(Dataset2_Raw!$G$2:$G$611,$Q129),"")</f>
        <v>67</v>
      </c>
      <c r="Q129" s="23">
        <f>IFERROR(MATCH($A129,Dataset2_Raw!$A$2:$A$611,0),0)</f>
        <v>128</v>
      </c>
    </row>
    <row r="130" spans="1:17" x14ac:dyDescent="0.35">
      <c r="A130" s="23">
        <f>Dataset1_Raw!A130</f>
        <v>129</v>
      </c>
      <c r="B130" s="24">
        <f>Dataset1_Raw!B130</f>
        <v>40549</v>
      </c>
      <c r="C130" s="23">
        <f>Dataset1_Raw!C130</f>
        <v>1</v>
      </c>
      <c r="D130" s="23">
        <f>Dataset1_Raw!D130</f>
        <v>0</v>
      </c>
      <c r="E130" s="23">
        <f>Dataset1_Raw!E130</f>
        <v>1</v>
      </c>
      <c r="F130" s="23">
        <f>Dataset1_Raw!F130</f>
        <v>14</v>
      </c>
      <c r="G130" s="23" t="b">
        <f>Dataset1_Raw!G130</f>
        <v>0</v>
      </c>
      <c r="H130" s="23">
        <f>Dataset1_Raw!H130</f>
        <v>4</v>
      </c>
      <c r="I130" s="23">
        <f>Dataset1_Raw!I130</f>
        <v>1</v>
      </c>
      <c r="J130" s="25">
        <f>Dataset1_Raw!J130</f>
        <v>0.28000000000000003</v>
      </c>
      <c r="K130" s="25">
        <f>IF(ISNUMBER(INDEX(Dataset2_Raw!$B$2:$B$611,$Q130)),INDEX(Dataset2_Raw!$B$2:$B$611,$Q130),"")</f>
        <v>0.2727</v>
      </c>
      <c r="L130" s="25">
        <f>IF(ISNUMBER(INDEX(Dataset2_Raw!$C$2:$C$611,$Q130)),INDEX(Dataset2_Raw!$C$2:$C$611,$Q130),"")</f>
        <v>0.36</v>
      </c>
      <c r="M130" s="25">
        <f>IF(ISNUMBER(INDEX(Dataset2_Raw!$D$2:$D$611,$Q130)),INDEX(Dataset2_Raw!$D$2:$D$611,$Q130),"")</f>
        <v>0.16420000000000001</v>
      </c>
      <c r="N130" s="23">
        <f>IF(ISNUMBER(INDEX(Dataset2_Raw!$E$2:$E$611,$Q130)),INDEX(Dataset2_Raw!$E$2:$E$611,$Q130),"")</f>
        <v>11</v>
      </c>
      <c r="O130" s="23">
        <f>IF(ISNUMBER(INDEX(Dataset2_Raw!$F$2:$F$611,$Q130)),INDEX(Dataset2_Raw!$F$2:$F$611,$Q130),"")</f>
        <v>59</v>
      </c>
      <c r="P130" s="23">
        <f>IF(ISNUMBER(INDEX(Dataset2_Raw!$G$2:$G$611,$Q130)),INDEX(Dataset2_Raw!$G$2:$G$611,$Q130),"")</f>
        <v>70</v>
      </c>
      <c r="Q130" s="23">
        <f>IFERROR(MATCH($A130,Dataset2_Raw!$A$2:$A$611,0),0)</f>
        <v>129</v>
      </c>
    </row>
    <row r="131" spans="1:17" x14ac:dyDescent="0.35">
      <c r="A131" s="23">
        <f>Dataset1_Raw!A131</f>
        <v>130</v>
      </c>
      <c r="B131" s="24">
        <f>Dataset1_Raw!B131</f>
        <v>40549</v>
      </c>
      <c r="C131" s="23">
        <f>Dataset1_Raw!C131</f>
        <v>1</v>
      </c>
      <c r="D131" s="23">
        <f>Dataset1_Raw!D131</f>
        <v>0</v>
      </c>
      <c r="E131" s="23">
        <f>Dataset1_Raw!E131</f>
        <v>1</v>
      </c>
      <c r="F131" s="23">
        <f>Dataset1_Raw!F131</f>
        <v>15</v>
      </c>
      <c r="G131" s="23" t="b">
        <f>Dataset1_Raw!G131</f>
        <v>0</v>
      </c>
      <c r="H131" s="23">
        <f>Dataset1_Raw!H131</f>
        <v>4</v>
      </c>
      <c r="I131" s="23">
        <f>Dataset1_Raw!I131</f>
        <v>1</v>
      </c>
      <c r="J131" s="25">
        <f>Dataset1_Raw!J131</f>
        <v>0.28000000000000003</v>
      </c>
      <c r="K131" s="25">
        <f>IF(ISNUMBER(INDEX(Dataset2_Raw!$B$2:$B$611,$Q131)),INDEX(Dataset2_Raw!$B$2:$B$611,$Q131),"")</f>
        <v>0.2727</v>
      </c>
      <c r="L131" s="25">
        <f>IF(ISNUMBER(INDEX(Dataset2_Raw!$C$2:$C$611,$Q131)),INDEX(Dataset2_Raw!$C$2:$C$611,$Q131),"")</f>
        <v>0.36</v>
      </c>
      <c r="M131" s="25">
        <f>IF(ISNUMBER(INDEX(Dataset2_Raw!$D$2:$D$611,$Q131)),INDEX(Dataset2_Raw!$D$2:$D$611,$Q131),"")</f>
        <v>0</v>
      </c>
      <c r="N131" s="23">
        <f>IF(ISNUMBER(INDEX(Dataset2_Raw!$E$2:$E$611,$Q131)),INDEX(Dataset2_Raw!$E$2:$E$611,$Q131),"")</f>
        <v>8</v>
      </c>
      <c r="O131" s="23">
        <f>IF(ISNUMBER(INDEX(Dataset2_Raw!$F$2:$F$611,$Q131)),INDEX(Dataset2_Raw!$F$2:$F$611,$Q131),"")</f>
        <v>54</v>
      </c>
      <c r="P131" s="23">
        <f>IF(ISNUMBER(INDEX(Dataset2_Raw!$G$2:$G$611,$Q131)),INDEX(Dataset2_Raw!$G$2:$G$611,$Q131),"")</f>
        <v>62</v>
      </c>
      <c r="Q131" s="23">
        <f>IFERROR(MATCH($A131,Dataset2_Raw!$A$2:$A$611,0),0)</f>
        <v>130</v>
      </c>
    </row>
    <row r="132" spans="1:17" x14ac:dyDescent="0.35">
      <c r="A132" s="23">
        <f>Dataset1_Raw!A132</f>
        <v>131</v>
      </c>
      <c r="B132" s="24">
        <f>Dataset1_Raw!B132</f>
        <v>40549</v>
      </c>
      <c r="C132" s="23">
        <f>Dataset1_Raw!C132</f>
        <v>1</v>
      </c>
      <c r="D132" s="23">
        <f>Dataset1_Raw!D132</f>
        <v>0</v>
      </c>
      <c r="E132" s="23">
        <f>Dataset1_Raw!E132</f>
        <v>1</v>
      </c>
      <c r="F132" s="23">
        <f>Dataset1_Raw!F132</f>
        <v>16</v>
      </c>
      <c r="G132" s="23" t="b">
        <f>Dataset1_Raw!G132</f>
        <v>0</v>
      </c>
      <c r="H132" s="23">
        <f>Dataset1_Raw!H132</f>
        <v>4</v>
      </c>
      <c r="I132" s="23">
        <f>Dataset1_Raw!I132</f>
        <v>1</v>
      </c>
      <c r="J132" s="25">
        <f>Dataset1_Raw!J132</f>
        <v>0.26</v>
      </c>
      <c r="K132" s="25">
        <f>IF(ISNUMBER(INDEX(Dataset2_Raw!$B$2:$B$611,$Q132)),INDEX(Dataset2_Raw!$B$2:$B$611,$Q132),"")</f>
        <v>0.2576</v>
      </c>
      <c r="L132" s="25">
        <f>IF(ISNUMBER(INDEX(Dataset2_Raw!$C$2:$C$611,$Q132)),INDEX(Dataset2_Raw!$C$2:$C$611,$Q132),"")</f>
        <v>0.38</v>
      </c>
      <c r="M132" s="25">
        <f>IF(ISNUMBER(INDEX(Dataset2_Raw!$D$2:$D$611,$Q132)),INDEX(Dataset2_Raw!$D$2:$D$611,$Q132),"")</f>
        <v>0.16420000000000001</v>
      </c>
      <c r="N132" s="23">
        <f>IF(ISNUMBER(INDEX(Dataset2_Raw!$E$2:$E$611,$Q132)),INDEX(Dataset2_Raw!$E$2:$E$611,$Q132),"")</f>
        <v>12</v>
      </c>
      <c r="O132" s="23">
        <f>IF(ISNUMBER(INDEX(Dataset2_Raw!$F$2:$F$611,$Q132)),INDEX(Dataset2_Raw!$F$2:$F$611,$Q132),"")</f>
        <v>74</v>
      </c>
      <c r="P132" s="23">
        <f>IF(ISNUMBER(INDEX(Dataset2_Raw!$G$2:$G$611,$Q132)),INDEX(Dataset2_Raw!$G$2:$G$611,$Q132),"")</f>
        <v>86</v>
      </c>
      <c r="Q132" s="23">
        <f>IFERROR(MATCH($A132,Dataset2_Raw!$A$2:$A$611,0),0)</f>
        <v>131</v>
      </c>
    </row>
    <row r="133" spans="1:17" x14ac:dyDescent="0.35">
      <c r="A133" s="23">
        <f>Dataset1_Raw!A133</f>
        <v>132</v>
      </c>
      <c r="B133" s="24">
        <f>Dataset1_Raw!B133</f>
        <v>40549</v>
      </c>
      <c r="C133" s="23">
        <f>Dataset1_Raw!C133</f>
        <v>1</v>
      </c>
      <c r="D133" s="23">
        <f>Dataset1_Raw!D133</f>
        <v>0</v>
      </c>
      <c r="E133" s="23">
        <f>Dataset1_Raw!E133</f>
        <v>1</v>
      </c>
      <c r="F133" s="23">
        <f>Dataset1_Raw!F133</f>
        <v>17</v>
      </c>
      <c r="G133" s="23" t="b">
        <f>Dataset1_Raw!G133</f>
        <v>0</v>
      </c>
      <c r="H133" s="23">
        <f>Dataset1_Raw!H133</f>
        <v>4</v>
      </c>
      <c r="I133" s="23">
        <f>Dataset1_Raw!I133</f>
        <v>1</v>
      </c>
      <c r="J133" s="25">
        <f>Dataset1_Raw!J133</f>
        <v>0.22</v>
      </c>
      <c r="K133" s="25">
        <f>IF(ISNUMBER(INDEX(Dataset2_Raw!$B$2:$B$611,$Q133)),INDEX(Dataset2_Raw!$B$2:$B$611,$Q133),"")</f>
        <v>0.2273</v>
      </c>
      <c r="L133" s="25">
        <f>IF(ISNUMBER(INDEX(Dataset2_Raw!$C$2:$C$611,$Q133)),INDEX(Dataset2_Raw!$C$2:$C$611,$Q133),"")</f>
        <v>0.51</v>
      </c>
      <c r="M133" s="25">
        <f>IF(ISNUMBER(INDEX(Dataset2_Raw!$D$2:$D$611,$Q133)),INDEX(Dataset2_Raw!$D$2:$D$611,$Q133),"")</f>
        <v>0.16420000000000001</v>
      </c>
      <c r="N133" s="23">
        <f>IF(ISNUMBER(INDEX(Dataset2_Raw!$E$2:$E$611,$Q133)),INDEX(Dataset2_Raw!$E$2:$E$611,$Q133),"")</f>
        <v>9</v>
      </c>
      <c r="O133" s="23">
        <f>IF(ISNUMBER(INDEX(Dataset2_Raw!$F$2:$F$611,$Q133)),INDEX(Dataset2_Raw!$F$2:$F$611,$Q133),"")</f>
        <v>163</v>
      </c>
      <c r="P133" s="23">
        <f>IF(ISNUMBER(INDEX(Dataset2_Raw!$G$2:$G$611,$Q133)),INDEX(Dataset2_Raw!$G$2:$G$611,$Q133),"")</f>
        <v>172</v>
      </c>
      <c r="Q133" s="23">
        <f>IFERROR(MATCH($A133,Dataset2_Raw!$A$2:$A$611,0),0)</f>
        <v>132</v>
      </c>
    </row>
    <row r="134" spans="1:17" x14ac:dyDescent="0.35">
      <c r="A134" s="23">
        <f>Dataset1_Raw!A134</f>
        <v>133</v>
      </c>
      <c r="B134" s="24">
        <f>Dataset1_Raw!B134</f>
        <v>40549</v>
      </c>
      <c r="C134" s="23">
        <f>Dataset1_Raw!C134</f>
        <v>1</v>
      </c>
      <c r="D134" s="23">
        <f>Dataset1_Raw!D134</f>
        <v>0</v>
      </c>
      <c r="E134" s="23">
        <f>Dataset1_Raw!E134</f>
        <v>1</v>
      </c>
      <c r="F134" s="23">
        <f>Dataset1_Raw!F134</f>
        <v>18</v>
      </c>
      <c r="G134" s="23" t="b">
        <f>Dataset1_Raw!G134</f>
        <v>0</v>
      </c>
      <c r="H134" s="23">
        <f>Dataset1_Raw!H134</f>
        <v>4</v>
      </c>
      <c r="I134" s="23">
        <f>Dataset1_Raw!I134</f>
        <v>1</v>
      </c>
      <c r="J134" s="25">
        <f>Dataset1_Raw!J134</f>
        <v>0.22</v>
      </c>
      <c r="K134" s="25">
        <f>IF(ISNUMBER(INDEX(Dataset2_Raw!$B$2:$B$611,$Q134)),INDEX(Dataset2_Raw!$B$2:$B$611,$Q134),"")</f>
        <v>0.2273</v>
      </c>
      <c r="L134" s="25">
        <f>IF(ISNUMBER(INDEX(Dataset2_Raw!$C$2:$C$611,$Q134)),INDEX(Dataset2_Raw!$C$2:$C$611,$Q134),"")</f>
        <v>0.51</v>
      </c>
      <c r="M134" s="25">
        <f>IF(ISNUMBER(INDEX(Dataset2_Raw!$D$2:$D$611,$Q134)),INDEX(Dataset2_Raw!$D$2:$D$611,$Q134),"")</f>
        <v>0.1343</v>
      </c>
      <c r="N134" s="23">
        <f>IF(ISNUMBER(INDEX(Dataset2_Raw!$E$2:$E$611,$Q134)),INDEX(Dataset2_Raw!$E$2:$E$611,$Q134),"")</f>
        <v>5</v>
      </c>
      <c r="O134" s="23">
        <f>IF(ISNUMBER(INDEX(Dataset2_Raw!$F$2:$F$611,$Q134)),INDEX(Dataset2_Raw!$F$2:$F$611,$Q134),"")</f>
        <v>158</v>
      </c>
      <c r="P134" s="23">
        <f>IF(ISNUMBER(INDEX(Dataset2_Raw!$G$2:$G$611,$Q134)),INDEX(Dataset2_Raw!$G$2:$G$611,$Q134),"")</f>
        <v>163</v>
      </c>
      <c r="Q134" s="23">
        <f>IFERROR(MATCH($A134,Dataset2_Raw!$A$2:$A$611,0),0)</f>
        <v>133</v>
      </c>
    </row>
    <row r="135" spans="1:17" x14ac:dyDescent="0.35">
      <c r="A135" s="23">
        <f>Dataset1_Raw!A135</f>
        <v>134</v>
      </c>
      <c r="B135" s="24">
        <f>Dataset1_Raw!B135</f>
        <v>40549</v>
      </c>
      <c r="C135" s="23">
        <f>Dataset1_Raw!C135</f>
        <v>1</v>
      </c>
      <c r="D135" s="23">
        <f>Dataset1_Raw!D135</f>
        <v>0</v>
      </c>
      <c r="E135" s="23">
        <f>Dataset1_Raw!E135</f>
        <v>1</v>
      </c>
      <c r="F135" s="23">
        <f>Dataset1_Raw!F135</f>
        <v>19</v>
      </c>
      <c r="G135" s="23" t="b">
        <f>Dataset1_Raw!G135</f>
        <v>0</v>
      </c>
      <c r="H135" s="23">
        <f>Dataset1_Raw!H135</f>
        <v>4</v>
      </c>
      <c r="I135" s="23">
        <f>Dataset1_Raw!I135</f>
        <v>1</v>
      </c>
      <c r="J135" s="25">
        <f>Dataset1_Raw!J135</f>
        <v>0.22</v>
      </c>
      <c r="K135" s="25">
        <f>IF(ISNUMBER(INDEX(Dataset2_Raw!$B$2:$B$611,$Q135)),INDEX(Dataset2_Raw!$B$2:$B$611,$Q135),"")</f>
        <v>0.2576</v>
      </c>
      <c r="L135" s="25">
        <f>IF(ISNUMBER(INDEX(Dataset2_Raw!$C$2:$C$611,$Q135)),INDEX(Dataset2_Raw!$C$2:$C$611,$Q135),"")</f>
        <v>0.55000000000000004</v>
      </c>
      <c r="M135" s="25">
        <f>IF(ISNUMBER(INDEX(Dataset2_Raw!$D$2:$D$611,$Q135)),INDEX(Dataset2_Raw!$D$2:$D$611,$Q135),"")</f>
        <v>8.9599999999999999E-2</v>
      </c>
      <c r="N135" s="23">
        <f>IF(ISNUMBER(INDEX(Dataset2_Raw!$E$2:$E$611,$Q135)),INDEX(Dataset2_Raw!$E$2:$E$611,$Q135),"")</f>
        <v>3</v>
      </c>
      <c r="O135" s="23">
        <f>IF(ISNUMBER(INDEX(Dataset2_Raw!$F$2:$F$611,$Q135)),INDEX(Dataset2_Raw!$F$2:$F$611,$Q135),"")</f>
        <v>109</v>
      </c>
      <c r="P135" s="23">
        <f>IF(ISNUMBER(INDEX(Dataset2_Raw!$G$2:$G$611,$Q135)),INDEX(Dataset2_Raw!$G$2:$G$611,$Q135),"")</f>
        <v>112</v>
      </c>
      <c r="Q135" s="23">
        <f>IFERROR(MATCH($A135,Dataset2_Raw!$A$2:$A$611,0),0)</f>
        <v>134</v>
      </c>
    </row>
    <row r="136" spans="1:17" x14ac:dyDescent="0.35">
      <c r="A136" s="23">
        <f>Dataset1_Raw!A136</f>
        <v>135</v>
      </c>
      <c r="B136" s="24">
        <f>Dataset1_Raw!B136</f>
        <v>40549</v>
      </c>
      <c r="C136" s="23">
        <f>Dataset1_Raw!C136</f>
        <v>1</v>
      </c>
      <c r="D136" s="23">
        <f>Dataset1_Raw!D136</f>
        <v>0</v>
      </c>
      <c r="E136" s="23">
        <f>Dataset1_Raw!E136</f>
        <v>1</v>
      </c>
      <c r="F136" s="23">
        <f>Dataset1_Raw!F136</f>
        <v>20</v>
      </c>
      <c r="G136" s="23" t="b">
        <f>Dataset1_Raw!G136</f>
        <v>0</v>
      </c>
      <c r="H136" s="23">
        <f>Dataset1_Raw!H136</f>
        <v>4</v>
      </c>
      <c r="I136" s="23">
        <f>Dataset1_Raw!I136</f>
        <v>1</v>
      </c>
      <c r="J136" s="25">
        <f>Dataset1_Raw!J136</f>
        <v>0.2</v>
      </c>
      <c r="K136" s="25">
        <f>IF(ISNUMBER(INDEX(Dataset2_Raw!$B$2:$B$611,$Q136)),INDEX(Dataset2_Raw!$B$2:$B$611,$Q136),"")</f>
        <v>0.21210000000000001</v>
      </c>
      <c r="L136" s="25">
        <f>IF(ISNUMBER(INDEX(Dataset2_Raw!$C$2:$C$611,$Q136)),INDEX(Dataset2_Raw!$C$2:$C$611,$Q136),"")</f>
        <v>0.51</v>
      </c>
      <c r="M136" s="25">
        <f>IF(ISNUMBER(INDEX(Dataset2_Raw!$D$2:$D$611,$Q136)),INDEX(Dataset2_Raw!$D$2:$D$611,$Q136),"")</f>
        <v>0.16420000000000001</v>
      </c>
      <c r="N136" s="23">
        <f>IF(ISNUMBER(INDEX(Dataset2_Raw!$E$2:$E$611,$Q136)),INDEX(Dataset2_Raw!$E$2:$E$611,$Q136),"")</f>
        <v>3</v>
      </c>
      <c r="O136" s="23">
        <f>IF(ISNUMBER(INDEX(Dataset2_Raw!$F$2:$F$611,$Q136)),INDEX(Dataset2_Raw!$F$2:$F$611,$Q136),"")</f>
        <v>66</v>
      </c>
      <c r="P136" s="23">
        <f>IF(ISNUMBER(INDEX(Dataset2_Raw!$G$2:$G$611,$Q136)),INDEX(Dataset2_Raw!$G$2:$G$611,$Q136),"")</f>
        <v>69</v>
      </c>
      <c r="Q136" s="23">
        <f>IFERROR(MATCH($A136,Dataset2_Raw!$A$2:$A$611,0),0)</f>
        <v>135</v>
      </c>
    </row>
    <row r="137" spans="1:17" x14ac:dyDescent="0.35">
      <c r="A137" s="23">
        <f>Dataset1_Raw!A137</f>
        <v>136</v>
      </c>
      <c r="B137" s="24">
        <f>Dataset1_Raw!B137</f>
        <v>40549</v>
      </c>
      <c r="C137" s="23">
        <f>Dataset1_Raw!C137</f>
        <v>1</v>
      </c>
      <c r="D137" s="23">
        <f>Dataset1_Raw!D137</f>
        <v>0</v>
      </c>
      <c r="E137" s="23">
        <f>Dataset1_Raw!E137</f>
        <v>1</v>
      </c>
      <c r="F137" s="23">
        <f>Dataset1_Raw!F137</f>
        <v>21</v>
      </c>
      <c r="G137" s="23" t="b">
        <f>Dataset1_Raw!G137</f>
        <v>0</v>
      </c>
      <c r="H137" s="23">
        <f>Dataset1_Raw!H137</f>
        <v>4</v>
      </c>
      <c r="I137" s="23">
        <f>Dataset1_Raw!I137</f>
        <v>2</v>
      </c>
      <c r="J137" s="25">
        <f>Dataset1_Raw!J137</f>
        <v>0.22</v>
      </c>
      <c r="K137" s="25">
        <f>IF(ISNUMBER(INDEX(Dataset2_Raw!$B$2:$B$611,$Q137)),INDEX(Dataset2_Raw!$B$2:$B$611,$Q137),"")</f>
        <v>0.21210000000000001</v>
      </c>
      <c r="L137" s="25">
        <f>IF(ISNUMBER(INDEX(Dataset2_Raw!$C$2:$C$611,$Q137)),INDEX(Dataset2_Raw!$C$2:$C$611,$Q137),"")</f>
        <v>0.55000000000000004</v>
      </c>
      <c r="M137" s="25">
        <f>IF(ISNUMBER(INDEX(Dataset2_Raw!$D$2:$D$611,$Q137)),INDEX(Dataset2_Raw!$D$2:$D$611,$Q137),"")</f>
        <v>0.22389999999999999</v>
      </c>
      <c r="N137" s="23">
        <f>IF(ISNUMBER(INDEX(Dataset2_Raw!$E$2:$E$611,$Q137)),INDEX(Dataset2_Raw!$E$2:$E$611,$Q137),"")</f>
        <v>0</v>
      </c>
      <c r="O137" s="23">
        <f>IF(ISNUMBER(INDEX(Dataset2_Raw!$F$2:$F$611,$Q137)),INDEX(Dataset2_Raw!$F$2:$F$611,$Q137),"")</f>
        <v>48</v>
      </c>
      <c r="P137" s="23">
        <f>IF(ISNUMBER(INDEX(Dataset2_Raw!$G$2:$G$611,$Q137)),INDEX(Dataset2_Raw!$G$2:$G$611,$Q137),"")</f>
        <v>48</v>
      </c>
      <c r="Q137" s="23">
        <f>IFERROR(MATCH($A137,Dataset2_Raw!$A$2:$A$611,0),0)</f>
        <v>136</v>
      </c>
    </row>
    <row r="138" spans="1:17" x14ac:dyDescent="0.35">
      <c r="A138" s="23">
        <f>Dataset1_Raw!A138</f>
        <v>137</v>
      </c>
      <c r="B138" s="24">
        <f>Dataset1_Raw!B138</f>
        <v>40549</v>
      </c>
      <c r="C138" s="23">
        <f>Dataset1_Raw!C138</f>
        <v>1</v>
      </c>
      <c r="D138" s="23">
        <f>Dataset1_Raw!D138</f>
        <v>0</v>
      </c>
      <c r="E138" s="23">
        <f>Dataset1_Raw!E138</f>
        <v>1</v>
      </c>
      <c r="F138" s="23">
        <f>Dataset1_Raw!F138</f>
        <v>22</v>
      </c>
      <c r="G138" s="23" t="b">
        <f>Dataset1_Raw!G138</f>
        <v>0</v>
      </c>
      <c r="H138" s="23">
        <f>Dataset1_Raw!H138</f>
        <v>4</v>
      </c>
      <c r="I138" s="23">
        <f>Dataset1_Raw!I138</f>
        <v>2</v>
      </c>
      <c r="J138" s="25">
        <f>Dataset1_Raw!J138</f>
        <v>0.22</v>
      </c>
      <c r="K138" s="25">
        <f>IF(ISNUMBER(INDEX(Dataset2_Raw!$B$2:$B$611,$Q138)),INDEX(Dataset2_Raw!$B$2:$B$611,$Q138),"")</f>
        <v>0.21210000000000001</v>
      </c>
      <c r="L138" s="25">
        <f>IF(ISNUMBER(INDEX(Dataset2_Raw!$C$2:$C$611,$Q138)),INDEX(Dataset2_Raw!$C$2:$C$611,$Q138),"")</f>
        <v>0.51</v>
      </c>
      <c r="M138" s="25">
        <f>IF(ISNUMBER(INDEX(Dataset2_Raw!$D$2:$D$611,$Q138)),INDEX(Dataset2_Raw!$D$2:$D$611,$Q138),"")</f>
        <v>0.28360000000000002</v>
      </c>
      <c r="N138" s="23">
        <f>IF(ISNUMBER(INDEX(Dataset2_Raw!$E$2:$E$611,$Q138)),INDEX(Dataset2_Raw!$E$2:$E$611,$Q138),"")</f>
        <v>1</v>
      </c>
      <c r="O138" s="23">
        <f>IF(ISNUMBER(INDEX(Dataset2_Raw!$F$2:$F$611,$Q138)),INDEX(Dataset2_Raw!$F$2:$F$611,$Q138),"")</f>
        <v>51</v>
      </c>
      <c r="P138" s="23">
        <f>IF(ISNUMBER(INDEX(Dataset2_Raw!$G$2:$G$611,$Q138)),INDEX(Dataset2_Raw!$G$2:$G$611,$Q138),"")</f>
        <v>52</v>
      </c>
      <c r="Q138" s="23">
        <f>IFERROR(MATCH($A138,Dataset2_Raw!$A$2:$A$611,0),0)</f>
        <v>137</v>
      </c>
    </row>
    <row r="139" spans="1:17" x14ac:dyDescent="0.35">
      <c r="A139" s="23">
        <f>Dataset1_Raw!A139</f>
        <v>138</v>
      </c>
      <c r="B139" s="24">
        <f>Dataset1_Raw!B139</f>
        <v>40549</v>
      </c>
      <c r="C139" s="23">
        <f>Dataset1_Raw!C139</f>
        <v>1</v>
      </c>
      <c r="D139" s="23">
        <f>Dataset1_Raw!D139</f>
        <v>0</v>
      </c>
      <c r="E139" s="23">
        <f>Dataset1_Raw!E139</f>
        <v>1</v>
      </c>
      <c r="F139" s="23">
        <f>Dataset1_Raw!F139</f>
        <v>23</v>
      </c>
      <c r="G139" s="23" t="b">
        <f>Dataset1_Raw!G139</f>
        <v>0</v>
      </c>
      <c r="H139" s="23">
        <f>Dataset1_Raw!H139</f>
        <v>4</v>
      </c>
      <c r="I139" s="23">
        <f>Dataset1_Raw!I139</f>
        <v>2</v>
      </c>
      <c r="J139" s="25">
        <f>Dataset1_Raw!J139</f>
        <v>0.2</v>
      </c>
      <c r="K139" s="25">
        <f>IF(ISNUMBER(INDEX(Dataset2_Raw!$B$2:$B$611,$Q139)),INDEX(Dataset2_Raw!$B$2:$B$611,$Q139),"")</f>
        <v>0.19700000000000001</v>
      </c>
      <c r="L139" s="25">
        <f>IF(ISNUMBER(INDEX(Dataset2_Raw!$C$2:$C$611,$Q139)),INDEX(Dataset2_Raw!$C$2:$C$611,$Q139),"")</f>
        <v>0.59</v>
      </c>
      <c r="M139" s="25">
        <f>IF(ISNUMBER(INDEX(Dataset2_Raw!$D$2:$D$611,$Q139)),INDEX(Dataset2_Raw!$D$2:$D$611,$Q139),"")</f>
        <v>0.19400000000000001</v>
      </c>
      <c r="N139" s="23">
        <f>IF(ISNUMBER(INDEX(Dataset2_Raw!$E$2:$E$611,$Q139)),INDEX(Dataset2_Raw!$E$2:$E$611,$Q139),"")</f>
        <v>4</v>
      </c>
      <c r="O139" s="23">
        <f>IF(ISNUMBER(INDEX(Dataset2_Raw!$F$2:$F$611,$Q139)),INDEX(Dataset2_Raw!$F$2:$F$611,$Q139),"")</f>
        <v>19</v>
      </c>
      <c r="P139" s="23">
        <f>IF(ISNUMBER(INDEX(Dataset2_Raw!$G$2:$G$611,$Q139)),INDEX(Dataset2_Raw!$G$2:$G$611,$Q139),"")</f>
        <v>23</v>
      </c>
      <c r="Q139" s="23">
        <f>IFERROR(MATCH($A139,Dataset2_Raw!$A$2:$A$611,0),0)</f>
        <v>138</v>
      </c>
    </row>
    <row r="140" spans="1:17" x14ac:dyDescent="0.35">
      <c r="A140" s="23">
        <f>Dataset1_Raw!A140</f>
        <v>139</v>
      </c>
      <c r="B140" s="24">
        <f>Dataset1_Raw!B140</f>
        <v>40550</v>
      </c>
      <c r="C140" s="23">
        <f>Dataset1_Raw!C140</f>
        <v>1</v>
      </c>
      <c r="D140" s="23">
        <f>Dataset1_Raw!D140</f>
        <v>0</v>
      </c>
      <c r="E140" s="23">
        <f>Dataset1_Raw!E140</f>
        <v>1</v>
      </c>
      <c r="F140" s="23">
        <f>Dataset1_Raw!F140</f>
        <v>0</v>
      </c>
      <c r="G140" s="23" t="b">
        <f>Dataset1_Raw!G140</f>
        <v>0</v>
      </c>
      <c r="H140" s="23">
        <f>Dataset1_Raw!H140</f>
        <v>5</v>
      </c>
      <c r="I140" s="23">
        <f>Dataset1_Raw!I140</f>
        <v>2</v>
      </c>
      <c r="J140" s="25">
        <f>Dataset1_Raw!J140</f>
        <v>0.2</v>
      </c>
      <c r="K140" s="25">
        <f>IF(ISNUMBER(INDEX(Dataset2_Raw!$B$2:$B$611,$Q140)),INDEX(Dataset2_Raw!$B$2:$B$611,$Q140),"")</f>
        <v>0.19700000000000001</v>
      </c>
      <c r="L140" s="25">
        <f>IF(ISNUMBER(INDEX(Dataset2_Raw!$C$2:$C$611,$Q140)),INDEX(Dataset2_Raw!$C$2:$C$611,$Q140),"")</f>
        <v>0.64</v>
      </c>
      <c r="M140" s="25">
        <f>IF(ISNUMBER(INDEX(Dataset2_Raw!$D$2:$D$611,$Q140)),INDEX(Dataset2_Raw!$D$2:$D$611,$Q140),"")</f>
        <v>0.19400000000000001</v>
      </c>
      <c r="N140" s="23">
        <f>IF(ISNUMBER(INDEX(Dataset2_Raw!$E$2:$E$611,$Q140)),INDEX(Dataset2_Raw!$E$2:$E$611,$Q140),"")</f>
        <v>4</v>
      </c>
      <c r="O140" s="23">
        <f>IF(ISNUMBER(INDEX(Dataset2_Raw!$F$2:$F$611,$Q140)),INDEX(Dataset2_Raw!$F$2:$F$611,$Q140),"")</f>
        <v>13</v>
      </c>
      <c r="P140" s="23">
        <f>IF(ISNUMBER(INDEX(Dataset2_Raw!$G$2:$G$611,$Q140)),INDEX(Dataset2_Raw!$G$2:$G$611,$Q140),"")</f>
        <v>17</v>
      </c>
      <c r="Q140" s="23">
        <f>IFERROR(MATCH($A140,Dataset2_Raw!$A$2:$A$611,0),0)</f>
        <v>139</v>
      </c>
    </row>
    <row r="141" spans="1:17" x14ac:dyDescent="0.35">
      <c r="A141" s="23">
        <f>Dataset1_Raw!A141</f>
        <v>140</v>
      </c>
      <c r="B141" s="24">
        <f>Dataset1_Raw!B141</f>
        <v>40550</v>
      </c>
      <c r="C141" s="23">
        <f>Dataset1_Raw!C141</f>
        <v>1</v>
      </c>
      <c r="D141" s="23">
        <f>Dataset1_Raw!D141</f>
        <v>0</v>
      </c>
      <c r="E141" s="23">
        <f>Dataset1_Raw!E141</f>
        <v>1</v>
      </c>
      <c r="F141" s="23">
        <f>Dataset1_Raw!F141</f>
        <v>1</v>
      </c>
      <c r="G141" s="23" t="b">
        <f>Dataset1_Raw!G141</f>
        <v>0</v>
      </c>
      <c r="H141" s="23">
        <f>Dataset1_Raw!H141</f>
        <v>5</v>
      </c>
      <c r="I141" s="23">
        <f>Dataset1_Raw!I141</f>
        <v>2</v>
      </c>
      <c r="J141" s="25">
        <f>Dataset1_Raw!J141</f>
        <v>0.2</v>
      </c>
      <c r="K141" s="25">
        <f>IF(ISNUMBER(INDEX(Dataset2_Raw!$B$2:$B$611,$Q141)),INDEX(Dataset2_Raw!$B$2:$B$611,$Q141),"")</f>
        <v>0.19700000000000001</v>
      </c>
      <c r="L141" s="25">
        <f>IF(ISNUMBER(INDEX(Dataset2_Raw!$C$2:$C$611,$Q141)),INDEX(Dataset2_Raw!$C$2:$C$611,$Q141),"")</f>
        <v>0.69</v>
      </c>
      <c r="M141" s="25">
        <f>IF(ISNUMBER(INDEX(Dataset2_Raw!$D$2:$D$611,$Q141)),INDEX(Dataset2_Raw!$D$2:$D$611,$Q141),"")</f>
        <v>0.22389999999999999</v>
      </c>
      <c r="N141" s="23">
        <f>IF(ISNUMBER(INDEX(Dataset2_Raw!$E$2:$E$611,$Q141)),INDEX(Dataset2_Raw!$E$2:$E$611,$Q141),"")</f>
        <v>2</v>
      </c>
      <c r="O141" s="23">
        <f>IF(ISNUMBER(INDEX(Dataset2_Raw!$F$2:$F$611,$Q141)),INDEX(Dataset2_Raw!$F$2:$F$611,$Q141),"")</f>
        <v>5</v>
      </c>
      <c r="P141" s="23">
        <f>IF(ISNUMBER(INDEX(Dataset2_Raw!$G$2:$G$611,$Q141)),INDEX(Dataset2_Raw!$G$2:$G$611,$Q141),"")</f>
        <v>7</v>
      </c>
      <c r="Q141" s="23">
        <f>IFERROR(MATCH($A141,Dataset2_Raw!$A$2:$A$611,0),0)</f>
        <v>140</v>
      </c>
    </row>
    <row r="142" spans="1:17" x14ac:dyDescent="0.35">
      <c r="A142" s="23">
        <f>Dataset1_Raw!A142</f>
        <v>141</v>
      </c>
      <c r="B142" s="24">
        <f>Dataset1_Raw!B142</f>
        <v>40550</v>
      </c>
      <c r="C142" s="23">
        <f>Dataset1_Raw!C142</f>
        <v>1</v>
      </c>
      <c r="D142" s="23">
        <f>Dataset1_Raw!D142</f>
        <v>0</v>
      </c>
      <c r="E142" s="23">
        <f>Dataset1_Raw!E142</f>
        <v>1</v>
      </c>
      <c r="F142" s="23">
        <f>Dataset1_Raw!F142</f>
        <v>2</v>
      </c>
      <c r="G142" s="23" t="b">
        <f>Dataset1_Raw!G142</f>
        <v>0</v>
      </c>
      <c r="H142" s="23">
        <f>Dataset1_Raw!H142</f>
        <v>5</v>
      </c>
      <c r="I142" s="23">
        <f>Dataset1_Raw!I142</f>
        <v>2</v>
      </c>
      <c r="J142" s="25">
        <f>Dataset1_Raw!J142</f>
        <v>0.2</v>
      </c>
      <c r="K142" s="25">
        <f>IF(ISNUMBER(INDEX(Dataset2_Raw!$B$2:$B$611,$Q142)),INDEX(Dataset2_Raw!$B$2:$B$611,$Q142),"")</f>
        <v>0.19700000000000001</v>
      </c>
      <c r="L142" s="25">
        <f>IF(ISNUMBER(INDEX(Dataset2_Raw!$C$2:$C$611,$Q142)),INDEX(Dataset2_Raw!$C$2:$C$611,$Q142),"")</f>
        <v>0.69</v>
      </c>
      <c r="M142" s="25">
        <f>IF(ISNUMBER(INDEX(Dataset2_Raw!$D$2:$D$611,$Q142)),INDEX(Dataset2_Raw!$D$2:$D$611,$Q142),"")</f>
        <v>0.22389999999999999</v>
      </c>
      <c r="N142" s="23">
        <f>IF(ISNUMBER(INDEX(Dataset2_Raw!$E$2:$E$611,$Q142)),INDEX(Dataset2_Raw!$E$2:$E$611,$Q142),"")</f>
        <v>0</v>
      </c>
      <c r="O142" s="23">
        <f>IF(ISNUMBER(INDEX(Dataset2_Raw!$F$2:$F$611,$Q142)),INDEX(Dataset2_Raw!$F$2:$F$611,$Q142),"")</f>
        <v>1</v>
      </c>
      <c r="P142" s="23">
        <f>IF(ISNUMBER(INDEX(Dataset2_Raw!$G$2:$G$611,$Q142)),INDEX(Dataset2_Raw!$G$2:$G$611,$Q142),"")</f>
        <v>1</v>
      </c>
      <c r="Q142" s="23">
        <f>IFERROR(MATCH($A142,Dataset2_Raw!$A$2:$A$611,0),0)</f>
        <v>141</v>
      </c>
    </row>
    <row r="143" spans="1:17" x14ac:dyDescent="0.35">
      <c r="A143" s="23">
        <f>Dataset1_Raw!A143</f>
        <v>142</v>
      </c>
      <c r="B143" s="24">
        <f>Dataset1_Raw!B143</f>
        <v>40550</v>
      </c>
      <c r="C143" s="23">
        <f>Dataset1_Raw!C143</f>
        <v>1</v>
      </c>
      <c r="D143" s="23">
        <f>Dataset1_Raw!D143</f>
        <v>0</v>
      </c>
      <c r="E143" s="23">
        <f>Dataset1_Raw!E143</f>
        <v>1</v>
      </c>
      <c r="F143" s="23">
        <f>Dataset1_Raw!F143</f>
        <v>4</v>
      </c>
      <c r="G143" s="23" t="b">
        <f>Dataset1_Raw!G143</f>
        <v>0</v>
      </c>
      <c r="H143" s="23">
        <f>Dataset1_Raw!H143</f>
        <v>5</v>
      </c>
      <c r="I143" s="23">
        <f>Dataset1_Raw!I143</f>
        <v>2</v>
      </c>
      <c r="J143" s="25">
        <f>Dataset1_Raw!J143</f>
        <v>0.2</v>
      </c>
      <c r="K143" s="25">
        <f>IF(ISNUMBER(INDEX(Dataset2_Raw!$B$2:$B$611,$Q143)),INDEX(Dataset2_Raw!$B$2:$B$611,$Q143),"")</f>
        <v>0.21210000000000001</v>
      </c>
      <c r="L143" s="25">
        <f>IF(ISNUMBER(INDEX(Dataset2_Raw!$C$2:$C$611,$Q143)),INDEX(Dataset2_Raw!$C$2:$C$611,$Q143),"")</f>
        <v>0.69</v>
      </c>
      <c r="M143" s="25">
        <f>IF(ISNUMBER(INDEX(Dataset2_Raw!$D$2:$D$611,$Q143)),INDEX(Dataset2_Raw!$D$2:$D$611,$Q143),"")</f>
        <v>0.1343</v>
      </c>
      <c r="N143" s="23">
        <f>IF(ISNUMBER(INDEX(Dataset2_Raw!$E$2:$E$611,$Q143)),INDEX(Dataset2_Raw!$E$2:$E$611,$Q143),"")</f>
        <v>0</v>
      </c>
      <c r="O143" s="23">
        <f>IF(ISNUMBER(INDEX(Dataset2_Raw!$F$2:$F$611,$Q143)),INDEX(Dataset2_Raw!$F$2:$F$611,$Q143),"")</f>
        <v>1</v>
      </c>
      <c r="P143" s="23">
        <f>IF(ISNUMBER(INDEX(Dataset2_Raw!$G$2:$G$611,$Q143)),INDEX(Dataset2_Raw!$G$2:$G$611,$Q143),"")</f>
        <v>1</v>
      </c>
      <c r="Q143" s="23">
        <f>IFERROR(MATCH($A143,Dataset2_Raw!$A$2:$A$611,0),0)</f>
        <v>142</v>
      </c>
    </row>
    <row r="144" spans="1:17" x14ac:dyDescent="0.35">
      <c r="A144" s="23">
        <f>Dataset1_Raw!A144</f>
        <v>143</v>
      </c>
      <c r="B144" s="24">
        <f>Dataset1_Raw!B144</f>
        <v>40550</v>
      </c>
      <c r="C144" s="23">
        <f>Dataset1_Raw!C144</f>
        <v>1</v>
      </c>
      <c r="D144" s="23">
        <f>Dataset1_Raw!D144</f>
        <v>0</v>
      </c>
      <c r="E144" s="23">
        <f>Dataset1_Raw!E144</f>
        <v>1</v>
      </c>
      <c r="F144" s="23">
        <f>Dataset1_Raw!F144</f>
        <v>5</v>
      </c>
      <c r="G144" s="23" t="b">
        <f>Dataset1_Raw!G144</f>
        <v>0</v>
      </c>
      <c r="H144" s="23">
        <f>Dataset1_Raw!H144</f>
        <v>5</v>
      </c>
      <c r="I144" s="23">
        <f>Dataset1_Raw!I144</f>
        <v>3</v>
      </c>
      <c r="J144" s="25">
        <f>Dataset1_Raw!J144</f>
        <v>0.22</v>
      </c>
      <c r="K144" s="25">
        <f>IF(ISNUMBER(INDEX(Dataset2_Raw!$B$2:$B$611,$Q144)),INDEX(Dataset2_Raw!$B$2:$B$611,$Q144),"")</f>
        <v>0.2727</v>
      </c>
      <c r="L144" s="25">
        <f>IF(ISNUMBER(INDEX(Dataset2_Raw!$C$2:$C$611,$Q144)),INDEX(Dataset2_Raw!$C$2:$C$611,$Q144),"")</f>
        <v>0.55000000000000004</v>
      </c>
      <c r="M144" s="25">
        <f>IF(ISNUMBER(INDEX(Dataset2_Raw!$D$2:$D$611,$Q144)),INDEX(Dataset2_Raw!$D$2:$D$611,$Q144),"")</f>
        <v>0</v>
      </c>
      <c r="N144" s="23">
        <f>IF(ISNUMBER(INDEX(Dataset2_Raw!$E$2:$E$611,$Q144)),INDEX(Dataset2_Raw!$E$2:$E$611,$Q144),"")</f>
        <v>0</v>
      </c>
      <c r="O144" s="23">
        <f>IF(ISNUMBER(INDEX(Dataset2_Raw!$F$2:$F$611,$Q144)),INDEX(Dataset2_Raw!$F$2:$F$611,$Q144),"")</f>
        <v>5</v>
      </c>
      <c r="P144" s="23">
        <f>IF(ISNUMBER(INDEX(Dataset2_Raw!$G$2:$G$611,$Q144)),INDEX(Dataset2_Raw!$G$2:$G$611,$Q144),"")</f>
        <v>5</v>
      </c>
      <c r="Q144" s="23">
        <f>IFERROR(MATCH($A144,Dataset2_Raw!$A$2:$A$611,0),0)</f>
        <v>143</v>
      </c>
    </row>
    <row r="145" spans="1:17" x14ac:dyDescent="0.35">
      <c r="A145" s="23">
        <f>Dataset1_Raw!A145</f>
        <v>144</v>
      </c>
      <c r="B145" s="24">
        <f>Dataset1_Raw!B145</f>
        <v>40550</v>
      </c>
      <c r="C145" s="23">
        <f>Dataset1_Raw!C145</f>
        <v>1</v>
      </c>
      <c r="D145" s="23">
        <f>Dataset1_Raw!D145</f>
        <v>0</v>
      </c>
      <c r="E145" s="23">
        <f>Dataset1_Raw!E145</f>
        <v>1</v>
      </c>
      <c r="F145" s="23">
        <f>Dataset1_Raw!F145</f>
        <v>6</v>
      </c>
      <c r="G145" s="23" t="b">
        <f>Dataset1_Raw!G145</f>
        <v>0</v>
      </c>
      <c r="H145" s="23">
        <f>Dataset1_Raw!H145</f>
        <v>5</v>
      </c>
      <c r="I145" s="23">
        <f>Dataset1_Raw!I145</f>
        <v>2</v>
      </c>
      <c r="J145" s="25">
        <f>Dataset1_Raw!J145</f>
        <v>0.2</v>
      </c>
      <c r="K145" s="25">
        <f>IF(ISNUMBER(INDEX(Dataset2_Raw!$B$2:$B$611,$Q145)),INDEX(Dataset2_Raw!$B$2:$B$611,$Q145),"")</f>
        <v>0.2576</v>
      </c>
      <c r="L145" s="25">
        <f>IF(ISNUMBER(INDEX(Dataset2_Raw!$C$2:$C$611,$Q145)),INDEX(Dataset2_Raw!$C$2:$C$611,$Q145),"")</f>
        <v>0.69</v>
      </c>
      <c r="M145" s="25">
        <f>IF(ISNUMBER(INDEX(Dataset2_Raw!$D$2:$D$611,$Q145)),INDEX(Dataset2_Raw!$D$2:$D$611,$Q145),"")</f>
        <v>0</v>
      </c>
      <c r="N145" s="23">
        <f>IF(ISNUMBER(INDEX(Dataset2_Raw!$E$2:$E$611,$Q145)),INDEX(Dataset2_Raw!$E$2:$E$611,$Q145),"")</f>
        <v>8</v>
      </c>
      <c r="O145" s="23">
        <f>IF(ISNUMBER(INDEX(Dataset2_Raw!$F$2:$F$611,$Q145)),INDEX(Dataset2_Raw!$F$2:$F$611,$Q145),"")</f>
        <v>26</v>
      </c>
      <c r="P145" s="23">
        <f>IF(ISNUMBER(INDEX(Dataset2_Raw!$G$2:$G$611,$Q145)),INDEX(Dataset2_Raw!$G$2:$G$611,$Q145),"")</f>
        <v>34</v>
      </c>
      <c r="Q145" s="23">
        <f>IFERROR(MATCH($A145,Dataset2_Raw!$A$2:$A$611,0),0)</f>
        <v>144</v>
      </c>
    </row>
    <row r="146" spans="1:17" x14ac:dyDescent="0.35">
      <c r="A146" s="23">
        <f>Dataset1_Raw!A146</f>
        <v>145</v>
      </c>
      <c r="B146" s="24">
        <f>Dataset1_Raw!B146</f>
        <v>40550</v>
      </c>
      <c r="C146" s="23">
        <f>Dataset1_Raw!C146</f>
        <v>1</v>
      </c>
      <c r="D146" s="23">
        <f>Dataset1_Raw!D146</f>
        <v>0</v>
      </c>
      <c r="E146" s="23">
        <f>Dataset1_Raw!E146</f>
        <v>1</v>
      </c>
      <c r="F146" s="23">
        <f>Dataset1_Raw!F146</f>
        <v>7</v>
      </c>
      <c r="G146" s="23" t="b">
        <f>Dataset1_Raw!G146</f>
        <v>0</v>
      </c>
      <c r="H146" s="23">
        <f>Dataset1_Raw!H146</f>
        <v>5</v>
      </c>
      <c r="I146" s="23">
        <f>Dataset1_Raw!I146</f>
        <v>1</v>
      </c>
      <c r="J146" s="25">
        <f>Dataset1_Raw!J146</f>
        <v>0.2</v>
      </c>
      <c r="K146" s="25">
        <f>IF(ISNUMBER(INDEX(Dataset2_Raw!$B$2:$B$611,$Q146)),INDEX(Dataset2_Raw!$B$2:$B$611,$Q146),"")</f>
        <v>0.21210000000000001</v>
      </c>
      <c r="L146" s="25">
        <f>IF(ISNUMBER(INDEX(Dataset2_Raw!$C$2:$C$611,$Q146)),INDEX(Dataset2_Raw!$C$2:$C$611,$Q146),"")</f>
        <v>0.69</v>
      </c>
      <c r="M146" s="25">
        <f>IF(ISNUMBER(INDEX(Dataset2_Raw!$D$2:$D$611,$Q146)),INDEX(Dataset2_Raw!$D$2:$D$611,$Q146),"")</f>
        <v>0.1343</v>
      </c>
      <c r="N146" s="23">
        <f>IF(ISNUMBER(INDEX(Dataset2_Raw!$E$2:$E$611,$Q146)),INDEX(Dataset2_Raw!$E$2:$E$611,$Q146),"")</f>
        <v>8</v>
      </c>
      <c r="O146" s="23">
        <f>IF(ISNUMBER(INDEX(Dataset2_Raw!$F$2:$F$611,$Q146)),INDEX(Dataset2_Raw!$F$2:$F$611,$Q146),"")</f>
        <v>76</v>
      </c>
      <c r="P146" s="23">
        <f>IF(ISNUMBER(INDEX(Dataset2_Raw!$G$2:$G$611,$Q146)),INDEX(Dataset2_Raw!$G$2:$G$611,$Q146),"")</f>
        <v>84</v>
      </c>
      <c r="Q146" s="23">
        <f>IFERROR(MATCH($A146,Dataset2_Raw!$A$2:$A$611,0),0)</f>
        <v>145</v>
      </c>
    </row>
    <row r="147" spans="1:17" x14ac:dyDescent="0.35">
      <c r="A147" s="23">
        <f>Dataset1_Raw!A147</f>
        <v>146</v>
      </c>
      <c r="B147" s="24">
        <f>Dataset1_Raw!B147</f>
        <v>40550</v>
      </c>
      <c r="C147" s="23">
        <f>Dataset1_Raw!C147</f>
        <v>1</v>
      </c>
      <c r="D147" s="23">
        <f>Dataset1_Raw!D147</f>
        <v>0</v>
      </c>
      <c r="E147" s="23">
        <f>Dataset1_Raw!E147</f>
        <v>1</v>
      </c>
      <c r="F147" s="23">
        <f>Dataset1_Raw!F147</f>
        <v>8</v>
      </c>
      <c r="G147" s="23" t="b">
        <f>Dataset1_Raw!G147</f>
        <v>0</v>
      </c>
      <c r="H147" s="23">
        <f>Dataset1_Raw!H147</f>
        <v>5</v>
      </c>
      <c r="I147" s="23">
        <f>Dataset1_Raw!I147</f>
        <v>1</v>
      </c>
      <c r="J147" s="25">
        <f>Dataset1_Raw!J147</f>
        <v>0.2</v>
      </c>
      <c r="K147" s="25">
        <f>IF(ISNUMBER(INDEX(Dataset2_Raw!$B$2:$B$611,$Q147)),INDEX(Dataset2_Raw!$B$2:$B$611,$Q147),"")</f>
        <v>0.19700000000000001</v>
      </c>
      <c r="L147" s="25">
        <f>IF(ISNUMBER(INDEX(Dataset2_Raw!$C$2:$C$611,$Q147)),INDEX(Dataset2_Raw!$C$2:$C$611,$Q147),"")</f>
        <v>0.51</v>
      </c>
      <c r="M147" s="25">
        <f>IF(ISNUMBER(INDEX(Dataset2_Raw!$D$2:$D$611,$Q147)),INDEX(Dataset2_Raw!$D$2:$D$611,$Q147),"")</f>
        <v>0.25369999999999998</v>
      </c>
      <c r="N147" s="23">
        <f>IF(ISNUMBER(INDEX(Dataset2_Raw!$E$2:$E$611,$Q147)),INDEX(Dataset2_Raw!$E$2:$E$611,$Q147),"")</f>
        <v>20</v>
      </c>
      <c r="O147" s="23">
        <f>IF(ISNUMBER(INDEX(Dataset2_Raw!$F$2:$F$611,$Q147)),INDEX(Dataset2_Raw!$F$2:$F$611,$Q147),"")</f>
        <v>190</v>
      </c>
      <c r="P147" s="23">
        <f>IF(ISNUMBER(INDEX(Dataset2_Raw!$G$2:$G$611,$Q147)),INDEX(Dataset2_Raw!$G$2:$G$611,$Q147),"")</f>
        <v>210</v>
      </c>
      <c r="Q147" s="23">
        <f>IFERROR(MATCH($A147,Dataset2_Raw!$A$2:$A$611,0),0)</f>
        <v>146</v>
      </c>
    </row>
    <row r="148" spans="1:17" x14ac:dyDescent="0.35">
      <c r="A148" s="23">
        <f>Dataset1_Raw!A148</f>
        <v>147</v>
      </c>
      <c r="B148" s="24">
        <f>Dataset1_Raw!B148</f>
        <v>40550</v>
      </c>
      <c r="C148" s="23">
        <f>Dataset1_Raw!C148</f>
        <v>1</v>
      </c>
      <c r="D148" s="23">
        <f>Dataset1_Raw!D148</f>
        <v>0</v>
      </c>
      <c r="E148" s="23">
        <f>Dataset1_Raw!E148</f>
        <v>1</v>
      </c>
      <c r="F148" s="23">
        <f>Dataset1_Raw!F148</f>
        <v>9</v>
      </c>
      <c r="G148" s="23" t="b">
        <f>Dataset1_Raw!G148</f>
        <v>0</v>
      </c>
      <c r="H148" s="23">
        <f>Dataset1_Raw!H148</f>
        <v>5</v>
      </c>
      <c r="I148" s="23">
        <f>Dataset1_Raw!I148</f>
        <v>1</v>
      </c>
      <c r="J148" s="25">
        <f>Dataset1_Raw!J148</f>
        <v>0.2</v>
      </c>
      <c r="K148" s="25">
        <f>IF(ISNUMBER(INDEX(Dataset2_Raw!$B$2:$B$611,$Q148)),INDEX(Dataset2_Raw!$B$2:$B$611,$Q148),"")</f>
        <v>0.18179999999999999</v>
      </c>
      <c r="L148" s="25">
        <f>IF(ISNUMBER(INDEX(Dataset2_Raw!$C$2:$C$611,$Q148)),INDEX(Dataset2_Raw!$C$2:$C$611,$Q148),"")</f>
        <v>0.47</v>
      </c>
      <c r="M148" s="25">
        <f>IF(ISNUMBER(INDEX(Dataset2_Raw!$D$2:$D$611,$Q148)),INDEX(Dataset2_Raw!$D$2:$D$611,$Q148),"")</f>
        <v>0.29849999999999999</v>
      </c>
      <c r="N148" s="23">
        <f>IF(ISNUMBER(INDEX(Dataset2_Raw!$E$2:$E$611,$Q148)),INDEX(Dataset2_Raw!$E$2:$E$611,$Q148),"")</f>
        <v>9</v>
      </c>
      <c r="O148" s="23">
        <f>IF(ISNUMBER(INDEX(Dataset2_Raw!$F$2:$F$611,$Q148)),INDEX(Dataset2_Raw!$F$2:$F$611,$Q148),"")</f>
        <v>125</v>
      </c>
      <c r="P148" s="23">
        <f>IF(ISNUMBER(INDEX(Dataset2_Raw!$G$2:$G$611,$Q148)),INDEX(Dataset2_Raw!$G$2:$G$611,$Q148),"")</f>
        <v>134</v>
      </c>
      <c r="Q148" s="23">
        <f>IFERROR(MATCH($A148,Dataset2_Raw!$A$2:$A$611,0),0)</f>
        <v>147</v>
      </c>
    </row>
    <row r="149" spans="1:17" x14ac:dyDescent="0.35">
      <c r="A149" s="23">
        <f>Dataset1_Raw!A149</f>
        <v>148</v>
      </c>
      <c r="B149" s="24">
        <f>Dataset1_Raw!B149</f>
        <v>40550</v>
      </c>
      <c r="C149" s="23">
        <f>Dataset1_Raw!C149</f>
        <v>1</v>
      </c>
      <c r="D149" s="23">
        <f>Dataset1_Raw!D149</f>
        <v>0</v>
      </c>
      <c r="E149" s="23">
        <f>Dataset1_Raw!E149</f>
        <v>1</v>
      </c>
      <c r="F149" s="23">
        <f>Dataset1_Raw!F149</f>
        <v>10</v>
      </c>
      <c r="G149" s="23" t="b">
        <f>Dataset1_Raw!G149</f>
        <v>0</v>
      </c>
      <c r="H149" s="23">
        <f>Dataset1_Raw!H149</f>
        <v>5</v>
      </c>
      <c r="I149" s="23">
        <f>Dataset1_Raw!I149</f>
        <v>1</v>
      </c>
      <c r="J149" s="25">
        <f>Dataset1_Raw!J149</f>
        <v>0.22</v>
      </c>
      <c r="K149" s="25">
        <f>IF(ISNUMBER(INDEX(Dataset2_Raw!$B$2:$B$611,$Q149)),INDEX(Dataset2_Raw!$B$2:$B$611,$Q149),"")</f>
        <v>0.19700000000000001</v>
      </c>
      <c r="L149" s="25">
        <f>IF(ISNUMBER(INDEX(Dataset2_Raw!$C$2:$C$611,$Q149)),INDEX(Dataset2_Raw!$C$2:$C$611,$Q149),"")</f>
        <v>0.37</v>
      </c>
      <c r="M149" s="25">
        <f>IF(ISNUMBER(INDEX(Dataset2_Raw!$D$2:$D$611,$Q149)),INDEX(Dataset2_Raw!$D$2:$D$611,$Q149),"")</f>
        <v>0.32840000000000003</v>
      </c>
      <c r="N149" s="23">
        <f>IF(ISNUMBER(INDEX(Dataset2_Raw!$E$2:$E$611,$Q149)),INDEX(Dataset2_Raw!$E$2:$E$611,$Q149),"")</f>
        <v>16</v>
      </c>
      <c r="O149" s="23">
        <f>IF(ISNUMBER(INDEX(Dataset2_Raw!$F$2:$F$611,$Q149)),INDEX(Dataset2_Raw!$F$2:$F$611,$Q149),"")</f>
        <v>47</v>
      </c>
      <c r="P149" s="23">
        <f>IF(ISNUMBER(INDEX(Dataset2_Raw!$G$2:$G$611,$Q149)),INDEX(Dataset2_Raw!$G$2:$G$611,$Q149),"")</f>
        <v>63</v>
      </c>
      <c r="Q149" s="23">
        <f>IFERROR(MATCH($A149,Dataset2_Raw!$A$2:$A$611,0),0)</f>
        <v>148</v>
      </c>
    </row>
    <row r="150" spans="1:17" x14ac:dyDescent="0.35">
      <c r="A150" s="23">
        <f>Dataset1_Raw!A150</f>
        <v>149</v>
      </c>
      <c r="B150" s="24">
        <f>Dataset1_Raw!B150</f>
        <v>40550</v>
      </c>
      <c r="C150" s="23">
        <f>Dataset1_Raw!C150</f>
        <v>1</v>
      </c>
      <c r="D150" s="23">
        <f>Dataset1_Raw!D150</f>
        <v>0</v>
      </c>
      <c r="E150" s="23">
        <f>Dataset1_Raw!E150</f>
        <v>1</v>
      </c>
      <c r="F150" s="23">
        <f>Dataset1_Raw!F150</f>
        <v>11</v>
      </c>
      <c r="G150" s="23" t="b">
        <f>Dataset1_Raw!G150</f>
        <v>0</v>
      </c>
      <c r="H150" s="23">
        <f>Dataset1_Raw!H150</f>
        <v>5</v>
      </c>
      <c r="I150" s="23">
        <f>Dataset1_Raw!I150</f>
        <v>2</v>
      </c>
      <c r="J150" s="25">
        <f>Dataset1_Raw!J150</f>
        <v>0.2</v>
      </c>
      <c r="K150" s="25">
        <f>IF(ISNUMBER(INDEX(Dataset2_Raw!$B$2:$B$611,$Q150)),INDEX(Dataset2_Raw!$B$2:$B$611,$Q150),"")</f>
        <v>0.19700000000000001</v>
      </c>
      <c r="L150" s="25">
        <f>IF(ISNUMBER(INDEX(Dataset2_Raw!$C$2:$C$611,$Q150)),INDEX(Dataset2_Raw!$C$2:$C$611,$Q150),"")</f>
        <v>0.4</v>
      </c>
      <c r="M150" s="25">
        <f>IF(ISNUMBER(INDEX(Dataset2_Raw!$D$2:$D$611,$Q150)),INDEX(Dataset2_Raw!$D$2:$D$611,$Q150),"")</f>
        <v>0.22389999999999999</v>
      </c>
      <c r="N150" s="23">
        <f>IF(ISNUMBER(INDEX(Dataset2_Raw!$E$2:$E$611,$Q150)),INDEX(Dataset2_Raw!$E$2:$E$611,$Q150),"")</f>
        <v>19</v>
      </c>
      <c r="O150" s="23">
        <f>IF(ISNUMBER(INDEX(Dataset2_Raw!$F$2:$F$611,$Q150)),INDEX(Dataset2_Raw!$F$2:$F$611,$Q150),"")</f>
        <v>48</v>
      </c>
      <c r="P150" s="23">
        <f>IF(ISNUMBER(INDEX(Dataset2_Raw!$G$2:$G$611,$Q150)),INDEX(Dataset2_Raw!$G$2:$G$611,$Q150),"")</f>
        <v>67</v>
      </c>
      <c r="Q150" s="23">
        <f>IFERROR(MATCH($A150,Dataset2_Raw!$A$2:$A$611,0),0)</f>
        <v>149</v>
      </c>
    </row>
    <row r="151" spans="1:17" x14ac:dyDescent="0.35">
      <c r="A151" s="23">
        <f>Dataset1_Raw!A151</f>
        <v>150</v>
      </c>
      <c r="B151" s="24">
        <f>Dataset1_Raw!B151</f>
        <v>40550</v>
      </c>
      <c r="C151" s="23">
        <f>Dataset1_Raw!C151</f>
        <v>1</v>
      </c>
      <c r="D151" s="23">
        <f>Dataset1_Raw!D151</f>
        <v>0</v>
      </c>
      <c r="E151" s="23">
        <f>Dataset1_Raw!E151</f>
        <v>1</v>
      </c>
      <c r="F151" s="23">
        <f>Dataset1_Raw!F151</f>
        <v>12</v>
      </c>
      <c r="G151" s="23" t="b">
        <f>Dataset1_Raw!G151</f>
        <v>0</v>
      </c>
      <c r="H151" s="23">
        <f>Dataset1_Raw!H151</f>
        <v>5</v>
      </c>
      <c r="I151" s="23">
        <f>Dataset1_Raw!I151</f>
        <v>2</v>
      </c>
      <c r="J151" s="25">
        <f>Dataset1_Raw!J151</f>
        <v>0.2</v>
      </c>
      <c r="K151" s="25">
        <f>IF(ISNUMBER(INDEX(Dataset2_Raw!$B$2:$B$611,$Q151)),INDEX(Dataset2_Raw!$B$2:$B$611,$Q151),"")</f>
        <v>0.19700000000000001</v>
      </c>
      <c r="L151" s="25">
        <f>IF(ISNUMBER(INDEX(Dataset2_Raw!$C$2:$C$611,$Q151)),INDEX(Dataset2_Raw!$C$2:$C$611,$Q151),"")</f>
        <v>0.37</v>
      </c>
      <c r="M151" s="25">
        <f>IF(ISNUMBER(INDEX(Dataset2_Raw!$D$2:$D$611,$Q151)),INDEX(Dataset2_Raw!$D$2:$D$611,$Q151),"")</f>
        <v>0.25369999999999998</v>
      </c>
      <c r="N151" s="23">
        <f>IF(ISNUMBER(INDEX(Dataset2_Raw!$E$2:$E$611,$Q151)),INDEX(Dataset2_Raw!$E$2:$E$611,$Q151),"")</f>
        <v>9</v>
      </c>
      <c r="O151" s="23">
        <f>IF(ISNUMBER(INDEX(Dataset2_Raw!$F$2:$F$611,$Q151)),INDEX(Dataset2_Raw!$F$2:$F$611,$Q151),"")</f>
        <v>50</v>
      </c>
      <c r="P151" s="23">
        <f>IF(ISNUMBER(INDEX(Dataset2_Raw!$G$2:$G$611,$Q151)),INDEX(Dataset2_Raw!$G$2:$G$611,$Q151),"")</f>
        <v>59</v>
      </c>
      <c r="Q151" s="23">
        <f>IFERROR(MATCH($A151,Dataset2_Raw!$A$2:$A$611,0),0)</f>
        <v>150</v>
      </c>
    </row>
    <row r="152" spans="1:17" x14ac:dyDescent="0.35">
      <c r="A152" s="23">
        <f>Dataset1_Raw!A152</f>
        <v>151</v>
      </c>
      <c r="B152" s="24">
        <f>Dataset1_Raw!B152</f>
        <v>40550</v>
      </c>
      <c r="C152" s="23">
        <f>Dataset1_Raw!C152</f>
        <v>1</v>
      </c>
      <c r="D152" s="23">
        <f>Dataset1_Raw!D152</f>
        <v>0</v>
      </c>
      <c r="E152" s="23">
        <f>Dataset1_Raw!E152</f>
        <v>1</v>
      </c>
      <c r="F152" s="23">
        <f>Dataset1_Raw!F152</f>
        <v>13</v>
      </c>
      <c r="G152" s="23" t="b">
        <f>Dataset1_Raw!G152</f>
        <v>0</v>
      </c>
      <c r="H152" s="23">
        <f>Dataset1_Raw!H152</f>
        <v>5</v>
      </c>
      <c r="I152" s="23">
        <f>Dataset1_Raw!I152</f>
        <v>2</v>
      </c>
      <c r="J152" s="25">
        <f>Dataset1_Raw!J152</f>
        <v>0.2</v>
      </c>
      <c r="K152" s="25">
        <f>IF(ISNUMBER(INDEX(Dataset2_Raw!$B$2:$B$611,$Q152)),INDEX(Dataset2_Raw!$B$2:$B$611,$Q152),"")</f>
        <v>0.18179999999999999</v>
      </c>
      <c r="L152" s="25">
        <f>IF(ISNUMBER(INDEX(Dataset2_Raw!$C$2:$C$611,$Q152)),INDEX(Dataset2_Raw!$C$2:$C$611,$Q152),"")</f>
        <v>0.37</v>
      </c>
      <c r="M152" s="25">
        <f>IF(ISNUMBER(INDEX(Dataset2_Raw!$D$2:$D$611,$Q152)),INDEX(Dataset2_Raw!$D$2:$D$611,$Q152),"")</f>
        <v>0.28360000000000002</v>
      </c>
      <c r="N152" s="23">
        <f>IF(ISNUMBER(INDEX(Dataset2_Raw!$E$2:$E$611,$Q152)),INDEX(Dataset2_Raw!$E$2:$E$611,$Q152),"")</f>
        <v>9</v>
      </c>
      <c r="O152" s="23">
        <f>IF(ISNUMBER(INDEX(Dataset2_Raw!$F$2:$F$611,$Q152)),INDEX(Dataset2_Raw!$F$2:$F$611,$Q152),"")</f>
        <v>64</v>
      </c>
      <c r="P152" s="23">
        <f>IF(ISNUMBER(INDEX(Dataset2_Raw!$G$2:$G$611,$Q152)),INDEX(Dataset2_Raw!$G$2:$G$611,$Q152),"")</f>
        <v>73</v>
      </c>
      <c r="Q152" s="23">
        <f>IFERROR(MATCH($A152,Dataset2_Raw!$A$2:$A$611,0),0)</f>
        <v>151</v>
      </c>
    </row>
    <row r="153" spans="1:17" x14ac:dyDescent="0.35">
      <c r="A153" s="23">
        <f>Dataset1_Raw!A153</f>
        <v>152</v>
      </c>
      <c r="B153" s="24">
        <f>Dataset1_Raw!B153</f>
        <v>40550</v>
      </c>
      <c r="C153" s="23">
        <f>Dataset1_Raw!C153</f>
        <v>1</v>
      </c>
      <c r="D153" s="23">
        <f>Dataset1_Raw!D153</f>
        <v>0</v>
      </c>
      <c r="E153" s="23">
        <f>Dataset1_Raw!E153</f>
        <v>1</v>
      </c>
      <c r="F153" s="23">
        <f>Dataset1_Raw!F153</f>
        <v>14</v>
      </c>
      <c r="G153" s="23" t="b">
        <f>Dataset1_Raw!G153</f>
        <v>0</v>
      </c>
      <c r="H153" s="23">
        <f>Dataset1_Raw!H153</f>
        <v>5</v>
      </c>
      <c r="I153" s="23">
        <f>Dataset1_Raw!I153</f>
        <v>2</v>
      </c>
      <c r="J153" s="25">
        <f>Dataset1_Raw!J153</f>
        <v>0.2</v>
      </c>
      <c r="K153" s="25">
        <f>IF(ISNUMBER(INDEX(Dataset2_Raw!$B$2:$B$611,$Q153)),INDEX(Dataset2_Raw!$B$2:$B$611,$Q153),"")</f>
        <v>0.19700000000000001</v>
      </c>
      <c r="L153" s="25">
        <f>IF(ISNUMBER(INDEX(Dataset2_Raw!$C$2:$C$611,$Q153)),INDEX(Dataset2_Raw!$C$2:$C$611,$Q153),"")</f>
        <v>0.4</v>
      </c>
      <c r="M153" s="25">
        <f>IF(ISNUMBER(INDEX(Dataset2_Raw!$D$2:$D$611,$Q153)),INDEX(Dataset2_Raw!$D$2:$D$611,$Q153),"")</f>
        <v>0.25369999999999998</v>
      </c>
      <c r="N153" s="23">
        <f>IF(ISNUMBER(INDEX(Dataset2_Raw!$E$2:$E$611,$Q153)),INDEX(Dataset2_Raw!$E$2:$E$611,$Q153),"")</f>
        <v>7</v>
      </c>
      <c r="O153" s="23">
        <f>IF(ISNUMBER(INDEX(Dataset2_Raw!$F$2:$F$611,$Q153)),INDEX(Dataset2_Raw!$F$2:$F$611,$Q153),"")</f>
        <v>43</v>
      </c>
      <c r="P153" s="23">
        <f>IF(ISNUMBER(INDEX(Dataset2_Raw!$G$2:$G$611,$Q153)),INDEX(Dataset2_Raw!$G$2:$G$611,$Q153),"")</f>
        <v>50</v>
      </c>
      <c r="Q153" s="23">
        <f>IFERROR(MATCH($A153,Dataset2_Raw!$A$2:$A$611,0),0)</f>
        <v>152</v>
      </c>
    </row>
    <row r="154" spans="1:17" x14ac:dyDescent="0.35">
      <c r="A154" s="23">
        <f>Dataset1_Raw!A154</f>
        <v>153</v>
      </c>
      <c r="B154" s="24">
        <f>Dataset1_Raw!B154</f>
        <v>40550</v>
      </c>
      <c r="C154" s="23">
        <f>Dataset1_Raw!C154</f>
        <v>1</v>
      </c>
      <c r="D154" s="23">
        <f>Dataset1_Raw!D154</f>
        <v>0</v>
      </c>
      <c r="E154" s="23">
        <f>Dataset1_Raw!E154</f>
        <v>1</v>
      </c>
      <c r="F154" s="23">
        <f>Dataset1_Raw!F154</f>
        <v>15</v>
      </c>
      <c r="G154" s="23" t="b">
        <f>Dataset1_Raw!G154</f>
        <v>0</v>
      </c>
      <c r="H154" s="23">
        <f>Dataset1_Raw!H154</f>
        <v>5</v>
      </c>
      <c r="I154" s="23">
        <f>Dataset1_Raw!I154</f>
        <v>2</v>
      </c>
      <c r="J154" s="25">
        <f>Dataset1_Raw!J154</f>
        <v>0.2</v>
      </c>
      <c r="K154" s="25">
        <f>IF(ISNUMBER(INDEX(Dataset2_Raw!$B$2:$B$611,$Q154)),INDEX(Dataset2_Raw!$B$2:$B$611,$Q154),"")</f>
        <v>0.21210000000000001</v>
      </c>
      <c r="L154" s="25">
        <f>IF(ISNUMBER(INDEX(Dataset2_Raw!$C$2:$C$611,$Q154)),INDEX(Dataset2_Raw!$C$2:$C$611,$Q154),"")</f>
        <v>0.37</v>
      </c>
      <c r="M154" s="25">
        <f>IF(ISNUMBER(INDEX(Dataset2_Raw!$D$2:$D$611,$Q154)),INDEX(Dataset2_Raw!$D$2:$D$611,$Q154),"")</f>
        <v>0.16420000000000001</v>
      </c>
      <c r="N154" s="23">
        <f>IF(ISNUMBER(INDEX(Dataset2_Raw!$E$2:$E$611,$Q154)),INDEX(Dataset2_Raw!$E$2:$E$611,$Q154),"")</f>
        <v>9</v>
      </c>
      <c r="O154" s="23">
        <f>IF(ISNUMBER(INDEX(Dataset2_Raw!$F$2:$F$611,$Q154)),INDEX(Dataset2_Raw!$F$2:$F$611,$Q154),"")</f>
        <v>63</v>
      </c>
      <c r="P154" s="23">
        <f>IF(ISNUMBER(INDEX(Dataset2_Raw!$G$2:$G$611,$Q154)),INDEX(Dataset2_Raw!$G$2:$G$611,$Q154),"")</f>
        <v>72</v>
      </c>
      <c r="Q154" s="23">
        <f>IFERROR(MATCH($A154,Dataset2_Raw!$A$2:$A$611,0),0)</f>
        <v>153</v>
      </c>
    </row>
    <row r="155" spans="1:17" x14ac:dyDescent="0.35">
      <c r="A155" s="23">
        <f>Dataset1_Raw!A155</f>
        <v>154</v>
      </c>
      <c r="B155" s="24">
        <f>Dataset1_Raw!B155</f>
        <v>40550</v>
      </c>
      <c r="C155" s="23">
        <f>Dataset1_Raw!C155</f>
        <v>1</v>
      </c>
      <c r="D155" s="23">
        <f>Dataset1_Raw!D155</f>
        <v>0</v>
      </c>
      <c r="E155" s="23">
        <f>Dataset1_Raw!E155</f>
        <v>1</v>
      </c>
      <c r="F155" s="23">
        <f>Dataset1_Raw!F155</f>
        <v>16</v>
      </c>
      <c r="G155" s="23" t="b">
        <f>Dataset1_Raw!G155</f>
        <v>0</v>
      </c>
      <c r="H155" s="23">
        <f>Dataset1_Raw!H155</f>
        <v>5</v>
      </c>
      <c r="I155" s="23">
        <f>Dataset1_Raw!I155</f>
        <v>2</v>
      </c>
      <c r="J155" s="25">
        <f>Dataset1_Raw!J155</f>
        <v>0.2</v>
      </c>
      <c r="K155" s="25">
        <f>IF(ISNUMBER(INDEX(Dataset2_Raw!$B$2:$B$611,$Q155)),INDEX(Dataset2_Raw!$B$2:$B$611,$Q155),"")</f>
        <v>0.21210000000000001</v>
      </c>
      <c r="L155" s="25">
        <f>IF(ISNUMBER(INDEX(Dataset2_Raw!$C$2:$C$611,$Q155)),INDEX(Dataset2_Raw!$C$2:$C$611,$Q155),"")</f>
        <v>0.37</v>
      </c>
      <c r="M155" s="25">
        <f>IF(ISNUMBER(INDEX(Dataset2_Raw!$D$2:$D$611,$Q155)),INDEX(Dataset2_Raw!$D$2:$D$611,$Q155),"")</f>
        <v>0.16420000000000001</v>
      </c>
      <c r="N155" s="23">
        <f>IF(ISNUMBER(INDEX(Dataset2_Raw!$E$2:$E$611,$Q155)),INDEX(Dataset2_Raw!$E$2:$E$611,$Q155),"")</f>
        <v>5</v>
      </c>
      <c r="O155" s="23">
        <f>IF(ISNUMBER(INDEX(Dataset2_Raw!$F$2:$F$611,$Q155)),INDEX(Dataset2_Raw!$F$2:$F$611,$Q155),"")</f>
        <v>82</v>
      </c>
      <c r="P155" s="23">
        <f>IF(ISNUMBER(INDEX(Dataset2_Raw!$G$2:$G$611,$Q155)),INDEX(Dataset2_Raw!$G$2:$G$611,$Q155),"")</f>
        <v>87</v>
      </c>
      <c r="Q155" s="23">
        <f>IFERROR(MATCH($A155,Dataset2_Raw!$A$2:$A$611,0),0)</f>
        <v>154</v>
      </c>
    </row>
    <row r="156" spans="1:17" x14ac:dyDescent="0.35">
      <c r="A156" s="23">
        <f>Dataset1_Raw!A156</f>
        <v>155</v>
      </c>
      <c r="B156" s="24">
        <f>Dataset1_Raw!B156</f>
        <v>40550</v>
      </c>
      <c r="C156" s="23">
        <f>Dataset1_Raw!C156</f>
        <v>1</v>
      </c>
      <c r="D156" s="23">
        <f>Dataset1_Raw!D156</f>
        <v>0</v>
      </c>
      <c r="E156" s="23">
        <f>Dataset1_Raw!E156</f>
        <v>1</v>
      </c>
      <c r="F156" s="23">
        <f>Dataset1_Raw!F156</f>
        <v>17</v>
      </c>
      <c r="G156" s="23" t="b">
        <f>Dataset1_Raw!G156</f>
        <v>0</v>
      </c>
      <c r="H156" s="23">
        <f>Dataset1_Raw!H156</f>
        <v>5</v>
      </c>
      <c r="I156" s="23">
        <f>Dataset1_Raw!I156</f>
        <v>2</v>
      </c>
      <c r="J156" s="25">
        <f>Dataset1_Raw!J156</f>
        <v>0.2</v>
      </c>
      <c r="K156" s="25">
        <f>IF(ISNUMBER(INDEX(Dataset2_Raw!$B$2:$B$611,$Q156)),INDEX(Dataset2_Raw!$B$2:$B$611,$Q156),"")</f>
        <v>0.2576</v>
      </c>
      <c r="L156" s="25">
        <f>IF(ISNUMBER(INDEX(Dataset2_Raw!$C$2:$C$611,$Q156)),INDEX(Dataset2_Raw!$C$2:$C$611,$Q156),"")</f>
        <v>0.37</v>
      </c>
      <c r="M156" s="25">
        <f>IF(ISNUMBER(INDEX(Dataset2_Raw!$D$2:$D$611,$Q156)),INDEX(Dataset2_Raw!$D$2:$D$611,$Q156),"")</f>
        <v>0</v>
      </c>
      <c r="N156" s="23">
        <f>IF(ISNUMBER(INDEX(Dataset2_Raw!$E$2:$E$611,$Q156)),INDEX(Dataset2_Raw!$E$2:$E$611,$Q156),"")</f>
        <v>9</v>
      </c>
      <c r="O156" s="23">
        <f>IF(ISNUMBER(INDEX(Dataset2_Raw!$F$2:$F$611,$Q156)),INDEX(Dataset2_Raw!$F$2:$F$611,$Q156),"")</f>
        <v>178</v>
      </c>
      <c r="P156" s="23">
        <f>IF(ISNUMBER(INDEX(Dataset2_Raw!$G$2:$G$611,$Q156)),INDEX(Dataset2_Raw!$G$2:$G$611,$Q156),"")</f>
        <v>187</v>
      </c>
      <c r="Q156" s="23">
        <f>IFERROR(MATCH($A156,Dataset2_Raw!$A$2:$A$611,0),0)</f>
        <v>155</v>
      </c>
    </row>
    <row r="157" spans="1:17" x14ac:dyDescent="0.35">
      <c r="A157" s="23">
        <f>Dataset1_Raw!A157</f>
        <v>156</v>
      </c>
      <c r="B157" s="24">
        <f>Dataset1_Raw!B157</f>
        <v>40550</v>
      </c>
      <c r="C157" s="23">
        <f>Dataset1_Raw!C157</f>
        <v>1</v>
      </c>
      <c r="D157" s="23">
        <f>Dataset1_Raw!D157</f>
        <v>0</v>
      </c>
      <c r="E157" s="23">
        <f>Dataset1_Raw!E157</f>
        <v>1</v>
      </c>
      <c r="F157" s="23">
        <f>Dataset1_Raw!F157</f>
        <v>18</v>
      </c>
      <c r="G157" s="23" t="b">
        <f>Dataset1_Raw!G157</f>
        <v>0</v>
      </c>
      <c r="H157" s="23">
        <f>Dataset1_Raw!H157</f>
        <v>5</v>
      </c>
      <c r="I157" s="23">
        <f>Dataset1_Raw!I157</f>
        <v>1</v>
      </c>
      <c r="J157" s="25">
        <f>Dataset1_Raw!J157</f>
        <v>0.2</v>
      </c>
      <c r="K157" s="25">
        <f>IF(ISNUMBER(INDEX(Dataset2_Raw!$B$2:$B$611,$Q157)),INDEX(Dataset2_Raw!$B$2:$B$611,$Q157),"")</f>
        <v>0.2273</v>
      </c>
      <c r="L157" s="25">
        <f>IF(ISNUMBER(INDEX(Dataset2_Raw!$C$2:$C$611,$Q157)),INDEX(Dataset2_Raw!$C$2:$C$611,$Q157),"")</f>
        <v>0.4</v>
      </c>
      <c r="M157" s="25">
        <f>IF(ISNUMBER(INDEX(Dataset2_Raw!$D$2:$D$611,$Q157)),INDEX(Dataset2_Raw!$D$2:$D$611,$Q157),"")</f>
        <v>8.9599999999999999E-2</v>
      </c>
      <c r="N157" s="23">
        <f>IF(ISNUMBER(INDEX(Dataset2_Raw!$E$2:$E$611,$Q157)),INDEX(Dataset2_Raw!$E$2:$E$611,$Q157),"")</f>
        <v>7</v>
      </c>
      <c r="O157" s="23">
        <f>IF(ISNUMBER(INDEX(Dataset2_Raw!$F$2:$F$611,$Q157)),INDEX(Dataset2_Raw!$F$2:$F$611,$Q157),"")</f>
        <v>116</v>
      </c>
      <c r="P157" s="23">
        <f>IF(ISNUMBER(INDEX(Dataset2_Raw!$G$2:$G$611,$Q157)),INDEX(Dataset2_Raw!$G$2:$G$611,$Q157),"")</f>
        <v>123</v>
      </c>
      <c r="Q157" s="23">
        <f>IFERROR(MATCH($A157,Dataset2_Raw!$A$2:$A$611,0),0)</f>
        <v>156</v>
      </c>
    </row>
    <row r="158" spans="1:17" x14ac:dyDescent="0.35">
      <c r="A158" s="23">
        <f>Dataset1_Raw!A158</f>
        <v>157</v>
      </c>
      <c r="B158" s="24">
        <f>Dataset1_Raw!B158</f>
        <v>40550</v>
      </c>
      <c r="C158" s="23">
        <f>Dataset1_Raw!C158</f>
        <v>1</v>
      </c>
      <c r="D158" s="23">
        <f>Dataset1_Raw!D158</f>
        <v>0</v>
      </c>
      <c r="E158" s="23">
        <f>Dataset1_Raw!E158</f>
        <v>1</v>
      </c>
      <c r="F158" s="23">
        <f>Dataset1_Raw!F158</f>
        <v>19</v>
      </c>
      <c r="G158" s="23" t="b">
        <f>Dataset1_Raw!G158</f>
        <v>0</v>
      </c>
      <c r="H158" s="23">
        <f>Dataset1_Raw!H158</f>
        <v>5</v>
      </c>
      <c r="I158" s="23">
        <f>Dataset1_Raw!I158</f>
        <v>1</v>
      </c>
      <c r="J158" s="25">
        <f>Dataset1_Raw!J158</f>
        <v>0.16</v>
      </c>
      <c r="K158" s="25">
        <f>IF(ISNUMBER(INDEX(Dataset2_Raw!$B$2:$B$611,$Q158)),INDEX(Dataset2_Raw!$B$2:$B$611,$Q158),"")</f>
        <v>0.19700000000000001</v>
      </c>
      <c r="L158" s="25">
        <f>IF(ISNUMBER(INDEX(Dataset2_Raw!$C$2:$C$611,$Q158)),INDEX(Dataset2_Raw!$C$2:$C$611,$Q158),"")</f>
        <v>0.55000000000000004</v>
      </c>
      <c r="M158" s="25">
        <f>IF(ISNUMBER(INDEX(Dataset2_Raw!$D$2:$D$611,$Q158)),INDEX(Dataset2_Raw!$D$2:$D$611,$Q158),"")</f>
        <v>8.9599999999999999E-2</v>
      </c>
      <c r="N158" s="23">
        <f>IF(ISNUMBER(INDEX(Dataset2_Raw!$E$2:$E$611,$Q158)),INDEX(Dataset2_Raw!$E$2:$E$611,$Q158),"")</f>
        <v>3</v>
      </c>
      <c r="O158" s="23">
        <f>IF(ISNUMBER(INDEX(Dataset2_Raw!$F$2:$F$611,$Q158)),INDEX(Dataset2_Raw!$F$2:$F$611,$Q158),"")</f>
        <v>92</v>
      </c>
      <c r="P158" s="23">
        <f>IF(ISNUMBER(INDEX(Dataset2_Raw!$G$2:$G$611,$Q158)),INDEX(Dataset2_Raw!$G$2:$G$611,$Q158),"")</f>
        <v>95</v>
      </c>
      <c r="Q158" s="23">
        <f>IFERROR(MATCH($A158,Dataset2_Raw!$A$2:$A$611,0),0)</f>
        <v>157</v>
      </c>
    </row>
    <row r="159" spans="1:17" x14ac:dyDescent="0.35">
      <c r="A159" s="23">
        <f>Dataset1_Raw!A159</f>
        <v>158</v>
      </c>
      <c r="B159" s="24">
        <f>Dataset1_Raw!B159</f>
        <v>40550</v>
      </c>
      <c r="C159" s="23">
        <f>Dataset1_Raw!C159</f>
        <v>1</v>
      </c>
      <c r="D159" s="23">
        <f>Dataset1_Raw!D159</f>
        <v>0</v>
      </c>
      <c r="E159" s="23">
        <f>Dataset1_Raw!E159</f>
        <v>1</v>
      </c>
      <c r="F159" s="23">
        <f>Dataset1_Raw!F159</f>
        <v>20</v>
      </c>
      <c r="G159" s="23" t="b">
        <f>Dataset1_Raw!G159</f>
        <v>0</v>
      </c>
      <c r="H159" s="23">
        <f>Dataset1_Raw!H159</f>
        <v>5</v>
      </c>
      <c r="I159" s="23">
        <f>Dataset1_Raw!I159</f>
        <v>1</v>
      </c>
      <c r="J159" s="25">
        <f>Dataset1_Raw!J159</f>
        <v>0.18</v>
      </c>
      <c r="K159" s="25">
        <f>IF(ISNUMBER(INDEX(Dataset2_Raw!$B$2:$B$611,$Q159)),INDEX(Dataset2_Raw!$B$2:$B$611,$Q159),"")</f>
        <v>0.21210000000000001</v>
      </c>
      <c r="L159" s="25">
        <f>IF(ISNUMBER(INDEX(Dataset2_Raw!$C$2:$C$611,$Q159)),INDEX(Dataset2_Raw!$C$2:$C$611,$Q159),"")</f>
        <v>0.47</v>
      </c>
      <c r="M159" s="25">
        <f>IF(ISNUMBER(INDEX(Dataset2_Raw!$D$2:$D$611,$Q159)),INDEX(Dataset2_Raw!$D$2:$D$611,$Q159),"")</f>
        <v>0.1045</v>
      </c>
      <c r="N159" s="23">
        <f>IF(ISNUMBER(INDEX(Dataset2_Raw!$E$2:$E$611,$Q159)),INDEX(Dataset2_Raw!$E$2:$E$611,$Q159),"")</f>
        <v>1</v>
      </c>
      <c r="O159" s="23">
        <f>IF(ISNUMBER(INDEX(Dataset2_Raw!$F$2:$F$611,$Q159)),INDEX(Dataset2_Raw!$F$2:$F$611,$Q159),"")</f>
        <v>50</v>
      </c>
      <c r="P159" s="23">
        <f>IF(ISNUMBER(INDEX(Dataset2_Raw!$G$2:$G$611,$Q159)),INDEX(Dataset2_Raw!$G$2:$G$611,$Q159),"")</f>
        <v>51</v>
      </c>
      <c r="Q159" s="23">
        <f>IFERROR(MATCH($A159,Dataset2_Raw!$A$2:$A$611,0),0)</f>
        <v>158</v>
      </c>
    </row>
    <row r="160" spans="1:17" x14ac:dyDescent="0.35">
      <c r="A160" s="23">
        <f>Dataset1_Raw!A160</f>
        <v>159</v>
      </c>
      <c r="B160" s="24">
        <f>Dataset1_Raw!B160</f>
        <v>40550</v>
      </c>
      <c r="C160" s="23">
        <f>Dataset1_Raw!C160</f>
        <v>1</v>
      </c>
      <c r="D160" s="23">
        <f>Dataset1_Raw!D160</f>
        <v>0</v>
      </c>
      <c r="E160" s="23">
        <f>Dataset1_Raw!E160</f>
        <v>1</v>
      </c>
      <c r="F160" s="23">
        <f>Dataset1_Raw!F160</f>
        <v>21</v>
      </c>
      <c r="G160" s="23" t="b">
        <f>Dataset1_Raw!G160</f>
        <v>0</v>
      </c>
      <c r="H160" s="23">
        <f>Dataset1_Raw!H160</f>
        <v>5</v>
      </c>
      <c r="I160" s="23">
        <f>Dataset1_Raw!I160</f>
        <v>1</v>
      </c>
      <c r="J160" s="25">
        <f>Dataset1_Raw!J160</f>
        <v>0.18</v>
      </c>
      <c r="K160" s="25">
        <f>IF(ISNUMBER(INDEX(Dataset2_Raw!$B$2:$B$611,$Q160)),INDEX(Dataset2_Raw!$B$2:$B$611,$Q160),"")</f>
        <v>0.19700000000000001</v>
      </c>
      <c r="L160" s="25">
        <f>IF(ISNUMBER(INDEX(Dataset2_Raw!$C$2:$C$611,$Q160)),INDEX(Dataset2_Raw!$C$2:$C$611,$Q160),"")</f>
        <v>0.47</v>
      </c>
      <c r="M160" s="25">
        <f>IF(ISNUMBER(INDEX(Dataset2_Raw!$D$2:$D$611,$Q160)),INDEX(Dataset2_Raw!$D$2:$D$611,$Q160),"")</f>
        <v>0.1343</v>
      </c>
      <c r="N160" s="23">
        <f>IF(ISNUMBER(INDEX(Dataset2_Raw!$E$2:$E$611,$Q160)),INDEX(Dataset2_Raw!$E$2:$E$611,$Q160),"")</f>
        <v>0</v>
      </c>
      <c r="O160" s="23">
        <f>IF(ISNUMBER(INDEX(Dataset2_Raw!$F$2:$F$611,$Q160)),INDEX(Dataset2_Raw!$F$2:$F$611,$Q160),"")</f>
        <v>39</v>
      </c>
      <c r="P160" s="23">
        <f>IF(ISNUMBER(INDEX(Dataset2_Raw!$G$2:$G$611,$Q160)),INDEX(Dataset2_Raw!$G$2:$G$611,$Q160),"")</f>
        <v>39</v>
      </c>
      <c r="Q160" s="23">
        <f>IFERROR(MATCH($A160,Dataset2_Raw!$A$2:$A$611,0),0)</f>
        <v>159</v>
      </c>
    </row>
    <row r="161" spans="1:17" x14ac:dyDescent="0.35">
      <c r="A161" s="23">
        <f>Dataset1_Raw!A161</f>
        <v>160</v>
      </c>
      <c r="B161" s="24">
        <f>Dataset1_Raw!B161</f>
        <v>40550</v>
      </c>
      <c r="C161" s="23">
        <f>Dataset1_Raw!C161</f>
        <v>1</v>
      </c>
      <c r="D161" s="23">
        <f>Dataset1_Raw!D161</f>
        <v>0</v>
      </c>
      <c r="E161" s="23">
        <f>Dataset1_Raw!E161</f>
        <v>1</v>
      </c>
      <c r="F161" s="23">
        <f>Dataset1_Raw!F161</f>
        <v>22</v>
      </c>
      <c r="G161" s="23" t="b">
        <f>Dataset1_Raw!G161</f>
        <v>0</v>
      </c>
      <c r="H161" s="23">
        <f>Dataset1_Raw!H161</f>
        <v>5</v>
      </c>
      <c r="I161" s="23">
        <f>Dataset1_Raw!I161</f>
        <v>2</v>
      </c>
      <c r="J161" s="25">
        <f>Dataset1_Raw!J161</f>
        <v>0.18</v>
      </c>
      <c r="K161" s="25">
        <f>IF(ISNUMBER(INDEX(Dataset2_Raw!$B$2:$B$611,$Q161)),INDEX(Dataset2_Raw!$B$2:$B$611,$Q161),"")</f>
        <v>0.19700000000000001</v>
      </c>
      <c r="L161" s="25">
        <f>IF(ISNUMBER(INDEX(Dataset2_Raw!$C$2:$C$611,$Q161)),INDEX(Dataset2_Raw!$C$2:$C$611,$Q161),"")</f>
        <v>0.43</v>
      </c>
      <c r="M161" s="25">
        <f>IF(ISNUMBER(INDEX(Dataset2_Raw!$D$2:$D$611,$Q161)),INDEX(Dataset2_Raw!$D$2:$D$611,$Q161),"")</f>
        <v>0.16420000000000001</v>
      </c>
      <c r="N161" s="23">
        <f>IF(ISNUMBER(INDEX(Dataset2_Raw!$E$2:$E$611,$Q161)),INDEX(Dataset2_Raw!$E$2:$E$611,$Q161),"")</f>
        <v>2</v>
      </c>
      <c r="O161" s="23">
        <f>IF(ISNUMBER(INDEX(Dataset2_Raw!$F$2:$F$611,$Q161)),INDEX(Dataset2_Raw!$F$2:$F$611,$Q161),"")</f>
        <v>34</v>
      </c>
      <c r="P161" s="23">
        <f>IF(ISNUMBER(INDEX(Dataset2_Raw!$G$2:$G$611,$Q161)),INDEX(Dataset2_Raw!$G$2:$G$611,$Q161),"")</f>
        <v>36</v>
      </c>
      <c r="Q161" s="23">
        <f>IFERROR(MATCH($A161,Dataset2_Raw!$A$2:$A$611,0),0)</f>
        <v>160</v>
      </c>
    </row>
    <row r="162" spans="1:17" x14ac:dyDescent="0.35">
      <c r="A162" s="23">
        <f>Dataset1_Raw!A162</f>
        <v>161</v>
      </c>
      <c r="B162" s="24">
        <f>Dataset1_Raw!B162</f>
        <v>40550</v>
      </c>
      <c r="C162" s="23">
        <f>Dataset1_Raw!C162</f>
        <v>1</v>
      </c>
      <c r="D162" s="23">
        <f>Dataset1_Raw!D162</f>
        <v>0</v>
      </c>
      <c r="E162" s="23">
        <f>Dataset1_Raw!E162</f>
        <v>1</v>
      </c>
      <c r="F162" s="23">
        <f>Dataset1_Raw!F162</f>
        <v>23</v>
      </c>
      <c r="G162" s="23" t="b">
        <f>Dataset1_Raw!G162</f>
        <v>0</v>
      </c>
      <c r="H162" s="23">
        <f>Dataset1_Raw!H162</f>
        <v>5</v>
      </c>
      <c r="I162" s="23">
        <f>Dataset1_Raw!I162</f>
        <v>2</v>
      </c>
      <c r="J162" s="25">
        <f>Dataset1_Raw!J162</f>
        <v>0.18</v>
      </c>
      <c r="K162" s="25">
        <f>IF(ISNUMBER(INDEX(Dataset2_Raw!$B$2:$B$611,$Q162)),INDEX(Dataset2_Raw!$B$2:$B$611,$Q162),"")</f>
        <v>0.19700000000000001</v>
      </c>
      <c r="L162" s="25">
        <f>IF(ISNUMBER(INDEX(Dataset2_Raw!$C$2:$C$611,$Q162)),INDEX(Dataset2_Raw!$C$2:$C$611,$Q162),"")</f>
        <v>0.51</v>
      </c>
      <c r="M162" s="25">
        <f>IF(ISNUMBER(INDEX(Dataset2_Raw!$D$2:$D$611,$Q162)),INDEX(Dataset2_Raw!$D$2:$D$611,$Q162),"")</f>
        <v>0.16420000000000001</v>
      </c>
      <c r="N162" s="23">
        <f>IF(ISNUMBER(INDEX(Dataset2_Raw!$E$2:$E$611,$Q162)),INDEX(Dataset2_Raw!$E$2:$E$611,$Q162),"")</f>
        <v>1</v>
      </c>
      <c r="O162" s="23">
        <f>IF(ISNUMBER(INDEX(Dataset2_Raw!$F$2:$F$611,$Q162)),INDEX(Dataset2_Raw!$F$2:$F$611,$Q162),"")</f>
        <v>14</v>
      </c>
      <c r="P162" s="23">
        <f>IF(ISNUMBER(INDEX(Dataset2_Raw!$G$2:$G$611,$Q162)),INDEX(Dataset2_Raw!$G$2:$G$611,$Q162),"")</f>
        <v>15</v>
      </c>
      <c r="Q162" s="23">
        <f>IFERROR(MATCH($A162,Dataset2_Raw!$A$2:$A$611,0),0)</f>
        <v>161</v>
      </c>
    </row>
    <row r="163" spans="1:17" x14ac:dyDescent="0.35">
      <c r="A163" s="23">
        <f>Dataset1_Raw!A163</f>
        <v>162</v>
      </c>
      <c r="B163" s="24">
        <f>Dataset1_Raw!B163</f>
        <v>40551</v>
      </c>
      <c r="C163" s="23">
        <f>Dataset1_Raw!C163</f>
        <v>1</v>
      </c>
      <c r="D163" s="23">
        <f>Dataset1_Raw!D163</f>
        <v>0</v>
      </c>
      <c r="E163" s="23">
        <f>Dataset1_Raw!E163</f>
        <v>1</v>
      </c>
      <c r="F163" s="23">
        <f>Dataset1_Raw!F163</f>
        <v>0</v>
      </c>
      <c r="G163" s="23" t="b">
        <f>Dataset1_Raw!G163</f>
        <v>0</v>
      </c>
      <c r="H163" s="23">
        <f>Dataset1_Raw!H163</f>
        <v>6</v>
      </c>
      <c r="I163" s="23">
        <f>Dataset1_Raw!I163</f>
        <v>2</v>
      </c>
      <c r="J163" s="25">
        <f>Dataset1_Raw!J163</f>
        <v>0.18</v>
      </c>
      <c r="K163" s="25">
        <f>IF(ISNUMBER(INDEX(Dataset2_Raw!$B$2:$B$611,$Q163)),INDEX(Dataset2_Raw!$B$2:$B$611,$Q163),"")</f>
        <v>0.19700000000000001</v>
      </c>
      <c r="L163" s="25">
        <f>IF(ISNUMBER(INDEX(Dataset2_Raw!$C$2:$C$611,$Q163)),INDEX(Dataset2_Raw!$C$2:$C$611,$Q163),"")</f>
        <v>0.51</v>
      </c>
      <c r="M163" s="25">
        <f>IF(ISNUMBER(INDEX(Dataset2_Raw!$D$2:$D$611,$Q163)),INDEX(Dataset2_Raw!$D$2:$D$611,$Q163),"")</f>
        <v>0.16420000000000001</v>
      </c>
      <c r="N163" s="23">
        <f>IF(ISNUMBER(INDEX(Dataset2_Raw!$E$2:$E$611,$Q163)),INDEX(Dataset2_Raw!$E$2:$E$611,$Q163),"")</f>
        <v>1</v>
      </c>
      <c r="O163" s="23">
        <f>IF(ISNUMBER(INDEX(Dataset2_Raw!$F$2:$F$611,$Q163)),INDEX(Dataset2_Raw!$F$2:$F$611,$Q163),"")</f>
        <v>24</v>
      </c>
      <c r="P163" s="23">
        <f>IF(ISNUMBER(INDEX(Dataset2_Raw!$G$2:$G$611,$Q163)),INDEX(Dataset2_Raw!$G$2:$G$611,$Q163),"")</f>
        <v>25</v>
      </c>
      <c r="Q163" s="23">
        <f>IFERROR(MATCH($A163,Dataset2_Raw!$A$2:$A$611,0),0)</f>
        <v>162</v>
      </c>
    </row>
    <row r="164" spans="1:17" x14ac:dyDescent="0.35">
      <c r="A164" s="23">
        <f>Dataset1_Raw!A164</f>
        <v>163</v>
      </c>
      <c r="B164" s="24">
        <f>Dataset1_Raw!B164</f>
        <v>40551</v>
      </c>
      <c r="C164" s="23">
        <f>Dataset1_Raw!C164</f>
        <v>1</v>
      </c>
      <c r="D164" s="23">
        <f>Dataset1_Raw!D164</f>
        <v>0</v>
      </c>
      <c r="E164" s="23">
        <f>Dataset1_Raw!E164</f>
        <v>1</v>
      </c>
      <c r="F164" s="23">
        <f>Dataset1_Raw!F164</f>
        <v>1</v>
      </c>
      <c r="G164" s="23" t="b">
        <f>Dataset1_Raw!G164</f>
        <v>0</v>
      </c>
      <c r="H164" s="23">
        <f>Dataset1_Raw!H164</f>
        <v>6</v>
      </c>
      <c r="I164" s="23">
        <f>Dataset1_Raw!I164</f>
        <v>2</v>
      </c>
      <c r="J164" s="25">
        <f>Dataset1_Raw!J164</f>
        <v>0.18</v>
      </c>
      <c r="K164" s="25">
        <f>IF(ISNUMBER(INDEX(Dataset2_Raw!$B$2:$B$611,$Q164)),INDEX(Dataset2_Raw!$B$2:$B$611,$Q164),"")</f>
        <v>0.21210000000000001</v>
      </c>
      <c r="L164" s="25">
        <f>IF(ISNUMBER(INDEX(Dataset2_Raw!$C$2:$C$611,$Q164)),INDEX(Dataset2_Raw!$C$2:$C$611,$Q164),"")</f>
        <v>0.55000000000000004</v>
      </c>
      <c r="M164" s="25">
        <f>IF(ISNUMBER(INDEX(Dataset2_Raw!$D$2:$D$611,$Q164)),INDEX(Dataset2_Raw!$D$2:$D$611,$Q164),"")</f>
        <v>8.9599999999999999E-2</v>
      </c>
      <c r="N164" s="23">
        <f>IF(ISNUMBER(INDEX(Dataset2_Raw!$E$2:$E$611,$Q164)),INDEX(Dataset2_Raw!$E$2:$E$611,$Q164),"")</f>
        <v>1</v>
      </c>
      <c r="O164" s="23">
        <f>IF(ISNUMBER(INDEX(Dataset2_Raw!$F$2:$F$611,$Q164)),INDEX(Dataset2_Raw!$F$2:$F$611,$Q164),"")</f>
        <v>15</v>
      </c>
      <c r="P164" s="23">
        <f>IF(ISNUMBER(INDEX(Dataset2_Raw!$G$2:$G$611,$Q164)),INDEX(Dataset2_Raw!$G$2:$G$611,$Q164),"")</f>
        <v>16</v>
      </c>
      <c r="Q164" s="23">
        <f>IFERROR(MATCH($A164,Dataset2_Raw!$A$2:$A$611,0),0)</f>
        <v>163</v>
      </c>
    </row>
    <row r="165" spans="1:17" x14ac:dyDescent="0.35">
      <c r="A165" s="23">
        <f>Dataset1_Raw!A165</f>
        <v>164</v>
      </c>
      <c r="B165" s="24">
        <f>Dataset1_Raw!B165</f>
        <v>40551</v>
      </c>
      <c r="C165" s="23">
        <f>Dataset1_Raw!C165</f>
        <v>1</v>
      </c>
      <c r="D165" s="23">
        <f>Dataset1_Raw!D165</f>
        <v>0</v>
      </c>
      <c r="E165" s="23">
        <f>Dataset1_Raw!E165</f>
        <v>1</v>
      </c>
      <c r="F165" s="23">
        <f>Dataset1_Raw!F165</f>
        <v>2</v>
      </c>
      <c r="G165" s="23" t="b">
        <f>Dataset1_Raw!G165</f>
        <v>0</v>
      </c>
      <c r="H165" s="23">
        <f>Dataset1_Raw!H165</f>
        <v>6</v>
      </c>
      <c r="I165" s="23">
        <f>Dataset1_Raw!I165</f>
        <v>2</v>
      </c>
      <c r="J165" s="25">
        <f>Dataset1_Raw!J165</f>
        <v>0.18</v>
      </c>
      <c r="K165" s="25">
        <f>IF(ISNUMBER(INDEX(Dataset2_Raw!$B$2:$B$611,$Q165)),INDEX(Dataset2_Raw!$B$2:$B$611,$Q165),"")</f>
        <v>0.2424</v>
      </c>
      <c r="L165" s="25">
        <f>IF(ISNUMBER(INDEX(Dataset2_Raw!$C$2:$C$611,$Q165)),INDEX(Dataset2_Raw!$C$2:$C$611,$Q165),"")</f>
        <v>0.55000000000000004</v>
      </c>
      <c r="M165" s="25">
        <f>IF(ISNUMBER(INDEX(Dataset2_Raw!$D$2:$D$611,$Q165)),INDEX(Dataset2_Raw!$D$2:$D$611,$Q165),"")</f>
        <v>0</v>
      </c>
      <c r="N165" s="23">
        <f>IF(ISNUMBER(INDEX(Dataset2_Raw!$E$2:$E$611,$Q165)),INDEX(Dataset2_Raw!$E$2:$E$611,$Q165),"")</f>
        <v>3</v>
      </c>
      <c r="O165" s="23">
        <f>IF(ISNUMBER(INDEX(Dataset2_Raw!$F$2:$F$611,$Q165)),INDEX(Dataset2_Raw!$F$2:$F$611,$Q165),"")</f>
        <v>13</v>
      </c>
      <c r="P165" s="23">
        <f>IF(ISNUMBER(INDEX(Dataset2_Raw!$G$2:$G$611,$Q165)),INDEX(Dataset2_Raw!$G$2:$G$611,$Q165),"")</f>
        <v>16</v>
      </c>
      <c r="Q165" s="23">
        <f>IFERROR(MATCH($A165,Dataset2_Raw!$A$2:$A$611,0),0)</f>
        <v>164</v>
      </c>
    </row>
    <row r="166" spans="1:17" x14ac:dyDescent="0.35">
      <c r="A166" s="23">
        <f>Dataset1_Raw!A166</f>
        <v>165</v>
      </c>
      <c r="B166" s="24">
        <f>Dataset1_Raw!B166</f>
        <v>40551</v>
      </c>
      <c r="C166" s="23">
        <f>Dataset1_Raw!C166</f>
        <v>1</v>
      </c>
      <c r="D166" s="23">
        <f>Dataset1_Raw!D166</f>
        <v>0</v>
      </c>
      <c r="E166" s="23">
        <f>Dataset1_Raw!E166</f>
        <v>1</v>
      </c>
      <c r="F166" s="23">
        <f>Dataset1_Raw!F166</f>
        <v>3</v>
      </c>
      <c r="G166" s="23" t="b">
        <f>Dataset1_Raw!G166</f>
        <v>0</v>
      </c>
      <c r="H166" s="23">
        <f>Dataset1_Raw!H166</f>
        <v>6</v>
      </c>
      <c r="I166" s="23">
        <f>Dataset1_Raw!I166</f>
        <v>3</v>
      </c>
      <c r="J166" s="25">
        <f>Dataset1_Raw!J166</f>
        <v>0.18</v>
      </c>
      <c r="K166" s="25">
        <f>IF(ISNUMBER(INDEX(Dataset2_Raw!$B$2:$B$611,$Q166)),INDEX(Dataset2_Raw!$B$2:$B$611,$Q166),"")</f>
        <v>0.19700000000000001</v>
      </c>
      <c r="L166" s="25">
        <f>IF(ISNUMBER(INDEX(Dataset2_Raw!$C$2:$C$611,$Q166)),INDEX(Dataset2_Raw!$C$2:$C$611,$Q166),"")</f>
        <v>0.55000000000000004</v>
      </c>
      <c r="M166" s="25">
        <f>IF(ISNUMBER(INDEX(Dataset2_Raw!$D$2:$D$611,$Q166)),INDEX(Dataset2_Raw!$D$2:$D$611,$Q166),"")</f>
        <v>0.16420000000000001</v>
      </c>
      <c r="N166" s="23">
        <f>IF(ISNUMBER(INDEX(Dataset2_Raw!$E$2:$E$611,$Q166)),INDEX(Dataset2_Raw!$E$2:$E$611,$Q166),"")</f>
        <v>0</v>
      </c>
      <c r="O166" s="23">
        <f>IF(ISNUMBER(INDEX(Dataset2_Raw!$F$2:$F$611,$Q166)),INDEX(Dataset2_Raw!$F$2:$F$611,$Q166),"")</f>
        <v>7</v>
      </c>
      <c r="P166" s="23">
        <f>IF(ISNUMBER(INDEX(Dataset2_Raw!$G$2:$G$611,$Q166)),INDEX(Dataset2_Raw!$G$2:$G$611,$Q166),"")</f>
        <v>7</v>
      </c>
      <c r="Q166" s="23">
        <f>IFERROR(MATCH($A166,Dataset2_Raw!$A$2:$A$611,0),0)</f>
        <v>165</v>
      </c>
    </row>
    <row r="167" spans="1:17" x14ac:dyDescent="0.35">
      <c r="A167" s="23">
        <f>Dataset1_Raw!A167</f>
        <v>166</v>
      </c>
      <c r="B167" s="24">
        <f>Dataset1_Raw!B167</f>
        <v>40551</v>
      </c>
      <c r="C167" s="23">
        <f>Dataset1_Raw!C167</f>
        <v>1</v>
      </c>
      <c r="D167" s="23">
        <f>Dataset1_Raw!D167</f>
        <v>0</v>
      </c>
      <c r="E167" s="23">
        <f>Dataset1_Raw!E167</f>
        <v>1</v>
      </c>
      <c r="F167" s="23">
        <f>Dataset1_Raw!F167</f>
        <v>4</v>
      </c>
      <c r="G167" s="23" t="b">
        <f>Dataset1_Raw!G167</f>
        <v>0</v>
      </c>
      <c r="H167" s="23">
        <f>Dataset1_Raw!H167</f>
        <v>6</v>
      </c>
      <c r="I167" s="23">
        <f>Dataset1_Raw!I167</f>
        <v>3</v>
      </c>
      <c r="J167" s="25">
        <f>Dataset1_Raw!J167</f>
        <v>0.18</v>
      </c>
      <c r="K167" s="25">
        <f>IF(ISNUMBER(INDEX(Dataset2_Raw!$B$2:$B$611,$Q167)),INDEX(Dataset2_Raw!$B$2:$B$611,$Q167),"")</f>
        <v>0.19700000000000001</v>
      </c>
      <c r="L167" s="25">
        <f>IF(ISNUMBER(INDEX(Dataset2_Raw!$C$2:$C$611,$Q167)),INDEX(Dataset2_Raw!$C$2:$C$611,$Q167),"")</f>
        <v>0.55000000000000004</v>
      </c>
      <c r="M167" s="25">
        <f>IF(ISNUMBER(INDEX(Dataset2_Raw!$D$2:$D$611,$Q167)),INDEX(Dataset2_Raw!$D$2:$D$611,$Q167),"")</f>
        <v>0.16420000000000001</v>
      </c>
      <c r="N167" s="23">
        <f>IF(ISNUMBER(INDEX(Dataset2_Raw!$E$2:$E$611,$Q167)),INDEX(Dataset2_Raw!$E$2:$E$611,$Q167),"")</f>
        <v>0</v>
      </c>
      <c r="O167" s="23">
        <f>IF(ISNUMBER(INDEX(Dataset2_Raw!$F$2:$F$611,$Q167)),INDEX(Dataset2_Raw!$F$2:$F$611,$Q167),"")</f>
        <v>1</v>
      </c>
      <c r="P167" s="23">
        <f>IF(ISNUMBER(INDEX(Dataset2_Raw!$G$2:$G$611,$Q167)),INDEX(Dataset2_Raw!$G$2:$G$611,$Q167),"")</f>
        <v>1</v>
      </c>
      <c r="Q167" s="23">
        <f>IFERROR(MATCH($A167,Dataset2_Raw!$A$2:$A$611,0),0)</f>
        <v>166</v>
      </c>
    </row>
    <row r="168" spans="1:17" x14ac:dyDescent="0.35">
      <c r="A168" s="23">
        <f>Dataset1_Raw!A168</f>
        <v>167</v>
      </c>
      <c r="B168" s="24">
        <f>Dataset1_Raw!B168</f>
        <v>40551</v>
      </c>
      <c r="C168" s="23">
        <f>Dataset1_Raw!C168</f>
        <v>1</v>
      </c>
      <c r="D168" s="23">
        <f>Dataset1_Raw!D168</f>
        <v>0</v>
      </c>
      <c r="E168" s="23">
        <f>Dataset1_Raw!E168</f>
        <v>1</v>
      </c>
      <c r="F168" s="23">
        <f>Dataset1_Raw!F168</f>
        <v>5</v>
      </c>
      <c r="G168" s="23" t="b">
        <f>Dataset1_Raw!G168</f>
        <v>0</v>
      </c>
      <c r="H168" s="23">
        <f>Dataset1_Raw!H168</f>
        <v>6</v>
      </c>
      <c r="I168" s="23">
        <f>Dataset1_Raw!I168</f>
        <v>2</v>
      </c>
      <c r="J168" s="25">
        <f>Dataset1_Raw!J168</f>
        <v>0.16</v>
      </c>
      <c r="K168" s="25">
        <f>IF(ISNUMBER(INDEX(Dataset2_Raw!$B$2:$B$611,$Q168)),INDEX(Dataset2_Raw!$B$2:$B$611,$Q168),"")</f>
        <v>0.16669999999999999</v>
      </c>
      <c r="L168" s="25">
        <f>IF(ISNUMBER(INDEX(Dataset2_Raw!$C$2:$C$611,$Q168)),INDEX(Dataset2_Raw!$C$2:$C$611,$Q168),"")</f>
        <v>0.74</v>
      </c>
      <c r="M168" s="25">
        <f>IF(ISNUMBER(INDEX(Dataset2_Raw!$D$2:$D$611,$Q168)),INDEX(Dataset2_Raw!$D$2:$D$611,$Q168),"")</f>
        <v>0.16420000000000001</v>
      </c>
      <c r="N168" s="23">
        <f>IF(ISNUMBER(INDEX(Dataset2_Raw!$E$2:$E$611,$Q168)),INDEX(Dataset2_Raw!$E$2:$E$611,$Q168),"")</f>
        <v>0</v>
      </c>
      <c r="O168" s="23">
        <f>IF(ISNUMBER(INDEX(Dataset2_Raw!$F$2:$F$611,$Q168)),INDEX(Dataset2_Raw!$F$2:$F$611,$Q168),"")</f>
        <v>5</v>
      </c>
      <c r="P168" s="23">
        <f>IF(ISNUMBER(INDEX(Dataset2_Raw!$G$2:$G$611,$Q168)),INDEX(Dataset2_Raw!$G$2:$G$611,$Q168),"")</f>
        <v>5</v>
      </c>
      <c r="Q168" s="23">
        <f>IFERROR(MATCH($A168,Dataset2_Raw!$A$2:$A$611,0),0)</f>
        <v>167</v>
      </c>
    </row>
    <row r="169" spans="1:17" x14ac:dyDescent="0.35">
      <c r="A169" s="23">
        <f>Dataset1_Raw!A169</f>
        <v>168</v>
      </c>
      <c r="B169" s="24">
        <f>Dataset1_Raw!B169</f>
        <v>40551</v>
      </c>
      <c r="C169" s="23">
        <f>Dataset1_Raw!C169</f>
        <v>1</v>
      </c>
      <c r="D169" s="23">
        <f>Dataset1_Raw!D169</f>
        <v>0</v>
      </c>
      <c r="E169" s="23">
        <f>Dataset1_Raw!E169</f>
        <v>1</v>
      </c>
      <c r="F169" s="23">
        <f>Dataset1_Raw!F169</f>
        <v>6</v>
      </c>
      <c r="G169" s="23" t="b">
        <f>Dataset1_Raw!G169</f>
        <v>0</v>
      </c>
      <c r="H169" s="23">
        <f>Dataset1_Raw!H169</f>
        <v>6</v>
      </c>
      <c r="I169" s="23">
        <f>Dataset1_Raw!I169</f>
        <v>2</v>
      </c>
      <c r="J169" s="25">
        <f>Dataset1_Raw!J169</f>
        <v>0.16</v>
      </c>
      <c r="K169" s="25">
        <f>IF(ISNUMBER(INDEX(Dataset2_Raw!$B$2:$B$611,$Q169)),INDEX(Dataset2_Raw!$B$2:$B$611,$Q169),"")</f>
        <v>0.16669999999999999</v>
      </c>
      <c r="L169" s="25">
        <f>IF(ISNUMBER(INDEX(Dataset2_Raw!$C$2:$C$611,$Q169)),INDEX(Dataset2_Raw!$C$2:$C$611,$Q169),"")</f>
        <v>0.74</v>
      </c>
      <c r="M169" s="25">
        <f>IF(ISNUMBER(INDEX(Dataset2_Raw!$D$2:$D$611,$Q169)),INDEX(Dataset2_Raw!$D$2:$D$611,$Q169),"")</f>
        <v>0.16420000000000001</v>
      </c>
      <c r="N169" s="23">
        <f>IF(ISNUMBER(INDEX(Dataset2_Raw!$E$2:$E$611,$Q169)),INDEX(Dataset2_Raw!$E$2:$E$611,$Q169),"")</f>
        <v>0</v>
      </c>
      <c r="O169" s="23">
        <f>IF(ISNUMBER(INDEX(Dataset2_Raw!$F$2:$F$611,$Q169)),INDEX(Dataset2_Raw!$F$2:$F$611,$Q169),"")</f>
        <v>2</v>
      </c>
      <c r="P169" s="23">
        <f>IF(ISNUMBER(INDEX(Dataset2_Raw!$G$2:$G$611,$Q169)),INDEX(Dataset2_Raw!$G$2:$G$611,$Q169),"")</f>
        <v>2</v>
      </c>
      <c r="Q169" s="23">
        <f>IFERROR(MATCH($A169,Dataset2_Raw!$A$2:$A$611,0),0)</f>
        <v>168</v>
      </c>
    </row>
    <row r="170" spans="1:17" x14ac:dyDescent="0.35">
      <c r="A170" s="23">
        <f>Dataset1_Raw!A170</f>
        <v>169</v>
      </c>
      <c r="B170" s="24">
        <f>Dataset1_Raw!B170</f>
        <v>40551</v>
      </c>
      <c r="C170" s="23">
        <f>Dataset1_Raw!C170</f>
        <v>1</v>
      </c>
      <c r="D170" s="23">
        <f>Dataset1_Raw!D170</f>
        <v>0</v>
      </c>
      <c r="E170" s="23">
        <f>Dataset1_Raw!E170</f>
        <v>1</v>
      </c>
      <c r="F170" s="23">
        <f>Dataset1_Raw!F170</f>
        <v>7</v>
      </c>
      <c r="G170" s="23" t="b">
        <f>Dataset1_Raw!G170</f>
        <v>0</v>
      </c>
      <c r="H170" s="23">
        <f>Dataset1_Raw!H170</f>
        <v>6</v>
      </c>
      <c r="I170" s="23">
        <f>Dataset1_Raw!I170</f>
        <v>2</v>
      </c>
      <c r="J170" s="25">
        <f>Dataset1_Raw!J170</f>
        <v>0.16</v>
      </c>
      <c r="K170" s="25">
        <f>IF(ISNUMBER(INDEX(Dataset2_Raw!$B$2:$B$611,$Q170)),INDEX(Dataset2_Raw!$B$2:$B$611,$Q170),"")</f>
        <v>0.18179999999999999</v>
      </c>
      <c r="L170" s="25">
        <f>IF(ISNUMBER(INDEX(Dataset2_Raw!$C$2:$C$611,$Q170)),INDEX(Dataset2_Raw!$C$2:$C$611,$Q170),"")</f>
        <v>0.74</v>
      </c>
      <c r="M170" s="25">
        <f>IF(ISNUMBER(INDEX(Dataset2_Raw!$D$2:$D$611,$Q170)),INDEX(Dataset2_Raw!$D$2:$D$611,$Q170),"")</f>
        <v>0.1045</v>
      </c>
      <c r="N170" s="23">
        <f>IF(ISNUMBER(INDEX(Dataset2_Raw!$E$2:$E$611,$Q170)),INDEX(Dataset2_Raw!$E$2:$E$611,$Q170),"")</f>
        <v>1</v>
      </c>
      <c r="O170" s="23">
        <f>IF(ISNUMBER(INDEX(Dataset2_Raw!$F$2:$F$611,$Q170)),INDEX(Dataset2_Raw!$F$2:$F$611,$Q170),"")</f>
        <v>8</v>
      </c>
      <c r="P170" s="23">
        <f>IF(ISNUMBER(INDEX(Dataset2_Raw!$G$2:$G$611,$Q170)),INDEX(Dataset2_Raw!$G$2:$G$611,$Q170),"")</f>
        <v>9</v>
      </c>
      <c r="Q170" s="23">
        <f>IFERROR(MATCH($A170,Dataset2_Raw!$A$2:$A$611,0),0)</f>
        <v>169</v>
      </c>
    </row>
    <row r="171" spans="1:17" x14ac:dyDescent="0.35">
      <c r="A171" s="23">
        <f>Dataset1_Raw!A171</f>
        <v>170</v>
      </c>
      <c r="B171" s="24">
        <f>Dataset1_Raw!B171</f>
        <v>40551</v>
      </c>
      <c r="C171" s="23">
        <f>Dataset1_Raw!C171</f>
        <v>1</v>
      </c>
      <c r="D171" s="23">
        <f>Dataset1_Raw!D171</f>
        <v>0</v>
      </c>
      <c r="E171" s="23">
        <f>Dataset1_Raw!E171</f>
        <v>1</v>
      </c>
      <c r="F171" s="23">
        <f>Dataset1_Raw!F171</f>
        <v>8</v>
      </c>
      <c r="G171" s="23" t="b">
        <f>Dataset1_Raw!G171</f>
        <v>0</v>
      </c>
      <c r="H171" s="23">
        <f>Dataset1_Raw!H171</f>
        <v>6</v>
      </c>
      <c r="I171" s="23">
        <f>Dataset1_Raw!I171</f>
        <v>3</v>
      </c>
      <c r="J171" s="25">
        <f>Dataset1_Raw!J171</f>
        <v>0.16</v>
      </c>
      <c r="K171" s="25">
        <f>IF(ISNUMBER(INDEX(Dataset2_Raw!$B$2:$B$611,$Q171)),INDEX(Dataset2_Raw!$B$2:$B$611,$Q171),"")</f>
        <v>0.18179999999999999</v>
      </c>
      <c r="L171" s="25">
        <f>IF(ISNUMBER(INDEX(Dataset2_Raw!$C$2:$C$611,$Q171)),INDEX(Dataset2_Raw!$C$2:$C$611,$Q171),"")</f>
        <v>0.93</v>
      </c>
      <c r="M171" s="25">
        <f>IF(ISNUMBER(INDEX(Dataset2_Raw!$D$2:$D$611,$Q171)),INDEX(Dataset2_Raw!$D$2:$D$611,$Q171),"")</f>
        <v>0.1045</v>
      </c>
      <c r="N171" s="23">
        <f>IF(ISNUMBER(INDEX(Dataset2_Raw!$E$2:$E$611,$Q171)),INDEX(Dataset2_Raw!$E$2:$E$611,$Q171),"")</f>
        <v>0</v>
      </c>
      <c r="O171" s="23">
        <f>IF(ISNUMBER(INDEX(Dataset2_Raw!$F$2:$F$611,$Q171)),INDEX(Dataset2_Raw!$F$2:$F$611,$Q171),"")</f>
        <v>15</v>
      </c>
      <c r="P171" s="23">
        <f>IF(ISNUMBER(INDEX(Dataset2_Raw!$G$2:$G$611,$Q171)),INDEX(Dataset2_Raw!$G$2:$G$611,$Q171),"")</f>
        <v>15</v>
      </c>
      <c r="Q171" s="23">
        <f>IFERROR(MATCH($A171,Dataset2_Raw!$A$2:$A$611,0),0)</f>
        <v>170</v>
      </c>
    </row>
    <row r="172" spans="1:17" x14ac:dyDescent="0.35">
      <c r="A172" s="23">
        <f>Dataset1_Raw!A172</f>
        <v>171</v>
      </c>
      <c r="B172" s="24">
        <f>Dataset1_Raw!B172</f>
        <v>40551</v>
      </c>
      <c r="C172" s="23">
        <f>Dataset1_Raw!C172</f>
        <v>1</v>
      </c>
      <c r="D172" s="23">
        <f>Dataset1_Raw!D172</f>
        <v>0</v>
      </c>
      <c r="E172" s="23">
        <f>Dataset1_Raw!E172</f>
        <v>1</v>
      </c>
      <c r="F172" s="23">
        <f>Dataset1_Raw!F172</f>
        <v>9</v>
      </c>
      <c r="G172" s="23" t="b">
        <f>Dataset1_Raw!G172</f>
        <v>0</v>
      </c>
      <c r="H172" s="23">
        <f>Dataset1_Raw!H172</f>
        <v>6</v>
      </c>
      <c r="I172" s="23">
        <f>Dataset1_Raw!I172</f>
        <v>3</v>
      </c>
      <c r="J172" s="25">
        <f>Dataset1_Raw!J172</f>
        <v>0.16</v>
      </c>
      <c r="K172" s="25">
        <f>IF(ISNUMBER(INDEX(Dataset2_Raw!$B$2:$B$611,$Q172)),INDEX(Dataset2_Raw!$B$2:$B$611,$Q172),"")</f>
        <v>0.18179999999999999</v>
      </c>
      <c r="L172" s="25">
        <f>IF(ISNUMBER(INDEX(Dataset2_Raw!$C$2:$C$611,$Q172)),INDEX(Dataset2_Raw!$C$2:$C$611,$Q172),"")</f>
        <v>0.93</v>
      </c>
      <c r="M172" s="25">
        <f>IF(ISNUMBER(INDEX(Dataset2_Raw!$D$2:$D$611,$Q172)),INDEX(Dataset2_Raw!$D$2:$D$611,$Q172),"")</f>
        <v>0.1045</v>
      </c>
      <c r="N172" s="23">
        <f>IF(ISNUMBER(INDEX(Dataset2_Raw!$E$2:$E$611,$Q172)),INDEX(Dataset2_Raw!$E$2:$E$611,$Q172),"")</f>
        <v>0</v>
      </c>
      <c r="O172" s="23">
        <f>IF(ISNUMBER(INDEX(Dataset2_Raw!$F$2:$F$611,$Q172)),INDEX(Dataset2_Raw!$F$2:$F$611,$Q172),"")</f>
        <v>20</v>
      </c>
      <c r="P172" s="23">
        <f>IF(ISNUMBER(INDEX(Dataset2_Raw!$G$2:$G$611,$Q172)),INDEX(Dataset2_Raw!$G$2:$G$611,$Q172),"")</f>
        <v>20</v>
      </c>
      <c r="Q172" s="23">
        <f>IFERROR(MATCH($A172,Dataset2_Raw!$A$2:$A$611,0),0)</f>
        <v>171</v>
      </c>
    </row>
    <row r="173" spans="1:17" x14ac:dyDescent="0.35">
      <c r="A173" s="23">
        <f>Dataset1_Raw!A173</f>
        <v>172</v>
      </c>
      <c r="B173" s="24">
        <f>Dataset1_Raw!B173</f>
        <v>40551</v>
      </c>
      <c r="C173" s="23">
        <f>Dataset1_Raw!C173</f>
        <v>1</v>
      </c>
      <c r="D173" s="23">
        <f>Dataset1_Raw!D173</f>
        <v>0</v>
      </c>
      <c r="E173" s="23">
        <f>Dataset1_Raw!E173</f>
        <v>1</v>
      </c>
      <c r="F173" s="23">
        <f>Dataset1_Raw!F173</f>
        <v>10</v>
      </c>
      <c r="G173" s="23" t="b">
        <f>Dataset1_Raw!G173</f>
        <v>0</v>
      </c>
      <c r="H173" s="23">
        <f>Dataset1_Raw!H173</f>
        <v>6</v>
      </c>
      <c r="I173" s="23">
        <f>Dataset1_Raw!I173</f>
        <v>2</v>
      </c>
      <c r="J173" s="25">
        <f>Dataset1_Raw!J173</f>
        <v>0.18</v>
      </c>
      <c r="K173" s="25">
        <f>IF(ISNUMBER(INDEX(Dataset2_Raw!$B$2:$B$611,$Q173)),INDEX(Dataset2_Raw!$B$2:$B$611,$Q173),"")</f>
        <v>0.19700000000000001</v>
      </c>
      <c r="L173" s="25">
        <f>IF(ISNUMBER(INDEX(Dataset2_Raw!$C$2:$C$611,$Q173)),INDEX(Dataset2_Raw!$C$2:$C$611,$Q173),"")</f>
        <v>0.8</v>
      </c>
      <c r="M173" s="25">
        <f>IF(ISNUMBER(INDEX(Dataset2_Raw!$D$2:$D$611,$Q173)),INDEX(Dataset2_Raw!$D$2:$D$611,$Q173),"")</f>
        <v>0.16420000000000001</v>
      </c>
      <c r="N173" s="23">
        <f>IF(ISNUMBER(INDEX(Dataset2_Raw!$E$2:$E$611,$Q173)),INDEX(Dataset2_Raw!$E$2:$E$611,$Q173),"")</f>
        <v>5</v>
      </c>
      <c r="O173" s="23">
        <f>IF(ISNUMBER(INDEX(Dataset2_Raw!$F$2:$F$611,$Q173)),INDEX(Dataset2_Raw!$F$2:$F$611,$Q173),"")</f>
        <v>56</v>
      </c>
      <c r="P173" s="23">
        <f>IF(ISNUMBER(INDEX(Dataset2_Raw!$G$2:$G$611,$Q173)),INDEX(Dataset2_Raw!$G$2:$G$611,$Q173),"")</f>
        <v>61</v>
      </c>
      <c r="Q173" s="23">
        <f>IFERROR(MATCH($A173,Dataset2_Raw!$A$2:$A$611,0),0)</f>
        <v>172</v>
      </c>
    </row>
    <row r="174" spans="1:17" x14ac:dyDescent="0.35">
      <c r="A174" s="23">
        <f>Dataset1_Raw!A174</f>
        <v>173</v>
      </c>
      <c r="B174" s="24">
        <f>Dataset1_Raw!B174</f>
        <v>40551</v>
      </c>
      <c r="C174" s="23">
        <f>Dataset1_Raw!C174</f>
        <v>1</v>
      </c>
      <c r="D174" s="23">
        <f>Dataset1_Raw!D174</f>
        <v>0</v>
      </c>
      <c r="E174" s="23">
        <f>Dataset1_Raw!E174</f>
        <v>1</v>
      </c>
      <c r="F174" s="23">
        <f>Dataset1_Raw!F174</f>
        <v>11</v>
      </c>
      <c r="G174" s="23" t="b">
        <f>Dataset1_Raw!G174</f>
        <v>0</v>
      </c>
      <c r="H174" s="23">
        <f>Dataset1_Raw!H174</f>
        <v>6</v>
      </c>
      <c r="I174" s="23">
        <f>Dataset1_Raw!I174</f>
        <v>2</v>
      </c>
      <c r="J174" s="25">
        <f>Dataset1_Raw!J174</f>
        <v>0.2</v>
      </c>
      <c r="K174" s="25">
        <f>IF(ISNUMBER(INDEX(Dataset2_Raw!$B$2:$B$611,$Q174)),INDEX(Dataset2_Raw!$B$2:$B$611,$Q174),"")</f>
        <v>0.18179999999999999</v>
      </c>
      <c r="L174" s="25">
        <f>IF(ISNUMBER(INDEX(Dataset2_Raw!$C$2:$C$611,$Q174)),INDEX(Dataset2_Raw!$C$2:$C$611,$Q174),"")</f>
        <v>0.69</v>
      </c>
      <c r="M174" s="25">
        <f>IF(ISNUMBER(INDEX(Dataset2_Raw!$D$2:$D$611,$Q174)),INDEX(Dataset2_Raw!$D$2:$D$611,$Q174),"")</f>
        <v>0.3881</v>
      </c>
      <c r="N174" s="23">
        <f>IF(ISNUMBER(INDEX(Dataset2_Raw!$E$2:$E$611,$Q174)),INDEX(Dataset2_Raw!$E$2:$E$611,$Q174),"")</f>
        <v>2</v>
      </c>
      <c r="O174" s="23">
        <f>IF(ISNUMBER(INDEX(Dataset2_Raw!$F$2:$F$611,$Q174)),INDEX(Dataset2_Raw!$F$2:$F$611,$Q174),"")</f>
        <v>60</v>
      </c>
      <c r="P174" s="23">
        <f>IF(ISNUMBER(INDEX(Dataset2_Raw!$G$2:$G$611,$Q174)),INDEX(Dataset2_Raw!$G$2:$G$611,$Q174),"")</f>
        <v>62</v>
      </c>
      <c r="Q174" s="23">
        <f>IFERROR(MATCH($A174,Dataset2_Raw!$A$2:$A$611,0),0)</f>
        <v>173</v>
      </c>
    </row>
    <row r="175" spans="1:17" x14ac:dyDescent="0.35">
      <c r="A175" s="23">
        <f>Dataset1_Raw!A175</f>
        <v>174</v>
      </c>
      <c r="B175" s="24">
        <f>Dataset1_Raw!B175</f>
        <v>40551</v>
      </c>
      <c r="C175" s="23">
        <f>Dataset1_Raw!C175</f>
        <v>1</v>
      </c>
      <c r="D175" s="23">
        <f>Dataset1_Raw!D175</f>
        <v>0</v>
      </c>
      <c r="E175" s="23">
        <f>Dataset1_Raw!E175</f>
        <v>1</v>
      </c>
      <c r="F175" s="23">
        <f>Dataset1_Raw!F175</f>
        <v>12</v>
      </c>
      <c r="G175" s="23" t="b">
        <f>Dataset1_Raw!G175</f>
        <v>0</v>
      </c>
      <c r="H175" s="23">
        <f>Dataset1_Raw!H175</f>
        <v>6</v>
      </c>
      <c r="I175" s="23">
        <f>Dataset1_Raw!I175</f>
        <v>2</v>
      </c>
      <c r="J175" s="25">
        <f>Dataset1_Raw!J175</f>
        <v>0.2</v>
      </c>
      <c r="K175" s="25">
        <f>IF(ISNUMBER(INDEX(Dataset2_Raw!$B$2:$B$611,$Q175)),INDEX(Dataset2_Raw!$B$2:$B$611,$Q175),"")</f>
        <v>0.18179999999999999</v>
      </c>
      <c r="L175" s="25">
        <f>IF(ISNUMBER(INDEX(Dataset2_Raw!$C$2:$C$611,$Q175)),INDEX(Dataset2_Raw!$C$2:$C$611,$Q175),"")</f>
        <v>0.59</v>
      </c>
      <c r="M175" s="25">
        <f>IF(ISNUMBER(INDEX(Dataset2_Raw!$D$2:$D$611,$Q175)),INDEX(Dataset2_Raw!$D$2:$D$611,$Q175),"")</f>
        <v>0.35820000000000002</v>
      </c>
      <c r="N175" s="23">
        <f>IF(ISNUMBER(INDEX(Dataset2_Raw!$E$2:$E$611,$Q175)),INDEX(Dataset2_Raw!$E$2:$E$611,$Q175),"")</f>
        <v>8</v>
      </c>
      <c r="O175" s="23">
        <f>IF(ISNUMBER(INDEX(Dataset2_Raw!$F$2:$F$611,$Q175)),INDEX(Dataset2_Raw!$F$2:$F$611,$Q175),"")</f>
        <v>90</v>
      </c>
      <c r="P175" s="23">
        <f>IF(ISNUMBER(INDEX(Dataset2_Raw!$G$2:$G$611,$Q175)),INDEX(Dataset2_Raw!$G$2:$G$611,$Q175),"")</f>
        <v>98</v>
      </c>
      <c r="Q175" s="23">
        <f>IFERROR(MATCH($A175,Dataset2_Raw!$A$2:$A$611,0),0)</f>
        <v>174</v>
      </c>
    </row>
    <row r="176" spans="1:17" x14ac:dyDescent="0.35">
      <c r="A176" s="23">
        <f>Dataset1_Raw!A176</f>
        <v>175</v>
      </c>
      <c r="B176" s="24">
        <f>Dataset1_Raw!B176</f>
        <v>40551</v>
      </c>
      <c r="C176" s="23">
        <f>Dataset1_Raw!C176</f>
        <v>1</v>
      </c>
      <c r="D176" s="23">
        <f>Dataset1_Raw!D176</f>
        <v>0</v>
      </c>
      <c r="E176" s="23">
        <f>Dataset1_Raw!E176</f>
        <v>1</v>
      </c>
      <c r="F176" s="23">
        <f>Dataset1_Raw!F176</f>
        <v>13</v>
      </c>
      <c r="G176" s="23" t="b">
        <f>Dataset1_Raw!G176</f>
        <v>0</v>
      </c>
      <c r="H176" s="23">
        <f>Dataset1_Raw!H176</f>
        <v>6</v>
      </c>
      <c r="I176" s="23">
        <f>Dataset1_Raw!I176</f>
        <v>1</v>
      </c>
      <c r="J176" s="25">
        <f>Dataset1_Raw!J176</f>
        <v>0.2</v>
      </c>
      <c r="K176" s="25">
        <f>IF(ISNUMBER(INDEX(Dataset2_Raw!$B$2:$B$611,$Q176)),INDEX(Dataset2_Raw!$B$2:$B$611,$Q176),"")</f>
        <v>0.18179999999999999</v>
      </c>
      <c r="L176" s="25">
        <f>IF(ISNUMBER(INDEX(Dataset2_Raw!$C$2:$C$611,$Q176)),INDEX(Dataset2_Raw!$C$2:$C$611,$Q176),"")</f>
        <v>0.44</v>
      </c>
      <c r="M176" s="25">
        <f>IF(ISNUMBER(INDEX(Dataset2_Raw!$D$2:$D$611,$Q176)),INDEX(Dataset2_Raw!$D$2:$D$611,$Q176),"")</f>
        <v>0.32840000000000003</v>
      </c>
      <c r="N176" s="23">
        <f>IF(ISNUMBER(INDEX(Dataset2_Raw!$E$2:$E$611,$Q176)),INDEX(Dataset2_Raw!$E$2:$E$611,$Q176),"")</f>
        <v>7</v>
      </c>
      <c r="O176" s="23">
        <f>IF(ISNUMBER(INDEX(Dataset2_Raw!$F$2:$F$611,$Q176)),INDEX(Dataset2_Raw!$F$2:$F$611,$Q176),"")</f>
        <v>95</v>
      </c>
      <c r="P176" s="23">
        <f>IF(ISNUMBER(INDEX(Dataset2_Raw!$G$2:$G$611,$Q176)),INDEX(Dataset2_Raw!$G$2:$G$611,$Q176),"")</f>
        <v>102</v>
      </c>
      <c r="Q176" s="23">
        <f>IFERROR(MATCH($A176,Dataset2_Raw!$A$2:$A$611,0),0)</f>
        <v>175</v>
      </c>
    </row>
    <row r="177" spans="1:17" x14ac:dyDescent="0.35">
      <c r="A177" s="23">
        <f>Dataset1_Raw!A177</f>
        <v>176</v>
      </c>
      <c r="B177" s="24">
        <f>Dataset1_Raw!B177</f>
        <v>40551</v>
      </c>
      <c r="C177" s="23">
        <f>Dataset1_Raw!C177</f>
        <v>1</v>
      </c>
      <c r="D177" s="23">
        <f>Dataset1_Raw!D177</f>
        <v>0</v>
      </c>
      <c r="E177" s="23">
        <f>Dataset1_Raw!E177</f>
        <v>1</v>
      </c>
      <c r="F177" s="23">
        <f>Dataset1_Raw!F177</f>
        <v>14</v>
      </c>
      <c r="G177" s="23" t="b">
        <f>Dataset1_Raw!G177</f>
        <v>0</v>
      </c>
      <c r="H177" s="23">
        <f>Dataset1_Raw!H177</f>
        <v>6</v>
      </c>
      <c r="I177" s="23">
        <f>Dataset1_Raw!I177</f>
        <v>1</v>
      </c>
      <c r="J177" s="25">
        <f>Dataset1_Raw!J177</f>
        <v>0.2</v>
      </c>
      <c r="K177" s="25">
        <f>IF(ISNUMBER(INDEX(Dataset2_Raw!$B$2:$B$611,$Q177)),INDEX(Dataset2_Raw!$B$2:$B$611,$Q177),"")</f>
        <v>0.16669999999999999</v>
      </c>
      <c r="L177" s="25">
        <f>IF(ISNUMBER(INDEX(Dataset2_Raw!$C$2:$C$611,$Q177)),INDEX(Dataset2_Raw!$C$2:$C$611,$Q177),"")</f>
        <v>0.32</v>
      </c>
      <c r="M177" s="25">
        <f>IF(ISNUMBER(INDEX(Dataset2_Raw!$D$2:$D$611,$Q177)),INDEX(Dataset2_Raw!$D$2:$D$611,$Q177),"")</f>
        <v>0.49249999999999999</v>
      </c>
      <c r="N177" s="23">
        <f>IF(ISNUMBER(INDEX(Dataset2_Raw!$E$2:$E$611,$Q177)),INDEX(Dataset2_Raw!$E$2:$E$611,$Q177),"")</f>
        <v>12</v>
      </c>
      <c r="O177" s="23">
        <f>IF(ISNUMBER(INDEX(Dataset2_Raw!$F$2:$F$611,$Q177)),INDEX(Dataset2_Raw!$F$2:$F$611,$Q177),"")</f>
        <v>83</v>
      </c>
      <c r="P177" s="23">
        <f>IF(ISNUMBER(INDEX(Dataset2_Raw!$G$2:$G$611,$Q177)),INDEX(Dataset2_Raw!$G$2:$G$611,$Q177),"")</f>
        <v>95</v>
      </c>
      <c r="Q177" s="23">
        <f>IFERROR(MATCH($A177,Dataset2_Raw!$A$2:$A$611,0),0)</f>
        <v>176</v>
      </c>
    </row>
    <row r="178" spans="1:17" x14ac:dyDescent="0.35">
      <c r="A178" s="23">
        <f>Dataset1_Raw!A178</f>
        <v>177</v>
      </c>
      <c r="B178" s="24">
        <f>Dataset1_Raw!B178</f>
        <v>40551</v>
      </c>
      <c r="C178" s="23">
        <f>Dataset1_Raw!C178</f>
        <v>1</v>
      </c>
      <c r="D178" s="23">
        <f>Dataset1_Raw!D178</f>
        <v>0</v>
      </c>
      <c r="E178" s="23">
        <f>Dataset1_Raw!E178</f>
        <v>1</v>
      </c>
      <c r="F178" s="23">
        <f>Dataset1_Raw!F178</f>
        <v>15</v>
      </c>
      <c r="G178" s="23" t="b">
        <f>Dataset1_Raw!G178</f>
        <v>0</v>
      </c>
      <c r="H178" s="23">
        <f>Dataset1_Raw!H178</f>
        <v>6</v>
      </c>
      <c r="I178" s="23">
        <f>Dataset1_Raw!I178</f>
        <v>1</v>
      </c>
      <c r="J178" s="25">
        <f>Dataset1_Raw!J178</f>
        <v>0.2</v>
      </c>
      <c r="K178" s="25">
        <f>IF(ISNUMBER(INDEX(Dataset2_Raw!$B$2:$B$611,$Q178)),INDEX(Dataset2_Raw!$B$2:$B$611,$Q178),"")</f>
        <v>0.16669999999999999</v>
      </c>
      <c r="L178" s="25">
        <f>IF(ISNUMBER(INDEX(Dataset2_Raw!$C$2:$C$611,$Q178)),INDEX(Dataset2_Raw!$C$2:$C$611,$Q178),"")</f>
        <v>0.32</v>
      </c>
      <c r="M178" s="25">
        <f>IF(ISNUMBER(INDEX(Dataset2_Raw!$D$2:$D$611,$Q178)),INDEX(Dataset2_Raw!$D$2:$D$611,$Q178),"")</f>
        <v>0.44779999999999998</v>
      </c>
      <c r="N178" s="23">
        <f>IF(ISNUMBER(INDEX(Dataset2_Raw!$E$2:$E$611,$Q178)),INDEX(Dataset2_Raw!$E$2:$E$611,$Q178),"")</f>
        <v>5</v>
      </c>
      <c r="O178" s="23">
        <f>IF(ISNUMBER(INDEX(Dataset2_Raw!$F$2:$F$611,$Q178)),INDEX(Dataset2_Raw!$F$2:$F$611,$Q178),"")</f>
        <v>69</v>
      </c>
      <c r="P178" s="23">
        <f>IF(ISNUMBER(INDEX(Dataset2_Raw!$G$2:$G$611,$Q178)),INDEX(Dataset2_Raw!$G$2:$G$611,$Q178),"")</f>
        <v>74</v>
      </c>
      <c r="Q178" s="23">
        <f>IFERROR(MATCH($A178,Dataset2_Raw!$A$2:$A$611,0),0)</f>
        <v>177</v>
      </c>
    </row>
    <row r="179" spans="1:17" x14ac:dyDescent="0.35">
      <c r="A179" s="23">
        <f>Dataset1_Raw!A179</f>
        <v>178</v>
      </c>
      <c r="B179" s="24">
        <f>Dataset1_Raw!B179</f>
        <v>40551</v>
      </c>
      <c r="C179" s="23">
        <f>Dataset1_Raw!C179</f>
        <v>1</v>
      </c>
      <c r="D179" s="23">
        <f>Dataset1_Raw!D179</f>
        <v>0</v>
      </c>
      <c r="E179" s="23">
        <f>Dataset1_Raw!E179</f>
        <v>1</v>
      </c>
      <c r="F179" s="23">
        <f>Dataset1_Raw!F179</f>
        <v>16</v>
      </c>
      <c r="G179" s="23" t="b">
        <f>Dataset1_Raw!G179</f>
        <v>0</v>
      </c>
      <c r="H179" s="23">
        <f>Dataset1_Raw!H179</f>
        <v>6</v>
      </c>
      <c r="I179" s="23">
        <f>Dataset1_Raw!I179</f>
        <v>1</v>
      </c>
      <c r="J179" s="25">
        <f>Dataset1_Raw!J179</f>
        <v>0.18</v>
      </c>
      <c r="K179" s="25">
        <f>IF(ISNUMBER(INDEX(Dataset2_Raw!$B$2:$B$611,$Q179)),INDEX(Dataset2_Raw!$B$2:$B$611,$Q179),"")</f>
        <v>0.13639999999999999</v>
      </c>
      <c r="L179" s="25">
        <f>IF(ISNUMBER(INDEX(Dataset2_Raw!$C$2:$C$611,$Q179)),INDEX(Dataset2_Raw!$C$2:$C$611,$Q179),"")</f>
        <v>0.28999999999999998</v>
      </c>
      <c r="M179" s="25">
        <f>IF(ISNUMBER(INDEX(Dataset2_Raw!$D$2:$D$611,$Q179)),INDEX(Dataset2_Raw!$D$2:$D$611,$Q179),"")</f>
        <v>0.44779999999999998</v>
      </c>
      <c r="N179" s="23">
        <f>IF(ISNUMBER(INDEX(Dataset2_Raw!$E$2:$E$611,$Q179)),INDEX(Dataset2_Raw!$E$2:$E$611,$Q179),"")</f>
        <v>8</v>
      </c>
      <c r="O179" s="23">
        <f>IF(ISNUMBER(INDEX(Dataset2_Raw!$F$2:$F$611,$Q179)),INDEX(Dataset2_Raw!$F$2:$F$611,$Q179),"")</f>
        <v>68</v>
      </c>
      <c r="P179" s="23">
        <f>IF(ISNUMBER(INDEX(Dataset2_Raw!$G$2:$G$611,$Q179)),INDEX(Dataset2_Raw!$G$2:$G$611,$Q179),"")</f>
        <v>76</v>
      </c>
      <c r="Q179" s="23">
        <f>IFERROR(MATCH($A179,Dataset2_Raw!$A$2:$A$611,0),0)</f>
        <v>178</v>
      </c>
    </row>
    <row r="180" spans="1:17" x14ac:dyDescent="0.35">
      <c r="A180" s="23">
        <f>Dataset1_Raw!A180</f>
        <v>179</v>
      </c>
      <c r="B180" s="24">
        <f>Dataset1_Raw!B180</f>
        <v>40551</v>
      </c>
      <c r="C180" s="23">
        <f>Dataset1_Raw!C180</f>
        <v>1</v>
      </c>
      <c r="D180" s="23">
        <f>Dataset1_Raw!D180</f>
        <v>0</v>
      </c>
      <c r="E180" s="23">
        <f>Dataset1_Raw!E180</f>
        <v>1</v>
      </c>
      <c r="F180" s="23">
        <f>Dataset1_Raw!F180</f>
        <v>17</v>
      </c>
      <c r="G180" s="23" t="b">
        <f>Dataset1_Raw!G180</f>
        <v>0</v>
      </c>
      <c r="H180" s="23">
        <f>Dataset1_Raw!H180</f>
        <v>6</v>
      </c>
      <c r="I180" s="23">
        <f>Dataset1_Raw!I180</f>
        <v>1</v>
      </c>
      <c r="J180" s="25">
        <f>Dataset1_Raw!J180</f>
        <v>0.16</v>
      </c>
      <c r="K180" s="25">
        <f>IF(ISNUMBER(INDEX(Dataset2_Raw!$B$2:$B$611,$Q180)),INDEX(Dataset2_Raw!$B$2:$B$611,$Q180),"")</f>
        <v>0.1212</v>
      </c>
      <c r="L180" s="25">
        <f>IF(ISNUMBER(INDEX(Dataset2_Raw!$C$2:$C$611,$Q180)),INDEX(Dataset2_Raw!$C$2:$C$611,$Q180),"")</f>
        <v>0.37</v>
      </c>
      <c r="M180" s="25">
        <f>IF(ISNUMBER(INDEX(Dataset2_Raw!$D$2:$D$611,$Q180)),INDEX(Dataset2_Raw!$D$2:$D$611,$Q180),"")</f>
        <v>0.55220000000000002</v>
      </c>
      <c r="N180" s="23">
        <f>IF(ISNUMBER(INDEX(Dataset2_Raw!$E$2:$E$611,$Q180)),INDEX(Dataset2_Raw!$E$2:$E$611,$Q180),"")</f>
        <v>5</v>
      </c>
      <c r="O180" s="23">
        <f>IF(ISNUMBER(INDEX(Dataset2_Raw!$F$2:$F$611,$Q180)),INDEX(Dataset2_Raw!$F$2:$F$611,$Q180),"")</f>
        <v>64</v>
      </c>
      <c r="P180" s="23">
        <f>IF(ISNUMBER(INDEX(Dataset2_Raw!$G$2:$G$611,$Q180)),INDEX(Dataset2_Raw!$G$2:$G$611,$Q180),"")</f>
        <v>69</v>
      </c>
      <c r="Q180" s="23">
        <f>IFERROR(MATCH($A180,Dataset2_Raw!$A$2:$A$611,0),0)</f>
        <v>179</v>
      </c>
    </row>
    <row r="181" spans="1:17" x14ac:dyDescent="0.35">
      <c r="A181" s="23">
        <f>Dataset1_Raw!A181</f>
        <v>180</v>
      </c>
      <c r="B181" s="24">
        <f>Dataset1_Raw!B181</f>
        <v>40551</v>
      </c>
      <c r="C181" s="23">
        <f>Dataset1_Raw!C181</f>
        <v>1</v>
      </c>
      <c r="D181" s="23">
        <f>Dataset1_Raw!D181</f>
        <v>0</v>
      </c>
      <c r="E181" s="23">
        <f>Dataset1_Raw!E181</f>
        <v>1</v>
      </c>
      <c r="F181" s="23">
        <f>Dataset1_Raw!F181</f>
        <v>18</v>
      </c>
      <c r="G181" s="23" t="b">
        <f>Dataset1_Raw!G181</f>
        <v>0</v>
      </c>
      <c r="H181" s="23">
        <f>Dataset1_Raw!H181</f>
        <v>6</v>
      </c>
      <c r="I181" s="23">
        <f>Dataset1_Raw!I181</f>
        <v>1</v>
      </c>
      <c r="J181" s="25">
        <f>Dataset1_Raw!J181</f>
        <v>0.14000000000000001</v>
      </c>
      <c r="K181" s="25">
        <f>IF(ISNUMBER(INDEX(Dataset2_Raw!$B$2:$B$611,$Q181)),INDEX(Dataset2_Raw!$B$2:$B$611,$Q181),"")</f>
        <v>0.1212</v>
      </c>
      <c r="L181" s="25">
        <f>IF(ISNUMBER(INDEX(Dataset2_Raw!$C$2:$C$611,$Q181)),INDEX(Dataset2_Raw!$C$2:$C$611,$Q181),"")</f>
        <v>0.39</v>
      </c>
      <c r="M181" s="25">
        <f>IF(ISNUMBER(INDEX(Dataset2_Raw!$D$2:$D$611,$Q181)),INDEX(Dataset2_Raw!$D$2:$D$611,$Q181),"")</f>
        <v>0.29849999999999999</v>
      </c>
      <c r="N181" s="23">
        <f>IF(ISNUMBER(INDEX(Dataset2_Raw!$E$2:$E$611,$Q181)),INDEX(Dataset2_Raw!$E$2:$E$611,$Q181),"")</f>
        <v>3</v>
      </c>
      <c r="O181" s="23">
        <f>IF(ISNUMBER(INDEX(Dataset2_Raw!$F$2:$F$611,$Q181)),INDEX(Dataset2_Raw!$F$2:$F$611,$Q181),"")</f>
        <v>52</v>
      </c>
      <c r="P181" s="23">
        <f>IF(ISNUMBER(INDEX(Dataset2_Raw!$G$2:$G$611,$Q181)),INDEX(Dataset2_Raw!$G$2:$G$611,$Q181),"")</f>
        <v>55</v>
      </c>
      <c r="Q181" s="23">
        <f>IFERROR(MATCH($A181,Dataset2_Raw!$A$2:$A$611,0),0)</f>
        <v>180</v>
      </c>
    </row>
    <row r="182" spans="1:17" x14ac:dyDescent="0.35">
      <c r="A182" s="23">
        <f>Dataset1_Raw!A182</f>
        <v>181</v>
      </c>
      <c r="B182" s="24">
        <f>Dataset1_Raw!B182</f>
        <v>40551</v>
      </c>
      <c r="C182" s="23">
        <f>Dataset1_Raw!C182</f>
        <v>1</v>
      </c>
      <c r="D182" s="23">
        <f>Dataset1_Raw!D182</f>
        <v>0</v>
      </c>
      <c r="E182" s="23">
        <f>Dataset1_Raw!E182</f>
        <v>1</v>
      </c>
      <c r="F182" s="23">
        <f>Dataset1_Raw!F182</f>
        <v>19</v>
      </c>
      <c r="G182" s="23" t="b">
        <f>Dataset1_Raw!G182</f>
        <v>0</v>
      </c>
      <c r="H182" s="23">
        <f>Dataset1_Raw!H182</f>
        <v>6</v>
      </c>
      <c r="I182" s="23">
        <f>Dataset1_Raw!I182</f>
        <v>1</v>
      </c>
      <c r="J182" s="25">
        <f>Dataset1_Raw!J182</f>
        <v>0.14000000000000001</v>
      </c>
      <c r="K182" s="25">
        <f>IF(ISNUMBER(INDEX(Dataset2_Raw!$B$2:$B$611,$Q182)),INDEX(Dataset2_Raw!$B$2:$B$611,$Q182),"")</f>
        <v>0.1212</v>
      </c>
      <c r="L182" s="25">
        <f>IF(ISNUMBER(INDEX(Dataset2_Raw!$C$2:$C$611,$Q182)),INDEX(Dataset2_Raw!$C$2:$C$611,$Q182),"")</f>
        <v>0.36</v>
      </c>
      <c r="M182" s="25">
        <f>IF(ISNUMBER(INDEX(Dataset2_Raw!$D$2:$D$611,$Q182)),INDEX(Dataset2_Raw!$D$2:$D$611,$Q182),"")</f>
        <v>0.25369999999999998</v>
      </c>
      <c r="N182" s="23">
        <f>IF(ISNUMBER(INDEX(Dataset2_Raw!$E$2:$E$611,$Q182)),INDEX(Dataset2_Raw!$E$2:$E$611,$Q182),"")</f>
        <v>4</v>
      </c>
      <c r="O182" s="23">
        <f>IF(ISNUMBER(INDEX(Dataset2_Raw!$F$2:$F$611,$Q182)),INDEX(Dataset2_Raw!$F$2:$F$611,$Q182),"")</f>
        <v>26</v>
      </c>
      <c r="P182" s="23">
        <f>IF(ISNUMBER(INDEX(Dataset2_Raw!$G$2:$G$611,$Q182)),INDEX(Dataset2_Raw!$G$2:$G$611,$Q182),"")</f>
        <v>30</v>
      </c>
      <c r="Q182" s="23">
        <f>IFERROR(MATCH($A182,Dataset2_Raw!$A$2:$A$611,0),0)</f>
        <v>181</v>
      </c>
    </row>
    <row r="183" spans="1:17" x14ac:dyDescent="0.35">
      <c r="A183" s="23">
        <f>Dataset1_Raw!A183</f>
        <v>182</v>
      </c>
      <c r="B183" s="24">
        <f>Dataset1_Raw!B183</f>
        <v>40551</v>
      </c>
      <c r="C183" s="23">
        <f>Dataset1_Raw!C183</f>
        <v>1</v>
      </c>
      <c r="D183" s="23">
        <f>Dataset1_Raw!D183</f>
        <v>0</v>
      </c>
      <c r="E183" s="23">
        <f>Dataset1_Raw!E183</f>
        <v>1</v>
      </c>
      <c r="F183" s="23">
        <f>Dataset1_Raw!F183</f>
        <v>20</v>
      </c>
      <c r="G183" s="23" t="b">
        <f>Dataset1_Raw!G183</f>
        <v>0</v>
      </c>
      <c r="H183" s="23">
        <f>Dataset1_Raw!H183</f>
        <v>6</v>
      </c>
      <c r="I183" s="23">
        <f>Dataset1_Raw!I183</f>
        <v>1</v>
      </c>
      <c r="J183" s="25">
        <f>Dataset1_Raw!J183</f>
        <v>0.12</v>
      </c>
      <c r="K183" s="25">
        <f>IF(ISNUMBER(INDEX(Dataset2_Raw!$B$2:$B$611,$Q183)),INDEX(Dataset2_Raw!$B$2:$B$611,$Q183),"")</f>
        <v>0.1212</v>
      </c>
      <c r="L183" s="25">
        <f>IF(ISNUMBER(INDEX(Dataset2_Raw!$C$2:$C$611,$Q183)),INDEX(Dataset2_Raw!$C$2:$C$611,$Q183),"")</f>
        <v>0.36</v>
      </c>
      <c r="M183" s="25">
        <f>IF(ISNUMBER(INDEX(Dataset2_Raw!$D$2:$D$611,$Q183)),INDEX(Dataset2_Raw!$D$2:$D$611,$Q183),"")</f>
        <v>0.25369999999999998</v>
      </c>
      <c r="N183" s="23">
        <f>IF(ISNUMBER(INDEX(Dataset2_Raw!$E$2:$E$611,$Q183)),INDEX(Dataset2_Raw!$E$2:$E$611,$Q183),"")</f>
        <v>0</v>
      </c>
      <c r="O183" s="23">
        <f>IF(ISNUMBER(INDEX(Dataset2_Raw!$F$2:$F$611,$Q183)),INDEX(Dataset2_Raw!$F$2:$F$611,$Q183),"")</f>
        <v>28</v>
      </c>
      <c r="P183" s="23">
        <f>IF(ISNUMBER(INDEX(Dataset2_Raw!$G$2:$G$611,$Q183)),INDEX(Dataset2_Raw!$G$2:$G$611,$Q183),"")</f>
        <v>28</v>
      </c>
      <c r="Q183" s="23">
        <f>IFERROR(MATCH($A183,Dataset2_Raw!$A$2:$A$611,0),0)</f>
        <v>182</v>
      </c>
    </row>
    <row r="184" spans="1:17" x14ac:dyDescent="0.35">
      <c r="A184" s="23">
        <f>Dataset1_Raw!A184</f>
        <v>183</v>
      </c>
      <c r="B184" s="24">
        <f>Dataset1_Raw!B184</f>
        <v>40551</v>
      </c>
      <c r="C184" s="23">
        <f>Dataset1_Raw!C184</f>
        <v>1</v>
      </c>
      <c r="D184" s="23">
        <f>Dataset1_Raw!D184</f>
        <v>0</v>
      </c>
      <c r="E184" s="23">
        <f>Dataset1_Raw!E184</f>
        <v>1</v>
      </c>
      <c r="F184" s="23">
        <f>Dataset1_Raw!F184</f>
        <v>21</v>
      </c>
      <c r="G184" s="23" t="b">
        <f>Dataset1_Raw!G184</f>
        <v>0</v>
      </c>
      <c r="H184" s="23">
        <f>Dataset1_Raw!H184</f>
        <v>6</v>
      </c>
      <c r="I184" s="23">
        <f>Dataset1_Raw!I184</f>
        <v>1</v>
      </c>
      <c r="J184" s="25">
        <f>Dataset1_Raw!J184</f>
        <v>0.12</v>
      </c>
      <c r="K184" s="25">
        <f>IF(ISNUMBER(INDEX(Dataset2_Raw!$B$2:$B$611,$Q184)),INDEX(Dataset2_Raw!$B$2:$B$611,$Q184),"")</f>
        <v>0.1061</v>
      </c>
      <c r="L184" s="25">
        <f>IF(ISNUMBER(INDEX(Dataset2_Raw!$C$2:$C$611,$Q184)),INDEX(Dataset2_Raw!$C$2:$C$611,$Q184),"")</f>
        <v>0.39</v>
      </c>
      <c r="M184" s="25">
        <f>IF(ISNUMBER(INDEX(Dataset2_Raw!$D$2:$D$611,$Q184)),INDEX(Dataset2_Raw!$D$2:$D$611,$Q184),"")</f>
        <v>0.35820000000000002</v>
      </c>
      <c r="N184" s="23">
        <f>IF(ISNUMBER(INDEX(Dataset2_Raw!$E$2:$E$611,$Q184)),INDEX(Dataset2_Raw!$E$2:$E$611,$Q184),"")</f>
        <v>2</v>
      </c>
      <c r="O184" s="23">
        <f>IF(ISNUMBER(INDEX(Dataset2_Raw!$F$2:$F$611,$Q184)),INDEX(Dataset2_Raw!$F$2:$F$611,$Q184),"")</f>
        <v>35</v>
      </c>
      <c r="P184" s="23">
        <f>IF(ISNUMBER(INDEX(Dataset2_Raw!$G$2:$G$611,$Q184)),INDEX(Dataset2_Raw!$G$2:$G$611,$Q184),"")</f>
        <v>37</v>
      </c>
      <c r="Q184" s="23">
        <f>IFERROR(MATCH($A184,Dataset2_Raw!$A$2:$A$611,0),0)</f>
        <v>183</v>
      </c>
    </row>
    <row r="185" spans="1:17" x14ac:dyDescent="0.35">
      <c r="A185" s="23">
        <f>Dataset1_Raw!A185</f>
        <v>184</v>
      </c>
      <c r="B185" s="24">
        <f>Dataset1_Raw!B185</f>
        <v>40551</v>
      </c>
      <c r="C185" s="23">
        <f>Dataset1_Raw!C185</f>
        <v>1</v>
      </c>
      <c r="D185" s="23">
        <f>Dataset1_Raw!D185</f>
        <v>0</v>
      </c>
      <c r="E185" s="23">
        <f>Dataset1_Raw!E185</f>
        <v>1</v>
      </c>
      <c r="F185" s="23">
        <f>Dataset1_Raw!F185</f>
        <v>22</v>
      </c>
      <c r="G185" s="23" t="b">
        <f>Dataset1_Raw!G185</f>
        <v>0</v>
      </c>
      <c r="H185" s="23">
        <f>Dataset1_Raw!H185</f>
        <v>6</v>
      </c>
      <c r="I185" s="23">
        <f>Dataset1_Raw!I185</f>
        <v>1</v>
      </c>
      <c r="J185" s="25">
        <f>Dataset1_Raw!J185</f>
        <v>0.12</v>
      </c>
      <c r="K185" s="25">
        <f>IF(ISNUMBER(INDEX(Dataset2_Raw!$B$2:$B$611,$Q185)),INDEX(Dataset2_Raw!$B$2:$B$611,$Q185),"")</f>
        <v>0.1061</v>
      </c>
      <c r="L185" s="25">
        <f>IF(ISNUMBER(INDEX(Dataset2_Raw!$C$2:$C$611,$Q185)),INDEX(Dataset2_Raw!$C$2:$C$611,$Q185),"")</f>
        <v>0.36</v>
      </c>
      <c r="M185" s="25">
        <f>IF(ISNUMBER(INDEX(Dataset2_Raw!$D$2:$D$611,$Q185)),INDEX(Dataset2_Raw!$D$2:$D$611,$Q185),"")</f>
        <v>0.3881</v>
      </c>
      <c r="N185" s="23">
        <f>IF(ISNUMBER(INDEX(Dataset2_Raw!$E$2:$E$611,$Q185)),INDEX(Dataset2_Raw!$E$2:$E$611,$Q185),"")</f>
        <v>1</v>
      </c>
      <c r="O185" s="23">
        <f>IF(ISNUMBER(INDEX(Dataset2_Raw!$F$2:$F$611,$Q185)),INDEX(Dataset2_Raw!$F$2:$F$611,$Q185),"")</f>
        <v>33</v>
      </c>
      <c r="P185" s="23">
        <f>IF(ISNUMBER(INDEX(Dataset2_Raw!$G$2:$G$611,$Q185)),INDEX(Dataset2_Raw!$G$2:$G$611,$Q185),"")</f>
        <v>34</v>
      </c>
      <c r="Q185" s="23">
        <f>IFERROR(MATCH($A185,Dataset2_Raw!$A$2:$A$611,0),0)</f>
        <v>184</v>
      </c>
    </row>
    <row r="186" spans="1:17" x14ac:dyDescent="0.35">
      <c r="A186" s="23">
        <f>Dataset1_Raw!A186</f>
        <v>185</v>
      </c>
      <c r="B186" s="24">
        <f>Dataset1_Raw!B186</f>
        <v>40551</v>
      </c>
      <c r="C186" s="23">
        <f>Dataset1_Raw!C186</f>
        <v>1</v>
      </c>
      <c r="D186" s="23">
        <f>Dataset1_Raw!D186</f>
        <v>0</v>
      </c>
      <c r="E186" s="23">
        <f>Dataset1_Raw!E186</f>
        <v>1</v>
      </c>
      <c r="F186" s="23">
        <f>Dataset1_Raw!F186</f>
        <v>23</v>
      </c>
      <c r="G186" s="23" t="b">
        <f>Dataset1_Raw!G186</f>
        <v>0</v>
      </c>
      <c r="H186" s="23">
        <f>Dataset1_Raw!H186</f>
        <v>6</v>
      </c>
      <c r="I186" s="23">
        <f>Dataset1_Raw!I186</f>
        <v>1</v>
      </c>
      <c r="J186" s="25">
        <f>Dataset1_Raw!J186</f>
        <v>0.1</v>
      </c>
      <c r="K186" s="25">
        <f>IF(ISNUMBER(INDEX(Dataset2_Raw!$B$2:$B$611,$Q186)),INDEX(Dataset2_Raw!$B$2:$B$611,$Q186),"")</f>
        <v>6.0600000000000001E-2</v>
      </c>
      <c r="L186" s="25">
        <f>IF(ISNUMBER(INDEX(Dataset2_Raw!$C$2:$C$611,$Q186)),INDEX(Dataset2_Raw!$C$2:$C$611,$Q186),"")</f>
        <v>0.39</v>
      </c>
      <c r="M186" s="25">
        <f>IF(ISNUMBER(INDEX(Dataset2_Raw!$D$2:$D$611,$Q186)),INDEX(Dataset2_Raw!$D$2:$D$611,$Q186),"")</f>
        <v>0.44779999999999998</v>
      </c>
      <c r="N186" s="23">
        <f>IF(ISNUMBER(INDEX(Dataset2_Raw!$E$2:$E$611,$Q186)),INDEX(Dataset2_Raw!$E$2:$E$611,$Q186),"")</f>
        <v>0</v>
      </c>
      <c r="O186" s="23">
        <f>IF(ISNUMBER(INDEX(Dataset2_Raw!$F$2:$F$611,$Q186)),INDEX(Dataset2_Raw!$F$2:$F$611,$Q186),"")</f>
        <v>22</v>
      </c>
      <c r="P186" s="23">
        <f>IF(ISNUMBER(INDEX(Dataset2_Raw!$G$2:$G$611,$Q186)),INDEX(Dataset2_Raw!$G$2:$G$611,$Q186),"")</f>
        <v>22</v>
      </c>
      <c r="Q186" s="23">
        <f>IFERROR(MATCH($A186,Dataset2_Raw!$A$2:$A$611,0),0)</f>
        <v>185</v>
      </c>
    </row>
    <row r="187" spans="1:17" x14ac:dyDescent="0.35">
      <c r="A187" s="23">
        <f>Dataset1_Raw!A187</f>
        <v>186</v>
      </c>
      <c r="B187" s="24">
        <f>Dataset1_Raw!B187</f>
        <v>40552</v>
      </c>
      <c r="C187" s="23">
        <f>Dataset1_Raw!C187</f>
        <v>1</v>
      </c>
      <c r="D187" s="23">
        <f>Dataset1_Raw!D187</f>
        <v>0</v>
      </c>
      <c r="E187" s="23">
        <f>Dataset1_Raw!E187</f>
        <v>1</v>
      </c>
      <c r="F187" s="23">
        <f>Dataset1_Raw!F187</f>
        <v>0</v>
      </c>
      <c r="G187" s="23" t="b">
        <f>Dataset1_Raw!G187</f>
        <v>0</v>
      </c>
      <c r="H187" s="23">
        <f>Dataset1_Raw!H187</f>
        <v>0</v>
      </c>
      <c r="I187" s="23">
        <f>Dataset1_Raw!I187</f>
        <v>1</v>
      </c>
      <c r="J187" s="25">
        <f>Dataset1_Raw!J187</f>
        <v>0.1</v>
      </c>
      <c r="K187" s="25">
        <f>IF(ISNUMBER(INDEX(Dataset2_Raw!$B$2:$B$611,$Q187)),INDEX(Dataset2_Raw!$B$2:$B$611,$Q187),"")</f>
        <v>7.5800000000000006E-2</v>
      </c>
      <c r="L187" s="25">
        <f>IF(ISNUMBER(INDEX(Dataset2_Raw!$C$2:$C$611,$Q187)),INDEX(Dataset2_Raw!$C$2:$C$611,$Q187),"")</f>
        <v>0.42</v>
      </c>
      <c r="M187" s="25">
        <f>IF(ISNUMBER(INDEX(Dataset2_Raw!$D$2:$D$611,$Q187)),INDEX(Dataset2_Raw!$D$2:$D$611,$Q187),"")</f>
        <v>0.3881</v>
      </c>
      <c r="N187" s="23">
        <f>IF(ISNUMBER(INDEX(Dataset2_Raw!$E$2:$E$611,$Q187)),INDEX(Dataset2_Raw!$E$2:$E$611,$Q187),"")</f>
        <v>1</v>
      </c>
      <c r="O187" s="23">
        <f>IF(ISNUMBER(INDEX(Dataset2_Raw!$F$2:$F$611,$Q187)),INDEX(Dataset2_Raw!$F$2:$F$611,$Q187),"")</f>
        <v>24</v>
      </c>
      <c r="P187" s="23">
        <f>IF(ISNUMBER(INDEX(Dataset2_Raw!$G$2:$G$611,$Q187)),INDEX(Dataset2_Raw!$G$2:$G$611,$Q187),"")</f>
        <v>25</v>
      </c>
      <c r="Q187" s="23">
        <f>IFERROR(MATCH($A187,Dataset2_Raw!$A$2:$A$611,0),0)</f>
        <v>186</v>
      </c>
    </row>
    <row r="188" spans="1:17" x14ac:dyDescent="0.35">
      <c r="A188" s="23">
        <f>Dataset1_Raw!A188</f>
        <v>187</v>
      </c>
      <c r="B188" s="24">
        <f>Dataset1_Raw!B188</f>
        <v>40552</v>
      </c>
      <c r="C188" s="23">
        <f>Dataset1_Raw!C188</f>
        <v>1</v>
      </c>
      <c r="D188" s="23">
        <f>Dataset1_Raw!D188</f>
        <v>0</v>
      </c>
      <c r="E188" s="23">
        <f>Dataset1_Raw!E188</f>
        <v>1</v>
      </c>
      <c r="F188" s="23">
        <f>Dataset1_Raw!F188</f>
        <v>1</v>
      </c>
      <c r="G188" s="23" t="b">
        <f>Dataset1_Raw!G188</f>
        <v>0</v>
      </c>
      <c r="H188" s="23">
        <f>Dataset1_Raw!H188</f>
        <v>0</v>
      </c>
      <c r="I188" s="23">
        <f>Dataset1_Raw!I188</f>
        <v>1</v>
      </c>
      <c r="J188" s="25">
        <f>Dataset1_Raw!J188</f>
        <v>0.1</v>
      </c>
      <c r="K188" s="25">
        <f>IF(ISNUMBER(INDEX(Dataset2_Raw!$B$2:$B$611,$Q188)),INDEX(Dataset2_Raw!$B$2:$B$611,$Q188),"")</f>
        <v>6.0600000000000001E-2</v>
      </c>
      <c r="L188" s="25">
        <f>IF(ISNUMBER(INDEX(Dataset2_Raw!$C$2:$C$611,$Q188)),INDEX(Dataset2_Raw!$C$2:$C$611,$Q188),"")</f>
        <v>0.42</v>
      </c>
      <c r="M188" s="25">
        <f>IF(ISNUMBER(INDEX(Dataset2_Raw!$D$2:$D$611,$Q188)),INDEX(Dataset2_Raw!$D$2:$D$611,$Q188),"")</f>
        <v>0.4627</v>
      </c>
      <c r="N188" s="23">
        <f>IF(ISNUMBER(INDEX(Dataset2_Raw!$E$2:$E$611,$Q188)),INDEX(Dataset2_Raw!$E$2:$E$611,$Q188),"")</f>
        <v>0</v>
      </c>
      <c r="O188" s="23">
        <f>IF(ISNUMBER(INDEX(Dataset2_Raw!$F$2:$F$611,$Q188)),INDEX(Dataset2_Raw!$F$2:$F$611,$Q188),"")</f>
        <v>12</v>
      </c>
      <c r="P188" s="23">
        <f>IF(ISNUMBER(INDEX(Dataset2_Raw!$G$2:$G$611,$Q188)),INDEX(Dataset2_Raw!$G$2:$G$611,$Q188),"")</f>
        <v>12</v>
      </c>
      <c r="Q188" s="23">
        <f>IFERROR(MATCH($A188,Dataset2_Raw!$A$2:$A$611,0),0)</f>
        <v>187</v>
      </c>
    </row>
    <row r="189" spans="1:17" x14ac:dyDescent="0.35">
      <c r="A189" s="23">
        <f>Dataset1_Raw!A189</f>
        <v>188</v>
      </c>
      <c r="B189" s="24">
        <f>Dataset1_Raw!B189</f>
        <v>40552</v>
      </c>
      <c r="C189" s="23">
        <f>Dataset1_Raw!C189</f>
        <v>1</v>
      </c>
      <c r="D189" s="23">
        <f>Dataset1_Raw!D189</f>
        <v>0</v>
      </c>
      <c r="E189" s="23">
        <f>Dataset1_Raw!E189</f>
        <v>1</v>
      </c>
      <c r="F189" s="23">
        <f>Dataset1_Raw!F189</f>
        <v>2</v>
      </c>
      <c r="G189" s="23" t="b">
        <f>Dataset1_Raw!G189</f>
        <v>0</v>
      </c>
      <c r="H189" s="23">
        <f>Dataset1_Raw!H189</f>
        <v>0</v>
      </c>
      <c r="I189" s="23">
        <f>Dataset1_Raw!I189</f>
        <v>1</v>
      </c>
      <c r="J189" s="25">
        <f>Dataset1_Raw!J189</f>
        <v>0.1</v>
      </c>
      <c r="K189" s="25">
        <f>IF(ISNUMBER(INDEX(Dataset2_Raw!$B$2:$B$611,$Q189)),INDEX(Dataset2_Raw!$B$2:$B$611,$Q189),"")</f>
        <v>6.0600000000000001E-2</v>
      </c>
      <c r="L189" s="25">
        <f>IF(ISNUMBER(INDEX(Dataset2_Raw!$C$2:$C$611,$Q189)),INDEX(Dataset2_Raw!$C$2:$C$611,$Q189),"")</f>
        <v>0.46</v>
      </c>
      <c r="M189" s="25">
        <f>IF(ISNUMBER(INDEX(Dataset2_Raw!$D$2:$D$611,$Q189)),INDEX(Dataset2_Raw!$D$2:$D$611,$Q189),"")</f>
        <v>0.4627</v>
      </c>
      <c r="N189" s="23">
        <f>IF(ISNUMBER(INDEX(Dataset2_Raw!$E$2:$E$611,$Q189)),INDEX(Dataset2_Raw!$E$2:$E$611,$Q189),"")</f>
        <v>0</v>
      </c>
      <c r="O189" s="23">
        <f>IF(ISNUMBER(INDEX(Dataset2_Raw!$F$2:$F$611,$Q189)),INDEX(Dataset2_Raw!$F$2:$F$611,$Q189),"")</f>
        <v>11</v>
      </c>
      <c r="P189" s="23">
        <f>IF(ISNUMBER(INDEX(Dataset2_Raw!$G$2:$G$611,$Q189)),INDEX(Dataset2_Raw!$G$2:$G$611,$Q189),"")</f>
        <v>11</v>
      </c>
      <c r="Q189" s="23">
        <f>IFERROR(MATCH($A189,Dataset2_Raw!$A$2:$A$611,0),0)</f>
        <v>188</v>
      </c>
    </row>
    <row r="190" spans="1:17" x14ac:dyDescent="0.35">
      <c r="A190" s="23">
        <f>Dataset1_Raw!A190</f>
        <v>189</v>
      </c>
      <c r="B190" s="24">
        <f>Dataset1_Raw!B190</f>
        <v>40552</v>
      </c>
      <c r="C190" s="23">
        <f>Dataset1_Raw!C190</f>
        <v>1</v>
      </c>
      <c r="D190" s="23">
        <f>Dataset1_Raw!D190</f>
        <v>0</v>
      </c>
      <c r="E190" s="23">
        <f>Dataset1_Raw!E190</f>
        <v>1</v>
      </c>
      <c r="F190" s="23">
        <f>Dataset1_Raw!F190</f>
        <v>3</v>
      </c>
      <c r="G190" s="23" t="b">
        <f>Dataset1_Raw!G190</f>
        <v>0</v>
      </c>
      <c r="H190" s="23">
        <f>Dataset1_Raw!H190</f>
        <v>0</v>
      </c>
      <c r="I190" s="23">
        <f>Dataset1_Raw!I190</f>
        <v>1</v>
      </c>
      <c r="J190" s="25">
        <f>Dataset1_Raw!J190</f>
        <v>0.1</v>
      </c>
      <c r="K190" s="25">
        <f>IF(ISNUMBER(INDEX(Dataset2_Raw!$B$2:$B$611,$Q190)),INDEX(Dataset2_Raw!$B$2:$B$611,$Q190),"")</f>
        <v>7.5800000000000006E-2</v>
      </c>
      <c r="L190" s="25">
        <f>IF(ISNUMBER(INDEX(Dataset2_Raw!$C$2:$C$611,$Q190)),INDEX(Dataset2_Raw!$C$2:$C$611,$Q190),"")</f>
        <v>0.46</v>
      </c>
      <c r="M190" s="25">
        <f>IF(ISNUMBER(INDEX(Dataset2_Raw!$D$2:$D$611,$Q190)),INDEX(Dataset2_Raw!$D$2:$D$611,$Q190),"")</f>
        <v>0.41789999999999999</v>
      </c>
      <c r="N190" s="23">
        <f>IF(ISNUMBER(INDEX(Dataset2_Raw!$E$2:$E$611,$Q190)),INDEX(Dataset2_Raw!$E$2:$E$611,$Q190),"")</f>
        <v>0</v>
      </c>
      <c r="O190" s="23">
        <f>IF(ISNUMBER(INDEX(Dataset2_Raw!$F$2:$F$611,$Q190)),INDEX(Dataset2_Raw!$F$2:$F$611,$Q190),"")</f>
        <v>4</v>
      </c>
      <c r="P190" s="23">
        <f>IF(ISNUMBER(INDEX(Dataset2_Raw!$G$2:$G$611,$Q190)),INDEX(Dataset2_Raw!$G$2:$G$611,$Q190),"")</f>
        <v>4</v>
      </c>
      <c r="Q190" s="23">
        <f>IFERROR(MATCH($A190,Dataset2_Raw!$A$2:$A$611,0),0)</f>
        <v>189</v>
      </c>
    </row>
    <row r="191" spans="1:17" x14ac:dyDescent="0.35">
      <c r="A191" s="23">
        <f>Dataset1_Raw!A191</f>
        <v>190</v>
      </c>
      <c r="B191" s="24">
        <f>Dataset1_Raw!B191</f>
        <v>40552</v>
      </c>
      <c r="C191" s="23">
        <f>Dataset1_Raw!C191</f>
        <v>1</v>
      </c>
      <c r="D191" s="23">
        <f>Dataset1_Raw!D191</f>
        <v>0</v>
      </c>
      <c r="E191" s="23">
        <f>Dataset1_Raw!E191</f>
        <v>1</v>
      </c>
      <c r="F191" s="23">
        <f>Dataset1_Raw!F191</f>
        <v>4</v>
      </c>
      <c r="G191" s="23" t="b">
        <f>Dataset1_Raw!G191</f>
        <v>0</v>
      </c>
      <c r="H191" s="23">
        <f>Dataset1_Raw!H191</f>
        <v>0</v>
      </c>
      <c r="I191" s="23">
        <f>Dataset1_Raw!I191</f>
        <v>1</v>
      </c>
      <c r="J191" s="25">
        <f>Dataset1_Raw!J191</f>
        <v>0.08</v>
      </c>
      <c r="K191" s="25">
        <f>IF(ISNUMBER(INDEX(Dataset2_Raw!$B$2:$B$611,$Q191)),INDEX(Dataset2_Raw!$B$2:$B$611,$Q191),"")</f>
        <v>9.0899999999999995E-2</v>
      </c>
      <c r="L191" s="25">
        <f>IF(ISNUMBER(INDEX(Dataset2_Raw!$C$2:$C$611,$Q191)),INDEX(Dataset2_Raw!$C$2:$C$611,$Q191),"")</f>
        <v>0.53</v>
      </c>
      <c r="M191" s="25">
        <f>IF(ISNUMBER(INDEX(Dataset2_Raw!$D$2:$D$611,$Q191)),INDEX(Dataset2_Raw!$D$2:$D$611,$Q191),"")</f>
        <v>0.19400000000000001</v>
      </c>
      <c r="N191" s="23">
        <f>IF(ISNUMBER(INDEX(Dataset2_Raw!$E$2:$E$611,$Q191)),INDEX(Dataset2_Raw!$E$2:$E$611,$Q191),"")</f>
        <v>0</v>
      </c>
      <c r="O191" s="23">
        <f>IF(ISNUMBER(INDEX(Dataset2_Raw!$F$2:$F$611,$Q191)),INDEX(Dataset2_Raw!$F$2:$F$611,$Q191),"")</f>
        <v>1</v>
      </c>
      <c r="P191" s="23">
        <f>IF(ISNUMBER(INDEX(Dataset2_Raw!$G$2:$G$611,$Q191)),INDEX(Dataset2_Raw!$G$2:$G$611,$Q191),"")</f>
        <v>1</v>
      </c>
      <c r="Q191" s="23">
        <f>IFERROR(MATCH($A191,Dataset2_Raw!$A$2:$A$611,0),0)</f>
        <v>190</v>
      </c>
    </row>
    <row r="192" spans="1:17" x14ac:dyDescent="0.35">
      <c r="A192" s="23">
        <f>Dataset1_Raw!A192</f>
        <v>191</v>
      </c>
      <c r="B192" s="24">
        <f>Dataset1_Raw!B192</f>
        <v>40552</v>
      </c>
      <c r="C192" s="23">
        <f>Dataset1_Raw!C192</f>
        <v>1</v>
      </c>
      <c r="D192" s="23">
        <f>Dataset1_Raw!D192</f>
        <v>0</v>
      </c>
      <c r="E192" s="23">
        <f>Dataset1_Raw!E192</f>
        <v>1</v>
      </c>
      <c r="F192" s="23">
        <f>Dataset1_Raw!F192</f>
        <v>5</v>
      </c>
      <c r="G192" s="23" t="b">
        <f>Dataset1_Raw!G192</f>
        <v>0</v>
      </c>
      <c r="H192" s="23">
        <f>Dataset1_Raw!H192</f>
        <v>0</v>
      </c>
      <c r="I192" s="23">
        <f>Dataset1_Raw!I192</f>
        <v>1</v>
      </c>
      <c r="J192" s="25">
        <f>Dataset1_Raw!J192</f>
        <v>0.08</v>
      </c>
      <c r="K192" s="25">
        <f>IF(ISNUMBER(INDEX(Dataset2_Raw!$B$2:$B$611,$Q192)),INDEX(Dataset2_Raw!$B$2:$B$611,$Q192),"")</f>
        <v>9.0899999999999995E-2</v>
      </c>
      <c r="L192" s="25">
        <f>IF(ISNUMBER(INDEX(Dataset2_Raw!$C$2:$C$611,$Q192)),INDEX(Dataset2_Raw!$C$2:$C$611,$Q192),"")</f>
        <v>0.53</v>
      </c>
      <c r="M192" s="25">
        <f>IF(ISNUMBER(INDEX(Dataset2_Raw!$D$2:$D$611,$Q192)),INDEX(Dataset2_Raw!$D$2:$D$611,$Q192),"")</f>
        <v>0.19400000000000001</v>
      </c>
      <c r="N192" s="23">
        <f>IF(ISNUMBER(INDEX(Dataset2_Raw!$E$2:$E$611,$Q192)),INDEX(Dataset2_Raw!$E$2:$E$611,$Q192),"")</f>
        <v>0</v>
      </c>
      <c r="O192" s="23">
        <f>IF(ISNUMBER(INDEX(Dataset2_Raw!$F$2:$F$611,$Q192)),INDEX(Dataset2_Raw!$F$2:$F$611,$Q192),"")</f>
        <v>1</v>
      </c>
      <c r="P192" s="23">
        <f>IF(ISNUMBER(INDEX(Dataset2_Raw!$G$2:$G$611,$Q192)),INDEX(Dataset2_Raw!$G$2:$G$611,$Q192),"")</f>
        <v>1</v>
      </c>
      <c r="Q192" s="23">
        <f>IFERROR(MATCH($A192,Dataset2_Raw!$A$2:$A$611,0),0)</f>
        <v>191</v>
      </c>
    </row>
    <row r="193" spans="1:17" x14ac:dyDescent="0.35">
      <c r="A193" s="23">
        <f>Dataset1_Raw!A193</f>
        <v>192</v>
      </c>
      <c r="B193" s="24">
        <f>Dataset1_Raw!B193</f>
        <v>40552</v>
      </c>
      <c r="C193" s="23">
        <f>Dataset1_Raw!C193</f>
        <v>1</v>
      </c>
      <c r="D193" s="23">
        <f>Dataset1_Raw!D193</f>
        <v>0</v>
      </c>
      <c r="E193" s="23">
        <f>Dataset1_Raw!E193</f>
        <v>1</v>
      </c>
      <c r="F193" s="23">
        <f>Dataset1_Raw!F193</f>
        <v>6</v>
      </c>
      <c r="G193" s="23" t="b">
        <f>Dataset1_Raw!G193</f>
        <v>0</v>
      </c>
      <c r="H193" s="23">
        <f>Dataset1_Raw!H193</f>
        <v>0</v>
      </c>
      <c r="I193" s="23">
        <f>Dataset1_Raw!I193</f>
        <v>1</v>
      </c>
      <c r="J193" s="25">
        <f>Dataset1_Raw!J193</f>
        <v>0.1</v>
      </c>
      <c r="K193" s="25">
        <f>IF(ISNUMBER(INDEX(Dataset2_Raw!$B$2:$B$611,$Q193)),INDEX(Dataset2_Raw!$B$2:$B$611,$Q193),"")</f>
        <v>9.0899999999999995E-2</v>
      </c>
      <c r="L193" s="25">
        <f>IF(ISNUMBER(INDEX(Dataset2_Raw!$C$2:$C$611,$Q193)),INDEX(Dataset2_Raw!$C$2:$C$611,$Q193),"")</f>
        <v>0.49</v>
      </c>
      <c r="M193" s="25">
        <f>IF(ISNUMBER(INDEX(Dataset2_Raw!$D$2:$D$611,$Q193)),INDEX(Dataset2_Raw!$D$2:$D$611,$Q193),"")</f>
        <v>0.28360000000000002</v>
      </c>
      <c r="N193" s="23">
        <f>IF(ISNUMBER(INDEX(Dataset2_Raw!$E$2:$E$611,$Q193)),INDEX(Dataset2_Raw!$E$2:$E$611,$Q193),"")</f>
        <v>0</v>
      </c>
      <c r="O193" s="23">
        <f>IF(ISNUMBER(INDEX(Dataset2_Raw!$F$2:$F$611,$Q193)),INDEX(Dataset2_Raw!$F$2:$F$611,$Q193),"")</f>
        <v>1</v>
      </c>
      <c r="P193" s="23">
        <f>IF(ISNUMBER(INDEX(Dataset2_Raw!$G$2:$G$611,$Q193)),INDEX(Dataset2_Raw!$G$2:$G$611,$Q193),"")</f>
        <v>1</v>
      </c>
      <c r="Q193" s="23">
        <f>IFERROR(MATCH($A193,Dataset2_Raw!$A$2:$A$611,0),0)</f>
        <v>192</v>
      </c>
    </row>
    <row r="194" spans="1:17" x14ac:dyDescent="0.35">
      <c r="A194" s="23">
        <f>Dataset1_Raw!A194</f>
        <v>193</v>
      </c>
      <c r="B194" s="24">
        <f>Dataset1_Raw!B194</f>
        <v>40552</v>
      </c>
      <c r="C194" s="23">
        <f>Dataset1_Raw!C194</f>
        <v>1</v>
      </c>
      <c r="D194" s="23">
        <f>Dataset1_Raw!D194</f>
        <v>0</v>
      </c>
      <c r="E194" s="23">
        <f>Dataset1_Raw!E194</f>
        <v>1</v>
      </c>
      <c r="F194" s="23">
        <f>Dataset1_Raw!F194</f>
        <v>7</v>
      </c>
      <c r="G194" s="23" t="b">
        <f>Dataset1_Raw!G194</f>
        <v>0</v>
      </c>
      <c r="H194" s="23">
        <f>Dataset1_Raw!H194</f>
        <v>0</v>
      </c>
      <c r="I194" s="23">
        <f>Dataset1_Raw!I194</f>
        <v>1</v>
      </c>
      <c r="J194" s="25">
        <f>Dataset1_Raw!J194</f>
        <v>0.08</v>
      </c>
      <c r="K194" s="25">
        <f>IF(ISNUMBER(INDEX(Dataset2_Raw!$B$2:$B$611,$Q194)),INDEX(Dataset2_Raw!$B$2:$B$611,$Q194),"")</f>
        <v>9.0899999999999995E-2</v>
      </c>
      <c r="L194" s="25">
        <f>IF(ISNUMBER(INDEX(Dataset2_Raw!$C$2:$C$611,$Q194)),INDEX(Dataset2_Raw!$C$2:$C$611,$Q194),"")</f>
        <v>0.53</v>
      </c>
      <c r="M194" s="25">
        <f>IF(ISNUMBER(INDEX(Dataset2_Raw!$D$2:$D$611,$Q194)),INDEX(Dataset2_Raw!$D$2:$D$611,$Q194),"")</f>
        <v>0.19400000000000001</v>
      </c>
      <c r="N194" s="23">
        <f>IF(ISNUMBER(INDEX(Dataset2_Raw!$E$2:$E$611,$Q194)),INDEX(Dataset2_Raw!$E$2:$E$611,$Q194),"")</f>
        <v>1</v>
      </c>
      <c r="O194" s="23">
        <f>IF(ISNUMBER(INDEX(Dataset2_Raw!$F$2:$F$611,$Q194)),INDEX(Dataset2_Raw!$F$2:$F$611,$Q194),"")</f>
        <v>5</v>
      </c>
      <c r="P194" s="23">
        <f>IF(ISNUMBER(INDEX(Dataset2_Raw!$G$2:$G$611,$Q194)),INDEX(Dataset2_Raw!$G$2:$G$611,$Q194),"")</f>
        <v>6</v>
      </c>
      <c r="Q194" s="23">
        <f>IFERROR(MATCH($A194,Dataset2_Raw!$A$2:$A$611,0),0)</f>
        <v>193</v>
      </c>
    </row>
    <row r="195" spans="1:17" x14ac:dyDescent="0.35">
      <c r="A195" s="23">
        <f>Dataset1_Raw!A195</f>
        <v>194</v>
      </c>
      <c r="B195" s="24">
        <f>Dataset1_Raw!B195</f>
        <v>40552</v>
      </c>
      <c r="C195" s="23">
        <f>Dataset1_Raw!C195</f>
        <v>1</v>
      </c>
      <c r="D195" s="23">
        <f>Dataset1_Raw!D195</f>
        <v>0</v>
      </c>
      <c r="E195" s="23">
        <f>Dataset1_Raw!E195</f>
        <v>1</v>
      </c>
      <c r="F195" s="23">
        <f>Dataset1_Raw!F195</f>
        <v>8</v>
      </c>
      <c r="G195" s="23" t="b">
        <f>Dataset1_Raw!G195</f>
        <v>0</v>
      </c>
      <c r="H195" s="23">
        <f>Dataset1_Raw!H195</f>
        <v>0</v>
      </c>
      <c r="I195" s="23">
        <f>Dataset1_Raw!I195</f>
        <v>1</v>
      </c>
      <c r="J195" s="25">
        <f>Dataset1_Raw!J195</f>
        <v>0.1</v>
      </c>
      <c r="K195" s="25">
        <f>IF(ISNUMBER(INDEX(Dataset2_Raw!$B$2:$B$611,$Q195)),INDEX(Dataset2_Raw!$B$2:$B$611,$Q195),"")</f>
        <v>9.0899999999999995E-2</v>
      </c>
      <c r="L195" s="25">
        <f>IF(ISNUMBER(INDEX(Dataset2_Raw!$C$2:$C$611,$Q195)),INDEX(Dataset2_Raw!$C$2:$C$611,$Q195),"")</f>
        <v>0.49</v>
      </c>
      <c r="M195" s="25">
        <f>IF(ISNUMBER(INDEX(Dataset2_Raw!$D$2:$D$611,$Q195)),INDEX(Dataset2_Raw!$D$2:$D$611,$Q195),"")</f>
        <v>0.28360000000000002</v>
      </c>
      <c r="N195" s="23">
        <f>IF(ISNUMBER(INDEX(Dataset2_Raw!$E$2:$E$611,$Q195)),INDEX(Dataset2_Raw!$E$2:$E$611,$Q195),"")</f>
        <v>0</v>
      </c>
      <c r="O195" s="23">
        <f>IF(ISNUMBER(INDEX(Dataset2_Raw!$F$2:$F$611,$Q195)),INDEX(Dataset2_Raw!$F$2:$F$611,$Q195),"")</f>
        <v>10</v>
      </c>
      <c r="P195" s="23">
        <f>IF(ISNUMBER(INDEX(Dataset2_Raw!$G$2:$G$611,$Q195)),INDEX(Dataset2_Raw!$G$2:$G$611,$Q195),"")</f>
        <v>10</v>
      </c>
      <c r="Q195" s="23">
        <f>IFERROR(MATCH($A195,Dataset2_Raw!$A$2:$A$611,0),0)</f>
        <v>194</v>
      </c>
    </row>
    <row r="196" spans="1:17" x14ac:dyDescent="0.35">
      <c r="A196" s="23">
        <f>Dataset1_Raw!A196</f>
        <v>195</v>
      </c>
      <c r="B196" s="24">
        <f>Dataset1_Raw!B196</f>
        <v>40552</v>
      </c>
      <c r="C196" s="23">
        <f>Dataset1_Raw!C196</f>
        <v>1</v>
      </c>
      <c r="D196" s="23">
        <f>Dataset1_Raw!D196</f>
        <v>0</v>
      </c>
      <c r="E196" s="23">
        <f>Dataset1_Raw!E196</f>
        <v>1</v>
      </c>
      <c r="F196" s="23">
        <f>Dataset1_Raw!F196</f>
        <v>9</v>
      </c>
      <c r="G196" s="23" t="b">
        <f>Dataset1_Raw!G196</f>
        <v>0</v>
      </c>
      <c r="H196" s="23">
        <f>Dataset1_Raw!H196</f>
        <v>0</v>
      </c>
      <c r="I196" s="23">
        <f>Dataset1_Raw!I196</f>
        <v>1</v>
      </c>
      <c r="J196" s="25">
        <f>Dataset1_Raw!J196</f>
        <v>0.12</v>
      </c>
      <c r="K196" s="25">
        <f>IF(ISNUMBER(INDEX(Dataset2_Raw!$B$2:$B$611,$Q196)),INDEX(Dataset2_Raw!$B$2:$B$611,$Q196),"")</f>
        <v>7.5800000000000006E-2</v>
      </c>
      <c r="L196" s="25">
        <f>IF(ISNUMBER(INDEX(Dataset2_Raw!$C$2:$C$611,$Q196)),INDEX(Dataset2_Raw!$C$2:$C$611,$Q196),"")</f>
        <v>0.46</v>
      </c>
      <c r="M196" s="25">
        <f>IF(ISNUMBER(INDEX(Dataset2_Raw!$D$2:$D$611,$Q196)),INDEX(Dataset2_Raw!$D$2:$D$611,$Q196),"")</f>
        <v>0.52239999999999998</v>
      </c>
      <c r="N196" s="23">
        <f>IF(ISNUMBER(INDEX(Dataset2_Raw!$E$2:$E$611,$Q196)),INDEX(Dataset2_Raw!$E$2:$E$611,$Q196),"")</f>
        <v>0</v>
      </c>
      <c r="O196" s="23">
        <f>IF(ISNUMBER(INDEX(Dataset2_Raw!$F$2:$F$611,$Q196)),INDEX(Dataset2_Raw!$F$2:$F$611,$Q196),"")</f>
        <v>19</v>
      </c>
      <c r="P196" s="23">
        <f>IF(ISNUMBER(INDEX(Dataset2_Raw!$G$2:$G$611,$Q196)),INDEX(Dataset2_Raw!$G$2:$G$611,$Q196),"")</f>
        <v>19</v>
      </c>
      <c r="Q196" s="23">
        <f>IFERROR(MATCH($A196,Dataset2_Raw!$A$2:$A$611,0),0)</f>
        <v>195</v>
      </c>
    </row>
    <row r="197" spans="1:17" x14ac:dyDescent="0.35">
      <c r="A197" s="23">
        <f>Dataset1_Raw!A197</f>
        <v>196</v>
      </c>
      <c r="B197" s="24">
        <f>Dataset1_Raw!B197</f>
        <v>40552</v>
      </c>
      <c r="C197" s="23">
        <f>Dataset1_Raw!C197</f>
        <v>1</v>
      </c>
      <c r="D197" s="23">
        <f>Dataset1_Raw!D197</f>
        <v>0</v>
      </c>
      <c r="E197" s="23">
        <f>Dataset1_Raw!E197</f>
        <v>1</v>
      </c>
      <c r="F197" s="23">
        <f>Dataset1_Raw!F197</f>
        <v>10</v>
      </c>
      <c r="G197" s="23" t="b">
        <f>Dataset1_Raw!G197</f>
        <v>0</v>
      </c>
      <c r="H197" s="23">
        <f>Dataset1_Raw!H197</f>
        <v>0</v>
      </c>
      <c r="I197" s="23">
        <f>Dataset1_Raw!I197</f>
        <v>1</v>
      </c>
      <c r="J197" s="25">
        <f>Dataset1_Raw!J197</f>
        <v>0.14000000000000001</v>
      </c>
      <c r="K197" s="25">
        <f>IF(ISNUMBER(INDEX(Dataset2_Raw!$B$2:$B$611,$Q197)),INDEX(Dataset2_Raw!$B$2:$B$611,$Q197),"")</f>
        <v>0.1061</v>
      </c>
      <c r="L197" s="25">
        <f>IF(ISNUMBER(INDEX(Dataset2_Raw!$C$2:$C$611,$Q197)),INDEX(Dataset2_Raw!$C$2:$C$611,$Q197),"")</f>
        <v>0.43</v>
      </c>
      <c r="M197" s="25">
        <f>IF(ISNUMBER(INDEX(Dataset2_Raw!$D$2:$D$611,$Q197)),INDEX(Dataset2_Raw!$D$2:$D$611,$Q197),"")</f>
        <v>0.3881</v>
      </c>
      <c r="N197" s="23">
        <f>IF(ISNUMBER(INDEX(Dataset2_Raw!$E$2:$E$611,$Q197)),INDEX(Dataset2_Raw!$E$2:$E$611,$Q197),"")</f>
        <v>0</v>
      </c>
      <c r="O197" s="23">
        <f>IF(ISNUMBER(INDEX(Dataset2_Raw!$F$2:$F$611,$Q197)),INDEX(Dataset2_Raw!$F$2:$F$611,$Q197),"")</f>
        <v>49</v>
      </c>
      <c r="P197" s="23">
        <f>IF(ISNUMBER(INDEX(Dataset2_Raw!$G$2:$G$611,$Q197)),INDEX(Dataset2_Raw!$G$2:$G$611,$Q197),"")</f>
        <v>49</v>
      </c>
      <c r="Q197" s="23">
        <f>IFERROR(MATCH($A197,Dataset2_Raw!$A$2:$A$611,0),0)</f>
        <v>196</v>
      </c>
    </row>
    <row r="198" spans="1:17" x14ac:dyDescent="0.35">
      <c r="A198" s="23">
        <f>Dataset1_Raw!A198</f>
        <v>197</v>
      </c>
      <c r="B198" s="24">
        <f>Dataset1_Raw!B198</f>
        <v>40552</v>
      </c>
      <c r="C198" s="23">
        <f>Dataset1_Raw!C198</f>
        <v>1</v>
      </c>
      <c r="D198" s="23">
        <f>Dataset1_Raw!D198</f>
        <v>0</v>
      </c>
      <c r="E198" s="23">
        <f>Dataset1_Raw!E198</f>
        <v>1</v>
      </c>
      <c r="F198" s="23">
        <f>Dataset1_Raw!F198</f>
        <v>11</v>
      </c>
      <c r="G198" s="23" t="b">
        <f>Dataset1_Raw!G198</f>
        <v>0</v>
      </c>
      <c r="H198" s="23">
        <f>Dataset1_Raw!H198</f>
        <v>0</v>
      </c>
      <c r="I198" s="23">
        <f>Dataset1_Raw!I198</f>
        <v>1</v>
      </c>
      <c r="J198" s="25">
        <f>Dataset1_Raw!J198</f>
        <v>0.16</v>
      </c>
      <c r="K198" s="25">
        <f>IF(ISNUMBER(INDEX(Dataset2_Raw!$B$2:$B$611,$Q198)),INDEX(Dataset2_Raw!$B$2:$B$611,$Q198),"")</f>
        <v>0.1212</v>
      </c>
      <c r="L198" s="25">
        <f>IF(ISNUMBER(INDEX(Dataset2_Raw!$C$2:$C$611,$Q198)),INDEX(Dataset2_Raw!$C$2:$C$611,$Q198),"")</f>
        <v>0.4</v>
      </c>
      <c r="M198" s="25">
        <f>IF(ISNUMBER(INDEX(Dataset2_Raw!$D$2:$D$611,$Q198)),INDEX(Dataset2_Raw!$D$2:$D$611,$Q198),"")</f>
        <v>0.52239999999999998</v>
      </c>
      <c r="N198" s="23">
        <f>IF(ISNUMBER(INDEX(Dataset2_Raw!$E$2:$E$611,$Q198)),INDEX(Dataset2_Raw!$E$2:$E$611,$Q198),"")</f>
        <v>2</v>
      </c>
      <c r="O198" s="23">
        <f>IF(ISNUMBER(INDEX(Dataset2_Raw!$F$2:$F$611,$Q198)),INDEX(Dataset2_Raw!$F$2:$F$611,$Q198),"")</f>
        <v>47</v>
      </c>
      <c r="P198" s="23">
        <f>IF(ISNUMBER(INDEX(Dataset2_Raw!$G$2:$G$611,$Q198)),INDEX(Dataset2_Raw!$G$2:$G$611,$Q198),"")</f>
        <v>49</v>
      </c>
      <c r="Q198" s="23">
        <f>IFERROR(MATCH($A198,Dataset2_Raw!$A$2:$A$611,0),0)</f>
        <v>197</v>
      </c>
    </row>
    <row r="199" spans="1:17" x14ac:dyDescent="0.35">
      <c r="A199" s="23">
        <f>Dataset1_Raw!A199</f>
        <v>198</v>
      </c>
      <c r="B199" s="24">
        <f>Dataset1_Raw!B199</f>
        <v>40552</v>
      </c>
      <c r="C199" s="23">
        <f>Dataset1_Raw!C199</f>
        <v>1</v>
      </c>
      <c r="D199" s="23">
        <f>Dataset1_Raw!D199</f>
        <v>0</v>
      </c>
      <c r="E199" s="23">
        <f>Dataset1_Raw!E199</f>
        <v>1</v>
      </c>
      <c r="F199" s="23">
        <f>Dataset1_Raw!F199</f>
        <v>12</v>
      </c>
      <c r="G199" s="23" t="b">
        <f>Dataset1_Raw!G199</f>
        <v>0</v>
      </c>
      <c r="H199" s="23">
        <f>Dataset1_Raw!H199</f>
        <v>0</v>
      </c>
      <c r="I199" s="23">
        <f>Dataset1_Raw!I199</f>
        <v>1</v>
      </c>
      <c r="J199" s="25">
        <f>Dataset1_Raw!J199</f>
        <v>0.18</v>
      </c>
      <c r="K199" s="25">
        <f>IF(ISNUMBER(INDEX(Dataset2_Raw!$B$2:$B$611,$Q199)),INDEX(Dataset2_Raw!$B$2:$B$611,$Q199),"")</f>
        <v>0.13639999999999999</v>
      </c>
      <c r="L199" s="25">
        <f>IF(ISNUMBER(INDEX(Dataset2_Raw!$C$2:$C$611,$Q199)),INDEX(Dataset2_Raw!$C$2:$C$611,$Q199),"")</f>
        <v>0.37</v>
      </c>
      <c r="M199" s="25">
        <f>IF(ISNUMBER(INDEX(Dataset2_Raw!$D$2:$D$611,$Q199)),INDEX(Dataset2_Raw!$D$2:$D$611,$Q199),"")</f>
        <v>0.44779999999999998</v>
      </c>
      <c r="N199" s="23">
        <f>IF(ISNUMBER(INDEX(Dataset2_Raw!$E$2:$E$611,$Q199)),INDEX(Dataset2_Raw!$E$2:$E$611,$Q199),"")</f>
        <v>4</v>
      </c>
      <c r="O199" s="23">
        <f>IF(ISNUMBER(INDEX(Dataset2_Raw!$F$2:$F$611,$Q199)),INDEX(Dataset2_Raw!$F$2:$F$611,$Q199),"")</f>
        <v>79</v>
      </c>
      <c r="P199" s="23">
        <f>IF(ISNUMBER(INDEX(Dataset2_Raw!$G$2:$G$611,$Q199)),INDEX(Dataset2_Raw!$G$2:$G$611,$Q199),"")</f>
        <v>83</v>
      </c>
      <c r="Q199" s="23">
        <f>IFERROR(MATCH($A199,Dataset2_Raw!$A$2:$A$611,0),0)</f>
        <v>198</v>
      </c>
    </row>
    <row r="200" spans="1:17" x14ac:dyDescent="0.35">
      <c r="A200" s="23">
        <f>Dataset1_Raw!A200</f>
        <v>199</v>
      </c>
      <c r="B200" s="24">
        <f>Dataset1_Raw!B200</f>
        <v>40552</v>
      </c>
      <c r="C200" s="23">
        <f>Dataset1_Raw!C200</f>
        <v>1</v>
      </c>
      <c r="D200" s="23">
        <f>Dataset1_Raw!D200</f>
        <v>0</v>
      </c>
      <c r="E200" s="23">
        <f>Dataset1_Raw!E200</f>
        <v>1</v>
      </c>
      <c r="F200" s="23">
        <f>Dataset1_Raw!F200</f>
        <v>13</v>
      </c>
      <c r="G200" s="23" t="b">
        <f>Dataset1_Raw!G200</f>
        <v>0</v>
      </c>
      <c r="H200" s="23">
        <f>Dataset1_Raw!H200</f>
        <v>0</v>
      </c>
      <c r="I200" s="23">
        <f>Dataset1_Raw!I200</f>
        <v>1</v>
      </c>
      <c r="J200" s="25">
        <f>Dataset1_Raw!J200</f>
        <v>0.2</v>
      </c>
      <c r="K200" s="25">
        <f>IF(ISNUMBER(INDEX(Dataset2_Raw!$B$2:$B$611,$Q200)),INDEX(Dataset2_Raw!$B$2:$B$611,$Q200),"")</f>
        <v>0.16669999999999999</v>
      </c>
      <c r="L200" s="25">
        <f>IF(ISNUMBER(INDEX(Dataset2_Raw!$C$2:$C$611,$Q200)),INDEX(Dataset2_Raw!$C$2:$C$611,$Q200),"")</f>
        <v>0.34</v>
      </c>
      <c r="M200" s="25">
        <f>IF(ISNUMBER(INDEX(Dataset2_Raw!$D$2:$D$611,$Q200)),INDEX(Dataset2_Raw!$D$2:$D$611,$Q200),"")</f>
        <v>0.44779999999999998</v>
      </c>
      <c r="N200" s="23">
        <f>IF(ISNUMBER(INDEX(Dataset2_Raw!$E$2:$E$611,$Q200)),INDEX(Dataset2_Raw!$E$2:$E$611,$Q200),"")</f>
        <v>6</v>
      </c>
      <c r="O200" s="23">
        <f>IF(ISNUMBER(INDEX(Dataset2_Raw!$F$2:$F$611,$Q200)),INDEX(Dataset2_Raw!$F$2:$F$611,$Q200),"")</f>
        <v>69</v>
      </c>
      <c r="P200" s="23">
        <f>IF(ISNUMBER(INDEX(Dataset2_Raw!$G$2:$G$611,$Q200)),INDEX(Dataset2_Raw!$G$2:$G$611,$Q200),"")</f>
        <v>75</v>
      </c>
      <c r="Q200" s="23">
        <f>IFERROR(MATCH($A200,Dataset2_Raw!$A$2:$A$611,0),0)</f>
        <v>199</v>
      </c>
    </row>
    <row r="201" spans="1:17" x14ac:dyDescent="0.35">
      <c r="A201" s="23">
        <f>Dataset1_Raw!A201</f>
        <v>200</v>
      </c>
      <c r="B201" s="24">
        <f>Dataset1_Raw!B201</f>
        <v>40552</v>
      </c>
      <c r="C201" s="23">
        <f>Dataset1_Raw!C201</f>
        <v>1</v>
      </c>
      <c r="D201" s="23">
        <f>Dataset1_Raw!D201</f>
        <v>0</v>
      </c>
      <c r="E201" s="23">
        <f>Dataset1_Raw!E201</f>
        <v>1</v>
      </c>
      <c r="F201" s="23">
        <f>Dataset1_Raw!F201</f>
        <v>14</v>
      </c>
      <c r="G201" s="23" t="b">
        <f>Dataset1_Raw!G201</f>
        <v>0</v>
      </c>
      <c r="H201" s="23">
        <f>Dataset1_Raw!H201</f>
        <v>0</v>
      </c>
      <c r="I201" s="23">
        <f>Dataset1_Raw!I201</f>
        <v>1</v>
      </c>
      <c r="J201" s="25">
        <f>Dataset1_Raw!J201</f>
        <v>0.22</v>
      </c>
      <c r="K201" s="25">
        <f>IF(ISNUMBER(INDEX(Dataset2_Raw!$B$2:$B$611,$Q201)),INDEX(Dataset2_Raw!$B$2:$B$611,$Q201),"")</f>
        <v>0.18179999999999999</v>
      </c>
      <c r="L201" s="25">
        <f>IF(ISNUMBER(INDEX(Dataset2_Raw!$C$2:$C$611,$Q201)),INDEX(Dataset2_Raw!$C$2:$C$611,$Q201),"")</f>
        <v>0.32</v>
      </c>
      <c r="M201" s="25">
        <f>IF(ISNUMBER(INDEX(Dataset2_Raw!$D$2:$D$611,$Q201)),INDEX(Dataset2_Raw!$D$2:$D$611,$Q201),"")</f>
        <v>0.4627</v>
      </c>
      <c r="N201" s="23">
        <f>IF(ISNUMBER(INDEX(Dataset2_Raw!$E$2:$E$611,$Q201)),INDEX(Dataset2_Raw!$E$2:$E$611,$Q201),"")</f>
        <v>8</v>
      </c>
      <c r="O201" s="23">
        <f>IF(ISNUMBER(INDEX(Dataset2_Raw!$F$2:$F$611,$Q201)),INDEX(Dataset2_Raw!$F$2:$F$611,$Q201),"")</f>
        <v>64</v>
      </c>
      <c r="P201" s="23">
        <f>IF(ISNUMBER(INDEX(Dataset2_Raw!$G$2:$G$611,$Q201)),INDEX(Dataset2_Raw!$G$2:$G$611,$Q201),"")</f>
        <v>72</v>
      </c>
      <c r="Q201" s="23">
        <f>IFERROR(MATCH($A201,Dataset2_Raw!$A$2:$A$611,0),0)</f>
        <v>200</v>
      </c>
    </row>
    <row r="202" spans="1:17" x14ac:dyDescent="0.35">
      <c r="A202" s="23">
        <f>Dataset1_Raw!A202</f>
        <v>201</v>
      </c>
      <c r="B202" s="24">
        <f>Dataset1_Raw!B202</f>
        <v>40552</v>
      </c>
      <c r="C202" s="23">
        <f>Dataset1_Raw!C202</f>
        <v>1</v>
      </c>
      <c r="D202" s="23">
        <f>Dataset1_Raw!D202</f>
        <v>0</v>
      </c>
      <c r="E202" s="23">
        <f>Dataset1_Raw!E202</f>
        <v>1</v>
      </c>
      <c r="F202" s="23">
        <f>Dataset1_Raw!F202</f>
        <v>15</v>
      </c>
      <c r="G202" s="23" t="b">
        <f>Dataset1_Raw!G202</f>
        <v>0</v>
      </c>
      <c r="H202" s="23">
        <f>Dataset1_Raw!H202</f>
        <v>0</v>
      </c>
      <c r="I202" s="23">
        <f>Dataset1_Raw!I202</f>
        <v>1</v>
      </c>
      <c r="J202" s="25">
        <f>Dataset1_Raw!J202</f>
        <v>0.22</v>
      </c>
      <c r="K202" s="25">
        <f>IF(ISNUMBER(INDEX(Dataset2_Raw!$B$2:$B$611,$Q202)),INDEX(Dataset2_Raw!$B$2:$B$611,$Q202),"")</f>
        <v>0.19700000000000001</v>
      </c>
      <c r="L202" s="25">
        <f>IF(ISNUMBER(INDEX(Dataset2_Raw!$C$2:$C$611,$Q202)),INDEX(Dataset2_Raw!$C$2:$C$611,$Q202),"")</f>
        <v>0.35</v>
      </c>
      <c r="M202" s="25">
        <f>IF(ISNUMBER(INDEX(Dataset2_Raw!$D$2:$D$611,$Q202)),INDEX(Dataset2_Raw!$D$2:$D$611,$Q202),"")</f>
        <v>0.35820000000000002</v>
      </c>
      <c r="N202" s="23">
        <f>IF(ISNUMBER(INDEX(Dataset2_Raw!$E$2:$E$611,$Q202)),INDEX(Dataset2_Raw!$E$2:$E$611,$Q202),"")</f>
        <v>5</v>
      </c>
      <c r="O202" s="23">
        <f>IF(ISNUMBER(INDEX(Dataset2_Raw!$F$2:$F$611,$Q202)),INDEX(Dataset2_Raw!$F$2:$F$611,$Q202),"")</f>
        <v>77</v>
      </c>
      <c r="P202" s="23">
        <f>IF(ISNUMBER(INDEX(Dataset2_Raw!$G$2:$G$611,$Q202)),INDEX(Dataset2_Raw!$G$2:$G$611,$Q202),"")</f>
        <v>82</v>
      </c>
      <c r="Q202" s="23">
        <f>IFERROR(MATCH($A202,Dataset2_Raw!$A$2:$A$611,0),0)</f>
        <v>201</v>
      </c>
    </row>
    <row r="203" spans="1:17" x14ac:dyDescent="0.35">
      <c r="A203" s="23">
        <f>Dataset1_Raw!A203</f>
        <v>202</v>
      </c>
      <c r="B203" s="24">
        <f>Dataset1_Raw!B203</f>
        <v>40552</v>
      </c>
      <c r="C203" s="23">
        <f>Dataset1_Raw!C203</f>
        <v>1</v>
      </c>
      <c r="D203" s="23">
        <f>Dataset1_Raw!D203</f>
        <v>0</v>
      </c>
      <c r="E203" s="23">
        <f>Dataset1_Raw!E203</f>
        <v>1</v>
      </c>
      <c r="F203" s="23">
        <f>Dataset1_Raw!F203</f>
        <v>16</v>
      </c>
      <c r="G203" s="23" t="b">
        <f>Dataset1_Raw!G203</f>
        <v>0</v>
      </c>
      <c r="H203" s="23">
        <f>Dataset1_Raw!H203</f>
        <v>0</v>
      </c>
      <c r="I203" s="23">
        <f>Dataset1_Raw!I203</f>
        <v>1</v>
      </c>
      <c r="J203" s="25">
        <f>Dataset1_Raw!J203</f>
        <v>0.2</v>
      </c>
      <c r="K203" s="25">
        <f>IF(ISNUMBER(INDEX(Dataset2_Raw!$B$2:$B$611,$Q203)),INDEX(Dataset2_Raw!$B$2:$B$611,$Q203),"")</f>
        <v>0.16669999999999999</v>
      </c>
      <c r="L203" s="25">
        <f>IF(ISNUMBER(INDEX(Dataset2_Raw!$C$2:$C$611,$Q203)),INDEX(Dataset2_Raw!$C$2:$C$611,$Q203),"")</f>
        <v>0.34</v>
      </c>
      <c r="M203" s="25">
        <f>IF(ISNUMBER(INDEX(Dataset2_Raw!$D$2:$D$611,$Q203)),INDEX(Dataset2_Raw!$D$2:$D$611,$Q203),"")</f>
        <v>0.44779999999999998</v>
      </c>
      <c r="N203" s="23">
        <f>IF(ISNUMBER(INDEX(Dataset2_Raw!$E$2:$E$611,$Q203)),INDEX(Dataset2_Raw!$E$2:$E$611,$Q203),"")</f>
        <v>13</v>
      </c>
      <c r="O203" s="23">
        <f>IF(ISNUMBER(INDEX(Dataset2_Raw!$F$2:$F$611,$Q203)),INDEX(Dataset2_Raw!$F$2:$F$611,$Q203),"")</f>
        <v>79</v>
      </c>
      <c r="P203" s="23">
        <f>IF(ISNUMBER(INDEX(Dataset2_Raw!$G$2:$G$611,$Q203)),INDEX(Dataset2_Raw!$G$2:$G$611,$Q203),"")</f>
        <v>92</v>
      </c>
      <c r="Q203" s="23">
        <f>IFERROR(MATCH($A203,Dataset2_Raw!$A$2:$A$611,0),0)</f>
        <v>202</v>
      </c>
    </row>
    <row r="204" spans="1:17" x14ac:dyDescent="0.35">
      <c r="A204" s="23">
        <f>Dataset1_Raw!A204</f>
        <v>203</v>
      </c>
      <c r="B204" s="24">
        <f>Dataset1_Raw!B204</f>
        <v>40552</v>
      </c>
      <c r="C204" s="23">
        <f>Dataset1_Raw!C204</f>
        <v>1</v>
      </c>
      <c r="D204" s="23">
        <f>Dataset1_Raw!D204</f>
        <v>0</v>
      </c>
      <c r="E204" s="23">
        <f>Dataset1_Raw!E204</f>
        <v>1</v>
      </c>
      <c r="F204" s="23">
        <f>Dataset1_Raw!F204</f>
        <v>17</v>
      </c>
      <c r="G204" s="23" t="b">
        <f>Dataset1_Raw!G204</f>
        <v>0</v>
      </c>
      <c r="H204" s="23">
        <f>Dataset1_Raw!H204</f>
        <v>0</v>
      </c>
      <c r="I204" s="23">
        <f>Dataset1_Raw!I204</f>
        <v>1</v>
      </c>
      <c r="J204" s="25">
        <f>Dataset1_Raw!J204</f>
        <v>0.18</v>
      </c>
      <c r="K204" s="25">
        <f>IF(ISNUMBER(INDEX(Dataset2_Raw!$B$2:$B$611,$Q204)),INDEX(Dataset2_Raw!$B$2:$B$611,$Q204),"")</f>
        <v>0.1515</v>
      </c>
      <c r="L204" s="25">
        <f>IF(ISNUMBER(INDEX(Dataset2_Raw!$C$2:$C$611,$Q204)),INDEX(Dataset2_Raw!$C$2:$C$611,$Q204),"")</f>
        <v>0.37</v>
      </c>
      <c r="M204" s="25">
        <f>IF(ISNUMBER(INDEX(Dataset2_Raw!$D$2:$D$611,$Q204)),INDEX(Dataset2_Raw!$D$2:$D$611,$Q204),"")</f>
        <v>0.3881</v>
      </c>
      <c r="N204" s="23">
        <f>IF(ISNUMBER(INDEX(Dataset2_Raw!$E$2:$E$611,$Q204)),INDEX(Dataset2_Raw!$E$2:$E$611,$Q204),"")</f>
        <v>3</v>
      </c>
      <c r="O204" s="23">
        <f>IF(ISNUMBER(INDEX(Dataset2_Raw!$F$2:$F$611,$Q204)),INDEX(Dataset2_Raw!$F$2:$F$611,$Q204),"")</f>
        <v>59</v>
      </c>
      <c r="P204" s="23">
        <f>IF(ISNUMBER(INDEX(Dataset2_Raw!$G$2:$G$611,$Q204)),INDEX(Dataset2_Raw!$G$2:$G$611,$Q204),"")</f>
        <v>62</v>
      </c>
      <c r="Q204" s="23">
        <f>IFERROR(MATCH($A204,Dataset2_Raw!$A$2:$A$611,0),0)</f>
        <v>203</v>
      </c>
    </row>
    <row r="205" spans="1:17" x14ac:dyDescent="0.35">
      <c r="A205" s="23">
        <f>Dataset1_Raw!A205</f>
        <v>204</v>
      </c>
      <c r="B205" s="24">
        <f>Dataset1_Raw!B205</f>
        <v>40552</v>
      </c>
      <c r="C205" s="23">
        <f>Dataset1_Raw!C205</f>
        <v>1</v>
      </c>
      <c r="D205" s="23">
        <f>Dataset1_Raw!D205</f>
        <v>0</v>
      </c>
      <c r="E205" s="23">
        <f>Dataset1_Raw!E205</f>
        <v>1</v>
      </c>
      <c r="F205" s="23">
        <f>Dataset1_Raw!F205</f>
        <v>18</v>
      </c>
      <c r="G205" s="23" t="b">
        <f>Dataset1_Raw!G205</f>
        <v>0</v>
      </c>
      <c r="H205" s="23">
        <f>Dataset1_Raw!H205</f>
        <v>0</v>
      </c>
      <c r="I205" s="23">
        <f>Dataset1_Raw!I205</f>
        <v>1</v>
      </c>
      <c r="J205" s="25">
        <f>Dataset1_Raw!J205</f>
        <v>0.16</v>
      </c>
      <c r="K205" s="25">
        <f>IF(ISNUMBER(INDEX(Dataset2_Raw!$B$2:$B$611,$Q205)),INDEX(Dataset2_Raw!$B$2:$B$611,$Q205),"")</f>
        <v>0.13639999999999999</v>
      </c>
      <c r="L205" s="25">
        <f>IF(ISNUMBER(INDEX(Dataset2_Raw!$C$2:$C$611,$Q205)),INDEX(Dataset2_Raw!$C$2:$C$611,$Q205),"")</f>
        <v>0.4</v>
      </c>
      <c r="M205" s="25">
        <f>IF(ISNUMBER(INDEX(Dataset2_Raw!$D$2:$D$611,$Q205)),INDEX(Dataset2_Raw!$D$2:$D$611,$Q205),"")</f>
        <v>0.32840000000000003</v>
      </c>
      <c r="N205" s="23">
        <f>IF(ISNUMBER(INDEX(Dataset2_Raw!$E$2:$E$611,$Q205)),INDEX(Dataset2_Raw!$E$2:$E$611,$Q205),"")</f>
        <v>4</v>
      </c>
      <c r="O205" s="23">
        <f>IF(ISNUMBER(INDEX(Dataset2_Raw!$F$2:$F$611,$Q205)),INDEX(Dataset2_Raw!$F$2:$F$611,$Q205),"")</f>
        <v>44</v>
      </c>
      <c r="P205" s="23">
        <f>IF(ISNUMBER(INDEX(Dataset2_Raw!$G$2:$G$611,$Q205)),INDEX(Dataset2_Raw!$G$2:$G$611,$Q205),"")</f>
        <v>48</v>
      </c>
      <c r="Q205" s="23">
        <f>IFERROR(MATCH($A205,Dataset2_Raw!$A$2:$A$611,0),0)</f>
        <v>204</v>
      </c>
    </row>
    <row r="206" spans="1:17" x14ac:dyDescent="0.35">
      <c r="A206" s="23">
        <f>Dataset1_Raw!A206</f>
        <v>205</v>
      </c>
      <c r="B206" s="24">
        <f>Dataset1_Raw!B206</f>
        <v>40552</v>
      </c>
      <c r="C206" s="23">
        <f>Dataset1_Raw!C206</f>
        <v>1</v>
      </c>
      <c r="D206" s="23">
        <f>Dataset1_Raw!D206</f>
        <v>0</v>
      </c>
      <c r="E206" s="23">
        <f>Dataset1_Raw!E206</f>
        <v>1</v>
      </c>
      <c r="F206" s="23">
        <f>Dataset1_Raw!F206</f>
        <v>19</v>
      </c>
      <c r="G206" s="23" t="b">
        <f>Dataset1_Raw!G206</f>
        <v>0</v>
      </c>
      <c r="H206" s="23">
        <f>Dataset1_Raw!H206</f>
        <v>0</v>
      </c>
      <c r="I206" s="23">
        <f>Dataset1_Raw!I206</f>
        <v>1</v>
      </c>
      <c r="J206" s="25">
        <f>Dataset1_Raw!J206</f>
        <v>0.16</v>
      </c>
      <c r="K206" s="25">
        <f>IF(ISNUMBER(INDEX(Dataset2_Raw!$B$2:$B$611,$Q206)),INDEX(Dataset2_Raw!$B$2:$B$611,$Q206),"")</f>
        <v>0.13639999999999999</v>
      </c>
      <c r="L206" s="25">
        <f>IF(ISNUMBER(INDEX(Dataset2_Raw!$C$2:$C$611,$Q206)),INDEX(Dataset2_Raw!$C$2:$C$611,$Q206),"")</f>
        <v>0.43</v>
      </c>
      <c r="M206" s="25">
        <f>IF(ISNUMBER(INDEX(Dataset2_Raw!$D$2:$D$611,$Q206)),INDEX(Dataset2_Raw!$D$2:$D$611,$Q206),"")</f>
        <v>0.32840000000000003</v>
      </c>
      <c r="N206" s="23">
        <f>IF(ISNUMBER(INDEX(Dataset2_Raw!$E$2:$E$611,$Q206)),INDEX(Dataset2_Raw!$E$2:$E$611,$Q206),"")</f>
        <v>1</v>
      </c>
      <c r="O206" s="23">
        <f>IF(ISNUMBER(INDEX(Dataset2_Raw!$F$2:$F$611,$Q206)),INDEX(Dataset2_Raw!$F$2:$F$611,$Q206),"")</f>
        <v>40</v>
      </c>
      <c r="P206" s="23">
        <f>IF(ISNUMBER(INDEX(Dataset2_Raw!$G$2:$G$611,$Q206)),INDEX(Dataset2_Raw!$G$2:$G$611,$Q206),"")</f>
        <v>41</v>
      </c>
      <c r="Q206" s="23">
        <f>IFERROR(MATCH($A206,Dataset2_Raw!$A$2:$A$611,0),0)</f>
        <v>205</v>
      </c>
    </row>
    <row r="207" spans="1:17" x14ac:dyDescent="0.35">
      <c r="A207" s="23">
        <f>Dataset1_Raw!A207</f>
        <v>206</v>
      </c>
      <c r="B207" s="24">
        <f>Dataset1_Raw!B207</f>
        <v>40552</v>
      </c>
      <c r="C207" s="23">
        <f>Dataset1_Raw!C207</f>
        <v>1</v>
      </c>
      <c r="D207" s="23">
        <f>Dataset1_Raw!D207</f>
        <v>0</v>
      </c>
      <c r="E207" s="23">
        <f>Dataset1_Raw!E207</f>
        <v>1</v>
      </c>
      <c r="F207" s="23">
        <f>Dataset1_Raw!F207</f>
        <v>20</v>
      </c>
      <c r="G207" s="23" t="b">
        <f>Dataset1_Raw!G207</f>
        <v>0</v>
      </c>
      <c r="H207" s="23">
        <f>Dataset1_Raw!H207</f>
        <v>0</v>
      </c>
      <c r="I207" s="23">
        <f>Dataset1_Raw!I207</f>
        <v>1</v>
      </c>
      <c r="J207" s="25">
        <f>Dataset1_Raw!J207</f>
        <v>0.14000000000000001</v>
      </c>
      <c r="K207" s="25">
        <f>IF(ISNUMBER(INDEX(Dataset2_Raw!$B$2:$B$611,$Q207)),INDEX(Dataset2_Raw!$B$2:$B$611,$Q207),"")</f>
        <v>0.1212</v>
      </c>
      <c r="L207" s="25">
        <f>IF(ISNUMBER(INDEX(Dataset2_Raw!$C$2:$C$611,$Q207)),INDEX(Dataset2_Raw!$C$2:$C$611,$Q207),"")</f>
        <v>0.46</v>
      </c>
      <c r="M207" s="25">
        <f>IF(ISNUMBER(INDEX(Dataset2_Raw!$D$2:$D$611,$Q207)),INDEX(Dataset2_Raw!$D$2:$D$611,$Q207),"")</f>
        <v>0.25369999999999998</v>
      </c>
      <c r="N207" s="23">
        <f>IF(ISNUMBER(INDEX(Dataset2_Raw!$E$2:$E$611,$Q207)),INDEX(Dataset2_Raw!$E$2:$E$611,$Q207),"")</f>
        <v>0</v>
      </c>
      <c r="O207" s="23">
        <f>IF(ISNUMBER(INDEX(Dataset2_Raw!$F$2:$F$611,$Q207)),INDEX(Dataset2_Raw!$F$2:$F$611,$Q207),"")</f>
        <v>38</v>
      </c>
      <c r="P207" s="23">
        <f>IF(ISNUMBER(INDEX(Dataset2_Raw!$G$2:$G$611,$Q207)),INDEX(Dataset2_Raw!$G$2:$G$611,$Q207),"")</f>
        <v>38</v>
      </c>
      <c r="Q207" s="23">
        <f>IFERROR(MATCH($A207,Dataset2_Raw!$A$2:$A$611,0),0)</f>
        <v>206</v>
      </c>
    </row>
    <row r="208" spans="1:17" x14ac:dyDescent="0.35">
      <c r="A208" s="23">
        <f>Dataset1_Raw!A208</f>
        <v>207</v>
      </c>
      <c r="B208" s="24">
        <f>Dataset1_Raw!B208</f>
        <v>40552</v>
      </c>
      <c r="C208" s="23">
        <f>Dataset1_Raw!C208</f>
        <v>1</v>
      </c>
      <c r="D208" s="23">
        <f>Dataset1_Raw!D208</f>
        <v>0</v>
      </c>
      <c r="E208" s="23">
        <f>Dataset1_Raw!E208</f>
        <v>1</v>
      </c>
      <c r="F208" s="23">
        <f>Dataset1_Raw!F208</f>
        <v>21</v>
      </c>
      <c r="G208" s="23" t="b">
        <f>Dataset1_Raw!G208</f>
        <v>0</v>
      </c>
      <c r="H208" s="23">
        <f>Dataset1_Raw!H208</f>
        <v>0</v>
      </c>
      <c r="I208" s="23">
        <f>Dataset1_Raw!I208</f>
        <v>1</v>
      </c>
      <c r="J208" s="25">
        <f>Dataset1_Raw!J208</f>
        <v>0.14000000000000001</v>
      </c>
      <c r="K208" s="25">
        <f>IF(ISNUMBER(INDEX(Dataset2_Raw!$B$2:$B$611,$Q208)),INDEX(Dataset2_Raw!$B$2:$B$611,$Q208),"")</f>
        <v>0.1061</v>
      </c>
      <c r="L208" s="25">
        <f>IF(ISNUMBER(INDEX(Dataset2_Raw!$C$2:$C$611,$Q208)),INDEX(Dataset2_Raw!$C$2:$C$611,$Q208),"")</f>
        <v>0.46</v>
      </c>
      <c r="M208" s="25">
        <f>IF(ISNUMBER(INDEX(Dataset2_Raw!$D$2:$D$611,$Q208)),INDEX(Dataset2_Raw!$D$2:$D$611,$Q208),"")</f>
        <v>0.41789999999999999</v>
      </c>
      <c r="N208" s="23">
        <f>IF(ISNUMBER(INDEX(Dataset2_Raw!$E$2:$E$611,$Q208)),INDEX(Dataset2_Raw!$E$2:$E$611,$Q208),"")</f>
        <v>1</v>
      </c>
      <c r="O208" s="23">
        <f>IF(ISNUMBER(INDEX(Dataset2_Raw!$F$2:$F$611,$Q208)),INDEX(Dataset2_Raw!$F$2:$F$611,$Q208),"")</f>
        <v>19</v>
      </c>
      <c r="P208" s="23">
        <f>IF(ISNUMBER(INDEX(Dataset2_Raw!$G$2:$G$611,$Q208)),INDEX(Dataset2_Raw!$G$2:$G$611,$Q208),"")</f>
        <v>20</v>
      </c>
      <c r="Q208" s="23">
        <f>IFERROR(MATCH($A208,Dataset2_Raw!$A$2:$A$611,0),0)</f>
        <v>207</v>
      </c>
    </row>
    <row r="209" spans="1:17" x14ac:dyDescent="0.35">
      <c r="A209" s="23">
        <f>Dataset1_Raw!A209</f>
        <v>208</v>
      </c>
      <c r="B209" s="24">
        <f>Dataset1_Raw!B209</f>
        <v>40552</v>
      </c>
      <c r="C209" s="23">
        <f>Dataset1_Raw!C209</f>
        <v>1</v>
      </c>
      <c r="D209" s="23">
        <f>Dataset1_Raw!D209</f>
        <v>0</v>
      </c>
      <c r="E209" s="23">
        <f>Dataset1_Raw!E209</f>
        <v>1</v>
      </c>
      <c r="F209" s="23">
        <f>Dataset1_Raw!F209</f>
        <v>22</v>
      </c>
      <c r="G209" s="23" t="b">
        <f>Dataset1_Raw!G209</f>
        <v>0</v>
      </c>
      <c r="H209" s="23">
        <f>Dataset1_Raw!H209</f>
        <v>0</v>
      </c>
      <c r="I209" s="23">
        <f>Dataset1_Raw!I209</f>
        <v>1</v>
      </c>
      <c r="J209" s="25">
        <f>Dataset1_Raw!J209</f>
        <v>0.14000000000000001</v>
      </c>
      <c r="K209" s="25">
        <f>IF(ISNUMBER(INDEX(Dataset2_Raw!$B$2:$B$611,$Q209)),INDEX(Dataset2_Raw!$B$2:$B$611,$Q209),"")</f>
        <v>0.1212</v>
      </c>
      <c r="L209" s="25">
        <f>IF(ISNUMBER(INDEX(Dataset2_Raw!$C$2:$C$611,$Q209)),INDEX(Dataset2_Raw!$C$2:$C$611,$Q209),"")</f>
        <v>0.46</v>
      </c>
      <c r="M209" s="25">
        <f>IF(ISNUMBER(INDEX(Dataset2_Raw!$D$2:$D$611,$Q209)),INDEX(Dataset2_Raw!$D$2:$D$611,$Q209),"")</f>
        <v>0.29849999999999999</v>
      </c>
      <c r="N209" s="23">
        <f>IF(ISNUMBER(INDEX(Dataset2_Raw!$E$2:$E$611,$Q209)),INDEX(Dataset2_Raw!$E$2:$E$611,$Q209),"")</f>
        <v>5</v>
      </c>
      <c r="O209" s="23">
        <f>IF(ISNUMBER(INDEX(Dataset2_Raw!$F$2:$F$611,$Q209)),INDEX(Dataset2_Raw!$F$2:$F$611,$Q209),"")</f>
        <v>10</v>
      </c>
      <c r="P209" s="23">
        <f>IF(ISNUMBER(INDEX(Dataset2_Raw!$G$2:$G$611,$Q209)),INDEX(Dataset2_Raw!$G$2:$G$611,$Q209),"")</f>
        <v>15</v>
      </c>
      <c r="Q209" s="23">
        <f>IFERROR(MATCH($A209,Dataset2_Raw!$A$2:$A$611,0),0)</f>
        <v>208</v>
      </c>
    </row>
    <row r="210" spans="1:17" x14ac:dyDescent="0.35">
      <c r="A210" s="23">
        <f>Dataset1_Raw!A210</f>
        <v>209</v>
      </c>
      <c r="B210" s="24">
        <f>Dataset1_Raw!B210</f>
        <v>40552</v>
      </c>
      <c r="C210" s="23">
        <f>Dataset1_Raw!C210</f>
        <v>1</v>
      </c>
      <c r="D210" s="23">
        <f>Dataset1_Raw!D210</f>
        <v>0</v>
      </c>
      <c r="E210" s="23">
        <f>Dataset1_Raw!E210</f>
        <v>1</v>
      </c>
      <c r="F210" s="23">
        <f>Dataset1_Raw!F210</f>
        <v>23</v>
      </c>
      <c r="G210" s="23" t="b">
        <f>Dataset1_Raw!G210</f>
        <v>0</v>
      </c>
      <c r="H210" s="23">
        <f>Dataset1_Raw!H210</f>
        <v>0</v>
      </c>
      <c r="I210" s="23">
        <f>Dataset1_Raw!I210</f>
        <v>1</v>
      </c>
      <c r="J210" s="25">
        <f>Dataset1_Raw!J210</f>
        <v>0.12</v>
      </c>
      <c r="K210" s="25">
        <f>IF(ISNUMBER(INDEX(Dataset2_Raw!$B$2:$B$611,$Q210)),INDEX(Dataset2_Raw!$B$2:$B$611,$Q210),"")</f>
        <v>0.13639999999999999</v>
      </c>
      <c r="L210" s="25">
        <f>IF(ISNUMBER(INDEX(Dataset2_Raw!$C$2:$C$611,$Q210)),INDEX(Dataset2_Raw!$C$2:$C$611,$Q210),"")</f>
        <v>0.5</v>
      </c>
      <c r="M210" s="25">
        <f>IF(ISNUMBER(INDEX(Dataset2_Raw!$D$2:$D$611,$Q210)),INDEX(Dataset2_Raw!$D$2:$D$611,$Q210),"")</f>
        <v>0.19400000000000001</v>
      </c>
      <c r="N210" s="23">
        <f>IF(ISNUMBER(INDEX(Dataset2_Raw!$E$2:$E$611,$Q210)),INDEX(Dataset2_Raw!$E$2:$E$611,$Q210),"")</f>
        <v>0</v>
      </c>
      <c r="O210" s="23">
        <f>IF(ISNUMBER(INDEX(Dataset2_Raw!$F$2:$F$611,$Q210)),INDEX(Dataset2_Raw!$F$2:$F$611,$Q210),"")</f>
        <v>6</v>
      </c>
      <c r="P210" s="23">
        <f>IF(ISNUMBER(INDEX(Dataset2_Raw!$G$2:$G$611,$Q210)),INDEX(Dataset2_Raw!$G$2:$G$611,$Q210),"")</f>
        <v>6</v>
      </c>
      <c r="Q210" s="23">
        <f>IFERROR(MATCH($A210,Dataset2_Raw!$A$2:$A$611,0),0)</f>
        <v>209</v>
      </c>
    </row>
    <row r="211" spans="1:17" x14ac:dyDescent="0.35">
      <c r="A211" s="23">
        <f>Dataset1_Raw!A211</f>
        <v>210</v>
      </c>
      <c r="B211" s="24">
        <f>Dataset1_Raw!B211</f>
        <v>40553</v>
      </c>
      <c r="C211" s="23">
        <f>Dataset1_Raw!C211</f>
        <v>1</v>
      </c>
      <c r="D211" s="23">
        <f>Dataset1_Raw!D211</f>
        <v>0</v>
      </c>
      <c r="E211" s="23">
        <f>Dataset1_Raw!E211</f>
        <v>1</v>
      </c>
      <c r="F211" s="23">
        <f>Dataset1_Raw!F211</f>
        <v>0</v>
      </c>
      <c r="G211" s="23" t="b">
        <f>Dataset1_Raw!G211</f>
        <v>0</v>
      </c>
      <c r="H211" s="23">
        <f>Dataset1_Raw!H211</f>
        <v>1</v>
      </c>
      <c r="I211" s="23">
        <f>Dataset1_Raw!I211</f>
        <v>1</v>
      </c>
      <c r="J211" s="25">
        <f>Dataset1_Raw!J211</f>
        <v>0.12</v>
      </c>
      <c r="K211" s="25">
        <f>IF(ISNUMBER(INDEX(Dataset2_Raw!$B$2:$B$611,$Q211)),INDEX(Dataset2_Raw!$B$2:$B$611,$Q211),"")</f>
        <v>0.1212</v>
      </c>
      <c r="L211" s="25">
        <f>IF(ISNUMBER(INDEX(Dataset2_Raw!$C$2:$C$611,$Q211)),INDEX(Dataset2_Raw!$C$2:$C$611,$Q211),"")</f>
        <v>0.5</v>
      </c>
      <c r="M211" s="25">
        <f>IF(ISNUMBER(INDEX(Dataset2_Raw!$D$2:$D$611,$Q211)),INDEX(Dataset2_Raw!$D$2:$D$611,$Q211),"")</f>
        <v>0.28360000000000002</v>
      </c>
      <c r="N211" s="23">
        <f>IF(ISNUMBER(INDEX(Dataset2_Raw!$E$2:$E$611,$Q211)),INDEX(Dataset2_Raw!$E$2:$E$611,$Q211),"")</f>
        <v>2</v>
      </c>
      <c r="O211" s="23">
        <f>IF(ISNUMBER(INDEX(Dataset2_Raw!$F$2:$F$611,$Q211)),INDEX(Dataset2_Raw!$F$2:$F$611,$Q211),"")</f>
        <v>3</v>
      </c>
      <c r="P211" s="23">
        <f>IF(ISNUMBER(INDEX(Dataset2_Raw!$G$2:$G$611,$Q211)),INDEX(Dataset2_Raw!$G$2:$G$611,$Q211),"")</f>
        <v>5</v>
      </c>
      <c r="Q211" s="23">
        <f>IFERROR(MATCH($A211,Dataset2_Raw!$A$2:$A$611,0),0)</f>
        <v>210</v>
      </c>
    </row>
    <row r="212" spans="1:17" x14ac:dyDescent="0.35">
      <c r="A212" s="23">
        <f>Dataset1_Raw!A212</f>
        <v>211</v>
      </c>
      <c r="B212" s="24">
        <f>Dataset1_Raw!B212</f>
        <v>40553</v>
      </c>
      <c r="C212" s="23">
        <f>Dataset1_Raw!C212</f>
        <v>1</v>
      </c>
      <c r="D212" s="23">
        <f>Dataset1_Raw!D212</f>
        <v>0</v>
      </c>
      <c r="E212" s="23">
        <f>Dataset1_Raw!E212</f>
        <v>1</v>
      </c>
      <c r="F212" s="23">
        <f>Dataset1_Raw!F212</f>
        <v>1</v>
      </c>
      <c r="G212" s="23" t="b">
        <f>Dataset1_Raw!G212</f>
        <v>0</v>
      </c>
      <c r="H212" s="23">
        <f>Dataset1_Raw!H212</f>
        <v>1</v>
      </c>
      <c r="I212" s="23">
        <f>Dataset1_Raw!I212</f>
        <v>1</v>
      </c>
      <c r="J212" s="25">
        <f>Dataset1_Raw!J212</f>
        <v>0.12</v>
      </c>
      <c r="K212" s="25">
        <f>IF(ISNUMBER(INDEX(Dataset2_Raw!$B$2:$B$611,$Q212)),INDEX(Dataset2_Raw!$B$2:$B$611,$Q212),"")</f>
        <v>0.1212</v>
      </c>
      <c r="L212" s="25">
        <f>IF(ISNUMBER(INDEX(Dataset2_Raw!$C$2:$C$611,$Q212)),INDEX(Dataset2_Raw!$C$2:$C$611,$Q212),"")</f>
        <v>0.5</v>
      </c>
      <c r="M212" s="25">
        <f>IF(ISNUMBER(INDEX(Dataset2_Raw!$D$2:$D$611,$Q212)),INDEX(Dataset2_Raw!$D$2:$D$611,$Q212),"")</f>
        <v>0.28360000000000002</v>
      </c>
      <c r="N212" s="23">
        <f>IF(ISNUMBER(INDEX(Dataset2_Raw!$E$2:$E$611,$Q212)),INDEX(Dataset2_Raw!$E$2:$E$611,$Q212),"")</f>
        <v>1</v>
      </c>
      <c r="O212" s="23">
        <f>IF(ISNUMBER(INDEX(Dataset2_Raw!$F$2:$F$611,$Q212)),INDEX(Dataset2_Raw!$F$2:$F$611,$Q212),"")</f>
        <v>0</v>
      </c>
      <c r="P212" s="23">
        <f>IF(ISNUMBER(INDEX(Dataset2_Raw!$G$2:$G$611,$Q212)),INDEX(Dataset2_Raw!$G$2:$G$611,$Q212),"")</f>
        <v>1</v>
      </c>
      <c r="Q212" s="23">
        <f>IFERROR(MATCH($A212,Dataset2_Raw!$A$2:$A$611,0),0)</f>
        <v>211</v>
      </c>
    </row>
    <row r="213" spans="1:17" x14ac:dyDescent="0.35">
      <c r="A213" s="23">
        <f>Dataset1_Raw!A213</f>
        <v>212</v>
      </c>
      <c r="B213" s="24">
        <f>Dataset1_Raw!B213</f>
        <v>40553</v>
      </c>
      <c r="C213" s="23">
        <f>Dataset1_Raw!C213</f>
        <v>1</v>
      </c>
      <c r="D213" s="23">
        <f>Dataset1_Raw!D213</f>
        <v>0</v>
      </c>
      <c r="E213" s="23">
        <f>Dataset1_Raw!E213</f>
        <v>1</v>
      </c>
      <c r="F213" s="23">
        <f>Dataset1_Raw!F213</f>
        <v>2</v>
      </c>
      <c r="G213" s="23" t="b">
        <f>Dataset1_Raw!G213</f>
        <v>0</v>
      </c>
      <c r="H213" s="23">
        <f>Dataset1_Raw!H213</f>
        <v>1</v>
      </c>
      <c r="I213" s="23">
        <f>Dataset1_Raw!I213</f>
        <v>1</v>
      </c>
      <c r="J213" s="25">
        <f>Dataset1_Raw!J213</f>
        <v>0.12</v>
      </c>
      <c r="K213" s="25">
        <f>IF(ISNUMBER(INDEX(Dataset2_Raw!$B$2:$B$611,$Q213)),INDEX(Dataset2_Raw!$B$2:$B$611,$Q213),"")</f>
        <v>0.1212</v>
      </c>
      <c r="L213" s="25">
        <f>IF(ISNUMBER(INDEX(Dataset2_Raw!$C$2:$C$611,$Q213)),INDEX(Dataset2_Raw!$C$2:$C$611,$Q213),"")</f>
        <v>0.5</v>
      </c>
      <c r="M213" s="25">
        <f>IF(ISNUMBER(INDEX(Dataset2_Raw!$D$2:$D$611,$Q213)),INDEX(Dataset2_Raw!$D$2:$D$611,$Q213),"")</f>
        <v>0.22389999999999999</v>
      </c>
      <c r="N213" s="23">
        <f>IF(ISNUMBER(INDEX(Dataset2_Raw!$E$2:$E$611,$Q213)),INDEX(Dataset2_Raw!$E$2:$E$611,$Q213),"")</f>
        <v>0</v>
      </c>
      <c r="O213" s="23">
        <f>IF(ISNUMBER(INDEX(Dataset2_Raw!$F$2:$F$611,$Q213)),INDEX(Dataset2_Raw!$F$2:$F$611,$Q213),"")</f>
        <v>3</v>
      </c>
      <c r="P213" s="23">
        <f>IF(ISNUMBER(INDEX(Dataset2_Raw!$G$2:$G$611,$Q213)),INDEX(Dataset2_Raw!$G$2:$G$611,$Q213),"")</f>
        <v>3</v>
      </c>
      <c r="Q213" s="23">
        <f>IFERROR(MATCH($A213,Dataset2_Raw!$A$2:$A$611,0),0)</f>
        <v>212</v>
      </c>
    </row>
    <row r="214" spans="1:17" x14ac:dyDescent="0.35">
      <c r="A214" s="23">
        <f>Dataset1_Raw!A214</f>
        <v>213</v>
      </c>
      <c r="B214" s="24">
        <f>Dataset1_Raw!B214</f>
        <v>40553</v>
      </c>
      <c r="C214" s="23">
        <f>Dataset1_Raw!C214</f>
        <v>1</v>
      </c>
      <c r="D214" s="23">
        <f>Dataset1_Raw!D214</f>
        <v>0</v>
      </c>
      <c r="E214" s="23">
        <f>Dataset1_Raw!E214</f>
        <v>1</v>
      </c>
      <c r="F214" s="23">
        <f>Dataset1_Raw!F214</f>
        <v>3</v>
      </c>
      <c r="G214" s="23" t="b">
        <f>Dataset1_Raw!G214</f>
        <v>0</v>
      </c>
      <c r="H214" s="23">
        <f>Dataset1_Raw!H214</f>
        <v>1</v>
      </c>
      <c r="I214" s="23">
        <f>Dataset1_Raw!I214</f>
        <v>1</v>
      </c>
      <c r="J214" s="25">
        <f>Dataset1_Raw!J214</f>
        <v>0.12</v>
      </c>
      <c r="K214" s="25">
        <f>IF(ISNUMBER(INDEX(Dataset2_Raw!$B$2:$B$611,$Q214)),INDEX(Dataset2_Raw!$B$2:$B$611,$Q214),"")</f>
        <v>0.1212</v>
      </c>
      <c r="L214" s="25">
        <f>IF(ISNUMBER(INDEX(Dataset2_Raw!$C$2:$C$611,$Q214)),INDEX(Dataset2_Raw!$C$2:$C$611,$Q214),"")</f>
        <v>0.5</v>
      </c>
      <c r="M214" s="25">
        <f>IF(ISNUMBER(INDEX(Dataset2_Raw!$D$2:$D$611,$Q214)),INDEX(Dataset2_Raw!$D$2:$D$611,$Q214),"")</f>
        <v>0.22389999999999999</v>
      </c>
      <c r="N214" s="23">
        <f>IF(ISNUMBER(INDEX(Dataset2_Raw!$E$2:$E$611,$Q214)),INDEX(Dataset2_Raw!$E$2:$E$611,$Q214),"")</f>
        <v>0</v>
      </c>
      <c r="O214" s="23">
        <f>IF(ISNUMBER(INDEX(Dataset2_Raw!$F$2:$F$611,$Q214)),INDEX(Dataset2_Raw!$F$2:$F$611,$Q214),"")</f>
        <v>1</v>
      </c>
      <c r="P214" s="23">
        <f>IF(ISNUMBER(INDEX(Dataset2_Raw!$G$2:$G$611,$Q214)),INDEX(Dataset2_Raw!$G$2:$G$611,$Q214),"")</f>
        <v>1</v>
      </c>
      <c r="Q214" s="23">
        <f>IFERROR(MATCH($A214,Dataset2_Raw!$A$2:$A$611,0),0)</f>
        <v>213</v>
      </c>
    </row>
    <row r="215" spans="1:17" x14ac:dyDescent="0.35">
      <c r="A215" s="23">
        <f>Dataset1_Raw!A215</f>
        <v>214</v>
      </c>
      <c r="B215" s="24">
        <f>Dataset1_Raw!B215</f>
        <v>40553</v>
      </c>
      <c r="C215" s="23">
        <f>Dataset1_Raw!C215</f>
        <v>1</v>
      </c>
      <c r="D215" s="23">
        <f>Dataset1_Raw!D215</f>
        <v>0</v>
      </c>
      <c r="E215" s="23">
        <f>Dataset1_Raw!E215</f>
        <v>1</v>
      </c>
      <c r="F215" s="23">
        <f>Dataset1_Raw!F215</f>
        <v>4</v>
      </c>
      <c r="G215" s="23" t="b">
        <f>Dataset1_Raw!G215</f>
        <v>0</v>
      </c>
      <c r="H215" s="23">
        <f>Dataset1_Raw!H215</f>
        <v>1</v>
      </c>
      <c r="I215" s="23">
        <f>Dataset1_Raw!I215</f>
        <v>1</v>
      </c>
      <c r="J215" s="25">
        <f>Dataset1_Raw!J215</f>
        <v>0.1</v>
      </c>
      <c r="K215" s="25">
        <f>IF(ISNUMBER(INDEX(Dataset2_Raw!$B$2:$B$611,$Q215)),INDEX(Dataset2_Raw!$B$2:$B$611,$Q215),"")</f>
        <v>0.1212</v>
      </c>
      <c r="L215" s="25">
        <f>IF(ISNUMBER(INDEX(Dataset2_Raw!$C$2:$C$611,$Q215)),INDEX(Dataset2_Raw!$C$2:$C$611,$Q215),"")</f>
        <v>0.54</v>
      </c>
      <c r="M215" s="25">
        <f>IF(ISNUMBER(INDEX(Dataset2_Raw!$D$2:$D$611,$Q215)),INDEX(Dataset2_Raw!$D$2:$D$611,$Q215),"")</f>
        <v>0.1343</v>
      </c>
      <c r="N215" s="23">
        <f>IF(ISNUMBER(INDEX(Dataset2_Raw!$E$2:$E$611,$Q215)),INDEX(Dataset2_Raw!$E$2:$E$611,$Q215),"")</f>
        <v>1</v>
      </c>
      <c r="O215" s="23">
        <f>IF(ISNUMBER(INDEX(Dataset2_Raw!$F$2:$F$611,$Q215)),INDEX(Dataset2_Raw!$F$2:$F$611,$Q215),"")</f>
        <v>2</v>
      </c>
      <c r="P215" s="23">
        <f>IF(ISNUMBER(INDEX(Dataset2_Raw!$G$2:$G$611,$Q215)),INDEX(Dataset2_Raw!$G$2:$G$611,$Q215),"")</f>
        <v>3</v>
      </c>
      <c r="Q215" s="23">
        <f>IFERROR(MATCH($A215,Dataset2_Raw!$A$2:$A$611,0),0)</f>
        <v>214</v>
      </c>
    </row>
    <row r="216" spans="1:17" x14ac:dyDescent="0.35">
      <c r="A216" s="23">
        <f>Dataset1_Raw!A216</f>
        <v>215</v>
      </c>
      <c r="B216" s="24">
        <f>Dataset1_Raw!B216</f>
        <v>40553</v>
      </c>
      <c r="C216" s="23">
        <f>Dataset1_Raw!C216</f>
        <v>1</v>
      </c>
      <c r="D216" s="23">
        <f>Dataset1_Raw!D216</f>
        <v>0</v>
      </c>
      <c r="E216" s="23">
        <f>Dataset1_Raw!E216</f>
        <v>1</v>
      </c>
      <c r="F216" s="23">
        <f>Dataset1_Raw!F216</f>
        <v>5</v>
      </c>
      <c r="G216" s="23" t="b">
        <f>Dataset1_Raw!G216</f>
        <v>0</v>
      </c>
      <c r="H216" s="23">
        <f>Dataset1_Raw!H216</f>
        <v>1</v>
      </c>
      <c r="I216" s="23">
        <f>Dataset1_Raw!I216</f>
        <v>1</v>
      </c>
      <c r="J216" s="25">
        <f>Dataset1_Raw!J216</f>
        <v>0.1</v>
      </c>
      <c r="K216" s="25">
        <f>IF(ISNUMBER(INDEX(Dataset2_Raw!$B$2:$B$611,$Q216)),INDEX(Dataset2_Raw!$B$2:$B$611,$Q216),"")</f>
        <v>0.1061</v>
      </c>
      <c r="L216" s="25">
        <f>IF(ISNUMBER(INDEX(Dataset2_Raw!$C$2:$C$611,$Q216)),INDEX(Dataset2_Raw!$C$2:$C$611,$Q216),"")</f>
        <v>0.54</v>
      </c>
      <c r="M216" s="25">
        <f>IF(ISNUMBER(INDEX(Dataset2_Raw!$D$2:$D$611,$Q216)),INDEX(Dataset2_Raw!$D$2:$D$611,$Q216),"")</f>
        <v>0.25369999999999998</v>
      </c>
      <c r="N216" s="23">
        <f>IF(ISNUMBER(INDEX(Dataset2_Raw!$E$2:$E$611,$Q216)),INDEX(Dataset2_Raw!$E$2:$E$611,$Q216),"")</f>
        <v>0</v>
      </c>
      <c r="O216" s="23">
        <f>IF(ISNUMBER(INDEX(Dataset2_Raw!$F$2:$F$611,$Q216)),INDEX(Dataset2_Raw!$F$2:$F$611,$Q216),"")</f>
        <v>3</v>
      </c>
      <c r="P216" s="23">
        <f>IF(ISNUMBER(INDEX(Dataset2_Raw!$G$2:$G$611,$Q216)),INDEX(Dataset2_Raw!$G$2:$G$611,$Q216),"")</f>
        <v>3</v>
      </c>
      <c r="Q216" s="23">
        <f>IFERROR(MATCH($A216,Dataset2_Raw!$A$2:$A$611,0),0)</f>
        <v>215</v>
      </c>
    </row>
    <row r="217" spans="1:17" x14ac:dyDescent="0.35">
      <c r="A217" s="23">
        <f>Dataset1_Raw!A217</f>
        <v>216</v>
      </c>
      <c r="B217" s="24">
        <f>Dataset1_Raw!B217</f>
        <v>40553</v>
      </c>
      <c r="C217" s="23">
        <f>Dataset1_Raw!C217</f>
        <v>1</v>
      </c>
      <c r="D217" s="23">
        <f>Dataset1_Raw!D217</f>
        <v>0</v>
      </c>
      <c r="E217" s="23">
        <f>Dataset1_Raw!E217</f>
        <v>1</v>
      </c>
      <c r="F217" s="23">
        <f>Dataset1_Raw!F217</f>
        <v>6</v>
      </c>
      <c r="G217" s="23" t="b">
        <f>Dataset1_Raw!G217</f>
        <v>0</v>
      </c>
      <c r="H217" s="23">
        <f>Dataset1_Raw!H217</f>
        <v>1</v>
      </c>
      <c r="I217" s="23">
        <f>Dataset1_Raw!I217</f>
        <v>1</v>
      </c>
      <c r="J217" s="25">
        <f>Dataset1_Raw!J217</f>
        <v>0.12</v>
      </c>
      <c r="K217" s="25">
        <f>IF(ISNUMBER(INDEX(Dataset2_Raw!$B$2:$B$611,$Q217)),INDEX(Dataset2_Raw!$B$2:$B$611,$Q217),"")</f>
        <v>0.1212</v>
      </c>
      <c r="L217" s="25">
        <f>IF(ISNUMBER(INDEX(Dataset2_Raw!$C$2:$C$611,$Q217)),INDEX(Dataset2_Raw!$C$2:$C$611,$Q217),"")</f>
        <v>0.5</v>
      </c>
      <c r="M217" s="25">
        <f>IF(ISNUMBER(INDEX(Dataset2_Raw!$D$2:$D$611,$Q217)),INDEX(Dataset2_Raw!$D$2:$D$611,$Q217),"")</f>
        <v>0.28360000000000002</v>
      </c>
      <c r="N217" s="23">
        <f>IF(ISNUMBER(INDEX(Dataset2_Raw!$E$2:$E$611,$Q217)),INDEX(Dataset2_Raw!$E$2:$E$611,$Q217),"")</f>
        <v>0</v>
      </c>
      <c r="O217" s="23">
        <f>IF(ISNUMBER(INDEX(Dataset2_Raw!$F$2:$F$611,$Q217)),INDEX(Dataset2_Raw!$F$2:$F$611,$Q217),"")</f>
        <v>31</v>
      </c>
      <c r="P217" s="23">
        <f>IF(ISNUMBER(INDEX(Dataset2_Raw!$G$2:$G$611,$Q217)),INDEX(Dataset2_Raw!$G$2:$G$611,$Q217),"")</f>
        <v>31</v>
      </c>
      <c r="Q217" s="23">
        <f>IFERROR(MATCH($A217,Dataset2_Raw!$A$2:$A$611,0),0)</f>
        <v>216</v>
      </c>
    </row>
    <row r="218" spans="1:17" x14ac:dyDescent="0.35">
      <c r="A218" s="23">
        <f>Dataset1_Raw!A218</f>
        <v>217</v>
      </c>
      <c r="B218" s="24">
        <f>Dataset1_Raw!B218</f>
        <v>40553</v>
      </c>
      <c r="C218" s="23">
        <f>Dataset1_Raw!C218</f>
        <v>1</v>
      </c>
      <c r="D218" s="23">
        <f>Dataset1_Raw!D218</f>
        <v>0</v>
      </c>
      <c r="E218" s="23">
        <f>Dataset1_Raw!E218</f>
        <v>1</v>
      </c>
      <c r="F218" s="23">
        <f>Dataset1_Raw!F218</f>
        <v>7</v>
      </c>
      <c r="G218" s="23" t="b">
        <f>Dataset1_Raw!G218</f>
        <v>0</v>
      </c>
      <c r="H218" s="23">
        <f>Dataset1_Raw!H218</f>
        <v>1</v>
      </c>
      <c r="I218" s="23">
        <f>Dataset1_Raw!I218</f>
        <v>1</v>
      </c>
      <c r="J218" s="25">
        <f>Dataset1_Raw!J218</f>
        <v>0.12</v>
      </c>
      <c r="K218" s="25">
        <f>IF(ISNUMBER(INDEX(Dataset2_Raw!$B$2:$B$611,$Q218)),INDEX(Dataset2_Raw!$B$2:$B$611,$Q218),"")</f>
        <v>0.1212</v>
      </c>
      <c r="L218" s="25">
        <f>IF(ISNUMBER(INDEX(Dataset2_Raw!$C$2:$C$611,$Q218)),INDEX(Dataset2_Raw!$C$2:$C$611,$Q218),"")</f>
        <v>0.5</v>
      </c>
      <c r="M218" s="25">
        <f>IF(ISNUMBER(INDEX(Dataset2_Raw!$D$2:$D$611,$Q218)),INDEX(Dataset2_Raw!$D$2:$D$611,$Q218),"")</f>
        <v>0.22389999999999999</v>
      </c>
      <c r="N218" s="23">
        <f>IF(ISNUMBER(INDEX(Dataset2_Raw!$E$2:$E$611,$Q218)),INDEX(Dataset2_Raw!$E$2:$E$611,$Q218),"")</f>
        <v>2</v>
      </c>
      <c r="O218" s="23">
        <f>IF(ISNUMBER(INDEX(Dataset2_Raw!$F$2:$F$611,$Q218)),INDEX(Dataset2_Raw!$F$2:$F$611,$Q218),"")</f>
        <v>75</v>
      </c>
      <c r="P218" s="23">
        <f>IF(ISNUMBER(INDEX(Dataset2_Raw!$G$2:$G$611,$Q218)),INDEX(Dataset2_Raw!$G$2:$G$611,$Q218),"")</f>
        <v>77</v>
      </c>
      <c r="Q218" s="23">
        <f>IFERROR(MATCH($A218,Dataset2_Raw!$A$2:$A$611,0),0)</f>
        <v>217</v>
      </c>
    </row>
    <row r="219" spans="1:17" x14ac:dyDescent="0.35">
      <c r="A219" s="23">
        <f>Dataset1_Raw!A219</f>
        <v>218</v>
      </c>
      <c r="B219" s="24">
        <f>Dataset1_Raw!B219</f>
        <v>40553</v>
      </c>
      <c r="C219" s="23">
        <f>Dataset1_Raw!C219</f>
        <v>1</v>
      </c>
      <c r="D219" s="23">
        <f>Dataset1_Raw!D219</f>
        <v>0</v>
      </c>
      <c r="E219" s="23">
        <f>Dataset1_Raw!E219</f>
        <v>1</v>
      </c>
      <c r="F219" s="23">
        <f>Dataset1_Raw!F219</f>
        <v>8</v>
      </c>
      <c r="G219" s="23" t="b">
        <f>Dataset1_Raw!G219</f>
        <v>0</v>
      </c>
      <c r="H219" s="23">
        <f>Dataset1_Raw!H219</f>
        <v>1</v>
      </c>
      <c r="I219" s="23">
        <f>Dataset1_Raw!I219</f>
        <v>2</v>
      </c>
      <c r="J219" s="25">
        <f>Dataset1_Raw!J219</f>
        <v>0.12</v>
      </c>
      <c r="K219" s="25">
        <f>IF(ISNUMBER(INDEX(Dataset2_Raw!$B$2:$B$611,$Q219)),INDEX(Dataset2_Raw!$B$2:$B$611,$Q219),"")</f>
        <v>0.1212</v>
      </c>
      <c r="L219" s="25">
        <f>IF(ISNUMBER(INDEX(Dataset2_Raw!$C$2:$C$611,$Q219)),INDEX(Dataset2_Raw!$C$2:$C$611,$Q219),"")</f>
        <v>0.5</v>
      </c>
      <c r="M219" s="25">
        <f>IF(ISNUMBER(INDEX(Dataset2_Raw!$D$2:$D$611,$Q219)),INDEX(Dataset2_Raw!$D$2:$D$611,$Q219),"")</f>
        <v>0.28360000000000002</v>
      </c>
      <c r="N219" s="23">
        <f>IF(ISNUMBER(INDEX(Dataset2_Raw!$E$2:$E$611,$Q219)),INDEX(Dataset2_Raw!$E$2:$E$611,$Q219),"")</f>
        <v>4</v>
      </c>
      <c r="O219" s="23">
        <f>IF(ISNUMBER(INDEX(Dataset2_Raw!$F$2:$F$611,$Q219)),INDEX(Dataset2_Raw!$F$2:$F$611,$Q219),"")</f>
        <v>184</v>
      </c>
      <c r="P219" s="23">
        <f>IF(ISNUMBER(INDEX(Dataset2_Raw!$G$2:$G$611,$Q219)),INDEX(Dataset2_Raw!$G$2:$G$611,$Q219),"")</f>
        <v>188</v>
      </c>
      <c r="Q219" s="23">
        <f>IFERROR(MATCH($A219,Dataset2_Raw!$A$2:$A$611,0),0)</f>
        <v>218</v>
      </c>
    </row>
    <row r="220" spans="1:17" x14ac:dyDescent="0.35">
      <c r="A220" s="23">
        <f>Dataset1_Raw!A220</f>
        <v>219</v>
      </c>
      <c r="B220" s="24">
        <f>Dataset1_Raw!B220</f>
        <v>40553</v>
      </c>
      <c r="C220" s="23">
        <f>Dataset1_Raw!C220</f>
        <v>1</v>
      </c>
      <c r="D220" s="23">
        <f>Dataset1_Raw!D220</f>
        <v>0</v>
      </c>
      <c r="E220" s="23">
        <f>Dataset1_Raw!E220</f>
        <v>1</v>
      </c>
      <c r="F220" s="23">
        <f>Dataset1_Raw!F220</f>
        <v>9</v>
      </c>
      <c r="G220" s="23" t="b">
        <f>Dataset1_Raw!G220</f>
        <v>0</v>
      </c>
      <c r="H220" s="23">
        <f>Dataset1_Raw!H220</f>
        <v>1</v>
      </c>
      <c r="I220" s="23">
        <f>Dataset1_Raw!I220</f>
        <v>2</v>
      </c>
      <c r="J220" s="25">
        <f>Dataset1_Raw!J220</f>
        <v>0.14000000000000001</v>
      </c>
      <c r="K220" s="25">
        <f>IF(ISNUMBER(INDEX(Dataset2_Raw!$B$2:$B$611,$Q220)),INDEX(Dataset2_Raw!$B$2:$B$611,$Q220),"")</f>
        <v>0.1212</v>
      </c>
      <c r="L220" s="25">
        <f>IF(ISNUMBER(INDEX(Dataset2_Raw!$C$2:$C$611,$Q220)),INDEX(Dataset2_Raw!$C$2:$C$611,$Q220),"")</f>
        <v>0.5</v>
      </c>
      <c r="M220" s="25">
        <f>IF(ISNUMBER(INDEX(Dataset2_Raw!$D$2:$D$611,$Q220)),INDEX(Dataset2_Raw!$D$2:$D$611,$Q220),"")</f>
        <v>0.25369999999999998</v>
      </c>
      <c r="N220" s="23">
        <f>IF(ISNUMBER(INDEX(Dataset2_Raw!$E$2:$E$611,$Q220)),INDEX(Dataset2_Raw!$E$2:$E$611,$Q220),"")</f>
        <v>2</v>
      </c>
      <c r="O220" s="23">
        <f>IF(ISNUMBER(INDEX(Dataset2_Raw!$F$2:$F$611,$Q220)),INDEX(Dataset2_Raw!$F$2:$F$611,$Q220),"")</f>
        <v>92</v>
      </c>
      <c r="P220" s="23">
        <f>IF(ISNUMBER(INDEX(Dataset2_Raw!$G$2:$G$611,$Q220)),INDEX(Dataset2_Raw!$G$2:$G$611,$Q220),"")</f>
        <v>94</v>
      </c>
      <c r="Q220" s="23">
        <f>IFERROR(MATCH($A220,Dataset2_Raw!$A$2:$A$611,0),0)</f>
        <v>219</v>
      </c>
    </row>
    <row r="221" spans="1:17" x14ac:dyDescent="0.35">
      <c r="A221" s="23">
        <f>Dataset1_Raw!A221</f>
        <v>220</v>
      </c>
      <c r="B221" s="24">
        <f>Dataset1_Raw!B221</f>
        <v>40553</v>
      </c>
      <c r="C221" s="23">
        <f>Dataset1_Raw!C221</f>
        <v>1</v>
      </c>
      <c r="D221" s="23">
        <f>Dataset1_Raw!D221</f>
        <v>0</v>
      </c>
      <c r="E221" s="23">
        <f>Dataset1_Raw!E221</f>
        <v>1</v>
      </c>
      <c r="F221" s="23">
        <f>Dataset1_Raw!F221</f>
        <v>10</v>
      </c>
      <c r="G221" s="23" t="b">
        <f>Dataset1_Raw!G221</f>
        <v>0</v>
      </c>
      <c r="H221" s="23">
        <f>Dataset1_Raw!H221</f>
        <v>1</v>
      </c>
      <c r="I221" s="23">
        <f>Dataset1_Raw!I221</f>
        <v>2</v>
      </c>
      <c r="J221" s="25">
        <f>Dataset1_Raw!J221</f>
        <v>0.14000000000000001</v>
      </c>
      <c r="K221" s="25">
        <f>IF(ISNUMBER(INDEX(Dataset2_Raw!$B$2:$B$611,$Q221)),INDEX(Dataset2_Raw!$B$2:$B$611,$Q221),"")</f>
        <v>0.1212</v>
      </c>
      <c r="L221" s="25">
        <f>IF(ISNUMBER(INDEX(Dataset2_Raw!$C$2:$C$611,$Q221)),INDEX(Dataset2_Raw!$C$2:$C$611,$Q221),"")</f>
        <v>0.5</v>
      </c>
      <c r="M221" s="25">
        <f>IF(ISNUMBER(INDEX(Dataset2_Raw!$D$2:$D$611,$Q221)),INDEX(Dataset2_Raw!$D$2:$D$611,$Q221),"")</f>
        <v>0.29849999999999999</v>
      </c>
      <c r="N221" s="23">
        <f>IF(ISNUMBER(INDEX(Dataset2_Raw!$E$2:$E$611,$Q221)),INDEX(Dataset2_Raw!$E$2:$E$611,$Q221),"")</f>
        <v>0</v>
      </c>
      <c r="O221" s="23">
        <f>IF(ISNUMBER(INDEX(Dataset2_Raw!$F$2:$F$611,$Q221)),INDEX(Dataset2_Raw!$F$2:$F$611,$Q221),"")</f>
        <v>31</v>
      </c>
      <c r="P221" s="23">
        <f>IF(ISNUMBER(INDEX(Dataset2_Raw!$G$2:$G$611,$Q221)),INDEX(Dataset2_Raw!$G$2:$G$611,$Q221),"")</f>
        <v>31</v>
      </c>
      <c r="Q221" s="23">
        <f>IFERROR(MATCH($A221,Dataset2_Raw!$A$2:$A$611,0),0)</f>
        <v>220</v>
      </c>
    </row>
    <row r="222" spans="1:17" x14ac:dyDescent="0.35">
      <c r="A222" s="23">
        <f>Dataset1_Raw!A222</f>
        <v>221</v>
      </c>
      <c r="B222" s="24">
        <f>Dataset1_Raw!B222</f>
        <v>40553</v>
      </c>
      <c r="C222" s="23">
        <f>Dataset1_Raw!C222</f>
        <v>1</v>
      </c>
      <c r="D222" s="23">
        <f>Dataset1_Raw!D222</f>
        <v>0</v>
      </c>
      <c r="E222" s="23">
        <f>Dataset1_Raw!E222</f>
        <v>1</v>
      </c>
      <c r="F222" s="23">
        <f>Dataset1_Raw!F222</f>
        <v>11</v>
      </c>
      <c r="G222" s="23" t="b">
        <f>Dataset1_Raw!G222</f>
        <v>0</v>
      </c>
      <c r="H222" s="23">
        <f>Dataset1_Raw!H222</f>
        <v>1</v>
      </c>
      <c r="I222" s="23">
        <f>Dataset1_Raw!I222</f>
        <v>2</v>
      </c>
      <c r="J222" s="25">
        <f>Dataset1_Raw!J222</f>
        <v>0.16</v>
      </c>
      <c r="K222" s="25">
        <f>IF(ISNUMBER(INDEX(Dataset2_Raw!$B$2:$B$611,$Q222)),INDEX(Dataset2_Raw!$B$2:$B$611,$Q222),"")</f>
        <v>0.13639999999999999</v>
      </c>
      <c r="L222" s="25">
        <f>IF(ISNUMBER(INDEX(Dataset2_Raw!$C$2:$C$611,$Q222)),INDEX(Dataset2_Raw!$C$2:$C$611,$Q222),"")</f>
        <v>0.47</v>
      </c>
      <c r="M222" s="25">
        <f>IF(ISNUMBER(INDEX(Dataset2_Raw!$D$2:$D$611,$Q222)),INDEX(Dataset2_Raw!$D$2:$D$611,$Q222),"")</f>
        <v>0.28360000000000002</v>
      </c>
      <c r="N222" s="23">
        <f>IF(ISNUMBER(INDEX(Dataset2_Raw!$E$2:$E$611,$Q222)),INDEX(Dataset2_Raw!$E$2:$E$611,$Q222),"")</f>
        <v>2</v>
      </c>
      <c r="O222" s="23">
        <f>IF(ISNUMBER(INDEX(Dataset2_Raw!$F$2:$F$611,$Q222)),INDEX(Dataset2_Raw!$F$2:$F$611,$Q222),"")</f>
        <v>28</v>
      </c>
      <c r="P222" s="23">
        <f>IF(ISNUMBER(INDEX(Dataset2_Raw!$G$2:$G$611,$Q222)),INDEX(Dataset2_Raw!$G$2:$G$611,$Q222),"")</f>
        <v>30</v>
      </c>
      <c r="Q222" s="23">
        <f>IFERROR(MATCH($A222,Dataset2_Raw!$A$2:$A$611,0),0)</f>
        <v>221</v>
      </c>
    </row>
    <row r="223" spans="1:17" x14ac:dyDescent="0.35">
      <c r="A223" s="23">
        <f>Dataset1_Raw!A223</f>
        <v>222</v>
      </c>
      <c r="B223" s="24">
        <f>Dataset1_Raw!B223</f>
        <v>40553</v>
      </c>
      <c r="C223" s="23">
        <f>Dataset1_Raw!C223</f>
        <v>1</v>
      </c>
      <c r="D223" s="23">
        <f>Dataset1_Raw!D223</f>
        <v>0</v>
      </c>
      <c r="E223" s="23">
        <f>Dataset1_Raw!E223</f>
        <v>1</v>
      </c>
      <c r="F223" s="23">
        <f>Dataset1_Raw!F223</f>
        <v>12</v>
      </c>
      <c r="G223" s="23" t="b">
        <f>Dataset1_Raw!G223</f>
        <v>0</v>
      </c>
      <c r="H223" s="23">
        <f>Dataset1_Raw!H223</f>
        <v>1</v>
      </c>
      <c r="I223" s="23">
        <f>Dataset1_Raw!I223</f>
        <v>2</v>
      </c>
      <c r="J223" s="25">
        <f>Dataset1_Raw!J223</f>
        <v>0.2</v>
      </c>
      <c r="K223" s="25">
        <f>IF(ISNUMBER(INDEX(Dataset2_Raw!$B$2:$B$611,$Q223)),INDEX(Dataset2_Raw!$B$2:$B$611,$Q223),"")</f>
        <v>0.18179999999999999</v>
      </c>
      <c r="L223" s="25">
        <f>IF(ISNUMBER(INDEX(Dataset2_Raw!$C$2:$C$611,$Q223)),INDEX(Dataset2_Raw!$C$2:$C$611,$Q223),"")</f>
        <v>0.4</v>
      </c>
      <c r="M223" s="25">
        <f>IF(ISNUMBER(INDEX(Dataset2_Raw!$D$2:$D$611,$Q223)),INDEX(Dataset2_Raw!$D$2:$D$611,$Q223),"")</f>
        <v>0.28360000000000002</v>
      </c>
      <c r="N223" s="23">
        <f>IF(ISNUMBER(INDEX(Dataset2_Raw!$E$2:$E$611,$Q223)),INDEX(Dataset2_Raw!$E$2:$E$611,$Q223),"")</f>
        <v>5</v>
      </c>
      <c r="O223" s="23">
        <f>IF(ISNUMBER(INDEX(Dataset2_Raw!$F$2:$F$611,$Q223)),INDEX(Dataset2_Raw!$F$2:$F$611,$Q223),"")</f>
        <v>47</v>
      </c>
      <c r="P223" s="23">
        <f>IF(ISNUMBER(INDEX(Dataset2_Raw!$G$2:$G$611,$Q223)),INDEX(Dataset2_Raw!$G$2:$G$611,$Q223),"")</f>
        <v>52</v>
      </c>
      <c r="Q223" s="23">
        <f>IFERROR(MATCH($A223,Dataset2_Raw!$A$2:$A$611,0),0)</f>
        <v>222</v>
      </c>
    </row>
    <row r="224" spans="1:17" x14ac:dyDescent="0.35">
      <c r="A224" s="23">
        <f>Dataset1_Raw!A224</f>
        <v>223</v>
      </c>
      <c r="B224" s="24">
        <f>Dataset1_Raw!B224</f>
        <v>40553</v>
      </c>
      <c r="C224" s="23">
        <f>Dataset1_Raw!C224</f>
        <v>1</v>
      </c>
      <c r="D224" s="23">
        <f>Dataset1_Raw!D224</f>
        <v>0</v>
      </c>
      <c r="E224" s="23">
        <f>Dataset1_Raw!E224</f>
        <v>1</v>
      </c>
      <c r="F224" s="23">
        <f>Dataset1_Raw!F224</f>
        <v>13</v>
      </c>
      <c r="G224" s="23" t="b">
        <f>Dataset1_Raw!G224</f>
        <v>0</v>
      </c>
      <c r="H224" s="23">
        <f>Dataset1_Raw!H224</f>
        <v>1</v>
      </c>
      <c r="I224" s="23">
        <f>Dataset1_Raw!I224</f>
        <v>2</v>
      </c>
      <c r="J224" s="25">
        <f>Dataset1_Raw!J224</f>
        <v>0.2</v>
      </c>
      <c r="K224" s="25">
        <f>IF(ISNUMBER(INDEX(Dataset2_Raw!$B$2:$B$611,$Q224)),INDEX(Dataset2_Raw!$B$2:$B$611,$Q224),"")</f>
        <v>0.18179999999999999</v>
      </c>
      <c r="L224" s="25">
        <f>IF(ISNUMBER(INDEX(Dataset2_Raw!$C$2:$C$611,$Q224)),INDEX(Dataset2_Raw!$C$2:$C$611,$Q224),"")</f>
        <v>0.4</v>
      </c>
      <c r="M224" s="25">
        <f>IF(ISNUMBER(INDEX(Dataset2_Raw!$D$2:$D$611,$Q224)),INDEX(Dataset2_Raw!$D$2:$D$611,$Q224),"")</f>
        <v>0.28360000000000002</v>
      </c>
      <c r="N224" s="23">
        <f>IF(ISNUMBER(INDEX(Dataset2_Raw!$E$2:$E$611,$Q224)),INDEX(Dataset2_Raw!$E$2:$E$611,$Q224),"")</f>
        <v>4</v>
      </c>
      <c r="O224" s="23">
        <f>IF(ISNUMBER(INDEX(Dataset2_Raw!$F$2:$F$611,$Q224)),INDEX(Dataset2_Raw!$F$2:$F$611,$Q224),"")</f>
        <v>50</v>
      </c>
      <c r="P224" s="23">
        <f>IF(ISNUMBER(INDEX(Dataset2_Raw!$G$2:$G$611,$Q224)),INDEX(Dataset2_Raw!$G$2:$G$611,$Q224),"")</f>
        <v>54</v>
      </c>
      <c r="Q224" s="23">
        <f>IFERROR(MATCH($A224,Dataset2_Raw!$A$2:$A$611,0),0)</f>
        <v>223</v>
      </c>
    </row>
    <row r="225" spans="1:17" x14ac:dyDescent="0.35">
      <c r="A225" s="23">
        <f>Dataset1_Raw!A225</f>
        <v>224</v>
      </c>
      <c r="B225" s="24">
        <f>Dataset1_Raw!B225</f>
        <v>40553</v>
      </c>
      <c r="C225" s="23">
        <f>Dataset1_Raw!C225</f>
        <v>1</v>
      </c>
      <c r="D225" s="23">
        <f>Dataset1_Raw!D225</f>
        <v>0</v>
      </c>
      <c r="E225" s="23">
        <f>Dataset1_Raw!E225</f>
        <v>1</v>
      </c>
      <c r="F225" s="23">
        <f>Dataset1_Raw!F225</f>
        <v>14</v>
      </c>
      <c r="G225" s="23" t="b">
        <f>Dataset1_Raw!G225</f>
        <v>0</v>
      </c>
      <c r="H225" s="23">
        <f>Dataset1_Raw!H225</f>
        <v>1</v>
      </c>
      <c r="I225" s="23">
        <f>Dataset1_Raw!I225</f>
        <v>2</v>
      </c>
      <c r="J225" s="25">
        <f>Dataset1_Raw!J225</f>
        <v>0.2</v>
      </c>
      <c r="K225" s="25">
        <f>IF(ISNUMBER(INDEX(Dataset2_Raw!$B$2:$B$611,$Q225)),INDEX(Dataset2_Raw!$B$2:$B$611,$Q225),"")</f>
        <v>0.19700000000000001</v>
      </c>
      <c r="L225" s="25">
        <f>IF(ISNUMBER(INDEX(Dataset2_Raw!$C$2:$C$611,$Q225)),INDEX(Dataset2_Raw!$C$2:$C$611,$Q225),"")</f>
        <v>0.4</v>
      </c>
      <c r="M225" s="25">
        <f>IF(ISNUMBER(INDEX(Dataset2_Raw!$D$2:$D$611,$Q225)),INDEX(Dataset2_Raw!$D$2:$D$611,$Q225),"")</f>
        <v>0.22389999999999999</v>
      </c>
      <c r="N225" s="23">
        <f>IF(ISNUMBER(INDEX(Dataset2_Raw!$E$2:$E$611,$Q225)),INDEX(Dataset2_Raw!$E$2:$E$611,$Q225),"")</f>
        <v>0</v>
      </c>
      <c r="O225" s="23">
        <f>IF(ISNUMBER(INDEX(Dataset2_Raw!$F$2:$F$611,$Q225)),INDEX(Dataset2_Raw!$F$2:$F$611,$Q225),"")</f>
        <v>47</v>
      </c>
      <c r="P225" s="23">
        <f>IF(ISNUMBER(INDEX(Dataset2_Raw!$G$2:$G$611,$Q225)),INDEX(Dataset2_Raw!$G$2:$G$611,$Q225),"")</f>
        <v>47</v>
      </c>
      <c r="Q225" s="23">
        <f>IFERROR(MATCH($A225,Dataset2_Raw!$A$2:$A$611,0),0)</f>
        <v>224</v>
      </c>
    </row>
    <row r="226" spans="1:17" x14ac:dyDescent="0.35">
      <c r="A226" s="23">
        <f>Dataset1_Raw!A226</f>
        <v>225</v>
      </c>
      <c r="B226" s="24">
        <f>Dataset1_Raw!B226</f>
        <v>40553</v>
      </c>
      <c r="C226" s="23">
        <f>Dataset1_Raw!C226</f>
        <v>1</v>
      </c>
      <c r="D226" s="23">
        <f>Dataset1_Raw!D226</f>
        <v>0</v>
      </c>
      <c r="E226" s="23">
        <f>Dataset1_Raw!E226</f>
        <v>1</v>
      </c>
      <c r="F226" s="23">
        <f>Dataset1_Raw!F226</f>
        <v>15</v>
      </c>
      <c r="G226" s="23" t="b">
        <f>Dataset1_Raw!G226</f>
        <v>0</v>
      </c>
      <c r="H226" s="23">
        <f>Dataset1_Raw!H226</f>
        <v>1</v>
      </c>
      <c r="I226" s="23">
        <f>Dataset1_Raw!I226</f>
        <v>2</v>
      </c>
      <c r="J226" s="25">
        <f>Dataset1_Raw!J226</f>
        <v>0.2</v>
      </c>
      <c r="K226" s="25">
        <f>IF(ISNUMBER(INDEX(Dataset2_Raw!$B$2:$B$611,$Q226)),INDEX(Dataset2_Raw!$B$2:$B$611,$Q226),"")</f>
        <v>0.19700000000000001</v>
      </c>
      <c r="L226" s="25">
        <f>IF(ISNUMBER(INDEX(Dataset2_Raw!$C$2:$C$611,$Q226)),INDEX(Dataset2_Raw!$C$2:$C$611,$Q226),"")</f>
        <v>0.4</v>
      </c>
      <c r="M226" s="25">
        <f>IF(ISNUMBER(INDEX(Dataset2_Raw!$D$2:$D$611,$Q226)),INDEX(Dataset2_Raw!$D$2:$D$611,$Q226),"")</f>
        <v>0.22389999999999999</v>
      </c>
      <c r="N226" s="23">
        <f>IF(ISNUMBER(INDEX(Dataset2_Raw!$E$2:$E$611,$Q226)),INDEX(Dataset2_Raw!$E$2:$E$611,$Q226),"")</f>
        <v>2</v>
      </c>
      <c r="O226" s="23">
        <f>IF(ISNUMBER(INDEX(Dataset2_Raw!$F$2:$F$611,$Q226)),INDEX(Dataset2_Raw!$F$2:$F$611,$Q226),"")</f>
        <v>43</v>
      </c>
      <c r="P226" s="23">
        <f>IF(ISNUMBER(INDEX(Dataset2_Raw!$G$2:$G$611,$Q226)),INDEX(Dataset2_Raw!$G$2:$G$611,$Q226),"")</f>
        <v>45</v>
      </c>
      <c r="Q226" s="23">
        <f>IFERROR(MATCH($A226,Dataset2_Raw!$A$2:$A$611,0),0)</f>
        <v>225</v>
      </c>
    </row>
    <row r="227" spans="1:17" x14ac:dyDescent="0.35">
      <c r="A227" s="23">
        <f>Dataset1_Raw!A227</f>
        <v>226</v>
      </c>
      <c r="B227" s="24">
        <f>Dataset1_Raw!B227</f>
        <v>40553</v>
      </c>
      <c r="C227" s="23">
        <f>Dataset1_Raw!C227</f>
        <v>1</v>
      </c>
      <c r="D227" s="23">
        <f>Dataset1_Raw!D227</f>
        <v>0</v>
      </c>
      <c r="E227" s="23">
        <f>Dataset1_Raw!E227</f>
        <v>1</v>
      </c>
      <c r="F227" s="23">
        <f>Dataset1_Raw!F227</f>
        <v>16</v>
      </c>
      <c r="G227" s="23" t="b">
        <f>Dataset1_Raw!G227</f>
        <v>0</v>
      </c>
      <c r="H227" s="23">
        <f>Dataset1_Raw!H227</f>
        <v>1</v>
      </c>
      <c r="I227" s="23">
        <f>Dataset1_Raw!I227</f>
        <v>1</v>
      </c>
      <c r="J227" s="25">
        <f>Dataset1_Raw!J227</f>
        <v>0.2</v>
      </c>
      <c r="K227" s="25">
        <f>IF(ISNUMBER(INDEX(Dataset2_Raw!$B$2:$B$611,$Q227)),INDEX(Dataset2_Raw!$B$2:$B$611,$Q227),"")</f>
        <v>0.21210000000000001</v>
      </c>
      <c r="L227" s="25">
        <f>IF(ISNUMBER(INDEX(Dataset2_Raw!$C$2:$C$611,$Q227)),INDEX(Dataset2_Raw!$C$2:$C$611,$Q227),"")</f>
        <v>0.4</v>
      </c>
      <c r="M227" s="25">
        <f>IF(ISNUMBER(INDEX(Dataset2_Raw!$D$2:$D$611,$Q227)),INDEX(Dataset2_Raw!$D$2:$D$611,$Q227),"")</f>
        <v>0.1343</v>
      </c>
      <c r="N227" s="23">
        <f>IF(ISNUMBER(INDEX(Dataset2_Raw!$E$2:$E$611,$Q227)),INDEX(Dataset2_Raw!$E$2:$E$611,$Q227),"")</f>
        <v>4</v>
      </c>
      <c r="O227" s="23">
        <f>IF(ISNUMBER(INDEX(Dataset2_Raw!$F$2:$F$611,$Q227)),INDEX(Dataset2_Raw!$F$2:$F$611,$Q227),"")</f>
        <v>70</v>
      </c>
      <c r="P227" s="23">
        <f>IF(ISNUMBER(INDEX(Dataset2_Raw!$G$2:$G$611,$Q227)),INDEX(Dataset2_Raw!$G$2:$G$611,$Q227),"")</f>
        <v>74</v>
      </c>
      <c r="Q227" s="23">
        <f>IFERROR(MATCH($A227,Dataset2_Raw!$A$2:$A$611,0),0)</f>
        <v>226</v>
      </c>
    </row>
    <row r="228" spans="1:17" x14ac:dyDescent="0.35">
      <c r="A228" s="23">
        <f>Dataset1_Raw!A228</f>
        <v>227</v>
      </c>
      <c r="B228" s="24">
        <f>Dataset1_Raw!B228</f>
        <v>40553</v>
      </c>
      <c r="C228" s="23">
        <f>Dataset1_Raw!C228</f>
        <v>1</v>
      </c>
      <c r="D228" s="23">
        <f>Dataset1_Raw!D228</f>
        <v>0</v>
      </c>
      <c r="E228" s="23">
        <f>Dataset1_Raw!E228</f>
        <v>1</v>
      </c>
      <c r="F228" s="23">
        <f>Dataset1_Raw!F228</f>
        <v>17</v>
      </c>
      <c r="G228" s="23" t="b">
        <f>Dataset1_Raw!G228</f>
        <v>0</v>
      </c>
      <c r="H228" s="23">
        <f>Dataset1_Raw!H228</f>
        <v>1</v>
      </c>
      <c r="I228" s="23">
        <f>Dataset1_Raw!I228</f>
        <v>1</v>
      </c>
      <c r="J228" s="25">
        <f>Dataset1_Raw!J228</f>
        <v>0.2</v>
      </c>
      <c r="K228" s="25">
        <f>IF(ISNUMBER(INDEX(Dataset2_Raw!$B$2:$B$611,$Q228)),INDEX(Dataset2_Raw!$B$2:$B$611,$Q228),"")</f>
        <v>0.2273</v>
      </c>
      <c r="L228" s="25">
        <f>IF(ISNUMBER(INDEX(Dataset2_Raw!$C$2:$C$611,$Q228)),INDEX(Dataset2_Raw!$C$2:$C$611,$Q228),"")</f>
        <v>0.4</v>
      </c>
      <c r="M228" s="25">
        <f>IF(ISNUMBER(INDEX(Dataset2_Raw!$D$2:$D$611,$Q228)),INDEX(Dataset2_Raw!$D$2:$D$611,$Q228),"")</f>
        <v>0.1045</v>
      </c>
      <c r="N228" s="23">
        <f>IF(ISNUMBER(INDEX(Dataset2_Raw!$E$2:$E$611,$Q228)),INDEX(Dataset2_Raw!$E$2:$E$611,$Q228),"")</f>
        <v>4</v>
      </c>
      <c r="O228" s="23">
        <f>IF(ISNUMBER(INDEX(Dataset2_Raw!$F$2:$F$611,$Q228)),INDEX(Dataset2_Raw!$F$2:$F$611,$Q228),"")</f>
        <v>174</v>
      </c>
      <c r="P228" s="23">
        <f>IF(ISNUMBER(INDEX(Dataset2_Raw!$G$2:$G$611,$Q228)),INDEX(Dataset2_Raw!$G$2:$G$611,$Q228),"")</f>
        <v>178</v>
      </c>
      <c r="Q228" s="23">
        <f>IFERROR(MATCH($A228,Dataset2_Raw!$A$2:$A$611,0),0)</f>
        <v>227</v>
      </c>
    </row>
    <row r="229" spans="1:17" x14ac:dyDescent="0.35">
      <c r="A229" s="23">
        <f>Dataset1_Raw!A229</f>
        <v>228</v>
      </c>
      <c r="B229" s="24">
        <f>Dataset1_Raw!B229</f>
        <v>40553</v>
      </c>
      <c r="C229" s="23">
        <f>Dataset1_Raw!C229</f>
        <v>1</v>
      </c>
      <c r="D229" s="23">
        <f>Dataset1_Raw!D229</f>
        <v>0</v>
      </c>
      <c r="E229" s="23">
        <f>Dataset1_Raw!E229</f>
        <v>1</v>
      </c>
      <c r="F229" s="23">
        <f>Dataset1_Raw!F229</f>
        <v>18</v>
      </c>
      <c r="G229" s="23" t="b">
        <f>Dataset1_Raw!G229</f>
        <v>0</v>
      </c>
      <c r="H229" s="23">
        <f>Dataset1_Raw!H229</f>
        <v>1</v>
      </c>
      <c r="I229" s="23">
        <f>Dataset1_Raw!I229</f>
        <v>1</v>
      </c>
      <c r="J229" s="25">
        <f>Dataset1_Raw!J229</f>
        <v>0.2</v>
      </c>
      <c r="K229" s="25">
        <f>IF(ISNUMBER(INDEX(Dataset2_Raw!$B$2:$B$611,$Q229)),INDEX(Dataset2_Raw!$B$2:$B$611,$Q229),"")</f>
        <v>0.19700000000000001</v>
      </c>
      <c r="L229" s="25">
        <f>IF(ISNUMBER(INDEX(Dataset2_Raw!$C$2:$C$611,$Q229)),INDEX(Dataset2_Raw!$C$2:$C$611,$Q229),"")</f>
        <v>0.4</v>
      </c>
      <c r="M229" s="25">
        <f>IF(ISNUMBER(INDEX(Dataset2_Raw!$D$2:$D$611,$Q229)),INDEX(Dataset2_Raw!$D$2:$D$611,$Q229),"")</f>
        <v>0.22389999999999999</v>
      </c>
      <c r="N229" s="23">
        <f>IF(ISNUMBER(INDEX(Dataset2_Raw!$E$2:$E$611,$Q229)),INDEX(Dataset2_Raw!$E$2:$E$611,$Q229),"")</f>
        <v>1</v>
      </c>
      <c r="O229" s="23">
        <f>IF(ISNUMBER(INDEX(Dataset2_Raw!$F$2:$F$611,$Q229)),INDEX(Dataset2_Raw!$F$2:$F$611,$Q229),"")</f>
        <v>154</v>
      </c>
      <c r="P229" s="23">
        <f>IF(ISNUMBER(INDEX(Dataset2_Raw!$G$2:$G$611,$Q229)),INDEX(Dataset2_Raw!$G$2:$G$611,$Q229),"")</f>
        <v>155</v>
      </c>
      <c r="Q229" s="23">
        <f>IFERROR(MATCH($A229,Dataset2_Raw!$A$2:$A$611,0),0)</f>
        <v>228</v>
      </c>
    </row>
    <row r="230" spans="1:17" x14ac:dyDescent="0.35">
      <c r="A230" s="23">
        <f>Dataset1_Raw!A230</f>
        <v>229</v>
      </c>
      <c r="B230" s="24">
        <f>Dataset1_Raw!B230</f>
        <v>40553</v>
      </c>
      <c r="C230" s="23">
        <f>Dataset1_Raw!C230</f>
        <v>1</v>
      </c>
      <c r="D230" s="23">
        <f>Dataset1_Raw!D230</f>
        <v>0</v>
      </c>
      <c r="E230" s="23">
        <f>Dataset1_Raw!E230</f>
        <v>1</v>
      </c>
      <c r="F230" s="23">
        <f>Dataset1_Raw!F230</f>
        <v>19</v>
      </c>
      <c r="G230" s="23" t="b">
        <f>Dataset1_Raw!G230</f>
        <v>0</v>
      </c>
      <c r="H230" s="23">
        <f>Dataset1_Raw!H230</f>
        <v>1</v>
      </c>
      <c r="I230" s="23">
        <f>Dataset1_Raw!I230</f>
        <v>1</v>
      </c>
      <c r="J230" s="25">
        <f>Dataset1_Raw!J230</f>
        <v>0.16</v>
      </c>
      <c r="K230" s="25">
        <f>IF(ISNUMBER(INDEX(Dataset2_Raw!$B$2:$B$611,$Q230)),INDEX(Dataset2_Raw!$B$2:$B$611,$Q230),"")</f>
        <v>0.16669999999999999</v>
      </c>
      <c r="L230" s="25">
        <f>IF(ISNUMBER(INDEX(Dataset2_Raw!$C$2:$C$611,$Q230)),INDEX(Dataset2_Raw!$C$2:$C$611,$Q230),"")</f>
        <v>0.47</v>
      </c>
      <c r="M230" s="25">
        <f>IF(ISNUMBER(INDEX(Dataset2_Raw!$D$2:$D$611,$Q230)),INDEX(Dataset2_Raw!$D$2:$D$611,$Q230),"")</f>
        <v>0.16420000000000001</v>
      </c>
      <c r="N230" s="23">
        <f>IF(ISNUMBER(INDEX(Dataset2_Raw!$E$2:$E$611,$Q230)),INDEX(Dataset2_Raw!$E$2:$E$611,$Q230),"")</f>
        <v>3</v>
      </c>
      <c r="O230" s="23">
        <f>IF(ISNUMBER(INDEX(Dataset2_Raw!$F$2:$F$611,$Q230)),INDEX(Dataset2_Raw!$F$2:$F$611,$Q230),"")</f>
        <v>92</v>
      </c>
      <c r="P230" s="23">
        <f>IF(ISNUMBER(INDEX(Dataset2_Raw!$G$2:$G$611,$Q230)),INDEX(Dataset2_Raw!$G$2:$G$611,$Q230),"")</f>
        <v>95</v>
      </c>
      <c r="Q230" s="23">
        <f>IFERROR(MATCH($A230,Dataset2_Raw!$A$2:$A$611,0),0)</f>
        <v>229</v>
      </c>
    </row>
    <row r="231" spans="1:17" x14ac:dyDescent="0.35">
      <c r="A231" s="23">
        <f>Dataset1_Raw!A231</f>
        <v>230</v>
      </c>
      <c r="B231" s="24">
        <f>Dataset1_Raw!B231</f>
        <v>40553</v>
      </c>
      <c r="C231" s="23">
        <f>Dataset1_Raw!C231</f>
        <v>1</v>
      </c>
      <c r="D231" s="23">
        <f>Dataset1_Raw!D231</f>
        <v>0</v>
      </c>
      <c r="E231" s="23">
        <f>Dataset1_Raw!E231</f>
        <v>1</v>
      </c>
      <c r="F231" s="23">
        <f>Dataset1_Raw!F231</f>
        <v>20</v>
      </c>
      <c r="G231" s="23" t="b">
        <f>Dataset1_Raw!G231</f>
        <v>0</v>
      </c>
      <c r="H231" s="23">
        <f>Dataset1_Raw!H231</f>
        <v>1</v>
      </c>
      <c r="I231" s="23">
        <f>Dataset1_Raw!I231</f>
        <v>1</v>
      </c>
      <c r="J231" s="25">
        <f>Dataset1_Raw!J231</f>
        <v>0.16</v>
      </c>
      <c r="K231" s="25">
        <f>IF(ISNUMBER(INDEX(Dataset2_Raw!$B$2:$B$611,$Q231)),INDEX(Dataset2_Raw!$B$2:$B$611,$Q231),"")</f>
        <v>0.16669999999999999</v>
      </c>
      <c r="L231" s="25">
        <f>IF(ISNUMBER(INDEX(Dataset2_Raw!$C$2:$C$611,$Q231)),INDEX(Dataset2_Raw!$C$2:$C$611,$Q231),"")</f>
        <v>0.5</v>
      </c>
      <c r="M231" s="25">
        <f>IF(ISNUMBER(INDEX(Dataset2_Raw!$D$2:$D$611,$Q231)),INDEX(Dataset2_Raw!$D$2:$D$611,$Q231),"")</f>
        <v>0.16420000000000001</v>
      </c>
      <c r="N231" s="23">
        <f>IF(ISNUMBER(INDEX(Dataset2_Raw!$E$2:$E$611,$Q231)),INDEX(Dataset2_Raw!$E$2:$E$611,$Q231),"")</f>
        <v>1</v>
      </c>
      <c r="O231" s="23">
        <f>IF(ISNUMBER(INDEX(Dataset2_Raw!$F$2:$F$611,$Q231)),INDEX(Dataset2_Raw!$F$2:$F$611,$Q231),"")</f>
        <v>73</v>
      </c>
      <c r="P231" s="23">
        <f>IF(ISNUMBER(INDEX(Dataset2_Raw!$G$2:$G$611,$Q231)),INDEX(Dataset2_Raw!$G$2:$G$611,$Q231),"")</f>
        <v>74</v>
      </c>
      <c r="Q231" s="23">
        <f>IFERROR(MATCH($A231,Dataset2_Raw!$A$2:$A$611,0),0)</f>
        <v>230</v>
      </c>
    </row>
    <row r="232" spans="1:17" x14ac:dyDescent="0.35">
      <c r="A232" s="23">
        <f>Dataset1_Raw!A232</f>
        <v>231</v>
      </c>
      <c r="B232" s="24">
        <f>Dataset1_Raw!B232</f>
        <v>40553</v>
      </c>
      <c r="C232" s="23">
        <f>Dataset1_Raw!C232</f>
        <v>1</v>
      </c>
      <c r="D232" s="23">
        <f>Dataset1_Raw!D232</f>
        <v>0</v>
      </c>
      <c r="E232" s="23">
        <f>Dataset1_Raw!E232</f>
        <v>1</v>
      </c>
      <c r="F232" s="23">
        <f>Dataset1_Raw!F232</f>
        <v>21</v>
      </c>
      <c r="G232" s="23" t="b">
        <f>Dataset1_Raw!G232</f>
        <v>0</v>
      </c>
      <c r="H232" s="23">
        <f>Dataset1_Raw!H232</f>
        <v>1</v>
      </c>
      <c r="I232" s="23">
        <f>Dataset1_Raw!I232</f>
        <v>1</v>
      </c>
      <c r="J232" s="25">
        <f>Dataset1_Raw!J232</f>
        <v>0.14000000000000001</v>
      </c>
      <c r="K232" s="25">
        <f>IF(ISNUMBER(INDEX(Dataset2_Raw!$B$2:$B$611,$Q232)),INDEX(Dataset2_Raw!$B$2:$B$611,$Q232),"")</f>
        <v>0.13639999999999999</v>
      </c>
      <c r="L232" s="25">
        <f>IF(ISNUMBER(INDEX(Dataset2_Raw!$C$2:$C$611,$Q232)),INDEX(Dataset2_Raw!$C$2:$C$611,$Q232),"")</f>
        <v>0.59</v>
      </c>
      <c r="M232" s="25">
        <f>IF(ISNUMBER(INDEX(Dataset2_Raw!$D$2:$D$611,$Q232)),INDEX(Dataset2_Raw!$D$2:$D$611,$Q232),"")</f>
        <v>0.19400000000000001</v>
      </c>
      <c r="N232" s="23">
        <f>IF(ISNUMBER(INDEX(Dataset2_Raw!$E$2:$E$611,$Q232)),INDEX(Dataset2_Raw!$E$2:$E$611,$Q232),"")</f>
        <v>1</v>
      </c>
      <c r="O232" s="23">
        <f>IF(ISNUMBER(INDEX(Dataset2_Raw!$F$2:$F$611,$Q232)),INDEX(Dataset2_Raw!$F$2:$F$611,$Q232),"")</f>
        <v>37</v>
      </c>
      <c r="P232" s="23">
        <f>IF(ISNUMBER(INDEX(Dataset2_Raw!$G$2:$G$611,$Q232)),INDEX(Dataset2_Raw!$G$2:$G$611,$Q232),"")</f>
        <v>38</v>
      </c>
      <c r="Q232" s="23">
        <f>IFERROR(MATCH($A232,Dataset2_Raw!$A$2:$A$611,0),0)</f>
        <v>231</v>
      </c>
    </row>
    <row r="233" spans="1:17" x14ac:dyDescent="0.35">
      <c r="A233" s="23">
        <f>Dataset1_Raw!A233</f>
        <v>232</v>
      </c>
      <c r="B233" s="24">
        <f>Dataset1_Raw!B233</f>
        <v>40553</v>
      </c>
      <c r="C233" s="23">
        <f>Dataset1_Raw!C233</f>
        <v>1</v>
      </c>
      <c r="D233" s="23">
        <f>Dataset1_Raw!D233</f>
        <v>0</v>
      </c>
      <c r="E233" s="23">
        <f>Dataset1_Raw!E233</f>
        <v>1</v>
      </c>
      <c r="F233" s="23">
        <f>Dataset1_Raw!F233</f>
        <v>22</v>
      </c>
      <c r="G233" s="23" t="b">
        <f>Dataset1_Raw!G233</f>
        <v>0</v>
      </c>
      <c r="H233" s="23">
        <f>Dataset1_Raw!H233</f>
        <v>1</v>
      </c>
      <c r="I233" s="23">
        <f>Dataset1_Raw!I233</f>
        <v>1</v>
      </c>
      <c r="J233" s="25">
        <f>Dataset1_Raw!J233</f>
        <v>0.14000000000000001</v>
      </c>
      <c r="K233" s="25">
        <f>IF(ISNUMBER(INDEX(Dataset2_Raw!$B$2:$B$611,$Q233)),INDEX(Dataset2_Raw!$B$2:$B$611,$Q233),"")</f>
        <v>0.1515</v>
      </c>
      <c r="L233" s="25">
        <f>IF(ISNUMBER(INDEX(Dataset2_Raw!$C$2:$C$611,$Q233)),INDEX(Dataset2_Raw!$C$2:$C$611,$Q233),"")</f>
        <v>0.59</v>
      </c>
      <c r="M233" s="25">
        <f>IF(ISNUMBER(INDEX(Dataset2_Raw!$D$2:$D$611,$Q233)),INDEX(Dataset2_Raw!$D$2:$D$611,$Q233),"")</f>
        <v>0.16420000000000001</v>
      </c>
      <c r="N233" s="23">
        <f>IF(ISNUMBER(INDEX(Dataset2_Raw!$E$2:$E$611,$Q233)),INDEX(Dataset2_Raw!$E$2:$E$611,$Q233),"")</f>
        <v>2</v>
      </c>
      <c r="O233" s="23">
        <f>IF(ISNUMBER(INDEX(Dataset2_Raw!$F$2:$F$611,$Q233)),INDEX(Dataset2_Raw!$F$2:$F$611,$Q233),"")</f>
        <v>22</v>
      </c>
      <c r="P233" s="23">
        <f>IF(ISNUMBER(INDEX(Dataset2_Raw!$G$2:$G$611,$Q233)),INDEX(Dataset2_Raw!$G$2:$G$611,$Q233),"")</f>
        <v>24</v>
      </c>
      <c r="Q233" s="23">
        <f>IFERROR(MATCH($A233,Dataset2_Raw!$A$2:$A$611,0),0)</f>
        <v>232</v>
      </c>
    </row>
    <row r="234" spans="1:17" x14ac:dyDescent="0.35">
      <c r="A234" s="23">
        <f>Dataset1_Raw!A234</f>
        <v>233</v>
      </c>
      <c r="B234" s="24">
        <f>Dataset1_Raw!B234</f>
        <v>40553</v>
      </c>
      <c r="C234" s="23">
        <f>Dataset1_Raw!C234</f>
        <v>1</v>
      </c>
      <c r="D234" s="23">
        <f>Dataset1_Raw!D234</f>
        <v>0</v>
      </c>
      <c r="E234" s="23">
        <f>Dataset1_Raw!E234</f>
        <v>1</v>
      </c>
      <c r="F234" s="23">
        <f>Dataset1_Raw!F234</f>
        <v>23</v>
      </c>
      <c r="G234" s="23" t="b">
        <f>Dataset1_Raw!G234</f>
        <v>0</v>
      </c>
      <c r="H234" s="23">
        <f>Dataset1_Raw!H234</f>
        <v>1</v>
      </c>
      <c r="I234" s="23">
        <f>Dataset1_Raw!I234</f>
        <v>1</v>
      </c>
      <c r="J234" s="25">
        <f>Dataset1_Raw!J234</f>
        <v>0.14000000000000001</v>
      </c>
      <c r="K234" s="25">
        <f>IF(ISNUMBER(INDEX(Dataset2_Raw!$B$2:$B$611,$Q234)),INDEX(Dataset2_Raw!$B$2:$B$611,$Q234),"")</f>
        <v>0.1515</v>
      </c>
      <c r="L234" s="25">
        <f>IF(ISNUMBER(INDEX(Dataset2_Raw!$C$2:$C$611,$Q234)),INDEX(Dataset2_Raw!$C$2:$C$611,$Q234),"")</f>
        <v>0.59</v>
      </c>
      <c r="M234" s="25">
        <f>IF(ISNUMBER(INDEX(Dataset2_Raw!$D$2:$D$611,$Q234)),INDEX(Dataset2_Raw!$D$2:$D$611,$Q234),"")</f>
        <v>0.16420000000000001</v>
      </c>
      <c r="N234" s="23">
        <f>IF(ISNUMBER(INDEX(Dataset2_Raw!$E$2:$E$611,$Q234)),INDEX(Dataset2_Raw!$E$2:$E$611,$Q234),"")</f>
        <v>0</v>
      </c>
      <c r="O234" s="23">
        <f>IF(ISNUMBER(INDEX(Dataset2_Raw!$F$2:$F$611,$Q234)),INDEX(Dataset2_Raw!$F$2:$F$611,$Q234),"")</f>
        <v>18</v>
      </c>
      <c r="P234" s="23">
        <f>IF(ISNUMBER(INDEX(Dataset2_Raw!$G$2:$G$611,$Q234)),INDEX(Dataset2_Raw!$G$2:$G$611,$Q234),"")</f>
        <v>18</v>
      </c>
      <c r="Q234" s="23">
        <f>IFERROR(MATCH($A234,Dataset2_Raw!$A$2:$A$611,0),0)</f>
        <v>233</v>
      </c>
    </row>
    <row r="235" spans="1:17" x14ac:dyDescent="0.35">
      <c r="A235" s="23">
        <f>Dataset1_Raw!A235</f>
        <v>234</v>
      </c>
      <c r="B235" s="24">
        <f>Dataset1_Raw!B235</f>
        <v>40554</v>
      </c>
      <c r="C235" s="23">
        <f>Dataset1_Raw!C235</f>
        <v>1</v>
      </c>
      <c r="D235" s="23">
        <f>Dataset1_Raw!D235</f>
        <v>0</v>
      </c>
      <c r="E235" s="23">
        <f>Dataset1_Raw!E235</f>
        <v>1</v>
      </c>
      <c r="F235" s="23">
        <f>Dataset1_Raw!F235</f>
        <v>0</v>
      </c>
      <c r="G235" s="23" t="b">
        <f>Dataset1_Raw!G235</f>
        <v>0</v>
      </c>
      <c r="H235" s="23">
        <f>Dataset1_Raw!H235</f>
        <v>2</v>
      </c>
      <c r="I235" s="23">
        <f>Dataset1_Raw!I235</f>
        <v>1</v>
      </c>
      <c r="J235" s="25">
        <f>Dataset1_Raw!J235</f>
        <v>0.14000000000000001</v>
      </c>
      <c r="K235" s="25">
        <f>IF(ISNUMBER(INDEX(Dataset2_Raw!$B$2:$B$611,$Q235)),INDEX(Dataset2_Raw!$B$2:$B$611,$Q235),"")</f>
        <v>0.16669999999999999</v>
      </c>
      <c r="L235" s="25">
        <f>IF(ISNUMBER(INDEX(Dataset2_Raw!$C$2:$C$611,$Q235)),INDEX(Dataset2_Raw!$C$2:$C$611,$Q235),"")</f>
        <v>0.59</v>
      </c>
      <c r="M235" s="25">
        <f>IF(ISNUMBER(INDEX(Dataset2_Raw!$D$2:$D$611,$Q235)),INDEX(Dataset2_Raw!$D$2:$D$611,$Q235),"")</f>
        <v>0.1045</v>
      </c>
      <c r="N235" s="23">
        <f>IF(ISNUMBER(INDEX(Dataset2_Raw!$E$2:$E$611,$Q235)),INDEX(Dataset2_Raw!$E$2:$E$611,$Q235),"")</f>
        <v>2</v>
      </c>
      <c r="O235" s="23">
        <f>IF(ISNUMBER(INDEX(Dataset2_Raw!$F$2:$F$611,$Q235)),INDEX(Dataset2_Raw!$F$2:$F$611,$Q235),"")</f>
        <v>10</v>
      </c>
      <c r="P235" s="23">
        <f>IF(ISNUMBER(INDEX(Dataset2_Raw!$G$2:$G$611,$Q235)),INDEX(Dataset2_Raw!$G$2:$G$611,$Q235),"")</f>
        <v>12</v>
      </c>
      <c r="Q235" s="23">
        <f>IFERROR(MATCH($A235,Dataset2_Raw!$A$2:$A$611,0),0)</f>
        <v>234</v>
      </c>
    </row>
    <row r="236" spans="1:17" x14ac:dyDescent="0.35">
      <c r="A236" s="23">
        <f>Dataset1_Raw!A236</f>
        <v>235</v>
      </c>
      <c r="B236" s="24">
        <f>Dataset1_Raw!B236</f>
        <v>40554</v>
      </c>
      <c r="C236" s="23">
        <f>Dataset1_Raw!C236</f>
        <v>1</v>
      </c>
      <c r="D236" s="23">
        <f>Dataset1_Raw!D236</f>
        <v>0</v>
      </c>
      <c r="E236" s="23">
        <f>Dataset1_Raw!E236</f>
        <v>1</v>
      </c>
      <c r="F236" s="23">
        <f>Dataset1_Raw!F236</f>
        <v>1</v>
      </c>
      <c r="G236" s="23" t="b">
        <f>Dataset1_Raw!G236</f>
        <v>0</v>
      </c>
      <c r="H236" s="23">
        <f>Dataset1_Raw!H236</f>
        <v>2</v>
      </c>
      <c r="I236" s="23">
        <f>Dataset1_Raw!I236</f>
        <v>1</v>
      </c>
      <c r="J236" s="25">
        <f>Dataset1_Raw!J236</f>
        <v>0.14000000000000001</v>
      </c>
      <c r="K236" s="25">
        <f>IF(ISNUMBER(INDEX(Dataset2_Raw!$B$2:$B$611,$Q236)),INDEX(Dataset2_Raw!$B$2:$B$611,$Q236),"")</f>
        <v>0.1515</v>
      </c>
      <c r="L236" s="25">
        <f>IF(ISNUMBER(INDEX(Dataset2_Raw!$C$2:$C$611,$Q236)),INDEX(Dataset2_Raw!$C$2:$C$611,$Q236),"")</f>
        <v>0.59</v>
      </c>
      <c r="M236" s="25">
        <f>IF(ISNUMBER(INDEX(Dataset2_Raw!$D$2:$D$611,$Q236)),INDEX(Dataset2_Raw!$D$2:$D$611,$Q236),"")</f>
        <v>0.16420000000000001</v>
      </c>
      <c r="N236" s="23">
        <f>IF(ISNUMBER(INDEX(Dataset2_Raw!$E$2:$E$611,$Q236)),INDEX(Dataset2_Raw!$E$2:$E$611,$Q236),"")</f>
        <v>0</v>
      </c>
      <c r="O236" s="23">
        <f>IF(ISNUMBER(INDEX(Dataset2_Raw!$F$2:$F$611,$Q236)),INDEX(Dataset2_Raw!$F$2:$F$611,$Q236),"")</f>
        <v>3</v>
      </c>
      <c r="P236" s="23">
        <f>IF(ISNUMBER(INDEX(Dataset2_Raw!$G$2:$G$611,$Q236)),INDEX(Dataset2_Raw!$G$2:$G$611,$Q236),"")</f>
        <v>3</v>
      </c>
      <c r="Q236" s="23">
        <f>IFERROR(MATCH($A236,Dataset2_Raw!$A$2:$A$611,0),0)</f>
        <v>235</v>
      </c>
    </row>
    <row r="237" spans="1:17" x14ac:dyDescent="0.35">
      <c r="A237" s="23">
        <f>Dataset1_Raw!A237</f>
        <v>236</v>
      </c>
      <c r="B237" s="24">
        <f>Dataset1_Raw!B237</f>
        <v>40554</v>
      </c>
      <c r="C237" s="23">
        <f>Dataset1_Raw!C237</f>
        <v>1</v>
      </c>
      <c r="D237" s="23">
        <f>Dataset1_Raw!D237</f>
        <v>0</v>
      </c>
      <c r="E237" s="23">
        <f>Dataset1_Raw!E237</f>
        <v>1</v>
      </c>
      <c r="F237" s="23">
        <f>Dataset1_Raw!F237</f>
        <v>2</v>
      </c>
      <c r="G237" s="23" t="b">
        <f>Dataset1_Raw!G237</f>
        <v>0</v>
      </c>
      <c r="H237" s="23">
        <f>Dataset1_Raw!H237</f>
        <v>2</v>
      </c>
      <c r="I237" s="23">
        <f>Dataset1_Raw!I237</f>
        <v>2</v>
      </c>
      <c r="J237" s="25">
        <f>Dataset1_Raw!J237</f>
        <v>0.16</v>
      </c>
      <c r="K237" s="25">
        <f>IF(ISNUMBER(INDEX(Dataset2_Raw!$B$2:$B$611,$Q237)),INDEX(Dataset2_Raw!$B$2:$B$611,$Q237),"")</f>
        <v>0.1515</v>
      </c>
      <c r="L237" s="25">
        <f>IF(ISNUMBER(INDEX(Dataset2_Raw!$C$2:$C$611,$Q237)),INDEX(Dataset2_Raw!$C$2:$C$611,$Q237),"")</f>
        <v>0.55000000000000004</v>
      </c>
      <c r="M237" s="25">
        <f>IF(ISNUMBER(INDEX(Dataset2_Raw!$D$2:$D$611,$Q237)),INDEX(Dataset2_Raw!$D$2:$D$611,$Q237),"")</f>
        <v>0.19400000000000001</v>
      </c>
      <c r="N237" s="23">
        <f>IF(ISNUMBER(INDEX(Dataset2_Raw!$E$2:$E$611,$Q237)),INDEX(Dataset2_Raw!$E$2:$E$611,$Q237),"")</f>
        <v>0</v>
      </c>
      <c r="O237" s="23">
        <f>IF(ISNUMBER(INDEX(Dataset2_Raw!$F$2:$F$611,$Q237)),INDEX(Dataset2_Raw!$F$2:$F$611,$Q237),"")</f>
        <v>3</v>
      </c>
      <c r="P237" s="23">
        <f>IF(ISNUMBER(INDEX(Dataset2_Raw!$G$2:$G$611,$Q237)),INDEX(Dataset2_Raw!$G$2:$G$611,$Q237),"")</f>
        <v>3</v>
      </c>
      <c r="Q237" s="23">
        <f>IFERROR(MATCH($A237,Dataset2_Raw!$A$2:$A$611,0),0)</f>
        <v>236</v>
      </c>
    </row>
    <row r="238" spans="1:17" x14ac:dyDescent="0.35">
      <c r="A238" s="23">
        <f>Dataset1_Raw!A238</f>
        <v>237</v>
      </c>
      <c r="B238" s="24">
        <f>Dataset1_Raw!B238</f>
        <v>40554</v>
      </c>
      <c r="C238" s="23">
        <f>Dataset1_Raw!C238</f>
        <v>1</v>
      </c>
      <c r="D238" s="23">
        <f>Dataset1_Raw!D238</f>
        <v>0</v>
      </c>
      <c r="E238" s="23">
        <f>Dataset1_Raw!E238</f>
        <v>1</v>
      </c>
      <c r="F238" s="23">
        <f>Dataset1_Raw!F238</f>
        <v>5</v>
      </c>
      <c r="G238" s="23" t="b">
        <f>Dataset1_Raw!G238</f>
        <v>0</v>
      </c>
      <c r="H238" s="23">
        <f>Dataset1_Raw!H238</f>
        <v>2</v>
      </c>
      <c r="I238" s="23">
        <f>Dataset1_Raw!I238</f>
        <v>2</v>
      </c>
      <c r="J238" s="25">
        <f>Dataset1_Raw!J238</f>
        <v>0.16</v>
      </c>
      <c r="K238" s="25">
        <f>IF(ISNUMBER(INDEX(Dataset2_Raw!$B$2:$B$611,$Q238)),INDEX(Dataset2_Raw!$B$2:$B$611,$Q238),"")</f>
        <v>0.18179999999999999</v>
      </c>
      <c r="L238" s="25">
        <f>IF(ISNUMBER(INDEX(Dataset2_Raw!$C$2:$C$611,$Q238)),INDEX(Dataset2_Raw!$C$2:$C$611,$Q238),"")</f>
        <v>0.55000000000000004</v>
      </c>
      <c r="M238" s="25">
        <f>IF(ISNUMBER(INDEX(Dataset2_Raw!$D$2:$D$611,$Q238)),INDEX(Dataset2_Raw!$D$2:$D$611,$Q238),"")</f>
        <v>0.1343</v>
      </c>
      <c r="N238" s="23">
        <f>IF(ISNUMBER(INDEX(Dataset2_Raw!$E$2:$E$611,$Q238)),INDEX(Dataset2_Raw!$E$2:$E$611,$Q238),"")</f>
        <v>0</v>
      </c>
      <c r="O238" s="23">
        <f>IF(ISNUMBER(INDEX(Dataset2_Raw!$F$2:$F$611,$Q238)),INDEX(Dataset2_Raw!$F$2:$F$611,$Q238),"")</f>
        <v>6</v>
      </c>
      <c r="P238" s="23">
        <f>IF(ISNUMBER(INDEX(Dataset2_Raw!$G$2:$G$611,$Q238)),INDEX(Dataset2_Raw!$G$2:$G$611,$Q238),"")</f>
        <v>6</v>
      </c>
      <c r="Q238" s="23">
        <f>IFERROR(MATCH($A238,Dataset2_Raw!$A$2:$A$611,0),0)</f>
        <v>237</v>
      </c>
    </row>
    <row r="239" spans="1:17" x14ac:dyDescent="0.35">
      <c r="A239" s="23">
        <f>Dataset1_Raw!A239</f>
        <v>238</v>
      </c>
      <c r="B239" s="24">
        <f>Dataset1_Raw!B239</f>
        <v>40554</v>
      </c>
      <c r="C239" s="23">
        <f>Dataset1_Raw!C239</f>
        <v>1</v>
      </c>
      <c r="D239" s="23">
        <f>Dataset1_Raw!D239</f>
        <v>0</v>
      </c>
      <c r="E239" s="23">
        <f>Dataset1_Raw!E239</f>
        <v>1</v>
      </c>
      <c r="F239" s="23">
        <f>Dataset1_Raw!F239</f>
        <v>6</v>
      </c>
      <c r="G239" s="23" t="b">
        <f>Dataset1_Raw!G239</f>
        <v>0</v>
      </c>
      <c r="H239" s="23">
        <f>Dataset1_Raw!H239</f>
        <v>2</v>
      </c>
      <c r="I239" s="23">
        <f>Dataset1_Raw!I239</f>
        <v>2</v>
      </c>
      <c r="J239" s="25">
        <f>Dataset1_Raw!J239</f>
        <v>0.16</v>
      </c>
      <c r="K239" s="25">
        <f>IF(ISNUMBER(INDEX(Dataset2_Raw!$B$2:$B$611,$Q239)),INDEX(Dataset2_Raw!$B$2:$B$611,$Q239),"")</f>
        <v>0.18179999999999999</v>
      </c>
      <c r="L239" s="25">
        <f>IF(ISNUMBER(INDEX(Dataset2_Raw!$C$2:$C$611,$Q239)),INDEX(Dataset2_Raw!$C$2:$C$611,$Q239),"")</f>
        <v>0.55000000000000004</v>
      </c>
      <c r="M239" s="25">
        <f>IF(ISNUMBER(INDEX(Dataset2_Raw!$D$2:$D$611,$Q239)),INDEX(Dataset2_Raw!$D$2:$D$611,$Q239),"")</f>
        <v>0.1343</v>
      </c>
      <c r="N239" s="23">
        <f>IF(ISNUMBER(INDEX(Dataset2_Raw!$E$2:$E$611,$Q239)),INDEX(Dataset2_Raw!$E$2:$E$611,$Q239),"")</f>
        <v>0</v>
      </c>
      <c r="O239" s="23">
        <f>IF(ISNUMBER(INDEX(Dataset2_Raw!$F$2:$F$611,$Q239)),INDEX(Dataset2_Raw!$F$2:$F$611,$Q239),"")</f>
        <v>27</v>
      </c>
      <c r="P239" s="23">
        <f>IF(ISNUMBER(INDEX(Dataset2_Raw!$G$2:$G$611,$Q239)),INDEX(Dataset2_Raw!$G$2:$G$611,$Q239),"")</f>
        <v>27</v>
      </c>
      <c r="Q239" s="23">
        <f>IFERROR(MATCH($A239,Dataset2_Raw!$A$2:$A$611,0),0)</f>
        <v>238</v>
      </c>
    </row>
    <row r="240" spans="1:17" x14ac:dyDescent="0.35">
      <c r="A240" s="23">
        <f>Dataset1_Raw!A240</f>
        <v>239</v>
      </c>
      <c r="B240" s="24">
        <f>Dataset1_Raw!B240</f>
        <v>40554</v>
      </c>
      <c r="C240" s="23">
        <f>Dataset1_Raw!C240</f>
        <v>1</v>
      </c>
      <c r="D240" s="23">
        <f>Dataset1_Raw!D240</f>
        <v>0</v>
      </c>
      <c r="E240" s="23">
        <f>Dataset1_Raw!E240</f>
        <v>1</v>
      </c>
      <c r="F240" s="23">
        <f>Dataset1_Raw!F240</f>
        <v>7</v>
      </c>
      <c r="G240" s="23" t="b">
        <f>Dataset1_Raw!G240</f>
        <v>0</v>
      </c>
      <c r="H240" s="23">
        <f>Dataset1_Raw!H240</f>
        <v>2</v>
      </c>
      <c r="I240" s="23">
        <f>Dataset1_Raw!I240</f>
        <v>2</v>
      </c>
      <c r="J240" s="25">
        <f>Dataset1_Raw!J240</f>
        <v>0.16</v>
      </c>
      <c r="K240" s="25">
        <f>IF(ISNUMBER(INDEX(Dataset2_Raw!$B$2:$B$611,$Q240)),INDEX(Dataset2_Raw!$B$2:$B$611,$Q240),"")</f>
        <v>0.2273</v>
      </c>
      <c r="L240" s="25">
        <f>IF(ISNUMBER(INDEX(Dataset2_Raw!$C$2:$C$611,$Q240)),INDEX(Dataset2_Raw!$C$2:$C$611,$Q240),"")</f>
        <v>0.55000000000000004</v>
      </c>
      <c r="M240" s="25">
        <f>IF(ISNUMBER(INDEX(Dataset2_Raw!$D$2:$D$611,$Q240)),INDEX(Dataset2_Raw!$D$2:$D$611,$Q240),"")</f>
        <v>0</v>
      </c>
      <c r="N240" s="23">
        <f>IF(ISNUMBER(INDEX(Dataset2_Raw!$E$2:$E$611,$Q240)),INDEX(Dataset2_Raw!$E$2:$E$611,$Q240),"")</f>
        <v>2</v>
      </c>
      <c r="O240" s="23">
        <f>IF(ISNUMBER(INDEX(Dataset2_Raw!$F$2:$F$611,$Q240)),INDEX(Dataset2_Raw!$F$2:$F$611,$Q240),"")</f>
        <v>97</v>
      </c>
      <c r="P240" s="23">
        <f>IF(ISNUMBER(INDEX(Dataset2_Raw!$G$2:$G$611,$Q240)),INDEX(Dataset2_Raw!$G$2:$G$611,$Q240),"")</f>
        <v>99</v>
      </c>
      <c r="Q240" s="23">
        <f>IFERROR(MATCH($A240,Dataset2_Raw!$A$2:$A$611,0),0)</f>
        <v>239</v>
      </c>
    </row>
    <row r="241" spans="1:17" x14ac:dyDescent="0.35">
      <c r="A241" s="23">
        <f>Dataset1_Raw!A241</f>
        <v>240</v>
      </c>
      <c r="B241" s="24">
        <f>Dataset1_Raw!B241</f>
        <v>40554</v>
      </c>
      <c r="C241" s="23">
        <f>Dataset1_Raw!C241</f>
        <v>1</v>
      </c>
      <c r="D241" s="23">
        <f>Dataset1_Raw!D241</f>
        <v>0</v>
      </c>
      <c r="E241" s="23">
        <f>Dataset1_Raw!E241</f>
        <v>1</v>
      </c>
      <c r="F241" s="23">
        <f>Dataset1_Raw!F241</f>
        <v>8</v>
      </c>
      <c r="G241" s="23" t="b">
        <f>Dataset1_Raw!G241</f>
        <v>0</v>
      </c>
      <c r="H241" s="23">
        <f>Dataset1_Raw!H241</f>
        <v>2</v>
      </c>
      <c r="I241" s="23">
        <f>Dataset1_Raw!I241</f>
        <v>2</v>
      </c>
      <c r="J241" s="25">
        <f>Dataset1_Raw!J241</f>
        <v>0.18</v>
      </c>
      <c r="K241" s="25">
        <f>IF(ISNUMBER(INDEX(Dataset2_Raw!$B$2:$B$611,$Q241)),INDEX(Dataset2_Raw!$B$2:$B$611,$Q241),"")</f>
        <v>0.21210000000000001</v>
      </c>
      <c r="L241" s="25">
        <f>IF(ISNUMBER(INDEX(Dataset2_Raw!$C$2:$C$611,$Q241)),INDEX(Dataset2_Raw!$C$2:$C$611,$Q241),"")</f>
        <v>0.51</v>
      </c>
      <c r="M241" s="25">
        <f>IF(ISNUMBER(INDEX(Dataset2_Raw!$D$2:$D$611,$Q241)),INDEX(Dataset2_Raw!$D$2:$D$611,$Q241),"")</f>
        <v>8.9599999999999999E-2</v>
      </c>
      <c r="N241" s="23">
        <f>IF(ISNUMBER(INDEX(Dataset2_Raw!$E$2:$E$611,$Q241)),INDEX(Dataset2_Raw!$E$2:$E$611,$Q241),"")</f>
        <v>3</v>
      </c>
      <c r="O241" s="23">
        <f>IF(ISNUMBER(INDEX(Dataset2_Raw!$F$2:$F$611,$Q241)),INDEX(Dataset2_Raw!$F$2:$F$611,$Q241),"")</f>
        <v>214</v>
      </c>
      <c r="P241" s="23">
        <f>IF(ISNUMBER(INDEX(Dataset2_Raw!$G$2:$G$611,$Q241)),INDEX(Dataset2_Raw!$G$2:$G$611,$Q241),"")</f>
        <v>217</v>
      </c>
      <c r="Q241" s="23">
        <f>IFERROR(MATCH($A241,Dataset2_Raw!$A$2:$A$611,0),0)</f>
        <v>240</v>
      </c>
    </row>
    <row r="242" spans="1:17" x14ac:dyDescent="0.35">
      <c r="A242" s="23">
        <f>Dataset1_Raw!A242</f>
        <v>241</v>
      </c>
      <c r="B242" s="24">
        <f>Dataset1_Raw!B242</f>
        <v>40554</v>
      </c>
      <c r="C242" s="23">
        <f>Dataset1_Raw!C242</f>
        <v>1</v>
      </c>
      <c r="D242" s="23">
        <f>Dataset1_Raw!D242</f>
        <v>0</v>
      </c>
      <c r="E242" s="23">
        <f>Dataset1_Raw!E242</f>
        <v>1</v>
      </c>
      <c r="F242" s="23">
        <f>Dataset1_Raw!F242</f>
        <v>9</v>
      </c>
      <c r="G242" s="23" t="b">
        <f>Dataset1_Raw!G242</f>
        <v>0</v>
      </c>
      <c r="H242" s="23">
        <f>Dataset1_Raw!H242</f>
        <v>2</v>
      </c>
      <c r="I242" s="23">
        <f>Dataset1_Raw!I242</f>
        <v>2</v>
      </c>
      <c r="J242" s="25">
        <f>Dataset1_Raw!J242</f>
        <v>0.18</v>
      </c>
      <c r="K242" s="25">
        <f>IF(ISNUMBER(INDEX(Dataset2_Raw!$B$2:$B$611,$Q242)),INDEX(Dataset2_Raw!$B$2:$B$611,$Q242),"")</f>
        <v>0.19700000000000001</v>
      </c>
      <c r="L242" s="25">
        <f>IF(ISNUMBER(INDEX(Dataset2_Raw!$C$2:$C$611,$Q242)),INDEX(Dataset2_Raw!$C$2:$C$611,$Q242),"")</f>
        <v>0.51</v>
      </c>
      <c r="M242" s="25">
        <f>IF(ISNUMBER(INDEX(Dataset2_Raw!$D$2:$D$611,$Q242)),INDEX(Dataset2_Raw!$D$2:$D$611,$Q242),"")</f>
        <v>0.16420000000000001</v>
      </c>
      <c r="N242" s="23">
        <f>IF(ISNUMBER(INDEX(Dataset2_Raw!$E$2:$E$611,$Q242)),INDEX(Dataset2_Raw!$E$2:$E$611,$Q242),"")</f>
        <v>3</v>
      </c>
      <c r="O242" s="23">
        <f>IF(ISNUMBER(INDEX(Dataset2_Raw!$F$2:$F$611,$Q242)),INDEX(Dataset2_Raw!$F$2:$F$611,$Q242),"")</f>
        <v>127</v>
      </c>
      <c r="P242" s="23">
        <f>IF(ISNUMBER(INDEX(Dataset2_Raw!$G$2:$G$611,$Q242)),INDEX(Dataset2_Raw!$G$2:$G$611,$Q242),"")</f>
        <v>130</v>
      </c>
      <c r="Q242" s="23">
        <f>IFERROR(MATCH($A242,Dataset2_Raw!$A$2:$A$611,0),0)</f>
        <v>241</v>
      </c>
    </row>
    <row r="243" spans="1:17" x14ac:dyDescent="0.35">
      <c r="A243" s="23">
        <f>Dataset1_Raw!A243</f>
        <v>242</v>
      </c>
      <c r="B243" s="24">
        <f>Dataset1_Raw!B243</f>
        <v>40554</v>
      </c>
      <c r="C243" s="23">
        <f>Dataset1_Raw!C243</f>
        <v>1</v>
      </c>
      <c r="D243" s="23">
        <f>Dataset1_Raw!D243</f>
        <v>0</v>
      </c>
      <c r="E243" s="23">
        <f>Dataset1_Raw!E243</f>
        <v>1</v>
      </c>
      <c r="F243" s="23">
        <f>Dataset1_Raw!F243</f>
        <v>10</v>
      </c>
      <c r="G243" s="23" t="b">
        <f>Dataset1_Raw!G243</f>
        <v>0</v>
      </c>
      <c r="H243" s="23">
        <f>Dataset1_Raw!H243</f>
        <v>2</v>
      </c>
      <c r="I243" s="23">
        <f>Dataset1_Raw!I243</f>
        <v>2</v>
      </c>
      <c r="J243" s="25">
        <f>Dataset1_Raw!J243</f>
        <v>0.2</v>
      </c>
      <c r="K243" s="25">
        <f>IF(ISNUMBER(INDEX(Dataset2_Raw!$B$2:$B$611,$Q243)),INDEX(Dataset2_Raw!$B$2:$B$611,$Q243),"")</f>
        <v>0.21210000000000001</v>
      </c>
      <c r="L243" s="25">
        <f>IF(ISNUMBER(INDEX(Dataset2_Raw!$C$2:$C$611,$Q243)),INDEX(Dataset2_Raw!$C$2:$C$611,$Q243),"")</f>
        <v>0.51</v>
      </c>
      <c r="M243" s="25">
        <f>IF(ISNUMBER(INDEX(Dataset2_Raw!$D$2:$D$611,$Q243)),INDEX(Dataset2_Raw!$D$2:$D$611,$Q243),"")</f>
        <v>0.16420000000000001</v>
      </c>
      <c r="N243" s="23">
        <f>IF(ISNUMBER(INDEX(Dataset2_Raw!$E$2:$E$611,$Q243)),INDEX(Dataset2_Raw!$E$2:$E$611,$Q243),"")</f>
        <v>3</v>
      </c>
      <c r="O243" s="23">
        <f>IF(ISNUMBER(INDEX(Dataset2_Raw!$F$2:$F$611,$Q243)),INDEX(Dataset2_Raw!$F$2:$F$611,$Q243),"")</f>
        <v>51</v>
      </c>
      <c r="P243" s="23">
        <f>IF(ISNUMBER(INDEX(Dataset2_Raw!$G$2:$G$611,$Q243)),INDEX(Dataset2_Raw!$G$2:$G$611,$Q243),"")</f>
        <v>54</v>
      </c>
      <c r="Q243" s="23">
        <f>IFERROR(MATCH($A243,Dataset2_Raw!$A$2:$A$611,0),0)</f>
        <v>242</v>
      </c>
    </row>
    <row r="244" spans="1:17" x14ac:dyDescent="0.35">
      <c r="A244" s="23">
        <f>Dataset1_Raw!A244</f>
        <v>243</v>
      </c>
      <c r="B244" s="24">
        <f>Dataset1_Raw!B244</f>
        <v>40554</v>
      </c>
      <c r="C244" s="23">
        <f>Dataset1_Raw!C244</f>
        <v>1</v>
      </c>
      <c r="D244" s="23">
        <f>Dataset1_Raw!D244</f>
        <v>0</v>
      </c>
      <c r="E244" s="23">
        <f>Dataset1_Raw!E244</f>
        <v>1</v>
      </c>
      <c r="F244" s="23">
        <f>Dataset1_Raw!F244</f>
        <v>11</v>
      </c>
      <c r="G244" s="23" t="b">
        <f>Dataset1_Raw!G244</f>
        <v>0</v>
      </c>
      <c r="H244" s="23">
        <f>Dataset1_Raw!H244</f>
        <v>2</v>
      </c>
      <c r="I244" s="23">
        <f>Dataset1_Raw!I244</f>
        <v>2</v>
      </c>
      <c r="J244" s="25">
        <f>Dataset1_Raw!J244</f>
        <v>0.2</v>
      </c>
      <c r="K244" s="25">
        <f>IF(ISNUMBER(INDEX(Dataset2_Raw!$B$2:$B$611,$Q244)),INDEX(Dataset2_Raw!$B$2:$B$611,$Q244),"")</f>
        <v>0.21210000000000001</v>
      </c>
      <c r="L244" s="25">
        <f>IF(ISNUMBER(INDEX(Dataset2_Raw!$C$2:$C$611,$Q244)),INDEX(Dataset2_Raw!$C$2:$C$611,$Q244),"")</f>
        <v>0.47</v>
      </c>
      <c r="M244" s="25">
        <f>IF(ISNUMBER(INDEX(Dataset2_Raw!$D$2:$D$611,$Q244)),INDEX(Dataset2_Raw!$D$2:$D$611,$Q244),"")</f>
        <v>0.1343</v>
      </c>
      <c r="N244" s="23">
        <f>IF(ISNUMBER(INDEX(Dataset2_Raw!$E$2:$E$611,$Q244)),INDEX(Dataset2_Raw!$E$2:$E$611,$Q244),"")</f>
        <v>4</v>
      </c>
      <c r="O244" s="23">
        <f>IF(ISNUMBER(INDEX(Dataset2_Raw!$F$2:$F$611,$Q244)),INDEX(Dataset2_Raw!$F$2:$F$611,$Q244),"")</f>
        <v>31</v>
      </c>
      <c r="P244" s="23">
        <f>IF(ISNUMBER(INDEX(Dataset2_Raw!$G$2:$G$611,$Q244)),INDEX(Dataset2_Raw!$G$2:$G$611,$Q244),"")</f>
        <v>35</v>
      </c>
      <c r="Q244" s="23">
        <f>IFERROR(MATCH($A244,Dataset2_Raw!$A$2:$A$611,0),0)</f>
        <v>243</v>
      </c>
    </row>
    <row r="245" spans="1:17" x14ac:dyDescent="0.35">
      <c r="A245" s="23">
        <f>Dataset1_Raw!A245</f>
        <v>244</v>
      </c>
      <c r="B245" s="24">
        <f>Dataset1_Raw!B245</f>
        <v>40554</v>
      </c>
      <c r="C245" s="23">
        <f>Dataset1_Raw!C245</f>
        <v>1</v>
      </c>
      <c r="D245" s="23">
        <f>Dataset1_Raw!D245</f>
        <v>0</v>
      </c>
      <c r="E245" s="23">
        <f>Dataset1_Raw!E245</f>
        <v>1</v>
      </c>
      <c r="F245" s="23">
        <f>Dataset1_Raw!F245</f>
        <v>12</v>
      </c>
      <c r="G245" s="23" t="b">
        <f>Dataset1_Raw!G245</f>
        <v>0</v>
      </c>
      <c r="H245" s="23">
        <f>Dataset1_Raw!H245</f>
        <v>2</v>
      </c>
      <c r="I245" s="23">
        <f>Dataset1_Raw!I245</f>
        <v>2</v>
      </c>
      <c r="J245" s="25">
        <f>Dataset1_Raw!J245</f>
        <v>0.2</v>
      </c>
      <c r="K245" s="25">
        <f>IF(ISNUMBER(INDEX(Dataset2_Raw!$B$2:$B$611,$Q245)),INDEX(Dataset2_Raw!$B$2:$B$611,$Q245),"")</f>
        <v>0.2273</v>
      </c>
      <c r="L245" s="25">
        <f>IF(ISNUMBER(INDEX(Dataset2_Raw!$C$2:$C$611,$Q245)),INDEX(Dataset2_Raw!$C$2:$C$611,$Q245),"")</f>
        <v>0.51</v>
      </c>
      <c r="M245" s="25">
        <f>IF(ISNUMBER(INDEX(Dataset2_Raw!$D$2:$D$611,$Q245)),INDEX(Dataset2_Raw!$D$2:$D$611,$Q245),"")</f>
        <v>0.1045</v>
      </c>
      <c r="N245" s="23">
        <f>IF(ISNUMBER(INDEX(Dataset2_Raw!$E$2:$E$611,$Q245)),INDEX(Dataset2_Raw!$E$2:$E$611,$Q245),"")</f>
        <v>2</v>
      </c>
      <c r="O245" s="23">
        <f>IF(ISNUMBER(INDEX(Dataset2_Raw!$F$2:$F$611,$Q245)),INDEX(Dataset2_Raw!$F$2:$F$611,$Q245),"")</f>
        <v>55</v>
      </c>
      <c r="P245" s="23">
        <f>IF(ISNUMBER(INDEX(Dataset2_Raw!$G$2:$G$611,$Q245)),INDEX(Dataset2_Raw!$G$2:$G$611,$Q245),"")</f>
        <v>57</v>
      </c>
      <c r="Q245" s="23">
        <f>IFERROR(MATCH($A245,Dataset2_Raw!$A$2:$A$611,0),0)</f>
        <v>244</v>
      </c>
    </row>
    <row r="246" spans="1:17" x14ac:dyDescent="0.35">
      <c r="A246" s="23">
        <f>Dataset1_Raw!A246</f>
        <v>245</v>
      </c>
      <c r="B246" s="24">
        <f>Dataset1_Raw!B246</f>
        <v>40554</v>
      </c>
      <c r="C246" s="23">
        <f>Dataset1_Raw!C246</f>
        <v>1</v>
      </c>
      <c r="D246" s="23">
        <f>Dataset1_Raw!D246</f>
        <v>0</v>
      </c>
      <c r="E246" s="23">
        <f>Dataset1_Raw!E246</f>
        <v>1</v>
      </c>
      <c r="F246" s="23">
        <f>Dataset1_Raw!F246</f>
        <v>13</v>
      </c>
      <c r="G246" s="23" t="b">
        <f>Dataset1_Raw!G246</f>
        <v>0</v>
      </c>
      <c r="H246" s="23">
        <f>Dataset1_Raw!H246</f>
        <v>2</v>
      </c>
      <c r="I246" s="23">
        <f>Dataset1_Raw!I246</f>
        <v>2</v>
      </c>
      <c r="J246" s="25">
        <f>Dataset1_Raw!J246</f>
        <v>0.2</v>
      </c>
      <c r="K246" s="25">
        <f>IF(ISNUMBER(INDEX(Dataset2_Raw!$B$2:$B$611,$Q246)),INDEX(Dataset2_Raw!$B$2:$B$611,$Q246),"")</f>
        <v>0.2273</v>
      </c>
      <c r="L246" s="25">
        <f>IF(ISNUMBER(INDEX(Dataset2_Raw!$C$2:$C$611,$Q246)),INDEX(Dataset2_Raw!$C$2:$C$611,$Q246),"")</f>
        <v>0.59</v>
      </c>
      <c r="M246" s="25">
        <f>IF(ISNUMBER(INDEX(Dataset2_Raw!$D$2:$D$611,$Q246)),INDEX(Dataset2_Raw!$D$2:$D$611,$Q246),"")</f>
        <v>8.9599999999999999E-2</v>
      </c>
      <c r="N246" s="23">
        <f>IF(ISNUMBER(INDEX(Dataset2_Raw!$E$2:$E$611,$Q246)),INDEX(Dataset2_Raw!$E$2:$E$611,$Q246),"")</f>
        <v>6</v>
      </c>
      <c r="O246" s="23">
        <f>IF(ISNUMBER(INDEX(Dataset2_Raw!$F$2:$F$611,$Q246)),INDEX(Dataset2_Raw!$F$2:$F$611,$Q246),"")</f>
        <v>46</v>
      </c>
      <c r="P246" s="23">
        <f>IF(ISNUMBER(INDEX(Dataset2_Raw!$G$2:$G$611,$Q246)),INDEX(Dataset2_Raw!$G$2:$G$611,$Q246),"")</f>
        <v>52</v>
      </c>
      <c r="Q246" s="23">
        <f>IFERROR(MATCH($A246,Dataset2_Raw!$A$2:$A$611,0),0)</f>
        <v>245</v>
      </c>
    </row>
    <row r="247" spans="1:17" x14ac:dyDescent="0.35">
      <c r="A247" s="23">
        <f>Dataset1_Raw!A247</f>
        <v>246</v>
      </c>
      <c r="B247" s="24">
        <f>Dataset1_Raw!B247</f>
        <v>40554</v>
      </c>
      <c r="C247" s="23">
        <f>Dataset1_Raw!C247</f>
        <v>1</v>
      </c>
      <c r="D247" s="23">
        <f>Dataset1_Raw!D247</f>
        <v>0</v>
      </c>
      <c r="E247" s="23">
        <f>Dataset1_Raw!E247</f>
        <v>1</v>
      </c>
      <c r="F247" s="23">
        <f>Dataset1_Raw!F247</f>
        <v>14</v>
      </c>
      <c r="G247" s="23" t="b">
        <f>Dataset1_Raw!G247</f>
        <v>0</v>
      </c>
      <c r="H247" s="23">
        <f>Dataset1_Raw!H247</f>
        <v>2</v>
      </c>
      <c r="I247" s="23">
        <f>Dataset1_Raw!I247</f>
        <v>2</v>
      </c>
      <c r="J247" s="25">
        <f>Dataset1_Raw!J247</f>
        <v>0.2</v>
      </c>
      <c r="K247" s="25">
        <f>IF(ISNUMBER(INDEX(Dataset2_Raw!$B$2:$B$611,$Q247)),INDEX(Dataset2_Raw!$B$2:$B$611,$Q247),"")</f>
        <v>0.2273</v>
      </c>
      <c r="L247" s="25">
        <f>IF(ISNUMBER(INDEX(Dataset2_Raw!$C$2:$C$611,$Q247)),INDEX(Dataset2_Raw!$C$2:$C$611,$Q247),"")</f>
        <v>0.59</v>
      </c>
      <c r="M247" s="25">
        <f>IF(ISNUMBER(INDEX(Dataset2_Raw!$D$2:$D$611,$Q247)),INDEX(Dataset2_Raw!$D$2:$D$611,$Q247),"")</f>
        <v>8.9599999999999999E-2</v>
      </c>
      <c r="N247" s="23">
        <f>IF(ISNUMBER(INDEX(Dataset2_Raw!$E$2:$E$611,$Q247)),INDEX(Dataset2_Raw!$E$2:$E$611,$Q247),"")</f>
        <v>3</v>
      </c>
      <c r="O247" s="23">
        <f>IF(ISNUMBER(INDEX(Dataset2_Raw!$F$2:$F$611,$Q247)),INDEX(Dataset2_Raw!$F$2:$F$611,$Q247),"")</f>
        <v>60</v>
      </c>
      <c r="P247" s="23">
        <f>IF(ISNUMBER(INDEX(Dataset2_Raw!$G$2:$G$611,$Q247)),INDEX(Dataset2_Raw!$G$2:$G$611,$Q247),"")</f>
        <v>63</v>
      </c>
      <c r="Q247" s="23">
        <f>IFERROR(MATCH($A247,Dataset2_Raw!$A$2:$A$611,0),0)</f>
        <v>246</v>
      </c>
    </row>
    <row r="248" spans="1:17" x14ac:dyDescent="0.35">
      <c r="A248" s="23">
        <f>Dataset1_Raw!A248</f>
        <v>247</v>
      </c>
      <c r="B248" s="24">
        <f>Dataset1_Raw!B248</f>
        <v>40554</v>
      </c>
      <c r="C248" s="23">
        <f>Dataset1_Raw!C248</f>
        <v>1</v>
      </c>
      <c r="D248" s="23">
        <f>Dataset1_Raw!D248</f>
        <v>0</v>
      </c>
      <c r="E248" s="23">
        <f>Dataset1_Raw!E248</f>
        <v>1</v>
      </c>
      <c r="F248" s="23">
        <f>Dataset1_Raw!F248</f>
        <v>15</v>
      </c>
      <c r="G248" s="23" t="b">
        <f>Dataset1_Raw!G248</f>
        <v>0</v>
      </c>
      <c r="H248" s="23">
        <f>Dataset1_Raw!H248</f>
        <v>2</v>
      </c>
      <c r="I248" s="23">
        <f>Dataset1_Raw!I248</f>
        <v>2</v>
      </c>
      <c r="J248" s="25">
        <f>Dataset1_Raw!J248</f>
        <v>0.16</v>
      </c>
      <c r="K248" s="25">
        <f>IF(ISNUMBER(INDEX(Dataset2_Raw!$B$2:$B$611,$Q248)),INDEX(Dataset2_Raw!$B$2:$B$611,$Q248),"")</f>
        <v>0.19700000000000001</v>
      </c>
      <c r="L248" s="25">
        <f>IF(ISNUMBER(INDEX(Dataset2_Raw!$C$2:$C$611,$Q248)),INDEX(Dataset2_Raw!$C$2:$C$611,$Q248),"")</f>
        <v>0.8</v>
      </c>
      <c r="M248" s="25">
        <f>IF(ISNUMBER(INDEX(Dataset2_Raw!$D$2:$D$611,$Q248)),INDEX(Dataset2_Raw!$D$2:$D$611,$Q248),"")</f>
        <v>8.9599999999999999E-2</v>
      </c>
      <c r="N248" s="23">
        <f>IF(ISNUMBER(INDEX(Dataset2_Raw!$E$2:$E$611,$Q248)),INDEX(Dataset2_Raw!$E$2:$E$611,$Q248),"")</f>
        <v>2</v>
      </c>
      <c r="O248" s="23">
        <f>IF(ISNUMBER(INDEX(Dataset2_Raw!$F$2:$F$611,$Q248)),INDEX(Dataset2_Raw!$F$2:$F$611,$Q248),"")</f>
        <v>45</v>
      </c>
      <c r="P248" s="23">
        <f>IF(ISNUMBER(INDEX(Dataset2_Raw!$G$2:$G$611,$Q248)),INDEX(Dataset2_Raw!$G$2:$G$611,$Q248),"")</f>
        <v>47</v>
      </c>
      <c r="Q248" s="23">
        <f>IFERROR(MATCH($A248,Dataset2_Raw!$A$2:$A$611,0),0)</f>
        <v>247</v>
      </c>
    </row>
    <row r="249" spans="1:17" x14ac:dyDescent="0.35">
      <c r="A249" s="23">
        <f>Dataset1_Raw!A249</f>
        <v>248</v>
      </c>
      <c r="B249" s="24">
        <f>Dataset1_Raw!B249</f>
        <v>40554</v>
      </c>
      <c r="C249" s="23">
        <f>Dataset1_Raw!C249</f>
        <v>1</v>
      </c>
      <c r="D249" s="23">
        <f>Dataset1_Raw!D249</f>
        <v>0</v>
      </c>
      <c r="E249" s="23">
        <f>Dataset1_Raw!E249</f>
        <v>1</v>
      </c>
      <c r="F249" s="23">
        <f>Dataset1_Raw!F249</f>
        <v>16</v>
      </c>
      <c r="G249" s="23" t="b">
        <f>Dataset1_Raw!G249</f>
        <v>0</v>
      </c>
      <c r="H249" s="23">
        <f>Dataset1_Raw!H249</f>
        <v>2</v>
      </c>
      <c r="I249" s="23">
        <f>Dataset1_Raw!I249</f>
        <v>2</v>
      </c>
      <c r="J249" s="25">
        <f>Dataset1_Raw!J249</f>
        <v>0.16</v>
      </c>
      <c r="K249" s="25">
        <f>IF(ISNUMBER(INDEX(Dataset2_Raw!$B$2:$B$611,$Q249)),INDEX(Dataset2_Raw!$B$2:$B$611,$Q249),"")</f>
        <v>0.1515</v>
      </c>
      <c r="L249" s="25">
        <f>IF(ISNUMBER(INDEX(Dataset2_Raw!$C$2:$C$611,$Q249)),INDEX(Dataset2_Raw!$C$2:$C$611,$Q249),"")</f>
        <v>0.86</v>
      </c>
      <c r="M249" s="25">
        <f>IF(ISNUMBER(INDEX(Dataset2_Raw!$D$2:$D$611,$Q249)),INDEX(Dataset2_Raw!$D$2:$D$611,$Q249),"")</f>
        <v>0.22389999999999999</v>
      </c>
      <c r="N249" s="23">
        <f>IF(ISNUMBER(INDEX(Dataset2_Raw!$E$2:$E$611,$Q249)),INDEX(Dataset2_Raw!$E$2:$E$611,$Q249),"")</f>
        <v>4</v>
      </c>
      <c r="O249" s="23">
        <f>IF(ISNUMBER(INDEX(Dataset2_Raw!$F$2:$F$611,$Q249)),INDEX(Dataset2_Raw!$F$2:$F$611,$Q249),"")</f>
        <v>72</v>
      </c>
      <c r="P249" s="23">
        <f>IF(ISNUMBER(INDEX(Dataset2_Raw!$G$2:$G$611,$Q249)),INDEX(Dataset2_Raw!$G$2:$G$611,$Q249),"")</f>
        <v>76</v>
      </c>
      <c r="Q249" s="23">
        <f>IFERROR(MATCH($A249,Dataset2_Raw!$A$2:$A$611,0),0)</f>
        <v>248</v>
      </c>
    </row>
    <row r="250" spans="1:17" x14ac:dyDescent="0.35">
      <c r="A250" s="23">
        <f>Dataset1_Raw!A250</f>
        <v>249</v>
      </c>
      <c r="B250" s="24">
        <f>Dataset1_Raw!B250</f>
        <v>40554</v>
      </c>
      <c r="C250" s="23">
        <f>Dataset1_Raw!C250</f>
        <v>1</v>
      </c>
      <c r="D250" s="23">
        <f>Dataset1_Raw!D250</f>
        <v>0</v>
      </c>
      <c r="E250" s="23">
        <f>Dataset1_Raw!E250</f>
        <v>1</v>
      </c>
      <c r="F250" s="23">
        <f>Dataset1_Raw!F250</f>
        <v>17</v>
      </c>
      <c r="G250" s="23" t="b">
        <f>Dataset1_Raw!G250</f>
        <v>0</v>
      </c>
      <c r="H250" s="23">
        <f>Dataset1_Raw!H250</f>
        <v>2</v>
      </c>
      <c r="I250" s="23">
        <f>Dataset1_Raw!I250</f>
        <v>2</v>
      </c>
      <c r="J250" s="25">
        <f>Dataset1_Raw!J250</f>
        <v>0.16</v>
      </c>
      <c r="K250" s="25">
        <f>IF(ISNUMBER(INDEX(Dataset2_Raw!$B$2:$B$611,$Q250)),INDEX(Dataset2_Raw!$B$2:$B$611,$Q250),"")</f>
        <v>0.1515</v>
      </c>
      <c r="L250" s="25">
        <f>IF(ISNUMBER(INDEX(Dataset2_Raw!$C$2:$C$611,$Q250)),INDEX(Dataset2_Raw!$C$2:$C$611,$Q250),"")</f>
        <v>0.86</v>
      </c>
      <c r="M250" s="25">
        <f>IF(ISNUMBER(INDEX(Dataset2_Raw!$D$2:$D$611,$Q250)),INDEX(Dataset2_Raw!$D$2:$D$611,$Q250),"")</f>
        <v>0.22389999999999999</v>
      </c>
      <c r="N250" s="23">
        <f>IF(ISNUMBER(INDEX(Dataset2_Raw!$E$2:$E$611,$Q250)),INDEX(Dataset2_Raw!$E$2:$E$611,$Q250),"")</f>
        <v>6</v>
      </c>
      <c r="O250" s="23">
        <f>IF(ISNUMBER(INDEX(Dataset2_Raw!$F$2:$F$611,$Q250)),INDEX(Dataset2_Raw!$F$2:$F$611,$Q250),"")</f>
        <v>130</v>
      </c>
      <c r="P250" s="23">
        <f>IF(ISNUMBER(INDEX(Dataset2_Raw!$G$2:$G$611,$Q250)),INDEX(Dataset2_Raw!$G$2:$G$611,$Q250),"")</f>
        <v>136</v>
      </c>
      <c r="Q250" s="23">
        <f>IFERROR(MATCH($A250,Dataset2_Raw!$A$2:$A$611,0),0)</f>
        <v>249</v>
      </c>
    </row>
    <row r="251" spans="1:17" x14ac:dyDescent="0.35">
      <c r="A251" s="23">
        <f>Dataset1_Raw!A251</f>
        <v>250</v>
      </c>
      <c r="B251" s="24">
        <f>Dataset1_Raw!B251</f>
        <v>40554</v>
      </c>
      <c r="C251" s="23">
        <f>Dataset1_Raw!C251</f>
        <v>1</v>
      </c>
      <c r="D251" s="23">
        <f>Dataset1_Raw!D251</f>
        <v>0</v>
      </c>
      <c r="E251" s="23">
        <f>Dataset1_Raw!E251</f>
        <v>1</v>
      </c>
      <c r="F251" s="23">
        <f>Dataset1_Raw!F251</f>
        <v>18</v>
      </c>
      <c r="G251" s="23" t="b">
        <f>Dataset1_Raw!G251</f>
        <v>0</v>
      </c>
      <c r="H251" s="23">
        <f>Dataset1_Raw!H251</f>
        <v>2</v>
      </c>
      <c r="I251" s="23">
        <f>Dataset1_Raw!I251</f>
        <v>3</v>
      </c>
      <c r="J251" s="25">
        <f>Dataset1_Raw!J251</f>
        <v>0.16</v>
      </c>
      <c r="K251" s="25">
        <f>IF(ISNUMBER(INDEX(Dataset2_Raw!$B$2:$B$611,$Q251)),INDEX(Dataset2_Raw!$B$2:$B$611,$Q251),"")</f>
        <v>0.18179999999999999</v>
      </c>
      <c r="L251" s="25">
        <f>IF(ISNUMBER(INDEX(Dataset2_Raw!$C$2:$C$611,$Q251)),INDEX(Dataset2_Raw!$C$2:$C$611,$Q251),"")</f>
        <v>0.93</v>
      </c>
      <c r="M251" s="25">
        <f>IF(ISNUMBER(INDEX(Dataset2_Raw!$D$2:$D$611,$Q251)),INDEX(Dataset2_Raw!$D$2:$D$611,$Q251),"")</f>
        <v>0.1045</v>
      </c>
      <c r="N251" s="23">
        <f>IF(ISNUMBER(INDEX(Dataset2_Raw!$E$2:$E$611,$Q251)),INDEX(Dataset2_Raw!$E$2:$E$611,$Q251),"")</f>
        <v>1</v>
      </c>
      <c r="O251" s="23">
        <f>IF(ISNUMBER(INDEX(Dataset2_Raw!$F$2:$F$611,$Q251)),INDEX(Dataset2_Raw!$F$2:$F$611,$Q251),"")</f>
        <v>94</v>
      </c>
      <c r="P251" s="23">
        <f>IF(ISNUMBER(INDEX(Dataset2_Raw!$G$2:$G$611,$Q251)),INDEX(Dataset2_Raw!$G$2:$G$611,$Q251),"")</f>
        <v>95</v>
      </c>
      <c r="Q251" s="23">
        <f>IFERROR(MATCH($A251,Dataset2_Raw!$A$2:$A$611,0),0)</f>
        <v>250</v>
      </c>
    </row>
    <row r="252" spans="1:17" x14ac:dyDescent="0.35">
      <c r="A252" s="23">
        <f>Dataset1_Raw!A252</f>
        <v>251</v>
      </c>
      <c r="B252" s="24">
        <f>Dataset1_Raw!B252</f>
        <v>40554</v>
      </c>
      <c r="C252" s="23">
        <f>Dataset1_Raw!C252</f>
        <v>1</v>
      </c>
      <c r="D252" s="23">
        <f>Dataset1_Raw!D252</f>
        <v>0</v>
      </c>
      <c r="E252" s="23">
        <f>Dataset1_Raw!E252</f>
        <v>1</v>
      </c>
      <c r="F252" s="23">
        <f>Dataset1_Raw!F252</f>
        <v>19</v>
      </c>
      <c r="G252" s="23" t="b">
        <f>Dataset1_Raw!G252</f>
        <v>0</v>
      </c>
      <c r="H252" s="23">
        <f>Dataset1_Raw!H252</f>
        <v>2</v>
      </c>
      <c r="I252" s="23">
        <f>Dataset1_Raw!I252</f>
        <v>3</v>
      </c>
      <c r="J252" s="25">
        <f>Dataset1_Raw!J252</f>
        <v>0.16</v>
      </c>
      <c r="K252" s="25">
        <f>IF(ISNUMBER(INDEX(Dataset2_Raw!$B$2:$B$611,$Q252)),INDEX(Dataset2_Raw!$B$2:$B$611,$Q252),"")</f>
        <v>0.2273</v>
      </c>
      <c r="L252" s="25">
        <f>IF(ISNUMBER(INDEX(Dataset2_Raw!$C$2:$C$611,$Q252)),INDEX(Dataset2_Raw!$C$2:$C$611,$Q252),"")</f>
        <v>0.93</v>
      </c>
      <c r="M252" s="25">
        <f>IF(ISNUMBER(INDEX(Dataset2_Raw!$D$2:$D$611,$Q252)),INDEX(Dataset2_Raw!$D$2:$D$611,$Q252),"")</f>
        <v>0</v>
      </c>
      <c r="N252" s="23">
        <f>IF(ISNUMBER(INDEX(Dataset2_Raw!$E$2:$E$611,$Q252)),INDEX(Dataset2_Raw!$E$2:$E$611,$Q252),"")</f>
        <v>0</v>
      </c>
      <c r="O252" s="23">
        <f>IF(ISNUMBER(INDEX(Dataset2_Raw!$F$2:$F$611,$Q252)),INDEX(Dataset2_Raw!$F$2:$F$611,$Q252),"")</f>
        <v>51</v>
      </c>
      <c r="P252" s="23">
        <f>IF(ISNUMBER(INDEX(Dataset2_Raw!$G$2:$G$611,$Q252)),INDEX(Dataset2_Raw!$G$2:$G$611,$Q252),"")</f>
        <v>51</v>
      </c>
      <c r="Q252" s="23">
        <f>IFERROR(MATCH($A252,Dataset2_Raw!$A$2:$A$611,0),0)</f>
        <v>251</v>
      </c>
    </row>
    <row r="253" spans="1:17" x14ac:dyDescent="0.35">
      <c r="A253" s="23">
        <f>Dataset1_Raw!A253</f>
        <v>252</v>
      </c>
      <c r="B253" s="24">
        <f>Dataset1_Raw!B253</f>
        <v>40554</v>
      </c>
      <c r="C253" s="23">
        <f>Dataset1_Raw!C253</f>
        <v>1</v>
      </c>
      <c r="D253" s="23">
        <f>Dataset1_Raw!D253</f>
        <v>0</v>
      </c>
      <c r="E253" s="23">
        <f>Dataset1_Raw!E253</f>
        <v>1</v>
      </c>
      <c r="F253" s="23">
        <f>Dataset1_Raw!F253</f>
        <v>20</v>
      </c>
      <c r="G253" s="23" t="b">
        <f>Dataset1_Raw!G253</f>
        <v>0</v>
      </c>
      <c r="H253" s="23">
        <f>Dataset1_Raw!H253</f>
        <v>2</v>
      </c>
      <c r="I253" s="23">
        <f>Dataset1_Raw!I253</f>
        <v>3</v>
      </c>
      <c r="J253" s="25">
        <f>Dataset1_Raw!J253</f>
        <v>0.16</v>
      </c>
      <c r="K253" s="25">
        <f>IF(ISNUMBER(INDEX(Dataset2_Raw!$B$2:$B$611,$Q253)),INDEX(Dataset2_Raw!$B$2:$B$611,$Q253),"")</f>
        <v>0.1515</v>
      </c>
      <c r="L253" s="25">
        <f>IF(ISNUMBER(INDEX(Dataset2_Raw!$C$2:$C$611,$Q253)),INDEX(Dataset2_Raw!$C$2:$C$611,$Q253),"")</f>
        <v>0.93</v>
      </c>
      <c r="M253" s="25">
        <f>IF(ISNUMBER(INDEX(Dataset2_Raw!$D$2:$D$611,$Q253)),INDEX(Dataset2_Raw!$D$2:$D$611,$Q253),"")</f>
        <v>0.19400000000000001</v>
      </c>
      <c r="N253" s="23">
        <f>IF(ISNUMBER(INDEX(Dataset2_Raw!$E$2:$E$611,$Q253)),INDEX(Dataset2_Raw!$E$2:$E$611,$Q253),"")</f>
        <v>0</v>
      </c>
      <c r="O253" s="23">
        <f>IF(ISNUMBER(INDEX(Dataset2_Raw!$F$2:$F$611,$Q253)),INDEX(Dataset2_Raw!$F$2:$F$611,$Q253),"")</f>
        <v>32</v>
      </c>
      <c r="P253" s="23">
        <f>IF(ISNUMBER(INDEX(Dataset2_Raw!$G$2:$G$611,$Q253)),INDEX(Dataset2_Raw!$G$2:$G$611,$Q253),"")</f>
        <v>32</v>
      </c>
      <c r="Q253" s="23">
        <f>IFERROR(MATCH($A253,Dataset2_Raw!$A$2:$A$611,0),0)</f>
        <v>252</v>
      </c>
    </row>
    <row r="254" spans="1:17" x14ac:dyDescent="0.35">
      <c r="A254" s="23">
        <f>Dataset1_Raw!A254</f>
        <v>253</v>
      </c>
      <c r="B254" s="24">
        <f>Dataset1_Raw!B254</f>
        <v>40554</v>
      </c>
      <c r="C254" s="23">
        <f>Dataset1_Raw!C254</f>
        <v>1</v>
      </c>
      <c r="D254" s="23">
        <f>Dataset1_Raw!D254</f>
        <v>0</v>
      </c>
      <c r="E254" s="23">
        <f>Dataset1_Raw!E254</f>
        <v>1</v>
      </c>
      <c r="F254" s="23">
        <f>Dataset1_Raw!F254</f>
        <v>21</v>
      </c>
      <c r="G254" s="23" t="b">
        <f>Dataset1_Raw!G254</f>
        <v>0</v>
      </c>
      <c r="H254" s="23">
        <f>Dataset1_Raw!H254</f>
        <v>2</v>
      </c>
      <c r="I254" s="23">
        <f>Dataset1_Raw!I254</f>
        <v>3</v>
      </c>
      <c r="J254" s="25">
        <f>Dataset1_Raw!J254</f>
        <v>0.16</v>
      </c>
      <c r="K254" s="25">
        <f>IF(ISNUMBER(INDEX(Dataset2_Raw!$B$2:$B$611,$Q254)),INDEX(Dataset2_Raw!$B$2:$B$611,$Q254),"")</f>
        <v>0.19700000000000001</v>
      </c>
      <c r="L254" s="25">
        <f>IF(ISNUMBER(INDEX(Dataset2_Raw!$C$2:$C$611,$Q254)),INDEX(Dataset2_Raw!$C$2:$C$611,$Q254),"")</f>
        <v>0.86</v>
      </c>
      <c r="M254" s="25">
        <f>IF(ISNUMBER(INDEX(Dataset2_Raw!$D$2:$D$611,$Q254)),INDEX(Dataset2_Raw!$D$2:$D$611,$Q254),"")</f>
        <v>8.9599999999999999E-2</v>
      </c>
      <c r="N254" s="23">
        <f>IF(ISNUMBER(INDEX(Dataset2_Raw!$E$2:$E$611,$Q254)),INDEX(Dataset2_Raw!$E$2:$E$611,$Q254),"")</f>
        <v>0</v>
      </c>
      <c r="O254" s="23">
        <f>IF(ISNUMBER(INDEX(Dataset2_Raw!$F$2:$F$611,$Q254)),INDEX(Dataset2_Raw!$F$2:$F$611,$Q254),"")</f>
        <v>20</v>
      </c>
      <c r="P254" s="23">
        <f>IF(ISNUMBER(INDEX(Dataset2_Raw!$G$2:$G$611,$Q254)),INDEX(Dataset2_Raw!$G$2:$G$611,$Q254),"")</f>
        <v>20</v>
      </c>
      <c r="Q254" s="23">
        <f>IFERROR(MATCH($A254,Dataset2_Raw!$A$2:$A$611,0),0)</f>
        <v>253</v>
      </c>
    </row>
    <row r="255" spans="1:17" x14ac:dyDescent="0.35">
      <c r="A255" s="23">
        <f>Dataset1_Raw!A255</f>
        <v>254</v>
      </c>
      <c r="B255" s="24">
        <f>Dataset1_Raw!B255</f>
        <v>40554</v>
      </c>
      <c r="C255" s="23">
        <f>Dataset1_Raw!C255</f>
        <v>1</v>
      </c>
      <c r="D255" s="23">
        <f>Dataset1_Raw!D255</f>
        <v>0</v>
      </c>
      <c r="E255" s="23">
        <f>Dataset1_Raw!E255</f>
        <v>1</v>
      </c>
      <c r="F255" s="23">
        <f>Dataset1_Raw!F255</f>
        <v>22</v>
      </c>
      <c r="G255" s="23" t="b">
        <f>Dataset1_Raw!G255</f>
        <v>0</v>
      </c>
      <c r="H255" s="23">
        <f>Dataset1_Raw!H255</f>
        <v>2</v>
      </c>
      <c r="I255" s="23">
        <f>Dataset1_Raw!I255</f>
        <v>3</v>
      </c>
      <c r="J255" s="25">
        <f>Dataset1_Raw!J255</f>
        <v>0.16</v>
      </c>
      <c r="K255" s="25">
        <f>IF(ISNUMBER(INDEX(Dataset2_Raw!$B$2:$B$611,$Q255)),INDEX(Dataset2_Raw!$B$2:$B$611,$Q255),"")</f>
        <v>0.18179999999999999</v>
      </c>
      <c r="L255" s="25">
        <f>IF(ISNUMBER(INDEX(Dataset2_Raw!$C$2:$C$611,$Q255)),INDEX(Dataset2_Raw!$C$2:$C$611,$Q255),"")</f>
        <v>0.93</v>
      </c>
      <c r="M255" s="25">
        <f>IF(ISNUMBER(INDEX(Dataset2_Raw!$D$2:$D$611,$Q255)),INDEX(Dataset2_Raw!$D$2:$D$611,$Q255),"")</f>
        <v>0.1045</v>
      </c>
      <c r="N255" s="23">
        <f>IF(ISNUMBER(INDEX(Dataset2_Raw!$E$2:$E$611,$Q255)),INDEX(Dataset2_Raw!$E$2:$E$611,$Q255),"")</f>
        <v>1</v>
      </c>
      <c r="O255" s="23">
        <f>IF(ISNUMBER(INDEX(Dataset2_Raw!$F$2:$F$611,$Q255)),INDEX(Dataset2_Raw!$F$2:$F$611,$Q255),"")</f>
        <v>28</v>
      </c>
      <c r="P255" s="23">
        <f>IF(ISNUMBER(INDEX(Dataset2_Raw!$G$2:$G$611,$Q255)),INDEX(Dataset2_Raw!$G$2:$G$611,$Q255),"")</f>
        <v>29</v>
      </c>
      <c r="Q255" s="23">
        <f>IFERROR(MATCH($A255,Dataset2_Raw!$A$2:$A$611,0),0)</f>
        <v>254</v>
      </c>
    </row>
    <row r="256" spans="1:17" x14ac:dyDescent="0.35">
      <c r="A256" s="23">
        <f>Dataset1_Raw!A256</f>
        <v>255</v>
      </c>
      <c r="B256" s="24">
        <f>Dataset1_Raw!B256</f>
        <v>40554</v>
      </c>
      <c r="C256" s="23">
        <f>Dataset1_Raw!C256</f>
        <v>1</v>
      </c>
      <c r="D256" s="23">
        <f>Dataset1_Raw!D256</f>
        <v>0</v>
      </c>
      <c r="E256" s="23">
        <f>Dataset1_Raw!E256</f>
        <v>1</v>
      </c>
      <c r="F256" s="23">
        <f>Dataset1_Raw!F256</f>
        <v>23</v>
      </c>
      <c r="G256" s="23" t="b">
        <f>Dataset1_Raw!G256</f>
        <v>0</v>
      </c>
      <c r="H256" s="23">
        <f>Dataset1_Raw!H256</f>
        <v>2</v>
      </c>
      <c r="I256" s="23">
        <f>Dataset1_Raw!I256</f>
        <v>3</v>
      </c>
      <c r="J256" s="25">
        <f>Dataset1_Raw!J256</f>
        <v>0.16</v>
      </c>
      <c r="K256" s="25">
        <f>IF(ISNUMBER(INDEX(Dataset2_Raw!$B$2:$B$611,$Q256)),INDEX(Dataset2_Raw!$B$2:$B$611,$Q256),"")</f>
        <v>0.19700000000000001</v>
      </c>
      <c r="L256" s="25">
        <f>IF(ISNUMBER(INDEX(Dataset2_Raw!$C$2:$C$611,$Q256)),INDEX(Dataset2_Raw!$C$2:$C$611,$Q256),"")</f>
        <v>0.93</v>
      </c>
      <c r="M256" s="25">
        <f>IF(ISNUMBER(INDEX(Dataset2_Raw!$D$2:$D$611,$Q256)),INDEX(Dataset2_Raw!$D$2:$D$611,$Q256),"")</f>
        <v>8.9599999999999999E-2</v>
      </c>
      <c r="N256" s="23">
        <f>IF(ISNUMBER(INDEX(Dataset2_Raw!$E$2:$E$611,$Q256)),INDEX(Dataset2_Raw!$E$2:$E$611,$Q256),"")</f>
        <v>1</v>
      </c>
      <c r="O256" s="23">
        <f>IF(ISNUMBER(INDEX(Dataset2_Raw!$F$2:$F$611,$Q256)),INDEX(Dataset2_Raw!$F$2:$F$611,$Q256),"")</f>
        <v>18</v>
      </c>
      <c r="P256" s="23">
        <f>IF(ISNUMBER(INDEX(Dataset2_Raw!$G$2:$G$611,$Q256)),INDEX(Dataset2_Raw!$G$2:$G$611,$Q256),"")</f>
        <v>19</v>
      </c>
      <c r="Q256" s="23">
        <f>IFERROR(MATCH($A256,Dataset2_Raw!$A$2:$A$611,0),0)</f>
        <v>255</v>
      </c>
    </row>
    <row r="257" spans="1:17" x14ac:dyDescent="0.35">
      <c r="A257" s="23">
        <f>Dataset1_Raw!A257</f>
        <v>256</v>
      </c>
      <c r="B257" s="24">
        <f>Dataset1_Raw!B257</f>
        <v>40555</v>
      </c>
      <c r="C257" s="23">
        <f>Dataset1_Raw!C257</f>
        <v>1</v>
      </c>
      <c r="D257" s="23">
        <f>Dataset1_Raw!D257</f>
        <v>0</v>
      </c>
      <c r="E257" s="23">
        <f>Dataset1_Raw!E257</f>
        <v>1</v>
      </c>
      <c r="F257" s="23">
        <f>Dataset1_Raw!F257</f>
        <v>0</v>
      </c>
      <c r="G257" s="23" t="b">
        <f>Dataset1_Raw!G257</f>
        <v>0</v>
      </c>
      <c r="H257" s="23">
        <f>Dataset1_Raw!H257</f>
        <v>3</v>
      </c>
      <c r="I257" s="23">
        <f>Dataset1_Raw!I257</f>
        <v>2</v>
      </c>
      <c r="J257" s="25">
        <f>Dataset1_Raw!J257</f>
        <v>0.16</v>
      </c>
      <c r="K257" s="25">
        <f>IF(ISNUMBER(INDEX(Dataset2_Raw!$B$2:$B$611,$Q257)),INDEX(Dataset2_Raw!$B$2:$B$611,$Q257),"")</f>
        <v>0.19700000000000001</v>
      </c>
      <c r="L257" s="25">
        <f>IF(ISNUMBER(INDEX(Dataset2_Raw!$C$2:$C$611,$Q257)),INDEX(Dataset2_Raw!$C$2:$C$611,$Q257),"")</f>
        <v>0.86</v>
      </c>
      <c r="M257" s="25">
        <f>IF(ISNUMBER(INDEX(Dataset2_Raw!$D$2:$D$611,$Q257)),INDEX(Dataset2_Raw!$D$2:$D$611,$Q257),"")</f>
        <v>8.9599999999999999E-2</v>
      </c>
      <c r="N257" s="23">
        <f>IF(ISNUMBER(INDEX(Dataset2_Raw!$E$2:$E$611,$Q257)),INDEX(Dataset2_Raw!$E$2:$E$611,$Q257),"")</f>
        <v>0</v>
      </c>
      <c r="O257" s="23">
        <f>IF(ISNUMBER(INDEX(Dataset2_Raw!$F$2:$F$611,$Q257)),INDEX(Dataset2_Raw!$F$2:$F$611,$Q257),"")</f>
        <v>7</v>
      </c>
      <c r="P257" s="23">
        <f>IF(ISNUMBER(INDEX(Dataset2_Raw!$G$2:$G$611,$Q257)),INDEX(Dataset2_Raw!$G$2:$G$611,$Q257),"")</f>
        <v>7</v>
      </c>
      <c r="Q257" s="23">
        <f>IFERROR(MATCH($A257,Dataset2_Raw!$A$2:$A$611,0),0)</f>
        <v>256</v>
      </c>
    </row>
    <row r="258" spans="1:17" x14ac:dyDescent="0.35">
      <c r="A258" s="23">
        <f>Dataset1_Raw!A258</f>
        <v>257</v>
      </c>
      <c r="B258" s="24">
        <f>Dataset1_Raw!B258</f>
        <v>40555</v>
      </c>
      <c r="C258" s="23">
        <f>Dataset1_Raw!C258</f>
        <v>1</v>
      </c>
      <c r="D258" s="23">
        <f>Dataset1_Raw!D258</f>
        <v>0</v>
      </c>
      <c r="E258" s="23">
        <f>Dataset1_Raw!E258</f>
        <v>1</v>
      </c>
      <c r="F258" s="23">
        <f>Dataset1_Raw!F258</f>
        <v>1</v>
      </c>
      <c r="G258" s="23" t="b">
        <f>Dataset1_Raw!G258</f>
        <v>0</v>
      </c>
      <c r="H258" s="23">
        <f>Dataset1_Raw!H258</f>
        <v>3</v>
      </c>
      <c r="I258" s="23">
        <f>Dataset1_Raw!I258</f>
        <v>2</v>
      </c>
      <c r="J258" s="25">
        <f>Dataset1_Raw!J258</f>
        <v>0.16</v>
      </c>
      <c r="K258" s="25">
        <f>IF(ISNUMBER(INDEX(Dataset2_Raw!$B$2:$B$611,$Q258)),INDEX(Dataset2_Raw!$B$2:$B$611,$Q258),"")</f>
        <v>0.18179999999999999</v>
      </c>
      <c r="L258" s="25">
        <f>IF(ISNUMBER(INDEX(Dataset2_Raw!$C$2:$C$611,$Q258)),INDEX(Dataset2_Raw!$C$2:$C$611,$Q258),"")</f>
        <v>0.86</v>
      </c>
      <c r="M258" s="25">
        <f>IF(ISNUMBER(INDEX(Dataset2_Raw!$D$2:$D$611,$Q258)),INDEX(Dataset2_Raw!$D$2:$D$611,$Q258),"")</f>
        <v>0.1045</v>
      </c>
      <c r="N258" s="23">
        <f>IF(ISNUMBER(INDEX(Dataset2_Raw!$E$2:$E$611,$Q258)),INDEX(Dataset2_Raw!$E$2:$E$611,$Q258),"")</f>
        <v>0</v>
      </c>
      <c r="O258" s="23">
        <f>IF(ISNUMBER(INDEX(Dataset2_Raw!$F$2:$F$611,$Q258)),INDEX(Dataset2_Raw!$F$2:$F$611,$Q258),"")</f>
        <v>6</v>
      </c>
      <c r="P258" s="23">
        <f>IF(ISNUMBER(INDEX(Dataset2_Raw!$G$2:$G$611,$Q258)),INDEX(Dataset2_Raw!$G$2:$G$611,$Q258),"")</f>
        <v>6</v>
      </c>
      <c r="Q258" s="23">
        <f>IFERROR(MATCH($A258,Dataset2_Raw!$A$2:$A$611,0),0)</f>
        <v>257</v>
      </c>
    </row>
    <row r="259" spans="1:17" x14ac:dyDescent="0.35">
      <c r="A259" s="23">
        <f>Dataset1_Raw!A259</f>
        <v>258</v>
      </c>
      <c r="B259" s="24">
        <f>Dataset1_Raw!B259</f>
        <v>40555</v>
      </c>
      <c r="C259" s="23">
        <f>Dataset1_Raw!C259</f>
        <v>1</v>
      </c>
      <c r="D259" s="23">
        <f>Dataset1_Raw!D259</f>
        <v>0</v>
      </c>
      <c r="E259" s="23">
        <f>Dataset1_Raw!E259</f>
        <v>1</v>
      </c>
      <c r="F259" s="23">
        <f>Dataset1_Raw!F259</f>
        <v>2</v>
      </c>
      <c r="G259" s="23" t="b">
        <f>Dataset1_Raw!G259</f>
        <v>0</v>
      </c>
      <c r="H259" s="23">
        <f>Dataset1_Raw!H259</f>
        <v>3</v>
      </c>
      <c r="I259" s="23">
        <f>Dataset1_Raw!I259</f>
        <v>1</v>
      </c>
      <c r="J259" s="25">
        <f>Dataset1_Raw!J259</f>
        <v>0.14000000000000001</v>
      </c>
      <c r="K259" s="25">
        <f>IF(ISNUMBER(INDEX(Dataset2_Raw!$B$2:$B$611,$Q259)),INDEX(Dataset2_Raw!$B$2:$B$611,$Q259),"")</f>
        <v>0.1515</v>
      </c>
      <c r="L259" s="25">
        <f>IF(ISNUMBER(INDEX(Dataset2_Raw!$C$2:$C$611,$Q259)),INDEX(Dataset2_Raw!$C$2:$C$611,$Q259),"")</f>
        <v>0.86</v>
      </c>
      <c r="M259" s="25">
        <f>IF(ISNUMBER(INDEX(Dataset2_Raw!$D$2:$D$611,$Q259)),INDEX(Dataset2_Raw!$D$2:$D$611,$Q259),"")</f>
        <v>0.1343</v>
      </c>
      <c r="N259" s="23">
        <f>IF(ISNUMBER(INDEX(Dataset2_Raw!$E$2:$E$611,$Q259)),INDEX(Dataset2_Raw!$E$2:$E$611,$Q259),"")</f>
        <v>0</v>
      </c>
      <c r="O259" s="23">
        <f>IF(ISNUMBER(INDEX(Dataset2_Raw!$F$2:$F$611,$Q259)),INDEX(Dataset2_Raw!$F$2:$F$611,$Q259),"")</f>
        <v>1</v>
      </c>
      <c r="P259" s="23">
        <f>IF(ISNUMBER(INDEX(Dataset2_Raw!$G$2:$G$611,$Q259)),INDEX(Dataset2_Raw!$G$2:$G$611,$Q259),"")</f>
        <v>1</v>
      </c>
      <c r="Q259" s="23">
        <f>IFERROR(MATCH($A259,Dataset2_Raw!$A$2:$A$611,0),0)</f>
        <v>258</v>
      </c>
    </row>
    <row r="260" spans="1:17" x14ac:dyDescent="0.35">
      <c r="A260" s="23">
        <f>Dataset1_Raw!A260</f>
        <v>259</v>
      </c>
      <c r="B260" s="24">
        <f>Dataset1_Raw!B260</f>
        <v>40555</v>
      </c>
      <c r="C260" s="23">
        <f>Dataset1_Raw!C260</f>
        <v>1</v>
      </c>
      <c r="D260" s="23">
        <f>Dataset1_Raw!D260</f>
        <v>0</v>
      </c>
      <c r="E260" s="23">
        <f>Dataset1_Raw!E260</f>
        <v>1</v>
      </c>
      <c r="F260" s="23">
        <f>Dataset1_Raw!F260</f>
        <v>5</v>
      </c>
      <c r="G260" s="23" t="b">
        <f>Dataset1_Raw!G260</f>
        <v>0</v>
      </c>
      <c r="H260" s="23">
        <f>Dataset1_Raw!H260</f>
        <v>3</v>
      </c>
      <c r="I260" s="23">
        <f>Dataset1_Raw!I260</f>
        <v>1</v>
      </c>
      <c r="J260" s="25">
        <f>Dataset1_Raw!J260</f>
        <v>0.14000000000000001</v>
      </c>
      <c r="K260" s="25">
        <f>IF(ISNUMBER(INDEX(Dataset2_Raw!$B$2:$B$611,$Q260)),INDEX(Dataset2_Raw!$B$2:$B$611,$Q260),"")</f>
        <v>0.1515</v>
      </c>
      <c r="L260" s="25">
        <f>IF(ISNUMBER(INDEX(Dataset2_Raw!$C$2:$C$611,$Q260)),INDEX(Dataset2_Raw!$C$2:$C$611,$Q260),"")</f>
        <v>0.86</v>
      </c>
      <c r="M260" s="25">
        <f>IF(ISNUMBER(INDEX(Dataset2_Raw!$D$2:$D$611,$Q260)),INDEX(Dataset2_Raw!$D$2:$D$611,$Q260),"")</f>
        <v>0.16420000000000001</v>
      </c>
      <c r="N260" s="23">
        <f>IF(ISNUMBER(INDEX(Dataset2_Raw!$E$2:$E$611,$Q260)),INDEX(Dataset2_Raw!$E$2:$E$611,$Q260),"")</f>
        <v>0</v>
      </c>
      <c r="O260" s="23">
        <f>IF(ISNUMBER(INDEX(Dataset2_Raw!$F$2:$F$611,$Q260)),INDEX(Dataset2_Raw!$F$2:$F$611,$Q260),"")</f>
        <v>5</v>
      </c>
      <c r="P260" s="23">
        <f>IF(ISNUMBER(INDEX(Dataset2_Raw!$G$2:$G$611,$Q260)),INDEX(Dataset2_Raw!$G$2:$G$611,$Q260),"")</f>
        <v>5</v>
      </c>
      <c r="Q260" s="23">
        <f>IFERROR(MATCH($A260,Dataset2_Raw!$A$2:$A$611,0),0)</f>
        <v>259</v>
      </c>
    </row>
    <row r="261" spans="1:17" x14ac:dyDescent="0.35">
      <c r="A261" s="23">
        <f>Dataset1_Raw!A261</f>
        <v>260</v>
      </c>
      <c r="B261" s="24">
        <f>Dataset1_Raw!B261</f>
        <v>40555</v>
      </c>
      <c r="C261" s="23">
        <f>Dataset1_Raw!C261</f>
        <v>1</v>
      </c>
      <c r="D261" s="23">
        <f>Dataset1_Raw!D261</f>
        <v>0</v>
      </c>
      <c r="E261" s="23">
        <f>Dataset1_Raw!E261</f>
        <v>1</v>
      </c>
      <c r="F261" s="23">
        <f>Dataset1_Raw!F261</f>
        <v>6</v>
      </c>
      <c r="G261" s="23" t="b">
        <f>Dataset1_Raw!G261</f>
        <v>0</v>
      </c>
      <c r="H261" s="23">
        <f>Dataset1_Raw!H261</f>
        <v>3</v>
      </c>
      <c r="I261" s="23">
        <f>Dataset1_Raw!I261</f>
        <v>1</v>
      </c>
      <c r="J261" s="25">
        <f>Dataset1_Raw!J261</f>
        <v>0.12</v>
      </c>
      <c r="K261" s="25">
        <f>IF(ISNUMBER(INDEX(Dataset2_Raw!$B$2:$B$611,$Q261)),INDEX(Dataset2_Raw!$B$2:$B$611,$Q261),"")</f>
        <v>0.1515</v>
      </c>
      <c r="L261" s="25">
        <f>IF(ISNUMBER(INDEX(Dataset2_Raw!$C$2:$C$611,$Q261)),INDEX(Dataset2_Raw!$C$2:$C$611,$Q261),"")</f>
        <v>0.93</v>
      </c>
      <c r="M261" s="25">
        <f>IF(ISNUMBER(INDEX(Dataset2_Raw!$D$2:$D$611,$Q261)),INDEX(Dataset2_Raw!$D$2:$D$611,$Q261),"")</f>
        <v>0.1343</v>
      </c>
      <c r="N261" s="23">
        <f>IF(ISNUMBER(INDEX(Dataset2_Raw!$E$2:$E$611,$Q261)),INDEX(Dataset2_Raw!$E$2:$E$611,$Q261),"")</f>
        <v>0</v>
      </c>
      <c r="O261" s="23">
        <f>IF(ISNUMBER(INDEX(Dataset2_Raw!$F$2:$F$611,$Q261)),INDEX(Dataset2_Raw!$F$2:$F$611,$Q261),"")</f>
        <v>16</v>
      </c>
      <c r="P261" s="23">
        <f>IF(ISNUMBER(INDEX(Dataset2_Raw!$G$2:$G$611,$Q261)),INDEX(Dataset2_Raw!$G$2:$G$611,$Q261),"")</f>
        <v>16</v>
      </c>
      <c r="Q261" s="23">
        <f>IFERROR(MATCH($A261,Dataset2_Raw!$A$2:$A$611,0),0)</f>
        <v>260</v>
      </c>
    </row>
    <row r="262" spans="1:17" x14ac:dyDescent="0.35">
      <c r="A262" s="23">
        <f>Dataset1_Raw!A262</f>
        <v>261</v>
      </c>
      <c r="B262" s="24">
        <f>Dataset1_Raw!B262</f>
        <v>40555</v>
      </c>
      <c r="C262" s="23">
        <f>Dataset1_Raw!C262</f>
        <v>1</v>
      </c>
      <c r="D262" s="23">
        <f>Dataset1_Raw!D262</f>
        <v>0</v>
      </c>
      <c r="E262" s="23">
        <f>Dataset1_Raw!E262</f>
        <v>1</v>
      </c>
      <c r="F262" s="23">
        <f>Dataset1_Raw!F262</f>
        <v>7</v>
      </c>
      <c r="G262" s="23" t="b">
        <f>Dataset1_Raw!G262</f>
        <v>0</v>
      </c>
      <c r="H262" s="23">
        <f>Dataset1_Raw!H262</f>
        <v>3</v>
      </c>
      <c r="I262" s="23">
        <f>Dataset1_Raw!I262</f>
        <v>1</v>
      </c>
      <c r="J262" s="25">
        <f>Dataset1_Raw!J262</f>
        <v>0.14000000000000001</v>
      </c>
      <c r="K262" s="25">
        <f>IF(ISNUMBER(INDEX(Dataset2_Raw!$B$2:$B$611,$Q262)),INDEX(Dataset2_Raw!$B$2:$B$611,$Q262),"")</f>
        <v>0.1515</v>
      </c>
      <c r="L262" s="25">
        <f>IF(ISNUMBER(INDEX(Dataset2_Raw!$C$2:$C$611,$Q262)),INDEX(Dataset2_Raw!$C$2:$C$611,$Q262),"")</f>
        <v>0.69</v>
      </c>
      <c r="M262" s="25">
        <f>IF(ISNUMBER(INDEX(Dataset2_Raw!$D$2:$D$611,$Q262)),INDEX(Dataset2_Raw!$D$2:$D$611,$Q262),"")</f>
        <v>0.1343</v>
      </c>
      <c r="N262" s="23">
        <f>IF(ISNUMBER(INDEX(Dataset2_Raw!$E$2:$E$611,$Q262)),INDEX(Dataset2_Raw!$E$2:$E$611,$Q262),"")</f>
        <v>0</v>
      </c>
      <c r="O262" s="23">
        <f>IF(ISNUMBER(INDEX(Dataset2_Raw!$F$2:$F$611,$Q262)),INDEX(Dataset2_Raw!$F$2:$F$611,$Q262),"")</f>
        <v>54</v>
      </c>
      <c r="P262" s="23">
        <f>IF(ISNUMBER(INDEX(Dataset2_Raw!$G$2:$G$611,$Q262)),INDEX(Dataset2_Raw!$G$2:$G$611,$Q262),"")</f>
        <v>54</v>
      </c>
      <c r="Q262" s="23">
        <f>IFERROR(MATCH($A262,Dataset2_Raw!$A$2:$A$611,0),0)</f>
        <v>261</v>
      </c>
    </row>
    <row r="263" spans="1:17" x14ac:dyDescent="0.35">
      <c r="A263" s="23">
        <f>Dataset1_Raw!A263</f>
        <v>262</v>
      </c>
      <c r="B263" s="24">
        <f>Dataset1_Raw!B263</f>
        <v>40555</v>
      </c>
      <c r="C263" s="23">
        <f>Dataset1_Raw!C263</f>
        <v>1</v>
      </c>
      <c r="D263" s="23">
        <f>Dataset1_Raw!D263</f>
        <v>0</v>
      </c>
      <c r="E263" s="23">
        <f>Dataset1_Raw!E263</f>
        <v>1</v>
      </c>
      <c r="F263" s="23">
        <f>Dataset1_Raw!F263</f>
        <v>8</v>
      </c>
      <c r="G263" s="23" t="b">
        <f>Dataset1_Raw!G263</f>
        <v>0</v>
      </c>
      <c r="H263" s="23">
        <f>Dataset1_Raw!H263</f>
        <v>3</v>
      </c>
      <c r="I263" s="23">
        <f>Dataset1_Raw!I263</f>
        <v>1</v>
      </c>
      <c r="J263" s="25">
        <f>Dataset1_Raw!J263</f>
        <v>0.16</v>
      </c>
      <c r="K263" s="25">
        <f>IF(ISNUMBER(INDEX(Dataset2_Raw!$B$2:$B$611,$Q263)),INDEX(Dataset2_Raw!$B$2:$B$611,$Q263),"")</f>
        <v>0.16669999999999999</v>
      </c>
      <c r="L263" s="25">
        <f>IF(ISNUMBER(INDEX(Dataset2_Raw!$C$2:$C$611,$Q263)),INDEX(Dataset2_Raw!$C$2:$C$611,$Q263),"")</f>
        <v>0.59</v>
      </c>
      <c r="M263" s="25">
        <f>IF(ISNUMBER(INDEX(Dataset2_Raw!$D$2:$D$611,$Q263)),INDEX(Dataset2_Raw!$D$2:$D$611,$Q263),"")</f>
        <v>0.16420000000000001</v>
      </c>
      <c r="N263" s="23">
        <f>IF(ISNUMBER(INDEX(Dataset2_Raw!$E$2:$E$611,$Q263)),INDEX(Dataset2_Raw!$E$2:$E$611,$Q263),"")</f>
        <v>3</v>
      </c>
      <c r="O263" s="23">
        <f>IF(ISNUMBER(INDEX(Dataset2_Raw!$F$2:$F$611,$Q263)),INDEX(Dataset2_Raw!$F$2:$F$611,$Q263),"")</f>
        <v>125</v>
      </c>
      <c r="P263" s="23">
        <f>IF(ISNUMBER(INDEX(Dataset2_Raw!$G$2:$G$611,$Q263)),INDEX(Dataset2_Raw!$G$2:$G$611,$Q263),"")</f>
        <v>128</v>
      </c>
      <c r="Q263" s="23">
        <f>IFERROR(MATCH($A263,Dataset2_Raw!$A$2:$A$611,0),0)</f>
        <v>262</v>
      </c>
    </row>
    <row r="264" spans="1:17" x14ac:dyDescent="0.35">
      <c r="A264" s="23">
        <f>Dataset1_Raw!A264</f>
        <v>263</v>
      </c>
      <c r="B264" s="24">
        <f>Dataset1_Raw!B264</f>
        <v>40555</v>
      </c>
      <c r="C264" s="23">
        <f>Dataset1_Raw!C264</f>
        <v>1</v>
      </c>
      <c r="D264" s="23">
        <f>Dataset1_Raw!D264</f>
        <v>0</v>
      </c>
      <c r="E264" s="23">
        <f>Dataset1_Raw!E264</f>
        <v>1</v>
      </c>
      <c r="F264" s="23">
        <f>Dataset1_Raw!F264</f>
        <v>9</v>
      </c>
      <c r="G264" s="23" t="b">
        <f>Dataset1_Raw!G264</f>
        <v>0</v>
      </c>
      <c r="H264" s="23">
        <f>Dataset1_Raw!H264</f>
        <v>3</v>
      </c>
      <c r="I264" s="23">
        <f>Dataset1_Raw!I264</f>
        <v>1</v>
      </c>
      <c r="J264" s="25">
        <f>Dataset1_Raw!J264</f>
        <v>0.16</v>
      </c>
      <c r="K264" s="25">
        <f>IF(ISNUMBER(INDEX(Dataset2_Raw!$B$2:$B$611,$Q264)),INDEX(Dataset2_Raw!$B$2:$B$611,$Q264),"")</f>
        <v>0.13639999999999999</v>
      </c>
      <c r="L264" s="25">
        <f>IF(ISNUMBER(INDEX(Dataset2_Raw!$C$2:$C$611,$Q264)),INDEX(Dataset2_Raw!$C$2:$C$611,$Q264),"")</f>
        <v>0.59</v>
      </c>
      <c r="M264" s="25">
        <f>IF(ISNUMBER(INDEX(Dataset2_Raw!$D$2:$D$611,$Q264)),INDEX(Dataset2_Raw!$D$2:$D$611,$Q264),"")</f>
        <v>0.32840000000000003</v>
      </c>
      <c r="N264" s="23">
        <f>IF(ISNUMBER(INDEX(Dataset2_Raw!$E$2:$E$611,$Q264)),INDEX(Dataset2_Raw!$E$2:$E$611,$Q264),"")</f>
        <v>3</v>
      </c>
      <c r="O264" s="23">
        <f>IF(ISNUMBER(INDEX(Dataset2_Raw!$F$2:$F$611,$Q264)),INDEX(Dataset2_Raw!$F$2:$F$611,$Q264),"")</f>
        <v>78</v>
      </c>
      <c r="P264" s="23">
        <f>IF(ISNUMBER(INDEX(Dataset2_Raw!$G$2:$G$611,$Q264)),INDEX(Dataset2_Raw!$G$2:$G$611,$Q264),"")</f>
        <v>81</v>
      </c>
      <c r="Q264" s="23">
        <f>IFERROR(MATCH($A264,Dataset2_Raw!$A$2:$A$611,0),0)</f>
        <v>263</v>
      </c>
    </row>
    <row r="265" spans="1:17" x14ac:dyDescent="0.35">
      <c r="A265" s="23">
        <f>Dataset1_Raw!A265</f>
        <v>264</v>
      </c>
      <c r="B265" s="24">
        <f>Dataset1_Raw!B265</f>
        <v>40555</v>
      </c>
      <c r="C265" s="23">
        <f>Dataset1_Raw!C265</f>
        <v>1</v>
      </c>
      <c r="D265" s="23">
        <f>Dataset1_Raw!D265</f>
        <v>0</v>
      </c>
      <c r="E265" s="23">
        <f>Dataset1_Raw!E265</f>
        <v>1</v>
      </c>
      <c r="F265" s="23">
        <f>Dataset1_Raw!F265</f>
        <v>10</v>
      </c>
      <c r="G265" s="23" t="b">
        <f>Dataset1_Raw!G265</f>
        <v>0</v>
      </c>
      <c r="H265" s="23">
        <f>Dataset1_Raw!H265</f>
        <v>3</v>
      </c>
      <c r="I265" s="23">
        <f>Dataset1_Raw!I265</f>
        <v>1</v>
      </c>
      <c r="J265" s="25">
        <f>Dataset1_Raw!J265</f>
        <v>0.18</v>
      </c>
      <c r="K265" s="25">
        <f>IF(ISNUMBER(INDEX(Dataset2_Raw!$B$2:$B$611,$Q265)),INDEX(Dataset2_Raw!$B$2:$B$611,$Q265),"")</f>
        <v>0.18179999999999999</v>
      </c>
      <c r="L265" s="25">
        <f>IF(ISNUMBER(INDEX(Dataset2_Raw!$C$2:$C$611,$Q265)),INDEX(Dataset2_Raw!$C$2:$C$611,$Q265),"")</f>
        <v>0.55000000000000004</v>
      </c>
      <c r="M265" s="25">
        <f>IF(ISNUMBER(INDEX(Dataset2_Raw!$D$2:$D$611,$Q265)),INDEX(Dataset2_Raw!$D$2:$D$611,$Q265),"")</f>
        <v>0.22389999999999999</v>
      </c>
      <c r="N265" s="23">
        <f>IF(ISNUMBER(INDEX(Dataset2_Raw!$E$2:$E$611,$Q265)),INDEX(Dataset2_Raw!$E$2:$E$611,$Q265),"")</f>
        <v>0</v>
      </c>
      <c r="O265" s="23">
        <f>IF(ISNUMBER(INDEX(Dataset2_Raw!$F$2:$F$611,$Q265)),INDEX(Dataset2_Raw!$F$2:$F$611,$Q265),"")</f>
        <v>39</v>
      </c>
      <c r="P265" s="23">
        <f>IF(ISNUMBER(INDEX(Dataset2_Raw!$G$2:$G$611,$Q265)),INDEX(Dataset2_Raw!$G$2:$G$611,$Q265),"")</f>
        <v>39</v>
      </c>
      <c r="Q265" s="23">
        <f>IFERROR(MATCH($A265,Dataset2_Raw!$A$2:$A$611,0),0)</f>
        <v>264</v>
      </c>
    </row>
    <row r="266" spans="1:17" x14ac:dyDescent="0.35">
      <c r="A266" s="23">
        <f>Dataset1_Raw!A266</f>
        <v>265</v>
      </c>
      <c r="B266" s="24">
        <f>Dataset1_Raw!B266</f>
        <v>40555</v>
      </c>
      <c r="C266" s="23">
        <f>Dataset1_Raw!C266</f>
        <v>1</v>
      </c>
      <c r="D266" s="23">
        <f>Dataset1_Raw!D266</f>
        <v>0</v>
      </c>
      <c r="E266" s="23">
        <f>Dataset1_Raw!E266</f>
        <v>1</v>
      </c>
      <c r="F266" s="23">
        <f>Dataset1_Raw!F266</f>
        <v>11</v>
      </c>
      <c r="G266" s="23" t="b">
        <f>Dataset1_Raw!G266</f>
        <v>0</v>
      </c>
      <c r="H266" s="23">
        <f>Dataset1_Raw!H266</f>
        <v>3</v>
      </c>
      <c r="I266" s="23">
        <f>Dataset1_Raw!I266</f>
        <v>1</v>
      </c>
      <c r="J266" s="25">
        <f>Dataset1_Raw!J266</f>
        <v>0.2</v>
      </c>
      <c r="K266" s="25">
        <f>IF(ISNUMBER(INDEX(Dataset2_Raw!$B$2:$B$611,$Q266)),INDEX(Dataset2_Raw!$B$2:$B$611,$Q266),"")</f>
        <v>0.18179999999999999</v>
      </c>
      <c r="L266" s="25">
        <f>IF(ISNUMBER(INDEX(Dataset2_Raw!$C$2:$C$611,$Q266)),INDEX(Dataset2_Raw!$C$2:$C$611,$Q266),"")</f>
        <v>0.51</v>
      </c>
      <c r="M266" s="25">
        <f>IF(ISNUMBER(INDEX(Dataset2_Raw!$D$2:$D$611,$Q266)),INDEX(Dataset2_Raw!$D$2:$D$611,$Q266),"")</f>
        <v>0.3881</v>
      </c>
      <c r="N266" s="23">
        <f>IF(ISNUMBER(INDEX(Dataset2_Raw!$E$2:$E$611,$Q266)),INDEX(Dataset2_Raw!$E$2:$E$611,$Q266),"")</f>
        <v>3</v>
      </c>
      <c r="O266" s="23">
        <f>IF(ISNUMBER(INDEX(Dataset2_Raw!$F$2:$F$611,$Q266)),INDEX(Dataset2_Raw!$F$2:$F$611,$Q266),"")</f>
        <v>32</v>
      </c>
      <c r="P266" s="23">
        <f>IF(ISNUMBER(INDEX(Dataset2_Raw!$G$2:$G$611,$Q266)),INDEX(Dataset2_Raw!$G$2:$G$611,$Q266),"")</f>
        <v>35</v>
      </c>
      <c r="Q266" s="23">
        <f>IFERROR(MATCH($A266,Dataset2_Raw!$A$2:$A$611,0),0)</f>
        <v>265</v>
      </c>
    </row>
    <row r="267" spans="1:17" x14ac:dyDescent="0.35">
      <c r="A267" s="23">
        <f>Dataset1_Raw!A267</f>
        <v>266</v>
      </c>
      <c r="B267" s="24">
        <f>Dataset1_Raw!B267</f>
        <v>40555</v>
      </c>
      <c r="C267" s="23">
        <f>Dataset1_Raw!C267</f>
        <v>1</v>
      </c>
      <c r="D267" s="23">
        <f>Dataset1_Raw!D267</f>
        <v>0</v>
      </c>
      <c r="E267" s="23">
        <f>Dataset1_Raw!E267</f>
        <v>1</v>
      </c>
      <c r="F267" s="23">
        <f>Dataset1_Raw!F267</f>
        <v>12</v>
      </c>
      <c r="G267" s="23" t="b">
        <f>Dataset1_Raw!G267</f>
        <v>0</v>
      </c>
      <c r="H267" s="23">
        <f>Dataset1_Raw!H267</f>
        <v>3</v>
      </c>
      <c r="I267" s="23">
        <f>Dataset1_Raw!I267</f>
        <v>1</v>
      </c>
      <c r="J267" s="25">
        <f>Dataset1_Raw!J267</f>
        <v>0.2</v>
      </c>
      <c r="K267" s="25">
        <f>IF(ISNUMBER(INDEX(Dataset2_Raw!$B$2:$B$611,$Q267)),INDEX(Dataset2_Raw!$B$2:$B$611,$Q267),"")</f>
        <v>0.1515</v>
      </c>
      <c r="L267" s="25">
        <f>IF(ISNUMBER(INDEX(Dataset2_Raw!$C$2:$C$611,$Q267)),INDEX(Dataset2_Raw!$C$2:$C$611,$Q267),"")</f>
        <v>0.47</v>
      </c>
      <c r="M267" s="25">
        <f>IF(ISNUMBER(INDEX(Dataset2_Raw!$D$2:$D$611,$Q267)),INDEX(Dataset2_Raw!$D$2:$D$611,$Q267),"")</f>
        <v>0.58209999999999995</v>
      </c>
      <c r="N267" s="23">
        <f>IF(ISNUMBER(INDEX(Dataset2_Raw!$E$2:$E$611,$Q267)),INDEX(Dataset2_Raw!$E$2:$E$611,$Q267),"")</f>
        <v>3</v>
      </c>
      <c r="O267" s="23">
        <f>IF(ISNUMBER(INDEX(Dataset2_Raw!$F$2:$F$611,$Q267)),INDEX(Dataset2_Raw!$F$2:$F$611,$Q267),"")</f>
        <v>52</v>
      </c>
      <c r="P267" s="23">
        <f>IF(ISNUMBER(INDEX(Dataset2_Raw!$G$2:$G$611,$Q267)),INDEX(Dataset2_Raw!$G$2:$G$611,$Q267),"")</f>
        <v>55</v>
      </c>
      <c r="Q267" s="23">
        <f>IFERROR(MATCH($A267,Dataset2_Raw!$A$2:$A$611,0),0)</f>
        <v>266</v>
      </c>
    </row>
    <row r="268" spans="1:17" x14ac:dyDescent="0.35">
      <c r="A268" s="23">
        <f>Dataset1_Raw!A268</f>
        <v>267</v>
      </c>
      <c r="B268" s="24">
        <f>Dataset1_Raw!B268</f>
        <v>40555</v>
      </c>
      <c r="C268" s="23">
        <f>Dataset1_Raw!C268</f>
        <v>1</v>
      </c>
      <c r="D268" s="23">
        <f>Dataset1_Raw!D268</f>
        <v>0</v>
      </c>
      <c r="E268" s="23">
        <f>Dataset1_Raw!E268</f>
        <v>1</v>
      </c>
      <c r="F268" s="23">
        <f>Dataset1_Raw!F268</f>
        <v>13</v>
      </c>
      <c r="G268" s="23" t="b">
        <f>Dataset1_Raw!G268</f>
        <v>0</v>
      </c>
      <c r="H268" s="23">
        <f>Dataset1_Raw!H268</f>
        <v>3</v>
      </c>
      <c r="I268" s="23">
        <f>Dataset1_Raw!I268</f>
        <v>1</v>
      </c>
      <c r="J268" s="25">
        <f>Dataset1_Raw!J268</f>
        <v>0.22</v>
      </c>
      <c r="K268" s="25">
        <f>IF(ISNUMBER(INDEX(Dataset2_Raw!$B$2:$B$611,$Q268)),INDEX(Dataset2_Raw!$B$2:$B$611,$Q268),"")</f>
        <v>0.19700000000000001</v>
      </c>
      <c r="L268" s="25">
        <f>IF(ISNUMBER(INDEX(Dataset2_Raw!$C$2:$C$611,$Q268)),INDEX(Dataset2_Raw!$C$2:$C$611,$Q268),"")</f>
        <v>0.44</v>
      </c>
      <c r="M268" s="25">
        <f>IF(ISNUMBER(INDEX(Dataset2_Raw!$D$2:$D$611,$Q268)),INDEX(Dataset2_Raw!$D$2:$D$611,$Q268),"")</f>
        <v>0.35820000000000002</v>
      </c>
      <c r="N268" s="23">
        <f>IF(ISNUMBER(INDEX(Dataset2_Raw!$E$2:$E$611,$Q268)),INDEX(Dataset2_Raw!$E$2:$E$611,$Q268),"")</f>
        <v>0</v>
      </c>
      <c r="O268" s="23">
        <f>IF(ISNUMBER(INDEX(Dataset2_Raw!$F$2:$F$611,$Q268)),INDEX(Dataset2_Raw!$F$2:$F$611,$Q268),"")</f>
        <v>49</v>
      </c>
      <c r="P268" s="23">
        <f>IF(ISNUMBER(INDEX(Dataset2_Raw!$G$2:$G$611,$Q268)),INDEX(Dataset2_Raw!$G$2:$G$611,$Q268),"")</f>
        <v>49</v>
      </c>
      <c r="Q268" s="23">
        <f>IFERROR(MATCH($A268,Dataset2_Raw!$A$2:$A$611,0),0)</f>
        <v>267</v>
      </c>
    </row>
    <row r="269" spans="1:17" x14ac:dyDescent="0.35">
      <c r="A269" s="23">
        <f>Dataset1_Raw!A269</f>
        <v>268</v>
      </c>
      <c r="B269" s="24">
        <f>Dataset1_Raw!B269</f>
        <v>40555</v>
      </c>
      <c r="C269" s="23">
        <f>Dataset1_Raw!C269</f>
        <v>1</v>
      </c>
      <c r="D269" s="23">
        <f>Dataset1_Raw!D269</f>
        <v>0</v>
      </c>
      <c r="E269" s="23">
        <f>Dataset1_Raw!E269</f>
        <v>1</v>
      </c>
      <c r="F269" s="23">
        <f>Dataset1_Raw!F269</f>
        <v>14</v>
      </c>
      <c r="G269" s="23" t="b">
        <f>Dataset1_Raw!G269</f>
        <v>0</v>
      </c>
      <c r="H269" s="23">
        <f>Dataset1_Raw!H269</f>
        <v>3</v>
      </c>
      <c r="I269" s="23">
        <f>Dataset1_Raw!I269</f>
        <v>1</v>
      </c>
      <c r="J269" s="25">
        <f>Dataset1_Raw!J269</f>
        <v>0.2</v>
      </c>
      <c r="K269" s="25">
        <f>IF(ISNUMBER(INDEX(Dataset2_Raw!$B$2:$B$611,$Q269)),INDEX(Dataset2_Raw!$B$2:$B$611,$Q269),"")</f>
        <v>0.18179999999999999</v>
      </c>
      <c r="L269" s="25">
        <f>IF(ISNUMBER(INDEX(Dataset2_Raw!$C$2:$C$611,$Q269)),INDEX(Dataset2_Raw!$C$2:$C$611,$Q269),"")</f>
        <v>0.47</v>
      </c>
      <c r="M269" s="25">
        <f>IF(ISNUMBER(INDEX(Dataset2_Raw!$D$2:$D$611,$Q269)),INDEX(Dataset2_Raw!$D$2:$D$611,$Q269),"")</f>
        <v>0.32840000000000003</v>
      </c>
      <c r="N269" s="23">
        <f>IF(ISNUMBER(INDEX(Dataset2_Raw!$E$2:$E$611,$Q269)),INDEX(Dataset2_Raw!$E$2:$E$611,$Q269),"")</f>
        <v>0</v>
      </c>
      <c r="O269" s="23">
        <f>IF(ISNUMBER(INDEX(Dataset2_Raw!$F$2:$F$611,$Q269)),INDEX(Dataset2_Raw!$F$2:$F$611,$Q269),"")</f>
        <v>44</v>
      </c>
      <c r="P269" s="23">
        <f>IF(ISNUMBER(INDEX(Dataset2_Raw!$G$2:$G$611,$Q269)),INDEX(Dataset2_Raw!$G$2:$G$611,$Q269),"")</f>
        <v>44</v>
      </c>
      <c r="Q269" s="23">
        <f>IFERROR(MATCH($A269,Dataset2_Raw!$A$2:$A$611,0),0)</f>
        <v>268</v>
      </c>
    </row>
    <row r="270" spans="1:17" x14ac:dyDescent="0.35">
      <c r="A270" s="23">
        <f>Dataset1_Raw!A270</f>
        <v>269</v>
      </c>
      <c r="B270" s="24">
        <f>Dataset1_Raw!B270</f>
        <v>40555</v>
      </c>
      <c r="C270" s="23">
        <f>Dataset1_Raw!C270</f>
        <v>1</v>
      </c>
      <c r="D270" s="23">
        <f>Dataset1_Raw!D270</f>
        <v>0</v>
      </c>
      <c r="E270" s="23">
        <f>Dataset1_Raw!E270</f>
        <v>1</v>
      </c>
      <c r="F270" s="23">
        <f>Dataset1_Raw!F270</f>
        <v>15</v>
      </c>
      <c r="G270" s="23" t="b">
        <f>Dataset1_Raw!G270</f>
        <v>0</v>
      </c>
      <c r="H270" s="23">
        <f>Dataset1_Raw!H270</f>
        <v>3</v>
      </c>
      <c r="I270" s="23">
        <f>Dataset1_Raw!I270</f>
        <v>1</v>
      </c>
      <c r="J270" s="25">
        <f>Dataset1_Raw!J270</f>
        <v>0.2</v>
      </c>
      <c r="K270" s="25">
        <f>IF(ISNUMBER(INDEX(Dataset2_Raw!$B$2:$B$611,$Q270)),INDEX(Dataset2_Raw!$B$2:$B$611,$Q270),"")</f>
        <v>0.16669999999999999</v>
      </c>
      <c r="L270" s="25">
        <f>IF(ISNUMBER(INDEX(Dataset2_Raw!$C$2:$C$611,$Q270)),INDEX(Dataset2_Raw!$C$2:$C$611,$Q270),"")</f>
        <v>0.47</v>
      </c>
      <c r="M270" s="25">
        <f>IF(ISNUMBER(INDEX(Dataset2_Raw!$D$2:$D$611,$Q270)),INDEX(Dataset2_Raw!$D$2:$D$611,$Q270),"")</f>
        <v>0.41789999999999999</v>
      </c>
      <c r="N270" s="23">
        <f>IF(ISNUMBER(INDEX(Dataset2_Raw!$E$2:$E$611,$Q270)),INDEX(Dataset2_Raw!$E$2:$E$611,$Q270),"")</f>
        <v>1</v>
      </c>
      <c r="O270" s="23">
        <f>IF(ISNUMBER(INDEX(Dataset2_Raw!$F$2:$F$611,$Q270)),INDEX(Dataset2_Raw!$F$2:$F$611,$Q270),"")</f>
        <v>48</v>
      </c>
      <c r="P270" s="23">
        <f>IF(ISNUMBER(INDEX(Dataset2_Raw!$G$2:$G$611,$Q270)),INDEX(Dataset2_Raw!$G$2:$G$611,$Q270),"")</f>
        <v>49</v>
      </c>
      <c r="Q270" s="23">
        <f>IFERROR(MATCH($A270,Dataset2_Raw!$A$2:$A$611,0),0)</f>
        <v>269</v>
      </c>
    </row>
    <row r="271" spans="1:17" x14ac:dyDescent="0.35">
      <c r="A271" s="23">
        <f>Dataset1_Raw!A271</f>
        <v>270</v>
      </c>
      <c r="B271" s="24">
        <f>Dataset1_Raw!B271</f>
        <v>40555</v>
      </c>
      <c r="C271" s="23">
        <f>Dataset1_Raw!C271</f>
        <v>1</v>
      </c>
      <c r="D271" s="23">
        <f>Dataset1_Raw!D271</f>
        <v>0</v>
      </c>
      <c r="E271" s="23">
        <f>Dataset1_Raw!E271</f>
        <v>1</v>
      </c>
      <c r="F271" s="23">
        <f>Dataset1_Raw!F271</f>
        <v>16</v>
      </c>
      <c r="G271" s="23" t="b">
        <f>Dataset1_Raw!G271</f>
        <v>0</v>
      </c>
      <c r="H271" s="23">
        <f>Dataset1_Raw!H271</f>
        <v>3</v>
      </c>
      <c r="I271" s="23">
        <f>Dataset1_Raw!I271</f>
        <v>1</v>
      </c>
      <c r="J271" s="25">
        <f>Dataset1_Raw!J271</f>
        <v>0.22</v>
      </c>
      <c r="K271" s="25">
        <f>IF(ISNUMBER(INDEX(Dataset2_Raw!$B$2:$B$611,$Q271)),INDEX(Dataset2_Raw!$B$2:$B$611,$Q271),"")</f>
        <v>0.19700000000000001</v>
      </c>
      <c r="L271" s="25">
        <f>IF(ISNUMBER(INDEX(Dataset2_Raw!$C$2:$C$611,$Q271)),INDEX(Dataset2_Raw!$C$2:$C$611,$Q271),"")</f>
        <v>0.44</v>
      </c>
      <c r="M271" s="25">
        <f>IF(ISNUMBER(INDEX(Dataset2_Raw!$D$2:$D$611,$Q271)),INDEX(Dataset2_Raw!$D$2:$D$611,$Q271),"")</f>
        <v>0.32840000000000003</v>
      </c>
      <c r="N271" s="23">
        <f>IF(ISNUMBER(INDEX(Dataset2_Raw!$E$2:$E$611,$Q271)),INDEX(Dataset2_Raw!$E$2:$E$611,$Q271),"")</f>
        <v>5</v>
      </c>
      <c r="O271" s="23">
        <f>IF(ISNUMBER(INDEX(Dataset2_Raw!$F$2:$F$611,$Q271)),INDEX(Dataset2_Raw!$F$2:$F$611,$Q271),"")</f>
        <v>63</v>
      </c>
      <c r="P271" s="23">
        <f>IF(ISNUMBER(INDEX(Dataset2_Raw!$G$2:$G$611,$Q271)),INDEX(Dataset2_Raw!$G$2:$G$611,$Q271),"")</f>
        <v>68</v>
      </c>
      <c r="Q271" s="23">
        <f>IFERROR(MATCH($A271,Dataset2_Raw!$A$2:$A$611,0),0)</f>
        <v>270</v>
      </c>
    </row>
    <row r="272" spans="1:17" x14ac:dyDescent="0.35">
      <c r="A272" s="23">
        <f>Dataset1_Raw!A272</f>
        <v>271</v>
      </c>
      <c r="B272" s="24">
        <f>Dataset1_Raw!B272</f>
        <v>40555</v>
      </c>
      <c r="C272" s="23">
        <f>Dataset1_Raw!C272</f>
        <v>1</v>
      </c>
      <c r="D272" s="23">
        <f>Dataset1_Raw!D272</f>
        <v>0</v>
      </c>
      <c r="E272" s="23">
        <f>Dataset1_Raw!E272</f>
        <v>1</v>
      </c>
      <c r="F272" s="23">
        <f>Dataset1_Raw!F272</f>
        <v>17</v>
      </c>
      <c r="G272" s="23" t="b">
        <f>Dataset1_Raw!G272</f>
        <v>0</v>
      </c>
      <c r="H272" s="23">
        <f>Dataset1_Raw!H272</f>
        <v>3</v>
      </c>
      <c r="I272" s="23">
        <f>Dataset1_Raw!I272</f>
        <v>1</v>
      </c>
      <c r="J272" s="25">
        <f>Dataset1_Raw!J272</f>
        <v>0.2</v>
      </c>
      <c r="K272" s="25">
        <f>IF(ISNUMBER(INDEX(Dataset2_Raw!$B$2:$B$611,$Q272)),INDEX(Dataset2_Raw!$B$2:$B$611,$Q272),"")</f>
        <v>0.18179999999999999</v>
      </c>
      <c r="L272" s="25">
        <f>IF(ISNUMBER(INDEX(Dataset2_Raw!$C$2:$C$611,$Q272)),INDEX(Dataset2_Raw!$C$2:$C$611,$Q272),"")</f>
        <v>0.47</v>
      </c>
      <c r="M272" s="25">
        <f>IF(ISNUMBER(INDEX(Dataset2_Raw!$D$2:$D$611,$Q272)),INDEX(Dataset2_Raw!$D$2:$D$611,$Q272),"")</f>
        <v>0.35820000000000002</v>
      </c>
      <c r="N272" s="23">
        <f>IF(ISNUMBER(INDEX(Dataset2_Raw!$E$2:$E$611,$Q272)),INDEX(Dataset2_Raw!$E$2:$E$611,$Q272),"")</f>
        <v>0</v>
      </c>
      <c r="O272" s="23">
        <f>IF(ISNUMBER(INDEX(Dataset2_Raw!$F$2:$F$611,$Q272)),INDEX(Dataset2_Raw!$F$2:$F$611,$Q272),"")</f>
        <v>139</v>
      </c>
      <c r="P272" s="23">
        <f>IF(ISNUMBER(INDEX(Dataset2_Raw!$G$2:$G$611,$Q272)),INDEX(Dataset2_Raw!$G$2:$G$611,$Q272),"")</f>
        <v>139</v>
      </c>
      <c r="Q272" s="23">
        <f>IFERROR(MATCH($A272,Dataset2_Raw!$A$2:$A$611,0),0)</f>
        <v>271</v>
      </c>
    </row>
    <row r="273" spans="1:17" x14ac:dyDescent="0.35">
      <c r="A273" s="23">
        <f>Dataset1_Raw!A273</f>
        <v>272</v>
      </c>
      <c r="B273" s="24">
        <f>Dataset1_Raw!B273</f>
        <v>40555</v>
      </c>
      <c r="C273" s="23">
        <f>Dataset1_Raw!C273</f>
        <v>1</v>
      </c>
      <c r="D273" s="23">
        <f>Dataset1_Raw!D273</f>
        <v>0</v>
      </c>
      <c r="E273" s="23">
        <f>Dataset1_Raw!E273</f>
        <v>1</v>
      </c>
      <c r="F273" s="23">
        <f>Dataset1_Raw!F273</f>
        <v>18</v>
      </c>
      <c r="G273" s="23" t="b">
        <f>Dataset1_Raw!G273</f>
        <v>0</v>
      </c>
      <c r="H273" s="23">
        <f>Dataset1_Raw!H273</f>
        <v>3</v>
      </c>
      <c r="I273" s="23">
        <f>Dataset1_Raw!I273</f>
        <v>1</v>
      </c>
      <c r="J273" s="25">
        <f>Dataset1_Raw!J273</f>
        <v>0.2</v>
      </c>
      <c r="K273" s="25">
        <f>IF(ISNUMBER(INDEX(Dataset2_Raw!$B$2:$B$611,$Q273)),INDEX(Dataset2_Raw!$B$2:$B$611,$Q273),"")</f>
        <v>0.1515</v>
      </c>
      <c r="L273" s="25">
        <f>IF(ISNUMBER(INDEX(Dataset2_Raw!$C$2:$C$611,$Q273)),INDEX(Dataset2_Raw!$C$2:$C$611,$Q273),"")</f>
        <v>0.47</v>
      </c>
      <c r="M273" s="25">
        <f>IF(ISNUMBER(INDEX(Dataset2_Raw!$D$2:$D$611,$Q273)),INDEX(Dataset2_Raw!$D$2:$D$611,$Q273),"")</f>
        <v>0.52239999999999998</v>
      </c>
      <c r="N273" s="23">
        <f>IF(ISNUMBER(INDEX(Dataset2_Raw!$E$2:$E$611,$Q273)),INDEX(Dataset2_Raw!$E$2:$E$611,$Q273),"")</f>
        <v>2</v>
      </c>
      <c r="O273" s="23">
        <f>IF(ISNUMBER(INDEX(Dataset2_Raw!$F$2:$F$611,$Q273)),INDEX(Dataset2_Raw!$F$2:$F$611,$Q273),"")</f>
        <v>135</v>
      </c>
      <c r="P273" s="23">
        <f>IF(ISNUMBER(INDEX(Dataset2_Raw!$G$2:$G$611,$Q273)),INDEX(Dataset2_Raw!$G$2:$G$611,$Q273),"")</f>
        <v>137</v>
      </c>
      <c r="Q273" s="23">
        <f>IFERROR(MATCH($A273,Dataset2_Raw!$A$2:$A$611,0),0)</f>
        <v>272</v>
      </c>
    </row>
    <row r="274" spans="1:17" x14ac:dyDescent="0.35">
      <c r="A274" s="23">
        <f>Dataset1_Raw!A274</f>
        <v>273</v>
      </c>
      <c r="B274" s="24">
        <f>Dataset1_Raw!B274</f>
        <v>40555</v>
      </c>
      <c r="C274" s="23">
        <f>Dataset1_Raw!C274</f>
        <v>1</v>
      </c>
      <c r="D274" s="23">
        <f>Dataset1_Raw!D274</f>
        <v>0</v>
      </c>
      <c r="E274" s="23">
        <f>Dataset1_Raw!E274</f>
        <v>1</v>
      </c>
      <c r="F274" s="23">
        <f>Dataset1_Raw!F274</f>
        <v>19</v>
      </c>
      <c r="G274" s="23" t="b">
        <f>Dataset1_Raw!G274</f>
        <v>0</v>
      </c>
      <c r="H274" s="23">
        <f>Dataset1_Raw!H274</f>
        <v>3</v>
      </c>
      <c r="I274" s="23">
        <f>Dataset1_Raw!I274</f>
        <v>1</v>
      </c>
      <c r="J274" s="25">
        <f>Dataset1_Raw!J274</f>
        <v>0.18</v>
      </c>
      <c r="K274" s="25">
        <f>IF(ISNUMBER(INDEX(Dataset2_Raw!$B$2:$B$611,$Q274)),INDEX(Dataset2_Raw!$B$2:$B$611,$Q274),"")</f>
        <v>0.1515</v>
      </c>
      <c r="L274" s="25">
        <f>IF(ISNUMBER(INDEX(Dataset2_Raw!$C$2:$C$611,$Q274)),INDEX(Dataset2_Raw!$C$2:$C$611,$Q274),"")</f>
        <v>0.47</v>
      </c>
      <c r="M274" s="25">
        <f>IF(ISNUMBER(INDEX(Dataset2_Raw!$D$2:$D$611,$Q274)),INDEX(Dataset2_Raw!$D$2:$D$611,$Q274),"")</f>
        <v>0.41789999999999999</v>
      </c>
      <c r="N274" s="23">
        <f>IF(ISNUMBER(INDEX(Dataset2_Raw!$E$2:$E$611,$Q274)),INDEX(Dataset2_Raw!$E$2:$E$611,$Q274),"")</f>
        <v>1</v>
      </c>
      <c r="O274" s="23">
        <f>IF(ISNUMBER(INDEX(Dataset2_Raw!$F$2:$F$611,$Q274)),INDEX(Dataset2_Raw!$F$2:$F$611,$Q274),"")</f>
        <v>82</v>
      </c>
      <c r="P274" s="23">
        <f>IF(ISNUMBER(INDEX(Dataset2_Raw!$G$2:$G$611,$Q274)),INDEX(Dataset2_Raw!$G$2:$G$611,$Q274),"")</f>
        <v>83</v>
      </c>
      <c r="Q274" s="23">
        <f>IFERROR(MATCH($A274,Dataset2_Raw!$A$2:$A$611,0),0)</f>
        <v>273</v>
      </c>
    </row>
    <row r="275" spans="1:17" x14ac:dyDescent="0.35">
      <c r="A275" s="23">
        <f>Dataset1_Raw!A275</f>
        <v>274</v>
      </c>
      <c r="B275" s="24">
        <f>Dataset1_Raw!B275</f>
        <v>40555</v>
      </c>
      <c r="C275" s="23">
        <f>Dataset1_Raw!C275</f>
        <v>1</v>
      </c>
      <c r="D275" s="23">
        <f>Dataset1_Raw!D275</f>
        <v>0</v>
      </c>
      <c r="E275" s="23">
        <f>Dataset1_Raw!E275</f>
        <v>1</v>
      </c>
      <c r="F275" s="23">
        <f>Dataset1_Raw!F275</f>
        <v>20</v>
      </c>
      <c r="G275" s="23" t="b">
        <f>Dataset1_Raw!G275</f>
        <v>0</v>
      </c>
      <c r="H275" s="23">
        <f>Dataset1_Raw!H275</f>
        <v>3</v>
      </c>
      <c r="I275" s="23">
        <f>Dataset1_Raw!I275</f>
        <v>1</v>
      </c>
      <c r="J275" s="25">
        <f>Dataset1_Raw!J275</f>
        <v>0.16</v>
      </c>
      <c r="K275" s="25">
        <f>IF(ISNUMBER(INDEX(Dataset2_Raw!$B$2:$B$611,$Q275)),INDEX(Dataset2_Raw!$B$2:$B$611,$Q275),"")</f>
        <v>0.13639999999999999</v>
      </c>
      <c r="L275" s="25">
        <f>IF(ISNUMBER(INDEX(Dataset2_Raw!$C$2:$C$611,$Q275)),INDEX(Dataset2_Raw!$C$2:$C$611,$Q275),"")</f>
        <v>0.5</v>
      </c>
      <c r="M275" s="25">
        <f>IF(ISNUMBER(INDEX(Dataset2_Raw!$D$2:$D$611,$Q275)),INDEX(Dataset2_Raw!$D$2:$D$611,$Q275),"")</f>
        <v>0.32840000000000003</v>
      </c>
      <c r="N275" s="23">
        <f>IF(ISNUMBER(INDEX(Dataset2_Raw!$E$2:$E$611,$Q275)),INDEX(Dataset2_Raw!$E$2:$E$611,$Q275),"")</f>
        <v>2</v>
      </c>
      <c r="O275" s="23">
        <f>IF(ISNUMBER(INDEX(Dataset2_Raw!$F$2:$F$611,$Q275)),INDEX(Dataset2_Raw!$F$2:$F$611,$Q275),"")</f>
        <v>54</v>
      </c>
      <c r="P275" s="23">
        <f>IF(ISNUMBER(INDEX(Dataset2_Raw!$G$2:$G$611,$Q275)),INDEX(Dataset2_Raw!$G$2:$G$611,$Q275),"")</f>
        <v>56</v>
      </c>
      <c r="Q275" s="23">
        <f>IFERROR(MATCH($A275,Dataset2_Raw!$A$2:$A$611,0),0)</f>
        <v>274</v>
      </c>
    </row>
    <row r="276" spans="1:17" x14ac:dyDescent="0.35">
      <c r="A276" s="23">
        <f>Dataset1_Raw!A276</f>
        <v>275</v>
      </c>
      <c r="B276" s="24">
        <f>Dataset1_Raw!B276</f>
        <v>40555</v>
      </c>
      <c r="C276" s="23">
        <f>Dataset1_Raw!C276</f>
        <v>1</v>
      </c>
      <c r="D276" s="23">
        <f>Dataset1_Raw!D276</f>
        <v>0</v>
      </c>
      <c r="E276" s="23">
        <f>Dataset1_Raw!E276</f>
        <v>1</v>
      </c>
      <c r="F276" s="23">
        <f>Dataset1_Raw!F276</f>
        <v>21</v>
      </c>
      <c r="G276" s="23" t="b">
        <f>Dataset1_Raw!G276</f>
        <v>0</v>
      </c>
      <c r="H276" s="23">
        <f>Dataset1_Raw!H276</f>
        <v>3</v>
      </c>
      <c r="I276" s="23">
        <f>Dataset1_Raw!I276</f>
        <v>1</v>
      </c>
      <c r="J276" s="25">
        <f>Dataset1_Raw!J276</f>
        <v>0.16</v>
      </c>
      <c r="K276" s="25">
        <f>IF(ISNUMBER(INDEX(Dataset2_Raw!$B$2:$B$611,$Q276)),INDEX(Dataset2_Raw!$B$2:$B$611,$Q276),"")</f>
        <v>0.13639999999999999</v>
      </c>
      <c r="L276" s="25">
        <f>IF(ISNUMBER(INDEX(Dataset2_Raw!$C$2:$C$611,$Q276)),INDEX(Dataset2_Raw!$C$2:$C$611,$Q276),"")</f>
        <v>0.55000000000000004</v>
      </c>
      <c r="M276" s="25">
        <f>IF(ISNUMBER(INDEX(Dataset2_Raw!$D$2:$D$611,$Q276)),INDEX(Dataset2_Raw!$D$2:$D$611,$Q276),"")</f>
        <v>0.32840000000000003</v>
      </c>
      <c r="N276" s="23">
        <f>IF(ISNUMBER(INDEX(Dataset2_Raw!$E$2:$E$611,$Q276)),INDEX(Dataset2_Raw!$E$2:$E$611,$Q276),"")</f>
        <v>0</v>
      </c>
      <c r="O276" s="23">
        <f>IF(ISNUMBER(INDEX(Dataset2_Raw!$F$2:$F$611,$Q276)),INDEX(Dataset2_Raw!$F$2:$F$611,$Q276),"")</f>
        <v>57</v>
      </c>
      <c r="P276" s="23">
        <f>IF(ISNUMBER(INDEX(Dataset2_Raw!$G$2:$G$611,$Q276)),INDEX(Dataset2_Raw!$G$2:$G$611,$Q276),"")</f>
        <v>57</v>
      </c>
      <c r="Q276" s="23">
        <f>IFERROR(MATCH($A276,Dataset2_Raw!$A$2:$A$611,0),0)</f>
        <v>275</v>
      </c>
    </row>
    <row r="277" spans="1:17" x14ac:dyDescent="0.35">
      <c r="A277" s="23">
        <f>Dataset1_Raw!A277</f>
        <v>276</v>
      </c>
      <c r="B277" s="24">
        <f>Dataset1_Raw!B277</f>
        <v>40555</v>
      </c>
      <c r="C277" s="23">
        <f>Dataset1_Raw!C277</f>
        <v>1</v>
      </c>
      <c r="D277" s="23">
        <f>Dataset1_Raw!D277</f>
        <v>0</v>
      </c>
      <c r="E277" s="23">
        <f>Dataset1_Raw!E277</f>
        <v>1</v>
      </c>
      <c r="F277" s="23">
        <f>Dataset1_Raw!F277</f>
        <v>22</v>
      </c>
      <c r="G277" s="23" t="b">
        <f>Dataset1_Raw!G277</f>
        <v>0</v>
      </c>
      <c r="H277" s="23">
        <f>Dataset1_Raw!H277</f>
        <v>3</v>
      </c>
      <c r="I277" s="23">
        <f>Dataset1_Raw!I277</f>
        <v>1</v>
      </c>
      <c r="J277" s="25">
        <f>Dataset1_Raw!J277</f>
        <v>0.16</v>
      </c>
      <c r="K277" s="25">
        <f>IF(ISNUMBER(INDEX(Dataset2_Raw!$B$2:$B$611,$Q277)),INDEX(Dataset2_Raw!$B$2:$B$611,$Q277),"")</f>
        <v>0.1212</v>
      </c>
      <c r="L277" s="25">
        <f>IF(ISNUMBER(INDEX(Dataset2_Raw!$C$2:$C$611,$Q277)),INDEX(Dataset2_Raw!$C$2:$C$611,$Q277),"")</f>
        <v>0.55000000000000004</v>
      </c>
      <c r="M277" s="25">
        <f>IF(ISNUMBER(INDEX(Dataset2_Raw!$D$2:$D$611,$Q277)),INDEX(Dataset2_Raw!$D$2:$D$611,$Q277),"")</f>
        <v>0.44779999999999998</v>
      </c>
      <c r="N277" s="23">
        <f>IF(ISNUMBER(INDEX(Dataset2_Raw!$E$2:$E$611,$Q277)),INDEX(Dataset2_Raw!$E$2:$E$611,$Q277),"")</f>
        <v>1</v>
      </c>
      <c r="O277" s="23">
        <f>IF(ISNUMBER(INDEX(Dataset2_Raw!$F$2:$F$611,$Q277)),INDEX(Dataset2_Raw!$F$2:$F$611,$Q277),"")</f>
        <v>32</v>
      </c>
      <c r="P277" s="23">
        <f>IF(ISNUMBER(INDEX(Dataset2_Raw!$G$2:$G$611,$Q277)),INDEX(Dataset2_Raw!$G$2:$G$611,$Q277),"")</f>
        <v>33</v>
      </c>
      <c r="Q277" s="23">
        <f>IFERROR(MATCH($A277,Dataset2_Raw!$A$2:$A$611,0),0)</f>
        <v>276</v>
      </c>
    </row>
    <row r="278" spans="1:17" x14ac:dyDescent="0.35">
      <c r="A278" s="23">
        <f>Dataset1_Raw!A278</f>
        <v>277</v>
      </c>
      <c r="B278" s="24">
        <f>Dataset1_Raw!B278</f>
        <v>40555</v>
      </c>
      <c r="C278" s="23">
        <f>Dataset1_Raw!C278</f>
        <v>1</v>
      </c>
      <c r="D278" s="23">
        <f>Dataset1_Raw!D278</f>
        <v>0</v>
      </c>
      <c r="E278" s="23">
        <f>Dataset1_Raw!E278</f>
        <v>1</v>
      </c>
      <c r="F278" s="23">
        <f>Dataset1_Raw!F278</f>
        <v>23</v>
      </c>
      <c r="G278" s="23" t="b">
        <f>Dataset1_Raw!G278</f>
        <v>0</v>
      </c>
      <c r="H278" s="23">
        <f>Dataset1_Raw!H278</f>
        <v>3</v>
      </c>
      <c r="I278" s="23">
        <f>Dataset1_Raw!I278</f>
        <v>1</v>
      </c>
      <c r="J278" s="25">
        <f>Dataset1_Raw!J278</f>
        <v>0.14000000000000001</v>
      </c>
      <c r="K278" s="25">
        <f>IF(ISNUMBER(INDEX(Dataset2_Raw!$B$2:$B$611,$Q278)),INDEX(Dataset2_Raw!$B$2:$B$611,$Q278),"")</f>
        <v>0.1061</v>
      </c>
      <c r="L278" s="25">
        <f>IF(ISNUMBER(INDEX(Dataset2_Raw!$C$2:$C$611,$Q278)),INDEX(Dataset2_Raw!$C$2:$C$611,$Q278),"")</f>
        <v>0.59</v>
      </c>
      <c r="M278" s="25">
        <f>IF(ISNUMBER(INDEX(Dataset2_Raw!$D$2:$D$611,$Q278)),INDEX(Dataset2_Raw!$D$2:$D$611,$Q278),"")</f>
        <v>0.41789999999999999</v>
      </c>
      <c r="N278" s="23">
        <f>IF(ISNUMBER(INDEX(Dataset2_Raw!$E$2:$E$611,$Q278)),INDEX(Dataset2_Raw!$E$2:$E$611,$Q278),"")</f>
        <v>1</v>
      </c>
      <c r="O278" s="23">
        <f>IF(ISNUMBER(INDEX(Dataset2_Raw!$F$2:$F$611,$Q278)),INDEX(Dataset2_Raw!$F$2:$F$611,$Q278),"")</f>
        <v>19</v>
      </c>
      <c r="P278" s="23">
        <f>IF(ISNUMBER(INDEX(Dataset2_Raw!$G$2:$G$611,$Q278)),INDEX(Dataset2_Raw!$G$2:$G$611,$Q278),"")</f>
        <v>20</v>
      </c>
      <c r="Q278" s="23">
        <f>IFERROR(MATCH($A278,Dataset2_Raw!$A$2:$A$611,0),0)</f>
        <v>277</v>
      </c>
    </row>
    <row r="279" spans="1:17" x14ac:dyDescent="0.35">
      <c r="A279" s="23">
        <f>Dataset1_Raw!A279</f>
        <v>278</v>
      </c>
      <c r="B279" s="24">
        <f>Dataset1_Raw!B279</f>
        <v>40556</v>
      </c>
      <c r="C279" s="23">
        <f>Dataset1_Raw!C279</f>
        <v>1</v>
      </c>
      <c r="D279" s="23">
        <f>Dataset1_Raw!D279</f>
        <v>0</v>
      </c>
      <c r="E279" s="23">
        <f>Dataset1_Raw!E279</f>
        <v>1</v>
      </c>
      <c r="F279" s="23">
        <f>Dataset1_Raw!F279</f>
        <v>0</v>
      </c>
      <c r="G279" s="23" t="b">
        <f>Dataset1_Raw!G279</f>
        <v>0</v>
      </c>
      <c r="H279" s="23">
        <f>Dataset1_Raw!H279</f>
        <v>4</v>
      </c>
      <c r="I279" s="23">
        <f>Dataset1_Raw!I279</f>
        <v>1</v>
      </c>
      <c r="J279" s="25">
        <f>Dataset1_Raw!J279</f>
        <v>0.14000000000000001</v>
      </c>
      <c r="K279" s="25">
        <f>IF(ISNUMBER(INDEX(Dataset2_Raw!$B$2:$B$611,$Q279)),INDEX(Dataset2_Raw!$B$2:$B$611,$Q279),"")</f>
        <v>0.1212</v>
      </c>
      <c r="L279" s="25">
        <f>IF(ISNUMBER(INDEX(Dataset2_Raw!$C$2:$C$611,$Q279)),INDEX(Dataset2_Raw!$C$2:$C$611,$Q279),"")</f>
        <v>0.59</v>
      </c>
      <c r="M279" s="25">
        <f>IF(ISNUMBER(INDEX(Dataset2_Raw!$D$2:$D$611,$Q279)),INDEX(Dataset2_Raw!$D$2:$D$611,$Q279),"")</f>
        <v>0.28360000000000002</v>
      </c>
      <c r="N279" s="23">
        <f>IF(ISNUMBER(INDEX(Dataset2_Raw!$E$2:$E$611,$Q279)),INDEX(Dataset2_Raw!$E$2:$E$611,$Q279),"")</f>
        <v>1</v>
      </c>
      <c r="O279" s="23">
        <f>IF(ISNUMBER(INDEX(Dataset2_Raw!$F$2:$F$611,$Q279)),INDEX(Dataset2_Raw!$F$2:$F$611,$Q279),"")</f>
        <v>6</v>
      </c>
      <c r="P279" s="23">
        <f>IF(ISNUMBER(INDEX(Dataset2_Raw!$G$2:$G$611,$Q279)),INDEX(Dataset2_Raw!$G$2:$G$611,$Q279),"")</f>
        <v>7</v>
      </c>
      <c r="Q279" s="23">
        <f>IFERROR(MATCH($A279,Dataset2_Raw!$A$2:$A$611,0),0)</f>
        <v>278</v>
      </c>
    </row>
    <row r="280" spans="1:17" x14ac:dyDescent="0.35">
      <c r="A280" s="23">
        <f>Dataset1_Raw!A280</f>
        <v>279</v>
      </c>
      <c r="B280" s="24">
        <f>Dataset1_Raw!B280</f>
        <v>40556</v>
      </c>
      <c r="C280" s="23">
        <f>Dataset1_Raw!C280</f>
        <v>1</v>
      </c>
      <c r="D280" s="23">
        <f>Dataset1_Raw!D280</f>
        <v>0</v>
      </c>
      <c r="E280" s="23">
        <f>Dataset1_Raw!E280</f>
        <v>1</v>
      </c>
      <c r="F280" s="23">
        <f>Dataset1_Raw!F280</f>
        <v>1</v>
      </c>
      <c r="G280" s="23" t="b">
        <f>Dataset1_Raw!G280</f>
        <v>0</v>
      </c>
      <c r="H280" s="23">
        <f>Dataset1_Raw!H280</f>
        <v>4</v>
      </c>
      <c r="I280" s="23">
        <f>Dataset1_Raw!I280</f>
        <v>1</v>
      </c>
      <c r="J280" s="25">
        <f>Dataset1_Raw!J280</f>
        <v>0.14000000000000001</v>
      </c>
      <c r="K280" s="25">
        <f>IF(ISNUMBER(INDEX(Dataset2_Raw!$B$2:$B$611,$Q280)),INDEX(Dataset2_Raw!$B$2:$B$611,$Q280),"")</f>
        <v>0.1212</v>
      </c>
      <c r="L280" s="25">
        <f>IF(ISNUMBER(INDEX(Dataset2_Raw!$C$2:$C$611,$Q280)),INDEX(Dataset2_Raw!$C$2:$C$611,$Q280),"")</f>
        <v>0.5</v>
      </c>
      <c r="M280" s="25">
        <f>IF(ISNUMBER(INDEX(Dataset2_Raw!$D$2:$D$611,$Q280)),INDEX(Dataset2_Raw!$D$2:$D$611,$Q280),"")</f>
        <v>0.28360000000000002</v>
      </c>
      <c r="N280" s="23">
        <f>IF(ISNUMBER(INDEX(Dataset2_Raw!$E$2:$E$611,$Q280)),INDEX(Dataset2_Raw!$E$2:$E$611,$Q280),"")</f>
        <v>0</v>
      </c>
      <c r="O280" s="23">
        <f>IF(ISNUMBER(INDEX(Dataset2_Raw!$F$2:$F$611,$Q280)),INDEX(Dataset2_Raw!$F$2:$F$611,$Q280),"")</f>
        <v>2</v>
      </c>
      <c r="P280" s="23">
        <f>IF(ISNUMBER(INDEX(Dataset2_Raw!$G$2:$G$611,$Q280)),INDEX(Dataset2_Raw!$G$2:$G$611,$Q280),"")</f>
        <v>2</v>
      </c>
      <c r="Q280" s="23">
        <f>IFERROR(MATCH($A280,Dataset2_Raw!$A$2:$A$611,0),0)</f>
        <v>279</v>
      </c>
    </row>
    <row r="281" spans="1:17" x14ac:dyDescent="0.35">
      <c r="A281" s="23">
        <f>Dataset1_Raw!A281</f>
        <v>280</v>
      </c>
      <c r="B281" s="24">
        <f>Dataset1_Raw!B281</f>
        <v>40556</v>
      </c>
      <c r="C281" s="23">
        <f>Dataset1_Raw!C281</f>
        <v>1</v>
      </c>
      <c r="D281" s="23">
        <f>Dataset1_Raw!D281</f>
        <v>0</v>
      </c>
      <c r="E281" s="23">
        <f>Dataset1_Raw!E281</f>
        <v>1</v>
      </c>
      <c r="F281" s="23">
        <f>Dataset1_Raw!F281</f>
        <v>2</v>
      </c>
      <c r="G281" s="23" t="b">
        <f>Dataset1_Raw!G281</f>
        <v>0</v>
      </c>
      <c r="H281" s="23">
        <f>Dataset1_Raw!H281</f>
        <v>4</v>
      </c>
      <c r="I281" s="23">
        <f>Dataset1_Raw!I281</f>
        <v>1</v>
      </c>
      <c r="J281" s="25">
        <f>Dataset1_Raw!J281</f>
        <v>0.14000000000000001</v>
      </c>
      <c r="K281" s="25">
        <f>IF(ISNUMBER(INDEX(Dataset2_Raw!$B$2:$B$611,$Q281)),INDEX(Dataset2_Raw!$B$2:$B$611,$Q281),"")</f>
        <v>0.1212</v>
      </c>
      <c r="L281" s="25">
        <f>IF(ISNUMBER(INDEX(Dataset2_Raw!$C$2:$C$611,$Q281)),INDEX(Dataset2_Raw!$C$2:$C$611,$Q281),"")</f>
        <v>0.5</v>
      </c>
      <c r="M281" s="25">
        <f>IF(ISNUMBER(INDEX(Dataset2_Raw!$D$2:$D$611,$Q281)),INDEX(Dataset2_Raw!$D$2:$D$611,$Q281),"")</f>
        <v>0.35820000000000002</v>
      </c>
      <c r="N281" s="23">
        <f>IF(ISNUMBER(INDEX(Dataset2_Raw!$E$2:$E$611,$Q281)),INDEX(Dataset2_Raw!$E$2:$E$611,$Q281),"")</f>
        <v>0</v>
      </c>
      <c r="O281" s="23">
        <f>IF(ISNUMBER(INDEX(Dataset2_Raw!$F$2:$F$611,$Q281)),INDEX(Dataset2_Raw!$F$2:$F$611,$Q281),"")</f>
        <v>2</v>
      </c>
      <c r="P281" s="23">
        <f>IF(ISNUMBER(INDEX(Dataset2_Raw!$G$2:$G$611,$Q281)),INDEX(Dataset2_Raw!$G$2:$G$611,$Q281),"")</f>
        <v>2</v>
      </c>
      <c r="Q281" s="23">
        <f>IFERROR(MATCH($A281,Dataset2_Raw!$A$2:$A$611,0),0)</f>
        <v>280</v>
      </c>
    </row>
    <row r="282" spans="1:17" x14ac:dyDescent="0.35">
      <c r="A282" s="23">
        <f>Dataset1_Raw!A282</f>
        <v>281</v>
      </c>
      <c r="B282" s="24">
        <f>Dataset1_Raw!B282</f>
        <v>40556</v>
      </c>
      <c r="C282" s="23">
        <f>Dataset1_Raw!C282</f>
        <v>1</v>
      </c>
      <c r="D282" s="23">
        <f>Dataset1_Raw!D282</f>
        <v>0</v>
      </c>
      <c r="E282" s="23">
        <f>Dataset1_Raw!E282</f>
        <v>1</v>
      </c>
      <c r="F282" s="23">
        <f>Dataset1_Raw!F282</f>
        <v>3</v>
      </c>
      <c r="G282" s="23" t="b">
        <f>Dataset1_Raw!G282</f>
        <v>0</v>
      </c>
      <c r="H282" s="23">
        <f>Dataset1_Raw!H282</f>
        <v>4</v>
      </c>
      <c r="I282" s="23">
        <f>Dataset1_Raw!I282</f>
        <v>1</v>
      </c>
      <c r="J282" s="25">
        <f>Dataset1_Raw!J282</f>
        <v>0.14000000000000001</v>
      </c>
      <c r="K282" s="25">
        <f>IF(ISNUMBER(INDEX(Dataset2_Raw!$B$2:$B$611,$Q282)),INDEX(Dataset2_Raw!$B$2:$B$611,$Q282),"")</f>
        <v>0.1212</v>
      </c>
      <c r="L282" s="25">
        <f>IF(ISNUMBER(INDEX(Dataset2_Raw!$C$2:$C$611,$Q282)),INDEX(Dataset2_Raw!$C$2:$C$611,$Q282),"")</f>
        <v>0.5</v>
      </c>
      <c r="M282" s="25">
        <f>IF(ISNUMBER(INDEX(Dataset2_Raw!$D$2:$D$611,$Q282)),INDEX(Dataset2_Raw!$D$2:$D$611,$Q282),"")</f>
        <v>0.32840000000000003</v>
      </c>
      <c r="N282" s="23">
        <f>IF(ISNUMBER(INDEX(Dataset2_Raw!$E$2:$E$611,$Q282)),INDEX(Dataset2_Raw!$E$2:$E$611,$Q282),"")</f>
        <v>0</v>
      </c>
      <c r="O282" s="23">
        <f>IF(ISNUMBER(INDEX(Dataset2_Raw!$F$2:$F$611,$Q282)),INDEX(Dataset2_Raw!$F$2:$F$611,$Q282),"")</f>
        <v>3</v>
      </c>
      <c r="P282" s="23">
        <f>IF(ISNUMBER(INDEX(Dataset2_Raw!$G$2:$G$611,$Q282)),INDEX(Dataset2_Raw!$G$2:$G$611,$Q282),"")</f>
        <v>3</v>
      </c>
      <c r="Q282" s="23">
        <f>IFERROR(MATCH($A282,Dataset2_Raw!$A$2:$A$611,0),0)</f>
        <v>281</v>
      </c>
    </row>
    <row r="283" spans="1:17" x14ac:dyDescent="0.35">
      <c r="A283" s="23">
        <f>Dataset1_Raw!A283</f>
        <v>282</v>
      </c>
      <c r="B283" s="24">
        <f>Dataset1_Raw!B283</f>
        <v>40556</v>
      </c>
      <c r="C283" s="23">
        <f>Dataset1_Raw!C283</f>
        <v>1</v>
      </c>
      <c r="D283" s="23">
        <f>Dataset1_Raw!D283</f>
        <v>0</v>
      </c>
      <c r="E283" s="23">
        <f>Dataset1_Raw!E283</f>
        <v>1</v>
      </c>
      <c r="F283" s="23">
        <f>Dataset1_Raw!F283</f>
        <v>4</v>
      </c>
      <c r="G283" s="23" t="b">
        <f>Dataset1_Raw!G283</f>
        <v>0</v>
      </c>
      <c r="H283" s="23">
        <f>Dataset1_Raw!H283</f>
        <v>4</v>
      </c>
      <c r="I283" s="23">
        <f>Dataset1_Raw!I283</f>
        <v>1</v>
      </c>
      <c r="J283" s="25">
        <f>Dataset1_Raw!J283</f>
        <v>0.14000000000000001</v>
      </c>
      <c r="K283" s="25">
        <f>IF(ISNUMBER(INDEX(Dataset2_Raw!$B$2:$B$611,$Q283)),INDEX(Dataset2_Raw!$B$2:$B$611,$Q283),"")</f>
        <v>0.1212</v>
      </c>
      <c r="L283" s="25">
        <f>IF(ISNUMBER(INDEX(Dataset2_Raw!$C$2:$C$611,$Q283)),INDEX(Dataset2_Raw!$C$2:$C$611,$Q283),"")</f>
        <v>0.5</v>
      </c>
      <c r="M283" s="25">
        <f>IF(ISNUMBER(INDEX(Dataset2_Raw!$D$2:$D$611,$Q283)),INDEX(Dataset2_Raw!$D$2:$D$611,$Q283),"")</f>
        <v>0.25369999999999998</v>
      </c>
      <c r="N283" s="23">
        <f>IF(ISNUMBER(INDEX(Dataset2_Raw!$E$2:$E$611,$Q283)),INDEX(Dataset2_Raw!$E$2:$E$611,$Q283),"")</f>
        <v>0</v>
      </c>
      <c r="O283" s="23">
        <f>IF(ISNUMBER(INDEX(Dataset2_Raw!$F$2:$F$611,$Q283)),INDEX(Dataset2_Raw!$F$2:$F$611,$Q283),"")</f>
        <v>4</v>
      </c>
      <c r="P283" s="23">
        <f>IF(ISNUMBER(INDEX(Dataset2_Raw!$G$2:$G$611,$Q283)),INDEX(Dataset2_Raw!$G$2:$G$611,$Q283),"")</f>
        <v>4</v>
      </c>
      <c r="Q283" s="23">
        <f>IFERROR(MATCH($A283,Dataset2_Raw!$A$2:$A$611,0),0)</f>
        <v>282</v>
      </c>
    </row>
    <row r="284" spans="1:17" x14ac:dyDescent="0.35">
      <c r="A284" s="23">
        <f>Dataset1_Raw!A284</f>
        <v>283</v>
      </c>
      <c r="B284" s="24">
        <f>Dataset1_Raw!B284</f>
        <v>40556</v>
      </c>
      <c r="C284" s="23">
        <f>Dataset1_Raw!C284</f>
        <v>1</v>
      </c>
      <c r="D284" s="23">
        <f>Dataset1_Raw!D284</f>
        <v>0</v>
      </c>
      <c r="E284" s="23">
        <f>Dataset1_Raw!E284</f>
        <v>1</v>
      </c>
      <c r="F284" s="23">
        <f>Dataset1_Raw!F284</f>
        <v>5</v>
      </c>
      <c r="G284" s="23" t="b">
        <f>Dataset1_Raw!G284</f>
        <v>0</v>
      </c>
      <c r="H284" s="23">
        <f>Dataset1_Raw!H284</f>
        <v>4</v>
      </c>
      <c r="I284" s="23">
        <f>Dataset1_Raw!I284</f>
        <v>1</v>
      </c>
      <c r="J284" s="25">
        <f>Dataset1_Raw!J284</f>
        <v>0.14000000000000001</v>
      </c>
      <c r="K284" s="25">
        <f>IF(ISNUMBER(INDEX(Dataset2_Raw!$B$2:$B$611,$Q284)),INDEX(Dataset2_Raw!$B$2:$B$611,$Q284),"")</f>
        <v>0.1212</v>
      </c>
      <c r="L284" s="25">
        <f>IF(ISNUMBER(INDEX(Dataset2_Raw!$C$2:$C$611,$Q284)),INDEX(Dataset2_Raw!$C$2:$C$611,$Q284),"")</f>
        <v>0.5</v>
      </c>
      <c r="M284" s="25">
        <f>IF(ISNUMBER(INDEX(Dataset2_Raw!$D$2:$D$611,$Q284)),INDEX(Dataset2_Raw!$D$2:$D$611,$Q284),"")</f>
        <v>0.29849999999999999</v>
      </c>
      <c r="N284" s="23">
        <f>IF(ISNUMBER(INDEX(Dataset2_Raw!$E$2:$E$611,$Q284)),INDEX(Dataset2_Raw!$E$2:$E$611,$Q284),"")</f>
        <v>0</v>
      </c>
      <c r="O284" s="23">
        <f>IF(ISNUMBER(INDEX(Dataset2_Raw!$F$2:$F$611,$Q284)),INDEX(Dataset2_Raw!$F$2:$F$611,$Q284),"")</f>
        <v>3</v>
      </c>
      <c r="P284" s="23">
        <f>IF(ISNUMBER(INDEX(Dataset2_Raw!$G$2:$G$611,$Q284)),INDEX(Dataset2_Raw!$G$2:$G$611,$Q284),"")</f>
        <v>3</v>
      </c>
      <c r="Q284" s="23">
        <f>IFERROR(MATCH($A284,Dataset2_Raw!$A$2:$A$611,0),0)</f>
        <v>283</v>
      </c>
    </row>
    <row r="285" spans="1:17" x14ac:dyDescent="0.35">
      <c r="A285" s="23">
        <f>Dataset1_Raw!A285</f>
        <v>284</v>
      </c>
      <c r="B285" s="24">
        <f>Dataset1_Raw!B285</f>
        <v>40556</v>
      </c>
      <c r="C285" s="23">
        <f>Dataset1_Raw!C285</f>
        <v>1</v>
      </c>
      <c r="D285" s="23">
        <f>Dataset1_Raw!D285</f>
        <v>0</v>
      </c>
      <c r="E285" s="23">
        <f>Dataset1_Raw!E285</f>
        <v>1</v>
      </c>
      <c r="F285" s="23">
        <f>Dataset1_Raw!F285</f>
        <v>6</v>
      </c>
      <c r="G285" s="23" t="b">
        <f>Dataset1_Raw!G285</f>
        <v>0</v>
      </c>
      <c r="H285" s="23">
        <f>Dataset1_Raw!H285</f>
        <v>4</v>
      </c>
      <c r="I285" s="23">
        <f>Dataset1_Raw!I285</f>
        <v>1</v>
      </c>
      <c r="J285" s="25">
        <f>Dataset1_Raw!J285</f>
        <v>0.12</v>
      </c>
      <c r="K285" s="25">
        <f>IF(ISNUMBER(INDEX(Dataset2_Raw!$B$2:$B$611,$Q285)),INDEX(Dataset2_Raw!$B$2:$B$611,$Q285),"")</f>
        <v>0.1515</v>
      </c>
      <c r="L285" s="25">
        <f>IF(ISNUMBER(INDEX(Dataset2_Raw!$C$2:$C$611,$Q285)),INDEX(Dataset2_Raw!$C$2:$C$611,$Q285),"")</f>
        <v>0.54</v>
      </c>
      <c r="M285" s="25">
        <f>IF(ISNUMBER(INDEX(Dataset2_Raw!$D$2:$D$611,$Q285)),INDEX(Dataset2_Raw!$D$2:$D$611,$Q285),"")</f>
        <v>0.1343</v>
      </c>
      <c r="N285" s="23">
        <f>IF(ISNUMBER(INDEX(Dataset2_Raw!$E$2:$E$611,$Q285)),INDEX(Dataset2_Raw!$E$2:$E$611,$Q285),"")</f>
        <v>0</v>
      </c>
      <c r="O285" s="23">
        <f>IF(ISNUMBER(INDEX(Dataset2_Raw!$F$2:$F$611,$Q285)),INDEX(Dataset2_Raw!$F$2:$F$611,$Q285),"")</f>
        <v>28</v>
      </c>
      <c r="P285" s="23">
        <f>IF(ISNUMBER(INDEX(Dataset2_Raw!$G$2:$G$611,$Q285)),INDEX(Dataset2_Raw!$G$2:$G$611,$Q285),"")</f>
        <v>28</v>
      </c>
      <c r="Q285" s="23">
        <f>IFERROR(MATCH($A285,Dataset2_Raw!$A$2:$A$611,0),0)</f>
        <v>284</v>
      </c>
    </row>
    <row r="286" spans="1:17" x14ac:dyDescent="0.35">
      <c r="A286" s="23">
        <f>Dataset1_Raw!A286</f>
        <v>285</v>
      </c>
      <c r="B286" s="24">
        <f>Dataset1_Raw!B286</f>
        <v>40556</v>
      </c>
      <c r="C286" s="23">
        <f>Dataset1_Raw!C286</f>
        <v>1</v>
      </c>
      <c r="D286" s="23">
        <f>Dataset1_Raw!D286</f>
        <v>0</v>
      </c>
      <c r="E286" s="23">
        <f>Dataset1_Raw!E286</f>
        <v>1</v>
      </c>
      <c r="F286" s="23">
        <f>Dataset1_Raw!F286</f>
        <v>7</v>
      </c>
      <c r="G286" s="23" t="b">
        <f>Dataset1_Raw!G286</f>
        <v>0</v>
      </c>
      <c r="H286" s="23">
        <f>Dataset1_Raw!H286</f>
        <v>4</v>
      </c>
      <c r="I286" s="23">
        <f>Dataset1_Raw!I286</f>
        <v>1</v>
      </c>
      <c r="J286" s="25">
        <f>Dataset1_Raw!J286</f>
        <v>0.12</v>
      </c>
      <c r="K286" s="25">
        <f>IF(ISNUMBER(INDEX(Dataset2_Raw!$B$2:$B$611,$Q286)),INDEX(Dataset2_Raw!$B$2:$B$611,$Q286),"")</f>
        <v>0.1515</v>
      </c>
      <c r="L286" s="25">
        <f>IF(ISNUMBER(INDEX(Dataset2_Raw!$C$2:$C$611,$Q286)),INDEX(Dataset2_Raw!$C$2:$C$611,$Q286),"")</f>
        <v>0.54</v>
      </c>
      <c r="M286" s="25">
        <f>IF(ISNUMBER(INDEX(Dataset2_Raw!$D$2:$D$611,$Q286)),INDEX(Dataset2_Raw!$D$2:$D$611,$Q286),"")</f>
        <v>0.1343</v>
      </c>
      <c r="N286" s="23">
        <f>IF(ISNUMBER(INDEX(Dataset2_Raw!$E$2:$E$611,$Q286)),INDEX(Dataset2_Raw!$E$2:$E$611,$Q286),"")</f>
        <v>0</v>
      </c>
      <c r="O286" s="23">
        <f>IF(ISNUMBER(INDEX(Dataset2_Raw!$F$2:$F$611,$Q286)),INDEX(Dataset2_Raw!$F$2:$F$611,$Q286),"")</f>
        <v>72</v>
      </c>
      <c r="P286" s="23">
        <f>IF(ISNUMBER(INDEX(Dataset2_Raw!$G$2:$G$611,$Q286)),INDEX(Dataset2_Raw!$G$2:$G$611,$Q286),"")</f>
        <v>72</v>
      </c>
      <c r="Q286" s="23">
        <f>IFERROR(MATCH($A286,Dataset2_Raw!$A$2:$A$611,0),0)</f>
        <v>285</v>
      </c>
    </row>
    <row r="287" spans="1:17" x14ac:dyDescent="0.35">
      <c r="A287" s="23">
        <f>Dataset1_Raw!A287</f>
        <v>286</v>
      </c>
      <c r="B287" s="24">
        <f>Dataset1_Raw!B287</f>
        <v>40556</v>
      </c>
      <c r="C287" s="23">
        <f>Dataset1_Raw!C287</f>
        <v>1</v>
      </c>
      <c r="D287" s="23">
        <f>Dataset1_Raw!D287</f>
        <v>0</v>
      </c>
      <c r="E287" s="23">
        <f>Dataset1_Raw!E287</f>
        <v>1</v>
      </c>
      <c r="F287" s="23">
        <f>Dataset1_Raw!F287</f>
        <v>8</v>
      </c>
      <c r="G287" s="23" t="b">
        <f>Dataset1_Raw!G287</f>
        <v>0</v>
      </c>
      <c r="H287" s="23">
        <f>Dataset1_Raw!H287</f>
        <v>4</v>
      </c>
      <c r="I287" s="23">
        <f>Dataset1_Raw!I287</f>
        <v>1</v>
      </c>
      <c r="J287" s="25">
        <f>Dataset1_Raw!J287</f>
        <v>0.14000000000000001</v>
      </c>
      <c r="K287" s="25">
        <f>IF(ISNUMBER(INDEX(Dataset2_Raw!$B$2:$B$611,$Q287)),INDEX(Dataset2_Raw!$B$2:$B$611,$Q287),"")</f>
        <v>0.13639999999999999</v>
      </c>
      <c r="L287" s="25">
        <f>IF(ISNUMBER(INDEX(Dataset2_Raw!$C$2:$C$611,$Q287)),INDEX(Dataset2_Raw!$C$2:$C$611,$Q287),"")</f>
        <v>0.5</v>
      </c>
      <c r="M287" s="25">
        <f>IF(ISNUMBER(INDEX(Dataset2_Raw!$D$2:$D$611,$Q287)),INDEX(Dataset2_Raw!$D$2:$D$611,$Q287),"")</f>
        <v>0.19400000000000001</v>
      </c>
      <c r="N287" s="23">
        <f>IF(ISNUMBER(INDEX(Dataset2_Raw!$E$2:$E$611,$Q287)),INDEX(Dataset2_Raw!$E$2:$E$611,$Q287),"")</f>
        <v>5</v>
      </c>
      <c r="O287" s="23">
        <f>IF(ISNUMBER(INDEX(Dataset2_Raw!$F$2:$F$611,$Q287)),INDEX(Dataset2_Raw!$F$2:$F$611,$Q287),"")</f>
        <v>197</v>
      </c>
      <c r="P287" s="23">
        <f>IF(ISNUMBER(INDEX(Dataset2_Raw!$G$2:$G$611,$Q287)),INDEX(Dataset2_Raw!$G$2:$G$611,$Q287),"")</f>
        <v>202</v>
      </c>
      <c r="Q287" s="23">
        <f>IFERROR(MATCH($A287,Dataset2_Raw!$A$2:$A$611,0),0)</f>
        <v>286</v>
      </c>
    </row>
    <row r="288" spans="1:17" x14ac:dyDescent="0.35">
      <c r="A288" s="23">
        <f>Dataset1_Raw!A288</f>
        <v>287</v>
      </c>
      <c r="B288" s="24">
        <f>Dataset1_Raw!B288</f>
        <v>40556</v>
      </c>
      <c r="C288" s="23">
        <f>Dataset1_Raw!C288</f>
        <v>1</v>
      </c>
      <c r="D288" s="23">
        <f>Dataset1_Raw!D288</f>
        <v>0</v>
      </c>
      <c r="E288" s="23">
        <f>Dataset1_Raw!E288</f>
        <v>1</v>
      </c>
      <c r="F288" s="23">
        <f>Dataset1_Raw!F288</f>
        <v>9</v>
      </c>
      <c r="G288" s="23" t="b">
        <f>Dataset1_Raw!G288</f>
        <v>0</v>
      </c>
      <c r="H288" s="23">
        <f>Dataset1_Raw!H288</f>
        <v>4</v>
      </c>
      <c r="I288" s="23">
        <f>Dataset1_Raw!I288</f>
        <v>1</v>
      </c>
      <c r="J288" s="25">
        <f>Dataset1_Raw!J288</f>
        <v>0.14000000000000001</v>
      </c>
      <c r="K288" s="25">
        <f>IF(ISNUMBER(INDEX(Dataset2_Raw!$B$2:$B$611,$Q288)),INDEX(Dataset2_Raw!$B$2:$B$611,$Q288),"")</f>
        <v>0.1212</v>
      </c>
      <c r="L288" s="25">
        <f>IF(ISNUMBER(INDEX(Dataset2_Raw!$C$2:$C$611,$Q288)),INDEX(Dataset2_Raw!$C$2:$C$611,$Q288),"")</f>
        <v>0.5</v>
      </c>
      <c r="M288" s="25">
        <f>IF(ISNUMBER(INDEX(Dataset2_Raw!$D$2:$D$611,$Q288)),INDEX(Dataset2_Raw!$D$2:$D$611,$Q288),"")</f>
        <v>0.32840000000000003</v>
      </c>
      <c r="N288" s="23">
        <f>IF(ISNUMBER(INDEX(Dataset2_Raw!$E$2:$E$611,$Q288)),INDEX(Dataset2_Raw!$E$2:$E$611,$Q288),"")</f>
        <v>2</v>
      </c>
      <c r="O288" s="23">
        <f>IF(ISNUMBER(INDEX(Dataset2_Raw!$F$2:$F$611,$Q288)),INDEX(Dataset2_Raw!$F$2:$F$611,$Q288),"")</f>
        <v>137</v>
      </c>
      <c r="P288" s="23">
        <f>IF(ISNUMBER(INDEX(Dataset2_Raw!$G$2:$G$611,$Q288)),INDEX(Dataset2_Raw!$G$2:$G$611,$Q288),"")</f>
        <v>139</v>
      </c>
      <c r="Q288" s="23">
        <f>IFERROR(MATCH($A288,Dataset2_Raw!$A$2:$A$611,0),0)</f>
        <v>287</v>
      </c>
    </row>
    <row r="289" spans="1:17" x14ac:dyDescent="0.35">
      <c r="A289" s="23">
        <f>Dataset1_Raw!A289</f>
        <v>288</v>
      </c>
      <c r="B289" s="24">
        <f>Dataset1_Raw!B289</f>
        <v>40556</v>
      </c>
      <c r="C289" s="23">
        <f>Dataset1_Raw!C289</f>
        <v>1</v>
      </c>
      <c r="D289" s="23">
        <f>Dataset1_Raw!D289</f>
        <v>0</v>
      </c>
      <c r="E289" s="23">
        <f>Dataset1_Raw!E289</f>
        <v>1</v>
      </c>
      <c r="F289" s="23">
        <f>Dataset1_Raw!F289</f>
        <v>10</v>
      </c>
      <c r="G289" s="23" t="b">
        <f>Dataset1_Raw!G289</f>
        <v>0</v>
      </c>
      <c r="H289" s="23">
        <f>Dataset1_Raw!H289</f>
        <v>4</v>
      </c>
      <c r="I289" s="23">
        <f>Dataset1_Raw!I289</f>
        <v>2</v>
      </c>
      <c r="J289" s="25">
        <f>Dataset1_Raw!J289</f>
        <v>0.16</v>
      </c>
      <c r="K289" s="25">
        <f>IF(ISNUMBER(INDEX(Dataset2_Raw!$B$2:$B$611,$Q289)),INDEX(Dataset2_Raw!$B$2:$B$611,$Q289),"")</f>
        <v>0.13639999999999999</v>
      </c>
      <c r="L289" s="25">
        <f>IF(ISNUMBER(INDEX(Dataset2_Raw!$C$2:$C$611,$Q289)),INDEX(Dataset2_Raw!$C$2:$C$611,$Q289),"")</f>
        <v>0.5</v>
      </c>
      <c r="M289" s="25">
        <f>IF(ISNUMBER(INDEX(Dataset2_Raw!$D$2:$D$611,$Q289)),INDEX(Dataset2_Raw!$D$2:$D$611,$Q289),"")</f>
        <v>0.35820000000000002</v>
      </c>
      <c r="N289" s="23">
        <f>IF(ISNUMBER(INDEX(Dataset2_Raw!$E$2:$E$611,$Q289)),INDEX(Dataset2_Raw!$E$2:$E$611,$Q289),"")</f>
        <v>2</v>
      </c>
      <c r="O289" s="23">
        <f>IF(ISNUMBER(INDEX(Dataset2_Raw!$F$2:$F$611,$Q289)),INDEX(Dataset2_Raw!$F$2:$F$611,$Q289),"")</f>
        <v>36</v>
      </c>
      <c r="P289" s="23">
        <f>IF(ISNUMBER(INDEX(Dataset2_Raw!$G$2:$G$611,$Q289)),INDEX(Dataset2_Raw!$G$2:$G$611,$Q289),"")</f>
        <v>38</v>
      </c>
      <c r="Q289" s="23">
        <f>IFERROR(MATCH($A289,Dataset2_Raw!$A$2:$A$611,0),0)</f>
        <v>288</v>
      </c>
    </row>
    <row r="290" spans="1:17" x14ac:dyDescent="0.35">
      <c r="A290" s="23">
        <f>Dataset1_Raw!A290</f>
        <v>289</v>
      </c>
      <c r="B290" s="24">
        <f>Dataset1_Raw!B290</f>
        <v>40556</v>
      </c>
      <c r="C290" s="23">
        <f>Dataset1_Raw!C290</f>
        <v>1</v>
      </c>
      <c r="D290" s="23">
        <f>Dataset1_Raw!D290</f>
        <v>0</v>
      </c>
      <c r="E290" s="23">
        <f>Dataset1_Raw!E290</f>
        <v>1</v>
      </c>
      <c r="F290" s="23">
        <f>Dataset1_Raw!F290</f>
        <v>11</v>
      </c>
      <c r="G290" s="23" t="b">
        <f>Dataset1_Raw!G290</f>
        <v>0</v>
      </c>
      <c r="H290" s="23">
        <f>Dataset1_Raw!H290</f>
        <v>4</v>
      </c>
      <c r="I290" s="23">
        <f>Dataset1_Raw!I290</f>
        <v>2</v>
      </c>
      <c r="J290" s="25">
        <f>Dataset1_Raw!J290</f>
        <v>0.2</v>
      </c>
      <c r="K290" s="25">
        <f>IF(ISNUMBER(INDEX(Dataset2_Raw!$B$2:$B$611,$Q290)),INDEX(Dataset2_Raw!$B$2:$B$611,$Q290),"")</f>
        <v>0.16669999999999999</v>
      </c>
      <c r="L290" s="25">
        <f>IF(ISNUMBER(INDEX(Dataset2_Raw!$C$2:$C$611,$Q290)),INDEX(Dataset2_Raw!$C$2:$C$611,$Q290),"")</f>
        <v>0.44</v>
      </c>
      <c r="M290" s="25">
        <f>IF(ISNUMBER(INDEX(Dataset2_Raw!$D$2:$D$611,$Q290)),INDEX(Dataset2_Raw!$D$2:$D$611,$Q290),"")</f>
        <v>0.44779999999999998</v>
      </c>
      <c r="N290" s="23">
        <f>IF(ISNUMBER(INDEX(Dataset2_Raw!$E$2:$E$611,$Q290)),INDEX(Dataset2_Raw!$E$2:$E$611,$Q290),"")</f>
        <v>4</v>
      </c>
      <c r="O290" s="23">
        <f>IF(ISNUMBER(INDEX(Dataset2_Raw!$F$2:$F$611,$Q290)),INDEX(Dataset2_Raw!$F$2:$F$611,$Q290),"")</f>
        <v>33</v>
      </c>
      <c r="P290" s="23">
        <f>IF(ISNUMBER(INDEX(Dataset2_Raw!$G$2:$G$611,$Q290)),INDEX(Dataset2_Raw!$G$2:$G$611,$Q290),"")</f>
        <v>37</v>
      </c>
      <c r="Q290" s="23">
        <f>IFERROR(MATCH($A290,Dataset2_Raw!$A$2:$A$611,0),0)</f>
        <v>289</v>
      </c>
    </row>
    <row r="291" spans="1:17" x14ac:dyDescent="0.35">
      <c r="A291" s="23">
        <f>Dataset1_Raw!A291</f>
        <v>290</v>
      </c>
      <c r="B291" s="24">
        <f>Dataset1_Raw!B291</f>
        <v>40556</v>
      </c>
      <c r="C291" s="23">
        <f>Dataset1_Raw!C291</f>
        <v>1</v>
      </c>
      <c r="D291" s="23">
        <f>Dataset1_Raw!D291</f>
        <v>0</v>
      </c>
      <c r="E291" s="23">
        <f>Dataset1_Raw!E291</f>
        <v>1</v>
      </c>
      <c r="F291" s="23">
        <f>Dataset1_Raw!F291</f>
        <v>12</v>
      </c>
      <c r="G291" s="23" t="b">
        <f>Dataset1_Raw!G291</f>
        <v>0</v>
      </c>
      <c r="H291" s="23">
        <f>Dataset1_Raw!H291</f>
        <v>4</v>
      </c>
      <c r="I291" s="23">
        <f>Dataset1_Raw!I291</f>
        <v>1</v>
      </c>
      <c r="J291" s="25">
        <f>Dataset1_Raw!J291</f>
        <v>0.2</v>
      </c>
      <c r="K291" s="25">
        <f>IF(ISNUMBER(INDEX(Dataset2_Raw!$B$2:$B$611,$Q291)),INDEX(Dataset2_Raw!$B$2:$B$611,$Q291),"")</f>
        <v>0.16669999999999999</v>
      </c>
      <c r="L291" s="25">
        <f>IF(ISNUMBER(INDEX(Dataset2_Raw!$C$2:$C$611,$Q291)),INDEX(Dataset2_Raw!$C$2:$C$611,$Q291),"")</f>
        <v>0.44</v>
      </c>
      <c r="M291" s="25">
        <f>IF(ISNUMBER(INDEX(Dataset2_Raw!$D$2:$D$611,$Q291)),INDEX(Dataset2_Raw!$D$2:$D$611,$Q291),"")</f>
        <v>0.41789999999999999</v>
      </c>
      <c r="N291" s="23">
        <f>IF(ISNUMBER(INDEX(Dataset2_Raw!$E$2:$E$611,$Q291)),INDEX(Dataset2_Raw!$E$2:$E$611,$Q291),"")</f>
        <v>3</v>
      </c>
      <c r="O291" s="23">
        <f>IF(ISNUMBER(INDEX(Dataset2_Raw!$F$2:$F$611,$Q291)),INDEX(Dataset2_Raw!$F$2:$F$611,$Q291),"")</f>
        <v>49</v>
      </c>
      <c r="P291" s="23">
        <f>IF(ISNUMBER(INDEX(Dataset2_Raw!$G$2:$G$611,$Q291)),INDEX(Dataset2_Raw!$G$2:$G$611,$Q291),"")</f>
        <v>52</v>
      </c>
      <c r="Q291" s="23">
        <f>IFERROR(MATCH($A291,Dataset2_Raw!$A$2:$A$611,0),0)</f>
        <v>290</v>
      </c>
    </row>
    <row r="292" spans="1:17" x14ac:dyDescent="0.35">
      <c r="A292" s="23">
        <f>Dataset1_Raw!A292</f>
        <v>291</v>
      </c>
      <c r="B292" s="24">
        <f>Dataset1_Raw!B292</f>
        <v>40556</v>
      </c>
      <c r="C292" s="23">
        <f>Dataset1_Raw!C292</f>
        <v>1</v>
      </c>
      <c r="D292" s="23">
        <f>Dataset1_Raw!D292</f>
        <v>0</v>
      </c>
      <c r="E292" s="23">
        <f>Dataset1_Raw!E292</f>
        <v>1</v>
      </c>
      <c r="F292" s="23">
        <f>Dataset1_Raw!F292</f>
        <v>13</v>
      </c>
      <c r="G292" s="23" t="b">
        <f>Dataset1_Raw!G292</f>
        <v>0</v>
      </c>
      <c r="H292" s="23">
        <f>Dataset1_Raw!H292</f>
        <v>4</v>
      </c>
      <c r="I292" s="23">
        <f>Dataset1_Raw!I292</f>
        <v>1</v>
      </c>
      <c r="J292" s="25">
        <f>Dataset1_Raw!J292</f>
        <v>0.22</v>
      </c>
      <c r="K292" s="25">
        <f>IF(ISNUMBER(INDEX(Dataset2_Raw!$B$2:$B$611,$Q292)),INDEX(Dataset2_Raw!$B$2:$B$611,$Q292),"")</f>
        <v>0.19700000000000001</v>
      </c>
      <c r="L292" s="25">
        <f>IF(ISNUMBER(INDEX(Dataset2_Raw!$C$2:$C$611,$Q292)),INDEX(Dataset2_Raw!$C$2:$C$611,$Q292),"")</f>
        <v>0.41</v>
      </c>
      <c r="M292" s="25">
        <f>IF(ISNUMBER(INDEX(Dataset2_Raw!$D$2:$D$611,$Q292)),INDEX(Dataset2_Raw!$D$2:$D$611,$Q292),"")</f>
        <v>0.44779999999999998</v>
      </c>
      <c r="N292" s="23">
        <f>IF(ISNUMBER(INDEX(Dataset2_Raw!$E$2:$E$611,$Q292)),INDEX(Dataset2_Raw!$E$2:$E$611,$Q292),"")</f>
        <v>2</v>
      </c>
      <c r="O292" s="23">
        <f>IF(ISNUMBER(INDEX(Dataset2_Raw!$F$2:$F$611,$Q292)),INDEX(Dataset2_Raw!$F$2:$F$611,$Q292),"")</f>
        <v>81</v>
      </c>
      <c r="P292" s="23">
        <f>IF(ISNUMBER(INDEX(Dataset2_Raw!$G$2:$G$611,$Q292)),INDEX(Dataset2_Raw!$G$2:$G$611,$Q292),"")</f>
        <v>83</v>
      </c>
      <c r="Q292" s="23">
        <f>IFERROR(MATCH($A292,Dataset2_Raw!$A$2:$A$611,0),0)</f>
        <v>291</v>
      </c>
    </row>
    <row r="293" spans="1:17" x14ac:dyDescent="0.35">
      <c r="A293" s="23">
        <f>Dataset1_Raw!A293</f>
        <v>292</v>
      </c>
      <c r="B293" s="24">
        <f>Dataset1_Raw!B293</f>
        <v>40556</v>
      </c>
      <c r="C293" s="23">
        <f>Dataset1_Raw!C293</f>
        <v>1</v>
      </c>
      <c r="D293" s="23">
        <f>Dataset1_Raw!D293</f>
        <v>0</v>
      </c>
      <c r="E293" s="23">
        <f>Dataset1_Raw!E293</f>
        <v>1</v>
      </c>
      <c r="F293" s="23">
        <f>Dataset1_Raw!F293</f>
        <v>14</v>
      </c>
      <c r="G293" s="23" t="b">
        <f>Dataset1_Raw!G293</f>
        <v>0</v>
      </c>
      <c r="H293" s="23">
        <f>Dataset1_Raw!H293</f>
        <v>4</v>
      </c>
      <c r="I293" s="23">
        <f>Dataset1_Raw!I293</f>
        <v>1</v>
      </c>
      <c r="J293" s="25">
        <f>Dataset1_Raw!J293</f>
        <v>0.22</v>
      </c>
      <c r="K293" s="25">
        <f>IF(ISNUMBER(INDEX(Dataset2_Raw!$B$2:$B$611,$Q293)),INDEX(Dataset2_Raw!$B$2:$B$611,$Q293),"")</f>
        <v>0.19700000000000001</v>
      </c>
      <c r="L293" s="25">
        <f>IF(ISNUMBER(INDEX(Dataset2_Raw!$C$2:$C$611,$Q293)),INDEX(Dataset2_Raw!$C$2:$C$611,$Q293),"")</f>
        <v>0.41</v>
      </c>
      <c r="M293" s="25">
        <f>IF(ISNUMBER(INDEX(Dataset2_Raw!$D$2:$D$611,$Q293)),INDEX(Dataset2_Raw!$D$2:$D$611,$Q293),"")</f>
        <v>0.3881</v>
      </c>
      <c r="N293" s="23">
        <f>IF(ISNUMBER(INDEX(Dataset2_Raw!$E$2:$E$611,$Q293)),INDEX(Dataset2_Raw!$E$2:$E$611,$Q293),"")</f>
        <v>3</v>
      </c>
      <c r="O293" s="23">
        <f>IF(ISNUMBER(INDEX(Dataset2_Raw!$F$2:$F$611,$Q293)),INDEX(Dataset2_Raw!$F$2:$F$611,$Q293),"")</f>
        <v>39</v>
      </c>
      <c r="P293" s="23">
        <f>IF(ISNUMBER(INDEX(Dataset2_Raw!$G$2:$G$611,$Q293)),INDEX(Dataset2_Raw!$G$2:$G$611,$Q293),"")</f>
        <v>42</v>
      </c>
      <c r="Q293" s="23">
        <f>IFERROR(MATCH($A293,Dataset2_Raw!$A$2:$A$611,0),0)</f>
        <v>292</v>
      </c>
    </row>
    <row r="294" spans="1:17" x14ac:dyDescent="0.35">
      <c r="A294" s="23">
        <f>Dataset1_Raw!A294</f>
        <v>293</v>
      </c>
      <c r="B294" s="24">
        <f>Dataset1_Raw!B294</f>
        <v>40556</v>
      </c>
      <c r="C294" s="23">
        <f>Dataset1_Raw!C294</f>
        <v>1</v>
      </c>
      <c r="D294" s="23">
        <f>Dataset1_Raw!D294</f>
        <v>0</v>
      </c>
      <c r="E294" s="23">
        <f>Dataset1_Raw!E294</f>
        <v>1</v>
      </c>
      <c r="F294" s="23">
        <f>Dataset1_Raw!F294</f>
        <v>15</v>
      </c>
      <c r="G294" s="23" t="b">
        <f>Dataset1_Raw!G294</f>
        <v>0</v>
      </c>
      <c r="H294" s="23">
        <f>Dataset1_Raw!H294</f>
        <v>4</v>
      </c>
      <c r="I294" s="23">
        <f>Dataset1_Raw!I294</f>
        <v>1</v>
      </c>
      <c r="J294" s="25">
        <f>Dataset1_Raw!J294</f>
        <v>0.24</v>
      </c>
      <c r="K294" s="25">
        <f>IF(ISNUMBER(INDEX(Dataset2_Raw!$B$2:$B$611,$Q294)),INDEX(Dataset2_Raw!$B$2:$B$611,$Q294),"")</f>
        <v>0.21210000000000001</v>
      </c>
      <c r="L294" s="25">
        <f>IF(ISNUMBER(INDEX(Dataset2_Raw!$C$2:$C$611,$Q294)),INDEX(Dataset2_Raw!$C$2:$C$611,$Q294),"")</f>
        <v>0.38</v>
      </c>
      <c r="M294" s="25">
        <f>IF(ISNUMBER(INDEX(Dataset2_Raw!$D$2:$D$611,$Q294)),INDEX(Dataset2_Raw!$D$2:$D$611,$Q294),"")</f>
        <v>0.29849999999999999</v>
      </c>
      <c r="N294" s="23">
        <f>IF(ISNUMBER(INDEX(Dataset2_Raw!$E$2:$E$611,$Q294)),INDEX(Dataset2_Raw!$E$2:$E$611,$Q294),"")</f>
        <v>5</v>
      </c>
      <c r="O294" s="23">
        <f>IF(ISNUMBER(INDEX(Dataset2_Raw!$F$2:$F$611,$Q294)),INDEX(Dataset2_Raw!$F$2:$F$611,$Q294),"")</f>
        <v>55</v>
      </c>
      <c r="P294" s="23">
        <f>IF(ISNUMBER(INDEX(Dataset2_Raw!$G$2:$G$611,$Q294)),INDEX(Dataset2_Raw!$G$2:$G$611,$Q294),"")</f>
        <v>60</v>
      </c>
      <c r="Q294" s="23">
        <f>IFERROR(MATCH($A294,Dataset2_Raw!$A$2:$A$611,0),0)</f>
        <v>293</v>
      </c>
    </row>
    <row r="295" spans="1:17" x14ac:dyDescent="0.35">
      <c r="A295" s="23">
        <f>Dataset1_Raw!A295</f>
        <v>294</v>
      </c>
      <c r="B295" s="24">
        <f>Dataset1_Raw!B295</f>
        <v>40556</v>
      </c>
      <c r="C295" s="23">
        <f>Dataset1_Raw!C295</f>
        <v>1</v>
      </c>
      <c r="D295" s="23">
        <f>Dataset1_Raw!D295</f>
        <v>0</v>
      </c>
      <c r="E295" s="23">
        <f>Dataset1_Raw!E295</f>
        <v>1</v>
      </c>
      <c r="F295" s="23">
        <f>Dataset1_Raw!F295</f>
        <v>16</v>
      </c>
      <c r="G295" s="23" t="b">
        <f>Dataset1_Raw!G295</f>
        <v>0</v>
      </c>
      <c r="H295" s="23">
        <f>Dataset1_Raw!H295</f>
        <v>4</v>
      </c>
      <c r="I295" s="23">
        <f>Dataset1_Raw!I295</f>
        <v>1</v>
      </c>
      <c r="J295" s="25">
        <f>Dataset1_Raw!J295</f>
        <v>0.24</v>
      </c>
      <c r="K295" s="25">
        <f>IF(ISNUMBER(INDEX(Dataset2_Raw!$B$2:$B$611,$Q295)),INDEX(Dataset2_Raw!$B$2:$B$611,$Q295),"")</f>
        <v>0.21210000000000001</v>
      </c>
      <c r="L295" s="25">
        <f>IF(ISNUMBER(INDEX(Dataset2_Raw!$C$2:$C$611,$Q295)),INDEX(Dataset2_Raw!$C$2:$C$611,$Q295),"")</f>
        <v>0.38</v>
      </c>
      <c r="M295" s="25">
        <f>IF(ISNUMBER(INDEX(Dataset2_Raw!$D$2:$D$611,$Q295)),INDEX(Dataset2_Raw!$D$2:$D$611,$Q295),"")</f>
        <v>0.35820000000000002</v>
      </c>
      <c r="N295" s="23">
        <f>IF(ISNUMBER(INDEX(Dataset2_Raw!$E$2:$E$611,$Q295)),INDEX(Dataset2_Raw!$E$2:$E$611,$Q295),"")</f>
        <v>2</v>
      </c>
      <c r="O295" s="23">
        <f>IF(ISNUMBER(INDEX(Dataset2_Raw!$F$2:$F$611,$Q295)),INDEX(Dataset2_Raw!$F$2:$F$611,$Q295),"")</f>
        <v>76</v>
      </c>
      <c r="P295" s="23">
        <f>IF(ISNUMBER(INDEX(Dataset2_Raw!$G$2:$G$611,$Q295)),INDEX(Dataset2_Raw!$G$2:$G$611,$Q295),"")</f>
        <v>78</v>
      </c>
      <c r="Q295" s="23">
        <f>IFERROR(MATCH($A295,Dataset2_Raw!$A$2:$A$611,0),0)</f>
        <v>294</v>
      </c>
    </row>
    <row r="296" spans="1:17" x14ac:dyDescent="0.35">
      <c r="A296" s="23">
        <f>Dataset1_Raw!A296</f>
        <v>295</v>
      </c>
      <c r="B296" s="24">
        <f>Dataset1_Raw!B296</f>
        <v>40556</v>
      </c>
      <c r="C296" s="23">
        <f>Dataset1_Raw!C296</f>
        <v>1</v>
      </c>
      <c r="D296" s="23">
        <f>Dataset1_Raw!D296</f>
        <v>0</v>
      </c>
      <c r="E296" s="23">
        <f>Dataset1_Raw!E296</f>
        <v>1</v>
      </c>
      <c r="F296" s="23">
        <f>Dataset1_Raw!F296</f>
        <v>17</v>
      </c>
      <c r="G296" s="23" t="b">
        <f>Dataset1_Raw!G296</f>
        <v>0</v>
      </c>
      <c r="H296" s="23">
        <f>Dataset1_Raw!H296</f>
        <v>4</v>
      </c>
      <c r="I296" s="23">
        <f>Dataset1_Raw!I296</f>
        <v>1</v>
      </c>
      <c r="J296" s="25">
        <f>Dataset1_Raw!J296</f>
        <v>0.2</v>
      </c>
      <c r="K296" s="25">
        <f>IF(ISNUMBER(INDEX(Dataset2_Raw!$B$2:$B$611,$Q296)),INDEX(Dataset2_Raw!$B$2:$B$611,$Q296),"")</f>
        <v>0.18179999999999999</v>
      </c>
      <c r="L296" s="25">
        <f>IF(ISNUMBER(INDEX(Dataset2_Raw!$C$2:$C$611,$Q296)),INDEX(Dataset2_Raw!$C$2:$C$611,$Q296),"")</f>
        <v>0.4</v>
      </c>
      <c r="M296" s="25">
        <f>IF(ISNUMBER(INDEX(Dataset2_Raw!$D$2:$D$611,$Q296)),INDEX(Dataset2_Raw!$D$2:$D$611,$Q296),"")</f>
        <v>0.28360000000000002</v>
      </c>
      <c r="N296" s="23">
        <f>IF(ISNUMBER(INDEX(Dataset2_Raw!$E$2:$E$611,$Q296)),INDEX(Dataset2_Raw!$E$2:$E$611,$Q296),"")</f>
        <v>4</v>
      </c>
      <c r="O296" s="23">
        <f>IF(ISNUMBER(INDEX(Dataset2_Raw!$F$2:$F$611,$Q296)),INDEX(Dataset2_Raw!$F$2:$F$611,$Q296),"")</f>
        <v>158</v>
      </c>
      <c r="P296" s="23">
        <f>IF(ISNUMBER(INDEX(Dataset2_Raw!$G$2:$G$611,$Q296)),INDEX(Dataset2_Raw!$G$2:$G$611,$Q296),"")</f>
        <v>162</v>
      </c>
      <c r="Q296" s="23">
        <f>IFERROR(MATCH($A296,Dataset2_Raw!$A$2:$A$611,0),0)</f>
        <v>295</v>
      </c>
    </row>
    <row r="297" spans="1:17" x14ac:dyDescent="0.35">
      <c r="A297" s="23">
        <f>Dataset1_Raw!A297</f>
        <v>296</v>
      </c>
      <c r="B297" s="24">
        <f>Dataset1_Raw!B297</f>
        <v>40556</v>
      </c>
      <c r="C297" s="23">
        <f>Dataset1_Raw!C297</f>
        <v>1</v>
      </c>
      <c r="D297" s="23">
        <f>Dataset1_Raw!D297</f>
        <v>0</v>
      </c>
      <c r="E297" s="23">
        <f>Dataset1_Raw!E297</f>
        <v>1</v>
      </c>
      <c r="F297" s="23">
        <f>Dataset1_Raw!F297</f>
        <v>18</v>
      </c>
      <c r="G297" s="23" t="b">
        <f>Dataset1_Raw!G297</f>
        <v>0</v>
      </c>
      <c r="H297" s="23">
        <f>Dataset1_Raw!H297</f>
        <v>4</v>
      </c>
      <c r="I297" s="23">
        <f>Dataset1_Raw!I297</f>
        <v>1</v>
      </c>
      <c r="J297" s="25">
        <f>Dataset1_Raw!J297</f>
        <v>0.2</v>
      </c>
      <c r="K297" s="25">
        <f>IF(ISNUMBER(INDEX(Dataset2_Raw!$B$2:$B$611,$Q297)),INDEX(Dataset2_Raw!$B$2:$B$611,$Q297),"")</f>
        <v>0.18179999999999999</v>
      </c>
      <c r="L297" s="25">
        <f>IF(ISNUMBER(INDEX(Dataset2_Raw!$C$2:$C$611,$Q297)),INDEX(Dataset2_Raw!$C$2:$C$611,$Q297),"")</f>
        <v>0.4</v>
      </c>
      <c r="M297" s="25">
        <f>IF(ISNUMBER(INDEX(Dataset2_Raw!$D$2:$D$611,$Q297)),INDEX(Dataset2_Raw!$D$2:$D$611,$Q297),"")</f>
        <v>0.32840000000000003</v>
      </c>
      <c r="N297" s="23">
        <f>IF(ISNUMBER(INDEX(Dataset2_Raw!$E$2:$E$611,$Q297)),INDEX(Dataset2_Raw!$E$2:$E$611,$Q297),"")</f>
        <v>3</v>
      </c>
      <c r="O297" s="23">
        <f>IF(ISNUMBER(INDEX(Dataset2_Raw!$F$2:$F$611,$Q297)),INDEX(Dataset2_Raw!$F$2:$F$611,$Q297),"")</f>
        <v>141</v>
      </c>
      <c r="P297" s="23">
        <f>IF(ISNUMBER(INDEX(Dataset2_Raw!$G$2:$G$611,$Q297)),INDEX(Dataset2_Raw!$G$2:$G$611,$Q297),"")</f>
        <v>144</v>
      </c>
      <c r="Q297" s="23">
        <f>IFERROR(MATCH($A297,Dataset2_Raw!$A$2:$A$611,0),0)</f>
        <v>296</v>
      </c>
    </row>
    <row r="298" spans="1:17" x14ac:dyDescent="0.35">
      <c r="A298" s="23">
        <f>Dataset1_Raw!A298</f>
        <v>297</v>
      </c>
      <c r="B298" s="24">
        <f>Dataset1_Raw!B298</f>
        <v>40556</v>
      </c>
      <c r="C298" s="23">
        <f>Dataset1_Raw!C298</f>
        <v>1</v>
      </c>
      <c r="D298" s="23">
        <f>Dataset1_Raw!D298</f>
        <v>0</v>
      </c>
      <c r="E298" s="23">
        <f>Dataset1_Raw!E298</f>
        <v>1</v>
      </c>
      <c r="F298" s="23">
        <f>Dataset1_Raw!F298</f>
        <v>19</v>
      </c>
      <c r="G298" s="23" t="b">
        <f>Dataset1_Raw!G298</f>
        <v>0</v>
      </c>
      <c r="H298" s="23">
        <f>Dataset1_Raw!H298</f>
        <v>4</v>
      </c>
      <c r="I298" s="23">
        <f>Dataset1_Raw!I298</f>
        <v>1</v>
      </c>
      <c r="J298" s="25">
        <f>Dataset1_Raw!J298</f>
        <v>0.16</v>
      </c>
      <c r="K298" s="25">
        <f>IF(ISNUMBER(INDEX(Dataset2_Raw!$B$2:$B$611,$Q298)),INDEX(Dataset2_Raw!$B$2:$B$611,$Q298),"")</f>
        <v>0.1515</v>
      </c>
      <c r="L298" s="25">
        <f>IF(ISNUMBER(INDEX(Dataset2_Raw!$C$2:$C$611,$Q298)),INDEX(Dataset2_Raw!$C$2:$C$611,$Q298),"")</f>
        <v>0.47</v>
      </c>
      <c r="M298" s="25">
        <f>IF(ISNUMBER(INDEX(Dataset2_Raw!$D$2:$D$611,$Q298)),INDEX(Dataset2_Raw!$D$2:$D$611,$Q298),"")</f>
        <v>0.25369999999999998</v>
      </c>
      <c r="N298" s="23">
        <f>IF(ISNUMBER(INDEX(Dataset2_Raw!$E$2:$E$611,$Q298)),INDEX(Dataset2_Raw!$E$2:$E$611,$Q298),"")</f>
        <v>1</v>
      </c>
      <c r="O298" s="23">
        <f>IF(ISNUMBER(INDEX(Dataset2_Raw!$F$2:$F$611,$Q298)),INDEX(Dataset2_Raw!$F$2:$F$611,$Q298),"")</f>
        <v>98</v>
      </c>
      <c r="P298" s="23">
        <f>IF(ISNUMBER(INDEX(Dataset2_Raw!$G$2:$G$611,$Q298)),INDEX(Dataset2_Raw!$G$2:$G$611,$Q298),"")</f>
        <v>99</v>
      </c>
      <c r="Q298" s="23">
        <f>IFERROR(MATCH($A298,Dataset2_Raw!$A$2:$A$611,0),0)</f>
        <v>297</v>
      </c>
    </row>
    <row r="299" spans="1:17" x14ac:dyDescent="0.35">
      <c r="A299" s="23">
        <f>Dataset1_Raw!A299</f>
        <v>298</v>
      </c>
      <c r="B299" s="24">
        <f>Dataset1_Raw!B299</f>
        <v>40556</v>
      </c>
      <c r="C299" s="23">
        <f>Dataset1_Raw!C299</f>
        <v>1</v>
      </c>
      <c r="D299" s="23">
        <f>Dataset1_Raw!D299</f>
        <v>0</v>
      </c>
      <c r="E299" s="23">
        <f>Dataset1_Raw!E299</f>
        <v>1</v>
      </c>
      <c r="F299" s="23">
        <f>Dataset1_Raw!F299</f>
        <v>20</v>
      </c>
      <c r="G299" s="23" t="b">
        <f>Dataset1_Raw!G299</f>
        <v>0</v>
      </c>
      <c r="H299" s="23">
        <f>Dataset1_Raw!H299</f>
        <v>4</v>
      </c>
      <c r="I299" s="23">
        <f>Dataset1_Raw!I299</f>
        <v>1</v>
      </c>
      <c r="J299" s="25">
        <f>Dataset1_Raw!J299</f>
        <v>0.16</v>
      </c>
      <c r="K299" s="25">
        <f>IF(ISNUMBER(INDEX(Dataset2_Raw!$B$2:$B$611,$Q299)),INDEX(Dataset2_Raw!$B$2:$B$611,$Q299),"")</f>
        <v>0.1515</v>
      </c>
      <c r="L299" s="25">
        <f>IF(ISNUMBER(INDEX(Dataset2_Raw!$C$2:$C$611,$Q299)),INDEX(Dataset2_Raw!$C$2:$C$611,$Q299),"")</f>
        <v>0.47</v>
      </c>
      <c r="M299" s="25">
        <f>IF(ISNUMBER(INDEX(Dataset2_Raw!$D$2:$D$611,$Q299)),INDEX(Dataset2_Raw!$D$2:$D$611,$Q299),"")</f>
        <v>0.22389999999999999</v>
      </c>
      <c r="N299" s="23">
        <f>IF(ISNUMBER(INDEX(Dataset2_Raw!$E$2:$E$611,$Q299)),INDEX(Dataset2_Raw!$E$2:$E$611,$Q299),"")</f>
        <v>0</v>
      </c>
      <c r="O299" s="23">
        <f>IF(ISNUMBER(INDEX(Dataset2_Raw!$F$2:$F$611,$Q299)),INDEX(Dataset2_Raw!$F$2:$F$611,$Q299),"")</f>
        <v>64</v>
      </c>
      <c r="P299" s="23">
        <f>IF(ISNUMBER(INDEX(Dataset2_Raw!$G$2:$G$611,$Q299)),INDEX(Dataset2_Raw!$G$2:$G$611,$Q299),"")</f>
        <v>64</v>
      </c>
      <c r="Q299" s="23">
        <f>IFERROR(MATCH($A299,Dataset2_Raw!$A$2:$A$611,0),0)</f>
        <v>298</v>
      </c>
    </row>
    <row r="300" spans="1:17" x14ac:dyDescent="0.35">
      <c r="A300" s="23">
        <f>Dataset1_Raw!A300</f>
        <v>299</v>
      </c>
      <c r="B300" s="24">
        <f>Dataset1_Raw!B300</f>
        <v>40556</v>
      </c>
      <c r="C300" s="23">
        <f>Dataset1_Raw!C300</f>
        <v>1</v>
      </c>
      <c r="D300" s="23">
        <f>Dataset1_Raw!D300</f>
        <v>0</v>
      </c>
      <c r="E300" s="23">
        <f>Dataset1_Raw!E300</f>
        <v>1</v>
      </c>
      <c r="F300" s="23">
        <f>Dataset1_Raw!F300</f>
        <v>21</v>
      </c>
      <c r="G300" s="23" t="b">
        <f>Dataset1_Raw!G300</f>
        <v>0</v>
      </c>
      <c r="H300" s="23">
        <f>Dataset1_Raw!H300</f>
        <v>4</v>
      </c>
      <c r="I300" s="23">
        <f>Dataset1_Raw!I300</f>
        <v>1</v>
      </c>
      <c r="J300" s="25">
        <f>Dataset1_Raw!J300</f>
        <v>0.14000000000000001</v>
      </c>
      <c r="K300" s="25">
        <f>IF(ISNUMBER(INDEX(Dataset2_Raw!$B$2:$B$611,$Q300)),INDEX(Dataset2_Raw!$B$2:$B$611,$Q300),"")</f>
        <v>0.1212</v>
      </c>
      <c r="L300" s="25">
        <f>IF(ISNUMBER(INDEX(Dataset2_Raw!$C$2:$C$611,$Q300)),INDEX(Dataset2_Raw!$C$2:$C$611,$Q300),"")</f>
        <v>0.46</v>
      </c>
      <c r="M300" s="25">
        <f>IF(ISNUMBER(INDEX(Dataset2_Raw!$D$2:$D$611,$Q300)),INDEX(Dataset2_Raw!$D$2:$D$611,$Q300),"")</f>
        <v>0.29849999999999999</v>
      </c>
      <c r="N300" s="23">
        <f>IF(ISNUMBER(INDEX(Dataset2_Raw!$E$2:$E$611,$Q300)),INDEX(Dataset2_Raw!$E$2:$E$611,$Q300),"")</f>
        <v>0</v>
      </c>
      <c r="O300" s="23">
        <f>IF(ISNUMBER(INDEX(Dataset2_Raw!$F$2:$F$611,$Q300)),INDEX(Dataset2_Raw!$F$2:$F$611,$Q300),"")</f>
        <v>40</v>
      </c>
      <c r="P300" s="23">
        <f>IF(ISNUMBER(INDEX(Dataset2_Raw!$G$2:$G$611,$Q300)),INDEX(Dataset2_Raw!$G$2:$G$611,$Q300),"")</f>
        <v>40</v>
      </c>
      <c r="Q300" s="23">
        <f>IFERROR(MATCH($A300,Dataset2_Raw!$A$2:$A$611,0),0)</f>
        <v>299</v>
      </c>
    </row>
    <row r="301" spans="1:17" x14ac:dyDescent="0.35">
      <c r="A301" s="23">
        <f>Dataset1_Raw!A301</f>
        <v>300</v>
      </c>
      <c r="B301" s="24">
        <f>Dataset1_Raw!B301</f>
        <v>40556</v>
      </c>
      <c r="C301" s="23">
        <f>Dataset1_Raw!C301</f>
        <v>1</v>
      </c>
      <c r="D301" s="23">
        <f>Dataset1_Raw!D301</f>
        <v>0</v>
      </c>
      <c r="E301" s="23">
        <f>Dataset1_Raw!E301</f>
        <v>1</v>
      </c>
      <c r="F301" s="23">
        <f>Dataset1_Raw!F301</f>
        <v>22</v>
      </c>
      <c r="G301" s="23" t="b">
        <f>Dataset1_Raw!G301</f>
        <v>0</v>
      </c>
      <c r="H301" s="23">
        <f>Dataset1_Raw!H301</f>
        <v>4</v>
      </c>
      <c r="I301" s="23">
        <f>Dataset1_Raw!I301</f>
        <v>1</v>
      </c>
      <c r="J301" s="25">
        <f>Dataset1_Raw!J301</f>
        <v>0.14000000000000001</v>
      </c>
      <c r="K301" s="25">
        <f>IF(ISNUMBER(INDEX(Dataset2_Raw!$B$2:$B$611,$Q301)),INDEX(Dataset2_Raw!$B$2:$B$611,$Q301),"")</f>
        <v>0.1212</v>
      </c>
      <c r="L301" s="25">
        <f>IF(ISNUMBER(INDEX(Dataset2_Raw!$C$2:$C$611,$Q301)),INDEX(Dataset2_Raw!$C$2:$C$611,$Q301),"")</f>
        <v>0.46</v>
      </c>
      <c r="M301" s="25">
        <f>IF(ISNUMBER(INDEX(Dataset2_Raw!$D$2:$D$611,$Q301)),INDEX(Dataset2_Raw!$D$2:$D$611,$Q301),"")</f>
        <v>0.32840000000000003</v>
      </c>
      <c r="N301" s="23">
        <f>IF(ISNUMBER(INDEX(Dataset2_Raw!$E$2:$E$611,$Q301)),INDEX(Dataset2_Raw!$E$2:$E$611,$Q301),"")</f>
        <v>0</v>
      </c>
      <c r="O301" s="23">
        <f>IF(ISNUMBER(INDEX(Dataset2_Raw!$F$2:$F$611,$Q301)),INDEX(Dataset2_Raw!$F$2:$F$611,$Q301),"")</f>
        <v>30</v>
      </c>
      <c r="P301" s="23">
        <f>IF(ISNUMBER(INDEX(Dataset2_Raw!$G$2:$G$611,$Q301)),INDEX(Dataset2_Raw!$G$2:$G$611,$Q301),"")</f>
        <v>30</v>
      </c>
      <c r="Q301" s="23">
        <f>IFERROR(MATCH($A301,Dataset2_Raw!$A$2:$A$611,0),0)</f>
        <v>300</v>
      </c>
    </row>
    <row r="302" spans="1:17" x14ac:dyDescent="0.35">
      <c r="A302" s="23">
        <f>Dataset1_Raw!A302</f>
        <v>301</v>
      </c>
      <c r="B302" s="24">
        <f>Dataset1_Raw!B302</f>
        <v>40556</v>
      </c>
      <c r="C302" s="23">
        <f>Dataset1_Raw!C302</f>
        <v>1</v>
      </c>
      <c r="D302" s="23">
        <f>Dataset1_Raw!D302</f>
        <v>0</v>
      </c>
      <c r="E302" s="23">
        <f>Dataset1_Raw!E302</f>
        <v>1</v>
      </c>
      <c r="F302" s="23">
        <f>Dataset1_Raw!F302</f>
        <v>23</v>
      </c>
      <c r="G302" s="23" t="b">
        <f>Dataset1_Raw!G302</f>
        <v>0</v>
      </c>
      <c r="H302" s="23">
        <f>Dataset1_Raw!H302</f>
        <v>4</v>
      </c>
      <c r="I302" s="23">
        <f>Dataset1_Raw!I302</f>
        <v>1</v>
      </c>
      <c r="J302" s="25">
        <f>Dataset1_Raw!J302</f>
        <v>0.12</v>
      </c>
      <c r="K302" s="25">
        <f>IF(ISNUMBER(INDEX(Dataset2_Raw!$B$2:$B$611,$Q302)),INDEX(Dataset2_Raw!$B$2:$B$611,$Q302),"")</f>
        <v>0.13639999999999999</v>
      </c>
      <c r="L302" s="25">
        <f>IF(ISNUMBER(INDEX(Dataset2_Raw!$C$2:$C$611,$Q302)),INDEX(Dataset2_Raw!$C$2:$C$611,$Q302),"")</f>
        <v>0.5</v>
      </c>
      <c r="M302" s="25">
        <f>IF(ISNUMBER(INDEX(Dataset2_Raw!$D$2:$D$611,$Q302)),INDEX(Dataset2_Raw!$D$2:$D$611,$Q302),"")</f>
        <v>0.19400000000000001</v>
      </c>
      <c r="N302" s="23">
        <f>IF(ISNUMBER(INDEX(Dataset2_Raw!$E$2:$E$611,$Q302)),INDEX(Dataset2_Raw!$E$2:$E$611,$Q302),"")</f>
        <v>1</v>
      </c>
      <c r="O302" s="23">
        <f>IF(ISNUMBER(INDEX(Dataset2_Raw!$F$2:$F$611,$Q302)),INDEX(Dataset2_Raw!$F$2:$F$611,$Q302),"")</f>
        <v>14</v>
      </c>
      <c r="P302" s="23">
        <f>IF(ISNUMBER(INDEX(Dataset2_Raw!$G$2:$G$611,$Q302)),INDEX(Dataset2_Raw!$G$2:$G$611,$Q302),"")</f>
        <v>15</v>
      </c>
      <c r="Q302" s="23">
        <f>IFERROR(MATCH($A302,Dataset2_Raw!$A$2:$A$611,0),0)</f>
        <v>301</v>
      </c>
    </row>
    <row r="303" spans="1:17" x14ac:dyDescent="0.35">
      <c r="A303" s="23">
        <f>Dataset1_Raw!A303</f>
        <v>302</v>
      </c>
      <c r="B303" s="24">
        <f>Dataset1_Raw!B303</f>
        <v>40557</v>
      </c>
      <c r="C303" s="23">
        <f>Dataset1_Raw!C303</f>
        <v>1</v>
      </c>
      <c r="D303" s="23">
        <f>Dataset1_Raw!D303</f>
        <v>0</v>
      </c>
      <c r="E303" s="23">
        <f>Dataset1_Raw!E303</f>
        <v>1</v>
      </c>
      <c r="F303" s="23">
        <f>Dataset1_Raw!F303</f>
        <v>0</v>
      </c>
      <c r="G303" s="23" t="b">
        <f>Dataset1_Raw!G303</f>
        <v>0</v>
      </c>
      <c r="H303" s="23">
        <f>Dataset1_Raw!H303</f>
        <v>5</v>
      </c>
      <c r="I303" s="23">
        <f>Dataset1_Raw!I303</f>
        <v>1</v>
      </c>
      <c r="J303" s="25">
        <f>Dataset1_Raw!J303</f>
        <v>0.12</v>
      </c>
      <c r="K303" s="25">
        <f>IF(ISNUMBER(INDEX(Dataset2_Raw!$B$2:$B$611,$Q303)),INDEX(Dataset2_Raw!$B$2:$B$611,$Q303),"")</f>
        <v>0.13639999999999999</v>
      </c>
      <c r="L303" s="25">
        <f>IF(ISNUMBER(INDEX(Dataset2_Raw!$C$2:$C$611,$Q303)),INDEX(Dataset2_Raw!$C$2:$C$611,$Q303),"")</f>
        <v>0.5</v>
      </c>
      <c r="M303" s="25">
        <f>IF(ISNUMBER(INDEX(Dataset2_Raw!$D$2:$D$611,$Q303)),INDEX(Dataset2_Raw!$D$2:$D$611,$Q303),"")</f>
        <v>0.19400000000000001</v>
      </c>
      <c r="N303" s="23">
        <f>IF(ISNUMBER(INDEX(Dataset2_Raw!$E$2:$E$611,$Q303)),INDEX(Dataset2_Raw!$E$2:$E$611,$Q303),"")</f>
        <v>0</v>
      </c>
      <c r="O303" s="23">
        <f>IF(ISNUMBER(INDEX(Dataset2_Raw!$F$2:$F$611,$Q303)),INDEX(Dataset2_Raw!$F$2:$F$611,$Q303),"")</f>
        <v>14</v>
      </c>
      <c r="P303" s="23">
        <f>IF(ISNUMBER(INDEX(Dataset2_Raw!$G$2:$G$611,$Q303)),INDEX(Dataset2_Raw!$G$2:$G$611,$Q303),"")</f>
        <v>14</v>
      </c>
      <c r="Q303" s="23">
        <f>IFERROR(MATCH($A303,Dataset2_Raw!$A$2:$A$611,0),0)</f>
        <v>302</v>
      </c>
    </row>
    <row r="304" spans="1:17" x14ac:dyDescent="0.35">
      <c r="A304" s="23">
        <f>Dataset1_Raw!A304</f>
        <v>303</v>
      </c>
      <c r="B304" s="24">
        <f>Dataset1_Raw!B304</f>
        <v>40557</v>
      </c>
      <c r="C304" s="23">
        <f>Dataset1_Raw!C304</f>
        <v>1</v>
      </c>
      <c r="D304" s="23">
        <f>Dataset1_Raw!D304</f>
        <v>0</v>
      </c>
      <c r="E304" s="23">
        <f>Dataset1_Raw!E304</f>
        <v>1</v>
      </c>
      <c r="F304" s="23">
        <f>Dataset1_Raw!F304</f>
        <v>1</v>
      </c>
      <c r="G304" s="23" t="b">
        <f>Dataset1_Raw!G304</f>
        <v>0</v>
      </c>
      <c r="H304" s="23">
        <f>Dataset1_Raw!H304</f>
        <v>5</v>
      </c>
      <c r="I304" s="23">
        <f>Dataset1_Raw!I304</f>
        <v>1</v>
      </c>
      <c r="J304" s="25">
        <f>Dataset1_Raw!J304</f>
        <v>0.1</v>
      </c>
      <c r="K304" s="25">
        <f>IF(ISNUMBER(INDEX(Dataset2_Raw!$B$2:$B$611,$Q304)),INDEX(Dataset2_Raw!$B$2:$B$611,$Q304),"")</f>
        <v>0.1212</v>
      </c>
      <c r="L304" s="25">
        <f>IF(ISNUMBER(INDEX(Dataset2_Raw!$C$2:$C$611,$Q304)),INDEX(Dataset2_Raw!$C$2:$C$611,$Q304),"")</f>
        <v>0.54</v>
      </c>
      <c r="M304" s="25">
        <f>IF(ISNUMBER(INDEX(Dataset2_Raw!$D$2:$D$611,$Q304)),INDEX(Dataset2_Raw!$D$2:$D$611,$Q304),"")</f>
        <v>0.16420000000000001</v>
      </c>
      <c r="N304" s="23">
        <f>IF(ISNUMBER(INDEX(Dataset2_Raw!$E$2:$E$611,$Q304)),INDEX(Dataset2_Raw!$E$2:$E$611,$Q304),"")</f>
        <v>0</v>
      </c>
      <c r="O304" s="23">
        <f>IF(ISNUMBER(INDEX(Dataset2_Raw!$F$2:$F$611,$Q304)),INDEX(Dataset2_Raw!$F$2:$F$611,$Q304),"")</f>
        <v>5</v>
      </c>
      <c r="P304" s="23">
        <f>IF(ISNUMBER(INDEX(Dataset2_Raw!$G$2:$G$611,$Q304)),INDEX(Dataset2_Raw!$G$2:$G$611,$Q304),"")</f>
        <v>5</v>
      </c>
      <c r="Q304" s="23">
        <f>IFERROR(MATCH($A304,Dataset2_Raw!$A$2:$A$611,0),0)</f>
        <v>303</v>
      </c>
    </row>
    <row r="305" spans="1:17" x14ac:dyDescent="0.35">
      <c r="A305" s="23">
        <f>Dataset1_Raw!A305</f>
        <v>304</v>
      </c>
      <c r="B305" s="24">
        <f>Dataset1_Raw!B305</f>
        <v>40557</v>
      </c>
      <c r="C305" s="23">
        <f>Dataset1_Raw!C305</f>
        <v>1</v>
      </c>
      <c r="D305" s="23">
        <f>Dataset1_Raw!D305</f>
        <v>0</v>
      </c>
      <c r="E305" s="23">
        <f>Dataset1_Raw!E305</f>
        <v>1</v>
      </c>
      <c r="F305" s="23">
        <f>Dataset1_Raw!F305</f>
        <v>2</v>
      </c>
      <c r="G305" s="23" t="b">
        <f>Dataset1_Raw!G305</f>
        <v>0</v>
      </c>
      <c r="H305" s="23">
        <f>Dataset1_Raw!H305</f>
        <v>5</v>
      </c>
      <c r="I305" s="23">
        <f>Dataset1_Raw!I305</f>
        <v>1</v>
      </c>
      <c r="J305" s="25">
        <f>Dataset1_Raw!J305</f>
        <v>0.1</v>
      </c>
      <c r="K305" s="25">
        <f>IF(ISNUMBER(INDEX(Dataset2_Raw!$B$2:$B$611,$Q305)),INDEX(Dataset2_Raw!$B$2:$B$611,$Q305),"")</f>
        <v>0.1212</v>
      </c>
      <c r="L305" s="25">
        <f>IF(ISNUMBER(INDEX(Dataset2_Raw!$C$2:$C$611,$Q305)),INDEX(Dataset2_Raw!$C$2:$C$611,$Q305),"")</f>
        <v>0.54</v>
      </c>
      <c r="M305" s="25">
        <f>IF(ISNUMBER(INDEX(Dataset2_Raw!$D$2:$D$611,$Q305)),INDEX(Dataset2_Raw!$D$2:$D$611,$Q305),"")</f>
        <v>0.1343</v>
      </c>
      <c r="N305" s="23">
        <f>IF(ISNUMBER(INDEX(Dataset2_Raw!$E$2:$E$611,$Q305)),INDEX(Dataset2_Raw!$E$2:$E$611,$Q305),"")</f>
        <v>0</v>
      </c>
      <c r="O305" s="23">
        <f>IF(ISNUMBER(INDEX(Dataset2_Raw!$F$2:$F$611,$Q305)),INDEX(Dataset2_Raw!$F$2:$F$611,$Q305),"")</f>
        <v>1</v>
      </c>
      <c r="P305" s="23">
        <f>IF(ISNUMBER(INDEX(Dataset2_Raw!$G$2:$G$611,$Q305)),INDEX(Dataset2_Raw!$G$2:$G$611,$Q305),"")</f>
        <v>1</v>
      </c>
      <c r="Q305" s="23">
        <f>IFERROR(MATCH($A305,Dataset2_Raw!$A$2:$A$611,0),0)</f>
        <v>304</v>
      </c>
    </row>
    <row r="306" spans="1:17" x14ac:dyDescent="0.35">
      <c r="A306" s="23">
        <f>Dataset1_Raw!A306</f>
        <v>305</v>
      </c>
      <c r="B306" s="24">
        <f>Dataset1_Raw!B306</f>
        <v>40557</v>
      </c>
      <c r="C306" s="23">
        <f>Dataset1_Raw!C306</f>
        <v>1</v>
      </c>
      <c r="D306" s="23">
        <f>Dataset1_Raw!D306</f>
        <v>0</v>
      </c>
      <c r="E306" s="23">
        <f>Dataset1_Raw!E306</f>
        <v>1</v>
      </c>
      <c r="F306" s="23">
        <f>Dataset1_Raw!F306</f>
        <v>3</v>
      </c>
      <c r="G306" s="23" t="b">
        <f>Dataset1_Raw!G306</f>
        <v>0</v>
      </c>
      <c r="H306" s="23">
        <f>Dataset1_Raw!H306</f>
        <v>5</v>
      </c>
      <c r="I306" s="23">
        <f>Dataset1_Raw!I306</f>
        <v>1</v>
      </c>
      <c r="J306" s="25">
        <f>Dataset1_Raw!J306</f>
        <v>0.1</v>
      </c>
      <c r="K306" s="25">
        <f>IF(ISNUMBER(INDEX(Dataset2_Raw!$B$2:$B$611,$Q306)),INDEX(Dataset2_Raw!$B$2:$B$611,$Q306),"")</f>
        <v>0.13639999999999999</v>
      </c>
      <c r="L306" s="25">
        <f>IF(ISNUMBER(INDEX(Dataset2_Raw!$C$2:$C$611,$Q306)),INDEX(Dataset2_Raw!$C$2:$C$611,$Q306),"")</f>
        <v>0.54</v>
      </c>
      <c r="M306" s="25">
        <f>IF(ISNUMBER(INDEX(Dataset2_Raw!$D$2:$D$611,$Q306)),INDEX(Dataset2_Raw!$D$2:$D$611,$Q306),"")</f>
        <v>0.1045</v>
      </c>
      <c r="N306" s="23">
        <f>IF(ISNUMBER(INDEX(Dataset2_Raw!$E$2:$E$611,$Q306)),INDEX(Dataset2_Raw!$E$2:$E$611,$Q306),"")</f>
        <v>0</v>
      </c>
      <c r="O306" s="23">
        <f>IF(ISNUMBER(INDEX(Dataset2_Raw!$F$2:$F$611,$Q306)),INDEX(Dataset2_Raw!$F$2:$F$611,$Q306),"")</f>
        <v>1</v>
      </c>
      <c r="P306" s="23">
        <f>IF(ISNUMBER(INDEX(Dataset2_Raw!$G$2:$G$611,$Q306)),INDEX(Dataset2_Raw!$G$2:$G$611,$Q306),"")</f>
        <v>1</v>
      </c>
      <c r="Q306" s="23">
        <f>IFERROR(MATCH($A306,Dataset2_Raw!$A$2:$A$611,0),0)</f>
        <v>305</v>
      </c>
    </row>
    <row r="307" spans="1:17" x14ac:dyDescent="0.35">
      <c r="A307" s="23">
        <f>Dataset1_Raw!A307</f>
        <v>306</v>
      </c>
      <c r="B307" s="24">
        <f>Dataset1_Raw!B307</f>
        <v>40557</v>
      </c>
      <c r="C307" s="23">
        <f>Dataset1_Raw!C307</f>
        <v>1</v>
      </c>
      <c r="D307" s="23">
        <f>Dataset1_Raw!D307</f>
        <v>0</v>
      </c>
      <c r="E307" s="23">
        <f>Dataset1_Raw!E307</f>
        <v>1</v>
      </c>
      <c r="F307" s="23">
        <f>Dataset1_Raw!F307</f>
        <v>5</v>
      </c>
      <c r="G307" s="23" t="b">
        <f>Dataset1_Raw!G307</f>
        <v>0</v>
      </c>
      <c r="H307" s="23">
        <f>Dataset1_Raw!H307</f>
        <v>5</v>
      </c>
      <c r="I307" s="23">
        <f>Dataset1_Raw!I307</f>
        <v>1</v>
      </c>
      <c r="J307" s="25">
        <f>Dataset1_Raw!J307</f>
        <v>0.1</v>
      </c>
      <c r="K307" s="25">
        <f>IF(ISNUMBER(INDEX(Dataset2_Raw!$B$2:$B$611,$Q307)),INDEX(Dataset2_Raw!$B$2:$B$611,$Q307),"")</f>
        <v>0.13639999999999999</v>
      </c>
      <c r="L307" s="25">
        <f>IF(ISNUMBER(INDEX(Dataset2_Raw!$C$2:$C$611,$Q307)),INDEX(Dataset2_Raw!$C$2:$C$611,$Q307),"")</f>
        <v>0.54</v>
      </c>
      <c r="M307" s="25">
        <f>IF(ISNUMBER(INDEX(Dataset2_Raw!$D$2:$D$611,$Q307)),INDEX(Dataset2_Raw!$D$2:$D$611,$Q307),"")</f>
        <v>8.9599999999999999E-2</v>
      </c>
      <c r="N307" s="23">
        <f>IF(ISNUMBER(INDEX(Dataset2_Raw!$E$2:$E$611,$Q307)),INDEX(Dataset2_Raw!$E$2:$E$611,$Q307),"")</f>
        <v>0</v>
      </c>
      <c r="O307" s="23">
        <f>IF(ISNUMBER(INDEX(Dataset2_Raw!$F$2:$F$611,$Q307)),INDEX(Dataset2_Raw!$F$2:$F$611,$Q307),"")</f>
        <v>8</v>
      </c>
      <c r="P307" s="23">
        <f>IF(ISNUMBER(INDEX(Dataset2_Raw!$G$2:$G$611,$Q307)),INDEX(Dataset2_Raw!$G$2:$G$611,$Q307),"")</f>
        <v>8</v>
      </c>
      <c r="Q307" s="23">
        <f>IFERROR(MATCH($A307,Dataset2_Raw!$A$2:$A$611,0),0)</f>
        <v>306</v>
      </c>
    </row>
    <row r="308" spans="1:17" x14ac:dyDescent="0.35">
      <c r="A308" s="23">
        <f>Dataset1_Raw!A308</f>
        <v>307</v>
      </c>
      <c r="B308" s="24">
        <f>Dataset1_Raw!B308</f>
        <v>40557</v>
      </c>
      <c r="C308" s="23">
        <f>Dataset1_Raw!C308</f>
        <v>1</v>
      </c>
      <c r="D308" s="23">
        <f>Dataset1_Raw!D308</f>
        <v>0</v>
      </c>
      <c r="E308" s="23">
        <f>Dataset1_Raw!E308</f>
        <v>1</v>
      </c>
      <c r="F308" s="23">
        <f>Dataset1_Raw!F308</f>
        <v>6</v>
      </c>
      <c r="G308" s="23" t="b">
        <f>Dataset1_Raw!G308</f>
        <v>0</v>
      </c>
      <c r="H308" s="23">
        <f>Dataset1_Raw!H308</f>
        <v>5</v>
      </c>
      <c r="I308" s="23">
        <f>Dataset1_Raw!I308</f>
        <v>1</v>
      </c>
      <c r="J308" s="25">
        <f>Dataset1_Raw!J308</f>
        <v>0.1</v>
      </c>
      <c r="K308" s="25">
        <f>IF(ISNUMBER(INDEX(Dataset2_Raw!$B$2:$B$611,$Q308)),INDEX(Dataset2_Raw!$B$2:$B$611,$Q308),"")</f>
        <v>0.18179999999999999</v>
      </c>
      <c r="L308" s="25">
        <f>IF(ISNUMBER(INDEX(Dataset2_Raw!$C$2:$C$611,$Q308)),INDEX(Dataset2_Raw!$C$2:$C$611,$Q308),"")</f>
        <v>0.54</v>
      </c>
      <c r="M308" s="25">
        <f>IF(ISNUMBER(INDEX(Dataset2_Raw!$D$2:$D$611,$Q308)),INDEX(Dataset2_Raw!$D$2:$D$611,$Q308),"")</f>
        <v>0</v>
      </c>
      <c r="N308" s="23">
        <f>IF(ISNUMBER(INDEX(Dataset2_Raw!$E$2:$E$611,$Q308)),INDEX(Dataset2_Raw!$E$2:$E$611,$Q308),"")</f>
        <v>0</v>
      </c>
      <c r="O308" s="23">
        <f>IF(ISNUMBER(INDEX(Dataset2_Raw!$F$2:$F$611,$Q308)),INDEX(Dataset2_Raw!$F$2:$F$611,$Q308),"")</f>
        <v>17</v>
      </c>
      <c r="P308" s="23">
        <f>IF(ISNUMBER(INDEX(Dataset2_Raw!$G$2:$G$611,$Q308)),INDEX(Dataset2_Raw!$G$2:$G$611,$Q308),"")</f>
        <v>17</v>
      </c>
      <c r="Q308" s="23">
        <f>IFERROR(MATCH($A308,Dataset2_Raw!$A$2:$A$611,0),0)</f>
        <v>307</v>
      </c>
    </row>
    <row r="309" spans="1:17" x14ac:dyDescent="0.35">
      <c r="A309" s="23">
        <f>Dataset1_Raw!A309</f>
        <v>308</v>
      </c>
      <c r="B309" s="24">
        <f>Dataset1_Raw!B309</f>
        <v>40557</v>
      </c>
      <c r="C309" s="23">
        <f>Dataset1_Raw!C309</f>
        <v>1</v>
      </c>
      <c r="D309" s="23">
        <f>Dataset1_Raw!D309</f>
        <v>0</v>
      </c>
      <c r="E309" s="23">
        <f>Dataset1_Raw!E309</f>
        <v>1</v>
      </c>
      <c r="F309" s="23">
        <f>Dataset1_Raw!F309</f>
        <v>7</v>
      </c>
      <c r="G309" s="23" t="b">
        <f>Dataset1_Raw!G309</f>
        <v>0</v>
      </c>
      <c r="H309" s="23">
        <f>Dataset1_Raw!H309</f>
        <v>5</v>
      </c>
      <c r="I309" s="23">
        <f>Dataset1_Raw!I309</f>
        <v>1</v>
      </c>
      <c r="J309" s="25">
        <f>Dataset1_Raw!J309</f>
        <v>0.1</v>
      </c>
      <c r="K309" s="25">
        <f>IF(ISNUMBER(INDEX(Dataset2_Raw!$B$2:$B$611,$Q309)),INDEX(Dataset2_Raw!$B$2:$B$611,$Q309),"")</f>
        <v>0.1212</v>
      </c>
      <c r="L309" s="25">
        <f>IF(ISNUMBER(INDEX(Dataset2_Raw!$C$2:$C$611,$Q309)),INDEX(Dataset2_Raw!$C$2:$C$611,$Q309),"")</f>
        <v>0.74</v>
      </c>
      <c r="M309" s="25">
        <f>IF(ISNUMBER(INDEX(Dataset2_Raw!$D$2:$D$611,$Q309)),INDEX(Dataset2_Raw!$D$2:$D$611,$Q309),"")</f>
        <v>0.16420000000000001</v>
      </c>
      <c r="N309" s="23">
        <f>IF(ISNUMBER(INDEX(Dataset2_Raw!$E$2:$E$611,$Q309)),INDEX(Dataset2_Raw!$E$2:$E$611,$Q309),"")</f>
        <v>0</v>
      </c>
      <c r="O309" s="23">
        <f>IF(ISNUMBER(INDEX(Dataset2_Raw!$F$2:$F$611,$Q309)),INDEX(Dataset2_Raw!$F$2:$F$611,$Q309),"")</f>
        <v>70</v>
      </c>
      <c r="P309" s="23">
        <f>IF(ISNUMBER(INDEX(Dataset2_Raw!$G$2:$G$611,$Q309)),INDEX(Dataset2_Raw!$G$2:$G$611,$Q309),"")</f>
        <v>70</v>
      </c>
      <c r="Q309" s="23">
        <f>IFERROR(MATCH($A309,Dataset2_Raw!$A$2:$A$611,0),0)</f>
        <v>308</v>
      </c>
    </row>
    <row r="310" spans="1:17" x14ac:dyDescent="0.35">
      <c r="A310" s="23">
        <f>Dataset1_Raw!A310</f>
        <v>309</v>
      </c>
      <c r="B310" s="24">
        <f>Dataset1_Raw!B310</f>
        <v>40557</v>
      </c>
      <c r="C310" s="23">
        <f>Dataset1_Raw!C310</f>
        <v>1</v>
      </c>
      <c r="D310" s="23">
        <f>Dataset1_Raw!D310</f>
        <v>0</v>
      </c>
      <c r="E310" s="23">
        <f>Dataset1_Raw!E310</f>
        <v>1</v>
      </c>
      <c r="F310" s="23">
        <f>Dataset1_Raw!F310</f>
        <v>8</v>
      </c>
      <c r="G310" s="23" t="b">
        <f>Dataset1_Raw!G310</f>
        <v>0</v>
      </c>
      <c r="H310" s="23">
        <f>Dataset1_Raw!H310</f>
        <v>5</v>
      </c>
      <c r="I310" s="23">
        <f>Dataset1_Raw!I310</f>
        <v>1</v>
      </c>
      <c r="J310" s="25">
        <f>Dataset1_Raw!J310</f>
        <v>0.12</v>
      </c>
      <c r="K310" s="25">
        <f>IF(ISNUMBER(INDEX(Dataset2_Raw!$B$2:$B$611,$Q310)),INDEX(Dataset2_Raw!$B$2:$B$611,$Q310),"")</f>
        <v>0.16669999999999999</v>
      </c>
      <c r="L310" s="25">
        <f>IF(ISNUMBER(INDEX(Dataset2_Raw!$C$2:$C$611,$Q310)),INDEX(Dataset2_Raw!$C$2:$C$611,$Q310),"")</f>
        <v>0.68</v>
      </c>
      <c r="M310" s="25">
        <f>IF(ISNUMBER(INDEX(Dataset2_Raw!$D$2:$D$611,$Q310)),INDEX(Dataset2_Raw!$D$2:$D$611,$Q310),"")</f>
        <v>0</v>
      </c>
      <c r="N310" s="23">
        <f>IF(ISNUMBER(INDEX(Dataset2_Raw!$E$2:$E$611,$Q310)),INDEX(Dataset2_Raw!$E$2:$E$611,$Q310),"")</f>
        <v>2</v>
      </c>
      <c r="O310" s="23">
        <f>IF(ISNUMBER(INDEX(Dataset2_Raw!$F$2:$F$611,$Q310)),INDEX(Dataset2_Raw!$F$2:$F$611,$Q310),"")</f>
        <v>156</v>
      </c>
      <c r="P310" s="23">
        <f>IF(ISNUMBER(INDEX(Dataset2_Raw!$G$2:$G$611,$Q310)),INDEX(Dataset2_Raw!$G$2:$G$611,$Q310),"")</f>
        <v>158</v>
      </c>
      <c r="Q310" s="23">
        <f>IFERROR(MATCH($A310,Dataset2_Raw!$A$2:$A$611,0),0)</f>
        <v>309</v>
      </c>
    </row>
    <row r="311" spans="1:17" x14ac:dyDescent="0.35">
      <c r="A311" s="23">
        <f>Dataset1_Raw!A311</f>
        <v>310</v>
      </c>
      <c r="B311" s="24">
        <f>Dataset1_Raw!B311</f>
        <v>40557</v>
      </c>
      <c r="C311" s="23">
        <f>Dataset1_Raw!C311</f>
        <v>1</v>
      </c>
      <c r="D311" s="23">
        <f>Dataset1_Raw!D311</f>
        <v>0</v>
      </c>
      <c r="E311" s="23">
        <f>Dataset1_Raw!E311</f>
        <v>1</v>
      </c>
      <c r="F311" s="23">
        <f>Dataset1_Raw!F311</f>
        <v>9</v>
      </c>
      <c r="G311" s="23" t="b">
        <f>Dataset1_Raw!G311</f>
        <v>0</v>
      </c>
      <c r="H311" s="23">
        <f>Dataset1_Raw!H311</f>
        <v>5</v>
      </c>
      <c r="I311" s="23">
        <f>Dataset1_Raw!I311</f>
        <v>1</v>
      </c>
      <c r="J311" s="25">
        <f>Dataset1_Raw!J311</f>
        <v>0.14000000000000001</v>
      </c>
      <c r="K311" s="25">
        <f>IF(ISNUMBER(INDEX(Dataset2_Raw!$B$2:$B$611,$Q311)),INDEX(Dataset2_Raw!$B$2:$B$611,$Q311),"")</f>
        <v>0.1515</v>
      </c>
      <c r="L311" s="25">
        <f>IF(ISNUMBER(INDEX(Dataset2_Raw!$C$2:$C$611,$Q311)),INDEX(Dataset2_Raw!$C$2:$C$611,$Q311),"")</f>
        <v>0.69</v>
      </c>
      <c r="M311" s="25">
        <f>IF(ISNUMBER(INDEX(Dataset2_Raw!$D$2:$D$611,$Q311)),INDEX(Dataset2_Raw!$D$2:$D$611,$Q311),"")</f>
        <v>0.1343</v>
      </c>
      <c r="N311" s="23">
        <f>IF(ISNUMBER(INDEX(Dataset2_Raw!$E$2:$E$611,$Q311)),INDEX(Dataset2_Raw!$E$2:$E$611,$Q311),"")</f>
        <v>0</v>
      </c>
      <c r="O311" s="23">
        <f>IF(ISNUMBER(INDEX(Dataset2_Raw!$F$2:$F$611,$Q311)),INDEX(Dataset2_Raw!$F$2:$F$611,$Q311),"")</f>
        <v>117</v>
      </c>
      <c r="P311" s="23">
        <f>IF(ISNUMBER(INDEX(Dataset2_Raw!$G$2:$G$611,$Q311)),INDEX(Dataset2_Raw!$G$2:$G$611,$Q311),"")</f>
        <v>117</v>
      </c>
      <c r="Q311" s="23">
        <f>IFERROR(MATCH($A311,Dataset2_Raw!$A$2:$A$611,0),0)</f>
        <v>310</v>
      </c>
    </row>
    <row r="312" spans="1:17" x14ac:dyDescent="0.35">
      <c r="A312" s="23">
        <f>Dataset1_Raw!A312</f>
        <v>311</v>
      </c>
      <c r="B312" s="24">
        <f>Dataset1_Raw!B312</f>
        <v>40557</v>
      </c>
      <c r="C312" s="23">
        <f>Dataset1_Raw!C312</f>
        <v>1</v>
      </c>
      <c r="D312" s="23">
        <f>Dataset1_Raw!D312</f>
        <v>0</v>
      </c>
      <c r="E312" s="23">
        <f>Dataset1_Raw!E312</f>
        <v>1</v>
      </c>
      <c r="F312" s="23">
        <f>Dataset1_Raw!F312</f>
        <v>10</v>
      </c>
      <c r="G312" s="23" t="b">
        <f>Dataset1_Raw!G312</f>
        <v>0</v>
      </c>
      <c r="H312" s="23">
        <f>Dataset1_Raw!H312</f>
        <v>5</v>
      </c>
      <c r="I312" s="23">
        <f>Dataset1_Raw!I312</f>
        <v>1</v>
      </c>
      <c r="J312" s="25">
        <f>Dataset1_Raw!J312</f>
        <v>0.18</v>
      </c>
      <c r="K312" s="25">
        <f>IF(ISNUMBER(INDEX(Dataset2_Raw!$B$2:$B$611,$Q312)),INDEX(Dataset2_Raw!$B$2:$B$611,$Q312),"")</f>
        <v>0.18179999999999999</v>
      </c>
      <c r="L312" s="25">
        <f>IF(ISNUMBER(INDEX(Dataset2_Raw!$C$2:$C$611,$Q312)),INDEX(Dataset2_Raw!$C$2:$C$611,$Q312),"")</f>
        <v>0.55000000000000004</v>
      </c>
      <c r="M312" s="25">
        <f>IF(ISNUMBER(INDEX(Dataset2_Raw!$D$2:$D$611,$Q312)),INDEX(Dataset2_Raw!$D$2:$D$611,$Q312),"")</f>
        <v>0.19400000000000001</v>
      </c>
      <c r="N312" s="23">
        <f>IF(ISNUMBER(INDEX(Dataset2_Raw!$E$2:$E$611,$Q312)),INDEX(Dataset2_Raw!$E$2:$E$611,$Q312),"")</f>
        <v>4</v>
      </c>
      <c r="O312" s="23">
        <f>IF(ISNUMBER(INDEX(Dataset2_Raw!$F$2:$F$611,$Q312)),INDEX(Dataset2_Raw!$F$2:$F$611,$Q312),"")</f>
        <v>40</v>
      </c>
      <c r="P312" s="23">
        <f>IF(ISNUMBER(INDEX(Dataset2_Raw!$G$2:$G$611,$Q312)),INDEX(Dataset2_Raw!$G$2:$G$611,$Q312),"")</f>
        <v>44</v>
      </c>
      <c r="Q312" s="23">
        <f>IFERROR(MATCH($A312,Dataset2_Raw!$A$2:$A$611,0),0)</f>
        <v>311</v>
      </c>
    </row>
    <row r="313" spans="1:17" x14ac:dyDescent="0.35">
      <c r="A313" s="23">
        <f>Dataset1_Raw!A313</f>
        <v>312</v>
      </c>
      <c r="B313" s="24">
        <f>Dataset1_Raw!B313</f>
        <v>40557</v>
      </c>
      <c r="C313" s="23">
        <f>Dataset1_Raw!C313</f>
        <v>1</v>
      </c>
      <c r="D313" s="23">
        <f>Dataset1_Raw!D313</f>
        <v>0</v>
      </c>
      <c r="E313" s="23">
        <f>Dataset1_Raw!E313</f>
        <v>1</v>
      </c>
      <c r="F313" s="23">
        <f>Dataset1_Raw!F313</f>
        <v>11</v>
      </c>
      <c r="G313" s="23" t="b">
        <f>Dataset1_Raw!G313</f>
        <v>0</v>
      </c>
      <c r="H313" s="23">
        <f>Dataset1_Raw!H313</f>
        <v>5</v>
      </c>
      <c r="I313" s="23">
        <f>Dataset1_Raw!I313</f>
        <v>1</v>
      </c>
      <c r="J313" s="25">
        <f>Dataset1_Raw!J313</f>
        <v>0.18</v>
      </c>
      <c r="K313" s="25">
        <f>IF(ISNUMBER(INDEX(Dataset2_Raw!$B$2:$B$611,$Q313)),INDEX(Dataset2_Raw!$B$2:$B$611,$Q313),"")</f>
        <v>0.16669999999999999</v>
      </c>
      <c r="L313" s="25">
        <f>IF(ISNUMBER(INDEX(Dataset2_Raw!$C$2:$C$611,$Q313)),INDEX(Dataset2_Raw!$C$2:$C$611,$Q313),"")</f>
        <v>0.51</v>
      </c>
      <c r="M313" s="25">
        <f>IF(ISNUMBER(INDEX(Dataset2_Raw!$D$2:$D$611,$Q313)),INDEX(Dataset2_Raw!$D$2:$D$611,$Q313),"")</f>
        <v>0.28360000000000002</v>
      </c>
      <c r="N313" s="23">
        <f>IF(ISNUMBER(INDEX(Dataset2_Raw!$E$2:$E$611,$Q313)),INDEX(Dataset2_Raw!$E$2:$E$611,$Q313),"")</f>
        <v>6</v>
      </c>
      <c r="O313" s="23">
        <f>IF(ISNUMBER(INDEX(Dataset2_Raw!$F$2:$F$611,$Q313)),INDEX(Dataset2_Raw!$F$2:$F$611,$Q313),"")</f>
        <v>47</v>
      </c>
      <c r="P313" s="23">
        <f>IF(ISNUMBER(INDEX(Dataset2_Raw!$G$2:$G$611,$Q313)),INDEX(Dataset2_Raw!$G$2:$G$611,$Q313),"")</f>
        <v>53</v>
      </c>
      <c r="Q313" s="23">
        <f>IFERROR(MATCH($A313,Dataset2_Raw!$A$2:$A$611,0),0)</f>
        <v>312</v>
      </c>
    </row>
    <row r="314" spans="1:17" x14ac:dyDescent="0.35">
      <c r="A314" s="23">
        <f>Dataset1_Raw!A314</f>
        <v>313</v>
      </c>
      <c r="B314" s="24">
        <f>Dataset1_Raw!B314</f>
        <v>40557</v>
      </c>
      <c r="C314" s="23">
        <f>Dataset1_Raw!C314</f>
        <v>1</v>
      </c>
      <c r="D314" s="23">
        <f>Dataset1_Raw!D314</f>
        <v>0</v>
      </c>
      <c r="E314" s="23">
        <f>Dataset1_Raw!E314</f>
        <v>1</v>
      </c>
      <c r="F314" s="23">
        <f>Dataset1_Raw!F314</f>
        <v>12</v>
      </c>
      <c r="G314" s="23" t="b">
        <f>Dataset1_Raw!G314</f>
        <v>0</v>
      </c>
      <c r="H314" s="23">
        <f>Dataset1_Raw!H314</f>
        <v>5</v>
      </c>
      <c r="I314" s="23">
        <f>Dataset1_Raw!I314</f>
        <v>1</v>
      </c>
      <c r="J314" s="25">
        <f>Dataset1_Raw!J314</f>
        <v>0.2</v>
      </c>
      <c r="K314" s="25">
        <f>IF(ISNUMBER(INDEX(Dataset2_Raw!$B$2:$B$611,$Q314)),INDEX(Dataset2_Raw!$B$2:$B$611,$Q314),"")</f>
        <v>0.19700000000000001</v>
      </c>
      <c r="L314" s="25">
        <f>IF(ISNUMBER(INDEX(Dataset2_Raw!$C$2:$C$611,$Q314)),INDEX(Dataset2_Raw!$C$2:$C$611,$Q314),"")</f>
        <v>0.44</v>
      </c>
      <c r="M314" s="25">
        <f>IF(ISNUMBER(INDEX(Dataset2_Raw!$D$2:$D$611,$Q314)),INDEX(Dataset2_Raw!$D$2:$D$611,$Q314),"")</f>
        <v>0.25369999999999998</v>
      </c>
      <c r="N314" s="23">
        <f>IF(ISNUMBER(INDEX(Dataset2_Raw!$E$2:$E$611,$Q314)),INDEX(Dataset2_Raw!$E$2:$E$611,$Q314),"")</f>
        <v>2</v>
      </c>
      <c r="O314" s="23">
        <f>IF(ISNUMBER(INDEX(Dataset2_Raw!$F$2:$F$611,$Q314)),INDEX(Dataset2_Raw!$F$2:$F$611,$Q314),"")</f>
        <v>59</v>
      </c>
      <c r="P314" s="23">
        <f>IF(ISNUMBER(INDEX(Dataset2_Raw!$G$2:$G$611,$Q314)),INDEX(Dataset2_Raw!$G$2:$G$611,$Q314),"")</f>
        <v>61</v>
      </c>
      <c r="Q314" s="23">
        <f>IFERROR(MATCH($A314,Dataset2_Raw!$A$2:$A$611,0),0)</f>
        <v>313</v>
      </c>
    </row>
    <row r="315" spans="1:17" x14ac:dyDescent="0.35">
      <c r="A315" s="23">
        <f>Dataset1_Raw!A315</f>
        <v>314</v>
      </c>
      <c r="B315" s="24">
        <f>Dataset1_Raw!B315</f>
        <v>40557</v>
      </c>
      <c r="C315" s="23">
        <f>Dataset1_Raw!C315</f>
        <v>1</v>
      </c>
      <c r="D315" s="23">
        <f>Dataset1_Raw!D315</f>
        <v>0</v>
      </c>
      <c r="E315" s="23">
        <f>Dataset1_Raw!E315</f>
        <v>1</v>
      </c>
      <c r="F315" s="23">
        <f>Dataset1_Raw!F315</f>
        <v>13</v>
      </c>
      <c r="G315" s="23" t="b">
        <f>Dataset1_Raw!G315</f>
        <v>0</v>
      </c>
      <c r="H315" s="23">
        <f>Dataset1_Raw!H315</f>
        <v>5</v>
      </c>
      <c r="I315" s="23">
        <f>Dataset1_Raw!I315</f>
        <v>1</v>
      </c>
      <c r="J315" s="25">
        <f>Dataset1_Raw!J315</f>
        <v>0.22</v>
      </c>
      <c r="K315" s="25">
        <f>IF(ISNUMBER(INDEX(Dataset2_Raw!$B$2:$B$611,$Q315)),INDEX(Dataset2_Raw!$B$2:$B$611,$Q315),"")</f>
        <v>0.19700000000000001</v>
      </c>
      <c r="L315" s="25">
        <f>IF(ISNUMBER(INDEX(Dataset2_Raw!$C$2:$C$611,$Q315)),INDEX(Dataset2_Raw!$C$2:$C$611,$Q315),"")</f>
        <v>0.37</v>
      </c>
      <c r="M315" s="25">
        <f>IF(ISNUMBER(INDEX(Dataset2_Raw!$D$2:$D$611,$Q315)),INDEX(Dataset2_Raw!$D$2:$D$611,$Q315),"")</f>
        <v>0.3881</v>
      </c>
      <c r="N315" s="23">
        <f>IF(ISNUMBER(INDEX(Dataset2_Raw!$E$2:$E$611,$Q315)),INDEX(Dataset2_Raw!$E$2:$E$611,$Q315),"")</f>
        <v>4</v>
      </c>
      <c r="O315" s="23">
        <f>IF(ISNUMBER(INDEX(Dataset2_Raw!$F$2:$F$611,$Q315)),INDEX(Dataset2_Raw!$F$2:$F$611,$Q315),"")</f>
        <v>73</v>
      </c>
      <c r="P315" s="23">
        <f>IF(ISNUMBER(INDEX(Dataset2_Raw!$G$2:$G$611,$Q315)),INDEX(Dataset2_Raw!$G$2:$G$611,$Q315),"")</f>
        <v>77</v>
      </c>
      <c r="Q315" s="23">
        <f>IFERROR(MATCH($A315,Dataset2_Raw!$A$2:$A$611,0),0)</f>
        <v>314</v>
      </c>
    </row>
    <row r="316" spans="1:17" x14ac:dyDescent="0.35">
      <c r="A316" s="23">
        <f>Dataset1_Raw!A316</f>
        <v>315</v>
      </c>
      <c r="B316" s="24">
        <f>Dataset1_Raw!B316</f>
        <v>40557</v>
      </c>
      <c r="C316" s="23">
        <f>Dataset1_Raw!C316</f>
        <v>1</v>
      </c>
      <c r="D316" s="23">
        <f>Dataset1_Raw!D316</f>
        <v>0</v>
      </c>
      <c r="E316" s="23">
        <f>Dataset1_Raw!E316</f>
        <v>1</v>
      </c>
      <c r="F316" s="23">
        <f>Dataset1_Raw!F316</f>
        <v>14</v>
      </c>
      <c r="G316" s="23" t="b">
        <f>Dataset1_Raw!G316</f>
        <v>0</v>
      </c>
      <c r="H316" s="23">
        <f>Dataset1_Raw!H316</f>
        <v>5</v>
      </c>
      <c r="I316" s="23">
        <f>Dataset1_Raw!I316</f>
        <v>1</v>
      </c>
      <c r="J316" s="25">
        <f>Dataset1_Raw!J316</f>
        <v>0.22</v>
      </c>
      <c r="K316" s="25">
        <f>IF(ISNUMBER(INDEX(Dataset2_Raw!$B$2:$B$611,$Q316)),INDEX(Dataset2_Raw!$B$2:$B$611,$Q316),"")</f>
        <v>0.21210000000000001</v>
      </c>
      <c r="L316" s="25">
        <f>IF(ISNUMBER(INDEX(Dataset2_Raw!$C$2:$C$611,$Q316)),INDEX(Dataset2_Raw!$C$2:$C$611,$Q316),"")</f>
        <v>0.41</v>
      </c>
      <c r="M316" s="25">
        <f>IF(ISNUMBER(INDEX(Dataset2_Raw!$D$2:$D$611,$Q316)),INDEX(Dataset2_Raw!$D$2:$D$611,$Q316),"")</f>
        <v>0.28360000000000002</v>
      </c>
      <c r="N316" s="23">
        <f>IF(ISNUMBER(INDEX(Dataset2_Raw!$E$2:$E$611,$Q316)),INDEX(Dataset2_Raw!$E$2:$E$611,$Q316),"")</f>
        <v>5</v>
      </c>
      <c r="O316" s="23">
        <f>IF(ISNUMBER(INDEX(Dataset2_Raw!$F$2:$F$611,$Q316)),INDEX(Dataset2_Raw!$F$2:$F$611,$Q316),"")</f>
        <v>59</v>
      </c>
      <c r="P316" s="23">
        <f>IF(ISNUMBER(INDEX(Dataset2_Raw!$G$2:$G$611,$Q316)),INDEX(Dataset2_Raw!$G$2:$G$611,$Q316),"")</f>
        <v>64</v>
      </c>
      <c r="Q316" s="23">
        <f>IFERROR(MATCH($A316,Dataset2_Raw!$A$2:$A$611,0),0)</f>
        <v>315</v>
      </c>
    </row>
    <row r="317" spans="1:17" x14ac:dyDescent="0.35">
      <c r="A317" s="23">
        <f>Dataset1_Raw!A317</f>
        <v>316</v>
      </c>
      <c r="B317" s="24">
        <f>Dataset1_Raw!B317</f>
        <v>40557</v>
      </c>
      <c r="C317" s="23">
        <f>Dataset1_Raw!C317</f>
        <v>1</v>
      </c>
      <c r="D317" s="23">
        <f>Dataset1_Raw!D317</f>
        <v>0</v>
      </c>
      <c r="E317" s="23">
        <f>Dataset1_Raw!E317</f>
        <v>1</v>
      </c>
      <c r="F317" s="23">
        <f>Dataset1_Raw!F317</f>
        <v>15</v>
      </c>
      <c r="G317" s="23" t="b">
        <f>Dataset1_Raw!G317</f>
        <v>0</v>
      </c>
      <c r="H317" s="23">
        <f>Dataset1_Raw!H317</f>
        <v>5</v>
      </c>
      <c r="I317" s="23">
        <f>Dataset1_Raw!I317</f>
        <v>1</v>
      </c>
      <c r="J317" s="25">
        <f>Dataset1_Raw!J317</f>
        <v>0.24</v>
      </c>
      <c r="K317" s="25">
        <f>IF(ISNUMBER(INDEX(Dataset2_Raw!$B$2:$B$611,$Q317)),INDEX(Dataset2_Raw!$B$2:$B$611,$Q317),"")</f>
        <v>0.2424</v>
      </c>
      <c r="L317" s="25">
        <f>IF(ISNUMBER(INDEX(Dataset2_Raw!$C$2:$C$611,$Q317)),INDEX(Dataset2_Raw!$C$2:$C$611,$Q317),"")</f>
        <v>0.38</v>
      </c>
      <c r="M317" s="25">
        <f>IF(ISNUMBER(INDEX(Dataset2_Raw!$D$2:$D$611,$Q317)),INDEX(Dataset2_Raw!$D$2:$D$611,$Q317),"")</f>
        <v>0.16420000000000001</v>
      </c>
      <c r="N317" s="23">
        <f>IF(ISNUMBER(INDEX(Dataset2_Raw!$E$2:$E$611,$Q317)),INDEX(Dataset2_Raw!$E$2:$E$611,$Q317),"")</f>
        <v>9</v>
      </c>
      <c r="O317" s="23">
        <f>IF(ISNUMBER(INDEX(Dataset2_Raw!$F$2:$F$611,$Q317)),INDEX(Dataset2_Raw!$F$2:$F$611,$Q317),"")</f>
        <v>59</v>
      </c>
      <c r="P317" s="23">
        <f>IF(ISNUMBER(INDEX(Dataset2_Raw!$G$2:$G$611,$Q317)),INDEX(Dataset2_Raw!$G$2:$G$611,$Q317),"")</f>
        <v>68</v>
      </c>
      <c r="Q317" s="23">
        <f>IFERROR(MATCH($A317,Dataset2_Raw!$A$2:$A$611,0),0)</f>
        <v>316</v>
      </c>
    </row>
    <row r="318" spans="1:17" x14ac:dyDescent="0.35">
      <c r="A318" s="23">
        <f>Dataset1_Raw!A318</f>
        <v>317</v>
      </c>
      <c r="B318" s="24">
        <f>Dataset1_Raw!B318</f>
        <v>40557</v>
      </c>
      <c r="C318" s="23">
        <f>Dataset1_Raw!C318</f>
        <v>1</v>
      </c>
      <c r="D318" s="23">
        <f>Dataset1_Raw!D318</f>
        <v>0</v>
      </c>
      <c r="E318" s="23">
        <f>Dataset1_Raw!E318</f>
        <v>1</v>
      </c>
      <c r="F318" s="23">
        <f>Dataset1_Raw!F318</f>
        <v>16</v>
      </c>
      <c r="G318" s="23" t="b">
        <f>Dataset1_Raw!G318</f>
        <v>0</v>
      </c>
      <c r="H318" s="23">
        <f>Dataset1_Raw!H318</f>
        <v>5</v>
      </c>
      <c r="I318" s="23">
        <f>Dataset1_Raw!I318</f>
        <v>1</v>
      </c>
      <c r="J318" s="25">
        <f>Dataset1_Raw!J318</f>
        <v>0.22</v>
      </c>
      <c r="K318" s="25">
        <f>IF(ISNUMBER(INDEX(Dataset2_Raw!$B$2:$B$611,$Q318)),INDEX(Dataset2_Raw!$B$2:$B$611,$Q318),"")</f>
        <v>0.2424</v>
      </c>
      <c r="L318" s="25">
        <f>IF(ISNUMBER(INDEX(Dataset2_Raw!$C$2:$C$611,$Q318)),INDEX(Dataset2_Raw!$C$2:$C$611,$Q318),"")</f>
        <v>0.41</v>
      </c>
      <c r="M318" s="25">
        <f>IF(ISNUMBER(INDEX(Dataset2_Raw!$D$2:$D$611,$Q318)),INDEX(Dataset2_Raw!$D$2:$D$611,$Q318),"")</f>
        <v>0.1045</v>
      </c>
      <c r="N318" s="23">
        <f>IF(ISNUMBER(INDEX(Dataset2_Raw!$E$2:$E$611,$Q318)),INDEX(Dataset2_Raw!$E$2:$E$611,$Q318),"")</f>
        <v>3</v>
      </c>
      <c r="O318" s="23">
        <f>IF(ISNUMBER(INDEX(Dataset2_Raw!$F$2:$F$611,$Q318)),INDEX(Dataset2_Raw!$F$2:$F$611,$Q318),"")</f>
        <v>87</v>
      </c>
      <c r="P318" s="23">
        <f>IF(ISNUMBER(INDEX(Dataset2_Raw!$G$2:$G$611,$Q318)),INDEX(Dataset2_Raw!$G$2:$G$611,$Q318),"")</f>
        <v>90</v>
      </c>
      <c r="Q318" s="23">
        <f>IFERROR(MATCH($A318,Dataset2_Raw!$A$2:$A$611,0),0)</f>
        <v>317</v>
      </c>
    </row>
    <row r="319" spans="1:17" x14ac:dyDescent="0.35">
      <c r="A319" s="23">
        <f>Dataset1_Raw!A319</f>
        <v>318</v>
      </c>
      <c r="B319" s="24">
        <f>Dataset1_Raw!B319</f>
        <v>40557</v>
      </c>
      <c r="C319" s="23">
        <f>Dataset1_Raw!C319</f>
        <v>1</v>
      </c>
      <c r="D319" s="23">
        <f>Dataset1_Raw!D319</f>
        <v>0</v>
      </c>
      <c r="E319" s="23">
        <f>Dataset1_Raw!E319</f>
        <v>1</v>
      </c>
      <c r="F319" s="23">
        <f>Dataset1_Raw!F319</f>
        <v>17</v>
      </c>
      <c r="G319" s="23" t="b">
        <f>Dataset1_Raw!G319</f>
        <v>0</v>
      </c>
      <c r="H319" s="23">
        <f>Dataset1_Raw!H319</f>
        <v>5</v>
      </c>
      <c r="I319" s="23">
        <f>Dataset1_Raw!I319</f>
        <v>1</v>
      </c>
      <c r="J319" s="25">
        <f>Dataset1_Raw!J319</f>
        <v>0.22</v>
      </c>
      <c r="K319" s="25">
        <f>IF(ISNUMBER(INDEX(Dataset2_Raw!$B$2:$B$611,$Q319)),INDEX(Dataset2_Raw!$B$2:$B$611,$Q319),"")</f>
        <v>0.2273</v>
      </c>
      <c r="L319" s="25">
        <f>IF(ISNUMBER(INDEX(Dataset2_Raw!$C$2:$C$611,$Q319)),INDEX(Dataset2_Raw!$C$2:$C$611,$Q319),"")</f>
        <v>0.41</v>
      </c>
      <c r="M319" s="25">
        <f>IF(ISNUMBER(INDEX(Dataset2_Raw!$D$2:$D$611,$Q319)),INDEX(Dataset2_Raw!$D$2:$D$611,$Q319),"")</f>
        <v>0.16420000000000001</v>
      </c>
      <c r="N319" s="23">
        <f>IF(ISNUMBER(INDEX(Dataset2_Raw!$E$2:$E$611,$Q319)),INDEX(Dataset2_Raw!$E$2:$E$611,$Q319),"")</f>
        <v>4</v>
      </c>
      <c r="O319" s="23">
        <f>IF(ISNUMBER(INDEX(Dataset2_Raw!$F$2:$F$611,$Q319)),INDEX(Dataset2_Raw!$F$2:$F$611,$Q319),"")</f>
        <v>155</v>
      </c>
      <c r="P319" s="23">
        <f>IF(ISNUMBER(INDEX(Dataset2_Raw!$G$2:$G$611,$Q319)),INDEX(Dataset2_Raw!$G$2:$G$611,$Q319),"")</f>
        <v>159</v>
      </c>
      <c r="Q319" s="23">
        <f>IFERROR(MATCH($A319,Dataset2_Raw!$A$2:$A$611,0),0)</f>
        <v>318</v>
      </c>
    </row>
    <row r="320" spans="1:17" x14ac:dyDescent="0.35">
      <c r="A320" s="23">
        <f>Dataset1_Raw!A320</f>
        <v>319</v>
      </c>
      <c r="B320" s="24">
        <f>Dataset1_Raw!B320</f>
        <v>40557</v>
      </c>
      <c r="C320" s="23">
        <f>Dataset1_Raw!C320</f>
        <v>1</v>
      </c>
      <c r="D320" s="23">
        <f>Dataset1_Raw!D320</f>
        <v>0</v>
      </c>
      <c r="E320" s="23">
        <f>Dataset1_Raw!E320</f>
        <v>1</v>
      </c>
      <c r="F320" s="23">
        <f>Dataset1_Raw!F320</f>
        <v>18</v>
      </c>
      <c r="G320" s="23" t="b">
        <f>Dataset1_Raw!G320</f>
        <v>0</v>
      </c>
      <c r="H320" s="23">
        <f>Dataset1_Raw!H320</f>
        <v>5</v>
      </c>
      <c r="I320" s="23">
        <f>Dataset1_Raw!I320</f>
        <v>1</v>
      </c>
      <c r="J320" s="25">
        <f>Dataset1_Raw!J320</f>
        <v>0.2</v>
      </c>
      <c r="K320" s="25">
        <f>IF(ISNUMBER(INDEX(Dataset2_Raw!$B$2:$B$611,$Q320)),INDEX(Dataset2_Raw!$B$2:$B$611,$Q320),"")</f>
        <v>0.2576</v>
      </c>
      <c r="L320" s="25">
        <f>IF(ISNUMBER(INDEX(Dataset2_Raw!$C$2:$C$611,$Q320)),INDEX(Dataset2_Raw!$C$2:$C$611,$Q320),"")</f>
        <v>0.47</v>
      </c>
      <c r="M320" s="25">
        <f>IF(ISNUMBER(INDEX(Dataset2_Raw!$D$2:$D$611,$Q320)),INDEX(Dataset2_Raw!$D$2:$D$611,$Q320),"")</f>
        <v>0</v>
      </c>
      <c r="N320" s="23">
        <f>IF(ISNUMBER(INDEX(Dataset2_Raw!$E$2:$E$611,$Q320)),INDEX(Dataset2_Raw!$E$2:$E$611,$Q320),"")</f>
        <v>5</v>
      </c>
      <c r="O320" s="23">
        <f>IF(ISNUMBER(INDEX(Dataset2_Raw!$F$2:$F$611,$Q320)),INDEX(Dataset2_Raw!$F$2:$F$611,$Q320),"")</f>
        <v>134</v>
      </c>
      <c r="P320" s="23">
        <f>IF(ISNUMBER(INDEX(Dataset2_Raw!$G$2:$G$611,$Q320)),INDEX(Dataset2_Raw!$G$2:$G$611,$Q320),"")</f>
        <v>139</v>
      </c>
      <c r="Q320" s="23">
        <f>IFERROR(MATCH($A320,Dataset2_Raw!$A$2:$A$611,0),0)</f>
        <v>319</v>
      </c>
    </row>
    <row r="321" spans="1:17" x14ac:dyDescent="0.35">
      <c r="A321" s="23">
        <f>Dataset1_Raw!A321</f>
        <v>320</v>
      </c>
      <c r="B321" s="24">
        <f>Dataset1_Raw!B321</f>
        <v>40557</v>
      </c>
      <c r="C321" s="23">
        <f>Dataset1_Raw!C321</f>
        <v>1</v>
      </c>
      <c r="D321" s="23">
        <f>Dataset1_Raw!D321</f>
        <v>0</v>
      </c>
      <c r="E321" s="23">
        <f>Dataset1_Raw!E321</f>
        <v>1</v>
      </c>
      <c r="F321" s="23">
        <f>Dataset1_Raw!F321</f>
        <v>19</v>
      </c>
      <c r="G321" s="23" t="b">
        <f>Dataset1_Raw!G321</f>
        <v>0</v>
      </c>
      <c r="H321" s="23">
        <f>Dataset1_Raw!H321</f>
        <v>5</v>
      </c>
      <c r="I321" s="23">
        <f>Dataset1_Raw!I321</f>
        <v>1</v>
      </c>
      <c r="J321" s="25">
        <f>Dataset1_Raw!J321</f>
        <v>0.16</v>
      </c>
      <c r="K321" s="25">
        <f>IF(ISNUMBER(INDEX(Dataset2_Raw!$B$2:$B$611,$Q321)),INDEX(Dataset2_Raw!$B$2:$B$611,$Q321),"")</f>
        <v>0.19700000000000001</v>
      </c>
      <c r="L321" s="25">
        <f>IF(ISNUMBER(INDEX(Dataset2_Raw!$C$2:$C$611,$Q321)),INDEX(Dataset2_Raw!$C$2:$C$611,$Q321),"")</f>
        <v>0.59</v>
      </c>
      <c r="M321" s="25">
        <f>IF(ISNUMBER(INDEX(Dataset2_Raw!$D$2:$D$611,$Q321)),INDEX(Dataset2_Raw!$D$2:$D$611,$Q321),"")</f>
        <v>8.9599999999999999E-2</v>
      </c>
      <c r="N321" s="23">
        <f>IF(ISNUMBER(INDEX(Dataset2_Raw!$E$2:$E$611,$Q321)),INDEX(Dataset2_Raw!$E$2:$E$611,$Q321),"")</f>
        <v>3</v>
      </c>
      <c r="O321" s="23">
        <f>IF(ISNUMBER(INDEX(Dataset2_Raw!$F$2:$F$611,$Q321)),INDEX(Dataset2_Raw!$F$2:$F$611,$Q321),"")</f>
        <v>89</v>
      </c>
      <c r="P321" s="23">
        <f>IF(ISNUMBER(INDEX(Dataset2_Raw!$G$2:$G$611,$Q321)),INDEX(Dataset2_Raw!$G$2:$G$611,$Q321),"")</f>
        <v>92</v>
      </c>
      <c r="Q321" s="23">
        <f>IFERROR(MATCH($A321,Dataset2_Raw!$A$2:$A$611,0),0)</f>
        <v>320</v>
      </c>
    </row>
    <row r="322" spans="1:17" x14ac:dyDescent="0.35">
      <c r="A322" s="23">
        <f>Dataset1_Raw!A322</f>
        <v>321</v>
      </c>
      <c r="B322" s="24">
        <f>Dataset1_Raw!B322</f>
        <v>40557</v>
      </c>
      <c r="C322" s="23">
        <f>Dataset1_Raw!C322</f>
        <v>1</v>
      </c>
      <c r="D322" s="23">
        <f>Dataset1_Raw!D322</f>
        <v>0</v>
      </c>
      <c r="E322" s="23">
        <f>Dataset1_Raw!E322</f>
        <v>1</v>
      </c>
      <c r="F322" s="23">
        <f>Dataset1_Raw!F322</f>
        <v>20</v>
      </c>
      <c r="G322" s="23" t="b">
        <f>Dataset1_Raw!G322</f>
        <v>0</v>
      </c>
      <c r="H322" s="23">
        <f>Dataset1_Raw!H322</f>
        <v>5</v>
      </c>
      <c r="I322" s="23">
        <f>Dataset1_Raw!I322</f>
        <v>1</v>
      </c>
      <c r="J322" s="25">
        <f>Dataset1_Raw!J322</f>
        <v>0.18</v>
      </c>
      <c r="K322" s="25">
        <f>IF(ISNUMBER(INDEX(Dataset2_Raw!$B$2:$B$611,$Q322)),INDEX(Dataset2_Raw!$B$2:$B$611,$Q322),"")</f>
        <v>0.2424</v>
      </c>
      <c r="L322" s="25">
        <f>IF(ISNUMBER(INDEX(Dataset2_Raw!$C$2:$C$611,$Q322)),INDEX(Dataset2_Raw!$C$2:$C$611,$Q322),"")</f>
        <v>0.59</v>
      </c>
      <c r="M322" s="25">
        <f>IF(ISNUMBER(INDEX(Dataset2_Raw!$D$2:$D$611,$Q322)),INDEX(Dataset2_Raw!$D$2:$D$611,$Q322),"")</f>
        <v>0</v>
      </c>
      <c r="N322" s="23">
        <f>IF(ISNUMBER(INDEX(Dataset2_Raw!$E$2:$E$611,$Q322)),INDEX(Dataset2_Raw!$E$2:$E$611,$Q322),"")</f>
        <v>0</v>
      </c>
      <c r="O322" s="23">
        <f>IF(ISNUMBER(INDEX(Dataset2_Raw!$F$2:$F$611,$Q322)),INDEX(Dataset2_Raw!$F$2:$F$611,$Q322),"")</f>
        <v>68</v>
      </c>
      <c r="P322" s="23">
        <f>IF(ISNUMBER(INDEX(Dataset2_Raw!$G$2:$G$611,$Q322)),INDEX(Dataset2_Raw!$G$2:$G$611,$Q322),"")</f>
        <v>68</v>
      </c>
      <c r="Q322" s="23">
        <f>IFERROR(MATCH($A322,Dataset2_Raw!$A$2:$A$611,0),0)</f>
        <v>321</v>
      </c>
    </row>
    <row r="323" spans="1:17" x14ac:dyDescent="0.35">
      <c r="A323" s="23">
        <f>Dataset1_Raw!A323</f>
        <v>322</v>
      </c>
      <c r="B323" s="24">
        <f>Dataset1_Raw!B323</f>
        <v>40557</v>
      </c>
      <c r="C323" s="23">
        <f>Dataset1_Raw!C323</f>
        <v>1</v>
      </c>
      <c r="D323" s="23">
        <f>Dataset1_Raw!D323</f>
        <v>0</v>
      </c>
      <c r="E323" s="23">
        <f>Dataset1_Raw!E323</f>
        <v>1</v>
      </c>
      <c r="F323" s="23">
        <f>Dataset1_Raw!F323</f>
        <v>21</v>
      </c>
      <c r="G323" s="23" t="b">
        <f>Dataset1_Raw!G323</f>
        <v>0</v>
      </c>
      <c r="H323" s="23">
        <f>Dataset1_Raw!H323</f>
        <v>5</v>
      </c>
      <c r="I323" s="23">
        <f>Dataset1_Raw!I323</f>
        <v>1</v>
      </c>
      <c r="J323" s="25">
        <f>Dataset1_Raw!J323</f>
        <v>0.16</v>
      </c>
      <c r="K323" s="25">
        <f>IF(ISNUMBER(INDEX(Dataset2_Raw!$B$2:$B$611,$Q323)),INDEX(Dataset2_Raw!$B$2:$B$611,$Q323),"")</f>
        <v>0.2273</v>
      </c>
      <c r="L323" s="25">
        <f>IF(ISNUMBER(INDEX(Dataset2_Raw!$C$2:$C$611,$Q323)),INDEX(Dataset2_Raw!$C$2:$C$611,$Q323),"")</f>
        <v>0.69</v>
      </c>
      <c r="M323" s="25">
        <f>IF(ISNUMBER(INDEX(Dataset2_Raw!$D$2:$D$611,$Q323)),INDEX(Dataset2_Raw!$D$2:$D$611,$Q323),"")</f>
        <v>0</v>
      </c>
      <c r="N323" s="23">
        <f>IF(ISNUMBER(INDEX(Dataset2_Raw!$E$2:$E$611,$Q323)),INDEX(Dataset2_Raw!$E$2:$E$611,$Q323),"")</f>
        <v>4</v>
      </c>
      <c r="O323" s="23">
        <f>IF(ISNUMBER(INDEX(Dataset2_Raw!$F$2:$F$611,$Q323)),INDEX(Dataset2_Raw!$F$2:$F$611,$Q323),"")</f>
        <v>48</v>
      </c>
      <c r="P323" s="23">
        <f>IF(ISNUMBER(INDEX(Dataset2_Raw!$G$2:$G$611,$Q323)),INDEX(Dataset2_Raw!$G$2:$G$611,$Q323),"")</f>
        <v>52</v>
      </c>
      <c r="Q323" s="23">
        <f>IFERROR(MATCH($A323,Dataset2_Raw!$A$2:$A$611,0),0)</f>
        <v>322</v>
      </c>
    </row>
    <row r="324" spans="1:17" x14ac:dyDescent="0.35">
      <c r="A324" s="23">
        <f>Dataset1_Raw!A324</f>
        <v>323</v>
      </c>
      <c r="B324" s="24">
        <f>Dataset1_Raw!B324</f>
        <v>40557</v>
      </c>
      <c r="C324" s="23">
        <f>Dataset1_Raw!C324</f>
        <v>1</v>
      </c>
      <c r="D324" s="23">
        <f>Dataset1_Raw!D324</f>
        <v>0</v>
      </c>
      <c r="E324" s="23">
        <f>Dataset1_Raw!E324</f>
        <v>1</v>
      </c>
      <c r="F324" s="23">
        <f>Dataset1_Raw!F324</f>
        <v>22</v>
      </c>
      <c r="G324" s="23" t="b">
        <f>Dataset1_Raw!G324</f>
        <v>0</v>
      </c>
      <c r="H324" s="23">
        <f>Dataset1_Raw!H324</f>
        <v>5</v>
      </c>
      <c r="I324" s="23">
        <f>Dataset1_Raw!I324</f>
        <v>2</v>
      </c>
      <c r="J324" s="25">
        <f>Dataset1_Raw!J324</f>
        <v>0.16</v>
      </c>
      <c r="K324" s="25">
        <f>IF(ISNUMBER(INDEX(Dataset2_Raw!$B$2:$B$611,$Q324)),INDEX(Dataset2_Raw!$B$2:$B$611,$Q324),"")</f>
        <v>0.2273</v>
      </c>
      <c r="L324" s="25">
        <f>IF(ISNUMBER(INDEX(Dataset2_Raw!$C$2:$C$611,$Q324)),INDEX(Dataset2_Raw!$C$2:$C$611,$Q324),"")</f>
        <v>0.69</v>
      </c>
      <c r="M324" s="25">
        <f>IF(ISNUMBER(INDEX(Dataset2_Raw!$D$2:$D$611,$Q324)),INDEX(Dataset2_Raw!$D$2:$D$611,$Q324),"")</f>
        <v>0</v>
      </c>
      <c r="N324" s="23">
        <f>IF(ISNUMBER(INDEX(Dataset2_Raw!$E$2:$E$611,$Q324)),INDEX(Dataset2_Raw!$E$2:$E$611,$Q324),"")</f>
        <v>2</v>
      </c>
      <c r="O324" s="23">
        <f>IF(ISNUMBER(INDEX(Dataset2_Raw!$F$2:$F$611,$Q324)),INDEX(Dataset2_Raw!$F$2:$F$611,$Q324),"")</f>
        <v>34</v>
      </c>
      <c r="P324" s="23">
        <f>IF(ISNUMBER(INDEX(Dataset2_Raw!$G$2:$G$611,$Q324)),INDEX(Dataset2_Raw!$G$2:$G$611,$Q324),"")</f>
        <v>36</v>
      </c>
      <c r="Q324" s="23">
        <f>IFERROR(MATCH($A324,Dataset2_Raw!$A$2:$A$611,0),0)</f>
        <v>323</v>
      </c>
    </row>
    <row r="325" spans="1:17" x14ac:dyDescent="0.35">
      <c r="A325" s="23">
        <f>Dataset1_Raw!A325</f>
        <v>324</v>
      </c>
      <c r="B325" s="24">
        <f>Dataset1_Raw!B325</f>
        <v>40557</v>
      </c>
      <c r="C325" s="23">
        <f>Dataset1_Raw!C325</f>
        <v>1</v>
      </c>
      <c r="D325" s="23">
        <f>Dataset1_Raw!D325</f>
        <v>0</v>
      </c>
      <c r="E325" s="23">
        <f>Dataset1_Raw!E325</f>
        <v>1</v>
      </c>
      <c r="F325" s="23">
        <f>Dataset1_Raw!F325</f>
        <v>23</v>
      </c>
      <c r="G325" s="23" t="b">
        <f>Dataset1_Raw!G325</f>
        <v>0</v>
      </c>
      <c r="H325" s="23">
        <f>Dataset1_Raw!H325</f>
        <v>5</v>
      </c>
      <c r="I325" s="23">
        <f>Dataset1_Raw!I325</f>
        <v>2</v>
      </c>
      <c r="J325" s="25">
        <f>Dataset1_Raw!J325</f>
        <v>0.18</v>
      </c>
      <c r="K325" s="25">
        <f>IF(ISNUMBER(INDEX(Dataset2_Raw!$B$2:$B$611,$Q325)),INDEX(Dataset2_Raw!$B$2:$B$611,$Q325),"")</f>
        <v>0.2424</v>
      </c>
      <c r="L325" s="25">
        <f>IF(ISNUMBER(INDEX(Dataset2_Raw!$C$2:$C$611,$Q325)),INDEX(Dataset2_Raw!$C$2:$C$611,$Q325),"")</f>
        <v>0.55000000000000004</v>
      </c>
      <c r="M325" s="25">
        <f>IF(ISNUMBER(INDEX(Dataset2_Raw!$D$2:$D$611,$Q325)),INDEX(Dataset2_Raw!$D$2:$D$611,$Q325),"")</f>
        <v>0</v>
      </c>
      <c r="N325" s="23">
        <f>IF(ISNUMBER(INDEX(Dataset2_Raw!$E$2:$E$611,$Q325)),INDEX(Dataset2_Raw!$E$2:$E$611,$Q325),"")</f>
        <v>1</v>
      </c>
      <c r="O325" s="23">
        <f>IF(ISNUMBER(INDEX(Dataset2_Raw!$F$2:$F$611,$Q325)),INDEX(Dataset2_Raw!$F$2:$F$611,$Q325),"")</f>
        <v>26</v>
      </c>
      <c r="P325" s="23">
        <f>IF(ISNUMBER(INDEX(Dataset2_Raw!$G$2:$G$611,$Q325)),INDEX(Dataset2_Raw!$G$2:$G$611,$Q325),"")</f>
        <v>27</v>
      </c>
      <c r="Q325" s="23">
        <f>IFERROR(MATCH($A325,Dataset2_Raw!$A$2:$A$611,0),0)</f>
        <v>324</v>
      </c>
    </row>
    <row r="326" spans="1:17" x14ac:dyDescent="0.35">
      <c r="A326" s="23">
        <f>Dataset1_Raw!A326</f>
        <v>325</v>
      </c>
      <c r="B326" s="24">
        <f>Dataset1_Raw!B326</f>
        <v>40558</v>
      </c>
      <c r="C326" s="23">
        <f>Dataset1_Raw!C326</f>
        <v>1</v>
      </c>
      <c r="D326" s="23">
        <f>Dataset1_Raw!D326</f>
        <v>0</v>
      </c>
      <c r="E326" s="23">
        <f>Dataset1_Raw!E326</f>
        <v>1</v>
      </c>
      <c r="F326" s="23">
        <f>Dataset1_Raw!F326</f>
        <v>0</v>
      </c>
      <c r="G326" s="23" t="b">
        <f>Dataset1_Raw!G326</f>
        <v>0</v>
      </c>
      <c r="H326" s="23">
        <f>Dataset1_Raw!H326</f>
        <v>6</v>
      </c>
      <c r="I326" s="23">
        <f>Dataset1_Raw!I326</f>
        <v>1</v>
      </c>
      <c r="J326" s="25">
        <f>Dataset1_Raw!J326</f>
        <v>0.18</v>
      </c>
      <c r="K326" s="25">
        <f>IF(ISNUMBER(INDEX(Dataset2_Raw!$B$2:$B$611,$Q326)),INDEX(Dataset2_Raw!$B$2:$B$611,$Q326),"")</f>
        <v>0.2424</v>
      </c>
      <c r="L326" s="25">
        <f>IF(ISNUMBER(INDEX(Dataset2_Raw!$C$2:$C$611,$Q326)),INDEX(Dataset2_Raw!$C$2:$C$611,$Q326),"")</f>
        <v>0.55000000000000004</v>
      </c>
      <c r="M326" s="25">
        <f>IF(ISNUMBER(INDEX(Dataset2_Raw!$D$2:$D$611,$Q326)),INDEX(Dataset2_Raw!$D$2:$D$611,$Q326),"")</f>
        <v>0</v>
      </c>
      <c r="N326" s="23">
        <f>IF(ISNUMBER(INDEX(Dataset2_Raw!$E$2:$E$611,$Q326)),INDEX(Dataset2_Raw!$E$2:$E$611,$Q326),"")</f>
        <v>3</v>
      </c>
      <c r="O326" s="23">
        <f>IF(ISNUMBER(INDEX(Dataset2_Raw!$F$2:$F$611,$Q326)),INDEX(Dataset2_Raw!$F$2:$F$611,$Q326),"")</f>
        <v>25</v>
      </c>
      <c r="P326" s="23">
        <f>IF(ISNUMBER(INDEX(Dataset2_Raw!$G$2:$G$611,$Q326)),INDEX(Dataset2_Raw!$G$2:$G$611,$Q326),"")</f>
        <v>28</v>
      </c>
      <c r="Q326" s="23">
        <f>IFERROR(MATCH($A326,Dataset2_Raw!$A$2:$A$611,0),0)</f>
        <v>325</v>
      </c>
    </row>
    <row r="327" spans="1:17" x14ac:dyDescent="0.35">
      <c r="A327" s="23">
        <f>Dataset1_Raw!A327</f>
        <v>326</v>
      </c>
      <c r="B327" s="24">
        <f>Dataset1_Raw!B327</f>
        <v>40558</v>
      </c>
      <c r="C327" s="23">
        <f>Dataset1_Raw!C327</f>
        <v>1</v>
      </c>
      <c r="D327" s="23">
        <f>Dataset1_Raw!D327</f>
        <v>0</v>
      </c>
      <c r="E327" s="23">
        <f>Dataset1_Raw!E327</f>
        <v>1</v>
      </c>
      <c r="F327" s="23">
        <f>Dataset1_Raw!F327</f>
        <v>1</v>
      </c>
      <c r="G327" s="23" t="b">
        <f>Dataset1_Raw!G327</f>
        <v>0</v>
      </c>
      <c r="H327" s="23">
        <f>Dataset1_Raw!H327</f>
        <v>6</v>
      </c>
      <c r="I327" s="23">
        <f>Dataset1_Raw!I327</f>
        <v>2</v>
      </c>
      <c r="J327" s="25">
        <f>Dataset1_Raw!J327</f>
        <v>0.16</v>
      </c>
      <c r="K327" s="25">
        <f>IF(ISNUMBER(INDEX(Dataset2_Raw!$B$2:$B$611,$Q327)),INDEX(Dataset2_Raw!$B$2:$B$611,$Q327),"")</f>
        <v>0.19700000000000001</v>
      </c>
      <c r="L327" s="25">
        <f>IF(ISNUMBER(INDEX(Dataset2_Raw!$C$2:$C$611,$Q327)),INDEX(Dataset2_Raw!$C$2:$C$611,$Q327),"")</f>
        <v>0.59</v>
      </c>
      <c r="M327" s="25">
        <f>IF(ISNUMBER(INDEX(Dataset2_Raw!$D$2:$D$611,$Q327)),INDEX(Dataset2_Raw!$D$2:$D$611,$Q327),"")</f>
        <v>8.9599999999999999E-2</v>
      </c>
      <c r="N327" s="23">
        <f>IF(ISNUMBER(INDEX(Dataset2_Raw!$E$2:$E$611,$Q327)),INDEX(Dataset2_Raw!$E$2:$E$611,$Q327),"")</f>
        <v>2</v>
      </c>
      <c r="O327" s="23">
        <f>IF(ISNUMBER(INDEX(Dataset2_Raw!$F$2:$F$611,$Q327)),INDEX(Dataset2_Raw!$F$2:$F$611,$Q327),"")</f>
        <v>18</v>
      </c>
      <c r="P327" s="23">
        <f>IF(ISNUMBER(INDEX(Dataset2_Raw!$G$2:$G$611,$Q327)),INDEX(Dataset2_Raw!$G$2:$G$611,$Q327),"")</f>
        <v>20</v>
      </c>
      <c r="Q327" s="23">
        <f>IFERROR(MATCH($A327,Dataset2_Raw!$A$2:$A$611,0),0)</f>
        <v>326</v>
      </c>
    </row>
    <row r="328" spans="1:17" x14ac:dyDescent="0.35">
      <c r="A328" s="23">
        <f>Dataset1_Raw!A328</f>
        <v>327</v>
      </c>
      <c r="B328" s="24">
        <f>Dataset1_Raw!B328</f>
        <v>40558</v>
      </c>
      <c r="C328" s="23">
        <f>Dataset1_Raw!C328</f>
        <v>1</v>
      </c>
      <c r="D328" s="23">
        <f>Dataset1_Raw!D328</f>
        <v>0</v>
      </c>
      <c r="E328" s="23">
        <f>Dataset1_Raw!E328</f>
        <v>1</v>
      </c>
      <c r="F328" s="23">
        <f>Dataset1_Raw!F328</f>
        <v>2</v>
      </c>
      <c r="G328" s="23" t="b">
        <f>Dataset1_Raw!G328</f>
        <v>0</v>
      </c>
      <c r="H328" s="23">
        <f>Dataset1_Raw!H328</f>
        <v>6</v>
      </c>
      <c r="I328" s="23">
        <f>Dataset1_Raw!I328</f>
        <v>2</v>
      </c>
      <c r="J328" s="25">
        <f>Dataset1_Raw!J328</f>
        <v>0.16</v>
      </c>
      <c r="K328" s="25">
        <f>IF(ISNUMBER(INDEX(Dataset2_Raw!$B$2:$B$611,$Q328)),INDEX(Dataset2_Raw!$B$2:$B$611,$Q328),"")</f>
        <v>0.19700000000000001</v>
      </c>
      <c r="L328" s="25">
        <f>IF(ISNUMBER(INDEX(Dataset2_Raw!$C$2:$C$611,$Q328)),INDEX(Dataset2_Raw!$C$2:$C$611,$Q328),"")</f>
        <v>0.59</v>
      </c>
      <c r="M328" s="25">
        <f>IF(ISNUMBER(INDEX(Dataset2_Raw!$D$2:$D$611,$Q328)),INDEX(Dataset2_Raw!$D$2:$D$611,$Q328),"")</f>
        <v>8.9599999999999999E-2</v>
      </c>
      <c r="N328" s="23">
        <f>IF(ISNUMBER(INDEX(Dataset2_Raw!$E$2:$E$611,$Q328)),INDEX(Dataset2_Raw!$E$2:$E$611,$Q328),"")</f>
        <v>0</v>
      </c>
      <c r="O328" s="23">
        <f>IF(ISNUMBER(INDEX(Dataset2_Raw!$F$2:$F$611,$Q328)),INDEX(Dataset2_Raw!$F$2:$F$611,$Q328),"")</f>
        <v>12</v>
      </c>
      <c r="P328" s="23">
        <f>IF(ISNUMBER(INDEX(Dataset2_Raw!$G$2:$G$611,$Q328)),INDEX(Dataset2_Raw!$G$2:$G$611,$Q328),"")</f>
        <v>12</v>
      </c>
      <c r="Q328" s="23">
        <f>IFERROR(MATCH($A328,Dataset2_Raw!$A$2:$A$611,0),0)</f>
        <v>327</v>
      </c>
    </row>
    <row r="329" spans="1:17" x14ac:dyDescent="0.35">
      <c r="A329" s="23">
        <f>Dataset1_Raw!A329</f>
        <v>328</v>
      </c>
      <c r="B329" s="24">
        <f>Dataset1_Raw!B329</f>
        <v>40558</v>
      </c>
      <c r="C329" s="23">
        <f>Dataset1_Raw!C329</f>
        <v>1</v>
      </c>
      <c r="D329" s="23">
        <f>Dataset1_Raw!D329</f>
        <v>0</v>
      </c>
      <c r="E329" s="23">
        <f>Dataset1_Raw!E329</f>
        <v>1</v>
      </c>
      <c r="F329" s="23">
        <f>Dataset1_Raw!F329</f>
        <v>3</v>
      </c>
      <c r="G329" s="23" t="b">
        <f>Dataset1_Raw!G329</f>
        <v>0</v>
      </c>
      <c r="H329" s="23">
        <f>Dataset1_Raw!H329</f>
        <v>6</v>
      </c>
      <c r="I329" s="23">
        <f>Dataset1_Raw!I329</f>
        <v>2</v>
      </c>
      <c r="J329" s="25">
        <f>Dataset1_Raw!J329</f>
        <v>0.16</v>
      </c>
      <c r="K329" s="25">
        <f>IF(ISNUMBER(INDEX(Dataset2_Raw!$B$2:$B$611,$Q329)),INDEX(Dataset2_Raw!$B$2:$B$611,$Q329),"")</f>
        <v>0.2273</v>
      </c>
      <c r="L329" s="25">
        <f>IF(ISNUMBER(INDEX(Dataset2_Raw!$C$2:$C$611,$Q329)),INDEX(Dataset2_Raw!$C$2:$C$611,$Q329),"")</f>
        <v>0.59</v>
      </c>
      <c r="M329" s="25">
        <f>IF(ISNUMBER(INDEX(Dataset2_Raw!$D$2:$D$611,$Q329)),INDEX(Dataset2_Raw!$D$2:$D$611,$Q329),"")</f>
        <v>0</v>
      </c>
      <c r="N329" s="23">
        <f>IF(ISNUMBER(INDEX(Dataset2_Raw!$E$2:$E$611,$Q329)),INDEX(Dataset2_Raw!$E$2:$E$611,$Q329),"")</f>
        <v>1</v>
      </c>
      <c r="O329" s="23">
        <f>IF(ISNUMBER(INDEX(Dataset2_Raw!$F$2:$F$611,$Q329)),INDEX(Dataset2_Raw!$F$2:$F$611,$Q329),"")</f>
        <v>7</v>
      </c>
      <c r="P329" s="23">
        <f>IF(ISNUMBER(INDEX(Dataset2_Raw!$G$2:$G$611,$Q329)),INDEX(Dataset2_Raw!$G$2:$G$611,$Q329),"")</f>
        <v>8</v>
      </c>
      <c r="Q329" s="23">
        <f>IFERROR(MATCH($A329,Dataset2_Raw!$A$2:$A$611,0),0)</f>
        <v>328</v>
      </c>
    </row>
    <row r="330" spans="1:17" x14ac:dyDescent="0.35">
      <c r="A330" s="23">
        <f>Dataset1_Raw!A330</f>
        <v>329</v>
      </c>
      <c r="B330" s="24">
        <f>Dataset1_Raw!B330</f>
        <v>40558</v>
      </c>
      <c r="C330" s="23">
        <f>Dataset1_Raw!C330</f>
        <v>1</v>
      </c>
      <c r="D330" s="23">
        <f>Dataset1_Raw!D330</f>
        <v>0</v>
      </c>
      <c r="E330" s="23">
        <f>Dataset1_Raw!E330</f>
        <v>1</v>
      </c>
      <c r="F330" s="23">
        <f>Dataset1_Raw!F330</f>
        <v>4</v>
      </c>
      <c r="G330" s="23" t="b">
        <f>Dataset1_Raw!G330</f>
        <v>0</v>
      </c>
      <c r="H330" s="23">
        <f>Dataset1_Raw!H330</f>
        <v>6</v>
      </c>
      <c r="I330" s="23">
        <f>Dataset1_Raw!I330</f>
        <v>2</v>
      </c>
      <c r="J330" s="25">
        <f>Dataset1_Raw!J330</f>
        <v>0.16</v>
      </c>
      <c r="K330" s="25">
        <f>IF(ISNUMBER(INDEX(Dataset2_Raw!$B$2:$B$611,$Q330)),INDEX(Dataset2_Raw!$B$2:$B$611,$Q330),"")</f>
        <v>0.2273</v>
      </c>
      <c r="L330" s="25">
        <f>IF(ISNUMBER(INDEX(Dataset2_Raw!$C$2:$C$611,$Q330)),INDEX(Dataset2_Raw!$C$2:$C$611,$Q330),"")</f>
        <v>0.59</v>
      </c>
      <c r="M330" s="25">
        <f>IF(ISNUMBER(INDEX(Dataset2_Raw!$D$2:$D$611,$Q330)),INDEX(Dataset2_Raw!$D$2:$D$611,$Q330),"")</f>
        <v>0</v>
      </c>
      <c r="N330" s="23">
        <f>IF(ISNUMBER(INDEX(Dataset2_Raw!$E$2:$E$611,$Q330)),INDEX(Dataset2_Raw!$E$2:$E$611,$Q330),"")</f>
        <v>0</v>
      </c>
      <c r="O330" s="23">
        <f>IF(ISNUMBER(INDEX(Dataset2_Raw!$F$2:$F$611,$Q330)),INDEX(Dataset2_Raw!$F$2:$F$611,$Q330),"")</f>
        <v>5</v>
      </c>
      <c r="P330" s="23">
        <f>IF(ISNUMBER(INDEX(Dataset2_Raw!$G$2:$G$611,$Q330)),INDEX(Dataset2_Raw!$G$2:$G$611,$Q330),"")</f>
        <v>5</v>
      </c>
      <c r="Q330" s="23">
        <f>IFERROR(MATCH($A330,Dataset2_Raw!$A$2:$A$611,0),0)</f>
        <v>329</v>
      </c>
    </row>
    <row r="331" spans="1:17" x14ac:dyDescent="0.35">
      <c r="A331" s="23">
        <f>Dataset1_Raw!A331</f>
        <v>330</v>
      </c>
      <c r="B331" s="24">
        <f>Dataset1_Raw!B331</f>
        <v>40558</v>
      </c>
      <c r="C331" s="23">
        <f>Dataset1_Raw!C331</f>
        <v>1</v>
      </c>
      <c r="D331" s="23">
        <f>Dataset1_Raw!D331</f>
        <v>0</v>
      </c>
      <c r="E331" s="23">
        <f>Dataset1_Raw!E331</f>
        <v>1</v>
      </c>
      <c r="F331" s="23">
        <f>Dataset1_Raw!F331</f>
        <v>5</v>
      </c>
      <c r="G331" s="23" t="b">
        <f>Dataset1_Raw!G331</f>
        <v>0</v>
      </c>
      <c r="H331" s="23">
        <f>Dataset1_Raw!H331</f>
        <v>6</v>
      </c>
      <c r="I331" s="23">
        <f>Dataset1_Raw!I331</f>
        <v>1</v>
      </c>
      <c r="J331" s="25">
        <f>Dataset1_Raw!J331</f>
        <v>0.16</v>
      </c>
      <c r="K331" s="25">
        <f>IF(ISNUMBER(INDEX(Dataset2_Raw!$B$2:$B$611,$Q331)),INDEX(Dataset2_Raw!$B$2:$B$611,$Q331),"")</f>
        <v>0.2273</v>
      </c>
      <c r="L331" s="25">
        <f>IF(ISNUMBER(INDEX(Dataset2_Raw!$C$2:$C$611,$Q331)),INDEX(Dataset2_Raw!$C$2:$C$611,$Q331),"")</f>
        <v>0.59</v>
      </c>
      <c r="M331" s="25">
        <f>IF(ISNUMBER(INDEX(Dataset2_Raw!$D$2:$D$611,$Q331)),INDEX(Dataset2_Raw!$D$2:$D$611,$Q331),"")</f>
        <v>0</v>
      </c>
      <c r="N331" s="23">
        <f>IF(ISNUMBER(INDEX(Dataset2_Raw!$E$2:$E$611,$Q331)),INDEX(Dataset2_Raw!$E$2:$E$611,$Q331),"")</f>
        <v>0</v>
      </c>
      <c r="O331" s="23">
        <f>IF(ISNUMBER(INDEX(Dataset2_Raw!$F$2:$F$611,$Q331)),INDEX(Dataset2_Raw!$F$2:$F$611,$Q331),"")</f>
        <v>1</v>
      </c>
      <c r="P331" s="23">
        <f>IF(ISNUMBER(INDEX(Dataset2_Raw!$G$2:$G$611,$Q331)),INDEX(Dataset2_Raw!$G$2:$G$611,$Q331),"")</f>
        <v>1</v>
      </c>
      <c r="Q331" s="23">
        <f>IFERROR(MATCH($A331,Dataset2_Raw!$A$2:$A$611,0),0)</f>
        <v>330</v>
      </c>
    </row>
    <row r="332" spans="1:17" x14ac:dyDescent="0.35">
      <c r="A332" s="23">
        <f>Dataset1_Raw!A332</f>
        <v>331</v>
      </c>
      <c r="B332" s="24">
        <f>Dataset1_Raw!B332</f>
        <v>40558</v>
      </c>
      <c r="C332" s="23">
        <f>Dataset1_Raw!C332</f>
        <v>1</v>
      </c>
      <c r="D332" s="23">
        <f>Dataset1_Raw!D332</f>
        <v>0</v>
      </c>
      <c r="E332" s="23">
        <f>Dataset1_Raw!E332</f>
        <v>1</v>
      </c>
      <c r="F332" s="23">
        <f>Dataset1_Raw!F332</f>
        <v>6</v>
      </c>
      <c r="G332" s="23" t="b">
        <f>Dataset1_Raw!G332</f>
        <v>0</v>
      </c>
      <c r="H332" s="23">
        <f>Dataset1_Raw!H332</f>
        <v>6</v>
      </c>
      <c r="I332" s="23">
        <f>Dataset1_Raw!I332</f>
        <v>1</v>
      </c>
      <c r="J332" s="25">
        <f>Dataset1_Raw!J332</f>
        <v>0.14000000000000001</v>
      </c>
      <c r="K332" s="25">
        <f>IF(ISNUMBER(INDEX(Dataset2_Raw!$B$2:$B$611,$Q332)),INDEX(Dataset2_Raw!$B$2:$B$611,$Q332),"")</f>
        <v>0.16669999999999999</v>
      </c>
      <c r="L332" s="25">
        <f>IF(ISNUMBER(INDEX(Dataset2_Raw!$C$2:$C$611,$Q332)),INDEX(Dataset2_Raw!$C$2:$C$611,$Q332),"")</f>
        <v>0.63</v>
      </c>
      <c r="M332" s="25">
        <f>IF(ISNUMBER(INDEX(Dataset2_Raw!$D$2:$D$611,$Q332)),INDEX(Dataset2_Raw!$D$2:$D$611,$Q332),"")</f>
        <v>0.1045</v>
      </c>
      <c r="N332" s="23">
        <f>IF(ISNUMBER(INDEX(Dataset2_Raw!$E$2:$E$611,$Q332)),INDEX(Dataset2_Raw!$E$2:$E$611,$Q332),"")</f>
        <v>1</v>
      </c>
      <c r="O332" s="23">
        <f>IF(ISNUMBER(INDEX(Dataset2_Raw!$F$2:$F$611,$Q332)),INDEX(Dataset2_Raw!$F$2:$F$611,$Q332),"")</f>
        <v>2</v>
      </c>
      <c r="P332" s="23">
        <f>IF(ISNUMBER(INDEX(Dataset2_Raw!$G$2:$G$611,$Q332)),INDEX(Dataset2_Raw!$G$2:$G$611,$Q332),"")</f>
        <v>3</v>
      </c>
      <c r="Q332" s="23">
        <f>IFERROR(MATCH($A332,Dataset2_Raw!$A$2:$A$611,0),0)</f>
        <v>331</v>
      </c>
    </row>
    <row r="333" spans="1:17" x14ac:dyDescent="0.35">
      <c r="A333" s="23">
        <f>Dataset1_Raw!A333</f>
        <v>332</v>
      </c>
      <c r="B333" s="24">
        <f>Dataset1_Raw!B333</f>
        <v>40558</v>
      </c>
      <c r="C333" s="23">
        <f>Dataset1_Raw!C333</f>
        <v>1</v>
      </c>
      <c r="D333" s="23">
        <f>Dataset1_Raw!D333</f>
        <v>0</v>
      </c>
      <c r="E333" s="23">
        <f>Dataset1_Raw!E333</f>
        <v>1</v>
      </c>
      <c r="F333" s="23">
        <f>Dataset1_Raw!F333</f>
        <v>7</v>
      </c>
      <c r="G333" s="23" t="b">
        <f>Dataset1_Raw!G333</f>
        <v>0</v>
      </c>
      <c r="H333" s="23">
        <f>Dataset1_Raw!H333</f>
        <v>6</v>
      </c>
      <c r="I333" s="23">
        <f>Dataset1_Raw!I333</f>
        <v>1</v>
      </c>
      <c r="J333" s="25">
        <f>Dataset1_Raw!J333</f>
        <v>0.14000000000000001</v>
      </c>
      <c r="K333" s="25">
        <f>IF(ISNUMBER(INDEX(Dataset2_Raw!$B$2:$B$611,$Q333)),INDEX(Dataset2_Raw!$B$2:$B$611,$Q333),"")</f>
        <v>0.21210000000000001</v>
      </c>
      <c r="L333" s="25">
        <f>IF(ISNUMBER(INDEX(Dataset2_Raw!$C$2:$C$611,$Q333)),INDEX(Dataset2_Raw!$C$2:$C$611,$Q333),"")</f>
        <v>0.63</v>
      </c>
      <c r="M333" s="25">
        <f>IF(ISNUMBER(INDEX(Dataset2_Raw!$D$2:$D$611,$Q333)),INDEX(Dataset2_Raw!$D$2:$D$611,$Q333),"")</f>
        <v>0</v>
      </c>
      <c r="N333" s="23">
        <f>IF(ISNUMBER(INDEX(Dataset2_Raw!$E$2:$E$611,$Q333)),INDEX(Dataset2_Raw!$E$2:$E$611,$Q333),"")</f>
        <v>1</v>
      </c>
      <c r="O333" s="23">
        <f>IF(ISNUMBER(INDEX(Dataset2_Raw!$F$2:$F$611,$Q333)),INDEX(Dataset2_Raw!$F$2:$F$611,$Q333),"")</f>
        <v>9</v>
      </c>
      <c r="P333" s="23">
        <f>IF(ISNUMBER(INDEX(Dataset2_Raw!$G$2:$G$611,$Q333)),INDEX(Dataset2_Raw!$G$2:$G$611,$Q333),"")</f>
        <v>10</v>
      </c>
      <c r="Q333" s="23">
        <f>IFERROR(MATCH($A333,Dataset2_Raw!$A$2:$A$611,0),0)</f>
        <v>332</v>
      </c>
    </row>
    <row r="334" spans="1:17" x14ac:dyDescent="0.35">
      <c r="A334" s="23">
        <f>Dataset1_Raw!A334</f>
        <v>333</v>
      </c>
      <c r="B334" s="24">
        <f>Dataset1_Raw!B334</f>
        <v>40558</v>
      </c>
      <c r="C334" s="23">
        <f>Dataset1_Raw!C334</f>
        <v>1</v>
      </c>
      <c r="D334" s="23">
        <f>Dataset1_Raw!D334</f>
        <v>0</v>
      </c>
      <c r="E334" s="23">
        <f>Dataset1_Raw!E334</f>
        <v>1</v>
      </c>
      <c r="F334" s="23">
        <f>Dataset1_Raw!F334</f>
        <v>8</v>
      </c>
      <c r="G334" s="23" t="b">
        <f>Dataset1_Raw!G334</f>
        <v>0</v>
      </c>
      <c r="H334" s="23">
        <f>Dataset1_Raw!H334</f>
        <v>6</v>
      </c>
      <c r="I334" s="23">
        <f>Dataset1_Raw!I334</f>
        <v>1</v>
      </c>
      <c r="J334" s="25">
        <f>Dataset1_Raw!J334</f>
        <v>0.14000000000000001</v>
      </c>
      <c r="K334" s="25">
        <f>IF(ISNUMBER(INDEX(Dataset2_Raw!$B$2:$B$611,$Q334)),INDEX(Dataset2_Raw!$B$2:$B$611,$Q334),"")</f>
        <v>0.1515</v>
      </c>
      <c r="L334" s="25">
        <f>IF(ISNUMBER(INDEX(Dataset2_Raw!$C$2:$C$611,$Q334)),INDEX(Dataset2_Raw!$C$2:$C$611,$Q334),"")</f>
        <v>0.63</v>
      </c>
      <c r="M334" s="25">
        <f>IF(ISNUMBER(INDEX(Dataset2_Raw!$D$2:$D$611,$Q334)),INDEX(Dataset2_Raw!$D$2:$D$611,$Q334),"")</f>
        <v>0.1343</v>
      </c>
      <c r="N334" s="23">
        <f>IF(ISNUMBER(INDEX(Dataset2_Raw!$E$2:$E$611,$Q334)),INDEX(Dataset2_Raw!$E$2:$E$611,$Q334),"")</f>
        <v>1</v>
      </c>
      <c r="O334" s="23">
        <f>IF(ISNUMBER(INDEX(Dataset2_Raw!$F$2:$F$611,$Q334)),INDEX(Dataset2_Raw!$F$2:$F$611,$Q334),"")</f>
        <v>22</v>
      </c>
      <c r="P334" s="23">
        <f>IF(ISNUMBER(INDEX(Dataset2_Raw!$G$2:$G$611,$Q334)),INDEX(Dataset2_Raw!$G$2:$G$611,$Q334),"")</f>
        <v>23</v>
      </c>
      <c r="Q334" s="23">
        <f>IFERROR(MATCH($A334,Dataset2_Raw!$A$2:$A$611,0),0)</f>
        <v>333</v>
      </c>
    </row>
    <row r="335" spans="1:17" x14ac:dyDescent="0.35">
      <c r="A335" s="23">
        <f>Dataset1_Raw!A335</f>
        <v>334</v>
      </c>
      <c r="B335" s="24">
        <f>Dataset1_Raw!B335</f>
        <v>40558</v>
      </c>
      <c r="C335" s="23">
        <f>Dataset1_Raw!C335</f>
        <v>1</v>
      </c>
      <c r="D335" s="23">
        <f>Dataset1_Raw!D335</f>
        <v>0</v>
      </c>
      <c r="E335" s="23">
        <f>Dataset1_Raw!E335</f>
        <v>1</v>
      </c>
      <c r="F335" s="23">
        <f>Dataset1_Raw!F335</f>
        <v>9</v>
      </c>
      <c r="G335" s="23" t="b">
        <f>Dataset1_Raw!G335</f>
        <v>0</v>
      </c>
      <c r="H335" s="23">
        <f>Dataset1_Raw!H335</f>
        <v>6</v>
      </c>
      <c r="I335" s="23">
        <f>Dataset1_Raw!I335</f>
        <v>1</v>
      </c>
      <c r="J335" s="25">
        <f>Dataset1_Raw!J335</f>
        <v>0.16</v>
      </c>
      <c r="K335" s="25">
        <f>IF(ISNUMBER(INDEX(Dataset2_Raw!$B$2:$B$611,$Q335)),INDEX(Dataset2_Raw!$B$2:$B$611,$Q335),"")</f>
        <v>0.18179999999999999</v>
      </c>
      <c r="L335" s="25">
        <f>IF(ISNUMBER(INDEX(Dataset2_Raw!$C$2:$C$611,$Q335)),INDEX(Dataset2_Raw!$C$2:$C$611,$Q335),"")</f>
        <v>0.64</v>
      </c>
      <c r="M335" s="25">
        <f>IF(ISNUMBER(INDEX(Dataset2_Raw!$D$2:$D$611,$Q335)),INDEX(Dataset2_Raw!$D$2:$D$611,$Q335),"")</f>
        <v>0.1343</v>
      </c>
      <c r="N335" s="23">
        <f>IF(ISNUMBER(INDEX(Dataset2_Raw!$E$2:$E$611,$Q335)),INDEX(Dataset2_Raw!$E$2:$E$611,$Q335),"")</f>
        <v>2</v>
      </c>
      <c r="O335" s="23">
        <f>IF(ISNUMBER(INDEX(Dataset2_Raw!$F$2:$F$611,$Q335)),INDEX(Dataset2_Raw!$F$2:$F$611,$Q335),"")</f>
        <v>31</v>
      </c>
      <c r="P335" s="23">
        <f>IF(ISNUMBER(INDEX(Dataset2_Raw!$G$2:$G$611,$Q335)),INDEX(Dataset2_Raw!$G$2:$G$611,$Q335),"")</f>
        <v>33</v>
      </c>
      <c r="Q335" s="23">
        <f>IFERROR(MATCH($A335,Dataset2_Raw!$A$2:$A$611,0),0)</f>
        <v>334</v>
      </c>
    </row>
    <row r="336" spans="1:17" x14ac:dyDescent="0.35">
      <c r="A336" s="23">
        <f>Dataset1_Raw!A336</f>
        <v>335</v>
      </c>
      <c r="B336" s="24">
        <f>Dataset1_Raw!B336</f>
        <v>40558</v>
      </c>
      <c r="C336" s="23">
        <f>Dataset1_Raw!C336</f>
        <v>1</v>
      </c>
      <c r="D336" s="23">
        <f>Dataset1_Raw!D336</f>
        <v>0</v>
      </c>
      <c r="E336" s="23">
        <f>Dataset1_Raw!E336</f>
        <v>1</v>
      </c>
      <c r="F336" s="23">
        <f>Dataset1_Raw!F336</f>
        <v>10</v>
      </c>
      <c r="G336" s="23" t="b">
        <f>Dataset1_Raw!G336</f>
        <v>0</v>
      </c>
      <c r="H336" s="23">
        <f>Dataset1_Raw!H336</f>
        <v>6</v>
      </c>
      <c r="I336" s="23">
        <f>Dataset1_Raw!I336</f>
        <v>1</v>
      </c>
      <c r="J336" s="25">
        <f>Dataset1_Raw!J336</f>
        <v>0.18</v>
      </c>
      <c r="K336" s="25">
        <f>IF(ISNUMBER(INDEX(Dataset2_Raw!$B$2:$B$611,$Q336)),INDEX(Dataset2_Raw!$B$2:$B$611,$Q336),"")</f>
        <v>0.19700000000000001</v>
      </c>
      <c r="L336" s="25">
        <f>IF(ISNUMBER(INDEX(Dataset2_Raw!$C$2:$C$611,$Q336)),INDEX(Dataset2_Raw!$C$2:$C$611,$Q336),"")</f>
        <v>0.59</v>
      </c>
      <c r="M336" s="25">
        <f>IF(ISNUMBER(INDEX(Dataset2_Raw!$D$2:$D$611,$Q336)),INDEX(Dataset2_Raw!$D$2:$D$611,$Q336),"")</f>
        <v>0.16420000000000001</v>
      </c>
      <c r="N336" s="23">
        <f>IF(ISNUMBER(INDEX(Dataset2_Raw!$E$2:$E$611,$Q336)),INDEX(Dataset2_Raw!$E$2:$E$611,$Q336),"")</f>
        <v>2</v>
      </c>
      <c r="O336" s="23">
        <f>IF(ISNUMBER(INDEX(Dataset2_Raw!$F$2:$F$611,$Q336)),INDEX(Dataset2_Raw!$F$2:$F$611,$Q336),"")</f>
        <v>57</v>
      </c>
      <c r="P336" s="23">
        <f>IF(ISNUMBER(INDEX(Dataset2_Raw!$G$2:$G$611,$Q336)),INDEX(Dataset2_Raw!$G$2:$G$611,$Q336),"")</f>
        <v>59</v>
      </c>
      <c r="Q336" s="23">
        <f>IFERROR(MATCH($A336,Dataset2_Raw!$A$2:$A$611,0),0)</f>
        <v>335</v>
      </c>
    </row>
    <row r="337" spans="1:17" x14ac:dyDescent="0.35">
      <c r="A337" s="23">
        <f>Dataset1_Raw!A337</f>
        <v>336</v>
      </c>
      <c r="B337" s="24">
        <f>Dataset1_Raw!B337</f>
        <v>40558</v>
      </c>
      <c r="C337" s="23">
        <f>Dataset1_Raw!C337</f>
        <v>1</v>
      </c>
      <c r="D337" s="23">
        <f>Dataset1_Raw!D337</f>
        <v>0</v>
      </c>
      <c r="E337" s="23">
        <f>Dataset1_Raw!E337</f>
        <v>1</v>
      </c>
      <c r="F337" s="23">
        <f>Dataset1_Raw!F337</f>
        <v>11</v>
      </c>
      <c r="G337" s="23" t="b">
        <f>Dataset1_Raw!G337</f>
        <v>0</v>
      </c>
      <c r="H337" s="23">
        <f>Dataset1_Raw!H337</f>
        <v>6</v>
      </c>
      <c r="I337" s="23">
        <f>Dataset1_Raw!I337</f>
        <v>1</v>
      </c>
      <c r="J337" s="25">
        <f>Dataset1_Raw!J337</f>
        <v>0.2</v>
      </c>
      <c r="K337" s="25">
        <f>IF(ISNUMBER(INDEX(Dataset2_Raw!$B$2:$B$611,$Q337)),INDEX(Dataset2_Raw!$B$2:$B$611,$Q337),"")</f>
        <v>0.19700000000000001</v>
      </c>
      <c r="L337" s="25">
        <f>IF(ISNUMBER(INDEX(Dataset2_Raw!$C$2:$C$611,$Q337)),INDEX(Dataset2_Raw!$C$2:$C$611,$Q337),"")</f>
        <v>0.55000000000000004</v>
      </c>
      <c r="M337" s="25">
        <f>IF(ISNUMBER(INDEX(Dataset2_Raw!$D$2:$D$611,$Q337)),INDEX(Dataset2_Raw!$D$2:$D$611,$Q337),"")</f>
        <v>0.22389999999999999</v>
      </c>
      <c r="N337" s="23">
        <f>IF(ISNUMBER(INDEX(Dataset2_Raw!$E$2:$E$611,$Q337)),INDEX(Dataset2_Raw!$E$2:$E$611,$Q337),"")</f>
        <v>18</v>
      </c>
      <c r="O337" s="23">
        <f>IF(ISNUMBER(INDEX(Dataset2_Raw!$F$2:$F$611,$Q337)),INDEX(Dataset2_Raw!$F$2:$F$611,$Q337),"")</f>
        <v>54</v>
      </c>
      <c r="P337" s="23">
        <f>IF(ISNUMBER(INDEX(Dataset2_Raw!$G$2:$G$611,$Q337)),INDEX(Dataset2_Raw!$G$2:$G$611,$Q337),"")</f>
        <v>72</v>
      </c>
      <c r="Q337" s="23">
        <f>IFERROR(MATCH($A337,Dataset2_Raw!$A$2:$A$611,0),0)</f>
        <v>336</v>
      </c>
    </row>
    <row r="338" spans="1:17" x14ac:dyDescent="0.35">
      <c r="A338" s="23">
        <f>Dataset1_Raw!A338</f>
        <v>337</v>
      </c>
      <c r="B338" s="24">
        <f>Dataset1_Raw!B338</f>
        <v>40558</v>
      </c>
      <c r="C338" s="23">
        <f>Dataset1_Raw!C338</f>
        <v>1</v>
      </c>
      <c r="D338" s="23">
        <f>Dataset1_Raw!D338</f>
        <v>0</v>
      </c>
      <c r="E338" s="23">
        <f>Dataset1_Raw!E338</f>
        <v>1</v>
      </c>
      <c r="F338" s="23">
        <f>Dataset1_Raw!F338</f>
        <v>12</v>
      </c>
      <c r="G338" s="23" t="b">
        <f>Dataset1_Raw!G338</f>
        <v>0</v>
      </c>
      <c r="H338" s="23">
        <f>Dataset1_Raw!H338</f>
        <v>6</v>
      </c>
      <c r="I338" s="23">
        <f>Dataset1_Raw!I338</f>
        <v>1</v>
      </c>
      <c r="J338" s="25">
        <f>Dataset1_Raw!J338</f>
        <v>0.24</v>
      </c>
      <c r="K338" s="25">
        <f>IF(ISNUMBER(INDEX(Dataset2_Raw!$B$2:$B$611,$Q338)),INDEX(Dataset2_Raw!$B$2:$B$611,$Q338),"")</f>
        <v>0.2273</v>
      </c>
      <c r="L338" s="25">
        <f>IF(ISNUMBER(INDEX(Dataset2_Raw!$C$2:$C$611,$Q338)),INDEX(Dataset2_Raw!$C$2:$C$611,$Q338),"")</f>
        <v>0.48</v>
      </c>
      <c r="M338" s="25">
        <f>IF(ISNUMBER(INDEX(Dataset2_Raw!$D$2:$D$611,$Q338)),INDEX(Dataset2_Raw!$D$2:$D$611,$Q338),"")</f>
        <v>0.22389999999999999</v>
      </c>
      <c r="N338" s="23">
        <f>IF(ISNUMBER(INDEX(Dataset2_Raw!$E$2:$E$611,$Q338)),INDEX(Dataset2_Raw!$E$2:$E$611,$Q338),"")</f>
        <v>15</v>
      </c>
      <c r="O338" s="23">
        <f>IF(ISNUMBER(INDEX(Dataset2_Raw!$F$2:$F$611,$Q338)),INDEX(Dataset2_Raw!$F$2:$F$611,$Q338),"")</f>
        <v>74</v>
      </c>
      <c r="P338" s="23">
        <f>IF(ISNUMBER(INDEX(Dataset2_Raw!$G$2:$G$611,$Q338)),INDEX(Dataset2_Raw!$G$2:$G$611,$Q338),"")</f>
        <v>89</v>
      </c>
      <c r="Q338" s="23">
        <f>IFERROR(MATCH($A338,Dataset2_Raw!$A$2:$A$611,0),0)</f>
        <v>337</v>
      </c>
    </row>
    <row r="339" spans="1:17" x14ac:dyDescent="0.35">
      <c r="A339" s="23">
        <f>Dataset1_Raw!A339</f>
        <v>338</v>
      </c>
      <c r="B339" s="24">
        <f>Dataset1_Raw!B339</f>
        <v>40558</v>
      </c>
      <c r="C339" s="23">
        <f>Dataset1_Raw!C339</f>
        <v>1</v>
      </c>
      <c r="D339" s="23">
        <f>Dataset1_Raw!D339</f>
        <v>0</v>
      </c>
      <c r="E339" s="23">
        <f>Dataset1_Raw!E339</f>
        <v>1</v>
      </c>
      <c r="F339" s="23">
        <f>Dataset1_Raw!F339</f>
        <v>13</v>
      </c>
      <c r="G339" s="23" t="b">
        <f>Dataset1_Raw!G339</f>
        <v>0</v>
      </c>
      <c r="H339" s="23">
        <f>Dataset1_Raw!H339</f>
        <v>6</v>
      </c>
      <c r="I339" s="23">
        <f>Dataset1_Raw!I339</f>
        <v>1</v>
      </c>
      <c r="J339" s="25">
        <f>Dataset1_Raw!J339</f>
        <v>0.28000000000000003</v>
      </c>
      <c r="K339" s="25">
        <f>IF(ISNUMBER(INDEX(Dataset2_Raw!$B$2:$B$611,$Q339)),INDEX(Dataset2_Raw!$B$2:$B$611,$Q339),"")</f>
        <v>0.2576</v>
      </c>
      <c r="L339" s="25">
        <f>IF(ISNUMBER(INDEX(Dataset2_Raw!$C$2:$C$611,$Q339)),INDEX(Dataset2_Raw!$C$2:$C$611,$Q339),"")</f>
        <v>0.38</v>
      </c>
      <c r="M339" s="25">
        <f>IF(ISNUMBER(INDEX(Dataset2_Raw!$D$2:$D$611,$Q339)),INDEX(Dataset2_Raw!$D$2:$D$611,$Q339),"")</f>
        <v>0.29849999999999999</v>
      </c>
      <c r="N339" s="23">
        <f>IF(ISNUMBER(INDEX(Dataset2_Raw!$E$2:$E$611,$Q339)),INDEX(Dataset2_Raw!$E$2:$E$611,$Q339),"")</f>
        <v>21</v>
      </c>
      <c r="O339" s="23">
        <f>IF(ISNUMBER(INDEX(Dataset2_Raw!$F$2:$F$611,$Q339)),INDEX(Dataset2_Raw!$F$2:$F$611,$Q339),"")</f>
        <v>80</v>
      </c>
      <c r="P339" s="23">
        <f>IF(ISNUMBER(INDEX(Dataset2_Raw!$G$2:$G$611,$Q339)),INDEX(Dataset2_Raw!$G$2:$G$611,$Q339),"")</f>
        <v>101</v>
      </c>
      <c r="Q339" s="23">
        <f>IFERROR(MATCH($A339,Dataset2_Raw!$A$2:$A$611,0),0)</f>
        <v>338</v>
      </c>
    </row>
    <row r="340" spans="1:17" x14ac:dyDescent="0.35">
      <c r="A340" s="23">
        <f>Dataset1_Raw!A340</f>
        <v>339</v>
      </c>
      <c r="B340" s="24">
        <f>Dataset1_Raw!B340</f>
        <v>40558</v>
      </c>
      <c r="C340" s="23">
        <f>Dataset1_Raw!C340</f>
        <v>1</v>
      </c>
      <c r="D340" s="23">
        <f>Dataset1_Raw!D340</f>
        <v>0</v>
      </c>
      <c r="E340" s="23">
        <f>Dataset1_Raw!E340</f>
        <v>1</v>
      </c>
      <c r="F340" s="23">
        <f>Dataset1_Raw!F340</f>
        <v>14</v>
      </c>
      <c r="G340" s="23" t="b">
        <f>Dataset1_Raw!G340</f>
        <v>0</v>
      </c>
      <c r="H340" s="23">
        <f>Dataset1_Raw!H340</f>
        <v>6</v>
      </c>
      <c r="I340" s="23">
        <f>Dataset1_Raw!I340</f>
        <v>1</v>
      </c>
      <c r="J340" s="25">
        <f>Dataset1_Raw!J340</f>
        <v>0.3</v>
      </c>
      <c r="K340" s="25">
        <f>IF(ISNUMBER(INDEX(Dataset2_Raw!$B$2:$B$611,$Q340)),INDEX(Dataset2_Raw!$B$2:$B$611,$Q340),"")</f>
        <v>0.28789999999999999</v>
      </c>
      <c r="L340" s="25">
        <f>IF(ISNUMBER(INDEX(Dataset2_Raw!$C$2:$C$611,$Q340)),INDEX(Dataset2_Raw!$C$2:$C$611,$Q340),"")</f>
        <v>0.39</v>
      </c>
      <c r="M340" s="25">
        <f>IF(ISNUMBER(INDEX(Dataset2_Raw!$D$2:$D$611,$Q340)),INDEX(Dataset2_Raw!$D$2:$D$611,$Q340),"")</f>
        <v>0.28360000000000002</v>
      </c>
      <c r="N340" s="23">
        <f>IF(ISNUMBER(INDEX(Dataset2_Raw!$E$2:$E$611,$Q340)),INDEX(Dataset2_Raw!$E$2:$E$611,$Q340),"")</f>
        <v>26</v>
      </c>
      <c r="O340" s="23">
        <f>IF(ISNUMBER(INDEX(Dataset2_Raw!$F$2:$F$611,$Q340)),INDEX(Dataset2_Raw!$F$2:$F$611,$Q340),"")</f>
        <v>92</v>
      </c>
      <c r="P340" s="23">
        <f>IF(ISNUMBER(INDEX(Dataset2_Raw!$G$2:$G$611,$Q340)),INDEX(Dataset2_Raw!$G$2:$G$611,$Q340),"")</f>
        <v>118</v>
      </c>
      <c r="Q340" s="23">
        <f>IFERROR(MATCH($A340,Dataset2_Raw!$A$2:$A$611,0),0)</f>
        <v>339</v>
      </c>
    </row>
    <row r="341" spans="1:17" x14ac:dyDescent="0.35">
      <c r="A341" s="23">
        <f>Dataset1_Raw!A341</f>
        <v>340</v>
      </c>
      <c r="B341" s="24">
        <f>Dataset1_Raw!B341</f>
        <v>40558</v>
      </c>
      <c r="C341" s="23">
        <f>Dataset1_Raw!C341</f>
        <v>1</v>
      </c>
      <c r="D341" s="23">
        <f>Dataset1_Raw!D341</f>
        <v>0</v>
      </c>
      <c r="E341" s="23">
        <f>Dataset1_Raw!E341</f>
        <v>1</v>
      </c>
      <c r="F341" s="23">
        <f>Dataset1_Raw!F341</f>
        <v>15</v>
      </c>
      <c r="G341" s="23" t="b">
        <f>Dataset1_Raw!G341</f>
        <v>0</v>
      </c>
      <c r="H341" s="23">
        <f>Dataset1_Raw!H341</f>
        <v>6</v>
      </c>
      <c r="I341" s="23">
        <f>Dataset1_Raw!I341</f>
        <v>2</v>
      </c>
      <c r="J341" s="25">
        <f>Dataset1_Raw!J341</f>
        <v>0.32</v>
      </c>
      <c r="K341" s="25">
        <f>IF(ISNUMBER(INDEX(Dataset2_Raw!$B$2:$B$611,$Q341)),INDEX(Dataset2_Raw!$B$2:$B$611,$Q341),"")</f>
        <v>0.31819999999999998</v>
      </c>
      <c r="L341" s="25">
        <f>IF(ISNUMBER(INDEX(Dataset2_Raw!$C$2:$C$611,$Q341)),INDEX(Dataset2_Raw!$C$2:$C$611,$Q341),"")</f>
        <v>0.36</v>
      </c>
      <c r="M341" s="25">
        <f>IF(ISNUMBER(INDEX(Dataset2_Raw!$D$2:$D$611,$Q341)),INDEX(Dataset2_Raw!$D$2:$D$611,$Q341),"")</f>
        <v>0.19400000000000001</v>
      </c>
      <c r="N341" s="23">
        <f>IF(ISNUMBER(INDEX(Dataset2_Raw!$E$2:$E$611,$Q341)),INDEX(Dataset2_Raw!$E$2:$E$611,$Q341),"")</f>
        <v>21</v>
      </c>
      <c r="O341" s="23">
        <f>IF(ISNUMBER(INDEX(Dataset2_Raw!$F$2:$F$611,$Q341)),INDEX(Dataset2_Raw!$F$2:$F$611,$Q341),"")</f>
        <v>108</v>
      </c>
      <c r="P341" s="23">
        <f>IF(ISNUMBER(INDEX(Dataset2_Raw!$G$2:$G$611,$Q341)),INDEX(Dataset2_Raw!$G$2:$G$611,$Q341),"")</f>
        <v>129</v>
      </c>
      <c r="Q341" s="23">
        <f>IFERROR(MATCH($A341,Dataset2_Raw!$A$2:$A$611,0),0)</f>
        <v>340</v>
      </c>
    </row>
    <row r="342" spans="1:17" x14ac:dyDescent="0.35">
      <c r="A342" s="23">
        <f>Dataset1_Raw!A342</f>
        <v>341</v>
      </c>
      <c r="B342" s="24">
        <f>Dataset1_Raw!B342</f>
        <v>40558</v>
      </c>
      <c r="C342" s="23">
        <f>Dataset1_Raw!C342</f>
        <v>1</v>
      </c>
      <c r="D342" s="23">
        <f>Dataset1_Raw!D342</f>
        <v>0</v>
      </c>
      <c r="E342" s="23">
        <f>Dataset1_Raw!E342</f>
        <v>1</v>
      </c>
      <c r="F342" s="23">
        <f>Dataset1_Raw!F342</f>
        <v>16</v>
      </c>
      <c r="G342" s="23" t="b">
        <f>Dataset1_Raw!G342</f>
        <v>0</v>
      </c>
      <c r="H342" s="23">
        <f>Dataset1_Raw!H342</f>
        <v>6</v>
      </c>
      <c r="I342" s="23">
        <f>Dataset1_Raw!I342</f>
        <v>2</v>
      </c>
      <c r="J342" s="25">
        <f>Dataset1_Raw!J342</f>
        <v>0.34</v>
      </c>
      <c r="K342" s="25">
        <f>IF(ISNUMBER(INDEX(Dataset2_Raw!$B$2:$B$611,$Q342)),INDEX(Dataset2_Raw!$B$2:$B$611,$Q342),"")</f>
        <v>0.33329999999999999</v>
      </c>
      <c r="L342" s="25">
        <f>IF(ISNUMBER(INDEX(Dataset2_Raw!$C$2:$C$611,$Q342)),INDEX(Dataset2_Raw!$C$2:$C$611,$Q342),"")</f>
        <v>0.34</v>
      </c>
      <c r="M342" s="25">
        <f>IF(ISNUMBER(INDEX(Dataset2_Raw!$D$2:$D$611,$Q342)),INDEX(Dataset2_Raw!$D$2:$D$611,$Q342),"")</f>
        <v>0.19400000000000001</v>
      </c>
      <c r="N342" s="23">
        <f>IF(ISNUMBER(INDEX(Dataset2_Raw!$E$2:$E$611,$Q342)),INDEX(Dataset2_Raw!$E$2:$E$611,$Q342),"")</f>
        <v>33</v>
      </c>
      <c r="O342" s="23">
        <f>IF(ISNUMBER(INDEX(Dataset2_Raw!$F$2:$F$611,$Q342)),INDEX(Dataset2_Raw!$F$2:$F$611,$Q342),"")</f>
        <v>95</v>
      </c>
      <c r="P342" s="23">
        <f>IF(ISNUMBER(INDEX(Dataset2_Raw!$G$2:$G$611,$Q342)),INDEX(Dataset2_Raw!$G$2:$G$611,$Q342),"")</f>
        <v>128</v>
      </c>
      <c r="Q342" s="23">
        <f>IFERROR(MATCH($A342,Dataset2_Raw!$A$2:$A$611,0),0)</f>
        <v>341</v>
      </c>
    </row>
    <row r="343" spans="1:17" x14ac:dyDescent="0.35">
      <c r="A343" s="23">
        <f>Dataset1_Raw!A343</f>
        <v>342</v>
      </c>
      <c r="B343" s="24">
        <f>Dataset1_Raw!B343</f>
        <v>40558</v>
      </c>
      <c r="C343" s="23">
        <f>Dataset1_Raw!C343</f>
        <v>1</v>
      </c>
      <c r="D343" s="23">
        <f>Dataset1_Raw!D343</f>
        <v>0</v>
      </c>
      <c r="E343" s="23">
        <f>Dataset1_Raw!E343</f>
        <v>1</v>
      </c>
      <c r="F343" s="23">
        <f>Dataset1_Raw!F343</f>
        <v>17</v>
      </c>
      <c r="G343" s="23" t="b">
        <f>Dataset1_Raw!G343</f>
        <v>0</v>
      </c>
      <c r="H343" s="23">
        <f>Dataset1_Raw!H343</f>
        <v>6</v>
      </c>
      <c r="I343" s="23">
        <f>Dataset1_Raw!I343</f>
        <v>2</v>
      </c>
      <c r="J343" s="25">
        <f>Dataset1_Raw!J343</f>
        <v>0.32</v>
      </c>
      <c r="K343" s="25">
        <f>IF(ISNUMBER(INDEX(Dataset2_Raw!$B$2:$B$611,$Q343)),INDEX(Dataset2_Raw!$B$2:$B$611,$Q343),"")</f>
        <v>0.30299999999999999</v>
      </c>
      <c r="L343" s="25">
        <f>IF(ISNUMBER(INDEX(Dataset2_Raw!$C$2:$C$611,$Q343)),INDEX(Dataset2_Raw!$C$2:$C$611,$Q343),"")</f>
        <v>0.36</v>
      </c>
      <c r="M343" s="25">
        <f>IF(ISNUMBER(INDEX(Dataset2_Raw!$D$2:$D$611,$Q343)),INDEX(Dataset2_Raw!$D$2:$D$611,$Q343),"")</f>
        <v>0.28360000000000002</v>
      </c>
      <c r="N343" s="23">
        <f>IF(ISNUMBER(INDEX(Dataset2_Raw!$E$2:$E$611,$Q343)),INDEX(Dataset2_Raw!$E$2:$E$611,$Q343),"")</f>
        <v>29</v>
      </c>
      <c r="O343" s="23">
        <f>IF(ISNUMBER(INDEX(Dataset2_Raw!$F$2:$F$611,$Q343)),INDEX(Dataset2_Raw!$F$2:$F$611,$Q343),"")</f>
        <v>54</v>
      </c>
      <c r="P343" s="23">
        <f>IF(ISNUMBER(INDEX(Dataset2_Raw!$G$2:$G$611,$Q343)),INDEX(Dataset2_Raw!$G$2:$G$611,$Q343),"")</f>
        <v>83</v>
      </c>
      <c r="Q343" s="23">
        <f>IFERROR(MATCH($A343,Dataset2_Raw!$A$2:$A$611,0),0)</f>
        <v>342</v>
      </c>
    </row>
    <row r="344" spans="1:17" x14ac:dyDescent="0.35">
      <c r="A344" s="23">
        <f>Dataset1_Raw!A344</f>
        <v>343</v>
      </c>
      <c r="B344" s="24">
        <f>Dataset1_Raw!B344</f>
        <v>40558</v>
      </c>
      <c r="C344" s="23">
        <f>Dataset1_Raw!C344</f>
        <v>1</v>
      </c>
      <c r="D344" s="23">
        <f>Dataset1_Raw!D344</f>
        <v>0</v>
      </c>
      <c r="E344" s="23">
        <f>Dataset1_Raw!E344</f>
        <v>1</v>
      </c>
      <c r="F344" s="23">
        <f>Dataset1_Raw!F344</f>
        <v>18</v>
      </c>
      <c r="G344" s="23" t="b">
        <f>Dataset1_Raw!G344</f>
        <v>0</v>
      </c>
      <c r="H344" s="23">
        <f>Dataset1_Raw!H344</f>
        <v>6</v>
      </c>
      <c r="I344" s="23">
        <f>Dataset1_Raw!I344</f>
        <v>2</v>
      </c>
      <c r="J344" s="25">
        <f>Dataset1_Raw!J344</f>
        <v>0.3</v>
      </c>
      <c r="K344" s="25">
        <f>IF(ISNUMBER(INDEX(Dataset2_Raw!$B$2:$B$611,$Q344)),INDEX(Dataset2_Raw!$B$2:$B$611,$Q344),"")</f>
        <v>0.28789999999999999</v>
      </c>
      <c r="L344" s="25">
        <f>IF(ISNUMBER(INDEX(Dataset2_Raw!$C$2:$C$611,$Q344)),INDEX(Dataset2_Raw!$C$2:$C$611,$Q344),"")</f>
        <v>0.45</v>
      </c>
      <c r="M344" s="25">
        <f>IF(ISNUMBER(INDEX(Dataset2_Raw!$D$2:$D$611,$Q344)),INDEX(Dataset2_Raw!$D$2:$D$611,$Q344),"")</f>
        <v>0.25369999999999998</v>
      </c>
      <c r="N344" s="23">
        <f>IF(ISNUMBER(INDEX(Dataset2_Raw!$E$2:$E$611,$Q344)),INDEX(Dataset2_Raw!$E$2:$E$611,$Q344),"")</f>
        <v>15</v>
      </c>
      <c r="O344" s="23">
        <f>IF(ISNUMBER(INDEX(Dataset2_Raw!$F$2:$F$611,$Q344)),INDEX(Dataset2_Raw!$F$2:$F$611,$Q344),"")</f>
        <v>69</v>
      </c>
      <c r="P344" s="23">
        <f>IF(ISNUMBER(INDEX(Dataset2_Raw!$G$2:$G$611,$Q344)),INDEX(Dataset2_Raw!$G$2:$G$611,$Q344),"")</f>
        <v>84</v>
      </c>
      <c r="Q344" s="23">
        <f>IFERROR(MATCH($A344,Dataset2_Raw!$A$2:$A$611,0),0)</f>
        <v>343</v>
      </c>
    </row>
    <row r="345" spans="1:17" x14ac:dyDescent="0.35">
      <c r="A345" s="23">
        <f>Dataset1_Raw!A345</f>
        <v>344</v>
      </c>
      <c r="B345" s="24">
        <f>Dataset1_Raw!B345</f>
        <v>40558</v>
      </c>
      <c r="C345" s="23">
        <f>Dataset1_Raw!C345</f>
        <v>1</v>
      </c>
      <c r="D345" s="23">
        <f>Dataset1_Raw!D345</f>
        <v>0</v>
      </c>
      <c r="E345" s="23">
        <f>Dataset1_Raw!E345</f>
        <v>1</v>
      </c>
      <c r="F345" s="23">
        <f>Dataset1_Raw!F345</f>
        <v>19</v>
      </c>
      <c r="G345" s="23" t="b">
        <f>Dataset1_Raw!G345</f>
        <v>0</v>
      </c>
      <c r="H345" s="23">
        <f>Dataset1_Raw!H345</f>
        <v>6</v>
      </c>
      <c r="I345" s="23">
        <f>Dataset1_Raw!I345</f>
        <v>2</v>
      </c>
      <c r="J345" s="25">
        <f>Dataset1_Raw!J345</f>
        <v>0.32</v>
      </c>
      <c r="K345" s="25">
        <f>IF(ISNUMBER(INDEX(Dataset2_Raw!$B$2:$B$611,$Q345)),INDEX(Dataset2_Raw!$B$2:$B$611,$Q345),"")</f>
        <v>0.30299999999999999</v>
      </c>
      <c r="L345" s="25">
        <f>IF(ISNUMBER(INDEX(Dataset2_Raw!$C$2:$C$611,$Q345)),INDEX(Dataset2_Raw!$C$2:$C$611,$Q345),"")</f>
        <v>0.39</v>
      </c>
      <c r="M345" s="25">
        <f>IF(ISNUMBER(INDEX(Dataset2_Raw!$D$2:$D$611,$Q345)),INDEX(Dataset2_Raw!$D$2:$D$611,$Q345),"")</f>
        <v>0.25369999999999998</v>
      </c>
      <c r="N345" s="23">
        <f>IF(ISNUMBER(INDEX(Dataset2_Raw!$E$2:$E$611,$Q345)),INDEX(Dataset2_Raw!$E$2:$E$611,$Q345),"")</f>
        <v>14</v>
      </c>
      <c r="O345" s="23">
        <f>IF(ISNUMBER(INDEX(Dataset2_Raw!$F$2:$F$611,$Q345)),INDEX(Dataset2_Raw!$F$2:$F$611,$Q345),"")</f>
        <v>60</v>
      </c>
      <c r="P345" s="23">
        <f>IF(ISNUMBER(INDEX(Dataset2_Raw!$G$2:$G$611,$Q345)),INDEX(Dataset2_Raw!$G$2:$G$611,$Q345),"")</f>
        <v>74</v>
      </c>
      <c r="Q345" s="23">
        <f>IFERROR(MATCH($A345,Dataset2_Raw!$A$2:$A$611,0),0)</f>
        <v>344</v>
      </c>
    </row>
    <row r="346" spans="1:17" x14ac:dyDescent="0.35">
      <c r="A346" s="23">
        <f>Dataset1_Raw!A346</f>
        <v>345</v>
      </c>
      <c r="B346" s="24">
        <f>Dataset1_Raw!B346</f>
        <v>40558</v>
      </c>
      <c r="C346" s="23">
        <f>Dataset1_Raw!C346</f>
        <v>1</v>
      </c>
      <c r="D346" s="23">
        <f>Dataset1_Raw!D346</f>
        <v>0</v>
      </c>
      <c r="E346" s="23">
        <f>Dataset1_Raw!E346</f>
        <v>1</v>
      </c>
      <c r="F346" s="23">
        <f>Dataset1_Raw!F346</f>
        <v>20</v>
      </c>
      <c r="G346" s="23" t="b">
        <f>Dataset1_Raw!G346</f>
        <v>0</v>
      </c>
      <c r="H346" s="23">
        <f>Dataset1_Raw!H346</f>
        <v>6</v>
      </c>
      <c r="I346" s="23">
        <f>Dataset1_Raw!I346</f>
        <v>2</v>
      </c>
      <c r="J346" s="25">
        <f>Dataset1_Raw!J346</f>
        <v>0.32</v>
      </c>
      <c r="K346" s="25">
        <f>IF(ISNUMBER(INDEX(Dataset2_Raw!$B$2:$B$611,$Q346)),INDEX(Dataset2_Raw!$B$2:$B$611,$Q346),"")</f>
        <v>0.30299999999999999</v>
      </c>
      <c r="L346" s="25">
        <f>IF(ISNUMBER(INDEX(Dataset2_Raw!$C$2:$C$611,$Q346)),INDEX(Dataset2_Raw!$C$2:$C$611,$Q346),"")</f>
        <v>0.39</v>
      </c>
      <c r="M346" s="25">
        <f>IF(ISNUMBER(INDEX(Dataset2_Raw!$D$2:$D$611,$Q346)),INDEX(Dataset2_Raw!$D$2:$D$611,$Q346),"")</f>
        <v>0.25369999999999998</v>
      </c>
      <c r="N346" s="23">
        <f>IF(ISNUMBER(INDEX(Dataset2_Raw!$E$2:$E$611,$Q346)),INDEX(Dataset2_Raw!$E$2:$E$611,$Q346),"")</f>
        <v>6</v>
      </c>
      <c r="O346" s="23">
        <f>IF(ISNUMBER(INDEX(Dataset2_Raw!$F$2:$F$611,$Q346)),INDEX(Dataset2_Raw!$F$2:$F$611,$Q346),"")</f>
        <v>35</v>
      </c>
      <c r="P346" s="23">
        <f>IF(ISNUMBER(INDEX(Dataset2_Raw!$G$2:$G$611,$Q346)),INDEX(Dataset2_Raw!$G$2:$G$611,$Q346),"")</f>
        <v>41</v>
      </c>
      <c r="Q346" s="23">
        <f>IFERROR(MATCH($A346,Dataset2_Raw!$A$2:$A$611,0),0)</f>
        <v>345</v>
      </c>
    </row>
    <row r="347" spans="1:17" x14ac:dyDescent="0.35">
      <c r="A347" s="23">
        <f>Dataset1_Raw!A347</f>
        <v>346</v>
      </c>
      <c r="B347" s="24">
        <f>Dataset1_Raw!B347</f>
        <v>40558</v>
      </c>
      <c r="C347" s="23">
        <f>Dataset1_Raw!C347</f>
        <v>1</v>
      </c>
      <c r="D347" s="23">
        <f>Dataset1_Raw!D347</f>
        <v>0</v>
      </c>
      <c r="E347" s="23">
        <f>Dataset1_Raw!E347</f>
        <v>1</v>
      </c>
      <c r="F347" s="23">
        <f>Dataset1_Raw!F347</f>
        <v>21</v>
      </c>
      <c r="G347" s="23" t="b">
        <f>Dataset1_Raw!G347</f>
        <v>0</v>
      </c>
      <c r="H347" s="23">
        <f>Dataset1_Raw!H347</f>
        <v>6</v>
      </c>
      <c r="I347" s="23">
        <f>Dataset1_Raw!I347</f>
        <v>2</v>
      </c>
      <c r="J347" s="25">
        <f>Dataset1_Raw!J347</f>
        <v>0.32</v>
      </c>
      <c r="K347" s="25">
        <f>IF(ISNUMBER(INDEX(Dataset2_Raw!$B$2:$B$611,$Q347)),INDEX(Dataset2_Raw!$B$2:$B$611,$Q347),"")</f>
        <v>0.30299999999999999</v>
      </c>
      <c r="L347" s="25">
        <f>IF(ISNUMBER(INDEX(Dataset2_Raw!$C$2:$C$611,$Q347)),INDEX(Dataset2_Raw!$C$2:$C$611,$Q347),"")</f>
        <v>0.39</v>
      </c>
      <c r="M347" s="25">
        <f>IF(ISNUMBER(INDEX(Dataset2_Raw!$D$2:$D$611,$Q347)),INDEX(Dataset2_Raw!$D$2:$D$611,$Q347),"")</f>
        <v>0.22389999999999999</v>
      </c>
      <c r="N347" s="23">
        <f>IF(ISNUMBER(INDEX(Dataset2_Raw!$E$2:$E$611,$Q347)),INDEX(Dataset2_Raw!$E$2:$E$611,$Q347),"")</f>
        <v>6</v>
      </c>
      <c r="O347" s="23">
        <f>IF(ISNUMBER(INDEX(Dataset2_Raw!$F$2:$F$611,$Q347)),INDEX(Dataset2_Raw!$F$2:$F$611,$Q347),"")</f>
        <v>51</v>
      </c>
      <c r="P347" s="23">
        <f>IF(ISNUMBER(INDEX(Dataset2_Raw!$G$2:$G$611,$Q347)),INDEX(Dataset2_Raw!$G$2:$G$611,$Q347),"")</f>
        <v>57</v>
      </c>
      <c r="Q347" s="23">
        <f>IFERROR(MATCH($A347,Dataset2_Raw!$A$2:$A$611,0),0)</f>
        <v>346</v>
      </c>
    </row>
    <row r="348" spans="1:17" x14ac:dyDescent="0.35">
      <c r="A348" s="23">
        <f>Dataset1_Raw!A348</f>
        <v>347</v>
      </c>
      <c r="B348" s="24">
        <f>Dataset1_Raw!B348</f>
        <v>40558</v>
      </c>
      <c r="C348" s="23">
        <f>Dataset1_Raw!C348</f>
        <v>1</v>
      </c>
      <c r="D348" s="23">
        <f>Dataset1_Raw!D348</f>
        <v>0</v>
      </c>
      <c r="E348" s="23">
        <f>Dataset1_Raw!E348</f>
        <v>1</v>
      </c>
      <c r="F348" s="23">
        <f>Dataset1_Raw!F348</f>
        <v>22</v>
      </c>
      <c r="G348" s="23" t="b">
        <f>Dataset1_Raw!G348</f>
        <v>0</v>
      </c>
      <c r="H348" s="23">
        <f>Dataset1_Raw!H348</f>
        <v>6</v>
      </c>
      <c r="I348" s="23">
        <f>Dataset1_Raw!I348</f>
        <v>2</v>
      </c>
      <c r="J348" s="25">
        <f>Dataset1_Raw!J348</f>
        <v>0.3</v>
      </c>
      <c r="K348" s="25">
        <f>IF(ISNUMBER(INDEX(Dataset2_Raw!$B$2:$B$611,$Q348)),INDEX(Dataset2_Raw!$B$2:$B$611,$Q348),"")</f>
        <v>0.31819999999999998</v>
      </c>
      <c r="L348" s="25">
        <f>IF(ISNUMBER(INDEX(Dataset2_Raw!$C$2:$C$611,$Q348)),INDEX(Dataset2_Raw!$C$2:$C$611,$Q348),"")</f>
        <v>0.42</v>
      </c>
      <c r="M348" s="25">
        <f>IF(ISNUMBER(INDEX(Dataset2_Raw!$D$2:$D$611,$Q348)),INDEX(Dataset2_Raw!$D$2:$D$611,$Q348),"")</f>
        <v>0.1045</v>
      </c>
      <c r="N348" s="23">
        <f>IF(ISNUMBER(INDEX(Dataset2_Raw!$E$2:$E$611,$Q348)),INDEX(Dataset2_Raw!$E$2:$E$611,$Q348),"")</f>
        <v>0</v>
      </c>
      <c r="O348" s="23">
        <f>IF(ISNUMBER(INDEX(Dataset2_Raw!$F$2:$F$611,$Q348)),INDEX(Dataset2_Raw!$F$2:$F$611,$Q348),"")</f>
        <v>26</v>
      </c>
      <c r="P348" s="23">
        <f>IF(ISNUMBER(INDEX(Dataset2_Raw!$G$2:$G$611,$Q348)),INDEX(Dataset2_Raw!$G$2:$G$611,$Q348),"")</f>
        <v>26</v>
      </c>
      <c r="Q348" s="23">
        <f>IFERROR(MATCH($A348,Dataset2_Raw!$A$2:$A$611,0),0)</f>
        <v>347</v>
      </c>
    </row>
    <row r="349" spans="1:17" x14ac:dyDescent="0.35">
      <c r="A349" s="23">
        <f>Dataset1_Raw!A349</f>
        <v>348</v>
      </c>
      <c r="B349" s="24">
        <f>Dataset1_Raw!B349</f>
        <v>40558</v>
      </c>
      <c r="C349" s="23">
        <f>Dataset1_Raw!C349</f>
        <v>1</v>
      </c>
      <c r="D349" s="23">
        <f>Dataset1_Raw!D349</f>
        <v>0</v>
      </c>
      <c r="E349" s="23">
        <f>Dataset1_Raw!E349</f>
        <v>1</v>
      </c>
      <c r="F349" s="23">
        <f>Dataset1_Raw!F349</f>
        <v>23</v>
      </c>
      <c r="G349" s="23" t="b">
        <f>Dataset1_Raw!G349</f>
        <v>0</v>
      </c>
      <c r="H349" s="23">
        <f>Dataset1_Raw!H349</f>
        <v>6</v>
      </c>
      <c r="I349" s="23">
        <f>Dataset1_Raw!I349</f>
        <v>1</v>
      </c>
      <c r="J349" s="25">
        <f>Dataset1_Raw!J349</f>
        <v>0.3</v>
      </c>
      <c r="K349" s="25">
        <f>IF(ISNUMBER(INDEX(Dataset2_Raw!$B$2:$B$611,$Q349)),INDEX(Dataset2_Raw!$B$2:$B$611,$Q349),"")</f>
        <v>0.28789999999999999</v>
      </c>
      <c r="L349" s="25">
        <f>IF(ISNUMBER(INDEX(Dataset2_Raw!$C$2:$C$611,$Q349)),INDEX(Dataset2_Raw!$C$2:$C$611,$Q349),"")</f>
        <v>0.45</v>
      </c>
      <c r="M349" s="25">
        <f>IF(ISNUMBER(INDEX(Dataset2_Raw!$D$2:$D$611,$Q349)),INDEX(Dataset2_Raw!$D$2:$D$611,$Q349),"")</f>
        <v>0.28360000000000002</v>
      </c>
      <c r="N349" s="23">
        <f>IF(ISNUMBER(INDEX(Dataset2_Raw!$E$2:$E$611,$Q349)),INDEX(Dataset2_Raw!$E$2:$E$611,$Q349),"")</f>
        <v>5</v>
      </c>
      <c r="O349" s="23">
        <f>IF(ISNUMBER(INDEX(Dataset2_Raw!$F$2:$F$611,$Q349)),INDEX(Dataset2_Raw!$F$2:$F$611,$Q349),"")</f>
        <v>39</v>
      </c>
      <c r="P349" s="23">
        <f>IF(ISNUMBER(INDEX(Dataset2_Raw!$G$2:$G$611,$Q349)),INDEX(Dataset2_Raw!$G$2:$G$611,$Q349),"")</f>
        <v>44</v>
      </c>
      <c r="Q349" s="23">
        <f>IFERROR(MATCH($A349,Dataset2_Raw!$A$2:$A$611,0),0)</f>
        <v>348</v>
      </c>
    </row>
    <row r="350" spans="1:17" x14ac:dyDescent="0.35">
      <c r="A350" s="23">
        <f>Dataset1_Raw!A350</f>
        <v>349</v>
      </c>
      <c r="B350" s="24">
        <f>Dataset1_Raw!B350</f>
        <v>40559</v>
      </c>
      <c r="C350" s="23">
        <f>Dataset1_Raw!C350</f>
        <v>1</v>
      </c>
      <c r="D350" s="23">
        <f>Dataset1_Raw!D350</f>
        <v>0</v>
      </c>
      <c r="E350" s="23">
        <f>Dataset1_Raw!E350</f>
        <v>1</v>
      </c>
      <c r="F350" s="23">
        <f>Dataset1_Raw!F350</f>
        <v>0</v>
      </c>
      <c r="G350" s="23" t="b">
        <f>Dataset1_Raw!G350</f>
        <v>0</v>
      </c>
      <c r="H350" s="23">
        <f>Dataset1_Raw!H350</f>
        <v>0</v>
      </c>
      <c r="I350" s="23">
        <f>Dataset1_Raw!I350</f>
        <v>1</v>
      </c>
      <c r="J350" s="25">
        <f>Dataset1_Raw!J350</f>
        <v>0.26</v>
      </c>
      <c r="K350" s="25">
        <f>IF(ISNUMBER(INDEX(Dataset2_Raw!$B$2:$B$611,$Q350)),INDEX(Dataset2_Raw!$B$2:$B$611,$Q350),"")</f>
        <v>0.30299999999999999</v>
      </c>
      <c r="L350" s="25">
        <f>IF(ISNUMBER(INDEX(Dataset2_Raw!$C$2:$C$611,$Q350)),INDEX(Dataset2_Raw!$C$2:$C$611,$Q350),"")</f>
        <v>0.56000000000000005</v>
      </c>
      <c r="M350" s="25">
        <f>IF(ISNUMBER(INDEX(Dataset2_Raw!$D$2:$D$611,$Q350)),INDEX(Dataset2_Raw!$D$2:$D$611,$Q350),"")</f>
        <v>0</v>
      </c>
      <c r="N350" s="23">
        <f>IF(ISNUMBER(INDEX(Dataset2_Raw!$E$2:$E$611,$Q350)),INDEX(Dataset2_Raw!$E$2:$E$611,$Q350),"")</f>
        <v>6</v>
      </c>
      <c r="O350" s="23">
        <f>IF(ISNUMBER(INDEX(Dataset2_Raw!$F$2:$F$611,$Q350)),INDEX(Dataset2_Raw!$F$2:$F$611,$Q350),"")</f>
        <v>33</v>
      </c>
      <c r="P350" s="23">
        <f>IF(ISNUMBER(INDEX(Dataset2_Raw!$G$2:$G$611,$Q350)),INDEX(Dataset2_Raw!$G$2:$G$611,$Q350),"")</f>
        <v>39</v>
      </c>
      <c r="Q350" s="23">
        <f>IFERROR(MATCH($A350,Dataset2_Raw!$A$2:$A$611,0),0)</f>
        <v>349</v>
      </c>
    </row>
    <row r="351" spans="1:17" x14ac:dyDescent="0.35">
      <c r="A351" s="23">
        <f>Dataset1_Raw!A351</f>
        <v>350</v>
      </c>
      <c r="B351" s="24">
        <f>Dataset1_Raw!B351</f>
        <v>40559</v>
      </c>
      <c r="C351" s="23">
        <f>Dataset1_Raw!C351</f>
        <v>1</v>
      </c>
      <c r="D351" s="23">
        <f>Dataset1_Raw!D351</f>
        <v>0</v>
      </c>
      <c r="E351" s="23">
        <f>Dataset1_Raw!E351</f>
        <v>1</v>
      </c>
      <c r="F351" s="23">
        <f>Dataset1_Raw!F351</f>
        <v>1</v>
      </c>
      <c r="G351" s="23" t="b">
        <f>Dataset1_Raw!G351</f>
        <v>0</v>
      </c>
      <c r="H351" s="23">
        <f>Dataset1_Raw!H351</f>
        <v>0</v>
      </c>
      <c r="I351" s="23">
        <f>Dataset1_Raw!I351</f>
        <v>1</v>
      </c>
      <c r="J351" s="25">
        <f>Dataset1_Raw!J351</f>
        <v>0.26</v>
      </c>
      <c r="K351" s="25">
        <f>IF(ISNUMBER(INDEX(Dataset2_Raw!$B$2:$B$611,$Q351)),INDEX(Dataset2_Raw!$B$2:$B$611,$Q351),"")</f>
        <v>0.2727</v>
      </c>
      <c r="L351" s="25">
        <f>IF(ISNUMBER(INDEX(Dataset2_Raw!$C$2:$C$611,$Q351)),INDEX(Dataset2_Raw!$C$2:$C$611,$Q351),"")</f>
        <v>0.56000000000000005</v>
      </c>
      <c r="M351" s="25">
        <f>IF(ISNUMBER(INDEX(Dataset2_Raw!$D$2:$D$611,$Q351)),INDEX(Dataset2_Raw!$D$2:$D$611,$Q351),"")</f>
        <v>0.1343</v>
      </c>
      <c r="N351" s="23">
        <f>IF(ISNUMBER(INDEX(Dataset2_Raw!$E$2:$E$611,$Q351)),INDEX(Dataset2_Raw!$E$2:$E$611,$Q351),"")</f>
        <v>4</v>
      </c>
      <c r="O351" s="23">
        <f>IF(ISNUMBER(INDEX(Dataset2_Raw!$F$2:$F$611,$Q351)),INDEX(Dataset2_Raw!$F$2:$F$611,$Q351),"")</f>
        <v>19</v>
      </c>
      <c r="P351" s="23">
        <f>IF(ISNUMBER(INDEX(Dataset2_Raw!$G$2:$G$611,$Q351)),INDEX(Dataset2_Raw!$G$2:$G$611,$Q351),"")</f>
        <v>23</v>
      </c>
      <c r="Q351" s="23">
        <f>IFERROR(MATCH($A351,Dataset2_Raw!$A$2:$A$611,0),0)</f>
        <v>350</v>
      </c>
    </row>
    <row r="352" spans="1:17" x14ac:dyDescent="0.35">
      <c r="A352" s="23">
        <f>Dataset1_Raw!A352</f>
        <v>351</v>
      </c>
      <c r="B352" s="24">
        <f>Dataset1_Raw!B352</f>
        <v>40559</v>
      </c>
      <c r="C352" s="23">
        <f>Dataset1_Raw!C352</f>
        <v>1</v>
      </c>
      <c r="D352" s="23">
        <f>Dataset1_Raw!D352</f>
        <v>0</v>
      </c>
      <c r="E352" s="23">
        <f>Dataset1_Raw!E352</f>
        <v>1</v>
      </c>
      <c r="F352" s="23">
        <f>Dataset1_Raw!F352</f>
        <v>2</v>
      </c>
      <c r="G352" s="23" t="b">
        <f>Dataset1_Raw!G352</f>
        <v>0</v>
      </c>
      <c r="H352" s="23">
        <f>Dataset1_Raw!H352</f>
        <v>0</v>
      </c>
      <c r="I352" s="23">
        <f>Dataset1_Raw!I352</f>
        <v>1</v>
      </c>
      <c r="J352" s="25">
        <f>Dataset1_Raw!J352</f>
        <v>0.26</v>
      </c>
      <c r="K352" s="25">
        <f>IF(ISNUMBER(INDEX(Dataset2_Raw!$B$2:$B$611,$Q352)),INDEX(Dataset2_Raw!$B$2:$B$611,$Q352),"")</f>
        <v>0.28789999999999999</v>
      </c>
      <c r="L352" s="25">
        <f>IF(ISNUMBER(INDEX(Dataset2_Raw!$C$2:$C$611,$Q352)),INDEX(Dataset2_Raw!$C$2:$C$611,$Q352),"")</f>
        <v>0.56000000000000005</v>
      </c>
      <c r="M352" s="25">
        <f>IF(ISNUMBER(INDEX(Dataset2_Raw!$D$2:$D$611,$Q352)),INDEX(Dataset2_Raw!$D$2:$D$611,$Q352),"")</f>
        <v>8.9599999999999999E-2</v>
      </c>
      <c r="N352" s="23">
        <f>IF(ISNUMBER(INDEX(Dataset2_Raw!$E$2:$E$611,$Q352)),INDEX(Dataset2_Raw!$E$2:$E$611,$Q352),"")</f>
        <v>3</v>
      </c>
      <c r="O352" s="23">
        <f>IF(ISNUMBER(INDEX(Dataset2_Raw!$F$2:$F$611,$Q352)),INDEX(Dataset2_Raw!$F$2:$F$611,$Q352),"")</f>
        <v>13</v>
      </c>
      <c r="P352" s="23">
        <f>IF(ISNUMBER(INDEX(Dataset2_Raw!$G$2:$G$611,$Q352)),INDEX(Dataset2_Raw!$G$2:$G$611,$Q352),"")</f>
        <v>16</v>
      </c>
      <c r="Q352" s="23">
        <f>IFERROR(MATCH($A352,Dataset2_Raw!$A$2:$A$611,0),0)</f>
        <v>351</v>
      </c>
    </row>
    <row r="353" spans="1:17" x14ac:dyDescent="0.35">
      <c r="A353" s="23">
        <f>Dataset1_Raw!A353</f>
        <v>352</v>
      </c>
      <c r="B353" s="24">
        <f>Dataset1_Raw!B353</f>
        <v>40559</v>
      </c>
      <c r="C353" s="23">
        <f>Dataset1_Raw!C353</f>
        <v>1</v>
      </c>
      <c r="D353" s="23">
        <f>Dataset1_Raw!D353</f>
        <v>0</v>
      </c>
      <c r="E353" s="23">
        <f>Dataset1_Raw!E353</f>
        <v>1</v>
      </c>
      <c r="F353" s="23">
        <f>Dataset1_Raw!F353</f>
        <v>3</v>
      </c>
      <c r="G353" s="23" t="b">
        <f>Dataset1_Raw!G353</f>
        <v>0</v>
      </c>
      <c r="H353" s="23">
        <f>Dataset1_Raw!H353</f>
        <v>0</v>
      </c>
      <c r="I353" s="23">
        <f>Dataset1_Raw!I353</f>
        <v>1</v>
      </c>
      <c r="J353" s="25">
        <f>Dataset1_Raw!J353</f>
        <v>0.22</v>
      </c>
      <c r="K353" s="25">
        <f>IF(ISNUMBER(INDEX(Dataset2_Raw!$B$2:$B$611,$Q353)),INDEX(Dataset2_Raw!$B$2:$B$611,$Q353),"")</f>
        <v>0.2727</v>
      </c>
      <c r="L353" s="25">
        <f>IF(ISNUMBER(INDEX(Dataset2_Raw!$C$2:$C$611,$Q353)),INDEX(Dataset2_Raw!$C$2:$C$611,$Q353),"")</f>
        <v>0.69</v>
      </c>
      <c r="M353" s="25">
        <f>IF(ISNUMBER(INDEX(Dataset2_Raw!$D$2:$D$611,$Q353)),INDEX(Dataset2_Raw!$D$2:$D$611,$Q353),"")</f>
        <v>0</v>
      </c>
      <c r="N353" s="23">
        <f>IF(ISNUMBER(INDEX(Dataset2_Raw!$E$2:$E$611,$Q353)),INDEX(Dataset2_Raw!$E$2:$E$611,$Q353),"")</f>
        <v>9</v>
      </c>
      <c r="O353" s="23">
        <f>IF(ISNUMBER(INDEX(Dataset2_Raw!$F$2:$F$611,$Q353)),INDEX(Dataset2_Raw!$F$2:$F$611,$Q353),"")</f>
        <v>6</v>
      </c>
      <c r="P353" s="23">
        <f>IF(ISNUMBER(INDEX(Dataset2_Raw!$G$2:$G$611,$Q353)),INDEX(Dataset2_Raw!$G$2:$G$611,$Q353),"")</f>
        <v>15</v>
      </c>
      <c r="Q353" s="23">
        <f>IFERROR(MATCH($A353,Dataset2_Raw!$A$2:$A$611,0),0)</f>
        <v>352</v>
      </c>
    </row>
    <row r="354" spans="1:17" x14ac:dyDescent="0.35">
      <c r="A354" s="23">
        <f>Dataset1_Raw!A354</f>
        <v>353</v>
      </c>
      <c r="B354" s="24">
        <f>Dataset1_Raw!B354</f>
        <v>40559</v>
      </c>
      <c r="C354" s="23">
        <f>Dataset1_Raw!C354</f>
        <v>1</v>
      </c>
      <c r="D354" s="23">
        <f>Dataset1_Raw!D354</f>
        <v>0</v>
      </c>
      <c r="E354" s="23">
        <f>Dataset1_Raw!E354</f>
        <v>1</v>
      </c>
      <c r="F354" s="23">
        <f>Dataset1_Raw!F354</f>
        <v>4</v>
      </c>
      <c r="G354" s="23" t="b">
        <f>Dataset1_Raw!G354</f>
        <v>0</v>
      </c>
      <c r="H354" s="23">
        <f>Dataset1_Raw!H354</f>
        <v>0</v>
      </c>
      <c r="I354" s="23">
        <f>Dataset1_Raw!I354</f>
        <v>1</v>
      </c>
      <c r="J354" s="25">
        <f>Dataset1_Raw!J354</f>
        <v>0.26</v>
      </c>
      <c r="K354" s="25">
        <f>IF(ISNUMBER(INDEX(Dataset2_Raw!$B$2:$B$611,$Q354)),INDEX(Dataset2_Raw!$B$2:$B$611,$Q354),"")</f>
        <v>0.2576</v>
      </c>
      <c r="L354" s="25">
        <f>IF(ISNUMBER(INDEX(Dataset2_Raw!$C$2:$C$611,$Q354)),INDEX(Dataset2_Raw!$C$2:$C$611,$Q354),"")</f>
        <v>0.56000000000000005</v>
      </c>
      <c r="M354" s="25">
        <f>IF(ISNUMBER(INDEX(Dataset2_Raw!$D$2:$D$611,$Q354)),INDEX(Dataset2_Raw!$D$2:$D$611,$Q354),"")</f>
        <v>0.16420000000000001</v>
      </c>
      <c r="N354" s="23">
        <f>IF(ISNUMBER(INDEX(Dataset2_Raw!$E$2:$E$611,$Q354)),INDEX(Dataset2_Raw!$E$2:$E$611,$Q354),"")</f>
        <v>0</v>
      </c>
      <c r="O354" s="23">
        <f>IF(ISNUMBER(INDEX(Dataset2_Raw!$F$2:$F$611,$Q354)),INDEX(Dataset2_Raw!$F$2:$F$611,$Q354),"")</f>
        <v>1</v>
      </c>
      <c r="P354" s="23">
        <f>IF(ISNUMBER(INDEX(Dataset2_Raw!$G$2:$G$611,$Q354)),INDEX(Dataset2_Raw!$G$2:$G$611,$Q354),"")</f>
        <v>1</v>
      </c>
      <c r="Q354" s="23">
        <f>IFERROR(MATCH($A354,Dataset2_Raw!$A$2:$A$611,0),0)</f>
        <v>353</v>
      </c>
    </row>
    <row r="355" spans="1:17" x14ac:dyDescent="0.35">
      <c r="A355" s="23">
        <f>Dataset1_Raw!A355</f>
        <v>354</v>
      </c>
      <c r="B355" s="24">
        <f>Dataset1_Raw!B355</f>
        <v>40559</v>
      </c>
      <c r="C355" s="23">
        <f>Dataset1_Raw!C355</f>
        <v>1</v>
      </c>
      <c r="D355" s="23">
        <f>Dataset1_Raw!D355</f>
        <v>0</v>
      </c>
      <c r="E355" s="23">
        <f>Dataset1_Raw!E355</f>
        <v>1</v>
      </c>
      <c r="F355" s="23">
        <f>Dataset1_Raw!F355</f>
        <v>5</v>
      </c>
      <c r="G355" s="23" t="b">
        <f>Dataset1_Raw!G355</f>
        <v>0</v>
      </c>
      <c r="H355" s="23">
        <f>Dataset1_Raw!H355</f>
        <v>0</v>
      </c>
      <c r="I355" s="23">
        <f>Dataset1_Raw!I355</f>
        <v>2</v>
      </c>
      <c r="J355" s="25">
        <f>Dataset1_Raw!J355</f>
        <v>0.26</v>
      </c>
      <c r="K355" s="25">
        <f>IF(ISNUMBER(INDEX(Dataset2_Raw!$B$2:$B$611,$Q355)),INDEX(Dataset2_Raw!$B$2:$B$611,$Q355),"")</f>
        <v>0.2576</v>
      </c>
      <c r="L355" s="25">
        <f>IF(ISNUMBER(INDEX(Dataset2_Raw!$C$2:$C$611,$Q355)),INDEX(Dataset2_Raw!$C$2:$C$611,$Q355),"")</f>
        <v>0.56000000000000005</v>
      </c>
      <c r="M355" s="25">
        <f>IF(ISNUMBER(INDEX(Dataset2_Raw!$D$2:$D$611,$Q355)),INDEX(Dataset2_Raw!$D$2:$D$611,$Q355),"")</f>
        <v>0.16420000000000001</v>
      </c>
      <c r="N355" s="23">
        <f>IF(ISNUMBER(INDEX(Dataset2_Raw!$E$2:$E$611,$Q355)),INDEX(Dataset2_Raw!$E$2:$E$611,$Q355),"")</f>
        <v>1</v>
      </c>
      <c r="O355" s="23">
        <f>IF(ISNUMBER(INDEX(Dataset2_Raw!$F$2:$F$611,$Q355)),INDEX(Dataset2_Raw!$F$2:$F$611,$Q355),"")</f>
        <v>1</v>
      </c>
      <c r="P355" s="23">
        <f>IF(ISNUMBER(INDEX(Dataset2_Raw!$G$2:$G$611,$Q355)),INDEX(Dataset2_Raw!$G$2:$G$611,$Q355),"")</f>
        <v>2</v>
      </c>
      <c r="Q355" s="23">
        <f>IFERROR(MATCH($A355,Dataset2_Raw!$A$2:$A$611,0),0)</f>
        <v>354</v>
      </c>
    </row>
    <row r="356" spans="1:17" x14ac:dyDescent="0.35">
      <c r="A356" s="23">
        <f>Dataset1_Raw!A356</f>
        <v>355</v>
      </c>
      <c r="B356" s="24">
        <f>Dataset1_Raw!B356</f>
        <v>40559</v>
      </c>
      <c r="C356" s="23">
        <f>Dataset1_Raw!C356</f>
        <v>1</v>
      </c>
      <c r="D356" s="23">
        <f>Dataset1_Raw!D356</f>
        <v>0</v>
      </c>
      <c r="E356" s="23">
        <f>Dataset1_Raw!E356</f>
        <v>1</v>
      </c>
      <c r="F356" s="23">
        <f>Dataset1_Raw!F356</f>
        <v>6</v>
      </c>
      <c r="G356" s="23" t="b">
        <f>Dataset1_Raw!G356</f>
        <v>0</v>
      </c>
      <c r="H356" s="23">
        <f>Dataset1_Raw!H356</f>
        <v>0</v>
      </c>
      <c r="I356" s="23">
        <f>Dataset1_Raw!I356</f>
        <v>2</v>
      </c>
      <c r="J356" s="25">
        <f>Dataset1_Raw!J356</f>
        <v>0.26</v>
      </c>
      <c r="K356" s="25">
        <f>IF(ISNUMBER(INDEX(Dataset2_Raw!$B$2:$B$611,$Q356)),INDEX(Dataset2_Raw!$B$2:$B$611,$Q356),"")</f>
        <v>0.2576</v>
      </c>
      <c r="L356" s="25">
        <f>IF(ISNUMBER(INDEX(Dataset2_Raw!$C$2:$C$611,$Q356)),INDEX(Dataset2_Raw!$C$2:$C$611,$Q356),"")</f>
        <v>0.56000000000000005</v>
      </c>
      <c r="M356" s="25">
        <f>IF(ISNUMBER(INDEX(Dataset2_Raw!$D$2:$D$611,$Q356)),INDEX(Dataset2_Raw!$D$2:$D$611,$Q356),"")</f>
        <v>0.16420000000000001</v>
      </c>
      <c r="N356" s="23">
        <f>IF(ISNUMBER(INDEX(Dataset2_Raw!$E$2:$E$611,$Q356)),INDEX(Dataset2_Raw!$E$2:$E$611,$Q356),"")</f>
        <v>0</v>
      </c>
      <c r="O356" s="23">
        <f>IF(ISNUMBER(INDEX(Dataset2_Raw!$F$2:$F$611,$Q356)),INDEX(Dataset2_Raw!$F$2:$F$611,$Q356),"")</f>
        <v>1</v>
      </c>
      <c r="P356" s="23">
        <f>IF(ISNUMBER(INDEX(Dataset2_Raw!$G$2:$G$611,$Q356)),INDEX(Dataset2_Raw!$G$2:$G$611,$Q356),"")</f>
        <v>1</v>
      </c>
      <c r="Q356" s="23">
        <f>IFERROR(MATCH($A356,Dataset2_Raw!$A$2:$A$611,0),0)</f>
        <v>355</v>
      </c>
    </row>
    <row r="357" spans="1:17" x14ac:dyDescent="0.35">
      <c r="A357" s="23">
        <f>Dataset1_Raw!A357</f>
        <v>356</v>
      </c>
      <c r="B357" s="24">
        <f>Dataset1_Raw!B357</f>
        <v>40559</v>
      </c>
      <c r="C357" s="23">
        <f>Dataset1_Raw!C357</f>
        <v>1</v>
      </c>
      <c r="D357" s="23">
        <f>Dataset1_Raw!D357</f>
        <v>0</v>
      </c>
      <c r="E357" s="23">
        <f>Dataset1_Raw!E357</f>
        <v>1</v>
      </c>
      <c r="F357" s="23">
        <f>Dataset1_Raw!F357</f>
        <v>7</v>
      </c>
      <c r="G357" s="23" t="b">
        <f>Dataset1_Raw!G357</f>
        <v>0</v>
      </c>
      <c r="H357" s="23">
        <f>Dataset1_Raw!H357</f>
        <v>0</v>
      </c>
      <c r="I357" s="23">
        <f>Dataset1_Raw!I357</f>
        <v>2</v>
      </c>
      <c r="J357" s="25">
        <f>Dataset1_Raw!J357</f>
        <v>0.24</v>
      </c>
      <c r="K357" s="25">
        <f>IF(ISNUMBER(INDEX(Dataset2_Raw!$B$2:$B$611,$Q357)),INDEX(Dataset2_Raw!$B$2:$B$611,$Q357),"")</f>
        <v>0.21210000000000001</v>
      </c>
      <c r="L357" s="25">
        <f>IF(ISNUMBER(INDEX(Dataset2_Raw!$C$2:$C$611,$Q357)),INDEX(Dataset2_Raw!$C$2:$C$611,$Q357),"")</f>
        <v>0.56000000000000005</v>
      </c>
      <c r="M357" s="25">
        <f>IF(ISNUMBER(INDEX(Dataset2_Raw!$D$2:$D$611,$Q357)),INDEX(Dataset2_Raw!$D$2:$D$611,$Q357),"")</f>
        <v>0.29849999999999999</v>
      </c>
      <c r="N357" s="23">
        <f>IF(ISNUMBER(INDEX(Dataset2_Raw!$E$2:$E$611,$Q357)),INDEX(Dataset2_Raw!$E$2:$E$611,$Q357),"")</f>
        <v>0</v>
      </c>
      <c r="O357" s="23">
        <f>IF(ISNUMBER(INDEX(Dataset2_Raw!$F$2:$F$611,$Q357)),INDEX(Dataset2_Raw!$F$2:$F$611,$Q357),"")</f>
        <v>3</v>
      </c>
      <c r="P357" s="23">
        <f>IF(ISNUMBER(INDEX(Dataset2_Raw!$G$2:$G$611,$Q357)),INDEX(Dataset2_Raw!$G$2:$G$611,$Q357),"")</f>
        <v>3</v>
      </c>
      <c r="Q357" s="23">
        <f>IFERROR(MATCH($A357,Dataset2_Raw!$A$2:$A$611,0),0)</f>
        <v>356</v>
      </c>
    </row>
    <row r="358" spans="1:17" x14ac:dyDescent="0.35">
      <c r="A358" s="23">
        <f>Dataset1_Raw!A358</f>
        <v>357</v>
      </c>
      <c r="B358" s="24">
        <f>Dataset1_Raw!B358</f>
        <v>40559</v>
      </c>
      <c r="C358" s="23">
        <f>Dataset1_Raw!C358</f>
        <v>1</v>
      </c>
      <c r="D358" s="23">
        <f>Dataset1_Raw!D358</f>
        <v>0</v>
      </c>
      <c r="E358" s="23">
        <f>Dataset1_Raw!E358</f>
        <v>1</v>
      </c>
      <c r="F358" s="23">
        <f>Dataset1_Raw!F358</f>
        <v>8</v>
      </c>
      <c r="G358" s="23" t="b">
        <f>Dataset1_Raw!G358</f>
        <v>0</v>
      </c>
      <c r="H358" s="23">
        <f>Dataset1_Raw!H358</f>
        <v>0</v>
      </c>
      <c r="I358" s="23">
        <f>Dataset1_Raw!I358</f>
        <v>1</v>
      </c>
      <c r="J358" s="25">
        <f>Dataset1_Raw!J358</f>
        <v>0.22</v>
      </c>
      <c r="K358" s="25">
        <f>IF(ISNUMBER(INDEX(Dataset2_Raw!$B$2:$B$611,$Q358)),INDEX(Dataset2_Raw!$B$2:$B$611,$Q358),"")</f>
        <v>0.21210000000000001</v>
      </c>
      <c r="L358" s="25">
        <f>IF(ISNUMBER(INDEX(Dataset2_Raw!$C$2:$C$611,$Q358)),INDEX(Dataset2_Raw!$C$2:$C$611,$Q358),"")</f>
        <v>0.55000000000000004</v>
      </c>
      <c r="M358" s="25">
        <f>IF(ISNUMBER(INDEX(Dataset2_Raw!$D$2:$D$611,$Q358)),INDEX(Dataset2_Raw!$D$2:$D$611,$Q358),"")</f>
        <v>0.28360000000000002</v>
      </c>
      <c r="N358" s="23">
        <f>IF(ISNUMBER(INDEX(Dataset2_Raw!$E$2:$E$611,$Q358)),INDEX(Dataset2_Raw!$E$2:$E$611,$Q358),"")</f>
        <v>0</v>
      </c>
      <c r="O358" s="23">
        <f>IF(ISNUMBER(INDEX(Dataset2_Raw!$F$2:$F$611,$Q358)),INDEX(Dataset2_Raw!$F$2:$F$611,$Q358),"")</f>
        <v>18</v>
      </c>
      <c r="P358" s="23">
        <f>IF(ISNUMBER(INDEX(Dataset2_Raw!$G$2:$G$611,$Q358)),INDEX(Dataset2_Raw!$G$2:$G$611,$Q358),"")</f>
        <v>18</v>
      </c>
      <c r="Q358" s="23">
        <f>IFERROR(MATCH($A358,Dataset2_Raw!$A$2:$A$611,0),0)</f>
        <v>357</v>
      </c>
    </row>
    <row r="359" spans="1:17" x14ac:dyDescent="0.35">
      <c r="A359" s="23">
        <f>Dataset1_Raw!A359</f>
        <v>358</v>
      </c>
      <c r="B359" s="24">
        <f>Dataset1_Raw!B359</f>
        <v>40559</v>
      </c>
      <c r="C359" s="23">
        <f>Dataset1_Raw!C359</f>
        <v>1</v>
      </c>
      <c r="D359" s="23">
        <f>Dataset1_Raw!D359</f>
        <v>0</v>
      </c>
      <c r="E359" s="23">
        <f>Dataset1_Raw!E359</f>
        <v>1</v>
      </c>
      <c r="F359" s="23">
        <f>Dataset1_Raw!F359</f>
        <v>9</v>
      </c>
      <c r="G359" s="23" t="b">
        <f>Dataset1_Raw!G359</f>
        <v>0</v>
      </c>
      <c r="H359" s="23">
        <f>Dataset1_Raw!H359</f>
        <v>0</v>
      </c>
      <c r="I359" s="23">
        <f>Dataset1_Raw!I359</f>
        <v>1</v>
      </c>
      <c r="J359" s="25">
        <f>Dataset1_Raw!J359</f>
        <v>0.22</v>
      </c>
      <c r="K359" s="25">
        <f>IF(ISNUMBER(INDEX(Dataset2_Raw!$B$2:$B$611,$Q359)),INDEX(Dataset2_Raw!$B$2:$B$611,$Q359),"")</f>
        <v>0.21210000000000001</v>
      </c>
      <c r="L359" s="25">
        <f>IF(ISNUMBER(INDEX(Dataset2_Raw!$C$2:$C$611,$Q359)),INDEX(Dataset2_Raw!$C$2:$C$611,$Q359),"")</f>
        <v>0.51</v>
      </c>
      <c r="M359" s="25">
        <f>IF(ISNUMBER(INDEX(Dataset2_Raw!$D$2:$D$611,$Q359)),INDEX(Dataset2_Raw!$D$2:$D$611,$Q359),"")</f>
        <v>0.25369999999999998</v>
      </c>
      <c r="N359" s="23">
        <f>IF(ISNUMBER(INDEX(Dataset2_Raw!$E$2:$E$611,$Q359)),INDEX(Dataset2_Raw!$E$2:$E$611,$Q359),"")</f>
        <v>3</v>
      </c>
      <c r="O359" s="23">
        <f>IF(ISNUMBER(INDEX(Dataset2_Raw!$F$2:$F$611,$Q359)),INDEX(Dataset2_Raw!$F$2:$F$611,$Q359),"")</f>
        <v>29</v>
      </c>
      <c r="P359" s="23">
        <f>IF(ISNUMBER(INDEX(Dataset2_Raw!$G$2:$G$611,$Q359)),INDEX(Dataset2_Raw!$G$2:$G$611,$Q359),"")</f>
        <v>32</v>
      </c>
      <c r="Q359" s="23">
        <f>IFERROR(MATCH($A359,Dataset2_Raw!$A$2:$A$611,0),0)</f>
        <v>358</v>
      </c>
    </row>
    <row r="360" spans="1:17" x14ac:dyDescent="0.35">
      <c r="A360" s="23">
        <f>Dataset1_Raw!A360</f>
        <v>359</v>
      </c>
      <c r="B360" s="24">
        <f>Dataset1_Raw!B360</f>
        <v>40559</v>
      </c>
      <c r="C360" s="23">
        <f>Dataset1_Raw!C360</f>
        <v>1</v>
      </c>
      <c r="D360" s="23">
        <f>Dataset1_Raw!D360</f>
        <v>0</v>
      </c>
      <c r="E360" s="23">
        <f>Dataset1_Raw!E360</f>
        <v>1</v>
      </c>
      <c r="F360" s="23">
        <f>Dataset1_Raw!F360</f>
        <v>10</v>
      </c>
      <c r="G360" s="23" t="b">
        <f>Dataset1_Raw!G360</f>
        <v>0</v>
      </c>
      <c r="H360" s="23">
        <f>Dataset1_Raw!H360</f>
        <v>0</v>
      </c>
      <c r="I360" s="23">
        <f>Dataset1_Raw!I360</f>
        <v>1</v>
      </c>
      <c r="J360" s="25">
        <f>Dataset1_Raw!J360</f>
        <v>0.22</v>
      </c>
      <c r="K360" s="25">
        <f>IF(ISNUMBER(INDEX(Dataset2_Raw!$B$2:$B$611,$Q360)),INDEX(Dataset2_Raw!$B$2:$B$611,$Q360),"")</f>
        <v>0.21210000000000001</v>
      </c>
      <c r="L360" s="25">
        <f>IF(ISNUMBER(INDEX(Dataset2_Raw!$C$2:$C$611,$Q360)),INDEX(Dataset2_Raw!$C$2:$C$611,$Q360),"")</f>
        <v>0.51</v>
      </c>
      <c r="M360" s="25">
        <f>IF(ISNUMBER(INDEX(Dataset2_Raw!$D$2:$D$611,$Q360)),INDEX(Dataset2_Raw!$D$2:$D$611,$Q360),"")</f>
        <v>0.28360000000000002</v>
      </c>
      <c r="N360" s="23">
        <f>IF(ISNUMBER(INDEX(Dataset2_Raw!$E$2:$E$611,$Q360)),INDEX(Dataset2_Raw!$E$2:$E$611,$Q360),"")</f>
        <v>8</v>
      </c>
      <c r="O360" s="23">
        <f>IF(ISNUMBER(INDEX(Dataset2_Raw!$F$2:$F$611,$Q360)),INDEX(Dataset2_Raw!$F$2:$F$611,$Q360),"")</f>
        <v>71</v>
      </c>
      <c r="P360" s="23">
        <f>IF(ISNUMBER(INDEX(Dataset2_Raw!$G$2:$G$611,$Q360)),INDEX(Dataset2_Raw!$G$2:$G$611,$Q360),"")</f>
        <v>79</v>
      </c>
      <c r="Q360" s="23">
        <f>IFERROR(MATCH($A360,Dataset2_Raw!$A$2:$A$611,0),0)</f>
        <v>359</v>
      </c>
    </row>
    <row r="361" spans="1:17" x14ac:dyDescent="0.35">
      <c r="A361" s="23">
        <f>Dataset1_Raw!A361</f>
        <v>360</v>
      </c>
      <c r="B361" s="24">
        <f>Dataset1_Raw!B361</f>
        <v>40559</v>
      </c>
      <c r="C361" s="23">
        <f>Dataset1_Raw!C361</f>
        <v>1</v>
      </c>
      <c r="D361" s="23">
        <f>Dataset1_Raw!D361</f>
        <v>0</v>
      </c>
      <c r="E361" s="23">
        <f>Dataset1_Raw!E361</f>
        <v>1</v>
      </c>
      <c r="F361" s="23">
        <f>Dataset1_Raw!F361</f>
        <v>11</v>
      </c>
      <c r="G361" s="23" t="b">
        <f>Dataset1_Raw!G361</f>
        <v>0</v>
      </c>
      <c r="H361" s="23">
        <f>Dataset1_Raw!H361</f>
        <v>0</v>
      </c>
      <c r="I361" s="23">
        <f>Dataset1_Raw!I361</f>
        <v>1</v>
      </c>
      <c r="J361" s="25">
        <f>Dataset1_Raw!J361</f>
        <v>0.24</v>
      </c>
      <c r="K361" s="25">
        <f>IF(ISNUMBER(INDEX(Dataset2_Raw!$B$2:$B$611,$Q361)),INDEX(Dataset2_Raw!$B$2:$B$611,$Q361),"")</f>
        <v>0.2273</v>
      </c>
      <c r="L361" s="25">
        <f>IF(ISNUMBER(INDEX(Dataset2_Raw!$C$2:$C$611,$Q361)),INDEX(Dataset2_Raw!$C$2:$C$611,$Q361),"")</f>
        <v>0.44</v>
      </c>
      <c r="M361" s="25">
        <f>IF(ISNUMBER(INDEX(Dataset2_Raw!$D$2:$D$611,$Q361)),INDEX(Dataset2_Raw!$D$2:$D$611,$Q361),"")</f>
        <v>0.25369999999999998</v>
      </c>
      <c r="N361" s="23">
        <f>IF(ISNUMBER(INDEX(Dataset2_Raw!$E$2:$E$611,$Q361)),INDEX(Dataset2_Raw!$E$2:$E$611,$Q361),"")</f>
        <v>23</v>
      </c>
      <c r="O361" s="23">
        <f>IF(ISNUMBER(INDEX(Dataset2_Raw!$F$2:$F$611,$Q361)),INDEX(Dataset2_Raw!$F$2:$F$611,$Q361),"")</f>
        <v>70</v>
      </c>
      <c r="P361" s="23">
        <f>IF(ISNUMBER(INDEX(Dataset2_Raw!$G$2:$G$611,$Q361)),INDEX(Dataset2_Raw!$G$2:$G$611,$Q361),"")</f>
        <v>93</v>
      </c>
      <c r="Q361" s="23">
        <f>IFERROR(MATCH($A361,Dataset2_Raw!$A$2:$A$611,0),0)</f>
        <v>360</v>
      </c>
    </row>
    <row r="362" spans="1:17" x14ac:dyDescent="0.35">
      <c r="A362" s="23">
        <f>Dataset1_Raw!A362</f>
        <v>361</v>
      </c>
      <c r="B362" s="24">
        <f>Dataset1_Raw!B362</f>
        <v>40559</v>
      </c>
      <c r="C362" s="23">
        <f>Dataset1_Raw!C362</f>
        <v>1</v>
      </c>
      <c r="D362" s="23">
        <f>Dataset1_Raw!D362</f>
        <v>0</v>
      </c>
      <c r="E362" s="23">
        <f>Dataset1_Raw!E362</f>
        <v>1</v>
      </c>
      <c r="F362" s="23">
        <f>Dataset1_Raw!F362</f>
        <v>12</v>
      </c>
      <c r="G362" s="23" t="b">
        <f>Dataset1_Raw!G362</f>
        <v>0</v>
      </c>
      <c r="H362" s="23">
        <f>Dataset1_Raw!H362</f>
        <v>0</v>
      </c>
      <c r="I362" s="23">
        <f>Dataset1_Raw!I362</f>
        <v>1</v>
      </c>
      <c r="J362" s="25">
        <f>Dataset1_Raw!J362</f>
        <v>0.24</v>
      </c>
      <c r="K362" s="25">
        <f>IF(ISNUMBER(INDEX(Dataset2_Raw!$B$2:$B$611,$Q362)),INDEX(Dataset2_Raw!$B$2:$B$611,$Q362),"")</f>
        <v>0.21210000000000001</v>
      </c>
      <c r="L362" s="25">
        <f>IF(ISNUMBER(INDEX(Dataset2_Raw!$C$2:$C$611,$Q362)),INDEX(Dataset2_Raw!$C$2:$C$611,$Q362),"")</f>
        <v>0.41</v>
      </c>
      <c r="M362" s="25">
        <f>IF(ISNUMBER(INDEX(Dataset2_Raw!$D$2:$D$611,$Q362)),INDEX(Dataset2_Raw!$D$2:$D$611,$Q362),"")</f>
        <v>0.28360000000000002</v>
      </c>
      <c r="N362" s="23">
        <f>IF(ISNUMBER(INDEX(Dataset2_Raw!$E$2:$E$611,$Q362)),INDEX(Dataset2_Raw!$E$2:$E$611,$Q362),"")</f>
        <v>29</v>
      </c>
      <c r="O362" s="23">
        <f>IF(ISNUMBER(INDEX(Dataset2_Raw!$F$2:$F$611,$Q362)),INDEX(Dataset2_Raw!$F$2:$F$611,$Q362),"")</f>
        <v>75</v>
      </c>
      <c r="P362" s="23">
        <f>IF(ISNUMBER(INDEX(Dataset2_Raw!$G$2:$G$611,$Q362)),INDEX(Dataset2_Raw!$G$2:$G$611,$Q362),"")</f>
        <v>104</v>
      </c>
      <c r="Q362" s="23">
        <f>IFERROR(MATCH($A362,Dataset2_Raw!$A$2:$A$611,0),0)</f>
        <v>361</v>
      </c>
    </row>
    <row r="363" spans="1:17" x14ac:dyDescent="0.35">
      <c r="A363" s="23">
        <f>Dataset1_Raw!A363</f>
        <v>362</v>
      </c>
      <c r="B363" s="24">
        <f>Dataset1_Raw!B363</f>
        <v>40559</v>
      </c>
      <c r="C363" s="23">
        <f>Dataset1_Raw!C363</f>
        <v>1</v>
      </c>
      <c r="D363" s="23">
        <f>Dataset1_Raw!D363</f>
        <v>0</v>
      </c>
      <c r="E363" s="23">
        <f>Dataset1_Raw!E363</f>
        <v>1</v>
      </c>
      <c r="F363" s="23">
        <f>Dataset1_Raw!F363</f>
        <v>13</v>
      </c>
      <c r="G363" s="23" t="b">
        <f>Dataset1_Raw!G363</f>
        <v>0</v>
      </c>
      <c r="H363" s="23">
        <f>Dataset1_Raw!H363</f>
        <v>0</v>
      </c>
      <c r="I363" s="23">
        <f>Dataset1_Raw!I363</f>
        <v>1</v>
      </c>
      <c r="J363" s="25">
        <f>Dataset1_Raw!J363</f>
        <v>0.26</v>
      </c>
      <c r="K363" s="25">
        <f>IF(ISNUMBER(INDEX(Dataset2_Raw!$B$2:$B$611,$Q363)),INDEX(Dataset2_Raw!$B$2:$B$611,$Q363),"")</f>
        <v>0.2273</v>
      </c>
      <c r="L363" s="25">
        <f>IF(ISNUMBER(INDEX(Dataset2_Raw!$C$2:$C$611,$Q363)),INDEX(Dataset2_Raw!$C$2:$C$611,$Q363),"")</f>
        <v>0.35</v>
      </c>
      <c r="M363" s="25">
        <f>IF(ISNUMBER(INDEX(Dataset2_Raw!$D$2:$D$611,$Q363)),INDEX(Dataset2_Raw!$D$2:$D$611,$Q363),"")</f>
        <v>0.29849999999999999</v>
      </c>
      <c r="N363" s="23">
        <f>IF(ISNUMBER(INDEX(Dataset2_Raw!$E$2:$E$611,$Q363)),INDEX(Dataset2_Raw!$E$2:$E$611,$Q363),"")</f>
        <v>23</v>
      </c>
      <c r="O363" s="23">
        <f>IF(ISNUMBER(INDEX(Dataset2_Raw!$F$2:$F$611,$Q363)),INDEX(Dataset2_Raw!$F$2:$F$611,$Q363),"")</f>
        <v>95</v>
      </c>
      <c r="P363" s="23">
        <f>IF(ISNUMBER(INDEX(Dataset2_Raw!$G$2:$G$611,$Q363)),INDEX(Dataset2_Raw!$G$2:$G$611,$Q363),"")</f>
        <v>118</v>
      </c>
      <c r="Q363" s="23">
        <f>IFERROR(MATCH($A363,Dataset2_Raw!$A$2:$A$611,0),0)</f>
        <v>362</v>
      </c>
    </row>
    <row r="364" spans="1:17" x14ac:dyDescent="0.35">
      <c r="A364" s="23">
        <f>Dataset1_Raw!A364</f>
        <v>363</v>
      </c>
      <c r="B364" s="24">
        <f>Dataset1_Raw!B364</f>
        <v>40559</v>
      </c>
      <c r="C364" s="23">
        <f>Dataset1_Raw!C364</f>
        <v>1</v>
      </c>
      <c r="D364" s="23">
        <f>Dataset1_Raw!D364</f>
        <v>0</v>
      </c>
      <c r="E364" s="23">
        <f>Dataset1_Raw!E364</f>
        <v>1</v>
      </c>
      <c r="F364" s="23">
        <f>Dataset1_Raw!F364</f>
        <v>14</v>
      </c>
      <c r="G364" s="23" t="b">
        <f>Dataset1_Raw!G364</f>
        <v>0</v>
      </c>
      <c r="H364" s="23">
        <f>Dataset1_Raw!H364</f>
        <v>0</v>
      </c>
      <c r="I364" s="23">
        <f>Dataset1_Raw!I364</f>
        <v>1</v>
      </c>
      <c r="J364" s="25">
        <f>Dataset1_Raw!J364</f>
        <v>0.28000000000000003</v>
      </c>
      <c r="K364" s="25">
        <f>IF(ISNUMBER(INDEX(Dataset2_Raw!$B$2:$B$611,$Q364)),INDEX(Dataset2_Raw!$B$2:$B$611,$Q364),"")</f>
        <v>0.2727</v>
      </c>
      <c r="L364" s="25">
        <f>IF(ISNUMBER(INDEX(Dataset2_Raw!$C$2:$C$611,$Q364)),INDEX(Dataset2_Raw!$C$2:$C$611,$Q364),"")</f>
        <v>0.36</v>
      </c>
      <c r="M364" s="25">
        <f>IF(ISNUMBER(INDEX(Dataset2_Raw!$D$2:$D$611,$Q364)),INDEX(Dataset2_Raw!$D$2:$D$611,$Q364),"")</f>
        <v>0.25369999999999998</v>
      </c>
      <c r="N364" s="23">
        <f>IF(ISNUMBER(INDEX(Dataset2_Raw!$E$2:$E$611,$Q364)),INDEX(Dataset2_Raw!$E$2:$E$611,$Q364),"")</f>
        <v>22</v>
      </c>
      <c r="O364" s="23">
        <f>IF(ISNUMBER(INDEX(Dataset2_Raw!$F$2:$F$611,$Q364)),INDEX(Dataset2_Raw!$F$2:$F$611,$Q364),"")</f>
        <v>69</v>
      </c>
      <c r="P364" s="23">
        <f>IF(ISNUMBER(INDEX(Dataset2_Raw!$G$2:$G$611,$Q364)),INDEX(Dataset2_Raw!$G$2:$G$611,$Q364),"")</f>
        <v>91</v>
      </c>
      <c r="Q364" s="23">
        <f>IFERROR(MATCH($A364,Dataset2_Raw!$A$2:$A$611,0),0)</f>
        <v>363</v>
      </c>
    </row>
    <row r="365" spans="1:17" x14ac:dyDescent="0.35">
      <c r="A365" s="23">
        <f>Dataset1_Raw!A365</f>
        <v>364</v>
      </c>
      <c r="B365" s="24">
        <f>Dataset1_Raw!B365</f>
        <v>40559</v>
      </c>
      <c r="C365" s="23">
        <f>Dataset1_Raw!C365</f>
        <v>1</v>
      </c>
      <c r="D365" s="23">
        <f>Dataset1_Raw!D365</f>
        <v>0</v>
      </c>
      <c r="E365" s="23">
        <f>Dataset1_Raw!E365</f>
        <v>1</v>
      </c>
      <c r="F365" s="23">
        <f>Dataset1_Raw!F365</f>
        <v>15</v>
      </c>
      <c r="G365" s="23" t="b">
        <f>Dataset1_Raw!G365</f>
        <v>0</v>
      </c>
      <c r="H365" s="23">
        <f>Dataset1_Raw!H365</f>
        <v>0</v>
      </c>
      <c r="I365" s="23">
        <f>Dataset1_Raw!I365</f>
        <v>1</v>
      </c>
      <c r="J365" s="25">
        <f>Dataset1_Raw!J365</f>
        <v>0.26</v>
      </c>
      <c r="K365" s="25">
        <f>IF(ISNUMBER(INDEX(Dataset2_Raw!$B$2:$B$611,$Q365)),INDEX(Dataset2_Raw!$B$2:$B$611,$Q365),"")</f>
        <v>0.2424</v>
      </c>
      <c r="L365" s="25">
        <f>IF(ISNUMBER(INDEX(Dataset2_Raw!$C$2:$C$611,$Q365)),INDEX(Dataset2_Raw!$C$2:$C$611,$Q365),"")</f>
        <v>0.38</v>
      </c>
      <c r="M365" s="25">
        <f>IF(ISNUMBER(INDEX(Dataset2_Raw!$D$2:$D$611,$Q365)),INDEX(Dataset2_Raw!$D$2:$D$611,$Q365),"")</f>
        <v>0.25369999999999998</v>
      </c>
      <c r="N365" s="23">
        <f>IF(ISNUMBER(INDEX(Dataset2_Raw!$E$2:$E$611,$Q365)),INDEX(Dataset2_Raw!$E$2:$E$611,$Q365),"")</f>
        <v>35</v>
      </c>
      <c r="O365" s="23">
        <f>IF(ISNUMBER(INDEX(Dataset2_Raw!$F$2:$F$611,$Q365)),INDEX(Dataset2_Raw!$F$2:$F$611,$Q365),"")</f>
        <v>78</v>
      </c>
      <c r="P365" s="23">
        <f>IF(ISNUMBER(INDEX(Dataset2_Raw!$G$2:$G$611,$Q365)),INDEX(Dataset2_Raw!$G$2:$G$611,$Q365),"")</f>
        <v>113</v>
      </c>
      <c r="Q365" s="23">
        <f>IFERROR(MATCH($A365,Dataset2_Raw!$A$2:$A$611,0),0)</f>
        <v>364</v>
      </c>
    </row>
    <row r="366" spans="1:17" x14ac:dyDescent="0.35">
      <c r="A366" s="23">
        <f>Dataset1_Raw!A366</f>
        <v>365</v>
      </c>
      <c r="B366" s="24">
        <f>Dataset1_Raw!B366</f>
        <v>40559</v>
      </c>
      <c r="C366" s="23">
        <f>Dataset1_Raw!C366</f>
        <v>1</v>
      </c>
      <c r="D366" s="23">
        <f>Dataset1_Raw!D366</f>
        <v>0</v>
      </c>
      <c r="E366" s="23">
        <f>Dataset1_Raw!E366</f>
        <v>1</v>
      </c>
      <c r="F366" s="23">
        <f>Dataset1_Raw!F366</f>
        <v>16</v>
      </c>
      <c r="G366" s="23" t="b">
        <f>Dataset1_Raw!G366</f>
        <v>0</v>
      </c>
      <c r="H366" s="23">
        <f>Dataset1_Raw!H366</f>
        <v>0</v>
      </c>
      <c r="I366" s="23">
        <f>Dataset1_Raw!I366</f>
        <v>1</v>
      </c>
      <c r="J366" s="25">
        <f>Dataset1_Raw!J366</f>
        <v>0.24</v>
      </c>
      <c r="K366" s="25">
        <f>IF(ISNUMBER(INDEX(Dataset2_Raw!$B$2:$B$611,$Q366)),INDEX(Dataset2_Raw!$B$2:$B$611,$Q366),"")</f>
        <v>0.2273</v>
      </c>
      <c r="L366" s="25">
        <f>IF(ISNUMBER(INDEX(Dataset2_Raw!$C$2:$C$611,$Q366)),INDEX(Dataset2_Raw!$C$2:$C$611,$Q366),"")</f>
        <v>0.38</v>
      </c>
      <c r="M366" s="25">
        <f>IF(ISNUMBER(INDEX(Dataset2_Raw!$D$2:$D$611,$Q366)),INDEX(Dataset2_Raw!$D$2:$D$611,$Q366),"")</f>
        <v>0.22389999999999999</v>
      </c>
      <c r="N366" s="23">
        <f>IF(ISNUMBER(INDEX(Dataset2_Raw!$E$2:$E$611,$Q366)),INDEX(Dataset2_Raw!$E$2:$E$611,$Q366),"")</f>
        <v>22</v>
      </c>
      <c r="O366" s="23">
        <f>IF(ISNUMBER(INDEX(Dataset2_Raw!$F$2:$F$611,$Q366)),INDEX(Dataset2_Raw!$F$2:$F$611,$Q366),"")</f>
        <v>77</v>
      </c>
      <c r="P366" s="23">
        <f>IF(ISNUMBER(INDEX(Dataset2_Raw!$G$2:$G$611,$Q366)),INDEX(Dataset2_Raw!$G$2:$G$611,$Q366),"")</f>
        <v>99</v>
      </c>
      <c r="Q366" s="23">
        <f>IFERROR(MATCH($A366,Dataset2_Raw!$A$2:$A$611,0),0)</f>
        <v>365</v>
      </c>
    </row>
    <row r="367" spans="1:17" x14ac:dyDescent="0.35">
      <c r="A367" s="23">
        <f>Dataset1_Raw!A367</f>
        <v>366</v>
      </c>
      <c r="B367" s="24">
        <f>Dataset1_Raw!B367</f>
        <v>40559</v>
      </c>
      <c r="C367" s="23">
        <f>Dataset1_Raw!C367</f>
        <v>1</v>
      </c>
      <c r="D367" s="23">
        <f>Dataset1_Raw!D367</f>
        <v>0</v>
      </c>
      <c r="E367" s="23">
        <f>Dataset1_Raw!E367</f>
        <v>1</v>
      </c>
      <c r="F367" s="23">
        <f>Dataset1_Raw!F367</f>
        <v>17</v>
      </c>
      <c r="G367" s="23" t="b">
        <f>Dataset1_Raw!G367</f>
        <v>0</v>
      </c>
      <c r="H367" s="23">
        <f>Dataset1_Raw!H367</f>
        <v>0</v>
      </c>
      <c r="I367" s="23">
        <f>Dataset1_Raw!I367</f>
        <v>1</v>
      </c>
      <c r="J367" s="25">
        <f>Dataset1_Raw!J367</f>
        <v>0.22</v>
      </c>
      <c r="K367" s="25">
        <f>IF(ISNUMBER(INDEX(Dataset2_Raw!$B$2:$B$611,$Q367)),INDEX(Dataset2_Raw!$B$2:$B$611,$Q367),"")</f>
        <v>0.21210000000000001</v>
      </c>
      <c r="L367" s="25">
        <f>IF(ISNUMBER(INDEX(Dataset2_Raw!$C$2:$C$611,$Q367)),INDEX(Dataset2_Raw!$C$2:$C$611,$Q367),"")</f>
        <v>0.37</v>
      </c>
      <c r="M367" s="25">
        <f>IF(ISNUMBER(INDEX(Dataset2_Raw!$D$2:$D$611,$Q367)),INDEX(Dataset2_Raw!$D$2:$D$611,$Q367),"")</f>
        <v>0.25369999999999998</v>
      </c>
      <c r="N367" s="23">
        <f>IF(ISNUMBER(INDEX(Dataset2_Raw!$E$2:$E$611,$Q367)),INDEX(Dataset2_Raw!$E$2:$E$611,$Q367),"")</f>
        <v>23</v>
      </c>
      <c r="O367" s="23">
        <f>IF(ISNUMBER(INDEX(Dataset2_Raw!$F$2:$F$611,$Q367)),INDEX(Dataset2_Raw!$F$2:$F$611,$Q367),"")</f>
        <v>82</v>
      </c>
      <c r="P367" s="23">
        <f>IF(ISNUMBER(INDEX(Dataset2_Raw!$G$2:$G$611,$Q367)),INDEX(Dataset2_Raw!$G$2:$G$611,$Q367),"")</f>
        <v>105</v>
      </c>
      <c r="Q367" s="23">
        <f>IFERROR(MATCH($A367,Dataset2_Raw!$A$2:$A$611,0),0)</f>
        <v>366</v>
      </c>
    </row>
    <row r="368" spans="1:17" x14ac:dyDescent="0.35">
      <c r="A368" s="23">
        <f>Dataset1_Raw!A368</f>
        <v>367</v>
      </c>
      <c r="B368" s="24">
        <f>Dataset1_Raw!B368</f>
        <v>40559</v>
      </c>
      <c r="C368" s="23">
        <f>Dataset1_Raw!C368</f>
        <v>1</v>
      </c>
      <c r="D368" s="23">
        <f>Dataset1_Raw!D368</f>
        <v>0</v>
      </c>
      <c r="E368" s="23">
        <f>Dataset1_Raw!E368</f>
        <v>1</v>
      </c>
      <c r="F368" s="23">
        <f>Dataset1_Raw!F368</f>
        <v>18</v>
      </c>
      <c r="G368" s="23" t="b">
        <f>Dataset1_Raw!G368</f>
        <v>0</v>
      </c>
      <c r="H368" s="23">
        <f>Dataset1_Raw!H368</f>
        <v>0</v>
      </c>
      <c r="I368" s="23">
        <f>Dataset1_Raw!I368</f>
        <v>1</v>
      </c>
      <c r="J368" s="25">
        <f>Dataset1_Raw!J368</f>
        <v>0.2</v>
      </c>
      <c r="K368" s="25">
        <f>IF(ISNUMBER(INDEX(Dataset2_Raw!$B$2:$B$611,$Q368)),INDEX(Dataset2_Raw!$B$2:$B$611,$Q368),"")</f>
        <v>0.21210000000000001</v>
      </c>
      <c r="L368" s="25">
        <f>IF(ISNUMBER(INDEX(Dataset2_Raw!$C$2:$C$611,$Q368)),INDEX(Dataset2_Raw!$C$2:$C$611,$Q368),"")</f>
        <v>0.4</v>
      </c>
      <c r="M368" s="25">
        <f>IF(ISNUMBER(INDEX(Dataset2_Raw!$D$2:$D$611,$Q368)),INDEX(Dataset2_Raw!$D$2:$D$611,$Q368),"")</f>
        <v>0.16420000000000001</v>
      </c>
      <c r="N368" s="23">
        <f>IF(ISNUMBER(INDEX(Dataset2_Raw!$E$2:$E$611,$Q368)),INDEX(Dataset2_Raw!$E$2:$E$611,$Q368),"")</f>
        <v>11</v>
      </c>
      <c r="O368" s="23">
        <f>IF(ISNUMBER(INDEX(Dataset2_Raw!$F$2:$F$611,$Q368)),INDEX(Dataset2_Raw!$F$2:$F$611,$Q368),"")</f>
        <v>56</v>
      </c>
      <c r="P368" s="23">
        <f>IF(ISNUMBER(INDEX(Dataset2_Raw!$G$2:$G$611,$Q368)),INDEX(Dataset2_Raw!$G$2:$G$611,$Q368),"")</f>
        <v>67</v>
      </c>
      <c r="Q368" s="23">
        <f>IFERROR(MATCH($A368,Dataset2_Raw!$A$2:$A$611,0),0)</f>
        <v>367</v>
      </c>
    </row>
    <row r="369" spans="1:17" x14ac:dyDescent="0.35">
      <c r="A369" s="23">
        <f>Dataset1_Raw!A369</f>
        <v>368</v>
      </c>
      <c r="B369" s="24">
        <f>Dataset1_Raw!B369</f>
        <v>40559</v>
      </c>
      <c r="C369" s="23">
        <f>Dataset1_Raw!C369</f>
        <v>1</v>
      </c>
      <c r="D369" s="23">
        <f>Dataset1_Raw!D369</f>
        <v>0</v>
      </c>
      <c r="E369" s="23">
        <f>Dataset1_Raw!E369</f>
        <v>1</v>
      </c>
      <c r="F369" s="23">
        <f>Dataset1_Raw!F369</f>
        <v>19</v>
      </c>
      <c r="G369" s="23" t="b">
        <f>Dataset1_Raw!G369</f>
        <v>0</v>
      </c>
      <c r="H369" s="23">
        <f>Dataset1_Raw!H369</f>
        <v>0</v>
      </c>
      <c r="I369" s="23">
        <f>Dataset1_Raw!I369</f>
        <v>1</v>
      </c>
      <c r="J369" s="25">
        <f>Dataset1_Raw!J369</f>
        <v>0.18</v>
      </c>
      <c r="K369" s="25">
        <f>IF(ISNUMBER(INDEX(Dataset2_Raw!$B$2:$B$611,$Q369)),INDEX(Dataset2_Raw!$B$2:$B$611,$Q369),"")</f>
        <v>0.19700000000000001</v>
      </c>
      <c r="L369" s="25">
        <f>IF(ISNUMBER(INDEX(Dataset2_Raw!$C$2:$C$611,$Q369)),INDEX(Dataset2_Raw!$C$2:$C$611,$Q369),"")</f>
        <v>0.47</v>
      </c>
      <c r="M369" s="25">
        <f>IF(ISNUMBER(INDEX(Dataset2_Raw!$D$2:$D$611,$Q369)),INDEX(Dataset2_Raw!$D$2:$D$611,$Q369),"")</f>
        <v>0.1343</v>
      </c>
      <c r="N369" s="23">
        <f>IF(ISNUMBER(INDEX(Dataset2_Raw!$E$2:$E$611,$Q369)),INDEX(Dataset2_Raw!$E$2:$E$611,$Q369),"")</f>
        <v>14</v>
      </c>
      <c r="O369" s="23">
        <f>IF(ISNUMBER(INDEX(Dataset2_Raw!$F$2:$F$611,$Q369)),INDEX(Dataset2_Raw!$F$2:$F$611,$Q369),"")</f>
        <v>47</v>
      </c>
      <c r="P369" s="23">
        <f>IF(ISNUMBER(INDEX(Dataset2_Raw!$G$2:$G$611,$Q369)),INDEX(Dataset2_Raw!$G$2:$G$611,$Q369),"")</f>
        <v>61</v>
      </c>
      <c r="Q369" s="23">
        <f>IFERROR(MATCH($A369,Dataset2_Raw!$A$2:$A$611,0),0)</f>
        <v>368</v>
      </c>
    </row>
    <row r="370" spans="1:17" x14ac:dyDescent="0.35">
      <c r="A370" s="23">
        <f>Dataset1_Raw!A370</f>
        <v>369</v>
      </c>
      <c r="B370" s="24">
        <f>Dataset1_Raw!B370</f>
        <v>40559</v>
      </c>
      <c r="C370" s="23">
        <f>Dataset1_Raw!C370</f>
        <v>1</v>
      </c>
      <c r="D370" s="23">
        <f>Dataset1_Raw!D370</f>
        <v>0</v>
      </c>
      <c r="E370" s="23">
        <f>Dataset1_Raw!E370</f>
        <v>1</v>
      </c>
      <c r="F370" s="23">
        <f>Dataset1_Raw!F370</f>
        <v>20</v>
      </c>
      <c r="G370" s="23" t="b">
        <f>Dataset1_Raw!G370</f>
        <v>0</v>
      </c>
      <c r="H370" s="23">
        <f>Dataset1_Raw!H370</f>
        <v>0</v>
      </c>
      <c r="I370" s="23">
        <f>Dataset1_Raw!I370</f>
        <v>1</v>
      </c>
      <c r="J370" s="25">
        <f>Dataset1_Raw!J370</f>
        <v>0.18</v>
      </c>
      <c r="K370" s="25">
        <f>IF(ISNUMBER(INDEX(Dataset2_Raw!$B$2:$B$611,$Q370)),INDEX(Dataset2_Raw!$B$2:$B$611,$Q370),"")</f>
        <v>0.19700000000000001</v>
      </c>
      <c r="L370" s="25">
        <f>IF(ISNUMBER(INDEX(Dataset2_Raw!$C$2:$C$611,$Q370)),INDEX(Dataset2_Raw!$C$2:$C$611,$Q370),"")</f>
        <v>0.47</v>
      </c>
      <c r="M370" s="25">
        <f>IF(ISNUMBER(INDEX(Dataset2_Raw!$D$2:$D$611,$Q370)),INDEX(Dataset2_Raw!$D$2:$D$611,$Q370),"")</f>
        <v>0.16420000000000001</v>
      </c>
      <c r="N370" s="23">
        <f>IF(ISNUMBER(INDEX(Dataset2_Raw!$E$2:$E$611,$Q370)),INDEX(Dataset2_Raw!$E$2:$E$611,$Q370),"")</f>
        <v>7</v>
      </c>
      <c r="O370" s="23">
        <f>IF(ISNUMBER(INDEX(Dataset2_Raw!$F$2:$F$611,$Q370)),INDEX(Dataset2_Raw!$F$2:$F$611,$Q370),"")</f>
        <v>50</v>
      </c>
      <c r="P370" s="23">
        <f>IF(ISNUMBER(INDEX(Dataset2_Raw!$G$2:$G$611,$Q370)),INDEX(Dataset2_Raw!$G$2:$G$611,$Q370),"")</f>
        <v>57</v>
      </c>
      <c r="Q370" s="23">
        <f>IFERROR(MATCH($A370,Dataset2_Raw!$A$2:$A$611,0),0)</f>
        <v>369</v>
      </c>
    </row>
    <row r="371" spans="1:17" x14ac:dyDescent="0.35">
      <c r="A371" s="23">
        <f>Dataset1_Raw!A371</f>
        <v>370</v>
      </c>
      <c r="B371" s="24">
        <f>Dataset1_Raw!B371</f>
        <v>40559</v>
      </c>
      <c r="C371" s="23">
        <f>Dataset1_Raw!C371</f>
        <v>1</v>
      </c>
      <c r="D371" s="23">
        <f>Dataset1_Raw!D371</f>
        <v>0</v>
      </c>
      <c r="E371" s="23">
        <f>Dataset1_Raw!E371</f>
        <v>1</v>
      </c>
      <c r="F371" s="23">
        <f>Dataset1_Raw!F371</f>
        <v>21</v>
      </c>
      <c r="G371" s="23" t="b">
        <f>Dataset1_Raw!G371</f>
        <v>0</v>
      </c>
      <c r="H371" s="23">
        <f>Dataset1_Raw!H371</f>
        <v>0</v>
      </c>
      <c r="I371" s="23">
        <f>Dataset1_Raw!I371</f>
        <v>1</v>
      </c>
      <c r="J371" s="25">
        <f>Dataset1_Raw!J371</f>
        <v>0.18</v>
      </c>
      <c r="K371" s="25">
        <f>IF(ISNUMBER(INDEX(Dataset2_Raw!$B$2:$B$611,$Q371)),INDEX(Dataset2_Raw!$B$2:$B$611,$Q371),"")</f>
        <v>0.19700000000000001</v>
      </c>
      <c r="L371" s="25">
        <f>IF(ISNUMBER(INDEX(Dataset2_Raw!$C$2:$C$611,$Q371)),INDEX(Dataset2_Raw!$C$2:$C$611,$Q371),"")</f>
        <v>0.51</v>
      </c>
      <c r="M371" s="25">
        <f>IF(ISNUMBER(INDEX(Dataset2_Raw!$D$2:$D$611,$Q371)),INDEX(Dataset2_Raw!$D$2:$D$611,$Q371),"")</f>
        <v>0.16420000000000001</v>
      </c>
      <c r="N371" s="23">
        <f>IF(ISNUMBER(INDEX(Dataset2_Raw!$E$2:$E$611,$Q371)),INDEX(Dataset2_Raw!$E$2:$E$611,$Q371),"")</f>
        <v>6</v>
      </c>
      <c r="O371" s="23">
        <f>IF(ISNUMBER(INDEX(Dataset2_Raw!$F$2:$F$611,$Q371)),INDEX(Dataset2_Raw!$F$2:$F$611,$Q371),"")</f>
        <v>22</v>
      </c>
      <c r="P371" s="23">
        <f>IF(ISNUMBER(INDEX(Dataset2_Raw!$G$2:$G$611,$Q371)),INDEX(Dataset2_Raw!$G$2:$G$611,$Q371),"")</f>
        <v>28</v>
      </c>
      <c r="Q371" s="23">
        <f>IFERROR(MATCH($A371,Dataset2_Raw!$A$2:$A$611,0),0)</f>
        <v>370</v>
      </c>
    </row>
    <row r="372" spans="1:17" x14ac:dyDescent="0.35">
      <c r="A372" s="23">
        <f>Dataset1_Raw!A372</f>
        <v>371</v>
      </c>
      <c r="B372" s="24">
        <f>Dataset1_Raw!B372</f>
        <v>40559</v>
      </c>
      <c r="C372" s="23">
        <f>Dataset1_Raw!C372</f>
        <v>1</v>
      </c>
      <c r="D372" s="23">
        <f>Dataset1_Raw!D372</f>
        <v>0</v>
      </c>
      <c r="E372" s="23">
        <f>Dataset1_Raw!E372</f>
        <v>1</v>
      </c>
      <c r="F372" s="23">
        <f>Dataset1_Raw!F372</f>
        <v>22</v>
      </c>
      <c r="G372" s="23" t="b">
        <f>Dataset1_Raw!G372</f>
        <v>0</v>
      </c>
      <c r="H372" s="23">
        <f>Dataset1_Raw!H372</f>
        <v>0</v>
      </c>
      <c r="I372" s="23">
        <f>Dataset1_Raw!I372</f>
        <v>2</v>
      </c>
      <c r="J372" s="25">
        <f>Dataset1_Raw!J372</f>
        <v>0.2</v>
      </c>
      <c r="K372" s="25">
        <f>IF(ISNUMBER(INDEX(Dataset2_Raw!$B$2:$B$611,$Q372)),INDEX(Dataset2_Raw!$B$2:$B$611,$Q372),"")</f>
        <v>0.21210000000000001</v>
      </c>
      <c r="L372" s="25">
        <f>IF(ISNUMBER(INDEX(Dataset2_Raw!$C$2:$C$611,$Q372)),INDEX(Dataset2_Raw!$C$2:$C$611,$Q372),"")</f>
        <v>0.49</v>
      </c>
      <c r="M372" s="25">
        <f>IF(ISNUMBER(INDEX(Dataset2_Raw!$D$2:$D$611,$Q372)),INDEX(Dataset2_Raw!$D$2:$D$611,$Q372),"")</f>
        <v>0.1343</v>
      </c>
      <c r="N372" s="23">
        <f>IF(ISNUMBER(INDEX(Dataset2_Raw!$E$2:$E$611,$Q372)),INDEX(Dataset2_Raw!$E$2:$E$611,$Q372),"")</f>
        <v>2</v>
      </c>
      <c r="O372" s="23">
        <f>IF(ISNUMBER(INDEX(Dataset2_Raw!$F$2:$F$611,$Q372)),INDEX(Dataset2_Raw!$F$2:$F$611,$Q372),"")</f>
        <v>19</v>
      </c>
      <c r="P372" s="23">
        <f>IF(ISNUMBER(INDEX(Dataset2_Raw!$G$2:$G$611,$Q372)),INDEX(Dataset2_Raw!$G$2:$G$611,$Q372),"")</f>
        <v>21</v>
      </c>
      <c r="Q372" s="23">
        <f>IFERROR(MATCH($A372,Dataset2_Raw!$A$2:$A$611,0),0)</f>
        <v>371</v>
      </c>
    </row>
    <row r="373" spans="1:17" x14ac:dyDescent="0.35">
      <c r="A373" s="23">
        <f>Dataset1_Raw!A373</f>
        <v>372</v>
      </c>
      <c r="B373" s="24">
        <f>Dataset1_Raw!B373</f>
        <v>40559</v>
      </c>
      <c r="C373" s="23">
        <f>Dataset1_Raw!C373</f>
        <v>1</v>
      </c>
      <c r="D373" s="23">
        <f>Dataset1_Raw!D373</f>
        <v>0</v>
      </c>
      <c r="E373" s="23">
        <f>Dataset1_Raw!E373</f>
        <v>1</v>
      </c>
      <c r="F373" s="23">
        <f>Dataset1_Raw!F373</f>
        <v>23</v>
      </c>
      <c r="G373" s="23" t="b">
        <f>Dataset1_Raw!G373</f>
        <v>0</v>
      </c>
      <c r="H373" s="23">
        <f>Dataset1_Raw!H373</f>
        <v>0</v>
      </c>
      <c r="I373" s="23">
        <f>Dataset1_Raw!I373</f>
        <v>2</v>
      </c>
      <c r="J373" s="25">
        <f>Dataset1_Raw!J373</f>
        <v>0.2</v>
      </c>
      <c r="K373" s="25">
        <f>IF(ISNUMBER(INDEX(Dataset2_Raw!$B$2:$B$611,$Q373)),INDEX(Dataset2_Raw!$B$2:$B$611,$Q373),"")</f>
        <v>0.2273</v>
      </c>
      <c r="L373" s="25">
        <f>IF(ISNUMBER(INDEX(Dataset2_Raw!$C$2:$C$611,$Q373)),INDEX(Dataset2_Raw!$C$2:$C$611,$Q373),"")</f>
        <v>0.4</v>
      </c>
      <c r="M373" s="25">
        <f>IF(ISNUMBER(INDEX(Dataset2_Raw!$D$2:$D$611,$Q373)),INDEX(Dataset2_Raw!$D$2:$D$611,$Q373),"")</f>
        <v>0.1045</v>
      </c>
      <c r="N373" s="23">
        <f>IF(ISNUMBER(INDEX(Dataset2_Raw!$E$2:$E$611,$Q373)),INDEX(Dataset2_Raw!$E$2:$E$611,$Q373),"")</f>
        <v>0</v>
      </c>
      <c r="O373" s="23">
        <f>IF(ISNUMBER(INDEX(Dataset2_Raw!$F$2:$F$611,$Q373)),INDEX(Dataset2_Raw!$F$2:$F$611,$Q373),"")</f>
        <v>18</v>
      </c>
      <c r="P373" s="23">
        <f>IF(ISNUMBER(INDEX(Dataset2_Raw!$G$2:$G$611,$Q373)),INDEX(Dataset2_Raw!$G$2:$G$611,$Q373),"")</f>
        <v>18</v>
      </c>
      <c r="Q373" s="23">
        <f>IFERROR(MATCH($A373,Dataset2_Raw!$A$2:$A$611,0),0)</f>
        <v>372</v>
      </c>
    </row>
    <row r="374" spans="1:17" x14ac:dyDescent="0.35">
      <c r="A374" s="23">
        <f>Dataset1_Raw!A374</f>
        <v>373</v>
      </c>
      <c r="B374" s="24">
        <f>Dataset1_Raw!B374</f>
        <v>40560</v>
      </c>
      <c r="C374" s="23">
        <f>Dataset1_Raw!C374</f>
        <v>1</v>
      </c>
      <c r="D374" s="23">
        <f>Dataset1_Raw!D374</f>
        <v>0</v>
      </c>
      <c r="E374" s="23">
        <f>Dataset1_Raw!E374</f>
        <v>1</v>
      </c>
      <c r="F374" s="23">
        <f>Dataset1_Raw!F374</f>
        <v>0</v>
      </c>
      <c r="G374" s="23" t="b">
        <f>Dataset1_Raw!G374</f>
        <v>1</v>
      </c>
      <c r="H374" s="23">
        <f>Dataset1_Raw!H374</f>
        <v>1</v>
      </c>
      <c r="I374" s="23">
        <f>Dataset1_Raw!I374</f>
        <v>2</v>
      </c>
      <c r="J374" s="25">
        <f>Dataset1_Raw!J374</f>
        <v>0.2</v>
      </c>
      <c r="K374" s="25">
        <f>IF(ISNUMBER(INDEX(Dataset2_Raw!$B$2:$B$611,$Q374)),INDEX(Dataset2_Raw!$B$2:$B$611,$Q374),"")</f>
        <v>0.19700000000000001</v>
      </c>
      <c r="L374" s="25">
        <f>IF(ISNUMBER(INDEX(Dataset2_Raw!$C$2:$C$611,$Q374)),INDEX(Dataset2_Raw!$C$2:$C$611,$Q374),"")</f>
        <v>0.47</v>
      </c>
      <c r="M374" s="25">
        <f>IF(ISNUMBER(INDEX(Dataset2_Raw!$D$2:$D$611,$Q374)),INDEX(Dataset2_Raw!$D$2:$D$611,$Q374),"")</f>
        <v>0.22389999999999999</v>
      </c>
      <c r="N374" s="23">
        <f>IF(ISNUMBER(INDEX(Dataset2_Raw!$E$2:$E$611,$Q374)),INDEX(Dataset2_Raw!$E$2:$E$611,$Q374),"")</f>
        <v>1</v>
      </c>
      <c r="O374" s="23">
        <f>IF(ISNUMBER(INDEX(Dataset2_Raw!$F$2:$F$611,$Q374)),INDEX(Dataset2_Raw!$F$2:$F$611,$Q374),"")</f>
        <v>16</v>
      </c>
      <c r="P374" s="23">
        <f>IF(ISNUMBER(INDEX(Dataset2_Raw!$G$2:$G$611,$Q374)),INDEX(Dataset2_Raw!$G$2:$G$611,$Q374),"")</f>
        <v>17</v>
      </c>
      <c r="Q374" s="23">
        <f>IFERROR(MATCH($A374,Dataset2_Raw!$A$2:$A$611,0),0)</f>
        <v>373</v>
      </c>
    </row>
    <row r="375" spans="1:17" x14ac:dyDescent="0.35">
      <c r="A375" s="23">
        <f>Dataset1_Raw!A375</f>
        <v>374</v>
      </c>
      <c r="B375" s="24">
        <f>Dataset1_Raw!B375</f>
        <v>40560</v>
      </c>
      <c r="C375" s="23">
        <f>Dataset1_Raw!C375</f>
        <v>1</v>
      </c>
      <c r="D375" s="23">
        <f>Dataset1_Raw!D375</f>
        <v>0</v>
      </c>
      <c r="E375" s="23">
        <f>Dataset1_Raw!E375</f>
        <v>1</v>
      </c>
      <c r="F375" s="23">
        <f>Dataset1_Raw!F375</f>
        <v>1</v>
      </c>
      <c r="G375" s="23" t="b">
        <f>Dataset1_Raw!G375</f>
        <v>1</v>
      </c>
      <c r="H375" s="23">
        <f>Dataset1_Raw!H375</f>
        <v>1</v>
      </c>
      <c r="I375" s="23">
        <f>Dataset1_Raw!I375</f>
        <v>2</v>
      </c>
      <c r="J375" s="25">
        <f>Dataset1_Raw!J375</f>
        <v>0.2</v>
      </c>
      <c r="K375" s="25">
        <f>IF(ISNUMBER(INDEX(Dataset2_Raw!$B$2:$B$611,$Q375)),INDEX(Dataset2_Raw!$B$2:$B$611,$Q375),"")</f>
        <v>0.19700000000000001</v>
      </c>
      <c r="L375" s="25">
        <f>IF(ISNUMBER(INDEX(Dataset2_Raw!$C$2:$C$611,$Q375)),INDEX(Dataset2_Raw!$C$2:$C$611,$Q375),"")</f>
        <v>0.44</v>
      </c>
      <c r="M375" s="25">
        <f>IF(ISNUMBER(INDEX(Dataset2_Raw!$D$2:$D$611,$Q375)),INDEX(Dataset2_Raw!$D$2:$D$611,$Q375),"")</f>
        <v>0.19400000000000001</v>
      </c>
      <c r="N375" s="23">
        <f>IF(ISNUMBER(INDEX(Dataset2_Raw!$E$2:$E$611,$Q375)),INDEX(Dataset2_Raw!$E$2:$E$611,$Q375),"")</f>
        <v>1</v>
      </c>
      <c r="O375" s="23">
        <f>IF(ISNUMBER(INDEX(Dataset2_Raw!$F$2:$F$611,$Q375)),INDEX(Dataset2_Raw!$F$2:$F$611,$Q375),"")</f>
        <v>15</v>
      </c>
      <c r="P375" s="23">
        <f>IF(ISNUMBER(INDEX(Dataset2_Raw!$G$2:$G$611,$Q375)),INDEX(Dataset2_Raw!$G$2:$G$611,$Q375),"")</f>
        <v>16</v>
      </c>
      <c r="Q375" s="23">
        <f>IFERROR(MATCH($A375,Dataset2_Raw!$A$2:$A$611,0),0)</f>
        <v>374</v>
      </c>
    </row>
    <row r="376" spans="1:17" x14ac:dyDescent="0.35">
      <c r="A376" s="23">
        <f>Dataset1_Raw!A376</f>
        <v>375</v>
      </c>
      <c r="B376" s="24">
        <f>Dataset1_Raw!B376</f>
        <v>40560</v>
      </c>
      <c r="C376" s="23">
        <f>Dataset1_Raw!C376</f>
        <v>1</v>
      </c>
      <c r="D376" s="23">
        <f>Dataset1_Raw!D376</f>
        <v>0</v>
      </c>
      <c r="E376" s="23">
        <f>Dataset1_Raw!E376</f>
        <v>1</v>
      </c>
      <c r="F376" s="23">
        <f>Dataset1_Raw!F376</f>
        <v>2</v>
      </c>
      <c r="G376" s="23" t="b">
        <f>Dataset1_Raw!G376</f>
        <v>1</v>
      </c>
      <c r="H376" s="23">
        <f>Dataset1_Raw!H376</f>
        <v>1</v>
      </c>
      <c r="I376" s="23">
        <f>Dataset1_Raw!I376</f>
        <v>2</v>
      </c>
      <c r="J376" s="25">
        <f>Dataset1_Raw!J376</f>
        <v>0.18</v>
      </c>
      <c r="K376" s="25">
        <f>IF(ISNUMBER(INDEX(Dataset2_Raw!$B$2:$B$611,$Q376)),INDEX(Dataset2_Raw!$B$2:$B$611,$Q376),"")</f>
        <v>0.16669999999999999</v>
      </c>
      <c r="L376" s="25">
        <f>IF(ISNUMBER(INDEX(Dataset2_Raw!$C$2:$C$611,$Q376)),INDEX(Dataset2_Raw!$C$2:$C$611,$Q376),"")</f>
        <v>0.43</v>
      </c>
      <c r="M376" s="25">
        <f>IF(ISNUMBER(INDEX(Dataset2_Raw!$D$2:$D$611,$Q376)),INDEX(Dataset2_Raw!$D$2:$D$611,$Q376),"")</f>
        <v>0.25369999999999998</v>
      </c>
      <c r="N376" s="23">
        <f>IF(ISNUMBER(INDEX(Dataset2_Raw!$E$2:$E$611,$Q376)),INDEX(Dataset2_Raw!$E$2:$E$611,$Q376),"")</f>
        <v>0</v>
      </c>
      <c r="O376" s="23">
        <f>IF(ISNUMBER(INDEX(Dataset2_Raw!$F$2:$F$611,$Q376)),INDEX(Dataset2_Raw!$F$2:$F$611,$Q376),"")</f>
        <v>8</v>
      </c>
      <c r="P376" s="23">
        <f>IF(ISNUMBER(INDEX(Dataset2_Raw!$G$2:$G$611,$Q376)),INDEX(Dataset2_Raw!$G$2:$G$611,$Q376),"")</f>
        <v>8</v>
      </c>
      <c r="Q376" s="23">
        <f>IFERROR(MATCH($A376,Dataset2_Raw!$A$2:$A$611,0),0)</f>
        <v>375</v>
      </c>
    </row>
    <row r="377" spans="1:17" x14ac:dyDescent="0.35">
      <c r="A377" s="23">
        <f>Dataset1_Raw!A377</f>
        <v>376</v>
      </c>
      <c r="B377" s="24">
        <f>Dataset1_Raw!B377</f>
        <v>40560</v>
      </c>
      <c r="C377" s="23">
        <f>Dataset1_Raw!C377</f>
        <v>1</v>
      </c>
      <c r="D377" s="23">
        <f>Dataset1_Raw!D377</f>
        <v>0</v>
      </c>
      <c r="E377" s="23">
        <f>Dataset1_Raw!E377</f>
        <v>1</v>
      </c>
      <c r="F377" s="23">
        <f>Dataset1_Raw!F377</f>
        <v>3</v>
      </c>
      <c r="G377" s="23" t="b">
        <f>Dataset1_Raw!G377</f>
        <v>1</v>
      </c>
      <c r="H377" s="23">
        <f>Dataset1_Raw!H377</f>
        <v>1</v>
      </c>
      <c r="I377" s="23">
        <f>Dataset1_Raw!I377</f>
        <v>2</v>
      </c>
      <c r="J377" s="25">
        <f>Dataset1_Raw!J377</f>
        <v>0.18</v>
      </c>
      <c r="K377" s="25">
        <f>IF(ISNUMBER(INDEX(Dataset2_Raw!$B$2:$B$611,$Q377)),INDEX(Dataset2_Raw!$B$2:$B$611,$Q377),"")</f>
        <v>0.18179999999999999</v>
      </c>
      <c r="L377" s="25">
        <f>IF(ISNUMBER(INDEX(Dataset2_Raw!$C$2:$C$611,$Q377)),INDEX(Dataset2_Raw!$C$2:$C$611,$Q377),"")</f>
        <v>0.43</v>
      </c>
      <c r="M377" s="25">
        <f>IF(ISNUMBER(INDEX(Dataset2_Raw!$D$2:$D$611,$Q377)),INDEX(Dataset2_Raw!$D$2:$D$611,$Q377),"")</f>
        <v>0.19400000000000001</v>
      </c>
      <c r="N377" s="23">
        <f>IF(ISNUMBER(INDEX(Dataset2_Raw!$E$2:$E$611,$Q377)),INDEX(Dataset2_Raw!$E$2:$E$611,$Q377),"")</f>
        <v>0</v>
      </c>
      <c r="O377" s="23">
        <f>IF(ISNUMBER(INDEX(Dataset2_Raw!$F$2:$F$611,$Q377)),INDEX(Dataset2_Raw!$F$2:$F$611,$Q377),"")</f>
        <v>2</v>
      </c>
      <c r="P377" s="23">
        <f>IF(ISNUMBER(INDEX(Dataset2_Raw!$G$2:$G$611,$Q377)),INDEX(Dataset2_Raw!$G$2:$G$611,$Q377),"")</f>
        <v>2</v>
      </c>
      <c r="Q377" s="23">
        <f>IFERROR(MATCH($A377,Dataset2_Raw!$A$2:$A$611,0),0)</f>
        <v>376</v>
      </c>
    </row>
    <row r="378" spans="1:17" x14ac:dyDescent="0.35">
      <c r="A378" s="23">
        <f>Dataset1_Raw!A378</f>
        <v>377</v>
      </c>
      <c r="B378" s="24">
        <f>Dataset1_Raw!B378</f>
        <v>40560</v>
      </c>
      <c r="C378" s="23">
        <f>Dataset1_Raw!C378</f>
        <v>1</v>
      </c>
      <c r="D378" s="23">
        <f>Dataset1_Raw!D378</f>
        <v>0</v>
      </c>
      <c r="E378" s="23">
        <f>Dataset1_Raw!E378</f>
        <v>1</v>
      </c>
      <c r="F378" s="23">
        <f>Dataset1_Raw!F378</f>
        <v>4</v>
      </c>
      <c r="G378" s="23" t="b">
        <f>Dataset1_Raw!G378</f>
        <v>1</v>
      </c>
      <c r="H378" s="23">
        <f>Dataset1_Raw!H378</f>
        <v>1</v>
      </c>
      <c r="I378" s="23">
        <f>Dataset1_Raw!I378</f>
        <v>2</v>
      </c>
      <c r="J378" s="25">
        <f>Dataset1_Raw!J378</f>
        <v>0.18</v>
      </c>
      <c r="K378" s="25">
        <f>IF(ISNUMBER(INDEX(Dataset2_Raw!$B$2:$B$611,$Q378)),INDEX(Dataset2_Raw!$B$2:$B$611,$Q378),"")</f>
        <v>0.19700000000000001</v>
      </c>
      <c r="L378" s="25">
        <f>IF(ISNUMBER(INDEX(Dataset2_Raw!$C$2:$C$611,$Q378)),INDEX(Dataset2_Raw!$C$2:$C$611,$Q378),"")</f>
        <v>0.43</v>
      </c>
      <c r="M378" s="25">
        <f>IF(ISNUMBER(INDEX(Dataset2_Raw!$D$2:$D$611,$Q378)),INDEX(Dataset2_Raw!$D$2:$D$611,$Q378),"")</f>
        <v>0.1343</v>
      </c>
      <c r="N378" s="23">
        <f>IF(ISNUMBER(INDEX(Dataset2_Raw!$E$2:$E$611,$Q378)),INDEX(Dataset2_Raw!$E$2:$E$611,$Q378),"")</f>
        <v>1</v>
      </c>
      <c r="O378" s="23">
        <f>IF(ISNUMBER(INDEX(Dataset2_Raw!$F$2:$F$611,$Q378)),INDEX(Dataset2_Raw!$F$2:$F$611,$Q378),"")</f>
        <v>2</v>
      </c>
      <c r="P378" s="23">
        <f>IF(ISNUMBER(INDEX(Dataset2_Raw!$G$2:$G$611,$Q378)),INDEX(Dataset2_Raw!$G$2:$G$611,$Q378),"")</f>
        <v>3</v>
      </c>
      <c r="Q378" s="23">
        <f>IFERROR(MATCH($A378,Dataset2_Raw!$A$2:$A$611,0),0)</f>
        <v>377</v>
      </c>
    </row>
    <row r="379" spans="1:17" x14ac:dyDescent="0.35">
      <c r="A379" s="23">
        <f>Dataset1_Raw!A379</f>
        <v>378</v>
      </c>
      <c r="B379" s="24">
        <f>Dataset1_Raw!B379</f>
        <v>40560</v>
      </c>
      <c r="C379" s="23">
        <f>Dataset1_Raw!C379</f>
        <v>1</v>
      </c>
      <c r="D379" s="23">
        <f>Dataset1_Raw!D379</f>
        <v>0</v>
      </c>
      <c r="E379" s="23">
        <f>Dataset1_Raw!E379</f>
        <v>1</v>
      </c>
      <c r="F379" s="23">
        <f>Dataset1_Raw!F379</f>
        <v>5</v>
      </c>
      <c r="G379" s="23" t="b">
        <f>Dataset1_Raw!G379</f>
        <v>1</v>
      </c>
      <c r="H379" s="23">
        <f>Dataset1_Raw!H379</f>
        <v>1</v>
      </c>
      <c r="I379" s="23">
        <f>Dataset1_Raw!I379</f>
        <v>2</v>
      </c>
      <c r="J379" s="25">
        <f>Dataset1_Raw!J379</f>
        <v>0.18</v>
      </c>
      <c r="K379" s="25">
        <f>IF(ISNUMBER(INDEX(Dataset2_Raw!$B$2:$B$611,$Q379)),INDEX(Dataset2_Raw!$B$2:$B$611,$Q379),"")</f>
        <v>0.19700000000000001</v>
      </c>
      <c r="L379" s="25">
        <f>IF(ISNUMBER(INDEX(Dataset2_Raw!$C$2:$C$611,$Q379)),INDEX(Dataset2_Raw!$C$2:$C$611,$Q379),"")</f>
        <v>0.43</v>
      </c>
      <c r="M379" s="25">
        <f>IF(ISNUMBER(INDEX(Dataset2_Raw!$D$2:$D$611,$Q379)),INDEX(Dataset2_Raw!$D$2:$D$611,$Q379),"")</f>
        <v>0.16420000000000001</v>
      </c>
      <c r="N379" s="23">
        <f>IF(ISNUMBER(INDEX(Dataset2_Raw!$E$2:$E$611,$Q379)),INDEX(Dataset2_Raw!$E$2:$E$611,$Q379),"")</f>
        <v>0</v>
      </c>
      <c r="O379" s="23">
        <f>IF(ISNUMBER(INDEX(Dataset2_Raw!$F$2:$F$611,$Q379)),INDEX(Dataset2_Raw!$F$2:$F$611,$Q379),"")</f>
        <v>1</v>
      </c>
      <c r="P379" s="23">
        <f>IF(ISNUMBER(INDEX(Dataset2_Raw!$G$2:$G$611,$Q379)),INDEX(Dataset2_Raw!$G$2:$G$611,$Q379),"")</f>
        <v>1</v>
      </c>
      <c r="Q379" s="23">
        <f>IFERROR(MATCH($A379,Dataset2_Raw!$A$2:$A$611,0),0)</f>
        <v>378</v>
      </c>
    </row>
    <row r="380" spans="1:17" x14ac:dyDescent="0.35">
      <c r="A380" s="23">
        <f>Dataset1_Raw!A380</f>
        <v>379</v>
      </c>
      <c r="B380" s="24">
        <f>Dataset1_Raw!B380</f>
        <v>40560</v>
      </c>
      <c r="C380" s="23">
        <f>Dataset1_Raw!C380</f>
        <v>1</v>
      </c>
      <c r="D380" s="23">
        <f>Dataset1_Raw!D380</f>
        <v>0</v>
      </c>
      <c r="E380" s="23">
        <f>Dataset1_Raw!E380</f>
        <v>1</v>
      </c>
      <c r="F380" s="23">
        <f>Dataset1_Raw!F380</f>
        <v>6</v>
      </c>
      <c r="G380" s="23" t="b">
        <f>Dataset1_Raw!G380</f>
        <v>1</v>
      </c>
      <c r="H380" s="23">
        <f>Dataset1_Raw!H380</f>
        <v>1</v>
      </c>
      <c r="I380" s="23">
        <f>Dataset1_Raw!I380</f>
        <v>2</v>
      </c>
      <c r="J380" s="25">
        <f>Dataset1_Raw!J380</f>
        <v>0.18</v>
      </c>
      <c r="K380" s="25">
        <f>IF(ISNUMBER(INDEX(Dataset2_Raw!$B$2:$B$611,$Q380)),INDEX(Dataset2_Raw!$B$2:$B$611,$Q380),"")</f>
        <v>0.18179999999999999</v>
      </c>
      <c r="L380" s="25">
        <f>IF(ISNUMBER(INDEX(Dataset2_Raw!$C$2:$C$611,$Q380)),INDEX(Dataset2_Raw!$C$2:$C$611,$Q380),"")</f>
        <v>0.43</v>
      </c>
      <c r="M380" s="25">
        <f>IF(ISNUMBER(INDEX(Dataset2_Raw!$D$2:$D$611,$Q380)),INDEX(Dataset2_Raw!$D$2:$D$611,$Q380),"")</f>
        <v>0.19400000000000001</v>
      </c>
      <c r="N380" s="23">
        <f>IF(ISNUMBER(INDEX(Dataset2_Raw!$E$2:$E$611,$Q380)),INDEX(Dataset2_Raw!$E$2:$E$611,$Q380),"")</f>
        <v>0</v>
      </c>
      <c r="O380" s="23">
        <f>IF(ISNUMBER(INDEX(Dataset2_Raw!$F$2:$F$611,$Q380)),INDEX(Dataset2_Raw!$F$2:$F$611,$Q380),"")</f>
        <v>5</v>
      </c>
      <c r="P380" s="23">
        <f>IF(ISNUMBER(INDEX(Dataset2_Raw!$G$2:$G$611,$Q380)),INDEX(Dataset2_Raw!$G$2:$G$611,$Q380),"")</f>
        <v>5</v>
      </c>
      <c r="Q380" s="23">
        <f>IFERROR(MATCH($A380,Dataset2_Raw!$A$2:$A$611,0),0)</f>
        <v>379</v>
      </c>
    </row>
    <row r="381" spans="1:17" x14ac:dyDescent="0.35">
      <c r="A381" s="23">
        <f>Dataset1_Raw!A381</f>
        <v>380</v>
      </c>
      <c r="B381" s="24">
        <f>Dataset1_Raw!B381</f>
        <v>40560</v>
      </c>
      <c r="C381" s="23">
        <f>Dataset1_Raw!C381</f>
        <v>1</v>
      </c>
      <c r="D381" s="23">
        <f>Dataset1_Raw!D381</f>
        <v>0</v>
      </c>
      <c r="E381" s="23">
        <f>Dataset1_Raw!E381</f>
        <v>1</v>
      </c>
      <c r="F381" s="23">
        <f>Dataset1_Raw!F381</f>
        <v>7</v>
      </c>
      <c r="G381" s="23" t="b">
        <f>Dataset1_Raw!G381</f>
        <v>1</v>
      </c>
      <c r="H381" s="23">
        <f>Dataset1_Raw!H381</f>
        <v>1</v>
      </c>
      <c r="I381" s="23">
        <f>Dataset1_Raw!I381</f>
        <v>2</v>
      </c>
      <c r="J381" s="25">
        <f>Dataset1_Raw!J381</f>
        <v>0.16</v>
      </c>
      <c r="K381" s="25">
        <f>IF(ISNUMBER(INDEX(Dataset2_Raw!$B$2:$B$611,$Q381)),INDEX(Dataset2_Raw!$B$2:$B$611,$Q381),"")</f>
        <v>0.18179999999999999</v>
      </c>
      <c r="L381" s="25">
        <f>IF(ISNUMBER(INDEX(Dataset2_Raw!$C$2:$C$611,$Q381)),INDEX(Dataset2_Raw!$C$2:$C$611,$Q381),"")</f>
        <v>0.5</v>
      </c>
      <c r="M381" s="25">
        <f>IF(ISNUMBER(INDEX(Dataset2_Raw!$D$2:$D$611,$Q381)),INDEX(Dataset2_Raw!$D$2:$D$611,$Q381),"")</f>
        <v>0.1343</v>
      </c>
      <c r="N381" s="23">
        <f>IF(ISNUMBER(INDEX(Dataset2_Raw!$E$2:$E$611,$Q381)),INDEX(Dataset2_Raw!$E$2:$E$611,$Q381),"")</f>
        <v>4</v>
      </c>
      <c r="O381" s="23">
        <f>IF(ISNUMBER(INDEX(Dataset2_Raw!$F$2:$F$611,$Q381)),INDEX(Dataset2_Raw!$F$2:$F$611,$Q381),"")</f>
        <v>9</v>
      </c>
      <c r="P381" s="23">
        <f>IF(ISNUMBER(INDEX(Dataset2_Raw!$G$2:$G$611,$Q381)),INDEX(Dataset2_Raw!$G$2:$G$611,$Q381),"")</f>
        <v>13</v>
      </c>
      <c r="Q381" s="23">
        <f>IFERROR(MATCH($A381,Dataset2_Raw!$A$2:$A$611,0),0)</f>
        <v>380</v>
      </c>
    </row>
    <row r="382" spans="1:17" x14ac:dyDescent="0.35">
      <c r="A382" s="23">
        <f>Dataset1_Raw!A382</f>
        <v>381</v>
      </c>
      <c r="B382" s="24">
        <f>Dataset1_Raw!B382</f>
        <v>40560</v>
      </c>
      <c r="C382" s="23">
        <f>Dataset1_Raw!C382</f>
        <v>1</v>
      </c>
      <c r="D382" s="23">
        <f>Dataset1_Raw!D382</f>
        <v>0</v>
      </c>
      <c r="E382" s="23">
        <f>Dataset1_Raw!E382</f>
        <v>1</v>
      </c>
      <c r="F382" s="23">
        <f>Dataset1_Raw!F382</f>
        <v>8</v>
      </c>
      <c r="G382" s="23" t="b">
        <f>Dataset1_Raw!G382</f>
        <v>1</v>
      </c>
      <c r="H382" s="23">
        <f>Dataset1_Raw!H382</f>
        <v>1</v>
      </c>
      <c r="I382" s="23">
        <f>Dataset1_Raw!I382</f>
        <v>2</v>
      </c>
      <c r="J382" s="25">
        <f>Dataset1_Raw!J382</f>
        <v>0.16</v>
      </c>
      <c r="K382" s="25">
        <f>IF(ISNUMBER(INDEX(Dataset2_Raw!$B$2:$B$611,$Q382)),INDEX(Dataset2_Raw!$B$2:$B$611,$Q382),"")</f>
        <v>0.1515</v>
      </c>
      <c r="L382" s="25">
        <f>IF(ISNUMBER(INDEX(Dataset2_Raw!$C$2:$C$611,$Q382)),INDEX(Dataset2_Raw!$C$2:$C$611,$Q382),"")</f>
        <v>0.47</v>
      </c>
      <c r="M382" s="25">
        <f>IF(ISNUMBER(INDEX(Dataset2_Raw!$D$2:$D$611,$Q382)),INDEX(Dataset2_Raw!$D$2:$D$611,$Q382),"")</f>
        <v>0.22389999999999999</v>
      </c>
      <c r="N382" s="23">
        <f>IF(ISNUMBER(INDEX(Dataset2_Raw!$E$2:$E$611,$Q382)),INDEX(Dataset2_Raw!$E$2:$E$611,$Q382),"")</f>
        <v>3</v>
      </c>
      <c r="O382" s="23">
        <f>IF(ISNUMBER(INDEX(Dataset2_Raw!$F$2:$F$611,$Q382)),INDEX(Dataset2_Raw!$F$2:$F$611,$Q382),"")</f>
        <v>30</v>
      </c>
      <c r="P382" s="23">
        <f>IF(ISNUMBER(INDEX(Dataset2_Raw!$G$2:$G$611,$Q382)),INDEX(Dataset2_Raw!$G$2:$G$611,$Q382),"")</f>
        <v>33</v>
      </c>
      <c r="Q382" s="23">
        <f>IFERROR(MATCH($A382,Dataset2_Raw!$A$2:$A$611,0),0)</f>
        <v>381</v>
      </c>
    </row>
    <row r="383" spans="1:17" x14ac:dyDescent="0.35">
      <c r="A383" s="23">
        <f>Dataset1_Raw!A383</f>
        <v>382</v>
      </c>
      <c r="B383" s="24">
        <f>Dataset1_Raw!B383</f>
        <v>40560</v>
      </c>
      <c r="C383" s="23">
        <f>Dataset1_Raw!C383</f>
        <v>1</v>
      </c>
      <c r="D383" s="23">
        <f>Dataset1_Raw!D383</f>
        <v>0</v>
      </c>
      <c r="E383" s="23">
        <f>Dataset1_Raw!E383</f>
        <v>1</v>
      </c>
      <c r="F383" s="23">
        <f>Dataset1_Raw!F383</f>
        <v>9</v>
      </c>
      <c r="G383" s="23" t="b">
        <f>Dataset1_Raw!G383</f>
        <v>1</v>
      </c>
      <c r="H383" s="23">
        <f>Dataset1_Raw!H383</f>
        <v>1</v>
      </c>
      <c r="I383" s="23">
        <f>Dataset1_Raw!I383</f>
        <v>2</v>
      </c>
      <c r="J383" s="25">
        <f>Dataset1_Raw!J383</f>
        <v>0.16</v>
      </c>
      <c r="K383" s="25">
        <f>IF(ISNUMBER(INDEX(Dataset2_Raw!$B$2:$B$611,$Q383)),INDEX(Dataset2_Raw!$B$2:$B$611,$Q383),"")</f>
        <v>0.1515</v>
      </c>
      <c r="L383" s="25">
        <f>IF(ISNUMBER(INDEX(Dataset2_Raw!$C$2:$C$611,$Q383)),INDEX(Dataset2_Raw!$C$2:$C$611,$Q383),"")</f>
        <v>0.47</v>
      </c>
      <c r="M383" s="25">
        <f>IF(ISNUMBER(INDEX(Dataset2_Raw!$D$2:$D$611,$Q383)),INDEX(Dataset2_Raw!$D$2:$D$611,$Q383),"")</f>
        <v>0.22389999999999999</v>
      </c>
      <c r="N383" s="23">
        <f>IF(ISNUMBER(INDEX(Dataset2_Raw!$E$2:$E$611,$Q383)),INDEX(Dataset2_Raw!$E$2:$E$611,$Q383),"")</f>
        <v>8</v>
      </c>
      <c r="O383" s="23">
        <f>IF(ISNUMBER(INDEX(Dataset2_Raw!$F$2:$F$611,$Q383)),INDEX(Dataset2_Raw!$F$2:$F$611,$Q383),"")</f>
        <v>39</v>
      </c>
      <c r="P383" s="23">
        <f>IF(ISNUMBER(INDEX(Dataset2_Raw!$G$2:$G$611,$Q383)),INDEX(Dataset2_Raw!$G$2:$G$611,$Q383),"")</f>
        <v>47</v>
      </c>
      <c r="Q383" s="23">
        <f>IFERROR(MATCH($A383,Dataset2_Raw!$A$2:$A$611,0),0)</f>
        <v>382</v>
      </c>
    </row>
    <row r="384" spans="1:17" x14ac:dyDescent="0.35">
      <c r="A384" s="23">
        <f>Dataset1_Raw!A384</f>
        <v>383</v>
      </c>
      <c r="B384" s="24">
        <f>Dataset1_Raw!B384</f>
        <v>40560</v>
      </c>
      <c r="C384" s="23">
        <f>Dataset1_Raw!C384</f>
        <v>1</v>
      </c>
      <c r="D384" s="23">
        <f>Dataset1_Raw!D384</f>
        <v>0</v>
      </c>
      <c r="E384" s="23">
        <f>Dataset1_Raw!E384</f>
        <v>1</v>
      </c>
      <c r="F384" s="23">
        <f>Dataset1_Raw!F384</f>
        <v>10</v>
      </c>
      <c r="G384" s="23" t="b">
        <f>Dataset1_Raw!G384</f>
        <v>1</v>
      </c>
      <c r="H384" s="23">
        <f>Dataset1_Raw!H384</f>
        <v>1</v>
      </c>
      <c r="I384" s="23">
        <f>Dataset1_Raw!I384</f>
        <v>2</v>
      </c>
      <c r="J384" s="25">
        <f>Dataset1_Raw!J384</f>
        <v>0.16</v>
      </c>
      <c r="K384" s="25">
        <f>IF(ISNUMBER(INDEX(Dataset2_Raw!$B$2:$B$611,$Q384)),INDEX(Dataset2_Raw!$B$2:$B$611,$Q384),"")</f>
        <v>0.1515</v>
      </c>
      <c r="L384" s="25">
        <f>IF(ISNUMBER(INDEX(Dataset2_Raw!$C$2:$C$611,$Q384)),INDEX(Dataset2_Raw!$C$2:$C$611,$Q384),"")</f>
        <v>0.5</v>
      </c>
      <c r="M384" s="25">
        <f>IF(ISNUMBER(INDEX(Dataset2_Raw!$D$2:$D$611,$Q384)),INDEX(Dataset2_Raw!$D$2:$D$611,$Q384),"")</f>
        <v>0.25369999999999998</v>
      </c>
      <c r="N384" s="23">
        <f>IF(ISNUMBER(INDEX(Dataset2_Raw!$E$2:$E$611,$Q384)),INDEX(Dataset2_Raw!$E$2:$E$611,$Q384),"")</f>
        <v>7</v>
      </c>
      <c r="O384" s="23">
        <f>IF(ISNUMBER(INDEX(Dataset2_Raw!$F$2:$F$611,$Q384)),INDEX(Dataset2_Raw!$F$2:$F$611,$Q384),"")</f>
        <v>50</v>
      </c>
      <c r="P384" s="23">
        <f>IF(ISNUMBER(INDEX(Dataset2_Raw!$G$2:$G$611,$Q384)),INDEX(Dataset2_Raw!$G$2:$G$611,$Q384),"")</f>
        <v>57</v>
      </c>
      <c r="Q384" s="23">
        <f>IFERROR(MATCH($A384,Dataset2_Raw!$A$2:$A$611,0),0)</f>
        <v>383</v>
      </c>
    </row>
    <row r="385" spans="1:17" x14ac:dyDescent="0.35">
      <c r="A385" s="23">
        <f>Dataset1_Raw!A385</f>
        <v>384</v>
      </c>
      <c r="B385" s="24">
        <f>Dataset1_Raw!B385</f>
        <v>40560</v>
      </c>
      <c r="C385" s="23">
        <f>Dataset1_Raw!C385</f>
        <v>1</v>
      </c>
      <c r="D385" s="23">
        <f>Dataset1_Raw!D385</f>
        <v>0</v>
      </c>
      <c r="E385" s="23">
        <f>Dataset1_Raw!E385</f>
        <v>1</v>
      </c>
      <c r="F385" s="23">
        <f>Dataset1_Raw!F385</f>
        <v>11</v>
      </c>
      <c r="G385" s="23" t="b">
        <f>Dataset1_Raw!G385</f>
        <v>1</v>
      </c>
      <c r="H385" s="23">
        <f>Dataset1_Raw!H385</f>
        <v>1</v>
      </c>
      <c r="I385" s="23">
        <f>Dataset1_Raw!I385</f>
        <v>2</v>
      </c>
      <c r="J385" s="25">
        <f>Dataset1_Raw!J385</f>
        <v>0.16</v>
      </c>
      <c r="K385" s="25">
        <f>IF(ISNUMBER(INDEX(Dataset2_Raw!$B$2:$B$611,$Q385)),INDEX(Dataset2_Raw!$B$2:$B$611,$Q385),"")</f>
        <v>0.1515</v>
      </c>
      <c r="L385" s="25">
        <f>IF(ISNUMBER(INDEX(Dataset2_Raw!$C$2:$C$611,$Q385)),INDEX(Dataset2_Raw!$C$2:$C$611,$Q385),"")</f>
        <v>0.55000000000000004</v>
      </c>
      <c r="M385" s="25">
        <f>IF(ISNUMBER(INDEX(Dataset2_Raw!$D$2:$D$611,$Q385)),INDEX(Dataset2_Raw!$D$2:$D$611,$Q385),"")</f>
        <v>0.19400000000000001</v>
      </c>
      <c r="N385" s="23">
        <f>IF(ISNUMBER(INDEX(Dataset2_Raw!$E$2:$E$611,$Q385)),INDEX(Dataset2_Raw!$E$2:$E$611,$Q385),"")</f>
        <v>9</v>
      </c>
      <c r="O385" s="23">
        <f>IF(ISNUMBER(INDEX(Dataset2_Raw!$F$2:$F$611,$Q385)),INDEX(Dataset2_Raw!$F$2:$F$611,$Q385),"")</f>
        <v>55</v>
      </c>
      <c r="P385" s="23">
        <f>IF(ISNUMBER(INDEX(Dataset2_Raw!$G$2:$G$611,$Q385)),INDEX(Dataset2_Raw!$G$2:$G$611,$Q385),"")</f>
        <v>64</v>
      </c>
      <c r="Q385" s="23">
        <f>IFERROR(MATCH($A385,Dataset2_Raw!$A$2:$A$611,0),0)</f>
        <v>384</v>
      </c>
    </row>
    <row r="386" spans="1:17" x14ac:dyDescent="0.35">
      <c r="A386" s="23">
        <f>Dataset1_Raw!A386</f>
        <v>385</v>
      </c>
      <c r="B386" s="24">
        <f>Dataset1_Raw!B386</f>
        <v>40560</v>
      </c>
      <c r="C386" s="23">
        <f>Dataset1_Raw!C386</f>
        <v>1</v>
      </c>
      <c r="D386" s="23">
        <f>Dataset1_Raw!D386</f>
        <v>0</v>
      </c>
      <c r="E386" s="23">
        <f>Dataset1_Raw!E386</f>
        <v>1</v>
      </c>
      <c r="F386" s="23">
        <f>Dataset1_Raw!F386</f>
        <v>12</v>
      </c>
      <c r="G386" s="23" t="b">
        <f>Dataset1_Raw!G386</f>
        <v>1</v>
      </c>
      <c r="H386" s="23">
        <f>Dataset1_Raw!H386</f>
        <v>1</v>
      </c>
      <c r="I386" s="23">
        <f>Dataset1_Raw!I386</f>
        <v>2</v>
      </c>
      <c r="J386" s="25">
        <f>Dataset1_Raw!J386</f>
        <v>0.18</v>
      </c>
      <c r="K386" s="25">
        <f>IF(ISNUMBER(INDEX(Dataset2_Raw!$B$2:$B$611,$Q386)),INDEX(Dataset2_Raw!$B$2:$B$611,$Q386),"")</f>
        <v>0.19700000000000001</v>
      </c>
      <c r="L386" s="25">
        <f>IF(ISNUMBER(INDEX(Dataset2_Raw!$C$2:$C$611,$Q386)),INDEX(Dataset2_Raw!$C$2:$C$611,$Q386),"")</f>
        <v>0.47</v>
      </c>
      <c r="M386" s="25">
        <f>IF(ISNUMBER(INDEX(Dataset2_Raw!$D$2:$D$611,$Q386)),INDEX(Dataset2_Raw!$D$2:$D$611,$Q386),"")</f>
        <v>0.1343</v>
      </c>
      <c r="N386" s="23">
        <f>IF(ISNUMBER(INDEX(Dataset2_Raw!$E$2:$E$611,$Q386)),INDEX(Dataset2_Raw!$E$2:$E$611,$Q386),"")</f>
        <v>10</v>
      </c>
      <c r="O386" s="23">
        <f>IF(ISNUMBER(INDEX(Dataset2_Raw!$F$2:$F$611,$Q386)),INDEX(Dataset2_Raw!$F$2:$F$611,$Q386),"")</f>
        <v>70</v>
      </c>
      <c r="P386" s="23">
        <f>IF(ISNUMBER(INDEX(Dataset2_Raw!$G$2:$G$611,$Q386)),INDEX(Dataset2_Raw!$G$2:$G$611,$Q386),"")</f>
        <v>80</v>
      </c>
      <c r="Q386" s="23">
        <f>IFERROR(MATCH($A386,Dataset2_Raw!$A$2:$A$611,0),0)</f>
        <v>385</v>
      </c>
    </row>
    <row r="387" spans="1:17" x14ac:dyDescent="0.35">
      <c r="A387" s="23">
        <f>Dataset1_Raw!A387</f>
        <v>386</v>
      </c>
      <c r="B387" s="24">
        <f>Dataset1_Raw!B387</f>
        <v>40560</v>
      </c>
      <c r="C387" s="23">
        <f>Dataset1_Raw!C387</f>
        <v>1</v>
      </c>
      <c r="D387" s="23">
        <f>Dataset1_Raw!D387</f>
        <v>0</v>
      </c>
      <c r="E387" s="23">
        <f>Dataset1_Raw!E387</f>
        <v>1</v>
      </c>
      <c r="F387" s="23">
        <f>Dataset1_Raw!F387</f>
        <v>13</v>
      </c>
      <c r="G387" s="23" t="b">
        <f>Dataset1_Raw!G387</f>
        <v>1</v>
      </c>
      <c r="H387" s="23">
        <f>Dataset1_Raw!H387</f>
        <v>1</v>
      </c>
      <c r="I387" s="23">
        <f>Dataset1_Raw!I387</f>
        <v>2</v>
      </c>
      <c r="J387" s="25">
        <f>Dataset1_Raw!J387</f>
        <v>0.18</v>
      </c>
      <c r="K387" s="25">
        <f>IF(ISNUMBER(INDEX(Dataset2_Raw!$B$2:$B$611,$Q387)),INDEX(Dataset2_Raw!$B$2:$B$611,$Q387),"")</f>
        <v>0.19700000000000001</v>
      </c>
      <c r="L387" s="25">
        <f>IF(ISNUMBER(INDEX(Dataset2_Raw!$C$2:$C$611,$Q387)),INDEX(Dataset2_Raw!$C$2:$C$611,$Q387),"")</f>
        <v>0.47</v>
      </c>
      <c r="M387" s="25">
        <f>IF(ISNUMBER(INDEX(Dataset2_Raw!$D$2:$D$611,$Q387)),INDEX(Dataset2_Raw!$D$2:$D$611,$Q387),"")</f>
        <v>0.1343</v>
      </c>
      <c r="N387" s="23">
        <f>IF(ISNUMBER(INDEX(Dataset2_Raw!$E$2:$E$611,$Q387)),INDEX(Dataset2_Raw!$E$2:$E$611,$Q387),"")</f>
        <v>13</v>
      </c>
      <c r="O387" s="23">
        <f>IF(ISNUMBER(INDEX(Dataset2_Raw!$F$2:$F$611,$Q387)),INDEX(Dataset2_Raw!$F$2:$F$611,$Q387),"")</f>
        <v>80</v>
      </c>
      <c r="P387" s="23">
        <f>IF(ISNUMBER(INDEX(Dataset2_Raw!$G$2:$G$611,$Q387)),INDEX(Dataset2_Raw!$G$2:$G$611,$Q387),"")</f>
        <v>93</v>
      </c>
      <c r="Q387" s="23">
        <f>IFERROR(MATCH($A387,Dataset2_Raw!$A$2:$A$611,0),0)</f>
        <v>386</v>
      </c>
    </row>
    <row r="388" spans="1:17" x14ac:dyDescent="0.35">
      <c r="A388" s="23">
        <f>Dataset1_Raw!A388</f>
        <v>387</v>
      </c>
      <c r="B388" s="24">
        <f>Dataset1_Raw!B388</f>
        <v>40560</v>
      </c>
      <c r="C388" s="23">
        <f>Dataset1_Raw!C388</f>
        <v>1</v>
      </c>
      <c r="D388" s="23">
        <f>Dataset1_Raw!D388</f>
        <v>0</v>
      </c>
      <c r="E388" s="23">
        <f>Dataset1_Raw!E388</f>
        <v>1</v>
      </c>
      <c r="F388" s="23">
        <f>Dataset1_Raw!F388</f>
        <v>14</v>
      </c>
      <c r="G388" s="23" t="b">
        <f>Dataset1_Raw!G388</f>
        <v>1</v>
      </c>
      <c r="H388" s="23">
        <f>Dataset1_Raw!H388</f>
        <v>1</v>
      </c>
      <c r="I388" s="23">
        <f>Dataset1_Raw!I388</f>
        <v>2</v>
      </c>
      <c r="J388" s="25">
        <f>Dataset1_Raw!J388</f>
        <v>0.18</v>
      </c>
      <c r="K388" s="25">
        <f>IF(ISNUMBER(INDEX(Dataset2_Raw!$B$2:$B$611,$Q388)),INDEX(Dataset2_Raw!$B$2:$B$611,$Q388),"")</f>
        <v>0.21210000000000001</v>
      </c>
      <c r="L388" s="25">
        <f>IF(ISNUMBER(INDEX(Dataset2_Raw!$C$2:$C$611,$Q388)),INDEX(Dataset2_Raw!$C$2:$C$611,$Q388),"")</f>
        <v>0.43</v>
      </c>
      <c r="M388" s="25">
        <f>IF(ISNUMBER(INDEX(Dataset2_Raw!$D$2:$D$611,$Q388)),INDEX(Dataset2_Raw!$D$2:$D$611,$Q388),"")</f>
        <v>0.1045</v>
      </c>
      <c r="N388" s="23">
        <f>IF(ISNUMBER(INDEX(Dataset2_Raw!$E$2:$E$611,$Q388)),INDEX(Dataset2_Raw!$E$2:$E$611,$Q388),"")</f>
        <v>12</v>
      </c>
      <c r="O388" s="23">
        <f>IF(ISNUMBER(INDEX(Dataset2_Raw!$F$2:$F$611,$Q388)),INDEX(Dataset2_Raw!$F$2:$F$611,$Q388),"")</f>
        <v>74</v>
      </c>
      <c r="P388" s="23">
        <f>IF(ISNUMBER(INDEX(Dataset2_Raw!$G$2:$G$611,$Q388)),INDEX(Dataset2_Raw!$G$2:$G$611,$Q388),"")</f>
        <v>86</v>
      </c>
      <c r="Q388" s="23">
        <f>IFERROR(MATCH($A388,Dataset2_Raw!$A$2:$A$611,0),0)</f>
        <v>387</v>
      </c>
    </row>
    <row r="389" spans="1:17" x14ac:dyDescent="0.35">
      <c r="A389" s="23">
        <f>Dataset1_Raw!A389</f>
        <v>388</v>
      </c>
      <c r="B389" s="24">
        <f>Dataset1_Raw!B389</f>
        <v>40560</v>
      </c>
      <c r="C389" s="23">
        <f>Dataset1_Raw!C389</f>
        <v>1</v>
      </c>
      <c r="D389" s="23">
        <f>Dataset1_Raw!D389</f>
        <v>0</v>
      </c>
      <c r="E389" s="23">
        <f>Dataset1_Raw!E389</f>
        <v>1</v>
      </c>
      <c r="F389" s="23">
        <f>Dataset1_Raw!F389</f>
        <v>15</v>
      </c>
      <c r="G389" s="23" t="b">
        <f>Dataset1_Raw!G389</f>
        <v>1</v>
      </c>
      <c r="H389" s="23">
        <f>Dataset1_Raw!H389</f>
        <v>1</v>
      </c>
      <c r="I389" s="23">
        <f>Dataset1_Raw!I389</f>
        <v>2</v>
      </c>
      <c r="J389" s="25">
        <f>Dataset1_Raw!J389</f>
        <v>0.2</v>
      </c>
      <c r="K389" s="25">
        <f>IF(ISNUMBER(INDEX(Dataset2_Raw!$B$2:$B$611,$Q389)),INDEX(Dataset2_Raw!$B$2:$B$611,$Q389),"")</f>
        <v>0.21210000000000001</v>
      </c>
      <c r="L389" s="25">
        <f>IF(ISNUMBER(INDEX(Dataset2_Raw!$C$2:$C$611,$Q389)),INDEX(Dataset2_Raw!$C$2:$C$611,$Q389),"")</f>
        <v>0.47</v>
      </c>
      <c r="M389" s="25">
        <f>IF(ISNUMBER(INDEX(Dataset2_Raw!$D$2:$D$611,$Q389)),INDEX(Dataset2_Raw!$D$2:$D$611,$Q389),"")</f>
        <v>0.16420000000000001</v>
      </c>
      <c r="N389" s="23">
        <f>IF(ISNUMBER(INDEX(Dataset2_Raw!$E$2:$E$611,$Q389)),INDEX(Dataset2_Raw!$E$2:$E$611,$Q389),"")</f>
        <v>21</v>
      </c>
      <c r="O389" s="23">
        <f>IF(ISNUMBER(INDEX(Dataset2_Raw!$F$2:$F$611,$Q389)),INDEX(Dataset2_Raw!$F$2:$F$611,$Q389),"")</f>
        <v>72</v>
      </c>
      <c r="P389" s="23">
        <f>IF(ISNUMBER(INDEX(Dataset2_Raw!$G$2:$G$611,$Q389)),INDEX(Dataset2_Raw!$G$2:$G$611,$Q389),"")</f>
        <v>93</v>
      </c>
      <c r="Q389" s="23">
        <f>IFERROR(MATCH($A389,Dataset2_Raw!$A$2:$A$611,0),0)</f>
        <v>388</v>
      </c>
    </row>
    <row r="390" spans="1:17" x14ac:dyDescent="0.35">
      <c r="A390" s="23">
        <f>Dataset1_Raw!A390</f>
        <v>389</v>
      </c>
      <c r="B390" s="24">
        <f>Dataset1_Raw!B390</f>
        <v>40560</v>
      </c>
      <c r="C390" s="23">
        <f>Dataset1_Raw!C390</f>
        <v>1</v>
      </c>
      <c r="D390" s="23">
        <f>Dataset1_Raw!D390</f>
        <v>0</v>
      </c>
      <c r="E390" s="23">
        <f>Dataset1_Raw!E390</f>
        <v>1</v>
      </c>
      <c r="F390" s="23">
        <f>Dataset1_Raw!F390</f>
        <v>16</v>
      </c>
      <c r="G390" s="23" t="b">
        <f>Dataset1_Raw!G390</f>
        <v>1</v>
      </c>
      <c r="H390" s="23">
        <f>Dataset1_Raw!H390</f>
        <v>1</v>
      </c>
      <c r="I390" s="23">
        <f>Dataset1_Raw!I390</f>
        <v>2</v>
      </c>
      <c r="J390" s="25">
        <f>Dataset1_Raw!J390</f>
        <v>0.2</v>
      </c>
      <c r="K390" s="25">
        <f>IF(ISNUMBER(INDEX(Dataset2_Raw!$B$2:$B$611,$Q390)),INDEX(Dataset2_Raw!$B$2:$B$611,$Q390),"")</f>
        <v>0.21210000000000001</v>
      </c>
      <c r="L390" s="25">
        <f>IF(ISNUMBER(INDEX(Dataset2_Raw!$C$2:$C$611,$Q390)),INDEX(Dataset2_Raw!$C$2:$C$611,$Q390),"")</f>
        <v>0.47</v>
      </c>
      <c r="M390" s="25">
        <f>IF(ISNUMBER(INDEX(Dataset2_Raw!$D$2:$D$611,$Q390)),INDEX(Dataset2_Raw!$D$2:$D$611,$Q390),"")</f>
        <v>0.16420000000000001</v>
      </c>
      <c r="N390" s="23">
        <f>IF(ISNUMBER(INDEX(Dataset2_Raw!$E$2:$E$611,$Q390)),INDEX(Dataset2_Raw!$E$2:$E$611,$Q390),"")</f>
        <v>6</v>
      </c>
      <c r="O390" s="23">
        <f>IF(ISNUMBER(INDEX(Dataset2_Raw!$F$2:$F$611,$Q390)),INDEX(Dataset2_Raw!$F$2:$F$611,$Q390),"")</f>
        <v>76</v>
      </c>
      <c r="P390" s="23">
        <f>IF(ISNUMBER(INDEX(Dataset2_Raw!$G$2:$G$611,$Q390)),INDEX(Dataset2_Raw!$G$2:$G$611,$Q390),"")</f>
        <v>82</v>
      </c>
      <c r="Q390" s="23">
        <f>IFERROR(MATCH($A390,Dataset2_Raw!$A$2:$A$611,0),0)</f>
        <v>389</v>
      </c>
    </row>
    <row r="391" spans="1:17" x14ac:dyDescent="0.35">
      <c r="A391" s="23">
        <f>Dataset1_Raw!A391</f>
        <v>390</v>
      </c>
      <c r="B391" s="24">
        <f>Dataset1_Raw!B391</f>
        <v>40560</v>
      </c>
      <c r="C391" s="23">
        <f>Dataset1_Raw!C391</f>
        <v>1</v>
      </c>
      <c r="D391" s="23">
        <f>Dataset1_Raw!D391</f>
        <v>0</v>
      </c>
      <c r="E391" s="23">
        <f>Dataset1_Raw!E391</f>
        <v>1</v>
      </c>
      <c r="F391" s="23">
        <f>Dataset1_Raw!F391</f>
        <v>17</v>
      </c>
      <c r="G391" s="23" t="b">
        <f>Dataset1_Raw!G391</f>
        <v>1</v>
      </c>
      <c r="H391" s="23">
        <f>Dataset1_Raw!H391</f>
        <v>1</v>
      </c>
      <c r="I391" s="23">
        <f>Dataset1_Raw!I391</f>
        <v>1</v>
      </c>
      <c r="J391" s="25">
        <f>Dataset1_Raw!J391</f>
        <v>0.2</v>
      </c>
      <c r="K391" s="25">
        <f>IF(ISNUMBER(INDEX(Dataset2_Raw!$B$2:$B$611,$Q391)),INDEX(Dataset2_Raw!$B$2:$B$611,$Q391),"")</f>
        <v>0.19700000000000001</v>
      </c>
      <c r="L391" s="25">
        <f>IF(ISNUMBER(INDEX(Dataset2_Raw!$C$2:$C$611,$Q391)),INDEX(Dataset2_Raw!$C$2:$C$611,$Q391),"")</f>
        <v>0.51</v>
      </c>
      <c r="M391" s="25">
        <f>IF(ISNUMBER(INDEX(Dataset2_Raw!$D$2:$D$611,$Q391)),INDEX(Dataset2_Raw!$D$2:$D$611,$Q391),"")</f>
        <v>0.19400000000000001</v>
      </c>
      <c r="N391" s="23">
        <f>IF(ISNUMBER(INDEX(Dataset2_Raw!$E$2:$E$611,$Q391)),INDEX(Dataset2_Raw!$E$2:$E$611,$Q391),"")</f>
        <v>4</v>
      </c>
      <c r="O391" s="23">
        <f>IF(ISNUMBER(INDEX(Dataset2_Raw!$F$2:$F$611,$Q391)),INDEX(Dataset2_Raw!$F$2:$F$611,$Q391),"")</f>
        <v>67</v>
      </c>
      <c r="P391" s="23">
        <f>IF(ISNUMBER(INDEX(Dataset2_Raw!$G$2:$G$611,$Q391)),INDEX(Dataset2_Raw!$G$2:$G$611,$Q391),"")</f>
        <v>71</v>
      </c>
      <c r="Q391" s="23">
        <f>IFERROR(MATCH($A391,Dataset2_Raw!$A$2:$A$611,0),0)</f>
        <v>390</v>
      </c>
    </row>
    <row r="392" spans="1:17" x14ac:dyDescent="0.35">
      <c r="A392" s="23">
        <f>Dataset1_Raw!A392</f>
        <v>391</v>
      </c>
      <c r="B392" s="24">
        <f>Dataset1_Raw!B392</f>
        <v>40560</v>
      </c>
      <c r="C392" s="23">
        <f>Dataset1_Raw!C392</f>
        <v>1</v>
      </c>
      <c r="D392" s="23">
        <f>Dataset1_Raw!D392</f>
        <v>0</v>
      </c>
      <c r="E392" s="23">
        <f>Dataset1_Raw!E392</f>
        <v>1</v>
      </c>
      <c r="F392" s="23">
        <f>Dataset1_Raw!F392</f>
        <v>18</v>
      </c>
      <c r="G392" s="23" t="b">
        <f>Dataset1_Raw!G392</f>
        <v>1</v>
      </c>
      <c r="H392" s="23">
        <f>Dataset1_Raw!H392</f>
        <v>1</v>
      </c>
      <c r="I392" s="23">
        <f>Dataset1_Raw!I392</f>
        <v>2</v>
      </c>
      <c r="J392" s="25">
        <f>Dataset1_Raw!J392</f>
        <v>0.18</v>
      </c>
      <c r="K392" s="25">
        <f>IF(ISNUMBER(INDEX(Dataset2_Raw!$B$2:$B$611,$Q392)),INDEX(Dataset2_Raw!$B$2:$B$611,$Q392),"")</f>
        <v>0.16669999999999999</v>
      </c>
      <c r="L392" s="25">
        <f>IF(ISNUMBER(INDEX(Dataset2_Raw!$C$2:$C$611,$Q392)),INDEX(Dataset2_Raw!$C$2:$C$611,$Q392),"")</f>
        <v>0.55000000000000004</v>
      </c>
      <c r="M392" s="25">
        <f>IF(ISNUMBER(INDEX(Dataset2_Raw!$D$2:$D$611,$Q392)),INDEX(Dataset2_Raw!$D$2:$D$611,$Q392),"")</f>
        <v>0.25369999999999998</v>
      </c>
      <c r="N392" s="23">
        <f>IF(ISNUMBER(INDEX(Dataset2_Raw!$E$2:$E$611,$Q392)),INDEX(Dataset2_Raw!$E$2:$E$611,$Q392),"")</f>
        <v>7</v>
      </c>
      <c r="O392" s="23">
        <f>IF(ISNUMBER(INDEX(Dataset2_Raw!$F$2:$F$611,$Q392)),INDEX(Dataset2_Raw!$F$2:$F$611,$Q392),"")</f>
        <v>85</v>
      </c>
      <c r="P392" s="23">
        <f>IF(ISNUMBER(INDEX(Dataset2_Raw!$G$2:$G$611,$Q392)),INDEX(Dataset2_Raw!$G$2:$G$611,$Q392),"")</f>
        <v>92</v>
      </c>
      <c r="Q392" s="23">
        <f>IFERROR(MATCH($A392,Dataset2_Raw!$A$2:$A$611,0),0)</f>
        <v>391</v>
      </c>
    </row>
    <row r="393" spans="1:17" x14ac:dyDescent="0.35">
      <c r="A393" s="23">
        <f>Dataset1_Raw!A393</f>
        <v>392</v>
      </c>
      <c r="B393" s="24">
        <f>Dataset1_Raw!B393</f>
        <v>40560</v>
      </c>
      <c r="C393" s="23">
        <f>Dataset1_Raw!C393</f>
        <v>1</v>
      </c>
      <c r="D393" s="23">
        <f>Dataset1_Raw!D393</f>
        <v>0</v>
      </c>
      <c r="E393" s="23">
        <f>Dataset1_Raw!E393</f>
        <v>1</v>
      </c>
      <c r="F393" s="23">
        <f>Dataset1_Raw!F393</f>
        <v>19</v>
      </c>
      <c r="G393" s="23" t="b">
        <f>Dataset1_Raw!G393</f>
        <v>1</v>
      </c>
      <c r="H393" s="23">
        <f>Dataset1_Raw!H393</f>
        <v>1</v>
      </c>
      <c r="I393" s="23">
        <f>Dataset1_Raw!I393</f>
        <v>3</v>
      </c>
      <c r="J393" s="25">
        <f>Dataset1_Raw!J393</f>
        <v>0.18</v>
      </c>
      <c r="K393" s="25">
        <f>IF(ISNUMBER(INDEX(Dataset2_Raw!$B$2:$B$611,$Q393)),INDEX(Dataset2_Raw!$B$2:$B$611,$Q393),"")</f>
        <v>0.18179999999999999</v>
      </c>
      <c r="L393" s="25">
        <f>IF(ISNUMBER(INDEX(Dataset2_Raw!$C$2:$C$611,$Q393)),INDEX(Dataset2_Raw!$C$2:$C$611,$Q393),"")</f>
        <v>0.59</v>
      </c>
      <c r="M393" s="25">
        <f>IF(ISNUMBER(INDEX(Dataset2_Raw!$D$2:$D$611,$Q393)),INDEX(Dataset2_Raw!$D$2:$D$611,$Q393),"")</f>
        <v>0.19400000000000001</v>
      </c>
      <c r="N393" s="23">
        <f>IF(ISNUMBER(INDEX(Dataset2_Raw!$E$2:$E$611,$Q393)),INDEX(Dataset2_Raw!$E$2:$E$611,$Q393),"")</f>
        <v>2</v>
      </c>
      <c r="O393" s="23">
        <f>IF(ISNUMBER(INDEX(Dataset2_Raw!$F$2:$F$611,$Q393)),INDEX(Dataset2_Raw!$F$2:$F$611,$Q393),"")</f>
        <v>58</v>
      </c>
      <c r="P393" s="23">
        <f>IF(ISNUMBER(INDEX(Dataset2_Raw!$G$2:$G$611,$Q393)),INDEX(Dataset2_Raw!$G$2:$G$611,$Q393),"")</f>
        <v>60</v>
      </c>
      <c r="Q393" s="23">
        <f>IFERROR(MATCH($A393,Dataset2_Raw!$A$2:$A$611,0),0)</f>
        <v>392</v>
      </c>
    </row>
    <row r="394" spans="1:17" x14ac:dyDescent="0.35">
      <c r="A394" s="23">
        <f>Dataset1_Raw!A394</f>
        <v>393</v>
      </c>
      <c r="B394" s="24">
        <f>Dataset1_Raw!B394</f>
        <v>40560</v>
      </c>
      <c r="C394" s="23">
        <f>Dataset1_Raw!C394</f>
        <v>1</v>
      </c>
      <c r="D394" s="23">
        <f>Dataset1_Raw!D394</f>
        <v>0</v>
      </c>
      <c r="E394" s="23">
        <f>Dataset1_Raw!E394</f>
        <v>1</v>
      </c>
      <c r="F394" s="23">
        <f>Dataset1_Raw!F394</f>
        <v>20</v>
      </c>
      <c r="G394" s="23" t="b">
        <f>Dataset1_Raw!G394</f>
        <v>1</v>
      </c>
      <c r="H394" s="23">
        <f>Dataset1_Raw!H394</f>
        <v>1</v>
      </c>
      <c r="I394" s="23">
        <f>Dataset1_Raw!I394</f>
        <v>3</v>
      </c>
      <c r="J394" s="25">
        <f>Dataset1_Raw!J394</f>
        <v>0.16</v>
      </c>
      <c r="K394" s="25">
        <f>IF(ISNUMBER(INDEX(Dataset2_Raw!$B$2:$B$611,$Q394)),INDEX(Dataset2_Raw!$B$2:$B$611,$Q394),"")</f>
        <v>0.1515</v>
      </c>
      <c r="L394" s="25">
        <f>IF(ISNUMBER(INDEX(Dataset2_Raw!$C$2:$C$611,$Q394)),INDEX(Dataset2_Raw!$C$2:$C$611,$Q394),"")</f>
        <v>0.8</v>
      </c>
      <c r="M394" s="25">
        <f>IF(ISNUMBER(INDEX(Dataset2_Raw!$D$2:$D$611,$Q394)),INDEX(Dataset2_Raw!$D$2:$D$611,$Q394),"")</f>
        <v>0.19400000000000001</v>
      </c>
      <c r="N394" s="23">
        <f>IF(ISNUMBER(INDEX(Dataset2_Raw!$E$2:$E$611,$Q394)),INDEX(Dataset2_Raw!$E$2:$E$611,$Q394),"")</f>
        <v>4</v>
      </c>
      <c r="O394" s="23">
        <f>IF(ISNUMBER(INDEX(Dataset2_Raw!$F$2:$F$611,$Q394)),INDEX(Dataset2_Raw!$F$2:$F$611,$Q394),"")</f>
        <v>29</v>
      </c>
      <c r="P394" s="23">
        <f>IF(ISNUMBER(INDEX(Dataset2_Raw!$G$2:$G$611,$Q394)),INDEX(Dataset2_Raw!$G$2:$G$611,$Q394),"")</f>
        <v>33</v>
      </c>
      <c r="Q394" s="23">
        <f>IFERROR(MATCH($A394,Dataset2_Raw!$A$2:$A$611,0),0)</f>
        <v>393</v>
      </c>
    </row>
    <row r="395" spans="1:17" x14ac:dyDescent="0.35">
      <c r="A395" s="23">
        <f>Dataset1_Raw!A395</f>
        <v>394</v>
      </c>
      <c r="B395" s="24">
        <f>Dataset1_Raw!B395</f>
        <v>40560</v>
      </c>
      <c r="C395" s="23">
        <f>Dataset1_Raw!C395</f>
        <v>1</v>
      </c>
      <c r="D395" s="23">
        <f>Dataset1_Raw!D395</f>
        <v>0</v>
      </c>
      <c r="E395" s="23">
        <f>Dataset1_Raw!E395</f>
        <v>1</v>
      </c>
      <c r="F395" s="23">
        <f>Dataset1_Raw!F395</f>
        <v>21</v>
      </c>
      <c r="G395" s="23" t="b">
        <f>Dataset1_Raw!G395</f>
        <v>1</v>
      </c>
      <c r="H395" s="23">
        <f>Dataset1_Raw!H395</f>
        <v>1</v>
      </c>
      <c r="I395" s="23">
        <f>Dataset1_Raw!I395</f>
        <v>3</v>
      </c>
      <c r="J395" s="25">
        <f>Dataset1_Raw!J395</f>
        <v>0.16</v>
      </c>
      <c r="K395" s="25">
        <f>IF(ISNUMBER(INDEX(Dataset2_Raw!$B$2:$B$611,$Q395)),INDEX(Dataset2_Raw!$B$2:$B$611,$Q395),"")</f>
        <v>0.1515</v>
      </c>
      <c r="L395" s="25">
        <f>IF(ISNUMBER(INDEX(Dataset2_Raw!$C$2:$C$611,$Q395)),INDEX(Dataset2_Raw!$C$2:$C$611,$Q395),"")</f>
        <v>0.8</v>
      </c>
      <c r="M395" s="25">
        <f>IF(ISNUMBER(INDEX(Dataset2_Raw!$D$2:$D$611,$Q395)),INDEX(Dataset2_Raw!$D$2:$D$611,$Q395),"")</f>
        <v>0.19400000000000001</v>
      </c>
      <c r="N395" s="23">
        <f>IF(ISNUMBER(INDEX(Dataset2_Raw!$E$2:$E$611,$Q395)),INDEX(Dataset2_Raw!$E$2:$E$611,$Q395),"")</f>
        <v>3</v>
      </c>
      <c r="O395" s="23">
        <f>IF(ISNUMBER(INDEX(Dataset2_Raw!$F$2:$F$611,$Q395)),INDEX(Dataset2_Raw!$F$2:$F$611,$Q395),"")</f>
        <v>24</v>
      </c>
      <c r="P395" s="23">
        <f>IF(ISNUMBER(INDEX(Dataset2_Raw!$G$2:$G$611,$Q395)),INDEX(Dataset2_Raw!$G$2:$G$611,$Q395),"")</f>
        <v>27</v>
      </c>
      <c r="Q395" s="23">
        <f>IFERROR(MATCH($A395,Dataset2_Raw!$A$2:$A$611,0),0)</f>
        <v>394</v>
      </c>
    </row>
    <row r="396" spans="1:17" x14ac:dyDescent="0.35">
      <c r="A396" s="23">
        <f>Dataset1_Raw!A396</f>
        <v>395</v>
      </c>
      <c r="B396" s="24">
        <f>Dataset1_Raw!B396</f>
        <v>40560</v>
      </c>
      <c r="C396" s="23">
        <f>Dataset1_Raw!C396</f>
        <v>1</v>
      </c>
      <c r="D396" s="23">
        <f>Dataset1_Raw!D396</f>
        <v>0</v>
      </c>
      <c r="E396" s="23">
        <f>Dataset1_Raw!E396</f>
        <v>1</v>
      </c>
      <c r="F396" s="23">
        <f>Dataset1_Raw!F396</f>
        <v>22</v>
      </c>
      <c r="G396" s="23" t="b">
        <f>Dataset1_Raw!G396</f>
        <v>1</v>
      </c>
      <c r="H396" s="23">
        <f>Dataset1_Raw!H396</f>
        <v>1</v>
      </c>
      <c r="I396" s="23">
        <f>Dataset1_Raw!I396</f>
        <v>3</v>
      </c>
      <c r="J396" s="25">
        <f>Dataset1_Raw!J396</f>
        <v>0.14000000000000001</v>
      </c>
      <c r="K396" s="25">
        <f>IF(ISNUMBER(INDEX(Dataset2_Raw!$B$2:$B$611,$Q396)),INDEX(Dataset2_Raw!$B$2:$B$611,$Q396),"")</f>
        <v>0.1212</v>
      </c>
      <c r="L396" s="25">
        <f>IF(ISNUMBER(INDEX(Dataset2_Raw!$C$2:$C$611,$Q396)),INDEX(Dataset2_Raw!$C$2:$C$611,$Q396),"")</f>
        <v>0.93</v>
      </c>
      <c r="M396" s="25">
        <f>IF(ISNUMBER(INDEX(Dataset2_Raw!$D$2:$D$611,$Q396)),INDEX(Dataset2_Raw!$D$2:$D$611,$Q396),"")</f>
        <v>0.25369999999999998</v>
      </c>
      <c r="N396" s="23">
        <f>IF(ISNUMBER(INDEX(Dataset2_Raw!$E$2:$E$611,$Q396)),INDEX(Dataset2_Raw!$E$2:$E$611,$Q396),"")</f>
        <v>0</v>
      </c>
      <c r="O396" s="23">
        <f>IF(ISNUMBER(INDEX(Dataset2_Raw!$F$2:$F$611,$Q396)),INDEX(Dataset2_Raw!$F$2:$F$611,$Q396),"")</f>
        <v>13</v>
      </c>
      <c r="P396" s="23">
        <f>IF(ISNUMBER(INDEX(Dataset2_Raw!$G$2:$G$611,$Q396)),INDEX(Dataset2_Raw!$G$2:$G$611,$Q396),"")</f>
        <v>13</v>
      </c>
      <c r="Q396" s="23">
        <f>IFERROR(MATCH($A396,Dataset2_Raw!$A$2:$A$611,0),0)</f>
        <v>395</v>
      </c>
    </row>
    <row r="397" spans="1:17" x14ac:dyDescent="0.35">
      <c r="A397" s="23">
        <f>Dataset1_Raw!A397</f>
        <v>396</v>
      </c>
      <c r="B397" s="24">
        <f>Dataset1_Raw!B397</f>
        <v>40560</v>
      </c>
      <c r="C397" s="23">
        <f>Dataset1_Raw!C397</f>
        <v>1</v>
      </c>
      <c r="D397" s="23">
        <f>Dataset1_Raw!D397</f>
        <v>0</v>
      </c>
      <c r="E397" s="23">
        <f>Dataset1_Raw!E397</f>
        <v>1</v>
      </c>
      <c r="F397" s="23">
        <f>Dataset1_Raw!F397</f>
        <v>23</v>
      </c>
      <c r="G397" s="23" t="b">
        <f>Dataset1_Raw!G397</f>
        <v>1</v>
      </c>
      <c r="H397" s="23">
        <f>Dataset1_Raw!H397</f>
        <v>1</v>
      </c>
      <c r="I397" s="23">
        <f>Dataset1_Raw!I397</f>
        <v>3</v>
      </c>
      <c r="J397" s="25">
        <f>Dataset1_Raw!J397</f>
        <v>0.16</v>
      </c>
      <c r="K397" s="25">
        <f>IF(ISNUMBER(INDEX(Dataset2_Raw!$B$2:$B$611,$Q397)),INDEX(Dataset2_Raw!$B$2:$B$611,$Q397),"")</f>
        <v>0.13639999999999999</v>
      </c>
      <c r="L397" s="25">
        <f>IF(ISNUMBER(INDEX(Dataset2_Raw!$C$2:$C$611,$Q397)),INDEX(Dataset2_Raw!$C$2:$C$611,$Q397),"")</f>
        <v>0.86</v>
      </c>
      <c r="M397" s="25">
        <f>IF(ISNUMBER(INDEX(Dataset2_Raw!$D$2:$D$611,$Q397)),INDEX(Dataset2_Raw!$D$2:$D$611,$Q397),"")</f>
        <v>0.28360000000000002</v>
      </c>
      <c r="N397" s="23">
        <f>IF(ISNUMBER(INDEX(Dataset2_Raw!$E$2:$E$611,$Q397)),INDEX(Dataset2_Raw!$E$2:$E$611,$Q397),"")</f>
        <v>1</v>
      </c>
      <c r="O397" s="23">
        <f>IF(ISNUMBER(INDEX(Dataset2_Raw!$F$2:$F$611,$Q397)),INDEX(Dataset2_Raw!$F$2:$F$611,$Q397),"")</f>
        <v>3</v>
      </c>
      <c r="P397" s="23">
        <f>IF(ISNUMBER(INDEX(Dataset2_Raw!$G$2:$G$611,$Q397)),INDEX(Dataset2_Raw!$G$2:$G$611,$Q397),"")</f>
        <v>4</v>
      </c>
      <c r="Q397" s="23">
        <f>IFERROR(MATCH($A397,Dataset2_Raw!$A$2:$A$611,0),0)</f>
        <v>396</v>
      </c>
    </row>
    <row r="398" spans="1:17" x14ac:dyDescent="0.35">
      <c r="A398" s="23">
        <f>Dataset1_Raw!A398</f>
        <v>397</v>
      </c>
      <c r="B398" s="24">
        <f>Dataset1_Raw!B398</f>
        <v>40561</v>
      </c>
      <c r="C398" s="23">
        <f>Dataset1_Raw!C398</f>
        <v>1</v>
      </c>
      <c r="D398" s="23">
        <f>Dataset1_Raw!D398</f>
        <v>0</v>
      </c>
      <c r="E398" s="23">
        <f>Dataset1_Raw!E398</f>
        <v>1</v>
      </c>
      <c r="F398" s="23">
        <f>Dataset1_Raw!F398</f>
        <v>12</v>
      </c>
      <c r="G398" s="23" t="b">
        <f>Dataset1_Raw!G398</f>
        <v>0</v>
      </c>
      <c r="H398" s="23">
        <f>Dataset1_Raw!H398</f>
        <v>2</v>
      </c>
      <c r="I398" s="23">
        <f>Dataset1_Raw!I398</f>
        <v>2</v>
      </c>
      <c r="J398" s="25">
        <f>Dataset1_Raw!J398</f>
        <v>0.2</v>
      </c>
      <c r="K398" s="25">
        <f>IF(ISNUMBER(INDEX(Dataset2_Raw!$B$2:$B$611,$Q398)),INDEX(Dataset2_Raw!$B$2:$B$611,$Q398),"")</f>
        <v>0.18179999999999999</v>
      </c>
      <c r="L398" s="25">
        <f>IF(ISNUMBER(INDEX(Dataset2_Raw!$C$2:$C$611,$Q398)),INDEX(Dataset2_Raw!$C$2:$C$611,$Q398),"")</f>
        <v>0.86</v>
      </c>
      <c r="M398" s="25">
        <f>IF(ISNUMBER(INDEX(Dataset2_Raw!$D$2:$D$611,$Q398)),INDEX(Dataset2_Raw!$D$2:$D$611,$Q398),"")</f>
        <v>0.32840000000000003</v>
      </c>
      <c r="N398" s="23">
        <f>IF(ISNUMBER(INDEX(Dataset2_Raw!$E$2:$E$611,$Q398)),INDEX(Dataset2_Raw!$E$2:$E$611,$Q398),"")</f>
        <v>0</v>
      </c>
      <c r="O398" s="23">
        <f>IF(ISNUMBER(INDEX(Dataset2_Raw!$F$2:$F$611,$Q398)),INDEX(Dataset2_Raw!$F$2:$F$611,$Q398),"")</f>
        <v>3</v>
      </c>
      <c r="P398" s="23">
        <f>IF(ISNUMBER(INDEX(Dataset2_Raw!$G$2:$G$611,$Q398)),INDEX(Dataset2_Raw!$G$2:$G$611,$Q398),"")</f>
        <v>3</v>
      </c>
      <c r="Q398" s="23">
        <f>IFERROR(MATCH($A398,Dataset2_Raw!$A$2:$A$611,0),0)</f>
        <v>397</v>
      </c>
    </row>
    <row r="399" spans="1:17" x14ac:dyDescent="0.35">
      <c r="A399" s="23">
        <f>Dataset1_Raw!A399</f>
        <v>398</v>
      </c>
      <c r="B399" s="24">
        <f>Dataset1_Raw!B399</f>
        <v>40561</v>
      </c>
      <c r="C399" s="23">
        <f>Dataset1_Raw!C399</f>
        <v>1</v>
      </c>
      <c r="D399" s="23">
        <f>Dataset1_Raw!D399</f>
        <v>0</v>
      </c>
      <c r="E399" s="23">
        <f>Dataset1_Raw!E399</f>
        <v>1</v>
      </c>
      <c r="F399" s="23">
        <f>Dataset1_Raw!F399</f>
        <v>13</v>
      </c>
      <c r="G399" s="23" t="b">
        <f>Dataset1_Raw!G399</f>
        <v>0</v>
      </c>
      <c r="H399" s="23">
        <f>Dataset1_Raw!H399</f>
        <v>2</v>
      </c>
      <c r="I399" s="23">
        <f>Dataset1_Raw!I399</f>
        <v>2</v>
      </c>
      <c r="J399" s="25">
        <f>Dataset1_Raw!J399</f>
        <v>0.2</v>
      </c>
      <c r="K399" s="25">
        <f>IF(ISNUMBER(INDEX(Dataset2_Raw!$B$2:$B$611,$Q399)),INDEX(Dataset2_Raw!$B$2:$B$611,$Q399),"")</f>
        <v>0.19700000000000001</v>
      </c>
      <c r="L399" s="25">
        <f>IF(ISNUMBER(INDEX(Dataset2_Raw!$C$2:$C$611,$Q399)),INDEX(Dataset2_Raw!$C$2:$C$611,$Q399),"")</f>
        <v>0.86</v>
      </c>
      <c r="M399" s="25">
        <f>IF(ISNUMBER(INDEX(Dataset2_Raw!$D$2:$D$611,$Q399)),INDEX(Dataset2_Raw!$D$2:$D$611,$Q399),"")</f>
        <v>0.22389999999999999</v>
      </c>
      <c r="N399" s="23">
        <f>IF(ISNUMBER(INDEX(Dataset2_Raw!$E$2:$E$611,$Q399)),INDEX(Dataset2_Raw!$E$2:$E$611,$Q399),"")</f>
        <v>0</v>
      </c>
      <c r="O399" s="23">
        <f>IF(ISNUMBER(INDEX(Dataset2_Raw!$F$2:$F$611,$Q399)),INDEX(Dataset2_Raw!$F$2:$F$611,$Q399),"")</f>
        <v>22</v>
      </c>
      <c r="P399" s="23">
        <f>IF(ISNUMBER(INDEX(Dataset2_Raw!$G$2:$G$611,$Q399)),INDEX(Dataset2_Raw!$G$2:$G$611,$Q399),"")</f>
        <v>22</v>
      </c>
      <c r="Q399" s="23">
        <f>IFERROR(MATCH($A399,Dataset2_Raw!$A$2:$A$611,0),0)</f>
        <v>398</v>
      </c>
    </row>
    <row r="400" spans="1:17" x14ac:dyDescent="0.35">
      <c r="A400" s="23">
        <f>Dataset1_Raw!A400</f>
        <v>399</v>
      </c>
      <c r="B400" s="24">
        <f>Dataset1_Raw!B400</f>
        <v>40561</v>
      </c>
      <c r="C400" s="23">
        <f>Dataset1_Raw!C400</f>
        <v>1</v>
      </c>
      <c r="D400" s="23">
        <f>Dataset1_Raw!D400</f>
        <v>0</v>
      </c>
      <c r="E400" s="23">
        <f>Dataset1_Raw!E400</f>
        <v>1</v>
      </c>
      <c r="F400" s="23">
        <f>Dataset1_Raw!F400</f>
        <v>14</v>
      </c>
      <c r="G400" s="23" t="b">
        <f>Dataset1_Raw!G400</f>
        <v>0</v>
      </c>
      <c r="H400" s="23">
        <f>Dataset1_Raw!H400</f>
        <v>2</v>
      </c>
      <c r="I400" s="23">
        <f>Dataset1_Raw!I400</f>
        <v>2</v>
      </c>
      <c r="J400" s="25">
        <f>Dataset1_Raw!J400</f>
        <v>0.22</v>
      </c>
      <c r="K400" s="25">
        <f>IF(ISNUMBER(INDEX(Dataset2_Raw!$B$2:$B$611,$Q400)),INDEX(Dataset2_Raw!$B$2:$B$611,$Q400),"")</f>
        <v>0.2273</v>
      </c>
      <c r="L400" s="25">
        <f>IF(ISNUMBER(INDEX(Dataset2_Raw!$C$2:$C$611,$Q400)),INDEX(Dataset2_Raw!$C$2:$C$611,$Q400),"")</f>
        <v>0.8</v>
      </c>
      <c r="M400" s="25">
        <f>IF(ISNUMBER(INDEX(Dataset2_Raw!$D$2:$D$611,$Q400)),INDEX(Dataset2_Raw!$D$2:$D$611,$Q400),"")</f>
        <v>0.16420000000000001</v>
      </c>
      <c r="N400" s="23">
        <f>IF(ISNUMBER(INDEX(Dataset2_Raw!$E$2:$E$611,$Q400)),INDEX(Dataset2_Raw!$E$2:$E$611,$Q400),"")</f>
        <v>2</v>
      </c>
      <c r="O400" s="23">
        <f>IF(ISNUMBER(INDEX(Dataset2_Raw!$F$2:$F$611,$Q400)),INDEX(Dataset2_Raw!$F$2:$F$611,$Q400),"")</f>
        <v>26</v>
      </c>
      <c r="P400" s="23">
        <f>IF(ISNUMBER(INDEX(Dataset2_Raw!$G$2:$G$611,$Q400)),INDEX(Dataset2_Raw!$G$2:$G$611,$Q400),"")</f>
        <v>28</v>
      </c>
      <c r="Q400" s="23">
        <f>IFERROR(MATCH($A400,Dataset2_Raw!$A$2:$A$611,0),0)</f>
        <v>399</v>
      </c>
    </row>
    <row r="401" spans="1:17" x14ac:dyDescent="0.35">
      <c r="A401" s="23">
        <f>Dataset1_Raw!A401</f>
        <v>400</v>
      </c>
      <c r="B401" s="24">
        <f>Dataset1_Raw!B401</f>
        <v>40561</v>
      </c>
      <c r="C401" s="23">
        <f>Dataset1_Raw!C401</f>
        <v>1</v>
      </c>
      <c r="D401" s="23">
        <f>Dataset1_Raw!D401</f>
        <v>0</v>
      </c>
      <c r="E401" s="23">
        <f>Dataset1_Raw!E401</f>
        <v>1</v>
      </c>
      <c r="F401" s="23">
        <f>Dataset1_Raw!F401</f>
        <v>15</v>
      </c>
      <c r="G401" s="23" t="b">
        <f>Dataset1_Raw!G401</f>
        <v>0</v>
      </c>
      <c r="H401" s="23">
        <f>Dataset1_Raw!H401</f>
        <v>2</v>
      </c>
      <c r="I401" s="23">
        <f>Dataset1_Raw!I401</f>
        <v>2</v>
      </c>
      <c r="J401" s="25">
        <f>Dataset1_Raw!J401</f>
        <v>0.22</v>
      </c>
      <c r="K401" s="25">
        <f>IF(ISNUMBER(INDEX(Dataset2_Raw!$B$2:$B$611,$Q401)),INDEX(Dataset2_Raw!$B$2:$B$611,$Q401),"")</f>
        <v>0.2273</v>
      </c>
      <c r="L401" s="25">
        <f>IF(ISNUMBER(INDEX(Dataset2_Raw!$C$2:$C$611,$Q401)),INDEX(Dataset2_Raw!$C$2:$C$611,$Q401),"")</f>
        <v>0.87</v>
      </c>
      <c r="M401" s="25">
        <f>IF(ISNUMBER(INDEX(Dataset2_Raw!$D$2:$D$611,$Q401)),INDEX(Dataset2_Raw!$D$2:$D$611,$Q401),"")</f>
        <v>0.16420000000000001</v>
      </c>
      <c r="N401" s="23">
        <f>IF(ISNUMBER(INDEX(Dataset2_Raw!$E$2:$E$611,$Q401)),INDEX(Dataset2_Raw!$E$2:$E$611,$Q401),"")</f>
        <v>3</v>
      </c>
      <c r="O401" s="23">
        <f>IF(ISNUMBER(INDEX(Dataset2_Raw!$F$2:$F$611,$Q401)),INDEX(Dataset2_Raw!$F$2:$F$611,$Q401),"")</f>
        <v>32</v>
      </c>
      <c r="P401" s="23">
        <f>IF(ISNUMBER(INDEX(Dataset2_Raw!$G$2:$G$611,$Q401)),INDEX(Dataset2_Raw!$G$2:$G$611,$Q401),"")</f>
        <v>35</v>
      </c>
      <c r="Q401" s="23">
        <f>IFERROR(MATCH($A401,Dataset2_Raw!$A$2:$A$611,0),0)</f>
        <v>400</v>
      </c>
    </row>
    <row r="402" spans="1:17" x14ac:dyDescent="0.35">
      <c r="A402" s="23">
        <f>Dataset1_Raw!A402</f>
        <v>401</v>
      </c>
      <c r="B402" s="24">
        <f>Dataset1_Raw!B402</f>
        <v>40561</v>
      </c>
      <c r="C402" s="23">
        <f>Dataset1_Raw!C402</f>
        <v>1</v>
      </c>
      <c r="D402" s="23">
        <f>Dataset1_Raw!D402</f>
        <v>0</v>
      </c>
      <c r="E402" s="23">
        <f>Dataset1_Raw!E402</f>
        <v>1</v>
      </c>
      <c r="F402" s="23">
        <f>Dataset1_Raw!F402</f>
        <v>16</v>
      </c>
      <c r="G402" s="23" t="b">
        <f>Dataset1_Raw!G402</f>
        <v>0</v>
      </c>
      <c r="H402" s="23">
        <f>Dataset1_Raw!H402</f>
        <v>2</v>
      </c>
      <c r="I402" s="23">
        <f>Dataset1_Raw!I402</f>
        <v>2</v>
      </c>
      <c r="J402" s="25">
        <f>Dataset1_Raw!J402</f>
        <v>0.22</v>
      </c>
      <c r="K402" s="25">
        <f>IF(ISNUMBER(INDEX(Dataset2_Raw!$B$2:$B$611,$Q402)),INDEX(Dataset2_Raw!$B$2:$B$611,$Q402),"")</f>
        <v>0.2273</v>
      </c>
      <c r="L402" s="25">
        <f>IF(ISNUMBER(INDEX(Dataset2_Raw!$C$2:$C$611,$Q402)),INDEX(Dataset2_Raw!$C$2:$C$611,$Q402),"")</f>
        <v>0.87</v>
      </c>
      <c r="M402" s="25">
        <f>IF(ISNUMBER(INDEX(Dataset2_Raw!$D$2:$D$611,$Q402)),INDEX(Dataset2_Raw!$D$2:$D$611,$Q402),"")</f>
        <v>0.19400000000000001</v>
      </c>
      <c r="N402" s="23">
        <f>IF(ISNUMBER(INDEX(Dataset2_Raw!$E$2:$E$611,$Q402)),INDEX(Dataset2_Raw!$E$2:$E$611,$Q402),"")</f>
        <v>0</v>
      </c>
      <c r="O402" s="23">
        <f>IF(ISNUMBER(INDEX(Dataset2_Raw!$F$2:$F$611,$Q402)),INDEX(Dataset2_Raw!$F$2:$F$611,$Q402),"")</f>
        <v>61</v>
      </c>
      <c r="P402" s="23">
        <f>IF(ISNUMBER(INDEX(Dataset2_Raw!$G$2:$G$611,$Q402)),INDEX(Dataset2_Raw!$G$2:$G$611,$Q402),"")</f>
        <v>61</v>
      </c>
      <c r="Q402" s="23">
        <f>IFERROR(MATCH($A402,Dataset2_Raw!$A$2:$A$611,0),0)</f>
        <v>401</v>
      </c>
    </row>
    <row r="403" spans="1:17" x14ac:dyDescent="0.35">
      <c r="A403" s="23">
        <f>Dataset1_Raw!A403</f>
        <v>402</v>
      </c>
      <c r="B403" s="24">
        <f>Dataset1_Raw!B403</f>
        <v>40561</v>
      </c>
      <c r="C403" s="23">
        <f>Dataset1_Raw!C403</f>
        <v>1</v>
      </c>
      <c r="D403" s="23">
        <f>Dataset1_Raw!D403</f>
        <v>0</v>
      </c>
      <c r="E403" s="23">
        <f>Dataset1_Raw!E403</f>
        <v>1</v>
      </c>
      <c r="F403" s="23">
        <f>Dataset1_Raw!F403</f>
        <v>17</v>
      </c>
      <c r="G403" s="23" t="b">
        <f>Dataset1_Raw!G403</f>
        <v>0</v>
      </c>
      <c r="H403" s="23">
        <f>Dataset1_Raw!H403</f>
        <v>2</v>
      </c>
      <c r="I403" s="23">
        <f>Dataset1_Raw!I403</f>
        <v>2</v>
      </c>
      <c r="J403" s="25">
        <f>Dataset1_Raw!J403</f>
        <v>0.22</v>
      </c>
      <c r="K403" s="25">
        <f>IF(ISNUMBER(INDEX(Dataset2_Raw!$B$2:$B$611,$Q403)),INDEX(Dataset2_Raw!$B$2:$B$611,$Q403),"")</f>
        <v>0.2273</v>
      </c>
      <c r="L403" s="25">
        <f>IF(ISNUMBER(INDEX(Dataset2_Raw!$C$2:$C$611,$Q403)),INDEX(Dataset2_Raw!$C$2:$C$611,$Q403),"")</f>
        <v>0.82</v>
      </c>
      <c r="M403" s="25">
        <f>IF(ISNUMBER(INDEX(Dataset2_Raw!$D$2:$D$611,$Q403)),INDEX(Dataset2_Raw!$D$2:$D$611,$Q403),"")</f>
        <v>0.19400000000000001</v>
      </c>
      <c r="N403" s="23">
        <f>IF(ISNUMBER(INDEX(Dataset2_Raw!$E$2:$E$611,$Q403)),INDEX(Dataset2_Raw!$E$2:$E$611,$Q403),"")</f>
        <v>1</v>
      </c>
      <c r="O403" s="23">
        <f>IF(ISNUMBER(INDEX(Dataset2_Raw!$F$2:$F$611,$Q403)),INDEX(Dataset2_Raw!$F$2:$F$611,$Q403),"")</f>
        <v>124</v>
      </c>
      <c r="P403" s="23">
        <f>IF(ISNUMBER(INDEX(Dataset2_Raw!$G$2:$G$611,$Q403)),INDEX(Dataset2_Raw!$G$2:$G$611,$Q403),"")</f>
        <v>125</v>
      </c>
      <c r="Q403" s="23">
        <f>IFERROR(MATCH($A403,Dataset2_Raw!$A$2:$A$611,0),0)</f>
        <v>402</v>
      </c>
    </row>
    <row r="404" spans="1:17" x14ac:dyDescent="0.35">
      <c r="A404" s="23">
        <f>Dataset1_Raw!A404</f>
        <v>403</v>
      </c>
      <c r="B404" s="24">
        <f>Dataset1_Raw!B404</f>
        <v>40561</v>
      </c>
      <c r="C404" s="23">
        <f>Dataset1_Raw!C404</f>
        <v>1</v>
      </c>
      <c r="D404" s="23">
        <f>Dataset1_Raw!D404</f>
        <v>0</v>
      </c>
      <c r="E404" s="23">
        <f>Dataset1_Raw!E404</f>
        <v>1</v>
      </c>
      <c r="F404" s="23">
        <f>Dataset1_Raw!F404</f>
        <v>18</v>
      </c>
      <c r="G404" s="23" t="b">
        <f>Dataset1_Raw!G404</f>
        <v>0</v>
      </c>
      <c r="H404" s="23">
        <f>Dataset1_Raw!H404</f>
        <v>2</v>
      </c>
      <c r="I404" s="23">
        <f>Dataset1_Raw!I404</f>
        <v>2</v>
      </c>
      <c r="J404" s="25">
        <f>Dataset1_Raw!J404</f>
        <v>0.22</v>
      </c>
      <c r="K404" s="25">
        <f>IF(ISNUMBER(INDEX(Dataset2_Raw!$B$2:$B$611,$Q404)),INDEX(Dataset2_Raw!$B$2:$B$611,$Q404),"")</f>
        <v>0.2273</v>
      </c>
      <c r="L404" s="25">
        <f>IF(ISNUMBER(INDEX(Dataset2_Raw!$C$2:$C$611,$Q404)),INDEX(Dataset2_Raw!$C$2:$C$611,$Q404),"")</f>
        <v>0.8</v>
      </c>
      <c r="M404" s="25">
        <f>IF(ISNUMBER(INDEX(Dataset2_Raw!$D$2:$D$611,$Q404)),INDEX(Dataset2_Raw!$D$2:$D$611,$Q404),"")</f>
        <v>0.16420000000000001</v>
      </c>
      <c r="N404" s="23">
        <f>IF(ISNUMBER(INDEX(Dataset2_Raw!$E$2:$E$611,$Q404)),INDEX(Dataset2_Raw!$E$2:$E$611,$Q404),"")</f>
        <v>1</v>
      </c>
      <c r="O404" s="23">
        <f>IF(ISNUMBER(INDEX(Dataset2_Raw!$F$2:$F$611,$Q404)),INDEX(Dataset2_Raw!$F$2:$F$611,$Q404),"")</f>
        <v>132</v>
      </c>
      <c r="P404" s="23">
        <f>IF(ISNUMBER(INDEX(Dataset2_Raw!$G$2:$G$611,$Q404)),INDEX(Dataset2_Raw!$G$2:$G$611,$Q404),"")</f>
        <v>133</v>
      </c>
      <c r="Q404" s="23">
        <f>IFERROR(MATCH($A404,Dataset2_Raw!$A$2:$A$611,0),0)</f>
        <v>403</v>
      </c>
    </row>
    <row r="405" spans="1:17" x14ac:dyDescent="0.35">
      <c r="A405" s="23">
        <f>Dataset1_Raw!A405</f>
        <v>404</v>
      </c>
      <c r="B405" s="24">
        <f>Dataset1_Raw!B405</f>
        <v>40561</v>
      </c>
      <c r="C405" s="23">
        <f>Dataset1_Raw!C405</f>
        <v>1</v>
      </c>
      <c r="D405" s="23">
        <f>Dataset1_Raw!D405</f>
        <v>0</v>
      </c>
      <c r="E405" s="23">
        <f>Dataset1_Raw!E405</f>
        <v>1</v>
      </c>
      <c r="F405" s="23">
        <f>Dataset1_Raw!F405</f>
        <v>19</v>
      </c>
      <c r="G405" s="23" t="b">
        <f>Dataset1_Raw!G405</f>
        <v>0</v>
      </c>
      <c r="H405" s="23">
        <f>Dataset1_Raw!H405</f>
        <v>2</v>
      </c>
      <c r="I405" s="23">
        <f>Dataset1_Raw!I405</f>
        <v>2</v>
      </c>
      <c r="J405" s="25">
        <f>Dataset1_Raw!J405</f>
        <v>0.22</v>
      </c>
      <c r="K405" s="25">
        <f>IF(ISNUMBER(INDEX(Dataset2_Raw!$B$2:$B$611,$Q405)),INDEX(Dataset2_Raw!$B$2:$B$611,$Q405),"")</f>
        <v>0.2273</v>
      </c>
      <c r="L405" s="25">
        <f>IF(ISNUMBER(INDEX(Dataset2_Raw!$C$2:$C$611,$Q405)),INDEX(Dataset2_Raw!$C$2:$C$611,$Q405),"")</f>
        <v>0.8</v>
      </c>
      <c r="M405" s="25">
        <f>IF(ISNUMBER(INDEX(Dataset2_Raw!$D$2:$D$611,$Q405)),INDEX(Dataset2_Raw!$D$2:$D$611,$Q405),"")</f>
        <v>0.1343</v>
      </c>
      <c r="N405" s="23">
        <f>IF(ISNUMBER(INDEX(Dataset2_Raw!$E$2:$E$611,$Q405)),INDEX(Dataset2_Raw!$E$2:$E$611,$Q405),"")</f>
        <v>1</v>
      </c>
      <c r="O405" s="23">
        <f>IF(ISNUMBER(INDEX(Dataset2_Raw!$F$2:$F$611,$Q405)),INDEX(Dataset2_Raw!$F$2:$F$611,$Q405),"")</f>
        <v>98</v>
      </c>
      <c r="P405" s="23">
        <f>IF(ISNUMBER(INDEX(Dataset2_Raw!$G$2:$G$611,$Q405)),INDEX(Dataset2_Raw!$G$2:$G$611,$Q405),"")</f>
        <v>99</v>
      </c>
      <c r="Q405" s="23">
        <f>IFERROR(MATCH($A405,Dataset2_Raw!$A$2:$A$611,0),0)</f>
        <v>404</v>
      </c>
    </row>
    <row r="406" spans="1:17" x14ac:dyDescent="0.35">
      <c r="A406" s="23">
        <f>Dataset1_Raw!A406</f>
        <v>405</v>
      </c>
      <c r="B406" s="24">
        <f>Dataset1_Raw!B406</f>
        <v>40561</v>
      </c>
      <c r="C406" s="23">
        <f>Dataset1_Raw!C406</f>
        <v>1</v>
      </c>
      <c r="D406" s="23">
        <f>Dataset1_Raw!D406</f>
        <v>0</v>
      </c>
      <c r="E406" s="23">
        <f>Dataset1_Raw!E406</f>
        <v>1</v>
      </c>
      <c r="F406" s="23">
        <f>Dataset1_Raw!F406</f>
        <v>20</v>
      </c>
      <c r="G406" s="23" t="b">
        <f>Dataset1_Raw!G406</f>
        <v>0</v>
      </c>
      <c r="H406" s="23">
        <f>Dataset1_Raw!H406</f>
        <v>2</v>
      </c>
      <c r="I406" s="23">
        <f>Dataset1_Raw!I406</f>
        <v>2</v>
      </c>
      <c r="J406" s="25">
        <f>Dataset1_Raw!J406</f>
        <v>0.22</v>
      </c>
      <c r="K406" s="25">
        <f>IF(ISNUMBER(INDEX(Dataset2_Raw!$B$2:$B$611,$Q406)),INDEX(Dataset2_Raw!$B$2:$B$611,$Q406),"")</f>
        <v>0.2727</v>
      </c>
      <c r="L406" s="25">
        <f>IF(ISNUMBER(INDEX(Dataset2_Raw!$C$2:$C$611,$Q406)),INDEX(Dataset2_Raw!$C$2:$C$611,$Q406),"")</f>
        <v>0.87</v>
      </c>
      <c r="M406" s="25">
        <f>IF(ISNUMBER(INDEX(Dataset2_Raw!$D$2:$D$611,$Q406)),INDEX(Dataset2_Raw!$D$2:$D$611,$Q406),"")</f>
        <v>0</v>
      </c>
      <c r="N406" s="23">
        <f>IF(ISNUMBER(INDEX(Dataset2_Raw!$E$2:$E$611,$Q406)),INDEX(Dataset2_Raw!$E$2:$E$611,$Q406),"")</f>
        <v>0</v>
      </c>
      <c r="O406" s="23">
        <f>IF(ISNUMBER(INDEX(Dataset2_Raw!$F$2:$F$611,$Q406)),INDEX(Dataset2_Raw!$F$2:$F$611,$Q406),"")</f>
        <v>83</v>
      </c>
      <c r="P406" s="23">
        <f>IF(ISNUMBER(INDEX(Dataset2_Raw!$G$2:$G$611,$Q406)),INDEX(Dataset2_Raw!$G$2:$G$611,$Q406),"")</f>
        <v>83</v>
      </c>
      <c r="Q406" s="23">
        <f>IFERROR(MATCH($A406,Dataset2_Raw!$A$2:$A$611,0),0)</f>
        <v>405</v>
      </c>
    </row>
    <row r="407" spans="1:17" x14ac:dyDescent="0.35">
      <c r="A407" s="23">
        <f>Dataset1_Raw!A407</f>
        <v>406</v>
      </c>
      <c r="B407" s="24">
        <f>Dataset1_Raw!B407</f>
        <v>40561</v>
      </c>
      <c r="C407" s="23">
        <f>Dataset1_Raw!C407</f>
        <v>1</v>
      </c>
      <c r="D407" s="23">
        <f>Dataset1_Raw!D407</f>
        <v>0</v>
      </c>
      <c r="E407" s="23">
        <f>Dataset1_Raw!E407</f>
        <v>1</v>
      </c>
      <c r="F407" s="23">
        <f>Dataset1_Raw!F407</f>
        <v>21</v>
      </c>
      <c r="G407" s="23" t="b">
        <f>Dataset1_Raw!G407</f>
        <v>0</v>
      </c>
      <c r="H407" s="23">
        <f>Dataset1_Raw!H407</f>
        <v>2</v>
      </c>
      <c r="I407" s="23">
        <f>Dataset1_Raw!I407</f>
        <v>2</v>
      </c>
      <c r="J407" s="25">
        <f>Dataset1_Raw!J407</f>
        <v>0.22</v>
      </c>
      <c r="K407" s="25">
        <f>IF(ISNUMBER(INDEX(Dataset2_Raw!$B$2:$B$611,$Q407)),INDEX(Dataset2_Raw!$B$2:$B$611,$Q407),"")</f>
        <v>0.2424</v>
      </c>
      <c r="L407" s="25">
        <f>IF(ISNUMBER(INDEX(Dataset2_Raw!$C$2:$C$611,$Q407)),INDEX(Dataset2_Raw!$C$2:$C$611,$Q407),"")</f>
        <v>0.93</v>
      </c>
      <c r="M407" s="25">
        <f>IF(ISNUMBER(INDEX(Dataset2_Raw!$D$2:$D$611,$Q407)),INDEX(Dataset2_Raw!$D$2:$D$611,$Q407),"")</f>
        <v>0.1045</v>
      </c>
      <c r="N407" s="23">
        <f>IF(ISNUMBER(INDEX(Dataset2_Raw!$E$2:$E$611,$Q407)),INDEX(Dataset2_Raw!$E$2:$E$611,$Q407),"")</f>
        <v>0</v>
      </c>
      <c r="O407" s="23">
        <f>IF(ISNUMBER(INDEX(Dataset2_Raw!$F$2:$F$611,$Q407)),INDEX(Dataset2_Raw!$F$2:$F$611,$Q407),"")</f>
        <v>41</v>
      </c>
      <c r="P407" s="23">
        <f>IF(ISNUMBER(INDEX(Dataset2_Raw!$G$2:$G$611,$Q407)),INDEX(Dataset2_Raw!$G$2:$G$611,$Q407),"")</f>
        <v>41</v>
      </c>
      <c r="Q407" s="23">
        <f>IFERROR(MATCH($A407,Dataset2_Raw!$A$2:$A$611,0),0)</f>
        <v>406</v>
      </c>
    </row>
    <row r="408" spans="1:17" x14ac:dyDescent="0.35">
      <c r="A408" s="23">
        <f>Dataset1_Raw!A408</f>
        <v>407</v>
      </c>
      <c r="B408" s="24">
        <f>Dataset1_Raw!B408</f>
        <v>40561</v>
      </c>
      <c r="C408" s="23">
        <f>Dataset1_Raw!C408</f>
        <v>1</v>
      </c>
      <c r="D408" s="23">
        <f>Dataset1_Raw!D408</f>
        <v>0</v>
      </c>
      <c r="E408" s="23">
        <f>Dataset1_Raw!E408</f>
        <v>1</v>
      </c>
      <c r="F408" s="23">
        <f>Dataset1_Raw!F408</f>
        <v>22</v>
      </c>
      <c r="G408" s="23" t="b">
        <f>Dataset1_Raw!G408</f>
        <v>0</v>
      </c>
      <c r="H408" s="23">
        <f>Dataset1_Raw!H408</f>
        <v>2</v>
      </c>
      <c r="I408" s="23">
        <f>Dataset1_Raw!I408</f>
        <v>2</v>
      </c>
      <c r="J408" s="25">
        <f>Dataset1_Raw!J408</f>
        <v>0.22</v>
      </c>
      <c r="K408" s="25">
        <f>IF(ISNUMBER(INDEX(Dataset2_Raw!$B$2:$B$611,$Q408)),INDEX(Dataset2_Raw!$B$2:$B$611,$Q408),"")</f>
        <v>0.2576</v>
      </c>
      <c r="L408" s="25">
        <f>IF(ISNUMBER(INDEX(Dataset2_Raw!$C$2:$C$611,$Q408)),INDEX(Dataset2_Raw!$C$2:$C$611,$Q408),"")</f>
        <v>0.93</v>
      </c>
      <c r="M408" s="25">
        <f>IF(ISNUMBER(INDEX(Dataset2_Raw!$D$2:$D$611,$Q408)),INDEX(Dataset2_Raw!$D$2:$D$611,$Q408),"")</f>
        <v>8.9599999999999999E-2</v>
      </c>
      <c r="N408" s="23">
        <f>IF(ISNUMBER(INDEX(Dataset2_Raw!$E$2:$E$611,$Q408)),INDEX(Dataset2_Raw!$E$2:$E$611,$Q408),"")</f>
        <v>0</v>
      </c>
      <c r="O408" s="23">
        <f>IF(ISNUMBER(INDEX(Dataset2_Raw!$F$2:$F$611,$Q408)),INDEX(Dataset2_Raw!$F$2:$F$611,$Q408),"")</f>
        <v>33</v>
      </c>
      <c r="P408" s="23">
        <f>IF(ISNUMBER(INDEX(Dataset2_Raw!$G$2:$G$611,$Q408)),INDEX(Dataset2_Raw!$G$2:$G$611,$Q408),"")</f>
        <v>33</v>
      </c>
      <c r="Q408" s="23">
        <f>IFERROR(MATCH($A408,Dataset2_Raw!$A$2:$A$611,0),0)</f>
        <v>407</v>
      </c>
    </row>
    <row r="409" spans="1:17" x14ac:dyDescent="0.35">
      <c r="A409" s="23">
        <f>Dataset1_Raw!A409</f>
        <v>408</v>
      </c>
      <c r="B409" s="24">
        <f>Dataset1_Raw!B409</f>
        <v>40561</v>
      </c>
      <c r="C409" s="23">
        <f>Dataset1_Raw!C409</f>
        <v>1</v>
      </c>
      <c r="D409" s="23">
        <f>Dataset1_Raw!D409</f>
        <v>0</v>
      </c>
      <c r="E409" s="23">
        <f>Dataset1_Raw!E409</f>
        <v>1</v>
      </c>
      <c r="F409" s="23">
        <f>Dataset1_Raw!F409</f>
        <v>23</v>
      </c>
      <c r="G409" s="23" t="b">
        <f>Dataset1_Raw!G409</f>
        <v>0</v>
      </c>
      <c r="H409" s="23">
        <f>Dataset1_Raw!H409</f>
        <v>2</v>
      </c>
      <c r="I409" s="23">
        <f>Dataset1_Raw!I409</f>
        <v>2</v>
      </c>
      <c r="J409" s="25">
        <f>Dataset1_Raw!J409</f>
        <v>0.22</v>
      </c>
      <c r="K409" s="25">
        <f>IF(ISNUMBER(INDEX(Dataset2_Raw!$B$2:$B$611,$Q409)),INDEX(Dataset2_Raw!$B$2:$B$611,$Q409),"")</f>
        <v>0.2727</v>
      </c>
      <c r="L409" s="25">
        <f>IF(ISNUMBER(INDEX(Dataset2_Raw!$C$2:$C$611,$Q409)),INDEX(Dataset2_Raw!$C$2:$C$611,$Q409),"")</f>
        <v>0.93</v>
      </c>
      <c r="M409" s="25">
        <f>IF(ISNUMBER(INDEX(Dataset2_Raw!$D$2:$D$611,$Q409)),INDEX(Dataset2_Raw!$D$2:$D$611,$Q409),"")</f>
        <v>0</v>
      </c>
      <c r="N409" s="23">
        <f>IF(ISNUMBER(INDEX(Dataset2_Raw!$E$2:$E$611,$Q409)),INDEX(Dataset2_Raw!$E$2:$E$611,$Q409),"")</f>
        <v>1</v>
      </c>
      <c r="O409" s="23">
        <f>IF(ISNUMBER(INDEX(Dataset2_Raw!$F$2:$F$611,$Q409)),INDEX(Dataset2_Raw!$F$2:$F$611,$Q409),"")</f>
        <v>19</v>
      </c>
      <c r="P409" s="23">
        <f>IF(ISNUMBER(INDEX(Dataset2_Raw!$G$2:$G$611,$Q409)),INDEX(Dataset2_Raw!$G$2:$G$611,$Q409),"")</f>
        <v>20</v>
      </c>
      <c r="Q409" s="23">
        <f>IFERROR(MATCH($A409,Dataset2_Raw!$A$2:$A$611,0),0)</f>
        <v>408</v>
      </c>
    </row>
    <row r="410" spans="1:17" x14ac:dyDescent="0.35">
      <c r="A410" s="23">
        <f>Dataset1_Raw!A410</f>
        <v>409</v>
      </c>
      <c r="B410" s="24">
        <f>Dataset1_Raw!B410</f>
        <v>40562</v>
      </c>
      <c r="C410" s="23">
        <f>Dataset1_Raw!C410</f>
        <v>1</v>
      </c>
      <c r="D410" s="23">
        <f>Dataset1_Raw!D410</f>
        <v>0</v>
      </c>
      <c r="E410" s="23">
        <f>Dataset1_Raw!E410</f>
        <v>1</v>
      </c>
      <c r="F410" s="23">
        <f>Dataset1_Raw!F410</f>
        <v>0</v>
      </c>
      <c r="G410" s="23" t="b">
        <f>Dataset1_Raw!G410</f>
        <v>0</v>
      </c>
      <c r="H410" s="23">
        <f>Dataset1_Raw!H410</f>
        <v>3</v>
      </c>
      <c r="I410" s="23">
        <f>Dataset1_Raw!I410</f>
        <v>2</v>
      </c>
      <c r="J410" s="25">
        <f>Dataset1_Raw!J410</f>
        <v>0.22</v>
      </c>
      <c r="K410" s="25">
        <f>IF(ISNUMBER(INDEX(Dataset2_Raw!$B$2:$B$611,$Q410)),INDEX(Dataset2_Raw!$B$2:$B$611,$Q410),"")</f>
        <v>0.2727</v>
      </c>
      <c r="L410" s="25">
        <f>IF(ISNUMBER(INDEX(Dataset2_Raw!$C$2:$C$611,$Q410)),INDEX(Dataset2_Raw!$C$2:$C$611,$Q410),"")</f>
        <v>0.93</v>
      </c>
      <c r="M410" s="25">
        <f>IF(ISNUMBER(INDEX(Dataset2_Raw!$D$2:$D$611,$Q410)),INDEX(Dataset2_Raw!$D$2:$D$611,$Q410),"")</f>
        <v>0</v>
      </c>
      <c r="N410" s="23">
        <f>IF(ISNUMBER(INDEX(Dataset2_Raw!$E$2:$E$611,$Q410)),INDEX(Dataset2_Raw!$E$2:$E$611,$Q410),"")</f>
        <v>0</v>
      </c>
      <c r="O410" s="23">
        <f>IF(ISNUMBER(INDEX(Dataset2_Raw!$F$2:$F$611,$Q410)),INDEX(Dataset2_Raw!$F$2:$F$611,$Q410),"")</f>
        <v>3</v>
      </c>
      <c r="P410" s="23">
        <f>IF(ISNUMBER(INDEX(Dataset2_Raw!$G$2:$G$611,$Q410)),INDEX(Dataset2_Raw!$G$2:$G$611,$Q410),"")</f>
        <v>3</v>
      </c>
      <c r="Q410" s="23">
        <f>IFERROR(MATCH($A410,Dataset2_Raw!$A$2:$A$611,0),0)</f>
        <v>409</v>
      </c>
    </row>
    <row r="411" spans="1:17" x14ac:dyDescent="0.35">
      <c r="A411" s="23">
        <f>Dataset1_Raw!A411</f>
        <v>410</v>
      </c>
      <c r="B411" s="24">
        <f>Dataset1_Raw!B411</f>
        <v>40562</v>
      </c>
      <c r="C411" s="23">
        <f>Dataset1_Raw!C411</f>
        <v>1</v>
      </c>
      <c r="D411" s="23">
        <f>Dataset1_Raw!D411</f>
        <v>0</v>
      </c>
      <c r="E411" s="23">
        <f>Dataset1_Raw!E411</f>
        <v>1</v>
      </c>
      <c r="F411" s="23">
        <f>Dataset1_Raw!F411</f>
        <v>1</v>
      </c>
      <c r="G411" s="23" t="b">
        <f>Dataset1_Raw!G411</f>
        <v>0</v>
      </c>
      <c r="H411" s="23">
        <f>Dataset1_Raw!H411</f>
        <v>3</v>
      </c>
      <c r="I411" s="23">
        <f>Dataset1_Raw!I411</f>
        <v>3</v>
      </c>
      <c r="J411" s="25">
        <f>Dataset1_Raw!J411</f>
        <v>0.22</v>
      </c>
      <c r="K411" s="25">
        <f>IF(ISNUMBER(INDEX(Dataset2_Raw!$B$2:$B$611,$Q411)),INDEX(Dataset2_Raw!$B$2:$B$611,$Q411),"")</f>
        <v>0.2273</v>
      </c>
      <c r="L411" s="25">
        <f>IF(ISNUMBER(INDEX(Dataset2_Raw!$C$2:$C$611,$Q411)),INDEX(Dataset2_Raw!$C$2:$C$611,$Q411),"")</f>
        <v>0.93</v>
      </c>
      <c r="M411" s="25">
        <f>IF(ISNUMBER(INDEX(Dataset2_Raw!$D$2:$D$611,$Q411)),INDEX(Dataset2_Raw!$D$2:$D$611,$Q411),"")</f>
        <v>0.1343</v>
      </c>
      <c r="N411" s="23">
        <f>IF(ISNUMBER(INDEX(Dataset2_Raw!$E$2:$E$611,$Q411)),INDEX(Dataset2_Raw!$E$2:$E$611,$Q411),"")</f>
        <v>1</v>
      </c>
      <c r="O411" s="23">
        <f>IF(ISNUMBER(INDEX(Dataset2_Raw!$F$2:$F$611,$Q411)),INDEX(Dataset2_Raw!$F$2:$F$611,$Q411),"")</f>
        <v>6</v>
      </c>
      <c r="P411" s="23">
        <f>IF(ISNUMBER(INDEX(Dataset2_Raw!$G$2:$G$611,$Q411)),INDEX(Dataset2_Raw!$G$2:$G$611,$Q411),"")</f>
        <v>7</v>
      </c>
      <c r="Q411" s="23">
        <f>IFERROR(MATCH($A411,Dataset2_Raw!$A$2:$A$611,0),0)</f>
        <v>410</v>
      </c>
    </row>
    <row r="412" spans="1:17" x14ac:dyDescent="0.35">
      <c r="A412" s="23">
        <f>Dataset1_Raw!A412</f>
        <v>411</v>
      </c>
      <c r="B412" s="24">
        <f>Dataset1_Raw!B412</f>
        <v>40562</v>
      </c>
      <c r="C412" s="23">
        <f>Dataset1_Raw!C412</f>
        <v>1</v>
      </c>
      <c r="D412" s="23">
        <f>Dataset1_Raw!D412</f>
        <v>0</v>
      </c>
      <c r="E412" s="23">
        <f>Dataset1_Raw!E412</f>
        <v>1</v>
      </c>
      <c r="F412" s="23">
        <f>Dataset1_Raw!F412</f>
        <v>2</v>
      </c>
      <c r="G412" s="23" t="b">
        <f>Dataset1_Raw!G412</f>
        <v>0</v>
      </c>
      <c r="H412" s="23">
        <f>Dataset1_Raw!H412</f>
        <v>3</v>
      </c>
      <c r="I412" s="23">
        <f>Dataset1_Raw!I412</f>
        <v>3</v>
      </c>
      <c r="J412" s="25">
        <f>Dataset1_Raw!J412</f>
        <v>0.22</v>
      </c>
      <c r="K412" s="25">
        <f>IF(ISNUMBER(INDEX(Dataset2_Raw!$B$2:$B$611,$Q412)),INDEX(Dataset2_Raw!$B$2:$B$611,$Q412),"")</f>
        <v>0.2273</v>
      </c>
      <c r="L412" s="25">
        <f>IF(ISNUMBER(INDEX(Dataset2_Raw!$C$2:$C$611,$Q412)),INDEX(Dataset2_Raw!$C$2:$C$611,$Q412),"")</f>
        <v>0.93</v>
      </c>
      <c r="M412" s="25">
        <f>IF(ISNUMBER(INDEX(Dataset2_Raw!$D$2:$D$611,$Q412)),INDEX(Dataset2_Raw!$D$2:$D$611,$Q412),"")</f>
        <v>0.1343</v>
      </c>
      <c r="N412" s="23">
        <f>IF(ISNUMBER(INDEX(Dataset2_Raw!$E$2:$E$611,$Q412)),INDEX(Dataset2_Raw!$E$2:$E$611,$Q412),"")</f>
        <v>0</v>
      </c>
      <c r="O412" s="23">
        <f>IF(ISNUMBER(INDEX(Dataset2_Raw!$F$2:$F$611,$Q412)),INDEX(Dataset2_Raw!$F$2:$F$611,$Q412),"")</f>
        <v>3</v>
      </c>
      <c r="P412" s="23">
        <f>IF(ISNUMBER(INDEX(Dataset2_Raw!$G$2:$G$611,$Q412)),INDEX(Dataset2_Raw!$G$2:$G$611,$Q412),"")</f>
        <v>3</v>
      </c>
      <c r="Q412" s="23">
        <f>IFERROR(MATCH($A412,Dataset2_Raw!$A$2:$A$611,0),0)</f>
        <v>411</v>
      </c>
    </row>
    <row r="413" spans="1:17" x14ac:dyDescent="0.35">
      <c r="A413" s="23">
        <f>Dataset1_Raw!A413</f>
        <v>412</v>
      </c>
      <c r="B413" s="24">
        <f>Dataset1_Raw!B413</f>
        <v>40562</v>
      </c>
      <c r="C413" s="23">
        <f>Dataset1_Raw!C413</f>
        <v>1</v>
      </c>
      <c r="D413" s="23">
        <f>Dataset1_Raw!D413</f>
        <v>0</v>
      </c>
      <c r="E413" s="23">
        <f>Dataset1_Raw!E413</f>
        <v>1</v>
      </c>
      <c r="F413" s="23">
        <f>Dataset1_Raw!F413</f>
        <v>4</v>
      </c>
      <c r="G413" s="23" t="b">
        <f>Dataset1_Raw!G413</f>
        <v>0</v>
      </c>
      <c r="H413" s="23">
        <f>Dataset1_Raw!H413</f>
        <v>3</v>
      </c>
      <c r="I413" s="23">
        <f>Dataset1_Raw!I413</f>
        <v>3</v>
      </c>
      <c r="J413" s="25">
        <f>Dataset1_Raw!J413</f>
        <v>0.22</v>
      </c>
      <c r="K413" s="25">
        <f>IF(ISNUMBER(INDEX(Dataset2_Raw!$B$2:$B$611,$Q413)),INDEX(Dataset2_Raw!$B$2:$B$611,$Q413),"")</f>
        <v>0.2273</v>
      </c>
      <c r="L413" s="25">
        <f>IF(ISNUMBER(INDEX(Dataset2_Raw!$C$2:$C$611,$Q413)),INDEX(Dataset2_Raw!$C$2:$C$611,$Q413),"")</f>
        <v>0.93</v>
      </c>
      <c r="M413" s="25">
        <f>IF(ISNUMBER(INDEX(Dataset2_Raw!$D$2:$D$611,$Q413)),INDEX(Dataset2_Raw!$D$2:$D$611,$Q413),"")</f>
        <v>0.1343</v>
      </c>
      <c r="N413" s="23">
        <f>IF(ISNUMBER(INDEX(Dataset2_Raw!$E$2:$E$611,$Q413)),INDEX(Dataset2_Raw!$E$2:$E$611,$Q413),"")</f>
        <v>1</v>
      </c>
      <c r="O413" s="23">
        <f>IF(ISNUMBER(INDEX(Dataset2_Raw!$F$2:$F$611,$Q413)),INDEX(Dataset2_Raw!$F$2:$F$611,$Q413),"")</f>
        <v>1</v>
      </c>
      <c r="P413" s="23">
        <f>IF(ISNUMBER(INDEX(Dataset2_Raw!$G$2:$G$611,$Q413)),INDEX(Dataset2_Raw!$G$2:$G$611,$Q413),"")</f>
        <v>2</v>
      </c>
      <c r="Q413" s="23">
        <f>IFERROR(MATCH($A413,Dataset2_Raw!$A$2:$A$611,0),0)</f>
        <v>412</v>
      </c>
    </row>
    <row r="414" spans="1:17" x14ac:dyDescent="0.35">
      <c r="A414" s="23">
        <f>Dataset1_Raw!A414</f>
        <v>413</v>
      </c>
      <c r="B414" s="24">
        <f>Dataset1_Raw!B414</f>
        <v>40562</v>
      </c>
      <c r="C414" s="23">
        <f>Dataset1_Raw!C414</f>
        <v>1</v>
      </c>
      <c r="D414" s="23">
        <f>Dataset1_Raw!D414</f>
        <v>0</v>
      </c>
      <c r="E414" s="23">
        <f>Dataset1_Raw!E414</f>
        <v>1</v>
      </c>
      <c r="F414" s="23">
        <f>Dataset1_Raw!F414</f>
        <v>5</v>
      </c>
      <c r="G414" s="23" t="b">
        <f>Dataset1_Raw!G414</f>
        <v>0</v>
      </c>
      <c r="H414" s="23">
        <f>Dataset1_Raw!H414</f>
        <v>3</v>
      </c>
      <c r="I414" s="23">
        <f>Dataset1_Raw!I414</f>
        <v>2</v>
      </c>
      <c r="J414" s="25">
        <f>Dataset1_Raw!J414</f>
        <v>0.22</v>
      </c>
      <c r="K414" s="25">
        <f>IF(ISNUMBER(INDEX(Dataset2_Raw!$B$2:$B$611,$Q414)),INDEX(Dataset2_Raw!$B$2:$B$611,$Q414),"")</f>
        <v>0.2576</v>
      </c>
      <c r="L414" s="25">
        <f>IF(ISNUMBER(INDEX(Dataset2_Raw!$C$2:$C$611,$Q414)),INDEX(Dataset2_Raw!$C$2:$C$611,$Q414),"")</f>
        <v>0.93</v>
      </c>
      <c r="M414" s="25">
        <f>IF(ISNUMBER(INDEX(Dataset2_Raw!$D$2:$D$611,$Q414)),INDEX(Dataset2_Raw!$D$2:$D$611,$Q414),"")</f>
        <v>8.9599999999999999E-2</v>
      </c>
      <c r="N414" s="23">
        <f>IF(ISNUMBER(INDEX(Dataset2_Raw!$E$2:$E$611,$Q414)),INDEX(Dataset2_Raw!$E$2:$E$611,$Q414),"")</f>
        <v>0</v>
      </c>
      <c r="O414" s="23">
        <f>IF(ISNUMBER(INDEX(Dataset2_Raw!$F$2:$F$611,$Q414)),INDEX(Dataset2_Raw!$F$2:$F$611,$Q414),"")</f>
        <v>7</v>
      </c>
      <c r="P414" s="23">
        <f>IF(ISNUMBER(INDEX(Dataset2_Raw!$G$2:$G$611,$Q414)),INDEX(Dataset2_Raw!$G$2:$G$611,$Q414),"")</f>
        <v>7</v>
      </c>
      <c r="Q414" s="23">
        <f>IFERROR(MATCH($A414,Dataset2_Raw!$A$2:$A$611,0),0)</f>
        <v>413</v>
      </c>
    </row>
    <row r="415" spans="1:17" x14ac:dyDescent="0.35">
      <c r="A415" s="23">
        <f>Dataset1_Raw!A415</f>
        <v>414</v>
      </c>
      <c r="B415" s="24">
        <f>Dataset1_Raw!B415</f>
        <v>40562</v>
      </c>
      <c r="C415" s="23">
        <f>Dataset1_Raw!C415</f>
        <v>1</v>
      </c>
      <c r="D415" s="23">
        <f>Dataset1_Raw!D415</f>
        <v>0</v>
      </c>
      <c r="E415" s="23">
        <f>Dataset1_Raw!E415</f>
        <v>1</v>
      </c>
      <c r="F415" s="23">
        <f>Dataset1_Raw!F415</f>
        <v>6</v>
      </c>
      <c r="G415" s="23" t="b">
        <f>Dataset1_Raw!G415</f>
        <v>0</v>
      </c>
      <c r="H415" s="23">
        <f>Dataset1_Raw!H415</f>
        <v>3</v>
      </c>
      <c r="I415" s="23">
        <f>Dataset1_Raw!I415</f>
        <v>2</v>
      </c>
      <c r="J415" s="25">
        <f>Dataset1_Raw!J415</f>
        <v>0.22</v>
      </c>
      <c r="K415" s="25">
        <f>IF(ISNUMBER(INDEX(Dataset2_Raw!$B$2:$B$611,$Q415)),INDEX(Dataset2_Raw!$B$2:$B$611,$Q415),"")</f>
        <v>0.2576</v>
      </c>
      <c r="L415" s="25">
        <f>IF(ISNUMBER(INDEX(Dataset2_Raw!$C$2:$C$611,$Q415)),INDEX(Dataset2_Raw!$C$2:$C$611,$Q415),"")</f>
        <v>0.93</v>
      </c>
      <c r="M415" s="25">
        <f>IF(ISNUMBER(INDEX(Dataset2_Raw!$D$2:$D$611,$Q415)),INDEX(Dataset2_Raw!$D$2:$D$611,$Q415),"")</f>
        <v>8.9599999999999999E-2</v>
      </c>
      <c r="N415" s="23">
        <f>IF(ISNUMBER(INDEX(Dataset2_Raw!$E$2:$E$611,$Q415)),INDEX(Dataset2_Raw!$E$2:$E$611,$Q415),"")</f>
        <v>0</v>
      </c>
      <c r="O415" s="23">
        <f>IF(ISNUMBER(INDEX(Dataset2_Raw!$F$2:$F$611,$Q415)),INDEX(Dataset2_Raw!$F$2:$F$611,$Q415),"")</f>
        <v>32</v>
      </c>
      <c r="P415" s="23">
        <f>IF(ISNUMBER(INDEX(Dataset2_Raw!$G$2:$G$611,$Q415)),INDEX(Dataset2_Raw!$G$2:$G$611,$Q415),"")</f>
        <v>32</v>
      </c>
      <c r="Q415" s="23">
        <f>IFERROR(MATCH($A415,Dataset2_Raw!$A$2:$A$611,0),0)</f>
        <v>414</v>
      </c>
    </row>
    <row r="416" spans="1:17" x14ac:dyDescent="0.35">
      <c r="A416" s="23">
        <f>Dataset1_Raw!A416</f>
        <v>415</v>
      </c>
      <c r="B416" s="24">
        <f>Dataset1_Raw!B416</f>
        <v>40562</v>
      </c>
      <c r="C416" s="23">
        <f>Dataset1_Raw!C416</f>
        <v>1</v>
      </c>
      <c r="D416" s="23">
        <f>Dataset1_Raw!D416</f>
        <v>0</v>
      </c>
      <c r="E416" s="23">
        <f>Dataset1_Raw!E416</f>
        <v>1</v>
      </c>
      <c r="F416" s="23">
        <f>Dataset1_Raw!F416</f>
        <v>7</v>
      </c>
      <c r="G416" s="23" t="b">
        <f>Dataset1_Raw!G416</f>
        <v>0</v>
      </c>
      <c r="H416" s="23">
        <f>Dataset1_Raw!H416</f>
        <v>3</v>
      </c>
      <c r="I416" s="23">
        <f>Dataset1_Raw!I416</f>
        <v>2</v>
      </c>
      <c r="J416" s="25">
        <f>Dataset1_Raw!J416</f>
        <v>0.24</v>
      </c>
      <c r="K416" s="25">
        <f>IF(ISNUMBER(INDEX(Dataset2_Raw!$B$2:$B$611,$Q416)),INDEX(Dataset2_Raw!$B$2:$B$611,$Q416),"")</f>
        <v>0.2576</v>
      </c>
      <c r="L416" s="25">
        <f>IF(ISNUMBER(INDEX(Dataset2_Raw!$C$2:$C$611,$Q416)),INDEX(Dataset2_Raw!$C$2:$C$611,$Q416),"")</f>
        <v>0.92</v>
      </c>
      <c r="M416" s="25">
        <f>IF(ISNUMBER(INDEX(Dataset2_Raw!$D$2:$D$611,$Q416)),INDEX(Dataset2_Raw!$D$2:$D$611,$Q416),"")</f>
        <v>0.1045</v>
      </c>
      <c r="N416" s="23">
        <f>IF(ISNUMBER(INDEX(Dataset2_Raw!$E$2:$E$611,$Q416)),INDEX(Dataset2_Raw!$E$2:$E$611,$Q416),"")</f>
        <v>1</v>
      </c>
      <c r="O416" s="23">
        <f>IF(ISNUMBER(INDEX(Dataset2_Raw!$F$2:$F$611,$Q416)),INDEX(Dataset2_Raw!$F$2:$F$611,$Q416),"")</f>
        <v>89</v>
      </c>
      <c r="P416" s="23">
        <f>IF(ISNUMBER(INDEX(Dataset2_Raw!$G$2:$G$611,$Q416)),INDEX(Dataset2_Raw!$G$2:$G$611,$Q416),"")</f>
        <v>90</v>
      </c>
      <c r="Q416" s="23">
        <f>IFERROR(MATCH($A416,Dataset2_Raw!$A$2:$A$611,0),0)</f>
        <v>415</v>
      </c>
    </row>
    <row r="417" spans="1:17" x14ac:dyDescent="0.35">
      <c r="A417" s="23">
        <f>Dataset1_Raw!A417</f>
        <v>416</v>
      </c>
      <c r="B417" s="24">
        <f>Dataset1_Raw!B417</f>
        <v>40562</v>
      </c>
      <c r="C417" s="23">
        <f>Dataset1_Raw!C417</f>
        <v>1</v>
      </c>
      <c r="D417" s="23">
        <f>Dataset1_Raw!D417</f>
        <v>0</v>
      </c>
      <c r="E417" s="23">
        <f>Dataset1_Raw!E417</f>
        <v>1</v>
      </c>
      <c r="F417" s="23">
        <f>Dataset1_Raw!F417</f>
        <v>8</v>
      </c>
      <c r="G417" s="23" t="b">
        <f>Dataset1_Raw!G417</f>
        <v>0</v>
      </c>
      <c r="H417" s="23">
        <f>Dataset1_Raw!H417</f>
        <v>3</v>
      </c>
      <c r="I417" s="23">
        <f>Dataset1_Raw!I417</f>
        <v>2</v>
      </c>
      <c r="J417" s="25">
        <f>Dataset1_Raw!J417</f>
        <v>0.24</v>
      </c>
      <c r="K417" s="25">
        <f>IF(ISNUMBER(INDEX(Dataset2_Raw!$B$2:$B$611,$Q417)),INDEX(Dataset2_Raw!$B$2:$B$611,$Q417),"")</f>
        <v>0.2576</v>
      </c>
      <c r="L417" s="25">
        <f>IF(ISNUMBER(INDEX(Dataset2_Raw!$C$2:$C$611,$Q417)),INDEX(Dataset2_Raw!$C$2:$C$611,$Q417),"")</f>
        <v>0.93</v>
      </c>
      <c r="M417" s="25">
        <f>IF(ISNUMBER(INDEX(Dataset2_Raw!$D$2:$D$611,$Q417)),INDEX(Dataset2_Raw!$D$2:$D$611,$Q417),"")</f>
        <v>0.1045</v>
      </c>
      <c r="N417" s="23">
        <f>IF(ISNUMBER(INDEX(Dataset2_Raw!$E$2:$E$611,$Q417)),INDEX(Dataset2_Raw!$E$2:$E$611,$Q417),"")</f>
        <v>1</v>
      </c>
      <c r="O417" s="23">
        <f>IF(ISNUMBER(INDEX(Dataset2_Raw!$F$2:$F$611,$Q417)),INDEX(Dataset2_Raw!$F$2:$F$611,$Q417),"")</f>
        <v>196</v>
      </c>
      <c r="P417" s="23">
        <f>IF(ISNUMBER(INDEX(Dataset2_Raw!$G$2:$G$611,$Q417)),INDEX(Dataset2_Raw!$G$2:$G$611,$Q417),"")</f>
        <v>197</v>
      </c>
      <c r="Q417" s="23">
        <f>IFERROR(MATCH($A417,Dataset2_Raw!$A$2:$A$611,0),0)</f>
        <v>416</v>
      </c>
    </row>
    <row r="418" spans="1:17" x14ac:dyDescent="0.35">
      <c r="A418" s="23">
        <f>Dataset1_Raw!A418</f>
        <v>417</v>
      </c>
      <c r="B418" s="24">
        <f>Dataset1_Raw!B418</f>
        <v>40562</v>
      </c>
      <c r="C418" s="23">
        <f>Dataset1_Raw!C418</f>
        <v>1</v>
      </c>
      <c r="D418" s="23">
        <f>Dataset1_Raw!D418</f>
        <v>0</v>
      </c>
      <c r="E418" s="23">
        <f>Dataset1_Raw!E418</f>
        <v>1</v>
      </c>
      <c r="F418" s="23">
        <f>Dataset1_Raw!F418</f>
        <v>9</v>
      </c>
      <c r="G418" s="23" t="b">
        <f>Dataset1_Raw!G418</f>
        <v>0</v>
      </c>
      <c r="H418" s="23">
        <f>Dataset1_Raw!H418</f>
        <v>3</v>
      </c>
      <c r="I418" s="23">
        <f>Dataset1_Raw!I418</f>
        <v>2</v>
      </c>
      <c r="J418" s="25">
        <f>Dataset1_Raw!J418</f>
        <v>0.24</v>
      </c>
      <c r="K418" s="25">
        <f>IF(ISNUMBER(INDEX(Dataset2_Raw!$B$2:$B$611,$Q418)),INDEX(Dataset2_Raw!$B$2:$B$611,$Q418),"")</f>
        <v>0.2576</v>
      </c>
      <c r="L418" s="25">
        <f>IF(ISNUMBER(INDEX(Dataset2_Raw!$C$2:$C$611,$Q418)),INDEX(Dataset2_Raw!$C$2:$C$611,$Q418),"")</f>
        <v>0.93</v>
      </c>
      <c r="M418" s="25">
        <f>IF(ISNUMBER(INDEX(Dataset2_Raw!$D$2:$D$611,$Q418)),INDEX(Dataset2_Raw!$D$2:$D$611,$Q418),"")</f>
        <v>0.1045</v>
      </c>
      <c r="N418" s="23">
        <f>IF(ISNUMBER(INDEX(Dataset2_Raw!$E$2:$E$611,$Q418)),INDEX(Dataset2_Raw!$E$2:$E$611,$Q418),"")</f>
        <v>2</v>
      </c>
      <c r="O418" s="23">
        <f>IF(ISNUMBER(INDEX(Dataset2_Raw!$F$2:$F$611,$Q418)),INDEX(Dataset2_Raw!$F$2:$F$611,$Q418),"")</f>
        <v>107</v>
      </c>
      <c r="P418" s="23">
        <f>IF(ISNUMBER(INDEX(Dataset2_Raw!$G$2:$G$611,$Q418)),INDEX(Dataset2_Raw!$G$2:$G$611,$Q418),"")</f>
        <v>109</v>
      </c>
      <c r="Q418" s="23">
        <f>IFERROR(MATCH($A418,Dataset2_Raw!$A$2:$A$611,0),0)</f>
        <v>417</v>
      </c>
    </row>
    <row r="419" spans="1:17" x14ac:dyDescent="0.35">
      <c r="A419" s="23">
        <f>Dataset1_Raw!A419</f>
        <v>418</v>
      </c>
      <c r="B419" s="24">
        <f>Dataset1_Raw!B419</f>
        <v>40562</v>
      </c>
      <c r="C419" s="23">
        <f>Dataset1_Raw!C419</f>
        <v>1</v>
      </c>
      <c r="D419" s="23">
        <f>Dataset1_Raw!D419</f>
        <v>0</v>
      </c>
      <c r="E419" s="23">
        <f>Dataset1_Raw!E419</f>
        <v>1</v>
      </c>
      <c r="F419" s="23">
        <f>Dataset1_Raw!F419</f>
        <v>10</v>
      </c>
      <c r="G419" s="23" t="b">
        <f>Dataset1_Raw!G419</f>
        <v>0</v>
      </c>
      <c r="H419" s="23">
        <f>Dataset1_Raw!H419</f>
        <v>3</v>
      </c>
      <c r="I419" s="23">
        <f>Dataset1_Raw!I419</f>
        <v>2</v>
      </c>
      <c r="J419" s="25">
        <f>Dataset1_Raw!J419</f>
        <v>0.26</v>
      </c>
      <c r="K419" s="25">
        <f>IF(ISNUMBER(INDEX(Dataset2_Raw!$B$2:$B$611,$Q419)),INDEX(Dataset2_Raw!$B$2:$B$611,$Q419),"")</f>
        <v>0.2727</v>
      </c>
      <c r="L419" s="25">
        <f>IF(ISNUMBER(INDEX(Dataset2_Raw!$C$2:$C$611,$Q419)),INDEX(Dataset2_Raw!$C$2:$C$611,$Q419),"")</f>
        <v>0.93</v>
      </c>
      <c r="M419" s="25">
        <f>IF(ISNUMBER(INDEX(Dataset2_Raw!$D$2:$D$611,$Q419)),INDEX(Dataset2_Raw!$D$2:$D$611,$Q419),"")</f>
        <v>0.1343</v>
      </c>
      <c r="N419" s="23">
        <f>IF(ISNUMBER(INDEX(Dataset2_Raw!$E$2:$E$611,$Q419)),INDEX(Dataset2_Raw!$E$2:$E$611,$Q419),"")</f>
        <v>1</v>
      </c>
      <c r="O419" s="23">
        <f>IF(ISNUMBER(INDEX(Dataset2_Raw!$F$2:$F$611,$Q419)),INDEX(Dataset2_Raw!$F$2:$F$611,$Q419),"")</f>
        <v>46</v>
      </c>
      <c r="P419" s="23">
        <f>IF(ISNUMBER(INDEX(Dataset2_Raw!$G$2:$G$611,$Q419)),INDEX(Dataset2_Raw!$G$2:$G$611,$Q419),"")</f>
        <v>47</v>
      </c>
      <c r="Q419" s="23">
        <f>IFERROR(MATCH($A419,Dataset2_Raw!$A$2:$A$611,0),0)</f>
        <v>418</v>
      </c>
    </row>
    <row r="420" spans="1:17" x14ac:dyDescent="0.35">
      <c r="A420" s="23">
        <f>Dataset1_Raw!A420</f>
        <v>419</v>
      </c>
      <c r="B420" s="24">
        <f>Dataset1_Raw!B420</f>
        <v>40562</v>
      </c>
      <c r="C420" s="23">
        <f>Dataset1_Raw!C420</f>
        <v>1</v>
      </c>
      <c r="D420" s="23">
        <f>Dataset1_Raw!D420</f>
        <v>0</v>
      </c>
      <c r="E420" s="23">
        <f>Dataset1_Raw!E420</f>
        <v>1</v>
      </c>
      <c r="F420" s="23">
        <f>Dataset1_Raw!F420</f>
        <v>11</v>
      </c>
      <c r="G420" s="23" t="b">
        <f>Dataset1_Raw!G420</f>
        <v>0</v>
      </c>
      <c r="H420" s="23">
        <f>Dataset1_Raw!H420</f>
        <v>3</v>
      </c>
      <c r="I420" s="23">
        <f>Dataset1_Raw!I420</f>
        <v>2</v>
      </c>
      <c r="J420" s="25">
        <f>Dataset1_Raw!J420</f>
        <v>0.28000000000000003</v>
      </c>
      <c r="K420" s="25">
        <f>IF(ISNUMBER(INDEX(Dataset2_Raw!$B$2:$B$611,$Q420)),INDEX(Dataset2_Raw!$B$2:$B$611,$Q420),"")</f>
        <v>0.30299999999999999</v>
      </c>
      <c r="L420" s="25">
        <f>IF(ISNUMBER(INDEX(Dataset2_Raw!$C$2:$C$611,$Q420)),INDEX(Dataset2_Raw!$C$2:$C$611,$Q420),"")</f>
        <v>0.87</v>
      </c>
      <c r="M420" s="25">
        <f>IF(ISNUMBER(INDEX(Dataset2_Raw!$D$2:$D$611,$Q420)),INDEX(Dataset2_Raw!$D$2:$D$611,$Q420),"")</f>
        <v>8.9599999999999999E-2</v>
      </c>
      <c r="N420" s="23">
        <f>IF(ISNUMBER(INDEX(Dataset2_Raw!$E$2:$E$611,$Q420)),INDEX(Dataset2_Raw!$E$2:$E$611,$Q420),"")</f>
        <v>5</v>
      </c>
      <c r="O420" s="23">
        <f>IF(ISNUMBER(INDEX(Dataset2_Raw!$F$2:$F$611,$Q420)),INDEX(Dataset2_Raw!$F$2:$F$611,$Q420),"")</f>
        <v>47</v>
      </c>
      <c r="P420" s="23">
        <f>IF(ISNUMBER(INDEX(Dataset2_Raw!$G$2:$G$611,$Q420)),INDEX(Dataset2_Raw!$G$2:$G$611,$Q420),"")</f>
        <v>52</v>
      </c>
      <c r="Q420" s="23">
        <f>IFERROR(MATCH($A420,Dataset2_Raw!$A$2:$A$611,0),0)</f>
        <v>419</v>
      </c>
    </row>
    <row r="421" spans="1:17" x14ac:dyDescent="0.35">
      <c r="A421" s="23">
        <f>Dataset1_Raw!A421</f>
        <v>420</v>
      </c>
      <c r="B421" s="24">
        <f>Dataset1_Raw!B421</f>
        <v>40562</v>
      </c>
      <c r="C421" s="23">
        <f>Dataset1_Raw!C421</f>
        <v>1</v>
      </c>
      <c r="D421" s="23">
        <f>Dataset1_Raw!D421</f>
        <v>0</v>
      </c>
      <c r="E421" s="23">
        <f>Dataset1_Raw!E421</f>
        <v>1</v>
      </c>
      <c r="F421" s="23">
        <f>Dataset1_Raw!F421</f>
        <v>12</v>
      </c>
      <c r="G421" s="23" t="b">
        <f>Dataset1_Raw!G421</f>
        <v>0</v>
      </c>
      <c r="H421" s="23">
        <f>Dataset1_Raw!H421</f>
        <v>3</v>
      </c>
      <c r="I421" s="23">
        <f>Dataset1_Raw!I421</f>
        <v>2</v>
      </c>
      <c r="J421" s="25">
        <f>Dataset1_Raw!J421</f>
        <v>0.3</v>
      </c>
      <c r="K421" s="25">
        <f>IF(ISNUMBER(INDEX(Dataset2_Raw!$B$2:$B$611,$Q421)),INDEX(Dataset2_Raw!$B$2:$B$611,$Q421),"")</f>
        <v>0.31819999999999998</v>
      </c>
      <c r="L421" s="25">
        <f>IF(ISNUMBER(INDEX(Dataset2_Raw!$C$2:$C$611,$Q421)),INDEX(Dataset2_Raw!$C$2:$C$611,$Q421),"")</f>
        <v>0.81</v>
      </c>
      <c r="M421" s="25">
        <f>IF(ISNUMBER(INDEX(Dataset2_Raw!$D$2:$D$611,$Q421)),INDEX(Dataset2_Raw!$D$2:$D$611,$Q421),"")</f>
        <v>8.9599999999999999E-2</v>
      </c>
      <c r="N421" s="23">
        <f>IF(ISNUMBER(INDEX(Dataset2_Raw!$E$2:$E$611,$Q421)),INDEX(Dataset2_Raw!$E$2:$E$611,$Q421),"")</f>
        <v>5</v>
      </c>
      <c r="O421" s="23">
        <f>IF(ISNUMBER(INDEX(Dataset2_Raw!$F$2:$F$611,$Q421)),INDEX(Dataset2_Raw!$F$2:$F$611,$Q421),"")</f>
        <v>65</v>
      </c>
      <c r="P421" s="23">
        <f>IF(ISNUMBER(INDEX(Dataset2_Raw!$G$2:$G$611,$Q421)),INDEX(Dataset2_Raw!$G$2:$G$611,$Q421),"")</f>
        <v>70</v>
      </c>
      <c r="Q421" s="23">
        <f>IFERROR(MATCH($A421,Dataset2_Raw!$A$2:$A$611,0),0)</f>
        <v>420</v>
      </c>
    </row>
    <row r="422" spans="1:17" x14ac:dyDescent="0.35">
      <c r="A422" s="23">
        <f>Dataset1_Raw!A422</f>
        <v>421</v>
      </c>
      <c r="B422" s="24">
        <f>Dataset1_Raw!B422</f>
        <v>40562</v>
      </c>
      <c r="C422" s="23">
        <f>Dataset1_Raw!C422</f>
        <v>1</v>
      </c>
      <c r="D422" s="23">
        <f>Dataset1_Raw!D422</f>
        <v>0</v>
      </c>
      <c r="E422" s="23">
        <f>Dataset1_Raw!E422</f>
        <v>1</v>
      </c>
      <c r="F422" s="23">
        <f>Dataset1_Raw!F422</f>
        <v>13</v>
      </c>
      <c r="G422" s="23" t="b">
        <f>Dataset1_Raw!G422</f>
        <v>0</v>
      </c>
      <c r="H422" s="23">
        <f>Dataset1_Raw!H422</f>
        <v>3</v>
      </c>
      <c r="I422" s="23">
        <f>Dataset1_Raw!I422</f>
        <v>1</v>
      </c>
      <c r="J422" s="25">
        <f>Dataset1_Raw!J422</f>
        <v>0.4</v>
      </c>
      <c r="K422" s="25">
        <f>IF(ISNUMBER(INDEX(Dataset2_Raw!$B$2:$B$611,$Q422)),INDEX(Dataset2_Raw!$B$2:$B$611,$Q422),"")</f>
        <v>0.40910000000000002</v>
      </c>
      <c r="L422" s="25">
        <f>IF(ISNUMBER(INDEX(Dataset2_Raw!$C$2:$C$611,$Q422)),INDEX(Dataset2_Raw!$C$2:$C$611,$Q422),"")</f>
        <v>0.62</v>
      </c>
      <c r="M422" s="25">
        <f>IF(ISNUMBER(INDEX(Dataset2_Raw!$D$2:$D$611,$Q422)),INDEX(Dataset2_Raw!$D$2:$D$611,$Q422),"")</f>
        <v>0.28360000000000002</v>
      </c>
      <c r="N422" s="23">
        <f>IF(ISNUMBER(INDEX(Dataset2_Raw!$E$2:$E$611,$Q422)),INDEX(Dataset2_Raw!$E$2:$E$611,$Q422),"")</f>
        <v>11</v>
      </c>
      <c r="O422" s="23">
        <f>IF(ISNUMBER(INDEX(Dataset2_Raw!$F$2:$F$611,$Q422)),INDEX(Dataset2_Raw!$F$2:$F$611,$Q422),"")</f>
        <v>67</v>
      </c>
      <c r="P422" s="23">
        <f>IF(ISNUMBER(INDEX(Dataset2_Raw!$G$2:$G$611,$Q422)),INDEX(Dataset2_Raw!$G$2:$G$611,$Q422),"")</f>
        <v>78</v>
      </c>
      <c r="Q422" s="23">
        <f>IFERROR(MATCH($A422,Dataset2_Raw!$A$2:$A$611,0),0)</f>
        <v>421</v>
      </c>
    </row>
    <row r="423" spans="1:17" x14ac:dyDescent="0.35">
      <c r="A423" s="23">
        <f>Dataset1_Raw!A423</f>
        <v>422</v>
      </c>
      <c r="B423" s="24">
        <f>Dataset1_Raw!B423</f>
        <v>40562</v>
      </c>
      <c r="C423" s="23">
        <f>Dataset1_Raw!C423</f>
        <v>1</v>
      </c>
      <c r="D423" s="23">
        <f>Dataset1_Raw!D423</f>
        <v>0</v>
      </c>
      <c r="E423" s="23">
        <f>Dataset1_Raw!E423</f>
        <v>1</v>
      </c>
      <c r="F423" s="23">
        <f>Dataset1_Raw!F423</f>
        <v>14</v>
      </c>
      <c r="G423" s="23" t="b">
        <f>Dataset1_Raw!G423</f>
        <v>0</v>
      </c>
      <c r="H423" s="23">
        <f>Dataset1_Raw!H423</f>
        <v>3</v>
      </c>
      <c r="I423" s="23">
        <f>Dataset1_Raw!I423</f>
        <v>1</v>
      </c>
      <c r="J423" s="25">
        <f>Dataset1_Raw!J423</f>
        <v>0.4</v>
      </c>
      <c r="K423" s="25">
        <f>IF(ISNUMBER(INDEX(Dataset2_Raw!$B$2:$B$611,$Q423)),INDEX(Dataset2_Raw!$B$2:$B$611,$Q423),"")</f>
        <v>0.40910000000000002</v>
      </c>
      <c r="L423" s="25">
        <f>IF(ISNUMBER(INDEX(Dataset2_Raw!$C$2:$C$611,$Q423)),INDEX(Dataset2_Raw!$C$2:$C$611,$Q423),"")</f>
        <v>0.57999999999999996</v>
      </c>
      <c r="M423" s="25">
        <f>IF(ISNUMBER(INDEX(Dataset2_Raw!$D$2:$D$611,$Q423)),INDEX(Dataset2_Raw!$D$2:$D$611,$Q423),"")</f>
        <v>0.25369999999999998</v>
      </c>
      <c r="N423" s="23">
        <f>IF(ISNUMBER(INDEX(Dataset2_Raw!$E$2:$E$611,$Q423)),INDEX(Dataset2_Raw!$E$2:$E$611,$Q423),"")</f>
        <v>7</v>
      </c>
      <c r="O423" s="23">
        <f>IF(ISNUMBER(INDEX(Dataset2_Raw!$F$2:$F$611,$Q423)),INDEX(Dataset2_Raw!$F$2:$F$611,$Q423),"")</f>
        <v>68</v>
      </c>
      <c r="P423" s="23">
        <f>IF(ISNUMBER(INDEX(Dataset2_Raw!$G$2:$G$611,$Q423)),INDEX(Dataset2_Raw!$G$2:$G$611,$Q423),"")</f>
        <v>75</v>
      </c>
      <c r="Q423" s="23">
        <f>IFERROR(MATCH($A423,Dataset2_Raw!$A$2:$A$611,0),0)</f>
        <v>422</v>
      </c>
    </row>
    <row r="424" spans="1:17" x14ac:dyDescent="0.35">
      <c r="A424" s="23">
        <f>Dataset1_Raw!A424</f>
        <v>423</v>
      </c>
      <c r="B424" s="24">
        <f>Dataset1_Raw!B424</f>
        <v>40562</v>
      </c>
      <c r="C424" s="23">
        <f>Dataset1_Raw!C424</f>
        <v>1</v>
      </c>
      <c r="D424" s="23">
        <f>Dataset1_Raw!D424</f>
        <v>0</v>
      </c>
      <c r="E424" s="23">
        <f>Dataset1_Raw!E424</f>
        <v>1</v>
      </c>
      <c r="F424" s="23">
        <f>Dataset1_Raw!F424</f>
        <v>15</v>
      </c>
      <c r="G424" s="23" t="b">
        <f>Dataset1_Raw!G424</f>
        <v>0</v>
      </c>
      <c r="H424" s="23">
        <f>Dataset1_Raw!H424</f>
        <v>3</v>
      </c>
      <c r="I424" s="23">
        <f>Dataset1_Raw!I424</f>
        <v>1</v>
      </c>
      <c r="J424" s="25">
        <f>Dataset1_Raw!J424</f>
        <v>0.4</v>
      </c>
      <c r="K424" s="25">
        <f>IF(ISNUMBER(INDEX(Dataset2_Raw!$B$2:$B$611,$Q424)),INDEX(Dataset2_Raw!$B$2:$B$611,$Q424),"")</f>
        <v>0.40910000000000002</v>
      </c>
      <c r="L424" s="25">
        <f>IF(ISNUMBER(INDEX(Dataset2_Raw!$C$2:$C$611,$Q424)),INDEX(Dataset2_Raw!$C$2:$C$611,$Q424),"")</f>
        <v>0.54</v>
      </c>
      <c r="M424" s="25">
        <f>IF(ISNUMBER(INDEX(Dataset2_Raw!$D$2:$D$611,$Q424)),INDEX(Dataset2_Raw!$D$2:$D$611,$Q424),"")</f>
        <v>0.28360000000000002</v>
      </c>
      <c r="N424" s="23">
        <f>IF(ISNUMBER(INDEX(Dataset2_Raw!$E$2:$E$611,$Q424)),INDEX(Dataset2_Raw!$E$2:$E$611,$Q424),"")</f>
        <v>4</v>
      </c>
      <c r="O424" s="23">
        <f>IF(ISNUMBER(INDEX(Dataset2_Raw!$F$2:$F$611,$Q424)),INDEX(Dataset2_Raw!$F$2:$F$611,$Q424),"")</f>
        <v>78</v>
      </c>
      <c r="P424" s="23">
        <f>IF(ISNUMBER(INDEX(Dataset2_Raw!$G$2:$G$611,$Q424)),INDEX(Dataset2_Raw!$G$2:$G$611,$Q424),"")</f>
        <v>82</v>
      </c>
      <c r="Q424" s="23">
        <f>IFERROR(MATCH($A424,Dataset2_Raw!$A$2:$A$611,0),0)</f>
        <v>423</v>
      </c>
    </row>
    <row r="425" spans="1:17" x14ac:dyDescent="0.35">
      <c r="A425" s="23">
        <f>Dataset1_Raw!A425</f>
        <v>424</v>
      </c>
      <c r="B425" s="24">
        <f>Dataset1_Raw!B425</f>
        <v>40562</v>
      </c>
      <c r="C425" s="23">
        <f>Dataset1_Raw!C425</f>
        <v>1</v>
      </c>
      <c r="D425" s="23">
        <f>Dataset1_Raw!D425</f>
        <v>0</v>
      </c>
      <c r="E425" s="23">
        <f>Dataset1_Raw!E425</f>
        <v>1</v>
      </c>
      <c r="F425" s="23">
        <f>Dataset1_Raw!F425</f>
        <v>16</v>
      </c>
      <c r="G425" s="23" t="b">
        <f>Dataset1_Raw!G425</f>
        <v>0</v>
      </c>
      <c r="H425" s="23">
        <f>Dataset1_Raw!H425</f>
        <v>3</v>
      </c>
      <c r="I425" s="23">
        <f>Dataset1_Raw!I425</f>
        <v>1</v>
      </c>
      <c r="J425" s="25">
        <f>Dataset1_Raw!J425</f>
        <v>0.38</v>
      </c>
      <c r="K425" s="25">
        <f>IF(ISNUMBER(INDEX(Dataset2_Raw!$B$2:$B$611,$Q425)),INDEX(Dataset2_Raw!$B$2:$B$611,$Q425),"")</f>
        <v>0.39389999999999997</v>
      </c>
      <c r="L425" s="25">
        <f>IF(ISNUMBER(INDEX(Dataset2_Raw!$C$2:$C$611,$Q425)),INDEX(Dataset2_Raw!$C$2:$C$611,$Q425),"")</f>
        <v>0.57999999999999996</v>
      </c>
      <c r="M425" s="25">
        <f>IF(ISNUMBER(INDEX(Dataset2_Raw!$D$2:$D$611,$Q425)),INDEX(Dataset2_Raw!$D$2:$D$611,$Q425),"")</f>
        <v>0.3881</v>
      </c>
      <c r="N425" s="23">
        <f>IF(ISNUMBER(INDEX(Dataset2_Raw!$E$2:$E$611,$Q425)),INDEX(Dataset2_Raw!$E$2:$E$611,$Q425),"")</f>
        <v>10</v>
      </c>
      <c r="O425" s="23">
        <f>IF(ISNUMBER(INDEX(Dataset2_Raw!$F$2:$F$611,$Q425)),INDEX(Dataset2_Raw!$F$2:$F$611,$Q425),"")</f>
        <v>94</v>
      </c>
      <c r="P425" s="23">
        <f>IF(ISNUMBER(INDEX(Dataset2_Raw!$G$2:$G$611,$Q425)),INDEX(Dataset2_Raw!$G$2:$G$611,$Q425),"")</f>
        <v>104</v>
      </c>
      <c r="Q425" s="23">
        <f>IFERROR(MATCH($A425,Dataset2_Raw!$A$2:$A$611,0),0)</f>
        <v>424</v>
      </c>
    </row>
    <row r="426" spans="1:17" x14ac:dyDescent="0.35">
      <c r="A426" s="23">
        <f>Dataset1_Raw!A426</f>
        <v>425</v>
      </c>
      <c r="B426" s="24">
        <f>Dataset1_Raw!B426</f>
        <v>40562</v>
      </c>
      <c r="C426" s="23">
        <f>Dataset1_Raw!C426</f>
        <v>1</v>
      </c>
      <c r="D426" s="23">
        <f>Dataset1_Raw!D426</f>
        <v>0</v>
      </c>
      <c r="E426" s="23">
        <f>Dataset1_Raw!E426</f>
        <v>1</v>
      </c>
      <c r="F426" s="23">
        <f>Dataset1_Raw!F426</f>
        <v>17</v>
      </c>
      <c r="G426" s="23" t="b">
        <f>Dataset1_Raw!G426</f>
        <v>0</v>
      </c>
      <c r="H426" s="23">
        <f>Dataset1_Raw!H426</f>
        <v>3</v>
      </c>
      <c r="I426" s="23">
        <f>Dataset1_Raw!I426</f>
        <v>1</v>
      </c>
      <c r="J426" s="25">
        <f>Dataset1_Raw!J426</f>
        <v>0.36</v>
      </c>
      <c r="K426" s="25">
        <f>IF(ISNUMBER(INDEX(Dataset2_Raw!$B$2:$B$611,$Q426)),INDEX(Dataset2_Raw!$B$2:$B$611,$Q426),"")</f>
        <v>0.33329999999999999</v>
      </c>
      <c r="L426" s="25">
        <f>IF(ISNUMBER(INDEX(Dataset2_Raw!$C$2:$C$611,$Q426)),INDEX(Dataset2_Raw!$C$2:$C$611,$Q426),"")</f>
        <v>0.56999999999999995</v>
      </c>
      <c r="M426" s="25">
        <f>IF(ISNUMBER(INDEX(Dataset2_Raw!$D$2:$D$611,$Q426)),INDEX(Dataset2_Raw!$D$2:$D$611,$Q426),"")</f>
        <v>0.32840000000000003</v>
      </c>
      <c r="N426" s="23">
        <f>IF(ISNUMBER(INDEX(Dataset2_Raw!$E$2:$E$611,$Q426)),INDEX(Dataset2_Raw!$E$2:$E$611,$Q426),"")</f>
        <v>7</v>
      </c>
      <c r="O426" s="23">
        <f>IF(ISNUMBER(INDEX(Dataset2_Raw!$F$2:$F$611,$Q426)),INDEX(Dataset2_Raw!$F$2:$F$611,$Q426),"")</f>
        <v>190</v>
      </c>
      <c r="P426" s="23">
        <f>IF(ISNUMBER(INDEX(Dataset2_Raw!$G$2:$G$611,$Q426)),INDEX(Dataset2_Raw!$G$2:$G$611,$Q426),"")</f>
        <v>197</v>
      </c>
      <c r="Q426" s="23">
        <f>IFERROR(MATCH($A426,Dataset2_Raw!$A$2:$A$611,0),0)</f>
        <v>425</v>
      </c>
    </row>
    <row r="427" spans="1:17" x14ac:dyDescent="0.35">
      <c r="A427" s="23">
        <f>Dataset1_Raw!A427</f>
        <v>426</v>
      </c>
      <c r="B427" s="24">
        <f>Dataset1_Raw!B427</f>
        <v>40562</v>
      </c>
      <c r="C427" s="23">
        <f>Dataset1_Raw!C427</f>
        <v>1</v>
      </c>
      <c r="D427" s="23">
        <f>Dataset1_Raw!D427</f>
        <v>0</v>
      </c>
      <c r="E427" s="23">
        <f>Dataset1_Raw!E427</f>
        <v>1</v>
      </c>
      <c r="F427" s="23">
        <f>Dataset1_Raw!F427</f>
        <v>18</v>
      </c>
      <c r="G427" s="23" t="b">
        <f>Dataset1_Raw!G427</f>
        <v>0</v>
      </c>
      <c r="H427" s="23">
        <f>Dataset1_Raw!H427</f>
        <v>3</v>
      </c>
      <c r="I427" s="23">
        <f>Dataset1_Raw!I427</f>
        <v>1</v>
      </c>
      <c r="J427" s="25">
        <f>Dataset1_Raw!J427</f>
        <v>0.34</v>
      </c>
      <c r="K427" s="25">
        <f>IF(ISNUMBER(INDEX(Dataset2_Raw!$B$2:$B$611,$Q427)),INDEX(Dataset2_Raw!$B$2:$B$611,$Q427),"")</f>
        <v>0.31819999999999998</v>
      </c>
      <c r="L427" s="25">
        <f>IF(ISNUMBER(INDEX(Dataset2_Raw!$C$2:$C$611,$Q427)),INDEX(Dataset2_Raw!$C$2:$C$611,$Q427),"")</f>
        <v>0.61</v>
      </c>
      <c r="M427" s="25">
        <f>IF(ISNUMBER(INDEX(Dataset2_Raw!$D$2:$D$611,$Q427)),INDEX(Dataset2_Raw!$D$2:$D$611,$Q427),"")</f>
        <v>0.28360000000000002</v>
      </c>
      <c r="N427" s="23">
        <f>IF(ISNUMBER(INDEX(Dataset2_Raw!$E$2:$E$611,$Q427)),INDEX(Dataset2_Raw!$E$2:$E$611,$Q427),"")</f>
        <v>5</v>
      </c>
      <c r="O427" s="23">
        <f>IF(ISNUMBER(INDEX(Dataset2_Raw!$F$2:$F$611,$Q427)),INDEX(Dataset2_Raw!$F$2:$F$611,$Q427),"")</f>
        <v>156</v>
      </c>
      <c r="P427" s="23">
        <f>IF(ISNUMBER(INDEX(Dataset2_Raw!$G$2:$G$611,$Q427)),INDEX(Dataset2_Raw!$G$2:$G$611,$Q427),"")</f>
        <v>161</v>
      </c>
      <c r="Q427" s="23">
        <f>IFERROR(MATCH($A427,Dataset2_Raw!$A$2:$A$611,0),0)</f>
        <v>426</v>
      </c>
    </row>
    <row r="428" spans="1:17" x14ac:dyDescent="0.35">
      <c r="A428" s="23">
        <f>Dataset1_Raw!A428</f>
        <v>427</v>
      </c>
      <c r="B428" s="24">
        <f>Dataset1_Raw!B428</f>
        <v>40562</v>
      </c>
      <c r="C428" s="23">
        <f>Dataset1_Raw!C428</f>
        <v>1</v>
      </c>
      <c r="D428" s="23">
        <f>Dataset1_Raw!D428</f>
        <v>0</v>
      </c>
      <c r="E428" s="23">
        <f>Dataset1_Raw!E428</f>
        <v>1</v>
      </c>
      <c r="F428" s="23">
        <f>Dataset1_Raw!F428</f>
        <v>19</v>
      </c>
      <c r="G428" s="23" t="b">
        <f>Dataset1_Raw!G428</f>
        <v>0</v>
      </c>
      <c r="H428" s="23">
        <f>Dataset1_Raw!H428</f>
        <v>3</v>
      </c>
      <c r="I428" s="23">
        <f>Dataset1_Raw!I428</f>
        <v>1</v>
      </c>
      <c r="J428" s="25">
        <f>Dataset1_Raw!J428</f>
        <v>0.32</v>
      </c>
      <c r="K428" s="25">
        <f>IF(ISNUMBER(INDEX(Dataset2_Raw!$B$2:$B$611,$Q428)),INDEX(Dataset2_Raw!$B$2:$B$611,$Q428),"")</f>
        <v>0.28789999999999999</v>
      </c>
      <c r="L428" s="25">
        <f>IF(ISNUMBER(INDEX(Dataset2_Raw!$C$2:$C$611,$Q428)),INDEX(Dataset2_Raw!$C$2:$C$611,$Q428),"")</f>
        <v>0.56999999999999995</v>
      </c>
      <c r="M428" s="25">
        <f>IF(ISNUMBER(INDEX(Dataset2_Raw!$D$2:$D$611,$Q428)),INDEX(Dataset2_Raw!$D$2:$D$611,$Q428),"")</f>
        <v>0.41789999999999999</v>
      </c>
      <c r="N428" s="23">
        <f>IF(ISNUMBER(INDEX(Dataset2_Raw!$E$2:$E$611,$Q428)),INDEX(Dataset2_Raw!$E$2:$E$611,$Q428),"")</f>
        <v>4</v>
      </c>
      <c r="O428" s="23">
        <f>IF(ISNUMBER(INDEX(Dataset2_Raw!$F$2:$F$611,$Q428)),INDEX(Dataset2_Raw!$F$2:$F$611,$Q428),"")</f>
        <v>108</v>
      </c>
      <c r="P428" s="23">
        <f>IF(ISNUMBER(INDEX(Dataset2_Raw!$G$2:$G$611,$Q428)),INDEX(Dataset2_Raw!$G$2:$G$611,$Q428),"")</f>
        <v>112</v>
      </c>
      <c r="Q428" s="23">
        <f>IFERROR(MATCH($A428,Dataset2_Raw!$A$2:$A$611,0),0)</f>
        <v>427</v>
      </c>
    </row>
    <row r="429" spans="1:17" x14ac:dyDescent="0.35">
      <c r="A429" s="23">
        <f>Dataset1_Raw!A429</f>
        <v>428</v>
      </c>
      <c r="B429" s="24">
        <f>Dataset1_Raw!B429</f>
        <v>40562</v>
      </c>
      <c r="C429" s="23">
        <f>Dataset1_Raw!C429</f>
        <v>1</v>
      </c>
      <c r="D429" s="23">
        <f>Dataset1_Raw!D429</f>
        <v>0</v>
      </c>
      <c r="E429" s="23">
        <f>Dataset1_Raw!E429</f>
        <v>1</v>
      </c>
      <c r="F429" s="23">
        <f>Dataset1_Raw!F429</f>
        <v>20</v>
      </c>
      <c r="G429" s="23" t="b">
        <f>Dataset1_Raw!G429</f>
        <v>0</v>
      </c>
      <c r="H429" s="23">
        <f>Dataset1_Raw!H429</f>
        <v>3</v>
      </c>
      <c r="I429" s="23">
        <f>Dataset1_Raw!I429</f>
        <v>1</v>
      </c>
      <c r="J429" s="25">
        <f>Dataset1_Raw!J429</f>
        <v>0.32</v>
      </c>
      <c r="K429" s="25">
        <f>IF(ISNUMBER(INDEX(Dataset2_Raw!$B$2:$B$611,$Q429)),INDEX(Dataset2_Raw!$B$2:$B$611,$Q429),"")</f>
        <v>0.30299999999999999</v>
      </c>
      <c r="L429" s="25">
        <f>IF(ISNUMBER(INDEX(Dataset2_Raw!$C$2:$C$611,$Q429)),INDEX(Dataset2_Raw!$C$2:$C$611,$Q429),"")</f>
        <v>0.49</v>
      </c>
      <c r="M429" s="25">
        <f>IF(ISNUMBER(INDEX(Dataset2_Raw!$D$2:$D$611,$Q429)),INDEX(Dataset2_Raw!$D$2:$D$611,$Q429),"")</f>
        <v>0.29849999999999999</v>
      </c>
      <c r="N429" s="23">
        <f>IF(ISNUMBER(INDEX(Dataset2_Raw!$E$2:$E$611,$Q429)),INDEX(Dataset2_Raw!$E$2:$E$611,$Q429),"")</f>
        <v>2</v>
      </c>
      <c r="O429" s="23">
        <f>IF(ISNUMBER(INDEX(Dataset2_Raw!$F$2:$F$611,$Q429)),INDEX(Dataset2_Raw!$F$2:$F$611,$Q429),"")</f>
        <v>74</v>
      </c>
      <c r="P429" s="23">
        <f>IF(ISNUMBER(INDEX(Dataset2_Raw!$G$2:$G$611,$Q429)),INDEX(Dataset2_Raw!$G$2:$G$611,$Q429),"")</f>
        <v>76</v>
      </c>
      <c r="Q429" s="23">
        <f>IFERROR(MATCH($A429,Dataset2_Raw!$A$2:$A$611,0),0)</f>
        <v>428</v>
      </c>
    </row>
    <row r="430" spans="1:17" x14ac:dyDescent="0.35">
      <c r="A430" s="23">
        <f>Dataset1_Raw!A430</f>
        <v>429</v>
      </c>
      <c r="B430" s="24">
        <f>Dataset1_Raw!B430</f>
        <v>40562</v>
      </c>
      <c r="C430" s="23">
        <f>Dataset1_Raw!C430</f>
        <v>1</v>
      </c>
      <c r="D430" s="23">
        <f>Dataset1_Raw!D430</f>
        <v>0</v>
      </c>
      <c r="E430" s="23">
        <f>Dataset1_Raw!E430</f>
        <v>1</v>
      </c>
      <c r="F430" s="23">
        <f>Dataset1_Raw!F430</f>
        <v>21</v>
      </c>
      <c r="G430" s="23" t="b">
        <f>Dataset1_Raw!G430</f>
        <v>0</v>
      </c>
      <c r="H430" s="23">
        <f>Dataset1_Raw!H430</f>
        <v>3</v>
      </c>
      <c r="I430" s="23">
        <f>Dataset1_Raw!I430</f>
        <v>1</v>
      </c>
      <c r="J430" s="25">
        <f>Dataset1_Raw!J430</f>
        <v>0.32</v>
      </c>
      <c r="K430" s="25">
        <f>IF(ISNUMBER(INDEX(Dataset2_Raw!$B$2:$B$611,$Q430)),INDEX(Dataset2_Raw!$B$2:$B$611,$Q430),"")</f>
        <v>0.28789999999999999</v>
      </c>
      <c r="L430" s="25">
        <f>IF(ISNUMBER(INDEX(Dataset2_Raw!$C$2:$C$611,$Q430)),INDEX(Dataset2_Raw!$C$2:$C$611,$Q430),"")</f>
        <v>0.49</v>
      </c>
      <c r="M430" s="25">
        <f>IF(ISNUMBER(INDEX(Dataset2_Raw!$D$2:$D$611,$Q430)),INDEX(Dataset2_Raw!$D$2:$D$611,$Q430),"")</f>
        <v>0.41789999999999999</v>
      </c>
      <c r="N430" s="23">
        <f>IF(ISNUMBER(INDEX(Dataset2_Raw!$E$2:$E$611,$Q430)),INDEX(Dataset2_Raw!$E$2:$E$611,$Q430),"")</f>
        <v>4</v>
      </c>
      <c r="O430" s="23">
        <f>IF(ISNUMBER(INDEX(Dataset2_Raw!$F$2:$F$611,$Q430)),INDEX(Dataset2_Raw!$F$2:$F$611,$Q430),"")</f>
        <v>55</v>
      </c>
      <c r="P430" s="23">
        <f>IF(ISNUMBER(INDEX(Dataset2_Raw!$G$2:$G$611,$Q430)),INDEX(Dataset2_Raw!$G$2:$G$611,$Q430),"")</f>
        <v>59</v>
      </c>
      <c r="Q430" s="23">
        <f>IFERROR(MATCH($A430,Dataset2_Raw!$A$2:$A$611,0),0)</f>
        <v>429</v>
      </c>
    </row>
    <row r="431" spans="1:17" x14ac:dyDescent="0.35">
      <c r="A431" s="23">
        <f>Dataset1_Raw!A431</f>
        <v>430</v>
      </c>
      <c r="B431" s="24">
        <f>Dataset1_Raw!B431</f>
        <v>40562</v>
      </c>
      <c r="C431" s="23">
        <f>Dataset1_Raw!C431</f>
        <v>1</v>
      </c>
      <c r="D431" s="23">
        <f>Dataset1_Raw!D431</f>
        <v>0</v>
      </c>
      <c r="E431" s="23">
        <f>Dataset1_Raw!E431</f>
        <v>1</v>
      </c>
      <c r="F431" s="23">
        <f>Dataset1_Raw!F431</f>
        <v>22</v>
      </c>
      <c r="G431" s="23" t="b">
        <f>Dataset1_Raw!G431</f>
        <v>0</v>
      </c>
      <c r="H431" s="23">
        <f>Dataset1_Raw!H431</f>
        <v>3</v>
      </c>
      <c r="I431" s="23">
        <f>Dataset1_Raw!I431</f>
        <v>1</v>
      </c>
      <c r="J431" s="25">
        <f>Dataset1_Raw!J431</f>
        <v>0.3</v>
      </c>
      <c r="K431" s="25">
        <f>IF(ISNUMBER(INDEX(Dataset2_Raw!$B$2:$B$611,$Q431)),INDEX(Dataset2_Raw!$B$2:$B$611,$Q431),"")</f>
        <v>0.30299999999999999</v>
      </c>
      <c r="L431" s="25">
        <f>IF(ISNUMBER(INDEX(Dataset2_Raw!$C$2:$C$611,$Q431)),INDEX(Dataset2_Raw!$C$2:$C$611,$Q431),"")</f>
        <v>0.52</v>
      </c>
      <c r="M431" s="25">
        <f>IF(ISNUMBER(INDEX(Dataset2_Raw!$D$2:$D$611,$Q431)),INDEX(Dataset2_Raw!$D$2:$D$611,$Q431),"")</f>
        <v>0.16420000000000001</v>
      </c>
      <c r="N431" s="23">
        <f>IF(ISNUMBER(INDEX(Dataset2_Raw!$E$2:$E$611,$Q431)),INDEX(Dataset2_Raw!$E$2:$E$611,$Q431),"")</f>
        <v>6</v>
      </c>
      <c r="O431" s="23">
        <f>IF(ISNUMBER(INDEX(Dataset2_Raw!$F$2:$F$611,$Q431)),INDEX(Dataset2_Raw!$F$2:$F$611,$Q431),"")</f>
        <v>53</v>
      </c>
      <c r="P431" s="23">
        <f>IF(ISNUMBER(INDEX(Dataset2_Raw!$G$2:$G$611,$Q431)),INDEX(Dataset2_Raw!$G$2:$G$611,$Q431),"")</f>
        <v>59</v>
      </c>
      <c r="Q431" s="23">
        <f>IFERROR(MATCH($A431,Dataset2_Raw!$A$2:$A$611,0),0)</f>
        <v>430</v>
      </c>
    </row>
    <row r="432" spans="1:17" x14ac:dyDescent="0.35">
      <c r="A432" s="23">
        <f>Dataset1_Raw!A432</f>
        <v>431</v>
      </c>
      <c r="B432" s="24">
        <f>Dataset1_Raw!B432</f>
        <v>40562</v>
      </c>
      <c r="C432" s="23">
        <f>Dataset1_Raw!C432</f>
        <v>1</v>
      </c>
      <c r="D432" s="23">
        <f>Dataset1_Raw!D432</f>
        <v>0</v>
      </c>
      <c r="E432" s="23">
        <f>Dataset1_Raw!E432</f>
        <v>1</v>
      </c>
      <c r="F432" s="23">
        <f>Dataset1_Raw!F432</f>
        <v>23</v>
      </c>
      <c r="G432" s="23" t="b">
        <f>Dataset1_Raw!G432</f>
        <v>0</v>
      </c>
      <c r="H432" s="23">
        <f>Dataset1_Raw!H432</f>
        <v>3</v>
      </c>
      <c r="I432" s="23">
        <f>Dataset1_Raw!I432</f>
        <v>1</v>
      </c>
      <c r="J432" s="25">
        <f>Dataset1_Raw!J432</f>
        <v>0.3</v>
      </c>
      <c r="K432" s="25">
        <f>IF(ISNUMBER(INDEX(Dataset2_Raw!$B$2:$B$611,$Q432)),INDEX(Dataset2_Raw!$B$2:$B$611,$Q432),"")</f>
        <v>0.2727</v>
      </c>
      <c r="L432" s="25">
        <f>IF(ISNUMBER(INDEX(Dataset2_Raw!$C$2:$C$611,$Q432)),INDEX(Dataset2_Raw!$C$2:$C$611,$Q432),"")</f>
        <v>0.52</v>
      </c>
      <c r="M432" s="25">
        <f>IF(ISNUMBER(INDEX(Dataset2_Raw!$D$2:$D$611,$Q432)),INDEX(Dataset2_Raw!$D$2:$D$611,$Q432),"")</f>
        <v>0.4627</v>
      </c>
      <c r="N432" s="23">
        <f>IF(ISNUMBER(INDEX(Dataset2_Raw!$E$2:$E$611,$Q432)),INDEX(Dataset2_Raw!$E$2:$E$611,$Q432),"")</f>
        <v>1</v>
      </c>
      <c r="O432" s="23">
        <f>IF(ISNUMBER(INDEX(Dataset2_Raw!$F$2:$F$611,$Q432)),INDEX(Dataset2_Raw!$F$2:$F$611,$Q432),"")</f>
        <v>27</v>
      </c>
      <c r="P432" s="23">
        <f>IF(ISNUMBER(INDEX(Dataset2_Raw!$G$2:$G$611,$Q432)),INDEX(Dataset2_Raw!$G$2:$G$611,$Q432),"")</f>
        <v>28</v>
      </c>
      <c r="Q432" s="23">
        <f>IFERROR(MATCH($A432,Dataset2_Raw!$A$2:$A$611,0),0)</f>
        <v>431</v>
      </c>
    </row>
    <row r="433" spans="1:17" x14ac:dyDescent="0.35">
      <c r="A433" s="23">
        <f>Dataset1_Raw!A433</f>
        <v>432</v>
      </c>
      <c r="B433" s="24">
        <f>Dataset1_Raw!B433</f>
        <v>40563</v>
      </c>
      <c r="C433" s="23">
        <f>Dataset1_Raw!C433</f>
        <v>1</v>
      </c>
      <c r="D433" s="23">
        <f>Dataset1_Raw!D433</f>
        <v>0</v>
      </c>
      <c r="E433" s="23">
        <f>Dataset1_Raw!E433</f>
        <v>1</v>
      </c>
      <c r="F433" s="23">
        <f>Dataset1_Raw!F433</f>
        <v>0</v>
      </c>
      <c r="G433" s="23" t="b">
        <f>Dataset1_Raw!G433</f>
        <v>0</v>
      </c>
      <c r="H433" s="23">
        <f>Dataset1_Raw!H433</f>
        <v>4</v>
      </c>
      <c r="I433" s="23">
        <f>Dataset1_Raw!I433</f>
        <v>1</v>
      </c>
      <c r="J433" s="25">
        <f>Dataset1_Raw!J433</f>
        <v>0.26</v>
      </c>
      <c r="K433" s="25">
        <f>IF(ISNUMBER(INDEX(Dataset2_Raw!$B$2:$B$611,$Q433)),INDEX(Dataset2_Raw!$B$2:$B$611,$Q433),"")</f>
        <v>0.2273</v>
      </c>
      <c r="L433" s="25">
        <f>IF(ISNUMBER(INDEX(Dataset2_Raw!$C$2:$C$611,$Q433)),INDEX(Dataset2_Raw!$C$2:$C$611,$Q433),"")</f>
        <v>0.56000000000000005</v>
      </c>
      <c r="M433" s="25">
        <f>IF(ISNUMBER(INDEX(Dataset2_Raw!$D$2:$D$611,$Q433)),INDEX(Dataset2_Raw!$D$2:$D$611,$Q433),"")</f>
        <v>0.3881</v>
      </c>
      <c r="N433" s="23">
        <f>IF(ISNUMBER(INDEX(Dataset2_Raw!$E$2:$E$611,$Q433)),INDEX(Dataset2_Raw!$E$2:$E$611,$Q433),"")</f>
        <v>5</v>
      </c>
      <c r="O433" s="23">
        <f>IF(ISNUMBER(INDEX(Dataset2_Raw!$F$2:$F$611,$Q433)),INDEX(Dataset2_Raw!$F$2:$F$611,$Q433),"")</f>
        <v>8</v>
      </c>
      <c r="P433" s="23">
        <f>IF(ISNUMBER(INDEX(Dataset2_Raw!$G$2:$G$611,$Q433)),INDEX(Dataset2_Raw!$G$2:$G$611,$Q433),"")</f>
        <v>13</v>
      </c>
      <c r="Q433" s="23">
        <f>IFERROR(MATCH($A433,Dataset2_Raw!$A$2:$A$611,0),0)</f>
        <v>432</v>
      </c>
    </row>
    <row r="434" spans="1:17" x14ac:dyDescent="0.35">
      <c r="A434" s="23">
        <f>Dataset1_Raw!A434</f>
        <v>433</v>
      </c>
      <c r="B434" s="24">
        <f>Dataset1_Raw!B434</f>
        <v>40563</v>
      </c>
      <c r="C434" s="23">
        <f>Dataset1_Raw!C434</f>
        <v>1</v>
      </c>
      <c r="D434" s="23">
        <f>Dataset1_Raw!D434</f>
        <v>0</v>
      </c>
      <c r="E434" s="23">
        <f>Dataset1_Raw!E434</f>
        <v>1</v>
      </c>
      <c r="F434" s="23">
        <f>Dataset1_Raw!F434</f>
        <v>1</v>
      </c>
      <c r="G434" s="23" t="b">
        <f>Dataset1_Raw!G434</f>
        <v>0</v>
      </c>
      <c r="H434" s="23">
        <f>Dataset1_Raw!H434</f>
        <v>4</v>
      </c>
      <c r="I434" s="23">
        <f>Dataset1_Raw!I434</f>
        <v>1</v>
      </c>
      <c r="J434" s="25">
        <f>Dataset1_Raw!J434</f>
        <v>0.26</v>
      </c>
      <c r="K434" s="25">
        <f>IF(ISNUMBER(INDEX(Dataset2_Raw!$B$2:$B$611,$Q434)),INDEX(Dataset2_Raw!$B$2:$B$611,$Q434),"")</f>
        <v>0.2727</v>
      </c>
      <c r="L434" s="25">
        <f>IF(ISNUMBER(INDEX(Dataset2_Raw!$C$2:$C$611,$Q434)),INDEX(Dataset2_Raw!$C$2:$C$611,$Q434),"")</f>
        <v>0.56000000000000005</v>
      </c>
      <c r="M434" s="25">
        <f>IF(ISNUMBER(INDEX(Dataset2_Raw!$D$2:$D$611,$Q434)),INDEX(Dataset2_Raw!$D$2:$D$611,$Q434),"")</f>
        <v>0</v>
      </c>
      <c r="N434" s="23">
        <f>IF(ISNUMBER(INDEX(Dataset2_Raw!$E$2:$E$611,$Q434)),INDEX(Dataset2_Raw!$E$2:$E$611,$Q434),"")</f>
        <v>2</v>
      </c>
      <c r="O434" s="23">
        <f>IF(ISNUMBER(INDEX(Dataset2_Raw!$F$2:$F$611,$Q434)),INDEX(Dataset2_Raw!$F$2:$F$611,$Q434),"")</f>
        <v>3</v>
      </c>
      <c r="P434" s="23">
        <f>IF(ISNUMBER(INDEX(Dataset2_Raw!$G$2:$G$611,$Q434)),INDEX(Dataset2_Raw!$G$2:$G$611,$Q434),"")</f>
        <v>5</v>
      </c>
      <c r="Q434" s="23">
        <f>IFERROR(MATCH($A434,Dataset2_Raw!$A$2:$A$611,0),0)</f>
        <v>433</v>
      </c>
    </row>
    <row r="435" spans="1:17" x14ac:dyDescent="0.35">
      <c r="A435" s="23">
        <f>Dataset1_Raw!A435</f>
        <v>434</v>
      </c>
      <c r="B435" s="24">
        <f>Dataset1_Raw!B435</f>
        <v>40563</v>
      </c>
      <c r="C435" s="23">
        <f>Dataset1_Raw!C435</f>
        <v>1</v>
      </c>
      <c r="D435" s="23">
        <f>Dataset1_Raw!D435</f>
        <v>0</v>
      </c>
      <c r="E435" s="23">
        <f>Dataset1_Raw!E435</f>
        <v>1</v>
      </c>
      <c r="F435" s="23">
        <f>Dataset1_Raw!F435</f>
        <v>2</v>
      </c>
      <c r="G435" s="23" t="b">
        <f>Dataset1_Raw!G435</f>
        <v>0</v>
      </c>
      <c r="H435" s="23">
        <f>Dataset1_Raw!H435</f>
        <v>4</v>
      </c>
      <c r="I435" s="23">
        <f>Dataset1_Raw!I435</f>
        <v>1</v>
      </c>
      <c r="J435" s="25">
        <f>Dataset1_Raw!J435</f>
        <v>0.26</v>
      </c>
      <c r="K435" s="25">
        <f>IF(ISNUMBER(INDEX(Dataset2_Raw!$B$2:$B$611,$Q435)),INDEX(Dataset2_Raw!$B$2:$B$611,$Q435),"")</f>
        <v>0.2727</v>
      </c>
      <c r="L435" s="25">
        <f>IF(ISNUMBER(INDEX(Dataset2_Raw!$C$2:$C$611,$Q435)),INDEX(Dataset2_Raw!$C$2:$C$611,$Q435),"")</f>
        <v>0.56000000000000005</v>
      </c>
      <c r="M435" s="25">
        <f>IF(ISNUMBER(INDEX(Dataset2_Raw!$D$2:$D$611,$Q435)),INDEX(Dataset2_Raw!$D$2:$D$611,$Q435),"")</f>
        <v>0</v>
      </c>
      <c r="N435" s="23">
        <f>IF(ISNUMBER(INDEX(Dataset2_Raw!$E$2:$E$611,$Q435)),INDEX(Dataset2_Raw!$E$2:$E$611,$Q435),"")</f>
        <v>0</v>
      </c>
      <c r="O435" s="23">
        <f>IF(ISNUMBER(INDEX(Dataset2_Raw!$F$2:$F$611,$Q435)),INDEX(Dataset2_Raw!$F$2:$F$611,$Q435),"")</f>
        <v>2</v>
      </c>
      <c r="P435" s="23">
        <f>IF(ISNUMBER(INDEX(Dataset2_Raw!$G$2:$G$611,$Q435)),INDEX(Dataset2_Raw!$G$2:$G$611,$Q435),"")</f>
        <v>2</v>
      </c>
      <c r="Q435" s="23">
        <f>IFERROR(MATCH($A435,Dataset2_Raw!$A$2:$A$611,0),0)</f>
        <v>434</v>
      </c>
    </row>
    <row r="436" spans="1:17" x14ac:dyDescent="0.35">
      <c r="A436" s="23">
        <f>Dataset1_Raw!A436</f>
        <v>435</v>
      </c>
      <c r="B436" s="24">
        <f>Dataset1_Raw!B436</f>
        <v>40563</v>
      </c>
      <c r="C436" s="23">
        <f>Dataset1_Raw!C436</f>
        <v>1</v>
      </c>
      <c r="D436" s="23">
        <f>Dataset1_Raw!D436</f>
        <v>0</v>
      </c>
      <c r="E436" s="23">
        <f>Dataset1_Raw!E436</f>
        <v>1</v>
      </c>
      <c r="F436" s="23">
        <f>Dataset1_Raw!F436</f>
        <v>3</v>
      </c>
      <c r="G436" s="23" t="b">
        <f>Dataset1_Raw!G436</f>
        <v>0</v>
      </c>
      <c r="H436" s="23">
        <f>Dataset1_Raw!H436</f>
        <v>4</v>
      </c>
      <c r="I436" s="23">
        <f>Dataset1_Raw!I436</f>
        <v>1</v>
      </c>
      <c r="J436" s="25">
        <f>Dataset1_Raw!J436</f>
        <v>0.26</v>
      </c>
      <c r="K436" s="25">
        <f>IF(ISNUMBER(INDEX(Dataset2_Raw!$B$2:$B$611,$Q436)),INDEX(Dataset2_Raw!$B$2:$B$611,$Q436),"")</f>
        <v>0.2576</v>
      </c>
      <c r="L436" s="25">
        <f>IF(ISNUMBER(INDEX(Dataset2_Raw!$C$2:$C$611,$Q436)),INDEX(Dataset2_Raw!$C$2:$C$611,$Q436),"")</f>
        <v>0.56000000000000005</v>
      </c>
      <c r="M436" s="25">
        <f>IF(ISNUMBER(INDEX(Dataset2_Raw!$D$2:$D$611,$Q436)),INDEX(Dataset2_Raw!$D$2:$D$611,$Q436),"")</f>
        <v>0.16420000000000001</v>
      </c>
      <c r="N436" s="23">
        <f>IF(ISNUMBER(INDEX(Dataset2_Raw!$E$2:$E$611,$Q436)),INDEX(Dataset2_Raw!$E$2:$E$611,$Q436),"")</f>
        <v>0</v>
      </c>
      <c r="O436" s="23">
        <f>IF(ISNUMBER(INDEX(Dataset2_Raw!$F$2:$F$611,$Q436)),INDEX(Dataset2_Raw!$F$2:$F$611,$Q436),"")</f>
        <v>1</v>
      </c>
      <c r="P436" s="23">
        <f>IF(ISNUMBER(INDEX(Dataset2_Raw!$G$2:$G$611,$Q436)),INDEX(Dataset2_Raw!$G$2:$G$611,$Q436),"")</f>
        <v>1</v>
      </c>
      <c r="Q436" s="23">
        <f>IFERROR(MATCH($A436,Dataset2_Raw!$A$2:$A$611,0),0)</f>
        <v>435</v>
      </c>
    </row>
    <row r="437" spans="1:17" x14ac:dyDescent="0.35">
      <c r="A437" s="23">
        <f>Dataset1_Raw!A437</f>
        <v>436</v>
      </c>
      <c r="B437" s="24">
        <f>Dataset1_Raw!B437</f>
        <v>40563</v>
      </c>
      <c r="C437" s="23">
        <f>Dataset1_Raw!C437</f>
        <v>1</v>
      </c>
      <c r="D437" s="23">
        <f>Dataset1_Raw!D437</f>
        <v>0</v>
      </c>
      <c r="E437" s="23">
        <f>Dataset1_Raw!E437</f>
        <v>1</v>
      </c>
      <c r="F437" s="23">
        <f>Dataset1_Raw!F437</f>
        <v>4</v>
      </c>
      <c r="G437" s="23" t="b">
        <f>Dataset1_Raw!G437</f>
        <v>0</v>
      </c>
      <c r="H437" s="23">
        <f>Dataset1_Raw!H437</f>
        <v>4</v>
      </c>
      <c r="I437" s="23">
        <f>Dataset1_Raw!I437</f>
        <v>1</v>
      </c>
      <c r="J437" s="25">
        <f>Dataset1_Raw!J437</f>
        <v>0.26</v>
      </c>
      <c r="K437" s="25">
        <f>IF(ISNUMBER(INDEX(Dataset2_Raw!$B$2:$B$611,$Q437)),INDEX(Dataset2_Raw!$B$2:$B$611,$Q437),"")</f>
        <v>0.2576</v>
      </c>
      <c r="L437" s="25">
        <f>IF(ISNUMBER(INDEX(Dataset2_Raw!$C$2:$C$611,$Q437)),INDEX(Dataset2_Raw!$C$2:$C$611,$Q437),"")</f>
        <v>0.56000000000000005</v>
      </c>
      <c r="M437" s="25">
        <f>IF(ISNUMBER(INDEX(Dataset2_Raw!$D$2:$D$611,$Q437)),INDEX(Dataset2_Raw!$D$2:$D$611,$Q437),"")</f>
        <v>0.16420000000000001</v>
      </c>
      <c r="N437" s="23">
        <f>IF(ISNUMBER(INDEX(Dataset2_Raw!$E$2:$E$611,$Q437)),INDEX(Dataset2_Raw!$E$2:$E$611,$Q437),"")</f>
        <v>0</v>
      </c>
      <c r="O437" s="23">
        <f>IF(ISNUMBER(INDEX(Dataset2_Raw!$F$2:$F$611,$Q437)),INDEX(Dataset2_Raw!$F$2:$F$611,$Q437),"")</f>
        <v>1</v>
      </c>
      <c r="P437" s="23">
        <f>IF(ISNUMBER(INDEX(Dataset2_Raw!$G$2:$G$611,$Q437)),INDEX(Dataset2_Raw!$G$2:$G$611,$Q437),"")</f>
        <v>1</v>
      </c>
      <c r="Q437" s="23">
        <f>IFERROR(MATCH($A437,Dataset2_Raw!$A$2:$A$611,0),0)</f>
        <v>436</v>
      </c>
    </row>
    <row r="438" spans="1:17" x14ac:dyDescent="0.35">
      <c r="A438" s="23">
        <f>Dataset1_Raw!A438</f>
        <v>437</v>
      </c>
      <c r="B438" s="24">
        <f>Dataset1_Raw!B438</f>
        <v>40563</v>
      </c>
      <c r="C438" s="23">
        <f>Dataset1_Raw!C438</f>
        <v>1</v>
      </c>
      <c r="D438" s="23">
        <f>Dataset1_Raw!D438</f>
        <v>0</v>
      </c>
      <c r="E438" s="23">
        <f>Dataset1_Raw!E438</f>
        <v>1</v>
      </c>
      <c r="F438" s="23">
        <f>Dataset1_Raw!F438</f>
        <v>5</v>
      </c>
      <c r="G438" s="23" t="b">
        <f>Dataset1_Raw!G438</f>
        <v>0</v>
      </c>
      <c r="H438" s="23">
        <f>Dataset1_Raw!H438</f>
        <v>4</v>
      </c>
      <c r="I438" s="23">
        <f>Dataset1_Raw!I438</f>
        <v>1</v>
      </c>
      <c r="J438" s="25">
        <f>Dataset1_Raw!J438</f>
        <v>0.24</v>
      </c>
      <c r="K438" s="25">
        <f>IF(ISNUMBER(INDEX(Dataset2_Raw!$B$2:$B$611,$Q438)),INDEX(Dataset2_Raw!$B$2:$B$611,$Q438),"")</f>
        <v>0.2273</v>
      </c>
      <c r="L438" s="25">
        <f>IF(ISNUMBER(INDEX(Dataset2_Raw!$C$2:$C$611,$Q438)),INDEX(Dataset2_Raw!$C$2:$C$611,$Q438),"")</f>
        <v>0.6</v>
      </c>
      <c r="M438" s="25">
        <f>IF(ISNUMBER(INDEX(Dataset2_Raw!$D$2:$D$611,$Q438)),INDEX(Dataset2_Raw!$D$2:$D$611,$Q438),"")</f>
        <v>0.22389999999999999</v>
      </c>
      <c r="N438" s="23">
        <f>IF(ISNUMBER(INDEX(Dataset2_Raw!$E$2:$E$611,$Q438)),INDEX(Dataset2_Raw!$E$2:$E$611,$Q438),"")</f>
        <v>0</v>
      </c>
      <c r="O438" s="23">
        <f>IF(ISNUMBER(INDEX(Dataset2_Raw!$F$2:$F$611,$Q438)),INDEX(Dataset2_Raw!$F$2:$F$611,$Q438),"")</f>
        <v>6</v>
      </c>
      <c r="P438" s="23">
        <f>IF(ISNUMBER(INDEX(Dataset2_Raw!$G$2:$G$611,$Q438)),INDEX(Dataset2_Raw!$G$2:$G$611,$Q438),"")</f>
        <v>6</v>
      </c>
      <c r="Q438" s="23">
        <f>IFERROR(MATCH($A438,Dataset2_Raw!$A$2:$A$611,0),0)</f>
        <v>437</v>
      </c>
    </row>
    <row r="439" spans="1:17" x14ac:dyDescent="0.35">
      <c r="A439" s="23">
        <f>Dataset1_Raw!A439</f>
        <v>438</v>
      </c>
      <c r="B439" s="24">
        <f>Dataset1_Raw!B439</f>
        <v>40563</v>
      </c>
      <c r="C439" s="23">
        <f>Dataset1_Raw!C439</f>
        <v>1</v>
      </c>
      <c r="D439" s="23">
        <f>Dataset1_Raw!D439</f>
        <v>0</v>
      </c>
      <c r="E439" s="23">
        <f>Dataset1_Raw!E439</f>
        <v>1</v>
      </c>
      <c r="F439" s="23">
        <f>Dataset1_Raw!F439</f>
        <v>6</v>
      </c>
      <c r="G439" s="23" t="b">
        <f>Dataset1_Raw!G439</f>
        <v>0</v>
      </c>
      <c r="H439" s="23">
        <f>Dataset1_Raw!H439</f>
        <v>4</v>
      </c>
      <c r="I439" s="23">
        <f>Dataset1_Raw!I439</f>
        <v>1</v>
      </c>
      <c r="J439" s="25">
        <f>Dataset1_Raw!J439</f>
        <v>0.22</v>
      </c>
      <c r="K439" s="25">
        <f>IF(ISNUMBER(INDEX(Dataset2_Raw!$B$2:$B$611,$Q439)),INDEX(Dataset2_Raw!$B$2:$B$611,$Q439),"")</f>
        <v>0.21210000000000001</v>
      </c>
      <c r="L439" s="25">
        <f>IF(ISNUMBER(INDEX(Dataset2_Raw!$C$2:$C$611,$Q439)),INDEX(Dataset2_Raw!$C$2:$C$611,$Q439),"")</f>
        <v>0.6</v>
      </c>
      <c r="M439" s="25">
        <f>IF(ISNUMBER(INDEX(Dataset2_Raw!$D$2:$D$611,$Q439)),INDEX(Dataset2_Raw!$D$2:$D$611,$Q439),"")</f>
        <v>0.22389999999999999</v>
      </c>
      <c r="N439" s="23">
        <f>IF(ISNUMBER(INDEX(Dataset2_Raw!$E$2:$E$611,$Q439)),INDEX(Dataset2_Raw!$E$2:$E$611,$Q439),"")</f>
        <v>0</v>
      </c>
      <c r="O439" s="23">
        <f>IF(ISNUMBER(INDEX(Dataset2_Raw!$F$2:$F$611,$Q439)),INDEX(Dataset2_Raw!$F$2:$F$611,$Q439),"")</f>
        <v>35</v>
      </c>
      <c r="P439" s="23">
        <f>IF(ISNUMBER(INDEX(Dataset2_Raw!$G$2:$G$611,$Q439)),INDEX(Dataset2_Raw!$G$2:$G$611,$Q439),"")</f>
        <v>35</v>
      </c>
      <c r="Q439" s="23">
        <f>IFERROR(MATCH($A439,Dataset2_Raw!$A$2:$A$611,0),0)</f>
        <v>438</v>
      </c>
    </row>
    <row r="440" spans="1:17" x14ac:dyDescent="0.35">
      <c r="A440" s="23">
        <f>Dataset1_Raw!A440</f>
        <v>439</v>
      </c>
      <c r="B440" s="24">
        <f>Dataset1_Raw!B440</f>
        <v>40563</v>
      </c>
      <c r="C440" s="23">
        <f>Dataset1_Raw!C440</f>
        <v>1</v>
      </c>
      <c r="D440" s="23">
        <f>Dataset1_Raw!D440</f>
        <v>0</v>
      </c>
      <c r="E440" s="23">
        <f>Dataset1_Raw!E440</f>
        <v>1</v>
      </c>
      <c r="F440" s="23">
        <f>Dataset1_Raw!F440</f>
        <v>7</v>
      </c>
      <c r="G440" s="23" t="b">
        <f>Dataset1_Raw!G440</f>
        <v>0</v>
      </c>
      <c r="H440" s="23">
        <f>Dataset1_Raw!H440</f>
        <v>4</v>
      </c>
      <c r="I440" s="23">
        <f>Dataset1_Raw!I440</f>
        <v>1</v>
      </c>
      <c r="J440" s="25">
        <f>Dataset1_Raw!J440</f>
        <v>0.22</v>
      </c>
      <c r="K440" s="25">
        <f>IF(ISNUMBER(INDEX(Dataset2_Raw!$B$2:$B$611,$Q440)),INDEX(Dataset2_Raw!$B$2:$B$611,$Q440),"")</f>
        <v>0.21210000000000001</v>
      </c>
      <c r="L440" s="25">
        <f>IF(ISNUMBER(INDEX(Dataset2_Raw!$C$2:$C$611,$Q440)),INDEX(Dataset2_Raw!$C$2:$C$611,$Q440),"")</f>
        <v>0.55000000000000004</v>
      </c>
      <c r="M440" s="25">
        <f>IF(ISNUMBER(INDEX(Dataset2_Raw!$D$2:$D$611,$Q440)),INDEX(Dataset2_Raw!$D$2:$D$611,$Q440),"")</f>
        <v>0.22389999999999999</v>
      </c>
      <c r="N440" s="23">
        <f>IF(ISNUMBER(INDEX(Dataset2_Raw!$E$2:$E$611,$Q440)),INDEX(Dataset2_Raw!$E$2:$E$611,$Q440),"")</f>
        <v>1</v>
      </c>
      <c r="O440" s="23">
        <f>IF(ISNUMBER(INDEX(Dataset2_Raw!$F$2:$F$611,$Q440)),INDEX(Dataset2_Raw!$F$2:$F$611,$Q440),"")</f>
        <v>100</v>
      </c>
      <c r="P440" s="23">
        <f>IF(ISNUMBER(INDEX(Dataset2_Raw!$G$2:$G$611,$Q440)),INDEX(Dataset2_Raw!$G$2:$G$611,$Q440),"")</f>
        <v>101</v>
      </c>
      <c r="Q440" s="23">
        <f>IFERROR(MATCH($A440,Dataset2_Raw!$A$2:$A$611,0),0)</f>
        <v>439</v>
      </c>
    </row>
    <row r="441" spans="1:17" x14ac:dyDescent="0.35">
      <c r="A441" s="23">
        <f>Dataset1_Raw!A441</f>
        <v>440</v>
      </c>
      <c r="B441" s="24">
        <f>Dataset1_Raw!B441</f>
        <v>40563</v>
      </c>
      <c r="C441" s="23">
        <f>Dataset1_Raw!C441</f>
        <v>1</v>
      </c>
      <c r="D441" s="23">
        <f>Dataset1_Raw!D441</f>
        <v>0</v>
      </c>
      <c r="E441" s="23">
        <f>Dataset1_Raw!E441</f>
        <v>1</v>
      </c>
      <c r="F441" s="23">
        <f>Dataset1_Raw!F441</f>
        <v>8</v>
      </c>
      <c r="G441" s="23" t="b">
        <f>Dataset1_Raw!G441</f>
        <v>0</v>
      </c>
      <c r="H441" s="23">
        <f>Dataset1_Raw!H441</f>
        <v>4</v>
      </c>
      <c r="I441" s="23">
        <f>Dataset1_Raw!I441</f>
        <v>1</v>
      </c>
      <c r="J441" s="25">
        <f>Dataset1_Raw!J441</f>
        <v>0.22</v>
      </c>
      <c r="K441" s="25">
        <f>IF(ISNUMBER(INDEX(Dataset2_Raw!$B$2:$B$611,$Q441)),INDEX(Dataset2_Raw!$B$2:$B$611,$Q441),"")</f>
        <v>0.21210000000000001</v>
      </c>
      <c r="L441" s="25">
        <f>IF(ISNUMBER(INDEX(Dataset2_Raw!$C$2:$C$611,$Q441)),INDEX(Dataset2_Raw!$C$2:$C$611,$Q441),"")</f>
        <v>0.55000000000000004</v>
      </c>
      <c r="M441" s="25">
        <f>IF(ISNUMBER(INDEX(Dataset2_Raw!$D$2:$D$611,$Q441)),INDEX(Dataset2_Raw!$D$2:$D$611,$Q441),"")</f>
        <v>0.28360000000000002</v>
      </c>
      <c r="N441" s="23">
        <f>IF(ISNUMBER(INDEX(Dataset2_Raw!$E$2:$E$611,$Q441)),INDEX(Dataset2_Raw!$E$2:$E$611,$Q441),"")</f>
        <v>2</v>
      </c>
      <c r="O441" s="23">
        <f>IF(ISNUMBER(INDEX(Dataset2_Raw!$F$2:$F$611,$Q441)),INDEX(Dataset2_Raw!$F$2:$F$611,$Q441),"")</f>
        <v>247</v>
      </c>
      <c r="P441" s="23">
        <f>IF(ISNUMBER(INDEX(Dataset2_Raw!$G$2:$G$611,$Q441)),INDEX(Dataset2_Raw!$G$2:$G$611,$Q441),"")</f>
        <v>249</v>
      </c>
      <c r="Q441" s="23">
        <f>IFERROR(MATCH($A441,Dataset2_Raw!$A$2:$A$611,0),0)</f>
        <v>440</v>
      </c>
    </row>
    <row r="442" spans="1:17" x14ac:dyDescent="0.35">
      <c r="A442" s="23">
        <f>Dataset1_Raw!A442</f>
        <v>441</v>
      </c>
      <c r="B442" s="24">
        <f>Dataset1_Raw!B442</f>
        <v>40563</v>
      </c>
      <c r="C442" s="23">
        <f>Dataset1_Raw!C442</f>
        <v>1</v>
      </c>
      <c r="D442" s="23">
        <f>Dataset1_Raw!D442</f>
        <v>0</v>
      </c>
      <c r="E442" s="23">
        <f>Dataset1_Raw!E442</f>
        <v>1</v>
      </c>
      <c r="F442" s="23">
        <f>Dataset1_Raw!F442</f>
        <v>9</v>
      </c>
      <c r="G442" s="23" t="b">
        <f>Dataset1_Raw!G442</f>
        <v>0</v>
      </c>
      <c r="H442" s="23">
        <f>Dataset1_Raw!H442</f>
        <v>4</v>
      </c>
      <c r="I442" s="23">
        <f>Dataset1_Raw!I442</f>
        <v>2</v>
      </c>
      <c r="J442" s="25">
        <f>Dataset1_Raw!J442</f>
        <v>0.24</v>
      </c>
      <c r="K442" s="25">
        <f>IF(ISNUMBER(INDEX(Dataset2_Raw!$B$2:$B$611,$Q442)),INDEX(Dataset2_Raw!$B$2:$B$611,$Q442),"")</f>
        <v>0.2273</v>
      </c>
      <c r="L442" s="25">
        <f>IF(ISNUMBER(INDEX(Dataset2_Raw!$C$2:$C$611,$Q442)),INDEX(Dataset2_Raw!$C$2:$C$611,$Q442),"")</f>
        <v>0.52</v>
      </c>
      <c r="M442" s="25">
        <f>IF(ISNUMBER(INDEX(Dataset2_Raw!$D$2:$D$611,$Q442)),INDEX(Dataset2_Raw!$D$2:$D$611,$Q442),"")</f>
        <v>0.22389999999999999</v>
      </c>
      <c r="N442" s="23">
        <f>IF(ISNUMBER(INDEX(Dataset2_Raw!$E$2:$E$611,$Q442)),INDEX(Dataset2_Raw!$E$2:$E$611,$Q442),"")</f>
        <v>3</v>
      </c>
      <c r="O442" s="23">
        <f>IF(ISNUMBER(INDEX(Dataset2_Raw!$F$2:$F$611,$Q442)),INDEX(Dataset2_Raw!$F$2:$F$611,$Q442),"")</f>
        <v>140</v>
      </c>
      <c r="P442" s="23">
        <f>IF(ISNUMBER(INDEX(Dataset2_Raw!$G$2:$G$611,$Q442)),INDEX(Dataset2_Raw!$G$2:$G$611,$Q442),"")</f>
        <v>143</v>
      </c>
      <c r="Q442" s="23">
        <f>IFERROR(MATCH($A442,Dataset2_Raw!$A$2:$A$611,0),0)</f>
        <v>441</v>
      </c>
    </row>
    <row r="443" spans="1:17" x14ac:dyDescent="0.35">
      <c r="A443" s="23">
        <f>Dataset1_Raw!A443</f>
        <v>442</v>
      </c>
      <c r="B443" s="24">
        <f>Dataset1_Raw!B443</f>
        <v>40563</v>
      </c>
      <c r="C443" s="23">
        <f>Dataset1_Raw!C443</f>
        <v>1</v>
      </c>
      <c r="D443" s="23">
        <f>Dataset1_Raw!D443</f>
        <v>0</v>
      </c>
      <c r="E443" s="23">
        <f>Dataset1_Raw!E443</f>
        <v>1</v>
      </c>
      <c r="F443" s="23">
        <f>Dataset1_Raw!F443</f>
        <v>10</v>
      </c>
      <c r="G443" s="23" t="b">
        <f>Dataset1_Raw!G443</f>
        <v>0</v>
      </c>
      <c r="H443" s="23">
        <f>Dataset1_Raw!H443</f>
        <v>4</v>
      </c>
      <c r="I443" s="23">
        <f>Dataset1_Raw!I443</f>
        <v>1</v>
      </c>
      <c r="J443" s="25">
        <f>Dataset1_Raw!J443</f>
        <v>0.26</v>
      </c>
      <c r="K443" s="25">
        <f>IF(ISNUMBER(INDEX(Dataset2_Raw!$B$2:$B$611,$Q443)),INDEX(Dataset2_Raw!$B$2:$B$611,$Q443),"")</f>
        <v>0.2273</v>
      </c>
      <c r="L443" s="25">
        <f>IF(ISNUMBER(INDEX(Dataset2_Raw!$C$2:$C$611,$Q443)),INDEX(Dataset2_Raw!$C$2:$C$611,$Q443),"")</f>
        <v>0.48</v>
      </c>
      <c r="M443" s="25">
        <f>IF(ISNUMBER(INDEX(Dataset2_Raw!$D$2:$D$611,$Q443)),INDEX(Dataset2_Raw!$D$2:$D$611,$Q443),"")</f>
        <v>0.29849999999999999</v>
      </c>
      <c r="N443" s="23">
        <f>IF(ISNUMBER(INDEX(Dataset2_Raw!$E$2:$E$611,$Q443)),INDEX(Dataset2_Raw!$E$2:$E$611,$Q443),"")</f>
        <v>1</v>
      </c>
      <c r="O443" s="23">
        <f>IF(ISNUMBER(INDEX(Dataset2_Raw!$F$2:$F$611,$Q443)),INDEX(Dataset2_Raw!$F$2:$F$611,$Q443),"")</f>
        <v>56</v>
      </c>
      <c r="P443" s="23">
        <f>IF(ISNUMBER(INDEX(Dataset2_Raw!$G$2:$G$611,$Q443)),INDEX(Dataset2_Raw!$G$2:$G$611,$Q443),"")</f>
        <v>57</v>
      </c>
      <c r="Q443" s="23">
        <f>IFERROR(MATCH($A443,Dataset2_Raw!$A$2:$A$611,0),0)</f>
        <v>442</v>
      </c>
    </row>
    <row r="444" spans="1:17" x14ac:dyDescent="0.35">
      <c r="A444" s="23">
        <f>Dataset1_Raw!A444</f>
        <v>443</v>
      </c>
      <c r="B444" s="24">
        <f>Dataset1_Raw!B444</f>
        <v>40563</v>
      </c>
      <c r="C444" s="23">
        <f>Dataset1_Raw!C444</f>
        <v>1</v>
      </c>
      <c r="D444" s="23">
        <f>Dataset1_Raw!D444</f>
        <v>0</v>
      </c>
      <c r="E444" s="23">
        <f>Dataset1_Raw!E444</f>
        <v>1</v>
      </c>
      <c r="F444" s="23">
        <f>Dataset1_Raw!F444</f>
        <v>11</v>
      </c>
      <c r="G444" s="23" t="b">
        <f>Dataset1_Raw!G444</f>
        <v>0</v>
      </c>
      <c r="H444" s="23">
        <f>Dataset1_Raw!H444</f>
        <v>4</v>
      </c>
      <c r="I444" s="23">
        <f>Dataset1_Raw!I444</f>
        <v>2</v>
      </c>
      <c r="J444" s="25">
        <f>Dataset1_Raw!J444</f>
        <v>0.28000000000000003</v>
      </c>
      <c r="K444" s="25">
        <f>IF(ISNUMBER(INDEX(Dataset2_Raw!$B$2:$B$611,$Q444)),INDEX(Dataset2_Raw!$B$2:$B$611,$Q444),"")</f>
        <v>0.2727</v>
      </c>
      <c r="L444" s="25">
        <f>IF(ISNUMBER(INDEX(Dataset2_Raw!$C$2:$C$611,$Q444)),INDEX(Dataset2_Raw!$C$2:$C$611,$Q444),"")</f>
        <v>0.45</v>
      </c>
      <c r="M444" s="25">
        <f>IF(ISNUMBER(INDEX(Dataset2_Raw!$D$2:$D$611,$Q444)),INDEX(Dataset2_Raw!$D$2:$D$611,$Q444),"")</f>
        <v>0.16420000000000001</v>
      </c>
      <c r="N444" s="23">
        <f>IF(ISNUMBER(INDEX(Dataset2_Raw!$E$2:$E$611,$Q444)),INDEX(Dataset2_Raw!$E$2:$E$611,$Q444),"")</f>
        <v>5</v>
      </c>
      <c r="O444" s="23">
        <f>IF(ISNUMBER(INDEX(Dataset2_Raw!$F$2:$F$611,$Q444)),INDEX(Dataset2_Raw!$F$2:$F$611,$Q444),"")</f>
        <v>63</v>
      </c>
      <c r="P444" s="23">
        <f>IF(ISNUMBER(INDEX(Dataset2_Raw!$G$2:$G$611,$Q444)),INDEX(Dataset2_Raw!$G$2:$G$611,$Q444),"")</f>
        <v>68</v>
      </c>
      <c r="Q444" s="23">
        <f>IFERROR(MATCH($A444,Dataset2_Raw!$A$2:$A$611,0),0)</f>
        <v>443</v>
      </c>
    </row>
    <row r="445" spans="1:17" x14ac:dyDescent="0.35">
      <c r="A445" s="23">
        <f>Dataset1_Raw!A445</f>
        <v>444</v>
      </c>
      <c r="B445" s="24">
        <f>Dataset1_Raw!B445</f>
        <v>40563</v>
      </c>
      <c r="C445" s="23">
        <f>Dataset1_Raw!C445</f>
        <v>1</v>
      </c>
      <c r="D445" s="23">
        <f>Dataset1_Raw!D445</f>
        <v>0</v>
      </c>
      <c r="E445" s="23">
        <f>Dataset1_Raw!E445</f>
        <v>1</v>
      </c>
      <c r="F445" s="23">
        <f>Dataset1_Raw!F445</f>
        <v>12</v>
      </c>
      <c r="G445" s="23" t="b">
        <f>Dataset1_Raw!G445</f>
        <v>0</v>
      </c>
      <c r="H445" s="23">
        <f>Dataset1_Raw!H445</f>
        <v>4</v>
      </c>
      <c r="I445" s="23">
        <f>Dataset1_Raw!I445</f>
        <v>2</v>
      </c>
      <c r="J445" s="25">
        <f>Dataset1_Raw!J445</f>
        <v>0.3</v>
      </c>
      <c r="K445" s="25">
        <f>IF(ISNUMBER(INDEX(Dataset2_Raw!$B$2:$B$611,$Q445)),INDEX(Dataset2_Raw!$B$2:$B$611,$Q445),"")</f>
        <v>0.33329999999999999</v>
      </c>
      <c r="L445" s="25">
        <f>IF(ISNUMBER(INDEX(Dataset2_Raw!$C$2:$C$611,$Q445)),INDEX(Dataset2_Raw!$C$2:$C$611,$Q445),"")</f>
        <v>0.42</v>
      </c>
      <c r="M445" s="25">
        <f>IF(ISNUMBER(INDEX(Dataset2_Raw!$D$2:$D$611,$Q445)),INDEX(Dataset2_Raw!$D$2:$D$611,$Q445),"")</f>
        <v>0</v>
      </c>
      <c r="N445" s="23">
        <f>IF(ISNUMBER(INDEX(Dataset2_Raw!$E$2:$E$611,$Q445)),INDEX(Dataset2_Raw!$E$2:$E$611,$Q445),"")</f>
        <v>7</v>
      </c>
      <c r="O445" s="23">
        <f>IF(ISNUMBER(INDEX(Dataset2_Raw!$F$2:$F$611,$Q445)),INDEX(Dataset2_Raw!$F$2:$F$611,$Q445),"")</f>
        <v>77</v>
      </c>
      <c r="P445" s="23">
        <f>IF(ISNUMBER(INDEX(Dataset2_Raw!$G$2:$G$611,$Q445)),INDEX(Dataset2_Raw!$G$2:$G$611,$Q445),"")</f>
        <v>84</v>
      </c>
      <c r="Q445" s="23">
        <f>IFERROR(MATCH($A445,Dataset2_Raw!$A$2:$A$611,0),0)</f>
        <v>444</v>
      </c>
    </row>
    <row r="446" spans="1:17" x14ac:dyDescent="0.35">
      <c r="A446" s="23">
        <f>Dataset1_Raw!A446</f>
        <v>445</v>
      </c>
      <c r="B446" s="24">
        <f>Dataset1_Raw!B446</f>
        <v>40563</v>
      </c>
      <c r="C446" s="23">
        <f>Dataset1_Raw!C446</f>
        <v>1</v>
      </c>
      <c r="D446" s="23">
        <f>Dataset1_Raw!D446</f>
        <v>0</v>
      </c>
      <c r="E446" s="23">
        <f>Dataset1_Raw!E446</f>
        <v>1</v>
      </c>
      <c r="F446" s="23">
        <f>Dataset1_Raw!F446</f>
        <v>13</v>
      </c>
      <c r="G446" s="23" t="b">
        <f>Dataset1_Raw!G446</f>
        <v>0</v>
      </c>
      <c r="H446" s="23">
        <f>Dataset1_Raw!H446</f>
        <v>4</v>
      </c>
      <c r="I446" s="23">
        <f>Dataset1_Raw!I446</f>
        <v>2</v>
      </c>
      <c r="J446" s="25">
        <f>Dataset1_Raw!J446</f>
        <v>0.28000000000000003</v>
      </c>
      <c r="K446" s="25">
        <f>IF(ISNUMBER(INDEX(Dataset2_Raw!$B$2:$B$611,$Q446)),INDEX(Dataset2_Raw!$B$2:$B$611,$Q446),"")</f>
        <v>0.28789999999999999</v>
      </c>
      <c r="L446" s="25">
        <f>IF(ISNUMBER(INDEX(Dataset2_Raw!$C$2:$C$611,$Q446)),INDEX(Dataset2_Raw!$C$2:$C$611,$Q446),"")</f>
        <v>0.45</v>
      </c>
      <c r="M446" s="25">
        <f>IF(ISNUMBER(INDEX(Dataset2_Raw!$D$2:$D$611,$Q446)),INDEX(Dataset2_Raw!$D$2:$D$611,$Q446),"")</f>
        <v>0.1045</v>
      </c>
      <c r="N446" s="23">
        <f>IF(ISNUMBER(INDEX(Dataset2_Raw!$E$2:$E$611,$Q446)),INDEX(Dataset2_Raw!$E$2:$E$611,$Q446),"")</f>
        <v>12</v>
      </c>
      <c r="O446" s="23">
        <f>IF(ISNUMBER(INDEX(Dataset2_Raw!$F$2:$F$611,$Q446)),INDEX(Dataset2_Raw!$F$2:$F$611,$Q446),"")</f>
        <v>86</v>
      </c>
      <c r="P446" s="23">
        <f>IF(ISNUMBER(INDEX(Dataset2_Raw!$G$2:$G$611,$Q446)),INDEX(Dataset2_Raw!$G$2:$G$611,$Q446),"")</f>
        <v>98</v>
      </c>
      <c r="Q446" s="23">
        <f>IFERROR(MATCH($A446,Dataset2_Raw!$A$2:$A$611,0),0)</f>
        <v>445</v>
      </c>
    </row>
    <row r="447" spans="1:17" x14ac:dyDescent="0.35">
      <c r="A447" s="23">
        <f>Dataset1_Raw!A447</f>
        <v>446</v>
      </c>
      <c r="B447" s="24">
        <f>Dataset1_Raw!B447</f>
        <v>40563</v>
      </c>
      <c r="C447" s="23">
        <f>Dataset1_Raw!C447</f>
        <v>1</v>
      </c>
      <c r="D447" s="23">
        <f>Dataset1_Raw!D447</f>
        <v>0</v>
      </c>
      <c r="E447" s="23">
        <f>Dataset1_Raw!E447</f>
        <v>1</v>
      </c>
      <c r="F447" s="23">
        <f>Dataset1_Raw!F447</f>
        <v>14</v>
      </c>
      <c r="G447" s="23" t="b">
        <f>Dataset1_Raw!G447</f>
        <v>0</v>
      </c>
      <c r="H447" s="23">
        <f>Dataset1_Raw!H447</f>
        <v>4</v>
      </c>
      <c r="I447" s="23">
        <f>Dataset1_Raw!I447</f>
        <v>2</v>
      </c>
      <c r="J447" s="25">
        <f>Dataset1_Raw!J447</f>
        <v>0.3</v>
      </c>
      <c r="K447" s="25">
        <f>IF(ISNUMBER(INDEX(Dataset2_Raw!$B$2:$B$611,$Q447)),INDEX(Dataset2_Raw!$B$2:$B$611,$Q447),"")</f>
        <v>0.30299999999999999</v>
      </c>
      <c r="L447" s="25">
        <f>IF(ISNUMBER(INDEX(Dataset2_Raw!$C$2:$C$611,$Q447)),INDEX(Dataset2_Raw!$C$2:$C$611,$Q447),"")</f>
        <v>0.45</v>
      </c>
      <c r="M447" s="25">
        <f>IF(ISNUMBER(INDEX(Dataset2_Raw!$D$2:$D$611,$Q447)),INDEX(Dataset2_Raw!$D$2:$D$611,$Q447),"")</f>
        <v>0.1343</v>
      </c>
      <c r="N447" s="23">
        <f>IF(ISNUMBER(INDEX(Dataset2_Raw!$E$2:$E$611,$Q447)),INDEX(Dataset2_Raw!$E$2:$E$611,$Q447),"")</f>
        <v>6</v>
      </c>
      <c r="O447" s="23">
        <f>IF(ISNUMBER(INDEX(Dataset2_Raw!$F$2:$F$611,$Q447)),INDEX(Dataset2_Raw!$F$2:$F$611,$Q447),"")</f>
        <v>75</v>
      </c>
      <c r="P447" s="23">
        <f>IF(ISNUMBER(INDEX(Dataset2_Raw!$G$2:$G$611,$Q447)),INDEX(Dataset2_Raw!$G$2:$G$611,$Q447),"")</f>
        <v>81</v>
      </c>
      <c r="Q447" s="23">
        <f>IFERROR(MATCH($A447,Dataset2_Raw!$A$2:$A$611,0),0)</f>
        <v>446</v>
      </c>
    </row>
    <row r="448" spans="1:17" x14ac:dyDescent="0.35">
      <c r="A448" s="23">
        <f>Dataset1_Raw!A448</f>
        <v>447</v>
      </c>
      <c r="B448" s="24">
        <f>Dataset1_Raw!B448</f>
        <v>40563</v>
      </c>
      <c r="C448" s="23">
        <f>Dataset1_Raw!C448</f>
        <v>1</v>
      </c>
      <c r="D448" s="23">
        <f>Dataset1_Raw!D448</f>
        <v>0</v>
      </c>
      <c r="E448" s="23">
        <f>Dataset1_Raw!E448</f>
        <v>1</v>
      </c>
      <c r="F448" s="23">
        <f>Dataset1_Raw!F448</f>
        <v>15</v>
      </c>
      <c r="G448" s="23" t="b">
        <f>Dataset1_Raw!G448</f>
        <v>0</v>
      </c>
      <c r="H448" s="23">
        <f>Dataset1_Raw!H448</f>
        <v>4</v>
      </c>
      <c r="I448" s="23">
        <f>Dataset1_Raw!I448</f>
        <v>2</v>
      </c>
      <c r="J448" s="25">
        <f>Dataset1_Raw!J448</f>
        <v>0.32</v>
      </c>
      <c r="K448" s="25">
        <f>IF(ISNUMBER(INDEX(Dataset2_Raw!$B$2:$B$611,$Q448)),INDEX(Dataset2_Raw!$B$2:$B$611,$Q448),"")</f>
        <v>0.31819999999999998</v>
      </c>
      <c r="L448" s="25">
        <f>IF(ISNUMBER(INDEX(Dataset2_Raw!$C$2:$C$611,$Q448)),INDEX(Dataset2_Raw!$C$2:$C$611,$Q448),"")</f>
        <v>0.45</v>
      </c>
      <c r="M448" s="25">
        <f>IF(ISNUMBER(INDEX(Dataset2_Raw!$D$2:$D$611,$Q448)),INDEX(Dataset2_Raw!$D$2:$D$611,$Q448),"")</f>
        <v>0.19400000000000001</v>
      </c>
      <c r="N448" s="23">
        <f>IF(ISNUMBER(INDEX(Dataset2_Raw!$E$2:$E$611,$Q448)),INDEX(Dataset2_Raw!$E$2:$E$611,$Q448),"")</f>
        <v>8</v>
      </c>
      <c r="O448" s="23">
        <f>IF(ISNUMBER(INDEX(Dataset2_Raw!$F$2:$F$611,$Q448)),INDEX(Dataset2_Raw!$F$2:$F$611,$Q448),"")</f>
        <v>62</v>
      </c>
      <c r="P448" s="23">
        <f>IF(ISNUMBER(INDEX(Dataset2_Raw!$G$2:$G$611,$Q448)),INDEX(Dataset2_Raw!$G$2:$G$611,$Q448),"")</f>
        <v>70</v>
      </c>
      <c r="Q448" s="23">
        <f>IFERROR(MATCH($A448,Dataset2_Raw!$A$2:$A$611,0),0)</f>
        <v>447</v>
      </c>
    </row>
    <row r="449" spans="1:17" x14ac:dyDescent="0.35">
      <c r="A449" s="23">
        <f>Dataset1_Raw!A449</f>
        <v>448</v>
      </c>
      <c r="B449" s="24">
        <f>Dataset1_Raw!B449</f>
        <v>40563</v>
      </c>
      <c r="C449" s="23">
        <f>Dataset1_Raw!C449</f>
        <v>1</v>
      </c>
      <c r="D449" s="23">
        <f>Dataset1_Raw!D449</f>
        <v>0</v>
      </c>
      <c r="E449" s="23">
        <f>Dataset1_Raw!E449</f>
        <v>1</v>
      </c>
      <c r="F449" s="23">
        <f>Dataset1_Raw!F449</f>
        <v>16</v>
      </c>
      <c r="G449" s="23" t="b">
        <f>Dataset1_Raw!G449</f>
        <v>0</v>
      </c>
      <c r="H449" s="23">
        <f>Dataset1_Raw!H449</f>
        <v>4</v>
      </c>
      <c r="I449" s="23">
        <f>Dataset1_Raw!I449</f>
        <v>2</v>
      </c>
      <c r="J449" s="25">
        <f>Dataset1_Raw!J449</f>
        <v>0.3</v>
      </c>
      <c r="K449" s="25">
        <f>IF(ISNUMBER(INDEX(Dataset2_Raw!$B$2:$B$611,$Q449)),INDEX(Dataset2_Raw!$B$2:$B$611,$Q449),"")</f>
        <v>0.30299999999999999</v>
      </c>
      <c r="L449" s="25">
        <f>IF(ISNUMBER(INDEX(Dataset2_Raw!$C$2:$C$611,$Q449)),INDEX(Dataset2_Raw!$C$2:$C$611,$Q449),"")</f>
        <v>0.49</v>
      </c>
      <c r="M449" s="25">
        <f>IF(ISNUMBER(INDEX(Dataset2_Raw!$D$2:$D$611,$Q449)),INDEX(Dataset2_Raw!$D$2:$D$611,$Q449),"")</f>
        <v>0.1343</v>
      </c>
      <c r="N449" s="23">
        <f>IF(ISNUMBER(INDEX(Dataset2_Raw!$E$2:$E$611,$Q449)),INDEX(Dataset2_Raw!$E$2:$E$611,$Q449),"")</f>
        <v>8</v>
      </c>
      <c r="O449" s="23">
        <f>IF(ISNUMBER(INDEX(Dataset2_Raw!$F$2:$F$611,$Q449)),INDEX(Dataset2_Raw!$F$2:$F$611,$Q449),"")</f>
        <v>83</v>
      </c>
      <c r="P449" s="23">
        <f>IF(ISNUMBER(INDEX(Dataset2_Raw!$G$2:$G$611,$Q449)),INDEX(Dataset2_Raw!$G$2:$G$611,$Q449),"")</f>
        <v>91</v>
      </c>
      <c r="Q449" s="23">
        <f>IFERROR(MATCH($A449,Dataset2_Raw!$A$2:$A$611,0),0)</f>
        <v>448</v>
      </c>
    </row>
    <row r="450" spans="1:17" x14ac:dyDescent="0.35">
      <c r="A450" s="23">
        <f>Dataset1_Raw!A450</f>
        <v>449</v>
      </c>
      <c r="B450" s="24">
        <f>Dataset1_Raw!B450</f>
        <v>40563</v>
      </c>
      <c r="C450" s="23">
        <f>Dataset1_Raw!C450</f>
        <v>1</v>
      </c>
      <c r="D450" s="23">
        <f>Dataset1_Raw!D450</f>
        <v>0</v>
      </c>
      <c r="E450" s="23">
        <f>Dataset1_Raw!E450</f>
        <v>1</v>
      </c>
      <c r="F450" s="23">
        <f>Dataset1_Raw!F450</f>
        <v>17</v>
      </c>
      <c r="G450" s="23" t="b">
        <f>Dataset1_Raw!G450</f>
        <v>0</v>
      </c>
      <c r="H450" s="23">
        <f>Dataset1_Raw!H450</f>
        <v>4</v>
      </c>
      <c r="I450" s="23">
        <f>Dataset1_Raw!I450</f>
        <v>2</v>
      </c>
      <c r="J450" s="25">
        <f>Dataset1_Raw!J450</f>
        <v>0.3</v>
      </c>
      <c r="K450" s="25">
        <f>IF(ISNUMBER(INDEX(Dataset2_Raw!$B$2:$B$611,$Q450)),INDEX(Dataset2_Raw!$B$2:$B$611,$Q450),"")</f>
        <v>0.31819999999999998</v>
      </c>
      <c r="L450" s="25">
        <f>IF(ISNUMBER(INDEX(Dataset2_Raw!$C$2:$C$611,$Q450)),INDEX(Dataset2_Raw!$C$2:$C$611,$Q450),"")</f>
        <v>0.49</v>
      </c>
      <c r="M450" s="25">
        <f>IF(ISNUMBER(INDEX(Dataset2_Raw!$D$2:$D$611,$Q450)),INDEX(Dataset2_Raw!$D$2:$D$611,$Q450),"")</f>
        <v>0.1045</v>
      </c>
      <c r="N450" s="23">
        <f>IF(ISNUMBER(INDEX(Dataset2_Raw!$E$2:$E$611,$Q450)),INDEX(Dataset2_Raw!$E$2:$E$611,$Q450),"")</f>
        <v>8</v>
      </c>
      <c r="O450" s="23">
        <f>IF(ISNUMBER(INDEX(Dataset2_Raw!$F$2:$F$611,$Q450)),INDEX(Dataset2_Raw!$F$2:$F$611,$Q450),"")</f>
        <v>207</v>
      </c>
      <c r="P450" s="23">
        <f>IF(ISNUMBER(INDEX(Dataset2_Raw!$G$2:$G$611,$Q450)),INDEX(Dataset2_Raw!$G$2:$G$611,$Q450),"")</f>
        <v>215</v>
      </c>
      <c r="Q450" s="23">
        <f>IFERROR(MATCH($A450,Dataset2_Raw!$A$2:$A$611,0),0)</f>
        <v>449</v>
      </c>
    </row>
    <row r="451" spans="1:17" x14ac:dyDescent="0.35">
      <c r="A451" s="23">
        <f>Dataset1_Raw!A451</f>
        <v>450</v>
      </c>
      <c r="B451" s="24">
        <f>Dataset1_Raw!B451</f>
        <v>40563</v>
      </c>
      <c r="C451" s="23">
        <f>Dataset1_Raw!C451</f>
        <v>1</v>
      </c>
      <c r="D451" s="23">
        <f>Dataset1_Raw!D451</f>
        <v>0</v>
      </c>
      <c r="E451" s="23">
        <f>Dataset1_Raw!E451</f>
        <v>1</v>
      </c>
      <c r="F451" s="23">
        <f>Dataset1_Raw!F451</f>
        <v>18</v>
      </c>
      <c r="G451" s="23" t="b">
        <f>Dataset1_Raw!G451</f>
        <v>0</v>
      </c>
      <c r="H451" s="23">
        <f>Dataset1_Raw!H451</f>
        <v>4</v>
      </c>
      <c r="I451" s="23">
        <f>Dataset1_Raw!I451</f>
        <v>2</v>
      </c>
      <c r="J451" s="25">
        <f>Dataset1_Raw!J451</f>
        <v>0.26</v>
      </c>
      <c r="K451" s="25">
        <f>IF(ISNUMBER(INDEX(Dataset2_Raw!$B$2:$B$611,$Q451)),INDEX(Dataset2_Raw!$B$2:$B$611,$Q451),"")</f>
        <v>0.2576</v>
      </c>
      <c r="L451" s="25">
        <f>IF(ISNUMBER(INDEX(Dataset2_Raw!$C$2:$C$611,$Q451)),INDEX(Dataset2_Raw!$C$2:$C$611,$Q451),"")</f>
        <v>0.56000000000000005</v>
      </c>
      <c r="M451" s="25">
        <f>IF(ISNUMBER(INDEX(Dataset2_Raw!$D$2:$D$611,$Q451)),INDEX(Dataset2_Raw!$D$2:$D$611,$Q451),"")</f>
        <v>0.19400000000000001</v>
      </c>
      <c r="N451" s="23">
        <f>IF(ISNUMBER(INDEX(Dataset2_Raw!$E$2:$E$611,$Q451)),INDEX(Dataset2_Raw!$E$2:$E$611,$Q451),"")</f>
        <v>1</v>
      </c>
      <c r="O451" s="23">
        <f>IF(ISNUMBER(INDEX(Dataset2_Raw!$F$2:$F$611,$Q451)),INDEX(Dataset2_Raw!$F$2:$F$611,$Q451),"")</f>
        <v>184</v>
      </c>
      <c r="P451" s="23">
        <f>IF(ISNUMBER(INDEX(Dataset2_Raw!$G$2:$G$611,$Q451)),INDEX(Dataset2_Raw!$G$2:$G$611,$Q451),"")</f>
        <v>185</v>
      </c>
      <c r="Q451" s="23">
        <f>IFERROR(MATCH($A451,Dataset2_Raw!$A$2:$A$611,0),0)</f>
        <v>450</v>
      </c>
    </row>
    <row r="452" spans="1:17" x14ac:dyDescent="0.35">
      <c r="A452" s="23">
        <f>Dataset1_Raw!A452</f>
        <v>451</v>
      </c>
      <c r="B452" s="24">
        <f>Dataset1_Raw!B452</f>
        <v>40563</v>
      </c>
      <c r="C452" s="23">
        <f>Dataset1_Raw!C452</f>
        <v>1</v>
      </c>
      <c r="D452" s="23">
        <f>Dataset1_Raw!D452</f>
        <v>0</v>
      </c>
      <c r="E452" s="23">
        <f>Dataset1_Raw!E452</f>
        <v>1</v>
      </c>
      <c r="F452" s="23">
        <f>Dataset1_Raw!F452</f>
        <v>19</v>
      </c>
      <c r="G452" s="23" t="b">
        <f>Dataset1_Raw!G452</f>
        <v>0</v>
      </c>
      <c r="H452" s="23">
        <f>Dataset1_Raw!H452</f>
        <v>4</v>
      </c>
      <c r="I452" s="23">
        <f>Dataset1_Raw!I452</f>
        <v>1</v>
      </c>
      <c r="J452" s="25">
        <f>Dataset1_Raw!J452</f>
        <v>0.26</v>
      </c>
      <c r="K452" s="25">
        <f>IF(ISNUMBER(INDEX(Dataset2_Raw!$B$2:$B$611,$Q452)),INDEX(Dataset2_Raw!$B$2:$B$611,$Q452),"")</f>
        <v>0.2273</v>
      </c>
      <c r="L452" s="25">
        <f>IF(ISNUMBER(INDEX(Dataset2_Raw!$C$2:$C$611,$Q452)),INDEX(Dataset2_Raw!$C$2:$C$611,$Q452),"")</f>
        <v>0.56000000000000005</v>
      </c>
      <c r="M452" s="25">
        <f>IF(ISNUMBER(INDEX(Dataset2_Raw!$D$2:$D$611,$Q452)),INDEX(Dataset2_Raw!$D$2:$D$611,$Q452),"")</f>
        <v>0.32840000000000003</v>
      </c>
      <c r="N452" s="23">
        <f>IF(ISNUMBER(INDEX(Dataset2_Raw!$E$2:$E$611,$Q452)),INDEX(Dataset2_Raw!$E$2:$E$611,$Q452),"")</f>
        <v>6</v>
      </c>
      <c r="O452" s="23">
        <f>IF(ISNUMBER(INDEX(Dataset2_Raw!$F$2:$F$611,$Q452)),INDEX(Dataset2_Raw!$F$2:$F$611,$Q452),"")</f>
        <v>146</v>
      </c>
      <c r="P452" s="23">
        <f>IF(ISNUMBER(INDEX(Dataset2_Raw!$G$2:$G$611,$Q452)),INDEX(Dataset2_Raw!$G$2:$G$611,$Q452),"")</f>
        <v>152</v>
      </c>
      <c r="Q452" s="23">
        <f>IFERROR(MATCH($A452,Dataset2_Raw!$A$2:$A$611,0),0)</f>
        <v>451</v>
      </c>
    </row>
    <row r="453" spans="1:17" x14ac:dyDescent="0.35">
      <c r="A453" s="23">
        <f>Dataset1_Raw!A453</f>
        <v>452</v>
      </c>
      <c r="B453" s="24">
        <f>Dataset1_Raw!B453</f>
        <v>40563</v>
      </c>
      <c r="C453" s="23">
        <f>Dataset1_Raw!C453</f>
        <v>1</v>
      </c>
      <c r="D453" s="23">
        <f>Dataset1_Raw!D453</f>
        <v>0</v>
      </c>
      <c r="E453" s="23">
        <f>Dataset1_Raw!E453</f>
        <v>1</v>
      </c>
      <c r="F453" s="23">
        <f>Dataset1_Raw!F453</f>
        <v>20</v>
      </c>
      <c r="G453" s="23" t="b">
        <f>Dataset1_Raw!G453</f>
        <v>0</v>
      </c>
      <c r="H453" s="23">
        <f>Dataset1_Raw!H453</f>
        <v>4</v>
      </c>
      <c r="I453" s="23">
        <f>Dataset1_Raw!I453</f>
        <v>2</v>
      </c>
      <c r="J453" s="25">
        <f>Dataset1_Raw!J453</f>
        <v>0.26</v>
      </c>
      <c r="K453" s="25">
        <f>IF(ISNUMBER(INDEX(Dataset2_Raw!$B$2:$B$611,$Q453)),INDEX(Dataset2_Raw!$B$2:$B$611,$Q453),"")</f>
        <v>0.2424</v>
      </c>
      <c r="L453" s="25">
        <f>IF(ISNUMBER(INDEX(Dataset2_Raw!$C$2:$C$611,$Q453)),INDEX(Dataset2_Raw!$C$2:$C$611,$Q453),"")</f>
        <v>0.6</v>
      </c>
      <c r="M453" s="25">
        <f>IF(ISNUMBER(INDEX(Dataset2_Raw!$D$2:$D$611,$Q453)),INDEX(Dataset2_Raw!$D$2:$D$611,$Q453),"")</f>
        <v>0.28360000000000002</v>
      </c>
      <c r="N453" s="23">
        <f>IF(ISNUMBER(INDEX(Dataset2_Raw!$E$2:$E$611,$Q453)),INDEX(Dataset2_Raw!$E$2:$E$611,$Q453),"")</f>
        <v>2</v>
      </c>
      <c r="O453" s="23">
        <f>IF(ISNUMBER(INDEX(Dataset2_Raw!$F$2:$F$611,$Q453)),INDEX(Dataset2_Raw!$F$2:$F$611,$Q453),"")</f>
        <v>124</v>
      </c>
      <c r="P453" s="23">
        <f>IF(ISNUMBER(INDEX(Dataset2_Raw!$G$2:$G$611,$Q453)),INDEX(Dataset2_Raw!$G$2:$G$611,$Q453),"")</f>
        <v>126</v>
      </c>
      <c r="Q453" s="23">
        <f>IFERROR(MATCH($A453,Dataset2_Raw!$A$2:$A$611,0),0)</f>
        <v>452</v>
      </c>
    </row>
    <row r="454" spans="1:17" x14ac:dyDescent="0.35">
      <c r="A454" s="23">
        <f>Dataset1_Raw!A454</f>
        <v>453</v>
      </c>
      <c r="B454" s="24">
        <f>Dataset1_Raw!B454</f>
        <v>40563</v>
      </c>
      <c r="C454" s="23">
        <f>Dataset1_Raw!C454</f>
        <v>1</v>
      </c>
      <c r="D454" s="23">
        <f>Dataset1_Raw!D454</f>
        <v>0</v>
      </c>
      <c r="E454" s="23">
        <f>Dataset1_Raw!E454</f>
        <v>1</v>
      </c>
      <c r="F454" s="23">
        <f>Dataset1_Raw!F454</f>
        <v>21</v>
      </c>
      <c r="G454" s="23" t="b">
        <f>Dataset1_Raw!G454</f>
        <v>0</v>
      </c>
      <c r="H454" s="23">
        <f>Dataset1_Raw!H454</f>
        <v>4</v>
      </c>
      <c r="I454" s="23">
        <f>Dataset1_Raw!I454</f>
        <v>2</v>
      </c>
      <c r="J454" s="25">
        <f>Dataset1_Raw!J454</f>
        <v>0.24</v>
      </c>
      <c r="K454" s="25">
        <f>IF(ISNUMBER(INDEX(Dataset2_Raw!$B$2:$B$611,$Q454)),INDEX(Dataset2_Raw!$B$2:$B$611,$Q454),"")</f>
        <v>0.2273</v>
      </c>
      <c r="L454" s="25">
        <f>IF(ISNUMBER(INDEX(Dataset2_Raw!$C$2:$C$611,$Q454)),INDEX(Dataset2_Raw!$C$2:$C$611,$Q454),"")</f>
        <v>0.6</v>
      </c>
      <c r="M454" s="25">
        <f>IF(ISNUMBER(INDEX(Dataset2_Raw!$D$2:$D$611,$Q454)),INDEX(Dataset2_Raw!$D$2:$D$611,$Q454),"")</f>
        <v>0.25369999999999998</v>
      </c>
      <c r="N454" s="23">
        <f>IF(ISNUMBER(INDEX(Dataset2_Raw!$E$2:$E$611,$Q454)),INDEX(Dataset2_Raw!$E$2:$E$611,$Q454),"")</f>
        <v>3</v>
      </c>
      <c r="O454" s="23">
        <f>IF(ISNUMBER(INDEX(Dataset2_Raw!$F$2:$F$611,$Q454)),INDEX(Dataset2_Raw!$F$2:$F$611,$Q454),"")</f>
        <v>54</v>
      </c>
      <c r="P454" s="23">
        <f>IF(ISNUMBER(INDEX(Dataset2_Raw!$G$2:$G$611,$Q454)),INDEX(Dataset2_Raw!$G$2:$G$611,$Q454),"")</f>
        <v>57</v>
      </c>
      <c r="Q454" s="23">
        <f>IFERROR(MATCH($A454,Dataset2_Raw!$A$2:$A$611,0),0)</f>
        <v>453</v>
      </c>
    </row>
    <row r="455" spans="1:17" x14ac:dyDescent="0.35">
      <c r="A455" s="23">
        <f>Dataset1_Raw!A455</f>
        <v>454</v>
      </c>
      <c r="B455" s="24">
        <f>Dataset1_Raw!B455</f>
        <v>40563</v>
      </c>
      <c r="C455" s="23">
        <f>Dataset1_Raw!C455</f>
        <v>1</v>
      </c>
      <c r="D455" s="23">
        <f>Dataset1_Raw!D455</f>
        <v>0</v>
      </c>
      <c r="E455" s="23">
        <f>Dataset1_Raw!E455</f>
        <v>1</v>
      </c>
      <c r="F455" s="23">
        <f>Dataset1_Raw!F455</f>
        <v>22</v>
      </c>
      <c r="G455" s="23" t="b">
        <f>Dataset1_Raw!G455</f>
        <v>0</v>
      </c>
      <c r="H455" s="23">
        <f>Dataset1_Raw!H455</f>
        <v>4</v>
      </c>
      <c r="I455" s="23">
        <f>Dataset1_Raw!I455</f>
        <v>2</v>
      </c>
      <c r="J455" s="25">
        <f>Dataset1_Raw!J455</f>
        <v>0.24</v>
      </c>
      <c r="K455" s="25">
        <f>IF(ISNUMBER(INDEX(Dataset2_Raw!$B$2:$B$611,$Q455)),INDEX(Dataset2_Raw!$B$2:$B$611,$Q455),"")</f>
        <v>0.21210000000000001</v>
      </c>
      <c r="L455" s="25">
        <f>IF(ISNUMBER(INDEX(Dataset2_Raw!$C$2:$C$611,$Q455)),INDEX(Dataset2_Raw!$C$2:$C$611,$Q455),"")</f>
        <v>0.65</v>
      </c>
      <c r="M455" s="25">
        <f>IF(ISNUMBER(INDEX(Dataset2_Raw!$D$2:$D$611,$Q455)),INDEX(Dataset2_Raw!$D$2:$D$611,$Q455),"")</f>
        <v>0.28360000000000002</v>
      </c>
      <c r="N455" s="23">
        <f>IF(ISNUMBER(INDEX(Dataset2_Raw!$E$2:$E$611,$Q455)),INDEX(Dataset2_Raw!$E$2:$E$611,$Q455),"")</f>
        <v>0</v>
      </c>
      <c r="O455" s="23">
        <f>IF(ISNUMBER(INDEX(Dataset2_Raw!$F$2:$F$611,$Q455)),INDEX(Dataset2_Raw!$F$2:$F$611,$Q455),"")</f>
        <v>56</v>
      </c>
      <c r="P455" s="23">
        <f>IF(ISNUMBER(INDEX(Dataset2_Raw!$G$2:$G$611,$Q455)),INDEX(Dataset2_Raw!$G$2:$G$611,$Q455),"")</f>
        <v>56</v>
      </c>
      <c r="Q455" s="23">
        <f>IFERROR(MATCH($A455,Dataset2_Raw!$A$2:$A$611,0),0)</f>
        <v>454</v>
      </c>
    </row>
    <row r="456" spans="1:17" x14ac:dyDescent="0.35">
      <c r="A456" s="23">
        <f>Dataset1_Raw!A456</f>
        <v>455</v>
      </c>
      <c r="B456" s="24">
        <f>Dataset1_Raw!B456</f>
        <v>40563</v>
      </c>
      <c r="C456" s="23">
        <f>Dataset1_Raw!C456</f>
        <v>1</v>
      </c>
      <c r="D456" s="23">
        <f>Dataset1_Raw!D456</f>
        <v>0</v>
      </c>
      <c r="E456" s="23">
        <f>Dataset1_Raw!E456</f>
        <v>1</v>
      </c>
      <c r="F456" s="23">
        <f>Dataset1_Raw!F456</f>
        <v>23</v>
      </c>
      <c r="G456" s="23" t="b">
        <f>Dataset1_Raw!G456</f>
        <v>0</v>
      </c>
      <c r="H456" s="23">
        <f>Dataset1_Raw!H456</f>
        <v>4</v>
      </c>
      <c r="I456" s="23">
        <f>Dataset1_Raw!I456</f>
        <v>2</v>
      </c>
      <c r="J456" s="25">
        <f>Dataset1_Raw!J456</f>
        <v>0.24</v>
      </c>
      <c r="K456" s="25">
        <f>IF(ISNUMBER(INDEX(Dataset2_Raw!$B$2:$B$611,$Q456)),INDEX(Dataset2_Raw!$B$2:$B$611,$Q456),"")</f>
        <v>0.21210000000000001</v>
      </c>
      <c r="L456" s="25">
        <f>IF(ISNUMBER(INDEX(Dataset2_Raw!$C$2:$C$611,$Q456)),INDEX(Dataset2_Raw!$C$2:$C$611,$Q456),"")</f>
        <v>0.65</v>
      </c>
      <c r="M456" s="25">
        <f>IF(ISNUMBER(INDEX(Dataset2_Raw!$D$2:$D$611,$Q456)),INDEX(Dataset2_Raw!$D$2:$D$611,$Q456),"")</f>
        <v>0.32840000000000003</v>
      </c>
      <c r="N456" s="23">
        <f>IF(ISNUMBER(INDEX(Dataset2_Raw!$E$2:$E$611,$Q456)),INDEX(Dataset2_Raw!$E$2:$E$611,$Q456),"")</f>
        <v>3</v>
      </c>
      <c r="O456" s="23">
        <f>IF(ISNUMBER(INDEX(Dataset2_Raw!$F$2:$F$611,$Q456)),INDEX(Dataset2_Raw!$F$2:$F$611,$Q456),"")</f>
        <v>28</v>
      </c>
      <c r="P456" s="23">
        <f>IF(ISNUMBER(INDEX(Dataset2_Raw!$G$2:$G$611,$Q456)),INDEX(Dataset2_Raw!$G$2:$G$611,$Q456),"")</f>
        <v>31</v>
      </c>
      <c r="Q456" s="23">
        <f>IFERROR(MATCH($A456,Dataset2_Raw!$A$2:$A$611,0),0)</f>
        <v>455</v>
      </c>
    </row>
    <row r="457" spans="1:17" x14ac:dyDescent="0.35">
      <c r="A457" s="23">
        <f>Dataset1_Raw!A457</f>
        <v>456</v>
      </c>
      <c r="B457" s="24">
        <f>Dataset1_Raw!B457</f>
        <v>40564</v>
      </c>
      <c r="C457" s="23">
        <f>Dataset1_Raw!C457</f>
        <v>1</v>
      </c>
      <c r="D457" s="23">
        <f>Dataset1_Raw!D457</f>
        <v>0</v>
      </c>
      <c r="E457" s="23">
        <f>Dataset1_Raw!E457</f>
        <v>1</v>
      </c>
      <c r="F457" s="23">
        <f>Dataset1_Raw!F457</f>
        <v>0</v>
      </c>
      <c r="G457" s="23" t="b">
        <f>Dataset1_Raw!G457</f>
        <v>0</v>
      </c>
      <c r="H457" s="23">
        <f>Dataset1_Raw!H457</f>
        <v>5</v>
      </c>
      <c r="I457" s="23">
        <f>Dataset1_Raw!I457</f>
        <v>2</v>
      </c>
      <c r="J457" s="25">
        <f>Dataset1_Raw!J457</f>
        <v>0.24</v>
      </c>
      <c r="K457" s="25">
        <f>IF(ISNUMBER(INDEX(Dataset2_Raw!$B$2:$B$611,$Q457)),INDEX(Dataset2_Raw!$B$2:$B$611,$Q457),"")</f>
        <v>0.2273</v>
      </c>
      <c r="L457" s="25">
        <f>IF(ISNUMBER(INDEX(Dataset2_Raw!$C$2:$C$611,$Q457)),INDEX(Dataset2_Raw!$C$2:$C$611,$Q457),"")</f>
        <v>0.7</v>
      </c>
      <c r="M457" s="25">
        <f>IF(ISNUMBER(INDEX(Dataset2_Raw!$D$2:$D$611,$Q457)),INDEX(Dataset2_Raw!$D$2:$D$611,$Q457),"")</f>
        <v>0.25369999999999998</v>
      </c>
      <c r="N457" s="23">
        <f>IF(ISNUMBER(INDEX(Dataset2_Raw!$E$2:$E$611,$Q457)),INDEX(Dataset2_Raw!$E$2:$E$611,$Q457),"")</f>
        <v>1</v>
      </c>
      <c r="O457" s="23">
        <f>IF(ISNUMBER(INDEX(Dataset2_Raw!$F$2:$F$611,$Q457)),INDEX(Dataset2_Raw!$F$2:$F$611,$Q457),"")</f>
        <v>20</v>
      </c>
      <c r="P457" s="23">
        <f>IF(ISNUMBER(INDEX(Dataset2_Raw!$G$2:$G$611,$Q457)),INDEX(Dataset2_Raw!$G$2:$G$611,$Q457),"")</f>
        <v>21</v>
      </c>
      <c r="Q457" s="23">
        <f>IFERROR(MATCH($A457,Dataset2_Raw!$A$2:$A$611,0),0)</f>
        <v>456</v>
      </c>
    </row>
    <row r="458" spans="1:17" x14ac:dyDescent="0.35">
      <c r="A458" s="23">
        <f>Dataset1_Raw!A458</f>
        <v>457</v>
      </c>
      <c r="B458" s="24">
        <f>Dataset1_Raw!B458</f>
        <v>40564</v>
      </c>
      <c r="C458" s="23">
        <f>Dataset1_Raw!C458</f>
        <v>1</v>
      </c>
      <c r="D458" s="23">
        <f>Dataset1_Raw!D458</f>
        <v>0</v>
      </c>
      <c r="E458" s="23">
        <f>Dataset1_Raw!E458</f>
        <v>1</v>
      </c>
      <c r="F458" s="23">
        <f>Dataset1_Raw!F458</f>
        <v>1</v>
      </c>
      <c r="G458" s="23" t="b">
        <f>Dataset1_Raw!G458</f>
        <v>0</v>
      </c>
      <c r="H458" s="23">
        <f>Dataset1_Raw!H458</f>
        <v>5</v>
      </c>
      <c r="I458" s="23">
        <f>Dataset1_Raw!I458</f>
        <v>2</v>
      </c>
      <c r="J458" s="25">
        <f>Dataset1_Raw!J458</f>
        <v>0.24</v>
      </c>
      <c r="K458" s="25">
        <f>IF(ISNUMBER(INDEX(Dataset2_Raw!$B$2:$B$611,$Q458)),INDEX(Dataset2_Raw!$B$2:$B$611,$Q458),"")</f>
        <v>0.2273</v>
      </c>
      <c r="L458" s="25">
        <f>IF(ISNUMBER(INDEX(Dataset2_Raw!$C$2:$C$611,$Q458)),INDEX(Dataset2_Raw!$C$2:$C$611,$Q458),"")</f>
        <v>0.7</v>
      </c>
      <c r="M458" s="25">
        <f>IF(ISNUMBER(INDEX(Dataset2_Raw!$D$2:$D$611,$Q458)),INDEX(Dataset2_Raw!$D$2:$D$611,$Q458),"")</f>
        <v>0.25369999999999998</v>
      </c>
      <c r="N458" s="23">
        <f>IF(ISNUMBER(INDEX(Dataset2_Raw!$E$2:$E$611,$Q458)),INDEX(Dataset2_Raw!$E$2:$E$611,$Q458),"")</f>
        <v>0</v>
      </c>
      <c r="O458" s="23">
        <f>IF(ISNUMBER(INDEX(Dataset2_Raw!$F$2:$F$611,$Q458)),INDEX(Dataset2_Raw!$F$2:$F$611,$Q458),"")</f>
        <v>6</v>
      </c>
      <c r="P458" s="23">
        <f>IF(ISNUMBER(INDEX(Dataset2_Raw!$G$2:$G$611,$Q458)),INDEX(Dataset2_Raw!$G$2:$G$611,$Q458),"")</f>
        <v>6</v>
      </c>
      <c r="Q458" s="23">
        <f>IFERROR(MATCH($A458,Dataset2_Raw!$A$2:$A$611,0),0)</f>
        <v>457</v>
      </c>
    </row>
    <row r="459" spans="1:17" x14ac:dyDescent="0.35">
      <c r="A459" s="23">
        <f>Dataset1_Raw!A459</f>
        <v>458</v>
      </c>
      <c r="B459" s="24">
        <f>Dataset1_Raw!B459</f>
        <v>40564</v>
      </c>
      <c r="C459" s="23">
        <f>Dataset1_Raw!C459</f>
        <v>1</v>
      </c>
      <c r="D459" s="23">
        <f>Dataset1_Raw!D459</f>
        <v>0</v>
      </c>
      <c r="E459" s="23">
        <f>Dataset1_Raw!E459</f>
        <v>1</v>
      </c>
      <c r="F459" s="23">
        <f>Dataset1_Raw!F459</f>
        <v>2</v>
      </c>
      <c r="G459" s="23" t="b">
        <f>Dataset1_Raw!G459</f>
        <v>0</v>
      </c>
      <c r="H459" s="23">
        <f>Dataset1_Raw!H459</f>
        <v>5</v>
      </c>
      <c r="I459" s="23">
        <f>Dataset1_Raw!I459</f>
        <v>3</v>
      </c>
      <c r="J459" s="25">
        <f>Dataset1_Raw!J459</f>
        <v>0.24</v>
      </c>
      <c r="K459" s="25">
        <f>IF(ISNUMBER(INDEX(Dataset2_Raw!$B$2:$B$611,$Q459)),INDEX(Dataset2_Raw!$B$2:$B$611,$Q459),"")</f>
        <v>0.2424</v>
      </c>
      <c r="L459" s="25">
        <f>IF(ISNUMBER(INDEX(Dataset2_Raw!$C$2:$C$611,$Q459)),INDEX(Dataset2_Raw!$C$2:$C$611,$Q459),"")</f>
        <v>0.75</v>
      </c>
      <c r="M459" s="25">
        <f>IF(ISNUMBER(INDEX(Dataset2_Raw!$D$2:$D$611,$Q459)),INDEX(Dataset2_Raw!$D$2:$D$611,$Q459),"")</f>
        <v>0.16420000000000001</v>
      </c>
      <c r="N459" s="23">
        <f>IF(ISNUMBER(INDEX(Dataset2_Raw!$E$2:$E$611,$Q459)),INDEX(Dataset2_Raw!$E$2:$E$611,$Q459),"")</f>
        <v>0</v>
      </c>
      <c r="O459" s="23">
        <f>IF(ISNUMBER(INDEX(Dataset2_Raw!$F$2:$F$611,$Q459)),INDEX(Dataset2_Raw!$F$2:$F$611,$Q459),"")</f>
        <v>2</v>
      </c>
      <c r="P459" s="23">
        <f>IF(ISNUMBER(INDEX(Dataset2_Raw!$G$2:$G$611,$Q459)),INDEX(Dataset2_Raw!$G$2:$G$611,$Q459),"")</f>
        <v>2</v>
      </c>
      <c r="Q459" s="23">
        <f>IFERROR(MATCH($A459,Dataset2_Raw!$A$2:$A$611,0),0)</f>
        <v>458</v>
      </c>
    </row>
    <row r="460" spans="1:17" x14ac:dyDescent="0.35">
      <c r="A460" s="23">
        <f>Dataset1_Raw!A460</f>
        <v>459</v>
      </c>
      <c r="B460" s="24">
        <f>Dataset1_Raw!B460</f>
        <v>40564</v>
      </c>
      <c r="C460" s="23">
        <f>Dataset1_Raw!C460</f>
        <v>1</v>
      </c>
      <c r="D460" s="23">
        <f>Dataset1_Raw!D460</f>
        <v>0</v>
      </c>
      <c r="E460" s="23">
        <f>Dataset1_Raw!E460</f>
        <v>1</v>
      </c>
      <c r="F460" s="23">
        <f>Dataset1_Raw!F460</f>
        <v>3</v>
      </c>
      <c r="G460" s="23" t="b">
        <f>Dataset1_Raw!G460</f>
        <v>0</v>
      </c>
      <c r="H460" s="23">
        <f>Dataset1_Raw!H460</f>
        <v>5</v>
      </c>
      <c r="I460" s="23">
        <f>Dataset1_Raw!I460</f>
        <v>3</v>
      </c>
      <c r="J460" s="25">
        <f>Dataset1_Raw!J460</f>
        <v>0.22</v>
      </c>
      <c r="K460" s="25">
        <f>IF(ISNUMBER(INDEX(Dataset2_Raw!$B$2:$B$611,$Q460)),INDEX(Dataset2_Raw!$B$2:$B$611,$Q460),"")</f>
        <v>0.21210000000000001</v>
      </c>
      <c r="L460" s="25">
        <f>IF(ISNUMBER(INDEX(Dataset2_Raw!$C$2:$C$611,$Q460)),INDEX(Dataset2_Raw!$C$2:$C$611,$Q460),"")</f>
        <v>0.8</v>
      </c>
      <c r="M460" s="25">
        <f>IF(ISNUMBER(INDEX(Dataset2_Raw!$D$2:$D$611,$Q460)),INDEX(Dataset2_Raw!$D$2:$D$611,$Q460),"")</f>
        <v>0.29849999999999999</v>
      </c>
      <c r="N460" s="23">
        <f>IF(ISNUMBER(INDEX(Dataset2_Raw!$E$2:$E$611,$Q460)),INDEX(Dataset2_Raw!$E$2:$E$611,$Q460),"")</f>
        <v>0</v>
      </c>
      <c r="O460" s="23">
        <f>IF(ISNUMBER(INDEX(Dataset2_Raw!$F$2:$F$611,$Q460)),INDEX(Dataset2_Raw!$F$2:$F$611,$Q460),"")</f>
        <v>1</v>
      </c>
      <c r="P460" s="23">
        <f>IF(ISNUMBER(INDEX(Dataset2_Raw!$G$2:$G$611,$Q460)),INDEX(Dataset2_Raw!$G$2:$G$611,$Q460),"")</f>
        <v>1</v>
      </c>
      <c r="Q460" s="23">
        <f>IFERROR(MATCH($A460,Dataset2_Raw!$A$2:$A$611,0),0)</f>
        <v>459</v>
      </c>
    </row>
    <row r="461" spans="1:17" x14ac:dyDescent="0.35">
      <c r="A461" s="23">
        <f>Dataset1_Raw!A461</f>
        <v>460</v>
      </c>
      <c r="B461" s="24">
        <f>Dataset1_Raw!B461</f>
        <v>40564</v>
      </c>
      <c r="C461" s="23">
        <f>Dataset1_Raw!C461</f>
        <v>1</v>
      </c>
      <c r="D461" s="23">
        <f>Dataset1_Raw!D461</f>
        <v>0</v>
      </c>
      <c r="E461" s="23">
        <f>Dataset1_Raw!E461</f>
        <v>1</v>
      </c>
      <c r="F461" s="23">
        <f>Dataset1_Raw!F461</f>
        <v>4</v>
      </c>
      <c r="G461" s="23" t="b">
        <f>Dataset1_Raw!G461</f>
        <v>0</v>
      </c>
      <c r="H461" s="23">
        <f>Dataset1_Raw!H461</f>
        <v>5</v>
      </c>
      <c r="I461" s="23">
        <f>Dataset1_Raw!I461</f>
        <v>2</v>
      </c>
      <c r="J461" s="25">
        <f>Dataset1_Raw!J461</f>
        <v>0.22</v>
      </c>
      <c r="K461" s="25">
        <f>IF(ISNUMBER(INDEX(Dataset2_Raw!$B$2:$B$611,$Q461)),INDEX(Dataset2_Raw!$B$2:$B$611,$Q461),"")</f>
        <v>0.2576</v>
      </c>
      <c r="L461" s="25">
        <f>IF(ISNUMBER(INDEX(Dataset2_Raw!$C$2:$C$611,$Q461)),INDEX(Dataset2_Raw!$C$2:$C$611,$Q461),"")</f>
        <v>0.87</v>
      </c>
      <c r="M461" s="25">
        <f>IF(ISNUMBER(INDEX(Dataset2_Raw!$D$2:$D$611,$Q461)),INDEX(Dataset2_Raw!$D$2:$D$611,$Q461),"")</f>
        <v>8.9599999999999999E-2</v>
      </c>
      <c r="N461" s="23">
        <f>IF(ISNUMBER(INDEX(Dataset2_Raw!$E$2:$E$611,$Q461)),INDEX(Dataset2_Raw!$E$2:$E$611,$Q461),"")</f>
        <v>0</v>
      </c>
      <c r="O461" s="23">
        <f>IF(ISNUMBER(INDEX(Dataset2_Raw!$F$2:$F$611,$Q461)),INDEX(Dataset2_Raw!$F$2:$F$611,$Q461),"")</f>
        <v>1</v>
      </c>
      <c r="P461" s="23">
        <f>IF(ISNUMBER(INDEX(Dataset2_Raw!$G$2:$G$611,$Q461)),INDEX(Dataset2_Raw!$G$2:$G$611,$Q461),"")</f>
        <v>1</v>
      </c>
      <c r="Q461" s="23">
        <f>IFERROR(MATCH($A461,Dataset2_Raw!$A$2:$A$611,0),0)</f>
        <v>460</v>
      </c>
    </row>
    <row r="462" spans="1:17" x14ac:dyDescent="0.35">
      <c r="A462" s="23">
        <f>Dataset1_Raw!A462</f>
        <v>461</v>
      </c>
      <c r="B462" s="24">
        <f>Dataset1_Raw!B462</f>
        <v>40564</v>
      </c>
      <c r="C462" s="23">
        <f>Dataset1_Raw!C462</f>
        <v>1</v>
      </c>
      <c r="D462" s="23">
        <f>Dataset1_Raw!D462</f>
        <v>0</v>
      </c>
      <c r="E462" s="23">
        <f>Dataset1_Raw!E462</f>
        <v>1</v>
      </c>
      <c r="F462" s="23">
        <f>Dataset1_Raw!F462</f>
        <v>5</v>
      </c>
      <c r="G462" s="23" t="b">
        <f>Dataset1_Raw!G462</f>
        <v>0</v>
      </c>
      <c r="H462" s="23">
        <f>Dataset1_Raw!H462</f>
        <v>5</v>
      </c>
      <c r="I462" s="23">
        <f>Dataset1_Raw!I462</f>
        <v>1</v>
      </c>
      <c r="J462" s="25">
        <f>Dataset1_Raw!J462</f>
        <v>0.24</v>
      </c>
      <c r="K462" s="25">
        <f>IF(ISNUMBER(INDEX(Dataset2_Raw!$B$2:$B$611,$Q462)),INDEX(Dataset2_Raw!$B$2:$B$611,$Q462),"")</f>
        <v>0.19700000000000001</v>
      </c>
      <c r="L462" s="25">
        <f>IF(ISNUMBER(INDEX(Dataset2_Raw!$C$2:$C$611,$Q462)),INDEX(Dataset2_Raw!$C$2:$C$611,$Q462),"")</f>
        <v>0.6</v>
      </c>
      <c r="M462" s="25">
        <f>IF(ISNUMBER(INDEX(Dataset2_Raw!$D$2:$D$611,$Q462)),INDEX(Dataset2_Raw!$D$2:$D$611,$Q462),"")</f>
        <v>0.41789999999999999</v>
      </c>
      <c r="N462" s="23">
        <f>IF(ISNUMBER(INDEX(Dataset2_Raw!$E$2:$E$611,$Q462)),INDEX(Dataset2_Raw!$E$2:$E$611,$Q462),"")</f>
        <v>1</v>
      </c>
      <c r="O462" s="23">
        <f>IF(ISNUMBER(INDEX(Dataset2_Raw!$F$2:$F$611,$Q462)),INDEX(Dataset2_Raw!$F$2:$F$611,$Q462),"")</f>
        <v>4</v>
      </c>
      <c r="P462" s="23">
        <f>IF(ISNUMBER(INDEX(Dataset2_Raw!$G$2:$G$611,$Q462)),INDEX(Dataset2_Raw!$G$2:$G$611,$Q462),"")</f>
        <v>5</v>
      </c>
      <c r="Q462" s="23">
        <f>IFERROR(MATCH($A462,Dataset2_Raw!$A$2:$A$611,0),0)</f>
        <v>461</v>
      </c>
    </row>
    <row r="463" spans="1:17" x14ac:dyDescent="0.35">
      <c r="A463" s="23">
        <f>Dataset1_Raw!A463</f>
        <v>462</v>
      </c>
      <c r="B463" s="24">
        <f>Dataset1_Raw!B463</f>
        <v>40564</v>
      </c>
      <c r="C463" s="23">
        <f>Dataset1_Raw!C463</f>
        <v>1</v>
      </c>
      <c r="D463" s="23">
        <f>Dataset1_Raw!D463</f>
        <v>0</v>
      </c>
      <c r="E463" s="23">
        <f>Dataset1_Raw!E463</f>
        <v>1</v>
      </c>
      <c r="F463" s="23">
        <f>Dataset1_Raw!F463</f>
        <v>6</v>
      </c>
      <c r="G463" s="23" t="b">
        <f>Dataset1_Raw!G463</f>
        <v>0</v>
      </c>
      <c r="H463" s="23">
        <f>Dataset1_Raw!H463</f>
        <v>5</v>
      </c>
      <c r="I463" s="23">
        <f>Dataset1_Raw!I463</f>
        <v>1</v>
      </c>
      <c r="J463" s="25">
        <f>Dataset1_Raw!J463</f>
        <v>0.22</v>
      </c>
      <c r="K463" s="25">
        <f>IF(ISNUMBER(INDEX(Dataset2_Raw!$B$2:$B$611,$Q463)),INDEX(Dataset2_Raw!$B$2:$B$611,$Q463),"")</f>
        <v>0.21210000000000001</v>
      </c>
      <c r="L463" s="25">
        <f>IF(ISNUMBER(INDEX(Dataset2_Raw!$C$2:$C$611,$Q463)),INDEX(Dataset2_Raw!$C$2:$C$611,$Q463),"")</f>
        <v>0.55000000000000004</v>
      </c>
      <c r="M463" s="25">
        <f>IF(ISNUMBER(INDEX(Dataset2_Raw!$D$2:$D$611,$Q463)),INDEX(Dataset2_Raw!$D$2:$D$611,$Q463),"")</f>
        <v>0.25369999999999998</v>
      </c>
      <c r="N463" s="23">
        <f>IF(ISNUMBER(INDEX(Dataset2_Raw!$E$2:$E$611,$Q463)),INDEX(Dataset2_Raw!$E$2:$E$611,$Q463),"")</f>
        <v>0</v>
      </c>
      <c r="O463" s="23">
        <f>IF(ISNUMBER(INDEX(Dataset2_Raw!$F$2:$F$611,$Q463)),INDEX(Dataset2_Raw!$F$2:$F$611,$Q463),"")</f>
        <v>27</v>
      </c>
      <c r="P463" s="23">
        <f>IF(ISNUMBER(INDEX(Dataset2_Raw!$G$2:$G$611,$Q463)),INDEX(Dataset2_Raw!$G$2:$G$611,$Q463),"")</f>
        <v>27</v>
      </c>
      <c r="Q463" s="23">
        <f>IFERROR(MATCH($A463,Dataset2_Raw!$A$2:$A$611,0),0)</f>
        <v>462</v>
      </c>
    </row>
    <row r="464" spans="1:17" x14ac:dyDescent="0.35">
      <c r="A464" s="23">
        <f>Dataset1_Raw!A464</f>
        <v>463</v>
      </c>
      <c r="B464" s="24">
        <f>Dataset1_Raw!B464</f>
        <v>40564</v>
      </c>
      <c r="C464" s="23">
        <f>Dataset1_Raw!C464</f>
        <v>1</v>
      </c>
      <c r="D464" s="23">
        <f>Dataset1_Raw!D464</f>
        <v>0</v>
      </c>
      <c r="E464" s="23">
        <f>Dataset1_Raw!E464</f>
        <v>1</v>
      </c>
      <c r="F464" s="23">
        <f>Dataset1_Raw!F464</f>
        <v>7</v>
      </c>
      <c r="G464" s="23" t="b">
        <f>Dataset1_Raw!G464</f>
        <v>0</v>
      </c>
      <c r="H464" s="23">
        <f>Dataset1_Raw!H464</f>
        <v>5</v>
      </c>
      <c r="I464" s="23">
        <f>Dataset1_Raw!I464</f>
        <v>1</v>
      </c>
      <c r="J464" s="25">
        <f>Dataset1_Raw!J464</f>
        <v>0.2</v>
      </c>
      <c r="K464" s="25">
        <f>IF(ISNUMBER(INDEX(Dataset2_Raw!$B$2:$B$611,$Q464)),INDEX(Dataset2_Raw!$B$2:$B$611,$Q464),"")</f>
        <v>0.18179999999999999</v>
      </c>
      <c r="L464" s="25">
        <f>IF(ISNUMBER(INDEX(Dataset2_Raw!$C$2:$C$611,$Q464)),INDEX(Dataset2_Raw!$C$2:$C$611,$Q464),"")</f>
        <v>0.51</v>
      </c>
      <c r="M464" s="25">
        <f>IF(ISNUMBER(INDEX(Dataset2_Raw!$D$2:$D$611,$Q464)),INDEX(Dataset2_Raw!$D$2:$D$611,$Q464),"")</f>
        <v>0.28360000000000002</v>
      </c>
      <c r="N464" s="23">
        <f>IF(ISNUMBER(INDEX(Dataset2_Raw!$E$2:$E$611,$Q464)),INDEX(Dataset2_Raw!$E$2:$E$611,$Q464),"")</f>
        <v>2</v>
      </c>
      <c r="O464" s="23">
        <f>IF(ISNUMBER(INDEX(Dataset2_Raw!$F$2:$F$611,$Q464)),INDEX(Dataset2_Raw!$F$2:$F$611,$Q464),"")</f>
        <v>66</v>
      </c>
      <c r="P464" s="23">
        <f>IF(ISNUMBER(INDEX(Dataset2_Raw!$G$2:$G$611,$Q464)),INDEX(Dataset2_Raw!$G$2:$G$611,$Q464),"")</f>
        <v>68</v>
      </c>
      <c r="Q464" s="23">
        <f>IFERROR(MATCH($A464,Dataset2_Raw!$A$2:$A$611,0),0)</f>
        <v>463</v>
      </c>
    </row>
    <row r="465" spans="1:17" x14ac:dyDescent="0.35">
      <c r="A465" s="23">
        <f>Dataset1_Raw!A465</f>
        <v>464</v>
      </c>
      <c r="B465" s="24">
        <f>Dataset1_Raw!B465</f>
        <v>40564</v>
      </c>
      <c r="C465" s="23">
        <f>Dataset1_Raw!C465</f>
        <v>1</v>
      </c>
      <c r="D465" s="23">
        <f>Dataset1_Raw!D465</f>
        <v>0</v>
      </c>
      <c r="E465" s="23">
        <f>Dataset1_Raw!E465</f>
        <v>1</v>
      </c>
      <c r="F465" s="23">
        <f>Dataset1_Raw!F465</f>
        <v>8</v>
      </c>
      <c r="G465" s="23" t="b">
        <f>Dataset1_Raw!G465</f>
        <v>0</v>
      </c>
      <c r="H465" s="23">
        <f>Dataset1_Raw!H465</f>
        <v>5</v>
      </c>
      <c r="I465" s="23">
        <f>Dataset1_Raw!I465</f>
        <v>1</v>
      </c>
      <c r="J465" s="25">
        <f>Dataset1_Raw!J465</f>
        <v>0.2</v>
      </c>
      <c r="K465" s="25">
        <f>IF(ISNUMBER(INDEX(Dataset2_Raw!$B$2:$B$611,$Q465)),INDEX(Dataset2_Raw!$B$2:$B$611,$Q465),"")</f>
        <v>0.18179999999999999</v>
      </c>
      <c r="L465" s="25">
        <f>IF(ISNUMBER(INDEX(Dataset2_Raw!$C$2:$C$611,$Q465)),INDEX(Dataset2_Raw!$C$2:$C$611,$Q465),"")</f>
        <v>0.47</v>
      </c>
      <c r="M465" s="25">
        <f>IF(ISNUMBER(INDEX(Dataset2_Raw!$D$2:$D$611,$Q465)),INDEX(Dataset2_Raw!$D$2:$D$611,$Q465),"")</f>
        <v>0.32840000000000003</v>
      </c>
      <c r="N465" s="23">
        <f>IF(ISNUMBER(INDEX(Dataset2_Raw!$E$2:$E$611,$Q465)),INDEX(Dataset2_Raw!$E$2:$E$611,$Q465),"")</f>
        <v>7</v>
      </c>
      <c r="O465" s="23">
        <f>IF(ISNUMBER(INDEX(Dataset2_Raw!$F$2:$F$611,$Q465)),INDEX(Dataset2_Raw!$F$2:$F$611,$Q465),"")</f>
        <v>210</v>
      </c>
      <c r="P465" s="23">
        <f>IF(ISNUMBER(INDEX(Dataset2_Raw!$G$2:$G$611,$Q465)),INDEX(Dataset2_Raw!$G$2:$G$611,$Q465),"")</f>
        <v>217</v>
      </c>
      <c r="Q465" s="23">
        <f>IFERROR(MATCH($A465,Dataset2_Raw!$A$2:$A$611,0),0)</f>
        <v>464</v>
      </c>
    </row>
    <row r="466" spans="1:17" x14ac:dyDescent="0.35">
      <c r="A466" s="23">
        <f>Dataset1_Raw!A466</f>
        <v>465</v>
      </c>
      <c r="B466" s="24">
        <f>Dataset1_Raw!B466</f>
        <v>40564</v>
      </c>
      <c r="C466" s="23">
        <f>Dataset1_Raw!C466</f>
        <v>1</v>
      </c>
      <c r="D466" s="23">
        <f>Dataset1_Raw!D466</f>
        <v>0</v>
      </c>
      <c r="E466" s="23">
        <f>Dataset1_Raw!E466</f>
        <v>1</v>
      </c>
      <c r="F466" s="23">
        <f>Dataset1_Raw!F466</f>
        <v>9</v>
      </c>
      <c r="G466" s="23" t="b">
        <f>Dataset1_Raw!G466</f>
        <v>0</v>
      </c>
      <c r="H466" s="23">
        <f>Dataset1_Raw!H466</f>
        <v>5</v>
      </c>
      <c r="I466" s="23">
        <f>Dataset1_Raw!I466</f>
        <v>1</v>
      </c>
      <c r="J466" s="25">
        <f>Dataset1_Raw!J466</f>
        <v>0.2</v>
      </c>
      <c r="K466" s="25">
        <f>IF(ISNUMBER(INDEX(Dataset2_Raw!$B$2:$B$611,$Q466)),INDEX(Dataset2_Raw!$B$2:$B$611,$Q466),"")</f>
        <v>0.18179999999999999</v>
      </c>
      <c r="L466" s="25">
        <f>IF(ISNUMBER(INDEX(Dataset2_Raw!$C$2:$C$611,$Q466)),INDEX(Dataset2_Raw!$C$2:$C$611,$Q466),"")</f>
        <v>0.51</v>
      </c>
      <c r="M466" s="25">
        <f>IF(ISNUMBER(INDEX(Dataset2_Raw!$D$2:$D$611,$Q466)),INDEX(Dataset2_Raw!$D$2:$D$611,$Q466),"")</f>
        <v>0.35820000000000002</v>
      </c>
      <c r="N466" s="23">
        <f>IF(ISNUMBER(INDEX(Dataset2_Raw!$E$2:$E$611,$Q466)),INDEX(Dataset2_Raw!$E$2:$E$611,$Q466),"")</f>
        <v>7</v>
      </c>
      <c r="O466" s="23">
        <f>IF(ISNUMBER(INDEX(Dataset2_Raw!$F$2:$F$611,$Q466)),INDEX(Dataset2_Raw!$F$2:$F$611,$Q466),"")</f>
        <v>159</v>
      </c>
      <c r="P466" s="23">
        <f>IF(ISNUMBER(INDEX(Dataset2_Raw!$G$2:$G$611,$Q466)),INDEX(Dataset2_Raw!$G$2:$G$611,$Q466),"")</f>
        <v>166</v>
      </c>
      <c r="Q466" s="23">
        <f>IFERROR(MATCH($A466,Dataset2_Raw!$A$2:$A$611,0),0)</f>
        <v>465</v>
      </c>
    </row>
    <row r="467" spans="1:17" x14ac:dyDescent="0.35">
      <c r="A467" s="23">
        <f>Dataset1_Raw!A467</f>
        <v>466</v>
      </c>
      <c r="B467" s="24">
        <f>Dataset1_Raw!B467</f>
        <v>40564</v>
      </c>
      <c r="C467" s="23">
        <f>Dataset1_Raw!C467</f>
        <v>1</v>
      </c>
      <c r="D467" s="23">
        <f>Dataset1_Raw!D467</f>
        <v>0</v>
      </c>
      <c r="E467" s="23">
        <f>Dataset1_Raw!E467</f>
        <v>1</v>
      </c>
      <c r="F467" s="23">
        <f>Dataset1_Raw!F467</f>
        <v>10</v>
      </c>
      <c r="G467" s="23" t="b">
        <f>Dataset1_Raw!G467</f>
        <v>0</v>
      </c>
      <c r="H467" s="23">
        <f>Dataset1_Raw!H467</f>
        <v>5</v>
      </c>
      <c r="I467" s="23">
        <f>Dataset1_Raw!I467</f>
        <v>1</v>
      </c>
      <c r="J467" s="25">
        <f>Dataset1_Raw!J467</f>
        <v>0.2</v>
      </c>
      <c r="K467" s="25">
        <f>IF(ISNUMBER(INDEX(Dataset2_Raw!$B$2:$B$611,$Q467)),INDEX(Dataset2_Raw!$B$2:$B$611,$Q467),"")</f>
        <v>0.16669999999999999</v>
      </c>
      <c r="L467" s="25">
        <f>IF(ISNUMBER(INDEX(Dataset2_Raw!$C$2:$C$611,$Q467)),INDEX(Dataset2_Raw!$C$2:$C$611,$Q467),"")</f>
        <v>0.47</v>
      </c>
      <c r="M467" s="25">
        <f>IF(ISNUMBER(INDEX(Dataset2_Raw!$D$2:$D$611,$Q467)),INDEX(Dataset2_Raw!$D$2:$D$611,$Q467),"")</f>
        <v>0.4627</v>
      </c>
      <c r="N467" s="23">
        <f>IF(ISNUMBER(INDEX(Dataset2_Raw!$E$2:$E$611,$Q467)),INDEX(Dataset2_Raw!$E$2:$E$611,$Q467),"")</f>
        <v>6</v>
      </c>
      <c r="O467" s="23">
        <f>IF(ISNUMBER(INDEX(Dataset2_Raw!$F$2:$F$611,$Q467)),INDEX(Dataset2_Raw!$F$2:$F$611,$Q467),"")</f>
        <v>57</v>
      </c>
      <c r="P467" s="23">
        <f>IF(ISNUMBER(INDEX(Dataset2_Raw!$G$2:$G$611,$Q467)),INDEX(Dataset2_Raw!$G$2:$G$611,$Q467),"")</f>
        <v>63</v>
      </c>
      <c r="Q467" s="23">
        <f>IFERROR(MATCH($A467,Dataset2_Raw!$A$2:$A$611,0),0)</f>
        <v>466</v>
      </c>
    </row>
    <row r="468" spans="1:17" x14ac:dyDescent="0.35">
      <c r="A468" s="23">
        <f>Dataset1_Raw!A468</f>
        <v>467</v>
      </c>
      <c r="B468" s="24">
        <f>Dataset1_Raw!B468</f>
        <v>40564</v>
      </c>
      <c r="C468" s="23">
        <f>Dataset1_Raw!C468</f>
        <v>1</v>
      </c>
      <c r="D468" s="23">
        <f>Dataset1_Raw!D468</f>
        <v>0</v>
      </c>
      <c r="E468" s="23">
        <f>Dataset1_Raw!E468</f>
        <v>1</v>
      </c>
      <c r="F468" s="23">
        <f>Dataset1_Raw!F468</f>
        <v>11</v>
      </c>
      <c r="G468" s="23" t="b">
        <f>Dataset1_Raw!G468</f>
        <v>0</v>
      </c>
      <c r="H468" s="23">
        <f>Dataset1_Raw!H468</f>
        <v>5</v>
      </c>
      <c r="I468" s="23">
        <f>Dataset1_Raw!I468</f>
        <v>1</v>
      </c>
      <c r="J468" s="25">
        <f>Dataset1_Raw!J468</f>
        <v>0.22</v>
      </c>
      <c r="K468" s="25">
        <f>IF(ISNUMBER(INDEX(Dataset2_Raw!$B$2:$B$611,$Q468)),INDEX(Dataset2_Raw!$B$2:$B$611,$Q468),"")</f>
        <v>0.18179999999999999</v>
      </c>
      <c r="L468" s="25">
        <f>IF(ISNUMBER(INDEX(Dataset2_Raw!$C$2:$C$611,$Q468)),INDEX(Dataset2_Raw!$C$2:$C$611,$Q468),"")</f>
        <v>0.41</v>
      </c>
      <c r="M468" s="25">
        <f>IF(ISNUMBER(INDEX(Dataset2_Raw!$D$2:$D$611,$Q468)),INDEX(Dataset2_Raw!$D$2:$D$611,$Q468),"")</f>
        <v>0.4627</v>
      </c>
      <c r="N468" s="23">
        <f>IF(ISNUMBER(INDEX(Dataset2_Raw!$E$2:$E$611,$Q468)),INDEX(Dataset2_Raw!$E$2:$E$611,$Q468),"")</f>
        <v>6</v>
      </c>
      <c r="O468" s="23">
        <f>IF(ISNUMBER(INDEX(Dataset2_Raw!$F$2:$F$611,$Q468)),INDEX(Dataset2_Raw!$F$2:$F$611,$Q468),"")</f>
        <v>53</v>
      </c>
      <c r="P468" s="23">
        <f>IF(ISNUMBER(INDEX(Dataset2_Raw!$G$2:$G$611,$Q468)),INDEX(Dataset2_Raw!$G$2:$G$611,$Q468),"")</f>
        <v>59</v>
      </c>
      <c r="Q468" s="23">
        <f>IFERROR(MATCH($A468,Dataset2_Raw!$A$2:$A$611,0),0)</f>
        <v>467</v>
      </c>
    </row>
    <row r="469" spans="1:17" x14ac:dyDescent="0.35">
      <c r="A469" s="23">
        <f>Dataset1_Raw!A469</f>
        <v>468</v>
      </c>
      <c r="B469" s="24">
        <f>Dataset1_Raw!B469</f>
        <v>40564</v>
      </c>
      <c r="C469" s="23">
        <f>Dataset1_Raw!C469</f>
        <v>1</v>
      </c>
      <c r="D469" s="23">
        <f>Dataset1_Raw!D469</f>
        <v>0</v>
      </c>
      <c r="E469" s="23">
        <f>Dataset1_Raw!E469</f>
        <v>1</v>
      </c>
      <c r="F469" s="23">
        <f>Dataset1_Raw!F469</f>
        <v>12</v>
      </c>
      <c r="G469" s="23" t="b">
        <f>Dataset1_Raw!G469</f>
        <v>0</v>
      </c>
      <c r="H469" s="23">
        <f>Dataset1_Raw!H469</f>
        <v>5</v>
      </c>
      <c r="I469" s="23">
        <f>Dataset1_Raw!I469</f>
        <v>1</v>
      </c>
      <c r="J469" s="25">
        <f>Dataset1_Raw!J469</f>
        <v>0.22</v>
      </c>
      <c r="K469" s="25">
        <f>IF(ISNUMBER(INDEX(Dataset2_Raw!$B$2:$B$611,$Q469)),INDEX(Dataset2_Raw!$B$2:$B$611,$Q469),"")</f>
        <v>0.18179999999999999</v>
      </c>
      <c r="L469" s="25">
        <f>IF(ISNUMBER(INDEX(Dataset2_Raw!$C$2:$C$611,$Q469)),INDEX(Dataset2_Raw!$C$2:$C$611,$Q469),"")</f>
        <v>0.27</v>
      </c>
      <c r="M469" s="25">
        <f>IF(ISNUMBER(INDEX(Dataset2_Raw!$D$2:$D$611,$Q469)),INDEX(Dataset2_Raw!$D$2:$D$611,$Q469),"")</f>
        <v>0.58209999999999995</v>
      </c>
      <c r="N469" s="23">
        <f>IF(ISNUMBER(INDEX(Dataset2_Raw!$E$2:$E$611,$Q469)),INDEX(Dataset2_Raw!$E$2:$E$611,$Q469),"")</f>
        <v>11</v>
      </c>
      <c r="O469" s="23">
        <f>IF(ISNUMBER(INDEX(Dataset2_Raw!$F$2:$F$611,$Q469)),INDEX(Dataset2_Raw!$F$2:$F$611,$Q469),"")</f>
        <v>67</v>
      </c>
      <c r="P469" s="23">
        <f>IF(ISNUMBER(INDEX(Dataset2_Raw!$G$2:$G$611,$Q469)),INDEX(Dataset2_Raw!$G$2:$G$611,$Q469),"")</f>
        <v>78</v>
      </c>
      <c r="Q469" s="23">
        <f>IFERROR(MATCH($A469,Dataset2_Raw!$A$2:$A$611,0),0)</f>
        <v>468</v>
      </c>
    </row>
    <row r="470" spans="1:17" x14ac:dyDescent="0.35">
      <c r="A470" s="23">
        <f>Dataset1_Raw!A470</f>
        <v>469</v>
      </c>
      <c r="B470" s="24">
        <f>Dataset1_Raw!B470</f>
        <v>40564</v>
      </c>
      <c r="C470" s="23">
        <f>Dataset1_Raw!C470</f>
        <v>1</v>
      </c>
      <c r="D470" s="23">
        <f>Dataset1_Raw!D470</f>
        <v>0</v>
      </c>
      <c r="E470" s="23">
        <f>Dataset1_Raw!E470</f>
        <v>1</v>
      </c>
      <c r="F470" s="23">
        <f>Dataset1_Raw!F470</f>
        <v>13</v>
      </c>
      <c r="G470" s="23" t="b">
        <f>Dataset1_Raw!G470</f>
        <v>0</v>
      </c>
      <c r="H470" s="23">
        <f>Dataset1_Raw!H470</f>
        <v>5</v>
      </c>
      <c r="I470" s="23">
        <f>Dataset1_Raw!I470</f>
        <v>1</v>
      </c>
      <c r="J470" s="25">
        <f>Dataset1_Raw!J470</f>
        <v>0.2</v>
      </c>
      <c r="K470" s="25">
        <f>IF(ISNUMBER(INDEX(Dataset2_Raw!$B$2:$B$611,$Q470)),INDEX(Dataset2_Raw!$B$2:$B$611,$Q470),"")</f>
        <v>0.1515</v>
      </c>
      <c r="L470" s="25">
        <f>IF(ISNUMBER(INDEX(Dataset2_Raw!$C$2:$C$611,$Q470)),INDEX(Dataset2_Raw!$C$2:$C$611,$Q470),"")</f>
        <v>0.21</v>
      </c>
      <c r="M470" s="25">
        <f>IF(ISNUMBER(INDEX(Dataset2_Raw!$D$2:$D$611,$Q470)),INDEX(Dataset2_Raw!$D$2:$D$611,$Q470),"")</f>
        <v>0.58209999999999995</v>
      </c>
      <c r="N470" s="23">
        <f>IF(ISNUMBER(INDEX(Dataset2_Raw!$E$2:$E$611,$Q470)),INDEX(Dataset2_Raw!$E$2:$E$611,$Q470),"")</f>
        <v>8</v>
      </c>
      <c r="O470" s="23">
        <f>IF(ISNUMBER(INDEX(Dataset2_Raw!$F$2:$F$611,$Q470)),INDEX(Dataset2_Raw!$F$2:$F$611,$Q470),"")</f>
        <v>65</v>
      </c>
      <c r="P470" s="23">
        <f>IF(ISNUMBER(INDEX(Dataset2_Raw!$G$2:$G$611,$Q470)),INDEX(Dataset2_Raw!$G$2:$G$611,$Q470),"")</f>
        <v>73</v>
      </c>
      <c r="Q470" s="23">
        <f>IFERROR(MATCH($A470,Dataset2_Raw!$A$2:$A$611,0),0)</f>
        <v>469</v>
      </c>
    </row>
    <row r="471" spans="1:17" x14ac:dyDescent="0.35">
      <c r="A471" s="23">
        <f>Dataset1_Raw!A471</f>
        <v>470</v>
      </c>
      <c r="B471" s="24">
        <f>Dataset1_Raw!B471</f>
        <v>40564</v>
      </c>
      <c r="C471" s="23">
        <f>Dataset1_Raw!C471</f>
        <v>1</v>
      </c>
      <c r="D471" s="23">
        <f>Dataset1_Raw!D471</f>
        <v>0</v>
      </c>
      <c r="E471" s="23">
        <f>Dataset1_Raw!E471</f>
        <v>1</v>
      </c>
      <c r="F471" s="23">
        <f>Dataset1_Raw!F471</f>
        <v>14</v>
      </c>
      <c r="G471" s="23" t="b">
        <f>Dataset1_Raw!G471</f>
        <v>0</v>
      </c>
      <c r="H471" s="23">
        <f>Dataset1_Raw!H471</f>
        <v>5</v>
      </c>
      <c r="I471" s="23">
        <f>Dataset1_Raw!I471</f>
        <v>1</v>
      </c>
      <c r="J471" s="25">
        <f>Dataset1_Raw!J471</f>
        <v>0.2</v>
      </c>
      <c r="K471" s="25">
        <f>IF(ISNUMBER(INDEX(Dataset2_Raw!$B$2:$B$611,$Q471)),INDEX(Dataset2_Raw!$B$2:$B$611,$Q471),"")</f>
        <v>0.1515</v>
      </c>
      <c r="L471" s="25">
        <f>IF(ISNUMBER(INDEX(Dataset2_Raw!$C$2:$C$611,$Q471)),INDEX(Dataset2_Raw!$C$2:$C$611,$Q471),"")</f>
        <v>0.25</v>
      </c>
      <c r="M471" s="25">
        <f>IF(ISNUMBER(INDEX(Dataset2_Raw!$D$2:$D$611,$Q471)),INDEX(Dataset2_Raw!$D$2:$D$611,$Q471),"")</f>
        <v>0.52239999999999998</v>
      </c>
      <c r="N471" s="23">
        <f>IF(ISNUMBER(INDEX(Dataset2_Raw!$E$2:$E$611,$Q471)),INDEX(Dataset2_Raw!$E$2:$E$611,$Q471),"")</f>
        <v>6</v>
      </c>
      <c r="O471" s="23">
        <f>IF(ISNUMBER(INDEX(Dataset2_Raw!$F$2:$F$611,$Q471)),INDEX(Dataset2_Raw!$F$2:$F$611,$Q471),"")</f>
        <v>56</v>
      </c>
      <c r="P471" s="23">
        <f>IF(ISNUMBER(INDEX(Dataset2_Raw!$G$2:$G$611,$Q471)),INDEX(Dataset2_Raw!$G$2:$G$611,$Q471),"")</f>
        <v>62</v>
      </c>
      <c r="Q471" s="23">
        <f>IFERROR(MATCH($A471,Dataset2_Raw!$A$2:$A$611,0),0)</f>
        <v>470</v>
      </c>
    </row>
    <row r="472" spans="1:17" x14ac:dyDescent="0.35">
      <c r="A472" s="23">
        <f>Dataset1_Raw!A472</f>
        <v>471</v>
      </c>
      <c r="B472" s="24">
        <f>Dataset1_Raw!B472</f>
        <v>40564</v>
      </c>
      <c r="C472" s="23">
        <f>Dataset1_Raw!C472</f>
        <v>1</v>
      </c>
      <c r="D472" s="23">
        <f>Dataset1_Raw!D472</f>
        <v>0</v>
      </c>
      <c r="E472" s="23">
        <f>Dataset1_Raw!E472</f>
        <v>1</v>
      </c>
      <c r="F472" s="23">
        <f>Dataset1_Raw!F472</f>
        <v>15</v>
      </c>
      <c r="G472" s="23" t="b">
        <f>Dataset1_Raw!G472</f>
        <v>0</v>
      </c>
      <c r="H472" s="23">
        <f>Dataset1_Raw!H472</f>
        <v>5</v>
      </c>
      <c r="I472" s="23">
        <f>Dataset1_Raw!I472</f>
        <v>1</v>
      </c>
      <c r="J472" s="25">
        <f>Dataset1_Raw!J472</f>
        <v>0.16</v>
      </c>
      <c r="K472" s="25">
        <f>IF(ISNUMBER(INDEX(Dataset2_Raw!$B$2:$B$611,$Q472)),INDEX(Dataset2_Raw!$B$2:$B$611,$Q472),"")</f>
        <v>0.1212</v>
      </c>
      <c r="L472" s="25">
        <f>IF(ISNUMBER(INDEX(Dataset2_Raw!$C$2:$C$611,$Q472)),INDEX(Dataset2_Raw!$C$2:$C$611,$Q472),"")</f>
        <v>0.26</v>
      </c>
      <c r="M472" s="25">
        <f>IF(ISNUMBER(INDEX(Dataset2_Raw!$D$2:$D$611,$Q472)),INDEX(Dataset2_Raw!$D$2:$D$611,$Q472),"")</f>
        <v>0.44779999999999998</v>
      </c>
      <c r="N472" s="23">
        <f>IF(ISNUMBER(INDEX(Dataset2_Raw!$E$2:$E$611,$Q472)),INDEX(Dataset2_Raw!$E$2:$E$611,$Q472),"")</f>
        <v>4</v>
      </c>
      <c r="O472" s="23">
        <f>IF(ISNUMBER(INDEX(Dataset2_Raw!$F$2:$F$611,$Q472)),INDEX(Dataset2_Raw!$F$2:$F$611,$Q472),"")</f>
        <v>61</v>
      </c>
      <c r="P472" s="23">
        <f>IF(ISNUMBER(INDEX(Dataset2_Raw!$G$2:$G$611,$Q472)),INDEX(Dataset2_Raw!$G$2:$G$611,$Q472),"")</f>
        <v>65</v>
      </c>
      <c r="Q472" s="23">
        <f>IFERROR(MATCH($A472,Dataset2_Raw!$A$2:$A$611,0),0)</f>
        <v>471</v>
      </c>
    </row>
    <row r="473" spans="1:17" x14ac:dyDescent="0.35">
      <c r="A473" s="23">
        <f>Dataset1_Raw!A473</f>
        <v>472</v>
      </c>
      <c r="B473" s="24">
        <f>Dataset1_Raw!B473</f>
        <v>40564</v>
      </c>
      <c r="C473" s="23">
        <f>Dataset1_Raw!C473</f>
        <v>1</v>
      </c>
      <c r="D473" s="23">
        <f>Dataset1_Raw!D473</f>
        <v>0</v>
      </c>
      <c r="E473" s="23">
        <f>Dataset1_Raw!E473</f>
        <v>1</v>
      </c>
      <c r="F473" s="23">
        <f>Dataset1_Raw!F473</f>
        <v>16</v>
      </c>
      <c r="G473" s="23" t="b">
        <f>Dataset1_Raw!G473</f>
        <v>0</v>
      </c>
      <c r="H473" s="23">
        <f>Dataset1_Raw!H473</f>
        <v>5</v>
      </c>
      <c r="I473" s="23">
        <f>Dataset1_Raw!I473</f>
        <v>1</v>
      </c>
      <c r="J473" s="25">
        <f>Dataset1_Raw!J473</f>
        <v>0.16</v>
      </c>
      <c r="K473" s="25">
        <f>IF(ISNUMBER(INDEX(Dataset2_Raw!$B$2:$B$611,$Q473)),INDEX(Dataset2_Raw!$B$2:$B$611,$Q473),"")</f>
        <v>0.13639999999999999</v>
      </c>
      <c r="L473" s="25">
        <f>IF(ISNUMBER(INDEX(Dataset2_Raw!$C$2:$C$611,$Q473)),INDEX(Dataset2_Raw!$C$2:$C$611,$Q473),"")</f>
        <v>0.26</v>
      </c>
      <c r="M473" s="25">
        <f>IF(ISNUMBER(INDEX(Dataset2_Raw!$D$2:$D$611,$Q473)),INDEX(Dataset2_Raw!$D$2:$D$611,$Q473),"")</f>
        <v>0.35820000000000002</v>
      </c>
      <c r="N473" s="23">
        <f>IF(ISNUMBER(INDEX(Dataset2_Raw!$E$2:$E$611,$Q473)),INDEX(Dataset2_Raw!$E$2:$E$611,$Q473),"")</f>
        <v>0</v>
      </c>
      <c r="O473" s="23">
        <f>IF(ISNUMBER(INDEX(Dataset2_Raw!$F$2:$F$611,$Q473)),INDEX(Dataset2_Raw!$F$2:$F$611,$Q473),"")</f>
        <v>97</v>
      </c>
      <c r="P473" s="23">
        <f>IF(ISNUMBER(INDEX(Dataset2_Raw!$G$2:$G$611,$Q473)),INDEX(Dataset2_Raw!$G$2:$G$611,$Q473),"")</f>
        <v>97</v>
      </c>
      <c r="Q473" s="23">
        <f>IFERROR(MATCH($A473,Dataset2_Raw!$A$2:$A$611,0),0)</f>
        <v>472</v>
      </c>
    </row>
    <row r="474" spans="1:17" x14ac:dyDescent="0.35">
      <c r="A474" s="23">
        <f>Dataset1_Raw!A474</f>
        <v>473</v>
      </c>
      <c r="B474" s="24">
        <f>Dataset1_Raw!B474</f>
        <v>40564</v>
      </c>
      <c r="C474" s="23">
        <f>Dataset1_Raw!C474</f>
        <v>1</v>
      </c>
      <c r="D474" s="23">
        <f>Dataset1_Raw!D474</f>
        <v>0</v>
      </c>
      <c r="E474" s="23">
        <f>Dataset1_Raw!E474</f>
        <v>1</v>
      </c>
      <c r="F474" s="23">
        <f>Dataset1_Raw!F474</f>
        <v>17</v>
      </c>
      <c r="G474" s="23" t="b">
        <f>Dataset1_Raw!G474</f>
        <v>0</v>
      </c>
      <c r="H474" s="23">
        <f>Dataset1_Raw!H474</f>
        <v>5</v>
      </c>
      <c r="I474" s="23">
        <f>Dataset1_Raw!I474</f>
        <v>1</v>
      </c>
      <c r="J474" s="25">
        <f>Dataset1_Raw!J474</f>
        <v>0.14000000000000001</v>
      </c>
      <c r="K474" s="25">
        <f>IF(ISNUMBER(INDEX(Dataset2_Raw!$B$2:$B$611,$Q474)),INDEX(Dataset2_Raw!$B$2:$B$611,$Q474),"")</f>
        <v>0.1212</v>
      </c>
      <c r="L474" s="25">
        <f>IF(ISNUMBER(INDEX(Dataset2_Raw!$C$2:$C$611,$Q474)),INDEX(Dataset2_Raw!$C$2:$C$611,$Q474),"")</f>
        <v>0.28000000000000003</v>
      </c>
      <c r="M474" s="25">
        <f>IF(ISNUMBER(INDEX(Dataset2_Raw!$D$2:$D$611,$Q474)),INDEX(Dataset2_Raw!$D$2:$D$611,$Q474),"")</f>
        <v>0.35820000000000002</v>
      </c>
      <c r="N474" s="23">
        <f>IF(ISNUMBER(INDEX(Dataset2_Raw!$E$2:$E$611,$Q474)),INDEX(Dataset2_Raw!$E$2:$E$611,$Q474),"")</f>
        <v>10</v>
      </c>
      <c r="O474" s="23">
        <f>IF(ISNUMBER(INDEX(Dataset2_Raw!$F$2:$F$611,$Q474)),INDEX(Dataset2_Raw!$F$2:$F$611,$Q474),"")</f>
        <v>151</v>
      </c>
      <c r="P474" s="23">
        <f>IF(ISNUMBER(INDEX(Dataset2_Raw!$G$2:$G$611,$Q474)),INDEX(Dataset2_Raw!$G$2:$G$611,$Q474),"")</f>
        <v>161</v>
      </c>
      <c r="Q474" s="23">
        <f>IFERROR(MATCH($A474,Dataset2_Raw!$A$2:$A$611,0),0)</f>
        <v>473</v>
      </c>
    </row>
    <row r="475" spans="1:17" x14ac:dyDescent="0.35">
      <c r="A475" s="23">
        <f>Dataset1_Raw!A475</f>
        <v>474</v>
      </c>
      <c r="B475" s="24">
        <f>Dataset1_Raw!B475</f>
        <v>40564</v>
      </c>
      <c r="C475" s="23">
        <f>Dataset1_Raw!C475</f>
        <v>1</v>
      </c>
      <c r="D475" s="23">
        <f>Dataset1_Raw!D475</f>
        <v>0</v>
      </c>
      <c r="E475" s="23">
        <f>Dataset1_Raw!E475</f>
        <v>1</v>
      </c>
      <c r="F475" s="23">
        <f>Dataset1_Raw!F475</f>
        <v>18</v>
      </c>
      <c r="G475" s="23" t="b">
        <f>Dataset1_Raw!G475</f>
        <v>0</v>
      </c>
      <c r="H475" s="23">
        <f>Dataset1_Raw!H475</f>
        <v>5</v>
      </c>
      <c r="I475" s="23">
        <f>Dataset1_Raw!I475</f>
        <v>1</v>
      </c>
      <c r="J475" s="25">
        <f>Dataset1_Raw!J475</f>
        <v>0.12</v>
      </c>
      <c r="K475" s="25">
        <f>IF(ISNUMBER(INDEX(Dataset2_Raw!$B$2:$B$611,$Q475)),INDEX(Dataset2_Raw!$B$2:$B$611,$Q475),"")</f>
        <v>0.1212</v>
      </c>
      <c r="L475" s="25">
        <f>IF(ISNUMBER(INDEX(Dataset2_Raw!$C$2:$C$611,$Q475)),INDEX(Dataset2_Raw!$C$2:$C$611,$Q475),"")</f>
        <v>0.3</v>
      </c>
      <c r="M475" s="25">
        <f>IF(ISNUMBER(INDEX(Dataset2_Raw!$D$2:$D$611,$Q475)),INDEX(Dataset2_Raw!$D$2:$D$611,$Q475),"")</f>
        <v>0.25369999999999998</v>
      </c>
      <c r="N475" s="23">
        <f>IF(ISNUMBER(INDEX(Dataset2_Raw!$E$2:$E$611,$Q475)),INDEX(Dataset2_Raw!$E$2:$E$611,$Q475),"")</f>
        <v>1</v>
      </c>
      <c r="O475" s="23">
        <f>IF(ISNUMBER(INDEX(Dataset2_Raw!$F$2:$F$611,$Q475)),INDEX(Dataset2_Raw!$F$2:$F$611,$Q475),"")</f>
        <v>119</v>
      </c>
      <c r="P475" s="23">
        <f>IF(ISNUMBER(INDEX(Dataset2_Raw!$G$2:$G$611,$Q475)),INDEX(Dataset2_Raw!$G$2:$G$611,$Q475),"")</f>
        <v>120</v>
      </c>
      <c r="Q475" s="23">
        <f>IFERROR(MATCH($A475,Dataset2_Raw!$A$2:$A$611,0),0)</f>
        <v>474</v>
      </c>
    </row>
    <row r="476" spans="1:17" x14ac:dyDescent="0.35">
      <c r="A476" s="23">
        <f>Dataset1_Raw!A476</f>
        <v>475</v>
      </c>
      <c r="B476" s="24">
        <f>Dataset1_Raw!B476</f>
        <v>40564</v>
      </c>
      <c r="C476" s="23">
        <f>Dataset1_Raw!C476</f>
        <v>1</v>
      </c>
      <c r="D476" s="23">
        <f>Dataset1_Raw!D476</f>
        <v>0</v>
      </c>
      <c r="E476" s="23">
        <f>Dataset1_Raw!E476</f>
        <v>1</v>
      </c>
      <c r="F476" s="23">
        <f>Dataset1_Raw!F476</f>
        <v>19</v>
      </c>
      <c r="G476" s="23" t="b">
        <f>Dataset1_Raw!G476</f>
        <v>0</v>
      </c>
      <c r="H476" s="23">
        <f>Dataset1_Raw!H476</f>
        <v>5</v>
      </c>
      <c r="I476" s="23">
        <f>Dataset1_Raw!I476</f>
        <v>1</v>
      </c>
      <c r="J476" s="25">
        <f>Dataset1_Raw!J476</f>
        <v>0.12</v>
      </c>
      <c r="K476" s="25">
        <f>IF(ISNUMBER(INDEX(Dataset2_Raw!$B$2:$B$611,$Q476)),INDEX(Dataset2_Raw!$B$2:$B$611,$Q476),"")</f>
        <v>0.1061</v>
      </c>
      <c r="L476" s="25">
        <f>IF(ISNUMBER(INDEX(Dataset2_Raw!$C$2:$C$611,$Q476)),INDEX(Dataset2_Raw!$C$2:$C$611,$Q476),"")</f>
        <v>0.3</v>
      </c>
      <c r="M476" s="25">
        <f>IF(ISNUMBER(INDEX(Dataset2_Raw!$D$2:$D$611,$Q476)),INDEX(Dataset2_Raw!$D$2:$D$611,$Q476),"")</f>
        <v>0.32840000000000003</v>
      </c>
      <c r="N476" s="23">
        <f>IF(ISNUMBER(INDEX(Dataset2_Raw!$E$2:$E$611,$Q476)),INDEX(Dataset2_Raw!$E$2:$E$611,$Q476),"")</f>
        <v>3</v>
      </c>
      <c r="O476" s="23">
        <f>IF(ISNUMBER(INDEX(Dataset2_Raw!$F$2:$F$611,$Q476)),INDEX(Dataset2_Raw!$F$2:$F$611,$Q476),"")</f>
        <v>93</v>
      </c>
      <c r="P476" s="23">
        <f>IF(ISNUMBER(INDEX(Dataset2_Raw!$G$2:$G$611,$Q476)),INDEX(Dataset2_Raw!$G$2:$G$611,$Q476),"")</f>
        <v>96</v>
      </c>
      <c r="Q476" s="23">
        <f>IFERROR(MATCH($A476,Dataset2_Raw!$A$2:$A$611,0),0)</f>
        <v>475</v>
      </c>
    </row>
    <row r="477" spans="1:17" x14ac:dyDescent="0.35">
      <c r="A477" s="23">
        <f>Dataset1_Raw!A477</f>
        <v>476</v>
      </c>
      <c r="B477" s="24">
        <f>Dataset1_Raw!B477</f>
        <v>40564</v>
      </c>
      <c r="C477" s="23">
        <f>Dataset1_Raw!C477</f>
        <v>1</v>
      </c>
      <c r="D477" s="23">
        <f>Dataset1_Raw!D477</f>
        <v>0</v>
      </c>
      <c r="E477" s="23">
        <f>Dataset1_Raw!E477</f>
        <v>1</v>
      </c>
      <c r="F477" s="23">
        <f>Dataset1_Raw!F477</f>
        <v>20</v>
      </c>
      <c r="G477" s="23" t="b">
        <f>Dataset1_Raw!G477</f>
        <v>0</v>
      </c>
      <c r="H477" s="23">
        <f>Dataset1_Raw!H477</f>
        <v>5</v>
      </c>
      <c r="I477" s="23">
        <f>Dataset1_Raw!I477</f>
        <v>1</v>
      </c>
      <c r="J477" s="25">
        <f>Dataset1_Raw!J477</f>
        <v>0.1</v>
      </c>
      <c r="K477" s="25">
        <f>IF(ISNUMBER(INDEX(Dataset2_Raw!$B$2:$B$611,$Q477)),INDEX(Dataset2_Raw!$B$2:$B$611,$Q477),"")</f>
        <v>7.5800000000000006E-2</v>
      </c>
      <c r="L477" s="25">
        <f>IF(ISNUMBER(INDEX(Dataset2_Raw!$C$2:$C$611,$Q477)),INDEX(Dataset2_Raw!$C$2:$C$611,$Q477),"")</f>
        <v>0.33</v>
      </c>
      <c r="M477" s="25">
        <f>IF(ISNUMBER(INDEX(Dataset2_Raw!$D$2:$D$611,$Q477)),INDEX(Dataset2_Raw!$D$2:$D$611,$Q477),"")</f>
        <v>0.41789999999999999</v>
      </c>
      <c r="N477" s="23">
        <f>IF(ISNUMBER(INDEX(Dataset2_Raw!$E$2:$E$611,$Q477)),INDEX(Dataset2_Raw!$E$2:$E$611,$Q477),"")</f>
        <v>1</v>
      </c>
      <c r="O477" s="23">
        <f>IF(ISNUMBER(INDEX(Dataset2_Raw!$F$2:$F$611,$Q477)),INDEX(Dataset2_Raw!$F$2:$F$611,$Q477),"")</f>
        <v>52</v>
      </c>
      <c r="P477" s="23">
        <f>IF(ISNUMBER(INDEX(Dataset2_Raw!$G$2:$G$611,$Q477)),INDEX(Dataset2_Raw!$G$2:$G$611,$Q477),"")</f>
        <v>53</v>
      </c>
      <c r="Q477" s="23">
        <f>IFERROR(MATCH($A477,Dataset2_Raw!$A$2:$A$611,0),0)</f>
        <v>476</v>
      </c>
    </row>
    <row r="478" spans="1:17" x14ac:dyDescent="0.35">
      <c r="A478" s="23">
        <f>Dataset1_Raw!A478</f>
        <v>477</v>
      </c>
      <c r="B478" s="24">
        <f>Dataset1_Raw!B478</f>
        <v>40564</v>
      </c>
      <c r="C478" s="23">
        <f>Dataset1_Raw!C478</f>
        <v>1</v>
      </c>
      <c r="D478" s="23">
        <f>Dataset1_Raw!D478</f>
        <v>0</v>
      </c>
      <c r="E478" s="23">
        <f>Dataset1_Raw!E478</f>
        <v>1</v>
      </c>
      <c r="F478" s="23">
        <f>Dataset1_Raw!F478</f>
        <v>21</v>
      </c>
      <c r="G478" s="23" t="b">
        <f>Dataset1_Raw!G478</f>
        <v>0</v>
      </c>
      <c r="H478" s="23">
        <f>Dataset1_Raw!H478</f>
        <v>5</v>
      </c>
      <c r="I478" s="23">
        <f>Dataset1_Raw!I478</f>
        <v>1</v>
      </c>
      <c r="J478" s="25">
        <f>Dataset1_Raw!J478</f>
        <v>0.08</v>
      </c>
      <c r="K478" s="25">
        <f>IF(ISNUMBER(INDEX(Dataset2_Raw!$B$2:$B$611,$Q478)),INDEX(Dataset2_Raw!$B$2:$B$611,$Q478),"")</f>
        <v>7.5800000000000006E-2</v>
      </c>
      <c r="L478" s="25">
        <f>IF(ISNUMBER(INDEX(Dataset2_Raw!$C$2:$C$611,$Q478)),INDEX(Dataset2_Raw!$C$2:$C$611,$Q478),"")</f>
        <v>0.38</v>
      </c>
      <c r="M478" s="25">
        <f>IF(ISNUMBER(INDEX(Dataset2_Raw!$D$2:$D$611,$Q478)),INDEX(Dataset2_Raw!$D$2:$D$611,$Q478),"")</f>
        <v>0.28360000000000002</v>
      </c>
      <c r="N478" s="23">
        <f>IF(ISNUMBER(INDEX(Dataset2_Raw!$E$2:$E$611,$Q478)),INDEX(Dataset2_Raw!$E$2:$E$611,$Q478),"")</f>
        <v>0</v>
      </c>
      <c r="O478" s="23">
        <f>IF(ISNUMBER(INDEX(Dataset2_Raw!$F$2:$F$611,$Q478)),INDEX(Dataset2_Raw!$F$2:$F$611,$Q478),"")</f>
        <v>41</v>
      </c>
      <c r="P478" s="23">
        <f>IF(ISNUMBER(INDEX(Dataset2_Raw!$G$2:$G$611,$Q478)),INDEX(Dataset2_Raw!$G$2:$G$611,$Q478),"")</f>
        <v>41</v>
      </c>
      <c r="Q478" s="23">
        <f>IFERROR(MATCH($A478,Dataset2_Raw!$A$2:$A$611,0),0)</f>
        <v>477</v>
      </c>
    </row>
    <row r="479" spans="1:17" x14ac:dyDescent="0.35">
      <c r="A479" s="23">
        <f>Dataset1_Raw!A479</f>
        <v>478</v>
      </c>
      <c r="B479" s="24">
        <f>Dataset1_Raw!B479</f>
        <v>40564</v>
      </c>
      <c r="C479" s="23">
        <f>Dataset1_Raw!C479</f>
        <v>1</v>
      </c>
      <c r="D479" s="23">
        <f>Dataset1_Raw!D479</f>
        <v>0</v>
      </c>
      <c r="E479" s="23">
        <f>Dataset1_Raw!E479</f>
        <v>1</v>
      </c>
      <c r="F479" s="23">
        <f>Dataset1_Raw!F479</f>
        <v>22</v>
      </c>
      <c r="G479" s="23" t="b">
        <f>Dataset1_Raw!G479</f>
        <v>0</v>
      </c>
      <c r="H479" s="23">
        <f>Dataset1_Raw!H479</f>
        <v>5</v>
      </c>
      <c r="I479" s="23">
        <f>Dataset1_Raw!I479</f>
        <v>1</v>
      </c>
      <c r="J479" s="25">
        <f>Dataset1_Raw!J479</f>
        <v>0.06</v>
      </c>
      <c r="K479" s="25">
        <f>IF(ISNUMBER(INDEX(Dataset2_Raw!$B$2:$B$611,$Q479)),INDEX(Dataset2_Raw!$B$2:$B$611,$Q479),"")</f>
        <v>3.0300000000000001E-2</v>
      </c>
      <c r="L479" s="25">
        <f>IF(ISNUMBER(INDEX(Dataset2_Raw!$C$2:$C$611,$Q479)),INDEX(Dataset2_Raw!$C$2:$C$611,$Q479),"")</f>
        <v>0.41</v>
      </c>
      <c r="M479" s="25">
        <f>IF(ISNUMBER(INDEX(Dataset2_Raw!$D$2:$D$611,$Q479)),INDEX(Dataset2_Raw!$D$2:$D$611,$Q479),"")</f>
        <v>0.3881</v>
      </c>
      <c r="N479" s="23">
        <f>IF(ISNUMBER(INDEX(Dataset2_Raw!$E$2:$E$611,$Q479)),INDEX(Dataset2_Raw!$E$2:$E$611,$Q479),"")</f>
        <v>1</v>
      </c>
      <c r="O479" s="23">
        <f>IF(ISNUMBER(INDEX(Dataset2_Raw!$F$2:$F$611,$Q479)),INDEX(Dataset2_Raw!$F$2:$F$611,$Q479),"")</f>
        <v>33</v>
      </c>
      <c r="P479" s="23">
        <f>IF(ISNUMBER(INDEX(Dataset2_Raw!$G$2:$G$611,$Q479)),INDEX(Dataset2_Raw!$G$2:$G$611,$Q479),"")</f>
        <v>34</v>
      </c>
      <c r="Q479" s="23">
        <f>IFERROR(MATCH($A479,Dataset2_Raw!$A$2:$A$611,0),0)</f>
        <v>478</v>
      </c>
    </row>
    <row r="480" spans="1:17" x14ac:dyDescent="0.35">
      <c r="A480" s="23">
        <f>Dataset1_Raw!A480</f>
        <v>479</v>
      </c>
      <c r="B480" s="24">
        <f>Dataset1_Raw!B480</f>
        <v>40564</v>
      </c>
      <c r="C480" s="23">
        <f>Dataset1_Raw!C480</f>
        <v>1</v>
      </c>
      <c r="D480" s="23">
        <f>Dataset1_Raw!D480</f>
        <v>0</v>
      </c>
      <c r="E480" s="23">
        <f>Dataset1_Raw!E480</f>
        <v>1</v>
      </c>
      <c r="F480" s="23">
        <f>Dataset1_Raw!F480</f>
        <v>23</v>
      </c>
      <c r="G480" s="23" t="b">
        <f>Dataset1_Raw!G480</f>
        <v>0</v>
      </c>
      <c r="H480" s="23">
        <f>Dataset1_Raw!H480</f>
        <v>5</v>
      </c>
      <c r="I480" s="23">
        <f>Dataset1_Raw!I480</f>
        <v>1</v>
      </c>
      <c r="J480" s="25">
        <f>Dataset1_Raw!J480</f>
        <v>0.06</v>
      </c>
      <c r="K480" s="25">
        <f>IF(ISNUMBER(INDEX(Dataset2_Raw!$B$2:$B$611,$Q480)),INDEX(Dataset2_Raw!$B$2:$B$611,$Q480),"")</f>
        <v>4.5499999999999999E-2</v>
      </c>
      <c r="L480" s="25">
        <f>IF(ISNUMBER(INDEX(Dataset2_Raw!$C$2:$C$611,$Q480)),INDEX(Dataset2_Raw!$C$2:$C$611,$Q480),"")</f>
        <v>0.38</v>
      </c>
      <c r="M480" s="25">
        <f>IF(ISNUMBER(INDEX(Dataset2_Raw!$D$2:$D$611,$Q480)),INDEX(Dataset2_Raw!$D$2:$D$611,$Q480),"")</f>
        <v>0.32840000000000003</v>
      </c>
      <c r="N480" s="23">
        <f>IF(ISNUMBER(INDEX(Dataset2_Raw!$E$2:$E$611,$Q480)),INDEX(Dataset2_Raw!$E$2:$E$611,$Q480),"")</f>
        <v>0</v>
      </c>
      <c r="O480" s="23">
        <f>IF(ISNUMBER(INDEX(Dataset2_Raw!$F$2:$F$611,$Q480)),INDEX(Dataset2_Raw!$F$2:$F$611,$Q480),"")</f>
        <v>27</v>
      </c>
      <c r="P480" s="23">
        <f>IF(ISNUMBER(INDEX(Dataset2_Raw!$G$2:$G$611,$Q480)),INDEX(Dataset2_Raw!$G$2:$G$611,$Q480),"")</f>
        <v>27</v>
      </c>
      <c r="Q480" s="23">
        <f>IFERROR(MATCH($A480,Dataset2_Raw!$A$2:$A$611,0),0)</f>
        <v>479</v>
      </c>
    </row>
    <row r="481" spans="1:17" x14ac:dyDescent="0.35">
      <c r="A481" s="23">
        <f>Dataset1_Raw!A481</f>
        <v>480</v>
      </c>
      <c r="B481" s="24">
        <f>Dataset1_Raw!B481</f>
        <v>40565</v>
      </c>
      <c r="C481" s="23">
        <f>Dataset1_Raw!C481</f>
        <v>1</v>
      </c>
      <c r="D481" s="23">
        <f>Dataset1_Raw!D481</f>
        <v>0</v>
      </c>
      <c r="E481" s="23">
        <f>Dataset1_Raw!E481</f>
        <v>1</v>
      </c>
      <c r="F481" s="23">
        <f>Dataset1_Raw!F481</f>
        <v>0</v>
      </c>
      <c r="G481" s="23" t="b">
        <f>Dataset1_Raw!G481</f>
        <v>0</v>
      </c>
      <c r="H481" s="23">
        <f>Dataset1_Raw!H481</f>
        <v>6</v>
      </c>
      <c r="I481" s="23">
        <f>Dataset1_Raw!I481</f>
        <v>1</v>
      </c>
      <c r="J481" s="25">
        <f>Dataset1_Raw!J481</f>
        <v>0.04</v>
      </c>
      <c r="K481" s="25">
        <f>IF(ISNUMBER(INDEX(Dataset2_Raw!$B$2:$B$611,$Q481)),INDEX(Dataset2_Raw!$B$2:$B$611,$Q481),"")</f>
        <v>3.0300000000000001E-2</v>
      </c>
      <c r="L481" s="25">
        <f>IF(ISNUMBER(INDEX(Dataset2_Raw!$C$2:$C$611,$Q481)),INDEX(Dataset2_Raw!$C$2:$C$611,$Q481),"")</f>
        <v>0.45</v>
      </c>
      <c r="M481" s="25">
        <f>IF(ISNUMBER(INDEX(Dataset2_Raw!$D$2:$D$611,$Q481)),INDEX(Dataset2_Raw!$D$2:$D$611,$Q481),"")</f>
        <v>0.25369999999999998</v>
      </c>
      <c r="N481" s="23">
        <f>IF(ISNUMBER(INDEX(Dataset2_Raw!$E$2:$E$611,$Q481)),INDEX(Dataset2_Raw!$E$2:$E$611,$Q481),"")</f>
        <v>0</v>
      </c>
      <c r="O481" s="23">
        <f>IF(ISNUMBER(INDEX(Dataset2_Raw!$F$2:$F$611,$Q481)),INDEX(Dataset2_Raw!$F$2:$F$611,$Q481),"")</f>
        <v>13</v>
      </c>
      <c r="P481" s="23">
        <f>IF(ISNUMBER(INDEX(Dataset2_Raw!$G$2:$G$611,$Q481)),INDEX(Dataset2_Raw!$G$2:$G$611,$Q481),"")</f>
        <v>13</v>
      </c>
      <c r="Q481" s="23">
        <f>IFERROR(MATCH($A481,Dataset2_Raw!$A$2:$A$611,0),0)</f>
        <v>480</v>
      </c>
    </row>
    <row r="482" spans="1:17" x14ac:dyDescent="0.35">
      <c r="A482" s="23">
        <f>Dataset1_Raw!A482</f>
        <v>481</v>
      </c>
      <c r="B482" s="24">
        <f>Dataset1_Raw!B482</f>
        <v>40565</v>
      </c>
      <c r="C482" s="23">
        <f>Dataset1_Raw!C482</f>
        <v>1</v>
      </c>
      <c r="D482" s="23">
        <f>Dataset1_Raw!D482</f>
        <v>0</v>
      </c>
      <c r="E482" s="23">
        <f>Dataset1_Raw!E482</f>
        <v>1</v>
      </c>
      <c r="F482" s="23">
        <f>Dataset1_Raw!F482</f>
        <v>1</v>
      </c>
      <c r="G482" s="23" t="b">
        <f>Dataset1_Raw!G482</f>
        <v>0</v>
      </c>
      <c r="H482" s="23">
        <f>Dataset1_Raw!H482</f>
        <v>6</v>
      </c>
      <c r="I482" s="23">
        <f>Dataset1_Raw!I482</f>
        <v>2</v>
      </c>
      <c r="J482" s="25">
        <f>Dataset1_Raw!J482</f>
        <v>0.04</v>
      </c>
      <c r="K482" s="25">
        <f>IF(ISNUMBER(INDEX(Dataset2_Raw!$B$2:$B$611,$Q482)),INDEX(Dataset2_Raw!$B$2:$B$611,$Q482),"")</f>
        <v>0</v>
      </c>
      <c r="L482" s="25">
        <f>IF(ISNUMBER(INDEX(Dataset2_Raw!$C$2:$C$611,$Q482)),INDEX(Dataset2_Raw!$C$2:$C$611,$Q482),"")</f>
        <v>0.41</v>
      </c>
      <c r="M482" s="25">
        <f>IF(ISNUMBER(INDEX(Dataset2_Raw!$D$2:$D$611,$Q482)),INDEX(Dataset2_Raw!$D$2:$D$611,$Q482),"")</f>
        <v>0.3881</v>
      </c>
      <c r="N482" s="23">
        <f>IF(ISNUMBER(INDEX(Dataset2_Raw!$E$2:$E$611,$Q482)),INDEX(Dataset2_Raw!$E$2:$E$611,$Q482),"")</f>
        <v>3</v>
      </c>
      <c r="O482" s="23">
        <f>IF(ISNUMBER(INDEX(Dataset2_Raw!$F$2:$F$611,$Q482)),INDEX(Dataset2_Raw!$F$2:$F$611,$Q482),"")</f>
        <v>9</v>
      </c>
      <c r="P482" s="23">
        <f>IF(ISNUMBER(INDEX(Dataset2_Raw!$G$2:$G$611,$Q482)),INDEX(Dataset2_Raw!$G$2:$G$611,$Q482),"")</f>
        <v>12</v>
      </c>
      <c r="Q482" s="23">
        <f>IFERROR(MATCH($A482,Dataset2_Raw!$A$2:$A$611,0),0)</f>
        <v>481</v>
      </c>
    </row>
    <row r="483" spans="1:17" x14ac:dyDescent="0.35">
      <c r="A483" s="23">
        <f>Dataset1_Raw!A483</f>
        <v>482</v>
      </c>
      <c r="B483" s="24">
        <f>Dataset1_Raw!B483</f>
        <v>40565</v>
      </c>
      <c r="C483" s="23">
        <f>Dataset1_Raw!C483</f>
        <v>1</v>
      </c>
      <c r="D483" s="23">
        <f>Dataset1_Raw!D483</f>
        <v>0</v>
      </c>
      <c r="E483" s="23">
        <f>Dataset1_Raw!E483</f>
        <v>1</v>
      </c>
      <c r="F483" s="23">
        <f>Dataset1_Raw!F483</f>
        <v>2</v>
      </c>
      <c r="G483" s="23" t="b">
        <f>Dataset1_Raw!G483</f>
        <v>0</v>
      </c>
      <c r="H483" s="23">
        <f>Dataset1_Raw!H483</f>
        <v>6</v>
      </c>
      <c r="I483" s="23">
        <f>Dataset1_Raw!I483</f>
        <v>2</v>
      </c>
      <c r="J483" s="25">
        <f>Dataset1_Raw!J483</f>
        <v>0.04</v>
      </c>
      <c r="K483" s="25">
        <f>IF(ISNUMBER(INDEX(Dataset2_Raw!$B$2:$B$611,$Q483)),INDEX(Dataset2_Raw!$B$2:$B$611,$Q483),"")</f>
        <v>3.0300000000000001E-2</v>
      </c>
      <c r="L483" s="25">
        <f>IF(ISNUMBER(INDEX(Dataset2_Raw!$C$2:$C$611,$Q483)),INDEX(Dataset2_Raw!$C$2:$C$611,$Q483),"")</f>
        <v>0.41</v>
      </c>
      <c r="M483" s="25">
        <f>IF(ISNUMBER(INDEX(Dataset2_Raw!$D$2:$D$611,$Q483)),INDEX(Dataset2_Raw!$D$2:$D$611,$Q483),"")</f>
        <v>0.25369999999999998</v>
      </c>
      <c r="N483" s="23">
        <f>IF(ISNUMBER(INDEX(Dataset2_Raw!$E$2:$E$611,$Q483)),INDEX(Dataset2_Raw!$E$2:$E$611,$Q483),"")</f>
        <v>0</v>
      </c>
      <c r="O483" s="23">
        <f>IF(ISNUMBER(INDEX(Dataset2_Raw!$F$2:$F$611,$Q483)),INDEX(Dataset2_Raw!$F$2:$F$611,$Q483),"")</f>
        <v>11</v>
      </c>
      <c r="P483" s="23">
        <f>IF(ISNUMBER(INDEX(Dataset2_Raw!$G$2:$G$611,$Q483)),INDEX(Dataset2_Raw!$G$2:$G$611,$Q483),"")</f>
        <v>11</v>
      </c>
      <c r="Q483" s="23">
        <f>IFERROR(MATCH($A483,Dataset2_Raw!$A$2:$A$611,0),0)</f>
        <v>482</v>
      </c>
    </row>
    <row r="484" spans="1:17" x14ac:dyDescent="0.35">
      <c r="A484" s="23">
        <f>Dataset1_Raw!A484</f>
        <v>483</v>
      </c>
      <c r="B484" s="24">
        <f>Dataset1_Raw!B484</f>
        <v>40565</v>
      </c>
      <c r="C484" s="23">
        <f>Dataset1_Raw!C484</f>
        <v>1</v>
      </c>
      <c r="D484" s="23">
        <f>Dataset1_Raw!D484</f>
        <v>0</v>
      </c>
      <c r="E484" s="23">
        <f>Dataset1_Raw!E484</f>
        <v>1</v>
      </c>
      <c r="F484" s="23">
        <f>Dataset1_Raw!F484</f>
        <v>3</v>
      </c>
      <c r="G484" s="23" t="b">
        <f>Dataset1_Raw!G484</f>
        <v>0</v>
      </c>
      <c r="H484" s="23">
        <f>Dataset1_Raw!H484</f>
        <v>6</v>
      </c>
      <c r="I484" s="23">
        <f>Dataset1_Raw!I484</f>
        <v>2</v>
      </c>
      <c r="J484" s="25">
        <f>Dataset1_Raw!J484</f>
        <v>0.04</v>
      </c>
      <c r="K484" s="25">
        <f>IF(ISNUMBER(INDEX(Dataset2_Raw!$B$2:$B$611,$Q484)),INDEX(Dataset2_Raw!$B$2:$B$611,$Q484),"")</f>
        <v>3.0300000000000001E-2</v>
      </c>
      <c r="L484" s="25">
        <f>IF(ISNUMBER(INDEX(Dataset2_Raw!$C$2:$C$611,$Q484)),INDEX(Dataset2_Raw!$C$2:$C$611,$Q484),"")</f>
        <v>0.41</v>
      </c>
      <c r="M484" s="25">
        <f>IF(ISNUMBER(INDEX(Dataset2_Raw!$D$2:$D$611,$Q484)),INDEX(Dataset2_Raw!$D$2:$D$611,$Q484),"")</f>
        <v>0.28360000000000002</v>
      </c>
      <c r="N484" s="23">
        <f>IF(ISNUMBER(INDEX(Dataset2_Raw!$E$2:$E$611,$Q484)),INDEX(Dataset2_Raw!$E$2:$E$611,$Q484),"")</f>
        <v>1</v>
      </c>
      <c r="O484" s="23">
        <f>IF(ISNUMBER(INDEX(Dataset2_Raw!$F$2:$F$611,$Q484)),INDEX(Dataset2_Raw!$F$2:$F$611,$Q484),"")</f>
        <v>6</v>
      </c>
      <c r="P484" s="23">
        <f>IF(ISNUMBER(INDEX(Dataset2_Raw!$G$2:$G$611,$Q484)),INDEX(Dataset2_Raw!$G$2:$G$611,$Q484),"")</f>
        <v>7</v>
      </c>
      <c r="Q484" s="23">
        <f>IFERROR(MATCH($A484,Dataset2_Raw!$A$2:$A$611,0),0)</f>
        <v>483</v>
      </c>
    </row>
    <row r="485" spans="1:17" x14ac:dyDescent="0.35">
      <c r="A485" s="23">
        <f>Dataset1_Raw!A485</f>
        <v>484</v>
      </c>
      <c r="B485" s="24">
        <f>Dataset1_Raw!B485</f>
        <v>40565</v>
      </c>
      <c r="C485" s="23">
        <f>Dataset1_Raw!C485</f>
        <v>1</v>
      </c>
      <c r="D485" s="23">
        <f>Dataset1_Raw!D485</f>
        <v>0</v>
      </c>
      <c r="E485" s="23">
        <f>Dataset1_Raw!E485</f>
        <v>1</v>
      </c>
      <c r="F485" s="23">
        <f>Dataset1_Raw!F485</f>
        <v>4</v>
      </c>
      <c r="G485" s="23" t="b">
        <f>Dataset1_Raw!G485</f>
        <v>0</v>
      </c>
      <c r="H485" s="23">
        <f>Dataset1_Raw!H485</f>
        <v>6</v>
      </c>
      <c r="I485" s="23">
        <f>Dataset1_Raw!I485</f>
        <v>2</v>
      </c>
      <c r="J485" s="25">
        <f>Dataset1_Raw!J485</f>
        <v>0.02</v>
      </c>
      <c r="K485" s="25">
        <f>IF(ISNUMBER(INDEX(Dataset2_Raw!$B$2:$B$611,$Q485)),INDEX(Dataset2_Raw!$B$2:$B$611,$Q485),"")</f>
        <v>1.52E-2</v>
      </c>
      <c r="L485" s="25">
        <f>IF(ISNUMBER(INDEX(Dataset2_Raw!$C$2:$C$611,$Q485)),INDEX(Dataset2_Raw!$C$2:$C$611,$Q485),"")</f>
        <v>0.48</v>
      </c>
      <c r="M485" s="25">
        <f>IF(ISNUMBER(INDEX(Dataset2_Raw!$D$2:$D$611,$Q485)),INDEX(Dataset2_Raw!$D$2:$D$611,$Q485),"")</f>
        <v>0.29849999999999999</v>
      </c>
      <c r="N485" s="23">
        <f>IF(ISNUMBER(INDEX(Dataset2_Raw!$E$2:$E$611,$Q485)),INDEX(Dataset2_Raw!$E$2:$E$611,$Q485),"")</f>
        <v>0</v>
      </c>
      <c r="O485" s="23">
        <f>IF(ISNUMBER(INDEX(Dataset2_Raw!$F$2:$F$611,$Q485)),INDEX(Dataset2_Raw!$F$2:$F$611,$Q485),"")</f>
        <v>3</v>
      </c>
      <c r="P485" s="23">
        <f>IF(ISNUMBER(INDEX(Dataset2_Raw!$G$2:$G$611,$Q485)),INDEX(Dataset2_Raw!$G$2:$G$611,$Q485),"")</f>
        <v>3</v>
      </c>
      <c r="Q485" s="23">
        <f>IFERROR(MATCH($A485,Dataset2_Raw!$A$2:$A$611,0),0)</f>
        <v>484</v>
      </c>
    </row>
    <row r="486" spans="1:17" x14ac:dyDescent="0.35">
      <c r="A486" s="23">
        <f>Dataset1_Raw!A486</f>
        <v>485</v>
      </c>
      <c r="B486" s="24">
        <f>Dataset1_Raw!B486</f>
        <v>40565</v>
      </c>
      <c r="C486" s="23">
        <f>Dataset1_Raw!C486</f>
        <v>1</v>
      </c>
      <c r="D486" s="23">
        <f>Dataset1_Raw!D486</f>
        <v>0</v>
      </c>
      <c r="E486" s="23">
        <f>Dataset1_Raw!E486</f>
        <v>1</v>
      </c>
      <c r="F486" s="23">
        <f>Dataset1_Raw!F486</f>
        <v>6</v>
      </c>
      <c r="G486" s="23" t="b">
        <f>Dataset1_Raw!G486</f>
        <v>0</v>
      </c>
      <c r="H486" s="23">
        <f>Dataset1_Raw!H486</f>
        <v>6</v>
      </c>
      <c r="I486" s="23">
        <f>Dataset1_Raw!I486</f>
        <v>2</v>
      </c>
      <c r="J486" s="25">
        <f>Dataset1_Raw!J486</f>
        <v>0.02</v>
      </c>
      <c r="K486" s="25">
        <f>IF(ISNUMBER(INDEX(Dataset2_Raw!$B$2:$B$611,$Q486)),INDEX(Dataset2_Raw!$B$2:$B$611,$Q486),"")</f>
        <v>3.0300000000000001E-2</v>
      </c>
      <c r="L486" s="25">
        <f>IF(ISNUMBER(INDEX(Dataset2_Raw!$C$2:$C$611,$Q486)),INDEX(Dataset2_Raw!$C$2:$C$611,$Q486),"")</f>
        <v>0.44</v>
      </c>
      <c r="M486" s="25">
        <f>IF(ISNUMBER(INDEX(Dataset2_Raw!$D$2:$D$611,$Q486)),INDEX(Dataset2_Raw!$D$2:$D$611,$Q486),"")</f>
        <v>0.22389999999999999</v>
      </c>
      <c r="N486" s="23">
        <f>IF(ISNUMBER(INDEX(Dataset2_Raw!$E$2:$E$611,$Q486)),INDEX(Dataset2_Raw!$E$2:$E$611,$Q486),"")</f>
        <v>0</v>
      </c>
      <c r="O486" s="23">
        <f>IF(ISNUMBER(INDEX(Dataset2_Raw!$F$2:$F$611,$Q486)),INDEX(Dataset2_Raw!$F$2:$F$611,$Q486),"")</f>
        <v>2</v>
      </c>
      <c r="P486" s="23">
        <f>IF(ISNUMBER(INDEX(Dataset2_Raw!$G$2:$G$611,$Q486)),INDEX(Dataset2_Raw!$G$2:$G$611,$Q486),"")</f>
        <v>2</v>
      </c>
      <c r="Q486" s="23">
        <f>IFERROR(MATCH($A486,Dataset2_Raw!$A$2:$A$611,0),0)</f>
        <v>485</v>
      </c>
    </row>
    <row r="487" spans="1:17" x14ac:dyDescent="0.35">
      <c r="A487" s="23">
        <f>Dataset1_Raw!A487</f>
        <v>486</v>
      </c>
      <c r="B487" s="24">
        <f>Dataset1_Raw!B487</f>
        <v>40565</v>
      </c>
      <c r="C487" s="23">
        <f>Dataset1_Raw!C487</f>
        <v>1</v>
      </c>
      <c r="D487" s="23">
        <f>Dataset1_Raw!D487</f>
        <v>0</v>
      </c>
      <c r="E487" s="23">
        <f>Dataset1_Raw!E487</f>
        <v>1</v>
      </c>
      <c r="F487" s="23">
        <f>Dataset1_Raw!F487</f>
        <v>7</v>
      </c>
      <c r="G487" s="23" t="b">
        <f>Dataset1_Raw!G487</f>
        <v>0</v>
      </c>
      <c r="H487" s="23">
        <f>Dataset1_Raw!H487</f>
        <v>6</v>
      </c>
      <c r="I487" s="23">
        <f>Dataset1_Raw!I487</f>
        <v>1</v>
      </c>
      <c r="J487" s="25">
        <f>Dataset1_Raw!J487</f>
        <v>0.02</v>
      </c>
      <c r="K487" s="25">
        <f>IF(ISNUMBER(INDEX(Dataset2_Raw!$B$2:$B$611,$Q487)),INDEX(Dataset2_Raw!$B$2:$B$611,$Q487),"")</f>
        <v>1.52E-2</v>
      </c>
      <c r="L487" s="25">
        <f>IF(ISNUMBER(INDEX(Dataset2_Raw!$C$2:$C$611,$Q487)),INDEX(Dataset2_Raw!$C$2:$C$611,$Q487),"")</f>
        <v>0.44</v>
      </c>
      <c r="M487" s="25">
        <f>IF(ISNUMBER(INDEX(Dataset2_Raw!$D$2:$D$611,$Q487)),INDEX(Dataset2_Raw!$D$2:$D$611,$Q487),"")</f>
        <v>0.28360000000000002</v>
      </c>
      <c r="N487" s="23">
        <f>IF(ISNUMBER(INDEX(Dataset2_Raw!$E$2:$E$611,$Q487)),INDEX(Dataset2_Raw!$E$2:$E$611,$Q487),"")</f>
        <v>0</v>
      </c>
      <c r="O487" s="23">
        <f>IF(ISNUMBER(INDEX(Dataset2_Raw!$F$2:$F$611,$Q487)),INDEX(Dataset2_Raw!$F$2:$F$611,$Q487),"")</f>
        <v>8</v>
      </c>
      <c r="P487" s="23">
        <f>IF(ISNUMBER(INDEX(Dataset2_Raw!$G$2:$G$611,$Q487)),INDEX(Dataset2_Raw!$G$2:$G$611,$Q487),"")</f>
        <v>8</v>
      </c>
      <c r="Q487" s="23">
        <f>IFERROR(MATCH($A487,Dataset2_Raw!$A$2:$A$611,0),0)</f>
        <v>486</v>
      </c>
    </row>
    <row r="488" spans="1:17" x14ac:dyDescent="0.35">
      <c r="A488" s="23">
        <f>Dataset1_Raw!A488</f>
        <v>487</v>
      </c>
      <c r="B488" s="24">
        <f>Dataset1_Raw!B488</f>
        <v>40565</v>
      </c>
      <c r="C488" s="23">
        <f>Dataset1_Raw!C488</f>
        <v>1</v>
      </c>
      <c r="D488" s="23">
        <f>Dataset1_Raw!D488</f>
        <v>0</v>
      </c>
      <c r="E488" s="23">
        <f>Dataset1_Raw!E488</f>
        <v>1</v>
      </c>
      <c r="F488" s="23">
        <f>Dataset1_Raw!F488</f>
        <v>8</v>
      </c>
      <c r="G488" s="23" t="b">
        <f>Dataset1_Raw!G488</f>
        <v>0</v>
      </c>
      <c r="H488" s="23">
        <f>Dataset1_Raw!H488</f>
        <v>6</v>
      </c>
      <c r="I488" s="23">
        <f>Dataset1_Raw!I488</f>
        <v>1</v>
      </c>
      <c r="J488" s="25">
        <f>Dataset1_Raw!J488</f>
        <v>0.02</v>
      </c>
      <c r="K488" s="25">
        <f>IF(ISNUMBER(INDEX(Dataset2_Raw!$B$2:$B$611,$Q488)),INDEX(Dataset2_Raw!$B$2:$B$611,$Q488),"")</f>
        <v>0</v>
      </c>
      <c r="L488" s="25">
        <f>IF(ISNUMBER(INDEX(Dataset2_Raw!$C$2:$C$611,$Q488)),INDEX(Dataset2_Raw!$C$2:$C$611,$Q488),"")</f>
        <v>0.44</v>
      </c>
      <c r="M488" s="25">
        <f>IF(ISNUMBER(INDEX(Dataset2_Raw!$D$2:$D$611,$Q488)),INDEX(Dataset2_Raw!$D$2:$D$611,$Q488),"")</f>
        <v>0.32840000000000003</v>
      </c>
      <c r="N488" s="23">
        <f>IF(ISNUMBER(INDEX(Dataset2_Raw!$E$2:$E$611,$Q488)),INDEX(Dataset2_Raw!$E$2:$E$611,$Q488),"")</f>
        <v>1</v>
      </c>
      <c r="O488" s="23">
        <f>IF(ISNUMBER(INDEX(Dataset2_Raw!$F$2:$F$611,$Q488)),INDEX(Dataset2_Raw!$F$2:$F$611,$Q488),"")</f>
        <v>26</v>
      </c>
      <c r="P488" s="23">
        <f>IF(ISNUMBER(INDEX(Dataset2_Raw!$G$2:$G$611,$Q488)),INDEX(Dataset2_Raw!$G$2:$G$611,$Q488),"")</f>
        <v>27</v>
      </c>
      <c r="Q488" s="23">
        <f>IFERROR(MATCH($A488,Dataset2_Raw!$A$2:$A$611,0),0)</f>
        <v>487</v>
      </c>
    </row>
    <row r="489" spans="1:17" x14ac:dyDescent="0.35">
      <c r="A489" s="23">
        <f>Dataset1_Raw!A489</f>
        <v>488</v>
      </c>
      <c r="B489" s="24">
        <f>Dataset1_Raw!B489</f>
        <v>40565</v>
      </c>
      <c r="C489" s="23">
        <f>Dataset1_Raw!C489</f>
        <v>1</v>
      </c>
      <c r="D489" s="23">
        <f>Dataset1_Raw!D489</f>
        <v>0</v>
      </c>
      <c r="E489" s="23">
        <f>Dataset1_Raw!E489</f>
        <v>1</v>
      </c>
      <c r="F489" s="23">
        <f>Dataset1_Raw!F489</f>
        <v>9</v>
      </c>
      <c r="G489" s="23" t="b">
        <f>Dataset1_Raw!G489</f>
        <v>0</v>
      </c>
      <c r="H489" s="23">
        <f>Dataset1_Raw!H489</f>
        <v>6</v>
      </c>
      <c r="I489" s="23">
        <f>Dataset1_Raw!I489</f>
        <v>1</v>
      </c>
      <c r="J489" s="25">
        <f>Dataset1_Raw!J489</f>
        <v>0.04</v>
      </c>
      <c r="K489" s="25">
        <f>IF(ISNUMBER(INDEX(Dataset2_Raw!$B$2:$B$611,$Q489)),INDEX(Dataset2_Raw!$B$2:$B$611,$Q489),"")</f>
        <v>3.0300000000000001E-2</v>
      </c>
      <c r="L489" s="25">
        <f>IF(ISNUMBER(INDEX(Dataset2_Raw!$C$2:$C$611,$Q489)),INDEX(Dataset2_Raw!$C$2:$C$611,$Q489),"")</f>
        <v>0.41</v>
      </c>
      <c r="M489" s="25">
        <f>IF(ISNUMBER(INDEX(Dataset2_Raw!$D$2:$D$611,$Q489)),INDEX(Dataset2_Raw!$D$2:$D$611,$Q489),"")</f>
        <v>0.25369999999999998</v>
      </c>
      <c r="N489" s="23">
        <f>IF(ISNUMBER(INDEX(Dataset2_Raw!$E$2:$E$611,$Q489)),INDEX(Dataset2_Raw!$E$2:$E$611,$Q489),"")</f>
        <v>3</v>
      </c>
      <c r="O489" s="23">
        <f>IF(ISNUMBER(INDEX(Dataset2_Raw!$F$2:$F$611,$Q489)),INDEX(Dataset2_Raw!$F$2:$F$611,$Q489),"")</f>
        <v>37</v>
      </c>
      <c r="P489" s="23">
        <f>IF(ISNUMBER(INDEX(Dataset2_Raw!$G$2:$G$611,$Q489)),INDEX(Dataset2_Raw!$G$2:$G$611,$Q489),"")</f>
        <v>40</v>
      </c>
      <c r="Q489" s="23">
        <f>IFERROR(MATCH($A489,Dataset2_Raw!$A$2:$A$611,0),0)</f>
        <v>488</v>
      </c>
    </row>
    <row r="490" spans="1:17" x14ac:dyDescent="0.35">
      <c r="A490" s="23">
        <f>Dataset1_Raw!A490</f>
        <v>489</v>
      </c>
      <c r="B490" s="24">
        <f>Dataset1_Raw!B490</f>
        <v>40565</v>
      </c>
      <c r="C490" s="23">
        <f>Dataset1_Raw!C490</f>
        <v>1</v>
      </c>
      <c r="D490" s="23">
        <f>Dataset1_Raw!D490</f>
        <v>0</v>
      </c>
      <c r="E490" s="23">
        <f>Dataset1_Raw!E490</f>
        <v>1</v>
      </c>
      <c r="F490" s="23">
        <f>Dataset1_Raw!F490</f>
        <v>10</v>
      </c>
      <c r="G490" s="23" t="b">
        <f>Dataset1_Raw!G490</f>
        <v>0</v>
      </c>
      <c r="H490" s="23">
        <f>Dataset1_Raw!H490</f>
        <v>6</v>
      </c>
      <c r="I490" s="23">
        <f>Dataset1_Raw!I490</f>
        <v>2</v>
      </c>
      <c r="J490" s="25">
        <f>Dataset1_Raw!J490</f>
        <v>0.04</v>
      </c>
      <c r="K490" s="25">
        <f>IF(ISNUMBER(INDEX(Dataset2_Raw!$B$2:$B$611,$Q490)),INDEX(Dataset2_Raw!$B$2:$B$611,$Q490),"")</f>
        <v>6.0600000000000001E-2</v>
      </c>
      <c r="L490" s="25">
        <f>IF(ISNUMBER(INDEX(Dataset2_Raw!$C$2:$C$611,$Q490)),INDEX(Dataset2_Raw!$C$2:$C$611,$Q490),"")</f>
        <v>0.41</v>
      </c>
      <c r="M490" s="25">
        <f>IF(ISNUMBER(INDEX(Dataset2_Raw!$D$2:$D$611,$Q490)),INDEX(Dataset2_Raw!$D$2:$D$611,$Q490),"")</f>
        <v>0.16420000000000001</v>
      </c>
      <c r="N490" s="23">
        <f>IF(ISNUMBER(INDEX(Dataset2_Raw!$E$2:$E$611,$Q490)),INDEX(Dataset2_Raw!$E$2:$E$611,$Q490),"")</f>
        <v>3</v>
      </c>
      <c r="O490" s="23">
        <f>IF(ISNUMBER(INDEX(Dataset2_Raw!$F$2:$F$611,$Q490)),INDEX(Dataset2_Raw!$F$2:$F$611,$Q490),"")</f>
        <v>50</v>
      </c>
      <c r="P490" s="23">
        <f>IF(ISNUMBER(INDEX(Dataset2_Raw!$G$2:$G$611,$Q490)),INDEX(Dataset2_Raw!$G$2:$G$611,$Q490),"")</f>
        <v>53</v>
      </c>
      <c r="Q490" s="23">
        <f>IFERROR(MATCH($A490,Dataset2_Raw!$A$2:$A$611,0),0)</f>
        <v>489</v>
      </c>
    </row>
    <row r="491" spans="1:17" x14ac:dyDescent="0.35">
      <c r="A491" s="23">
        <f>Dataset1_Raw!A491</f>
        <v>490</v>
      </c>
      <c r="B491" s="24">
        <f>Dataset1_Raw!B491</f>
        <v>40565</v>
      </c>
      <c r="C491" s="23">
        <f>Dataset1_Raw!C491</f>
        <v>1</v>
      </c>
      <c r="D491" s="23">
        <f>Dataset1_Raw!D491</f>
        <v>0</v>
      </c>
      <c r="E491" s="23">
        <f>Dataset1_Raw!E491</f>
        <v>1</v>
      </c>
      <c r="F491" s="23">
        <f>Dataset1_Raw!F491</f>
        <v>11</v>
      </c>
      <c r="G491" s="23" t="b">
        <f>Dataset1_Raw!G491</f>
        <v>0</v>
      </c>
      <c r="H491" s="23">
        <f>Dataset1_Raw!H491</f>
        <v>6</v>
      </c>
      <c r="I491" s="23">
        <f>Dataset1_Raw!I491</f>
        <v>2</v>
      </c>
      <c r="J491" s="25">
        <f>Dataset1_Raw!J491</f>
        <v>0.06</v>
      </c>
      <c r="K491" s="25">
        <f>IF(ISNUMBER(INDEX(Dataset2_Raw!$B$2:$B$611,$Q491)),INDEX(Dataset2_Raw!$B$2:$B$611,$Q491),"")</f>
        <v>7.5800000000000006E-2</v>
      </c>
      <c r="L491" s="25">
        <f>IF(ISNUMBER(INDEX(Dataset2_Raw!$C$2:$C$611,$Q491)),INDEX(Dataset2_Raw!$C$2:$C$611,$Q491),"")</f>
        <v>0.38</v>
      </c>
      <c r="M491" s="25">
        <f>IF(ISNUMBER(INDEX(Dataset2_Raw!$D$2:$D$611,$Q491)),INDEX(Dataset2_Raw!$D$2:$D$611,$Q491),"")</f>
        <v>0.1343</v>
      </c>
      <c r="N491" s="23">
        <f>IF(ISNUMBER(INDEX(Dataset2_Raw!$E$2:$E$611,$Q491)),INDEX(Dataset2_Raw!$E$2:$E$611,$Q491),"")</f>
        <v>4</v>
      </c>
      <c r="O491" s="23">
        <f>IF(ISNUMBER(INDEX(Dataset2_Raw!$F$2:$F$611,$Q491)),INDEX(Dataset2_Raw!$F$2:$F$611,$Q491),"")</f>
        <v>59</v>
      </c>
      <c r="P491" s="23">
        <f>IF(ISNUMBER(INDEX(Dataset2_Raw!$G$2:$G$611,$Q491)),INDEX(Dataset2_Raw!$G$2:$G$611,$Q491),"")</f>
        <v>63</v>
      </c>
      <c r="Q491" s="23">
        <f>IFERROR(MATCH($A491,Dataset2_Raw!$A$2:$A$611,0),0)</f>
        <v>490</v>
      </c>
    </row>
    <row r="492" spans="1:17" x14ac:dyDescent="0.35">
      <c r="A492" s="23">
        <f>Dataset1_Raw!A492</f>
        <v>491</v>
      </c>
      <c r="B492" s="24">
        <f>Dataset1_Raw!B492</f>
        <v>40565</v>
      </c>
      <c r="C492" s="23">
        <f>Dataset1_Raw!C492</f>
        <v>1</v>
      </c>
      <c r="D492" s="23">
        <f>Dataset1_Raw!D492</f>
        <v>0</v>
      </c>
      <c r="E492" s="23">
        <f>Dataset1_Raw!E492</f>
        <v>1</v>
      </c>
      <c r="F492" s="23">
        <f>Dataset1_Raw!F492</f>
        <v>12</v>
      </c>
      <c r="G492" s="23" t="b">
        <f>Dataset1_Raw!G492</f>
        <v>0</v>
      </c>
      <c r="H492" s="23">
        <f>Dataset1_Raw!H492</f>
        <v>6</v>
      </c>
      <c r="I492" s="23">
        <f>Dataset1_Raw!I492</f>
        <v>2</v>
      </c>
      <c r="J492" s="25">
        <f>Dataset1_Raw!J492</f>
        <v>0.06</v>
      </c>
      <c r="K492" s="25">
        <f>IF(ISNUMBER(INDEX(Dataset2_Raw!$B$2:$B$611,$Q492)),INDEX(Dataset2_Raw!$B$2:$B$611,$Q492),"")</f>
        <v>0.1061</v>
      </c>
      <c r="L492" s="25">
        <f>IF(ISNUMBER(INDEX(Dataset2_Raw!$C$2:$C$611,$Q492)),INDEX(Dataset2_Raw!$C$2:$C$611,$Q492),"")</f>
        <v>0.38</v>
      </c>
      <c r="M492" s="25">
        <f>IF(ISNUMBER(INDEX(Dataset2_Raw!$D$2:$D$611,$Q492)),INDEX(Dataset2_Raw!$D$2:$D$611,$Q492),"")</f>
        <v>0.1045</v>
      </c>
      <c r="N492" s="23">
        <f>IF(ISNUMBER(INDEX(Dataset2_Raw!$E$2:$E$611,$Q492)),INDEX(Dataset2_Raw!$E$2:$E$611,$Q492),"")</f>
        <v>10</v>
      </c>
      <c r="O492" s="23">
        <f>IF(ISNUMBER(INDEX(Dataset2_Raw!$F$2:$F$611,$Q492)),INDEX(Dataset2_Raw!$F$2:$F$611,$Q492),"")</f>
        <v>60</v>
      </c>
      <c r="P492" s="23">
        <f>IF(ISNUMBER(INDEX(Dataset2_Raw!$G$2:$G$611,$Q492)),INDEX(Dataset2_Raw!$G$2:$G$611,$Q492),"")</f>
        <v>70</v>
      </c>
      <c r="Q492" s="23">
        <f>IFERROR(MATCH($A492,Dataset2_Raw!$A$2:$A$611,0),0)</f>
        <v>491</v>
      </c>
    </row>
    <row r="493" spans="1:17" x14ac:dyDescent="0.35">
      <c r="A493" s="23">
        <f>Dataset1_Raw!A493</f>
        <v>492</v>
      </c>
      <c r="B493" s="24">
        <f>Dataset1_Raw!B493</f>
        <v>40565</v>
      </c>
      <c r="C493" s="23">
        <f>Dataset1_Raw!C493</f>
        <v>1</v>
      </c>
      <c r="D493" s="23">
        <f>Dataset1_Raw!D493</f>
        <v>0</v>
      </c>
      <c r="E493" s="23">
        <f>Dataset1_Raw!E493</f>
        <v>1</v>
      </c>
      <c r="F493" s="23">
        <f>Dataset1_Raw!F493</f>
        <v>13</v>
      </c>
      <c r="G493" s="23" t="b">
        <f>Dataset1_Raw!G493</f>
        <v>0</v>
      </c>
      <c r="H493" s="23">
        <f>Dataset1_Raw!H493</f>
        <v>6</v>
      </c>
      <c r="I493" s="23">
        <f>Dataset1_Raw!I493</f>
        <v>1</v>
      </c>
      <c r="J493" s="25">
        <f>Dataset1_Raw!J493</f>
        <v>0.08</v>
      </c>
      <c r="K493" s="25">
        <f>IF(ISNUMBER(INDEX(Dataset2_Raw!$B$2:$B$611,$Q493)),INDEX(Dataset2_Raw!$B$2:$B$611,$Q493),"")</f>
        <v>0.16669999999999999</v>
      </c>
      <c r="L493" s="25">
        <f>IF(ISNUMBER(INDEX(Dataset2_Raw!$C$2:$C$611,$Q493)),INDEX(Dataset2_Raw!$C$2:$C$611,$Q493),"")</f>
        <v>0.35</v>
      </c>
      <c r="M493" s="25">
        <f>IF(ISNUMBER(INDEX(Dataset2_Raw!$D$2:$D$611,$Q493)),INDEX(Dataset2_Raw!$D$2:$D$611,$Q493),"")</f>
        <v>0</v>
      </c>
      <c r="N493" s="23">
        <f>IF(ISNUMBER(INDEX(Dataset2_Raw!$E$2:$E$611,$Q493)),INDEX(Dataset2_Raw!$E$2:$E$611,$Q493),"")</f>
        <v>12</v>
      </c>
      <c r="O493" s="23">
        <f>IF(ISNUMBER(INDEX(Dataset2_Raw!$F$2:$F$611,$Q493)),INDEX(Dataset2_Raw!$F$2:$F$611,$Q493),"")</f>
        <v>72</v>
      </c>
      <c r="P493" s="23">
        <f>IF(ISNUMBER(INDEX(Dataset2_Raw!$G$2:$G$611,$Q493)),INDEX(Dataset2_Raw!$G$2:$G$611,$Q493),"")</f>
        <v>84</v>
      </c>
      <c r="Q493" s="23">
        <f>IFERROR(MATCH($A493,Dataset2_Raw!$A$2:$A$611,0),0)</f>
        <v>492</v>
      </c>
    </row>
    <row r="494" spans="1:17" x14ac:dyDescent="0.35">
      <c r="A494" s="23">
        <f>Dataset1_Raw!A494</f>
        <v>493</v>
      </c>
      <c r="B494" s="24">
        <f>Dataset1_Raw!B494</f>
        <v>40565</v>
      </c>
      <c r="C494" s="23">
        <f>Dataset1_Raw!C494</f>
        <v>1</v>
      </c>
      <c r="D494" s="23">
        <f>Dataset1_Raw!D494</f>
        <v>0</v>
      </c>
      <c r="E494" s="23">
        <f>Dataset1_Raw!E494</f>
        <v>1</v>
      </c>
      <c r="F494" s="23">
        <f>Dataset1_Raw!F494</f>
        <v>14</v>
      </c>
      <c r="G494" s="23" t="b">
        <f>Dataset1_Raw!G494</f>
        <v>0</v>
      </c>
      <c r="H494" s="23">
        <f>Dataset1_Raw!H494</f>
        <v>6</v>
      </c>
      <c r="I494" s="23">
        <f>Dataset1_Raw!I494</f>
        <v>1</v>
      </c>
      <c r="J494" s="25">
        <f>Dataset1_Raw!J494</f>
        <v>0.1</v>
      </c>
      <c r="K494" s="25">
        <f>IF(ISNUMBER(INDEX(Dataset2_Raw!$B$2:$B$611,$Q494)),INDEX(Dataset2_Raw!$B$2:$B$611,$Q494),"")</f>
        <v>0.13639999999999999</v>
      </c>
      <c r="L494" s="25">
        <f>IF(ISNUMBER(INDEX(Dataset2_Raw!$C$2:$C$611,$Q494)),INDEX(Dataset2_Raw!$C$2:$C$611,$Q494),"")</f>
        <v>0.33</v>
      </c>
      <c r="M494" s="25">
        <f>IF(ISNUMBER(INDEX(Dataset2_Raw!$D$2:$D$611,$Q494)),INDEX(Dataset2_Raw!$D$2:$D$611,$Q494),"")</f>
        <v>0.1045</v>
      </c>
      <c r="N494" s="23">
        <f>IF(ISNUMBER(INDEX(Dataset2_Raw!$E$2:$E$611,$Q494)),INDEX(Dataset2_Raw!$E$2:$E$611,$Q494),"")</f>
        <v>11</v>
      </c>
      <c r="O494" s="23">
        <f>IF(ISNUMBER(INDEX(Dataset2_Raw!$F$2:$F$611,$Q494)),INDEX(Dataset2_Raw!$F$2:$F$611,$Q494),"")</f>
        <v>64</v>
      </c>
      <c r="P494" s="23">
        <f>IF(ISNUMBER(INDEX(Dataset2_Raw!$G$2:$G$611,$Q494)),INDEX(Dataset2_Raw!$G$2:$G$611,$Q494),"")</f>
        <v>75</v>
      </c>
      <c r="Q494" s="23">
        <f>IFERROR(MATCH($A494,Dataset2_Raw!$A$2:$A$611,0),0)</f>
        <v>493</v>
      </c>
    </row>
    <row r="495" spans="1:17" x14ac:dyDescent="0.35">
      <c r="A495" s="23">
        <f>Dataset1_Raw!A495</f>
        <v>494</v>
      </c>
      <c r="B495" s="24">
        <f>Dataset1_Raw!B495</f>
        <v>40565</v>
      </c>
      <c r="C495" s="23">
        <f>Dataset1_Raw!C495</f>
        <v>1</v>
      </c>
      <c r="D495" s="23">
        <f>Dataset1_Raw!D495</f>
        <v>0</v>
      </c>
      <c r="E495" s="23">
        <f>Dataset1_Raw!E495</f>
        <v>1</v>
      </c>
      <c r="F495" s="23">
        <f>Dataset1_Raw!F495</f>
        <v>15</v>
      </c>
      <c r="G495" s="23" t="b">
        <f>Dataset1_Raw!G495</f>
        <v>0</v>
      </c>
      <c r="H495" s="23">
        <f>Dataset1_Raw!H495</f>
        <v>6</v>
      </c>
      <c r="I495" s="23">
        <f>Dataset1_Raw!I495</f>
        <v>1</v>
      </c>
      <c r="J495" s="25">
        <f>Dataset1_Raw!J495</f>
        <v>0.12</v>
      </c>
      <c r="K495" s="25">
        <f>IF(ISNUMBER(INDEX(Dataset2_Raw!$B$2:$B$611,$Q495)),INDEX(Dataset2_Raw!$B$2:$B$611,$Q495),"")</f>
        <v>0.1515</v>
      </c>
      <c r="L495" s="25">
        <f>IF(ISNUMBER(INDEX(Dataset2_Raw!$C$2:$C$611,$Q495)),INDEX(Dataset2_Raw!$C$2:$C$611,$Q495),"")</f>
        <v>0.28000000000000003</v>
      </c>
      <c r="M495" s="25">
        <f>IF(ISNUMBER(INDEX(Dataset2_Raw!$D$2:$D$611,$Q495)),INDEX(Dataset2_Raw!$D$2:$D$611,$Q495),"")</f>
        <v>0</v>
      </c>
      <c r="N495" s="23">
        <f>IF(ISNUMBER(INDEX(Dataset2_Raw!$E$2:$E$611,$Q495)),INDEX(Dataset2_Raw!$E$2:$E$611,$Q495),"")</f>
        <v>10</v>
      </c>
      <c r="O495" s="23">
        <f>IF(ISNUMBER(INDEX(Dataset2_Raw!$F$2:$F$611,$Q495)),INDEX(Dataset2_Raw!$F$2:$F$611,$Q495),"")</f>
        <v>93</v>
      </c>
      <c r="P495" s="23">
        <f>IF(ISNUMBER(INDEX(Dataset2_Raw!$G$2:$G$611,$Q495)),INDEX(Dataset2_Raw!$G$2:$G$611,$Q495),"")</f>
        <v>103</v>
      </c>
      <c r="Q495" s="23">
        <f>IFERROR(MATCH($A495,Dataset2_Raw!$A$2:$A$611,0),0)</f>
        <v>494</v>
      </c>
    </row>
    <row r="496" spans="1:17" x14ac:dyDescent="0.35">
      <c r="A496" s="23">
        <f>Dataset1_Raw!A496</f>
        <v>495</v>
      </c>
      <c r="B496" s="24">
        <f>Dataset1_Raw!B496</f>
        <v>40565</v>
      </c>
      <c r="C496" s="23">
        <f>Dataset1_Raw!C496</f>
        <v>1</v>
      </c>
      <c r="D496" s="23">
        <f>Dataset1_Raw!D496</f>
        <v>0</v>
      </c>
      <c r="E496" s="23">
        <f>Dataset1_Raw!E496</f>
        <v>1</v>
      </c>
      <c r="F496" s="23">
        <f>Dataset1_Raw!F496</f>
        <v>16</v>
      </c>
      <c r="G496" s="23" t="b">
        <f>Dataset1_Raw!G496</f>
        <v>0</v>
      </c>
      <c r="H496" s="23">
        <f>Dataset1_Raw!H496</f>
        <v>6</v>
      </c>
      <c r="I496" s="23">
        <f>Dataset1_Raw!I496</f>
        <v>1</v>
      </c>
      <c r="J496" s="25">
        <f>Dataset1_Raw!J496</f>
        <v>0.12</v>
      </c>
      <c r="K496" s="25">
        <f>IF(ISNUMBER(INDEX(Dataset2_Raw!$B$2:$B$611,$Q496)),INDEX(Dataset2_Raw!$B$2:$B$611,$Q496),"")</f>
        <v>0.13639999999999999</v>
      </c>
      <c r="L496" s="25">
        <f>IF(ISNUMBER(INDEX(Dataset2_Raw!$C$2:$C$611,$Q496)),INDEX(Dataset2_Raw!$C$2:$C$611,$Q496),"")</f>
        <v>0.28000000000000003</v>
      </c>
      <c r="M496" s="25">
        <f>IF(ISNUMBER(INDEX(Dataset2_Raw!$D$2:$D$611,$Q496)),INDEX(Dataset2_Raw!$D$2:$D$611,$Q496),"")</f>
        <v>0.19400000000000001</v>
      </c>
      <c r="N496" s="23">
        <f>IF(ISNUMBER(INDEX(Dataset2_Raw!$E$2:$E$611,$Q496)),INDEX(Dataset2_Raw!$E$2:$E$611,$Q496),"")</f>
        <v>11</v>
      </c>
      <c r="O496" s="23">
        <f>IF(ISNUMBER(INDEX(Dataset2_Raw!$F$2:$F$611,$Q496)),INDEX(Dataset2_Raw!$F$2:$F$611,$Q496),"")</f>
        <v>72</v>
      </c>
      <c r="P496" s="23">
        <f>IF(ISNUMBER(INDEX(Dataset2_Raw!$G$2:$G$611,$Q496)),INDEX(Dataset2_Raw!$G$2:$G$611,$Q496),"")</f>
        <v>83</v>
      </c>
      <c r="Q496" s="23">
        <f>IFERROR(MATCH($A496,Dataset2_Raw!$A$2:$A$611,0),0)</f>
        <v>495</v>
      </c>
    </row>
    <row r="497" spans="1:17" x14ac:dyDescent="0.35">
      <c r="A497" s="23">
        <f>Dataset1_Raw!A497</f>
        <v>496</v>
      </c>
      <c r="B497" s="24">
        <f>Dataset1_Raw!B497</f>
        <v>40565</v>
      </c>
      <c r="C497" s="23">
        <f>Dataset1_Raw!C497</f>
        <v>1</v>
      </c>
      <c r="D497" s="23">
        <f>Dataset1_Raw!D497</f>
        <v>0</v>
      </c>
      <c r="E497" s="23">
        <f>Dataset1_Raw!E497</f>
        <v>1</v>
      </c>
      <c r="F497" s="23">
        <f>Dataset1_Raw!F497</f>
        <v>17</v>
      </c>
      <c r="G497" s="23" t="b">
        <f>Dataset1_Raw!G497</f>
        <v>0</v>
      </c>
      <c r="H497" s="23">
        <f>Dataset1_Raw!H497</f>
        <v>6</v>
      </c>
      <c r="I497" s="23">
        <f>Dataset1_Raw!I497</f>
        <v>1</v>
      </c>
      <c r="J497" s="25">
        <f>Dataset1_Raw!J497</f>
        <v>0.12</v>
      </c>
      <c r="K497" s="25">
        <f>IF(ISNUMBER(INDEX(Dataset2_Raw!$B$2:$B$611,$Q497)),INDEX(Dataset2_Raw!$B$2:$B$611,$Q497),"")</f>
        <v>0.19700000000000001</v>
      </c>
      <c r="L497" s="25">
        <f>IF(ISNUMBER(INDEX(Dataset2_Raw!$C$2:$C$611,$Q497)),INDEX(Dataset2_Raw!$C$2:$C$611,$Q497),"")</f>
        <v>0.28000000000000003</v>
      </c>
      <c r="M497" s="25">
        <f>IF(ISNUMBER(INDEX(Dataset2_Raw!$D$2:$D$611,$Q497)),INDEX(Dataset2_Raw!$D$2:$D$611,$Q497),"")</f>
        <v>0</v>
      </c>
      <c r="N497" s="23">
        <f>IF(ISNUMBER(INDEX(Dataset2_Raw!$E$2:$E$611,$Q497)),INDEX(Dataset2_Raw!$E$2:$E$611,$Q497),"")</f>
        <v>8</v>
      </c>
      <c r="O497" s="23">
        <f>IF(ISNUMBER(INDEX(Dataset2_Raw!$F$2:$F$611,$Q497)),INDEX(Dataset2_Raw!$F$2:$F$611,$Q497),"")</f>
        <v>59</v>
      </c>
      <c r="P497" s="23">
        <f>IF(ISNUMBER(INDEX(Dataset2_Raw!$G$2:$G$611,$Q497)),INDEX(Dataset2_Raw!$G$2:$G$611,$Q497),"")</f>
        <v>67</v>
      </c>
      <c r="Q497" s="23">
        <f>IFERROR(MATCH($A497,Dataset2_Raw!$A$2:$A$611,0),0)</f>
        <v>496</v>
      </c>
    </row>
    <row r="498" spans="1:17" x14ac:dyDescent="0.35">
      <c r="A498" s="23">
        <f>Dataset1_Raw!A498</f>
        <v>497</v>
      </c>
      <c r="B498" s="24">
        <f>Dataset1_Raw!B498</f>
        <v>40565</v>
      </c>
      <c r="C498" s="23">
        <f>Dataset1_Raw!C498</f>
        <v>1</v>
      </c>
      <c r="D498" s="23">
        <f>Dataset1_Raw!D498</f>
        <v>0</v>
      </c>
      <c r="E498" s="23">
        <f>Dataset1_Raw!E498</f>
        <v>1</v>
      </c>
      <c r="F498" s="23">
        <f>Dataset1_Raw!F498</f>
        <v>18</v>
      </c>
      <c r="G498" s="23" t="b">
        <f>Dataset1_Raw!G498</f>
        <v>0</v>
      </c>
      <c r="H498" s="23">
        <f>Dataset1_Raw!H498</f>
        <v>6</v>
      </c>
      <c r="I498" s="23">
        <f>Dataset1_Raw!I498</f>
        <v>1</v>
      </c>
      <c r="J498" s="25">
        <f>Dataset1_Raw!J498</f>
        <v>0.08</v>
      </c>
      <c r="K498" s="25">
        <f>IF(ISNUMBER(INDEX(Dataset2_Raw!$B$2:$B$611,$Q498)),INDEX(Dataset2_Raw!$B$2:$B$611,$Q498),"")</f>
        <v>9.0899999999999995E-2</v>
      </c>
      <c r="L498" s="25">
        <f>IF(ISNUMBER(INDEX(Dataset2_Raw!$C$2:$C$611,$Q498)),INDEX(Dataset2_Raw!$C$2:$C$611,$Q498),"")</f>
        <v>0.35</v>
      </c>
      <c r="M498" s="25">
        <f>IF(ISNUMBER(INDEX(Dataset2_Raw!$D$2:$D$611,$Q498)),INDEX(Dataset2_Raw!$D$2:$D$611,$Q498),"")</f>
        <v>0.19400000000000001</v>
      </c>
      <c r="N498" s="23">
        <f>IF(ISNUMBER(INDEX(Dataset2_Raw!$E$2:$E$611,$Q498)),INDEX(Dataset2_Raw!$E$2:$E$611,$Q498),"")</f>
        <v>0</v>
      </c>
      <c r="O498" s="23">
        <f>IF(ISNUMBER(INDEX(Dataset2_Raw!$F$2:$F$611,$Q498)),INDEX(Dataset2_Raw!$F$2:$F$611,$Q498),"")</f>
        <v>54</v>
      </c>
      <c r="P498" s="23">
        <f>IF(ISNUMBER(INDEX(Dataset2_Raw!$G$2:$G$611,$Q498)),INDEX(Dataset2_Raw!$G$2:$G$611,$Q498),"")</f>
        <v>54</v>
      </c>
      <c r="Q498" s="23">
        <f>IFERROR(MATCH($A498,Dataset2_Raw!$A$2:$A$611,0),0)</f>
        <v>497</v>
      </c>
    </row>
    <row r="499" spans="1:17" x14ac:dyDescent="0.35">
      <c r="A499" s="23">
        <f>Dataset1_Raw!A499</f>
        <v>498</v>
      </c>
      <c r="B499" s="24">
        <f>Dataset1_Raw!B499</f>
        <v>40565</v>
      </c>
      <c r="C499" s="23">
        <f>Dataset1_Raw!C499</f>
        <v>1</v>
      </c>
      <c r="D499" s="23">
        <f>Dataset1_Raw!D499</f>
        <v>0</v>
      </c>
      <c r="E499" s="23">
        <f>Dataset1_Raw!E499</f>
        <v>1</v>
      </c>
      <c r="F499" s="23">
        <f>Dataset1_Raw!F499</f>
        <v>19</v>
      </c>
      <c r="G499" s="23" t="b">
        <f>Dataset1_Raw!G499</f>
        <v>0</v>
      </c>
      <c r="H499" s="23">
        <f>Dataset1_Raw!H499</f>
        <v>6</v>
      </c>
      <c r="I499" s="23">
        <f>Dataset1_Raw!I499</f>
        <v>1</v>
      </c>
      <c r="J499" s="25">
        <f>Dataset1_Raw!J499</f>
        <v>0.08</v>
      </c>
      <c r="K499" s="25">
        <f>IF(ISNUMBER(INDEX(Dataset2_Raw!$B$2:$B$611,$Q499)),INDEX(Dataset2_Raw!$B$2:$B$611,$Q499),"")</f>
        <v>0.1061</v>
      </c>
      <c r="L499" s="25">
        <f>IF(ISNUMBER(INDEX(Dataset2_Raw!$C$2:$C$611,$Q499)),INDEX(Dataset2_Raw!$C$2:$C$611,$Q499),"")</f>
        <v>0.35</v>
      </c>
      <c r="M499" s="25">
        <f>IF(ISNUMBER(INDEX(Dataset2_Raw!$D$2:$D$611,$Q499)),INDEX(Dataset2_Raw!$D$2:$D$611,$Q499),"")</f>
        <v>0.1343</v>
      </c>
      <c r="N499" s="23">
        <f>IF(ISNUMBER(INDEX(Dataset2_Raw!$E$2:$E$611,$Q499)),INDEX(Dataset2_Raw!$E$2:$E$611,$Q499),"")</f>
        <v>6</v>
      </c>
      <c r="O499" s="23">
        <f>IF(ISNUMBER(INDEX(Dataset2_Raw!$F$2:$F$611,$Q499)),INDEX(Dataset2_Raw!$F$2:$F$611,$Q499),"")</f>
        <v>53</v>
      </c>
      <c r="P499" s="23">
        <f>IF(ISNUMBER(INDEX(Dataset2_Raw!$G$2:$G$611,$Q499)),INDEX(Dataset2_Raw!$G$2:$G$611,$Q499),"")</f>
        <v>59</v>
      </c>
      <c r="Q499" s="23">
        <f>IFERROR(MATCH($A499,Dataset2_Raw!$A$2:$A$611,0),0)</f>
        <v>498</v>
      </c>
    </row>
    <row r="500" spans="1:17" x14ac:dyDescent="0.35">
      <c r="A500" s="23">
        <f>Dataset1_Raw!A500</f>
        <v>499</v>
      </c>
      <c r="B500" s="24">
        <f>Dataset1_Raw!B500</f>
        <v>40565</v>
      </c>
      <c r="C500" s="23">
        <f>Dataset1_Raw!C500</f>
        <v>1</v>
      </c>
      <c r="D500" s="23">
        <f>Dataset1_Raw!D500</f>
        <v>0</v>
      </c>
      <c r="E500" s="23">
        <f>Dataset1_Raw!E500</f>
        <v>1</v>
      </c>
      <c r="F500" s="23">
        <f>Dataset1_Raw!F500</f>
        <v>20</v>
      </c>
      <c r="G500" s="23" t="b">
        <f>Dataset1_Raw!G500</f>
        <v>0</v>
      </c>
      <c r="H500" s="23">
        <f>Dataset1_Raw!H500</f>
        <v>6</v>
      </c>
      <c r="I500" s="23">
        <f>Dataset1_Raw!I500</f>
        <v>1</v>
      </c>
      <c r="J500" s="25">
        <f>Dataset1_Raw!J500</f>
        <v>0.06</v>
      </c>
      <c r="K500" s="25">
        <f>IF(ISNUMBER(INDEX(Dataset2_Raw!$B$2:$B$611,$Q500)),INDEX(Dataset2_Raw!$B$2:$B$611,$Q500),"")</f>
        <v>7.5800000000000006E-2</v>
      </c>
      <c r="L500" s="25">
        <f>IF(ISNUMBER(INDEX(Dataset2_Raw!$C$2:$C$611,$Q500)),INDEX(Dataset2_Raw!$C$2:$C$611,$Q500),"")</f>
        <v>0.45</v>
      </c>
      <c r="M500" s="25">
        <f>IF(ISNUMBER(INDEX(Dataset2_Raw!$D$2:$D$611,$Q500)),INDEX(Dataset2_Raw!$D$2:$D$611,$Q500),"")</f>
        <v>0.16420000000000001</v>
      </c>
      <c r="N500" s="23">
        <f>IF(ISNUMBER(INDEX(Dataset2_Raw!$E$2:$E$611,$Q500)),INDEX(Dataset2_Raw!$E$2:$E$611,$Q500),"")</f>
        <v>1</v>
      </c>
      <c r="O500" s="23">
        <f>IF(ISNUMBER(INDEX(Dataset2_Raw!$F$2:$F$611,$Q500)),INDEX(Dataset2_Raw!$F$2:$F$611,$Q500),"")</f>
        <v>44</v>
      </c>
      <c r="P500" s="23">
        <f>IF(ISNUMBER(INDEX(Dataset2_Raw!$G$2:$G$611,$Q500)),INDEX(Dataset2_Raw!$G$2:$G$611,$Q500),"")</f>
        <v>45</v>
      </c>
      <c r="Q500" s="23">
        <f>IFERROR(MATCH($A500,Dataset2_Raw!$A$2:$A$611,0),0)</f>
        <v>499</v>
      </c>
    </row>
    <row r="501" spans="1:17" x14ac:dyDescent="0.35">
      <c r="A501" s="23">
        <f>Dataset1_Raw!A501</f>
        <v>500</v>
      </c>
      <c r="B501" s="24">
        <f>Dataset1_Raw!B501</f>
        <v>40565</v>
      </c>
      <c r="C501" s="23">
        <f>Dataset1_Raw!C501</f>
        <v>1</v>
      </c>
      <c r="D501" s="23">
        <f>Dataset1_Raw!D501</f>
        <v>0</v>
      </c>
      <c r="E501" s="23">
        <f>Dataset1_Raw!E501</f>
        <v>1</v>
      </c>
      <c r="F501" s="23">
        <f>Dataset1_Raw!F501</f>
        <v>21</v>
      </c>
      <c r="G501" s="23" t="b">
        <f>Dataset1_Raw!G501</f>
        <v>0</v>
      </c>
      <c r="H501" s="23">
        <f>Dataset1_Raw!H501</f>
        <v>6</v>
      </c>
      <c r="I501" s="23">
        <f>Dataset1_Raw!I501</f>
        <v>1</v>
      </c>
      <c r="J501" s="25">
        <f>Dataset1_Raw!J501</f>
        <v>0.06</v>
      </c>
      <c r="K501" s="25">
        <f>IF(ISNUMBER(INDEX(Dataset2_Raw!$B$2:$B$611,$Q501)),INDEX(Dataset2_Raw!$B$2:$B$611,$Q501),"")</f>
        <v>0.1061</v>
      </c>
      <c r="L501" s="25">
        <f>IF(ISNUMBER(INDEX(Dataset2_Raw!$C$2:$C$611,$Q501)),INDEX(Dataset2_Raw!$C$2:$C$611,$Q501),"")</f>
        <v>0.41</v>
      </c>
      <c r="M501" s="25">
        <f>IF(ISNUMBER(INDEX(Dataset2_Raw!$D$2:$D$611,$Q501)),INDEX(Dataset2_Raw!$D$2:$D$611,$Q501),"")</f>
        <v>8.9599999999999999E-2</v>
      </c>
      <c r="N501" s="23">
        <f>IF(ISNUMBER(INDEX(Dataset2_Raw!$E$2:$E$611,$Q501)),INDEX(Dataset2_Raw!$E$2:$E$611,$Q501),"")</f>
        <v>0</v>
      </c>
      <c r="O501" s="23">
        <f>IF(ISNUMBER(INDEX(Dataset2_Raw!$F$2:$F$611,$Q501)),INDEX(Dataset2_Raw!$F$2:$F$611,$Q501),"")</f>
        <v>39</v>
      </c>
      <c r="P501" s="23">
        <f>IF(ISNUMBER(INDEX(Dataset2_Raw!$G$2:$G$611,$Q501)),INDEX(Dataset2_Raw!$G$2:$G$611,$Q501),"")</f>
        <v>39</v>
      </c>
      <c r="Q501" s="23">
        <f>IFERROR(MATCH($A501,Dataset2_Raw!$A$2:$A$611,0),0)</f>
        <v>500</v>
      </c>
    </row>
    <row r="502" spans="1:17" x14ac:dyDescent="0.35">
      <c r="A502" s="23">
        <f>Dataset1_Raw!A502</f>
        <v>501</v>
      </c>
      <c r="B502" s="24">
        <f>Dataset1_Raw!B502</f>
        <v>40565</v>
      </c>
      <c r="C502" s="23">
        <f>Dataset1_Raw!C502</f>
        <v>1</v>
      </c>
      <c r="D502" s="23">
        <f>Dataset1_Raw!D502</f>
        <v>0</v>
      </c>
      <c r="E502" s="23">
        <f>Dataset1_Raw!E502</f>
        <v>1</v>
      </c>
      <c r="F502" s="23">
        <f>Dataset1_Raw!F502</f>
        <v>22</v>
      </c>
      <c r="G502" s="23" t="b">
        <f>Dataset1_Raw!G502</f>
        <v>0</v>
      </c>
      <c r="H502" s="23">
        <f>Dataset1_Raw!H502</f>
        <v>6</v>
      </c>
      <c r="I502" s="23">
        <f>Dataset1_Raw!I502</f>
        <v>1</v>
      </c>
      <c r="J502" s="25">
        <f>Dataset1_Raw!J502</f>
        <v>0.06</v>
      </c>
      <c r="K502" s="25">
        <f>IF(ISNUMBER(INDEX(Dataset2_Raw!$B$2:$B$611,$Q502)),INDEX(Dataset2_Raw!$B$2:$B$611,$Q502),"")</f>
        <v>0.1515</v>
      </c>
      <c r="L502" s="25">
        <f>IF(ISNUMBER(INDEX(Dataset2_Raw!$C$2:$C$611,$Q502)),INDEX(Dataset2_Raw!$C$2:$C$611,$Q502),"")</f>
        <v>0.49</v>
      </c>
      <c r="M502" s="25">
        <f>IF(ISNUMBER(INDEX(Dataset2_Raw!$D$2:$D$611,$Q502)),INDEX(Dataset2_Raw!$D$2:$D$611,$Q502),"")</f>
        <v>0</v>
      </c>
      <c r="N502" s="23">
        <f>IF(ISNUMBER(INDEX(Dataset2_Raw!$E$2:$E$611,$Q502)),INDEX(Dataset2_Raw!$E$2:$E$611,$Q502),"")</f>
        <v>7</v>
      </c>
      <c r="O502" s="23">
        <f>IF(ISNUMBER(INDEX(Dataset2_Raw!$F$2:$F$611,$Q502)),INDEX(Dataset2_Raw!$F$2:$F$611,$Q502),"")</f>
        <v>23</v>
      </c>
      <c r="P502" s="23">
        <f>IF(ISNUMBER(INDEX(Dataset2_Raw!$G$2:$G$611,$Q502)),INDEX(Dataset2_Raw!$G$2:$G$611,$Q502),"")</f>
        <v>30</v>
      </c>
      <c r="Q502" s="23">
        <f>IFERROR(MATCH($A502,Dataset2_Raw!$A$2:$A$611,0),0)</f>
        <v>501</v>
      </c>
    </row>
    <row r="503" spans="1:17" x14ac:dyDescent="0.35">
      <c r="A503" s="23">
        <f>Dataset1_Raw!A503</f>
        <v>502</v>
      </c>
      <c r="B503" s="24">
        <f>Dataset1_Raw!B503</f>
        <v>40565</v>
      </c>
      <c r="C503" s="23">
        <f>Dataset1_Raw!C503</f>
        <v>1</v>
      </c>
      <c r="D503" s="23">
        <f>Dataset1_Raw!D503</f>
        <v>0</v>
      </c>
      <c r="E503" s="23">
        <f>Dataset1_Raw!E503</f>
        <v>1</v>
      </c>
      <c r="F503" s="23">
        <f>Dataset1_Raw!F503</f>
        <v>23</v>
      </c>
      <c r="G503" s="23" t="b">
        <f>Dataset1_Raw!G503</f>
        <v>0</v>
      </c>
      <c r="H503" s="23">
        <f>Dataset1_Raw!H503</f>
        <v>6</v>
      </c>
      <c r="I503" s="23">
        <f>Dataset1_Raw!I503</f>
        <v>1</v>
      </c>
      <c r="J503" s="25">
        <f>Dataset1_Raw!J503</f>
        <v>0.04</v>
      </c>
      <c r="K503" s="25">
        <f>IF(ISNUMBER(INDEX(Dataset2_Raw!$B$2:$B$611,$Q503)),INDEX(Dataset2_Raw!$B$2:$B$611,$Q503),"")</f>
        <v>7.5800000000000006E-2</v>
      </c>
      <c r="L503" s="25">
        <f>IF(ISNUMBER(INDEX(Dataset2_Raw!$C$2:$C$611,$Q503)),INDEX(Dataset2_Raw!$C$2:$C$611,$Q503),"")</f>
        <v>0.56999999999999995</v>
      </c>
      <c r="M503" s="25">
        <f>IF(ISNUMBER(INDEX(Dataset2_Raw!$D$2:$D$611,$Q503)),INDEX(Dataset2_Raw!$D$2:$D$611,$Q503),"")</f>
        <v>0.1045</v>
      </c>
      <c r="N503" s="23">
        <f>IF(ISNUMBER(INDEX(Dataset2_Raw!$E$2:$E$611,$Q503)),INDEX(Dataset2_Raw!$E$2:$E$611,$Q503),"")</f>
        <v>2</v>
      </c>
      <c r="O503" s="23">
        <f>IF(ISNUMBER(INDEX(Dataset2_Raw!$F$2:$F$611,$Q503)),INDEX(Dataset2_Raw!$F$2:$F$611,$Q503),"")</f>
        <v>31</v>
      </c>
      <c r="P503" s="23">
        <f>IF(ISNUMBER(INDEX(Dataset2_Raw!$G$2:$G$611,$Q503)),INDEX(Dataset2_Raw!$G$2:$G$611,$Q503),"")</f>
        <v>33</v>
      </c>
      <c r="Q503" s="23">
        <f>IFERROR(MATCH($A503,Dataset2_Raw!$A$2:$A$611,0),0)</f>
        <v>502</v>
      </c>
    </row>
    <row r="504" spans="1:17" x14ac:dyDescent="0.35">
      <c r="A504" s="23">
        <f>Dataset1_Raw!A504</f>
        <v>503</v>
      </c>
      <c r="B504" s="24">
        <f>Dataset1_Raw!B504</f>
        <v>40566</v>
      </c>
      <c r="C504" s="23">
        <f>Dataset1_Raw!C504</f>
        <v>1</v>
      </c>
      <c r="D504" s="23">
        <f>Dataset1_Raw!D504</f>
        <v>0</v>
      </c>
      <c r="E504" s="23">
        <f>Dataset1_Raw!E504</f>
        <v>1</v>
      </c>
      <c r="F504" s="23">
        <f>Dataset1_Raw!F504</f>
        <v>0</v>
      </c>
      <c r="G504" s="23" t="b">
        <f>Dataset1_Raw!G504</f>
        <v>0</v>
      </c>
      <c r="H504" s="23">
        <f>Dataset1_Raw!H504</f>
        <v>0</v>
      </c>
      <c r="I504" s="23">
        <f>Dataset1_Raw!I504</f>
        <v>1</v>
      </c>
      <c r="J504" s="25">
        <f>Dataset1_Raw!J504</f>
        <v>0.04</v>
      </c>
      <c r="K504" s="25">
        <f>IF(ISNUMBER(INDEX(Dataset2_Raw!$B$2:$B$611,$Q504)),INDEX(Dataset2_Raw!$B$2:$B$611,$Q504),"")</f>
        <v>7.5800000000000006E-2</v>
      </c>
      <c r="L504" s="25">
        <f>IF(ISNUMBER(INDEX(Dataset2_Raw!$C$2:$C$611,$Q504)),INDEX(Dataset2_Raw!$C$2:$C$611,$Q504),"")</f>
        <v>0.56999999999999995</v>
      </c>
      <c r="M504" s="25">
        <f>IF(ISNUMBER(INDEX(Dataset2_Raw!$D$2:$D$611,$Q504)),INDEX(Dataset2_Raw!$D$2:$D$611,$Q504),"")</f>
        <v>0.1045</v>
      </c>
      <c r="N504" s="23">
        <f>IF(ISNUMBER(INDEX(Dataset2_Raw!$E$2:$E$611,$Q504)),INDEX(Dataset2_Raw!$E$2:$E$611,$Q504),"")</f>
        <v>2</v>
      </c>
      <c r="O504" s="23">
        <f>IF(ISNUMBER(INDEX(Dataset2_Raw!$F$2:$F$611,$Q504)),INDEX(Dataset2_Raw!$F$2:$F$611,$Q504),"")</f>
        <v>20</v>
      </c>
      <c r="P504" s="23">
        <f>IF(ISNUMBER(INDEX(Dataset2_Raw!$G$2:$G$611,$Q504)),INDEX(Dataset2_Raw!$G$2:$G$611,$Q504),"")</f>
        <v>22</v>
      </c>
      <c r="Q504" s="23">
        <f>IFERROR(MATCH($A504,Dataset2_Raw!$A$2:$A$611,0),0)</f>
        <v>503</v>
      </c>
    </row>
    <row r="505" spans="1:17" x14ac:dyDescent="0.35">
      <c r="A505" s="23">
        <f>Dataset1_Raw!A505</f>
        <v>504</v>
      </c>
      <c r="B505" s="24">
        <f>Dataset1_Raw!B505</f>
        <v>40566</v>
      </c>
      <c r="C505" s="23">
        <f>Dataset1_Raw!C505</f>
        <v>1</v>
      </c>
      <c r="D505" s="23">
        <f>Dataset1_Raw!D505</f>
        <v>0</v>
      </c>
      <c r="E505" s="23">
        <f>Dataset1_Raw!E505</f>
        <v>1</v>
      </c>
      <c r="F505" s="23">
        <f>Dataset1_Raw!F505</f>
        <v>1</v>
      </c>
      <c r="G505" s="23" t="b">
        <f>Dataset1_Raw!G505</f>
        <v>0</v>
      </c>
      <c r="H505" s="23">
        <f>Dataset1_Raw!H505</f>
        <v>0</v>
      </c>
      <c r="I505" s="23">
        <f>Dataset1_Raw!I505</f>
        <v>1</v>
      </c>
      <c r="J505" s="25">
        <f>Dataset1_Raw!J505</f>
        <v>0.04</v>
      </c>
      <c r="K505" s="25">
        <f>IF(ISNUMBER(INDEX(Dataset2_Raw!$B$2:$B$611,$Q505)),INDEX(Dataset2_Raw!$B$2:$B$611,$Q505),"")</f>
        <v>7.5800000000000006E-2</v>
      </c>
      <c r="L505" s="25">
        <f>IF(ISNUMBER(INDEX(Dataset2_Raw!$C$2:$C$611,$Q505)),INDEX(Dataset2_Raw!$C$2:$C$611,$Q505),"")</f>
        <v>0.56999999999999995</v>
      </c>
      <c r="M505" s="25">
        <f>IF(ISNUMBER(INDEX(Dataset2_Raw!$D$2:$D$611,$Q505)),INDEX(Dataset2_Raw!$D$2:$D$611,$Q505),"")</f>
        <v>0.1045</v>
      </c>
      <c r="N505" s="23">
        <f>IF(ISNUMBER(INDEX(Dataset2_Raw!$E$2:$E$611,$Q505)),INDEX(Dataset2_Raw!$E$2:$E$611,$Q505),"")</f>
        <v>1</v>
      </c>
      <c r="O505" s="23">
        <f>IF(ISNUMBER(INDEX(Dataset2_Raw!$F$2:$F$611,$Q505)),INDEX(Dataset2_Raw!$F$2:$F$611,$Q505),"")</f>
        <v>12</v>
      </c>
      <c r="P505" s="23">
        <f>IF(ISNUMBER(INDEX(Dataset2_Raw!$G$2:$G$611,$Q505)),INDEX(Dataset2_Raw!$G$2:$G$611,$Q505),"")</f>
        <v>13</v>
      </c>
      <c r="Q505" s="23">
        <f>IFERROR(MATCH($A505,Dataset2_Raw!$A$2:$A$611,0),0)</f>
        <v>504</v>
      </c>
    </row>
    <row r="506" spans="1:17" x14ac:dyDescent="0.35">
      <c r="A506" s="23">
        <f>Dataset1_Raw!A506</f>
        <v>505</v>
      </c>
      <c r="B506" s="24">
        <f>Dataset1_Raw!B506</f>
        <v>40566</v>
      </c>
      <c r="C506" s="23">
        <f>Dataset1_Raw!C506</f>
        <v>1</v>
      </c>
      <c r="D506" s="23">
        <f>Dataset1_Raw!D506</f>
        <v>0</v>
      </c>
      <c r="E506" s="23">
        <f>Dataset1_Raw!E506</f>
        <v>1</v>
      </c>
      <c r="F506" s="23">
        <f>Dataset1_Raw!F506</f>
        <v>2</v>
      </c>
      <c r="G506" s="23" t="b">
        <f>Dataset1_Raw!G506</f>
        <v>0</v>
      </c>
      <c r="H506" s="23">
        <f>Dataset1_Raw!H506</f>
        <v>0</v>
      </c>
      <c r="I506" s="23">
        <f>Dataset1_Raw!I506</f>
        <v>1</v>
      </c>
      <c r="J506" s="25">
        <f>Dataset1_Raw!J506</f>
        <v>0.02</v>
      </c>
      <c r="K506" s="25">
        <f>IF(ISNUMBER(INDEX(Dataset2_Raw!$B$2:$B$611,$Q506)),INDEX(Dataset2_Raw!$B$2:$B$611,$Q506),"")</f>
        <v>6.0600000000000001E-2</v>
      </c>
      <c r="L506" s="25">
        <f>IF(ISNUMBER(INDEX(Dataset2_Raw!$C$2:$C$611,$Q506)),INDEX(Dataset2_Raw!$C$2:$C$611,$Q506),"")</f>
        <v>0.62</v>
      </c>
      <c r="M506" s="25">
        <f>IF(ISNUMBER(INDEX(Dataset2_Raw!$D$2:$D$611,$Q506)),INDEX(Dataset2_Raw!$D$2:$D$611,$Q506),"")</f>
        <v>0.1343</v>
      </c>
      <c r="N506" s="23">
        <f>IF(ISNUMBER(INDEX(Dataset2_Raw!$E$2:$E$611,$Q506)),INDEX(Dataset2_Raw!$E$2:$E$611,$Q506),"")</f>
        <v>3</v>
      </c>
      <c r="O506" s="23">
        <f>IF(ISNUMBER(INDEX(Dataset2_Raw!$F$2:$F$611,$Q506)),INDEX(Dataset2_Raw!$F$2:$F$611,$Q506),"")</f>
        <v>15</v>
      </c>
      <c r="P506" s="23">
        <f>IF(ISNUMBER(INDEX(Dataset2_Raw!$G$2:$G$611,$Q506)),INDEX(Dataset2_Raw!$G$2:$G$611,$Q506),"")</f>
        <v>18</v>
      </c>
      <c r="Q506" s="23">
        <f>IFERROR(MATCH($A506,Dataset2_Raw!$A$2:$A$611,0),0)</f>
        <v>505</v>
      </c>
    </row>
    <row r="507" spans="1:17" x14ac:dyDescent="0.35">
      <c r="A507" s="23">
        <f>Dataset1_Raw!A507</f>
        <v>506</v>
      </c>
      <c r="B507" s="24">
        <f>Dataset1_Raw!B507</f>
        <v>40566</v>
      </c>
      <c r="C507" s="23">
        <f>Dataset1_Raw!C507</f>
        <v>1</v>
      </c>
      <c r="D507" s="23">
        <f>Dataset1_Raw!D507</f>
        <v>0</v>
      </c>
      <c r="E507" s="23">
        <f>Dataset1_Raw!E507</f>
        <v>1</v>
      </c>
      <c r="F507" s="23">
        <f>Dataset1_Raw!F507</f>
        <v>3</v>
      </c>
      <c r="G507" s="23" t="b">
        <f>Dataset1_Raw!G507</f>
        <v>0</v>
      </c>
      <c r="H507" s="23">
        <f>Dataset1_Raw!H507</f>
        <v>0</v>
      </c>
      <c r="I507" s="23">
        <f>Dataset1_Raw!I507</f>
        <v>1</v>
      </c>
      <c r="J507" s="25">
        <f>Dataset1_Raw!J507</f>
        <v>0.02</v>
      </c>
      <c r="K507" s="25">
        <f>IF(ISNUMBER(INDEX(Dataset2_Raw!$B$2:$B$611,$Q507)),INDEX(Dataset2_Raw!$B$2:$B$611,$Q507),"")</f>
        <v>6.0600000000000001E-2</v>
      </c>
      <c r="L507" s="25">
        <f>IF(ISNUMBER(INDEX(Dataset2_Raw!$C$2:$C$611,$Q507)),INDEX(Dataset2_Raw!$C$2:$C$611,$Q507),"")</f>
        <v>0.62</v>
      </c>
      <c r="M507" s="25">
        <f>IF(ISNUMBER(INDEX(Dataset2_Raw!$D$2:$D$611,$Q507)),INDEX(Dataset2_Raw!$D$2:$D$611,$Q507),"")</f>
        <v>0.1343</v>
      </c>
      <c r="N507" s="23">
        <f>IF(ISNUMBER(INDEX(Dataset2_Raw!$E$2:$E$611,$Q507)),INDEX(Dataset2_Raw!$E$2:$E$611,$Q507),"")</f>
        <v>1</v>
      </c>
      <c r="O507" s="23">
        <f>IF(ISNUMBER(INDEX(Dataset2_Raw!$F$2:$F$611,$Q507)),INDEX(Dataset2_Raw!$F$2:$F$611,$Q507),"")</f>
        <v>4</v>
      </c>
      <c r="P507" s="23">
        <f>IF(ISNUMBER(INDEX(Dataset2_Raw!$G$2:$G$611,$Q507)),INDEX(Dataset2_Raw!$G$2:$G$611,$Q507),"")</f>
        <v>5</v>
      </c>
      <c r="Q507" s="23">
        <f>IFERROR(MATCH($A507,Dataset2_Raw!$A$2:$A$611,0),0)</f>
        <v>506</v>
      </c>
    </row>
    <row r="508" spans="1:17" x14ac:dyDescent="0.35">
      <c r="A508" s="23">
        <f>Dataset1_Raw!A508</f>
        <v>507</v>
      </c>
      <c r="B508" s="24">
        <f>Dataset1_Raw!B508</f>
        <v>40566</v>
      </c>
      <c r="C508" s="23">
        <f>Dataset1_Raw!C508</f>
        <v>1</v>
      </c>
      <c r="D508" s="23">
        <f>Dataset1_Raw!D508</f>
        <v>0</v>
      </c>
      <c r="E508" s="23">
        <f>Dataset1_Raw!E508</f>
        <v>1</v>
      </c>
      <c r="F508" s="23">
        <f>Dataset1_Raw!F508</f>
        <v>5</v>
      </c>
      <c r="G508" s="23" t="b">
        <f>Dataset1_Raw!G508</f>
        <v>0</v>
      </c>
      <c r="H508" s="23">
        <f>Dataset1_Raw!H508</f>
        <v>0</v>
      </c>
      <c r="I508" s="23">
        <f>Dataset1_Raw!I508</f>
        <v>2</v>
      </c>
      <c r="J508" s="25">
        <f>Dataset1_Raw!J508</f>
        <v>0.04</v>
      </c>
      <c r="K508" s="25">
        <f>IF(ISNUMBER(INDEX(Dataset2_Raw!$B$2:$B$611,$Q508)),INDEX(Dataset2_Raw!$B$2:$B$611,$Q508),"")</f>
        <v>7.5800000000000006E-2</v>
      </c>
      <c r="L508" s="25">
        <f>IF(ISNUMBER(INDEX(Dataset2_Raw!$C$2:$C$611,$Q508)),INDEX(Dataset2_Raw!$C$2:$C$611,$Q508),"")</f>
        <v>0.56999999999999995</v>
      </c>
      <c r="M508" s="25">
        <f>IF(ISNUMBER(INDEX(Dataset2_Raw!$D$2:$D$611,$Q508)),INDEX(Dataset2_Raw!$D$2:$D$611,$Q508),"")</f>
        <v>0.1045</v>
      </c>
      <c r="N508" s="23">
        <f>IF(ISNUMBER(INDEX(Dataset2_Raw!$E$2:$E$611,$Q508)),INDEX(Dataset2_Raw!$E$2:$E$611,$Q508),"")</f>
        <v>0</v>
      </c>
      <c r="O508" s="23">
        <f>IF(ISNUMBER(INDEX(Dataset2_Raw!$F$2:$F$611,$Q508)),INDEX(Dataset2_Raw!$F$2:$F$611,$Q508),"")</f>
        <v>3</v>
      </c>
      <c r="P508" s="23">
        <f>IF(ISNUMBER(INDEX(Dataset2_Raw!$G$2:$G$611,$Q508)),INDEX(Dataset2_Raw!$G$2:$G$611,$Q508),"")</f>
        <v>3</v>
      </c>
      <c r="Q508" s="23">
        <f>IFERROR(MATCH($A508,Dataset2_Raw!$A$2:$A$611,0),0)</f>
        <v>507</v>
      </c>
    </row>
    <row r="509" spans="1:17" x14ac:dyDescent="0.35">
      <c r="A509" s="23">
        <f>Dataset1_Raw!A509</f>
        <v>508</v>
      </c>
      <c r="B509" s="24">
        <f>Dataset1_Raw!B509</f>
        <v>40566</v>
      </c>
      <c r="C509" s="23">
        <f>Dataset1_Raw!C509</f>
        <v>1</v>
      </c>
      <c r="D509" s="23">
        <f>Dataset1_Raw!D509</f>
        <v>0</v>
      </c>
      <c r="E509" s="23">
        <f>Dataset1_Raw!E509</f>
        <v>1</v>
      </c>
      <c r="F509" s="23">
        <f>Dataset1_Raw!F509</f>
        <v>6</v>
      </c>
      <c r="G509" s="23" t="b">
        <f>Dataset1_Raw!G509</f>
        <v>0</v>
      </c>
      <c r="H509" s="23">
        <f>Dataset1_Raw!H509</f>
        <v>0</v>
      </c>
      <c r="I509" s="23">
        <f>Dataset1_Raw!I509</f>
        <v>2</v>
      </c>
      <c r="J509" s="25">
        <f>Dataset1_Raw!J509</f>
        <v>0.04</v>
      </c>
      <c r="K509" s="25">
        <f>IF(ISNUMBER(INDEX(Dataset2_Raw!$B$2:$B$611,$Q509)),INDEX(Dataset2_Raw!$B$2:$B$611,$Q509),"")</f>
        <v>7.5800000000000006E-2</v>
      </c>
      <c r="L509" s="25">
        <f>IF(ISNUMBER(INDEX(Dataset2_Raw!$C$2:$C$611,$Q509)),INDEX(Dataset2_Raw!$C$2:$C$611,$Q509),"")</f>
        <v>0.56999999999999995</v>
      </c>
      <c r="M509" s="25">
        <f>IF(ISNUMBER(INDEX(Dataset2_Raw!$D$2:$D$611,$Q509)),INDEX(Dataset2_Raw!$D$2:$D$611,$Q509),"")</f>
        <v>0.1045</v>
      </c>
      <c r="N509" s="23">
        <f>IF(ISNUMBER(INDEX(Dataset2_Raw!$E$2:$E$611,$Q509)),INDEX(Dataset2_Raw!$E$2:$E$611,$Q509),"")</f>
        <v>0</v>
      </c>
      <c r="O509" s="23">
        <f>IF(ISNUMBER(INDEX(Dataset2_Raw!$F$2:$F$611,$Q509)),INDEX(Dataset2_Raw!$F$2:$F$611,$Q509),"")</f>
        <v>1</v>
      </c>
      <c r="P509" s="23">
        <f>IF(ISNUMBER(INDEX(Dataset2_Raw!$G$2:$G$611,$Q509)),INDEX(Dataset2_Raw!$G$2:$G$611,$Q509),"")</f>
        <v>1</v>
      </c>
      <c r="Q509" s="23">
        <f>IFERROR(MATCH($A509,Dataset2_Raw!$A$2:$A$611,0),0)</f>
        <v>508</v>
      </c>
    </row>
    <row r="510" spans="1:17" x14ac:dyDescent="0.35">
      <c r="A510" s="23">
        <f>Dataset1_Raw!A510</f>
        <v>509</v>
      </c>
      <c r="B510" s="24">
        <f>Dataset1_Raw!B510</f>
        <v>40566</v>
      </c>
      <c r="C510" s="23">
        <f>Dataset1_Raw!C510</f>
        <v>1</v>
      </c>
      <c r="D510" s="23">
        <f>Dataset1_Raw!D510</f>
        <v>0</v>
      </c>
      <c r="E510" s="23">
        <f>Dataset1_Raw!E510</f>
        <v>1</v>
      </c>
      <c r="F510" s="23">
        <f>Dataset1_Raw!F510</f>
        <v>7</v>
      </c>
      <c r="G510" s="23" t="b">
        <f>Dataset1_Raw!G510</f>
        <v>0</v>
      </c>
      <c r="H510" s="23">
        <f>Dataset1_Raw!H510</f>
        <v>0</v>
      </c>
      <c r="I510" s="23">
        <f>Dataset1_Raw!I510</f>
        <v>1</v>
      </c>
      <c r="J510" s="25">
        <f>Dataset1_Raw!J510</f>
        <v>0.08</v>
      </c>
      <c r="K510" s="25">
        <f>IF(ISNUMBER(INDEX(Dataset2_Raw!$B$2:$B$611,$Q510)),INDEX(Dataset2_Raw!$B$2:$B$611,$Q510),"")</f>
        <v>0.1061</v>
      </c>
      <c r="L510" s="25">
        <f>IF(ISNUMBER(INDEX(Dataset2_Raw!$C$2:$C$611,$Q510)),INDEX(Dataset2_Raw!$C$2:$C$611,$Q510),"")</f>
        <v>0.57999999999999996</v>
      </c>
      <c r="M510" s="25">
        <f>IF(ISNUMBER(INDEX(Dataset2_Raw!$D$2:$D$611,$Q510)),INDEX(Dataset2_Raw!$D$2:$D$611,$Q510),"")</f>
        <v>0.16420000000000001</v>
      </c>
      <c r="N510" s="23">
        <f>IF(ISNUMBER(INDEX(Dataset2_Raw!$E$2:$E$611,$Q510)),INDEX(Dataset2_Raw!$E$2:$E$611,$Q510),"")</f>
        <v>1</v>
      </c>
      <c r="O510" s="23">
        <f>IF(ISNUMBER(INDEX(Dataset2_Raw!$F$2:$F$611,$Q510)),INDEX(Dataset2_Raw!$F$2:$F$611,$Q510),"")</f>
        <v>1</v>
      </c>
      <c r="P510" s="23">
        <f>IF(ISNUMBER(INDEX(Dataset2_Raw!$G$2:$G$611,$Q510)),INDEX(Dataset2_Raw!$G$2:$G$611,$Q510),"")</f>
        <v>2</v>
      </c>
      <c r="Q510" s="23">
        <f>IFERROR(MATCH($A510,Dataset2_Raw!$A$2:$A$611,0),0)</f>
        <v>509</v>
      </c>
    </row>
    <row r="511" spans="1:17" x14ac:dyDescent="0.35">
      <c r="A511" s="23">
        <f>Dataset1_Raw!A511</f>
        <v>510</v>
      </c>
      <c r="B511" s="24">
        <f>Dataset1_Raw!B511</f>
        <v>40566</v>
      </c>
      <c r="C511" s="23">
        <f>Dataset1_Raw!C511</f>
        <v>1</v>
      </c>
      <c r="D511" s="23">
        <f>Dataset1_Raw!D511</f>
        <v>0</v>
      </c>
      <c r="E511" s="23">
        <f>Dataset1_Raw!E511</f>
        <v>1</v>
      </c>
      <c r="F511" s="23">
        <f>Dataset1_Raw!F511</f>
        <v>8</v>
      </c>
      <c r="G511" s="23" t="b">
        <f>Dataset1_Raw!G511</f>
        <v>0</v>
      </c>
      <c r="H511" s="23">
        <f>Dataset1_Raw!H511</f>
        <v>0</v>
      </c>
      <c r="I511" s="23">
        <f>Dataset1_Raw!I511</f>
        <v>1</v>
      </c>
      <c r="J511" s="25">
        <f>Dataset1_Raw!J511</f>
        <v>0.06</v>
      </c>
      <c r="K511" s="25">
        <f>IF(ISNUMBER(INDEX(Dataset2_Raw!$B$2:$B$611,$Q511)),INDEX(Dataset2_Raw!$B$2:$B$611,$Q511),"")</f>
        <v>7.5800000000000006E-2</v>
      </c>
      <c r="L511" s="25">
        <f>IF(ISNUMBER(INDEX(Dataset2_Raw!$C$2:$C$611,$Q511)),INDEX(Dataset2_Raw!$C$2:$C$611,$Q511),"")</f>
        <v>0.62</v>
      </c>
      <c r="M511" s="25">
        <f>IF(ISNUMBER(INDEX(Dataset2_Raw!$D$2:$D$611,$Q511)),INDEX(Dataset2_Raw!$D$2:$D$611,$Q511),"")</f>
        <v>0.16420000000000001</v>
      </c>
      <c r="N511" s="23">
        <f>IF(ISNUMBER(INDEX(Dataset2_Raw!$E$2:$E$611,$Q511)),INDEX(Dataset2_Raw!$E$2:$E$611,$Q511),"")</f>
        <v>2</v>
      </c>
      <c r="O511" s="23">
        <f>IF(ISNUMBER(INDEX(Dataset2_Raw!$F$2:$F$611,$Q511)),INDEX(Dataset2_Raw!$F$2:$F$611,$Q511),"")</f>
        <v>17</v>
      </c>
      <c r="P511" s="23">
        <f>IF(ISNUMBER(INDEX(Dataset2_Raw!$G$2:$G$611,$Q511)),INDEX(Dataset2_Raw!$G$2:$G$611,$Q511),"")</f>
        <v>19</v>
      </c>
      <c r="Q511" s="23">
        <f>IFERROR(MATCH($A511,Dataset2_Raw!$A$2:$A$611,0),0)</f>
        <v>510</v>
      </c>
    </row>
    <row r="512" spans="1:17" x14ac:dyDescent="0.35">
      <c r="A512" s="23">
        <f>Dataset1_Raw!A512</f>
        <v>511</v>
      </c>
      <c r="B512" s="24">
        <f>Dataset1_Raw!B512</f>
        <v>40566</v>
      </c>
      <c r="C512" s="23">
        <f>Dataset1_Raw!C512</f>
        <v>1</v>
      </c>
      <c r="D512" s="23">
        <f>Dataset1_Raw!D512</f>
        <v>0</v>
      </c>
      <c r="E512" s="23">
        <f>Dataset1_Raw!E512</f>
        <v>1</v>
      </c>
      <c r="F512" s="23">
        <f>Dataset1_Raw!F512</f>
        <v>9</v>
      </c>
      <c r="G512" s="23" t="b">
        <f>Dataset1_Raw!G512</f>
        <v>0</v>
      </c>
      <c r="H512" s="23">
        <f>Dataset1_Raw!H512</f>
        <v>0</v>
      </c>
      <c r="I512" s="23">
        <f>Dataset1_Raw!I512</f>
        <v>1</v>
      </c>
      <c r="J512" s="25">
        <f>Dataset1_Raw!J512</f>
        <v>0.1</v>
      </c>
      <c r="K512" s="25">
        <f>IF(ISNUMBER(INDEX(Dataset2_Raw!$B$2:$B$611,$Q512)),INDEX(Dataset2_Raw!$B$2:$B$611,$Q512),"")</f>
        <v>7.5800000000000006E-2</v>
      </c>
      <c r="L512" s="25">
        <f>IF(ISNUMBER(INDEX(Dataset2_Raw!$C$2:$C$611,$Q512)),INDEX(Dataset2_Raw!$C$2:$C$611,$Q512),"")</f>
        <v>0.54</v>
      </c>
      <c r="M512" s="25">
        <f>IF(ISNUMBER(INDEX(Dataset2_Raw!$D$2:$D$611,$Q512)),INDEX(Dataset2_Raw!$D$2:$D$611,$Q512),"")</f>
        <v>0.35820000000000002</v>
      </c>
      <c r="N512" s="23">
        <f>IF(ISNUMBER(INDEX(Dataset2_Raw!$E$2:$E$611,$Q512)),INDEX(Dataset2_Raw!$E$2:$E$611,$Q512),"")</f>
        <v>3</v>
      </c>
      <c r="O512" s="23">
        <f>IF(ISNUMBER(INDEX(Dataset2_Raw!$F$2:$F$611,$Q512)),INDEX(Dataset2_Raw!$F$2:$F$611,$Q512),"")</f>
        <v>25</v>
      </c>
      <c r="P512" s="23">
        <f>IF(ISNUMBER(INDEX(Dataset2_Raw!$G$2:$G$611,$Q512)),INDEX(Dataset2_Raw!$G$2:$G$611,$Q512),"")</f>
        <v>28</v>
      </c>
      <c r="Q512" s="23">
        <f>IFERROR(MATCH($A512,Dataset2_Raw!$A$2:$A$611,0),0)</f>
        <v>511</v>
      </c>
    </row>
    <row r="513" spans="1:17" x14ac:dyDescent="0.35">
      <c r="A513" s="23">
        <f>Dataset1_Raw!A513</f>
        <v>512</v>
      </c>
      <c r="B513" s="24">
        <f>Dataset1_Raw!B513</f>
        <v>40566</v>
      </c>
      <c r="C513" s="23">
        <f>Dataset1_Raw!C513</f>
        <v>1</v>
      </c>
      <c r="D513" s="23">
        <f>Dataset1_Raw!D513</f>
        <v>0</v>
      </c>
      <c r="E513" s="23">
        <f>Dataset1_Raw!E513</f>
        <v>1</v>
      </c>
      <c r="F513" s="23">
        <f>Dataset1_Raw!F513</f>
        <v>10</v>
      </c>
      <c r="G513" s="23" t="b">
        <f>Dataset1_Raw!G513</f>
        <v>0</v>
      </c>
      <c r="H513" s="23">
        <f>Dataset1_Raw!H513</f>
        <v>0</v>
      </c>
      <c r="I513" s="23">
        <f>Dataset1_Raw!I513</f>
        <v>1</v>
      </c>
      <c r="J513" s="25">
        <f>Dataset1_Raw!J513</f>
        <v>0.14000000000000001</v>
      </c>
      <c r="K513" s="25">
        <f>IF(ISNUMBER(INDEX(Dataset2_Raw!$B$2:$B$611,$Q513)),INDEX(Dataset2_Raw!$B$2:$B$611,$Q513),"")</f>
        <v>0.1061</v>
      </c>
      <c r="L513" s="25">
        <f>IF(ISNUMBER(INDEX(Dataset2_Raw!$C$2:$C$611,$Q513)),INDEX(Dataset2_Raw!$C$2:$C$611,$Q513),"")</f>
        <v>0.46</v>
      </c>
      <c r="M513" s="25">
        <f>IF(ISNUMBER(INDEX(Dataset2_Raw!$D$2:$D$611,$Q513)),INDEX(Dataset2_Raw!$D$2:$D$611,$Q513),"")</f>
        <v>0.3881</v>
      </c>
      <c r="N513" s="23">
        <f>IF(ISNUMBER(INDEX(Dataset2_Raw!$E$2:$E$611,$Q513)),INDEX(Dataset2_Raw!$E$2:$E$611,$Q513),"")</f>
        <v>7</v>
      </c>
      <c r="O513" s="23">
        <f>IF(ISNUMBER(INDEX(Dataset2_Raw!$F$2:$F$611,$Q513)),INDEX(Dataset2_Raw!$F$2:$F$611,$Q513),"")</f>
        <v>51</v>
      </c>
      <c r="P513" s="23">
        <f>IF(ISNUMBER(INDEX(Dataset2_Raw!$G$2:$G$611,$Q513)),INDEX(Dataset2_Raw!$G$2:$G$611,$Q513),"")</f>
        <v>58</v>
      </c>
      <c r="Q513" s="23">
        <f>IFERROR(MATCH($A513,Dataset2_Raw!$A$2:$A$611,0),0)</f>
        <v>512</v>
      </c>
    </row>
    <row r="514" spans="1:17" x14ac:dyDescent="0.35">
      <c r="A514" s="23">
        <f>Dataset1_Raw!A514</f>
        <v>513</v>
      </c>
      <c r="B514" s="24">
        <f>Dataset1_Raw!B514</f>
        <v>40566</v>
      </c>
      <c r="C514" s="23">
        <f>Dataset1_Raw!C514</f>
        <v>1</v>
      </c>
      <c r="D514" s="23">
        <f>Dataset1_Raw!D514</f>
        <v>0</v>
      </c>
      <c r="E514" s="23">
        <f>Dataset1_Raw!E514</f>
        <v>1</v>
      </c>
      <c r="F514" s="23">
        <f>Dataset1_Raw!F514</f>
        <v>11</v>
      </c>
      <c r="G514" s="23" t="b">
        <f>Dataset1_Raw!G514</f>
        <v>0</v>
      </c>
      <c r="H514" s="23">
        <f>Dataset1_Raw!H514</f>
        <v>0</v>
      </c>
      <c r="I514" s="23">
        <f>Dataset1_Raw!I514</f>
        <v>1</v>
      </c>
      <c r="J514" s="25">
        <f>Dataset1_Raw!J514</f>
        <v>0.14000000000000001</v>
      </c>
      <c r="K514" s="25">
        <f>IF(ISNUMBER(INDEX(Dataset2_Raw!$B$2:$B$611,$Q514)),INDEX(Dataset2_Raw!$B$2:$B$611,$Q514),"")</f>
        <v>0.13639999999999999</v>
      </c>
      <c r="L514" s="25">
        <f>IF(ISNUMBER(INDEX(Dataset2_Raw!$C$2:$C$611,$Q514)),INDEX(Dataset2_Raw!$C$2:$C$611,$Q514),"")</f>
        <v>0.43</v>
      </c>
      <c r="M514" s="25">
        <f>IF(ISNUMBER(INDEX(Dataset2_Raw!$D$2:$D$611,$Q514)),INDEX(Dataset2_Raw!$D$2:$D$611,$Q514),"")</f>
        <v>0.22389999999999999</v>
      </c>
      <c r="N514" s="23">
        <f>IF(ISNUMBER(INDEX(Dataset2_Raw!$E$2:$E$611,$Q514)),INDEX(Dataset2_Raw!$E$2:$E$611,$Q514),"")</f>
        <v>22</v>
      </c>
      <c r="O514" s="23">
        <f>IF(ISNUMBER(INDEX(Dataset2_Raw!$F$2:$F$611,$Q514)),INDEX(Dataset2_Raw!$F$2:$F$611,$Q514),"")</f>
        <v>77</v>
      </c>
      <c r="P514" s="23">
        <f>IF(ISNUMBER(INDEX(Dataset2_Raw!$G$2:$G$611,$Q514)),INDEX(Dataset2_Raw!$G$2:$G$611,$Q514),"")</f>
        <v>99</v>
      </c>
      <c r="Q514" s="23">
        <f>IFERROR(MATCH($A514,Dataset2_Raw!$A$2:$A$611,0),0)</f>
        <v>513</v>
      </c>
    </row>
    <row r="515" spans="1:17" x14ac:dyDescent="0.35">
      <c r="A515" s="23">
        <f>Dataset1_Raw!A515</f>
        <v>514</v>
      </c>
      <c r="B515" s="24">
        <f>Dataset1_Raw!B515</f>
        <v>40566</v>
      </c>
      <c r="C515" s="23">
        <f>Dataset1_Raw!C515</f>
        <v>1</v>
      </c>
      <c r="D515" s="23">
        <f>Dataset1_Raw!D515</f>
        <v>0</v>
      </c>
      <c r="E515" s="23">
        <f>Dataset1_Raw!E515</f>
        <v>1</v>
      </c>
      <c r="F515" s="23">
        <f>Dataset1_Raw!F515</f>
        <v>12</v>
      </c>
      <c r="G515" s="23" t="b">
        <f>Dataset1_Raw!G515</f>
        <v>0</v>
      </c>
      <c r="H515" s="23">
        <f>Dataset1_Raw!H515</f>
        <v>0</v>
      </c>
      <c r="I515" s="23">
        <f>Dataset1_Raw!I515</f>
        <v>1</v>
      </c>
      <c r="J515" s="25">
        <f>Dataset1_Raw!J515</f>
        <v>0.16</v>
      </c>
      <c r="K515" s="25">
        <f>IF(ISNUMBER(INDEX(Dataset2_Raw!$B$2:$B$611,$Q515)),INDEX(Dataset2_Raw!$B$2:$B$611,$Q515),"")</f>
        <v>0.1212</v>
      </c>
      <c r="L515" s="25">
        <f>IF(ISNUMBER(INDEX(Dataset2_Raw!$C$2:$C$611,$Q515)),INDEX(Dataset2_Raw!$C$2:$C$611,$Q515),"")</f>
        <v>0.37</v>
      </c>
      <c r="M515" s="25">
        <f>IF(ISNUMBER(INDEX(Dataset2_Raw!$D$2:$D$611,$Q515)),INDEX(Dataset2_Raw!$D$2:$D$611,$Q515),"")</f>
        <v>0.4627</v>
      </c>
      <c r="N515" s="23">
        <f>IF(ISNUMBER(INDEX(Dataset2_Raw!$E$2:$E$611,$Q515)),INDEX(Dataset2_Raw!$E$2:$E$611,$Q515),"")</f>
        <v>24</v>
      </c>
      <c r="O515" s="23">
        <f>IF(ISNUMBER(INDEX(Dataset2_Raw!$F$2:$F$611,$Q515)),INDEX(Dataset2_Raw!$F$2:$F$611,$Q515),"")</f>
        <v>92</v>
      </c>
      <c r="P515" s="23">
        <f>IF(ISNUMBER(INDEX(Dataset2_Raw!$G$2:$G$611,$Q515)),INDEX(Dataset2_Raw!$G$2:$G$611,$Q515),"")</f>
        <v>116</v>
      </c>
      <c r="Q515" s="23">
        <f>IFERROR(MATCH($A515,Dataset2_Raw!$A$2:$A$611,0),0)</f>
        <v>514</v>
      </c>
    </row>
    <row r="516" spans="1:17" x14ac:dyDescent="0.35">
      <c r="A516" s="23">
        <f>Dataset1_Raw!A516</f>
        <v>515</v>
      </c>
      <c r="B516" s="24">
        <f>Dataset1_Raw!B516</f>
        <v>40566</v>
      </c>
      <c r="C516" s="23">
        <f>Dataset1_Raw!C516</f>
        <v>1</v>
      </c>
      <c r="D516" s="23">
        <f>Dataset1_Raw!D516</f>
        <v>0</v>
      </c>
      <c r="E516" s="23">
        <f>Dataset1_Raw!E516</f>
        <v>1</v>
      </c>
      <c r="F516" s="23">
        <f>Dataset1_Raw!F516</f>
        <v>13</v>
      </c>
      <c r="G516" s="23" t="b">
        <f>Dataset1_Raw!G516</f>
        <v>0</v>
      </c>
      <c r="H516" s="23">
        <f>Dataset1_Raw!H516</f>
        <v>0</v>
      </c>
      <c r="I516" s="23">
        <f>Dataset1_Raw!I516</f>
        <v>1</v>
      </c>
      <c r="J516" s="25">
        <f>Dataset1_Raw!J516</f>
        <v>0.14000000000000001</v>
      </c>
      <c r="K516" s="25">
        <f>IF(ISNUMBER(INDEX(Dataset2_Raw!$B$2:$B$611,$Q516)),INDEX(Dataset2_Raw!$B$2:$B$611,$Q516),"")</f>
        <v>0.1061</v>
      </c>
      <c r="L516" s="25">
        <f>IF(ISNUMBER(INDEX(Dataset2_Raw!$C$2:$C$611,$Q516)),INDEX(Dataset2_Raw!$C$2:$C$611,$Q516),"")</f>
        <v>0.33</v>
      </c>
      <c r="M516" s="25">
        <f>IF(ISNUMBER(INDEX(Dataset2_Raw!$D$2:$D$611,$Q516)),INDEX(Dataset2_Raw!$D$2:$D$611,$Q516),"")</f>
        <v>0.3881</v>
      </c>
      <c r="N516" s="23">
        <f>IF(ISNUMBER(INDEX(Dataset2_Raw!$E$2:$E$611,$Q516)),INDEX(Dataset2_Raw!$E$2:$E$611,$Q516),"")</f>
        <v>12</v>
      </c>
      <c r="O516" s="23">
        <f>IF(ISNUMBER(INDEX(Dataset2_Raw!$F$2:$F$611,$Q516)),INDEX(Dataset2_Raw!$F$2:$F$611,$Q516),"")</f>
        <v>75</v>
      </c>
      <c r="P516" s="23">
        <f>IF(ISNUMBER(INDEX(Dataset2_Raw!$G$2:$G$611,$Q516)),INDEX(Dataset2_Raw!$G$2:$G$611,$Q516),"")</f>
        <v>87</v>
      </c>
      <c r="Q516" s="23">
        <f>IFERROR(MATCH($A516,Dataset2_Raw!$A$2:$A$611,0),0)</f>
        <v>515</v>
      </c>
    </row>
    <row r="517" spans="1:17" x14ac:dyDescent="0.35">
      <c r="A517" s="23">
        <f>Dataset1_Raw!A517</f>
        <v>516</v>
      </c>
      <c r="B517" s="24">
        <f>Dataset1_Raw!B517</f>
        <v>40566</v>
      </c>
      <c r="C517" s="23">
        <f>Dataset1_Raw!C517</f>
        <v>1</v>
      </c>
      <c r="D517" s="23">
        <f>Dataset1_Raw!D517</f>
        <v>0</v>
      </c>
      <c r="E517" s="23">
        <f>Dataset1_Raw!E517</f>
        <v>1</v>
      </c>
      <c r="F517" s="23">
        <f>Dataset1_Raw!F517</f>
        <v>14</v>
      </c>
      <c r="G517" s="23" t="b">
        <f>Dataset1_Raw!G517</f>
        <v>0</v>
      </c>
      <c r="H517" s="23">
        <f>Dataset1_Raw!H517</f>
        <v>0</v>
      </c>
      <c r="I517" s="23">
        <f>Dataset1_Raw!I517</f>
        <v>1</v>
      </c>
      <c r="J517" s="25">
        <f>Dataset1_Raw!J517</f>
        <v>0.16</v>
      </c>
      <c r="K517" s="25">
        <f>IF(ISNUMBER(INDEX(Dataset2_Raw!$B$2:$B$611,$Q517)),INDEX(Dataset2_Raw!$B$2:$B$611,$Q517),"")</f>
        <v>0.13639999999999999</v>
      </c>
      <c r="L517" s="25">
        <f>IF(ISNUMBER(INDEX(Dataset2_Raw!$C$2:$C$611,$Q517)),INDEX(Dataset2_Raw!$C$2:$C$611,$Q517),"")</f>
        <v>0.28000000000000003</v>
      </c>
      <c r="M517" s="25">
        <f>IF(ISNUMBER(INDEX(Dataset2_Raw!$D$2:$D$611,$Q517)),INDEX(Dataset2_Raw!$D$2:$D$611,$Q517),"")</f>
        <v>0.35820000000000002</v>
      </c>
      <c r="N517" s="23">
        <f>IF(ISNUMBER(INDEX(Dataset2_Raw!$E$2:$E$611,$Q517)),INDEX(Dataset2_Raw!$E$2:$E$611,$Q517),"")</f>
        <v>17</v>
      </c>
      <c r="O517" s="23">
        <f>IF(ISNUMBER(INDEX(Dataset2_Raw!$F$2:$F$611,$Q517)),INDEX(Dataset2_Raw!$F$2:$F$611,$Q517),"")</f>
        <v>93</v>
      </c>
      <c r="P517" s="23">
        <f>IF(ISNUMBER(INDEX(Dataset2_Raw!$G$2:$G$611,$Q517)),INDEX(Dataset2_Raw!$G$2:$G$611,$Q517),"")</f>
        <v>110</v>
      </c>
      <c r="Q517" s="23">
        <f>IFERROR(MATCH($A517,Dataset2_Raw!$A$2:$A$611,0),0)</f>
        <v>516</v>
      </c>
    </row>
    <row r="518" spans="1:17" x14ac:dyDescent="0.35">
      <c r="A518" s="23">
        <f>Dataset1_Raw!A518</f>
        <v>517</v>
      </c>
      <c r="B518" s="24">
        <f>Dataset1_Raw!B518</f>
        <v>40566</v>
      </c>
      <c r="C518" s="23">
        <f>Dataset1_Raw!C518</f>
        <v>1</v>
      </c>
      <c r="D518" s="23">
        <f>Dataset1_Raw!D518</f>
        <v>0</v>
      </c>
      <c r="E518" s="23">
        <f>Dataset1_Raw!E518</f>
        <v>1</v>
      </c>
      <c r="F518" s="23">
        <f>Dataset1_Raw!F518</f>
        <v>15</v>
      </c>
      <c r="G518" s="23" t="b">
        <f>Dataset1_Raw!G518</f>
        <v>0</v>
      </c>
      <c r="H518" s="23">
        <f>Dataset1_Raw!H518</f>
        <v>0</v>
      </c>
      <c r="I518" s="23">
        <f>Dataset1_Raw!I518</f>
        <v>1</v>
      </c>
      <c r="J518" s="25">
        <f>Dataset1_Raw!J518</f>
        <v>0.16</v>
      </c>
      <c r="K518" s="25">
        <f>IF(ISNUMBER(INDEX(Dataset2_Raw!$B$2:$B$611,$Q518)),INDEX(Dataset2_Raw!$B$2:$B$611,$Q518),"")</f>
        <v>0.13639999999999999</v>
      </c>
      <c r="L518" s="25">
        <f>IF(ISNUMBER(INDEX(Dataset2_Raw!$C$2:$C$611,$Q518)),INDEX(Dataset2_Raw!$C$2:$C$611,$Q518),"")</f>
        <v>0.28000000000000003</v>
      </c>
      <c r="M518" s="25">
        <f>IF(ISNUMBER(INDEX(Dataset2_Raw!$D$2:$D$611,$Q518)),INDEX(Dataset2_Raw!$D$2:$D$611,$Q518),"")</f>
        <v>0.35820000000000002</v>
      </c>
      <c r="N518" s="23">
        <f>IF(ISNUMBER(INDEX(Dataset2_Raw!$E$2:$E$611,$Q518)),INDEX(Dataset2_Raw!$E$2:$E$611,$Q518),"")</f>
        <v>13</v>
      </c>
      <c r="O518" s="23">
        <f>IF(ISNUMBER(INDEX(Dataset2_Raw!$F$2:$F$611,$Q518)),INDEX(Dataset2_Raw!$F$2:$F$611,$Q518),"")</f>
        <v>64</v>
      </c>
      <c r="P518" s="23">
        <f>IF(ISNUMBER(INDEX(Dataset2_Raw!$G$2:$G$611,$Q518)),INDEX(Dataset2_Raw!$G$2:$G$611,$Q518),"")</f>
        <v>77</v>
      </c>
      <c r="Q518" s="23">
        <f>IFERROR(MATCH($A518,Dataset2_Raw!$A$2:$A$611,0),0)</f>
        <v>517</v>
      </c>
    </row>
    <row r="519" spans="1:17" x14ac:dyDescent="0.35">
      <c r="A519" s="23">
        <f>Dataset1_Raw!A519</f>
        <v>518</v>
      </c>
      <c r="B519" s="24">
        <f>Dataset1_Raw!B519</f>
        <v>40566</v>
      </c>
      <c r="C519" s="23">
        <f>Dataset1_Raw!C519</f>
        <v>1</v>
      </c>
      <c r="D519" s="23">
        <f>Dataset1_Raw!D519</f>
        <v>0</v>
      </c>
      <c r="E519" s="23">
        <f>Dataset1_Raw!E519</f>
        <v>1</v>
      </c>
      <c r="F519" s="23">
        <f>Dataset1_Raw!F519</f>
        <v>16</v>
      </c>
      <c r="G519" s="23" t="b">
        <f>Dataset1_Raw!G519</f>
        <v>0</v>
      </c>
      <c r="H519" s="23">
        <f>Dataset1_Raw!H519</f>
        <v>0</v>
      </c>
      <c r="I519" s="23">
        <f>Dataset1_Raw!I519</f>
        <v>1</v>
      </c>
      <c r="J519" s="25">
        <f>Dataset1_Raw!J519</f>
        <v>0.16</v>
      </c>
      <c r="K519" s="25">
        <f>IF(ISNUMBER(INDEX(Dataset2_Raw!$B$2:$B$611,$Q519)),INDEX(Dataset2_Raw!$B$2:$B$611,$Q519),"")</f>
        <v>0.13639999999999999</v>
      </c>
      <c r="L519" s="25">
        <f>IF(ISNUMBER(INDEX(Dataset2_Raw!$C$2:$C$611,$Q519)),INDEX(Dataset2_Raw!$C$2:$C$611,$Q519),"")</f>
        <v>0.26</v>
      </c>
      <c r="M519" s="25">
        <f>IF(ISNUMBER(INDEX(Dataset2_Raw!$D$2:$D$611,$Q519)),INDEX(Dataset2_Raw!$D$2:$D$611,$Q519),"")</f>
        <v>0.32840000000000003</v>
      </c>
      <c r="N519" s="23">
        <f>IF(ISNUMBER(INDEX(Dataset2_Raw!$E$2:$E$611,$Q519)),INDEX(Dataset2_Raw!$E$2:$E$611,$Q519),"")</f>
        <v>9</v>
      </c>
      <c r="O519" s="23">
        <f>IF(ISNUMBER(INDEX(Dataset2_Raw!$F$2:$F$611,$Q519)),INDEX(Dataset2_Raw!$F$2:$F$611,$Q519),"")</f>
        <v>56</v>
      </c>
      <c r="P519" s="23">
        <f>IF(ISNUMBER(INDEX(Dataset2_Raw!$G$2:$G$611,$Q519)),INDEX(Dataset2_Raw!$G$2:$G$611,$Q519),"")</f>
        <v>65</v>
      </c>
      <c r="Q519" s="23">
        <f>IFERROR(MATCH($A519,Dataset2_Raw!$A$2:$A$611,0),0)</f>
        <v>518</v>
      </c>
    </row>
    <row r="520" spans="1:17" x14ac:dyDescent="0.35">
      <c r="A520" s="23">
        <f>Dataset1_Raw!A520</f>
        <v>519</v>
      </c>
      <c r="B520" s="24">
        <f>Dataset1_Raw!B520</f>
        <v>40566</v>
      </c>
      <c r="C520" s="23">
        <f>Dataset1_Raw!C520</f>
        <v>1</v>
      </c>
      <c r="D520" s="23">
        <f>Dataset1_Raw!D520</f>
        <v>0</v>
      </c>
      <c r="E520" s="23">
        <f>Dataset1_Raw!E520</f>
        <v>1</v>
      </c>
      <c r="F520" s="23">
        <f>Dataset1_Raw!F520</f>
        <v>17</v>
      </c>
      <c r="G520" s="23" t="b">
        <f>Dataset1_Raw!G520</f>
        <v>0</v>
      </c>
      <c r="H520" s="23">
        <f>Dataset1_Raw!H520</f>
        <v>0</v>
      </c>
      <c r="I520" s="23">
        <f>Dataset1_Raw!I520</f>
        <v>1</v>
      </c>
      <c r="J520" s="25">
        <f>Dataset1_Raw!J520</f>
        <v>0.14000000000000001</v>
      </c>
      <c r="K520" s="25">
        <f>IF(ISNUMBER(INDEX(Dataset2_Raw!$B$2:$B$611,$Q520)),INDEX(Dataset2_Raw!$B$2:$B$611,$Q520),"")</f>
        <v>0.1061</v>
      </c>
      <c r="L520" s="25">
        <f>IF(ISNUMBER(INDEX(Dataset2_Raw!$C$2:$C$611,$Q520)),INDEX(Dataset2_Raw!$C$2:$C$611,$Q520),"")</f>
        <v>0.26</v>
      </c>
      <c r="M520" s="25">
        <f>IF(ISNUMBER(INDEX(Dataset2_Raw!$D$2:$D$611,$Q520)),INDEX(Dataset2_Raw!$D$2:$D$611,$Q520),"")</f>
        <v>0.3881</v>
      </c>
      <c r="N520" s="23">
        <f>IF(ISNUMBER(INDEX(Dataset2_Raw!$E$2:$E$611,$Q520)),INDEX(Dataset2_Raw!$E$2:$E$611,$Q520),"")</f>
        <v>5</v>
      </c>
      <c r="O520" s="23">
        <f>IF(ISNUMBER(INDEX(Dataset2_Raw!$F$2:$F$611,$Q520)),INDEX(Dataset2_Raw!$F$2:$F$611,$Q520),"")</f>
        <v>50</v>
      </c>
      <c r="P520" s="23">
        <f>IF(ISNUMBER(INDEX(Dataset2_Raw!$G$2:$G$611,$Q520)),INDEX(Dataset2_Raw!$G$2:$G$611,$Q520),"")</f>
        <v>55</v>
      </c>
      <c r="Q520" s="23">
        <f>IFERROR(MATCH($A520,Dataset2_Raw!$A$2:$A$611,0),0)</f>
        <v>519</v>
      </c>
    </row>
    <row r="521" spans="1:17" x14ac:dyDescent="0.35">
      <c r="A521" s="23">
        <f>Dataset1_Raw!A521</f>
        <v>520</v>
      </c>
      <c r="B521" s="24">
        <f>Dataset1_Raw!B521</f>
        <v>40566</v>
      </c>
      <c r="C521" s="23">
        <f>Dataset1_Raw!C521</f>
        <v>1</v>
      </c>
      <c r="D521" s="23">
        <f>Dataset1_Raw!D521</f>
        <v>0</v>
      </c>
      <c r="E521" s="23">
        <f>Dataset1_Raw!E521</f>
        <v>1</v>
      </c>
      <c r="F521" s="23">
        <f>Dataset1_Raw!F521</f>
        <v>18</v>
      </c>
      <c r="G521" s="23" t="b">
        <f>Dataset1_Raw!G521</f>
        <v>0</v>
      </c>
      <c r="H521" s="23">
        <f>Dataset1_Raw!H521</f>
        <v>0</v>
      </c>
      <c r="I521" s="23">
        <f>Dataset1_Raw!I521</f>
        <v>1</v>
      </c>
      <c r="J521" s="25">
        <f>Dataset1_Raw!J521</f>
        <v>0.12</v>
      </c>
      <c r="K521" s="25">
        <f>IF(ISNUMBER(INDEX(Dataset2_Raw!$B$2:$B$611,$Q521)),INDEX(Dataset2_Raw!$B$2:$B$611,$Q521),"")</f>
        <v>0.1212</v>
      </c>
      <c r="L521" s="25">
        <f>IF(ISNUMBER(INDEX(Dataset2_Raw!$C$2:$C$611,$Q521)),INDEX(Dataset2_Raw!$C$2:$C$611,$Q521),"")</f>
        <v>0.3</v>
      </c>
      <c r="M521" s="25">
        <f>IF(ISNUMBER(INDEX(Dataset2_Raw!$D$2:$D$611,$Q521)),INDEX(Dataset2_Raw!$D$2:$D$611,$Q521),"")</f>
        <v>0.25369999999999998</v>
      </c>
      <c r="N521" s="23">
        <f>IF(ISNUMBER(INDEX(Dataset2_Raw!$E$2:$E$611,$Q521)),INDEX(Dataset2_Raw!$E$2:$E$611,$Q521),"")</f>
        <v>5</v>
      </c>
      <c r="O521" s="23">
        <f>IF(ISNUMBER(INDEX(Dataset2_Raw!$F$2:$F$611,$Q521)),INDEX(Dataset2_Raw!$F$2:$F$611,$Q521),"")</f>
        <v>44</v>
      </c>
      <c r="P521" s="23">
        <f>IF(ISNUMBER(INDEX(Dataset2_Raw!$G$2:$G$611,$Q521)),INDEX(Dataset2_Raw!$G$2:$G$611,$Q521),"")</f>
        <v>49</v>
      </c>
      <c r="Q521" s="23">
        <f>IFERROR(MATCH($A521,Dataset2_Raw!$A$2:$A$611,0),0)</f>
        <v>520</v>
      </c>
    </row>
    <row r="522" spans="1:17" x14ac:dyDescent="0.35">
      <c r="A522" s="23">
        <f>Dataset1_Raw!A522</f>
        <v>521</v>
      </c>
      <c r="B522" s="24">
        <f>Dataset1_Raw!B522</f>
        <v>40566</v>
      </c>
      <c r="C522" s="23">
        <f>Dataset1_Raw!C522</f>
        <v>1</v>
      </c>
      <c r="D522" s="23">
        <f>Dataset1_Raw!D522</f>
        <v>0</v>
      </c>
      <c r="E522" s="23">
        <f>Dataset1_Raw!E522</f>
        <v>1</v>
      </c>
      <c r="F522" s="23">
        <f>Dataset1_Raw!F522</f>
        <v>19</v>
      </c>
      <c r="G522" s="23" t="b">
        <f>Dataset1_Raw!G522</f>
        <v>0</v>
      </c>
      <c r="H522" s="23">
        <f>Dataset1_Raw!H522</f>
        <v>0</v>
      </c>
      <c r="I522" s="23">
        <f>Dataset1_Raw!I522</f>
        <v>1</v>
      </c>
      <c r="J522" s="25">
        <f>Dataset1_Raw!J522</f>
        <v>0.12</v>
      </c>
      <c r="K522" s="25">
        <f>IF(ISNUMBER(INDEX(Dataset2_Raw!$B$2:$B$611,$Q522)),INDEX(Dataset2_Raw!$B$2:$B$611,$Q522),"")</f>
        <v>0.1212</v>
      </c>
      <c r="L522" s="25">
        <f>IF(ISNUMBER(INDEX(Dataset2_Raw!$C$2:$C$611,$Q522)),INDEX(Dataset2_Raw!$C$2:$C$611,$Q522),"")</f>
        <v>0.3</v>
      </c>
      <c r="M522" s="25">
        <f>IF(ISNUMBER(INDEX(Dataset2_Raw!$D$2:$D$611,$Q522)),INDEX(Dataset2_Raw!$D$2:$D$611,$Q522),"")</f>
        <v>0.28360000000000002</v>
      </c>
      <c r="N522" s="23">
        <f>IF(ISNUMBER(INDEX(Dataset2_Raw!$E$2:$E$611,$Q522)),INDEX(Dataset2_Raw!$E$2:$E$611,$Q522),"")</f>
        <v>5</v>
      </c>
      <c r="O522" s="23">
        <f>IF(ISNUMBER(INDEX(Dataset2_Raw!$F$2:$F$611,$Q522)),INDEX(Dataset2_Raw!$F$2:$F$611,$Q522),"")</f>
        <v>45</v>
      </c>
      <c r="P522" s="23">
        <f>IF(ISNUMBER(INDEX(Dataset2_Raw!$G$2:$G$611,$Q522)),INDEX(Dataset2_Raw!$G$2:$G$611,$Q522),"")</f>
        <v>50</v>
      </c>
      <c r="Q522" s="23">
        <f>IFERROR(MATCH($A522,Dataset2_Raw!$A$2:$A$611,0),0)</f>
        <v>521</v>
      </c>
    </row>
    <row r="523" spans="1:17" x14ac:dyDescent="0.35">
      <c r="A523" s="23">
        <f>Dataset1_Raw!A523</f>
        <v>522</v>
      </c>
      <c r="B523" s="24">
        <f>Dataset1_Raw!B523</f>
        <v>40566</v>
      </c>
      <c r="C523" s="23">
        <f>Dataset1_Raw!C523</f>
        <v>1</v>
      </c>
      <c r="D523" s="23">
        <f>Dataset1_Raw!D523</f>
        <v>0</v>
      </c>
      <c r="E523" s="23">
        <f>Dataset1_Raw!E523</f>
        <v>1</v>
      </c>
      <c r="F523" s="23">
        <f>Dataset1_Raw!F523</f>
        <v>20</v>
      </c>
      <c r="G523" s="23" t="b">
        <f>Dataset1_Raw!G523</f>
        <v>0</v>
      </c>
      <c r="H523" s="23">
        <f>Dataset1_Raw!H523</f>
        <v>0</v>
      </c>
      <c r="I523" s="23">
        <f>Dataset1_Raw!I523</f>
        <v>1</v>
      </c>
      <c r="J523" s="25">
        <f>Dataset1_Raw!J523</f>
        <v>0.1</v>
      </c>
      <c r="K523" s="25">
        <f>IF(ISNUMBER(INDEX(Dataset2_Raw!$B$2:$B$611,$Q523)),INDEX(Dataset2_Raw!$B$2:$B$611,$Q523),"")</f>
        <v>0.1061</v>
      </c>
      <c r="L523" s="25">
        <f>IF(ISNUMBER(INDEX(Dataset2_Raw!$C$2:$C$611,$Q523)),INDEX(Dataset2_Raw!$C$2:$C$611,$Q523),"")</f>
        <v>0.36</v>
      </c>
      <c r="M523" s="25">
        <f>IF(ISNUMBER(INDEX(Dataset2_Raw!$D$2:$D$611,$Q523)),INDEX(Dataset2_Raw!$D$2:$D$611,$Q523),"")</f>
        <v>0.25369999999999998</v>
      </c>
      <c r="N523" s="23">
        <f>IF(ISNUMBER(INDEX(Dataset2_Raw!$E$2:$E$611,$Q523)),INDEX(Dataset2_Raw!$E$2:$E$611,$Q523),"")</f>
        <v>4</v>
      </c>
      <c r="O523" s="23">
        <f>IF(ISNUMBER(INDEX(Dataset2_Raw!$F$2:$F$611,$Q523)),INDEX(Dataset2_Raw!$F$2:$F$611,$Q523),"")</f>
        <v>31</v>
      </c>
      <c r="P523" s="23">
        <f>IF(ISNUMBER(INDEX(Dataset2_Raw!$G$2:$G$611,$Q523)),INDEX(Dataset2_Raw!$G$2:$G$611,$Q523),"")</f>
        <v>35</v>
      </c>
      <c r="Q523" s="23">
        <f>IFERROR(MATCH($A523,Dataset2_Raw!$A$2:$A$611,0),0)</f>
        <v>522</v>
      </c>
    </row>
    <row r="524" spans="1:17" x14ac:dyDescent="0.35">
      <c r="A524" s="23">
        <f>Dataset1_Raw!A524</f>
        <v>523</v>
      </c>
      <c r="B524" s="24">
        <f>Dataset1_Raw!B524</f>
        <v>40566</v>
      </c>
      <c r="C524" s="23">
        <f>Dataset1_Raw!C524</f>
        <v>1</v>
      </c>
      <c r="D524" s="23">
        <f>Dataset1_Raw!D524</f>
        <v>0</v>
      </c>
      <c r="E524" s="23">
        <f>Dataset1_Raw!E524</f>
        <v>1</v>
      </c>
      <c r="F524" s="23">
        <f>Dataset1_Raw!F524</f>
        <v>21</v>
      </c>
      <c r="G524" s="23" t="b">
        <f>Dataset1_Raw!G524</f>
        <v>0</v>
      </c>
      <c r="H524" s="23">
        <f>Dataset1_Raw!H524</f>
        <v>0</v>
      </c>
      <c r="I524" s="23">
        <f>Dataset1_Raw!I524</f>
        <v>1</v>
      </c>
      <c r="J524" s="25">
        <f>Dataset1_Raw!J524</f>
        <v>0.1</v>
      </c>
      <c r="K524" s="25">
        <f>IF(ISNUMBER(INDEX(Dataset2_Raw!$B$2:$B$611,$Q524)),INDEX(Dataset2_Raw!$B$2:$B$611,$Q524),"")</f>
        <v>0.1061</v>
      </c>
      <c r="L524" s="25">
        <f>IF(ISNUMBER(INDEX(Dataset2_Raw!$C$2:$C$611,$Q524)),INDEX(Dataset2_Raw!$C$2:$C$611,$Q524),"")</f>
        <v>0.36</v>
      </c>
      <c r="M524" s="25">
        <f>IF(ISNUMBER(INDEX(Dataset2_Raw!$D$2:$D$611,$Q524)),INDEX(Dataset2_Raw!$D$2:$D$611,$Q524),"")</f>
        <v>0.19400000000000001</v>
      </c>
      <c r="N524" s="23">
        <f>IF(ISNUMBER(INDEX(Dataset2_Raw!$E$2:$E$611,$Q524)),INDEX(Dataset2_Raw!$E$2:$E$611,$Q524),"")</f>
        <v>5</v>
      </c>
      <c r="O524" s="23">
        <f>IF(ISNUMBER(INDEX(Dataset2_Raw!$F$2:$F$611,$Q524)),INDEX(Dataset2_Raw!$F$2:$F$611,$Q524),"")</f>
        <v>20</v>
      </c>
      <c r="P524" s="23">
        <f>IF(ISNUMBER(INDEX(Dataset2_Raw!$G$2:$G$611,$Q524)),INDEX(Dataset2_Raw!$G$2:$G$611,$Q524),"")</f>
        <v>25</v>
      </c>
      <c r="Q524" s="23">
        <f>IFERROR(MATCH($A524,Dataset2_Raw!$A$2:$A$611,0),0)</f>
        <v>523</v>
      </c>
    </row>
    <row r="525" spans="1:17" x14ac:dyDescent="0.35">
      <c r="A525" s="23">
        <f>Dataset1_Raw!A525</f>
        <v>524</v>
      </c>
      <c r="B525" s="24">
        <f>Dataset1_Raw!B525</f>
        <v>40566</v>
      </c>
      <c r="C525" s="23">
        <f>Dataset1_Raw!C525</f>
        <v>1</v>
      </c>
      <c r="D525" s="23">
        <f>Dataset1_Raw!D525</f>
        <v>0</v>
      </c>
      <c r="E525" s="23">
        <f>Dataset1_Raw!E525</f>
        <v>1</v>
      </c>
      <c r="F525" s="23">
        <f>Dataset1_Raw!F525</f>
        <v>22</v>
      </c>
      <c r="G525" s="23" t="b">
        <f>Dataset1_Raw!G525</f>
        <v>0</v>
      </c>
      <c r="H525" s="23">
        <f>Dataset1_Raw!H525</f>
        <v>0</v>
      </c>
      <c r="I525" s="23">
        <f>Dataset1_Raw!I525</f>
        <v>1</v>
      </c>
      <c r="J525" s="25">
        <f>Dataset1_Raw!J525</f>
        <v>0.08</v>
      </c>
      <c r="K525" s="25">
        <f>IF(ISNUMBER(INDEX(Dataset2_Raw!$B$2:$B$611,$Q525)),INDEX(Dataset2_Raw!$B$2:$B$611,$Q525),"")</f>
        <v>9.0899999999999995E-2</v>
      </c>
      <c r="L525" s="25">
        <f>IF(ISNUMBER(INDEX(Dataset2_Raw!$C$2:$C$611,$Q525)),INDEX(Dataset2_Raw!$C$2:$C$611,$Q525),"")</f>
        <v>0.38</v>
      </c>
      <c r="M525" s="25">
        <f>IF(ISNUMBER(INDEX(Dataset2_Raw!$D$2:$D$611,$Q525)),INDEX(Dataset2_Raw!$D$2:$D$611,$Q525),"")</f>
        <v>0.19400000000000001</v>
      </c>
      <c r="N525" s="23">
        <f>IF(ISNUMBER(INDEX(Dataset2_Raw!$E$2:$E$611,$Q525)),INDEX(Dataset2_Raw!$E$2:$E$611,$Q525),"")</f>
        <v>5</v>
      </c>
      <c r="O525" s="23">
        <f>IF(ISNUMBER(INDEX(Dataset2_Raw!$F$2:$F$611,$Q525)),INDEX(Dataset2_Raw!$F$2:$F$611,$Q525),"")</f>
        <v>23</v>
      </c>
      <c r="P525" s="23">
        <f>IF(ISNUMBER(INDEX(Dataset2_Raw!$G$2:$G$611,$Q525)),INDEX(Dataset2_Raw!$G$2:$G$611,$Q525),"")</f>
        <v>28</v>
      </c>
      <c r="Q525" s="23">
        <f>IFERROR(MATCH($A525,Dataset2_Raw!$A$2:$A$611,0),0)</f>
        <v>524</v>
      </c>
    </row>
    <row r="526" spans="1:17" x14ac:dyDescent="0.35">
      <c r="A526" s="23">
        <f>Dataset1_Raw!A526</f>
        <v>525</v>
      </c>
      <c r="B526" s="24">
        <f>Dataset1_Raw!B526</f>
        <v>40566</v>
      </c>
      <c r="C526" s="23">
        <f>Dataset1_Raw!C526</f>
        <v>1</v>
      </c>
      <c r="D526" s="23">
        <f>Dataset1_Raw!D526</f>
        <v>0</v>
      </c>
      <c r="E526" s="23">
        <f>Dataset1_Raw!E526</f>
        <v>1</v>
      </c>
      <c r="F526" s="23">
        <f>Dataset1_Raw!F526</f>
        <v>23</v>
      </c>
      <c r="G526" s="23" t="b">
        <f>Dataset1_Raw!G526</f>
        <v>0</v>
      </c>
      <c r="H526" s="23">
        <f>Dataset1_Raw!H526</f>
        <v>0</v>
      </c>
      <c r="I526" s="23">
        <f>Dataset1_Raw!I526</f>
        <v>1</v>
      </c>
      <c r="J526" s="25">
        <f>Dataset1_Raw!J526</f>
        <v>0.06</v>
      </c>
      <c r="K526" s="25">
        <f>IF(ISNUMBER(INDEX(Dataset2_Raw!$B$2:$B$611,$Q526)),INDEX(Dataset2_Raw!$B$2:$B$611,$Q526),"")</f>
        <v>6.0600000000000001E-2</v>
      </c>
      <c r="L526" s="25">
        <f>IF(ISNUMBER(INDEX(Dataset2_Raw!$C$2:$C$611,$Q526)),INDEX(Dataset2_Raw!$C$2:$C$611,$Q526),"")</f>
        <v>0.41</v>
      </c>
      <c r="M526" s="25">
        <f>IF(ISNUMBER(INDEX(Dataset2_Raw!$D$2:$D$611,$Q526)),INDEX(Dataset2_Raw!$D$2:$D$611,$Q526),"")</f>
        <v>0.22389999999999999</v>
      </c>
      <c r="N526" s="23">
        <f>IF(ISNUMBER(INDEX(Dataset2_Raw!$E$2:$E$611,$Q526)),INDEX(Dataset2_Raw!$E$2:$E$611,$Q526),"")</f>
        <v>4</v>
      </c>
      <c r="O526" s="23">
        <f>IF(ISNUMBER(INDEX(Dataset2_Raw!$F$2:$F$611,$Q526)),INDEX(Dataset2_Raw!$F$2:$F$611,$Q526),"")</f>
        <v>17</v>
      </c>
      <c r="P526" s="23">
        <f>IF(ISNUMBER(INDEX(Dataset2_Raw!$G$2:$G$611,$Q526)),INDEX(Dataset2_Raw!$G$2:$G$611,$Q526),"")</f>
        <v>21</v>
      </c>
      <c r="Q526" s="23">
        <f>IFERROR(MATCH($A526,Dataset2_Raw!$A$2:$A$611,0),0)</f>
        <v>525</v>
      </c>
    </row>
    <row r="527" spans="1:17" x14ac:dyDescent="0.35">
      <c r="A527" s="23">
        <f>Dataset1_Raw!A527</f>
        <v>526</v>
      </c>
      <c r="B527" s="24">
        <f>Dataset1_Raw!B527</f>
        <v>40567</v>
      </c>
      <c r="C527" s="23">
        <f>Dataset1_Raw!C527</f>
        <v>1</v>
      </c>
      <c r="D527" s="23">
        <f>Dataset1_Raw!D527</f>
        <v>0</v>
      </c>
      <c r="E527" s="23">
        <f>Dataset1_Raw!E527</f>
        <v>1</v>
      </c>
      <c r="F527" s="23">
        <f>Dataset1_Raw!F527</f>
        <v>0</v>
      </c>
      <c r="G527" s="23" t="b">
        <f>Dataset1_Raw!G527</f>
        <v>0</v>
      </c>
      <c r="H527" s="23">
        <f>Dataset1_Raw!H527</f>
        <v>1</v>
      </c>
      <c r="I527" s="23">
        <f>Dataset1_Raw!I527</f>
        <v>1</v>
      </c>
      <c r="J527" s="25">
        <f>Dataset1_Raw!J527</f>
        <v>0.06</v>
      </c>
      <c r="K527" s="25">
        <f>IF(ISNUMBER(INDEX(Dataset2_Raw!$B$2:$B$611,$Q527)),INDEX(Dataset2_Raw!$B$2:$B$611,$Q527),"")</f>
        <v>6.0600000000000001E-2</v>
      </c>
      <c r="L527" s="25">
        <f>IF(ISNUMBER(INDEX(Dataset2_Raw!$C$2:$C$611,$Q527)),INDEX(Dataset2_Raw!$C$2:$C$611,$Q527),"")</f>
        <v>0.41</v>
      </c>
      <c r="M527" s="25">
        <f>IF(ISNUMBER(INDEX(Dataset2_Raw!$D$2:$D$611,$Q527)),INDEX(Dataset2_Raw!$D$2:$D$611,$Q527),"")</f>
        <v>0.19400000000000001</v>
      </c>
      <c r="N527" s="23">
        <f>IF(ISNUMBER(INDEX(Dataset2_Raw!$E$2:$E$611,$Q527)),INDEX(Dataset2_Raw!$E$2:$E$611,$Q527),"")</f>
        <v>0</v>
      </c>
      <c r="O527" s="23">
        <f>IF(ISNUMBER(INDEX(Dataset2_Raw!$F$2:$F$611,$Q527)),INDEX(Dataset2_Raw!$F$2:$F$611,$Q527),"")</f>
        <v>7</v>
      </c>
      <c r="P527" s="23">
        <f>IF(ISNUMBER(INDEX(Dataset2_Raw!$G$2:$G$611,$Q527)),INDEX(Dataset2_Raw!$G$2:$G$611,$Q527),"")</f>
        <v>7</v>
      </c>
      <c r="Q527" s="23">
        <f>IFERROR(MATCH($A527,Dataset2_Raw!$A$2:$A$611,0),0)</f>
        <v>526</v>
      </c>
    </row>
    <row r="528" spans="1:17" x14ac:dyDescent="0.35">
      <c r="A528" s="23">
        <f>Dataset1_Raw!A528</f>
        <v>527</v>
      </c>
      <c r="B528" s="24">
        <f>Dataset1_Raw!B528</f>
        <v>40567</v>
      </c>
      <c r="C528" s="23">
        <f>Dataset1_Raw!C528</f>
        <v>1</v>
      </c>
      <c r="D528" s="23">
        <f>Dataset1_Raw!D528</f>
        <v>0</v>
      </c>
      <c r="E528" s="23">
        <f>Dataset1_Raw!E528</f>
        <v>1</v>
      </c>
      <c r="F528" s="23">
        <f>Dataset1_Raw!F528</f>
        <v>1</v>
      </c>
      <c r="G528" s="23" t="b">
        <f>Dataset1_Raw!G528</f>
        <v>0</v>
      </c>
      <c r="H528" s="23">
        <f>Dataset1_Raw!H528</f>
        <v>1</v>
      </c>
      <c r="I528" s="23">
        <f>Dataset1_Raw!I528</f>
        <v>1</v>
      </c>
      <c r="J528" s="25">
        <f>Dataset1_Raw!J528</f>
        <v>0.04</v>
      </c>
      <c r="K528" s="25">
        <f>IF(ISNUMBER(INDEX(Dataset2_Raw!$B$2:$B$611,$Q528)),INDEX(Dataset2_Raw!$B$2:$B$611,$Q528),"")</f>
        <v>4.5499999999999999E-2</v>
      </c>
      <c r="L528" s="25">
        <f>IF(ISNUMBER(INDEX(Dataset2_Raw!$C$2:$C$611,$Q528)),INDEX(Dataset2_Raw!$C$2:$C$611,$Q528),"")</f>
        <v>0.45</v>
      </c>
      <c r="M528" s="25">
        <f>IF(ISNUMBER(INDEX(Dataset2_Raw!$D$2:$D$611,$Q528)),INDEX(Dataset2_Raw!$D$2:$D$611,$Q528),"")</f>
        <v>0.19400000000000001</v>
      </c>
      <c r="N528" s="23">
        <f>IF(ISNUMBER(INDEX(Dataset2_Raw!$E$2:$E$611,$Q528)),INDEX(Dataset2_Raw!$E$2:$E$611,$Q528),"")</f>
        <v>0</v>
      </c>
      <c r="O528" s="23">
        <f>IF(ISNUMBER(INDEX(Dataset2_Raw!$F$2:$F$611,$Q528)),INDEX(Dataset2_Raw!$F$2:$F$611,$Q528),"")</f>
        <v>1</v>
      </c>
      <c r="P528" s="23">
        <f>IF(ISNUMBER(INDEX(Dataset2_Raw!$G$2:$G$611,$Q528)),INDEX(Dataset2_Raw!$G$2:$G$611,$Q528),"")</f>
        <v>1</v>
      </c>
      <c r="Q528" s="23">
        <f>IFERROR(MATCH($A528,Dataset2_Raw!$A$2:$A$611,0),0)</f>
        <v>527</v>
      </c>
    </row>
    <row r="529" spans="1:17" x14ac:dyDescent="0.35">
      <c r="A529" s="23">
        <f>Dataset1_Raw!A529</f>
        <v>528</v>
      </c>
      <c r="B529" s="24">
        <f>Dataset1_Raw!B529</f>
        <v>40567</v>
      </c>
      <c r="C529" s="23">
        <f>Dataset1_Raw!C529</f>
        <v>1</v>
      </c>
      <c r="D529" s="23">
        <f>Dataset1_Raw!D529</f>
        <v>0</v>
      </c>
      <c r="E529" s="23">
        <f>Dataset1_Raw!E529</f>
        <v>1</v>
      </c>
      <c r="F529" s="23">
        <f>Dataset1_Raw!F529</f>
        <v>3</v>
      </c>
      <c r="G529" s="23" t="b">
        <f>Dataset1_Raw!G529</f>
        <v>0</v>
      </c>
      <c r="H529" s="23">
        <f>Dataset1_Raw!H529</f>
        <v>1</v>
      </c>
      <c r="I529" s="23">
        <f>Dataset1_Raw!I529</f>
        <v>1</v>
      </c>
      <c r="J529" s="25">
        <f>Dataset1_Raw!J529</f>
        <v>0.04</v>
      </c>
      <c r="K529" s="25">
        <f>IF(ISNUMBER(INDEX(Dataset2_Raw!$B$2:$B$611,$Q529)),INDEX(Dataset2_Raw!$B$2:$B$611,$Q529),"")</f>
        <v>3.0300000000000001E-2</v>
      </c>
      <c r="L529" s="25">
        <f>IF(ISNUMBER(INDEX(Dataset2_Raw!$C$2:$C$611,$Q529)),INDEX(Dataset2_Raw!$C$2:$C$611,$Q529),"")</f>
        <v>0.45</v>
      </c>
      <c r="M529" s="25">
        <f>IF(ISNUMBER(INDEX(Dataset2_Raw!$D$2:$D$611,$Q529)),INDEX(Dataset2_Raw!$D$2:$D$611,$Q529),"")</f>
        <v>0.25369999999999998</v>
      </c>
      <c r="N529" s="23">
        <f>IF(ISNUMBER(INDEX(Dataset2_Raw!$E$2:$E$611,$Q529)),INDEX(Dataset2_Raw!$E$2:$E$611,$Q529),"")</f>
        <v>0</v>
      </c>
      <c r="O529" s="23">
        <f>IF(ISNUMBER(INDEX(Dataset2_Raw!$F$2:$F$611,$Q529)),INDEX(Dataset2_Raw!$F$2:$F$611,$Q529),"")</f>
        <v>1</v>
      </c>
      <c r="P529" s="23">
        <f>IF(ISNUMBER(INDEX(Dataset2_Raw!$G$2:$G$611,$Q529)),INDEX(Dataset2_Raw!$G$2:$G$611,$Q529),"")</f>
        <v>1</v>
      </c>
      <c r="Q529" s="23">
        <f>IFERROR(MATCH($A529,Dataset2_Raw!$A$2:$A$611,0),0)</f>
        <v>528</v>
      </c>
    </row>
    <row r="530" spans="1:17" x14ac:dyDescent="0.35">
      <c r="A530" s="23">
        <f>Dataset1_Raw!A530</f>
        <v>529</v>
      </c>
      <c r="B530" s="24">
        <f>Dataset1_Raw!B530</f>
        <v>40567</v>
      </c>
      <c r="C530" s="23">
        <f>Dataset1_Raw!C530</f>
        <v>1</v>
      </c>
      <c r="D530" s="23">
        <f>Dataset1_Raw!D530</f>
        <v>0</v>
      </c>
      <c r="E530" s="23">
        <f>Dataset1_Raw!E530</f>
        <v>1</v>
      </c>
      <c r="F530" s="23">
        <f>Dataset1_Raw!F530</f>
        <v>4</v>
      </c>
      <c r="G530" s="23" t="b">
        <f>Dataset1_Raw!G530</f>
        <v>0</v>
      </c>
      <c r="H530" s="23">
        <f>Dataset1_Raw!H530</f>
        <v>1</v>
      </c>
      <c r="I530" s="23">
        <f>Dataset1_Raw!I530</f>
        <v>1</v>
      </c>
      <c r="J530" s="25">
        <f>Dataset1_Raw!J530</f>
        <v>0.02</v>
      </c>
      <c r="K530" s="25">
        <f>IF(ISNUMBER(INDEX(Dataset2_Raw!$B$2:$B$611,$Q530)),INDEX(Dataset2_Raw!$B$2:$B$611,$Q530),"")</f>
        <v>6.0600000000000001E-2</v>
      </c>
      <c r="L530" s="25">
        <f>IF(ISNUMBER(INDEX(Dataset2_Raw!$C$2:$C$611,$Q530)),INDEX(Dataset2_Raw!$C$2:$C$611,$Q530),"")</f>
        <v>0.48</v>
      </c>
      <c r="M530" s="25">
        <f>IF(ISNUMBER(INDEX(Dataset2_Raw!$D$2:$D$611,$Q530)),INDEX(Dataset2_Raw!$D$2:$D$611,$Q530),"")</f>
        <v>0.1343</v>
      </c>
      <c r="N530" s="23">
        <f>IF(ISNUMBER(INDEX(Dataset2_Raw!$E$2:$E$611,$Q530)),INDEX(Dataset2_Raw!$E$2:$E$611,$Q530),"")</f>
        <v>0</v>
      </c>
      <c r="O530" s="23">
        <f>IF(ISNUMBER(INDEX(Dataset2_Raw!$F$2:$F$611,$Q530)),INDEX(Dataset2_Raw!$F$2:$F$611,$Q530),"")</f>
        <v>1</v>
      </c>
      <c r="P530" s="23">
        <f>IF(ISNUMBER(INDEX(Dataset2_Raw!$G$2:$G$611,$Q530)),INDEX(Dataset2_Raw!$G$2:$G$611,$Q530),"")</f>
        <v>1</v>
      </c>
      <c r="Q530" s="23">
        <f>IFERROR(MATCH($A530,Dataset2_Raw!$A$2:$A$611,0),0)</f>
        <v>529</v>
      </c>
    </row>
    <row r="531" spans="1:17" x14ac:dyDescent="0.35">
      <c r="A531" s="23">
        <f>Dataset1_Raw!A531</f>
        <v>530</v>
      </c>
      <c r="B531" s="24">
        <f>Dataset1_Raw!B531</f>
        <v>40567</v>
      </c>
      <c r="C531" s="23">
        <f>Dataset1_Raw!C531</f>
        <v>1</v>
      </c>
      <c r="D531" s="23">
        <f>Dataset1_Raw!D531</f>
        <v>0</v>
      </c>
      <c r="E531" s="23">
        <f>Dataset1_Raw!E531</f>
        <v>1</v>
      </c>
      <c r="F531" s="23">
        <f>Dataset1_Raw!F531</f>
        <v>5</v>
      </c>
      <c r="G531" s="23" t="b">
        <f>Dataset1_Raw!G531</f>
        <v>0</v>
      </c>
      <c r="H531" s="23">
        <f>Dataset1_Raw!H531</f>
        <v>1</v>
      </c>
      <c r="I531" s="23">
        <f>Dataset1_Raw!I531</f>
        <v>1</v>
      </c>
      <c r="J531" s="25">
        <f>Dataset1_Raw!J531</f>
        <v>0.02</v>
      </c>
      <c r="K531" s="25">
        <f>IF(ISNUMBER(INDEX(Dataset2_Raw!$B$2:$B$611,$Q531)),INDEX(Dataset2_Raw!$B$2:$B$611,$Q531),"")</f>
        <v>6.0600000000000001E-2</v>
      </c>
      <c r="L531" s="25">
        <f>IF(ISNUMBER(INDEX(Dataset2_Raw!$C$2:$C$611,$Q531)),INDEX(Dataset2_Raw!$C$2:$C$611,$Q531),"")</f>
        <v>0.48</v>
      </c>
      <c r="M531" s="25">
        <f>IF(ISNUMBER(INDEX(Dataset2_Raw!$D$2:$D$611,$Q531)),INDEX(Dataset2_Raw!$D$2:$D$611,$Q531),"")</f>
        <v>0.1343</v>
      </c>
      <c r="N531" s="23">
        <f>IF(ISNUMBER(INDEX(Dataset2_Raw!$E$2:$E$611,$Q531)),INDEX(Dataset2_Raw!$E$2:$E$611,$Q531),"")</f>
        <v>0</v>
      </c>
      <c r="O531" s="23">
        <f>IF(ISNUMBER(INDEX(Dataset2_Raw!$F$2:$F$611,$Q531)),INDEX(Dataset2_Raw!$F$2:$F$611,$Q531),"")</f>
        <v>5</v>
      </c>
      <c r="P531" s="23">
        <f>IF(ISNUMBER(INDEX(Dataset2_Raw!$G$2:$G$611,$Q531)),INDEX(Dataset2_Raw!$G$2:$G$611,$Q531),"")</f>
        <v>5</v>
      </c>
      <c r="Q531" s="23">
        <f>IFERROR(MATCH($A531,Dataset2_Raw!$A$2:$A$611,0),0)</f>
        <v>530</v>
      </c>
    </row>
    <row r="532" spans="1:17" x14ac:dyDescent="0.35">
      <c r="A532" s="23">
        <f>Dataset1_Raw!A532</f>
        <v>531</v>
      </c>
      <c r="B532" s="24">
        <f>Dataset1_Raw!B532</f>
        <v>40567</v>
      </c>
      <c r="C532" s="23">
        <f>Dataset1_Raw!C532</f>
        <v>1</v>
      </c>
      <c r="D532" s="23">
        <f>Dataset1_Raw!D532</f>
        <v>0</v>
      </c>
      <c r="E532" s="23">
        <f>Dataset1_Raw!E532</f>
        <v>1</v>
      </c>
      <c r="F532" s="23">
        <f>Dataset1_Raw!F532</f>
        <v>6</v>
      </c>
      <c r="G532" s="23" t="b">
        <f>Dataset1_Raw!G532</f>
        <v>0</v>
      </c>
      <c r="H532" s="23">
        <f>Dataset1_Raw!H532</f>
        <v>1</v>
      </c>
      <c r="I532" s="23">
        <f>Dataset1_Raw!I532</f>
        <v>1</v>
      </c>
      <c r="J532" s="25">
        <f>Dataset1_Raw!J532</f>
        <v>0.02</v>
      </c>
      <c r="K532" s="25">
        <f>IF(ISNUMBER(INDEX(Dataset2_Raw!$B$2:$B$611,$Q532)),INDEX(Dataset2_Raw!$B$2:$B$611,$Q532),"")</f>
        <v>7.5800000000000006E-2</v>
      </c>
      <c r="L532" s="25">
        <f>IF(ISNUMBER(INDEX(Dataset2_Raw!$C$2:$C$611,$Q532)),INDEX(Dataset2_Raw!$C$2:$C$611,$Q532),"")</f>
        <v>0.48</v>
      </c>
      <c r="M532" s="25">
        <f>IF(ISNUMBER(INDEX(Dataset2_Raw!$D$2:$D$611,$Q532)),INDEX(Dataset2_Raw!$D$2:$D$611,$Q532),"")</f>
        <v>8.9599999999999999E-2</v>
      </c>
      <c r="N532" s="23">
        <f>IF(ISNUMBER(INDEX(Dataset2_Raw!$E$2:$E$611,$Q532)),INDEX(Dataset2_Raw!$E$2:$E$611,$Q532),"")</f>
        <v>0</v>
      </c>
      <c r="O532" s="23">
        <f>IF(ISNUMBER(INDEX(Dataset2_Raw!$F$2:$F$611,$Q532)),INDEX(Dataset2_Raw!$F$2:$F$611,$Q532),"")</f>
        <v>15</v>
      </c>
      <c r="P532" s="23">
        <f>IF(ISNUMBER(INDEX(Dataset2_Raw!$G$2:$G$611,$Q532)),INDEX(Dataset2_Raw!$G$2:$G$611,$Q532),"")</f>
        <v>15</v>
      </c>
      <c r="Q532" s="23">
        <f>IFERROR(MATCH($A532,Dataset2_Raw!$A$2:$A$611,0),0)</f>
        <v>531</v>
      </c>
    </row>
    <row r="533" spans="1:17" x14ac:dyDescent="0.35">
      <c r="A533" s="23">
        <f>Dataset1_Raw!A533</f>
        <v>532</v>
      </c>
      <c r="B533" s="24">
        <f>Dataset1_Raw!B533</f>
        <v>40567</v>
      </c>
      <c r="C533" s="23">
        <f>Dataset1_Raw!C533</f>
        <v>1</v>
      </c>
      <c r="D533" s="23">
        <f>Dataset1_Raw!D533</f>
        <v>0</v>
      </c>
      <c r="E533" s="23">
        <f>Dataset1_Raw!E533</f>
        <v>1</v>
      </c>
      <c r="F533" s="23">
        <f>Dataset1_Raw!F533</f>
        <v>7</v>
      </c>
      <c r="G533" s="23" t="b">
        <f>Dataset1_Raw!G533</f>
        <v>0</v>
      </c>
      <c r="H533" s="23">
        <f>Dataset1_Raw!H533</f>
        <v>1</v>
      </c>
      <c r="I533" s="23">
        <f>Dataset1_Raw!I533</f>
        <v>1</v>
      </c>
      <c r="J533" s="25">
        <f>Dataset1_Raw!J533</f>
        <v>0.02</v>
      </c>
      <c r="K533" s="25">
        <f>IF(ISNUMBER(INDEX(Dataset2_Raw!$B$2:$B$611,$Q533)),INDEX(Dataset2_Raw!$B$2:$B$611,$Q533),"")</f>
        <v>0.1212</v>
      </c>
      <c r="L533" s="25">
        <f>IF(ISNUMBER(INDEX(Dataset2_Raw!$C$2:$C$611,$Q533)),INDEX(Dataset2_Raw!$C$2:$C$611,$Q533),"")</f>
        <v>0.48</v>
      </c>
      <c r="M533" s="25">
        <f>IF(ISNUMBER(INDEX(Dataset2_Raw!$D$2:$D$611,$Q533)),INDEX(Dataset2_Raw!$D$2:$D$611,$Q533),"")</f>
        <v>0</v>
      </c>
      <c r="N533" s="23">
        <f>IF(ISNUMBER(INDEX(Dataset2_Raw!$E$2:$E$611,$Q533)),INDEX(Dataset2_Raw!$E$2:$E$611,$Q533),"")</f>
        <v>5</v>
      </c>
      <c r="O533" s="23">
        <f>IF(ISNUMBER(INDEX(Dataset2_Raw!$F$2:$F$611,$Q533)),INDEX(Dataset2_Raw!$F$2:$F$611,$Q533),"")</f>
        <v>79</v>
      </c>
      <c r="P533" s="23">
        <f>IF(ISNUMBER(INDEX(Dataset2_Raw!$G$2:$G$611,$Q533)),INDEX(Dataset2_Raw!$G$2:$G$611,$Q533),"")</f>
        <v>84</v>
      </c>
      <c r="Q533" s="23">
        <f>IFERROR(MATCH($A533,Dataset2_Raw!$A$2:$A$611,0),0)</f>
        <v>532</v>
      </c>
    </row>
    <row r="534" spans="1:17" x14ac:dyDescent="0.35">
      <c r="A534" s="23">
        <f>Dataset1_Raw!A534</f>
        <v>533</v>
      </c>
      <c r="B534" s="24">
        <f>Dataset1_Raw!B534</f>
        <v>40567</v>
      </c>
      <c r="C534" s="23">
        <f>Dataset1_Raw!C534</f>
        <v>1</v>
      </c>
      <c r="D534" s="23">
        <f>Dataset1_Raw!D534</f>
        <v>0</v>
      </c>
      <c r="E534" s="23">
        <f>Dataset1_Raw!E534</f>
        <v>1</v>
      </c>
      <c r="F534" s="23">
        <f>Dataset1_Raw!F534</f>
        <v>8</v>
      </c>
      <c r="G534" s="23" t="b">
        <f>Dataset1_Raw!G534</f>
        <v>0</v>
      </c>
      <c r="H534" s="23">
        <f>Dataset1_Raw!H534</f>
        <v>1</v>
      </c>
      <c r="I534" s="23">
        <f>Dataset1_Raw!I534</f>
        <v>1</v>
      </c>
      <c r="J534" s="25">
        <f>Dataset1_Raw!J534</f>
        <v>0.04</v>
      </c>
      <c r="K534" s="25">
        <f>IF(ISNUMBER(INDEX(Dataset2_Raw!$B$2:$B$611,$Q534)),INDEX(Dataset2_Raw!$B$2:$B$611,$Q534),"")</f>
        <v>0.13639999999999999</v>
      </c>
      <c r="L534" s="25">
        <f>IF(ISNUMBER(INDEX(Dataset2_Raw!$C$2:$C$611,$Q534)),INDEX(Dataset2_Raw!$C$2:$C$611,$Q534),"")</f>
        <v>0.49</v>
      </c>
      <c r="M534" s="25">
        <f>IF(ISNUMBER(INDEX(Dataset2_Raw!$D$2:$D$611,$Q534)),INDEX(Dataset2_Raw!$D$2:$D$611,$Q534),"")</f>
        <v>0</v>
      </c>
      <c r="N534" s="23">
        <f>IF(ISNUMBER(INDEX(Dataset2_Raw!$E$2:$E$611,$Q534)),INDEX(Dataset2_Raw!$E$2:$E$611,$Q534),"")</f>
        <v>6</v>
      </c>
      <c r="O534" s="23">
        <f>IF(ISNUMBER(INDEX(Dataset2_Raw!$F$2:$F$611,$Q534)),INDEX(Dataset2_Raw!$F$2:$F$611,$Q534),"")</f>
        <v>171</v>
      </c>
      <c r="P534" s="23">
        <f>IF(ISNUMBER(INDEX(Dataset2_Raw!$G$2:$G$611,$Q534)),INDEX(Dataset2_Raw!$G$2:$G$611,$Q534),"")</f>
        <v>177</v>
      </c>
      <c r="Q534" s="23">
        <f>IFERROR(MATCH($A534,Dataset2_Raw!$A$2:$A$611,0),0)</f>
        <v>533</v>
      </c>
    </row>
    <row r="535" spans="1:17" x14ac:dyDescent="0.35">
      <c r="A535" s="23">
        <f>Dataset1_Raw!A535</f>
        <v>534</v>
      </c>
      <c r="B535" s="24">
        <f>Dataset1_Raw!B535</f>
        <v>40567</v>
      </c>
      <c r="C535" s="23">
        <f>Dataset1_Raw!C535</f>
        <v>1</v>
      </c>
      <c r="D535" s="23">
        <f>Dataset1_Raw!D535</f>
        <v>0</v>
      </c>
      <c r="E535" s="23">
        <f>Dataset1_Raw!E535</f>
        <v>1</v>
      </c>
      <c r="F535" s="23">
        <f>Dataset1_Raw!F535</f>
        <v>9</v>
      </c>
      <c r="G535" s="23" t="b">
        <f>Dataset1_Raw!G535</f>
        <v>0</v>
      </c>
      <c r="H535" s="23">
        <f>Dataset1_Raw!H535</f>
        <v>1</v>
      </c>
      <c r="I535" s="23">
        <f>Dataset1_Raw!I535</f>
        <v>1</v>
      </c>
      <c r="J535" s="25">
        <f>Dataset1_Raw!J535</f>
        <v>0.06</v>
      </c>
      <c r="K535" s="25">
        <f>IF(ISNUMBER(INDEX(Dataset2_Raw!$B$2:$B$611,$Q535)),INDEX(Dataset2_Raw!$B$2:$B$611,$Q535),"")</f>
        <v>0.1515</v>
      </c>
      <c r="L535" s="25">
        <f>IF(ISNUMBER(INDEX(Dataset2_Raw!$C$2:$C$611,$Q535)),INDEX(Dataset2_Raw!$C$2:$C$611,$Q535),"")</f>
        <v>0.41</v>
      </c>
      <c r="M535" s="25">
        <f>IF(ISNUMBER(INDEX(Dataset2_Raw!$D$2:$D$611,$Q535)),INDEX(Dataset2_Raw!$D$2:$D$611,$Q535),"")</f>
        <v>0</v>
      </c>
      <c r="N535" s="23">
        <f>IF(ISNUMBER(INDEX(Dataset2_Raw!$E$2:$E$611,$Q535)),INDEX(Dataset2_Raw!$E$2:$E$611,$Q535),"")</f>
        <v>4</v>
      </c>
      <c r="O535" s="23">
        <f>IF(ISNUMBER(INDEX(Dataset2_Raw!$F$2:$F$611,$Q535)),INDEX(Dataset2_Raw!$F$2:$F$611,$Q535),"")</f>
        <v>98</v>
      </c>
      <c r="P535" s="23">
        <f>IF(ISNUMBER(INDEX(Dataset2_Raw!$G$2:$G$611,$Q535)),INDEX(Dataset2_Raw!$G$2:$G$611,$Q535),"")</f>
        <v>102</v>
      </c>
      <c r="Q535" s="23">
        <f>IFERROR(MATCH($A535,Dataset2_Raw!$A$2:$A$611,0),0)</f>
        <v>534</v>
      </c>
    </row>
    <row r="536" spans="1:17" x14ac:dyDescent="0.35">
      <c r="A536" s="23">
        <f>Dataset1_Raw!A536</f>
        <v>535</v>
      </c>
      <c r="B536" s="24">
        <f>Dataset1_Raw!B536</f>
        <v>40567</v>
      </c>
      <c r="C536" s="23">
        <f>Dataset1_Raw!C536</f>
        <v>1</v>
      </c>
      <c r="D536" s="23">
        <f>Dataset1_Raw!D536</f>
        <v>0</v>
      </c>
      <c r="E536" s="23">
        <f>Dataset1_Raw!E536</f>
        <v>1</v>
      </c>
      <c r="F536" s="23">
        <f>Dataset1_Raw!F536</f>
        <v>10</v>
      </c>
      <c r="G536" s="23" t="b">
        <f>Dataset1_Raw!G536</f>
        <v>0</v>
      </c>
      <c r="H536" s="23">
        <f>Dataset1_Raw!H536</f>
        <v>1</v>
      </c>
      <c r="I536" s="23">
        <f>Dataset1_Raw!I536</f>
        <v>1</v>
      </c>
      <c r="J536" s="25">
        <f>Dataset1_Raw!J536</f>
        <v>0.1</v>
      </c>
      <c r="K536" s="25">
        <f>IF(ISNUMBER(INDEX(Dataset2_Raw!$B$2:$B$611,$Q536)),INDEX(Dataset2_Raw!$B$2:$B$611,$Q536),"")</f>
        <v>0.13639999999999999</v>
      </c>
      <c r="L536" s="25">
        <f>IF(ISNUMBER(INDEX(Dataset2_Raw!$C$2:$C$611,$Q536)),INDEX(Dataset2_Raw!$C$2:$C$611,$Q536),"")</f>
        <v>0.42</v>
      </c>
      <c r="M536" s="25">
        <f>IF(ISNUMBER(INDEX(Dataset2_Raw!$D$2:$D$611,$Q536)),INDEX(Dataset2_Raw!$D$2:$D$611,$Q536),"")</f>
        <v>0</v>
      </c>
      <c r="N536" s="23">
        <f>IF(ISNUMBER(INDEX(Dataset2_Raw!$E$2:$E$611,$Q536)),INDEX(Dataset2_Raw!$E$2:$E$611,$Q536),"")</f>
        <v>6</v>
      </c>
      <c r="O536" s="23">
        <f>IF(ISNUMBER(INDEX(Dataset2_Raw!$F$2:$F$611,$Q536)),INDEX(Dataset2_Raw!$F$2:$F$611,$Q536),"")</f>
        <v>34</v>
      </c>
      <c r="P536" s="23">
        <f>IF(ISNUMBER(INDEX(Dataset2_Raw!$G$2:$G$611,$Q536)),INDEX(Dataset2_Raw!$G$2:$G$611,$Q536),"")</f>
        <v>40</v>
      </c>
      <c r="Q536" s="23">
        <f>IFERROR(MATCH($A536,Dataset2_Raw!$A$2:$A$611,0),0)</f>
        <v>535</v>
      </c>
    </row>
    <row r="537" spans="1:17" x14ac:dyDescent="0.35">
      <c r="A537" s="23">
        <f>Dataset1_Raw!A537</f>
        <v>536</v>
      </c>
      <c r="B537" s="24">
        <f>Dataset1_Raw!B537</f>
        <v>40567</v>
      </c>
      <c r="C537" s="23">
        <f>Dataset1_Raw!C537</f>
        <v>1</v>
      </c>
      <c r="D537" s="23">
        <f>Dataset1_Raw!D537</f>
        <v>0</v>
      </c>
      <c r="E537" s="23">
        <f>Dataset1_Raw!E537</f>
        <v>1</v>
      </c>
      <c r="F537" s="23">
        <f>Dataset1_Raw!F537</f>
        <v>11</v>
      </c>
      <c r="G537" s="23" t="b">
        <f>Dataset1_Raw!G537</f>
        <v>0</v>
      </c>
      <c r="H537" s="23">
        <f>Dataset1_Raw!H537</f>
        <v>1</v>
      </c>
      <c r="I537" s="23">
        <f>Dataset1_Raw!I537</f>
        <v>1</v>
      </c>
      <c r="J537" s="25">
        <f>Dataset1_Raw!J537</f>
        <v>0.1</v>
      </c>
      <c r="K537" s="25">
        <f>IF(ISNUMBER(INDEX(Dataset2_Raw!$B$2:$B$611,$Q537)),INDEX(Dataset2_Raw!$B$2:$B$611,$Q537),"")</f>
        <v>0.1212</v>
      </c>
      <c r="L537" s="25">
        <f>IF(ISNUMBER(INDEX(Dataset2_Raw!$C$2:$C$611,$Q537)),INDEX(Dataset2_Raw!$C$2:$C$611,$Q537),"")</f>
        <v>0.46</v>
      </c>
      <c r="M537" s="25">
        <f>IF(ISNUMBER(INDEX(Dataset2_Raw!$D$2:$D$611,$Q537)),INDEX(Dataset2_Raw!$D$2:$D$611,$Q537),"")</f>
        <v>0.1343</v>
      </c>
      <c r="N537" s="23">
        <f>IF(ISNUMBER(INDEX(Dataset2_Raw!$E$2:$E$611,$Q537)),INDEX(Dataset2_Raw!$E$2:$E$611,$Q537),"")</f>
        <v>3</v>
      </c>
      <c r="O537" s="23">
        <f>IF(ISNUMBER(INDEX(Dataset2_Raw!$F$2:$F$611,$Q537)),INDEX(Dataset2_Raw!$F$2:$F$611,$Q537),"")</f>
        <v>43</v>
      </c>
      <c r="P537" s="23">
        <f>IF(ISNUMBER(INDEX(Dataset2_Raw!$G$2:$G$611,$Q537)),INDEX(Dataset2_Raw!$G$2:$G$611,$Q537),"")</f>
        <v>46</v>
      </c>
      <c r="Q537" s="23">
        <f>IFERROR(MATCH($A537,Dataset2_Raw!$A$2:$A$611,0),0)</f>
        <v>536</v>
      </c>
    </row>
    <row r="538" spans="1:17" x14ac:dyDescent="0.35">
      <c r="A538" s="23">
        <f>Dataset1_Raw!A538</f>
        <v>537</v>
      </c>
      <c r="B538" s="24">
        <f>Dataset1_Raw!B538</f>
        <v>40567</v>
      </c>
      <c r="C538" s="23">
        <f>Dataset1_Raw!C538</f>
        <v>1</v>
      </c>
      <c r="D538" s="23">
        <f>Dataset1_Raw!D538</f>
        <v>0</v>
      </c>
      <c r="E538" s="23">
        <f>Dataset1_Raw!E538</f>
        <v>1</v>
      </c>
      <c r="F538" s="23">
        <f>Dataset1_Raw!F538</f>
        <v>12</v>
      </c>
      <c r="G538" s="23" t="b">
        <f>Dataset1_Raw!G538</f>
        <v>0</v>
      </c>
      <c r="H538" s="23">
        <f>Dataset1_Raw!H538</f>
        <v>1</v>
      </c>
      <c r="I538" s="23">
        <f>Dataset1_Raw!I538</f>
        <v>2</v>
      </c>
      <c r="J538" s="25">
        <f>Dataset1_Raw!J538</f>
        <v>0.12</v>
      </c>
      <c r="K538" s="25">
        <f>IF(ISNUMBER(INDEX(Dataset2_Raw!$B$2:$B$611,$Q538)),INDEX(Dataset2_Raw!$B$2:$B$611,$Q538),"")</f>
        <v>0.13639999999999999</v>
      </c>
      <c r="L538" s="25">
        <f>IF(ISNUMBER(INDEX(Dataset2_Raw!$C$2:$C$611,$Q538)),INDEX(Dataset2_Raw!$C$2:$C$611,$Q538),"")</f>
        <v>0.42</v>
      </c>
      <c r="M538" s="25">
        <f>IF(ISNUMBER(INDEX(Dataset2_Raw!$D$2:$D$611,$Q538)),INDEX(Dataset2_Raw!$D$2:$D$611,$Q538),"")</f>
        <v>0.19400000000000001</v>
      </c>
      <c r="N538" s="23">
        <f>IF(ISNUMBER(INDEX(Dataset2_Raw!$E$2:$E$611,$Q538)),INDEX(Dataset2_Raw!$E$2:$E$611,$Q538),"")</f>
        <v>11</v>
      </c>
      <c r="O538" s="23">
        <f>IF(ISNUMBER(INDEX(Dataset2_Raw!$F$2:$F$611,$Q538)),INDEX(Dataset2_Raw!$F$2:$F$611,$Q538),"")</f>
        <v>52</v>
      </c>
      <c r="P538" s="23">
        <f>IF(ISNUMBER(INDEX(Dataset2_Raw!$G$2:$G$611,$Q538)),INDEX(Dataset2_Raw!$G$2:$G$611,$Q538),"")</f>
        <v>63</v>
      </c>
      <c r="Q538" s="23">
        <f>IFERROR(MATCH($A538,Dataset2_Raw!$A$2:$A$611,0),0)</f>
        <v>537</v>
      </c>
    </row>
    <row r="539" spans="1:17" x14ac:dyDescent="0.35">
      <c r="A539" s="23">
        <f>Dataset1_Raw!A539</f>
        <v>538</v>
      </c>
      <c r="B539" s="24">
        <f>Dataset1_Raw!B539</f>
        <v>40567</v>
      </c>
      <c r="C539" s="23">
        <f>Dataset1_Raw!C539</f>
        <v>1</v>
      </c>
      <c r="D539" s="23">
        <f>Dataset1_Raw!D539</f>
        <v>0</v>
      </c>
      <c r="E539" s="23">
        <f>Dataset1_Raw!E539</f>
        <v>1</v>
      </c>
      <c r="F539" s="23">
        <f>Dataset1_Raw!F539</f>
        <v>13</v>
      </c>
      <c r="G539" s="23" t="b">
        <f>Dataset1_Raw!G539</f>
        <v>0</v>
      </c>
      <c r="H539" s="23">
        <f>Dataset1_Raw!H539</f>
        <v>1</v>
      </c>
      <c r="I539" s="23">
        <f>Dataset1_Raw!I539</f>
        <v>2</v>
      </c>
      <c r="J539" s="25">
        <f>Dataset1_Raw!J539</f>
        <v>0.14000000000000001</v>
      </c>
      <c r="K539" s="25">
        <f>IF(ISNUMBER(INDEX(Dataset2_Raw!$B$2:$B$611,$Q539)),INDEX(Dataset2_Raw!$B$2:$B$611,$Q539),"")</f>
        <v>0.13639999999999999</v>
      </c>
      <c r="L539" s="25">
        <f>IF(ISNUMBER(INDEX(Dataset2_Raw!$C$2:$C$611,$Q539)),INDEX(Dataset2_Raw!$C$2:$C$611,$Q539),"")</f>
        <v>0.43</v>
      </c>
      <c r="M539" s="25">
        <f>IF(ISNUMBER(INDEX(Dataset2_Raw!$D$2:$D$611,$Q539)),INDEX(Dataset2_Raw!$D$2:$D$611,$Q539),"")</f>
        <v>0.22389999999999999</v>
      </c>
      <c r="N539" s="23">
        <f>IF(ISNUMBER(INDEX(Dataset2_Raw!$E$2:$E$611,$Q539)),INDEX(Dataset2_Raw!$E$2:$E$611,$Q539),"")</f>
        <v>6</v>
      </c>
      <c r="O539" s="23">
        <f>IF(ISNUMBER(INDEX(Dataset2_Raw!$F$2:$F$611,$Q539)),INDEX(Dataset2_Raw!$F$2:$F$611,$Q539),"")</f>
        <v>54</v>
      </c>
      <c r="P539" s="23">
        <f>IF(ISNUMBER(INDEX(Dataset2_Raw!$G$2:$G$611,$Q539)),INDEX(Dataset2_Raw!$G$2:$G$611,$Q539),"")</f>
        <v>60</v>
      </c>
      <c r="Q539" s="23">
        <f>IFERROR(MATCH($A539,Dataset2_Raw!$A$2:$A$611,0),0)</f>
        <v>538</v>
      </c>
    </row>
    <row r="540" spans="1:17" x14ac:dyDescent="0.35">
      <c r="A540" s="23">
        <f>Dataset1_Raw!A540</f>
        <v>539</v>
      </c>
      <c r="B540" s="24">
        <f>Dataset1_Raw!B540</f>
        <v>40567</v>
      </c>
      <c r="C540" s="23">
        <f>Dataset1_Raw!C540</f>
        <v>1</v>
      </c>
      <c r="D540" s="23">
        <f>Dataset1_Raw!D540</f>
        <v>0</v>
      </c>
      <c r="E540" s="23">
        <f>Dataset1_Raw!E540</f>
        <v>1</v>
      </c>
      <c r="F540" s="23">
        <f>Dataset1_Raw!F540</f>
        <v>14</v>
      </c>
      <c r="G540" s="23" t="b">
        <f>Dataset1_Raw!G540</f>
        <v>0</v>
      </c>
      <c r="H540" s="23">
        <f>Dataset1_Raw!H540</f>
        <v>1</v>
      </c>
      <c r="I540" s="23">
        <f>Dataset1_Raw!I540</f>
        <v>2</v>
      </c>
      <c r="J540" s="25">
        <f>Dataset1_Raw!J540</f>
        <v>0.14000000000000001</v>
      </c>
      <c r="K540" s="25">
        <f>IF(ISNUMBER(INDEX(Dataset2_Raw!$B$2:$B$611,$Q540)),INDEX(Dataset2_Raw!$B$2:$B$611,$Q540),"")</f>
        <v>0.13639999999999999</v>
      </c>
      <c r="L540" s="25">
        <f>IF(ISNUMBER(INDEX(Dataset2_Raw!$C$2:$C$611,$Q540)),INDEX(Dataset2_Raw!$C$2:$C$611,$Q540),"")</f>
        <v>0.46</v>
      </c>
      <c r="M540" s="25">
        <f>IF(ISNUMBER(INDEX(Dataset2_Raw!$D$2:$D$611,$Q540)),INDEX(Dataset2_Raw!$D$2:$D$611,$Q540),"")</f>
        <v>0.22389999999999999</v>
      </c>
      <c r="N540" s="23">
        <f>IF(ISNUMBER(INDEX(Dataset2_Raw!$E$2:$E$611,$Q540)),INDEX(Dataset2_Raw!$E$2:$E$611,$Q540),"")</f>
        <v>2</v>
      </c>
      <c r="O540" s="23">
        <f>IF(ISNUMBER(INDEX(Dataset2_Raw!$F$2:$F$611,$Q540)),INDEX(Dataset2_Raw!$F$2:$F$611,$Q540),"")</f>
        <v>43</v>
      </c>
      <c r="P540" s="23">
        <f>IF(ISNUMBER(INDEX(Dataset2_Raw!$G$2:$G$611,$Q540)),INDEX(Dataset2_Raw!$G$2:$G$611,$Q540),"")</f>
        <v>45</v>
      </c>
      <c r="Q540" s="23">
        <f>IFERROR(MATCH($A540,Dataset2_Raw!$A$2:$A$611,0),0)</f>
        <v>539</v>
      </c>
    </row>
    <row r="541" spans="1:17" x14ac:dyDescent="0.35">
      <c r="A541" s="23">
        <f>Dataset1_Raw!A541</f>
        <v>540</v>
      </c>
      <c r="B541" s="24">
        <f>Dataset1_Raw!B541</f>
        <v>40567</v>
      </c>
      <c r="C541" s="23">
        <f>Dataset1_Raw!C541</f>
        <v>1</v>
      </c>
      <c r="D541" s="23">
        <f>Dataset1_Raw!D541</f>
        <v>0</v>
      </c>
      <c r="E541" s="23">
        <f>Dataset1_Raw!E541</f>
        <v>1</v>
      </c>
      <c r="F541" s="23">
        <f>Dataset1_Raw!F541</f>
        <v>15</v>
      </c>
      <c r="G541" s="23" t="b">
        <f>Dataset1_Raw!G541</f>
        <v>0</v>
      </c>
      <c r="H541" s="23">
        <f>Dataset1_Raw!H541</f>
        <v>1</v>
      </c>
      <c r="I541" s="23">
        <f>Dataset1_Raw!I541</f>
        <v>1</v>
      </c>
      <c r="J541" s="25">
        <f>Dataset1_Raw!J541</f>
        <v>0.16</v>
      </c>
      <c r="K541" s="25">
        <f>IF(ISNUMBER(INDEX(Dataset2_Raw!$B$2:$B$611,$Q541)),INDEX(Dataset2_Raw!$B$2:$B$611,$Q541),"")</f>
        <v>0.16669999999999999</v>
      </c>
      <c r="L541" s="25">
        <f>IF(ISNUMBER(INDEX(Dataset2_Raw!$C$2:$C$611,$Q541)),INDEX(Dataset2_Raw!$C$2:$C$611,$Q541),"")</f>
        <v>0.4</v>
      </c>
      <c r="M541" s="25">
        <f>IF(ISNUMBER(INDEX(Dataset2_Raw!$D$2:$D$611,$Q541)),INDEX(Dataset2_Raw!$D$2:$D$611,$Q541),"")</f>
        <v>0.16420000000000001</v>
      </c>
      <c r="N541" s="23">
        <f>IF(ISNUMBER(INDEX(Dataset2_Raw!$E$2:$E$611,$Q541)),INDEX(Dataset2_Raw!$E$2:$E$611,$Q541),"")</f>
        <v>7</v>
      </c>
      <c r="O541" s="23">
        <f>IF(ISNUMBER(INDEX(Dataset2_Raw!$F$2:$F$611,$Q541)),INDEX(Dataset2_Raw!$F$2:$F$611,$Q541),"")</f>
        <v>50</v>
      </c>
      <c r="P541" s="23">
        <f>IF(ISNUMBER(INDEX(Dataset2_Raw!$G$2:$G$611,$Q541)),INDEX(Dataset2_Raw!$G$2:$G$611,$Q541),"")</f>
        <v>57</v>
      </c>
      <c r="Q541" s="23">
        <f>IFERROR(MATCH($A541,Dataset2_Raw!$A$2:$A$611,0),0)</f>
        <v>540</v>
      </c>
    </row>
    <row r="542" spans="1:17" x14ac:dyDescent="0.35">
      <c r="A542" s="23">
        <f>Dataset1_Raw!A542</f>
        <v>541</v>
      </c>
      <c r="B542" s="24">
        <f>Dataset1_Raw!B542</f>
        <v>40567</v>
      </c>
      <c r="C542" s="23">
        <f>Dataset1_Raw!C542</f>
        <v>1</v>
      </c>
      <c r="D542" s="23">
        <f>Dataset1_Raw!D542</f>
        <v>0</v>
      </c>
      <c r="E542" s="23">
        <f>Dataset1_Raw!E542</f>
        <v>1</v>
      </c>
      <c r="F542" s="23">
        <f>Dataset1_Raw!F542</f>
        <v>16</v>
      </c>
      <c r="G542" s="23" t="b">
        <f>Dataset1_Raw!G542</f>
        <v>0</v>
      </c>
      <c r="H542" s="23">
        <f>Dataset1_Raw!H542</f>
        <v>1</v>
      </c>
      <c r="I542" s="23">
        <f>Dataset1_Raw!I542</f>
        <v>1</v>
      </c>
      <c r="J542" s="25">
        <f>Dataset1_Raw!J542</f>
        <v>0.16</v>
      </c>
      <c r="K542" s="25">
        <f>IF(ISNUMBER(INDEX(Dataset2_Raw!$B$2:$B$611,$Q542)),INDEX(Dataset2_Raw!$B$2:$B$611,$Q542),"")</f>
        <v>0.1515</v>
      </c>
      <c r="L542" s="25">
        <f>IF(ISNUMBER(INDEX(Dataset2_Raw!$C$2:$C$611,$Q542)),INDEX(Dataset2_Raw!$C$2:$C$611,$Q542),"")</f>
        <v>0.47</v>
      </c>
      <c r="M542" s="25">
        <f>IF(ISNUMBER(INDEX(Dataset2_Raw!$D$2:$D$611,$Q542)),INDEX(Dataset2_Raw!$D$2:$D$611,$Q542),"")</f>
        <v>0.25369999999999998</v>
      </c>
      <c r="N542" s="23">
        <f>IF(ISNUMBER(INDEX(Dataset2_Raw!$E$2:$E$611,$Q542)),INDEX(Dataset2_Raw!$E$2:$E$611,$Q542),"")</f>
        <v>4</v>
      </c>
      <c r="O542" s="23">
        <f>IF(ISNUMBER(INDEX(Dataset2_Raw!$F$2:$F$611,$Q542)),INDEX(Dataset2_Raw!$F$2:$F$611,$Q542),"")</f>
        <v>66</v>
      </c>
      <c r="P542" s="23">
        <f>IF(ISNUMBER(INDEX(Dataset2_Raw!$G$2:$G$611,$Q542)),INDEX(Dataset2_Raw!$G$2:$G$611,$Q542),"")</f>
        <v>70</v>
      </c>
      <c r="Q542" s="23">
        <f>IFERROR(MATCH($A542,Dataset2_Raw!$A$2:$A$611,0),0)</f>
        <v>541</v>
      </c>
    </row>
    <row r="543" spans="1:17" x14ac:dyDescent="0.35">
      <c r="A543" s="23">
        <f>Dataset1_Raw!A543</f>
        <v>542</v>
      </c>
      <c r="B543" s="24">
        <f>Dataset1_Raw!B543</f>
        <v>40567</v>
      </c>
      <c r="C543" s="23">
        <f>Dataset1_Raw!C543</f>
        <v>1</v>
      </c>
      <c r="D543" s="23">
        <f>Dataset1_Raw!D543</f>
        <v>0</v>
      </c>
      <c r="E543" s="23">
        <f>Dataset1_Raw!E543</f>
        <v>1</v>
      </c>
      <c r="F543" s="23">
        <f>Dataset1_Raw!F543</f>
        <v>17</v>
      </c>
      <c r="G543" s="23" t="b">
        <f>Dataset1_Raw!G543</f>
        <v>0</v>
      </c>
      <c r="H543" s="23">
        <f>Dataset1_Raw!H543</f>
        <v>1</v>
      </c>
      <c r="I543" s="23">
        <f>Dataset1_Raw!I543</f>
        <v>1</v>
      </c>
      <c r="J543" s="25">
        <f>Dataset1_Raw!J543</f>
        <v>0.14000000000000001</v>
      </c>
      <c r="K543" s="25">
        <f>IF(ISNUMBER(INDEX(Dataset2_Raw!$B$2:$B$611,$Q543)),INDEX(Dataset2_Raw!$B$2:$B$611,$Q543),"")</f>
        <v>0.1212</v>
      </c>
      <c r="L543" s="25">
        <f>IF(ISNUMBER(INDEX(Dataset2_Raw!$C$2:$C$611,$Q543)),INDEX(Dataset2_Raw!$C$2:$C$611,$Q543),"")</f>
        <v>0.5</v>
      </c>
      <c r="M543" s="25">
        <f>IF(ISNUMBER(INDEX(Dataset2_Raw!$D$2:$D$611,$Q543)),INDEX(Dataset2_Raw!$D$2:$D$611,$Q543),"")</f>
        <v>0.25369999999999998</v>
      </c>
      <c r="N543" s="23">
        <f>IF(ISNUMBER(INDEX(Dataset2_Raw!$E$2:$E$611,$Q543)),INDEX(Dataset2_Raw!$E$2:$E$611,$Q543),"")</f>
        <v>6</v>
      </c>
      <c r="O543" s="23">
        <f>IF(ISNUMBER(INDEX(Dataset2_Raw!$F$2:$F$611,$Q543)),INDEX(Dataset2_Raw!$F$2:$F$611,$Q543),"")</f>
        <v>178</v>
      </c>
      <c r="P543" s="23">
        <f>IF(ISNUMBER(INDEX(Dataset2_Raw!$G$2:$G$611,$Q543)),INDEX(Dataset2_Raw!$G$2:$G$611,$Q543),"")</f>
        <v>184</v>
      </c>
      <c r="Q543" s="23">
        <f>IFERROR(MATCH($A543,Dataset2_Raw!$A$2:$A$611,0),0)</f>
        <v>542</v>
      </c>
    </row>
    <row r="544" spans="1:17" x14ac:dyDescent="0.35">
      <c r="A544" s="23">
        <f>Dataset1_Raw!A544</f>
        <v>543</v>
      </c>
      <c r="B544" s="24">
        <f>Dataset1_Raw!B544</f>
        <v>40567</v>
      </c>
      <c r="C544" s="23">
        <f>Dataset1_Raw!C544</f>
        <v>1</v>
      </c>
      <c r="D544" s="23">
        <f>Dataset1_Raw!D544</f>
        <v>0</v>
      </c>
      <c r="E544" s="23">
        <f>Dataset1_Raw!E544</f>
        <v>1</v>
      </c>
      <c r="F544" s="23">
        <f>Dataset1_Raw!F544</f>
        <v>18</v>
      </c>
      <c r="G544" s="23" t="b">
        <f>Dataset1_Raw!G544</f>
        <v>0</v>
      </c>
      <c r="H544" s="23">
        <f>Dataset1_Raw!H544</f>
        <v>1</v>
      </c>
      <c r="I544" s="23">
        <f>Dataset1_Raw!I544</f>
        <v>1</v>
      </c>
      <c r="J544" s="25">
        <f>Dataset1_Raw!J544</f>
        <v>0.14000000000000001</v>
      </c>
      <c r="K544" s="25">
        <f>IF(ISNUMBER(INDEX(Dataset2_Raw!$B$2:$B$611,$Q544)),INDEX(Dataset2_Raw!$B$2:$B$611,$Q544),"")</f>
        <v>0.13639999999999999</v>
      </c>
      <c r="L544" s="25">
        <f>IF(ISNUMBER(INDEX(Dataset2_Raw!$C$2:$C$611,$Q544)),INDEX(Dataset2_Raw!$C$2:$C$611,$Q544),"")</f>
        <v>0.59</v>
      </c>
      <c r="M544" s="25">
        <f>IF(ISNUMBER(INDEX(Dataset2_Raw!$D$2:$D$611,$Q544)),INDEX(Dataset2_Raw!$D$2:$D$611,$Q544),"")</f>
        <v>0.19400000000000001</v>
      </c>
      <c r="N544" s="23">
        <f>IF(ISNUMBER(INDEX(Dataset2_Raw!$E$2:$E$611,$Q544)),INDEX(Dataset2_Raw!$E$2:$E$611,$Q544),"")</f>
        <v>8</v>
      </c>
      <c r="O544" s="23">
        <f>IF(ISNUMBER(INDEX(Dataset2_Raw!$F$2:$F$611,$Q544)),INDEX(Dataset2_Raw!$F$2:$F$611,$Q544),"")</f>
        <v>145</v>
      </c>
      <c r="P544" s="23">
        <f>IF(ISNUMBER(INDEX(Dataset2_Raw!$G$2:$G$611,$Q544)),INDEX(Dataset2_Raw!$G$2:$G$611,$Q544),"")</f>
        <v>153</v>
      </c>
      <c r="Q544" s="23">
        <f>IFERROR(MATCH($A544,Dataset2_Raw!$A$2:$A$611,0),0)</f>
        <v>543</v>
      </c>
    </row>
    <row r="545" spans="1:17" x14ac:dyDescent="0.35">
      <c r="A545" s="23">
        <f>Dataset1_Raw!A545</f>
        <v>544</v>
      </c>
      <c r="B545" s="24">
        <f>Dataset1_Raw!B545</f>
        <v>40567</v>
      </c>
      <c r="C545" s="23">
        <f>Dataset1_Raw!C545</f>
        <v>1</v>
      </c>
      <c r="D545" s="23">
        <f>Dataset1_Raw!D545</f>
        <v>0</v>
      </c>
      <c r="E545" s="23">
        <f>Dataset1_Raw!E545</f>
        <v>1</v>
      </c>
      <c r="F545" s="23">
        <f>Dataset1_Raw!F545</f>
        <v>19</v>
      </c>
      <c r="G545" s="23" t="b">
        <f>Dataset1_Raw!G545</f>
        <v>0</v>
      </c>
      <c r="H545" s="23">
        <f>Dataset1_Raw!H545</f>
        <v>1</v>
      </c>
      <c r="I545" s="23">
        <f>Dataset1_Raw!I545</f>
        <v>1</v>
      </c>
      <c r="J545" s="25">
        <f>Dataset1_Raw!J545</f>
        <v>0.14000000000000001</v>
      </c>
      <c r="K545" s="25">
        <f>IF(ISNUMBER(INDEX(Dataset2_Raw!$B$2:$B$611,$Q545)),INDEX(Dataset2_Raw!$B$2:$B$611,$Q545),"")</f>
        <v>0.1515</v>
      </c>
      <c r="L545" s="25">
        <f>IF(ISNUMBER(INDEX(Dataset2_Raw!$C$2:$C$611,$Q545)),INDEX(Dataset2_Raw!$C$2:$C$611,$Q545),"")</f>
        <v>0.54</v>
      </c>
      <c r="M545" s="25">
        <f>IF(ISNUMBER(INDEX(Dataset2_Raw!$D$2:$D$611,$Q545)),INDEX(Dataset2_Raw!$D$2:$D$611,$Q545),"")</f>
        <v>0.16420000000000001</v>
      </c>
      <c r="N545" s="23">
        <f>IF(ISNUMBER(INDEX(Dataset2_Raw!$E$2:$E$611,$Q545)),INDEX(Dataset2_Raw!$E$2:$E$611,$Q545),"")</f>
        <v>5</v>
      </c>
      <c r="O545" s="23">
        <f>IF(ISNUMBER(INDEX(Dataset2_Raw!$F$2:$F$611,$Q545)),INDEX(Dataset2_Raw!$F$2:$F$611,$Q545),"")</f>
        <v>101</v>
      </c>
      <c r="P545" s="23">
        <f>IF(ISNUMBER(INDEX(Dataset2_Raw!$G$2:$G$611,$Q545)),INDEX(Dataset2_Raw!$G$2:$G$611,$Q545),"")</f>
        <v>106</v>
      </c>
      <c r="Q545" s="23">
        <f>IFERROR(MATCH($A545,Dataset2_Raw!$A$2:$A$611,0),0)</f>
        <v>544</v>
      </c>
    </row>
    <row r="546" spans="1:17" x14ac:dyDescent="0.35">
      <c r="A546" s="23">
        <f>Dataset1_Raw!A546</f>
        <v>545</v>
      </c>
      <c r="B546" s="24">
        <f>Dataset1_Raw!B546</f>
        <v>40567</v>
      </c>
      <c r="C546" s="23">
        <f>Dataset1_Raw!C546</f>
        <v>1</v>
      </c>
      <c r="D546" s="23">
        <f>Dataset1_Raw!D546</f>
        <v>0</v>
      </c>
      <c r="E546" s="23">
        <f>Dataset1_Raw!E546</f>
        <v>1</v>
      </c>
      <c r="F546" s="23">
        <f>Dataset1_Raw!F546</f>
        <v>20</v>
      </c>
      <c r="G546" s="23" t="b">
        <f>Dataset1_Raw!G546</f>
        <v>0</v>
      </c>
      <c r="H546" s="23">
        <f>Dataset1_Raw!H546</f>
        <v>1</v>
      </c>
      <c r="I546" s="23">
        <f>Dataset1_Raw!I546</f>
        <v>1</v>
      </c>
      <c r="J546" s="25">
        <f>Dataset1_Raw!J546</f>
        <v>0.14000000000000001</v>
      </c>
      <c r="K546" s="25">
        <f>IF(ISNUMBER(INDEX(Dataset2_Raw!$B$2:$B$611,$Q546)),INDEX(Dataset2_Raw!$B$2:$B$611,$Q546),"")</f>
        <v>0.13639999999999999</v>
      </c>
      <c r="L546" s="25">
        <f>IF(ISNUMBER(INDEX(Dataset2_Raw!$C$2:$C$611,$Q546)),INDEX(Dataset2_Raw!$C$2:$C$611,$Q546),"")</f>
        <v>0.59</v>
      </c>
      <c r="M546" s="25">
        <f>IF(ISNUMBER(INDEX(Dataset2_Raw!$D$2:$D$611,$Q546)),INDEX(Dataset2_Raw!$D$2:$D$611,$Q546),"")</f>
        <v>0.19400000000000001</v>
      </c>
      <c r="N546" s="23">
        <f>IF(ISNUMBER(INDEX(Dataset2_Raw!$E$2:$E$611,$Q546)),INDEX(Dataset2_Raw!$E$2:$E$611,$Q546),"")</f>
        <v>1</v>
      </c>
      <c r="O546" s="23">
        <f>IF(ISNUMBER(INDEX(Dataset2_Raw!$F$2:$F$611,$Q546)),INDEX(Dataset2_Raw!$F$2:$F$611,$Q546),"")</f>
        <v>80</v>
      </c>
      <c r="P546" s="23">
        <f>IF(ISNUMBER(INDEX(Dataset2_Raw!$G$2:$G$611,$Q546)),INDEX(Dataset2_Raw!$G$2:$G$611,$Q546),"")</f>
        <v>81</v>
      </c>
      <c r="Q546" s="23">
        <f>IFERROR(MATCH($A546,Dataset2_Raw!$A$2:$A$611,0),0)</f>
        <v>545</v>
      </c>
    </row>
    <row r="547" spans="1:17" x14ac:dyDescent="0.35">
      <c r="A547" s="23">
        <f>Dataset1_Raw!A547</f>
        <v>546</v>
      </c>
      <c r="B547" s="24">
        <f>Dataset1_Raw!B547</f>
        <v>40567</v>
      </c>
      <c r="C547" s="23">
        <f>Dataset1_Raw!C547</f>
        <v>1</v>
      </c>
      <c r="D547" s="23">
        <f>Dataset1_Raw!D547</f>
        <v>0</v>
      </c>
      <c r="E547" s="23">
        <f>Dataset1_Raw!E547</f>
        <v>1</v>
      </c>
      <c r="F547" s="23">
        <f>Dataset1_Raw!F547</f>
        <v>21</v>
      </c>
      <c r="G547" s="23" t="b">
        <f>Dataset1_Raw!G547</f>
        <v>0</v>
      </c>
      <c r="H547" s="23">
        <f>Dataset1_Raw!H547</f>
        <v>1</v>
      </c>
      <c r="I547" s="23">
        <f>Dataset1_Raw!I547</f>
        <v>1</v>
      </c>
      <c r="J547" s="25">
        <f>Dataset1_Raw!J547</f>
        <v>0.14000000000000001</v>
      </c>
      <c r="K547" s="25">
        <f>IF(ISNUMBER(INDEX(Dataset2_Raw!$B$2:$B$611,$Q547)),INDEX(Dataset2_Raw!$B$2:$B$611,$Q547),"")</f>
        <v>0.1515</v>
      </c>
      <c r="L547" s="25">
        <f>IF(ISNUMBER(INDEX(Dataset2_Raw!$C$2:$C$611,$Q547)),INDEX(Dataset2_Raw!$C$2:$C$611,$Q547),"")</f>
        <v>0.63</v>
      </c>
      <c r="M547" s="25">
        <f>IF(ISNUMBER(INDEX(Dataset2_Raw!$D$2:$D$611,$Q547)),INDEX(Dataset2_Raw!$D$2:$D$611,$Q547),"")</f>
        <v>0.16420000000000001</v>
      </c>
      <c r="N547" s="23">
        <f>IF(ISNUMBER(INDEX(Dataset2_Raw!$E$2:$E$611,$Q547)),INDEX(Dataset2_Raw!$E$2:$E$611,$Q547),"")</f>
        <v>6</v>
      </c>
      <c r="O547" s="23">
        <f>IF(ISNUMBER(INDEX(Dataset2_Raw!$F$2:$F$611,$Q547)),INDEX(Dataset2_Raw!$F$2:$F$611,$Q547),"")</f>
        <v>53</v>
      </c>
      <c r="P547" s="23">
        <f>IF(ISNUMBER(INDEX(Dataset2_Raw!$G$2:$G$611,$Q547)),INDEX(Dataset2_Raw!$G$2:$G$611,$Q547),"")</f>
        <v>59</v>
      </c>
      <c r="Q547" s="23">
        <f>IFERROR(MATCH($A547,Dataset2_Raw!$A$2:$A$611,0),0)</f>
        <v>546</v>
      </c>
    </row>
    <row r="548" spans="1:17" x14ac:dyDescent="0.35">
      <c r="A548" s="23">
        <f>Dataset1_Raw!A548</f>
        <v>547</v>
      </c>
      <c r="B548" s="24">
        <f>Dataset1_Raw!B548</f>
        <v>40567</v>
      </c>
      <c r="C548" s="23">
        <f>Dataset1_Raw!C548</f>
        <v>1</v>
      </c>
      <c r="D548" s="23">
        <f>Dataset1_Raw!D548</f>
        <v>0</v>
      </c>
      <c r="E548" s="23">
        <f>Dataset1_Raw!E548</f>
        <v>1</v>
      </c>
      <c r="F548" s="23">
        <f>Dataset1_Raw!F548</f>
        <v>22</v>
      </c>
      <c r="G548" s="23" t="b">
        <f>Dataset1_Raw!G548</f>
        <v>0</v>
      </c>
      <c r="H548" s="23">
        <f>Dataset1_Raw!H548</f>
        <v>1</v>
      </c>
      <c r="I548" s="23">
        <f>Dataset1_Raw!I548</f>
        <v>2</v>
      </c>
      <c r="J548" s="25">
        <f>Dataset1_Raw!J548</f>
        <v>0.14000000000000001</v>
      </c>
      <c r="K548" s="25">
        <f>IF(ISNUMBER(INDEX(Dataset2_Raw!$B$2:$B$611,$Q548)),INDEX(Dataset2_Raw!$B$2:$B$611,$Q548),"")</f>
        <v>0.13639999999999999</v>
      </c>
      <c r="L548" s="25">
        <f>IF(ISNUMBER(INDEX(Dataset2_Raw!$C$2:$C$611,$Q548)),INDEX(Dataset2_Raw!$C$2:$C$611,$Q548),"")</f>
        <v>0.63</v>
      </c>
      <c r="M548" s="25">
        <f>IF(ISNUMBER(INDEX(Dataset2_Raw!$D$2:$D$611,$Q548)),INDEX(Dataset2_Raw!$D$2:$D$611,$Q548),"")</f>
        <v>0.22389999999999999</v>
      </c>
      <c r="N548" s="23">
        <f>IF(ISNUMBER(INDEX(Dataset2_Raw!$E$2:$E$611,$Q548)),INDEX(Dataset2_Raw!$E$2:$E$611,$Q548),"")</f>
        <v>3</v>
      </c>
      <c r="O548" s="23">
        <f>IF(ISNUMBER(INDEX(Dataset2_Raw!$F$2:$F$611,$Q548)),INDEX(Dataset2_Raw!$F$2:$F$611,$Q548),"")</f>
        <v>32</v>
      </c>
      <c r="P548" s="23">
        <f>IF(ISNUMBER(INDEX(Dataset2_Raw!$G$2:$G$611,$Q548)),INDEX(Dataset2_Raw!$G$2:$G$611,$Q548),"")</f>
        <v>35</v>
      </c>
      <c r="Q548" s="23">
        <f>IFERROR(MATCH($A548,Dataset2_Raw!$A$2:$A$611,0),0)</f>
        <v>547</v>
      </c>
    </row>
    <row r="549" spans="1:17" x14ac:dyDescent="0.35">
      <c r="A549" s="23">
        <f>Dataset1_Raw!A549</f>
        <v>548</v>
      </c>
      <c r="B549" s="24">
        <f>Dataset1_Raw!B549</f>
        <v>40567</v>
      </c>
      <c r="C549" s="23">
        <f>Dataset1_Raw!C549</f>
        <v>1</v>
      </c>
      <c r="D549" s="23">
        <f>Dataset1_Raw!D549</f>
        <v>0</v>
      </c>
      <c r="E549" s="23">
        <f>Dataset1_Raw!E549</f>
        <v>1</v>
      </c>
      <c r="F549" s="23">
        <f>Dataset1_Raw!F549</f>
        <v>23</v>
      </c>
      <c r="G549" s="23" t="b">
        <f>Dataset1_Raw!G549</f>
        <v>0</v>
      </c>
      <c r="H549" s="23">
        <f>Dataset1_Raw!H549</f>
        <v>1</v>
      </c>
      <c r="I549" s="23">
        <f>Dataset1_Raw!I549</f>
        <v>2</v>
      </c>
      <c r="J549" s="25">
        <f>Dataset1_Raw!J549</f>
        <v>0.16</v>
      </c>
      <c r="K549" s="25">
        <f>IF(ISNUMBER(INDEX(Dataset2_Raw!$B$2:$B$611,$Q549)),INDEX(Dataset2_Raw!$B$2:$B$611,$Q549),"")</f>
        <v>0.1515</v>
      </c>
      <c r="L549" s="25">
        <f>IF(ISNUMBER(INDEX(Dataset2_Raw!$C$2:$C$611,$Q549)),INDEX(Dataset2_Raw!$C$2:$C$611,$Q549),"")</f>
        <v>0.64</v>
      </c>
      <c r="M549" s="25">
        <f>IF(ISNUMBER(INDEX(Dataset2_Raw!$D$2:$D$611,$Q549)),INDEX(Dataset2_Raw!$D$2:$D$611,$Q549),"")</f>
        <v>0.25369999999999998</v>
      </c>
      <c r="N549" s="23">
        <f>IF(ISNUMBER(INDEX(Dataset2_Raw!$E$2:$E$611,$Q549)),INDEX(Dataset2_Raw!$E$2:$E$611,$Q549),"")</f>
        <v>3</v>
      </c>
      <c r="O549" s="23">
        <f>IF(ISNUMBER(INDEX(Dataset2_Raw!$F$2:$F$611,$Q549)),INDEX(Dataset2_Raw!$F$2:$F$611,$Q549),"")</f>
        <v>21</v>
      </c>
      <c r="P549" s="23">
        <f>IF(ISNUMBER(INDEX(Dataset2_Raw!$G$2:$G$611,$Q549)),INDEX(Dataset2_Raw!$G$2:$G$611,$Q549),"")</f>
        <v>24</v>
      </c>
      <c r="Q549" s="23">
        <f>IFERROR(MATCH($A549,Dataset2_Raw!$A$2:$A$611,0),0)</f>
        <v>548</v>
      </c>
    </row>
    <row r="550" spans="1:17" x14ac:dyDescent="0.35">
      <c r="A550" s="23">
        <f>Dataset1_Raw!A550</f>
        <v>549</v>
      </c>
      <c r="B550" s="24">
        <f>Dataset1_Raw!B550</f>
        <v>40568</v>
      </c>
      <c r="C550" s="23">
        <f>Dataset1_Raw!C550</f>
        <v>1</v>
      </c>
      <c r="D550" s="23">
        <f>Dataset1_Raw!D550</f>
        <v>0</v>
      </c>
      <c r="E550" s="23">
        <f>Dataset1_Raw!E550</f>
        <v>1</v>
      </c>
      <c r="F550" s="23">
        <f>Dataset1_Raw!F550</f>
        <v>0</v>
      </c>
      <c r="G550" s="23" t="b">
        <f>Dataset1_Raw!G550</f>
        <v>0</v>
      </c>
      <c r="H550" s="23">
        <f>Dataset1_Raw!H550</f>
        <v>2</v>
      </c>
      <c r="I550" s="23">
        <f>Dataset1_Raw!I550</f>
        <v>2</v>
      </c>
      <c r="J550" s="25">
        <f>Dataset1_Raw!J550</f>
        <v>0.16</v>
      </c>
      <c r="K550" s="25">
        <f>IF(ISNUMBER(INDEX(Dataset2_Raw!$B$2:$B$611,$Q550)),INDEX(Dataset2_Raw!$B$2:$B$611,$Q550),"")</f>
        <v>0.13639999999999999</v>
      </c>
      <c r="L550" s="25">
        <f>IF(ISNUMBER(INDEX(Dataset2_Raw!$C$2:$C$611,$Q550)),INDEX(Dataset2_Raw!$C$2:$C$611,$Q550),"")</f>
        <v>0.69</v>
      </c>
      <c r="M550" s="25">
        <f>IF(ISNUMBER(INDEX(Dataset2_Raw!$D$2:$D$611,$Q550)),INDEX(Dataset2_Raw!$D$2:$D$611,$Q550),"")</f>
        <v>0.28360000000000002</v>
      </c>
      <c r="N550" s="23">
        <f>IF(ISNUMBER(INDEX(Dataset2_Raw!$E$2:$E$611,$Q550)),INDEX(Dataset2_Raw!$E$2:$E$611,$Q550),"")</f>
        <v>3</v>
      </c>
      <c r="O550" s="23">
        <f>IF(ISNUMBER(INDEX(Dataset2_Raw!$F$2:$F$611,$Q550)),INDEX(Dataset2_Raw!$F$2:$F$611,$Q550),"")</f>
        <v>6</v>
      </c>
      <c r="P550" s="23">
        <f>IF(ISNUMBER(INDEX(Dataset2_Raw!$G$2:$G$611,$Q550)),INDEX(Dataset2_Raw!$G$2:$G$611,$Q550),"")</f>
        <v>9</v>
      </c>
      <c r="Q550" s="23">
        <f>IFERROR(MATCH($A550,Dataset2_Raw!$A$2:$A$611,0),0)</f>
        <v>549</v>
      </c>
    </row>
    <row r="551" spans="1:17" x14ac:dyDescent="0.35">
      <c r="A551" s="23">
        <f>Dataset1_Raw!A551</f>
        <v>550</v>
      </c>
      <c r="B551" s="24">
        <f>Dataset1_Raw!B551</f>
        <v>40568</v>
      </c>
      <c r="C551" s="23">
        <f>Dataset1_Raw!C551</f>
        <v>1</v>
      </c>
      <c r="D551" s="23">
        <f>Dataset1_Raw!D551</f>
        <v>0</v>
      </c>
      <c r="E551" s="23">
        <f>Dataset1_Raw!E551</f>
        <v>1</v>
      </c>
      <c r="F551" s="23">
        <f>Dataset1_Raw!F551</f>
        <v>1</v>
      </c>
      <c r="G551" s="23" t="b">
        <f>Dataset1_Raw!G551</f>
        <v>0</v>
      </c>
      <c r="H551" s="23">
        <f>Dataset1_Raw!H551</f>
        <v>2</v>
      </c>
      <c r="I551" s="23">
        <f>Dataset1_Raw!I551</f>
        <v>2</v>
      </c>
      <c r="J551" s="25">
        <f>Dataset1_Raw!J551</f>
        <v>0.16</v>
      </c>
      <c r="K551" s="25">
        <f>IF(ISNUMBER(INDEX(Dataset2_Raw!$B$2:$B$611,$Q551)),INDEX(Dataset2_Raw!$B$2:$B$611,$Q551),"")</f>
        <v>0.16669999999999999</v>
      </c>
      <c r="L551" s="25">
        <f>IF(ISNUMBER(INDEX(Dataset2_Raw!$C$2:$C$611,$Q551)),INDEX(Dataset2_Raw!$C$2:$C$611,$Q551),"")</f>
        <v>0.69</v>
      </c>
      <c r="M551" s="25">
        <f>IF(ISNUMBER(INDEX(Dataset2_Raw!$D$2:$D$611,$Q551)),INDEX(Dataset2_Raw!$D$2:$D$611,$Q551),"")</f>
        <v>0.16420000000000001</v>
      </c>
      <c r="N551" s="23">
        <f>IF(ISNUMBER(INDEX(Dataset2_Raw!$E$2:$E$611,$Q551)),INDEX(Dataset2_Raw!$E$2:$E$611,$Q551),"")</f>
        <v>0</v>
      </c>
      <c r="O551" s="23">
        <f>IF(ISNUMBER(INDEX(Dataset2_Raw!$F$2:$F$611,$Q551)),INDEX(Dataset2_Raw!$F$2:$F$611,$Q551),"")</f>
        <v>5</v>
      </c>
      <c r="P551" s="23">
        <f>IF(ISNUMBER(INDEX(Dataset2_Raw!$G$2:$G$611,$Q551)),INDEX(Dataset2_Raw!$G$2:$G$611,$Q551),"")</f>
        <v>5</v>
      </c>
      <c r="Q551" s="23">
        <f>IFERROR(MATCH($A551,Dataset2_Raw!$A$2:$A$611,0),0)</f>
        <v>550</v>
      </c>
    </row>
    <row r="552" spans="1:17" x14ac:dyDescent="0.35">
      <c r="A552" s="23">
        <f>Dataset1_Raw!A552</f>
        <v>551</v>
      </c>
      <c r="B552" s="24">
        <f>Dataset1_Raw!B552</f>
        <v>40568</v>
      </c>
      <c r="C552" s="23">
        <f>Dataset1_Raw!C552</f>
        <v>1</v>
      </c>
      <c r="D552" s="23">
        <f>Dataset1_Raw!D552</f>
        <v>0</v>
      </c>
      <c r="E552" s="23">
        <f>Dataset1_Raw!E552</f>
        <v>1</v>
      </c>
      <c r="F552" s="23">
        <f>Dataset1_Raw!F552</f>
        <v>2</v>
      </c>
      <c r="G552" s="23" t="b">
        <f>Dataset1_Raw!G552</f>
        <v>0</v>
      </c>
      <c r="H552" s="23">
        <f>Dataset1_Raw!H552</f>
        <v>2</v>
      </c>
      <c r="I552" s="23">
        <f>Dataset1_Raw!I552</f>
        <v>1</v>
      </c>
      <c r="J552" s="25">
        <f>Dataset1_Raw!J552</f>
        <v>0.16</v>
      </c>
      <c r="K552" s="25">
        <f>IF(ISNUMBER(INDEX(Dataset2_Raw!$B$2:$B$611,$Q552)),INDEX(Dataset2_Raw!$B$2:$B$611,$Q552),"")</f>
        <v>0.1515</v>
      </c>
      <c r="L552" s="25">
        <f>IF(ISNUMBER(INDEX(Dataset2_Raw!$C$2:$C$611,$Q552)),INDEX(Dataset2_Raw!$C$2:$C$611,$Q552),"")</f>
        <v>0.69</v>
      </c>
      <c r="M552" s="25">
        <f>IF(ISNUMBER(INDEX(Dataset2_Raw!$D$2:$D$611,$Q552)),INDEX(Dataset2_Raw!$D$2:$D$611,$Q552),"")</f>
        <v>0.22389999999999999</v>
      </c>
      <c r="N552" s="23">
        <f>IF(ISNUMBER(INDEX(Dataset2_Raw!$E$2:$E$611,$Q552)),INDEX(Dataset2_Raw!$E$2:$E$611,$Q552),"")</f>
        <v>0</v>
      </c>
      <c r="O552" s="23">
        <f>IF(ISNUMBER(INDEX(Dataset2_Raw!$F$2:$F$611,$Q552)),INDEX(Dataset2_Raw!$F$2:$F$611,$Q552),"")</f>
        <v>2</v>
      </c>
      <c r="P552" s="23">
        <f>IF(ISNUMBER(INDEX(Dataset2_Raw!$G$2:$G$611,$Q552)),INDEX(Dataset2_Raw!$G$2:$G$611,$Q552),"")</f>
        <v>2</v>
      </c>
      <c r="Q552" s="23">
        <f>IFERROR(MATCH($A552,Dataset2_Raw!$A$2:$A$611,0),0)</f>
        <v>551</v>
      </c>
    </row>
    <row r="553" spans="1:17" x14ac:dyDescent="0.35">
      <c r="A553" s="23">
        <f>Dataset1_Raw!A553</f>
        <v>552</v>
      </c>
      <c r="B553" s="24">
        <f>Dataset1_Raw!B553</f>
        <v>40568</v>
      </c>
      <c r="C553" s="23">
        <f>Dataset1_Raw!C553</f>
        <v>1</v>
      </c>
      <c r="D553" s="23">
        <f>Dataset1_Raw!D553</f>
        <v>0</v>
      </c>
      <c r="E553" s="23">
        <f>Dataset1_Raw!E553</f>
        <v>1</v>
      </c>
      <c r="F553" s="23">
        <f>Dataset1_Raw!F553</f>
        <v>4</v>
      </c>
      <c r="G553" s="23" t="b">
        <f>Dataset1_Raw!G553</f>
        <v>0</v>
      </c>
      <c r="H553" s="23">
        <f>Dataset1_Raw!H553</f>
        <v>2</v>
      </c>
      <c r="I553" s="23">
        <f>Dataset1_Raw!I553</f>
        <v>1</v>
      </c>
      <c r="J553" s="25">
        <f>Dataset1_Raw!J553</f>
        <v>0.14000000000000001</v>
      </c>
      <c r="K553" s="25">
        <f>IF(ISNUMBER(INDEX(Dataset2_Raw!$B$2:$B$611,$Q553)),INDEX(Dataset2_Raw!$B$2:$B$611,$Q553),"")</f>
        <v>0.16669999999999999</v>
      </c>
      <c r="L553" s="25">
        <f>IF(ISNUMBER(INDEX(Dataset2_Raw!$C$2:$C$611,$Q553)),INDEX(Dataset2_Raw!$C$2:$C$611,$Q553),"")</f>
        <v>0.74</v>
      </c>
      <c r="M553" s="25">
        <f>IF(ISNUMBER(INDEX(Dataset2_Raw!$D$2:$D$611,$Q553)),INDEX(Dataset2_Raw!$D$2:$D$611,$Q553),"")</f>
        <v>0.1045</v>
      </c>
      <c r="N553" s="23">
        <f>IF(ISNUMBER(INDEX(Dataset2_Raw!$E$2:$E$611,$Q553)),INDEX(Dataset2_Raw!$E$2:$E$611,$Q553),"")</f>
        <v>0</v>
      </c>
      <c r="O553" s="23">
        <f>IF(ISNUMBER(INDEX(Dataset2_Raw!$F$2:$F$611,$Q553)),INDEX(Dataset2_Raw!$F$2:$F$611,$Q553),"")</f>
        <v>1</v>
      </c>
      <c r="P553" s="23">
        <f>IF(ISNUMBER(INDEX(Dataset2_Raw!$G$2:$G$611,$Q553)),INDEX(Dataset2_Raw!$G$2:$G$611,$Q553),"")</f>
        <v>1</v>
      </c>
      <c r="Q553" s="23">
        <f>IFERROR(MATCH($A553,Dataset2_Raw!$A$2:$A$611,0),0)</f>
        <v>552</v>
      </c>
    </row>
    <row r="554" spans="1:17" x14ac:dyDescent="0.35">
      <c r="A554" s="23">
        <f>Dataset1_Raw!A554</f>
        <v>553</v>
      </c>
      <c r="B554" s="24">
        <f>Dataset1_Raw!B554</f>
        <v>40568</v>
      </c>
      <c r="C554" s="23">
        <f>Dataset1_Raw!C554</f>
        <v>1</v>
      </c>
      <c r="D554" s="23">
        <f>Dataset1_Raw!D554</f>
        <v>0</v>
      </c>
      <c r="E554" s="23">
        <f>Dataset1_Raw!E554</f>
        <v>1</v>
      </c>
      <c r="F554" s="23">
        <f>Dataset1_Raw!F554</f>
        <v>5</v>
      </c>
      <c r="G554" s="23" t="b">
        <f>Dataset1_Raw!G554</f>
        <v>0</v>
      </c>
      <c r="H554" s="23">
        <f>Dataset1_Raw!H554</f>
        <v>2</v>
      </c>
      <c r="I554" s="23">
        <f>Dataset1_Raw!I554</f>
        <v>1</v>
      </c>
      <c r="J554" s="25">
        <f>Dataset1_Raw!J554</f>
        <v>0.14000000000000001</v>
      </c>
      <c r="K554" s="25">
        <f>IF(ISNUMBER(INDEX(Dataset2_Raw!$B$2:$B$611,$Q554)),INDEX(Dataset2_Raw!$B$2:$B$611,$Q554),"")</f>
        <v>0.13639999999999999</v>
      </c>
      <c r="L554" s="25">
        <f>IF(ISNUMBER(INDEX(Dataset2_Raw!$C$2:$C$611,$Q554)),INDEX(Dataset2_Raw!$C$2:$C$611,$Q554),"")</f>
        <v>0.74</v>
      </c>
      <c r="M554" s="25">
        <f>IF(ISNUMBER(INDEX(Dataset2_Raw!$D$2:$D$611,$Q554)),INDEX(Dataset2_Raw!$D$2:$D$611,$Q554),"")</f>
        <v>0.22389999999999999</v>
      </c>
      <c r="N554" s="23">
        <f>IF(ISNUMBER(INDEX(Dataset2_Raw!$E$2:$E$611,$Q554)),INDEX(Dataset2_Raw!$E$2:$E$611,$Q554),"")</f>
        <v>0</v>
      </c>
      <c r="O554" s="23">
        <f>IF(ISNUMBER(INDEX(Dataset2_Raw!$F$2:$F$611,$Q554)),INDEX(Dataset2_Raw!$F$2:$F$611,$Q554),"")</f>
        <v>9</v>
      </c>
      <c r="P554" s="23">
        <f>IF(ISNUMBER(INDEX(Dataset2_Raw!$G$2:$G$611,$Q554)),INDEX(Dataset2_Raw!$G$2:$G$611,$Q554),"")</f>
        <v>9</v>
      </c>
      <c r="Q554" s="23">
        <f>IFERROR(MATCH($A554,Dataset2_Raw!$A$2:$A$611,0),0)</f>
        <v>553</v>
      </c>
    </row>
    <row r="555" spans="1:17" x14ac:dyDescent="0.35">
      <c r="A555" s="23">
        <f>Dataset1_Raw!A555</f>
        <v>554</v>
      </c>
      <c r="B555" s="24">
        <f>Dataset1_Raw!B555</f>
        <v>40568</v>
      </c>
      <c r="C555" s="23">
        <f>Dataset1_Raw!C555</f>
        <v>1</v>
      </c>
      <c r="D555" s="23">
        <f>Dataset1_Raw!D555</f>
        <v>0</v>
      </c>
      <c r="E555" s="23">
        <f>Dataset1_Raw!E555</f>
        <v>1</v>
      </c>
      <c r="F555" s="23">
        <f>Dataset1_Raw!F555</f>
        <v>6</v>
      </c>
      <c r="G555" s="23" t="b">
        <f>Dataset1_Raw!G555</f>
        <v>0</v>
      </c>
      <c r="H555" s="23">
        <f>Dataset1_Raw!H555</f>
        <v>2</v>
      </c>
      <c r="I555" s="23">
        <f>Dataset1_Raw!I555</f>
        <v>1</v>
      </c>
      <c r="J555" s="25">
        <f>Dataset1_Raw!J555</f>
        <v>0.16</v>
      </c>
      <c r="K555" s="25">
        <f>IF(ISNUMBER(INDEX(Dataset2_Raw!$B$2:$B$611,$Q555)),INDEX(Dataset2_Raw!$B$2:$B$611,$Q555),"")</f>
        <v>0.18179999999999999</v>
      </c>
      <c r="L555" s="25">
        <f>IF(ISNUMBER(INDEX(Dataset2_Raw!$C$2:$C$611,$Q555)),INDEX(Dataset2_Raw!$C$2:$C$611,$Q555),"")</f>
        <v>0.74</v>
      </c>
      <c r="M555" s="25">
        <f>IF(ISNUMBER(INDEX(Dataset2_Raw!$D$2:$D$611,$Q555)),INDEX(Dataset2_Raw!$D$2:$D$611,$Q555),"")</f>
        <v>0.1045</v>
      </c>
      <c r="N555" s="23">
        <f>IF(ISNUMBER(INDEX(Dataset2_Raw!$E$2:$E$611,$Q555)),INDEX(Dataset2_Raw!$E$2:$E$611,$Q555),"")</f>
        <v>1</v>
      </c>
      <c r="O555" s="23">
        <f>IF(ISNUMBER(INDEX(Dataset2_Raw!$F$2:$F$611,$Q555)),INDEX(Dataset2_Raw!$F$2:$F$611,$Q555),"")</f>
        <v>35</v>
      </c>
      <c r="P555" s="23">
        <f>IF(ISNUMBER(INDEX(Dataset2_Raw!$G$2:$G$611,$Q555)),INDEX(Dataset2_Raw!$G$2:$G$611,$Q555),"")</f>
        <v>36</v>
      </c>
      <c r="Q555" s="23">
        <f>IFERROR(MATCH($A555,Dataset2_Raw!$A$2:$A$611,0),0)</f>
        <v>554</v>
      </c>
    </row>
    <row r="556" spans="1:17" x14ac:dyDescent="0.35">
      <c r="A556" s="23">
        <f>Dataset1_Raw!A556</f>
        <v>555</v>
      </c>
      <c r="B556" s="24">
        <f>Dataset1_Raw!B556</f>
        <v>40568</v>
      </c>
      <c r="C556" s="23">
        <f>Dataset1_Raw!C556</f>
        <v>1</v>
      </c>
      <c r="D556" s="23">
        <f>Dataset1_Raw!D556</f>
        <v>0</v>
      </c>
      <c r="E556" s="23">
        <f>Dataset1_Raw!E556</f>
        <v>1</v>
      </c>
      <c r="F556" s="23">
        <f>Dataset1_Raw!F556</f>
        <v>7</v>
      </c>
      <c r="G556" s="23" t="b">
        <f>Dataset1_Raw!G556</f>
        <v>0</v>
      </c>
      <c r="H556" s="23">
        <f>Dataset1_Raw!H556</f>
        <v>2</v>
      </c>
      <c r="I556" s="23">
        <f>Dataset1_Raw!I556</f>
        <v>1</v>
      </c>
      <c r="J556" s="25">
        <f>Dataset1_Raw!J556</f>
        <v>0.16</v>
      </c>
      <c r="K556" s="25">
        <f>IF(ISNUMBER(INDEX(Dataset2_Raw!$B$2:$B$611,$Q556)),INDEX(Dataset2_Raw!$B$2:$B$611,$Q556),"")</f>
        <v>0.1515</v>
      </c>
      <c r="L556" s="25">
        <f>IF(ISNUMBER(INDEX(Dataset2_Raw!$C$2:$C$611,$Q556)),INDEX(Dataset2_Raw!$C$2:$C$611,$Q556),"")</f>
        <v>0.74</v>
      </c>
      <c r="M556" s="25">
        <f>IF(ISNUMBER(INDEX(Dataset2_Raw!$D$2:$D$611,$Q556)),INDEX(Dataset2_Raw!$D$2:$D$611,$Q556),"")</f>
        <v>0.22389999999999999</v>
      </c>
      <c r="N556" s="23">
        <f>IF(ISNUMBER(INDEX(Dataset2_Raw!$E$2:$E$611,$Q556)),INDEX(Dataset2_Raw!$E$2:$E$611,$Q556),"")</f>
        <v>5</v>
      </c>
      <c r="O556" s="23">
        <f>IF(ISNUMBER(INDEX(Dataset2_Raw!$F$2:$F$611,$Q556)),INDEX(Dataset2_Raw!$F$2:$F$611,$Q556),"")</f>
        <v>103</v>
      </c>
      <c r="P556" s="23">
        <f>IF(ISNUMBER(INDEX(Dataset2_Raw!$G$2:$G$611,$Q556)),INDEX(Dataset2_Raw!$G$2:$G$611,$Q556),"")</f>
        <v>108</v>
      </c>
      <c r="Q556" s="23">
        <f>IFERROR(MATCH($A556,Dataset2_Raw!$A$2:$A$611,0),0)</f>
        <v>555</v>
      </c>
    </row>
    <row r="557" spans="1:17" x14ac:dyDescent="0.35">
      <c r="A557" s="23">
        <f>Dataset1_Raw!A557</f>
        <v>556</v>
      </c>
      <c r="B557" s="24">
        <f>Dataset1_Raw!B557</f>
        <v>40568</v>
      </c>
      <c r="C557" s="23">
        <f>Dataset1_Raw!C557</f>
        <v>1</v>
      </c>
      <c r="D557" s="23">
        <f>Dataset1_Raw!D557</f>
        <v>0</v>
      </c>
      <c r="E557" s="23">
        <f>Dataset1_Raw!E557</f>
        <v>1</v>
      </c>
      <c r="F557" s="23">
        <f>Dataset1_Raw!F557</f>
        <v>8</v>
      </c>
      <c r="G557" s="23" t="b">
        <f>Dataset1_Raw!G557</f>
        <v>0</v>
      </c>
      <c r="H557" s="23">
        <f>Dataset1_Raw!H557</f>
        <v>2</v>
      </c>
      <c r="I557" s="23">
        <f>Dataset1_Raw!I557</f>
        <v>2</v>
      </c>
      <c r="J557" s="25">
        <f>Dataset1_Raw!J557</f>
        <v>0.16</v>
      </c>
      <c r="K557" s="25">
        <f>IF(ISNUMBER(INDEX(Dataset2_Raw!$B$2:$B$611,$Q557)),INDEX(Dataset2_Raw!$B$2:$B$611,$Q557),"")</f>
        <v>0.18179999999999999</v>
      </c>
      <c r="L557" s="25">
        <f>IF(ISNUMBER(INDEX(Dataset2_Raw!$C$2:$C$611,$Q557)),INDEX(Dataset2_Raw!$C$2:$C$611,$Q557),"")</f>
        <v>0.74</v>
      </c>
      <c r="M557" s="25">
        <f>IF(ISNUMBER(INDEX(Dataset2_Raw!$D$2:$D$611,$Q557)),INDEX(Dataset2_Raw!$D$2:$D$611,$Q557),"")</f>
        <v>0.1343</v>
      </c>
      <c r="N557" s="23">
        <f>IF(ISNUMBER(INDEX(Dataset2_Raw!$E$2:$E$611,$Q557)),INDEX(Dataset2_Raw!$E$2:$E$611,$Q557),"")</f>
        <v>5</v>
      </c>
      <c r="O557" s="23">
        <f>IF(ISNUMBER(INDEX(Dataset2_Raw!$F$2:$F$611,$Q557)),INDEX(Dataset2_Raw!$F$2:$F$611,$Q557),"")</f>
        <v>233</v>
      </c>
      <c r="P557" s="23">
        <f>IF(ISNUMBER(INDEX(Dataset2_Raw!$G$2:$G$611,$Q557)),INDEX(Dataset2_Raw!$G$2:$G$611,$Q557),"")</f>
        <v>238</v>
      </c>
      <c r="Q557" s="23">
        <f>IFERROR(MATCH($A557,Dataset2_Raw!$A$2:$A$611,0),0)</f>
        <v>556</v>
      </c>
    </row>
    <row r="558" spans="1:17" x14ac:dyDescent="0.35">
      <c r="A558" s="23">
        <f>Dataset1_Raw!A558</f>
        <v>557</v>
      </c>
      <c r="B558" s="24">
        <f>Dataset1_Raw!B558</f>
        <v>40568</v>
      </c>
      <c r="C558" s="23">
        <f>Dataset1_Raw!C558</f>
        <v>1</v>
      </c>
      <c r="D558" s="23">
        <f>Dataset1_Raw!D558</f>
        <v>0</v>
      </c>
      <c r="E558" s="23">
        <f>Dataset1_Raw!E558</f>
        <v>1</v>
      </c>
      <c r="F558" s="23">
        <f>Dataset1_Raw!F558</f>
        <v>9</v>
      </c>
      <c r="G558" s="23" t="b">
        <f>Dataset1_Raw!G558</f>
        <v>0</v>
      </c>
      <c r="H558" s="23">
        <f>Dataset1_Raw!H558</f>
        <v>2</v>
      </c>
      <c r="I558" s="23">
        <f>Dataset1_Raw!I558</f>
        <v>2</v>
      </c>
      <c r="J558" s="25">
        <f>Dataset1_Raw!J558</f>
        <v>0.2</v>
      </c>
      <c r="K558" s="25">
        <f>IF(ISNUMBER(INDEX(Dataset2_Raw!$B$2:$B$611,$Q558)),INDEX(Dataset2_Raw!$B$2:$B$611,$Q558),"")</f>
        <v>0.2273</v>
      </c>
      <c r="L558" s="25">
        <f>IF(ISNUMBER(INDEX(Dataset2_Raw!$C$2:$C$611,$Q558)),INDEX(Dataset2_Raw!$C$2:$C$611,$Q558),"")</f>
        <v>0.64</v>
      </c>
      <c r="M558" s="25">
        <f>IF(ISNUMBER(INDEX(Dataset2_Raw!$D$2:$D$611,$Q558)),INDEX(Dataset2_Raw!$D$2:$D$611,$Q558),"")</f>
        <v>8.9599999999999999E-2</v>
      </c>
      <c r="N558" s="23">
        <f>IF(ISNUMBER(INDEX(Dataset2_Raw!$E$2:$E$611,$Q558)),INDEX(Dataset2_Raw!$E$2:$E$611,$Q558),"")</f>
        <v>10</v>
      </c>
      <c r="O558" s="23">
        <f>IF(ISNUMBER(INDEX(Dataset2_Raw!$F$2:$F$611,$Q558)),INDEX(Dataset2_Raw!$F$2:$F$611,$Q558),"")</f>
        <v>134</v>
      </c>
      <c r="P558" s="23">
        <f>IF(ISNUMBER(INDEX(Dataset2_Raw!$G$2:$G$611,$Q558)),INDEX(Dataset2_Raw!$G$2:$G$611,$Q558),"")</f>
        <v>144</v>
      </c>
      <c r="Q558" s="23">
        <f>IFERROR(MATCH($A558,Dataset2_Raw!$A$2:$A$611,0),0)</f>
        <v>557</v>
      </c>
    </row>
    <row r="559" spans="1:17" x14ac:dyDescent="0.35">
      <c r="A559" s="23">
        <f>Dataset1_Raw!A559</f>
        <v>558</v>
      </c>
      <c r="B559" s="24">
        <f>Dataset1_Raw!B559</f>
        <v>40568</v>
      </c>
      <c r="C559" s="23">
        <f>Dataset1_Raw!C559</f>
        <v>1</v>
      </c>
      <c r="D559" s="23">
        <f>Dataset1_Raw!D559</f>
        <v>0</v>
      </c>
      <c r="E559" s="23">
        <f>Dataset1_Raw!E559</f>
        <v>1</v>
      </c>
      <c r="F559" s="23">
        <f>Dataset1_Raw!F559</f>
        <v>10</v>
      </c>
      <c r="G559" s="23" t="b">
        <f>Dataset1_Raw!G559</f>
        <v>0</v>
      </c>
      <c r="H559" s="23">
        <f>Dataset1_Raw!H559</f>
        <v>2</v>
      </c>
      <c r="I559" s="23">
        <f>Dataset1_Raw!I559</f>
        <v>2</v>
      </c>
      <c r="J559" s="25">
        <f>Dataset1_Raw!J559</f>
        <v>0.22</v>
      </c>
      <c r="K559" s="25">
        <f>IF(ISNUMBER(INDEX(Dataset2_Raw!$B$2:$B$611,$Q559)),INDEX(Dataset2_Raw!$B$2:$B$611,$Q559),"")</f>
        <v>0.2424</v>
      </c>
      <c r="L559" s="25">
        <f>IF(ISNUMBER(INDEX(Dataset2_Raw!$C$2:$C$611,$Q559)),INDEX(Dataset2_Raw!$C$2:$C$611,$Q559),"")</f>
        <v>0.6</v>
      </c>
      <c r="M559" s="25">
        <f>IF(ISNUMBER(INDEX(Dataset2_Raw!$D$2:$D$611,$Q559)),INDEX(Dataset2_Raw!$D$2:$D$611,$Q559),"")</f>
        <v>0.1045</v>
      </c>
      <c r="N559" s="23">
        <f>IF(ISNUMBER(INDEX(Dataset2_Raw!$E$2:$E$611,$Q559)),INDEX(Dataset2_Raw!$E$2:$E$611,$Q559),"")</f>
        <v>6</v>
      </c>
      <c r="O559" s="23">
        <f>IF(ISNUMBER(INDEX(Dataset2_Raw!$F$2:$F$611,$Q559)),INDEX(Dataset2_Raw!$F$2:$F$611,$Q559),"")</f>
        <v>49</v>
      </c>
      <c r="P559" s="23">
        <f>IF(ISNUMBER(INDEX(Dataset2_Raw!$G$2:$G$611,$Q559)),INDEX(Dataset2_Raw!$G$2:$G$611,$Q559),"")</f>
        <v>55</v>
      </c>
      <c r="Q559" s="23">
        <f>IFERROR(MATCH($A559,Dataset2_Raw!$A$2:$A$611,0),0)</f>
        <v>558</v>
      </c>
    </row>
    <row r="560" spans="1:17" x14ac:dyDescent="0.35">
      <c r="A560" s="23">
        <f>Dataset1_Raw!A560</f>
        <v>559</v>
      </c>
      <c r="B560" s="24">
        <f>Dataset1_Raw!B560</f>
        <v>40568</v>
      </c>
      <c r="C560" s="23">
        <f>Dataset1_Raw!C560</f>
        <v>1</v>
      </c>
      <c r="D560" s="23">
        <f>Dataset1_Raw!D560</f>
        <v>0</v>
      </c>
      <c r="E560" s="23">
        <f>Dataset1_Raw!E560</f>
        <v>1</v>
      </c>
      <c r="F560" s="23">
        <f>Dataset1_Raw!F560</f>
        <v>11</v>
      </c>
      <c r="G560" s="23" t="b">
        <f>Dataset1_Raw!G560</f>
        <v>0</v>
      </c>
      <c r="H560" s="23">
        <f>Dataset1_Raw!H560</f>
        <v>2</v>
      </c>
      <c r="I560" s="23">
        <f>Dataset1_Raw!I560</f>
        <v>2</v>
      </c>
      <c r="J560" s="25">
        <f>Dataset1_Raw!J560</f>
        <v>0.24</v>
      </c>
      <c r="K560" s="25">
        <f>IF(ISNUMBER(INDEX(Dataset2_Raw!$B$2:$B$611,$Q560)),INDEX(Dataset2_Raw!$B$2:$B$611,$Q560),"")</f>
        <v>0.2424</v>
      </c>
      <c r="L560" s="25">
        <f>IF(ISNUMBER(INDEX(Dataset2_Raw!$C$2:$C$611,$Q560)),INDEX(Dataset2_Raw!$C$2:$C$611,$Q560),"")</f>
        <v>0.6</v>
      </c>
      <c r="M560" s="25">
        <f>IF(ISNUMBER(INDEX(Dataset2_Raw!$D$2:$D$611,$Q560)),INDEX(Dataset2_Raw!$D$2:$D$611,$Q560),"")</f>
        <v>0.1343</v>
      </c>
      <c r="N560" s="23">
        <f>IF(ISNUMBER(INDEX(Dataset2_Raw!$E$2:$E$611,$Q560)),INDEX(Dataset2_Raw!$E$2:$E$611,$Q560),"")</f>
        <v>6</v>
      </c>
      <c r="O560" s="23">
        <f>IF(ISNUMBER(INDEX(Dataset2_Raw!$F$2:$F$611,$Q560)),INDEX(Dataset2_Raw!$F$2:$F$611,$Q560),"")</f>
        <v>55</v>
      </c>
      <c r="P560" s="23">
        <f>IF(ISNUMBER(INDEX(Dataset2_Raw!$G$2:$G$611,$Q560)),INDEX(Dataset2_Raw!$G$2:$G$611,$Q560),"")</f>
        <v>61</v>
      </c>
      <c r="Q560" s="23">
        <f>IFERROR(MATCH($A560,Dataset2_Raw!$A$2:$A$611,0),0)</f>
        <v>559</v>
      </c>
    </row>
    <row r="561" spans="1:17" x14ac:dyDescent="0.35">
      <c r="A561" s="23">
        <f>Dataset1_Raw!A561</f>
        <v>560</v>
      </c>
      <c r="B561" s="24">
        <f>Dataset1_Raw!B561</f>
        <v>40568</v>
      </c>
      <c r="C561" s="23">
        <f>Dataset1_Raw!C561</f>
        <v>1</v>
      </c>
      <c r="D561" s="23">
        <f>Dataset1_Raw!D561</f>
        <v>0</v>
      </c>
      <c r="E561" s="23">
        <f>Dataset1_Raw!E561</f>
        <v>1</v>
      </c>
      <c r="F561" s="23">
        <f>Dataset1_Raw!F561</f>
        <v>12</v>
      </c>
      <c r="G561" s="23" t="b">
        <f>Dataset1_Raw!G561</f>
        <v>0</v>
      </c>
      <c r="H561" s="23">
        <f>Dataset1_Raw!H561</f>
        <v>2</v>
      </c>
      <c r="I561" s="23">
        <f>Dataset1_Raw!I561</f>
        <v>2</v>
      </c>
      <c r="J561" s="25">
        <f>Dataset1_Raw!J561</f>
        <v>0.26</v>
      </c>
      <c r="K561" s="25">
        <f>IF(ISNUMBER(INDEX(Dataset2_Raw!$B$2:$B$611,$Q561)),INDEX(Dataset2_Raw!$B$2:$B$611,$Q561),"")</f>
        <v>0.28789999999999999</v>
      </c>
      <c r="L561" s="25">
        <f>IF(ISNUMBER(INDEX(Dataset2_Raw!$C$2:$C$611,$Q561)),INDEX(Dataset2_Raw!$C$2:$C$611,$Q561),"")</f>
        <v>0.56000000000000005</v>
      </c>
      <c r="M561" s="25">
        <f>IF(ISNUMBER(INDEX(Dataset2_Raw!$D$2:$D$611,$Q561)),INDEX(Dataset2_Raw!$D$2:$D$611,$Q561),"")</f>
        <v>8.9599999999999999E-2</v>
      </c>
      <c r="N561" s="23">
        <f>IF(ISNUMBER(INDEX(Dataset2_Raw!$E$2:$E$611,$Q561)),INDEX(Dataset2_Raw!$E$2:$E$611,$Q561),"")</f>
        <v>21</v>
      </c>
      <c r="O561" s="23">
        <f>IF(ISNUMBER(INDEX(Dataset2_Raw!$F$2:$F$611,$Q561)),INDEX(Dataset2_Raw!$F$2:$F$611,$Q561),"")</f>
        <v>85</v>
      </c>
      <c r="P561" s="23">
        <f>IF(ISNUMBER(INDEX(Dataset2_Raw!$G$2:$G$611,$Q561)),INDEX(Dataset2_Raw!$G$2:$G$611,$Q561),"")</f>
        <v>106</v>
      </c>
      <c r="Q561" s="23">
        <f>IFERROR(MATCH($A561,Dataset2_Raw!$A$2:$A$611,0),0)</f>
        <v>560</v>
      </c>
    </row>
    <row r="562" spans="1:17" x14ac:dyDescent="0.35">
      <c r="A562" s="23">
        <f>Dataset1_Raw!A562</f>
        <v>561</v>
      </c>
      <c r="B562" s="24">
        <f>Dataset1_Raw!B562</f>
        <v>40568</v>
      </c>
      <c r="C562" s="23">
        <f>Dataset1_Raw!C562</f>
        <v>1</v>
      </c>
      <c r="D562" s="23">
        <f>Dataset1_Raw!D562</f>
        <v>0</v>
      </c>
      <c r="E562" s="23">
        <f>Dataset1_Raw!E562</f>
        <v>1</v>
      </c>
      <c r="F562" s="23">
        <f>Dataset1_Raw!F562</f>
        <v>13</v>
      </c>
      <c r="G562" s="23" t="b">
        <f>Dataset1_Raw!G562</f>
        <v>0</v>
      </c>
      <c r="H562" s="23">
        <f>Dataset1_Raw!H562</f>
        <v>2</v>
      </c>
      <c r="I562" s="23">
        <f>Dataset1_Raw!I562</f>
        <v>2</v>
      </c>
      <c r="J562" s="25">
        <f>Dataset1_Raw!J562</f>
        <v>0.26</v>
      </c>
      <c r="K562" s="25">
        <f>IF(ISNUMBER(INDEX(Dataset2_Raw!$B$2:$B$611,$Q562)),INDEX(Dataset2_Raw!$B$2:$B$611,$Q562),"")</f>
        <v>0.2727</v>
      </c>
      <c r="L562" s="25">
        <f>IF(ISNUMBER(INDEX(Dataset2_Raw!$C$2:$C$611,$Q562)),INDEX(Dataset2_Raw!$C$2:$C$611,$Q562),"")</f>
        <v>0.56000000000000005</v>
      </c>
      <c r="M562" s="25">
        <f>IF(ISNUMBER(INDEX(Dataset2_Raw!$D$2:$D$611,$Q562)),INDEX(Dataset2_Raw!$D$2:$D$611,$Q562),"")</f>
        <v>0.1343</v>
      </c>
      <c r="N562" s="23">
        <f>IF(ISNUMBER(INDEX(Dataset2_Raw!$E$2:$E$611,$Q562)),INDEX(Dataset2_Raw!$E$2:$E$611,$Q562),"")</f>
        <v>21</v>
      </c>
      <c r="O562" s="23">
        <f>IF(ISNUMBER(INDEX(Dataset2_Raw!$F$2:$F$611,$Q562)),INDEX(Dataset2_Raw!$F$2:$F$611,$Q562),"")</f>
        <v>72</v>
      </c>
      <c r="P562" s="23">
        <f>IF(ISNUMBER(INDEX(Dataset2_Raw!$G$2:$G$611,$Q562)),INDEX(Dataset2_Raw!$G$2:$G$611,$Q562),"")</f>
        <v>93</v>
      </c>
      <c r="Q562" s="23">
        <f>IFERROR(MATCH($A562,Dataset2_Raw!$A$2:$A$611,0),0)</f>
        <v>561</v>
      </c>
    </row>
    <row r="563" spans="1:17" x14ac:dyDescent="0.35">
      <c r="A563" s="23">
        <f>Dataset1_Raw!A563</f>
        <v>562</v>
      </c>
      <c r="B563" s="24">
        <f>Dataset1_Raw!B563</f>
        <v>40568</v>
      </c>
      <c r="C563" s="23">
        <f>Dataset1_Raw!C563</f>
        <v>1</v>
      </c>
      <c r="D563" s="23">
        <f>Dataset1_Raw!D563</f>
        <v>0</v>
      </c>
      <c r="E563" s="23">
        <f>Dataset1_Raw!E563</f>
        <v>1</v>
      </c>
      <c r="F563" s="23">
        <f>Dataset1_Raw!F563</f>
        <v>14</v>
      </c>
      <c r="G563" s="23" t="b">
        <f>Dataset1_Raw!G563</f>
        <v>0</v>
      </c>
      <c r="H563" s="23">
        <f>Dataset1_Raw!H563</f>
        <v>2</v>
      </c>
      <c r="I563" s="23">
        <f>Dataset1_Raw!I563</f>
        <v>2</v>
      </c>
      <c r="J563" s="25">
        <f>Dataset1_Raw!J563</f>
        <v>0.3</v>
      </c>
      <c r="K563" s="25">
        <f>IF(ISNUMBER(INDEX(Dataset2_Raw!$B$2:$B$611,$Q563)),INDEX(Dataset2_Raw!$B$2:$B$611,$Q563),"")</f>
        <v>0.33329999999999999</v>
      </c>
      <c r="L563" s="25">
        <f>IF(ISNUMBER(INDEX(Dataset2_Raw!$C$2:$C$611,$Q563)),INDEX(Dataset2_Raw!$C$2:$C$611,$Q563),"")</f>
        <v>0.45</v>
      </c>
      <c r="M563" s="25">
        <f>IF(ISNUMBER(INDEX(Dataset2_Raw!$D$2:$D$611,$Q563)),INDEX(Dataset2_Raw!$D$2:$D$611,$Q563),"")</f>
        <v>0</v>
      </c>
      <c r="N563" s="23">
        <f>IF(ISNUMBER(INDEX(Dataset2_Raw!$E$2:$E$611,$Q563)),INDEX(Dataset2_Raw!$E$2:$E$611,$Q563),"")</f>
        <v>11</v>
      </c>
      <c r="O563" s="23">
        <f>IF(ISNUMBER(INDEX(Dataset2_Raw!$F$2:$F$611,$Q563)),INDEX(Dataset2_Raw!$F$2:$F$611,$Q563),"")</f>
        <v>57</v>
      </c>
      <c r="P563" s="23">
        <f>IF(ISNUMBER(INDEX(Dataset2_Raw!$G$2:$G$611,$Q563)),INDEX(Dataset2_Raw!$G$2:$G$611,$Q563),"")</f>
        <v>68</v>
      </c>
      <c r="Q563" s="23">
        <f>IFERROR(MATCH($A563,Dataset2_Raw!$A$2:$A$611,0),0)</f>
        <v>562</v>
      </c>
    </row>
    <row r="564" spans="1:17" x14ac:dyDescent="0.35">
      <c r="A564" s="23">
        <f>Dataset1_Raw!A564</f>
        <v>563</v>
      </c>
      <c r="B564" s="24">
        <f>Dataset1_Raw!B564</f>
        <v>40568</v>
      </c>
      <c r="C564" s="23">
        <f>Dataset1_Raw!C564</f>
        <v>1</v>
      </c>
      <c r="D564" s="23">
        <f>Dataset1_Raw!D564</f>
        <v>0</v>
      </c>
      <c r="E564" s="23">
        <f>Dataset1_Raw!E564</f>
        <v>1</v>
      </c>
      <c r="F564" s="23">
        <f>Dataset1_Raw!F564</f>
        <v>15</v>
      </c>
      <c r="G564" s="23" t="b">
        <f>Dataset1_Raw!G564</f>
        <v>0</v>
      </c>
      <c r="H564" s="23">
        <f>Dataset1_Raw!H564</f>
        <v>2</v>
      </c>
      <c r="I564" s="23">
        <f>Dataset1_Raw!I564</f>
        <v>2</v>
      </c>
      <c r="J564" s="25">
        <f>Dataset1_Raw!J564</f>
        <v>0.32</v>
      </c>
      <c r="K564" s="25">
        <f>IF(ISNUMBER(INDEX(Dataset2_Raw!$B$2:$B$611,$Q564)),INDEX(Dataset2_Raw!$B$2:$B$611,$Q564),"")</f>
        <v>0.34849999999999998</v>
      </c>
      <c r="L564" s="25">
        <f>IF(ISNUMBER(INDEX(Dataset2_Raw!$C$2:$C$611,$Q564)),INDEX(Dataset2_Raw!$C$2:$C$611,$Q564),"")</f>
        <v>0.42</v>
      </c>
      <c r="M564" s="25">
        <f>IF(ISNUMBER(INDEX(Dataset2_Raw!$D$2:$D$611,$Q564)),INDEX(Dataset2_Raw!$D$2:$D$611,$Q564),"")</f>
        <v>0</v>
      </c>
      <c r="N564" s="23">
        <f>IF(ISNUMBER(INDEX(Dataset2_Raw!$E$2:$E$611,$Q564)),INDEX(Dataset2_Raw!$E$2:$E$611,$Q564),"")</f>
        <v>21</v>
      </c>
      <c r="O564" s="23">
        <f>IF(ISNUMBER(INDEX(Dataset2_Raw!$F$2:$F$611,$Q564)),INDEX(Dataset2_Raw!$F$2:$F$611,$Q564),"")</f>
        <v>63</v>
      </c>
      <c r="P564" s="23">
        <f>IF(ISNUMBER(INDEX(Dataset2_Raw!$G$2:$G$611,$Q564)),INDEX(Dataset2_Raw!$G$2:$G$611,$Q564),"")</f>
        <v>84</v>
      </c>
      <c r="Q564" s="23">
        <f>IFERROR(MATCH($A564,Dataset2_Raw!$A$2:$A$611,0),0)</f>
        <v>563</v>
      </c>
    </row>
    <row r="565" spans="1:17" x14ac:dyDescent="0.35">
      <c r="A565" s="23">
        <f>Dataset1_Raw!A565</f>
        <v>564</v>
      </c>
      <c r="B565" s="24">
        <f>Dataset1_Raw!B565</f>
        <v>40568</v>
      </c>
      <c r="C565" s="23">
        <f>Dataset1_Raw!C565</f>
        <v>1</v>
      </c>
      <c r="D565" s="23">
        <f>Dataset1_Raw!D565</f>
        <v>0</v>
      </c>
      <c r="E565" s="23">
        <f>Dataset1_Raw!E565</f>
        <v>1</v>
      </c>
      <c r="F565" s="23">
        <f>Dataset1_Raw!F565</f>
        <v>16</v>
      </c>
      <c r="G565" s="23" t="b">
        <f>Dataset1_Raw!G565</f>
        <v>0</v>
      </c>
      <c r="H565" s="23">
        <f>Dataset1_Raw!H565</f>
        <v>2</v>
      </c>
      <c r="I565" s="23">
        <f>Dataset1_Raw!I565</f>
        <v>2</v>
      </c>
      <c r="J565" s="25">
        <f>Dataset1_Raw!J565</f>
        <v>0.32</v>
      </c>
      <c r="K565" s="25">
        <f>IF(ISNUMBER(INDEX(Dataset2_Raw!$B$2:$B$611,$Q565)),INDEX(Dataset2_Raw!$B$2:$B$611,$Q565),"")</f>
        <v>0.34849999999999998</v>
      </c>
      <c r="L565" s="25">
        <f>IF(ISNUMBER(INDEX(Dataset2_Raw!$C$2:$C$611,$Q565)),INDEX(Dataset2_Raw!$C$2:$C$611,$Q565),"")</f>
        <v>0.42</v>
      </c>
      <c r="M565" s="25">
        <f>IF(ISNUMBER(INDEX(Dataset2_Raw!$D$2:$D$611,$Q565)),INDEX(Dataset2_Raw!$D$2:$D$611,$Q565),"")</f>
        <v>0</v>
      </c>
      <c r="N565" s="23">
        <f>IF(ISNUMBER(INDEX(Dataset2_Raw!$E$2:$E$611,$Q565)),INDEX(Dataset2_Raw!$E$2:$E$611,$Q565),"")</f>
        <v>14</v>
      </c>
      <c r="O565" s="23">
        <f>IF(ISNUMBER(INDEX(Dataset2_Raw!$F$2:$F$611,$Q565)),INDEX(Dataset2_Raw!$F$2:$F$611,$Q565),"")</f>
        <v>102</v>
      </c>
      <c r="P565" s="23">
        <f>IF(ISNUMBER(INDEX(Dataset2_Raw!$G$2:$G$611,$Q565)),INDEX(Dataset2_Raw!$G$2:$G$611,$Q565),"")</f>
        <v>116</v>
      </c>
      <c r="Q565" s="23">
        <f>IFERROR(MATCH($A565,Dataset2_Raw!$A$2:$A$611,0),0)</f>
        <v>564</v>
      </c>
    </row>
    <row r="566" spans="1:17" x14ac:dyDescent="0.35">
      <c r="A566" s="23">
        <f>Dataset1_Raw!A566</f>
        <v>565</v>
      </c>
      <c r="B566" s="24">
        <f>Dataset1_Raw!B566</f>
        <v>40568</v>
      </c>
      <c r="C566" s="23">
        <f>Dataset1_Raw!C566</f>
        <v>1</v>
      </c>
      <c r="D566" s="23">
        <f>Dataset1_Raw!D566</f>
        <v>0</v>
      </c>
      <c r="E566" s="23">
        <f>Dataset1_Raw!E566</f>
        <v>1</v>
      </c>
      <c r="F566" s="23">
        <f>Dataset1_Raw!F566</f>
        <v>17</v>
      </c>
      <c r="G566" s="23" t="b">
        <f>Dataset1_Raw!G566</f>
        <v>0</v>
      </c>
      <c r="H566" s="23">
        <f>Dataset1_Raw!H566</f>
        <v>2</v>
      </c>
      <c r="I566" s="23">
        <f>Dataset1_Raw!I566</f>
        <v>1</v>
      </c>
      <c r="J566" s="25">
        <f>Dataset1_Raw!J566</f>
        <v>0.3</v>
      </c>
      <c r="K566" s="25">
        <f>IF(ISNUMBER(INDEX(Dataset2_Raw!$B$2:$B$611,$Q566)),INDEX(Dataset2_Raw!$B$2:$B$611,$Q566),"")</f>
        <v>0.33329999999999999</v>
      </c>
      <c r="L566" s="25">
        <f>IF(ISNUMBER(INDEX(Dataset2_Raw!$C$2:$C$611,$Q566)),INDEX(Dataset2_Raw!$C$2:$C$611,$Q566),"")</f>
        <v>0.45</v>
      </c>
      <c r="M566" s="25">
        <f>IF(ISNUMBER(INDEX(Dataset2_Raw!$D$2:$D$611,$Q566)),INDEX(Dataset2_Raw!$D$2:$D$611,$Q566),"")</f>
        <v>0</v>
      </c>
      <c r="N566" s="23">
        <f>IF(ISNUMBER(INDEX(Dataset2_Raw!$E$2:$E$611,$Q566)),INDEX(Dataset2_Raw!$E$2:$E$611,$Q566),"")</f>
        <v>14</v>
      </c>
      <c r="O566" s="23">
        <f>IF(ISNUMBER(INDEX(Dataset2_Raw!$F$2:$F$611,$Q566)),INDEX(Dataset2_Raw!$F$2:$F$611,$Q566),"")</f>
        <v>208</v>
      </c>
      <c r="P566" s="23">
        <f>IF(ISNUMBER(INDEX(Dataset2_Raw!$G$2:$G$611,$Q566)),INDEX(Dataset2_Raw!$G$2:$G$611,$Q566),"")</f>
        <v>222</v>
      </c>
      <c r="Q566" s="23">
        <f>IFERROR(MATCH($A566,Dataset2_Raw!$A$2:$A$611,0),0)</f>
        <v>565</v>
      </c>
    </row>
    <row r="567" spans="1:17" x14ac:dyDescent="0.35">
      <c r="A567" s="23">
        <f>Dataset1_Raw!A567</f>
        <v>566</v>
      </c>
      <c r="B567" s="24">
        <f>Dataset1_Raw!B567</f>
        <v>40568</v>
      </c>
      <c r="C567" s="23">
        <f>Dataset1_Raw!C567</f>
        <v>1</v>
      </c>
      <c r="D567" s="23">
        <f>Dataset1_Raw!D567</f>
        <v>0</v>
      </c>
      <c r="E567" s="23">
        <f>Dataset1_Raw!E567</f>
        <v>1</v>
      </c>
      <c r="F567" s="23">
        <f>Dataset1_Raw!F567</f>
        <v>18</v>
      </c>
      <c r="G567" s="23" t="b">
        <f>Dataset1_Raw!G567</f>
        <v>0</v>
      </c>
      <c r="H567" s="23">
        <f>Dataset1_Raw!H567</f>
        <v>2</v>
      </c>
      <c r="I567" s="23">
        <f>Dataset1_Raw!I567</f>
        <v>2</v>
      </c>
      <c r="J567" s="25">
        <f>Dataset1_Raw!J567</f>
        <v>0.3</v>
      </c>
      <c r="K567" s="25">
        <f>IF(ISNUMBER(INDEX(Dataset2_Raw!$B$2:$B$611,$Q567)),INDEX(Dataset2_Raw!$B$2:$B$611,$Q567),"")</f>
        <v>0.31819999999999998</v>
      </c>
      <c r="L567" s="25">
        <f>IF(ISNUMBER(INDEX(Dataset2_Raw!$C$2:$C$611,$Q567)),INDEX(Dataset2_Raw!$C$2:$C$611,$Q567),"")</f>
        <v>0.49</v>
      </c>
      <c r="M567" s="25">
        <f>IF(ISNUMBER(INDEX(Dataset2_Raw!$D$2:$D$611,$Q567)),INDEX(Dataset2_Raw!$D$2:$D$611,$Q567),"")</f>
        <v>8.9599999999999999E-2</v>
      </c>
      <c r="N567" s="23">
        <f>IF(ISNUMBER(INDEX(Dataset2_Raw!$E$2:$E$611,$Q567)),INDEX(Dataset2_Raw!$E$2:$E$611,$Q567),"")</f>
        <v>7</v>
      </c>
      <c r="O567" s="23">
        <f>IF(ISNUMBER(INDEX(Dataset2_Raw!$F$2:$F$611,$Q567)),INDEX(Dataset2_Raw!$F$2:$F$611,$Q567),"")</f>
        <v>218</v>
      </c>
      <c r="P567" s="23">
        <f>IF(ISNUMBER(INDEX(Dataset2_Raw!$G$2:$G$611,$Q567)),INDEX(Dataset2_Raw!$G$2:$G$611,$Q567),"")</f>
        <v>225</v>
      </c>
      <c r="Q567" s="23">
        <f>IFERROR(MATCH($A567,Dataset2_Raw!$A$2:$A$611,0),0)</f>
        <v>566</v>
      </c>
    </row>
    <row r="568" spans="1:17" x14ac:dyDescent="0.35">
      <c r="A568" s="23">
        <f>Dataset1_Raw!A568</f>
        <v>567</v>
      </c>
      <c r="B568" s="24">
        <f>Dataset1_Raw!B568</f>
        <v>40568</v>
      </c>
      <c r="C568" s="23">
        <f>Dataset1_Raw!C568</f>
        <v>1</v>
      </c>
      <c r="D568" s="23">
        <f>Dataset1_Raw!D568</f>
        <v>0</v>
      </c>
      <c r="E568" s="23">
        <f>Dataset1_Raw!E568</f>
        <v>1</v>
      </c>
      <c r="F568" s="23">
        <f>Dataset1_Raw!F568</f>
        <v>19</v>
      </c>
      <c r="G568" s="23" t="b">
        <f>Dataset1_Raw!G568</f>
        <v>0</v>
      </c>
      <c r="H568" s="23">
        <f>Dataset1_Raw!H568</f>
        <v>2</v>
      </c>
      <c r="I568" s="23">
        <f>Dataset1_Raw!I568</f>
        <v>2</v>
      </c>
      <c r="J568" s="25">
        <f>Dataset1_Raw!J568</f>
        <v>0.26</v>
      </c>
      <c r="K568" s="25">
        <f>IF(ISNUMBER(INDEX(Dataset2_Raw!$B$2:$B$611,$Q568)),INDEX(Dataset2_Raw!$B$2:$B$611,$Q568),"")</f>
        <v>0.2576</v>
      </c>
      <c r="L568" s="25">
        <f>IF(ISNUMBER(INDEX(Dataset2_Raw!$C$2:$C$611,$Q568)),INDEX(Dataset2_Raw!$C$2:$C$611,$Q568),"")</f>
        <v>0.65</v>
      </c>
      <c r="M568" s="25">
        <f>IF(ISNUMBER(INDEX(Dataset2_Raw!$D$2:$D$611,$Q568)),INDEX(Dataset2_Raw!$D$2:$D$611,$Q568),"")</f>
        <v>0.16420000000000001</v>
      </c>
      <c r="N568" s="23">
        <f>IF(ISNUMBER(INDEX(Dataset2_Raw!$E$2:$E$611,$Q568)),INDEX(Dataset2_Raw!$E$2:$E$611,$Q568),"")</f>
        <v>13</v>
      </c>
      <c r="O568" s="23">
        <f>IF(ISNUMBER(INDEX(Dataset2_Raw!$F$2:$F$611,$Q568)),INDEX(Dataset2_Raw!$F$2:$F$611,$Q568),"")</f>
        <v>133</v>
      </c>
      <c r="P568" s="23">
        <f>IF(ISNUMBER(INDEX(Dataset2_Raw!$G$2:$G$611,$Q568)),INDEX(Dataset2_Raw!$G$2:$G$611,$Q568),"")</f>
        <v>146</v>
      </c>
      <c r="Q568" s="23">
        <f>IFERROR(MATCH($A568,Dataset2_Raw!$A$2:$A$611,0),0)</f>
        <v>567</v>
      </c>
    </row>
    <row r="569" spans="1:17" x14ac:dyDescent="0.35">
      <c r="A569" s="23">
        <f>Dataset1_Raw!A569</f>
        <v>568</v>
      </c>
      <c r="B569" s="24">
        <f>Dataset1_Raw!B569</f>
        <v>40568</v>
      </c>
      <c r="C569" s="23">
        <f>Dataset1_Raw!C569</f>
        <v>1</v>
      </c>
      <c r="D569" s="23">
        <f>Dataset1_Raw!D569</f>
        <v>0</v>
      </c>
      <c r="E569" s="23">
        <f>Dataset1_Raw!E569</f>
        <v>1</v>
      </c>
      <c r="F569" s="23">
        <f>Dataset1_Raw!F569</f>
        <v>20</v>
      </c>
      <c r="G569" s="23" t="b">
        <f>Dataset1_Raw!G569</f>
        <v>0</v>
      </c>
      <c r="H569" s="23">
        <f>Dataset1_Raw!H569</f>
        <v>2</v>
      </c>
      <c r="I569" s="23">
        <f>Dataset1_Raw!I569</f>
        <v>1</v>
      </c>
      <c r="J569" s="25">
        <f>Dataset1_Raw!J569</f>
        <v>0.24</v>
      </c>
      <c r="K569" s="25">
        <f>IF(ISNUMBER(INDEX(Dataset2_Raw!$B$2:$B$611,$Q569)),INDEX(Dataset2_Raw!$B$2:$B$611,$Q569),"")</f>
        <v>0.2273</v>
      </c>
      <c r="L569" s="25">
        <f>IF(ISNUMBER(INDEX(Dataset2_Raw!$C$2:$C$611,$Q569)),INDEX(Dataset2_Raw!$C$2:$C$611,$Q569),"")</f>
        <v>0.65</v>
      </c>
      <c r="M569" s="25">
        <f>IF(ISNUMBER(INDEX(Dataset2_Raw!$D$2:$D$611,$Q569)),INDEX(Dataset2_Raw!$D$2:$D$611,$Q569),"")</f>
        <v>0.19400000000000001</v>
      </c>
      <c r="N569" s="23">
        <f>IF(ISNUMBER(INDEX(Dataset2_Raw!$E$2:$E$611,$Q569)),INDEX(Dataset2_Raw!$E$2:$E$611,$Q569),"")</f>
        <v>16</v>
      </c>
      <c r="O569" s="23">
        <f>IF(ISNUMBER(INDEX(Dataset2_Raw!$F$2:$F$611,$Q569)),INDEX(Dataset2_Raw!$F$2:$F$611,$Q569),"")</f>
        <v>103</v>
      </c>
      <c r="P569" s="23">
        <f>IF(ISNUMBER(INDEX(Dataset2_Raw!$G$2:$G$611,$Q569)),INDEX(Dataset2_Raw!$G$2:$G$611,$Q569),"")</f>
        <v>119</v>
      </c>
      <c r="Q569" s="23">
        <f>IFERROR(MATCH($A569,Dataset2_Raw!$A$2:$A$611,0),0)</f>
        <v>568</v>
      </c>
    </row>
    <row r="570" spans="1:17" x14ac:dyDescent="0.35">
      <c r="A570" s="23">
        <f>Dataset1_Raw!A570</f>
        <v>569</v>
      </c>
      <c r="B570" s="24">
        <f>Dataset1_Raw!B570</f>
        <v>40568</v>
      </c>
      <c r="C570" s="23">
        <f>Dataset1_Raw!C570</f>
        <v>1</v>
      </c>
      <c r="D570" s="23">
        <f>Dataset1_Raw!D570</f>
        <v>0</v>
      </c>
      <c r="E570" s="23">
        <f>Dataset1_Raw!E570</f>
        <v>1</v>
      </c>
      <c r="F570" s="23">
        <f>Dataset1_Raw!F570</f>
        <v>21</v>
      </c>
      <c r="G570" s="23" t="b">
        <f>Dataset1_Raw!G570</f>
        <v>0</v>
      </c>
      <c r="H570" s="23">
        <f>Dataset1_Raw!H570</f>
        <v>2</v>
      </c>
      <c r="I570" s="23">
        <f>Dataset1_Raw!I570</f>
        <v>1</v>
      </c>
      <c r="J570" s="25">
        <f>Dataset1_Raw!J570</f>
        <v>0.24</v>
      </c>
      <c r="K570" s="25">
        <f>IF(ISNUMBER(INDEX(Dataset2_Raw!$B$2:$B$611,$Q570)),INDEX(Dataset2_Raw!$B$2:$B$611,$Q570),"")</f>
        <v>0.2273</v>
      </c>
      <c r="L570" s="25">
        <f>IF(ISNUMBER(INDEX(Dataset2_Raw!$C$2:$C$611,$Q570)),INDEX(Dataset2_Raw!$C$2:$C$611,$Q570),"")</f>
        <v>0.65</v>
      </c>
      <c r="M570" s="25">
        <f>IF(ISNUMBER(INDEX(Dataset2_Raw!$D$2:$D$611,$Q570)),INDEX(Dataset2_Raw!$D$2:$D$611,$Q570),"")</f>
        <v>0.19400000000000001</v>
      </c>
      <c r="N570" s="23">
        <f>IF(ISNUMBER(INDEX(Dataset2_Raw!$E$2:$E$611,$Q570)),INDEX(Dataset2_Raw!$E$2:$E$611,$Q570),"")</f>
        <v>5</v>
      </c>
      <c r="O570" s="23">
        <f>IF(ISNUMBER(INDEX(Dataset2_Raw!$F$2:$F$611,$Q570)),INDEX(Dataset2_Raw!$F$2:$F$611,$Q570),"")</f>
        <v>40</v>
      </c>
      <c r="P570" s="23">
        <f>IF(ISNUMBER(INDEX(Dataset2_Raw!$G$2:$G$611,$Q570)),INDEX(Dataset2_Raw!$G$2:$G$611,$Q570),"")</f>
        <v>45</v>
      </c>
      <c r="Q570" s="23">
        <f>IFERROR(MATCH($A570,Dataset2_Raw!$A$2:$A$611,0),0)</f>
        <v>569</v>
      </c>
    </row>
    <row r="571" spans="1:17" x14ac:dyDescent="0.35">
      <c r="A571" s="23">
        <f>Dataset1_Raw!A571</f>
        <v>570</v>
      </c>
      <c r="B571" s="24">
        <f>Dataset1_Raw!B571</f>
        <v>40568</v>
      </c>
      <c r="C571" s="23">
        <f>Dataset1_Raw!C571</f>
        <v>1</v>
      </c>
      <c r="D571" s="23">
        <f>Dataset1_Raw!D571</f>
        <v>0</v>
      </c>
      <c r="E571" s="23">
        <f>Dataset1_Raw!E571</f>
        <v>1</v>
      </c>
      <c r="F571" s="23">
        <f>Dataset1_Raw!F571</f>
        <v>22</v>
      </c>
      <c r="G571" s="23" t="b">
        <f>Dataset1_Raw!G571</f>
        <v>0</v>
      </c>
      <c r="H571" s="23">
        <f>Dataset1_Raw!H571</f>
        <v>2</v>
      </c>
      <c r="I571" s="23">
        <f>Dataset1_Raw!I571</f>
        <v>1</v>
      </c>
      <c r="J571" s="25">
        <f>Dataset1_Raw!J571</f>
        <v>0.22</v>
      </c>
      <c r="K571" s="25">
        <f>IF(ISNUMBER(INDEX(Dataset2_Raw!$B$2:$B$611,$Q571)),INDEX(Dataset2_Raw!$B$2:$B$611,$Q571),"")</f>
        <v>0.2273</v>
      </c>
      <c r="L571" s="25">
        <f>IF(ISNUMBER(INDEX(Dataset2_Raw!$C$2:$C$611,$Q571)),INDEX(Dataset2_Raw!$C$2:$C$611,$Q571),"")</f>
        <v>0.64</v>
      </c>
      <c r="M571" s="25">
        <f>IF(ISNUMBER(INDEX(Dataset2_Raw!$D$2:$D$611,$Q571)),INDEX(Dataset2_Raw!$D$2:$D$611,$Q571),"")</f>
        <v>0.16420000000000001</v>
      </c>
      <c r="N571" s="23">
        <f>IF(ISNUMBER(INDEX(Dataset2_Raw!$E$2:$E$611,$Q571)),INDEX(Dataset2_Raw!$E$2:$E$611,$Q571),"")</f>
        <v>4</v>
      </c>
      <c r="O571" s="23">
        <f>IF(ISNUMBER(INDEX(Dataset2_Raw!$F$2:$F$611,$Q571)),INDEX(Dataset2_Raw!$F$2:$F$611,$Q571),"")</f>
        <v>49</v>
      </c>
      <c r="P571" s="23">
        <f>IF(ISNUMBER(INDEX(Dataset2_Raw!$G$2:$G$611,$Q571)),INDEX(Dataset2_Raw!$G$2:$G$611,$Q571),"")</f>
        <v>53</v>
      </c>
      <c r="Q571" s="23">
        <f>IFERROR(MATCH($A571,Dataset2_Raw!$A$2:$A$611,0),0)</f>
        <v>570</v>
      </c>
    </row>
    <row r="572" spans="1:17" x14ac:dyDescent="0.35">
      <c r="A572" s="23">
        <f>Dataset1_Raw!A572</f>
        <v>571</v>
      </c>
      <c r="B572" s="24">
        <f>Dataset1_Raw!B572</f>
        <v>40568</v>
      </c>
      <c r="C572" s="23">
        <f>Dataset1_Raw!C572</f>
        <v>1</v>
      </c>
      <c r="D572" s="23">
        <f>Dataset1_Raw!D572</f>
        <v>0</v>
      </c>
      <c r="E572" s="23">
        <f>Dataset1_Raw!E572</f>
        <v>1</v>
      </c>
      <c r="F572" s="23">
        <f>Dataset1_Raw!F572</f>
        <v>23</v>
      </c>
      <c r="G572" s="23" t="b">
        <f>Dataset1_Raw!G572</f>
        <v>0</v>
      </c>
      <c r="H572" s="23">
        <f>Dataset1_Raw!H572</f>
        <v>2</v>
      </c>
      <c r="I572" s="23">
        <f>Dataset1_Raw!I572</f>
        <v>2</v>
      </c>
      <c r="J572" s="25">
        <f>Dataset1_Raw!J572</f>
        <v>0.22</v>
      </c>
      <c r="K572" s="25">
        <f>IF(ISNUMBER(INDEX(Dataset2_Raw!$B$2:$B$611,$Q572)),INDEX(Dataset2_Raw!$B$2:$B$611,$Q572),"")</f>
        <v>0.2273</v>
      </c>
      <c r="L572" s="25">
        <f>IF(ISNUMBER(INDEX(Dataset2_Raw!$C$2:$C$611,$Q572)),INDEX(Dataset2_Raw!$C$2:$C$611,$Q572),"")</f>
        <v>0.64</v>
      </c>
      <c r="M572" s="25">
        <f>IF(ISNUMBER(INDEX(Dataset2_Raw!$D$2:$D$611,$Q572)),INDEX(Dataset2_Raw!$D$2:$D$611,$Q572),"")</f>
        <v>0.16420000000000001</v>
      </c>
      <c r="N572" s="23">
        <f>IF(ISNUMBER(INDEX(Dataset2_Raw!$E$2:$E$611,$Q572)),INDEX(Dataset2_Raw!$E$2:$E$611,$Q572),"")</f>
        <v>3</v>
      </c>
      <c r="O572" s="23">
        <f>IF(ISNUMBER(INDEX(Dataset2_Raw!$F$2:$F$611,$Q572)),INDEX(Dataset2_Raw!$F$2:$F$611,$Q572),"")</f>
        <v>37</v>
      </c>
      <c r="P572" s="23">
        <f>IF(ISNUMBER(INDEX(Dataset2_Raw!$G$2:$G$611,$Q572)),INDEX(Dataset2_Raw!$G$2:$G$611,$Q572),"")</f>
        <v>40</v>
      </c>
      <c r="Q572" s="23">
        <f>IFERROR(MATCH($A572,Dataset2_Raw!$A$2:$A$611,0),0)</f>
        <v>571</v>
      </c>
    </row>
    <row r="573" spans="1:17" x14ac:dyDescent="0.35">
      <c r="A573" s="23">
        <f>Dataset1_Raw!A573</f>
        <v>572</v>
      </c>
      <c r="B573" s="24">
        <f>Dataset1_Raw!B573</f>
        <v>40569</v>
      </c>
      <c r="C573" s="23">
        <f>Dataset1_Raw!C573</f>
        <v>1</v>
      </c>
      <c r="D573" s="23">
        <f>Dataset1_Raw!D573</f>
        <v>0</v>
      </c>
      <c r="E573" s="23">
        <f>Dataset1_Raw!E573</f>
        <v>1</v>
      </c>
      <c r="F573" s="23">
        <f>Dataset1_Raw!F573</f>
        <v>0</v>
      </c>
      <c r="G573" s="23" t="b">
        <f>Dataset1_Raw!G573</f>
        <v>0</v>
      </c>
      <c r="H573" s="23">
        <f>Dataset1_Raw!H573</f>
        <v>3</v>
      </c>
      <c r="I573" s="23">
        <f>Dataset1_Raw!I573</f>
        <v>2</v>
      </c>
      <c r="J573" s="25">
        <f>Dataset1_Raw!J573</f>
        <v>0.22</v>
      </c>
      <c r="K573" s="25">
        <f>IF(ISNUMBER(INDEX(Dataset2_Raw!$B$2:$B$611,$Q573)),INDEX(Dataset2_Raw!$B$2:$B$611,$Q573),"")</f>
        <v>0.2273</v>
      </c>
      <c r="L573" s="25">
        <f>IF(ISNUMBER(INDEX(Dataset2_Raw!$C$2:$C$611,$Q573)),INDEX(Dataset2_Raw!$C$2:$C$611,$Q573),"")</f>
        <v>0.69</v>
      </c>
      <c r="M573" s="25">
        <f>IF(ISNUMBER(INDEX(Dataset2_Raw!$D$2:$D$611,$Q573)),INDEX(Dataset2_Raw!$D$2:$D$611,$Q573),"")</f>
        <v>0.1343</v>
      </c>
      <c r="N573" s="23">
        <f>IF(ISNUMBER(INDEX(Dataset2_Raw!$E$2:$E$611,$Q573)),INDEX(Dataset2_Raw!$E$2:$E$611,$Q573),"")</f>
        <v>3</v>
      </c>
      <c r="O573" s="23">
        <f>IF(ISNUMBER(INDEX(Dataset2_Raw!$F$2:$F$611,$Q573)),INDEX(Dataset2_Raw!$F$2:$F$611,$Q573),"")</f>
        <v>14</v>
      </c>
      <c r="P573" s="23">
        <f>IF(ISNUMBER(INDEX(Dataset2_Raw!$G$2:$G$611,$Q573)),INDEX(Dataset2_Raw!$G$2:$G$611,$Q573),"")</f>
        <v>17</v>
      </c>
      <c r="Q573" s="23">
        <f>IFERROR(MATCH($A573,Dataset2_Raw!$A$2:$A$611,0),0)</f>
        <v>572</v>
      </c>
    </row>
    <row r="574" spans="1:17" x14ac:dyDescent="0.35">
      <c r="A574" s="23">
        <f>Dataset1_Raw!A574</f>
        <v>573</v>
      </c>
      <c r="B574" s="24">
        <f>Dataset1_Raw!B574</f>
        <v>40569</v>
      </c>
      <c r="C574" s="23">
        <f>Dataset1_Raw!C574</f>
        <v>1</v>
      </c>
      <c r="D574" s="23">
        <f>Dataset1_Raw!D574</f>
        <v>0</v>
      </c>
      <c r="E574" s="23">
        <f>Dataset1_Raw!E574</f>
        <v>1</v>
      </c>
      <c r="F574" s="23">
        <f>Dataset1_Raw!F574</f>
        <v>1</v>
      </c>
      <c r="G574" s="23" t="b">
        <f>Dataset1_Raw!G574</f>
        <v>0</v>
      </c>
      <c r="H574" s="23">
        <f>Dataset1_Raw!H574</f>
        <v>3</v>
      </c>
      <c r="I574" s="23">
        <f>Dataset1_Raw!I574</f>
        <v>2</v>
      </c>
      <c r="J574" s="25">
        <f>Dataset1_Raw!J574</f>
        <v>0.24</v>
      </c>
      <c r="K574" s="25">
        <f>IF(ISNUMBER(INDEX(Dataset2_Raw!$B$2:$B$611,$Q574)),INDEX(Dataset2_Raw!$B$2:$B$611,$Q574),"")</f>
        <v>0.2424</v>
      </c>
      <c r="L574" s="25">
        <f>IF(ISNUMBER(INDEX(Dataset2_Raw!$C$2:$C$611,$Q574)),INDEX(Dataset2_Raw!$C$2:$C$611,$Q574),"")</f>
        <v>0.65</v>
      </c>
      <c r="M574" s="25">
        <f>IF(ISNUMBER(INDEX(Dataset2_Raw!$D$2:$D$611,$Q574)),INDEX(Dataset2_Raw!$D$2:$D$611,$Q574),"")</f>
        <v>0.1343</v>
      </c>
      <c r="N574" s="23">
        <f>IF(ISNUMBER(INDEX(Dataset2_Raw!$E$2:$E$611,$Q574)),INDEX(Dataset2_Raw!$E$2:$E$611,$Q574),"")</f>
        <v>0</v>
      </c>
      <c r="O574" s="23">
        <f>IF(ISNUMBER(INDEX(Dataset2_Raw!$F$2:$F$611,$Q574)),INDEX(Dataset2_Raw!$F$2:$F$611,$Q574),"")</f>
        <v>5</v>
      </c>
      <c r="P574" s="23">
        <f>IF(ISNUMBER(INDEX(Dataset2_Raw!$G$2:$G$611,$Q574)),INDEX(Dataset2_Raw!$G$2:$G$611,$Q574),"")</f>
        <v>5</v>
      </c>
      <c r="Q574" s="23">
        <f>IFERROR(MATCH($A574,Dataset2_Raw!$A$2:$A$611,0),0)</f>
        <v>573</v>
      </c>
    </row>
    <row r="575" spans="1:17" x14ac:dyDescent="0.35">
      <c r="A575" s="23">
        <f>Dataset1_Raw!A575</f>
        <v>574</v>
      </c>
      <c r="B575" s="24">
        <f>Dataset1_Raw!B575</f>
        <v>40569</v>
      </c>
      <c r="C575" s="23">
        <f>Dataset1_Raw!C575</f>
        <v>1</v>
      </c>
      <c r="D575" s="23">
        <f>Dataset1_Raw!D575</f>
        <v>0</v>
      </c>
      <c r="E575" s="23">
        <f>Dataset1_Raw!E575</f>
        <v>1</v>
      </c>
      <c r="F575" s="23">
        <f>Dataset1_Raw!F575</f>
        <v>2</v>
      </c>
      <c r="G575" s="23" t="b">
        <f>Dataset1_Raw!G575</f>
        <v>0</v>
      </c>
      <c r="H575" s="23">
        <f>Dataset1_Raw!H575</f>
        <v>3</v>
      </c>
      <c r="I575" s="23">
        <f>Dataset1_Raw!I575</f>
        <v>3</v>
      </c>
      <c r="J575" s="25">
        <f>Dataset1_Raw!J575</f>
        <v>0.22</v>
      </c>
      <c r="K575" s="25">
        <f>IF(ISNUMBER(INDEX(Dataset2_Raw!$B$2:$B$611,$Q575)),INDEX(Dataset2_Raw!$B$2:$B$611,$Q575),"")</f>
        <v>0.2273</v>
      </c>
      <c r="L575" s="25">
        <f>IF(ISNUMBER(INDEX(Dataset2_Raw!$C$2:$C$611,$Q575)),INDEX(Dataset2_Raw!$C$2:$C$611,$Q575),"")</f>
        <v>0.69</v>
      </c>
      <c r="M575" s="25">
        <f>IF(ISNUMBER(INDEX(Dataset2_Raw!$D$2:$D$611,$Q575)),INDEX(Dataset2_Raw!$D$2:$D$611,$Q575),"")</f>
        <v>0.19400000000000001</v>
      </c>
      <c r="N575" s="23">
        <f>IF(ISNUMBER(INDEX(Dataset2_Raw!$E$2:$E$611,$Q575)),INDEX(Dataset2_Raw!$E$2:$E$611,$Q575),"")</f>
        <v>3</v>
      </c>
      <c r="O575" s="23">
        <f>IF(ISNUMBER(INDEX(Dataset2_Raw!$F$2:$F$611,$Q575)),INDEX(Dataset2_Raw!$F$2:$F$611,$Q575),"")</f>
        <v>7</v>
      </c>
      <c r="P575" s="23">
        <f>IF(ISNUMBER(INDEX(Dataset2_Raw!$G$2:$G$611,$Q575)),INDEX(Dataset2_Raw!$G$2:$G$611,$Q575),"")</f>
        <v>10</v>
      </c>
      <c r="Q575" s="23">
        <f>IFERROR(MATCH($A575,Dataset2_Raw!$A$2:$A$611,0),0)</f>
        <v>574</v>
      </c>
    </row>
    <row r="576" spans="1:17" x14ac:dyDescent="0.35">
      <c r="A576" s="23">
        <f>Dataset1_Raw!A576</f>
        <v>575</v>
      </c>
      <c r="B576" s="24">
        <f>Dataset1_Raw!B576</f>
        <v>40569</v>
      </c>
      <c r="C576" s="23">
        <f>Dataset1_Raw!C576</f>
        <v>1</v>
      </c>
      <c r="D576" s="23">
        <f>Dataset1_Raw!D576</f>
        <v>0</v>
      </c>
      <c r="E576" s="23">
        <f>Dataset1_Raw!E576</f>
        <v>1</v>
      </c>
      <c r="F576" s="23">
        <f>Dataset1_Raw!F576</f>
        <v>5</v>
      </c>
      <c r="G576" s="23" t="b">
        <f>Dataset1_Raw!G576</f>
        <v>0</v>
      </c>
      <c r="H576" s="23">
        <f>Dataset1_Raw!H576</f>
        <v>3</v>
      </c>
      <c r="I576" s="23">
        <f>Dataset1_Raw!I576</f>
        <v>3</v>
      </c>
      <c r="J576" s="25">
        <f>Dataset1_Raw!J576</f>
        <v>0.2</v>
      </c>
      <c r="K576" s="25">
        <f>IF(ISNUMBER(INDEX(Dataset2_Raw!$B$2:$B$611,$Q576)),INDEX(Dataset2_Raw!$B$2:$B$611,$Q576),"")</f>
        <v>0.18179999999999999</v>
      </c>
      <c r="L576" s="25">
        <f>IF(ISNUMBER(INDEX(Dataset2_Raw!$C$2:$C$611,$Q576)),INDEX(Dataset2_Raw!$C$2:$C$611,$Q576),"")</f>
        <v>0.86</v>
      </c>
      <c r="M576" s="25">
        <f>IF(ISNUMBER(INDEX(Dataset2_Raw!$D$2:$D$611,$Q576)),INDEX(Dataset2_Raw!$D$2:$D$611,$Q576),"")</f>
        <v>0.28360000000000002</v>
      </c>
      <c r="N576" s="23">
        <f>IF(ISNUMBER(INDEX(Dataset2_Raw!$E$2:$E$611,$Q576)),INDEX(Dataset2_Raw!$E$2:$E$611,$Q576),"")</f>
        <v>0</v>
      </c>
      <c r="O576" s="23">
        <f>IF(ISNUMBER(INDEX(Dataset2_Raw!$F$2:$F$611,$Q576)),INDEX(Dataset2_Raw!$F$2:$F$611,$Q576),"")</f>
        <v>1</v>
      </c>
      <c r="P576" s="23">
        <f>IF(ISNUMBER(INDEX(Dataset2_Raw!$G$2:$G$611,$Q576)),INDEX(Dataset2_Raw!$G$2:$G$611,$Q576),"")</f>
        <v>1</v>
      </c>
      <c r="Q576" s="23">
        <f>IFERROR(MATCH($A576,Dataset2_Raw!$A$2:$A$611,0),0)</f>
        <v>575</v>
      </c>
    </row>
    <row r="577" spans="1:17" x14ac:dyDescent="0.35">
      <c r="A577" s="23">
        <f>Dataset1_Raw!A577</f>
        <v>576</v>
      </c>
      <c r="B577" s="24">
        <f>Dataset1_Raw!B577</f>
        <v>40569</v>
      </c>
      <c r="C577" s="23">
        <f>Dataset1_Raw!C577</f>
        <v>1</v>
      </c>
      <c r="D577" s="23">
        <f>Dataset1_Raw!D577</f>
        <v>0</v>
      </c>
      <c r="E577" s="23">
        <f>Dataset1_Raw!E577</f>
        <v>1</v>
      </c>
      <c r="F577" s="23">
        <f>Dataset1_Raw!F577</f>
        <v>6</v>
      </c>
      <c r="G577" s="23" t="b">
        <f>Dataset1_Raw!G577</f>
        <v>0</v>
      </c>
      <c r="H577" s="23">
        <f>Dataset1_Raw!H577</f>
        <v>3</v>
      </c>
      <c r="I577" s="23">
        <f>Dataset1_Raw!I577</f>
        <v>3</v>
      </c>
      <c r="J577" s="25">
        <f>Dataset1_Raw!J577</f>
        <v>0.2</v>
      </c>
      <c r="K577" s="25">
        <f>IF(ISNUMBER(INDEX(Dataset2_Raw!$B$2:$B$611,$Q577)),INDEX(Dataset2_Raw!$B$2:$B$611,$Q577),"")</f>
        <v>0.18179999999999999</v>
      </c>
      <c r="L577" s="25">
        <f>IF(ISNUMBER(INDEX(Dataset2_Raw!$C$2:$C$611,$Q577)),INDEX(Dataset2_Raw!$C$2:$C$611,$Q577),"")</f>
        <v>0.86</v>
      </c>
      <c r="M577" s="25">
        <f>IF(ISNUMBER(INDEX(Dataset2_Raw!$D$2:$D$611,$Q577)),INDEX(Dataset2_Raw!$D$2:$D$611,$Q577),"")</f>
        <v>0.28360000000000002</v>
      </c>
      <c r="N577" s="23">
        <f>IF(ISNUMBER(INDEX(Dataset2_Raw!$E$2:$E$611,$Q577)),INDEX(Dataset2_Raw!$E$2:$E$611,$Q577),"")</f>
        <v>0</v>
      </c>
      <c r="O577" s="23">
        <f>IF(ISNUMBER(INDEX(Dataset2_Raw!$F$2:$F$611,$Q577)),INDEX(Dataset2_Raw!$F$2:$F$611,$Q577),"")</f>
        <v>8</v>
      </c>
      <c r="P577" s="23">
        <f>IF(ISNUMBER(INDEX(Dataset2_Raw!$G$2:$G$611,$Q577)),INDEX(Dataset2_Raw!$G$2:$G$611,$Q577),"")</f>
        <v>8</v>
      </c>
      <c r="Q577" s="23">
        <f>IFERROR(MATCH($A577,Dataset2_Raw!$A$2:$A$611,0),0)</f>
        <v>576</v>
      </c>
    </row>
    <row r="578" spans="1:17" x14ac:dyDescent="0.35">
      <c r="A578" s="23">
        <f>Dataset1_Raw!A578</f>
        <v>577</v>
      </c>
      <c r="B578" s="24">
        <f>Dataset1_Raw!B578</f>
        <v>40569</v>
      </c>
      <c r="C578" s="23">
        <f>Dataset1_Raw!C578</f>
        <v>1</v>
      </c>
      <c r="D578" s="23">
        <f>Dataset1_Raw!D578</f>
        <v>0</v>
      </c>
      <c r="E578" s="23">
        <f>Dataset1_Raw!E578</f>
        <v>1</v>
      </c>
      <c r="F578" s="23">
        <f>Dataset1_Raw!F578</f>
        <v>7</v>
      </c>
      <c r="G578" s="23" t="b">
        <f>Dataset1_Raw!G578</f>
        <v>0</v>
      </c>
      <c r="H578" s="23">
        <f>Dataset1_Raw!H578</f>
        <v>3</v>
      </c>
      <c r="I578" s="23">
        <f>Dataset1_Raw!I578</f>
        <v>3</v>
      </c>
      <c r="J578" s="25">
        <f>Dataset1_Raw!J578</f>
        <v>0.22</v>
      </c>
      <c r="K578" s="25">
        <f>IF(ISNUMBER(INDEX(Dataset2_Raw!$B$2:$B$611,$Q578)),INDEX(Dataset2_Raw!$B$2:$B$611,$Q578),"")</f>
        <v>0.21210000000000001</v>
      </c>
      <c r="L578" s="25">
        <f>IF(ISNUMBER(INDEX(Dataset2_Raw!$C$2:$C$611,$Q578)),INDEX(Dataset2_Raw!$C$2:$C$611,$Q578),"")</f>
        <v>0.87</v>
      </c>
      <c r="M578" s="25">
        <f>IF(ISNUMBER(INDEX(Dataset2_Raw!$D$2:$D$611,$Q578)),INDEX(Dataset2_Raw!$D$2:$D$611,$Q578),"")</f>
        <v>0.29849999999999999</v>
      </c>
      <c r="N578" s="23">
        <f>IF(ISNUMBER(INDEX(Dataset2_Raw!$E$2:$E$611,$Q578)),INDEX(Dataset2_Raw!$E$2:$E$611,$Q578),"")</f>
        <v>1</v>
      </c>
      <c r="O578" s="23">
        <f>IF(ISNUMBER(INDEX(Dataset2_Raw!$F$2:$F$611,$Q578)),INDEX(Dataset2_Raw!$F$2:$F$611,$Q578),"")</f>
        <v>29</v>
      </c>
      <c r="P578" s="23">
        <f>IF(ISNUMBER(INDEX(Dataset2_Raw!$G$2:$G$611,$Q578)),INDEX(Dataset2_Raw!$G$2:$G$611,$Q578),"")</f>
        <v>30</v>
      </c>
      <c r="Q578" s="23">
        <f>IFERROR(MATCH($A578,Dataset2_Raw!$A$2:$A$611,0),0)</f>
        <v>577</v>
      </c>
    </row>
    <row r="579" spans="1:17" x14ac:dyDescent="0.35">
      <c r="A579" s="23">
        <f>Dataset1_Raw!A579</f>
        <v>578</v>
      </c>
      <c r="B579" s="24">
        <f>Dataset1_Raw!B579</f>
        <v>40569</v>
      </c>
      <c r="C579" s="23">
        <f>Dataset1_Raw!C579</f>
        <v>1</v>
      </c>
      <c r="D579" s="23">
        <f>Dataset1_Raw!D579</f>
        <v>0</v>
      </c>
      <c r="E579" s="23">
        <f>Dataset1_Raw!E579</f>
        <v>1</v>
      </c>
      <c r="F579" s="23">
        <f>Dataset1_Raw!F579</f>
        <v>8</v>
      </c>
      <c r="G579" s="23" t="b">
        <f>Dataset1_Raw!G579</f>
        <v>0</v>
      </c>
      <c r="H579" s="23">
        <f>Dataset1_Raw!H579</f>
        <v>3</v>
      </c>
      <c r="I579" s="23">
        <f>Dataset1_Raw!I579</f>
        <v>3</v>
      </c>
      <c r="J579" s="25">
        <f>Dataset1_Raw!J579</f>
        <v>0.22</v>
      </c>
      <c r="K579" s="25">
        <f>IF(ISNUMBER(INDEX(Dataset2_Raw!$B$2:$B$611,$Q579)),INDEX(Dataset2_Raw!$B$2:$B$611,$Q579),"")</f>
        <v>0.21210000000000001</v>
      </c>
      <c r="L579" s="25">
        <f>IF(ISNUMBER(INDEX(Dataset2_Raw!$C$2:$C$611,$Q579)),INDEX(Dataset2_Raw!$C$2:$C$611,$Q579),"")</f>
        <v>0.87</v>
      </c>
      <c r="M579" s="25">
        <f>IF(ISNUMBER(INDEX(Dataset2_Raw!$D$2:$D$611,$Q579)),INDEX(Dataset2_Raw!$D$2:$D$611,$Q579),"")</f>
        <v>0.29849999999999999</v>
      </c>
      <c r="N579" s="23">
        <f>IF(ISNUMBER(INDEX(Dataset2_Raw!$E$2:$E$611,$Q579)),INDEX(Dataset2_Raw!$E$2:$E$611,$Q579),"")</f>
        <v>3</v>
      </c>
      <c r="O579" s="23">
        <f>IF(ISNUMBER(INDEX(Dataset2_Raw!$F$2:$F$611,$Q579)),INDEX(Dataset2_Raw!$F$2:$F$611,$Q579),"")</f>
        <v>69</v>
      </c>
      <c r="P579" s="23">
        <f>IF(ISNUMBER(INDEX(Dataset2_Raw!$G$2:$G$611,$Q579)),INDEX(Dataset2_Raw!$G$2:$G$611,$Q579),"")</f>
        <v>72</v>
      </c>
      <c r="Q579" s="23">
        <f>IFERROR(MATCH($A579,Dataset2_Raw!$A$2:$A$611,0),0)</f>
        <v>578</v>
      </c>
    </row>
    <row r="580" spans="1:17" x14ac:dyDescent="0.35">
      <c r="A580" s="23">
        <f>Dataset1_Raw!A580</f>
        <v>579</v>
      </c>
      <c r="B580" s="24">
        <f>Dataset1_Raw!B580</f>
        <v>40569</v>
      </c>
      <c r="C580" s="23">
        <f>Dataset1_Raw!C580</f>
        <v>1</v>
      </c>
      <c r="D580" s="23">
        <f>Dataset1_Raw!D580</f>
        <v>0</v>
      </c>
      <c r="E580" s="23">
        <f>Dataset1_Raw!E580</f>
        <v>1</v>
      </c>
      <c r="F580" s="23">
        <f>Dataset1_Raw!F580</f>
        <v>9</v>
      </c>
      <c r="G580" s="23" t="b">
        <f>Dataset1_Raw!G580</f>
        <v>0</v>
      </c>
      <c r="H580" s="23">
        <f>Dataset1_Raw!H580</f>
        <v>3</v>
      </c>
      <c r="I580" s="23">
        <f>Dataset1_Raw!I580</f>
        <v>3</v>
      </c>
      <c r="J580" s="25">
        <f>Dataset1_Raw!J580</f>
        <v>0.22</v>
      </c>
      <c r="K580" s="25">
        <f>IF(ISNUMBER(INDEX(Dataset2_Raw!$B$2:$B$611,$Q580)),INDEX(Dataset2_Raw!$B$2:$B$611,$Q580),"")</f>
        <v>0.21210000000000001</v>
      </c>
      <c r="L580" s="25">
        <f>IF(ISNUMBER(INDEX(Dataset2_Raw!$C$2:$C$611,$Q580)),INDEX(Dataset2_Raw!$C$2:$C$611,$Q580),"")</f>
        <v>0.87</v>
      </c>
      <c r="M580" s="25">
        <f>IF(ISNUMBER(INDEX(Dataset2_Raw!$D$2:$D$611,$Q580)),INDEX(Dataset2_Raw!$D$2:$D$611,$Q580),"")</f>
        <v>0.29849999999999999</v>
      </c>
      <c r="N580" s="23">
        <f>IF(ISNUMBER(INDEX(Dataset2_Raw!$E$2:$E$611,$Q580)),INDEX(Dataset2_Raw!$E$2:$E$611,$Q580),"")</f>
        <v>3</v>
      </c>
      <c r="O580" s="23">
        <f>IF(ISNUMBER(INDEX(Dataset2_Raw!$F$2:$F$611,$Q580)),INDEX(Dataset2_Raw!$F$2:$F$611,$Q580),"")</f>
        <v>55</v>
      </c>
      <c r="P580" s="23">
        <f>IF(ISNUMBER(INDEX(Dataset2_Raw!$G$2:$G$611,$Q580)),INDEX(Dataset2_Raw!$G$2:$G$611,$Q580),"")</f>
        <v>58</v>
      </c>
      <c r="Q580" s="23">
        <f>IFERROR(MATCH($A580,Dataset2_Raw!$A$2:$A$611,0),0)</f>
        <v>579</v>
      </c>
    </row>
    <row r="581" spans="1:17" x14ac:dyDescent="0.35">
      <c r="A581" s="23">
        <f>Dataset1_Raw!A581</f>
        <v>580</v>
      </c>
      <c r="B581" s="24">
        <f>Dataset1_Raw!B581</f>
        <v>40569</v>
      </c>
      <c r="C581" s="23">
        <f>Dataset1_Raw!C581</f>
        <v>1</v>
      </c>
      <c r="D581" s="23">
        <f>Dataset1_Raw!D581</f>
        <v>0</v>
      </c>
      <c r="E581" s="23">
        <f>Dataset1_Raw!E581</f>
        <v>1</v>
      </c>
      <c r="F581" s="23">
        <f>Dataset1_Raw!F581</f>
        <v>10</v>
      </c>
      <c r="G581" s="23" t="b">
        <f>Dataset1_Raw!G581</f>
        <v>0</v>
      </c>
      <c r="H581" s="23">
        <f>Dataset1_Raw!H581</f>
        <v>3</v>
      </c>
      <c r="I581" s="23">
        <f>Dataset1_Raw!I581</f>
        <v>3</v>
      </c>
      <c r="J581" s="25">
        <f>Dataset1_Raw!J581</f>
        <v>0.22</v>
      </c>
      <c r="K581" s="25">
        <f>IF(ISNUMBER(INDEX(Dataset2_Raw!$B$2:$B$611,$Q581)),INDEX(Dataset2_Raw!$B$2:$B$611,$Q581),"")</f>
        <v>0.21210000000000001</v>
      </c>
      <c r="L581" s="25">
        <f>IF(ISNUMBER(INDEX(Dataset2_Raw!$C$2:$C$611,$Q581)),INDEX(Dataset2_Raw!$C$2:$C$611,$Q581),"")</f>
        <v>0.93</v>
      </c>
      <c r="M581" s="25">
        <f>IF(ISNUMBER(INDEX(Dataset2_Raw!$D$2:$D$611,$Q581)),INDEX(Dataset2_Raw!$D$2:$D$611,$Q581),"")</f>
        <v>0.28360000000000002</v>
      </c>
      <c r="N581" s="23">
        <f>IF(ISNUMBER(INDEX(Dataset2_Raw!$E$2:$E$611,$Q581)),INDEX(Dataset2_Raw!$E$2:$E$611,$Q581),"")</f>
        <v>2</v>
      </c>
      <c r="O581" s="23">
        <f>IF(ISNUMBER(INDEX(Dataset2_Raw!$F$2:$F$611,$Q581)),INDEX(Dataset2_Raw!$F$2:$F$611,$Q581),"")</f>
        <v>26</v>
      </c>
      <c r="P581" s="23">
        <f>IF(ISNUMBER(INDEX(Dataset2_Raw!$G$2:$G$611,$Q581)),INDEX(Dataset2_Raw!$G$2:$G$611,$Q581),"")</f>
        <v>28</v>
      </c>
      <c r="Q581" s="23">
        <f>IFERROR(MATCH($A581,Dataset2_Raw!$A$2:$A$611,0),0)</f>
        <v>580</v>
      </c>
    </row>
    <row r="582" spans="1:17" x14ac:dyDescent="0.35">
      <c r="A582" s="23">
        <f>Dataset1_Raw!A582</f>
        <v>581</v>
      </c>
      <c r="B582" s="24">
        <f>Dataset1_Raw!B582</f>
        <v>40569</v>
      </c>
      <c r="C582" s="23">
        <f>Dataset1_Raw!C582</f>
        <v>1</v>
      </c>
      <c r="D582" s="23">
        <f>Dataset1_Raw!D582</f>
        <v>0</v>
      </c>
      <c r="E582" s="23">
        <f>Dataset1_Raw!E582</f>
        <v>1</v>
      </c>
      <c r="F582" s="23">
        <f>Dataset1_Raw!F582</f>
        <v>11</v>
      </c>
      <c r="G582" s="23" t="b">
        <f>Dataset1_Raw!G582</f>
        <v>0</v>
      </c>
      <c r="H582" s="23">
        <f>Dataset1_Raw!H582</f>
        <v>3</v>
      </c>
      <c r="I582" s="23">
        <f>Dataset1_Raw!I582</f>
        <v>3</v>
      </c>
      <c r="J582" s="25">
        <f>Dataset1_Raw!J582</f>
        <v>0.22</v>
      </c>
      <c r="K582" s="25">
        <f>IF(ISNUMBER(INDEX(Dataset2_Raw!$B$2:$B$611,$Q582)),INDEX(Dataset2_Raw!$B$2:$B$611,$Q582),"")</f>
        <v>0.19700000000000001</v>
      </c>
      <c r="L582" s="25">
        <f>IF(ISNUMBER(INDEX(Dataset2_Raw!$C$2:$C$611,$Q582)),INDEX(Dataset2_Raw!$C$2:$C$611,$Q582),"")</f>
        <v>0.93</v>
      </c>
      <c r="M582" s="25">
        <f>IF(ISNUMBER(INDEX(Dataset2_Raw!$D$2:$D$611,$Q582)),INDEX(Dataset2_Raw!$D$2:$D$611,$Q582),"")</f>
        <v>0.32840000000000003</v>
      </c>
      <c r="N582" s="23">
        <f>IF(ISNUMBER(INDEX(Dataset2_Raw!$E$2:$E$611,$Q582)),INDEX(Dataset2_Raw!$E$2:$E$611,$Q582),"")</f>
        <v>6</v>
      </c>
      <c r="O582" s="23">
        <f>IF(ISNUMBER(INDEX(Dataset2_Raw!$F$2:$F$611,$Q582)),INDEX(Dataset2_Raw!$F$2:$F$611,$Q582),"")</f>
        <v>35</v>
      </c>
      <c r="P582" s="23">
        <f>IF(ISNUMBER(INDEX(Dataset2_Raw!$G$2:$G$611,$Q582)),INDEX(Dataset2_Raw!$G$2:$G$611,$Q582),"")</f>
        <v>41</v>
      </c>
      <c r="Q582" s="23">
        <f>IFERROR(MATCH($A582,Dataset2_Raw!$A$2:$A$611,0),0)</f>
        <v>581</v>
      </c>
    </row>
    <row r="583" spans="1:17" x14ac:dyDescent="0.35">
      <c r="A583" s="23">
        <f>Dataset1_Raw!A583</f>
        <v>582</v>
      </c>
      <c r="B583" s="24">
        <f>Dataset1_Raw!B583</f>
        <v>40569</v>
      </c>
      <c r="C583" s="23">
        <f>Dataset1_Raw!C583</f>
        <v>1</v>
      </c>
      <c r="D583" s="23">
        <f>Dataset1_Raw!D583</f>
        <v>0</v>
      </c>
      <c r="E583" s="23">
        <f>Dataset1_Raw!E583</f>
        <v>1</v>
      </c>
      <c r="F583" s="23">
        <f>Dataset1_Raw!F583</f>
        <v>12</v>
      </c>
      <c r="G583" s="23" t="b">
        <f>Dataset1_Raw!G583</f>
        <v>0</v>
      </c>
      <c r="H583" s="23">
        <f>Dataset1_Raw!H583</f>
        <v>3</v>
      </c>
      <c r="I583" s="23">
        <f>Dataset1_Raw!I583</f>
        <v>3</v>
      </c>
      <c r="J583" s="25">
        <f>Dataset1_Raw!J583</f>
        <v>0.22</v>
      </c>
      <c r="K583" s="25">
        <f>IF(ISNUMBER(INDEX(Dataset2_Raw!$B$2:$B$611,$Q583)),INDEX(Dataset2_Raw!$B$2:$B$611,$Q583),"")</f>
        <v>0.19700000000000001</v>
      </c>
      <c r="L583" s="25">
        <f>IF(ISNUMBER(INDEX(Dataset2_Raw!$C$2:$C$611,$Q583)),INDEX(Dataset2_Raw!$C$2:$C$611,$Q583),"")</f>
        <v>0.93</v>
      </c>
      <c r="M583" s="25">
        <f>IF(ISNUMBER(INDEX(Dataset2_Raw!$D$2:$D$611,$Q583)),INDEX(Dataset2_Raw!$D$2:$D$611,$Q583),"")</f>
        <v>0.32840000000000003</v>
      </c>
      <c r="N583" s="23">
        <f>IF(ISNUMBER(INDEX(Dataset2_Raw!$E$2:$E$611,$Q583)),INDEX(Dataset2_Raw!$E$2:$E$611,$Q583),"")</f>
        <v>7</v>
      </c>
      <c r="O583" s="23">
        <f>IF(ISNUMBER(INDEX(Dataset2_Raw!$F$2:$F$611,$Q583)),INDEX(Dataset2_Raw!$F$2:$F$611,$Q583),"")</f>
        <v>41</v>
      </c>
      <c r="P583" s="23">
        <f>IF(ISNUMBER(INDEX(Dataset2_Raw!$G$2:$G$611,$Q583)),INDEX(Dataset2_Raw!$G$2:$G$611,$Q583),"")</f>
        <v>48</v>
      </c>
      <c r="Q583" s="23">
        <f>IFERROR(MATCH($A583,Dataset2_Raw!$A$2:$A$611,0),0)</f>
        <v>582</v>
      </c>
    </row>
    <row r="584" spans="1:17" x14ac:dyDescent="0.35">
      <c r="A584" s="23">
        <f>Dataset1_Raw!A584</f>
        <v>583</v>
      </c>
      <c r="B584" s="24">
        <f>Dataset1_Raw!B584</f>
        <v>40569</v>
      </c>
      <c r="C584" s="23">
        <f>Dataset1_Raw!C584</f>
        <v>1</v>
      </c>
      <c r="D584" s="23">
        <f>Dataset1_Raw!D584</f>
        <v>0</v>
      </c>
      <c r="E584" s="23">
        <f>Dataset1_Raw!E584</f>
        <v>1</v>
      </c>
      <c r="F584" s="23">
        <f>Dataset1_Raw!F584</f>
        <v>13</v>
      </c>
      <c r="G584" s="23" t="b">
        <f>Dataset1_Raw!G584</f>
        <v>0</v>
      </c>
      <c r="H584" s="23">
        <f>Dataset1_Raw!H584</f>
        <v>3</v>
      </c>
      <c r="I584" s="23">
        <f>Dataset1_Raw!I584</f>
        <v>3</v>
      </c>
      <c r="J584" s="25">
        <f>Dataset1_Raw!J584</f>
        <v>0.22</v>
      </c>
      <c r="K584" s="25">
        <f>IF(ISNUMBER(INDEX(Dataset2_Raw!$B$2:$B$611,$Q584)),INDEX(Dataset2_Raw!$B$2:$B$611,$Q584),"")</f>
        <v>0.19700000000000001</v>
      </c>
      <c r="L584" s="25">
        <f>IF(ISNUMBER(INDEX(Dataset2_Raw!$C$2:$C$611,$Q584)),INDEX(Dataset2_Raw!$C$2:$C$611,$Q584),"")</f>
        <v>0.93</v>
      </c>
      <c r="M584" s="25">
        <f>IF(ISNUMBER(INDEX(Dataset2_Raw!$D$2:$D$611,$Q584)),INDEX(Dataset2_Raw!$D$2:$D$611,$Q584),"")</f>
        <v>0.32840000000000003</v>
      </c>
      <c r="N584" s="23">
        <f>IF(ISNUMBER(INDEX(Dataset2_Raw!$E$2:$E$611,$Q584)),INDEX(Dataset2_Raw!$E$2:$E$611,$Q584),"")</f>
        <v>4</v>
      </c>
      <c r="O584" s="23">
        <f>IF(ISNUMBER(INDEX(Dataset2_Raw!$F$2:$F$611,$Q584)),INDEX(Dataset2_Raw!$F$2:$F$611,$Q584),"")</f>
        <v>43</v>
      </c>
      <c r="P584" s="23">
        <f>IF(ISNUMBER(INDEX(Dataset2_Raw!$G$2:$G$611,$Q584)),INDEX(Dataset2_Raw!$G$2:$G$611,$Q584),"")</f>
        <v>47</v>
      </c>
      <c r="Q584" s="23">
        <f>IFERROR(MATCH($A584,Dataset2_Raw!$A$2:$A$611,0),0)</f>
        <v>583</v>
      </c>
    </row>
    <row r="585" spans="1:17" x14ac:dyDescent="0.35">
      <c r="A585" s="23">
        <f>Dataset1_Raw!A585</f>
        <v>584</v>
      </c>
      <c r="B585" s="24">
        <f>Dataset1_Raw!B585</f>
        <v>40569</v>
      </c>
      <c r="C585" s="23">
        <f>Dataset1_Raw!C585</f>
        <v>1</v>
      </c>
      <c r="D585" s="23">
        <f>Dataset1_Raw!D585</f>
        <v>0</v>
      </c>
      <c r="E585" s="23">
        <f>Dataset1_Raw!E585</f>
        <v>1</v>
      </c>
      <c r="F585" s="23">
        <f>Dataset1_Raw!F585</f>
        <v>14</v>
      </c>
      <c r="G585" s="23" t="b">
        <f>Dataset1_Raw!G585</f>
        <v>0</v>
      </c>
      <c r="H585" s="23">
        <f>Dataset1_Raw!H585</f>
        <v>3</v>
      </c>
      <c r="I585" s="23">
        <f>Dataset1_Raw!I585</f>
        <v>3</v>
      </c>
      <c r="J585" s="25">
        <f>Dataset1_Raw!J585</f>
        <v>0.22</v>
      </c>
      <c r="K585" s="25">
        <f>IF(ISNUMBER(INDEX(Dataset2_Raw!$B$2:$B$611,$Q585)),INDEX(Dataset2_Raw!$B$2:$B$611,$Q585),"")</f>
        <v>0.19700000000000001</v>
      </c>
      <c r="L585" s="25">
        <f>IF(ISNUMBER(INDEX(Dataset2_Raw!$C$2:$C$611,$Q585)),INDEX(Dataset2_Raw!$C$2:$C$611,$Q585),"")</f>
        <v>0.93</v>
      </c>
      <c r="M585" s="25">
        <f>IF(ISNUMBER(INDEX(Dataset2_Raw!$D$2:$D$611,$Q585)),INDEX(Dataset2_Raw!$D$2:$D$611,$Q585),"")</f>
        <v>0.35820000000000002</v>
      </c>
      <c r="N585" s="23">
        <f>IF(ISNUMBER(INDEX(Dataset2_Raw!$E$2:$E$611,$Q585)),INDEX(Dataset2_Raw!$E$2:$E$611,$Q585),"")</f>
        <v>0</v>
      </c>
      <c r="O585" s="23">
        <f>IF(ISNUMBER(INDEX(Dataset2_Raw!$F$2:$F$611,$Q585)),INDEX(Dataset2_Raw!$F$2:$F$611,$Q585),"")</f>
        <v>36</v>
      </c>
      <c r="P585" s="23">
        <f>IF(ISNUMBER(INDEX(Dataset2_Raw!$G$2:$G$611,$Q585)),INDEX(Dataset2_Raw!$G$2:$G$611,$Q585),"")</f>
        <v>36</v>
      </c>
      <c r="Q585" s="23">
        <f>IFERROR(MATCH($A585,Dataset2_Raw!$A$2:$A$611,0),0)</f>
        <v>584</v>
      </c>
    </row>
    <row r="586" spans="1:17" x14ac:dyDescent="0.35">
      <c r="A586" s="23">
        <f>Dataset1_Raw!A586</f>
        <v>585</v>
      </c>
      <c r="B586" s="24">
        <f>Dataset1_Raw!B586</f>
        <v>40569</v>
      </c>
      <c r="C586" s="23">
        <f>Dataset1_Raw!C586</f>
        <v>1</v>
      </c>
      <c r="D586" s="23">
        <f>Dataset1_Raw!D586</f>
        <v>0</v>
      </c>
      <c r="E586" s="23">
        <f>Dataset1_Raw!E586</f>
        <v>1</v>
      </c>
      <c r="F586" s="23">
        <f>Dataset1_Raw!F586</f>
        <v>15</v>
      </c>
      <c r="G586" s="23" t="b">
        <f>Dataset1_Raw!G586</f>
        <v>0</v>
      </c>
      <c r="H586" s="23">
        <f>Dataset1_Raw!H586</f>
        <v>3</v>
      </c>
      <c r="I586" s="23">
        <f>Dataset1_Raw!I586</f>
        <v>3</v>
      </c>
      <c r="J586" s="25">
        <f>Dataset1_Raw!J586</f>
        <v>0.22</v>
      </c>
      <c r="K586" s="25">
        <f>IF(ISNUMBER(INDEX(Dataset2_Raw!$B$2:$B$611,$Q586)),INDEX(Dataset2_Raw!$B$2:$B$611,$Q586),"")</f>
        <v>0.18179999999999999</v>
      </c>
      <c r="L586" s="25">
        <f>IF(ISNUMBER(INDEX(Dataset2_Raw!$C$2:$C$611,$Q586)),INDEX(Dataset2_Raw!$C$2:$C$611,$Q586),"")</f>
        <v>0.93</v>
      </c>
      <c r="M586" s="25">
        <f>IF(ISNUMBER(INDEX(Dataset2_Raw!$D$2:$D$611,$Q586)),INDEX(Dataset2_Raw!$D$2:$D$611,$Q586),"")</f>
        <v>0.4627</v>
      </c>
      <c r="N586" s="23">
        <f>IF(ISNUMBER(INDEX(Dataset2_Raw!$E$2:$E$611,$Q586)),INDEX(Dataset2_Raw!$E$2:$E$611,$Q586),"")</f>
        <v>1</v>
      </c>
      <c r="O586" s="23">
        <f>IF(ISNUMBER(INDEX(Dataset2_Raw!$F$2:$F$611,$Q586)),INDEX(Dataset2_Raw!$F$2:$F$611,$Q586),"")</f>
        <v>42</v>
      </c>
      <c r="P586" s="23">
        <f>IF(ISNUMBER(INDEX(Dataset2_Raw!$G$2:$G$611,$Q586)),INDEX(Dataset2_Raw!$G$2:$G$611,$Q586),"")</f>
        <v>43</v>
      </c>
      <c r="Q586" s="23">
        <f>IFERROR(MATCH($A586,Dataset2_Raw!$A$2:$A$611,0),0)</f>
        <v>585</v>
      </c>
    </row>
    <row r="587" spans="1:17" x14ac:dyDescent="0.35">
      <c r="A587" s="23">
        <f>Dataset1_Raw!A587</f>
        <v>586</v>
      </c>
      <c r="B587" s="24">
        <f>Dataset1_Raw!B587</f>
        <v>40569</v>
      </c>
      <c r="C587" s="23">
        <f>Dataset1_Raw!C587</f>
        <v>1</v>
      </c>
      <c r="D587" s="23">
        <f>Dataset1_Raw!D587</f>
        <v>0</v>
      </c>
      <c r="E587" s="23">
        <f>Dataset1_Raw!E587</f>
        <v>1</v>
      </c>
      <c r="F587" s="23">
        <f>Dataset1_Raw!F587</f>
        <v>16</v>
      </c>
      <c r="G587" s="23" t="b">
        <f>Dataset1_Raw!G587</f>
        <v>0</v>
      </c>
      <c r="H587" s="23">
        <f>Dataset1_Raw!H587</f>
        <v>3</v>
      </c>
      <c r="I587" s="23">
        <f>Dataset1_Raw!I587</f>
        <v>4</v>
      </c>
      <c r="J587" s="25">
        <f>Dataset1_Raw!J587</f>
        <v>0.22</v>
      </c>
      <c r="K587" s="25">
        <f>IF(ISNUMBER(INDEX(Dataset2_Raw!$B$2:$B$611,$Q587)),INDEX(Dataset2_Raw!$B$2:$B$611,$Q587),"")</f>
        <v>0.19700000000000001</v>
      </c>
      <c r="L587" s="25">
        <f>IF(ISNUMBER(INDEX(Dataset2_Raw!$C$2:$C$611,$Q587)),INDEX(Dataset2_Raw!$C$2:$C$611,$Q587),"")</f>
        <v>0.93</v>
      </c>
      <c r="M587" s="25">
        <f>IF(ISNUMBER(INDEX(Dataset2_Raw!$D$2:$D$611,$Q587)),INDEX(Dataset2_Raw!$D$2:$D$611,$Q587),"")</f>
        <v>0.32840000000000003</v>
      </c>
      <c r="N587" s="23">
        <f>IF(ISNUMBER(INDEX(Dataset2_Raw!$E$2:$E$611,$Q587)),INDEX(Dataset2_Raw!$E$2:$E$611,$Q587),"")</f>
        <v>1</v>
      </c>
      <c r="O587" s="23">
        <f>IF(ISNUMBER(INDEX(Dataset2_Raw!$F$2:$F$611,$Q587)),INDEX(Dataset2_Raw!$F$2:$F$611,$Q587),"")</f>
        <v>35</v>
      </c>
      <c r="P587" s="23">
        <f>IF(ISNUMBER(INDEX(Dataset2_Raw!$G$2:$G$611,$Q587)),INDEX(Dataset2_Raw!$G$2:$G$611,$Q587),"")</f>
        <v>36</v>
      </c>
      <c r="Q587" s="23">
        <f>IFERROR(MATCH($A587,Dataset2_Raw!$A$2:$A$611,0),0)</f>
        <v>586</v>
      </c>
    </row>
    <row r="588" spans="1:17" x14ac:dyDescent="0.35">
      <c r="A588" s="23">
        <f>Dataset1_Raw!A588</f>
        <v>587</v>
      </c>
      <c r="B588" s="24">
        <f>Dataset1_Raw!B588</f>
        <v>40569</v>
      </c>
      <c r="C588" s="23">
        <f>Dataset1_Raw!C588</f>
        <v>1</v>
      </c>
      <c r="D588" s="23">
        <f>Dataset1_Raw!D588</f>
        <v>0</v>
      </c>
      <c r="E588" s="23">
        <f>Dataset1_Raw!E588</f>
        <v>1</v>
      </c>
      <c r="F588" s="23">
        <f>Dataset1_Raw!F588</f>
        <v>17</v>
      </c>
      <c r="G588" s="23" t="b">
        <f>Dataset1_Raw!G588</f>
        <v>0</v>
      </c>
      <c r="H588" s="23">
        <f>Dataset1_Raw!H588</f>
        <v>3</v>
      </c>
      <c r="I588" s="23">
        <f>Dataset1_Raw!I588</f>
        <v>3</v>
      </c>
      <c r="J588" s="25">
        <f>Dataset1_Raw!J588</f>
        <v>0.2</v>
      </c>
      <c r="K588" s="25">
        <f>IF(ISNUMBER(INDEX(Dataset2_Raw!$B$2:$B$611,$Q588)),INDEX(Dataset2_Raw!$B$2:$B$611,$Q588),"")</f>
        <v>0.18179999999999999</v>
      </c>
      <c r="L588" s="25">
        <f>IF(ISNUMBER(INDEX(Dataset2_Raw!$C$2:$C$611,$Q588)),INDEX(Dataset2_Raw!$C$2:$C$611,$Q588),"")</f>
        <v>0.93</v>
      </c>
      <c r="M588" s="25">
        <f>IF(ISNUMBER(INDEX(Dataset2_Raw!$D$2:$D$611,$Q588)),INDEX(Dataset2_Raw!$D$2:$D$611,$Q588),"")</f>
        <v>0.35820000000000002</v>
      </c>
      <c r="N588" s="23">
        <f>IF(ISNUMBER(INDEX(Dataset2_Raw!$E$2:$E$611,$Q588)),INDEX(Dataset2_Raw!$E$2:$E$611,$Q588),"")</f>
        <v>0</v>
      </c>
      <c r="O588" s="23">
        <f>IF(ISNUMBER(INDEX(Dataset2_Raw!$F$2:$F$611,$Q588)),INDEX(Dataset2_Raw!$F$2:$F$611,$Q588),"")</f>
        <v>26</v>
      </c>
      <c r="P588" s="23">
        <f>IF(ISNUMBER(INDEX(Dataset2_Raw!$G$2:$G$611,$Q588)),INDEX(Dataset2_Raw!$G$2:$G$611,$Q588),"")</f>
        <v>26</v>
      </c>
      <c r="Q588" s="23">
        <f>IFERROR(MATCH($A588,Dataset2_Raw!$A$2:$A$611,0),0)</f>
        <v>587</v>
      </c>
    </row>
    <row r="589" spans="1:17" x14ac:dyDescent="0.35">
      <c r="A589" s="23">
        <f>Dataset1_Raw!A589</f>
        <v>588</v>
      </c>
      <c r="B589" s="24">
        <f>Dataset1_Raw!B589</f>
        <v>40570</v>
      </c>
      <c r="C589" s="23">
        <f>Dataset1_Raw!C589</f>
        <v>1</v>
      </c>
      <c r="D589" s="23">
        <f>Dataset1_Raw!D589</f>
        <v>0</v>
      </c>
      <c r="E589" s="23">
        <f>Dataset1_Raw!E589</f>
        <v>1</v>
      </c>
      <c r="F589" s="23">
        <f>Dataset1_Raw!F589</f>
        <v>16</v>
      </c>
      <c r="G589" s="23" t="b">
        <f>Dataset1_Raw!G589</f>
        <v>0</v>
      </c>
      <c r="H589" s="23">
        <f>Dataset1_Raw!H589</f>
        <v>4</v>
      </c>
      <c r="I589" s="23">
        <f>Dataset1_Raw!I589</f>
        <v>1</v>
      </c>
      <c r="J589" s="25">
        <f>Dataset1_Raw!J589</f>
        <v>0.22</v>
      </c>
      <c r="K589" s="25">
        <f>IF(ISNUMBER(INDEX(Dataset2_Raw!$B$2:$B$611,$Q589)),INDEX(Dataset2_Raw!$B$2:$B$611,$Q589),"")</f>
        <v>0.2273</v>
      </c>
      <c r="L589" s="25">
        <f>IF(ISNUMBER(INDEX(Dataset2_Raw!$C$2:$C$611,$Q589)),INDEX(Dataset2_Raw!$C$2:$C$611,$Q589),"")</f>
        <v>0.55000000000000004</v>
      </c>
      <c r="M589" s="25">
        <f>IF(ISNUMBER(INDEX(Dataset2_Raw!$D$2:$D$611,$Q589)),INDEX(Dataset2_Raw!$D$2:$D$611,$Q589),"")</f>
        <v>0.19400000000000001</v>
      </c>
      <c r="N589" s="23">
        <f>IF(ISNUMBER(INDEX(Dataset2_Raw!$E$2:$E$611,$Q589)),INDEX(Dataset2_Raw!$E$2:$E$611,$Q589),"")</f>
        <v>1</v>
      </c>
      <c r="O589" s="23">
        <f>IF(ISNUMBER(INDEX(Dataset2_Raw!$F$2:$F$611,$Q589)),INDEX(Dataset2_Raw!$F$2:$F$611,$Q589),"")</f>
        <v>23</v>
      </c>
      <c r="P589" s="23">
        <f>IF(ISNUMBER(INDEX(Dataset2_Raw!$G$2:$G$611,$Q589)),INDEX(Dataset2_Raw!$G$2:$G$611,$Q589),"")</f>
        <v>24</v>
      </c>
      <c r="Q589" s="23">
        <f>IFERROR(MATCH($A589,Dataset2_Raw!$A$2:$A$611,0),0)</f>
        <v>588</v>
      </c>
    </row>
    <row r="590" spans="1:17" x14ac:dyDescent="0.35">
      <c r="A590" s="23">
        <f>Dataset1_Raw!A590</f>
        <v>589</v>
      </c>
      <c r="B590" s="24">
        <f>Dataset1_Raw!B590</f>
        <v>40570</v>
      </c>
      <c r="C590" s="23">
        <f>Dataset1_Raw!C590</f>
        <v>1</v>
      </c>
      <c r="D590" s="23">
        <f>Dataset1_Raw!D590</f>
        <v>0</v>
      </c>
      <c r="E590" s="23">
        <f>Dataset1_Raw!E590</f>
        <v>1</v>
      </c>
      <c r="F590" s="23">
        <f>Dataset1_Raw!F590</f>
        <v>17</v>
      </c>
      <c r="G590" s="23" t="b">
        <f>Dataset1_Raw!G590</f>
        <v>0</v>
      </c>
      <c r="H590" s="23">
        <f>Dataset1_Raw!H590</f>
        <v>4</v>
      </c>
      <c r="I590" s="23">
        <f>Dataset1_Raw!I590</f>
        <v>1</v>
      </c>
      <c r="J590" s="25">
        <f>Dataset1_Raw!J590</f>
        <v>0.22</v>
      </c>
      <c r="K590" s="25">
        <f>IF(ISNUMBER(INDEX(Dataset2_Raw!$B$2:$B$611,$Q590)),INDEX(Dataset2_Raw!$B$2:$B$611,$Q590),"")</f>
        <v>0.2424</v>
      </c>
      <c r="L590" s="25">
        <f>IF(ISNUMBER(INDEX(Dataset2_Raw!$C$2:$C$611,$Q590)),INDEX(Dataset2_Raw!$C$2:$C$611,$Q590),"")</f>
        <v>0.55000000000000004</v>
      </c>
      <c r="M590" s="25">
        <f>IF(ISNUMBER(INDEX(Dataset2_Raw!$D$2:$D$611,$Q590)),INDEX(Dataset2_Raw!$D$2:$D$611,$Q590),"")</f>
        <v>0.1045</v>
      </c>
      <c r="N590" s="23">
        <f>IF(ISNUMBER(INDEX(Dataset2_Raw!$E$2:$E$611,$Q590)),INDEX(Dataset2_Raw!$E$2:$E$611,$Q590),"")</f>
        <v>2</v>
      </c>
      <c r="O590" s="23">
        <f>IF(ISNUMBER(INDEX(Dataset2_Raw!$F$2:$F$611,$Q590)),INDEX(Dataset2_Raw!$F$2:$F$611,$Q590),"")</f>
        <v>82</v>
      </c>
      <c r="P590" s="23">
        <f>IF(ISNUMBER(INDEX(Dataset2_Raw!$G$2:$G$611,$Q590)),INDEX(Dataset2_Raw!$G$2:$G$611,$Q590),"")</f>
        <v>84</v>
      </c>
      <c r="Q590" s="23">
        <f>IFERROR(MATCH($A590,Dataset2_Raw!$A$2:$A$611,0),0)</f>
        <v>589</v>
      </c>
    </row>
    <row r="591" spans="1:17" x14ac:dyDescent="0.35">
      <c r="A591" s="23">
        <f>Dataset1_Raw!A591</f>
        <v>590</v>
      </c>
      <c r="B591" s="24">
        <f>Dataset1_Raw!B591</f>
        <v>40570</v>
      </c>
      <c r="C591" s="23">
        <f>Dataset1_Raw!C591</f>
        <v>1</v>
      </c>
      <c r="D591" s="23">
        <f>Dataset1_Raw!D591</f>
        <v>0</v>
      </c>
      <c r="E591" s="23">
        <f>Dataset1_Raw!E591</f>
        <v>1</v>
      </c>
      <c r="F591" s="23">
        <f>Dataset1_Raw!F591</f>
        <v>18</v>
      </c>
      <c r="G591" s="23" t="b">
        <f>Dataset1_Raw!G591</f>
        <v>0</v>
      </c>
      <c r="H591" s="23">
        <f>Dataset1_Raw!H591</f>
        <v>4</v>
      </c>
      <c r="I591" s="23">
        <f>Dataset1_Raw!I591</f>
        <v>1</v>
      </c>
      <c r="J591" s="25">
        <f>Dataset1_Raw!J591</f>
        <v>0.2</v>
      </c>
      <c r="K591" s="25">
        <f>IF(ISNUMBER(INDEX(Dataset2_Raw!$B$2:$B$611,$Q591)),INDEX(Dataset2_Raw!$B$2:$B$611,$Q591),"")</f>
        <v>0.2273</v>
      </c>
      <c r="L591" s="25">
        <f>IF(ISNUMBER(INDEX(Dataset2_Raw!$C$2:$C$611,$Q591)),INDEX(Dataset2_Raw!$C$2:$C$611,$Q591),"")</f>
        <v>0.69</v>
      </c>
      <c r="M591" s="25">
        <f>IF(ISNUMBER(INDEX(Dataset2_Raw!$D$2:$D$611,$Q591)),INDEX(Dataset2_Raw!$D$2:$D$611,$Q591),"")</f>
        <v>8.9599999999999999E-2</v>
      </c>
      <c r="N591" s="23">
        <f>IF(ISNUMBER(INDEX(Dataset2_Raw!$E$2:$E$611,$Q591)),INDEX(Dataset2_Raw!$E$2:$E$611,$Q591),"")</f>
        <v>3</v>
      </c>
      <c r="O591" s="23">
        <f>IF(ISNUMBER(INDEX(Dataset2_Raw!$F$2:$F$611,$Q591)),INDEX(Dataset2_Raw!$F$2:$F$611,$Q591),"")</f>
        <v>101</v>
      </c>
      <c r="P591" s="23">
        <f>IF(ISNUMBER(INDEX(Dataset2_Raw!$G$2:$G$611,$Q591)),INDEX(Dataset2_Raw!$G$2:$G$611,$Q591),"")</f>
        <v>104</v>
      </c>
      <c r="Q591" s="23">
        <f>IFERROR(MATCH($A591,Dataset2_Raw!$A$2:$A$611,0),0)</f>
        <v>590</v>
      </c>
    </row>
    <row r="592" spans="1:17" x14ac:dyDescent="0.35">
      <c r="A592" s="23">
        <f>Dataset1_Raw!A592</f>
        <v>591</v>
      </c>
      <c r="B592" s="24">
        <f>Dataset1_Raw!B592</f>
        <v>40570</v>
      </c>
      <c r="C592" s="23">
        <f>Dataset1_Raw!C592</f>
        <v>1</v>
      </c>
      <c r="D592" s="23">
        <f>Dataset1_Raw!D592</f>
        <v>0</v>
      </c>
      <c r="E592" s="23">
        <f>Dataset1_Raw!E592</f>
        <v>1</v>
      </c>
      <c r="F592" s="23">
        <f>Dataset1_Raw!F592</f>
        <v>19</v>
      </c>
      <c r="G592" s="23" t="b">
        <f>Dataset1_Raw!G592</f>
        <v>0</v>
      </c>
      <c r="H592" s="23">
        <f>Dataset1_Raw!H592</f>
        <v>4</v>
      </c>
      <c r="I592" s="23">
        <f>Dataset1_Raw!I592</f>
        <v>1</v>
      </c>
      <c r="J592" s="25">
        <f>Dataset1_Raw!J592</f>
        <v>0.2</v>
      </c>
      <c r="K592" s="25">
        <f>IF(ISNUMBER(INDEX(Dataset2_Raw!$B$2:$B$611,$Q592)),INDEX(Dataset2_Raw!$B$2:$B$611,$Q592),"")</f>
        <v>0.2273</v>
      </c>
      <c r="L592" s="25">
        <f>IF(ISNUMBER(INDEX(Dataset2_Raw!$C$2:$C$611,$Q592)),INDEX(Dataset2_Raw!$C$2:$C$611,$Q592),"")</f>
        <v>0.69</v>
      </c>
      <c r="M592" s="25">
        <f>IF(ISNUMBER(INDEX(Dataset2_Raw!$D$2:$D$611,$Q592)),INDEX(Dataset2_Raw!$D$2:$D$611,$Q592),"")</f>
        <v>8.9599999999999999E-2</v>
      </c>
      <c r="N592" s="23">
        <f>IF(ISNUMBER(INDEX(Dataset2_Raw!$E$2:$E$611,$Q592)),INDEX(Dataset2_Raw!$E$2:$E$611,$Q592),"")</f>
        <v>3</v>
      </c>
      <c r="O592" s="23">
        <f>IF(ISNUMBER(INDEX(Dataset2_Raw!$F$2:$F$611,$Q592)),INDEX(Dataset2_Raw!$F$2:$F$611,$Q592),"")</f>
        <v>76</v>
      </c>
      <c r="P592" s="23">
        <f>IF(ISNUMBER(INDEX(Dataset2_Raw!$G$2:$G$611,$Q592)),INDEX(Dataset2_Raw!$G$2:$G$611,$Q592),"")</f>
        <v>79</v>
      </c>
      <c r="Q592" s="23">
        <f>IFERROR(MATCH($A592,Dataset2_Raw!$A$2:$A$611,0),0)</f>
        <v>591</v>
      </c>
    </row>
    <row r="593" spans="1:17" x14ac:dyDescent="0.35">
      <c r="A593" s="23">
        <f>Dataset1_Raw!A593</f>
        <v>592</v>
      </c>
      <c r="B593" s="24">
        <f>Dataset1_Raw!B593</f>
        <v>40570</v>
      </c>
      <c r="C593" s="23">
        <f>Dataset1_Raw!C593</f>
        <v>1</v>
      </c>
      <c r="D593" s="23">
        <f>Dataset1_Raw!D593</f>
        <v>0</v>
      </c>
      <c r="E593" s="23">
        <f>Dataset1_Raw!E593</f>
        <v>1</v>
      </c>
      <c r="F593" s="23">
        <f>Dataset1_Raw!F593</f>
        <v>20</v>
      </c>
      <c r="G593" s="23" t="b">
        <f>Dataset1_Raw!G593</f>
        <v>0</v>
      </c>
      <c r="H593" s="23">
        <f>Dataset1_Raw!H593</f>
        <v>4</v>
      </c>
      <c r="I593" s="23">
        <f>Dataset1_Raw!I593</f>
        <v>1</v>
      </c>
      <c r="J593" s="25">
        <f>Dataset1_Raw!J593</f>
        <v>0.18</v>
      </c>
      <c r="K593" s="25">
        <f>IF(ISNUMBER(INDEX(Dataset2_Raw!$B$2:$B$611,$Q593)),INDEX(Dataset2_Raw!$B$2:$B$611,$Q593),"")</f>
        <v>0.21210000000000001</v>
      </c>
      <c r="L593" s="25">
        <f>IF(ISNUMBER(INDEX(Dataset2_Raw!$C$2:$C$611,$Q593)),INDEX(Dataset2_Raw!$C$2:$C$611,$Q593),"")</f>
        <v>0.74</v>
      </c>
      <c r="M593" s="25">
        <f>IF(ISNUMBER(INDEX(Dataset2_Raw!$D$2:$D$611,$Q593)),INDEX(Dataset2_Raw!$D$2:$D$611,$Q593),"")</f>
        <v>8.9599999999999999E-2</v>
      </c>
      <c r="N593" s="23">
        <f>IF(ISNUMBER(INDEX(Dataset2_Raw!$E$2:$E$611,$Q593)),INDEX(Dataset2_Raw!$E$2:$E$611,$Q593),"")</f>
        <v>4</v>
      </c>
      <c r="O593" s="23">
        <f>IF(ISNUMBER(INDEX(Dataset2_Raw!$F$2:$F$611,$Q593)),INDEX(Dataset2_Raw!$F$2:$F$611,$Q593),"")</f>
        <v>55</v>
      </c>
      <c r="P593" s="23">
        <f>IF(ISNUMBER(INDEX(Dataset2_Raw!$G$2:$G$611,$Q593)),INDEX(Dataset2_Raw!$G$2:$G$611,$Q593),"")</f>
        <v>59</v>
      </c>
      <c r="Q593" s="23">
        <f>IFERROR(MATCH($A593,Dataset2_Raw!$A$2:$A$611,0),0)</f>
        <v>592</v>
      </c>
    </row>
    <row r="594" spans="1:17" x14ac:dyDescent="0.35">
      <c r="A594" s="23">
        <f>Dataset1_Raw!A594</f>
        <v>593</v>
      </c>
      <c r="B594" s="24">
        <f>Dataset1_Raw!B594</f>
        <v>40570</v>
      </c>
      <c r="C594" s="23">
        <f>Dataset1_Raw!C594</f>
        <v>1</v>
      </c>
      <c r="D594" s="23">
        <f>Dataset1_Raw!D594</f>
        <v>0</v>
      </c>
      <c r="E594" s="23">
        <f>Dataset1_Raw!E594</f>
        <v>1</v>
      </c>
      <c r="F594" s="23">
        <f>Dataset1_Raw!F594</f>
        <v>21</v>
      </c>
      <c r="G594" s="23" t="b">
        <f>Dataset1_Raw!G594</f>
        <v>0</v>
      </c>
      <c r="H594" s="23">
        <f>Dataset1_Raw!H594</f>
        <v>4</v>
      </c>
      <c r="I594" s="23">
        <f>Dataset1_Raw!I594</f>
        <v>1</v>
      </c>
      <c r="J594" s="25">
        <f>Dataset1_Raw!J594</f>
        <v>0.18</v>
      </c>
      <c r="K594" s="25">
        <f>IF(ISNUMBER(INDEX(Dataset2_Raw!$B$2:$B$611,$Q594)),INDEX(Dataset2_Raw!$B$2:$B$611,$Q594),"")</f>
        <v>0.21210000000000001</v>
      </c>
      <c r="L594" s="25">
        <f>IF(ISNUMBER(INDEX(Dataset2_Raw!$C$2:$C$611,$Q594)),INDEX(Dataset2_Raw!$C$2:$C$611,$Q594),"")</f>
        <v>0.74</v>
      </c>
      <c r="M594" s="25">
        <f>IF(ISNUMBER(INDEX(Dataset2_Raw!$D$2:$D$611,$Q594)),INDEX(Dataset2_Raw!$D$2:$D$611,$Q594),"")</f>
        <v>8.9599999999999999E-2</v>
      </c>
      <c r="N594" s="23">
        <f>IF(ISNUMBER(INDEX(Dataset2_Raw!$E$2:$E$611,$Q594)),INDEX(Dataset2_Raw!$E$2:$E$611,$Q594),"")</f>
        <v>2</v>
      </c>
      <c r="O594" s="23">
        <f>IF(ISNUMBER(INDEX(Dataset2_Raw!$F$2:$F$611,$Q594)),INDEX(Dataset2_Raw!$F$2:$F$611,$Q594),"")</f>
        <v>36</v>
      </c>
      <c r="P594" s="23">
        <f>IF(ISNUMBER(INDEX(Dataset2_Raw!$G$2:$G$611,$Q594)),INDEX(Dataset2_Raw!$G$2:$G$611,$Q594),"")</f>
        <v>38</v>
      </c>
      <c r="Q594" s="23">
        <f>IFERROR(MATCH($A594,Dataset2_Raw!$A$2:$A$611,0),0)</f>
        <v>593</v>
      </c>
    </row>
    <row r="595" spans="1:17" x14ac:dyDescent="0.35">
      <c r="A595" s="23">
        <f>Dataset1_Raw!A595</f>
        <v>594</v>
      </c>
      <c r="B595" s="24">
        <f>Dataset1_Raw!B595</f>
        <v>40570</v>
      </c>
      <c r="C595" s="23">
        <f>Dataset1_Raw!C595</f>
        <v>1</v>
      </c>
      <c r="D595" s="23">
        <f>Dataset1_Raw!D595</f>
        <v>0</v>
      </c>
      <c r="E595" s="23">
        <f>Dataset1_Raw!E595</f>
        <v>1</v>
      </c>
      <c r="F595" s="23">
        <f>Dataset1_Raw!F595</f>
        <v>22</v>
      </c>
      <c r="G595" s="23" t="b">
        <f>Dataset1_Raw!G595</f>
        <v>0</v>
      </c>
      <c r="H595" s="23">
        <f>Dataset1_Raw!H595</f>
        <v>4</v>
      </c>
      <c r="I595" s="23">
        <f>Dataset1_Raw!I595</f>
        <v>1</v>
      </c>
      <c r="J595" s="25">
        <f>Dataset1_Raw!J595</f>
        <v>0.18</v>
      </c>
      <c r="K595" s="25">
        <f>IF(ISNUMBER(INDEX(Dataset2_Raw!$B$2:$B$611,$Q595)),INDEX(Dataset2_Raw!$B$2:$B$611,$Q595),"")</f>
        <v>0.21210000000000001</v>
      </c>
      <c r="L595" s="25">
        <f>IF(ISNUMBER(INDEX(Dataset2_Raw!$C$2:$C$611,$Q595)),INDEX(Dataset2_Raw!$C$2:$C$611,$Q595),"")</f>
        <v>0.74</v>
      </c>
      <c r="M595" s="25">
        <f>IF(ISNUMBER(INDEX(Dataset2_Raw!$D$2:$D$611,$Q595)),INDEX(Dataset2_Raw!$D$2:$D$611,$Q595),"")</f>
        <v>8.9599999999999999E-2</v>
      </c>
      <c r="N595" s="23">
        <f>IF(ISNUMBER(INDEX(Dataset2_Raw!$E$2:$E$611,$Q595)),INDEX(Dataset2_Raw!$E$2:$E$611,$Q595),"")</f>
        <v>0</v>
      </c>
      <c r="O595" s="23">
        <f>IF(ISNUMBER(INDEX(Dataset2_Raw!$F$2:$F$611,$Q595)),INDEX(Dataset2_Raw!$F$2:$F$611,$Q595),"")</f>
        <v>27</v>
      </c>
      <c r="P595" s="23">
        <f>IF(ISNUMBER(INDEX(Dataset2_Raw!$G$2:$G$611,$Q595)),INDEX(Dataset2_Raw!$G$2:$G$611,$Q595),"")</f>
        <v>27</v>
      </c>
      <c r="Q595" s="23">
        <f>IFERROR(MATCH($A595,Dataset2_Raw!$A$2:$A$611,0),0)</f>
        <v>594</v>
      </c>
    </row>
    <row r="596" spans="1:17" x14ac:dyDescent="0.35">
      <c r="A596" s="23">
        <f>Dataset1_Raw!A596</f>
        <v>595</v>
      </c>
      <c r="B596" s="24">
        <f>Dataset1_Raw!B596</f>
        <v>40570</v>
      </c>
      <c r="C596" s="23">
        <f>Dataset1_Raw!C596</f>
        <v>1</v>
      </c>
      <c r="D596" s="23">
        <f>Dataset1_Raw!D596</f>
        <v>0</v>
      </c>
      <c r="E596" s="23">
        <f>Dataset1_Raw!E596</f>
        <v>1</v>
      </c>
      <c r="F596" s="23">
        <f>Dataset1_Raw!F596</f>
        <v>23</v>
      </c>
      <c r="G596" s="23" t="b">
        <f>Dataset1_Raw!G596</f>
        <v>0</v>
      </c>
      <c r="H596" s="23">
        <f>Dataset1_Raw!H596</f>
        <v>4</v>
      </c>
      <c r="I596" s="23">
        <f>Dataset1_Raw!I596</f>
        <v>1</v>
      </c>
      <c r="J596" s="25">
        <f>Dataset1_Raw!J596</f>
        <v>0.18</v>
      </c>
      <c r="K596" s="25">
        <f>IF(ISNUMBER(INDEX(Dataset2_Raw!$B$2:$B$611,$Q596)),INDEX(Dataset2_Raw!$B$2:$B$611,$Q596),"")</f>
        <v>0.19700000000000001</v>
      </c>
      <c r="L596" s="25">
        <f>IF(ISNUMBER(INDEX(Dataset2_Raw!$C$2:$C$611,$Q596)),INDEX(Dataset2_Raw!$C$2:$C$611,$Q596),"")</f>
        <v>0.8</v>
      </c>
      <c r="M596" s="25">
        <f>IF(ISNUMBER(INDEX(Dataset2_Raw!$D$2:$D$611,$Q596)),INDEX(Dataset2_Raw!$D$2:$D$611,$Q596),"")</f>
        <v>0.16420000000000001</v>
      </c>
      <c r="N596" s="23">
        <f>IF(ISNUMBER(INDEX(Dataset2_Raw!$E$2:$E$611,$Q596)),INDEX(Dataset2_Raw!$E$2:$E$611,$Q596),"")</f>
        <v>0</v>
      </c>
      <c r="O596" s="23">
        <f>IF(ISNUMBER(INDEX(Dataset2_Raw!$F$2:$F$611,$Q596)),INDEX(Dataset2_Raw!$F$2:$F$611,$Q596),"")</f>
        <v>16</v>
      </c>
      <c r="P596" s="23">
        <f>IF(ISNUMBER(INDEX(Dataset2_Raw!$G$2:$G$611,$Q596)),INDEX(Dataset2_Raw!$G$2:$G$611,$Q596),"")</f>
        <v>16</v>
      </c>
      <c r="Q596" s="23">
        <f>IFERROR(MATCH($A596,Dataset2_Raw!$A$2:$A$611,0),0)</f>
        <v>595</v>
      </c>
    </row>
    <row r="597" spans="1:17" x14ac:dyDescent="0.35">
      <c r="A597" s="23">
        <f>Dataset1_Raw!A597</f>
        <v>596</v>
      </c>
      <c r="B597" s="24">
        <f>Dataset1_Raw!B597</f>
        <v>40571</v>
      </c>
      <c r="C597" s="23">
        <f>Dataset1_Raw!C597</f>
        <v>1</v>
      </c>
      <c r="D597" s="23">
        <f>Dataset1_Raw!D597</f>
        <v>0</v>
      </c>
      <c r="E597" s="23">
        <f>Dataset1_Raw!E597</f>
        <v>1</v>
      </c>
      <c r="F597" s="23">
        <f>Dataset1_Raw!F597</f>
        <v>0</v>
      </c>
      <c r="G597" s="23" t="b">
        <f>Dataset1_Raw!G597</f>
        <v>0</v>
      </c>
      <c r="H597" s="23">
        <f>Dataset1_Raw!H597</f>
        <v>5</v>
      </c>
      <c r="I597" s="23">
        <f>Dataset1_Raw!I597</f>
        <v>2</v>
      </c>
      <c r="J597" s="25">
        <f>Dataset1_Raw!J597</f>
        <v>0.2</v>
      </c>
      <c r="K597" s="25">
        <f>IF(ISNUMBER(INDEX(Dataset2_Raw!$B$2:$B$611,$Q597)),INDEX(Dataset2_Raw!$B$2:$B$611,$Q597),"")</f>
        <v>0.21210000000000001</v>
      </c>
      <c r="L597" s="25">
        <f>IF(ISNUMBER(INDEX(Dataset2_Raw!$C$2:$C$611,$Q597)),INDEX(Dataset2_Raw!$C$2:$C$611,$Q597),"")</f>
        <v>0.75</v>
      </c>
      <c r="M597" s="25">
        <f>IF(ISNUMBER(INDEX(Dataset2_Raw!$D$2:$D$611,$Q597)),INDEX(Dataset2_Raw!$D$2:$D$611,$Q597),"")</f>
        <v>0.1343</v>
      </c>
      <c r="N597" s="23">
        <f>IF(ISNUMBER(INDEX(Dataset2_Raw!$E$2:$E$611,$Q597)),INDEX(Dataset2_Raw!$E$2:$E$611,$Q597),"")</f>
        <v>0</v>
      </c>
      <c r="O597" s="23">
        <f>IF(ISNUMBER(INDEX(Dataset2_Raw!$F$2:$F$611,$Q597)),INDEX(Dataset2_Raw!$F$2:$F$611,$Q597),"")</f>
        <v>9</v>
      </c>
      <c r="P597" s="23">
        <f>IF(ISNUMBER(INDEX(Dataset2_Raw!$G$2:$G$611,$Q597)),INDEX(Dataset2_Raw!$G$2:$G$611,$Q597),"")</f>
        <v>9</v>
      </c>
      <c r="Q597" s="23">
        <f>IFERROR(MATCH($A597,Dataset2_Raw!$A$2:$A$611,0),0)</f>
        <v>596</v>
      </c>
    </row>
    <row r="598" spans="1:17" x14ac:dyDescent="0.35">
      <c r="A598" s="23">
        <f>Dataset1_Raw!A598</f>
        <v>597</v>
      </c>
      <c r="B598" s="24">
        <f>Dataset1_Raw!B598</f>
        <v>40571</v>
      </c>
      <c r="C598" s="23">
        <f>Dataset1_Raw!C598</f>
        <v>1</v>
      </c>
      <c r="D598" s="23">
        <f>Dataset1_Raw!D598</f>
        <v>0</v>
      </c>
      <c r="E598" s="23">
        <f>Dataset1_Raw!E598</f>
        <v>1</v>
      </c>
      <c r="F598" s="23">
        <f>Dataset1_Raw!F598</f>
        <v>1</v>
      </c>
      <c r="G598" s="23" t="b">
        <f>Dataset1_Raw!G598</f>
        <v>0</v>
      </c>
      <c r="H598" s="23">
        <f>Dataset1_Raw!H598</f>
        <v>5</v>
      </c>
      <c r="I598" s="23">
        <f>Dataset1_Raw!I598</f>
        <v>2</v>
      </c>
      <c r="J598" s="25">
        <f>Dataset1_Raw!J598</f>
        <v>0.2</v>
      </c>
      <c r="K598" s="25">
        <f>IF(ISNUMBER(INDEX(Dataset2_Raw!$B$2:$B$611,$Q598)),INDEX(Dataset2_Raw!$B$2:$B$611,$Q598),"")</f>
        <v>0.21210000000000001</v>
      </c>
      <c r="L598" s="25">
        <f>IF(ISNUMBER(INDEX(Dataset2_Raw!$C$2:$C$611,$Q598)),INDEX(Dataset2_Raw!$C$2:$C$611,$Q598),"")</f>
        <v>0.75</v>
      </c>
      <c r="M598" s="25">
        <f>IF(ISNUMBER(INDEX(Dataset2_Raw!$D$2:$D$611,$Q598)),INDEX(Dataset2_Raw!$D$2:$D$611,$Q598),"")</f>
        <v>0.1343</v>
      </c>
      <c r="N598" s="23">
        <f>IF(ISNUMBER(INDEX(Dataset2_Raw!$E$2:$E$611,$Q598)),INDEX(Dataset2_Raw!$E$2:$E$611,$Q598),"")</f>
        <v>1</v>
      </c>
      <c r="O598" s="23">
        <f>IF(ISNUMBER(INDEX(Dataset2_Raw!$F$2:$F$611,$Q598)),INDEX(Dataset2_Raw!$F$2:$F$611,$Q598),"")</f>
        <v>2</v>
      </c>
      <c r="P598" s="23">
        <f>IF(ISNUMBER(INDEX(Dataset2_Raw!$G$2:$G$611,$Q598)),INDEX(Dataset2_Raw!$G$2:$G$611,$Q598),"")</f>
        <v>3</v>
      </c>
      <c r="Q598" s="23">
        <f>IFERROR(MATCH($A598,Dataset2_Raw!$A$2:$A$611,0),0)</f>
        <v>597</v>
      </c>
    </row>
    <row r="599" spans="1:17" x14ac:dyDescent="0.35">
      <c r="A599" s="23">
        <f>Dataset1_Raw!A599</f>
        <v>598</v>
      </c>
      <c r="B599" s="24">
        <f>Dataset1_Raw!B599</f>
        <v>40571</v>
      </c>
      <c r="C599" s="23">
        <f>Dataset1_Raw!C599</f>
        <v>1</v>
      </c>
      <c r="D599" s="23">
        <f>Dataset1_Raw!D599</f>
        <v>0</v>
      </c>
      <c r="E599" s="23">
        <f>Dataset1_Raw!E599</f>
        <v>1</v>
      </c>
      <c r="F599" s="23">
        <f>Dataset1_Raw!F599</f>
        <v>2</v>
      </c>
      <c r="G599" s="23" t="b">
        <f>Dataset1_Raw!G599</f>
        <v>0</v>
      </c>
      <c r="H599" s="23">
        <f>Dataset1_Raw!H599</f>
        <v>5</v>
      </c>
      <c r="I599" s="23">
        <f>Dataset1_Raw!I599</f>
        <v>2</v>
      </c>
      <c r="J599" s="25">
        <f>Dataset1_Raw!J599</f>
        <v>0.2</v>
      </c>
      <c r="K599" s="25">
        <f>IF(ISNUMBER(INDEX(Dataset2_Raw!$B$2:$B$611,$Q599)),INDEX(Dataset2_Raw!$B$2:$B$611,$Q599),"")</f>
        <v>0.21210000000000001</v>
      </c>
      <c r="L599" s="25">
        <f>IF(ISNUMBER(INDEX(Dataset2_Raw!$C$2:$C$611,$Q599)),INDEX(Dataset2_Raw!$C$2:$C$611,$Q599),"")</f>
        <v>0.75</v>
      </c>
      <c r="M599" s="25">
        <f>IF(ISNUMBER(INDEX(Dataset2_Raw!$D$2:$D$611,$Q599)),INDEX(Dataset2_Raw!$D$2:$D$611,$Q599),"")</f>
        <v>0.16420000000000001</v>
      </c>
      <c r="N599" s="23">
        <f>IF(ISNUMBER(INDEX(Dataset2_Raw!$E$2:$E$611,$Q599)),INDEX(Dataset2_Raw!$E$2:$E$611,$Q599),"")</f>
        <v>0</v>
      </c>
      <c r="O599" s="23">
        <f>IF(ISNUMBER(INDEX(Dataset2_Raw!$F$2:$F$611,$Q599)),INDEX(Dataset2_Raw!$F$2:$F$611,$Q599),"")</f>
        <v>2</v>
      </c>
      <c r="P599" s="23">
        <f>IF(ISNUMBER(INDEX(Dataset2_Raw!$G$2:$G$611,$Q599)),INDEX(Dataset2_Raw!$G$2:$G$611,$Q599),"")</f>
        <v>2</v>
      </c>
      <c r="Q599" s="23">
        <f>IFERROR(MATCH($A599,Dataset2_Raw!$A$2:$A$611,0),0)</f>
        <v>598</v>
      </c>
    </row>
    <row r="600" spans="1:17" x14ac:dyDescent="0.35">
      <c r="A600" s="23">
        <f>Dataset1_Raw!A600</f>
        <v>599</v>
      </c>
      <c r="B600" s="24">
        <f>Dataset1_Raw!B600</f>
        <v>40571</v>
      </c>
      <c r="C600" s="23">
        <f>Dataset1_Raw!C600</f>
        <v>1</v>
      </c>
      <c r="D600" s="23">
        <f>Dataset1_Raw!D600</f>
        <v>0</v>
      </c>
      <c r="E600" s="23">
        <f>Dataset1_Raw!E600</f>
        <v>1</v>
      </c>
      <c r="F600" s="23">
        <f>Dataset1_Raw!F600</f>
        <v>3</v>
      </c>
      <c r="G600" s="23" t="b">
        <f>Dataset1_Raw!G600</f>
        <v>0</v>
      </c>
      <c r="H600" s="23">
        <f>Dataset1_Raw!H600</f>
        <v>5</v>
      </c>
      <c r="I600" s="23">
        <f>Dataset1_Raw!I600</f>
        <v>2</v>
      </c>
      <c r="J600" s="25">
        <f>Dataset1_Raw!J600</f>
        <v>0.2</v>
      </c>
      <c r="K600" s="25">
        <f>IF(ISNUMBER(INDEX(Dataset2_Raw!$B$2:$B$611,$Q600)),INDEX(Dataset2_Raw!$B$2:$B$611,$Q600),"")</f>
        <v>0.2273</v>
      </c>
      <c r="L600" s="25">
        <f>IF(ISNUMBER(INDEX(Dataset2_Raw!$C$2:$C$611,$Q600)),INDEX(Dataset2_Raw!$C$2:$C$611,$Q600),"")</f>
        <v>0.75</v>
      </c>
      <c r="M600" s="25">
        <f>IF(ISNUMBER(INDEX(Dataset2_Raw!$D$2:$D$611,$Q600)),INDEX(Dataset2_Raw!$D$2:$D$611,$Q600),"")</f>
        <v>0.1045</v>
      </c>
      <c r="N600" s="23">
        <f>IF(ISNUMBER(INDEX(Dataset2_Raw!$E$2:$E$611,$Q600)),INDEX(Dataset2_Raw!$E$2:$E$611,$Q600),"")</f>
        <v>1</v>
      </c>
      <c r="O600" s="23">
        <f>IF(ISNUMBER(INDEX(Dataset2_Raw!$F$2:$F$611,$Q600)),INDEX(Dataset2_Raw!$F$2:$F$611,$Q600),"")</f>
        <v>0</v>
      </c>
      <c r="P600" s="23">
        <f>IF(ISNUMBER(INDEX(Dataset2_Raw!$G$2:$G$611,$Q600)),INDEX(Dataset2_Raw!$G$2:$G$611,$Q600),"")</f>
        <v>1</v>
      </c>
      <c r="Q600" s="23">
        <f>IFERROR(MATCH($A600,Dataset2_Raw!$A$2:$A$611,0),0)</f>
        <v>599</v>
      </c>
    </row>
    <row r="601" spans="1:17" x14ac:dyDescent="0.35">
      <c r="A601" s="23">
        <f>Dataset1_Raw!A601</f>
        <v>600</v>
      </c>
      <c r="B601" s="24">
        <f>Dataset1_Raw!B601</f>
        <v>40571</v>
      </c>
      <c r="C601" s="23">
        <f>Dataset1_Raw!C601</f>
        <v>1</v>
      </c>
      <c r="D601" s="23">
        <f>Dataset1_Raw!D601</f>
        <v>0</v>
      </c>
      <c r="E601" s="23">
        <f>Dataset1_Raw!E601</f>
        <v>1</v>
      </c>
      <c r="F601" s="23">
        <f>Dataset1_Raw!F601</f>
        <v>5</v>
      </c>
      <c r="G601" s="23" t="b">
        <f>Dataset1_Raw!G601</f>
        <v>0</v>
      </c>
      <c r="H601" s="23">
        <f>Dataset1_Raw!H601</f>
        <v>5</v>
      </c>
      <c r="I601" s="23">
        <f>Dataset1_Raw!I601</f>
        <v>2</v>
      </c>
      <c r="J601" s="25">
        <f>Dataset1_Raw!J601</f>
        <v>0.18</v>
      </c>
      <c r="K601" s="25">
        <f>IF(ISNUMBER(INDEX(Dataset2_Raw!$B$2:$B$611,$Q601)),INDEX(Dataset2_Raw!$B$2:$B$611,$Q601),"")</f>
        <v>0.21210000000000001</v>
      </c>
      <c r="L601" s="25">
        <f>IF(ISNUMBER(INDEX(Dataset2_Raw!$C$2:$C$611,$Q601)),INDEX(Dataset2_Raw!$C$2:$C$611,$Q601),"")</f>
        <v>0.8</v>
      </c>
      <c r="M601" s="25">
        <f>IF(ISNUMBER(INDEX(Dataset2_Raw!$D$2:$D$611,$Q601)),INDEX(Dataset2_Raw!$D$2:$D$611,$Q601),"")</f>
        <v>0.1045</v>
      </c>
      <c r="N601" s="23">
        <f>IF(ISNUMBER(INDEX(Dataset2_Raw!$E$2:$E$611,$Q601)),INDEX(Dataset2_Raw!$E$2:$E$611,$Q601),"")</f>
        <v>0</v>
      </c>
      <c r="O601" s="23">
        <f>IF(ISNUMBER(INDEX(Dataset2_Raw!$F$2:$F$611,$Q601)),INDEX(Dataset2_Raw!$F$2:$F$611,$Q601),"")</f>
        <v>4</v>
      </c>
      <c r="P601" s="23">
        <f>IF(ISNUMBER(INDEX(Dataset2_Raw!$G$2:$G$611,$Q601)),INDEX(Dataset2_Raw!$G$2:$G$611,$Q601),"")</f>
        <v>4</v>
      </c>
      <c r="Q601" s="23">
        <f>IFERROR(MATCH($A601,Dataset2_Raw!$A$2:$A$611,0),0)</f>
        <v>600</v>
      </c>
    </row>
    <row r="602" spans="1:17" x14ac:dyDescent="0.35">
      <c r="A602" s="23">
        <f>Dataset1_Raw!A602</f>
        <v>601</v>
      </c>
      <c r="B602" s="24">
        <f>Dataset1_Raw!B602</f>
        <v>40571</v>
      </c>
      <c r="C602" s="23">
        <f>Dataset1_Raw!C602</f>
        <v>1</v>
      </c>
      <c r="D602" s="23">
        <f>Dataset1_Raw!D602</f>
        <v>0</v>
      </c>
      <c r="E602" s="23">
        <f>Dataset1_Raw!E602</f>
        <v>1</v>
      </c>
      <c r="F602" s="23">
        <f>Dataset1_Raw!F602</f>
        <v>6</v>
      </c>
      <c r="G602" s="23" t="b">
        <f>Dataset1_Raw!G602</f>
        <v>0</v>
      </c>
      <c r="H602" s="23">
        <f>Dataset1_Raw!H602</f>
        <v>5</v>
      </c>
      <c r="I602" s="23">
        <f>Dataset1_Raw!I602</f>
        <v>2</v>
      </c>
      <c r="J602" s="25">
        <f>Dataset1_Raw!J602</f>
        <v>0.18</v>
      </c>
      <c r="K602" s="25">
        <f>IF(ISNUMBER(INDEX(Dataset2_Raw!$B$2:$B$611,$Q602)),INDEX(Dataset2_Raw!$B$2:$B$611,$Q602),"")</f>
        <v>0.19700000000000001</v>
      </c>
      <c r="L602" s="25">
        <f>IF(ISNUMBER(INDEX(Dataset2_Raw!$C$2:$C$611,$Q602)),INDEX(Dataset2_Raw!$C$2:$C$611,$Q602),"")</f>
        <v>0.8</v>
      </c>
      <c r="M602" s="25">
        <f>IF(ISNUMBER(INDEX(Dataset2_Raw!$D$2:$D$611,$Q602)),INDEX(Dataset2_Raw!$D$2:$D$611,$Q602),"")</f>
        <v>0.1343</v>
      </c>
      <c r="N602" s="23">
        <f>IF(ISNUMBER(INDEX(Dataset2_Raw!$E$2:$E$611,$Q602)),INDEX(Dataset2_Raw!$E$2:$E$611,$Q602),"")</f>
        <v>0</v>
      </c>
      <c r="O602" s="23">
        <f>IF(ISNUMBER(INDEX(Dataset2_Raw!$F$2:$F$611,$Q602)),INDEX(Dataset2_Raw!$F$2:$F$611,$Q602),"")</f>
        <v>16</v>
      </c>
      <c r="P602" s="23">
        <f>IF(ISNUMBER(INDEX(Dataset2_Raw!$G$2:$G$611,$Q602)),INDEX(Dataset2_Raw!$G$2:$G$611,$Q602),"")</f>
        <v>16</v>
      </c>
      <c r="Q602" s="23">
        <f>IFERROR(MATCH($A602,Dataset2_Raw!$A$2:$A$611,0),0)</f>
        <v>601</v>
      </c>
    </row>
    <row r="603" spans="1:17" x14ac:dyDescent="0.35">
      <c r="A603" s="23">
        <f>Dataset1_Raw!A603</f>
        <v>602</v>
      </c>
      <c r="B603" s="24">
        <f>Dataset1_Raw!B603</f>
        <v>40571</v>
      </c>
      <c r="C603" s="23">
        <f>Dataset1_Raw!C603</f>
        <v>1</v>
      </c>
      <c r="D603" s="23">
        <f>Dataset1_Raw!D603</f>
        <v>0</v>
      </c>
      <c r="E603" s="23">
        <f>Dataset1_Raw!E603</f>
        <v>1</v>
      </c>
      <c r="F603" s="23">
        <f>Dataset1_Raw!F603</f>
        <v>7</v>
      </c>
      <c r="G603" s="23" t="b">
        <f>Dataset1_Raw!G603</f>
        <v>0</v>
      </c>
      <c r="H603" s="23">
        <f>Dataset1_Raw!H603</f>
        <v>5</v>
      </c>
      <c r="I603" s="23">
        <f>Dataset1_Raw!I603</f>
        <v>2</v>
      </c>
      <c r="J603" s="25">
        <f>Dataset1_Raw!J603</f>
        <v>0.16</v>
      </c>
      <c r="K603" s="25">
        <f>IF(ISNUMBER(INDEX(Dataset2_Raw!$B$2:$B$611,$Q603)),INDEX(Dataset2_Raw!$B$2:$B$611,$Q603),"")</f>
        <v>0.19700000000000001</v>
      </c>
      <c r="L603" s="25">
        <f>IF(ISNUMBER(INDEX(Dataset2_Raw!$C$2:$C$611,$Q603)),INDEX(Dataset2_Raw!$C$2:$C$611,$Q603),"")</f>
        <v>0.86</v>
      </c>
      <c r="M603" s="25">
        <f>IF(ISNUMBER(INDEX(Dataset2_Raw!$D$2:$D$611,$Q603)),INDEX(Dataset2_Raw!$D$2:$D$611,$Q603),"")</f>
        <v>8.9599999999999999E-2</v>
      </c>
      <c r="N603" s="23">
        <f>IF(ISNUMBER(INDEX(Dataset2_Raw!$E$2:$E$611,$Q603)),INDEX(Dataset2_Raw!$E$2:$E$611,$Q603),"")</f>
        <v>2</v>
      </c>
      <c r="O603" s="23">
        <f>IF(ISNUMBER(INDEX(Dataset2_Raw!$F$2:$F$611,$Q603)),INDEX(Dataset2_Raw!$F$2:$F$611,$Q603),"")</f>
        <v>58</v>
      </c>
      <c r="P603" s="23">
        <f>IF(ISNUMBER(INDEX(Dataset2_Raw!$G$2:$G$611,$Q603)),INDEX(Dataset2_Raw!$G$2:$G$611,$Q603),"")</f>
        <v>60</v>
      </c>
      <c r="Q603" s="23">
        <f>IFERROR(MATCH($A603,Dataset2_Raw!$A$2:$A$611,0),0)</f>
        <v>602</v>
      </c>
    </row>
    <row r="604" spans="1:17" x14ac:dyDescent="0.35">
      <c r="A604" s="23">
        <f>Dataset1_Raw!A604</f>
        <v>603</v>
      </c>
      <c r="B604" s="24">
        <f>Dataset1_Raw!B604</f>
        <v>40571</v>
      </c>
      <c r="C604" s="23">
        <f>Dataset1_Raw!C604</f>
        <v>1</v>
      </c>
      <c r="D604" s="23">
        <f>Dataset1_Raw!D604</f>
        <v>0</v>
      </c>
      <c r="E604" s="23">
        <f>Dataset1_Raw!E604</f>
        <v>1</v>
      </c>
      <c r="F604" s="23">
        <f>Dataset1_Raw!F604</f>
        <v>8</v>
      </c>
      <c r="G604" s="23" t="b">
        <f>Dataset1_Raw!G604</f>
        <v>0</v>
      </c>
      <c r="H604" s="23">
        <f>Dataset1_Raw!H604</f>
        <v>5</v>
      </c>
      <c r="I604" s="23">
        <f>Dataset1_Raw!I604</f>
        <v>2</v>
      </c>
      <c r="J604" s="25">
        <f>Dataset1_Raw!J604</f>
        <v>0.16</v>
      </c>
      <c r="K604" s="25">
        <f>IF(ISNUMBER(INDEX(Dataset2_Raw!$B$2:$B$611,$Q604)),INDEX(Dataset2_Raw!$B$2:$B$611,$Q604),"")</f>
        <v>0.19700000000000001</v>
      </c>
      <c r="L604" s="25">
        <f>IF(ISNUMBER(INDEX(Dataset2_Raw!$C$2:$C$611,$Q604)),INDEX(Dataset2_Raw!$C$2:$C$611,$Q604),"")</f>
        <v>0.86</v>
      </c>
      <c r="M604" s="25">
        <f>IF(ISNUMBER(INDEX(Dataset2_Raw!$D$2:$D$611,$Q604)),INDEX(Dataset2_Raw!$D$2:$D$611,$Q604),"")</f>
        <v>8.9599999999999999E-2</v>
      </c>
      <c r="N604" s="23">
        <f>IF(ISNUMBER(INDEX(Dataset2_Raw!$E$2:$E$611,$Q604)),INDEX(Dataset2_Raw!$E$2:$E$611,$Q604),"")</f>
        <v>2</v>
      </c>
      <c r="O604" s="23">
        <f>IF(ISNUMBER(INDEX(Dataset2_Raw!$F$2:$F$611,$Q604)),INDEX(Dataset2_Raw!$F$2:$F$611,$Q604),"")</f>
        <v>155</v>
      </c>
      <c r="P604" s="23">
        <f>IF(ISNUMBER(INDEX(Dataset2_Raw!$G$2:$G$611,$Q604)),INDEX(Dataset2_Raw!$G$2:$G$611,$Q604),"")</f>
        <v>157</v>
      </c>
      <c r="Q604" s="23">
        <f>IFERROR(MATCH($A604,Dataset2_Raw!$A$2:$A$611,0),0)</f>
        <v>603</v>
      </c>
    </row>
    <row r="605" spans="1:17" x14ac:dyDescent="0.35">
      <c r="A605" s="23">
        <f>Dataset1_Raw!A605</f>
        <v>604</v>
      </c>
      <c r="B605" s="24">
        <f>Dataset1_Raw!B605</f>
        <v>40571</v>
      </c>
      <c r="C605" s="23">
        <f>Dataset1_Raw!C605</f>
        <v>1</v>
      </c>
      <c r="D605" s="23">
        <f>Dataset1_Raw!D605</f>
        <v>0</v>
      </c>
      <c r="E605" s="23">
        <f>Dataset1_Raw!E605</f>
        <v>1</v>
      </c>
      <c r="F605" s="23">
        <f>Dataset1_Raw!F605</f>
        <v>9</v>
      </c>
      <c r="G605" s="23" t="b">
        <f>Dataset1_Raw!G605</f>
        <v>0</v>
      </c>
      <c r="H605" s="23">
        <f>Dataset1_Raw!H605</f>
        <v>5</v>
      </c>
      <c r="I605" s="23">
        <f>Dataset1_Raw!I605</f>
        <v>3</v>
      </c>
      <c r="J605" s="25">
        <f>Dataset1_Raw!J605</f>
        <v>0.18</v>
      </c>
      <c r="K605" s="25">
        <f>IF(ISNUMBER(INDEX(Dataset2_Raw!$B$2:$B$611,$Q605)),INDEX(Dataset2_Raw!$B$2:$B$611,$Q605),"")</f>
        <v>0.21210000000000001</v>
      </c>
      <c r="L605" s="25">
        <f>IF(ISNUMBER(INDEX(Dataset2_Raw!$C$2:$C$611,$Q605)),INDEX(Dataset2_Raw!$C$2:$C$611,$Q605),"")</f>
        <v>0.86</v>
      </c>
      <c r="M605" s="25">
        <f>IF(ISNUMBER(INDEX(Dataset2_Raw!$D$2:$D$611,$Q605)),INDEX(Dataset2_Raw!$D$2:$D$611,$Q605),"")</f>
        <v>8.9599999999999999E-2</v>
      </c>
      <c r="N605" s="23">
        <f>IF(ISNUMBER(INDEX(Dataset2_Raw!$E$2:$E$611,$Q605)),INDEX(Dataset2_Raw!$E$2:$E$611,$Q605),"")</f>
        <v>6</v>
      </c>
      <c r="O605" s="23">
        <f>IF(ISNUMBER(INDEX(Dataset2_Raw!$F$2:$F$611,$Q605)),INDEX(Dataset2_Raw!$F$2:$F$611,$Q605),"")</f>
        <v>95</v>
      </c>
      <c r="P605" s="23">
        <f>IF(ISNUMBER(INDEX(Dataset2_Raw!$G$2:$G$611,$Q605)),INDEX(Dataset2_Raw!$G$2:$G$611,$Q605),"")</f>
        <v>101</v>
      </c>
      <c r="Q605" s="23">
        <f>IFERROR(MATCH($A605,Dataset2_Raw!$A$2:$A$611,0),0)</f>
        <v>604</v>
      </c>
    </row>
    <row r="606" spans="1:17" x14ac:dyDescent="0.35">
      <c r="A606" s="23">
        <f>Dataset1_Raw!A606</f>
        <v>605</v>
      </c>
      <c r="B606" s="24">
        <f>Dataset1_Raw!B606</f>
        <v>40571</v>
      </c>
      <c r="C606" s="23">
        <f>Dataset1_Raw!C606</f>
        <v>1</v>
      </c>
      <c r="D606" s="23">
        <f>Dataset1_Raw!D606</f>
        <v>0</v>
      </c>
      <c r="E606" s="23">
        <f>Dataset1_Raw!E606</f>
        <v>1</v>
      </c>
      <c r="F606" s="23">
        <f>Dataset1_Raw!F606</f>
        <v>10</v>
      </c>
      <c r="G606" s="23" t="b">
        <f>Dataset1_Raw!G606</f>
        <v>0</v>
      </c>
      <c r="H606" s="23">
        <f>Dataset1_Raw!H606</f>
        <v>5</v>
      </c>
      <c r="I606" s="23">
        <f>Dataset1_Raw!I606</f>
        <v>3</v>
      </c>
      <c r="J606" s="25">
        <f>Dataset1_Raw!J606</f>
        <v>0.18</v>
      </c>
      <c r="K606" s="25">
        <f>IF(ISNUMBER(INDEX(Dataset2_Raw!$B$2:$B$611,$Q606)),INDEX(Dataset2_Raw!$B$2:$B$611,$Q606),"")</f>
        <v>0.21210000000000001</v>
      </c>
      <c r="L606" s="25">
        <f>IF(ISNUMBER(INDEX(Dataset2_Raw!$C$2:$C$611,$Q606)),INDEX(Dataset2_Raw!$C$2:$C$611,$Q606),"")</f>
        <v>0.86</v>
      </c>
      <c r="M606" s="25">
        <f>IF(ISNUMBER(INDEX(Dataset2_Raw!$D$2:$D$611,$Q606)),INDEX(Dataset2_Raw!$D$2:$D$611,$Q606),"")</f>
        <v>0.1045</v>
      </c>
      <c r="N606" s="23">
        <f>IF(ISNUMBER(INDEX(Dataset2_Raw!$E$2:$E$611,$Q606)),INDEX(Dataset2_Raw!$E$2:$E$611,$Q606),"")</f>
        <v>0</v>
      </c>
      <c r="O606" s="23">
        <f>IF(ISNUMBER(INDEX(Dataset2_Raw!$F$2:$F$611,$Q606)),INDEX(Dataset2_Raw!$F$2:$F$611,$Q606),"")</f>
        <v>49</v>
      </c>
      <c r="P606" s="23">
        <f>IF(ISNUMBER(INDEX(Dataset2_Raw!$G$2:$G$611,$Q606)),INDEX(Dataset2_Raw!$G$2:$G$611,$Q606),"")</f>
        <v>49</v>
      </c>
      <c r="Q606" s="23">
        <f>IFERROR(MATCH($A606,Dataset2_Raw!$A$2:$A$611,0),0)</f>
        <v>605</v>
      </c>
    </row>
    <row r="607" spans="1:17" x14ac:dyDescent="0.35">
      <c r="A607" s="23">
        <f>Dataset1_Raw!A607</f>
        <v>606</v>
      </c>
      <c r="B607" s="24">
        <f>Dataset1_Raw!B607</f>
        <v>40571</v>
      </c>
      <c r="C607" s="23">
        <f>Dataset1_Raw!C607</f>
        <v>1</v>
      </c>
      <c r="D607" s="23">
        <f>Dataset1_Raw!D607</f>
        <v>0</v>
      </c>
      <c r="E607" s="23">
        <f>Dataset1_Raw!E607</f>
        <v>1</v>
      </c>
      <c r="F607" s="23">
        <f>Dataset1_Raw!F607</f>
        <v>11</v>
      </c>
      <c r="G607" s="23" t="b">
        <f>Dataset1_Raw!G607</f>
        <v>0</v>
      </c>
      <c r="H607" s="23">
        <f>Dataset1_Raw!H607</f>
        <v>5</v>
      </c>
      <c r="I607" s="23">
        <f>Dataset1_Raw!I607</f>
        <v>3</v>
      </c>
      <c r="J607" s="25">
        <f>Dataset1_Raw!J607</f>
        <v>0.18</v>
      </c>
      <c r="K607" s="25">
        <f>IF(ISNUMBER(INDEX(Dataset2_Raw!$B$2:$B$611,$Q607)),INDEX(Dataset2_Raw!$B$2:$B$611,$Q607),"")</f>
        <v>0.21210000000000001</v>
      </c>
      <c r="L607" s="25">
        <f>IF(ISNUMBER(INDEX(Dataset2_Raw!$C$2:$C$611,$Q607)),INDEX(Dataset2_Raw!$C$2:$C$611,$Q607),"")</f>
        <v>0.93</v>
      </c>
      <c r="M607" s="25">
        <f>IF(ISNUMBER(INDEX(Dataset2_Raw!$D$2:$D$611,$Q607)),INDEX(Dataset2_Raw!$D$2:$D$611,$Q607),"")</f>
        <v>0.1045</v>
      </c>
      <c r="N607" s="23">
        <f>IF(ISNUMBER(INDEX(Dataset2_Raw!$E$2:$E$611,$Q607)),INDEX(Dataset2_Raw!$E$2:$E$611,$Q607),"")</f>
        <v>0</v>
      </c>
      <c r="O607" s="23">
        <f>IF(ISNUMBER(INDEX(Dataset2_Raw!$F$2:$F$611,$Q607)),INDEX(Dataset2_Raw!$F$2:$F$611,$Q607),"")</f>
        <v>30</v>
      </c>
      <c r="P607" s="23">
        <f>IF(ISNUMBER(INDEX(Dataset2_Raw!$G$2:$G$611,$Q607)),INDEX(Dataset2_Raw!$G$2:$G$611,$Q607),"")</f>
        <v>30</v>
      </c>
      <c r="Q607" s="23">
        <f>IFERROR(MATCH($A607,Dataset2_Raw!$A$2:$A$611,0),0)</f>
        <v>606</v>
      </c>
    </row>
    <row r="608" spans="1:17" x14ac:dyDescent="0.35">
      <c r="A608" s="23">
        <f>Dataset1_Raw!A608</f>
        <v>607</v>
      </c>
      <c r="B608" s="24">
        <f>Dataset1_Raw!B608</f>
        <v>40571</v>
      </c>
      <c r="C608" s="23">
        <f>Dataset1_Raw!C608</f>
        <v>1</v>
      </c>
      <c r="D608" s="23">
        <f>Dataset1_Raw!D608</f>
        <v>0</v>
      </c>
      <c r="E608" s="23">
        <f>Dataset1_Raw!E608</f>
        <v>1</v>
      </c>
      <c r="F608" s="23">
        <f>Dataset1_Raw!F608</f>
        <v>12</v>
      </c>
      <c r="G608" s="23" t="b">
        <f>Dataset1_Raw!G608</f>
        <v>0</v>
      </c>
      <c r="H608" s="23">
        <f>Dataset1_Raw!H608</f>
        <v>5</v>
      </c>
      <c r="I608" s="23">
        <f>Dataset1_Raw!I608</f>
        <v>3</v>
      </c>
      <c r="J608" s="25">
        <f>Dataset1_Raw!J608</f>
        <v>0.18</v>
      </c>
      <c r="K608" s="25">
        <f>IF(ISNUMBER(INDEX(Dataset2_Raw!$B$2:$B$611,$Q608)),INDEX(Dataset2_Raw!$B$2:$B$611,$Q608),"")</f>
        <v>0.21210000000000001</v>
      </c>
      <c r="L608" s="25">
        <f>IF(ISNUMBER(INDEX(Dataset2_Raw!$C$2:$C$611,$Q608)),INDEX(Dataset2_Raw!$C$2:$C$611,$Q608),"")</f>
        <v>0.93</v>
      </c>
      <c r="M608" s="25">
        <f>IF(ISNUMBER(INDEX(Dataset2_Raw!$D$2:$D$611,$Q608)),INDEX(Dataset2_Raw!$D$2:$D$611,$Q608),"")</f>
        <v>0.1045</v>
      </c>
      <c r="N608" s="23">
        <f>IF(ISNUMBER(INDEX(Dataset2_Raw!$E$2:$E$611,$Q608)),INDEX(Dataset2_Raw!$E$2:$E$611,$Q608),"")</f>
        <v>1</v>
      </c>
      <c r="O608" s="23">
        <f>IF(ISNUMBER(INDEX(Dataset2_Raw!$F$2:$F$611,$Q608)),INDEX(Dataset2_Raw!$F$2:$F$611,$Q608),"")</f>
        <v>28</v>
      </c>
      <c r="P608" s="23">
        <f>IF(ISNUMBER(INDEX(Dataset2_Raw!$G$2:$G$611,$Q608)),INDEX(Dataset2_Raw!$G$2:$G$611,$Q608),"")</f>
        <v>29</v>
      </c>
      <c r="Q608" s="23">
        <f>IFERROR(MATCH($A608,Dataset2_Raw!$A$2:$A$611,0),0)</f>
        <v>607</v>
      </c>
    </row>
    <row r="609" spans="1:17" x14ac:dyDescent="0.35">
      <c r="A609" s="23">
        <f>Dataset1_Raw!A609</f>
        <v>608</v>
      </c>
      <c r="B609" s="24">
        <f>Dataset1_Raw!B609</f>
        <v>40571</v>
      </c>
      <c r="C609" s="23">
        <f>Dataset1_Raw!C609</f>
        <v>1</v>
      </c>
      <c r="D609" s="23">
        <f>Dataset1_Raw!D609</f>
        <v>0</v>
      </c>
      <c r="E609" s="23">
        <f>Dataset1_Raw!E609</f>
        <v>1</v>
      </c>
      <c r="F609" s="23">
        <f>Dataset1_Raw!F609</f>
        <v>13</v>
      </c>
      <c r="G609" s="23" t="b">
        <f>Dataset1_Raw!G609</f>
        <v>0</v>
      </c>
      <c r="H609" s="23">
        <f>Dataset1_Raw!H609</f>
        <v>5</v>
      </c>
      <c r="I609" s="23">
        <f>Dataset1_Raw!I609</f>
        <v>3</v>
      </c>
      <c r="J609" s="25">
        <f>Dataset1_Raw!J609</f>
        <v>0.18</v>
      </c>
      <c r="K609" s="25">
        <f>IF(ISNUMBER(INDEX(Dataset2_Raw!$B$2:$B$611,$Q609)),INDEX(Dataset2_Raw!$B$2:$B$611,$Q609),"")</f>
        <v>0.21210000000000001</v>
      </c>
      <c r="L609" s="25">
        <f>IF(ISNUMBER(INDEX(Dataset2_Raw!$C$2:$C$611,$Q609)),INDEX(Dataset2_Raw!$C$2:$C$611,$Q609),"")</f>
        <v>0.93</v>
      </c>
      <c r="M609" s="25">
        <f>IF(ISNUMBER(INDEX(Dataset2_Raw!$D$2:$D$611,$Q609)),INDEX(Dataset2_Raw!$D$2:$D$611,$Q609),"")</f>
        <v>0.1045</v>
      </c>
      <c r="N609" s="23">
        <f>IF(ISNUMBER(INDEX(Dataset2_Raw!$E$2:$E$611,$Q609)),INDEX(Dataset2_Raw!$E$2:$E$611,$Q609),"")</f>
        <v>0</v>
      </c>
      <c r="O609" s="23">
        <f>IF(ISNUMBER(INDEX(Dataset2_Raw!$F$2:$F$611,$Q609)),INDEX(Dataset2_Raw!$F$2:$F$611,$Q609),"")</f>
        <v>31</v>
      </c>
      <c r="P609" s="23">
        <f>IF(ISNUMBER(INDEX(Dataset2_Raw!$G$2:$G$611,$Q609)),INDEX(Dataset2_Raw!$G$2:$G$611,$Q609),"")</f>
        <v>31</v>
      </c>
      <c r="Q609" s="23">
        <f>IFERROR(MATCH($A609,Dataset2_Raw!$A$2:$A$611,0),0)</f>
        <v>608</v>
      </c>
    </row>
    <row r="610" spans="1:17" x14ac:dyDescent="0.35">
      <c r="A610" s="23">
        <f>Dataset1_Raw!A610</f>
        <v>609</v>
      </c>
      <c r="B610" s="24">
        <f>Dataset1_Raw!B610</f>
        <v>40571</v>
      </c>
      <c r="C610" s="23">
        <f>Dataset1_Raw!C610</f>
        <v>1</v>
      </c>
      <c r="D610" s="23">
        <f>Dataset1_Raw!D610</f>
        <v>0</v>
      </c>
      <c r="E610" s="23">
        <f>Dataset1_Raw!E610</f>
        <v>1</v>
      </c>
      <c r="F610" s="23">
        <f>Dataset1_Raw!F610</f>
        <v>14</v>
      </c>
      <c r="G610" s="23" t="b">
        <f>Dataset1_Raw!G610</f>
        <v>0</v>
      </c>
      <c r="H610" s="23">
        <f>Dataset1_Raw!H610</f>
        <v>5</v>
      </c>
      <c r="I610" s="23">
        <f>Dataset1_Raw!I610</f>
        <v>3</v>
      </c>
      <c r="J610" s="25">
        <f>Dataset1_Raw!J610</f>
        <v>0.22</v>
      </c>
      <c r="K610" s="25">
        <f>IF(ISNUMBER(INDEX(Dataset2_Raw!$B$2:$B$611,$Q610)),INDEX(Dataset2_Raw!$B$2:$B$611,$Q610),"")</f>
        <v>0.2727</v>
      </c>
      <c r="L610" s="25">
        <f>IF(ISNUMBER(INDEX(Dataset2_Raw!$C$2:$C$611,$Q610)),INDEX(Dataset2_Raw!$C$2:$C$611,$Q610),"")</f>
        <v>0.8</v>
      </c>
      <c r="M610" s="25">
        <f>IF(ISNUMBER(INDEX(Dataset2_Raw!$D$2:$D$611,$Q610)),INDEX(Dataset2_Raw!$D$2:$D$611,$Q610),"")</f>
        <v>0</v>
      </c>
      <c r="N610" s="23">
        <f>IF(ISNUMBER(INDEX(Dataset2_Raw!$E$2:$E$611,$Q610)),INDEX(Dataset2_Raw!$E$2:$E$611,$Q610),"")</f>
        <v>2</v>
      </c>
      <c r="O610" s="23">
        <f>IF(ISNUMBER(INDEX(Dataset2_Raw!$F$2:$F$611,$Q610)),INDEX(Dataset2_Raw!$F$2:$F$611,$Q610),"")</f>
        <v>36</v>
      </c>
      <c r="P610" s="23">
        <f>IF(ISNUMBER(INDEX(Dataset2_Raw!$G$2:$G$611,$Q610)),INDEX(Dataset2_Raw!$G$2:$G$611,$Q610),"")</f>
        <v>38</v>
      </c>
      <c r="Q610" s="23">
        <f>IFERROR(MATCH($A610,Dataset2_Raw!$A$2:$A$611,0),0)</f>
        <v>609</v>
      </c>
    </row>
    <row r="611" spans="1:17" x14ac:dyDescent="0.35">
      <c r="A611" s="23">
        <f>Dataset1_Raw!A611</f>
        <v>610</v>
      </c>
      <c r="B611" s="24">
        <f>Dataset1_Raw!B611</f>
        <v>40571</v>
      </c>
      <c r="C611" s="23">
        <f>Dataset1_Raw!C611</f>
        <v>1</v>
      </c>
      <c r="D611" s="23">
        <f>Dataset1_Raw!D611</f>
        <v>0</v>
      </c>
      <c r="E611" s="23">
        <f>Dataset1_Raw!E611</f>
        <v>1</v>
      </c>
      <c r="F611" s="23">
        <f>Dataset1_Raw!F611</f>
        <v>15</v>
      </c>
      <c r="G611" s="23" t="b">
        <f>Dataset1_Raw!G611</f>
        <v>0</v>
      </c>
      <c r="H611" s="23">
        <f>Dataset1_Raw!H611</f>
        <v>5</v>
      </c>
      <c r="I611" s="23">
        <f>Dataset1_Raw!I611</f>
        <v>2</v>
      </c>
      <c r="J611" s="25">
        <f>Dataset1_Raw!J611</f>
        <v>0.2</v>
      </c>
      <c r="K611" s="25">
        <f>IF(ISNUMBER(INDEX(Dataset2_Raw!$B$2:$B$611,$Q611)),INDEX(Dataset2_Raw!$B$2:$B$611,$Q611),"")</f>
        <v>0.2576</v>
      </c>
      <c r="L611" s="25">
        <f>IF(ISNUMBER(INDEX(Dataset2_Raw!$C$2:$C$611,$Q611)),INDEX(Dataset2_Raw!$C$2:$C$611,$Q611),"")</f>
        <v>0.86</v>
      </c>
      <c r="M611" s="25">
        <f>IF(ISNUMBER(INDEX(Dataset2_Raw!$D$2:$D$611,$Q611)),INDEX(Dataset2_Raw!$D$2:$D$611,$Q611),"")</f>
        <v>0</v>
      </c>
      <c r="N611" s="23">
        <f>IF(ISNUMBER(INDEX(Dataset2_Raw!$E$2:$E$611,$Q611)),INDEX(Dataset2_Raw!$E$2:$E$611,$Q611),"")</f>
        <v>1</v>
      </c>
      <c r="O611" s="23">
        <f>IF(ISNUMBER(INDEX(Dataset2_Raw!$F$2:$F$611,$Q611)),INDEX(Dataset2_Raw!$F$2:$F$611,$Q611),"")</f>
        <v>40</v>
      </c>
      <c r="P611" s="23">
        <f>IF(ISNUMBER(INDEX(Dataset2_Raw!$G$2:$G$611,$Q611)),INDEX(Dataset2_Raw!$G$2:$G$611,$Q611),"")</f>
        <v>41</v>
      </c>
      <c r="Q611" s="23">
        <f>IFERROR(MATCH($A611,Dataset2_Raw!$A$2:$A$611,0),0)</f>
        <v>610</v>
      </c>
    </row>
  </sheetData>
  <conditionalFormatting sqref="K2:K611">
    <cfRule type="expression" dxfId="0" priority="2">
      <formula>K2=""</formula>
    </cfRule>
  </conditionalFormatting>
  <pageMargins left="0.75" right="0.75" top="1" bottom="1"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P391"/>
  <sheetViews>
    <sheetView zoomScaleNormal="100" workbookViewId="0">
      <pane ySplit="1" topLeftCell="A2" activePane="bottomLeft" state="frozen"/>
      <selection pane="bottomLeft"/>
    </sheetView>
  </sheetViews>
  <sheetFormatPr defaultColWidth="8.6328125" defaultRowHeight="14.5" x14ac:dyDescent="0.35"/>
  <cols>
    <col min="1" max="16" width="13" customWidth="1"/>
  </cols>
  <sheetData>
    <row r="1" spans="1:16" x14ac:dyDescent="0.35">
      <c r="A1" s="9" t="s">
        <v>121</v>
      </c>
      <c r="B1" s="9" t="s">
        <v>126</v>
      </c>
      <c r="C1" s="9" t="s">
        <v>127</v>
      </c>
      <c r="D1" s="9" t="s">
        <v>128</v>
      </c>
      <c r="E1" s="9" t="s">
        <v>129</v>
      </c>
      <c r="F1" s="9" t="s">
        <v>130</v>
      </c>
      <c r="G1" s="9" t="s">
        <v>131</v>
      </c>
      <c r="H1" s="9" t="s">
        <v>132</v>
      </c>
      <c r="I1" s="9" t="s">
        <v>133</v>
      </c>
      <c r="J1" s="9" t="s">
        <v>134</v>
      </c>
      <c r="K1" s="9" t="s">
        <v>136</v>
      </c>
      <c r="L1" s="9" t="s">
        <v>137</v>
      </c>
      <c r="M1" s="9" t="s">
        <v>138</v>
      </c>
      <c r="N1" s="9" t="s">
        <v>139</v>
      </c>
      <c r="O1" s="9" t="s">
        <v>140</v>
      </c>
      <c r="P1" s="9" t="s">
        <v>141</v>
      </c>
    </row>
    <row r="2" spans="1:16" x14ac:dyDescent="0.35">
      <c r="A2" s="23">
        <v>611</v>
      </c>
      <c r="B2" s="23" t="s">
        <v>347</v>
      </c>
      <c r="C2" s="23">
        <v>1</v>
      </c>
      <c r="D2" s="23">
        <v>0</v>
      </c>
      <c r="E2" s="23">
        <v>1</v>
      </c>
      <c r="F2" s="23">
        <v>16</v>
      </c>
      <c r="G2" s="23" t="b">
        <f>FALSE()</f>
        <v>0</v>
      </c>
      <c r="H2" s="23">
        <v>5</v>
      </c>
      <c r="I2" s="23">
        <v>1</v>
      </c>
      <c r="J2" s="23">
        <v>0.22</v>
      </c>
      <c r="K2" s="23">
        <v>0.2727</v>
      </c>
      <c r="L2" s="23">
        <v>0.8</v>
      </c>
      <c r="M2" s="23">
        <v>0</v>
      </c>
      <c r="N2" s="23">
        <v>10</v>
      </c>
      <c r="O2" s="23">
        <v>70</v>
      </c>
      <c r="P2" s="23">
        <v>80</v>
      </c>
    </row>
    <row r="3" spans="1:16" x14ac:dyDescent="0.35">
      <c r="A3" s="23">
        <v>612</v>
      </c>
      <c r="B3" s="23" t="s">
        <v>347</v>
      </c>
      <c r="C3" s="23">
        <v>1</v>
      </c>
      <c r="D3" s="23">
        <v>0</v>
      </c>
      <c r="E3" s="23">
        <v>1</v>
      </c>
      <c r="F3" s="23">
        <v>17</v>
      </c>
      <c r="G3" s="23" t="b">
        <f>FALSE()</f>
        <v>0</v>
      </c>
      <c r="H3" s="23">
        <v>5</v>
      </c>
      <c r="I3" s="23">
        <v>1</v>
      </c>
      <c r="J3" s="23">
        <v>0.24</v>
      </c>
      <c r="K3" s="23">
        <v>0.2424</v>
      </c>
      <c r="L3" s="23">
        <v>0.75</v>
      </c>
      <c r="M3" s="23">
        <v>0.1343</v>
      </c>
      <c r="N3" s="23">
        <v>2</v>
      </c>
      <c r="O3" s="23">
        <v>147</v>
      </c>
      <c r="P3" s="23">
        <v>149</v>
      </c>
    </row>
    <row r="4" spans="1:16" x14ac:dyDescent="0.35">
      <c r="A4" s="23">
        <v>613</v>
      </c>
      <c r="B4" s="23" t="s">
        <v>347</v>
      </c>
      <c r="C4" s="23">
        <v>1</v>
      </c>
      <c r="D4" s="23">
        <v>0</v>
      </c>
      <c r="E4" s="23">
        <v>1</v>
      </c>
      <c r="F4" s="23">
        <v>18</v>
      </c>
      <c r="G4" s="23" t="b">
        <f>FALSE()</f>
        <v>0</v>
      </c>
      <c r="H4" s="23">
        <v>5</v>
      </c>
      <c r="I4" s="23">
        <v>1</v>
      </c>
      <c r="J4" s="23">
        <v>0.24</v>
      </c>
      <c r="K4" s="23">
        <v>0.2273</v>
      </c>
      <c r="L4" s="23">
        <v>0.75</v>
      </c>
      <c r="M4" s="23">
        <v>0.19400000000000001</v>
      </c>
      <c r="N4" s="23">
        <v>2</v>
      </c>
      <c r="O4" s="23">
        <v>107</v>
      </c>
      <c r="P4" s="23">
        <v>109</v>
      </c>
    </row>
    <row r="5" spans="1:16" x14ac:dyDescent="0.35">
      <c r="A5" s="23">
        <v>614</v>
      </c>
      <c r="B5" s="23" t="s">
        <v>347</v>
      </c>
      <c r="C5" s="23">
        <v>1</v>
      </c>
      <c r="D5" s="23">
        <v>0</v>
      </c>
      <c r="E5" s="23">
        <v>1</v>
      </c>
      <c r="F5" s="23">
        <v>19</v>
      </c>
      <c r="G5" s="23" t="b">
        <f>FALSE()</f>
        <v>0</v>
      </c>
      <c r="H5" s="23">
        <v>5</v>
      </c>
      <c r="I5" s="23">
        <v>2</v>
      </c>
      <c r="J5" s="23">
        <v>0.24</v>
      </c>
      <c r="K5" s="23">
        <v>0.2424</v>
      </c>
      <c r="L5" s="23">
        <v>0.75</v>
      </c>
      <c r="M5" s="23">
        <v>0.1343</v>
      </c>
      <c r="N5" s="23">
        <v>5</v>
      </c>
      <c r="O5" s="23">
        <v>84</v>
      </c>
      <c r="P5" s="23">
        <v>89</v>
      </c>
    </row>
    <row r="6" spans="1:16" x14ac:dyDescent="0.35">
      <c r="A6" s="23">
        <v>615</v>
      </c>
      <c r="B6" s="23" t="s">
        <v>347</v>
      </c>
      <c r="C6" s="23">
        <v>1</v>
      </c>
      <c r="D6" s="23">
        <v>0</v>
      </c>
      <c r="E6" s="23">
        <v>1</v>
      </c>
      <c r="F6" s="23">
        <v>20</v>
      </c>
      <c r="G6" s="23" t="b">
        <f>FALSE()</f>
        <v>0</v>
      </c>
      <c r="H6" s="23">
        <v>5</v>
      </c>
      <c r="I6" s="23">
        <v>2</v>
      </c>
      <c r="J6" s="23">
        <v>0.24</v>
      </c>
      <c r="K6" s="23">
        <v>0.2273</v>
      </c>
      <c r="L6" s="23">
        <v>0.7</v>
      </c>
      <c r="M6" s="23">
        <v>0.19400000000000001</v>
      </c>
      <c r="N6" s="23">
        <v>1</v>
      </c>
      <c r="O6" s="23">
        <v>61</v>
      </c>
      <c r="P6" s="23">
        <v>62</v>
      </c>
    </row>
    <row r="7" spans="1:16" x14ac:dyDescent="0.35">
      <c r="A7" s="23">
        <v>616</v>
      </c>
      <c r="B7" s="23" t="s">
        <v>347</v>
      </c>
      <c r="C7" s="23">
        <v>1</v>
      </c>
      <c r="D7" s="23">
        <v>0</v>
      </c>
      <c r="E7" s="23">
        <v>1</v>
      </c>
      <c r="F7" s="23">
        <v>21</v>
      </c>
      <c r="G7" s="23" t="b">
        <f>FALSE()</f>
        <v>0</v>
      </c>
      <c r="H7" s="23">
        <v>5</v>
      </c>
      <c r="I7" s="23">
        <v>2</v>
      </c>
      <c r="J7" s="23">
        <v>0.22</v>
      </c>
      <c r="K7" s="23">
        <v>0.2273</v>
      </c>
      <c r="L7" s="23">
        <v>0.75</v>
      </c>
      <c r="M7" s="23">
        <v>0.1343</v>
      </c>
      <c r="N7" s="23">
        <v>1</v>
      </c>
      <c r="O7" s="23">
        <v>57</v>
      </c>
      <c r="P7" s="23">
        <v>58</v>
      </c>
    </row>
    <row r="8" spans="1:16" x14ac:dyDescent="0.35">
      <c r="A8" s="23">
        <v>617</v>
      </c>
      <c r="B8" s="23" t="s">
        <v>347</v>
      </c>
      <c r="C8" s="23">
        <v>1</v>
      </c>
      <c r="D8" s="23">
        <v>0</v>
      </c>
      <c r="E8" s="23">
        <v>1</v>
      </c>
      <c r="F8" s="23">
        <v>22</v>
      </c>
      <c r="G8" s="23" t="b">
        <f>FALSE()</f>
        <v>0</v>
      </c>
      <c r="H8" s="23">
        <v>5</v>
      </c>
      <c r="I8" s="23">
        <v>1</v>
      </c>
      <c r="J8" s="23">
        <v>0.24</v>
      </c>
      <c r="K8" s="23">
        <v>0.21210000000000001</v>
      </c>
      <c r="L8" s="23">
        <v>0.65</v>
      </c>
      <c r="M8" s="23">
        <v>0.35820000000000002</v>
      </c>
      <c r="N8" s="23">
        <v>0</v>
      </c>
      <c r="O8" s="23">
        <v>26</v>
      </c>
      <c r="P8" s="23">
        <v>26</v>
      </c>
    </row>
    <row r="9" spans="1:16" x14ac:dyDescent="0.35">
      <c r="A9" s="23">
        <v>618</v>
      </c>
      <c r="B9" s="23" t="s">
        <v>347</v>
      </c>
      <c r="C9" s="23">
        <v>1</v>
      </c>
      <c r="D9" s="23">
        <v>0</v>
      </c>
      <c r="E9" s="23">
        <v>1</v>
      </c>
      <c r="F9" s="23">
        <v>23</v>
      </c>
      <c r="G9" s="23" t="b">
        <f>FALSE()</f>
        <v>0</v>
      </c>
      <c r="H9" s="23">
        <v>5</v>
      </c>
      <c r="I9" s="23">
        <v>1</v>
      </c>
      <c r="J9" s="23">
        <v>0.24</v>
      </c>
      <c r="K9" s="23">
        <v>0.2273</v>
      </c>
      <c r="L9" s="23">
        <v>0.6</v>
      </c>
      <c r="M9" s="23">
        <v>0.22389999999999999</v>
      </c>
      <c r="N9" s="23">
        <v>1</v>
      </c>
      <c r="O9" s="23">
        <v>22</v>
      </c>
      <c r="P9" s="23">
        <v>23</v>
      </c>
    </row>
    <row r="10" spans="1:16" x14ac:dyDescent="0.35">
      <c r="A10" s="23">
        <v>619</v>
      </c>
      <c r="B10" s="23" t="s">
        <v>348</v>
      </c>
      <c r="C10" s="23">
        <v>1</v>
      </c>
      <c r="D10" s="23">
        <v>0</v>
      </c>
      <c r="E10" s="23">
        <v>1</v>
      </c>
      <c r="F10" s="23">
        <v>0</v>
      </c>
      <c r="G10" s="23" t="b">
        <f>FALSE()</f>
        <v>0</v>
      </c>
      <c r="H10" s="23">
        <v>6</v>
      </c>
      <c r="I10" s="23">
        <v>1</v>
      </c>
      <c r="J10" s="23">
        <v>0.22</v>
      </c>
      <c r="K10" s="23">
        <v>0.19700000000000001</v>
      </c>
      <c r="L10" s="23">
        <v>0.64</v>
      </c>
      <c r="M10" s="23">
        <v>0.35820000000000002</v>
      </c>
      <c r="N10" s="23">
        <v>2</v>
      </c>
      <c r="O10" s="23">
        <v>26</v>
      </c>
      <c r="P10" s="23">
        <v>28</v>
      </c>
    </row>
    <row r="11" spans="1:16" x14ac:dyDescent="0.35">
      <c r="A11" s="23">
        <v>620</v>
      </c>
      <c r="B11" s="23" t="s">
        <v>348</v>
      </c>
      <c r="C11" s="23">
        <v>1</v>
      </c>
      <c r="D11" s="23">
        <v>0</v>
      </c>
      <c r="E11" s="23">
        <v>1</v>
      </c>
      <c r="F11" s="23">
        <v>1</v>
      </c>
      <c r="G11" s="23" t="b">
        <f>FALSE()</f>
        <v>0</v>
      </c>
      <c r="H11" s="23">
        <v>6</v>
      </c>
      <c r="I11" s="23">
        <v>1</v>
      </c>
      <c r="J11" s="23">
        <v>0.22</v>
      </c>
      <c r="K11" s="23">
        <v>0.2273</v>
      </c>
      <c r="L11" s="23">
        <v>0.64</v>
      </c>
      <c r="M11" s="23">
        <v>0.19400000000000001</v>
      </c>
      <c r="N11" s="23">
        <v>0</v>
      </c>
      <c r="O11" s="23">
        <v>20</v>
      </c>
      <c r="P11" s="23">
        <v>20</v>
      </c>
    </row>
    <row r="12" spans="1:16" x14ac:dyDescent="0.35">
      <c r="A12" s="23">
        <v>621</v>
      </c>
      <c r="B12" s="23" t="s">
        <v>348</v>
      </c>
      <c r="C12" s="23">
        <v>1</v>
      </c>
      <c r="D12" s="23">
        <v>0</v>
      </c>
      <c r="E12" s="23">
        <v>1</v>
      </c>
      <c r="F12" s="23">
        <v>2</v>
      </c>
      <c r="G12" s="23" t="b">
        <f>FALSE()</f>
        <v>0</v>
      </c>
      <c r="H12" s="23">
        <v>6</v>
      </c>
      <c r="I12" s="23">
        <v>1</v>
      </c>
      <c r="J12" s="23">
        <v>0.22</v>
      </c>
      <c r="K12" s="23">
        <v>0.2273</v>
      </c>
      <c r="L12" s="23">
        <v>0.64</v>
      </c>
      <c r="M12" s="23">
        <v>0.16420000000000001</v>
      </c>
      <c r="N12" s="23">
        <v>0</v>
      </c>
      <c r="O12" s="23">
        <v>15</v>
      </c>
      <c r="P12" s="23">
        <v>15</v>
      </c>
    </row>
    <row r="13" spans="1:16" x14ac:dyDescent="0.35">
      <c r="A13" s="23">
        <v>622</v>
      </c>
      <c r="B13" s="23" t="s">
        <v>348</v>
      </c>
      <c r="C13" s="23">
        <v>1</v>
      </c>
      <c r="D13" s="23">
        <v>0</v>
      </c>
      <c r="E13" s="23">
        <v>1</v>
      </c>
      <c r="F13" s="23">
        <v>3</v>
      </c>
      <c r="G13" s="23" t="b">
        <f>FALSE()</f>
        <v>0</v>
      </c>
      <c r="H13" s="23">
        <v>6</v>
      </c>
      <c r="I13" s="23">
        <v>1</v>
      </c>
      <c r="J13" s="23">
        <v>0.2</v>
      </c>
      <c r="K13" s="23">
        <v>0.21210000000000001</v>
      </c>
      <c r="L13" s="23">
        <v>0.64</v>
      </c>
      <c r="M13" s="23">
        <v>0.1343</v>
      </c>
      <c r="N13" s="23">
        <v>3</v>
      </c>
      <c r="O13" s="23">
        <v>5</v>
      </c>
      <c r="P13" s="23">
        <v>8</v>
      </c>
    </row>
    <row r="14" spans="1:16" x14ac:dyDescent="0.35">
      <c r="A14" s="23">
        <v>623</v>
      </c>
      <c r="B14" s="23" t="s">
        <v>348</v>
      </c>
      <c r="C14" s="23">
        <v>1</v>
      </c>
      <c r="D14" s="23">
        <v>0</v>
      </c>
      <c r="E14" s="23">
        <v>1</v>
      </c>
      <c r="F14" s="23">
        <v>4</v>
      </c>
      <c r="G14" s="23" t="b">
        <f>FALSE()</f>
        <v>0</v>
      </c>
      <c r="H14" s="23">
        <v>6</v>
      </c>
      <c r="I14" s="23">
        <v>1</v>
      </c>
      <c r="J14" s="23">
        <v>0.16</v>
      </c>
      <c r="K14" s="23">
        <v>0.18179999999999999</v>
      </c>
      <c r="L14" s="23">
        <v>0.69</v>
      </c>
      <c r="M14" s="23">
        <v>0.1045</v>
      </c>
      <c r="N14" s="23">
        <v>1</v>
      </c>
      <c r="O14" s="23">
        <v>2</v>
      </c>
      <c r="P14" s="23">
        <v>3</v>
      </c>
    </row>
    <row r="15" spans="1:16" x14ac:dyDescent="0.35">
      <c r="A15" s="23">
        <v>624</v>
      </c>
      <c r="B15" s="23" t="s">
        <v>348</v>
      </c>
      <c r="C15" s="23">
        <v>1</v>
      </c>
      <c r="D15" s="23">
        <v>0</v>
      </c>
      <c r="E15" s="23">
        <v>1</v>
      </c>
      <c r="F15" s="23">
        <v>6</v>
      </c>
      <c r="G15" s="23" t="b">
        <f>FALSE()</f>
        <v>0</v>
      </c>
      <c r="H15" s="23">
        <v>6</v>
      </c>
      <c r="I15" s="23">
        <v>1</v>
      </c>
      <c r="J15" s="23">
        <v>0.16</v>
      </c>
      <c r="K15" s="23">
        <v>0.18179999999999999</v>
      </c>
      <c r="L15" s="23">
        <v>0.64</v>
      </c>
      <c r="M15" s="23">
        <v>0.1343</v>
      </c>
      <c r="N15" s="23">
        <v>0</v>
      </c>
      <c r="O15" s="23">
        <v>2</v>
      </c>
      <c r="P15" s="23">
        <v>2</v>
      </c>
    </row>
    <row r="16" spans="1:16" x14ac:dyDescent="0.35">
      <c r="A16" s="23">
        <v>625</v>
      </c>
      <c r="B16" s="23" t="s">
        <v>348</v>
      </c>
      <c r="C16" s="23">
        <v>1</v>
      </c>
      <c r="D16" s="23">
        <v>0</v>
      </c>
      <c r="E16" s="23">
        <v>1</v>
      </c>
      <c r="F16" s="23">
        <v>7</v>
      </c>
      <c r="G16" s="23" t="b">
        <f>FALSE()</f>
        <v>0</v>
      </c>
      <c r="H16" s="23">
        <v>6</v>
      </c>
      <c r="I16" s="23">
        <v>1</v>
      </c>
      <c r="J16" s="23">
        <v>0.16</v>
      </c>
      <c r="K16" s="23">
        <v>0.18179999999999999</v>
      </c>
      <c r="L16" s="23">
        <v>0.59</v>
      </c>
      <c r="M16" s="23">
        <v>0.1045</v>
      </c>
      <c r="N16" s="23">
        <v>1</v>
      </c>
      <c r="O16" s="23">
        <v>4</v>
      </c>
      <c r="P16" s="23">
        <v>5</v>
      </c>
    </row>
    <row r="17" spans="1:16" x14ac:dyDescent="0.35">
      <c r="A17" s="23">
        <v>626</v>
      </c>
      <c r="B17" s="23" t="s">
        <v>348</v>
      </c>
      <c r="C17" s="23">
        <v>1</v>
      </c>
      <c r="D17" s="23">
        <v>0</v>
      </c>
      <c r="E17" s="23">
        <v>1</v>
      </c>
      <c r="F17" s="23">
        <v>8</v>
      </c>
      <c r="G17" s="23" t="b">
        <f>FALSE()</f>
        <v>0</v>
      </c>
      <c r="H17" s="23">
        <v>6</v>
      </c>
      <c r="I17" s="23">
        <v>1</v>
      </c>
      <c r="J17" s="23">
        <v>0.18</v>
      </c>
      <c r="K17" s="23">
        <v>0.19700000000000001</v>
      </c>
      <c r="L17" s="23">
        <v>0.55000000000000004</v>
      </c>
      <c r="M17" s="23">
        <v>0.16420000000000001</v>
      </c>
      <c r="N17" s="23">
        <v>3</v>
      </c>
      <c r="O17" s="23">
        <v>31</v>
      </c>
      <c r="P17" s="23">
        <v>34</v>
      </c>
    </row>
    <row r="18" spans="1:16" x14ac:dyDescent="0.35">
      <c r="A18" s="23">
        <v>627</v>
      </c>
      <c r="B18" s="23" t="s">
        <v>348</v>
      </c>
      <c r="C18" s="23">
        <v>1</v>
      </c>
      <c r="D18" s="23">
        <v>0</v>
      </c>
      <c r="E18" s="23">
        <v>1</v>
      </c>
      <c r="F18" s="23">
        <v>9</v>
      </c>
      <c r="G18" s="23" t="b">
        <f>FALSE()</f>
        <v>0</v>
      </c>
      <c r="H18" s="23">
        <v>6</v>
      </c>
      <c r="I18" s="23">
        <v>1</v>
      </c>
      <c r="J18" s="23">
        <v>0.18</v>
      </c>
      <c r="K18" s="23">
        <v>0.21210000000000001</v>
      </c>
      <c r="L18" s="23">
        <v>0.59</v>
      </c>
      <c r="M18" s="23">
        <v>8.9599999999999999E-2</v>
      </c>
      <c r="N18" s="23">
        <v>0</v>
      </c>
      <c r="O18" s="23">
        <v>34</v>
      </c>
      <c r="P18" s="23">
        <v>34</v>
      </c>
    </row>
    <row r="19" spans="1:16" x14ac:dyDescent="0.35">
      <c r="A19" s="23">
        <v>628</v>
      </c>
      <c r="B19" s="23" t="s">
        <v>348</v>
      </c>
      <c r="C19" s="23">
        <v>1</v>
      </c>
      <c r="D19" s="23">
        <v>0</v>
      </c>
      <c r="E19" s="23">
        <v>1</v>
      </c>
      <c r="F19" s="23">
        <v>10</v>
      </c>
      <c r="G19" s="23" t="b">
        <f>FALSE()</f>
        <v>0</v>
      </c>
      <c r="H19" s="23">
        <v>6</v>
      </c>
      <c r="I19" s="23">
        <v>2</v>
      </c>
      <c r="J19" s="23">
        <v>0.18</v>
      </c>
      <c r="K19" s="23">
        <v>0.21210000000000001</v>
      </c>
      <c r="L19" s="23">
        <v>0.64</v>
      </c>
      <c r="M19" s="23">
        <v>0.1045</v>
      </c>
      <c r="N19" s="23">
        <v>4</v>
      </c>
      <c r="O19" s="23">
        <v>51</v>
      </c>
      <c r="P19" s="23">
        <v>55</v>
      </c>
    </row>
    <row r="20" spans="1:16" x14ac:dyDescent="0.35">
      <c r="A20" s="23">
        <v>629</v>
      </c>
      <c r="B20" s="23" t="s">
        <v>348</v>
      </c>
      <c r="C20" s="23">
        <v>1</v>
      </c>
      <c r="D20" s="23">
        <v>0</v>
      </c>
      <c r="E20" s="23">
        <v>1</v>
      </c>
      <c r="F20" s="23">
        <v>11</v>
      </c>
      <c r="G20" s="23" t="b">
        <f>FALSE()</f>
        <v>0</v>
      </c>
      <c r="H20" s="23">
        <v>6</v>
      </c>
      <c r="I20" s="23">
        <v>2</v>
      </c>
      <c r="J20" s="23">
        <v>0.18</v>
      </c>
      <c r="K20" s="23">
        <v>0.19700000000000001</v>
      </c>
      <c r="L20" s="23">
        <v>0.64</v>
      </c>
      <c r="M20" s="23">
        <v>0.1343</v>
      </c>
      <c r="N20" s="23">
        <v>4</v>
      </c>
      <c r="O20" s="23">
        <v>60</v>
      </c>
      <c r="P20" s="23">
        <v>64</v>
      </c>
    </row>
    <row r="21" spans="1:16" x14ac:dyDescent="0.35">
      <c r="A21" s="23">
        <v>630</v>
      </c>
      <c r="B21" s="23" t="s">
        <v>348</v>
      </c>
      <c r="C21" s="23">
        <v>1</v>
      </c>
      <c r="D21" s="23">
        <v>0</v>
      </c>
      <c r="E21" s="23">
        <v>1</v>
      </c>
      <c r="F21" s="23">
        <v>12</v>
      </c>
      <c r="G21" s="23" t="b">
        <f>FALSE()</f>
        <v>0</v>
      </c>
      <c r="H21" s="23">
        <v>6</v>
      </c>
      <c r="I21" s="23">
        <v>2</v>
      </c>
      <c r="J21" s="23">
        <v>0.2</v>
      </c>
      <c r="K21" s="23">
        <v>0.19700000000000001</v>
      </c>
      <c r="L21" s="23">
        <v>0.59</v>
      </c>
      <c r="M21" s="23">
        <v>0.19400000000000001</v>
      </c>
      <c r="N21" s="23">
        <v>12</v>
      </c>
      <c r="O21" s="23">
        <v>66</v>
      </c>
      <c r="P21" s="23">
        <v>78</v>
      </c>
    </row>
    <row r="22" spans="1:16" x14ac:dyDescent="0.35">
      <c r="A22" s="23">
        <v>631</v>
      </c>
      <c r="B22" s="23" t="s">
        <v>348</v>
      </c>
      <c r="C22" s="23">
        <v>1</v>
      </c>
      <c r="D22" s="23">
        <v>0</v>
      </c>
      <c r="E22" s="23">
        <v>1</v>
      </c>
      <c r="F22" s="23">
        <v>13</v>
      </c>
      <c r="G22" s="23" t="b">
        <f>FALSE()</f>
        <v>0</v>
      </c>
      <c r="H22" s="23">
        <v>6</v>
      </c>
      <c r="I22" s="23">
        <v>2</v>
      </c>
      <c r="J22" s="23">
        <v>0.22</v>
      </c>
      <c r="K22" s="23">
        <v>0.2273</v>
      </c>
      <c r="L22" s="23">
        <v>0.55000000000000004</v>
      </c>
      <c r="M22" s="23">
        <v>0.16420000000000001</v>
      </c>
      <c r="N22" s="23">
        <v>9</v>
      </c>
      <c r="O22" s="23">
        <v>56</v>
      </c>
      <c r="P22" s="23">
        <v>65</v>
      </c>
    </row>
    <row r="23" spans="1:16" x14ac:dyDescent="0.35">
      <c r="A23" s="23">
        <v>632</v>
      </c>
      <c r="B23" s="23" t="s">
        <v>348</v>
      </c>
      <c r="C23" s="23">
        <v>1</v>
      </c>
      <c r="D23" s="23">
        <v>0</v>
      </c>
      <c r="E23" s="23">
        <v>1</v>
      </c>
      <c r="F23" s="23">
        <v>14</v>
      </c>
      <c r="G23" s="23" t="b">
        <f>FALSE()</f>
        <v>0</v>
      </c>
      <c r="H23" s="23">
        <v>6</v>
      </c>
      <c r="I23" s="23">
        <v>2</v>
      </c>
      <c r="J23" s="23">
        <v>0.22</v>
      </c>
      <c r="K23" s="23">
        <v>0.2273</v>
      </c>
      <c r="L23" s="23">
        <v>0.6</v>
      </c>
      <c r="M23" s="23">
        <v>0.1343</v>
      </c>
      <c r="N23" s="23">
        <v>10</v>
      </c>
      <c r="O23" s="23">
        <v>89</v>
      </c>
      <c r="P23" s="23">
        <v>99</v>
      </c>
    </row>
    <row r="24" spans="1:16" x14ac:dyDescent="0.35">
      <c r="A24" s="23">
        <v>633</v>
      </c>
      <c r="B24" s="23" t="s">
        <v>348</v>
      </c>
      <c r="C24" s="23">
        <v>1</v>
      </c>
      <c r="D24" s="23">
        <v>0</v>
      </c>
      <c r="E24" s="23">
        <v>1</v>
      </c>
      <c r="F24" s="23">
        <v>15</v>
      </c>
      <c r="G24" s="23" t="b">
        <f>FALSE()</f>
        <v>0</v>
      </c>
      <c r="H24" s="23">
        <v>6</v>
      </c>
      <c r="I24" s="23">
        <v>1</v>
      </c>
      <c r="J24" s="23">
        <v>0.22</v>
      </c>
      <c r="K24" s="23">
        <v>0.21210000000000001</v>
      </c>
      <c r="L24" s="23">
        <v>0.69</v>
      </c>
      <c r="M24" s="23">
        <v>0.25369999999999998</v>
      </c>
      <c r="N24" s="23">
        <v>22</v>
      </c>
      <c r="O24" s="23">
        <v>98</v>
      </c>
      <c r="P24" s="23">
        <v>120</v>
      </c>
    </row>
    <row r="25" spans="1:16" x14ac:dyDescent="0.35">
      <c r="A25" s="23">
        <v>634</v>
      </c>
      <c r="B25" s="23" t="s">
        <v>348</v>
      </c>
      <c r="C25" s="23">
        <v>1</v>
      </c>
      <c r="D25" s="23">
        <v>0</v>
      </c>
      <c r="E25" s="23">
        <v>1</v>
      </c>
      <c r="F25" s="23">
        <v>16</v>
      </c>
      <c r="G25" s="23" t="b">
        <f>FALSE()</f>
        <v>0</v>
      </c>
      <c r="H25" s="23">
        <v>6</v>
      </c>
      <c r="I25" s="23">
        <v>1</v>
      </c>
      <c r="J25" s="23">
        <v>0.24</v>
      </c>
      <c r="K25" s="23">
        <v>0.2424</v>
      </c>
      <c r="L25" s="23">
        <v>0.6</v>
      </c>
      <c r="M25" s="23">
        <v>0.16420000000000001</v>
      </c>
      <c r="N25" s="23">
        <v>19</v>
      </c>
      <c r="O25" s="23">
        <v>88</v>
      </c>
      <c r="P25" s="23">
        <v>107</v>
      </c>
    </row>
    <row r="26" spans="1:16" x14ac:dyDescent="0.35">
      <c r="A26" s="23">
        <v>635</v>
      </c>
      <c r="B26" s="23" t="s">
        <v>348</v>
      </c>
      <c r="C26" s="23">
        <v>1</v>
      </c>
      <c r="D26" s="23">
        <v>0</v>
      </c>
      <c r="E26" s="23">
        <v>1</v>
      </c>
      <c r="F26" s="23">
        <v>17</v>
      </c>
      <c r="G26" s="23" t="b">
        <f>FALSE()</f>
        <v>0</v>
      </c>
      <c r="H26" s="23">
        <v>6</v>
      </c>
      <c r="I26" s="23">
        <v>1</v>
      </c>
      <c r="J26" s="23">
        <v>0.24</v>
      </c>
      <c r="K26" s="23">
        <v>0.28789999999999999</v>
      </c>
      <c r="L26" s="23">
        <v>0.6</v>
      </c>
      <c r="M26" s="23">
        <v>0</v>
      </c>
      <c r="N26" s="23">
        <v>9</v>
      </c>
      <c r="O26" s="23">
        <v>82</v>
      </c>
      <c r="P26" s="23">
        <v>91</v>
      </c>
    </row>
    <row r="27" spans="1:16" x14ac:dyDescent="0.35">
      <c r="A27" s="23">
        <v>636</v>
      </c>
      <c r="B27" s="23" t="s">
        <v>348</v>
      </c>
      <c r="C27" s="23">
        <v>1</v>
      </c>
      <c r="D27" s="23">
        <v>0</v>
      </c>
      <c r="E27" s="23">
        <v>1</v>
      </c>
      <c r="F27" s="23">
        <v>18</v>
      </c>
      <c r="G27" s="23" t="b">
        <f>FALSE()</f>
        <v>0</v>
      </c>
      <c r="H27" s="23">
        <v>6</v>
      </c>
      <c r="I27" s="23">
        <v>1</v>
      </c>
      <c r="J27" s="23">
        <v>0.22</v>
      </c>
      <c r="K27" s="23">
        <v>0.2273</v>
      </c>
      <c r="L27" s="23">
        <v>0.69</v>
      </c>
      <c r="M27" s="23">
        <v>0.1343</v>
      </c>
      <c r="N27" s="23">
        <v>9</v>
      </c>
      <c r="O27" s="23">
        <v>59</v>
      </c>
      <c r="P27" s="23">
        <v>68</v>
      </c>
    </row>
    <row r="28" spans="1:16" x14ac:dyDescent="0.35">
      <c r="A28" s="23">
        <v>637</v>
      </c>
      <c r="B28" s="23" t="s">
        <v>348</v>
      </c>
      <c r="C28" s="23">
        <v>1</v>
      </c>
      <c r="D28" s="23">
        <v>0</v>
      </c>
      <c r="E28" s="23">
        <v>1</v>
      </c>
      <c r="F28" s="23">
        <v>19</v>
      </c>
      <c r="G28" s="23" t="b">
        <f>FALSE()</f>
        <v>0</v>
      </c>
      <c r="H28" s="23">
        <v>6</v>
      </c>
      <c r="I28" s="23">
        <v>2</v>
      </c>
      <c r="J28" s="23">
        <v>0.22</v>
      </c>
      <c r="K28" s="23">
        <v>0.21210000000000001</v>
      </c>
      <c r="L28" s="23">
        <v>0.69</v>
      </c>
      <c r="M28" s="23">
        <v>0.25369999999999998</v>
      </c>
      <c r="N28" s="23">
        <v>6</v>
      </c>
      <c r="O28" s="23">
        <v>52</v>
      </c>
      <c r="P28" s="23">
        <v>58</v>
      </c>
    </row>
    <row r="29" spans="1:16" x14ac:dyDescent="0.35">
      <c r="A29" s="23">
        <v>638</v>
      </c>
      <c r="B29" s="23" t="s">
        <v>348</v>
      </c>
      <c r="C29" s="23">
        <v>1</v>
      </c>
      <c r="D29" s="23">
        <v>0</v>
      </c>
      <c r="E29" s="23">
        <v>1</v>
      </c>
      <c r="F29" s="23">
        <v>20</v>
      </c>
      <c r="G29" s="23" t="b">
        <f>FALSE()</f>
        <v>0</v>
      </c>
      <c r="H29" s="23">
        <v>6</v>
      </c>
      <c r="I29" s="23">
        <v>1</v>
      </c>
      <c r="J29" s="23">
        <v>0.18</v>
      </c>
      <c r="K29" s="23">
        <v>0.21210000000000001</v>
      </c>
      <c r="L29" s="23">
        <v>0.74</v>
      </c>
      <c r="M29" s="23">
        <v>8.9599999999999999E-2</v>
      </c>
      <c r="N29" s="23">
        <v>1</v>
      </c>
      <c r="O29" s="23">
        <v>42</v>
      </c>
      <c r="P29" s="23">
        <v>43</v>
      </c>
    </row>
    <row r="30" spans="1:16" x14ac:dyDescent="0.35">
      <c r="A30" s="23">
        <v>639</v>
      </c>
      <c r="B30" s="23" t="s">
        <v>348</v>
      </c>
      <c r="C30" s="23">
        <v>1</v>
      </c>
      <c r="D30" s="23">
        <v>0</v>
      </c>
      <c r="E30" s="23">
        <v>1</v>
      </c>
      <c r="F30" s="23">
        <v>21</v>
      </c>
      <c r="G30" s="23" t="b">
        <f>FALSE()</f>
        <v>0</v>
      </c>
      <c r="H30" s="23">
        <v>6</v>
      </c>
      <c r="I30" s="23">
        <v>1</v>
      </c>
      <c r="J30" s="23">
        <v>0.18</v>
      </c>
      <c r="K30" s="23">
        <v>0.21210000000000001</v>
      </c>
      <c r="L30" s="23">
        <v>0.74</v>
      </c>
      <c r="M30" s="23">
        <v>8.9599999999999999E-2</v>
      </c>
      <c r="N30" s="23">
        <v>1</v>
      </c>
      <c r="O30" s="23">
        <v>35</v>
      </c>
      <c r="P30" s="23">
        <v>36</v>
      </c>
    </row>
    <row r="31" spans="1:16" x14ac:dyDescent="0.35">
      <c r="A31" s="23">
        <v>640</v>
      </c>
      <c r="B31" s="23" t="s">
        <v>348</v>
      </c>
      <c r="C31" s="23">
        <v>1</v>
      </c>
      <c r="D31" s="23">
        <v>0</v>
      </c>
      <c r="E31" s="23">
        <v>1</v>
      </c>
      <c r="F31" s="23">
        <v>22</v>
      </c>
      <c r="G31" s="23" t="b">
        <f>FALSE()</f>
        <v>0</v>
      </c>
      <c r="H31" s="23">
        <v>6</v>
      </c>
      <c r="I31" s="23">
        <v>1</v>
      </c>
      <c r="J31" s="23">
        <v>0.16</v>
      </c>
      <c r="K31" s="23">
        <v>0.19700000000000001</v>
      </c>
      <c r="L31" s="23">
        <v>0.8</v>
      </c>
      <c r="M31" s="23">
        <v>8.9599999999999999E-2</v>
      </c>
      <c r="N31" s="23">
        <v>4</v>
      </c>
      <c r="O31" s="23">
        <v>28</v>
      </c>
      <c r="P31" s="23">
        <v>32</v>
      </c>
    </row>
    <row r="32" spans="1:16" x14ac:dyDescent="0.35">
      <c r="A32" s="23">
        <v>641</v>
      </c>
      <c r="B32" s="23" t="s">
        <v>348</v>
      </c>
      <c r="C32" s="23">
        <v>1</v>
      </c>
      <c r="D32" s="23">
        <v>0</v>
      </c>
      <c r="E32" s="23">
        <v>1</v>
      </c>
      <c r="F32" s="23">
        <v>23</v>
      </c>
      <c r="G32" s="23" t="b">
        <f>FALSE()</f>
        <v>0</v>
      </c>
      <c r="H32" s="23">
        <v>6</v>
      </c>
      <c r="I32" s="23">
        <v>1</v>
      </c>
      <c r="J32" s="23">
        <v>0.16</v>
      </c>
      <c r="K32" s="23">
        <v>0.19700000000000001</v>
      </c>
      <c r="L32" s="23">
        <v>0.8</v>
      </c>
      <c r="M32" s="23">
        <v>8.9599999999999999E-2</v>
      </c>
      <c r="N32" s="23">
        <v>3</v>
      </c>
      <c r="O32" s="23">
        <v>30</v>
      </c>
      <c r="P32" s="23">
        <v>33</v>
      </c>
    </row>
    <row r="33" spans="1:16" x14ac:dyDescent="0.35">
      <c r="A33" s="23">
        <v>642</v>
      </c>
      <c r="B33" s="23" t="s">
        <v>349</v>
      </c>
      <c r="C33" s="23">
        <v>1</v>
      </c>
      <c r="D33" s="23">
        <v>0</v>
      </c>
      <c r="E33" s="23">
        <v>1</v>
      </c>
      <c r="F33" s="23">
        <v>0</v>
      </c>
      <c r="G33" s="23" t="b">
        <f>FALSE()</f>
        <v>0</v>
      </c>
      <c r="H33" s="23">
        <v>0</v>
      </c>
      <c r="I33" s="23">
        <v>1</v>
      </c>
      <c r="J33" s="23">
        <v>0.16</v>
      </c>
      <c r="K33" s="23">
        <v>0.18179999999999999</v>
      </c>
      <c r="L33" s="23">
        <v>0.8</v>
      </c>
      <c r="M33" s="23">
        <v>0.1045</v>
      </c>
      <c r="N33" s="23">
        <v>0</v>
      </c>
      <c r="O33" s="23">
        <v>33</v>
      </c>
      <c r="P33" s="23">
        <v>33</v>
      </c>
    </row>
    <row r="34" spans="1:16" x14ac:dyDescent="0.35">
      <c r="A34" s="23">
        <v>643</v>
      </c>
      <c r="B34" s="23" t="s">
        <v>349</v>
      </c>
      <c r="C34" s="23">
        <v>1</v>
      </c>
      <c r="D34" s="23">
        <v>0</v>
      </c>
      <c r="E34" s="23">
        <v>1</v>
      </c>
      <c r="F34" s="23">
        <v>1</v>
      </c>
      <c r="G34" s="23" t="b">
        <f>FALSE()</f>
        <v>0</v>
      </c>
      <c r="H34" s="23">
        <v>0</v>
      </c>
      <c r="I34" s="23">
        <v>1</v>
      </c>
      <c r="J34" s="23">
        <v>0.14000000000000001</v>
      </c>
      <c r="K34" s="23">
        <v>0.21210000000000001</v>
      </c>
      <c r="L34" s="23">
        <v>0.8</v>
      </c>
      <c r="M34" s="23">
        <v>0</v>
      </c>
      <c r="N34" s="23">
        <v>7</v>
      </c>
      <c r="O34" s="23">
        <v>22</v>
      </c>
      <c r="P34" s="23">
        <v>29</v>
      </c>
    </row>
    <row r="35" spans="1:16" x14ac:dyDescent="0.35">
      <c r="A35" s="23">
        <v>644</v>
      </c>
      <c r="B35" s="23" t="s">
        <v>349</v>
      </c>
      <c r="C35" s="23">
        <v>1</v>
      </c>
      <c r="D35" s="23">
        <v>0</v>
      </c>
      <c r="E35" s="23">
        <v>1</v>
      </c>
      <c r="F35" s="23">
        <v>2</v>
      </c>
      <c r="G35" s="23" t="b">
        <f>FALSE()</f>
        <v>0</v>
      </c>
      <c r="H35" s="23">
        <v>0</v>
      </c>
      <c r="I35" s="23">
        <v>1</v>
      </c>
      <c r="J35" s="23">
        <v>0.16</v>
      </c>
      <c r="K35" s="23">
        <v>0.2273</v>
      </c>
      <c r="L35" s="23">
        <v>0.8</v>
      </c>
      <c r="M35" s="23">
        <v>0</v>
      </c>
      <c r="N35" s="23">
        <v>1</v>
      </c>
      <c r="O35" s="23">
        <v>10</v>
      </c>
      <c r="P35" s="23">
        <v>11</v>
      </c>
    </row>
    <row r="36" spans="1:16" x14ac:dyDescent="0.35">
      <c r="A36" s="23">
        <v>645</v>
      </c>
      <c r="B36" s="23" t="s">
        <v>349</v>
      </c>
      <c r="C36" s="23">
        <v>1</v>
      </c>
      <c r="D36" s="23">
        <v>0</v>
      </c>
      <c r="E36" s="23">
        <v>1</v>
      </c>
      <c r="F36" s="23">
        <v>3</v>
      </c>
      <c r="G36" s="23" t="b">
        <f>FALSE()</f>
        <v>0</v>
      </c>
      <c r="H36" s="23">
        <v>0</v>
      </c>
      <c r="I36" s="23">
        <v>1</v>
      </c>
      <c r="J36" s="23">
        <v>0.14000000000000001</v>
      </c>
      <c r="K36" s="23">
        <v>0.21210000000000001</v>
      </c>
      <c r="L36" s="23">
        <v>0.93</v>
      </c>
      <c r="M36" s="23">
        <v>0</v>
      </c>
      <c r="N36" s="23">
        <v>1</v>
      </c>
      <c r="O36" s="23">
        <v>7</v>
      </c>
      <c r="P36" s="23">
        <v>8</v>
      </c>
    </row>
    <row r="37" spans="1:16" x14ac:dyDescent="0.35">
      <c r="A37" s="23">
        <v>646</v>
      </c>
      <c r="B37" s="23" t="s">
        <v>349</v>
      </c>
      <c r="C37" s="23">
        <v>1</v>
      </c>
      <c r="D37" s="23">
        <v>0</v>
      </c>
      <c r="E37" s="23">
        <v>1</v>
      </c>
      <c r="F37" s="23">
        <v>4</v>
      </c>
      <c r="G37" s="23" t="b">
        <f>FALSE()</f>
        <v>0</v>
      </c>
      <c r="H37" s="23">
        <v>0</v>
      </c>
      <c r="I37" s="23">
        <v>1</v>
      </c>
      <c r="J37" s="23">
        <v>0.14000000000000001</v>
      </c>
      <c r="K37" s="23">
        <v>0.21210000000000001</v>
      </c>
      <c r="L37" s="23">
        <v>0.93</v>
      </c>
      <c r="M37" s="23">
        <v>0</v>
      </c>
      <c r="N37" s="23">
        <v>0</v>
      </c>
      <c r="O37" s="23">
        <v>1</v>
      </c>
      <c r="P37" s="23">
        <v>1</v>
      </c>
    </row>
    <row r="38" spans="1:16" x14ac:dyDescent="0.35">
      <c r="A38" s="23">
        <v>647</v>
      </c>
      <c r="B38" s="23" t="s">
        <v>349</v>
      </c>
      <c r="C38" s="23">
        <v>1</v>
      </c>
      <c r="D38" s="23">
        <v>0</v>
      </c>
      <c r="E38" s="23">
        <v>1</v>
      </c>
      <c r="F38" s="23">
        <v>5</v>
      </c>
      <c r="G38" s="23" t="b">
        <f>FALSE()</f>
        <v>0</v>
      </c>
      <c r="H38" s="23">
        <v>0</v>
      </c>
      <c r="I38" s="23">
        <v>1</v>
      </c>
      <c r="J38" s="23">
        <v>0.14000000000000001</v>
      </c>
      <c r="K38" s="23">
        <v>0.21210000000000001</v>
      </c>
      <c r="L38" s="23">
        <v>0.86</v>
      </c>
      <c r="M38" s="23">
        <v>0</v>
      </c>
      <c r="N38" s="23">
        <v>0</v>
      </c>
      <c r="O38" s="23">
        <v>3</v>
      </c>
      <c r="P38" s="23">
        <v>3</v>
      </c>
    </row>
    <row r="39" spans="1:16" x14ac:dyDescent="0.35">
      <c r="A39" s="23">
        <v>648</v>
      </c>
      <c r="B39" s="23" t="s">
        <v>349</v>
      </c>
      <c r="C39" s="23">
        <v>1</v>
      </c>
      <c r="D39" s="23">
        <v>0</v>
      </c>
      <c r="E39" s="23">
        <v>1</v>
      </c>
      <c r="F39" s="23">
        <v>7</v>
      </c>
      <c r="G39" s="23" t="b">
        <f>FALSE()</f>
        <v>0</v>
      </c>
      <c r="H39" s="23">
        <v>0</v>
      </c>
      <c r="I39" s="23">
        <v>1</v>
      </c>
      <c r="J39" s="23">
        <v>0.14000000000000001</v>
      </c>
      <c r="K39" s="23">
        <v>0.21210000000000001</v>
      </c>
      <c r="L39" s="23">
        <v>0.86</v>
      </c>
      <c r="M39" s="23">
        <v>0</v>
      </c>
      <c r="N39" s="23">
        <v>0</v>
      </c>
      <c r="O39" s="23">
        <v>3</v>
      </c>
      <c r="P39" s="23">
        <v>3</v>
      </c>
    </row>
    <row r="40" spans="1:16" x14ac:dyDescent="0.35">
      <c r="A40" s="23">
        <v>649</v>
      </c>
      <c r="B40" s="23" t="s">
        <v>349</v>
      </c>
      <c r="C40" s="23">
        <v>1</v>
      </c>
      <c r="D40" s="23">
        <v>0</v>
      </c>
      <c r="E40" s="23">
        <v>1</v>
      </c>
      <c r="F40" s="23">
        <v>8</v>
      </c>
      <c r="G40" s="23" t="b">
        <f>FALSE()</f>
        <v>0</v>
      </c>
      <c r="H40" s="23">
        <v>0</v>
      </c>
      <c r="I40" s="23">
        <v>2</v>
      </c>
      <c r="J40" s="23">
        <v>0.14000000000000001</v>
      </c>
      <c r="K40" s="23">
        <v>0.21210000000000001</v>
      </c>
      <c r="L40" s="23">
        <v>0.86</v>
      </c>
      <c r="M40" s="23">
        <v>0</v>
      </c>
      <c r="N40" s="23">
        <v>1</v>
      </c>
      <c r="O40" s="23">
        <v>11</v>
      </c>
      <c r="P40" s="23">
        <v>12</v>
      </c>
    </row>
    <row r="41" spans="1:16" x14ac:dyDescent="0.35">
      <c r="A41" s="23">
        <v>650</v>
      </c>
      <c r="B41" s="23" t="s">
        <v>349</v>
      </c>
      <c r="C41" s="23">
        <v>1</v>
      </c>
      <c r="D41" s="23">
        <v>0</v>
      </c>
      <c r="E41" s="23">
        <v>1</v>
      </c>
      <c r="F41" s="23">
        <v>9</v>
      </c>
      <c r="G41" s="23" t="b">
        <f>FALSE()</f>
        <v>0</v>
      </c>
      <c r="H41" s="23">
        <v>0</v>
      </c>
      <c r="I41" s="23">
        <v>2</v>
      </c>
      <c r="J41" s="23">
        <v>0.16</v>
      </c>
      <c r="K41" s="23">
        <v>0.2273</v>
      </c>
      <c r="L41" s="23">
        <v>0.8</v>
      </c>
      <c r="M41" s="23">
        <v>0</v>
      </c>
      <c r="N41" s="23">
        <v>4</v>
      </c>
      <c r="O41" s="23">
        <v>34</v>
      </c>
      <c r="P41" s="23">
        <v>38</v>
      </c>
    </row>
    <row r="42" spans="1:16" x14ac:dyDescent="0.35">
      <c r="A42" s="23">
        <v>651</v>
      </c>
      <c r="B42" s="23" t="s">
        <v>349</v>
      </c>
      <c r="C42" s="23">
        <v>1</v>
      </c>
      <c r="D42" s="23">
        <v>0</v>
      </c>
      <c r="E42" s="23">
        <v>1</v>
      </c>
      <c r="F42" s="23">
        <v>10</v>
      </c>
      <c r="G42" s="23" t="b">
        <f>FALSE()</f>
        <v>0</v>
      </c>
      <c r="H42" s="23">
        <v>0</v>
      </c>
      <c r="I42" s="23">
        <v>2</v>
      </c>
      <c r="J42" s="23">
        <v>0.18</v>
      </c>
      <c r="K42" s="23">
        <v>0.2424</v>
      </c>
      <c r="L42" s="23">
        <v>0.8</v>
      </c>
      <c r="M42" s="23">
        <v>0</v>
      </c>
      <c r="N42" s="23">
        <v>7</v>
      </c>
      <c r="O42" s="23">
        <v>57</v>
      </c>
      <c r="P42" s="23">
        <v>64</v>
      </c>
    </row>
    <row r="43" spans="1:16" x14ac:dyDescent="0.35">
      <c r="A43" s="23">
        <v>652</v>
      </c>
      <c r="B43" s="23" t="s">
        <v>349</v>
      </c>
      <c r="C43" s="23">
        <v>1</v>
      </c>
      <c r="D43" s="23">
        <v>0</v>
      </c>
      <c r="E43" s="23">
        <v>1</v>
      </c>
      <c r="F43" s="23">
        <v>11</v>
      </c>
      <c r="G43" s="23" t="b">
        <f>FALSE()</f>
        <v>0</v>
      </c>
      <c r="H43" s="23">
        <v>0</v>
      </c>
      <c r="I43" s="23">
        <v>1</v>
      </c>
      <c r="J43" s="23">
        <v>0.22</v>
      </c>
      <c r="K43" s="23">
        <v>0.2727</v>
      </c>
      <c r="L43" s="23">
        <v>0.75</v>
      </c>
      <c r="M43" s="23">
        <v>0</v>
      </c>
      <c r="N43" s="23">
        <v>9</v>
      </c>
      <c r="O43" s="23">
        <v>50</v>
      </c>
      <c r="P43" s="23">
        <v>59</v>
      </c>
    </row>
    <row r="44" spans="1:16" x14ac:dyDescent="0.35">
      <c r="A44" s="23">
        <v>653</v>
      </c>
      <c r="B44" s="23" t="s">
        <v>349</v>
      </c>
      <c r="C44" s="23">
        <v>1</v>
      </c>
      <c r="D44" s="23">
        <v>0</v>
      </c>
      <c r="E44" s="23">
        <v>1</v>
      </c>
      <c r="F44" s="23">
        <v>12</v>
      </c>
      <c r="G44" s="23" t="b">
        <f>FALSE()</f>
        <v>0</v>
      </c>
      <c r="H44" s="23">
        <v>0</v>
      </c>
      <c r="I44" s="23">
        <v>1</v>
      </c>
      <c r="J44" s="23">
        <v>0.3</v>
      </c>
      <c r="K44" s="23">
        <v>0.31819999999999998</v>
      </c>
      <c r="L44" s="23">
        <v>0.52</v>
      </c>
      <c r="M44" s="23">
        <v>0.1045</v>
      </c>
      <c r="N44" s="23">
        <v>10</v>
      </c>
      <c r="O44" s="23">
        <v>87</v>
      </c>
      <c r="P44" s="23">
        <v>97</v>
      </c>
    </row>
    <row r="45" spans="1:16" x14ac:dyDescent="0.35">
      <c r="A45" s="23">
        <v>654</v>
      </c>
      <c r="B45" s="23" t="s">
        <v>349</v>
      </c>
      <c r="C45" s="23">
        <v>1</v>
      </c>
      <c r="D45" s="23">
        <v>0</v>
      </c>
      <c r="E45" s="23">
        <v>1</v>
      </c>
      <c r="F45" s="23">
        <v>13</v>
      </c>
      <c r="G45" s="23" t="b">
        <f>FALSE()</f>
        <v>0</v>
      </c>
      <c r="H45" s="23">
        <v>0</v>
      </c>
      <c r="I45" s="23">
        <v>1</v>
      </c>
      <c r="J45" s="23">
        <v>0.28000000000000003</v>
      </c>
      <c r="K45" s="23">
        <v>0.28789999999999999</v>
      </c>
      <c r="L45" s="23">
        <v>0.61</v>
      </c>
      <c r="M45" s="23">
        <v>0.1045</v>
      </c>
      <c r="N45" s="23">
        <v>13</v>
      </c>
      <c r="O45" s="23">
        <v>71</v>
      </c>
      <c r="P45" s="23">
        <v>84</v>
      </c>
    </row>
    <row r="46" spans="1:16" x14ac:dyDescent="0.35">
      <c r="A46" s="23">
        <v>655</v>
      </c>
      <c r="B46" s="23" t="s">
        <v>349</v>
      </c>
      <c r="C46" s="23">
        <v>1</v>
      </c>
      <c r="D46" s="23">
        <v>0</v>
      </c>
      <c r="E46" s="23">
        <v>1</v>
      </c>
      <c r="F46" s="23">
        <v>14</v>
      </c>
      <c r="G46" s="23" t="b">
        <f>FALSE()</f>
        <v>0</v>
      </c>
      <c r="H46" s="23">
        <v>0</v>
      </c>
      <c r="I46" s="23">
        <v>1</v>
      </c>
      <c r="J46" s="23">
        <v>0.28000000000000003</v>
      </c>
      <c r="K46" s="23">
        <v>0.30299999999999999</v>
      </c>
      <c r="L46" s="23">
        <v>0.61</v>
      </c>
      <c r="M46" s="23">
        <v>8.9599999999999999E-2</v>
      </c>
      <c r="N46" s="23">
        <v>18</v>
      </c>
      <c r="O46" s="23">
        <v>104</v>
      </c>
      <c r="P46" s="23">
        <v>122</v>
      </c>
    </row>
    <row r="47" spans="1:16" x14ac:dyDescent="0.35">
      <c r="A47" s="23">
        <v>656</v>
      </c>
      <c r="B47" s="23" t="s">
        <v>349</v>
      </c>
      <c r="C47" s="23">
        <v>1</v>
      </c>
      <c r="D47" s="23">
        <v>0</v>
      </c>
      <c r="E47" s="23">
        <v>1</v>
      </c>
      <c r="F47" s="23">
        <v>15</v>
      </c>
      <c r="G47" s="23" t="b">
        <f>FALSE()</f>
        <v>0</v>
      </c>
      <c r="H47" s="23">
        <v>0</v>
      </c>
      <c r="I47" s="23">
        <v>1</v>
      </c>
      <c r="J47" s="23">
        <v>0.3</v>
      </c>
      <c r="K47" s="23">
        <v>0.33329999999999999</v>
      </c>
      <c r="L47" s="23">
        <v>0.56000000000000005</v>
      </c>
      <c r="M47" s="23">
        <v>0</v>
      </c>
      <c r="N47" s="23">
        <v>14</v>
      </c>
      <c r="O47" s="23">
        <v>95</v>
      </c>
      <c r="P47" s="23">
        <v>109</v>
      </c>
    </row>
    <row r="48" spans="1:16" x14ac:dyDescent="0.35">
      <c r="A48" s="23">
        <v>657</v>
      </c>
      <c r="B48" s="23" t="s">
        <v>349</v>
      </c>
      <c r="C48" s="23">
        <v>1</v>
      </c>
      <c r="D48" s="23">
        <v>0</v>
      </c>
      <c r="E48" s="23">
        <v>1</v>
      </c>
      <c r="F48" s="23">
        <v>16</v>
      </c>
      <c r="G48" s="23" t="b">
        <f>FALSE()</f>
        <v>0</v>
      </c>
      <c r="H48" s="23">
        <v>0</v>
      </c>
      <c r="I48" s="23">
        <v>1</v>
      </c>
      <c r="J48" s="23">
        <v>0.3</v>
      </c>
      <c r="K48" s="23">
        <v>0.33329999999999999</v>
      </c>
      <c r="L48" s="23">
        <v>0.56000000000000005</v>
      </c>
      <c r="M48" s="23">
        <v>0</v>
      </c>
      <c r="N48" s="23">
        <v>19</v>
      </c>
      <c r="O48" s="23">
        <v>104</v>
      </c>
      <c r="P48" s="23">
        <v>123</v>
      </c>
    </row>
    <row r="49" spans="1:16" x14ac:dyDescent="0.35">
      <c r="A49" s="23">
        <v>658</v>
      </c>
      <c r="B49" s="23" t="s">
        <v>349</v>
      </c>
      <c r="C49" s="23">
        <v>1</v>
      </c>
      <c r="D49" s="23">
        <v>0</v>
      </c>
      <c r="E49" s="23">
        <v>1</v>
      </c>
      <c r="F49" s="23">
        <v>17</v>
      </c>
      <c r="G49" s="23" t="b">
        <f>FALSE()</f>
        <v>0</v>
      </c>
      <c r="H49" s="23">
        <v>0</v>
      </c>
      <c r="I49" s="23">
        <v>1</v>
      </c>
      <c r="J49" s="23">
        <v>0.3</v>
      </c>
      <c r="K49" s="23">
        <v>0.28789999999999999</v>
      </c>
      <c r="L49" s="23">
        <v>0.56000000000000005</v>
      </c>
      <c r="M49" s="23">
        <v>0.19400000000000001</v>
      </c>
      <c r="N49" s="23">
        <v>6</v>
      </c>
      <c r="O49" s="23">
        <v>71</v>
      </c>
      <c r="P49" s="23">
        <v>77</v>
      </c>
    </row>
    <row r="50" spans="1:16" x14ac:dyDescent="0.35">
      <c r="A50" s="23">
        <v>659</v>
      </c>
      <c r="B50" s="23" t="s">
        <v>349</v>
      </c>
      <c r="C50" s="23">
        <v>1</v>
      </c>
      <c r="D50" s="23">
        <v>0</v>
      </c>
      <c r="E50" s="23">
        <v>1</v>
      </c>
      <c r="F50" s="23">
        <v>18</v>
      </c>
      <c r="G50" s="23" t="b">
        <f>FALSE()</f>
        <v>0</v>
      </c>
      <c r="H50" s="23">
        <v>0</v>
      </c>
      <c r="I50" s="23">
        <v>1</v>
      </c>
      <c r="J50" s="23">
        <v>0.26</v>
      </c>
      <c r="K50" s="23">
        <v>0.2576</v>
      </c>
      <c r="L50" s="23">
        <v>0.65</v>
      </c>
      <c r="M50" s="23">
        <v>0.16420000000000001</v>
      </c>
      <c r="N50" s="23">
        <v>8</v>
      </c>
      <c r="O50" s="23">
        <v>57</v>
      </c>
      <c r="P50" s="23">
        <v>65</v>
      </c>
    </row>
    <row r="51" spans="1:16" x14ac:dyDescent="0.35">
      <c r="A51" s="23">
        <v>660</v>
      </c>
      <c r="B51" s="23" t="s">
        <v>349</v>
      </c>
      <c r="C51" s="23">
        <v>1</v>
      </c>
      <c r="D51" s="23">
        <v>0</v>
      </c>
      <c r="E51" s="23">
        <v>1</v>
      </c>
      <c r="F51" s="23">
        <v>19</v>
      </c>
      <c r="G51" s="23" t="b">
        <f>FALSE()</f>
        <v>0</v>
      </c>
      <c r="H51" s="23">
        <v>0</v>
      </c>
      <c r="I51" s="23">
        <v>1</v>
      </c>
      <c r="J51" s="23">
        <v>0.26</v>
      </c>
      <c r="K51" s="23">
        <v>0.2576</v>
      </c>
      <c r="L51" s="23">
        <v>0.65</v>
      </c>
      <c r="M51" s="23">
        <v>0.19400000000000001</v>
      </c>
      <c r="N51" s="23">
        <v>9</v>
      </c>
      <c r="O51" s="23">
        <v>46</v>
      </c>
      <c r="P51" s="23">
        <v>55</v>
      </c>
    </row>
    <row r="52" spans="1:16" x14ac:dyDescent="0.35">
      <c r="A52" s="23">
        <v>661</v>
      </c>
      <c r="B52" s="23" t="s">
        <v>349</v>
      </c>
      <c r="C52" s="23">
        <v>1</v>
      </c>
      <c r="D52" s="23">
        <v>0</v>
      </c>
      <c r="E52" s="23">
        <v>1</v>
      </c>
      <c r="F52" s="23">
        <v>20</v>
      </c>
      <c r="G52" s="23" t="b">
        <f>FALSE()</f>
        <v>0</v>
      </c>
      <c r="H52" s="23">
        <v>0</v>
      </c>
      <c r="I52" s="23">
        <v>2</v>
      </c>
      <c r="J52" s="23">
        <v>0.26</v>
      </c>
      <c r="K52" s="23">
        <v>0.2727</v>
      </c>
      <c r="L52" s="23">
        <v>0.65</v>
      </c>
      <c r="M52" s="23">
        <v>0.1045</v>
      </c>
      <c r="N52" s="23">
        <v>3</v>
      </c>
      <c r="O52" s="23">
        <v>30</v>
      </c>
      <c r="P52" s="23">
        <v>33</v>
      </c>
    </row>
    <row r="53" spans="1:16" x14ac:dyDescent="0.35">
      <c r="A53" s="23">
        <v>662</v>
      </c>
      <c r="B53" s="23" t="s">
        <v>349</v>
      </c>
      <c r="C53" s="23">
        <v>1</v>
      </c>
      <c r="D53" s="23">
        <v>0</v>
      </c>
      <c r="E53" s="23">
        <v>1</v>
      </c>
      <c r="F53" s="23">
        <v>21</v>
      </c>
      <c r="G53" s="23" t="b">
        <f>FALSE()</f>
        <v>0</v>
      </c>
      <c r="H53" s="23">
        <v>0</v>
      </c>
      <c r="I53" s="23">
        <v>2</v>
      </c>
      <c r="J53" s="23">
        <v>0.24</v>
      </c>
      <c r="K53" s="23">
        <v>0.2424</v>
      </c>
      <c r="L53" s="23">
        <v>0.7</v>
      </c>
      <c r="M53" s="23">
        <v>0.16420000000000001</v>
      </c>
      <c r="N53" s="23">
        <v>3</v>
      </c>
      <c r="O53" s="23">
        <v>25</v>
      </c>
      <c r="P53" s="23">
        <v>28</v>
      </c>
    </row>
    <row r="54" spans="1:16" x14ac:dyDescent="0.35">
      <c r="A54" s="23">
        <v>663</v>
      </c>
      <c r="B54" s="23" t="s">
        <v>349</v>
      </c>
      <c r="C54" s="23">
        <v>1</v>
      </c>
      <c r="D54" s="23">
        <v>0</v>
      </c>
      <c r="E54" s="23">
        <v>1</v>
      </c>
      <c r="F54" s="23">
        <v>22</v>
      </c>
      <c r="G54" s="23" t="b">
        <f>FALSE()</f>
        <v>0</v>
      </c>
      <c r="H54" s="23">
        <v>0</v>
      </c>
      <c r="I54" s="23">
        <v>2</v>
      </c>
      <c r="J54" s="23">
        <v>0.24</v>
      </c>
      <c r="K54" s="23">
        <v>0.2273</v>
      </c>
      <c r="L54" s="23">
        <v>0.7</v>
      </c>
      <c r="M54" s="23">
        <v>0.19400000000000001</v>
      </c>
      <c r="N54" s="23">
        <v>2</v>
      </c>
      <c r="O54" s="23">
        <v>19</v>
      </c>
      <c r="P54" s="23">
        <v>21</v>
      </c>
    </row>
    <row r="55" spans="1:16" x14ac:dyDescent="0.35">
      <c r="A55" s="23">
        <v>664</v>
      </c>
      <c r="B55" s="23" t="s">
        <v>349</v>
      </c>
      <c r="C55" s="23">
        <v>1</v>
      </c>
      <c r="D55" s="23">
        <v>0</v>
      </c>
      <c r="E55" s="23">
        <v>1</v>
      </c>
      <c r="F55" s="23">
        <v>23</v>
      </c>
      <c r="G55" s="23" t="b">
        <f>FALSE()</f>
        <v>0</v>
      </c>
      <c r="H55" s="23">
        <v>0</v>
      </c>
      <c r="I55" s="23">
        <v>2</v>
      </c>
      <c r="J55" s="23">
        <v>0.24</v>
      </c>
      <c r="K55" s="23">
        <v>0.21210000000000001</v>
      </c>
      <c r="L55" s="23">
        <v>0.65</v>
      </c>
      <c r="M55" s="23">
        <v>0.28360000000000002</v>
      </c>
      <c r="N55" s="23">
        <v>5</v>
      </c>
      <c r="O55" s="23">
        <v>16</v>
      </c>
      <c r="P55" s="23">
        <v>21</v>
      </c>
    </row>
    <row r="56" spans="1:16" x14ac:dyDescent="0.35">
      <c r="A56" s="23">
        <v>665</v>
      </c>
      <c r="B56" s="23" t="s">
        <v>350</v>
      </c>
      <c r="C56" s="23">
        <v>1</v>
      </c>
      <c r="D56" s="23">
        <v>0</v>
      </c>
      <c r="E56" s="23">
        <v>1</v>
      </c>
      <c r="F56" s="23">
        <v>0</v>
      </c>
      <c r="G56" s="23" t="b">
        <f>FALSE()</f>
        <v>0</v>
      </c>
      <c r="H56" s="23">
        <v>1</v>
      </c>
      <c r="I56" s="23">
        <v>2</v>
      </c>
      <c r="J56" s="23">
        <v>0.24</v>
      </c>
      <c r="K56" s="23">
        <v>0.2273</v>
      </c>
      <c r="L56" s="23">
        <v>0.65</v>
      </c>
      <c r="M56" s="23">
        <v>0.22389999999999999</v>
      </c>
      <c r="N56" s="23">
        <v>1</v>
      </c>
      <c r="O56" s="23">
        <v>6</v>
      </c>
      <c r="P56" s="23">
        <v>7</v>
      </c>
    </row>
    <row r="57" spans="1:16" x14ac:dyDescent="0.35">
      <c r="A57" s="23">
        <v>666</v>
      </c>
      <c r="B57" s="23" t="s">
        <v>350</v>
      </c>
      <c r="C57" s="23">
        <v>1</v>
      </c>
      <c r="D57" s="23">
        <v>0</v>
      </c>
      <c r="E57" s="23">
        <v>1</v>
      </c>
      <c r="F57" s="23">
        <v>1</v>
      </c>
      <c r="G57" s="23" t="b">
        <f>FALSE()</f>
        <v>0</v>
      </c>
      <c r="H57" s="23">
        <v>1</v>
      </c>
      <c r="I57" s="23">
        <v>1</v>
      </c>
      <c r="J57" s="23">
        <v>0.22</v>
      </c>
      <c r="K57" s="23">
        <v>0.21210000000000001</v>
      </c>
      <c r="L57" s="23">
        <v>0.64</v>
      </c>
      <c r="M57" s="23">
        <v>0.25369999999999998</v>
      </c>
      <c r="N57" s="23">
        <v>2</v>
      </c>
      <c r="O57" s="23">
        <v>5</v>
      </c>
      <c r="P57" s="23">
        <v>7</v>
      </c>
    </row>
    <row r="58" spans="1:16" x14ac:dyDescent="0.35">
      <c r="A58" s="23">
        <v>667</v>
      </c>
      <c r="B58" s="23" t="s">
        <v>350</v>
      </c>
      <c r="C58" s="23">
        <v>1</v>
      </c>
      <c r="D58" s="23">
        <v>0</v>
      </c>
      <c r="E58" s="23">
        <v>1</v>
      </c>
      <c r="F58" s="23">
        <v>2</v>
      </c>
      <c r="G58" s="23" t="b">
        <f>FALSE()</f>
        <v>0</v>
      </c>
      <c r="H58" s="23">
        <v>1</v>
      </c>
      <c r="I58" s="23">
        <v>1</v>
      </c>
      <c r="J58" s="23">
        <v>0.22</v>
      </c>
      <c r="K58" s="23">
        <v>0.2273</v>
      </c>
      <c r="L58" s="23">
        <v>0.64</v>
      </c>
      <c r="M58" s="23">
        <v>0.19400000000000001</v>
      </c>
      <c r="N58" s="23">
        <v>0</v>
      </c>
      <c r="O58" s="23">
        <v>1</v>
      </c>
      <c r="P58" s="23">
        <v>1</v>
      </c>
    </row>
    <row r="59" spans="1:16" x14ac:dyDescent="0.35">
      <c r="A59" s="23">
        <v>668</v>
      </c>
      <c r="B59" s="23" t="s">
        <v>350</v>
      </c>
      <c r="C59" s="23">
        <v>1</v>
      </c>
      <c r="D59" s="23">
        <v>0</v>
      </c>
      <c r="E59" s="23">
        <v>1</v>
      </c>
      <c r="F59" s="23">
        <v>3</v>
      </c>
      <c r="G59" s="23" t="b">
        <f>FALSE()</f>
        <v>0</v>
      </c>
      <c r="H59" s="23">
        <v>1</v>
      </c>
      <c r="I59" s="23">
        <v>1</v>
      </c>
      <c r="J59" s="23">
        <v>0.22</v>
      </c>
      <c r="K59" s="23">
        <v>0.2273</v>
      </c>
      <c r="L59" s="23">
        <v>0.64</v>
      </c>
      <c r="M59" s="23">
        <v>0.19400000000000001</v>
      </c>
      <c r="N59" s="23">
        <v>0</v>
      </c>
      <c r="O59" s="23">
        <v>2</v>
      </c>
      <c r="P59" s="23">
        <v>2</v>
      </c>
    </row>
    <row r="60" spans="1:16" x14ac:dyDescent="0.35">
      <c r="A60" s="23">
        <v>669</v>
      </c>
      <c r="B60" s="23" t="s">
        <v>350</v>
      </c>
      <c r="C60" s="23">
        <v>1</v>
      </c>
      <c r="D60" s="23">
        <v>0</v>
      </c>
      <c r="E60" s="23">
        <v>1</v>
      </c>
      <c r="F60" s="23">
        <v>4</v>
      </c>
      <c r="G60" s="23" t="b">
        <f>FALSE()</f>
        <v>0</v>
      </c>
      <c r="H60" s="23">
        <v>1</v>
      </c>
      <c r="I60" s="23">
        <v>1</v>
      </c>
      <c r="J60" s="23">
        <v>0.2</v>
      </c>
      <c r="K60" s="23">
        <v>0.19700000000000001</v>
      </c>
      <c r="L60" s="23">
        <v>0.59</v>
      </c>
      <c r="M60" s="23">
        <v>0.22389999999999999</v>
      </c>
      <c r="N60" s="23">
        <v>0</v>
      </c>
      <c r="O60" s="23">
        <v>2</v>
      </c>
      <c r="P60" s="23">
        <v>2</v>
      </c>
    </row>
    <row r="61" spans="1:16" x14ac:dyDescent="0.35">
      <c r="A61" s="23">
        <v>670</v>
      </c>
      <c r="B61" s="23" t="s">
        <v>350</v>
      </c>
      <c r="C61" s="23">
        <v>1</v>
      </c>
      <c r="D61" s="23">
        <v>0</v>
      </c>
      <c r="E61" s="23">
        <v>1</v>
      </c>
      <c r="F61" s="23">
        <v>5</v>
      </c>
      <c r="G61" s="23" t="b">
        <f>FALSE()</f>
        <v>0</v>
      </c>
      <c r="H61" s="23">
        <v>1</v>
      </c>
      <c r="I61" s="23">
        <v>1</v>
      </c>
      <c r="J61" s="23">
        <v>0.18</v>
      </c>
      <c r="K61" s="23">
        <v>0.16669999999999999</v>
      </c>
      <c r="L61" s="23">
        <v>0.64</v>
      </c>
      <c r="M61" s="23">
        <v>0.28360000000000002</v>
      </c>
      <c r="N61" s="23">
        <v>0</v>
      </c>
      <c r="O61" s="23">
        <v>8</v>
      </c>
      <c r="P61" s="23">
        <v>8</v>
      </c>
    </row>
    <row r="62" spans="1:16" x14ac:dyDescent="0.35">
      <c r="A62" s="23">
        <v>671</v>
      </c>
      <c r="B62" s="23" t="s">
        <v>350</v>
      </c>
      <c r="C62" s="23">
        <v>1</v>
      </c>
      <c r="D62" s="23">
        <v>0</v>
      </c>
      <c r="E62" s="23">
        <v>1</v>
      </c>
      <c r="F62" s="23">
        <v>6</v>
      </c>
      <c r="G62" s="23" t="b">
        <f>FALSE()</f>
        <v>0</v>
      </c>
      <c r="H62" s="23">
        <v>1</v>
      </c>
      <c r="I62" s="23">
        <v>1</v>
      </c>
      <c r="J62" s="23">
        <v>0.16</v>
      </c>
      <c r="K62" s="23">
        <v>0.13639999999999999</v>
      </c>
      <c r="L62" s="23">
        <v>0.69</v>
      </c>
      <c r="M62" s="23">
        <v>0.32840000000000003</v>
      </c>
      <c r="N62" s="23">
        <v>0</v>
      </c>
      <c r="O62" s="23">
        <v>37</v>
      </c>
      <c r="P62" s="23">
        <v>37</v>
      </c>
    </row>
    <row r="63" spans="1:16" x14ac:dyDescent="0.35">
      <c r="A63" s="23">
        <v>672</v>
      </c>
      <c r="B63" s="23" t="s">
        <v>350</v>
      </c>
      <c r="C63" s="23">
        <v>1</v>
      </c>
      <c r="D63" s="23">
        <v>0</v>
      </c>
      <c r="E63" s="23">
        <v>1</v>
      </c>
      <c r="F63" s="23">
        <v>7</v>
      </c>
      <c r="G63" s="23" t="b">
        <f>FALSE()</f>
        <v>0</v>
      </c>
      <c r="H63" s="23">
        <v>1</v>
      </c>
      <c r="I63" s="23">
        <v>2</v>
      </c>
      <c r="J63" s="23">
        <v>0.16</v>
      </c>
      <c r="K63" s="23">
        <v>0.13639999999999999</v>
      </c>
      <c r="L63" s="23">
        <v>0.64</v>
      </c>
      <c r="M63" s="23">
        <v>0.28360000000000002</v>
      </c>
      <c r="N63" s="23">
        <v>1</v>
      </c>
      <c r="O63" s="23">
        <v>71</v>
      </c>
      <c r="P63" s="23">
        <v>72</v>
      </c>
    </row>
    <row r="64" spans="1:16" x14ac:dyDescent="0.35">
      <c r="A64" s="23">
        <v>673</v>
      </c>
      <c r="B64" s="23" t="s">
        <v>350</v>
      </c>
      <c r="C64" s="23">
        <v>1</v>
      </c>
      <c r="D64" s="23">
        <v>0</v>
      </c>
      <c r="E64" s="23">
        <v>1</v>
      </c>
      <c r="F64" s="23">
        <v>8</v>
      </c>
      <c r="G64" s="23" t="b">
        <f>FALSE()</f>
        <v>0</v>
      </c>
      <c r="H64" s="23">
        <v>1</v>
      </c>
      <c r="I64" s="23">
        <v>2</v>
      </c>
      <c r="J64" s="23">
        <v>0.16</v>
      </c>
      <c r="K64" s="23">
        <v>0.13639999999999999</v>
      </c>
      <c r="L64" s="23">
        <v>0.59</v>
      </c>
      <c r="M64" s="23">
        <v>0.28360000000000002</v>
      </c>
      <c r="N64" s="23">
        <v>3</v>
      </c>
      <c r="O64" s="23">
        <v>182</v>
      </c>
      <c r="P64" s="23">
        <v>185</v>
      </c>
    </row>
    <row r="65" spans="1:16" x14ac:dyDescent="0.35">
      <c r="A65" s="23">
        <v>674</v>
      </c>
      <c r="B65" s="23" t="s">
        <v>350</v>
      </c>
      <c r="C65" s="23">
        <v>1</v>
      </c>
      <c r="D65" s="23">
        <v>0</v>
      </c>
      <c r="E65" s="23">
        <v>1</v>
      </c>
      <c r="F65" s="23">
        <v>9</v>
      </c>
      <c r="G65" s="23" t="b">
        <f>FALSE()</f>
        <v>0</v>
      </c>
      <c r="H65" s="23">
        <v>1</v>
      </c>
      <c r="I65" s="23">
        <v>2</v>
      </c>
      <c r="J65" s="23">
        <v>0.16</v>
      </c>
      <c r="K65" s="23">
        <v>0.13639999999999999</v>
      </c>
      <c r="L65" s="23">
        <v>0.59</v>
      </c>
      <c r="M65" s="23">
        <v>0.29849999999999999</v>
      </c>
      <c r="N65" s="23">
        <v>0</v>
      </c>
      <c r="O65" s="23">
        <v>112</v>
      </c>
      <c r="P65" s="23">
        <v>112</v>
      </c>
    </row>
    <row r="66" spans="1:16" x14ac:dyDescent="0.35">
      <c r="A66" s="23">
        <v>675</v>
      </c>
      <c r="B66" s="23" t="s">
        <v>350</v>
      </c>
      <c r="C66" s="23">
        <v>1</v>
      </c>
      <c r="D66" s="23">
        <v>0</v>
      </c>
      <c r="E66" s="23">
        <v>1</v>
      </c>
      <c r="F66" s="23">
        <v>10</v>
      </c>
      <c r="G66" s="23" t="b">
        <f>FALSE()</f>
        <v>0</v>
      </c>
      <c r="H66" s="23">
        <v>1</v>
      </c>
      <c r="I66" s="23">
        <v>2</v>
      </c>
      <c r="J66" s="23">
        <v>0.16</v>
      </c>
      <c r="K66" s="23">
        <v>0.1515</v>
      </c>
      <c r="L66" s="23">
        <v>0.59</v>
      </c>
      <c r="M66" s="23">
        <v>0.19400000000000001</v>
      </c>
      <c r="N66" s="23">
        <v>1</v>
      </c>
      <c r="O66" s="23">
        <v>68</v>
      </c>
      <c r="P66" s="23">
        <v>69</v>
      </c>
    </row>
    <row r="67" spans="1:16" x14ac:dyDescent="0.35">
      <c r="A67" s="23">
        <v>676</v>
      </c>
      <c r="B67" s="23" t="s">
        <v>350</v>
      </c>
      <c r="C67" s="23">
        <v>1</v>
      </c>
      <c r="D67" s="23">
        <v>0</v>
      </c>
      <c r="E67" s="23">
        <v>1</v>
      </c>
      <c r="F67" s="23">
        <v>11</v>
      </c>
      <c r="G67" s="23" t="b">
        <f>FALSE()</f>
        <v>0</v>
      </c>
      <c r="H67" s="23">
        <v>1</v>
      </c>
      <c r="I67" s="23">
        <v>2</v>
      </c>
      <c r="J67" s="23">
        <v>0.16</v>
      </c>
      <c r="K67" s="23">
        <v>0.1515</v>
      </c>
      <c r="L67" s="23">
        <v>0.59</v>
      </c>
      <c r="M67" s="23">
        <v>0.19400000000000001</v>
      </c>
      <c r="N67" s="23">
        <v>2</v>
      </c>
      <c r="O67" s="23">
        <v>46</v>
      </c>
      <c r="P67" s="23">
        <v>48</v>
      </c>
    </row>
    <row r="68" spans="1:16" x14ac:dyDescent="0.35">
      <c r="A68" s="23">
        <v>677</v>
      </c>
      <c r="B68" s="23" t="s">
        <v>350</v>
      </c>
      <c r="C68" s="23">
        <v>1</v>
      </c>
      <c r="D68" s="23">
        <v>0</v>
      </c>
      <c r="E68" s="23">
        <v>1</v>
      </c>
      <c r="F68" s="23">
        <v>12</v>
      </c>
      <c r="G68" s="23" t="b">
        <f>FALSE()</f>
        <v>0</v>
      </c>
      <c r="H68" s="23">
        <v>1</v>
      </c>
      <c r="I68" s="23">
        <v>2</v>
      </c>
      <c r="J68" s="23">
        <v>0.18</v>
      </c>
      <c r="K68" s="23">
        <v>0.21210000000000001</v>
      </c>
      <c r="L68" s="23">
        <v>0.55000000000000004</v>
      </c>
      <c r="M68" s="23">
        <v>0.1045</v>
      </c>
      <c r="N68" s="23">
        <v>6</v>
      </c>
      <c r="O68" s="23">
        <v>62</v>
      </c>
      <c r="P68" s="23">
        <v>68</v>
      </c>
    </row>
    <row r="69" spans="1:16" x14ac:dyDescent="0.35">
      <c r="A69" s="23">
        <v>678</v>
      </c>
      <c r="B69" s="23" t="s">
        <v>350</v>
      </c>
      <c r="C69" s="23">
        <v>1</v>
      </c>
      <c r="D69" s="23">
        <v>0</v>
      </c>
      <c r="E69" s="23">
        <v>1</v>
      </c>
      <c r="F69" s="23">
        <v>13</v>
      </c>
      <c r="G69" s="23" t="b">
        <f>FALSE()</f>
        <v>0</v>
      </c>
      <c r="H69" s="23">
        <v>1</v>
      </c>
      <c r="I69" s="23">
        <v>2</v>
      </c>
      <c r="J69" s="23">
        <v>0.16</v>
      </c>
      <c r="K69" s="23">
        <v>0.2273</v>
      </c>
      <c r="L69" s="23">
        <v>0.59</v>
      </c>
      <c r="M69" s="23">
        <v>0</v>
      </c>
      <c r="N69" s="23">
        <v>2</v>
      </c>
      <c r="O69" s="23">
        <v>52</v>
      </c>
      <c r="P69" s="23">
        <v>54</v>
      </c>
    </row>
    <row r="70" spans="1:16" x14ac:dyDescent="0.35">
      <c r="A70" s="23">
        <v>679</v>
      </c>
      <c r="B70" s="23" t="s">
        <v>350</v>
      </c>
      <c r="C70" s="23">
        <v>1</v>
      </c>
      <c r="D70" s="23">
        <v>0</v>
      </c>
      <c r="E70" s="23">
        <v>1</v>
      </c>
      <c r="F70" s="23">
        <v>14</v>
      </c>
      <c r="G70" s="23" t="b">
        <f>FALSE()</f>
        <v>0</v>
      </c>
      <c r="H70" s="23">
        <v>1</v>
      </c>
      <c r="I70" s="23">
        <v>2</v>
      </c>
      <c r="J70" s="23">
        <v>0.18</v>
      </c>
      <c r="K70" s="23">
        <v>0.19700000000000001</v>
      </c>
      <c r="L70" s="23">
        <v>0.55000000000000004</v>
      </c>
      <c r="M70" s="23">
        <v>0.1343</v>
      </c>
      <c r="N70" s="23">
        <v>1</v>
      </c>
      <c r="O70" s="23">
        <v>85</v>
      </c>
      <c r="P70" s="23">
        <v>86</v>
      </c>
    </row>
    <row r="71" spans="1:16" x14ac:dyDescent="0.35">
      <c r="A71" s="23">
        <v>680</v>
      </c>
      <c r="B71" s="23" t="s">
        <v>350</v>
      </c>
      <c r="C71" s="23">
        <v>1</v>
      </c>
      <c r="D71" s="23">
        <v>0</v>
      </c>
      <c r="E71" s="23">
        <v>1</v>
      </c>
      <c r="F71" s="23">
        <v>15</v>
      </c>
      <c r="G71" s="23" t="b">
        <f>FALSE()</f>
        <v>0</v>
      </c>
      <c r="H71" s="23">
        <v>1</v>
      </c>
      <c r="I71" s="23">
        <v>2</v>
      </c>
      <c r="J71" s="23">
        <v>0.16</v>
      </c>
      <c r="K71" s="23">
        <v>0.18179999999999999</v>
      </c>
      <c r="L71" s="23">
        <v>0.59</v>
      </c>
      <c r="M71" s="23">
        <v>0.1343</v>
      </c>
      <c r="N71" s="23">
        <v>3</v>
      </c>
      <c r="O71" s="23">
        <v>41</v>
      </c>
      <c r="P71" s="23">
        <v>44</v>
      </c>
    </row>
    <row r="72" spans="1:16" x14ac:dyDescent="0.35">
      <c r="A72" s="23">
        <v>681</v>
      </c>
      <c r="B72" s="23" t="s">
        <v>350</v>
      </c>
      <c r="C72" s="23">
        <v>1</v>
      </c>
      <c r="D72" s="23">
        <v>0</v>
      </c>
      <c r="E72" s="23">
        <v>1</v>
      </c>
      <c r="F72" s="23">
        <v>16</v>
      </c>
      <c r="G72" s="23" t="b">
        <f>FALSE()</f>
        <v>0</v>
      </c>
      <c r="H72" s="23">
        <v>1</v>
      </c>
      <c r="I72" s="23">
        <v>2</v>
      </c>
      <c r="J72" s="23">
        <v>0.16</v>
      </c>
      <c r="K72" s="23">
        <v>0.18179999999999999</v>
      </c>
      <c r="L72" s="23">
        <v>0.56000000000000005</v>
      </c>
      <c r="M72" s="23">
        <v>0.19400000000000001</v>
      </c>
      <c r="N72" s="23">
        <v>3</v>
      </c>
      <c r="O72" s="23">
        <v>83</v>
      </c>
      <c r="P72" s="23">
        <v>86</v>
      </c>
    </row>
    <row r="73" spans="1:16" x14ac:dyDescent="0.35">
      <c r="A73" s="23">
        <v>682</v>
      </c>
      <c r="B73" s="23" t="s">
        <v>350</v>
      </c>
      <c r="C73" s="23">
        <v>1</v>
      </c>
      <c r="D73" s="23">
        <v>0</v>
      </c>
      <c r="E73" s="23">
        <v>1</v>
      </c>
      <c r="F73" s="23">
        <v>17</v>
      </c>
      <c r="G73" s="23" t="b">
        <f>FALSE()</f>
        <v>0</v>
      </c>
      <c r="H73" s="23">
        <v>1</v>
      </c>
      <c r="I73" s="23">
        <v>2</v>
      </c>
      <c r="J73" s="23">
        <v>0.16</v>
      </c>
      <c r="K73" s="23">
        <v>0.1515</v>
      </c>
      <c r="L73" s="23">
        <v>0.59</v>
      </c>
      <c r="M73" s="23">
        <v>0.19400000000000001</v>
      </c>
      <c r="N73" s="23">
        <v>6</v>
      </c>
      <c r="O73" s="23">
        <v>155</v>
      </c>
      <c r="P73" s="23">
        <v>161</v>
      </c>
    </row>
    <row r="74" spans="1:16" x14ac:dyDescent="0.35">
      <c r="A74" s="23">
        <v>683</v>
      </c>
      <c r="B74" s="23" t="s">
        <v>350</v>
      </c>
      <c r="C74" s="23">
        <v>1</v>
      </c>
      <c r="D74" s="23">
        <v>0</v>
      </c>
      <c r="E74" s="23">
        <v>1</v>
      </c>
      <c r="F74" s="23">
        <v>18</v>
      </c>
      <c r="G74" s="23" t="b">
        <f>FALSE()</f>
        <v>0</v>
      </c>
      <c r="H74" s="23">
        <v>1</v>
      </c>
      <c r="I74" s="23">
        <v>2</v>
      </c>
      <c r="J74" s="23">
        <v>0.16</v>
      </c>
      <c r="K74" s="23">
        <v>0.1515</v>
      </c>
      <c r="L74" s="23">
        <v>0.55000000000000004</v>
      </c>
      <c r="M74" s="23">
        <v>0.22389999999999999</v>
      </c>
      <c r="N74" s="23">
        <v>3</v>
      </c>
      <c r="O74" s="23">
        <v>153</v>
      </c>
      <c r="P74" s="23">
        <v>156</v>
      </c>
    </row>
    <row r="75" spans="1:16" x14ac:dyDescent="0.35">
      <c r="A75" s="23">
        <v>684</v>
      </c>
      <c r="B75" s="23" t="s">
        <v>350</v>
      </c>
      <c r="C75" s="23">
        <v>1</v>
      </c>
      <c r="D75" s="23">
        <v>0</v>
      </c>
      <c r="E75" s="23">
        <v>1</v>
      </c>
      <c r="F75" s="23">
        <v>19</v>
      </c>
      <c r="G75" s="23" t="b">
        <f>FALSE()</f>
        <v>0</v>
      </c>
      <c r="H75" s="23">
        <v>1</v>
      </c>
      <c r="I75" s="23">
        <v>1</v>
      </c>
      <c r="J75" s="23">
        <v>0.3</v>
      </c>
      <c r="K75" s="23">
        <v>0.31819999999999998</v>
      </c>
      <c r="L75" s="23">
        <v>0.61</v>
      </c>
      <c r="M75" s="23">
        <v>0.1045</v>
      </c>
      <c r="N75" s="23">
        <v>3</v>
      </c>
      <c r="O75" s="23">
        <v>108</v>
      </c>
      <c r="P75" s="23">
        <v>111</v>
      </c>
    </row>
    <row r="76" spans="1:16" x14ac:dyDescent="0.35">
      <c r="A76" s="23">
        <v>685</v>
      </c>
      <c r="B76" s="23" t="s">
        <v>350</v>
      </c>
      <c r="C76" s="23">
        <v>1</v>
      </c>
      <c r="D76" s="23">
        <v>0</v>
      </c>
      <c r="E76" s="23">
        <v>1</v>
      </c>
      <c r="F76" s="23">
        <v>20</v>
      </c>
      <c r="G76" s="23" t="b">
        <f>FALSE()</f>
        <v>0</v>
      </c>
      <c r="H76" s="23">
        <v>1</v>
      </c>
      <c r="I76" s="23">
        <v>3</v>
      </c>
      <c r="J76" s="23">
        <v>0.16</v>
      </c>
      <c r="K76" s="23">
        <v>0.16669999999999999</v>
      </c>
      <c r="L76" s="23">
        <v>0.59</v>
      </c>
      <c r="M76" s="23">
        <v>0.16420000000000001</v>
      </c>
      <c r="N76" s="23">
        <v>0</v>
      </c>
      <c r="O76" s="23">
        <v>78</v>
      </c>
      <c r="P76" s="23">
        <v>78</v>
      </c>
    </row>
    <row r="77" spans="1:16" x14ac:dyDescent="0.35">
      <c r="A77" s="23">
        <v>686</v>
      </c>
      <c r="B77" s="23" t="s">
        <v>350</v>
      </c>
      <c r="C77" s="23">
        <v>1</v>
      </c>
      <c r="D77" s="23">
        <v>0</v>
      </c>
      <c r="E77" s="23">
        <v>1</v>
      </c>
      <c r="F77" s="23">
        <v>21</v>
      </c>
      <c r="G77" s="23" t="b">
        <f>FALSE()</f>
        <v>0</v>
      </c>
      <c r="H77" s="23">
        <v>1</v>
      </c>
      <c r="I77" s="23">
        <v>3</v>
      </c>
      <c r="J77" s="23">
        <v>0.16</v>
      </c>
      <c r="K77" s="23">
        <v>0.19700000000000001</v>
      </c>
      <c r="L77" s="23">
        <v>0.59</v>
      </c>
      <c r="M77" s="23">
        <v>8.9599999999999999E-2</v>
      </c>
      <c r="N77" s="23">
        <v>3</v>
      </c>
      <c r="O77" s="23">
        <v>53</v>
      </c>
      <c r="P77" s="23">
        <v>56</v>
      </c>
    </row>
    <row r="78" spans="1:16" x14ac:dyDescent="0.35">
      <c r="A78" s="23">
        <v>687</v>
      </c>
      <c r="B78" s="23" t="s">
        <v>350</v>
      </c>
      <c r="C78" s="23">
        <v>1</v>
      </c>
      <c r="D78" s="23">
        <v>0</v>
      </c>
      <c r="E78" s="23">
        <v>1</v>
      </c>
      <c r="F78" s="23">
        <v>22</v>
      </c>
      <c r="G78" s="23" t="b">
        <f>FALSE()</f>
        <v>0</v>
      </c>
      <c r="H78" s="23">
        <v>1</v>
      </c>
      <c r="I78" s="23">
        <v>2</v>
      </c>
      <c r="J78" s="23">
        <v>0.16</v>
      </c>
      <c r="K78" s="23">
        <v>0.18179999999999999</v>
      </c>
      <c r="L78" s="23">
        <v>0.59</v>
      </c>
      <c r="M78" s="23">
        <v>0.1045</v>
      </c>
      <c r="N78" s="23">
        <v>0</v>
      </c>
      <c r="O78" s="23">
        <v>34</v>
      </c>
      <c r="P78" s="23">
        <v>34</v>
      </c>
    </row>
    <row r="79" spans="1:16" x14ac:dyDescent="0.35">
      <c r="A79" s="23">
        <v>688</v>
      </c>
      <c r="B79" s="23" t="s">
        <v>350</v>
      </c>
      <c r="C79" s="23">
        <v>1</v>
      </c>
      <c r="D79" s="23">
        <v>0</v>
      </c>
      <c r="E79" s="23">
        <v>1</v>
      </c>
      <c r="F79" s="23">
        <v>23</v>
      </c>
      <c r="G79" s="23" t="b">
        <f>FALSE()</f>
        <v>0</v>
      </c>
      <c r="H79" s="23">
        <v>1</v>
      </c>
      <c r="I79" s="23">
        <v>2</v>
      </c>
      <c r="J79" s="23">
        <v>0.16</v>
      </c>
      <c r="K79" s="23">
        <v>0.19700000000000001</v>
      </c>
      <c r="L79" s="23">
        <v>0.64</v>
      </c>
      <c r="M79" s="23">
        <v>8.9599999999999999E-2</v>
      </c>
      <c r="N79" s="23">
        <v>2</v>
      </c>
      <c r="O79" s="23">
        <v>15</v>
      </c>
      <c r="P79" s="23">
        <v>17</v>
      </c>
    </row>
    <row r="80" spans="1:16" x14ac:dyDescent="0.35">
      <c r="A80" s="23">
        <v>689</v>
      </c>
      <c r="B80" s="23" t="s">
        <v>351</v>
      </c>
      <c r="C80" s="23">
        <v>1</v>
      </c>
      <c r="D80" s="23">
        <v>0</v>
      </c>
      <c r="E80" s="23">
        <v>2</v>
      </c>
      <c r="F80" s="23">
        <v>0</v>
      </c>
      <c r="G80" s="23" t="b">
        <f>FALSE()</f>
        <v>0</v>
      </c>
      <c r="H80" s="23">
        <v>2</v>
      </c>
      <c r="I80" s="23">
        <v>2</v>
      </c>
      <c r="J80" s="23">
        <v>0.16</v>
      </c>
      <c r="K80" s="23">
        <v>0.18179999999999999</v>
      </c>
      <c r="L80" s="23">
        <v>0.64</v>
      </c>
      <c r="M80" s="23">
        <v>0.1045</v>
      </c>
      <c r="N80" s="23">
        <v>2</v>
      </c>
      <c r="O80" s="23">
        <v>6</v>
      </c>
      <c r="P80" s="23">
        <v>8</v>
      </c>
    </row>
    <row r="81" spans="1:16" x14ac:dyDescent="0.35">
      <c r="A81" s="23">
        <v>690</v>
      </c>
      <c r="B81" s="23" t="s">
        <v>351</v>
      </c>
      <c r="C81" s="23">
        <v>1</v>
      </c>
      <c r="D81" s="23">
        <v>0</v>
      </c>
      <c r="E81" s="23">
        <v>2</v>
      </c>
      <c r="F81" s="23">
        <v>1</v>
      </c>
      <c r="G81" s="23" t="b">
        <f>FALSE()</f>
        <v>0</v>
      </c>
      <c r="H81" s="23">
        <v>2</v>
      </c>
      <c r="I81" s="23">
        <v>2</v>
      </c>
      <c r="J81" s="23">
        <v>0.16</v>
      </c>
      <c r="K81" s="23">
        <v>0.18179999999999999</v>
      </c>
      <c r="L81" s="23">
        <v>0.69</v>
      </c>
      <c r="M81" s="23">
        <v>0.1045</v>
      </c>
      <c r="N81" s="23">
        <v>0</v>
      </c>
      <c r="O81" s="23">
        <v>3</v>
      </c>
      <c r="P81" s="23">
        <v>3</v>
      </c>
    </row>
    <row r="82" spans="1:16" x14ac:dyDescent="0.35">
      <c r="A82" s="23">
        <v>691</v>
      </c>
      <c r="B82" s="23" t="s">
        <v>351</v>
      </c>
      <c r="C82" s="23">
        <v>1</v>
      </c>
      <c r="D82" s="23">
        <v>0</v>
      </c>
      <c r="E82" s="23">
        <v>2</v>
      </c>
      <c r="F82" s="23">
        <v>2</v>
      </c>
      <c r="G82" s="23" t="b">
        <f>FALSE()</f>
        <v>0</v>
      </c>
      <c r="H82" s="23">
        <v>2</v>
      </c>
      <c r="I82" s="23">
        <v>2</v>
      </c>
      <c r="J82" s="23">
        <v>0.16</v>
      </c>
      <c r="K82" s="23">
        <v>0.2273</v>
      </c>
      <c r="L82" s="23">
        <v>0.69</v>
      </c>
      <c r="M82" s="23">
        <v>0</v>
      </c>
      <c r="N82" s="23">
        <v>0</v>
      </c>
      <c r="O82" s="23">
        <v>2</v>
      </c>
      <c r="P82" s="23">
        <v>2</v>
      </c>
    </row>
    <row r="83" spans="1:16" x14ac:dyDescent="0.35">
      <c r="A83" s="23">
        <v>692</v>
      </c>
      <c r="B83" s="23" t="s">
        <v>351</v>
      </c>
      <c r="C83" s="23">
        <v>1</v>
      </c>
      <c r="D83" s="23">
        <v>0</v>
      </c>
      <c r="E83" s="23">
        <v>2</v>
      </c>
      <c r="F83" s="23">
        <v>3</v>
      </c>
      <c r="G83" s="23" t="b">
        <f>FALSE()</f>
        <v>0</v>
      </c>
      <c r="H83" s="23">
        <v>2</v>
      </c>
      <c r="I83" s="23">
        <v>2</v>
      </c>
      <c r="J83" s="23">
        <v>0.16</v>
      </c>
      <c r="K83" s="23">
        <v>0.2273</v>
      </c>
      <c r="L83" s="23">
        <v>0.69</v>
      </c>
      <c r="M83" s="23">
        <v>0</v>
      </c>
      <c r="N83" s="23">
        <v>0</v>
      </c>
      <c r="O83" s="23">
        <v>2</v>
      </c>
      <c r="P83" s="23">
        <v>2</v>
      </c>
    </row>
    <row r="84" spans="1:16" x14ac:dyDescent="0.35">
      <c r="A84" s="23">
        <v>693</v>
      </c>
      <c r="B84" s="23" t="s">
        <v>351</v>
      </c>
      <c r="C84" s="23">
        <v>1</v>
      </c>
      <c r="D84" s="23">
        <v>0</v>
      </c>
      <c r="E84" s="23">
        <v>2</v>
      </c>
      <c r="F84" s="23">
        <v>5</v>
      </c>
      <c r="G84" s="23" t="b">
        <f>FALSE()</f>
        <v>0</v>
      </c>
      <c r="H84" s="23">
        <v>2</v>
      </c>
      <c r="I84" s="23">
        <v>3</v>
      </c>
      <c r="J84" s="23">
        <v>0.14000000000000001</v>
      </c>
      <c r="K84" s="23">
        <v>0.21210000000000001</v>
      </c>
      <c r="L84" s="23">
        <v>0.93</v>
      </c>
      <c r="M84" s="23">
        <v>0</v>
      </c>
      <c r="N84" s="23">
        <v>0</v>
      </c>
      <c r="O84" s="23">
        <v>3</v>
      </c>
      <c r="P84" s="23">
        <v>3</v>
      </c>
    </row>
    <row r="85" spans="1:16" x14ac:dyDescent="0.35">
      <c r="A85" s="23">
        <v>694</v>
      </c>
      <c r="B85" s="23" t="s">
        <v>351</v>
      </c>
      <c r="C85" s="23">
        <v>1</v>
      </c>
      <c r="D85" s="23">
        <v>0</v>
      </c>
      <c r="E85" s="23">
        <v>2</v>
      </c>
      <c r="F85" s="23">
        <v>6</v>
      </c>
      <c r="G85" s="23" t="b">
        <f>FALSE()</f>
        <v>0</v>
      </c>
      <c r="H85" s="23">
        <v>2</v>
      </c>
      <c r="I85" s="23">
        <v>3</v>
      </c>
      <c r="J85" s="23">
        <v>0.14000000000000001</v>
      </c>
      <c r="K85" s="23">
        <v>0.21210000000000001</v>
      </c>
      <c r="L85" s="23">
        <v>0.93</v>
      </c>
      <c r="M85" s="23">
        <v>0</v>
      </c>
      <c r="N85" s="23">
        <v>0</v>
      </c>
      <c r="O85" s="23">
        <v>22</v>
      </c>
      <c r="P85" s="23">
        <v>22</v>
      </c>
    </row>
    <row r="86" spans="1:16" x14ac:dyDescent="0.35">
      <c r="A86" s="23">
        <v>695</v>
      </c>
      <c r="B86" s="23" t="s">
        <v>351</v>
      </c>
      <c r="C86" s="23">
        <v>1</v>
      </c>
      <c r="D86" s="23">
        <v>0</v>
      </c>
      <c r="E86" s="23">
        <v>2</v>
      </c>
      <c r="F86" s="23">
        <v>7</v>
      </c>
      <c r="G86" s="23" t="b">
        <f>FALSE()</f>
        <v>0</v>
      </c>
      <c r="H86" s="23">
        <v>2</v>
      </c>
      <c r="I86" s="23">
        <v>3</v>
      </c>
      <c r="J86" s="23">
        <v>0.16</v>
      </c>
      <c r="K86" s="23">
        <v>0.2273</v>
      </c>
      <c r="L86" s="23">
        <v>0.93</v>
      </c>
      <c r="M86" s="23">
        <v>0</v>
      </c>
      <c r="N86" s="23">
        <v>0</v>
      </c>
      <c r="O86" s="23">
        <v>52</v>
      </c>
      <c r="P86" s="23">
        <v>52</v>
      </c>
    </row>
    <row r="87" spans="1:16" x14ac:dyDescent="0.35">
      <c r="A87" s="23">
        <v>696</v>
      </c>
      <c r="B87" s="23" t="s">
        <v>351</v>
      </c>
      <c r="C87" s="23">
        <v>1</v>
      </c>
      <c r="D87" s="23">
        <v>0</v>
      </c>
      <c r="E87" s="23">
        <v>2</v>
      </c>
      <c r="F87" s="23">
        <v>8</v>
      </c>
      <c r="G87" s="23" t="b">
        <f>FALSE()</f>
        <v>0</v>
      </c>
      <c r="H87" s="23">
        <v>2</v>
      </c>
      <c r="I87" s="23">
        <v>3</v>
      </c>
      <c r="J87" s="23">
        <v>0.16</v>
      </c>
      <c r="K87" s="23">
        <v>0.2273</v>
      </c>
      <c r="L87" s="23">
        <v>0.93</v>
      </c>
      <c r="M87" s="23">
        <v>0</v>
      </c>
      <c r="N87" s="23">
        <v>3</v>
      </c>
      <c r="O87" s="23">
        <v>132</v>
      </c>
      <c r="P87" s="23">
        <v>135</v>
      </c>
    </row>
    <row r="88" spans="1:16" x14ac:dyDescent="0.35">
      <c r="A88" s="23">
        <v>697</v>
      </c>
      <c r="B88" s="23" t="s">
        <v>351</v>
      </c>
      <c r="C88" s="23">
        <v>1</v>
      </c>
      <c r="D88" s="23">
        <v>0</v>
      </c>
      <c r="E88" s="23">
        <v>2</v>
      </c>
      <c r="F88" s="23">
        <v>9</v>
      </c>
      <c r="G88" s="23" t="b">
        <f>FALSE()</f>
        <v>0</v>
      </c>
      <c r="H88" s="23">
        <v>2</v>
      </c>
      <c r="I88" s="23">
        <v>2</v>
      </c>
      <c r="J88" s="23">
        <v>0.16</v>
      </c>
      <c r="K88" s="23">
        <v>0.2273</v>
      </c>
      <c r="L88" s="23">
        <v>0.93</v>
      </c>
      <c r="M88" s="23">
        <v>0</v>
      </c>
      <c r="N88" s="23">
        <v>2</v>
      </c>
      <c r="O88" s="23">
        <v>114</v>
      </c>
      <c r="P88" s="23">
        <v>116</v>
      </c>
    </row>
    <row r="89" spans="1:16" x14ac:dyDescent="0.35">
      <c r="A89" s="23">
        <v>698</v>
      </c>
      <c r="B89" s="23" t="s">
        <v>351</v>
      </c>
      <c r="C89" s="23">
        <v>1</v>
      </c>
      <c r="D89" s="23">
        <v>0</v>
      </c>
      <c r="E89" s="23">
        <v>2</v>
      </c>
      <c r="F89" s="23">
        <v>10</v>
      </c>
      <c r="G89" s="23" t="b">
        <f>FALSE()</f>
        <v>0</v>
      </c>
      <c r="H89" s="23">
        <v>2</v>
      </c>
      <c r="I89" s="23">
        <v>2</v>
      </c>
      <c r="J89" s="23">
        <v>0.16</v>
      </c>
      <c r="K89" s="23">
        <v>0.2273</v>
      </c>
      <c r="L89" s="23">
        <v>0.93</v>
      </c>
      <c r="M89" s="23">
        <v>0</v>
      </c>
      <c r="N89" s="23">
        <v>0</v>
      </c>
      <c r="O89" s="23">
        <v>47</v>
      </c>
      <c r="P89" s="23">
        <v>47</v>
      </c>
    </row>
    <row r="90" spans="1:16" x14ac:dyDescent="0.35">
      <c r="A90" s="23">
        <v>699</v>
      </c>
      <c r="B90" s="23" t="s">
        <v>351</v>
      </c>
      <c r="C90" s="23">
        <v>1</v>
      </c>
      <c r="D90" s="23">
        <v>0</v>
      </c>
      <c r="E90" s="23">
        <v>2</v>
      </c>
      <c r="F90" s="23">
        <v>11</v>
      </c>
      <c r="G90" s="23" t="b">
        <f>FALSE()</f>
        <v>0</v>
      </c>
      <c r="H90" s="23">
        <v>2</v>
      </c>
      <c r="I90" s="23">
        <v>2</v>
      </c>
      <c r="J90" s="23">
        <v>0.18</v>
      </c>
      <c r="K90" s="23">
        <v>0.2424</v>
      </c>
      <c r="L90" s="23">
        <v>0.86</v>
      </c>
      <c r="M90" s="23">
        <v>0</v>
      </c>
      <c r="N90" s="23">
        <v>2</v>
      </c>
      <c r="O90" s="23">
        <v>49</v>
      </c>
      <c r="P90" s="23">
        <v>51</v>
      </c>
    </row>
    <row r="91" spans="1:16" x14ac:dyDescent="0.35">
      <c r="A91" s="23">
        <v>700</v>
      </c>
      <c r="B91" s="23" t="s">
        <v>351</v>
      </c>
      <c r="C91" s="23">
        <v>1</v>
      </c>
      <c r="D91" s="23">
        <v>0</v>
      </c>
      <c r="E91" s="23">
        <v>2</v>
      </c>
      <c r="F91" s="23">
        <v>12</v>
      </c>
      <c r="G91" s="23" t="b">
        <f>FALSE()</f>
        <v>0</v>
      </c>
      <c r="H91" s="23">
        <v>2</v>
      </c>
      <c r="I91" s="23">
        <v>2</v>
      </c>
      <c r="J91" s="23">
        <v>0.2</v>
      </c>
      <c r="K91" s="23">
        <v>0.2576</v>
      </c>
      <c r="L91" s="23">
        <v>0.86</v>
      </c>
      <c r="M91" s="23">
        <v>0</v>
      </c>
      <c r="N91" s="23">
        <v>2</v>
      </c>
      <c r="O91" s="23">
        <v>53</v>
      </c>
      <c r="P91" s="23">
        <v>55</v>
      </c>
    </row>
    <row r="92" spans="1:16" x14ac:dyDescent="0.35">
      <c r="A92" s="23">
        <v>701</v>
      </c>
      <c r="B92" s="23" t="s">
        <v>351</v>
      </c>
      <c r="C92" s="23">
        <v>1</v>
      </c>
      <c r="D92" s="23">
        <v>0</v>
      </c>
      <c r="E92" s="23">
        <v>2</v>
      </c>
      <c r="F92" s="23">
        <v>13</v>
      </c>
      <c r="G92" s="23" t="b">
        <f>FALSE()</f>
        <v>0</v>
      </c>
      <c r="H92" s="23">
        <v>2</v>
      </c>
      <c r="I92" s="23">
        <v>2</v>
      </c>
      <c r="J92" s="23">
        <v>0.2</v>
      </c>
      <c r="K92" s="23">
        <v>0.2576</v>
      </c>
      <c r="L92" s="23">
        <v>0.86</v>
      </c>
      <c r="M92" s="23">
        <v>0</v>
      </c>
      <c r="N92" s="23">
        <v>3</v>
      </c>
      <c r="O92" s="23">
        <v>49</v>
      </c>
      <c r="P92" s="23">
        <v>52</v>
      </c>
    </row>
    <row r="93" spans="1:16" x14ac:dyDescent="0.35">
      <c r="A93" s="23">
        <v>702</v>
      </c>
      <c r="B93" s="23" t="s">
        <v>351</v>
      </c>
      <c r="C93" s="23">
        <v>1</v>
      </c>
      <c r="D93" s="23">
        <v>0</v>
      </c>
      <c r="E93" s="23">
        <v>2</v>
      </c>
      <c r="F93" s="23">
        <v>14</v>
      </c>
      <c r="G93" s="23" t="b">
        <f>FALSE()</f>
        <v>0</v>
      </c>
      <c r="H93" s="23">
        <v>2</v>
      </c>
      <c r="I93" s="23">
        <v>2</v>
      </c>
      <c r="J93" s="23">
        <v>0.22</v>
      </c>
      <c r="K93" s="23">
        <v>0.2576</v>
      </c>
      <c r="L93" s="23">
        <v>0.8</v>
      </c>
      <c r="M93" s="23">
        <v>8.9599999999999999E-2</v>
      </c>
      <c r="N93" s="23">
        <v>5</v>
      </c>
      <c r="O93" s="23">
        <v>49</v>
      </c>
      <c r="P93" s="23">
        <v>54</v>
      </c>
    </row>
    <row r="94" spans="1:16" x14ac:dyDescent="0.35">
      <c r="A94" s="23">
        <v>703</v>
      </c>
      <c r="B94" s="23" t="s">
        <v>351</v>
      </c>
      <c r="C94" s="23">
        <v>1</v>
      </c>
      <c r="D94" s="23">
        <v>0</v>
      </c>
      <c r="E94" s="23">
        <v>2</v>
      </c>
      <c r="F94" s="23">
        <v>15</v>
      </c>
      <c r="G94" s="23" t="b">
        <f>FALSE()</f>
        <v>0</v>
      </c>
      <c r="H94" s="23">
        <v>2</v>
      </c>
      <c r="I94" s="23">
        <v>2</v>
      </c>
      <c r="J94" s="23">
        <v>0.24</v>
      </c>
      <c r="K94" s="23">
        <v>0.28789999999999999</v>
      </c>
      <c r="L94" s="23">
        <v>0.75</v>
      </c>
      <c r="M94" s="23">
        <v>0</v>
      </c>
      <c r="N94" s="23">
        <v>7</v>
      </c>
      <c r="O94" s="23">
        <v>45</v>
      </c>
      <c r="P94" s="23">
        <v>52</v>
      </c>
    </row>
    <row r="95" spans="1:16" x14ac:dyDescent="0.35">
      <c r="A95" s="23">
        <v>704</v>
      </c>
      <c r="B95" s="23" t="s">
        <v>351</v>
      </c>
      <c r="C95" s="23">
        <v>1</v>
      </c>
      <c r="D95" s="23">
        <v>0</v>
      </c>
      <c r="E95" s="23">
        <v>2</v>
      </c>
      <c r="F95" s="23">
        <v>16</v>
      </c>
      <c r="G95" s="23" t="b">
        <f>FALSE()</f>
        <v>0</v>
      </c>
      <c r="H95" s="23">
        <v>2</v>
      </c>
      <c r="I95" s="23">
        <v>2</v>
      </c>
      <c r="J95" s="23">
        <v>0.24</v>
      </c>
      <c r="K95" s="23">
        <v>0.2424</v>
      </c>
      <c r="L95" s="23">
        <v>0.75</v>
      </c>
      <c r="M95" s="23">
        <v>0.1343</v>
      </c>
      <c r="N95" s="23">
        <v>3</v>
      </c>
      <c r="O95" s="23">
        <v>61</v>
      </c>
      <c r="P95" s="23">
        <v>64</v>
      </c>
    </row>
    <row r="96" spans="1:16" x14ac:dyDescent="0.35">
      <c r="A96" s="23">
        <v>705</v>
      </c>
      <c r="B96" s="23" t="s">
        <v>351</v>
      </c>
      <c r="C96" s="23">
        <v>1</v>
      </c>
      <c r="D96" s="23">
        <v>0</v>
      </c>
      <c r="E96" s="23">
        <v>2</v>
      </c>
      <c r="F96" s="23">
        <v>17</v>
      </c>
      <c r="G96" s="23" t="b">
        <f>FALSE()</f>
        <v>0</v>
      </c>
      <c r="H96" s="23">
        <v>2</v>
      </c>
      <c r="I96" s="23">
        <v>2</v>
      </c>
      <c r="J96" s="23">
        <v>0.24</v>
      </c>
      <c r="K96" s="23">
        <v>0.28789999999999999</v>
      </c>
      <c r="L96" s="23">
        <v>0.75</v>
      </c>
      <c r="M96" s="23">
        <v>0</v>
      </c>
      <c r="N96" s="23">
        <v>4</v>
      </c>
      <c r="O96" s="23">
        <v>172</v>
      </c>
      <c r="P96" s="23">
        <v>176</v>
      </c>
    </row>
    <row r="97" spans="1:16" x14ac:dyDescent="0.35">
      <c r="A97" s="23">
        <v>706</v>
      </c>
      <c r="B97" s="23" t="s">
        <v>351</v>
      </c>
      <c r="C97" s="23">
        <v>1</v>
      </c>
      <c r="D97" s="23">
        <v>0</v>
      </c>
      <c r="E97" s="23">
        <v>2</v>
      </c>
      <c r="F97" s="23">
        <v>18</v>
      </c>
      <c r="G97" s="23" t="b">
        <f>FALSE()</f>
        <v>0</v>
      </c>
      <c r="H97" s="23">
        <v>2</v>
      </c>
      <c r="I97" s="23">
        <v>2</v>
      </c>
      <c r="J97" s="23">
        <v>0.24</v>
      </c>
      <c r="K97" s="23">
        <v>0.2576</v>
      </c>
      <c r="L97" s="23">
        <v>0.81</v>
      </c>
      <c r="M97" s="23">
        <v>0.1045</v>
      </c>
      <c r="N97" s="23">
        <v>3</v>
      </c>
      <c r="O97" s="23">
        <v>165</v>
      </c>
      <c r="P97" s="23">
        <v>168</v>
      </c>
    </row>
    <row r="98" spans="1:16" x14ac:dyDescent="0.35">
      <c r="A98" s="23">
        <v>707</v>
      </c>
      <c r="B98" s="23" t="s">
        <v>351</v>
      </c>
      <c r="C98" s="23">
        <v>1</v>
      </c>
      <c r="D98" s="23">
        <v>0</v>
      </c>
      <c r="E98" s="23">
        <v>2</v>
      </c>
      <c r="F98" s="23">
        <v>19</v>
      </c>
      <c r="G98" s="23" t="b">
        <f>FALSE()</f>
        <v>0</v>
      </c>
      <c r="H98" s="23">
        <v>2</v>
      </c>
      <c r="I98" s="23">
        <v>2</v>
      </c>
      <c r="J98" s="23">
        <v>0.24</v>
      </c>
      <c r="K98" s="23">
        <v>0.2424</v>
      </c>
      <c r="L98" s="23">
        <v>0.81</v>
      </c>
      <c r="M98" s="23">
        <v>0.1343</v>
      </c>
      <c r="N98" s="23">
        <v>3</v>
      </c>
      <c r="O98" s="23">
        <v>105</v>
      </c>
      <c r="P98" s="23">
        <v>108</v>
      </c>
    </row>
    <row r="99" spans="1:16" x14ac:dyDescent="0.35">
      <c r="A99" s="23">
        <v>708</v>
      </c>
      <c r="B99" s="23" t="s">
        <v>351</v>
      </c>
      <c r="C99" s="23">
        <v>1</v>
      </c>
      <c r="D99" s="23">
        <v>0</v>
      </c>
      <c r="E99" s="23">
        <v>2</v>
      </c>
      <c r="F99" s="23">
        <v>20</v>
      </c>
      <c r="G99" s="23" t="b">
        <f>FALSE()</f>
        <v>0</v>
      </c>
      <c r="H99" s="23">
        <v>2</v>
      </c>
      <c r="I99" s="23">
        <v>2</v>
      </c>
      <c r="J99" s="23">
        <v>0.22</v>
      </c>
      <c r="K99" s="23">
        <v>0.2273</v>
      </c>
      <c r="L99" s="23">
        <v>0.87</v>
      </c>
      <c r="M99" s="23">
        <v>0.1343</v>
      </c>
      <c r="N99" s="23">
        <v>5</v>
      </c>
      <c r="O99" s="23">
        <v>69</v>
      </c>
      <c r="P99" s="23">
        <v>74</v>
      </c>
    </row>
    <row r="100" spans="1:16" x14ac:dyDescent="0.35">
      <c r="A100" s="23">
        <v>709</v>
      </c>
      <c r="B100" s="23" t="s">
        <v>351</v>
      </c>
      <c r="C100" s="23">
        <v>1</v>
      </c>
      <c r="D100" s="23">
        <v>0</v>
      </c>
      <c r="E100" s="23">
        <v>2</v>
      </c>
      <c r="F100" s="23">
        <v>21</v>
      </c>
      <c r="G100" s="23" t="b">
        <f>FALSE()</f>
        <v>0</v>
      </c>
      <c r="H100" s="23">
        <v>2</v>
      </c>
      <c r="I100" s="23">
        <v>2</v>
      </c>
      <c r="J100" s="23">
        <v>0.22</v>
      </c>
      <c r="K100" s="23">
        <v>0.2273</v>
      </c>
      <c r="L100" s="23">
        <v>0.87</v>
      </c>
      <c r="M100" s="23">
        <v>0.1343</v>
      </c>
      <c r="N100" s="23">
        <v>0</v>
      </c>
      <c r="O100" s="23">
        <v>64</v>
      </c>
      <c r="P100" s="23">
        <v>64</v>
      </c>
    </row>
    <row r="101" spans="1:16" x14ac:dyDescent="0.35">
      <c r="A101" s="23">
        <v>710</v>
      </c>
      <c r="B101" s="23" t="s">
        <v>351</v>
      </c>
      <c r="C101" s="23">
        <v>1</v>
      </c>
      <c r="D101" s="23">
        <v>0</v>
      </c>
      <c r="E101" s="23">
        <v>2</v>
      </c>
      <c r="F101" s="23">
        <v>22</v>
      </c>
      <c r="G101" s="23" t="b">
        <f>FALSE()</f>
        <v>0</v>
      </c>
      <c r="H101" s="23">
        <v>2</v>
      </c>
      <c r="I101" s="23">
        <v>2</v>
      </c>
      <c r="J101" s="23">
        <v>0.22</v>
      </c>
      <c r="K101" s="23">
        <v>0.2576</v>
      </c>
      <c r="L101" s="23">
        <v>0.87</v>
      </c>
      <c r="M101" s="23">
        <v>8.9599999999999999E-2</v>
      </c>
      <c r="N101" s="23">
        <v>2</v>
      </c>
      <c r="O101" s="23">
        <v>34</v>
      </c>
      <c r="P101" s="23">
        <v>36</v>
      </c>
    </row>
    <row r="102" spans="1:16" x14ac:dyDescent="0.35">
      <c r="A102" s="23">
        <v>711</v>
      </c>
      <c r="B102" s="23" t="s">
        <v>351</v>
      </c>
      <c r="C102" s="23">
        <v>1</v>
      </c>
      <c r="D102" s="23">
        <v>0</v>
      </c>
      <c r="E102" s="23">
        <v>2</v>
      </c>
      <c r="F102" s="23">
        <v>23</v>
      </c>
      <c r="G102" s="23" t="b">
        <f>FALSE()</f>
        <v>0</v>
      </c>
      <c r="H102" s="23">
        <v>2</v>
      </c>
      <c r="I102" s="23">
        <v>3</v>
      </c>
      <c r="J102" s="23">
        <v>0.2</v>
      </c>
      <c r="K102" s="23">
        <v>0.19700000000000001</v>
      </c>
      <c r="L102" s="23">
        <v>0.93</v>
      </c>
      <c r="M102" s="23">
        <v>0.19400000000000001</v>
      </c>
      <c r="N102" s="23">
        <v>1</v>
      </c>
      <c r="O102" s="23">
        <v>15</v>
      </c>
      <c r="P102" s="23">
        <v>16</v>
      </c>
    </row>
    <row r="103" spans="1:16" x14ac:dyDescent="0.35">
      <c r="A103" s="23">
        <v>712</v>
      </c>
      <c r="B103" s="23" t="s">
        <v>352</v>
      </c>
      <c r="C103" s="23">
        <v>1</v>
      </c>
      <c r="D103" s="23">
        <v>0</v>
      </c>
      <c r="E103" s="23">
        <v>2</v>
      </c>
      <c r="F103" s="23">
        <v>0</v>
      </c>
      <c r="G103" s="23" t="b">
        <f>FALSE()</f>
        <v>0</v>
      </c>
      <c r="H103" s="23">
        <v>3</v>
      </c>
      <c r="I103" s="23">
        <v>3</v>
      </c>
      <c r="J103" s="23">
        <v>0.22</v>
      </c>
      <c r="K103" s="23">
        <v>0.2424</v>
      </c>
      <c r="L103" s="23">
        <v>0.93</v>
      </c>
      <c r="M103" s="23">
        <v>0.1045</v>
      </c>
      <c r="N103" s="23">
        <v>0</v>
      </c>
      <c r="O103" s="23">
        <v>2</v>
      </c>
      <c r="P103" s="23">
        <v>2</v>
      </c>
    </row>
    <row r="104" spans="1:16" x14ac:dyDescent="0.35">
      <c r="A104" s="23">
        <v>713</v>
      </c>
      <c r="B104" s="23" t="s">
        <v>352</v>
      </c>
      <c r="C104" s="23">
        <v>1</v>
      </c>
      <c r="D104" s="23">
        <v>0</v>
      </c>
      <c r="E104" s="23">
        <v>2</v>
      </c>
      <c r="F104" s="23">
        <v>1</v>
      </c>
      <c r="G104" s="23" t="b">
        <f>FALSE()</f>
        <v>0</v>
      </c>
      <c r="H104" s="23">
        <v>3</v>
      </c>
      <c r="I104" s="23">
        <v>3</v>
      </c>
      <c r="J104" s="23">
        <v>0.22</v>
      </c>
      <c r="K104" s="23">
        <v>0.2273</v>
      </c>
      <c r="L104" s="23">
        <v>0.93</v>
      </c>
      <c r="M104" s="23">
        <v>0.19400000000000001</v>
      </c>
      <c r="N104" s="23">
        <v>0</v>
      </c>
      <c r="O104" s="23">
        <v>3</v>
      </c>
      <c r="P104" s="23">
        <v>3</v>
      </c>
    </row>
    <row r="105" spans="1:16" x14ac:dyDescent="0.35">
      <c r="A105" s="23">
        <v>714</v>
      </c>
      <c r="B105" s="23" t="s">
        <v>352</v>
      </c>
      <c r="C105" s="23">
        <v>1</v>
      </c>
      <c r="D105" s="23">
        <v>0</v>
      </c>
      <c r="E105" s="23">
        <v>2</v>
      </c>
      <c r="F105" s="23">
        <v>2</v>
      </c>
      <c r="G105" s="23" t="b">
        <f>FALSE()</f>
        <v>0</v>
      </c>
      <c r="H105" s="23">
        <v>3</v>
      </c>
      <c r="I105" s="23">
        <v>3</v>
      </c>
      <c r="J105" s="23">
        <v>0.22</v>
      </c>
      <c r="K105" s="23">
        <v>0.2273</v>
      </c>
      <c r="L105" s="23">
        <v>0.93</v>
      </c>
      <c r="M105" s="23">
        <v>0.1343</v>
      </c>
      <c r="N105" s="23">
        <v>4</v>
      </c>
      <c r="O105" s="23">
        <v>0</v>
      </c>
      <c r="P105" s="23">
        <v>4</v>
      </c>
    </row>
    <row r="106" spans="1:16" x14ac:dyDescent="0.35">
      <c r="A106" s="23">
        <v>715</v>
      </c>
      <c r="B106" s="23" t="s">
        <v>352</v>
      </c>
      <c r="C106" s="23">
        <v>1</v>
      </c>
      <c r="D106" s="23">
        <v>0</v>
      </c>
      <c r="E106" s="23">
        <v>2</v>
      </c>
      <c r="F106" s="23">
        <v>3</v>
      </c>
      <c r="G106" s="23" t="b">
        <f>FALSE()</f>
        <v>0</v>
      </c>
      <c r="H106" s="23">
        <v>3</v>
      </c>
      <c r="I106" s="23">
        <v>3</v>
      </c>
      <c r="J106" s="23">
        <v>0.22</v>
      </c>
      <c r="K106" s="23">
        <v>0.2273</v>
      </c>
      <c r="L106" s="23">
        <v>0.93</v>
      </c>
      <c r="M106" s="23">
        <v>0.1343</v>
      </c>
      <c r="N106" s="23">
        <v>0</v>
      </c>
      <c r="O106" s="23">
        <v>1</v>
      </c>
      <c r="P106" s="23">
        <v>1</v>
      </c>
    </row>
    <row r="107" spans="1:16" x14ac:dyDescent="0.35">
      <c r="A107" s="23">
        <v>716</v>
      </c>
      <c r="B107" s="23" t="s">
        <v>352</v>
      </c>
      <c r="C107" s="23">
        <v>1</v>
      </c>
      <c r="D107" s="23">
        <v>0</v>
      </c>
      <c r="E107" s="23">
        <v>2</v>
      </c>
      <c r="F107" s="23">
        <v>4</v>
      </c>
      <c r="G107" s="23" t="b">
        <f>FALSE()</f>
        <v>0</v>
      </c>
      <c r="H107" s="23">
        <v>3</v>
      </c>
      <c r="I107" s="23">
        <v>3</v>
      </c>
      <c r="J107" s="23">
        <v>0.22</v>
      </c>
      <c r="K107" s="23">
        <v>0.21210000000000001</v>
      </c>
      <c r="L107" s="23">
        <v>0.93</v>
      </c>
      <c r="M107" s="23">
        <v>0.28360000000000002</v>
      </c>
      <c r="N107" s="23">
        <v>0</v>
      </c>
      <c r="O107" s="23">
        <v>1</v>
      </c>
      <c r="P107" s="23">
        <v>1</v>
      </c>
    </row>
    <row r="108" spans="1:16" x14ac:dyDescent="0.35">
      <c r="A108" s="23">
        <v>717</v>
      </c>
      <c r="B108" s="23" t="s">
        <v>352</v>
      </c>
      <c r="C108" s="23">
        <v>1</v>
      </c>
      <c r="D108" s="23">
        <v>0</v>
      </c>
      <c r="E108" s="23">
        <v>2</v>
      </c>
      <c r="F108" s="23">
        <v>5</v>
      </c>
      <c r="G108" s="23" t="b">
        <f>FALSE()</f>
        <v>0</v>
      </c>
      <c r="H108" s="23">
        <v>3</v>
      </c>
      <c r="I108" s="23">
        <v>3</v>
      </c>
      <c r="J108" s="23">
        <v>0.22</v>
      </c>
      <c r="K108" s="23">
        <v>0.2424</v>
      </c>
      <c r="L108" s="23">
        <v>0.93</v>
      </c>
      <c r="M108" s="23">
        <v>0.1045</v>
      </c>
      <c r="N108" s="23">
        <v>0</v>
      </c>
      <c r="O108" s="23">
        <v>3</v>
      </c>
      <c r="P108" s="23">
        <v>3</v>
      </c>
    </row>
    <row r="109" spans="1:16" x14ac:dyDescent="0.35">
      <c r="A109" s="23">
        <v>718</v>
      </c>
      <c r="B109" s="23" t="s">
        <v>352</v>
      </c>
      <c r="C109" s="23">
        <v>1</v>
      </c>
      <c r="D109" s="23">
        <v>0</v>
      </c>
      <c r="E109" s="23">
        <v>2</v>
      </c>
      <c r="F109" s="23">
        <v>6</v>
      </c>
      <c r="G109" s="23" t="b">
        <f>FALSE()</f>
        <v>0</v>
      </c>
      <c r="H109" s="23">
        <v>3</v>
      </c>
      <c r="I109" s="23">
        <v>3</v>
      </c>
      <c r="J109" s="23">
        <v>0.22</v>
      </c>
      <c r="K109" s="23">
        <v>0.2424</v>
      </c>
      <c r="L109" s="23">
        <v>0.93</v>
      </c>
      <c r="M109" s="23">
        <v>0.1045</v>
      </c>
      <c r="N109" s="23">
        <v>1</v>
      </c>
      <c r="O109" s="23">
        <v>17</v>
      </c>
      <c r="P109" s="23">
        <v>18</v>
      </c>
    </row>
    <row r="110" spans="1:16" x14ac:dyDescent="0.35">
      <c r="A110" s="23">
        <v>719</v>
      </c>
      <c r="B110" s="23" t="s">
        <v>352</v>
      </c>
      <c r="C110" s="23">
        <v>1</v>
      </c>
      <c r="D110" s="23">
        <v>0</v>
      </c>
      <c r="E110" s="23">
        <v>2</v>
      </c>
      <c r="F110" s="23">
        <v>7</v>
      </c>
      <c r="G110" s="23" t="b">
        <f>FALSE()</f>
        <v>0</v>
      </c>
      <c r="H110" s="23">
        <v>3</v>
      </c>
      <c r="I110" s="23">
        <v>3</v>
      </c>
      <c r="J110" s="23">
        <v>0.22</v>
      </c>
      <c r="K110" s="23">
        <v>0.21210000000000001</v>
      </c>
      <c r="L110" s="23">
        <v>0.93</v>
      </c>
      <c r="M110" s="23">
        <v>0.22389999999999999</v>
      </c>
      <c r="N110" s="23">
        <v>1</v>
      </c>
      <c r="O110" s="23">
        <v>48</v>
      </c>
      <c r="P110" s="23">
        <v>49</v>
      </c>
    </row>
    <row r="111" spans="1:16" x14ac:dyDescent="0.35">
      <c r="A111" s="23">
        <v>720</v>
      </c>
      <c r="B111" s="23" t="s">
        <v>352</v>
      </c>
      <c r="C111" s="23">
        <v>1</v>
      </c>
      <c r="D111" s="23">
        <v>0</v>
      </c>
      <c r="E111" s="23">
        <v>2</v>
      </c>
      <c r="F111" s="23">
        <v>8</v>
      </c>
      <c r="G111" s="23" t="b">
        <f>FALSE()</f>
        <v>0</v>
      </c>
      <c r="H111" s="23">
        <v>3</v>
      </c>
      <c r="I111" s="23">
        <v>3</v>
      </c>
      <c r="J111" s="23">
        <v>0.22</v>
      </c>
      <c r="K111" s="23">
        <v>0.21210000000000001</v>
      </c>
      <c r="L111" s="23">
        <v>0.93</v>
      </c>
      <c r="M111" s="23">
        <v>0.22389999999999999</v>
      </c>
      <c r="N111" s="23">
        <v>1</v>
      </c>
      <c r="O111" s="23">
        <v>154</v>
      </c>
      <c r="P111" s="23">
        <v>155</v>
      </c>
    </row>
    <row r="112" spans="1:16" x14ac:dyDescent="0.35">
      <c r="A112" s="23">
        <v>721</v>
      </c>
      <c r="B112" s="23" t="s">
        <v>352</v>
      </c>
      <c r="C112" s="23">
        <v>1</v>
      </c>
      <c r="D112" s="23">
        <v>0</v>
      </c>
      <c r="E112" s="23">
        <v>2</v>
      </c>
      <c r="F112" s="23">
        <v>9</v>
      </c>
      <c r="G112" s="23" t="b">
        <f>FALSE()</f>
        <v>0</v>
      </c>
      <c r="H112" s="23">
        <v>3</v>
      </c>
      <c r="I112" s="23">
        <v>2</v>
      </c>
      <c r="J112" s="23">
        <v>0.24</v>
      </c>
      <c r="K112" s="23">
        <v>0.2576</v>
      </c>
      <c r="L112" s="23">
        <v>0.93</v>
      </c>
      <c r="M112" s="23">
        <v>8.9599999999999999E-2</v>
      </c>
      <c r="N112" s="23">
        <v>4</v>
      </c>
      <c r="O112" s="23">
        <v>119</v>
      </c>
      <c r="P112" s="23">
        <v>123</v>
      </c>
    </row>
    <row r="113" spans="1:16" x14ac:dyDescent="0.35">
      <c r="A113" s="23">
        <v>722</v>
      </c>
      <c r="B113" s="23" t="s">
        <v>352</v>
      </c>
      <c r="C113" s="23">
        <v>1</v>
      </c>
      <c r="D113" s="23">
        <v>0</v>
      </c>
      <c r="E113" s="23">
        <v>2</v>
      </c>
      <c r="F113" s="23">
        <v>10</v>
      </c>
      <c r="G113" s="23" t="b">
        <f>FALSE()</f>
        <v>0</v>
      </c>
      <c r="H113" s="23">
        <v>3</v>
      </c>
      <c r="I113" s="23">
        <v>2</v>
      </c>
      <c r="J113" s="23">
        <v>0.22</v>
      </c>
      <c r="K113" s="23">
        <v>0.2727</v>
      </c>
      <c r="L113" s="23">
        <v>1</v>
      </c>
      <c r="M113" s="23">
        <v>0</v>
      </c>
      <c r="N113" s="23">
        <v>2</v>
      </c>
      <c r="O113" s="23">
        <v>59</v>
      </c>
      <c r="P113" s="23">
        <v>61</v>
      </c>
    </row>
    <row r="114" spans="1:16" x14ac:dyDescent="0.35">
      <c r="A114" s="23">
        <v>723</v>
      </c>
      <c r="B114" s="23" t="s">
        <v>352</v>
      </c>
      <c r="C114" s="23">
        <v>1</v>
      </c>
      <c r="D114" s="23">
        <v>0</v>
      </c>
      <c r="E114" s="23">
        <v>2</v>
      </c>
      <c r="F114" s="23">
        <v>11</v>
      </c>
      <c r="G114" s="23" t="b">
        <f>FALSE()</f>
        <v>0</v>
      </c>
      <c r="H114" s="23">
        <v>3</v>
      </c>
      <c r="I114" s="23">
        <v>2</v>
      </c>
      <c r="J114" s="23">
        <v>0.24</v>
      </c>
      <c r="K114" s="23">
        <v>0.2273</v>
      </c>
      <c r="L114" s="23">
        <v>0.93</v>
      </c>
      <c r="M114" s="23">
        <v>0.19400000000000001</v>
      </c>
      <c r="N114" s="23">
        <v>5</v>
      </c>
      <c r="O114" s="23">
        <v>47</v>
      </c>
      <c r="P114" s="23">
        <v>52</v>
      </c>
    </row>
    <row r="115" spans="1:16" x14ac:dyDescent="0.35">
      <c r="A115" s="23">
        <v>724</v>
      </c>
      <c r="B115" s="23" t="s">
        <v>352</v>
      </c>
      <c r="C115" s="23">
        <v>1</v>
      </c>
      <c r="D115" s="23">
        <v>0</v>
      </c>
      <c r="E115" s="23">
        <v>2</v>
      </c>
      <c r="F115" s="23">
        <v>12</v>
      </c>
      <c r="G115" s="23" t="b">
        <f>FALSE()</f>
        <v>0</v>
      </c>
      <c r="H115" s="23">
        <v>3</v>
      </c>
      <c r="I115" s="23">
        <v>2</v>
      </c>
      <c r="J115" s="23">
        <v>0.24</v>
      </c>
      <c r="K115" s="23">
        <v>0.2273</v>
      </c>
      <c r="L115" s="23">
        <v>0.93</v>
      </c>
      <c r="M115" s="23">
        <v>0.22389999999999999</v>
      </c>
      <c r="N115" s="23">
        <v>3</v>
      </c>
      <c r="O115" s="23">
        <v>61</v>
      </c>
      <c r="P115" s="23">
        <v>64</v>
      </c>
    </row>
    <row r="116" spans="1:16" x14ac:dyDescent="0.35">
      <c r="A116" s="23">
        <v>725</v>
      </c>
      <c r="B116" s="23" t="s">
        <v>352</v>
      </c>
      <c r="C116" s="23">
        <v>1</v>
      </c>
      <c r="D116" s="23">
        <v>0</v>
      </c>
      <c r="E116" s="23">
        <v>2</v>
      </c>
      <c r="F116" s="23">
        <v>13</v>
      </c>
      <c r="G116" s="23" t="b">
        <f>FALSE()</f>
        <v>0</v>
      </c>
      <c r="H116" s="23">
        <v>3</v>
      </c>
      <c r="I116" s="23">
        <v>1</v>
      </c>
      <c r="J116" s="23">
        <v>0.34</v>
      </c>
      <c r="K116" s="23">
        <v>0.33329999999999999</v>
      </c>
      <c r="L116" s="23">
        <v>0.93</v>
      </c>
      <c r="M116" s="23">
        <v>0.16420000000000001</v>
      </c>
      <c r="N116" s="23">
        <v>1</v>
      </c>
      <c r="O116" s="23">
        <v>74</v>
      </c>
      <c r="P116" s="23">
        <v>75</v>
      </c>
    </row>
    <row r="117" spans="1:16" x14ac:dyDescent="0.35">
      <c r="A117" s="23">
        <v>726</v>
      </c>
      <c r="B117" s="23" t="s">
        <v>352</v>
      </c>
      <c r="C117" s="23">
        <v>1</v>
      </c>
      <c r="D117" s="23">
        <v>0</v>
      </c>
      <c r="E117" s="23">
        <v>2</v>
      </c>
      <c r="F117" s="23">
        <v>14</v>
      </c>
      <c r="G117" s="23" t="b">
        <f>FALSE()</f>
        <v>0</v>
      </c>
      <c r="H117" s="23">
        <v>3</v>
      </c>
      <c r="I117" s="23">
        <v>1</v>
      </c>
      <c r="J117" s="23">
        <v>0.38</v>
      </c>
      <c r="K117" s="23">
        <v>0.39389999999999997</v>
      </c>
      <c r="L117" s="23">
        <v>0.82</v>
      </c>
      <c r="M117" s="23">
        <v>0.3881</v>
      </c>
      <c r="N117" s="23">
        <v>2</v>
      </c>
      <c r="O117" s="23">
        <v>61</v>
      </c>
      <c r="P117" s="23">
        <v>63</v>
      </c>
    </row>
    <row r="118" spans="1:16" x14ac:dyDescent="0.35">
      <c r="A118" s="23">
        <v>727</v>
      </c>
      <c r="B118" s="23" t="s">
        <v>352</v>
      </c>
      <c r="C118" s="23">
        <v>1</v>
      </c>
      <c r="D118" s="23">
        <v>0</v>
      </c>
      <c r="E118" s="23">
        <v>2</v>
      </c>
      <c r="F118" s="23">
        <v>15</v>
      </c>
      <c r="G118" s="23" t="b">
        <f>FALSE()</f>
        <v>0</v>
      </c>
      <c r="H118" s="23">
        <v>3</v>
      </c>
      <c r="I118" s="23">
        <v>1</v>
      </c>
      <c r="J118" s="23">
        <v>0.38</v>
      </c>
      <c r="K118" s="23">
        <v>0.39389999999999997</v>
      </c>
      <c r="L118" s="23">
        <v>0.76</v>
      </c>
      <c r="M118" s="23">
        <v>0.32840000000000003</v>
      </c>
      <c r="N118" s="23">
        <v>10</v>
      </c>
      <c r="O118" s="23">
        <v>66</v>
      </c>
      <c r="P118" s="23">
        <v>76</v>
      </c>
    </row>
    <row r="119" spans="1:16" x14ac:dyDescent="0.35">
      <c r="A119" s="23">
        <v>728</v>
      </c>
      <c r="B119" s="23" t="s">
        <v>352</v>
      </c>
      <c r="C119" s="23">
        <v>1</v>
      </c>
      <c r="D119" s="23">
        <v>0</v>
      </c>
      <c r="E119" s="23">
        <v>2</v>
      </c>
      <c r="F119" s="23">
        <v>16</v>
      </c>
      <c r="G119" s="23" t="b">
        <f>FALSE()</f>
        <v>0</v>
      </c>
      <c r="H119" s="23">
        <v>3</v>
      </c>
      <c r="I119" s="23">
        <v>1</v>
      </c>
      <c r="J119" s="23">
        <v>0.36</v>
      </c>
      <c r="K119" s="23">
        <v>0.33329999999999999</v>
      </c>
      <c r="L119" s="23">
        <v>0.71</v>
      </c>
      <c r="M119" s="23">
        <v>0.29849999999999999</v>
      </c>
      <c r="N119" s="23">
        <v>8</v>
      </c>
      <c r="O119" s="23">
        <v>95</v>
      </c>
      <c r="P119" s="23">
        <v>103</v>
      </c>
    </row>
    <row r="120" spans="1:16" x14ac:dyDescent="0.35">
      <c r="A120" s="23">
        <v>729</v>
      </c>
      <c r="B120" s="23" t="s">
        <v>352</v>
      </c>
      <c r="C120" s="23">
        <v>1</v>
      </c>
      <c r="D120" s="23">
        <v>0</v>
      </c>
      <c r="E120" s="23">
        <v>2</v>
      </c>
      <c r="F120" s="23">
        <v>17</v>
      </c>
      <c r="G120" s="23" t="b">
        <f>FALSE()</f>
        <v>0</v>
      </c>
      <c r="H120" s="23">
        <v>3</v>
      </c>
      <c r="I120" s="23">
        <v>1</v>
      </c>
      <c r="J120" s="23">
        <v>0.36</v>
      </c>
      <c r="K120" s="23">
        <v>0.31819999999999998</v>
      </c>
      <c r="L120" s="23">
        <v>0.53</v>
      </c>
      <c r="M120" s="23">
        <v>0.52239999999999998</v>
      </c>
      <c r="N120" s="23">
        <v>7</v>
      </c>
      <c r="O120" s="23">
        <v>183</v>
      </c>
      <c r="P120" s="23">
        <v>190</v>
      </c>
    </row>
    <row r="121" spans="1:16" x14ac:dyDescent="0.35">
      <c r="A121" s="23">
        <v>730</v>
      </c>
      <c r="B121" s="23" t="s">
        <v>352</v>
      </c>
      <c r="C121" s="23">
        <v>1</v>
      </c>
      <c r="D121" s="23">
        <v>0</v>
      </c>
      <c r="E121" s="23">
        <v>2</v>
      </c>
      <c r="F121" s="23">
        <v>18</v>
      </c>
      <c r="G121" s="23" t="b">
        <f>FALSE()</f>
        <v>0</v>
      </c>
      <c r="H121" s="23">
        <v>3</v>
      </c>
      <c r="I121" s="23">
        <v>1</v>
      </c>
      <c r="J121" s="23">
        <v>0.34</v>
      </c>
      <c r="K121" s="23">
        <v>0.28789999999999999</v>
      </c>
      <c r="L121" s="23">
        <v>0.42</v>
      </c>
      <c r="M121" s="23">
        <v>0.55220000000000002</v>
      </c>
      <c r="N121" s="23">
        <v>7</v>
      </c>
      <c r="O121" s="23">
        <v>175</v>
      </c>
      <c r="P121" s="23">
        <v>182</v>
      </c>
    </row>
    <row r="122" spans="1:16" x14ac:dyDescent="0.35">
      <c r="A122" s="23">
        <v>731</v>
      </c>
      <c r="B122" s="23" t="s">
        <v>352</v>
      </c>
      <c r="C122" s="23">
        <v>1</v>
      </c>
      <c r="D122" s="23">
        <v>0</v>
      </c>
      <c r="E122" s="23">
        <v>2</v>
      </c>
      <c r="F122" s="23">
        <v>19</v>
      </c>
      <c r="G122" s="23" t="b">
        <f>FALSE()</f>
        <v>0</v>
      </c>
      <c r="H122" s="23">
        <v>3</v>
      </c>
      <c r="I122" s="23">
        <v>1</v>
      </c>
      <c r="J122" s="23">
        <v>0.28000000000000003</v>
      </c>
      <c r="K122" s="23">
        <v>0.2424</v>
      </c>
      <c r="L122" s="23">
        <v>0.45</v>
      </c>
      <c r="M122" s="23">
        <v>0.49249999999999999</v>
      </c>
      <c r="N122" s="23">
        <v>3</v>
      </c>
      <c r="O122" s="23">
        <v>88</v>
      </c>
      <c r="P122" s="23">
        <v>91</v>
      </c>
    </row>
    <row r="123" spans="1:16" x14ac:dyDescent="0.35">
      <c r="A123" s="23">
        <v>732</v>
      </c>
      <c r="B123" s="23" t="s">
        <v>352</v>
      </c>
      <c r="C123" s="23">
        <v>1</v>
      </c>
      <c r="D123" s="23">
        <v>0</v>
      </c>
      <c r="E123" s="23">
        <v>2</v>
      </c>
      <c r="F123" s="23">
        <v>20</v>
      </c>
      <c r="G123" s="23" t="b">
        <f>FALSE()</f>
        <v>0</v>
      </c>
      <c r="H123" s="23">
        <v>3</v>
      </c>
      <c r="I123" s="23">
        <v>1</v>
      </c>
      <c r="J123" s="23">
        <v>0.24</v>
      </c>
      <c r="K123" s="23">
        <v>0.19700000000000001</v>
      </c>
      <c r="L123" s="23">
        <v>0.48</v>
      </c>
      <c r="M123" s="23">
        <v>0.55220000000000002</v>
      </c>
      <c r="N123" s="23">
        <v>4</v>
      </c>
      <c r="O123" s="23">
        <v>71</v>
      </c>
      <c r="P123" s="23">
        <v>75</v>
      </c>
    </row>
    <row r="124" spans="1:16" x14ac:dyDescent="0.35">
      <c r="A124" s="23">
        <v>733</v>
      </c>
      <c r="B124" s="23" t="s">
        <v>352</v>
      </c>
      <c r="C124" s="23">
        <v>1</v>
      </c>
      <c r="D124" s="23">
        <v>0</v>
      </c>
      <c r="E124" s="23">
        <v>2</v>
      </c>
      <c r="F124" s="23">
        <v>21</v>
      </c>
      <c r="G124" s="23" t="b">
        <f>FALSE()</f>
        <v>0</v>
      </c>
      <c r="H124" s="23">
        <v>3</v>
      </c>
      <c r="I124" s="23">
        <v>1</v>
      </c>
      <c r="J124" s="23">
        <v>0.22</v>
      </c>
      <c r="K124" s="23">
        <v>0.19700000000000001</v>
      </c>
      <c r="L124" s="23">
        <v>0.47</v>
      </c>
      <c r="M124" s="23">
        <v>0.32840000000000003</v>
      </c>
      <c r="N124" s="23">
        <v>1</v>
      </c>
      <c r="O124" s="23">
        <v>62</v>
      </c>
      <c r="P124" s="23">
        <v>63</v>
      </c>
    </row>
    <row r="125" spans="1:16" x14ac:dyDescent="0.35">
      <c r="A125" s="23">
        <v>734</v>
      </c>
      <c r="B125" s="23" t="s">
        <v>352</v>
      </c>
      <c r="C125" s="23">
        <v>1</v>
      </c>
      <c r="D125" s="23">
        <v>0</v>
      </c>
      <c r="E125" s="23">
        <v>2</v>
      </c>
      <c r="F125" s="23">
        <v>22</v>
      </c>
      <c r="G125" s="23" t="b">
        <f>FALSE()</f>
        <v>0</v>
      </c>
      <c r="H125" s="23">
        <v>3</v>
      </c>
      <c r="I125" s="23">
        <v>1</v>
      </c>
      <c r="J125" s="23">
        <v>0.22</v>
      </c>
      <c r="K125" s="23">
        <v>0.21210000000000001</v>
      </c>
      <c r="L125" s="23">
        <v>0.44</v>
      </c>
      <c r="M125" s="23">
        <v>0.25369999999999998</v>
      </c>
      <c r="N125" s="23">
        <v>5</v>
      </c>
      <c r="O125" s="23">
        <v>35</v>
      </c>
      <c r="P125" s="23">
        <v>40</v>
      </c>
    </row>
    <row r="126" spans="1:16" x14ac:dyDescent="0.35">
      <c r="A126" s="23">
        <v>735</v>
      </c>
      <c r="B126" s="23" t="s">
        <v>352</v>
      </c>
      <c r="C126" s="23">
        <v>1</v>
      </c>
      <c r="D126" s="23">
        <v>0</v>
      </c>
      <c r="E126" s="23">
        <v>2</v>
      </c>
      <c r="F126" s="23">
        <v>23</v>
      </c>
      <c r="G126" s="23" t="b">
        <f>FALSE()</f>
        <v>0</v>
      </c>
      <c r="H126" s="23">
        <v>3</v>
      </c>
      <c r="I126" s="23">
        <v>1</v>
      </c>
      <c r="J126" s="23">
        <v>0.2</v>
      </c>
      <c r="K126" s="23">
        <v>0.16669999999999999</v>
      </c>
      <c r="L126" s="23">
        <v>0.44</v>
      </c>
      <c r="M126" s="23">
        <v>0.44779999999999998</v>
      </c>
      <c r="N126" s="23">
        <v>3</v>
      </c>
      <c r="O126" s="23">
        <v>29</v>
      </c>
      <c r="P126" s="23">
        <v>32</v>
      </c>
    </row>
    <row r="127" spans="1:16" x14ac:dyDescent="0.35">
      <c r="A127" s="23">
        <v>736</v>
      </c>
      <c r="B127" s="23" t="s">
        <v>353</v>
      </c>
      <c r="C127" s="23">
        <v>1</v>
      </c>
      <c r="D127" s="23">
        <v>0</v>
      </c>
      <c r="E127" s="23">
        <v>2</v>
      </c>
      <c r="F127" s="23">
        <v>0</v>
      </c>
      <c r="G127" s="23" t="b">
        <f>FALSE()</f>
        <v>0</v>
      </c>
      <c r="H127" s="23">
        <v>4</v>
      </c>
      <c r="I127" s="23">
        <v>1</v>
      </c>
      <c r="J127" s="23">
        <v>0.2</v>
      </c>
      <c r="K127" s="23">
        <v>0.16669999999999999</v>
      </c>
      <c r="L127" s="23">
        <v>0.4</v>
      </c>
      <c r="M127" s="23">
        <v>0.44779999999999998</v>
      </c>
      <c r="N127" s="23">
        <v>1</v>
      </c>
      <c r="O127" s="23">
        <v>11</v>
      </c>
      <c r="P127" s="23">
        <v>12</v>
      </c>
    </row>
    <row r="128" spans="1:16" x14ac:dyDescent="0.35">
      <c r="A128" s="23">
        <v>737</v>
      </c>
      <c r="B128" s="23" t="s">
        <v>353</v>
      </c>
      <c r="C128" s="23">
        <v>1</v>
      </c>
      <c r="D128" s="23">
        <v>0</v>
      </c>
      <c r="E128" s="23">
        <v>2</v>
      </c>
      <c r="F128" s="23">
        <v>1</v>
      </c>
      <c r="G128" s="23" t="b">
        <f>FALSE()</f>
        <v>0</v>
      </c>
      <c r="H128" s="23">
        <v>4</v>
      </c>
      <c r="I128" s="23">
        <v>1</v>
      </c>
      <c r="J128" s="23">
        <v>0.2</v>
      </c>
      <c r="K128" s="23">
        <v>0.1515</v>
      </c>
      <c r="L128" s="23">
        <v>0.44</v>
      </c>
      <c r="M128" s="23">
        <v>0.52239999999999998</v>
      </c>
      <c r="N128" s="23">
        <v>0</v>
      </c>
      <c r="O128" s="23">
        <v>5</v>
      </c>
      <c r="P128" s="23">
        <v>5</v>
      </c>
    </row>
    <row r="129" spans="1:16" x14ac:dyDescent="0.35">
      <c r="A129" s="23">
        <v>738</v>
      </c>
      <c r="B129" s="23" t="s">
        <v>353</v>
      </c>
      <c r="C129" s="23">
        <v>1</v>
      </c>
      <c r="D129" s="23">
        <v>0</v>
      </c>
      <c r="E129" s="23">
        <v>2</v>
      </c>
      <c r="F129" s="23">
        <v>2</v>
      </c>
      <c r="G129" s="23" t="b">
        <f>FALSE()</f>
        <v>0</v>
      </c>
      <c r="H129" s="23">
        <v>4</v>
      </c>
      <c r="I129" s="23">
        <v>1</v>
      </c>
      <c r="J129" s="23">
        <v>0.18</v>
      </c>
      <c r="K129" s="23">
        <v>0.16669999999999999</v>
      </c>
      <c r="L129" s="23">
        <v>0.43</v>
      </c>
      <c r="M129" s="23">
        <v>0.25369999999999998</v>
      </c>
      <c r="N129" s="23">
        <v>0</v>
      </c>
      <c r="O129" s="23">
        <v>2</v>
      </c>
      <c r="P129" s="23">
        <v>2</v>
      </c>
    </row>
    <row r="130" spans="1:16" x14ac:dyDescent="0.35">
      <c r="A130" s="23">
        <v>739</v>
      </c>
      <c r="B130" s="23" t="s">
        <v>353</v>
      </c>
      <c r="C130" s="23">
        <v>1</v>
      </c>
      <c r="D130" s="23">
        <v>0</v>
      </c>
      <c r="E130" s="23">
        <v>2</v>
      </c>
      <c r="F130" s="23">
        <v>3</v>
      </c>
      <c r="G130" s="23" t="b">
        <f>FALSE()</f>
        <v>0</v>
      </c>
      <c r="H130" s="23">
        <v>4</v>
      </c>
      <c r="I130" s="23">
        <v>1</v>
      </c>
      <c r="J130" s="23">
        <v>0.18</v>
      </c>
      <c r="K130" s="23">
        <v>0.16669999999999999</v>
      </c>
      <c r="L130" s="23">
        <v>0.43</v>
      </c>
      <c r="M130" s="23">
        <v>0.25369999999999998</v>
      </c>
      <c r="N130" s="23">
        <v>0</v>
      </c>
      <c r="O130" s="23">
        <v>1</v>
      </c>
      <c r="P130" s="23">
        <v>1</v>
      </c>
    </row>
    <row r="131" spans="1:16" x14ac:dyDescent="0.35">
      <c r="A131" s="23">
        <v>740</v>
      </c>
      <c r="B131" s="23" t="s">
        <v>353</v>
      </c>
      <c r="C131" s="23">
        <v>1</v>
      </c>
      <c r="D131" s="23">
        <v>0</v>
      </c>
      <c r="E131" s="23">
        <v>2</v>
      </c>
      <c r="F131" s="23">
        <v>5</v>
      </c>
      <c r="G131" s="23" t="b">
        <f>FALSE()</f>
        <v>0</v>
      </c>
      <c r="H131" s="23">
        <v>4</v>
      </c>
      <c r="I131" s="23">
        <v>1</v>
      </c>
      <c r="J131" s="23">
        <v>0.16</v>
      </c>
      <c r="K131" s="23">
        <v>0.13639999999999999</v>
      </c>
      <c r="L131" s="23">
        <v>0.5</v>
      </c>
      <c r="M131" s="23">
        <v>0.29849999999999999</v>
      </c>
      <c r="N131" s="23">
        <v>0</v>
      </c>
      <c r="O131" s="23">
        <v>2</v>
      </c>
      <c r="P131" s="23">
        <v>2</v>
      </c>
    </row>
    <row r="132" spans="1:16" x14ac:dyDescent="0.35">
      <c r="A132" s="23">
        <v>741</v>
      </c>
      <c r="B132" s="23" t="s">
        <v>353</v>
      </c>
      <c r="C132" s="23">
        <v>1</v>
      </c>
      <c r="D132" s="23">
        <v>0</v>
      </c>
      <c r="E132" s="23">
        <v>2</v>
      </c>
      <c r="F132" s="23">
        <v>6</v>
      </c>
      <c r="G132" s="23" t="b">
        <f>FALSE()</f>
        <v>0</v>
      </c>
      <c r="H132" s="23">
        <v>4</v>
      </c>
      <c r="I132" s="23">
        <v>1</v>
      </c>
      <c r="J132" s="23">
        <v>0.16</v>
      </c>
      <c r="K132" s="23">
        <v>0.13639999999999999</v>
      </c>
      <c r="L132" s="23">
        <v>0.43</v>
      </c>
      <c r="M132" s="23">
        <v>0.35820000000000002</v>
      </c>
      <c r="N132" s="23">
        <v>0</v>
      </c>
      <c r="O132" s="23">
        <v>39</v>
      </c>
      <c r="P132" s="23">
        <v>39</v>
      </c>
    </row>
    <row r="133" spans="1:16" x14ac:dyDescent="0.35">
      <c r="A133" s="23">
        <v>742</v>
      </c>
      <c r="B133" s="23" t="s">
        <v>353</v>
      </c>
      <c r="C133" s="23">
        <v>1</v>
      </c>
      <c r="D133" s="23">
        <v>0</v>
      </c>
      <c r="E133" s="23">
        <v>2</v>
      </c>
      <c r="F133" s="23">
        <v>7</v>
      </c>
      <c r="G133" s="23" t="b">
        <f>FALSE()</f>
        <v>0</v>
      </c>
      <c r="H133" s="23">
        <v>4</v>
      </c>
      <c r="I133" s="23">
        <v>1</v>
      </c>
      <c r="J133" s="23">
        <v>0.14000000000000001</v>
      </c>
      <c r="K133" s="23">
        <v>0.1212</v>
      </c>
      <c r="L133" s="23">
        <v>0.5</v>
      </c>
      <c r="M133" s="23">
        <v>0.32840000000000003</v>
      </c>
      <c r="N133" s="23">
        <v>1</v>
      </c>
      <c r="O133" s="23">
        <v>86</v>
      </c>
      <c r="P133" s="23">
        <v>87</v>
      </c>
    </row>
    <row r="134" spans="1:16" x14ac:dyDescent="0.35">
      <c r="A134" s="23">
        <v>743</v>
      </c>
      <c r="B134" s="23" t="s">
        <v>353</v>
      </c>
      <c r="C134" s="23">
        <v>1</v>
      </c>
      <c r="D134" s="23">
        <v>0</v>
      </c>
      <c r="E134" s="23">
        <v>2</v>
      </c>
      <c r="F134" s="23">
        <v>8</v>
      </c>
      <c r="G134" s="23" t="b">
        <f>FALSE()</f>
        <v>0</v>
      </c>
      <c r="H134" s="23">
        <v>4</v>
      </c>
      <c r="I134" s="23">
        <v>1</v>
      </c>
      <c r="J134" s="23">
        <v>0.14000000000000001</v>
      </c>
      <c r="K134" s="23">
        <v>0.1212</v>
      </c>
      <c r="L134" s="23">
        <v>0.5</v>
      </c>
      <c r="M134" s="23">
        <v>0.35820000000000002</v>
      </c>
      <c r="N134" s="23">
        <v>4</v>
      </c>
      <c r="O134" s="23">
        <v>184</v>
      </c>
      <c r="P134" s="23">
        <v>188</v>
      </c>
    </row>
    <row r="135" spans="1:16" x14ac:dyDescent="0.35">
      <c r="A135" s="23">
        <v>744</v>
      </c>
      <c r="B135" s="23" t="s">
        <v>353</v>
      </c>
      <c r="C135" s="23">
        <v>1</v>
      </c>
      <c r="D135" s="23">
        <v>0</v>
      </c>
      <c r="E135" s="23">
        <v>2</v>
      </c>
      <c r="F135" s="23">
        <v>9</v>
      </c>
      <c r="G135" s="23" t="b">
        <f>FALSE()</f>
        <v>0</v>
      </c>
      <c r="H135" s="23">
        <v>4</v>
      </c>
      <c r="I135" s="23">
        <v>1</v>
      </c>
      <c r="J135" s="23">
        <v>0.16</v>
      </c>
      <c r="K135" s="23">
        <v>0.13639999999999999</v>
      </c>
      <c r="L135" s="23">
        <v>0.47</v>
      </c>
      <c r="M135" s="23">
        <v>0.29849999999999999</v>
      </c>
      <c r="N135" s="23">
        <v>6</v>
      </c>
      <c r="O135" s="23">
        <v>127</v>
      </c>
      <c r="P135" s="23">
        <v>133</v>
      </c>
    </row>
    <row r="136" spans="1:16" x14ac:dyDescent="0.35">
      <c r="A136" s="23">
        <v>745</v>
      </c>
      <c r="B136" s="23" t="s">
        <v>353</v>
      </c>
      <c r="C136" s="23">
        <v>1</v>
      </c>
      <c r="D136" s="23">
        <v>0</v>
      </c>
      <c r="E136" s="23">
        <v>2</v>
      </c>
      <c r="F136" s="23">
        <v>10</v>
      </c>
      <c r="G136" s="23" t="b">
        <f>FALSE()</f>
        <v>0</v>
      </c>
      <c r="H136" s="23">
        <v>4</v>
      </c>
      <c r="I136" s="23">
        <v>1</v>
      </c>
      <c r="J136" s="23">
        <v>0.18</v>
      </c>
      <c r="K136" s="23">
        <v>0.1515</v>
      </c>
      <c r="L136" s="23">
        <v>0.43</v>
      </c>
      <c r="M136" s="23">
        <v>0.32840000000000003</v>
      </c>
      <c r="N136" s="23">
        <v>2</v>
      </c>
      <c r="O136" s="23">
        <v>50</v>
      </c>
      <c r="P136" s="23">
        <v>52</v>
      </c>
    </row>
    <row r="137" spans="1:16" x14ac:dyDescent="0.35">
      <c r="A137" s="23">
        <v>746</v>
      </c>
      <c r="B137" s="23" t="s">
        <v>353</v>
      </c>
      <c r="C137" s="23">
        <v>1</v>
      </c>
      <c r="D137" s="23">
        <v>0</v>
      </c>
      <c r="E137" s="23">
        <v>2</v>
      </c>
      <c r="F137" s="23">
        <v>11</v>
      </c>
      <c r="G137" s="23" t="b">
        <f>FALSE()</f>
        <v>0</v>
      </c>
      <c r="H137" s="23">
        <v>4</v>
      </c>
      <c r="I137" s="23">
        <v>1</v>
      </c>
      <c r="J137" s="23">
        <v>0.18</v>
      </c>
      <c r="K137" s="23">
        <v>0.13639999999999999</v>
      </c>
      <c r="L137" s="23">
        <v>0.43</v>
      </c>
      <c r="M137" s="23">
        <v>0.44779999999999998</v>
      </c>
      <c r="N137" s="23">
        <v>9</v>
      </c>
      <c r="O137" s="23">
        <v>55</v>
      </c>
      <c r="P137" s="23">
        <v>64</v>
      </c>
    </row>
    <row r="138" spans="1:16" x14ac:dyDescent="0.35">
      <c r="A138" s="23">
        <v>747</v>
      </c>
      <c r="B138" s="23" t="s">
        <v>353</v>
      </c>
      <c r="C138" s="23">
        <v>1</v>
      </c>
      <c r="D138" s="23">
        <v>0</v>
      </c>
      <c r="E138" s="23">
        <v>2</v>
      </c>
      <c r="F138" s="23">
        <v>12</v>
      </c>
      <c r="G138" s="23" t="b">
        <f>FALSE()</f>
        <v>0</v>
      </c>
      <c r="H138" s="23">
        <v>4</v>
      </c>
      <c r="I138" s="23">
        <v>1</v>
      </c>
      <c r="J138" s="23">
        <v>0.2</v>
      </c>
      <c r="K138" s="23">
        <v>0.18179999999999999</v>
      </c>
      <c r="L138" s="23">
        <v>0.4</v>
      </c>
      <c r="M138" s="23">
        <v>0.35820000000000002</v>
      </c>
      <c r="N138" s="23">
        <v>2</v>
      </c>
      <c r="O138" s="23">
        <v>67</v>
      </c>
      <c r="P138" s="23">
        <v>69</v>
      </c>
    </row>
    <row r="139" spans="1:16" x14ac:dyDescent="0.35">
      <c r="A139" s="23">
        <v>748</v>
      </c>
      <c r="B139" s="23" t="s">
        <v>353</v>
      </c>
      <c r="C139" s="23">
        <v>1</v>
      </c>
      <c r="D139" s="23">
        <v>0</v>
      </c>
      <c r="E139" s="23">
        <v>2</v>
      </c>
      <c r="F139" s="23">
        <v>13</v>
      </c>
      <c r="G139" s="23" t="b">
        <f>FALSE()</f>
        <v>0</v>
      </c>
      <c r="H139" s="23">
        <v>4</v>
      </c>
      <c r="I139" s="23">
        <v>1</v>
      </c>
      <c r="J139" s="23">
        <v>0.2</v>
      </c>
      <c r="K139" s="23">
        <v>0.16669999999999999</v>
      </c>
      <c r="L139" s="23">
        <v>0.4</v>
      </c>
      <c r="M139" s="23">
        <v>0.41789999999999999</v>
      </c>
      <c r="N139" s="23">
        <v>4</v>
      </c>
      <c r="O139" s="23">
        <v>47</v>
      </c>
      <c r="P139" s="23">
        <v>51</v>
      </c>
    </row>
    <row r="140" spans="1:16" x14ac:dyDescent="0.35">
      <c r="A140" s="23">
        <v>749</v>
      </c>
      <c r="B140" s="23" t="s">
        <v>353</v>
      </c>
      <c r="C140" s="23">
        <v>1</v>
      </c>
      <c r="D140" s="23">
        <v>0</v>
      </c>
      <c r="E140" s="23">
        <v>2</v>
      </c>
      <c r="F140" s="23">
        <v>14</v>
      </c>
      <c r="G140" s="23" t="b">
        <f>FALSE()</f>
        <v>0</v>
      </c>
      <c r="H140" s="23">
        <v>4</v>
      </c>
      <c r="I140" s="23">
        <v>1</v>
      </c>
      <c r="J140" s="23">
        <v>0.22</v>
      </c>
      <c r="K140" s="23">
        <v>0.19700000000000001</v>
      </c>
      <c r="L140" s="23">
        <v>0.37</v>
      </c>
      <c r="M140" s="23">
        <v>0.3881</v>
      </c>
      <c r="N140" s="23">
        <v>4</v>
      </c>
      <c r="O140" s="23">
        <v>43</v>
      </c>
      <c r="P140" s="23">
        <v>47</v>
      </c>
    </row>
    <row r="141" spans="1:16" x14ac:dyDescent="0.35">
      <c r="A141" s="23">
        <v>750</v>
      </c>
      <c r="B141" s="23" t="s">
        <v>353</v>
      </c>
      <c r="C141" s="23">
        <v>1</v>
      </c>
      <c r="D141" s="23">
        <v>0</v>
      </c>
      <c r="E141" s="23">
        <v>2</v>
      </c>
      <c r="F141" s="23">
        <v>15</v>
      </c>
      <c r="G141" s="23" t="b">
        <f>FALSE()</f>
        <v>0</v>
      </c>
      <c r="H141" s="23">
        <v>4</v>
      </c>
      <c r="I141" s="23">
        <v>1</v>
      </c>
      <c r="J141" s="23">
        <v>0.22</v>
      </c>
      <c r="K141" s="23">
        <v>0.19700000000000001</v>
      </c>
      <c r="L141" s="23">
        <v>0.37</v>
      </c>
      <c r="M141" s="23">
        <v>0.32840000000000003</v>
      </c>
      <c r="N141" s="23">
        <v>4</v>
      </c>
      <c r="O141" s="23">
        <v>56</v>
      </c>
      <c r="P141" s="23">
        <v>60</v>
      </c>
    </row>
    <row r="142" spans="1:16" x14ac:dyDescent="0.35">
      <c r="A142" s="23">
        <v>751</v>
      </c>
      <c r="B142" s="23" t="s">
        <v>353</v>
      </c>
      <c r="C142" s="23">
        <v>1</v>
      </c>
      <c r="D142" s="23">
        <v>0</v>
      </c>
      <c r="E142" s="23">
        <v>2</v>
      </c>
      <c r="F142" s="23">
        <v>16</v>
      </c>
      <c r="G142" s="23" t="b">
        <f>FALSE()</f>
        <v>0</v>
      </c>
      <c r="H142" s="23">
        <v>4</v>
      </c>
      <c r="I142" s="23">
        <v>1</v>
      </c>
      <c r="J142" s="23">
        <v>0.22</v>
      </c>
      <c r="K142" s="23">
        <v>0.21210000000000001</v>
      </c>
      <c r="L142" s="23">
        <v>0.37</v>
      </c>
      <c r="M142" s="23">
        <v>0.25369999999999998</v>
      </c>
      <c r="N142" s="23">
        <v>5</v>
      </c>
      <c r="O142" s="23">
        <v>73</v>
      </c>
      <c r="P142" s="23">
        <v>78</v>
      </c>
    </row>
    <row r="143" spans="1:16" x14ac:dyDescent="0.35">
      <c r="A143" s="23">
        <v>752</v>
      </c>
      <c r="B143" s="23" t="s">
        <v>353</v>
      </c>
      <c r="C143" s="23">
        <v>1</v>
      </c>
      <c r="D143" s="23">
        <v>0</v>
      </c>
      <c r="E143" s="23">
        <v>2</v>
      </c>
      <c r="F143" s="23">
        <v>17</v>
      </c>
      <c r="G143" s="23" t="b">
        <f>FALSE()</f>
        <v>0</v>
      </c>
      <c r="H143" s="23">
        <v>4</v>
      </c>
      <c r="I143" s="23">
        <v>1</v>
      </c>
      <c r="J143" s="23">
        <v>0.2</v>
      </c>
      <c r="K143" s="23">
        <v>0.19700000000000001</v>
      </c>
      <c r="L143" s="23">
        <v>0.4</v>
      </c>
      <c r="M143" s="23">
        <v>0.19400000000000001</v>
      </c>
      <c r="N143" s="23">
        <v>5</v>
      </c>
      <c r="O143" s="23">
        <v>170</v>
      </c>
      <c r="P143" s="23">
        <v>175</v>
      </c>
    </row>
    <row r="144" spans="1:16" x14ac:dyDescent="0.35">
      <c r="A144" s="23">
        <v>753</v>
      </c>
      <c r="B144" s="23" t="s">
        <v>353</v>
      </c>
      <c r="C144" s="23">
        <v>1</v>
      </c>
      <c r="D144" s="23">
        <v>0</v>
      </c>
      <c r="E144" s="23">
        <v>2</v>
      </c>
      <c r="F144" s="23">
        <v>18</v>
      </c>
      <c r="G144" s="23" t="b">
        <f>FALSE()</f>
        <v>0</v>
      </c>
      <c r="H144" s="23">
        <v>4</v>
      </c>
      <c r="I144" s="23">
        <v>1</v>
      </c>
      <c r="J144" s="23">
        <v>0.2</v>
      </c>
      <c r="K144" s="23">
        <v>0.21210000000000001</v>
      </c>
      <c r="L144" s="23">
        <v>0.4</v>
      </c>
      <c r="M144" s="23">
        <v>0.16420000000000001</v>
      </c>
      <c r="N144" s="23">
        <v>2</v>
      </c>
      <c r="O144" s="23">
        <v>145</v>
      </c>
      <c r="P144" s="23">
        <v>147</v>
      </c>
    </row>
    <row r="145" spans="1:16" x14ac:dyDescent="0.35">
      <c r="A145" s="23">
        <v>754</v>
      </c>
      <c r="B145" s="23" t="s">
        <v>353</v>
      </c>
      <c r="C145" s="23">
        <v>1</v>
      </c>
      <c r="D145" s="23">
        <v>0</v>
      </c>
      <c r="E145" s="23">
        <v>2</v>
      </c>
      <c r="F145" s="23">
        <v>19</v>
      </c>
      <c r="G145" s="23" t="b">
        <f>FALSE()</f>
        <v>0</v>
      </c>
      <c r="H145" s="23">
        <v>4</v>
      </c>
      <c r="I145" s="23">
        <v>1</v>
      </c>
      <c r="J145" s="23">
        <v>0.2</v>
      </c>
      <c r="K145" s="23">
        <v>0.2576</v>
      </c>
      <c r="L145" s="23">
        <v>0.4</v>
      </c>
      <c r="M145" s="23">
        <v>0</v>
      </c>
      <c r="N145" s="23">
        <v>4</v>
      </c>
      <c r="O145" s="23">
        <v>92</v>
      </c>
      <c r="P145" s="23">
        <v>96</v>
      </c>
    </row>
    <row r="146" spans="1:16" x14ac:dyDescent="0.35">
      <c r="A146" s="23">
        <v>755</v>
      </c>
      <c r="B146" s="23" t="s">
        <v>353</v>
      </c>
      <c r="C146" s="23">
        <v>1</v>
      </c>
      <c r="D146" s="23">
        <v>0</v>
      </c>
      <c r="E146" s="23">
        <v>2</v>
      </c>
      <c r="F146" s="23">
        <v>20</v>
      </c>
      <c r="G146" s="23" t="b">
        <f>FALSE()</f>
        <v>0</v>
      </c>
      <c r="H146" s="23">
        <v>4</v>
      </c>
      <c r="I146" s="23">
        <v>1</v>
      </c>
      <c r="J146" s="23">
        <v>0.2</v>
      </c>
      <c r="K146" s="23">
        <v>0.2273</v>
      </c>
      <c r="L146" s="23">
        <v>0.47</v>
      </c>
      <c r="M146" s="23">
        <v>8.9599999999999999E-2</v>
      </c>
      <c r="N146" s="23">
        <v>1</v>
      </c>
      <c r="O146" s="23">
        <v>108</v>
      </c>
      <c r="P146" s="23">
        <v>109</v>
      </c>
    </row>
    <row r="147" spans="1:16" x14ac:dyDescent="0.35">
      <c r="A147" s="23">
        <v>756</v>
      </c>
      <c r="B147" s="23" t="s">
        <v>353</v>
      </c>
      <c r="C147" s="23">
        <v>1</v>
      </c>
      <c r="D147" s="23">
        <v>0</v>
      </c>
      <c r="E147" s="23">
        <v>2</v>
      </c>
      <c r="F147" s="23">
        <v>21</v>
      </c>
      <c r="G147" s="23" t="b">
        <f>FALSE()</f>
        <v>0</v>
      </c>
      <c r="H147" s="23">
        <v>4</v>
      </c>
      <c r="I147" s="23">
        <v>1</v>
      </c>
      <c r="J147" s="23">
        <v>0.18</v>
      </c>
      <c r="K147" s="23">
        <v>0.21210000000000001</v>
      </c>
      <c r="L147" s="23">
        <v>0.55000000000000004</v>
      </c>
      <c r="M147" s="23">
        <v>0.1045</v>
      </c>
      <c r="N147" s="23">
        <v>1</v>
      </c>
      <c r="O147" s="23">
        <v>53</v>
      </c>
      <c r="P147" s="23">
        <v>54</v>
      </c>
    </row>
    <row r="148" spans="1:16" x14ac:dyDescent="0.35">
      <c r="A148" s="23">
        <v>757</v>
      </c>
      <c r="B148" s="23" t="s">
        <v>353</v>
      </c>
      <c r="C148" s="23">
        <v>1</v>
      </c>
      <c r="D148" s="23">
        <v>0</v>
      </c>
      <c r="E148" s="23">
        <v>2</v>
      </c>
      <c r="F148" s="23">
        <v>22</v>
      </c>
      <c r="G148" s="23" t="b">
        <f>FALSE()</f>
        <v>0</v>
      </c>
      <c r="H148" s="23">
        <v>4</v>
      </c>
      <c r="I148" s="23">
        <v>1</v>
      </c>
      <c r="J148" s="23">
        <v>0.18</v>
      </c>
      <c r="K148" s="23">
        <v>0.21210000000000001</v>
      </c>
      <c r="L148" s="23">
        <v>0.51</v>
      </c>
      <c r="M148" s="23">
        <v>8.9599999999999999E-2</v>
      </c>
      <c r="N148" s="23">
        <v>2</v>
      </c>
      <c r="O148" s="23">
        <v>39</v>
      </c>
      <c r="P148" s="23">
        <v>41</v>
      </c>
    </row>
    <row r="149" spans="1:16" x14ac:dyDescent="0.35">
      <c r="A149" s="23">
        <v>758</v>
      </c>
      <c r="B149" s="23" t="s">
        <v>353</v>
      </c>
      <c r="C149" s="23">
        <v>1</v>
      </c>
      <c r="D149" s="23">
        <v>0</v>
      </c>
      <c r="E149" s="23">
        <v>2</v>
      </c>
      <c r="F149" s="23">
        <v>23</v>
      </c>
      <c r="G149" s="23" t="b">
        <f>FALSE()</f>
        <v>0</v>
      </c>
      <c r="H149" s="23">
        <v>4</v>
      </c>
      <c r="I149" s="23">
        <v>1</v>
      </c>
      <c r="J149" s="23">
        <v>0.2</v>
      </c>
      <c r="K149" s="23">
        <v>0.2273</v>
      </c>
      <c r="L149" s="23">
        <v>0.47</v>
      </c>
      <c r="M149" s="23">
        <v>0.1045</v>
      </c>
      <c r="N149" s="23">
        <v>4</v>
      </c>
      <c r="O149" s="23">
        <v>34</v>
      </c>
      <c r="P149" s="23">
        <v>38</v>
      </c>
    </row>
    <row r="150" spans="1:16" x14ac:dyDescent="0.35">
      <c r="A150" s="23">
        <v>759</v>
      </c>
      <c r="B150" s="23" t="s">
        <v>354</v>
      </c>
      <c r="C150" s="23">
        <v>1</v>
      </c>
      <c r="D150" s="23">
        <v>0</v>
      </c>
      <c r="E150" s="23">
        <v>2</v>
      </c>
      <c r="F150" s="23">
        <v>0</v>
      </c>
      <c r="G150" s="23" t="b">
        <f>FALSE()</f>
        <v>0</v>
      </c>
      <c r="H150" s="23">
        <v>5</v>
      </c>
      <c r="I150" s="23">
        <v>2</v>
      </c>
      <c r="J150" s="23">
        <v>0.2</v>
      </c>
      <c r="K150" s="23">
        <v>0.2576</v>
      </c>
      <c r="L150" s="23">
        <v>0.44</v>
      </c>
      <c r="M150" s="23">
        <v>0</v>
      </c>
      <c r="N150" s="23">
        <v>3</v>
      </c>
      <c r="O150" s="23">
        <v>10</v>
      </c>
      <c r="P150" s="23">
        <v>13</v>
      </c>
    </row>
    <row r="151" spans="1:16" x14ac:dyDescent="0.35">
      <c r="A151" s="23">
        <v>760</v>
      </c>
      <c r="B151" s="23" t="s">
        <v>354</v>
      </c>
      <c r="C151" s="23">
        <v>1</v>
      </c>
      <c r="D151" s="23">
        <v>0</v>
      </c>
      <c r="E151" s="23">
        <v>2</v>
      </c>
      <c r="F151" s="23">
        <v>1</v>
      </c>
      <c r="G151" s="23" t="b">
        <f>FALSE()</f>
        <v>0</v>
      </c>
      <c r="H151" s="23">
        <v>5</v>
      </c>
      <c r="I151" s="23">
        <v>2</v>
      </c>
      <c r="J151" s="23">
        <v>0.16</v>
      </c>
      <c r="K151" s="23">
        <v>0.2273</v>
      </c>
      <c r="L151" s="23">
        <v>0.59</v>
      </c>
      <c r="M151" s="23">
        <v>0</v>
      </c>
      <c r="N151" s="23">
        <v>0</v>
      </c>
      <c r="O151" s="23">
        <v>7</v>
      </c>
      <c r="P151" s="23">
        <v>7</v>
      </c>
    </row>
    <row r="152" spans="1:16" x14ac:dyDescent="0.35">
      <c r="A152" s="23">
        <v>761</v>
      </c>
      <c r="B152" s="23" t="s">
        <v>354</v>
      </c>
      <c r="C152" s="23">
        <v>1</v>
      </c>
      <c r="D152" s="23">
        <v>0</v>
      </c>
      <c r="E152" s="23">
        <v>2</v>
      </c>
      <c r="F152" s="23">
        <v>2</v>
      </c>
      <c r="G152" s="23" t="b">
        <f>FALSE()</f>
        <v>0</v>
      </c>
      <c r="H152" s="23">
        <v>5</v>
      </c>
      <c r="I152" s="23">
        <v>2</v>
      </c>
      <c r="J152" s="23">
        <v>0.14000000000000001</v>
      </c>
      <c r="K152" s="23">
        <v>0.16669999999999999</v>
      </c>
      <c r="L152" s="23">
        <v>0.63</v>
      </c>
      <c r="M152" s="23">
        <v>0.1045</v>
      </c>
      <c r="N152" s="23">
        <v>0</v>
      </c>
      <c r="O152" s="23">
        <v>1</v>
      </c>
      <c r="P152" s="23">
        <v>1</v>
      </c>
    </row>
    <row r="153" spans="1:16" x14ac:dyDescent="0.35">
      <c r="A153" s="23">
        <v>762</v>
      </c>
      <c r="B153" s="23" t="s">
        <v>354</v>
      </c>
      <c r="C153" s="23">
        <v>1</v>
      </c>
      <c r="D153" s="23">
        <v>0</v>
      </c>
      <c r="E153" s="23">
        <v>2</v>
      </c>
      <c r="F153" s="23">
        <v>3</v>
      </c>
      <c r="G153" s="23" t="b">
        <f>FALSE()</f>
        <v>0</v>
      </c>
      <c r="H153" s="23">
        <v>5</v>
      </c>
      <c r="I153" s="23">
        <v>2</v>
      </c>
      <c r="J153" s="23">
        <v>0.14000000000000001</v>
      </c>
      <c r="K153" s="23">
        <v>0.16669999999999999</v>
      </c>
      <c r="L153" s="23">
        <v>0.63</v>
      </c>
      <c r="M153" s="23">
        <v>0.1045</v>
      </c>
      <c r="N153" s="23">
        <v>0</v>
      </c>
      <c r="O153" s="23">
        <v>1</v>
      </c>
      <c r="P153" s="23">
        <v>1</v>
      </c>
    </row>
    <row r="154" spans="1:16" x14ac:dyDescent="0.35">
      <c r="A154" s="23">
        <v>763</v>
      </c>
      <c r="B154" s="23" t="s">
        <v>354</v>
      </c>
      <c r="C154" s="23">
        <v>1</v>
      </c>
      <c r="D154" s="23">
        <v>0</v>
      </c>
      <c r="E154" s="23">
        <v>2</v>
      </c>
      <c r="F154" s="23">
        <v>5</v>
      </c>
      <c r="G154" s="23" t="b">
        <f>FALSE()</f>
        <v>0</v>
      </c>
      <c r="H154" s="23">
        <v>5</v>
      </c>
      <c r="I154" s="23">
        <v>2</v>
      </c>
      <c r="J154" s="23">
        <v>0.14000000000000001</v>
      </c>
      <c r="K154" s="23">
        <v>0.1515</v>
      </c>
      <c r="L154" s="23">
        <v>0.63</v>
      </c>
      <c r="M154" s="23">
        <v>0.1343</v>
      </c>
      <c r="N154" s="23">
        <v>0</v>
      </c>
      <c r="O154" s="23">
        <v>7</v>
      </c>
      <c r="P154" s="23">
        <v>7</v>
      </c>
    </row>
    <row r="155" spans="1:16" x14ac:dyDescent="0.35">
      <c r="A155" s="23">
        <v>764</v>
      </c>
      <c r="B155" s="23" t="s">
        <v>354</v>
      </c>
      <c r="C155" s="23">
        <v>1</v>
      </c>
      <c r="D155" s="23">
        <v>0</v>
      </c>
      <c r="E155" s="23">
        <v>2</v>
      </c>
      <c r="F155" s="23">
        <v>6</v>
      </c>
      <c r="G155" s="23" t="b">
        <f>FALSE()</f>
        <v>0</v>
      </c>
      <c r="H155" s="23">
        <v>5</v>
      </c>
      <c r="I155" s="23">
        <v>2</v>
      </c>
      <c r="J155" s="23">
        <v>0.16</v>
      </c>
      <c r="K155" s="23">
        <v>0.2273</v>
      </c>
      <c r="L155" s="23">
        <v>0.55000000000000004</v>
      </c>
      <c r="M155" s="23">
        <v>0</v>
      </c>
      <c r="N155" s="23">
        <v>2</v>
      </c>
      <c r="O155" s="23">
        <v>26</v>
      </c>
      <c r="P155" s="23">
        <v>28</v>
      </c>
    </row>
    <row r="156" spans="1:16" x14ac:dyDescent="0.35">
      <c r="A156" s="23">
        <v>765</v>
      </c>
      <c r="B156" s="23" t="s">
        <v>354</v>
      </c>
      <c r="C156" s="23">
        <v>1</v>
      </c>
      <c r="D156" s="23">
        <v>0</v>
      </c>
      <c r="E156" s="23">
        <v>2</v>
      </c>
      <c r="F156" s="23">
        <v>7</v>
      </c>
      <c r="G156" s="23" t="b">
        <f>FALSE()</f>
        <v>0</v>
      </c>
      <c r="H156" s="23">
        <v>5</v>
      </c>
      <c r="I156" s="23">
        <v>1</v>
      </c>
      <c r="J156" s="23">
        <v>0.14000000000000001</v>
      </c>
      <c r="K156" s="23">
        <v>0.21210000000000001</v>
      </c>
      <c r="L156" s="23">
        <v>0.59</v>
      </c>
      <c r="M156" s="23">
        <v>0</v>
      </c>
      <c r="N156" s="23">
        <v>0</v>
      </c>
      <c r="O156" s="23">
        <v>87</v>
      </c>
      <c r="P156" s="23">
        <v>87</v>
      </c>
    </row>
    <row r="157" spans="1:16" x14ac:dyDescent="0.35">
      <c r="A157" s="23">
        <v>766</v>
      </c>
      <c r="B157" s="23" t="s">
        <v>354</v>
      </c>
      <c r="C157" s="23">
        <v>1</v>
      </c>
      <c r="D157" s="23">
        <v>0</v>
      </c>
      <c r="E157" s="23">
        <v>2</v>
      </c>
      <c r="F157" s="23">
        <v>8</v>
      </c>
      <c r="G157" s="23" t="b">
        <f>FALSE()</f>
        <v>0</v>
      </c>
      <c r="H157" s="23">
        <v>5</v>
      </c>
      <c r="I157" s="23">
        <v>1</v>
      </c>
      <c r="J157" s="23">
        <v>0.14000000000000001</v>
      </c>
      <c r="K157" s="23">
        <v>0.1515</v>
      </c>
      <c r="L157" s="23">
        <v>0.74</v>
      </c>
      <c r="M157" s="23">
        <v>0.1343</v>
      </c>
      <c r="N157" s="23">
        <v>3</v>
      </c>
      <c r="O157" s="23">
        <v>217</v>
      </c>
      <c r="P157" s="23">
        <v>220</v>
      </c>
    </row>
    <row r="158" spans="1:16" x14ac:dyDescent="0.35">
      <c r="A158" s="23">
        <v>767</v>
      </c>
      <c r="B158" s="23" t="s">
        <v>354</v>
      </c>
      <c r="C158" s="23">
        <v>1</v>
      </c>
      <c r="D158" s="23">
        <v>0</v>
      </c>
      <c r="E158" s="23">
        <v>2</v>
      </c>
      <c r="F158" s="23">
        <v>9</v>
      </c>
      <c r="G158" s="23" t="b">
        <f>FALSE()</f>
        <v>0</v>
      </c>
      <c r="H158" s="23">
        <v>5</v>
      </c>
      <c r="I158" s="23">
        <v>2</v>
      </c>
      <c r="J158" s="23">
        <v>0.16</v>
      </c>
      <c r="K158" s="23">
        <v>0.18179999999999999</v>
      </c>
      <c r="L158" s="23">
        <v>0.8</v>
      </c>
      <c r="M158" s="23">
        <v>0.1343</v>
      </c>
      <c r="N158" s="23">
        <v>3</v>
      </c>
      <c r="O158" s="23">
        <v>124</v>
      </c>
      <c r="P158" s="23">
        <v>127</v>
      </c>
    </row>
    <row r="159" spans="1:16" x14ac:dyDescent="0.35">
      <c r="A159" s="23">
        <v>768</v>
      </c>
      <c r="B159" s="23" t="s">
        <v>354</v>
      </c>
      <c r="C159" s="23">
        <v>1</v>
      </c>
      <c r="D159" s="23">
        <v>0</v>
      </c>
      <c r="E159" s="23">
        <v>2</v>
      </c>
      <c r="F159" s="23">
        <v>10</v>
      </c>
      <c r="G159" s="23" t="b">
        <f>FALSE()</f>
        <v>0</v>
      </c>
      <c r="H159" s="23">
        <v>5</v>
      </c>
      <c r="I159" s="23">
        <v>2</v>
      </c>
      <c r="J159" s="23">
        <v>0.2</v>
      </c>
      <c r="K159" s="23">
        <v>0.21210000000000001</v>
      </c>
      <c r="L159" s="23">
        <v>0.51</v>
      </c>
      <c r="M159" s="23">
        <v>0.1343</v>
      </c>
      <c r="N159" s="23">
        <v>5</v>
      </c>
      <c r="O159" s="23">
        <v>46</v>
      </c>
      <c r="P159" s="23">
        <v>51</v>
      </c>
    </row>
    <row r="160" spans="1:16" x14ac:dyDescent="0.35">
      <c r="A160" s="23">
        <v>769</v>
      </c>
      <c r="B160" s="23" t="s">
        <v>354</v>
      </c>
      <c r="C160" s="23">
        <v>1</v>
      </c>
      <c r="D160" s="23">
        <v>0</v>
      </c>
      <c r="E160" s="23">
        <v>2</v>
      </c>
      <c r="F160" s="23">
        <v>11</v>
      </c>
      <c r="G160" s="23" t="b">
        <f>FALSE()</f>
        <v>0</v>
      </c>
      <c r="H160" s="23">
        <v>5</v>
      </c>
      <c r="I160" s="23">
        <v>1</v>
      </c>
      <c r="J160" s="23">
        <v>0.22</v>
      </c>
      <c r="K160" s="23">
        <v>0.2273</v>
      </c>
      <c r="L160" s="23">
        <v>0.51</v>
      </c>
      <c r="M160" s="23">
        <v>0.16420000000000001</v>
      </c>
      <c r="N160" s="23">
        <v>3</v>
      </c>
      <c r="O160" s="23">
        <v>61</v>
      </c>
      <c r="P160" s="23">
        <v>64</v>
      </c>
    </row>
    <row r="161" spans="1:16" x14ac:dyDescent="0.35">
      <c r="A161" s="23">
        <v>770</v>
      </c>
      <c r="B161" s="23" t="s">
        <v>354</v>
      </c>
      <c r="C161" s="23">
        <v>1</v>
      </c>
      <c r="D161" s="23">
        <v>0</v>
      </c>
      <c r="E161" s="23">
        <v>2</v>
      </c>
      <c r="F161" s="23">
        <v>12</v>
      </c>
      <c r="G161" s="23" t="b">
        <f>FALSE()</f>
        <v>0</v>
      </c>
      <c r="H161" s="23">
        <v>5</v>
      </c>
      <c r="I161" s="23">
        <v>2</v>
      </c>
      <c r="J161" s="23">
        <v>0.24</v>
      </c>
      <c r="K161" s="23">
        <v>0.2424</v>
      </c>
      <c r="L161" s="23">
        <v>0.48</v>
      </c>
      <c r="M161" s="23">
        <v>0.16420000000000001</v>
      </c>
      <c r="N161" s="23">
        <v>8</v>
      </c>
      <c r="O161" s="23">
        <v>78</v>
      </c>
      <c r="P161" s="23">
        <v>86</v>
      </c>
    </row>
    <row r="162" spans="1:16" x14ac:dyDescent="0.35">
      <c r="A162" s="23">
        <v>771</v>
      </c>
      <c r="B162" s="23" t="s">
        <v>354</v>
      </c>
      <c r="C162" s="23">
        <v>1</v>
      </c>
      <c r="D162" s="23">
        <v>0</v>
      </c>
      <c r="E162" s="23">
        <v>2</v>
      </c>
      <c r="F162" s="23">
        <v>13</v>
      </c>
      <c r="G162" s="23" t="b">
        <f>FALSE()</f>
        <v>0</v>
      </c>
      <c r="H162" s="23">
        <v>5</v>
      </c>
      <c r="I162" s="23">
        <v>2</v>
      </c>
      <c r="J162" s="23">
        <v>0.26</v>
      </c>
      <c r="K162" s="23">
        <v>0.2576</v>
      </c>
      <c r="L162" s="23">
        <v>0.5</v>
      </c>
      <c r="M162" s="23">
        <v>0.22389999999999999</v>
      </c>
      <c r="N162" s="23">
        <v>9</v>
      </c>
      <c r="O162" s="23">
        <v>73</v>
      </c>
      <c r="P162" s="23">
        <v>82</v>
      </c>
    </row>
    <row r="163" spans="1:16" x14ac:dyDescent="0.35">
      <c r="A163" s="23">
        <v>772</v>
      </c>
      <c r="B163" s="23" t="s">
        <v>354</v>
      </c>
      <c r="C163" s="23">
        <v>1</v>
      </c>
      <c r="D163" s="23">
        <v>0</v>
      </c>
      <c r="E163" s="23">
        <v>2</v>
      </c>
      <c r="F163" s="23">
        <v>14</v>
      </c>
      <c r="G163" s="23" t="b">
        <f>FALSE()</f>
        <v>0</v>
      </c>
      <c r="H163" s="23">
        <v>5</v>
      </c>
      <c r="I163" s="23">
        <v>2</v>
      </c>
      <c r="J163" s="23">
        <v>0.28000000000000003</v>
      </c>
      <c r="K163" s="23">
        <v>0.2727</v>
      </c>
      <c r="L163" s="23">
        <v>0.45</v>
      </c>
      <c r="M163" s="23">
        <v>0.16420000000000001</v>
      </c>
      <c r="N163" s="23">
        <v>15</v>
      </c>
      <c r="O163" s="23">
        <v>76</v>
      </c>
      <c r="P163" s="23">
        <v>91</v>
      </c>
    </row>
    <row r="164" spans="1:16" x14ac:dyDescent="0.35">
      <c r="A164" s="23">
        <v>773</v>
      </c>
      <c r="B164" s="23" t="s">
        <v>354</v>
      </c>
      <c r="C164" s="23">
        <v>1</v>
      </c>
      <c r="D164" s="23">
        <v>0</v>
      </c>
      <c r="E164" s="23">
        <v>2</v>
      </c>
      <c r="F164" s="23">
        <v>15</v>
      </c>
      <c r="G164" s="23" t="b">
        <f>FALSE()</f>
        <v>0</v>
      </c>
      <c r="H164" s="23">
        <v>5</v>
      </c>
      <c r="I164" s="23">
        <v>2</v>
      </c>
      <c r="J164" s="23">
        <v>0.28000000000000003</v>
      </c>
      <c r="K164" s="23">
        <v>0.2727</v>
      </c>
      <c r="L164" s="23">
        <v>0.48</v>
      </c>
      <c r="M164" s="23">
        <v>0.25369999999999998</v>
      </c>
      <c r="N164" s="23">
        <v>9</v>
      </c>
      <c r="O164" s="23">
        <v>81</v>
      </c>
      <c r="P164" s="23">
        <v>90</v>
      </c>
    </row>
    <row r="165" spans="1:16" x14ac:dyDescent="0.35">
      <c r="A165" s="23">
        <v>774</v>
      </c>
      <c r="B165" s="23" t="s">
        <v>354</v>
      </c>
      <c r="C165" s="23">
        <v>1</v>
      </c>
      <c r="D165" s="23">
        <v>0</v>
      </c>
      <c r="E165" s="23">
        <v>2</v>
      </c>
      <c r="F165" s="23">
        <v>16</v>
      </c>
      <c r="G165" s="23" t="b">
        <f>FALSE()</f>
        <v>0</v>
      </c>
      <c r="H165" s="23">
        <v>5</v>
      </c>
      <c r="I165" s="23">
        <v>2</v>
      </c>
      <c r="J165" s="23">
        <v>0.3</v>
      </c>
      <c r="K165" s="23">
        <v>0.28789999999999999</v>
      </c>
      <c r="L165" s="23">
        <v>0.42</v>
      </c>
      <c r="M165" s="23">
        <v>0.22389999999999999</v>
      </c>
      <c r="N165" s="23">
        <v>8</v>
      </c>
      <c r="O165" s="23">
        <v>91</v>
      </c>
      <c r="P165" s="23">
        <v>99</v>
      </c>
    </row>
    <row r="166" spans="1:16" x14ac:dyDescent="0.35">
      <c r="A166" s="23">
        <v>775</v>
      </c>
      <c r="B166" s="23" t="s">
        <v>354</v>
      </c>
      <c r="C166" s="23">
        <v>1</v>
      </c>
      <c r="D166" s="23">
        <v>0</v>
      </c>
      <c r="E166" s="23">
        <v>2</v>
      </c>
      <c r="F166" s="23">
        <v>17</v>
      </c>
      <c r="G166" s="23" t="b">
        <f>FALSE()</f>
        <v>0</v>
      </c>
      <c r="H166" s="23">
        <v>5</v>
      </c>
      <c r="I166" s="23">
        <v>2</v>
      </c>
      <c r="J166" s="23">
        <v>0.26</v>
      </c>
      <c r="K166" s="23">
        <v>0.2727</v>
      </c>
      <c r="L166" s="23">
        <v>0.56000000000000005</v>
      </c>
      <c r="M166" s="23">
        <v>0.1343</v>
      </c>
      <c r="N166" s="23">
        <v>10</v>
      </c>
      <c r="O166" s="23">
        <v>195</v>
      </c>
      <c r="P166" s="23">
        <v>205</v>
      </c>
    </row>
    <row r="167" spans="1:16" x14ac:dyDescent="0.35">
      <c r="A167" s="23">
        <v>776</v>
      </c>
      <c r="B167" s="23" t="s">
        <v>354</v>
      </c>
      <c r="C167" s="23">
        <v>1</v>
      </c>
      <c r="D167" s="23">
        <v>0</v>
      </c>
      <c r="E167" s="23">
        <v>2</v>
      </c>
      <c r="F167" s="23">
        <v>18</v>
      </c>
      <c r="G167" s="23" t="b">
        <f>FALSE()</f>
        <v>0</v>
      </c>
      <c r="H167" s="23">
        <v>5</v>
      </c>
      <c r="I167" s="23">
        <v>2</v>
      </c>
      <c r="J167" s="23">
        <v>0.24</v>
      </c>
      <c r="K167" s="23">
        <v>0.2576</v>
      </c>
      <c r="L167" s="23">
        <v>0.6</v>
      </c>
      <c r="M167" s="23">
        <v>0.1045</v>
      </c>
      <c r="N167" s="23">
        <v>3</v>
      </c>
      <c r="O167" s="23">
        <v>152</v>
      </c>
      <c r="P167" s="23">
        <v>155</v>
      </c>
    </row>
    <row r="168" spans="1:16" x14ac:dyDescent="0.35">
      <c r="A168" s="23">
        <v>777</v>
      </c>
      <c r="B168" s="23" t="s">
        <v>354</v>
      </c>
      <c r="C168" s="23">
        <v>1</v>
      </c>
      <c r="D168" s="23">
        <v>0</v>
      </c>
      <c r="E168" s="23">
        <v>2</v>
      </c>
      <c r="F168" s="23">
        <v>19</v>
      </c>
      <c r="G168" s="23" t="b">
        <f>FALSE()</f>
        <v>0</v>
      </c>
      <c r="H168" s="23">
        <v>5</v>
      </c>
      <c r="I168" s="23">
        <v>2</v>
      </c>
      <c r="J168" s="23">
        <v>0.24</v>
      </c>
      <c r="K168" s="23">
        <v>0.2424</v>
      </c>
      <c r="L168" s="23">
        <v>0.65</v>
      </c>
      <c r="M168" s="23">
        <v>0.1343</v>
      </c>
      <c r="N168" s="23">
        <v>1</v>
      </c>
      <c r="O168" s="23">
        <v>102</v>
      </c>
      <c r="P168" s="23">
        <v>103</v>
      </c>
    </row>
    <row r="169" spans="1:16" x14ac:dyDescent="0.35">
      <c r="A169" s="23">
        <v>778</v>
      </c>
      <c r="B169" s="23" t="s">
        <v>354</v>
      </c>
      <c r="C169" s="23">
        <v>1</v>
      </c>
      <c r="D169" s="23">
        <v>0</v>
      </c>
      <c r="E169" s="23">
        <v>2</v>
      </c>
      <c r="F169" s="23">
        <v>20</v>
      </c>
      <c r="G169" s="23" t="b">
        <f>FALSE()</f>
        <v>0</v>
      </c>
      <c r="H169" s="23">
        <v>5</v>
      </c>
      <c r="I169" s="23">
        <v>2</v>
      </c>
      <c r="J169" s="23">
        <v>0.24</v>
      </c>
      <c r="K169" s="23">
        <v>0.2424</v>
      </c>
      <c r="L169" s="23">
        <v>0.65</v>
      </c>
      <c r="M169" s="23">
        <v>0.16420000000000001</v>
      </c>
      <c r="N169" s="23">
        <v>2</v>
      </c>
      <c r="O169" s="23">
        <v>69</v>
      </c>
      <c r="P169" s="23">
        <v>71</v>
      </c>
    </row>
    <row r="170" spans="1:16" x14ac:dyDescent="0.35">
      <c r="A170" s="23">
        <v>779</v>
      </c>
      <c r="B170" s="23" t="s">
        <v>354</v>
      </c>
      <c r="C170" s="23">
        <v>1</v>
      </c>
      <c r="D170" s="23">
        <v>0</v>
      </c>
      <c r="E170" s="23">
        <v>2</v>
      </c>
      <c r="F170" s="23">
        <v>21</v>
      </c>
      <c r="G170" s="23" t="b">
        <f>FALSE()</f>
        <v>0</v>
      </c>
      <c r="H170" s="23">
        <v>5</v>
      </c>
      <c r="I170" s="23">
        <v>2</v>
      </c>
      <c r="J170" s="23">
        <v>0.24</v>
      </c>
      <c r="K170" s="23">
        <v>0.2424</v>
      </c>
      <c r="L170" s="23">
        <v>0.7</v>
      </c>
      <c r="M170" s="23">
        <v>0.16420000000000001</v>
      </c>
      <c r="N170" s="23">
        <v>2</v>
      </c>
      <c r="O170" s="23">
        <v>41</v>
      </c>
      <c r="P170" s="23">
        <v>43</v>
      </c>
    </row>
    <row r="171" spans="1:16" x14ac:dyDescent="0.35">
      <c r="A171" s="23">
        <v>780</v>
      </c>
      <c r="B171" s="23" t="s">
        <v>354</v>
      </c>
      <c r="C171" s="23">
        <v>1</v>
      </c>
      <c r="D171" s="23">
        <v>0</v>
      </c>
      <c r="E171" s="23">
        <v>2</v>
      </c>
      <c r="F171" s="23">
        <v>22</v>
      </c>
      <c r="G171" s="23" t="b">
        <f>FALSE()</f>
        <v>0</v>
      </c>
      <c r="H171" s="23">
        <v>5</v>
      </c>
      <c r="I171" s="23">
        <v>2</v>
      </c>
      <c r="J171" s="23">
        <v>0.24</v>
      </c>
      <c r="K171" s="23">
        <v>0.2424</v>
      </c>
      <c r="L171" s="23">
        <v>0.65</v>
      </c>
      <c r="M171" s="23">
        <v>0.16420000000000001</v>
      </c>
      <c r="N171" s="23">
        <v>1</v>
      </c>
      <c r="O171" s="23">
        <v>45</v>
      </c>
      <c r="P171" s="23">
        <v>46</v>
      </c>
    </row>
    <row r="172" spans="1:16" x14ac:dyDescent="0.35">
      <c r="A172" s="23">
        <v>781</v>
      </c>
      <c r="B172" s="23" t="s">
        <v>354</v>
      </c>
      <c r="C172" s="23">
        <v>1</v>
      </c>
      <c r="D172" s="23">
        <v>0</v>
      </c>
      <c r="E172" s="23">
        <v>2</v>
      </c>
      <c r="F172" s="23">
        <v>23</v>
      </c>
      <c r="G172" s="23" t="b">
        <f>FALSE()</f>
        <v>0</v>
      </c>
      <c r="H172" s="23">
        <v>5</v>
      </c>
      <c r="I172" s="23">
        <v>2</v>
      </c>
      <c r="J172" s="23">
        <v>0.24</v>
      </c>
      <c r="K172" s="23">
        <v>0.2424</v>
      </c>
      <c r="L172" s="23">
        <v>0.7</v>
      </c>
      <c r="M172" s="23">
        <v>0.1343</v>
      </c>
      <c r="N172" s="23">
        <v>1</v>
      </c>
      <c r="O172" s="23">
        <v>30</v>
      </c>
      <c r="P172" s="23">
        <v>31</v>
      </c>
    </row>
    <row r="173" spans="1:16" x14ac:dyDescent="0.35">
      <c r="A173" s="23">
        <v>782</v>
      </c>
      <c r="B173" s="23" t="s">
        <v>355</v>
      </c>
      <c r="C173" s="23">
        <v>1</v>
      </c>
      <c r="D173" s="23">
        <v>0</v>
      </c>
      <c r="E173" s="23">
        <v>2</v>
      </c>
      <c r="F173" s="23">
        <v>0</v>
      </c>
      <c r="G173" s="23" t="b">
        <f>FALSE()</f>
        <v>0</v>
      </c>
      <c r="H173" s="23">
        <v>6</v>
      </c>
      <c r="I173" s="23">
        <v>2</v>
      </c>
      <c r="J173" s="23">
        <v>0.24</v>
      </c>
      <c r="K173" s="23">
        <v>0.2424</v>
      </c>
      <c r="L173" s="23">
        <v>0.7</v>
      </c>
      <c r="M173" s="23">
        <v>0.16420000000000001</v>
      </c>
      <c r="N173" s="23">
        <v>3</v>
      </c>
      <c r="O173" s="23">
        <v>36</v>
      </c>
      <c r="P173" s="23">
        <v>39</v>
      </c>
    </row>
    <row r="174" spans="1:16" x14ac:dyDescent="0.35">
      <c r="A174" s="23">
        <v>783</v>
      </c>
      <c r="B174" s="23" t="s">
        <v>355</v>
      </c>
      <c r="C174" s="23">
        <v>1</v>
      </c>
      <c r="D174" s="23">
        <v>0</v>
      </c>
      <c r="E174" s="23">
        <v>2</v>
      </c>
      <c r="F174" s="23">
        <v>1</v>
      </c>
      <c r="G174" s="23" t="b">
        <f>FALSE()</f>
        <v>0</v>
      </c>
      <c r="H174" s="23">
        <v>6</v>
      </c>
      <c r="I174" s="23">
        <v>2</v>
      </c>
      <c r="J174" s="23">
        <v>0.24</v>
      </c>
      <c r="K174" s="23">
        <v>0.2424</v>
      </c>
      <c r="L174" s="23">
        <v>0.65</v>
      </c>
      <c r="M174" s="23">
        <v>0.16420000000000001</v>
      </c>
      <c r="N174" s="23">
        <v>1</v>
      </c>
      <c r="O174" s="23">
        <v>17</v>
      </c>
      <c r="P174" s="23">
        <v>18</v>
      </c>
    </row>
    <row r="175" spans="1:16" x14ac:dyDescent="0.35">
      <c r="A175" s="23">
        <v>784</v>
      </c>
      <c r="B175" s="23" t="s">
        <v>355</v>
      </c>
      <c r="C175" s="23">
        <v>1</v>
      </c>
      <c r="D175" s="23">
        <v>0</v>
      </c>
      <c r="E175" s="23">
        <v>2</v>
      </c>
      <c r="F175" s="23">
        <v>2</v>
      </c>
      <c r="G175" s="23" t="b">
        <f>FALSE()</f>
        <v>0</v>
      </c>
      <c r="H175" s="23">
        <v>6</v>
      </c>
      <c r="I175" s="23">
        <v>2</v>
      </c>
      <c r="J175" s="23">
        <v>0.24</v>
      </c>
      <c r="K175" s="23">
        <v>0.2424</v>
      </c>
      <c r="L175" s="23">
        <v>0.75</v>
      </c>
      <c r="M175" s="23">
        <v>0.16420000000000001</v>
      </c>
      <c r="N175" s="23">
        <v>5</v>
      </c>
      <c r="O175" s="23">
        <v>12</v>
      </c>
      <c r="P175" s="23">
        <v>17</v>
      </c>
    </row>
    <row r="176" spans="1:16" x14ac:dyDescent="0.35">
      <c r="A176" s="23">
        <v>785</v>
      </c>
      <c r="B176" s="23" t="s">
        <v>355</v>
      </c>
      <c r="C176" s="23">
        <v>1</v>
      </c>
      <c r="D176" s="23">
        <v>0</v>
      </c>
      <c r="E176" s="23">
        <v>2</v>
      </c>
      <c r="F176" s="23">
        <v>3</v>
      </c>
      <c r="G176" s="23" t="b">
        <f>FALSE()</f>
        <v>0</v>
      </c>
      <c r="H176" s="23">
        <v>6</v>
      </c>
      <c r="I176" s="23">
        <v>2</v>
      </c>
      <c r="J176" s="23">
        <v>0.24</v>
      </c>
      <c r="K176" s="23">
        <v>0.2424</v>
      </c>
      <c r="L176" s="23">
        <v>0.75</v>
      </c>
      <c r="M176" s="23">
        <v>0.16420000000000001</v>
      </c>
      <c r="N176" s="23">
        <v>1</v>
      </c>
      <c r="O176" s="23">
        <v>10</v>
      </c>
      <c r="P176" s="23">
        <v>11</v>
      </c>
    </row>
    <row r="177" spans="1:16" x14ac:dyDescent="0.35">
      <c r="A177" s="23">
        <v>786</v>
      </c>
      <c r="B177" s="23" t="s">
        <v>355</v>
      </c>
      <c r="C177" s="23">
        <v>1</v>
      </c>
      <c r="D177" s="23">
        <v>0</v>
      </c>
      <c r="E177" s="23">
        <v>2</v>
      </c>
      <c r="F177" s="23">
        <v>4</v>
      </c>
      <c r="G177" s="23" t="b">
        <f>FALSE()</f>
        <v>0</v>
      </c>
      <c r="H177" s="23">
        <v>6</v>
      </c>
      <c r="I177" s="23">
        <v>3</v>
      </c>
      <c r="J177" s="23">
        <v>0.22</v>
      </c>
      <c r="K177" s="23">
        <v>0.2273</v>
      </c>
      <c r="L177" s="23">
        <v>0.93</v>
      </c>
      <c r="M177" s="23">
        <v>0.1343</v>
      </c>
      <c r="N177" s="23">
        <v>0</v>
      </c>
      <c r="O177" s="23">
        <v>8</v>
      </c>
      <c r="P177" s="23">
        <v>8</v>
      </c>
    </row>
    <row r="178" spans="1:16" x14ac:dyDescent="0.35">
      <c r="A178" s="23">
        <v>787</v>
      </c>
      <c r="B178" s="23" t="s">
        <v>355</v>
      </c>
      <c r="C178" s="23">
        <v>1</v>
      </c>
      <c r="D178" s="23">
        <v>0</v>
      </c>
      <c r="E178" s="23">
        <v>2</v>
      </c>
      <c r="F178" s="23">
        <v>5</v>
      </c>
      <c r="G178" s="23" t="b">
        <f>FALSE()</f>
        <v>0</v>
      </c>
      <c r="H178" s="23">
        <v>6</v>
      </c>
      <c r="I178" s="23">
        <v>3</v>
      </c>
      <c r="J178" s="23">
        <v>0.2</v>
      </c>
      <c r="K178" s="23">
        <v>0.2273</v>
      </c>
      <c r="L178" s="23">
        <v>1</v>
      </c>
      <c r="M178" s="23">
        <v>8.9599999999999999E-2</v>
      </c>
      <c r="N178" s="23">
        <v>0</v>
      </c>
      <c r="O178" s="23">
        <v>9</v>
      </c>
      <c r="P178" s="23">
        <v>9</v>
      </c>
    </row>
    <row r="179" spans="1:16" x14ac:dyDescent="0.35">
      <c r="A179" s="23">
        <v>788</v>
      </c>
      <c r="B179" s="23" t="s">
        <v>355</v>
      </c>
      <c r="C179" s="23">
        <v>1</v>
      </c>
      <c r="D179" s="23">
        <v>0</v>
      </c>
      <c r="E179" s="23">
        <v>2</v>
      </c>
      <c r="F179" s="23">
        <v>6</v>
      </c>
      <c r="G179" s="23" t="b">
        <f>FALSE()</f>
        <v>0</v>
      </c>
      <c r="H179" s="23">
        <v>6</v>
      </c>
      <c r="I179" s="23">
        <v>3</v>
      </c>
      <c r="J179" s="23">
        <v>0.2</v>
      </c>
      <c r="K179" s="23">
        <v>0.2576</v>
      </c>
      <c r="L179" s="23">
        <v>1</v>
      </c>
      <c r="M179" s="23">
        <v>0</v>
      </c>
      <c r="N179" s="23">
        <v>0</v>
      </c>
      <c r="O179" s="23">
        <v>4</v>
      </c>
      <c r="P179" s="23">
        <v>4</v>
      </c>
    </row>
    <row r="180" spans="1:16" x14ac:dyDescent="0.35">
      <c r="A180" s="23">
        <v>789</v>
      </c>
      <c r="B180" s="23" t="s">
        <v>355</v>
      </c>
      <c r="C180" s="23">
        <v>1</v>
      </c>
      <c r="D180" s="23">
        <v>0</v>
      </c>
      <c r="E180" s="23">
        <v>2</v>
      </c>
      <c r="F180" s="23">
        <v>7</v>
      </c>
      <c r="G180" s="23" t="b">
        <f>FALSE()</f>
        <v>0</v>
      </c>
      <c r="H180" s="23">
        <v>6</v>
      </c>
      <c r="I180" s="23">
        <v>3</v>
      </c>
      <c r="J180" s="23">
        <v>0.22</v>
      </c>
      <c r="K180" s="23">
        <v>0.2576</v>
      </c>
      <c r="L180" s="23">
        <v>0.93</v>
      </c>
      <c r="M180" s="23">
        <v>8.9599999999999999E-2</v>
      </c>
      <c r="N180" s="23">
        <v>0</v>
      </c>
      <c r="O180" s="23">
        <v>4</v>
      </c>
      <c r="P180" s="23">
        <v>4</v>
      </c>
    </row>
    <row r="181" spans="1:16" x14ac:dyDescent="0.35">
      <c r="A181" s="23">
        <v>790</v>
      </c>
      <c r="B181" s="23" t="s">
        <v>355</v>
      </c>
      <c r="C181" s="23">
        <v>1</v>
      </c>
      <c r="D181" s="23">
        <v>0</v>
      </c>
      <c r="E181" s="23">
        <v>2</v>
      </c>
      <c r="F181" s="23">
        <v>8</v>
      </c>
      <c r="G181" s="23" t="b">
        <f>FALSE()</f>
        <v>0</v>
      </c>
      <c r="H181" s="23">
        <v>6</v>
      </c>
      <c r="I181" s="23">
        <v>3</v>
      </c>
      <c r="J181" s="23">
        <v>0.2</v>
      </c>
      <c r="K181" s="23">
        <v>0.2273</v>
      </c>
      <c r="L181" s="23">
        <v>1</v>
      </c>
      <c r="M181" s="23">
        <v>8.9599999999999999E-2</v>
      </c>
      <c r="N181" s="23">
        <v>0</v>
      </c>
      <c r="O181" s="23">
        <v>10</v>
      </c>
      <c r="P181" s="23">
        <v>10</v>
      </c>
    </row>
    <row r="182" spans="1:16" x14ac:dyDescent="0.35">
      <c r="A182" s="23">
        <v>791</v>
      </c>
      <c r="B182" s="23" t="s">
        <v>355</v>
      </c>
      <c r="C182" s="23">
        <v>1</v>
      </c>
      <c r="D182" s="23">
        <v>0</v>
      </c>
      <c r="E182" s="23">
        <v>2</v>
      </c>
      <c r="F182" s="23">
        <v>9</v>
      </c>
      <c r="G182" s="23" t="b">
        <f>FALSE()</f>
        <v>0</v>
      </c>
      <c r="H182" s="23">
        <v>6</v>
      </c>
      <c r="I182" s="23">
        <v>3</v>
      </c>
      <c r="J182" s="23">
        <v>0.2</v>
      </c>
      <c r="K182" s="23">
        <v>0.2273</v>
      </c>
      <c r="L182" s="23">
        <v>1</v>
      </c>
      <c r="M182" s="23">
        <v>8.9599999999999999E-2</v>
      </c>
      <c r="N182" s="23">
        <v>3</v>
      </c>
      <c r="O182" s="23">
        <v>17</v>
      </c>
      <c r="P182" s="23">
        <v>20</v>
      </c>
    </row>
    <row r="183" spans="1:16" x14ac:dyDescent="0.35">
      <c r="A183" s="23">
        <v>792</v>
      </c>
      <c r="B183" s="23" t="s">
        <v>355</v>
      </c>
      <c r="C183" s="23">
        <v>1</v>
      </c>
      <c r="D183" s="23">
        <v>0</v>
      </c>
      <c r="E183" s="23">
        <v>2</v>
      </c>
      <c r="F183" s="23">
        <v>10</v>
      </c>
      <c r="G183" s="23" t="b">
        <f>FALSE()</f>
        <v>0</v>
      </c>
      <c r="H183" s="23">
        <v>6</v>
      </c>
      <c r="I183" s="23">
        <v>3</v>
      </c>
      <c r="J183" s="23">
        <v>0.2</v>
      </c>
      <c r="K183" s="23">
        <v>0.21210000000000001</v>
      </c>
      <c r="L183" s="23">
        <v>1</v>
      </c>
      <c r="M183" s="23">
        <v>0.1343</v>
      </c>
      <c r="N183" s="23">
        <v>3</v>
      </c>
      <c r="O183" s="23">
        <v>31</v>
      </c>
      <c r="P183" s="23">
        <v>34</v>
      </c>
    </row>
    <row r="184" spans="1:16" x14ac:dyDescent="0.35">
      <c r="A184" s="23">
        <v>793</v>
      </c>
      <c r="B184" s="23" t="s">
        <v>355</v>
      </c>
      <c r="C184" s="23">
        <v>1</v>
      </c>
      <c r="D184" s="23">
        <v>0</v>
      </c>
      <c r="E184" s="23">
        <v>2</v>
      </c>
      <c r="F184" s="23">
        <v>11</v>
      </c>
      <c r="G184" s="23" t="b">
        <f>FALSE()</f>
        <v>0</v>
      </c>
      <c r="H184" s="23">
        <v>6</v>
      </c>
      <c r="I184" s="23">
        <v>3</v>
      </c>
      <c r="J184" s="23">
        <v>0.22</v>
      </c>
      <c r="K184" s="23">
        <v>0.2273</v>
      </c>
      <c r="L184" s="23">
        <v>1</v>
      </c>
      <c r="M184" s="23">
        <v>0.1343</v>
      </c>
      <c r="N184" s="23">
        <v>1</v>
      </c>
      <c r="O184" s="23">
        <v>46</v>
      </c>
      <c r="P184" s="23">
        <v>47</v>
      </c>
    </row>
    <row r="185" spans="1:16" x14ac:dyDescent="0.35">
      <c r="A185" s="23">
        <v>794</v>
      </c>
      <c r="B185" s="23" t="s">
        <v>355</v>
      </c>
      <c r="C185" s="23">
        <v>1</v>
      </c>
      <c r="D185" s="23">
        <v>0</v>
      </c>
      <c r="E185" s="23">
        <v>2</v>
      </c>
      <c r="F185" s="23">
        <v>12</v>
      </c>
      <c r="G185" s="23" t="b">
        <f>FALSE()</f>
        <v>0</v>
      </c>
      <c r="H185" s="23">
        <v>6</v>
      </c>
      <c r="I185" s="23">
        <v>3</v>
      </c>
      <c r="J185" s="23">
        <v>0.22</v>
      </c>
      <c r="K185" s="23">
        <v>0.2273</v>
      </c>
      <c r="L185" s="23">
        <v>1</v>
      </c>
      <c r="M185" s="23">
        <v>0.16420000000000001</v>
      </c>
      <c r="N185" s="23">
        <v>10</v>
      </c>
      <c r="O185" s="23">
        <v>42</v>
      </c>
      <c r="P185" s="23">
        <v>52</v>
      </c>
    </row>
    <row r="186" spans="1:16" x14ac:dyDescent="0.35">
      <c r="A186" s="23">
        <v>795</v>
      </c>
      <c r="B186" s="23" t="s">
        <v>355</v>
      </c>
      <c r="C186" s="23">
        <v>1</v>
      </c>
      <c r="D186" s="23">
        <v>0</v>
      </c>
      <c r="E186" s="23">
        <v>2</v>
      </c>
      <c r="F186" s="23">
        <v>13</v>
      </c>
      <c r="G186" s="23" t="b">
        <f>FALSE()</f>
        <v>0</v>
      </c>
      <c r="H186" s="23">
        <v>6</v>
      </c>
      <c r="I186" s="23">
        <v>3</v>
      </c>
      <c r="J186" s="23">
        <v>0.22</v>
      </c>
      <c r="K186" s="23">
        <v>0.2273</v>
      </c>
      <c r="L186" s="23">
        <v>1</v>
      </c>
      <c r="M186" s="23">
        <v>0.16420000000000001</v>
      </c>
      <c r="N186" s="23">
        <v>10</v>
      </c>
      <c r="O186" s="23">
        <v>62</v>
      </c>
      <c r="P186" s="23">
        <v>72</v>
      </c>
    </row>
    <row r="187" spans="1:16" x14ac:dyDescent="0.35">
      <c r="A187" s="23">
        <v>796</v>
      </c>
      <c r="B187" s="23" t="s">
        <v>355</v>
      </c>
      <c r="C187" s="23">
        <v>1</v>
      </c>
      <c r="D187" s="23">
        <v>0</v>
      </c>
      <c r="E187" s="23">
        <v>2</v>
      </c>
      <c r="F187" s="23">
        <v>14</v>
      </c>
      <c r="G187" s="23" t="b">
        <f>FALSE()</f>
        <v>0</v>
      </c>
      <c r="H187" s="23">
        <v>6</v>
      </c>
      <c r="I187" s="23">
        <v>3</v>
      </c>
      <c r="J187" s="23">
        <v>0.22</v>
      </c>
      <c r="K187" s="23">
        <v>0.2727</v>
      </c>
      <c r="L187" s="23">
        <v>1</v>
      </c>
      <c r="M187" s="23">
        <v>0</v>
      </c>
      <c r="N187" s="23">
        <v>5</v>
      </c>
      <c r="O187" s="23">
        <v>50</v>
      </c>
      <c r="P187" s="23">
        <v>55</v>
      </c>
    </row>
    <row r="188" spans="1:16" x14ac:dyDescent="0.35">
      <c r="A188" s="23">
        <v>797</v>
      </c>
      <c r="B188" s="23" t="s">
        <v>355</v>
      </c>
      <c r="C188" s="23">
        <v>1</v>
      </c>
      <c r="D188" s="23">
        <v>0</v>
      </c>
      <c r="E188" s="23">
        <v>2</v>
      </c>
      <c r="F188" s="23">
        <v>15</v>
      </c>
      <c r="G188" s="23" t="b">
        <f>FALSE()</f>
        <v>0</v>
      </c>
      <c r="H188" s="23">
        <v>6</v>
      </c>
      <c r="I188" s="23">
        <v>3</v>
      </c>
      <c r="J188" s="23">
        <v>0.22</v>
      </c>
      <c r="K188" s="23">
        <v>0.2727</v>
      </c>
      <c r="L188" s="23">
        <v>1</v>
      </c>
      <c r="M188" s="23">
        <v>0</v>
      </c>
      <c r="N188" s="23">
        <v>11</v>
      </c>
      <c r="O188" s="23">
        <v>49</v>
      </c>
      <c r="P188" s="23">
        <v>60</v>
      </c>
    </row>
    <row r="189" spans="1:16" x14ac:dyDescent="0.35">
      <c r="A189" s="23">
        <v>798</v>
      </c>
      <c r="B189" s="23" t="s">
        <v>355</v>
      </c>
      <c r="C189" s="23">
        <v>1</v>
      </c>
      <c r="D189" s="23">
        <v>0</v>
      </c>
      <c r="E189" s="23">
        <v>2</v>
      </c>
      <c r="F189" s="23">
        <v>16</v>
      </c>
      <c r="G189" s="23" t="b">
        <f>FALSE()</f>
        <v>0</v>
      </c>
      <c r="H189" s="23">
        <v>6</v>
      </c>
      <c r="I189" s="23">
        <v>3</v>
      </c>
      <c r="J189" s="23">
        <v>0.22</v>
      </c>
      <c r="K189" s="23">
        <v>0.2273</v>
      </c>
      <c r="L189" s="23">
        <v>1</v>
      </c>
      <c r="M189" s="23">
        <v>0.1343</v>
      </c>
      <c r="N189" s="23">
        <v>8</v>
      </c>
      <c r="O189" s="23">
        <v>63</v>
      </c>
      <c r="P189" s="23">
        <v>71</v>
      </c>
    </row>
    <row r="190" spans="1:16" x14ac:dyDescent="0.35">
      <c r="A190" s="23">
        <v>799</v>
      </c>
      <c r="B190" s="23" t="s">
        <v>355</v>
      </c>
      <c r="C190" s="23">
        <v>1</v>
      </c>
      <c r="D190" s="23">
        <v>0</v>
      </c>
      <c r="E190" s="23">
        <v>2</v>
      </c>
      <c r="F190" s="23">
        <v>17</v>
      </c>
      <c r="G190" s="23" t="b">
        <f>FALSE()</f>
        <v>0</v>
      </c>
      <c r="H190" s="23">
        <v>6</v>
      </c>
      <c r="I190" s="23">
        <v>2</v>
      </c>
      <c r="J190" s="23">
        <v>0.24</v>
      </c>
      <c r="K190" s="23">
        <v>0.21210000000000001</v>
      </c>
      <c r="L190" s="23">
        <v>1</v>
      </c>
      <c r="M190" s="23">
        <v>0.28360000000000002</v>
      </c>
      <c r="N190" s="23">
        <v>14</v>
      </c>
      <c r="O190" s="23">
        <v>64</v>
      </c>
      <c r="P190" s="23">
        <v>78</v>
      </c>
    </row>
    <row r="191" spans="1:16" x14ac:dyDescent="0.35">
      <c r="A191" s="23">
        <v>800</v>
      </c>
      <c r="B191" s="23" t="s">
        <v>355</v>
      </c>
      <c r="C191" s="23">
        <v>1</v>
      </c>
      <c r="D191" s="23">
        <v>0</v>
      </c>
      <c r="E191" s="23">
        <v>2</v>
      </c>
      <c r="F191" s="23">
        <v>18</v>
      </c>
      <c r="G191" s="23" t="b">
        <f>FALSE()</f>
        <v>0</v>
      </c>
      <c r="H191" s="23">
        <v>6</v>
      </c>
      <c r="I191" s="23">
        <v>2</v>
      </c>
      <c r="J191" s="23">
        <v>0.28000000000000003</v>
      </c>
      <c r="K191" s="23">
        <v>0.2424</v>
      </c>
      <c r="L191" s="23">
        <v>0.93</v>
      </c>
      <c r="M191" s="23">
        <v>0.44779999999999998</v>
      </c>
      <c r="N191" s="23">
        <v>2</v>
      </c>
      <c r="O191" s="23">
        <v>81</v>
      </c>
      <c r="P191" s="23">
        <v>83</v>
      </c>
    </row>
    <row r="192" spans="1:16" x14ac:dyDescent="0.35">
      <c r="A192" s="23">
        <v>801</v>
      </c>
      <c r="B192" s="23" t="s">
        <v>355</v>
      </c>
      <c r="C192" s="23">
        <v>1</v>
      </c>
      <c r="D192" s="23">
        <v>0</v>
      </c>
      <c r="E192" s="23">
        <v>2</v>
      </c>
      <c r="F192" s="23">
        <v>19</v>
      </c>
      <c r="G192" s="23" t="b">
        <f>FALSE()</f>
        <v>0</v>
      </c>
      <c r="H192" s="23">
        <v>6</v>
      </c>
      <c r="I192" s="23">
        <v>2</v>
      </c>
      <c r="J192" s="23">
        <v>0.28000000000000003</v>
      </c>
      <c r="K192" s="23">
        <v>0.2424</v>
      </c>
      <c r="L192" s="23">
        <v>0.93</v>
      </c>
      <c r="M192" s="23">
        <v>0.44779999999999998</v>
      </c>
      <c r="N192" s="23">
        <v>6</v>
      </c>
      <c r="O192" s="23">
        <v>78</v>
      </c>
      <c r="P192" s="23">
        <v>84</v>
      </c>
    </row>
    <row r="193" spans="1:16" x14ac:dyDescent="0.35">
      <c r="A193" s="23">
        <v>802</v>
      </c>
      <c r="B193" s="23" t="s">
        <v>355</v>
      </c>
      <c r="C193" s="23">
        <v>1</v>
      </c>
      <c r="D193" s="23">
        <v>0</v>
      </c>
      <c r="E193" s="23">
        <v>2</v>
      </c>
      <c r="F193" s="23">
        <v>20</v>
      </c>
      <c r="G193" s="23" t="b">
        <f>FALSE()</f>
        <v>0</v>
      </c>
      <c r="H193" s="23">
        <v>6</v>
      </c>
      <c r="I193" s="23">
        <v>1</v>
      </c>
      <c r="J193" s="23">
        <v>0.3</v>
      </c>
      <c r="K193" s="23">
        <v>0.28789999999999999</v>
      </c>
      <c r="L193" s="23">
        <v>0.87</v>
      </c>
      <c r="M193" s="23">
        <v>0.25369999999999998</v>
      </c>
      <c r="N193" s="23">
        <v>5</v>
      </c>
      <c r="O193" s="23">
        <v>64</v>
      </c>
      <c r="P193" s="23">
        <v>69</v>
      </c>
    </row>
    <row r="194" spans="1:16" x14ac:dyDescent="0.35">
      <c r="A194" s="23">
        <v>803</v>
      </c>
      <c r="B194" s="23" t="s">
        <v>355</v>
      </c>
      <c r="C194" s="23">
        <v>1</v>
      </c>
      <c r="D194" s="23">
        <v>0</v>
      </c>
      <c r="E194" s="23">
        <v>2</v>
      </c>
      <c r="F194" s="23">
        <v>21</v>
      </c>
      <c r="G194" s="23" t="b">
        <f>FALSE()</f>
        <v>0</v>
      </c>
      <c r="H194" s="23">
        <v>6</v>
      </c>
      <c r="I194" s="23">
        <v>1</v>
      </c>
      <c r="J194" s="23">
        <v>0.26</v>
      </c>
      <c r="K194" s="23">
        <v>0.2576</v>
      </c>
      <c r="L194" s="23">
        <v>1</v>
      </c>
      <c r="M194" s="23">
        <v>0.19400000000000001</v>
      </c>
      <c r="N194" s="23">
        <v>3</v>
      </c>
      <c r="O194" s="23">
        <v>53</v>
      </c>
      <c r="P194" s="23">
        <v>56</v>
      </c>
    </row>
    <row r="195" spans="1:16" x14ac:dyDescent="0.35">
      <c r="A195" s="23">
        <v>804</v>
      </c>
      <c r="B195" s="23" t="s">
        <v>355</v>
      </c>
      <c r="C195" s="23">
        <v>1</v>
      </c>
      <c r="D195" s="23">
        <v>0</v>
      </c>
      <c r="E195" s="23">
        <v>2</v>
      </c>
      <c r="F195" s="23">
        <v>22</v>
      </c>
      <c r="G195" s="23" t="b">
        <f>FALSE()</f>
        <v>0</v>
      </c>
      <c r="H195" s="23">
        <v>6</v>
      </c>
      <c r="I195" s="23">
        <v>1</v>
      </c>
      <c r="J195" s="23">
        <v>0.26</v>
      </c>
      <c r="K195" s="23">
        <v>0.2727</v>
      </c>
      <c r="L195" s="23">
        <v>0.93</v>
      </c>
      <c r="M195" s="23">
        <v>0.1343</v>
      </c>
      <c r="N195" s="23">
        <v>2</v>
      </c>
      <c r="O195" s="23">
        <v>43</v>
      </c>
      <c r="P195" s="23">
        <v>45</v>
      </c>
    </row>
    <row r="196" spans="1:16" x14ac:dyDescent="0.35">
      <c r="A196" s="23">
        <v>805</v>
      </c>
      <c r="B196" s="23" t="s">
        <v>355</v>
      </c>
      <c r="C196" s="23">
        <v>1</v>
      </c>
      <c r="D196" s="23">
        <v>0</v>
      </c>
      <c r="E196" s="23">
        <v>2</v>
      </c>
      <c r="F196" s="23">
        <v>23</v>
      </c>
      <c r="G196" s="23" t="b">
        <f>FALSE()</f>
        <v>0</v>
      </c>
      <c r="H196" s="23">
        <v>6</v>
      </c>
      <c r="I196" s="23">
        <v>1</v>
      </c>
      <c r="J196" s="23">
        <v>0.26</v>
      </c>
      <c r="K196" s="23">
        <v>0.2576</v>
      </c>
      <c r="L196" s="23">
        <v>0.93</v>
      </c>
      <c r="M196" s="23">
        <v>0.22389999999999999</v>
      </c>
      <c r="N196" s="23">
        <v>7</v>
      </c>
      <c r="O196" s="23">
        <v>52</v>
      </c>
      <c r="P196" s="23">
        <v>59</v>
      </c>
    </row>
    <row r="197" spans="1:16" x14ac:dyDescent="0.35">
      <c r="A197" s="23">
        <v>806</v>
      </c>
      <c r="B197" s="23" t="s">
        <v>356</v>
      </c>
      <c r="C197" s="23">
        <v>1</v>
      </c>
      <c r="D197" s="23">
        <v>0</v>
      </c>
      <c r="E197" s="23">
        <v>2</v>
      </c>
      <c r="F197" s="23">
        <v>0</v>
      </c>
      <c r="G197" s="23" t="b">
        <f>FALSE()</f>
        <v>0</v>
      </c>
      <c r="H197" s="23">
        <v>0</v>
      </c>
      <c r="I197" s="23">
        <v>1</v>
      </c>
      <c r="J197" s="23">
        <v>0.26</v>
      </c>
      <c r="K197" s="23">
        <v>0.2576</v>
      </c>
      <c r="L197" s="23">
        <v>0.7</v>
      </c>
      <c r="M197" s="23">
        <v>0.19400000000000001</v>
      </c>
      <c r="N197" s="23">
        <v>2</v>
      </c>
      <c r="O197" s="23">
        <v>37</v>
      </c>
      <c r="P197" s="23">
        <v>39</v>
      </c>
    </row>
    <row r="198" spans="1:16" x14ac:dyDescent="0.35">
      <c r="A198" s="23">
        <v>807</v>
      </c>
      <c r="B198" s="23" t="s">
        <v>356</v>
      </c>
      <c r="C198" s="23">
        <v>1</v>
      </c>
      <c r="D198" s="23">
        <v>0</v>
      </c>
      <c r="E198" s="23">
        <v>2</v>
      </c>
      <c r="F198" s="23">
        <v>1</v>
      </c>
      <c r="G198" s="23" t="b">
        <f>FALSE()</f>
        <v>0</v>
      </c>
      <c r="H198" s="23">
        <v>0</v>
      </c>
      <c r="I198" s="23">
        <v>1</v>
      </c>
      <c r="J198" s="23">
        <v>0.26</v>
      </c>
      <c r="K198" s="23">
        <v>0.2273</v>
      </c>
      <c r="L198" s="23">
        <v>0.65</v>
      </c>
      <c r="M198" s="23">
        <v>0.41789999999999999</v>
      </c>
      <c r="N198" s="23">
        <v>4</v>
      </c>
      <c r="O198" s="23">
        <v>40</v>
      </c>
      <c r="P198" s="23">
        <v>44</v>
      </c>
    </row>
    <row r="199" spans="1:16" x14ac:dyDescent="0.35">
      <c r="A199" s="23">
        <v>808</v>
      </c>
      <c r="B199" s="23" t="s">
        <v>356</v>
      </c>
      <c r="C199" s="23">
        <v>1</v>
      </c>
      <c r="D199" s="23">
        <v>0</v>
      </c>
      <c r="E199" s="23">
        <v>2</v>
      </c>
      <c r="F199" s="23">
        <v>2</v>
      </c>
      <c r="G199" s="23" t="b">
        <f>FALSE()</f>
        <v>0</v>
      </c>
      <c r="H199" s="23">
        <v>0</v>
      </c>
      <c r="I199" s="23">
        <v>1</v>
      </c>
      <c r="J199" s="23">
        <v>0.26</v>
      </c>
      <c r="K199" s="23">
        <v>0.2273</v>
      </c>
      <c r="L199" s="23">
        <v>0.6</v>
      </c>
      <c r="M199" s="23">
        <v>0.32840000000000003</v>
      </c>
      <c r="N199" s="23">
        <v>0</v>
      </c>
      <c r="O199" s="23">
        <v>20</v>
      </c>
      <c r="P199" s="23">
        <v>20</v>
      </c>
    </row>
    <row r="200" spans="1:16" x14ac:dyDescent="0.35">
      <c r="A200" s="23">
        <v>809</v>
      </c>
      <c r="B200" s="23" t="s">
        <v>356</v>
      </c>
      <c r="C200" s="23">
        <v>1</v>
      </c>
      <c r="D200" s="23">
        <v>0</v>
      </c>
      <c r="E200" s="23">
        <v>2</v>
      </c>
      <c r="F200" s="23">
        <v>3</v>
      </c>
      <c r="G200" s="23" t="b">
        <f>FALSE()</f>
        <v>0</v>
      </c>
      <c r="H200" s="23">
        <v>0</v>
      </c>
      <c r="I200" s="23">
        <v>1</v>
      </c>
      <c r="J200" s="23">
        <v>0.26</v>
      </c>
      <c r="K200" s="23">
        <v>0.28789999999999999</v>
      </c>
      <c r="L200" s="23">
        <v>0.6</v>
      </c>
      <c r="M200" s="23">
        <v>8.9599999999999999E-2</v>
      </c>
      <c r="N200" s="23">
        <v>3</v>
      </c>
      <c r="O200" s="23">
        <v>10</v>
      </c>
      <c r="P200" s="23">
        <v>13</v>
      </c>
    </row>
    <row r="201" spans="1:16" x14ac:dyDescent="0.35">
      <c r="A201" s="23">
        <v>810</v>
      </c>
      <c r="B201" s="23" t="s">
        <v>356</v>
      </c>
      <c r="C201" s="23">
        <v>1</v>
      </c>
      <c r="D201" s="23">
        <v>0</v>
      </c>
      <c r="E201" s="23">
        <v>2</v>
      </c>
      <c r="F201" s="23">
        <v>4</v>
      </c>
      <c r="G201" s="23" t="b">
        <f>FALSE()</f>
        <v>0</v>
      </c>
      <c r="H201" s="23">
        <v>0</v>
      </c>
      <c r="I201" s="23">
        <v>1</v>
      </c>
      <c r="J201" s="23">
        <v>0.26</v>
      </c>
      <c r="K201" s="23">
        <v>0.2273</v>
      </c>
      <c r="L201" s="23">
        <v>0.6</v>
      </c>
      <c r="M201" s="23">
        <v>0.35820000000000002</v>
      </c>
      <c r="N201" s="23">
        <v>0</v>
      </c>
      <c r="O201" s="23">
        <v>2</v>
      </c>
      <c r="P201" s="23">
        <v>2</v>
      </c>
    </row>
    <row r="202" spans="1:16" x14ac:dyDescent="0.35">
      <c r="A202" s="23">
        <v>811</v>
      </c>
      <c r="B202" s="23" t="s">
        <v>356</v>
      </c>
      <c r="C202" s="23">
        <v>1</v>
      </c>
      <c r="D202" s="23">
        <v>0</v>
      </c>
      <c r="E202" s="23">
        <v>2</v>
      </c>
      <c r="F202" s="23">
        <v>5</v>
      </c>
      <c r="G202" s="23" t="b">
        <f>FALSE()</f>
        <v>0</v>
      </c>
      <c r="H202" s="23">
        <v>0</v>
      </c>
      <c r="I202" s="23">
        <v>1</v>
      </c>
      <c r="J202" s="23">
        <v>0.26</v>
      </c>
      <c r="K202" s="23">
        <v>0.2576</v>
      </c>
      <c r="L202" s="23">
        <v>0.6</v>
      </c>
      <c r="M202" s="23">
        <v>0.22389999999999999</v>
      </c>
      <c r="N202" s="23">
        <v>0</v>
      </c>
      <c r="O202" s="23">
        <v>1</v>
      </c>
      <c r="P202" s="23">
        <v>1</v>
      </c>
    </row>
    <row r="203" spans="1:16" x14ac:dyDescent="0.35">
      <c r="A203" s="23">
        <v>812</v>
      </c>
      <c r="B203" s="23" t="s">
        <v>356</v>
      </c>
      <c r="C203" s="23">
        <v>1</v>
      </c>
      <c r="D203" s="23">
        <v>0</v>
      </c>
      <c r="E203" s="23">
        <v>2</v>
      </c>
      <c r="F203" s="23">
        <v>6</v>
      </c>
      <c r="G203" s="23" t="b">
        <f>FALSE()</f>
        <v>0</v>
      </c>
      <c r="H203" s="23">
        <v>0</v>
      </c>
      <c r="I203" s="23">
        <v>1</v>
      </c>
      <c r="J203" s="23">
        <v>0.26</v>
      </c>
      <c r="K203" s="23">
        <v>0.2576</v>
      </c>
      <c r="L203" s="23">
        <v>0.6</v>
      </c>
      <c r="M203" s="23">
        <v>0.22389999999999999</v>
      </c>
      <c r="N203" s="23">
        <v>0</v>
      </c>
      <c r="O203" s="23">
        <v>1</v>
      </c>
      <c r="P203" s="23">
        <v>1</v>
      </c>
    </row>
    <row r="204" spans="1:16" x14ac:dyDescent="0.35">
      <c r="A204" s="23">
        <v>813</v>
      </c>
      <c r="B204" s="23" t="s">
        <v>356</v>
      </c>
      <c r="C204" s="23">
        <v>1</v>
      </c>
      <c r="D204" s="23">
        <v>0</v>
      </c>
      <c r="E204" s="23">
        <v>2</v>
      </c>
      <c r="F204" s="23">
        <v>7</v>
      </c>
      <c r="G204" s="23" t="b">
        <f>FALSE()</f>
        <v>0</v>
      </c>
      <c r="H204" s="23">
        <v>0</v>
      </c>
      <c r="I204" s="23">
        <v>1</v>
      </c>
      <c r="J204" s="23">
        <v>0.24</v>
      </c>
      <c r="K204" s="23">
        <v>0.2424</v>
      </c>
      <c r="L204" s="23">
        <v>0.65</v>
      </c>
      <c r="M204" s="23">
        <v>0.16420000000000001</v>
      </c>
      <c r="N204" s="23">
        <v>0</v>
      </c>
      <c r="O204" s="23">
        <v>8</v>
      </c>
      <c r="P204" s="23">
        <v>8</v>
      </c>
    </row>
    <row r="205" spans="1:16" x14ac:dyDescent="0.35">
      <c r="A205" s="23">
        <v>814</v>
      </c>
      <c r="B205" s="23" t="s">
        <v>356</v>
      </c>
      <c r="C205" s="23">
        <v>1</v>
      </c>
      <c r="D205" s="23">
        <v>0</v>
      </c>
      <c r="E205" s="23">
        <v>2</v>
      </c>
      <c r="F205" s="23">
        <v>8</v>
      </c>
      <c r="G205" s="23" t="b">
        <f>FALSE()</f>
        <v>0</v>
      </c>
      <c r="H205" s="23">
        <v>0</v>
      </c>
      <c r="I205" s="23">
        <v>1</v>
      </c>
      <c r="J205" s="23">
        <v>0.24</v>
      </c>
      <c r="K205" s="23">
        <v>0.2576</v>
      </c>
      <c r="L205" s="23">
        <v>0.65</v>
      </c>
      <c r="M205" s="23">
        <v>0.1045</v>
      </c>
      <c r="N205" s="23">
        <v>2</v>
      </c>
      <c r="O205" s="23">
        <v>21</v>
      </c>
      <c r="P205" s="23">
        <v>23</v>
      </c>
    </row>
    <row r="206" spans="1:16" x14ac:dyDescent="0.35">
      <c r="A206" s="23">
        <v>815</v>
      </c>
      <c r="B206" s="23" t="s">
        <v>356</v>
      </c>
      <c r="C206" s="23">
        <v>1</v>
      </c>
      <c r="D206" s="23">
        <v>0</v>
      </c>
      <c r="E206" s="23">
        <v>2</v>
      </c>
      <c r="F206" s="23">
        <v>9</v>
      </c>
      <c r="G206" s="23" t="b">
        <f>FALSE()</f>
        <v>0</v>
      </c>
      <c r="H206" s="23">
        <v>0</v>
      </c>
      <c r="I206" s="23">
        <v>1</v>
      </c>
      <c r="J206" s="23">
        <v>0.28000000000000003</v>
      </c>
      <c r="K206" s="23">
        <v>0.28789999999999999</v>
      </c>
      <c r="L206" s="23">
        <v>0.56000000000000005</v>
      </c>
      <c r="M206" s="23">
        <v>0.1045</v>
      </c>
      <c r="N206" s="23">
        <v>7</v>
      </c>
      <c r="O206" s="23">
        <v>38</v>
      </c>
      <c r="P206" s="23">
        <v>45</v>
      </c>
    </row>
    <row r="207" spans="1:16" x14ac:dyDescent="0.35">
      <c r="A207" s="23">
        <v>816</v>
      </c>
      <c r="B207" s="23" t="s">
        <v>356</v>
      </c>
      <c r="C207" s="23">
        <v>1</v>
      </c>
      <c r="D207" s="23">
        <v>0</v>
      </c>
      <c r="E207" s="23">
        <v>2</v>
      </c>
      <c r="F207" s="23">
        <v>10</v>
      </c>
      <c r="G207" s="23" t="b">
        <f>FALSE()</f>
        <v>0</v>
      </c>
      <c r="H207" s="23">
        <v>0</v>
      </c>
      <c r="I207" s="23">
        <v>1</v>
      </c>
      <c r="J207" s="23">
        <v>0.3</v>
      </c>
      <c r="K207" s="23">
        <v>0.28789999999999999</v>
      </c>
      <c r="L207" s="23">
        <v>0.52</v>
      </c>
      <c r="M207" s="23">
        <v>0.25369999999999998</v>
      </c>
      <c r="N207" s="23">
        <v>15</v>
      </c>
      <c r="O207" s="23">
        <v>74</v>
      </c>
      <c r="P207" s="23">
        <v>89</v>
      </c>
    </row>
    <row r="208" spans="1:16" x14ac:dyDescent="0.35">
      <c r="A208" s="23">
        <v>817</v>
      </c>
      <c r="B208" s="23" t="s">
        <v>356</v>
      </c>
      <c r="C208" s="23">
        <v>1</v>
      </c>
      <c r="D208" s="23">
        <v>0</v>
      </c>
      <c r="E208" s="23">
        <v>2</v>
      </c>
      <c r="F208" s="23">
        <v>11</v>
      </c>
      <c r="G208" s="23" t="b">
        <f>FALSE()</f>
        <v>0</v>
      </c>
      <c r="H208" s="23">
        <v>0</v>
      </c>
      <c r="I208" s="23">
        <v>1</v>
      </c>
      <c r="J208" s="23">
        <v>0.32</v>
      </c>
      <c r="K208" s="23">
        <v>0.30299999999999999</v>
      </c>
      <c r="L208" s="23">
        <v>0.49</v>
      </c>
      <c r="M208" s="23">
        <v>0.25369999999999998</v>
      </c>
      <c r="N208" s="23">
        <v>28</v>
      </c>
      <c r="O208" s="23">
        <v>89</v>
      </c>
      <c r="P208" s="23">
        <v>117</v>
      </c>
    </row>
    <row r="209" spans="1:16" x14ac:dyDescent="0.35">
      <c r="A209" s="23">
        <v>818</v>
      </c>
      <c r="B209" s="23" t="s">
        <v>356</v>
      </c>
      <c r="C209" s="23">
        <v>1</v>
      </c>
      <c r="D209" s="23">
        <v>0</v>
      </c>
      <c r="E209" s="23">
        <v>2</v>
      </c>
      <c r="F209" s="23">
        <v>12</v>
      </c>
      <c r="G209" s="23" t="b">
        <f>FALSE()</f>
        <v>0</v>
      </c>
      <c r="H209" s="23">
        <v>0</v>
      </c>
      <c r="I209" s="23">
        <v>1</v>
      </c>
      <c r="J209" s="23">
        <v>0.34</v>
      </c>
      <c r="K209" s="23">
        <v>0.33329999999999999</v>
      </c>
      <c r="L209" s="23">
        <v>0.46</v>
      </c>
      <c r="M209" s="23">
        <v>0</v>
      </c>
      <c r="N209" s="23">
        <v>48</v>
      </c>
      <c r="O209" s="23">
        <v>126</v>
      </c>
      <c r="P209" s="23">
        <v>174</v>
      </c>
    </row>
    <row r="210" spans="1:16" x14ac:dyDescent="0.35">
      <c r="A210" s="23">
        <v>819</v>
      </c>
      <c r="B210" s="23" t="s">
        <v>356</v>
      </c>
      <c r="C210" s="23">
        <v>1</v>
      </c>
      <c r="D210" s="23">
        <v>0</v>
      </c>
      <c r="E210" s="23">
        <v>2</v>
      </c>
      <c r="F210" s="23">
        <v>13</v>
      </c>
      <c r="G210" s="23" t="b">
        <f>FALSE()</f>
        <v>0</v>
      </c>
      <c r="H210" s="23">
        <v>0</v>
      </c>
      <c r="I210" s="23">
        <v>1</v>
      </c>
      <c r="J210" s="23">
        <v>0.34</v>
      </c>
      <c r="K210" s="23">
        <v>0.36359999999999998</v>
      </c>
      <c r="L210" s="23">
        <v>0.46</v>
      </c>
      <c r="M210" s="23">
        <v>0</v>
      </c>
      <c r="N210" s="23">
        <v>47</v>
      </c>
      <c r="O210" s="23">
        <v>135</v>
      </c>
      <c r="P210" s="23">
        <v>182</v>
      </c>
    </row>
    <row r="211" spans="1:16" x14ac:dyDescent="0.35">
      <c r="A211" s="23">
        <v>820</v>
      </c>
      <c r="B211" s="23" t="s">
        <v>356</v>
      </c>
      <c r="C211" s="23">
        <v>1</v>
      </c>
      <c r="D211" s="23">
        <v>0</v>
      </c>
      <c r="E211" s="23">
        <v>2</v>
      </c>
      <c r="F211" s="23">
        <v>14</v>
      </c>
      <c r="G211" s="23" t="b">
        <f>FALSE()</f>
        <v>0</v>
      </c>
      <c r="H211" s="23">
        <v>0</v>
      </c>
      <c r="I211" s="23">
        <v>1</v>
      </c>
      <c r="J211" s="23">
        <v>0.34</v>
      </c>
      <c r="K211" s="23">
        <v>0.34849999999999998</v>
      </c>
      <c r="L211" s="23">
        <v>0.46</v>
      </c>
      <c r="M211" s="23">
        <v>8.9599999999999999E-2</v>
      </c>
      <c r="N211" s="23">
        <v>47</v>
      </c>
      <c r="O211" s="23">
        <v>114</v>
      </c>
      <c r="P211" s="23">
        <v>161</v>
      </c>
    </row>
    <row r="212" spans="1:16" x14ac:dyDescent="0.35">
      <c r="A212" s="23">
        <v>821</v>
      </c>
      <c r="B212" s="23" t="s">
        <v>356</v>
      </c>
      <c r="C212" s="23">
        <v>1</v>
      </c>
      <c r="D212" s="23">
        <v>0</v>
      </c>
      <c r="E212" s="23">
        <v>2</v>
      </c>
      <c r="F212" s="23">
        <v>15</v>
      </c>
      <c r="G212" s="23" t="b">
        <f>FALSE()</f>
        <v>0</v>
      </c>
      <c r="H212" s="23">
        <v>0</v>
      </c>
      <c r="I212" s="23">
        <v>1</v>
      </c>
      <c r="J212" s="23">
        <v>0.34</v>
      </c>
      <c r="K212" s="23">
        <v>0.34849999999999998</v>
      </c>
      <c r="L212" s="23">
        <v>0.46</v>
      </c>
      <c r="M212" s="23">
        <v>8.9599999999999999E-2</v>
      </c>
      <c r="N212" s="23">
        <v>52</v>
      </c>
      <c r="O212" s="23">
        <v>130</v>
      </c>
      <c r="P212" s="23">
        <v>182</v>
      </c>
    </row>
    <row r="213" spans="1:16" x14ac:dyDescent="0.35">
      <c r="A213" s="23">
        <v>822</v>
      </c>
      <c r="B213" s="23" t="s">
        <v>356</v>
      </c>
      <c r="C213" s="23">
        <v>1</v>
      </c>
      <c r="D213" s="23">
        <v>0</v>
      </c>
      <c r="E213" s="23">
        <v>2</v>
      </c>
      <c r="F213" s="23">
        <v>16</v>
      </c>
      <c r="G213" s="23" t="b">
        <f>FALSE()</f>
        <v>0</v>
      </c>
      <c r="H213" s="23">
        <v>0</v>
      </c>
      <c r="I213" s="23">
        <v>1</v>
      </c>
      <c r="J213" s="23">
        <v>0.34</v>
      </c>
      <c r="K213" s="23">
        <v>0.34849999999999998</v>
      </c>
      <c r="L213" s="23">
        <v>0.49</v>
      </c>
      <c r="M213" s="23">
        <v>0.1045</v>
      </c>
      <c r="N213" s="23">
        <v>42</v>
      </c>
      <c r="O213" s="23">
        <v>115</v>
      </c>
      <c r="P213" s="23">
        <v>157</v>
      </c>
    </row>
    <row r="214" spans="1:16" x14ac:dyDescent="0.35">
      <c r="A214" s="23">
        <v>823</v>
      </c>
      <c r="B214" s="23" t="s">
        <v>356</v>
      </c>
      <c r="C214" s="23">
        <v>1</v>
      </c>
      <c r="D214" s="23">
        <v>0</v>
      </c>
      <c r="E214" s="23">
        <v>2</v>
      </c>
      <c r="F214" s="23">
        <v>17</v>
      </c>
      <c r="G214" s="23" t="b">
        <f>FALSE()</f>
        <v>0</v>
      </c>
      <c r="H214" s="23">
        <v>0</v>
      </c>
      <c r="I214" s="23">
        <v>1</v>
      </c>
      <c r="J214" s="23">
        <v>0.34</v>
      </c>
      <c r="K214" s="23">
        <v>0.36359999999999998</v>
      </c>
      <c r="L214" s="23">
        <v>0.46</v>
      </c>
      <c r="M214" s="23">
        <v>0</v>
      </c>
      <c r="N214" s="23">
        <v>24</v>
      </c>
      <c r="O214" s="23">
        <v>97</v>
      </c>
      <c r="P214" s="23">
        <v>121</v>
      </c>
    </row>
    <row r="215" spans="1:16" x14ac:dyDescent="0.35">
      <c r="A215" s="23">
        <v>824</v>
      </c>
      <c r="B215" s="23" t="s">
        <v>356</v>
      </c>
      <c r="C215" s="23">
        <v>1</v>
      </c>
      <c r="D215" s="23">
        <v>0</v>
      </c>
      <c r="E215" s="23">
        <v>2</v>
      </c>
      <c r="F215" s="23">
        <v>18</v>
      </c>
      <c r="G215" s="23" t="b">
        <f>FALSE()</f>
        <v>0</v>
      </c>
      <c r="H215" s="23">
        <v>0</v>
      </c>
      <c r="I215" s="23">
        <v>1</v>
      </c>
      <c r="J215" s="23">
        <v>0.3</v>
      </c>
      <c r="K215" s="23">
        <v>0.30299999999999999</v>
      </c>
      <c r="L215" s="23">
        <v>0.56000000000000005</v>
      </c>
      <c r="M215" s="23">
        <v>0.16420000000000001</v>
      </c>
      <c r="N215" s="23">
        <v>13</v>
      </c>
      <c r="O215" s="23">
        <v>65</v>
      </c>
      <c r="P215" s="23">
        <v>78</v>
      </c>
    </row>
    <row r="216" spans="1:16" x14ac:dyDescent="0.35">
      <c r="A216" s="23">
        <v>825</v>
      </c>
      <c r="B216" s="23" t="s">
        <v>356</v>
      </c>
      <c r="C216" s="23">
        <v>1</v>
      </c>
      <c r="D216" s="23">
        <v>0</v>
      </c>
      <c r="E216" s="23">
        <v>2</v>
      </c>
      <c r="F216" s="23">
        <v>19</v>
      </c>
      <c r="G216" s="23" t="b">
        <f>FALSE()</f>
        <v>0</v>
      </c>
      <c r="H216" s="23">
        <v>0</v>
      </c>
      <c r="I216" s="23">
        <v>1</v>
      </c>
      <c r="J216" s="23">
        <v>0.28000000000000003</v>
      </c>
      <c r="K216" s="23">
        <v>0.28789999999999999</v>
      </c>
      <c r="L216" s="23">
        <v>0.61</v>
      </c>
      <c r="M216" s="23">
        <v>0.1343</v>
      </c>
      <c r="N216" s="23">
        <v>1</v>
      </c>
      <c r="O216" s="23">
        <v>20</v>
      </c>
      <c r="P216" s="23">
        <v>21</v>
      </c>
    </row>
    <row r="217" spans="1:16" x14ac:dyDescent="0.35">
      <c r="A217" s="23">
        <v>826</v>
      </c>
      <c r="B217" s="23" t="s">
        <v>356</v>
      </c>
      <c r="C217" s="23">
        <v>1</v>
      </c>
      <c r="D217" s="23">
        <v>0</v>
      </c>
      <c r="E217" s="23">
        <v>2</v>
      </c>
      <c r="F217" s="23">
        <v>20</v>
      </c>
      <c r="G217" s="23" t="b">
        <f>FALSE()</f>
        <v>0</v>
      </c>
      <c r="H217" s="23">
        <v>0</v>
      </c>
      <c r="I217" s="23">
        <v>1</v>
      </c>
      <c r="J217" s="23">
        <v>0.28000000000000003</v>
      </c>
      <c r="K217" s="23">
        <v>0.28789999999999999</v>
      </c>
      <c r="L217" s="23">
        <v>0.61</v>
      </c>
      <c r="M217" s="23">
        <v>0.1045</v>
      </c>
      <c r="N217" s="23">
        <v>5</v>
      </c>
      <c r="O217" s="23">
        <v>21</v>
      </c>
      <c r="P217" s="23">
        <v>26</v>
      </c>
    </row>
    <row r="218" spans="1:16" x14ac:dyDescent="0.35">
      <c r="A218" s="23">
        <v>827</v>
      </c>
      <c r="B218" s="23" t="s">
        <v>356</v>
      </c>
      <c r="C218" s="23">
        <v>1</v>
      </c>
      <c r="D218" s="23">
        <v>0</v>
      </c>
      <c r="E218" s="23">
        <v>2</v>
      </c>
      <c r="F218" s="23">
        <v>21</v>
      </c>
      <c r="G218" s="23" t="b">
        <f>FALSE()</f>
        <v>0</v>
      </c>
      <c r="H218" s="23">
        <v>0</v>
      </c>
      <c r="I218" s="23">
        <v>1</v>
      </c>
      <c r="J218" s="23">
        <v>0.26</v>
      </c>
      <c r="K218" s="23">
        <v>0.30299999999999999</v>
      </c>
      <c r="L218" s="23">
        <v>0.6</v>
      </c>
      <c r="M218" s="23">
        <v>0</v>
      </c>
      <c r="N218" s="23">
        <v>5</v>
      </c>
      <c r="O218" s="23">
        <v>22</v>
      </c>
      <c r="P218" s="23">
        <v>27</v>
      </c>
    </row>
    <row r="219" spans="1:16" x14ac:dyDescent="0.35">
      <c r="A219" s="23">
        <v>828</v>
      </c>
      <c r="B219" s="23" t="s">
        <v>356</v>
      </c>
      <c r="C219" s="23">
        <v>1</v>
      </c>
      <c r="D219" s="23">
        <v>0</v>
      </c>
      <c r="E219" s="23">
        <v>2</v>
      </c>
      <c r="F219" s="23">
        <v>22</v>
      </c>
      <c r="G219" s="23" t="b">
        <f>FALSE()</f>
        <v>0</v>
      </c>
      <c r="H219" s="23">
        <v>0</v>
      </c>
      <c r="I219" s="23">
        <v>1</v>
      </c>
      <c r="J219" s="23">
        <v>0.26</v>
      </c>
      <c r="K219" s="23">
        <v>0.30299999999999999</v>
      </c>
      <c r="L219" s="23">
        <v>0.6</v>
      </c>
      <c r="M219" s="23">
        <v>0</v>
      </c>
      <c r="N219" s="23">
        <v>5</v>
      </c>
      <c r="O219" s="23">
        <v>57</v>
      </c>
      <c r="P219" s="23">
        <v>62</v>
      </c>
    </row>
    <row r="220" spans="1:16" x14ac:dyDescent="0.35">
      <c r="A220" s="23">
        <v>829</v>
      </c>
      <c r="B220" s="23" t="s">
        <v>356</v>
      </c>
      <c r="C220" s="23">
        <v>1</v>
      </c>
      <c r="D220" s="23">
        <v>0</v>
      </c>
      <c r="E220" s="23">
        <v>2</v>
      </c>
      <c r="F220" s="23">
        <v>23</v>
      </c>
      <c r="G220" s="23" t="b">
        <f>FALSE()</f>
        <v>0</v>
      </c>
      <c r="H220" s="23">
        <v>0</v>
      </c>
      <c r="I220" s="23">
        <v>1</v>
      </c>
      <c r="J220" s="23">
        <v>0.24</v>
      </c>
      <c r="K220" s="23">
        <v>0.28789999999999999</v>
      </c>
      <c r="L220" s="23">
        <v>0.65</v>
      </c>
      <c r="M220" s="23">
        <v>0</v>
      </c>
      <c r="N220" s="23">
        <v>4</v>
      </c>
      <c r="O220" s="23">
        <v>26</v>
      </c>
      <c r="P220" s="23">
        <v>30</v>
      </c>
    </row>
    <row r="221" spans="1:16" x14ac:dyDescent="0.35">
      <c r="A221" s="23">
        <v>830</v>
      </c>
      <c r="B221" s="23" t="s">
        <v>357</v>
      </c>
      <c r="C221" s="23">
        <v>1</v>
      </c>
      <c r="D221" s="23">
        <v>0</v>
      </c>
      <c r="E221" s="23">
        <v>2</v>
      </c>
      <c r="F221" s="23">
        <v>0</v>
      </c>
      <c r="G221" s="23" t="b">
        <f>FALSE()</f>
        <v>0</v>
      </c>
      <c r="H221" s="23">
        <v>1</v>
      </c>
      <c r="I221" s="23">
        <v>1</v>
      </c>
      <c r="J221" s="23">
        <v>0.24</v>
      </c>
      <c r="K221" s="23">
        <v>0.28789999999999999</v>
      </c>
      <c r="L221" s="23">
        <v>0.65</v>
      </c>
      <c r="M221" s="23">
        <v>0</v>
      </c>
      <c r="N221" s="23">
        <v>1</v>
      </c>
      <c r="O221" s="23">
        <v>14</v>
      </c>
      <c r="P221" s="23">
        <v>15</v>
      </c>
    </row>
    <row r="222" spans="1:16" x14ac:dyDescent="0.35">
      <c r="A222" s="23">
        <v>831</v>
      </c>
      <c r="B222" s="23" t="s">
        <v>357</v>
      </c>
      <c r="C222" s="23">
        <v>1</v>
      </c>
      <c r="D222" s="23">
        <v>0</v>
      </c>
      <c r="E222" s="23">
        <v>2</v>
      </c>
      <c r="F222" s="23">
        <v>1</v>
      </c>
      <c r="G222" s="23" t="b">
        <f>FALSE()</f>
        <v>0</v>
      </c>
      <c r="H222" s="23">
        <v>1</v>
      </c>
      <c r="I222" s="23">
        <v>1</v>
      </c>
      <c r="J222" s="23">
        <v>0.22</v>
      </c>
      <c r="K222" s="23">
        <v>0.2727</v>
      </c>
      <c r="L222" s="23">
        <v>0.75</v>
      </c>
      <c r="M222" s="23">
        <v>0</v>
      </c>
      <c r="N222" s="23">
        <v>1</v>
      </c>
      <c r="O222" s="23">
        <v>4</v>
      </c>
      <c r="P222" s="23">
        <v>5</v>
      </c>
    </row>
    <row r="223" spans="1:16" x14ac:dyDescent="0.35">
      <c r="A223" s="23">
        <v>832</v>
      </c>
      <c r="B223" s="23" t="s">
        <v>357</v>
      </c>
      <c r="C223" s="23">
        <v>1</v>
      </c>
      <c r="D223" s="23">
        <v>0</v>
      </c>
      <c r="E223" s="23">
        <v>2</v>
      </c>
      <c r="F223" s="23">
        <v>2</v>
      </c>
      <c r="G223" s="23" t="b">
        <f>FALSE()</f>
        <v>0</v>
      </c>
      <c r="H223" s="23">
        <v>1</v>
      </c>
      <c r="I223" s="23">
        <v>1</v>
      </c>
      <c r="J223" s="23">
        <v>0.2</v>
      </c>
      <c r="K223" s="23">
        <v>0.2576</v>
      </c>
      <c r="L223" s="23">
        <v>0.8</v>
      </c>
      <c r="M223" s="23">
        <v>0</v>
      </c>
      <c r="N223" s="23">
        <v>0</v>
      </c>
      <c r="O223" s="23">
        <v>3</v>
      </c>
      <c r="P223" s="23">
        <v>3</v>
      </c>
    </row>
    <row r="224" spans="1:16" x14ac:dyDescent="0.35">
      <c r="A224" s="23">
        <v>833</v>
      </c>
      <c r="B224" s="23" t="s">
        <v>357</v>
      </c>
      <c r="C224" s="23">
        <v>1</v>
      </c>
      <c r="D224" s="23">
        <v>0</v>
      </c>
      <c r="E224" s="23">
        <v>2</v>
      </c>
      <c r="F224" s="23">
        <v>3</v>
      </c>
      <c r="G224" s="23" t="b">
        <f>FALSE()</f>
        <v>0</v>
      </c>
      <c r="H224" s="23">
        <v>1</v>
      </c>
      <c r="I224" s="23">
        <v>1</v>
      </c>
      <c r="J224" s="23">
        <v>0.2</v>
      </c>
      <c r="K224" s="23">
        <v>0.2576</v>
      </c>
      <c r="L224" s="23">
        <v>0.86</v>
      </c>
      <c r="M224" s="23">
        <v>0</v>
      </c>
      <c r="N224" s="23">
        <v>0</v>
      </c>
      <c r="O224" s="23">
        <v>1</v>
      </c>
      <c r="P224" s="23">
        <v>1</v>
      </c>
    </row>
    <row r="225" spans="1:16" x14ac:dyDescent="0.35">
      <c r="A225" s="23">
        <v>834</v>
      </c>
      <c r="B225" s="23" t="s">
        <v>357</v>
      </c>
      <c r="C225" s="23">
        <v>1</v>
      </c>
      <c r="D225" s="23">
        <v>0</v>
      </c>
      <c r="E225" s="23">
        <v>2</v>
      </c>
      <c r="F225" s="23">
        <v>4</v>
      </c>
      <c r="G225" s="23" t="b">
        <f>FALSE()</f>
        <v>0</v>
      </c>
      <c r="H225" s="23">
        <v>1</v>
      </c>
      <c r="I225" s="23">
        <v>1</v>
      </c>
      <c r="J225" s="23">
        <v>0.2</v>
      </c>
      <c r="K225" s="23">
        <v>0.2576</v>
      </c>
      <c r="L225" s="23">
        <v>0.86</v>
      </c>
      <c r="M225" s="23">
        <v>0</v>
      </c>
      <c r="N225" s="23">
        <v>1</v>
      </c>
      <c r="O225" s="23">
        <v>1</v>
      </c>
      <c r="P225" s="23">
        <v>2</v>
      </c>
    </row>
    <row r="226" spans="1:16" x14ac:dyDescent="0.35">
      <c r="A226" s="23">
        <v>835</v>
      </c>
      <c r="B226" s="23" t="s">
        <v>357</v>
      </c>
      <c r="C226" s="23">
        <v>1</v>
      </c>
      <c r="D226" s="23">
        <v>0</v>
      </c>
      <c r="E226" s="23">
        <v>2</v>
      </c>
      <c r="F226" s="23">
        <v>5</v>
      </c>
      <c r="G226" s="23" t="b">
        <f>FALSE()</f>
        <v>0</v>
      </c>
      <c r="H226" s="23">
        <v>1</v>
      </c>
      <c r="I226" s="23">
        <v>1</v>
      </c>
      <c r="J226" s="23">
        <v>0.2</v>
      </c>
      <c r="K226" s="23">
        <v>0.2576</v>
      </c>
      <c r="L226" s="23">
        <v>0.86</v>
      </c>
      <c r="M226" s="23">
        <v>0</v>
      </c>
      <c r="N226" s="23">
        <v>1</v>
      </c>
      <c r="O226" s="23">
        <v>9</v>
      </c>
      <c r="P226" s="23">
        <v>10</v>
      </c>
    </row>
    <row r="227" spans="1:16" x14ac:dyDescent="0.35">
      <c r="A227" s="23">
        <v>836</v>
      </c>
      <c r="B227" s="23" t="s">
        <v>357</v>
      </c>
      <c r="C227" s="23">
        <v>1</v>
      </c>
      <c r="D227" s="23">
        <v>0</v>
      </c>
      <c r="E227" s="23">
        <v>2</v>
      </c>
      <c r="F227" s="23">
        <v>6</v>
      </c>
      <c r="G227" s="23" t="b">
        <f>FALSE()</f>
        <v>0</v>
      </c>
      <c r="H227" s="23">
        <v>1</v>
      </c>
      <c r="I227" s="23">
        <v>1</v>
      </c>
      <c r="J227" s="23">
        <v>0.18</v>
      </c>
      <c r="K227" s="23">
        <v>0.2424</v>
      </c>
      <c r="L227" s="23">
        <v>0.93</v>
      </c>
      <c r="M227" s="23">
        <v>0</v>
      </c>
      <c r="N227" s="23">
        <v>1</v>
      </c>
      <c r="O227" s="23">
        <v>29</v>
      </c>
      <c r="P227" s="23">
        <v>30</v>
      </c>
    </row>
    <row r="228" spans="1:16" x14ac:dyDescent="0.35">
      <c r="A228" s="23">
        <v>837</v>
      </c>
      <c r="B228" s="23" t="s">
        <v>357</v>
      </c>
      <c r="C228" s="23">
        <v>1</v>
      </c>
      <c r="D228" s="23">
        <v>0</v>
      </c>
      <c r="E228" s="23">
        <v>2</v>
      </c>
      <c r="F228" s="23">
        <v>7</v>
      </c>
      <c r="G228" s="23" t="b">
        <f>FALSE()</f>
        <v>0</v>
      </c>
      <c r="H228" s="23">
        <v>1</v>
      </c>
      <c r="I228" s="23">
        <v>1</v>
      </c>
      <c r="J228" s="23">
        <v>0.18</v>
      </c>
      <c r="K228" s="23">
        <v>0.2424</v>
      </c>
      <c r="L228" s="23">
        <v>0.86</v>
      </c>
      <c r="M228" s="23">
        <v>0</v>
      </c>
      <c r="N228" s="23">
        <v>6</v>
      </c>
      <c r="O228" s="23">
        <v>89</v>
      </c>
      <c r="P228" s="23">
        <v>95</v>
      </c>
    </row>
    <row r="229" spans="1:16" x14ac:dyDescent="0.35">
      <c r="A229" s="23">
        <v>838</v>
      </c>
      <c r="B229" s="23" t="s">
        <v>357</v>
      </c>
      <c r="C229" s="23">
        <v>1</v>
      </c>
      <c r="D229" s="23">
        <v>0</v>
      </c>
      <c r="E229" s="23">
        <v>2</v>
      </c>
      <c r="F229" s="23">
        <v>8</v>
      </c>
      <c r="G229" s="23" t="b">
        <f>FALSE()</f>
        <v>0</v>
      </c>
      <c r="H229" s="23">
        <v>1</v>
      </c>
      <c r="I229" s="23">
        <v>2</v>
      </c>
      <c r="J229" s="23">
        <v>0.16</v>
      </c>
      <c r="K229" s="23">
        <v>0.2273</v>
      </c>
      <c r="L229" s="23">
        <v>1</v>
      </c>
      <c r="M229" s="23">
        <v>0</v>
      </c>
      <c r="N229" s="23">
        <v>7</v>
      </c>
      <c r="O229" s="23">
        <v>223</v>
      </c>
      <c r="P229" s="23">
        <v>230</v>
      </c>
    </row>
    <row r="230" spans="1:16" x14ac:dyDescent="0.35">
      <c r="A230" s="23">
        <v>839</v>
      </c>
      <c r="B230" s="23" t="s">
        <v>357</v>
      </c>
      <c r="C230" s="23">
        <v>1</v>
      </c>
      <c r="D230" s="23">
        <v>0</v>
      </c>
      <c r="E230" s="23">
        <v>2</v>
      </c>
      <c r="F230" s="23">
        <v>9</v>
      </c>
      <c r="G230" s="23" t="b">
        <f>FALSE()</f>
        <v>0</v>
      </c>
      <c r="H230" s="23">
        <v>1</v>
      </c>
      <c r="I230" s="23">
        <v>1</v>
      </c>
      <c r="J230" s="23">
        <v>0.22</v>
      </c>
      <c r="K230" s="23">
        <v>0.2727</v>
      </c>
      <c r="L230" s="23">
        <v>0.8</v>
      </c>
      <c r="M230" s="23">
        <v>0</v>
      </c>
      <c r="N230" s="23">
        <v>3</v>
      </c>
      <c r="O230" s="23">
        <v>115</v>
      </c>
      <c r="P230" s="23">
        <v>118</v>
      </c>
    </row>
    <row r="231" spans="1:16" x14ac:dyDescent="0.35">
      <c r="A231" s="23">
        <v>840</v>
      </c>
      <c r="B231" s="23" t="s">
        <v>357</v>
      </c>
      <c r="C231" s="23">
        <v>1</v>
      </c>
      <c r="D231" s="23">
        <v>0</v>
      </c>
      <c r="E231" s="23">
        <v>2</v>
      </c>
      <c r="F231" s="23">
        <v>10</v>
      </c>
      <c r="G231" s="23" t="b">
        <f>FALSE()</f>
        <v>0</v>
      </c>
      <c r="H231" s="23">
        <v>1</v>
      </c>
      <c r="I231" s="23">
        <v>1</v>
      </c>
      <c r="J231" s="23">
        <v>0.24</v>
      </c>
      <c r="K231" s="23">
        <v>0.2576</v>
      </c>
      <c r="L231" s="23">
        <v>0.75</v>
      </c>
      <c r="M231" s="23">
        <v>0.1045</v>
      </c>
      <c r="N231" s="23">
        <v>6</v>
      </c>
      <c r="O231" s="23">
        <v>49</v>
      </c>
      <c r="P231" s="23">
        <v>55</v>
      </c>
    </row>
    <row r="232" spans="1:16" x14ac:dyDescent="0.35">
      <c r="A232" s="23">
        <v>841</v>
      </c>
      <c r="B232" s="23" t="s">
        <v>357</v>
      </c>
      <c r="C232" s="23">
        <v>1</v>
      </c>
      <c r="D232" s="23">
        <v>0</v>
      </c>
      <c r="E232" s="23">
        <v>2</v>
      </c>
      <c r="F232" s="23">
        <v>11</v>
      </c>
      <c r="G232" s="23" t="b">
        <f>FALSE()</f>
        <v>0</v>
      </c>
      <c r="H232" s="23">
        <v>1</v>
      </c>
      <c r="I232" s="23">
        <v>1</v>
      </c>
      <c r="J232" s="23">
        <v>0.3</v>
      </c>
      <c r="K232" s="23">
        <v>0.31819999999999998</v>
      </c>
      <c r="L232" s="23">
        <v>0.65</v>
      </c>
      <c r="M232" s="23">
        <v>8.9599999999999999E-2</v>
      </c>
      <c r="N232" s="23">
        <v>11</v>
      </c>
      <c r="O232" s="23">
        <v>36</v>
      </c>
      <c r="P232" s="23">
        <v>47</v>
      </c>
    </row>
    <row r="233" spans="1:16" x14ac:dyDescent="0.35">
      <c r="A233" s="23">
        <v>842</v>
      </c>
      <c r="B233" s="23" t="s">
        <v>357</v>
      </c>
      <c r="C233" s="23">
        <v>1</v>
      </c>
      <c r="D233" s="23">
        <v>0</v>
      </c>
      <c r="E233" s="23">
        <v>2</v>
      </c>
      <c r="F233" s="23">
        <v>12</v>
      </c>
      <c r="G233" s="23" t="b">
        <f>FALSE()</f>
        <v>0</v>
      </c>
      <c r="H233" s="23">
        <v>1</v>
      </c>
      <c r="I233" s="23">
        <v>2</v>
      </c>
      <c r="J233" s="23">
        <v>0.32</v>
      </c>
      <c r="K233" s="23">
        <v>0.34849999999999998</v>
      </c>
      <c r="L233" s="23">
        <v>0.62</v>
      </c>
      <c r="M233" s="23">
        <v>0</v>
      </c>
      <c r="N233" s="23">
        <v>7</v>
      </c>
      <c r="O233" s="23">
        <v>59</v>
      </c>
      <c r="P233" s="23">
        <v>66</v>
      </c>
    </row>
    <row r="234" spans="1:16" x14ac:dyDescent="0.35">
      <c r="A234" s="23">
        <v>843</v>
      </c>
      <c r="B234" s="23" t="s">
        <v>357</v>
      </c>
      <c r="C234" s="23">
        <v>1</v>
      </c>
      <c r="D234" s="23">
        <v>0</v>
      </c>
      <c r="E234" s="23">
        <v>2</v>
      </c>
      <c r="F234" s="23">
        <v>13</v>
      </c>
      <c r="G234" s="23" t="b">
        <f>FALSE()</f>
        <v>0</v>
      </c>
      <c r="H234" s="23">
        <v>1</v>
      </c>
      <c r="I234" s="23">
        <v>2</v>
      </c>
      <c r="J234" s="23">
        <v>0.36</v>
      </c>
      <c r="K234" s="23">
        <v>0.36359999999999998</v>
      </c>
      <c r="L234" s="23">
        <v>0.56999999999999995</v>
      </c>
      <c r="M234" s="23">
        <v>8.9599999999999999E-2</v>
      </c>
      <c r="N234" s="23">
        <v>10</v>
      </c>
      <c r="O234" s="23">
        <v>54</v>
      </c>
      <c r="P234" s="23">
        <v>64</v>
      </c>
    </row>
    <row r="235" spans="1:16" x14ac:dyDescent="0.35">
      <c r="A235" s="23">
        <v>844</v>
      </c>
      <c r="B235" s="23" t="s">
        <v>357</v>
      </c>
      <c r="C235" s="23">
        <v>1</v>
      </c>
      <c r="D235" s="23">
        <v>0</v>
      </c>
      <c r="E235" s="23">
        <v>2</v>
      </c>
      <c r="F235" s="23">
        <v>14</v>
      </c>
      <c r="G235" s="23" t="b">
        <f>FALSE()</f>
        <v>0</v>
      </c>
      <c r="H235" s="23">
        <v>1</v>
      </c>
      <c r="I235" s="23">
        <v>2</v>
      </c>
      <c r="J235" s="23">
        <v>0.36</v>
      </c>
      <c r="K235" s="23">
        <v>0.36359999999999998</v>
      </c>
      <c r="L235" s="23">
        <v>0.56999999999999995</v>
      </c>
      <c r="M235" s="23">
        <v>8.9599999999999999E-2</v>
      </c>
      <c r="N235" s="23">
        <v>8</v>
      </c>
      <c r="O235" s="23">
        <v>52</v>
      </c>
      <c r="P235" s="23">
        <v>60</v>
      </c>
    </row>
    <row r="236" spans="1:16" x14ac:dyDescent="0.35">
      <c r="A236" s="23">
        <v>845</v>
      </c>
      <c r="B236" s="23" t="s">
        <v>357</v>
      </c>
      <c r="C236" s="23">
        <v>1</v>
      </c>
      <c r="D236" s="23">
        <v>0</v>
      </c>
      <c r="E236" s="23">
        <v>2</v>
      </c>
      <c r="F236" s="23">
        <v>15</v>
      </c>
      <c r="G236" s="23" t="b">
        <f>FALSE()</f>
        <v>0</v>
      </c>
      <c r="H236" s="23">
        <v>1</v>
      </c>
      <c r="I236" s="23">
        <v>2</v>
      </c>
      <c r="J236" s="23">
        <v>0.38</v>
      </c>
      <c r="K236" s="23">
        <v>0.39389999999999997</v>
      </c>
      <c r="L236" s="23">
        <v>0.54</v>
      </c>
      <c r="M236" s="23">
        <v>8.9599999999999999E-2</v>
      </c>
      <c r="N236" s="23">
        <v>4</v>
      </c>
      <c r="O236" s="23">
        <v>46</v>
      </c>
      <c r="P236" s="23">
        <v>50</v>
      </c>
    </row>
    <row r="237" spans="1:16" x14ac:dyDescent="0.35">
      <c r="A237" s="23">
        <v>846</v>
      </c>
      <c r="B237" s="23" t="s">
        <v>357</v>
      </c>
      <c r="C237" s="23">
        <v>1</v>
      </c>
      <c r="D237" s="23">
        <v>0</v>
      </c>
      <c r="E237" s="23">
        <v>2</v>
      </c>
      <c r="F237" s="23">
        <v>16</v>
      </c>
      <c r="G237" s="23" t="b">
        <f>FALSE()</f>
        <v>0</v>
      </c>
      <c r="H237" s="23">
        <v>1</v>
      </c>
      <c r="I237" s="23">
        <v>2</v>
      </c>
      <c r="J237" s="23">
        <v>0.36</v>
      </c>
      <c r="K237" s="23">
        <v>0.34849999999999998</v>
      </c>
      <c r="L237" s="23">
        <v>0.56999999999999995</v>
      </c>
      <c r="M237" s="23">
        <v>0.1343</v>
      </c>
      <c r="N237" s="23">
        <v>16</v>
      </c>
      <c r="O237" s="23">
        <v>98</v>
      </c>
      <c r="P237" s="23">
        <v>114</v>
      </c>
    </row>
    <row r="238" spans="1:16" x14ac:dyDescent="0.35">
      <c r="A238" s="23">
        <v>847</v>
      </c>
      <c r="B238" s="23" t="s">
        <v>357</v>
      </c>
      <c r="C238" s="23">
        <v>1</v>
      </c>
      <c r="D238" s="23">
        <v>0</v>
      </c>
      <c r="E238" s="23">
        <v>2</v>
      </c>
      <c r="F238" s="23">
        <v>17</v>
      </c>
      <c r="G238" s="23" t="b">
        <f>FALSE()</f>
        <v>0</v>
      </c>
      <c r="H238" s="23">
        <v>1</v>
      </c>
      <c r="I238" s="23">
        <v>2</v>
      </c>
      <c r="J238" s="23">
        <v>0.32</v>
      </c>
      <c r="K238" s="23">
        <v>0.31819999999999998</v>
      </c>
      <c r="L238" s="23">
        <v>0.7</v>
      </c>
      <c r="M238" s="23">
        <v>0.16420000000000001</v>
      </c>
      <c r="N238" s="23">
        <v>9</v>
      </c>
      <c r="O238" s="23">
        <v>207</v>
      </c>
      <c r="P238" s="23">
        <v>216</v>
      </c>
    </row>
    <row r="239" spans="1:16" x14ac:dyDescent="0.35">
      <c r="A239" s="23">
        <v>848</v>
      </c>
      <c r="B239" s="23" t="s">
        <v>357</v>
      </c>
      <c r="C239" s="23">
        <v>1</v>
      </c>
      <c r="D239" s="23">
        <v>0</v>
      </c>
      <c r="E239" s="23">
        <v>2</v>
      </c>
      <c r="F239" s="23">
        <v>18</v>
      </c>
      <c r="G239" s="23" t="b">
        <f>FALSE()</f>
        <v>0</v>
      </c>
      <c r="H239" s="23">
        <v>1</v>
      </c>
      <c r="I239" s="23">
        <v>2</v>
      </c>
      <c r="J239" s="23">
        <v>0.34</v>
      </c>
      <c r="K239" s="23">
        <v>0.33329999999999999</v>
      </c>
      <c r="L239" s="23">
        <v>0.66</v>
      </c>
      <c r="M239" s="23">
        <v>0.1343</v>
      </c>
      <c r="N239" s="23">
        <v>5</v>
      </c>
      <c r="O239" s="23">
        <v>170</v>
      </c>
      <c r="P239" s="23">
        <v>175</v>
      </c>
    </row>
    <row r="240" spans="1:16" x14ac:dyDescent="0.35">
      <c r="A240" s="23">
        <v>849</v>
      </c>
      <c r="B240" s="23" t="s">
        <v>357</v>
      </c>
      <c r="C240" s="23">
        <v>1</v>
      </c>
      <c r="D240" s="23">
        <v>0</v>
      </c>
      <c r="E240" s="23">
        <v>2</v>
      </c>
      <c r="F240" s="23">
        <v>19</v>
      </c>
      <c r="G240" s="23" t="b">
        <f>FALSE()</f>
        <v>0</v>
      </c>
      <c r="H240" s="23">
        <v>1</v>
      </c>
      <c r="I240" s="23">
        <v>2</v>
      </c>
      <c r="J240" s="23">
        <v>0.32</v>
      </c>
      <c r="K240" s="23">
        <v>0.34849999999999998</v>
      </c>
      <c r="L240" s="23">
        <v>0.7</v>
      </c>
      <c r="M240" s="23">
        <v>0</v>
      </c>
      <c r="N240" s="23">
        <v>5</v>
      </c>
      <c r="O240" s="23">
        <v>123</v>
      </c>
      <c r="P240" s="23">
        <v>128</v>
      </c>
    </row>
    <row r="241" spans="1:16" x14ac:dyDescent="0.35">
      <c r="A241" s="23">
        <v>850</v>
      </c>
      <c r="B241" s="23" t="s">
        <v>357</v>
      </c>
      <c r="C241" s="23">
        <v>1</v>
      </c>
      <c r="D241" s="23">
        <v>0</v>
      </c>
      <c r="E241" s="23">
        <v>2</v>
      </c>
      <c r="F241" s="23">
        <v>20</v>
      </c>
      <c r="G241" s="23" t="b">
        <f>FALSE()</f>
        <v>0</v>
      </c>
      <c r="H241" s="23">
        <v>1</v>
      </c>
      <c r="I241" s="23">
        <v>2</v>
      </c>
      <c r="J241" s="23">
        <v>0.32</v>
      </c>
      <c r="K241" s="23">
        <v>0.33329999999999999</v>
      </c>
      <c r="L241" s="23">
        <v>0.7</v>
      </c>
      <c r="M241" s="23">
        <v>0.1045</v>
      </c>
      <c r="N241" s="23">
        <v>6</v>
      </c>
      <c r="O241" s="23">
        <v>82</v>
      </c>
      <c r="P241" s="23">
        <v>88</v>
      </c>
    </row>
    <row r="242" spans="1:16" x14ac:dyDescent="0.35">
      <c r="A242" s="23">
        <v>851</v>
      </c>
      <c r="B242" s="23" t="s">
        <v>357</v>
      </c>
      <c r="C242" s="23">
        <v>1</v>
      </c>
      <c r="D242" s="23">
        <v>0</v>
      </c>
      <c r="E242" s="23">
        <v>2</v>
      </c>
      <c r="F242" s="23">
        <v>21</v>
      </c>
      <c r="G242" s="23" t="b">
        <f>FALSE()</f>
        <v>0</v>
      </c>
      <c r="H242" s="23">
        <v>1</v>
      </c>
      <c r="I242" s="23">
        <v>1</v>
      </c>
      <c r="J242" s="23">
        <v>0.32</v>
      </c>
      <c r="K242" s="23">
        <v>0.34849999999999998</v>
      </c>
      <c r="L242" s="23">
        <v>0.7</v>
      </c>
      <c r="M242" s="23">
        <v>0</v>
      </c>
      <c r="N242" s="23">
        <v>3</v>
      </c>
      <c r="O242" s="23">
        <v>75</v>
      </c>
      <c r="P242" s="23">
        <v>78</v>
      </c>
    </row>
    <row r="243" spans="1:16" x14ac:dyDescent="0.35">
      <c r="A243" s="23">
        <v>852</v>
      </c>
      <c r="B243" s="23" t="s">
        <v>357</v>
      </c>
      <c r="C243" s="23">
        <v>1</v>
      </c>
      <c r="D243" s="23">
        <v>0</v>
      </c>
      <c r="E243" s="23">
        <v>2</v>
      </c>
      <c r="F243" s="23">
        <v>22</v>
      </c>
      <c r="G243" s="23" t="b">
        <f>FALSE()</f>
        <v>0</v>
      </c>
      <c r="H243" s="23">
        <v>1</v>
      </c>
      <c r="I243" s="23">
        <v>1</v>
      </c>
      <c r="J243" s="23">
        <v>0.28000000000000003</v>
      </c>
      <c r="K243" s="23">
        <v>0.30299999999999999</v>
      </c>
      <c r="L243" s="23">
        <v>0.81</v>
      </c>
      <c r="M243" s="23">
        <v>8.9599999999999999E-2</v>
      </c>
      <c r="N243" s="23">
        <v>3</v>
      </c>
      <c r="O243" s="23">
        <v>34</v>
      </c>
      <c r="P243" s="23">
        <v>37</v>
      </c>
    </row>
    <row r="244" spans="1:16" x14ac:dyDescent="0.35">
      <c r="A244" s="23">
        <v>853</v>
      </c>
      <c r="B244" s="23" t="s">
        <v>357</v>
      </c>
      <c r="C244" s="23">
        <v>1</v>
      </c>
      <c r="D244" s="23">
        <v>0</v>
      </c>
      <c r="E244" s="23">
        <v>2</v>
      </c>
      <c r="F244" s="23">
        <v>23</v>
      </c>
      <c r="G244" s="23" t="b">
        <f>FALSE()</f>
        <v>0</v>
      </c>
      <c r="H244" s="23">
        <v>1</v>
      </c>
      <c r="I244" s="23">
        <v>2</v>
      </c>
      <c r="J244" s="23">
        <v>0.3</v>
      </c>
      <c r="K244" s="23">
        <v>0.33329999999999999</v>
      </c>
      <c r="L244" s="23">
        <v>0.81</v>
      </c>
      <c r="M244" s="23">
        <v>0</v>
      </c>
      <c r="N244" s="23">
        <v>6</v>
      </c>
      <c r="O244" s="23">
        <v>19</v>
      </c>
      <c r="P244" s="23">
        <v>25</v>
      </c>
    </row>
    <row r="245" spans="1:16" x14ac:dyDescent="0.35">
      <c r="A245" s="23">
        <v>854</v>
      </c>
      <c r="B245" s="23" t="s">
        <v>358</v>
      </c>
      <c r="C245" s="23">
        <v>1</v>
      </c>
      <c r="D245" s="23">
        <v>0</v>
      </c>
      <c r="E245" s="23">
        <v>2</v>
      </c>
      <c r="F245" s="23">
        <v>0</v>
      </c>
      <c r="G245" s="23" t="b">
        <f>FALSE()</f>
        <v>0</v>
      </c>
      <c r="H245" s="23">
        <v>2</v>
      </c>
      <c r="I245" s="23">
        <v>2</v>
      </c>
      <c r="J245" s="23">
        <v>0.28000000000000003</v>
      </c>
      <c r="K245" s="23">
        <v>0.31819999999999998</v>
      </c>
      <c r="L245" s="23">
        <v>0.87</v>
      </c>
      <c r="M245" s="23">
        <v>0</v>
      </c>
      <c r="N245" s="23">
        <v>4</v>
      </c>
      <c r="O245" s="23">
        <v>6</v>
      </c>
      <c r="P245" s="23">
        <v>10</v>
      </c>
    </row>
    <row r="246" spans="1:16" x14ac:dyDescent="0.35">
      <c r="A246" s="23">
        <v>855</v>
      </c>
      <c r="B246" s="23" t="s">
        <v>358</v>
      </c>
      <c r="C246" s="23">
        <v>1</v>
      </c>
      <c r="D246" s="23">
        <v>0</v>
      </c>
      <c r="E246" s="23">
        <v>2</v>
      </c>
      <c r="F246" s="23">
        <v>1</v>
      </c>
      <c r="G246" s="23" t="b">
        <f>FALSE()</f>
        <v>0</v>
      </c>
      <c r="H246" s="23">
        <v>2</v>
      </c>
      <c r="I246" s="23">
        <v>2</v>
      </c>
      <c r="J246" s="23">
        <v>0.28000000000000003</v>
      </c>
      <c r="K246" s="23">
        <v>0.31819999999999998</v>
      </c>
      <c r="L246" s="23">
        <v>0.87</v>
      </c>
      <c r="M246" s="23">
        <v>0</v>
      </c>
      <c r="N246" s="23">
        <v>0</v>
      </c>
      <c r="O246" s="23">
        <v>4</v>
      </c>
      <c r="P246" s="23">
        <v>4</v>
      </c>
    </row>
    <row r="247" spans="1:16" x14ac:dyDescent="0.35">
      <c r="A247" s="23">
        <v>856</v>
      </c>
      <c r="B247" s="23" t="s">
        <v>358</v>
      </c>
      <c r="C247" s="23">
        <v>1</v>
      </c>
      <c r="D247" s="23">
        <v>0</v>
      </c>
      <c r="E247" s="23">
        <v>2</v>
      </c>
      <c r="F247" s="23">
        <v>2</v>
      </c>
      <c r="G247" s="23" t="b">
        <f>FALSE()</f>
        <v>0</v>
      </c>
      <c r="H247" s="23">
        <v>2</v>
      </c>
      <c r="I247" s="23">
        <v>2</v>
      </c>
      <c r="J247" s="23">
        <v>0.26</v>
      </c>
      <c r="K247" s="23">
        <v>0.2727</v>
      </c>
      <c r="L247" s="23">
        <v>0.93</v>
      </c>
      <c r="M247" s="23">
        <v>0.1045</v>
      </c>
      <c r="N247" s="23">
        <v>1</v>
      </c>
      <c r="O247" s="23">
        <v>1</v>
      </c>
      <c r="P247" s="23">
        <v>2</v>
      </c>
    </row>
    <row r="248" spans="1:16" x14ac:dyDescent="0.35">
      <c r="A248" s="23">
        <v>857</v>
      </c>
      <c r="B248" s="23" t="s">
        <v>358</v>
      </c>
      <c r="C248" s="23">
        <v>1</v>
      </c>
      <c r="D248" s="23">
        <v>0</v>
      </c>
      <c r="E248" s="23">
        <v>2</v>
      </c>
      <c r="F248" s="23">
        <v>3</v>
      </c>
      <c r="G248" s="23" t="b">
        <f>FALSE()</f>
        <v>0</v>
      </c>
      <c r="H248" s="23">
        <v>2</v>
      </c>
      <c r="I248" s="23">
        <v>3</v>
      </c>
      <c r="J248" s="23">
        <v>0.28000000000000003</v>
      </c>
      <c r="K248" s="23">
        <v>0.2727</v>
      </c>
      <c r="L248" s="23">
        <v>0.93</v>
      </c>
      <c r="M248" s="23">
        <v>0.16420000000000001</v>
      </c>
      <c r="N248" s="23">
        <v>0</v>
      </c>
      <c r="O248" s="23">
        <v>1</v>
      </c>
      <c r="P248" s="23">
        <v>1</v>
      </c>
    </row>
    <row r="249" spans="1:16" x14ac:dyDescent="0.35">
      <c r="A249" s="23">
        <v>858</v>
      </c>
      <c r="B249" s="23" t="s">
        <v>358</v>
      </c>
      <c r="C249" s="23">
        <v>1</v>
      </c>
      <c r="D249" s="23">
        <v>0</v>
      </c>
      <c r="E249" s="23">
        <v>2</v>
      </c>
      <c r="F249" s="23">
        <v>4</v>
      </c>
      <c r="G249" s="23" t="b">
        <f>FALSE()</f>
        <v>0</v>
      </c>
      <c r="H249" s="23">
        <v>2</v>
      </c>
      <c r="I249" s="23">
        <v>1</v>
      </c>
      <c r="J249" s="23">
        <v>0.26</v>
      </c>
      <c r="K249" s="23">
        <v>0.2576</v>
      </c>
      <c r="L249" s="23">
        <v>0.93</v>
      </c>
      <c r="M249" s="23">
        <v>0.16420000000000001</v>
      </c>
      <c r="N249" s="23">
        <v>0</v>
      </c>
      <c r="O249" s="23">
        <v>3</v>
      </c>
      <c r="P249" s="23">
        <v>3</v>
      </c>
    </row>
    <row r="250" spans="1:16" x14ac:dyDescent="0.35">
      <c r="A250" s="23">
        <v>859</v>
      </c>
      <c r="B250" s="23" t="s">
        <v>358</v>
      </c>
      <c r="C250" s="23">
        <v>1</v>
      </c>
      <c r="D250" s="23">
        <v>0</v>
      </c>
      <c r="E250" s="23">
        <v>2</v>
      </c>
      <c r="F250" s="23">
        <v>5</v>
      </c>
      <c r="G250" s="23" t="b">
        <f>FALSE()</f>
        <v>0</v>
      </c>
      <c r="H250" s="23">
        <v>2</v>
      </c>
      <c r="I250" s="23">
        <v>1</v>
      </c>
      <c r="J250" s="23">
        <v>0.26</v>
      </c>
      <c r="K250" s="23">
        <v>0.2273</v>
      </c>
      <c r="L250" s="23">
        <v>0.81</v>
      </c>
      <c r="M250" s="23">
        <v>0.32840000000000003</v>
      </c>
      <c r="N250" s="23">
        <v>0</v>
      </c>
      <c r="O250" s="23">
        <v>2</v>
      </c>
      <c r="P250" s="23">
        <v>2</v>
      </c>
    </row>
    <row r="251" spans="1:16" x14ac:dyDescent="0.35">
      <c r="A251" s="23">
        <v>860</v>
      </c>
      <c r="B251" s="23" t="s">
        <v>358</v>
      </c>
      <c r="C251" s="23">
        <v>1</v>
      </c>
      <c r="D251" s="23">
        <v>0</v>
      </c>
      <c r="E251" s="23">
        <v>2</v>
      </c>
      <c r="F251" s="23">
        <v>6</v>
      </c>
      <c r="G251" s="23" t="b">
        <f>FALSE()</f>
        <v>0</v>
      </c>
      <c r="H251" s="23">
        <v>2</v>
      </c>
      <c r="I251" s="23">
        <v>1</v>
      </c>
      <c r="J251" s="23">
        <v>0.26</v>
      </c>
      <c r="K251" s="23">
        <v>0.2273</v>
      </c>
      <c r="L251" s="23">
        <v>0.7</v>
      </c>
      <c r="M251" s="23">
        <v>0.32840000000000003</v>
      </c>
      <c r="N251" s="23">
        <v>0</v>
      </c>
      <c r="O251" s="23">
        <v>39</v>
      </c>
      <c r="P251" s="23">
        <v>39</v>
      </c>
    </row>
    <row r="252" spans="1:16" x14ac:dyDescent="0.35">
      <c r="A252" s="23">
        <v>861</v>
      </c>
      <c r="B252" s="23" t="s">
        <v>358</v>
      </c>
      <c r="C252" s="23">
        <v>1</v>
      </c>
      <c r="D252" s="23">
        <v>0</v>
      </c>
      <c r="E252" s="23">
        <v>2</v>
      </c>
      <c r="F252" s="23">
        <v>7</v>
      </c>
      <c r="G252" s="23" t="b">
        <f>FALSE()</f>
        <v>0</v>
      </c>
      <c r="H252" s="23">
        <v>2</v>
      </c>
      <c r="I252" s="23">
        <v>1</v>
      </c>
      <c r="J252" s="23">
        <v>0.24</v>
      </c>
      <c r="K252" s="23">
        <v>0.19700000000000001</v>
      </c>
      <c r="L252" s="23">
        <v>0.65</v>
      </c>
      <c r="M252" s="23">
        <v>0.41789999999999999</v>
      </c>
      <c r="N252" s="23">
        <v>3</v>
      </c>
      <c r="O252" s="23">
        <v>97</v>
      </c>
      <c r="P252" s="23">
        <v>100</v>
      </c>
    </row>
    <row r="253" spans="1:16" x14ac:dyDescent="0.35">
      <c r="A253" s="23">
        <v>862</v>
      </c>
      <c r="B253" s="23" t="s">
        <v>358</v>
      </c>
      <c r="C253" s="23">
        <v>1</v>
      </c>
      <c r="D253" s="23">
        <v>0</v>
      </c>
      <c r="E253" s="23">
        <v>2</v>
      </c>
      <c r="F253" s="23">
        <v>8</v>
      </c>
      <c r="G253" s="23" t="b">
        <f>FALSE()</f>
        <v>0</v>
      </c>
      <c r="H253" s="23">
        <v>2</v>
      </c>
      <c r="I253" s="23">
        <v>1</v>
      </c>
      <c r="J253" s="23">
        <v>0.24</v>
      </c>
      <c r="K253" s="23">
        <v>0.19700000000000001</v>
      </c>
      <c r="L253" s="23">
        <v>0.56000000000000005</v>
      </c>
      <c r="M253" s="23">
        <v>0.49249999999999999</v>
      </c>
      <c r="N253" s="23">
        <v>7</v>
      </c>
      <c r="O253" s="23">
        <v>236</v>
      </c>
      <c r="P253" s="23">
        <v>243</v>
      </c>
    </row>
    <row r="254" spans="1:16" x14ac:dyDescent="0.35">
      <c r="A254" s="23">
        <v>863</v>
      </c>
      <c r="B254" s="23" t="s">
        <v>358</v>
      </c>
      <c r="C254" s="23">
        <v>1</v>
      </c>
      <c r="D254" s="23">
        <v>0</v>
      </c>
      <c r="E254" s="23">
        <v>2</v>
      </c>
      <c r="F254" s="23">
        <v>9</v>
      </c>
      <c r="G254" s="23" t="b">
        <f>FALSE()</f>
        <v>0</v>
      </c>
      <c r="H254" s="23">
        <v>2</v>
      </c>
      <c r="I254" s="23">
        <v>1</v>
      </c>
      <c r="J254" s="23">
        <v>0.24</v>
      </c>
      <c r="K254" s="23">
        <v>0.19700000000000001</v>
      </c>
      <c r="L254" s="23">
        <v>0.52</v>
      </c>
      <c r="M254" s="23">
        <v>0.49249999999999999</v>
      </c>
      <c r="N254" s="23">
        <v>7</v>
      </c>
      <c r="O254" s="23">
        <v>128</v>
      </c>
      <c r="P254" s="23">
        <v>135</v>
      </c>
    </row>
    <row r="255" spans="1:16" x14ac:dyDescent="0.35">
      <c r="A255" s="23">
        <v>864</v>
      </c>
      <c r="B255" s="23" t="s">
        <v>358</v>
      </c>
      <c r="C255" s="23">
        <v>1</v>
      </c>
      <c r="D255" s="23">
        <v>0</v>
      </c>
      <c r="E255" s="23">
        <v>2</v>
      </c>
      <c r="F255" s="23">
        <v>10</v>
      </c>
      <c r="G255" s="23" t="b">
        <f>FALSE()</f>
        <v>0</v>
      </c>
      <c r="H255" s="23">
        <v>2</v>
      </c>
      <c r="I255" s="23">
        <v>1</v>
      </c>
      <c r="J255" s="23">
        <v>0.22</v>
      </c>
      <c r="K255" s="23">
        <v>0.18179999999999999</v>
      </c>
      <c r="L255" s="23">
        <v>0.47</v>
      </c>
      <c r="M255" s="23">
        <v>0.55220000000000002</v>
      </c>
      <c r="N255" s="23">
        <v>4</v>
      </c>
      <c r="O255" s="23">
        <v>44</v>
      </c>
      <c r="P255" s="23">
        <v>48</v>
      </c>
    </row>
    <row r="256" spans="1:16" x14ac:dyDescent="0.35">
      <c r="A256" s="23">
        <v>865</v>
      </c>
      <c r="B256" s="23" t="s">
        <v>358</v>
      </c>
      <c r="C256" s="23">
        <v>1</v>
      </c>
      <c r="D256" s="23">
        <v>0</v>
      </c>
      <c r="E256" s="23">
        <v>2</v>
      </c>
      <c r="F256" s="23">
        <v>11</v>
      </c>
      <c r="G256" s="23" t="b">
        <f>FALSE()</f>
        <v>0</v>
      </c>
      <c r="H256" s="23">
        <v>2</v>
      </c>
      <c r="I256" s="23">
        <v>1</v>
      </c>
      <c r="J256" s="23">
        <v>0.22</v>
      </c>
      <c r="K256" s="23">
        <v>0.18179999999999999</v>
      </c>
      <c r="L256" s="23">
        <v>0.47</v>
      </c>
      <c r="M256" s="23">
        <v>0.4627</v>
      </c>
      <c r="N256" s="23">
        <v>1</v>
      </c>
      <c r="O256" s="23">
        <v>49</v>
      </c>
      <c r="P256" s="23">
        <v>50</v>
      </c>
    </row>
    <row r="257" spans="1:16" x14ac:dyDescent="0.35">
      <c r="A257" s="23">
        <v>866</v>
      </c>
      <c r="B257" s="23" t="s">
        <v>358</v>
      </c>
      <c r="C257" s="23">
        <v>1</v>
      </c>
      <c r="D257" s="23">
        <v>0</v>
      </c>
      <c r="E257" s="23">
        <v>2</v>
      </c>
      <c r="F257" s="23">
        <v>12</v>
      </c>
      <c r="G257" s="23" t="b">
        <f>FALSE()</f>
        <v>0</v>
      </c>
      <c r="H257" s="23">
        <v>2</v>
      </c>
      <c r="I257" s="23">
        <v>1</v>
      </c>
      <c r="J257" s="23">
        <v>0.24</v>
      </c>
      <c r="K257" s="23">
        <v>0.19700000000000001</v>
      </c>
      <c r="L257" s="23">
        <v>0.38</v>
      </c>
      <c r="M257" s="23">
        <v>0.49249999999999999</v>
      </c>
      <c r="N257" s="23">
        <v>2</v>
      </c>
      <c r="O257" s="23">
        <v>63</v>
      </c>
      <c r="P257" s="23">
        <v>65</v>
      </c>
    </row>
    <row r="258" spans="1:16" x14ac:dyDescent="0.35">
      <c r="A258" s="23">
        <v>867</v>
      </c>
      <c r="B258" s="23" t="s">
        <v>358</v>
      </c>
      <c r="C258" s="23">
        <v>1</v>
      </c>
      <c r="D258" s="23">
        <v>0</v>
      </c>
      <c r="E258" s="23">
        <v>2</v>
      </c>
      <c r="F258" s="23">
        <v>13</v>
      </c>
      <c r="G258" s="23" t="b">
        <f>FALSE()</f>
        <v>0</v>
      </c>
      <c r="H258" s="23">
        <v>2</v>
      </c>
      <c r="I258" s="23">
        <v>2</v>
      </c>
      <c r="J258" s="23">
        <v>0.24</v>
      </c>
      <c r="K258" s="23">
        <v>0.19700000000000001</v>
      </c>
      <c r="L258" s="23">
        <v>0.32</v>
      </c>
      <c r="M258" s="23">
        <v>0.44779999999999998</v>
      </c>
      <c r="N258" s="23">
        <v>2</v>
      </c>
      <c r="O258" s="23">
        <v>48</v>
      </c>
      <c r="P258" s="23">
        <v>50</v>
      </c>
    </row>
    <row r="259" spans="1:16" x14ac:dyDescent="0.35">
      <c r="A259" s="23">
        <v>868</v>
      </c>
      <c r="B259" s="23" t="s">
        <v>358</v>
      </c>
      <c r="C259" s="23">
        <v>1</v>
      </c>
      <c r="D259" s="23">
        <v>0</v>
      </c>
      <c r="E259" s="23">
        <v>2</v>
      </c>
      <c r="F259" s="23">
        <v>14</v>
      </c>
      <c r="G259" s="23" t="b">
        <f>FALSE()</f>
        <v>0</v>
      </c>
      <c r="H259" s="23">
        <v>2</v>
      </c>
      <c r="I259" s="23">
        <v>1</v>
      </c>
      <c r="J259" s="23">
        <v>0.22</v>
      </c>
      <c r="K259" s="23">
        <v>0.19700000000000001</v>
      </c>
      <c r="L259" s="23">
        <v>0.37</v>
      </c>
      <c r="M259" s="23">
        <v>0.41789999999999999</v>
      </c>
      <c r="N259" s="23">
        <v>3</v>
      </c>
      <c r="O259" s="23">
        <v>61</v>
      </c>
      <c r="P259" s="23">
        <v>64</v>
      </c>
    </row>
    <row r="260" spans="1:16" x14ac:dyDescent="0.35">
      <c r="A260" s="23">
        <v>869</v>
      </c>
      <c r="B260" s="23" t="s">
        <v>358</v>
      </c>
      <c r="C260" s="23">
        <v>1</v>
      </c>
      <c r="D260" s="23">
        <v>0</v>
      </c>
      <c r="E260" s="23">
        <v>2</v>
      </c>
      <c r="F260" s="23">
        <v>15</v>
      </c>
      <c r="G260" s="23" t="b">
        <f>FALSE()</f>
        <v>0</v>
      </c>
      <c r="H260" s="23">
        <v>2</v>
      </c>
      <c r="I260" s="23">
        <v>1</v>
      </c>
      <c r="J260" s="23">
        <v>0.22</v>
      </c>
      <c r="K260" s="23">
        <v>0.19700000000000001</v>
      </c>
      <c r="L260" s="23">
        <v>0.35</v>
      </c>
      <c r="M260" s="23">
        <v>0.3881</v>
      </c>
      <c r="N260" s="23">
        <v>6</v>
      </c>
      <c r="O260" s="23">
        <v>45</v>
      </c>
      <c r="P260" s="23">
        <v>51</v>
      </c>
    </row>
    <row r="261" spans="1:16" x14ac:dyDescent="0.35">
      <c r="A261" s="23">
        <v>870</v>
      </c>
      <c r="B261" s="23" t="s">
        <v>358</v>
      </c>
      <c r="C261" s="23">
        <v>1</v>
      </c>
      <c r="D261" s="23">
        <v>0</v>
      </c>
      <c r="E261" s="23">
        <v>2</v>
      </c>
      <c r="F261" s="23">
        <v>16</v>
      </c>
      <c r="G261" s="23" t="b">
        <f>FALSE()</f>
        <v>0</v>
      </c>
      <c r="H261" s="23">
        <v>2</v>
      </c>
      <c r="I261" s="23">
        <v>1</v>
      </c>
      <c r="J261" s="23">
        <v>0.22</v>
      </c>
      <c r="K261" s="23">
        <v>0.18179999999999999</v>
      </c>
      <c r="L261" s="23">
        <v>0.35</v>
      </c>
      <c r="M261" s="23">
        <v>0.52239999999999998</v>
      </c>
      <c r="N261" s="23">
        <v>4</v>
      </c>
      <c r="O261" s="23">
        <v>79</v>
      </c>
      <c r="P261" s="23">
        <v>83</v>
      </c>
    </row>
    <row r="262" spans="1:16" x14ac:dyDescent="0.35">
      <c r="A262" s="23">
        <v>871</v>
      </c>
      <c r="B262" s="23" t="s">
        <v>358</v>
      </c>
      <c r="C262" s="23">
        <v>1</v>
      </c>
      <c r="D262" s="23">
        <v>0</v>
      </c>
      <c r="E262" s="23">
        <v>2</v>
      </c>
      <c r="F262" s="23">
        <v>17</v>
      </c>
      <c r="G262" s="23" t="b">
        <f>FALSE()</f>
        <v>0</v>
      </c>
      <c r="H262" s="23">
        <v>2</v>
      </c>
      <c r="I262" s="23">
        <v>1</v>
      </c>
      <c r="J262" s="23">
        <v>0.22</v>
      </c>
      <c r="K262" s="23">
        <v>0.18179999999999999</v>
      </c>
      <c r="L262" s="23">
        <v>0.32</v>
      </c>
      <c r="M262" s="23">
        <v>0.58209999999999995</v>
      </c>
      <c r="N262" s="23">
        <v>4</v>
      </c>
      <c r="O262" s="23">
        <v>172</v>
      </c>
      <c r="P262" s="23">
        <v>176</v>
      </c>
    </row>
    <row r="263" spans="1:16" x14ac:dyDescent="0.35">
      <c r="A263" s="23">
        <v>872</v>
      </c>
      <c r="B263" s="23" t="s">
        <v>358</v>
      </c>
      <c r="C263" s="23">
        <v>1</v>
      </c>
      <c r="D263" s="23">
        <v>0</v>
      </c>
      <c r="E263" s="23">
        <v>2</v>
      </c>
      <c r="F263" s="23">
        <v>18</v>
      </c>
      <c r="G263" s="23" t="b">
        <f>FALSE()</f>
        <v>0</v>
      </c>
      <c r="H263" s="23">
        <v>2</v>
      </c>
      <c r="I263" s="23">
        <v>1</v>
      </c>
      <c r="J263" s="23">
        <v>0.2</v>
      </c>
      <c r="K263" s="23">
        <v>0.18179999999999999</v>
      </c>
      <c r="L263" s="23">
        <v>0.32</v>
      </c>
      <c r="M263" s="23">
        <v>0.3881</v>
      </c>
      <c r="N263" s="23">
        <v>1</v>
      </c>
      <c r="O263" s="23">
        <v>151</v>
      </c>
      <c r="P263" s="23">
        <v>152</v>
      </c>
    </row>
    <row r="264" spans="1:16" x14ac:dyDescent="0.35">
      <c r="A264" s="23">
        <v>873</v>
      </c>
      <c r="B264" s="23" t="s">
        <v>358</v>
      </c>
      <c r="C264" s="23">
        <v>1</v>
      </c>
      <c r="D264" s="23">
        <v>0</v>
      </c>
      <c r="E264" s="23">
        <v>2</v>
      </c>
      <c r="F264" s="23">
        <v>19</v>
      </c>
      <c r="G264" s="23" t="b">
        <f>FALSE()</f>
        <v>0</v>
      </c>
      <c r="H264" s="23">
        <v>2</v>
      </c>
      <c r="I264" s="23">
        <v>1</v>
      </c>
      <c r="J264" s="23">
        <v>0.16</v>
      </c>
      <c r="K264" s="23">
        <v>0.1212</v>
      </c>
      <c r="L264" s="23">
        <v>0.4</v>
      </c>
      <c r="M264" s="23">
        <v>0.4627</v>
      </c>
      <c r="N264" s="23">
        <v>1</v>
      </c>
      <c r="O264" s="23">
        <v>100</v>
      </c>
      <c r="P264" s="23">
        <v>101</v>
      </c>
    </row>
    <row r="265" spans="1:16" x14ac:dyDescent="0.35">
      <c r="A265" s="23">
        <v>874</v>
      </c>
      <c r="B265" s="23" t="s">
        <v>358</v>
      </c>
      <c r="C265" s="23">
        <v>1</v>
      </c>
      <c r="D265" s="23">
        <v>0</v>
      </c>
      <c r="E265" s="23">
        <v>2</v>
      </c>
      <c r="F265" s="23">
        <v>20</v>
      </c>
      <c r="G265" s="23" t="b">
        <f>FALSE()</f>
        <v>0</v>
      </c>
      <c r="H265" s="23">
        <v>2</v>
      </c>
      <c r="I265" s="23">
        <v>1</v>
      </c>
      <c r="J265" s="23">
        <v>0.16</v>
      </c>
      <c r="K265" s="23">
        <v>0.13639999999999999</v>
      </c>
      <c r="L265" s="23">
        <v>0.4</v>
      </c>
      <c r="M265" s="23">
        <v>0.32840000000000003</v>
      </c>
      <c r="N265" s="23">
        <v>3</v>
      </c>
      <c r="O265" s="23">
        <v>53</v>
      </c>
      <c r="P265" s="23">
        <v>56</v>
      </c>
    </row>
    <row r="266" spans="1:16" x14ac:dyDescent="0.35">
      <c r="A266" s="23">
        <v>875</v>
      </c>
      <c r="B266" s="23" t="s">
        <v>358</v>
      </c>
      <c r="C266" s="23">
        <v>1</v>
      </c>
      <c r="D266" s="23">
        <v>0</v>
      </c>
      <c r="E266" s="23">
        <v>2</v>
      </c>
      <c r="F266" s="23">
        <v>21</v>
      </c>
      <c r="G266" s="23" t="b">
        <f>FALSE()</f>
        <v>0</v>
      </c>
      <c r="H266" s="23">
        <v>2</v>
      </c>
      <c r="I266" s="23">
        <v>1</v>
      </c>
      <c r="J266" s="23">
        <v>0.14000000000000001</v>
      </c>
      <c r="K266" s="23">
        <v>0.1061</v>
      </c>
      <c r="L266" s="23">
        <v>0.33</v>
      </c>
      <c r="M266" s="23">
        <v>0.4627</v>
      </c>
      <c r="N266" s="23">
        <v>8</v>
      </c>
      <c r="O266" s="23">
        <v>46</v>
      </c>
      <c r="P266" s="23">
        <v>54</v>
      </c>
    </row>
    <row r="267" spans="1:16" x14ac:dyDescent="0.35">
      <c r="A267" s="23">
        <v>876</v>
      </c>
      <c r="B267" s="23" t="s">
        <v>358</v>
      </c>
      <c r="C267" s="23">
        <v>1</v>
      </c>
      <c r="D267" s="23">
        <v>0</v>
      </c>
      <c r="E267" s="23">
        <v>2</v>
      </c>
      <c r="F267" s="23">
        <v>22</v>
      </c>
      <c r="G267" s="23" t="b">
        <f>FALSE()</f>
        <v>0</v>
      </c>
      <c r="H267" s="23">
        <v>2</v>
      </c>
      <c r="I267" s="23">
        <v>1</v>
      </c>
      <c r="J267" s="23">
        <v>0.12</v>
      </c>
      <c r="K267" s="23">
        <v>0.1061</v>
      </c>
      <c r="L267" s="23">
        <v>0.33</v>
      </c>
      <c r="M267" s="23">
        <v>0.35820000000000002</v>
      </c>
      <c r="N267" s="23">
        <v>0</v>
      </c>
      <c r="O267" s="23">
        <v>29</v>
      </c>
      <c r="P267" s="23">
        <v>29</v>
      </c>
    </row>
    <row r="268" spans="1:16" x14ac:dyDescent="0.35">
      <c r="A268" s="23">
        <v>877</v>
      </c>
      <c r="B268" s="23" t="s">
        <v>358</v>
      </c>
      <c r="C268" s="23">
        <v>1</v>
      </c>
      <c r="D268" s="23">
        <v>0</v>
      </c>
      <c r="E268" s="23">
        <v>2</v>
      </c>
      <c r="F268" s="23">
        <v>23</v>
      </c>
      <c r="G268" s="23" t="b">
        <f>FALSE()</f>
        <v>0</v>
      </c>
      <c r="H268" s="23">
        <v>2</v>
      </c>
      <c r="I268" s="23">
        <v>1</v>
      </c>
      <c r="J268" s="23">
        <v>0.12</v>
      </c>
      <c r="K268" s="23">
        <v>0.1061</v>
      </c>
      <c r="L268" s="23">
        <v>0.33</v>
      </c>
      <c r="M268" s="23">
        <v>0.32840000000000003</v>
      </c>
      <c r="N268" s="23">
        <v>3</v>
      </c>
      <c r="O268" s="23">
        <v>9</v>
      </c>
      <c r="P268" s="23">
        <v>12</v>
      </c>
    </row>
    <row r="269" spans="1:16" x14ac:dyDescent="0.35">
      <c r="A269" s="23">
        <v>878</v>
      </c>
      <c r="B269" s="23" t="s">
        <v>359</v>
      </c>
      <c r="C269" s="23">
        <v>1</v>
      </c>
      <c r="D269" s="23">
        <v>0</v>
      </c>
      <c r="E269" s="23">
        <v>2</v>
      </c>
      <c r="F269" s="23">
        <v>0</v>
      </c>
      <c r="G269" s="23" t="b">
        <f>FALSE()</f>
        <v>0</v>
      </c>
      <c r="H269" s="23">
        <v>3</v>
      </c>
      <c r="I269" s="23">
        <v>1</v>
      </c>
      <c r="J269" s="23">
        <v>0.1</v>
      </c>
      <c r="K269" s="23">
        <v>7.5800000000000006E-2</v>
      </c>
      <c r="L269" s="23">
        <v>0.36</v>
      </c>
      <c r="M269" s="23">
        <v>0.35820000000000002</v>
      </c>
      <c r="N269" s="23">
        <v>0</v>
      </c>
      <c r="O269" s="23">
        <v>17</v>
      </c>
      <c r="P269" s="23">
        <v>17</v>
      </c>
    </row>
    <row r="270" spans="1:16" x14ac:dyDescent="0.35">
      <c r="A270" s="23">
        <v>879</v>
      </c>
      <c r="B270" s="23" t="s">
        <v>359</v>
      </c>
      <c r="C270" s="23">
        <v>1</v>
      </c>
      <c r="D270" s="23">
        <v>0</v>
      </c>
      <c r="E270" s="23">
        <v>2</v>
      </c>
      <c r="F270" s="23">
        <v>1</v>
      </c>
      <c r="G270" s="23" t="b">
        <f>FALSE()</f>
        <v>0</v>
      </c>
      <c r="H270" s="23">
        <v>3</v>
      </c>
      <c r="I270" s="23">
        <v>1</v>
      </c>
      <c r="J270" s="23">
        <v>0.1</v>
      </c>
      <c r="K270" s="23">
        <v>0.1061</v>
      </c>
      <c r="L270" s="23">
        <v>0.36</v>
      </c>
      <c r="M270" s="23">
        <v>0.22389999999999999</v>
      </c>
      <c r="N270" s="23">
        <v>0</v>
      </c>
      <c r="O270" s="23">
        <v>7</v>
      </c>
      <c r="P270" s="23">
        <v>7</v>
      </c>
    </row>
    <row r="271" spans="1:16" x14ac:dyDescent="0.35">
      <c r="A271" s="23">
        <v>880</v>
      </c>
      <c r="B271" s="23" t="s">
        <v>359</v>
      </c>
      <c r="C271" s="23">
        <v>1</v>
      </c>
      <c r="D271" s="23">
        <v>0</v>
      </c>
      <c r="E271" s="23">
        <v>2</v>
      </c>
      <c r="F271" s="23">
        <v>2</v>
      </c>
      <c r="G271" s="23" t="b">
        <f>FALSE()</f>
        <v>0</v>
      </c>
      <c r="H271" s="23">
        <v>3</v>
      </c>
      <c r="I271" s="23">
        <v>1</v>
      </c>
      <c r="J271" s="23">
        <v>0.08</v>
      </c>
      <c r="K271" s="23">
        <v>7.5800000000000006E-2</v>
      </c>
      <c r="L271" s="23">
        <v>0.38</v>
      </c>
      <c r="M271" s="23">
        <v>0.28360000000000002</v>
      </c>
      <c r="N271" s="23">
        <v>1</v>
      </c>
      <c r="O271" s="23">
        <v>2</v>
      </c>
      <c r="P271" s="23">
        <v>3</v>
      </c>
    </row>
    <row r="272" spans="1:16" x14ac:dyDescent="0.35">
      <c r="A272" s="23">
        <v>881</v>
      </c>
      <c r="B272" s="23" t="s">
        <v>359</v>
      </c>
      <c r="C272" s="23">
        <v>1</v>
      </c>
      <c r="D272" s="23">
        <v>0</v>
      </c>
      <c r="E272" s="23">
        <v>2</v>
      </c>
      <c r="F272" s="23">
        <v>3</v>
      </c>
      <c r="G272" s="23" t="b">
        <f>FALSE()</f>
        <v>0</v>
      </c>
      <c r="H272" s="23">
        <v>3</v>
      </c>
      <c r="I272" s="23">
        <v>1</v>
      </c>
      <c r="J272" s="23">
        <v>0.06</v>
      </c>
      <c r="K272" s="23">
        <v>7.5800000000000006E-2</v>
      </c>
      <c r="L272" s="23">
        <v>0.45</v>
      </c>
      <c r="M272" s="23">
        <v>0.1343</v>
      </c>
      <c r="N272" s="23">
        <v>0</v>
      </c>
      <c r="O272" s="23">
        <v>2</v>
      </c>
      <c r="P272" s="23">
        <v>2</v>
      </c>
    </row>
    <row r="273" spans="1:16" x14ac:dyDescent="0.35">
      <c r="A273" s="23">
        <v>882</v>
      </c>
      <c r="B273" s="23" t="s">
        <v>359</v>
      </c>
      <c r="C273" s="23">
        <v>1</v>
      </c>
      <c r="D273" s="23">
        <v>0</v>
      </c>
      <c r="E273" s="23">
        <v>2</v>
      </c>
      <c r="F273" s="23">
        <v>5</v>
      </c>
      <c r="G273" s="23" t="b">
        <f>FALSE()</f>
        <v>0</v>
      </c>
      <c r="H273" s="23">
        <v>3</v>
      </c>
      <c r="I273" s="23">
        <v>1</v>
      </c>
      <c r="J273" s="23">
        <v>0.06</v>
      </c>
      <c r="K273" s="23">
        <v>0.1061</v>
      </c>
      <c r="L273" s="23">
        <v>0.45</v>
      </c>
      <c r="M273" s="23">
        <v>0.1045</v>
      </c>
      <c r="N273" s="23">
        <v>0</v>
      </c>
      <c r="O273" s="23">
        <v>7</v>
      </c>
      <c r="P273" s="23">
        <v>7</v>
      </c>
    </row>
    <row r="274" spans="1:16" x14ac:dyDescent="0.35">
      <c r="A274" s="23">
        <v>883</v>
      </c>
      <c r="B274" s="23" t="s">
        <v>359</v>
      </c>
      <c r="C274" s="23">
        <v>1</v>
      </c>
      <c r="D274" s="23">
        <v>0</v>
      </c>
      <c r="E274" s="23">
        <v>2</v>
      </c>
      <c r="F274" s="23">
        <v>6</v>
      </c>
      <c r="G274" s="23" t="b">
        <f>FALSE()</f>
        <v>0</v>
      </c>
      <c r="H274" s="23">
        <v>3</v>
      </c>
      <c r="I274" s="23">
        <v>1</v>
      </c>
      <c r="J274" s="23">
        <v>0.06</v>
      </c>
      <c r="K274" s="23">
        <v>0.1515</v>
      </c>
      <c r="L274" s="23">
        <v>0.45</v>
      </c>
      <c r="M274" s="23">
        <v>0</v>
      </c>
      <c r="N274" s="23">
        <v>0</v>
      </c>
      <c r="O274" s="23">
        <v>43</v>
      </c>
      <c r="P274" s="23">
        <v>43</v>
      </c>
    </row>
    <row r="275" spans="1:16" x14ac:dyDescent="0.35">
      <c r="A275" s="23">
        <v>884</v>
      </c>
      <c r="B275" s="23" t="s">
        <v>359</v>
      </c>
      <c r="C275" s="23">
        <v>1</v>
      </c>
      <c r="D275" s="23">
        <v>0</v>
      </c>
      <c r="E275" s="23">
        <v>2</v>
      </c>
      <c r="F275" s="23">
        <v>7</v>
      </c>
      <c r="G275" s="23" t="b">
        <f>FALSE()</f>
        <v>0</v>
      </c>
      <c r="H275" s="23">
        <v>3</v>
      </c>
      <c r="I275" s="23">
        <v>1</v>
      </c>
      <c r="J275" s="23">
        <v>0.06</v>
      </c>
      <c r="K275" s="23">
        <v>0.1061</v>
      </c>
      <c r="L275" s="23">
        <v>0.49</v>
      </c>
      <c r="M275" s="23">
        <v>0.1045</v>
      </c>
      <c r="N275" s="23">
        <v>4</v>
      </c>
      <c r="O275" s="23">
        <v>95</v>
      </c>
      <c r="P275" s="23">
        <v>99</v>
      </c>
    </row>
    <row r="276" spans="1:16" x14ac:dyDescent="0.35">
      <c r="A276" s="23">
        <v>885</v>
      </c>
      <c r="B276" s="23" t="s">
        <v>359</v>
      </c>
      <c r="C276" s="23">
        <v>1</v>
      </c>
      <c r="D276" s="23">
        <v>0</v>
      </c>
      <c r="E276" s="23">
        <v>2</v>
      </c>
      <c r="F276" s="23">
        <v>8</v>
      </c>
      <c r="G276" s="23" t="b">
        <f>FALSE()</f>
        <v>0</v>
      </c>
      <c r="H276" s="23">
        <v>3</v>
      </c>
      <c r="I276" s="23">
        <v>1</v>
      </c>
      <c r="J276" s="23">
        <v>0.1</v>
      </c>
      <c r="K276" s="23">
        <v>0.13639999999999999</v>
      </c>
      <c r="L276" s="23">
        <v>0.42</v>
      </c>
      <c r="M276" s="23">
        <v>0</v>
      </c>
      <c r="N276" s="23">
        <v>1</v>
      </c>
      <c r="O276" s="23">
        <v>198</v>
      </c>
      <c r="P276" s="23">
        <v>199</v>
      </c>
    </row>
    <row r="277" spans="1:16" x14ac:dyDescent="0.35">
      <c r="A277" s="23">
        <v>886</v>
      </c>
      <c r="B277" s="23" t="s">
        <v>359</v>
      </c>
      <c r="C277" s="23">
        <v>1</v>
      </c>
      <c r="D277" s="23">
        <v>0</v>
      </c>
      <c r="E277" s="23">
        <v>2</v>
      </c>
      <c r="F277" s="23">
        <v>9</v>
      </c>
      <c r="G277" s="23" t="b">
        <f>FALSE()</f>
        <v>0</v>
      </c>
      <c r="H277" s="23">
        <v>3</v>
      </c>
      <c r="I277" s="23">
        <v>1</v>
      </c>
      <c r="J277" s="23">
        <v>0.12</v>
      </c>
      <c r="K277" s="23">
        <v>0.13639999999999999</v>
      </c>
      <c r="L277" s="23">
        <v>0.39</v>
      </c>
      <c r="M277" s="23">
        <v>0.16420000000000001</v>
      </c>
      <c r="N277" s="23">
        <v>4</v>
      </c>
      <c r="O277" s="23">
        <v>119</v>
      </c>
      <c r="P277" s="23">
        <v>123</v>
      </c>
    </row>
    <row r="278" spans="1:16" x14ac:dyDescent="0.35">
      <c r="A278" s="23">
        <v>887</v>
      </c>
      <c r="B278" s="23" t="s">
        <v>359</v>
      </c>
      <c r="C278" s="23">
        <v>1</v>
      </c>
      <c r="D278" s="23">
        <v>0</v>
      </c>
      <c r="E278" s="23">
        <v>2</v>
      </c>
      <c r="F278" s="23">
        <v>10</v>
      </c>
      <c r="G278" s="23" t="b">
        <f>FALSE()</f>
        <v>0</v>
      </c>
      <c r="H278" s="23">
        <v>3</v>
      </c>
      <c r="I278" s="23">
        <v>1</v>
      </c>
      <c r="J278" s="23">
        <v>0.14000000000000001</v>
      </c>
      <c r="K278" s="23">
        <v>0.18179999999999999</v>
      </c>
      <c r="L278" s="23">
        <v>0.36</v>
      </c>
      <c r="M278" s="23">
        <v>0</v>
      </c>
      <c r="N278" s="23">
        <v>8</v>
      </c>
      <c r="O278" s="23">
        <v>51</v>
      </c>
      <c r="P278" s="23">
        <v>59</v>
      </c>
    </row>
    <row r="279" spans="1:16" x14ac:dyDescent="0.35">
      <c r="A279" s="23">
        <v>888</v>
      </c>
      <c r="B279" s="23" t="s">
        <v>359</v>
      </c>
      <c r="C279" s="23">
        <v>1</v>
      </c>
      <c r="D279" s="23">
        <v>0</v>
      </c>
      <c r="E279" s="23">
        <v>2</v>
      </c>
      <c r="F279" s="23">
        <v>11</v>
      </c>
      <c r="G279" s="23" t="b">
        <f>FALSE()</f>
        <v>0</v>
      </c>
      <c r="H279" s="23">
        <v>3</v>
      </c>
      <c r="I279" s="23">
        <v>2</v>
      </c>
      <c r="J279" s="23">
        <v>0.14000000000000001</v>
      </c>
      <c r="K279" s="23">
        <v>0.1515</v>
      </c>
      <c r="L279" s="23">
        <v>0.43</v>
      </c>
      <c r="M279" s="23">
        <v>0.16420000000000001</v>
      </c>
      <c r="N279" s="23">
        <v>1</v>
      </c>
      <c r="O279" s="23">
        <v>40</v>
      </c>
      <c r="P279" s="23">
        <v>41</v>
      </c>
    </row>
    <row r="280" spans="1:16" x14ac:dyDescent="0.35">
      <c r="A280" s="23">
        <v>889</v>
      </c>
      <c r="B280" s="23" t="s">
        <v>359</v>
      </c>
      <c r="C280" s="23">
        <v>1</v>
      </c>
      <c r="D280" s="23">
        <v>0</v>
      </c>
      <c r="E280" s="23">
        <v>2</v>
      </c>
      <c r="F280" s="23">
        <v>12</v>
      </c>
      <c r="G280" s="23" t="b">
        <f>FALSE()</f>
        <v>0</v>
      </c>
      <c r="H280" s="23">
        <v>3</v>
      </c>
      <c r="I280" s="23">
        <v>2</v>
      </c>
      <c r="J280" s="23">
        <v>0.18</v>
      </c>
      <c r="K280" s="23">
        <v>0.18179999999999999</v>
      </c>
      <c r="L280" s="23">
        <v>0.4</v>
      </c>
      <c r="M280" s="23">
        <v>0.22389999999999999</v>
      </c>
      <c r="N280" s="23">
        <v>4</v>
      </c>
      <c r="O280" s="23">
        <v>57</v>
      </c>
      <c r="P280" s="23">
        <v>61</v>
      </c>
    </row>
    <row r="281" spans="1:16" x14ac:dyDescent="0.35">
      <c r="A281" s="23">
        <v>890</v>
      </c>
      <c r="B281" s="23" t="s">
        <v>359</v>
      </c>
      <c r="C281" s="23">
        <v>1</v>
      </c>
      <c r="D281" s="23">
        <v>0</v>
      </c>
      <c r="E281" s="23">
        <v>2</v>
      </c>
      <c r="F281" s="23">
        <v>13</v>
      </c>
      <c r="G281" s="23" t="b">
        <f>FALSE()</f>
        <v>0</v>
      </c>
      <c r="H281" s="23">
        <v>3</v>
      </c>
      <c r="I281" s="23">
        <v>1</v>
      </c>
      <c r="J281" s="23">
        <v>0.18</v>
      </c>
      <c r="K281" s="23">
        <v>0.16669999999999999</v>
      </c>
      <c r="L281" s="23">
        <v>0.4</v>
      </c>
      <c r="M281" s="23">
        <v>0.25369999999999998</v>
      </c>
      <c r="N281" s="23">
        <v>2</v>
      </c>
      <c r="O281" s="23">
        <v>67</v>
      </c>
      <c r="P281" s="23">
        <v>69</v>
      </c>
    </row>
    <row r="282" spans="1:16" x14ac:dyDescent="0.35">
      <c r="A282" s="23">
        <v>891</v>
      </c>
      <c r="B282" s="23" t="s">
        <v>359</v>
      </c>
      <c r="C282" s="23">
        <v>1</v>
      </c>
      <c r="D282" s="23">
        <v>0</v>
      </c>
      <c r="E282" s="23">
        <v>2</v>
      </c>
      <c r="F282" s="23">
        <v>14</v>
      </c>
      <c r="G282" s="23" t="b">
        <f>FALSE()</f>
        <v>0</v>
      </c>
      <c r="H282" s="23">
        <v>3</v>
      </c>
      <c r="I282" s="23">
        <v>1</v>
      </c>
      <c r="J282" s="23">
        <v>0.2</v>
      </c>
      <c r="K282" s="23">
        <v>0.18179999999999999</v>
      </c>
      <c r="L282" s="23">
        <v>0.34</v>
      </c>
      <c r="M282" s="23">
        <v>0.29849999999999999</v>
      </c>
      <c r="N282" s="23">
        <v>2</v>
      </c>
      <c r="O282" s="23">
        <v>56</v>
      </c>
      <c r="P282" s="23">
        <v>58</v>
      </c>
    </row>
    <row r="283" spans="1:16" x14ac:dyDescent="0.35">
      <c r="A283" s="23">
        <v>892</v>
      </c>
      <c r="B283" s="23" t="s">
        <v>359</v>
      </c>
      <c r="C283" s="23">
        <v>1</v>
      </c>
      <c r="D283" s="23">
        <v>0</v>
      </c>
      <c r="E283" s="23">
        <v>2</v>
      </c>
      <c r="F283" s="23">
        <v>15</v>
      </c>
      <c r="G283" s="23" t="b">
        <f>FALSE()</f>
        <v>0</v>
      </c>
      <c r="H283" s="23">
        <v>3</v>
      </c>
      <c r="I283" s="23">
        <v>2</v>
      </c>
      <c r="J283" s="23">
        <v>0.2</v>
      </c>
      <c r="K283" s="23">
        <v>0.18179999999999999</v>
      </c>
      <c r="L283" s="23">
        <v>0.34</v>
      </c>
      <c r="M283" s="23">
        <v>0.28360000000000002</v>
      </c>
      <c r="N283" s="23">
        <v>3</v>
      </c>
      <c r="O283" s="23">
        <v>61</v>
      </c>
      <c r="P283" s="23">
        <v>64</v>
      </c>
    </row>
    <row r="284" spans="1:16" x14ac:dyDescent="0.35">
      <c r="A284" s="23">
        <v>893</v>
      </c>
      <c r="B284" s="23" t="s">
        <v>359</v>
      </c>
      <c r="C284" s="23">
        <v>1</v>
      </c>
      <c r="D284" s="23">
        <v>0</v>
      </c>
      <c r="E284" s="23">
        <v>2</v>
      </c>
      <c r="F284" s="23">
        <v>16</v>
      </c>
      <c r="G284" s="23" t="b">
        <f>FALSE()</f>
        <v>0</v>
      </c>
      <c r="H284" s="23">
        <v>3</v>
      </c>
      <c r="I284" s="23">
        <v>2</v>
      </c>
      <c r="J284" s="23">
        <v>0.2</v>
      </c>
      <c r="K284" s="23">
        <v>0.19700000000000001</v>
      </c>
      <c r="L284" s="23">
        <v>0.37</v>
      </c>
      <c r="M284" s="23">
        <v>0.25369999999999998</v>
      </c>
      <c r="N284" s="23">
        <v>7</v>
      </c>
      <c r="O284" s="23">
        <v>72</v>
      </c>
      <c r="P284" s="23">
        <v>79</v>
      </c>
    </row>
    <row r="285" spans="1:16" x14ac:dyDescent="0.35">
      <c r="A285" s="23">
        <v>894</v>
      </c>
      <c r="B285" s="23" t="s">
        <v>359</v>
      </c>
      <c r="C285" s="23">
        <v>1</v>
      </c>
      <c r="D285" s="23">
        <v>0</v>
      </c>
      <c r="E285" s="23">
        <v>2</v>
      </c>
      <c r="F285" s="23">
        <v>17</v>
      </c>
      <c r="G285" s="23" t="b">
        <f>FALSE()</f>
        <v>0</v>
      </c>
      <c r="H285" s="23">
        <v>3</v>
      </c>
      <c r="I285" s="23">
        <v>2</v>
      </c>
      <c r="J285" s="23">
        <v>0.2</v>
      </c>
      <c r="K285" s="23">
        <v>0.19700000000000001</v>
      </c>
      <c r="L285" s="23">
        <v>0.34</v>
      </c>
      <c r="M285" s="23">
        <v>0.25369999999999998</v>
      </c>
      <c r="N285" s="23">
        <v>9</v>
      </c>
      <c r="O285" s="23">
        <v>157</v>
      </c>
      <c r="P285" s="23">
        <v>166</v>
      </c>
    </row>
    <row r="286" spans="1:16" x14ac:dyDescent="0.35">
      <c r="A286" s="23">
        <v>895</v>
      </c>
      <c r="B286" s="23" t="s">
        <v>359</v>
      </c>
      <c r="C286" s="23">
        <v>1</v>
      </c>
      <c r="D286" s="23">
        <v>0</v>
      </c>
      <c r="E286" s="23">
        <v>2</v>
      </c>
      <c r="F286" s="23">
        <v>18</v>
      </c>
      <c r="G286" s="23" t="b">
        <f>FALSE()</f>
        <v>0</v>
      </c>
      <c r="H286" s="23">
        <v>3</v>
      </c>
      <c r="I286" s="23">
        <v>2</v>
      </c>
      <c r="J286" s="23">
        <v>0.18</v>
      </c>
      <c r="K286" s="23">
        <v>0.16669999999999999</v>
      </c>
      <c r="L286" s="23">
        <v>0.47</v>
      </c>
      <c r="M286" s="23">
        <v>0.29849999999999999</v>
      </c>
      <c r="N286" s="23">
        <v>2</v>
      </c>
      <c r="O286" s="23">
        <v>168</v>
      </c>
      <c r="P286" s="23">
        <v>170</v>
      </c>
    </row>
    <row r="287" spans="1:16" x14ac:dyDescent="0.35">
      <c r="A287" s="23">
        <v>896</v>
      </c>
      <c r="B287" s="23" t="s">
        <v>359</v>
      </c>
      <c r="C287" s="23">
        <v>1</v>
      </c>
      <c r="D287" s="23">
        <v>0</v>
      </c>
      <c r="E287" s="23">
        <v>2</v>
      </c>
      <c r="F287" s="23">
        <v>19</v>
      </c>
      <c r="G287" s="23" t="b">
        <f>FALSE()</f>
        <v>0</v>
      </c>
      <c r="H287" s="23">
        <v>3</v>
      </c>
      <c r="I287" s="23">
        <v>3</v>
      </c>
      <c r="J287" s="23">
        <v>0.14000000000000001</v>
      </c>
      <c r="K287" s="23">
        <v>0.1212</v>
      </c>
      <c r="L287" s="23">
        <v>0.86</v>
      </c>
      <c r="M287" s="23">
        <v>0.25369999999999998</v>
      </c>
      <c r="N287" s="23">
        <v>1</v>
      </c>
      <c r="O287" s="23">
        <v>87</v>
      </c>
      <c r="P287" s="23">
        <v>88</v>
      </c>
    </row>
    <row r="288" spans="1:16" x14ac:dyDescent="0.35">
      <c r="A288" s="23">
        <v>897</v>
      </c>
      <c r="B288" s="23" t="s">
        <v>359</v>
      </c>
      <c r="C288" s="23">
        <v>1</v>
      </c>
      <c r="D288" s="23">
        <v>0</v>
      </c>
      <c r="E288" s="23">
        <v>2</v>
      </c>
      <c r="F288" s="23">
        <v>20</v>
      </c>
      <c r="G288" s="23" t="b">
        <f>FALSE()</f>
        <v>0</v>
      </c>
      <c r="H288" s="23">
        <v>3</v>
      </c>
      <c r="I288" s="23">
        <v>3</v>
      </c>
      <c r="J288" s="23">
        <v>0.14000000000000001</v>
      </c>
      <c r="K288" s="23">
        <v>0.1515</v>
      </c>
      <c r="L288" s="23">
        <v>0.86</v>
      </c>
      <c r="M288" s="23">
        <v>0.16420000000000001</v>
      </c>
      <c r="N288" s="23">
        <v>0</v>
      </c>
      <c r="O288" s="23">
        <v>84</v>
      </c>
      <c r="P288" s="23">
        <v>84</v>
      </c>
    </row>
    <row r="289" spans="1:16" x14ac:dyDescent="0.35">
      <c r="A289" s="23">
        <v>898</v>
      </c>
      <c r="B289" s="23" t="s">
        <v>359</v>
      </c>
      <c r="C289" s="23">
        <v>1</v>
      </c>
      <c r="D289" s="23">
        <v>0</v>
      </c>
      <c r="E289" s="23">
        <v>2</v>
      </c>
      <c r="F289" s="23">
        <v>21</v>
      </c>
      <c r="G289" s="23" t="b">
        <f>FALSE()</f>
        <v>0</v>
      </c>
      <c r="H289" s="23">
        <v>3</v>
      </c>
      <c r="I289" s="23">
        <v>2</v>
      </c>
      <c r="J289" s="23">
        <v>0.14000000000000001</v>
      </c>
      <c r="K289" s="23">
        <v>0.1515</v>
      </c>
      <c r="L289" s="23">
        <v>0.86</v>
      </c>
      <c r="M289" s="23">
        <v>0.16420000000000001</v>
      </c>
      <c r="N289" s="23">
        <v>0</v>
      </c>
      <c r="O289" s="23">
        <v>83</v>
      </c>
      <c r="P289" s="23">
        <v>83</v>
      </c>
    </row>
    <row r="290" spans="1:16" x14ac:dyDescent="0.35">
      <c r="A290" s="23">
        <v>899</v>
      </c>
      <c r="B290" s="23" t="s">
        <v>359</v>
      </c>
      <c r="C290" s="23">
        <v>1</v>
      </c>
      <c r="D290" s="23">
        <v>0</v>
      </c>
      <c r="E290" s="23">
        <v>2</v>
      </c>
      <c r="F290" s="23">
        <v>22</v>
      </c>
      <c r="G290" s="23" t="b">
        <f>FALSE()</f>
        <v>0</v>
      </c>
      <c r="H290" s="23">
        <v>3</v>
      </c>
      <c r="I290" s="23">
        <v>3</v>
      </c>
      <c r="J290" s="23">
        <v>0.16</v>
      </c>
      <c r="K290" s="23">
        <v>0.16669999999999999</v>
      </c>
      <c r="L290" s="23">
        <v>0.8</v>
      </c>
      <c r="M290" s="23">
        <v>0.16420000000000001</v>
      </c>
      <c r="N290" s="23">
        <v>4</v>
      </c>
      <c r="O290" s="23">
        <v>42</v>
      </c>
      <c r="P290" s="23">
        <v>46</v>
      </c>
    </row>
    <row r="291" spans="1:16" x14ac:dyDescent="0.35">
      <c r="A291" s="23">
        <v>900</v>
      </c>
      <c r="B291" s="23" t="s">
        <v>359</v>
      </c>
      <c r="C291" s="23">
        <v>1</v>
      </c>
      <c r="D291" s="23">
        <v>0</v>
      </c>
      <c r="E291" s="23">
        <v>2</v>
      </c>
      <c r="F291" s="23">
        <v>23</v>
      </c>
      <c r="G291" s="23" t="b">
        <f>FALSE()</f>
        <v>0</v>
      </c>
      <c r="H291" s="23">
        <v>3</v>
      </c>
      <c r="I291" s="23">
        <v>3</v>
      </c>
      <c r="J291" s="23">
        <v>0.16</v>
      </c>
      <c r="K291" s="23">
        <v>0.1515</v>
      </c>
      <c r="L291" s="23">
        <v>0.8</v>
      </c>
      <c r="M291" s="23">
        <v>0.19400000000000001</v>
      </c>
      <c r="N291" s="23">
        <v>0</v>
      </c>
      <c r="O291" s="23">
        <v>37</v>
      </c>
      <c r="P291" s="23">
        <v>37</v>
      </c>
    </row>
    <row r="292" spans="1:16" x14ac:dyDescent="0.35">
      <c r="A292" s="23">
        <v>901</v>
      </c>
      <c r="B292" s="23" t="s">
        <v>360</v>
      </c>
      <c r="C292" s="23">
        <v>1</v>
      </c>
      <c r="D292" s="23">
        <v>0</v>
      </c>
      <c r="E292" s="23">
        <v>2</v>
      </c>
      <c r="F292" s="23">
        <v>0</v>
      </c>
      <c r="G292" s="23" t="b">
        <f>FALSE()</f>
        <v>0</v>
      </c>
      <c r="H292" s="23">
        <v>4</v>
      </c>
      <c r="I292" s="23">
        <v>3</v>
      </c>
      <c r="J292" s="23">
        <v>0.14000000000000001</v>
      </c>
      <c r="K292" s="23">
        <v>0.13639999999999999</v>
      </c>
      <c r="L292" s="23">
        <v>0.86</v>
      </c>
      <c r="M292" s="23">
        <v>0.19400000000000001</v>
      </c>
      <c r="N292" s="23">
        <v>0</v>
      </c>
      <c r="O292" s="23">
        <v>16</v>
      </c>
      <c r="P292" s="23">
        <v>16</v>
      </c>
    </row>
    <row r="293" spans="1:16" x14ac:dyDescent="0.35">
      <c r="A293" s="23">
        <v>902</v>
      </c>
      <c r="B293" s="23" t="s">
        <v>360</v>
      </c>
      <c r="C293" s="23">
        <v>1</v>
      </c>
      <c r="D293" s="23">
        <v>0</v>
      </c>
      <c r="E293" s="23">
        <v>2</v>
      </c>
      <c r="F293" s="23">
        <v>1</v>
      </c>
      <c r="G293" s="23" t="b">
        <f>FALSE()</f>
        <v>0</v>
      </c>
      <c r="H293" s="23">
        <v>4</v>
      </c>
      <c r="I293" s="23">
        <v>3</v>
      </c>
      <c r="J293" s="23">
        <v>0.14000000000000001</v>
      </c>
      <c r="K293" s="23">
        <v>0.1515</v>
      </c>
      <c r="L293" s="23">
        <v>0.8</v>
      </c>
      <c r="M293" s="23">
        <v>0.1343</v>
      </c>
      <c r="N293" s="23">
        <v>0</v>
      </c>
      <c r="O293" s="23">
        <v>7</v>
      </c>
      <c r="P293" s="23">
        <v>7</v>
      </c>
    </row>
    <row r="294" spans="1:16" x14ac:dyDescent="0.35">
      <c r="A294" s="23">
        <v>903</v>
      </c>
      <c r="B294" s="23" t="s">
        <v>360</v>
      </c>
      <c r="C294" s="23">
        <v>1</v>
      </c>
      <c r="D294" s="23">
        <v>0</v>
      </c>
      <c r="E294" s="23">
        <v>2</v>
      </c>
      <c r="F294" s="23">
        <v>2</v>
      </c>
      <c r="G294" s="23" t="b">
        <f>FALSE()</f>
        <v>0</v>
      </c>
      <c r="H294" s="23">
        <v>4</v>
      </c>
      <c r="I294" s="23">
        <v>3</v>
      </c>
      <c r="J294" s="23">
        <v>0.14000000000000001</v>
      </c>
      <c r="K294" s="23">
        <v>0.1515</v>
      </c>
      <c r="L294" s="23">
        <v>0.8</v>
      </c>
      <c r="M294" s="23">
        <v>0.1343</v>
      </c>
      <c r="N294" s="23">
        <v>0</v>
      </c>
      <c r="O294" s="23">
        <v>3</v>
      </c>
      <c r="P294" s="23">
        <v>3</v>
      </c>
    </row>
    <row r="295" spans="1:16" x14ac:dyDescent="0.35">
      <c r="A295" s="23">
        <v>904</v>
      </c>
      <c r="B295" s="23" t="s">
        <v>360</v>
      </c>
      <c r="C295" s="23">
        <v>1</v>
      </c>
      <c r="D295" s="23">
        <v>0</v>
      </c>
      <c r="E295" s="23">
        <v>2</v>
      </c>
      <c r="F295" s="23">
        <v>4</v>
      </c>
      <c r="G295" s="23" t="b">
        <f>FALSE()</f>
        <v>0</v>
      </c>
      <c r="H295" s="23">
        <v>4</v>
      </c>
      <c r="I295" s="23">
        <v>2</v>
      </c>
      <c r="J295" s="23">
        <v>0.14000000000000001</v>
      </c>
      <c r="K295" s="23">
        <v>0.13639999999999999</v>
      </c>
      <c r="L295" s="23">
        <v>0.59</v>
      </c>
      <c r="M295" s="23">
        <v>0.22389999999999999</v>
      </c>
      <c r="N295" s="23">
        <v>0</v>
      </c>
      <c r="O295" s="23">
        <v>1</v>
      </c>
      <c r="P295" s="23">
        <v>1</v>
      </c>
    </row>
    <row r="296" spans="1:16" x14ac:dyDescent="0.35">
      <c r="A296" s="23">
        <v>905</v>
      </c>
      <c r="B296" s="23" t="s">
        <v>360</v>
      </c>
      <c r="C296" s="23">
        <v>1</v>
      </c>
      <c r="D296" s="23">
        <v>0</v>
      </c>
      <c r="E296" s="23">
        <v>2</v>
      </c>
      <c r="F296" s="23">
        <v>5</v>
      </c>
      <c r="G296" s="23" t="b">
        <f>FALSE()</f>
        <v>0</v>
      </c>
      <c r="H296" s="23">
        <v>4</v>
      </c>
      <c r="I296" s="23">
        <v>2</v>
      </c>
      <c r="J296" s="23">
        <v>0.12</v>
      </c>
      <c r="K296" s="23">
        <v>0.1212</v>
      </c>
      <c r="L296" s="23">
        <v>0.5</v>
      </c>
      <c r="M296" s="23">
        <v>0.22389999999999999</v>
      </c>
      <c r="N296" s="23">
        <v>0</v>
      </c>
      <c r="O296" s="23">
        <v>6</v>
      </c>
      <c r="P296" s="23">
        <v>6</v>
      </c>
    </row>
    <row r="297" spans="1:16" x14ac:dyDescent="0.35">
      <c r="A297" s="23">
        <v>906</v>
      </c>
      <c r="B297" s="23" t="s">
        <v>360</v>
      </c>
      <c r="C297" s="23">
        <v>1</v>
      </c>
      <c r="D297" s="23">
        <v>0</v>
      </c>
      <c r="E297" s="23">
        <v>2</v>
      </c>
      <c r="F297" s="23">
        <v>6</v>
      </c>
      <c r="G297" s="23" t="b">
        <f>FALSE()</f>
        <v>0</v>
      </c>
      <c r="H297" s="23">
        <v>4</v>
      </c>
      <c r="I297" s="23">
        <v>2</v>
      </c>
      <c r="J297" s="23">
        <v>0.12</v>
      </c>
      <c r="K297" s="23">
        <v>0.1212</v>
      </c>
      <c r="L297" s="23">
        <v>0.54</v>
      </c>
      <c r="M297" s="23">
        <v>0.28360000000000002</v>
      </c>
      <c r="N297" s="23">
        <v>0</v>
      </c>
      <c r="O297" s="23">
        <v>26</v>
      </c>
      <c r="P297" s="23">
        <v>26</v>
      </c>
    </row>
    <row r="298" spans="1:16" x14ac:dyDescent="0.35">
      <c r="A298" s="23">
        <v>907</v>
      </c>
      <c r="B298" s="23" t="s">
        <v>360</v>
      </c>
      <c r="C298" s="23">
        <v>1</v>
      </c>
      <c r="D298" s="23">
        <v>0</v>
      </c>
      <c r="E298" s="23">
        <v>2</v>
      </c>
      <c r="F298" s="23">
        <v>7</v>
      </c>
      <c r="G298" s="23" t="b">
        <f>FALSE()</f>
        <v>0</v>
      </c>
      <c r="H298" s="23">
        <v>4</v>
      </c>
      <c r="I298" s="23">
        <v>1</v>
      </c>
      <c r="J298" s="23">
        <v>0.1</v>
      </c>
      <c r="K298" s="23">
        <v>7.5800000000000006E-2</v>
      </c>
      <c r="L298" s="23">
        <v>0.5</v>
      </c>
      <c r="M298" s="23">
        <v>0.41789999999999999</v>
      </c>
      <c r="N298" s="23">
        <v>0</v>
      </c>
      <c r="O298" s="23">
        <v>99</v>
      </c>
      <c r="P298" s="23">
        <v>99</v>
      </c>
    </row>
    <row r="299" spans="1:16" x14ac:dyDescent="0.35">
      <c r="A299" s="23">
        <v>908</v>
      </c>
      <c r="B299" s="23" t="s">
        <v>360</v>
      </c>
      <c r="C299" s="23">
        <v>1</v>
      </c>
      <c r="D299" s="23">
        <v>0</v>
      </c>
      <c r="E299" s="23">
        <v>2</v>
      </c>
      <c r="F299" s="23">
        <v>8</v>
      </c>
      <c r="G299" s="23" t="b">
        <f>FALSE()</f>
        <v>0</v>
      </c>
      <c r="H299" s="23">
        <v>4</v>
      </c>
      <c r="I299" s="23">
        <v>1</v>
      </c>
      <c r="J299" s="23">
        <v>0.1</v>
      </c>
      <c r="K299" s="23">
        <v>7.5800000000000006E-2</v>
      </c>
      <c r="L299" s="23">
        <v>0.49</v>
      </c>
      <c r="M299" s="23">
        <v>0.32840000000000003</v>
      </c>
      <c r="N299" s="23">
        <v>5</v>
      </c>
      <c r="O299" s="23">
        <v>173</v>
      </c>
      <c r="P299" s="23">
        <v>178</v>
      </c>
    </row>
    <row r="300" spans="1:16" x14ac:dyDescent="0.35">
      <c r="A300" s="23">
        <v>909</v>
      </c>
      <c r="B300" s="23" t="s">
        <v>360</v>
      </c>
      <c r="C300" s="23">
        <v>1</v>
      </c>
      <c r="D300" s="23">
        <v>0</v>
      </c>
      <c r="E300" s="23">
        <v>2</v>
      </c>
      <c r="F300" s="23">
        <v>9</v>
      </c>
      <c r="G300" s="23" t="b">
        <f>FALSE()</f>
        <v>0</v>
      </c>
      <c r="H300" s="23">
        <v>4</v>
      </c>
      <c r="I300" s="23">
        <v>1</v>
      </c>
      <c r="J300" s="23">
        <v>0.12</v>
      </c>
      <c r="K300" s="23">
        <v>0.1061</v>
      </c>
      <c r="L300" s="23">
        <v>0.42</v>
      </c>
      <c r="M300" s="23">
        <v>0.35820000000000002</v>
      </c>
      <c r="N300" s="23">
        <v>1</v>
      </c>
      <c r="O300" s="23">
        <v>121</v>
      </c>
      <c r="P300" s="23">
        <v>122</v>
      </c>
    </row>
    <row r="301" spans="1:16" x14ac:dyDescent="0.35">
      <c r="A301" s="23">
        <v>910</v>
      </c>
      <c r="B301" s="23" t="s">
        <v>360</v>
      </c>
      <c r="C301" s="23">
        <v>1</v>
      </c>
      <c r="D301" s="23">
        <v>0</v>
      </c>
      <c r="E301" s="23">
        <v>2</v>
      </c>
      <c r="F301" s="23">
        <v>10</v>
      </c>
      <c r="G301" s="23" t="b">
        <f>FALSE()</f>
        <v>0</v>
      </c>
      <c r="H301" s="23">
        <v>4</v>
      </c>
      <c r="I301" s="23">
        <v>1</v>
      </c>
      <c r="J301" s="23">
        <v>0.12</v>
      </c>
      <c r="K301" s="23">
        <v>0.1061</v>
      </c>
      <c r="L301" s="23">
        <v>0.42</v>
      </c>
      <c r="M301" s="23">
        <v>0.29849999999999999</v>
      </c>
      <c r="N301" s="23">
        <v>1</v>
      </c>
      <c r="O301" s="23">
        <v>34</v>
      </c>
      <c r="P301" s="23">
        <v>35</v>
      </c>
    </row>
    <row r="302" spans="1:16" x14ac:dyDescent="0.35">
      <c r="A302" s="23">
        <v>911</v>
      </c>
      <c r="B302" s="23" t="s">
        <v>360</v>
      </c>
      <c r="C302" s="23">
        <v>1</v>
      </c>
      <c r="D302" s="23">
        <v>0</v>
      </c>
      <c r="E302" s="23">
        <v>2</v>
      </c>
      <c r="F302" s="23">
        <v>11</v>
      </c>
      <c r="G302" s="23" t="b">
        <f>FALSE()</f>
        <v>0</v>
      </c>
      <c r="H302" s="23">
        <v>4</v>
      </c>
      <c r="I302" s="23">
        <v>1</v>
      </c>
      <c r="J302" s="23">
        <v>0.14000000000000001</v>
      </c>
      <c r="K302" s="23">
        <v>0.1212</v>
      </c>
      <c r="L302" s="23">
        <v>0.39</v>
      </c>
      <c r="M302" s="23">
        <v>0.35820000000000002</v>
      </c>
      <c r="N302" s="23">
        <v>1</v>
      </c>
      <c r="O302" s="23">
        <v>44</v>
      </c>
      <c r="P302" s="23">
        <v>45</v>
      </c>
    </row>
    <row r="303" spans="1:16" x14ac:dyDescent="0.35">
      <c r="A303" s="23">
        <v>912</v>
      </c>
      <c r="B303" s="23" t="s">
        <v>360</v>
      </c>
      <c r="C303" s="23">
        <v>1</v>
      </c>
      <c r="D303" s="23">
        <v>0</v>
      </c>
      <c r="E303" s="23">
        <v>2</v>
      </c>
      <c r="F303" s="23">
        <v>12</v>
      </c>
      <c r="G303" s="23" t="b">
        <f>FALSE()</f>
        <v>0</v>
      </c>
      <c r="H303" s="23">
        <v>4</v>
      </c>
      <c r="I303" s="23">
        <v>1</v>
      </c>
      <c r="J303" s="23">
        <v>0.16</v>
      </c>
      <c r="K303" s="23">
        <v>0.13639999999999999</v>
      </c>
      <c r="L303" s="23">
        <v>0.34</v>
      </c>
      <c r="M303" s="23">
        <v>0.3881</v>
      </c>
      <c r="N303" s="23">
        <v>4</v>
      </c>
      <c r="O303" s="23">
        <v>65</v>
      </c>
      <c r="P303" s="23">
        <v>69</v>
      </c>
    </row>
    <row r="304" spans="1:16" x14ac:dyDescent="0.35">
      <c r="A304" s="23">
        <v>913</v>
      </c>
      <c r="B304" s="23" t="s">
        <v>360</v>
      </c>
      <c r="C304" s="23">
        <v>1</v>
      </c>
      <c r="D304" s="23">
        <v>0</v>
      </c>
      <c r="E304" s="23">
        <v>2</v>
      </c>
      <c r="F304" s="23">
        <v>13</v>
      </c>
      <c r="G304" s="23" t="b">
        <f>FALSE()</f>
        <v>0</v>
      </c>
      <c r="H304" s="23">
        <v>4</v>
      </c>
      <c r="I304" s="23">
        <v>1</v>
      </c>
      <c r="J304" s="23">
        <v>0.18</v>
      </c>
      <c r="K304" s="23">
        <v>0.16669999999999999</v>
      </c>
      <c r="L304" s="23">
        <v>0.28999999999999998</v>
      </c>
      <c r="M304" s="23">
        <v>0.29849999999999999</v>
      </c>
      <c r="N304" s="23">
        <v>3</v>
      </c>
      <c r="O304" s="23">
        <v>59</v>
      </c>
      <c r="P304" s="23">
        <v>62</v>
      </c>
    </row>
    <row r="305" spans="1:16" x14ac:dyDescent="0.35">
      <c r="A305" s="23">
        <v>914</v>
      </c>
      <c r="B305" s="23" t="s">
        <v>360</v>
      </c>
      <c r="C305" s="23">
        <v>1</v>
      </c>
      <c r="D305" s="23">
        <v>0</v>
      </c>
      <c r="E305" s="23">
        <v>2</v>
      </c>
      <c r="F305" s="23">
        <v>14</v>
      </c>
      <c r="G305" s="23" t="b">
        <f>FALSE()</f>
        <v>0</v>
      </c>
      <c r="H305" s="23">
        <v>4</v>
      </c>
      <c r="I305" s="23">
        <v>1</v>
      </c>
      <c r="J305" s="23">
        <v>0.2</v>
      </c>
      <c r="K305" s="23">
        <v>0.18179999999999999</v>
      </c>
      <c r="L305" s="23">
        <v>0.27</v>
      </c>
      <c r="M305" s="23">
        <v>0.28360000000000002</v>
      </c>
      <c r="N305" s="23">
        <v>6</v>
      </c>
      <c r="O305" s="23">
        <v>42</v>
      </c>
      <c r="P305" s="23">
        <v>48</v>
      </c>
    </row>
    <row r="306" spans="1:16" x14ac:dyDescent="0.35">
      <c r="A306" s="23">
        <v>915</v>
      </c>
      <c r="B306" s="23" t="s">
        <v>360</v>
      </c>
      <c r="C306" s="23">
        <v>1</v>
      </c>
      <c r="D306" s="23">
        <v>0</v>
      </c>
      <c r="E306" s="23">
        <v>2</v>
      </c>
      <c r="F306" s="23">
        <v>15</v>
      </c>
      <c r="G306" s="23" t="b">
        <f>FALSE()</f>
        <v>0</v>
      </c>
      <c r="H306" s="23">
        <v>4</v>
      </c>
      <c r="I306" s="23">
        <v>1</v>
      </c>
      <c r="J306" s="23">
        <v>0.2</v>
      </c>
      <c r="K306" s="23">
        <v>0.19700000000000001</v>
      </c>
      <c r="L306" s="23">
        <v>0.25</v>
      </c>
      <c r="M306" s="23">
        <v>0.25369999999999998</v>
      </c>
      <c r="N306" s="23">
        <v>0</v>
      </c>
      <c r="O306" s="23">
        <v>50</v>
      </c>
      <c r="P306" s="23">
        <v>50</v>
      </c>
    </row>
    <row r="307" spans="1:16" x14ac:dyDescent="0.35">
      <c r="A307" s="23">
        <v>916</v>
      </c>
      <c r="B307" s="23" t="s">
        <v>360</v>
      </c>
      <c r="C307" s="23">
        <v>1</v>
      </c>
      <c r="D307" s="23">
        <v>0</v>
      </c>
      <c r="E307" s="23">
        <v>2</v>
      </c>
      <c r="F307" s="23">
        <v>16</v>
      </c>
      <c r="G307" s="23" t="b">
        <f>FALSE()</f>
        <v>0</v>
      </c>
      <c r="H307" s="23">
        <v>4</v>
      </c>
      <c r="I307" s="23">
        <v>1</v>
      </c>
      <c r="J307" s="23">
        <v>0.2</v>
      </c>
      <c r="K307" s="23">
        <v>0.18179999999999999</v>
      </c>
      <c r="L307" s="23">
        <v>0.27</v>
      </c>
      <c r="M307" s="23">
        <v>0.29849999999999999</v>
      </c>
      <c r="N307" s="23">
        <v>4</v>
      </c>
      <c r="O307" s="23">
        <v>76</v>
      </c>
      <c r="P307" s="23">
        <v>80</v>
      </c>
    </row>
    <row r="308" spans="1:16" x14ac:dyDescent="0.35">
      <c r="A308" s="23">
        <v>917</v>
      </c>
      <c r="B308" s="23" t="s">
        <v>360</v>
      </c>
      <c r="C308" s="23">
        <v>1</v>
      </c>
      <c r="D308" s="23">
        <v>0</v>
      </c>
      <c r="E308" s="23">
        <v>2</v>
      </c>
      <c r="F308" s="23">
        <v>17</v>
      </c>
      <c r="G308" s="23" t="b">
        <f>FALSE()</f>
        <v>0</v>
      </c>
      <c r="H308" s="23">
        <v>4</v>
      </c>
      <c r="I308" s="23">
        <v>1</v>
      </c>
      <c r="J308" s="23">
        <v>0.18</v>
      </c>
      <c r="K308" s="23">
        <v>0.18179999999999999</v>
      </c>
      <c r="L308" s="23">
        <v>0.26</v>
      </c>
      <c r="M308" s="23">
        <v>0.19400000000000001</v>
      </c>
      <c r="N308" s="23">
        <v>6</v>
      </c>
      <c r="O308" s="23">
        <v>159</v>
      </c>
      <c r="P308" s="23">
        <v>165</v>
      </c>
    </row>
    <row r="309" spans="1:16" x14ac:dyDescent="0.35">
      <c r="A309" s="23">
        <v>918</v>
      </c>
      <c r="B309" s="23" t="s">
        <v>360</v>
      </c>
      <c r="C309" s="23">
        <v>1</v>
      </c>
      <c r="D309" s="23">
        <v>0</v>
      </c>
      <c r="E309" s="23">
        <v>2</v>
      </c>
      <c r="F309" s="23">
        <v>18</v>
      </c>
      <c r="G309" s="23" t="b">
        <f>FALSE()</f>
        <v>0</v>
      </c>
      <c r="H309" s="23">
        <v>4</v>
      </c>
      <c r="I309" s="23">
        <v>1</v>
      </c>
      <c r="J309" s="23">
        <v>0.16</v>
      </c>
      <c r="K309" s="23">
        <v>0.18179999999999999</v>
      </c>
      <c r="L309" s="23">
        <v>0.28000000000000003</v>
      </c>
      <c r="M309" s="23">
        <v>0.1343</v>
      </c>
      <c r="N309" s="23">
        <v>3</v>
      </c>
      <c r="O309" s="23">
        <v>157</v>
      </c>
      <c r="P309" s="23">
        <v>160</v>
      </c>
    </row>
    <row r="310" spans="1:16" x14ac:dyDescent="0.35">
      <c r="A310" s="23">
        <v>919</v>
      </c>
      <c r="B310" s="23" t="s">
        <v>360</v>
      </c>
      <c r="C310" s="23">
        <v>1</v>
      </c>
      <c r="D310" s="23">
        <v>0</v>
      </c>
      <c r="E310" s="23">
        <v>2</v>
      </c>
      <c r="F310" s="23">
        <v>19</v>
      </c>
      <c r="G310" s="23" t="b">
        <f>FALSE()</f>
        <v>0</v>
      </c>
      <c r="H310" s="23">
        <v>4</v>
      </c>
      <c r="I310" s="23">
        <v>1</v>
      </c>
      <c r="J310" s="23">
        <v>0.14000000000000001</v>
      </c>
      <c r="K310" s="23">
        <v>0.16669999999999999</v>
      </c>
      <c r="L310" s="23">
        <v>0.28000000000000003</v>
      </c>
      <c r="M310" s="23">
        <v>0.1045</v>
      </c>
      <c r="N310" s="23">
        <v>2</v>
      </c>
      <c r="O310" s="23">
        <v>110</v>
      </c>
      <c r="P310" s="23">
        <v>112</v>
      </c>
    </row>
    <row r="311" spans="1:16" x14ac:dyDescent="0.35">
      <c r="A311" s="23">
        <v>920</v>
      </c>
      <c r="B311" s="23" t="s">
        <v>360</v>
      </c>
      <c r="C311" s="23">
        <v>1</v>
      </c>
      <c r="D311" s="23">
        <v>0</v>
      </c>
      <c r="E311" s="23">
        <v>2</v>
      </c>
      <c r="F311" s="23">
        <v>20</v>
      </c>
      <c r="G311" s="23" t="b">
        <f>FALSE()</f>
        <v>0</v>
      </c>
      <c r="H311" s="23">
        <v>4</v>
      </c>
      <c r="I311" s="23">
        <v>1</v>
      </c>
      <c r="J311" s="23">
        <v>0.14000000000000001</v>
      </c>
      <c r="K311" s="23">
        <v>0.18179999999999999</v>
      </c>
      <c r="L311" s="23">
        <v>0.31</v>
      </c>
      <c r="M311" s="23">
        <v>8.9599999999999999E-2</v>
      </c>
      <c r="N311" s="23">
        <v>4</v>
      </c>
      <c r="O311" s="23">
        <v>93</v>
      </c>
      <c r="P311" s="23">
        <v>97</v>
      </c>
    </row>
    <row r="312" spans="1:16" x14ac:dyDescent="0.35">
      <c r="A312" s="23">
        <v>921</v>
      </c>
      <c r="B312" s="23" t="s">
        <v>360</v>
      </c>
      <c r="C312" s="23">
        <v>1</v>
      </c>
      <c r="D312" s="23">
        <v>0</v>
      </c>
      <c r="E312" s="23">
        <v>2</v>
      </c>
      <c r="F312" s="23">
        <v>21</v>
      </c>
      <c r="G312" s="23" t="b">
        <f>FALSE()</f>
        <v>0</v>
      </c>
      <c r="H312" s="23">
        <v>4</v>
      </c>
      <c r="I312" s="23">
        <v>1</v>
      </c>
      <c r="J312" s="23">
        <v>0.14000000000000001</v>
      </c>
      <c r="K312" s="23">
        <v>0.21210000000000001</v>
      </c>
      <c r="L312" s="23">
        <v>0.39</v>
      </c>
      <c r="M312" s="23">
        <v>0</v>
      </c>
      <c r="N312" s="23">
        <v>2</v>
      </c>
      <c r="O312" s="23">
        <v>70</v>
      </c>
      <c r="P312" s="23">
        <v>72</v>
      </c>
    </row>
    <row r="313" spans="1:16" x14ac:dyDescent="0.35">
      <c r="A313" s="23">
        <v>922</v>
      </c>
      <c r="B313" s="23" t="s">
        <v>360</v>
      </c>
      <c r="C313" s="23">
        <v>1</v>
      </c>
      <c r="D313" s="23">
        <v>0</v>
      </c>
      <c r="E313" s="23">
        <v>2</v>
      </c>
      <c r="F313" s="23">
        <v>22</v>
      </c>
      <c r="G313" s="23" t="b">
        <f>FALSE()</f>
        <v>0</v>
      </c>
      <c r="H313" s="23">
        <v>4</v>
      </c>
      <c r="I313" s="23">
        <v>1</v>
      </c>
      <c r="J313" s="23">
        <v>0.12</v>
      </c>
      <c r="K313" s="23">
        <v>0.19700000000000001</v>
      </c>
      <c r="L313" s="23">
        <v>0.39</v>
      </c>
      <c r="M313" s="23">
        <v>0</v>
      </c>
      <c r="N313" s="23">
        <v>4</v>
      </c>
      <c r="O313" s="23">
        <v>47</v>
      </c>
      <c r="P313" s="23">
        <v>51</v>
      </c>
    </row>
    <row r="314" spans="1:16" x14ac:dyDescent="0.35">
      <c r="A314" s="23">
        <v>923</v>
      </c>
      <c r="B314" s="23" t="s">
        <v>360</v>
      </c>
      <c r="C314" s="23">
        <v>1</v>
      </c>
      <c r="D314" s="23">
        <v>0</v>
      </c>
      <c r="E314" s="23">
        <v>2</v>
      </c>
      <c r="F314" s="23">
        <v>23</v>
      </c>
      <c r="G314" s="23" t="b">
        <f>FALSE()</f>
        <v>0</v>
      </c>
      <c r="H314" s="23">
        <v>4</v>
      </c>
      <c r="I314" s="23">
        <v>1</v>
      </c>
      <c r="J314" s="23">
        <v>0.12</v>
      </c>
      <c r="K314" s="23">
        <v>0.1515</v>
      </c>
      <c r="L314" s="23">
        <v>0.42</v>
      </c>
      <c r="M314" s="23">
        <v>0.1045</v>
      </c>
      <c r="N314" s="23">
        <v>1</v>
      </c>
      <c r="O314" s="23">
        <v>33</v>
      </c>
      <c r="P314" s="23">
        <v>34</v>
      </c>
    </row>
    <row r="315" spans="1:16" x14ac:dyDescent="0.35">
      <c r="A315" s="23">
        <v>924</v>
      </c>
      <c r="B315" s="23" t="s">
        <v>361</v>
      </c>
      <c r="C315" s="23">
        <v>1</v>
      </c>
      <c r="D315" s="23">
        <v>0</v>
      </c>
      <c r="E315" s="23">
        <v>2</v>
      </c>
      <c r="F315" s="23">
        <v>0</v>
      </c>
      <c r="G315" s="23" t="b">
        <f>FALSE()</f>
        <v>0</v>
      </c>
      <c r="H315" s="23">
        <v>5</v>
      </c>
      <c r="I315" s="23">
        <v>1</v>
      </c>
      <c r="J315" s="23">
        <v>0.1</v>
      </c>
      <c r="K315" s="23">
        <v>0.13639999999999999</v>
      </c>
      <c r="L315" s="23">
        <v>0.49</v>
      </c>
      <c r="M315" s="23">
        <v>0.1045</v>
      </c>
      <c r="N315" s="23">
        <v>2</v>
      </c>
      <c r="O315" s="23">
        <v>12</v>
      </c>
      <c r="P315" s="23">
        <v>14</v>
      </c>
    </row>
    <row r="316" spans="1:16" x14ac:dyDescent="0.35">
      <c r="A316" s="23">
        <v>925</v>
      </c>
      <c r="B316" s="23" t="s">
        <v>361</v>
      </c>
      <c r="C316" s="23">
        <v>1</v>
      </c>
      <c r="D316" s="23">
        <v>0</v>
      </c>
      <c r="E316" s="23">
        <v>2</v>
      </c>
      <c r="F316" s="23">
        <v>1</v>
      </c>
      <c r="G316" s="23" t="b">
        <f>FALSE()</f>
        <v>0</v>
      </c>
      <c r="H316" s="23">
        <v>5</v>
      </c>
      <c r="I316" s="23">
        <v>1</v>
      </c>
      <c r="J316" s="23">
        <v>0.1</v>
      </c>
      <c r="K316" s="23">
        <v>0.13639999999999999</v>
      </c>
      <c r="L316" s="23">
        <v>0.54</v>
      </c>
      <c r="M316" s="23">
        <v>8.9599999999999999E-2</v>
      </c>
      <c r="N316" s="23">
        <v>1</v>
      </c>
      <c r="O316" s="23">
        <v>6</v>
      </c>
      <c r="P316" s="23">
        <v>7</v>
      </c>
    </row>
    <row r="317" spans="1:16" x14ac:dyDescent="0.35">
      <c r="A317" s="23">
        <v>926</v>
      </c>
      <c r="B317" s="23" t="s">
        <v>361</v>
      </c>
      <c r="C317" s="23">
        <v>1</v>
      </c>
      <c r="D317" s="23">
        <v>0</v>
      </c>
      <c r="E317" s="23">
        <v>2</v>
      </c>
      <c r="F317" s="23">
        <v>2</v>
      </c>
      <c r="G317" s="23" t="b">
        <f>FALSE()</f>
        <v>0</v>
      </c>
      <c r="H317" s="23">
        <v>5</v>
      </c>
      <c r="I317" s="23">
        <v>1</v>
      </c>
      <c r="J317" s="23">
        <v>0.1</v>
      </c>
      <c r="K317" s="23">
        <v>0.13639999999999999</v>
      </c>
      <c r="L317" s="23">
        <v>0.54</v>
      </c>
      <c r="M317" s="23">
        <v>8.9599999999999999E-2</v>
      </c>
      <c r="N317" s="23">
        <v>0</v>
      </c>
      <c r="O317" s="23">
        <v>3</v>
      </c>
      <c r="P317" s="23">
        <v>3</v>
      </c>
    </row>
    <row r="318" spans="1:16" x14ac:dyDescent="0.35">
      <c r="A318" s="23">
        <v>927</v>
      </c>
      <c r="B318" s="23" t="s">
        <v>361</v>
      </c>
      <c r="C318" s="23">
        <v>1</v>
      </c>
      <c r="D318" s="23">
        <v>0</v>
      </c>
      <c r="E318" s="23">
        <v>2</v>
      </c>
      <c r="F318" s="23">
        <v>5</v>
      </c>
      <c r="G318" s="23" t="b">
        <f>FALSE()</f>
        <v>0</v>
      </c>
      <c r="H318" s="23">
        <v>5</v>
      </c>
      <c r="I318" s="23">
        <v>1</v>
      </c>
      <c r="J318" s="23">
        <v>0.08</v>
      </c>
      <c r="K318" s="23">
        <v>0.1212</v>
      </c>
      <c r="L318" s="23">
        <v>0.63</v>
      </c>
      <c r="M318" s="23">
        <v>8.9599999999999999E-2</v>
      </c>
      <c r="N318" s="23">
        <v>0</v>
      </c>
      <c r="O318" s="23">
        <v>4</v>
      </c>
      <c r="P318" s="23">
        <v>4</v>
      </c>
    </row>
    <row r="319" spans="1:16" x14ac:dyDescent="0.35">
      <c r="A319" s="23">
        <v>928</v>
      </c>
      <c r="B319" s="23" t="s">
        <v>361</v>
      </c>
      <c r="C319" s="23">
        <v>1</v>
      </c>
      <c r="D319" s="23">
        <v>0</v>
      </c>
      <c r="E319" s="23">
        <v>2</v>
      </c>
      <c r="F319" s="23">
        <v>6</v>
      </c>
      <c r="G319" s="23" t="b">
        <f>FALSE()</f>
        <v>0</v>
      </c>
      <c r="H319" s="23">
        <v>5</v>
      </c>
      <c r="I319" s="23">
        <v>1</v>
      </c>
      <c r="J319" s="23">
        <v>0.1</v>
      </c>
      <c r="K319" s="23">
        <v>0.18179999999999999</v>
      </c>
      <c r="L319" s="23">
        <v>0.68</v>
      </c>
      <c r="M319" s="23">
        <v>0</v>
      </c>
      <c r="N319" s="23">
        <v>1</v>
      </c>
      <c r="O319" s="23">
        <v>23</v>
      </c>
      <c r="P319" s="23">
        <v>24</v>
      </c>
    </row>
    <row r="320" spans="1:16" x14ac:dyDescent="0.35">
      <c r="A320" s="23">
        <v>929</v>
      </c>
      <c r="B320" s="23" t="s">
        <v>361</v>
      </c>
      <c r="C320" s="23">
        <v>1</v>
      </c>
      <c r="D320" s="23">
        <v>0</v>
      </c>
      <c r="E320" s="23">
        <v>2</v>
      </c>
      <c r="F320" s="23">
        <v>7</v>
      </c>
      <c r="G320" s="23" t="b">
        <f>FALSE()</f>
        <v>0</v>
      </c>
      <c r="H320" s="23">
        <v>5</v>
      </c>
      <c r="I320" s="23">
        <v>1</v>
      </c>
      <c r="J320" s="23">
        <v>0.08</v>
      </c>
      <c r="K320" s="23">
        <v>0.16669999999999999</v>
      </c>
      <c r="L320" s="23">
        <v>0.73</v>
      </c>
      <c r="M320" s="23">
        <v>0</v>
      </c>
      <c r="N320" s="23">
        <v>1</v>
      </c>
      <c r="O320" s="23">
        <v>73</v>
      </c>
      <c r="P320" s="23">
        <v>74</v>
      </c>
    </row>
    <row r="321" spans="1:16" x14ac:dyDescent="0.35">
      <c r="A321" s="23">
        <v>930</v>
      </c>
      <c r="B321" s="23" t="s">
        <v>361</v>
      </c>
      <c r="C321" s="23">
        <v>1</v>
      </c>
      <c r="D321" s="23">
        <v>0</v>
      </c>
      <c r="E321" s="23">
        <v>2</v>
      </c>
      <c r="F321" s="23">
        <v>8</v>
      </c>
      <c r="G321" s="23" t="b">
        <f>FALSE()</f>
        <v>0</v>
      </c>
      <c r="H321" s="23">
        <v>5</v>
      </c>
      <c r="I321" s="23">
        <v>1</v>
      </c>
      <c r="J321" s="23">
        <v>0.1</v>
      </c>
      <c r="K321" s="23">
        <v>0.1212</v>
      </c>
      <c r="L321" s="23">
        <v>0.74</v>
      </c>
      <c r="M321" s="23">
        <v>0.16420000000000001</v>
      </c>
      <c r="N321" s="23">
        <v>4</v>
      </c>
      <c r="O321" s="23">
        <v>212</v>
      </c>
      <c r="P321" s="23">
        <v>216</v>
      </c>
    </row>
    <row r="322" spans="1:16" x14ac:dyDescent="0.35">
      <c r="A322" s="23">
        <v>931</v>
      </c>
      <c r="B322" s="23" t="s">
        <v>361</v>
      </c>
      <c r="C322" s="23">
        <v>1</v>
      </c>
      <c r="D322" s="23">
        <v>0</v>
      </c>
      <c r="E322" s="23">
        <v>2</v>
      </c>
      <c r="F322" s="23">
        <v>9</v>
      </c>
      <c r="G322" s="23" t="b">
        <f>FALSE()</f>
        <v>0</v>
      </c>
      <c r="H322" s="23">
        <v>5</v>
      </c>
      <c r="I322" s="23">
        <v>1</v>
      </c>
      <c r="J322" s="23">
        <v>0.12</v>
      </c>
      <c r="K322" s="23">
        <v>0.1212</v>
      </c>
      <c r="L322" s="23">
        <v>0.74</v>
      </c>
      <c r="M322" s="23">
        <v>0.22389999999999999</v>
      </c>
      <c r="N322" s="23">
        <v>8</v>
      </c>
      <c r="O322" s="23">
        <v>132</v>
      </c>
      <c r="P322" s="23">
        <v>140</v>
      </c>
    </row>
    <row r="323" spans="1:16" x14ac:dyDescent="0.35">
      <c r="A323" s="23">
        <v>932</v>
      </c>
      <c r="B323" s="23" t="s">
        <v>361</v>
      </c>
      <c r="C323" s="23">
        <v>1</v>
      </c>
      <c r="D323" s="23">
        <v>0</v>
      </c>
      <c r="E323" s="23">
        <v>2</v>
      </c>
      <c r="F323" s="23">
        <v>10</v>
      </c>
      <c r="G323" s="23" t="b">
        <f>FALSE()</f>
        <v>0</v>
      </c>
      <c r="H323" s="23">
        <v>5</v>
      </c>
      <c r="I323" s="23">
        <v>1</v>
      </c>
      <c r="J323" s="23">
        <v>0.14000000000000001</v>
      </c>
      <c r="K323" s="23">
        <v>0.13639999999999999</v>
      </c>
      <c r="L323" s="23">
        <v>0.69</v>
      </c>
      <c r="M323" s="23">
        <v>0.19400000000000001</v>
      </c>
      <c r="N323" s="23">
        <v>5</v>
      </c>
      <c r="O323" s="23">
        <v>39</v>
      </c>
      <c r="P323" s="23">
        <v>44</v>
      </c>
    </row>
    <row r="324" spans="1:16" x14ac:dyDescent="0.35">
      <c r="A324" s="23">
        <v>933</v>
      </c>
      <c r="B324" s="23" t="s">
        <v>361</v>
      </c>
      <c r="C324" s="23">
        <v>1</v>
      </c>
      <c r="D324" s="23">
        <v>0</v>
      </c>
      <c r="E324" s="23">
        <v>2</v>
      </c>
      <c r="F324" s="23">
        <v>11</v>
      </c>
      <c r="G324" s="23" t="b">
        <f>FALSE()</f>
        <v>0</v>
      </c>
      <c r="H324" s="23">
        <v>5</v>
      </c>
      <c r="I324" s="23">
        <v>1</v>
      </c>
      <c r="J324" s="23">
        <v>0.22</v>
      </c>
      <c r="K324" s="23">
        <v>0.2273</v>
      </c>
      <c r="L324" s="23">
        <v>0.47</v>
      </c>
      <c r="M324" s="23">
        <v>0.1343</v>
      </c>
      <c r="N324" s="23">
        <v>12</v>
      </c>
      <c r="O324" s="23">
        <v>52</v>
      </c>
      <c r="P324" s="23">
        <v>64</v>
      </c>
    </row>
    <row r="325" spans="1:16" x14ac:dyDescent="0.35">
      <c r="A325" s="23">
        <v>934</v>
      </c>
      <c r="B325" s="23" t="s">
        <v>361</v>
      </c>
      <c r="C325" s="23">
        <v>1</v>
      </c>
      <c r="D325" s="23">
        <v>0</v>
      </c>
      <c r="E325" s="23">
        <v>2</v>
      </c>
      <c r="F325" s="23">
        <v>12</v>
      </c>
      <c r="G325" s="23" t="b">
        <f>FALSE()</f>
        <v>0</v>
      </c>
      <c r="H325" s="23">
        <v>5</v>
      </c>
      <c r="I325" s="23">
        <v>1</v>
      </c>
      <c r="J325" s="23">
        <v>0.22</v>
      </c>
      <c r="K325" s="23">
        <v>0.2273</v>
      </c>
      <c r="L325" s="23">
        <v>0.47</v>
      </c>
      <c r="M325" s="23">
        <v>0.1343</v>
      </c>
      <c r="N325" s="23">
        <v>7</v>
      </c>
      <c r="O325" s="23">
        <v>64</v>
      </c>
      <c r="P325" s="23">
        <v>71</v>
      </c>
    </row>
    <row r="326" spans="1:16" x14ac:dyDescent="0.35">
      <c r="A326" s="23">
        <v>935</v>
      </c>
      <c r="B326" s="23" t="s">
        <v>361</v>
      </c>
      <c r="C326" s="23">
        <v>1</v>
      </c>
      <c r="D326" s="23">
        <v>0</v>
      </c>
      <c r="E326" s="23">
        <v>2</v>
      </c>
      <c r="F326" s="23">
        <v>13</v>
      </c>
      <c r="G326" s="23" t="b">
        <f>FALSE()</f>
        <v>0</v>
      </c>
      <c r="H326" s="23">
        <v>5</v>
      </c>
      <c r="I326" s="23">
        <v>1</v>
      </c>
      <c r="J326" s="23">
        <v>0.24</v>
      </c>
      <c r="K326" s="23">
        <v>0.2273</v>
      </c>
      <c r="L326" s="23">
        <v>0.35</v>
      </c>
      <c r="M326" s="23">
        <v>0.19400000000000001</v>
      </c>
      <c r="N326" s="23">
        <v>21</v>
      </c>
      <c r="O326" s="23">
        <v>89</v>
      </c>
      <c r="P326" s="23">
        <v>110</v>
      </c>
    </row>
    <row r="327" spans="1:16" x14ac:dyDescent="0.35">
      <c r="A327" s="23">
        <v>936</v>
      </c>
      <c r="B327" s="23" t="s">
        <v>361</v>
      </c>
      <c r="C327" s="23">
        <v>1</v>
      </c>
      <c r="D327" s="23">
        <v>0</v>
      </c>
      <c r="E327" s="23">
        <v>2</v>
      </c>
      <c r="F327" s="23">
        <v>14</v>
      </c>
      <c r="G327" s="23" t="b">
        <f>FALSE()</f>
        <v>0</v>
      </c>
      <c r="H327" s="23">
        <v>5</v>
      </c>
      <c r="I327" s="23">
        <v>1</v>
      </c>
      <c r="J327" s="23">
        <v>0.3</v>
      </c>
      <c r="K327" s="23">
        <v>0.28789999999999999</v>
      </c>
      <c r="L327" s="23">
        <v>0.26</v>
      </c>
      <c r="M327" s="23">
        <v>0.25369999999999998</v>
      </c>
      <c r="N327" s="23">
        <v>17</v>
      </c>
      <c r="O327" s="23">
        <v>67</v>
      </c>
      <c r="P327" s="23">
        <v>84</v>
      </c>
    </row>
    <row r="328" spans="1:16" x14ac:dyDescent="0.35">
      <c r="A328" s="23">
        <v>937</v>
      </c>
      <c r="B328" s="23" t="s">
        <v>361</v>
      </c>
      <c r="C328" s="23">
        <v>1</v>
      </c>
      <c r="D328" s="23">
        <v>0</v>
      </c>
      <c r="E328" s="23">
        <v>2</v>
      </c>
      <c r="F328" s="23">
        <v>15</v>
      </c>
      <c r="G328" s="23" t="b">
        <f>FALSE()</f>
        <v>0</v>
      </c>
      <c r="H328" s="23">
        <v>5</v>
      </c>
      <c r="I328" s="23">
        <v>1</v>
      </c>
      <c r="J328" s="23">
        <v>0.32</v>
      </c>
      <c r="K328" s="23">
        <v>0.31819999999999998</v>
      </c>
      <c r="L328" s="23">
        <v>0.21</v>
      </c>
      <c r="M328" s="23">
        <v>0.16420000000000001</v>
      </c>
      <c r="N328" s="23">
        <v>12</v>
      </c>
      <c r="O328" s="23">
        <v>62</v>
      </c>
      <c r="P328" s="23">
        <v>74</v>
      </c>
    </row>
    <row r="329" spans="1:16" x14ac:dyDescent="0.35">
      <c r="A329" s="23">
        <v>938</v>
      </c>
      <c r="B329" s="23" t="s">
        <v>361</v>
      </c>
      <c r="C329" s="23">
        <v>1</v>
      </c>
      <c r="D329" s="23">
        <v>0</v>
      </c>
      <c r="E329" s="23">
        <v>2</v>
      </c>
      <c r="F329" s="23">
        <v>16</v>
      </c>
      <c r="G329" s="23" t="b">
        <f>FALSE()</f>
        <v>0</v>
      </c>
      <c r="H329" s="23">
        <v>5</v>
      </c>
      <c r="I329" s="23">
        <v>1</v>
      </c>
      <c r="J329" s="23">
        <v>0.3</v>
      </c>
      <c r="K329" s="23">
        <v>0.28789999999999999</v>
      </c>
      <c r="L329" s="23">
        <v>0.28000000000000003</v>
      </c>
      <c r="M329" s="23">
        <v>0.19400000000000001</v>
      </c>
      <c r="N329" s="23">
        <v>14</v>
      </c>
      <c r="O329" s="23">
        <v>111</v>
      </c>
      <c r="P329" s="23">
        <v>125</v>
      </c>
    </row>
    <row r="330" spans="1:16" x14ac:dyDescent="0.35">
      <c r="A330" s="23">
        <v>939</v>
      </c>
      <c r="B330" s="23" t="s">
        <v>361</v>
      </c>
      <c r="C330" s="23">
        <v>1</v>
      </c>
      <c r="D330" s="23">
        <v>0</v>
      </c>
      <c r="E330" s="23">
        <v>2</v>
      </c>
      <c r="F330" s="23">
        <v>17</v>
      </c>
      <c r="G330" s="23" t="b">
        <f>FALSE()</f>
        <v>0</v>
      </c>
      <c r="H330" s="23">
        <v>5</v>
      </c>
      <c r="I330" s="23">
        <v>1</v>
      </c>
      <c r="J330" s="23">
        <v>0.3</v>
      </c>
      <c r="K330" s="23">
        <v>0.33329999999999999</v>
      </c>
      <c r="L330" s="23">
        <v>0.24</v>
      </c>
      <c r="M330" s="23">
        <v>0</v>
      </c>
      <c r="N330" s="23">
        <v>18</v>
      </c>
      <c r="O330" s="23">
        <v>193</v>
      </c>
      <c r="P330" s="23">
        <v>211</v>
      </c>
    </row>
    <row r="331" spans="1:16" x14ac:dyDescent="0.35">
      <c r="A331" s="23">
        <v>940</v>
      </c>
      <c r="B331" s="23" t="s">
        <v>361</v>
      </c>
      <c r="C331" s="23">
        <v>1</v>
      </c>
      <c r="D331" s="23">
        <v>0</v>
      </c>
      <c r="E331" s="23">
        <v>2</v>
      </c>
      <c r="F331" s="23">
        <v>18</v>
      </c>
      <c r="G331" s="23" t="b">
        <f>FALSE()</f>
        <v>0</v>
      </c>
      <c r="H331" s="23">
        <v>5</v>
      </c>
      <c r="I331" s="23">
        <v>1</v>
      </c>
      <c r="J331" s="23">
        <v>0.28000000000000003</v>
      </c>
      <c r="K331" s="23">
        <v>0.31819999999999998</v>
      </c>
      <c r="L331" s="23">
        <v>0.28000000000000003</v>
      </c>
      <c r="M331" s="23">
        <v>0</v>
      </c>
      <c r="N331" s="23">
        <v>9</v>
      </c>
      <c r="O331" s="23">
        <v>165</v>
      </c>
      <c r="P331" s="23">
        <v>174</v>
      </c>
    </row>
    <row r="332" spans="1:16" x14ac:dyDescent="0.35">
      <c r="A332" s="23">
        <v>941</v>
      </c>
      <c r="B332" s="23" t="s">
        <v>361</v>
      </c>
      <c r="C332" s="23">
        <v>1</v>
      </c>
      <c r="D332" s="23">
        <v>0</v>
      </c>
      <c r="E332" s="23">
        <v>2</v>
      </c>
      <c r="F332" s="23">
        <v>19</v>
      </c>
      <c r="G332" s="23" t="b">
        <f>FALSE()</f>
        <v>0</v>
      </c>
      <c r="H332" s="23">
        <v>5</v>
      </c>
      <c r="I332" s="23">
        <v>1</v>
      </c>
      <c r="J332" s="23">
        <v>0.26</v>
      </c>
      <c r="K332" s="23">
        <v>0.30299999999999999</v>
      </c>
      <c r="L332" s="23">
        <v>0.33</v>
      </c>
      <c r="M332" s="23">
        <v>0</v>
      </c>
      <c r="N332" s="23">
        <v>7</v>
      </c>
      <c r="O332" s="23">
        <v>94</v>
      </c>
      <c r="P332" s="23">
        <v>101</v>
      </c>
    </row>
    <row r="333" spans="1:16" x14ac:dyDescent="0.35">
      <c r="A333" s="23">
        <v>942</v>
      </c>
      <c r="B333" s="23" t="s">
        <v>361</v>
      </c>
      <c r="C333" s="23">
        <v>1</v>
      </c>
      <c r="D333" s="23">
        <v>0</v>
      </c>
      <c r="E333" s="23">
        <v>2</v>
      </c>
      <c r="F333" s="23">
        <v>20</v>
      </c>
      <c r="G333" s="23" t="b">
        <f>FALSE()</f>
        <v>0</v>
      </c>
      <c r="H333" s="23">
        <v>5</v>
      </c>
      <c r="I333" s="23">
        <v>1</v>
      </c>
      <c r="J333" s="23">
        <v>0.22</v>
      </c>
      <c r="K333" s="23">
        <v>0.2273</v>
      </c>
      <c r="L333" s="23">
        <v>0.55000000000000004</v>
      </c>
      <c r="M333" s="23">
        <v>0.1343</v>
      </c>
      <c r="N333" s="23">
        <v>2</v>
      </c>
      <c r="O333" s="23">
        <v>61</v>
      </c>
      <c r="P333" s="23">
        <v>63</v>
      </c>
    </row>
    <row r="334" spans="1:16" x14ac:dyDescent="0.35">
      <c r="A334" s="23">
        <v>943</v>
      </c>
      <c r="B334" s="23" t="s">
        <v>361</v>
      </c>
      <c r="C334" s="23">
        <v>1</v>
      </c>
      <c r="D334" s="23">
        <v>0</v>
      </c>
      <c r="E334" s="23">
        <v>2</v>
      </c>
      <c r="F334" s="23">
        <v>21</v>
      </c>
      <c r="G334" s="23" t="b">
        <f>FALSE()</f>
        <v>0</v>
      </c>
      <c r="H334" s="23">
        <v>5</v>
      </c>
      <c r="I334" s="23">
        <v>1</v>
      </c>
      <c r="J334" s="23">
        <v>0.2</v>
      </c>
      <c r="K334" s="23">
        <v>0.21210000000000001</v>
      </c>
      <c r="L334" s="23">
        <v>0.59</v>
      </c>
      <c r="M334" s="23">
        <v>0.1343</v>
      </c>
      <c r="N334" s="23">
        <v>1</v>
      </c>
      <c r="O334" s="23">
        <v>46</v>
      </c>
      <c r="P334" s="23">
        <v>47</v>
      </c>
    </row>
    <row r="335" spans="1:16" x14ac:dyDescent="0.35">
      <c r="A335" s="23">
        <v>944</v>
      </c>
      <c r="B335" s="23" t="s">
        <v>361</v>
      </c>
      <c r="C335" s="23">
        <v>1</v>
      </c>
      <c r="D335" s="23">
        <v>0</v>
      </c>
      <c r="E335" s="23">
        <v>2</v>
      </c>
      <c r="F335" s="23">
        <v>22</v>
      </c>
      <c r="G335" s="23" t="b">
        <f>FALSE()</f>
        <v>0</v>
      </c>
      <c r="H335" s="23">
        <v>5</v>
      </c>
      <c r="I335" s="23">
        <v>1</v>
      </c>
      <c r="J335" s="23">
        <v>0.2</v>
      </c>
      <c r="K335" s="23">
        <v>0.2273</v>
      </c>
      <c r="L335" s="23">
        <v>0.64</v>
      </c>
      <c r="M335" s="23">
        <v>8.9599999999999999E-2</v>
      </c>
      <c r="N335" s="23">
        <v>2</v>
      </c>
      <c r="O335" s="23">
        <v>41</v>
      </c>
      <c r="P335" s="23">
        <v>43</v>
      </c>
    </row>
    <row r="336" spans="1:16" x14ac:dyDescent="0.35">
      <c r="A336" s="23">
        <v>945</v>
      </c>
      <c r="B336" s="23" t="s">
        <v>361</v>
      </c>
      <c r="C336" s="23">
        <v>1</v>
      </c>
      <c r="D336" s="23">
        <v>0</v>
      </c>
      <c r="E336" s="23">
        <v>2</v>
      </c>
      <c r="F336" s="23">
        <v>23</v>
      </c>
      <c r="G336" s="23" t="b">
        <f>FALSE()</f>
        <v>0</v>
      </c>
      <c r="H336" s="23">
        <v>5</v>
      </c>
      <c r="I336" s="23">
        <v>1</v>
      </c>
      <c r="J336" s="23">
        <v>0.18</v>
      </c>
      <c r="K336" s="23">
        <v>0.2424</v>
      </c>
      <c r="L336" s="23">
        <v>0.69</v>
      </c>
      <c r="M336" s="23">
        <v>0</v>
      </c>
      <c r="N336" s="23">
        <v>5</v>
      </c>
      <c r="O336" s="23">
        <v>48</v>
      </c>
      <c r="P336" s="23">
        <v>53</v>
      </c>
    </row>
    <row r="337" spans="1:16" x14ac:dyDescent="0.35">
      <c r="A337" s="23">
        <v>946</v>
      </c>
      <c r="B337" s="23" t="s">
        <v>362</v>
      </c>
      <c r="C337" s="23">
        <v>1</v>
      </c>
      <c r="D337" s="23">
        <v>0</v>
      </c>
      <c r="E337" s="23">
        <v>2</v>
      </c>
      <c r="F337" s="23">
        <v>0</v>
      </c>
      <c r="G337" s="23" t="b">
        <f>FALSE()</f>
        <v>0</v>
      </c>
      <c r="H337" s="23">
        <v>6</v>
      </c>
      <c r="I337" s="23">
        <v>1</v>
      </c>
      <c r="J337" s="23">
        <v>0.16</v>
      </c>
      <c r="K337" s="23">
        <v>0.19700000000000001</v>
      </c>
      <c r="L337" s="23">
        <v>0.69</v>
      </c>
      <c r="M337" s="23">
        <v>8.9599999999999999E-2</v>
      </c>
      <c r="N337" s="23">
        <v>3</v>
      </c>
      <c r="O337" s="23">
        <v>27</v>
      </c>
      <c r="P337" s="23">
        <v>30</v>
      </c>
    </row>
    <row r="338" spans="1:16" x14ac:dyDescent="0.35">
      <c r="A338" s="23">
        <v>947</v>
      </c>
      <c r="B338" s="23" t="s">
        <v>362</v>
      </c>
      <c r="C338" s="23">
        <v>1</v>
      </c>
      <c r="D338" s="23">
        <v>0</v>
      </c>
      <c r="E338" s="23">
        <v>2</v>
      </c>
      <c r="F338" s="23">
        <v>1</v>
      </c>
      <c r="G338" s="23" t="b">
        <f>FALSE()</f>
        <v>0</v>
      </c>
      <c r="H338" s="23">
        <v>6</v>
      </c>
      <c r="I338" s="23">
        <v>1</v>
      </c>
      <c r="J338" s="23">
        <v>0.14000000000000001</v>
      </c>
      <c r="K338" s="23">
        <v>0.21210000000000001</v>
      </c>
      <c r="L338" s="23">
        <v>0.86</v>
      </c>
      <c r="M338" s="23">
        <v>0</v>
      </c>
      <c r="N338" s="23">
        <v>2</v>
      </c>
      <c r="O338" s="23">
        <v>22</v>
      </c>
      <c r="P338" s="23">
        <v>24</v>
      </c>
    </row>
    <row r="339" spans="1:16" x14ac:dyDescent="0.35">
      <c r="A339" s="23">
        <v>948</v>
      </c>
      <c r="B339" s="23" t="s">
        <v>362</v>
      </c>
      <c r="C339" s="23">
        <v>1</v>
      </c>
      <c r="D339" s="23">
        <v>0</v>
      </c>
      <c r="E339" s="23">
        <v>2</v>
      </c>
      <c r="F339" s="23">
        <v>2</v>
      </c>
      <c r="G339" s="23" t="b">
        <f>FALSE()</f>
        <v>0</v>
      </c>
      <c r="H339" s="23">
        <v>6</v>
      </c>
      <c r="I339" s="23">
        <v>1</v>
      </c>
      <c r="J339" s="23">
        <v>0.14000000000000001</v>
      </c>
      <c r="K339" s="23">
        <v>0.21210000000000001</v>
      </c>
      <c r="L339" s="23">
        <v>0.8</v>
      </c>
      <c r="M339" s="23">
        <v>0</v>
      </c>
      <c r="N339" s="23">
        <v>2</v>
      </c>
      <c r="O339" s="23">
        <v>13</v>
      </c>
      <c r="P339" s="23">
        <v>15</v>
      </c>
    </row>
    <row r="340" spans="1:16" x14ac:dyDescent="0.35">
      <c r="A340" s="23">
        <v>949</v>
      </c>
      <c r="B340" s="23" t="s">
        <v>362</v>
      </c>
      <c r="C340" s="23">
        <v>1</v>
      </c>
      <c r="D340" s="23">
        <v>0</v>
      </c>
      <c r="E340" s="23">
        <v>2</v>
      </c>
      <c r="F340" s="23">
        <v>3</v>
      </c>
      <c r="G340" s="23" t="b">
        <f>FALSE()</f>
        <v>0</v>
      </c>
      <c r="H340" s="23">
        <v>6</v>
      </c>
      <c r="I340" s="23">
        <v>1</v>
      </c>
      <c r="J340" s="23">
        <v>0.12</v>
      </c>
      <c r="K340" s="23">
        <v>0.19700000000000001</v>
      </c>
      <c r="L340" s="23">
        <v>0.8</v>
      </c>
      <c r="M340" s="23">
        <v>0</v>
      </c>
      <c r="N340" s="23">
        <v>3</v>
      </c>
      <c r="O340" s="23">
        <v>7</v>
      </c>
      <c r="P340" s="23">
        <v>10</v>
      </c>
    </row>
    <row r="341" spans="1:16" x14ac:dyDescent="0.35">
      <c r="A341" s="23">
        <v>950</v>
      </c>
      <c r="B341" s="23" t="s">
        <v>362</v>
      </c>
      <c r="C341" s="23">
        <v>1</v>
      </c>
      <c r="D341" s="23">
        <v>0</v>
      </c>
      <c r="E341" s="23">
        <v>2</v>
      </c>
      <c r="F341" s="23">
        <v>4</v>
      </c>
      <c r="G341" s="23" t="b">
        <f>FALSE()</f>
        <v>0</v>
      </c>
      <c r="H341" s="23">
        <v>6</v>
      </c>
      <c r="I341" s="23">
        <v>1</v>
      </c>
      <c r="J341" s="23">
        <v>0.12</v>
      </c>
      <c r="K341" s="23">
        <v>0.16669999999999999</v>
      </c>
      <c r="L341" s="23">
        <v>0.74</v>
      </c>
      <c r="M341" s="23">
        <v>8.9599999999999999E-2</v>
      </c>
      <c r="N341" s="23">
        <v>0</v>
      </c>
      <c r="O341" s="23">
        <v>4</v>
      </c>
      <c r="P341" s="23">
        <v>4</v>
      </c>
    </row>
    <row r="342" spans="1:16" x14ac:dyDescent="0.35">
      <c r="A342" s="23">
        <v>951</v>
      </c>
      <c r="B342" s="23" t="s">
        <v>362</v>
      </c>
      <c r="C342" s="23">
        <v>1</v>
      </c>
      <c r="D342" s="23">
        <v>0</v>
      </c>
      <c r="E342" s="23">
        <v>2</v>
      </c>
      <c r="F342" s="23">
        <v>5</v>
      </c>
      <c r="G342" s="23" t="b">
        <f>FALSE()</f>
        <v>0</v>
      </c>
      <c r="H342" s="23">
        <v>6</v>
      </c>
      <c r="I342" s="23">
        <v>1</v>
      </c>
      <c r="J342" s="23">
        <v>0.12</v>
      </c>
      <c r="K342" s="23">
        <v>0.16669999999999999</v>
      </c>
      <c r="L342" s="23">
        <v>0.74</v>
      </c>
      <c r="M342" s="23">
        <v>8.9599999999999999E-2</v>
      </c>
      <c r="N342" s="23">
        <v>0</v>
      </c>
      <c r="O342" s="23">
        <v>1</v>
      </c>
      <c r="P342" s="23">
        <v>1</v>
      </c>
    </row>
    <row r="343" spans="1:16" x14ac:dyDescent="0.35">
      <c r="A343" s="23">
        <v>952</v>
      </c>
      <c r="B343" s="23" t="s">
        <v>362</v>
      </c>
      <c r="C343" s="23">
        <v>1</v>
      </c>
      <c r="D343" s="23">
        <v>0</v>
      </c>
      <c r="E343" s="23">
        <v>2</v>
      </c>
      <c r="F343" s="23">
        <v>6</v>
      </c>
      <c r="G343" s="23" t="b">
        <f>FALSE()</f>
        <v>0</v>
      </c>
      <c r="H343" s="23">
        <v>6</v>
      </c>
      <c r="I343" s="23">
        <v>1</v>
      </c>
      <c r="J343" s="23">
        <v>0.12</v>
      </c>
      <c r="K343" s="23">
        <v>0.13639999999999999</v>
      </c>
      <c r="L343" s="23">
        <v>0.93</v>
      </c>
      <c r="M343" s="23">
        <v>0.19400000000000001</v>
      </c>
      <c r="N343" s="23">
        <v>1</v>
      </c>
      <c r="O343" s="23">
        <v>1</v>
      </c>
      <c r="P343" s="23">
        <v>2</v>
      </c>
    </row>
    <row r="344" spans="1:16" x14ac:dyDescent="0.35">
      <c r="A344" s="23">
        <v>953</v>
      </c>
      <c r="B344" s="23" t="s">
        <v>362</v>
      </c>
      <c r="C344" s="23">
        <v>1</v>
      </c>
      <c r="D344" s="23">
        <v>0</v>
      </c>
      <c r="E344" s="23">
        <v>2</v>
      </c>
      <c r="F344" s="23">
        <v>7</v>
      </c>
      <c r="G344" s="23" t="b">
        <f>FALSE()</f>
        <v>0</v>
      </c>
      <c r="H344" s="23">
        <v>6</v>
      </c>
      <c r="I344" s="23">
        <v>1</v>
      </c>
      <c r="J344" s="23">
        <v>0.12</v>
      </c>
      <c r="K344" s="23">
        <v>0.1515</v>
      </c>
      <c r="L344" s="23">
        <v>0.8</v>
      </c>
      <c r="M344" s="23">
        <v>0.1045</v>
      </c>
      <c r="N344" s="23">
        <v>2</v>
      </c>
      <c r="O344" s="23">
        <v>9</v>
      </c>
      <c r="P344" s="23">
        <v>11</v>
      </c>
    </row>
    <row r="345" spans="1:16" x14ac:dyDescent="0.35">
      <c r="A345" s="23">
        <v>954</v>
      </c>
      <c r="B345" s="23" t="s">
        <v>362</v>
      </c>
      <c r="C345" s="23">
        <v>1</v>
      </c>
      <c r="D345" s="23">
        <v>0</v>
      </c>
      <c r="E345" s="23">
        <v>2</v>
      </c>
      <c r="F345" s="23">
        <v>8</v>
      </c>
      <c r="G345" s="23" t="b">
        <f>FALSE()</f>
        <v>0</v>
      </c>
      <c r="H345" s="23">
        <v>6</v>
      </c>
      <c r="I345" s="23">
        <v>1</v>
      </c>
      <c r="J345" s="23">
        <v>0.14000000000000001</v>
      </c>
      <c r="K345" s="23">
        <v>0.1515</v>
      </c>
      <c r="L345" s="23">
        <v>0.86</v>
      </c>
      <c r="M345" s="23">
        <v>0.1343</v>
      </c>
      <c r="N345" s="23">
        <v>2</v>
      </c>
      <c r="O345" s="23">
        <v>28</v>
      </c>
      <c r="P345" s="23">
        <v>30</v>
      </c>
    </row>
    <row r="346" spans="1:16" x14ac:dyDescent="0.35">
      <c r="A346" s="23">
        <v>955</v>
      </c>
      <c r="B346" s="23" t="s">
        <v>362</v>
      </c>
      <c r="C346" s="23">
        <v>1</v>
      </c>
      <c r="D346" s="23">
        <v>0</v>
      </c>
      <c r="E346" s="23">
        <v>2</v>
      </c>
      <c r="F346" s="23">
        <v>9</v>
      </c>
      <c r="G346" s="23" t="b">
        <f>FALSE()</f>
        <v>0</v>
      </c>
      <c r="H346" s="23">
        <v>6</v>
      </c>
      <c r="I346" s="23">
        <v>1</v>
      </c>
      <c r="J346" s="23">
        <v>0.16</v>
      </c>
      <c r="K346" s="23">
        <v>0.18179999999999999</v>
      </c>
      <c r="L346" s="23">
        <v>0.64</v>
      </c>
      <c r="M346" s="23">
        <v>0.1343</v>
      </c>
      <c r="N346" s="23">
        <v>5</v>
      </c>
      <c r="O346" s="23">
        <v>38</v>
      </c>
      <c r="P346" s="23">
        <v>43</v>
      </c>
    </row>
    <row r="347" spans="1:16" x14ac:dyDescent="0.35">
      <c r="A347" s="23">
        <v>956</v>
      </c>
      <c r="B347" s="23" t="s">
        <v>362</v>
      </c>
      <c r="C347" s="23">
        <v>1</v>
      </c>
      <c r="D347" s="23">
        <v>0</v>
      </c>
      <c r="E347" s="23">
        <v>2</v>
      </c>
      <c r="F347" s="23">
        <v>10</v>
      </c>
      <c r="G347" s="23" t="b">
        <f>FALSE()</f>
        <v>0</v>
      </c>
      <c r="H347" s="23">
        <v>6</v>
      </c>
      <c r="I347" s="23">
        <v>1</v>
      </c>
      <c r="J347" s="23">
        <v>0.22</v>
      </c>
      <c r="K347" s="23">
        <v>0.21210000000000001</v>
      </c>
      <c r="L347" s="23">
        <v>0.41</v>
      </c>
      <c r="M347" s="23">
        <v>0.25369999999999998</v>
      </c>
      <c r="N347" s="23">
        <v>13</v>
      </c>
      <c r="O347" s="23">
        <v>71</v>
      </c>
      <c r="P347" s="23">
        <v>84</v>
      </c>
    </row>
    <row r="348" spans="1:16" x14ac:dyDescent="0.35">
      <c r="A348" s="23">
        <v>957</v>
      </c>
      <c r="B348" s="23" t="s">
        <v>362</v>
      </c>
      <c r="C348" s="23">
        <v>1</v>
      </c>
      <c r="D348" s="23">
        <v>0</v>
      </c>
      <c r="E348" s="23">
        <v>2</v>
      </c>
      <c r="F348" s="23">
        <v>11</v>
      </c>
      <c r="G348" s="23" t="b">
        <f>FALSE()</f>
        <v>0</v>
      </c>
      <c r="H348" s="23">
        <v>6</v>
      </c>
      <c r="I348" s="23">
        <v>1</v>
      </c>
      <c r="J348" s="23">
        <v>0.3</v>
      </c>
      <c r="K348" s="23">
        <v>0.2727</v>
      </c>
      <c r="L348" s="23">
        <v>0.28000000000000003</v>
      </c>
      <c r="M348" s="23">
        <v>0.32840000000000003</v>
      </c>
      <c r="N348" s="23">
        <v>30</v>
      </c>
      <c r="O348" s="23">
        <v>84</v>
      </c>
      <c r="P348" s="23">
        <v>114</v>
      </c>
    </row>
    <row r="349" spans="1:16" x14ac:dyDescent="0.35">
      <c r="A349" s="23">
        <v>958</v>
      </c>
      <c r="B349" s="23" t="s">
        <v>362</v>
      </c>
      <c r="C349" s="23">
        <v>1</v>
      </c>
      <c r="D349" s="23">
        <v>0</v>
      </c>
      <c r="E349" s="23">
        <v>2</v>
      </c>
      <c r="F349" s="23">
        <v>12</v>
      </c>
      <c r="G349" s="23" t="b">
        <f>FALSE()</f>
        <v>0</v>
      </c>
      <c r="H349" s="23">
        <v>6</v>
      </c>
      <c r="I349" s="23">
        <v>1</v>
      </c>
      <c r="J349" s="23">
        <v>0.3</v>
      </c>
      <c r="K349" s="23">
        <v>0.2727</v>
      </c>
      <c r="L349" s="23">
        <v>0.39</v>
      </c>
      <c r="M349" s="23">
        <v>0.4627</v>
      </c>
      <c r="N349" s="23">
        <v>27</v>
      </c>
      <c r="O349" s="23">
        <v>93</v>
      </c>
      <c r="P349" s="23">
        <v>120</v>
      </c>
    </row>
    <row r="350" spans="1:16" x14ac:dyDescent="0.35">
      <c r="A350" s="23">
        <v>959</v>
      </c>
      <c r="B350" s="23" t="s">
        <v>362</v>
      </c>
      <c r="C350" s="23">
        <v>1</v>
      </c>
      <c r="D350" s="23">
        <v>0</v>
      </c>
      <c r="E350" s="23">
        <v>2</v>
      </c>
      <c r="F350" s="23">
        <v>13</v>
      </c>
      <c r="G350" s="23" t="b">
        <f>FALSE()</f>
        <v>0</v>
      </c>
      <c r="H350" s="23">
        <v>6</v>
      </c>
      <c r="I350" s="23">
        <v>1</v>
      </c>
      <c r="J350" s="23">
        <v>0.3</v>
      </c>
      <c r="K350" s="23">
        <v>0.2727</v>
      </c>
      <c r="L350" s="23">
        <v>0.39</v>
      </c>
      <c r="M350" s="23">
        <v>0.41789999999999999</v>
      </c>
      <c r="N350" s="23">
        <v>32</v>
      </c>
      <c r="O350" s="23">
        <v>103</v>
      </c>
      <c r="P350" s="23">
        <v>135</v>
      </c>
    </row>
    <row r="351" spans="1:16" x14ac:dyDescent="0.35">
      <c r="A351" s="23">
        <v>960</v>
      </c>
      <c r="B351" s="23" t="s">
        <v>362</v>
      </c>
      <c r="C351" s="23">
        <v>1</v>
      </c>
      <c r="D351" s="23">
        <v>0</v>
      </c>
      <c r="E351" s="23">
        <v>2</v>
      </c>
      <c r="F351" s="23">
        <v>14</v>
      </c>
      <c r="G351" s="23" t="b">
        <f>FALSE()</f>
        <v>0</v>
      </c>
      <c r="H351" s="23">
        <v>6</v>
      </c>
      <c r="I351" s="23">
        <v>1</v>
      </c>
      <c r="J351" s="23">
        <v>0.34</v>
      </c>
      <c r="K351" s="23">
        <v>0.31819999999999998</v>
      </c>
      <c r="L351" s="23">
        <v>0.31</v>
      </c>
      <c r="M351" s="23">
        <v>0.28360000000000002</v>
      </c>
      <c r="N351" s="23">
        <v>30</v>
      </c>
      <c r="O351" s="23">
        <v>90</v>
      </c>
      <c r="P351" s="23">
        <v>120</v>
      </c>
    </row>
    <row r="352" spans="1:16" x14ac:dyDescent="0.35">
      <c r="A352" s="23">
        <v>961</v>
      </c>
      <c r="B352" s="23" t="s">
        <v>362</v>
      </c>
      <c r="C352" s="23">
        <v>1</v>
      </c>
      <c r="D352" s="23">
        <v>0</v>
      </c>
      <c r="E352" s="23">
        <v>2</v>
      </c>
      <c r="F352" s="23">
        <v>15</v>
      </c>
      <c r="G352" s="23" t="b">
        <f>FALSE()</f>
        <v>0</v>
      </c>
      <c r="H352" s="23">
        <v>6</v>
      </c>
      <c r="I352" s="23">
        <v>1</v>
      </c>
      <c r="J352" s="23">
        <v>0.34</v>
      </c>
      <c r="K352" s="23">
        <v>0.30299999999999999</v>
      </c>
      <c r="L352" s="23">
        <v>0.28999999999999998</v>
      </c>
      <c r="M352" s="23">
        <v>0.41789999999999999</v>
      </c>
      <c r="N352" s="23">
        <v>47</v>
      </c>
      <c r="O352" s="23">
        <v>127</v>
      </c>
      <c r="P352" s="23">
        <v>174</v>
      </c>
    </row>
    <row r="353" spans="1:16" x14ac:dyDescent="0.35">
      <c r="A353" s="23">
        <v>962</v>
      </c>
      <c r="B353" s="23" t="s">
        <v>362</v>
      </c>
      <c r="C353" s="23">
        <v>1</v>
      </c>
      <c r="D353" s="23">
        <v>0</v>
      </c>
      <c r="E353" s="23">
        <v>2</v>
      </c>
      <c r="F353" s="23">
        <v>16</v>
      </c>
      <c r="G353" s="23" t="b">
        <f>FALSE()</f>
        <v>0</v>
      </c>
      <c r="H353" s="23">
        <v>6</v>
      </c>
      <c r="I353" s="23">
        <v>1</v>
      </c>
      <c r="J353" s="23">
        <v>0.34</v>
      </c>
      <c r="K353" s="23">
        <v>0.30299999999999999</v>
      </c>
      <c r="L353" s="23">
        <v>0.28999999999999998</v>
      </c>
      <c r="M353" s="23">
        <v>0.41789999999999999</v>
      </c>
      <c r="N353" s="23">
        <v>42</v>
      </c>
      <c r="O353" s="23">
        <v>103</v>
      </c>
      <c r="P353" s="23">
        <v>145</v>
      </c>
    </row>
    <row r="354" spans="1:16" x14ac:dyDescent="0.35">
      <c r="A354" s="23">
        <v>963</v>
      </c>
      <c r="B354" s="23" t="s">
        <v>362</v>
      </c>
      <c r="C354" s="23">
        <v>1</v>
      </c>
      <c r="D354" s="23">
        <v>0</v>
      </c>
      <c r="E354" s="23">
        <v>2</v>
      </c>
      <c r="F354" s="23">
        <v>17</v>
      </c>
      <c r="G354" s="23" t="b">
        <f>FALSE()</f>
        <v>0</v>
      </c>
      <c r="H354" s="23">
        <v>6</v>
      </c>
      <c r="I354" s="23">
        <v>1</v>
      </c>
      <c r="J354" s="23">
        <v>0.32</v>
      </c>
      <c r="K354" s="23">
        <v>0.28789999999999999</v>
      </c>
      <c r="L354" s="23">
        <v>0.31</v>
      </c>
      <c r="M354" s="23">
        <v>0.52239999999999998</v>
      </c>
      <c r="N354" s="23">
        <v>24</v>
      </c>
      <c r="O354" s="23">
        <v>113</v>
      </c>
      <c r="P354" s="23">
        <v>137</v>
      </c>
    </row>
    <row r="355" spans="1:16" x14ac:dyDescent="0.35">
      <c r="A355" s="23">
        <v>964</v>
      </c>
      <c r="B355" s="23" t="s">
        <v>362</v>
      </c>
      <c r="C355" s="23">
        <v>1</v>
      </c>
      <c r="D355" s="23">
        <v>0</v>
      </c>
      <c r="E355" s="23">
        <v>2</v>
      </c>
      <c r="F355" s="23">
        <v>18</v>
      </c>
      <c r="G355" s="23" t="b">
        <f>FALSE()</f>
        <v>0</v>
      </c>
      <c r="H355" s="23">
        <v>6</v>
      </c>
      <c r="I355" s="23">
        <v>1</v>
      </c>
      <c r="J355" s="23">
        <v>0.28000000000000003</v>
      </c>
      <c r="K355" s="23">
        <v>0.2576</v>
      </c>
      <c r="L355" s="23">
        <v>0.38</v>
      </c>
      <c r="M355" s="23">
        <v>0.32840000000000003</v>
      </c>
      <c r="N355" s="23">
        <v>4</v>
      </c>
      <c r="O355" s="23">
        <v>60</v>
      </c>
      <c r="P355" s="23">
        <v>64</v>
      </c>
    </row>
    <row r="356" spans="1:16" x14ac:dyDescent="0.35">
      <c r="A356" s="23">
        <v>965</v>
      </c>
      <c r="B356" s="23" t="s">
        <v>362</v>
      </c>
      <c r="C356" s="23">
        <v>1</v>
      </c>
      <c r="D356" s="23">
        <v>0</v>
      </c>
      <c r="E356" s="23">
        <v>2</v>
      </c>
      <c r="F356" s="23">
        <v>19</v>
      </c>
      <c r="G356" s="23" t="b">
        <f>FALSE()</f>
        <v>0</v>
      </c>
      <c r="H356" s="23">
        <v>6</v>
      </c>
      <c r="I356" s="23">
        <v>1</v>
      </c>
      <c r="J356" s="23">
        <v>0.28000000000000003</v>
      </c>
      <c r="K356" s="23">
        <v>0.2727</v>
      </c>
      <c r="L356" s="23">
        <v>0.38</v>
      </c>
      <c r="M356" s="23">
        <v>0.16420000000000001</v>
      </c>
      <c r="N356" s="23">
        <v>2</v>
      </c>
      <c r="O356" s="23">
        <v>39</v>
      </c>
      <c r="P356" s="23">
        <v>41</v>
      </c>
    </row>
    <row r="357" spans="1:16" x14ac:dyDescent="0.35">
      <c r="A357" s="23">
        <v>966</v>
      </c>
      <c r="B357" s="23" t="s">
        <v>362</v>
      </c>
      <c r="C357" s="23">
        <v>1</v>
      </c>
      <c r="D357" s="23">
        <v>0</v>
      </c>
      <c r="E357" s="23">
        <v>2</v>
      </c>
      <c r="F357" s="23">
        <v>20</v>
      </c>
      <c r="G357" s="23" t="b">
        <f>FALSE()</f>
        <v>0</v>
      </c>
      <c r="H357" s="23">
        <v>6</v>
      </c>
      <c r="I357" s="23">
        <v>1</v>
      </c>
      <c r="J357" s="23">
        <v>0.26</v>
      </c>
      <c r="K357" s="23">
        <v>0.2576</v>
      </c>
      <c r="L357" s="23">
        <v>0.41</v>
      </c>
      <c r="M357" s="23">
        <v>0.22389999999999999</v>
      </c>
      <c r="N357" s="23">
        <v>1</v>
      </c>
      <c r="O357" s="23">
        <v>39</v>
      </c>
      <c r="P357" s="23">
        <v>40</v>
      </c>
    </row>
    <row r="358" spans="1:16" x14ac:dyDescent="0.35">
      <c r="A358" s="23">
        <v>967</v>
      </c>
      <c r="B358" s="23" t="s">
        <v>362</v>
      </c>
      <c r="C358" s="23">
        <v>1</v>
      </c>
      <c r="D358" s="23">
        <v>0</v>
      </c>
      <c r="E358" s="23">
        <v>2</v>
      </c>
      <c r="F358" s="23">
        <v>21</v>
      </c>
      <c r="G358" s="23" t="b">
        <f>FALSE()</f>
        <v>0</v>
      </c>
      <c r="H358" s="23">
        <v>6</v>
      </c>
      <c r="I358" s="23">
        <v>1</v>
      </c>
      <c r="J358" s="23">
        <v>0.26</v>
      </c>
      <c r="K358" s="23">
        <v>0.30299999999999999</v>
      </c>
      <c r="L358" s="23">
        <v>0.41</v>
      </c>
      <c r="M358" s="23">
        <v>0</v>
      </c>
      <c r="N358" s="23">
        <v>9</v>
      </c>
      <c r="O358" s="23">
        <v>42</v>
      </c>
      <c r="P358" s="23">
        <v>51</v>
      </c>
    </row>
    <row r="359" spans="1:16" x14ac:dyDescent="0.35">
      <c r="A359" s="23">
        <v>968</v>
      </c>
      <c r="B359" s="23" t="s">
        <v>362</v>
      </c>
      <c r="C359" s="23">
        <v>1</v>
      </c>
      <c r="D359" s="23">
        <v>0</v>
      </c>
      <c r="E359" s="23">
        <v>2</v>
      </c>
      <c r="F359" s="23">
        <v>22</v>
      </c>
      <c r="G359" s="23" t="b">
        <f>FALSE()</f>
        <v>0</v>
      </c>
      <c r="H359" s="23">
        <v>6</v>
      </c>
      <c r="I359" s="23">
        <v>1</v>
      </c>
      <c r="J359" s="23">
        <v>0.24</v>
      </c>
      <c r="K359" s="23">
        <v>0.2576</v>
      </c>
      <c r="L359" s="23">
        <v>0.44</v>
      </c>
      <c r="M359" s="23">
        <v>8.9599999999999999E-2</v>
      </c>
      <c r="N359" s="23">
        <v>6</v>
      </c>
      <c r="O359" s="23">
        <v>39</v>
      </c>
      <c r="P359" s="23">
        <v>45</v>
      </c>
    </row>
    <row r="360" spans="1:16" x14ac:dyDescent="0.35">
      <c r="A360" s="23">
        <v>969</v>
      </c>
      <c r="B360" s="23" t="s">
        <v>362</v>
      </c>
      <c r="C360" s="23">
        <v>1</v>
      </c>
      <c r="D360" s="23">
        <v>0</v>
      </c>
      <c r="E360" s="23">
        <v>2</v>
      </c>
      <c r="F360" s="23">
        <v>23</v>
      </c>
      <c r="G360" s="23" t="b">
        <f>FALSE()</f>
        <v>0</v>
      </c>
      <c r="H360" s="23">
        <v>6</v>
      </c>
      <c r="I360" s="23">
        <v>1</v>
      </c>
      <c r="J360" s="23">
        <v>0.22</v>
      </c>
      <c r="K360" s="23">
        <v>0.2273</v>
      </c>
      <c r="L360" s="23">
        <v>0.51</v>
      </c>
      <c r="M360" s="23">
        <v>0.1343</v>
      </c>
      <c r="N360" s="23">
        <v>1</v>
      </c>
      <c r="O360" s="23">
        <v>31</v>
      </c>
      <c r="P360" s="23">
        <v>32</v>
      </c>
    </row>
    <row r="361" spans="1:16" x14ac:dyDescent="0.35">
      <c r="A361" s="23">
        <v>970</v>
      </c>
      <c r="B361" s="23" t="s">
        <v>363</v>
      </c>
      <c r="C361" s="23">
        <v>1</v>
      </c>
      <c r="D361" s="23">
        <v>0</v>
      </c>
      <c r="E361" s="23">
        <v>2</v>
      </c>
      <c r="F361" s="23">
        <v>0</v>
      </c>
      <c r="G361" s="23" t="b">
        <f>FALSE()</f>
        <v>0</v>
      </c>
      <c r="H361" s="23">
        <v>0</v>
      </c>
      <c r="I361" s="23">
        <v>1</v>
      </c>
      <c r="J361" s="23">
        <v>0.2</v>
      </c>
      <c r="K361" s="23">
        <v>0.2273</v>
      </c>
      <c r="L361" s="23">
        <v>0.64</v>
      </c>
      <c r="M361" s="23">
        <v>0.1045</v>
      </c>
      <c r="N361" s="23">
        <v>5</v>
      </c>
      <c r="O361" s="23">
        <v>34</v>
      </c>
      <c r="P361" s="23">
        <v>39</v>
      </c>
    </row>
    <row r="362" spans="1:16" x14ac:dyDescent="0.35">
      <c r="A362" s="23">
        <v>971</v>
      </c>
      <c r="B362" s="23" t="s">
        <v>363</v>
      </c>
      <c r="C362" s="23">
        <v>1</v>
      </c>
      <c r="D362" s="23">
        <v>0</v>
      </c>
      <c r="E362" s="23">
        <v>2</v>
      </c>
      <c r="F362" s="23">
        <v>1</v>
      </c>
      <c r="G362" s="23" t="b">
        <f>FALSE()</f>
        <v>0</v>
      </c>
      <c r="H362" s="23">
        <v>0</v>
      </c>
      <c r="I362" s="23">
        <v>1</v>
      </c>
      <c r="J362" s="23">
        <v>0.2</v>
      </c>
      <c r="K362" s="23">
        <v>0.2273</v>
      </c>
      <c r="L362" s="23">
        <v>0.59</v>
      </c>
      <c r="M362" s="23">
        <v>8.9599999999999999E-2</v>
      </c>
      <c r="N362" s="23">
        <v>1</v>
      </c>
      <c r="O362" s="23">
        <v>23</v>
      </c>
      <c r="P362" s="23">
        <v>24</v>
      </c>
    </row>
    <row r="363" spans="1:16" x14ac:dyDescent="0.35">
      <c r="A363" s="23">
        <v>972</v>
      </c>
      <c r="B363" s="23" t="s">
        <v>363</v>
      </c>
      <c r="C363" s="23">
        <v>1</v>
      </c>
      <c r="D363" s="23">
        <v>0</v>
      </c>
      <c r="E363" s="23">
        <v>2</v>
      </c>
      <c r="F363" s="23">
        <v>2</v>
      </c>
      <c r="G363" s="23" t="b">
        <f>FALSE()</f>
        <v>0</v>
      </c>
      <c r="H363" s="23">
        <v>0</v>
      </c>
      <c r="I363" s="23">
        <v>2</v>
      </c>
      <c r="J363" s="23">
        <v>0.2</v>
      </c>
      <c r="K363" s="23">
        <v>0.2273</v>
      </c>
      <c r="L363" s="23">
        <v>0.75</v>
      </c>
      <c r="M363" s="23">
        <v>8.9599999999999999E-2</v>
      </c>
      <c r="N363" s="23">
        <v>1</v>
      </c>
      <c r="O363" s="23">
        <v>19</v>
      </c>
      <c r="P363" s="23">
        <v>20</v>
      </c>
    </row>
    <row r="364" spans="1:16" x14ac:dyDescent="0.35">
      <c r="A364" s="23">
        <v>973</v>
      </c>
      <c r="B364" s="23" t="s">
        <v>363</v>
      </c>
      <c r="C364" s="23">
        <v>1</v>
      </c>
      <c r="D364" s="23">
        <v>0</v>
      </c>
      <c r="E364" s="23">
        <v>2</v>
      </c>
      <c r="F364" s="23">
        <v>3</v>
      </c>
      <c r="G364" s="23" t="b">
        <f>FALSE()</f>
        <v>0</v>
      </c>
      <c r="H364" s="23">
        <v>0</v>
      </c>
      <c r="I364" s="23">
        <v>2</v>
      </c>
      <c r="J364" s="23">
        <v>0.2</v>
      </c>
      <c r="K364" s="23">
        <v>0.2273</v>
      </c>
      <c r="L364" s="23">
        <v>0.69</v>
      </c>
      <c r="M364" s="23">
        <v>0.1045</v>
      </c>
      <c r="N364" s="23">
        <v>4</v>
      </c>
      <c r="O364" s="23">
        <v>8</v>
      </c>
      <c r="P364" s="23">
        <v>12</v>
      </c>
    </row>
    <row r="365" spans="1:16" x14ac:dyDescent="0.35">
      <c r="A365" s="23">
        <v>974</v>
      </c>
      <c r="B365" s="23" t="s">
        <v>363</v>
      </c>
      <c r="C365" s="23">
        <v>1</v>
      </c>
      <c r="D365" s="23">
        <v>0</v>
      </c>
      <c r="E365" s="23">
        <v>2</v>
      </c>
      <c r="F365" s="23">
        <v>4</v>
      </c>
      <c r="G365" s="23" t="b">
        <f>FALSE()</f>
        <v>0</v>
      </c>
      <c r="H365" s="23">
        <v>0</v>
      </c>
      <c r="I365" s="23">
        <v>2</v>
      </c>
      <c r="J365" s="23">
        <v>0.2</v>
      </c>
      <c r="K365" s="23">
        <v>0.21210000000000001</v>
      </c>
      <c r="L365" s="23">
        <v>0.69</v>
      </c>
      <c r="M365" s="23">
        <v>0.16420000000000001</v>
      </c>
      <c r="N365" s="23">
        <v>0</v>
      </c>
      <c r="O365" s="23">
        <v>2</v>
      </c>
      <c r="P365" s="23">
        <v>2</v>
      </c>
    </row>
    <row r="366" spans="1:16" x14ac:dyDescent="0.35">
      <c r="A366" s="23">
        <v>975</v>
      </c>
      <c r="B366" s="23" t="s">
        <v>363</v>
      </c>
      <c r="C366" s="23">
        <v>1</v>
      </c>
      <c r="D366" s="23">
        <v>0</v>
      </c>
      <c r="E366" s="23">
        <v>2</v>
      </c>
      <c r="F366" s="23">
        <v>6</v>
      </c>
      <c r="G366" s="23" t="b">
        <f>FALSE()</f>
        <v>0</v>
      </c>
      <c r="H366" s="23">
        <v>0</v>
      </c>
      <c r="I366" s="23">
        <v>2</v>
      </c>
      <c r="J366" s="23">
        <v>0.2</v>
      </c>
      <c r="K366" s="23">
        <v>0.21210000000000001</v>
      </c>
      <c r="L366" s="23">
        <v>0.69</v>
      </c>
      <c r="M366" s="23">
        <v>0.1343</v>
      </c>
      <c r="N366" s="23">
        <v>2</v>
      </c>
      <c r="O366" s="23">
        <v>3</v>
      </c>
      <c r="P366" s="23">
        <v>5</v>
      </c>
    </row>
    <row r="367" spans="1:16" x14ac:dyDescent="0.35">
      <c r="A367" s="23">
        <v>976</v>
      </c>
      <c r="B367" s="23" t="s">
        <v>363</v>
      </c>
      <c r="C367" s="23">
        <v>1</v>
      </c>
      <c r="D367" s="23">
        <v>0</v>
      </c>
      <c r="E367" s="23">
        <v>2</v>
      </c>
      <c r="F367" s="23">
        <v>7</v>
      </c>
      <c r="G367" s="23" t="b">
        <f>FALSE()</f>
        <v>0</v>
      </c>
      <c r="H367" s="23">
        <v>0</v>
      </c>
      <c r="I367" s="23">
        <v>2</v>
      </c>
      <c r="J367" s="23">
        <v>0.22</v>
      </c>
      <c r="K367" s="23">
        <v>0.2727</v>
      </c>
      <c r="L367" s="23">
        <v>0.55000000000000004</v>
      </c>
      <c r="M367" s="23">
        <v>0</v>
      </c>
      <c r="N367" s="23">
        <v>0</v>
      </c>
      <c r="O367" s="23">
        <v>3</v>
      </c>
      <c r="P367" s="23">
        <v>3</v>
      </c>
    </row>
    <row r="368" spans="1:16" x14ac:dyDescent="0.35">
      <c r="A368" s="23">
        <v>977</v>
      </c>
      <c r="B368" s="23" t="s">
        <v>363</v>
      </c>
      <c r="C368" s="23">
        <v>1</v>
      </c>
      <c r="D368" s="23">
        <v>0</v>
      </c>
      <c r="E368" s="23">
        <v>2</v>
      </c>
      <c r="F368" s="23">
        <v>8</v>
      </c>
      <c r="G368" s="23" t="b">
        <f>FALSE()</f>
        <v>0</v>
      </c>
      <c r="H368" s="23">
        <v>0</v>
      </c>
      <c r="I368" s="23">
        <v>2</v>
      </c>
      <c r="J368" s="23">
        <v>0.22</v>
      </c>
      <c r="K368" s="23">
        <v>0.2273</v>
      </c>
      <c r="L368" s="23">
        <v>0.64</v>
      </c>
      <c r="M368" s="23">
        <v>0.19400000000000001</v>
      </c>
      <c r="N368" s="23">
        <v>1</v>
      </c>
      <c r="O368" s="23">
        <v>11</v>
      </c>
      <c r="P368" s="23">
        <v>12</v>
      </c>
    </row>
    <row r="369" spans="1:16" x14ac:dyDescent="0.35">
      <c r="A369" s="23">
        <v>978</v>
      </c>
      <c r="B369" s="23" t="s">
        <v>363</v>
      </c>
      <c r="C369" s="23">
        <v>1</v>
      </c>
      <c r="D369" s="23">
        <v>0</v>
      </c>
      <c r="E369" s="23">
        <v>2</v>
      </c>
      <c r="F369" s="23">
        <v>9</v>
      </c>
      <c r="G369" s="23" t="b">
        <f>FALSE()</f>
        <v>0</v>
      </c>
      <c r="H369" s="23">
        <v>0</v>
      </c>
      <c r="I369" s="23">
        <v>2</v>
      </c>
      <c r="J369" s="23">
        <v>0.24</v>
      </c>
      <c r="K369" s="23">
        <v>0.2273</v>
      </c>
      <c r="L369" s="23">
        <v>0.6</v>
      </c>
      <c r="M369" s="23">
        <v>0.22389999999999999</v>
      </c>
      <c r="N369" s="23">
        <v>12</v>
      </c>
      <c r="O369" s="23">
        <v>35</v>
      </c>
      <c r="P369" s="23">
        <v>47</v>
      </c>
    </row>
    <row r="370" spans="1:16" x14ac:dyDescent="0.35">
      <c r="A370" s="23">
        <v>979</v>
      </c>
      <c r="B370" s="23" t="s">
        <v>363</v>
      </c>
      <c r="C370" s="23">
        <v>1</v>
      </c>
      <c r="D370" s="23">
        <v>0</v>
      </c>
      <c r="E370" s="23">
        <v>2</v>
      </c>
      <c r="F370" s="23">
        <v>10</v>
      </c>
      <c r="G370" s="23" t="b">
        <f>FALSE()</f>
        <v>0</v>
      </c>
      <c r="H370" s="23">
        <v>0</v>
      </c>
      <c r="I370" s="23">
        <v>1</v>
      </c>
      <c r="J370" s="23">
        <v>0.3</v>
      </c>
      <c r="K370" s="23">
        <v>0.2727</v>
      </c>
      <c r="L370" s="23">
        <v>0.45</v>
      </c>
      <c r="M370" s="23">
        <v>0.32840000000000003</v>
      </c>
      <c r="N370" s="23">
        <v>19</v>
      </c>
      <c r="O370" s="23">
        <v>86</v>
      </c>
      <c r="P370" s="23">
        <v>105</v>
      </c>
    </row>
    <row r="371" spans="1:16" x14ac:dyDescent="0.35">
      <c r="A371" s="23">
        <v>980</v>
      </c>
      <c r="B371" s="23" t="s">
        <v>363</v>
      </c>
      <c r="C371" s="23">
        <v>1</v>
      </c>
      <c r="D371" s="23">
        <v>0</v>
      </c>
      <c r="E371" s="23">
        <v>2</v>
      </c>
      <c r="F371" s="23">
        <v>11</v>
      </c>
      <c r="G371" s="23" t="b">
        <f>FALSE()</f>
        <v>0</v>
      </c>
      <c r="H371" s="23">
        <v>0</v>
      </c>
      <c r="I371" s="23">
        <v>1</v>
      </c>
      <c r="J371" s="23">
        <v>0.32</v>
      </c>
      <c r="K371" s="23">
        <v>0.28789999999999999</v>
      </c>
      <c r="L371" s="23">
        <v>0.39</v>
      </c>
      <c r="M371" s="23">
        <v>0.44779999999999998</v>
      </c>
      <c r="N371" s="23">
        <v>26</v>
      </c>
      <c r="O371" s="23">
        <v>86</v>
      </c>
      <c r="P371" s="23">
        <v>112</v>
      </c>
    </row>
    <row r="372" spans="1:16" x14ac:dyDescent="0.35">
      <c r="A372" s="23">
        <v>981</v>
      </c>
      <c r="B372" s="23" t="s">
        <v>363</v>
      </c>
      <c r="C372" s="23">
        <v>1</v>
      </c>
      <c r="D372" s="23">
        <v>0</v>
      </c>
      <c r="E372" s="23">
        <v>2</v>
      </c>
      <c r="F372" s="23">
        <v>12</v>
      </c>
      <c r="G372" s="23" t="b">
        <f>FALSE()</f>
        <v>0</v>
      </c>
      <c r="H372" s="23">
        <v>0</v>
      </c>
      <c r="I372" s="23">
        <v>1</v>
      </c>
      <c r="J372" s="23">
        <v>0.36</v>
      </c>
      <c r="K372" s="23">
        <v>0.31819999999999998</v>
      </c>
      <c r="L372" s="23">
        <v>0.32</v>
      </c>
      <c r="M372" s="23">
        <v>0.4627</v>
      </c>
      <c r="N372" s="23">
        <v>58</v>
      </c>
      <c r="O372" s="23">
        <v>94</v>
      </c>
      <c r="P372" s="23">
        <v>152</v>
      </c>
    </row>
    <row r="373" spans="1:16" x14ac:dyDescent="0.35">
      <c r="A373" s="23">
        <v>982</v>
      </c>
      <c r="B373" s="23" t="s">
        <v>363</v>
      </c>
      <c r="C373" s="23">
        <v>1</v>
      </c>
      <c r="D373" s="23">
        <v>0</v>
      </c>
      <c r="E373" s="23">
        <v>2</v>
      </c>
      <c r="F373" s="23">
        <v>13</v>
      </c>
      <c r="G373" s="23" t="b">
        <f>FALSE()</f>
        <v>0</v>
      </c>
      <c r="H373" s="23">
        <v>0</v>
      </c>
      <c r="I373" s="23">
        <v>1</v>
      </c>
      <c r="J373" s="23">
        <v>0.38</v>
      </c>
      <c r="K373" s="23">
        <v>0.39389999999999997</v>
      </c>
      <c r="L373" s="23">
        <v>0.28999999999999998</v>
      </c>
      <c r="M373" s="23">
        <v>0.35820000000000002</v>
      </c>
      <c r="N373" s="23">
        <v>62</v>
      </c>
      <c r="O373" s="23">
        <v>92</v>
      </c>
      <c r="P373" s="23">
        <v>154</v>
      </c>
    </row>
    <row r="374" spans="1:16" x14ac:dyDescent="0.35">
      <c r="A374" s="23">
        <v>983</v>
      </c>
      <c r="B374" s="23" t="s">
        <v>363</v>
      </c>
      <c r="C374" s="23">
        <v>1</v>
      </c>
      <c r="D374" s="23">
        <v>0</v>
      </c>
      <c r="E374" s="23">
        <v>2</v>
      </c>
      <c r="F374" s="23">
        <v>14</v>
      </c>
      <c r="G374" s="23" t="b">
        <f>FALSE()</f>
        <v>0</v>
      </c>
      <c r="H374" s="23">
        <v>0</v>
      </c>
      <c r="I374" s="23">
        <v>2</v>
      </c>
      <c r="J374" s="23">
        <v>0.4</v>
      </c>
      <c r="K374" s="23">
        <v>0.40910000000000002</v>
      </c>
      <c r="L374" s="23">
        <v>0.3</v>
      </c>
      <c r="M374" s="23">
        <v>0.41789999999999999</v>
      </c>
      <c r="N374" s="23">
        <v>51</v>
      </c>
      <c r="O374" s="23">
        <v>110</v>
      </c>
      <c r="P374" s="23">
        <v>161</v>
      </c>
    </row>
    <row r="375" spans="1:16" x14ac:dyDescent="0.35">
      <c r="A375" s="23">
        <v>984</v>
      </c>
      <c r="B375" s="23" t="s">
        <v>363</v>
      </c>
      <c r="C375" s="23">
        <v>1</v>
      </c>
      <c r="D375" s="23">
        <v>0</v>
      </c>
      <c r="E375" s="23">
        <v>2</v>
      </c>
      <c r="F375" s="23">
        <v>15</v>
      </c>
      <c r="G375" s="23" t="b">
        <f>FALSE()</f>
        <v>0</v>
      </c>
      <c r="H375" s="23">
        <v>0</v>
      </c>
      <c r="I375" s="23">
        <v>2</v>
      </c>
      <c r="J375" s="23">
        <v>0.4</v>
      </c>
      <c r="K375" s="23">
        <v>0.40910000000000002</v>
      </c>
      <c r="L375" s="23">
        <v>0.3</v>
      </c>
      <c r="M375" s="23">
        <v>0.29849999999999999</v>
      </c>
      <c r="N375" s="23">
        <v>40</v>
      </c>
      <c r="O375" s="23">
        <v>122</v>
      </c>
      <c r="P375" s="23">
        <v>162</v>
      </c>
    </row>
    <row r="376" spans="1:16" x14ac:dyDescent="0.35">
      <c r="A376" s="23">
        <v>985</v>
      </c>
      <c r="B376" s="23" t="s">
        <v>363</v>
      </c>
      <c r="C376" s="23">
        <v>1</v>
      </c>
      <c r="D376" s="23">
        <v>0</v>
      </c>
      <c r="E376" s="23">
        <v>2</v>
      </c>
      <c r="F376" s="23">
        <v>16</v>
      </c>
      <c r="G376" s="23" t="b">
        <f>FALSE()</f>
        <v>0</v>
      </c>
      <c r="H376" s="23">
        <v>0</v>
      </c>
      <c r="I376" s="23">
        <v>2</v>
      </c>
      <c r="J376" s="23">
        <v>0.42</v>
      </c>
      <c r="K376" s="23">
        <v>0.42420000000000002</v>
      </c>
      <c r="L376" s="23">
        <v>0.28000000000000003</v>
      </c>
      <c r="M376" s="23">
        <v>0.32840000000000003</v>
      </c>
      <c r="N376" s="23">
        <v>28</v>
      </c>
      <c r="O376" s="23">
        <v>106</v>
      </c>
      <c r="P376" s="23">
        <v>134</v>
      </c>
    </row>
    <row r="377" spans="1:16" x14ac:dyDescent="0.35">
      <c r="A377" s="23">
        <v>986</v>
      </c>
      <c r="B377" s="23" t="s">
        <v>363</v>
      </c>
      <c r="C377" s="23">
        <v>1</v>
      </c>
      <c r="D377" s="23">
        <v>0</v>
      </c>
      <c r="E377" s="23">
        <v>2</v>
      </c>
      <c r="F377" s="23">
        <v>17</v>
      </c>
      <c r="G377" s="23" t="b">
        <f>FALSE()</f>
        <v>0</v>
      </c>
      <c r="H377" s="23">
        <v>0</v>
      </c>
      <c r="I377" s="23">
        <v>1</v>
      </c>
      <c r="J377" s="23">
        <v>0.42</v>
      </c>
      <c r="K377" s="23">
        <v>0.42420000000000002</v>
      </c>
      <c r="L377" s="23">
        <v>0.28000000000000003</v>
      </c>
      <c r="M377" s="23">
        <v>0.32840000000000003</v>
      </c>
      <c r="N377" s="23">
        <v>30</v>
      </c>
      <c r="O377" s="23">
        <v>95</v>
      </c>
      <c r="P377" s="23">
        <v>125</v>
      </c>
    </row>
    <row r="378" spans="1:16" x14ac:dyDescent="0.35">
      <c r="A378" s="23">
        <v>987</v>
      </c>
      <c r="B378" s="23" t="s">
        <v>363</v>
      </c>
      <c r="C378" s="23">
        <v>1</v>
      </c>
      <c r="D378" s="23">
        <v>0</v>
      </c>
      <c r="E378" s="23">
        <v>2</v>
      </c>
      <c r="F378" s="23">
        <v>18</v>
      </c>
      <c r="G378" s="23" t="b">
        <f>FALSE()</f>
        <v>0</v>
      </c>
      <c r="H378" s="23">
        <v>0</v>
      </c>
      <c r="I378" s="23">
        <v>1</v>
      </c>
      <c r="J378" s="23">
        <v>0.4</v>
      </c>
      <c r="K378" s="23">
        <v>0.40910000000000002</v>
      </c>
      <c r="L378" s="23">
        <v>0.32</v>
      </c>
      <c r="M378" s="23">
        <v>0.29849999999999999</v>
      </c>
      <c r="N378" s="23">
        <v>17</v>
      </c>
      <c r="O378" s="23">
        <v>78</v>
      </c>
      <c r="P378" s="23">
        <v>95</v>
      </c>
    </row>
    <row r="379" spans="1:16" x14ac:dyDescent="0.35">
      <c r="A379" s="23">
        <v>988</v>
      </c>
      <c r="B379" s="23" t="s">
        <v>363</v>
      </c>
      <c r="C379" s="23">
        <v>1</v>
      </c>
      <c r="D379" s="23">
        <v>0</v>
      </c>
      <c r="E379" s="23">
        <v>2</v>
      </c>
      <c r="F379" s="23">
        <v>19</v>
      </c>
      <c r="G379" s="23" t="b">
        <f>FALSE()</f>
        <v>0</v>
      </c>
      <c r="H379" s="23">
        <v>0</v>
      </c>
      <c r="I379" s="23">
        <v>1</v>
      </c>
      <c r="J379" s="23">
        <v>0.4</v>
      </c>
      <c r="K379" s="23">
        <v>0.40910000000000002</v>
      </c>
      <c r="L379" s="23">
        <v>0.35</v>
      </c>
      <c r="M379" s="23">
        <v>0.28360000000000002</v>
      </c>
      <c r="N379" s="23">
        <v>11</v>
      </c>
      <c r="O379" s="23">
        <v>50</v>
      </c>
      <c r="P379" s="23">
        <v>61</v>
      </c>
    </row>
    <row r="380" spans="1:16" x14ac:dyDescent="0.35">
      <c r="A380" s="23">
        <v>989</v>
      </c>
      <c r="B380" s="23" t="s">
        <v>363</v>
      </c>
      <c r="C380" s="23">
        <v>1</v>
      </c>
      <c r="D380" s="23">
        <v>0</v>
      </c>
      <c r="E380" s="23">
        <v>2</v>
      </c>
      <c r="F380" s="23">
        <v>20</v>
      </c>
      <c r="G380" s="23" t="b">
        <f>FALSE()</f>
        <v>0</v>
      </c>
      <c r="H380" s="23">
        <v>0</v>
      </c>
      <c r="I380" s="23">
        <v>1</v>
      </c>
      <c r="J380" s="23">
        <v>0.4</v>
      </c>
      <c r="K380" s="23">
        <v>0.40910000000000002</v>
      </c>
      <c r="L380" s="23">
        <v>0.35</v>
      </c>
      <c r="M380" s="23">
        <v>0.32840000000000003</v>
      </c>
      <c r="N380" s="23">
        <v>15</v>
      </c>
      <c r="O380" s="23">
        <v>32</v>
      </c>
      <c r="P380" s="23">
        <v>47</v>
      </c>
    </row>
    <row r="381" spans="1:16" x14ac:dyDescent="0.35">
      <c r="A381" s="23">
        <v>990</v>
      </c>
      <c r="B381" s="23" t="s">
        <v>363</v>
      </c>
      <c r="C381" s="23">
        <v>1</v>
      </c>
      <c r="D381" s="23">
        <v>0</v>
      </c>
      <c r="E381" s="23">
        <v>2</v>
      </c>
      <c r="F381" s="23">
        <v>21</v>
      </c>
      <c r="G381" s="23" t="b">
        <f>FALSE()</f>
        <v>0</v>
      </c>
      <c r="H381" s="23">
        <v>0</v>
      </c>
      <c r="I381" s="23">
        <v>1</v>
      </c>
      <c r="J381" s="23">
        <v>0.4</v>
      </c>
      <c r="K381" s="23">
        <v>0.40910000000000002</v>
      </c>
      <c r="L381" s="23">
        <v>0.35</v>
      </c>
      <c r="M381" s="23">
        <v>0.35820000000000002</v>
      </c>
      <c r="N381" s="23">
        <v>6</v>
      </c>
      <c r="O381" s="23">
        <v>45</v>
      </c>
      <c r="P381" s="23">
        <v>51</v>
      </c>
    </row>
    <row r="382" spans="1:16" x14ac:dyDescent="0.35">
      <c r="A382" s="23">
        <v>991</v>
      </c>
      <c r="B382" s="23" t="s">
        <v>363</v>
      </c>
      <c r="C382" s="23">
        <v>1</v>
      </c>
      <c r="D382" s="23">
        <v>0</v>
      </c>
      <c r="E382" s="23">
        <v>2</v>
      </c>
      <c r="F382" s="23">
        <v>22</v>
      </c>
      <c r="G382" s="23" t="b">
        <f>FALSE()</f>
        <v>0</v>
      </c>
      <c r="H382" s="23">
        <v>0</v>
      </c>
      <c r="I382" s="23">
        <v>1</v>
      </c>
      <c r="J382" s="23">
        <v>0.4</v>
      </c>
      <c r="K382" s="23">
        <v>0.40910000000000002</v>
      </c>
      <c r="L382" s="23">
        <v>0.35</v>
      </c>
      <c r="M382" s="23">
        <v>0.29849999999999999</v>
      </c>
      <c r="N382" s="23">
        <v>5</v>
      </c>
      <c r="O382" s="23">
        <v>31</v>
      </c>
      <c r="P382" s="23">
        <v>36</v>
      </c>
    </row>
    <row r="383" spans="1:16" x14ac:dyDescent="0.35">
      <c r="A383" s="23">
        <v>992</v>
      </c>
      <c r="B383" s="23" t="s">
        <v>363</v>
      </c>
      <c r="C383" s="23">
        <v>1</v>
      </c>
      <c r="D383" s="23">
        <v>0</v>
      </c>
      <c r="E383" s="23">
        <v>2</v>
      </c>
      <c r="F383" s="23">
        <v>23</v>
      </c>
      <c r="G383" s="23" t="b">
        <f>FALSE()</f>
        <v>0</v>
      </c>
      <c r="H383" s="23">
        <v>0</v>
      </c>
      <c r="I383" s="23">
        <v>1</v>
      </c>
      <c r="J383" s="23">
        <v>0.4</v>
      </c>
      <c r="K383" s="23">
        <v>0.40910000000000002</v>
      </c>
      <c r="L383" s="23">
        <v>0.35</v>
      </c>
      <c r="M383" s="23">
        <v>0.35820000000000002</v>
      </c>
      <c r="N383" s="23">
        <v>3</v>
      </c>
      <c r="O383" s="23">
        <v>27</v>
      </c>
      <c r="P383" s="23">
        <v>30</v>
      </c>
    </row>
    <row r="384" spans="1:16" x14ac:dyDescent="0.35">
      <c r="A384" s="23">
        <v>993</v>
      </c>
      <c r="B384" s="23" t="s">
        <v>364</v>
      </c>
      <c r="C384" s="23">
        <v>1</v>
      </c>
      <c r="D384" s="23">
        <v>0</v>
      </c>
      <c r="E384" s="23">
        <v>2</v>
      </c>
      <c r="F384" s="23">
        <v>0</v>
      </c>
      <c r="G384" s="23" t="b">
        <f>FALSE()</f>
        <v>0</v>
      </c>
      <c r="H384" s="23">
        <v>1</v>
      </c>
      <c r="I384" s="23">
        <v>1</v>
      </c>
      <c r="J384" s="23">
        <v>0.38</v>
      </c>
      <c r="K384" s="23">
        <v>0.39389999999999997</v>
      </c>
      <c r="L384" s="23">
        <v>0.37</v>
      </c>
      <c r="M384" s="23">
        <v>0.35820000000000002</v>
      </c>
      <c r="N384" s="23">
        <v>3</v>
      </c>
      <c r="O384" s="23">
        <v>8</v>
      </c>
      <c r="P384" s="23">
        <v>11</v>
      </c>
    </row>
    <row r="385" spans="1:16" x14ac:dyDescent="0.35">
      <c r="A385" s="23">
        <v>994</v>
      </c>
      <c r="B385" s="23" t="s">
        <v>364</v>
      </c>
      <c r="C385" s="23">
        <v>1</v>
      </c>
      <c r="D385" s="23">
        <v>0</v>
      </c>
      <c r="E385" s="23">
        <v>2</v>
      </c>
      <c r="F385" s="23">
        <v>1</v>
      </c>
      <c r="G385" s="23" t="b">
        <f>FALSE()</f>
        <v>0</v>
      </c>
      <c r="H385" s="23">
        <v>1</v>
      </c>
      <c r="I385" s="23">
        <v>1</v>
      </c>
      <c r="J385" s="23">
        <v>0.38</v>
      </c>
      <c r="K385" s="23">
        <v>0.39389999999999997</v>
      </c>
      <c r="L385" s="23">
        <v>0.37</v>
      </c>
      <c r="M385" s="23">
        <v>0.35820000000000002</v>
      </c>
      <c r="N385" s="23">
        <v>1</v>
      </c>
      <c r="O385" s="23">
        <v>6</v>
      </c>
      <c r="P385" s="23">
        <v>7</v>
      </c>
    </row>
    <row r="386" spans="1:16" x14ac:dyDescent="0.35">
      <c r="A386" s="23">
        <v>995</v>
      </c>
      <c r="B386" s="23" t="s">
        <v>364</v>
      </c>
      <c r="C386" s="23">
        <v>1</v>
      </c>
      <c r="D386" s="23">
        <v>0</v>
      </c>
      <c r="E386" s="23">
        <v>2</v>
      </c>
      <c r="F386" s="23">
        <v>2</v>
      </c>
      <c r="G386" s="23" t="b">
        <f>FALSE()</f>
        <v>0</v>
      </c>
      <c r="H386" s="23">
        <v>1</v>
      </c>
      <c r="I386" s="23">
        <v>1</v>
      </c>
      <c r="J386" s="23">
        <v>0.36</v>
      </c>
      <c r="K386" s="23">
        <v>0.33329999999999999</v>
      </c>
      <c r="L386" s="23">
        <v>0.4</v>
      </c>
      <c r="M386" s="23">
        <v>0.29849999999999999</v>
      </c>
      <c r="N386" s="23">
        <v>0</v>
      </c>
      <c r="O386" s="23">
        <v>2</v>
      </c>
      <c r="P386" s="23">
        <v>2</v>
      </c>
    </row>
    <row r="387" spans="1:16" x14ac:dyDescent="0.35">
      <c r="A387" s="23">
        <v>996</v>
      </c>
      <c r="B387" s="23" t="s">
        <v>364</v>
      </c>
      <c r="C387" s="23">
        <v>1</v>
      </c>
      <c r="D387" s="23">
        <v>0</v>
      </c>
      <c r="E387" s="23">
        <v>2</v>
      </c>
      <c r="F387" s="23">
        <v>3</v>
      </c>
      <c r="G387" s="23" t="b">
        <f>FALSE()</f>
        <v>0</v>
      </c>
      <c r="H387" s="23">
        <v>1</v>
      </c>
      <c r="I387" s="23">
        <v>1</v>
      </c>
      <c r="J387" s="23">
        <v>0.34</v>
      </c>
      <c r="K387" s="23">
        <v>0.31819999999999998</v>
      </c>
      <c r="L387" s="23">
        <v>0.46</v>
      </c>
      <c r="M387" s="23">
        <v>0.22389999999999999</v>
      </c>
      <c r="N387" s="23">
        <v>1</v>
      </c>
      <c r="O387" s="23">
        <v>1</v>
      </c>
      <c r="P387" s="23">
        <v>2</v>
      </c>
    </row>
    <row r="388" spans="1:16" x14ac:dyDescent="0.35">
      <c r="A388" s="23">
        <v>997</v>
      </c>
      <c r="B388" s="23" t="s">
        <v>364</v>
      </c>
      <c r="C388" s="23">
        <v>1</v>
      </c>
      <c r="D388" s="23">
        <v>0</v>
      </c>
      <c r="E388" s="23">
        <v>2</v>
      </c>
      <c r="F388" s="23">
        <v>4</v>
      </c>
      <c r="G388" s="23" t="b">
        <f>FALSE()</f>
        <v>0</v>
      </c>
      <c r="H388" s="23">
        <v>1</v>
      </c>
      <c r="I388" s="23">
        <v>1</v>
      </c>
      <c r="J388" s="23">
        <v>0.32</v>
      </c>
      <c r="K388" s="23">
        <v>0.30299999999999999</v>
      </c>
      <c r="L388" s="23">
        <v>0.53</v>
      </c>
      <c r="M388" s="23">
        <v>0.28360000000000002</v>
      </c>
      <c r="N388" s="23">
        <v>0</v>
      </c>
      <c r="O388" s="23">
        <v>2</v>
      </c>
      <c r="P388" s="23">
        <v>2</v>
      </c>
    </row>
    <row r="389" spans="1:16" x14ac:dyDescent="0.35">
      <c r="A389" s="23">
        <v>998</v>
      </c>
      <c r="B389" s="23" t="s">
        <v>364</v>
      </c>
      <c r="C389" s="23">
        <v>1</v>
      </c>
      <c r="D389" s="23">
        <v>0</v>
      </c>
      <c r="E389" s="23">
        <v>2</v>
      </c>
      <c r="F389" s="23">
        <v>5</v>
      </c>
      <c r="G389" s="23" t="b">
        <f>FALSE()</f>
        <v>0</v>
      </c>
      <c r="H389" s="23">
        <v>1</v>
      </c>
      <c r="I389" s="23">
        <v>1</v>
      </c>
      <c r="J389" s="23">
        <v>0.32</v>
      </c>
      <c r="K389" s="23">
        <v>0.30299999999999999</v>
      </c>
      <c r="L389" s="23">
        <v>0.53</v>
      </c>
      <c r="M389" s="23">
        <v>0.28360000000000002</v>
      </c>
      <c r="N389" s="23">
        <v>0</v>
      </c>
      <c r="O389" s="23">
        <v>3</v>
      </c>
      <c r="P389" s="23">
        <v>3</v>
      </c>
    </row>
    <row r="390" spans="1:16" x14ac:dyDescent="0.35">
      <c r="A390" s="23">
        <v>999</v>
      </c>
      <c r="B390" s="23" t="s">
        <v>364</v>
      </c>
      <c r="C390" s="23">
        <v>1</v>
      </c>
      <c r="D390" s="23">
        <v>0</v>
      </c>
      <c r="E390" s="23">
        <v>2</v>
      </c>
      <c r="F390" s="23">
        <v>6</v>
      </c>
      <c r="G390" s="23" t="b">
        <f>FALSE()</f>
        <v>0</v>
      </c>
      <c r="H390" s="23">
        <v>1</v>
      </c>
      <c r="I390" s="23">
        <v>1</v>
      </c>
      <c r="J390" s="23">
        <v>0.34</v>
      </c>
      <c r="K390" s="23">
        <v>0.30299999999999999</v>
      </c>
      <c r="L390" s="23">
        <v>0.46</v>
      </c>
      <c r="M390" s="23">
        <v>0.29849999999999999</v>
      </c>
      <c r="N390" s="23">
        <v>1</v>
      </c>
      <c r="O390" s="23">
        <v>25</v>
      </c>
      <c r="P390" s="23">
        <v>26</v>
      </c>
    </row>
    <row r="391" spans="1:16" x14ac:dyDescent="0.35">
      <c r="A391" s="23">
        <v>1000</v>
      </c>
      <c r="B391" s="23" t="s">
        <v>364</v>
      </c>
      <c r="C391" s="23">
        <v>1</v>
      </c>
      <c r="D391" s="23">
        <v>0</v>
      </c>
      <c r="E391" s="23">
        <v>2</v>
      </c>
      <c r="F391" s="23">
        <v>7</v>
      </c>
      <c r="G391" s="23" t="b">
        <f>FALSE()</f>
        <v>0</v>
      </c>
      <c r="H391" s="23">
        <v>1</v>
      </c>
      <c r="I391" s="23">
        <v>1</v>
      </c>
      <c r="J391" s="23">
        <v>0.34</v>
      </c>
      <c r="K391" s="23">
        <v>0.30299999999999999</v>
      </c>
      <c r="L391" s="23">
        <v>0.46</v>
      </c>
      <c r="M391" s="23">
        <v>0.29849999999999999</v>
      </c>
      <c r="N391" s="23">
        <v>2</v>
      </c>
      <c r="O391" s="23">
        <v>96</v>
      </c>
      <c r="P391" s="23">
        <v>98</v>
      </c>
    </row>
  </sheetData>
  <pageMargins left="0.75" right="0.75" top="1" bottom="1" header="0.511811023622047" footer="0.511811023622047"/>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DF05-E9DC-468B-A81E-053036A013C9}">
  <dimension ref="A1:F6"/>
  <sheetViews>
    <sheetView workbookViewId="0">
      <selection activeCell="O10" sqref="O10"/>
    </sheetView>
  </sheetViews>
  <sheetFormatPr defaultRowHeight="14.5" x14ac:dyDescent="0.35"/>
  <cols>
    <col min="1" max="1" width="6.36328125" bestFit="1" customWidth="1"/>
    <col min="2" max="2" width="11" style="40" bestFit="1" customWidth="1"/>
    <col min="3" max="3" width="5.08984375" bestFit="1" customWidth="1"/>
    <col min="4" max="4" width="7.08984375" bestFit="1" customWidth="1"/>
    <col min="5" max="5" width="12.6328125" bestFit="1" customWidth="1"/>
    <col min="6" max="6" width="12" bestFit="1" customWidth="1"/>
  </cols>
  <sheetData>
    <row r="1" spans="1:6" x14ac:dyDescent="0.35">
      <c r="A1" s="38" t="s">
        <v>365</v>
      </c>
      <c r="B1" s="39" t="s">
        <v>119</v>
      </c>
      <c r="C1" s="38" t="s">
        <v>79</v>
      </c>
      <c r="D1" s="38" t="s">
        <v>366</v>
      </c>
      <c r="E1" s="45" t="s">
        <v>367</v>
      </c>
      <c r="F1" s="38" t="s">
        <v>368</v>
      </c>
    </row>
    <row r="2" spans="1:6" x14ac:dyDescent="0.35">
      <c r="A2" t="s">
        <v>369</v>
      </c>
      <c r="B2" s="40">
        <v>40561</v>
      </c>
      <c r="C2">
        <v>12</v>
      </c>
      <c r="D2">
        <v>3</v>
      </c>
      <c r="E2" s="44">
        <v>-3.24</v>
      </c>
      <c r="F2" t="s">
        <v>370</v>
      </c>
    </row>
    <row r="3" spans="1:6" x14ac:dyDescent="0.35">
      <c r="A3" t="s">
        <v>369</v>
      </c>
      <c r="B3" s="40">
        <v>40569</v>
      </c>
      <c r="C3">
        <v>2</v>
      </c>
      <c r="D3">
        <v>10</v>
      </c>
      <c r="E3" s="44">
        <v>4.34</v>
      </c>
      <c r="F3" t="s">
        <v>371</v>
      </c>
    </row>
    <row r="4" spans="1:6" x14ac:dyDescent="0.35">
      <c r="A4" t="s">
        <v>369</v>
      </c>
      <c r="B4" s="40">
        <v>40569</v>
      </c>
      <c r="C4">
        <v>17</v>
      </c>
      <c r="D4">
        <v>26</v>
      </c>
      <c r="E4" s="44">
        <v>-3.49</v>
      </c>
      <c r="F4" t="s">
        <v>370</v>
      </c>
    </row>
    <row r="5" spans="1:6" x14ac:dyDescent="0.35">
      <c r="A5" t="s">
        <v>372</v>
      </c>
      <c r="B5" s="40">
        <v>40569</v>
      </c>
      <c r="D5">
        <v>506</v>
      </c>
      <c r="E5" s="44">
        <v>-2.4631859553634761</v>
      </c>
      <c r="F5" t="s">
        <v>370</v>
      </c>
    </row>
    <row r="6" spans="1:6" x14ac:dyDescent="0.35">
      <c r="A6" t="s">
        <v>372</v>
      </c>
      <c r="B6" s="40">
        <v>40570</v>
      </c>
      <c r="D6">
        <v>431</v>
      </c>
      <c r="E6" s="44">
        <v>-2.7048284795614497</v>
      </c>
      <c r="F6" t="s">
        <v>370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Summary</vt:lpstr>
      <vt:lpstr>Dashboard</vt:lpstr>
      <vt:lpstr>Dashboard_Data</vt:lpstr>
      <vt:lpstr>Pivot_weather</vt:lpstr>
      <vt:lpstr>Pivot_dashboard</vt:lpstr>
      <vt:lpstr>Clean_Data</vt:lpstr>
      <vt:lpstr>Pivot_Summaries</vt:lpstr>
      <vt:lpstr>Hourly_Analysis</vt:lpstr>
      <vt:lpstr>Sheet6</vt:lpstr>
      <vt:lpstr>Forecast-sheet</vt:lpstr>
      <vt:lpstr>Daily_Trend</vt:lpstr>
      <vt:lpstr>Statistics</vt:lpstr>
      <vt:lpstr>Data_Quality</vt:lpstr>
      <vt:lpstr>Lookups</vt:lpstr>
      <vt:lpstr>Dataset1_Raw</vt:lpstr>
      <vt:lpstr>Dataset2_Raw</vt:lpstr>
      <vt:lpstr>Merge_1_2</vt:lpstr>
      <vt:lpstr>Dataset3_Raw</vt:lpstr>
      <vt:lpstr>Anomaly_Report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risha patil</cp:lastModifiedBy>
  <cp:revision>1</cp:revision>
  <cp:lastPrinted>2026-10-04T20:17:49Z</cp:lastPrinted>
  <dcterms:created xsi:type="dcterms:W3CDTF">2026-10-04T13:22:45Z</dcterms:created>
  <dcterms:modified xsi:type="dcterms:W3CDTF">2026-10-06T08:40:49Z</dcterms:modified>
  <dc:language>en-US</dc:language>
</cp:coreProperties>
</file>